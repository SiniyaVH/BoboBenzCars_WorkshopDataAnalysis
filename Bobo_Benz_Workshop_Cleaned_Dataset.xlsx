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Unclean_Dataset" sheetId="1" state="visible" r:id="rId2"/>
    <sheet name="WorkShop_Dataset" sheetId="2" state="visible" r:id="rId3"/>
    <sheet name="Mini_Project_Cleaned_Dataset" sheetId="3" state="visible" r:id="rId4"/>
    <sheet name="Cleaning_Process_Record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<sst xmlns="http://schemas.openxmlformats.org/spreadsheetml/2006/main" count="88090" uniqueCount="2579">
  <si>
    <t xml:space="preserve">Date</t>
  </si>
  <si>
    <t xml:space="preserve">Customer_ID</t>
  </si>
  <si>
    <t xml:space="preserve">Customer_Name</t>
  </si>
  <si>
    <t xml:space="preserve">Phone</t>
  </si>
  <si>
    <t xml:space="preserve">Vehicle_Type</t>
  </si>
  <si>
    <t xml:space="preserve">Plate_Number</t>
  </si>
  <si>
    <t xml:space="preserve">Service_Type</t>
  </si>
  <si>
    <t xml:space="preserve">Complaint</t>
  </si>
  <si>
    <t xml:space="preserve">Parts_Replaced</t>
  </si>
  <si>
    <t xml:space="preserve">Mechanic_Name</t>
  </si>
  <si>
    <t xml:space="preserve">Service_Cost</t>
  </si>
  <si>
    <t xml:space="preserve">Payment_Mode</t>
  </si>
  <si>
    <t xml:space="preserve">Return_Visit</t>
  </si>
  <si>
    <t xml:space="preserve">Rating</t>
  </si>
  <si>
    <t xml:space="preserve">Service_Time_Hours</t>
  </si>
  <si>
    <t xml:space="preserve">Remarks</t>
  </si>
  <si>
    <t xml:space="preserve">Status</t>
  </si>
  <si>
    <t xml:space="preserve">Workshop_Location</t>
  </si>
  <si>
    <t xml:space="preserve">Referral_Source</t>
  </si>
  <si>
    <t xml:space="preserve">Wait_Time_Mins</t>
  </si>
  <si>
    <t xml:space="preserve">Spare_Parts_Availability</t>
  </si>
  <si>
    <t xml:space="preserve">Parts_Source</t>
  </si>
  <si>
    <t xml:space="preserve">Service_Priority</t>
  </si>
  <si>
    <t xml:space="preserve">Customer_Type</t>
  </si>
  <si>
    <t xml:space="preserve">Fleet_Name</t>
  </si>
  <si>
    <t xml:space="preserve">Mechanic_Skill_Level</t>
  </si>
  <si>
    <t xml:space="preserve">Parts_Cost</t>
  </si>
  <si>
    <t xml:space="preserve">Labour_Cost</t>
  </si>
  <si>
    <t xml:space="preserve">Fuel_TopUp?</t>
  </si>
  <si>
    <t xml:space="preserve">Discount_Given</t>
  </si>
  <si>
    <t xml:space="preserve">Promo_Code_Used</t>
  </si>
  <si>
    <t xml:space="preserve">Follow_Up_Date</t>
  </si>
  <si>
    <t xml:space="preserve">Has_Insurance_Cover</t>
  </si>
  <si>
    <t xml:space="preserve">Mechanic_Notes</t>
  </si>
  <si>
    <t xml:space="preserve">Customer_Notes</t>
  </si>
  <si>
    <t xml:space="preserve">Request_For_Pickup</t>
  </si>
  <si>
    <t xml:space="preserve">Home_Service</t>
  </si>
  <si>
    <t xml:space="preserve">Towing_Required</t>
  </si>
  <si>
    <t xml:space="preserve">Service_Package</t>
  </si>
  <si>
    <t xml:space="preserve">Whatsapp_Followup</t>
  </si>
  <si>
    <t xml:space="preserve">19/05/2025</t>
  </si>
  <si>
    <t xml:space="preserve">CUS001</t>
  </si>
  <si>
    <t xml:space="preserve">John Doe</t>
  </si>
  <si>
    <t xml:space="preserve">Toyota Corolla</t>
  </si>
  <si>
    <t xml:space="preserve">KAN949EF</t>
  </si>
  <si>
    <t xml:space="preserve">Suspension Work</t>
  </si>
  <si>
    <t xml:space="preserve">Oil chang</t>
  </si>
  <si>
    <t xml:space="preserve">None</t>
  </si>
  <si>
    <t xml:space="preserve">Uche</t>
  </si>
  <si>
    <t xml:space="preserve">Transfer</t>
  </si>
  <si>
    <t xml:space="preserve">No</t>
  </si>
  <si>
    <t xml:space="preserve">Recommended further checks</t>
  </si>
  <si>
    <t xml:space="preserve">Completed</t>
  </si>
  <si>
    <t xml:space="preserve">Main Bay</t>
  </si>
  <si>
    <t xml:space="preserve">Mechanic Referral</t>
  </si>
  <si>
    <t xml:space="preserve">Available</t>
  </si>
  <si>
    <t xml:space="preserve">Benz supply</t>
  </si>
  <si>
    <t xml:space="preserve">Emergncy</t>
  </si>
  <si>
    <t xml:space="preserve">Fleet Owner</t>
  </si>
  <si>
    <t xml:space="preserve">Bolt Driver</t>
  </si>
  <si>
    <t xml:space="preserve">NONE</t>
  </si>
  <si>
    <t xml:space="preserve">no</t>
  </si>
  <si>
    <t xml:space="preserve">N</t>
  </si>
  <si>
    <t xml:space="preserve">Yes</t>
  </si>
  <si>
    <t xml:space="preserve">Gold Maintenance Plan</t>
  </si>
  <si>
    <t xml:space="preserve">CUS002</t>
  </si>
  <si>
    <t xml:space="preserve">Emeka Okafor</t>
  </si>
  <si>
    <t xml:space="preserve">Mercedes-Benz GLE</t>
  </si>
  <si>
    <t xml:space="preserve">KAN613EF</t>
  </si>
  <si>
    <t xml:space="preserve">Engine Repair</t>
  </si>
  <si>
    <t xml:space="preserve">Suspenshun Noise</t>
  </si>
  <si>
    <t xml:space="preserve">Isaac Bobo</t>
  </si>
  <si>
    <t xml:space="preserve">pos</t>
  </si>
  <si>
    <t xml:space="preserve">Pending</t>
  </si>
  <si>
    <t xml:space="preserve">Under tree</t>
  </si>
  <si>
    <t xml:space="preserve">Mechanik Referal</t>
  </si>
  <si>
    <t xml:space="preserve">orderd</t>
  </si>
  <si>
    <t xml:space="preserve">Direct from Benz</t>
  </si>
  <si>
    <t xml:space="preserve">Booking</t>
  </si>
  <si>
    <t xml:space="preserve">Specialist</t>
  </si>
  <si>
    <t xml:space="preserve">Promo10</t>
  </si>
  <si>
    <t xml:space="preserve">Y</t>
  </si>
  <si>
    <t xml:space="preserve">YES</t>
  </si>
  <si>
    <t xml:space="preserve">gold</t>
  </si>
  <si>
    <t xml:space="preserve">CUS003</t>
  </si>
  <si>
    <t xml:space="preserve">Honda Accord</t>
  </si>
  <si>
    <t xml:space="preserve">KAN332EF</t>
  </si>
  <si>
    <t xml:space="preserve">Oil Change</t>
  </si>
  <si>
    <t xml:space="preserve">Oill Change</t>
  </si>
  <si>
    <t xml:space="preserve">Shock absorbers</t>
  </si>
  <si>
    <t xml:space="preserve">Musa</t>
  </si>
  <si>
    <t xml:space="preserve">POS</t>
  </si>
  <si>
    <t xml:space="preserve">Urgent service</t>
  </si>
  <si>
    <t xml:space="preserve">In progress</t>
  </si>
  <si>
    <t xml:space="preserve">VIP section</t>
  </si>
  <si>
    <t xml:space="preserve">Road Sign</t>
  </si>
  <si>
    <t xml:space="preserve">Ordered</t>
  </si>
  <si>
    <t xml:space="preserve">ladipo mkt</t>
  </si>
  <si>
    <t xml:space="preserve">Emergency</t>
  </si>
  <si>
    <t xml:space="preserve">Uber Driver</t>
  </si>
  <si>
    <t xml:space="preserve">27/09/2025</t>
  </si>
  <si>
    <t xml:space="preserve">no complain</t>
  </si>
  <si>
    <t xml:space="preserve">Towing needed</t>
  </si>
  <si>
    <t xml:space="preserve">one time</t>
  </si>
  <si>
    <t xml:space="preserve">CUS004</t>
  </si>
  <si>
    <t xml:space="preserve">Aisha Bello</t>
  </si>
  <si>
    <t xml:space="preserve">ABJ378CD</t>
  </si>
  <si>
    <t xml:space="preserve">Brake Service</t>
  </si>
  <si>
    <t xml:space="preserve">Timing belt</t>
  </si>
  <si>
    <t xml:space="preserve">Tijani</t>
  </si>
  <si>
    <t xml:space="preserve">Cash</t>
  </si>
  <si>
    <t xml:space="preserve">Changed all filters</t>
  </si>
  <si>
    <t xml:space="preserve">Unavailable</t>
  </si>
  <si>
    <t xml:space="preserve">normal</t>
  </si>
  <si>
    <t xml:space="preserve">Returning</t>
  </si>
  <si>
    <t xml:space="preserve">5k</t>
  </si>
  <si>
    <t xml:space="preserve">Needs tire alignment</t>
  </si>
  <si>
    <t xml:space="preserve">Prefers morning</t>
  </si>
  <si>
    <t xml:space="preserve">One-time</t>
  </si>
  <si>
    <t xml:space="preserve">28/01/2025</t>
  </si>
  <si>
    <t xml:space="preserve">CUS005</t>
  </si>
  <si>
    <t xml:space="preserve">Ngozi Nwachukwu</t>
  </si>
  <si>
    <t xml:space="preserve">Mercedes-Benz C300</t>
  </si>
  <si>
    <t xml:space="preserve">KAN486CD</t>
  </si>
  <si>
    <t xml:space="preserve">CASH</t>
  </si>
  <si>
    <t xml:space="preserve">Customer waited</t>
  </si>
  <si>
    <t xml:space="preserve">whatsapp</t>
  </si>
  <si>
    <t xml:space="preserve">45mins</t>
  </si>
  <si>
    <t xml:space="preserve">Normal</t>
  </si>
  <si>
    <t xml:space="preserve">speciallist</t>
  </si>
  <si>
    <t xml:space="preserve">LOYALTY10</t>
  </si>
  <si>
    <t xml:space="preserve">18/07/2025</t>
  </si>
  <si>
    <t xml:space="preserve">CUS006</t>
  </si>
  <si>
    <t xml:space="preserve">KAN316EF</t>
  </si>
  <si>
    <t xml:space="preserve">Battery Replacement</t>
  </si>
  <si>
    <t xml:space="preserve">Brake Falure</t>
  </si>
  <si>
    <t xml:space="preserve">VIP Section</t>
  </si>
  <si>
    <t xml:space="preserve">first timer</t>
  </si>
  <si>
    <t xml:space="preserve">CUS007</t>
  </si>
  <si>
    <t xml:space="preserve">Lexus RX 350</t>
  </si>
  <si>
    <t xml:space="preserve">KAN157CD</t>
  </si>
  <si>
    <t xml:space="preserve">oilchng</t>
  </si>
  <si>
    <t xml:space="preserve">Oil filter, Brake pads</t>
  </si>
  <si>
    <t xml:space="preserve">Senior</t>
  </si>
  <si>
    <t xml:space="preserve">CUS008</t>
  </si>
  <si>
    <t xml:space="preserve">LAG288GH</t>
  </si>
  <si>
    <t xml:space="preserve">brake faliure</t>
  </si>
  <si>
    <t xml:space="preserve">Instagram</t>
  </si>
  <si>
    <t xml:space="preserve">Customer Brought</t>
  </si>
  <si>
    <t xml:space="preserve">Senior </t>
  </si>
  <si>
    <t xml:space="preserve">twenty thousand</t>
  </si>
  <si>
    <t xml:space="preserve">CUS009</t>
  </si>
  <si>
    <t xml:space="preserve">KAN719CD</t>
  </si>
  <si>
    <t xml:space="preserve">brake failur</t>
  </si>
  <si>
    <t xml:space="preserve">Air filter</t>
  </si>
  <si>
    <t xml:space="preserve">Ladipo Market</t>
  </si>
  <si>
    <t xml:space="preserve">Logistics Co</t>
  </si>
  <si>
    <t xml:space="preserve">CUS010</t>
  </si>
  <si>
    <t xml:space="preserve">KAN579EF</t>
  </si>
  <si>
    <t xml:space="preserve">main bay</t>
  </si>
  <si>
    <t xml:space="preserve">availaible</t>
  </si>
  <si>
    <t xml:space="preserve">Apprentice</t>
  </si>
  <si>
    <t xml:space="preserve">CUS011</t>
  </si>
  <si>
    <t xml:space="preserve">Tunde Bayo</t>
  </si>
  <si>
    <t xml:space="preserve">LAG768GH</t>
  </si>
  <si>
    <t xml:space="preserve">Engin Knok</t>
  </si>
  <si>
    <t xml:space="preserve">transfer</t>
  </si>
  <si>
    <t xml:space="preserve">Word of Mouth</t>
  </si>
  <si>
    <t xml:space="preserve">CUS012</t>
  </si>
  <si>
    <t xml:space="preserve">LAG947EF</t>
  </si>
  <si>
    <t xml:space="preserve">Enjin Knockin</t>
  </si>
  <si>
    <t xml:space="preserve">Shock absorber weakening</t>
  </si>
  <si>
    <t xml:space="preserve">Always late</t>
  </si>
  <si>
    <t xml:space="preserve">13/01/2025</t>
  </si>
  <si>
    <t xml:space="preserve">CUS013</t>
  </si>
  <si>
    <t xml:space="preserve">ABJ155EF</t>
  </si>
  <si>
    <t xml:space="preserve">engine knoking</t>
  </si>
  <si>
    <t xml:space="preserve">Private</t>
  </si>
  <si>
    <t xml:space="preserve">30k</t>
  </si>
  <si>
    <t xml:space="preserve">16/12/2025</t>
  </si>
  <si>
    <t xml:space="preserve">CUS014</t>
  </si>
  <si>
    <t xml:space="preserve">KAN534CD</t>
  </si>
  <si>
    <t xml:space="preserve">CUS015</t>
  </si>
  <si>
    <t xml:space="preserve">LAG211CD</t>
  </si>
  <si>
    <t xml:space="preserve">N/A</t>
  </si>
  <si>
    <t xml:space="preserve">CUS016</t>
  </si>
  <si>
    <t xml:space="preserve">ABJ471GH</t>
  </si>
  <si>
    <t xml:space="preserve">CUS017</t>
  </si>
  <si>
    <t xml:space="preserve">LAG128CD</t>
  </si>
  <si>
    <t xml:space="preserve">Battery</t>
  </si>
  <si>
    <t xml:space="preserve">yes</t>
  </si>
  <si>
    <t xml:space="preserve">20/02/2025</t>
  </si>
  <si>
    <t xml:space="preserve">CUS018</t>
  </si>
  <si>
    <t xml:space="preserve">LAG266GH</t>
  </si>
  <si>
    <t xml:space="preserve">CUS019</t>
  </si>
  <si>
    <t xml:space="preserve">ABJ166CD</t>
  </si>
  <si>
    <t xml:space="preserve">First Time</t>
  </si>
  <si>
    <t xml:space="preserve">Govt Convoy</t>
  </si>
  <si>
    <t xml:space="preserve">followed up</t>
  </si>
  <si>
    <t xml:space="preserve">CUS020</t>
  </si>
  <si>
    <t xml:space="preserve">KAN111EF</t>
  </si>
  <si>
    <t xml:space="preserve">13/07/2025</t>
  </si>
  <si>
    <t xml:space="preserve">CUS021</t>
  </si>
  <si>
    <t xml:space="preserve">ABJ664CD</t>
  </si>
  <si>
    <t xml:space="preserve">CUS022</t>
  </si>
  <si>
    <t xml:space="preserve">KAN133CD</t>
  </si>
  <si>
    <t xml:space="preserve">CUS023</t>
  </si>
  <si>
    <t xml:space="preserve">LAG187GH</t>
  </si>
  <si>
    <t xml:space="preserve">CUS024</t>
  </si>
  <si>
    <t xml:space="preserve">KAN145GH</t>
  </si>
  <si>
    <t xml:space="preserve">CUS025</t>
  </si>
  <si>
    <t xml:space="preserve">LAG146CD</t>
  </si>
  <si>
    <t xml:space="preserve">30/07/2025</t>
  </si>
  <si>
    <t xml:space="preserve">CUS026</t>
  </si>
  <si>
    <t xml:space="preserve">LAG195EF</t>
  </si>
  <si>
    <t xml:space="preserve">28/09/2025</t>
  </si>
  <si>
    <t xml:space="preserve">CUS027</t>
  </si>
  <si>
    <t xml:space="preserve">ABJ465EF</t>
  </si>
  <si>
    <t xml:space="preserve">CUS028</t>
  </si>
  <si>
    <t xml:space="preserve">LAG612CD</t>
  </si>
  <si>
    <t xml:space="preserve">CUS029</t>
  </si>
  <si>
    <t xml:space="preserve">LAG869EF</t>
  </si>
  <si>
    <t xml:space="preserve">14/04/2025</t>
  </si>
  <si>
    <t xml:space="preserve">CUS030</t>
  </si>
  <si>
    <t xml:space="preserve">KAN464CD</t>
  </si>
  <si>
    <t xml:space="preserve">24/02/2025</t>
  </si>
  <si>
    <t xml:space="preserve">CUS031</t>
  </si>
  <si>
    <t xml:space="preserve">KAN790CD</t>
  </si>
  <si>
    <t xml:space="preserve">CUS032</t>
  </si>
  <si>
    <t xml:space="preserve">LAG517GH</t>
  </si>
  <si>
    <t xml:space="preserve">CUS033</t>
  </si>
  <si>
    <t xml:space="preserve">KAN203GH</t>
  </si>
  <si>
    <t xml:space="preserve">30/01/2025</t>
  </si>
  <si>
    <t xml:space="preserve">CUS034</t>
  </si>
  <si>
    <t xml:space="preserve">ABJ124GH</t>
  </si>
  <si>
    <t xml:space="preserve">CUS035</t>
  </si>
  <si>
    <t xml:space="preserve">LAG588GH</t>
  </si>
  <si>
    <t xml:space="preserve">CUS036</t>
  </si>
  <si>
    <t xml:space="preserve">ABJ397CD</t>
  </si>
  <si>
    <t xml:space="preserve">23/11/2025</t>
  </si>
  <si>
    <t xml:space="preserve">CUS037</t>
  </si>
  <si>
    <t xml:space="preserve">ABJ798EF</t>
  </si>
  <si>
    <t xml:space="preserve">suspension noiz</t>
  </si>
  <si>
    <t xml:space="preserve">CUS038</t>
  </si>
  <si>
    <t xml:space="preserve">ABJ740CD</t>
  </si>
  <si>
    <t xml:space="preserve">17/12/2025</t>
  </si>
  <si>
    <t xml:space="preserve">CUS039</t>
  </si>
  <si>
    <t xml:space="preserve">KAN337CD</t>
  </si>
  <si>
    <t xml:space="preserve">17/03/2025</t>
  </si>
  <si>
    <t xml:space="preserve">CUS040</t>
  </si>
  <si>
    <t xml:space="preserve">KAN769CD</t>
  </si>
  <si>
    <t xml:space="preserve">CUS041</t>
  </si>
  <si>
    <t xml:space="preserve">KAN264GH</t>
  </si>
  <si>
    <t xml:space="preserve">CUS042</t>
  </si>
  <si>
    <t xml:space="preserve">KAN846GH</t>
  </si>
  <si>
    <t xml:space="preserve">CUS043</t>
  </si>
  <si>
    <t xml:space="preserve">KAN635EF</t>
  </si>
  <si>
    <t xml:space="preserve">CUS044</t>
  </si>
  <si>
    <t xml:space="preserve">LAG904CD</t>
  </si>
  <si>
    <t xml:space="preserve">CUS045</t>
  </si>
  <si>
    <t xml:space="preserve">LAG397EF</t>
  </si>
  <si>
    <t xml:space="preserve">CUS046</t>
  </si>
  <si>
    <t xml:space="preserve">KAN976EF</t>
  </si>
  <si>
    <t xml:space="preserve">CUS047</t>
  </si>
  <si>
    <t xml:space="preserve">ABJ829GH</t>
  </si>
  <si>
    <t xml:space="preserve">CUS048</t>
  </si>
  <si>
    <t xml:space="preserve">LAG344CD</t>
  </si>
  <si>
    <t xml:space="preserve">28/05/2025</t>
  </si>
  <si>
    <t xml:space="preserve">CUS049</t>
  </si>
  <si>
    <t xml:space="preserve">KAN721CD</t>
  </si>
  <si>
    <t xml:space="preserve">CUS050</t>
  </si>
  <si>
    <t xml:space="preserve">ABJ680GH</t>
  </si>
  <si>
    <t xml:space="preserve">Suspensn Noise</t>
  </si>
  <si>
    <t xml:space="preserve">CUS051</t>
  </si>
  <si>
    <t xml:space="preserve">LAG199CD</t>
  </si>
  <si>
    <t xml:space="preserve">CUS052</t>
  </si>
  <si>
    <t xml:space="preserve">ABJ884EF</t>
  </si>
  <si>
    <t xml:space="preserve">CUS053</t>
  </si>
  <si>
    <t xml:space="preserve">KAN988CD</t>
  </si>
  <si>
    <t xml:space="preserve">CUS054</t>
  </si>
  <si>
    <t xml:space="preserve">LAG196EF</t>
  </si>
  <si>
    <t xml:space="preserve">CUS055</t>
  </si>
  <si>
    <t xml:space="preserve">LAG273EF</t>
  </si>
  <si>
    <t xml:space="preserve">CUS056</t>
  </si>
  <si>
    <t xml:space="preserve">ABJ169EF</t>
  </si>
  <si>
    <t xml:space="preserve">CUS057</t>
  </si>
  <si>
    <t xml:space="preserve">KAN472EF</t>
  </si>
  <si>
    <t xml:space="preserve">CUS058</t>
  </si>
  <si>
    <t xml:space="preserve">ABJ172CD</t>
  </si>
  <si>
    <t xml:space="preserve">CUS059</t>
  </si>
  <si>
    <t xml:space="preserve">KAN890EF</t>
  </si>
  <si>
    <t xml:space="preserve">CUS060</t>
  </si>
  <si>
    <t xml:space="preserve">LAG584EF</t>
  </si>
  <si>
    <t xml:space="preserve">CUS061</t>
  </si>
  <si>
    <t xml:space="preserve">LAG765CD</t>
  </si>
  <si>
    <t xml:space="preserve">21/08/2025</t>
  </si>
  <si>
    <t xml:space="preserve">CUS062</t>
  </si>
  <si>
    <t xml:space="preserve">ABJ682EF</t>
  </si>
  <si>
    <t xml:space="preserve">28/10/2025</t>
  </si>
  <si>
    <t xml:space="preserve">27/05/2025</t>
  </si>
  <si>
    <t xml:space="preserve">CUS063</t>
  </si>
  <si>
    <t xml:space="preserve">ABJ472EF</t>
  </si>
  <si>
    <t xml:space="preserve">21/05/2025</t>
  </si>
  <si>
    <t xml:space="preserve">CUS064</t>
  </si>
  <si>
    <t xml:space="preserve">LAG518GH</t>
  </si>
  <si>
    <t xml:space="preserve">30/03/2025</t>
  </si>
  <si>
    <t xml:space="preserve">CUS065</t>
  </si>
  <si>
    <t xml:space="preserve">KAN232EF</t>
  </si>
  <si>
    <t xml:space="preserve">CUS066</t>
  </si>
  <si>
    <t xml:space="preserve">LAG624GH</t>
  </si>
  <si>
    <t xml:space="preserve">26/02/2025</t>
  </si>
  <si>
    <t xml:space="preserve">CUS067</t>
  </si>
  <si>
    <t xml:space="preserve">LAG482CD</t>
  </si>
  <si>
    <t xml:space="preserve">CUS068</t>
  </si>
  <si>
    <t xml:space="preserve">KAN523GH</t>
  </si>
  <si>
    <t xml:space="preserve">13/12/2025</t>
  </si>
  <si>
    <t xml:space="preserve">14/01/2025</t>
  </si>
  <si>
    <t xml:space="preserve">CUS069</t>
  </si>
  <si>
    <t xml:space="preserve">LAG369GH</t>
  </si>
  <si>
    <t xml:space="preserve">CUS070</t>
  </si>
  <si>
    <t xml:space="preserve">ABJ735GH</t>
  </si>
  <si>
    <t xml:space="preserve">CUS071</t>
  </si>
  <si>
    <t xml:space="preserve">ABJ858CD</t>
  </si>
  <si>
    <t xml:space="preserve">CUS072</t>
  </si>
  <si>
    <t xml:space="preserve">KAN940GH</t>
  </si>
  <si>
    <t xml:space="preserve">26/08/2025</t>
  </si>
  <si>
    <t xml:space="preserve">CUS073</t>
  </si>
  <si>
    <t xml:space="preserve">ABJ258CD</t>
  </si>
  <si>
    <t xml:space="preserve">18/01/2025</t>
  </si>
  <si>
    <t xml:space="preserve">CUS074</t>
  </si>
  <si>
    <t xml:space="preserve">LAG484CD</t>
  </si>
  <si>
    <t xml:space="preserve">CUS075</t>
  </si>
  <si>
    <t xml:space="preserve">KAN508CD</t>
  </si>
  <si>
    <t xml:space="preserve">CUS076</t>
  </si>
  <si>
    <t xml:space="preserve">ABJ497EF</t>
  </si>
  <si>
    <t xml:space="preserve">CUS077</t>
  </si>
  <si>
    <t xml:space="preserve">KAN195EF</t>
  </si>
  <si>
    <t xml:space="preserve">29/12/2025</t>
  </si>
  <si>
    <t xml:space="preserve">CUS078</t>
  </si>
  <si>
    <t xml:space="preserve">LAG579GH</t>
  </si>
  <si>
    <t xml:space="preserve">14/06/2025</t>
  </si>
  <si>
    <t xml:space="preserve">CUS079</t>
  </si>
  <si>
    <t xml:space="preserve">KAN937EF</t>
  </si>
  <si>
    <t xml:space="preserve">CUS080</t>
  </si>
  <si>
    <t xml:space="preserve">ABJ187CD</t>
  </si>
  <si>
    <t xml:space="preserve">25/04/2025</t>
  </si>
  <si>
    <t xml:space="preserve">CUS081</t>
  </si>
  <si>
    <t xml:space="preserve">KAN210EF</t>
  </si>
  <si>
    <t xml:space="preserve">15/07/2025</t>
  </si>
  <si>
    <t xml:space="preserve">CUS082</t>
  </si>
  <si>
    <t xml:space="preserve">LAG304EF</t>
  </si>
  <si>
    <t xml:space="preserve">CUS083</t>
  </si>
  <si>
    <t xml:space="preserve">LAG166EF</t>
  </si>
  <si>
    <t xml:space="preserve">18/05/2025</t>
  </si>
  <si>
    <t xml:space="preserve">CUS084</t>
  </si>
  <si>
    <t xml:space="preserve">LAG718EF</t>
  </si>
  <si>
    <t xml:space="preserve">CUS085</t>
  </si>
  <si>
    <t xml:space="preserve">ABJ819GH</t>
  </si>
  <si>
    <t xml:space="preserve">CUS086</t>
  </si>
  <si>
    <t xml:space="preserve">LAG217EF</t>
  </si>
  <si>
    <t xml:space="preserve">23/08/2025</t>
  </si>
  <si>
    <t xml:space="preserve">CUS087</t>
  </si>
  <si>
    <t xml:space="preserve">LAG139GH</t>
  </si>
  <si>
    <t xml:space="preserve">CUS088</t>
  </si>
  <si>
    <t xml:space="preserve">ABJ581CD</t>
  </si>
  <si>
    <t xml:space="preserve">CUS089</t>
  </si>
  <si>
    <t xml:space="preserve">KAN318EF</t>
  </si>
  <si>
    <t xml:space="preserve">CUS090</t>
  </si>
  <si>
    <t xml:space="preserve">KAN132GH</t>
  </si>
  <si>
    <t xml:space="preserve">CUS091</t>
  </si>
  <si>
    <t xml:space="preserve">LAG163EF</t>
  </si>
  <si>
    <t xml:space="preserve">24/01/2025</t>
  </si>
  <si>
    <t xml:space="preserve">CUS092</t>
  </si>
  <si>
    <t xml:space="preserve">LAG584CD</t>
  </si>
  <si>
    <t xml:space="preserve">CUS093</t>
  </si>
  <si>
    <t xml:space="preserve">ABJ316CD</t>
  </si>
  <si>
    <t xml:space="preserve">31/10/2025</t>
  </si>
  <si>
    <t xml:space="preserve">CUS094</t>
  </si>
  <si>
    <t xml:space="preserve">KAN533EF</t>
  </si>
  <si>
    <t xml:space="preserve">CUS095</t>
  </si>
  <si>
    <t xml:space="preserve">LAG750CD</t>
  </si>
  <si>
    <t xml:space="preserve">CUS096</t>
  </si>
  <si>
    <t xml:space="preserve">ABJ245CD</t>
  </si>
  <si>
    <t xml:space="preserve">CUS097</t>
  </si>
  <si>
    <t xml:space="preserve">LAG514CD</t>
  </si>
  <si>
    <t xml:space="preserve">CUS098</t>
  </si>
  <si>
    <t xml:space="preserve">LAG994GH</t>
  </si>
  <si>
    <t xml:space="preserve">13/05/2025</t>
  </si>
  <si>
    <t xml:space="preserve">CUS099</t>
  </si>
  <si>
    <t xml:space="preserve">LAG992EF</t>
  </si>
  <si>
    <t xml:space="preserve">CUS100</t>
  </si>
  <si>
    <t xml:space="preserve">KAN319GH</t>
  </si>
  <si>
    <t xml:space="preserve">CUS101</t>
  </si>
  <si>
    <t xml:space="preserve">LAG288CD</t>
  </si>
  <si>
    <t xml:space="preserve">CUS102</t>
  </si>
  <si>
    <t xml:space="preserve">ABJ538EF</t>
  </si>
  <si>
    <t xml:space="preserve">CUS103</t>
  </si>
  <si>
    <t xml:space="preserve">LAG268CD</t>
  </si>
  <si>
    <t xml:space="preserve">CUS104</t>
  </si>
  <si>
    <t xml:space="preserve">LAG529EF</t>
  </si>
  <si>
    <t xml:space="preserve">CUS105</t>
  </si>
  <si>
    <t xml:space="preserve">LAG648GH</t>
  </si>
  <si>
    <t xml:space="preserve">CUS106</t>
  </si>
  <si>
    <t xml:space="preserve">ABJ813EF</t>
  </si>
  <si>
    <t xml:space="preserve">CUS107</t>
  </si>
  <si>
    <t xml:space="preserve">LAG809GH</t>
  </si>
  <si>
    <t xml:space="preserve">CUS108</t>
  </si>
  <si>
    <t xml:space="preserve">LAG942CD</t>
  </si>
  <si>
    <t xml:space="preserve">26/11/2025</t>
  </si>
  <si>
    <t xml:space="preserve">CUS109</t>
  </si>
  <si>
    <t xml:space="preserve">KAN901GH</t>
  </si>
  <si>
    <t xml:space="preserve">CUS110</t>
  </si>
  <si>
    <t xml:space="preserve">ABJ179GH</t>
  </si>
  <si>
    <t xml:space="preserve">CUS111</t>
  </si>
  <si>
    <t xml:space="preserve">KAN692GH</t>
  </si>
  <si>
    <t xml:space="preserve">26/06/2025</t>
  </si>
  <si>
    <t xml:space="preserve">28/02/2025</t>
  </si>
  <si>
    <t xml:space="preserve">CUS112</t>
  </si>
  <si>
    <t xml:space="preserve">ABJ431GH</t>
  </si>
  <si>
    <t xml:space="preserve">CUS113</t>
  </si>
  <si>
    <t xml:space="preserve">KAN860GH</t>
  </si>
  <si>
    <t xml:space="preserve">29/08/2025</t>
  </si>
  <si>
    <t xml:space="preserve">CUS114</t>
  </si>
  <si>
    <t xml:space="preserve">KAN424CD</t>
  </si>
  <si>
    <t xml:space="preserve">21/12/2025</t>
  </si>
  <si>
    <t xml:space="preserve">CUS115</t>
  </si>
  <si>
    <t xml:space="preserve">ABJ569CD</t>
  </si>
  <si>
    <t xml:space="preserve">CUS116</t>
  </si>
  <si>
    <t xml:space="preserve">LAG985EF</t>
  </si>
  <si>
    <t xml:space="preserve">CUS117</t>
  </si>
  <si>
    <t xml:space="preserve">ABJ911GH</t>
  </si>
  <si>
    <t xml:space="preserve">20/09/2025</t>
  </si>
  <si>
    <t xml:space="preserve">CUS118</t>
  </si>
  <si>
    <t xml:space="preserve">16/02/2025</t>
  </si>
  <si>
    <t xml:space="preserve">CUS119</t>
  </si>
  <si>
    <t xml:space="preserve">KAN103EF</t>
  </si>
  <si>
    <t xml:space="preserve">CUS120</t>
  </si>
  <si>
    <t xml:space="preserve">ABJ749EF</t>
  </si>
  <si>
    <t xml:space="preserve">22/01/2025</t>
  </si>
  <si>
    <t xml:space="preserve">CUS121</t>
  </si>
  <si>
    <t xml:space="preserve">KAN692CD</t>
  </si>
  <si>
    <t xml:space="preserve">CUS122</t>
  </si>
  <si>
    <t xml:space="preserve">ABJ323GH</t>
  </si>
  <si>
    <t xml:space="preserve">CUS123</t>
  </si>
  <si>
    <t xml:space="preserve">ABJ530GH</t>
  </si>
  <si>
    <t xml:space="preserve">CUS124</t>
  </si>
  <si>
    <t xml:space="preserve">KAN892CD</t>
  </si>
  <si>
    <t xml:space="preserve">25/07/2025</t>
  </si>
  <si>
    <t xml:space="preserve">CUS125</t>
  </si>
  <si>
    <t xml:space="preserve">CUS126</t>
  </si>
  <si>
    <t xml:space="preserve">LAG314CD</t>
  </si>
  <si>
    <t xml:space="preserve">30/11/2025</t>
  </si>
  <si>
    <t xml:space="preserve">CUS127</t>
  </si>
  <si>
    <t xml:space="preserve">KAN690CD</t>
  </si>
  <si>
    <t xml:space="preserve">CUS128</t>
  </si>
  <si>
    <t xml:space="preserve">LAG933EF</t>
  </si>
  <si>
    <t xml:space="preserve">CUS129</t>
  </si>
  <si>
    <t xml:space="preserve">ABJ409EF</t>
  </si>
  <si>
    <t xml:space="preserve">25/01/2025</t>
  </si>
  <si>
    <t xml:space="preserve">CUS130</t>
  </si>
  <si>
    <t xml:space="preserve">KAN938CD</t>
  </si>
  <si>
    <t xml:space="preserve">CUS131</t>
  </si>
  <si>
    <t xml:space="preserve">KAN611GH</t>
  </si>
  <si>
    <t xml:space="preserve">31/01/2025</t>
  </si>
  <si>
    <t xml:space="preserve">CUS132</t>
  </si>
  <si>
    <t xml:space="preserve">LAG523EF</t>
  </si>
  <si>
    <t xml:space="preserve">CUS133</t>
  </si>
  <si>
    <t xml:space="preserve">LAG460GH</t>
  </si>
  <si>
    <t xml:space="preserve">14/05/2025</t>
  </si>
  <si>
    <t xml:space="preserve">CUS134</t>
  </si>
  <si>
    <t xml:space="preserve">LAG635EF</t>
  </si>
  <si>
    <t xml:space="preserve">CUS135</t>
  </si>
  <si>
    <t xml:space="preserve">ABJ280EF</t>
  </si>
  <si>
    <t xml:space="preserve">CUS136</t>
  </si>
  <si>
    <t xml:space="preserve">19/07/2025</t>
  </si>
  <si>
    <t xml:space="preserve">CUS137</t>
  </si>
  <si>
    <t xml:space="preserve">KAN709CD</t>
  </si>
  <si>
    <t xml:space="preserve">CUS138</t>
  </si>
  <si>
    <t xml:space="preserve">KAN546EF</t>
  </si>
  <si>
    <t xml:space="preserve">CUS139</t>
  </si>
  <si>
    <t xml:space="preserve">LAG965GH</t>
  </si>
  <si>
    <t xml:space="preserve">CUS140</t>
  </si>
  <si>
    <t xml:space="preserve">KAN796EF</t>
  </si>
  <si>
    <t xml:space="preserve">27/10/2025</t>
  </si>
  <si>
    <t xml:space="preserve">CUS141</t>
  </si>
  <si>
    <t xml:space="preserve">KAN390GH</t>
  </si>
  <si>
    <t xml:space="preserve">18/10/2025</t>
  </si>
  <si>
    <t xml:space="preserve">CUS142</t>
  </si>
  <si>
    <t xml:space="preserve">KAN977CD</t>
  </si>
  <si>
    <t xml:space="preserve">22/03/2025</t>
  </si>
  <si>
    <t xml:space="preserve">CUS143</t>
  </si>
  <si>
    <t xml:space="preserve">ABJ925CD</t>
  </si>
  <si>
    <t xml:space="preserve">CUS144</t>
  </si>
  <si>
    <t xml:space="preserve">ABJ765CD</t>
  </si>
  <si>
    <t xml:space="preserve">CUS145</t>
  </si>
  <si>
    <t xml:space="preserve">KAN521CD</t>
  </si>
  <si>
    <t xml:space="preserve">CUS146</t>
  </si>
  <si>
    <t xml:space="preserve">LAG867GH</t>
  </si>
  <si>
    <t xml:space="preserve">CUS147</t>
  </si>
  <si>
    <t xml:space="preserve">KAN202GH</t>
  </si>
  <si>
    <t xml:space="preserve">CUS148</t>
  </si>
  <si>
    <t xml:space="preserve">LAG615GH</t>
  </si>
  <si>
    <t xml:space="preserve">24/05/2025</t>
  </si>
  <si>
    <t xml:space="preserve">CUS149</t>
  </si>
  <si>
    <t xml:space="preserve">ABJ783EF</t>
  </si>
  <si>
    <t xml:space="preserve">20/03/2025</t>
  </si>
  <si>
    <t xml:space="preserve">CUS150</t>
  </si>
  <si>
    <t xml:space="preserve">LAG316CD</t>
  </si>
  <si>
    <t xml:space="preserve">CUS151</t>
  </si>
  <si>
    <t xml:space="preserve">LAG664EF</t>
  </si>
  <si>
    <t xml:space="preserve">24/11/2025</t>
  </si>
  <si>
    <t xml:space="preserve">CUS152</t>
  </si>
  <si>
    <t xml:space="preserve">ABJ300EF</t>
  </si>
  <si>
    <t xml:space="preserve">15/09/2025</t>
  </si>
  <si>
    <t xml:space="preserve">CUS153</t>
  </si>
  <si>
    <t xml:space="preserve">ABJ459EF</t>
  </si>
  <si>
    <t xml:space="preserve">CUS154</t>
  </si>
  <si>
    <t xml:space="preserve">LAG940GH</t>
  </si>
  <si>
    <t xml:space="preserve">CUS155</t>
  </si>
  <si>
    <t xml:space="preserve">KAN903GH</t>
  </si>
  <si>
    <t xml:space="preserve">24/06/2025</t>
  </si>
  <si>
    <t xml:space="preserve">CUS156</t>
  </si>
  <si>
    <t xml:space="preserve">LAG107EF</t>
  </si>
  <si>
    <t xml:space="preserve">CUS157</t>
  </si>
  <si>
    <t xml:space="preserve">ABJ619EF</t>
  </si>
  <si>
    <t xml:space="preserve">CUS158</t>
  </si>
  <si>
    <t xml:space="preserve">LAG774EF</t>
  </si>
  <si>
    <t xml:space="preserve">CUS159</t>
  </si>
  <si>
    <t xml:space="preserve">LAG958EF</t>
  </si>
  <si>
    <t xml:space="preserve">CUS160</t>
  </si>
  <si>
    <t xml:space="preserve">KAN347CD</t>
  </si>
  <si>
    <t xml:space="preserve">13/06/2025</t>
  </si>
  <si>
    <t xml:space="preserve">CUS161</t>
  </si>
  <si>
    <t xml:space="preserve">LAG133CD</t>
  </si>
  <si>
    <t xml:space="preserve">21/02/2025</t>
  </si>
  <si>
    <t xml:space="preserve">CUS162</t>
  </si>
  <si>
    <t xml:space="preserve">ABJ257EF</t>
  </si>
  <si>
    <t xml:space="preserve">19/10/2025</t>
  </si>
  <si>
    <t xml:space="preserve">CUS163</t>
  </si>
  <si>
    <t xml:space="preserve">KAN939GH</t>
  </si>
  <si>
    <t xml:space="preserve">CUS164</t>
  </si>
  <si>
    <t xml:space="preserve">KAN425EF</t>
  </si>
  <si>
    <t xml:space="preserve">CUS165</t>
  </si>
  <si>
    <t xml:space="preserve">ABJ685EF</t>
  </si>
  <si>
    <t xml:space="preserve">CUS166</t>
  </si>
  <si>
    <t xml:space="preserve">ABJ669EF</t>
  </si>
  <si>
    <t xml:space="preserve">CUS167</t>
  </si>
  <si>
    <t xml:space="preserve">ABJ731GH</t>
  </si>
  <si>
    <t xml:space="preserve">CUS168</t>
  </si>
  <si>
    <t xml:space="preserve">LAG948CD</t>
  </si>
  <si>
    <t xml:space="preserve">CUS169</t>
  </si>
  <si>
    <t xml:space="preserve">KAN539CD</t>
  </si>
  <si>
    <t xml:space="preserve">18/12/2025</t>
  </si>
  <si>
    <t xml:space="preserve">30/05/2025</t>
  </si>
  <si>
    <t xml:space="preserve">CUS170</t>
  </si>
  <si>
    <t xml:space="preserve">KAN499GH</t>
  </si>
  <si>
    <t xml:space="preserve">23/10/2025</t>
  </si>
  <si>
    <t xml:space="preserve">CUS171</t>
  </si>
  <si>
    <t xml:space="preserve">ABJ512EF</t>
  </si>
  <si>
    <t xml:space="preserve">20/10/2025</t>
  </si>
  <si>
    <t xml:space="preserve">CUS172</t>
  </si>
  <si>
    <t xml:space="preserve">KAN262EF</t>
  </si>
  <si>
    <t xml:space="preserve">15/08/2025</t>
  </si>
  <si>
    <t xml:space="preserve">CUS173</t>
  </si>
  <si>
    <t xml:space="preserve">ABJ201GH</t>
  </si>
  <si>
    <t xml:space="preserve">CUS174</t>
  </si>
  <si>
    <t xml:space="preserve">ABJ616CD</t>
  </si>
  <si>
    <t xml:space="preserve">CUS175</t>
  </si>
  <si>
    <t xml:space="preserve">KAN690EF</t>
  </si>
  <si>
    <t xml:space="preserve">CUS176</t>
  </si>
  <si>
    <t xml:space="preserve">KAN366GH</t>
  </si>
  <si>
    <t xml:space="preserve">14/08/2025</t>
  </si>
  <si>
    <t xml:space="preserve">CUS177</t>
  </si>
  <si>
    <t xml:space="preserve">ABJ430CD</t>
  </si>
  <si>
    <t xml:space="preserve">CUS178</t>
  </si>
  <si>
    <t xml:space="preserve">ABJ195CD</t>
  </si>
  <si>
    <t xml:space="preserve">31/05/2025</t>
  </si>
  <si>
    <t xml:space="preserve">CUS179</t>
  </si>
  <si>
    <t xml:space="preserve">LAG111GH</t>
  </si>
  <si>
    <t xml:space="preserve">CUS180</t>
  </si>
  <si>
    <t xml:space="preserve">KAN256CD</t>
  </si>
  <si>
    <t xml:space="preserve">CUS181</t>
  </si>
  <si>
    <t xml:space="preserve">KAN824GH</t>
  </si>
  <si>
    <t xml:space="preserve">CUS182</t>
  </si>
  <si>
    <t xml:space="preserve">CUS183</t>
  </si>
  <si>
    <t xml:space="preserve">ABJ860GH</t>
  </si>
  <si>
    <t xml:space="preserve">CUS184</t>
  </si>
  <si>
    <t xml:space="preserve">ABJ564GH</t>
  </si>
  <si>
    <t xml:space="preserve">23/07/2025</t>
  </si>
  <si>
    <t xml:space="preserve">15/02/2025</t>
  </si>
  <si>
    <t xml:space="preserve">CUS185</t>
  </si>
  <si>
    <t xml:space="preserve">KAN896EF</t>
  </si>
  <si>
    <t xml:space="preserve">25/02/2025</t>
  </si>
  <si>
    <t xml:space="preserve">CUS186</t>
  </si>
  <si>
    <t xml:space="preserve">ABJ345GH</t>
  </si>
  <si>
    <t xml:space="preserve">CUS187</t>
  </si>
  <si>
    <t xml:space="preserve">ABJ404CD</t>
  </si>
  <si>
    <t xml:space="preserve">CUS188</t>
  </si>
  <si>
    <t xml:space="preserve">KAN960CD</t>
  </si>
  <si>
    <t xml:space="preserve">CUS189</t>
  </si>
  <si>
    <t xml:space="preserve">KAN898EF</t>
  </si>
  <si>
    <t xml:space="preserve">CUS190</t>
  </si>
  <si>
    <t xml:space="preserve">LAG775CD</t>
  </si>
  <si>
    <t xml:space="preserve">CUS191</t>
  </si>
  <si>
    <t xml:space="preserve">LAG184CD</t>
  </si>
  <si>
    <t xml:space="preserve">CUS192</t>
  </si>
  <si>
    <t xml:space="preserve">KAN123GH</t>
  </si>
  <si>
    <t xml:space="preserve">CUS193</t>
  </si>
  <si>
    <t xml:space="preserve">KAN987CD</t>
  </si>
  <si>
    <t xml:space="preserve">CUS194</t>
  </si>
  <si>
    <t xml:space="preserve">ABJ570GH</t>
  </si>
  <si>
    <t xml:space="preserve">CUS195</t>
  </si>
  <si>
    <t xml:space="preserve">ABJ209CD</t>
  </si>
  <si>
    <t xml:space="preserve">CUS196</t>
  </si>
  <si>
    <t xml:space="preserve">LAG368CD</t>
  </si>
  <si>
    <t xml:space="preserve">CUS197</t>
  </si>
  <si>
    <t xml:space="preserve">ABJ179EF</t>
  </si>
  <si>
    <t xml:space="preserve">CUS198</t>
  </si>
  <si>
    <t xml:space="preserve">LAG958CD</t>
  </si>
  <si>
    <t xml:space="preserve">CUS199</t>
  </si>
  <si>
    <t xml:space="preserve">LAG203EF</t>
  </si>
  <si>
    <t xml:space="preserve">CUS200</t>
  </si>
  <si>
    <t xml:space="preserve">ABJ523CD</t>
  </si>
  <si>
    <t xml:space="preserve">CUS201</t>
  </si>
  <si>
    <t xml:space="preserve">LAG740CD</t>
  </si>
  <si>
    <t xml:space="preserve">18/08/2025</t>
  </si>
  <si>
    <t xml:space="preserve">26/01/2025</t>
  </si>
  <si>
    <t xml:space="preserve">CUS202</t>
  </si>
  <si>
    <t xml:space="preserve">ABJ803EF</t>
  </si>
  <si>
    <t xml:space="preserve">CUS203</t>
  </si>
  <si>
    <t xml:space="preserve">LAG421GH</t>
  </si>
  <si>
    <t xml:space="preserve">CUS204</t>
  </si>
  <si>
    <t xml:space="preserve">LAG927CD</t>
  </si>
  <si>
    <t xml:space="preserve">CUS205</t>
  </si>
  <si>
    <t xml:space="preserve">ABJ405CD</t>
  </si>
  <si>
    <t xml:space="preserve">19/04/2025</t>
  </si>
  <si>
    <t xml:space="preserve">CUS206</t>
  </si>
  <si>
    <t xml:space="preserve">ABJ775GH</t>
  </si>
  <si>
    <t xml:space="preserve">CUS207</t>
  </si>
  <si>
    <t xml:space="preserve">CUS208</t>
  </si>
  <si>
    <t xml:space="preserve">ABJ451EF</t>
  </si>
  <si>
    <t xml:space="preserve">CUS209</t>
  </si>
  <si>
    <t xml:space="preserve">LAG728GH</t>
  </si>
  <si>
    <t xml:space="preserve">CUS210</t>
  </si>
  <si>
    <t xml:space="preserve">KAN105CD</t>
  </si>
  <si>
    <t xml:space="preserve">27/11/2025</t>
  </si>
  <si>
    <t xml:space="preserve">CUS211</t>
  </si>
  <si>
    <t xml:space="preserve">KAN859EF</t>
  </si>
  <si>
    <t xml:space="preserve">CUS212</t>
  </si>
  <si>
    <t xml:space="preserve">ABJ297GH</t>
  </si>
  <si>
    <t xml:space="preserve">CUS213</t>
  </si>
  <si>
    <t xml:space="preserve">ABJ648CD</t>
  </si>
  <si>
    <t xml:space="preserve">17/05/2025</t>
  </si>
  <si>
    <t xml:space="preserve">CUS214</t>
  </si>
  <si>
    <t xml:space="preserve">KAN624CD</t>
  </si>
  <si>
    <t xml:space="preserve">CUS215</t>
  </si>
  <si>
    <t xml:space="preserve">ABJ987EF</t>
  </si>
  <si>
    <t xml:space="preserve">CUS216</t>
  </si>
  <si>
    <t xml:space="preserve">ABJ322CD</t>
  </si>
  <si>
    <t xml:space="preserve">16/01/2025</t>
  </si>
  <si>
    <t xml:space="preserve">CUS217</t>
  </si>
  <si>
    <t xml:space="preserve">LAG241CD</t>
  </si>
  <si>
    <t xml:space="preserve">CUS218</t>
  </si>
  <si>
    <t xml:space="preserve">ABJ845GH</t>
  </si>
  <si>
    <t xml:space="preserve">CUS219</t>
  </si>
  <si>
    <t xml:space="preserve">ABJ374EF</t>
  </si>
  <si>
    <t xml:space="preserve">23/05/2025</t>
  </si>
  <si>
    <t xml:space="preserve">CUS220</t>
  </si>
  <si>
    <t xml:space="preserve">LAG304CD</t>
  </si>
  <si>
    <t xml:space="preserve">16/04/2025</t>
  </si>
  <si>
    <t xml:space="preserve">CUS221</t>
  </si>
  <si>
    <t xml:space="preserve">LAG825GH</t>
  </si>
  <si>
    <t xml:space="preserve">CUS222</t>
  </si>
  <si>
    <t xml:space="preserve">KAN401EF</t>
  </si>
  <si>
    <t xml:space="preserve">14/02/2025</t>
  </si>
  <si>
    <t xml:space="preserve">CUS223</t>
  </si>
  <si>
    <t xml:space="preserve">KAN928EF</t>
  </si>
  <si>
    <t xml:space="preserve">CUS224</t>
  </si>
  <si>
    <t xml:space="preserve">LAG624EF</t>
  </si>
  <si>
    <t xml:space="preserve">CUS225</t>
  </si>
  <si>
    <t xml:space="preserve">ABJ356CD</t>
  </si>
  <si>
    <t xml:space="preserve">CUS226</t>
  </si>
  <si>
    <t xml:space="preserve">ABJ803GH</t>
  </si>
  <si>
    <t xml:space="preserve">CUS227</t>
  </si>
  <si>
    <t xml:space="preserve">LAG502CD</t>
  </si>
  <si>
    <t xml:space="preserve">CUS228</t>
  </si>
  <si>
    <t xml:space="preserve">KAN912GH</t>
  </si>
  <si>
    <t xml:space="preserve">21/01/2025</t>
  </si>
  <si>
    <t xml:space="preserve">CUS229</t>
  </si>
  <si>
    <t xml:space="preserve">LAG269CD</t>
  </si>
  <si>
    <t xml:space="preserve">20/11/2025</t>
  </si>
  <si>
    <t xml:space="preserve">CUS230</t>
  </si>
  <si>
    <t xml:space="preserve">KAN599EF</t>
  </si>
  <si>
    <t xml:space="preserve">CUS231</t>
  </si>
  <si>
    <t xml:space="preserve">LAG533GH</t>
  </si>
  <si>
    <t xml:space="preserve">CUS232</t>
  </si>
  <si>
    <t xml:space="preserve">KAN378EF</t>
  </si>
  <si>
    <t xml:space="preserve">18/09/2025</t>
  </si>
  <si>
    <t xml:space="preserve">CUS233</t>
  </si>
  <si>
    <t xml:space="preserve">KAN210GH</t>
  </si>
  <si>
    <t xml:space="preserve">13/09/2025</t>
  </si>
  <si>
    <t xml:space="preserve">CUS234</t>
  </si>
  <si>
    <t xml:space="preserve">LAG539CD</t>
  </si>
  <si>
    <t xml:space="preserve">18/11/2025</t>
  </si>
  <si>
    <t xml:space="preserve">CUS235</t>
  </si>
  <si>
    <t xml:space="preserve">KAN461EF</t>
  </si>
  <si>
    <t xml:space="preserve">CUS236</t>
  </si>
  <si>
    <t xml:space="preserve">KAN939CD</t>
  </si>
  <si>
    <t xml:space="preserve">CUS237</t>
  </si>
  <si>
    <t xml:space="preserve">LAG271CD</t>
  </si>
  <si>
    <t xml:space="preserve">CUS238</t>
  </si>
  <si>
    <t xml:space="preserve">KAN359GH</t>
  </si>
  <si>
    <t xml:space="preserve">30/10/2025</t>
  </si>
  <si>
    <t xml:space="preserve">CUS239</t>
  </si>
  <si>
    <t xml:space="preserve">LAG400GH</t>
  </si>
  <si>
    <t xml:space="preserve">19/06/2025</t>
  </si>
  <si>
    <t xml:space="preserve">CUS240</t>
  </si>
  <si>
    <t xml:space="preserve">KAN643EF</t>
  </si>
  <si>
    <t xml:space="preserve">26/12/2025</t>
  </si>
  <si>
    <t xml:space="preserve">CUS241</t>
  </si>
  <si>
    <t xml:space="preserve">LAG130CD</t>
  </si>
  <si>
    <t xml:space="preserve">CUS242</t>
  </si>
  <si>
    <t xml:space="preserve">ABJ928EF</t>
  </si>
  <si>
    <t xml:space="preserve">CUS243</t>
  </si>
  <si>
    <t xml:space="preserve">LAG909CD</t>
  </si>
  <si>
    <t xml:space="preserve">30/04/2025</t>
  </si>
  <si>
    <t xml:space="preserve">CUS244</t>
  </si>
  <si>
    <t xml:space="preserve">LAG351CD</t>
  </si>
  <si>
    <t xml:space="preserve">CUS245</t>
  </si>
  <si>
    <t xml:space="preserve">ABJ772EF</t>
  </si>
  <si>
    <t xml:space="preserve">CUS246</t>
  </si>
  <si>
    <t xml:space="preserve">LAG248EF</t>
  </si>
  <si>
    <t xml:space="preserve">14/10/2025</t>
  </si>
  <si>
    <t xml:space="preserve">CUS247</t>
  </si>
  <si>
    <t xml:space="preserve">ABJ109EF</t>
  </si>
  <si>
    <t xml:space="preserve">CUS248</t>
  </si>
  <si>
    <t xml:space="preserve">KAN111GH</t>
  </si>
  <si>
    <t xml:space="preserve">21/03/2025</t>
  </si>
  <si>
    <t xml:space="preserve">CUS249</t>
  </si>
  <si>
    <t xml:space="preserve">LAG318EF</t>
  </si>
  <si>
    <t xml:space="preserve">CUS250</t>
  </si>
  <si>
    <t xml:space="preserve">KAN914EF</t>
  </si>
  <si>
    <t xml:space="preserve">CUS251</t>
  </si>
  <si>
    <t xml:space="preserve">ABJ675CD</t>
  </si>
  <si>
    <t xml:space="preserve">CUS252</t>
  </si>
  <si>
    <t xml:space="preserve">LAG390GH</t>
  </si>
  <si>
    <t xml:space="preserve">CUS253</t>
  </si>
  <si>
    <t xml:space="preserve">ABJ639CD</t>
  </si>
  <si>
    <t xml:space="preserve">CUS254</t>
  </si>
  <si>
    <t xml:space="preserve">ABJ674EF</t>
  </si>
  <si>
    <t xml:space="preserve">CUS255</t>
  </si>
  <si>
    <t xml:space="preserve">KAN722GH</t>
  </si>
  <si>
    <t xml:space="preserve">16/08/2025</t>
  </si>
  <si>
    <t xml:space="preserve">CUS256</t>
  </si>
  <si>
    <t xml:space="preserve">ABJ687GH</t>
  </si>
  <si>
    <t xml:space="preserve">CUS257</t>
  </si>
  <si>
    <t xml:space="preserve">LAG798EF</t>
  </si>
  <si>
    <t xml:space="preserve">CUS258</t>
  </si>
  <si>
    <t xml:space="preserve">LAG932EF</t>
  </si>
  <si>
    <t xml:space="preserve">CUS259</t>
  </si>
  <si>
    <t xml:space="preserve">ABJ301CD</t>
  </si>
  <si>
    <t xml:space="preserve">CUS260</t>
  </si>
  <si>
    <t xml:space="preserve">LAG610CD</t>
  </si>
  <si>
    <t xml:space="preserve">CUS261</t>
  </si>
  <si>
    <t xml:space="preserve">LAG531CD</t>
  </si>
  <si>
    <t xml:space="preserve">CUS262</t>
  </si>
  <si>
    <t xml:space="preserve">ABJ563CD</t>
  </si>
  <si>
    <t xml:space="preserve">CUS263</t>
  </si>
  <si>
    <t xml:space="preserve">KAN434GH</t>
  </si>
  <si>
    <t xml:space="preserve">CUS264</t>
  </si>
  <si>
    <t xml:space="preserve">LAG342GH</t>
  </si>
  <si>
    <t xml:space="preserve">26/07/2025</t>
  </si>
  <si>
    <t xml:space="preserve">CUS265</t>
  </si>
  <si>
    <t xml:space="preserve">ABJ391CD</t>
  </si>
  <si>
    <t xml:space="preserve">31/08/2025</t>
  </si>
  <si>
    <t xml:space="preserve">CUS266</t>
  </si>
  <si>
    <t xml:space="preserve">KAN902GH</t>
  </si>
  <si>
    <t xml:space="preserve">CUS267</t>
  </si>
  <si>
    <t xml:space="preserve">ABJ572EF</t>
  </si>
  <si>
    <t xml:space="preserve">CUS268</t>
  </si>
  <si>
    <t xml:space="preserve">ABJ961EF</t>
  </si>
  <si>
    <t xml:space="preserve">13/08/2025</t>
  </si>
  <si>
    <t xml:space="preserve">CUS269</t>
  </si>
  <si>
    <t xml:space="preserve">ABJ646GH</t>
  </si>
  <si>
    <t xml:space="preserve">CUS270</t>
  </si>
  <si>
    <t xml:space="preserve">ABJ445GH</t>
  </si>
  <si>
    <t xml:space="preserve">CUS271</t>
  </si>
  <si>
    <t xml:space="preserve">ABJ171EF</t>
  </si>
  <si>
    <t xml:space="preserve">18/04/2025</t>
  </si>
  <si>
    <t xml:space="preserve">CUS272</t>
  </si>
  <si>
    <t xml:space="preserve">ABJ949EF</t>
  </si>
  <si>
    <t xml:space="preserve">29/04/2025</t>
  </si>
  <si>
    <t xml:space="preserve">CUS273</t>
  </si>
  <si>
    <t xml:space="preserve">KAN408EF</t>
  </si>
  <si>
    <t xml:space="preserve">CUS274</t>
  </si>
  <si>
    <t xml:space="preserve">LAG871EF</t>
  </si>
  <si>
    <t xml:space="preserve">19/01/2025</t>
  </si>
  <si>
    <t xml:space="preserve">CUS275</t>
  </si>
  <si>
    <t xml:space="preserve">LAG181GH</t>
  </si>
  <si>
    <t xml:space="preserve">19/02/2025</t>
  </si>
  <si>
    <t xml:space="preserve">CUS276</t>
  </si>
  <si>
    <t xml:space="preserve">LAG605GH</t>
  </si>
  <si>
    <t xml:space="preserve">21/09/2025</t>
  </si>
  <si>
    <t xml:space="preserve">CUS277</t>
  </si>
  <si>
    <t xml:space="preserve">ABJ502EF</t>
  </si>
  <si>
    <t xml:space="preserve">21/11/2025</t>
  </si>
  <si>
    <t xml:space="preserve">CUS278</t>
  </si>
  <si>
    <t xml:space="preserve">KAN565EF</t>
  </si>
  <si>
    <t xml:space="preserve">CUS279</t>
  </si>
  <si>
    <t xml:space="preserve">KAN224EF</t>
  </si>
  <si>
    <t xml:space="preserve">CUS280</t>
  </si>
  <si>
    <t xml:space="preserve">KAN205CD</t>
  </si>
  <si>
    <t xml:space="preserve">CUS281</t>
  </si>
  <si>
    <t xml:space="preserve">ABJ148CD</t>
  </si>
  <si>
    <t xml:space="preserve">CUS282</t>
  </si>
  <si>
    <t xml:space="preserve">ABJ207EF</t>
  </si>
  <si>
    <t xml:space="preserve">28/06/2025</t>
  </si>
  <si>
    <t xml:space="preserve">CUS283</t>
  </si>
  <si>
    <t xml:space="preserve">KAN841EF</t>
  </si>
  <si>
    <t xml:space="preserve">30/12/2025</t>
  </si>
  <si>
    <t xml:space="preserve">CUS284</t>
  </si>
  <si>
    <t xml:space="preserve">ABJ274CD</t>
  </si>
  <si>
    <t xml:space="preserve">CUS285</t>
  </si>
  <si>
    <t xml:space="preserve">ABJ841EF</t>
  </si>
  <si>
    <t xml:space="preserve">CUS286</t>
  </si>
  <si>
    <t xml:space="preserve">KAN105GH</t>
  </si>
  <si>
    <t xml:space="preserve">CUS287</t>
  </si>
  <si>
    <t xml:space="preserve">ABJ365CD</t>
  </si>
  <si>
    <t xml:space="preserve">CUS288</t>
  </si>
  <si>
    <t xml:space="preserve">ABJ149EF</t>
  </si>
  <si>
    <t xml:space="preserve">CUS289</t>
  </si>
  <si>
    <t xml:space="preserve">ABJ370EF</t>
  </si>
  <si>
    <t xml:space="preserve">CUS290</t>
  </si>
  <si>
    <t xml:space="preserve">KAN727EF</t>
  </si>
  <si>
    <t xml:space="preserve">CUS291</t>
  </si>
  <si>
    <t xml:space="preserve">LAG815CD</t>
  </si>
  <si>
    <t xml:space="preserve">CUS292</t>
  </si>
  <si>
    <t xml:space="preserve">ABJ697EF</t>
  </si>
  <si>
    <t xml:space="preserve">17/11/2025</t>
  </si>
  <si>
    <t xml:space="preserve">CUS293</t>
  </si>
  <si>
    <t xml:space="preserve">ABJ229EF</t>
  </si>
  <si>
    <t xml:space="preserve">CUS294</t>
  </si>
  <si>
    <t xml:space="preserve">ABJ871GH</t>
  </si>
  <si>
    <t xml:space="preserve">CUS295</t>
  </si>
  <si>
    <t xml:space="preserve">LAG752EF</t>
  </si>
  <si>
    <t xml:space="preserve">CUS296</t>
  </si>
  <si>
    <t xml:space="preserve">KAN225GH</t>
  </si>
  <si>
    <t xml:space="preserve">CUS297</t>
  </si>
  <si>
    <t xml:space="preserve">KAN346GH</t>
  </si>
  <si>
    <t xml:space="preserve">CUS298</t>
  </si>
  <si>
    <t xml:space="preserve">LAG777EF</t>
  </si>
  <si>
    <t xml:space="preserve">CUS299</t>
  </si>
  <si>
    <t xml:space="preserve">LAG429GH</t>
  </si>
  <si>
    <t xml:space="preserve">25/10/2025</t>
  </si>
  <si>
    <t xml:space="preserve">CUS300</t>
  </si>
  <si>
    <t xml:space="preserve">LAG331CD</t>
  </si>
  <si>
    <t xml:space="preserve">CUS301</t>
  </si>
  <si>
    <t xml:space="preserve">LAG884EF</t>
  </si>
  <si>
    <t xml:space="preserve">CUS302</t>
  </si>
  <si>
    <t xml:space="preserve">KAN184EF</t>
  </si>
  <si>
    <t xml:space="preserve">14/07/2025</t>
  </si>
  <si>
    <t xml:space="preserve">CUS303</t>
  </si>
  <si>
    <t xml:space="preserve">KAN955CD</t>
  </si>
  <si>
    <t xml:space="preserve">CUS304</t>
  </si>
  <si>
    <t xml:space="preserve">KAN762GH</t>
  </si>
  <si>
    <t xml:space="preserve">CUS305</t>
  </si>
  <si>
    <t xml:space="preserve">ABJ811CD</t>
  </si>
  <si>
    <t xml:space="preserve">CUS306</t>
  </si>
  <si>
    <t xml:space="preserve">ABJ606CD</t>
  </si>
  <si>
    <t xml:space="preserve">17/01/2025</t>
  </si>
  <si>
    <t xml:space="preserve">CUS307</t>
  </si>
  <si>
    <t xml:space="preserve">ABJ113GH</t>
  </si>
  <si>
    <t xml:space="preserve">CUS308</t>
  </si>
  <si>
    <t xml:space="preserve">ABJ579EF</t>
  </si>
  <si>
    <t xml:space="preserve">CUS309</t>
  </si>
  <si>
    <t xml:space="preserve">ABJ599CD</t>
  </si>
  <si>
    <t xml:space="preserve">CUS310</t>
  </si>
  <si>
    <t xml:space="preserve">LAG313GH</t>
  </si>
  <si>
    <t xml:space="preserve">CUS311</t>
  </si>
  <si>
    <t xml:space="preserve">KAN626EF</t>
  </si>
  <si>
    <t xml:space="preserve">28/11/2025</t>
  </si>
  <si>
    <t xml:space="preserve">CUS312</t>
  </si>
  <si>
    <t xml:space="preserve">LAG825EF</t>
  </si>
  <si>
    <t xml:space="preserve">CUS313</t>
  </si>
  <si>
    <t xml:space="preserve">KAN257GH</t>
  </si>
  <si>
    <t xml:space="preserve">CUS314</t>
  </si>
  <si>
    <t xml:space="preserve">ABJ233CD</t>
  </si>
  <si>
    <t xml:space="preserve">CUS315</t>
  </si>
  <si>
    <t xml:space="preserve">LAG494EF</t>
  </si>
  <si>
    <t xml:space="preserve">CUS316</t>
  </si>
  <si>
    <t xml:space="preserve">KAN625CD</t>
  </si>
  <si>
    <t xml:space="preserve">24/10/2025</t>
  </si>
  <si>
    <t xml:space="preserve">CUS317</t>
  </si>
  <si>
    <t xml:space="preserve">LAG292CD</t>
  </si>
  <si>
    <t xml:space="preserve">CUS318</t>
  </si>
  <si>
    <t xml:space="preserve">LAG533CD</t>
  </si>
  <si>
    <t xml:space="preserve">CUS319</t>
  </si>
  <si>
    <t xml:space="preserve">KAN414GH</t>
  </si>
  <si>
    <t xml:space="preserve">CUS320</t>
  </si>
  <si>
    <t xml:space="preserve">KAN204CD</t>
  </si>
  <si>
    <t xml:space="preserve">CUS321</t>
  </si>
  <si>
    <t xml:space="preserve">LAG997CD</t>
  </si>
  <si>
    <t xml:space="preserve">CUS322</t>
  </si>
  <si>
    <t xml:space="preserve">KAN212CD</t>
  </si>
  <si>
    <t xml:space="preserve">CUS323</t>
  </si>
  <si>
    <t xml:space="preserve">ABJ571CD</t>
  </si>
  <si>
    <t xml:space="preserve">CUS324</t>
  </si>
  <si>
    <t xml:space="preserve">LAG129EF</t>
  </si>
  <si>
    <t xml:space="preserve">CUS325</t>
  </si>
  <si>
    <t xml:space="preserve">CUS326</t>
  </si>
  <si>
    <t xml:space="preserve">LAG371CD</t>
  </si>
  <si>
    <t xml:space="preserve">CUS327</t>
  </si>
  <si>
    <t xml:space="preserve">KAN186EF</t>
  </si>
  <si>
    <t xml:space="preserve">CUS328</t>
  </si>
  <si>
    <t xml:space="preserve">LAG317CD</t>
  </si>
  <si>
    <t xml:space="preserve">26/10/2025</t>
  </si>
  <si>
    <t xml:space="preserve">CUS329</t>
  </si>
  <si>
    <t xml:space="preserve">LAG614EF</t>
  </si>
  <si>
    <t xml:space="preserve">13/04/2025</t>
  </si>
  <si>
    <t xml:space="preserve">CUS330</t>
  </si>
  <si>
    <t xml:space="preserve">KAN441CD</t>
  </si>
  <si>
    <t xml:space="preserve">CUS331</t>
  </si>
  <si>
    <t xml:space="preserve">LAG379EF</t>
  </si>
  <si>
    <t xml:space="preserve">CUS332</t>
  </si>
  <si>
    <t xml:space="preserve">ABJ150GH</t>
  </si>
  <si>
    <t xml:space="preserve">CUS333</t>
  </si>
  <si>
    <t xml:space="preserve">LAG849EF</t>
  </si>
  <si>
    <t xml:space="preserve">CUS334</t>
  </si>
  <si>
    <t xml:space="preserve">ABJ401CD</t>
  </si>
  <si>
    <t xml:space="preserve">CUS335</t>
  </si>
  <si>
    <t xml:space="preserve">LAG280GH</t>
  </si>
  <si>
    <t xml:space="preserve">CUS336</t>
  </si>
  <si>
    <t xml:space="preserve">LAG642GH</t>
  </si>
  <si>
    <t xml:space="preserve">CUS337</t>
  </si>
  <si>
    <t xml:space="preserve">LAG631EF</t>
  </si>
  <si>
    <t xml:space="preserve">CUS338</t>
  </si>
  <si>
    <t xml:space="preserve">ABJ797CD</t>
  </si>
  <si>
    <t xml:space="preserve">CUS339</t>
  </si>
  <si>
    <t xml:space="preserve">KAN354CD</t>
  </si>
  <si>
    <t xml:space="preserve">CUS340</t>
  </si>
  <si>
    <t xml:space="preserve">ABJ217CD</t>
  </si>
  <si>
    <t xml:space="preserve">CUS341</t>
  </si>
  <si>
    <t xml:space="preserve">ABJ689EF</t>
  </si>
  <si>
    <t xml:space="preserve">CUS342</t>
  </si>
  <si>
    <t xml:space="preserve">ABJ167GH</t>
  </si>
  <si>
    <t xml:space="preserve">CUS343</t>
  </si>
  <si>
    <t xml:space="preserve">ABJ382CD</t>
  </si>
  <si>
    <t xml:space="preserve">CUS344</t>
  </si>
  <si>
    <t xml:space="preserve">KAN816GH</t>
  </si>
  <si>
    <t xml:space="preserve">CUS345</t>
  </si>
  <si>
    <t xml:space="preserve">LAG501EF</t>
  </si>
  <si>
    <t xml:space="preserve">CUS346</t>
  </si>
  <si>
    <t xml:space="preserve">ABJ325GH</t>
  </si>
  <si>
    <t xml:space="preserve">20/01/2025</t>
  </si>
  <si>
    <t xml:space="preserve">CUS347</t>
  </si>
  <si>
    <t xml:space="preserve">KAN374EF</t>
  </si>
  <si>
    <t xml:space="preserve">CUS348</t>
  </si>
  <si>
    <t xml:space="preserve">ABJ275CD</t>
  </si>
  <si>
    <t xml:space="preserve">CUS349</t>
  </si>
  <si>
    <t xml:space="preserve">20/12/2025</t>
  </si>
  <si>
    <t xml:space="preserve">CUS350</t>
  </si>
  <si>
    <t xml:space="preserve">KAN710EF</t>
  </si>
  <si>
    <t xml:space="preserve">29/07/2025</t>
  </si>
  <si>
    <t xml:space="preserve">31/03/2025</t>
  </si>
  <si>
    <t xml:space="preserve">CUS351</t>
  </si>
  <si>
    <t xml:space="preserve">KAN103CD</t>
  </si>
  <si>
    <t xml:space="preserve">CUS352</t>
  </si>
  <si>
    <t xml:space="preserve">ABJ615GH</t>
  </si>
  <si>
    <t xml:space="preserve">CUS353</t>
  </si>
  <si>
    <t xml:space="preserve">KAN588GH</t>
  </si>
  <si>
    <t xml:space="preserve">20/07/2025</t>
  </si>
  <si>
    <t xml:space="preserve">15/05/2025</t>
  </si>
  <si>
    <t xml:space="preserve">CUS354</t>
  </si>
  <si>
    <t xml:space="preserve">LAG973GH</t>
  </si>
  <si>
    <t xml:space="preserve">25/12/2025</t>
  </si>
  <si>
    <t xml:space="preserve">25/05/2025</t>
  </si>
  <si>
    <t xml:space="preserve">CUS355</t>
  </si>
  <si>
    <t xml:space="preserve">ABJ274EF</t>
  </si>
  <si>
    <t xml:space="preserve">CUS356</t>
  </si>
  <si>
    <t xml:space="preserve">KAN171CD</t>
  </si>
  <si>
    <t xml:space="preserve">CUS357</t>
  </si>
  <si>
    <t xml:space="preserve">ABJ440EF</t>
  </si>
  <si>
    <t xml:space="preserve">CUS358</t>
  </si>
  <si>
    <t xml:space="preserve">CUS359</t>
  </si>
  <si>
    <t xml:space="preserve">LAG538EF</t>
  </si>
  <si>
    <t xml:space="preserve">CUS360</t>
  </si>
  <si>
    <t xml:space="preserve">ABJ281EF</t>
  </si>
  <si>
    <t xml:space="preserve">CUS361</t>
  </si>
  <si>
    <t xml:space="preserve">ABJ274GH</t>
  </si>
  <si>
    <t xml:space="preserve">CUS362</t>
  </si>
  <si>
    <t xml:space="preserve">ABJ708EF</t>
  </si>
  <si>
    <t xml:space="preserve">CUS363</t>
  </si>
  <si>
    <t xml:space="preserve">LAG697CD</t>
  </si>
  <si>
    <t xml:space="preserve">CUS364</t>
  </si>
  <si>
    <t xml:space="preserve">LAG994CD</t>
  </si>
  <si>
    <t xml:space="preserve">CUS365</t>
  </si>
  <si>
    <t xml:space="preserve">LAG212CD</t>
  </si>
  <si>
    <t xml:space="preserve">CUS366</t>
  </si>
  <si>
    <t xml:space="preserve">CUS367</t>
  </si>
  <si>
    <t xml:space="preserve">LAG955CD</t>
  </si>
  <si>
    <t xml:space="preserve">CUS368</t>
  </si>
  <si>
    <t xml:space="preserve">KAN615CD</t>
  </si>
  <si>
    <t xml:space="preserve">CUS369</t>
  </si>
  <si>
    <t xml:space="preserve">ABJ893CD</t>
  </si>
  <si>
    <t xml:space="preserve">CUS370</t>
  </si>
  <si>
    <t xml:space="preserve">ABJ411GH</t>
  </si>
  <si>
    <t xml:space="preserve">CUS371</t>
  </si>
  <si>
    <t xml:space="preserve">LAG563EF</t>
  </si>
  <si>
    <t xml:space="preserve">CUS372</t>
  </si>
  <si>
    <t xml:space="preserve">KAN459GH</t>
  </si>
  <si>
    <t xml:space="preserve">CUS373</t>
  </si>
  <si>
    <t xml:space="preserve">LAG779EF</t>
  </si>
  <si>
    <t xml:space="preserve">CUS374</t>
  </si>
  <si>
    <t xml:space="preserve">LAG473EF</t>
  </si>
  <si>
    <t xml:space="preserve">22/07/2025</t>
  </si>
  <si>
    <t xml:space="preserve">CUS375</t>
  </si>
  <si>
    <t xml:space="preserve">ABJ947EF</t>
  </si>
  <si>
    <t xml:space="preserve">CUS376</t>
  </si>
  <si>
    <t xml:space="preserve">LAG827EF</t>
  </si>
  <si>
    <t xml:space="preserve">31/07/2025</t>
  </si>
  <si>
    <t xml:space="preserve">CUS377</t>
  </si>
  <si>
    <t xml:space="preserve">KAN893GH</t>
  </si>
  <si>
    <t xml:space="preserve">CUS378</t>
  </si>
  <si>
    <t xml:space="preserve">KAN595CD</t>
  </si>
  <si>
    <t xml:space="preserve">CUS379</t>
  </si>
  <si>
    <t xml:space="preserve">LAG802GH</t>
  </si>
  <si>
    <t xml:space="preserve">CUS380</t>
  </si>
  <si>
    <t xml:space="preserve">KAN755CD</t>
  </si>
  <si>
    <t xml:space="preserve">CUS381</t>
  </si>
  <si>
    <t xml:space="preserve">ABJ520CD</t>
  </si>
  <si>
    <t xml:space="preserve">CUS382</t>
  </si>
  <si>
    <t xml:space="preserve">KAN245EF</t>
  </si>
  <si>
    <t xml:space="preserve">CUS383</t>
  </si>
  <si>
    <t xml:space="preserve">LAG131CD</t>
  </si>
  <si>
    <t xml:space="preserve">CUS384</t>
  </si>
  <si>
    <t xml:space="preserve">KAN858GH</t>
  </si>
  <si>
    <t xml:space="preserve">CUS385</t>
  </si>
  <si>
    <t xml:space="preserve">LAG468CD</t>
  </si>
  <si>
    <t xml:space="preserve">CUS386</t>
  </si>
  <si>
    <t xml:space="preserve">KAN191CD</t>
  </si>
  <si>
    <t xml:space="preserve">CUS387</t>
  </si>
  <si>
    <t xml:space="preserve">LAG754CD</t>
  </si>
  <si>
    <t xml:space="preserve">CUS388</t>
  </si>
  <si>
    <t xml:space="preserve">LAG998GH</t>
  </si>
  <si>
    <t xml:space="preserve">CUS389</t>
  </si>
  <si>
    <t xml:space="preserve">KAN657EF</t>
  </si>
  <si>
    <t xml:space="preserve">CUS390</t>
  </si>
  <si>
    <t xml:space="preserve">KAN279EF</t>
  </si>
  <si>
    <t xml:space="preserve">CUS391</t>
  </si>
  <si>
    <t xml:space="preserve">KAN457EF</t>
  </si>
  <si>
    <t xml:space="preserve">27/03/2025</t>
  </si>
  <si>
    <t xml:space="preserve">CUS392</t>
  </si>
  <si>
    <t xml:space="preserve">LAG703EF</t>
  </si>
  <si>
    <t xml:space="preserve">CUS393</t>
  </si>
  <si>
    <t xml:space="preserve">LAG416CD</t>
  </si>
  <si>
    <t xml:space="preserve">CUS394</t>
  </si>
  <si>
    <t xml:space="preserve">ABJ693GH</t>
  </si>
  <si>
    <t xml:space="preserve">CUS395</t>
  </si>
  <si>
    <t xml:space="preserve">KAN451GH</t>
  </si>
  <si>
    <t xml:space="preserve">CUS396</t>
  </si>
  <si>
    <t xml:space="preserve">ABJ543EF</t>
  </si>
  <si>
    <t xml:space="preserve">CUS397</t>
  </si>
  <si>
    <t xml:space="preserve">KAN911EF</t>
  </si>
  <si>
    <t xml:space="preserve">16/11/2025</t>
  </si>
  <si>
    <t xml:space="preserve">CUS398</t>
  </si>
  <si>
    <t xml:space="preserve">CUS399</t>
  </si>
  <si>
    <t xml:space="preserve">LAG801CD</t>
  </si>
  <si>
    <t xml:space="preserve">CUS400</t>
  </si>
  <si>
    <t xml:space="preserve">LAG797CD</t>
  </si>
  <si>
    <t xml:space="preserve">CUS401</t>
  </si>
  <si>
    <t xml:space="preserve">KAN396GH</t>
  </si>
  <si>
    <t xml:space="preserve">CUS402</t>
  </si>
  <si>
    <t xml:space="preserve">KAN780CD</t>
  </si>
  <si>
    <t xml:space="preserve">CUS403</t>
  </si>
  <si>
    <t xml:space="preserve">LAG598EF</t>
  </si>
  <si>
    <t xml:space="preserve">CUS404</t>
  </si>
  <si>
    <t xml:space="preserve">ABJ918EF</t>
  </si>
  <si>
    <t xml:space="preserve">CUS405</t>
  </si>
  <si>
    <t xml:space="preserve">ABJ564CD</t>
  </si>
  <si>
    <t xml:space="preserve">16/06/2025</t>
  </si>
  <si>
    <t xml:space="preserve">CUS406</t>
  </si>
  <si>
    <t xml:space="preserve">ABJ389GH</t>
  </si>
  <si>
    <t xml:space="preserve">15/06/2025</t>
  </si>
  <si>
    <t xml:space="preserve">CUS407</t>
  </si>
  <si>
    <t xml:space="preserve">ABJ154EF</t>
  </si>
  <si>
    <t xml:space="preserve">CUS408</t>
  </si>
  <si>
    <t xml:space="preserve">LAG105EF</t>
  </si>
  <si>
    <t xml:space="preserve">CUS409</t>
  </si>
  <si>
    <t xml:space="preserve">LAG776CD</t>
  </si>
  <si>
    <t xml:space="preserve">CUS410</t>
  </si>
  <si>
    <t xml:space="preserve">ABJ357CD</t>
  </si>
  <si>
    <t xml:space="preserve">CUS411</t>
  </si>
  <si>
    <t xml:space="preserve">LAG999EF</t>
  </si>
  <si>
    <t xml:space="preserve">CUS412</t>
  </si>
  <si>
    <t xml:space="preserve">KAN781GH</t>
  </si>
  <si>
    <t xml:space="preserve">CUS413</t>
  </si>
  <si>
    <t xml:space="preserve">ABJ188GH</t>
  </si>
  <si>
    <t xml:space="preserve">22/10/2025</t>
  </si>
  <si>
    <t xml:space="preserve">CUS414</t>
  </si>
  <si>
    <t xml:space="preserve">LAG246GH</t>
  </si>
  <si>
    <t xml:space="preserve">CUS415</t>
  </si>
  <si>
    <t xml:space="preserve">ABJ542GH</t>
  </si>
  <si>
    <t xml:space="preserve">CUS416</t>
  </si>
  <si>
    <t xml:space="preserve">17/06/2025</t>
  </si>
  <si>
    <t xml:space="preserve">CUS417</t>
  </si>
  <si>
    <t xml:space="preserve">ABJ584EF</t>
  </si>
  <si>
    <t xml:space="preserve">CUS418</t>
  </si>
  <si>
    <t xml:space="preserve">ABJ931GH</t>
  </si>
  <si>
    <t xml:space="preserve">31/12/2025</t>
  </si>
  <si>
    <t xml:space="preserve">CUS419</t>
  </si>
  <si>
    <t xml:space="preserve">KAN495EF</t>
  </si>
  <si>
    <t xml:space="preserve">CUS420</t>
  </si>
  <si>
    <t xml:space="preserve">LAG200EF</t>
  </si>
  <si>
    <t xml:space="preserve">23/04/2025</t>
  </si>
  <si>
    <t xml:space="preserve">CUS421</t>
  </si>
  <si>
    <t xml:space="preserve">LAG711EF</t>
  </si>
  <si>
    <t xml:space="preserve">28/04/2025</t>
  </si>
  <si>
    <t xml:space="preserve">CUS422</t>
  </si>
  <si>
    <t xml:space="preserve">ABJ677EF</t>
  </si>
  <si>
    <t xml:space="preserve">CUS423</t>
  </si>
  <si>
    <t xml:space="preserve">KAN996EF</t>
  </si>
  <si>
    <t xml:space="preserve">CUS424</t>
  </si>
  <si>
    <t xml:space="preserve">KAN242GH</t>
  </si>
  <si>
    <t xml:space="preserve">CUS425</t>
  </si>
  <si>
    <t xml:space="preserve">CUS426</t>
  </si>
  <si>
    <t xml:space="preserve">LAG667CD</t>
  </si>
  <si>
    <t xml:space="preserve">CUS427</t>
  </si>
  <si>
    <t xml:space="preserve">LAG412CD</t>
  </si>
  <si>
    <t xml:space="preserve">CUS428</t>
  </si>
  <si>
    <t xml:space="preserve">LAG680GH</t>
  </si>
  <si>
    <t xml:space="preserve">CUS429</t>
  </si>
  <si>
    <t xml:space="preserve">LAG658CD</t>
  </si>
  <si>
    <t xml:space="preserve">CUS430</t>
  </si>
  <si>
    <t xml:space="preserve">LAG901EF</t>
  </si>
  <si>
    <t xml:space="preserve">CUS431</t>
  </si>
  <si>
    <t xml:space="preserve">ABJ241GH</t>
  </si>
  <si>
    <t xml:space="preserve">CUS432</t>
  </si>
  <si>
    <t xml:space="preserve">LAG810EF</t>
  </si>
  <si>
    <t xml:space="preserve">CUS433</t>
  </si>
  <si>
    <t xml:space="preserve">KAN801GH</t>
  </si>
  <si>
    <t xml:space="preserve">CUS434</t>
  </si>
  <si>
    <t xml:space="preserve">LAG579EF</t>
  </si>
  <si>
    <t xml:space="preserve">CUS435</t>
  </si>
  <si>
    <t xml:space="preserve">LAG577EF</t>
  </si>
  <si>
    <t xml:space="preserve">CUS436</t>
  </si>
  <si>
    <t xml:space="preserve">LAG572CD</t>
  </si>
  <si>
    <t xml:space="preserve">CUS437</t>
  </si>
  <si>
    <t xml:space="preserve">KAN127EF</t>
  </si>
  <si>
    <t xml:space="preserve">CUS438</t>
  </si>
  <si>
    <t xml:space="preserve">ABJ873CD</t>
  </si>
  <si>
    <t xml:space="preserve">CUS439</t>
  </si>
  <si>
    <t xml:space="preserve">KAN409CD</t>
  </si>
  <si>
    <t xml:space="preserve">CUS440</t>
  </si>
  <si>
    <t xml:space="preserve">KAN624EF</t>
  </si>
  <si>
    <t xml:space="preserve">CUS441</t>
  </si>
  <si>
    <t xml:space="preserve">21/10/2025</t>
  </si>
  <si>
    <t xml:space="preserve">CUS442</t>
  </si>
  <si>
    <t xml:space="preserve">KAN998EF</t>
  </si>
  <si>
    <t xml:space="preserve">CUS443</t>
  </si>
  <si>
    <t xml:space="preserve">ABJ873EF</t>
  </si>
  <si>
    <t xml:space="preserve">CUS444</t>
  </si>
  <si>
    <t xml:space="preserve">ABJ512GH</t>
  </si>
  <si>
    <t xml:space="preserve">CUS445</t>
  </si>
  <si>
    <t xml:space="preserve">ABJ573GH</t>
  </si>
  <si>
    <t xml:space="preserve">CUS446</t>
  </si>
  <si>
    <t xml:space="preserve">LAG959CD</t>
  </si>
  <si>
    <t xml:space="preserve">CUS447</t>
  </si>
  <si>
    <t xml:space="preserve">ABJ156EF</t>
  </si>
  <si>
    <t xml:space="preserve">CUS448</t>
  </si>
  <si>
    <t xml:space="preserve">KAN209EF</t>
  </si>
  <si>
    <t xml:space="preserve">CUS449</t>
  </si>
  <si>
    <t xml:space="preserve">KAN199EF</t>
  </si>
  <si>
    <t xml:space="preserve">CUS450</t>
  </si>
  <si>
    <t xml:space="preserve">KAN593GH</t>
  </si>
  <si>
    <t xml:space="preserve">CUS451</t>
  </si>
  <si>
    <t xml:space="preserve">LAG985CD</t>
  </si>
  <si>
    <t xml:space="preserve">CUS452</t>
  </si>
  <si>
    <t xml:space="preserve">ABJ858GH</t>
  </si>
  <si>
    <t xml:space="preserve">CUS453</t>
  </si>
  <si>
    <t xml:space="preserve">KAN623GH</t>
  </si>
  <si>
    <t xml:space="preserve">23/12/2025</t>
  </si>
  <si>
    <t xml:space="preserve">CUS454</t>
  </si>
  <si>
    <t xml:space="preserve">KAN154GH</t>
  </si>
  <si>
    <t xml:space="preserve">CUS455</t>
  </si>
  <si>
    <t xml:space="preserve">ABJ628CD</t>
  </si>
  <si>
    <t xml:space="preserve">CUS456</t>
  </si>
  <si>
    <t xml:space="preserve">KAN858EF</t>
  </si>
  <si>
    <t xml:space="preserve">CUS457</t>
  </si>
  <si>
    <t xml:space="preserve">ABJ328GH</t>
  </si>
  <si>
    <t xml:space="preserve">CUS458</t>
  </si>
  <si>
    <t xml:space="preserve">KAN972CD</t>
  </si>
  <si>
    <t xml:space="preserve">CUS459</t>
  </si>
  <si>
    <t xml:space="preserve">LAG743EF</t>
  </si>
  <si>
    <t xml:space="preserve">CUS460</t>
  </si>
  <si>
    <t xml:space="preserve">KAN106EF</t>
  </si>
  <si>
    <t xml:space="preserve">CUS461</t>
  </si>
  <si>
    <t xml:space="preserve">KAN804CD</t>
  </si>
  <si>
    <t xml:space="preserve">28/12/2025</t>
  </si>
  <si>
    <t xml:space="preserve">CUS462</t>
  </si>
  <si>
    <t xml:space="preserve">ABJ168CD</t>
  </si>
  <si>
    <t xml:space="preserve">18/03/2025</t>
  </si>
  <si>
    <t xml:space="preserve">CUS463</t>
  </si>
  <si>
    <t xml:space="preserve">ABJ718CD</t>
  </si>
  <si>
    <t xml:space="preserve">CUS464</t>
  </si>
  <si>
    <t xml:space="preserve">KAN199CD</t>
  </si>
  <si>
    <t xml:space="preserve">CUS465</t>
  </si>
  <si>
    <t xml:space="preserve">ABJ206EF</t>
  </si>
  <si>
    <t xml:space="preserve">CUS466</t>
  </si>
  <si>
    <t xml:space="preserve">ABJ952GH</t>
  </si>
  <si>
    <t xml:space="preserve">CUS467</t>
  </si>
  <si>
    <t xml:space="preserve">LAG500CD</t>
  </si>
  <si>
    <t xml:space="preserve">CUS468</t>
  </si>
  <si>
    <t xml:space="preserve">ABJ407EF</t>
  </si>
  <si>
    <t xml:space="preserve">CUS469</t>
  </si>
  <si>
    <t xml:space="preserve">CUS470</t>
  </si>
  <si>
    <t xml:space="preserve">CUS471</t>
  </si>
  <si>
    <t xml:space="preserve">KAN549GH</t>
  </si>
  <si>
    <t xml:space="preserve">CUS472</t>
  </si>
  <si>
    <t xml:space="preserve">KAN226EF</t>
  </si>
  <si>
    <t xml:space="preserve">CUS473</t>
  </si>
  <si>
    <t xml:space="preserve">ABJ751CD</t>
  </si>
  <si>
    <t xml:space="preserve">CUS474</t>
  </si>
  <si>
    <t xml:space="preserve">ABJ245GH</t>
  </si>
  <si>
    <t xml:space="preserve">CUS475</t>
  </si>
  <si>
    <t xml:space="preserve">KAN346CD</t>
  </si>
  <si>
    <t xml:space="preserve">CUS476</t>
  </si>
  <si>
    <t xml:space="preserve">KAN859GH</t>
  </si>
  <si>
    <t xml:space="preserve">29/10/2025</t>
  </si>
  <si>
    <t xml:space="preserve">CUS477</t>
  </si>
  <si>
    <t xml:space="preserve">KAN305EF</t>
  </si>
  <si>
    <t xml:space="preserve">CUS478</t>
  </si>
  <si>
    <t xml:space="preserve">LAG396EF</t>
  </si>
  <si>
    <t xml:space="preserve">CUS479</t>
  </si>
  <si>
    <t xml:space="preserve">CUS480</t>
  </si>
  <si>
    <t xml:space="preserve">LAG476GH</t>
  </si>
  <si>
    <t xml:space="preserve">CUS481</t>
  </si>
  <si>
    <t xml:space="preserve">LAG500EF</t>
  </si>
  <si>
    <t xml:space="preserve">CUS482</t>
  </si>
  <si>
    <t xml:space="preserve">KAN919CD</t>
  </si>
  <si>
    <t xml:space="preserve">CUS483</t>
  </si>
  <si>
    <t xml:space="preserve">LAG526EF</t>
  </si>
  <si>
    <t xml:space="preserve">CUS484</t>
  </si>
  <si>
    <t xml:space="preserve">ABJ128EF</t>
  </si>
  <si>
    <t xml:space="preserve">CUS485</t>
  </si>
  <si>
    <t xml:space="preserve">LAG223GH</t>
  </si>
  <si>
    <t xml:space="preserve">CUS486</t>
  </si>
  <si>
    <t xml:space="preserve">CUS487</t>
  </si>
  <si>
    <t xml:space="preserve">LAG134GH</t>
  </si>
  <si>
    <t xml:space="preserve">CUS488</t>
  </si>
  <si>
    <t xml:space="preserve">KAN772GH</t>
  </si>
  <si>
    <t xml:space="preserve">15/01/2025</t>
  </si>
  <si>
    <t xml:space="preserve">CUS489</t>
  </si>
  <si>
    <t xml:space="preserve">LAG143EF</t>
  </si>
  <si>
    <t xml:space="preserve">CUS490</t>
  </si>
  <si>
    <t xml:space="preserve">ABJ579GH</t>
  </si>
  <si>
    <t xml:space="preserve">CUS491</t>
  </si>
  <si>
    <t xml:space="preserve">LAG383CD</t>
  </si>
  <si>
    <t xml:space="preserve">CUS492</t>
  </si>
  <si>
    <t xml:space="preserve">ABJ466GH</t>
  </si>
  <si>
    <t xml:space="preserve">CUS493</t>
  </si>
  <si>
    <t xml:space="preserve">KAN315EF</t>
  </si>
  <si>
    <t xml:space="preserve">CUS494</t>
  </si>
  <si>
    <t xml:space="preserve">KAN637EF</t>
  </si>
  <si>
    <t xml:space="preserve">CUS495</t>
  </si>
  <si>
    <t xml:space="preserve">KAN164CD</t>
  </si>
  <si>
    <t xml:space="preserve">CUS496</t>
  </si>
  <si>
    <t xml:space="preserve">KAN255EF</t>
  </si>
  <si>
    <t xml:space="preserve">CUS497</t>
  </si>
  <si>
    <t xml:space="preserve">KAN836GH</t>
  </si>
  <si>
    <t xml:space="preserve">CUS498</t>
  </si>
  <si>
    <t xml:space="preserve">LAG570GH</t>
  </si>
  <si>
    <t xml:space="preserve">CUS499</t>
  </si>
  <si>
    <t xml:space="preserve">ABJ385GH</t>
  </si>
  <si>
    <t xml:space="preserve">CUS500</t>
  </si>
  <si>
    <t xml:space="preserve">LAG503CD</t>
  </si>
  <si>
    <t xml:space="preserve">CUS501</t>
  </si>
  <si>
    <t xml:space="preserve">KAN595EF</t>
  </si>
  <si>
    <t xml:space="preserve">CUS502</t>
  </si>
  <si>
    <t xml:space="preserve">LAG720GH</t>
  </si>
  <si>
    <t xml:space="preserve">CUS503</t>
  </si>
  <si>
    <t xml:space="preserve">ABJ689GH</t>
  </si>
  <si>
    <t xml:space="preserve">CUS504</t>
  </si>
  <si>
    <t xml:space="preserve">KAN894GH</t>
  </si>
  <si>
    <t xml:space="preserve">CUS505</t>
  </si>
  <si>
    <t xml:space="preserve">KAN365CD</t>
  </si>
  <si>
    <t xml:space="preserve">CUS506</t>
  </si>
  <si>
    <t xml:space="preserve">KAN431GH</t>
  </si>
  <si>
    <t xml:space="preserve">CUS507</t>
  </si>
  <si>
    <t xml:space="preserve">KAN456GH</t>
  </si>
  <si>
    <t xml:space="preserve">CUS508</t>
  </si>
  <si>
    <t xml:space="preserve">CUS509</t>
  </si>
  <si>
    <t xml:space="preserve">ABJ146CD</t>
  </si>
  <si>
    <t xml:space="preserve">CUS510</t>
  </si>
  <si>
    <t xml:space="preserve">KAN262CD</t>
  </si>
  <si>
    <t xml:space="preserve">CUS511</t>
  </si>
  <si>
    <t xml:space="preserve">ABJ781CD</t>
  </si>
  <si>
    <t xml:space="preserve">CUS512</t>
  </si>
  <si>
    <t xml:space="preserve">LAG795EF</t>
  </si>
  <si>
    <t xml:space="preserve">CUS513</t>
  </si>
  <si>
    <t xml:space="preserve">LAG878CD</t>
  </si>
  <si>
    <t xml:space="preserve">CUS514</t>
  </si>
  <si>
    <t xml:space="preserve">KAN914CD</t>
  </si>
  <si>
    <t xml:space="preserve">CUS515</t>
  </si>
  <si>
    <t xml:space="preserve">ABJ278GH</t>
  </si>
  <si>
    <t xml:space="preserve">25/06/2025</t>
  </si>
  <si>
    <t xml:space="preserve">22/02/2025</t>
  </si>
  <si>
    <t xml:space="preserve">CUS516</t>
  </si>
  <si>
    <t xml:space="preserve">LAG873EF</t>
  </si>
  <si>
    <t xml:space="preserve">CUS517</t>
  </si>
  <si>
    <t xml:space="preserve">ABJ163GH</t>
  </si>
  <si>
    <t xml:space="preserve">24/08/2025</t>
  </si>
  <si>
    <t xml:space="preserve">CUS518</t>
  </si>
  <si>
    <t xml:space="preserve">LAG217CD</t>
  </si>
  <si>
    <t xml:space="preserve">CUS519</t>
  </si>
  <si>
    <t xml:space="preserve">KAN174EF</t>
  </si>
  <si>
    <t xml:space="preserve">CUS520</t>
  </si>
  <si>
    <t xml:space="preserve">LAG721GH</t>
  </si>
  <si>
    <t xml:space="preserve">CUS521</t>
  </si>
  <si>
    <t xml:space="preserve">ABJ278EF</t>
  </si>
  <si>
    <t xml:space="preserve">CUS522</t>
  </si>
  <si>
    <t xml:space="preserve">ABJ815EF</t>
  </si>
  <si>
    <t xml:space="preserve">CUS523</t>
  </si>
  <si>
    <t xml:space="preserve">LAG236GH</t>
  </si>
  <si>
    <t xml:space="preserve">CUS524</t>
  </si>
  <si>
    <t xml:space="preserve">KAN669CD</t>
  </si>
  <si>
    <t xml:space="preserve">CUS525</t>
  </si>
  <si>
    <t xml:space="preserve">ABJ358EF</t>
  </si>
  <si>
    <t xml:space="preserve">CUS526</t>
  </si>
  <si>
    <t xml:space="preserve">CUS527</t>
  </si>
  <si>
    <t xml:space="preserve">ABJ306GH</t>
  </si>
  <si>
    <t xml:space="preserve">CUS528</t>
  </si>
  <si>
    <t xml:space="preserve">ABJ544GH</t>
  </si>
  <si>
    <t xml:space="preserve">CUS529</t>
  </si>
  <si>
    <t xml:space="preserve">CUS530</t>
  </si>
  <si>
    <t xml:space="preserve">ABJ744GH</t>
  </si>
  <si>
    <t xml:space="preserve">CUS531</t>
  </si>
  <si>
    <t xml:space="preserve">ABJ308CD</t>
  </si>
  <si>
    <t xml:space="preserve">CUS532</t>
  </si>
  <si>
    <t xml:space="preserve">ABJ105EF</t>
  </si>
  <si>
    <t xml:space="preserve">29/01/2025</t>
  </si>
  <si>
    <t xml:space="preserve">CUS533</t>
  </si>
  <si>
    <t xml:space="preserve">LAG681GH</t>
  </si>
  <si>
    <t xml:space="preserve">13/02/2025</t>
  </si>
  <si>
    <t xml:space="preserve">CUS534</t>
  </si>
  <si>
    <t xml:space="preserve">ABJ448CD</t>
  </si>
  <si>
    <t xml:space="preserve">CUS535</t>
  </si>
  <si>
    <t xml:space="preserve">KAN847GH</t>
  </si>
  <si>
    <t xml:space="preserve">23/06/2025</t>
  </si>
  <si>
    <t xml:space="preserve">CUS536</t>
  </si>
  <si>
    <t xml:space="preserve">KAN640EF</t>
  </si>
  <si>
    <t xml:space="preserve">CUS537</t>
  </si>
  <si>
    <t xml:space="preserve">ABJ952CD</t>
  </si>
  <si>
    <t xml:space="preserve">CUS538</t>
  </si>
  <si>
    <t xml:space="preserve">KAN947EF</t>
  </si>
  <si>
    <t xml:space="preserve">CUS539</t>
  </si>
  <si>
    <t xml:space="preserve">KAN460EF</t>
  </si>
  <si>
    <t xml:space="preserve">CUS540</t>
  </si>
  <si>
    <t xml:space="preserve">KAN672CD</t>
  </si>
  <si>
    <t xml:space="preserve">23/02/2025</t>
  </si>
  <si>
    <t xml:space="preserve">CUS541</t>
  </si>
  <si>
    <t xml:space="preserve">ABJ549EF</t>
  </si>
  <si>
    <t xml:space="preserve">CUS542</t>
  </si>
  <si>
    <t xml:space="preserve">KAN485CD</t>
  </si>
  <si>
    <t xml:space="preserve">30/09/2025</t>
  </si>
  <si>
    <t xml:space="preserve">CUS543</t>
  </si>
  <si>
    <t xml:space="preserve">KAN180CD</t>
  </si>
  <si>
    <t xml:space="preserve">CUS544</t>
  </si>
  <si>
    <t xml:space="preserve">KAN405CD</t>
  </si>
  <si>
    <t xml:space="preserve">CUS545</t>
  </si>
  <si>
    <t xml:space="preserve">ABJ610CD</t>
  </si>
  <si>
    <t xml:space="preserve">24/04/2025</t>
  </si>
  <si>
    <t xml:space="preserve">CUS546</t>
  </si>
  <si>
    <t xml:space="preserve">ABJ715GH</t>
  </si>
  <si>
    <t xml:space="preserve">CUS547</t>
  </si>
  <si>
    <t xml:space="preserve">LAG123CD</t>
  </si>
  <si>
    <t xml:space="preserve">CUS548</t>
  </si>
  <si>
    <t xml:space="preserve">LAG948EF</t>
  </si>
  <si>
    <t xml:space="preserve">CUS549</t>
  </si>
  <si>
    <t xml:space="preserve">LAG820EF</t>
  </si>
  <si>
    <t xml:space="preserve">CUS550</t>
  </si>
  <si>
    <t xml:space="preserve">ABJ993CD</t>
  </si>
  <si>
    <t xml:space="preserve">CUS551</t>
  </si>
  <si>
    <t xml:space="preserve">LAG176GH</t>
  </si>
  <si>
    <t xml:space="preserve">CUS552</t>
  </si>
  <si>
    <t xml:space="preserve">KAN347GH</t>
  </si>
  <si>
    <t xml:space="preserve">22/08/2025</t>
  </si>
  <si>
    <t xml:space="preserve">CUS553</t>
  </si>
  <si>
    <t xml:space="preserve">KAN612EF</t>
  </si>
  <si>
    <t xml:space="preserve">CUS554</t>
  </si>
  <si>
    <t xml:space="preserve">LAG733CD</t>
  </si>
  <si>
    <t xml:space="preserve">CUS555</t>
  </si>
  <si>
    <t xml:space="preserve">KAN814CD</t>
  </si>
  <si>
    <t xml:space="preserve">CUS556</t>
  </si>
  <si>
    <t xml:space="preserve">KAN582EF</t>
  </si>
  <si>
    <t xml:space="preserve">CUS557</t>
  </si>
  <si>
    <t xml:space="preserve">KAN130CD</t>
  </si>
  <si>
    <t xml:space="preserve">CUS558</t>
  </si>
  <si>
    <t xml:space="preserve">LAG531EF</t>
  </si>
  <si>
    <t xml:space="preserve">CUS559</t>
  </si>
  <si>
    <t xml:space="preserve">ABJ442CD</t>
  </si>
  <si>
    <t xml:space="preserve">CUS560</t>
  </si>
  <si>
    <t xml:space="preserve">ABJ309GH</t>
  </si>
  <si>
    <t xml:space="preserve">CUS561</t>
  </si>
  <si>
    <t xml:space="preserve">KAN437GH</t>
  </si>
  <si>
    <t xml:space="preserve">CUS562</t>
  </si>
  <si>
    <t xml:space="preserve">ABJ341EF</t>
  </si>
  <si>
    <t xml:space="preserve">CUS563</t>
  </si>
  <si>
    <t xml:space="preserve">ABJ924GH</t>
  </si>
  <si>
    <t xml:space="preserve">18/02/2025</t>
  </si>
  <si>
    <t xml:space="preserve">CUS564</t>
  </si>
  <si>
    <t xml:space="preserve">KAN819CD</t>
  </si>
  <si>
    <t xml:space="preserve">17/04/2025</t>
  </si>
  <si>
    <t xml:space="preserve">CUS565</t>
  </si>
  <si>
    <t xml:space="preserve">LAG172EF</t>
  </si>
  <si>
    <t xml:space="preserve">CUS566</t>
  </si>
  <si>
    <t xml:space="preserve">KAN857GH</t>
  </si>
  <si>
    <t xml:space="preserve">CUS567</t>
  </si>
  <si>
    <t xml:space="preserve">ABJ664EF</t>
  </si>
  <si>
    <t xml:space="preserve">CUS568</t>
  </si>
  <si>
    <t xml:space="preserve">ABJ377GH</t>
  </si>
  <si>
    <t xml:space="preserve">CUS569</t>
  </si>
  <si>
    <t xml:space="preserve">ABJ206CD</t>
  </si>
  <si>
    <t xml:space="preserve">CUS570</t>
  </si>
  <si>
    <t xml:space="preserve">LAG619CD</t>
  </si>
  <si>
    <t xml:space="preserve">CUS571</t>
  </si>
  <si>
    <t xml:space="preserve">KAN458EF</t>
  </si>
  <si>
    <t xml:space="preserve">CUS572</t>
  </si>
  <si>
    <t xml:space="preserve">LAG410CD</t>
  </si>
  <si>
    <t xml:space="preserve">CUS573</t>
  </si>
  <si>
    <t xml:space="preserve">ABJ156CD</t>
  </si>
  <si>
    <t xml:space="preserve">CUS574</t>
  </si>
  <si>
    <t xml:space="preserve">ABJ647GH</t>
  </si>
  <si>
    <t xml:space="preserve">19/08/2025</t>
  </si>
  <si>
    <t xml:space="preserve">CUS575</t>
  </si>
  <si>
    <t xml:space="preserve">LAG798GH</t>
  </si>
  <si>
    <t xml:space="preserve">CUS576</t>
  </si>
  <si>
    <t xml:space="preserve">KAN118GH</t>
  </si>
  <si>
    <t xml:space="preserve">28/08/2025</t>
  </si>
  <si>
    <t xml:space="preserve">CUS577</t>
  </si>
  <si>
    <t xml:space="preserve">LAG153EF</t>
  </si>
  <si>
    <t xml:space="preserve">CUS578</t>
  </si>
  <si>
    <t xml:space="preserve">LAG812CD</t>
  </si>
  <si>
    <t xml:space="preserve">CUS579</t>
  </si>
  <si>
    <t xml:space="preserve">LAG818EF</t>
  </si>
  <si>
    <t xml:space="preserve">CUS580</t>
  </si>
  <si>
    <t xml:space="preserve">KAN241CD</t>
  </si>
  <si>
    <t xml:space="preserve">CUS581</t>
  </si>
  <si>
    <t xml:space="preserve">LAG220GH</t>
  </si>
  <si>
    <t xml:space="preserve">CUS582</t>
  </si>
  <si>
    <t xml:space="preserve">LAG460CD</t>
  </si>
  <si>
    <t xml:space="preserve">CUS583</t>
  </si>
  <si>
    <t xml:space="preserve">LAG547CD</t>
  </si>
  <si>
    <t xml:space="preserve">CUS584</t>
  </si>
  <si>
    <t xml:space="preserve">ABJ337CD</t>
  </si>
  <si>
    <t xml:space="preserve">CUS585</t>
  </si>
  <si>
    <t xml:space="preserve">KAN110CD</t>
  </si>
  <si>
    <t xml:space="preserve">CUS586</t>
  </si>
  <si>
    <t xml:space="preserve">LAG865GH</t>
  </si>
  <si>
    <t xml:space="preserve">CUS587</t>
  </si>
  <si>
    <t xml:space="preserve">KAN146CD</t>
  </si>
  <si>
    <t xml:space="preserve">19/03/2025</t>
  </si>
  <si>
    <t xml:space="preserve">CUS588</t>
  </si>
  <si>
    <t xml:space="preserve">KAN355CD</t>
  </si>
  <si>
    <t xml:space="preserve">CUS589</t>
  </si>
  <si>
    <t xml:space="preserve">ABJ158CD</t>
  </si>
  <si>
    <t xml:space="preserve">CUS590</t>
  </si>
  <si>
    <t xml:space="preserve">LAG284EF</t>
  </si>
  <si>
    <t xml:space="preserve">19/11/2025</t>
  </si>
  <si>
    <t xml:space="preserve">CUS591</t>
  </si>
  <si>
    <t xml:space="preserve">ABJ421EF</t>
  </si>
  <si>
    <t xml:space="preserve">CUS592</t>
  </si>
  <si>
    <t xml:space="preserve">KAN770CD</t>
  </si>
  <si>
    <t xml:space="preserve">CUS593</t>
  </si>
  <si>
    <t xml:space="preserve">LAG232GH</t>
  </si>
  <si>
    <t xml:space="preserve">13/03/2025</t>
  </si>
  <si>
    <t xml:space="preserve">CUS594</t>
  </si>
  <si>
    <t xml:space="preserve">LAG590GH</t>
  </si>
  <si>
    <t xml:space="preserve">CUS595</t>
  </si>
  <si>
    <t xml:space="preserve">ABJ772CD</t>
  </si>
  <si>
    <t xml:space="preserve">CUS596</t>
  </si>
  <si>
    <t xml:space="preserve">ABJ356GH</t>
  </si>
  <si>
    <t xml:space="preserve">CUS597</t>
  </si>
  <si>
    <t xml:space="preserve">ABJ606GH</t>
  </si>
  <si>
    <t xml:space="preserve">16/05/2025</t>
  </si>
  <si>
    <t xml:space="preserve">CUS598</t>
  </si>
  <si>
    <t xml:space="preserve">KAN932EF</t>
  </si>
  <si>
    <t xml:space="preserve">20/08/2025</t>
  </si>
  <si>
    <t xml:space="preserve">CUS599</t>
  </si>
  <si>
    <t xml:space="preserve">ABJ554GH</t>
  </si>
  <si>
    <t xml:space="preserve">CUS600</t>
  </si>
  <si>
    <t xml:space="preserve">LAG475GH</t>
  </si>
  <si>
    <t xml:space="preserve">20/06/2025</t>
  </si>
  <si>
    <t xml:space="preserve">CUS601</t>
  </si>
  <si>
    <t xml:space="preserve">LAG989GH</t>
  </si>
  <si>
    <t xml:space="preserve">CUS602</t>
  </si>
  <si>
    <t xml:space="preserve">ABJ639EF</t>
  </si>
  <si>
    <t xml:space="preserve">CUS603</t>
  </si>
  <si>
    <t xml:space="preserve">LAG814GH</t>
  </si>
  <si>
    <t xml:space="preserve">CUS604</t>
  </si>
  <si>
    <t xml:space="preserve">KAN206CD</t>
  </si>
  <si>
    <t xml:space="preserve">CUS605</t>
  </si>
  <si>
    <t xml:space="preserve">LAG520GH</t>
  </si>
  <si>
    <t xml:space="preserve">CUS606</t>
  </si>
  <si>
    <t xml:space="preserve">KAN597EF</t>
  </si>
  <si>
    <t xml:space="preserve">22/04/2025</t>
  </si>
  <si>
    <t xml:space="preserve">CUS607</t>
  </si>
  <si>
    <t xml:space="preserve">CUS608</t>
  </si>
  <si>
    <t xml:space="preserve">KAN336EF</t>
  </si>
  <si>
    <t xml:space="preserve">CUS609</t>
  </si>
  <si>
    <t xml:space="preserve">KAN666CD</t>
  </si>
  <si>
    <t xml:space="preserve">CUS610</t>
  </si>
  <si>
    <t xml:space="preserve">ABJ481GH</t>
  </si>
  <si>
    <t xml:space="preserve">CUS611</t>
  </si>
  <si>
    <t xml:space="preserve">ABJ136CD</t>
  </si>
  <si>
    <t xml:space="preserve">CUS612</t>
  </si>
  <si>
    <t xml:space="preserve">KAN550GH</t>
  </si>
  <si>
    <t xml:space="preserve">CUS613</t>
  </si>
  <si>
    <t xml:space="preserve">LAG216CD</t>
  </si>
  <si>
    <t xml:space="preserve">28/03/2025</t>
  </si>
  <si>
    <t xml:space="preserve">CUS614</t>
  </si>
  <si>
    <t xml:space="preserve">LAG956CD</t>
  </si>
  <si>
    <t xml:space="preserve">CUS615</t>
  </si>
  <si>
    <t xml:space="preserve">LAG384GH</t>
  </si>
  <si>
    <t xml:space="preserve">13/10/2025</t>
  </si>
  <si>
    <t xml:space="preserve">CUS616</t>
  </si>
  <si>
    <t xml:space="preserve">LAG407CD</t>
  </si>
  <si>
    <t xml:space="preserve">CUS617</t>
  </si>
  <si>
    <t xml:space="preserve">CUS618</t>
  </si>
  <si>
    <t xml:space="preserve">LAG607CD</t>
  </si>
  <si>
    <t xml:space="preserve">CUS619</t>
  </si>
  <si>
    <t xml:space="preserve">LAG493EF</t>
  </si>
  <si>
    <t xml:space="preserve">CUS620</t>
  </si>
  <si>
    <t xml:space="preserve">ABJ329CD</t>
  </si>
  <si>
    <t xml:space="preserve">CUS621</t>
  </si>
  <si>
    <t xml:space="preserve">CUS622</t>
  </si>
  <si>
    <t xml:space="preserve">LAG645CD</t>
  </si>
  <si>
    <t xml:space="preserve">CUS623</t>
  </si>
  <si>
    <t xml:space="preserve">KAN412CD</t>
  </si>
  <si>
    <t xml:space="preserve">CUS624</t>
  </si>
  <si>
    <t xml:space="preserve">KAN881EF</t>
  </si>
  <si>
    <t xml:space="preserve">CUS625</t>
  </si>
  <si>
    <t xml:space="preserve">ABJ723EF</t>
  </si>
  <si>
    <t xml:space="preserve">CUS626</t>
  </si>
  <si>
    <t xml:space="preserve">LAG929GH</t>
  </si>
  <si>
    <t xml:space="preserve">CUS627</t>
  </si>
  <si>
    <t xml:space="preserve">ABJ875CD</t>
  </si>
  <si>
    <t xml:space="preserve">CUS628</t>
  </si>
  <si>
    <t xml:space="preserve">LAG843GH</t>
  </si>
  <si>
    <t xml:space="preserve">CUS629</t>
  </si>
  <si>
    <t xml:space="preserve">LAG986EF</t>
  </si>
  <si>
    <t xml:space="preserve">CUS630</t>
  </si>
  <si>
    <t xml:space="preserve">KAN853CD</t>
  </si>
  <si>
    <t xml:space="preserve">CUS631</t>
  </si>
  <si>
    <t xml:space="preserve">ABJ666EF</t>
  </si>
  <si>
    <t xml:space="preserve">CUS632</t>
  </si>
  <si>
    <t xml:space="preserve">KAN794EF</t>
  </si>
  <si>
    <t xml:space="preserve">CUS633</t>
  </si>
  <si>
    <t xml:space="preserve">KAN574EF</t>
  </si>
  <si>
    <t xml:space="preserve">CUS634</t>
  </si>
  <si>
    <t xml:space="preserve">CUS635</t>
  </si>
  <si>
    <t xml:space="preserve">KAN366CD</t>
  </si>
  <si>
    <t xml:space="preserve">CUS636</t>
  </si>
  <si>
    <t xml:space="preserve">LAG578GH</t>
  </si>
  <si>
    <t xml:space="preserve">16/07/2025</t>
  </si>
  <si>
    <t xml:space="preserve">CUS637</t>
  </si>
  <si>
    <t xml:space="preserve">ABJ235CD</t>
  </si>
  <si>
    <t xml:space="preserve">CUS638</t>
  </si>
  <si>
    <t xml:space="preserve">LAG918GH</t>
  </si>
  <si>
    <t xml:space="preserve">CUS639</t>
  </si>
  <si>
    <t xml:space="preserve">LAG187CD</t>
  </si>
  <si>
    <t xml:space="preserve">CUS640</t>
  </si>
  <si>
    <t xml:space="preserve">KAN402EF</t>
  </si>
  <si>
    <t xml:space="preserve">CUS641</t>
  </si>
  <si>
    <t xml:space="preserve">KAN504CD</t>
  </si>
  <si>
    <t xml:space="preserve">CUS642</t>
  </si>
  <si>
    <t xml:space="preserve">KAN380EF</t>
  </si>
  <si>
    <t xml:space="preserve">CUS643</t>
  </si>
  <si>
    <t xml:space="preserve">LAG775EF</t>
  </si>
  <si>
    <t xml:space="preserve">CUS644</t>
  </si>
  <si>
    <t xml:space="preserve">KAN929GH</t>
  </si>
  <si>
    <t xml:space="preserve">27/12/2025</t>
  </si>
  <si>
    <t xml:space="preserve">CUS645</t>
  </si>
  <si>
    <t xml:space="preserve">ABJ227EF</t>
  </si>
  <si>
    <t xml:space="preserve">24/07/2025</t>
  </si>
  <si>
    <t xml:space="preserve">CUS646</t>
  </si>
  <si>
    <t xml:space="preserve">KAN776EF</t>
  </si>
  <si>
    <t xml:space="preserve">CUS647</t>
  </si>
  <si>
    <t xml:space="preserve">LAG967CD</t>
  </si>
  <si>
    <t xml:space="preserve">CUS648</t>
  </si>
  <si>
    <t xml:space="preserve">LAG573CD</t>
  </si>
  <si>
    <t xml:space="preserve">CUS649</t>
  </si>
  <si>
    <t xml:space="preserve">LAG109EF</t>
  </si>
  <si>
    <t xml:space="preserve">CUS650</t>
  </si>
  <si>
    <t xml:space="preserve">ABJ467EF</t>
  </si>
  <si>
    <t xml:space="preserve">CUS651</t>
  </si>
  <si>
    <t xml:space="preserve">KAN964GH</t>
  </si>
  <si>
    <t xml:space="preserve">CUS652</t>
  </si>
  <si>
    <t xml:space="preserve">ABJ518CD</t>
  </si>
  <si>
    <t xml:space="preserve">CUS653</t>
  </si>
  <si>
    <t xml:space="preserve">KAN181EF</t>
  </si>
  <si>
    <t xml:space="preserve">CUS654</t>
  </si>
  <si>
    <t xml:space="preserve">KAN664EF</t>
  </si>
  <si>
    <t xml:space="preserve">CUS655</t>
  </si>
  <si>
    <t xml:space="preserve">ABJ551CD</t>
  </si>
  <si>
    <t xml:space="preserve">CUS656</t>
  </si>
  <si>
    <t xml:space="preserve">22/11/2025</t>
  </si>
  <si>
    <t xml:space="preserve">CUS657</t>
  </si>
  <si>
    <t xml:space="preserve">LAG989EF</t>
  </si>
  <si>
    <t xml:space="preserve">CUS658</t>
  </si>
  <si>
    <t xml:space="preserve">ABJ332GH</t>
  </si>
  <si>
    <t xml:space="preserve">22/06/2025</t>
  </si>
  <si>
    <t xml:space="preserve">CUS659</t>
  </si>
  <si>
    <t xml:space="preserve">ABJ250GH</t>
  </si>
  <si>
    <t xml:space="preserve">CUS660</t>
  </si>
  <si>
    <t xml:space="preserve">KAN150CD</t>
  </si>
  <si>
    <t xml:space="preserve">CUS661</t>
  </si>
  <si>
    <t xml:space="preserve">ABJ770CD</t>
  </si>
  <si>
    <t xml:space="preserve">CUS662</t>
  </si>
  <si>
    <t xml:space="preserve">ABJ800GH</t>
  </si>
  <si>
    <t xml:space="preserve">CUS663</t>
  </si>
  <si>
    <t xml:space="preserve">LAG693EF</t>
  </si>
  <si>
    <t xml:space="preserve">CUS664</t>
  </si>
  <si>
    <t xml:space="preserve">ABJ666GH</t>
  </si>
  <si>
    <t xml:space="preserve">CUS665</t>
  </si>
  <si>
    <t xml:space="preserve">ABJ162GH</t>
  </si>
  <si>
    <t xml:space="preserve">CUS666</t>
  </si>
  <si>
    <t xml:space="preserve">LAG363CD</t>
  </si>
  <si>
    <t xml:space="preserve">CUS667</t>
  </si>
  <si>
    <t xml:space="preserve">KAN965EF</t>
  </si>
  <si>
    <t xml:space="preserve">20/05/2025</t>
  </si>
  <si>
    <t xml:space="preserve">CUS668</t>
  </si>
  <si>
    <t xml:space="preserve">KAN835CD</t>
  </si>
  <si>
    <t xml:space="preserve">27/08/2025</t>
  </si>
  <si>
    <t xml:space="preserve">CUS669</t>
  </si>
  <si>
    <t xml:space="preserve">KAN340EF</t>
  </si>
  <si>
    <t xml:space="preserve">22/09/2025</t>
  </si>
  <si>
    <t xml:space="preserve">CUS670</t>
  </si>
  <si>
    <t xml:space="preserve">CUS671</t>
  </si>
  <si>
    <t xml:space="preserve">LAG215GH</t>
  </si>
  <si>
    <t xml:space="preserve">22/05/2025</t>
  </si>
  <si>
    <t xml:space="preserve">CUS672</t>
  </si>
  <si>
    <t xml:space="preserve">ABJ342CD</t>
  </si>
  <si>
    <t xml:space="preserve">27/06/2025</t>
  </si>
  <si>
    <t xml:space="preserve">CUS673</t>
  </si>
  <si>
    <t xml:space="preserve">LAG684EF</t>
  </si>
  <si>
    <t xml:space="preserve">CUS674</t>
  </si>
  <si>
    <t xml:space="preserve">KAN525CD</t>
  </si>
  <si>
    <t xml:space="preserve">CUS675</t>
  </si>
  <si>
    <t xml:space="preserve">KAN536EF</t>
  </si>
  <si>
    <t xml:space="preserve">CUS676</t>
  </si>
  <si>
    <t xml:space="preserve">ABJ125EF</t>
  </si>
  <si>
    <t xml:space="preserve">CUS677</t>
  </si>
  <si>
    <t xml:space="preserve">KAN907EF</t>
  </si>
  <si>
    <t xml:space="preserve">CUS678</t>
  </si>
  <si>
    <t xml:space="preserve">CUS679</t>
  </si>
  <si>
    <t xml:space="preserve">LAG581EF</t>
  </si>
  <si>
    <t xml:space="preserve">CUS680</t>
  </si>
  <si>
    <t xml:space="preserve">KAN131CD</t>
  </si>
  <si>
    <t xml:space="preserve">CUS681</t>
  </si>
  <si>
    <t xml:space="preserve">LAG145EF</t>
  </si>
  <si>
    <t xml:space="preserve">29/11/2025</t>
  </si>
  <si>
    <t xml:space="preserve">CUS682</t>
  </si>
  <si>
    <t xml:space="preserve">ABJ705CD</t>
  </si>
  <si>
    <t xml:space="preserve">CUS683</t>
  </si>
  <si>
    <t xml:space="preserve">ABJ723CD</t>
  </si>
  <si>
    <t xml:space="preserve">CUS684</t>
  </si>
  <si>
    <t xml:space="preserve">LAG623GH</t>
  </si>
  <si>
    <t xml:space="preserve">21/06/2025</t>
  </si>
  <si>
    <t xml:space="preserve">CUS685</t>
  </si>
  <si>
    <t xml:space="preserve">KAN620GH</t>
  </si>
  <si>
    <t xml:space="preserve">CUS686</t>
  </si>
  <si>
    <t xml:space="preserve">KAN452CD</t>
  </si>
  <si>
    <t xml:space="preserve">CUS687</t>
  </si>
  <si>
    <t xml:space="preserve">LAG950GH</t>
  </si>
  <si>
    <t xml:space="preserve">CUS688</t>
  </si>
  <si>
    <t xml:space="preserve">ABJ772GH</t>
  </si>
  <si>
    <t xml:space="preserve">CUS689</t>
  </si>
  <si>
    <t xml:space="preserve">ABJ490GH</t>
  </si>
  <si>
    <t xml:space="preserve">CUS690</t>
  </si>
  <si>
    <t xml:space="preserve">ABJ179CD</t>
  </si>
  <si>
    <t xml:space="preserve">CUS691</t>
  </si>
  <si>
    <t xml:space="preserve">KAN615GH</t>
  </si>
  <si>
    <t xml:space="preserve">CUS692</t>
  </si>
  <si>
    <t xml:space="preserve">KAN661GH</t>
  </si>
  <si>
    <t xml:space="preserve">CUS693</t>
  </si>
  <si>
    <t xml:space="preserve">LAG651GH</t>
  </si>
  <si>
    <t xml:space="preserve">CUS694</t>
  </si>
  <si>
    <t xml:space="preserve">ABJ967GH</t>
  </si>
  <si>
    <t xml:space="preserve">CUS695</t>
  </si>
  <si>
    <t xml:space="preserve">ABJ721EF</t>
  </si>
  <si>
    <t xml:space="preserve">15/10/2025</t>
  </si>
  <si>
    <t xml:space="preserve">CUS696</t>
  </si>
  <si>
    <t xml:space="preserve">KAN637GH</t>
  </si>
  <si>
    <t xml:space="preserve">CUS697</t>
  </si>
  <si>
    <t xml:space="preserve">LAG424EF</t>
  </si>
  <si>
    <t xml:space="preserve">CUS698</t>
  </si>
  <si>
    <t xml:space="preserve">ABJ956GH</t>
  </si>
  <si>
    <t xml:space="preserve">CUS699</t>
  </si>
  <si>
    <t xml:space="preserve">LAG349EF</t>
  </si>
  <si>
    <t xml:space="preserve">CUS700</t>
  </si>
  <si>
    <t xml:space="preserve">CUS701</t>
  </si>
  <si>
    <t xml:space="preserve">ABJ566EF</t>
  </si>
  <si>
    <t xml:space="preserve">CUS702</t>
  </si>
  <si>
    <t xml:space="preserve">KAN218GH</t>
  </si>
  <si>
    <t xml:space="preserve">CUS703</t>
  </si>
  <si>
    <t xml:space="preserve">ABJ555GH</t>
  </si>
  <si>
    <t xml:space="preserve">CUS704</t>
  </si>
  <si>
    <t xml:space="preserve">LAG470CD</t>
  </si>
  <si>
    <t xml:space="preserve">CUS705</t>
  </si>
  <si>
    <t xml:space="preserve">LAG673GH</t>
  </si>
  <si>
    <t xml:space="preserve">CUS706</t>
  </si>
  <si>
    <t xml:space="preserve">ABJ470GH</t>
  </si>
  <si>
    <t xml:space="preserve">CUS707</t>
  </si>
  <si>
    <t xml:space="preserve">LAG719CD</t>
  </si>
  <si>
    <t xml:space="preserve">29/03/2025</t>
  </si>
  <si>
    <t xml:space="preserve">CUS708</t>
  </si>
  <si>
    <t xml:space="preserve">LAG905EF</t>
  </si>
  <si>
    <t xml:space="preserve">13/11/2025</t>
  </si>
  <si>
    <t xml:space="preserve">CUS709</t>
  </si>
  <si>
    <t xml:space="preserve">ABJ683CD</t>
  </si>
  <si>
    <t xml:space="preserve">CUS710</t>
  </si>
  <si>
    <t xml:space="preserve">KAN350EF</t>
  </si>
  <si>
    <t xml:space="preserve">CUS711</t>
  </si>
  <si>
    <t xml:space="preserve">KAN698GH</t>
  </si>
  <si>
    <t xml:space="preserve">CUS712</t>
  </si>
  <si>
    <t xml:space="preserve">ABJ720EF</t>
  </si>
  <si>
    <t xml:space="preserve">CUS713</t>
  </si>
  <si>
    <t xml:space="preserve">LAG449EF</t>
  </si>
  <si>
    <t xml:space="preserve">CUS714</t>
  </si>
  <si>
    <t xml:space="preserve">ABJ183EF</t>
  </si>
  <si>
    <t xml:space="preserve">CUS715</t>
  </si>
  <si>
    <t xml:space="preserve">LAG617CD</t>
  </si>
  <si>
    <t xml:space="preserve">CUS716</t>
  </si>
  <si>
    <t xml:space="preserve">KAN606GH</t>
  </si>
  <si>
    <t xml:space="preserve">CUS717</t>
  </si>
  <si>
    <t xml:space="preserve">ABJ284EF</t>
  </si>
  <si>
    <t xml:space="preserve">CUS718</t>
  </si>
  <si>
    <t xml:space="preserve">ABJ270CD</t>
  </si>
  <si>
    <t xml:space="preserve">CUS719</t>
  </si>
  <si>
    <t xml:space="preserve">CUS720</t>
  </si>
  <si>
    <t xml:space="preserve">KAN581GH</t>
  </si>
  <si>
    <t xml:space="preserve">CUS721</t>
  </si>
  <si>
    <t xml:space="preserve">ABJ229CD</t>
  </si>
  <si>
    <t xml:space="preserve">CUS722</t>
  </si>
  <si>
    <t xml:space="preserve">LAG124GH</t>
  </si>
  <si>
    <t xml:space="preserve">CUS723</t>
  </si>
  <si>
    <t xml:space="preserve">ABJ174CD</t>
  </si>
  <si>
    <t xml:space="preserve">CUS724</t>
  </si>
  <si>
    <t xml:space="preserve">KAN987GH</t>
  </si>
  <si>
    <t xml:space="preserve">CUS725</t>
  </si>
  <si>
    <t xml:space="preserve">LAG532EF</t>
  </si>
  <si>
    <t xml:space="preserve">CUS726</t>
  </si>
  <si>
    <t xml:space="preserve">ABJ511GH</t>
  </si>
  <si>
    <t xml:space="preserve">CUS727</t>
  </si>
  <si>
    <t xml:space="preserve">CUS728</t>
  </si>
  <si>
    <t xml:space="preserve">LAG221EF</t>
  </si>
  <si>
    <t xml:space="preserve">CUS729</t>
  </si>
  <si>
    <t xml:space="preserve">LAG705GH</t>
  </si>
  <si>
    <t xml:space="preserve">CUS730</t>
  </si>
  <si>
    <t xml:space="preserve">CUS731</t>
  </si>
  <si>
    <t xml:space="preserve">ABJ175GH</t>
  </si>
  <si>
    <t xml:space="preserve">CUS732</t>
  </si>
  <si>
    <t xml:space="preserve">LAG559EF</t>
  </si>
  <si>
    <t xml:space="preserve">CUS733</t>
  </si>
  <si>
    <t xml:space="preserve">KAN560GH</t>
  </si>
  <si>
    <t xml:space="preserve">CUS734</t>
  </si>
  <si>
    <t xml:space="preserve">CUS735</t>
  </si>
  <si>
    <t xml:space="preserve">KAN237GH</t>
  </si>
  <si>
    <t xml:space="preserve">CUS736</t>
  </si>
  <si>
    <t xml:space="preserve">ABJ841GH</t>
  </si>
  <si>
    <t xml:space="preserve">CUS737</t>
  </si>
  <si>
    <t xml:space="preserve">KAN185CD</t>
  </si>
  <si>
    <t xml:space="preserve">CUS738</t>
  </si>
  <si>
    <t xml:space="preserve">ABJ707GH</t>
  </si>
  <si>
    <t xml:space="preserve">24/03/2025</t>
  </si>
  <si>
    <t xml:space="preserve">CUS739</t>
  </si>
  <si>
    <t xml:space="preserve">LAG790GH</t>
  </si>
  <si>
    <t xml:space="preserve">CUS740</t>
  </si>
  <si>
    <t xml:space="preserve">LAG488EF</t>
  </si>
  <si>
    <t xml:space="preserve">CUS741</t>
  </si>
  <si>
    <t xml:space="preserve">CUS742</t>
  </si>
  <si>
    <t xml:space="preserve">KAN702EF</t>
  </si>
  <si>
    <t xml:space="preserve">16/10/2025</t>
  </si>
  <si>
    <t xml:space="preserve">CUS743</t>
  </si>
  <si>
    <t xml:space="preserve">ABJ337EF</t>
  </si>
  <si>
    <t xml:space="preserve">CUS744</t>
  </si>
  <si>
    <t xml:space="preserve">LAG449CD</t>
  </si>
  <si>
    <t xml:space="preserve">CUS745</t>
  </si>
  <si>
    <t xml:space="preserve">KAN630GH</t>
  </si>
  <si>
    <t xml:space="preserve">CUS746</t>
  </si>
  <si>
    <t xml:space="preserve">KAN620EF</t>
  </si>
  <si>
    <t xml:space="preserve">CUS747</t>
  </si>
  <si>
    <t xml:space="preserve">LAG430EF</t>
  </si>
  <si>
    <t xml:space="preserve">CUS748</t>
  </si>
  <si>
    <t xml:space="preserve">LAG875CD</t>
  </si>
  <si>
    <t xml:space="preserve">CUS749</t>
  </si>
  <si>
    <t xml:space="preserve">ABJ142GH</t>
  </si>
  <si>
    <t xml:space="preserve">CUS750</t>
  </si>
  <si>
    <t xml:space="preserve">CUS751</t>
  </si>
  <si>
    <t xml:space="preserve">KAN384GH</t>
  </si>
  <si>
    <t xml:space="preserve">CUS752</t>
  </si>
  <si>
    <t xml:space="preserve">KAN421CD</t>
  </si>
  <si>
    <t xml:space="preserve">CUS753</t>
  </si>
  <si>
    <t xml:space="preserve">LAG391CD</t>
  </si>
  <si>
    <t xml:space="preserve">CUS754</t>
  </si>
  <si>
    <t xml:space="preserve">ABJ394EF</t>
  </si>
  <si>
    <t xml:space="preserve">CUS755</t>
  </si>
  <si>
    <t xml:space="preserve">LAG549CD</t>
  </si>
  <si>
    <t xml:space="preserve">CUS756</t>
  </si>
  <si>
    <t xml:space="preserve">ABJ395EF</t>
  </si>
  <si>
    <t xml:space="preserve">CUS757</t>
  </si>
  <si>
    <t xml:space="preserve">KAN871CD</t>
  </si>
  <si>
    <t xml:space="preserve">CUS758</t>
  </si>
  <si>
    <t xml:space="preserve">ABJ782EF</t>
  </si>
  <si>
    <t xml:space="preserve">CUS759</t>
  </si>
  <si>
    <t xml:space="preserve">ABJ198CD</t>
  </si>
  <si>
    <t xml:space="preserve">CUS760</t>
  </si>
  <si>
    <t xml:space="preserve">KAN958GH</t>
  </si>
  <si>
    <t xml:space="preserve">14/09/2025</t>
  </si>
  <si>
    <t xml:space="preserve">CUS761</t>
  </si>
  <si>
    <t xml:space="preserve">ABJ128GH</t>
  </si>
  <si>
    <t xml:space="preserve">CUS762</t>
  </si>
  <si>
    <t xml:space="preserve">ABJ652GH</t>
  </si>
  <si>
    <t xml:space="preserve">CUS763</t>
  </si>
  <si>
    <t xml:space="preserve">ABJ106EF</t>
  </si>
  <si>
    <t xml:space="preserve">CUS764</t>
  </si>
  <si>
    <t xml:space="preserve">ABJ478CD</t>
  </si>
  <si>
    <t xml:space="preserve">CUS765</t>
  </si>
  <si>
    <t xml:space="preserve">CUS766</t>
  </si>
  <si>
    <t xml:space="preserve">KAN555GH</t>
  </si>
  <si>
    <t xml:space="preserve">CUS767</t>
  </si>
  <si>
    <t xml:space="preserve">ABJ950EF</t>
  </si>
  <si>
    <t xml:space="preserve">CUS768</t>
  </si>
  <si>
    <t xml:space="preserve">LAG212GH</t>
  </si>
  <si>
    <t xml:space="preserve">CUS769</t>
  </si>
  <si>
    <t xml:space="preserve">KAN965CD</t>
  </si>
  <si>
    <t xml:space="preserve">CUS770</t>
  </si>
  <si>
    <t xml:space="preserve">LAG542EF</t>
  </si>
  <si>
    <t xml:space="preserve">CUS771</t>
  </si>
  <si>
    <t xml:space="preserve">LAG188CD</t>
  </si>
  <si>
    <t xml:space="preserve">CUS772</t>
  </si>
  <si>
    <t xml:space="preserve">LAG849GH</t>
  </si>
  <si>
    <t xml:space="preserve">CUS773</t>
  </si>
  <si>
    <t xml:space="preserve">ABJ462CD</t>
  </si>
  <si>
    <t xml:space="preserve">CUS774</t>
  </si>
  <si>
    <t xml:space="preserve">KAN912CD</t>
  </si>
  <si>
    <t xml:space="preserve">CUS775</t>
  </si>
  <si>
    <t xml:space="preserve">KAN176EF</t>
  </si>
  <si>
    <t xml:space="preserve">CUS776</t>
  </si>
  <si>
    <t xml:space="preserve">CUS777</t>
  </si>
  <si>
    <t xml:space="preserve">LAG564GH</t>
  </si>
  <si>
    <t xml:space="preserve">CUS778</t>
  </si>
  <si>
    <t xml:space="preserve">KAN625GH</t>
  </si>
  <si>
    <t xml:space="preserve">CUS779</t>
  </si>
  <si>
    <t xml:space="preserve">ABJ823GH</t>
  </si>
  <si>
    <t xml:space="preserve">CUS780</t>
  </si>
  <si>
    <t xml:space="preserve">LAG139EF</t>
  </si>
  <si>
    <t xml:space="preserve">CUS781</t>
  </si>
  <si>
    <t xml:space="preserve">ABJ822GH</t>
  </si>
  <si>
    <t xml:space="preserve">CUS782</t>
  </si>
  <si>
    <t xml:space="preserve">LAG294GH</t>
  </si>
  <si>
    <t xml:space="preserve">CUS783</t>
  </si>
  <si>
    <t xml:space="preserve">KAN957GH</t>
  </si>
  <si>
    <t xml:space="preserve">CUS784</t>
  </si>
  <si>
    <t xml:space="preserve">ABJ749GH</t>
  </si>
  <si>
    <t xml:space="preserve">20/04/2025</t>
  </si>
  <si>
    <t xml:space="preserve">CUS785</t>
  </si>
  <si>
    <t xml:space="preserve">ABJ351CD</t>
  </si>
  <si>
    <t xml:space="preserve">CUS786</t>
  </si>
  <si>
    <t xml:space="preserve">CUS787</t>
  </si>
  <si>
    <t xml:space="preserve">KAN300EF</t>
  </si>
  <si>
    <t xml:space="preserve">CUS788</t>
  </si>
  <si>
    <t xml:space="preserve">LAG255EF</t>
  </si>
  <si>
    <t xml:space="preserve">CUS789</t>
  </si>
  <si>
    <t xml:space="preserve">ABJ851EF</t>
  </si>
  <si>
    <t xml:space="preserve">CUS790</t>
  </si>
  <si>
    <t xml:space="preserve">LAG234CD</t>
  </si>
  <si>
    <t xml:space="preserve">CUS791</t>
  </si>
  <si>
    <t xml:space="preserve">KAN996CD</t>
  </si>
  <si>
    <t xml:space="preserve">CUS792</t>
  </si>
  <si>
    <t xml:space="preserve">KAN977GH</t>
  </si>
  <si>
    <t xml:space="preserve">CUS793</t>
  </si>
  <si>
    <t xml:space="preserve">KAN319CD</t>
  </si>
  <si>
    <t xml:space="preserve">15/04/2025</t>
  </si>
  <si>
    <t xml:space="preserve">CUS794</t>
  </si>
  <si>
    <t xml:space="preserve">LAG168EF</t>
  </si>
  <si>
    <t xml:space="preserve">CUS795</t>
  </si>
  <si>
    <t xml:space="preserve">KAN725CD</t>
  </si>
  <si>
    <t xml:space="preserve">CUS796</t>
  </si>
  <si>
    <t xml:space="preserve">KAN282CD</t>
  </si>
  <si>
    <t xml:space="preserve">16/03/2025</t>
  </si>
  <si>
    <t xml:space="preserve">CUS797</t>
  </si>
  <si>
    <t xml:space="preserve">LAG804EF</t>
  </si>
  <si>
    <t xml:space="preserve">CUS798</t>
  </si>
  <si>
    <t xml:space="preserve">KAN489GH</t>
  </si>
  <si>
    <t xml:space="preserve">CUS799</t>
  </si>
  <si>
    <t xml:space="preserve">KAN340GH</t>
  </si>
  <si>
    <t xml:space="preserve">CUS800</t>
  </si>
  <si>
    <t xml:space="preserve">LAG595GH</t>
  </si>
  <si>
    <t xml:space="preserve">CUS801</t>
  </si>
  <si>
    <t xml:space="preserve">KAN284EF</t>
  </si>
  <si>
    <t xml:space="preserve">CUS802</t>
  </si>
  <si>
    <t xml:space="preserve">ABJ996EF</t>
  </si>
  <si>
    <t xml:space="preserve">CUS803</t>
  </si>
  <si>
    <t xml:space="preserve">KAN596EF</t>
  </si>
  <si>
    <t xml:space="preserve">CUS804</t>
  </si>
  <si>
    <t xml:space="preserve">KAN501GH</t>
  </si>
  <si>
    <t xml:space="preserve">CUS805</t>
  </si>
  <si>
    <t xml:space="preserve">LAG656EF</t>
  </si>
  <si>
    <t xml:space="preserve">17/10/2025</t>
  </si>
  <si>
    <t xml:space="preserve">CUS806</t>
  </si>
  <si>
    <t xml:space="preserve">LAG198CD</t>
  </si>
  <si>
    <t xml:space="preserve">CUS807</t>
  </si>
  <si>
    <t xml:space="preserve">CUS808</t>
  </si>
  <si>
    <t xml:space="preserve">LAG557EF</t>
  </si>
  <si>
    <t xml:space="preserve">CUS809</t>
  </si>
  <si>
    <t xml:space="preserve">ABJ778EF</t>
  </si>
  <si>
    <t xml:space="preserve">CUS810</t>
  </si>
  <si>
    <t xml:space="preserve">CUS811</t>
  </si>
  <si>
    <t xml:space="preserve">17/08/2025</t>
  </si>
  <si>
    <t xml:space="preserve">CUS812</t>
  </si>
  <si>
    <t xml:space="preserve">LAG813EF</t>
  </si>
  <si>
    <t xml:space="preserve">CUS813</t>
  </si>
  <si>
    <t xml:space="preserve">KAN231EF</t>
  </si>
  <si>
    <t xml:space="preserve">CUS814</t>
  </si>
  <si>
    <t xml:space="preserve">LAG715EF</t>
  </si>
  <si>
    <t xml:space="preserve">CUS815</t>
  </si>
  <si>
    <t xml:space="preserve">KAN340CD</t>
  </si>
  <si>
    <t xml:space="preserve">CUS816</t>
  </si>
  <si>
    <t xml:space="preserve">LAG374GH</t>
  </si>
  <si>
    <t xml:space="preserve">CUS817</t>
  </si>
  <si>
    <t xml:space="preserve">ABJ971EF</t>
  </si>
  <si>
    <t xml:space="preserve">CUS818</t>
  </si>
  <si>
    <t xml:space="preserve">ABJ675EF</t>
  </si>
  <si>
    <t xml:space="preserve">14/03/2025</t>
  </si>
  <si>
    <t xml:space="preserve">CUS819</t>
  </si>
  <si>
    <t xml:space="preserve">LAG791EF</t>
  </si>
  <si>
    <t xml:space="preserve">CUS820</t>
  </si>
  <si>
    <t xml:space="preserve">CUS821</t>
  </si>
  <si>
    <t xml:space="preserve">LAG508EF</t>
  </si>
  <si>
    <t xml:space="preserve">CUS822</t>
  </si>
  <si>
    <t xml:space="preserve">CUS823</t>
  </si>
  <si>
    <t xml:space="preserve">KAN324EF</t>
  </si>
  <si>
    <t xml:space="preserve">CUS824</t>
  </si>
  <si>
    <t xml:space="preserve">CUS825</t>
  </si>
  <si>
    <t xml:space="preserve">LAG558EF</t>
  </si>
  <si>
    <t xml:space="preserve">CUS826</t>
  </si>
  <si>
    <t xml:space="preserve">ABJ686CD</t>
  </si>
  <si>
    <t xml:space="preserve">CUS827</t>
  </si>
  <si>
    <t xml:space="preserve">KAN311GH</t>
  </si>
  <si>
    <t xml:space="preserve">15/12/2025</t>
  </si>
  <si>
    <t xml:space="preserve">CUS828</t>
  </si>
  <si>
    <t xml:space="preserve">ABJ728GH</t>
  </si>
  <si>
    <t xml:space="preserve">CUS829</t>
  </si>
  <si>
    <t xml:space="preserve">CUS830</t>
  </si>
  <si>
    <t xml:space="preserve">KAN120GH</t>
  </si>
  <si>
    <t xml:space="preserve">CUS831</t>
  </si>
  <si>
    <t xml:space="preserve">ABJ921EF</t>
  </si>
  <si>
    <t xml:space="preserve">CUS832</t>
  </si>
  <si>
    <t xml:space="preserve">ABJ899GH</t>
  </si>
  <si>
    <t xml:space="preserve">CUS833</t>
  </si>
  <si>
    <t xml:space="preserve">LAG461GH</t>
  </si>
  <si>
    <t xml:space="preserve">CUS834</t>
  </si>
  <si>
    <t xml:space="preserve">CUS835</t>
  </si>
  <si>
    <t xml:space="preserve">CUS836</t>
  </si>
  <si>
    <t xml:space="preserve">KAN303CD</t>
  </si>
  <si>
    <t xml:space="preserve">CUS837</t>
  </si>
  <si>
    <t xml:space="preserve">KAN505GH</t>
  </si>
  <si>
    <t xml:space="preserve">CUS838</t>
  </si>
  <si>
    <t xml:space="preserve">CUS839</t>
  </si>
  <si>
    <t xml:space="preserve">LAG439EF</t>
  </si>
  <si>
    <t xml:space="preserve">CUS840</t>
  </si>
  <si>
    <t xml:space="preserve">CUS841</t>
  </si>
  <si>
    <t xml:space="preserve">ABJ113CD</t>
  </si>
  <si>
    <t xml:space="preserve">CUS842</t>
  </si>
  <si>
    <t xml:space="preserve">ABJ873GH</t>
  </si>
  <si>
    <t xml:space="preserve">CUS843</t>
  </si>
  <si>
    <t xml:space="preserve">ABJ613EF</t>
  </si>
  <si>
    <t xml:space="preserve">CUS844</t>
  </si>
  <si>
    <t xml:space="preserve">LAG143CD</t>
  </si>
  <si>
    <t xml:space="preserve">CUS845</t>
  </si>
  <si>
    <t xml:space="preserve">LAG408CD</t>
  </si>
  <si>
    <t xml:space="preserve">CUS846</t>
  </si>
  <si>
    <t xml:space="preserve">ABJ746GH</t>
  </si>
  <si>
    <t xml:space="preserve">CUS847</t>
  </si>
  <si>
    <t xml:space="preserve">ABJ134EF</t>
  </si>
  <si>
    <t xml:space="preserve">CUS848</t>
  </si>
  <si>
    <t xml:space="preserve">CUS849</t>
  </si>
  <si>
    <t xml:space="preserve">KAN510CD</t>
  </si>
  <si>
    <t xml:space="preserve">CUS850</t>
  </si>
  <si>
    <t xml:space="preserve">KAN997EF</t>
  </si>
  <si>
    <t xml:space="preserve">CUS851</t>
  </si>
  <si>
    <t xml:space="preserve">ABJ178CD</t>
  </si>
  <si>
    <t xml:space="preserve">CUS852</t>
  </si>
  <si>
    <t xml:space="preserve">KAN839GH</t>
  </si>
  <si>
    <t xml:space="preserve">CUS853</t>
  </si>
  <si>
    <t xml:space="preserve">CUS854</t>
  </si>
  <si>
    <t xml:space="preserve">CUS855</t>
  </si>
  <si>
    <t xml:space="preserve">KAN255CD</t>
  </si>
  <si>
    <t xml:space="preserve">CUS856</t>
  </si>
  <si>
    <t xml:space="preserve">CUS857</t>
  </si>
  <si>
    <t xml:space="preserve">ABJ951GH</t>
  </si>
  <si>
    <t xml:space="preserve">CUS858</t>
  </si>
  <si>
    <t xml:space="preserve">LAG903EF</t>
  </si>
  <si>
    <t xml:space="preserve">CUS859</t>
  </si>
  <si>
    <t xml:space="preserve">CUS860</t>
  </si>
  <si>
    <t xml:space="preserve">CUS861</t>
  </si>
  <si>
    <t xml:space="preserve">LAG307CD</t>
  </si>
  <si>
    <t xml:space="preserve">CUS862</t>
  </si>
  <si>
    <t xml:space="preserve">LAG771GH</t>
  </si>
  <si>
    <t xml:space="preserve">16/09/2025</t>
  </si>
  <si>
    <t xml:space="preserve">CUS863</t>
  </si>
  <si>
    <t xml:space="preserve">LAG485EF</t>
  </si>
  <si>
    <t xml:space="preserve">CUS864</t>
  </si>
  <si>
    <t xml:space="preserve">LAG195CD</t>
  </si>
  <si>
    <t xml:space="preserve">CUS865</t>
  </si>
  <si>
    <t xml:space="preserve">LAG674EF</t>
  </si>
  <si>
    <t xml:space="preserve">CUS866</t>
  </si>
  <si>
    <t xml:space="preserve">LAG391GH</t>
  </si>
  <si>
    <t xml:space="preserve">CUS867</t>
  </si>
  <si>
    <t xml:space="preserve">KAN618CD</t>
  </si>
  <si>
    <t xml:space="preserve">CUS868</t>
  </si>
  <si>
    <t xml:space="preserve">LAG117EF</t>
  </si>
  <si>
    <t xml:space="preserve">CUS869</t>
  </si>
  <si>
    <t xml:space="preserve">KAN503EF</t>
  </si>
  <si>
    <t xml:space="preserve">CUS870</t>
  </si>
  <si>
    <t xml:space="preserve">KAN831CD</t>
  </si>
  <si>
    <t xml:space="preserve">CUS871</t>
  </si>
  <si>
    <t xml:space="preserve">LAG329GH</t>
  </si>
  <si>
    <t xml:space="preserve">CUS872</t>
  </si>
  <si>
    <t xml:space="preserve">ABJ506CD</t>
  </si>
  <si>
    <t xml:space="preserve">CUS873</t>
  </si>
  <si>
    <t xml:space="preserve">LAG478EF</t>
  </si>
  <si>
    <t xml:space="preserve">CUS874</t>
  </si>
  <si>
    <t xml:space="preserve">KAN211GH</t>
  </si>
  <si>
    <t xml:space="preserve">CUS875</t>
  </si>
  <si>
    <t xml:space="preserve">LAG440CD</t>
  </si>
  <si>
    <t xml:space="preserve">CUS876</t>
  </si>
  <si>
    <t xml:space="preserve">CUS877</t>
  </si>
  <si>
    <t xml:space="preserve">KAN273CD</t>
  </si>
  <si>
    <t xml:space="preserve">CUS878</t>
  </si>
  <si>
    <t xml:space="preserve">LAG707CD</t>
  </si>
  <si>
    <t xml:space="preserve">25/11/2025</t>
  </si>
  <si>
    <t xml:space="preserve">CUS879</t>
  </si>
  <si>
    <t xml:space="preserve">ABJ244EF</t>
  </si>
  <si>
    <t xml:space="preserve">CUS880</t>
  </si>
  <si>
    <t xml:space="preserve">KAN958EF</t>
  </si>
  <si>
    <t xml:space="preserve">CUS881</t>
  </si>
  <si>
    <t xml:space="preserve">KAN840GH</t>
  </si>
  <si>
    <t xml:space="preserve">CUS882</t>
  </si>
  <si>
    <t xml:space="preserve">ABJ160EF</t>
  </si>
  <si>
    <t xml:space="preserve">CUS883</t>
  </si>
  <si>
    <t xml:space="preserve">LAG521EF</t>
  </si>
  <si>
    <t xml:space="preserve">CUS884</t>
  </si>
  <si>
    <t xml:space="preserve">KAN445CD</t>
  </si>
  <si>
    <t xml:space="preserve">CUS885</t>
  </si>
  <si>
    <t xml:space="preserve">ABJ429GH</t>
  </si>
  <si>
    <t xml:space="preserve">CUS886</t>
  </si>
  <si>
    <t xml:space="preserve">KAN713EF</t>
  </si>
  <si>
    <t xml:space="preserve">CUS887</t>
  </si>
  <si>
    <t xml:space="preserve">ABJ374GH</t>
  </si>
  <si>
    <t xml:space="preserve">CUS888</t>
  </si>
  <si>
    <t xml:space="preserve">CUS889</t>
  </si>
  <si>
    <t xml:space="preserve">LAG658EF</t>
  </si>
  <si>
    <t xml:space="preserve">CUS890</t>
  </si>
  <si>
    <t xml:space="preserve">LAG767CD</t>
  </si>
  <si>
    <t xml:space="preserve">CUS891</t>
  </si>
  <si>
    <t xml:space="preserve">LAG572GH</t>
  </si>
  <si>
    <t xml:space="preserve">CUS892</t>
  </si>
  <si>
    <t xml:space="preserve">LAG626GH</t>
  </si>
  <si>
    <t xml:space="preserve">CUS893</t>
  </si>
  <si>
    <t xml:space="preserve">KAN850CD</t>
  </si>
  <si>
    <t xml:space="preserve">CUS894</t>
  </si>
  <si>
    <t xml:space="preserve">ABJ535GH</t>
  </si>
  <si>
    <t xml:space="preserve">CUS895</t>
  </si>
  <si>
    <t xml:space="preserve">ABJ484CD</t>
  </si>
  <si>
    <t xml:space="preserve">CUS896</t>
  </si>
  <si>
    <t xml:space="preserve">ABJ265GH</t>
  </si>
  <si>
    <t xml:space="preserve">CUS897</t>
  </si>
  <si>
    <t xml:space="preserve">KAN224CD</t>
  </si>
  <si>
    <t xml:space="preserve">CUS898</t>
  </si>
  <si>
    <t xml:space="preserve">ABJ548CD</t>
  </si>
  <si>
    <t xml:space="preserve">26/05/2025</t>
  </si>
  <si>
    <t xml:space="preserve">CUS899</t>
  </si>
  <si>
    <t xml:space="preserve">ABJ534EF</t>
  </si>
  <si>
    <t xml:space="preserve">CUS900</t>
  </si>
  <si>
    <t xml:space="preserve">ABJ741GH</t>
  </si>
  <si>
    <t xml:space="preserve">CUS901</t>
  </si>
  <si>
    <t xml:space="preserve">LAG243GH</t>
  </si>
  <si>
    <t xml:space="preserve">CUS902</t>
  </si>
  <si>
    <t xml:space="preserve">KAN528EF</t>
  </si>
  <si>
    <t xml:space="preserve">CUS903</t>
  </si>
  <si>
    <t xml:space="preserve">ABJ403CD</t>
  </si>
  <si>
    <t xml:space="preserve">CUS904</t>
  </si>
  <si>
    <t xml:space="preserve">LAG401GH</t>
  </si>
  <si>
    <t xml:space="preserve">CUS905</t>
  </si>
  <si>
    <t xml:space="preserve">KAN377GH</t>
  </si>
  <si>
    <t xml:space="preserve">CUS906</t>
  </si>
  <si>
    <t xml:space="preserve">LAG729EF</t>
  </si>
  <si>
    <t xml:space="preserve">CUS907</t>
  </si>
  <si>
    <t xml:space="preserve">KAN765CD</t>
  </si>
  <si>
    <t xml:space="preserve">CUS908</t>
  </si>
  <si>
    <t xml:space="preserve">ABJ397GH</t>
  </si>
  <si>
    <t xml:space="preserve">CUS909</t>
  </si>
  <si>
    <t xml:space="preserve">KAN309GH</t>
  </si>
  <si>
    <t xml:space="preserve">CUS910</t>
  </si>
  <si>
    <t xml:space="preserve">KAN480GH</t>
  </si>
  <si>
    <t xml:space="preserve">CUS911</t>
  </si>
  <si>
    <t xml:space="preserve">KAN357EF</t>
  </si>
  <si>
    <t xml:space="preserve">CUS912</t>
  </si>
  <si>
    <t xml:space="preserve">LAG315EF</t>
  </si>
  <si>
    <t xml:space="preserve">CUS913</t>
  </si>
  <si>
    <t xml:space="preserve">KAN837CD</t>
  </si>
  <si>
    <t xml:space="preserve">CUS914</t>
  </si>
  <si>
    <t xml:space="preserve">ABJ636GH</t>
  </si>
  <si>
    <t xml:space="preserve">CUS915</t>
  </si>
  <si>
    <t xml:space="preserve">LAG110EF</t>
  </si>
  <si>
    <t xml:space="preserve">CUS916</t>
  </si>
  <si>
    <t xml:space="preserve">LAG283CD</t>
  </si>
  <si>
    <t xml:space="preserve">CUS917</t>
  </si>
  <si>
    <t xml:space="preserve">LAG168CD</t>
  </si>
  <si>
    <t xml:space="preserve">CUS918</t>
  </si>
  <si>
    <t xml:space="preserve">LAG818CD</t>
  </si>
  <si>
    <t xml:space="preserve">CUS919</t>
  </si>
  <si>
    <t xml:space="preserve">ABJ810CD</t>
  </si>
  <si>
    <t xml:space="preserve">18/06/2025</t>
  </si>
  <si>
    <t xml:space="preserve">CUS920</t>
  </si>
  <si>
    <t xml:space="preserve">KAN569EF</t>
  </si>
  <si>
    <t xml:space="preserve">CUS921</t>
  </si>
  <si>
    <t xml:space="preserve">CUS922</t>
  </si>
  <si>
    <t xml:space="preserve">LAG708CD</t>
  </si>
  <si>
    <t xml:space="preserve">CUS923</t>
  </si>
  <si>
    <t xml:space="preserve">ABJ458GH</t>
  </si>
  <si>
    <t xml:space="preserve">CUS924</t>
  </si>
  <si>
    <t xml:space="preserve">KAN331EF</t>
  </si>
  <si>
    <t xml:space="preserve">CUS925</t>
  </si>
  <si>
    <t xml:space="preserve">KAN114CD</t>
  </si>
  <si>
    <t xml:space="preserve">CUS926</t>
  </si>
  <si>
    <t xml:space="preserve">LAG391EF</t>
  </si>
  <si>
    <t xml:space="preserve">CUS927</t>
  </si>
  <si>
    <t xml:space="preserve">KAN846EF</t>
  </si>
  <si>
    <t xml:space="preserve">19/12/2025</t>
  </si>
  <si>
    <t xml:space="preserve">CUS928</t>
  </si>
  <si>
    <t xml:space="preserve">LAG739EF</t>
  </si>
  <si>
    <t xml:space="preserve">CUS929</t>
  </si>
  <si>
    <t xml:space="preserve">LAG674GH</t>
  </si>
  <si>
    <t xml:space="preserve">CUS930</t>
  </si>
  <si>
    <t xml:space="preserve">KAN775CD</t>
  </si>
  <si>
    <t xml:space="preserve">CUS931</t>
  </si>
  <si>
    <t xml:space="preserve">ABJ706CD</t>
  </si>
  <si>
    <t xml:space="preserve">CUS932</t>
  </si>
  <si>
    <t xml:space="preserve">ABJ848CD</t>
  </si>
  <si>
    <t xml:space="preserve">CUS933</t>
  </si>
  <si>
    <t xml:space="preserve">LAG282EF</t>
  </si>
  <si>
    <t xml:space="preserve">CUS934</t>
  </si>
  <si>
    <t xml:space="preserve">CUS935</t>
  </si>
  <si>
    <t xml:space="preserve">KAN701GH</t>
  </si>
  <si>
    <t xml:space="preserve">CUS936</t>
  </si>
  <si>
    <t xml:space="preserve">LAG438GH</t>
  </si>
  <si>
    <t xml:space="preserve">24/12/2025</t>
  </si>
  <si>
    <t xml:space="preserve">CUS937</t>
  </si>
  <si>
    <t xml:space="preserve">KAN719EF</t>
  </si>
  <si>
    <t xml:space="preserve">29/05/2025</t>
  </si>
  <si>
    <t xml:space="preserve">CUS938</t>
  </si>
  <si>
    <t xml:space="preserve">KAN992GH</t>
  </si>
  <si>
    <t xml:space="preserve">CUS939</t>
  </si>
  <si>
    <t xml:space="preserve">KAN584CD</t>
  </si>
  <si>
    <t xml:space="preserve">CUS940</t>
  </si>
  <si>
    <t xml:space="preserve">ABJ102CD</t>
  </si>
  <si>
    <t xml:space="preserve">CUS941</t>
  </si>
  <si>
    <t xml:space="preserve">ABJ193GH</t>
  </si>
  <si>
    <t xml:space="preserve">CUS942</t>
  </si>
  <si>
    <t xml:space="preserve">ABJ246CD</t>
  </si>
  <si>
    <t xml:space="preserve">CUS943</t>
  </si>
  <si>
    <t xml:space="preserve">LAG995CD</t>
  </si>
  <si>
    <t xml:space="preserve">CUS944</t>
  </si>
  <si>
    <t xml:space="preserve">LAG179CD</t>
  </si>
  <si>
    <t xml:space="preserve">CUS945</t>
  </si>
  <si>
    <t xml:space="preserve">ABJ623EF</t>
  </si>
  <si>
    <t xml:space="preserve">CUS946</t>
  </si>
  <si>
    <t xml:space="preserve">LAG780EF</t>
  </si>
  <si>
    <t xml:space="preserve">CUS947</t>
  </si>
  <si>
    <t xml:space="preserve">LAG409GH</t>
  </si>
  <si>
    <t xml:space="preserve">CUS948</t>
  </si>
  <si>
    <t xml:space="preserve">ABJ346GH</t>
  </si>
  <si>
    <t xml:space="preserve">CUS949</t>
  </si>
  <si>
    <t xml:space="preserve">LAG486EF</t>
  </si>
  <si>
    <t xml:space="preserve">CUS950</t>
  </si>
  <si>
    <t xml:space="preserve">KAN585EF</t>
  </si>
  <si>
    <t xml:space="preserve">CUS951</t>
  </si>
  <si>
    <t xml:space="preserve">LAG958GH</t>
  </si>
  <si>
    <t xml:space="preserve">CUS952</t>
  </si>
  <si>
    <t xml:space="preserve">LAG643CD</t>
  </si>
  <si>
    <t xml:space="preserve">CUS953</t>
  </si>
  <si>
    <t xml:space="preserve">KAN962CD</t>
  </si>
  <si>
    <t xml:space="preserve">CUS954</t>
  </si>
  <si>
    <t xml:space="preserve">ABJ748EF</t>
  </si>
  <si>
    <t xml:space="preserve">CUS955</t>
  </si>
  <si>
    <t xml:space="preserve">KAN246EF</t>
  </si>
  <si>
    <t xml:space="preserve">CUS956</t>
  </si>
  <si>
    <t xml:space="preserve">KAN552EF</t>
  </si>
  <si>
    <t xml:space="preserve">CUS957</t>
  </si>
  <si>
    <t xml:space="preserve">CUS958</t>
  </si>
  <si>
    <t xml:space="preserve">KAN223GH</t>
  </si>
  <si>
    <t xml:space="preserve">CUS959</t>
  </si>
  <si>
    <t xml:space="preserve">LAG767EF</t>
  </si>
  <si>
    <t xml:space="preserve">CUS960</t>
  </si>
  <si>
    <t xml:space="preserve">CUS961</t>
  </si>
  <si>
    <t xml:space="preserve">LAG889GH</t>
  </si>
  <si>
    <t xml:space="preserve">30/06/2025</t>
  </si>
  <si>
    <t xml:space="preserve">CUS962</t>
  </si>
  <si>
    <t xml:space="preserve">LAG845EF</t>
  </si>
  <si>
    <t xml:space="preserve">CUS963</t>
  </si>
  <si>
    <t xml:space="preserve">CUS964</t>
  </si>
  <si>
    <t xml:space="preserve">ABJ491EF</t>
  </si>
  <si>
    <t xml:space="preserve">CUS965</t>
  </si>
  <si>
    <t xml:space="preserve">ABJ865CD</t>
  </si>
  <si>
    <t xml:space="preserve">CUS966</t>
  </si>
  <si>
    <t xml:space="preserve">ABJ552EF</t>
  </si>
  <si>
    <t xml:space="preserve">CUS967</t>
  </si>
  <si>
    <t xml:space="preserve">KAN299CD</t>
  </si>
  <si>
    <t xml:space="preserve">23/03/2025</t>
  </si>
  <si>
    <t xml:space="preserve">CUS968</t>
  </si>
  <si>
    <t xml:space="preserve">KAN417EF</t>
  </si>
  <si>
    <t xml:space="preserve">CUS969</t>
  </si>
  <si>
    <t xml:space="preserve">ABJ477EF</t>
  </si>
  <si>
    <t xml:space="preserve">CUS970</t>
  </si>
  <si>
    <t xml:space="preserve">KAN113GH</t>
  </si>
  <si>
    <t xml:space="preserve">CUS971</t>
  </si>
  <si>
    <t xml:space="preserve">CUS972</t>
  </si>
  <si>
    <t xml:space="preserve">LAG757EF</t>
  </si>
  <si>
    <t xml:space="preserve">CUS973</t>
  </si>
  <si>
    <t xml:space="preserve">LAG144GH</t>
  </si>
  <si>
    <t xml:space="preserve">CUS974</t>
  </si>
  <si>
    <t xml:space="preserve">KAN359EF</t>
  </si>
  <si>
    <t xml:space="preserve">CUS975</t>
  </si>
  <si>
    <t xml:space="preserve">KAN158GH</t>
  </si>
  <si>
    <t xml:space="preserve">CUS976</t>
  </si>
  <si>
    <t xml:space="preserve">ABJ983GH</t>
  </si>
  <si>
    <t xml:space="preserve">CUS977</t>
  </si>
  <si>
    <t xml:space="preserve">LAG722GH</t>
  </si>
  <si>
    <t xml:space="preserve">CUS978</t>
  </si>
  <si>
    <t xml:space="preserve">LAG602CD</t>
  </si>
  <si>
    <t xml:space="preserve">CUS979</t>
  </si>
  <si>
    <t xml:space="preserve">CUS980</t>
  </si>
  <si>
    <t xml:space="preserve">KAN926CD</t>
  </si>
  <si>
    <t xml:space="preserve">CUS981</t>
  </si>
  <si>
    <t xml:space="preserve">CUS982</t>
  </si>
  <si>
    <t xml:space="preserve">KAN830CD</t>
  </si>
  <si>
    <t xml:space="preserve">CUS983</t>
  </si>
  <si>
    <t xml:space="preserve">CUS984</t>
  </si>
  <si>
    <t xml:space="preserve">ABJ184EF</t>
  </si>
  <si>
    <t xml:space="preserve">CUS985</t>
  </si>
  <si>
    <t xml:space="preserve">ABJ157EF</t>
  </si>
  <si>
    <t xml:space="preserve">CUS986</t>
  </si>
  <si>
    <t xml:space="preserve">KAN827CD</t>
  </si>
  <si>
    <t xml:space="preserve">CUS987</t>
  </si>
  <si>
    <t xml:space="preserve">LAG199GH</t>
  </si>
  <si>
    <t xml:space="preserve">CUS988</t>
  </si>
  <si>
    <t xml:space="preserve">LAG973CD</t>
  </si>
  <si>
    <t xml:space="preserve">CUS989</t>
  </si>
  <si>
    <t xml:space="preserve">KAN728GH</t>
  </si>
  <si>
    <t xml:space="preserve">CUS990</t>
  </si>
  <si>
    <t xml:space="preserve">ABJ440GH</t>
  </si>
  <si>
    <t xml:space="preserve">CUS991</t>
  </si>
  <si>
    <t xml:space="preserve">LAG826CD</t>
  </si>
  <si>
    <t xml:space="preserve">CUS992</t>
  </si>
  <si>
    <t xml:space="preserve">KAN839EF</t>
  </si>
  <si>
    <t xml:space="preserve">CUS993</t>
  </si>
  <si>
    <t xml:space="preserve">KAN114GH</t>
  </si>
  <si>
    <t xml:space="preserve">CUS994</t>
  </si>
  <si>
    <t xml:space="preserve">LAG526GH</t>
  </si>
  <si>
    <t xml:space="preserve">CUS995</t>
  </si>
  <si>
    <t xml:space="preserve">KAN162CD</t>
  </si>
  <si>
    <t xml:space="preserve">CUS996</t>
  </si>
  <si>
    <t xml:space="preserve">ABJ944GH</t>
  </si>
  <si>
    <t xml:space="preserve">CUS997</t>
  </si>
  <si>
    <t xml:space="preserve">ABJ846EF</t>
  </si>
  <si>
    <t xml:space="preserve">CUS998</t>
  </si>
  <si>
    <t xml:space="preserve">ABJ276EF</t>
  </si>
  <si>
    <t xml:space="preserve">CUS999</t>
  </si>
  <si>
    <t xml:space="preserve">ABJ382GH</t>
  </si>
  <si>
    <t xml:space="preserve">21/04/2025</t>
  </si>
  <si>
    <t xml:space="preserve">CUS1000</t>
  </si>
  <si>
    <t xml:space="preserve">ABJ805GH</t>
  </si>
  <si>
    <t xml:space="preserve">Updated_Date</t>
  </si>
  <si>
    <t xml:space="preserve">Brand_Name</t>
  </si>
  <si>
    <t xml:space="preserve">Complaints</t>
  </si>
  <si>
    <t xml:space="preserve">Parts_Replaced2</t>
  </si>
  <si>
    <t xml:space="preserve">Mechanic_Names</t>
  </si>
  <si>
    <t xml:space="preserve">Payment_Mode_S</t>
  </si>
  <si>
    <t xml:space="preserve">Customer_Rating</t>
  </si>
  <si>
    <t xml:space="preserve">Remark</t>
  </si>
  <si>
    <t xml:space="preserve">Workshop_Locations</t>
  </si>
  <si>
    <t xml:space="preserve">Referrals_Source</t>
  </si>
  <si>
    <t xml:space="preserve">Waiting_Time_Mins</t>
  </si>
  <si>
    <t xml:space="preserve">Spare_Parts_Availability2</t>
  </si>
  <si>
    <t xml:space="preserve">Service_Priority2</t>
  </si>
  <si>
    <t xml:space="preserve">Customer_Type2</t>
  </si>
  <si>
    <t xml:space="preserve">Fleet_Name2</t>
  </si>
  <si>
    <t xml:space="preserve">Mechanics_Skill_Level</t>
  </si>
  <si>
    <t xml:space="preserve">Parts_Costs</t>
  </si>
  <si>
    <t xml:space="preserve">Labour_Cost2</t>
  </si>
  <si>
    <t xml:space="preserve">Fuel_Topup</t>
  </si>
  <si>
    <t xml:space="preserve">Discount_Given2</t>
  </si>
  <si>
    <t xml:space="preserve">Promo_Code_Used2</t>
  </si>
  <si>
    <t xml:space="preserve">Follow_Up_Date2</t>
  </si>
  <si>
    <t xml:space="preserve">Has_Insurance_Cover2</t>
  </si>
  <si>
    <t xml:space="preserve">Mechanic_Notes2</t>
  </si>
  <si>
    <t xml:space="preserve">Customer_Notes2</t>
  </si>
  <si>
    <t xml:space="preserve">Request_For_Pickup2</t>
  </si>
  <si>
    <t xml:space="preserve">Home_Service2</t>
  </si>
  <si>
    <t xml:space="preserve">Towing_Required2</t>
  </si>
  <si>
    <t xml:space="preserve">Service_Package2</t>
  </si>
  <si>
    <t xml:space="preserve">Whatsapp_Followup2</t>
  </si>
  <si>
    <t xml:space="preserve">Toyota</t>
  </si>
  <si>
    <t xml:space="preserve">Mercedes</t>
  </si>
  <si>
    <t xml:space="preserve">Suspension Noise</t>
  </si>
  <si>
    <t xml:space="preserve">Gold</t>
  </si>
  <si>
    <t xml:space="preserve">Honda</t>
  </si>
  <si>
    <t xml:space="preserve">No complaints</t>
  </si>
  <si>
    <t xml:space="preserve">One-Time Plan</t>
  </si>
  <si>
    <t xml:space="preserve">Brake Failure</t>
  </si>
  <si>
    <t xml:space="preserve">Lexus</t>
  </si>
  <si>
    <t xml:space="preserve">Logistics Convoy</t>
  </si>
  <si>
    <t xml:space="preserve">Engine Knocking</t>
  </si>
  <si>
    <t xml:space="preserve">Government Convoy</t>
  </si>
  <si>
    <t xml:space="preserve">Fuel_Topup?</t>
  </si>
  <si>
    <t xml:space="preserve">Benz Supply</t>
  </si>
  <si>
    <t xml:space="preserve">Unknown</t>
  </si>
  <si>
    <t xml:space="preserve">No Follow Up Needed</t>
  </si>
  <si>
    <t xml:space="preserve">No comments</t>
  </si>
  <si>
    <t xml:space="preserve">04/01/2025</t>
  </si>
  <si>
    <t xml:space="preserve">Pos</t>
  </si>
  <si>
    <t xml:space="preserve">No remarks</t>
  </si>
  <si>
    <t xml:space="preserve">Under Tree</t>
  </si>
  <si>
    <t xml:space="preserve">Orderd</t>
  </si>
  <si>
    <t xml:space="preserve">Direct From Benz</t>
  </si>
  <si>
    <t xml:space="preserve">PROMO10</t>
  </si>
  <si>
    <t xml:space="preserve">Shock Absorbers</t>
  </si>
  <si>
    <t xml:space="preserve">Vip Section</t>
  </si>
  <si>
    <t xml:space="preserve">Timing Belt</t>
  </si>
  <si>
    <t xml:space="preserve">Not Found</t>
  </si>
  <si>
    <t xml:space="preserve">Whatsapp</t>
  </si>
  <si>
    <t xml:space="preserve">Not Mentioned</t>
  </si>
  <si>
    <t xml:space="preserve">07/02/2025</t>
  </si>
  <si>
    <t xml:space="preserve">15/03/2025</t>
  </si>
  <si>
    <t xml:space="preserve">Oil Filter, Brake Pads</t>
  </si>
  <si>
    <t xml:space="preserve">02/10/2025</t>
  </si>
  <si>
    <t xml:space="preserve">Air Filter</t>
  </si>
  <si>
    <t xml:space="preserve">08/09/2025</t>
  </si>
  <si>
    <t xml:space="preserve">27/01/2025</t>
  </si>
  <si>
    <t xml:space="preserve">Availaible</t>
  </si>
  <si>
    <t xml:space="preserve">Word Of Mouth</t>
  </si>
  <si>
    <t xml:space="preserve">11/05/2025</t>
  </si>
  <si>
    <t xml:space="preserve">12/06/2025</t>
  </si>
  <si>
    <t xml:space="preserve">14/11/2025</t>
  </si>
  <si>
    <t xml:space="preserve">07/12/2025</t>
  </si>
  <si>
    <t xml:space="preserve">11/12/2025</t>
  </si>
  <si>
    <t xml:space="preserve">Followed Up</t>
  </si>
  <si>
    <t xml:space="preserve">05/12/2025</t>
  </si>
  <si>
    <t xml:space="preserve">07/10/2025</t>
  </si>
  <si>
    <t xml:space="preserve">11/02/2025</t>
  </si>
  <si>
    <t xml:space="preserve">01/02/2025</t>
  </si>
  <si>
    <t xml:space="preserve">06/07/2025</t>
  </si>
  <si>
    <t xml:space="preserve">01/11/2025</t>
  </si>
  <si>
    <t xml:space="preserve">Location Unavailable</t>
  </si>
  <si>
    <t xml:space="preserve">06/10/2025</t>
  </si>
  <si>
    <t xml:space="preserve">10/06/2025</t>
  </si>
  <si>
    <t xml:space="preserve">24/09/2025</t>
  </si>
  <si>
    <t xml:space="preserve">08/05/2025</t>
  </si>
  <si>
    <t xml:space="preserve">09/09/2025</t>
  </si>
  <si>
    <t xml:space="preserve">10/09/2025</t>
  </si>
  <si>
    <t xml:space="preserve">07/09/2025</t>
  </si>
  <si>
    <t xml:space="preserve">07/06/2025</t>
  </si>
  <si>
    <t xml:space="preserve">07/03/2025</t>
  </si>
  <si>
    <t xml:space="preserve">01/07/2025</t>
  </si>
  <si>
    <t xml:space="preserve">05/11/2025</t>
  </si>
  <si>
    <t xml:space="preserve">12/05/2025</t>
  </si>
  <si>
    <t xml:space="preserve">02/01/2025</t>
  </si>
  <si>
    <t xml:space="preserve">09/04/2025</t>
  </si>
  <si>
    <t xml:space="preserve">04/07/2025</t>
  </si>
  <si>
    <t xml:space="preserve">07/08/2025</t>
  </si>
  <si>
    <t xml:space="preserve">26/03/2025</t>
  </si>
  <si>
    <t xml:space="preserve">06/03/2025</t>
  </si>
  <si>
    <t xml:space="preserve">05/08/2025</t>
  </si>
  <si>
    <t xml:space="preserve">26/04/2025</t>
  </si>
  <si>
    <t xml:space="preserve">10/04/2025</t>
  </si>
  <si>
    <t xml:space="preserve">01/12/2025</t>
  </si>
  <si>
    <t xml:space="preserve">09/07/2025</t>
  </si>
  <si>
    <t xml:space="preserve">06/05/2025</t>
  </si>
  <si>
    <t xml:space="preserve">12/04/2025</t>
  </si>
  <si>
    <t xml:space="preserve">10/02/2025</t>
  </si>
  <si>
    <t xml:space="preserve">11/04/2025</t>
  </si>
  <si>
    <t xml:space="preserve">12/08/2025</t>
  </si>
  <si>
    <t xml:space="preserve">06/12/2025</t>
  </si>
  <si>
    <t xml:space="preserve">03/01/2025</t>
  </si>
  <si>
    <t xml:space="preserve">12/07/2025</t>
  </si>
  <si>
    <t xml:space="preserve">05/05/2025</t>
  </si>
  <si>
    <t xml:space="preserve">03/02/2025</t>
  </si>
  <si>
    <t xml:space="preserve">08/11/2025</t>
  </si>
  <si>
    <t xml:space="preserve">09/02/2025</t>
  </si>
  <si>
    <t xml:space="preserve">09/03/2025</t>
  </si>
  <si>
    <t xml:space="preserve">04/04/2025</t>
  </si>
  <si>
    <t xml:space="preserve">12/10/2025</t>
  </si>
  <si>
    <t xml:space="preserve">02/04/2025</t>
  </si>
  <si>
    <t xml:space="preserve">08/10/2025</t>
  </si>
  <si>
    <t xml:space="preserve">08/01/2025</t>
  </si>
  <si>
    <t xml:space="preserve">08/03/2025</t>
  </si>
  <si>
    <t xml:space="preserve">05/01/2025</t>
  </si>
  <si>
    <t xml:space="preserve">03/03/2025</t>
  </si>
  <si>
    <t xml:space="preserve">01/05/2025</t>
  </si>
  <si>
    <t xml:space="preserve">07/04/2025</t>
  </si>
  <si>
    <t xml:space="preserve">04/05/2025</t>
  </si>
  <si>
    <t xml:space="preserve">08/08/2025</t>
  </si>
  <si>
    <t xml:space="preserve">05/09/2025</t>
  </si>
  <si>
    <t xml:space="preserve">03/04/2025</t>
  </si>
  <si>
    <t xml:space="preserve">05/04/2025</t>
  </si>
  <si>
    <t xml:space="preserve">02/02/2025</t>
  </si>
  <si>
    <t xml:space="preserve">04/02/2025</t>
  </si>
  <si>
    <t xml:space="preserve">11/09/2025</t>
  </si>
  <si>
    <t xml:space="preserve">23/09/2025</t>
  </si>
  <si>
    <t xml:space="preserve">03/06/2025</t>
  </si>
  <si>
    <t xml:space="preserve">05/06/2025</t>
  </si>
  <si>
    <t xml:space="preserve">09/06/2025</t>
  </si>
  <si>
    <t xml:space="preserve">12/02/2025</t>
  </si>
  <si>
    <t xml:space="preserve">02/06/2025</t>
  </si>
  <si>
    <t xml:space="preserve">10/01/2025</t>
  </si>
  <si>
    <t xml:space="preserve">25/08/2025</t>
  </si>
  <si>
    <t xml:space="preserve">12/01/2025</t>
  </si>
  <si>
    <t xml:space="preserve">28/07/2025</t>
  </si>
  <si>
    <t xml:space="preserve">11/06/2025</t>
  </si>
  <si>
    <t xml:space="preserve">04/12/2025</t>
  </si>
  <si>
    <t xml:space="preserve">09/01/2025</t>
  </si>
  <si>
    <t xml:space="preserve">08/06/2025</t>
  </si>
  <si>
    <t xml:space="preserve">23/01/2025</t>
  </si>
  <si>
    <t xml:space="preserve">08/02/2025</t>
  </si>
  <si>
    <t xml:space="preserve">12/03/2025</t>
  </si>
  <si>
    <t xml:space="preserve">27/04/2025</t>
  </si>
  <si>
    <t xml:space="preserve">02/11/2025</t>
  </si>
  <si>
    <t xml:space="preserve">03/08/2025</t>
  </si>
  <si>
    <t xml:space="preserve">03/09/2025</t>
  </si>
  <si>
    <t xml:space="preserve">11/07/2025</t>
  </si>
  <si>
    <t xml:space="preserve">11/11/2025</t>
  </si>
  <si>
    <t xml:space="preserve">07/05/2025</t>
  </si>
  <si>
    <t xml:space="preserve">04/11/2025</t>
  </si>
  <si>
    <t xml:space="preserve">06/08/2025</t>
  </si>
  <si>
    <t xml:space="preserve">01/10/2025</t>
  </si>
  <si>
    <t xml:space="preserve">01/04/2025</t>
  </si>
  <si>
    <t xml:space="preserve">17/02/2025</t>
  </si>
  <si>
    <t xml:space="preserve">01/08/2025</t>
  </si>
  <si>
    <t xml:space="preserve">06/06/2025</t>
  </si>
  <si>
    <t xml:space="preserve">08/04/2025</t>
  </si>
  <si>
    <t xml:space="preserve">22/12/2025</t>
  </si>
  <si>
    <t xml:space="preserve">27/07/2025</t>
  </si>
  <si>
    <t xml:space="preserve">10/11/2025</t>
  </si>
  <si>
    <t xml:space="preserve">10/03/2025</t>
  </si>
  <si>
    <t xml:space="preserve">10/05/2025</t>
  </si>
  <si>
    <t xml:space="preserve">06/11/2025</t>
  </si>
  <si>
    <t xml:space="preserve">10/10/2025</t>
  </si>
  <si>
    <t xml:space="preserve">10/12/2025</t>
  </si>
  <si>
    <t xml:space="preserve">21/07/2025</t>
  </si>
  <si>
    <t xml:space="preserve">04/06/2025</t>
  </si>
  <si>
    <t xml:space="preserve">03/11/2025</t>
  </si>
  <si>
    <t xml:space="preserve">02/03/2025</t>
  </si>
  <si>
    <t xml:space="preserve">19/09/2025</t>
  </si>
  <si>
    <t xml:space="preserve">07/01/2025</t>
  </si>
  <si>
    <t xml:space="preserve">01/09/2025</t>
  </si>
  <si>
    <t xml:space="preserve">01/06/2025</t>
  </si>
  <si>
    <t xml:space="preserve">02/07/2025</t>
  </si>
  <si>
    <t xml:space="preserve">02/12/2025</t>
  </si>
  <si>
    <t xml:space="preserve">11/01/2025</t>
  </si>
  <si>
    <t xml:space="preserve">06/02/2025</t>
  </si>
  <si>
    <t xml:space="preserve">03/05/2025</t>
  </si>
  <si>
    <t xml:space="preserve">01/01/2025</t>
  </si>
  <si>
    <t xml:space="preserve">03/07/2025</t>
  </si>
  <si>
    <t xml:space="preserve">12/12/2025</t>
  </si>
  <si>
    <t xml:space="preserve">09/11/2025</t>
  </si>
  <si>
    <t xml:space="preserve">10/08/2025</t>
  </si>
  <si>
    <t xml:space="preserve">01/03/2025</t>
  </si>
  <si>
    <t xml:space="preserve">05/03/2025</t>
  </si>
  <si>
    <t xml:space="preserve">12/11/2025</t>
  </si>
  <si>
    <t xml:space="preserve">30/08/2025</t>
  </si>
  <si>
    <t xml:space="preserve">08/12/2025</t>
  </si>
  <si>
    <t xml:space="preserve">06/09/2025</t>
  </si>
  <si>
    <t xml:space="preserve">04/03/2025</t>
  </si>
  <si>
    <t xml:space="preserve">06/01/2025</t>
  </si>
  <si>
    <t xml:space="preserve">09/05/2025</t>
  </si>
  <si>
    <t xml:space="preserve">02/05/2025</t>
  </si>
  <si>
    <t xml:space="preserve">06/04/2025</t>
  </si>
  <si>
    <t xml:space="preserve">04/09/2025</t>
  </si>
  <si>
    <t xml:space="preserve">11/03/2025</t>
  </si>
  <si>
    <t xml:space="preserve">03/12/2025</t>
  </si>
  <si>
    <t xml:space="preserve">09/08/2025</t>
  </si>
  <si>
    <t xml:space="preserve">10/07/2025</t>
  </si>
  <si>
    <t xml:space="preserve">12/09/2025</t>
  </si>
  <si>
    <t xml:space="preserve">07/11/2025</t>
  </si>
  <si>
    <t xml:space="preserve">05/02/2025</t>
  </si>
  <si>
    <t xml:space="preserve">07/07/2025</t>
  </si>
  <si>
    <t xml:space="preserve">05/10/2025</t>
  </si>
  <si>
    <t xml:space="preserve">11/08/2025</t>
  </si>
  <si>
    <t xml:space="preserve">11/10/2025</t>
  </si>
  <si>
    <t xml:space="preserve">09/10/2025</t>
  </si>
  <si>
    <t xml:space="preserve">09/12/2025</t>
  </si>
  <si>
    <t xml:space="preserve">02/08/2025</t>
  </si>
  <si>
    <t xml:space="preserve">25/03/2025</t>
  </si>
  <si>
    <t xml:space="preserve">04/08/2025</t>
  </si>
  <si>
    <t xml:space="preserve">02/09/2025</t>
  </si>
  <si>
    <t xml:space="preserve">29/09/2025</t>
  </si>
  <si>
    <t xml:space="preserve">05/07/2025</t>
  </si>
  <si>
    <t xml:space="preserve">17/09/2025</t>
  </si>
  <si>
    <t xml:space="preserve">08/07/2025</t>
  </si>
  <si>
    <t xml:space="preserve">27/02/2025</t>
  </si>
  <si>
    <t xml:space="preserve">This Cleaning work has been done using Excel Web( Dates in this dataset cannot be completely coverted to date formate using Excel Web)</t>
  </si>
  <si>
    <t xml:space="preserve">This file consist of 4 worksheets, Unclean_Dataset contains raw data, WorksShop_ Dataset contains complete raw data and cleaned dataset (without applying paste special) , Mini_Project_Cleaned_Dataset contains completely cleaned data(Applied paste special) and Cleaning_Process_record worksheet.</t>
  </si>
  <si>
    <t xml:space="preserve">Process Done</t>
  </si>
  <si>
    <t xml:space="preserve">Results In</t>
  </si>
  <si>
    <t xml:space="preserve">1.Created Table </t>
  </si>
  <si>
    <t xml:space="preserve">Table name is Workshop_Data</t>
  </si>
  <si>
    <t xml:space="preserve">2.Sorted Cutomer_ID column in ascending order and placed as first column</t>
  </si>
  <si>
    <t xml:space="preserve">Column A2:A1001</t>
  </si>
  <si>
    <t xml:space="preserve">3.Corrected Date which were listed in two different formates</t>
  </si>
  <si>
    <t xml:space="preserve">4.Created a cloumn "Brand_Name" used Flash Fill.</t>
  </si>
  <si>
    <t xml:space="preserve">Column G2:G1001</t>
  </si>
  <si>
    <t xml:space="preserve">5.Missing values of column "Complaint" has been filled with values from "Complaint" that having same "Vehicle_Type", </t>
  </si>
  <si>
    <t xml:space="preserve">   "Service_Type" ,and "Parts Replaced", if there is not match filled with "Not Found".</t>
  </si>
  <si>
    <t xml:space="preserve">Column "Complaints" K2:K1001</t>
  </si>
  <si>
    <t xml:space="preserve">6.Missing values of "Mechanic_Name" is filled names that have same " Parts_Replaced".</t>
  </si>
  <si>
    <t xml:space="preserve">Column "Mechanic_Names" O2:O1001</t>
  </si>
  <si>
    <t xml:space="preserve">7.Column "Service_Cost" converted to corrency without decimals</t>
  </si>
  <si>
    <t xml:space="preserve">Column "Service_Cost" P2:P1001</t>
  </si>
  <si>
    <t xml:space="preserve">8.Made columns "Parts_Replaced" and  "Payment_Mode" proper.</t>
  </si>
  <si>
    <t xml:space="preserve">Columns "Parts_Replaced2" L2:L1001 &amp; "Payment_Mode_S" R2:R1001</t>
  </si>
  <si>
    <t xml:space="preserve">9.All the misspelled words replaced with correct words in the table using Find and Replace</t>
  </si>
  <si>
    <t xml:space="preserve">22 Coulumns Updated</t>
  </si>
  <si>
    <t xml:space="preserve">10. Null values in column "Rating" has been filled with average rating.</t>
  </si>
  <si>
    <t xml:space="preserve">Column "Customer Rating" U2:U1001</t>
  </si>
  <si>
    <t xml:space="preserve">11. Remarks in blank cells of column "Remarks" has been filled with " No Remarks".</t>
  </si>
  <si>
    <t xml:space="preserve">Column "Remark"  X2:X1001</t>
  </si>
  <si>
    <t xml:space="preserve">12.Missing values of column "Work_Location" has been updated with " Location Unavailable" and made the column proper.</t>
  </si>
  <si>
    <t xml:space="preserve">Column "Workshop_Locations" AA2:AA1001</t>
  </si>
  <si>
    <t xml:space="preserve">13.Made "Referral_Source" column proper.</t>
  </si>
  <si>
    <t xml:space="preserve">Column "Referrals_Source" AC2:AC1001</t>
  </si>
  <si>
    <t xml:space="preserve">14.Missing values in column "Wait_Time_Mins" has been filled with average of "Wait_Time_Mins"</t>
  </si>
  <si>
    <t xml:space="preserve">Column "Waiting_Time_Mins" AE2:AE1001</t>
  </si>
  <si>
    <t xml:space="preserve">15. Blank cells in colum "Fleet_Name" has been filled with "Unknown"</t>
  </si>
  <si>
    <t xml:space="preserve">Column "Fleet_Name2" AN2:AN1001</t>
  </si>
  <si>
    <t xml:space="preserve">16.Mssing values in "Mechanic_Skill_Level " has been filled with "Unknown"</t>
  </si>
  <si>
    <t xml:space="preserve">Column "Mechanics_Skill_Level" AP2:AP1001</t>
  </si>
  <si>
    <t xml:space="preserve">17.Missing values in "Parts_Cost" has been filled with average of "Parts_Cost" that have same "Parts Replaced2"</t>
  </si>
  <si>
    <t xml:space="preserve">Column "Parts_Costs" AR2:AR1001</t>
  </si>
  <si>
    <t xml:space="preserve">18.Missing values in "Labour_Cost" has been filled with average labour cost.</t>
  </si>
  <si>
    <t xml:space="preserve">Column "Labour_Cost2" AT2:AT1001</t>
  </si>
  <si>
    <t xml:space="preserve">19. Missing values in "Fuel_TopUp?" has been filled with "No" since this column values doasnot affect any other columns</t>
  </si>
  <si>
    <t xml:space="preserve">Column "Fuel_TopUp" AV2:AV1001</t>
  </si>
  <si>
    <t xml:space="preserve">20. Missing values in "Discount_Given" has been filled with 0, because column contains 0 that got not discounts.</t>
  </si>
  <si>
    <t xml:space="preserve">Column "Discount_Given2" AX2:AX1001</t>
  </si>
  <si>
    <t xml:space="preserve">21. Missing values in "Promo_Code_Used" has been filled with "NONE" and converted text in UPPERCASE</t>
  </si>
  <si>
    <t xml:space="preserve">Column "Promo_Code_Used2" AZ2:AZ1001</t>
  </si>
  <si>
    <r>
      <rPr>
        <sz val="11"/>
        <color rgb="FF000000"/>
        <rFont val="Calibri"/>
        <family val="0"/>
        <charset val="1"/>
      </rPr>
      <t xml:space="preserve">22.Column "Follow_Up_Date" has been coverted to Date fromate(</t>
    </r>
    <r>
      <rPr>
        <sz val="11"/>
        <color rgb="FFFF0000"/>
        <rFont val="Calibri"/>
        <family val="0"/>
        <charset val="1"/>
      </rPr>
      <t xml:space="preserve">Excel Web is not changing some dates into date fromate)</t>
    </r>
  </si>
  <si>
    <t xml:space="preserve">    and filled null cells with " No Follow Up Needed"</t>
  </si>
  <si>
    <t xml:space="preserve">Column "Follow_Up_Date2" BB2:BB1001</t>
  </si>
  <si>
    <t xml:space="preserve">23.Missing values in"Has_Insurance_Cover" has been filled with "Unkown" and made the column proper using PROPER()</t>
  </si>
  <si>
    <t xml:space="preserve">Column "Has_Insurance_Cover2" BD2:BD1001</t>
  </si>
  <si>
    <t xml:space="preserve">24.Missing vlues in "Mechanic_Notes" has been filled with " No comments"</t>
  </si>
  <si>
    <t xml:space="preserve">Column "Mechanic_Notes2" BF2:BF1001</t>
  </si>
  <si>
    <t xml:space="preserve">25.Missing vlues in "Customer_Notes" has been filled with " No comments"</t>
  </si>
  <si>
    <t xml:space="preserve">Column "Customer_Notes2" BH2:BH1001</t>
  </si>
  <si>
    <t xml:space="preserve">26.Missing values of "Request_For_Pickup" has been filled with "Not Mentioned" and made the column proper</t>
  </si>
  <si>
    <t xml:space="preserve">Column "Request_For_Pickup2" BJ2:BJ1001</t>
  </si>
  <si>
    <t xml:space="preserve">27.Missing values of "Home_Service" has been filled with "Not Mentioned" and made the column proper</t>
  </si>
  <si>
    <t xml:space="preserve">Column "Home_Service" BL2:BL1001</t>
  </si>
  <si>
    <t xml:space="preserve">28.Missing values of "Towing_Required" has been filled with "Not Mentioned" and made the column prope8</t>
  </si>
  <si>
    <t xml:space="preserve">Column "Towing_Required" BN2:BN1001</t>
  </si>
  <si>
    <t xml:space="preserve">29.Misseg values of "Service_Package" is filled with "One-Time Plan"</t>
  </si>
  <si>
    <t xml:space="preserve">Column"Service_Package2" BP2:BP1001</t>
  </si>
  <si>
    <t xml:space="preserve">30.Mising values in "Whatsapp_Followup" has been handles with " No"</t>
  </si>
  <si>
    <t xml:space="preserve">Column "Whatsapp_Followup2" BR2:BR1001</t>
  </si>
  <si>
    <t xml:space="preserve">31. Made the columns Proper usign PROPER(), "Service_Priority", " Spare_Parts_Availability", "Referral_Source" and "Customer_Type".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</si>
</sst>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[$-409]d\-mmm\-yyyy;@"/>
    <numFmt numFmtId="167" formatCode="@"/>
    <numFmt numFmtId="168" formatCode="\$#,##0"/>
    <numFmt numFmtId="169" formatCode="0"/>
    <numFmt numFmtId="170" formatCode="m/d/yyyy;@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1F2328"/>
      <name val="Mona Sans VF"/>
      <family val="0"/>
      <charset val="1"/>
    </font>
    <font>
      <b val="true"/>
      <sz val="12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4"/>
      <color rgb="FF000000"/>
      <name val="Calibri"/>
      <family val="2"/>
      <charset val="1"/>
    </font>
    <font>
      <sz val="11"/>
      <color rgb="FF000000"/>
      <name val="Calibri"/>
      <family val="0"/>
      <charset val="1"/>
    </font>
    <font>
      <b val="true"/>
      <sz val="12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32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66600</xdr:colOff>
      <xdr:row>0</xdr:row>
      <xdr:rowOff>104760</xdr:rowOff>
    </xdr:from>
    <xdr:to>
      <xdr:col>1</xdr:col>
      <xdr:colOff>3657240</xdr:colOff>
      <xdr:row>4</xdr:row>
      <xdr:rowOff>47160</xdr:rowOff>
    </xdr:to>
    <xdr:sp>
      <xdr:nvSpPr>
        <xdr:cNvPr id="0" name="TextBox 1"/>
        <xdr:cNvSpPr/>
      </xdr:nvSpPr>
      <xdr:spPr>
        <a:xfrm>
          <a:off x="66600" y="104760"/>
          <a:ext cx="11243160" cy="713880"/>
        </a:xfrm>
        <a:prstGeom prst="rect">
          <a:avLst/>
        </a:prstGeom>
        <a:solidFill>
          <a:schemeClr val="bg1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anchor="ctr">
          <a:noAutofit/>
        </a:bodyPr>
        <a:p>
          <a:pPr>
            <a:lnSpc>
              <a:spcPct val="100000"/>
            </a:lnSpc>
            <a:tabLst>
              <a:tab algn="l" pos="0"/>
            </a:tabLst>
          </a:pPr>
          <a:r>
            <a:rPr b="1" lang="en-US" sz="1200" spc="-1" strike="noStrike">
              <a:latin typeface="Calibri"/>
              <a:ea typeface="Calibri"/>
            </a:rPr>
            <a:t>This is a simulated dataset; collected from Kaggle; created for analytical practice and dashboard development, inspired by a real auto workshop in Nigeria called “Bobo Benz Workshop.” It reflects the daily operations, customer behaviours , service records, and financial transactions of a local mechanic business trying to scale and modernize.</a:t>
          </a:r>
          <a:endParaRPr b="0" lang="en-IN" sz="1200" spc="-1" strike="noStrike">
            <a:latin typeface="Times New Roman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1" name="Workshop_Data" displayName="Workshop_Data" ref="A1:BR1001" headerRowCount="1" totalsRowCount="0" totalsRowShown="0">
  <autoFilter ref="A1:BR1001"/>
  <tableColumns count="70">
    <tableColumn id="1" name="Customer_ID"/>
    <tableColumn id="2" name="Date"/>
    <tableColumn id="3" name="Updated_Date"/>
    <tableColumn id="4" name="Customer_Name"/>
    <tableColumn id="5" name="Phone"/>
    <tableColumn id="6" name="Vehicle_Type"/>
    <tableColumn id="7" name="Brand_Name"/>
    <tableColumn id="8" name="Plate_Number"/>
    <tableColumn id="9" name="Service_Type"/>
    <tableColumn id="10" name="Complaint"/>
    <tableColumn id="11" name="Complaints"/>
    <tableColumn id="12" name="Parts_Replaced"/>
    <tableColumn id="13" name="Parts_Replaced2"/>
    <tableColumn id="14" name="Mechanic_Name"/>
    <tableColumn id="15" name="Mechanic_Names"/>
    <tableColumn id="16" name="Service_Cost"/>
    <tableColumn id="17" name="Payment_Mode"/>
    <tableColumn id="18" name="Payment_Mode_S"/>
    <tableColumn id="19" name="Return_Visit"/>
    <tableColumn id="20" name="Rating"/>
    <tableColumn id="21" name="Customer_Rating"/>
    <tableColumn id="22" name="Service_Time_Hours"/>
    <tableColumn id="23" name="Remarks"/>
    <tableColumn id="24" name="Remark"/>
    <tableColumn id="25" name="Status"/>
    <tableColumn id="26" name="Workshop_Location"/>
    <tableColumn id="27" name="Workshop_Locations"/>
    <tableColumn id="28" name="Referral_Source"/>
    <tableColumn id="29" name="Referrals_Source"/>
    <tableColumn id="30" name="Wait_Time_Mins"/>
    <tableColumn id="31" name="Waiting_Time_Mins"/>
    <tableColumn id="32" name="Spare_Parts_Availability"/>
    <tableColumn id="33" name="Spare_Parts_Availability2"/>
    <tableColumn id="34" name="Parts_Source"/>
    <tableColumn id="35" name="Service_Priority"/>
    <tableColumn id="36" name="Service_Priority2"/>
    <tableColumn id="37" name="Customer_Type"/>
    <tableColumn id="38" name="Customer_Type2"/>
    <tableColumn id="39" name="Fleet_Name"/>
    <tableColumn id="40" name="Fleet_Name2"/>
    <tableColumn id="41" name="Mechanic_Skill_Level"/>
    <tableColumn id="42" name="Mechanics_Skill_Level"/>
    <tableColumn id="43" name="Parts_Cost"/>
    <tableColumn id="44" name="Parts_Costs"/>
    <tableColumn id="45" name="Labour_Cost"/>
    <tableColumn id="46" name="Labour_Cost2"/>
    <tableColumn id="47" name="Fuel_TopUp?"/>
    <tableColumn id="48" name="Fuel_Topup"/>
    <tableColumn id="49" name="Discount_Given"/>
    <tableColumn id="50" name="Discount_Given2"/>
    <tableColumn id="51" name="Promo_Code_Used"/>
    <tableColumn id="52" name="Promo_Code_Used2"/>
    <tableColumn id="53" name="Follow_Up_Date"/>
    <tableColumn id="54" name="Follow_Up_Date2"/>
    <tableColumn id="55" name="Has_Insurance_Cover"/>
    <tableColumn id="56" name="Has_Insurance_Cover2"/>
    <tableColumn id="57" name="Mechanic_Notes"/>
    <tableColumn id="58" name="Mechanic_Notes2"/>
    <tableColumn id="59" name="Customer_Notes"/>
    <tableColumn id="60" name="Customer_Notes2"/>
    <tableColumn id="61" name="Request_For_Pickup"/>
    <tableColumn id="62" name="Request_For_Pickup2"/>
    <tableColumn id="63" name="Home_Service"/>
    <tableColumn id="64" name="Home_Service2"/>
    <tableColumn id="65" name="Towing_Required"/>
    <tableColumn id="66" name="Towing_Required2"/>
    <tableColumn id="67" name="Service_Package"/>
    <tableColumn id="68" name="Service_Package2"/>
    <tableColumn id="69" name="Whatsapp_Followup"/>
    <tableColumn id="70" name="Whatsapp_Followup2"/>
  </tableColumns>
</table>
</file>

<file path=xl/tables/table2.xml><?xml version="1.0" encoding="utf-8"?>
<table xmlns="http://schemas.openxmlformats.org/spreadsheetml/2006/main" id="2" name="Workshop_Data3" displayName="Workshop_Data3" ref="A1:AO1001" headerRowCount="1" totalsRowCount="0" totalsRowShown="0">
  <autoFilter ref="A1:AO1001"/>
  <tableColumns count="41">
    <tableColumn id="1" name="Customer_ID"/>
    <tableColumn id="2" name="Date"/>
    <tableColumn id="3" name="Customer_Name"/>
    <tableColumn id="4" name="Phone"/>
    <tableColumn id="5" name="Vehicle_Type"/>
    <tableColumn id="6" name="Brand_Name"/>
    <tableColumn id="7" name="Plate_Number"/>
    <tableColumn id="8" name="Service_Type"/>
    <tableColumn id="9" name="Complaints"/>
    <tableColumn id="10" name="Parts_Replaced"/>
    <tableColumn id="11" name="Mechanic_Names"/>
    <tableColumn id="12" name="Service_Cost"/>
    <tableColumn id="13" name="Payment_Mode"/>
    <tableColumn id="14" name="Return_Visit"/>
    <tableColumn id="15" name="Customer_Rating"/>
    <tableColumn id="16" name="Service_Time_Hours"/>
    <tableColumn id="17" name="Remark"/>
    <tableColumn id="18" name="Status"/>
    <tableColumn id="19" name="Workshop_Location"/>
    <tableColumn id="20" name="Referral_Source"/>
    <tableColumn id="21" name="Waiting_Time_Mins"/>
    <tableColumn id="22" name="Spare_Parts_Availability"/>
    <tableColumn id="23" name="Parts_Source"/>
    <tableColumn id="24" name="Service_Priority"/>
    <tableColumn id="25" name="Customer_Type"/>
    <tableColumn id="26" name="Fleet_Name"/>
    <tableColumn id="27" name="Mechanic_Skill_Level"/>
    <tableColumn id="28" name="Parts_Costs"/>
    <tableColumn id="29" name="Labour_Cost"/>
    <tableColumn id="30" name="Fuel_Topup?"/>
    <tableColumn id="31" name="Discount_Given"/>
    <tableColumn id="32" name="Promo_Code_Used"/>
    <tableColumn id="33" name="Follow_Up_Date"/>
    <tableColumn id="34" name="Has_Insurance_Cover"/>
    <tableColumn id="35" name="Mechanic_Notes"/>
    <tableColumn id="36" name="Customer_Notes"/>
    <tableColumn id="37" name="Request_For_Pickup"/>
    <tableColumn id="38" name="Home_Service"/>
    <tableColumn id="39" name="Towing_Required"/>
    <tableColumn id="40" name="Service_Package"/>
    <tableColumn id="41" name="Whatsapp_Followup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O1" activeCellId="1" sqref="F:F AO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1.43"/>
    <col collapsed="false" customWidth="true" hidden="false" outlineLevel="0" max="2" min="2" style="0" width="26"/>
    <col collapsed="false" customWidth="true" hidden="false" outlineLevel="0" max="3" min="3" style="0" width="25.85"/>
    <col collapsed="false" customWidth="true" hidden="false" outlineLevel="0" max="4" min="4" style="0" width="29"/>
    <col collapsed="false" customWidth="true" hidden="false" outlineLevel="0" max="5" min="5" style="0" width="21.85"/>
    <col collapsed="false" customWidth="true" hidden="false" outlineLevel="0" max="6" min="6" style="0" width="19.86"/>
    <col collapsed="false" customWidth="true" hidden="false" outlineLevel="0" max="7" min="7" style="0" width="21.57"/>
    <col collapsed="false" customWidth="true" hidden="false" outlineLevel="0" max="8" min="8" style="0" width="23.29"/>
    <col collapsed="false" customWidth="true" hidden="false" outlineLevel="0" max="9" min="9" style="0" width="19"/>
    <col collapsed="false" customWidth="true" hidden="false" outlineLevel="0" max="10" min="10" style="0" width="29.14"/>
    <col collapsed="false" customWidth="true" hidden="false" outlineLevel="0" max="11" min="11" style="0" width="28.86"/>
    <col collapsed="false" customWidth="true" hidden="false" outlineLevel="0" max="12" min="12" style="0" width="27.57"/>
    <col collapsed="false" customWidth="true" hidden="false" outlineLevel="0" max="14" min="14" style="0" width="16.71"/>
    <col collapsed="false" customWidth="true" hidden="false" outlineLevel="0" max="15" min="15" style="0" width="23.14"/>
    <col collapsed="false" customWidth="true" hidden="false" outlineLevel="0" max="16" min="16" style="0" width="26.42"/>
    <col collapsed="false" customWidth="true" hidden="false" outlineLevel="0" max="17" min="17" style="0" width="24.71"/>
    <col collapsed="false" customWidth="true" hidden="false" outlineLevel="0" max="18" min="18" style="0" width="21.71"/>
    <col collapsed="false" customWidth="true" hidden="false" outlineLevel="0" max="19" min="19" style="0" width="17.57"/>
    <col collapsed="false" customWidth="true" hidden="false" outlineLevel="0" max="20" min="20" style="0" width="16.57"/>
    <col collapsed="false" customWidth="true" hidden="false" outlineLevel="0" max="21" min="21" style="0" width="20.85"/>
    <col collapsed="false" customWidth="true" hidden="false" outlineLevel="0" max="22" min="22" style="0" width="20"/>
    <col collapsed="false" customWidth="true" hidden="false" outlineLevel="0" max="23" min="23" style="0" width="15"/>
    <col collapsed="false" customWidth="true" hidden="false" outlineLevel="0" max="24" min="24" style="0" width="28.71"/>
    <col collapsed="false" customWidth="true" hidden="false" outlineLevel="0" max="25" min="25" style="0" width="30"/>
    <col collapsed="false" customWidth="true" hidden="false" outlineLevel="0" max="26" min="26" style="0" width="21.43"/>
    <col collapsed="false" customWidth="true" hidden="false" outlineLevel="0" max="27" min="27" style="0" width="25"/>
    <col collapsed="false" customWidth="true" hidden="false" outlineLevel="0" max="28" min="28" style="0" width="40.85"/>
    <col collapsed="false" customWidth="true" hidden="false" outlineLevel="0" max="29" min="29" style="0" width="23.86"/>
    <col collapsed="false" customWidth="true" hidden="false" outlineLevel="0" max="30" min="30" style="0" width="41.15"/>
    <col collapsed="false" customWidth="true" hidden="false" outlineLevel="0" max="31" min="31" style="0" width="28"/>
    <col collapsed="false" customWidth="true" hidden="false" outlineLevel="0" max="32" min="32" style="0" width="27.86"/>
    <col collapsed="false" customWidth="true" hidden="false" outlineLevel="0" max="33" min="33" style="0" width="21.71"/>
    <col collapsed="false" customWidth="true" hidden="false" outlineLevel="0" max="34" min="34" style="0" width="29.86"/>
    <col collapsed="false" customWidth="true" hidden="false" outlineLevel="0" max="35" min="35" style="0" width="29.71"/>
    <col collapsed="false" customWidth="true" hidden="false" outlineLevel="0" max="36" min="36" style="0" width="28.29"/>
    <col collapsed="false" customWidth="true" hidden="false" outlineLevel="0" max="37" min="37" style="0" width="30.85"/>
    <col collapsed="false" customWidth="true" hidden="false" outlineLevel="0" max="38" min="38" style="0" width="23.86"/>
    <col collapsed="false" customWidth="true" hidden="false" outlineLevel="0" max="39" min="39" style="0" width="32.42"/>
    <col collapsed="false" customWidth="true" hidden="false" outlineLevel="0" max="40" min="40" style="0" width="28.86"/>
    <col collapsed="false" customWidth="true" hidden="false" outlineLevel="0" max="42" min="41" style="0" width="25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</row>
    <row r="2" customFormat="false" ht="15" hidden="false" customHeight="false" outlineLevel="0" collapsed="false">
      <c r="A2" s="0" t="s">
        <v>40</v>
      </c>
      <c r="B2" s="0" t="s">
        <v>41</v>
      </c>
      <c r="C2" s="0" t="s">
        <v>42</v>
      </c>
      <c r="D2" s="0" t="n">
        <v>8044398138</v>
      </c>
      <c r="E2" s="0" t="s">
        <v>43</v>
      </c>
      <c r="F2" s="0" t="s">
        <v>44</v>
      </c>
      <c r="G2" s="0" t="s">
        <v>45</v>
      </c>
      <c r="H2" s="0" t="s">
        <v>46</v>
      </c>
      <c r="I2" s="0" t="s">
        <v>47</v>
      </c>
      <c r="J2" s="0" t="s">
        <v>48</v>
      </c>
      <c r="K2" s="0" t="n">
        <v>110523</v>
      </c>
      <c r="L2" s="0" t="s">
        <v>49</v>
      </c>
      <c r="M2" s="0" t="s">
        <v>50</v>
      </c>
      <c r="N2" s="0" t="n">
        <v>4</v>
      </c>
      <c r="O2" s="0" t="n">
        <v>4.4</v>
      </c>
      <c r="P2" s="0" t="s">
        <v>51</v>
      </c>
      <c r="Q2" s="0" t="s">
        <v>52</v>
      </c>
      <c r="R2" s="0" t="s">
        <v>53</v>
      </c>
      <c r="S2" s="0" t="s">
        <v>54</v>
      </c>
      <c r="U2" s="0" t="s">
        <v>55</v>
      </c>
      <c r="V2" s="0" t="s">
        <v>56</v>
      </c>
      <c r="W2" s="0" t="s">
        <v>57</v>
      </c>
      <c r="X2" s="0" t="s">
        <v>58</v>
      </c>
      <c r="Y2" s="0" t="s">
        <v>59</v>
      </c>
      <c r="AA2" s="0" t="n">
        <v>40000</v>
      </c>
      <c r="AB2" s="0" t="n">
        <v>30000</v>
      </c>
      <c r="AC2" s="0" t="s">
        <v>50</v>
      </c>
      <c r="AD2" s="0" t="n">
        <v>0</v>
      </c>
      <c r="AE2" s="0" t="s">
        <v>60</v>
      </c>
      <c r="AG2" s="0" t="s">
        <v>61</v>
      </c>
      <c r="AJ2" s="0" t="s">
        <v>62</v>
      </c>
      <c r="AK2" s="0" t="s">
        <v>63</v>
      </c>
      <c r="AL2" s="0" t="s">
        <v>50</v>
      </c>
      <c r="AM2" s="0" t="s">
        <v>64</v>
      </c>
    </row>
    <row r="3" customFormat="false" ht="15" hidden="false" customHeight="false" outlineLevel="0" collapsed="false">
      <c r="A3" s="1" t="n">
        <v>45661</v>
      </c>
      <c r="B3" s="0" t="s">
        <v>65</v>
      </c>
      <c r="C3" s="0" t="s">
        <v>66</v>
      </c>
      <c r="D3" s="0" t="n">
        <v>8057699801</v>
      </c>
      <c r="E3" s="0" t="s">
        <v>67</v>
      </c>
      <c r="F3" s="0" t="s">
        <v>68</v>
      </c>
      <c r="G3" s="0" t="s">
        <v>69</v>
      </c>
      <c r="H3" s="0" t="s">
        <v>70</v>
      </c>
      <c r="I3" s="0" t="s">
        <v>47</v>
      </c>
      <c r="J3" s="0" t="s">
        <v>71</v>
      </c>
      <c r="K3" s="0" t="n">
        <v>71821</v>
      </c>
      <c r="L3" s="0" t="s">
        <v>72</v>
      </c>
      <c r="M3" s="0" t="s">
        <v>50</v>
      </c>
      <c r="O3" s="0" t="n">
        <v>2.3</v>
      </c>
      <c r="Q3" s="0" t="s">
        <v>73</v>
      </c>
      <c r="R3" s="0" t="s">
        <v>74</v>
      </c>
      <c r="S3" s="0" t="s">
        <v>75</v>
      </c>
      <c r="T3" s="0" t="n">
        <v>60</v>
      </c>
      <c r="U3" s="0" t="s">
        <v>76</v>
      </c>
      <c r="V3" s="0" t="s">
        <v>77</v>
      </c>
      <c r="W3" s="0" t="s">
        <v>78</v>
      </c>
      <c r="X3" s="0" t="s">
        <v>58</v>
      </c>
      <c r="Y3" s="0" t="s">
        <v>59</v>
      </c>
      <c r="Z3" s="0" t="s">
        <v>79</v>
      </c>
      <c r="AB3" s="0" t="n">
        <v>35000</v>
      </c>
      <c r="AC3" s="0" t="s">
        <v>63</v>
      </c>
      <c r="AE3" s="0" t="s">
        <v>80</v>
      </c>
      <c r="AG3" s="0" t="s">
        <v>61</v>
      </c>
      <c r="AJ3" s="0" t="s">
        <v>81</v>
      </c>
      <c r="AK3" s="0" t="s">
        <v>82</v>
      </c>
      <c r="AL3" s="0" t="s">
        <v>63</v>
      </c>
      <c r="AM3" s="0" t="s">
        <v>83</v>
      </c>
      <c r="AN3" s="0" t="s">
        <v>63</v>
      </c>
    </row>
    <row r="4" customFormat="false" ht="15" hidden="false" customHeight="false" outlineLevel="0" collapsed="false">
      <c r="A4" s="1" t="n">
        <v>45764</v>
      </c>
      <c r="B4" s="0" t="s">
        <v>84</v>
      </c>
      <c r="C4" s="0" t="s">
        <v>42</v>
      </c>
      <c r="D4" s="0" t="n">
        <v>8066506603</v>
      </c>
      <c r="E4" s="0" t="s">
        <v>85</v>
      </c>
      <c r="F4" s="0" t="s">
        <v>86</v>
      </c>
      <c r="G4" s="0" t="s">
        <v>87</v>
      </c>
      <c r="H4" s="0" t="s">
        <v>88</v>
      </c>
      <c r="I4" s="0" t="s">
        <v>89</v>
      </c>
      <c r="J4" s="0" t="s">
        <v>90</v>
      </c>
      <c r="K4" s="0" t="n">
        <v>62956</v>
      </c>
      <c r="L4" s="0" t="s">
        <v>91</v>
      </c>
      <c r="M4" s="0" t="s">
        <v>63</v>
      </c>
      <c r="N4" s="0" t="n">
        <v>2</v>
      </c>
      <c r="O4" s="0" t="n">
        <v>2.8</v>
      </c>
      <c r="P4" s="0" t="s">
        <v>92</v>
      </c>
      <c r="Q4" s="0" t="s">
        <v>93</v>
      </c>
      <c r="R4" s="0" t="s">
        <v>94</v>
      </c>
      <c r="S4" s="0" t="s">
        <v>95</v>
      </c>
      <c r="U4" s="0" t="s">
        <v>96</v>
      </c>
      <c r="V4" s="0" t="s">
        <v>97</v>
      </c>
      <c r="W4" s="0" t="s">
        <v>98</v>
      </c>
      <c r="X4" s="0" t="s">
        <v>99</v>
      </c>
      <c r="Y4" s="0" t="s">
        <v>59</v>
      </c>
      <c r="Z4" s="0" t="s">
        <v>79</v>
      </c>
      <c r="AB4" s="0" t="n">
        <v>30000</v>
      </c>
      <c r="AC4" s="0" t="s">
        <v>63</v>
      </c>
      <c r="AD4" s="0" t="n">
        <v>5000</v>
      </c>
      <c r="AE4" s="0" t="s">
        <v>80</v>
      </c>
      <c r="AF4" s="0" t="s">
        <v>100</v>
      </c>
      <c r="AG4" s="0" t="s">
        <v>50</v>
      </c>
      <c r="AI4" s="0" t="s">
        <v>101</v>
      </c>
      <c r="AJ4" s="0" t="s">
        <v>62</v>
      </c>
      <c r="AK4" s="0" t="s">
        <v>82</v>
      </c>
      <c r="AL4" s="0" t="s">
        <v>102</v>
      </c>
      <c r="AM4" s="0" t="s">
        <v>103</v>
      </c>
      <c r="AN4" s="0" t="s">
        <v>63</v>
      </c>
    </row>
    <row r="5" customFormat="false" ht="15" hidden="false" customHeight="false" outlineLevel="0" collapsed="false">
      <c r="A5" s="1" t="n">
        <v>45794</v>
      </c>
      <c r="B5" s="0" t="s">
        <v>104</v>
      </c>
      <c r="C5" s="0" t="s">
        <v>105</v>
      </c>
      <c r="D5" s="0" t="n">
        <v>8074612320</v>
      </c>
      <c r="E5" s="0" t="s">
        <v>85</v>
      </c>
      <c r="F5" s="0" t="s">
        <v>106</v>
      </c>
      <c r="G5" s="0" t="s">
        <v>107</v>
      </c>
      <c r="H5" s="0" t="s">
        <v>70</v>
      </c>
      <c r="I5" s="0" t="s">
        <v>108</v>
      </c>
      <c r="J5" s="0" t="s">
        <v>109</v>
      </c>
      <c r="K5" s="0" t="n">
        <v>77984</v>
      </c>
      <c r="L5" s="0" t="s">
        <v>110</v>
      </c>
      <c r="M5" s="0" t="s">
        <v>63</v>
      </c>
      <c r="N5" s="0" t="n">
        <v>4</v>
      </c>
      <c r="O5" s="0" t="n">
        <v>4.1</v>
      </c>
      <c r="P5" s="0" t="s">
        <v>111</v>
      </c>
      <c r="Q5" s="0" t="s">
        <v>52</v>
      </c>
      <c r="R5" s="0" t="s">
        <v>53</v>
      </c>
      <c r="S5" s="0" t="s">
        <v>54</v>
      </c>
      <c r="T5" s="0" t="n">
        <v>30</v>
      </c>
      <c r="U5" s="0" t="s">
        <v>112</v>
      </c>
      <c r="V5" s="0" t="s">
        <v>77</v>
      </c>
      <c r="W5" s="0" t="s">
        <v>113</v>
      </c>
      <c r="X5" s="0" t="s">
        <v>114</v>
      </c>
      <c r="Y5" s="0" t="s">
        <v>59</v>
      </c>
      <c r="Z5" s="0" t="s">
        <v>79</v>
      </c>
      <c r="AA5" s="0" t="n">
        <v>15000</v>
      </c>
      <c r="AC5" s="0" t="s">
        <v>50</v>
      </c>
      <c r="AD5" s="0" t="s">
        <v>115</v>
      </c>
      <c r="AE5" s="0" t="s">
        <v>60</v>
      </c>
      <c r="AF5" s="1" t="n">
        <v>45981</v>
      </c>
      <c r="AH5" s="0" t="s">
        <v>116</v>
      </c>
      <c r="AI5" s="0" t="s">
        <v>117</v>
      </c>
      <c r="AJ5" s="0" t="s">
        <v>63</v>
      </c>
      <c r="AK5" s="0" t="s">
        <v>82</v>
      </c>
      <c r="AL5" s="0" t="s">
        <v>63</v>
      </c>
      <c r="AM5" s="0" t="s">
        <v>118</v>
      </c>
      <c r="AN5" s="0" t="s">
        <v>50</v>
      </c>
    </row>
    <row r="6" customFormat="false" ht="15" hidden="false" customHeight="false" outlineLevel="0" collapsed="false">
      <c r="A6" s="0" t="s">
        <v>119</v>
      </c>
      <c r="B6" s="0" t="s">
        <v>120</v>
      </c>
      <c r="C6" s="0" t="s">
        <v>121</v>
      </c>
      <c r="D6" s="0" t="n">
        <v>8093329195</v>
      </c>
      <c r="E6" s="0" t="s">
        <v>122</v>
      </c>
      <c r="F6" s="0" t="s">
        <v>123</v>
      </c>
      <c r="G6" s="0" t="s">
        <v>107</v>
      </c>
      <c r="I6" s="0" t="s">
        <v>89</v>
      </c>
      <c r="J6" s="0" t="s">
        <v>109</v>
      </c>
      <c r="K6" s="0" t="n">
        <v>102558</v>
      </c>
      <c r="L6" s="0" t="s">
        <v>124</v>
      </c>
      <c r="M6" s="0" t="s">
        <v>50</v>
      </c>
      <c r="N6" s="0" t="n">
        <v>3</v>
      </c>
      <c r="O6" s="0" t="n">
        <v>3.9</v>
      </c>
      <c r="P6" s="0" t="s">
        <v>125</v>
      </c>
      <c r="Q6" s="0" t="s">
        <v>52</v>
      </c>
      <c r="R6" s="0" t="s">
        <v>53</v>
      </c>
      <c r="S6" s="0" t="s">
        <v>126</v>
      </c>
      <c r="T6" s="0" t="s">
        <v>127</v>
      </c>
      <c r="U6" s="0" t="s">
        <v>55</v>
      </c>
      <c r="V6" s="0" t="s">
        <v>97</v>
      </c>
      <c r="W6" s="0" t="s">
        <v>128</v>
      </c>
      <c r="X6" s="0" t="s">
        <v>114</v>
      </c>
      <c r="Z6" s="0" t="s">
        <v>129</v>
      </c>
      <c r="AA6" s="0" t="n">
        <v>15000</v>
      </c>
      <c r="AB6" s="0" t="n">
        <v>40000</v>
      </c>
      <c r="AC6" s="0" t="s">
        <v>63</v>
      </c>
      <c r="AD6" s="0" t="n">
        <v>0</v>
      </c>
      <c r="AE6" s="0" t="s">
        <v>130</v>
      </c>
      <c r="AF6" s="0" t="s">
        <v>131</v>
      </c>
      <c r="AG6" s="0" t="s">
        <v>50</v>
      </c>
      <c r="AH6" s="0" t="s">
        <v>116</v>
      </c>
      <c r="AI6" s="0" t="s">
        <v>117</v>
      </c>
      <c r="AJ6" s="0" t="s">
        <v>50</v>
      </c>
    </row>
    <row r="7" customFormat="false" ht="15" hidden="false" customHeight="false" outlineLevel="0" collapsed="false">
      <c r="A7" s="1" t="n">
        <v>45695</v>
      </c>
      <c r="B7" s="0" t="s">
        <v>132</v>
      </c>
      <c r="C7" s="0" t="s">
        <v>66</v>
      </c>
      <c r="D7" s="0" t="n">
        <v>8069676465</v>
      </c>
      <c r="E7" s="0" t="s">
        <v>43</v>
      </c>
      <c r="F7" s="0" t="s">
        <v>133</v>
      </c>
      <c r="G7" s="0" t="s">
        <v>134</v>
      </c>
      <c r="H7" s="0" t="s">
        <v>135</v>
      </c>
      <c r="I7" s="0" t="s">
        <v>108</v>
      </c>
      <c r="J7" s="0" t="s">
        <v>71</v>
      </c>
      <c r="K7" s="0" t="n">
        <v>21415</v>
      </c>
      <c r="L7" s="0" t="s">
        <v>49</v>
      </c>
      <c r="M7" s="0" t="s">
        <v>50</v>
      </c>
      <c r="N7" s="0" t="n">
        <v>2</v>
      </c>
      <c r="O7" s="0" t="n">
        <v>3</v>
      </c>
      <c r="P7" s="0" t="s">
        <v>111</v>
      </c>
      <c r="Q7" s="0" t="s">
        <v>73</v>
      </c>
      <c r="R7" s="0" t="s">
        <v>136</v>
      </c>
      <c r="S7" s="0" t="s">
        <v>95</v>
      </c>
      <c r="T7" s="0" t="n">
        <v>15</v>
      </c>
      <c r="U7" s="0" t="s">
        <v>112</v>
      </c>
      <c r="V7" s="0" t="s">
        <v>56</v>
      </c>
      <c r="W7" s="0" t="s">
        <v>78</v>
      </c>
      <c r="X7" s="0" t="s">
        <v>137</v>
      </c>
      <c r="Z7" s="0" t="s">
        <v>129</v>
      </c>
      <c r="AA7" s="0" t="n">
        <v>25000</v>
      </c>
      <c r="AB7" s="0" t="n">
        <v>35000</v>
      </c>
      <c r="AC7" s="0" t="s">
        <v>50</v>
      </c>
      <c r="AD7" s="0" t="s">
        <v>115</v>
      </c>
      <c r="AF7" s="1" t="n">
        <v>45827</v>
      </c>
      <c r="AG7" s="0" t="s">
        <v>61</v>
      </c>
      <c r="AI7" s="0" t="s">
        <v>117</v>
      </c>
      <c r="AJ7" s="0" t="s">
        <v>50</v>
      </c>
      <c r="AL7" s="0" t="s">
        <v>63</v>
      </c>
      <c r="AN7" s="0" t="s">
        <v>50</v>
      </c>
    </row>
    <row r="8" customFormat="false" ht="15" hidden="false" customHeight="false" outlineLevel="0" collapsed="false">
      <c r="A8" s="1" t="n">
        <v>45731</v>
      </c>
      <c r="B8" s="0" t="s">
        <v>138</v>
      </c>
      <c r="C8" s="0" t="s">
        <v>66</v>
      </c>
      <c r="D8" s="0" t="n">
        <v>8034954217</v>
      </c>
      <c r="E8" s="0" t="s">
        <v>139</v>
      </c>
      <c r="F8" s="0" t="s">
        <v>140</v>
      </c>
      <c r="G8" s="0" t="s">
        <v>107</v>
      </c>
      <c r="H8" s="0" t="s">
        <v>141</v>
      </c>
      <c r="I8" s="0" t="s">
        <v>142</v>
      </c>
      <c r="J8" s="0" t="s">
        <v>71</v>
      </c>
      <c r="K8" s="0" t="n">
        <v>97183</v>
      </c>
      <c r="L8" s="0" t="s">
        <v>49</v>
      </c>
      <c r="M8" s="0" t="s">
        <v>63</v>
      </c>
      <c r="N8" s="0" t="n">
        <v>1</v>
      </c>
      <c r="O8" s="0" t="n">
        <v>1.4</v>
      </c>
      <c r="P8" s="0" t="s">
        <v>51</v>
      </c>
      <c r="Q8" s="0" t="s">
        <v>73</v>
      </c>
      <c r="R8" s="0" t="s">
        <v>53</v>
      </c>
      <c r="S8" s="0" t="s">
        <v>126</v>
      </c>
      <c r="T8" s="0" t="n">
        <v>15</v>
      </c>
      <c r="U8" s="0" t="s">
        <v>112</v>
      </c>
      <c r="V8" s="0" t="s">
        <v>56</v>
      </c>
      <c r="W8" s="0" t="s">
        <v>113</v>
      </c>
      <c r="X8" s="0" t="s">
        <v>137</v>
      </c>
      <c r="Z8" s="0" t="s">
        <v>143</v>
      </c>
      <c r="AA8" s="0" t="n">
        <v>30000</v>
      </c>
      <c r="AB8" s="0" t="n">
        <v>30000</v>
      </c>
      <c r="AD8" s="0" t="n">
        <v>10000</v>
      </c>
      <c r="AE8" s="0" t="s">
        <v>80</v>
      </c>
      <c r="AH8" s="0" t="s">
        <v>116</v>
      </c>
      <c r="AI8" s="0" t="s">
        <v>117</v>
      </c>
      <c r="AJ8" s="0" t="s">
        <v>63</v>
      </c>
      <c r="AL8" s="0" t="s">
        <v>63</v>
      </c>
      <c r="AM8" s="0" t="s">
        <v>64</v>
      </c>
    </row>
    <row r="9" customFormat="false" ht="15" hidden="false" customHeight="false" outlineLevel="0" collapsed="false">
      <c r="A9" s="1" t="n">
        <v>45673</v>
      </c>
      <c r="B9" s="0" t="s">
        <v>144</v>
      </c>
      <c r="C9" s="0" t="s">
        <v>121</v>
      </c>
      <c r="D9" s="0" t="n">
        <v>8042635373</v>
      </c>
      <c r="E9" s="0" t="s">
        <v>139</v>
      </c>
      <c r="F9" s="0" t="s">
        <v>145</v>
      </c>
      <c r="G9" s="0" t="s">
        <v>87</v>
      </c>
      <c r="H9" s="0" t="s">
        <v>146</v>
      </c>
      <c r="I9" s="0" t="s">
        <v>142</v>
      </c>
      <c r="J9" s="0" t="s">
        <v>71</v>
      </c>
      <c r="K9" s="0" t="n">
        <v>69772</v>
      </c>
      <c r="L9" s="0" t="s">
        <v>91</v>
      </c>
      <c r="M9" s="0" t="s">
        <v>50</v>
      </c>
      <c r="N9" s="0" t="n">
        <v>3</v>
      </c>
      <c r="O9" s="0" t="n">
        <v>3.5</v>
      </c>
      <c r="P9" s="0" t="s">
        <v>111</v>
      </c>
      <c r="Q9" s="0" t="s">
        <v>93</v>
      </c>
      <c r="R9" s="0" t="s">
        <v>74</v>
      </c>
      <c r="S9" s="0" t="s">
        <v>147</v>
      </c>
      <c r="U9" s="0" t="s">
        <v>96</v>
      </c>
      <c r="V9" s="0" t="s">
        <v>148</v>
      </c>
      <c r="W9" s="0" t="s">
        <v>98</v>
      </c>
      <c r="X9" s="0" t="s">
        <v>99</v>
      </c>
      <c r="Z9" s="0" t="s">
        <v>149</v>
      </c>
      <c r="AA9" s="0" t="s">
        <v>150</v>
      </c>
      <c r="AB9" s="0" t="n">
        <v>35000</v>
      </c>
      <c r="AC9" s="0" t="s">
        <v>63</v>
      </c>
      <c r="AD9" s="0" t="n">
        <v>10000</v>
      </c>
      <c r="AE9" s="0" t="s">
        <v>130</v>
      </c>
      <c r="AF9" s="1" t="n">
        <v>45932</v>
      </c>
      <c r="AG9" s="0" t="s">
        <v>82</v>
      </c>
      <c r="AJ9" s="0" t="s">
        <v>63</v>
      </c>
      <c r="AK9" s="0" t="s">
        <v>63</v>
      </c>
      <c r="AM9" s="0" t="s">
        <v>103</v>
      </c>
      <c r="AN9" s="0" t="s">
        <v>63</v>
      </c>
    </row>
    <row r="10" customFormat="false" ht="15" hidden="false" customHeight="false" outlineLevel="0" collapsed="false">
      <c r="A10" s="1" t="n">
        <v>45733</v>
      </c>
      <c r="B10" s="0" t="s">
        <v>151</v>
      </c>
      <c r="C10" s="0" t="s">
        <v>66</v>
      </c>
      <c r="D10" s="0" t="n">
        <v>8028478117</v>
      </c>
      <c r="E10" s="0" t="s">
        <v>85</v>
      </c>
      <c r="F10" s="0" t="s">
        <v>152</v>
      </c>
      <c r="G10" s="0" t="s">
        <v>107</v>
      </c>
      <c r="H10" s="0" t="s">
        <v>153</v>
      </c>
      <c r="I10" s="0" t="s">
        <v>154</v>
      </c>
      <c r="K10" s="0" t="n">
        <v>33192</v>
      </c>
      <c r="L10" s="0" t="s">
        <v>72</v>
      </c>
      <c r="M10" s="0" t="s">
        <v>50</v>
      </c>
      <c r="N10" s="0" t="n">
        <v>5</v>
      </c>
      <c r="O10" s="0" t="n">
        <v>5</v>
      </c>
      <c r="P10" s="0" t="s">
        <v>125</v>
      </c>
      <c r="Q10" s="0" t="s">
        <v>93</v>
      </c>
      <c r="R10" s="0" t="s">
        <v>94</v>
      </c>
      <c r="S10" s="0" t="s">
        <v>126</v>
      </c>
      <c r="T10" s="0" t="n">
        <v>60</v>
      </c>
      <c r="U10" s="0" t="s">
        <v>76</v>
      </c>
      <c r="V10" s="0" t="s">
        <v>155</v>
      </c>
      <c r="W10" s="0" t="s">
        <v>78</v>
      </c>
      <c r="X10" s="0" t="s">
        <v>137</v>
      </c>
      <c r="Y10" s="0" t="s">
        <v>156</v>
      </c>
      <c r="Z10" s="0" t="s">
        <v>149</v>
      </c>
      <c r="AA10" s="0" t="n">
        <v>30000</v>
      </c>
      <c r="AB10" s="0" t="n">
        <v>40000</v>
      </c>
      <c r="AC10" s="0" t="s">
        <v>50</v>
      </c>
      <c r="AE10" s="0" t="s">
        <v>130</v>
      </c>
      <c r="AF10" s="1" t="n">
        <v>45908</v>
      </c>
      <c r="AG10" s="0" t="s">
        <v>50</v>
      </c>
      <c r="AH10" s="0" t="s">
        <v>116</v>
      </c>
      <c r="AI10" s="0" t="s">
        <v>117</v>
      </c>
      <c r="AJ10" s="0" t="s">
        <v>62</v>
      </c>
      <c r="AK10" s="0" t="s">
        <v>61</v>
      </c>
      <c r="AM10" s="0" t="s">
        <v>118</v>
      </c>
    </row>
    <row r="11" customFormat="false" ht="15" hidden="false" customHeight="false" outlineLevel="0" collapsed="false">
      <c r="A11" s="1" t="n">
        <v>45684</v>
      </c>
      <c r="B11" s="0" t="s">
        <v>157</v>
      </c>
      <c r="C11" s="0" t="s">
        <v>66</v>
      </c>
      <c r="D11" s="0" t="n">
        <v>8015915081</v>
      </c>
      <c r="E11" s="0" t="s">
        <v>139</v>
      </c>
      <c r="F11" s="0" t="s">
        <v>158</v>
      </c>
      <c r="G11" s="0" t="s">
        <v>45</v>
      </c>
      <c r="H11" s="0" t="s">
        <v>135</v>
      </c>
      <c r="I11" s="0" t="s">
        <v>142</v>
      </c>
      <c r="J11" s="0" t="s">
        <v>90</v>
      </c>
      <c r="K11" s="0" t="n">
        <v>113143</v>
      </c>
      <c r="L11" s="0" t="s">
        <v>49</v>
      </c>
      <c r="M11" s="0" t="s">
        <v>63</v>
      </c>
      <c r="N11" s="0" t="n">
        <v>3</v>
      </c>
      <c r="O11" s="0" t="n">
        <v>5</v>
      </c>
      <c r="Q11" s="0" t="s">
        <v>93</v>
      </c>
      <c r="R11" s="0" t="s">
        <v>159</v>
      </c>
      <c r="S11" s="0" t="s">
        <v>126</v>
      </c>
      <c r="T11" s="0" t="n">
        <v>15</v>
      </c>
      <c r="U11" s="0" t="s">
        <v>160</v>
      </c>
      <c r="V11" s="0" t="s">
        <v>155</v>
      </c>
      <c r="W11" s="0" t="s">
        <v>57</v>
      </c>
      <c r="X11" s="0" t="s">
        <v>137</v>
      </c>
      <c r="Z11" s="0" t="s">
        <v>161</v>
      </c>
      <c r="AA11" s="0" t="n">
        <v>40000</v>
      </c>
      <c r="AB11" s="0" t="n">
        <v>40000</v>
      </c>
      <c r="AD11" s="0" t="n">
        <v>0</v>
      </c>
      <c r="AE11" s="0" t="s">
        <v>60</v>
      </c>
      <c r="AF11" s="1" t="n">
        <v>45951</v>
      </c>
      <c r="AG11" s="0" t="s">
        <v>61</v>
      </c>
      <c r="AH11" s="0" t="s">
        <v>116</v>
      </c>
      <c r="AI11" s="0" t="s">
        <v>117</v>
      </c>
      <c r="AJ11" s="0" t="s">
        <v>81</v>
      </c>
      <c r="AK11" s="0" t="s">
        <v>63</v>
      </c>
      <c r="AL11" s="0" t="s">
        <v>102</v>
      </c>
      <c r="AM11" s="0" t="s">
        <v>83</v>
      </c>
    </row>
    <row r="12" customFormat="false" ht="15" hidden="false" customHeight="false" outlineLevel="0" collapsed="false">
      <c r="A12" s="1" t="n">
        <v>45823</v>
      </c>
      <c r="B12" s="0" t="s">
        <v>162</v>
      </c>
      <c r="C12" s="0" t="s">
        <v>163</v>
      </c>
      <c r="D12" s="0" t="n">
        <v>8018118989</v>
      </c>
      <c r="E12" s="0" t="s">
        <v>67</v>
      </c>
      <c r="F12" s="0" t="s">
        <v>164</v>
      </c>
      <c r="G12" s="0" t="s">
        <v>134</v>
      </c>
      <c r="H12" s="0" t="s">
        <v>165</v>
      </c>
      <c r="I12" s="0" t="s">
        <v>142</v>
      </c>
      <c r="K12" s="0" t="n">
        <v>33680</v>
      </c>
      <c r="L12" s="0" t="s">
        <v>166</v>
      </c>
      <c r="M12" s="0" t="s">
        <v>50</v>
      </c>
      <c r="N12" s="0" t="n">
        <v>5</v>
      </c>
      <c r="O12" s="0" t="n">
        <v>5.2</v>
      </c>
      <c r="P12" s="0" t="s">
        <v>125</v>
      </c>
      <c r="Q12" s="0" t="s">
        <v>73</v>
      </c>
      <c r="R12" s="0" t="s">
        <v>159</v>
      </c>
      <c r="S12" s="0" t="s">
        <v>167</v>
      </c>
      <c r="T12" s="0" t="n">
        <v>60</v>
      </c>
      <c r="U12" s="0" t="s">
        <v>55</v>
      </c>
      <c r="V12" s="0" t="s">
        <v>97</v>
      </c>
      <c r="W12" s="0" t="s">
        <v>57</v>
      </c>
      <c r="X12" s="0" t="s">
        <v>137</v>
      </c>
      <c r="Y12" s="0" t="s">
        <v>156</v>
      </c>
      <c r="Z12" s="0" t="s">
        <v>79</v>
      </c>
      <c r="AA12" s="0" t="n">
        <v>25000</v>
      </c>
      <c r="AB12" s="0" t="n">
        <v>35000</v>
      </c>
      <c r="AC12" s="0" t="s">
        <v>63</v>
      </c>
      <c r="AD12" s="0" t="n">
        <v>0</v>
      </c>
      <c r="AE12" s="0" t="s">
        <v>60</v>
      </c>
      <c r="AI12" s="0" t="s">
        <v>101</v>
      </c>
      <c r="AJ12" s="0" t="s">
        <v>63</v>
      </c>
      <c r="AK12" s="0" t="s">
        <v>50</v>
      </c>
      <c r="AM12" s="0" t="s">
        <v>83</v>
      </c>
      <c r="AN12" s="0" t="s">
        <v>50</v>
      </c>
    </row>
    <row r="13" customFormat="false" ht="15" hidden="false" customHeight="false" outlineLevel="0" collapsed="false">
      <c r="A13" s="1" t="n">
        <v>45788</v>
      </c>
      <c r="B13" s="0" t="s">
        <v>168</v>
      </c>
      <c r="C13" s="0" t="s">
        <v>66</v>
      </c>
      <c r="D13" s="0" t="n">
        <v>8027137020</v>
      </c>
      <c r="E13" s="0" t="s">
        <v>67</v>
      </c>
      <c r="F13" s="0" t="s">
        <v>169</v>
      </c>
      <c r="G13" s="0" t="s">
        <v>87</v>
      </c>
      <c r="H13" s="0" t="s">
        <v>170</v>
      </c>
      <c r="I13" s="0" t="s">
        <v>154</v>
      </c>
      <c r="J13" s="0" t="s">
        <v>90</v>
      </c>
      <c r="K13" s="0" t="n">
        <v>55886</v>
      </c>
      <c r="L13" s="0" t="s">
        <v>124</v>
      </c>
      <c r="M13" s="0" t="s">
        <v>50</v>
      </c>
      <c r="N13" s="0" t="n">
        <v>5</v>
      </c>
      <c r="O13" s="0" t="n">
        <v>1.6</v>
      </c>
      <c r="P13" s="0" t="s">
        <v>111</v>
      </c>
      <c r="Q13" s="0" t="s">
        <v>73</v>
      </c>
      <c r="R13" s="0" t="s">
        <v>159</v>
      </c>
      <c r="S13" s="0" t="s">
        <v>75</v>
      </c>
      <c r="U13" s="0" t="s">
        <v>112</v>
      </c>
      <c r="V13" s="0" t="s">
        <v>77</v>
      </c>
      <c r="W13" s="0" t="s">
        <v>128</v>
      </c>
      <c r="X13" s="0" t="s">
        <v>99</v>
      </c>
      <c r="Y13" s="0" t="s">
        <v>156</v>
      </c>
      <c r="Z13" s="0" t="s">
        <v>149</v>
      </c>
      <c r="AA13" s="0" t="n">
        <v>25000</v>
      </c>
      <c r="AB13" s="0" t="n">
        <v>20000</v>
      </c>
      <c r="AC13" s="0" t="s">
        <v>50</v>
      </c>
      <c r="AD13" s="0" t="n">
        <v>10000</v>
      </c>
      <c r="AE13" s="0" t="s">
        <v>80</v>
      </c>
      <c r="AG13" s="0" t="s">
        <v>82</v>
      </c>
      <c r="AH13" s="0" t="s">
        <v>171</v>
      </c>
      <c r="AI13" s="0" t="s">
        <v>172</v>
      </c>
      <c r="AJ13" s="0" t="s">
        <v>62</v>
      </c>
      <c r="AL13" s="0" t="s">
        <v>63</v>
      </c>
    </row>
    <row r="14" customFormat="false" ht="15" hidden="false" customHeight="false" outlineLevel="0" collapsed="false">
      <c r="A14" s="0" t="s">
        <v>173</v>
      </c>
      <c r="B14" s="0" t="s">
        <v>174</v>
      </c>
      <c r="C14" s="0" t="s">
        <v>163</v>
      </c>
      <c r="D14" s="0" t="n">
        <v>8051831217</v>
      </c>
      <c r="E14" s="0" t="s">
        <v>43</v>
      </c>
      <c r="F14" s="0" t="s">
        <v>175</v>
      </c>
      <c r="G14" s="0" t="s">
        <v>134</v>
      </c>
      <c r="H14" s="0" t="s">
        <v>176</v>
      </c>
      <c r="I14" s="0" t="s">
        <v>142</v>
      </c>
      <c r="J14" s="0" t="s">
        <v>71</v>
      </c>
      <c r="K14" s="0" t="n">
        <v>72924</v>
      </c>
      <c r="L14" s="0" t="s">
        <v>91</v>
      </c>
      <c r="M14" s="0" t="s">
        <v>50</v>
      </c>
      <c r="N14" s="0" t="n">
        <v>5</v>
      </c>
      <c r="O14" s="0" t="n">
        <v>3.3</v>
      </c>
      <c r="P14" s="0" t="s">
        <v>92</v>
      </c>
      <c r="Q14" s="0" t="s">
        <v>73</v>
      </c>
      <c r="R14" s="0" t="s">
        <v>94</v>
      </c>
      <c r="S14" s="0" t="s">
        <v>126</v>
      </c>
      <c r="T14" s="0" t="n">
        <v>15</v>
      </c>
      <c r="U14" s="0" t="s">
        <v>160</v>
      </c>
      <c r="V14" s="0" t="s">
        <v>97</v>
      </c>
      <c r="W14" s="0" t="s">
        <v>98</v>
      </c>
      <c r="X14" s="0" t="s">
        <v>99</v>
      </c>
      <c r="Y14" s="0" t="s">
        <v>177</v>
      </c>
      <c r="Z14" s="0" t="s">
        <v>149</v>
      </c>
      <c r="AA14" s="0" t="n">
        <v>25000</v>
      </c>
      <c r="AB14" s="0" t="s">
        <v>178</v>
      </c>
      <c r="AC14" s="0" t="s">
        <v>63</v>
      </c>
      <c r="AD14" s="0" t="n">
        <v>10000</v>
      </c>
      <c r="AE14" s="0" t="s">
        <v>60</v>
      </c>
      <c r="AF14" s="0" t="s">
        <v>179</v>
      </c>
      <c r="AG14" s="0" t="s">
        <v>63</v>
      </c>
      <c r="AL14" s="0" t="s">
        <v>50</v>
      </c>
      <c r="AM14" s="0" t="s">
        <v>64</v>
      </c>
      <c r="AN14" s="0" t="s">
        <v>50</v>
      </c>
    </row>
    <row r="15" customFormat="false" ht="15" hidden="false" customHeight="false" outlineLevel="0" collapsed="false">
      <c r="A15" s="1" t="n">
        <v>45764</v>
      </c>
      <c r="B15" s="0" t="s">
        <v>180</v>
      </c>
      <c r="C15" s="0" t="s">
        <v>66</v>
      </c>
      <c r="D15" s="0" t="n">
        <v>8088453254</v>
      </c>
      <c r="E15" s="0" t="s">
        <v>122</v>
      </c>
      <c r="F15" s="0" t="s">
        <v>181</v>
      </c>
      <c r="G15" s="0" t="s">
        <v>45</v>
      </c>
      <c r="H15" s="0" t="s">
        <v>146</v>
      </c>
      <c r="I15" s="0" t="s">
        <v>47</v>
      </c>
      <c r="K15" s="0" t="n">
        <v>70851</v>
      </c>
      <c r="L15" s="0" t="s">
        <v>72</v>
      </c>
      <c r="M15" s="0" t="s">
        <v>63</v>
      </c>
      <c r="N15" s="0" t="n">
        <v>5</v>
      </c>
      <c r="O15" s="0" t="n">
        <v>2.4</v>
      </c>
      <c r="P15" s="0" t="s">
        <v>92</v>
      </c>
      <c r="Q15" s="0" t="s">
        <v>52</v>
      </c>
      <c r="R15" s="0" t="s">
        <v>74</v>
      </c>
      <c r="S15" s="0" t="s">
        <v>167</v>
      </c>
      <c r="T15" s="0" t="n">
        <v>15</v>
      </c>
      <c r="U15" s="0" t="s">
        <v>112</v>
      </c>
      <c r="V15" s="0" t="s">
        <v>97</v>
      </c>
      <c r="W15" s="0" t="s">
        <v>128</v>
      </c>
      <c r="X15" s="0" t="s">
        <v>58</v>
      </c>
      <c r="Y15" s="0" t="s">
        <v>177</v>
      </c>
      <c r="Z15" s="0" t="s">
        <v>79</v>
      </c>
      <c r="AA15" s="0" t="n">
        <v>15000</v>
      </c>
      <c r="AB15" s="0" t="n">
        <v>20000</v>
      </c>
      <c r="AC15" s="0" t="s">
        <v>63</v>
      </c>
      <c r="AD15" s="0" t="s">
        <v>115</v>
      </c>
      <c r="AE15" s="0" t="s">
        <v>80</v>
      </c>
      <c r="AF15" s="1" t="n">
        <v>45854</v>
      </c>
      <c r="AG15" s="0" t="s">
        <v>61</v>
      </c>
      <c r="AH15" s="0" t="s">
        <v>116</v>
      </c>
      <c r="AJ15" s="0" t="s">
        <v>62</v>
      </c>
      <c r="AK15" s="0" t="s">
        <v>61</v>
      </c>
      <c r="AL15" s="0" t="s">
        <v>50</v>
      </c>
      <c r="AM15" s="0" t="s">
        <v>118</v>
      </c>
      <c r="AN15" s="0" t="s">
        <v>50</v>
      </c>
    </row>
    <row r="16" customFormat="false" ht="15" hidden="false" customHeight="false" outlineLevel="0" collapsed="false">
      <c r="A16" s="1" t="n">
        <v>45709</v>
      </c>
      <c r="B16" s="0" t="s">
        <v>182</v>
      </c>
      <c r="C16" s="0" t="s">
        <v>121</v>
      </c>
      <c r="D16" s="0" t="n">
        <v>8068498545</v>
      </c>
      <c r="E16" s="0" t="s">
        <v>43</v>
      </c>
      <c r="F16" s="0" t="s">
        <v>183</v>
      </c>
      <c r="G16" s="0" t="s">
        <v>87</v>
      </c>
      <c r="H16" s="0" t="s">
        <v>88</v>
      </c>
      <c r="I16" s="0" t="s">
        <v>154</v>
      </c>
      <c r="J16" s="0" t="s">
        <v>71</v>
      </c>
      <c r="K16" s="0" t="n">
        <v>52054</v>
      </c>
      <c r="L16" s="0" t="s">
        <v>72</v>
      </c>
      <c r="M16" s="0" t="s">
        <v>50</v>
      </c>
      <c r="N16" s="0" t="n">
        <v>3</v>
      </c>
      <c r="O16" s="0" t="n">
        <v>3.3</v>
      </c>
      <c r="P16" s="0" t="s">
        <v>92</v>
      </c>
      <c r="Q16" s="0" t="s">
        <v>93</v>
      </c>
      <c r="R16" s="0" t="s">
        <v>94</v>
      </c>
      <c r="S16" s="0" t="s">
        <v>54</v>
      </c>
      <c r="T16" s="0" t="n">
        <v>60</v>
      </c>
      <c r="U16" s="0" t="s">
        <v>112</v>
      </c>
      <c r="V16" s="0" t="s">
        <v>77</v>
      </c>
      <c r="W16" s="0" t="s">
        <v>128</v>
      </c>
      <c r="X16" s="0" t="s">
        <v>99</v>
      </c>
      <c r="Y16" s="0" t="s">
        <v>156</v>
      </c>
      <c r="Z16" s="0" t="s">
        <v>129</v>
      </c>
      <c r="AA16" s="0" t="n">
        <v>15000</v>
      </c>
      <c r="AB16" s="0" t="n">
        <v>20000</v>
      </c>
      <c r="AC16" s="0" t="s">
        <v>61</v>
      </c>
      <c r="AD16" s="0" t="n">
        <v>5000</v>
      </c>
      <c r="AE16" s="0" t="s">
        <v>184</v>
      </c>
      <c r="AF16" s="1" t="n">
        <v>45932</v>
      </c>
      <c r="AH16" s="0" t="s">
        <v>171</v>
      </c>
      <c r="AJ16" s="0" t="s">
        <v>50</v>
      </c>
      <c r="AM16" s="0" t="s">
        <v>64</v>
      </c>
      <c r="AN16" s="0" t="s">
        <v>63</v>
      </c>
    </row>
    <row r="17" customFormat="false" ht="15" hidden="false" customHeight="false" outlineLevel="0" collapsed="false">
      <c r="A17" s="1" t="n">
        <v>45820</v>
      </c>
      <c r="B17" s="0" t="s">
        <v>185</v>
      </c>
      <c r="C17" s="0" t="s">
        <v>105</v>
      </c>
      <c r="D17" s="0" t="n">
        <v>8078870570</v>
      </c>
      <c r="E17" s="0" t="s">
        <v>122</v>
      </c>
      <c r="F17" s="0" t="s">
        <v>186</v>
      </c>
      <c r="G17" s="0" t="s">
        <v>87</v>
      </c>
      <c r="H17" s="0" t="s">
        <v>88</v>
      </c>
      <c r="I17" s="0" t="s">
        <v>142</v>
      </c>
      <c r="K17" s="0" t="n">
        <v>44123</v>
      </c>
      <c r="L17" s="0" t="s">
        <v>49</v>
      </c>
      <c r="M17" s="0" t="s">
        <v>63</v>
      </c>
      <c r="N17" s="0" t="n">
        <v>5</v>
      </c>
      <c r="O17" s="0" t="n">
        <v>5.7</v>
      </c>
      <c r="P17" s="0" t="s">
        <v>125</v>
      </c>
      <c r="Q17" s="0" t="s">
        <v>73</v>
      </c>
      <c r="R17" s="0" t="s">
        <v>136</v>
      </c>
      <c r="S17" s="0" t="s">
        <v>167</v>
      </c>
      <c r="T17" s="0" t="s">
        <v>127</v>
      </c>
      <c r="U17" s="0" t="s">
        <v>76</v>
      </c>
      <c r="V17" s="0" t="s">
        <v>56</v>
      </c>
      <c r="W17" s="0" t="s">
        <v>57</v>
      </c>
      <c r="X17" s="0" t="s">
        <v>137</v>
      </c>
      <c r="Z17" s="0" t="s">
        <v>161</v>
      </c>
      <c r="AA17" s="0" t="s">
        <v>150</v>
      </c>
      <c r="AD17" s="0" t="n">
        <v>10000</v>
      </c>
      <c r="AE17" s="0" t="s">
        <v>60</v>
      </c>
      <c r="AF17" s="1" t="n">
        <v>45975</v>
      </c>
      <c r="AG17" s="0" t="s">
        <v>61</v>
      </c>
      <c r="AH17" s="0" t="s">
        <v>171</v>
      </c>
      <c r="AL17" s="0" t="s">
        <v>50</v>
      </c>
      <c r="AM17" s="0" t="s">
        <v>83</v>
      </c>
      <c r="AN17" s="0" t="s">
        <v>50</v>
      </c>
    </row>
    <row r="18" customFormat="false" ht="15" hidden="false" customHeight="false" outlineLevel="0" collapsed="false">
      <c r="A18" s="1" t="n">
        <v>45808</v>
      </c>
      <c r="B18" s="0" t="s">
        <v>187</v>
      </c>
      <c r="C18" s="0" t="s">
        <v>66</v>
      </c>
      <c r="D18" s="0" t="n">
        <v>8097470361</v>
      </c>
      <c r="E18" s="0" t="s">
        <v>122</v>
      </c>
      <c r="F18" s="0" t="s">
        <v>188</v>
      </c>
      <c r="G18" s="0" t="s">
        <v>87</v>
      </c>
      <c r="H18" s="0" t="s">
        <v>135</v>
      </c>
      <c r="I18" s="0" t="s">
        <v>189</v>
      </c>
      <c r="J18" s="0" t="s">
        <v>109</v>
      </c>
      <c r="K18" s="0" t="n">
        <v>107888</v>
      </c>
      <c r="L18" s="0" t="s">
        <v>110</v>
      </c>
      <c r="M18" s="0" t="s">
        <v>63</v>
      </c>
      <c r="N18" s="0" t="n">
        <v>4</v>
      </c>
      <c r="O18" s="0" t="n">
        <v>2.7</v>
      </c>
      <c r="P18" s="0" t="s">
        <v>51</v>
      </c>
      <c r="Q18" s="0" t="s">
        <v>93</v>
      </c>
      <c r="R18" s="0" t="s">
        <v>94</v>
      </c>
      <c r="S18" s="0" t="s">
        <v>54</v>
      </c>
      <c r="U18" s="0" t="s">
        <v>112</v>
      </c>
      <c r="V18" s="0" t="s">
        <v>77</v>
      </c>
      <c r="W18" s="0" t="s">
        <v>98</v>
      </c>
      <c r="X18" s="0" t="s">
        <v>137</v>
      </c>
      <c r="Y18" s="0" t="s">
        <v>156</v>
      </c>
      <c r="Z18" s="0" t="s">
        <v>149</v>
      </c>
      <c r="AA18" s="0" t="n">
        <v>15000</v>
      </c>
      <c r="AC18" s="0" t="s">
        <v>61</v>
      </c>
      <c r="AD18" s="0" t="s">
        <v>115</v>
      </c>
      <c r="AE18" s="0" t="s">
        <v>60</v>
      </c>
      <c r="AF18" s="1" t="n">
        <v>45998</v>
      </c>
      <c r="AG18" s="0" t="s">
        <v>50</v>
      </c>
      <c r="AI18" s="0" t="s">
        <v>101</v>
      </c>
      <c r="AJ18" s="0" t="s">
        <v>62</v>
      </c>
      <c r="AK18" s="0" t="s">
        <v>63</v>
      </c>
      <c r="AM18" s="0" t="s">
        <v>118</v>
      </c>
      <c r="AN18" s="0" t="s">
        <v>190</v>
      </c>
    </row>
    <row r="19" customFormat="false" ht="15" hidden="false" customHeight="false" outlineLevel="0" collapsed="false">
      <c r="A19" s="0" t="s">
        <v>191</v>
      </c>
      <c r="B19" s="0" t="s">
        <v>192</v>
      </c>
      <c r="C19" s="0" t="s">
        <v>121</v>
      </c>
      <c r="D19" s="0" t="n">
        <v>8058015538</v>
      </c>
      <c r="E19" s="0" t="s">
        <v>122</v>
      </c>
      <c r="F19" s="0" t="s">
        <v>193</v>
      </c>
      <c r="G19" s="0" t="s">
        <v>69</v>
      </c>
      <c r="I19" s="0" t="s">
        <v>47</v>
      </c>
      <c r="J19" s="0" t="s">
        <v>109</v>
      </c>
      <c r="K19" s="0" t="n">
        <v>57603</v>
      </c>
      <c r="L19" s="0" t="s">
        <v>72</v>
      </c>
      <c r="M19" s="0" t="s">
        <v>50</v>
      </c>
      <c r="N19" s="0" t="n">
        <v>3</v>
      </c>
      <c r="O19" s="0" t="n">
        <v>3</v>
      </c>
      <c r="P19" s="0" t="s">
        <v>125</v>
      </c>
      <c r="Q19" s="0" t="s">
        <v>93</v>
      </c>
      <c r="R19" s="0" t="s">
        <v>94</v>
      </c>
      <c r="S19" s="0" t="s">
        <v>126</v>
      </c>
      <c r="T19" s="0" t="s">
        <v>127</v>
      </c>
      <c r="U19" s="0" t="s">
        <v>160</v>
      </c>
      <c r="V19" s="0" t="s">
        <v>77</v>
      </c>
      <c r="W19" s="0" t="s">
        <v>98</v>
      </c>
      <c r="X19" s="0" t="s">
        <v>114</v>
      </c>
      <c r="Z19" s="0" t="s">
        <v>149</v>
      </c>
      <c r="AA19" s="0" t="n">
        <v>30000</v>
      </c>
      <c r="AB19" s="0" t="n">
        <v>20000</v>
      </c>
      <c r="AD19" s="0" t="s">
        <v>115</v>
      </c>
      <c r="AE19" s="0" t="s">
        <v>130</v>
      </c>
      <c r="AF19" s="1" t="n">
        <v>46002</v>
      </c>
      <c r="AG19" s="0" t="s">
        <v>61</v>
      </c>
      <c r="AI19" s="0" t="s">
        <v>101</v>
      </c>
      <c r="AK19" s="0" t="s">
        <v>82</v>
      </c>
      <c r="AL19" s="0" t="s">
        <v>63</v>
      </c>
      <c r="AM19" s="0" t="s">
        <v>64</v>
      </c>
      <c r="AN19" s="0" t="s">
        <v>190</v>
      </c>
    </row>
    <row r="20" customFormat="false" ht="15" hidden="false" customHeight="false" outlineLevel="0" collapsed="false">
      <c r="A20" s="1" t="n">
        <v>45772</v>
      </c>
      <c r="B20" s="0" t="s">
        <v>194</v>
      </c>
      <c r="C20" s="0" t="s">
        <v>105</v>
      </c>
      <c r="D20" s="0" t="n">
        <v>8051766978</v>
      </c>
      <c r="E20" s="0" t="s">
        <v>43</v>
      </c>
      <c r="F20" s="0" t="s">
        <v>195</v>
      </c>
      <c r="G20" s="0" t="s">
        <v>87</v>
      </c>
      <c r="H20" s="0" t="s">
        <v>70</v>
      </c>
      <c r="I20" s="0" t="s">
        <v>142</v>
      </c>
      <c r="K20" s="0" t="n">
        <v>83667</v>
      </c>
      <c r="L20" s="0" t="s">
        <v>72</v>
      </c>
      <c r="M20" s="0" t="s">
        <v>63</v>
      </c>
      <c r="N20" s="0" t="n">
        <v>3</v>
      </c>
      <c r="O20" s="0" t="n">
        <v>3.9</v>
      </c>
      <c r="P20" s="0" t="s">
        <v>125</v>
      </c>
      <c r="Q20" s="0" t="s">
        <v>73</v>
      </c>
      <c r="R20" s="0" t="s">
        <v>159</v>
      </c>
      <c r="S20" s="0" t="s">
        <v>75</v>
      </c>
      <c r="T20" s="0" t="n">
        <v>60</v>
      </c>
      <c r="U20" s="0" t="s">
        <v>55</v>
      </c>
      <c r="V20" s="0" t="s">
        <v>97</v>
      </c>
      <c r="W20" s="0" t="s">
        <v>113</v>
      </c>
      <c r="X20" s="0" t="s">
        <v>196</v>
      </c>
      <c r="Y20" s="0" t="s">
        <v>197</v>
      </c>
      <c r="Z20" s="0" t="s">
        <v>129</v>
      </c>
      <c r="AC20" s="0" t="s">
        <v>63</v>
      </c>
      <c r="AE20" s="0" t="s">
        <v>184</v>
      </c>
      <c r="AF20" s="1" t="n">
        <v>45896</v>
      </c>
      <c r="AG20" s="0" t="s">
        <v>61</v>
      </c>
      <c r="AH20" s="0" t="s">
        <v>116</v>
      </c>
      <c r="AI20" s="0" t="s">
        <v>172</v>
      </c>
      <c r="AJ20" s="0" t="s">
        <v>50</v>
      </c>
      <c r="AK20" s="0" t="s">
        <v>82</v>
      </c>
      <c r="AL20" s="0" t="s">
        <v>63</v>
      </c>
      <c r="AN20" s="0" t="s">
        <v>198</v>
      </c>
    </row>
    <row r="21" customFormat="false" ht="15" hidden="false" customHeight="false" outlineLevel="0" collapsed="false">
      <c r="A21" s="1" t="n">
        <v>45996</v>
      </c>
      <c r="B21" s="0" t="s">
        <v>199</v>
      </c>
      <c r="C21" s="0" t="s">
        <v>163</v>
      </c>
      <c r="D21" s="0" t="n">
        <v>8088338313</v>
      </c>
      <c r="E21" s="0" t="s">
        <v>85</v>
      </c>
      <c r="F21" s="0" t="s">
        <v>200</v>
      </c>
      <c r="G21" s="0" t="s">
        <v>69</v>
      </c>
      <c r="H21" s="0" t="s">
        <v>70</v>
      </c>
      <c r="I21" s="0" t="s">
        <v>89</v>
      </c>
      <c r="J21" s="0" t="s">
        <v>71</v>
      </c>
      <c r="K21" s="0" t="n">
        <v>92278</v>
      </c>
      <c r="L21" s="0" t="s">
        <v>49</v>
      </c>
      <c r="M21" s="0" t="s">
        <v>50</v>
      </c>
      <c r="N21" s="0" t="n">
        <v>4</v>
      </c>
      <c r="O21" s="0" t="n">
        <v>5</v>
      </c>
      <c r="P21" s="0" t="s">
        <v>92</v>
      </c>
      <c r="Q21" s="0" t="s">
        <v>93</v>
      </c>
      <c r="R21" s="0" t="s">
        <v>53</v>
      </c>
      <c r="S21" s="0" t="s">
        <v>75</v>
      </c>
      <c r="T21" s="0" t="n">
        <v>45</v>
      </c>
      <c r="U21" s="0" t="s">
        <v>76</v>
      </c>
      <c r="V21" s="0" t="s">
        <v>97</v>
      </c>
      <c r="W21" s="0" t="s">
        <v>57</v>
      </c>
      <c r="X21" s="0" t="s">
        <v>114</v>
      </c>
      <c r="Z21" s="0" t="s">
        <v>129</v>
      </c>
      <c r="AA21" s="0" t="n">
        <v>25000</v>
      </c>
      <c r="AC21" s="0" t="s">
        <v>50</v>
      </c>
      <c r="AD21" s="0" t="n">
        <v>10000</v>
      </c>
      <c r="AF21" s="0" t="s">
        <v>201</v>
      </c>
      <c r="AH21" s="0" t="s">
        <v>116</v>
      </c>
      <c r="AJ21" s="0" t="s">
        <v>50</v>
      </c>
      <c r="AM21" s="0" t="s">
        <v>103</v>
      </c>
      <c r="AN21" s="0" t="s">
        <v>190</v>
      </c>
    </row>
    <row r="22" customFormat="false" ht="15" hidden="false" customHeight="false" outlineLevel="0" collapsed="false">
      <c r="A22" s="1" t="n">
        <v>45729</v>
      </c>
      <c r="B22" s="0" t="s">
        <v>202</v>
      </c>
      <c r="C22" s="0" t="s">
        <v>121</v>
      </c>
      <c r="D22" s="0" t="n">
        <v>8082631078</v>
      </c>
      <c r="E22" s="0" t="s">
        <v>67</v>
      </c>
      <c r="F22" s="0" t="s">
        <v>203</v>
      </c>
      <c r="G22" s="0" t="s">
        <v>107</v>
      </c>
      <c r="H22" s="0" t="s">
        <v>135</v>
      </c>
      <c r="I22" s="0" t="s">
        <v>89</v>
      </c>
      <c r="J22" s="0" t="s">
        <v>109</v>
      </c>
      <c r="K22" s="0" t="n">
        <v>44816</v>
      </c>
      <c r="L22" s="0" t="s">
        <v>91</v>
      </c>
      <c r="M22" s="0" t="s">
        <v>63</v>
      </c>
      <c r="O22" s="0" t="n">
        <v>1.5</v>
      </c>
      <c r="P22" s="0" t="s">
        <v>111</v>
      </c>
      <c r="Q22" s="0" t="s">
        <v>93</v>
      </c>
      <c r="R22" s="0" t="s">
        <v>94</v>
      </c>
      <c r="S22" s="0" t="s">
        <v>75</v>
      </c>
      <c r="U22" s="0" t="s">
        <v>96</v>
      </c>
      <c r="V22" s="0" t="s">
        <v>97</v>
      </c>
      <c r="W22" s="0" t="s">
        <v>128</v>
      </c>
      <c r="X22" s="0" t="s">
        <v>99</v>
      </c>
      <c r="AA22" s="0" t="n">
        <v>15000</v>
      </c>
      <c r="AB22" s="0" t="n">
        <v>40000</v>
      </c>
      <c r="AD22" s="0" t="n">
        <v>10000</v>
      </c>
      <c r="AE22" s="0" t="s">
        <v>80</v>
      </c>
      <c r="AF22" s="1" t="n">
        <v>45937</v>
      </c>
      <c r="AI22" s="0" t="s">
        <v>101</v>
      </c>
      <c r="AK22" s="0" t="s">
        <v>50</v>
      </c>
      <c r="AL22" s="0" t="s">
        <v>50</v>
      </c>
      <c r="AM22" s="0" t="s">
        <v>83</v>
      </c>
      <c r="AN22" s="0" t="s">
        <v>198</v>
      </c>
    </row>
    <row r="23" customFormat="false" ht="15" hidden="false" customHeight="false" outlineLevel="0" collapsed="false">
      <c r="A23" s="1" t="n">
        <v>45699</v>
      </c>
      <c r="B23" s="0" t="s">
        <v>204</v>
      </c>
      <c r="C23" s="0" t="s">
        <v>42</v>
      </c>
      <c r="D23" s="0" t="n">
        <v>8029545414</v>
      </c>
      <c r="E23" s="0" t="s">
        <v>122</v>
      </c>
      <c r="F23" s="0" t="s">
        <v>205</v>
      </c>
      <c r="G23" s="0" t="s">
        <v>134</v>
      </c>
      <c r="I23" s="0" t="s">
        <v>189</v>
      </c>
      <c r="J23" s="0" t="s">
        <v>90</v>
      </c>
      <c r="K23" s="0" t="n">
        <v>73417</v>
      </c>
      <c r="L23" s="0" t="s">
        <v>72</v>
      </c>
      <c r="M23" s="0" t="s">
        <v>63</v>
      </c>
      <c r="N23" s="0" t="n">
        <v>4</v>
      </c>
      <c r="O23" s="0" t="n">
        <v>2.9</v>
      </c>
      <c r="P23" s="0" t="s">
        <v>125</v>
      </c>
      <c r="Q23" s="0" t="s">
        <v>93</v>
      </c>
      <c r="R23" s="0" t="s">
        <v>94</v>
      </c>
      <c r="S23" s="0" t="s">
        <v>167</v>
      </c>
      <c r="T23" s="0" t="n">
        <v>45</v>
      </c>
      <c r="U23" s="0" t="s">
        <v>76</v>
      </c>
      <c r="V23" s="0" t="s">
        <v>97</v>
      </c>
      <c r="W23" s="0" t="s">
        <v>113</v>
      </c>
      <c r="X23" s="0" t="s">
        <v>196</v>
      </c>
      <c r="Z23" s="0" t="s">
        <v>149</v>
      </c>
      <c r="AA23" s="0" t="n">
        <v>40000</v>
      </c>
      <c r="AB23" s="0" t="n">
        <v>35000</v>
      </c>
      <c r="AD23" s="0" t="s">
        <v>115</v>
      </c>
      <c r="AF23" s="1" t="n">
        <v>45834</v>
      </c>
      <c r="AG23" s="0" t="s">
        <v>63</v>
      </c>
      <c r="AH23" s="0" t="s">
        <v>171</v>
      </c>
      <c r="AK23" s="0" t="s">
        <v>61</v>
      </c>
      <c r="AN23" s="0" t="s">
        <v>63</v>
      </c>
    </row>
    <row r="24" customFormat="false" ht="15" hidden="false" customHeight="false" outlineLevel="0" collapsed="false">
      <c r="A24" s="1" t="n">
        <v>45689</v>
      </c>
      <c r="B24" s="0" t="s">
        <v>206</v>
      </c>
      <c r="C24" s="0" t="s">
        <v>105</v>
      </c>
      <c r="D24" s="0" t="n">
        <v>8029784909</v>
      </c>
      <c r="E24" s="0" t="s">
        <v>85</v>
      </c>
      <c r="F24" s="0" t="s">
        <v>207</v>
      </c>
      <c r="G24" s="0" t="s">
        <v>87</v>
      </c>
      <c r="H24" s="0" t="s">
        <v>153</v>
      </c>
      <c r="I24" s="0" t="s">
        <v>89</v>
      </c>
      <c r="J24" s="0" t="s">
        <v>109</v>
      </c>
      <c r="K24" s="0" t="n">
        <v>27782</v>
      </c>
      <c r="L24" s="0" t="s">
        <v>124</v>
      </c>
      <c r="M24" s="0" t="s">
        <v>63</v>
      </c>
      <c r="N24" s="0" t="n">
        <v>2</v>
      </c>
      <c r="O24" s="0" t="n">
        <v>4.9</v>
      </c>
      <c r="P24" s="0" t="s">
        <v>51</v>
      </c>
      <c r="Q24" s="0" t="s">
        <v>52</v>
      </c>
      <c r="R24" s="0" t="s">
        <v>74</v>
      </c>
      <c r="S24" s="0" t="s">
        <v>54</v>
      </c>
      <c r="T24" s="0" t="n">
        <v>30</v>
      </c>
      <c r="U24" s="0" t="s">
        <v>160</v>
      </c>
      <c r="V24" s="0" t="s">
        <v>56</v>
      </c>
      <c r="W24" s="0" t="s">
        <v>113</v>
      </c>
      <c r="X24" s="0" t="s">
        <v>99</v>
      </c>
      <c r="Y24" s="0" t="s">
        <v>197</v>
      </c>
      <c r="Z24" s="0" t="s">
        <v>149</v>
      </c>
      <c r="AA24" s="0" t="s">
        <v>150</v>
      </c>
      <c r="AD24" s="0" t="n">
        <v>5000</v>
      </c>
      <c r="AF24" s="1" t="n">
        <v>45844</v>
      </c>
      <c r="AG24" s="0" t="s">
        <v>63</v>
      </c>
      <c r="AH24" s="0" t="s">
        <v>171</v>
      </c>
      <c r="AI24" s="0" t="s">
        <v>172</v>
      </c>
      <c r="AJ24" s="0" t="s">
        <v>81</v>
      </c>
      <c r="AK24" s="0" t="s">
        <v>63</v>
      </c>
      <c r="AN24" s="0" t="s">
        <v>190</v>
      </c>
    </row>
    <row r="25" customFormat="false" ht="15" hidden="false" customHeight="false" outlineLevel="0" collapsed="false">
      <c r="A25" s="1" t="n">
        <v>45962</v>
      </c>
      <c r="B25" s="0" t="s">
        <v>208</v>
      </c>
      <c r="C25" s="0" t="s">
        <v>105</v>
      </c>
      <c r="D25" s="0" t="n">
        <v>8073018412</v>
      </c>
      <c r="E25" s="0" t="s">
        <v>43</v>
      </c>
      <c r="F25" s="0" t="s">
        <v>209</v>
      </c>
      <c r="G25" s="0" t="s">
        <v>69</v>
      </c>
      <c r="H25" s="0" t="s">
        <v>170</v>
      </c>
      <c r="I25" s="0" t="s">
        <v>142</v>
      </c>
      <c r="J25" s="0" t="s">
        <v>109</v>
      </c>
      <c r="K25" s="0" t="n">
        <v>59664</v>
      </c>
      <c r="L25" s="0" t="s">
        <v>72</v>
      </c>
      <c r="M25" s="0" t="s">
        <v>63</v>
      </c>
      <c r="N25" s="0" t="n">
        <v>3</v>
      </c>
      <c r="O25" s="0" t="n">
        <v>3.7</v>
      </c>
      <c r="P25" s="0" t="s">
        <v>51</v>
      </c>
      <c r="Q25" s="0" t="s">
        <v>93</v>
      </c>
      <c r="S25" s="0" t="s">
        <v>95</v>
      </c>
      <c r="T25" s="0" t="n">
        <v>45</v>
      </c>
      <c r="U25" s="0" t="s">
        <v>76</v>
      </c>
      <c r="V25" s="0" t="s">
        <v>56</v>
      </c>
      <c r="W25" s="0" t="s">
        <v>78</v>
      </c>
      <c r="X25" s="0" t="s">
        <v>114</v>
      </c>
      <c r="Y25" s="0" t="s">
        <v>197</v>
      </c>
      <c r="Z25" s="0" t="s">
        <v>79</v>
      </c>
      <c r="AA25" s="0" t="n">
        <v>40000</v>
      </c>
      <c r="AB25" s="0" t="n">
        <v>20000</v>
      </c>
      <c r="AC25" s="0" t="s">
        <v>63</v>
      </c>
      <c r="AD25" s="0" t="n">
        <v>5000</v>
      </c>
      <c r="AE25" s="0" t="s">
        <v>80</v>
      </c>
      <c r="AF25" s="1" t="n">
        <v>45936</v>
      </c>
      <c r="AG25" s="0" t="s">
        <v>63</v>
      </c>
      <c r="AI25" s="0" t="s">
        <v>101</v>
      </c>
      <c r="AJ25" s="0" t="s">
        <v>81</v>
      </c>
      <c r="AK25" s="0" t="s">
        <v>63</v>
      </c>
      <c r="AM25" s="0" t="s">
        <v>64</v>
      </c>
      <c r="AN25" s="0" t="s">
        <v>63</v>
      </c>
    </row>
    <row r="26" customFormat="false" ht="15" hidden="false" customHeight="false" outlineLevel="0" collapsed="false">
      <c r="A26" s="1" t="n">
        <v>45818</v>
      </c>
      <c r="B26" s="0" t="s">
        <v>210</v>
      </c>
      <c r="C26" s="0" t="s">
        <v>42</v>
      </c>
      <c r="D26" s="0" t="n">
        <v>8051429578</v>
      </c>
      <c r="E26" s="0" t="s">
        <v>67</v>
      </c>
      <c r="F26" s="0" t="s">
        <v>211</v>
      </c>
      <c r="G26" s="0" t="s">
        <v>87</v>
      </c>
      <c r="H26" s="0" t="s">
        <v>170</v>
      </c>
      <c r="I26" s="0" t="s">
        <v>189</v>
      </c>
      <c r="J26" s="0" t="s">
        <v>90</v>
      </c>
      <c r="K26" s="0" t="n">
        <v>30284</v>
      </c>
      <c r="L26" s="0" t="s">
        <v>166</v>
      </c>
      <c r="M26" s="0" t="s">
        <v>50</v>
      </c>
      <c r="N26" s="0" t="n">
        <v>3</v>
      </c>
      <c r="O26" s="0" t="n">
        <v>2.3</v>
      </c>
      <c r="P26" s="0" t="s">
        <v>92</v>
      </c>
      <c r="Q26" s="0" t="s">
        <v>93</v>
      </c>
      <c r="R26" s="0" t="s">
        <v>136</v>
      </c>
      <c r="S26" s="0" t="s">
        <v>126</v>
      </c>
      <c r="U26" s="0" t="s">
        <v>55</v>
      </c>
      <c r="V26" s="0" t="s">
        <v>155</v>
      </c>
      <c r="W26" s="0" t="s">
        <v>78</v>
      </c>
      <c r="X26" s="0" t="s">
        <v>114</v>
      </c>
      <c r="Z26" s="0" t="s">
        <v>161</v>
      </c>
      <c r="AA26" s="0" t="n">
        <v>25000</v>
      </c>
      <c r="AE26" s="0" t="s">
        <v>60</v>
      </c>
      <c r="AF26" s="0" t="s">
        <v>212</v>
      </c>
      <c r="AG26" s="0" t="s">
        <v>50</v>
      </c>
      <c r="AH26" s="0" t="s">
        <v>116</v>
      </c>
      <c r="AJ26" s="0" t="s">
        <v>50</v>
      </c>
      <c r="AK26" s="0" t="s">
        <v>50</v>
      </c>
      <c r="AL26" s="0" t="s">
        <v>102</v>
      </c>
      <c r="AM26" s="0" t="s">
        <v>118</v>
      </c>
      <c r="AN26" s="0" t="s">
        <v>50</v>
      </c>
    </row>
    <row r="27" customFormat="false" ht="15" hidden="false" customHeight="false" outlineLevel="0" collapsed="false">
      <c r="A27" s="1" t="n">
        <v>45804</v>
      </c>
      <c r="B27" s="0" t="s">
        <v>213</v>
      </c>
      <c r="C27" s="0" t="s">
        <v>105</v>
      </c>
      <c r="D27" s="0" t="n">
        <v>8090977513</v>
      </c>
      <c r="E27" s="0" t="s">
        <v>43</v>
      </c>
      <c r="F27" s="0" t="s">
        <v>214</v>
      </c>
      <c r="G27" s="0" t="s">
        <v>69</v>
      </c>
      <c r="H27" s="0" t="s">
        <v>176</v>
      </c>
      <c r="I27" s="0" t="s">
        <v>108</v>
      </c>
      <c r="J27" s="0" t="s">
        <v>48</v>
      </c>
      <c r="K27" s="0" t="n">
        <v>84870</v>
      </c>
      <c r="L27" s="0" t="s">
        <v>72</v>
      </c>
      <c r="M27" s="0" t="s">
        <v>50</v>
      </c>
      <c r="N27" s="0" t="n">
        <v>3</v>
      </c>
      <c r="O27" s="0" t="n">
        <v>2.6</v>
      </c>
      <c r="P27" s="0" t="s">
        <v>92</v>
      </c>
      <c r="Q27" s="0" t="s">
        <v>52</v>
      </c>
      <c r="R27" s="0" t="s">
        <v>159</v>
      </c>
      <c r="S27" s="0" t="s">
        <v>167</v>
      </c>
      <c r="T27" s="0" t="n">
        <v>15</v>
      </c>
      <c r="U27" s="0" t="s">
        <v>96</v>
      </c>
      <c r="V27" s="0" t="s">
        <v>56</v>
      </c>
      <c r="W27" s="0" t="s">
        <v>78</v>
      </c>
      <c r="X27" s="0" t="s">
        <v>137</v>
      </c>
      <c r="Y27" s="0" t="s">
        <v>177</v>
      </c>
      <c r="Z27" s="0" t="s">
        <v>129</v>
      </c>
      <c r="AA27" s="0" t="s">
        <v>150</v>
      </c>
      <c r="AB27" s="0" t="s">
        <v>178</v>
      </c>
      <c r="AD27" s="0" t="s">
        <v>115</v>
      </c>
      <c r="AE27" s="0" t="s">
        <v>184</v>
      </c>
      <c r="AF27" s="0" t="s">
        <v>215</v>
      </c>
      <c r="AG27" s="0" t="s">
        <v>61</v>
      </c>
      <c r="AH27" s="0" t="s">
        <v>171</v>
      </c>
      <c r="AI27" s="0" t="s">
        <v>172</v>
      </c>
      <c r="AJ27" s="0" t="s">
        <v>62</v>
      </c>
      <c r="AL27" s="0" t="s">
        <v>50</v>
      </c>
      <c r="AM27" s="0" t="s">
        <v>103</v>
      </c>
      <c r="AN27" s="0" t="s">
        <v>50</v>
      </c>
    </row>
    <row r="28" customFormat="false" ht="15" hidden="false" customHeight="false" outlineLevel="0" collapsed="false">
      <c r="A28" s="1" t="n">
        <v>45739</v>
      </c>
      <c r="B28" s="0" t="s">
        <v>216</v>
      </c>
      <c r="C28" s="0" t="s">
        <v>105</v>
      </c>
      <c r="D28" s="0" t="n">
        <v>8056023301</v>
      </c>
      <c r="E28" s="0" t="s">
        <v>139</v>
      </c>
      <c r="F28" s="0" t="s">
        <v>217</v>
      </c>
      <c r="G28" s="0" t="s">
        <v>107</v>
      </c>
      <c r="H28" s="0" t="s">
        <v>141</v>
      </c>
      <c r="I28" s="0" t="s">
        <v>89</v>
      </c>
      <c r="J28" s="0" t="s">
        <v>109</v>
      </c>
      <c r="K28" s="0" t="n">
        <v>14285</v>
      </c>
      <c r="L28" s="0" t="s">
        <v>49</v>
      </c>
      <c r="M28" s="0" t="s">
        <v>63</v>
      </c>
      <c r="N28" s="0" t="n">
        <v>3</v>
      </c>
      <c r="O28" s="0" t="n">
        <v>5</v>
      </c>
      <c r="P28" s="0" t="s">
        <v>51</v>
      </c>
      <c r="Q28" s="0" t="s">
        <v>73</v>
      </c>
      <c r="R28" s="0" t="s">
        <v>94</v>
      </c>
      <c r="S28" s="0" t="s">
        <v>75</v>
      </c>
      <c r="U28" s="0" t="s">
        <v>112</v>
      </c>
      <c r="V28" s="0" t="s">
        <v>77</v>
      </c>
      <c r="W28" s="0" t="s">
        <v>98</v>
      </c>
      <c r="X28" s="0" t="s">
        <v>196</v>
      </c>
      <c r="Z28" s="0" t="s">
        <v>79</v>
      </c>
      <c r="AA28" s="0" t="n">
        <v>25000</v>
      </c>
      <c r="AB28" s="0" t="n">
        <v>20000</v>
      </c>
      <c r="AE28" s="0" t="s">
        <v>184</v>
      </c>
      <c r="AF28" s="1" t="n">
        <v>45924</v>
      </c>
      <c r="AG28" s="0" t="s">
        <v>63</v>
      </c>
      <c r="AJ28" s="0" t="s">
        <v>50</v>
      </c>
      <c r="AK28" s="0" t="s">
        <v>50</v>
      </c>
      <c r="AL28" s="0" t="s">
        <v>63</v>
      </c>
      <c r="AM28" s="0" t="s">
        <v>103</v>
      </c>
      <c r="AN28" s="0" t="s">
        <v>50</v>
      </c>
    </row>
    <row r="29" customFormat="false" ht="15" hidden="false" customHeight="false" outlineLevel="0" collapsed="false">
      <c r="A29" s="1" t="n">
        <v>45714</v>
      </c>
      <c r="B29" s="0" t="s">
        <v>218</v>
      </c>
      <c r="C29" s="0" t="s">
        <v>42</v>
      </c>
      <c r="D29" s="0" t="n">
        <v>8049065941</v>
      </c>
      <c r="E29" s="0" t="s">
        <v>85</v>
      </c>
      <c r="F29" s="0" t="s">
        <v>219</v>
      </c>
      <c r="G29" s="0" t="s">
        <v>45</v>
      </c>
      <c r="H29" s="0" t="s">
        <v>70</v>
      </c>
      <c r="I29" s="0" t="s">
        <v>47</v>
      </c>
      <c r="J29" s="0" t="s">
        <v>71</v>
      </c>
      <c r="K29" s="0" t="n">
        <v>52655</v>
      </c>
      <c r="L29" s="0" t="s">
        <v>72</v>
      </c>
      <c r="M29" s="0" t="s">
        <v>63</v>
      </c>
      <c r="O29" s="0" t="n">
        <v>1.8</v>
      </c>
      <c r="P29" s="0" t="s">
        <v>125</v>
      </c>
      <c r="Q29" s="0" t="s">
        <v>93</v>
      </c>
      <c r="R29" s="0" t="s">
        <v>53</v>
      </c>
      <c r="S29" s="0" t="s">
        <v>54</v>
      </c>
      <c r="T29" s="0" t="s">
        <v>127</v>
      </c>
      <c r="U29" s="0" t="s">
        <v>96</v>
      </c>
      <c r="V29" s="0" t="s">
        <v>97</v>
      </c>
      <c r="W29" s="0" t="s">
        <v>128</v>
      </c>
      <c r="X29" s="0" t="s">
        <v>196</v>
      </c>
      <c r="Y29" s="0" t="s">
        <v>197</v>
      </c>
      <c r="Z29" s="0" t="s">
        <v>149</v>
      </c>
      <c r="AA29" s="0" t="n">
        <v>40000</v>
      </c>
      <c r="AB29" s="0" t="n">
        <v>40000</v>
      </c>
      <c r="AC29" s="0" t="s">
        <v>63</v>
      </c>
      <c r="AD29" s="0" t="n">
        <v>0</v>
      </c>
      <c r="AF29" s="1" t="n">
        <v>45785</v>
      </c>
      <c r="AI29" s="0" t="s">
        <v>117</v>
      </c>
      <c r="AJ29" s="0" t="s">
        <v>81</v>
      </c>
      <c r="AK29" s="0" t="s">
        <v>50</v>
      </c>
      <c r="AL29" s="0" t="s">
        <v>63</v>
      </c>
      <c r="AM29" s="0" t="s">
        <v>64</v>
      </c>
      <c r="AN29" s="0" t="s">
        <v>63</v>
      </c>
    </row>
    <row r="30" customFormat="false" ht="15" hidden="false" customHeight="false" outlineLevel="0" collapsed="false">
      <c r="A30" s="1" t="n">
        <v>45764</v>
      </c>
      <c r="B30" s="0" t="s">
        <v>220</v>
      </c>
      <c r="C30" s="0" t="s">
        <v>121</v>
      </c>
      <c r="D30" s="0" t="n">
        <v>8059503523</v>
      </c>
      <c r="E30" s="0" t="s">
        <v>122</v>
      </c>
      <c r="F30" s="0" t="s">
        <v>221</v>
      </c>
      <c r="G30" s="0" t="s">
        <v>87</v>
      </c>
      <c r="H30" s="0" t="s">
        <v>165</v>
      </c>
      <c r="I30" s="0" t="s">
        <v>142</v>
      </c>
      <c r="J30" s="0" t="s">
        <v>90</v>
      </c>
      <c r="K30" s="0" t="n">
        <v>28670</v>
      </c>
      <c r="L30" s="0" t="s">
        <v>110</v>
      </c>
      <c r="M30" s="0" t="s">
        <v>50</v>
      </c>
      <c r="N30" s="0" t="n">
        <v>2</v>
      </c>
      <c r="O30" s="0" t="n">
        <v>4.2</v>
      </c>
      <c r="P30" s="0" t="s">
        <v>92</v>
      </c>
      <c r="Q30" s="0" t="s">
        <v>73</v>
      </c>
      <c r="R30" s="0" t="s">
        <v>74</v>
      </c>
      <c r="S30" s="0" t="s">
        <v>126</v>
      </c>
      <c r="T30" s="0" t="n">
        <v>60</v>
      </c>
      <c r="U30" s="0" t="s">
        <v>112</v>
      </c>
      <c r="V30" s="0" t="s">
        <v>97</v>
      </c>
      <c r="W30" s="0" t="s">
        <v>113</v>
      </c>
      <c r="X30" s="0" t="s">
        <v>196</v>
      </c>
      <c r="Y30" s="0" t="s">
        <v>156</v>
      </c>
      <c r="Z30" s="0" t="s">
        <v>161</v>
      </c>
      <c r="AA30" s="0" t="n">
        <v>30000</v>
      </c>
      <c r="AB30" s="0" t="n">
        <v>20000</v>
      </c>
      <c r="AD30" s="0" t="n">
        <v>10000</v>
      </c>
      <c r="AE30" s="0" t="s">
        <v>80</v>
      </c>
      <c r="AF30" s="0" t="s">
        <v>215</v>
      </c>
      <c r="AG30" s="0" t="s">
        <v>63</v>
      </c>
      <c r="AH30" s="0" t="s">
        <v>116</v>
      </c>
      <c r="AJ30" s="0" t="s">
        <v>81</v>
      </c>
      <c r="AK30" s="0" t="s">
        <v>63</v>
      </c>
      <c r="AL30" s="0" t="s">
        <v>102</v>
      </c>
      <c r="AN30" s="0" t="s">
        <v>50</v>
      </c>
    </row>
    <row r="31" customFormat="false" ht="15" hidden="false" customHeight="false" outlineLevel="0" collapsed="false">
      <c r="A31" s="0" t="s">
        <v>222</v>
      </c>
      <c r="B31" s="0" t="s">
        <v>223</v>
      </c>
      <c r="C31" s="0" t="s">
        <v>66</v>
      </c>
      <c r="D31" s="0" t="n">
        <v>8011084726</v>
      </c>
      <c r="E31" s="0" t="s">
        <v>43</v>
      </c>
      <c r="F31" s="0" t="s">
        <v>224</v>
      </c>
      <c r="G31" s="0" t="s">
        <v>69</v>
      </c>
      <c r="H31" s="0" t="s">
        <v>141</v>
      </c>
      <c r="I31" s="0" t="s">
        <v>47</v>
      </c>
      <c r="J31" s="0" t="s">
        <v>71</v>
      </c>
      <c r="K31" s="0" t="n">
        <v>91082</v>
      </c>
      <c r="L31" s="0" t="s">
        <v>124</v>
      </c>
      <c r="M31" s="0" t="s">
        <v>50</v>
      </c>
      <c r="N31" s="0" t="n">
        <v>3</v>
      </c>
      <c r="O31" s="0" t="n">
        <v>5</v>
      </c>
      <c r="P31" s="0" t="s">
        <v>111</v>
      </c>
      <c r="Q31" s="0" t="s">
        <v>93</v>
      </c>
      <c r="R31" s="0" t="s">
        <v>74</v>
      </c>
      <c r="S31" s="0" t="s">
        <v>54</v>
      </c>
      <c r="T31" s="0" t="s">
        <v>127</v>
      </c>
      <c r="U31" s="0" t="s">
        <v>76</v>
      </c>
      <c r="V31" s="0" t="s">
        <v>155</v>
      </c>
      <c r="W31" s="0" t="s">
        <v>78</v>
      </c>
      <c r="X31" s="0" t="s">
        <v>114</v>
      </c>
      <c r="Z31" s="0" t="s">
        <v>161</v>
      </c>
      <c r="AA31" s="0" t="n">
        <v>40000</v>
      </c>
      <c r="AB31" s="0" t="s">
        <v>178</v>
      </c>
      <c r="AC31" s="0" t="s">
        <v>82</v>
      </c>
      <c r="AD31" s="0" t="n">
        <v>5000</v>
      </c>
      <c r="AE31" s="0" t="s">
        <v>130</v>
      </c>
      <c r="AF31" s="1" t="n">
        <v>45909</v>
      </c>
      <c r="AK31" s="0" t="s">
        <v>50</v>
      </c>
      <c r="AL31" s="0" t="s">
        <v>102</v>
      </c>
      <c r="AM31" s="0" t="s">
        <v>64</v>
      </c>
    </row>
    <row r="32" customFormat="false" ht="15" hidden="false" customHeight="false" outlineLevel="0" collapsed="false">
      <c r="A32" s="0" t="s">
        <v>225</v>
      </c>
      <c r="B32" s="0" t="s">
        <v>226</v>
      </c>
      <c r="C32" s="0" t="s">
        <v>105</v>
      </c>
      <c r="D32" s="0" t="n">
        <v>8079481912</v>
      </c>
      <c r="E32" s="0" t="s">
        <v>122</v>
      </c>
      <c r="F32" s="0" t="s">
        <v>227</v>
      </c>
      <c r="G32" s="0" t="s">
        <v>107</v>
      </c>
      <c r="H32" s="0" t="s">
        <v>70</v>
      </c>
      <c r="I32" s="0" t="s">
        <v>142</v>
      </c>
      <c r="J32" s="0" t="s">
        <v>71</v>
      </c>
      <c r="K32" s="0" t="n">
        <v>21827</v>
      </c>
      <c r="L32" s="0" t="s">
        <v>49</v>
      </c>
      <c r="M32" s="0" t="s">
        <v>63</v>
      </c>
      <c r="O32" s="0" t="n">
        <v>5.4</v>
      </c>
      <c r="P32" s="0" t="s">
        <v>111</v>
      </c>
      <c r="Q32" s="0" t="s">
        <v>73</v>
      </c>
      <c r="R32" s="0" t="s">
        <v>159</v>
      </c>
      <c r="S32" s="0" t="s">
        <v>75</v>
      </c>
      <c r="T32" s="0" t="n">
        <v>15</v>
      </c>
      <c r="U32" s="0" t="s">
        <v>55</v>
      </c>
      <c r="V32" s="0" t="s">
        <v>97</v>
      </c>
      <c r="W32" s="0" t="s">
        <v>78</v>
      </c>
      <c r="X32" s="0" t="s">
        <v>137</v>
      </c>
      <c r="Y32" s="0" t="s">
        <v>156</v>
      </c>
      <c r="Z32" s="0" t="s">
        <v>149</v>
      </c>
      <c r="AA32" s="0" t="s">
        <v>150</v>
      </c>
      <c r="AB32" s="0" t="n">
        <v>20000</v>
      </c>
      <c r="AC32" s="0" t="s">
        <v>82</v>
      </c>
      <c r="AE32" s="0" t="s">
        <v>184</v>
      </c>
      <c r="AF32" s="1" t="n">
        <v>45930</v>
      </c>
      <c r="AG32" s="0" t="s">
        <v>82</v>
      </c>
      <c r="AJ32" s="0" t="s">
        <v>62</v>
      </c>
      <c r="AK32" s="0" t="s">
        <v>50</v>
      </c>
      <c r="AL32" s="0" t="s">
        <v>50</v>
      </c>
      <c r="AN32" s="0" t="s">
        <v>50</v>
      </c>
    </row>
    <row r="33" customFormat="false" ht="15" hidden="false" customHeight="false" outlineLevel="0" collapsed="false">
      <c r="A33" s="1" t="n">
        <v>45713</v>
      </c>
      <c r="B33" s="0" t="s">
        <v>228</v>
      </c>
      <c r="C33" s="0" t="s">
        <v>121</v>
      </c>
      <c r="D33" s="0" t="n">
        <v>8088710632</v>
      </c>
      <c r="E33" s="0" t="s">
        <v>85</v>
      </c>
      <c r="F33" s="0" t="s">
        <v>229</v>
      </c>
      <c r="G33" s="0" t="s">
        <v>69</v>
      </c>
      <c r="I33" s="0" t="s">
        <v>47</v>
      </c>
      <c r="J33" s="0" t="s">
        <v>71</v>
      </c>
      <c r="K33" s="0" t="n">
        <v>76968</v>
      </c>
      <c r="L33" s="0" t="s">
        <v>91</v>
      </c>
      <c r="M33" s="0" t="s">
        <v>63</v>
      </c>
      <c r="N33" s="0" t="n">
        <v>3</v>
      </c>
      <c r="O33" s="0" t="n">
        <v>2.6</v>
      </c>
      <c r="Q33" s="0" t="s">
        <v>52</v>
      </c>
      <c r="S33" s="0" t="s">
        <v>167</v>
      </c>
      <c r="T33" s="0" t="n">
        <v>30</v>
      </c>
      <c r="U33" s="0" t="s">
        <v>96</v>
      </c>
      <c r="V33" s="0" t="s">
        <v>148</v>
      </c>
      <c r="W33" s="0" t="s">
        <v>128</v>
      </c>
      <c r="X33" s="0" t="s">
        <v>99</v>
      </c>
      <c r="Y33" s="0" t="s">
        <v>156</v>
      </c>
      <c r="Z33" s="0" t="s">
        <v>79</v>
      </c>
      <c r="AA33" s="0" t="n">
        <v>25000</v>
      </c>
      <c r="AB33" s="0" t="n">
        <v>40000</v>
      </c>
      <c r="AC33" s="0" t="s">
        <v>61</v>
      </c>
      <c r="AE33" s="0" t="s">
        <v>184</v>
      </c>
      <c r="AF33" s="1" t="n">
        <v>45910</v>
      </c>
      <c r="AG33" s="0" t="s">
        <v>50</v>
      </c>
      <c r="AH33" s="0" t="s">
        <v>116</v>
      </c>
      <c r="AI33" s="0" t="s">
        <v>117</v>
      </c>
      <c r="AK33" s="0" t="s">
        <v>61</v>
      </c>
      <c r="AN33" s="0" t="s">
        <v>50</v>
      </c>
    </row>
    <row r="34" customFormat="false" ht="15" hidden="false" customHeight="false" outlineLevel="0" collapsed="false">
      <c r="A34" s="1" t="n">
        <v>45801</v>
      </c>
      <c r="B34" s="0" t="s">
        <v>230</v>
      </c>
      <c r="C34" s="0" t="s">
        <v>121</v>
      </c>
      <c r="D34" s="0" t="n">
        <v>8098271886</v>
      </c>
      <c r="E34" s="0" t="s">
        <v>85</v>
      </c>
      <c r="F34" s="0" t="s">
        <v>231</v>
      </c>
      <c r="G34" s="0" t="s">
        <v>69</v>
      </c>
      <c r="H34" s="0" t="s">
        <v>70</v>
      </c>
      <c r="I34" s="0" t="s">
        <v>154</v>
      </c>
      <c r="K34" s="0" t="n">
        <v>117042</v>
      </c>
      <c r="L34" s="0" t="s">
        <v>124</v>
      </c>
      <c r="M34" s="0" t="s">
        <v>63</v>
      </c>
      <c r="N34" s="0" t="n">
        <v>1</v>
      </c>
      <c r="O34" s="0" t="n">
        <v>1.9</v>
      </c>
      <c r="P34" s="0" t="s">
        <v>111</v>
      </c>
      <c r="Q34" s="0" t="s">
        <v>73</v>
      </c>
      <c r="R34" s="0" t="s">
        <v>136</v>
      </c>
      <c r="S34" s="0" t="s">
        <v>75</v>
      </c>
      <c r="U34" s="0" t="s">
        <v>96</v>
      </c>
      <c r="V34" s="0" t="s">
        <v>77</v>
      </c>
      <c r="W34" s="0" t="s">
        <v>98</v>
      </c>
      <c r="X34" s="0" t="s">
        <v>196</v>
      </c>
      <c r="Y34" s="0" t="s">
        <v>177</v>
      </c>
      <c r="Z34" s="0" t="s">
        <v>79</v>
      </c>
      <c r="AA34" s="0" t="s">
        <v>150</v>
      </c>
      <c r="AC34" s="0" t="s">
        <v>61</v>
      </c>
      <c r="AD34" s="0" t="n">
        <v>0</v>
      </c>
      <c r="AE34" s="0" t="s">
        <v>80</v>
      </c>
      <c r="AF34" s="1" t="n">
        <v>45907</v>
      </c>
      <c r="AG34" s="0" t="s">
        <v>63</v>
      </c>
      <c r="AI34" s="0" t="s">
        <v>172</v>
      </c>
      <c r="AM34" s="0" t="s">
        <v>83</v>
      </c>
      <c r="AN34" s="0" t="s">
        <v>198</v>
      </c>
    </row>
    <row r="35" customFormat="false" ht="15" hidden="false" customHeight="false" outlineLevel="0" collapsed="false">
      <c r="A35" s="0" t="s">
        <v>232</v>
      </c>
      <c r="B35" s="0" t="s">
        <v>233</v>
      </c>
      <c r="C35" s="0" t="s">
        <v>42</v>
      </c>
      <c r="D35" s="0" t="n">
        <v>8029407935</v>
      </c>
      <c r="E35" s="0" t="s">
        <v>67</v>
      </c>
      <c r="F35" s="0" t="s">
        <v>234</v>
      </c>
      <c r="G35" s="0" t="s">
        <v>107</v>
      </c>
      <c r="H35" s="0" t="s">
        <v>88</v>
      </c>
      <c r="I35" s="0" t="s">
        <v>189</v>
      </c>
      <c r="K35" s="0" t="n">
        <v>111648</v>
      </c>
      <c r="L35" s="0" t="s">
        <v>124</v>
      </c>
      <c r="M35" s="0" t="s">
        <v>50</v>
      </c>
      <c r="N35" s="0" t="n">
        <v>3</v>
      </c>
      <c r="O35" s="0" t="n">
        <v>5.2</v>
      </c>
      <c r="P35" s="0" t="s">
        <v>125</v>
      </c>
      <c r="Q35" s="0" t="s">
        <v>52</v>
      </c>
      <c r="R35" s="0" t="s">
        <v>53</v>
      </c>
      <c r="S35" s="0" t="s">
        <v>54</v>
      </c>
      <c r="T35" s="0" t="n">
        <v>60</v>
      </c>
      <c r="U35" s="0" t="s">
        <v>96</v>
      </c>
      <c r="V35" s="0" t="s">
        <v>77</v>
      </c>
      <c r="W35" s="0" t="s">
        <v>78</v>
      </c>
      <c r="X35" s="0" t="s">
        <v>58</v>
      </c>
      <c r="Y35" s="0" t="s">
        <v>59</v>
      </c>
      <c r="Z35" s="0" t="s">
        <v>149</v>
      </c>
      <c r="AB35" s="0" t="n">
        <v>40000</v>
      </c>
      <c r="AC35" s="0" t="s">
        <v>50</v>
      </c>
      <c r="AD35" s="0" t="n">
        <v>10000</v>
      </c>
      <c r="AF35" s="1" t="n">
        <v>45930</v>
      </c>
      <c r="AG35" s="0" t="s">
        <v>50</v>
      </c>
      <c r="AH35" s="0" t="s">
        <v>116</v>
      </c>
      <c r="AI35" s="0" t="s">
        <v>117</v>
      </c>
      <c r="AJ35" s="0" t="s">
        <v>50</v>
      </c>
      <c r="AN35" s="0" t="s">
        <v>50</v>
      </c>
    </row>
    <row r="36" customFormat="false" ht="15" hidden="false" customHeight="false" outlineLevel="0" collapsed="false">
      <c r="A36" s="1" t="n">
        <v>45815</v>
      </c>
      <c r="B36" s="0" t="s">
        <v>235</v>
      </c>
      <c r="C36" s="0" t="s">
        <v>121</v>
      </c>
      <c r="D36" s="0" t="n">
        <v>8017693044</v>
      </c>
      <c r="E36" s="0" t="s">
        <v>139</v>
      </c>
      <c r="F36" s="0" t="s">
        <v>236</v>
      </c>
      <c r="G36" s="0" t="s">
        <v>87</v>
      </c>
      <c r="H36" s="0" t="s">
        <v>88</v>
      </c>
      <c r="I36" s="0" t="s">
        <v>154</v>
      </c>
      <c r="J36" s="0" t="s">
        <v>90</v>
      </c>
      <c r="K36" s="0" t="n">
        <v>97789</v>
      </c>
      <c r="L36" s="0" t="s">
        <v>49</v>
      </c>
      <c r="M36" s="0" t="s">
        <v>50</v>
      </c>
      <c r="N36" s="0" t="n">
        <v>5</v>
      </c>
      <c r="O36" s="0" t="n">
        <v>5.9</v>
      </c>
      <c r="P36" s="0" t="s">
        <v>51</v>
      </c>
      <c r="Q36" s="0" t="s">
        <v>52</v>
      </c>
      <c r="S36" s="0" t="s">
        <v>147</v>
      </c>
      <c r="T36" s="0" t="s">
        <v>127</v>
      </c>
      <c r="U36" s="0" t="s">
        <v>96</v>
      </c>
      <c r="V36" s="0" t="s">
        <v>56</v>
      </c>
      <c r="W36" s="0" t="s">
        <v>57</v>
      </c>
      <c r="X36" s="0" t="s">
        <v>99</v>
      </c>
      <c r="Y36" s="0" t="s">
        <v>197</v>
      </c>
      <c r="Z36" s="0" t="s">
        <v>161</v>
      </c>
      <c r="AA36" s="0" t="n">
        <v>25000</v>
      </c>
      <c r="AB36" s="0" t="n">
        <v>40000</v>
      </c>
      <c r="AC36" s="0" t="s">
        <v>50</v>
      </c>
      <c r="AD36" s="0" t="s">
        <v>115</v>
      </c>
      <c r="AE36" s="0" t="s">
        <v>60</v>
      </c>
      <c r="AF36" s="1" t="n">
        <v>45836</v>
      </c>
      <c r="AJ36" s="0" t="s">
        <v>81</v>
      </c>
      <c r="AK36" s="0" t="s">
        <v>50</v>
      </c>
      <c r="AL36" s="0" t="s">
        <v>63</v>
      </c>
      <c r="AM36" s="0" t="s">
        <v>103</v>
      </c>
      <c r="AN36" s="0" t="s">
        <v>190</v>
      </c>
    </row>
    <row r="37" customFormat="false" ht="15" hidden="false" customHeight="false" outlineLevel="0" collapsed="false">
      <c r="A37" s="1" t="n">
        <v>45962</v>
      </c>
      <c r="B37" s="0" t="s">
        <v>237</v>
      </c>
      <c r="C37" s="0" t="s">
        <v>42</v>
      </c>
      <c r="D37" s="0" t="n">
        <v>8041861591</v>
      </c>
      <c r="E37" s="0" t="s">
        <v>139</v>
      </c>
      <c r="F37" s="0" t="s">
        <v>238</v>
      </c>
      <c r="G37" s="0" t="s">
        <v>45</v>
      </c>
      <c r="H37" s="0" t="s">
        <v>165</v>
      </c>
      <c r="I37" s="0" t="s">
        <v>89</v>
      </c>
      <c r="J37" s="0" t="s">
        <v>48</v>
      </c>
      <c r="K37" s="0" t="n">
        <v>107242</v>
      </c>
      <c r="L37" s="0" t="s">
        <v>72</v>
      </c>
      <c r="M37" s="0" t="s">
        <v>63</v>
      </c>
      <c r="N37" s="0" t="n">
        <v>1</v>
      </c>
      <c r="O37" s="0" t="n">
        <v>1.8</v>
      </c>
      <c r="P37" s="0" t="s">
        <v>111</v>
      </c>
      <c r="Q37" s="0" t="s">
        <v>93</v>
      </c>
      <c r="R37" s="0" t="s">
        <v>74</v>
      </c>
      <c r="S37" s="0" t="s">
        <v>126</v>
      </c>
      <c r="T37" s="0" t="n">
        <v>30</v>
      </c>
      <c r="U37" s="0" t="s">
        <v>160</v>
      </c>
      <c r="V37" s="0" t="s">
        <v>56</v>
      </c>
      <c r="W37" s="0" t="s">
        <v>128</v>
      </c>
      <c r="X37" s="0" t="s">
        <v>137</v>
      </c>
      <c r="Z37" s="0" t="s">
        <v>79</v>
      </c>
      <c r="AA37" s="0" t="n">
        <v>25000</v>
      </c>
      <c r="AB37" s="0" t="s">
        <v>178</v>
      </c>
      <c r="AC37" s="0" t="s">
        <v>63</v>
      </c>
      <c r="AD37" s="0" t="s">
        <v>115</v>
      </c>
      <c r="AE37" s="0" t="s">
        <v>60</v>
      </c>
      <c r="AF37" s="0" t="s">
        <v>239</v>
      </c>
      <c r="AG37" s="0" t="s">
        <v>61</v>
      </c>
      <c r="AH37" s="0" t="s">
        <v>116</v>
      </c>
      <c r="AJ37" s="0" t="s">
        <v>63</v>
      </c>
      <c r="AK37" s="0" t="s">
        <v>61</v>
      </c>
      <c r="AL37" s="0" t="s">
        <v>102</v>
      </c>
      <c r="AM37" s="0" t="s">
        <v>103</v>
      </c>
      <c r="AN37" s="0" t="s">
        <v>198</v>
      </c>
    </row>
    <row r="38" customFormat="false" ht="15" hidden="false" customHeight="false" outlineLevel="0" collapsed="false">
      <c r="A38" s="1" t="n">
        <v>45723</v>
      </c>
      <c r="B38" s="0" t="s">
        <v>240</v>
      </c>
      <c r="C38" s="0" t="s">
        <v>121</v>
      </c>
      <c r="D38" s="0" t="n">
        <v>8078062865</v>
      </c>
      <c r="E38" s="0" t="s">
        <v>43</v>
      </c>
      <c r="F38" s="0" t="s">
        <v>241</v>
      </c>
      <c r="G38" s="0" t="s">
        <v>107</v>
      </c>
      <c r="H38" s="0" t="s">
        <v>242</v>
      </c>
      <c r="I38" s="0" t="s">
        <v>47</v>
      </c>
      <c r="J38" s="0" t="s">
        <v>90</v>
      </c>
      <c r="K38" s="0" t="n">
        <v>69450</v>
      </c>
      <c r="L38" s="0" t="s">
        <v>124</v>
      </c>
      <c r="M38" s="0" t="s">
        <v>50</v>
      </c>
      <c r="N38" s="0" t="n">
        <v>4</v>
      </c>
      <c r="O38" s="0" t="n">
        <v>1.7</v>
      </c>
      <c r="P38" s="0" t="s">
        <v>125</v>
      </c>
      <c r="Q38" s="0" t="s">
        <v>93</v>
      </c>
      <c r="R38" s="0" t="s">
        <v>159</v>
      </c>
      <c r="S38" s="0" t="s">
        <v>75</v>
      </c>
      <c r="T38" s="0" t="n">
        <v>30</v>
      </c>
      <c r="U38" s="0" t="s">
        <v>112</v>
      </c>
      <c r="V38" s="0" t="s">
        <v>56</v>
      </c>
      <c r="W38" s="0" t="s">
        <v>98</v>
      </c>
      <c r="X38" s="0" t="s">
        <v>58</v>
      </c>
      <c r="Y38" s="0" t="s">
        <v>59</v>
      </c>
      <c r="AA38" s="0" t="n">
        <v>15000</v>
      </c>
      <c r="AB38" s="0" t="s">
        <v>178</v>
      </c>
      <c r="AD38" s="0" t="n">
        <v>10000</v>
      </c>
      <c r="AE38" s="0" t="s">
        <v>80</v>
      </c>
      <c r="AF38" s="1" t="n">
        <v>46014</v>
      </c>
      <c r="AG38" s="0" t="s">
        <v>50</v>
      </c>
      <c r="AK38" s="0" t="s">
        <v>82</v>
      </c>
      <c r="AM38" s="0" t="s">
        <v>103</v>
      </c>
      <c r="AN38" s="0" t="s">
        <v>50</v>
      </c>
    </row>
    <row r="39" customFormat="false" ht="15" hidden="false" customHeight="false" outlineLevel="0" collapsed="false">
      <c r="A39" s="1" t="n">
        <v>45839</v>
      </c>
      <c r="B39" s="0" t="s">
        <v>243</v>
      </c>
      <c r="C39" s="0" t="s">
        <v>66</v>
      </c>
      <c r="D39" s="0" t="n">
        <v>8085088096</v>
      </c>
      <c r="E39" s="0" t="s">
        <v>43</v>
      </c>
      <c r="F39" s="0" t="s">
        <v>244</v>
      </c>
      <c r="G39" s="0" t="s">
        <v>69</v>
      </c>
      <c r="I39" s="0" t="s">
        <v>108</v>
      </c>
      <c r="J39" s="0" t="s">
        <v>71</v>
      </c>
      <c r="K39" s="0" t="n">
        <v>60123</v>
      </c>
      <c r="L39" s="0" t="s">
        <v>72</v>
      </c>
      <c r="M39" s="0" t="s">
        <v>50</v>
      </c>
      <c r="N39" s="0" t="n">
        <v>5</v>
      </c>
      <c r="O39" s="0" t="n">
        <v>3.3</v>
      </c>
      <c r="P39" s="0" t="s">
        <v>92</v>
      </c>
      <c r="Q39" s="0" t="s">
        <v>73</v>
      </c>
      <c r="R39" s="0" t="s">
        <v>94</v>
      </c>
      <c r="S39" s="0" t="s">
        <v>147</v>
      </c>
      <c r="T39" s="0" t="s">
        <v>127</v>
      </c>
      <c r="U39" s="0" t="s">
        <v>160</v>
      </c>
      <c r="V39" s="0" t="s">
        <v>56</v>
      </c>
      <c r="W39" s="0" t="s">
        <v>113</v>
      </c>
      <c r="X39" s="0" t="s">
        <v>99</v>
      </c>
      <c r="Z39" s="0" t="s">
        <v>129</v>
      </c>
      <c r="AA39" s="0" t="n">
        <v>15000</v>
      </c>
      <c r="AB39" s="0" t="n">
        <v>20000</v>
      </c>
      <c r="AC39" s="0" t="s">
        <v>63</v>
      </c>
      <c r="AD39" s="0" t="n">
        <v>0</v>
      </c>
      <c r="AE39" s="0" t="s">
        <v>80</v>
      </c>
      <c r="AF39" s="0" t="s">
        <v>245</v>
      </c>
      <c r="AG39" s="0" t="s">
        <v>63</v>
      </c>
      <c r="AH39" s="0" t="s">
        <v>116</v>
      </c>
      <c r="AJ39" s="0" t="s">
        <v>62</v>
      </c>
      <c r="AK39" s="0" t="s">
        <v>61</v>
      </c>
      <c r="AL39" s="0" t="s">
        <v>50</v>
      </c>
      <c r="AM39" s="0" t="s">
        <v>83</v>
      </c>
    </row>
    <row r="40" customFormat="false" ht="15" hidden="false" customHeight="false" outlineLevel="0" collapsed="false">
      <c r="A40" s="1" t="n">
        <v>45966</v>
      </c>
      <c r="B40" s="0" t="s">
        <v>246</v>
      </c>
      <c r="C40" s="0" t="s">
        <v>163</v>
      </c>
      <c r="D40" s="0" t="n">
        <v>8017329266</v>
      </c>
      <c r="E40" s="0" t="s">
        <v>67</v>
      </c>
      <c r="F40" s="0" t="s">
        <v>247</v>
      </c>
      <c r="G40" s="0" t="s">
        <v>107</v>
      </c>
      <c r="H40" s="0" t="s">
        <v>88</v>
      </c>
      <c r="I40" s="0" t="s">
        <v>142</v>
      </c>
      <c r="J40" s="0" t="s">
        <v>90</v>
      </c>
      <c r="K40" s="0" t="n">
        <v>96203</v>
      </c>
      <c r="L40" s="0" t="s">
        <v>72</v>
      </c>
      <c r="M40" s="0" t="s">
        <v>50</v>
      </c>
      <c r="N40" s="0" t="n">
        <v>5</v>
      </c>
      <c r="O40" s="0" t="n">
        <v>3</v>
      </c>
      <c r="P40" s="0" t="s">
        <v>51</v>
      </c>
      <c r="Q40" s="0" t="s">
        <v>73</v>
      </c>
      <c r="R40" s="0" t="s">
        <v>159</v>
      </c>
      <c r="S40" s="0" t="s">
        <v>95</v>
      </c>
      <c r="T40" s="0" t="n">
        <v>15</v>
      </c>
      <c r="U40" s="0" t="s">
        <v>112</v>
      </c>
      <c r="V40" s="0" t="s">
        <v>155</v>
      </c>
      <c r="W40" s="0" t="s">
        <v>128</v>
      </c>
      <c r="X40" s="0" t="s">
        <v>196</v>
      </c>
      <c r="Z40" s="0" t="s">
        <v>79</v>
      </c>
      <c r="AB40" s="0" t="n">
        <v>35000</v>
      </c>
      <c r="AE40" s="0" t="s">
        <v>130</v>
      </c>
      <c r="AF40" s="1" t="n">
        <v>45851</v>
      </c>
      <c r="AG40" s="0" t="s">
        <v>50</v>
      </c>
      <c r="AH40" s="0" t="s">
        <v>116</v>
      </c>
      <c r="AI40" s="0" t="s">
        <v>101</v>
      </c>
      <c r="AJ40" s="0" t="s">
        <v>50</v>
      </c>
      <c r="AK40" s="0" t="s">
        <v>63</v>
      </c>
      <c r="AL40" s="0" t="s">
        <v>102</v>
      </c>
      <c r="AM40" s="0" t="s">
        <v>103</v>
      </c>
      <c r="AN40" s="0" t="s">
        <v>50</v>
      </c>
    </row>
    <row r="41" customFormat="false" ht="15" hidden="false" customHeight="false" outlineLevel="0" collapsed="false">
      <c r="A41" s="0" t="s">
        <v>248</v>
      </c>
      <c r="B41" s="0" t="s">
        <v>249</v>
      </c>
      <c r="C41" s="0" t="s">
        <v>121</v>
      </c>
      <c r="D41" s="0" t="n">
        <v>8066648087</v>
      </c>
      <c r="E41" s="0" t="s">
        <v>85</v>
      </c>
      <c r="F41" s="0" t="s">
        <v>250</v>
      </c>
      <c r="G41" s="0" t="s">
        <v>69</v>
      </c>
      <c r="H41" s="0" t="s">
        <v>153</v>
      </c>
      <c r="I41" s="0" t="s">
        <v>89</v>
      </c>
      <c r="K41" s="0" t="n">
        <v>82587</v>
      </c>
      <c r="L41" s="0" t="s">
        <v>110</v>
      </c>
      <c r="M41" s="0" t="s">
        <v>63</v>
      </c>
      <c r="N41" s="0" t="n">
        <v>5</v>
      </c>
      <c r="O41" s="0" t="n">
        <v>2.4</v>
      </c>
      <c r="P41" s="0" t="s">
        <v>125</v>
      </c>
      <c r="Q41" s="0" t="s">
        <v>73</v>
      </c>
      <c r="R41" s="0" t="s">
        <v>159</v>
      </c>
      <c r="S41" s="0" t="s">
        <v>75</v>
      </c>
      <c r="T41" s="0" t="n">
        <v>45</v>
      </c>
      <c r="U41" s="0" t="s">
        <v>112</v>
      </c>
      <c r="V41" s="0" t="s">
        <v>97</v>
      </c>
      <c r="W41" s="0" t="s">
        <v>98</v>
      </c>
      <c r="X41" s="0" t="s">
        <v>137</v>
      </c>
      <c r="Y41" s="0" t="s">
        <v>156</v>
      </c>
      <c r="Z41" s="0" t="s">
        <v>149</v>
      </c>
      <c r="AA41" s="0" t="n">
        <v>40000</v>
      </c>
      <c r="AB41" s="0" t="n">
        <v>30000</v>
      </c>
      <c r="AD41" s="0" t="n">
        <v>5000</v>
      </c>
      <c r="AE41" s="0" t="s">
        <v>130</v>
      </c>
      <c r="AG41" s="0" t="s">
        <v>63</v>
      </c>
      <c r="AH41" s="0" t="s">
        <v>116</v>
      </c>
      <c r="AI41" s="0" t="s">
        <v>101</v>
      </c>
      <c r="AJ41" s="0" t="s">
        <v>62</v>
      </c>
      <c r="AK41" s="0" t="s">
        <v>50</v>
      </c>
      <c r="AL41" s="0" t="s">
        <v>63</v>
      </c>
      <c r="AM41" s="0" t="s">
        <v>83</v>
      </c>
      <c r="AN41" s="0" t="s">
        <v>50</v>
      </c>
    </row>
    <row r="42" customFormat="false" ht="15" hidden="false" customHeight="false" outlineLevel="0" collapsed="false">
      <c r="A42" s="1" t="n">
        <v>45789</v>
      </c>
      <c r="B42" s="0" t="s">
        <v>251</v>
      </c>
      <c r="C42" s="0" t="s">
        <v>121</v>
      </c>
      <c r="D42" s="0" t="n">
        <v>8056146216</v>
      </c>
      <c r="E42" s="0" t="s">
        <v>85</v>
      </c>
      <c r="F42" s="0" t="s">
        <v>252</v>
      </c>
      <c r="G42" s="0" t="s">
        <v>134</v>
      </c>
      <c r="H42" s="0" t="s">
        <v>146</v>
      </c>
      <c r="I42" s="0" t="s">
        <v>142</v>
      </c>
      <c r="J42" s="0" t="s">
        <v>90</v>
      </c>
      <c r="K42" s="0" t="n">
        <v>41600</v>
      </c>
      <c r="L42" s="0" t="s">
        <v>124</v>
      </c>
      <c r="M42" s="0" t="s">
        <v>50</v>
      </c>
      <c r="N42" s="0" t="n">
        <v>2</v>
      </c>
      <c r="O42" s="0" t="n">
        <v>4</v>
      </c>
      <c r="P42" s="0" t="s">
        <v>92</v>
      </c>
      <c r="Q42" s="0" t="s">
        <v>52</v>
      </c>
      <c r="R42" s="0" t="s">
        <v>74</v>
      </c>
      <c r="S42" s="0" t="s">
        <v>54</v>
      </c>
      <c r="T42" s="0" t="n">
        <v>45</v>
      </c>
      <c r="U42" s="0" t="s">
        <v>96</v>
      </c>
      <c r="V42" s="0" t="s">
        <v>148</v>
      </c>
      <c r="W42" s="0" t="s">
        <v>57</v>
      </c>
      <c r="X42" s="0" t="s">
        <v>137</v>
      </c>
      <c r="Y42" s="0" t="s">
        <v>177</v>
      </c>
      <c r="Z42" s="0" t="s">
        <v>143</v>
      </c>
      <c r="AA42" s="0" t="n">
        <v>40000</v>
      </c>
      <c r="AB42" s="0" t="n">
        <v>20000</v>
      </c>
      <c r="AC42" s="0" t="s">
        <v>63</v>
      </c>
      <c r="AD42" s="0" t="s">
        <v>115</v>
      </c>
      <c r="AE42" s="0" t="s">
        <v>130</v>
      </c>
      <c r="AF42" s="1" t="n">
        <v>45699</v>
      </c>
      <c r="AG42" s="0" t="s">
        <v>82</v>
      </c>
      <c r="AI42" s="0" t="s">
        <v>117</v>
      </c>
      <c r="AJ42" s="0" t="s">
        <v>62</v>
      </c>
      <c r="AK42" s="0" t="s">
        <v>63</v>
      </c>
      <c r="AL42" s="0" t="s">
        <v>102</v>
      </c>
      <c r="AN42" s="0" t="s">
        <v>63</v>
      </c>
    </row>
    <row r="43" customFormat="false" ht="15" hidden="false" customHeight="false" outlineLevel="0" collapsed="false">
      <c r="A43" s="1" t="n">
        <v>45659</v>
      </c>
      <c r="B43" s="0" t="s">
        <v>253</v>
      </c>
      <c r="C43" s="0" t="s">
        <v>121</v>
      </c>
      <c r="D43" s="0" t="n">
        <v>8036227100</v>
      </c>
      <c r="E43" s="0" t="s">
        <v>85</v>
      </c>
      <c r="F43" s="0" t="s">
        <v>254</v>
      </c>
      <c r="G43" s="0" t="s">
        <v>107</v>
      </c>
      <c r="H43" s="0" t="s">
        <v>70</v>
      </c>
      <c r="I43" s="0" t="s">
        <v>142</v>
      </c>
      <c r="K43" s="0" t="n">
        <v>105624</v>
      </c>
      <c r="L43" s="0" t="s">
        <v>110</v>
      </c>
      <c r="M43" s="0" t="s">
        <v>63</v>
      </c>
      <c r="N43" s="0" t="n">
        <v>5</v>
      </c>
      <c r="O43" s="0" t="n">
        <v>1.3</v>
      </c>
      <c r="P43" s="0" t="s">
        <v>51</v>
      </c>
      <c r="Q43" s="0" t="s">
        <v>93</v>
      </c>
      <c r="R43" s="0" t="s">
        <v>94</v>
      </c>
      <c r="S43" s="0" t="s">
        <v>147</v>
      </c>
      <c r="T43" s="0" t="n">
        <v>30</v>
      </c>
      <c r="U43" s="0" t="s">
        <v>96</v>
      </c>
      <c r="V43" s="0" t="s">
        <v>56</v>
      </c>
      <c r="W43" s="0" t="s">
        <v>113</v>
      </c>
      <c r="X43" s="0" t="s">
        <v>196</v>
      </c>
      <c r="Z43" s="0" t="s">
        <v>79</v>
      </c>
      <c r="AA43" s="0" t="s">
        <v>150</v>
      </c>
      <c r="AB43" s="0" t="s">
        <v>178</v>
      </c>
      <c r="AE43" s="0" t="s">
        <v>184</v>
      </c>
      <c r="AG43" s="0" t="s">
        <v>63</v>
      </c>
      <c r="AJ43" s="0" t="s">
        <v>81</v>
      </c>
      <c r="AK43" s="0" t="s">
        <v>50</v>
      </c>
      <c r="AM43" s="0" t="s">
        <v>64</v>
      </c>
      <c r="AN43" s="0" t="s">
        <v>50</v>
      </c>
    </row>
    <row r="44" customFormat="false" ht="15" hidden="false" customHeight="false" outlineLevel="0" collapsed="false">
      <c r="A44" s="1" t="n">
        <v>45674</v>
      </c>
      <c r="B44" s="0" t="s">
        <v>255</v>
      </c>
      <c r="C44" s="0" t="s">
        <v>42</v>
      </c>
      <c r="D44" s="0" t="n">
        <v>8036893461</v>
      </c>
      <c r="E44" s="0" t="s">
        <v>67</v>
      </c>
      <c r="F44" s="0" t="s">
        <v>256</v>
      </c>
      <c r="G44" s="0" t="s">
        <v>45</v>
      </c>
      <c r="I44" s="0" t="s">
        <v>154</v>
      </c>
      <c r="K44" s="0" t="n">
        <v>23402</v>
      </c>
      <c r="L44" s="0" t="s">
        <v>72</v>
      </c>
      <c r="M44" s="0" t="s">
        <v>50</v>
      </c>
      <c r="N44" s="0" t="n">
        <v>2</v>
      </c>
      <c r="O44" s="0" t="n">
        <v>5.2</v>
      </c>
      <c r="P44" s="0" t="s">
        <v>125</v>
      </c>
      <c r="Q44" s="0" t="s">
        <v>93</v>
      </c>
      <c r="R44" s="0" t="s">
        <v>159</v>
      </c>
      <c r="S44" s="0" t="s">
        <v>147</v>
      </c>
      <c r="T44" s="0" t="s">
        <v>127</v>
      </c>
      <c r="U44" s="0" t="s">
        <v>55</v>
      </c>
      <c r="V44" s="0" t="s">
        <v>56</v>
      </c>
      <c r="W44" s="0" t="s">
        <v>57</v>
      </c>
      <c r="X44" s="0" t="s">
        <v>114</v>
      </c>
      <c r="Z44" s="0" t="s">
        <v>143</v>
      </c>
      <c r="AA44" s="0" t="s">
        <v>150</v>
      </c>
      <c r="AB44" s="0" t="s">
        <v>178</v>
      </c>
      <c r="AC44" s="0" t="s">
        <v>50</v>
      </c>
      <c r="AD44" s="0" t="n">
        <v>10000</v>
      </c>
      <c r="AE44" s="0" t="s">
        <v>184</v>
      </c>
      <c r="AF44" s="1" t="n">
        <v>45756</v>
      </c>
      <c r="AH44" s="0" t="s">
        <v>171</v>
      </c>
      <c r="AI44" s="0" t="s">
        <v>172</v>
      </c>
      <c r="AJ44" s="0" t="s">
        <v>81</v>
      </c>
      <c r="AK44" s="0" t="s">
        <v>61</v>
      </c>
      <c r="AL44" s="0" t="s">
        <v>63</v>
      </c>
      <c r="AM44" s="0" t="s">
        <v>83</v>
      </c>
      <c r="AN44" s="0" t="s">
        <v>190</v>
      </c>
    </row>
    <row r="45" customFormat="false" ht="15" hidden="false" customHeight="false" outlineLevel="0" collapsed="false">
      <c r="A45" s="1" t="n">
        <v>45710</v>
      </c>
      <c r="B45" s="0" t="s">
        <v>257</v>
      </c>
      <c r="C45" s="0" t="s">
        <v>105</v>
      </c>
      <c r="D45" s="0" t="n">
        <v>8095973808</v>
      </c>
      <c r="E45" s="0" t="s">
        <v>122</v>
      </c>
      <c r="F45" s="0" t="s">
        <v>258</v>
      </c>
      <c r="G45" s="0" t="s">
        <v>69</v>
      </c>
      <c r="H45" s="0" t="s">
        <v>46</v>
      </c>
      <c r="I45" s="0" t="s">
        <v>154</v>
      </c>
      <c r="J45" s="0" t="s">
        <v>71</v>
      </c>
      <c r="K45" s="0" t="n">
        <v>61445</v>
      </c>
      <c r="L45" s="0" t="s">
        <v>110</v>
      </c>
      <c r="M45" s="0" t="s">
        <v>63</v>
      </c>
      <c r="O45" s="0" t="n">
        <v>1.9</v>
      </c>
      <c r="P45" s="0" t="s">
        <v>51</v>
      </c>
      <c r="Q45" s="0" t="s">
        <v>52</v>
      </c>
      <c r="R45" s="0" t="s">
        <v>94</v>
      </c>
      <c r="S45" s="0" t="s">
        <v>54</v>
      </c>
      <c r="T45" s="0" t="s">
        <v>127</v>
      </c>
      <c r="U45" s="0" t="s">
        <v>112</v>
      </c>
      <c r="V45" s="0" t="s">
        <v>77</v>
      </c>
      <c r="W45" s="0" t="s">
        <v>113</v>
      </c>
      <c r="X45" s="0" t="s">
        <v>137</v>
      </c>
      <c r="Y45" s="0" t="s">
        <v>156</v>
      </c>
      <c r="Z45" s="0" t="s">
        <v>161</v>
      </c>
      <c r="AA45" s="0" t="n">
        <v>25000</v>
      </c>
      <c r="AB45" s="0" t="n">
        <v>40000</v>
      </c>
      <c r="AC45" s="0" t="s">
        <v>63</v>
      </c>
      <c r="AD45" s="0" t="s">
        <v>115</v>
      </c>
      <c r="AF45" s="1" t="n">
        <v>45842</v>
      </c>
      <c r="AG45" s="0" t="s">
        <v>63</v>
      </c>
      <c r="AI45" s="0" t="s">
        <v>172</v>
      </c>
      <c r="AJ45" s="0" t="s">
        <v>62</v>
      </c>
      <c r="AL45" s="0" t="s">
        <v>63</v>
      </c>
      <c r="AM45" s="0" t="s">
        <v>103</v>
      </c>
      <c r="AN45" s="0" t="s">
        <v>50</v>
      </c>
    </row>
    <row r="46" customFormat="false" ht="15" hidden="false" customHeight="false" outlineLevel="0" collapsed="false">
      <c r="A46" s="1" t="n">
        <v>45676</v>
      </c>
      <c r="B46" s="0" t="s">
        <v>259</v>
      </c>
      <c r="C46" s="0" t="s">
        <v>42</v>
      </c>
      <c r="D46" s="0" t="n">
        <v>8037012825</v>
      </c>
      <c r="E46" s="0" t="s">
        <v>139</v>
      </c>
      <c r="F46" s="0" t="s">
        <v>260</v>
      </c>
      <c r="G46" s="0" t="s">
        <v>69</v>
      </c>
      <c r="H46" s="0" t="s">
        <v>135</v>
      </c>
      <c r="I46" s="0" t="s">
        <v>47</v>
      </c>
      <c r="J46" s="0" t="s">
        <v>71</v>
      </c>
      <c r="K46" s="0" t="n">
        <v>16959</v>
      </c>
      <c r="L46" s="0" t="s">
        <v>110</v>
      </c>
      <c r="M46" s="0" t="s">
        <v>50</v>
      </c>
      <c r="N46" s="0" t="n">
        <v>3</v>
      </c>
      <c r="O46" s="0" t="n">
        <v>3.7</v>
      </c>
      <c r="P46" s="0" t="s">
        <v>125</v>
      </c>
      <c r="Q46" s="0" t="s">
        <v>73</v>
      </c>
      <c r="R46" s="0" t="s">
        <v>136</v>
      </c>
      <c r="S46" s="0" t="s">
        <v>95</v>
      </c>
      <c r="T46" s="0" t="n">
        <v>30</v>
      </c>
      <c r="U46" s="0" t="s">
        <v>160</v>
      </c>
      <c r="V46" s="0" t="s">
        <v>148</v>
      </c>
      <c r="W46" s="0" t="s">
        <v>78</v>
      </c>
      <c r="X46" s="0" t="s">
        <v>196</v>
      </c>
      <c r="Y46" s="0" t="s">
        <v>177</v>
      </c>
      <c r="Z46" s="0" t="s">
        <v>129</v>
      </c>
      <c r="AA46" s="0" t="n">
        <v>15000</v>
      </c>
      <c r="AB46" s="0" t="n">
        <v>20000</v>
      </c>
      <c r="AC46" s="0" t="s">
        <v>50</v>
      </c>
      <c r="AD46" s="0" t="s">
        <v>115</v>
      </c>
      <c r="AE46" s="0" t="s">
        <v>130</v>
      </c>
      <c r="AG46" s="0" t="s">
        <v>82</v>
      </c>
      <c r="AI46" s="0" t="s">
        <v>117</v>
      </c>
      <c r="AJ46" s="0" t="s">
        <v>81</v>
      </c>
      <c r="AM46" s="0" t="s">
        <v>103</v>
      </c>
      <c r="AN46" s="0" t="s">
        <v>50</v>
      </c>
    </row>
    <row r="47" customFormat="false" ht="15" hidden="false" customHeight="false" outlineLevel="0" collapsed="false">
      <c r="A47" s="1" t="n">
        <v>45775</v>
      </c>
      <c r="B47" s="0" t="s">
        <v>261</v>
      </c>
      <c r="C47" s="0" t="s">
        <v>66</v>
      </c>
      <c r="D47" s="0" t="n">
        <v>8019180999</v>
      </c>
      <c r="E47" s="0" t="s">
        <v>122</v>
      </c>
      <c r="F47" s="0" t="s">
        <v>262</v>
      </c>
      <c r="G47" s="0" t="s">
        <v>107</v>
      </c>
      <c r="H47" s="0" t="s">
        <v>146</v>
      </c>
      <c r="I47" s="0" t="s">
        <v>154</v>
      </c>
      <c r="J47" s="0" t="s">
        <v>109</v>
      </c>
      <c r="K47" s="0" t="n">
        <v>82007</v>
      </c>
      <c r="L47" s="0" t="s">
        <v>91</v>
      </c>
      <c r="M47" s="0" t="s">
        <v>50</v>
      </c>
      <c r="N47" s="0" t="n">
        <v>3</v>
      </c>
      <c r="O47" s="0" t="n">
        <v>2.3</v>
      </c>
      <c r="Q47" s="0" t="s">
        <v>73</v>
      </c>
      <c r="R47" s="0" t="s">
        <v>159</v>
      </c>
      <c r="S47" s="0" t="s">
        <v>95</v>
      </c>
      <c r="T47" s="0" t="n">
        <v>15</v>
      </c>
      <c r="U47" s="0" t="s">
        <v>96</v>
      </c>
      <c r="V47" s="0" t="s">
        <v>56</v>
      </c>
      <c r="W47" s="0" t="s">
        <v>113</v>
      </c>
      <c r="X47" s="0" t="s">
        <v>114</v>
      </c>
      <c r="Z47" s="0" t="s">
        <v>161</v>
      </c>
      <c r="AA47" s="0" t="n">
        <v>25000</v>
      </c>
      <c r="AB47" s="0" t="n">
        <v>40000</v>
      </c>
      <c r="AC47" s="0" t="s">
        <v>50</v>
      </c>
      <c r="AD47" s="0" t="n">
        <v>0</v>
      </c>
      <c r="AE47" s="0" t="s">
        <v>80</v>
      </c>
      <c r="AF47" s="1" t="n">
        <v>45876</v>
      </c>
      <c r="AG47" s="0" t="s">
        <v>82</v>
      </c>
      <c r="AI47" s="0" t="s">
        <v>172</v>
      </c>
      <c r="AK47" s="0" t="s">
        <v>82</v>
      </c>
      <c r="AM47" s="0" t="s">
        <v>118</v>
      </c>
      <c r="AN47" s="0" t="s">
        <v>198</v>
      </c>
    </row>
    <row r="48" customFormat="false" ht="15" hidden="false" customHeight="false" outlineLevel="0" collapsed="false">
      <c r="A48" s="1" t="n">
        <v>45742</v>
      </c>
      <c r="B48" s="0" t="s">
        <v>263</v>
      </c>
      <c r="C48" s="0" t="s">
        <v>42</v>
      </c>
      <c r="D48" s="0" t="n">
        <v>8055842323</v>
      </c>
      <c r="E48" s="0" t="s">
        <v>85</v>
      </c>
      <c r="F48" s="0" t="s">
        <v>264</v>
      </c>
      <c r="G48" s="0" t="s">
        <v>69</v>
      </c>
      <c r="H48" s="0" t="s">
        <v>135</v>
      </c>
      <c r="I48" s="0" t="s">
        <v>89</v>
      </c>
      <c r="J48" s="0" t="s">
        <v>109</v>
      </c>
      <c r="K48" s="0" t="n">
        <v>33809</v>
      </c>
      <c r="L48" s="0" t="s">
        <v>110</v>
      </c>
      <c r="M48" s="0" t="s">
        <v>50</v>
      </c>
      <c r="N48" s="0" t="n">
        <v>5</v>
      </c>
      <c r="O48" s="0" t="n">
        <v>3.6</v>
      </c>
      <c r="P48" s="0" t="s">
        <v>92</v>
      </c>
      <c r="Q48" s="0" t="s">
        <v>52</v>
      </c>
      <c r="R48" s="0" t="s">
        <v>53</v>
      </c>
      <c r="S48" s="0" t="s">
        <v>75</v>
      </c>
      <c r="U48" s="0" t="s">
        <v>160</v>
      </c>
      <c r="V48" s="0" t="s">
        <v>56</v>
      </c>
      <c r="W48" s="0" t="s">
        <v>98</v>
      </c>
      <c r="X48" s="0" t="s">
        <v>58</v>
      </c>
      <c r="Y48" s="0" t="s">
        <v>59</v>
      </c>
      <c r="AA48" s="0" t="n">
        <v>40000</v>
      </c>
      <c r="AB48" s="0" t="n">
        <v>20000</v>
      </c>
      <c r="AC48" s="0" t="s">
        <v>61</v>
      </c>
      <c r="AE48" s="0" t="s">
        <v>80</v>
      </c>
      <c r="AG48" s="0" t="s">
        <v>61</v>
      </c>
      <c r="AI48" s="0" t="s">
        <v>117</v>
      </c>
      <c r="AJ48" s="0" t="s">
        <v>62</v>
      </c>
      <c r="AK48" s="0" t="s">
        <v>63</v>
      </c>
      <c r="AL48" s="0" t="s">
        <v>63</v>
      </c>
      <c r="AM48" s="0" t="s">
        <v>64</v>
      </c>
      <c r="AN48" s="0" t="s">
        <v>50</v>
      </c>
    </row>
    <row r="49" customFormat="false" ht="15" hidden="false" customHeight="false" outlineLevel="0" collapsed="false">
      <c r="A49" s="1" t="n">
        <v>45722</v>
      </c>
      <c r="B49" s="0" t="s">
        <v>265</v>
      </c>
      <c r="C49" s="0" t="s">
        <v>105</v>
      </c>
      <c r="D49" s="0" t="n">
        <v>8035414874</v>
      </c>
      <c r="E49" s="0" t="s">
        <v>139</v>
      </c>
      <c r="F49" s="0" t="s">
        <v>266</v>
      </c>
      <c r="G49" s="0" t="s">
        <v>69</v>
      </c>
      <c r="H49" s="0" t="s">
        <v>170</v>
      </c>
      <c r="I49" s="0" t="s">
        <v>108</v>
      </c>
      <c r="J49" s="0" t="s">
        <v>71</v>
      </c>
      <c r="K49" s="0" t="n">
        <v>104147</v>
      </c>
      <c r="L49" s="0" t="s">
        <v>49</v>
      </c>
      <c r="M49" s="0" t="s">
        <v>63</v>
      </c>
      <c r="N49" s="0" t="n">
        <v>4</v>
      </c>
      <c r="O49" s="0" t="n">
        <v>4.9</v>
      </c>
      <c r="P49" s="0" t="s">
        <v>111</v>
      </c>
      <c r="Q49" s="0" t="s">
        <v>93</v>
      </c>
      <c r="S49" s="0" t="s">
        <v>95</v>
      </c>
      <c r="T49" s="0" t="n">
        <v>15</v>
      </c>
      <c r="U49" s="0" t="s">
        <v>76</v>
      </c>
      <c r="V49" s="0" t="s">
        <v>155</v>
      </c>
      <c r="W49" s="0" t="s">
        <v>113</v>
      </c>
      <c r="X49" s="0" t="s">
        <v>196</v>
      </c>
      <c r="AB49" s="0" t="s">
        <v>178</v>
      </c>
      <c r="AC49" s="0" t="s">
        <v>82</v>
      </c>
      <c r="AE49" s="0" t="s">
        <v>60</v>
      </c>
      <c r="AF49" s="1" t="n">
        <v>45874</v>
      </c>
      <c r="AG49" s="0" t="s">
        <v>50</v>
      </c>
      <c r="AK49" s="0" t="s">
        <v>82</v>
      </c>
      <c r="AM49" s="0" t="s">
        <v>103</v>
      </c>
      <c r="AN49" s="0" t="s">
        <v>50</v>
      </c>
    </row>
    <row r="50" customFormat="false" ht="15" hidden="false" customHeight="false" outlineLevel="0" collapsed="false">
      <c r="A50" s="0" t="s">
        <v>267</v>
      </c>
      <c r="B50" s="0" t="s">
        <v>268</v>
      </c>
      <c r="C50" s="0" t="s">
        <v>66</v>
      </c>
      <c r="D50" s="0" t="n">
        <v>8099638670</v>
      </c>
      <c r="E50" s="0" t="s">
        <v>43</v>
      </c>
      <c r="F50" s="0" t="s">
        <v>269</v>
      </c>
      <c r="G50" s="0" t="s">
        <v>107</v>
      </c>
      <c r="I50" s="0" t="s">
        <v>89</v>
      </c>
      <c r="J50" s="0" t="s">
        <v>71</v>
      </c>
      <c r="K50" s="0" t="n">
        <v>67610</v>
      </c>
      <c r="L50" s="0" t="s">
        <v>110</v>
      </c>
      <c r="M50" s="0" t="s">
        <v>50</v>
      </c>
      <c r="N50" s="0" t="n">
        <v>3</v>
      </c>
      <c r="O50" s="0" t="n">
        <v>1</v>
      </c>
      <c r="P50" s="0" t="s">
        <v>92</v>
      </c>
      <c r="Q50" s="0" t="s">
        <v>73</v>
      </c>
      <c r="S50" s="0" t="s">
        <v>75</v>
      </c>
      <c r="T50" s="0" t="n">
        <v>15</v>
      </c>
      <c r="U50" s="0" t="s">
        <v>96</v>
      </c>
      <c r="V50" s="0" t="s">
        <v>77</v>
      </c>
      <c r="W50" s="0" t="s">
        <v>57</v>
      </c>
      <c r="X50" s="0" t="s">
        <v>58</v>
      </c>
      <c r="Z50" s="0" t="s">
        <v>149</v>
      </c>
      <c r="AA50" s="0" t="n">
        <v>25000</v>
      </c>
      <c r="AB50" s="0" t="n">
        <v>35000</v>
      </c>
      <c r="AE50" s="0" t="s">
        <v>60</v>
      </c>
      <c r="AG50" s="0" t="s">
        <v>82</v>
      </c>
      <c r="AH50" s="0" t="s">
        <v>171</v>
      </c>
      <c r="AJ50" s="0" t="s">
        <v>50</v>
      </c>
      <c r="AK50" s="0" t="s">
        <v>61</v>
      </c>
      <c r="AM50" s="0" t="s">
        <v>103</v>
      </c>
      <c r="AN50" s="0" t="s">
        <v>50</v>
      </c>
    </row>
    <row r="51" customFormat="false" ht="15" hidden="false" customHeight="false" outlineLevel="0" collapsed="false">
      <c r="A51" s="1" t="n">
        <v>45773</v>
      </c>
      <c r="B51" s="0" t="s">
        <v>270</v>
      </c>
      <c r="C51" s="0" t="s">
        <v>105</v>
      </c>
      <c r="D51" s="0" t="n">
        <v>8073850736</v>
      </c>
      <c r="E51" s="0" t="s">
        <v>67</v>
      </c>
      <c r="F51" s="0" t="s">
        <v>271</v>
      </c>
      <c r="G51" s="0" t="s">
        <v>107</v>
      </c>
      <c r="H51" s="0" t="s">
        <v>272</v>
      </c>
      <c r="I51" s="0" t="s">
        <v>154</v>
      </c>
      <c r="K51" s="0" t="n">
        <v>25850</v>
      </c>
      <c r="L51" s="0" t="s">
        <v>72</v>
      </c>
      <c r="M51" s="0" t="s">
        <v>50</v>
      </c>
      <c r="N51" s="0" t="n">
        <v>2</v>
      </c>
      <c r="O51" s="0" t="n">
        <v>5.4</v>
      </c>
      <c r="P51" s="0" t="s">
        <v>92</v>
      </c>
      <c r="Q51" s="0" t="s">
        <v>93</v>
      </c>
      <c r="S51" s="0" t="s">
        <v>147</v>
      </c>
      <c r="T51" s="0" t="n">
        <v>30</v>
      </c>
      <c r="U51" s="0" t="s">
        <v>55</v>
      </c>
      <c r="V51" s="0" t="s">
        <v>148</v>
      </c>
      <c r="W51" s="0" t="s">
        <v>78</v>
      </c>
      <c r="X51" s="0" t="s">
        <v>137</v>
      </c>
      <c r="Y51" s="0" t="s">
        <v>177</v>
      </c>
      <c r="Z51" s="0" t="s">
        <v>143</v>
      </c>
      <c r="AA51" s="0" t="n">
        <v>40000</v>
      </c>
      <c r="AB51" s="0" t="n">
        <v>20000</v>
      </c>
      <c r="AC51" s="0" t="s">
        <v>50</v>
      </c>
      <c r="AE51" s="0" t="s">
        <v>80</v>
      </c>
      <c r="AG51" s="0" t="s">
        <v>82</v>
      </c>
      <c r="AI51" s="0" t="s">
        <v>172</v>
      </c>
      <c r="AJ51" s="0" t="s">
        <v>62</v>
      </c>
      <c r="AK51" s="0" t="s">
        <v>61</v>
      </c>
      <c r="AL51" s="0" t="s">
        <v>50</v>
      </c>
      <c r="AM51" s="0" t="s">
        <v>64</v>
      </c>
      <c r="AN51" s="0" t="s">
        <v>63</v>
      </c>
    </row>
    <row r="52" customFormat="false" ht="15" hidden="false" customHeight="false" outlineLevel="0" collapsed="false">
      <c r="A52" s="1" t="n">
        <v>45761</v>
      </c>
      <c r="B52" s="0" t="s">
        <v>273</v>
      </c>
      <c r="C52" s="0" t="s">
        <v>105</v>
      </c>
      <c r="D52" s="0" t="n">
        <v>8072733686</v>
      </c>
      <c r="E52" s="0" t="s">
        <v>43</v>
      </c>
      <c r="F52" s="0" t="s">
        <v>274</v>
      </c>
      <c r="G52" s="0" t="s">
        <v>45</v>
      </c>
      <c r="H52" s="0" t="s">
        <v>141</v>
      </c>
      <c r="I52" s="0" t="s">
        <v>189</v>
      </c>
      <c r="J52" s="0" t="s">
        <v>71</v>
      </c>
      <c r="K52" s="0" t="n">
        <v>94596</v>
      </c>
      <c r="L52" s="0" t="s">
        <v>166</v>
      </c>
      <c r="M52" s="0" t="s">
        <v>63</v>
      </c>
      <c r="N52" s="0" t="n">
        <v>5</v>
      </c>
      <c r="O52" s="0" t="n">
        <v>3.9</v>
      </c>
      <c r="Q52" s="0" t="s">
        <v>73</v>
      </c>
      <c r="R52" s="0" t="s">
        <v>136</v>
      </c>
      <c r="S52" s="0" t="s">
        <v>54</v>
      </c>
      <c r="T52" s="0" t="n">
        <v>30</v>
      </c>
      <c r="U52" s="0" t="s">
        <v>112</v>
      </c>
      <c r="V52" s="0" t="s">
        <v>148</v>
      </c>
      <c r="W52" s="0" t="s">
        <v>78</v>
      </c>
      <c r="X52" s="0" t="s">
        <v>137</v>
      </c>
      <c r="Z52" s="0" t="s">
        <v>129</v>
      </c>
      <c r="AB52" s="0" t="n">
        <v>35000</v>
      </c>
      <c r="AC52" s="0" t="s">
        <v>63</v>
      </c>
      <c r="AD52" s="0" t="n">
        <v>5000</v>
      </c>
      <c r="AE52" s="0" t="s">
        <v>130</v>
      </c>
      <c r="AG52" s="0" t="s">
        <v>61</v>
      </c>
      <c r="AH52" s="0" t="s">
        <v>116</v>
      </c>
      <c r="AJ52" s="0" t="s">
        <v>63</v>
      </c>
      <c r="AK52" s="0" t="s">
        <v>63</v>
      </c>
      <c r="AL52" s="0" t="s">
        <v>50</v>
      </c>
      <c r="AM52" s="0" t="s">
        <v>103</v>
      </c>
      <c r="AN52" s="0" t="s">
        <v>198</v>
      </c>
    </row>
    <row r="53" customFormat="false" ht="15" hidden="false" customHeight="false" outlineLevel="0" collapsed="false">
      <c r="A53" s="1" t="n">
        <v>45757</v>
      </c>
      <c r="B53" s="0" t="s">
        <v>275</v>
      </c>
      <c r="C53" s="0" t="s">
        <v>163</v>
      </c>
      <c r="D53" s="0" t="n">
        <v>8090498733</v>
      </c>
      <c r="E53" s="0" t="s">
        <v>67</v>
      </c>
      <c r="F53" s="0" t="s">
        <v>276</v>
      </c>
      <c r="G53" s="0" t="s">
        <v>107</v>
      </c>
      <c r="H53" s="0" t="s">
        <v>176</v>
      </c>
      <c r="I53" s="0" t="s">
        <v>108</v>
      </c>
      <c r="J53" s="0" t="s">
        <v>48</v>
      </c>
      <c r="K53" s="0" t="n">
        <v>71442</v>
      </c>
      <c r="L53" s="0" t="s">
        <v>49</v>
      </c>
      <c r="M53" s="0" t="s">
        <v>63</v>
      </c>
      <c r="N53" s="0" t="n">
        <v>3</v>
      </c>
      <c r="O53" s="0" t="n">
        <v>1.9</v>
      </c>
      <c r="P53" s="0" t="s">
        <v>51</v>
      </c>
      <c r="Q53" s="0" t="s">
        <v>52</v>
      </c>
      <c r="R53" s="0" t="s">
        <v>74</v>
      </c>
      <c r="S53" s="0" t="s">
        <v>95</v>
      </c>
      <c r="T53" s="0" t="n">
        <v>15</v>
      </c>
      <c r="U53" s="0" t="s">
        <v>55</v>
      </c>
      <c r="V53" s="0" t="s">
        <v>56</v>
      </c>
      <c r="W53" s="0" t="s">
        <v>113</v>
      </c>
      <c r="X53" s="0" t="s">
        <v>58</v>
      </c>
      <c r="Y53" s="0" t="s">
        <v>177</v>
      </c>
      <c r="Z53" s="0" t="s">
        <v>143</v>
      </c>
      <c r="AA53" s="0" t="n">
        <v>30000</v>
      </c>
      <c r="AB53" s="0" t="n">
        <v>30000</v>
      </c>
      <c r="AC53" s="0" t="s">
        <v>82</v>
      </c>
      <c r="AD53" s="0" t="s">
        <v>115</v>
      </c>
      <c r="AG53" s="0" t="s">
        <v>50</v>
      </c>
      <c r="AJ53" s="0" t="s">
        <v>63</v>
      </c>
      <c r="AK53" s="0" t="s">
        <v>50</v>
      </c>
      <c r="AM53" s="0" t="s">
        <v>64</v>
      </c>
      <c r="AN53" s="0" t="s">
        <v>50</v>
      </c>
    </row>
    <row r="54" customFormat="false" ht="15" hidden="false" customHeight="false" outlineLevel="0" collapsed="false">
      <c r="A54" s="1" t="n">
        <v>45674</v>
      </c>
      <c r="B54" s="0" t="s">
        <v>277</v>
      </c>
      <c r="C54" s="0" t="s">
        <v>66</v>
      </c>
      <c r="D54" s="0" t="n">
        <v>8054445587</v>
      </c>
      <c r="E54" s="0" t="s">
        <v>139</v>
      </c>
      <c r="F54" s="0" t="s">
        <v>278</v>
      </c>
      <c r="G54" s="0" t="s">
        <v>87</v>
      </c>
      <c r="I54" s="0" t="s">
        <v>47</v>
      </c>
      <c r="J54" s="0" t="s">
        <v>90</v>
      </c>
      <c r="K54" s="0" t="n">
        <v>33009</v>
      </c>
      <c r="L54" s="0" t="s">
        <v>91</v>
      </c>
      <c r="M54" s="0" t="s">
        <v>50</v>
      </c>
      <c r="N54" s="0" t="n">
        <v>4</v>
      </c>
      <c r="O54" s="0" t="n">
        <v>4.3</v>
      </c>
      <c r="P54" s="0" t="s">
        <v>51</v>
      </c>
      <c r="Q54" s="0" t="s">
        <v>93</v>
      </c>
      <c r="R54" s="0" t="s">
        <v>136</v>
      </c>
      <c r="S54" s="0" t="s">
        <v>54</v>
      </c>
      <c r="T54" s="0" t="n">
        <v>30</v>
      </c>
      <c r="U54" s="0" t="s">
        <v>96</v>
      </c>
      <c r="V54" s="0" t="s">
        <v>97</v>
      </c>
      <c r="W54" s="0" t="s">
        <v>113</v>
      </c>
      <c r="X54" s="0" t="s">
        <v>114</v>
      </c>
      <c r="Z54" s="0" t="s">
        <v>161</v>
      </c>
      <c r="AA54" s="0" t="n">
        <v>30000</v>
      </c>
      <c r="AB54" s="0" t="n">
        <v>30000</v>
      </c>
      <c r="AC54" s="0" t="s">
        <v>50</v>
      </c>
      <c r="AD54" s="0" t="n">
        <v>10000</v>
      </c>
      <c r="AE54" s="0" t="s">
        <v>80</v>
      </c>
      <c r="AG54" s="0" t="s">
        <v>50</v>
      </c>
      <c r="AI54" s="0" t="s">
        <v>172</v>
      </c>
      <c r="AJ54" s="0" t="s">
        <v>81</v>
      </c>
      <c r="AL54" s="0" t="s">
        <v>102</v>
      </c>
      <c r="AM54" s="0" t="s">
        <v>103</v>
      </c>
      <c r="AN54" s="0" t="s">
        <v>50</v>
      </c>
    </row>
    <row r="55" customFormat="false" ht="15" hidden="false" customHeight="false" outlineLevel="0" collapsed="false">
      <c r="A55" s="1" t="n">
        <v>45992</v>
      </c>
      <c r="B55" s="0" t="s">
        <v>279</v>
      </c>
      <c r="C55" s="0" t="s">
        <v>163</v>
      </c>
      <c r="D55" s="0" t="n">
        <v>8087632976</v>
      </c>
      <c r="E55" s="0" t="s">
        <v>139</v>
      </c>
      <c r="F55" s="0" t="s">
        <v>280</v>
      </c>
      <c r="G55" s="0" t="s">
        <v>45</v>
      </c>
      <c r="H55" s="0" t="s">
        <v>135</v>
      </c>
      <c r="I55" s="0" t="s">
        <v>142</v>
      </c>
      <c r="J55" s="0" t="s">
        <v>71</v>
      </c>
      <c r="K55" s="0" t="n">
        <v>18299</v>
      </c>
      <c r="L55" s="0" t="s">
        <v>166</v>
      </c>
      <c r="M55" s="0" t="s">
        <v>50</v>
      </c>
      <c r="N55" s="0" t="n">
        <v>3</v>
      </c>
      <c r="O55" s="0" t="n">
        <v>1.2</v>
      </c>
      <c r="P55" s="0" t="s">
        <v>125</v>
      </c>
      <c r="Q55" s="0" t="s">
        <v>73</v>
      </c>
      <c r="R55" s="0" t="s">
        <v>53</v>
      </c>
      <c r="S55" s="0" t="s">
        <v>54</v>
      </c>
      <c r="T55" s="0" t="n">
        <v>60</v>
      </c>
      <c r="U55" s="0" t="s">
        <v>160</v>
      </c>
      <c r="V55" s="0" t="s">
        <v>97</v>
      </c>
      <c r="W55" s="0" t="s">
        <v>57</v>
      </c>
      <c r="X55" s="0" t="s">
        <v>137</v>
      </c>
      <c r="Y55" s="0" t="s">
        <v>197</v>
      </c>
      <c r="AA55" s="0" t="s">
        <v>150</v>
      </c>
      <c r="AB55" s="0" t="s">
        <v>178</v>
      </c>
      <c r="AC55" s="0" t="s">
        <v>50</v>
      </c>
      <c r="AD55" s="0" t="n">
        <v>5000</v>
      </c>
      <c r="AF55" s="1" t="n">
        <v>46002</v>
      </c>
      <c r="AG55" s="0" t="s">
        <v>63</v>
      </c>
      <c r="AH55" s="0" t="s">
        <v>116</v>
      </c>
      <c r="AJ55" s="0" t="s">
        <v>50</v>
      </c>
      <c r="AK55" s="0" t="s">
        <v>63</v>
      </c>
      <c r="AL55" s="0" t="s">
        <v>63</v>
      </c>
      <c r="AM55" s="0" t="s">
        <v>103</v>
      </c>
      <c r="AN55" s="0" t="s">
        <v>190</v>
      </c>
    </row>
    <row r="56" customFormat="false" ht="15" hidden="false" customHeight="false" outlineLevel="0" collapsed="false">
      <c r="A56" s="1" t="n">
        <v>45732</v>
      </c>
      <c r="B56" s="0" t="s">
        <v>281</v>
      </c>
      <c r="C56" s="0" t="s">
        <v>163</v>
      </c>
      <c r="D56" s="0" t="n">
        <v>8085980240</v>
      </c>
      <c r="E56" s="0" t="s">
        <v>67</v>
      </c>
      <c r="F56" s="0" t="s">
        <v>282</v>
      </c>
      <c r="G56" s="0" t="s">
        <v>107</v>
      </c>
      <c r="I56" s="0" t="s">
        <v>47</v>
      </c>
      <c r="K56" s="0" t="n">
        <v>69921</v>
      </c>
      <c r="L56" s="0" t="s">
        <v>72</v>
      </c>
      <c r="M56" s="0" t="s">
        <v>63</v>
      </c>
      <c r="N56" s="0" t="n">
        <v>1</v>
      </c>
      <c r="O56" s="0" t="n">
        <v>3.4</v>
      </c>
      <c r="P56" s="0" t="s">
        <v>111</v>
      </c>
      <c r="Q56" s="0" t="s">
        <v>52</v>
      </c>
      <c r="R56" s="0" t="s">
        <v>136</v>
      </c>
      <c r="S56" s="0" t="s">
        <v>147</v>
      </c>
      <c r="U56" s="0" t="s">
        <v>76</v>
      </c>
      <c r="V56" s="0" t="s">
        <v>97</v>
      </c>
      <c r="W56" s="0" t="s">
        <v>128</v>
      </c>
      <c r="X56" s="0" t="s">
        <v>114</v>
      </c>
      <c r="Y56" s="0" t="s">
        <v>177</v>
      </c>
      <c r="Z56" s="0" t="s">
        <v>161</v>
      </c>
      <c r="AA56" s="0" t="n">
        <v>30000</v>
      </c>
      <c r="AC56" s="0" t="s">
        <v>82</v>
      </c>
      <c r="AD56" s="0" t="n">
        <v>10000</v>
      </c>
      <c r="AE56" s="0" t="s">
        <v>184</v>
      </c>
      <c r="AF56" s="1" t="n">
        <v>45847</v>
      </c>
      <c r="AG56" s="0" t="s">
        <v>63</v>
      </c>
      <c r="AH56" s="0" t="s">
        <v>171</v>
      </c>
      <c r="AI56" s="0" t="s">
        <v>117</v>
      </c>
      <c r="AL56" s="0" t="s">
        <v>102</v>
      </c>
      <c r="AM56" s="0" t="s">
        <v>83</v>
      </c>
      <c r="AN56" s="0" t="s">
        <v>190</v>
      </c>
    </row>
    <row r="57" customFormat="false" ht="15" hidden="false" customHeight="false" outlineLevel="0" collapsed="false">
      <c r="A57" s="1" t="n">
        <v>45783</v>
      </c>
      <c r="B57" s="0" t="s">
        <v>283</v>
      </c>
      <c r="C57" s="0" t="s">
        <v>105</v>
      </c>
      <c r="D57" s="0" t="n">
        <v>8055051587</v>
      </c>
      <c r="E57" s="0" t="s">
        <v>85</v>
      </c>
      <c r="F57" s="0" t="s">
        <v>284</v>
      </c>
      <c r="G57" s="0" t="s">
        <v>134</v>
      </c>
      <c r="H57" s="0" t="s">
        <v>153</v>
      </c>
      <c r="I57" s="0" t="s">
        <v>189</v>
      </c>
      <c r="J57" s="0" t="s">
        <v>109</v>
      </c>
      <c r="K57" s="0" t="n">
        <v>100109</v>
      </c>
      <c r="L57" s="0" t="s">
        <v>166</v>
      </c>
      <c r="M57" s="0" t="s">
        <v>50</v>
      </c>
      <c r="N57" s="0" t="n">
        <v>5</v>
      </c>
      <c r="O57" s="0" t="n">
        <v>4.3</v>
      </c>
      <c r="P57" s="0" t="s">
        <v>51</v>
      </c>
      <c r="Q57" s="0" t="s">
        <v>93</v>
      </c>
      <c r="R57" s="0" t="s">
        <v>159</v>
      </c>
      <c r="S57" s="0" t="s">
        <v>95</v>
      </c>
      <c r="T57" s="0" t="n">
        <v>45</v>
      </c>
      <c r="U57" s="0" t="s">
        <v>76</v>
      </c>
      <c r="V57" s="0" t="s">
        <v>77</v>
      </c>
      <c r="W57" s="0" t="s">
        <v>78</v>
      </c>
      <c r="X57" s="0" t="s">
        <v>137</v>
      </c>
      <c r="Y57" s="0" t="s">
        <v>177</v>
      </c>
      <c r="Z57" s="0" t="s">
        <v>143</v>
      </c>
      <c r="AA57" s="0" t="n">
        <v>25000</v>
      </c>
      <c r="AC57" s="0" t="s">
        <v>82</v>
      </c>
      <c r="AD57" s="0" t="n">
        <v>10000</v>
      </c>
      <c r="AE57" s="0" t="s">
        <v>80</v>
      </c>
      <c r="AG57" s="0" t="s">
        <v>61</v>
      </c>
      <c r="AH57" s="0" t="s">
        <v>171</v>
      </c>
      <c r="AI57" s="0" t="s">
        <v>117</v>
      </c>
      <c r="AJ57" s="0" t="s">
        <v>50</v>
      </c>
      <c r="AK57" s="0" t="s">
        <v>82</v>
      </c>
      <c r="AM57" s="0" t="s">
        <v>83</v>
      </c>
      <c r="AN57" s="0" t="s">
        <v>190</v>
      </c>
    </row>
    <row r="58" customFormat="false" ht="15" hidden="false" customHeight="false" outlineLevel="0" collapsed="false">
      <c r="A58" s="1" t="n">
        <v>45759</v>
      </c>
      <c r="B58" s="0" t="s">
        <v>285</v>
      </c>
      <c r="C58" s="0" t="s">
        <v>163</v>
      </c>
      <c r="D58" s="0" t="n">
        <v>8092691963</v>
      </c>
      <c r="E58" s="0" t="s">
        <v>43</v>
      </c>
      <c r="F58" s="0" t="s">
        <v>286</v>
      </c>
      <c r="G58" s="0" t="s">
        <v>107</v>
      </c>
      <c r="H58" s="0" t="s">
        <v>88</v>
      </c>
      <c r="I58" s="0" t="s">
        <v>189</v>
      </c>
      <c r="K58" s="0" t="n">
        <v>38189</v>
      </c>
      <c r="L58" s="0" t="s">
        <v>49</v>
      </c>
      <c r="M58" s="0" t="s">
        <v>63</v>
      </c>
      <c r="O58" s="0" t="n">
        <v>3.7</v>
      </c>
      <c r="P58" s="0" t="s">
        <v>92</v>
      </c>
      <c r="Q58" s="0" t="s">
        <v>52</v>
      </c>
      <c r="R58" s="0" t="s">
        <v>136</v>
      </c>
      <c r="S58" s="0" t="s">
        <v>95</v>
      </c>
      <c r="T58" s="0" t="s">
        <v>127</v>
      </c>
      <c r="U58" s="0" t="s">
        <v>96</v>
      </c>
      <c r="V58" s="0" t="s">
        <v>97</v>
      </c>
      <c r="W58" s="0" t="s">
        <v>98</v>
      </c>
      <c r="X58" s="0" t="s">
        <v>58</v>
      </c>
      <c r="Z58" s="0" t="s">
        <v>79</v>
      </c>
      <c r="AA58" s="0" t="n">
        <v>25000</v>
      </c>
      <c r="AB58" s="0" t="n">
        <v>35000</v>
      </c>
      <c r="AC58" s="0" t="s">
        <v>82</v>
      </c>
      <c r="AD58" s="0" t="n">
        <v>0</v>
      </c>
      <c r="AF58" s="1" t="n">
        <v>45898</v>
      </c>
      <c r="AG58" s="0" t="s">
        <v>82</v>
      </c>
      <c r="AH58" s="0" t="s">
        <v>171</v>
      </c>
      <c r="AI58" s="0" t="s">
        <v>117</v>
      </c>
      <c r="AJ58" s="0" t="s">
        <v>81</v>
      </c>
      <c r="AK58" s="0" t="s">
        <v>50</v>
      </c>
      <c r="AL58" s="0" t="s">
        <v>63</v>
      </c>
      <c r="AM58" s="0" t="s">
        <v>103</v>
      </c>
      <c r="AN58" s="0" t="s">
        <v>63</v>
      </c>
    </row>
    <row r="59" customFormat="false" ht="15" hidden="false" customHeight="false" outlineLevel="0" collapsed="false">
      <c r="A59" s="1" t="n">
        <v>45698</v>
      </c>
      <c r="B59" s="0" t="s">
        <v>287</v>
      </c>
      <c r="C59" s="0" t="s">
        <v>42</v>
      </c>
      <c r="D59" s="0" t="n">
        <v>8050215871</v>
      </c>
      <c r="E59" s="0" t="s">
        <v>67</v>
      </c>
      <c r="F59" s="0" t="s">
        <v>288</v>
      </c>
      <c r="G59" s="0" t="s">
        <v>107</v>
      </c>
      <c r="I59" s="0" t="s">
        <v>142</v>
      </c>
      <c r="K59" s="0" t="n">
        <v>35994</v>
      </c>
      <c r="L59" s="0" t="s">
        <v>49</v>
      </c>
      <c r="M59" s="0" t="s">
        <v>50</v>
      </c>
      <c r="O59" s="0" t="n">
        <v>2.2</v>
      </c>
      <c r="P59" s="0" t="s">
        <v>51</v>
      </c>
      <c r="Q59" s="0" t="s">
        <v>52</v>
      </c>
      <c r="R59" s="0" t="s">
        <v>74</v>
      </c>
      <c r="S59" s="0" t="s">
        <v>54</v>
      </c>
      <c r="T59" s="0" t="s">
        <v>127</v>
      </c>
      <c r="U59" s="0" t="s">
        <v>160</v>
      </c>
      <c r="V59" s="0" t="s">
        <v>148</v>
      </c>
      <c r="W59" s="0" t="s">
        <v>113</v>
      </c>
      <c r="X59" s="0" t="s">
        <v>58</v>
      </c>
      <c r="Y59" s="0" t="s">
        <v>59</v>
      </c>
      <c r="Z59" s="0" t="s">
        <v>129</v>
      </c>
      <c r="AA59" s="0" t="n">
        <v>15000</v>
      </c>
      <c r="AB59" s="0" t="n">
        <v>40000</v>
      </c>
      <c r="AC59" s="0" t="s">
        <v>63</v>
      </c>
      <c r="AG59" s="0" t="s">
        <v>61</v>
      </c>
      <c r="AK59" s="0" t="s">
        <v>82</v>
      </c>
      <c r="AL59" s="0" t="s">
        <v>50</v>
      </c>
      <c r="AM59" s="0" t="s">
        <v>64</v>
      </c>
      <c r="AN59" s="0" t="s">
        <v>198</v>
      </c>
    </row>
    <row r="60" customFormat="false" ht="15" hidden="false" customHeight="false" outlineLevel="0" collapsed="false">
      <c r="A60" s="1" t="n">
        <v>45758</v>
      </c>
      <c r="B60" s="0" t="s">
        <v>289</v>
      </c>
      <c r="C60" s="0" t="s">
        <v>163</v>
      </c>
      <c r="D60" s="0" t="n">
        <v>8066196330</v>
      </c>
      <c r="E60" s="0" t="s">
        <v>122</v>
      </c>
      <c r="F60" s="0" t="s">
        <v>290</v>
      </c>
      <c r="G60" s="0" t="s">
        <v>134</v>
      </c>
      <c r="H60" s="0" t="s">
        <v>176</v>
      </c>
      <c r="I60" s="0" t="s">
        <v>89</v>
      </c>
      <c r="J60" s="0" t="s">
        <v>71</v>
      </c>
      <c r="K60" s="0" t="n">
        <v>68051</v>
      </c>
      <c r="L60" s="0" t="s">
        <v>166</v>
      </c>
      <c r="M60" s="0" t="s">
        <v>63</v>
      </c>
      <c r="O60" s="0" t="n">
        <v>4</v>
      </c>
      <c r="P60" s="0" t="s">
        <v>92</v>
      </c>
      <c r="Q60" s="0" t="s">
        <v>52</v>
      </c>
      <c r="S60" s="0" t="s">
        <v>167</v>
      </c>
      <c r="T60" s="0" t="n">
        <v>45</v>
      </c>
      <c r="U60" s="0" t="s">
        <v>160</v>
      </c>
      <c r="V60" s="0" t="s">
        <v>56</v>
      </c>
      <c r="W60" s="0" t="s">
        <v>113</v>
      </c>
      <c r="X60" s="0" t="s">
        <v>196</v>
      </c>
      <c r="Y60" s="0" t="s">
        <v>197</v>
      </c>
      <c r="Z60" s="0" t="s">
        <v>79</v>
      </c>
      <c r="AB60" s="0" t="s">
        <v>178</v>
      </c>
      <c r="AC60" s="0" t="s">
        <v>61</v>
      </c>
      <c r="AD60" s="0" t="s">
        <v>115</v>
      </c>
      <c r="AF60" s="1" t="n">
        <v>45881</v>
      </c>
      <c r="AG60" s="0" t="s">
        <v>61</v>
      </c>
      <c r="AI60" s="0" t="s">
        <v>117</v>
      </c>
      <c r="AJ60" s="0" t="s">
        <v>63</v>
      </c>
      <c r="AK60" s="0" t="s">
        <v>63</v>
      </c>
      <c r="AN60" s="0" t="s">
        <v>63</v>
      </c>
    </row>
    <row r="61" customFormat="false" ht="15" hidden="false" customHeight="false" outlineLevel="0" collapsed="false">
      <c r="A61" s="1" t="n">
        <v>45997</v>
      </c>
      <c r="B61" s="0" t="s">
        <v>291</v>
      </c>
      <c r="C61" s="0" t="s">
        <v>163</v>
      </c>
      <c r="D61" s="0" t="n">
        <v>8054106502</v>
      </c>
      <c r="E61" s="0" t="s">
        <v>85</v>
      </c>
      <c r="F61" s="0" t="s">
        <v>292</v>
      </c>
      <c r="G61" s="0" t="s">
        <v>45</v>
      </c>
      <c r="H61" s="0" t="s">
        <v>272</v>
      </c>
      <c r="I61" s="0" t="s">
        <v>189</v>
      </c>
      <c r="J61" s="0" t="s">
        <v>109</v>
      </c>
      <c r="K61" s="0" t="n">
        <v>113181</v>
      </c>
      <c r="L61" s="0" t="s">
        <v>124</v>
      </c>
      <c r="M61" s="0" t="s">
        <v>50</v>
      </c>
      <c r="N61" s="0" t="n">
        <v>5</v>
      </c>
      <c r="O61" s="0" t="n">
        <v>3.4</v>
      </c>
      <c r="P61" s="0" t="s">
        <v>92</v>
      </c>
      <c r="Q61" s="0" t="s">
        <v>73</v>
      </c>
      <c r="R61" s="0" t="s">
        <v>53</v>
      </c>
      <c r="S61" s="0" t="s">
        <v>167</v>
      </c>
      <c r="T61" s="0" t="s">
        <v>127</v>
      </c>
      <c r="U61" s="0" t="s">
        <v>55</v>
      </c>
      <c r="V61" s="0" t="s">
        <v>97</v>
      </c>
      <c r="W61" s="0" t="s">
        <v>113</v>
      </c>
      <c r="X61" s="0" t="s">
        <v>137</v>
      </c>
      <c r="Z61" s="0" t="s">
        <v>149</v>
      </c>
      <c r="AA61" s="0" t="n">
        <v>25000</v>
      </c>
      <c r="AC61" s="0" t="s">
        <v>63</v>
      </c>
      <c r="AF61" s="0" t="s">
        <v>212</v>
      </c>
      <c r="AG61" s="0" t="s">
        <v>50</v>
      </c>
      <c r="AI61" s="0" t="s">
        <v>172</v>
      </c>
      <c r="AJ61" s="0" t="s">
        <v>62</v>
      </c>
      <c r="AL61" s="0" t="s">
        <v>50</v>
      </c>
      <c r="AM61" s="0" t="s">
        <v>118</v>
      </c>
      <c r="AN61" s="0" t="s">
        <v>50</v>
      </c>
    </row>
    <row r="62" customFormat="false" ht="15" hidden="false" customHeight="false" outlineLevel="0" collapsed="false">
      <c r="A62" s="1" t="n">
        <v>45660</v>
      </c>
      <c r="B62" s="0" t="s">
        <v>293</v>
      </c>
      <c r="C62" s="0" t="s">
        <v>105</v>
      </c>
      <c r="D62" s="0" t="n">
        <v>8031780851</v>
      </c>
      <c r="E62" s="0" t="s">
        <v>43</v>
      </c>
      <c r="F62" s="0" t="s">
        <v>294</v>
      </c>
      <c r="G62" s="0" t="s">
        <v>69</v>
      </c>
      <c r="H62" s="0" t="s">
        <v>176</v>
      </c>
      <c r="I62" s="0" t="s">
        <v>154</v>
      </c>
      <c r="J62" s="0" t="s">
        <v>90</v>
      </c>
      <c r="K62" s="0" t="n">
        <v>104004</v>
      </c>
      <c r="L62" s="0" t="s">
        <v>110</v>
      </c>
      <c r="M62" s="0" t="s">
        <v>50</v>
      </c>
      <c r="N62" s="0" t="n">
        <v>2</v>
      </c>
      <c r="O62" s="0" t="n">
        <v>5.2</v>
      </c>
      <c r="P62" s="0" t="s">
        <v>111</v>
      </c>
      <c r="Q62" s="0" t="s">
        <v>52</v>
      </c>
      <c r="R62" s="0" t="s">
        <v>136</v>
      </c>
      <c r="S62" s="0" t="s">
        <v>167</v>
      </c>
      <c r="T62" s="0" t="n">
        <v>15</v>
      </c>
      <c r="U62" s="0" t="s">
        <v>76</v>
      </c>
      <c r="V62" s="0" t="s">
        <v>97</v>
      </c>
      <c r="W62" s="0" t="s">
        <v>128</v>
      </c>
      <c r="X62" s="0" t="s">
        <v>196</v>
      </c>
      <c r="Y62" s="0" t="s">
        <v>197</v>
      </c>
      <c r="Z62" s="0" t="s">
        <v>79</v>
      </c>
      <c r="AA62" s="0" t="n">
        <v>15000</v>
      </c>
      <c r="AB62" s="0" t="s">
        <v>178</v>
      </c>
      <c r="AC62" s="0" t="s">
        <v>82</v>
      </c>
      <c r="AD62" s="0" t="n">
        <v>10000</v>
      </c>
      <c r="AE62" s="0" t="s">
        <v>80</v>
      </c>
      <c r="AF62" s="0" t="s">
        <v>295</v>
      </c>
      <c r="AG62" s="0" t="s">
        <v>50</v>
      </c>
      <c r="AJ62" s="0" t="s">
        <v>62</v>
      </c>
      <c r="AK62" s="0" t="s">
        <v>82</v>
      </c>
      <c r="AL62" s="0" t="s">
        <v>50</v>
      </c>
      <c r="AM62" s="0" t="s">
        <v>64</v>
      </c>
      <c r="AN62" s="0" t="s">
        <v>198</v>
      </c>
    </row>
    <row r="63" customFormat="false" ht="15" hidden="false" customHeight="false" outlineLevel="0" collapsed="false">
      <c r="A63" s="1" t="n">
        <v>45800</v>
      </c>
      <c r="B63" s="0" t="s">
        <v>296</v>
      </c>
      <c r="C63" s="0" t="s">
        <v>121</v>
      </c>
      <c r="D63" s="0" t="n">
        <v>8024072446</v>
      </c>
      <c r="E63" s="0" t="s">
        <v>43</v>
      </c>
      <c r="F63" s="0" t="s">
        <v>297</v>
      </c>
      <c r="G63" s="0" t="s">
        <v>87</v>
      </c>
      <c r="H63" s="0" t="s">
        <v>88</v>
      </c>
      <c r="I63" s="0" t="s">
        <v>154</v>
      </c>
      <c r="J63" s="0" t="s">
        <v>48</v>
      </c>
      <c r="K63" s="0" t="n">
        <v>105460</v>
      </c>
      <c r="L63" s="0" t="s">
        <v>49</v>
      </c>
      <c r="M63" s="0" t="s">
        <v>50</v>
      </c>
      <c r="N63" s="0" t="n">
        <v>2</v>
      </c>
      <c r="O63" s="0" t="n">
        <v>4.7</v>
      </c>
      <c r="Q63" s="0" t="s">
        <v>52</v>
      </c>
      <c r="R63" s="0" t="s">
        <v>53</v>
      </c>
      <c r="S63" s="0" t="s">
        <v>126</v>
      </c>
      <c r="T63" s="0" t="s">
        <v>127</v>
      </c>
      <c r="U63" s="0" t="s">
        <v>96</v>
      </c>
      <c r="V63" s="0" t="s">
        <v>148</v>
      </c>
      <c r="W63" s="0" t="s">
        <v>98</v>
      </c>
      <c r="X63" s="0" t="s">
        <v>58</v>
      </c>
      <c r="Z63" s="0" t="s">
        <v>143</v>
      </c>
      <c r="AA63" s="0" t="n">
        <v>15000</v>
      </c>
      <c r="AB63" s="0" t="s">
        <v>178</v>
      </c>
      <c r="AC63" s="0" t="s">
        <v>63</v>
      </c>
      <c r="AE63" s="0" t="s">
        <v>130</v>
      </c>
      <c r="AF63" s="0" t="s">
        <v>298</v>
      </c>
      <c r="AJ63" s="0" t="s">
        <v>62</v>
      </c>
      <c r="AK63" s="0" t="s">
        <v>61</v>
      </c>
      <c r="AL63" s="0" t="s">
        <v>102</v>
      </c>
      <c r="AM63" s="0" t="s">
        <v>64</v>
      </c>
      <c r="AN63" s="0" t="s">
        <v>190</v>
      </c>
    </row>
    <row r="64" customFormat="false" ht="15" hidden="false" customHeight="false" outlineLevel="0" collapsed="false">
      <c r="A64" s="0" t="s">
        <v>299</v>
      </c>
      <c r="B64" s="0" t="s">
        <v>300</v>
      </c>
      <c r="C64" s="0" t="s">
        <v>42</v>
      </c>
      <c r="D64" s="0" t="n">
        <v>8070975394</v>
      </c>
      <c r="E64" s="0" t="s">
        <v>85</v>
      </c>
      <c r="F64" s="0" t="s">
        <v>301</v>
      </c>
      <c r="G64" s="0" t="s">
        <v>134</v>
      </c>
      <c r="H64" s="0" t="s">
        <v>141</v>
      </c>
      <c r="I64" s="0" t="s">
        <v>154</v>
      </c>
      <c r="J64" s="0" t="s">
        <v>90</v>
      </c>
      <c r="K64" s="0" t="n">
        <v>38478</v>
      </c>
      <c r="L64" s="0" t="s">
        <v>49</v>
      </c>
      <c r="M64" s="0" t="s">
        <v>63</v>
      </c>
      <c r="N64" s="0" t="n">
        <v>2</v>
      </c>
      <c r="O64" s="0" t="n">
        <v>1.5</v>
      </c>
      <c r="P64" s="0" t="s">
        <v>92</v>
      </c>
      <c r="Q64" s="0" t="s">
        <v>93</v>
      </c>
      <c r="R64" s="0" t="s">
        <v>74</v>
      </c>
      <c r="S64" s="0" t="s">
        <v>54</v>
      </c>
      <c r="T64" s="0" t="n">
        <v>45</v>
      </c>
      <c r="U64" s="0" t="s">
        <v>55</v>
      </c>
      <c r="V64" s="0" t="s">
        <v>155</v>
      </c>
      <c r="W64" s="0" t="s">
        <v>57</v>
      </c>
      <c r="X64" s="0" t="s">
        <v>99</v>
      </c>
      <c r="Z64" s="0" t="s">
        <v>143</v>
      </c>
      <c r="AA64" s="0" t="s">
        <v>150</v>
      </c>
      <c r="AB64" s="0" t="n">
        <v>40000</v>
      </c>
      <c r="AC64" s="0" t="s">
        <v>63</v>
      </c>
      <c r="AD64" s="0" t="n">
        <v>5000</v>
      </c>
      <c r="AE64" s="0" t="s">
        <v>130</v>
      </c>
      <c r="AF64" s="1" t="n">
        <v>45850</v>
      </c>
      <c r="AG64" s="0" t="s">
        <v>50</v>
      </c>
      <c r="AJ64" s="0" t="s">
        <v>63</v>
      </c>
      <c r="AK64" s="0" t="s">
        <v>63</v>
      </c>
      <c r="AM64" s="0" t="s">
        <v>83</v>
      </c>
      <c r="AN64" s="0" t="s">
        <v>63</v>
      </c>
    </row>
    <row r="65" customFormat="false" ht="15" hidden="false" customHeight="false" outlineLevel="0" collapsed="false">
      <c r="A65" s="0" t="s">
        <v>302</v>
      </c>
      <c r="B65" s="0" t="s">
        <v>303</v>
      </c>
      <c r="C65" s="0" t="s">
        <v>105</v>
      </c>
      <c r="D65" s="0" t="n">
        <v>8015662934</v>
      </c>
      <c r="E65" s="0" t="s">
        <v>122</v>
      </c>
      <c r="F65" s="0" t="s">
        <v>304</v>
      </c>
      <c r="G65" s="0" t="s">
        <v>45</v>
      </c>
      <c r="H65" s="0" t="s">
        <v>176</v>
      </c>
      <c r="I65" s="0" t="s">
        <v>89</v>
      </c>
      <c r="J65" s="0" t="s">
        <v>90</v>
      </c>
      <c r="K65" s="0" t="n">
        <v>83988</v>
      </c>
      <c r="L65" s="0" t="s">
        <v>124</v>
      </c>
      <c r="M65" s="0" t="s">
        <v>63</v>
      </c>
      <c r="N65" s="0" t="n">
        <v>1</v>
      </c>
      <c r="O65" s="0" t="n">
        <v>2.7</v>
      </c>
      <c r="P65" s="0" t="s">
        <v>92</v>
      </c>
      <c r="Q65" s="0" t="s">
        <v>52</v>
      </c>
      <c r="S65" s="0" t="s">
        <v>126</v>
      </c>
      <c r="T65" s="0" t="n">
        <v>30</v>
      </c>
      <c r="U65" s="0" t="s">
        <v>76</v>
      </c>
      <c r="V65" s="0" t="s">
        <v>56</v>
      </c>
      <c r="W65" s="0" t="s">
        <v>57</v>
      </c>
      <c r="X65" s="0" t="s">
        <v>137</v>
      </c>
      <c r="Z65" s="0" t="s">
        <v>149</v>
      </c>
      <c r="AB65" s="0" t="n">
        <v>30000</v>
      </c>
      <c r="AC65" s="0" t="s">
        <v>50</v>
      </c>
      <c r="AG65" s="0" t="s">
        <v>82</v>
      </c>
      <c r="AI65" s="0" t="s">
        <v>117</v>
      </c>
      <c r="AK65" s="0" t="s">
        <v>61</v>
      </c>
      <c r="AM65" s="0" t="s">
        <v>83</v>
      </c>
      <c r="AN65" s="0" t="s">
        <v>198</v>
      </c>
    </row>
    <row r="66" customFormat="false" ht="15" hidden="false" customHeight="false" outlineLevel="0" collapsed="false">
      <c r="A66" s="0" t="s">
        <v>305</v>
      </c>
      <c r="B66" s="0" t="s">
        <v>306</v>
      </c>
      <c r="C66" s="0" t="s">
        <v>121</v>
      </c>
      <c r="D66" s="0" t="n">
        <v>8076562688</v>
      </c>
      <c r="E66" s="0" t="s">
        <v>43</v>
      </c>
      <c r="F66" s="0" t="s">
        <v>307</v>
      </c>
      <c r="G66" s="0" t="s">
        <v>69</v>
      </c>
      <c r="H66" s="0" t="s">
        <v>153</v>
      </c>
      <c r="I66" s="0" t="s">
        <v>108</v>
      </c>
      <c r="J66" s="0" t="s">
        <v>48</v>
      </c>
      <c r="K66" s="0" t="n">
        <v>95904</v>
      </c>
      <c r="L66" s="0" t="s">
        <v>166</v>
      </c>
      <c r="M66" s="0" t="s">
        <v>50</v>
      </c>
      <c r="N66" s="0" t="n">
        <v>5</v>
      </c>
      <c r="O66" s="0" t="n">
        <v>5.9</v>
      </c>
      <c r="P66" s="0" t="s">
        <v>92</v>
      </c>
      <c r="Q66" s="0" t="s">
        <v>73</v>
      </c>
      <c r="R66" s="0" t="s">
        <v>53</v>
      </c>
      <c r="S66" s="0" t="s">
        <v>75</v>
      </c>
      <c r="T66" s="0" t="n">
        <v>30</v>
      </c>
      <c r="U66" s="0" t="s">
        <v>112</v>
      </c>
      <c r="V66" s="0" t="s">
        <v>77</v>
      </c>
      <c r="W66" s="0" t="s">
        <v>128</v>
      </c>
      <c r="X66" s="0" t="s">
        <v>196</v>
      </c>
      <c r="Y66" s="0" t="s">
        <v>59</v>
      </c>
      <c r="AA66" s="0" t="n">
        <v>15000</v>
      </c>
      <c r="AB66" s="0" t="n">
        <v>40000</v>
      </c>
      <c r="AD66" s="0" t="n">
        <v>0</v>
      </c>
      <c r="AE66" s="0" t="s">
        <v>184</v>
      </c>
      <c r="AG66" s="0" t="s">
        <v>63</v>
      </c>
      <c r="AJ66" s="0" t="s">
        <v>81</v>
      </c>
      <c r="AK66" s="0" t="s">
        <v>61</v>
      </c>
      <c r="AM66" s="0" t="s">
        <v>103</v>
      </c>
      <c r="AN66" s="0" t="s">
        <v>50</v>
      </c>
    </row>
    <row r="67" customFormat="false" ht="15" hidden="false" customHeight="false" outlineLevel="0" collapsed="false">
      <c r="A67" s="1" t="n">
        <v>45823</v>
      </c>
      <c r="B67" s="0" t="s">
        <v>308</v>
      </c>
      <c r="C67" s="0" t="s">
        <v>42</v>
      </c>
      <c r="D67" s="0" t="n">
        <v>8039448158</v>
      </c>
      <c r="E67" s="0" t="s">
        <v>85</v>
      </c>
      <c r="F67" s="0" t="s">
        <v>309</v>
      </c>
      <c r="G67" s="0" t="s">
        <v>134</v>
      </c>
      <c r="H67" s="0" t="s">
        <v>153</v>
      </c>
      <c r="I67" s="0" t="s">
        <v>189</v>
      </c>
      <c r="J67" s="0" t="s">
        <v>48</v>
      </c>
      <c r="K67" s="0" t="n">
        <v>86356</v>
      </c>
      <c r="L67" s="0" t="s">
        <v>124</v>
      </c>
      <c r="M67" s="0" t="s">
        <v>50</v>
      </c>
      <c r="N67" s="0" t="n">
        <v>3</v>
      </c>
      <c r="O67" s="0" t="n">
        <v>2.2</v>
      </c>
      <c r="P67" s="0" t="s">
        <v>125</v>
      </c>
      <c r="Q67" s="0" t="s">
        <v>93</v>
      </c>
      <c r="R67" s="0" t="s">
        <v>159</v>
      </c>
      <c r="S67" s="0" t="s">
        <v>54</v>
      </c>
      <c r="T67" s="0" t="n">
        <v>45</v>
      </c>
      <c r="U67" s="0" t="s">
        <v>96</v>
      </c>
      <c r="V67" s="0" t="s">
        <v>56</v>
      </c>
      <c r="W67" s="0" t="s">
        <v>78</v>
      </c>
      <c r="X67" s="0" t="s">
        <v>58</v>
      </c>
      <c r="Z67" s="0" t="s">
        <v>149</v>
      </c>
      <c r="AA67" s="0" t="s">
        <v>150</v>
      </c>
      <c r="AB67" s="0" t="n">
        <v>35000</v>
      </c>
      <c r="AD67" s="0" t="s">
        <v>115</v>
      </c>
      <c r="AF67" s="1" t="n">
        <v>45831</v>
      </c>
      <c r="AH67" s="0" t="s">
        <v>116</v>
      </c>
      <c r="AJ67" s="0" t="s">
        <v>50</v>
      </c>
      <c r="AK67" s="0" t="s">
        <v>82</v>
      </c>
      <c r="AL67" s="0" t="s">
        <v>50</v>
      </c>
      <c r="AN67" s="0" t="s">
        <v>198</v>
      </c>
    </row>
    <row r="68" customFormat="false" ht="15" hidden="false" customHeight="false" outlineLevel="0" collapsed="false">
      <c r="A68" s="0" t="s">
        <v>310</v>
      </c>
      <c r="B68" s="0" t="s">
        <v>311</v>
      </c>
      <c r="C68" s="0" t="s">
        <v>66</v>
      </c>
      <c r="D68" s="0" t="n">
        <v>8010496212</v>
      </c>
      <c r="E68" s="0" t="s">
        <v>139</v>
      </c>
      <c r="F68" s="0" t="s">
        <v>312</v>
      </c>
      <c r="G68" s="0" t="s">
        <v>134</v>
      </c>
      <c r="H68" s="0" t="s">
        <v>165</v>
      </c>
      <c r="I68" s="0" t="s">
        <v>89</v>
      </c>
      <c r="K68" s="0" t="n">
        <v>34398</v>
      </c>
      <c r="L68" s="0" t="s">
        <v>110</v>
      </c>
      <c r="M68" s="0" t="s">
        <v>63</v>
      </c>
      <c r="N68" s="0" t="n">
        <v>5</v>
      </c>
      <c r="O68" s="0" t="n">
        <v>1.7</v>
      </c>
      <c r="P68" s="0" t="s">
        <v>92</v>
      </c>
      <c r="Q68" s="0" t="s">
        <v>93</v>
      </c>
      <c r="S68" s="0" t="s">
        <v>167</v>
      </c>
      <c r="T68" s="0" t="s">
        <v>127</v>
      </c>
      <c r="U68" s="0" t="s">
        <v>160</v>
      </c>
      <c r="V68" s="0" t="s">
        <v>148</v>
      </c>
      <c r="W68" s="0" t="s">
        <v>98</v>
      </c>
      <c r="X68" s="0" t="s">
        <v>114</v>
      </c>
      <c r="Z68" s="0" t="s">
        <v>149</v>
      </c>
      <c r="AA68" s="0" t="n">
        <v>30000</v>
      </c>
      <c r="AB68" s="0" t="s">
        <v>178</v>
      </c>
      <c r="AC68" s="0" t="s">
        <v>63</v>
      </c>
      <c r="AD68" s="0" t="n">
        <v>5000</v>
      </c>
      <c r="AE68" s="0" t="s">
        <v>80</v>
      </c>
      <c r="AF68" s="1" t="n">
        <v>46021</v>
      </c>
      <c r="AG68" s="0" t="s">
        <v>50</v>
      </c>
      <c r="AH68" s="0" t="s">
        <v>171</v>
      </c>
      <c r="AI68" s="0" t="s">
        <v>172</v>
      </c>
      <c r="AJ68" s="0" t="s">
        <v>62</v>
      </c>
      <c r="AK68" s="0" t="s">
        <v>82</v>
      </c>
      <c r="AL68" s="0" t="s">
        <v>50</v>
      </c>
      <c r="AN68" s="0" t="s">
        <v>50</v>
      </c>
    </row>
    <row r="69" customFormat="false" ht="15" hidden="false" customHeight="false" outlineLevel="0" collapsed="false">
      <c r="A69" s="1" t="n">
        <v>45704</v>
      </c>
      <c r="B69" s="0" t="s">
        <v>313</v>
      </c>
      <c r="C69" s="0" t="s">
        <v>42</v>
      </c>
      <c r="D69" s="0" t="n">
        <v>8095733862</v>
      </c>
      <c r="E69" s="0" t="s">
        <v>67</v>
      </c>
      <c r="F69" s="0" t="s">
        <v>314</v>
      </c>
      <c r="G69" s="0" t="s">
        <v>69</v>
      </c>
      <c r="I69" s="0" t="s">
        <v>108</v>
      </c>
      <c r="J69" s="0" t="s">
        <v>71</v>
      </c>
      <c r="K69" s="0" t="n">
        <v>119820</v>
      </c>
      <c r="L69" s="0" t="s">
        <v>91</v>
      </c>
      <c r="M69" s="0" t="s">
        <v>50</v>
      </c>
      <c r="N69" s="0" t="n">
        <v>4</v>
      </c>
      <c r="O69" s="0" t="n">
        <v>5.8</v>
      </c>
      <c r="P69" s="0" t="s">
        <v>51</v>
      </c>
      <c r="Q69" s="0" t="s">
        <v>93</v>
      </c>
      <c r="R69" s="0" t="s">
        <v>94</v>
      </c>
      <c r="S69" s="0" t="s">
        <v>167</v>
      </c>
      <c r="T69" s="0" t="n">
        <v>15</v>
      </c>
      <c r="U69" s="0" t="s">
        <v>96</v>
      </c>
      <c r="V69" s="0" t="s">
        <v>56</v>
      </c>
      <c r="W69" s="0" t="s">
        <v>57</v>
      </c>
      <c r="X69" s="0" t="s">
        <v>58</v>
      </c>
      <c r="Z69" s="0" t="s">
        <v>143</v>
      </c>
      <c r="AA69" s="0" t="n">
        <v>25000</v>
      </c>
      <c r="AB69" s="0" t="n">
        <v>20000</v>
      </c>
      <c r="AD69" s="0" t="n">
        <v>10000</v>
      </c>
      <c r="AE69" s="0" t="s">
        <v>60</v>
      </c>
      <c r="AF69" s="0" t="s">
        <v>315</v>
      </c>
      <c r="AG69" s="0" t="s">
        <v>82</v>
      </c>
      <c r="AJ69" s="0" t="s">
        <v>63</v>
      </c>
      <c r="AL69" s="0" t="s">
        <v>102</v>
      </c>
      <c r="AM69" s="0" t="s">
        <v>118</v>
      </c>
      <c r="AN69" s="0" t="s">
        <v>50</v>
      </c>
    </row>
    <row r="70" customFormat="false" ht="15" hidden="false" customHeight="false" outlineLevel="0" collapsed="false">
      <c r="A70" s="0" t="s">
        <v>316</v>
      </c>
      <c r="B70" s="0" t="s">
        <v>317</v>
      </c>
      <c r="C70" s="0" t="s">
        <v>66</v>
      </c>
      <c r="D70" s="0" t="n">
        <v>8039933920</v>
      </c>
      <c r="E70" s="0" t="s">
        <v>139</v>
      </c>
      <c r="F70" s="0" t="s">
        <v>318</v>
      </c>
      <c r="G70" s="0" t="s">
        <v>45</v>
      </c>
      <c r="H70" s="0" t="s">
        <v>170</v>
      </c>
      <c r="I70" s="0" t="s">
        <v>108</v>
      </c>
      <c r="J70" s="0" t="s">
        <v>90</v>
      </c>
      <c r="K70" s="0" t="n">
        <v>13836</v>
      </c>
      <c r="L70" s="0" t="s">
        <v>49</v>
      </c>
      <c r="M70" s="0" t="s">
        <v>50</v>
      </c>
      <c r="N70" s="0" t="n">
        <v>2</v>
      </c>
      <c r="O70" s="0" t="n">
        <v>4.9</v>
      </c>
      <c r="P70" s="0" t="s">
        <v>51</v>
      </c>
      <c r="Q70" s="0" t="s">
        <v>73</v>
      </c>
      <c r="R70" s="0" t="s">
        <v>136</v>
      </c>
      <c r="S70" s="0" t="s">
        <v>54</v>
      </c>
      <c r="T70" s="0" t="n">
        <v>15</v>
      </c>
      <c r="U70" s="0" t="s">
        <v>96</v>
      </c>
      <c r="V70" s="0" t="s">
        <v>155</v>
      </c>
      <c r="W70" s="0" t="s">
        <v>57</v>
      </c>
      <c r="X70" s="0" t="s">
        <v>99</v>
      </c>
      <c r="Z70" s="0" t="s">
        <v>161</v>
      </c>
      <c r="AA70" s="0" t="s">
        <v>150</v>
      </c>
      <c r="AB70" s="0" t="n">
        <v>40000</v>
      </c>
      <c r="AC70" s="0" t="s">
        <v>63</v>
      </c>
      <c r="AD70" s="0" t="n">
        <v>0</v>
      </c>
      <c r="AE70" s="0" t="s">
        <v>184</v>
      </c>
      <c r="AF70" s="1" t="n">
        <v>45962</v>
      </c>
      <c r="AG70" s="0" t="s">
        <v>50</v>
      </c>
      <c r="AH70" s="0" t="s">
        <v>116</v>
      </c>
      <c r="AJ70" s="0" t="s">
        <v>63</v>
      </c>
      <c r="AL70" s="0" t="s">
        <v>63</v>
      </c>
      <c r="AM70" s="0" t="s">
        <v>64</v>
      </c>
    </row>
    <row r="71" customFormat="false" ht="15" hidden="false" customHeight="false" outlineLevel="0" collapsed="false">
      <c r="A71" s="0" t="s">
        <v>302</v>
      </c>
      <c r="B71" s="0" t="s">
        <v>319</v>
      </c>
      <c r="C71" s="0" t="s">
        <v>42</v>
      </c>
      <c r="D71" s="0" t="n">
        <v>8040906854</v>
      </c>
      <c r="E71" s="0" t="s">
        <v>43</v>
      </c>
      <c r="F71" s="0" t="s">
        <v>320</v>
      </c>
      <c r="G71" s="0" t="s">
        <v>107</v>
      </c>
      <c r="H71" s="0" t="s">
        <v>146</v>
      </c>
      <c r="I71" s="0" t="s">
        <v>142</v>
      </c>
      <c r="J71" s="0" t="s">
        <v>71</v>
      </c>
      <c r="K71" s="0" t="n">
        <v>52706</v>
      </c>
      <c r="L71" s="0" t="s">
        <v>49</v>
      </c>
      <c r="M71" s="0" t="s">
        <v>50</v>
      </c>
      <c r="N71" s="0" t="n">
        <v>5</v>
      </c>
      <c r="O71" s="0" t="n">
        <v>5.6</v>
      </c>
      <c r="P71" s="0" t="s">
        <v>125</v>
      </c>
      <c r="Q71" s="0" t="s">
        <v>52</v>
      </c>
      <c r="R71" s="0" t="s">
        <v>159</v>
      </c>
      <c r="S71" s="0" t="s">
        <v>126</v>
      </c>
      <c r="T71" s="0" t="n">
        <v>45</v>
      </c>
      <c r="U71" s="0" t="s">
        <v>55</v>
      </c>
      <c r="V71" s="0" t="s">
        <v>148</v>
      </c>
      <c r="W71" s="0" t="s">
        <v>113</v>
      </c>
      <c r="X71" s="0" t="s">
        <v>114</v>
      </c>
      <c r="AB71" s="0" t="n">
        <v>20000</v>
      </c>
      <c r="AD71" s="0" t="n">
        <v>5000</v>
      </c>
      <c r="AF71" s="1" t="n">
        <v>46022</v>
      </c>
      <c r="AG71" s="0" t="s">
        <v>50</v>
      </c>
      <c r="AI71" s="0" t="s">
        <v>117</v>
      </c>
      <c r="AJ71" s="0" t="s">
        <v>62</v>
      </c>
      <c r="AK71" s="0" t="s">
        <v>50</v>
      </c>
      <c r="AM71" s="0" t="s">
        <v>64</v>
      </c>
      <c r="AN71" s="0" t="s">
        <v>198</v>
      </c>
    </row>
    <row r="72" customFormat="false" ht="15" hidden="false" customHeight="false" outlineLevel="0" collapsed="false">
      <c r="A72" s="1" t="n">
        <v>45675</v>
      </c>
      <c r="B72" s="0" t="s">
        <v>321</v>
      </c>
      <c r="C72" s="0" t="s">
        <v>121</v>
      </c>
      <c r="D72" s="0" t="n">
        <v>8072617503</v>
      </c>
      <c r="E72" s="0" t="s">
        <v>139</v>
      </c>
      <c r="F72" s="0" t="s">
        <v>322</v>
      </c>
      <c r="G72" s="0" t="s">
        <v>107</v>
      </c>
      <c r="H72" s="0" t="s">
        <v>141</v>
      </c>
      <c r="I72" s="0" t="s">
        <v>108</v>
      </c>
      <c r="K72" s="0" t="n">
        <v>33827</v>
      </c>
      <c r="L72" s="0" t="s">
        <v>110</v>
      </c>
      <c r="M72" s="0" t="s">
        <v>63</v>
      </c>
      <c r="O72" s="0" t="n">
        <v>1.2</v>
      </c>
      <c r="P72" s="0" t="s">
        <v>111</v>
      </c>
      <c r="Q72" s="0" t="s">
        <v>73</v>
      </c>
      <c r="R72" s="0" t="s">
        <v>74</v>
      </c>
      <c r="S72" s="0" t="s">
        <v>75</v>
      </c>
      <c r="T72" s="0" t="n">
        <v>30</v>
      </c>
      <c r="U72" s="0" t="s">
        <v>112</v>
      </c>
      <c r="V72" s="0" t="s">
        <v>155</v>
      </c>
      <c r="W72" s="0" t="s">
        <v>98</v>
      </c>
      <c r="X72" s="0" t="s">
        <v>137</v>
      </c>
      <c r="Z72" s="0" t="s">
        <v>143</v>
      </c>
      <c r="AA72" s="0" t="n">
        <v>30000</v>
      </c>
      <c r="AB72" s="0" t="n">
        <v>35000</v>
      </c>
      <c r="AC72" s="0" t="s">
        <v>82</v>
      </c>
      <c r="AD72" s="0" t="n">
        <v>5000</v>
      </c>
      <c r="AE72" s="0" t="s">
        <v>80</v>
      </c>
      <c r="AF72" s="1" t="n">
        <v>45835</v>
      </c>
      <c r="AG72" s="0" t="s">
        <v>61</v>
      </c>
      <c r="AI72" s="0" t="s">
        <v>172</v>
      </c>
      <c r="AJ72" s="0" t="s">
        <v>81</v>
      </c>
      <c r="AK72" s="0" t="s">
        <v>50</v>
      </c>
      <c r="AL72" s="0" t="s">
        <v>50</v>
      </c>
      <c r="AM72" s="0" t="s">
        <v>64</v>
      </c>
      <c r="AN72" s="0" t="s">
        <v>50</v>
      </c>
    </row>
    <row r="73" customFormat="false" ht="15" hidden="false" customHeight="false" outlineLevel="0" collapsed="false">
      <c r="A73" s="1" t="n">
        <v>45782</v>
      </c>
      <c r="B73" s="0" t="s">
        <v>323</v>
      </c>
      <c r="C73" s="0" t="s">
        <v>66</v>
      </c>
      <c r="D73" s="0" t="n">
        <v>8093741127</v>
      </c>
      <c r="E73" s="0" t="s">
        <v>122</v>
      </c>
      <c r="F73" s="0" t="s">
        <v>324</v>
      </c>
      <c r="G73" s="0" t="s">
        <v>69</v>
      </c>
      <c r="H73" s="0" t="s">
        <v>88</v>
      </c>
      <c r="I73" s="0" t="s">
        <v>154</v>
      </c>
      <c r="J73" s="0" t="s">
        <v>109</v>
      </c>
      <c r="K73" s="0" t="n">
        <v>32615</v>
      </c>
      <c r="L73" s="0" t="s">
        <v>91</v>
      </c>
      <c r="M73" s="0" t="s">
        <v>50</v>
      </c>
      <c r="N73" s="0" t="n">
        <v>4</v>
      </c>
      <c r="O73" s="0" t="n">
        <v>2.1</v>
      </c>
      <c r="Q73" s="0" t="s">
        <v>73</v>
      </c>
      <c r="R73" s="0" t="s">
        <v>74</v>
      </c>
      <c r="S73" s="0" t="s">
        <v>54</v>
      </c>
      <c r="T73" s="0" t="n">
        <v>15</v>
      </c>
      <c r="U73" s="0" t="s">
        <v>55</v>
      </c>
      <c r="V73" s="0" t="s">
        <v>155</v>
      </c>
      <c r="W73" s="0" t="s">
        <v>98</v>
      </c>
      <c r="X73" s="0" t="s">
        <v>114</v>
      </c>
      <c r="Y73" s="0" t="s">
        <v>156</v>
      </c>
      <c r="Z73" s="0" t="s">
        <v>161</v>
      </c>
      <c r="AA73" s="0" t="n">
        <v>40000</v>
      </c>
      <c r="AB73" s="0" t="n">
        <v>20000</v>
      </c>
      <c r="AC73" s="0" t="s">
        <v>61</v>
      </c>
      <c r="AD73" s="0" t="n">
        <v>0</v>
      </c>
      <c r="AE73" s="0" t="s">
        <v>80</v>
      </c>
      <c r="AF73" s="0" t="s">
        <v>325</v>
      </c>
      <c r="AG73" s="0" t="s">
        <v>50</v>
      </c>
      <c r="AH73" s="0" t="s">
        <v>116</v>
      </c>
      <c r="AJ73" s="0" t="s">
        <v>50</v>
      </c>
      <c r="AK73" s="0" t="s">
        <v>50</v>
      </c>
      <c r="AM73" s="0" t="s">
        <v>118</v>
      </c>
      <c r="AN73" s="0" t="s">
        <v>63</v>
      </c>
    </row>
    <row r="74" customFormat="false" ht="15" hidden="false" customHeight="false" outlineLevel="0" collapsed="false">
      <c r="A74" s="1" t="n">
        <v>45691</v>
      </c>
      <c r="B74" s="0" t="s">
        <v>326</v>
      </c>
      <c r="C74" s="0" t="s">
        <v>163</v>
      </c>
      <c r="D74" s="0" t="n">
        <v>8038606966</v>
      </c>
      <c r="E74" s="0" t="s">
        <v>43</v>
      </c>
      <c r="F74" s="0" t="s">
        <v>327</v>
      </c>
      <c r="G74" s="0" t="s">
        <v>107</v>
      </c>
      <c r="H74" s="0" t="s">
        <v>141</v>
      </c>
      <c r="I74" s="0" t="s">
        <v>108</v>
      </c>
      <c r="J74" s="0" t="s">
        <v>90</v>
      </c>
      <c r="K74" s="0" t="n">
        <v>30341</v>
      </c>
      <c r="L74" s="0" t="s">
        <v>91</v>
      </c>
      <c r="M74" s="0" t="s">
        <v>50</v>
      </c>
      <c r="O74" s="0" t="n">
        <v>4.4</v>
      </c>
      <c r="P74" s="0" t="s">
        <v>92</v>
      </c>
      <c r="Q74" s="0" t="s">
        <v>52</v>
      </c>
      <c r="R74" s="0" t="s">
        <v>74</v>
      </c>
      <c r="S74" s="0" t="s">
        <v>167</v>
      </c>
      <c r="U74" s="0" t="s">
        <v>76</v>
      </c>
      <c r="V74" s="0" t="s">
        <v>148</v>
      </c>
      <c r="W74" s="0" t="s">
        <v>128</v>
      </c>
      <c r="X74" s="0" t="s">
        <v>137</v>
      </c>
      <c r="Z74" s="0" t="s">
        <v>149</v>
      </c>
      <c r="AA74" s="0" t="n">
        <v>15000</v>
      </c>
      <c r="AB74" s="0" t="n">
        <v>20000</v>
      </c>
      <c r="AC74" s="0" t="s">
        <v>63</v>
      </c>
      <c r="AG74" s="0" t="s">
        <v>82</v>
      </c>
      <c r="AH74" s="0" t="s">
        <v>171</v>
      </c>
      <c r="AJ74" s="0" t="s">
        <v>63</v>
      </c>
      <c r="AK74" s="0" t="s">
        <v>82</v>
      </c>
      <c r="AL74" s="0" t="s">
        <v>63</v>
      </c>
      <c r="AM74" s="0" t="s">
        <v>103</v>
      </c>
      <c r="AN74" s="0" t="s">
        <v>198</v>
      </c>
    </row>
    <row r="75" customFormat="false" ht="15" hidden="false" customHeight="false" outlineLevel="0" collapsed="false">
      <c r="A75" s="0" t="s">
        <v>328</v>
      </c>
      <c r="B75" s="0" t="s">
        <v>329</v>
      </c>
      <c r="C75" s="0" t="s">
        <v>42</v>
      </c>
      <c r="D75" s="0" t="n">
        <v>8042080592</v>
      </c>
      <c r="E75" s="0" t="s">
        <v>67</v>
      </c>
      <c r="F75" s="0" t="s">
        <v>330</v>
      </c>
      <c r="G75" s="0" t="s">
        <v>134</v>
      </c>
      <c r="H75" s="0" t="s">
        <v>165</v>
      </c>
      <c r="I75" s="0" t="s">
        <v>189</v>
      </c>
      <c r="J75" s="0" t="s">
        <v>48</v>
      </c>
      <c r="K75" s="0" t="n">
        <v>85582</v>
      </c>
      <c r="L75" s="0" t="s">
        <v>72</v>
      </c>
      <c r="M75" s="0" t="s">
        <v>50</v>
      </c>
      <c r="N75" s="0" t="n">
        <v>2</v>
      </c>
      <c r="O75" s="0" t="n">
        <v>4.6</v>
      </c>
      <c r="P75" s="0" t="s">
        <v>92</v>
      </c>
      <c r="Q75" s="0" t="s">
        <v>93</v>
      </c>
      <c r="R75" s="0" t="s">
        <v>159</v>
      </c>
      <c r="S75" s="0" t="s">
        <v>167</v>
      </c>
      <c r="U75" s="0" t="s">
        <v>76</v>
      </c>
      <c r="V75" s="0" t="s">
        <v>155</v>
      </c>
      <c r="W75" s="0" t="s">
        <v>128</v>
      </c>
      <c r="X75" s="0" t="s">
        <v>58</v>
      </c>
      <c r="Y75" s="0" t="s">
        <v>59</v>
      </c>
      <c r="Z75" s="0" t="s">
        <v>149</v>
      </c>
      <c r="AB75" s="0" t="n">
        <v>20000</v>
      </c>
      <c r="AC75" s="0" t="s">
        <v>61</v>
      </c>
      <c r="AE75" s="0" t="s">
        <v>184</v>
      </c>
      <c r="AF75" s="1" t="n">
        <v>45969</v>
      </c>
      <c r="AG75" s="0" t="s">
        <v>50</v>
      </c>
      <c r="AI75" s="0" t="s">
        <v>101</v>
      </c>
      <c r="AJ75" s="0" t="s">
        <v>81</v>
      </c>
      <c r="AK75" s="0" t="s">
        <v>82</v>
      </c>
      <c r="AL75" s="0" t="s">
        <v>50</v>
      </c>
      <c r="AM75" s="0" t="s">
        <v>64</v>
      </c>
      <c r="AN75" s="0" t="s">
        <v>50</v>
      </c>
    </row>
    <row r="76" customFormat="false" ht="15" hidden="false" customHeight="false" outlineLevel="0" collapsed="false">
      <c r="A76" s="1" t="n">
        <v>45742</v>
      </c>
      <c r="B76" s="0" t="s">
        <v>331</v>
      </c>
      <c r="C76" s="0" t="s">
        <v>66</v>
      </c>
      <c r="D76" s="0" t="n">
        <v>8074524663</v>
      </c>
      <c r="E76" s="0" t="s">
        <v>67</v>
      </c>
      <c r="F76" s="0" t="s">
        <v>332</v>
      </c>
      <c r="G76" s="0" t="s">
        <v>134</v>
      </c>
      <c r="H76" s="0" t="s">
        <v>272</v>
      </c>
      <c r="I76" s="0" t="s">
        <v>89</v>
      </c>
      <c r="K76" s="0" t="n">
        <v>84301</v>
      </c>
      <c r="L76" s="0" t="s">
        <v>72</v>
      </c>
      <c r="M76" s="0" t="s">
        <v>50</v>
      </c>
      <c r="N76" s="0" t="n">
        <v>5</v>
      </c>
      <c r="O76" s="0" t="n">
        <v>4.8</v>
      </c>
      <c r="Q76" s="0" t="s">
        <v>73</v>
      </c>
      <c r="R76" s="0" t="s">
        <v>159</v>
      </c>
      <c r="S76" s="0" t="s">
        <v>167</v>
      </c>
      <c r="U76" s="0" t="s">
        <v>160</v>
      </c>
      <c r="V76" s="0" t="s">
        <v>97</v>
      </c>
      <c r="W76" s="0" t="s">
        <v>113</v>
      </c>
      <c r="X76" s="0" t="s">
        <v>196</v>
      </c>
      <c r="Y76" s="0" t="s">
        <v>177</v>
      </c>
      <c r="AA76" s="0" t="n">
        <v>40000</v>
      </c>
      <c r="AC76" s="0" t="s">
        <v>63</v>
      </c>
      <c r="AE76" s="0" t="s">
        <v>60</v>
      </c>
      <c r="AF76" s="1" t="n">
        <v>45874</v>
      </c>
      <c r="AH76" s="0" t="s">
        <v>171</v>
      </c>
      <c r="AJ76" s="0" t="s">
        <v>63</v>
      </c>
      <c r="AK76" s="0" t="s">
        <v>50</v>
      </c>
      <c r="AL76" s="0" t="s">
        <v>102</v>
      </c>
      <c r="AM76" s="0" t="s">
        <v>103</v>
      </c>
    </row>
    <row r="77" customFormat="false" ht="15" hidden="false" customHeight="false" outlineLevel="0" collapsed="false">
      <c r="A77" s="1" t="n">
        <v>45697</v>
      </c>
      <c r="B77" s="0" t="s">
        <v>333</v>
      </c>
      <c r="C77" s="0" t="s">
        <v>105</v>
      </c>
      <c r="D77" s="0" t="n">
        <v>8054495204</v>
      </c>
      <c r="E77" s="0" t="s">
        <v>67</v>
      </c>
      <c r="F77" s="0" t="s">
        <v>334</v>
      </c>
      <c r="G77" s="0" t="s">
        <v>107</v>
      </c>
      <c r="I77" s="0" t="s">
        <v>189</v>
      </c>
      <c r="J77" s="0" t="s">
        <v>48</v>
      </c>
      <c r="K77" s="0" t="n">
        <v>90584</v>
      </c>
      <c r="L77" s="0" t="s">
        <v>110</v>
      </c>
      <c r="M77" s="0" t="s">
        <v>50</v>
      </c>
      <c r="O77" s="0" t="n">
        <v>3</v>
      </c>
      <c r="P77" s="0" t="s">
        <v>92</v>
      </c>
      <c r="Q77" s="0" t="s">
        <v>52</v>
      </c>
      <c r="R77" s="0" t="s">
        <v>159</v>
      </c>
      <c r="S77" s="0" t="s">
        <v>54</v>
      </c>
      <c r="T77" s="0" t="n">
        <v>15</v>
      </c>
      <c r="U77" s="0" t="s">
        <v>96</v>
      </c>
      <c r="V77" s="0" t="s">
        <v>155</v>
      </c>
      <c r="W77" s="0" t="s">
        <v>57</v>
      </c>
      <c r="X77" s="0" t="s">
        <v>99</v>
      </c>
      <c r="Y77" s="0" t="s">
        <v>197</v>
      </c>
      <c r="Z77" s="0" t="s">
        <v>129</v>
      </c>
      <c r="AA77" s="0" t="n">
        <v>40000</v>
      </c>
      <c r="AB77" s="0" t="n">
        <v>20000</v>
      </c>
      <c r="AC77" s="0" t="s">
        <v>63</v>
      </c>
      <c r="AD77" s="0" t="s">
        <v>115</v>
      </c>
      <c r="AE77" s="0" t="s">
        <v>60</v>
      </c>
      <c r="AF77" s="1" t="n">
        <v>45725</v>
      </c>
      <c r="AG77" s="0" t="s">
        <v>63</v>
      </c>
      <c r="AH77" s="0" t="s">
        <v>116</v>
      </c>
      <c r="AJ77" s="0" t="s">
        <v>50</v>
      </c>
      <c r="AL77" s="0" t="s">
        <v>63</v>
      </c>
      <c r="AM77" s="0" t="s">
        <v>64</v>
      </c>
      <c r="AN77" s="0" t="s">
        <v>190</v>
      </c>
    </row>
    <row r="78" customFormat="false" ht="15" hidden="false" customHeight="false" outlineLevel="0" collapsed="false">
      <c r="A78" s="1" t="n">
        <v>45751</v>
      </c>
      <c r="B78" s="0" t="s">
        <v>335</v>
      </c>
      <c r="C78" s="0" t="s">
        <v>42</v>
      </c>
      <c r="D78" s="0" t="n">
        <v>8060454028</v>
      </c>
      <c r="E78" s="0" t="s">
        <v>122</v>
      </c>
      <c r="F78" s="0" t="s">
        <v>336</v>
      </c>
      <c r="G78" s="0" t="s">
        <v>87</v>
      </c>
      <c r="H78" s="0" t="s">
        <v>153</v>
      </c>
      <c r="I78" s="0" t="s">
        <v>189</v>
      </c>
      <c r="J78" s="0" t="s">
        <v>109</v>
      </c>
      <c r="K78" s="0" t="n">
        <v>38062</v>
      </c>
      <c r="L78" s="0" t="s">
        <v>124</v>
      </c>
      <c r="M78" s="0" t="s">
        <v>63</v>
      </c>
      <c r="N78" s="0" t="n">
        <v>5</v>
      </c>
      <c r="O78" s="0" t="n">
        <v>4</v>
      </c>
      <c r="Q78" s="0" t="s">
        <v>93</v>
      </c>
      <c r="R78" s="0" t="s">
        <v>53</v>
      </c>
      <c r="S78" s="0" t="s">
        <v>167</v>
      </c>
      <c r="T78" s="0" t="n">
        <v>15</v>
      </c>
      <c r="U78" s="0" t="s">
        <v>55</v>
      </c>
      <c r="V78" s="0" t="s">
        <v>97</v>
      </c>
      <c r="W78" s="0" t="s">
        <v>128</v>
      </c>
      <c r="X78" s="0" t="s">
        <v>99</v>
      </c>
      <c r="Z78" s="0" t="s">
        <v>149</v>
      </c>
      <c r="AA78" s="0" t="n">
        <v>25000</v>
      </c>
      <c r="AB78" s="0" t="n">
        <v>20000</v>
      </c>
      <c r="AC78" s="0" t="s">
        <v>50</v>
      </c>
      <c r="AD78" s="0" t="n">
        <v>10000</v>
      </c>
      <c r="AE78" s="0" t="s">
        <v>80</v>
      </c>
      <c r="AF78" s="0" t="s">
        <v>337</v>
      </c>
      <c r="AG78" s="0" t="s">
        <v>82</v>
      </c>
      <c r="AH78" s="0" t="s">
        <v>171</v>
      </c>
      <c r="AJ78" s="0" t="s">
        <v>81</v>
      </c>
      <c r="AK78" s="0" t="s">
        <v>82</v>
      </c>
      <c r="AM78" s="0" t="s">
        <v>103</v>
      </c>
      <c r="AN78" s="0" t="s">
        <v>63</v>
      </c>
    </row>
    <row r="79" customFormat="false" ht="15" hidden="false" customHeight="false" outlineLevel="0" collapsed="false">
      <c r="A79" s="1" t="n">
        <v>45701</v>
      </c>
      <c r="B79" s="0" t="s">
        <v>338</v>
      </c>
      <c r="C79" s="0" t="s">
        <v>42</v>
      </c>
      <c r="D79" s="0" t="n">
        <v>8037557095</v>
      </c>
      <c r="E79" s="0" t="s">
        <v>67</v>
      </c>
      <c r="F79" s="0" t="s">
        <v>339</v>
      </c>
      <c r="G79" s="0" t="s">
        <v>134</v>
      </c>
      <c r="H79" s="0" t="s">
        <v>170</v>
      </c>
      <c r="I79" s="0" t="s">
        <v>47</v>
      </c>
      <c r="J79" s="0" t="s">
        <v>71</v>
      </c>
      <c r="K79" s="0" t="n">
        <v>107123</v>
      </c>
      <c r="L79" s="0" t="s">
        <v>91</v>
      </c>
      <c r="M79" s="0" t="s">
        <v>50</v>
      </c>
      <c r="O79" s="0" t="n">
        <v>5.3</v>
      </c>
      <c r="P79" s="0" t="s">
        <v>125</v>
      </c>
      <c r="Q79" s="0" t="s">
        <v>73</v>
      </c>
      <c r="S79" s="0" t="s">
        <v>95</v>
      </c>
      <c r="T79" s="0" t="n">
        <v>45</v>
      </c>
      <c r="U79" s="0" t="s">
        <v>112</v>
      </c>
      <c r="V79" s="0" t="s">
        <v>148</v>
      </c>
      <c r="W79" s="0" t="s">
        <v>57</v>
      </c>
      <c r="X79" s="0" t="s">
        <v>114</v>
      </c>
      <c r="Z79" s="0" t="s">
        <v>161</v>
      </c>
      <c r="AB79" s="0" t="n">
        <v>40000</v>
      </c>
      <c r="AC79" s="0" t="s">
        <v>50</v>
      </c>
      <c r="AD79" s="0" t="s">
        <v>115</v>
      </c>
      <c r="AE79" s="0" t="s">
        <v>184</v>
      </c>
      <c r="AF79" s="1" t="n">
        <v>46002</v>
      </c>
      <c r="AG79" s="0" t="s">
        <v>63</v>
      </c>
      <c r="AH79" s="0" t="s">
        <v>171</v>
      </c>
      <c r="AI79" s="0" t="s">
        <v>117</v>
      </c>
      <c r="AJ79" s="0" t="s">
        <v>62</v>
      </c>
      <c r="AL79" s="0" t="s">
        <v>50</v>
      </c>
      <c r="AN79" s="0" t="s">
        <v>63</v>
      </c>
    </row>
    <row r="80" customFormat="false" ht="15" hidden="false" customHeight="false" outlineLevel="0" collapsed="false">
      <c r="A80" s="0" t="s">
        <v>340</v>
      </c>
      <c r="B80" s="0" t="s">
        <v>341</v>
      </c>
      <c r="C80" s="0" t="s">
        <v>121</v>
      </c>
      <c r="D80" s="0" t="n">
        <v>8063729043</v>
      </c>
      <c r="E80" s="0" t="s">
        <v>139</v>
      </c>
      <c r="F80" s="0" t="s">
        <v>342</v>
      </c>
      <c r="G80" s="0" t="s">
        <v>69</v>
      </c>
      <c r="H80" s="0" t="s">
        <v>88</v>
      </c>
      <c r="I80" s="0" t="s">
        <v>108</v>
      </c>
      <c r="J80" s="0" t="s">
        <v>71</v>
      </c>
      <c r="K80" s="0" t="n">
        <v>63993</v>
      </c>
      <c r="L80" s="0" t="s">
        <v>166</v>
      </c>
      <c r="M80" s="0" t="s">
        <v>50</v>
      </c>
      <c r="N80" s="0" t="n">
        <v>5</v>
      </c>
      <c r="O80" s="0" t="n">
        <v>4</v>
      </c>
      <c r="Q80" s="0" t="s">
        <v>52</v>
      </c>
      <c r="R80" s="0" t="s">
        <v>53</v>
      </c>
      <c r="S80" s="0" t="s">
        <v>147</v>
      </c>
      <c r="T80" s="0" t="n">
        <v>15</v>
      </c>
      <c r="U80" s="0" t="s">
        <v>96</v>
      </c>
      <c r="V80" s="0" t="s">
        <v>97</v>
      </c>
      <c r="W80" s="0" t="s">
        <v>57</v>
      </c>
      <c r="X80" s="0" t="s">
        <v>196</v>
      </c>
      <c r="Z80" s="0" t="s">
        <v>129</v>
      </c>
      <c r="AA80" s="0" t="s">
        <v>150</v>
      </c>
      <c r="AB80" s="0" t="s">
        <v>178</v>
      </c>
      <c r="AC80" s="0" t="s">
        <v>50</v>
      </c>
      <c r="AE80" s="0" t="s">
        <v>184</v>
      </c>
      <c r="AF80" s="1" t="n">
        <v>45942</v>
      </c>
      <c r="AG80" s="0" t="s">
        <v>50</v>
      </c>
      <c r="AI80" s="0" t="s">
        <v>172</v>
      </c>
      <c r="AJ80" s="0" t="s">
        <v>63</v>
      </c>
      <c r="AK80" s="0" t="s">
        <v>61</v>
      </c>
      <c r="AL80" s="0" t="s">
        <v>63</v>
      </c>
      <c r="AM80" s="0" t="s">
        <v>64</v>
      </c>
      <c r="AN80" s="0" t="s">
        <v>63</v>
      </c>
    </row>
    <row r="81" customFormat="false" ht="15" hidden="false" customHeight="false" outlineLevel="0" collapsed="false">
      <c r="A81" s="1" t="n">
        <v>45749</v>
      </c>
      <c r="B81" s="0" t="s">
        <v>343</v>
      </c>
      <c r="C81" s="0" t="s">
        <v>121</v>
      </c>
      <c r="D81" s="0" t="n">
        <v>8034728879</v>
      </c>
      <c r="E81" s="0" t="s">
        <v>139</v>
      </c>
      <c r="F81" s="0" t="s">
        <v>344</v>
      </c>
      <c r="G81" s="0" t="s">
        <v>107</v>
      </c>
      <c r="H81" s="0" t="s">
        <v>242</v>
      </c>
      <c r="I81" s="0" t="s">
        <v>47</v>
      </c>
      <c r="J81" s="0" t="s">
        <v>48</v>
      </c>
      <c r="K81" s="0" t="n">
        <v>32438</v>
      </c>
      <c r="L81" s="0" t="s">
        <v>110</v>
      </c>
      <c r="M81" s="0" t="s">
        <v>63</v>
      </c>
      <c r="N81" s="0" t="n">
        <v>5</v>
      </c>
      <c r="O81" s="0" t="n">
        <v>4.2</v>
      </c>
      <c r="P81" s="0" t="s">
        <v>125</v>
      </c>
      <c r="Q81" s="0" t="s">
        <v>93</v>
      </c>
      <c r="R81" s="0" t="s">
        <v>74</v>
      </c>
      <c r="S81" s="0" t="s">
        <v>167</v>
      </c>
      <c r="T81" s="0" t="n">
        <v>45</v>
      </c>
      <c r="U81" s="0" t="s">
        <v>160</v>
      </c>
      <c r="V81" s="0" t="s">
        <v>56</v>
      </c>
      <c r="W81" s="0" t="s">
        <v>98</v>
      </c>
      <c r="X81" s="0" t="s">
        <v>137</v>
      </c>
      <c r="Y81" s="0" t="s">
        <v>197</v>
      </c>
      <c r="Z81" s="0" t="s">
        <v>143</v>
      </c>
      <c r="AA81" s="0" t="n">
        <v>40000</v>
      </c>
      <c r="AB81" s="0" t="n">
        <v>20000</v>
      </c>
      <c r="AC81" s="0" t="s">
        <v>63</v>
      </c>
      <c r="AD81" s="0" t="n">
        <v>5000</v>
      </c>
      <c r="AE81" s="0" t="s">
        <v>80</v>
      </c>
      <c r="AG81" s="0" t="s">
        <v>63</v>
      </c>
      <c r="AI81" s="0" t="s">
        <v>172</v>
      </c>
      <c r="AJ81" s="0" t="s">
        <v>63</v>
      </c>
      <c r="AK81" s="0" t="s">
        <v>63</v>
      </c>
      <c r="AL81" s="0" t="s">
        <v>63</v>
      </c>
      <c r="AM81" s="0" t="s">
        <v>83</v>
      </c>
    </row>
    <row r="82" customFormat="false" ht="15" hidden="false" customHeight="false" outlineLevel="0" collapsed="false">
      <c r="A82" s="0" t="s">
        <v>345</v>
      </c>
      <c r="B82" s="0" t="s">
        <v>346</v>
      </c>
      <c r="C82" s="0" t="s">
        <v>121</v>
      </c>
      <c r="D82" s="0" t="n">
        <v>8010902666</v>
      </c>
      <c r="E82" s="0" t="s">
        <v>43</v>
      </c>
      <c r="F82" s="0" t="s">
        <v>347</v>
      </c>
      <c r="G82" s="0" t="s">
        <v>69</v>
      </c>
      <c r="H82" s="0" t="s">
        <v>242</v>
      </c>
      <c r="I82" s="0" t="s">
        <v>154</v>
      </c>
      <c r="K82" s="0" t="n">
        <v>23213</v>
      </c>
      <c r="L82" s="0" t="s">
        <v>49</v>
      </c>
      <c r="M82" s="0" t="s">
        <v>63</v>
      </c>
      <c r="N82" s="0" t="n">
        <v>3</v>
      </c>
      <c r="O82" s="0" t="n">
        <v>1.1</v>
      </c>
      <c r="P82" s="0" t="s">
        <v>92</v>
      </c>
      <c r="Q82" s="0" t="s">
        <v>52</v>
      </c>
      <c r="R82" s="0" t="s">
        <v>159</v>
      </c>
      <c r="S82" s="0" t="s">
        <v>54</v>
      </c>
      <c r="T82" s="0" t="n">
        <v>45</v>
      </c>
      <c r="U82" s="0" t="s">
        <v>96</v>
      </c>
      <c r="V82" s="0" t="s">
        <v>56</v>
      </c>
      <c r="W82" s="0" t="s">
        <v>57</v>
      </c>
      <c r="X82" s="0" t="s">
        <v>58</v>
      </c>
      <c r="Z82" s="0" t="s">
        <v>149</v>
      </c>
      <c r="AB82" s="0" t="n">
        <v>20000</v>
      </c>
      <c r="AC82" s="0" t="s">
        <v>50</v>
      </c>
      <c r="AD82" s="0" t="n">
        <v>10000</v>
      </c>
      <c r="AE82" s="0" t="s">
        <v>130</v>
      </c>
      <c r="AF82" s="0" t="s">
        <v>348</v>
      </c>
      <c r="AG82" s="0" t="s">
        <v>61</v>
      </c>
      <c r="AI82" s="0" t="s">
        <v>172</v>
      </c>
      <c r="AJ82" s="0" t="s">
        <v>81</v>
      </c>
      <c r="AK82" s="0" t="s">
        <v>61</v>
      </c>
      <c r="AM82" s="0" t="s">
        <v>83</v>
      </c>
      <c r="AN82" s="0" t="s">
        <v>63</v>
      </c>
    </row>
    <row r="83" customFormat="false" ht="15" hidden="false" customHeight="false" outlineLevel="0" collapsed="false">
      <c r="A83" s="1" t="n">
        <v>45782</v>
      </c>
      <c r="B83" s="0" t="s">
        <v>349</v>
      </c>
      <c r="C83" s="0" t="s">
        <v>66</v>
      </c>
      <c r="D83" s="0" t="n">
        <v>8058696493</v>
      </c>
      <c r="E83" s="0" t="s">
        <v>67</v>
      </c>
      <c r="F83" s="0" t="s">
        <v>350</v>
      </c>
      <c r="G83" s="0" t="s">
        <v>45</v>
      </c>
      <c r="H83" s="0" t="s">
        <v>272</v>
      </c>
      <c r="I83" s="0" t="s">
        <v>142</v>
      </c>
      <c r="J83" s="0" t="s">
        <v>71</v>
      </c>
      <c r="K83" s="0" t="n">
        <v>106050</v>
      </c>
      <c r="L83" s="0" t="s">
        <v>91</v>
      </c>
      <c r="M83" s="0" t="s">
        <v>63</v>
      </c>
      <c r="N83" s="0" t="n">
        <v>1</v>
      </c>
      <c r="O83" s="0" t="n">
        <v>5.8</v>
      </c>
      <c r="P83" s="0" t="s">
        <v>92</v>
      </c>
      <c r="Q83" s="0" t="s">
        <v>52</v>
      </c>
      <c r="R83" s="0" t="s">
        <v>136</v>
      </c>
      <c r="S83" s="0" t="s">
        <v>54</v>
      </c>
      <c r="T83" s="0" t="s">
        <v>127</v>
      </c>
      <c r="U83" s="0" t="s">
        <v>76</v>
      </c>
      <c r="V83" s="0" t="s">
        <v>77</v>
      </c>
      <c r="W83" s="0" t="s">
        <v>128</v>
      </c>
      <c r="X83" s="0" t="s">
        <v>114</v>
      </c>
      <c r="Y83" s="0" t="s">
        <v>197</v>
      </c>
      <c r="Z83" s="0" t="s">
        <v>161</v>
      </c>
      <c r="AA83" s="0" t="n">
        <v>25000</v>
      </c>
      <c r="AB83" s="0" t="s">
        <v>178</v>
      </c>
      <c r="AC83" s="0" t="s">
        <v>61</v>
      </c>
      <c r="AD83" s="0" t="n">
        <v>5000</v>
      </c>
      <c r="AE83" s="0" t="s">
        <v>60</v>
      </c>
      <c r="AF83" s="1" t="n">
        <v>46020</v>
      </c>
      <c r="AG83" s="0" t="s">
        <v>82</v>
      </c>
      <c r="AH83" s="0" t="s">
        <v>116</v>
      </c>
      <c r="AJ83" s="0" t="s">
        <v>63</v>
      </c>
      <c r="AK83" s="0" t="s">
        <v>50</v>
      </c>
      <c r="AL83" s="0" t="s">
        <v>102</v>
      </c>
      <c r="AM83" s="0" t="s">
        <v>64</v>
      </c>
      <c r="AN83" s="0" t="s">
        <v>50</v>
      </c>
    </row>
    <row r="84" customFormat="false" ht="15" hidden="false" customHeight="false" outlineLevel="0" collapsed="false">
      <c r="A84" s="1" t="n">
        <v>45783</v>
      </c>
      <c r="B84" s="0" t="s">
        <v>351</v>
      </c>
      <c r="C84" s="0" t="s">
        <v>163</v>
      </c>
      <c r="D84" s="0" t="n">
        <v>8011327694</v>
      </c>
      <c r="E84" s="0" t="s">
        <v>122</v>
      </c>
      <c r="F84" s="0" t="s">
        <v>352</v>
      </c>
      <c r="G84" s="0" t="s">
        <v>107</v>
      </c>
      <c r="H84" s="0" t="s">
        <v>70</v>
      </c>
      <c r="I84" s="0" t="s">
        <v>142</v>
      </c>
      <c r="J84" s="0" t="s">
        <v>71</v>
      </c>
      <c r="K84" s="0" t="n">
        <v>65980</v>
      </c>
      <c r="L84" s="0" t="s">
        <v>91</v>
      </c>
      <c r="M84" s="0" t="s">
        <v>63</v>
      </c>
      <c r="N84" s="0" t="n">
        <v>2</v>
      </c>
      <c r="O84" s="0" t="n">
        <v>2.8</v>
      </c>
      <c r="P84" s="0" t="s">
        <v>111</v>
      </c>
      <c r="Q84" s="0" t="s">
        <v>52</v>
      </c>
      <c r="R84" s="0" t="s">
        <v>74</v>
      </c>
      <c r="S84" s="0" t="s">
        <v>167</v>
      </c>
      <c r="T84" s="0" t="n">
        <v>60</v>
      </c>
      <c r="U84" s="0" t="s">
        <v>76</v>
      </c>
      <c r="V84" s="0" t="s">
        <v>56</v>
      </c>
      <c r="W84" s="0" t="s">
        <v>98</v>
      </c>
      <c r="X84" s="0" t="s">
        <v>114</v>
      </c>
      <c r="Z84" s="0" t="s">
        <v>79</v>
      </c>
      <c r="AA84" s="0" t="n">
        <v>40000</v>
      </c>
      <c r="AC84" s="0" t="s">
        <v>61</v>
      </c>
      <c r="AD84" s="0" t="n">
        <v>10000</v>
      </c>
      <c r="AE84" s="0" t="s">
        <v>80</v>
      </c>
      <c r="AF84" s="1" t="n">
        <v>45938</v>
      </c>
      <c r="AG84" s="0" t="s">
        <v>82</v>
      </c>
      <c r="AJ84" s="0" t="s">
        <v>50</v>
      </c>
      <c r="AK84" s="0" t="s">
        <v>63</v>
      </c>
      <c r="AL84" s="0" t="s">
        <v>63</v>
      </c>
      <c r="AN84" s="0" t="s">
        <v>50</v>
      </c>
    </row>
    <row r="85" customFormat="false" ht="15" hidden="false" customHeight="false" outlineLevel="0" collapsed="false">
      <c r="A85" s="0" t="s">
        <v>353</v>
      </c>
      <c r="B85" s="0" t="s">
        <v>354</v>
      </c>
      <c r="C85" s="0" t="s">
        <v>42</v>
      </c>
      <c r="D85" s="0" t="n">
        <v>8019896028</v>
      </c>
      <c r="E85" s="0" t="s">
        <v>85</v>
      </c>
      <c r="F85" s="0" t="s">
        <v>355</v>
      </c>
      <c r="G85" s="0" t="s">
        <v>87</v>
      </c>
      <c r="H85" s="0" t="s">
        <v>46</v>
      </c>
      <c r="I85" s="0" t="s">
        <v>189</v>
      </c>
      <c r="K85" s="0" t="n">
        <v>114779</v>
      </c>
      <c r="L85" s="0" t="s">
        <v>91</v>
      </c>
      <c r="M85" s="0" t="s">
        <v>63</v>
      </c>
      <c r="N85" s="0" t="n">
        <v>2</v>
      </c>
      <c r="O85" s="0" t="n">
        <v>2.5</v>
      </c>
      <c r="P85" s="0" t="s">
        <v>51</v>
      </c>
      <c r="Q85" s="0" t="s">
        <v>52</v>
      </c>
      <c r="R85" s="0" t="s">
        <v>53</v>
      </c>
      <c r="S85" s="0" t="s">
        <v>95</v>
      </c>
      <c r="T85" s="0" t="n">
        <v>60</v>
      </c>
      <c r="U85" s="0" t="s">
        <v>160</v>
      </c>
      <c r="V85" s="0" t="s">
        <v>155</v>
      </c>
      <c r="W85" s="0" t="s">
        <v>57</v>
      </c>
      <c r="X85" s="0" t="s">
        <v>99</v>
      </c>
      <c r="Z85" s="0" t="s">
        <v>79</v>
      </c>
      <c r="AB85" s="0" t="n">
        <v>40000</v>
      </c>
      <c r="AD85" s="0" t="n">
        <v>5000</v>
      </c>
      <c r="AE85" s="0" t="s">
        <v>60</v>
      </c>
      <c r="AF85" s="1" t="n">
        <v>45986</v>
      </c>
      <c r="AI85" s="0" t="s">
        <v>101</v>
      </c>
      <c r="AJ85" s="0" t="s">
        <v>63</v>
      </c>
      <c r="AK85" s="0" t="s">
        <v>50</v>
      </c>
      <c r="AL85" s="0" t="s">
        <v>63</v>
      </c>
      <c r="AM85" s="0" t="s">
        <v>64</v>
      </c>
      <c r="AN85" s="0" t="s">
        <v>190</v>
      </c>
    </row>
    <row r="86" customFormat="false" ht="15" hidden="false" customHeight="false" outlineLevel="0" collapsed="false">
      <c r="A86" s="1" t="n">
        <v>45818</v>
      </c>
      <c r="B86" s="0" t="s">
        <v>356</v>
      </c>
      <c r="C86" s="0" t="s">
        <v>66</v>
      </c>
      <c r="D86" s="0" t="n">
        <v>8058034735</v>
      </c>
      <c r="E86" s="0" t="s">
        <v>139</v>
      </c>
      <c r="F86" s="0" t="s">
        <v>357</v>
      </c>
      <c r="G86" s="0" t="s">
        <v>87</v>
      </c>
      <c r="H86" s="0" t="s">
        <v>135</v>
      </c>
      <c r="I86" s="0" t="s">
        <v>154</v>
      </c>
      <c r="K86" s="0" t="n">
        <v>52854</v>
      </c>
      <c r="L86" s="0" t="s">
        <v>124</v>
      </c>
      <c r="M86" s="0" t="s">
        <v>50</v>
      </c>
      <c r="N86" s="0" t="n">
        <v>1</v>
      </c>
      <c r="O86" s="0" t="n">
        <v>3.8</v>
      </c>
      <c r="Q86" s="0" t="s">
        <v>52</v>
      </c>
      <c r="R86" s="0" t="s">
        <v>159</v>
      </c>
      <c r="S86" s="0" t="s">
        <v>95</v>
      </c>
      <c r="T86" s="0" t="n">
        <v>30</v>
      </c>
      <c r="U86" s="0" t="s">
        <v>96</v>
      </c>
      <c r="V86" s="0" t="s">
        <v>77</v>
      </c>
      <c r="W86" s="0" t="s">
        <v>128</v>
      </c>
      <c r="X86" s="0" t="s">
        <v>99</v>
      </c>
      <c r="Z86" s="0" t="s">
        <v>129</v>
      </c>
      <c r="AA86" s="0" t="n">
        <v>30000</v>
      </c>
      <c r="AB86" s="0" t="n">
        <v>35000</v>
      </c>
      <c r="AC86" s="0" t="s">
        <v>61</v>
      </c>
      <c r="AD86" s="0" t="n">
        <v>10000</v>
      </c>
      <c r="AE86" s="0" t="s">
        <v>60</v>
      </c>
      <c r="AF86" s="1" t="n">
        <v>45847</v>
      </c>
      <c r="AI86" s="0" t="s">
        <v>101</v>
      </c>
      <c r="AJ86" s="0" t="s">
        <v>62</v>
      </c>
      <c r="AK86" s="0" t="s">
        <v>50</v>
      </c>
      <c r="AL86" s="0" t="s">
        <v>102</v>
      </c>
      <c r="AM86" s="0" t="s">
        <v>103</v>
      </c>
      <c r="AN86" s="0" t="s">
        <v>198</v>
      </c>
    </row>
    <row r="87" customFormat="false" ht="15" hidden="false" customHeight="false" outlineLevel="0" collapsed="false">
      <c r="A87" s="1" t="n">
        <v>45665</v>
      </c>
      <c r="B87" s="0" t="s">
        <v>358</v>
      </c>
      <c r="C87" s="0" t="s">
        <v>42</v>
      </c>
      <c r="D87" s="0" t="n">
        <v>8014028892</v>
      </c>
      <c r="E87" s="0" t="s">
        <v>43</v>
      </c>
      <c r="F87" s="0" t="s">
        <v>359</v>
      </c>
      <c r="G87" s="0" t="s">
        <v>134</v>
      </c>
      <c r="H87" s="0" t="s">
        <v>272</v>
      </c>
      <c r="I87" s="0" t="s">
        <v>142</v>
      </c>
      <c r="J87" s="0" t="s">
        <v>48</v>
      </c>
      <c r="K87" s="0" t="n">
        <v>96146</v>
      </c>
      <c r="L87" s="0" t="s">
        <v>49</v>
      </c>
      <c r="M87" s="0" t="s">
        <v>50</v>
      </c>
      <c r="N87" s="0" t="n">
        <v>1</v>
      </c>
      <c r="O87" s="0" t="n">
        <v>4.8</v>
      </c>
      <c r="P87" s="0" t="s">
        <v>111</v>
      </c>
      <c r="Q87" s="0" t="s">
        <v>73</v>
      </c>
      <c r="R87" s="0" t="s">
        <v>74</v>
      </c>
      <c r="S87" s="0" t="s">
        <v>95</v>
      </c>
      <c r="T87" s="0" t="n">
        <v>15</v>
      </c>
      <c r="U87" s="0" t="s">
        <v>76</v>
      </c>
      <c r="V87" s="0" t="s">
        <v>56</v>
      </c>
      <c r="W87" s="0" t="s">
        <v>78</v>
      </c>
      <c r="X87" s="0" t="s">
        <v>196</v>
      </c>
      <c r="Y87" s="0" t="s">
        <v>197</v>
      </c>
      <c r="Z87" s="0" t="s">
        <v>149</v>
      </c>
      <c r="AA87" s="0" t="n">
        <v>15000</v>
      </c>
      <c r="AB87" s="0" t="n">
        <v>20000</v>
      </c>
      <c r="AC87" s="0" t="s">
        <v>82</v>
      </c>
      <c r="AD87" s="0" t="n">
        <v>10000</v>
      </c>
      <c r="AE87" s="0" t="s">
        <v>80</v>
      </c>
      <c r="AF87" s="0" t="s">
        <v>360</v>
      </c>
      <c r="AG87" s="0" t="s">
        <v>82</v>
      </c>
      <c r="AH87" s="0" t="s">
        <v>116</v>
      </c>
      <c r="AI87" s="0" t="s">
        <v>101</v>
      </c>
      <c r="AJ87" s="0" t="s">
        <v>62</v>
      </c>
      <c r="AM87" s="0" t="s">
        <v>103</v>
      </c>
      <c r="AN87" s="0" t="s">
        <v>190</v>
      </c>
    </row>
    <row r="88" customFormat="false" ht="15" hidden="false" customHeight="false" outlineLevel="0" collapsed="false">
      <c r="A88" s="1" t="n">
        <v>45806</v>
      </c>
      <c r="B88" s="0" t="s">
        <v>361</v>
      </c>
      <c r="C88" s="0" t="s">
        <v>163</v>
      </c>
      <c r="D88" s="0" t="n">
        <v>8084449447</v>
      </c>
      <c r="E88" s="0" t="s">
        <v>139</v>
      </c>
      <c r="F88" s="0" t="s">
        <v>362</v>
      </c>
      <c r="G88" s="0" t="s">
        <v>69</v>
      </c>
      <c r="H88" s="0" t="s">
        <v>165</v>
      </c>
      <c r="I88" s="0" t="s">
        <v>89</v>
      </c>
      <c r="J88" s="0" t="s">
        <v>71</v>
      </c>
      <c r="K88" s="0" t="n">
        <v>86700</v>
      </c>
      <c r="L88" s="0" t="s">
        <v>91</v>
      </c>
      <c r="M88" s="0" t="s">
        <v>63</v>
      </c>
      <c r="N88" s="0" t="n">
        <v>5</v>
      </c>
      <c r="O88" s="0" t="n">
        <v>2</v>
      </c>
      <c r="P88" s="0" t="s">
        <v>51</v>
      </c>
      <c r="Q88" s="0" t="s">
        <v>52</v>
      </c>
      <c r="R88" s="0" t="s">
        <v>94</v>
      </c>
      <c r="S88" s="0" t="s">
        <v>54</v>
      </c>
      <c r="T88" s="0" t="n">
        <v>15</v>
      </c>
      <c r="U88" s="0" t="s">
        <v>55</v>
      </c>
      <c r="V88" s="0" t="s">
        <v>148</v>
      </c>
      <c r="W88" s="0" t="s">
        <v>98</v>
      </c>
      <c r="X88" s="0" t="s">
        <v>137</v>
      </c>
      <c r="Y88" s="0" t="s">
        <v>177</v>
      </c>
      <c r="AA88" s="0" t="n">
        <v>25000</v>
      </c>
      <c r="AB88" s="0" t="n">
        <v>40000</v>
      </c>
      <c r="AC88" s="0" t="s">
        <v>63</v>
      </c>
      <c r="AE88" s="0" t="s">
        <v>80</v>
      </c>
      <c r="AF88" s="1" t="n">
        <v>45838</v>
      </c>
      <c r="AG88" s="0" t="s">
        <v>63</v>
      </c>
      <c r="AI88" s="0" t="s">
        <v>101</v>
      </c>
      <c r="AJ88" s="0" t="s">
        <v>62</v>
      </c>
      <c r="AK88" s="0" t="s">
        <v>50</v>
      </c>
      <c r="AM88" s="0" t="s">
        <v>83</v>
      </c>
      <c r="AN88" s="0" t="s">
        <v>198</v>
      </c>
    </row>
    <row r="89" customFormat="false" ht="15" hidden="false" customHeight="false" outlineLevel="0" collapsed="false">
      <c r="A89" s="1" t="n">
        <v>45724</v>
      </c>
      <c r="B89" s="0" t="s">
        <v>363</v>
      </c>
      <c r="C89" s="0" t="s">
        <v>121</v>
      </c>
      <c r="D89" s="0" t="n">
        <v>8025460445</v>
      </c>
      <c r="E89" s="0" t="s">
        <v>139</v>
      </c>
      <c r="F89" s="0" t="s">
        <v>364</v>
      </c>
      <c r="G89" s="0" t="s">
        <v>45</v>
      </c>
      <c r="H89" s="0" t="s">
        <v>88</v>
      </c>
      <c r="I89" s="0" t="s">
        <v>47</v>
      </c>
      <c r="K89" s="0" t="n">
        <v>19877</v>
      </c>
      <c r="L89" s="0" t="s">
        <v>110</v>
      </c>
      <c r="M89" s="0" t="s">
        <v>63</v>
      </c>
      <c r="N89" s="0" t="n">
        <v>4</v>
      </c>
      <c r="O89" s="0" t="n">
        <v>3.2</v>
      </c>
      <c r="P89" s="0" t="s">
        <v>125</v>
      </c>
      <c r="Q89" s="0" t="s">
        <v>73</v>
      </c>
      <c r="S89" s="0" t="s">
        <v>75</v>
      </c>
      <c r="U89" s="0" t="s">
        <v>76</v>
      </c>
      <c r="V89" s="0" t="s">
        <v>97</v>
      </c>
      <c r="W89" s="0" t="s">
        <v>128</v>
      </c>
      <c r="X89" s="0" t="s">
        <v>58</v>
      </c>
      <c r="Z89" s="0" t="s">
        <v>143</v>
      </c>
      <c r="AA89" s="0" t="s">
        <v>150</v>
      </c>
      <c r="AB89" s="0" t="n">
        <v>30000</v>
      </c>
      <c r="AC89" s="0" t="s">
        <v>82</v>
      </c>
      <c r="AD89" s="0" t="s">
        <v>115</v>
      </c>
      <c r="AE89" s="0" t="s">
        <v>80</v>
      </c>
      <c r="AG89" s="0" t="s">
        <v>82</v>
      </c>
      <c r="AH89" s="0" t="s">
        <v>116</v>
      </c>
      <c r="AI89" s="0" t="s">
        <v>101</v>
      </c>
      <c r="AJ89" s="0" t="s">
        <v>62</v>
      </c>
      <c r="AM89" s="0" t="s">
        <v>103</v>
      </c>
      <c r="AN89" s="0" t="s">
        <v>190</v>
      </c>
    </row>
    <row r="90" customFormat="false" ht="15" hidden="false" customHeight="false" outlineLevel="0" collapsed="false">
      <c r="A90" s="1" t="n">
        <v>45662</v>
      </c>
      <c r="B90" s="0" t="s">
        <v>365</v>
      </c>
      <c r="C90" s="0" t="s">
        <v>66</v>
      </c>
      <c r="D90" s="0" t="n">
        <v>8029112869</v>
      </c>
      <c r="E90" s="0" t="s">
        <v>43</v>
      </c>
      <c r="F90" s="0" t="s">
        <v>366</v>
      </c>
      <c r="G90" s="0" t="s">
        <v>69</v>
      </c>
      <c r="H90" s="0" t="s">
        <v>272</v>
      </c>
      <c r="I90" s="0" t="s">
        <v>142</v>
      </c>
      <c r="J90" s="0" t="s">
        <v>48</v>
      </c>
      <c r="K90" s="0" t="n">
        <v>93932</v>
      </c>
      <c r="L90" s="0" t="s">
        <v>72</v>
      </c>
      <c r="M90" s="0" t="s">
        <v>50</v>
      </c>
      <c r="N90" s="0" t="n">
        <v>2</v>
      </c>
      <c r="O90" s="0" t="n">
        <v>3.7</v>
      </c>
      <c r="P90" s="0" t="s">
        <v>111</v>
      </c>
      <c r="Q90" s="0" t="s">
        <v>93</v>
      </c>
      <c r="R90" s="0" t="s">
        <v>53</v>
      </c>
      <c r="S90" s="0" t="s">
        <v>54</v>
      </c>
      <c r="U90" s="0" t="s">
        <v>96</v>
      </c>
      <c r="V90" s="0" t="s">
        <v>148</v>
      </c>
      <c r="W90" s="0" t="s">
        <v>78</v>
      </c>
      <c r="X90" s="0" t="s">
        <v>137</v>
      </c>
      <c r="Y90" s="0" t="s">
        <v>59</v>
      </c>
      <c r="Z90" s="0" t="s">
        <v>161</v>
      </c>
      <c r="AA90" s="0" t="n">
        <v>40000</v>
      </c>
      <c r="AB90" s="0" t="n">
        <v>20000</v>
      </c>
      <c r="AC90" s="0" t="s">
        <v>63</v>
      </c>
      <c r="AE90" s="0" t="s">
        <v>80</v>
      </c>
      <c r="AG90" s="0" t="s">
        <v>50</v>
      </c>
      <c r="AI90" s="0" t="s">
        <v>117</v>
      </c>
      <c r="AJ90" s="0" t="s">
        <v>81</v>
      </c>
      <c r="AK90" s="0" t="s">
        <v>50</v>
      </c>
      <c r="AM90" s="0" t="s">
        <v>103</v>
      </c>
      <c r="AN90" s="0" t="s">
        <v>50</v>
      </c>
    </row>
    <row r="91" customFormat="false" ht="15" hidden="false" customHeight="false" outlineLevel="0" collapsed="false">
      <c r="A91" s="1" t="n">
        <v>45808</v>
      </c>
      <c r="B91" s="0" t="s">
        <v>367</v>
      </c>
      <c r="C91" s="0" t="s">
        <v>163</v>
      </c>
      <c r="D91" s="0" t="n">
        <v>8049000479</v>
      </c>
      <c r="E91" s="0" t="s">
        <v>139</v>
      </c>
      <c r="F91" s="0" t="s">
        <v>368</v>
      </c>
      <c r="G91" s="0" t="s">
        <v>45</v>
      </c>
      <c r="I91" s="0" t="s">
        <v>108</v>
      </c>
      <c r="J91" s="0" t="s">
        <v>109</v>
      </c>
      <c r="K91" s="0" t="n">
        <v>49740</v>
      </c>
      <c r="L91" s="0" t="s">
        <v>110</v>
      </c>
      <c r="M91" s="0" t="s">
        <v>50</v>
      </c>
      <c r="N91" s="0" t="n">
        <v>1</v>
      </c>
      <c r="O91" s="0" t="n">
        <v>5.2</v>
      </c>
      <c r="P91" s="0" t="s">
        <v>111</v>
      </c>
      <c r="Q91" s="0" t="s">
        <v>93</v>
      </c>
      <c r="R91" s="0" t="s">
        <v>74</v>
      </c>
      <c r="S91" s="0" t="s">
        <v>167</v>
      </c>
      <c r="T91" s="0" t="n">
        <v>30</v>
      </c>
      <c r="U91" s="0" t="s">
        <v>96</v>
      </c>
      <c r="V91" s="0" t="s">
        <v>155</v>
      </c>
      <c r="W91" s="0" t="s">
        <v>128</v>
      </c>
      <c r="X91" s="0" t="s">
        <v>137</v>
      </c>
      <c r="Y91" s="0" t="s">
        <v>177</v>
      </c>
      <c r="Z91" s="0" t="s">
        <v>161</v>
      </c>
      <c r="AA91" s="0" t="n">
        <v>40000</v>
      </c>
      <c r="AB91" s="0" t="n">
        <v>35000</v>
      </c>
      <c r="AC91" s="0" t="s">
        <v>61</v>
      </c>
      <c r="AD91" s="0" t="n">
        <v>10000</v>
      </c>
      <c r="AE91" s="0" t="s">
        <v>184</v>
      </c>
      <c r="AF91" s="1" t="n">
        <v>45997</v>
      </c>
      <c r="AG91" s="0" t="s">
        <v>63</v>
      </c>
      <c r="AI91" s="0" t="s">
        <v>101</v>
      </c>
      <c r="AJ91" s="0" t="s">
        <v>50</v>
      </c>
      <c r="AK91" s="0" t="s">
        <v>50</v>
      </c>
      <c r="AL91" s="0" t="s">
        <v>63</v>
      </c>
    </row>
    <row r="92" customFormat="false" ht="15" hidden="false" customHeight="false" outlineLevel="0" collapsed="false">
      <c r="A92" s="1" t="n">
        <v>45776</v>
      </c>
      <c r="B92" s="0" t="s">
        <v>369</v>
      </c>
      <c r="C92" s="0" t="s">
        <v>105</v>
      </c>
      <c r="D92" s="0" t="n">
        <v>8069110577</v>
      </c>
      <c r="E92" s="0" t="s">
        <v>139</v>
      </c>
      <c r="F92" s="0" t="s">
        <v>370</v>
      </c>
      <c r="G92" s="0" t="s">
        <v>134</v>
      </c>
      <c r="H92" s="0" t="s">
        <v>170</v>
      </c>
      <c r="I92" s="0" t="s">
        <v>47</v>
      </c>
      <c r="J92" s="0" t="s">
        <v>109</v>
      </c>
      <c r="K92" s="0" t="n">
        <v>40968</v>
      </c>
      <c r="L92" s="0" t="s">
        <v>124</v>
      </c>
      <c r="M92" s="0" t="s">
        <v>63</v>
      </c>
      <c r="O92" s="0" t="n">
        <v>6</v>
      </c>
      <c r="P92" s="0" t="s">
        <v>92</v>
      </c>
      <c r="Q92" s="0" t="s">
        <v>52</v>
      </c>
      <c r="R92" s="0" t="s">
        <v>53</v>
      </c>
      <c r="S92" s="0" t="s">
        <v>75</v>
      </c>
      <c r="T92" s="0" t="n">
        <v>30</v>
      </c>
      <c r="U92" s="0" t="s">
        <v>112</v>
      </c>
      <c r="V92" s="0" t="s">
        <v>56</v>
      </c>
      <c r="W92" s="0" t="s">
        <v>128</v>
      </c>
      <c r="X92" s="0" t="s">
        <v>99</v>
      </c>
      <c r="Y92" s="0" t="s">
        <v>59</v>
      </c>
      <c r="Z92" s="0" t="s">
        <v>143</v>
      </c>
      <c r="AA92" s="0" t="n">
        <v>30000</v>
      </c>
      <c r="AB92" s="0" t="n">
        <v>20000</v>
      </c>
      <c r="AD92" s="0" t="n">
        <v>5000</v>
      </c>
      <c r="AG92" s="0" t="s">
        <v>50</v>
      </c>
      <c r="AH92" s="0" t="s">
        <v>116</v>
      </c>
      <c r="AI92" s="0" t="s">
        <v>172</v>
      </c>
      <c r="AJ92" s="0" t="s">
        <v>62</v>
      </c>
      <c r="AK92" s="0" t="s">
        <v>82</v>
      </c>
      <c r="AM92" s="0" t="s">
        <v>103</v>
      </c>
      <c r="AN92" s="0" t="s">
        <v>198</v>
      </c>
    </row>
    <row r="93" customFormat="false" ht="15" hidden="false" customHeight="false" outlineLevel="0" collapsed="false">
      <c r="A93" s="0" t="s">
        <v>371</v>
      </c>
      <c r="B93" s="0" t="s">
        <v>372</v>
      </c>
      <c r="C93" s="0" t="s">
        <v>105</v>
      </c>
      <c r="D93" s="0" t="n">
        <v>8036092388</v>
      </c>
      <c r="E93" s="0" t="s">
        <v>122</v>
      </c>
      <c r="F93" s="0" t="s">
        <v>373</v>
      </c>
      <c r="G93" s="0" t="s">
        <v>107</v>
      </c>
      <c r="H93" s="0" t="s">
        <v>170</v>
      </c>
      <c r="I93" s="0" t="s">
        <v>108</v>
      </c>
      <c r="J93" s="0" t="s">
        <v>90</v>
      </c>
      <c r="K93" s="0" t="n">
        <v>82500</v>
      </c>
      <c r="L93" s="0" t="s">
        <v>91</v>
      </c>
      <c r="M93" s="0" t="s">
        <v>63</v>
      </c>
      <c r="N93" s="0" t="n">
        <v>2</v>
      </c>
      <c r="O93" s="0" t="n">
        <v>3.2</v>
      </c>
      <c r="P93" s="0" t="s">
        <v>111</v>
      </c>
      <c r="Q93" s="0" t="s">
        <v>93</v>
      </c>
      <c r="S93" s="0" t="s">
        <v>54</v>
      </c>
      <c r="T93" s="0" t="s">
        <v>127</v>
      </c>
      <c r="U93" s="0" t="s">
        <v>55</v>
      </c>
      <c r="V93" s="0" t="s">
        <v>56</v>
      </c>
      <c r="W93" s="0" t="s">
        <v>128</v>
      </c>
      <c r="X93" s="0" t="s">
        <v>137</v>
      </c>
      <c r="Y93" s="0" t="s">
        <v>59</v>
      </c>
      <c r="Z93" s="0" t="s">
        <v>79</v>
      </c>
      <c r="AA93" s="0" t="n">
        <v>30000</v>
      </c>
      <c r="AB93" s="0" t="n">
        <v>30000</v>
      </c>
      <c r="AC93" s="0" t="s">
        <v>82</v>
      </c>
      <c r="AD93" s="0" t="n">
        <v>0</v>
      </c>
      <c r="AE93" s="0" t="s">
        <v>80</v>
      </c>
      <c r="AF93" s="1" t="n">
        <v>45876</v>
      </c>
      <c r="AG93" s="0" t="s">
        <v>82</v>
      </c>
      <c r="AJ93" s="0" t="s">
        <v>63</v>
      </c>
      <c r="AK93" s="0" t="s">
        <v>50</v>
      </c>
      <c r="AL93" s="0" t="s">
        <v>50</v>
      </c>
      <c r="AM93" s="0" t="s">
        <v>64</v>
      </c>
      <c r="AN93" s="0" t="s">
        <v>50</v>
      </c>
    </row>
    <row r="94" customFormat="false" ht="15" hidden="false" customHeight="false" outlineLevel="0" collapsed="false">
      <c r="A94" s="1" t="n">
        <v>45719</v>
      </c>
      <c r="B94" s="0" t="s">
        <v>374</v>
      </c>
      <c r="C94" s="0" t="s">
        <v>42</v>
      </c>
      <c r="D94" s="0" t="n">
        <v>8094736292</v>
      </c>
      <c r="E94" s="0" t="s">
        <v>85</v>
      </c>
      <c r="F94" s="0" t="s">
        <v>375</v>
      </c>
      <c r="G94" s="0" t="s">
        <v>107</v>
      </c>
      <c r="H94" s="0" t="s">
        <v>88</v>
      </c>
      <c r="I94" s="0" t="s">
        <v>47</v>
      </c>
      <c r="K94" s="0" t="n">
        <v>82175</v>
      </c>
      <c r="L94" s="0" t="s">
        <v>166</v>
      </c>
      <c r="M94" s="0" t="s">
        <v>63</v>
      </c>
      <c r="N94" s="0" t="n">
        <v>1</v>
      </c>
      <c r="O94" s="0" t="n">
        <v>3.8</v>
      </c>
      <c r="Q94" s="0" t="s">
        <v>52</v>
      </c>
      <c r="R94" s="0" t="s">
        <v>136</v>
      </c>
      <c r="S94" s="0" t="s">
        <v>75</v>
      </c>
      <c r="T94" s="0" t="n">
        <v>60</v>
      </c>
      <c r="U94" s="0" t="s">
        <v>96</v>
      </c>
      <c r="V94" s="0" t="s">
        <v>97</v>
      </c>
      <c r="W94" s="0" t="s">
        <v>78</v>
      </c>
      <c r="X94" s="0" t="s">
        <v>99</v>
      </c>
      <c r="AA94" s="0" t="n">
        <v>30000</v>
      </c>
      <c r="AB94" s="0" t="n">
        <v>35000</v>
      </c>
      <c r="AC94" s="0" t="s">
        <v>82</v>
      </c>
      <c r="AD94" s="0" t="n">
        <v>5000</v>
      </c>
      <c r="AE94" s="0" t="s">
        <v>184</v>
      </c>
      <c r="AF94" s="0" t="s">
        <v>376</v>
      </c>
      <c r="AH94" s="0" t="s">
        <v>116</v>
      </c>
      <c r="AJ94" s="0" t="s">
        <v>62</v>
      </c>
      <c r="AM94" s="0" t="s">
        <v>64</v>
      </c>
      <c r="AN94" s="0" t="s">
        <v>63</v>
      </c>
    </row>
    <row r="95" customFormat="false" ht="15" hidden="false" customHeight="false" outlineLevel="0" collapsed="false">
      <c r="A95" s="1" t="n">
        <v>45996</v>
      </c>
      <c r="B95" s="0" t="s">
        <v>377</v>
      </c>
      <c r="C95" s="0" t="s">
        <v>66</v>
      </c>
      <c r="D95" s="0" t="n">
        <v>8088609496</v>
      </c>
      <c r="E95" s="0" t="s">
        <v>43</v>
      </c>
      <c r="F95" s="0" t="s">
        <v>378</v>
      </c>
      <c r="G95" s="0" t="s">
        <v>134</v>
      </c>
      <c r="H95" s="0" t="s">
        <v>46</v>
      </c>
      <c r="I95" s="0" t="s">
        <v>189</v>
      </c>
      <c r="J95" s="0" t="s">
        <v>90</v>
      </c>
      <c r="K95" s="0" t="n">
        <v>28857</v>
      </c>
      <c r="L95" s="0" t="s">
        <v>110</v>
      </c>
      <c r="M95" s="0" t="s">
        <v>63</v>
      </c>
      <c r="N95" s="0" t="n">
        <v>4</v>
      </c>
      <c r="O95" s="0" t="n">
        <v>3.5</v>
      </c>
      <c r="P95" s="0" t="s">
        <v>125</v>
      </c>
      <c r="Q95" s="0" t="s">
        <v>52</v>
      </c>
      <c r="R95" s="0" t="s">
        <v>94</v>
      </c>
      <c r="S95" s="0" t="s">
        <v>147</v>
      </c>
      <c r="T95" s="0" t="n">
        <v>30</v>
      </c>
      <c r="U95" s="0" t="s">
        <v>55</v>
      </c>
      <c r="V95" s="0" t="s">
        <v>155</v>
      </c>
      <c r="W95" s="0" t="s">
        <v>98</v>
      </c>
      <c r="X95" s="0" t="s">
        <v>58</v>
      </c>
      <c r="Y95" s="0" t="s">
        <v>197</v>
      </c>
      <c r="Z95" s="0" t="s">
        <v>161</v>
      </c>
      <c r="AA95" s="0" t="n">
        <v>15000</v>
      </c>
      <c r="AB95" s="0" t="n">
        <v>40000</v>
      </c>
      <c r="AC95" s="0" t="s">
        <v>61</v>
      </c>
      <c r="AD95" s="0" t="n">
        <v>0</v>
      </c>
      <c r="AE95" s="0" t="s">
        <v>184</v>
      </c>
      <c r="AF95" s="1" t="n">
        <v>45920</v>
      </c>
      <c r="AG95" s="0" t="s">
        <v>82</v>
      </c>
      <c r="AJ95" s="0" t="s">
        <v>63</v>
      </c>
      <c r="AK95" s="0" t="s">
        <v>61</v>
      </c>
      <c r="AM95" s="0" t="s">
        <v>64</v>
      </c>
      <c r="AN95" s="0" t="s">
        <v>63</v>
      </c>
    </row>
    <row r="96" customFormat="false" ht="15" hidden="false" customHeight="false" outlineLevel="0" collapsed="false">
      <c r="A96" s="1" t="n">
        <v>45802</v>
      </c>
      <c r="B96" s="0" t="s">
        <v>379</v>
      </c>
      <c r="C96" s="0" t="s">
        <v>66</v>
      </c>
      <c r="D96" s="0" t="n">
        <v>8058306200</v>
      </c>
      <c r="E96" s="0" t="s">
        <v>43</v>
      </c>
      <c r="F96" s="0" t="s">
        <v>380</v>
      </c>
      <c r="G96" s="0" t="s">
        <v>45</v>
      </c>
      <c r="H96" s="0" t="s">
        <v>165</v>
      </c>
      <c r="I96" s="0" t="s">
        <v>108</v>
      </c>
      <c r="J96" s="0" t="s">
        <v>48</v>
      </c>
      <c r="K96" s="0" t="n">
        <v>40992</v>
      </c>
      <c r="L96" s="0" t="s">
        <v>49</v>
      </c>
      <c r="M96" s="0" t="s">
        <v>63</v>
      </c>
      <c r="N96" s="0" t="n">
        <v>1</v>
      </c>
      <c r="O96" s="0" t="n">
        <v>3.4</v>
      </c>
      <c r="Q96" s="0" t="s">
        <v>93</v>
      </c>
      <c r="S96" s="0" t="s">
        <v>167</v>
      </c>
      <c r="T96" s="0" t="n">
        <v>30</v>
      </c>
      <c r="U96" s="0" t="s">
        <v>96</v>
      </c>
      <c r="V96" s="0" t="s">
        <v>155</v>
      </c>
      <c r="W96" s="0" t="s">
        <v>113</v>
      </c>
      <c r="X96" s="0" t="s">
        <v>99</v>
      </c>
      <c r="Y96" s="0" t="s">
        <v>156</v>
      </c>
      <c r="Z96" s="0" t="s">
        <v>143</v>
      </c>
      <c r="AA96" s="0" t="n">
        <v>40000</v>
      </c>
      <c r="AB96" s="0" t="n">
        <v>35000</v>
      </c>
      <c r="AC96" s="0" t="s">
        <v>63</v>
      </c>
      <c r="AD96" s="0" t="n">
        <v>10000</v>
      </c>
      <c r="AG96" s="0" t="s">
        <v>50</v>
      </c>
      <c r="AI96" s="0" t="s">
        <v>117</v>
      </c>
      <c r="AJ96" s="0" t="s">
        <v>50</v>
      </c>
      <c r="AL96" s="0" t="s">
        <v>63</v>
      </c>
      <c r="AM96" s="0" t="s">
        <v>64</v>
      </c>
      <c r="AN96" s="0" t="s">
        <v>190</v>
      </c>
    </row>
    <row r="97" customFormat="false" ht="15" hidden="false" customHeight="false" outlineLevel="0" collapsed="false">
      <c r="A97" s="1" t="n">
        <v>45695</v>
      </c>
      <c r="B97" s="0" t="s">
        <v>381</v>
      </c>
      <c r="C97" s="0" t="s">
        <v>42</v>
      </c>
      <c r="D97" s="0" t="n">
        <v>8015892805</v>
      </c>
      <c r="E97" s="0" t="s">
        <v>67</v>
      </c>
      <c r="F97" s="0" t="s">
        <v>382</v>
      </c>
      <c r="G97" s="0" t="s">
        <v>134</v>
      </c>
      <c r="H97" s="0" t="s">
        <v>153</v>
      </c>
      <c r="I97" s="0" t="s">
        <v>142</v>
      </c>
      <c r="J97" s="0" t="s">
        <v>71</v>
      </c>
      <c r="K97" s="0" t="n">
        <v>31831</v>
      </c>
      <c r="L97" s="0" t="s">
        <v>166</v>
      </c>
      <c r="M97" s="0" t="s">
        <v>63</v>
      </c>
      <c r="N97" s="0" t="n">
        <v>4</v>
      </c>
      <c r="O97" s="0" t="n">
        <v>4.6</v>
      </c>
      <c r="Q97" s="0" t="s">
        <v>93</v>
      </c>
      <c r="R97" s="0" t="s">
        <v>94</v>
      </c>
      <c r="S97" s="0" t="s">
        <v>126</v>
      </c>
      <c r="T97" s="0" t="n">
        <v>30</v>
      </c>
      <c r="U97" s="0" t="s">
        <v>160</v>
      </c>
      <c r="V97" s="0" t="s">
        <v>148</v>
      </c>
      <c r="W97" s="0" t="s">
        <v>113</v>
      </c>
      <c r="X97" s="0" t="s">
        <v>114</v>
      </c>
      <c r="Y97" s="0" t="s">
        <v>59</v>
      </c>
      <c r="Z97" s="0" t="s">
        <v>79</v>
      </c>
      <c r="AA97" s="0" t="n">
        <v>40000</v>
      </c>
      <c r="AC97" s="0" t="s">
        <v>82</v>
      </c>
      <c r="AD97" s="0" t="s">
        <v>115</v>
      </c>
      <c r="AE97" s="0" t="s">
        <v>80</v>
      </c>
      <c r="AF97" s="1" t="n">
        <v>45936</v>
      </c>
      <c r="AG97" s="0" t="s">
        <v>82</v>
      </c>
      <c r="AH97" s="0" t="s">
        <v>171</v>
      </c>
      <c r="AI97" s="0" t="s">
        <v>172</v>
      </c>
      <c r="AJ97" s="0" t="s">
        <v>62</v>
      </c>
      <c r="AL97" s="0" t="s">
        <v>63</v>
      </c>
      <c r="AM97" s="0" t="s">
        <v>103</v>
      </c>
      <c r="AN97" s="0" t="s">
        <v>50</v>
      </c>
    </row>
    <row r="98" customFormat="false" ht="15" hidden="false" customHeight="false" outlineLevel="0" collapsed="false">
      <c r="A98" s="1" t="n">
        <v>45714</v>
      </c>
      <c r="B98" s="0" t="s">
        <v>383</v>
      </c>
      <c r="C98" s="0" t="s">
        <v>42</v>
      </c>
      <c r="D98" s="0" t="n">
        <v>8013984330</v>
      </c>
      <c r="E98" s="0" t="s">
        <v>85</v>
      </c>
      <c r="F98" s="0" t="s">
        <v>384</v>
      </c>
      <c r="G98" s="0" t="s">
        <v>87</v>
      </c>
      <c r="H98" s="0" t="s">
        <v>153</v>
      </c>
      <c r="I98" s="0" t="s">
        <v>47</v>
      </c>
      <c r="K98" s="0" t="n">
        <v>52611</v>
      </c>
      <c r="L98" s="0" t="s">
        <v>91</v>
      </c>
      <c r="M98" s="0" t="s">
        <v>50</v>
      </c>
      <c r="N98" s="0" t="n">
        <v>3</v>
      </c>
      <c r="O98" s="0" t="n">
        <v>1.1</v>
      </c>
      <c r="P98" s="0" t="s">
        <v>92</v>
      </c>
      <c r="Q98" s="0" t="s">
        <v>93</v>
      </c>
      <c r="R98" s="0" t="s">
        <v>94</v>
      </c>
      <c r="S98" s="0" t="s">
        <v>95</v>
      </c>
      <c r="T98" s="0" t="n">
        <v>30</v>
      </c>
      <c r="U98" s="0" t="s">
        <v>96</v>
      </c>
      <c r="V98" s="0" t="s">
        <v>56</v>
      </c>
      <c r="W98" s="0" t="s">
        <v>128</v>
      </c>
      <c r="X98" s="0" t="s">
        <v>137</v>
      </c>
      <c r="Y98" s="0" t="s">
        <v>197</v>
      </c>
      <c r="Z98" s="0" t="s">
        <v>79</v>
      </c>
      <c r="AA98" s="0" t="n">
        <v>15000</v>
      </c>
      <c r="AB98" s="0" t="s">
        <v>178</v>
      </c>
      <c r="AC98" s="0" t="s">
        <v>82</v>
      </c>
      <c r="AD98" s="0" t="n">
        <v>0</v>
      </c>
      <c r="AE98" s="0" t="s">
        <v>80</v>
      </c>
      <c r="AF98" s="1" t="n">
        <v>45913</v>
      </c>
      <c r="AG98" s="0" t="s">
        <v>63</v>
      </c>
      <c r="AK98" s="0" t="s">
        <v>61</v>
      </c>
      <c r="AM98" s="0" t="s">
        <v>64</v>
      </c>
      <c r="AN98" s="0" t="s">
        <v>63</v>
      </c>
    </row>
    <row r="99" customFormat="false" ht="15" hidden="false" customHeight="false" outlineLevel="0" collapsed="false">
      <c r="A99" s="1" t="n">
        <v>45725</v>
      </c>
      <c r="B99" s="0" t="s">
        <v>385</v>
      </c>
      <c r="C99" s="0" t="s">
        <v>163</v>
      </c>
      <c r="D99" s="0" t="n">
        <v>8036725819</v>
      </c>
      <c r="E99" s="0" t="s">
        <v>139</v>
      </c>
      <c r="F99" s="0" t="s">
        <v>386</v>
      </c>
      <c r="G99" s="0" t="s">
        <v>107</v>
      </c>
      <c r="H99" s="0" t="s">
        <v>141</v>
      </c>
      <c r="I99" s="0" t="s">
        <v>189</v>
      </c>
      <c r="J99" s="0" t="s">
        <v>109</v>
      </c>
      <c r="K99" s="0" t="n">
        <v>95631</v>
      </c>
      <c r="L99" s="0" t="s">
        <v>91</v>
      </c>
      <c r="M99" s="0" t="s">
        <v>50</v>
      </c>
      <c r="N99" s="0" t="n">
        <v>3</v>
      </c>
      <c r="O99" s="0" t="n">
        <v>1.6</v>
      </c>
      <c r="P99" s="0" t="s">
        <v>125</v>
      </c>
      <c r="Q99" s="0" t="s">
        <v>73</v>
      </c>
      <c r="S99" s="0" t="s">
        <v>167</v>
      </c>
      <c r="T99" s="0" t="n">
        <v>45</v>
      </c>
      <c r="U99" s="0" t="s">
        <v>160</v>
      </c>
      <c r="V99" s="0" t="s">
        <v>97</v>
      </c>
      <c r="W99" s="0" t="s">
        <v>98</v>
      </c>
      <c r="X99" s="0" t="s">
        <v>114</v>
      </c>
      <c r="Z99" s="0" t="s">
        <v>79</v>
      </c>
      <c r="AA99" s="0" t="n">
        <v>15000</v>
      </c>
      <c r="AB99" s="0" t="n">
        <v>30000</v>
      </c>
      <c r="AC99" s="0" t="s">
        <v>61</v>
      </c>
      <c r="AD99" s="0" t="n">
        <v>5000</v>
      </c>
      <c r="AE99" s="0" t="s">
        <v>80</v>
      </c>
      <c r="AF99" s="1" t="n">
        <v>45949</v>
      </c>
      <c r="AG99" s="0" t="s">
        <v>61</v>
      </c>
      <c r="AH99" s="0" t="s">
        <v>116</v>
      </c>
      <c r="AI99" s="0" t="s">
        <v>117</v>
      </c>
      <c r="AJ99" s="0" t="s">
        <v>62</v>
      </c>
      <c r="AK99" s="0" t="s">
        <v>63</v>
      </c>
      <c r="AM99" s="0" t="s">
        <v>64</v>
      </c>
      <c r="AN99" s="0" t="s">
        <v>50</v>
      </c>
    </row>
    <row r="100" customFormat="false" ht="15" hidden="false" customHeight="false" outlineLevel="0" collapsed="false">
      <c r="A100" s="0" t="s">
        <v>387</v>
      </c>
      <c r="B100" s="0" t="s">
        <v>388</v>
      </c>
      <c r="C100" s="0" t="s">
        <v>163</v>
      </c>
      <c r="D100" s="0" t="n">
        <v>8036551621</v>
      </c>
      <c r="E100" s="0" t="s">
        <v>122</v>
      </c>
      <c r="F100" s="0" t="s">
        <v>389</v>
      </c>
      <c r="G100" s="0" t="s">
        <v>87</v>
      </c>
      <c r="H100" s="0" t="s">
        <v>146</v>
      </c>
      <c r="I100" s="0" t="s">
        <v>142</v>
      </c>
      <c r="J100" s="0" t="s">
        <v>90</v>
      </c>
      <c r="K100" s="0" t="n">
        <v>57669</v>
      </c>
      <c r="L100" s="0" t="s">
        <v>110</v>
      </c>
      <c r="M100" s="0" t="s">
        <v>63</v>
      </c>
      <c r="N100" s="0" t="n">
        <v>5</v>
      </c>
      <c r="O100" s="0" t="n">
        <v>3.4</v>
      </c>
      <c r="P100" s="0" t="s">
        <v>51</v>
      </c>
      <c r="Q100" s="0" t="s">
        <v>73</v>
      </c>
      <c r="R100" s="0" t="s">
        <v>74</v>
      </c>
      <c r="S100" s="0" t="s">
        <v>95</v>
      </c>
      <c r="T100" s="0" t="n">
        <v>15</v>
      </c>
      <c r="U100" s="0" t="s">
        <v>55</v>
      </c>
      <c r="V100" s="0" t="s">
        <v>155</v>
      </c>
      <c r="W100" s="0" t="s">
        <v>57</v>
      </c>
      <c r="X100" s="0" t="s">
        <v>58</v>
      </c>
      <c r="Z100" s="0" t="s">
        <v>79</v>
      </c>
      <c r="AA100" s="0" t="n">
        <v>30000</v>
      </c>
      <c r="AB100" s="0" t="n">
        <v>40000</v>
      </c>
      <c r="AC100" s="0" t="s">
        <v>50</v>
      </c>
      <c r="AG100" s="0" t="s">
        <v>82</v>
      </c>
      <c r="AH100" s="0" t="s">
        <v>171</v>
      </c>
      <c r="AI100" s="0" t="s">
        <v>172</v>
      </c>
      <c r="AJ100" s="0" t="s">
        <v>63</v>
      </c>
      <c r="AK100" s="0" t="s">
        <v>82</v>
      </c>
      <c r="AM100" s="0" t="s">
        <v>103</v>
      </c>
    </row>
    <row r="101" customFormat="false" ht="15" hidden="false" customHeight="false" outlineLevel="0" collapsed="false">
      <c r="A101" s="1" t="n">
        <v>45778</v>
      </c>
      <c r="B101" s="0" t="s">
        <v>390</v>
      </c>
      <c r="C101" s="0" t="s">
        <v>121</v>
      </c>
      <c r="D101" s="0" t="n">
        <v>8048131375</v>
      </c>
      <c r="E101" s="0" t="s">
        <v>67</v>
      </c>
      <c r="F101" s="0" t="s">
        <v>391</v>
      </c>
      <c r="G101" s="0" t="s">
        <v>107</v>
      </c>
      <c r="H101" s="0" t="s">
        <v>165</v>
      </c>
      <c r="I101" s="0" t="s">
        <v>154</v>
      </c>
      <c r="J101" s="0" t="s">
        <v>109</v>
      </c>
      <c r="K101" s="0" t="n">
        <v>102074</v>
      </c>
      <c r="L101" s="0" t="s">
        <v>72</v>
      </c>
      <c r="M101" s="0" t="s">
        <v>63</v>
      </c>
      <c r="N101" s="0" t="n">
        <v>3</v>
      </c>
      <c r="O101" s="0" t="n">
        <v>3.1</v>
      </c>
      <c r="P101" s="0" t="s">
        <v>51</v>
      </c>
      <c r="Q101" s="0" t="s">
        <v>52</v>
      </c>
      <c r="R101" s="0" t="s">
        <v>94</v>
      </c>
      <c r="S101" s="0" t="s">
        <v>54</v>
      </c>
      <c r="T101" s="0" t="n">
        <v>15</v>
      </c>
      <c r="U101" s="0" t="s">
        <v>112</v>
      </c>
      <c r="V101" s="0" t="s">
        <v>155</v>
      </c>
      <c r="W101" s="0" t="s">
        <v>128</v>
      </c>
      <c r="X101" s="0" t="s">
        <v>137</v>
      </c>
      <c r="Z101" s="0" t="s">
        <v>161</v>
      </c>
      <c r="AA101" s="0" t="n">
        <v>15000</v>
      </c>
      <c r="AB101" s="0" t="n">
        <v>40000</v>
      </c>
      <c r="AC101" s="0" t="s">
        <v>61</v>
      </c>
      <c r="AD101" s="0" t="s">
        <v>115</v>
      </c>
      <c r="AE101" s="0" t="s">
        <v>184</v>
      </c>
      <c r="AG101" s="0" t="s">
        <v>82</v>
      </c>
      <c r="AH101" s="0" t="s">
        <v>171</v>
      </c>
      <c r="AJ101" s="0" t="s">
        <v>62</v>
      </c>
      <c r="AK101" s="0" t="s">
        <v>50</v>
      </c>
      <c r="AL101" s="0" t="s">
        <v>102</v>
      </c>
      <c r="AM101" s="0" t="s">
        <v>83</v>
      </c>
      <c r="AN101" s="0" t="s">
        <v>190</v>
      </c>
    </row>
    <row r="102" customFormat="false" ht="15" hidden="false" customHeight="false" outlineLevel="0" collapsed="false">
      <c r="A102" s="1" t="n">
        <v>45791</v>
      </c>
      <c r="B102" s="0" t="s">
        <v>392</v>
      </c>
      <c r="C102" s="0" t="s">
        <v>42</v>
      </c>
      <c r="D102" s="0" t="n">
        <v>8033373562</v>
      </c>
      <c r="E102" s="0" t="s">
        <v>43</v>
      </c>
      <c r="F102" s="0" t="s">
        <v>393</v>
      </c>
      <c r="G102" s="0" t="s">
        <v>87</v>
      </c>
      <c r="H102" s="0" t="s">
        <v>146</v>
      </c>
      <c r="I102" s="0" t="s">
        <v>142</v>
      </c>
      <c r="J102" s="0" t="s">
        <v>109</v>
      </c>
      <c r="K102" s="0" t="n">
        <v>42049</v>
      </c>
      <c r="L102" s="0" t="s">
        <v>124</v>
      </c>
      <c r="M102" s="0" t="s">
        <v>63</v>
      </c>
      <c r="N102" s="0" t="n">
        <v>2</v>
      </c>
      <c r="O102" s="0" t="n">
        <v>4.2</v>
      </c>
      <c r="P102" s="0" t="s">
        <v>51</v>
      </c>
      <c r="Q102" s="0" t="s">
        <v>93</v>
      </c>
      <c r="R102" s="0" t="s">
        <v>53</v>
      </c>
      <c r="S102" s="0" t="s">
        <v>54</v>
      </c>
      <c r="T102" s="0" t="n">
        <v>45</v>
      </c>
      <c r="U102" s="0" t="s">
        <v>160</v>
      </c>
      <c r="V102" s="0" t="s">
        <v>148</v>
      </c>
      <c r="W102" s="0" t="s">
        <v>128</v>
      </c>
      <c r="X102" s="0" t="s">
        <v>114</v>
      </c>
      <c r="Y102" s="0" t="s">
        <v>197</v>
      </c>
      <c r="AA102" s="0" t="n">
        <v>15000</v>
      </c>
      <c r="AB102" s="0" t="n">
        <v>30000</v>
      </c>
      <c r="AC102" s="0" t="s">
        <v>82</v>
      </c>
      <c r="AD102" s="0" t="n">
        <v>0</v>
      </c>
      <c r="AG102" s="0" t="s">
        <v>63</v>
      </c>
      <c r="AJ102" s="0" t="s">
        <v>62</v>
      </c>
      <c r="AK102" s="0" t="s">
        <v>82</v>
      </c>
      <c r="AL102" s="0" t="s">
        <v>50</v>
      </c>
      <c r="AM102" s="0" t="s">
        <v>103</v>
      </c>
    </row>
    <row r="103" customFormat="false" ht="15" hidden="false" customHeight="false" outlineLevel="0" collapsed="false">
      <c r="A103" s="1" t="n">
        <v>45806</v>
      </c>
      <c r="B103" s="0" t="s">
        <v>394</v>
      </c>
      <c r="C103" s="0" t="s">
        <v>121</v>
      </c>
      <c r="D103" s="0" t="n">
        <v>8039386305</v>
      </c>
      <c r="E103" s="0" t="s">
        <v>85</v>
      </c>
      <c r="F103" s="0" t="s">
        <v>395</v>
      </c>
      <c r="G103" s="0" t="s">
        <v>69</v>
      </c>
      <c r="H103" s="0" t="s">
        <v>135</v>
      </c>
      <c r="I103" s="0" t="s">
        <v>89</v>
      </c>
      <c r="J103" s="0" t="s">
        <v>109</v>
      </c>
      <c r="K103" s="0" t="n">
        <v>113461</v>
      </c>
      <c r="L103" s="0" t="s">
        <v>124</v>
      </c>
      <c r="M103" s="0" t="s">
        <v>50</v>
      </c>
      <c r="N103" s="0" t="n">
        <v>3</v>
      </c>
      <c r="O103" s="0" t="n">
        <v>1.2</v>
      </c>
      <c r="P103" s="0" t="s">
        <v>125</v>
      </c>
      <c r="Q103" s="0" t="s">
        <v>73</v>
      </c>
      <c r="R103" s="0" t="s">
        <v>94</v>
      </c>
      <c r="S103" s="0" t="s">
        <v>167</v>
      </c>
      <c r="T103" s="0" t="n">
        <v>30</v>
      </c>
      <c r="U103" s="0" t="s">
        <v>112</v>
      </c>
      <c r="V103" s="0" t="s">
        <v>155</v>
      </c>
      <c r="W103" s="0" t="s">
        <v>128</v>
      </c>
      <c r="X103" s="0" t="s">
        <v>114</v>
      </c>
      <c r="Y103" s="0" t="s">
        <v>197</v>
      </c>
      <c r="Z103" s="0" t="s">
        <v>161</v>
      </c>
      <c r="AA103" s="0" t="s">
        <v>150</v>
      </c>
      <c r="AB103" s="0" t="n">
        <v>40000</v>
      </c>
      <c r="AC103" s="0" t="s">
        <v>50</v>
      </c>
      <c r="AD103" s="0" t="n">
        <v>0</v>
      </c>
      <c r="AE103" s="0" t="s">
        <v>184</v>
      </c>
      <c r="AF103" s="0" t="s">
        <v>179</v>
      </c>
      <c r="AI103" s="0" t="s">
        <v>101</v>
      </c>
      <c r="AJ103" s="0" t="s">
        <v>50</v>
      </c>
      <c r="AM103" s="0" t="s">
        <v>103</v>
      </c>
    </row>
    <row r="104" customFormat="false" ht="15" hidden="false" customHeight="false" outlineLevel="0" collapsed="false">
      <c r="A104" s="1" t="n">
        <v>45754</v>
      </c>
      <c r="B104" s="0" t="s">
        <v>396</v>
      </c>
      <c r="C104" s="0" t="s">
        <v>66</v>
      </c>
      <c r="D104" s="0" t="n">
        <v>8045164890</v>
      </c>
      <c r="E104" s="0" t="s">
        <v>122</v>
      </c>
      <c r="F104" s="0" t="s">
        <v>397</v>
      </c>
      <c r="G104" s="0" t="s">
        <v>45</v>
      </c>
      <c r="H104" s="0" t="s">
        <v>146</v>
      </c>
      <c r="I104" s="0" t="s">
        <v>89</v>
      </c>
      <c r="J104" s="0" t="s">
        <v>109</v>
      </c>
      <c r="K104" s="0" t="n">
        <v>85707</v>
      </c>
      <c r="L104" s="0" t="s">
        <v>110</v>
      </c>
      <c r="M104" s="0" t="s">
        <v>50</v>
      </c>
      <c r="O104" s="0" t="n">
        <v>1.6</v>
      </c>
      <c r="P104" s="0" t="s">
        <v>125</v>
      </c>
      <c r="Q104" s="0" t="s">
        <v>52</v>
      </c>
      <c r="R104" s="0" t="s">
        <v>159</v>
      </c>
      <c r="S104" s="0" t="s">
        <v>167</v>
      </c>
      <c r="T104" s="0" t="n">
        <v>60</v>
      </c>
      <c r="U104" s="0" t="s">
        <v>55</v>
      </c>
      <c r="V104" s="0" t="s">
        <v>155</v>
      </c>
      <c r="W104" s="0" t="s">
        <v>57</v>
      </c>
      <c r="X104" s="0" t="s">
        <v>137</v>
      </c>
      <c r="Y104" s="0" t="s">
        <v>177</v>
      </c>
      <c r="Z104" s="0" t="s">
        <v>79</v>
      </c>
      <c r="AA104" s="0" t="n">
        <v>15000</v>
      </c>
      <c r="AB104" s="0" t="n">
        <v>40000</v>
      </c>
      <c r="AC104" s="0" t="s">
        <v>50</v>
      </c>
      <c r="AE104" s="0" t="s">
        <v>80</v>
      </c>
      <c r="AF104" s="1" t="n">
        <v>45815</v>
      </c>
      <c r="AG104" s="0" t="s">
        <v>50</v>
      </c>
      <c r="AH104" s="0" t="s">
        <v>171</v>
      </c>
      <c r="AJ104" s="0" t="s">
        <v>81</v>
      </c>
      <c r="AK104" s="0" t="s">
        <v>61</v>
      </c>
      <c r="AM104" s="0" t="s">
        <v>103</v>
      </c>
      <c r="AN104" s="0" t="s">
        <v>50</v>
      </c>
    </row>
    <row r="105" customFormat="false" ht="15" hidden="false" customHeight="false" outlineLevel="0" collapsed="false">
      <c r="A105" s="1" t="n">
        <v>45808</v>
      </c>
      <c r="B105" s="0" t="s">
        <v>398</v>
      </c>
      <c r="C105" s="0" t="s">
        <v>105</v>
      </c>
      <c r="D105" s="0" t="n">
        <v>8033392072</v>
      </c>
      <c r="E105" s="0" t="s">
        <v>43</v>
      </c>
      <c r="F105" s="0" t="s">
        <v>399</v>
      </c>
      <c r="G105" s="0" t="s">
        <v>45</v>
      </c>
      <c r="H105" s="0" t="s">
        <v>146</v>
      </c>
      <c r="I105" s="0" t="s">
        <v>89</v>
      </c>
      <c r="K105" s="0" t="n">
        <v>80800</v>
      </c>
      <c r="L105" s="0" t="s">
        <v>124</v>
      </c>
      <c r="M105" s="0" t="s">
        <v>50</v>
      </c>
      <c r="O105" s="0" t="n">
        <v>4.8</v>
      </c>
      <c r="P105" s="0" t="s">
        <v>51</v>
      </c>
      <c r="Q105" s="0" t="s">
        <v>52</v>
      </c>
      <c r="R105" s="0" t="s">
        <v>53</v>
      </c>
      <c r="S105" s="0" t="s">
        <v>167</v>
      </c>
      <c r="T105" s="0" t="n">
        <v>30</v>
      </c>
      <c r="U105" s="0" t="s">
        <v>96</v>
      </c>
      <c r="V105" s="0" t="s">
        <v>56</v>
      </c>
      <c r="W105" s="0" t="s">
        <v>78</v>
      </c>
      <c r="X105" s="0" t="s">
        <v>114</v>
      </c>
      <c r="Y105" s="0" t="s">
        <v>59</v>
      </c>
      <c r="Z105" s="0" t="s">
        <v>79</v>
      </c>
      <c r="AA105" s="0" t="s">
        <v>150</v>
      </c>
      <c r="AC105" s="0" t="s">
        <v>63</v>
      </c>
      <c r="AE105" s="0" t="s">
        <v>130</v>
      </c>
      <c r="AG105" s="0" t="s">
        <v>50</v>
      </c>
      <c r="AI105" s="0" t="s">
        <v>172</v>
      </c>
      <c r="AJ105" s="0" t="s">
        <v>63</v>
      </c>
      <c r="AK105" s="0" t="s">
        <v>82</v>
      </c>
      <c r="AN105" s="0" t="s">
        <v>63</v>
      </c>
    </row>
    <row r="106" customFormat="false" ht="15" hidden="false" customHeight="false" outlineLevel="0" collapsed="false">
      <c r="A106" s="0" t="s">
        <v>387</v>
      </c>
      <c r="B106" s="0" t="s">
        <v>400</v>
      </c>
      <c r="C106" s="0" t="s">
        <v>105</v>
      </c>
      <c r="D106" s="0" t="n">
        <v>8055609531</v>
      </c>
      <c r="E106" s="0" t="s">
        <v>139</v>
      </c>
      <c r="F106" s="0" t="s">
        <v>401</v>
      </c>
      <c r="G106" s="0" t="s">
        <v>107</v>
      </c>
      <c r="H106" s="0" t="s">
        <v>70</v>
      </c>
      <c r="I106" s="0" t="s">
        <v>142</v>
      </c>
      <c r="K106" s="0" t="n">
        <v>36632</v>
      </c>
      <c r="L106" s="0" t="s">
        <v>166</v>
      </c>
      <c r="M106" s="0" t="s">
        <v>50</v>
      </c>
      <c r="N106" s="0" t="n">
        <v>4</v>
      </c>
      <c r="O106" s="0" t="n">
        <v>3.1</v>
      </c>
      <c r="P106" s="0" t="s">
        <v>125</v>
      </c>
      <c r="Q106" s="0" t="s">
        <v>73</v>
      </c>
      <c r="R106" s="0" t="s">
        <v>53</v>
      </c>
      <c r="S106" s="0" t="s">
        <v>95</v>
      </c>
      <c r="T106" s="0" t="n">
        <v>30</v>
      </c>
      <c r="U106" s="0" t="s">
        <v>96</v>
      </c>
      <c r="V106" s="0" t="s">
        <v>77</v>
      </c>
      <c r="W106" s="0" t="s">
        <v>78</v>
      </c>
      <c r="X106" s="0" t="s">
        <v>137</v>
      </c>
      <c r="Z106" s="0" t="s">
        <v>129</v>
      </c>
      <c r="AA106" s="0" t="n">
        <v>30000</v>
      </c>
      <c r="AB106" s="0" t="n">
        <v>30000</v>
      </c>
      <c r="AC106" s="0" t="s">
        <v>82</v>
      </c>
      <c r="AD106" s="0" t="n">
        <v>0</v>
      </c>
      <c r="AE106" s="0" t="s">
        <v>184</v>
      </c>
      <c r="AG106" s="0" t="s">
        <v>50</v>
      </c>
      <c r="AJ106" s="0" t="s">
        <v>62</v>
      </c>
      <c r="AK106" s="0" t="s">
        <v>61</v>
      </c>
      <c r="AM106" s="0" t="s">
        <v>83</v>
      </c>
    </row>
    <row r="107" customFormat="false" ht="15" hidden="false" customHeight="false" outlineLevel="0" collapsed="false">
      <c r="A107" s="0" t="s">
        <v>387</v>
      </c>
      <c r="B107" s="0" t="s">
        <v>402</v>
      </c>
      <c r="C107" s="0" t="s">
        <v>121</v>
      </c>
      <c r="D107" s="0" t="n">
        <v>8084424395</v>
      </c>
      <c r="E107" s="0" t="s">
        <v>67</v>
      </c>
      <c r="F107" s="0" t="s">
        <v>403</v>
      </c>
      <c r="G107" s="0" t="s">
        <v>107</v>
      </c>
      <c r="H107" s="0" t="s">
        <v>242</v>
      </c>
      <c r="I107" s="0" t="s">
        <v>89</v>
      </c>
      <c r="K107" s="0" t="n">
        <v>51969</v>
      </c>
      <c r="L107" s="0" t="s">
        <v>124</v>
      </c>
      <c r="M107" s="0" t="s">
        <v>63</v>
      </c>
      <c r="N107" s="0" t="n">
        <v>3</v>
      </c>
      <c r="O107" s="0" t="n">
        <v>5.4</v>
      </c>
      <c r="P107" s="0" t="s">
        <v>111</v>
      </c>
      <c r="Q107" s="0" t="s">
        <v>73</v>
      </c>
      <c r="R107" s="0" t="s">
        <v>159</v>
      </c>
      <c r="S107" s="0" t="s">
        <v>147</v>
      </c>
      <c r="T107" s="0" t="s">
        <v>127</v>
      </c>
      <c r="U107" s="0" t="s">
        <v>55</v>
      </c>
      <c r="V107" s="0" t="s">
        <v>148</v>
      </c>
      <c r="W107" s="0" t="s">
        <v>98</v>
      </c>
      <c r="X107" s="0" t="s">
        <v>196</v>
      </c>
      <c r="Z107" s="0" t="s">
        <v>161</v>
      </c>
      <c r="AA107" s="0" t="n">
        <v>40000</v>
      </c>
      <c r="AB107" s="0" t="n">
        <v>20000</v>
      </c>
      <c r="AC107" s="0" t="s">
        <v>50</v>
      </c>
      <c r="AD107" s="0" t="n">
        <v>5000</v>
      </c>
      <c r="AE107" s="0" t="s">
        <v>184</v>
      </c>
      <c r="AF107" s="1" t="n">
        <v>45723</v>
      </c>
      <c r="AH107" s="0" t="s">
        <v>171</v>
      </c>
      <c r="AI107" s="0" t="s">
        <v>101</v>
      </c>
      <c r="AJ107" s="0" t="s">
        <v>81</v>
      </c>
      <c r="AK107" s="0" t="s">
        <v>50</v>
      </c>
      <c r="AL107" s="0" t="s">
        <v>102</v>
      </c>
      <c r="AM107" s="0" t="s">
        <v>83</v>
      </c>
      <c r="AN107" s="0" t="s">
        <v>198</v>
      </c>
    </row>
    <row r="108" customFormat="false" ht="15" hidden="false" customHeight="false" outlineLevel="0" collapsed="false">
      <c r="A108" s="1" t="n">
        <v>45781</v>
      </c>
      <c r="B108" s="0" t="s">
        <v>404</v>
      </c>
      <c r="C108" s="0" t="s">
        <v>42</v>
      </c>
      <c r="D108" s="0" t="n">
        <v>8043012764</v>
      </c>
      <c r="E108" s="0" t="s">
        <v>85</v>
      </c>
      <c r="F108" s="0" t="s">
        <v>405</v>
      </c>
      <c r="G108" s="0" t="s">
        <v>87</v>
      </c>
      <c r="H108" s="0" t="s">
        <v>242</v>
      </c>
      <c r="I108" s="0" t="s">
        <v>154</v>
      </c>
      <c r="J108" s="0" t="s">
        <v>109</v>
      </c>
      <c r="K108" s="0" t="n">
        <v>82868</v>
      </c>
      <c r="L108" s="0" t="s">
        <v>166</v>
      </c>
      <c r="M108" s="0" t="s">
        <v>63</v>
      </c>
      <c r="N108" s="0" t="n">
        <v>3</v>
      </c>
      <c r="O108" s="0" t="n">
        <v>1.6</v>
      </c>
      <c r="P108" s="0" t="s">
        <v>125</v>
      </c>
      <c r="Q108" s="0" t="s">
        <v>52</v>
      </c>
      <c r="R108" s="0" t="s">
        <v>74</v>
      </c>
      <c r="S108" s="0" t="s">
        <v>147</v>
      </c>
      <c r="T108" s="0" t="n">
        <v>30</v>
      </c>
      <c r="U108" s="0" t="s">
        <v>76</v>
      </c>
      <c r="V108" s="0" t="s">
        <v>148</v>
      </c>
      <c r="W108" s="0" t="s">
        <v>98</v>
      </c>
      <c r="X108" s="0" t="s">
        <v>196</v>
      </c>
      <c r="Y108" s="0" t="s">
        <v>177</v>
      </c>
      <c r="Z108" s="0" t="s">
        <v>129</v>
      </c>
      <c r="AA108" s="0" t="s">
        <v>150</v>
      </c>
      <c r="AB108" s="0" t="n">
        <v>20000</v>
      </c>
      <c r="AC108" s="0" t="s">
        <v>63</v>
      </c>
      <c r="AD108" s="0" t="n">
        <v>10000</v>
      </c>
      <c r="AE108" s="0" t="s">
        <v>60</v>
      </c>
      <c r="AF108" s="1" t="n">
        <v>45877</v>
      </c>
      <c r="AG108" s="0" t="s">
        <v>63</v>
      </c>
      <c r="AH108" s="0" t="s">
        <v>116</v>
      </c>
      <c r="AJ108" s="0" t="s">
        <v>50</v>
      </c>
      <c r="AK108" s="0" t="s">
        <v>61</v>
      </c>
      <c r="AL108" s="0" t="s">
        <v>63</v>
      </c>
      <c r="AN108" s="0" t="s">
        <v>198</v>
      </c>
    </row>
    <row r="109" customFormat="false" ht="15" hidden="false" customHeight="false" outlineLevel="0" collapsed="false">
      <c r="A109" s="1" t="n">
        <v>45905</v>
      </c>
      <c r="B109" s="0" t="s">
        <v>406</v>
      </c>
      <c r="C109" s="0" t="s">
        <v>42</v>
      </c>
      <c r="D109" s="0" t="n">
        <v>8033963425</v>
      </c>
      <c r="E109" s="0" t="s">
        <v>67</v>
      </c>
      <c r="F109" s="0" t="s">
        <v>407</v>
      </c>
      <c r="G109" s="0" t="s">
        <v>69</v>
      </c>
      <c r="H109" s="0" t="s">
        <v>146</v>
      </c>
      <c r="I109" s="0" t="s">
        <v>189</v>
      </c>
      <c r="J109" s="0" t="s">
        <v>71</v>
      </c>
      <c r="K109" s="0" t="n">
        <v>50378</v>
      </c>
      <c r="L109" s="0" t="s">
        <v>110</v>
      </c>
      <c r="M109" s="0" t="s">
        <v>63</v>
      </c>
      <c r="N109" s="0" t="n">
        <v>4</v>
      </c>
      <c r="O109" s="0" t="n">
        <v>2.2</v>
      </c>
      <c r="P109" s="0" t="s">
        <v>92</v>
      </c>
      <c r="Q109" s="0" t="s">
        <v>73</v>
      </c>
      <c r="R109" s="0" t="s">
        <v>53</v>
      </c>
      <c r="S109" s="0" t="s">
        <v>167</v>
      </c>
      <c r="T109" s="0" t="n">
        <v>15</v>
      </c>
      <c r="U109" s="0" t="s">
        <v>55</v>
      </c>
      <c r="V109" s="0" t="s">
        <v>56</v>
      </c>
      <c r="W109" s="0" t="s">
        <v>113</v>
      </c>
      <c r="X109" s="0" t="s">
        <v>137</v>
      </c>
      <c r="Y109" s="0" t="s">
        <v>197</v>
      </c>
      <c r="AA109" s="0" t="n">
        <v>30000</v>
      </c>
      <c r="AB109" s="0" t="n">
        <v>20000</v>
      </c>
      <c r="AC109" s="0" t="s">
        <v>82</v>
      </c>
      <c r="AD109" s="0" t="n">
        <v>10000</v>
      </c>
      <c r="AE109" s="0" t="s">
        <v>184</v>
      </c>
      <c r="AF109" s="0" t="s">
        <v>408</v>
      </c>
      <c r="AJ109" s="0" t="s">
        <v>62</v>
      </c>
      <c r="AM109" s="0" t="s">
        <v>118</v>
      </c>
    </row>
    <row r="110" customFormat="false" ht="15" hidden="false" customHeight="false" outlineLevel="0" collapsed="false">
      <c r="A110" s="1" t="n">
        <v>45677</v>
      </c>
      <c r="B110" s="0" t="s">
        <v>409</v>
      </c>
      <c r="C110" s="0" t="s">
        <v>105</v>
      </c>
      <c r="D110" s="0" t="n">
        <v>8036305005</v>
      </c>
      <c r="E110" s="0" t="s">
        <v>139</v>
      </c>
      <c r="F110" s="0" t="s">
        <v>410</v>
      </c>
      <c r="G110" s="0" t="s">
        <v>107</v>
      </c>
      <c r="H110" s="0" t="s">
        <v>170</v>
      </c>
      <c r="I110" s="0" t="s">
        <v>189</v>
      </c>
      <c r="J110" s="0" t="s">
        <v>109</v>
      </c>
      <c r="K110" s="0" t="n">
        <v>44967</v>
      </c>
      <c r="L110" s="0" t="s">
        <v>72</v>
      </c>
      <c r="M110" s="0" t="s">
        <v>63</v>
      </c>
      <c r="N110" s="0" t="n">
        <v>5</v>
      </c>
      <c r="O110" s="0" t="n">
        <v>5.6</v>
      </c>
      <c r="P110" s="0" t="s">
        <v>92</v>
      </c>
      <c r="Q110" s="0" t="s">
        <v>73</v>
      </c>
      <c r="R110" s="0" t="s">
        <v>136</v>
      </c>
      <c r="S110" s="0" t="s">
        <v>167</v>
      </c>
      <c r="T110" s="0" t="n">
        <v>45</v>
      </c>
      <c r="U110" s="0" t="s">
        <v>160</v>
      </c>
      <c r="V110" s="0" t="s">
        <v>77</v>
      </c>
      <c r="W110" s="0" t="s">
        <v>98</v>
      </c>
      <c r="X110" s="0" t="s">
        <v>114</v>
      </c>
      <c r="Y110" s="0" t="s">
        <v>156</v>
      </c>
      <c r="AA110" s="0" t="n">
        <v>40000</v>
      </c>
      <c r="AB110" s="0" t="n">
        <v>40000</v>
      </c>
      <c r="AC110" s="0" t="s">
        <v>63</v>
      </c>
      <c r="AD110" s="0" t="s">
        <v>115</v>
      </c>
      <c r="AE110" s="0" t="s">
        <v>80</v>
      </c>
      <c r="AI110" s="0" t="s">
        <v>172</v>
      </c>
      <c r="AJ110" s="0" t="s">
        <v>50</v>
      </c>
      <c r="AK110" s="0" t="s">
        <v>82</v>
      </c>
      <c r="AL110" s="0" t="s">
        <v>50</v>
      </c>
      <c r="AM110" s="0" t="s">
        <v>103</v>
      </c>
    </row>
    <row r="111" customFormat="false" ht="15" hidden="false" customHeight="false" outlineLevel="0" collapsed="false">
      <c r="A111" s="1" t="n">
        <v>45822</v>
      </c>
      <c r="B111" s="0" t="s">
        <v>411</v>
      </c>
      <c r="C111" s="0" t="s">
        <v>105</v>
      </c>
      <c r="D111" s="0" t="n">
        <v>8012884611</v>
      </c>
      <c r="E111" s="0" t="s">
        <v>139</v>
      </c>
      <c r="F111" s="0" t="s">
        <v>412</v>
      </c>
      <c r="G111" s="0" t="s">
        <v>107</v>
      </c>
      <c r="H111" s="0" t="s">
        <v>88</v>
      </c>
      <c r="I111" s="0" t="s">
        <v>89</v>
      </c>
      <c r="J111" s="0" t="s">
        <v>90</v>
      </c>
      <c r="K111" s="0" t="n">
        <v>64771</v>
      </c>
      <c r="L111" s="0" t="s">
        <v>49</v>
      </c>
      <c r="M111" s="0" t="s">
        <v>50</v>
      </c>
      <c r="N111" s="0" t="n">
        <v>2</v>
      </c>
      <c r="O111" s="0" t="n">
        <v>2.5</v>
      </c>
      <c r="Q111" s="0" t="s">
        <v>52</v>
      </c>
      <c r="S111" s="0" t="s">
        <v>167</v>
      </c>
      <c r="U111" s="0" t="s">
        <v>55</v>
      </c>
      <c r="V111" s="0" t="s">
        <v>56</v>
      </c>
      <c r="W111" s="0" t="s">
        <v>78</v>
      </c>
      <c r="X111" s="0" t="s">
        <v>114</v>
      </c>
      <c r="Y111" s="0" t="s">
        <v>197</v>
      </c>
      <c r="Z111" s="0" t="s">
        <v>161</v>
      </c>
      <c r="AA111" s="0" t="n">
        <v>25000</v>
      </c>
      <c r="AB111" s="0" t="n">
        <v>30000</v>
      </c>
      <c r="AC111" s="0" t="s">
        <v>50</v>
      </c>
      <c r="AE111" s="0" t="s">
        <v>184</v>
      </c>
      <c r="AH111" s="0" t="s">
        <v>116</v>
      </c>
      <c r="AI111" s="0" t="s">
        <v>117</v>
      </c>
      <c r="AK111" s="0" t="s">
        <v>61</v>
      </c>
      <c r="AN111" s="0" t="s">
        <v>50</v>
      </c>
    </row>
    <row r="112" customFormat="false" ht="15" hidden="false" customHeight="false" outlineLevel="0" collapsed="false">
      <c r="A112" s="1" t="n">
        <v>45750</v>
      </c>
      <c r="B112" s="0" t="s">
        <v>413</v>
      </c>
      <c r="C112" s="0" t="s">
        <v>121</v>
      </c>
      <c r="D112" s="0" t="n">
        <v>8033632711</v>
      </c>
      <c r="E112" s="0" t="s">
        <v>43</v>
      </c>
      <c r="F112" s="0" t="s">
        <v>414</v>
      </c>
      <c r="G112" s="0" t="s">
        <v>69</v>
      </c>
      <c r="H112" s="0" t="s">
        <v>170</v>
      </c>
      <c r="I112" s="0" t="s">
        <v>89</v>
      </c>
      <c r="J112" s="0" t="s">
        <v>48</v>
      </c>
      <c r="K112" s="0" t="n">
        <v>26011</v>
      </c>
      <c r="L112" s="0" t="s">
        <v>166</v>
      </c>
      <c r="M112" s="0" t="s">
        <v>50</v>
      </c>
      <c r="N112" s="0" t="n">
        <v>2</v>
      </c>
      <c r="O112" s="0" t="n">
        <v>5.8</v>
      </c>
      <c r="P112" s="0" t="s">
        <v>51</v>
      </c>
      <c r="Q112" s="0" t="s">
        <v>93</v>
      </c>
      <c r="R112" s="0" t="s">
        <v>53</v>
      </c>
      <c r="S112" s="0" t="s">
        <v>95</v>
      </c>
      <c r="T112" s="0" t="n">
        <v>30</v>
      </c>
      <c r="U112" s="0" t="s">
        <v>55</v>
      </c>
      <c r="V112" s="0" t="s">
        <v>97</v>
      </c>
      <c r="W112" s="0" t="s">
        <v>78</v>
      </c>
      <c r="X112" s="0" t="s">
        <v>114</v>
      </c>
      <c r="Y112" s="0" t="s">
        <v>197</v>
      </c>
      <c r="AA112" s="0" t="n">
        <v>25000</v>
      </c>
      <c r="AC112" s="0" t="s">
        <v>82</v>
      </c>
      <c r="AD112" s="0" t="n">
        <v>10000</v>
      </c>
      <c r="AE112" s="0" t="s">
        <v>184</v>
      </c>
      <c r="AF112" s="0" t="s">
        <v>415</v>
      </c>
      <c r="AG112" s="0" t="s">
        <v>61</v>
      </c>
      <c r="AH112" s="0" t="s">
        <v>116</v>
      </c>
      <c r="AK112" s="0" t="s">
        <v>82</v>
      </c>
      <c r="AM112" s="0" t="s">
        <v>83</v>
      </c>
      <c r="AN112" s="0" t="s">
        <v>63</v>
      </c>
    </row>
    <row r="113" customFormat="false" ht="15" hidden="false" customHeight="false" outlineLevel="0" collapsed="false">
      <c r="A113" s="0" t="s">
        <v>416</v>
      </c>
      <c r="B113" s="0" t="s">
        <v>417</v>
      </c>
      <c r="C113" s="0" t="s">
        <v>121</v>
      </c>
      <c r="D113" s="0" t="n">
        <v>8045136671</v>
      </c>
      <c r="E113" s="0" t="s">
        <v>67</v>
      </c>
      <c r="F113" s="0" t="s">
        <v>418</v>
      </c>
      <c r="G113" s="0" t="s">
        <v>45</v>
      </c>
      <c r="H113" s="0" t="s">
        <v>153</v>
      </c>
      <c r="I113" s="0" t="s">
        <v>108</v>
      </c>
      <c r="J113" s="0" t="s">
        <v>48</v>
      </c>
      <c r="K113" s="0" t="n">
        <v>74107</v>
      </c>
      <c r="L113" s="0" t="s">
        <v>91</v>
      </c>
      <c r="M113" s="0" t="s">
        <v>63</v>
      </c>
      <c r="N113" s="0" t="n">
        <v>1</v>
      </c>
      <c r="O113" s="0" t="n">
        <v>1.7</v>
      </c>
      <c r="P113" s="0" t="s">
        <v>111</v>
      </c>
      <c r="Q113" s="0" t="s">
        <v>73</v>
      </c>
      <c r="R113" s="0" t="s">
        <v>136</v>
      </c>
      <c r="S113" s="0" t="s">
        <v>75</v>
      </c>
      <c r="T113" s="0" t="s">
        <v>127</v>
      </c>
      <c r="U113" s="0" t="s">
        <v>160</v>
      </c>
      <c r="V113" s="0" t="s">
        <v>56</v>
      </c>
      <c r="W113" s="0" t="s">
        <v>78</v>
      </c>
      <c r="X113" s="0" t="s">
        <v>58</v>
      </c>
      <c r="Y113" s="0" t="s">
        <v>197</v>
      </c>
      <c r="Z113" s="0" t="s">
        <v>129</v>
      </c>
      <c r="AB113" s="0" t="s">
        <v>178</v>
      </c>
      <c r="AD113" s="0" t="s">
        <v>115</v>
      </c>
      <c r="AE113" s="0" t="s">
        <v>130</v>
      </c>
      <c r="AG113" s="0" t="s">
        <v>63</v>
      </c>
      <c r="AH113" s="0" t="s">
        <v>171</v>
      </c>
      <c r="AI113" s="0" t="s">
        <v>117</v>
      </c>
      <c r="AJ113" s="0" t="s">
        <v>63</v>
      </c>
      <c r="AK113" s="0" t="s">
        <v>61</v>
      </c>
      <c r="AL113" s="0" t="s">
        <v>63</v>
      </c>
      <c r="AM113" s="0" t="s">
        <v>103</v>
      </c>
      <c r="AN113" s="0" t="s">
        <v>50</v>
      </c>
    </row>
    <row r="114" customFormat="false" ht="15" hidden="false" customHeight="false" outlineLevel="0" collapsed="false">
      <c r="A114" s="1" t="n">
        <v>45752</v>
      </c>
      <c r="B114" s="0" t="s">
        <v>419</v>
      </c>
      <c r="C114" s="0" t="s">
        <v>66</v>
      </c>
      <c r="D114" s="0" t="n">
        <v>8023581521</v>
      </c>
      <c r="E114" s="0" t="s">
        <v>67</v>
      </c>
      <c r="F114" s="0" t="s">
        <v>420</v>
      </c>
      <c r="G114" s="0" t="s">
        <v>134</v>
      </c>
      <c r="H114" s="0" t="s">
        <v>153</v>
      </c>
      <c r="I114" s="0" t="s">
        <v>47</v>
      </c>
      <c r="J114" s="0" t="s">
        <v>48</v>
      </c>
      <c r="K114" s="0" t="n">
        <v>104999</v>
      </c>
      <c r="L114" s="0" t="s">
        <v>72</v>
      </c>
      <c r="M114" s="0" t="s">
        <v>50</v>
      </c>
      <c r="N114" s="0" t="n">
        <v>2</v>
      </c>
      <c r="O114" s="0" t="n">
        <v>4</v>
      </c>
      <c r="P114" s="0" t="s">
        <v>51</v>
      </c>
      <c r="Q114" s="0" t="s">
        <v>73</v>
      </c>
      <c r="R114" s="0" t="s">
        <v>136</v>
      </c>
      <c r="S114" s="0" t="s">
        <v>75</v>
      </c>
      <c r="T114" s="0" t="n">
        <v>15</v>
      </c>
      <c r="U114" s="0" t="s">
        <v>96</v>
      </c>
      <c r="V114" s="0" t="s">
        <v>97</v>
      </c>
      <c r="W114" s="0" t="s">
        <v>128</v>
      </c>
      <c r="X114" s="0" t="s">
        <v>114</v>
      </c>
      <c r="Y114" s="0" t="s">
        <v>197</v>
      </c>
      <c r="Z114" s="0" t="s">
        <v>129</v>
      </c>
      <c r="AA114" s="0" t="n">
        <v>25000</v>
      </c>
      <c r="AB114" s="0" t="n">
        <v>35000</v>
      </c>
      <c r="AC114" s="0" t="s">
        <v>63</v>
      </c>
      <c r="AD114" s="0" t="s">
        <v>115</v>
      </c>
      <c r="AE114" s="0" t="s">
        <v>60</v>
      </c>
      <c r="AF114" s="0" t="s">
        <v>421</v>
      </c>
      <c r="AG114" s="0" t="s">
        <v>50</v>
      </c>
      <c r="AJ114" s="0" t="s">
        <v>81</v>
      </c>
      <c r="AK114" s="0" t="s">
        <v>82</v>
      </c>
      <c r="AM114" s="0" t="s">
        <v>118</v>
      </c>
      <c r="AN114" s="0" t="s">
        <v>190</v>
      </c>
    </row>
    <row r="115" customFormat="false" ht="15" hidden="false" customHeight="false" outlineLevel="0" collapsed="false">
      <c r="A115" s="1" t="n">
        <v>45699</v>
      </c>
      <c r="B115" s="0" t="s">
        <v>422</v>
      </c>
      <c r="C115" s="0" t="s">
        <v>105</v>
      </c>
      <c r="D115" s="0" t="n">
        <v>8012817734</v>
      </c>
      <c r="E115" s="0" t="s">
        <v>67</v>
      </c>
      <c r="F115" s="0" t="s">
        <v>423</v>
      </c>
      <c r="G115" s="0" t="s">
        <v>69</v>
      </c>
      <c r="H115" s="0" t="s">
        <v>146</v>
      </c>
      <c r="I115" s="0" t="s">
        <v>142</v>
      </c>
      <c r="J115" s="0" t="s">
        <v>90</v>
      </c>
      <c r="K115" s="0" t="n">
        <v>94489</v>
      </c>
      <c r="L115" s="0" t="s">
        <v>72</v>
      </c>
      <c r="M115" s="0" t="s">
        <v>50</v>
      </c>
      <c r="N115" s="0" t="n">
        <v>1</v>
      </c>
      <c r="O115" s="0" t="n">
        <v>1.2</v>
      </c>
      <c r="P115" s="0" t="s">
        <v>111</v>
      </c>
      <c r="Q115" s="0" t="s">
        <v>52</v>
      </c>
      <c r="R115" s="0" t="s">
        <v>136</v>
      </c>
      <c r="S115" s="0" t="s">
        <v>75</v>
      </c>
      <c r="T115" s="0" t="n">
        <v>15</v>
      </c>
      <c r="U115" s="0" t="s">
        <v>96</v>
      </c>
      <c r="V115" s="0" t="s">
        <v>148</v>
      </c>
      <c r="W115" s="0" t="s">
        <v>78</v>
      </c>
      <c r="X115" s="0" t="s">
        <v>196</v>
      </c>
      <c r="Y115" s="0" t="s">
        <v>177</v>
      </c>
      <c r="Z115" s="0" t="s">
        <v>129</v>
      </c>
      <c r="AA115" s="0" t="n">
        <v>25000</v>
      </c>
      <c r="AC115" s="0" t="s">
        <v>63</v>
      </c>
      <c r="AD115" s="0" t="n">
        <v>0</v>
      </c>
      <c r="AE115" s="0" t="s">
        <v>184</v>
      </c>
      <c r="AF115" s="0" t="s">
        <v>424</v>
      </c>
      <c r="AG115" s="0" t="s">
        <v>82</v>
      </c>
      <c r="AI115" s="0" t="s">
        <v>172</v>
      </c>
      <c r="AJ115" s="0" t="s">
        <v>50</v>
      </c>
      <c r="AK115" s="0" t="s">
        <v>82</v>
      </c>
      <c r="AM115" s="0" t="s">
        <v>103</v>
      </c>
      <c r="AN115" s="0" t="s">
        <v>198</v>
      </c>
    </row>
    <row r="116" customFormat="false" ht="15" hidden="false" customHeight="false" outlineLevel="0" collapsed="false">
      <c r="A116" s="1" t="n">
        <v>45763</v>
      </c>
      <c r="B116" s="0" t="s">
        <v>425</v>
      </c>
      <c r="C116" s="0" t="s">
        <v>42</v>
      </c>
      <c r="D116" s="0" t="n">
        <v>8028420515</v>
      </c>
      <c r="E116" s="0" t="s">
        <v>67</v>
      </c>
      <c r="F116" s="0" t="s">
        <v>426</v>
      </c>
      <c r="G116" s="0" t="s">
        <v>87</v>
      </c>
      <c r="H116" s="0" t="s">
        <v>153</v>
      </c>
      <c r="I116" s="0" t="s">
        <v>89</v>
      </c>
      <c r="J116" s="0" t="s">
        <v>71</v>
      </c>
      <c r="K116" s="0" t="n">
        <v>70689</v>
      </c>
      <c r="L116" s="0" t="s">
        <v>72</v>
      </c>
      <c r="M116" s="0" t="s">
        <v>63</v>
      </c>
      <c r="N116" s="0" t="n">
        <v>1</v>
      </c>
      <c r="O116" s="0" t="n">
        <v>3.4</v>
      </c>
      <c r="P116" s="0" t="s">
        <v>125</v>
      </c>
      <c r="Q116" s="0" t="s">
        <v>52</v>
      </c>
      <c r="R116" s="0" t="s">
        <v>159</v>
      </c>
      <c r="S116" s="0" t="s">
        <v>54</v>
      </c>
      <c r="T116" s="0" t="s">
        <v>127</v>
      </c>
      <c r="U116" s="0" t="s">
        <v>96</v>
      </c>
      <c r="V116" s="0" t="s">
        <v>97</v>
      </c>
      <c r="W116" s="0" t="s">
        <v>113</v>
      </c>
      <c r="X116" s="0" t="s">
        <v>99</v>
      </c>
      <c r="Y116" s="0" t="s">
        <v>197</v>
      </c>
      <c r="Z116" s="0" t="s">
        <v>143</v>
      </c>
      <c r="AA116" s="0" t="n">
        <v>40000</v>
      </c>
      <c r="AC116" s="0" t="s">
        <v>63</v>
      </c>
      <c r="AD116" s="0" t="n">
        <v>10000</v>
      </c>
      <c r="AE116" s="0" t="s">
        <v>130</v>
      </c>
      <c r="AF116" s="1" t="n">
        <v>45785</v>
      </c>
      <c r="AG116" s="0" t="s">
        <v>82</v>
      </c>
      <c r="AH116" s="0" t="s">
        <v>116</v>
      </c>
      <c r="AI116" s="0" t="s">
        <v>101</v>
      </c>
      <c r="AK116" s="0" t="s">
        <v>82</v>
      </c>
      <c r="AL116" s="0" t="s">
        <v>50</v>
      </c>
      <c r="AM116" s="0" t="s">
        <v>83</v>
      </c>
    </row>
    <row r="117" customFormat="false" ht="15" hidden="false" customHeight="false" outlineLevel="0" collapsed="false">
      <c r="A117" s="1" t="n">
        <v>45690</v>
      </c>
      <c r="B117" s="0" t="s">
        <v>427</v>
      </c>
      <c r="C117" s="0" t="s">
        <v>66</v>
      </c>
      <c r="D117" s="0" t="n">
        <v>8060858151</v>
      </c>
      <c r="E117" s="0" t="s">
        <v>122</v>
      </c>
      <c r="F117" s="0" t="s">
        <v>428</v>
      </c>
      <c r="G117" s="0" t="s">
        <v>45</v>
      </c>
      <c r="H117" s="0" t="s">
        <v>170</v>
      </c>
      <c r="I117" s="0" t="s">
        <v>142</v>
      </c>
      <c r="J117" s="0" t="s">
        <v>71</v>
      </c>
      <c r="K117" s="0" t="n">
        <v>106615</v>
      </c>
      <c r="L117" s="0" t="s">
        <v>72</v>
      </c>
      <c r="M117" s="0" t="s">
        <v>63</v>
      </c>
      <c r="N117" s="0" t="n">
        <v>3</v>
      </c>
      <c r="O117" s="0" t="n">
        <v>4.3</v>
      </c>
      <c r="P117" s="0" t="s">
        <v>92</v>
      </c>
      <c r="Q117" s="0" t="s">
        <v>52</v>
      </c>
      <c r="R117" s="0" t="s">
        <v>136</v>
      </c>
      <c r="S117" s="0" t="s">
        <v>167</v>
      </c>
      <c r="T117" s="0" t="s">
        <v>127</v>
      </c>
      <c r="U117" s="0" t="s">
        <v>112</v>
      </c>
      <c r="V117" s="0" t="s">
        <v>155</v>
      </c>
      <c r="W117" s="0" t="s">
        <v>78</v>
      </c>
      <c r="X117" s="0" t="s">
        <v>137</v>
      </c>
      <c r="Y117" s="0" t="s">
        <v>59</v>
      </c>
      <c r="Z117" s="0" t="s">
        <v>129</v>
      </c>
      <c r="AA117" s="0" t="n">
        <v>15000</v>
      </c>
      <c r="AB117" s="0" t="s">
        <v>178</v>
      </c>
      <c r="AC117" s="0" t="s">
        <v>61</v>
      </c>
      <c r="AE117" s="0" t="s">
        <v>184</v>
      </c>
      <c r="AG117" s="0" t="s">
        <v>63</v>
      </c>
      <c r="AI117" s="0" t="s">
        <v>172</v>
      </c>
      <c r="AK117" s="0" t="s">
        <v>63</v>
      </c>
      <c r="AL117" s="0" t="s">
        <v>63</v>
      </c>
      <c r="AM117" s="0" t="s">
        <v>64</v>
      </c>
      <c r="AN117" s="0" t="s">
        <v>50</v>
      </c>
    </row>
    <row r="118" customFormat="false" ht="15" hidden="false" customHeight="false" outlineLevel="0" collapsed="false">
      <c r="A118" s="1" t="n">
        <v>45692</v>
      </c>
      <c r="B118" s="0" t="s">
        <v>429</v>
      </c>
      <c r="C118" s="0" t="s">
        <v>121</v>
      </c>
      <c r="D118" s="0" t="n">
        <v>8097895055</v>
      </c>
      <c r="E118" s="0" t="s">
        <v>43</v>
      </c>
      <c r="F118" s="0" t="s">
        <v>430</v>
      </c>
      <c r="G118" s="0" t="s">
        <v>134</v>
      </c>
      <c r="H118" s="0" t="s">
        <v>88</v>
      </c>
      <c r="I118" s="0" t="s">
        <v>108</v>
      </c>
      <c r="J118" s="0" t="s">
        <v>48</v>
      </c>
      <c r="K118" s="0" t="n">
        <v>107473</v>
      </c>
      <c r="L118" s="0" t="s">
        <v>166</v>
      </c>
      <c r="M118" s="0" t="s">
        <v>63</v>
      </c>
      <c r="N118" s="0" t="n">
        <v>3</v>
      </c>
      <c r="O118" s="0" t="n">
        <v>5.8</v>
      </c>
      <c r="P118" s="0" t="s">
        <v>125</v>
      </c>
      <c r="Q118" s="0" t="s">
        <v>73</v>
      </c>
      <c r="R118" s="0" t="s">
        <v>94</v>
      </c>
      <c r="S118" s="0" t="s">
        <v>95</v>
      </c>
      <c r="T118" s="0" t="n">
        <v>60</v>
      </c>
      <c r="U118" s="0" t="s">
        <v>160</v>
      </c>
      <c r="V118" s="0" t="s">
        <v>77</v>
      </c>
      <c r="W118" s="0" t="s">
        <v>128</v>
      </c>
      <c r="X118" s="0" t="s">
        <v>137</v>
      </c>
      <c r="Y118" s="0" t="s">
        <v>197</v>
      </c>
      <c r="Z118" s="0" t="s">
        <v>149</v>
      </c>
      <c r="AA118" s="0" t="n">
        <v>15000</v>
      </c>
      <c r="AB118" s="0" t="n">
        <v>35000</v>
      </c>
      <c r="AC118" s="0" t="s">
        <v>82</v>
      </c>
      <c r="AD118" s="0" t="n">
        <v>0</v>
      </c>
      <c r="AE118" s="0" t="s">
        <v>60</v>
      </c>
      <c r="AF118" s="0" t="s">
        <v>431</v>
      </c>
      <c r="AG118" s="0" t="s">
        <v>82</v>
      </c>
      <c r="AI118" s="0" t="s">
        <v>172</v>
      </c>
      <c r="AJ118" s="0" t="s">
        <v>63</v>
      </c>
      <c r="AK118" s="0" t="s">
        <v>61</v>
      </c>
      <c r="AL118" s="0" t="s">
        <v>102</v>
      </c>
      <c r="AM118" s="0" t="s">
        <v>103</v>
      </c>
      <c r="AN118" s="0" t="s">
        <v>50</v>
      </c>
    </row>
    <row r="119" customFormat="false" ht="15" hidden="false" customHeight="false" outlineLevel="0" collapsed="false">
      <c r="A119" s="1" t="n">
        <v>45804</v>
      </c>
      <c r="B119" s="0" t="s">
        <v>432</v>
      </c>
      <c r="C119" s="0" t="s">
        <v>121</v>
      </c>
      <c r="D119" s="0" t="n">
        <v>8024894008</v>
      </c>
      <c r="E119" s="0" t="s">
        <v>85</v>
      </c>
      <c r="F119" s="0" t="s">
        <v>318</v>
      </c>
      <c r="G119" s="0" t="s">
        <v>45</v>
      </c>
      <c r="H119" s="0" t="s">
        <v>165</v>
      </c>
      <c r="I119" s="0" t="s">
        <v>47</v>
      </c>
      <c r="J119" s="0" t="s">
        <v>71</v>
      </c>
      <c r="K119" s="0" t="n">
        <v>74631</v>
      </c>
      <c r="L119" s="0" t="s">
        <v>110</v>
      </c>
      <c r="M119" s="0" t="s">
        <v>63</v>
      </c>
      <c r="N119" s="0" t="n">
        <v>5</v>
      </c>
      <c r="O119" s="0" t="n">
        <v>3.8</v>
      </c>
      <c r="Q119" s="0" t="s">
        <v>73</v>
      </c>
      <c r="R119" s="0" t="s">
        <v>94</v>
      </c>
      <c r="S119" s="0" t="s">
        <v>147</v>
      </c>
      <c r="T119" s="0" t="n">
        <v>15</v>
      </c>
      <c r="U119" s="0" t="s">
        <v>96</v>
      </c>
      <c r="V119" s="0" t="s">
        <v>155</v>
      </c>
      <c r="W119" s="0" t="s">
        <v>98</v>
      </c>
      <c r="X119" s="0" t="s">
        <v>58</v>
      </c>
      <c r="Y119" s="0" t="s">
        <v>197</v>
      </c>
      <c r="Z119" s="0" t="s">
        <v>149</v>
      </c>
      <c r="AA119" s="0" t="n">
        <v>25000</v>
      </c>
      <c r="AB119" s="0" t="n">
        <v>40000</v>
      </c>
      <c r="AC119" s="0" t="s">
        <v>63</v>
      </c>
      <c r="AD119" s="0" t="n">
        <v>5000</v>
      </c>
      <c r="AE119" s="0" t="s">
        <v>80</v>
      </c>
      <c r="AF119" s="1" t="n">
        <v>45911</v>
      </c>
      <c r="AG119" s="0" t="s">
        <v>50</v>
      </c>
      <c r="AH119" s="0" t="s">
        <v>116</v>
      </c>
      <c r="AJ119" s="0" t="s">
        <v>62</v>
      </c>
      <c r="AK119" s="0" t="s">
        <v>50</v>
      </c>
      <c r="AL119" s="0" t="s">
        <v>63</v>
      </c>
      <c r="AN119" s="0" t="s">
        <v>190</v>
      </c>
    </row>
    <row r="120" customFormat="false" ht="15" hidden="false" customHeight="false" outlineLevel="0" collapsed="false">
      <c r="A120" s="0" t="s">
        <v>433</v>
      </c>
      <c r="B120" s="0" t="s">
        <v>434</v>
      </c>
      <c r="C120" s="0" t="s">
        <v>66</v>
      </c>
      <c r="D120" s="0" t="n">
        <v>8055417034</v>
      </c>
      <c r="E120" s="0" t="s">
        <v>122</v>
      </c>
      <c r="F120" s="0" t="s">
        <v>435</v>
      </c>
      <c r="G120" s="0" t="s">
        <v>134</v>
      </c>
      <c r="H120" s="0" t="s">
        <v>153</v>
      </c>
      <c r="I120" s="0" t="s">
        <v>154</v>
      </c>
      <c r="J120" s="0" t="s">
        <v>48</v>
      </c>
      <c r="K120" s="0" t="n">
        <v>38687</v>
      </c>
      <c r="L120" s="0" t="s">
        <v>72</v>
      </c>
      <c r="M120" s="0" t="s">
        <v>63</v>
      </c>
      <c r="N120" s="0" t="n">
        <v>4</v>
      </c>
      <c r="O120" s="0" t="n">
        <v>5.6</v>
      </c>
      <c r="P120" s="0" t="s">
        <v>125</v>
      </c>
      <c r="Q120" s="0" t="s">
        <v>93</v>
      </c>
      <c r="R120" s="0" t="s">
        <v>74</v>
      </c>
      <c r="S120" s="0" t="s">
        <v>147</v>
      </c>
      <c r="T120" s="0" t="n">
        <v>15</v>
      </c>
      <c r="U120" s="0" t="s">
        <v>76</v>
      </c>
      <c r="V120" s="0" t="s">
        <v>77</v>
      </c>
      <c r="W120" s="0" t="s">
        <v>128</v>
      </c>
      <c r="X120" s="0" t="s">
        <v>99</v>
      </c>
      <c r="AB120" s="0" t="s">
        <v>178</v>
      </c>
      <c r="AC120" s="0" t="s">
        <v>50</v>
      </c>
      <c r="AD120" s="0" t="s">
        <v>115</v>
      </c>
      <c r="AE120" s="0" t="s">
        <v>80</v>
      </c>
      <c r="AF120" s="1" t="n">
        <v>45923</v>
      </c>
      <c r="AG120" s="0" t="s">
        <v>63</v>
      </c>
      <c r="AH120" s="0" t="s">
        <v>171</v>
      </c>
      <c r="AI120" s="0" t="s">
        <v>172</v>
      </c>
      <c r="AJ120" s="0" t="s">
        <v>62</v>
      </c>
      <c r="AN120" s="0" t="s">
        <v>198</v>
      </c>
    </row>
    <row r="121" customFormat="false" ht="15" hidden="false" customHeight="false" outlineLevel="0" collapsed="false">
      <c r="A121" s="1" t="n">
        <v>45811</v>
      </c>
      <c r="B121" s="0" t="s">
        <v>436</v>
      </c>
      <c r="C121" s="0" t="s">
        <v>163</v>
      </c>
      <c r="D121" s="0" t="n">
        <v>8038217583</v>
      </c>
      <c r="E121" s="0" t="s">
        <v>67</v>
      </c>
      <c r="F121" s="0" t="s">
        <v>437</v>
      </c>
      <c r="G121" s="0" t="s">
        <v>134</v>
      </c>
      <c r="H121" s="0" t="s">
        <v>46</v>
      </c>
      <c r="I121" s="0" t="s">
        <v>47</v>
      </c>
      <c r="J121" s="0" t="s">
        <v>109</v>
      </c>
      <c r="K121" s="0" t="n">
        <v>31176</v>
      </c>
      <c r="L121" s="0" t="s">
        <v>72</v>
      </c>
      <c r="M121" s="0" t="s">
        <v>63</v>
      </c>
      <c r="N121" s="0" t="n">
        <v>3</v>
      </c>
      <c r="O121" s="0" t="n">
        <v>5.1</v>
      </c>
      <c r="P121" s="0" t="s">
        <v>51</v>
      </c>
      <c r="Q121" s="0" t="s">
        <v>52</v>
      </c>
      <c r="R121" s="0" t="s">
        <v>136</v>
      </c>
      <c r="S121" s="0" t="s">
        <v>147</v>
      </c>
      <c r="T121" s="0" t="n">
        <v>15</v>
      </c>
      <c r="U121" s="0" t="s">
        <v>160</v>
      </c>
      <c r="V121" s="0" t="s">
        <v>56</v>
      </c>
      <c r="W121" s="0" t="s">
        <v>78</v>
      </c>
      <c r="X121" s="0" t="s">
        <v>137</v>
      </c>
      <c r="Z121" s="0" t="s">
        <v>149</v>
      </c>
      <c r="AA121" s="0" t="n">
        <v>15000</v>
      </c>
      <c r="AB121" s="0" t="n">
        <v>40000</v>
      </c>
      <c r="AD121" s="0" t="s">
        <v>115</v>
      </c>
      <c r="AE121" s="0" t="s">
        <v>60</v>
      </c>
      <c r="AG121" s="0" t="s">
        <v>63</v>
      </c>
      <c r="AH121" s="0" t="s">
        <v>171</v>
      </c>
      <c r="AJ121" s="0" t="s">
        <v>62</v>
      </c>
      <c r="AK121" s="0" t="s">
        <v>50</v>
      </c>
      <c r="AL121" s="0" t="s">
        <v>50</v>
      </c>
      <c r="AN121" s="0" t="s">
        <v>63</v>
      </c>
    </row>
    <row r="122" customFormat="false" ht="15" hidden="false" customHeight="false" outlineLevel="0" collapsed="false">
      <c r="A122" s="0" t="s">
        <v>438</v>
      </c>
      <c r="B122" s="0" t="s">
        <v>439</v>
      </c>
      <c r="C122" s="0" t="s">
        <v>105</v>
      </c>
      <c r="D122" s="0" t="n">
        <v>8050946121</v>
      </c>
      <c r="E122" s="0" t="s">
        <v>139</v>
      </c>
      <c r="F122" s="0" t="s">
        <v>440</v>
      </c>
      <c r="G122" s="0" t="s">
        <v>45</v>
      </c>
      <c r="I122" s="0" t="s">
        <v>89</v>
      </c>
      <c r="K122" s="0" t="n">
        <v>115937</v>
      </c>
      <c r="L122" s="0" t="s">
        <v>166</v>
      </c>
      <c r="M122" s="0" t="s">
        <v>50</v>
      </c>
      <c r="N122" s="0" t="n">
        <v>4</v>
      </c>
      <c r="O122" s="0" t="n">
        <v>2.9</v>
      </c>
      <c r="P122" s="0" t="s">
        <v>125</v>
      </c>
      <c r="Q122" s="0" t="s">
        <v>52</v>
      </c>
      <c r="R122" s="0" t="s">
        <v>159</v>
      </c>
      <c r="S122" s="0" t="s">
        <v>75</v>
      </c>
      <c r="T122" s="0" t="n">
        <v>30</v>
      </c>
      <c r="U122" s="0" t="s">
        <v>76</v>
      </c>
      <c r="V122" s="0" t="s">
        <v>77</v>
      </c>
      <c r="W122" s="0" t="s">
        <v>128</v>
      </c>
      <c r="X122" s="0" t="s">
        <v>58</v>
      </c>
      <c r="Y122" s="0" t="s">
        <v>197</v>
      </c>
      <c r="Z122" s="0" t="s">
        <v>143</v>
      </c>
      <c r="AB122" s="0" t="n">
        <v>40000</v>
      </c>
      <c r="AD122" s="0" t="n">
        <v>10000</v>
      </c>
      <c r="AF122" s="1" t="n">
        <v>45905</v>
      </c>
      <c r="AH122" s="0" t="s">
        <v>171</v>
      </c>
      <c r="AI122" s="0" t="s">
        <v>101</v>
      </c>
      <c r="AJ122" s="0" t="s">
        <v>62</v>
      </c>
      <c r="AK122" s="0" t="s">
        <v>63</v>
      </c>
      <c r="AM122" s="0" t="s">
        <v>118</v>
      </c>
      <c r="AN122" s="0" t="s">
        <v>190</v>
      </c>
    </row>
    <row r="123" customFormat="false" ht="15" hidden="false" customHeight="false" outlineLevel="0" collapsed="false">
      <c r="A123" s="1" t="n">
        <v>45813</v>
      </c>
      <c r="B123" s="0" t="s">
        <v>441</v>
      </c>
      <c r="C123" s="0" t="s">
        <v>66</v>
      </c>
      <c r="D123" s="0" t="n">
        <v>8071230621</v>
      </c>
      <c r="E123" s="0" t="s">
        <v>139</v>
      </c>
      <c r="F123" s="0" t="s">
        <v>442</v>
      </c>
      <c r="G123" s="0" t="s">
        <v>45</v>
      </c>
      <c r="H123" s="0" t="s">
        <v>141</v>
      </c>
      <c r="I123" s="0" t="s">
        <v>189</v>
      </c>
      <c r="K123" s="0" t="n">
        <v>61522</v>
      </c>
      <c r="L123" s="0" t="s">
        <v>110</v>
      </c>
      <c r="M123" s="0" t="s">
        <v>50</v>
      </c>
      <c r="N123" s="0" t="n">
        <v>1</v>
      </c>
      <c r="O123" s="0" t="n">
        <v>2.5</v>
      </c>
      <c r="P123" s="0" t="s">
        <v>125</v>
      </c>
      <c r="Q123" s="0" t="s">
        <v>93</v>
      </c>
      <c r="R123" s="0" t="s">
        <v>159</v>
      </c>
      <c r="S123" s="0" t="s">
        <v>54</v>
      </c>
      <c r="T123" s="0" t="n">
        <v>45</v>
      </c>
      <c r="U123" s="0" t="s">
        <v>55</v>
      </c>
      <c r="V123" s="0" t="s">
        <v>155</v>
      </c>
      <c r="W123" s="0" t="s">
        <v>78</v>
      </c>
      <c r="X123" s="0" t="s">
        <v>99</v>
      </c>
      <c r="Y123" s="0" t="s">
        <v>156</v>
      </c>
      <c r="Z123" s="0" t="s">
        <v>129</v>
      </c>
      <c r="AA123" s="0" t="n">
        <v>25000</v>
      </c>
      <c r="AB123" s="0" t="n">
        <v>40000</v>
      </c>
      <c r="AC123" s="0" t="s">
        <v>82</v>
      </c>
      <c r="AD123" s="0" t="s">
        <v>115</v>
      </c>
      <c r="AE123" s="0" t="s">
        <v>130</v>
      </c>
      <c r="AF123" s="1" t="n">
        <v>45990</v>
      </c>
      <c r="AG123" s="0" t="s">
        <v>63</v>
      </c>
      <c r="AH123" s="0" t="s">
        <v>116</v>
      </c>
      <c r="AI123" s="0" t="s">
        <v>117</v>
      </c>
      <c r="AJ123" s="0" t="s">
        <v>50</v>
      </c>
      <c r="AK123" s="0" t="s">
        <v>63</v>
      </c>
      <c r="AL123" s="0" t="s">
        <v>50</v>
      </c>
      <c r="AM123" s="0" t="s">
        <v>103</v>
      </c>
      <c r="AN123" s="0" t="s">
        <v>190</v>
      </c>
    </row>
    <row r="124" customFormat="false" ht="15" hidden="false" customHeight="false" outlineLevel="0" collapsed="false">
      <c r="A124" s="1" t="n">
        <v>45714</v>
      </c>
      <c r="B124" s="0" t="s">
        <v>443</v>
      </c>
      <c r="C124" s="0" t="s">
        <v>42</v>
      </c>
      <c r="D124" s="0" t="n">
        <v>8042232378</v>
      </c>
      <c r="E124" s="0" t="s">
        <v>67</v>
      </c>
      <c r="F124" s="0" t="s">
        <v>444</v>
      </c>
      <c r="G124" s="0" t="s">
        <v>45</v>
      </c>
      <c r="H124" s="0" t="s">
        <v>70</v>
      </c>
      <c r="I124" s="0" t="s">
        <v>47</v>
      </c>
      <c r="J124" s="0" t="s">
        <v>90</v>
      </c>
      <c r="K124" s="0" t="n">
        <v>47990</v>
      </c>
      <c r="L124" s="0" t="s">
        <v>124</v>
      </c>
      <c r="M124" s="0" t="s">
        <v>50</v>
      </c>
      <c r="N124" s="0" t="n">
        <v>2</v>
      </c>
      <c r="O124" s="0" t="n">
        <v>1.2</v>
      </c>
      <c r="Q124" s="0" t="s">
        <v>52</v>
      </c>
      <c r="R124" s="0" t="s">
        <v>74</v>
      </c>
      <c r="S124" s="0" t="s">
        <v>75</v>
      </c>
      <c r="T124" s="0" t="n">
        <v>60</v>
      </c>
      <c r="U124" s="0" t="s">
        <v>160</v>
      </c>
      <c r="V124" s="0" t="s">
        <v>155</v>
      </c>
      <c r="W124" s="0" t="s">
        <v>98</v>
      </c>
      <c r="X124" s="0" t="s">
        <v>99</v>
      </c>
      <c r="Y124" s="0" t="s">
        <v>156</v>
      </c>
      <c r="Z124" s="0" t="s">
        <v>129</v>
      </c>
      <c r="AA124" s="0" t="n">
        <v>25000</v>
      </c>
      <c r="AB124" s="0" t="n">
        <v>40000</v>
      </c>
      <c r="AC124" s="0" t="s">
        <v>50</v>
      </c>
      <c r="AD124" s="0" t="n">
        <v>10000</v>
      </c>
      <c r="AG124" s="0" t="s">
        <v>61</v>
      </c>
      <c r="AI124" s="0" t="s">
        <v>172</v>
      </c>
      <c r="AJ124" s="0" t="s">
        <v>50</v>
      </c>
      <c r="AK124" s="0" t="s">
        <v>63</v>
      </c>
      <c r="AL124" s="0" t="s">
        <v>63</v>
      </c>
      <c r="AM124" s="0" t="s">
        <v>83</v>
      </c>
      <c r="AN124" s="0" t="s">
        <v>50</v>
      </c>
    </row>
    <row r="125" customFormat="false" ht="15" hidden="false" customHeight="false" outlineLevel="0" collapsed="false">
      <c r="A125" s="1" t="n">
        <v>45817</v>
      </c>
      <c r="B125" s="0" t="s">
        <v>445</v>
      </c>
      <c r="C125" s="0" t="s">
        <v>66</v>
      </c>
      <c r="D125" s="0" t="n">
        <v>8059612328</v>
      </c>
      <c r="E125" s="0" t="s">
        <v>122</v>
      </c>
      <c r="F125" s="0" t="s">
        <v>446</v>
      </c>
      <c r="G125" s="0" t="s">
        <v>69</v>
      </c>
      <c r="H125" s="0" t="s">
        <v>88</v>
      </c>
      <c r="I125" s="0" t="s">
        <v>142</v>
      </c>
      <c r="J125" s="0" t="s">
        <v>71</v>
      </c>
      <c r="K125" s="0" t="n">
        <v>42392</v>
      </c>
      <c r="L125" s="0" t="s">
        <v>124</v>
      </c>
      <c r="M125" s="0" t="s">
        <v>63</v>
      </c>
      <c r="O125" s="0" t="n">
        <v>1.7</v>
      </c>
      <c r="P125" s="0" t="s">
        <v>51</v>
      </c>
      <c r="Q125" s="0" t="s">
        <v>93</v>
      </c>
      <c r="R125" s="0" t="s">
        <v>159</v>
      </c>
      <c r="S125" s="0" t="s">
        <v>54</v>
      </c>
      <c r="T125" s="0" t="n">
        <v>45</v>
      </c>
      <c r="U125" s="0" t="s">
        <v>55</v>
      </c>
      <c r="V125" s="0" t="s">
        <v>155</v>
      </c>
      <c r="W125" s="0" t="s">
        <v>113</v>
      </c>
      <c r="X125" s="0" t="s">
        <v>99</v>
      </c>
      <c r="Z125" s="0" t="s">
        <v>149</v>
      </c>
      <c r="AA125" s="0" t="n">
        <v>25000</v>
      </c>
      <c r="AB125" s="0" t="n">
        <v>35000</v>
      </c>
      <c r="AC125" s="0" t="s">
        <v>63</v>
      </c>
      <c r="AD125" s="0" t="s">
        <v>115</v>
      </c>
      <c r="AE125" s="0" t="s">
        <v>184</v>
      </c>
      <c r="AF125" s="0" t="s">
        <v>447</v>
      </c>
      <c r="AG125" s="0" t="s">
        <v>61</v>
      </c>
      <c r="AI125" s="0" t="s">
        <v>101</v>
      </c>
      <c r="AJ125" s="0" t="s">
        <v>62</v>
      </c>
      <c r="AM125" s="0" t="s">
        <v>83</v>
      </c>
      <c r="AN125" s="0" t="s">
        <v>198</v>
      </c>
    </row>
    <row r="126" customFormat="false" ht="15" hidden="false" customHeight="false" outlineLevel="0" collapsed="false">
      <c r="A126" s="1" t="n">
        <v>45700</v>
      </c>
      <c r="B126" s="0" t="s">
        <v>448</v>
      </c>
      <c r="C126" s="0" t="s">
        <v>163</v>
      </c>
      <c r="D126" s="0" t="n">
        <v>8059976005</v>
      </c>
      <c r="E126" s="0" t="s">
        <v>122</v>
      </c>
      <c r="F126" s="0" t="s">
        <v>123</v>
      </c>
      <c r="G126" s="0" t="s">
        <v>107</v>
      </c>
      <c r="H126" s="0" t="s">
        <v>70</v>
      </c>
      <c r="I126" s="0" t="s">
        <v>142</v>
      </c>
      <c r="J126" s="0" t="s">
        <v>48</v>
      </c>
      <c r="K126" s="0" t="n">
        <v>12563</v>
      </c>
      <c r="L126" s="0" t="s">
        <v>72</v>
      </c>
      <c r="M126" s="0" t="s">
        <v>63</v>
      </c>
      <c r="N126" s="0" t="n">
        <v>5</v>
      </c>
      <c r="O126" s="0" t="n">
        <v>4.9</v>
      </c>
      <c r="P126" s="0" t="s">
        <v>111</v>
      </c>
      <c r="Q126" s="0" t="s">
        <v>52</v>
      </c>
      <c r="S126" s="0" t="s">
        <v>95</v>
      </c>
      <c r="T126" s="0" t="n">
        <v>30</v>
      </c>
      <c r="U126" s="0" t="s">
        <v>55</v>
      </c>
      <c r="V126" s="0" t="s">
        <v>77</v>
      </c>
      <c r="W126" s="0" t="s">
        <v>78</v>
      </c>
      <c r="X126" s="0" t="s">
        <v>99</v>
      </c>
      <c r="Y126" s="0" t="s">
        <v>59</v>
      </c>
      <c r="Z126" s="0" t="s">
        <v>143</v>
      </c>
      <c r="AA126" s="0" t="n">
        <v>30000</v>
      </c>
      <c r="AB126" s="0" t="n">
        <v>40000</v>
      </c>
      <c r="AC126" s="0" t="s">
        <v>82</v>
      </c>
      <c r="AD126" s="0" t="s">
        <v>115</v>
      </c>
      <c r="AF126" s="1" t="n">
        <v>45829</v>
      </c>
      <c r="AG126" s="0" t="s">
        <v>63</v>
      </c>
      <c r="AI126" s="0" t="s">
        <v>101</v>
      </c>
      <c r="AJ126" s="0" t="s">
        <v>63</v>
      </c>
      <c r="AK126" s="0" t="s">
        <v>82</v>
      </c>
      <c r="AM126" s="0" t="s">
        <v>118</v>
      </c>
      <c r="AN126" s="0" t="s">
        <v>63</v>
      </c>
    </row>
    <row r="127" customFormat="false" ht="15" hidden="false" customHeight="false" outlineLevel="0" collapsed="false">
      <c r="A127" s="1" t="n">
        <v>45810</v>
      </c>
      <c r="B127" s="0" t="s">
        <v>449</v>
      </c>
      <c r="C127" s="0" t="s">
        <v>105</v>
      </c>
      <c r="D127" s="0" t="n">
        <v>8098705666</v>
      </c>
      <c r="E127" s="0" t="s">
        <v>43</v>
      </c>
      <c r="F127" s="0" t="s">
        <v>450</v>
      </c>
      <c r="G127" s="0" t="s">
        <v>107</v>
      </c>
      <c r="I127" s="0" t="s">
        <v>142</v>
      </c>
      <c r="J127" s="0" t="s">
        <v>71</v>
      </c>
      <c r="K127" s="0" t="n">
        <v>84847</v>
      </c>
      <c r="L127" s="0" t="s">
        <v>49</v>
      </c>
      <c r="M127" s="0" t="s">
        <v>63</v>
      </c>
      <c r="N127" s="0" t="n">
        <v>2</v>
      </c>
      <c r="O127" s="0" t="n">
        <v>1.6</v>
      </c>
      <c r="P127" s="0" t="s">
        <v>92</v>
      </c>
      <c r="Q127" s="0" t="s">
        <v>52</v>
      </c>
      <c r="R127" s="0" t="s">
        <v>94</v>
      </c>
      <c r="S127" s="0" t="s">
        <v>75</v>
      </c>
      <c r="T127" s="0" t="n">
        <v>30</v>
      </c>
      <c r="U127" s="0" t="s">
        <v>55</v>
      </c>
      <c r="V127" s="0" t="s">
        <v>148</v>
      </c>
      <c r="W127" s="0" t="s">
        <v>57</v>
      </c>
      <c r="X127" s="0" t="s">
        <v>137</v>
      </c>
      <c r="Z127" s="0" t="s">
        <v>79</v>
      </c>
      <c r="AA127" s="0" t="n">
        <v>15000</v>
      </c>
      <c r="AB127" s="0" t="n">
        <v>30000</v>
      </c>
      <c r="AC127" s="0" t="s">
        <v>82</v>
      </c>
      <c r="AF127" s="0" t="s">
        <v>451</v>
      </c>
      <c r="AH127" s="0" t="s">
        <v>116</v>
      </c>
      <c r="AI127" s="0" t="s">
        <v>172</v>
      </c>
      <c r="AJ127" s="0" t="s">
        <v>50</v>
      </c>
      <c r="AK127" s="0" t="s">
        <v>63</v>
      </c>
      <c r="AL127" s="0" t="s">
        <v>63</v>
      </c>
      <c r="AM127" s="0" t="s">
        <v>103</v>
      </c>
    </row>
    <row r="128" customFormat="false" ht="15" hidden="false" customHeight="false" outlineLevel="0" collapsed="false">
      <c r="A128" s="0" t="s">
        <v>416</v>
      </c>
      <c r="B128" s="0" t="s">
        <v>452</v>
      </c>
      <c r="C128" s="0" t="s">
        <v>121</v>
      </c>
      <c r="D128" s="0" t="n">
        <v>8032999523</v>
      </c>
      <c r="E128" s="0" t="s">
        <v>139</v>
      </c>
      <c r="F128" s="0" t="s">
        <v>453</v>
      </c>
      <c r="G128" s="0" t="s">
        <v>134</v>
      </c>
      <c r="H128" s="0" t="s">
        <v>46</v>
      </c>
      <c r="I128" s="0" t="s">
        <v>47</v>
      </c>
      <c r="J128" s="0" t="s">
        <v>48</v>
      </c>
      <c r="K128" s="0" t="n">
        <v>53597</v>
      </c>
      <c r="L128" s="0" t="s">
        <v>110</v>
      </c>
      <c r="M128" s="0" t="s">
        <v>50</v>
      </c>
      <c r="N128" s="0" t="n">
        <v>5</v>
      </c>
      <c r="O128" s="0" t="n">
        <v>5.6</v>
      </c>
      <c r="P128" s="0" t="s">
        <v>125</v>
      </c>
      <c r="Q128" s="0" t="s">
        <v>93</v>
      </c>
      <c r="R128" s="0" t="s">
        <v>159</v>
      </c>
      <c r="S128" s="0" t="s">
        <v>147</v>
      </c>
      <c r="T128" s="0" t="n">
        <v>60</v>
      </c>
      <c r="U128" s="0" t="s">
        <v>55</v>
      </c>
      <c r="V128" s="0" t="s">
        <v>155</v>
      </c>
      <c r="W128" s="0" t="s">
        <v>57</v>
      </c>
      <c r="X128" s="0" t="s">
        <v>196</v>
      </c>
      <c r="Y128" s="0" t="s">
        <v>177</v>
      </c>
      <c r="Z128" s="0" t="s">
        <v>149</v>
      </c>
      <c r="AA128" s="0" t="n">
        <v>25000</v>
      </c>
      <c r="AC128" s="0" t="s">
        <v>82</v>
      </c>
      <c r="AD128" s="0" t="n">
        <v>0</v>
      </c>
      <c r="AE128" s="0" t="s">
        <v>80</v>
      </c>
      <c r="AF128" s="1" t="n">
        <v>46012</v>
      </c>
      <c r="AG128" s="0" t="s">
        <v>50</v>
      </c>
      <c r="AJ128" s="0" t="s">
        <v>81</v>
      </c>
      <c r="AL128" s="0" t="s">
        <v>102</v>
      </c>
      <c r="AM128" s="0" t="s">
        <v>83</v>
      </c>
      <c r="AN128" s="0" t="s">
        <v>190</v>
      </c>
    </row>
    <row r="129" customFormat="false" ht="15" hidden="false" customHeight="false" outlineLevel="0" collapsed="false">
      <c r="A129" s="1" t="n">
        <v>45691</v>
      </c>
      <c r="B129" s="0" t="s">
        <v>454</v>
      </c>
      <c r="C129" s="0" t="s">
        <v>121</v>
      </c>
      <c r="D129" s="0" t="n">
        <v>8080722909</v>
      </c>
      <c r="E129" s="0" t="s">
        <v>67</v>
      </c>
      <c r="F129" s="0" t="s">
        <v>455</v>
      </c>
      <c r="G129" s="0" t="s">
        <v>107</v>
      </c>
      <c r="H129" s="0" t="s">
        <v>176</v>
      </c>
      <c r="I129" s="0" t="s">
        <v>108</v>
      </c>
      <c r="J129" s="0" t="s">
        <v>109</v>
      </c>
      <c r="K129" s="0" t="n">
        <v>44214</v>
      </c>
      <c r="L129" s="0" t="s">
        <v>91</v>
      </c>
      <c r="M129" s="0" t="s">
        <v>63</v>
      </c>
      <c r="N129" s="0" t="n">
        <v>1</v>
      </c>
      <c r="O129" s="0" t="n">
        <v>4.1</v>
      </c>
      <c r="P129" s="0" t="s">
        <v>125</v>
      </c>
      <c r="Q129" s="0" t="s">
        <v>52</v>
      </c>
      <c r="R129" s="0" t="s">
        <v>53</v>
      </c>
      <c r="S129" s="0" t="s">
        <v>167</v>
      </c>
      <c r="T129" s="0" t="n">
        <v>15</v>
      </c>
      <c r="U129" s="0" t="s">
        <v>96</v>
      </c>
      <c r="V129" s="0" t="s">
        <v>155</v>
      </c>
      <c r="W129" s="0" t="s">
        <v>78</v>
      </c>
      <c r="X129" s="0" t="s">
        <v>137</v>
      </c>
      <c r="Y129" s="0" t="s">
        <v>59</v>
      </c>
      <c r="Z129" s="0" t="s">
        <v>161</v>
      </c>
      <c r="AA129" s="0" t="n">
        <v>40000</v>
      </c>
      <c r="AB129" s="0" t="s">
        <v>178</v>
      </c>
      <c r="AC129" s="0" t="s">
        <v>63</v>
      </c>
      <c r="AD129" s="0" t="n">
        <v>0</v>
      </c>
      <c r="AE129" s="0" t="s">
        <v>184</v>
      </c>
      <c r="AG129" s="0" t="s">
        <v>50</v>
      </c>
      <c r="AI129" s="0" t="s">
        <v>172</v>
      </c>
      <c r="AJ129" s="0" t="s">
        <v>81</v>
      </c>
      <c r="AL129" s="0" t="s">
        <v>50</v>
      </c>
      <c r="AM129" s="0" t="s">
        <v>83</v>
      </c>
    </row>
    <row r="130" customFormat="false" ht="15" hidden="false" customHeight="false" outlineLevel="0" collapsed="false">
      <c r="A130" s="1" t="n">
        <v>45791</v>
      </c>
      <c r="B130" s="0" t="s">
        <v>456</v>
      </c>
      <c r="C130" s="0" t="s">
        <v>121</v>
      </c>
      <c r="D130" s="0" t="n">
        <v>8093644995</v>
      </c>
      <c r="E130" s="0" t="s">
        <v>122</v>
      </c>
      <c r="F130" s="0" t="s">
        <v>457</v>
      </c>
      <c r="G130" s="0" t="s">
        <v>45</v>
      </c>
      <c r="H130" s="0" t="s">
        <v>88</v>
      </c>
      <c r="I130" s="0" t="s">
        <v>154</v>
      </c>
      <c r="J130" s="0" t="s">
        <v>90</v>
      </c>
      <c r="K130" s="0" t="n">
        <v>43278</v>
      </c>
      <c r="L130" s="0" t="s">
        <v>110</v>
      </c>
      <c r="M130" s="0" t="s">
        <v>63</v>
      </c>
      <c r="N130" s="0" t="n">
        <v>1</v>
      </c>
      <c r="O130" s="0" t="n">
        <v>3.2</v>
      </c>
      <c r="P130" s="0" t="s">
        <v>111</v>
      </c>
      <c r="Q130" s="0" t="s">
        <v>93</v>
      </c>
      <c r="R130" s="0" t="s">
        <v>53</v>
      </c>
      <c r="S130" s="0" t="s">
        <v>54</v>
      </c>
      <c r="T130" s="0" t="n">
        <v>30</v>
      </c>
      <c r="U130" s="0" t="s">
        <v>160</v>
      </c>
      <c r="V130" s="0" t="s">
        <v>56</v>
      </c>
      <c r="W130" s="0" t="s">
        <v>98</v>
      </c>
      <c r="X130" s="0" t="s">
        <v>99</v>
      </c>
      <c r="Z130" s="0" t="s">
        <v>149</v>
      </c>
      <c r="AA130" s="0" t="n">
        <v>40000</v>
      </c>
      <c r="AB130" s="0" t="n">
        <v>35000</v>
      </c>
      <c r="AC130" s="0" t="s">
        <v>63</v>
      </c>
      <c r="AD130" s="0" t="s">
        <v>115</v>
      </c>
      <c r="AE130" s="0" t="s">
        <v>60</v>
      </c>
      <c r="AF130" s="1" t="n">
        <v>45828</v>
      </c>
      <c r="AG130" s="0" t="s">
        <v>82</v>
      </c>
      <c r="AH130" s="0" t="s">
        <v>116</v>
      </c>
      <c r="AI130" s="0" t="s">
        <v>117</v>
      </c>
      <c r="AJ130" s="0" t="s">
        <v>50</v>
      </c>
      <c r="AK130" s="0" t="s">
        <v>63</v>
      </c>
      <c r="AM130" s="0" t="s">
        <v>64</v>
      </c>
      <c r="AN130" s="0" t="s">
        <v>198</v>
      </c>
    </row>
    <row r="131" customFormat="false" ht="15" hidden="false" customHeight="false" outlineLevel="0" collapsed="false">
      <c r="A131" s="0" t="s">
        <v>458</v>
      </c>
      <c r="B131" s="0" t="s">
        <v>459</v>
      </c>
      <c r="C131" s="0" t="s">
        <v>121</v>
      </c>
      <c r="D131" s="0" t="n">
        <v>8068212652</v>
      </c>
      <c r="E131" s="0" t="s">
        <v>122</v>
      </c>
      <c r="F131" s="0" t="s">
        <v>460</v>
      </c>
      <c r="G131" s="0" t="s">
        <v>45</v>
      </c>
      <c r="H131" s="0" t="s">
        <v>272</v>
      </c>
      <c r="I131" s="0" t="s">
        <v>108</v>
      </c>
      <c r="J131" s="0" t="s">
        <v>90</v>
      </c>
      <c r="K131" s="0" t="n">
        <v>85708</v>
      </c>
      <c r="L131" s="0" t="s">
        <v>124</v>
      </c>
      <c r="M131" s="0" t="s">
        <v>50</v>
      </c>
      <c r="N131" s="0" t="n">
        <v>2</v>
      </c>
      <c r="O131" s="0" t="n">
        <v>3.4</v>
      </c>
      <c r="P131" s="0" t="s">
        <v>111</v>
      </c>
      <c r="Q131" s="0" t="s">
        <v>52</v>
      </c>
      <c r="R131" s="0" t="s">
        <v>136</v>
      </c>
      <c r="S131" s="0" t="s">
        <v>95</v>
      </c>
      <c r="T131" s="0" t="n">
        <v>30</v>
      </c>
      <c r="U131" s="0" t="s">
        <v>112</v>
      </c>
      <c r="V131" s="0" t="s">
        <v>97</v>
      </c>
      <c r="W131" s="0" t="s">
        <v>98</v>
      </c>
      <c r="X131" s="0" t="s">
        <v>58</v>
      </c>
      <c r="Z131" s="0" t="s">
        <v>143</v>
      </c>
      <c r="AA131" s="0" t="s">
        <v>150</v>
      </c>
      <c r="AC131" s="0" t="s">
        <v>61</v>
      </c>
      <c r="AD131" s="0" t="n">
        <v>0</v>
      </c>
      <c r="AF131" s="1" t="n">
        <v>45829</v>
      </c>
      <c r="AG131" s="0" t="s">
        <v>50</v>
      </c>
      <c r="AI131" s="0" t="s">
        <v>101</v>
      </c>
      <c r="AJ131" s="0" t="s">
        <v>63</v>
      </c>
      <c r="AL131" s="0" t="s">
        <v>63</v>
      </c>
      <c r="AM131" s="0" t="s">
        <v>64</v>
      </c>
      <c r="AN131" s="0" t="s">
        <v>50</v>
      </c>
    </row>
    <row r="132" customFormat="false" ht="15" hidden="false" customHeight="false" outlineLevel="0" collapsed="false">
      <c r="A132" s="1" t="n">
        <v>45667</v>
      </c>
      <c r="B132" s="0" t="s">
        <v>461</v>
      </c>
      <c r="C132" s="0" t="s">
        <v>66</v>
      </c>
      <c r="D132" s="0" t="n">
        <v>8018774822</v>
      </c>
      <c r="E132" s="0" t="s">
        <v>85</v>
      </c>
      <c r="F132" s="0" t="s">
        <v>462</v>
      </c>
      <c r="G132" s="0" t="s">
        <v>107</v>
      </c>
      <c r="H132" s="0" t="s">
        <v>242</v>
      </c>
      <c r="I132" s="0" t="s">
        <v>47</v>
      </c>
      <c r="J132" s="0" t="s">
        <v>90</v>
      </c>
      <c r="K132" s="0" t="n">
        <v>116268</v>
      </c>
      <c r="L132" s="0" t="s">
        <v>91</v>
      </c>
      <c r="M132" s="0" t="s">
        <v>63</v>
      </c>
      <c r="O132" s="0" t="n">
        <v>2.6</v>
      </c>
      <c r="P132" s="0" t="s">
        <v>111</v>
      </c>
      <c r="Q132" s="0" t="s">
        <v>52</v>
      </c>
      <c r="R132" s="0" t="s">
        <v>74</v>
      </c>
      <c r="S132" s="0" t="s">
        <v>126</v>
      </c>
      <c r="T132" s="0" t="s">
        <v>127</v>
      </c>
      <c r="U132" s="0" t="s">
        <v>76</v>
      </c>
      <c r="V132" s="0" t="s">
        <v>155</v>
      </c>
      <c r="W132" s="0" t="s">
        <v>113</v>
      </c>
      <c r="X132" s="0" t="s">
        <v>58</v>
      </c>
      <c r="Y132" s="0" t="s">
        <v>156</v>
      </c>
      <c r="Z132" s="0" t="s">
        <v>161</v>
      </c>
      <c r="AA132" s="0" t="n">
        <v>25000</v>
      </c>
      <c r="AB132" s="0" t="n">
        <v>40000</v>
      </c>
      <c r="AD132" s="0" t="n">
        <v>5000</v>
      </c>
      <c r="AE132" s="0" t="s">
        <v>184</v>
      </c>
      <c r="AG132" s="0" t="s">
        <v>50</v>
      </c>
      <c r="AH132" s="0" t="s">
        <v>116</v>
      </c>
      <c r="AI132" s="0" t="s">
        <v>117</v>
      </c>
      <c r="AJ132" s="0" t="s">
        <v>62</v>
      </c>
      <c r="AK132" s="0" t="s">
        <v>61</v>
      </c>
      <c r="AL132" s="0" t="s">
        <v>50</v>
      </c>
      <c r="AM132" s="0" t="s">
        <v>118</v>
      </c>
      <c r="AN132" s="0" t="s">
        <v>63</v>
      </c>
    </row>
    <row r="133" customFormat="false" ht="15" hidden="false" customHeight="false" outlineLevel="0" collapsed="false">
      <c r="A133" s="0" t="s">
        <v>463</v>
      </c>
      <c r="B133" s="0" t="s">
        <v>464</v>
      </c>
      <c r="C133" s="0" t="s">
        <v>163</v>
      </c>
      <c r="D133" s="0" t="n">
        <v>8025903904</v>
      </c>
      <c r="E133" s="0" t="s">
        <v>43</v>
      </c>
      <c r="F133" s="0" t="s">
        <v>465</v>
      </c>
      <c r="G133" s="0" t="s">
        <v>87</v>
      </c>
      <c r="H133" s="0" t="s">
        <v>170</v>
      </c>
      <c r="I133" s="0" t="s">
        <v>189</v>
      </c>
      <c r="J133" s="0" t="s">
        <v>90</v>
      </c>
      <c r="K133" s="0" t="n">
        <v>111571</v>
      </c>
      <c r="L133" s="0" t="s">
        <v>124</v>
      </c>
      <c r="M133" s="0" t="s">
        <v>50</v>
      </c>
      <c r="N133" s="0" t="n">
        <v>3</v>
      </c>
      <c r="O133" s="0" t="n">
        <v>3.1</v>
      </c>
      <c r="Q133" s="0" t="s">
        <v>73</v>
      </c>
      <c r="R133" s="0" t="s">
        <v>74</v>
      </c>
      <c r="S133" s="0" t="s">
        <v>95</v>
      </c>
      <c r="T133" s="0" t="n">
        <v>30</v>
      </c>
      <c r="U133" s="0" t="s">
        <v>55</v>
      </c>
      <c r="V133" s="0" t="s">
        <v>97</v>
      </c>
      <c r="W133" s="0" t="s">
        <v>57</v>
      </c>
      <c r="X133" s="0" t="s">
        <v>137</v>
      </c>
      <c r="Y133" s="0" t="s">
        <v>177</v>
      </c>
      <c r="Z133" s="0" t="s">
        <v>143</v>
      </c>
      <c r="AA133" s="0" t="n">
        <v>15000</v>
      </c>
      <c r="AB133" s="0" t="s">
        <v>178</v>
      </c>
      <c r="AD133" s="0" t="n">
        <v>5000</v>
      </c>
      <c r="AE133" s="0" t="s">
        <v>184</v>
      </c>
      <c r="AG133" s="0" t="s">
        <v>61</v>
      </c>
      <c r="AH133" s="0" t="s">
        <v>171</v>
      </c>
      <c r="AJ133" s="0" t="s">
        <v>50</v>
      </c>
      <c r="AK133" s="0" t="s">
        <v>82</v>
      </c>
      <c r="AN133" s="0" t="s">
        <v>190</v>
      </c>
    </row>
    <row r="134" customFormat="false" ht="15" hidden="false" customHeight="false" outlineLevel="0" collapsed="false">
      <c r="A134" s="1" t="n">
        <v>45691</v>
      </c>
      <c r="B134" s="0" t="s">
        <v>466</v>
      </c>
      <c r="C134" s="0" t="s">
        <v>163</v>
      </c>
      <c r="D134" s="0" t="n">
        <v>8029385367</v>
      </c>
      <c r="E134" s="0" t="s">
        <v>85</v>
      </c>
      <c r="F134" s="0" t="s">
        <v>467</v>
      </c>
      <c r="G134" s="0" t="s">
        <v>69</v>
      </c>
      <c r="H134" s="0" t="s">
        <v>88</v>
      </c>
      <c r="I134" s="0" t="s">
        <v>154</v>
      </c>
      <c r="J134" s="0" t="s">
        <v>71</v>
      </c>
      <c r="K134" s="0" t="n">
        <v>75289</v>
      </c>
      <c r="L134" s="0" t="s">
        <v>72</v>
      </c>
      <c r="M134" s="0" t="s">
        <v>63</v>
      </c>
      <c r="N134" s="0" t="n">
        <v>1</v>
      </c>
      <c r="O134" s="0" t="n">
        <v>1.9</v>
      </c>
      <c r="P134" s="0" t="s">
        <v>92</v>
      </c>
      <c r="Q134" s="0" t="s">
        <v>52</v>
      </c>
      <c r="S134" s="0" t="s">
        <v>54</v>
      </c>
      <c r="T134" s="0" t="n">
        <v>45</v>
      </c>
      <c r="U134" s="0" t="s">
        <v>76</v>
      </c>
      <c r="V134" s="0" t="s">
        <v>148</v>
      </c>
      <c r="W134" s="0" t="s">
        <v>98</v>
      </c>
      <c r="X134" s="0" t="s">
        <v>114</v>
      </c>
      <c r="Y134" s="0" t="s">
        <v>197</v>
      </c>
      <c r="Z134" s="0" t="s">
        <v>79</v>
      </c>
      <c r="AA134" s="0" t="n">
        <v>40000</v>
      </c>
      <c r="AB134" s="0" t="n">
        <v>40000</v>
      </c>
      <c r="AC134" s="0" t="s">
        <v>61</v>
      </c>
      <c r="AD134" s="0" t="n">
        <v>0</v>
      </c>
      <c r="AE134" s="0" t="s">
        <v>130</v>
      </c>
      <c r="AF134" s="1" t="n">
        <v>45894</v>
      </c>
      <c r="AG134" s="0" t="s">
        <v>61</v>
      </c>
      <c r="AH134" s="0" t="s">
        <v>171</v>
      </c>
      <c r="AK134" s="0" t="s">
        <v>61</v>
      </c>
      <c r="AL134" s="0" t="s">
        <v>63</v>
      </c>
      <c r="AM134" s="0" t="s">
        <v>64</v>
      </c>
      <c r="AN134" s="0" t="s">
        <v>50</v>
      </c>
    </row>
    <row r="135" customFormat="false" ht="15" hidden="false" customHeight="false" outlineLevel="0" collapsed="false">
      <c r="A135" s="0" t="s">
        <v>468</v>
      </c>
      <c r="B135" s="0" t="s">
        <v>469</v>
      </c>
      <c r="C135" s="0" t="s">
        <v>121</v>
      </c>
      <c r="D135" s="0" t="n">
        <v>8027554964</v>
      </c>
      <c r="E135" s="0" t="s">
        <v>139</v>
      </c>
      <c r="F135" s="0" t="s">
        <v>470</v>
      </c>
      <c r="G135" s="0" t="s">
        <v>134</v>
      </c>
      <c r="H135" s="0" t="s">
        <v>272</v>
      </c>
      <c r="I135" s="0" t="s">
        <v>47</v>
      </c>
      <c r="K135" s="0" t="n">
        <v>90112</v>
      </c>
      <c r="L135" s="0" t="s">
        <v>110</v>
      </c>
      <c r="M135" s="0" t="s">
        <v>63</v>
      </c>
      <c r="N135" s="0" t="n">
        <v>2</v>
      </c>
      <c r="O135" s="0" t="n">
        <v>5.7</v>
      </c>
      <c r="P135" s="0" t="s">
        <v>51</v>
      </c>
      <c r="Q135" s="0" t="s">
        <v>93</v>
      </c>
      <c r="R135" s="0" t="s">
        <v>159</v>
      </c>
      <c r="S135" s="0" t="s">
        <v>95</v>
      </c>
      <c r="T135" s="0" t="n">
        <v>30</v>
      </c>
      <c r="U135" s="0" t="s">
        <v>96</v>
      </c>
      <c r="V135" s="0" t="s">
        <v>77</v>
      </c>
      <c r="W135" s="0" t="s">
        <v>78</v>
      </c>
      <c r="X135" s="0" t="s">
        <v>99</v>
      </c>
      <c r="Y135" s="0" t="s">
        <v>177</v>
      </c>
      <c r="Z135" s="0" t="s">
        <v>143</v>
      </c>
      <c r="AA135" s="0" t="n">
        <v>25000</v>
      </c>
      <c r="AB135" s="0" t="n">
        <v>35000</v>
      </c>
      <c r="AC135" s="0" t="s">
        <v>82</v>
      </c>
      <c r="AD135" s="0" t="n">
        <v>10000</v>
      </c>
      <c r="AE135" s="0" t="s">
        <v>60</v>
      </c>
      <c r="AG135" s="0" t="s">
        <v>50</v>
      </c>
      <c r="AJ135" s="0" t="s">
        <v>63</v>
      </c>
      <c r="AK135" s="0" t="s">
        <v>82</v>
      </c>
      <c r="AM135" s="0" t="s">
        <v>83</v>
      </c>
      <c r="AN135" s="0" t="s">
        <v>63</v>
      </c>
    </row>
    <row r="136" customFormat="false" ht="15" hidden="false" customHeight="false" outlineLevel="0" collapsed="false">
      <c r="A136" s="1" t="n">
        <v>45669</v>
      </c>
      <c r="B136" s="0" t="s">
        <v>471</v>
      </c>
      <c r="C136" s="0" t="s">
        <v>42</v>
      </c>
      <c r="D136" s="0" t="n">
        <v>8035453201</v>
      </c>
      <c r="E136" s="0" t="s">
        <v>67</v>
      </c>
      <c r="F136" s="0" t="s">
        <v>472</v>
      </c>
      <c r="G136" s="0" t="s">
        <v>87</v>
      </c>
      <c r="H136" s="0" t="s">
        <v>70</v>
      </c>
      <c r="I136" s="0" t="s">
        <v>47</v>
      </c>
      <c r="J136" s="0" t="s">
        <v>71</v>
      </c>
      <c r="K136" s="0" t="n">
        <v>103780</v>
      </c>
      <c r="L136" s="0" t="s">
        <v>49</v>
      </c>
      <c r="M136" s="0" t="s">
        <v>50</v>
      </c>
      <c r="N136" s="0" t="n">
        <v>1</v>
      </c>
      <c r="O136" s="0" t="n">
        <v>1.9</v>
      </c>
      <c r="Q136" s="0" t="s">
        <v>93</v>
      </c>
      <c r="R136" s="0" t="s">
        <v>159</v>
      </c>
      <c r="S136" s="0" t="s">
        <v>147</v>
      </c>
      <c r="T136" s="0" t="n">
        <v>60</v>
      </c>
      <c r="U136" s="0" t="s">
        <v>96</v>
      </c>
      <c r="V136" s="0" t="s">
        <v>56</v>
      </c>
      <c r="W136" s="0" t="s">
        <v>57</v>
      </c>
      <c r="X136" s="0" t="s">
        <v>58</v>
      </c>
      <c r="Y136" s="0" t="s">
        <v>59</v>
      </c>
      <c r="Z136" s="0" t="s">
        <v>129</v>
      </c>
      <c r="AA136" s="0" t="n">
        <v>40000</v>
      </c>
      <c r="AB136" s="0" t="n">
        <v>35000</v>
      </c>
      <c r="AD136" s="0" t="n">
        <v>0</v>
      </c>
      <c r="AE136" s="0" t="s">
        <v>80</v>
      </c>
      <c r="AF136" s="1" t="n">
        <v>45942</v>
      </c>
      <c r="AG136" s="0" t="s">
        <v>61</v>
      </c>
      <c r="AI136" s="0" t="s">
        <v>117</v>
      </c>
      <c r="AJ136" s="0" t="s">
        <v>81</v>
      </c>
      <c r="AK136" s="0" t="s">
        <v>82</v>
      </c>
      <c r="AL136" s="0" t="s">
        <v>50</v>
      </c>
      <c r="AN136" s="0" t="s">
        <v>50</v>
      </c>
    </row>
    <row r="137" customFormat="false" ht="15" hidden="false" customHeight="false" outlineLevel="0" collapsed="false">
      <c r="A137" s="1" t="n">
        <v>45747</v>
      </c>
      <c r="B137" s="0" t="s">
        <v>473</v>
      </c>
      <c r="C137" s="0" t="s">
        <v>121</v>
      </c>
      <c r="D137" s="0" t="n">
        <v>8035727027</v>
      </c>
      <c r="E137" s="0" t="s">
        <v>139</v>
      </c>
      <c r="F137" s="0" t="s">
        <v>312</v>
      </c>
      <c r="G137" s="0" t="s">
        <v>45</v>
      </c>
      <c r="H137" s="0" t="s">
        <v>141</v>
      </c>
      <c r="I137" s="0" t="s">
        <v>189</v>
      </c>
      <c r="J137" s="0" t="s">
        <v>71</v>
      </c>
      <c r="K137" s="0" t="n">
        <v>105031</v>
      </c>
      <c r="L137" s="0" t="s">
        <v>91</v>
      </c>
      <c r="M137" s="0" t="s">
        <v>50</v>
      </c>
      <c r="N137" s="0" t="n">
        <v>2</v>
      </c>
      <c r="O137" s="0" t="n">
        <v>4</v>
      </c>
      <c r="Q137" s="0" t="s">
        <v>52</v>
      </c>
      <c r="R137" s="0" t="s">
        <v>136</v>
      </c>
      <c r="S137" s="0" t="s">
        <v>54</v>
      </c>
      <c r="U137" s="0" t="s">
        <v>112</v>
      </c>
      <c r="V137" s="0" t="s">
        <v>155</v>
      </c>
      <c r="W137" s="0" t="s">
        <v>78</v>
      </c>
      <c r="X137" s="0" t="s">
        <v>58</v>
      </c>
      <c r="Z137" s="0" t="s">
        <v>143</v>
      </c>
      <c r="AA137" s="0" t="n">
        <v>30000</v>
      </c>
      <c r="AB137" s="0" t="n">
        <v>30000</v>
      </c>
      <c r="AC137" s="0" t="s">
        <v>82</v>
      </c>
      <c r="AD137" s="0" t="n">
        <v>5000</v>
      </c>
      <c r="AE137" s="0" t="s">
        <v>184</v>
      </c>
      <c r="AF137" s="0" t="s">
        <v>474</v>
      </c>
      <c r="AG137" s="0" t="s">
        <v>61</v>
      </c>
      <c r="AH137" s="0" t="s">
        <v>171</v>
      </c>
      <c r="AK137" s="0" t="s">
        <v>63</v>
      </c>
      <c r="AL137" s="0" t="s">
        <v>63</v>
      </c>
      <c r="AM137" s="0" t="s">
        <v>103</v>
      </c>
      <c r="AN137" s="0" t="s">
        <v>50</v>
      </c>
    </row>
    <row r="138" customFormat="false" ht="15" hidden="false" customHeight="false" outlineLevel="0" collapsed="false">
      <c r="A138" s="1" t="n">
        <v>45805</v>
      </c>
      <c r="B138" s="0" t="s">
        <v>475</v>
      </c>
      <c r="C138" s="0" t="s">
        <v>66</v>
      </c>
      <c r="D138" s="0" t="n">
        <v>8081478283</v>
      </c>
      <c r="E138" s="0" t="s">
        <v>67</v>
      </c>
      <c r="F138" s="0" t="s">
        <v>476</v>
      </c>
      <c r="G138" s="0" t="s">
        <v>45</v>
      </c>
      <c r="H138" s="0" t="s">
        <v>141</v>
      </c>
      <c r="I138" s="0" t="s">
        <v>142</v>
      </c>
      <c r="J138" s="0" t="s">
        <v>109</v>
      </c>
      <c r="K138" s="0" t="n">
        <v>25267</v>
      </c>
      <c r="L138" s="0" t="s">
        <v>72</v>
      </c>
      <c r="M138" s="0" t="s">
        <v>50</v>
      </c>
      <c r="O138" s="0" t="n">
        <v>2.7</v>
      </c>
      <c r="P138" s="0" t="s">
        <v>111</v>
      </c>
      <c r="Q138" s="0" t="s">
        <v>52</v>
      </c>
      <c r="R138" s="0" t="s">
        <v>74</v>
      </c>
      <c r="S138" s="0" t="s">
        <v>147</v>
      </c>
      <c r="T138" s="0" t="n">
        <v>15</v>
      </c>
      <c r="U138" s="0" t="s">
        <v>76</v>
      </c>
      <c r="V138" s="0" t="s">
        <v>97</v>
      </c>
      <c r="W138" s="0" t="s">
        <v>98</v>
      </c>
      <c r="X138" s="0" t="s">
        <v>137</v>
      </c>
      <c r="AA138" s="0" t="n">
        <v>40000</v>
      </c>
      <c r="AB138" s="0" t="n">
        <v>35000</v>
      </c>
      <c r="AC138" s="0" t="s">
        <v>82</v>
      </c>
      <c r="AE138" s="0" t="s">
        <v>184</v>
      </c>
      <c r="AG138" s="0" t="s">
        <v>82</v>
      </c>
      <c r="AJ138" s="0" t="s">
        <v>81</v>
      </c>
      <c r="AK138" s="0" t="s">
        <v>82</v>
      </c>
      <c r="AL138" s="0" t="s">
        <v>63</v>
      </c>
      <c r="AM138" s="0" t="s">
        <v>64</v>
      </c>
    </row>
    <row r="139" customFormat="false" ht="15" hidden="false" customHeight="false" outlineLevel="0" collapsed="false">
      <c r="A139" s="1" t="n">
        <v>45723</v>
      </c>
      <c r="B139" s="0" t="s">
        <v>477</v>
      </c>
      <c r="C139" s="0" t="s">
        <v>163</v>
      </c>
      <c r="D139" s="0" t="n">
        <v>8060760544</v>
      </c>
      <c r="E139" s="0" t="s">
        <v>122</v>
      </c>
      <c r="F139" s="0" t="s">
        <v>478</v>
      </c>
      <c r="G139" s="0" t="s">
        <v>107</v>
      </c>
      <c r="H139" s="0" t="s">
        <v>272</v>
      </c>
      <c r="I139" s="0" t="s">
        <v>89</v>
      </c>
      <c r="J139" s="0" t="s">
        <v>90</v>
      </c>
      <c r="K139" s="0" t="n">
        <v>33653</v>
      </c>
      <c r="L139" s="0" t="s">
        <v>49</v>
      </c>
      <c r="M139" s="0" t="s">
        <v>50</v>
      </c>
      <c r="N139" s="0" t="n">
        <v>4</v>
      </c>
      <c r="O139" s="0" t="n">
        <v>2.1</v>
      </c>
      <c r="Q139" s="0" t="s">
        <v>52</v>
      </c>
      <c r="R139" s="0" t="s">
        <v>94</v>
      </c>
      <c r="S139" s="0" t="s">
        <v>95</v>
      </c>
      <c r="T139" s="0" t="n">
        <v>30</v>
      </c>
      <c r="U139" s="0" t="s">
        <v>112</v>
      </c>
      <c r="V139" s="0" t="s">
        <v>56</v>
      </c>
      <c r="W139" s="0" t="s">
        <v>113</v>
      </c>
      <c r="X139" s="0" t="s">
        <v>58</v>
      </c>
      <c r="Y139" s="0" t="s">
        <v>156</v>
      </c>
      <c r="Z139" s="0" t="s">
        <v>161</v>
      </c>
      <c r="AA139" s="0" t="n">
        <v>25000</v>
      </c>
      <c r="AB139" s="0" t="n">
        <v>30000</v>
      </c>
      <c r="AD139" s="0" t="s">
        <v>115</v>
      </c>
      <c r="AF139" s="1" t="n">
        <v>45866</v>
      </c>
      <c r="AG139" s="0" t="s">
        <v>82</v>
      </c>
      <c r="AI139" s="0" t="s">
        <v>117</v>
      </c>
      <c r="AJ139" s="0" t="s">
        <v>62</v>
      </c>
      <c r="AL139" s="0" t="s">
        <v>102</v>
      </c>
      <c r="AM139" s="0" t="s">
        <v>64</v>
      </c>
      <c r="AN139" s="0" t="s">
        <v>198</v>
      </c>
    </row>
    <row r="140" customFormat="false" ht="15" hidden="false" customHeight="false" outlineLevel="0" collapsed="false">
      <c r="A140" s="1" t="n">
        <v>45722</v>
      </c>
      <c r="B140" s="0" t="s">
        <v>479</v>
      </c>
      <c r="C140" s="0" t="s">
        <v>105</v>
      </c>
      <c r="D140" s="0" t="n">
        <v>8060231696</v>
      </c>
      <c r="E140" s="0" t="s">
        <v>122</v>
      </c>
      <c r="F140" s="0" t="s">
        <v>480</v>
      </c>
      <c r="G140" s="0" t="s">
        <v>134</v>
      </c>
      <c r="H140" s="0" t="s">
        <v>88</v>
      </c>
      <c r="I140" s="0" t="s">
        <v>47</v>
      </c>
      <c r="J140" s="0" t="s">
        <v>71</v>
      </c>
      <c r="K140" s="0" t="n">
        <v>68566</v>
      </c>
      <c r="L140" s="0" t="s">
        <v>124</v>
      </c>
      <c r="M140" s="0" t="s">
        <v>63</v>
      </c>
      <c r="N140" s="0" t="n">
        <v>3</v>
      </c>
      <c r="O140" s="0" t="n">
        <v>4.2</v>
      </c>
      <c r="P140" s="0" t="s">
        <v>51</v>
      </c>
      <c r="Q140" s="0" t="s">
        <v>73</v>
      </c>
      <c r="R140" s="0" t="s">
        <v>74</v>
      </c>
      <c r="S140" s="0" t="s">
        <v>75</v>
      </c>
      <c r="T140" s="0" t="n">
        <v>30</v>
      </c>
      <c r="U140" s="0" t="s">
        <v>76</v>
      </c>
      <c r="V140" s="0" t="s">
        <v>148</v>
      </c>
      <c r="W140" s="0" t="s">
        <v>113</v>
      </c>
      <c r="X140" s="0" t="s">
        <v>137</v>
      </c>
      <c r="Y140" s="0" t="s">
        <v>177</v>
      </c>
      <c r="Z140" s="0" t="s">
        <v>161</v>
      </c>
      <c r="AA140" s="0" t="n">
        <v>40000</v>
      </c>
      <c r="AB140" s="0" t="s">
        <v>178</v>
      </c>
      <c r="AC140" s="0" t="s">
        <v>50</v>
      </c>
      <c r="AD140" s="0" t="n">
        <v>10000</v>
      </c>
      <c r="AE140" s="0" t="s">
        <v>130</v>
      </c>
      <c r="AG140" s="0" t="s">
        <v>82</v>
      </c>
      <c r="AI140" s="0" t="s">
        <v>172</v>
      </c>
      <c r="AJ140" s="0" t="s">
        <v>81</v>
      </c>
      <c r="AK140" s="0" t="s">
        <v>63</v>
      </c>
      <c r="AN140" s="0" t="s">
        <v>198</v>
      </c>
    </row>
    <row r="141" customFormat="false" ht="15" hidden="false" customHeight="false" outlineLevel="0" collapsed="false">
      <c r="A141" s="1" t="n">
        <v>45659</v>
      </c>
      <c r="B141" s="0" t="s">
        <v>481</v>
      </c>
      <c r="C141" s="0" t="s">
        <v>121</v>
      </c>
      <c r="D141" s="0" t="n">
        <v>8052674742</v>
      </c>
      <c r="E141" s="0" t="s">
        <v>67</v>
      </c>
      <c r="F141" s="0" t="s">
        <v>482</v>
      </c>
      <c r="G141" s="0" t="s">
        <v>45</v>
      </c>
      <c r="I141" s="0" t="s">
        <v>142</v>
      </c>
      <c r="J141" s="0" t="s">
        <v>71</v>
      </c>
      <c r="K141" s="0" t="n">
        <v>89116</v>
      </c>
      <c r="L141" s="0" t="s">
        <v>166</v>
      </c>
      <c r="M141" s="0" t="s">
        <v>50</v>
      </c>
      <c r="N141" s="0" t="n">
        <v>4</v>
      </c>
      <c r="O141" s="0" t="n">
        <v>4.3</v>
      </c>
      <c r="P141" s="0" t="s">
        <v>92</v>
      </c>
      <c r="Q141" s="0" t="s">
        <v>73</v>
      </c>
      <c r="R141" s="0" t="s">
        <v>159</v>
      </c>
      <c r="S141" s="0" t="s">
        <v>167</v>
      </c>
      <c r="T141" s="0" t="n">
        <v>30</v>
      </c>
      <c r="U141" s="0" t="s">
        <v>55</v>
      </c>
      <c r="V141" s="0" t="s">
        <v>77</v>
      </c>
      <c r="W141" s="0" t="s">
        <v>78</v>
      </c>
      <c r="X141" s="0" t="s">
        <v>99</v>
      </c>
      <c r="Y141" s="0" t="s">
        <v>197</v>
      </c>
      <c r="Z141" s="0" t="s">
        <v>161</v>
      </c>
      <c r="AA141" s="0" t="n">
        <v>30000</v>
      </c>
      <c r="AB141" s="0" t="n">
        <v>40000</v>
      </c>
      <c r="AC141" s="0" t="s">
        <v>50</v>
      </c>
      <c r="AD141" s="0" t="n">
        <v>10000</v>
      </c>
      <c r="AE141" s="0" t="s">
        <v>80</v>
      </c>
      <c r="AF141" s="0" t="s">
        <v>483</v>
      </c>
      <c r="AG141" s="0" t="s">
        <v>61</v>
      </c>
      <c r="AH141" s="0" t="s">
        <v>171</v>
      </c>
      <c r="AI141" s="0" t="s">
        <v>172</v>
      </c>
      <c r="AJ141" s="0" t="s">
        <v>62</v>
      </c>
      <c r="AK141" s="0" t="s">
        <v>63</v>
      </c>
      <c r="AL141" s="0" t="s">
        <v>50</v>
      </c>
      <c r="AM141" s="0" t="s">
        <v>64</v>
      </c>
      <c r="AN141" s="0" t="s">
        <v>63</v>
      </c>
    </row>
    <row r="142" customFormat="false" ht="15" hidden="false" customHeight="false" outlineLevel="0" collapsed="false">
      <c r="A142" s="1" t="n">
        <v>45659</v>
      </c>
      <c r="B142" s="0" t="s">
        <v>484</v>
      </c>
      <c r="C142" s="0" t="s">
        <v>121</v>
      </c>
      <c r="D142" s="0" t="n">
        <v>8090470126</v>
      </c>
      <c r="E142" s="0" t="s">
        <v>139</v>
      </c>
      <c r="F142" s="0" t="s">
        <v>485</v>
      </c>
      <c r="G142" s="0" t="s">
        <v>134</v>
      </c>
      <c r="H142" s="0" t="s">
        <v>70</v>
      </c>
      <c r="I142" s="0" t="s">
        <v>189</v>
      </c>
      <c r="J142" s="0" t="s">
        <v>109</v>
      </c>
      <c r="K142" s="0" t="n">
        <v>118117</v>
      </c>
      <c r="L142" s="0" t="s">
        <v>124</v>
      </c>
      <c r="M142" s="0" t="s">
        <v>50</v>
      </c>
      <c r="N142" s="0" t="n">
        <v>3</v>
      </c>
      <c r="O142" s="0" t="n">
        <v>3.2</v>
      </c>
      <c r="P142" s="0" t="s">
        <v>51</v>
      </c>
      <c r="Q142" s="0" t="s">
        <v>52</v>
      </c>
      <c r="S142" s="0" t="s">
        <v>167</v>
      </c>
      <c r="T142" s="0" t="s">
        <v>127</v>
      </c>
      <c r="U142" s="0" t="s">
        <v>160</v>
      </c>
      <c r="V142" s="0" t="s">
        <v>77</v>
      </c>
      <c r="W142" s="0" t="s">
        <v>98</v>
      </c>
      <c r="X142" s="0" t="s">
        <v>58</v>
      </c>
      <c r="Y142" s="0" t="s">
        <v>197</v>
      </c>
      <c r="Z142" s="0" t="s">
        <v>129</v>
      </c>
      <c r="AA142" s="0" t="n">
        <v>25000</v>
      </c>
      <c r="AB142" s="0" t="n">
        <v>40000</v>
      </c>
      <c r="AC142" s="0" t="s">
        <v>50</v>
      </c>
      <c r="AF142" s="0" t="s">
        <v>486</v>
      </c>
      <c r="AG142" s="0" t="s">
        <v>61</v>
      </c>
      <c r="AH142" s="0" t="s">
        <v>171</v>
      </c>
      <c r="AI142" s="0" t="s">
        <v>117</v>
      </c>
      <c r="AJ142" s="0" t="s">
        <v>50</v>
      </c>
      <c r="AK142" s="0" t="s">
        <v>82</v>
      </c>
      <c r="AM142" s="0" t="s">
        <v>118</v>
      </c>
      <c r="AN142" s="0" t="s">
        <v>50</v>
      </c>
    </row>
    <row r="143" customFormat="false" ht="15" hidden="false" customHeight="false" outlineLevel="0" collapsed="false">
      <c r="A143" s="1" t="n">
        <v>45754</v>
      </c>
      <c r="B143" s="0" t="s">
        <v>487</v>
      </c>
      <c r="C143" s="0" t="s">
        <v>42</v>
      </c>
      <c r="D143" s="0" t="n">
        <v>8067651904</v>
      </c>
      <c r="E143" s="0" t="s">
        <v>139</v>
      </c>
      <c r="F143" s="0" t="s">
        <v>488</v>
      </c>
      <c r="G143" s="0" t="s">
        <v>87</v>
      </c>
      <c r="H143" s="0" t="s">
        <v>146</v>
      </c>
      <c r="I143" s="0" t="s">
        <v>47</v>
      </c>
      <c r="J143" s="0" t="s">
        <v>71</v>
      </c>
      <c r="K143" s="0" t="n">
        <v>86318</v>
      </c>
      <c r="L143" s="0" t="s">
        <v>91</v>
      </c>
      <c r="M143" s="0" t="s">
        <v>63</v>
      </c>
      <c r="N143" s="0" t="n">
        <v>5</v>
      </c>
      <c r="O143" s="0" t="n">
        <v>1.1</v>
      </c>
      <c r="P143" s="0" t="s">
        <v>111</v>
      </c>
      <c r="Q143" s="0" t="s">
        <v>52</v>
      </c>
      <c r="R143" s="0" t="s">
        <v>74</v>
      </c>
      <c r="S143" s="0" t="s">
        <v>147</v>
      </c>
      <c r="T143" s="0" t="n">
        <v>60</v>
      </c>
      <c r="U143" s="0" t="s">
        <v>112</v>
      </c>
      <c r="V143" s="0" t="s">
        <v>77</v>
      </c>
      <c r="W143" s="0" t="s">
        <v>78</v>
      </c>
      <c r="X143" s="0" t="s">
        <v>114</v>
      </c>
      <c r="Y143" s="0" t="s">
        <v>156</v>
      </c>
      <c r="Z143" s="0" t="s">
        <v>161</v>
      </c>
      <c r="AB143" s="0" t="n">
        <v>40000</v>
      </c>
      <c r="AC143" s="0" t="s">
        <v>50</v>
      </c>
      <c r="AD143" s="0" t="s">
        <v>115</v>
      </c>
      <c r="AE143" s="0" t="s">
        <v>130</v>
      </c>
      <c r="AF143" s="1" t="n">
        <v>45815</v>
      </c>
      <c r="AG143" s="0" t="s">
        <v>63</v>
      </c>
      <c r="AI143" s="0" t="s">
        <v>117</v>
      </c>
      <c r="AJ143" s="0" t="s">
        <v>81</v>
      </c>
      <c r="AL143" s="0" t="s">
        <v>63</v>
      </c>
      <c r="AM143" s="0" t="s">
        <v>64</v>
      </c>
      <c r="AN143" s="0" t="s">
        <v>50</v>
      </c>
    </row>
    <row r="144" customFormat="false" ht="15" hidden="false" customHeight="false" outlineLevel="0" collapsed="false">
      <c r="A144" s="0" t="s">
        <v>489</v>
      </c>
      <c r="B144" s="0" t="s">
        <v>490</v>
      </c>
      <c r="C144" s="0" t="s">
        <v>42</v>
      </c>
      <c r="D144" s="0" t="n">
        <v>8095381661</v>
      </c>
      <c r="E144" s="0" t="s">
        <v>43</v>
      </c>
      <c r="F144" s="0" t="s">
        <v>491</v>
      </c>
      <c r="G144" s="0" t="s">
        <v>69</v>
      </c>
      <c r="H144" s="0" t="s">
        <v>88</v>
      </c>
      <c r="I144" s="0" t="s">
        <v>108</v>
      </c>
      <c r="K144" s="0" t="n">
        <v>67513</v>
      </c>
      <c r="L144" s="0" t="s">
        <v>72</v>
      </c>
      <c r="M144" s="0" t="s">
        <v>50</v>
      </c>
      <c r="O144" s="0" t="n">
        <v>3.5</v>
      </c>
      <c r="P144" s="0" t="s">
        <v>92</v>
      </c>
      <c r="Q144" s="0" t="s">
        <v>93</v>
      </c>
      <c r="S144" s="0" t="s">
        <v>147</v>
      </c>
      <c r="T144" s="0" t="n">
        <v>45</v>
      </c>
      <c r="U144" s="0" t="s">
        <v>112</v>
      </c>
      <c r="V144" s="0" t="s">
        <v>77</v>
      </c>
      <c r="W144" s="0" t="s">
        <v>57</v>
      </c>
      <c r="X144" s="0" t="s">
        <v>196</v>
      </c>
      <c r="Z144" s="0" t="s">
        <v>79</v>
      </c>
      <c r="AA144" s="0" t="n">
        <v>30000</v>
      </c>
      <c r="AC144" s="0" t="s">
        <v>82</v>
      </c>
      <c r="AE144" s="0" t="s">
        <v>184</v>
      </c>
      <c r="AF144" s="1" t="n">
        <v>46002</v>
      </c>
      <c r="AG144" s="0" t="s">
        <v>61</v>
      </c>
      <c r="AI144" s="0" t="s">
        <v>101</v>
      </c>
      <c r="AJ144" s="0" t="s">
        <v>62</v>
      </c>
      <c r="AK144" s="0" t="s">
        <v>63</v>
      </c>
      <c r="AM144" s="0" t="s">
        <v>83</v>
      </c>
      <c r="AN144" s="0" t="s">
        <v>50</v>
      </c>
    </row>
    <row r="145" customFormat="false" ht="15" hidden="false" customHeight="false" outlineLevel="0" collapsed="false">
      <c r="A145" s="1" t="n">
        <v>45767</v>
      </c>
      <c r="B145" s="0" t="s">
        <v>492</v>
      </c>
      <c r="C145" s="0" t="s">
        <v>163</v>
      </c>
      <c r="D145" s="0" t="n">
        <v>8042822896</v>
      </c>
      <c r="E145" s="0" t="s">
        <v>85</v>
      </c>
      <c r="F145" s="0" t="s">
        <v>493</v>
      </c>
      <c r="G145" s="0" t="s">
        <v>134</v>
      </c>
      <c r="H145" s="0" t="s">
        <v>272</v>
      </c>
      <c r="I145" s="0" t="s">
        <v>47</v>
      </c>
      <c r="J145" s="0" t="s">
        <v>109</v>
      </c>
      <c r="K145" s="0" t="n">
        <v>10352</v>
      </c>
      <c r="L145" s="0" t="s">
        <v>124</v>
      </c>
      <c r="M145" s="0" t="s">
        <v>63</v>
      </c>
      <c r="N145" s="0" t="n">
        <v>5</v>
      </c>
      <c r="O145" s="0" t="n">
        <v>3.4</v>
      </c>
      <c r="P145" s="0" t="s">
        <v>51</v>
      </c>
      <c r="Q145" s="0" t="s">
        <v>52</v>
      </c>
      <c r="R145" s="0" t="s">
        <v>94</v>
      </c>
      <c r="S145" s="0" t="s">
        <v>75</v>
      </c>
      <c r="T145" s="0" t="n">
        <v>45</v>
      </c>
      <c r="U145" s="0" t="s">
        <v>160</v>
      </c>
      <c r="V145" s="0" t="s">
        <v>77</v>
      </c>
      <c r="W145" s="0" t="s">
        <v>78</v>
      </c>
      <c r="X145" s="0" t="s">
        <v>114</v>
      </c>
      <c r="Z145" s="0" t="s">
        <v>143</v>
      </c>
      <c r="AA145" s="0" t="n">
        <v>25000</v>
      </c>
      <c r="AB145" s="0" t="n">
        <v>40000</v>
      </c>
      <c r="AC145" s="0" t="s">
        <v>63</v>
      </c>
      <c r="AD145" s="0" t="n">
        <v>0</v>
      </c>
      <c r="AE145" s="0" t="s">
        <v>60</v>
      </c>
      <c r="AF145" s="1" t="n">
        <v>45942</v>
      </c>
      <c r="AG145" s="0" t="s">
        <v>50</v>
      </c>
      <c r="AH145" s="0" t="s">
        <v>116</v>
      </c>
      <c r="AJ145" s="0" t="s">
        <v>63</v>
      </c>
      <c r="AK145" s="0" t="s">
        <v>63</v>
      </c>
      <c r="AL145" s="0" t="s">
        <v>63</v>
      </c>
      <c r="AM145" s="0" t="s">
        <v>103</v>
      </c>
      <c r="AN145" s="0" t="s">
        <v>190</v>
      </c>
    </row>
    <row r="146" customFormat="false" ht="15" hidden="false" customHeight="false" outlineLevel="0" collapsed="false">
      <c r="A146" s="1" t="n">
        <v>45724</v>
      </c>
      <c r="B146" s="0" t="s">
        <v>494</v>
      </c>
      <c r="C146" s="0" t="s">
        <v>66</v>
      </c>
      <c r="D146" s="0" t="n">
        <v>8016200213</v>
      </c>
      <c r="E146" s="0" t="s">
        <v>67</v>
      </c>
      <c r="F146" s="0" t="s">
        <v>495</v>
      </c>
      <c r="G146" s="0" t="s">
        <v>69</v>
      </c>
      <c r="H146" s="0" t="s">
        <v>272</v>
      </c>
      <c r="I146" s="0" t="s">
        <v>189</v>
      </c>
      <c r="J146" s="0" t="s">
        <v>48</v>
      </c>
      <c r="K146" s="0" t="n">
        <v>34483</v>
      </c>
      <c r="L146" s="0" t="s">
        <v>72</v>
      </c>
      <c r="M146" s="0" t="s">
        <v>50</v>
      </c>
      <c r="N146" s="0" t="n">
        <v>4</v>
      </c>
      <c r="O146" s="0" t="n">
        <v>2.9</v>
      </c>
      <c r="P146" s="0" t="s">
        <v>125</v>
      </c>
      <c r="Q146" s="0" t="s">
        <v>73</v>
      </c>
      <c r="R146" s="0" t="s">
        <v>136</v>
      </c>
      <c r="S146" s="0" t="s">
        <v>126</v>
      </c>
      <c r="U146" s="0" t="s">
        <v>112</v>
      </c>
      <c r="V146" s="0" t="s">
        <v>97</v>
      </c>
      <c r="W146" s="0" t="s">
        <v>128</v>
      </c>
      <c r="X146" s="0" t="s">
        <v>58</v>
      </c>
      <c r="Z146" s="0" t="s">
        <v>79</v>
      </c>
      <c r="AA146" s="0" t="s">
        <v>150</v>
      </c>
      <c r="AB146" s="0" t="n">
        <v>35000</v>
      </c>
      <c r="AC146" s="0" t="s">
        <v>63</v>
      </c>
      <c r="AF146" s="1" t="n">
        <v>45952</v>
      </c>
      <c r="AG146" s="0" t="s">
        <v>61</v>
      </c>
      <c r="AI146" s="0" t="s">
        <v>101</v>
      </c>
      <c r="AJ146" s="0" t="s">
        <v>81</v>
      </c>
      <c r="AK146" s="0" t="s">
        <v>63</v>
      </c>
      <c r="AL146" s="0" t="s">
        <v>50</v>
      </c>
      <c r="AM146" s="0" t="s">
        <v>118</v>
      </c>
      <c r="AN146" s="0" t="s">
        <v>190</v>
      </c>
    </row>
    <row r="147" customFormat="false" ht="15" hidden="false" customHeight="false" outlineLevel="0" collapsed="false">
      <c r="A147" s="1" t="n">
        <v>45751</v>
      </c>
      <c r="B147" s="0" t="s">
        <v>496</v>
      </c>
      <c r="C147" s="0" t="s">
        <v>121</v>
      </c>
      <c r="D147" s="0" t="n">
        <v>8092681879</v>
      </c>
      <c r="E147" s="0" t="s">
        <v>139</v>
      </c>
      <c r="F147" s="0" t="s">
        <v>497</v>
      </c>
      <c r="G147" s="0" t="s">
        <v>107</v>
      </c>
      <c r="H147" s="0" t="s">
        <v>70</v>
      </c>
      <c r="I147" s="0" t="s">
        <v>142</v>
      </c>
      <c r="J147" s="0" t="s">
        <v>90</v>
      </c>
      <c r="K147" s="0" t="n">
        <v>84847</v>
      </c>
      <c r="L147" s="0" t="s">
        <v>166</v>
      </c>
      <c r="M147" s="0" t="s">
        <v>63</v>
      </c>
      <c r="N147" s="0" t="n">
        <v>2</v>
      </c>
      <c r="O147" s="0" t="n">
        <v>3.7</v>
      </c>
      <c r="P147" s="0" t="s">
        <v>51</v>
      </c>
      <c r="Q147" s="0" t="s">
        <v>52</v>
      </c>
      <c r="R147" s="0" t="s">
        <v>74</v>
      </c>
      <c r="S147" s="0" t="s">
        <v>54</v>
      </c>
      <c r="T147" s="0" t="s">
        <v>127</v>
      </c>
      <c r="U147" s="0" t="s">
        <v>55</v>
      </c>
      <c r="V147" s="0" t="s">
        <v>56</v>
      </c>
      <c r="W147" s="0" t="s">
        <v>113</v>
      </c>
      <c r="X147" s="0" t="s">
        <v>114</v>
      </c>
      <c r="Y147" s="0" t="s">
        <v>156</v>
      </c>
      <c r="Z147" s="0" t="s">
        <v>143</v>
      </c>
      <c r="AA147" s="0" t="n">
        <v>15000</v>
      </c>
      <c r="AB147" s="0" t="n">
        <v>40000</v>
      </c>
      <c r="AC147" s="0" t="s">
        <v>82</v>
      </c>
      <c r="AD147" s="0" t="n">
        <v>0</v>
      </c>
      <c r="AE147" s="0" t="s">
        <v>60</v>
      </c>
      <c r="AF147" s="1" t="n">
        <v>45819</v>
      </c>
      <c r="AG147" s="0" t="s">
        <v>82</v>
      </c>
      <c r="AI147" s="0" t="s">
        <v>117</v>
      </c>
      <c r="AJ147" s="0" t="s">
        <v>62</v>
      </c>
      <c r="AL147" s="0" t="s">
        <v>102</v>
      </c>
      <c r="AM147" s="0" t="s">
        <v>103</v>
      </c>
      <c r="AN147" s="0" t="s">
        <v>63</v>
      </c>
    </row>
    <row r="148" customFormat="false" ht="15" hidden="false" customHeight="false" outlineLevel="0" collapsed="false">
      <c r="A148" s="1" t="n">
        <v>45995</v>
      </c>
      <c r="B148" s="0" t="s">
        <v>498</v>
      </c>
      <c r="C148" s="0" t="s">
        <v>105</v>
      </c>
      <c r="D148" s="0" t="n">
        <v>8088829544</v>
      </c>
      <c r="E148" s="0" t="s">
        <v>122</v>
      </c>
      <c r="F148" s="0" t="s">
        <v>499</v>
      </c>
      <c r="G148" s="0" t="s">
        <v>134</v>
      </c>
      <c r="H148" s="0" t="s">
        <v>165</v>
      </c>
      <c r="I148" s="0" t="s">
        <v>142</v>
      </c>
      <c r="J148" s="0" t="s">
        <v>90</v>
      </c>
      <c r="K148" s="0" t="n">
        <v>32849</v>
      </c>
      <c r="L148" s="0" t="s">
        <v>72</v>
      </c>
      <c r="M148" s="0" t="s">
        <v>63</v>
      </c>
      <c r="N148" s="0" t="n">
        <v>3</v>
      </c>
      <c r="O148" s="0" t="n">
        <v>4.4</v>
      </c>
      <c r="P148" s="0" t="s">
        <v>125</v>
      </c>
      <c r="Q148" s="0" t="s">
        <v>93</v>
      </c>
      <c r="R148" s="0" t="s">
        <v>159</v>
      </c>
      <c r="S148" s="0" t="s">
        <v>95</v>
      </c>
      <c r="T148" s="0" t="n">
        <v>45</v>
      </c>
      <c r="U148" s="0" t="s">
        <v>76</v>
      </c>
      <c r="V148" s="0" t="s">
        <v>77</v>
      </c>
      <c r="W148" s="0" t="s">
        <v>113</v>
      </c>
      <c r="X148" s="0" t="s">
        <v>196</v>
      </c>
      <c r="Y148" s="0" t="s">
        <v>197</v>
      </c>
      <c r="Z148" s="0" t="s">
        <v>129</v>
      </c>
      <c r="AB148" s="0" t="n">
        <v>40000</v>
      </c>
      <c r="AC148" s="0" t="s">
        <v>63</v>
      </c>
      <c r="AD148" s="0" t="n">
        <v>0</v>
      </c>
      <c r="AE148" s="0" t="s">
        <v>60</v>
      </c>
      <c r="AG148" s="0" t="s">
        <v>61</v>
      </c>
      <c r="AH148" s="0" t="s">
        <v>171</v>
      </c>
      <c r="AJ148" s="0" t="s">
        <v>62</v>
      </c>
      <c r="AM148" s="0" t="s">
        <v>64</v>
      </c>
      <c r="AN148" s="0" t="s">
        <v>50</v>
      </c>
    </row>
    <row r="149" customFormat="false" ht="15" hidden="false" customHeight="false" outlineLevel="0" collapsed="false">
      <c r="A149" s="1" t="n">
        <v>45799</v>
      </c>
      <c r="B149" s="0" t="s">
        <v>500</v>
      </c>
      <c r="C149" s="0" t="s">
        <v>105</v>
      </c>
      <c r="D149" s="0" t="n">
        <v>8035380862</v>
      </c>
      <c r="E149" s="0" t="s">
        <v>139</v>
      </c>
      <c r="F149" s="0" t="s">
        <v>501</v>
      </c>
      <c r="G149" s="0" t="s">
        <v>134</v>
      </c>
      <c r="I149" s="0" t="s">
        <v>47</v>
      </c>
      <c r="K149" s="0" t="n">
        <v>67690</v>
      </c>
      <c r="L149" s="0" t="s">
        <v>72</v>
      </c>
      <c r="M149" s="0" t="s">
        <v>50</v>
      </c>
      <c r="N149" s="0" t="n">
        <v>5</v>
      </c>
      <c r="O149" s="0" t="n">
        <v>2.6</v>
      </c>
      <c r="Q149" s="0" t="s">
        <v>52</v>
      </c>
      <c r="S149" s="0" t="s">
        <v>147</v>
      </c>
      <c r="T149" s="0" t="n">
        <v>45</v>
      </c>
      <c r="U149" s="0" t="s">
        <v>160</v>
      </c>
      <c r="V149" s="0" t="s">
        <v>155</v>
      </c>
      <c r="W149" s="0" t="s">
        <v>113</v>
      </c>
      <c r="X149" s="0" t="s">
        <v>99</v>
      </c>
      <c r="Z149" s="0" t="s">
        <v>79</v>
      </c>
      <c r="AA149" s="0" t="s">
        <v>150</v>
      </c>
      <c r="AB149" s="0" t="n">
        <v>30000</v>
      </c>
      <c r="AC149" s="0" t="s">
        <v>61</v>
      </c>
      <c r="AD149" s="0" t="n">
        <v>10000</v>
      </c>
      <c r="AG149" s="0" t="s">
        <v>50</v>
      </c>
      <c r="AH149" s="0" t="s">
        <v>116</v>
      </c>
      <c r="AI149" s="0" t="s">
        <v>101</v>
      </c>
      <c r="AK149" s="0" t="s">
        <v>61</v>
      </c>
      <c r="AL149" s="0" t="s">
        <v>102</v>
      </c>
      <c r="AN149" s="0" t="s">
        <v>63</v>
      </c>
    </row>
    <row r="150" customFormat="false" ht="15" hidden="false" customHeight="false" outlineLevel="0" collapsed="false">
      <c r="A150" s="0" t="s">
        <v>502</v>
      </c>
      <c r="B150" s="0" t="s">
        <v>503</v>
      </c>
      <c r="C150" s="0" t="s">
        <v>121</v>
      </c>
      <c r="D150" s="0" t="n">
        <v>8081869344</v>
      </c>
      <c r="E150" s="0" t="s">
        <v>139</v>
      </c>
      <c r="F150" s="0" t="s">
        <v>504</v>
      </c>
      <c r="G150" s="0" t="s">
        <v>69</v>
      </c>
      <c r="H150" s="0" t="s">
        <v>135</v>
      </c>
      <c r="I150" s="0" t="s">
        <v>47</v>
      </c>
      <c r="J150" s="0" t="s">
        <v>71</v>
      </c>
      <c r="K150" s="0" t="n">
        <v>19159</v>
      </c>
      <c r="L150" s="0" t="s">
        <v>49</v>
      </c>
      <c r="M150" s="0" t="s">
        <v>63</v>
      </c>
      <c r="N150" s="0" t="n">
        <v>3</v>
      </c>
      <c r="O150" s="0" t="n">
        <v>4</v>
      </c>
      <c r="P150" s="0" t="s">
        <v>125</v>
      </c>
      <c r="Q150" s="0" t="s">
        <v>73</v>
      </c>
      <c r="R150" s="0" t="s">
        <v>53</v>
      </c>
      <c r="S150" s="0" t="s">
        <v>95</v>
      </c>
      <c r="T150" s="0" t="n">
        <v>30</v>
      </c>
      <c r="U150" s="0" t="s">
        <v>160</v>
      </c>
      <c r="V150" s="0" t="s">
        <v>56</v>
      </c>
      <c r="W150" s="0" t="s">
        <v>98</v>
      </c>
      <c r="X150" s="0" t="s">
        <v>58</v>
      </c>
      <c r="Y150" s="0" t="s">
        <v>156</v>
      </c>
      <c r="Z150" s="0" t="s">
        <v>129</v>
      </c>
      <c r="AA150" s="0" t="n">
        <v>25000</v>
      </c>
      <c r="AB150" s="0" t="n">
        <v>20000</v>
      </c>
      <c r="AD150" s="0" t="n">
        <v>0</v>
      </c>
      <c r="AE150" s="0" t="s">
        <v>184</v>
      </c>
      <c r="AF150" s="1" t="n">
        <v>45666</v>
      </c>
      <c r="AG150" s="0" t="s">
        <v>82</v>
      </c>
      <c r="AH150" s="0" t="s">
        <v>171</v>
      </c>
      <c r="AI150" s="0" t="s">
        <v>101</v>
      </c>
      <c r="AJ150" s="0" t="s">
        <v>50</v>
      </c>
      <c r="AK150" s="0" t="s">
        <v>61</v>
      </c>
      <c r="AM150" s="0" t="s">
        <v>64</v>
      </c>
    </row>
    <row r="151" customFormat="false" ht="15" hidden="false" customHeight="false" outlineLevel="0" collapsed="false">
      <c r="A151" s="0" t="s">
        <v>505</v>
      </c>
      <c r="B151" s="0" t="s">
        <v>506</v>
      </c>
      <c r="C151" s="0" t="s">
        <v>163</v>
      </c>
      <c r="D151" s="0" t="n">
        <v>8049484539</v>
      </c>
      <c r="E151" s="0" t="s">
        <v>43</v>
      </c>
      <c r="F151" s="0" t="s">
        <v>507</v>
      </c>
      <c r="G151" s="0" t="s">
        <v>134</v>
      </c>
      <c r="H151" s="0" t="s">
        <v>242</v>
      </c>
      <c r="I151" s="0" t="s">
        <v>154</v>
      </c>
      <c r="J151" s="0" t="s">
        <v>71</v>
      </c>
      <c r="K151" s="0" t="n">
        <v>31245</v>
      </c>
      <c r="L151" s="0" t="s">
        <v>166</v>
      </c>
      <c r="M151" s="0" t="s">
        <v>50</v>
      </c>
      <c r="O151" s="0" t="n">
        <v>4</v>
      </c>
      <c r="Q151" s="0" t="s">
        <v>52</v>
      </c>
      <c r="S151" s="0" t="s">
        <v>126</v>
      </c>
      <c r="T151" s="0" t="n">
        <v>30</v>
      </c>
      <c r="U151" s="0" t="s">
        <v>96</v>
      </c>
      <c r="V151" s="0" t="s">
        <v>155</v>
      </c>
      <c r="W151" s="0" t="s">
        <v>128</v>
      </c>
      <c r="X151" s="0" t="s">
        <v>58</v>
      </c>
      <c r="Y151" s="0" t="s">
        <v>59</v>
      </c>
      <c r="Z151" s="0" t="s">
        <v>143</v>
      </c>
      <c r="AA151" s="0" t="s">
        <v>150</v>
      </c>
      <c r="AB151" s="0" t="n">
        <v>35000</v>
      </c>
      <c r="AC151" s="0" t="s">
        <v>63</v>
      </c>
      <c r="AD151" s="0" t="n">
        <v>10000</v>
      </c>
      <c r="AE151" s="0" t="s">
        <v>80</v>
      </c>
      <c r="AF151" s="0" t="s">
        <v>486</v>
      </c>
      <c r="AG151" s="0" t="s">
        <v>82</v>
      </c>
      <c r="AI151" s="0" t="s">
        <v>101</v>
      </c>
      <c r="AJ151" s="0" t="s">
        <v>63</v>
      </c>
      <c r="AL151" s="0" t="s">
        <v>102</v>
      </c>
      <c r="AM151" s="0" t="s">
        <v>103</v>
      </c>
      <c r="AN151" s="0" t="s">
        <v>63</v>
      </c>
    </row>
    <row r="152" customFormat="false" ht="15" hidden="false" customHeight="false" outlineLevel="0" collapsed="false">
      <c r="A152" s="1" t="n">
        <v>45688</v>
      </c>
      <c r="B152" s="0" t="s">
        <v>508</v>
      </c>
      <c r="C152" s="0" t="s">
        <v>163</v>
      </c>
      <c r="D152" s="0" t="n">
        <v>8029940314</v>
      </c>
      <c r="E152" s="0" t="s">
        <v>139</v>
      </c>
      <c r="F152" s="0" t="s">
        <v>509</v>
      </c>
      <c r="G152" s="0" t="s">
        <v>69</v>
      </c>
      <c r="H152" s="0" t="s">
        <v>176</v>
      </c>
      <c r="I152" s="0" t="s">
        <v>108</v>
      </c>
      <c r="J152" s="0" t="s">
        <v>90</v>
      </c>
      <c r="K152" s="0" t="n">
        <v>17266</v>
      </c>
      <c r="L152" s="0" t="s">
        <v>72</v>
      </c>
      <c r="M152" s="0" t="s">
        <v>50</v>
      </c>
      <c r="O152" s="0" t="n">
        <v>2.6</v>
      </c>
      <c r="Q152" s="0" t="s">
        <v>93</v>
      </c>
      <c r="R152" s="0" t="s">
        <v>53</v>
      </c>
      <c r="S152" s="0" t="s">
        <v>167</v>
      </c>
      <c r="T152" s="0" t="n">
        <v>45</v>
      </c>
      <c r="U152" s="0" t="s">
        <v>96</v>
      </c>
      <c r="V152" s="0" t="s">
        <v>97</v>
      </c>
      <c r="W152" s="0" t="s">
        <v>57</v>
      </c>
      <c r="X152" s="0" t="s">
        <v>58</v>
      </c>
      <c r="Y152" s="0" t="s">
        <v>197</v>
      </c>
      <c r="Z152" s="0" t="s">
        <v>161</v>
      </c>
      <c r="AA152" s="0" t="n">
        <v>15000</v>
      </c>
      <c r="AB152" s="0" t="n">
        <v>20000</v>
      </c>
      <c r="AC152" s="0" t="s">
        <v>63</v>
      </c>
      <c r="AF152" s="0" t="s">
        <v>510</v>
      </c>
      <c r="AG152" s="0" t="s">
        <v>82</v>
      </c>
      <c r="AH152" s="0" t="s">
        <v>171</v>
      </c>
      <c r="AI152" s="0" t="s">
        <v>101</v>
      </c>
      <c r="AJ152" s="0" t="s">
        <v>50</v>
      </c>
      <c r="AK152" s="0" t="s">
        <v>61</v>
      </c>
      <c r="AN152" s="0" t="s">
        <v>190</v>
      </c>
    </row>
    <row r="153" customFormat="false" ht="15" hidden="false" customHeight="false" outlineLevel="0" collapsed="false">
      <c r="A153" s="1" t="n">
        <v>45716</v>
      </c>
      <c r="B153" s="0" t="s">
        <v>511</v>
      </c>
      <c r="C153" s="0" t="s">
        <v>42</v>
      </c>
      <c r="D153" s="0" t="n">
        <v>8053980546</v>
      </c>
      <c r="E153" s="0" t="s">
        <v>43</v>
      </c>
      <c r="F153" s="0" t="s">
        <v>512</v>
      </c>
      <c r="G153" s="0" t="s">
        <v>69</v>
      </c>
      <c r="H153" s="0" t="s">
        <v>242</v>
      </c>
      <c r="I153" s="0" t="s">
        <v>142</v>
      </c>
      <c r="J153" s="0" t="s">
        <v>109</v>
      </c>
      <c r="K153" s="0" t="n">
        <v>53399</v>
      </c>
      <c r="L153" s="0" t="s">
        <v>124</v>
      </c>
      <c r="M153" s="0" t="s">
        <v>63</v>
      </c>
      <c r="N153" s="0" t="n">
        <v>4</v>
      </c>
      <c r="O153" s="0" t="n">
        <v>1.5</v>
      </c>
      <c r="P153" s="0" t="s">
        <v>51</v>
      </c>
      <c r="Q153" s="0" t="s">
        <v>52</v>
      </c>
      <c r="R153" s="0" t="s">
        <v>94</v>
      </c>
      <c r="S153" s="0" t="s">
        <v>126</v>
      </c>
      <c r="T153" s="0" t="n">
        <v>30</v>
      </c>
      <c r="U153" s="0" t="s">
        <v>55</v>
      </c>
      <c r="V153" s="0" t="s">
        <v>77</v>
      </c>
      <c r="W153" s="0" t="s">
        <v>98</v>
      </c>
      <c r="X153" s="0" t="s">
        <v>137</v>
      </c>
      <c r="Z153" s="0" t="s">
        <v>149</v>
      </c>
      <c r="AA153" s="0" t="s">
        <v>150</v>
      </c>
      <c r="AB153" s="0" t="s">
        <v>178</v>
      </c>
      <c r="AE153" s="0" t="s">
        <v>60</v>
      </c>
      <c r="AF153" s="0" t="s">
        <v>513</v>
      </c>
      <c r="AI153" s="0" t="s">
        <v>101</v>
      </c>
      <c r="AJ153" s="0" t="s">
        <v>62</v>
      </c>
      <c r="AK153" s="0" t="s">
        <v>82</v>
      </c>
      <c r="AM153" s="0" t="s">
        <v>103</v>
      </c>
    </row>
    <row r="154" customFormat="false" ht="15" hidden="false" customHeight="false" outlineLevel="0" collapsed="false">
      <c r="A154" s="1" t="n">
        <v>45966</v>
      </c>
      <c r="B154" s="0" t="s">
        <v>514</v>
      </c>
      <c r="C154" s="0" t="s">
        <v>66</v>
      </c>
      <c r="D154" s="0" t="n">
        <v>8043174817</v>
      </c>
      <c r="E154" s="0" t="s">
        <v>122</v>
      </c>
      <c r="F154" s="0" t="s">
        <v>515</v>
      </c>
      <c r="G154" s="0" t="s">
        <v>107</v>
      </c>
      <c r="H154" s="0" t="s">
        <v>176</v>
      </c>
      <c r="I154" s="0" t="s">
        <v>154</v>
      </c>
      <c r="J154" s="0" t="s">
        <v>90</v>
      </c>
      <c r="K154" s="0" t="n">
        <v>42307</v>
      </c>
      <c r="L154" s="0" t="s">
        <v>166</v>
      </c>
      <c r="M154" s="0" t="s">
        <v>63</v>
      </c>
      <c r="N154" s="0" t="n">
        <v>1</v>
      </c>
      <c r="O154" s="0" t="n">
        <v>5.1</v>
      </c>
      <c r="P154" s="0" t="s">
        <v>111</v>
      </c>
      <c r="Q154" s="0" t="s">
        <v>73</v>
      </c>
      <c r="R154" s="0" t="s">
        <v>94</v>
      </c>
      <c r="S154" s="0" t="s">
        <v>95</v>
      </c>
      <c r="T154" s="0" t="n">
        <v>60</v>
      </c>
      <c r="U154" s="0" t="s">
        <v>112</v>
      </c>
      <c r="V154" s="0" t="s">
        <v>155</v>
      </c>
      <c r="W154" s="0" t="s">
        <v>78</v>
      </c>
      <c r="X154" s="0" t="s">
        <v>114</v>
      </c>
      <c r="Y154" s="0" t="s">
        <v>156</v>
      </c>
      <c r="AA154" s="0" t="n">
        <v>15000</v>
      </c>
      <c r="AB154" s="0" t="n">
        <v>35000</v>
      </c>
      <c r="AC154" s="0" t="s">
        <v>82</v>
      </c>
      <c r="AD154" s="0" t="n">
        <v>5000</v>
      </c>
      <c r="AE154" s="0" t="s">
        <v>60</v>
      </c>
      <c r="AG154" s="0" t="s">
        <v>63</v>
      </c>
      <c r="AI154" s="0" t="s">
        <v>117</v>
      </c>
      <c r="AK154" s="0" t="s">
        <v>82</v>
      </c>
      <c r="AN154" s="0" t="s">
        <v>63</v>
      </c>
    </row>
    <row r="155" customFormat="false" ht="15" hidden="false" customHeight="false" outlineLevel="0" collapsed="false">
      <c r="A155" s="1" t="n">
        <v>45798</v>
      </c>
      <c r="B155" s="0" t="s">
        <v>516</v>
      </c>
      <c r="C155" s="0" t="s">
        <v>121</v>
      </c>
      <c r="D155" s="0" t="n">
        <v>8017148298</v>
      </c>
      <c r="E155" s="0" t="s">
        <v>122</v>
      </c>
      <c r="F155" s="0" t="s">
        <v>517</v>
      </c>
      <c r="G155" s="0" t="s">
        <v>87</v>
      </c>
      <c r="H155" s="0" t="s">
        <v>272</v>
      </c>
      <c r="I155" s="0" t="s">
        <v>89</v>
      </c>
      <c r="J155" s="0" t="s">
        <v>71</v>
      </c>
      <c r="K155" s="0" t="n">
        <v>97388</v>
      </c>
      <c r="L155" s="0" t="s">
        <v>72</v>
      </c>
      <c r="M155" s="0" t="s">
        <v>63</v>
      </c>
      <c r="N155" s="0" t="n">
        <v>5</v>
      </c>
      <c r="O155" s="0" t="n">
        <v>2.2</v>
      </c>
      <c r="Q155" s="0" t="s">
        <v>73</v>
      </c>
      <c r="R155" s="0" t="s">
        <v>136</v>
      </c>
      <c r="S155" s="0" t="s">
        <v>75</v>
      </c>
      <c r="U155" s="0" t="s">
        <v>112</v>
      </c>
      <c r="V155" s="0" t="s">
        <v>155</v>
      </c>
      <c r="W155" s="0" t="s">
        <v>78</v>
      </c>
      <c r="X155" s="0" t="s">
        <v>137</v>
      </c>
      <c r="Y155" s="0" t="s">
        <v>197</v>
      </c>
      <c r="AB155" s="0" t="n">
        <v>20000</v>
      </c>
      <c r="AC155" s="0" t="s">
        <v>63</v>
      </c>
      <c r="AD155" s="0" t="n">
        <v>5000</v>
      </c>
      <c r="AF155" s="1" t="n">
        <v>45851</v>
      </c>
      <c r="AG155" s="0" t="s">
        <v>82</v>
      </c>
      <c r="AH155" s="0" t="s">
        <v>171</v>
      </c>
      <c r="AJ155" s="0" t="s">
        <v>63</v>
      </c>
      <c r="AK155" s="0" t="s">
        <v>61</v>
      </c>
      <c r="AM155" s="0" t="s">
        <v>64</v>
      </c>
      <c r="AN155" s="0" t="s">
        <v>63</v>
      </c>
    </row>
    <row r="156" customFormat="false" ht="15" hidden="false" customHeight="false" outlineLevel="0" collapsed="false">
      <c r="A156" s="1" t="n">
        <v>45757</v>
      </c>
      <c r="B156" s="0" t="s">
        <v>518</v>
      </c>
      <c r="C156" s="0" t="s">
        <v>121</v>
      </c>
      <c r="D156" s="0" t="n">
        <v>8094484575</v>
      </c>
      <c r="E156" s="0" t="s">
        <v>122</v>
      </c>
      <c r="F156" s="0" t="s">
        <v>519</v>
      </c>
      <c r="G156" s="0" t="s">
        <v>87</v>
      </c>
      <c r="H156" s="0" t="s">
        <v>146</v>
      </c>
      <c r="I156" s="0" t="s">
        <v>89</v>
      </c>
      <c r="J156" s="0" t="s">
        <v>48</v>
      </c>
      <c r="K156" s="0" t="n">
        <v>88105</v>
      </c>
      <c r="L156" s="0" t="s">
        <v>72</v>
      </c>
      <c r="M156" s="0" t="s">
        <v>63</v>
      </c>
      <c r="N156" s="0" t="n">
        <v>4</v>
      </c>
      <c r="O156" s="0" t="n">
        <v>2.1</v>
      </c>
      <c r="Q156" s="0" t="s">
        <v>93</v>
      </c>
      <c r="R156" s="0" t="s">
        <v>74</v>
      </c>
      <c r="S156" s="0" t="s">
        <v>75</v>
      </c>
      <c r="T156" s="0" t="n">
        <v>45</v>
      </c>
      <c r="U156" s="0" t="s">
        <v>96</v>
      </c>
      <c r="V156" s="0" t="s">
        <v>97</v>
      </c>
      <c r="W156" s="0" t="s">
        <v>128</v>
      </c>
      <c r="X156" s="0" t="s">
        <v>137</v>
      </c>
      <c r="Z156" s="0" t="s">
        <v>79</v>
      </c>
      <c r="AA156" s="0" t="n">
        <v>40000</v>
      </c>
      <c r="AB156" s="0" t="n">
        <v>35000</v>
      </c>
      <c r="AC156" s="0" t="s">
        <v>61</v>
      </c>
      <c r="AD156" s="0" t="n">
        <v>5000</v>
      </c>
      <c r="AE156" s="0" t="s">
        <v>130</v>
      </c>
      <c r="AF156" s="0" t="s">
        <v>520</v>
      </c>
      <c r="AG156" s="0" t="s">
        <v>61</v>
      </c>
      <c r="AI156" s="0" t="s">
        <v>172</v>
      </c>
      <c r="AJ156" s="0" t="s">
        <v>62</v>
      </c>
      <c r="AK156" s="0" t="s">
        <v>61</v>
      </c>
      <c r="AM156" s="0" t="s">
        <v>103</v>
      </c>
      <c r="AN156" s="0" t="s">
        <v>198</v>
      </c>
    </row>
    <row r="157" customFormat="false" ht="15" hidden="false" customHeight="false" outlineLevel="0" collapsed="false">
      <c r="A157" s="1" t="n">
        <v>45662</v>
      </c>
      <c r="B157" s="0" t="s">
        <v>521</v>
      </c>
      <c r="C157" s="0" t="s">
        <v>42</v>
      </c>
      <c r="D157" s="0" t="n">
        <v>8047590802</v>
      </c>
      <c r="E157" s="0" t="s">
        <v>122</v>
      </c>
      <c r="F157" s="0" t="s">
        <v>522</v>
      </c>
      <c r="G157" s="0" t="s">
        <v>107</v>
      </c>
      <c r="H157" s="0" t="s">
        <v>88</v>
      </c>
      <c r="I157" s="0" t="s">
        <v>89</v>
      </c>
      <c r="J157" s="0" t="s">
        <v>109</v>
      </c>
      <c r="K157" s="0" t="n">
        <v>71408</v>
      </c>
      <c r="L157" s="0" t="s">
        <v>124</v>
      </c>
      <c r="M157" s="0" t="s">
        <v>63</v>
      </c>
      <c r="N157" s="0" t="n">
        <v>1</v>
      </c>
      <c r="O157" s="0" t="n">
        <v>1</v>
      </c>
      <c r="P157" s="0" t="s">
        <v>125</v>
      </c>
      <c r="Q157" s="0" t="s">
        <v>52</v>
      </c>
      <c r="R157" s="0" t="s">
        <v>136</v>
      </c>
      <c r="S157" s="0" t="s">
        <v>126</v>
      </c>
      <c r="T157" s="0" t="n">
        <v>45</v>
      </c>
      <c r="U157" s="0" t="s">
        <v>96</v>
      </c>
      <c r="V157" s="0" t="s">
        <v>77</v>
      </c>
      <c r="W157" s="0" t="s">
        <v>78</v>
      </c>
      <c r="X157" s="0" t="s">
        <v>99</v>
      </c>
      <c r="Y157" s="0" t="s">
        <v>177</v>
      </c>
      <c r="Z157" s="0" t="s">
        <v>161</v>
      </c>
      <c r="AB157" s="0" t="n">
        <v>40000</v>
      </c>
      <c r="AC157" s="0" t="s">
        <v>63</v>
      </c>
      <c r="AD157" s="0" t="n">
        <v>10000</v>
      </c>
      <c r="AE157" s="0" t="s">
        <v>60</v>
      </c>
      <c r="AF157" s="1" t="n">
        <v>45816</v>
      </c>
      <c r="AG157" s="0" t="s">
        <v>63</v>
      </c>
      <c r="AH157" s="0" t="s">
        <v>171</v>
      </c>
      <c r="AJ157" s="0" t="s">
        <v>63</v>
      </c>
      <c r="AK157" s="0" t="s">
        <v>63</v>
      </c>
      <c r="AM157" s="0" t="s">
        <v>118</v>
      </c>
      <c r="AN157" s="0" t="s">
        <v>198</v>
      </c>
    </row>
    <row r="158" customFormat="false" ht="15" hidden="false" customHeight="false" outlineLevel="0" collapsed="false">
      <c r="A158" s="1" t="n">
        <v>45680</v>
      </c>
      <c r="B158" s="0" t="s">
        <v>523</v>
      </c>
      <c r="C158" s="0" t="s">
        <v>121</v>
      </c>
      <c r="D158" s="0" t="n">
        <v>8026972976</v>
      </c>
      <c r="E158" s="0" t="s">
        <v>122</v>
      </c>
      <c r="F158" s="0" t="s">
        <v>524</v>
      </c>
      <c r="G158" s="0" t="s">
        <v>69</v>
      </c>
      <c r="H158" s="0" t="s">
        <v>70</v>
      </c>
      <c r="I158" s="0" t="s">
        <v>142</v>
      </c>
      <c r="J158" s="0" t="s">
        <v>71</v>
      </c>
      <c r="K158" s="0" t="n">
        <v>109581</v>
      </c>
      <c r="L158" s="0" t="s">
        <v>91</v>
      </c>
      <c r="M158" s="0" t="s">
        <v>50</v>
      </c>
      <c r="N158" s="0" t="n">
        <v>5</v>
      </c>
      <c r="O158" s="0" t="n">
        <v>5.2</v>
      </c>
      <c r="Q158" s="0" t="s">
        <v>73</v>
      </c>
      <c r="R158" s="0" t="s">
        <v>136</v>
      </c>
      <c r="S158" s="0" t="s">
        <v>75</v>
      </c>
      <c r="T158" s="0" t="n">
        <v>60</v>
      </c>
      <c r="U158" s="0" t="s">
        <v>96</v>
      </c>
      <c r="V158" s="0" t="s">
        <v>155</v>
      </c>
      <c r="W158" s="0" t="s">
        <v>78</v>
      </c>
      <c r="X158" s="0" t="s">
        <v>58</v>
      </c>
      <c r="Y158" s="0" t="s">
        <v>59</v>
      </c>
      <c r="Z158" s="0" t="s">
        <v>149</v>
      </c>
      <c r="AA158" s="0" t="n">
        <v>25000</v>
      </c>
      <c r="AB158" s="0" t="n">
        <v>30000</v>
      </c>
      <c r="AD158" s="0" t="n">
        <v>5000</v>
      </c>
      <c r="AE158" s="0" t="s">
        <v>80</v>
      </c>
      <c r="AG158" s="0" t="s">
        <v>50</v>
      </c>
      <c r="AJ158" s="0" t="s">
        <v>81</v>
      </c>
      <c r="AL158" s="0" t="s">
        <v>50</v>
      </c>
      <c r="AM158" s="0" t="s">
        <v>64</v>
      </c>
      <c r="AN158" s="0" t="s">
        <v>190</v>
      </c>
    </row>
    <row r="159" customFormat="false" ht="15" hidden="false" customHeight="false" outlineLevel="0" collapsed="false">
      <c r="A159" s="1" t="n">
        <v>45752</v>
      </c>
      <c r="B159" s="0" t="s">
        <v>525</v>
      </c>
      <c r="C159" s="0" t="s">
        <v>66</v>
      </c>
      <c r="D159" s="0" t="n">
        <v>8078218774</v>
      </c>
      <c r="E159" s="0" t="s">
        <v>139</v>
      </c>
      <c r="F159" s="0" t="s">
        <v>526</v>
      </c>
      <c r="G159" s="0" t="s">
        <v>107</v>
      </c>
      <c r="H159" s="0" t="s">
        <v>46</v>
      </c>
      <c r="I159" s="0" t="s">
        <v>47</v>
      </c>
      <c r="J159" s="0" t="s">
        <v>109</v>
      </c>
      <c r="K159" s="0" t="n">
        <v>79074</v>
      </c>
      <c r="L159" s="0" t="s">
        <v>72</v>
      </c>
      <c r="M159" s="0" t="s">
        <v>50</v>
      </c>
      <c r="N159" s="0" t="n">
        <v>5</v>
      </c>
      <c r="O159" s="0" t="n">
        <v>5.8</v>
      </c>
      <c r="P159" s="0" t="s">
        <v>92</v>
      </c>
      <c r="Q159" s="0" t="s">
        <v>73</v>
      </c>
      <c r="R159" s="0" t="s">
        <v>159</v>
      </c>
      <c r="S159" s="0" t="s">
        <v>147</v>
      </c>
      <c r="U159" s="0" t="s">
        <v>55</v>
      </c>
      <c r="V159" s="0" t="s">
        <v>77</v>
      </c>
      <c r="W159" s="0" t="s">
        <v>98</v>
      </c>
      <c r="X159" s="0" t="s">
        <v>137</v>
      </c>
      <c r="Y159" s="0" t="s">
        <v>59</v>
      </c>
      <c r="Z159" s="0" t="s">
        <v>129</v>
      </c>
      <c r="AA159" s="0" t="n">
        <v>15000</v>
      </c>
      <c r="AB159" s="0" t="s">
        <v>178</v>
      </c>
      <c r="AC159" s="0" t="s">
        <v>82</v>
      </c>
      <c r="AG159" s="0" t="s">
        <v>61</v>
      </c>
      <c r="AJ159" s="0" t="s">
        <v>81</v>
      </c>
      <c r="AK159" s="0" t="s">
        <v>50</v>
      </c>
      <c r="AL159" s="0" t="s">
        <v>63</v>
      </c>
      <c r="AM159" s="0" t="s">
        <v>103</v>
      </c>
      <c r="AN159" s="0" t="s">
        <v>50</v>
      </c>
    </row>
    <row r="160" customFormat="false" ht="15" hidden="false" customHeight="false" outlineLevel="0" collapsed="false">
      <c r="A160" s="1" t="n">
        <v>45815</v>
      </c>
      <c r="B160" s="0" t="s">
        <v>527</v>
      </c>
      <c r="C160" s="0" t="s">
        <v>105</v>
      </c>
      <c r="D160" s="0" t="n">
        <v>8088394188</v>
      </c>
      <c r="E160" s="0" t="s">
        <v>85</v>
      </c>
      <c r="F160" s="0" t="s">
        <v>528</v>
      </c>
      <c r="G160" s="0" t="s">
        <v>45</v>
      </c>
      <c r="H160" s="0" t="s">
        <v>46</v>
      </c>
      <c r="I160" s="0" t="s">
        <v>142</v>
      </c>
      <c r="J160" s="0" t="s">
        <v>109</v>
      </c>
      <c r="K160" s="0" t="n">
        <v>75234</v>
      </c>
      <c r="L160" s="0" t="s">
        <v>124</v>
      </c>
      <c r="M160" s="0" t="s">
        <v>63</v>
      </c>
      <c r="N160" s="0" t="n">
        <v>2</v>
      </c>
      <c r="O160" s="0" t="n">
        <v>2.4</v>
      </c>
      <c r="Q160" s="0" t="s">
        <v>73</v>
      </c>
      <c r="R160" s="0" t="s">
        <v>53</v>
      </c>
      <c r="S160" s="0" t="s">
        <v>95</v>
      </c>
      <c r="U160" s="0" t="s">
        <v>76</v>
      </c>
      <c r="V160" s="0" t="s">
        <v>148</v>
      </c>
      <c r="W160" s="0" t="s">
        <v>113</v>
      </c>
      <c r="X160" s="0" t="s">
        <v>99</v>
      </c>
      <c r="Z160" s="0" t="s">
        <v>129</v>
      </c>
      <c r="AB160" s="0" t="n">
        <v>35000</v>
      </c>
      <c r="AC160" s="0" t="s">
        <v>50</v>
      </c>
      <c r="AD160" s="0" t="s">
        <v>115</v>
      </c>
      <c r="AE160" s="0" t="s">
        <v>80</v>
      </c>
      <c r="AG160" s="0" t="s">
        <v>61</v>
      </c>
      <c r="AH160" s="0" t="s">
        <v>171</v>
      </c>
      <c r="AI160" s="0" t="s">
        <v>172</v>
      </c>
      <c r="AJ160" s="0" t="s">
        <v>63</v>
      </c>
      <c r="AK160" s="0" t="s">
        <v>61</v>
      </c>
      <c r="AL160" s="0" t="s">
        <v>50</v>
      </c>
      <c r="AM160" s="0" t="s">
        <v>64</v>
      </c>
      <c r="AN160" s="0" t="s">
        <v>190</v>
      </c>
    </row>
    <row r="161" customFormat="false" ht="15" hidden="false" customHeight="false" outlineLevel="0" collapsed="false">
      <c r="A161" s="1" t="n">
        <v>45791</v>
      </c>
      <c r="B161" s="0" t="s">
        <v>529</v>
      </c>
      <c r="C161" s="0" t="s">
        <v>105</v>
      </c>
      <c r="D161" s="0" t="n">
        <v>8075631212</v>
      </c>
      <c r="E161" s="0" t="s">
        <v>67</v>
      </c>
      <c r="F161" s="0" t="s">
        <v>530</v>
      </c>
      <c r="G161" s="0" t="s">
        <v>45</v>
      </c>
      <c r="H161" s="0" t="s">
        <v>135</v>
      </c>
      <c r="I161" s="0" t="s">
        <v>142</v>
      </c>
      <c r="J161" s="0" t="s">
        <v>48</v>
      </c>
      <c r="K161" s="0" t="n">
        <v>104209</v>
      </c>
      <c r="L161" s="0" t="s">
        <v>72</v>
      </c>
      <c r="M161" s="0" t="s">
        <v>50</v>
      </c>
      <c r="N161" s="0" t="n">
        <v>1</v>
      </c>
      <c r="O161" s="0" t="n">
        <v>4.6</v>
      </c>
      <c r="P161" s="0" t="s">
        <v>111</v>
      </c>
      <c r="Q161" s="0" t="s">
        <v>73</v>
      </c>
      <c r="R161" s="0" t="s">
        <v>136</v>
      </c>
      <c r="S161" s="0" t="s">
        <v>75</v>
      </c>
      <c r="T161" s="0" t="n">
        <v>15</v>
      </c>
      <c r="U161" s="0" t="s">
        <v>76</v>
      </c>
      <c r="V161" s="0" t="s">
        <v>77</v>
      </c>
      <c r="W161" s="0" t="s">
        <v>98</v>
      </c>
      <c r="X161" s="0" t="s">
        <v>58</v>
      </c>
      <c r="Y161" s="0" t="s">
        <v>156</v>
      </c>
      <c r="AB161" s="0" t="n">
        <v>20000</v>
      </c>
      <c r="AC161" s="0" t="s">
        <v>50</v>
      </c>
      <c r="AD161" s="0" t="s">
        <v>115</v>
      </c>
      <c r="AE161" s="0" t="s">
        <v>184</v>
      </c>
      <c r="AG161" s="0" t="s">
        <v>61</v>
      </c>
      <c r="AI161" s="0" t="s">
        <v>117</v>
      </c>
      <c r="AJ161" s="0" t="s">
        <v>50</v>
      </c>
      <c r="AL161" s="0" t="s">
        <v>50</v>
      </c>
      <c r="AM161" s="0" t="s">
        <v>83</v>
      </c>
      <c r="AN161" s="0" t="s">
        <v>190</v>
      </c>
    </row>
    <row r="162" customFormat="false" ht="15" hidden="false" customHeight="false" outlineLevel="0" collapsed="false">
      <c r="A162" s="0" t="s">
        <v>531</v>
      </c>
      <c r="B162" s="0" t="s">
        <v>532</v>
      </c>
      <c r="C162" s="0" t="s">
        <v>66</v>
      </c>
      <c r="D162" s="0" t="n">
        <v>8038083391</v>
      </c>
      <c r="E162" s="0" t="s">
        <v>122</v>
      </c>
      <c r="F162" s="0" t="s">
        <v>533</v>
      </c>
      <c r="G162" s="0" t="s">
        <v>69</v>
      </c>
      <c r="H162" s="0" t="s">
        <v>176</v>
      </c>
      <c r="I162" s="0" t="s">
        <v>47</v>
      </c>
      <c r="J162" s="0" t="s">
        <v>48</v>
      </c>
      <c r="K162" s="0" t="n">
        <v>24747</v>
      </c>
      <c r="L162" s="0" t="s">
        <v>91</v>
      </c>
      <c r="M162" s="0" t="s">
        <v>63</v>
      </c>
      <c r="N162" s="0" t="n">
        <v>3</v>
      </c>
      <c r="O162" s="0" t="n">
        <v>2.1</v>
      </c>
      <c r="P162" s="0" t="s">
        <v>92</v>
      </c>
      <c r="Q162" s="0" t="s">
        <v>52</v>
      </c>
      <c r="R162" s="0" t="s">
        <v>74</v>
      </c>
      <c r="S162" s="0" t="s">
        <v>167</v>
      </c>
      <c r="T162" s="0" t="n">
        <v>30</v>
      </c>
      <c r="U162" s="0" t="s">
        <v>76</v>
      </c>
      <c r="V162" s="0" t="s">
        <v>97</v>
      </c>
      <c r="W162" s="0" t="s">
        <v>113</v>
      </c>
      <c r="X162" s="0" t="s">
        <v>196</v>
      </c>
      <c r="Y162" s="0" t="s">
        <v>156</v>
      </c>
      <c r="Z162" s="0" t="s">
        <v>149</v>
      </c>
      <c r="AA162" s="0" t="s">
        <v>150</v>
      </c>
      <c r="AB162" s="0" t="n">
        <v>40000</v>
      </c>
      <c r="AC162" s="0" t="s">
        <v>50</v>
      </c>
      <c r="AD162" s="0" t="n">
        <v>0</v>
      </c>
      <c r="AF162" s="1" t="n">
        <v>45867</v>
      </c>
      <c r="AG162" s="0" t="s">
        <v>63</v>
      </c>
      <c r="AH162" s="0" t="s">
        <v>171</v>
      </c>
      <c r="AI162" s="0" t="s">
        <v>172</v>
      </c>
      <c r="AJ162" s="0" t="s">
        <v>62</v>
      </c>
      <c r="AM162" s="0" t="s">
        <v>64</v>
      </c>
      <c r="AN162" s="0" t="s">
        <v>50</v>
      </c>
    </row>
    <row r="163" customFormat="false" ht="15" hidden="false" customHeight="false" outlineLevel="0" collapsed="false">
      <c r="A163" s="0" t="s">
        <v>534</v>
      </c>
      <c r="B163" s="0" t="s">
        <v>535</v>
      </c>
      <c r="C163" s="0" t="s">
        <v>105</v>
      </c>
      <c r="D163" s="0" t="n">
        <v>8020926356</v>
      </c>
      <c r="E163" s="0" t="s">
        <v>85</v>
      </c>
      <c r="F163" s="0" t="s">
        <v>536</v>
      </c>
      <c r="G163" s="0" t="s">
        <v>45</v>
      </c>
      <c r="H163" s="0" t="s">
        <v>88</v>
      </c>
      <c r="I163" s="0" t="s">
        <v>47</v>
      </c>
      <c r="J163" s="0" t="s">
        <v>48</v>
      </c>
      <c r="K163" s="0" t="n">
        <v>38080</v>
      </c>
      <c r="L163" s="0" t="s">
        <v>166</v>
      </c>
      <c r="M163" s="0" t="s">
        <v>63</v>
      </c>
      <c r="O163" s="0" t="n">
        <v>1.8</v>
      </c>
      <c r="P163" s="0" t="s">
        <v>92</v>
      </c>
      <c r="Q163" s="0" t="s">
        <v>93</v>
      </c>
      <c r="R163" s="0" t="s">
        <v>94</v>
      </c>
      <c r="S163" s="0" t="s">
        <v>126</v>
      </c>
      <c r="T163" s="0" t="n">
        <v>45</v>
      </c>
      <c r="U163" s="0" t="s">
        <v>160</v>
      </c>
      <c r="V163" s="0" t="s">
        <v>97</v>
      </c>
      <c r="W163" s="0" t="s">
        <v>128</v>
      </c>
      <c r="X163" s="0" t="s">
        <v>196</v>
      </c>
      <c r="Z163" s="0" t="s">
        <v>79</v>
      </c>
      <c r="AB163" s="0" t="n">
        <v>35000</v>
      </c>
      <c r="AC163" s="0" t="s">
        <v>50</v>
      </c>
      <c r="AD163" s="0" t="n">
        <v>0</v>
      </c>
      <c r="AE163" s="0" t="s">
        <v>130</v>
      </c>
      <c r="AF163" s="0" t="s">
        <v>537</v>
      </c>
      <c r="AG163" s="0" t="s">
        <v>82</v>
      </c>
      <c r="AH163" s="0" t="s">
        <v>171</v>
      </c>
      <c r="AI163" s="0" t="s">
        <v>117</v>
      </c>
      <c r="AJ163" s="0" t="s">
        <v>63</v>
      </c>
      <c r="AK163" s="0" t="s">
        <v>61</v>
      </c>
      <c r="AL163" s="0" t="s">
        <v>50</v>
      </c>
      <c r="AM163" s="0" t="s">
        <v>83</v>
      </c>
      <c r="AN163" s="0" t="s">
        <v>50</v>
      </c>
    </row>
    <row r="164" customFormat="false" ht="15" hidden="false" customHeight="false" outlineLevel="0" collapsed="false">
      <c r="A164" s="1" t="n">
        <v>45811</v>
      </c>
      <c r="B164" s="0" t="s">
        <v>538</v>
      </c>
      <c r="C164" s="0" t="s">
        <v>163</v>
      </c>
      <c r="D164" s="0" t="n">
        <v>8073171894</v>
      </c>
      <c r="E164" s="0" t="s">
        <v>85</v>
      </c>
      <c r="F164" s="0" t="s">
        <v>539</v>
      </c>
      <c r="G164" s="0" t="s">
        <v>87</v>
      </c>
      <c r="H164" s="0" t="s">
        <v>141</v>
      </c>
      <c r="I164" s="0" t="s">
        <v>47</v>
      </c>
      <c r="J164" s="0" t="s">
        <v>71</v>
      </c>
      <c r="K164" s="0" t="n">
        <v>74268</v>
      </c>
      <c r="L164" s="0" t="s">
        <v>110</v>
      </c>
      <c r="M164" s="0" t="s">
        <v>63</v>
      </c>
      <c r="N164" s="0" t="n">
        <v>3</v>
      </c>
      <c r="O164" s="0" t="n">
        <v>5.1</v>
      </c>
      <c r="P164" s="0" t="s">
        <v>125</v>
      </c>
      <c r="Q164" s="0" t="s">
        <v>93</v>
      </c>
      <c r="R164" s="0" t="s">
        <v>74</v>
      </c>
      <c r="S164" s="0" t="s">
        <v>95</v>
      </c>
      <c r="T164" s="0" t="n">
        <v>60</v>
      </c>
      <c r="U164" s="0" t="s">
        <v>55</v>
      </c>
      <c r="V164" s="0" t="s">
        <v>77</v>
      </c>
      <c r="W164" s="0" t="s">
        <v>57</v>
      </c>
      <c r="X164" s="0" t="s">
        <v>58</v>
      </c>
      <c r="Z164" s="0" t="s">
        <v>79</v>
      </c>
      <c r="AA164" s="0" t="s">
        <v>150</v>
      </c>
      <c r="AB164" s="0" t="n">
        <v>20000</v>
      </c>
      <c r="AC164" s="0" t="s">
        <v>61</v>
      </c>
      <c r="AD164" s="0" t="n">
        <v>5000</v>
      </c>
      <c r="AE164" s="0" t="s">
        <v>184</v>
      </c>
      <c r="AF164" s="1" t="n">
        <v>45667</v>
      </c>
      <c r="AG164" s="0" t="s">
        <v>50</v>
      </c>
      <c r="AH164" s="0" t="s">
        <v>171</v>
      </c>
      <c r="AI164" s="0" t="s">
        <v>172</v>
      </c>
      <c r="AJ164" s="0" t="s">
        <v>50</v>
      </c>
      <c r="AK164" s="0" t="s">
        <v>61</v>
      </c>
      <c r="AM164" s="0" t="s">
        <v>103</v>
      </c>
      <c r="AN164" s="0" t="s">
        <v>198</v>
      </c>
    </row>
    <row r="165" customFormat="false" ht="15" hidden="false" customHeight="false" outlineLevel="0" collapsed="false">
      <c r="A165" s="1" t="n">
        <v>45790</v>
      </c>
      <c r="B165" s="0" t="s">
        <v>540</v>
      </c>
      <c r="C165" s="0" t="s">
        <v>121</v>
      </c>
      <c r="D165" s="0" t="n">
        <v>8099053757</v>
      </c>
      <c r="E165" s="0" t="s">
        <v>85</v>
      </c>
      <c r="F165" s="0" t="s">
        <v>541</v>
      </c>
      <c r="G165" s="0" t="s">
        <v>69</v>
      </c>
      <c r="H165" s="0" t="s">
        <v>88</v>
      </c>
      <c r="I165" s="0" t="s">
        <v>142</v>
      </c>
      <c r="J165" s="0" t="s">
        <v>90</v>
      </c>
      <c r="K165" s="0" t="n">
        <v>102788</v>
      </c>
      <c r="L165" s="0" t="s">
        <v>91</v>
      </c>
      <c r="M165" s="0" t="s">
        <v>63</v>
      </c>
      <c r="N165" s="0" t="n">
        <v>5</v>
      </c>
      <c r="O165" s="0" t="n">
        <v>5.5</v>
      </c>
      <c r="P165" s="0" t="s">
        <v>111</v>
      </c>
      <c r="Q165" s="0" t="s">
        <v>73</v>
      </c>
      <c r="R165" s="0" t="s">
        <v>94</v>
      </c>
      <c r="S165" s="0" t="s">
        <v>147</v>
      </c>
      <c r="T165" s="0" t="n">
        <v>60</v>
      </c>
      <c r="U165" s="0" t="s">
        <v>112</v>
      </c>
      <c r="V165" s="0" t="s">
        <v>148</v>
      </c>
      <c r="W165" s="0" t="s">
        <v>98</v>
      </c>
      <c r="X165" s="0" t="s">
        <v>137</v>
      </c>
      <c r="Y165" s="0" t="s">
        <v>156</v>
      </c>
      <c r="Z165" s="0" t="s">
        <v>149</v>
      </c>
      <c r="AB165" s="0" t="n">
        <v>30000</v>
      </c>
      <c r="AC165" s="0" t="s">
        <v>50</v>
      </c>
      <c r="AE165" s="0" t="s">
        <v>130</v>
      </c>
      <c r="AH165" s="0" t="s">
        <v>116</v>
      </c>
      <c r="AJ165" s="0" t="s">
        <v>81</v>
      </c>
      <c r="AK165" s="0" t="s">
        <v>50</v>
      </c>
      <c r="AL165" s="0" t="s">
        <v>63</v>
      </c>
      <c r="AM165" s="0" t="s">
        <v>64</v>
      </c>
      <c r="AN165" s="0" t="s">
        <v>198</v>
      </c>
    </row>
    <row r="166" customFormat="false" ht="15" hidden="false" customHeight="false" outlineLevel="0" collapsed="false">
      <c r="A166" s="1" t="n">
        <v>45719</v>
      </c>
      <c r="B166" s="0" t="s">
        <v>542</v>
      </c>
      <c r="C166" s="0" t="s">
        <v>66</v>
      </c>
      <c r="D166" s="0" t="n">
        <v>8092528662</v>
      </c>
      <c r="E166" s="0" t="s">
        <v>139</v>
      </c>
      <c r="F166" s="0" t="s">
        <v>543</v>
      </c>
      <c r="G166" s="0" t="s">
        <v>69</v>
      </c>
      <c r="H166" s="0" t="s">
        <v>176</v>
      </c>
      <c r="I166" s="0" t="s">
        <v>154</v>
      </c>
      <c r="K166" s="0" t="n">
        <v>117151</v>
      </c>
      <c r="L166" s="0" t="s">
        <v>91</v>
      </c>
      <c r="M166" s="0" t="s">
        <v>50</v>
      </c>
      <c r="N166" s="0" t="n">
        <v>3</v>
      </c>
      <c r="O166" s="0" t="n">
        <v>1.3</v>
      </c>
      <c r="P166" s="0" t="s">
        <v>125</v>
      </c>
      <c r="Q166" s="0" t="s">
        <v>52</v>
      </c>
      <c r="R166" s="0" t="s">
        <v>136</v>
      </c>
      <c r="S166" s="0" t="s">
        <v>167</v>
      </c>
      <c r="U166" s="0" t="s">
        <v>112</v>
      </c>
      <c r="V166" s="0" t="s">
        <v>56</v>
      </c>
      <c r="W166" s="0" t="s">
        <v>98</v>
      </c>
      <c r="X166" s="0" t="s">
        <v>99</v>
      </c>
      <c r="Y166" s="0" t="s">
        <v>156</v>
      </c>
      <c r="Z166" s="0" t="s">
        <v>149</v>
      </c>
      <c r="AA166" s="0" t="n">
        <v>40000</v>
      </c>
      <c r="AB166" s="0" t="n">
        <v>30000</v>
      </c>
      <c r="AC166" s="0" t="s">
        <v>63</v>
      </c>
      <c r="AD166" s="0" t="n">
        <v>10000</v>
      </c>
      <c r="AE166" s="0" t="s">
        <v>80</v>
      </c>
      <c r="AG166" s="0" t="s">
        <v>50</v>
      </c>
      <c r="AI166" s="0" t="s">
        <v>101</v>
      </c>
      <c r="AJ166" s="0" t="s">
        <v>63</v>
      </c>
      <c r="AK166" s="0" t="s">
        <v>61</v>
      </c>
      <c r="AL166" s="0" t="s">
        <v>102</v>
      </c>
      <c r="AM166" s="0" t="s">
        <v>83</v>
      </c>
      <c r="AN166" s="0" t="s">
        <v>63</v>
      </c>
    </row>
    <row r="167" customFormat="false" ht="15" hidden="false" customHeight="false" outlineLevel="0" collapsed="false">
      <c r="A167" s="1" t="n">
        <v>45932</v>
      </c>
      <c r="B167" s="0" t="s">
        <v>544</v>
      </c>
      <c r="C167" s="0" t="s">
        <v>163</v>
      </c>
      <c r="D167" s="0" t="n">
        <v>8018707112</v>
      </c>
      <c r="E167" s="0" t="s">
        <v>43</v>
      </c>
      <c r="F167" s="0" t="s">
        <v>545</v>
      </c>
      <c r="G167" s="0" t="s">
        <v>69</v>
      </c>
      <c r="H167" s="0" t="s">
        <v>135</v>
      </c>
      <c r="I167" s="0" t="s">
        <v>89</v>
      </c>
      <c r="K167" s="0" t="n">
        <v>52844</v>
      </c>
      <c r="L167" s="0" t="s">
        <v>72</v>
      </c>
      <c r="M167" s="0" t="s">
        <v>50</v>
      </c>
      <c r="N167" s="0" t="n">
        <v>2</v>
      </c>
      <c r="O167" s="0" t="n">
        <v>4.7</v>
      </c>
      <c r="P167" s="0" t="s">
        <v>111</v>
      </c>
      <c r="Q167" s="0" t="s">
        <v>73</v>
      </c>
      <c r="R167" s="0" t="s">
        <v>94</v>
      </c>
      <c r="S167" s="0" t="s">
        <v>126</v>
      </c>
      <c r="U167" s="0" t="s">
        <v>76</v>
      </c>
      <c r="V167" s="0" t="s">
        <v>97</v>
      </c>
      <c r="W167" s="0" t="s">
        <v>98</v>
      </c>
      <c r="X167" s="0" t="s">
        <v>114</v>
      </c>
      <c r="Z167" s="0" t="s">
        <v>143</v>
      </c>
      <c r="AA167" s="0" t="n">
        <v>40000</v>
      </c>
      <c r="AB167" s="0" t="s">
        <v>178</v>
      </c>
      <c r="AC167" s="0" t="s">
        <v>82</v>
      </c>
      <c r="AD167" s="0" t="n">
        <v>10000</v>
      </c>
      <c r="AE167" s="0" t="s">
        <v>60</v>
      </c>
      <c r="AF167" s="1" t="n">
        <v>45696</v>
      </c>
      <c r="AH167" s="0" t="s">
        <v>171</v>
      </c>
      <c r="AK167" s="0" t="s">
        <v>82</v>
      </c>
      <c r="AL167" s="0" t="s">
        <v>50</v>
      </c>
      <c r="AM167" s="0" t="s">
        <v>103</v>
      </c>
      <c r="AN167" s="0" t="s">
        <v>198</v>
      </c>
    </row>
    <row r="168" customFormat="false" ht="15" hidden="false" customHeight="false" outlineLevel="0" collapsed="false">
      <c r="A168" s="1" t="n">
        <v>45661</v>
      </c>
      <c r="B168" s="0" t="s">
        <v>546</v>
      </c>
      <c r="C168" s="0" t="s">
        <v>42</v>
      </c>
      <c r="D168" s="0" t="n">
        <v>8032472549</v>
      </c>
      <c r="E168" s="0" t="s">
        <v>122</v>
      </c>
      <c r="F168" s="0" t="s">
        <v>547</v>
      </c>
      <c r="G168" s="0" t="s">
        <v>107</v>
      </c>
      <c r="H168" s="0" t="s">
        <v>165</v>
      </c>
      <c r="I168" s="0" t="s">
        <v>154</v>
      </c>
      <c r="J168" s="0" t="s">
        <v>109</v>
      </c>
      <c r="K168" s="0" t="n">
        <v>28124</v>
      </c>
      <c r="L168" s="0" t="s">
        <v>91</v>
      </c>
      <c r="M168" s="0" t="s">
        <v>63</v>
      </c>
      <c r="N168" s="0" t="n">
        <v>3</v>
      </c>
      <c r="O168" s="0" t="n">
        <v>3</v>
      </c>
      <c r="P168" s="0" t="s">
        <v>111</v>
      </c>
      <c r="Q168" s="0" t="s">
        <v>73</v>
      </c>
      <c r="R168" s="0" t="s">
        <v>74</v>
      </c>
      <c r="S168" s="0" t="s">
        <v>75</v>
      </c>
      <c r="T168" s="0" t="n">
        <v>30</v>
      </c>
      <c r="U168" s="0" t="s">
        <v>112</v>
      </c>
      <c r="V168" s="0" t="s">
        <v>148</v>
      </c>
      <c r="W168" s="0" t="s">
        <v>128</v>
      </c>
      <c r="X168" s="0" t="s">
        <v>99</v>
      </c>
      <c r="Z168" s="0" t="s">
        <v>129</v>
      </c>
      <c r="AA168" s="0" t="n">
        <v>30000</v>
      </c>
      <c r="AC168" s="0" t="s">
        <v>61</v>
      </c>
      <c r="AD168" s="0" t="n">
        <v>0</v>
      </c>
      <c r="AE168" s="0" t="s">
        <v>80</v>
      </c>
      <c r="AG168" s="0" t="s">
        <v>50</v>
      </c>
      <c r="AH168" s="0" t="s">
        <v>116</v>
      </c>
      <c r="AI168" s="0" t="s">
        <v>101</v>
      </c>
      <c r="AJ168" s="0" t="s">
        <v>62</v>
      </c>
      <c r="AK168" s="0" t="s">
        <v>61</v>
      </c>
      <c r="AL168" s="0" t="s">
        <v>50</v>
      </c>
      <c r="AM168" s="0" t="s">
        <v>83</v>
      </c>
      <c r="AN168" s="0" t="s">
        <v>190</v>
      </c>
    </row>
    <row r="169" customFormat="false" ht="15" hidden="false" customHeight="false" outlineLevel="0" collapsed="false">
      <c r="A169" s="1" t="n">
        <v>45808</v>
      </c>
      <c r="B169" s="0" t="s">
        <v>548</v>
      </c>
      <c r="C169" s="0" t="s">
        <v>163</v>
      </c>
      <c r="D169" s="0" t="n">
        <v>8078264989</v>
      </c>
      <c r="E169" s="0" t="s">
        <v>85</v>
      </c>
      <c r="F169" s="0" t="s">
        <v>549</v>
      </c>
      <c r="G169" s="0" t="s">
        <v>107</v>
      </c>
      <c r="I169" s="0" t="s">
        <v>89</v>
      </c>
      <c r="J169" s="0" t="s">
        <v>90</v>
      </c>
      <c r="K169" s="0" t="n">
        <v>85966</v>
      </c>
      <c r="L169" s="0" t="s">
        <v>91</v>
      </c>
      <c r="M169" s="0" t="s">
        <v>63</v>
      </c>
      <c r="O169" s="0" t="n">
        <v>4.3</v>
      </c>
      <c r="P169" s="0" t="s">
        <v>111</v>
      </c>
      <c r="Q169" s="0" t="s">
        <v>52</v>
      </c>
      <c r="R169" s="0" t="s">
        <v>136</v>
      </c>
      <c r="S169" s="0" t="s">
        <v>95</v>
      </c>
      <c r="T169" s="0" t="n">
        <v>45</v>
      </c>
      <c r="U169" s="0" t="s">
        <v>76</v>
      </c>
      <c r="V169" s="0" t="s">
        <v>77</v>
      </c>
      <c r="W169" s="0" t="s">
        <v>78</v>
      </c>
      <c r="X169" s="0" t="s">
        <v>99</v>
      </c>
      <c r="Y169" s="0" t="s">
        <v>156</v>
      </c>
      <c r="Z169" s="0" t="s">
        <v>129</v>
      </c>
      <c r="AA169" s="0" t="n">
        <v>15000</v>
      </c>
      <c r="AB169" s="0" t="n">
        <v>30000</v>
      </c>
      <c r="AD169" s="0" t="n">
        <v>0</v>
      </c>
      <c r="AE169" s="0" t="s">
        <v>60</v>
      </c>
      <c r="AF169" s="1" t="n">
        <v>45856</v>
      </c>
      <c r="AH169" s="0" t="s">
        <v>116</v>
      </c>
      <c r="AJ169" s="0" t="s">
        <v>50</v>
      </c>
      <c r="AK169" s="0" t="s">
        <v>82</v>
      </c>
      <c r="AM169" s="0" t="s">
        <v>83</v>
      </c>
      <c r="AN169" s="0" t="s">
        <v>50</v>
      </c>
    </row>
    <row r="170" customFormat="false" ht="15" hidden="false" customHeight="false" outlineLevel="0" collapsed="false">
      <c r="A170" s="0" t="s">
        <v>371</v>
      </c>
      <c r="B170" s="0" t="s">
        <v>550</v>
      </c>
      <c r="C170" s="0" t="s">
        <v>42</v>
      </c>
      <c r="D170" s="0" t="n">
        <v>8062092026</v>
      </c>
      <c r="E170" s="0" t="s">
        <v>67</v>
      </c>
      <c r="F170" s="0" t="s">
        <v>551</v>
      </c>
      <c r="G170" s="0" t="s">
        <v>87</v>
      </c>
      <c r="H170" s="0" t="s">
        <v>272</v>
      </c>
      <c r="I170" s="0" t="s">
        <v>142</v>
      </c>
      <c r="K170" s="0" t="n">
        <v>83179</v>
      </c>
      <c r="L170" s="0" t="s">
        <v>166</v>
      </c>
      <c r="M170" s="0" t="s">
        <v>63</v>
      </c>
      <c r="N170" s="0" t="n">
        <v>3</v>
      </c>
      <c r="O170" s="0" t="n">
        <v>5.7</v>
      </c>
      <c r="P170" s="0" t="s">
        <v>51</v>
      </c>
      <c r="Q170" s="0" t="s">
        <v>73</v>
      </c>
      <c r="R170" s="0" t="s">
        <v>136</v>
      </c>
      <c r="S170" s="0" t="s">
        <v>75</v>
      </c>
      <c r="T170" s="0" t="n">
        <v>30</v>
      </c>
      <c r="U170" s="0" t="s">
        <v>112</v>
      </c>
      <c r="V170" s="0" t="s">
        <v>97</v>
      </c>
      <c r="W170" s="0" t="s">
        <v>57</v>
      </c>
      <c r="X170" s="0" t="s">
        <v>58</v>
      </c>
      <c r="Y170" s="0" t="s">
        <v>197</v>
      </c>
      <c r="Z170" s="0" t="s">
        <v>149</v>
      </c>
      <c r="AA170" s="0" t="n">
        <v>25000</v>
      </c>
      <c r="AB170" s="0" t="s">
        <v>178</v>
      </c>
      <c r="AC170" s="0" t="s">
        <v>82</v>
      </c>
      <c r="AD170" s="0" t="n">
        <v>5000</v>
      </c>
      <c r="AE170" s="0" t="s">
        <v>130</v>
      </c>
      <c r="AF170" s="0" t="s">
        <v>552</v>
      </c>
      <c r="AG170" s="0" t="s">
        <v>82</v>
      </c>
      <c r="AH170" s="0" t="s">
        <v>171</v>
      </c>
      <c r="AI170" s="0" t="s">
        <v>117</v>
      </c>
      <c r="AJ170" s="0" t="s">
        <v>63</v>
      </c>
      <c r="AK170" s="0" t="s">
        <v>50</v>
      </c>
      <c r="AL170" s="0" t="s">
        <v>50</v>
      </c>
      <c r="AM170" s="0" t="s">
        <v>83</v>
      </c>
      <c r="AN170" s="0" t="s">
        <v>50</v>
      </c>
    </row>
    <row r="171" customFormat="false" ht="15" hidden="false" customHeight="false" outlineLevel="0" collapsed="false">
      <c r="A171" s="0" t="s">
        <v>553</v>
      </c>
      <c r="B171" s="0" t="s">
        <v>554</v>
      </c>
      <c r="C171" s="0" t="s">
        <v>42</v>
      </c>
      <c r="D171" s="0" t="n">
        <v>8096580039</v>
      </c>
      <c r="E171" s="0" t="s">
        <v>139</v>
      </c>
      <c r="F171" s="0" t="s">
        <v>555</v>
      </c>
      <c r="G171" s="0" t="s">
        <v>69</v>
      </c>
      <c r="H171" s="0" t="s">
        <v>70</v>
      </c>
      <c r="I171" s="0" t="s">
        <v>154</v>
      </c>
      <c r="J171" s="0" t="s">
        <v>71</v>
      </c>
      <c r="K171" s="0" t="n">
        <v>78019</v>
      </c>
      <c r="L171" s="0" t="s">
        <v>110</v>
      </c>
      <c r="M171" s="0" t="s">
        <v>50</v>
      </c>
      <c r="N171" s="0" t="n">
        <v>4</v>
      </c>
      <c r="O171" s="0" t="n">
        <v>5.7</v>
      </c>
      <c r="P171" s="0" t="s">
        <v>111</v>
      </c>
      <c r="Q171" s="0" t="s">
        <v>73</v>
      </c>
      <c r="R171" s="0" t="s">
        <v>94</v>
      </c>
      <c r="S171" s="0" t="s">
        <v>54</v>
      </c>
      <c r="T171" s="0" t="s">
        <v>127</v>
      </c>
      <c r="U171" s="0" t="s">
        <v>96</v>
      </c>
      <c r="V171" s="0" t="s">
        <v>148</v>
      </c>
      <c r="W171" s="0" t="s">
        <v>78</v>
      </c>
      <c r="X171" s="0" t="s">
        <v>196</v>
      </c>
      <c r="Y171" s="0" t="s">
        <v>59</v>
      </c>
      <c r="AA171" s="0" t="n">
        <v>25000</v>
      </c>
      <c r="AB171" s="0" t="s">
        <v>178</v>
      </c>
      <c r="AC171" s="0" t="s">
        <v>61</v>
      </c>
      <c r="AE171" s="0" t="s">
        <v>184</v>
      </c>
      <c r="AF171" s="0" t="s">
        <v>556</v>
      </c>
      <c r="AG171" s="0" t="s">
        <v>50</v>
      </c>
      <c r="AJ171" s="0" t="s">
        <v>50</v>
      </c>
      <c r="AK171" s="0" t="s">
        <v>50</v>
      </c>
      <c r="AL171" s="0" t="s">
        <v>50</v>
      </c>
      <c r="AM171" s="0" t="s">
        <v>118</v>
      </c>
      <c r="AN171" s="0" t="s">
        <v>190</v>
      </c>
    </row>
    <row r="172" customFormat="false" ht="15" hidden="false" customHeight="false" outlineLevel="0" collapsed="false">
      <c r="A172" s="1" t="n">
        <v>45728</v>
      </c>
      <c r="B172" s="0" t="s">
        <v>557</v>
      </c>
      <c r="C172" s="0" t="s">
        <v>163</v>
      </c>
      <c r="D172" s="0" t="n">
        <v>8078338099</v>
      </c>
      <c r="E172" s="0" t="s">
        <v>139</v>
      </c>
      <c r="F172" s="0" t="s">
        <v>558</v>
      </c>
      <c r="G172" s="0" t="s">
        <v>69</v>
      </c>
      <c r="H172" s="0" t="s">
        <v>242</v>
      </c>
      <c r="I172" s="0" t="s">
        <v>142</v>
      </c>
      <c r="J172" s="0" t="s">
        <v>90</v>
      </c>
      <c r="K172" s="0" t="n">
        <v>41854</v>
      </c>
      <c r="L172" s="0" t="s">
        <v>110</v>
      </c>
      <c r="M172" s="0" t="s">
        <v>63</v>
      </c>
      <c r="N172" s="0" t="n">
        <v>4</v>
      </c>
      <c r="O172" s="0" t="n">
        <v>1.3</v>
      </c>
      <c r="P172" s="0" t="s">
        <v>51</v>
      </c>
      <c r="Q172" s="0" t="s">
        <v>52</v>
      </c>
      <c r="S172" s="0" t="s">
        <v>126</v>
      </c>
      <c r="T172" s="0" t="n">
        <v>15</v>
      </c>
      <c r="U172" s="0" t="s">
        <v>76</v>
      </c>
      <c r="V172" s="0" t="s">
        <v>155</v>
      </c>
      <c r="W172" s="0" t="s">
        <v>113</v>
      </c>
      <c r="X172" s="0" t="s">
        <v>196</v>
      </c>
      <c r="Y172" s="0" t="s">
        <v>59</v>
      </c>
      <c r="Z172" s="0" t="s">
        <v>143</v>
      </c>
      <c r="AA172" s="0" t="n">
        <v>15000</v>
      </c>
      <c r="AB172" s="0" t="s">
        <v>178</v>
      </c>
      <c r="AC172" s="0" t="s">
        <v>61</v>
      </c>
      <c r="AD172" s="0" t="n">
        <v>10000</v>
      </c>
      <c r="AE172" s="0" t="s">
        <v>130</v>
      </c>
      <c r="AF172" s="0" t="s">
        <v>559</v>
      </c>
      <c r="AG172" s="0" t="s">
        <v>61</v>
      </c>
      <c r="AH172" s="0" t="s">
        <v>171</v>
      </c>
      <c r="AJ172" s="0" t="s">
        <v>50</v>
      </c>
      <c r="AK172" s="0" t="s">
        <v>50</v>
      </c>
      <c r="AL172" s="0" t="s">
        <v>50</v>
      </c>
      <c r="AM172" s="0" t="s">
        <v>64</v>
      </c>
      <c r="AN172" s="0" t="s">
        <v>63</v>
      </c>
    </row>
    <row r="173" customFormat="false" ht="15" hidden="false" customHeight="false" outlineLevel="0" collapsed="false">
      <c r="A173" s="1" t="n">
        <v>45774</v>
      </c>
      <c r="B173" s="0" t="s">
        <v>560</v>
      </c>
      <c r="C173" s="0" t="s">
        <v>42</v>
      </c>
      <c r="D173" s="0" t="n">
        <v>8060233144</v>
      </c>
      <c r="E173" s="0" t="s">
        <v>139</v>
      </c>
      <c r="F173" s="0" t="s">
        <v>561</v>
      </c>
      <c r="G173" s="0" t="s">
        <v>69</v>
      </c>
      <c r="H173" s="0" t="s">
        <v>242</v>
      </c>
      <c r="I173" s="0" t="s">
        <v>47</v>
      </c>
      <c r="J173" s="0" t="s">
        <v>90</v>
      </c>
      <c r="K173" s="0" t="n">
        <v>27126</v>
      </c>
      <c r="L173" s="0" t="s">
        <v>110</v>
      </c>
      <c r="M173" s="0" t="s">
        <v>50</v>
      </c>
      <c r="N173" s="0" t="n">
        <v>2</v>
      </c>
      <c r="O173" s="0" t="n">
        <v>4.6</v>
      </c>
      <c r="P173" s="0" t="s">
        <v>125</v>
      </c>
      <c r="Q173" s="0" t="s">
        <v>93</v>
      </c>
      <c r="R173" s="0" t="s">
        <v>74</v>
      </c>
      <c r="S173" s="0" t="s">
        <v>95</v>
      </c>
      <c r="T173" s="0" t="s">
        <v>127</v>
      </c>
      <c r="U173" s="0" t="s">
        <v>55</v>
      </c>
      <c r="V173" s="0" t="s">
        <v>148</v>
      </c>
      <c r="W173" s="0" t="s">
        <v>78</v>
      </c>
      <c r="X173" s="0" t="s">
        <v>137</v>
      </c>
      <c r="Z173" s="0" t="s">
        <v>79</v>
      </c>
      <c r="AA173" s="0" t="n">
        <v>30000</v>
      </c>
      <c r="AB173" s="0" t="n">
        <v>40000</v>
      </c>
      <c r="AD173" s="0" t="s">
        <v>115</v>
      </c>
      <c r="AE173" s="0" t="s">
        <v>184</v>
      </c>
      <c r="AF173" s="0" t="s">
        <v>562</v>
      </c>
      <c r="AG173" s="0" t="s">
        <v>63</v>
      </c>
      <c r="AH173" s="0" t="s">
        <v>171</v>
      </c>
      <c r="AJ173" s="0" t="s">
        <v>63</v>
      </c>
      <c r="AK173" s="0" t="s">
        <v>82</v>
      </c>
      <c r="AM173" s="0" t="s">
        <v>64</v>
      </c>
      <c r="AN173" s="0" t="s">
        <v>50</v>
      </c>
    </row>
    <row r="174" customFormat="false" ht="15" hidden="false" customHeight="false" outlineLevel="0" collapsed="false">
      <c r="A174" s="1" t="n">
        <v>45762</v>
      </c>
      <c r="B174" s="0" t="s">
        <v>563</v>
      </c>
      <c r="C174" s="0" t="s">
        <v>163</v>
      </c>
      <c r="D174" s="0" t="n">
        <v>8076919318</v>
      </c>
      <c r="E174" s="0" t="s">
        <v>43</v>
      </c>
      <c r="F174" s="0" t="s">
        <v>564</v>
      </c>
      <c r="G174" s="0" t="s">
        <v>45</v>
      </c>
      <c r="H174" s="0" t="s">
        <v>135</v>
      </c>
      <c r="I174" s="0" t="s">
        <v>47</v>
      </c>
      <c r="J174" s="0" t="s">
        <v>90</v>
      </c>
      <c r="K174" s="0" t="n">
        <v>29561</v>
      </c>
      <c r="L174" s="0" t="s">
        <v>72</v>
      </c>
      <c r="M174" s="0" t="s">
        <v>63</v>
      </c>
      <c r="N174" s="0" t="n">
        <v>1</v>
      </c>
      <c r="O174" s="0" t="n">
        <v>3.4</v>
      </c>
      <c r="P174" s="0" t="s">
        <v>125</v>
      </c>
      <c r="Q174" s="0" t="s">
        <v>93</v>
      </c>
      <c r="S174" s="0" t="s">
        <v>75</v>
      </c>
      <c r="T174" s="0" t="n">
        <v>60</v>
      </c>
      <c r="U174" s="0" t="s">
        <v>55</v>
      </c>
      <c r="V174" s="0" t="s">
        <v>97</v>
      </c>
      <c r="W174" s="0" t="s">
        <v>128</v>
      </c>
      <c r="X174" s="0" t="s">
        <v>137</v>
      </c>
      <c r="Y174" s="0" t="s">
        <v>177</v>
      </c>
      <c r="Z174" s="0" t="s">
        <v>161</v>
      </c>
      <c r="AA174" s="0" t="n">
        <v>30000</v>
      </c>
      <c r="AD174" s="0" t="n">
        <v>5000</v>
      </c>
      <c r="AE174" s="0" t="s">
        <v>130</v>
      </c>
      <c r="AG174" s="0" t="s">
        <v>50</v>
      </c>
      <c r="AI174" s="0" t="s">
        <v>172</v>
      </c>
      <c r="AJ174" s="0" t="s">
        <v>62</v>
      </c>
      <c r="AK174" s="0" t="s">
        <v>61</v>
      </c>
      <c r="AM174" s="0" t="s">
        <v>118</v>
      </c>
      <c r="AN174" s="0" t="s">
        <v>50</v>
      </c>
    </row>
    <row r="175" customFormat="false" ht="15" hidden="false" customHeight="false" outlineLevel="0" collapsed="false">
      <c r="A175" s="1" t="n">
        <v>45676</v>
      </c>
      <c r="B175" s="0" t="s">
        <v>565</v>
      </c>
      <c r="C175" s="0" t="s">
        <v>121</v>
      </c>
      <c r="D175" s="0" t="n">
        <v>8079644554</v>
      </c>
      <c r="E175" s="0" t="s">
        <v>85</v>
      </c>
      <c r="F175" s="0" t="s">
        <v>566</v>
      </c>
      <c r="G175" s="0" t="s">
        <v>87</v>
      </c>
      <c r="I175" s="0" t="s">
        <v>89</v>
      </c>
      <c r="K175" s="0" t="n">
        <v>13680</v>
      </c>
      <c r="L175" s="0" t="s">
        <v>49</v>
      </c>
      <c r="M175" s="0" t="s">
        <v>63</v>
      </c>
      <c r="N175" s="0" t="n">
        <v>1</v>
      </c>
      <c r="O175" s="0" t="n">
        <v>5.6</v>
      </c>
      <c r="P175" s="0" t="s">
        <v>51</v>
      </c>
      <c r="Q175" s="0" t="s">
        <v>93</v>
      </c>
      <c r="S175" s="0" t="s">
        <v>54</v>
      </c>
      <c r="T175" s="0" t="n">
        <v>45</v>
      </c>
      <c r="U175" s="0" t="s">
        <v>160</v>
      </c>
      <c r="V175" s="0" t="s">
        <v>155</v>
      </c>
      <c r="W175" s="0" t="s">
        <v>113</v>
      </c>
      <c r="X175" s="0" t="s">
        <v>99</v>
      </c>
      <c r="Z175" s="0" t="s">
        <v>129</v>
      </c>
      <c r="AA175" s="0" t="n">
        <v>30000</v>
      </c>
      <c r="AB175" s="0" t="n">
        <v>40000</v>
      </c>
      <c r="AE175" s="0" t="s">
        <v>80</v>
      </c>
      <c r="AG175" s="0" t="s">
        <v>63</v>
      </c>
      <c r="AH175" s="0" t="s">
        <v>171</v>
      </c>
      <c r="AI175" s="0" t="s">
        <v>172</v>
      </c>
      <c r="AJ175" s="0" t="s">
        <v>62</v>
      </c>
      <c r="AK175" s="0" t="s">
        <v>61</v>
      </c>
      <c r="AL175" s="0" t="s">
        <v>50</v>
      </c>
      <c r="AM175" s="0" t="s">
        <v>118</v>
      </c>
      <c r="AN175" s="0" t="s">
        <v>198</v>
      </c>
    </row>
    <row r="176" customFormat="false" ht="15" hidden="false" customHeight="false" outlineLevel="0" collapsed="false">
      <c r="A176" s="1" t="n">
        <v>45687</v>
      </c>
      <c r="B176" s="0" t="s">
        <v>567</v>
      </c>
      <c r="C176" s="0" t="s">
        <v>121</v>
      </c>
      <c r="D176" s="0" t="n">
        <v>8072312899</v>
      </c>
      <c r="E176" s="0" t="s">
        <v>67</v>
      </c>
      <c r="F176" s="0" t="s">
        <v>568</v>
      </c>
      <c r="G176" s="0" t="s">
        <v>69</v>
      </c>
      <c r="H176" s="0" t="s">
        <v>141</v>
      </c>
      <c r="I176" s="0" t="s">
        <v>89</v>
      </c>
      <c r="J176" s="0" t="s">
        <v>109</v>
      </c>
      <c r="K176" s="0" t="n">
        <v>116472</v>
      </c>
      <c r="L176" s="0" t="s">
        <v>166</v>
      </c>
      <c r="M176" s="0" t="s">
        <v>50</v>
      </c>
      <c r="N176" s="0" t="n">
        <v>2</v>
      </c>
      <c r="O176" s="0" t="n">
        <v>4.2</v>
      </c>
      <c r="P176" s="0" t="s">
        <v>125</v>
      </c>
      <c r="Q176" s="0" t="s">
        <v>73</v>
      </c>
      <c r="R176" s="0" t="s">
        <v>74</v>
      </c>
      <c r="S176" s="0" t="s">
        <v>75</v>
      </c>
      <c r="T176" s="0" t="n">
        <v>30</v>
      </c>
      <c r="U176" s="0" t="s">
        <v>112</v>
      </c>
      <c r="V176" s="0" t="s">
        <v>148</v>
      </c>
      <c r="W176" s="0" t="s">
        <v>113</v>
      </c>
      <c r="X176" s="0" t="s">
        <v>99</v>
      </c>
      <c r="Y176" s="0" t="s">
        <v>59</v>
      </c>
      <c r="Z176" s="0" t="s">
        <v>129</v>
      </c>
      <c r="AA176" s="0" t="n">
        <v>30000</v>
      </c>
      <c r="AC176" s="0" t="s">
        <v>50</v>
      </c>
      <c r="AD176" s="0" t="n">
        <v>0</v>
      </c>
      <c r="AE176" s="0" t="s">
        <v>60</v>
      </c>
      <c r="AF176" s="1" t="n">
        <v>45963</v>
      </c>
      <c r="AG176" s="0" t="s">
        <v>82</v>
      </c>
      <c r="AH176" s="0" t="s">
        <v>116</v>
      </c>
      <c r="AI176" s="0" t="s">
        <v>117</v>
      </c>
      <c r="AJ176" s="0" t="s">
        <v>62</v>
      </c>
      <c r="AK176" s="0" t="s">
        <v>82</v>
      </c>
      <c r="AL176" s="0" t="s">
        <v>102</v>
      </c>
      <c r="AM176" s="0" t="s">
        <v>118</v>
      </c>
      <c r="AN176" s="0" t="s">
        <v>50</v>
      </c>
    </row>
    <row r="177" customFormat="false" ht="15" hidden="false" customHeight="false" outlineLevel="0" collapsed="false">
      <c r="A177" s="0" t="s">
        <v>353</v>
      </c>
      <c r="B177" s="0" t="s">
        <v>569</v>
      </c>
      <c r="C177" s="0" t="s">
        <v>42</v>
      </c>
      <c r="D177" s="0" t="n">
        <v>8034024774</v>
      </c>
      <c r="E177" s="0" t="s">
        <v>122</v>
      </c>
      <c r="F177" s="0" t="s">
        <v>570</v>
      </c>
      <c r="G177" s="0" t="s">
        <v>69</v>
      </c>
      <c r="H177" s="0" t="s">
        <v>141</v>
      </c>
      <c r="I177" s="0" t="s">
        <v>142</v>
      </c>
      <c r="K177" s="0" t="n">
        <v>98502</v>
      </c>
      <c r="L177" s="0" t="s">
        <v>72</v>
      </c>
      <c r="M177" s="0" t="s">
        <v>63</v>
      </c>
      <c r="N177" s="0" t="n">
        <v>5</v>
      </c>
      <c r="O177" s="0" t="n">
        <v>4.2</v>
      </c>
      <c r="P177" s="0" t="s">
        <v>111</v>
      </c>
      <c r="Q177" s="0" t="s">
        <v>52</v>
      </c>
      <c r="R177" s="0" t="s">
        <v>136</v>
      </c>
      <c r="S177" s="0" t="s">
        <v>54</v>
      </c>
      <c r="U177" s="0" t="s">
        <v>112</v>
      </c>
      <c r="V177" s="0" t="s">
        <v>148</v>
      </c>
      <c r="W177" s="0" t="s">
        <v>128</v>
      </c>
      <c r="X177" s="0" t="s">
        <v>58</v>
      </c>
      <c r="Y177" s="0" t="s">
        <v>156</v>
      </c>
      <c r="Z177" s="0" t="s">
        <v>149</v>
      </c>
      <c r="AA177" s="0" t="n">
        <v>15000</v>
      </c>
      <c r="AB177" s="0" t="s">
        <v>178</v>
      </c>
      <c r="AD177" s="0" t="n">
        <v>0</v>
      </c>
      <c r="AE177" s="0" t="s">
        <v>60</v>
      </c>
      <c r="AF177" s="0" t="s">
        <v>571</v>
      </c>
      <c r="AG177" s="0" t="s">
        <v>63</v>
      </c>
      <c r="AI177" s="0" t="s">
        <v>172</v>
      </c>
      <c r="AJ177" s="0" t="s">
        <v>62</v>
      </c>
      <c r="AL177" s="0" t="s">
        <v>102</v>
      </c>
      <c r="AM177" s="0" t="s">
        <v>64</v>
      </c>
      <c r="AN177" s="0" t="s">
        <v>198</v>
      </c>
    </row>
    <row r="178" customFormat="false" ht="15" hidden="false" customHeight="false" outlineLevel="0" collapsed="false">
      <c r="A178" s="1" t="n">
        <v>45842</v>
      </c>
      <c r="B178" s="0" t="s">
        <v>572</v>
      </c>
      <c r="C178" s="0" t="s">
        <v>121</v>
      </c>
      <c r="D178" s="0" t="n">
        <v>8053194369</v>
      </c>
      <c r="E178" s="0" t="s">
        <v>43</v>
      </c>
      <c r="F178" s="0" t="s">
        <v>573</v>
      </c>
      <c r="G178" s="0" t="s">
        <v>134</v>
      </c>
      <c r="H178" s="0" t="s">
        <v>272</v>
      </c>
      <c r="I178" s="0" t="s">
        <v>108</v>
      </c>
      <c r="J178" s="0" t="s">
        <v>109</v>
      </c>
      <c r="K178" s="0" t="n">
        <v>108664</v>
      </c>
      <c r="L178" s="0" t="s">
        <v>166</v>
      </c>
      <c r="M178" s="0" t="s">
        <v>63</v>
      </c>
      <c r="N178" s="0" t="n">
        <v>5</v>
      </c>
      <c r="O178" s="0" t="n">
        <v>3.3</v>
      </c>
      <c r="P178" s="0" t="s">
        <v>51</v>
      </c>
      <c r="Q178" s="0" t="s">
        <v>52</v>
      </c>
      <c r="R178" s="0" t="s">
        <v>159</v>
      </c>
      <c r="S178" s="0" t="s">
        <v>75</v>
      </c>
      <c r="U178" s="0" t="s">
        <v>96</v>
      </c>
      <c r="V178" s="0" t="s">
        <v>97</v>
      </c>
      <c r="W178" s="0" t="s">
        <v>98</v>
      </c>
      <c r="X178" s="0" t="s">
        <v>58</v>
      </c>
      <c r="Y178" s="0" t="s">
        <v>197</v>
      </c>
      <c r="Z178" s="0" t="s">
        <v>143</v>
      </c>
      <c r="AA178" s="0" t="n">
        <v>15000</v>
      </c>
      <c r="AB178" s="0" t="s">
        <v>178</v>
      </c>
      <c r="AC178" s="0" t="s">
        <v>50</v>
      </c>
      <c r="AD178" s="0" t="n">
        <v>0</v>
      </c>
      <c r="AE178" s="0" t="s">
        <v>184</v>
      </c>
      <c r="AG178" s="0" t="s">
        <v>63</v>
      </c>
      <c r="AH178" s="0" t="s">
        <v>116</v>
      </c>
      <c r="AI178" s="0" t="s">
        <v>101</v>
      </c>
      <c r="AJ178" s="0" t="s">
        <v>62</v>
      </c>
      <c r="AK178" s="0" t="s">
        <v>61</v>
      </c>
      <c r="AL178" s="0" t="s">
        <v>63</v>
      </c>
      <c r="AN178" s="0" t="s">
        <v>190</v>
      </c>
    </row>
    <row r="179" customFormat="false" ht="15" hidden="false" customHeight="false" outlineLevel="0" collapsed="false">
      <c r="A179" s="1" t="n">
        <v>45775</v>
      </c>
      <c r="B179" s="0" t="s">
        <v>574</v>
      </c>
      <c r="C179" s="0" t="s">
        <v>163</v>
      </c>
      <c r="D179" s="0" t="n">
        <v>8060181152</v>
      </c>
      <c r="E179" s="0" t="s">
        <v>122</v>
      </c>
      <c r="F179" s="0" t="s">
        <v>575</v>
      </c>
      <c r="G179" s="0" t="s">
        <v>107</v>
      </c>
      <c r="H179" s="0" t="s">
        <v>153</v>
      </c>
      <c r="I179" s="0" t="s">
        <v>89</v>
      </c>
      <c r="K179" s="0" t="n">
        <v>22917</v>
      </c>
      <c r="L179" s="0" t="s">
        <v>49</v>
      </c>
      <c r="M179" s="0" t="s">
        <v>50</v>
      </c>
      <c r="N179" s="0" t="n">
        <v>3</v>
      </c>
      <c r="O179" s="0" t="n">
        <v>1.8</v>
      </c>
      <c r="P179" s="0" t="s">
        <v>51</v>
      </c>
      <c r="Q179" s="0" t="s">
        <v>93</v>
      </c>
      <c r="R179" s="0" t="s">
        <v>136</v>
      </c>
      <c r="S179" s="0" t="s">
        <v>54</v>
      </c>
      <c r="T179" s="0" t="s">
        <v>127</v>
      </c>
      <c r="U179" s="0" t="s">
        <v>160</v>
      </c>
      <c r="V179" s="0" t="s">
        <v>56</v>
      </c>
      <c r="W179" s="0" t="s">
        <v>128</v>
      </c>
      <c r="X179" s="0" t="s">
        <v>114</v>
      </c>
      <c r="Y179" s="0" t="s">
        <v>156</v>
      </c>
      <c r="Z179" s="0" t="s">
        <v>143</v>
      </c>
      <c r="AC179" s="0" t="s">
        <v>50</v>
      </c>
      <c r="AD179" s="0" t="n">
        <v>0</v>
      </c>
      <c r="AE179" s="0" t="s">
        <v>130</v>
      </c>
      <c r="AF179" s="1" t="n">
        <v>45974</v>
      </c>
      <c r="AG179" s="0" t="s">
        <v>50</v>
      </c>
      <c r="AI179" s="0" t="s">
        <v>117</v>
      </c>
      <c r="AJ179" s="0" t="s">
        <v>81</v>
      </c>
      <c r="AK179" s="0" t="s">
        <v>50</v>
      </c>
      <c r="AL179" s="0" t="s">
        <v>63</v>
      </c>
      <c r="AM179" s="0" t="s">
        <v>83</v>
      </c>
      <c r="AN179" s="0" t="s">
        <v>63</v>
      </c>
    </row>
    <row r="180" customFormat="false" ht="15" hidden="false" customHeight="false" outlineLevel="0" collapsed="false">
      <c r="A180" s="0" t="s">
        <v>576</v>
      </c>
      <c r="B180" s="0" t="s">
        <v>577</v>
      </c>
      <c r="C180" s="0" t="s">
        <v>66</v>
      </c>
      <c r="D180" s="0" t="n">
        <v>8080528150</v>
      </c>
      <c r="E180" s="0" t="s">
        <v>85</v>
      </c>
      <c r="F180" s="0" t="s">
        <v>578</v>
      </c>
      <c r="G180" s="0" t="s">
        <v>87</v>
      </c>
      <c r="I180" s="0" t="s">
        <v>89</v>
      </c>
      <c r="J180" s="0" t="s">
        <v>48</v>
      </c>
      <c r="K180" s="0" t="n">
        <v>27657</v>
      </c>
      <c r="L180" s="0" t="s">
        <v>110</v>
      </c>
      <c r="M180" s="0" t="s">
        <v>63</v>
      </c>
      <c r="N180" s="0" t="n">
        <v>1</v>
      </c>
      <c r="O180" s="0" t="n">
        <v>4.9</v>
      </c>
      <c r="P180" s="0" t="s">
        <v>111</v>
      </c>
      <c r="Q180" s="0" t="s">
        <v>73</v>
      </c>
      <c r="R180" s="0" t="s">
        <v>136</v>
      </c>
      <c r="S180" s="0" t="s">
        <v>147</v>
      </c>
      <c r="T180" s="0" t="s">
        <v>127</v>
      </c>
      <c r="U180" s="0" t="s">
        <v>55</v>
      </c>
      <c r="V180" s="0" t="s">
        <v>148</v>
      </c>
      <c r="W180" s="0" t="s">
        <v>128</v>
      </c>
      <c r="X180" s="0" t="s">
        <v>58</v>
      </c>
      <c r="Y180" s="0" t="s">
        <v>156</v>
      </c>
      <c r="Z180" s="0" t="s">
        <v>79</v>
      </c>
      <c r="AA180" s="0" t="n">
        <v>15000</v>
      </c>
      <c r="AB180" s="0" t="n">
        <v>20000</v>
      </c>
      <c r="AC180" s="0" t="s">
        <v>82</v>
      </c>
      <c r="AD180" s="0" t="n">
        <v>5000</v>
      </c>
      <c r="AE180" s="0" t="s">
        <v>184</v>
      </c>
      <c r="AF180" s="1" t="n">
        <v>45868</v>
      </c>
      <c r="AG180" s="0" t="s">
        <v>82</v>
      </c>
      <c r="AH180" s="0" t="s">
        <v>116</v>
      </c>
      <c r="AI180" s="0" t="s">
        <v>101</v>
      </c>
      <c r="AJ180" s="0" t="s">
        <v>81</v>
      </c>
      <c r="AK180" s="0" t="s">
        <v>50</v>
      </c>
      <c r="AL180" s="0" t="s">
        <v>102</v>
      </c>
      <c r="AM180" s="0" t="s">
        <v>83</v>
      </c>
      <c r="AN180" s="0" t="s">
        <v>50</v>
      </c>
    </row>
    <row r="181" customFormat="false" ht="15" hidden="false" customHeight="false" outlineLevel="0" collapsed="false">
      <c r="A181" s="1" t="n">
        <v>45872</v>
      </c>
      <c r="B181" s="0" t="s">
        <v>579</v>
      </c>
      <c r="C181" s="0" t="s">
        <v>66</v>
      </c>
      <c r="D181" s="0" t="n">
        <v>8074867032</v>
      </c>
      <c r="E181" s="0" t="s">
        <v>67</v>
      </c>
      <c r="F181" s="0" t="s">
        <v>580</v>
      </c>
      <c r="G181" s="0" t="s">
        <v>45</v>
      </c>
      <c r="H181" s="0" t="s">
        <v>242</v>
      </c>
      <c r="I181" s="0" t="s">
        <v>108</v>
      </c>
      <c r="J181" s="0" t="s">
        <v>48</v>
      </c>
      <c r="K181" s="0" t="n">
        <v>113970</v>
      </c>
      <c r="L181" s="0" t="s">
        <v>166</v>
      </c>
      <c r="M181" s="0" t="s">
        <v>50</v>
      </c>
      <c r="N181" s="0" t="n">
        <v>2</v>
      </c>
      <c r="O181" s="0" t="n">
        <v>3.7</v>
      </c>
      <c r="P181" s="0" t="s">
        <v>111</v>
      </c>
      <c r="Q181" s="0" t="s">
        <v>52</v>
      </c>
      <c r="S181" s="0" t="s">
        <v>167</v>
      </c>
      <c r="U181" s="0" t="s">
        <v>55</v>
      </c>
      <c r="V181" s="0" t="s">
        <v>97</v>
      </c>
      <c r="W181" s="0" t="s">
        <v>57</v>
      </c>
      <c r="X181" s="0" t="s">
        <v>137</v>
      </c>
      <c r="Y181" s="0" t="s">
        <v>156</v>
      </c>
      <c r="Z181" s="0" t="s">
        <v>143</v>
      </c>
      <c r="AB181" s="0" t="n">
        <v>40000</v>
      </c>
      <c r="AC181" s="0" t="s">
        <v>61</v>
      </c>
      <c r="AD181" s="0" t="n">
        <v>10000</v>
      </c>
      <c r="AE181" s="0" t="s">
        <v>130</v>
      </c>
      <c r="AF181" s="1" t="n">
        <v>46020</v>
      </c>
      <c r="AG181" s="0" t="s">
        <v>50</v>
      </c>
      <c r="AH181" s="0" t="s">
        <v>116</v>
      </c>
      <c r="AI181" s="0" t="s">
        <v>101</v>
      </c>
      <c r="AJ181" s="0" t="s">
        <v>63</v>
      </c>
      <c r="AK181" s="0" t="s">
        <v>61</v>
      </c>
      <c r="AM181" s="0" t="s">
        <v>83</v>
      </c>
      <c r="AN181" s="0" t="s">
        <v>50</v>
      </c>
    </row>
    <row r="182" customFormat="false" ht="15" hidden="false" customHeight="false" outlineLevel="0" collapsed="false">
      <c r="A182" s="0" t="s">
        <v>310</v>
      </c>
      <c r="B182" s="0" t="s">
        <v>581</v>
      </c>
      <c r="C182" s="0" t="s">
        <v>66</v>
      </c>
      <c r="D182" s="0" t="n">
        <v>8076409861</v>
      </c>
      <c r="E182" s="0" t="s">
        <v>139</v>
      </c>
      <c r="F182" s="0" t="s">
        <v>582</v>
      </c>
      <c r="G182" s="0" t="s">
        <v>69</v>
      </c>
      <c r="H182" s="0" t="s">
        <v>141</v>
      </c>
      <c r="I182" s="0" t="s">
        <v>89</v>
      </c>
      <c r="J182" s="0" t="s">
        <v>71</v>
      </c>
      <c r="K182" s="0" t="n">
        <v>57750</v>
      </c>
      <c r="L182" s="0" t="s">
        <v>124</v>
      </c>
      <c r="M182" s="0" t="s">
        <v>50</v>
      </c>
      <c r="N182" s="0" t="n">
        <v>3</v>
      </c>
      <c r="O182" s="0" t="n">
        <v>3.7</v>
      </c>
      <c r="P182" s="0" t="s">
        <v>92</v>
      </c>
      <c r="Q182" s="0" t="s">
        <v>73</v>
      </c>
      <c r="R182" s="0" t="s">
        <v>94</v>
      </c>
      <c r="S182" s="0" t="s">
        <v>167</v>
      </c>
      <c r="T182" s="0" t="s">
        <v>127</v>
      </c>
      <c r="U182" s="0" t="s">
        <v>76</v>
      </c>
      <c r="V182" s="0" t="s">
        <v>97</v>
      </c>
      <c r="W182" s="0" t="s">
        <v>57</v>
      </c>
      <c r="X182" s="0" t="s">
        <v>99</v>
      </c>
      <c r="Y182" s="0" t="s">
        <v>197</v>
      </c>
      <c r="Z182" s="0" t="s">
        <v>149</v>
      </c>
      <c r="AB182" s="0" t="n">
        <v>40000</v>
      </c>
      <c r="AD182" s="0" t="n">
        <v>10000</v>
      </c>
      <c r="AE182" s="0" t="s">
        <v>130</v>
      </c>
      <c r="AF182" s="1" t="n">
        <v>45979</v>
      </c>
      <c r="AG182" s="0" t="s">
        <v>50</v>
      </c>
      <c r="AH182" s="0" t="s">
        <v>171</v>
      </c>
      <c r="AI182" s="0" t="s">
        <v>101</v>
      </c>
      <c r="AJ182" s="0" t="s">
        <v>81</v>
      </c>
      <c r="AL182" s="0" t="s">
        <v>50</v>
      </c>
      <c r="AM182" s="0" t="s">
        <v>64</v>
      </c>
      <c r="AN182" s="0" t="s">
        <v>190</v>
      </c>
    </row>
    <row r="183" customFormat="false" ht="15" hidden="false" customHeight="false" outlineLevel="0" collapsed="false">
      <c r="A183" s="1" t="n">
        <v>45790</v>
      </c>
      <c r="B183" s="0" t="s">
        <v>583</v>
      </c>
      <c r="C183" s="0" t="s">
        <v>163</v>
      </c>
      <c r="D183" s="0" t="n">
        <v>8073586743</v>
      </c>
      <c r="E183" s="0" t="s">
        <v>122</v>
      </c>
      <c r="F183" s="0" t="s">
        <v>543</v>
      </c>
      <c r="G183" s="0" t="s">
        <v>107</v>
      </c>
      <c r="H183" s="0" t="s">
        <v>135</v>
      </c>
      <c r="I183" s="0" t="s">
        <v>47</v>
      </c>
      <c r="J183" s="0" t="s">
        <v>71</v>
      </c>
      <c r="K183" s="0" t="n">
        <v>62052</v>
      </c>
      <c r="L183" s="0" t="s">
        <v>91</v>
      </c>
      <c r="M183" s="0" t="s">
        <v>63</v>
      </c>
      <c r="N183" s="0" t="n">
        <v>2</v>
      </c>
      <c r="O183" s="0" t="n">
        <v>2.2</v>
      </c>
      <c r="P183" s="0" t="s">
        <v>111</v>
      </c>
      <c r="Q183" s="0" t="s">
        <v>52</v>
      </c>
      <c r="R183" s="0" t="s">
        <v>159</v>
      </c>
      <c r="S183" s="0" t="s">
        <v>147</v>
      </c>
      <c r="T183" s="0" t="n">
        <v>30</v>
      </c>
      <c r="U183" s="0" t="s">
        <v>76</v>
      </c>
      <c r="V183" s="0" t="s">
        <v>148</v>
      </c>
      <c r="W183" s="0" t="s">
        <v>57</v>
      </c>
      <c r="X183" s="0" t="s">
        <v>58</v>
      </c>
      <c r="Z183" s="0" t="s">
        <v>79</v>
      </c>
      <c r="AA183" s="0" t="n">
        <v>30000</v>
      </c>
      <c r="AB183" s="0" t="s">
        <v>178</v>
      </c>
      <c r="AC183" s="0" t="s">
        <v>63</v>
      </c>
      <c r="AD183" s="0" t="s">
        <v>115</v>
      </c>
      <c r="AE183" s="0" t="s">
        <v>60</v>
      </c>
      <c r="AF183" s="0" t="s">
        <v>431</v>
      </c>
      <c r="AH183" s="0" t="s">
        <v>116</v>
      </c>
      <c r="AJ183" s="0" t="s">
        <v>50</v>
      </c>
      <c r="AK183" s="0" t="s">
        <v>50</v>
      </c>
      <c r="AM183" s="0" t="s">
        <v>118</v>
      </c>
      <c r="AN183" s="0" t="s">
        <v>190</v>
      </c>
    </row>
    <row r="184" customFormat="false" ht="15" hidden="false" customHeight="false" outlineLevel="0" collapsed="false">
      <c r="A184" s="1" t="n">
        <v>45903</v>
      </c>
      <c r="B184" s="0" t="s">
        <v>584</v>
      </c>
      <c r="C184" s="0" t="s">
        <v>42</v>
      </c>
      <c r="D184" s="0" t="n">
        <v>8046015375</v>
      </c>
      <c r="E184" s="0" t="s">
        <v>139</v>
      </c>
      <c r="F184" s="0" t="s">
        <v>585</v>
      </c>
      <c r="G184" s="0" t="s">
        <v>87</v>
      </c>
      <c r="H184" s="0" t="s">
        <v>141</v>
      </c>
      <c r="I184" s="0" t="s">
        <v>89</v>
      </c>
      <c r="J184" s="0" t="s">
        <v>109</v>
      </c>
      <c r="K184" s="0" t="n">
        <v>105578</v>
      </c>
      <c r="L184" s="0" t="s">
        <v>49</v>
      </c>
      <c r="M184" s="0" t="s">
        <v>50</v>
      </c>
      <c r="N184" s="0" t="n">
        <v>2</v>
      </c>
      <c r="O184" s="0" t="n">
        <v>2.7</v>
      </c>
      <c r="P184" s="0" t="s">
        <v>125</v>
      </c>
      <c r="Q184" s="0" t="s">
        <v>52</v>
      </c>
      <c r="S184" s="0" t="s">
        <v>75</v>
      </c>
      <c r="T184" s="0" t="n">
        <v>45</v>
      </c>
      <c r="U184" s="0" t="s">
        <v>76</v>
      </c>
      <c r="V184" s="0" t="s">
        <v>155</v>
      </c>
      <c r="W184" s="0" t="s">
        <v>57</v>
      </c>
      <c r="X184" s="0" t="s">
        <v>58</v>
      </c>
      <c r="Y184" s="0" t="s">
        <v>59</v>
      </c>
      <c r="AA184" s="0" t="s">
        <v>150</v>
      </c>
      <c r="AB184" s="0" t="n">
        <v>20000</v>
      </c>
      <c r="AD184" s="0" t="n">
        <v>0</v>
      </c>
      <c r="AE184" s="0" t="s">
        <v>80</v>
      </c>
      <c r="AG184" s="0" t="s">
        <v>63</v>
      </c>
      <c r="AH184" s="0" t="s">
        <v>171</v>
      </c>
      <c r="AI184" s="0" t="s">
        <v>101</v>
      </c>
      <c r="AJ184" s="0" t="s">
        <v>50</v>
      </c>
      <c r="AK184" s="0" t="s">
        <v>50</v>
      </c>
      <c r="AL184" s="0" t="s">
        <v>102</v>
      </c>
      <c r="AM184" s="0" t="s">
        <v>103</v>
      </c>
      <c r="AN184" s="0" t="s">
        <v>50</v>
      </c>
    </row>
    <row r="185" customFormat="false" ht="15" hidden="false" customHeight="false" outlineLevel="0" collapsed="false">
      <c r="A185" s="1" t="n">
        <v>45681</v>
      </c>
      <c r="B185" s="0" t="s">
        <v>586</v>
      </c>
      <c r="C185" s="0" t="s">
        <v>163</v>
      </c>
      <c r="D185" s="0" t="n">
        <v>8088005556</v>
      </c>
      <c r="E185" s="0" t="s">
        <v>85</v>
      </c>
      <c r="F185" s="0" t="s">
        <v>587</v>
      </c>
      <c r="G185" s="0" t="s">
        <v>45</v>
      </c>
      <c r="H185" s="0" t="s">
        <v>176</v>
      </c>
      <c r="I185" s="0" t="s">
        <v>108</v>
      </c>
      <c r="J185" s="0" t="s">
        <v>48</v>
      </c>
      <c r="K185" s="0" t="n">
        <v>113623</v>
      </c>
      <c r="L185" s="0" t="s">
        <v>166</v>
      </c>
      <c r="M185" s="0" t="s">
        <v>50</v>
      </c>
      <c r="N185" s="0" t="n">
        <v>4</v>
      </c>
      <c r="O185" s="0" t="n">
        <v>2.6</v>
      </c>
      <c r="Q185" s="0" t="s">
        <v>73</v>
      </c>
      <c r="R185" s="0" t="s">
        <v>136</v>
      </c>
      <c r="S185" s="0" t="s">
        <v>167</v>
      </c>
      <c r="T185" s="0" t="s">
        <v>127</v>
      </c>
      <c r="U185" s="0" t="s">
        <v>76</v>
      </c>
      <c r="V185" s="0" t="s">
        <v>97</v>
      </c>
      <c r="W185" s="0" t="s">
        <v>113</v>
      </c>
      <c r="X185" s="0" t="s">
        <v>196</v>
      </c>
      <c r="Y185" s="0" t="s">
        <v>156</v>
      </c>
      <c r="Z185" s="0" t="s">
        <v>149</v>
      </c>
      <c r="AC185" s="0" t="s">
        <v>82</v>
      </c>
      <c r="AE185" s="0" t="s">
        <v>184</v>
      </c>
      <c r="AF185" s="0" t="s">
        <v>588</v>
      </c>
      <c r="AG185" s="0" t="s">
        <v>61</v>
      </c>
      <c r="AI185" s="0" t="s">
        <v>117</v>
      </c>
      <c r="AJ185" s="0" t="s">
        <v>81</v>
      </c>
      <c r="AK185" s="0" t="s">
        <v>61</v>
      </c>
      <c r="AM185" s="0" t="s">
        <v>103</v>
      </c>
      <c r="AN185" s="0" t="s">
        <v>50</v>
      </c>
    </row>
    <row r="186" customFormat="false" ht="15" hidden="false" customHeight="false" outlineLevel="0" collapsed="false">
      <c r="A186" s="0" t="s">
        <v>589</v>
      </c>
      <c r="B186" s="0" t="s">
        <v>590</v>
      </c>
      <c r="C186" s="0" t="s">
        <v>42</v>
      </c>
      <c r="D186" s="0" t="n">
        <v>8063814070</v>
      </c>
      <c r="E186" s="0" t="s">
        <v>85</v>
      </c>
      <c r="F186" s="0" t="s">
        <v>591</v>
      </c>
      <c r="G186" s="0" t="s">
        <v>134</v>
      </c>
      <c r="H186" s="0" t="s">
        <v>70</v>
      </c>
      <c r="I186" s="0" t="s">
        <v>47</v>
      </c>
      <c r="K186" s="0" t="n">
        <v>105172</v>
      </c>
      <c r="L186" s="0" t="s">
        <v>124</v>
      </c>
      <c r="M186" s="0" t="s">
        <v>63</v>
      </c>
      <c r="N186" s="0" t="n">
        <v>2</v>
      </c>
      <c r="O186" s="0" t="n">
        <v>4.4</v>
      </c>
      <c r="Q186" s="0" t="s">
        <v>73</v>
      </c>
      <c r="R186" s="0" t="s">
        <v>53</v>
      </c>
      <c r="S186" s="0" t="s">
        <v>95</v>
      </c>
      <c r="T186" s="0" t="n">
        <v>60</v>
      </c>
      <c r="U186" s="0" t="s">
        <v>76</v>
      </c>
      <c r="V186" s="0" t="s">
        <v>56</v>
      </c>
      <c r="W186" s="0" t="s">
        <v>57</v>
      </c>
      <c r="X186" s="0" t="s">
        <v>58</v>
      </c>
      <c r="Y186" s="0" t="s">
        <v>197</v>
      </c>
      <c r="Z186" s="0" t="s">
        <v>161</v>
      </c>
      <c r="AA186" s="0" t="n">
        <v>15000</v>
      </c>
      <c r="AB186" s="0" t="n">
        <v>35000</v>
      </c>
      <c r="AC186" s="0" t="s">
        <v>50</v>
      </c>
      <c r="AD186" s="0" t="n">
        <v>0</v>
      </c>
      <c r="AG186" s="0" t="s">
        <v>50</v>
      </c>
      <c r="AH186" s="0" t="s">
        <v>171</v>
      </c>
      <c r="AJ186" s="0" t="s">
        <v>50</v>
      </c>
      <c r="AK186" s="0" t="s">
        <v>50</v>
      </c>
      <c r="AL186" s="0" t="s">
        <v>102</v>
      </c>
      <c r="AM186" s="0" t="s">
        <v>83</v>
      </c>
      <c r="AN186" s="0" t="s">
        <v>63</v>
      </c>
    </row>
    <row r="187" customFormat="false" ht="15" hidden="false" customHeight="false" outlineLevel="0" collapsed="false">
      <c r="A187" s="0" t="s">
        <v>592</v>
      </c>
      <c r="B187" s="0" t="s">
        <v>593</v>
      </c>
      <c r="C187" s="0" t="s">
        <v>42</v>
      </c>
      <c r="D187" s="0" t="n">
        <v>8095645083</v>
      </c>
      <c r="E187" s="0" t="s">
        <v>85</v>
      </c>
      <c r="F187" s="0" t="s">
        <v>594</v>
      </c>
      <c r="G187" s="0" t="s">
        <v>45</v>
      </c>
      <c r="H187" s="0" t="s">
        <v>146</v>
      </c>
      <c r="I187" s="0" t="s">
        <v>142</v>
      </c>
      <c r="J187" s="0" t="s">
        <v>71</v>
      </c>
      <c r="K187" s="0" t="n">
        <v>17115</v>
      </c>
      <c r="L187" s="0" t="s">
        <v>166</v>
      </c>
      <c r="M187" s="0" t="s">
        <v>63</v>
      </c>
      <c r="O187" s="0" t="n">
        <v>3.8</v>
      </c>
      <c r="P187" s="0" t="s">
        <v>92</v>
      </c>
      <c r="Q187" s="0" t="s">
        <v>52</v>
      </c>
      <c r="R187" s="0" t="s">
        <v>94</v>
      </c>
      <c r="S187" s="0" t="s">
        <v>147</v>
      </c>
      <c r="T187" s="0" t="n">
        <v>60</v>
      </c>
      <c r="U187" s="0" t="s">
        <v>112</v>
      </c>
      <c r="V187" s="0" t="s">
        <v>97</v>
      </c>
      <c r="W187" s="0" t="s">
        <v>113</v>
      </c>
      <c r="X187" s="0" t="s">
        <v>99</v>
      </c>
      <c r="Z187" s="0" t="s">
        <v>161</v>
      </c>
      <c r="AA187" s="0" t="n">
        <v>15000</v>
      </c>
      <c r="AB187" s="0" t="n">
        <v>35000</v>
      </c>
      <c r="AC187" s="0" t="s">
        <v>50</v>
      </c>
      <c r="AD187" s="0" t="n">
        <v>10000</v>
      </c>
      <c r="AE187" s="0" t="s">
        <v>60</v>
      </c>
      <c r="AF187" s="1" t="n">
        <v>45849</v>
      </c>
      <c r="AG187" s="0" t="s">
        <v>61</v>
      </c>
      <c r="AI187" s="0" t="s">
        <v>172</v>
      </c>
      <c r="AJ187" s="0" t="s">
        <v>63</v>
      </c>
      <c r="AL187" s="0" t="s">
        <v>102</v>
      </c>
      <c r="AM187" s="0" t="s">
        <v>64</v>
      </c>
      <c r="AN187" s="0" t="s">
        <v>190</v>
      </c>
    </row>
    <row r="188" customFormat="false" ht="15" hidden="false" customHeight="false" outlineLevel="0" collapsed="false">
      <c r="A188" s="1" t="n">
        <v>45785</v>
      </c>
      <c r="B188" s="0" t="s">
        <v>595</v>
      </c>
      <c r="C188" s="0" t="s">
        <v>121</v>
      </c>
      <c r="D188" s="0" t="n">
        <v>8088380820</v>
      </c>
      <c r="E188" s="0" t="s">
        <v>139</v>
      </c>
      <c r="F188" s="0" t="s">
        <v>596</v>
      </c>
      <c r="G188" s="0" t="s">
        <v>69</v>
      </c>
      <c r="H188" s="0" t="s">
        <v>176</v>
      </c>
      <c r="I188" s="0" t="s">
        <v>189</v>
      </c>
      <c r="K188" s="0" t="n">
        <v>81824</v>
      </c>
      <c r="L188" s="0" t="s">
        <v>110</v>
      </c>
      <c r="M188" s="0" t="s">
        <v>50</v>
      </c>
      <c r="O188" s="0" t="n">
        <v>1.9</v>
      </c>
      <c r="P188" s="0" t="s">
        <v>111</v>
      </c>
      <c r="Q188" s="0" t="s">
        <v>73</v>
      </c>
      <c r="S188" s="0" t="s">
        <v>167</v>
      </c>
      <c r="T188" s="0" t="s">
        <v>127</v>
      </c>
      <c r="U188" s="0" t="s">
        <v>55</v>
      </c>
      <c r="V188" s="0" t="s">
        <v>77</v>
      </c>
      <c r="W188" s="0" t="s">
        <v>128</v>
      </c>
      <c r="X188" s="0" t="s">
        <v>58</v>
      </c>
      <c r="Z188" s="0" t="s">
        <v>143</v>
      </c>
      <c r="AA188" s="0" t="n">
        <v>40000</v>
      </c>
      <c r="AB188" s="0" t="s">
        <v>178</v>
      </c>
      <c r="AF188" s="1" t="n">
        <v>45972</v>
      </c>
      <c r="AJ188" s="0" t="s">
        <v>62</v>
      </c>
      <c r="AK188" s="0" t="s">
        <v>63</v>
      </c>
      <c r="AL188" s="0" t="s">
        <v>50</v>
      </c>
      <c r="AM188" s="0" t="s">
        <v>83</v>
      </c>
    </row>
    <row r="189" customFormat="false" ht="15" hidden="false" customHeight="false" outlineLevel="0" collapsed="false">
      <c r="A189" s="1" t="n">
        <v>45691</v>
      </c>
      <c r="B189" s="0" t="s">
        <v>597</v>
      </c>
      <c r="C189" s="0" t="s">
        <v>105</v>
      </c>
      <c r="D189" s="0" t="n">
        <v>8097206259</v>
      </c>
      <c r="E189" s="0" t="s">
        <v>122</v>
      </c>
      <c r="F189" s="0" t="s">
        <v>598</v>
      </c>
      <c r="G189" s="0" t="s">
        <v>45</v>
      </c>
      <c r="H189" s="0" t="s">
        <v>153</v>
      </c>
      <c r="I189" s="0" t="s">
        <v>142</v>
      </c>
      <c r="J189" s="0" t="s">
        <v>90</v>
      </c>
      <c r="K189" s="0" t="n">
        <v>34699</v>
      </c>
      <c r="L189" s="0" t="s">
        <v>91</v>
      </c>
      <c r="M189" s="0" t="s">
        <v>50</v>
      </c>
      <c r="N189" s="0" t="n">
        <v>2</v>
      </c>
      <c r="O189" s="0" t="n">
        <v>3.9</v>
      </c>
      <c r="P189" s="0" t="s">
        <v>51</v>
      </c>
      <c r="Q189" s="0" t="s">
        <v>73</v>
      </c>
      <c r="R189" s="0" t="s">
        <v>74</v>
      </c>
      <c r="S189" s="0" t="s">
        <v>54</v>
      </c>
      <c r="T189" s="0" t="s">
        <v>127</v>
      </c>
      <c r="U189" s="0" t="s">
        <v>112</v>
      </c>
      <c r="V189" s="0" t="s">
        <v>148</v>
      </c>
      <c r="W189" s="0" t="s">
        <v>128</v>
      </c>
      <c r="X189" s="0" t="s">
        <v>196</v>
      </c>
      <c r="Y189" s="0" t="s">
        <v>156</v>
      </c>
      <c r="Z189" s="0" t="s">
        <v>143</v>
      </c>
      <c r="AA189" s="0" t="s">
        <v>150</v>
      </c>
      <c r="AB189" s="0" t="n">
        <v>20000</v>
      </c>
      <c r="AC189" s="0" t="s">
        <v>61</v>
      </c>
      <c r="AD189" s="0" t="n">
        <v>0</v>
      </c>
      <c r="AE189" s="0" t="s">
        <v>80</v>
      </c>
      <c r="AF189" s="1" t="n">
        <v>45876</v>
      </c>
      <c r="AH189" s="0" t="s">
        <v>116</v>
      </c>
      <c r="AL189" s="0" t="s">
        <v>63</v>
      </c>
      <c r="AN189" s="0" t="s">
        <v>50</v>
      </c>
    </row>
    <row r="190" customFormat="false" ht="15" hidden="false" customHeight="false" outlineLevel="0" collapsed="false">
      <c r="A190" s="1" t="n">
        <v>45710</v>
      </c>
      <c r="B190" s="0" t="s">
        <v>599</v>
      </c>
      <c r="C190" s="0" t="s">
        <v>105</v>
      </c>
      <c r="D190" s="0" t="n">
        <v>8014912971</v>
      </c>
      <c r="E190" s="0" t="s">
        <v>85</v>
      </c>
      <c r="F190" s="0" t="s">
        <v>600</v>
      </c>
      <c r="G190" s="0" t="s">
        <v>45</v>
      </c>
      <c r="H190" s="0" t="s">
        <v>272</v>
      </c>
      <c r="I190" s="0" t="s">
        <v>47</v>
      </c>
      <c r="J190" s="0" t="s">
        <v>109</v>
      </c>
      <c r="K190" s="0" t="n">
        <v>32710</v>
      </c>
      <c r="L190" s="0" t="s">
        <v>110</v>
      </c>
      <c r="M190" s="0" t="s">
        <v>63</v>
      </c>
      <c r="N190" s="0" t="n">
        <v>1</v>
      </c>
      <c r="O190" s="0" t="n">
        <v>2.5</v>
      </c>
      <c r="P190" s="0" t="s">
        <v>92</v>
      </c>
      <c r="Q190" s="0" t="s">
        <v>93</v>
      </c>
      <c r="R190" s="0" t="s">
        <v>159</v>
      </c>
      <c r="S190" s="0" t="s">
        <v>75</v>
      </c>
      <c r="T190" s="0" t="n">
        <v>45</v>
      </c>
      <c r="U190" s="0" t="s">
        <v>96</v>
      </c>
      <c r="V190" s="0" t="s">
        <v>148</v>
      </c>
      <c r="W190" s="0" t="s">
        <v>113</v>
      </c>
      <c r="X190" s="0" t="s">
        <v>137</v>
      </c>
      <c r="Y190" s="0" t="s">
        <v>197</v>
      </c>
      <c r="Z190" s="0" t="s">
        <v>143</v>
      </c>
      <c r="AA190" s="0" t="n">
        <v>30000</v>
      </c>
      <c r="AB190" s="0" t="s">
        <v>178</v>
      </c>
      <c r="AD190" s="0" t="s">
        <v>115</v>
      </c>
      <c r="AF190" s="1" t="n">
        <v>45996</v>
      </c>
      <c r="AI190" s="0" t="s">
        <v>101</v>
      </c>
      <c r="AJ190" s="0" t="s">
        <v>81</v>
      </c>
      <c r="AK190" s="0" t="s">
        <v>63</v>
      </c>
      <c r="AM190" s="0" t="s">
        <v>103</v>
      </c>
      <c r="AN190" s="0" t="s">
        <v>198</v>
      </c>
    </row>
    <row r="191" customFormat="false" ht="15" hidden="false" customHeight="false" outlineLevel="0" collapsed="false">
      <c r="A191" s="1" t="n">
        <v>45816</v>
      </c>
      <c r="B191" s="0" t="s">
        <v>601</v>
      </c>
      <c r="C191" s="0" t="s">
        <v>121</v>
      </c>
      <c r="D191" s="0" t="n">
        <v>8037809859</v>
      </c>
      <c r="E191" s="0" t="s">
        <v>85</v>
      </c>
      <c r="F191" s="0" t="s">
        <v>602</v>
      </c>
      <c r="G191" s="0" t="s">
        <v>45</v>
      </c>
      <c r="H191" s="0" t="s">
        <v>153</v>
      </c>
      <c r="I191" s="0" t="s">
        <v>189</v>
      </c>
      <c r="J191" s="0" t="s">
        <v>48</v>
      </c>
      <c r="K191" s="0" t="n">
        <v>14935</v>
      </c>
      <c r="L191" s="0" t="s">
        <v>110</v>
      </c>
      <c r="M191" s="0" t="s">
        <v>63</v>
      </c>
      <c r="N191" s="0" t="n">
        <v>2</v>
      </c>
      <c r="O191" s="0" t="n">
        <v>4.4</v>
      </c>
      <c r="P191" s="0" t="s">
        <v>51</v>
      </c>
      <c r="Q191" s="0" t="s">
        <v>52</v>
      </c>
      <c r="R191" s="0" t="s">
        <v>74</v>
      </c>
      <c r="S191" s="0" t="s">
        <v>167</v>
      </c>
      <c r="T191" s="0" t="n">
        <v>30</v>
      </c>
      <c r="U191" s="0" t="s">
        <v>76</v>
      </c>
      <c r="V191" s="0" t="s">
        <v>148</v>
      </c>
      <c r="W191" s="0" t="s">
        <v>78</v>
      </c>
      <c r="X191" s="0" t="s">
        <v>99</v>
      </c>
      <c r="Y191" s="0" t="s">
        <v>156</v>
      </c>
      <c r="Z191" s="0" t="s">
        <v>161</v>
      </c>
      <c r="AA191" s="0" t="n">
        <v>30000</v>
      </c>
      <c r="AB191" s="0" t="n">
        <v>35000</v>
      </c>
      <c r="AC191" s="0" t="s">
        <v>50</v>
      </c>
      <c r="AD191" s="0" t="n">
        <v>0</v>
      </c>
      <c r="AE191" s="0" t="s">
        <v>80</v>
      </c>
      <c r="AF191" s="1" t="n">
        <v>45983</v>
      </c>
      <c r="AG191" s="0" t="s">
        <v>82</v>
      </c>
      <c r="AH191" s="0" t="s">
        <v>171</v>
      </c>
      <c r="AI191" s="0" t="s">
        <v>172</v>
      </c>
      <c r="AJ191" s="0" t="s">
        <v>50</v>
      </c>
      <c r="AK191" s="0" t="s">
        <v>82</v>
      </c>
      <c r="AM191" s="0" t="s">
        <v>103</v>
      </c>
      <c r="AN191" s="0" t="s">
        <v>190</v>
      </c>
    </row>
    <row r="192" customFormat="false" ht="15" hidden="false" customHeight="false" outlineLevel="0" collapsed="false">
      <c r="A192" s="1" t="n">
        <v>45784</v>
      </c>
      <c r="B192" s="0" t="s">
        <v>603</v>
      </c>
      <c r="C192" s="0" t="s">
        <v>42</v>
      </c>
      <c r="D192" s="0" t="n">
        <v>8039464318</v>
      </c>
      <c r="E192" s="0" t="s">
        <v>85</v>
      </c>
      <c r="F192" s="0" t="s">
        <v>604</v>
      </c>
      <c r="G192" s="0" t="s">
        <v>69</v>
      </c>
      <c r="H192" s="0" t="s">
        <v>165</v>
      </c>
      <c r="I192" s="0" t="s">
        <v>142</v>
      </c>
      <c r="J192" s="0" t="s">
        <v>48</v>
      </c>
      <c r="K192" s="0" t="n">
        <v>15828</v>
      </c>
      <c r="L192" s="0" t="s">
        <v>124</v>
      </c>
      <c r="M192" s="0" t="s">
        <v>63</v>
      </c>
      <c r="N192" s="0" t="n">
        <v>2</v>
      </c>
      <c r="O192" s="0" t="n">
        <v>2.7</v>
      </c>
      <c r="P192" s="0" t="s">
        <v>111</v>
      </c>
      <c r="Q192" s="0" t="s">
        <v>52</v>
      </c>
      <c r="S192" s="0" t="s">
        <v>75</v>
      </c>
      <c r="T192" s="0" t="n">
        <v>60</v>
      </c>
      <c r="U192" s="0" t="s">
        <v>76</v>
      </c>
      <c r="V192" s="0" t="s">
        <v>148</v>
      </c>
      <c r="W192" s="0" t="s">
        <v>128</v>
      </c>
      <c r="X192" s="0" t="s">
        <v>99</v>
      </c>
      <c r="Y192" s="0" t="s">
        <v>156</v>
      </c>
      <c r="Z192" s="0" t="s">
        <v>143</v>
      </c>
      <c r="AA192" s="0" t="n">
        <v>40000</v>
      </c>
      <c r="AC192" s="0" t="s">
        <v>61</v>
      </c>
      <c r="AE192" s="0" t="s">
        <v>60</v>
      </c>
      <c r="AF192" s="1" t="n">
        <v>45758</v>
      </c>
      <c r="AI192" s="0" t="s">
        <v>101</v>
      </c>
      <c r="AJ192" s="0" t="s">
        <v>81</v>
      </c>
      <c r="AK192" s="0" t="s">
        <v>63</v>
      </c>
      <c r="AM192" s="0" t="s">
        <v>103</v>
      </c>
      <c r="AN192" s="0" t="s">
        <v>63</v>
      </c>
    </row>
    <row r="193" customFormat="false" ht="15" hidden="false" customHeight="false" outlineLevel="0" collapsed="false">
      <c r="A193" s="0" t="s">
        <v>40</v>
      </c>
      <c r="B193" s="0" t="s">
        <v>605</v>
      </c>
      <c r="C193" s="0" t="s">
        <v>42</v>
      </c>
      <c r="D193" s="0" t="n">
        <v>8037246265</v>
      </c>
      <c r="E193" s="0" t="s">
        <v>122</v>
      </c>
      <c r="F193" s="0" t="s">
        <v>606</v>
      </c>
      <c r="G193" s="0" t="s">
        <v>87</v>
      </c>
      <c r="H193" s="0" t="s">
        <v>242</v>
      </c>
      <c r="I193" s="0" t="s">
        <v>108</v>
      </c>
      <c r="J193" s="0" t="s">
        <v>109</v>
      </c>
      <c r="K193" s="0" t="n">
        <v>44774</v>
      </c>
      <c r="L193" s="0" t="s">
        <v>110</v>
      </c>
      <c r="M193" s="0" t="s">
        <v>50</v>
      </c>
      <c r="N193" s="0" t="n">
        <v>3</v>
      </c>
      <c r="O193" s="0" t="n">
        <v>4.6</v>
      </c>
      <c r="Q193" s="0" t="s">
        <v>93</v>
      </c>
      <c r="R193" s="0" t="s">
        <v>159</v>
      </c>
      <c r="S193" s="0" t="s">
        <v>95</v>
      </c>
      <c r="U193" s="0" t="s">
        <v>55</v>
      </c>
      <c r="V193" s="0" t="s">
        <v>77</v>
      </c>
      <c r="W193" s="0" t="s">
        <v>128</v>
      </c>
      <c r="X193" s="0" t="s">
        <v>137</v>
      </c>
      <c r="Y193" s="0" t="s">
        <v>59</v>
      </c>
      <c r="Z193" s="0" t="s">
        <v>143</v>
      </c>
      <c r="AA193" s="0" t="n">
        <v>30000</v>
      </c>
      <c r="AB193" s="0" t="n">
        <v>40000</v>
      </c>
      <c r="AD193" s="0" t="n">
        <v>10000</v>
      </c>
      <c r="AE193" s="0" t="s">
        <v>60</v>
      </c>
      <c r="AF193" s="1" t="n">
        <v>45965</v>
      </c>
      <c r="AG193" s="0" t="s">
        <v>50</v>
      </c>
      <c r="AJ193" s="0" t="s">
        <v>50</v>
      </c>
      <c r="AK193" s="0" t="s">
        <v>50</v>
      </c>
      <c r="AL193" s="0" t="s">
        <v>102</v>
      </c>
      <c r="AM193" s="0" t="s">
        <v>83</v>
      </c>
      <c r="AN193" s="0" t="s">
        <v>190</v>
      </c>
    </row>
    <row r="194" customFormat="false" ht="15" hidden="false" customHeight="false" outlineLevel="0" collapsed="false">
      <c r="A194" s="1" t="n">
        <v>45875</v>
      </c>
      <c r="B194" s="0" t="s">
        <v>607</v>
      </c>
      <c r="C194" s="0" t="s">
        <v>121</v>
      </c>
      <c r="D194" s="0" t="n">
        <v>8070677159</v>
      </c>
      <c r="E194" s="0" t="s">
        <v>67</v>
      </c>
      <c r="F194" s="0" t="s">
        <v>608</v>
      </c>
      <c r="G194" s="0" t="s">
        <v>45</v>
      </c>
      <c r="H194" s="0" t="s">
        <v>135</v>
      </c>
      <c r="I194" s="0" t="s">
        <v>47</v>
      </c>
      <c r="J194" s="0" t="s">
        <v>90</v>
      </c>
      <c r="K194" s="0" t="n">
        <v>109745</v>
      </c>
      <c r="L194" s="0" t="s">
        <v>124</v>
      </c>
      <c r="M194" s="0" t="s">
        <v>50</v>
      </c>
      <c r="N194" s="0" t="n">
        <v>4</v>
      </c>
      <c r="O194" s="0" t="n">
        <v>2.6</v>
      </c>
      <c r="P194" s="0" t="s">
        <v>92</v>
      </c>
      <c r="Q194" s="0" t="s">
        <v>52</v>
      </c>
      <c r="R194" s="0" t="s">
        <v>159</v>
      </c>
      <c r="S194" s="0" t="s">
        <v>167</v>
      </c>
      <c r="T194" s="0" t="n">
        <v>30</v>
      </c>
      <c r="U194" s="0" t="s">
        <v>96</v>
      </c>
      <c r="V194" s="0" t="s">
        <v>148</v>
      </c>
      <c r="W194" s="0" t="s">
        <v>113</v>
      </c>
      <c r="X194" s="0" t="s">
        <v>137</v>
      </c>
      <c r="Z194" s="0" t="s">
        <v>79</v>
      </c>
      <c r="AA194" s="0" t="s">
        <v>150</v>
      </c>
      <c r="AB194" s="0" t="n">
        <v>20000</v>
      </c>
      <c r="AC194" s="0" t="s">
        <v>61</v>
      </c>
      <c r="AE194" s="0" t="s">
        <v>184</v>
      </c>
      <c r="AF194" s="0" t="s">
        <v>408</v>
      </c>
      <c r="AG194" s="0" t="s">
        <v>82</v>
      </c>
      <c r="AJ194" s="0" t="s">
        <v>50</v>
      </c>
      <c r="AK194" s="0" t="s">
        <v>50</v>
      </c>
      <c r="AL194" s="0" t="s">
        <v>102</v>
      </c>
      <c r="AN194" s="0" t="s">
        <v>190</v>
      </c>
    </row>
    <row r="195" customFormat="false" ht="15" hidden="false" customHeight="false" outlineLevel="0" collapsed="false">
      <c r="A195" s="1" t="n">
        <v>45805</v>
      </c>
      <c r="B195" s="0" t="s">
        <v>609</v>
      </c>
      <c r="C195" s="0" t="s">
        <v>66</v>
      </c>
      <c r="D195" s="0" t="n">
        <v>8041458567</v>
      </c>
      <c r="E195" s="0" t="s">
        <v>122</v>
      </c>
      <c r="F195" s="0" t="s">
        <v>610</v>
      </c>
      <c r="G195" s="0" t="s">
        <v>69</v>
      </c>
      <c r="H195" s="0" t="s">
        <v>272</v>
      </c>
      <c r="I195" s="0" t="s">
        <v>47</v>
      </c>
      <c r="K195" s="0" t="n">
        <v>82641</v>
      </c>
      <c r="L195" s="0" t="s">
        <v>166</v>
      </c>
      <c r="M195" s="0" t="s">
        <v>63</v>
      </c>
      <c r="N195" s="0" t="n">
        <v>3</v>
      </c>
      <c r="O195" s="0" t="n">
        <v>3</v>
      </c>
      <c r="P195" s="0" t="s">
        <v>111</v>
      </c>
      <c r="Q195" s="0" t="s">
        <v>52</v>
      </c>
      <c r="R195" s="0" t="s">
        <v>74</v>
      </c>
      <c r="S195" s="0" t="s">
        <v>167</v>
      </c>
      <c r="T195" s="0" t="n">
        <v>45</v>
      </c>
      <c r="U195" s="0" t="s">
        <v>55</v>
      </c>
      <c r="V195" s="0" t="s">
        <v>148</v>
      </c>
      <c r="W195" s="0" t="s">
        <v>57</v>
      </c>
      <c r="X195" s="0" t="s">
        <v>99</v>
      </c>
      <c r="Z195" s="0" t="s">
        <v>161</v>
      </c>
      <c r="AA195" s="0" t="n">
        <v>15000</v>
      </c>
      <c r="AB195" s="0" t="n">
        <v>35000</v>
      </c>
      <c r="AC195" s="0" t="s">
        <v>61</v>
      </c>
      <c r="AE195" s="0" t="s">
        <v>80</v>
      </c>
      <c r="AG195" s="0" t="s">
        <v>61</v>
      </c>
      <c r="AI195" s="0" t="s">
        <v>101</v>
      </c>
      <c r="AK195" s="0" t="s">
        <v>61</v>
      </c>
      <c r="AM195" s="0" t="s">
        <v>83</v>
      </c>
      <c r="AN195" s="0" t="s">
        <v>63</v>
      </c>
    </row>
    <row r="196" customFormat="false" ht="15" hidden="false" customHeight="false" outlineLevel="0" collapsed="false">
      <c r="A196" s="1" t="n">
        <v>45788</v>
      </c>
      <c r="B196" s="0" t="s">
        <v>611</v>
      </c>
      <c r="C196" s="0" t="s">
        <v>66</v>
      </c>
      <c r="D196" s="0" t="n">
        <v>8063136795</v>
      </c>
      <c r="E196" s="0" t="s">
        <v>67</v>
      </c>
      <c r="F196" s="0" t="s">
        <v>612</v>
      </c>
      <c r="G196" s="0" t="s">
        <v>107</v>
      </c>
      <c r="H196" s="0" t="s">
        <v>272</v>
      </c>
      <c r="I196" s="0" t="s">
        <v>108</v>
      </c>
      <c r="K196" s="0" t="n">
        <v>74087</v>
      </c>
      <c r="L196" s="0" t="s">
        <v>166</v>
      </c>
      <c r="M196" s="0" t="s">
        <v>63</v>
      </c>
      <c r="N196" s="0" t="n">
        <v>2</v>
      </c>
      <c r="O196" s="0" t="n">
        <v>5.9</v>
      </c>
      <c r="P196" s="0" t="s">
        <v>111</v>
      </c>
      <c r="Q196" s="0" t="s">
        <v>52</v>
      </c>
      <c r="R196" s="0" t="s">
        <v>74</v>
      </c>
      <c r="S196" s="0" t="s">
        <v>95</v>
      </c>
      <c r="U196" s="0" t="s">
        <v>160</v>
      </c>
      <c r="V196" s="0" t="s">
        <v>155</v>
      </c>
      <c r="W196" s="0" t="s">
        <v>98</v>
      </c>
      <c r="X196" s="0" t="s">
        <v>114</v>
      </c>
      <c r="Z196" s="0" t="s">
        <v>79</v>
      </c>
      <c r="AA196" s="0" t="n">
        <v>15000</v>
      </c>
      <c r="AC196" s="0" t="s">
        <v>61</v>
      </c>
      <c r="AE196" s="0" t="s">
        <v>80</v>
      </c>
      <c r="AF196" s="0" t="s">
        <v>245</v>
      </c>
      <c r="AG196" s="0" t="s">
        <v>61</v>
      </c>
      <c r="AI196" s="0" t="s">
        <v>117</v>
      </c>
      <c r="AJ196" s="0" t="s">
        <v>62</v>
      </c>
      <c r="AK196" s="0" t="s">
        <v>82</v>
      </c>
      <c r="AL196" s="0" t="s">
        <v>102</v>
      </c>
      <c r="AM196" s="0" t="s">
        <v>103</v>
      </c>
      <c r="AN196" s="0" t="s">
        <v>63</v>
      </c>
    </row>
    <row r="197" customFormat="false" ht="15" hidden="false" customHeight="false" outlineLevel="0" collapsed="false">
      <c r="A197" s="1" t="n">
        <v>45671</v>
      </c>
      <c r="B197" s="0" t="s">
        <v>613</v>
      </c>
      <c r="C197" s="0" t="s">
        <v>163</v>
      </c>
      <c r="D197" s="0" t="n">
        <v>8039339153</v>
      </c>
      <c r="E197" s="0" t="s">
        <v>85</v>
      </c>
      <c r="F197" s="0" t="s">
        <v>614</v>
      </c>
      <c r="G197" s="0" t="s">
        <v>69</v>
      </c>
      <c r="H197" s="0" t="s">
        <v>46</v>
      </c>
      <c r="I197" s="0" t="s">
        <v>142</v>
      </c>
      <c r="J197" s="0" t="s">
        <v>109</v>
      </c>
      <c r="K197" s="0" t="n">
        <v>89505</v>
      </c>
      <c r="L197" s="0" t="s">
        <v>110</v>
      </c>
      <c r="M197" s="0" t="s">
        <v>50</v>
      </c>
      <c r="N197" s="0" t="n">
        <v>3</v>
      </c>
      <c r="O197" s="0" t="n">
        <v>2.6</v>
      </c>
      <c r="P197" s="0" t="s">
        <v>51</v>
      </c>
      <c r="Q197" s="0" t="s">
        <v>73</v>
      </c>
      <c r="R197" s="0" t="s">
        <v>136</v>
      </c>
      <c r="S197" s="0" t="s">
        <v>54</v>
      </c>
      <c r="T197" s="0" t="n">
        <v>15</v>
      </c>
      <c r="U197" s="0" t="s">
        <v>96</v>
      </c>
      <c r="V197" s="0" t="s">
        <v>148</v>
      </c>
      <c r="W197" s="0" t="s">
        <v>113</v>
      </c>
      <c r="X197" s="0" t="s">
        <v>196</v>
      </c>
      <c r="Z197" s="0" t="s">
        <v>149</v>
      </c>
      <c r="AA197" s="0" t="n">
        <v>30000</v>
      </c>
      <c r="AB197" s="0" t="n">
        <v>35000</v>
      </c>
      <c r="AC197" s="0" t="s">
        <v>61</v>
      </c>
      <c r="AD197" s="0" t="n">
        <v>0</v>
      </c>
      <c r="AE197" s="0" t="s">
        <v>184</v>
      </c>
      <c r="AF197" s="1" t="n">
        <v>45918</v>
      </c>
      <c r="AG197" s="0" t="s">
        <v>50</v>
      </c>
      <c r="AH197" s="0" t="s">
        <v>116</v>
      </c>
      <c r="AI197" s="0" t="s">
        <v>172</v>
      </c>
      <c r="AJ197" s="0" t="s">
        <v>63</v>
      </c>
      <c r="AK197" s="0" t="s">
        <v>50</v>
      </c>
      <c r="AM197" s="0" t="s">
        <v>103</v>
      </c>
      <c r="AN197" s="0" t="s">
        <v>50</v>
      </c>
    </row>
    <row r="198" customFormat="false" ht="15" hidden="false" customHeight="false" outlineLevel="0" collapsed="false">
      <c r="A198" s="1" t="n">
        <v>45766</v>
      </c>
      <c r="B198" s="0" t="s">
        <v>615</v>
      </c>
      <c r="C198" s="0" t="s">
        <v>121</v>
      </c>
      <c r="D198" s="0" t="n">
        <v>8051070495</v>
      </c>
      <c r="E198" s="0" t="s">
        <v>67</v>
      </c>
      <c r="F198" s="0" t="s">
        <v>616</v>
      </c>
      <c r="G198" s="0" t="s">
        <v>45</v>
      </c>
      <c r="H198" s="0" t="s">
        <v>88</v>
      </c>
      <c r="I198" s="0" t="s">
        <v>154</v>
      </c>
      <c r="J198" s="0" t="s">
        <v>90</v>
      </c>
      <c r="K198" s="0" t="n">
        <v>116277</v>
      </c>
      <c r="L198" s="0" t="s">
        <v>49</v>
      </c>
      <c r="M198" s="0" t="s">
        <v>50</v>
      </c>
      <c r="N198" s="0" t="n">
        <v>4</v>
      </c>
      <c r="O198" s="0" t="n">
        <v>2.8</v>
      </c>
      <c r="P198" s="0" t="s">
        <v>51</v>
      </c>
      <c r="Q198" s="0" t="s">
        <v>52</v>
      </c>
      <c r="R198" s="0" t="s">
        <v>74</v>
      </c>
      <c r="S198" s="0" t="s">
        <v>147</v>
      </c>
      <c r="T198" s="0" t="n">
        <v>45</v>
      </c>
      <c r="U198" s="0" t="s">
        <v>160</v>
      </c>
      <c r="V198" s="0" t="s">
        <v>97</v>
      </c>
      <c r="W198" s="0" t="s">
        <v>78</v>
      </c>
      <c r="X198" s="0" t="s">
        <v>196</v>
      </c>
      <c r="AA198" s="0" t="n">
        <v>40000</v>
      </c>
      <c r="AC198" s="0" t="s">
        <v>63</v>
      </c>
      <c r="AD198" s="0" t="n">
        <v>5000</v>
      </c>
      <c r="AE198" s="0" t="s">
        <v>80</v>
      </c>
      <c r="AF198" s="1" t="n">
        <v>45907</v>
      </c>
      <c r="AG198" s="0" t="s">
        <v>50</v>
      </c>
      <c r="AH198" s="0" t="s">
        <v>171</v>
      </c>
      <c r="AI198" s="0" t="s">
        <v>101</v>
      </c>
      <c r="AJ198" s="0" t="s">
        <v>62</v>
      </c>
      <c r="AN198" s="0" t="s">
        <v>190</v>
      </c>
    </row>
    <row r="199" customFormat="false" ht="15" hidden="false" customHeight="false" outlineLevel="0" collapsed="false">
      <c r="A199" s="1" t="n">
        <v>45758</v>
      </c>
      <c r="B199" s="0" t="s">
        <v>617</v>
      </c>
      <c r="C199" s="0" t="s">
        <v>121</v>
      </c>
      <c r="D199" s="0" t="n">
        <v>8067045601</v>
      </c>
      <c r="E199" s="0" t="s">
        <v>122</v>
      </c>
      <c r="F199" s="0" t="s">
        <v>618</v>
      </c>
      <c r="G199" s="0" t="s">
        <v>107</v>
      </c>
      <c r="H199" s="0" t="s">
        <v>88</v>
      </c>
      <c r="I199" s="0" t="s">
        <v>142</v>
      </c>
      <c r="J199" s="0" t="s">
        <v>71</v>
      </c>
      <c r="K199" s="0" t="n">
        <v>99917</v>
      </c>
      <c r="L199" s="0" t="s">
        <v>72</v>
      </c>
      <c r="M199" s="0" t="s">
        <v>63</v>
      </c>
      <c r="N199" s="0" t="n">
        <v>2</v>
      </c>
      <c r="O199" s="0" t="n">
        <v>1.4</v>
      </c>
      <c r="P199" s="0" t="s">
        <v>111</v>
      </c>
      <c r="Q199" s="0" t="s">
        <v>52</v>
      </c>
      <c r="R199" s="0" t="s">
        <v>94</v>
      </c>
      <c r="S199" s="0" t="s">
        <v>167</v>
      </c>
      <c r="T199" s="0" t="s">
        <v>127</v>
      </c>
      <c r="U199" s="0" t="s">
        <v>55</v>
      </c>
      <c r="V199" s="0" t="s">
        <v>97</v>
      </c>
      <c r="W199" s="0" t="s">
        <v>98</v>
      </c>
      <c r="X199" s="0" t="s">
        <v>137</v>
      </c>
      <c r="Y199" s="0" t="s">
        <v>177</v>
      </c>
      <c r="Z199" s="0" t="s">
        <v>149</v>
      </c>
      <c r="AA199" s="0" t="n">
        <v>40000</v>
      </c>
      <c r="AB199" s="0" t="n">
        <v>40000</v>
      </c>
      <c r="AC199" s="0" t="s">
        <v>50</v>
      </c>
      <c r="AD199" s="0" t="s">
        <v>115</v>
      </c>
      <c r="AE199" s="0" t="s">
        <v>184</v>
      </c>
      <c r="AF199" s="1" t="n">
        <v>45931</v>
      </c>
      <c r="AH199" s="0" t="s">
        <v>171</v>
      </c>
      <c r="AK199" s="0" t="s">
        <v>61</v>
      </c>
      <c r="AL199" s="0" t="s">
        <v>63</v>
      </c>
      <c r="AN199" s="0" t="s">
        <v>50</v>
      </c>
    </row>
    <row r="200" customFormat="false" ht="15" hidden="false" customHeight="false" outlineLevel="0" collapsed="false">
      <c r="A200" s="1" t="n">
        <v>45688</v>
      </c>
      <c r="B200" s="0" t="s">
        <v>619</v>
      </c>
      <c r="C200" s="0" t="s">
        <v>163</v>
      </c>
      <c r="D200" s="0" t="n">
        <v>8060611218</v>
      </c>
      <c r="E200" s="0" t="s">
        <v>85</v>
      </c>
      <c r="F200" s="0" t="s">
        <v>620</v>
      </c>
      <c r="G200" s="0" t="s">
        <v>107</v>
      </c>
      <c r="H200" s="0" t="s">
        <v>135</v>
      </c>
      <c r="I200" s="0" t="s">
        <v>142</v>
      </c>
      <c r="J200" s="0" t="s">
        <v>109</v>
      </c>
      <c r="K200" s="0" t="n">
        <v>71027</v>
      </c>
      <c r="L200" s="0" t="s">
        <v>72</v>
      </c>
      <c r="M200" s="0" t="s">
        <v>63</v>
      </c>
      <c r="O200" s="0" t="n">
        <v>1.3</v>
      </c>
      <c r="P200" s="0" t="s">
        <v>51</v>
      </c>
      <c r="Q200" s="0" t="s">
        <v>93</v>
      </c>
      <c r="R200" s="0" t="s">
        <v>53</v>
      </c>
      <c r="S200" s="0" t="s">
        <v>54</v>
      </c>
      <c r="T200" s="0" t="n">
        <v>30</v>
      </c>
      <c r="U200" s="0" t="s">
        <v>112</v>
      </c>
      <c r="V200" s="0" t="s">
        <v>56</v>
      </c>
      <c r="W200" s="0" t="s">
        <v>98</v>
      </c>
      <c r="X200" s="0" t="s">
        <v>114</v>
      </c>
      <c r="Z200" s="0" t="s">
        <v>149</v>
      </c>
      <c r="AA200" s="0" t="n">
        <v>15000</v>
      </c>
      <c r="AB200" s="0" t="s">
        <v>178</v>
      </c>
      <c r="AD200" s="0" t="n">
        <v>10000</v>
      </c>
      <c r="AE200" s="0" t="s">
        <v>80</v>
      </c>
      <c r="AG200" s="0" t="s">
        <v>63</v>
      </c>
      <c r="AH200" s="0" t="s">
        <v>171</v>
      </c>
      <c r="AJ200" s="0" t="s">
        <v>63</v>
      </c>
      <c r="AK200" s="0" t="s">
        <v>50</v>
      </c>
      <c r="AL200" s="0" t="s">
        <v>63</v>
      </c>
      <c r="AM200" s="0" t="s">
        <v>118</v>
      </c>
      <c r="AN200" s="0" t="s">
        <v>190</v>
      </c>
    </row>
    <row r="201" customFormat="false" ht="15" hidden="false" customHeight="false" outlineLevel="0" collapsed="false">
      <c r="A201" s="1" t="n">
        <v>45738</v>
      </c>
      <c r="B201" s="0" t="s">
        <v>621</v>
      </c>
      <c r="C201" s="0" t="s">
        <v>66</v>
      </c>
      <c r="D201" s="0" t="n">
        <v>8086688035</v>
      </c>
      <c r="E201" s="0" t="s">
        <v>139</v>
      </c>
      <c r="F201" s="0" t="s">
        <v>622</v>
      </c>
      <c r="G201" s="0" t="s">
        <v>45</v>
      </c>
      <c r="H201" s="0" t="s">
        <v>146</v>
      </c>
      <c r="I201" s="0" t="s">
        <v>89</v>
      </c>
      <c r="J201" s="0" t="s">
        <v>109</v>
      </c>
      <c r="K201" s="0" t="n">
        <v>77977</v>
      </c>
      <c r="L201" s="0" t="s">
        <v>72</v>
      </c>
      <c r="M201" s="0" t="s">
        <v>50</v>
      </c>
      <c r="N201" s="0" t="n">
        <v>1</v>
      </c>
      <c r="O201" s="0" t="n">
        <v>2.7</v>
      </c>
      <c r="P201" s="0" t="s">
        <v>111</v>
      </c>
      <c r="Q201" s="0" t="s">
        <v>93</v>
      </c>
      <c r="R201" s="0" t="s">
        <v>74</v>
      </c>
      <c r="S201" s="0" t="s">
        <v>126</v>
      </c>
      <c r="U201" s="0" t="s">
        <v>76</v>
      </c>
      <c r="V201" s="0" t="s">
        <v>56</v>
      </c>
      <c r="W201" s="0" t="s">
        <v>113</v>
      </c>
      <c r="X201" s="0" t="s">
        <v>58</v>
      </c>
      <c r="Z201" s="0" t="s">
        <v>161</v>
      </c>
      <c r="AC201" s="0" t="s">
        <v>63</v>
      </c>
      <c r="AD201" s="0" t="n">
        <v>0</v>
      </c>
      <c r="AE201" s="0" t="s">
        <v>80</v>
      </c>
      <c r="AG201" s="0" t="s">
        <v>50</v>
      </c>
      <c r="AI201" s="0" t="s">
        <v>101</v>
      </c>
      <c r="AJ201" s="0" t="s">
        <v>81</v>
      </c>
      <c r="AK201" s="0" t="s">
        <v>82</v>
      </c>
      <c r="AM201" s="0" t="s">
        <v>103</v>
      </c>
      <c r="AN201" s="0" t="s">
        <v>50</v>
      </c>
    </row>
    <row r="202" customFormat="false" ht="15" hidden="false" customHeight="false" outlineLevel="0" collapsed="false">
      <c r="A202" s="1" t="n">
        <v>45748</v>
      </c>
      <c r="B202" s="0" t="s">
        <v>623</v>
      </c>
      <c r="C202" s="0" t="s">
        <v>66</v>
      </c>
      <c r="D202" s="0" t="n">
        <v>8031100279</v>
      </c>
      <c r="E202" s="0" t="s">
        <v>43</v>
      </c>
      <c r="F202" s="0" t="s">
        <v>624</v>
      </c>
      <c r="G202" s="0" t="s">
        <v>134</v>
      </c>
      <c r="H202" s="0" t="s">
        <v>165</v>
      </c>
      <c r="I202" s="0" t="s">
        <v>142</v>
      </c>
      <c r="J202" s="0" t="s">
        <v>48</v>
      </c>
      <c r="K202" s="0" t="n">
        <v>75989</v>
      </c>
      <c r="L202" s="0" t="s">
        <v>124</v>
      </c>
      <c r="M202" s="0" t="s">
        <v>50</v>
      </c>
      <c r="N202" s="0" t="n">
        <v>1</v>
      </c>
      <c r="O202" s="0" t="n">
        <v>1.3</v>
      </c>
      <c r="Q202" s="0" t="s">
        <v>73</v>
      </c>
      <c r="S202" s="0" t="s">
        <v>54</v>
      </c>
      <c r="U202" s="0" t="s">
        <v>160</v>
      </c>
      <c r="V202" s="0" t="s">
        <v>97</v>
      </c>
      <c r="W202" s="0" t="s">
        <v>128</v>
      </c>
      <c r="X202" s="0" t="s">
        <v>137</v>
      </c>
      <c r="Z202" s="0" t="s">
        <v>143</v>
      </c>
      <c r="AD202" s="0" t="n">
        <v>10000</v>
      </c>
      <c r="AE202" s="0" t="s">
        <v>130</v>
      </c>
      <c r="AF202" s="0" t="s">
        <v>625</v>
      </c>
      <c r="AH202" s="0" t="s">
        <v>171</v>
      </c>
      <c r="AI202" s="0" t="s">
        <v>101</v>
      </c>
      <c r="AK202" s="0" t="s">
        <v>82</v>
      </c>
      <c r="AM202" s="0" t="s">
        <v>103</v>
      </c>
      <c r="AN202" s="0" t="s">
        <v>63</v>
      </c>
    </row>
    <row r="203" customFormat="false" ht="15" hidden="false" customHeight="false" outlineLevel="0" collapsed="false">
      <c r="A203" s="0" t="s">
        <v>626</v>
      </c>
      <c r="B203" s="0" t="s">
        <v>627</v>
      </c>
      <c r="C203" s="0" t="s">
        <v>105</v>
      </c>
      <c r="D203" s="0" t="n">
        <v>8060211839</v>
      </c>
      <c r="E203" s="0" t="s">
        <v>122</v>
      </c>
      <c r="F203" s="0" t="s">
        <v>628</v>
      </c>
      <c r="G203" s="0" t="s">
        <v>45</v>
      </c>
      <c r="H203" s="0" t="s">
        <v>88</v>
      </c>
      <c r="I203" s="0" t="s">
        <v>142</v>
      </c>
      <c r="K203" s="0" t="n">
        <v>76311</v>
      </c>
      <c r="L203" s="0" t="s">
        <v>49</v>
      </c>
      <c r="M203" s="0" t="s">
        <v>50</v>
      </c>
      <c r="N203" s="0" t="n">
        <v>3</v>
      </c>
      <c r="O203" s="0" t="n">
        <v>5.3</v>
      </c>
      <c r="P203" s="0" t="s">
        <v>92</v>
      </c>
      <c r="Q203" s="0" t="s">
        <v>73</v>
      </c>
      <c r="R203" s="0" t="s">
        <v>136</v>
      </c>
      <c r="S203" s="0" t="s">
        <v>167</v>
      </c>
      <c r="T203" s="0" t="n">
        <v>45</v>
      </c>
      <c r="U203" s="0" t="s">
        <v>55</v>
      </c>
      <c r="V203" s="0" t="s">
        <v>148</v>
      </c>
      <c r="W203" s="0" t="s">
        <v>113</v>
      </c>
      <c r="X203" s="0" t="s">
        <v>114</v>
      </c>
      <c r="Y203" s="0" t="s">
        <v>59</v>
      </c>
      <c r="Z203" s="0" t="s">
        <v>79</v>
      </c>
      <c r="AA203" s="0" t="n">
        <v>30000</v>
      </c>
      <c r="AB203" s="0" t="n">
        <v>20000</v>
      </c>
      <c r="AC203" s="0" t="s">
        <v>82</v>
      </c>
      <c r="AD203" s="0" t="n">
        <v>10000</v>
      </c>
      <c r="AE203" s="0" t="s">
        <v>60</v>
      </c>
      <c r="AF203" s="1" t="n">
        <v>45952</v>
      </c>
      <c r="AJ203" s="0" t="s">
        <v>63</v>
      </c>
      <c r="AK203" s="0" t="s">
        <v>63</v>
      </c>
      <c r="AL203" s="0" t="s">
        <v>50</v>
      </c>
      <c r="AM203" s="0" t="s">
        <v>64</v>
      </c>
      <c r="AN203" s="0" t="s">
        <v>63</v>
      </c>
    </row>
    <row r="204" customFormat="false" ht="15" hidden="false" customHeight="false" outlineLevel="0" collapsed="false">
      <c r="A204" s="1" t="n">
        <v>45705</v>
      </c>
      <c r="B204" s="0" t="s">
        <v>629</v>
      </c>
      <c r="C204" s="0" t="s">
        <v>105</v>
      </c>
      <c r="D204" s="0" t="n">
        <v>8044162336</v>
      </c>
      <c r="E204" s="0" t="s">
        <v>122</v>
      </c>
      <c r="F204" s="0" t="s">
        <v>630</v>
      </c>
      <c r="G204" s="0" t="s">
        <v>134</v>
      </c>
      <c r="H204" s="0" t="s">
        <v>146</v>
      </c>
      <c r="I204" s="0" t="s">
        <v>189</v>
      </c>
      <c r="J204" s="0" t="s">
        <v>71</v>
      </c>
      <c r="K204" s="0" t="n">
        <v>84569</v>
      </c>
      <c r="L204" s="0" t="s">
        <v>124</v>
      </c>
      <c r="M204" s="0" t="s">
        <v>50</v>
      </c>
      <c r="N204" s="0" t="n">
        <v>2</v>
      </c>
      <c r="O204" s="0" t="n">
        <v>1.2</v>
      </c>
      <c r="Q204" s="0" t="s">
        <v>93</v>
      </c>
      <c r="R204" s="0" t="s">
        <v>136</v>
      </c>
      <c r="S204" s="0" t="s">
        <v>75</v>
      </c>
      <c r="T204" s="0" t="n">
        <v>45</v>
      </c>
      <c r="U204" s="0" t="s">
        <v>76</v>
      </c>
      <c r="V204" s="0" t="s">
        <v>56</v>
      </c>
      <c r="W204" s="0" t="s">
        <v>98</v>
      </c>
      <c r="X204" s="0" t="s">
        <v>196</v>
      </c>
      <c r="Y204" s="0" t="s">
        <v>177</v>
      </c>
      <c r="Z204" s="0" t="s">
        <v>161</v>
      </c>
      <c r="AA204" s="0" t="n">
        <v>25000</v>
      </c>
      <c r="AB204" s="0" t="n">
        <v>35000</v>
      </c>
      <c r="AC204" s="0" t="s">
        <v>63</v>
      </c>
      <c r="AD204" s="0" t="n">
        <v>0</v>
      </c>
      <c r="AE204" s="0" t="s">
        <v>60</v>
      </c>
      <c r="AF204" s="1" t="n">
        <v>45870</v>
      </c>
      <c r="AG204" s="0" t="s">
        <v>63</v>
      </c>
      <c r="AJ204" s="0" t="s">
        <v>50</v>
      </c>
      <c r="AK204" s="0" t="s">
        <v>82</v>
      </c>
      <c r="AL204" s="0" t="s">
        <v>102</v>
      </c>
      <c r="AN204" s="0" t="s">
        <v>50</v>
      </c>
    </row>
    <row r="205" customFormat="false" ht="15" hidden="false" customHeight="false" outlineLevel="0" collapsed="false">
      <c r="A205" s="1" t="n">
        <v>45691</v>
      </c>
      <c r="B205" s="0" t="s">
        <v>631</v>
      </c>
      <c r="C205" s="0" t="s">
        <v>105</v>
      </c>
      <c r="D205" s="0" t="n">
        <v>8083893835</v>
      </c>
      <c r="E205" s="0" t="s">
        <v>67</v>
      </c>
      <c r="F205" s="0" t="s">
        <v>632</v>
      </c>
      <c r="G205" s="0" t="s">
        <v>87</v>
      </c>
      <c r="H205" s="0" t="s">
        <v>135</v>
      </c>
      <c r="I205" s="0" t="s">
        <v>142</v>
      </c>
      <c r="J205" s="0" t="s">
        <v>71</v>
      </c>
      <c r="K205" s="0" t="n">
        <v>67458</v>
      </c>
      <c r="L205" s="0" t="s">
        <v>91</v>
      </c>
      <c r="M205" s="0" t="s">
        <v>63</v>
      </c>
      <c r="O205" s="0" t="n">
        <v>2.5</v>
      </c>
      <c r="Q205" s="0" t="s">
        <v>52</v>
      </c>
      <c r="R205" s="0" t="s">
        <v>136</v>
      </c>
      <c r="S205" s="0" t="s">
        <v>95</v>
      </c>
      <c r="T205" s="0" t="n">
        <v>60</v>
      </c>
      <c r="U205" s="0" t="s">
        <v>55</v>
      </c>
      <c r="V205" s="0" t="s">
        <v>77</v>
      </c>
      <c r="W205" s="0" t="s">
        <v>113</v>
      </c>
      <c r="X205" s="0" t="s">
        <v>196</v>
      </c>
      <c r="Y205" s="0" t="s">
        <v>197</v>
      </c>
      <c r="AA205" s="0" t="s">
        <v>150</v>
      </c>
      <c r="AB205" s="0" t="n">
        <v>35000</v>
      </c>
      <c r="AC205" s="0" t="s">
        <v>50</v>
      </c>
      <c r="AE205" s="0" t="s">
        <v>60</v>
      </c>
      <c r="AG205" s="0" t="s">
        <v>50</v>
      </c>
      <c r="AH205" s="0" t="s">
        <v>116</v>
      </c>
      <c r="AI205" s="0" t="s">
        <v>117</v>
      </c>
      <c r="AK205" s="0" t="s">
        <v>50</v>
      </c>
      <c r="AM205" s="0" t="s">
        <v>118</v>
      </c>
      <c r="AN205" s="0" t="s">
        <v>198</v>
      </c>
    </row>
    <row r="206" customFormat="false" ht="15" hidden="false" customHeight="false" outlineLevel="0" collapsed="false">
      <c r="A206" s="1" t="n">
        <v>45814</v>
      </c>
      <c r="B206" s="0" t="s">
        <v>633</v>
      </c>
      <c r="C206" s="0" t="s">
        <v>42</v>
      </c>
      <c r="D206" s="0" t="n">
        <v>8021376149</v>
      </c>
      <c r="E206" s="0" t="s">
        <v>85</v>
      </c>
      <c r="F206" s="0" t="s">
        <v>634</v>
      </c>
      <c r="G206" s="0" t="s">
        <v>107</v>
      </c>
      <c r="H206" s="0" t="s">
        <v>176</v>
      </c>
      <c r="I206" s="0" t="s">
        <v>189</v>
      </c>
      <c r="J206" s="0" t="s">
        <v>71</v>
      </c>
      <c r="K206" s="0" t="n">
        <v>55785</v>
      </c>
      <c r="L206" s="0" t="s">
        <v>49</v>
      </c>
      <c r="M206" s="0" t="s">
        <v>63</v>
      </c>
      <c r="N206" s="0" t="n">
        <v>4</v>
      </c>
      <c r="O206" s="0" t="n">
        <v>1.5</v>
      </c>
      <c r="Q206" s="0" t="s">
        <v>73</v>
      </c>
      <c r="R206" s="0" t="s">
        <v>74</v>
      </c>
      <c r="S206" s="0" t="s">
        <v>75</v>
      </c>
      <c r="T206" s="0" t="n">
        <v>15</v>
      </c>
      <c r="U206" s="0" t="s">
        <v>160</v>
      </c>
      <c r="V206" s="0" t="s">
        <v>148</v>
      </c>
      <c r="W206" s="0" t="s">
        <v>128</v>
      </c>
      <c r="X206" s="0" t="s">
        <v>99</v>
      </c>
      <c r="Y206" s="0" t="s">
        <v>59</v>
      </c>
      <c r="Z206" s="0" t="s">
        <v>79</v>
      </c>
      <c r="AC206" s="0" t="s">
        <v>61</v>
      </c>
      <c r="AD206" s="0" t="n">
        <v>0</v>
      </c>
      <c r="AE206" s="0" t="s">
        <v>80</v>
      </c>
      <c r="AF206" s="1" t="n">
        <v>45755</v>
      </c>
      <c r="AG206" s="0" t="s">
        <v>61</v>
      </c>
      <c r="AJ206" s="0" t="s">
        <v>63</v>
      </c>
      <c r="AK206" s="0" t="s">
        <v>63</v>
      </c>
      <c r="AL206" s="0" t="s">
        <v>50</v>
      </c>
      <c r="AM206" s="0" t="s">
        <v>118</v>
      </c>
      <c r="AN206" s="0" t="s">
        <v>198</v>
      </c>
    </row>
    <row r="207" customFormat="false" ht="15" hidden="false" customHeight="false" outlineLevel="0" collapsed="false">
      <c r="A207" s="0" t="s">
        <v>635</v>
      </c>
      <c r="B207" s="0" t="s">
        <v>636</v>
      </c>
      <c r="C207" s="0" t="s">
        <v>163</v>
      </c>
      <c r="D207" s="0" t="n">
        <v>8028029509</v>
      </c>
      <c r="E207" s="0" t="s">
        <v>67</v>
      </c>
      <c r="F207" s="0" t="s">
        <v>637</v>
      </c>
      <c r="G207" s="0" t="s">
        <v>45</v>
      </c>
      <c r="H207" s="0" t="s">
        <v>272</v>
      </c>
      <c r="I207" s="0" t="s">
        <v>47</v>
      </c>
      <c r="J207" s="0" t="s">
        <v>48</v>
      </c>
      <c r="K207" s="0" t="n">
        <v>99600</v>
      </c>
      <c r="L207" s="0" t="s">
        <v>124</v>
      </c>
      <c r="M207" s="0" t="s">
        <v>50</v>
      </c>
      <c r="O207" s="0" t="n">
        <v>3.2</v>
      </c>
      <c r="Q207" s="0" t="s">
        <v>73</v>
      </c>
      <c r="R207" s="0" t="s">
        <v>94</v>
      </c>
      <c r="S207" s="0" t="s">
        <v>167</v>
      </c>
      <c r="T207" s="0" t="n">
        <v>45</v>
      </c>
      <c r="U207" s="0" t="s">
        <v>55</v>
      </c>
      <c r="V207" s="0" t="s">
        <v>56</v>
      </c>
      <c r="W207" s="0" t="s">
        <v>78</v>
      </c>
      <c r="X207" s="0" t="s">
        <v>114</v>
      </c>
      <c r="Y207" s="0" t="s">
        <v>197</v>
      </c>
      <c r="Z207" s="0" t="s">
        <v>129</v>
      </c>
      <c r="AA207" s="0" t="n">
        <v>40000</v>
      </c>
      <c r="AE207" s="0" t="s">
        <v>60</v>
      </c>
      <c r="AF207" s="1" t="n">
        <v>46013</v>
      </c>
      <c r="AG207" s="0" t="s">
        <v>63</v>
      </c>
      <c r="AJ207" s="0" t="s">
        <v>81</v>
      </c>
      <c r="AN207" s="0" t="s">
        <v>50</v>
      </c>
    </row>
    <row r="208" customFormat="false" ht="15" hidden="false" customHeight="false" outlineLevel="0" collapsed="false">
      <c r="A208" s="1" t="n">
        <v>45751</v>
      </c>
      <c r="B208" s="0" t="s">
        <v>638</v>
      </c>
      <c r="C208" s="0" t="s">
        <v>66</v>
      </c>
      <c r="D208" s="0" t="n">
        <v>8021278067</v>
      </c>
      <c r="E208" s="0" t="s">
        <v>67</v>
      </c>
      <c r="F208" s="0" t="s">
        <v>269</v>
      </c>
      <c r="G208" s="0" t="s">
        <v>134</v>
      </c>
      <c r="H208" s="0" t="s">
        <v>153</v>
      </c>
      <c r="I208" s="0" t="s">
        <v>189</v>
      </c>
      <c r="J208" s="0" t="s">
        <v>90</v>
      </c>
      <c r="K208" s="0" t="n">
        <v>37601</v>
      </c>
      <c r="L208" s="0" t="s">
        <v>166</v>
      </c>
      <c r="M208" s="0" t="s">
        <v>50</v>
      </c>
      <c r="N208" s="0" t="n">
        <v>5</v>
      </c>
      <c r="O208" s="0" t="n">
        <v>2.5</v>
      </c>
      <c r="P208" s="0" t="s">
        <v>111</v>
      </c>
      <c r="Q208" s="0" t="s">
        <v>52</v>
      </c>
      <c r="R208" s="0" t="s">
        <v>136</v>
      </c>
      <c r="S208" s="0" t="s">
        <v>54</v>
      </c>
      <c r="U208" s="0" t="s">
        <v>96</v>
      </c>
      <c r="V208" s="0" t="s">
        <v>77</v>
      </c>
      <c r="W208" s="0" t="s">
        <v>128</v>
      </c>
      <c r="X208" s="0" t="s">
        <v>196</v>
      </c>
      <c r="Y208" s="0" t="s">
        <v>177</v>
      </c>
      <c r="Z208" s="0" t="s">
        <v>129</v>
      </c>
      <c r="AA208" s="0" t="n">
        <v>25000</v>
      </c>
      <c r="AB208" s="0" t="n">
        <v>20000</v>
      </c>
      <c r="AC208" s="0" t="s">
        <v>50</v>
      </c>
      <c r="AD208" s="0" t="n">
        <v>5000</v>
      </c>
      <c r="AH208" s="0" t="s">
        <v>171</v>
      </c>
      <c r="AI208" s="0" t="s">
        <v>172</v>
      </c>
      <c r="AJ208" s="0" t="s">
        <v>62</v>
      </c>
      <c r="AK208" s="0" t="s">
        <v>82</v>
      </c>
      <c r="AM208" s="0" t="s">
        <v>64</v>
      </c>
    </row>
    <row r="209" customFormat="false" ht="15" hidden="false" customHeight="false" outlineLevel="0" collapsed="false">
      <c r="A209" s="1" t="n">
        <v>45773</v>
      </c>
      <c r="B209" s="0" t="s">
        <v>639</v>
      </c>
      <c r="C209" s="0" t="s">
        <v>42</v>
      </c>
      <c r="D209" s="0" t="n">
        <v>8049600674</v>
      </c>
      <c r="E209" s="0" t="s">
        <v>122</v>
      </c>
      <c r="F209" s="0" t="s">
        <v>640</v>
      </c>
      <c r="G209" s="0" t="s">
        <v>87</v>
      </c>
      <c r="H209" s="0" t="s">
        <v>176</v>
      </c>
      <c r="I209" s="0" t="s">
        <v>89</v>
      </c>
      <c r="J209" s="0" t="s">
        <v>71</v>
      </c>
      <c r="K209" s="0" t="n">
        <v>100874</v>
      </c>
      <c r="L209" s="0" t="s">
        <v>166</v>
      </c>
      <c r="M209" s="0" t="s">
        <v>63</v>
      </c>
      <c r="N209" s="0" t="n">
        <v>4</v>
      </c>
      <c r="O209" s="0" t="n">
        <v>3.4</v>
      </c>
      <c r="P209" s="0" t="s">
        <v>111</v>
      </c>
      <c r="Q209" s="0" t="s">
        <v>52</v>
      </c>
      <c r="R209" s="0" t="s">
        <v>74</v>
      </c>
      <c r="S209" s="0" t="s">
        <v>126</v>
      </c>
      <c r="U209" s="0" t="s">
        <v>96</v>
      </c>
      <c r="V209" s="0" t="s">
        <v>148</v>
      </c>
      <c r="W209" s="0" t="s">
        <v>78</v>
      </c>
      <c r="X209" s="0" t="s">
        <v>196</v>
      </c>
      <c r="AA209" s="0" t="s">
        <v>150</v>
      </c>
      <c r="AC209" s="0" t="s">
        <v>50</v>
      </c>
      <c r="AF209" s="1" t="n">
        <v>45865</v>
      </c>
      <c r="AG209" s="0" t="s">
        <v>63</v>
      </c>
      <c r="AI209" s="0" t="s">
        <v>101</v>
      </c>
      <c r="AJ209" s="0" t="s">
        <v>50</v>
      </c>
      <c r="AK209" s="0" t="s">
        <v>63</v>
      </c>
      <c r="AM209" s="0" t="s">
        <v>64</v>
      </c>
      <c r="AN209" s="0" t="s">
        <v>190</v>
      </c>
    </row>
    <row r="210" customFormat="false" ht="15" hidden="false" customHeight="false" outlineLevel="0" collapsed="false">
      <c r="A210" s="1" t="n">
        <v>45683</v>
      </c>
      <c r="B210" s="0" t="s">
        <v>641</v>
      </c>
      <c r="C210" s="0" t="s">
        <v>121</v>
      </c>
      <c r="D210" s="0" t="n">
        <v>8069660493</v>
      </c>
      <c r="E210" s="0" t="s">
        <v>85</v>
      </c>
      <c r="F210" s="0" t="s">
        <v>642</v>
      </c>
      <c r="G210" s="0" t="s">
        <v>69</v>
      </c>
      <c r="H210" s="0" t="s">
        <v>153</v>
      </c>
      <c r="I210" s="0" t="s">
        <v>142</v>
      </c>
      <c r="K210" s="0" t="n">
        <v>106990</v>
      </c>
      <c r="L210" s="0" t="s">
        <v>49</v>
      </c>
      <c r="M210" s="0" t="s">
        <v>63</v>
      </c>
      <c r="N210" s="0" t="n">
        <v>5</v>
      </c>
      <c r="O210" s="0" t="n">
        <v>4.8</v>
      </c>
      <c r="P210" s="0" t="s">
        <v>111</v>
      </c>
      <c r="Q210" s="0" t="s">
        <v>93</v>
      </c>
      <c r="R210" s="0" t="s">
        <v>53</v>
      </c>
      <c r="S210" s="0" t="s">
        <v>126</v>
      </c>
      <c r="T210" s="0" t="n">
        <v>30</v>
      </c>
      <c r="U210" s="0" t="s">
        <v>96</v>
      </c>
      <c r="V210" s="0" t="s">
        <v>56</v>
      </c>
      <c r="W210" s="0" t="s">
        <v>128</v>
      </c>
      <c r="X210" s="0" t="s">
        <v>58</v>
      </c>
      <c r="Y210" s="0" t="s">
        <v>197</v>
      </c>
      <c r="Z210" s="0" t="s">
        <v>161</v>
      </c>
      <c r="AA210" s="0" t="n">
        <v>15000</v>
      </c>
      <c r="AB210" s="0" t="n">
        <v>20000</v>
      </c>
      <c r="AC210" s="0" t="s">
        <v>82</v>
      </c>
      <c r="AD210" s="0" t="s">
        <v>115</v>
      </c>
      <c r="AE210" s="0" t="s">
        <v>80</v>
      </c>
      <c r="AF210" s="1" t="n">
        <v>45971</v>
      </c>
      <c r="AG210" s="0" t="s">
        <v>50</v>
      </c>
      <c r="AH210" s="0" t="s">
        <v>116</v>
      </c>
      <c r="AJ210" s="0" t="s">
        <v>50</v>
      </c>
      <c r="AK210" s="0" t="s">
        <v>82</v>
      </c>
      <c r="AM210" s="0" t="s">
        <v>118</v>
      </c>
      <c r="AN210" s="0" t="s">
        <v>63</v>
      </c>
    </row>
    <row r="211" customFormat="false" ht="15" hidden="false" customHeight="false" outlineLevel="0" collapsed="false">
      <c r="A211" s="1" t="n">
        <v>45691</v>
      </c>
      <c r="B211" s="0" t="s">
        <v>643</v>
      </c>
      <c r="C211" s="0" t="s">
        <v>163</v>
      </c>
      <c r="D211" s="0" t="n">
        <v>8079634938</v>
      </c>
      <c r="E211" s="0" t="s">
        <v>43</v>
      </c>
      <c r="F211" s="0" t="s">
        <v>644</v>
      </c>
      <c r="G211" s="0" t="s">
        <v>134</v>
      </c>
      <c r="H211" s="0" t="s">
        <v>165</v>
      </c>
      <c r="I211" s="0" t="s">
        <v>47</v>
      </c>
      <c r="J211" s="0" t="s">
        <v>71</v>
      </c>
      <c r="K211" s="0" t="n">
        <v>104639</v>
      </c>
      <c r="L211" s="0" t="s">
        <v>110</v>
      </c>
      <c r="M211" s="0" t="s">
        <v>63</v>
      </c>
      <c r="O211" s="0" t="n">
        <v>4.2</v>
      </c>
      <c r="P211" s="0" t="s">
        <v>125</v>
      </c>
      <c r="Q211" s="0" t="s">
        <v>52</v>
      </c>
      <c r="R211" s="0" t="s">
        <v>94</v>
      </c>
      <c r="S211" s="0" t="s">
        <v>147</v>
      </c>
      <c r="T211" s="0" t="n">
        <v>45</v>
      </c>
      <c r="U211" s="0" t="s">
        <v>55</v>
      </c>
      <c r="V211" s="0" t="s">
        <v>77</v>
      </c>
      <c r="W211" s="0" t="s">
        <v>78</v>
      </c>
      <c r="X211" s="0" t="s">
        <v>137</v>
      </c>
      <c r="Y211" s="0" t="s">
        <v>197</v>
      </c>
      <c r="Z211" s="0" t="s">
        <v>79</v>
      </c>
      <c r="AA211" s="0" t="s">
        <v>150</v>
      </c>
      <c r="AB211" s="0" t="n">
        <v>30000</v>
      </c>
      <c r="AC211" s="0" t="s">
        <v>82</v>
      </c>
      <c r="AE211" s="0" t="s">
        <v>184</v>
      </c>
      <c r="AF211" s="0" t="s">
        <v>645</v>
      </c>
      <c r="AG211" s="0" t="s">
        <v>61</v>
      </c>
      <c r="AI211" s="0" t="s">
        <v>172</v>
      </c>
      <c r="AJ211" s="0" t="s">
        <v>63</v>
      </c>
      <c r="AK211" s="0" t="s">
        <v>63</v>
      </c>
      <c r="AL211" s="0" t="s">
        <v>50</v>
      </c>
      <c r="AM211" s="0" t="s">
        <v>83</v>
      </c>
    </row>
    <row r="212" customFormat="false" ht="15" hidden="false" customHeight="false" outlineLevel="0" collapsed="false">
      <c r="A212" s="1" t="n">
        <v>45695</v>
      </c>
      <c r="B212" s="0" t="s">
        <v>646</v>
      </c>
      <c r="C212" s="0" t="s">
        <v>42</v>
      </c>
      <c r="D212" s="0" t="n">
        <v>8057187591</v>
      </c>
      <c r="E212" s="0" t="s">
        <v>122</v>
      </c>
      <c r="F212" s="0" t="s">
        <v>647</v>
      </c>
      <c r="G212" s="0" t="s">
        <v>69</v>
      </c>
      <c r="H212" s="0" t="s">
        <v>141</v>
      </c>
      <c r="I212" s="0" t="s">
        <v>154</v>
      </c>
      <c r="K212" s="0" t="n">
        <v>102399</v>
      </c>
      <c r="L212" s="0" t="s">
        <v>72</v>
      </c>
      <c r="M212" s="0" t="s">
        <v>50</v>
      </c>
      <c r="O212" s="0" t="n">
        <v>2.8</v>
      </c>
      <c r="P212" s="0" t="s">
        <v>111</v>
      </c>
      <c r="Q212" s="0" t="s">
        <v>73</v>
      </c>
      <c r="S212" s="0" t="s">
        <v>75</v>
      </c>
      <c r="T212" s="0" t="n">
        <v>30</v>
      </c>
      <c r="U212" s="0" t="s">
        <v>55</v>
      </c>
      <c r="V212" s="0" t="s">
        <v>148</v>
      </c>
      <c r="W212" s="0" t="s">
        <v>98</v>
      </c>
      <c r="X212" s="0" t="s">
        <v>99</v>
      </c>
      <c r="Y212" s="0" t="s">
        <v>59</v>
      </c>
      <c r="Z212" s="0" t="s">
        <v>161</v>
      </c>
      <c r="AA212" s="0" t="n">
        <v>25000</v>
      </c>
      <c r="AB212" s="0" t="n">
        <v>35000</v>
      </c>
      <c r="AD212" s="0" t="s">
        <v>115</v>
      </c>
      <c r="AE212" s="0" t="s">
        <v>130</v>
      </c>
      <c r="AF212" s="1" t="n">
        <v>45726</v>
      </c>
      <c r="AG212" s="0" t="s">
        <v>82</v>
      </c>
      <c r="AH212" s="0" t="s">
        <v>116</v>
      </c>
      <c r="AJ212" s="0" t="s">
        <v>50</v>
      </c>
      <c r="AK212" s="0" t="s">
        <v>82</v>
      </c>
      <c r="AM212" s="0" t="s">
        <v>118</v>
      </c>
      <c r="AN212" s="0" t="s">
        <v>190</v>
      </c>
    </row>
    <row r="213" customFormat="false" ht="15" hidden="false" customHeight="false" outlineLevel="0" collapsed="false">
      <c r="A213" s="1" t="n">
        <v>45696</v>
      </c>
      <c r="B213" s="0" t="s">
        <v>648</v>
      </c>
      <c r="C213" s="0" t="s">
        <v>42</v>
      </c>
      <c r="D213" s="0" t="n">
        <v>8040893911</v>
      </c>
      <c r="E213" s="0" t="s">
        <v>122</v>
      </c>
      <c r="F213" s="0" t="s">
        <v>649</v>
      </c>
      <c r="G213" s="0" t="s">
        <v>69</v>
      </c>
      <c r="I213" s="0" t="s">
        <v>89</v>
      </c>
      <c r="J213" s="0" t="s">
        <v>48</v>
      </c>
      <c r="K213" s="0" t="n">
        <v>58784</v>
      </c>
      <c r="L213" s="0" t="s">
        <v>72</v>
      </c>
      <c r="M213" s="0" t="s">
        <v>50</v>
      </c>
      <c r="O213" s="0" t="n">
        <v>1.7</v>
      </c>
      <c r="P213" s="0" t="s">
        <v>111</v>
      </c>
      <c r="Q213" s="0" t="s">
        <v>73</v>
      </c>
      <c r="R213" s="0" t="s">
        <v>94</v>
      </c>
      <c r="S213" s="0" t="s">
        <v>167</v>
      </c>
      <c r="T213" s="0" t="s">
        <v>127</v>
      </c>
      <c r="U213" s="0" t="s">
        <v>76</v>
      </c>
      <c r="V213" s="0" t="s">
        <v>56</v>
      </c>
      <c r="W213" s="0" t="s">
        <v>57</v>
      </c>
      <c r="X213" s="0" t="s">
        <v>114</v>
      </c>
      <c r="Y213" s="0" t="s">
        <v>197</v>
      </c>
      <c r="Z213" s="0" t="s">
        <v>129</v>
      </c>
      <c r="AA213" s="0" t="n">
        <v>30000</v>
      </c>
      <c r="AD213" s="0" t="n">
        <v>0</v>
      </c>
      <c r="AE213" s="0" t="s">
        <v>184</v>
      </c>
      <c r="AH213" s="0" t="s">
        <v>116</v>
      </c>
      <c r="AI213" s="0" t="s">
        <v>101</v>
      </c>
      <c r="AJ213" s="0" t="s">
        <v>62</v>
      </c>
      <c r="AK213" s="0" t="s">
        <v>61</v>
      </c>
      <c r="AL213" s="0" t="s">
        <v>102</v>
      </c>
      <c r="AM213" s="0" t="s">
        <v>103</v>
      </c>
      <c r="AN213" s="0" t="s">
        <v>63</v>
      </c>
    </row>
    <row r="214" customFormat="false" ht="15" hidden="false" customHeight="false" outlineLevel="0" collapsed="false">
      <c r="A214" s="1" t="n">
        <v>45692</v>
      </c>
      <c r="B214" s="0" t="s">
        <v>650</v>
      </c>
      <c r="C214" s="0" t="s">
        <v>121</v>
      </c>
      <c r="D214" s="0" t="n">
        <v>8088378083</v>
      </c>
      <c r="E214" s="0" t="s">
        <v>122</v>
      </c>
      <c r="F214" s="0" t="s">
        <v>651</v>
      </c>
      <c r="G214" s="0" t="s">
        <v>107</v>
      </c>
      <c r="H214" s="0" t="s">
        <v>272</v>
      </c>
      <c r="I214" s="0" t="s">
        <v>89</v>
      </c>
      <c r="K214" s="0" t="n">
        <v>97470</v>
      </c>
      <c r="L214" s="0" t="s">
        <v>91</v>
      </c>
      <c r="M214" s="0" t="s">
        <v>50</v>
      </c>
      <c r="O214" s="0" t="n">
        <v>3.2</v>
      </c>
      <c r="P214" s="0" t="s">
        <v>51</v>
      </c>
      <c r="Q214" s="0" t="s">
        <v>73</v>
      </c>
      <c r="R214" s="0" t="s">
        <v>53</v>
      </c>
      <c r="S214" s="0" t="s">
        <v>126</v>
      </c>
      <c r="T214" s="0" t="n">
        <v>60</v>
      </c>
      <c r="U214" s="0" t="s">
        <v>76</v>
      </c>
      <c r="V214" s="0" t="s">
        <v>97</v>
      </c>
      <c r="W214" s="0" t="s">
        <v>57</v>
      </c>
      <c r="X214" s="0" t="s">
        <v>114</v>
      </c>
      <c r="Y214" s="0" t="s">
        <v>59</v>
      </c>
      <c r="AA214" s="0" t="n">
        <v>15000</v>
      </c>
      <c r="AB214" s="0" t="s">
        <v>178</v>
      </c>
      <c r="AC214" s="0" t="s">
        <v>50</v>
      </c>
      <c r="AG214" s="0" t="s">
        <v>50</v>
      </c>
      <c r="AJ214" s="0" t="s">
        <v>62</v>
      </c>
      <c r="AK214" s="0" t="s">
        <v>50</v>
      </c>
      <c r="AL214" s="0" t="s">
        <v>102</v>
      </c>
      <c r="AM214" s="0" t="s">
        <v>103</v>
      </c>
      <c r="AN214" s="0" t="s">
        <v>50</v>
      </c>
    </row>
    <row r="215" customFormat="false" ht="15" hidden="false" customHeight="false" outlineLevel="0" collapsed="false">
      <c r="A215" s="0" t="s">
        <v>652</v>
      </c>
      <c r="B215" s="0" t="s">
        <v>653</v>
      </c>
      <c r="C215" s="0" t="s">
        <v>42</v>
      </c>
      <c r="D215" s="0" t="n">
        <v>8015522109</v>
      </c>
      <c r="E215" s="0" t="s">
        <v>85</v>
      </c>
      <c r="F215" s="0" t="s">
        <v>654</v>
      </c>
      <c r="G215" s="0" t="s">
        <v>107</v>
      </c>
      <c r="H215" s="0" t="s">
        <v>135</v>
      </c>
      <c r="I215" s="0" t="s">
        <v>154</v>
      </c>
      <c r="K215" s="0" t="n">
        <v>77414</v>
      </c>
      <c r="L215" s="0" t="s">
        <v>91</v>
      </c>
      <c r="M215" s="0" t="s">
        <v>63</v>
      </c>
      <c r="N215" s="0" t="n">
        <v>4</v>
      </c>
      <c r="O215" s="0" t="n">
        <v>3.6</v>
      </c>
      <c r="P215" s="0" t="s">
        <v>125</v>
      </c>
      <c r="Q215" s="0" t="s">
        <v>73</v>
      </c>
      <c r="R215" s="0" t="s">
        <v>53</v>
      </c>
      <c r="S215" s="0" t="s">
        <v>95</v>
      </c>
      <c r="T215" s="0" t="n">
        <v>15</v>
      </c>
      <c r="U215" s="0" t="s">
        <v>160</v>
      </c>
      <c r="V215" s="0" t="s">
        <v>77</v>
      </c>
      <c r="W215" s="0" t="s">
        <v>128</v>
      </c>
      <c r="X215" s="0" t="s">
        <v>58</v>
      </c>
      <c r="Z215" s="0" t="s">
        <v>143</v>
      </c>
      <c r="AA215" s="0" t="n">
        <v>15000</v>
      </c>
      <c r="AB215" s="0" t="n">
        <v>30000</v>
      </c>
      <c r="AD215" s="0" t="s">
        <v>115</v>
      </c>
      <c r="AE215" s="0" t="s">
        <v>60</v>
      </c>
      <c r="AF215" s="1" t="n">
        <v>45787</v>
      </c>
      <c r="AH215" s="0" t="s">
        <v>171</v>
      </c>
      <c r="AK215" s="0" t="s">
        <v>61</v>
      </c>
      <c r="AL215" s="0" t="s">
        <v>102</v>
      </c>
      <c r="AM215" s="0" t="s">
        <v>83</v>
      </c>
      <c r="AN215" s="0" t="s">
        <v>198</v>
      </c>
    </row>
    <row r="216" customFormat="false" ht="15" hidden="false" customHeight="false" outlineLevel="0" collapsed="false">
      <c r="A216" s="1" t="n">
        <v>45801</v>
      </c>
      <c r="B216" s="0" t="s">
        <v>655</v>
      </c>
      <c r="C216" s="0" t="s">
        <v>42</v>
      </c>
      <c r="D216" s="0" t="n">
        <v>8072445215</v>
      </c>
      <c r="E216" s="0" t="s">
        <v>43</v>
      </c>
      <c r="F216" s="0" t="s">
        <v>656</v>
      </c>
      <c r="G216" s="0" t="s">
        <v>107</v>
      </c>
      <c r="H216" s="0" t="s">
        <v>242</v>
      </c>
      <c r="I216" s="0" t="s">
        <v>142</v>
      </c>
      <c r="J216" s="0" t="s">
        <v>71</v>
      </c>
      <c r="K216" s="0" t="n">
        <v>56840</v>
      </c>
      <c r="L216" s="0" t="s">
        <v>91</v>
      </c>
      <c r="M216" s="0" t="s">
        <v>63</v>
      </c>
      <c r="N216" s="0" t="n">
        <v>5</v>
      </c>
      <c r="O216" s="0" t="n">
        <v>4.7</v>
      </c>
      <c r="P216" s="0" t="s">
        <v>92</v>
      </c>
      <c r="Q216" s="0" t="s">
        <v>52</v>
      </c>
      <c r="R216" s="0" t="s">
        <v>74</v>
      </c>
      <c r="S216" s="0" t="s">
        <v>167</v>
      </c>
      <c r="T216" s="0" t="n">
        <v>60</v>
      </c>
      <c r="U216" s="0" t="s">
        <v>76</v>
      </c>
      <c r="V216" s="0" t="s">
        <v>97</v>
      </c>
      <c r="W216" s="0" t="s">
        <v>113</v>
      </c>
      <c r="X216" s="0" t="s">
        <v>114</v>
      </c>
      <c r="Y216" s="0" t="s">
        <v>59</v>
      </c>
      <c r="Z216" s="0" t="s">
        <v>129</v>
      </c>
      <c r="AA216" s="0" t="n">
        <v>30000</v>
      </c>
      <c r="AB216" s="0" t="n">
        <v>35000</v>
      </c>
      <c r="AC216" s="0" t="s">
        <v>82</v>
      </c>
      <c r="AD216" s="0" t="s">
        <v>115</v>
      </c>
      <c r="AE216" s="0" t="s">
        <v>130</v>
      </c>
      <c r="AG216" s="0" t="s">
        <v>82</v>
      </c>
      <c r="AK216" s="0" t="s">
        <v>63</v>
      </c>
      <c r="AL216" s="0" t="s">
        <v>63</v>
      </c>
    </row>
    <row r="217" customFormat="false" ht="15" hidden="false" customHeight="false" outlineLevel="0" collapsed="false">
      <c r="A217" s="1" t="n">
        <v>45683</v>
      </c>
      <c r="B217" s="0" t="s">
        <v>657</v>
      </c>
      <c r="C217" s="0" t="s">
        <v>105</v>
      </c>
      <c r="D217" s="0" t="n">
        <v>8078754653</v>
      </c>
      <c r="E217" s="0" t="s">
        <v>43</v>
      </c>
      <c r="F217" s="0" t="s">
        <v>658</v>
      </c>
      <c r="G217" s="0" t="s">
        <v>134</v>
      </c>
      <c r="H217" s="0" t="s">
        <v>46</v>
      </c>
      <c r="I217" s="0" t="s">
        <v>47</v>
      </c>
      <c r="J217" s="0" t="s">
        <v>48</v>
      </c>
      <c r="K217" s="0" t="n">
        <v>34203</v>
      </c>
      <c r="L217" s="0" t="s">
        <v>72</v>
      </c>
      <c r="M217" s="0" t="s">
        <v>63</v>
      </c>
      <c r="N217" s="0" t="n">
        <v>1</v>
      </c>
      <c r="O217" s="0" t="n">
        <v>4.7</v>
      </c>
      <c r="P217" s="0" t="s">
        <v>111</v>
      </c>
      <c r="Q217" s="0" t="s">
        <v>93</v>
      </c>
      <c r="R217" s="0" t="s">
        <v>94</v>
      </c>
      <c r="S217" s="0" t="s">
        <v>75</v>
      </c>
      <c r="U217" s="0" t="s">
        <v>55</v>
      </c>
      <c r="V217" s="0" t="s">
        <v>97</v>
      </c>
      <c r="W217" s="0" t="s">
        <v>128</v>
      </c>
      <c r="X217" s="0" t="s">
        <v>114</v>
      </c>
      <c r="Y217" s="0" t="s">
        <v>59</v>
      </c>
      <c r="Z217" s="0" t="s">
        <v>161</v>
      </c>
      <c r="AA217" s="0" t="n">
        <v>15000</v>
      </c>
      <c r="AB217" s="0" t="n">
        <v>40000</v>
      </c>
      <c r="AC217" s="0" t="s">
        <v>50</v>
      </c>
      <c r="AD217" s="0" t="n">
        <v>0</v>
      </c>
      <c r="AF217" s="1" t="n">
        <v>45725</v>
      </c>
      <c r="AG217" s="0" t="s">
        <v>82</v>
      </c>
      <c r="AJ217" s="0" t="s">
        <v>62</v>
      </c>
      <c r="AL217" s="0" t="s">
        <v>102</v>
      </c>
      <c r="AM217" s="0" t="s">
        <v>118</v>
      </c>
    </row>
    <row r="218" customFormat="false" ht="15" hidden="false" customHeight="false" outlineLevel="0" collapsed="false">
      <c r="A218" s="0" t="s">
        <v>659</v>
      </c>
      <c r="B218" s="0" t="s">
        <v>660</v>
      </c>
      <c r="C218" s="0" t="s">
        <v>121</v>
      </c>
      <c r="D218" s="0" t="n">
        <v>8093366096</v>
      </c>
      <c r="E218" s="0" t="s">
        <v>85</v>
      </c>
      <c r="F218" s="0" t="s">
        <v>661</v>
      </c>
      <c r="G218" s="0" t="s">
        <v>87</v>
      </c>
      <c r="H218" s="0" t="s">
        <v>70</v>
      </c>
      <c r="I218" s="0" t="s">
        <v>154</v>
      </c>
      <c r="J218" s="0" t="s">
        <v>48</v>
      </c>
      <c r="K218" s="0" t="n">
        <v>41037</v>
      </c>
      <c r="L218" s="0" t="s">
        <v>110</v>
      </c>
      <c r="M218" s="0" t="s">
        <v>50</v>
      </c>
      <c r="N218" s="0" t="n">
        <v>1</v>
      </c>
      <c r="O218" s="0" t="n">
        <v>1.6</v>
      </c>
      <c r="P218" s="0" t="s">
        <v>51</v>
      </c>
      <c r="Q218" s="0" t="s">
        <v>52</v>
      </c>
      <c r="R218" s="0" t="s">
        <v>74</v>
      </c>
      <c r="S218" s="0" t="s">
        <v>126</v>
      </c>
      <c r="U218" s="0" t="s">
        <v>76</v>
      </c>
      <c r="V218" s="0" t="s">
        <v>77</v>
      </c>
      <c r="W218" s="0" t="s">
        <v>78</v>
      </c>
      <c r="X218" s="0" t="s">
        <v>137</v>
      </c>
      <c r="Z218" s="0" t="s">
        <v>79</v>
      </c>
      <c r="AA218" s="0" t="n">
        <v>30000</v>
      </c>
      <c r="AB218" s="0" t="n">
        <v>20000</v>
      </c>
      <c r="AC218" s="0" t="s">
        <v>82</v>
      </c>
      <c r="AD218" s="0" t="s">
        <v>115</v>
      </c>
      <c r="AE218" s="0" t="s">
        <v>184</v>
      </c>
      <c r="AG218" s="0" t="s">
        <v>61</v>
      </c>
      <c r="AH218" s="0" t="s">
        <v>116</v>
      </c>
      <c r="AI218" s="0" t="s">
        <v>172</v>
      </c>
      <c r="AJ218" s="0" t="s">
        <v>81</v>
      </c>
      <c r="AK218" s="0" t="s">
        <v>61</v>
      </c>
      <c r="AL218" s="0" t="s">
        <v>102</v>
      </c>
      <c r="AN218" s="0" t="s">
        <v>63</v>
      </c>
    </row>
    <row r="219" customFormat="false" ht="15" hidden="false" customHeight="false" outlineLevel="0" collapsed="false">
      <c r="A219" s="1" t="n">
        <v>45967</v>
      </c>
      <c r="B219" s="0" t="s">
        <v>662</v>
      </c>
      <c r="C219" s="0" t="s">
        <v>121</v>
      </c>
      <c r="D219" s="0" t="n">
        <v>8055147351</v>
      </c>
      <c r="E219" s="0" t="s">
        <v>67</v>
      </c>
      <c r="F219" s="0" t="s">
        <v>663</v>
      </c>
      <c r="G219" s="0" t="s">
        <v>134</v>
      </c>
      <c r="H219" s="0" t="s">
        <v>88</v>
      </c>
      <c r="I219" s="0" t="s">
        <v>154</v>
      </c>
      <c r="K219" s="0" t="n">
        <v>93548</v>
      </c>
      <c r="L219" s="0" t="s">
        <v>124</v>
      </c>
      <c r="M219" s="0" t="s">
        <v>50</v>
      </c>
      <c r="N219" s="0" t="n">
        <v>5</v>
      </c>
      <c r="O219" s="0" t="n">
        <v>4.9</v>
      </c>
      <c r="P219" s="0" t="s">
        <v>111</v>
      </c>
      <c r="Q219" s="0" t="s">
        <v>73</v>
      </c>
      <c r="S219" s="0" t="s">
        <v>75</v>
      </c>
      <c r="T219" s="0" t="n">
        <v>45</v>
      </c>
      <c r="U219" s="0" t="s">
        <v>76</v>
      </c>
      <c r="V219" s="0" t="s">
        <v>97</v>
      </c>
      <c r="W219" s="0" t="s">
        <v>57</v>
      </c>
      <c r="X219" s="0" t="s">
        <v>58</v>
      </c>
      <c r="Y219" s="0" t="s">
        <v>177</v>
      </c>
      <c r="Z219" s="0" t="s">
        <v>161</v>
      </c>
      <c r="AA219" s="0" t="n">
        <v>15000</v>
      </c>
      <c r="AB219" s="0" t="n">
        <v>40000</v>
      </c>
      <c r="AD219" s="0" t="n">
        <v>0</v>
      </c>
      <c r="AE219" s="0" t="s">
        <v>130</v>
      </c>
      <c r="AF219" s="0" t="s">
        <v>245</v>
      </c>
      <c r="AG219" s="0" t="s">
        <v>63</v>
      </c>
      <c r="AJ219" s="0" t="s">
        <v>81</v>
      </c>
      <c r="AM219" s="0" t="s">
        <v>83</v>
      </c>
      <c r="AN219" s="0" t="s">
        <v>198</v>
      </c>
    </row>
    <row r="220" customFormat="false" ht="15" hidden="false" customHeight="false" outlineLevel="0" collapsed="false">
      <c r="A220" s="1" t="n">
        <v>45872</v>
      </c>
      <c r="B220" s="0" t="s">
        <v>664</v>
      </c>
      <c r="C220" s="0" t="s">
        <v>121</v>
      </c>
      <c r="D220" s="0" t="n">
        <v>8067190488</v>
      </c>
      <c r="E220" s="0" t="s">
        <v>139</v>
      </c>
      <c r="F220" s="0" t="s">
        <v>665</v>
      </c>
      <c r="G220" s="0" t="s">
        <v>134</v>
      </c>
      <c r="H220" s="0" t="s">
        <v>165</v>
      </c>
      <c r="I220" s="0" t="s">
        <v>108</v>
      </c>
      <c r="J220" s="0" t="s">
        <v>109</v>
      </c>
      <c r="K220" s="0" t="n">
        <v>80122</v>
      </c>
      <c r="L220" s="0" t="s">
        <v>124</v>
      </c>
      <c r="M220" s="0" t="s">
        <v>50</v>
      </c>
      <c r="O220" s="0" t="n">
        <v>3.3</v>
      </c>
      <c r="P220" s="0" t="s">
        <v>92</v>
      </c>
      <c r="Q220" s="0" t="s">
        <v>52</v>
      </c>
      <c r="R220" s="0" t="s">
        <v>53</v>
      </c>
      <c r="S220" s="0" t="s">
        <v>95</v>
      </c>
      <c r="T220" s="0" t="n">
        <v>15</v>
      </c>
      <c r="U220" s="0" t="s">
        <v>76</v>
      </c>
      <c r="V220" s="0" t="s">
        <v>97</v>
      </c>
      <c r="W220" s="0" t="s">
        <v>128</v>
      </c>
      <c r="X220" s="0" t="s">
        <v>137</v>
      </c>
      <c r="Y220" s="0" t="s">
        <v>156</v>
      </c>
      <c r="Z220" s="0" t="s">
        <v>149</v>
      </c>
      <c r="AA220" s="0" t="n">
        <v>40000</v>
      </c>
      <c r="AB220" s="0" t="n">
        <v>35000</v>
      </c>
      <c r="AC220" s="0" t="s">
        <v>50</v>
      </c>
      <c r="AE220" s="0" t="s">
        <v>130</v>
      </c>
      <c r="AF220" s="1" t="n">
        <v>46022</v>
      </c>
      <c r="AG220" s="0" t="s">
        <v>82</v>
      </c>
      <c r="AI220" s="0" t="s">
        <v>172</v>
      </c>
      <c r="AJ220" s="0" t="s">
        <v>81</v>
      </c>
      <c r="AK220" s="0" t="s">
        <v>61</v>
      </c>
      <c r="AL220" s="0" t="s">
        <v>50</v>
      </c>
      <c r="AM220" s="0" t="s">
        <v>103</v>
      </c>
    </row>
    <row r="221" customFormat="false" ht="15" hidden="false" customHeight="false" outlineLevel="0" collapsed="false">
      <c r="A221" s="0" t="s">
        <v>666</v>
      </c>
      <c r="B221" s="0" t="s">
        <v>667</v>
      </c>
      <c r="C221" s="0" t="s">
        <v>163</v>
      </c>
      <c r="D221" s="0" t="n">
        <v>8070552489</v>
      </c>
      <c r="E221" s="0" t="s">
        <v>122</v>
      </c>
      <c r="F221" s="0" t="s">
        <v>668</v>
      </c>
      <c r="G221" s="0" t="s">
        <v>45</v>
      </c>
      <c r="H221" s="0" t="s">
        <v>170</v>
      </c>
      <c r="I221" s="0" t="s">
        <v>89</v>
      </c>
      <c r="J221" s="0" t="s">
        <v>71</v>
      </c>
      <c r="K221" s="0" t="n">
        <v>61687</v>
      </c>
      <c r="L221" s="0" t="s">
        <v>110</v>
      </c>
      <c r="M221" s="0" t="s">
        <v>50</v>
      </c>
      <c r="N221" s="0" t="n">
        <v>3</v>
      </c>
      <c r="O221" s="0" t="n">
        <v>2.8</v>
      </c>
      <c r="P221" s="0" t="s">
        <v>111</v>
      </c>
      <c r="Q221" s="0" t="s">
        <v>73</v>
      </c>
      <c r="R221" s="0" t="s">
        <v>94</v>
      </c>
      <c r="S221" s="0" t="s">
        <v>147</v>
      </c>
      <c r="T221" s="0" t="n">
        <v>45</v>
      </c>
      <c r="U221" s="0" t="s">
        <v>96</v>
      </c>
      <c r="V221" s="0" t="s">
        <v>148</v>
      </c>
      <c r="W221" s="0" t="s">
        <v>128</v>
      </c>
      <c r="X221" s="0" t="s">
        <v>114</v>
      </c>
      <c r="Z221" s="0" t="s">
        <v>149</v>
      </c>
      <c r="AA221" s="0" t="s">
        <v>150</v>
      </c>
      <c r="AB221" s="0" t="s">
        <v>178</v>
      </c>
      <c r="AC221" s="0" t="s">
        <v>50</v>
      </c>
      <c r="AD221" s="0" t="n">
        <v>0</v>
      </c>
      <c r="AE221" s="0" t="s">
        <v>130</v>
      </c>
      <c r="AF221" s="1" t="n">
        <v>45940</v>
      </c>
      <c r="AG221" s="0" t="s">
        <v>50</v>
      </c>
      <c r="AI221" s="0" t="s">
        <v>101</v>
      </c>
      <c r="AJ221" s="0" t="s">
        <v>81</v>
      </c>
      <c r="AK221" s="0" t="s">
        <v>50</v>
      </c>
      <c r="AN221" s="0" t="s">
        <v>190</v>
      </c>
    </row>
    <row r="222" customFormat="false" ht="15" hidden="false" customHeight="false" outlineLevel="0" collapsed="false">
      <c r="A222" s="0" t="s">
        <v>669</v>
      </c>
      <c r="B222" s="0" t="s">
        <v>670</v>
      </c>
      <c r="C222" s="0" t="s">
        <v>121</v>
      </c>
      <c r="D222" s="0" t="n">
        <v>8072753631</v>
      </c>
      <c r="E222" s="0" t="s">
        <v>67</v>
      </c>
      <c r="F222" s="0" t="s">
        <v>671</v>
      </c>
      <c r="G222" s="0" t="s">
        <v>87</v>
      </c>
      <c r="H222" s="0" t="s">
        <v>272</v>
      </c>
      <c r="I222" s="0" t="s">
        <v>108</v>
      </c>
      <c r="J222" s="0" t="s">
        <v>90</v>
      </c>
      <c r="K222" s="0" t="n">
        <v>17979</v>
      </c>
      <c r="L222" s="0" t="s">
        <v>110</v>
      </c>
      <c r="M222" s="0" t="s">
        <v>63</v>
      </c>
      <c r="O222" s="0" t="n">
        <v>2.5</v>
      </c>
      <c r="Q222" s="0" t="s">
        <v>73</v>
      </c>
      <c r="R222" s="0" t="s">
        <v>159</v>
      </c>
      <c r="S222" s="0" t="s">
        <v>126</v>
      </c>
      <c r="U222" s="0" t="s">
        <v>112</v>
      </c>
      <c r="V222" s="0" t="s">
        <v>56</v>
      </c>
      <c r="W222" s="0" t="s">
        <v>78</v>
      </c>
      <c r="X222" s="0" t="s">
        <v>58</v>
      </c>
      <c r="Z222" s="0" t="s">
        <v>149</v>
      </c>
      <c r="AB222" s="0" t="n">
        <v>35000</v>
      </c>
      <c r="AC222" s="0" t="s">
        <v>50</v>
      </c>
      <c r="AD222" s="0" t="n">
        <v>10000</v>
      </c>
      <c r="AE222" s="0" t="s">
        <v>130</v>
      </c>
      <c r="AG222" s="0" t="s">
        <v>63</v>
      </c>
      <c r="AJ222" s="0" t="s">
        <v>50</v>
      </c>
      <c r="AM222" s="0" t="s">
        <v>64</v>
      </c>
      <c r="AN222" s="0" t="s">
        <v>63</v>
      </c>
    </row>
    <row r="223" customFormat="false" ht="15" hidden="false" customHeight="false" outlineLevel="0" collapsed="false">
      <c r="A223" s="1" t="n">
        <v>45805</v>
      </c>
      <c r="B223" s="0" t="s">
        <v>672</v>
      </c>
      <c r="C223" s="0" t="s">
        <v>66</v>
      </c>
      <c r="D223" s="0" t="n">
        <v>8068049927</v>
      </c>
      <c r="E223" s="0" t="s">
        <v>43</v>
      </c>
      <c r="F223" s="0" t="s">
        <v>673</v>
      </c>
      <c r="G223" s="0" t="s">
        <v>69</v>
      </c>
      <c r="H223" s="0" t="s">
        <v>153</v>
      </c>
      <c r="I223" s="0" t="s">
        <v>142</v>
      </c>
      <c r="J223" s="0" t="s">
        <v>48</v>
      </c>
      <c r="K223" s="0" t="n">
        <v>114686</v>
      </c>
      <c r="L223" s="0" t="s">
        <v>110</v>
      </c>
      <c r="M223" s="0" t="s">
        <v>50</v>
      </c>
      <c r="O223" s="0" t="n">
        <v>5</v>
      </c>
      <c r="P223" s="0" t="s">
        <v>92</v>
      </c>
      <c r="Q223" s="0" t="s">
        <v>93</v>
      </c>
      <c r="R223" s="0" t="s">
        <v>159</v>
      </c>
      <c r="S223" s="0" t="s">
        <v>54</v>
      </c>
      <c r="T223" s="0" t="n">
        <v>45</v>
      </c>
      <c r="U223" s="0" t="s">
        <v>96</v>
      </c>
      <c r="V223" s="0" t="s">
        <v>148</v>
      </c>
      <c r="W223" s="0" t="s">
        <v>113</v>
      </c>
      <c r="X223" s="0" t="s">
        <v>137</v>
      </c>
      <c r="Z223" s="0" t="s">
        <v>161</v>
      </c>
      <c r="AA223" s="0" t="s">
        <v>150</v>
      </c>
      <c r="AB223" s="0" t="n">
        <v>35000</v>
      </c>
      <c r="AE223" s="0" t="s">
        <v>60</v>
      </c>
      <c r="AF223" s="1" t="n">
        <v>45877</v>
      </c>
      <c r="AG223" s="0" t="s">
        <v>63</v>
      </c>
      <c r="AJ223" s="0" t="s">
        <v>62</v>
      </c>
      <c r="AK223" s="0" t="s">
        <v>63</v>
      </c>
      <c r="AL223" s="0" t="s">
        <v>102</v>
      </c>
      <c r="AM223" s="0" t="s">
        <v>103</v>
      </c>
      <c r="AN223" s="0" t="s">
        <v>198</v>
      </c>
    </row>
    <row r="224" customFormat="false" ht="15" hidden="false" customHeight="false" outlineLevel="0" collapsed="false">
      <c r="A224" s="0" t="s">
        <v>674</v>
      </c>
      <c r="B224" s="0" t="s">
        <v>675</v>
      </c>
      <c r="C224" s="0" t="s">
        <v>163</v>
      </c>
      <c r="D224" s="0" t="n">
        <v>8064888712</v>
      </c>
      <c r="E224" s="0" t="s">
        <v>122</v>
      </c>
      <c r="F224" s="0" t="s">
        <v>676</v>
      </c>
      <c r="G224" s="0" t="s">
        <v>69</v>
      </c>
      <c r="H224" s="0" t="s">
        <v>153</v>
      </c>
      <c r="I224" s="0" t="s">
        <v>108</v>
      </c>
      <c r="K224" s="0" t="n">
        <v>119819</v>
      </c>
      <c r="L224" s="0" t="s">
        <v>72</v>
      </c>
      <c r="M224" s="0" t="s">
        <v>50</v>
      </c>
      <c r="N224" s="0" t="n">
        <v>2</v>
      </c>
      <c r="O224" s="0" t="n">
        <v>3.9</v>
      </c>
      <c r="Q224" s="0" t="s">
        <v>73</v>
      </c>
      <c r="R224" s="0" t="s">
        <v>53</v>
      </c>
      <c r="S224" s="0" t="s">
        <v>95</v>
      </c>
      <c r="T224" s="0" t="n">
        <v>30</v>
      </c>
      <c r="U224" s="0" t="s">
        <v>96</v>
      </c>
      <c r="V224" s="0" t="s">
        <v>77</v>
      </c>
      <c r="W224" s="0" t="s">
        <v>113</v>
      </c>
      <c r="X224" s="0" t="s">
        <v>114</v>
      </c>
      <c r="Y224" s="0" t="s">
        <v>197</v>
      </c>
      <c r="AA224" s="0" t="s">
        <v>150</v>
      </c>
      <c r="AB224" s="0" t="n">
        <v>35000</v>
      </c>
      <c r="AC224" s="0" t="s">
        <v>63</v>
      </c>
      <c r="AD224" s="0" t="n">
        <v>5000</v>
      </c>
      <c r="AE224" s="0" t="s">
        <v>80</v>
      </c>
      <c r="AF224" s="1" t="n">
        <v>45987</v>
      </c>
      <c r="AG224" s="0" t="s">
        <v>61</v>
      </c>
      <c r="AI224" s="0" t="s">
        <v>117</v>
      </c>
      <c r="AJ224" s="0" t="s">
        <v>63</v>
      </c>
      <c r="AK224" s="0" t="s">
        <v>82</v>
      </c>
      <c r="AL224" s="0" t="s">
        <v>63</v>
      </c>
      <c r="AM224" s="0" t="s">
        <v>103</v>
      </c>
      <c r="AN224" s="0" t="s">
        <v>63</v>
      </c>
    </row>
    <row r="225" customFormat="false" ht="15" hidden="false" customHeight="false" outlineLevel="0" collapsed="false">
      <c r="A225" s="1" t="n">
        <v>45782</v>
      </c>
      <c r="B225" s="0" t="s">
        <v>677</v>
      </c>
      <c r="C225" s="0" t="s">
        <v>163</v>
      </c>
      <c r="D225" s="0" t="n">
        <v>8059326617</v>
      </c>
      <c r="E225" s="0" t="s">
        <v>85</v>
      </c>
      <c r="F225" s="0" t="s">
        <v>678</v>
      </c>
      <c r="G225" s="0" t="s">
        <v>45</v>
      </c>
      <c r="I225" s="0" t="s">
        <v>142</v>
      </c>
      <c r="J225" s="0" t="s">
        <v>109</v>
      </c>
      <c r="K225" s="0" t="n">
        <v>108383</v>
      </c>
      <c r="L225" s="0" t="s">
        <v>166</v>
      </c>
      <c r="M225" s="0" t="s">
        <v>63</v>
      </c>
      <c r="N225" s="0" t="n">
        <v>5</v>
      </c>
      <c r="O225" s="0" t="n">
        <v>2</v>
      </c>
      <c r="P225" s="0" t="s">
        <v>92</v>
      </c>
      <c r="Q225" s="0" t="s">
        <v>93</v>
      </c>
      <c r="S225" s="0" t="s">
        <v>147</v>
      </c>
      <c r="T225" s="0" t="n">
        <v>30</v>
      </c>
      <c r="U225" s="0" t="s">
        <v>96</v>
      </c>
      <c r="V225" s="0" t="s">
        <v>77</v>
      </c>
      <c r="W225" s="0" t="s">
        <v>113</v>
      </c>
      <c r="X225" s="0" t="s">
        <v>99</v>
      </c>
      <c r="Z225" s="0" t="s">
        <v>129</v>
      </c>
      <c r="AA225" s="0" t="n">
        <v>40000</v>
      </c>
      <c r="AB225" s="0" t="n">
        <v>20000</v>
      </c>
      <c r="AC225" s="0" t="s">
        <v>63</v>
      </c>
      <c r="AE225" s="0" t="s">
        <v>80</v>
      </c>
      <c r="AG225" s="0" t="s">
        <v>50</v>
      </c>
      <c r="AH225" s="0" t="s">
        <v>116</v>
      </c>
      <c r="AI225" s="0" t="s">
        <v>117</v>
      </c>
      <c r="AJ225" s="0" t="s">
        <v>81</v>
      </c>
      <c r="AK225" s="0" t="s">
        <v>82</v>
      </c>
      <c r="AL225" s="0" t="s">
        <v>63</v>
      </c>
      <c r="AN225" s="0" t="s">
        <v>190</v>
      </c>
    </row>
    <row r="226" customFormat="false" ht="15" hidden="false" customHeight="false" outlineLevel="0" collapsed="false">
      <c r="A226" s="1" t="n">
        <v>45755</v>
      </c>
      <c r="B226" s="0" t="s">
        <v>679</v>
      </c>
      <c r="C226" s="0" t="s">
        <v>66</v>
      </c>
      <c r="D226" s="0" t="n">
        <v>8076779099</v>
      </c>
      <c r="E226" s="0" t="s">
        <v>43</v>
      </c>
      <c r="F226" s="0" t="s">
        <v>680</v>
      </c>
      <c r="G226" s="0" t="s">
        <v>69</v>
      </c>
      <c r="H226" s="0" t="s">
        <v>176</v>
      </c>
      <c r="I226" s="0" t="s">
        <v>189</v>
      </c>
      <c r="J226" s="0" t="s">
        <v>90</v>
      </c>
      <c r="K226" s="0" t="n">
        <v>113590</v>
      </c>
      <c r="L226" s="0" t="s">
        <v>166</v>
      </c>
      <c r="M226" s="0" t="s">
        <v>63</v>
      </c>
      <c r="N226" s="0" t="n">
        <v>3</v>
      </c>
      <c r="O226" s="0" t="n">
        <v>2.4</v>
      </c>
      <c r="P226" s="0" t="s">
        <v>111</v>
      </c>
      <c r="Q226" s="0" t="s">
        <v>73</v>
      </c>
      <c r="S226" s="0" t="s">
        <v>126</v>
      </c>
      <c r="U226" s="0" t="s">
        <v>96</v>
      </c>
      <c r="V226" s="0" t="s">
        <v>155</v>
      </c>
      <c r="W226" s="0" t="s">
        <v>128</v>
      </c>
      <c r="X226" s="0" t="s">
        <v>99</v>
      </c>
      <c r="Z226" s="0" t="s">
        <v>161</v>
      </c>
      <c r="AC226" s="0" t="s">
        <v>61</v>
      </c>
      <c r="AD226" s="0" t="n">
        <v>5000</v>
      </c>
      <c r="AE226" s="0" t="s">
        <v>130</v>
      </c>
      <c r="AF226" s="1" t="n">
        <v>46001</v>
      </c>
      <c r="AG226" s="0" t="s">
        <v>50</v>
      </c>
      <c r="AJ226" s="0" t="s">
        <v>63</v>
      </c>
    </row>
    <row r="227" customFormat="false" ht="15" hidden="false" customHeight="false" outlineLevel="0" collapsed="false">
      <c r="A227" s="1" t="n">
        <v>45731</v>
      </c>
      <c r="B227" s="0" t="s">
        <v>681</v>
      </c>
      <c r="C227" s="0" t="s">
        <v>121</v>
      </c>
      <c r="D227" s="0" t="n">
        <v>8052549761</v>
      </c>
      <c r="E227" s="0" t="s">
        <v>85</v>
      </c>
      <c r="F227" s="0" t="s">
        <v>682</v>
      </c>
      <c r="G227" s="0" t="s">
        <v>87</v>
      </c>
      <c r="I227" s="0" t="s">
        <v>154</v>
      </c>
      <c r="K227" s="0" t="n">
        <v>116641</v>
      </c>
      <c r="L227" s="0" t="s">
        <v>72</v>
      </c>
      <c r="M227" s="0" t="s">
        <v>63</v>
      </c>
      <c r="N227" s="0" t="n">
        <v>4</v>
      </c>
      <c r="O227" s="0" t="n">
        <v>5.5</v>
      </c>
      <c r="P227" s="0" t="s">
        <v>111</v>
      </c>
      <c r="Q227" s="0" t="s">
        <v>73</v>
      </c>
      <c r="R227" s="0" t="s">
        <v>74</v>
      </c>
      <c r="S227" s="0" t="s">
        <v>75</v>
      </c>
      <c r="T227" s="0" t="n">
        <v>60</v>
      </c>
      <c r="U227" s="0" t="s">
        <v>76</v>
      </c>
      <c r="V227" s="0" t="s">
        <v>97</v>
      </c>
      <c r="W227" s="0" t="s">
        <v>128</v>
      </c>
      <c r="X227" s="0" t="s">
        <v>99</v>
      </c>
      <c r="Y227" s="0" t="s">
        <v>177</v>
      </c>
      <c r="Z227" s="0" t="s">
        <v>143</v>
      </c>
      <c r="AA227" s="0" t="n">
        <v>15000</v>
      </c>
      <c r="AC227" s="0" t="s">
        <v>50</v>
      </c>
      <c r="AD227" s="0" t="n">
        <v>5000</v>
      </c>
      <c r="AE227" s="0" t="s">
        <v>80</v>
      </c>
      <c r="AF227" s="1" t="n">
        <v>45847</v>
      </c>
      <c r="AG227" s="0" t="s">
        <v>63</v>
      </c>
      <c r="AH227" s="0" t="s">
        <v>116</v>
      </c>
      <c r="AJ227" s="0" t="s">
        <v>63</v>
      </c>
      <c r="AK227" s="0" t="s">
        <v>61</v>
      </c>
      <c r="AM227" s="0" t="s">
        <v>103</v>
      </c>
      <c r="AN227" s="0" t="s">
        <v>63</v>
      </c>
    </row>
    <row r="228" customFormat="false" ht="15" hidden="false" customHeight="false" outlineLevel="0" collapsed="false">
      <c r="A228" s="0" t="s">
        <v>531</v>
      </c>
      <c r="B228" s="0" t="s">
        <v>683</v>
      </c>
      <c r="C228" s="0" t="s">
        <v>66</v>
      </c>
      <c r="D228" s="0" t="n">
        <v>8046644052</v>
      </c>
      <c r="E228" s="0" t="s">
        <v>139</v>
      </c>
      <c r="F228" s="0" t="s">
        <v>684</v>
      </c>
      <c r="G228" s="0" t="s">
        <v>69</v>
      </c>
      <c r="H228" s="0" t="s">
        <v>242</v>
      </c>
      <c r="I228" s="0" t="s">
        <v>108</v>
      </c>
      <c r="K228" s="0" t="n">
        <v>110737</v>
      </c>
      <c r="L228" s="0" t="s">
        <v>91</v>
      </c>
      <c r="M228" s="0" t="s">
        <v>50</v>
      </c>
      <c r="N228" s="0" t="n">
        <v>5</v>
      </c>
      <c r="O228" s="0" t="n">
        <v>2</v>
      </c>
      <c r="P228" s="0" t="s">
        <v>92</v>
      </c>
      <c r="Q228" s="0" t="s">
        <v>73</v>
      </c>
      <c r="R228" s="0" t="s">
        <v>53</v>
      </c>
      <c r="S228" s="0" t="s">
        <v>167</v>
      </c>
      <c r="T228" s="0" t="s">
        <v>127</v>
      </c>
      <c r="U228" s="0" t="s">
        <v>55</v>
      </c>
      <c r="V228" s="0" t="s">
        <v>97</v>
      </c>
      <c r="W228" s="0" t="s">
        <v>78</v>
      </c>
      <c r="X228" s="0" t="s">
        <v>137</v>
      </c>
      <c r="Y228" s="0" t="s">
        <v>197</v>
      </c>
      <c r="Z228" s="0" t="s">
        <v>143</v>
      </c>
      <c r="AA228" s="0" t="n">
        <v>40000</v>
      </c>
      <c r="AC228" s="0" t="s">
        <v>82</v>
      </c>
      <c r="AG228" s="0" t="s">
        <v>61</v>
      </c>
      <c r="AH228" s="0" t="s">
        <v>116</v>
      </c>
      <c r="AI228" s="0" t="s">
        <v>117</v>
      </c>
      <c r="AJ228" s="0" t="s">
        <v>62</v>
      </c>
      <c r="AK228" s="0" t="s">
        <v>61</v>
      </c>
      <c r="AL228" s="0" t="s">
        <v>63</v>
      </c>
      <c r="AM228" s="0" t="s">
        <v>64</v>
      </c>
      <c r="AN228" s="0" t="s">
        <v>190</v>
      </c>
    </row>
    <row r="229" customFormat="false" ht="15" hidden="false" customHeight="false" outlineLevel="0" collapsed="false">
      <c r="A229" s="1" t="n">
        <v>45814</v>
      </c>
      <c r="B229" s="0" t="s">
        <v>685</v>
      </c>
      <c r="C229" s="0" t="s">
        <v>42</v>
      </c>
      <c r="D229" s="0" t="n">
        <v>8061320957</v>
      </c>
      <c r="E229" s="0" t="s">
        <v>67</v>
      </c>
      <c r="F229" s="0" t="s">
        <v>686</v>
      </c>
      <c r="G229" s="0" t="s">
        <v>107</v>
      </c>
      <c r="H229" s="0" t="s">
        <v>70</v>
      </c>
      <c r="I229" s="0" t="s">
        <v>108</v>
      </c>
      <c r="K229" s="0" t="n">
        <v>15300</v>
      </c>
      <c r="L229" s="0" t="s">
        <v>49</v>
      </c>
      <c r="M229" s="0" t="s">
        <v>63</v>
      </c>
      <c r="N229" s="0" t="n">
        <v>1</v>
      </c>
      <c r="O229" s="0" t="n">
        <v>2.7</v>
      </c>
      <c r="P229" s="0" t="s">
        <v>51</v>
      </c>
      <c r="Q229" s="0" t="s">
        <v>52</v>
      </c>
      <c r="R229" s="0" t="s">
        <v>94</v>
      </c>
      <c r="S229" s="0" t="s">
        <v>167</v>
      </c>
      <c r="T229" s="0" t="n">
        <v>45</v>
      </c>
      <c r="U229" s="0" t="s">
        <v>160</v>
      </c>
      <c r="V229" s="0" t="s">
        <v>148</v>
      </c>
      <c r="W229" s="0" t="s">
        <v>128</v>
      </c>
      <c r="X229" s="0" t="s">
        <v>196</v>
      </c>
      <c r="Z229" s="0" t="s">
        <v>129</v>
      </c>
      <c r="AA229" s="0" t="n">
        <v>40000</v>
      </c>
      <c r="AC229" s="0" t="s">
        <v>61</v>
      </c>
      <c r="AD229" s="0" t="n">
        <v>10000</v>
      </c>
      <c r="AE229" s="0" t="s">
        <v>130</v>
      </c>
      <c r="AF229" s="1" t="n">
        <v>45859</v>
      </c>
      <c r="AG229" s="0" t="s">
        <v>82</v>
      </c>
      <c r="AH229" s="0" t="s">
        <v>171</v>
      </c>
      <c r="AI229" s="0" t="s">
        <v>117</v>
      </c>
      <c r="AJ229" s="0" t="s">
        <v>63</v>
      </c>
      <c r="AK229" s="0" t="s">
        <v>50</v>
      </c>
      <c r="AM229" s="0" t="s">
        <v>64</v>
      </c>
      <c r="AN229" s="0" t="s">
        <v>63</v>
      </c>
    </row>
    <row r="230" customFormat="false" ht="15" hidden="false" customHeight="false" outlineLevel="0" collapsed="false">
      <c r="A230" s="0" t="s">
        <v>687</v>
      </c>
      <c r="B230" s="0" t="s">
        <v>688</v>
      </c>
      <c r="C230" s="0" t="s">
        <v>105</v>
      </c>
      <c r="D230" s="0" t="n">
        <v>8013317620</v>
      </c>
      <c r="E230" s="0" t="s">
        <v>85</v>
      </c>
      <c r="F230" s="0" t="s">
        <v>689</v>
      </c>
      <c r="G230" s="0" t="s">
        <v>45</v>
      </c>
      <c r="H230" s="0" t="s">
        <v>153</v>
      </c>
      <c r="I230" s="0" t="s">
        <v>154</v>
      </c>
      <c r="J230" s="0" t="s">
        <v>90</v>
      </c>
      <c r="K230" s="0" t="n">
        <v>36475</v>
      </c>
      <c r="L230" s="0" t="s">
        <v>91</v>
      </c>
      <c r="M230" s="0" t="s">
        <v>63</v>
      </c>
      <c r="N230" s="0" t="n">
        <v>2</v>
      </c>
      <c r="O230" s="0" t="n">
        <v>3.4</v>
      </c>
      <c r="P230" s="0" t="s">
        <v>125</v>
      </c>
      <c r="Q230" s="0" t="s">
        <v>73</v>
      </c>
      <c r="R230" s="0" t="s">
        <v>136</v>
      </c>
      <c r="S230" s="0" t="s">
        <v>147</v>
      </c>
      <c r="T230" s="0" t="n">
        <v>30</v>
      </c>
      <c r="U230" s="0" t="s">
        <v>112</v>
      </c>
      <c r="V230" s="0" t="s">
        <v>56</v>
      </c>
      <c r="W230" s="0" t="s">
        <v>57</v>
      </c>
      <c r="X230" s="0" t="s">
        <v>137</v>
      </c>
      <c r="Z230" s="0" t="s">
        <v>143</v>
      </c>
      <c r="AA230" s="0" t="n">
        <v>25000</v>
      </c>
      <c r="AB230" s="0" t="s">
        <v>178</v>
      </c>
      <c r="AC230" s="0" t="s">
        <v>82</v>
      </c>
      <c r="AD230" s="0" t="n">
        <v>0</v>
      </c>
      <c r="AF230" s="0" t="s">
        <v>690</v>
      </c>
      <c r="AI230" s="0" t="s">
        <v>117</v>
      </c>
      <c r="AJ230" s="0" t="s">
        <v>81</v>
      </c>
      <c r="AK230" s="0" t="s">
        <v>61</v>
      </c>
      <c r="AN230" s="0" t="s">
        <v>50</v>
      </c>
    </row>
    <row r="231" customFormat="false" ht="15" hidden="false" customHeight="false" outlineLevel="0" collapsed="false">
      <c r="A231" s="1" t="n">
        <v>45739</v>
      </c>
      <c r="B231" s="0" t="s">
        <v>691</v>
      </c>
      <c r="C231" s="0" t="s">
        <v>105</v>
      </c>
      <c r="D231" s="0" t="n">
        <v>8034100904</v>
      </c>
      <c r="E231" s="0" t="s">
        <v>139</v>
      </c>
      <c r="F231" s="0" t="s">
        <v>692</v>
      </c>
      <c r="G231" s="0" t="s">
        <v>87</v>
      </c>
      <c r="H231" s="0" t="s">
        <v>146</v>
      </c>
      <c r="I231" s="0" t="s">
        <v>154</v>
      </c>
      <c r="K231" s="0" t="n">
        <v>12272</v>
      </c>
      <c r="L231" s="0" t="s">
        <v>72</v>
      </c>
      <c r="M231" s="0" t="s">
        <v>50</v>
      </c>
      <c r="O231" s="0" t="n">
        <v>3.7</v>
      </c>
      <c r="Q231" s="0" t="s">
        <v>93</v>
      </c>
      <c r="R231" s="0" t="s">
        <v>94</v>
      </c>
      <c r="S231" s="0" t="s">
        <v>126</v>
      </c>
      <c r="T231" s="0" t="n">
        <v>45</v>
      </c>
      <c r="U231" s="0" t="s">
        <v>160</v>
      </c>
      <c r="V231" s="0" t="s">
        <v>97</v>
      </c>
      <c r="W231" s="0" t="s">
        <v>78</v>
      </c>
      <c r="X231" s="0" t="s">
        <v>137</v>
      </c>
      <c r="Z231" s="0" t="s">
        <v>149</v>
      </c>
      <c r="AA231" s="0" t="n">
        <v>15000</v>
      </c>
      <c r="AB231" s="0" t="n">
        <v>30000</v>
      </c>
      <c r="AC231" s="0" t="s">
        <v>61</v>
      </c>
      <c r="AD231" s="0" t="s">
        <v>115</v>
      </c>
      <c r="AE231" s="0" t="s">
        <v>184</v>
      </c>
      <c r="AG231" s="0" t="s">
        <v>63</v>
      </c>
      <c r="AJ231" s="0" t="s">
        <v>81</v>
      </c>
      <c r="AK231" s="0" t="s">
        <v>61</v>
      </c>
      <c r="AL231" s="0" t="s">
        <v>63</v>
      </c>
      <c r="AM231" s="0" t="s">
        <v>103</v>
      </c>
      <c r="AN231" s="0" t="s">
        <v>63</v>
      </c>
    </row>
    <row r="232" customFormat="false" ht="15" hidden="false" customHeight="false" outlineLevel="0" collapsed="false">
      <c r="A232" s="1" t="n">
        <v>45812</v>
      </c>
      <c r="B232" s="0" t="s">
        <v>693</v>
      </c>
      <c r="C232" s="0" t="s">
        <v>42</v>
      </c>
      <c r="D232" s="0" t="n">
        <v>8069282426</v>
      </c>
      <c r="E232" s="0" t="s">
        <v>43</v>
      </c>
      <c r="F232" s="0" t="s">
        <v>694</v>
      </c>
      <c r="G232" s="0" t="s">
        <v>107</v>
      </c>
      <c r="H232" s="0" t="s">
        <v>46</v>
      </c>
      <c r="I232" s="0" t="s">
        <v>108</v>
      </c>
      <c r="K232" s="0" t="n">
        <v>46455</v>
      </c>
      <c r="L232" s="0" t="s">
        <v>72</v>
      </c>
      <c r="M232" s="0" t="s">
        <v>63</v>
      </c>
      <c r="N232" s="0" t="n">
        <v>1</v>
      </c>
      <c r="O232" s="0" t="n">
        <v>2.1</v>
      </c>
      <c r="P232" s="0" t="s">
        <v>111</v>
      </c>
      <c r="Q232" s="0" t="s">
        <v>52</v>
      </c>
      <c r="R232" s="0" t="s">
        <v>94</v>
      </c>
      <c r="S232" s="0" t="s">
        <v>95</v>
      </c>
      <c r="U232" s="0" t="s">
        <v>96</v>
      </c>
      <c r="V232" s="0" t="s">
        <v>155</v>
      </c>
      <c r="W232" s="0" t="s">
        <v>98</v>
      </c>
      <c r="X232" s="0" t="s">
        <v>58</v>
      </c>
      <c r="Z232" s="0" t="s">
        <v>129</v>
      </c>
      <c r="AA232" s="0" t="n">
        <v>30000</v>
      </c>
      <c r="AB232" s="0" t="n">
        <v>30000</v>
      </c>
      <c r="AD232" s="0" t="n">
        <v>0</v>
      </c>
      <c r="AE232" s="0" t="s">
        <v>130</v>
      </c>
      <c r="AG232" s="0" t="s">
        <v>63</v>
      </c>
      <c r="AI232" s="0" t="s">
        <v>101</v>
      </c>
      <c r="AJ232" s="0" t="s">
        <v>62</v>
      </c>
      <c r="AK232" s="0" t="s">
        <v>63</v>
      </c>
      <c r="AL232" s="0" t="s">
        <v>50</v>
      </c>
      <c r="AM232" s="0" t="s">
        <v>83</v>
      </c>
    </row>
    <row r="233" customFormat="false" ht="15" hidden="false" customHeight="false" outlineLevel="0" collapsed="false">
      <c r="A233" s="1" t="n">
        <v>45964</v>
      </c>
      <c r="B233" s="0" t="s">
        <v>695</v>
      </c>
      <c r="C233" s="0" t="s">
        <v>105</v>
      </c>
      <c r="D233" s="0" t="n">
        <v>8041378816</v>
      </c>
      <c r="E233" s="0" t="s">
        <v>85</v>
      </c>
      <c r="F233" s="0" t="s">
        <v>696</v>
      </c>
      <c r="G233" s="0" t="s">
        <v>45</v>
      </c>
      <c r="I233" s="0" t="s">
        <v>108</v>
      </c>
      <c r="J233" s="0" t="s">
        <v>90</v>
      </c>
      <c r="K233" s="0" t="n">
        <v>49597</v>
      </c>
      <c r="L233" s="0" t="s">
        <v>91</v>
      </c>
      <c r="M233" s="0" t="s">
        <v>50</v>
      </c>
      <c r="O233" s="0" t="n">
        <v>1.6</v>
      </c>
      <c r="Q233" s="0" t="s">
        <v>73</v>
      </c>
      <c r="R233" s="0" t="s">
        <v>159</v>
      </c>
      <c r="S233" s="0" t="s">
        <v>147</v>
      </c>
      <c r="T233" s="0" t="n">
        <v>45</v>
      </c>
      <c r="U233" s="0" t="s">
        <v>55</v>
      </c>
      <c r="V233" s="0" t="s">
        <v>56</v>
      </c>
      <c r="W233" s="0" t="s">
        <v>113</v>
      </c>
      <c r="X233" s="0" t="s">
        <v>99</v>
      </c>
      <c r="Z233" s="0" t="s">
        <v>129</v>
      </c>
      <c r="AA233" s="0" t="n">
        <v>25000</v>
      </c>
      <c r="AB233" s="0" t="n">
        <v>35000</v>
      </c>
      <c r="AC233" s="0" t="s">
        <v>61</v>
      </c>
      <c r="AE233" s="0" t="s">
        <v>80</v>
      </c>
      <c r="AF233" s="0" t="s">
        <v>697</v>
      </c>
      <c r="AG233" s="0" t="s">
        <v>63</v>
      </c>
      <c r="AI233" s="0" t="s">
        <v>101</v>
      </c>
      <c r="AJ233" s="0" t="s">
        <v>63</v>
      </c>
      <c r="AL233" s="0" t="s">
        <v>63</v>
      </c>
      <c r="AM233" s="0" t="s">
        <v>103</v>
      </c>
      <c r="AN233" s="0" t="s">
        <v>63</v>
      </c>
    </row>
    <row r="234" customFormat="false" ht="15" hidden="false" customHeight="false" outlineLevel="0" collapsed="false">
      <c r="A234" s="0" t="s">
        <v>468</v>
      </c>
      <c r="B234" s="0" t="s">
        <v>698</v>
      </c>
      <c r="C234" s="0" t="s">
        <v>42</v>
      </c>
      <c r="D234" s="0" t="n">
        <v>8045651567</v>
      </c>
      <c r="E234" s="0" t="s">
        <v>43</v>
      </c>
      <c r="F234" s="0" t="s">
        <v>699</v>
      </c>
      <c r="G234" s="0" t="s">
        <v>69</v>
      </c>
      <c r="H234" s="0" t="s">
        <v>153</v>
      </c>
      <c r="I234" s="0" t="s">
        <v>89</v>
      </c>
      <c r="J234" s="0" t="s">
        <v>48</v>
      </c>
      <c r="K234" s="0" t="n">
        <v>40970</v>
      </c>
      <c r="L234" s="0" t="s">
        <v>49</v>
      </c>
      <c r="M234" s="0" t="s">
        <v>50</v>
      </c>
      <c r="O234" s="0" t="n">
        <v>2.1</v>
      </c>
      <c r="P234" s="0" t="s">
        <v>125</v>
      </c>
      <c r="Q234" s="0" t="s">
        <v>93</v>
      </c>
      <c r="S234" s="0" t="s">
        <v>95</v>
      </c>
      <c r="U234" s="0" t="s">
        <v>96</v>
      </c>
      <c r="V234" s="0" t="s">
        <v>56</v>
      </c>
      <c r="W234" s="0" t="s">
        <v>57</v>
      </c>
      <c r="X234" s="0" t="s">
        <v>196</v>
      </c>
      <c r="Y234" s="0" t="s">
        <v>197</v>
      </c>
      <c r="Z234" s="0" t="s">
        <v>79</v>
      </c>
      <c r="AA234" s="0" t="n">
        <v>40000</v>
      </c>
      <c r="AB234" s="0" t="n">
        <v>35000</v>
      </c>
      <c r="AC234" s="0" t="s">
        <v>82</v>
      </c>
      <c r="AD234" s="0" t="s">
        <v>115</v>
      </c>
      <c r="AE234" s="0" t="s">
        <v>184</v>
      </c>
      <c r="AF234" s="0" t="s">
        <v>700</v>
      </c>
      <c r="AG234" s="0" t="s">
        <v>82</v>
      </c>
      <c r="AI234" s="0" t="s">
        <v>172</v>
      </c>
      <c r="AJ234" s="0" t="s">
        <v>81</v>
      </c>
      <c r="AN234" s="0" t="s">
        <v>50</v>
      </c>
    </row>
    <row r="235" customFormat="false" ht="15" hidden="false" customHeight="false" outlineLevel="0" collapsed="false">
      <c r="A235" s="1" t="n">
        <v>45700</v>
      </c>
      <c r="B235" s="0" t="s">
        <v>701</v>
      </c>
      <c r="C235" s="0" t="s">
        <v>42</v>
      </c>
      <c r="D235" s="0" t="n">
        <v>8096618062</v>
      </c>
      <c r="E235" s="0" t="s">
        <v>85</v>
      </c>
      <c r="F235" s="0" t="s">
        <v>702</v>
      </c>
      <c r="G235" s="0" t="s">
        <v>45</v>
      </c>
      <c r="H235" s="0" t="s">
        <v>176</v>
      </c>
      <c r="I235" s="0" t="s">
        <v>154</v>
      </c>
      <c r="K235" s="0" t="n">
        <v>60836</v>
      </c>
      <c r="L235" s="0" t="s">
        <v>110</v>
      </c>
      <c r="M235" s="0" t="s">
        <v>50</v>
      </c>
      <c r="N235" s="0" t="n">
        <v>4</v>
      </c>
      <c r="O235" s="0" t="n">
        <v>1.4</v>
      </c>
      <c r="P235" s="0" t="s">
        <v>111</v>
      </c>
      <c r="Q235" s="0" t="s">
        <v>73</v>
      </c>
      <c r="R235" s="0" t="s">
        <v>136</v>
      </c>
      <c r="S235" s="0" t="s">
        <v>167</v>
      </c>
      <c r="U235" s="0" t="s">
        <v>76</v>
      </c>
      <c r="V235" s="0" t="s">
        <v>148</v>
      </c>
      <c r="W235" s="0" t="s">
        <v>57</v>
      </c>
      <c r="X235" s="0" t="s">
        <v>196</v>
      </c>
      <c r="Z235" s="0" t="s">
        <v>79</v>
      </c>
      <c r="AA235" s="0" t="n">
        <v>30000</v>
      </c>
      <c r="AB235" s="0" t="n">
        <v>30000</v>
      </c>
      <c r="AC235" s="0" t="s">
        <v>82</v>
      </c>
      <c r="AD235" s="0" t="n">
        <v>0</v>
      </c>
      <c r="AF235" s="0" t="s">
        <v>703</v>
      </c>
      <c r="AG235" s="0" t="s">
        <v>82</v>
      </c>
      <c r="AH235" s="0" t="s">
        <v>116</v>
      </c>
      <c r="AI235" s="0" t="s">
        <v>172</v>
      </c>
      <c r="AJ235" s="0" t="s">
        <v>50</v>
      </c>
      <c r="AK235" s="0" t="s">
        <v>82</v>
      </c>
      <c r="AL235" s="0" t="s">
        <v>50</v>
      </c>
      <c r="AM235" s="0" t="s">
        <v>103</v>
      </c>
      <c r="AN235" s="0" t="s">
        <v>190</v>
      </c>
    </row>
    <row r="236" customFormat="false" ht="15" hidden="false" customHeight="false" outlineLevel="0" collapsed="false">
      <c r="A236" s="1" t="n">
        <v>45718</v>
      </c>
      <c r="B236" s="0" t="s">
        <v>704</v>
      </c>
      <c r="C236" s="0" t="s">
        <v>105</v>
      </c>
      <c r="D236" s="0" t="n">
        <v>8020185574</v>
      </c>
      <c r="E236" s="0" t="s">
        <v>85</v>
      </c>
      <c r="F236" s="0" t="s">
        <v>705</v>
      </c>
      <c r="G236" s="0" t="s">
        <v>69</v>
      </c>
      <c r="H236" s="0" t="s">
        <v>165</v>
      </c>
      <c r="I236" s="0" t="s">
        <v>189</v>
      </c>
      <c r="K236" s="0" t="n">
        <v>94594</v>
      </c>
      <c r="L236" s="0" t="s">
        <v>91</v>
      </c>
      <c r="M236" s="0" t="s">
        <v>63</v>
      </c>
      <c r="N236" s="0" t="n">
        <v>4</v>
      </c>
      <c r="O236" s="0" t="n">
        <v>4.9</v>
      </c>
      <c r="Q236" s="0" t="s">
        <v>52</v>
      </c>
      <c r="S236" s="0" t="s">
        <v>75</v>
      </c>
      <c r="T236" s="0" t="s">
        <v>127</v>
      </c>
      <c r="U236" s="0" t="s">
        <v>160</v>
      </c>
      <c r="V236" s="0" t="s">
        <v>77</v>
      </c>
      <c r="W236" s="0" t="s">
        <v>113</v>
      </c>
      <c r="X236" s="0" t="s">
        <v>137</v>
      </c>
      <c r="Z236" s="0" t="s">
        <v>149</v>
      </c>
      <c r="AA236" s="0" t="n">
        <v>30000</v>
      </c>
      <c r="AB236" s="0" t="n">
        <v>35000</v>
      </c>
      <c r="AC236" s="0" t="s">
        <v>61</v>
      </c>
      <c r="AD236" s="0" t="n">
        <v>5000</v>
      </c>
      <c r="AE236" s="0" t="s">
        <v>184</v>
      </c>
      <c r="AG236" s="0" t="s">
        <v>50</v>
      </c>
      <c r="AL236" s="0" t="s">
        <v>63</v>
      </c>
      <c r="AM236" s="0" t="s">
        <v>83</v>
      </c>
    </row>
    <row r="237" customFormat="false" ht="15" hidden="false" customHeight="false" outlineLevel="0" collapsed="false">
      <c r="A237" s="1" t="n">
        <v>45700</v>
      </c>
      <c r="B237" s="0" t="s">
        <v>706</v>
      </c>
      <c r="C237" s="0" t="s">
        <v>42</v>
      </c>
      <c r="D237" s="0" t="n">
        <v>8058196637</v>
      </c>
      <c r="E237" s="0" t="s">
        <v>85</v>
      </c>
      <c r="F237" s="0" t="s">
        <v>707</v>
      </c>
      <c r="G237" s="0" t="s">
        <v>107</v>
      </c>
      <c r="H237" s="0" t="s">
        <v>165</v>
      </c>
      <c r="I237" s="0" t="s">
        <v>142</v>
      </c>
      <c r="K237" s="0" t="n">
        <v>20749</v>
      </c>
      <c r="L237" s="0" t="s">
        <v>124</v>
      </c>
      <c r="M237" s="0" t="s">
        <v>50</v>
      </c>
      <c r="N237" s="0" t="n">
        <v>3</v>
      </c>
      <c r="O237" s="0" t="n">
        <v>4.4</v>
      </c>
      <c r="P237" s="0" t="s">
        <v>125</v>
      </c>
      <c r="Q237" s="0" t="s">
        <v>93</v>
      </c>
      <c r="S237" s="0" t="s">
        <v>75</v>
      </c>
      <c r="T237" s="0" t="n">
        <v>45</v>
      </c>
      <c r="U237" s="0" t="s">
        <v>112</v>
      </c>
      <c r="V237" s="0" t="s">
        <v>77</v>
      </c>
      <c r="W237" s="0" t="s">
        <v>78</v>
      </c>
      <c r="X237" s="0" t="s">
        <v>196</v>
      </c>
      <c r="Y237" s="0" t="s">
        <v>197</v>
      </c>
      <c r="AA237" s="0" t="n">
        <v>25000</v>
      </c>
      <c r="AB237" s="0" t="n">
        <v>30000</v>
      </c>
      <c r="AG237" s="0" t="s">
        <v>61</v>
      </c>
      <c r="AJ237" s="0" t="s">
        <v>81</v>
      </c>
      <c r="AK237" s="0" t="s">
        <v>63</v>
      </c>
      <c r="AL237" s="0" t="s">
        <v>63</v>
      </c>
      <c r="AM237" s="0" t="s">
        <v>118</v>
      </c>
      <c r="AN237" s="0" t="s">
        <v>63</v>
      </c>
    </row>
    <row r="238" customFormat="false" ht="15" hidden="false" customHeight="false" outlineLevel="0" collapsed="false">
      <c r="A238" s="1" t="n">
        <v>45674</v>
      </c>
      <c r="B238" s="0" t="s">
        <v>708</v>
      </c>
      <c r="C238" s="0" t="s">
        <v>105</v>
      </c>
      <c r="D238" s="0" t="n">
        <v>8021062025</v>
      </c>
      <c r="E238" s="0" t="s">
        <v>67</v>
      </c>
      <c r="F238" s="0" t="s">
        <v>709</v>
      </c>
      <c r="G238" s="0" t="s">
        <v>107</v>
      </c>
      <c r="I238" s="0" t="s">
        <v>108</v>
      </c>
      <c r="J238" s="0" t="s">
        <v>90</v>
      </c>
      <c r="K238" s="0" t="n">
        <v>116780</v>
      </c>
      <c r="L238" s="0" t="s">
        <v>124</v>
      </c>
      <c r="M238" s="0" t="s">
        <v>63</v>
      </c>
      <c r="N238" s="0" t="n">
        <v>1</v>
      </c>
      <c r="O238" s="0" t="n">
        <v>2.2</v>
      </c>
      <c r="P238" s="0" t="s">
        <v>92</v>
      </c>
      <c r="Q238" s="0" t="s">
        <v>52</v>
      </c>
      <c r="S238" s="0" t="s">
        <v>147</v>
      </c>
      <c r="T238" s="0" t="s">
        <v>127</v>
      </c>
      <c r="U238" s="0" t="s">
        <v>160</v>
      </c>
      <c r="V238" s="0" t="s">
        <v>97</v>
      </c>
      <c r="W238" s="0" t="s">
        <v>98</v>
      </c>
      <c r="X238" s="0" t="s">
        <v>58</v>
      </c>
      <c r="Y238" s="0" t="s">
        <v>177</v>
      </c>
      <c r="Z238" s="0" t="s">
        <v>129</v>
      </c>
      <c r="AA238" s="0" t="n">
        <v>40000</v>
      </c>
      <c r="AB238" s="0" t="s">
        <v>178</v>
      </c>
      <c r="AC238" s="0" t="s">
        <v>82</v>
      </c>
      <c r="AD238" s="0" t="n">
        <v>5000</v>
      </c>
      <c r="AE238" s="0" t="s">
        <v>80</v>
      </c>
      <c r="AF238" s="1" t="n">
        <v>45919</v>
      </c>
      <c r="AG238" s="0" t="s">
        <v>82</v>
      </c>
      <c r="AI238" s="0" t="s">
        <v>117</v>
      </c>
      <c r="AJ238" s="0" t="s">
        <v>63</v>
      </c>
      <c r="AL238" s="0" t="s">
        <v>50</v>
      </c>
      <c r="AN238" s="0" t="s">
        <v>190</v>
      </c>
    </row>
    <row r="239" customFormat="false" ht="15" hidden="false" customHeight="false" outlineLevel="0" collapsed="false">
      <c r="A239" s="1" t="n">
        <v>45664</v>
      </c>
      <c r="B239" s="0" t="s">
        <v>710</v>
      </c>
      <c r="C239" s="0" t="s">
        <v>121</v>
      </c>
      <c r="D239" s="0" t="n">
        <v>8049529512</v>
      </c>
      <c r="E239" s="0" t="s">
        <v>122</v>
      </c>
      <c r="F239" s="0" t="s">
        <v>711</v>
      </c>
      <c r="G239" s="0" t="s">
        <v>45</v>
      </c>
      <c r="H239" s="0" t="s">
        <v>153</v>
      </c>
      <c r="I239" s="0" t="s">
        <v>89</v>
      </c>
      <c r="J239" s="0" t="s">
        <v>71</v>
      </c>
      <c r="K239" s="0" t="n">
        <v>85060</v>
      </c>
      <c r="L239" s="0" t="s">
        <v>166</v>
      </c>
      <c r="M239" s="0" t="s">
        <v>50</v>
      </c>
      <c r="N239" s="0" t="n">
        <v>4</v>
      </c>
      <c r="O239" s="0" t="n">
        <v>4.2</v>
      </c>
      <c r="Q239" s="0" t="s">
        <v>73</v>
      </c>
      <c r="R239" s="0" t="s">
        <v>74</v>
      </c>
      <c r="S239" s="0" t="s">
        <v>167</v>
      </c>
      <c r="T239" s="0" t="n">
        <v>30</v>
      </c>
      <c r="U239" s="0" t="s">
        <v>112</v>
      </c>
      <c r="V239" s="0" t="s">
        <v>56</v>
      </c>
      <c r="W239" s="0" t="s">
        <v>113</v>
      </c>
      <c r="X239" s="0" t="s">
        <v>196</v>
      </c>
      <c r="Y239" s="0" t="s">
        <v>59</v>
      </c>
      <c r="Z239" s="0" t="s">
        <v>161</v>
      </c>
      <c r="AA239" s="0" t="n">
        <v>25000</v>
      </c>
      <c r="AB239" s="0" t="n">
        <v>40000</v>
      </c>
      <c r="AC239" s="0" t="s">
        <v>82</v>
      </c>
      <c r="AD239" s="0" t="n">
        <v>5000</v>
      </c>
      <c r="AE239" s="0" t="s">
        <v>80</v>
      </c>
      <c r="AF239" s="0" t="s">
        <v>712</v>
      </c>
      <c r="AG239" s="0" t="s">
        <v>50</v>
      </c>
      <c r="AH239" s="0" t="s">
        <v>171</v>
      </c>
      <c r="AL239" s="0" t="s">
        <v>102</v>
      </c>
      <c r="AM239" s="0" t="s">
        <v>118</v>
      </c>
    </row>
    <row r="240" customFormat="false" ht="15" hidden="false" customHeight="false" outlineLevel="0" collapsed="false">
      <c r="A240" s="1" t="n">
        <v>45684</v>
      </c>
      <c r="B240" s="0" t="s">
        <v>713</v>
      </c>
      <c r="C240" s="0" t="s">
        <v>105</v>
      </c>
      <c r="D240" s="0" t="n">
        <v>8077345747</v>
      </c>
      <c r="E240" s="0" t="s">
        <v>122</v>
      </c>
      <c r="F240" s="0" t="s">
        <v>714</v>
      </c>
      <c r="G240" s="0" t="s">
        <v>45</v>
      </c>
      <c r="H240" s="0" t="s">
        <v>170</v>
      </c>
      <c r="I240" s="0" t="s">
        <v>47</v>
      </c>
      <c r="K240" s="0" t="n">
        <v>114103</v>
      </c>
      <c r="L240" s="0" t="s">
        <v>91</v>
      </c>
      <c r="M240" s="0" t="s">
        <v>63</v>
      </c>
      <c r="N240" s="0" t="n">
        <v>3</v>
      </c>
      <c r="O240" s="0" t="n">
        <v>5.6</v>
      </c>
      <c r="P240" s="0" t="s">
        <v>125</v>
      </c>
      <c r="Q240" s="0" t="s">
        <v>73</v>
      </c>
      <c r="S240" s="0" t="s">
        <v>75</v>
      </c>
      <c r="T240" s="0" t="n">
        <v>45</v>
      </c>
      <c r="U240" s="0" t="s">
        <v>76</v>
      </c>
      <c r="V240" s="0" t="s">
        <v>56</v>
      </c>
      <c r="W240" s="0" t="s">
        <v>57</v>
      </c>
      <c r="X240" s="0" t="s">
        <v>114</v>
      </c>
      <c r="Y240" s="0" t="s">
        <v>156</v>
      </c>
      <c r="Z240" s="0" t="s">
        <v>129</v>
      </c>
      <c r="AA240" s="0" t="n">
        <v>40000</v>
      </c>
      <c r="AC240" s="0" t="s">
        <v>61</v>
      </c>
      <c r="AD240" s="0" t="n">
        <v>5000</v>
      </c>
      <c r="AF240" s="0" t="s">
        <v>715</v>
      </c>
      <c r="AG240" s="0" t="s">
        <v>61</v>
      </c>
      <c r="AI240" s="0" t="s">
        <v>101</v>
      </c>
      <c r="AJ240" s="0" t="s">
        <v>62</v>
      </c>
      <c r="AK240" s="0" t="s">
        <v>63</v>
      </c>
      <c r="AM240" s="0" t="s">
        <v>103</v>
      </c>
      <c r="AN240" s="0" t="s">
        <v>190</v>
      </c>
    </row>
    <row r="241" customFormat="false" ht="15" hidden="false" customHeight="false" outlineLevel="0" collapsed="false">
      <c r="A241" s="1" t="n">
        <v>45679</v>
      </c>
      <c r="B241" s="0" t="s">
        <v>716</v>
      </c>
      <c r="C241" s="0" t="s">
        <v>105</v>
      </c>
      <c r="D241" s="0" t="n">
        <v>8078825641</v>
      </c>
      <c r="E241" s="0" t="s">
        <v>67</v>
      </c>
      <c r="F241" s="0" t="s">
        <v>717</v>
      </c>
      <c r="G241" s="0" t="s">
        <v>87</v>
      </c>
      <c r="H241" s="0" t="s">
        <v>88</v>
      </c>
      <c r="I241" s="0" t="s">
        <v>89</v>
      </c>
      <c r="J241" s="0" t="s">
        <v>48</v>
      </c>
      <c r="K241" s="0" t="n">
        <v>85215</v>
      </c>
      <c r="L241" s="0" t="s">
        <v>166</v>
      </c>
      <c r="M241" s="0" t="s">
        <v>50</v>
      </c>
      <c r="N241" s="0" t="n">
        <v>2</v>
      </c>
      <c r="O241" s="0" t="n">
        <v>5.9</v>
      </c>
      <c r="P241" s="0" t="s">
        <v>125</v>
      </c>
      <c r="Q241" s="0" t="s">
        <v>52</v>
      </c>
      <c r="R241" s="0" t="s">
        <v>159</v>
      </c>
      <c r="S241" s="0" t="s">
        <v>167</v>
      </c>
      <c r="T241" s="0" t="n">
        <v>30</v>
      </c>
      <c r="U241" s="0" t="s">
        <v>96</v>
      </c>
      <c r="V241" s="0" t="s">
        <v>77</v>
      </c>
      <c r="W241" s="0" t="s">
        <v>78</v>
      </c>
      <c r="X241" s="0" t="s">
        <v>114</v>
      </c>
      <c r="Y241" s="0" t="s">
        <v>197</v>
      </c>
      <c r="Z241" s="0" t="s">
        <v>129</v>
      </c>
      <c r="AA241" s="0" t="n">
        <v>25000</v>
      </c>
      <c r="AB241" s="0" t="n">
        <v>20000</v>
      </c>
      <c r="AC241" s="0" t="s">
        <v>63</v>
      </c>
      <c r="AD241" s="0" t="n">
        <v>0</v>
      </c>
      <c r="AE241" s="0" t="s">
        <v>80</v>
      </c>
      <c r="AF241" s="0" t="s">
        <v>718</v>
      </c>
      <c r="AG241" s="0" t="s">
        <v>82</v>
      </c>
      <c r="AI241" s="0" t="s">
        <v>101</v>
      </c>
      <c r="AK241" s="0" t="s">
        <v>61</v>
      </c>
      <c r="AN241" s="0" t="s">
        <v>63</v>
      </c>
    </row>
    <row r="242" customFormat="false" ht="15" hidden="false" customHeight="false" outlineLevel="0" collapsed="false">
      <c r="A242" s="1" t="n">
        <v>45771</v>
      </c>
      <c r="B242" s="0" t="s">
        <v>719</v>
      </c>
      <c r="C242" s="0" t="s">
        <v>121</v>
      </c>
      <c r="D242" s="0" t="n">
        <v>8083370374</v>
      </c>
      <c r="E242" s="0" t="s">
        <v>122</v>
      </c>
      <c r="F242" s="0" t="s">
        <v>720</v>
      </c>
      <c r="G242" s="0" t="s">
        <v>107</v>
      </c>
      <c r="H242" s="0" t="s">
        <v>88</v>
      </c>
      <c r="I242" s="0" t="s">
        <v>108</v>
      </c>
      <c r="J242" s="0" t="s">
        <v>109</v>
      </c>
      <c r="K242" s="0" t="n">
        <v>52039</v>
      </c>
      <c r="L242" s="0" t="s">
        <v>72</v>
      </c>
      <c r="M242" s="0" t="s">
        <v>50</v>
      </c>
      <c r="N242" s="0" t="n">
        <v>1</v>
      </c>
      <c r="O242" s="0" t="n">
        <v>3.1</v>
      </c>
      <c r="P242" s="0" t="s">
        <v>111</v>
      </c>
      <c r="Q242" s="0" t="s">
        <v>73</v>
      </c>
      <c r="R242" s="0" t="s">
        <v>94</v>
      </c>
      <c r="S242" s="0" t="s">
        <v>75</v>
      </c>
      <c r="T242" s="0" t="n">
        <v>60</v>
      </c>
      <c r="U242" s="0" t="s">
        <v>76</v>
      </c>
      <c r="V242" s="0" t="s">
        <v>148</v>
      </c>
      <c r="W242" s="0" t="s">
        <v>78</v>
      </c>
      <c r="X242" s="0" t="s">
        <v>58</v>
      </c>
      <c r="Y242" s="0" t="s">
        <v>156</v>
      </c>
      <c r="Z242" s="0" t="s">
        <v>149</v>
      </c>
      <c r="AA242" s="0" t="n">
        <v>25000</v>
      </c>
      <c r="AB242" s="0" t="n">
        <v>20000</v>
      </c>
      <c r="AC242" s="0" t="s">
        <v>82</v>
      </c>
      <c r="AD242" s="0" t="n">
        <v>5000</v>
      </c>
      <c r="AE242" s="0" t="s">
        <v>60</v>
      </c>
      <c r="AG242" s="0" t="s">
        <v>82</v>
      </c>
      <c r="AH242" s="0" t="s">
        <v>171</v>
      </c>
      <c r="AJ242" s="0" t="s">
        <v>62</v>
      </c>
      <c r="AK242" s="0" t="s">
        <v>82</v>
      </c>
      <c r="AL242" s="0" t="s">
        <v>63</v>
      </c>
      <c r="AN242" s="0" t="s">
        <v>190</v>
      </c>
    </row>
    <row r="243" customFormat="false" ht="15" hidden="false" customHeight="false" outlineLevel="0" collapsed="false">
      <c r="A243" s="1" t="n">
        <v>45690</v>
      </c>
      <c r="B243" s="0" t="s">
        <v>721</v>
      </c>
      <c r="C243" s="0" t="s">
        <v>163</v>
      </c>
      <c r="D243" s="0" t="n">
        <v>8096389831</v>
      </c>
      <c r="E243" s="0" t="s">
        <v>67</v>
      </c>
      <c r="F243" s="0" t="s">
        <v>722</v>
      </c>
      <c r="G243" s="0" t="s">
        <v>45</v>
      </c>
      <c r="H243" s="0" t="s">
        <v>146</v>
      </c>
      <c r="I243" s="0" t="s">
        <v>154</v>
      </c>
      <c r="K243" s="0" t="n">
        <v>24349</v>
      </c>
      <c r="L243" s="0" t="s">
        <v>72</v>
      </c>
      <c r="M243" s="0" t="s">
        <v>63</v>
      </c>
      <c r="N243" s="0" t="n">
        <v>3</v>
      </c>
      <c r="O243" s="0" t="n">
        <v>1.2</v>
      </c>
      <c r="P243" s="0" t="s">
        <v>111</v>
      </c>
      <c r="Q243" s="0" t="s">
        <v>73</v>
      </c>
      <c r="R243" s="0" t="s">
        <v>94</v>
      </c>
      <c r="S243" s="0" t="s">
        <v>95</v>
      </c>
      <c r="T243" s="0" t="n">
        <v>60</v>
      </c>
      <c r="U243" s="0" t="s">
        <v>55</v>
      </c>
      <c r="V243" s="0" t="s">
        <v>148</v>
      </c>
      <c r="W243" s="0" t="s">
        <v>128</v>
      </c>
      <c r="X243" s="0" t="s">
        <v>137</v>
      </c>
      <c r="Z243" s="0" t="s">
        <v>143</v>
      </c>
      <c r="AA243" s="0" t="n">
        <v>40000</v>
      </c>
      <c r="AB243" s="0" t="n">
        <v>20000</v>
      </c>
      <c r="AC243" s="0" t="s">
        <v>50</v>
      </c>
      <c r="AD243" s="0" t="n">
        <v>10000</v>
      </c>
      <c r="AF243" s="0" t="s">
        <v>360</v>
      </c>
      <c r="AG243" s="0" t="s">
        <v>82</v>
      </c>
      <c r="AH243" s="0" t="s">
        <v>171</v>
      </c>
      <c r="AI243" s="0" t="s">
        <v>101</v>
      </c>
      <c r="AJ243" s="0" t="s">
        <v>81</v>
      </c>
      <c r="AK243" s="0" t="s">
        <v>61</v>
      </c>
      <c r="AL243" s="0" t="s">
        <v>102</v>
      </c>
      <c r="AM243" s="0" t="s">
        <v>83</v>
      </c>
      <c r="AN243" s="0" t="s">
        <v>50</v>
      </c>
    </row>
    <row r="244" customFormat="false" ht="15" hidden="false" customHeight="false" outlineLevel="0" collapsed="false">
      <c r="A244" s="1" t="n">
        <v>45901</v>
      </c>
      <c r="B244" s="0" t="s">
        <v>723</v>
      </c>
      <c r="C244" s="0" t="s">
        <v>105</v>
      </c>
      <c r="D244" s="0" t="n">
        <v>8020490324</v>
      </c>
      <c r="E244" s="0" t="s">
        <v>67</v>
      </c>
      <c r="F244" s="0" t="s">
        <v>724</v>
      </c>
      <c r="G244" s="0" t="s">
        <v>69</v>
      </c>
      <c r="H244" s="0" t="s">
        <v>146</v>
      </c>
      <c r="I244" s="0" t="s">
        <v>189</v>
      </c>
      <c r="J244" s="0" t="s">
        <v>48</v>
      </c>
      <c r="K244" s="0" t="n">
        <v>70321</v>
      </c>
      <c r="L244" s="0" t="s">
        <v>124</v>
      </c>
      <c r="M244" s="0" t="s">
        <v>63</v>
      </c>
      <c r="N244" s="0" t="n">
        <v>2</v>
      </c>
      <c r="O244" s="0" t="n">
        <v>3.4</v>
      </c>
      <c r="P244" s="0" t="s">
        <v>111</v>
      </c>
      <c r="Q244" s="0" t="s">
        <v>73</v>
      </c>
      <c r="R244" s="0" t="s">
        <v>74</v>
      </c>
      <c r="S244" s="0" t="s">
        <v>54</v>
      </c>
      <c r="T244" s="0" t="s">
        <v>127</v>
      </c>
      <c r="U244" s="0" t="s">
        <v>55</v>
      </c>
      <c r="V244" s="0" t="s">
        <v>77</v>
      </c>
      <c r="W244" s="0" t="s">
        <v>78</v>
      </c>
      <c r="X244" s="0" t="s">
        <v>196</v>
      </c>
      <c r="Y244" s="0" t="s">
        <v>156</v>
      </c>
      <c r="Z244" s="0" t="s">
        <v>149</v>
      </c>
      <c r="AA244" s="0" t="s">
        <v>150</v>
      </c>
      <c r="AB244" s="0" t="n">
        <v>20000</v>
      </c>
      <c r="AC244" s="0" t="s">
        <v>82</v>
      </c>
      <c r="AE244" s="0" t="s">
        <v>60</v>
      </c>
      <c r="AG244" s="0" t="s">
        <v>50</v>
      </c>
      <c r="AI244" s="0" t="s">
        <v>101</v>
      </c>
      <c r="AJ244" s="0" t="s">
        <v>81</v>
      </c>
      <c r="AK244" s="0" t="s">
        <v>50</v>
      </c>
      <c r="AL244" s="0" t="s">
        <v>50</v>
      </c>
      <c r="AN244" s="0" t="s">
        <v>198</v>
      </c>
    </row>
    <row r="245" customFormat="false" ht="15" hidden="false" customHeight="false" outlineLevel="0" collapsed="false">
      <c r="A245" s="0" t="s">
        <v>725</v>
      </c>
      <c r="B245" s="0" t="s">
        <v>726</v>
      </c>
      <c r="C245" s="0" t="s">
        <v>42</v>
      </c>
      <c r="D245" s="0" t="n">
        <v>8047101128</v>
      </c>
      <c r="E245" s="0" t="s">
        <v>43</v>
      </c>
      <c r="F245" s="0" t="s">
        <v>727</v>
      </c>
      <c r="G245" s="0" t="s">
        <v>69</v>
      </c>
      <c r="H245" s="0" t="s">
        <v>88</v>
      </c>
      <c r="I245" s="0" t="s">
        <v>89</v>
      </c>
      <c r="K245" s="0" t="n">
        <v>18704</v>
      </c>
      <c r="L245" s="0" t="s">
        <v>124</v>
      </c>
      <c r="M245" s="0" t="s">
        <v>63</v>
      </c>
      <c r="N245" s="0" t="n">
        <v>3</v>
      </c>
      <c r="O245" s="0" t="n">
        <v>3.7</v>
      </c>
      <c r="P245" s="0" t="s">
        <v>51</v>
      </c>
      <c r="Q245" s="0" t="s">
        <v>52</v>
      </c>
      <c r="R245" s="0" t="s">
        <v>53</v>
      </c>
      <c r="S245" s="0" t="s">
        <v>147</v>
      </c>
      <c r="T245" s="0" t="s">
        <v>127</v>
      </c>
      <c r="U245" s="0" t="s">
        <v>112</v>
      </c>
      <c r="V245" s="0" t="s">
        <v>97</v>
      </c>
      <c r="W245" s="0" t="s">
        <v>128</v>
      </c>
      <c r="X245" s="0" t="s">
        <v>196</v>
      </c>
      <c r="Z245" s="0" t="s">
        <v>161</v>
      </c>
      <c r="AA245" s="0" t="n">
        <v>15000</v>
      </c>
      <c r="AB245" s="0" t="n">
        <v>40000</v>
      </c>
      <c r="AC245" s="0" t="s">
        <v>63</v>
      </c>
      <c r="AD245" s="0" t="n">
        <v>10000</v>
      </c>
      <c r="AE245" s="0" t="s">
        <v>60</v>
      </c>
      <c r="AF245" s="0" t="s">
        <v>715</v>
      </c>
      <c r="AG245" s="0" t="s">
        <v>50</v>
      </c>
      <c r="AH245" s="0" t="s">
        <v>116</v>
      </c>
      <c r="AI245" s="0" t="s">
        <v>117</v>
      </c>
      <c r="AJ245" s="0" t="s">
        <v>63</v>
      </c>
      <c r="AK245" s="0" t="s">
        <v>61</v>
      </c>
      <c r="AL245" s="0" t="s">
        <v>50</v>
      </c>
      <c r="AM245" s="0" t="s">
        <v>64</v>
      </c>
      <c r="AN245" s="0" t="s">
        <v>198</v>
      </c>
    </row>
    <row r="246" customFormat="false" ht="15" hidden="false" customHeight="false" outlineLevel="0" collapsed="false">
      <c r="A246" s="1" t="n">
        <v>45692</v>
      </c>
      <c r="B246" s="0" t="s">
        <v>728</v>
      </c>
      <c r="C246" s="0" t="s">
        <v>66</v>
      </c>
      <c r="D246" s="0" t="n">
        <v>8040566959</v>
      </c>
      <c r="E246" s="0" t="s">
        <v>67</v>
      </c>
      <c r="F246" s="0" t="s">
        <v>729</v>
      </c>
      <c r="G246" s="0" t="s">
        <v>45</v>
      </c>
      <c r="H246" s="0" t="s">
        <v>146</v>
      </c>
      <c r="I246" s="0" t="s">
        <v>154</v>
      </c>
      <c r="J246" s="0" t="s">
        <v>90</v>
      </c>
      <c r="K246" s="0" t="n">
        <v>55467</v>
      </c>
      <c r="L246" s="0" t="s">
        <v>124</v>
      </c>
      <c r="M246" s="0" t="s">
        <v>63</v>
      </c>
      <c r="N246" s="0" t="n">
        <v>1</v>
      </c>
      <c r="O246" s="0" t="n">
        <v>1.9</v>
      </c>
      <c r="P246" s="0" t="s">
        <v>92</v>
      </c>
      <c r="Q246" s="0" t="s">
        <v>93</v>
      </c>
      <c r="R246" s="0" t="s">
        <v>159</v>
      </c>
      <c r="S246" s="0" t="s">
        <v>167</v>
      </c>
      <c r="T246" s="0" t="s">
        <v>127</v>
      </c>
      <c r="U246" s="0" t="s">
        <v>96</v>
      </c>
      <c r="V246" s="0" t="s">
        <v>56</v>
      </c>
      <c r="W246" s="0" t="s">
        <v>113</v>
      </c>
      <c r="X246" s="0" t="s">
        <v>58</v>
      </c>
      <c r="Y246" s="0" t="s">
        <v>197</v>
      </c>
      <c r="Z246" s="0" t="s">
        <v>79</v>
      </c>
      <c r="AA246" s="0" t="n">
        <v>30000</v>
      </c>
      <c r="AB246" s="0" t="n">
        <v>20000</v>
      </c>
      <c r="AC246" s="0" t="s">
        <v>50</v>
      </c>
      <c r="AD246" s="0" t="n">
        <v>5000</v>
      </c>
      <c r="AE246" s="0" t="s">
        <v>130</v>
      </c>
      <c r="AJ246" s="0" t="s">
        <v>50</v>
      </c>
      <c r="AK246" s="0" t="s">
        <v>61</v>
      </c>
      <c r="AL246" s="0" t="s">
        <v>50</v>
      </c>
      <c r="AM246" s="0" t="s">
        <v>83</v>
      </c>
      <c r="AN246" s="0" t="s">
        <v>50</v>
      </c>
    </row>
    <row r="247" customFormat="false" ht="15" hidden="false" customHeight="false" outlineLevel="0" collapsed="false">
      <c r="A247" s="1" t="n">
        <v>45809</v>
      </c>
      <c r="B247" s="0" t="s">
        <v>730</v>
      </c>
      <c r="C247" s="0" t="s">
        <v>121</v>
      </c>
      <c r="D247" s="0" t="n">
        <v>8023208247</v>
      </c>
      <c r="E247" s="0" t="s">
        <v>67</v>
      </c>
      <c r="F247" s="0" t="s">
        <v>731</v>
      </c>
      <c r="G247" s="0" t="s">
        <v>134</v>
      </c>
      <c r="H247" s="0" t="s">
        <v>135</v>
      </c>
      <c r="I247" s="0" t="s">
        <v>142</v>
      </c>
      <c r="K247" s="0" t="n">
        <v>119469</v>
      </c>
      <c r="L247" s="0" t="s">
        <v>124</v>
      </c>
      <c r="M247" s="0" t="s">
        <v>63</v>
      </c>
      <c r="N247" s="0" t="n">
        <v>2</v>
      </c>
      <c r="O247" s="0" t="n">
        <v>5.6</v>
      </c>
      <c r="P247" s="0" t="s">
        <v>125</v>
      </c>
      <c r="Q247" s="0" t="s">
        <v>93</v>
      </c>
      <c r="R247" s="0" t="s">
        <v>136</v>
      </c>
      <c r="S247" s="0" t="s">
        <v>147</v>
      </c>
      <c r="U247" s="0" t="s">
        <v>160</v>
      </c>
      <c r="V247" s="0" t="s">
        <v>148</v>
      </c>
      <c r="W247" s="0" t="s">
        <v>128</v>
      </c>
      <c r="X247" s="0" t="s">
        <v>114</v>
      </c>
      <c r="Z247" s="0" t="s">
        <v>143</v>
      </c>
      <c r="AA247" s="0" t="s">
        <v>150</v>
      </c>
      <c r="AB247" s="0" t="n">
        <v>40000</v>
      </c>
      <c r="AC247" s="0" t="s">
        <v>63</v>
      </c>
      <c r="AD247" s="0" t="n">
        <v>5000</v>
      </c>
      <c r="AE247" s="0" t="s">
        <v>80</v>
      </c>
      <c r="AF247" s="0" t="s">
        <v>732</v>
      </c>
      <c r="AG247" s="0" t="s">
        <v>61</v>
      </c>
      <c r="AH247" s="0" t="s">
        <v>171</v>
      </c>
      <c r="AI247" s="0" t="s">
        <v>117</v>
      </c>
      <c r="AJ247" s="0" t="s">
        <v>50</v>
      </c>
      <c r="AK247" s="0" t="s">
        <v>82</v>
      </c>
      <c r="AL247" s="0" t="s">
        <v>63</v>
      </c>
      <c r="AM247" s="0" t="s">
        <v>118</v>
      </c>
      <c r="AN247" s="0" t="s">
        <v>50</v>
      </c>
    </row>
    <row r="248" customFormat="false" ht="15" hidden="false" customHeight="false" outlineLevel="0" collapsed="false">
      <c r="A248" s="1" t="n">
        <v>45820</v>
      </c>
      <c r="B248" s="0" t="s">
        <v>733</v>
      </c>
      <c r="C248" s="0" t="s">
        <v>105</v>
      </c>
      <c r="D248" s="0" t="n">
        <v>8025916596</v>
      </c>
      <c r="E248" s="0" t="s">
        <v>85</v>
      </c>
      <c r="F248" s="0" t="s">
        <v>734</v>
      </c>
      <c r="G248" s="0" t="s">
        <v>87</v>
      </c>
      <c r="H248" s="0" t="s">
        <v>146</v>
      </c>
      <c r="I248" s="0" t="s">
        <v>189</v>
      </c>
      <c r="J248" s="0" t="s">
        <v>109</v>
      </c>
      <c r="K248" s="0" t="n">
        <v>31365</v>
      </c>
      <c r="L248" s="0" t="s">
        <v>110</v>
      </c>
      <c r="M248" s="0" t="s">
        <v>63</v>
      </c>
      <c r="N248" s="0" t="n">
        <v>2</v>
      </c>
      <c r="O248" s="0" t="n">
        <v>1.3</v>
      </c>
      <c r="P248" s="0" t="s">
        <v>51</v>
      </c>
      <c r="Q248" s="0" t="s">
        <v>73</v>
      </c>
      <c r="R248" s="0" t="s">
        <v>53</v>
      </c>
      <c r="S248" s="0" t="s">
        <v>95</v>
      </c>
      <c r="T248" s="0" t="n">
        <v>30</v>
      </c>
      <c r="U248" s="0" t="s">
        <v>112</v>
      </c>
      <c r="V248" s="0" t="s">
        <v>56</v>
      </c>
      <c r="W248" s="0" t="s">
        <v>57</v>
      </c>
      <c r="X248" s="0" t="s">
        <v>99</v>
      </c>
      <c r="Y248" s="0" t="s">
        <v>59</v>
      </c>
      <c r="Z248" s="0" t="s">
        <v>149</v>
      </c>
      <c r="AA248" s="0" t="s">
        <v>150</v>
      </c>
      <c r="AC248" s="0" t="s">
        <v>82</v>
      </c>
      <c r="AD248" s="0" t="n">
        <v>0</v>
      </c>
      <c r="AE248" s="0" t="s">
        <v>130</v>
      </c>
      <c r="AF248" s="1" t="n">
        <v>45724</v>
      </c>
      <c r="AI248" s="0" t="s">
        <v>101</v>
      </c>
      <c r="AJ248" s="0" t="s">
        <v>81</v>
      </c>
      <c r="AK248" s="0" t="s">
        <v>50</v>
      </c>
      <c r="AL248" s="0" t="s">
        <v>102</v>
      </c>
      <c r="AM248" s="0" t="s">
        <v>83</v>
      </c>
      <c r="AN248" s="0" t="s">
        <v>50</v>
      </c>
    </row>
    <row r="249" customFormat="false" ht="15" hidden="false" customHeight="false" outlineLevel="0" collapsed="false">
      <c r="A249" s="1" t="n">
        <v>45821</v>
      </c>
      <c r="B249" s="0" t="s">
        <v>735</v>
      </c>
      <c r="C249" s="0" t="s">
        <v>121</v>
      </c>
      <c r="D249" s="0" t="n">
        <v>8019576257</v>
      </c>
      <c r="E249" s="0" t="s">
        <v>85</v>
      </c>
      <c r="F249" s="0" t="s">
        <v>736</v>
      </c>
      <c r="G249" s="0" t="s">
        <v>45</v>
      </c>
      <c r="H249" s="0" t="s">
        <v>70</v>
      </c>
      <c r="I249" s="0" t="s">
        <v>154</v>
      </c>
      <c r="J249" s="0" t="s">
        <v>109</v>
      </c>
      <c r="K249" s="0" t="n">
        <v>37531</v>
      </c>
      <c r="L249" s="0" t="s">
        <v>91</v>
      </c>
      <c r="M249" s="0" t="s">
        <v>50</v>
      </c>
      <c r="N249" s="0" t="n">
        <v>5</v>
      </c>
      <c r="O249" s="0" t="n">
        <v>5</v>
      </c>
      <c r="P249" s="0" t="s">
        <v>125</v>
      </c>
      <c r="Q249" s="0" t="s">
        <v>52</v>
      </c>
      <c r="R249" s="0" t="s">
        <v>94</v>
      </c>
      <c r="S249" s="0" t="s">
        <v>147</v>
      </c>
      <c r="T249" s="0" t="s">
        <v>127</v>
      </c>
      <c r="U249" s="0" t="s">
        <v>96</v>
      </c>
      <c r="V249" s="0" t="s">
        <v>155</v>
      </c>
      <c r="W249" s="0" t="s">
        <v>113</v>
      </c>
      <c r="X249" s="0" t="s">
        <v>114</v>
      </c>
      <c r="Z249" s="0" t="s">
        <v>149</v>
      </c>
      <c r="AA249" s="0" t="n">
        <v>25000</v>
      </c>
      <c r="AB249" s="0" t="n">
        <v>35000</v>
      </c>
      <c r="AC249" s="0" t="s">
        <v>50</v>
      </c>
      <c r="AE249" s="0" t="s">
        <v>184</v>
      </c>
      <c r="AF249" s="1" t="n">
        <v>45894</v>
      </c>
      <c r="AG249" s="0" t="s">
        <v>63</v>
      </c>
      <c r="AH249" s="0" t="s">
        <v>171</v>
      </c>
      <c r="AM249" s="0" t="s">
        <v>83</v>
      </c>
      <c r="AN249" s="0" t="s">
        <v>50</v>
      </c>
    </row>
    <row r="250" customFormat="false" ht="15" hidden="false" customHeight="false" outlineLevel="0" collapsed="false">
      <c r="A250" s="0" t="s">
        <v>737</v>
      </c>
      <c r="B250" s="0" t="s">
        <v>738</v>
      </c>
      <c r="C250" s="0" t="s">
        <v>121</v>
      </c>
      <c r="D250" s="0" t="n">
        <v>8058350177</v>
      </c>
      <c r="E250" s="0" t="s">
        <v>67</v>
      </c>
      <c r="F250" s="0" t="s">
        <v>739</v>
      </c>
      <c r="G250" s="0" t="s">
        <v>87</v>
      </c>
      <c r="H250" s="0" t="s">
        <v>176</v>
      </c>
      <c r="I250" s="0" t="s">
        <v>89</v>
      </c>
      <c r="J250" s="0" t="s">
        <v>48</v>
      </c>
      <c r="K250" s="0" t="n">
        <v>105414</v>
      </c>
      <c r="L250" s="0" t="s">
        <v>124</v>
      </c>
      <c r="M250" s="0" t="s">
        <v>50</v>
      </c>
      <c r="N250" s="0" t="n">
        <v>3</v>
      </c>
      <c r="O250" s="0" t="n">
        <v>3.4</v>
      </c>
      <c r="Q250" s="0" t="s">
        <v>52</v>
      </c>
      <c r="S250" s="0" t="s">
        <v>95</v>
      </c>
      <c r="T250" s="0" t="n">
        <v>60</v>
      </c>
      <c r="U250" s="0" t="s">
        <v>55</v>
      </c>
      <c r="V250" s="0" t="s">
        <v>148</v>
      </c>
      <c r="W250" s="0" t="s">
        <v>128</v>
      </c>
      <c r="X250" s="0" t="s">
        <v>58</v>
      </c>
      <c r="Y250" s="0" t="s">
        <v>177</v>
      </c>
      <c r="Z250" s="0" t="s">
        <v>129</v>
      </c>
      <c r="AB250" s="0" t="n">
        <v>40000</v>
      </c>
      <c r="AC250" s="0" t="s">
        <v>63</v>
      </c>
      <c r="AD250" s="0" t="n">
        <v>10000</v>
      </c>
      <c r="AE250" s="0" t="s">
        <v>184</v>
      </c>
      <c r="AF250" s="1" t="n">
        <v>45852</v>
      </c>
      <c r="AG250" s="0" t="s">
        <v>82</v>
      </c>
      <c r="AI250" s="0" t="s">
        <v>117</v>
      </c>
      <c r="AK250" s="0" t="s">
        <v>61</v>
      </c>
      <c r="AM250" s="0" t="s">
        <v>83</v>
      </c>
      <c r="AN250" s="0" t="s">
        <v>50</v>
      </c>
    </row>
    <row r="251" customFormat="false" ht="15" hidden="false" customHeight="false" outlineLevel="0" collapsed="false">
      <c r="A251" s="0" t="s">
        <v>416</v>
      </c>
      <c r="B251" s="0" t="s">
        <v>740</v>
      </c>
      <c r="C251" s="0" t="s">
        <v>42</v>
      </c>
      <c r="D251" s="0" t="n">
        <v>8015138040</v>
      </c>
      <c r="E251" s="0" t="s">
        <v>85</v>
      </c>
      <c r="F251" s="0" t="s">
        <v>741</v>
      </c>
      <c r="G251" s="0" t="s">
        <v>107</v>
      </c>
      <c r="H251" s="0" t="s">
        <v>176</v>
      </c>
      <c r="I251" s="0" t="s">
        <v>108</v>
      </c>
      <c r="K251" s="0" t="n">
        <v>84778</v>
      </c>
      <c r="L251" s="0" t="s">
        <v>91</v>
      </c>
      <c r="M251" s="0" t="s">
        <v>63</v>
      </c>
      <c r="N251" s="0" t="n">
        <v>1</v>
      </c>
      <c r="O251" s="0" t="n">
        <v>3.4</v>
      </c>
      <c r="P251" s="0" t="s">
        <v>51</v>
      </c>
      <c r="Q251" s="0" t="s">
        <v>73</v>
      </c>
      <c r="R251" s="0" t="s">
        <v>136</v>
      </c>
      <c r="S251" s="0" t="s">
        <v>75</v>
      </c>
      <c r="T251" s="0" t="n">
        <v>60</v>
      </c>
      <c r="U251" s="0" t="s">
        <v>55</v>
      </c>
      <c r="V251" s="0" t="s">
        <v>155</v>
      </c>
      <c r="W251" s="0" t="s">
        <v>113</v>
      </c>
      <c r="X251" s="0" t="s">
        <v>137</v>
      </c>
      <c r="Z251" s="0" t="s">
        <v>79</v>
      </c>
      <c r="AA251" s="0" t="n">
        <v>40000</v>
      </c>
      <c r="AB251" s="0" t="n">
        <v>20000</v>
      </c>
      <c r="AC251" s="0" t="s">
        <v>82</v>
      </c>
      <c r="AD251" s="0" t="n">
        <v>0</v>
      </c>
      <c r="AE251" s="0" t="s">
        <v>60</v>
      </c>
      <c r="AG251" s="0" t="s">
        <v>50</v>
      </c>
      <c r="AH251" s="0" t="s">
        <v>116</v>
      </c>
      <c r="AM251" s="0" t="s">
        <v>83</v>
      </c>
    </row>
    <row r="252" customFormat="false" ht="15" hidden="false" customHeight="false" outlineLevel="0" collapsed="false">
      <c r="A252" s="1" t="n">
        <v>45751</v>
      </c>
      <c r="B252" s="0" t="s">
        <v>742</v>
      </c>
      <c r="C252" s="0" t="s">
        <v>42</v>
      </c>
      <c r="D252" s="0" t="n">
        <v>8083286377</v>
      </c>
      <c r="E252" s="0" t="s">
        <v>43</v>
      </c>
      <c r="F252" s="0" t="s">
        <v>743</v>
      </c>
      <c r="G252" s="0" t="s">
        <v>87</v>
      </c>
      <c r="H252" s="0" t="s">
        <v>153</v>
      </c>
      <c r="I252" s="0" t="s">
        <v>189</v>
      </c>
      <c r="J252" s="0" t="s">
        <v>71</v>
      </c>
      <c r="K252" s="0" t="n">
        <v>22264</v>
      </c>
      <c r="L252" s="0" t="s">
        <v>49</v>
      </c>
      <c r="M252" s="0" t="s">
        <v>63</v>
      </c>
      <c r="N252" s="0" t="n">
        <v>2</v>
      </c>
      <c r="O252" s="0" t="n">
        <v>1</v>
      </c>
      <c r="P252" s="0" t="s">
        <v>111</v>
      </c>
      <c r="Q252" s="0" t="s">
        <v>93</v>
      </c>
      <c r="R252" s="0" t="s">
        <v>74</v>
      </c>
      <c r="S252" s="0" t="s">
        <v>126</v>
      </c>
      <c r="T252" s="0" t="n">
        <v>45</v>
      </c>
      <c r="U252" s="0" t="s">
        <v>55</v>
      </c>
      <c r="V252" s="0" t="s">
        <v>148</v>
      </c>
      <c r="W252" s="0" t="s">
        <v>78</v>
      </c>
      <c r="X252" s="0" t="s">
        <v>99</v>
      </c>
      <c r="Z252" s="0" t="s">
        <v>129</v>
      </c>
      <c r="AC252" s="0" t="s">
        <v>61</v>
      </c>
      <c r="AD252" s="0" t="n">
        <v>0</v>
      </c>
      <c r="AE252" s="0" t="s">
        <v>184</v>
      </c>
      <c r="AG252" s="0" t="s">
        <v>50</v>
      </c>
      <c r="AH252" s="0" t="s">
        <v>171</v>
      </c>
      <c r="AL252" s="0" t="s">
        <v>102</v>
      </c>
      <c r="AM252" s="0" t="s">
        <v>103</v>
      </c>
      <c r="AN252" s="0" t="s">
        <v>198</v>
      </c>
    </row>
    <row r="253" customFormat="false" ht="15" hidden="false" customHeight="false" outlineLevel="0" collapsed="false">
      <c r="A253" s="1" t="n">
        <v>45697</v>
      </c>
      <c r="B253" s="0" t="s">
        <v>744</v>
      </c>
      <c r="C253" s="0" t="s">
        <v>105</v>
      </c>
      <c r="D253" s="0" t="n">
        <v>8036884696</v>
      </c>
      <c r="E253" s="0" t="s">
        <v>43</v>
      </c>
      <c r="F253" s="0" t="s">
        <v>745</v>
      </c>
      <c r="G253" s="0" t="s">
        <v>45</v>
      </c>
      <c r="H253" s="0" t="s">
        <v>146</v>
      </c>
      <c r="I253" s="0" t="s">
        <v>154</v>
      </c>
      <c r="J253" s="0" t="s">
        <v>48</v>
      </c>
      <c r="K253" s="0" t="n">
        <v>12993</v>
      </c>
      <c r="L253" s="0" t="s">
        <v>110</v>
      </c>
      <c r="M253" s="0" t="s">
        <v>63</v>
      </c>
      <c r="N253" s="0" t="n">
        <v>2</v>
      </c>
      <c r="O253" s="0" t="n">
        <v>5.1</v>
      </c>
      <c r="P253" s="0" t="s">
        <v>111</v>
      </c>
      <c r="Q253" s="0" t="s">
        <v>93</v>
      </c>
      <c r="R253" s="0" t="s">
        <v>159</v>
      </c>
      <c r="S253" s="0" t="s">
        <v>54</v>
      </c>
      <c r="T253" s="0" t="s">
        <v>127</v>
      </c>
      <c r="U253" s="0" t="s">
        <v>96</v>
      </c>
      <c r="V253" s="0" t="s">
        <v>148</v>
      </c>
      <c r="W253" s="0" t="s">
        <v>78</v>
      </c>
      <c r="X253" s="0" t="s">
        <v>99</v>
      </c>
      <c r="Y253" s="0" t="s">
        <v>156</v>
      </c>
      <c r="Z253" s="0" t="s">
        <v>79</v>
      </c>
      <c r="AA253" s="0" t="n">
        <v>40000</v>
      </c>
      <c r="AB253" s="0" t="n">
        <v>35000</v>
      </c>
      <c r="AC253" s="0" t="s">
        <v>61</v>
      </c>
      <c r="AD253" s="0" t="n">
        <v>5000</v>
      </c>
      <c r="AE253" s="0" t="s">
        <v>80</v>
      </c>
      <c r="AG253" s="0" t="s">
        <v>63</v>
      </c>
      <c r="AH253" s="0" t="s">
        <v>116</v>
      </c>
      <c r="AI253" s="0" t="s">
        <v>172</v>
      </c>
      <c r="AJ253" s="0" t="s">
        <v>62</v>
      </c>
      <c r="AK253" s="0" t="s">
        <v>82</v>
      </c>
      <c r="AL253" s="0" t="s">
        <v>63</v>
      </c>
      <c r="AN253" s="0" t="s">
        <v>50</v>
      </c>
    </row>
    <row r="254" customFormat="false" ht="15" hidden="false" customHeight="false" outlineLevel="0" collapsed="false">
      <c r="A254" s="1" t="n">
        <v>45749</v>
      </c>
      <c r="B254" s="0" t="s">
        <v>746</v>
      </c>
      <c r="C254" s="0" t="s">
        <v>105</v>
      </c>
      <c r="D254" s="0" t="n">
        <v>8054796219</v>
      </c>
      <c r="E254" s="0" t="s">
        <v>67</v>
      </c>
      <c r="F254" s="0" t="s">
        <v>747</v>
      </c>
      <c r="G254" s="0" t="s">
        <v>87</v>
      </c>
      <c r="H254" s="0" t="s">
        <v>272</v>
      </c>
      <c r="I254" s="0" t="s">
        <v>89</v>
      </c>
      <c r="J254" s="0" t="s">
        <v>71</v>
      </c>
      <c r="K254" s="0" t="n">
        <v>112097</v>
      </c>
      <c r="L254" s="0" t="s">
        <v>91</v>
      </c>
      <c r="M254" s="0" t="s">
        <v>63</v>
      </c>
      <c r="N254" s="0" t="n">
        <v>5</v>
      </c>
      <c r="O254" s="0" t="n">
        <v>3.2</v>
      </c>
      <c r="P254" s="0" t="s">
        <v>92</v>
      </c>
      <c r="Q254" s="0" t="s">
        <v>93</v>
      </c>
      <c r="R254" s="0" t="s">
        <v>136</v>
      </c>
      <c r="S254" s="0" t="s">
        <v>126</v>
      </c>
      <c r="T254" s="0" t="n">
        <v>30</v>
      </c>
      <c r="U254" s="0" t="s">
        <v>76</v>
      </c>
      <c r="V254" s="0" t="s">
        <v>155</v>
      </c>
      <c r="W254" s="0" t="s">
        <v>98</v>
      </c>
      <c r="X254" s="0" t="s">
        <v>99</v>
      </c>
      <c r="Y254" s="0" t="s">
        <v>156</v>
      </c>
      <c r="Z254" s="0" t="s">
        <v>79</v>
      </c>
      <c r="AA254" s="0" t="n">
        <v>30000</v>
      </c>
      <c r="AB254" s="0" t="s">
        <v>178</v>
      </c>
      <c r="AC254" s="0" t="s">
        <v>50</v>
      </c>
      <c r="AD254" s="0" t="s">
        <v>115</v>
      </c>
      <c r="AE254" s="0" t="s">
        <v>184</v>
      </c>
      <c r="AF254" s="1" t="n">
        <v>45987</v>
      </c>
      <c r="AG254" s="0" t="s">
        <v>63</v>
      </c>
      <c r="AJ254" s="0" t="s">
        <v>50</v>
      </c>
      <c r="AL254" s="0" t="s">
        <v>63</v>
      </c>
      <c r="AM254" s="0" t="s">
        <v>83</v>
      </c>
      <c r="AN254" s="0" t="s">
        <v>50</v>
      </c>
    </row>
    <row r="255" customFormat="false" ht="15" hidden="false" customHeight="false" outlineLevel="0" collapsed="false">
      <c r="A255" s="1" t="n">
        <v>45660</v>
      </c>
      <c r="B255" s="0" t="s">
        <v>748</v>
      </c>
      <c r="C255" s="0" t="s">
        <v>121</v>
      </c>
      <c r="D255" s="0" t="n">
        <v>8036393422</v>
      </c>
      <c r="E255" s="0" t="s">
        <v>85</v>
      </c>
      <c r="F255" s="0" t="s">
        <v>749</v>
      </c>
      <c r="G255" s="0" t="s">
        <v>69</v>
      </c>
      <c r="H255" s="0" t="s">
        <v>242</v>
      </c>
      <c r="I255" s="0" t="s">
        <v>47</v>
      </c>
      <c r="K255" s="0" t="n">
        <v>29557</v>
      </c>
      <c r="L255" s="0" t="s">
        <v>91</v>
      </c>
      <c r="M255" s="0" t="s">
        <v>63</v>
      </c>
      <c r="N255" s="0" t="n">
        <v>5</v>
      </c>
      <c r="O255" s="0" t="n">
        <v>2.6</v>
      </c>
      <c r="P255" s="0" t="s">
        <v>51</v>
      </c>
      <c r="Q255" s="0" t="s">
        <v>52</v>
      </c>
      <c r="S255" s="0" t="s">
        <v>54</v>
      </c>
      <c r="T255" s="0" t="n">
        <v>30</v>
      </c>
      <c r="U255" s="0" t="s">
        <v>112</v>
      </c>
      <c r="V255" s="0" t="s">
        <v>148</v>
      </c>
      <c r="W255" s="0" t="s">
        <v>57</v>
      </c>
      <c r="X255" s="0" t="s">
        <v>196</v>
      </c>
      <c r="Y255" s="0" t="s">
        <v>59</v>
      </c>
      <c r="Z255" s="0" t="s">
        <v>79</v>
      </c>
      <c r="AA255" s="0" t="n">
        <v>25000</v>
      </c>
      <c r="AB255" s="0" t="n">
        <v>40000</v>
      </c>
      <c r="AD255" s="0" t="n">
        <v>0</v>
      </c>
      <c r="AE255" s="0" t="s">
        <v>184</v>
      </c>
      <c r="AG255" s="0" t="s">
        <v>61</v>
      </c>
      <c r="AI255" s="0" t="s">
        <v>172</v>
      </c>
      <c r="AJ255" s="0" t="s">
        <v>81</v>
      </c>
      <c r="AK255" s="0" t="s">
        <v>61</v>
      </c>
      <c r="AL255" s="0" t="s">
        <v>63</v>
      </c>
      <c r="AM255" s="0" t="s">
        <v>118</v>
      </c>
      <c r="AN255" s="0" t="s">
        <v>198</v>
      </c>
    </row>
    <row r="256" customFormat="false" ht="15" hidden="false" customHeight="false" outlineLevel="0" collapsed="false">
      <c r="A256" s="1" t="n">
        <v>45783</v>
      </c>
      <c r="B256" s="0" t="s">
        <v>750</v>
      </c>
      <c r="C256" s="0" t="s">
        <v>121</v>
      </c>
      <c r="D256" s="0" t="n">
        <v>8054190018</v>
      </c>
      <c r="E256" s="0" t="s">
        <v>139</v>
      </c>
      <c r="F256" s="0" t="s">
        <v>751</v>
      </c>
      <c r="G256" s="0" t="s">
        <v>107</v>
      </c>
      <c r="H256" s="0" t="s">
        <v>176</v>
      </c>
      <c r="I256" s="0" t="s">
        <v>47</v>
      </c>
      <c r="J256" s="0" t="s">
        <v>48</v>
      </c>
      <c r="K256" s="0" t="n">
        <v>94267</v>
      </c>
      <c r="L256" s="0" t="s">
        <v>124</v>
      </c>
      <c r="M256" s="0" t="s">
        <v>50</v>
      </c>
      <c r="N256" s="0" t="n">
        <v>3</v>
      </c>
      <c r="O256" s="0" t="n">
        <v>1.3</v>
      </c>
      <c r="Q256" s="0" t="s">
        <v>52</v>
      </c>
      <c r="R256" s="0" t="s">
        <v>159</v>
      </c>
      <c r="S256" s="0" t="s">
        <v>54</v>
      </c>
      <c r="T256" s="0" t="n">
        <v>45</v>
      </c>
      <c r="U256" s="0" t="s">
        <v>96</v>
      </c>
      <c r="V256" s="0" t="s">
        <v>155</v>
      </c>
      <c r="W256" s="0" t="s">
        <v>78</v>
      </c>
      <c r="X256" s="0" t="s">
        <v>58</v>
      </c>
      <c r="Z256" s="0" t="s">
        <v>143</v>
      </c>
      <c r="AA256" s="0" t="n">
        <v>30000</v>
      </c>
      <c r="AB256" s="0" t="s">
        <v>178</v>
      </c>
      <c r="AC256" s="0" t="s">
        <v>82</v>
      </c>
      <c r="AD256" s="0" t="s">
        <v>115</v>
      </c>
      <c r="AE256" s="0" t="s">
        <v>80</v>
      </c>
      <c r="AF256" s="0" t="s">
        <v>752</v>
      </c>
      <c r="AG256" s="0" t="s">
        <v>50</v>
      </c>
      <c r="AH256" s="0" t="s">
        <v>171</v>
      </c>
      <c r="AI256" s="0" t="s">
        <v>117</v>
      </c>
      <c r="AK256" s="0" t="s">
        <v>82</v>
      </c>
      <c r="AL256" s="0" t="s">
        <v>63</v>
      </c>
      <c r="AM256" s="0" t="s">
        <v>83</v>
      </c>
      <c r="AN256" s="0" t="s">
        <v>198</v>
      </c>
    </row>
    <row r="257" customFormat="false" ht="15" hidden="false" customHeight="false" outlineLevel="0" collapsed="false">
      <c r="A257" s="1" t="n">
        <v>45768</v>
      </c>
      <c r="B257" s="0" t="s">
        <v>753</v>
      </c>
      <c r="C257" s="0" t="s">
        <v>121</v>
      </c>
      <c r="D257" s="0" t="n">
        <v>8043557605</v>
      </c>
      <c r="E257" s="0" t="s">
        <v>122</v>
      </c>
      <c r="F257" s="0" t="s">
        <v>754</v>
      </c>
      <c r="G257" s="0" t="s">
        <v>69</v>
      </c>
      <c r="H257" s="0" t="s">
        <v>153</v>
      </c>
      <c r="I257" s="0" t="s">
        <v>154</v>
      </c>
      <c r="K257" s="0" t="n">
        <v>85653</v>
      </c>
      <c r="L257" s="0" t="s">
        <v>91</v>
      </c>
      <c r="M257" s="0" t="s">
        <v>63</v>
      </c>
      <c r="N257" s="0" t="n">
        <v>4</v>
      </c>
      <c r="O257" s="0" t="n">
        <v>1.9</v>
      </c>
      <c r="Q257" s="0" t="s">
        <v>73</v>
      </c>
      <c r="S257" s="0" t="s">
        <v>167</v>
      </c>
      <c r="T257" s="0" t="n">
        <v>30</v>
      </c>
      <c r="U257" s="0" t="s">
        <v>160</v>
      </c>
      <c r="V257" s="0" t="s">
        <v>56</v>
      </c>
      <c r="W257" s="0" t="s">
        <v>128</v>
      </c>
      <c r="X257" s="0" t="s">
        <v>58</v>
      </c>
      <c r="Y257" s="0" t="s">
        <v>59</v>
      </c>
      <c r="Z257" s="0" t="s">
        <v>161</v>
      </c>
      <c r="AA257" s="0" t="n">
        <v>30000</v>
      </c>
      <c r="AC257" s="0" t="s">
        <v>82</v>
      </c>
      <c r="AD257" s="0" t="s">
        <v>115</v>
      </c>
      <c r="AF257" s="1" t="n">
        <v>45937</v>
      </c>
      <c r="AG257" s="0" t="s">
        <v>50</v>
      </c>
      <c r="AH257" s="0" t="s">
        <v>116</v>
      </c>
      <c r="AJ257" s="0" t="s">
        <v>62</v>
      </c>
      <c r="AL257" s="0" t="s">
        <v>102</v>
      </c>
      <c r="AN257" s="0" t="s">
        <v>198</v>
      </c>
    </row>
    <row r="258" customFormat="false" ht="15" hidden="false" customHeight="false" outlineLevel="0" collapsed="false">
      <c r="A258" s="1" t="n">
        <v>45659</v>
      </c>
      <c r="B258" s="0" t="s">
        <v>755</v>
      </c>
      <c r="C258" s="0" t="s">
        <v>42</v>
      </c>
      <c r="D258" s="0" t="n">
        <v>8050629797</v>
      </c>
      <c r="E258" s="0" t="s">
        <v>85</v>
      </c>
      <c r="F258" s="0" t="s">
        <v>756</v>
      </c>
      <c r="G258" s="0" t="s">
        <v>134</v>
      </c>
      <c r="H258" s="0" t="s">
        <v>70</v>
      </c>
      <c r="I258" s="0" t="s">
        <v>189</v>
      </c>
      <c r="K258" s="0" t="n">
        <v>31951</v>
      </c>
      <c r="L258" s="0" t="s">
        <v>124</v>
      </c>
      <c r="M258" s="0" t="s">
        <v>50</v>
      </c>
      <c r="N258" s="0" t="n">
        <v>4</v>
      </c>
      <c r="O258" s="0" t="n">
        <v>3.2</v>
      </c>
      <c r="P258" s="0" t="s">
        <v>92</v>
      </c>
      <c r="Q258" s="0" t="s">
        <v>93</v>
      </c>
      <c r="R258" s="0" t="s">
        <v>94</v>
      </c>
      <c r="S258" s="0" t="s">
        <v>75</v>
      </c>
      <c r="T258" s="0" t="s">
        <v>127</v>
      </c>
      <c r="U258" s="0" t="s">
        <v>160</v>
      </c>
      <c r="V258" s="0" t="s">
        <v>77</v>
      </c>
      <c r="W258" s="0" t="s">
        <v>78</v>
      </c>
      <c r="X258" s="0" t="s">
        <v>58</v>
      </c>
      <c r="Y258" s="0" t="s">
        <v>197</v>
      </c>
      <c r="Z258" s="0" t="s">
        <v>143</v>
      </c>
      <c r="AA258" s="0" t="n">
        <v>40000</v>
      </c>
      <c r="AC258" s="0" t="s">
        <v>82</v>
      </c>
      <c r="AD258" s="0" t="n">
        <v>10000</v>
      </c>
      <c r="AG258" s="0" t="s">
        <v>61</v>
      </c>
      <c r="AI258" s="0" t="s">
        <v>172</v>
      </c>
      <c r="AM258" s="0" t="s">
        <v>64</v>
      </c>
      <c r="AN258" s="0" t="s">
        <v>190</v>
      </c>
    </row>
    <row r="259" customFormat="false" ht="15" hidden="false" customHeight="false" outlineLevel="0" collapsed="false">
      <c r="A259" s="0" t="s">
        <v>502</v>
      </c>
      <c r="B259" s="0" t="s">
        <v>757</v>
      </c>
      <c r="C259" s="0" t="s">
        <v>121</v>
      </c>
      <c r="D259" s="0" t="n">
        <v>8046838009</v>
      </c>
      <c r="E259" s="0" t="s">
        <v>43</v>
      </c>
      <c r="F259" s="0" t="s">
        <v>758</v>
      </c>
      <c r="G259" s="0" t="s">
        <v>134</v>
      </c>
      <c r="H259" s="0" t="s">
        <v>176</v>
      </c>
      <c r="I259" s="0" t="s">
        <v>89</v>
      </c>
      <c r="J259" s="0" t="s">
        <v>109</v>
      </c>
      <c r="K259" s="0" t="n">
        <v>112133</v>
      </c>
      <c r="L259" s="0" t="s">
        <v>124</v>
      </c>
      <c r="M259" s="0" t="s">
        <v>63</v>
      </c>
      <c r="N259" s="0" t="n">
        <v>3</v>
      </c>
      <c r="O259" s="0" t="n">
        <v>2.5</v>
      </c>
      <c r="Q259" s="0" t="s">
        <v>52</v>
      </c>
      <c r="R259" s="0" t="s">
        <v>53</v>
      </c>
      <c r="S259" s="0" t="s">
        <v>54</v>
      </c>
      <c r="U259" s="0" t="s">
        <v>160</v>
      </c>
      <c r="V259" s="0" t="s">
        <v>56</v>
      </c>
      <c r="W259" s="0" t="s">
        <v>98</v>
      </c>
      <c r="X259" s="0" t="s">
        <v>58</v>
      </c>
      <c r="Y259" s="0" t="s">
        <v>197</v>
      </c>
      <c r="Z259" s="0" t="s">
        <v>143</v>
      </c>
      <c r="AA259" s="0" t="n">
        <v>15000</v>
      </c>
      <c r="AC259" s="0" t="s">
        <v>63</v>
      </c>
      <c r="AE259" s="0" t="s">
        <v>60</v>
      </c>
      <c r="AF259" s="1" t="n">
        <v>45985</v>
      </c>
      <c r="AG259" s="0" t="s">
        <v>61</v>
      </c>
      <c r="AJ259" s="0" t="s">
        <v>50</v>
      </c>
      <c r="AK259" s="0" t="s">
        <v>82</v>
      </c>
      <c r="AL259" s="0" t="s">
        <v>63</v>
      </c>
      <c r="AM259" s="0" t="s">
        <v>103</v>
      </c>
      <c r="AN259" s="0" t="s">
        <v>50</v>
      </c>
    </row>
    <row r="260" customFormat="false" ht="15" hidden="false" customHeight="false" outlineLevel="0" collapsed="false">
      <c r="A260" s="1" t="n">
        <v>45963</v>
      </c>
      <c r="B260" s="0" t="s">
        <v>759</v>
      </c>
      <c r="C260" s="0" t="s">
        <v>163</v>
      </c>
      <c r="D260" s="0" t="n">
        <v>8035587594</v>
      </c>
      <c r="E260" s="0" t="s">
        <v>43</v>
      </c>
      <c r="F260" s="0" t="s">
        <v>760</v>
      </c>
      <c r="G260" s="0" t="s">
        <v>45</v>
      </c>
      <c r="I260" s="0" t="s">
        <v>189</v>
      </c>
      <c r="J260" s="0" t="s">
        <v>109</v>
      </c>
      <c r="K260" s="0" t="n">
        <v>105651</v>
      </c>
      <c r="L260" s="0" t="s">
        <v>91</v>
      </c>
      <c r="M260" s="0" t="s">
        <v>63</v>
      </c>
      <c r="N260" s="0" t="n">
        <v>2</v>
      </c>
      <c r="O260" s="0" t="n">
        <v>2.6</v>
      </c>
      <c r="P260" s="0" t="s">
        <v>111</v>
      </c>
      <c r="Q260" s="0" t="s">
        <v>52</v>
      </c>
      <c r="R260" s="0" t="s">
        <v>53</v>
      </c>
      <c r="S260" s="0" t="s">
        <v>54</v>
      </c>
      <c r="U260" s="0" t="s">
        <v>96</v>
      </c>
      <c r="V260" s="0" t="s">
        <v>148</v>
      </c>
      <c r="W260" s="0" t="s">
        <v>113</v>
      </c>
      <c r="X260" s="0" t="s">
        <v>99</v>
      </c>
      <c r="Y260" s="0" t="s">
        <v>197</v>
      </c>
      <c r="Z260" s="0" t="s">
        <v>79</v>
      </c>
      <c r="AA260" s="0" t="n">
        <v>40000</v>
      </c>
      <c r="AB260" s="0" t="n">
        <v>40000</v>
      </c>
      <c r="AC260" s="0" t="s">
        <v>63</v>
      </c>
      <c r="AE260" s="0" t="s">
        <v>184</v>
      </c>
      <c r="AI260" s="0" t="s">
        <v>101</v>
      </c>
      <c r="AJ260" s="0" t="s">
        <v>62</v>
      </c>
      <c r="AK260" s="0" t="s">
        <v>82</v>
      </c>
      <c r="AL260" s="0" t="s">
        <v>63</v>
      </c>
      <c r="AM260" s="0" t="s">
        <v>118</v>
      </c>
      <c r="AN260" s="0" t="s">
        <v>50</v>
      </c>
    </row>
    <row r="261" customFormat="false" ht="15" hidden="false" customHeight="false" outlineLevel="0" collapsed="false">
      <c r="A261" s="1" t="n">
        <v>45754</v>
      </c>
      <c r="B261" s="0" t="s">
        <v>761</v>
      </c>
      <c r="C261" s="0" t="s">
        <v>105</v>
      </c>
      <c r="D261" s="0" t="n">
        <v>8091072076</v>
      </c>
      <c r="E261" s="0" t="s">
        <v>139</v>
      </c>
      <c r="F261" s="0" t="s">
        <v>762</v>
      </c>
      <c r="G261" s="0" t="s">
        <v>45</v>
      </c>
      <c r="H261" s="0" t="s">
        <v>272</v>
      </c>
      <c r="I261" s="0" t="s">
        <v>89</v>
      </c>
      <c r="J261" s="0" t="s">
        <v>109</v>
      </c>
      <c r="K261" s="0" t="n">
        <v>86923</v>
      </c>
      <c r="L261" s="0" t="s">
        <v>72</v>
      </c>
      <c r="M261" s="0" t="s">
        <v>50</v>
      </c>
      <c r="N261" s="0" t="n">
        <v>4</v>
      </c>
      <c r="O261" s="0" t="n">
        <v>4.3</v>
      </c>
      <c r="P261" s="0" t="s">
        <v>92</v>
      </c>
      <c r="Q261" s="0" t="s">
        <v>52</v>
      </c>
      <c r="S261" s="0" t="s">
        <v>167</v>
      </c>
      <c r="T261" s="0" t="n">
        <v>60</v>
      </c>
      <c r="U261" s="0" t="s">
        <v>96</v>
      </c>
      <c r="V261" s="0" t="s">
        <v>97</v>
      </c>
      <c r="W261" s="0" t="s">
        <v>78</v>
      </c>
      <c r="X261" s="0" t="s">
        <v>196</v>
      </c>
      <c r="AA261" s="0" t="n">
        <v>40000</v>
      </c>
      <c r="AB261" s="0" t="n">
        <v>40000</v>
      </c>
      <c r="AC261" s="0" t="s">
        <v>61</v>
      </c>
      <c r="AD261" s="0" t="n">
        <v>10000</v>
      </c>
      <c r="AE261" s="0" t="s">
        <v>130</v>
      </c>
      <c r="AF261" s="1" t="n">
        <v>45950</v>
      </c>
      <c r="AG261" s="0" t="s">
        <v>50</v>
      </c>
      <c r="AJ261" s="0" t="s">
        <v>50</v>
      </c>
      <c r="AK261" s="0" t="s">
        <v>61</v>
      </c>
      <c r="AM261" s="0" t="s">
        <v>103</v>
      </c>
      <c r="AN261" s="0" t="s">
        <v>198</v>
      </c>
    </row>
    <row r="262" customFormat="false" ht="15" hidden="false" customHeight="false" outlineLevel="0" collapsed="false">
      <c r="A262" s="1" t="n">
        <v>45719</v>
      </c>
      <c r="B262" s="0" t="s">
        <v>763</v>
      </c>
      <c r="C262" s="0" t="s">
        <v>105</v>
      </c>
      <c r="D262" s="0" t="n">
        <v>8028503943</v>
      </c>
      <c r="E262" s="0" t="s">
        <v>67</v>
      </c>
      <c r="F262" s="0" t="s">
        <v>764</v>
      </c>
      <c r="G262" s="0" t="s">
        <v>87</v>
      </c>
      <c r="H262" s="0" t="s">
        <v>165</v>
      </c>
      <c r="I262" s="0" t="s">
        <v>47</v>
      </c>
      <c r="J262" s="0" t="s">
        <v>71</v>
      </c>
      <c r="K262" s="0" t="n">
        <v>108209</v>
      </c>
      <c r="L262" s="0" t="s">
        <v>110</v>
      </c>
      <c r="M262" s="0" t="s">
        <v>50</v>
      </c>
      <c r="N262" s="0" t="n">
        <v>3</v>
      </c>
      <c r="O262" s="0" t="n">
        <v>5.6</v>
      </c>
      <c r="P262" s="0" t="s">
        <v>51</v>
      </c>
      <c r="Q262" s="0" t="s">
        <v>73</v>
      </c>
      <c r="R262" s="0" t="s">
        <v>53</v>
      </c>
      <c r="S262" s="0" t="s">
        <v>75</v>
      </c>
      <c r="T262" s="0" t="n">
        <v>30</v>
      </c>
      <c r="U262" s="0" t="s">
        <v>55</v>
      </c>
      <c r="V262" s="0" t="s">
        <v>97</v>
      </c>
      <c r="W262" s="0" t="s">
        <v>128</v>
      </c>
      <c r="X262" s="0" t="s">
        <v>58</v>
      </c>
      <c r="Z262" s="0" t="s">
        <v>129</v>
      </c>
      <c r="AA262" s="0" t="n">
        <v>30000</v>
      </c>
      <c r="AB262" s="0" t="n">
        <v>35000</v>
      </c>
      <c r="AC262" s="0" t="s">
        <v>61</v>
      </c>
      <c r="AD262" s="0" t="s">
        <v>115</v>
      </c>
      <c r="AE262" s="0" t="s">
        <v>184</v>
      </c>
      <c r="AF262" s="1" t="n">
        <v>45940</v>
      </c>
      <c r="AG262" s="0" t="s">
        <v>82</v>
      </c>
      <c r="AH262" s="0" t="s">
        <v>171</v>
      </c>
      <c r="AI262" s="0" t="s">
        <v>117</v>
      </c>
      <c r="AJ262" s="0" t="s">
        <v>81</v>
      </c>
      <c r="AK262" s="0" t="s">
        <v>63</v>
      </c>
      <c r="AL262" s="0" t="s">
        <v>50</v>
      </c>
      <c r="AM262" s="0" t="s">
        <v>118</v>
      </c>
      <c r="AN262" s="0" t="s">
        <v>50</v>
      </c>
    </row>
    <row r="263" customFormat="false" ht="15" hidden="false" customHeight="false" outlineLevel="0" collapsed="false">
      <c r="A263" s="1" t="n">
        <v>45730</v>
      </c>
      <c r="B263" s="0" t="s">
        <v>765</v>
      </c>
      <c r="C263" s="0" t="s">
        <v>66</v>
      </c>
      <c r="D263" s="0" t="n">
        <v>8082897088</v>
      </c>
      <c r="E263" s="0" t="s">
        <v>139</v>
      </c>
      <c r="F263" s="0" t="s">
        <v>766</v>
      </c>
      <c r="G263" s="0" t="s">
        <v>45</v>
      </c>
      <c r="I263" s="0" t="s">
        <v>47</v>
      </c>
      <c r="J263" s="0" t="s">
        <v>109</v>
      </c>
      <c r="K263" s="0" t="n">
        <v>55645</v>
      </c>
      <c r="L263" s="0" t="s">
        <v>72</v>
      </c>
      <c r="M263" s="0" t="s">
        <v>63</v>
      </c>
      <c r="O263" s="0" t="n">
        <v>4.6</v>
      </c>
      <c r="P263" s="0" t="s">
        <v>92</v>
      </c>
      <c r="Q263" s="0" t="s">
        <v>93</v>
      </c>
      <c r="R263" s="0" t="s">
        <v>136</v>
      </c>
      <c r="S263" s="0" t="s">
        <v>167</v>
      </c>
      <c r="T263" s="0" t="n">
        <v>45</v>
      </c>
      <c r="U263" s="0" t="s">
        <v>96</v>
      </c>
      <c r="V263" s="0" t="s">
        <v>77</v>
      </c>
      <c r="W263" s="0" t="s">
        <v>113</v>
      </c>
      <c r="X263" s="0" t="s">
        <v>114</v>
      </c>
      <c r="Z263" s="0" t="s">
        <v>143</v>
      </c>
      <c r="AD263" s="0" t="n">
        <v>5000</v>
      </c>
      <c r="AE263" s="0" t="s">
        <v>60</v>
      </c>
      <c r="AG263" s="0" t="s">
        <v>50</v>
      </c>
      <c r="AI263" s="0" t="s">
        <v>172</v>
      </c>
      <c r="AJ263" s="0" t="s">
        <v>62</v>
      </c>
      <c r="AK263" s="0" t="s">
        <v>50</v>
      </c>
      <c r="AL263" s="0" t="s">
        <v>50</v>
      </c>
      <c r="AM263" s="0" t="s">
        <v>103</v>
      </c>
      <c r="AN263" s="0" t="s">
        <v>198</v>
      </c>
    </row>
    <row r="264" customFormat="false" ht="15" hidden="false" customHeight="false" outlineLevel="0" collapsed="false">
      <c r="A264" s="1" t="n">
        <v>45794</v>
      </c>
      <c r="B264" s="0" t="s">
        <v>767</v>
      </c>
      <c r="C264" s="0" t="s">
        <v>163</v>
      </c>
      <c r="D264" s="0" t="n">
        <v>8045049006</v>
      </c>
      <c r="E264" s="0" t="s">
        <v>139</v>
      </c>
      <c r="F264" s="0" t="s">
        <v>768</v>
      </c>
      <c r="G264" s="0" t="s">
        <v>45</v>
      </c>
      <c r="H264" s="0" t="s">
        <v>272</v>
      </c>
      <c r="I264" s="0" t="s">
        <v>154</v>
      </c>
      <c r="J264" s="0" t="s">
        <v>109</v>
      </c>
      <c r="K264" s="0" t="n">
        <v>97032</v>
      </c>
      <c r="L264" s="0" t="s">
        <v>124</v>
      </c>
      <c r="M264" s="0" t="s">
        <v>63</v>
      </c>
      <c r="N264" s="0" t="n">
        <v>2</v>
      </c>
      <c r="O264" s="0" t="n">
        <v>3.4</v>
      </c>
      <c r="Q264" s="0" t="s">
        <v>52</v>
      </c>
      <c r="S264" s="0" t="s">
        <v>95</v>
      </c>
      <c r="T264" s="0" t="n">
        <v>15</v>
      </c>
      <c r="U264" s="0" t="s">
        <v>96</v>
      </c>
      <c r="V264" s="0" t="s">
        <v>155</v>
      </c>
      <c r="W264" s="0" t="s">
        <v>113</v>
      </c>
      <c r="X264" s="0" t="s">
        <v>137</v>
      </c>
      <c r="Y264" s="0" t="s">
        <v>59</v>
      </c>
      <c r="Z264" s="0" t="s">
        <v>79</v>
      </c>
      <c r="AB264" s="0" t="n">
        <v>30000</v>
      </c>
      <c r="AC264" s="0" t="s">
        <v>61</v>
      </c>
      <c r="AD264" s="0" t="s">
        <v>115</v>
      </c>
      <c r="AE264" s="0" t="s">
        <v>80</v>
      </c>
      <c r="AF264" s="0" t="s">
        <v>215</v>
      </c>
      <c r="AG264" s="0" t="s">
        <v>61</v>
      </c>
      <c r="AH264" s="0" t="s">
        <v>116</v>
      </c>
      <c r="AI264" s="0" t="s">
        <v>101</v>
      </c>
      <c r="AJ264" s="0" t="s">
        <v>63</v>
      </c>
      <c r="AK264" s="0" t="s">
        <v>63</v>
      </c>
      <c r="AL264" s="0" t="s">
        <v>102</v>
      </c>
      <c r="AM264" s="0" t="s">
        <v>64</v>
      </c>
      <c r="AN264" s="0" t="s">
        <v>50</v>
      </c>
    </row>
    <row r="265" customFormat="false" ht="15" hidden="false" customHeight="false" outlineLevel="0" collapsed="false">
      <c r="A265" s="0" t="s">
        <v>433</v>
      </c>
      <c r="B265" s="0" t="s">
        <v>769</v>
      </c>
      <c r="C265" s="0" t="s">
        <v>121</v>
      </c>
      <c r="D265" s="0" t="n">
        <v>8011145397</v>
      </c>
      <c r="E265" s="0" t="s">
        <v>122</v>
      </c>
      <c r="F265" s="0" t="s">
        <v>770</v>
      </c>
      <c r="G265" s="0" t="s">
        <v>45</v>
      </c>
      <c r="H265" s="0" t="s">
        <v>46</v>
      </c>
      <c r="I265" s="0" t="s">
        <v>89</v>
      </c>
      <c r="J265" s="0" t="s">
        <v>48</v>
      </c>
      <c r="K265" s="0" t="n">
        <v>13149</v>
      </c>
      <c r="L265" s="0" t="s">
        <v>91</v>
      </c>
      <c r="M265" s="0" t="s">
        <v>63</v>
      </c>
      <c r="N265" s="0" t="n">
        <v>2</v>
      </c>
      <c r="O265" s="0" t="n">
        <v>5</v>
      </c>
      <c r="P265" s="0" t="s">
        <v>111</v>
      </c>
      <c r="Q265" s="0" t="s">
        <v>73</v>
      </c>
      <c r="R265" s="0" t="s">
        <v>159</v>
      </c>
      <c r="S265" s="0" t="s">
        <v>126</v>
      </c>
      <c r="T265" s="0" t="n">
        <v>45</v>
      </c>
      <c r="U265" s="0" t="s">
        <v>112</v>
      </c>
      <c r="V265" s="0" t="s">
        <v>155</v>
      </c>
      <c r="W265" s="0" t="s">
        <v>113</v>
      </c>
      <c r="X265" s="0" t="s">
        <v>114</v>
      </c>
      <c r="Z265" s="0" t="s">
        <v>129</v>
      </c>
      <c r="AA265" s="0" t="n">
        <v>25000</v>
      </c>
      <c r="AB265" s="0" t="n">
        <v>30000</v>
      </c>
      <c r="AC265" s="0" t="s">
        <v>63</v>
      </c>
      <c r="AD265" s="0" t="n">
        <v>10000</v>
      </c>
      <c r="AE265" s="0" t="s">
        <v>130</v>
      </c>
      <c r="AF265" s="0" t="s">
        <v>771</v>
      </c>
      <c r="AJ265" s="0" t="s">
        <v>63</v>
      </c>
      <c r="AL265" s="0" t="s">
        <v>50</v>
      </c>
      <c r="AN265" s="0" t="s">
        <v>63</v>
      </c>
    </row>
    <row r="266" customFormat="false" ht="15" hidden="false" customHeight="false" outlineLevel="0" collapsed="false">
      <c r="A266" s="1" t="n">
        <v>45774</v>
      </c>
      <c r="B266" s="0" t="s">
        <v>772</v>
      </c>
      <c r="C266" s="0" t="s">
        <v>42</v>
      </c>
      <c r="D266" s="0" t="n">
        <v>8050194740</v>
      </c>
      <c r="E266" s="0" t="s">
        <v>43</v>
      </c>
      <c r="F266" s="0" t="s">
        <v>773</v>
      </c>
      <c r="G266" s="0" t="s">
        <v>87</v>
      </c>
      <c r="H266" s="0" t="s">
        <v>135</v>
      </c>
      <c r="I266" s="0" t="s">
        <v>142</v>
      </c>
      <c r="J266" s="0" t="s">
        <v>109</v>
      </c>
      <c r="K266" s="0" t="n">
        <v>22120</v>
      </c>
      <c r="L266" s="0" t="s">
        <v>91</v>
      </c>
      <c r="M266" s="0" t="s">
        <v>63</v>
      </c>
      <c r="N266" s="0" t="n">
        <v>2</v>
      </c>
      <c r="O266" s="0" t="n">
        <v>3.6</v>
      </c>
      <c r="P266" s="0" t="s">
        <v>51</v>
      </c>
      <c r="Q266" s="0" t="s">
        <v>73</v>
      </c>
      <c r="R266" s="0" t="s">
        <v>53</v>
      </c>
      <c r="S266" s="0" t="s">
        <v>167</v>
      </c>
      <c r="U266" s="0" t="s">
        <v>76</v>
      </c>
      <c r="V266" s="0" t="s">
        <v>97</v>
      </c>
      <c r="W266" s="0" t="s">
        <v>78</v>
      </c>
      <c r="X266" s="0" t="s">
        <v>99</v>
      </c>
      <c r="Y266" s="0" t="s">
        <v>59</v>
      </c>
      <c r="Z266" s="0" t="s">
        <v>129</v>
      </c>
      <c r="AA266" s="0" t="n">
        <v>30000</v>
      </c>
      <c r="AB266" s="0" t="n">
        <v>20000</v>
      </c>
      <c r="AE266" s="0" t="s">
        <v>60</v>
      </c>
      <c r="AF266" s="0" t="s">
        <v>774</v>
      </c>
      <c r="AG266" s="0" t="s">
        <v>63</v>
      </c>
      <c r="AJ266" s="0" t="s">
        <v>62</v>
      </c>
      <c r="AL266" s="0" t="s">
        <v>63</v>
      </c>
      <c r="AM266" s="0" t="s">
        <v>64</v>
      </c>
      <c r="AN266" s="0" t="s">
        <v>198</v>
      </c>
    </row>
    <row r="267" customFormat="false" ht="15" hidden="false" customHeight="false" outlineLevel="0" collapsed="false">
      <c r="A267" s="1" t="n">
        <v>45964</v>
      </c>
      <c r="B267" s="0" t="s">
        <v>775</v>
      </c>
      <c r="C267" s="0" t="s">
        <v>66</v>
      </c>
      <c r="D267" s="0" t="n">
        <v>8047828631</v>
      </c>
      <c r="E267" s="0" t="s">
        <v>139</v>
      </c>
      <c r="F267" s="0" t="s">
        <v>776</v>
      </c>
      <c r="G267" s="0" t="s">
        <v>107</v>
      </c>
      <c r="H267" s="0" t="s">
        <v>242</v>
      </c>
      <c r="I267" s="0" t="s">
        <v>108</v>
      </c>
      <c r="J267" s="0" t="s">
        <v>90</v>
      </c>
      <c r="K267" s="0" t="n">
        <v>49687</v>
      </c>
      <c r="L267" s="0" t="s">
        <v>49</v>
      </c>
      <c r="M267" s="0" t="s">
        <v>63</v>
      </c>
      <c r="N267" s="0" t="n">
        <v>2</v>
      </c>
      <c r="O267" s="0" t="n">
        <v>1.5</v>
      </c>
      <c r="P267" s="0" t="s">
        <v>92</v>
      </c>
      <c r="Q267" s="0" t="s">
        <v>73</v>
      </c>
      <c r="R267" s="0" t="s">
        <v>53</v>
      </c>
      <c r="S267" s="0" t="s">
        <v>95</v>
      </c>
      <c r="T267" s="0" t="n">
        <v>15</v>
      </c>
      <c r="U267" s="0" t="s">
        <v>112</v>
      </c>
      <c r="V267" s="0" t="s">
        <v>77</v>
      </c>
      <c r="W267" s="0" t="s">
        <v>113</v>
      </c>
      <c r="X267" s="0" t="s">
        <v>196</v>
      </c>
      <c r="Y267" s="0" t="s">
        <v>59</v>
      </c>
      <c r="Z267" s="0" t="s">
        <v>149</v>
      </c>
      <c r="AA267" s="0" t="n">
        <v>40000</v>
      </c>
      <c r="AB267" s="0" t="n">
        <v>30000</v>
      </c>
      <c r="AC267" s="0" t="s">
        <v>63</v>
      </c>
      <c r="AD267" s="0" t="n">
        <v>0</v>
      </c>
      <c r="AE267" s="0" t="s">
        <v>80</v>
      </c>
      <c r="AF267" s="0" t="s">
        <v>325</v>
      </c>
      <c r="AI267" s="0" t="s">
        <v>101</v>
      </c>
      <c r="AJ267" s="0" t="s">
        <v>50</v>
      </c>
      <c r="AK267" s="0" t="s">
        <v>82</v>
      </c>
      <c r="AN267" s="0" t="s">
        <v>50</v>
      </c>
    </row>
    <row r="268" customFormat="false" ht="15" hidden="false" customHeight="false" outlineLevel="0" collapsed="false">
      <c r="A268" s="1" t="n">
        <v>45706</v>
      </c>
      <c r="B268" s="0" t="s">
        <v>777</v>
      </c>
      <c r="C268" s="0" t="s">
        <v>42</v>
      </c>
      <c r="D268" s="0" t="n">
        <v>8056524207</v>
      </c>
      <c r="E268" s="0" t="s">
        <v>67</v>
      </c>
      <c r="F268" s="0" t="s">
        <v>778</v>
      </c>
      <c r="G268" s="0" t="s">
        <v>45</v>
      </c>
      <c r="H268" s="0" t="s">
        <v>176</v>
      </c>
      <c r="I268" s="0" t="s">
        <v>189</v>
      </c>
      <c r="J268" s="0" t="s">
        <v>90</v>
      </c>
      <c r="K268" s="0" t="n">
        <v>36062</v>
      </c>
      <c r="L268" s="0" t="s">
        <v>49</v>
      </c>
      <c r="M268" s="0" t="s">
        <v>50</v>
      </c>
      <c r="N268" s="0" t="n">
        <v>5</v>
      </c>
      <c r="O268" s="0" t="n">
        <v>3.8</v>
      </c>
      <c r="P268" s="0" t="s">
        <v>111</v>
      </c>
      <c r="Q268" s="0" t="s">
        <v>73</v>
      </c>
      <c r="R268" s="0" t="s">
        <v>74</v>
      </c>
      <c r="S268" s="0" t="s">
        <v>75</v>
      </c>
      <c r="T268" s="0" t="n">
        <v>30</v>
      </c>
      <c r="U268" s="0" t="s">
        <v>160</v>
      </c>
      <c r="V268" s="0" t="s">
        <v>148</v>
      </c>
      <c r="W268" s="0" t="s">
        <v>78</v>
      </c>
      <c r="X268" s="0" t="s">
        <v>137</v>
      </c>
      <c r="Y268" s="0" t="s">
        <v>156</v>
      </c>
      <c r="Z268" s="0" t="s">
        <v>143</v>
      </c>
      <c r="AA268" s="0" t="n">
        <v>40000</v>
      </c>
      <c r="AB268" s="0" t="n">
        <v>35000</v>
      </c>
      <c r="AC268" s="0" t="s">
        <v>63</v>
      </c>
      <c r="AD268" s="0" t="s">
        <v>115</v>
      </c>
      <c r="AE268" s="0" t="s">
        <v>130</v>
      </c>
      <c r="AF268" s="1" t="n">
        <v>45864</v>
      </c>
      <c r="AG268" s="0" t="s">
        <v>61</v>
      </c>
      <c r="AI268" s="0" t="s">
        <v>117</v>
      </c>
      <c r="AJ268" s="0" t="s">
        <v>81</v>
      </c>
      <c r="AK268" s="0" t="s">
        <v>82</v>
      </c>
      <c r="AL268" s="0" t="s">
        <v>50</v>
      </c>
      <c r="AM268" s="0" t="s">
        <v>83</v>
      </c>
    </row>
    <row r="269" customFormat="false" ht="15" hidden="false" customHeight="false" outlineLevel="0" collapsed="false">
      <c r="A269" s="1" t="n">
        <v>45670</v>
      </c>
      <c r="B269" s="0" t="s">
        <v>779</v>
      </c>
      <c r="C269" s="0" t="s">
        <v>42</v>
      </c>
      <c r="D269" s="0" t="n">
        <v>8064198613</v>
      </c>
      <c r="E269" s="0" t="s">
        <v>85</v>
      </c>
      <c r="F269" s="0" t="s">
        <v>780</v>
      </c>
      <c r="G269" s="0" t="s">
        <v>107</v>
      </c>
      <c r="I269" s="0" t="s">
        <v>47</v>
      </c>
      <c r="K269" s="0" t="n">
        <v>72648</v>
      </c>
      <c r="L269" s="0" t="s">
        <v>72</v>
      </c>
      <c r="M269" s="0" t="s">
        <v>50</v>
      </c>
      <c r="N269" s="0" t="n">
        <v>2</v>
      </c>
      <c r="O269" s="0" t="n">
        <v>1.5</v>
      </c>
      <c r="P269" s="0" t="s">
        <v>92</v>
      </c>
      <c r="Q269" s="0" t="s">
        <v>52</v>
      </c>
      <c r="R269" s="0" t="s">
        <v>53</v>
      </c>
      <c r="S269" s="0" t="s">
        <v>54</v>
      </c>
      <c r="T269" s="0" t="s">
        <v>127</v>
      </c>
      <c r="U269" s="0" t="s">
        <v>160</v>
      </c>
      <c r="V269" s="0" t="s">
        <v>77</v>
      </c>
      <c r="W269" s="0" t="s">
        <v>57</v>
      </c>
      <c r="X269" s="0" t="s">
        <v>99</v>
      </c>
      <c r="Y269" s="0" t="s">
        <v>59</v>
      </c>
      <c r="AA269" s="0" t="n">
        <v>25000</v>
      </c>
      <c r="AC269" s="0" t="s">
        <v>61</v>
      </c>
      <c r="AD269" s="0" t="s">
        <v>115</v>
      </c>
      <c r="AE269" s="0" t="s">
        <v>80</v>
      </c>
      <c r="AF269" s="0" t="s">
        <v>781</v>
      </c>
      <c r="AH269" s="0" t="s">
        <v>171</v>
      </c>
      <c r="AI269" s="0" t="s">
        <v>172</v>
      </c>
      <c r="AJ269" s="0" t="s">
        <v>81</v>
      </c>
      <c r="AK269" s="0" t="s">
        <v>82</v>
      </c>
      <c r="AL269" s="0" t="s">
        <v>50</v>
      </c>
      <c r="AM269" s="0" t="s">
        <v>64</v>
      </c>
      <c r="AN269" s="0" t="s">
        <v>190</v>
      </c>
    </row>
    <row r="270" customFormat="false" ht="15" hidden="false" customHeight="false" outlineLevel="0" collapsed="false">
      <c r="A270" s="1" t="n">
        <v>45684</v>
      </c>
      <c r="B270" s="0" t="s">
        <v>782</v>
      </c>
      <c r="C270" s="0" t="s">
        <v>121</v>
      </c>
      <c r="D270" s="0" t="n">
        <v>8064459981</v>
      </c>
      <c r="E270" s="0" t="s">
        <v>67</v>
      </c>
      <c r="F270" s="0" t="s">
        <v>783</v>
      </c>
      <c r="G270" s="0" t="s">
        <v>87</v>
      </c>
      <c r="H270" s="0" t="s">
        <v>272</v>
      </c>
      <c r="I270" s="0" t="s">
        <v>108</v>
      </c>
      <c r="K270" s="0" t="n">
        <v>46331</v>
      </c>
      <c r="L270" s="0" t="s">
        <v>72</v>
      </c>
      <c r="M270" s="0" t="s">
        <v>50</v>
      </c>
      <c r="N270" s="0" t="n">
        <v>5</v>
      </c>
      <c r="O270" s="0" t="n">
        <v>3.1</v>
      </c>
      <c r="P270" s="0" t="s">
        <v>111</v>
      </c>
      <c r="Q270" s="0" t="s">
        <v>73</v>
      </c>
      <c r="R270" s="0" t="s">
        <v>94</v>
      </c>
      <c r="S270" s="0" t="s">
        <v>126</v>
      </c>
      <c r="U270" s="0" t="s">
        <v>76</v>
      </c>
      <c r="V270" s="0" t="s">
        <v>56</v>
      </c>
      <c r="W270" s="0" t="s">
        <v>98</v>
      </c>
      <c r="X270" s="0" t="s">
        <v>99</v>
      </c>
      <c r="Y270" s="0" t="s">
        <v>177</v>
      </c>
      <c r="Z270" s="0" t="s">
        <v>161</v>
      </c>
      <c r="AA270" s="0" t="s">
        <v>150</v>
      </c>
      <c r="AB270" s="0" t="s">
        <v>178</v>
      </c>
      <c r="AC270" s="0" t="s">
        <v>61</v>
      </c>
      <c r="AD270" s="0" t="n">
        <v>0</v>
      </c>
      <c r="AF270" s="0" t="s">
        <v>625</v>
      </c>
      <c r="AG270" s="0" t="s">
        <v>82</v>
      </c>
      <c r="AJ270" s="0" t="s">
        <v>63</v>
      </c>
      <c r="AM270" s="0" t="s">
        <v>83</v>
      </c>
      <c r="AN270" s="0" t="s">
        <v>50</v>
      </c>
    </row>
    <row r="271" customFormat="false" ht="15" hidden="false" customHeight="false" outlineLevel="0" collapsed="false">
      <c r="A271" s="1" t="n">
        <v>45770</v>
      </c>
      <c r="B271" s="0" t="s">
        <v>784</v>
      </c>
      <c r="C271" s="0" t="s">
        <v>121</v>
      </c>
      <c r="D271" s="0" t="n">
        <v>8087840078</v>
      </c>
      <c r="E271" s="0" t="s">
        <v>122</v>
      </c>
      <c r="F271" s="0" t="s">
        <v>785</v>
      </c>
      <c r="G271" s="0" t="s">
        <v>134</v>
      </c>
      <c r="H271" s="0" t="s">
        <v>242</v>
      </c>
      <c r="I271" s="0" t="s">
        <v>89</v>
      </c>
      <c r="J271" s="0" t="s">
        <v>71</v>
      </c>
      <c r="K271" s="0" t="n">
        <v>95688</v>
      </c>
      <c r="L271" s="0" t="s">
        <v>110</v>
      </c>
      <c r="M271" s="0" t="s">
        <v>63</v>
      </c>
      <c r="N271" s="0" t="n">
        <v>2</v>
      </c>
      <c r="O271" s="0" t="n">
        <v>3.4</v>
      </c>
      <c r="P271" s="0" t="s">
        <v>92</v>
      </c>
      <c r="Q271" s="0" t="s">
        <v>52</v>
      </c>
      <c r="R271" s="0" t="s">
        <v>159</v>
      </c>
      <c r="S271" s="0" t="s">
        <v>167</v>
      </c>
      <c r="T271" s="0" t="s">
        <v>127</v>
      </c>
      <c r="U271" s="0" t="s">
        <v>76</v>
      </c>
      <c r="V271" s="0" t="s">
        <v>77</v>
      </c>
      <c r="W271" s="0" t="s">
        <v>128</v>
      </c>
      <c r="X271" s="0" t="s">
        <v>58</v>
      </c>
      <c r="Y271" s="0" t="s">
        <v>59</v>
      </c>
      <c r="Z271" s="0" t="s">
        <v>143</v>
      </c>
      <c r="AA271" s="0" t="n">
        <v>30000</v>
      </c>
      <c r="AB271" s="0" t="n">
        <v>20000</v>
      </c>
      <c r="AC271" s="0" t="s">
        <v>63</v>
      </c>
      <c r="AD271" s="0" t="n">
        <v>0</v>
      </c>
      <c r="AE271" s="0" t="s">
        <v>80</v>
      </c>
      <c r="AG271" s="0" t="s">
        <v>61</v>
      </c>
      <c r="AJ271" s="0" t="s">
        <v>81</v>
      </c>
      <c r="AK271" s="0" t="s">
        <v>61</v>
      </c>
      <c r="AL271" s="0" t="s">
        <v>63</v>
      </c>
      <c r="AM271" s="0" t="s">
        <v>118</v>
      </c>
      <c r="AN271" s="0" t="s">
        <v>50</v>
      </c>
    </row>
    <row r="272" customFormat="false" ht="15" hidden="false" customHeight="false" outlineLevel="0" collapsed="false">
      <c r="A272" s="1" t="n">
        <v>45696</v>
      </c>
      <c r="B272" s="0" t="s">
        <v>786</v>
      </c>
      <c r="C272" s="0" t="s">
        <v>121</v>
      </c>
      <c r="D272" s="0" t="n">
        <v>8097954019</v>
      </c>
      <c r="E272" s="0" t="s">
        <v>43</v>
      </c>
      <c r="F272" s="0" t="s">
        <v>787</v>
      </c>
      <c r="G272" s="0" t="s">
        <v>45</v>
      </c>
      <c r="H272" s="0" t="s">
        <v>165</v>
      </c>
      <c r="I272" s="0" t="s">
        <v>189</v>
      </c>
      <c r="J272" s="0" t="s">
        <v>90</v>
      </c>
      <c r="K272" s="0" t="n">
        <v>106327</v>
      </c>
      <c r="L272" s="0" t="s">
        <v>124</v>
      </c>
      <c r="M272" s="0" t="s">
        <v>63</v>
      </c>
      <c r="N272" s="0" t="n">
        <v>1</v>
      </c>
      <c r="O272" s="0" t="n">
        <v>2.5</v>
      </c>
      <c r="P272" s="0" t="s">
        <v>111</v>
      </c>
      <c r="Q272" s="0" t="s">
        <v>52</v>
      </c>
      <c r="R272" s="0" t="s">
        <v>136</v>
      </c>
      <c r="S272" s="0" t="s">
        <v>126</v>
      </c>
      <c r="T272" s="0" t="s">
        <v>127</v>
      </c>
      <c r="U272" s="0" t="s">
        <v>160</v>
      </c>
      <c r="V272" s="0" t="s">
        <v>56</v>
      </c>
      <c r="W272" s="0" t="s">
        <v>113</v>
      </c>
      <c r="X272" s="0" t="s">
        <v>99</v>
      </c>
      <c r="Y272" s="0" t="s">
        <v>197</v>
      </c>
      <c r="Z272" s="0" t="s">
        <v>149</v>
      </c>
      <c r="AA272" s="0" t="n">
        <v>15000</v>
      </c>
      <c r="AC272" s="0" t="s">
        <v>61</v>
      </c>
      <c r="AD272" s="0" t="n">
        <v>5000</v>
      </c>
      <c r="AE272" s="0" t="s">
        <v>184</v>
      </c>
      <c r="AG272" s="0" t="s">
        <v>63</v>
      </c>
      <c r="AH272" s="0" t="s">
        <v>171</v>
      </c>
      <c r="AI272" s="0" t="s">
        <v>101</v>
      </c>
      <c r="AJ272" s="0" t="s">
        <v>63</v>
      </c>
      <c r="AK272" s="0" t="s">
        <v>63</v>
      </c>
      <c r="AN272" s="0" t="s">
        <v>198</v>
      </c>
    </row>
    <row r="273" customFormat="false" ht="15" hidden="false" customHeight="false" outlineLevel="0" collapsed="false">
      <c r="A273" s="0" t="s">
        <v>788</v>
      </c>
      <c r="B273" s="0" t="s">
        <v>789</v>
      </c>
      <c r="C273" s="0" t="s">
        <v>163</v>
      </c>
      <c r="D273" s="0" t="n">
        <v>8011595945</v>
      </c>
      <c r="E273" s="0" t="s">
        <v>67</v>
      </c>
      <c r="F273" s="0" t="s">
        <v>790</v>
      </c>
      <c r="G273" s="0" t="s">
        <v>134</v>
      </c>
      <c r="H273" s="0" t="s">
        <v>153</v>
      </c>
      <c r="I273" s="0" t="s">
        <v>142</v>
      </c>
      <c r="K273" s="0" t="n">
        <v>77027</v>
      </c>
      <c r="L273" s="0" t="s">
        <v>49</v>
      </c>
      <c r="M273" s="0" t="s">
        <v>63</v>
      </c>
      <c r="N273" s="0" t="n">
        <v>2</v>
      </c>
      <c r="O273" s="0" t="n">
        <v>5.3</v>
      </c>
      <c r="Q273" s="0" t="s">
        <v>73</v>
      </c>
      <c r="R273" s="0" t="s">
        <v>136</v>
      </c>
      <c r="S273" s="0" t="s">
        <v>75</v>
      </c>
      <c r="U273" s="0" t="s">
        <v>96</v>
      </c>
      <c r="V273" s="0" t="s">
        <v>155</v>
      </c>
      <c r="W273" s="0" t="s">
        <v>57</v>
      </c>
      <c r="X273" s="0" t="s">
        <v>114</v>
      </c>
      <c r="Z273" s="0" t="s">
        <v>143</v>
      </c>
      <c r="AA273" s="0" t="n">
        <v>15000</v>
      </c>
      <c r="AB273" s="0" t="n">
        <v>40000</v>
      </c>
      <c r="AC273" s="0" t="s">
        <v>82</v>
      </c>
      <c r="AD273" s="0" t="s">
        <v>115</v>
      </c>
      <c r="AE273" s="0" t="s">
        <v>80</v>
      </c>
      <c r="AF273" s="1" t="n">
        <v>45849</v>
      </c>
      <c r="AG273" s="0" t="s">
        <v>63</v>
      </c>
      <c r="AH273" s="0" t="s">
        <v>116</v>
      </c>
      <c r="AI273" s="0" t="s">
        <v>172</v>
      </c>
      <c r="AJ273" s="0" t="s">
        <v>62</v>
      </c>
      <c r="AK273" s="0" t="s">
        <v>61</v>
      </c>
      <c r="AL273" s="0" t="s">
        <v>50</v>
      </c>
      <c r="AN273" s="0" t="s">
        <v>63</v>
      </c>
    </row>
    <row r="274" customFormat="false" ht="15" hidden="false" customHeight="false" outlineLevel="0" collapsed="false">
      <c r="A274" s="0" t="s">
        <v>791</v>
      </c>
      <c r="B274" s="0" t="s">
        <v>792</v>
      </c>
      <c r="C274" s="0" t="s">
        <v>163</v>
      </c>
      <c r="D274" s="0" t="n">
        <v>8073351303</v>
      </c>
      <c r="E274" s="0" t="s">
        <v>43</v>
      </c>
      <c r="F274" s="0" t="s">
        <v>793</v>
      </c>
      <c r="G274" s="0" t="s">
        <v>107</v>
      </c>
      <c r="H274" s="0" t="s">
        <v>146</v>
      </c>
      <c r="I274" s="0" t="s">
        <v>142</v>
      </c>
      <c r="J274" s="0" t="s">
        <v>71</v>
      </c>
      <c r="K274" s="0" t="n">
        <v>35277</v>
      </c>
      <c r="L274" s="0" t="s">
        <v>49</v>
      </c>
      <c r="M274" s="0" t="s">
        <v>50</v>
      </c>
      <c r="N274" s="0" t="n">
        <v>1</v>
      </c>
      <c r="O274" s="0" t="n">
        <v>3.5</v>
      </c>
      <c r="Q274" s="0" t="s">
        <v>73</v>
      </c>
      <c r="R274" s="0" t="s">
        <v>74</v>
      </c>
      <c r="S274" s="0" t="s">
        <v>126</v>
      </c>
      <c r="T274" s="0" t="n">
        <v>30</v>
      </c>
      <c r="U274" s="0" t="s">
        <v>96</v>
      </c>
      <c r="V274" s="0" t="s">
        <v>97</v>
      </c>
      <c r="W274" s="0" t="s">
        <v>113</v>
      </c>
      <c r="X274" s="0" t="s">
        <v>99</v>
      </c>
      <c r="Z274" s="0" t="s">
        <v>149</v>
      </c>
      <c r="AA274" s="0" t="n">
        <v>15000</v>
      </c>
      <c r="AB274" s="0" t="n">
        <v>30000</v>
      </c>
      <c r="AC274" s="0" t="s">
        <v>50</v>
      </c>
      <c r="AD274" s="0" t="n">
        <v>5000</v>
      </c>
      <c r="AE274" s="0" t="s">
        <v>80</v>
      </c>
      <c r="AF274" s="1" t="n">
        <v>45824</v>
      </c>
      <c r="AH274" s="0" t="s">
        <v>171</v>
      </c>
      <c r="AI274" s="0" t="s">
        <v>172</v>
      </c>
      <c r="AK274" s="0" t="s">
        <v>50</v>
      </c>
      <c r="AL274" s="0" t="s">
        <v>63</v>
      </c>
      <c r="AM274" s="0" t="s">
        <v>83</v>
      </c>
      <c r="AN274" s="0" t="s">
        <v>50</v>
      </c>
    </row>
    <row r="275" customFormat="false" ht="15" hidden="false" customHeight="false" outlineLevel="0" collapsed="false">
      <c r="A275" s="1" t="n">
        <v>45840</v>
      </c>
      <c r="B275" s="0" t="s">
        <v>794</v>
      </c>
      <c r="C275" s="0" t="s">
        <v>163</v>
      </c>
      <c r="D275" s="0" t="n">
        <v>8097790612</v>
      </c>
      <c r="E275" s="0" t="s">
        <v>85</v>
      </c>
      <c r="F275" s="0" t="s">
        <v>795</v>
      </c>
      <c r="G275" s="0" t="s">
        <v>45</v>
      </c>
      <c r="H275" s="0" t="s">
        <v>165</v>
      </c>
      <c r="I275" s="0" t="s">
        <v>189</v>
      </c>
      <c r="K275" s="0" t="n">
        <v>17430</v>
      </c>
      <c r="L275" s="0" t="s">
        <v>91</v>
      </c>
      <c r="M275" s="0" t="s">
        <v>50</v>
      </c>
      <c r="N275" s="0" t="n">
        <v>2</v>
      </c>
      <c r="O275" s="0" t="n">
        <v>4.7</v>
      </c>
      <c r="P275" s="0" t="s">
        <v>111</v>
      </c>
      <c r="Q275" s="0" t="s">
        <v>73</v>
      </c>
      <c r="R275" s="0" t="s">
        <v>94</v>
      </c>
      <c r="S275" s="0" t="s">
        <v>147</v>
      </c>
      <c r="T275" s="0" t="s">
        <v>127</v>
      </c>
      <c r="U275" s="0" t="s">
        <v>76</v>
      </c>
      <c r="V275" s="0" t="s">
        <v>97</v>
      </c>
      <c r="W275" s="0" t="s">
        <v>57</v>
      </c>
      <c r="X275" s="0" t="s">
        <v>114</v>
      </c>
      <c r="Y275" s="0" t="s">
        <v>156</v>
      </c>
      <c r="Z275" s="0" t="s">
        <v>161</v>
      </c>
      <c r="AA275" s="0" t="n">
        <v>15000</v>
      </c>
      <c r="AB275" s="0" t="n">
        <v>20000</v>
      </c>
      <c r="AD275" s="0" t="n">
        <v>0</v>
      </c>
      <c r="AE275" s="0" t="s">
        <v>130</v>
      </c>
      <c r="AF275" s="1" t="n">
        <v>46015</v>
      </c>
      <c r="AG275" s="0" t="s">
        <v>50</v>
      </c>
      <c r="AH275" s="0" t="s">
        <v>171</v>
      </c>
      <c r="AI275" s="0" t="s">
        <v>172</v>
      </c>
      <c r="AJ275" s="0" t="s">
        <v>62</v>
      </c>
      <c r="AM275" s="0" t="s">
        <v>103</v>
      </c>
      <c r="AN275" s="0" t="s">
        <v>63</v>
      </c>
    </row>
    <row r="276" customFormat="false" ht="15" hidden="false" customHeight="false" outlineLevel="0" collapsed="false">
      <c r="A276" s="0" t="s">
        <v>796</v>
      </c>
      <c r="B276" s="0" t="s">
        <v>797</v>
      </c>
      <c r="C276" s="0" t="s">
        <v>66</v>
      </c>
      <c r="D276" s="0" t="n">
        <v>8078806311</v>
      </c>
      <c r="E276" s="0" t="s">
        <v>85</v>
      </c>
      <c r="F276" s="0" t="s">
        <v>798</v>
      </c>
      <c r="G276" s="0" t="s">
        <v>107</v>
      </c>
      <c r="I276" s="0" t="s">
        <v>89</v>
      </c>
      <c r="J276" s="0" t="s">
        <v>90</v>
      </c>
      <c r="K276" s="0" t="n">
        <v>90226</v>
      </c>
      <c r="L276" s="0" t="s">
        <v>91</v>
      </c>
      <c r="M276" s="0" t="s">
        <v>50</v>
      </c>
      <c r="N276" s="0" t="n">
        <v>3</v>
      </c>
      <c r="O276" s="0" t="n">
        <v>3.2</v>
      </c>
      <c r="Q276" s="0" t="s">
        <v>73</v>
      </c>
      <c r="R276" s="0" t="s">
        <v>94</v>
      </c>
      <c r="S276" s="0" t="s">
        <v>147</v>
      </c>
      <c r="T276" s="0" t="s">
        <v>127</v>
      </c>
      <c r="U276" s="0" t="s">
        <v>160</v>
      </c>
      <c r="V276" s="0" t="s">
        <v>77</v>
      </c>
      <c r="W276" s="0" t="s">
        <v>78</v>
      </c>
      <c r="X276" s="0" t="s">
        <v>196</v>
      </c>
      <c r="Y276" s="0" t="s">
        <v>156</v>
      </c>
      <c r="Z276" s="0" t="s">
        <v>79</v>
      </c>
      <c r="AA276" s="0" t="n">
        <v>30000</v>
      </c>
      <c r="AB276" s="0" t="n">
        <v>40000</v>
      </c>
      <c r="AC276" s="0" t="s">
        <v>63</v>
      </c>
      <c r="AD276" s="0" t="n">
        <v>5000</v>
      </c>
      <c r="AE276" s="0" t="s">
        <v>80</v>
      </c>
      <c r="AF276" s="1" t="n">
        <v>45993</v>
      </c>
      <c r="AG276" s="0" t="s">
        <v>50</v>
      </c>
      <c r="AH276" s="0" t="s">
        <v>171</v>
      </c>
      <c r="AJ276" s="0" t="s">
        <v>81</v>
      </c>
      <c r="AK276" s="0" t="s">
        <v>82</v>
      </c>
      <c r="AL276" s="0" t="s">
        <v>102</v>
      </c>
      <c r="AM276" s="0" t="s">
        <v>83</v>
      </c>
      <c r="AN276" s="0" t="s">
        <v>190</v>
      </c>
    </row>
    <row r="277" customFormat="false" ht="15" hidden="false" customHeight="false" outlineLevel="0" collapsed="false">
      <c r="A277" s="0" t="s">
        <v>799</v>
      </c>
      <c r="B277" s="0" t="s">
        <v>800</v>
      </c>
      <c r="C277" s="0" t="s">
        <v>42</v>
      </c>
      <c r="D277" s="0" t="n">
        <v>8030036175</v>
      </c>
      <c r="E277" s="0" t="s">
        <v>85</v>
      </c>
      <c r="F277" s="0" t="s">
        <v>801</v>
      </c>
      <c r="G277" s="0" t="s">
        <v>134</v>
      </c>
      <c r="H277" s="0" t="s">
        <v>70</v>
      </c>
      <c r="I277" s="0" t="s">
        <v>154</v>
      </c>
      <c r="J277" s="0" t="s">
        <v>109</v>
      </c>
      <c r="K277" s="0" t="n">
        <v>117904</v>
      </c>
      <c r="L277" s="0" t="s">
        <v>124</v>
      </c>
      <c r="M277" s="0" t="s">
        <v>50</v>
      </c>
      <c r="N277" s="0" t="n">
        <v>4</v>
      </c>
      <c r="O277" s="0" t="n">
        <v>2.9</v>
      </c>
      <c r="P277" s="0" t="s">
        <v>92</v>
      </c>
      <c r="Q277" s="0" t="s">
        <v>52</v>
      </c>
      <c r="R277" s="0" t="s">
        <v>74</v>
      </c>
      <c r="S277" s="0" t="s">
        <v>95</v>
      </c>
      <c r="T277" s="0" t="n">
        <v>60</v>
      </c>
      <c r="U277" s="0" t="s">
        <v>112</v>
      </c>
      <c r="V277" s="0" t="s">
        <v>97</v>
      </c>
      <c r="W277" s="0" t="s">
        <v>78</v>
      </c>
      <c r="X277" s="0" t="s">
        <v>58</v>
      </c>
      <c r="Y277" s="0" t="s">
        <v>177</v>
      </c>
      <c r="Z277" s="0" t="s">
        <v>79</v>
      </c>
      <c r="AA277" s="0" t="n">
        <v>25000</v>
      </c>
      <c r="AB277" s="0" t="s">
        <v>178</v>
      </c>
      <c r="AC277" s="0" t="s">
        <v>61</v>
      </c>
      <c r="AD277" s="0" t="n">
        <v>0</v>
      </c>
      <c r="AE277" s="0" t="s">
        <v>130</v>
      </c>
      <c r="AF277" s="0" t="s">
        <v>802</v>
      </c>
      <c r="AJ277" s="0" t="s">
        <v>63</v>
      </c>
      <c r="AK277" s="0" t="s">
        <v>50</v>
      </c>
      <c r="AL277" s="0" t="s">
        <v>50</v>
      </c>
      <c r="AM277" s="0" t="s">
        <v>83</v>
      </c>
      <c r="AN277" s="0" t="s">
        <v>50</v>
      </c>
    </row>
    <row r="278" customFormat="false" ht="15" hidden="false" customHeight="false" outlineLevel="0" collapsed="false">
      <c r="A278" s="1" t="n">
        <v>45659</v>
      </c>
      <c r="B278" s="0" t="s">
        <v>803</v>
      </c>
      <c r="C278" s="0" t="s">
        <v>121</v>
      </c>
      <c r="D278" s="0" t="n">
        <v>8063352256</v>
      </c>
      <c r="E278" s="0" t="s">
        <v>67</v>
      </c>
      <c r="F278" s="0" t="s">
        <v>804</v>
      </c>
      <c r="G278" s="0" t="s">
        <v>107</v>
      </c>
      <c r="H278" s="0" t="s">
        <v>165</v>
      </c>
      <c r="I278" s="0" t="s">
        <v>108</v>
      </c>
      <c r="J278" s="0" t="s">
        <v>90</v>
      </c>
      <c r="K278" s="0" t="n">
        <v>35733</v>
      </c>
      <c r="L278" s="0" t="s">
        <v>124</v>
      </c>
      <c r="M278" s="0" t="s">
        <v>50</v>
      </c>
      <c r="N278" s="0" t="n">
        <v>5</v>
      </c>
      <c r="O278" s="0" t="n">
        <v>1.8</v>
      </c>
      <c r="P278" s="0" t="s">
        <v>51</v>
      </c>
      <c r="Q278" s="0" t="s">
        <v>93</v>
      </c>
      <c r="R278" s="0" t="s">
        <v>159</v>
      </c>
      <c r="S278" s="0" t="s">
        <v>75</v>
      </c>
      <c r="T278" s="0" t="n">
        <v>30</v>
      </c>
      <c r="U278" s="0" t="s">
        <v>55</v>
      </c>
      <c r="V278" s="0" t="s">
        <v>77</v>
      </c>
      <c r="W278" s="0" t="s">
        <v>128</v>
      </c>
      <c r="X278" s="0" t="s">
        <v>114</v>
      </c>
      <c r="Y278" s="0" t="s">
        <v>59</v>
      </c>
      <c r="Z278" s="0" t="s">
        <v>161</v>
      </c>
      <c r="AA278" s="0" t="n">
        <v>30000</v>
      </c>
      <c r="AB278" s="0" t="n">
        <v>40000</v>
      </c>
      <c r="AC278" s="0" t="s">
        <v>50</v>
      </c>
      <c r="AD278" s="0" t="s">
        <v>115</v>
      </c>
      <c r="AF278" s="0" t="s">
        <v>805</v>
      </c>
      <c r="AG278" s="0" t="s">
        <v>82</v>
      </c>
      <c r="AH278" s="0" t="s">
        <v>116</v>
      </c>
      <c r="AI278" s="0" t="s">
        <v>172</v>
      </c>
      <c r="AK278" s="0" t="s">
        <v>82</v>
      </c>
      <c r="AM278" s="0" t="s">
        <v>83</v>
      </c>
      <c r="AN278" s="0" t="s">
        <v>50</v>
      </c>
    </row>
    <row r="279" customFormat="false" ht="15" hidden="false" customHeight="false" outlineLevel="0" collapsed="false">
      <c r="A279" s="1" t="n">
        <v>45771</v>
      </c>
      <c r="B279" s="0" t="s">
        <v>806</v>
      </c>
      <c r="C279" s="0" t="s">
        <v>121</v>
      </c>
      <c r="D279" s="0" t="n">
        <v>8040545068</v>
      </c>
      <c r="E279" s="0" t="s">
        <v>139</v>
      </c>
      <c r="F279" s="0" t="s">
        <v>807</v>
      </c>
      <c r="G279" s="0" t="s">
        <v>87</v>
      </c>
      <c r="H279" s="0" t="s">
        <v>146</v>
      </c>
      <c r="I279" s="0" t="s">
        <v>47</v>
      </c>
      <c r="J279" s="0" t="s">
        <v>71</v>
      </c>
      <c r="K279" s="0" t="n">
        <v>10643</v>
      </c>
      <c r="L279" s="0" t="s">
        <v>49</v>
      </c>
      <c r="M279" s="0" t="s">
        <v>50</v>
      </c>
      <c r="N279" s="0" t="n">
        <v>1</v>
      </c>
      <c r="O279" s="0" t="n">
        <v>5</v>
      </c>
      <c r="P279" s="0" t="s">
        <v>51</v>
      </c>
      <c r="Q279" s="0" t="s">
        <v>73</v>
      </c>
      <c r="R279" s="0" t="s">
        <v>159</v>
      </c>
      <c r="S279" s="0" t="s">
        <v>75</v>
      </c>
      <c r="T279" s="0" t="n">
        <v>45</v>
      </c>
      <c r="U279" s="0" t="s">
        <v>76</v>
      </c>
      <c r="V279" s="0" t="s">
        <v>56</v>
      </c>
      <c r="W279" s="0" t="s">
        <v>78</v>
      </c>
      <c r="X279" s="0" t="s">
        <v>99</v>
      </c>
      <c r="Y279" s="0" t="s">
        <v>197</v>
      </c>
      <c r="Z279" s="0" t="s">
        <v>143</v>
      </c>
      <c r="AA279" s="0" t="n">
        <v>30000</v>
      </c>
      <c r="AB279" s="0" t="n">
        <v>40000</v>
      </c>
      <c r="AC279" s="0" t="s">
        <v>82</v>
      </c>
      <c r="AE279" s="0" t="s">
        <v>130</v>
      </c>
      <c r="AG279" s="0" t="s">
        <v>50</v>
      </c>
      <c r="AI279" s="0" t="s">
        <v>172</v>
      </c>
      <c r="AJ279" s="0" t="s">
        <v>50</v>
      </c>
      <c r="AK279" s="0" t="s">
        <v>61</v>
      </c>
      <c r="AM279" s="0" t="s">
        <v>83</v>
      </c>
      <c r="AN279" s="0" t="s">
        <v>50</v>
      </c>
    </row>
    <row r="280" customFormat="false" ht="15" hidden="false" customHeight="false" outlineLevel="0" collapsed="false">
      <c r="A280" s="1" t="n">
        <v>45791</v>
      </c>
      <c r="B280" s="0" t="s">
        <v>808</v>
      </c>
      <c r="C280" s="0" t="s">
        <v>121</v>
      </c>
      <c r="D280" s="0" t="n">
        <v>8040457532</v>
      </c>
      <c r="E280" s="0" t="s">
        <v>67</v>
      </c>
      <c r="F280" s="0" t="s">
        <v>809</v>
      </c>
      <c r="G280" s="0" t="s">
        <v>69</v>
      </c>
      <c r="H280" s="0" t="s">
        <v>170</v>
      </c>
      <c r="I280" s="0" t="s">
        <v>108</v>
      </c>
      <c r="J280" s="0" t="s">
        <v>90</v>
      </c>
      <c r="K280" s="0" t="n">
        <v>85569</v>
      </c>
      <c r="L280" s="0" t="s">
        <v>166</v>
      </c>
      <c r="M280" s="0" t="s">
        <v>63</v>
      </c>
      <c r="N280" s="0" t="n">
        <v>2</v>
      </c>
      <c r="O280" s="0" t="n">
        <v>3.9</v>
      </c>
      <c r="P280" s="0" t="s">
        <v>51</v>
      </c>
      <c r="Q280" s="0" t="s">
        <v>93</v>
      </c>
      <c r="R280" s="0" t="s">
        <v>74</v>
      </c>
      <c r="S280" s="0" t="s">
        <v>126</v>
      </c>
      <c r="T280" s="0" t="n">
        <v>45</v>
      </c>
      <c r="U280" s="0" t="s">
        <v>160</v>
      </c>
      <c r="V280" s="0" t="s">
        <v>148</v>
      </c>
      <c r="W280" s="0" t="s">
        <v>113</v>
      </c>
      <c r="X280" s="0" t="s">
        <v>58</v>
      </c>
      <c r="Y280" s="0" t="s">
        <v>59</v>
      </c>
      <c r="Z280" s="0" t="s">
        <v>161</v>
      </c>
      <c r="AA280" s="0" t="s">
        <v>150</v>
      </c>
      <c r="AB280" s="0" t="n">
        <v>30000</v>
      </c>
      <c r="AC280" s="0" t="s">
        <v>63</v>
      </c>
      <c r="AD280" s="0" t="n">
        <v>10000</v>
      </c>
      <c r="AE280" s="0" t="s">
        <v>60</v>
      </c>
      <c r="AG280" s="0" t="s">
        <v>63</v>
      </c>
      <c r="AH280" s="0" t="s">
        <v>116</v>
      </c>
      <c r="AJ280" s="0" t="s">
        <v>62</v>
      </c>
      <c r="AK280" s="0" t="s">
        <v>82</v>
      </c>
      <c r="AL280" s="0" t="s">
        <v>50</v>
      </c>
      <c r="AM280" s="0" t="s">
        <v>83</v>
      </c>
      <c r="AN280" s="0" t="s">
        <v>63</v>
      </c>
    </row>
    <row r="281" customFormat="false" ht="15" hidden="false" customHeight="false" outlineLevel="0" collapsed="false">
      <c r="A281" s="1" t="n">
        <v>45757</v>
      </c>
      <c r="B281" s="0" t="s">
        <v>810</v>
      </c>
      <c r="C281" s="0" t="s">
        <v>163</v>
      </c>
      <c r="D281" s="0" t="n">
        <v>8038168948</v>
      </c>
      <c r="E281" s="0" t="s">
        <v>43</v>
      </c>
      <c r="F281" s="0" t="s">
        <v>811</v>
      </c>
      <c r="G281" s="0" t="s">
        <v>45</v>
      </c>
      <c r="I281" s="0" t="s">
        <v>154</v>
      </c>
      <c r="J281" s="0" t="s">
        <v>90</v>
      </c>
      <c r="K281" s="0" t="n">
        <v>64471</v>
      </c>
      <c r="L281" s="0" t="s">
        <v>49</v>
      </c>
      <c r="M281" s="0" t="s">
        <v>63</v>
      </c>
      <c r="N281" s="0" t="n">
        <v>2</v>
      </c>
      <c r="O281" s="0" t="n">
        <v>1.3</v>
      </c>
      <c r="Q281" s="0" t="s">
        <v>73</v>
      </c>
      <c r="R281" s="0" t="s">
        <v>94</v>
      </c>
      <c r="S281" s="0" t="s">
        <v>147</v>
      </c>
      <c r="T281" s="0" t="n">
        <v>30</v>
      </c>
      <c r="U281" s="0" t="s">
        <v>96</v>
      </c>
      <c r="V281" s="0" t="s">
        <v>148</v>
      </c>
      <c r="W281" s="0" t="s">
        <v>98</v>
      </c>
      <c r="X281" s="0" t="s">
        <v>137</v>
      </c>
      <c r="Y281" s="0" t="s">
        <v>197</v>
      </c>
      <c r="Z281" s="0" t="s">
        <v>161</v>
      </c>
      <c r="AA281" s="0" t="n">
        <v>40000</v>
      </c>
      <c r="AB281" s="0" t="n">
        <v>40000</v>
      </c>
      <c r="AC281" s="0" t="s">
        <v>63</v>
      </c>
      <c r="AD281" s="0" t="n">
        <v>0</v>
      </c>
      <c r="AF281" s="1" t="n">
        <v>45835</v>
      </c>
      <c r="AG281" s="0" t="s">
        <v>63</v>
      </c>
      <c r="AH281" s="0" t="s">
        <v>116</v>
      </c>
      <c r="AK281" s="0" t="s">
        <v>61</v>
      </c>
      <c r="AL281" s="0" t="s">
        <v>50</v>
      </c>
      <c r="AM281" s="0" t="s">
        <v>83</v>
      </c>
      <c r="AN281" s="0" t="s">
        <v>50</v>
      </c>
    </row>
    <row r="282" customFormat="false" ht="15" hidden="false" customHeight="false" outlineLevel="0" collapsed="false">
      <c r="A282" s="1" t="n">
        <v>45698</v>
      </c>
      <c r="B282" s="0" t="s">
        <v>812</v>
      </c>
      <c r="C282" s="0" t="s">
        <v>163</v>
      </c>
      <c r="D282" s="0" t="n">
        <v>8073678024</v>
      </c>
      <c r="E282" s="0" t="s">
        <v>139</v>
      </c>
      <c r="F282" s="0" t="s">
        <v>813</v>
      </c>
      <c r="G282" s="0" t="s">
        <v>134</v>
      </c>
      <c r="H282" s="0" t="s">
        <v>146</v>
      </c>
      <c r="I282" s="0" t="s">
        <v>89</v>
      </c>
      <c r="J282" s="0" t="s">
        <v>71</v>
      </c>
      <c r="K282" s="0" t="n">
        <v>71616</v>
      </c>
      <c r="L282" s="0" t="s">
        <v>124</v>
      </c>
      <c r="M282" s="0" t="s">
        <v>63</v>
      </c>
      <c r="N282" s="0" t="n">
        <v>1</v>
      </c>
      <c r="O282" s="0" t="n">
        <v>2.6</v>
      </c>
      <c r="Q282" s="0" t="s">
        <v>73</v>
      </c>
      <c r="S282" s="0" t="s">
        <v>75</v>
      </c>
      <c r="T282" s="0" t="s">
        <v>127</v>
      </c>
      <c r="U282" s="0" t="s">
        <v>76</v>
      </c>
      <c r="V282" s="0" t="s">
        <v>148</v>
      </c>
      <c r="W282" s="0" t="s">
        <v>57</v>
      </c>
      <c r="X282" s="0" t="s">
        <v>137</v>
      </c>
      <c r="Y282" s="0" t="s">
        <v>177</v>
      </c>
      <c r="Z282" s="0" t="s">
        <v>129</v>
      </c>
      <c r="AB282" s="0" t="n">
        <v>35000</v>
      </c>
      <c r="AC282" s="0" t="s">
        <v>82</v>
      </c>
      <c r="AD282" s="0" t="s">
        <v>115</v>
      </c>
      <c r="AE282" s="0" t="s">
        <v>60</v>
      </c>
      <c r="AG282" s="0" t="s">
        <v>63</v>
      </c>
      <c r="AJ282" s="0" t="s">
        <v>81</v>
      </c>
      <c r="AK282" s="0" t="s">
        <v>61</v>
      </c>
      <c r="AL282" s="0" t="s">
        <v>63</v>
      </c>
      <c r="AM282" s="0" t="s">
        <v>64</v>
      </c>
      <c r="AN282" s="0" t="s">
        <v>63</v>
      </c>
    </row>
    <row r="283" customFormat="false" ht="15" hidden="false" customHeight="false" outlineLevel="0" collapsed="false">
      <c r="A283" s="1" t="n">
        <v>45668</v>
      </c>
      <c r="B283" s="0" t="s">
        <v>814</v>
      </c>
      <c r="C283" s="0" t="s">
        <v>163</v>
      </c>
      <c r="D283" s="0" t="n">
        <v>8041369795</v>
      </c>
      <c r="E283" s="0" t="s">
        <v>139</v>
      </c>
      <c r="F283" s="0" t="s">
        <v>815</v>
      </c>
      <c r="G283" s="0" t="s">
        <v>45</v>
      </c>
      <c r="H283" s="0" t="s">
        <v>135</v>
      </c>
      <c r="I283" s="0" t="s">
        <v>154</v>
      </c>
      <c r="J283" s="0" t="s">
        <v>90</v>
      </c>
      <c r="K283" s="0" t="n">
        <v>20832</v>
      </c>
      <c r="L283" s="0" t="s">
        <v>91</v>
      </c>
      <c r="M283" s="0" t="s">
        <v>50</v>
      </c>
      <c r="N283" s="0" t="n">
        <v>2</v>
      </c>
      <c r="O283" s="0" t="n">
        <v>2</v>
      </c>
      <c r="P283" s="0" t="s">
        <v>92</v>
      </c>
      <c r="Q283" s="0" t="s">
        <v>93</v>
      </c>
      <c r="R283" s="0" t="s">
        <v>94</v>
      </c>
      <c r="S283" s="0" t="s">
        <v>167</v>
      </c>
      <c r="T283" s="0" t="n">
        <v>45</v>
      </c>
      <c r="U283" s="0" t="s">
        <v>76</v>
      </c>
      <c r="V283" s="0" t="s">
        <v>155</v>
      </c>
      <c r="W283" s="0" t="s">
        <v>57</v>
      </c>
      <c r="X283" s="0" t="s">
        <v>196</v>
      </c>
      <c r="Y283" s="0" t="s">
        <v>197</v>
      </c>
      <c r="Z283" s="0" t="s">
        <v>161</v>
      </c>
      <c r="AA283" s="0" t="n">
        <v>25000</v>
      </c>
      <c r="AB283" s="0" t="n">
        <v>40000</v>
      </c>
      <c r="AD283" s="0" t="n">
        <v>10000</v>
      </c>
      <c r="AE283" s="0" t="s">
        <v>60</v>
      </c>
      <c r="AF283" s="0" t="s">
        <v>816</v>
      </c>
      <c r="AI283" s="0" t="s">
        <v>172</v>
      </c>
      <c r="AK283" s="0" t="s">
        <v>61</v>
      </c>
      <c r="AN283" s="0" t="s">
        <v>50</v>
      </c>
    </row>
    <row r="284" customFormat="false" ht="15" hidden="false" customHeight="false" outlineLevel="0" collapsed="false">
      <c r="A284" s="1" t="n">
        <v>45752</v>
      </c>
      <c r="B284" s="0" t="s">
        <v>817</v>
      </c>
      <c r="C284" s="0" t="s">
        <v>121</v>
      </c>
      <c r="D284" s="0" t="n">
        <v>8079232906</v>
      </c>
      <c r="E284" s="0" t="s">
        <v>122</v>
      </c>
      <c r="F284" s="0" t="s">
        <v>818</v>
      </c>
      <c r="G284" s="0" t="s">
        <v>87</v>
      </c>
      <c r="H284" s="0" t="s">
        <v>170</v>
      </c>
      <c r="I284" s="0" t="s">
        <v>108</v>
      </c>
      <c r="J284" s="0" t="s">
        <v>109</v>
      </c>
      <c r="K284" s="0" t="n">
        <v>37579</v>
      </c>
      <c r="L284" s="0" t="s">
        <v>166</v>
      </c>
      <c r="M284" s="0" t="s">
        <v>50</v>
      </c>
      <c r="N284" s="0" t="n">
        <v>1</v>
      </c>
      <c r="O284" s="0" t="n">
        <v>3</v>
      </c>
      <c r="P284" s="0" t="s">
        <v>125</v>
      </c>
      <c r="Q284" s="0" t="s">
        <v>52</v>
      </c>
      <c r="R284" s="0" t="s">
        <v>94</v>
      </c>
      <c r="S284" s="0" t="s">
        <v>126</v>
      </c>
      <c r="U284" s="0" t="s">
        <v>112</v>
      </c>
      <c r="V284" s="0" t="s">
        <v>77</v>
      </c>
      <c r="W284" s="0" t="s">
        <v>78</v>
      </c>
      <c r="X284" s="0" t="s">
        <v>196</v>
      </c>
      <c r="Y284" s="0" t="s">
        <v>177</v>
      </c>
      <c r="AC284" s="0" t="s">
        <v>82</v>
      </c>
      <c r="AD284" s="0" t="s">
        <v>115</v>
      </c>
      <c r="AE284" s="0" t="s">
        <v>80</v>
      </c>
      <c r="AF284" s="0" t="s">
        <v>819</v>
      </c>
      <c r="AG284" s="0" t="s">
        <v>63</v>
      </c>
      <c r="AJ284" s="0" t="s">
        <v>81</v>
      </c>
      <c r="AK284" s="0" t="s">
        <v>82</v>
      </c>
      <c r="AL284" s="0" t="s">
        <v>63</v>
      </c>
      <c r="AM284" s="0" t="s">
        <v>64</v>
      </c>
      <c r="AN284" s="0" t="s">
        <v>190</v>
      </c>
    </row>
    <row r="285" customFormat="false" ht="15" hidden="false" customHeight="false" outlineLevel="0" collapsed="false">
      <c r="A285" s="1" t="n">
        <v>45671</v>
      </c>
      <c r="B285" s="0" t="s">
        <v>820</v>
      </c>
      <c r="C285" s="0" t="s">
        <v>105</v>
      </c>
      <c r="D285" s="0" t="n">
        <v>8088786294</v>
      </c>
      <c r="E285" s="0" t="s">
        <v>85</v>
      </c>
      <c r="F285" s="0" t="s">
        <v>821</v>
      </c>
      <c r="G285" s="0" t="s">
        <v>69</v>
      </c>
      <c r="H285" s="0" t="s">
        <v>146</v>
      </c>
      <c r="I285" s="0" t="s">
        <v>89</v>
      </c>
      <c r="J285" s="0" t="s">
        <v>109</v>
      </c>
      <c r="K285" s="0" t="n">
        <v>100016</v>
      </c>
      <c r="L285" s="0" t="s">
        <v>91</v>
      </c>
      <c r="M285" s="0" t="s">
        <v>63</v>
      </c>
      <c r="N285" s="0" t="n">
        <v>2</v>
      </c>
      <c r="O285" s="0" t="n">
        <v>3.9</v>
      </c>
      <c r="P285" s="0" t="s">
        <v>92</v>
      </c>
      <c r="Q285" s="0" t="s">
        <v>52</v>
      </c>
      <c r="R285" s="0" t="s">
        <v>159</v>
      </c>
      <c r="S285" s="0" t="s">
        <v>75</v>
      </c>
      <c r="T285" s="0" t="n">
        <v>60</v>
      </c>
      <c r="U285" s="0" t="s">
        <v>160</v>
      </c>
      <c r="V285" s="0" t="s">
        <v>56</v>
      </c>
      <c r="W285" s="0" t="s">
        <v>98</v>
      </c>
      <c r="X285" s="0" t="s">
        <v>137</v>
      </c>
      <c r="Y285" s="0" t="s">
        <v>177</v>
      </c>
      <c r="Z285" s="0" t="s">
        <v>143</v>
      </c>
      <c r="AB285" s="0" t="n">
        <v>20000</v>
      </c>
      <c r="AC285" s="0" t="s">
        <v>63</v>
      </c>
      <c r="AD285" s="0" t="n">
        <v>0</v>
      </c>
      <c r="AE285" s="0" t="s">
        <v>130</v>
      </c>
      <c r="AF285" s="1" t="n">
        <v>45850</v>
      </c>
      <c r="AG285" s="0" t="s">
        <v>63</v>
      </c>
      <c r="AH285" s="0" t="s">
        <v>171</v>
      </c>
      <c r="AJ285" s="0" t="s">
        <v>50</v>
      </c>
      <c r="AK285" s="0" t="s">
        <v>50</v>
      </c>
      <c r="AL285" s="0" t="s">
        <v>102</v>
      </c>
      <c r="AN285" s="0" t="s">
        <v>63</v>
      </c>
    </row>
    <row r="286" customFormat="false" ht="15" hidden="false" customHeight="false" outlineLevel="0" collapsed="false">
      <c r="A286" s="1" t="n">
        <v>45718</v>
      </c>
      <c r="B286" s="0" t="s">
        <v>822</v>
      </c>
      <c r="C286" s="0" t="s">
        <v>42</v>
      </c>
      <c r="D286" s="0" t="n">
        <v>8084170763</v>
      </c>
      <c r="E286" s="0" t="s">
        <v>67</v>
      </c>
      <c r="F286" s="0" t="s">
        <v>823</v>
      </c>
      <c r="G286" s="0" t="s">
        <v>87</v>
      </c>
      <c r="H286" s="0" t="s">
        <v>88</v>
      </c>
      <c r="I286" s="0" t="s">
        <v>142</v>
      </c>
      <c r="J286" s="0" t="s">
        <v>48</v>
      </c>
      <c r="K286" s="0" t="n">
        <v>87789</v>
      </c>
      <c r="L286" s="0" t="s">
        <v>110</v>
      </c>
      <c r="M286" s="0" t="s">
        <v>50</v>
      </c>
      <c r="N286" s="0" t="n">
        <v>2</v>
      </c>
      <c r="O286" s="0" t="n">
        <v>3.9</v>
      </c>
      <c r="P286" s="0" t="s">
        <v>92</v>
      </c>
      <c r="Q286" s="0" t="s">
        <v>73</v>
      </c>
      <c r="R286" s="0" t="s">
        <v>74</v>
      </c>
      <c r="S286" s="0" t="s">
        <v>54</v>
      </c>
      <c r="T286" s="0" t="n">
        <v>45</v>
      </c>
      <c r="U286" s="0" t="s">
        <v>55</v>
      </c>
      <c r="V286" s="0" t="s">
        <v>155</v>
      </c>
      <c r="W286" s="0" t="s">
        <v>78</v>
      </c>
      <c r="X286" s="0" t="s">
        <v>114</v>
      </c>
      <c r="Y286" s="0" t="s">
        <v>177</v>
      </c>
      <c r="Z286" s="0" t="s">
        <v>149</v>
      </c>
      <c r="AA286" s="0" t="n">
        <v>40000</v>
      </c>
      <c r="AB286" s="0" t="n">
        <v>20000</v>
      </c>
      <c r="AC286" s="0" t="s">
        <v>63</v>
      </c>
      <c r="AD286" s="0" t="n">
        <v>5000</v>
      </c>
      <c r="AE286" s="0" t="s">
        <v>60</v>
      </c>
      <c r="AF286" s="1" t="n">
        <v>45909</v>
      </c>
      <c r="AG286" s="0" t="s">
        <v>61</v>
      </c>
      <c r="AH286" s="0" t="s">
        <v>171</v>
      </c>
      <c r="AI286" s="0" t="s">
        <v>101</v>
      </c>
      <c r="AJ286" s="0" t="s">
        <v>63</v>
      </c>
      <c r="AK286" s="0" t="s">
        <v>61</v>
      </c>
      <c r="AL286" s="0" t="s">
        <v>63</v>
      </c>
      <c r="AM286" s="0" t="s">
        <v>64</v>
      </c>
      <c r="AN286" s="0" t="s">
        <v>50</v>
      </c>
    </row>
    <row r="287" customFormat="false" ht="15" hidden="false" customHeight="false" outlineLevel="0" collapsed="false">
      <c r="A287" s="1" t="n">
        <v>45769</v>
      </c>
      <c r="B287" s="0" t="s">
        <v>824</v>
      </c>
      <c r="C287" s="0" t="s">
        <v>163</v>
      </c>
      <c r="D287" s="0" t="n">
        <v>8072912993</v>
      </c>
      <c r="E287" s="0" t="s">
        <v>122</v>
      </c>
      <c r="F287" s="0" t="s">
        <v>825</v>
      </c>
      <c r="G287" s="0" t="s">
        <v>107</v>
      </c>
      <c r="H287" s="0" t="s">
        <v>88</v>
      </c>
      <c r="I287" s="0" t="s">
        <v>108</v>
      </c>
      <c r="K287" s="0" t="n">
        <v>75518</v>
      </c>
      <c r="L287" s="0" t="s">
        <v>110</v>
      </c>
      <c r="M287" s="0" t="s">
        <v>63</v>
      </c>
      <c r="N287" s="0" t="n">
        <v>3</v>
      </c>
      <c r="O287" s="0" t="n">
        <v>5.4</v>
      </c>
      <c r="P287" s="0" t="s">
        <v>111</v>
      </c>
      <c r="Q287" s="0" t="s">
        <v>73</v>
      </c>
      <c r="R287" s="0" t="s">
        <v>94</v>
      </c>
      <c r="S287" s="0" t="s">
        <v>126</v>
      </c>
      <c r="T287" s="0" t="n">
        <v>60</v>
      </c>
      <c r="U287" s="0" t="s">
        <v>112</v>
      </c>
      <c r="V287" s="0" t="s">
        <v>155</v>
      </c>
      <c r="W287" s="0" t="s">
        <v>57</v>
      </c>
      <c r="X287" s="0" t="s">
        <v>137</v>
      </c>
      <c r="Y287" s="0" t="s">
        <v>59</v>
      </c>
      <c r="AA287" s="0" t="s">
        <v>150</v>
      </c>
      <c r="AB287" s="0" t="n">
        <v>30000</v>
      </c>
      <c r="AC287" s="0" t="s">
        <v>61</v>
      </c>
      <c r="AD287" s="0" t="n">
        <v>0</v>
      </c>
      <c r="AG287" s="0" t="s">
        <v>50</v>
      </c>
      <c r="AH287" s="0" t="s">
        <v>116</v>
      </c>
      <c r="AI287" s="0" t="s">
        <v>117</v>
      </c>
      <c r="AJ287" s="0" t="s">
        <v>50</v>
      </c>
      <c r="AK287" s="0" t="s">
        <v>50</v>
      </c>
      <c r="AN287" s="0" t="s">
        <v>50</v>
      </c>
    </row>
    <row r="288" customFormat="false" ht="15" hidden="false" customHeight="false" outlineLevel="0" collapsed="false">
      <c r="A288" s="0" t="s">
        <v>553</v>
      </c>
      <c r="B288" s="0" t="s">
        <v>826</v>
      </c>
      <c r="C288" s="0" t="s">
        <v>42</v>
      </c>
      <c r="D288" s="0" t="n">
        <v>8071928212</v>
      </c>
      <c r="E288" s="0" t="s">
        <v>43</v>
      </c>
      <c r="F288" s="0" t="s">
        <v>827</v>
      </c>
      <c r="G288" s="0" t="s">
        <v>134</v>
      </c>
      <c r="H288" s="0" t="s">
        <v>135</v>
      </c>
      <c r="I288" s="0" t="s">
        <v>154</v>
      </c>
      <c r="J288" s="0" t="s">
        <v>109</v>
      </c>
      <c r="K288" s="0" t="n">
        <v>22180</v>
      </c>
      <c r="L288" s="0" t="s">
        <v>124</v>
      </c>
      <c r="M288" s="0" t="s">
        <v>63</v>
      </c>
      <c r="N288" s="0" t="n">
        <v>4</v>
      </c>
      <c r="O288" s="0" t="n">
        <v>4.1</v>
      </c>
      <c r="Q288" s="0" t="s">
        <v>93</v>
      </c>
      <c r="R288" s="0" t="s">
        <v>53</v>
      </c>
      <c r="S288" s="0" t="s">
        <v>75</v>
      </c>
      <c r="T288" s="0" t="s">
        <v>127</v>
      </c>
      <c r="U288" s="0" t="s">
        <v>96</v>
      </c>
      <c r="V288" s="0" t="s">
        <v>97</v>
      </c>
      <c r="W288" s="0" t="s">
        <v>98</v>
      </c>
      <c r="X288" s="0" t="s">
        <v>58</v>
      </c>
      <c r="Y288" s="0" t="s">
        <v>59</v>
      </c>
      <c r="Z288" s="0" t="s">
        <v>149</v>
      </c>
      <c r="AA288" s="0" t="s">
        <v>150</v>
      </c>
      <c r="AB288" s="0" t="n">
        <v>30000</v>
      </c>
      <c r="AC288" s="0" t="s">
        <v>82</v>
      </c>
      <c r="AD288" s="0" t="n">
        <v>0</v>
      </c>
      <c r="AE288" s="0" t="s">
        <v>130</v>
      </c>
      <c r="AF288" s="1" t="n">
        <v>45844</v>
      </c>
      <c r="AG288" s="0" t="s">
        <v>50</v>
      </c>
      <c r="AJ288" s="0" t="s">
        <v>62</v>
      </c>
      <c r="AK288" s="0" t="s">
        <v>63</v>
      </c>
      <c r="AL288" s="0" t="s">
        <v>50</v>
      </c>
      <c r="AM288" s="0" t="s">
        <v>118</v>
      </c>
      <c r="AN288" s="0" t="s">
        <v>50</v>
      </c>
    </row>
    <row r="289" customFormat="false" ht="15" hidden="false" customHeight="false" outlineLevel="0" collapsed="false">
      <c r="A289" s="1" t="n">
        <v>45668</v>
      </c>
      <c r="B289" s="0" t="s">
        <v>828</v>
      </c>
      <c r="C289" s="0" t="s">
        <v>121</v>
      </c>
      <c r="D289" s="0" t="n">
        <v>8055722553</v>
      </c>
      <c r="E289" s="0" t="s">
        <v>122</v>
      </c>
      <c r="F289" s="0" t="s">
        <v>829</v>
      </c>
      <c r="G289" s="0" t="s">
        <v>107</v>
      </c>
      <c r="H289" s="0" t="s">
        <v>70</v>
      </c>
      <c r="I289" s="0" t="s">
        <v>154</v>
      </c>
      <c r="K289" s="0" t="n">
        <v>89783</v>
      </c>
      <c r="L289" s="0" t="s">
        <v>166</v>
      </c>
      <c r="M289" s="0" t="s">
        <v>63</v>
      </c>
      <c r="N289" s="0" t="n">
        <v>4</v>
      </c>
      <c r="O289" s="0" t="n">
        <v>3.2</v>
      </c>
      <c r="P289" s="0" t="s">
        <v>51</v>
      </c>
      <c r="Q289" s="0" t="s">
        <v>73</v>
      </c>
      <c r="R289" s="0" t="s">
        <v>74</v>
      </c>
      <c r="S289" s="0" t="s">
        <v>167</v>
      </c>
      <c r="U289" s="0" t="s">
        <v>160</v>
      </c>
      <c r="V289" s="0" t="s">
        <v>77</v>
      </c>
      <c r="W289" s="0" t="s">
        <v>113</v>
      </c>
      <c r="X289" s="0" t="s">
        <v>99</v>
      </c>
      <c r="Y289" s="0" t="s">
        <v>177</v>
      </c>
      <c r="AA289" s="0" t="s">
        <v>150</v>
      </c>
      <c r="AB289" s="0" t="n">
        <v>40000</v>
      </c>
      <c r="AC289" s="0" t="s">
        <v>63</v>
      </c>
      <c r="AE289" s="0" t="s">
        <v>60</v>
      </c>
      <c r="AF289" s="1" t="n">
        <v>45823</v>
      </c>
      <c r="AG289" s="0" t="s">
        <v>82</v>
      </c>
      <c r="AI289" s="0" t="s">
        <v>117</v>
      </c>
      <c r="AJ289" s="0" t="s">
        <v>50</v>
      </c>
      <c r="AK289" s="0" t="s">
        <v>50</v>
      </c>
      <c r="AL289" s="0" t="s">
        <v>50</v>
      </c>
      <c r="AM289" s="0" t="s">
        <v>103</v>
      </c>
      <c r="AN289" s="0" t="s">
        <v>198</v>
      </c>
    </row>
    <row r="290" customFormat="false" ht="15" hidden="false" customHeight="false" outlineLevel="0" collapsed="false">
      <c r="A290" s="1" t="n">
        <v>45694</v>
      </c>
      <c r="B290" s="0" t="s">
        <v>830</v>
      </c>
      <c r="C290" s="0" t="s">
        <v>163</v>
      </c>
      <c r="D290" s="0" t="n">
        <v>8021526062</v>
      </c>
      <c r="E290" s="0" t="s">
        <v>85</v>
      </c>
      <c r="F290" s="0" t="s">
        <v>831</v>
      </c>
      <c r="G290" s="0" t="s">
        <v>69</v>
      </c>
      <c r="H290" s="0" t="s">
        <v>146</v>
      </c>
      <c r="I290" s="0" t="s">
        <v>108</v>
      </c>
      <c r="K290" s="0" t="n">
        <v>25095</v>
      </c>
      <c r="L290" s="0" t="s">
        <v>91</v>
      </c>
      <c r="M290" s="0" t="s">
        <v>50</v>
      </c>
      <c r="N290" s="0" t="n">
        <v>4</v>
      </c>
      <c r="O290" s="0" t="n">
        <v>5.9</v>
      </c>
      <c r="P290" s="0" t="s">
        <v>92</v>
      </c>
      <c r="Q290" s="0" t="s">
        <v>93</v>
      </c>
      <c r="S290" s="0" t="s">
        <v>95</v>
      </c>
      <c r="T290" s="0" t="n">
        <v>30</v>
      </c>
      <c r="U290" s="0" t="s">
        <v>96</v>
      </c>
      <c r="V290" s="0" t="s">
        <v>148</v>
      </c>
      <c r="W290" s="0" t="s">
        <v>113</v>
      </c>
      <c r="X290" s="0" t="s">
        <v>99</v>
      </c>
      <c r="Z290" s="0" t="s">
        <v>129</v>
      </c>
      <c r="AA290" s="0" t="n">
        <v>25000</v>
      </c>
      <c r="AB290" s="0" t="s">
        <v>178</v>
      </c>
      <c r="AC290" s="0" t="s">
        <v>50</v>
      </c>
      <c r="AD290" s="0" t="s">
        <v>115</v>
      </c>
      <c r="AE290" s="0" t="s">
        <v>60</v>
      </c>
      <c r="AF290" s="1" t="n">
        <v>45897</v>
      </c>
      <c r="AJ290" s="0" t="s">
        <v>81</v>
      </c>
      <c r="AK290" s="0" t="s">
        <v>50</v>
      </c>
      <c r="AL290" s="0" t="s">
        <v>63</v>
      </c>
      <c r="AM290" s="0" t="s">
        <v>118</v>
      </c>
      <c r="AN290" s="0" t="s">
        <v>190</v>
      </c>
    </row>
    <row r="291" customFormat="false" ht="15" hidden="false" customHeight="false" outlineLevel="0" collapsed="false">
      <c r="A291" s="1" t="n">
        <v>45780</v>
      </c>
      <c r="B291" s="0" t="s">
        <v>832</v>
      </c>
      <c r="C291" s="0" t="s">
        <v>66</v>
      </c>
      <c r="D291" s="0" t="n">
        <v>8052020192</v>
      </c>
      <c r="E291" s="0" t="s">
        <v>122</v>
      </c>
      <c r="F291" s="0" t="s">
        <v>833</v>
      </c>
      <c r="G291" s="0" t="s">
        <v>134</v>
      </c>
      <c r="H291" s="0" t="s">
        <v>272</v>
      </c>
      <c r="I291" s="0" t="s">
        <v>142</v>
      </c>
      <c r="J291" s="0" t="s">
        <v>109</v>
      </c>
      <c r="K291" s="0" t="n">
        <v>29029</v>
      </c>
      <c r="L291" s="0" t="s">
        <v>72</v>
      </c>
      <c r="M291" s="0" t="s">
        <v>63</v>
      </c>
      <c r="N291" s="0" t="n">
        <v>1</v>
      </c>
      <c r="O291" s="0" t="n">
        <v>2.7</v>
      </c>
      <c r="P291" s="0" t="s">
        <v>125</v>
      </c>
      <c r="Q291" s="0" t="s">
        <v>52</v>
      </c>
      <c r="S291" s="0" t="s">
        <v>75</v>
      </c>
      <c r="T291" s="0" t="s">
        <v>127</v>
      </c>
      <c r="U291" s="0" t="s">
        <v>55</v>
      </c>
      <c r="V291" s="0" t="s">
        <v>56</v>
      </c>
      <c r="W291" s="0" t="s">
        <v>128</v>
      </c>
      <c r="X291" s="0" t="s">
        <v>114</v>
      </c>
      <c r="Y291" s="0" t="s">
        <v>156</v>
      </c>
      <c r="Z291" s="0" t="s">
        <v>161</v>
      </c>
      <c r="AB291" s="0" t="n">
        <v>35000</v>
      </c>
      <c r="AC291" s="0" t="s">
        <v>82</v>
      </c>
      <c r="AD291" s="0" t="n">
        <v>0</v>
      </c>
      <c r="AE291" s="0" t="s">
        <v>80</v>
      </c>
      <c r="AF291" s="1" t="n">
        <v>45909</v>
      </c>
      <c r="AG291" s="0" t="s">
        <v>61</v>
      </c>
      <c r="AH291" s="0" t="s">
        <v>171</v>
      </c>
      <c r="AJ291" s="0" t="s">
        <v>81</v>
      </c>
      <c r="AL291" s="0" t="s">
        <v>63</v>
      </c>
      <c r="AM291" s="0" t="s">
        <v>83</v>
      </c>
      <c r="AN291" s="0" t="s">
        <v>198</v>
      </c>
    </row>
    <row r="292" customFormat="false" ht="15" hidden="false" customHeight="false" outlineLevel="0" collapsed="false">
      <c r="A292" s="1" t="n">
        <v>45744</v>
      </c>
      <c r="B292" s="0" t="s">
        <v>834</v>
      </c>
      <c r="C292" s="0" t="s">
        <v>163</v>
      </c>
      <c r="D292" s="0" t="n">
        <v>8035212337</v>
      </c>
      <c r="E292" s="0" t="s">
        <v>85</v>
      </c>
      <c r="F292" s="0" t="s">
        <v>835</v>
      </c>
      <c r="G292" s="0" t="s">
        <v>134</v>
      </c>
      <c r="H292" s="0" t="s">
        <v>88</v>
      </c>
      <c r="I292" s="0" t="s">
        <v>154</v>
      </c>
      <c r="J292" s="0" t="s">
        <v>48</v>
      </c>
      <c r="K292" s="0" t="n">
        <v>62142</v>
      </c>
      <c r="L292" s="0" t="s">
        <v>72</v>
      </c>
      <c r="M292" s="0" t="s">
        <v>63</v>
      </c>
      <c r="O292" s="0" t="n">
        <v>4</v>
      </c>
      <c r="P292" s="0" t="s">
        <v>51</v>
      </c>
      <c r="Q292" s="0" t="s">
        <v>73</v>
      </c>
      <c r="R292" s="0" t="s">
        <v>74</v>
      </c>
      <c r="S292" s="0" t="s">
        <v>54</v>
      </c>
      <c r="T292" s="0" t="n">
        <v>60</v>
      </c>
      <c r="U292" s="0" t="s">
        <v>55</v>
      </c>
      <c r="V292" s="0" t="s">
        <v>148</v>
      </c>
      <c r="W292" s="0" t="s">
        <v>98</v>
      </c>
      <c r="X292" s="0" t="s">
        <v>137</v>
      </c>
      <c r="Y292" s="0" t="s">
        <v>156</v>
      </c>
      <c r="Z292" s="0" t="s">
        <v>79</v>
      </c>
      <c r="AA292" s="0" t="n">
        <v>15000</v>
      </c>
      <c r="AB292" s="0" t="n">
        <v>30000</v>
      </c>
      <c r="AC292" s="0" t="s">
        <v>63</v>
      </c>
      <c r="AD292" s="0" t="n">
        <v>0</v>
      </c>
      <c r="AE292" s="0" t="s">
        <v>80</v>
      </c>
      <c r="AG292" s="0" t="s">
        <v>61</v>
      </c>
      <c r="AI292" s="0" t="s">
        <v>101</v>
      </c>
      <c r="AJ292" s="0" t="s">
        <v>81</v>
      </c>
      <c r="AK292" s="0" t="s">
        <v>82</v>
      </c>
      <c r="AL292" s="0" t="s">
        <v>63</v>
      </c>
      <c r="AM292" s="0" t="s">
        <v>103</v>
      </c>
      <c r="AN292" s="0" t="s">
        <v>63</v>
      </c>
    </row>
    <row r="293" customFormat="false" ht="15" hidden="false" customHeight="false" outlineLevel="0" collapsed="false">
      <c r="A293" s="1" t="n">
        <v>45749</v>
      </c>
      <c r="B293" s="0" t="s">
        <v>836</v>
      </c>
      <c r="C293" s="0" t="s">
        <v>42</v>
      </c>
      <c r="D293" s="0" t="n">
        <v>8067551618</v>
      </c>
      <c r="E293" s="0" t="s">
        <v>139</v>
      </c>
      <c r="F293" s="0" t="s">
        <v>837</v>
      </c>
      <c r="G293" s="0" t="s">
        <v>45</v>
      </c>
      <c r="H293" s="0" t="s">
        <v>46</v>
      </c>
      <c r="I293" s="0" t="s">
        <v>154</v>
      </c>
      <c r="K293" s="0" t="n">
        <v>16346</v>
      </c>
      <c r="L293" s="0" t="s">
        <v>91</v>
      </c>
      <c r="M293" s="0" t="s">
        <v>63</v>
      </c>
      <c r="O293" s="0" t="n">
        <v>3.9</v>
      </c>
      <c r="P293" s="0" t="s">
        <v>111</v>
      </c>
      <c r="Q293" s="0" t="s">
        <v>52</v>
      </c>
      <c r="R293" s="0" t="s">
        <v>94</v>
      </c>
      <c r="S293" s="0" t="s">
        <v>147</v>
      </c>
      <c r="T293" s="0" t="n">
        <v>15</v>
      </c>
      <c r="U293" s="0" t="s">
        <v>55</v>
      </c>
      <c r="V293" s="0" t="s">
        <v>155</v>
      </c>
      <c r="W293" s="0" t="s">
        <v>98</v>
      </c>
      <c r="X293" s="0" t="s">
        <v>58</v>
      </c>
      <c r="Y293" s="0" t="s">
        <v>156</v>
      </c>
      <c r="Z293" s="0" t="s">
        <v>161</v>
      </c>
      <c r="AA293" s="0" t="n">
        <v>25000</v>
      </c>
      <c r="AB293" s="0" t="n">
        <v>35000</v>
      </c>
      <c r="AC293" s="0" t="s">
        <v>63</v>
      </c>
      <c r="AE293" s="0" t="s">
        <v>184</v>
      </c>
      <c r="AF293" s="0" t="s">
        <v>838</v>
      </c>
      <c r="AG293" s="0" t="s">
        <v>61</v>
      </c>
      <c r="AH293" s="0" t="s">
        <v>116</v>
      </c>
      <c r="AM293" s="0" t="s">
        <v>118</v>
      </c>
      <c r="AN293" s="0" t="s">
        <v>50</v>
      </c>
    </row>
    <row r="294" customFormat="false" ht="15" hidden="false" customHeight="false" outlineLevel="0" collapsed="false">
      <c r="A294" s="1" t="n">
        <v>45697</v>
      </c>
      <c r="B294" s="0" t="s">
        <v>839</v>
      </c>
      <c r="C294" s="0" t="s">
        <v>66</v>
      </c>
      <c r="D294" s="0" t="n">
        <v>8066061116</v>
      </c>
      <c r="E294" s="0" t="s">
        <v>122</v>
      </c>
      <c r="F294" s="0" t="s">
        <v>840</v>
      </c>
      <c r="G294" s="0" t="s">
        <v>45</v>
      </c>
      <c r="H294" s="0" t="s">
        <v>242</v>
      </c>
      <c r="I294" s="0" t="s">
        <v>108</v>
      </c>
      <c r="J294" s="0" t="s">
        <v>48</v>
      </c>
      <c r="K294" s="0" t="n">
        <v>93006</v>
      </c>
      <c r="L294" s="0" t="s">
        <v>49</v>
      </c>
      <c r="M294" s="0" t="s">
        <v>50</v>
      </c>
      <c r="N294" s="0" t="n">
        <v>1</v>
      </c>
      <c r="O294" s="0" t="n">
        <v>5</v>
      </c>
      <c r="P294" s="0" t="s">
        <v>92</v>
      </c>
      <c r="Q294" s="0" t="s">
        <v>73</v>
      </c>
      <c r="S294" s="0" t="s">
        <v>147</v>
      </c>
      <c r="U294" s="0" t="s">
        <v>112</v>
      </c>
      <c r="V294" s="0" t="s">
        <v>148</v>
      </c>
      <c r="W294" s="0" t="s">
        <v>113</v>
      </c>
      <c r="X294" s="0" t="s">
        <v>196</v>
      </c>
      <c r="Y294" s="0" t="s">
        <v>156</v>
      </c>
      <c r="Z294" s="0" t="s">
        <v>129</v>
      </c>
      <c r="AA294" s="0" t="n">
        <v>15000</v>
      </c>
      <c r="AD294" s="0" t="n">
        <v>0</v>
      </c>
      <c r="AE294" s="0" t="s">
        <v>184</v>
      </c>
      <c r="AG294" s="0" t="s">
        <v>82</v>
      </c>
      <c r="AI294" s="0" t="s">
        <v>172</v>
      </c>
      <c r="AJ294" s="0" t="s">
        <v>63</v>
      </c>
      <c r="AK294" s="0" t="s">
        <v>61</v>
      </c>
      <c r="AL294" s="0" t="s">
        <v>63</v>
      </c>
      <c r="AM294" s="0" t="s">
        <v>103</v>
      </c>
    </row>
    <row r="295" customFormat="false" ht="15" hidden="false" customHeight="false" outlineLevel="0" collapsed="false">
      <c r="A295" s="1" t="n">
        <v>45739</v>
      </c>
      <c r="B295" s="0" t="s">
        <v>841</v>
      </c>
      <c r="C295" s="0" t="s">
        <v>121</v>
      </c>
      <c r="D295" s="0" t="n">
        <v>8038129989</v>
      </c>
      <c r="E295" s="0" t="s">
        <v>43</v>
      </c>
      <c r="F295" s="0" t="s">
        <v>842</v>
      </c>
      <c r="G295" s="0" t="s">
        <v>87</v>
      </c>
      <c r="H295" s="0" t="s">
        <v>135</v>
      </c>
      <c r="I295" s="0" t="s">
        <v>142</v>
      </c>
      <c r="J295" s="0" t="s">
        <v>109</v>
      </c>
      <c r="K295" s="0" t="n">
        <v>29782</v>
      </c>
      <c r="L295" s="0" t="s">
        <v>110</v>
      </c>
      <c r="M295" s="0" t="s">
        <v>50</v>
      </c>
      <c r="O295" s="0" t="n">
        <v>4.4</v>
      </c>
      <c r="P295" s="0" t="s">
        <v>92</v>
      </c>
      <c r="Q295" s="0" t="s">
        <v>93</v>
      </c>
      <c r="R295" s="0" t="s">
        <v>94</v>
      </c>
      <c r="S295" s="0" t="s">
        <v>126</v>
      </c>
      <c r="T295" s="0" t="n">
        <v>15</v>
      </c>
      <c r="U295" s="0" t="s">
        <v>55</v>
      </c>
      <c r="V295" s="0" t="s">
        <v>155</v>
      </c>
      <c r="W295" s="0" t="s">
        <v>113</v>
      </c>
      <c r="X295" s="0" t="s">
        <v>114</v>
      </c>
      <c r="Y295" s="0" t="s">
        <v>59</v>
      </c>
      <c r="Z295" s="0" t="s">
        <v>143</v>
      </c>
      <c r="AB295" s="0" t="s">
        <v>178</v>
      </c>
      <c r="AD295" s="0" t="n">
        <v>0</v>
      </c>
      <c r="AG295" s="0" t="s">
        <v>82</v>
      </c>
      <c r="AI295" s="0" t="s">
        <v>101</v>
      </c>
      <c r="AJ295" s="0" t="s">
        <v>63</v>
      </c>
      <c r="AK295" s="0" t="s">
        <v>61</v>
      </c>
      <c r="AN295" s="0" t="s">
        <v>190</v>
      </c>
    </row>
    <row r="296" customFormat="false" ht="15" hidden="false" customHeight="false" outlineLevel="0" collapsed="false">
      <c r="A296" s="1" t="n">
        <v>45770</v>
      </c>
      <c r="B296" s="0" t="s">
        <v>843</v>
      </c>
      <c r="C296" s="0" t="s">
        <v>121</v>
      </c>
      <c r="D296" s="0" t="n">
        <v>8068878740</v>
      </c>
      <c r="E296" s="0" t="s">
        <v>122</v>
      </c>
      <c r="F296" s="0" t="s">
        <v>844</v>
      </c>
      <c r="G296" s="0" t="s">
        <v>45</v>
      </c>
      <c r="H296" s="0" t="s">
        <v>165</v>
      </c>
      <c r="I296" s="0" t="s">
        <v>108</v>
      </c>
      <c r="K296" s="0" t="n">
        <v>105912</v>
      </c>
      <c r="L296" s="0" t="s">
        <v>110</v>
      </c>
      <c r="M296" s="0" t="s">
        <v>50</v>
      </c>
      <c r="N296" s="0" t="n">
        <v>4</v>
      </c>
      <c r="O296" s="0" t="n">
        <v>1.6</v>
      </c>
      <c r="Q296" s="0" t="s">
        <v>93</v>
      </c>
      <c r="R296" s="0" t="s">
        <v>74</v>
      </c>
      <c r="S296" s="0" t="s">
        <v>147</v>
      </c>
      <c r="U296" s="0" t="s">
        <v>76</v>
      </c>
      <c r="V296" s="0" t="s">
        <v>77</v>
      </c>
      <c r="W296" s="0" t="s">
        <v>78</v>
      </c>
      <c r="X296" s="0" t="s">
        <v>196</v>
      </c>
      <c r="AA296" s="0" t="n">
        <v>30000</v>
      </c>
      <c r="AB296" s="0" t="n">
        <v>40000</v>
      </c>
      <c r="AC296" s="0" t="s">
        <v>50</v>
      </c>
      <c r="AD296" s="0" t="n">
        <v>5000</v>
      </c>
      <c r="AF296" s="1" t="n">
        <v>45908</v>
      </c>
      <c r="AG296" s="0" t="s">
        <v>61</v>
      </c>
      <c r="AI296" s="0" t="s">
        <v>172</v>
      </c>
      <c r="AK296" s="0" t="s">
        <v>82</v>
      </c>
      <c r="AL296" s="0" t="s">
        <v>63</v>
      </c>
      <c r="AN296" s="0" t="s">
        <v>198</v>
      </c>
    </row>
    <row r="297" customFormat="false" ht="15" hidden="false" customHeight="false" outlineLevel="0" collapsed="false">
      <c r="A297" s="1" t="n">
        <v>45809</v>
      </c>
      <c r="B297" s="0" t="s">
        <v>845</v>
      </c>
      <c r="C297" s="0" t="s">
        <v>42</v>
      </c>
      <c r="D297" s="0" t="n">
        <v>8070394210</v>
      </c>
      <c r="E297" s="0" t="s">
        <v>43</v>
      </c>
      <c r="F297" s="0" t="s">
        <v>846</v>
      </c>
      <c r="G297" s="0" t="s">
        <v>107</v>
      </c>
      <c r="H297" s="0" t="s">
        <v>165</v>
      </c>
      <c r="I297" s="0" t="s">
        <v>142</v>
      </c>
      <c r="J297" s="0" t="s">
        <v>109</v>
      </c>
      <c r="K297" s="0" t="n">
        <v>29895</v>
      </c>
      <c r="L297" s="0" t="s">
        <v>166</v>
      </c>
      <c r="M297" s="0" t="s">
        <v>63</v>
      </c>
      <c r="N297" s="0" t="n">
        <v>4</v>
      </c>
      <c r="O297" s="0" t="n">
        <v>3.7</v>
      </c>
      <c r="P297" s="0" t="s">
        <v>111</v>
      </c>
      <c r="Q297" s="0" t="s">
        <v>52</v>
      </c>
      <c r="R297" s="0" t="s">
        <v>94</v>
      </c>
      <c r="S297" s="0" t="s">
        <v>147</v>
      </c>
      <c r="T297" s="0" t="s">
        <v>127</v>
      </c>
      <c r="U297" s="0" t="s">
        <v>112</v>
      </c>
      <c r="V297" s="0" t="s">
        <v>155</v>
      </c>
      <c r="W297" s="0" t="s">
        <v>78</v>
      </c>
      <c r="X297" s="0" t="s">
        <v>58</v>
      </c>
      <c r="Y297" s="0" t="s">
        <v>156</v>
      </c>
      <c r="Z297" s="0" t="s">
        <v>129</v>
      </c>
      <c r="AA297" s="0" t="s">
        <v>150</v>
      </c>
      <c r="AB297" s="0" t="n">
        <v>30000</v>
      </c>
      <c r="AC297" s="0" t="s">
        <v>82</v>
      </c>
      <c r="AD297" s="0" t="n">
        <v>5000</v>
      </c>
      <c r="AG297" s="0" t="s">
        <v>82</v>
      </c>
      <c r="AH297" s="0" t="s">
        <v>116</v>
      </c>
      <c r="AJ297" s="0" t="s">
        <v>62</v>
      </c>
      <c r="AK297" s="0" t="s">
        <v>61</v>
      </c>
      <c r="AM297" s="0" t="s">
        <v>118</v>
      </c>
      <c r="AN297" s="0" t="s">
        <v>63</v>
      </c>
    </row>
    <row r="298" customFormat="false" ht="15" hidden="false" customHeight="false" outlineLevel="0" collapsed="false">
      <c r="A298" s="1" t="n">
        <v>45811</v>
      </c>
      <c r="B298" s="0" t="s">
        <v>847</v>
      </c>
      <c r="C298" s="0" t="s">
        <v>121</v>
      </c>
      <c r="D298" s="0" t="n">
        <v>8084953463</v>
      </c>
      <c r="E298" s="0" t="s">
        <v>43</v>
      </c>
      <c r="F298" s="0" t="s">
        <v>848</v>
      </c>
      <c r="G298" s="0" t="s">
        <v>87</v>
      </c>
      <c r="H298" s="0" t="s">
        <v>146</v>
      </c>
      <c r="I298" s="0" t="s">
        <v>108</v>
      </c>
      <c r="K298" s="0" t="n">
        <v>25146</v>
      </c>
      <c r="L298" s="0" t="s">
        <v>166</v>
      </c>
      <c r="M298" s="0" t="s">
        <v>63</v>
      </c>
      <c r="N298" s="0" t="n">
        <v>3</v>
      </c>
      <c r="O298" s="0" t="n">
        <v>3.8</v>
      </c>
      <c r="P298" s="0" t="s">
        <v>111</v>
      </c>
      <c r="Q298" s="0" t="s">
        <v>73</v>
      </c>
      <c r="S298" s="0" t="s">
        <v>54</v>
      </c>
      <c r="T298" s="0" t="n">
        <v>60</v>
      </c>
      <c r="U298" s="0" t="s">
        <v>96</v>
      </c>
      <c r="V298" s="0" t="s">
        <v>148</v>
      </c>
      <c r="W298" s="0" t="s">
        <v>128</v>
      </c>
      <c r="X298" s="0" t="s">
        <v>58</v>
      </c>
      <c r="Z298" s="0" t="s">
        <v>149</v>
      </c>
      <c r="AA298" s="0" t="s">
        <v>150</v>
      </c>
      <c r="AB298" s="0" t="n">
        <v>20000</v>
      </c>
      <c r="AC298" s="0" t="s">
        <v>63</v>
      </c>
      <c r="AE298" s="0" t="s">
        <v>184</v>
      </c>
      <c r="AF298" s="1" t="n">
        <v>45757</v>
      </c>
      <c r="AJ298" s="0" t="s">
        <v>62</v>
      </c>
      <c r="AK298" s="0" t="s">
        <v>63</v>
      </c>
      <c r="AM298" s="0" t="s">
        <v>64</v>
      </c>
      <c r="AN298" s="0" t="s">
        <v>198</v>
      </c>
    </row>
    <row r="299" customFormat="false" ht="15" hidden="false" customHeight="false" outlineLevel="0" collapsed="false">
      <c r="A299" s="1" t="n">
        <v>45733</v>
      </c>
      <c r="B299" s="0" t="s">
        <v>849</v>
      </c>
      <c r="C299" s="0" t="s">
        <v>163</v>
      </c>
      <c r="D299" s="0" t="n">
        <v>8014040500</v>
      </c>
      <c r="E299" s="0" t="s">
        <v>43</v>
      </c>
      <c r="F299" s="0" t="s">
        <v>850</v>
      </c>
      <c r="G299" s="0" t="s">
        <v>87</v>
      </c>
      <c r="H299" s="0" t="s">
        <v>165</v>
      </c>
      <c r="I299" s="0" t="s">
        <v>189</v>
      </c>
      <c r="J299" s="0" t="s">
        <v>71</v>
      </c>
      <c r="K299" s="0" t="n">
        <v>37164</v>
      </c>
      <c r="L299" s="0" t="s">
        <v>124</v>
      </c>
      <c r="M299" s="0" t="s">
        <v>50</v>
      </c>
      <c r="N299" s="0" t="n">
        <v>1</v>
      </c>
      <c r="O299" s="0" t="n">
        <v>3.4</v>
      </c>
      <c r="P299" s="0" t="s">
        <v>51</v>
      </c>
      <c r="Q299" s="0" t="s">
        <v>93</v>
      </c>
      <c r="S299" s="0" t="s">
        <v>95</v>
      </c>
      <c r="T299" s="0" t="n">
        <v>30</v>
      </c>
      <c r="U299" s="0" t="s">
        <v>76</v>
      </c>
      <c r="V299" s="0" t="s">
        <v>148</v>
      </c>
      <c r="W299" s="0" t="s">
        <v>113</v>
      </c>
      <c r="X299" s="0" t="s">
        <v>114</v>
      </c>
      <c r="Z299" s="0" t="s">
        <v>161</v>
      </c>
      <c r="AA299" s="0" t="n">
        <v>15000</v>
      </c>
      <c r="AB299" s="0" t="n">
        <v>35000</v>
      </c>
      <c r="AC299" s="0" t="s">
        <v>61</v>
      </c>
      <c r="AE299" s="0" t="s">
        <v>130</v>
      </c>
      <c r="AF299" s="1" t="n">
        <v>45915</v>
      </c>
      <c r="AG299" s="0" t="s">
        <v>61</v>
      </c>
      <c r="AH299" s="0" t="s">
        <v>116</v>
      </c>
      <c r="AI299" s="0" t="s">
        <v>117</v>
      </c>
      <c r="AJ299" s="0" t="s">
        <v>50</v>
      </c>
      <c r="AL299" s="0" t="s">
        <v>102</v>
      </c>
      <c r="AM299" s="0" t="s">
        <v>83</v>
      </c>
      <c r="AN299" s="0" t="s">
        <v>50</v>
      </c>
    </row>
    <row r="300" customFormat="false" ht="15" hidden="false" customHeight="false" outlineLevel="0" collapsed="false">
      <c r="A300" s="1" t="n">
        <v>45783</v>
      </c>
      <c r="B300" s="0" t="s">
        <v>851</v>
      </c>
      <c r="C300" s="0" t="s">
        <v>66</v>
      </c>
      <c r="D300" s="0" t="n">
        <v>8060291405</v>
      </c>
      <c r="E300" s="0" t="s">
        <v>67</v>
      </c>
      <c r="F300" s="0" t="s">
        <v>852</v>
      </c>
      <c r="G300" s="0" t="s">
        <v>45</v>
      </c>
      <c r="H300" s="0" t="s">
        <v>135</v>
      </c>
      <c r="I300" s="0" t="s">
        <v>154</v>
      </c>
      <c r="J300" s="0" t="s">
        <v>48</v>
      </c>
      <c r="K300" s="0" t="n">
        <v>30631</v>
      </c>
      <c r="L300" s="0" t="s">
        <v>49</v>
      </c>
      <c r="M300" s="0" t="s">
        <v>50</v>
      </c>
      <c r="N300" s="0" t="n">
        <v>4</v>
      </c>
      <c r="O300" s="0" t="n">
        <v>3.9</v>
      </c>
      <c r="P300" s="0" t="s">
        <v>125</v>
      </c>
      <c r="Q300" s="0" t="s">
        <v>73</v>
      </c>
      <c r="S300" s="0" t="s">
        <v>126</v>
      </c>
      <c r="T300" s="0" t="n">
        <v>45</v>
      </c>
      <c r="U300" s="0" t="s">
        <v>76</v>
      </c>
      <c r="V300" s="0" t="s">
        <v>155</v>
      </c>
      <c r="W300" s="0" t="s">
        <v>113</v>
      </c>
      <c r="X300" s="0" t="s">
        <v>137</v>
      </c>
      <c r="Z300" s="0" t="s">
        <v>149</v>
      </c>
      <c r="AA300" s="0" t="n">
        <v>25000</v>
      </c>
      <c r="AB300" s="0" t="n">
        <v>35000</v>
      </c>
      <c r="AC300" s="0" t="s">
        <v>61</v>
      </c>
      <c r="AD300" s="0" t="n">
        <v>5000</v>
      </c>
      <c r="AE300" s="0" t="s">
        <v>60</v>
      </c>
      <c r="AF300" s="0" t="s">
        <v>853</v>
      </c>
      <c r="AG300" s="0" t="s">
        <v>63</v>
      </c>
      <c r="AI300" s="0" t="s">
        <v>172</v>
      </c>
      <c r="AJ300" s="0" t="s">
        <v>63</v>
      </c>
      <c r="AK300" s="0" t="s">
        <v>63</v>
      </c>
      <c r="AL300" s="0" t="s">
        <v>102</v>
      </c>
      <c r="AM300" s="0" t="s">
        <v>83</v>
      </c>
      <c r="AN300" s="0" t="s">
        <v>50</v>
      </c>
    </row>
    <row r="301" customFormat="false" ht="15" hidden="false" customHeight="false" outlineLevel="0" collapsed="false">
      <c r="A301" s="1" t="n">
        <v>45740</v>
      </c>
      <c r="B301" s="0" t="s">
        <v>854</v>
      </c>
      <c r="C301" s="0" t="s">
        <v>121</v>
      </c>
      <c r="D301" s="0" t="n">
        <v>8028649583</v>
      </c>
      <c r="E301" s="0" t="s">
        <v>67</v>
      </c>
      <c r="F301" s="0" t="s">
        <v>855</v>
      </c>
      <c r="G301" s="0" t="s">
        <v>45</v>
      </c>
      <c r="I301" s="0" t="s">
        <v>154</v>
      </c>
      <c r="J301" s="0" t="s">
        <v>71</v>
      </c>
      <c r="K301" s="0" t="n">
        <v>25476</v>
      </c>
      <c r="L301" s="0" t="s">
        <v>49</v>
      </c>
      <c r="M301" s="0" t="s">
        <v>50</v>
      </c>
      <c r="N301" s="0" t="n">
        <v>4</v>
      </c>
      <c r="O301" s="0" t="n">
        <v>3.7</v>
      </c>
      <c r="Q301" s="0" t="s">
        <v>52</v>
      </c>
      <c r="R301" s="0" t="s">
        <v>136</v>
      </c>
      <c r="S301" s="0" t="s">
        <v>126</v>
      </c>
      <c r="T301" s="0" t="n">
        <v>60</v>
      </c>
      <c r="U301" s="0" t="s">
        <v>112</v>
      </c>
      <c r="V301" s="0" t="s">
        <v>77</v>
      </c>
      <c r="W301" s="0" t="s">
        <v>57</v>
      </c>
      <c r="X301" s="0" t="s">
        <v>114</v>
      </c>
      <c r="Y301" s="0" t="s">
        <v>197</v>
      </c>
      <c r="Z301" s="0" t="s">
        <v>161</v>
      </c>
      <c r="AA301" s="0" t="n">
        <v>15000</v>
      </c>
      <c r="AB301" s="0" t="n">
        <v>35000</v>
      </c>
      <c r="AC301" s="0" t="s">
        <v>61</v>
      </c>
      <c r="AD301" s="0" t="n">
        <v>5000</v>
      </c>
      <c r="AE301" s="0" t="s">
        <v>60</v>
      </c>
      <c r="AF301" s="1" t="n">
        <v>45695</v>
      </c>
      <c r="AG301" s="0" t="s">
        <v>61</v>
      </c>
      <c r="AH301" s="0" t="s">
        <v>116</v>
      </c>
      <c r="AI301" s="0" t="s">
        <v>172</v>
      </c>
      <c r="AJ301" s="0" t="s">
        <v>50</v>
      </c>
      <c r="AN301" s="0" t="s">
        <v>50</v>
      </c>
    </row>
    <row r="302" customFormat="false" ht="15" hidden="false" customHeight="false" outlineLevel="0" collapsed="false">
      <c r="A302" s="1" t="n">
        <v>45811</v>
      </c>
      <c r="B302" s="0" t="s">
        <v>856</v>
      </c>
      <c r="C302" s="0" t="s">
        <v>121</v>
      </c>
      <c r="D302" s="0" t="n">
        <v>8087511871</v>
      </c>
      <c r="E302" s="0" t="s">
        <v>43</v>
      </c>
      <c r="F302" s="0" t="s">
        <v>857</v>
      </c>
      <c r="G302" s="0" t="s">
        <v>107</v>
      </c>
      <c r="H302" s="0" t="s">
        <v>146</v>
      </c>
      <c r="I302" s="0" t="s">
        <v>47</v>
      </c>
      <c r="J302" s="0" t="s">
        <v>48</v>
      </c>
      <c r="K302" s="0" t="n">
        <v>100018</v>
      </c>
      <c r="L302" s="0" t="s">
        <v>110</v>
      </c>
      <c r="M302" s="0" t="s">
        <v>63</v>
      </c>
      <c r="N302" s="0" t="n">
        <v>2</v>
      </c>
      <c r="O302" s="0" t="n">
        <v>2.2</v>
      </c>
      <c r="P302" s="0" t="s">
        <v>111</v>
      </c>
      <c r="Q302" s="0" t="s">
        <v>52</v>
      </c>
      <c r="R302" s="0" t="s">
        <v>53</v>
      </c>
      <c r="S302" s="0" t="s">
        <v>167</v>
      </c>
      <c r="U302" s="0" t="s">
        <v>96</v>
      </c>
      <c r="V302" s="0" t="s">
        <v>56</v>
      </c>
      <c r="W302" s="0" t="s">
        <v>128</v>
      </c>
      <c r="X302" s="0" t="s">
        <v>196</v>
      </c>
      <c r="Y302" s="0" t="s">
        <v>177</v>
      </c>
      <c r="Z302" s="0" t="s">
        <v>161</v>
      </c>
      <c r="AA302" s="0" t="n">
        <v>30000</v>
      </c>
      <c r="AC302" s="0" t="s">
        <v>61</v>
      </c>
      <c r="AD302" s="0" t="n">
        <v>0</v>
      </c>
      <c r="AE302" s="0" t="s">
        <v>80</v>
      </c>
      <c r="AF302" s="1" t="n">
        <v>45942</v>
      </c>
      <c r="AG302" s="0" t="s">
        <v>50</v>
      </c>
      <c r="AJ302" s="0" t="s">
        <v>81</v>
      </c>
      <c r="AL302" s="0" t="s">
        <v>102</v>
      </c>
      <c r="AM302" s="0" t="s">
        <v>83</v>
      </c>
      <c r="AN302" s="0" t="s">
        <v>198</v>
      </c>
    </row>
    <row r="303" customFormat="false" ht="15" hidden="false" customHeight="false" outlineLevel="0" collapsed="false">
      <c r="A303" s="1" t="n">
        <v>45699</v>
      </c>
      <c r="B303" s="0" t="s">
        <v>858</v>
      </c>
      <c r="C303" s="0" t="s">
        <v>42</v>
      </c>
      <c r="D303" s="0" t="n">
        <v>8027226260</v>
      </c>
      <c r="E303" s="0" t="s">
        <v>122</v>
      </c>
      <c r="F303" s="0" t="s">
        <v>859</v>
      </c>
      <c r="G303" s="0" t="s">
        <v>87</v>
      </c>
      <c r="H303" s="0" t="s">
        <v>242</v>
      </c>
      <c r="I303" s="0" t="s">
        <v>142</v>
      </c>
      <c r="J303" s="0" t="s">
        <v>90</v>
      </c>
      <c r="K303" s="0" t="n">
        <v>101803</v>
      </c>
      <c r="L303" s="0" t="s">
        <v>49</v>
      </c>
      <c r="M303" s="0" t="s">
        <v>63</v>
      </c>
      <c r="N303" s="0" t="n">
        <v>4</v>
      </c>
      <c r="O303" s="0" t="n">
        <v>5.7</v>
      </c>
      <c r="Q303" s="0" t="s">
        <v>93</v>
      </c>
      <c r="R303" s="0" t="s">
        <v>74</v>
      </c>
      <c r="S303" s="0" t="s">
        <v>126</v>
      </c>
      <c r="T303" s="0" t="n">
        <v>60</v>
      </c>
      <c r="U303" s="0" t="s">
        <v>76</v>
      </c>
      <c r="V303" s="0" t="s">
        <v>155</v>
      </c>
      <c r="W303" s="0" t="s">
        <v>78</v>
      </c>
      <c r="X303" s="0" t="s">
        <v>99</v>
      </c>
      <c r="Y303" s="0" t="s">
        <v>177</v>
      </c>
      <c r="Z303" s="0" t="s">
        <v>79</v>
      </c>
      <c r="AA303" s="0" t="n">
        <v>30000</v>
      </c>
      <c r="AB303" s="0" t="n">
        <v>30000</v>
      </c>
      <c r="AC303" s="0" t="s">
        <v>82</v>
      </c>
      <c r="AD303" s="0" t="n">
        <v>5000</v>
      </c>
      <c r="AE303" s="0" t="s">
        <v>80</v>
      </c>
      <c r="AF303" s="0" t="s">
        <v>860</v>
      </c>
      <c r="AI303" s="0" t="s">
        <v>172</v>
      </c>
      <c r="AJ303" s="0" t="s">
        <v>62</v>
      </c>
      <c r="AL303" s="0" t="s">
        <v>63</v>
      </c>
      <c r="AM303" s="0" t="s">
        <v>64</v>
      </c>
      <c r="AN303" s="0" t="s">
        <v>190</v>
      </c>
    </row>
    <row r="304" customFormat="false" ht="15" hidden="false" customHeight="false" outlineLevel="0" collapsed="false">
      <c r="A304" s="1" t="n">
        <v>45725</v>
      </c>
      <c r="B304" s="0" t="s">
        <v>861</v>
      </c>
      <c r="C304" s="0" t="s">
        <v>105</v>
      </c>
      <c r="D304" s="0" t="n">
        <v>8051013170</v>
      </c>
      <c r="E304" s="0" t="s">
        <v>122</v>
      </c>
      <c r="F304" s="0" t="s">
        <v>862</v>
      </c>
      <c r="G304" s="0" t="s">
        <v>134</v>
      </c>
      <c r="H304" s="0" t="s">
        <v>141</v>
      </c>
      <c r="I304" s="0" t="s">
        <v>89</v>
      </c>
      <c r="J304" s="0" t="s">
        <v>71</v>
      </c>
      <c r="K304" s="0" t="n">
        <v>70338</v>
      </c>
      <c r="L304" s="0" t="s">
        <v>49</v>
      </c>
      <c r="M304" s="0" t="s">
        <v>63</v>
      </c>
      <c r="N304" s="0" t="n">
        <v>5</v>
      </c>
      <c r="O304" s="0" t="n">
        <v>4.5</v>
      </c>
      <c r="P304" s="0" t="s">
        <v>125</v>
      </c>
      <c r="Q304" s="0" t="s">
        <v>73</v>
      </c>
      <c r="R304" s="0" t="s">
        <v>74</v>
      </c>
      <c r="S304" s="0" t="s">
        <v>75</v>
      </c>
      <c r="T304" s="0" t="s">
        <v>127</v>
      </c>
      <c r="U304" s="0" t="s">
        <v>76</v>
      </c>
      <c r="V304" s="0" t="s">
        <v>148</v>
      </c>
      <c r="W304" s="0" t="s">
        <v>78</v>
      </c>
      <c r="X304" s="0" t="s">
        <v>99</v>
      </c>
      <c r="Y304" s="0" t="s">
        <v>59</v>
      </c>
      <c r="Z304" s="0" t="s">
        <v>149</v>
      </c>
      <c r="AA304" s="0" t="s">
        <v>150</v>
      </c>
      <c r="AC304" s="0" t="s">
        <v>61</v>
      </c>
      <c r="AD304" s="0" t="n">
        <v>10000</v>
      </c>
      <c r="AF304" s="1" t="n">
        <v>45988</v>
      </c>
      <c r="AG304" s="0" t="s">
        <v>82</v>
      </c>
      <c r="AI304" s="0" t="s">
        <v>101</v>
      </c>
      <c r="AJ304" s="0" t="s">
        <v>63</v>
      </c>
      <c r="AK304" s="0" t="s">
        <v>61</v>
      </c>
      <c r="AL304" s="0" t="s">
        <v>102</v>
      </c>
      <c r="AN304" s="0" t="s">
        <v>50</v>
      </c>
    </row>
    <row r="305" customFormat="false" ht="15" hidden="false" customHeight="false" outlineLevel="0" collapsed="false">
      <c r="A305" s="1" t="n">
        <v>45658</v>
      </c>
      <c r="B305" s="0" t="s">
        <v>863</v>
      </c>
      <c r="C305" s="0" t="s">
        <v>66</v>
      </c>
      <c r="D305" s="0" t="n">
        <v>8011299382</v>
      </c>
      <c r="E305" s="0" t="s">
        <v>139</v>
      </c>
      <c r="F305" s="0" t="s">
        <v>864</v>
      </c>
      <c r="G305" s="0" t="s">
        <v>107</v>
      </c>
      <c r="H305" s="0" t="s">
        <v>176</v>
      </c>
      <c r="I305" s="0" t="s">
        <v>142</v>
      </c>
      <c r="J305" s="0" t="s">
        <v>109</v>
      </c>
      <c r="K305" s="0" t="n">
        <v>63754</v>
      </c>
      <c r="L305" s="0" t="s">
        <v>91</v>
      </c>
      <c r="M305" s="0" t="s">
        <v>50</v>
      </c>
      <c r="N305" s="0" t="n">
        <v>5</v>
      </c>
      <c r="O305" s="0" t="n">
        <v>1.8</v>
      </c>
      <c r="P305" s="0" t="s">
        <v>125</v>
      </c>
      <c r="Q305" s="0" t="s">
        <v>93</v>
      </c>
      <c r="R305" s="0" t="s">
        <v>53</v>
      </c>
      <c r="S305" s="0" t="s">
        <v>54</v>
      </c>
      <c r="T305" s="0" t="n">
        <v>30</v>
      </c>
      <c r="U305" s="0" t="s">
        <v>96</v>
      </c>
      <c r="V305" s="0" t="s">
        <v>77</v>
      </c>
      <c r="W305" s="0" t="s">
        <v>113</v>
      </c>
      <c r="X305" s="0" t="s">
        <v>58</v>
      </c>
      <c r="Y305" s="0" t="s">
        <v>59</v>
      </c>
      <c r="Z305" s="0" t="s">
        <v>161</v>
      </c>
      <c r="AA305" s="0" t="s">
        <v>150</v>
      </c>
      <c r="AC305" s="0" t="s">
        <v>61</v>
      </c>
      <c r="AD305" s="0" t="n">
        <v>10000</v>
      </c>
      <c r="AE305" s="0" t="s">
        <v>80</v>
      </c>
      <c r="AG305" s="0" t="s">
        <v>61</v>
      </c>
      <c r="AH305" s="0" t="s">
        <v>171</v>
      </c>
      <c r="AI305" s="0" t="s">
        <v>117</v>
      </c>
      <c r="AJ305" s="0" t="s">
        <v>62</v>
      </c>
      <c r="AK305" s="0" t="s">
        <v>82</v>
      </c>
      <c r="AL305" s="0" t="s">
        <v>63</v>
      </c>
      <c r="AM305" s="0" t="s">
        <v>103</v>
      </c>
      <c r="AN305" s="0" t="s">
        <v>50</v>
      </c>
    </row>
    <row r="306" customFormat="false" ht="15" hidden="false" customHeight="false" outlineLevel="0" collapsed="false">
      <c r="A306" s="1" t="n">
        <v>45787</v>
      </c>
      <c r="B306" s="0" t="s">
        <v>865</v>
      </c>
      <c r="C306" s="0" t="s">
        <v>105</v>
      </c>
      <c r="D306" s="0" t="n">
        <v>8077082048</v>
      </c>
      <c r="E306" s="0" t="s">
        <v>67</v>
      </c>
      <c r="F306" s="0" t="s">
        <v>866</v>
      </c>
      <c r="G306" s="0" t="s">
        <v>107</v>
      </c>
      <c r="H306" s="0" t="s">
        <v>153</v>
      </c>
      <c r="I306" s="0" t="s">
        <v>108</v>
      </c>
      <c r="K306" s="0" t="n">
        <v>71152</v>
      </c>
      <c r="L306" s="0" t="s">
        <v>49</v>
      </c>
      <c r="M306" s="0" t="s">
        <v>63</v>
      </c>
      <c r="N306" s="0" t="n">
        <v>3</v>
      </c>
      <c r="O306" s="0" t="n">
        <v>4.5</v>
      </c>
      <c r="P306" s="0" t="s">
        <v>92</v>
      </c>
      <c r="Q306" s="0" t="s">
        <v>93</v>
      </c>
      <c r="S306" s="0" t="s">
        <v>126</v>
      </c>
      <c r="T306" s="0" t="n">
        <v>60</v>
      </c>
      <c r="U306" s="0" t="s">
        <v>112</v>
      </c>
      <c r="V306" s="0" t="s">
        <v>148</v>
      </c>
      <c r="W306" s="0" t="s">
        <v>57</v>
      </c>
      <c r="X306" s="0" t="s">
        <v>58</v>
      </c>
      <c r="Y306" s="0" t="s">
        <v>156</v>
      </c>
      <c r="Z306" s="0" t="s">
        <v>129</v>
      </c>
      <c r="AA306" s="0" t="n">
        <v>15000</v>
      </c>
      <c r="AB306" s="0" t="s">
        <v>178</v>
      </c>
      <c r="AC306" s="0" t="s">
        <v>50</v>
      </c>
      <c r="AE306" s="0" t="s">
        <v>130</v>
      </c>
      <c r="AF306" s="1" t="n">
        <v>45944</v>
      </c>
      <c r="AG306" s="0" t="s">
        <v>63</v>
      </c>
      <c r="AI306" s="0" t="s">
        <v>101</v>
      </c>
      <c r="AJ306" s="0" t="s">
        <v>81</v>
      </c>
      <c r="AK306" s="0" t="s">
        <v>82</v>
      </c>
      <c r="AM306" s="0" t="s">
        <v>83</v>
      </c>
      <c r="AN306" s="0" t="s">
        <v>190</v>
      </c>
    </row>
    <row r="307" customFormat="false" ht="15" hidden="false" customHeight="false" outlineLevel="0" collapsed="false">
      <c r="A307" s="1" t="n">
        <v>45816</v>
      </c>
      <c r="B307" s="0" t="s">
        <v>867</v>
      </c>
      <c r="C307" s="0" t="s">
        <v>121</v>
      </c>
      <c r="D307" s="0" t="n">
        <v>8098429098</v>
      </c>
      <c r="E307" s="0" t="s">
        <v>139</v>
      </c>
      <c r="F307" s="0" t="s">
        <v>868</v>
      </c>
      <c r="G307" s="0" t="s">
        <v>45</v>
      </c>
      <c r="H307" s="0" t="s">
        <v>70</v>
      </c>
      <c r="I307" s="0" t="s">
        <v>154</v>
      </c>
      <c r="K307" s="0" t="n">
        <v>108652</v>
      </c>
      <c r="L307" s="0" t="s">
        <v>124</v>
      </c>
      <c r="M307" s="0" t="s">
        <v>63</v>
      </c>
      <c r="N307" s="0" t="n">
        <v>3</v>
      </c>
      <c r="O307" s="0" t="n">
        <v>3.7</v>
      </c>
      <c r="Q307" s="0" t="s">
        <v>73</v>
      </c>
      <c r="R307" s="0" t="s">
        <v>53</v>
      </c>
      <c r="S307" s="0" t="s">
        <v>75</v>
      </c>
      <c r="T307" s="0" t="n">
        <v>60</v>
      </c>
      <c r="U307" s="0" t="s">
        <v>55</v>
      </c>
      <c r="V307" s="0" t="s">
        <v>77</v>
      </c>
      <c r="W307" s="0" t="s">
        <v>57</v>
      </c>
      <c r="X307" s="0" t="s">
        <v>137</v>
      </c>
      <c r="Z307" s="0" t="s">
        <v>129</v>
      </c>
      <c r="AA307" s="0" t="n">
        <v>40000</v>
      </c>
      <c r="AC307" s="0" t="s">
        <v>82</v>
      </c>
      <c r="AE307" s="0" t="s">
        <v>184</v>
      </c>
      <c r="AG307" s="0" t="s">
        <v>50</v>
      </c>
      <c r="AI307" s="0" t="s">
        <v>117</v>
      </c>
      <c r="AJ307" s="0" t="s">
        <v>62</v>
      </c>
      <c r="AK307" s="0" t="s">
        <v>61</v>
      </c>
      <c r="AM307" s="0" t="s">
        <v>83</v>
      </c>
      <c r="AN307" s="0" t="s">
        <v>50</v>
      </c>
    </row>
    <row r="308" customFormat="false" ht="15" hidden="false" customHeight="false" outlineLevel="0" collapsed="false">
      <c r="A308" s="0" t="s">
        <v>869</v>
      </c>
      <c r="B308" s="0" t="s">
        <v>870</v>
      </c>
      <c r="C308" s="0" t="s">
        <v>66</v>
      </c>
      <c r="D308" s="0" t="n">
        <v>8057601987</v>
      </c>
      <c r="E308" s="0" t="s">
        <v>122</v>
      </c>
      <c r="F308" s="0" t="s">
        <v>871</v>
      </c>
      <c r="G308" s="0" t="s">
        <v>107</v>
      </c>
      <c r="H308" s="0" t="s">
        <v>176</v>
      </c>
      <c r="I308" s="0" t="s">
        <v>108</v>
      </c>
      <c r="J308" s="0" t="s">
        <v>90</v>
      </c>
      <c r="K308" s="0" t="n">
        <v>96531</v>
      </c>
      <c r="L308" s="0" t="s">
        <v>124</v>
      </c>
      <c r="M308" s="0" t="s">
        <v>50</v>
      </c>
      <c r="N308" s="0" t="n">
        <v>2</v>
      </c>
      <c r="O308" s="0" t="n">
        <v>3</v>
      </c>
      <c r="P308" s="0" t="s">
        <v>111</v>
      </c>
      <c r="Q308" s="0" t="s">
        <v>52</v>
      </c>
      <c r="R308" s="0" t="s">
        <v>159</v>
      </c>
      <c r="S308" s="0" t="s">
        <v>167</v>
      </c>
      <c r="T308" s="0" t="n">
        <v>60</v>
      </c>
      <c r="U308" s="0" t="s">
        <v>96</v>
      </c>
      <c r="V308" s="0" t="s">
        <v>155</v>
      </c>
      <c r="W308" s="0" t="s">
        <v>113</v>
      </c>
      <c r="X308" s="0" t="s">
        <v>114</v>
      </c>
      <c r="AA308" s="0" t="s">
        <v>150</v>
      </c>
      <c r="AB308" s="0" t="n">
        <v>20000</v>
      </c>
      <c r="AD308" s="0" t="s">
        <v>115</v>
      </c>
      <c r="AG308" s="0" t="s">
        <v>82</v>
      </c>
      <c r="AJ308" s="0" t="s">
        <v>63</v>
      </c>
      <c r="AL308" s="0" t="s">
        <v>102</v>
      </c>
      <c r="AM308" s="0" t="s">
        <v>103</v>
      </c>
      <c r="AN308" s="0" t="s">
        <v>50</v>
      </c>
    </row>
    <row r="309" customFormat="false" ht="15" hidden="false" customHeight="false" outlineLevel="0" collapsed="false">
      <c r="A309" s="1" t="n">
        <v>45785</v>
      </c>
      <c r="B309" s="0" t="s">
        <v>872</v>
      </c>
      <c r="C309" s="0" t="s">
        <v>121</v>
      </c>
      <c r="D309" s="0" t="n">
        <v>8055610169</v>
      </c>
      <c r="E309" s="0" t="s">
        <v>122</v>
      </c>
      <c r="F309" s="0" t="s">
        <v>873</v>
      </c>
      <c r="G309" s="0" t="s">
        <v>107</v>
      </c>
      <c r="H309" s="0" t="s">
        <v>170</v>
      </c>
      <c r="I309" s="0" t="s">
        <v>142</v>
      </c>
      <c r="J309" s="0" t="s">
        <v>48</v>
      </c>
      <c r="K309" s="0" t="n">
        <v>28302</v>
      </c>
      <c r="L309" s="0" t="s">
        <v>124</v>
      </c>
      <c r="M309" s="0" t="s">
        <v>63</v>
      </c>
      <c r="O309" s="0" t="n">
        <v>3.6</v>
      </c>
      <c r="P309" s="0" t="s">
        <v>111</v>
      </c>
      <c r="Q309" s="0" t="s">
        <v>93</v>
      </c>
      <c r="R309" s="0" t="s">
        <v>159</v>
      </c>
      <c r="S309" s="0" t="s">
        <v>147</v>
      </c>
      <c r="T309" s="0" t="s">
        <v>127</v>
      </c>
      <c r="U309" s="0" t="s">
        <v>76</v>
      </c>
      <c r="V309" s="0" t="s">
        <v>77</v>
      </c>
      <c r="W309" s="0" t="s">
        <v>57</v>
      </c>
      <c r="X309" s="0" t="s">
        <v>196</v>
      </c>
      <c r="Y309" s="0" t="s">
        <v>197</v>
      </c>
      <c r="Z309" s="0" t="s">
        <v>161</v>
      </c>
      <c r="AB309" s="0" t="n">
        <v>40000</v>
      </c>
      <c r="AC309" s="0" t="s">
        <v>50</v>
      </c>
      <c r="AE309" s="0" t="s">
        <v>130</v>
      </c>
      <c r="AF309" s="1" t="n">
        <v>45900</v>
      </c>
      <c r="AG309" s="0" t="s">
        <v>82</v>
      </c>
      <c r="AI309" s="0" t="s">
        <v>101</v>
      </c>
      <c r="AJ309" s="0" t="s">
        <v>81</v>
      </c>
      <c r="AL309" s="0" t="s">
        <v>63</v>
      </c>
      <c r="AN309" s="0" t="s">
        <v>190</v>
      </c>
    </row>
    <row r="310" customFormat="false" ht="15" hidden="false" customHeight="false" outlineLevel="0" collapsed="false">
      <c r="A310" s="1" t="n">
        <v>45814</v>
      </c>
      <c r="B310" s="0" t="s">
        <v>874</v>
      </c>
      <c r="C310" s="0" t="s">
        <v>105</v>
      </c>
      <c r="D310" s="0" t="n">
        <v>8040264841</v>
      </c>
      <c r="E310" s="0" t="s">
        <v>67</v>
      </c>
      <c r="F310" s="0" t="s">
        <v>875</v>
      </c>
      <c r="G310" s="0" t="s">
        <v>87</v>
      </c>
      <c r="I310" s="0" t="s">
        <v>108</v>
      </c>
      <c r="J310" s="0" t="s">
        <v>71</v>
      </c>
      <c r="K310" s="0" t="n">
        <v>17012</v>
      </c>
      <c r="L310" s="0" t="s">
        <v>166</v>
      </c>
      <c r="M310" s="0" t="s">
        <v>63</v>
      </c>
      <c r="N310" s="0" t="n">
        <v>1</v>
      </c>
      <c r="O310" s="0" t="n">
        <v>5.5</v>
      </c>
      <c r="P310" s="0" t="s">
        <v>51</v>
      </c>
      <c r="Q310" s="0" t="s">
        <v>52</v>
      </c>
      <c r="R310" s="0" t="s">
        <v>74</v>
      </c>
      <c r="S310" s="0" t="s">
        <v>54</v>
      </c>
      <c r="T310" s="0" t="n">
        <v>15</v>
      </c>
      <c r="U310" s="0" t="s">
        <v>96</v>
      </c>
      <c r="V310" s="0" t="s">
        <v>97</v>
      </c>
      <c r="W310" s="0" t="s">
        <v>57</v>
      </c>
      <c r="X310" s="0" t="s">
        <v>114</v>
      </c>
      <c r="Z310" s="0" t="s">
        <v>161</v>
      </c>
      <c r="AA310" s="0" t="n">
        <v>15000</v>
      </c>
      <c r="AC310" s="0" t="s">
        <v>82</v>
      </c>
      <c r="AD310" s="0" t="n">
        <v>5000</v>
      </c>
      <c r="AE310" s="0" t="s">
        <v>80</v>
      </c>
      <c r="AG310" s="0" t="s">
        <v>61</v>
      </c>
      <c r="AI310" s="0" t="s">
        <v>172</v>
      </c>
      <c r="AJ310" s="0" t="s">
        <v>50</v>
      </c>
      <c r="AK310" s="0" t="s">
        <v>50</v>
      </c>
      <c r="AM310" s="0" t="s">
        <v>64</v>
      </c>
    </row>
    <row r="311" customFormat="false" ht="15" hidden="false" customHeight="false" outlineLevel="0" collapsed="false">
      <c r="A311" s="1" t="n">
        <v>45762</v>
      </c>
      <c r="B311" s="0" t="s">
        <v>876</v>
      </c>
      <c r="C311" s="0" t="s">
        <v>163</v>
      </c>
      <c r="D311" s="0" t="n">
        <v>8066257000</v>
      </c>
      <c r="E311" s="0" t="s">
        <v>85</v>
      </c>
      <c r="F311" s="0" t="s">
        <v>877</v>
      </c>
      <c r="G311" s="0" t="s">
        <v>134</v>
      </c>
      <c r="H311" s="0" t="s">
        <v>165</v>
      </c>
      <c r="I311" s="0" t="s">
        <v>142</v>
      </c>
      <c r="K311" s="0" t="n">
        <v>25095</v>
      </c>
      <c r="L311" s="0" t="s">
        <v>166</v>
      </c>
      <c r="M311" s="0" t="s">
        <v>63</v>
      </c>
      <c r="N311" s="0" t="n">
        <v>2</v>
      </c>
      <c r="O311" s="0" t="n">
        <v>1.9</v>
      </c>
      <c r="P311" s="0" t="s">
        <v>125</v>
      </c>
      <c r="Q311" s="0" t="s">
        <v>52</v>
      </c>
      <c r="R311" s="0" t="s">
        <v>74</v>
      </c>
      <c r="S311" s="0" t="s">
        <v>54</v>
      </c>
      <c r="U311" s="0" t="s">
        <v>112</v>
      </c>
      <c r="V311" s="0" t="s">
        <v>56</v>
      </c>
      <c r="W311" s="0" t="s">
        <v>57</v>
      </c>
      <c r="X311" s="0" t="s">
        <v>99</v>
      </c>
      <c r="Y311" s="0" t="s">
        <v>156</v>
      </c>
      <c r="Z311" s="0" t="s">
        <v>129</v>
      </c>
      <c r="AA311" s="0" t="s">
        <v>150</v>
      </c>
      <c r="AB311" s="0" t="n">
        <v>30000</v>
      </c>
      <c r="AD311" s="0" t="n">
        <v>0</v>
      </c>
      <c r="AG311" s="0" t="s">
        <v>50</v>
      </c>
      <c r="AH311" s="0" t="s">
        <v>116</v>
      </c>
      <c r="AJ311" s="0" t="s">
        <v>62</v>
      </c>
      <c r="AK311" s="0" t="s">
        <v>50</v>
      </c>
      <c r="AL311" s="0" t="s">
        <v>63</v>
      </c>
      <c r="AM311" s="0" t="s">
        <v>64</v>
      </c>
    </row>
    <row r="312" customFormat="false" ht="15" hidden="false" customHeight="false" outlineLevel="0" collapsed="false">
      <c r="A312" s="1" t="n">
        <v>45682</v>
      </c>
      <c r="B312" s="0" t="s">
        <v>878</v>
      </c>
      <c r="C312" s="0" t="s">
        <v>105</v>
      </c>
      <c r="D312" s="0" t="n">
        <v>8067139083</v>
      </c>
      <c r="E312" s="0" t="s">
        <v>43</v>
      </c>
      <c r="F312" s="0" t="s">
        <v>879</v>
      </c>
      <c r="G312" s="0" t="s">
        <v>107</v>
      </c>
      <c r="H312" s="0" t="s">
        <v>135</v>
      </c>
      <c r="I312" s="0" t="s">
        <v>189</v>
      </c>
      <c r="J312" s="0" t="s">
        <v>109</v>
      </c>
      <c r="K312" s="0" t="n">
        <v>89408</v>
      </c>
      <c r="L312" s="0" t="s">
        <v>124</v>
      </c>
      <c r="M312" s="0" t="s">
        <v>63</v>
      </c>
      <c r="N312" s="0" t="n">
        <v>3</v>
      </c>
      <c r="O312" s="0" t="n">
        <v>2.5</v>
      </c>
      <c r="P312" s="0" t="s">
        <v>125</v>
      </c>
      <c r="Q312" s="0" t="s">
        <v>93</v>
      </c>
      <c r="R312" s="0" t="s">
        <v>136</v>
      </c>
      <c r="S312" s="0" t="s">
        <v>54</v>
      </c>
      <c r="T312" s="0" t="n">
        <v>15</v>
      </c>
      <c r="U312" s="0" t="s">
        <v>112</v>
      </c>
      <c r="V312" s="0" t="s">
        <v>148</v>
      </c>
      <c r="W312" s="0" t="s">
        <v>113</v>
      </c>
      <c r="X312" s="0" t="s">
        <v>114</v>
      </c>
      <c r="Y312" s="0" t="s">
        <v>177</v>
      </c>
      <c r="Z312" s="0" t="s">
        <v>129</v>
      </c>
      <c r="AB312" s="0" t="n">
        <v>20000</v>
      </c>
      <c r="AC312" s="0" t="s">
        <v>61</v>
      </c>
      <c r="AD312" s="0" t="s">
        <v>115</v>
      </c>
      <c r="AE312" s="0" t="s">
        <v>130</v>
      </c>
      <c r="AF312" s="0" t="s">
        <v>880</v>
      </c>
      <c r="AG312" s="0" t="s">
        <v>50</v>
      </c>
      <c r="AI312" s="0" t="s">
        <v>101</v>
      </c>
      <c r="AJ312" s="0" t="s">
        <v>81</v>
      </c>
      <c r="AK312" s="0" t="s">
        <v>50</v>
      </c>
      <c r="AM312" s="0" t="s">
        <v>103</v>
      </c>
      <c r="AN312" s="0" t="s">
        <v>50</v>
      </c>
    </row>
    <row r="313" customFormat="false" ht="15" hidden="false" customHeight="false" outlineLevel="0" collapsed="false">
      <c r="A313" s="1" t="n">
        <v>45691</v>
      </c>
      <c r="B313" s="0" t="s">
        <v>881</v>
      </c>
      <c r="C313" s="0" t="s">
        <v>163</v>
      </c>
      <c r="D313" s="0" t="n">
        <v>8064139232</v>
      </c>
      <c r="E313" s="0" t="s">
        <v>85</v>
      </c>
      <c r="F313" s="0" t="s">
        <v>882</v>
      </c>
      <c r="G313" s="0" t="s">
        <v>69</v>
      </c>
      <c r="H313" s="0" t="s">
        <v>272</v>
      </c>
      <c r="I313" s="0" t="s">
        <v>142</v>
      </c>
      <c r="J313" s="0" t="s">
        <v>90</v>
      </c>
      <c r="K313" s="0" t="n">
        <v>111105</v>
      </c>
      <c r="L313" s="0" t="s">
        <v>91</v>
      </c>
      <c r="M313" s="0" t="s">
        <v>63</v>
      </c>
      <c r="O313" s="0" t="n">
        <v>2.4</v>
      </c>
      <c r="P313" s="0" t="s">
        <v>51</v>
      </c>
      <c r="Q313" s="0" t="s">
        <v>73</v>
      </c>
      <c r="R313" s="0" t="s">
        <v>94</v>
      </c>
      <c r="S313" s="0" t="s">
        <v>167</v>
      </c>
      <c r="T313" s="0" t="n">
        <v>45</v>
      </c>
      <c r="U313" s="0" t="s">
        <v>112</v>
      </c>
      <c r="V313" s="0" t="s">
        <v>77</v>
      </c>
      <c r="W313" s="0" t="s">
        <v>113</v>
      </c>
      <c r="X313" s="0" t="s">
        <v>99</v>
      </c>
      <c r="Y313" s="0" t="s">
        <v>177</v>
      </c>
      <c r="Z313" s="0" t="s">
        <v>143</v>
      </c>
      <c r="AA313" s="0" t="n">
        <v>15000</v>
      </c>
      <c r="AB313" s="0" t="n">
        <v>35000</v>
      </c>
      <c r="AC313" s="0" t="s">
        <v>50</v>
      </c>
      <c r="AD313" s="0" t="n">
        <v>5000</v>
      </c>
      <c r="AE313" s="0" t="s">
        <v>130</v>
      </c>
      <c r="AG313" s="0" t="s">
        <v>50</v>
      </c>
      <c r="AJ313" s="0" t="s">
        <v>50</v>
      </c>
      <c r="AL313" s="0" t="s">
        <v>63</v>
      </c>
      <c r="AM313" s="0" t="s">
        <v>83</v>
      </c>
      <c r="AN313" s="0" t="s">
        <v>63</v>
      </c>
    </row>
    <row r="314" customFormat="false" ht="15" hidden="false" customHeight="false" outlineLevel="0" collapsed="false">
      <c r="A314" s="1" t="n">
        <v>45685</v>
      </c>
      <c r="B314" s="0" t="s">
        <v>883</v>
      </c>
      <c r="C314" s="0" t="s">
        <v>66</v>
      </c>
      <c r="D314" s="0" t="n">
        <v>8082155988</v>
      </c>
      <c r="E314" s="0" t="s">
        <v>139</v>
      </c>
      <c r="F314" s="0" t="s">
        <v>884</v>
      </c>
      <c r="G314" s="0" t="s">
        <v>107</v>
      </c>
      <c r="H314" s="0" t="s">
        <v>165</v>
      </c>
      <c r="I314" s="0" t="s">
        <v>47</v>
      </c>
      <c r="K314" s="0" t="n">
        <v>107782</v>
      </c>
      <c r="L314" s="0" t="s">
        <v>124</v>
      </c>
      <c r="M314" s="0" t="s">
        <v>50</v>
      </c>
      <c r="N314" s="0" t="n">
        <v>3</v>
      </c>
      <c r="O314" s="0" t="n">
        <v>5.7</v>
      </c>
      <c r="P314" s="0" t="s">
        <v>51</v>
      </c>
      <c r="Q314" s="0" t="s">
        <v>52</v>
      </c>
      <c r="R314" s="0" t="s">
        <v>136</v>
      </c>
      <c r="S314" s="0" t="s">
        <v>75</v>
      </c>
      <c r="T314" s="0" t="n">
        <v>30</v>
      </c>
      <c r="U314" s="0" t="s">
        <v>96</v>
      </c>
      <c r="V314" s="0" t="s">
        <v>77</v>
      </c>
      <c r="W314" s="0" t="s">
        <v>113</v>
      </c>
      <c r="X314" s="0" t="s">
        <v>58</v>
      </c>
      <c r="Y314" s="0" t="s">
        <v>59</v>
      </c>
      <c r="AA314" s="0" t="n">
        <v>30000</v>
      </c>
      <c r="AB314" s="0" t="s">
        <v>178</v>
      </c>
      <c r="AC314" s="0" t="s">
        <v>82</v>
      </c>
      <c r="AD314" s="0" t="n">
        <v>5000</v>
      </c>
      <c r="AE314" s="0" t="s">
        <v>80</v>
      </c>
      <c r="AG314" s="0" t="s">
        <v>82</v>
      </c>
      <c r="AI314" s="0" t="s">
        <v>101</v>
      </c>
      <c r="AJ314" s="0" t="s">
        <v>50</v>
      </c>
      <c r="AK314" s="0" t="s">
        <v>63</v>
      </c>
      <c r="AL314" s="0" t="s">
        <v>63</v>
      </c>
      <c r="AM314" s="0" t="s">
        <v>118</v>
      </c>
    </row>
    <row r="315" customFormat="false" ht="15" hidden="false" customHeight="false" outlineLevel="0" collapsed="false">
      <c r="A315" s="0" t="s">
        <v>299</v>
      </c>
      <c r="B315" s="0" t="s">
        <v>885</v>
      </c>
      <c r="C315" s="0" t="s">
        <v>163</v>
      </c>
      <c r="D315" s="0" t="n">
        <v>8050216625</v>
      </c>
      <c r="E315" s="0" t="s">
        <v>122</v>
      </c>
      <c r="F315" s="0" t="s">
        <v>886</v>
      </c>
      <c r="G315" s="0" t="s">
        <v>107</v>
      </c>
      <c r="H315" s="0" t="s">
        <v>153</v>
      </c>
      <c r="I315" s="0" t="s">
        <v>154</v>
      </c>
      <c r="J315" s="0" t="s">
        <v>48</v>
      </c>
      <c r="K315" s="0" t="n">
        <v>98268</v>
      </c>
      <c r="L315" s="0" t="s">
        <v>49</v>
      </c>
      <c r="M315" s="0" t="s">
        <v>63</v>
      </c>
      <c r="N315" s="0" t="n">
        <v>2</v>
      </c>
      <c r="O315" s="0" t="n">
        <v>4.9</v>
      </c>
      <c r="P315" s="0" t="s">
        <v>51</v>
      </c>
      <c r="Q315" s="0" t="s">
        <v>93</v>
      </c>
      <c r="R315" s="0" t="s">
        <v>94</v>
      </c>
      <c r="S315" s="0" t="s">
        <v>147</v>
      </c>
      <c r="T315" s="0" t="s">
        <v>127</v>
      </c>
      <c r="U315" s="0" t="s">
        <v>96</v>
      </c>
      <c r="V315" s="0" t="s">
        <v>97</v>
      </c>
      <c r="W315" s="0" t="s">
        <v>113</v>
      </c>
      <c r="X315" s="0" t="s">
        <v>114</v>
      </c>
      <c r="Y315" s="0" t="s">
        <v>59</v>
      </c>
      <c r="Z315" s="0" t="s">
        <v>79</v>
      </c>
      <c r="AA315" s="0" t="n">
        <v>25000</v>
      </c>
      <c r="AB315" s="0" t="n">
        <v>40000</v>
      </c>
      <c r="AC315" s="0" t="s">
        <v>82</v>
      </c>
      <c r="AD315" s="0" t="n">
        <v>0</v>
      </c>
      <c r="AE315" s="0" t="s">
        <v>184</v>
      </c>
      <c r="AF315" s="1" t="n">
        <v>45851</v>
      </c>
      <c r="AG315" s="0" t="s">
        <v>61</v>
      </c>
      <c r="AH315" s="0" t="s">
        <v>116</v>
      </c>
      <c r="AJ315" s="0" t="s">
        <v>50</v>
      </c>
      <c r="AK315" s="0" t="s">
        <v>63</v>
      </c>
      <c r="AL315" s="0" t="s">
        <v>102</v>
      </c>
      <c r="AN315" s="0" t="s">
        <v>190</v>
      </c>
    </row>
    <row r="316" customFormat="false" ht="15" hidden="false" customHeight="false" outlineLevel="0" collapsed="false">
      <c r="A316" s="1" t="n">
        <v>45817</v>
      </c>
      <c r="B316" s="0" t="s">
        <v>887</v>
      </c>
      <c r="C316" s="0" t="s">
        <v>121</v>
      </c>
      <c r="D316" s="0" t="n">
        <v>8053765651</v>
      </c>
      <c r="E316" s="0" t="s">
        <v>85</v>
      </c>
      <c r="F316" s="0" t="s">
        <v>888</v>
      </c>
      <c r="G316" s="0" t="s">
        <v>45</v>
      </c>
      <c r="H316" s="0" t="s">
        <v>165</v>
      </c>
      <c r="I316" s="0" t="s">
        <v>189</v>
      </c>
      <c r="K316" s="0" t="n">
        <v>21696</v>
      </c>
      <c r="L316" s="0" t="s">
        <v>91</v>
      </c>
      <c r="M316" s="0" t="s">
        <v>63</v>
      </c>
      <c r="N316" s="0" t="n">
        <v>1</v>
      </c>
      <c r="O316" s="0" t="n">
        <v>2.5</v>
      </c>
      <c r="P316" s="0" t="s">
        <v>92</v>
      </c>
      <c r="Q316" s="0" t="s">
        <v>73</v>
      </c>
      <c r="R316" s="0" t="s">
        <v>136</v>
      </c>
      <c r="S316" s="0" t="s">
        <v>95</v>
      </c>
      <c r="T316" s="0" t="n">
        <v>60</v>
      </c>
      <c r="U316" s="0" t="s">
        <v>76</v>
      </c>
      <c r="V316" s="0" t="s">
        <v>56</v>
      </c>
      <c r="W316" s="0" t="s">
        <v>78</v>
      </c>
      <c r="X316" s="0" t="s">
        <v>137</v>
      </c>
      <c r="Y316" s="0" t="s">
        <v>156</v>
      </c>
      <c r="Z316" s="0" t="s">
        <v>149</v>
      </c>
      <c r="AA316" s="0" t="n">
        <v>25000</v>
      </c>
      <c r="AB316" s="0" t="n">
        <v>35000</v>
      </c>
      <c r="AC316" s="0" t="s">
        <v>63</v>
      </c>
      <c r="AD316" s="0" t="n">
        <v>10000</v>
      </c>
      <c r="AE316" s="0" t="s">
        <v>130</v>
      </c>
      <c r="AF316" s="1" t="n">
        <v>45895</v>
      </c>
      <c r="AG316" s="0" t="s">
        <v>82</v>
      </c>
      <c r="AI316" s="0" t="s">
        <v>101</v>
      </c>
      <c r="AJ316" s="0" t="s">
        <v>50</v>
      </c>
      <c r="AK316" s="0" t="s">
        <v>63</v>
      </c>
      <c r="AM316" s="0" t="s">
        <v>83</v>
      </c>
    </row>
    <row r="317" customFormat="false" ht="15" hidden="false" customHeight="false" outlineLevel="0" collapsed="false">
      <c r="A317" s="1" t="n">
        <v>45841</v>
      </c>
      <c r="B317" s="0" t="s">
        <v>889</v>
      </c>
      <c r="C317" s="0" t="s">
        <v>105</v>
      </c>
      <c r="D317" s="0" t="n">
        <v>8088779778</v>
      </c>
      <c r="E317" s="0" t="s">
        <v>43</v>
      </c>
      <c r="F317" s="0" t="s">
        <v>890</v>
      </c>
      <c r="G317" s="0" t="s">
        <v>87</v>
      </c>
      <c r="I317" s="0" t="s">
        <v>154</v>
      </c>
      <c r="J317" s="0" t="s">
        <v>109</v>
      </c>
      <c r="K317" s="0" t="n">
        <v>25195</v>
      </c>
      <c r="L317" s="0" t="s">
        <v>72</v>
      </c>
      <c r="M317" s="0" t="s">
        <v>63</v>
      </c>
      <c r="N317" s="0" t="n">
        <v>1</v>
      </c>
      <c r="O317" s="0" t="n">
        <v>4.8</v>
      </c>
      <c r="P317" s="0" t="s">
        <v>51</v>
      </c>
      <c r="Q317" s="0" t="s">
        <v>93</v>
      </c>
      <c r="R317" s="0" t="s">
        <v>94</v>
      </c>
      <c r="S317" s="0" t="s">
        <v>54</v>
      </c>
      <c r="T317" s="0" t="n">
        <v>15</v>
      </c>
      <c r="U317" s="0" t="s">
        <v>112</v>
      </c>
      <c r="V317" s="0" t="s">
        <v>148</v>
      </c>
      <c r="W317" s="0" t="s">
        <v>57</v>
      </c>
      <c r="X317" s="0" t="s">
        <v>58</v>
      </c>
      <c r="Y317" s="0" t="s">
        <v>197</v>
      </c>
      <c r="AA317" s="0" t="s">
        <v>150</v>
      </c>
      <c r="AC317" s="0" t="s">
        <v>61</v>
      </c>
      <c r="AD317" s="0" t="n">
        <v>10000</v>
      </c>
      <c r="AE317" s="0" t="s">
        <v>130</v>
      </c>
      <c r="AF317" s="0" t="s">
        <v>891</v>
      </c>
      <c r="AG317" s="0" t="s">
        <v>61</v>
      </c>
      <c r="AH317" s="0" t="s">
        <v>171</v>
      </c>
      <c r="AI317" s="0" t="s">
        <v>101</v>
      </c>
      <c r="AJ317" s="0" t="s">
        <v>81</v>
      </c>
      <c r="AK317" s="0" t="s">
        <v>82</v>
      </c>
      <c r="AM317" s="0" t="s">
        <v>83</v>
      </c>
      <c r="AN317" s="0" t="s">
        <v>190</v>
      </c>
    </row>
    <row r="318" customFormat="false" ht="15" hidden="false" customHeight="false" outlineLevel="0" collapsed="false">
      <c r="A318" s="1" t="n">
        <v>45714</v>
      </c>
      <c r="B318" s="0" t="s">
        <v>892</v>
      </c>
      <c r="C318" s="0" t="s">
        <v>66</v>
      </c>
      <c r="D318" s="0" t="n">
        <v>8013119198</v>
      </c>
      <c r="E318" s="0" t="s">
        <v>85</v>
      </c>
      <c r="F318" s="0" t="s">
        <v>893</v>
      </c>
      <c r="G318" s="0" t="s">
        <v>45</v>
      </c>
      <c r="H318" s="0" t="s">
        <v>88</v>
      </c>
      <c r="I318" s="0" t="s">
        <v>154</v>
      </c>
      <c r="J318" s="0" t="s">
        <v>90</v>
      </c>
      <c r="K318" s="0" t="n">
        <v>24773</v>
      </c>
      <c r="L318" s="0" t="s">
        <v>110</v>
      </c>
      <c r="M318" s="0" t="s">
        <v>63</v>
      </c>
      <c r="N318" s="0" t="n">
        <v>2</v>
      </c>
      <c r="O318" s="0" t="n">
        <v>5.5</v>
      </c>
      <c r="P318" s="0" t="s">
        <v>51</v>
      </c>
      <c r="Q318" s="0" t="s">
        <v>73</v>
      </c>
      <c r="R318" s="0" t="s">
        <v>74</v>
      </c>
      <c r="S318" s="0" t="s">
        <v>147</v>
      </c>
      <c r="T318" s="0" t="n">
        <v>15</v>
      </c>
      <c r="U318" s="0" t="s">
        <v>76</v>
      </c>
      <c r="V318" s="0" t="s">
        <v>77</v>
      </c>
      <c r="W318" s="0" t="s">
        <v>98</v>
      </c>
      <c r="X318" s="0" t="s">
        <v>99</v>
      </c>
      <c r="AA318" s="0" t="n">
        <v>25000</v>
      </c>
      <c r="AB318" s="0" t="n">
        <v>40000</v>
      </c>
      <c r="AC318" s="0" t="s">
        <v>63</v>
      </c>
      <c r="AE318" s="0" t="s">
        <v>80</v>
      </c>
      <c r="AF318" s="1" t="n">
        <v>46003</v>
      </c>
      <c r="AH318" s="0" t="s">
        <v>116</v>
      </c>
      <c r="AI318" s="0" t="s">
        <v>172</v>
      </c>
      <c r="AJ318" s="0" t="s">
        <v>62</v>
      </c>
      <c r="AL318" s="0" t="s">
        <v>50</v>
      </c>
      <c r="AM318" s="0" t="s">
        <v>64</v>
      </c>
    </row>
    <row r="319" customFormat="false" ht="15" hidden="false" customHeight="false" outlineLevel="0" collapsed="false">
      <c r="A319" s="1" t="n">
        <v>45813</v>
      </c>
      <c r="B319" s="0" t="s">
        <v>894</v>
      </c>
      <c r="C319" s="0" t="s">
        <v>121</v>
      </c>
      <c r="D319" s="0" t="n">
        <v>8086178952</v>
      </c>
      <c r="E319" s="0" t="s">
        <v>43</v>
      </c>
      <c r="F319" s="0" t="s">
        <v>895</v>
      </c>
      <c r="G319" s="0" t="s">
        <v>107</v>
      </c>
      <c r="H319" s="0" t="s">
        <v>146</v>
      </c>
      <c r="I319" s="0" t="s">
        <v>108</v>
      </c>
      <c r="J319" s="0" t="s">
        <v>48</v>
      </c>
      <c r="K319" s="0" t="n">
        <v>60145</v>
      </c>
      <c r="L319" s="0" t="s">
        <v>124</v>
      </c>
      <c r="M319" s="0" t="s">
        <v>50</v>
      </c>
      <c r="N319" s="0" t="n">
        <v>2</v>
      </c>
      <c r="O319" s="0" t="n">
        <v>4.3</v>
      </c>
      <c r="P319" s="0" t="s">
        <v>111</v>
      </c>
      <c r="Q319" s="0" t="s">
        <v>73</v>
      </c>
      <c r="R319" s="0" t="s">
        <v>136</v>
      </c>
      <c r="S319" s="0" t="s">
        <v>126</v>
      </c>
      <c r="U319" s="0" t="s">
        <v>112</v>
      </c>
      <c r="V319" s="0" t="s">
        <v>155</v>
      </c>
      <c r="W319" s="0" t="s">
        <v>57</v>
      </c>
      <c r="X319" s="0" t="s">
        <v>99</v>
      </c>
      <c r="Y319" s="0" t="s">
        <v>177</v>
      </c>
      <c r="Z319" s="0" t="s">
        <v>129</v>
      </c>
      <c r="AA319" s="0" t="n">
        <v>30000</v>
      </c>
      <c r="AC319" s="0" t="s">
        <v>50</v>
      </c>
      <c r="AD319" s="0" t="s">
        <v>115</v>
      </c>
      <c r="AE319" s="0" t="s">
        <v>184</v>
      </c>
      <c r="AF319" s="1" t="n">
        <v>45970</v>
      </c>
      <c r="AG319" s="0" t="s">
        <v>82</v>
      </c>
      <c r="AH319" s="0" t="s">
        <v>116</v>
      </c>
      <c r="AI319" s="0" t="s">
        <v>172</v>
      </c>
      <c r="AJ319" s="0" t="s">
        <v>63</v>
      </c>
      <c r="AK319" s="0" t="s">
        <v>63</v>
      </c>
      <c r="AL319" s="0" t="s">
        <v>102</v>
      </c>
      <c r="AM319" s="0" t="s">
        <v>103</v>
      </c>
      <c r="AN319" s="0" t="s">
        <v>198</v>
      </c>
    </row>
    <row r="320" customFormat="false" ht="15" hidden="false" customHeight="false" outlineLevel="0" collapsed="false">
      <c r="A320" s="1" t="n">
        <v>45750</v>
      </c>
      <c r="B320" s="0" t="s">
        <v>896</v>
      </c>
      <c r="C320" s="0" t="s">
        <v>121</v>
      </c>
      <c r="D320" s="0" t="n">
        <v>8014323017</v>
      </c>
      <c r="E320" s="0" t="s">
        <v>85</v>
      </c>
      <c r="F320" s="0" t="s">
        <v>897</v>
      </c>
      <c r="G320" s="0" t="s">
        <v>107</v>
      </c>
      <c r="I320" s="0" t="s">
        <v>108</v>
      </c>
      <c r="J320" s="0" t="s">
        <v>71</v>
      </c>
      <c r="K320" s="0" t="n">
        <v>62782</v>
      </c>
      <c r="L320" s="0" t="s">
        <v>110</v>
      </c>
      <c r="M320" s="0" t="s">
        <v>63</v>
      </c>
      <c r="O320" s="0" t="n">
        <v>4.6</v>
      </c>
      <c r="P320" s="0" t="s">
        <v>92</v>
      </c>
      <c r="Q320" s="0" t="s">
        <v>93</v>
      </c>
      <c r="R320" s="0" t="s">
        <v>53</v>
      </c>
      <c r="S320" s="0" t="s">
        <v>95</v>
      </c>
      <c r="T320" s="0" t="n">
        <v>60</v>
      </c>
      <c r="U320" s="0" t="s">
        <v>76</v>
      </c>
      <c r="V320" s="0" t="s">
        <v>155</v>
      </c>
      <c r="W320" s="0" t="s">
        <v>98</v>
      </c>
      <c r="X320" s="0" t="s">
        <v>137</v>
      </c>
      <c r="Y320" s="0" t="s">
        <v>177</v>
      </c>
      <c r="Z320" s="0" t="s">
        <v>143</v>
      </c>
      <c r="AA320" s="0" t="n">
        <v>40000</v>
      </c>
      <c r="AB320" s="0" t="n">
        <v>35000</v>
      </c>
      <c r="AC320" s="0" t="s">
        <v>61</v>
      </c>
      <c r="AE320" s="0" t="s">
        <v>130</v>
      </c>
      <c r="AF320" s="0" t="s">
        <v>348</v>
      </c>
      <c r="AG320" s="0" t="s">
        <v>63</v>
      </c>
      <c r="AI320" s="0" t="s">
        <v>101</v>
      </c>
      <c r="AK320" s="0" t="s">
        <v>82</v>
      </c>
      <c r="AL320" s="0" t="s">
        <v>50</v>
      </c>
      <c r="AM320" s="0" t="s">
        <v>103</v>
      </c>
      <c r="AN320" s="0" t="s">
        <v>190</v>
      </c>
    </row>
    <row r="321" customFormat="false" ht="15" hidden="false" customHeight="false" outlineLevel="0" collapsed="false">
      <c r="A321" s="1" t="n">
        <v>45672</v>
      </c>
      <c r="B321" s="0" t="s">
        <v>898</v>
      </c>
      <c r="C321" s="0" t="s">
        <v>66</v>
      </c>
      <c r="D321" s="0" t="n">
        <v>8028674348</v>
      </c>
      <c r="E321" s="0" t="s">
        <v>43</v>
      </c>
      <c r="F321" s="0" t="s">
        <v>899</v>
      </c>
      <c r="G321" s="0" t="s">
        <v>87</v>
      </c>
      <c r="H321" s="0" t="s">
        <v>141</v>
      </c>
      <c r="I321" s="0" t="s">
        <v>142</v>
      </c>
      <c r="K321" s="0" t="n">
        <v>23697</v>
      </c>
      <c r="L321" s="0" t="s">
        <v>110</v>
      </c>
      <c r="M321" s="0" t="s">
        <v>50</v>
      </c>
      <c r="N321" s="0" t="n">
        <v>5</v>
      </c>
      <c r="O321" s="0" t="n">
        <v>3.9</v>
      </c>
      <c r="Q321" s="0" t="s">
        <v>73</v>
      </c>
      <c r="R321" s="0" t="s">
        <v>159</v>
      </c>
      <c r="S321" s="0" t="s">
        <v>54</v>
      </c>
      <c r="T321" s="0" t="s">
        <v>127</v>
      </c>
      <c r="U321" s="0" t="s">
        <v>160</v>
      </c>
      <c r="V321" s="0" t="s">
        <v>155</v>
      </c>
      <c r="W321" s="0" t="s">
        <v>57</v>
      </c>
      <c r="X321" s="0" t="s">
        <v>58</v>
      </c>
      <c r="Z321" s="0" t="s">
        <v>79</v>
      </c>
      <c r="AA321" s="0" t="n">
        <v>30000</v>
      </c>
      <c r="AB321" s="0" t="s">
        <v>178</v>
      </c>
      <c r="AC321" s="0" t="s">
        <v>61</v>
      </c>
      <c r="AE321" s="0" t="s">
        <v>80</v>
      </c>
      <c r="AF321" s="0" t="s">
        <v>215</v>
      </c>
      <c r="AG321" s="0" t="s">
        <v>82</v>
      </c>
      <c r="AI321" s="0" t="s">
        <v>117</v>
      </c>
      <c r="AJ321" s="0" t="s">
        <v>63</v>
      </c>
      <c r="AK321" s="0" t="s">
        <v>82</v>
      </c>
      <c r="AM321" s="0" t="s">
        <v>83</v>
      </c>
      <c r="AN321" s="0" t="s">
        <v>190</v>
      </c>
    </row>
    <row r="322" customFormat="false" ht="15" hidden="false" customHeight="false" outlineLevel="0" collapsed="false">
      <c r="A322" s="1" t="n">
        <v>45668</v>
      </c>
      <c r="B322" s="0" t="s">
        <v>900</v>
      </c>
      <c r="C322" s="0" t="s">
        <v>121</v>
      </c>
      <c r="D322" s="0" t="n">
        <v>8030628088</v>
      </c>
      <c r="E322" s="0" t="s">
        <v>85</v>
      </c>
      <c r="F322" s="0" t="s">
        <v>901</v>
      </c>
      <c r="G322" s="0" t="s">
        <v>134</v>
      </c>
      <c r="I322" s="0" t="s">
        <v>47</v>
      </c>
      <c r="J322" s="0" t="s">
        <v>90</v>
      </c>
      <c r="K322" s="0" t="n">
        <v>26974</v>
      </c>
      <c r="L322" s="0" t="s">
        <v>110</v>
      </c>
      <c r="M322" s="0" t="s">
        <v>63</v>
      </c>
      <c r="N322" s="0" t="n">
        <v>5</v>
      </c>
      <c r="O322" s="0" t="n">
        <v>3.2</v>
      </c>
      <c r="P322" s="0" t="s">
        <v>111</v>
      </c>
      <c r="Q322" s="0" t="s">
        <v>52</v>
      </c>
      <c r="R322" s="0" t="s">
        <v>53</v>
      </c>
      <c r="S322" s="0" t="s">
        <v>54</v>
      </c>
      <c r="T322" s="0" t="n">
        <v>30</v>
      </c>
      <c r="U322" s="0" t="s">
        <v>76</v>
      </c>
      <c r="V322" s="0" t="s">
        <v>77</v>
      </c>
      <c r="W322" s="0" t="s">
        <v>98</v>
      </c>
      <c r="X322" s="0" t="s">
        <v>58</v>
      </c>
      <c r="AA322" s="0" t="n">
        <v>40000</v>
      </c>
      <c r="AB322" s="0" t="n">
        <v>35000</v>
      </c>
      <c r="AC322" s="0" t="s">
        <v>61</v>
      </c>
      <c r="AE322" s="0" t="s">
        <v>130</v>
      </c>
      <c r="AF322" s="1" t="n">
        <v>45862</v>
      </c>
      <c r="AG322" s="0" t="s">
        <v>82</v>
      </c>
      <c r="AI322" s="0" t="s">
        <v>172</v>
      </c>
      <c r="AJ322" s="0" t="s">
        <v>63</v>
      </c>
      <c r="AK322" s="0" t="s">
        <v>82</v>
      </c>
      <c r="AL322" s="0" t="s">
        <v>50</v>
      </c>
      <c r="AM322" s="0" t="s">
        <v>83</v>
      </c>
      <c r="AN322" s="0" t="s">
        <v>50</v>
      </c>
    </row>
    <row r="323" customFormat="false" ht="15" hidden="false" customHeight="false" outlineLevel="0" collapsed="false">
      <c r="A323" s="1" t="n">
        <v>45676</v>
      </c>
      <c r="B323" s="0" t="s">
        <v>902</v>
      </c>
      <c r="C323" s="0" t="s">
        <v>105</v>
      </c>
      <c r="D323" s="0" t="n">
        <v>8054325475</v>
      </c>
      <c r="E323" s="0" t="s">
        <v>122</v>
      </c>
      <c r="F323" s="0" t="s">
        <v>903</v>
      </c>
      <c r="G323" s="0" t="s">
        <v>87</v>
      </c>
      <c r="H323" s="0" t="s">
        <v>135</v>
      </c>
      <c r="I323" s="0" t="s">
        <v>47</v>
      </c>
      <c r="K323" s="0" t="n">
        <v>33685</v>
      </c>
      <c r="L323" s="0" t="s">
        <v>49</v>
      </c>
      <c r="M323" s="0" t="s">
        <v>50</v>
      </c>
      <c r="N323" s="0" t="n">
        <v>3</v>
      </c>
      <c r="O323" s="0" t="n">
        <v>3.8</v>
      </c>
      <c r="P323" s="0" t="s">
        <v>92</v>
      </c>
      <c r="Q323" s="0" t="s">
        <v>52</v>
      </c>
      <c r="R323" s="0" t="s">
        <v>53</v>
      </c>
      <c r="S323" s="0" t="s">
        <v>147</v>
      </c>
      <c r="T323" s="0" t="s">
        <v>127</v>
      </c>
      <c r="U323" s="0" t="s">
        <v>76</v>
      </c>
      <c r="V323" s="0" t="s">
        <v>77</v>
      </c>
      <c r="W323" s="0" t="s">
        <v>57</v>
      </c>
      <c r="X323" s="0" t="s">
        <v>99</v>
      </c>
      <c r="Y323" s="0" t="s">
        <v>156</v>
      </c>
      <c r="Z323" s="0" t="s">
        <v>149</v>
      </c>
      <c r="AA323" s="0" t="n">
        <v>30000</v>
      </c>
      <c r="AB323" s="0" t="s">
        <v>178</v>
      </c>
      <c r="AC323" s="0" t="s">
        <v>61</v>
      </c>
      <c r="AD323" s="0" t="n">
        <v>0</v>
      </c>
      <c r="AE323" s="0" t="s">
        <v>80</v>
      </c>
      <c r="AF323" s="1" t="n">
        <v>45864</v>
      </c>
      <c r="AG323" s="0" t="s">
        <v>61</v>
      </c>
      <c r="AJ323" s="0" t="s">
        <v>63</v>
      </c>
      <c r="AK323" s="0" t="s">
        <v>63</v>
      </c>
      <c r="AL323" s="0" t="s">
        <v>102</v>
      </c>
      <c r="AM323" s="0" t="s">
        <v>83</v>
      </c>
      <c r="AN323" s="0" t="s">
        <v>198</v>
      </c>
    </row>
    <row r="324" customFormat="false" ht="15" hidden="false" customHeight="false" outlineLevel="0" collapsed="false">
      <c r="A324" s="1" t="n">
        <v>45683</v>
      </c>
      <c r="B324" s="0" t="s">
        <v>904</v>
      </c>
      <c r="C324" s="0" t="s">
        <v>163</v>
      </c>
      <c r="D324" s="0" t="n">
        <v>8086261289</v>
      </c>
      <c r="E324" s="0" t="s">
        <v>122</v>
      </c>
      <c r="F324" s="0" t="s">
        <v>905</v>
      </c>
      <c r="G324" s="0" t="s">
        <v>107</v>
      </c>
      <c r="H324" s="0" t="s">
        <v>70</v>
      </c>
      <c r="I324" s="0" t="s">
        <v>189</v>
      </c>
      <c r="J324" s="0" t="s">
        <v>90</v>
      </c>
      <c r="K324" s="0" t="n">
        <v>15485</v>
      </c>
      <c r="L324" s="0" t="s">
        <v>91</v>
      </c>
      <c r="M324" s="0" t="s">
        <v>63</v>
      </c>
      <c r="N324" s="0" t="n">
        <v>4</v>
      </c>
      <c r="O324" s="0" t="n">
        <v>5.4</v>
      </c>
      <c r="Q324" s="0" t="s">
        <v>73</v>
      </c>
      <c r="S324" s="0" t="s">
        <v>75</v>
      </c>
      <c r="U324" s="0" t="s">
        <v>112</v>
      </c>
      <c r="V324" s="0" t="s">
        <v>148</v>
      </c>
      <c r="W324" s="0" t="s">
        <v>113</v>
      </c>
      <c r="X324" s="0" t="s">
        <v>196</v>
      </c>
      <c r="Y324" s="0" t="s">
        <v>156</v>
      </c>
      <c r="Z324" s="0" t="s">
        <v>149</v>
      </c>
      <c r="AA324" s="0" t="n">
        <v>40000</v>
      </c>
      <c r="AB324" s="0" t="n">
        <v>20000</v>
      </c>
      <c r="AC324" s="0" t="s">
        <v>61</v>
      </c>
      <c r="AD324" s="0" t="n">
        <v>0</v>
      </c>
      <c r="AF324" s="1" t="n">
        <v>45879</v>
      </c>
      <c r="AG324" s="0" t="s">
        <v>50</v>
      </c>
      <c r="AH324" s="0" t="s">
        <v>171</v>
      </c>
      <c r="AJ324" s="0" t="s">
        <v>81</v>
      </c>
      <c r="AK324" s="0" t="s">
        <v>61</v>
      </c>
      <c r="AM324" s="0" t="s">
        <v>64</v>
      </c>
      <c r="AN324" s="0" t="s">
        <v>63</v>
      </c>
    </row>
    <row r="325" customFormat="false" ht="15" hidden="false" customHeight="false" outlineLevel="0" collapsed="false">
      <c r="A325" s="1" t="n">
        <v>45717</v>
      </c>
      <c r="B325" s="0" t="s">
        <v>906</v>
      </c>
      <c r="C325" s="0" t="s">
        <v>105</v>
      </c>
      <c r="D325" s="0" t="n">
        <v>8094535600</v>
      </c>
      <c r="E325" s="0" t="s">
        <v>67</v>
      </c>
      <c r="F325" s="0" t="s">
        <v>907</v>
      </c>
      <c r="G325" s="0" t="s">
        <v>87</v>
      </c>
      <c r="H325" s="0" t="s">
        <v>170</v>
      </c>
      <c r="I325" s="0" t="s">
        <v>189</v>
      </c>
      <c r="J325" s="0" t="s">
        <v>48</v>
      </c>
      <c r="K325" s="0" t="n">
        <v>25854</v>
      </c>
      <c r="L325" s="0" t="s">
        <v>166</v>
      </c>
      <c r="M325" s="0" t="s">
        <v>50</v>
      </c>
      <c r="N325" s="0" t="n">
        <v>2</v>
      </c>
      <c r="O325" s="0" t="n">
        <v>5.1</v>
      </c>
      <c r="P325" s="0" t="s">
        <v>92</v>
      </c>
      <c r="Q325" s="0" t="s">
        <v>93</v>
      </c>
      <c r="R325" s="0" t="s">
        <v>74</v>
      </c>
      <c r="S325" s="0" t="s">
        <v>147</v>
      </c>
      <c r="T325" s="0" t="n">
        <v>15</v>
      </c>
      <c r="U325" s="0" t="s">
        <v>160</v>
      </c>
      <c r="V325" s="0" t="s">
        <v>56</v>
      </c>
      <c r="W325" s="0" t="s">
        <v>98</v>
      </c>
      <c r="X325" s="0" t="s">
        <v>99</v>
      </c>
      <c r="Y325" s="0" t="s">
        <v>197</v>
      </c>
      <c r="Z325" s="0" t="s">
        <v>129</v>
      </c>
      <c r="AA325" s="0" t="n">
        <v>40000</v>
      </c>
      <c r="AB325" s="0" t="n">
        <v>35000</v>
      </c>
      <c r="AE325" s="0" t="s">
        <v>60</v>
      </c>
      <c r="AF325" s="1" t="n">
        <v>45833</v>
      </c>
      <c r="AG325" s="0" t="s">
        <v>82</v>
      </c>
      <c r="AH325" s="0" t="s">
        <v>171</v>
      </c>
      <c r="AK325" s="0" t="s">
        <v>50</v>
      </c>
      <c r="AL325" s="0" t="s">
        <v>102</v>
      </c>
      <c r="AM325" s="0" t="s">
        <v>103</v>
      </c>
      <c r="AN325" s="0" t="s">
        <v>190</v>
      </c>
    </row>
    <row r="326" customFormat="false" ht="15" hidden="false" customHeight="false" outlineLevel="0" collapsed="false">
      <c r="A326" s="1" t="n">
        <v>45721</v>
      </c>
      <c r="B326" s="0" t="s">
        <v>908</v>
      </c>
      <c r="C326" s="0" t="s">
        <v>66</v>
      </c>
      <c r="D326" s="0" t="n">
        <v>8090933663</v>
      </c>
      <c r="E326" s="0" t="s">
        <v>43</v>
      </c>
      <c r="F326" s="0" t="s">
        <v>717</v>
      </c>
      <c r="G326" s="0" t="s">
        <v>134</v>
      </c>
      <c r="H326" s="0" t="s">
        <v>141</v>
      </c>
      <c r="I326" s="0" t="s">
        <v>108</v>
      </c>
      <c r="J326" s="0" t="s">
        <v>90</v>
      </c>
      <c r="K326" s="0" t="n">
        <v>90938</v>
      </c>
      <c r="L326" s="0" t="s">
        <v>110</v>
      </c>
      <c r="M326" s="0" t="s">
        <v>63</v>
      </c>
      <c r="N326" s="0" t="n">
        <v>2</v>
      </c>
      <c r="O326" s="0" t="n">
        <v>5.4</v>
      </c>
      <c r="Q326" s="0" t="s">
        <v>73</v>
      </c>
      <c r="R326" s="0" t="s">
        <v>74</v>
      </c>
      <c r="S326" s="0" t="s">
        <v>126</v>
      </c>
      <c r="T326" s="0" t="n">
        <v>15</v>
      </c>
      <c r="U326" s="0" t="s">
        <v>76</v>
      </c>
      <c r="V326" s="0" t="s">
        <v>155</v>
      </c>
      <c r="W326" s="0" t="s">
        <v>98</v>
      </c>
      <c r="X326" s="0" t="s">
        <v>137</v>
      </c>
      <c r="Y326" s="0" t="s">
        <v>59</v>
      </c>
      <c r="Z326" s="0" t="s">
        <v>129</v>
      </c>
      <c r="AA326" s="0" t="n">
        <v>30000</v>
      </c>
      <c r="AB326" s="0" t="n">
        <v>30000</v>
      </c>
      <c r="AC326" s="0" t="s">
        <v>61</v>
      </c>
      <c r="AD326" s="0" t="s">
        <v>115</v>
      </c>
      <c r="AG326" s="0" t="s">
        <v>63</v>
      </c>
      <c r="AI326" s="0" t="s">
        <v>101</v>
      </c>
      <c r="AJ326" s="0" t="s">
        <v>63</v>
      </c>
      <c r="AK326" s="0" t="s">
        <v>61</v>
      </c>
      <c r="AL326" s="0" t="s">
        <v>63</v>
      </c>
      <c r="AM326" s="0" t="s">
        <v>64</v>
      </c>
      <c r="AN326" s="0" t="s">
        <v>63</v>
      </c>
    </row>
    <row r="327" customFormat="false" ht="15" hidden="false" customHeight="false" outlineLevel="0" collapsed="false">
      <c r="A327" s="1" t="n">
        <v>45800</v>
      </c>
      <c r="B327" s="0" t="s">
        <v>909</v>
      </c>
      <c r="C327" s="0" t="s">
        <v>42</v>
      </c>
      <c r="D327" s="0" t="n">
        <v>8091582537</v>
      </c>
      <c r="E327" s="0" t="s">
        <v>139</v>
      </c>
      <c r="F327" s="0" t="s">
        <v>910</v>
      </c>
      <c r="G327" s="0" t="s">
        <v>45</v>
      </c>
      <c r="H327" s="0" t="s">
        <v>88</v>
      </c>
      <c r="I327" s="0" t="s">
        <v>89</v>
      </c>
      <c r="J327" s="0" t="s">
        <v>71</v>
      </c>
      <c r="K327" s="0" t="n">
        <v>104590</v>
      </c>
      <c r="L327" s="0" t="s">
        <v>110</v>
      </c>
      <c r="M327" s="0" t="s">
        <v>63</v>
      </c>
      <c r="N327" s="0" t="n">
        <v>1</v>
      </c>
      <c r="O327" s="0" t="n">
        <v>2.6</v>
      </c>
      <c r="P327" s="0" t="s">
        <v>125</v>
      </c>
      <c r="Q327" s="0" t="s">
        <v>52</v>
      </c>
      <c r="R327" s="0" t="s">
        <v>94</v>
      </c>
      <c r="S327" s="0" t="s">
        <v>126</v>
      </c>
      <c r="T327" s="0" t="n">
        <v>30</v>
      </c>
      <c r="U327" s="0" t="s">
        <v>160</v>
      </c>
      <c r="V327" s="0" t="s">
        <v>148</v>
      </c>
      <c r="W327" s="0" t="s">
        <v>78</v>
      </c>
      <c r="X327" s="0" t="s">
        <v>137</v>
      </c>
      <c r="Y327" s="0" t="s">
        <v>197</v>
      </c>
      <c r="AA327" s="0" t="s">
        <v>150</v>
      </c>
      <c r="AC327" s="0" t="s">
        <v>82</v>
      </c>
      <c r="AD327" s="0" t="n">
        <v>0</v>
      </c>
      <c r="AE327" s="0" t="s">
        <v>184</v>
      </c>
      <c r="AF327" s="1" t="n">
        <v>45973</v>
      </c>
      <c r="AG327" s="0" t="s">
        <v>61</v>
      </c>
      <c r="AJ327" s="0" t="s">
        <v>50</v>
      </c>
      <c r="AK327" s="0" t="s">
        <v>82</v>
      </c>
      <c r="AM327" s="0" t="s">
        <v>103</v>
      </c>
      <c r="AN327" s="0" t="s">
        <v>198</v>
      </c>
    </row>
    <row r="328" customFormat="false" ht="15" hidden="false" customHeight="false" outlineLevel="0" collapsed="false">
      <c r="A328" s="1" t="n">
        <v>45685</v>
      </c>
      <c r="B328" s="0" t="s">
        <v>911</v>
      </c>
      <c r="C328" s="0" t="s">
        <v>121</v>
      </c>
      <c r="D328" s="0" t="n">
        <v>8087024699</v>
      </c>
      <c r="E328" s="0" t="s">
        <v>67</v>
      </c>
      <c r="F328" s="0" t="s">
        <v>912</v>
      </c>
      <c r="G328" s="0" t="s">
        <v>69</v>
      </c>
      <c r="H328" s="0" t="s">
        <v>176</v>
      </c>
      <c r="I328" s="0" t="s">
        <v>108</v>
      </c>
      <c r="J328" s="0" t="s">
        <v>109</v>
      </c>
      <c r="K328" s="0" t="n">
        <v>14183</v>
      </c>
      <c r="L328" s="0" t="s">
        <v>91</v>
      </c>
      <c r="M328" s="0" t="s">
        <v>50</v>
      </c>
      <c r="N328" s="0" t="n">
        <v>2</v>
      </c>
      <c r="O328" s="0" t="n">
        <v>4.5</v>
      </c>
      <c r="P328" s="0" t="s">
        <v>92</v>
      </c>
      <c r="Q328" s="0" t="s">
        <v>73</v>
      </c>
      <c r="S328" s="0" t="s">
        <v>126</v>
      </c>
      <c r="T328" s="0" t="n">
        <v>15</v>
      </c>
      <c r="U328" s="0" t="s">
        <v>112</v>
      </c>
      <c r="V328" s="0" t="s">
        <v>77</v>
      </c>
      <c r="W328" s="0" t="s">
        <v>113</v>
      </c>
      <c r="X328" s="0" t="s">
        <v>196</v>
      </c>
      <c r="Y328" s="0" t="s">
        <v>177</v>
      </c>
      <c r="Z328" s="0" t="s">
        <v>143</v>
      </c>
      <c r="AA328" s="0" t="n">
        <v>25000</v>
      </c>
      <c r="AB328" s="0" t="n">
        <v>30000</v>
      </c>
      <c r="AC328" s="0" t="s">
        <v>82</v>
      </c>
      <c r="AE328" s="0" t="s">
        <v>80</v>
      </c>
      <c r="AG328" s="0" t="s">
        <v>82</v>
      </c>
      <c r="AH328" s="0" t="s">
        <v>116</v>
      </c>
      <c r="AI328" s="0" t="s">
        <v>101</v>
      </c>
      <c r="AM328" s="0" t="s">
        <v>83</v>
      </c>
      <c r="AN328" s="0" t="s">
        <v>198</v>
      </c>
    </row>
    <row r="329" customFormat="false" ht="15" hidden="false" customHeight="false" outlineLevel="0" collapsed="false">
      <c r="A329" s="1" t="n">
        <v>45775</v>
      </c>
      <c r="B329" s="0" t="s">
        <v>913</v>
      </c>
      <c r="C329" s="0" t="s">
        <v>105</v>
      </c>
      <c r="D329" s="0" t="n">
        <v>8062463815</v>
      </c>
      <c r="E329" s="0" t="s">
        <v>43</v>
      </c>
      <c r="F329" s="0" t="s">
        <v>914</v>
      </c>
      <c r="G329" s="0" t="s">
        <v>69</v>
      </c>
      <c r="H329" s="0" t="s">
        <v>165</v>
      </c>
      <c r="I329" s="0" t="s">
        <v>47</v>
      </c>
      <c r="J329" s="0" t="s">
        <v>71</v>
      </c>
      <c r="K329" s="0" t="n">
        <v>68522</v>
      </c>
      <c r="L329" s="0" t="s">
        <v>72</v>
      </c>
      <c r="M329" s="0" t="s">
        <v>63</v>
      </c>
      <c r="N329" s="0" t="n">
        <v>3</v>
      </c>
      <c r="O329" s="0" t="n">
        <v>2.7</v>
      </c>
      <c r="P329" s="0" t="s">
        <v>125</v>
      </c>
      <c r="Q329" s="0" t="s">
        <v>93</v>
      </c>
      <c r="R329" s="0" t="s">
        <v>159</v>
      </c>
      <c r="S329" s="0" t="s">
        <v>95</v>
      </c>
      <c r="U329" s="0" t="s">
        <v>160</v>
      </c>
      <c r="V329" s="0" t="s">
        <v>97</v>
      </c>
      <c r="W329" s="0" t="s">
        <v>57</v>
      </c>
      <c r="X329" s="0" t="s">
        <v>99</v>
      </c>
      <c r="Z329" s="0" t="s">
        <v>79</v>
      </c>
      <c r="AA329" s="0" t="n">
        <v>15000</v>
      </c>
      <c r="AB329" s="0" t="s">
        <v>178</v>
      </c>
      <c r="AC329" s="0" t="s">
        <v>63</v>
      </c>
      <c r="AD329" s="0" t="s">
        <v>115</v>
      </c>
      <c r="AF329" s="0" t="s">
        <v>915</v>
      </c>
      <c r="AG329" s="0" t="s">
        <v>61</v>
      </c>
      <c r="AH329" s="0" t="s">
        <v>116</v>
      </c>
      <c r="AI329" s="0" t="s">
        <v>172</v>
      </c>
      <c r="AJ329" s="0" t="s">
        <v>62</v>
      </c>
      <c r="AK329" s="0" t="s">
        <v>82</v>
      </c>
      <c r="AL329" s="0" t="s">
        <v>50</v>
      </c>
      <c r="AM329" s="0" t="s">
        <v>83</v>
      </c>
      <c r="AN329" s="0" t="s">
        <v>190</v>
      </c>
    </row>
    <row r="330" customFormat="false" ht="15" hidden="false" customHeight="false" outlineLevel="0" collapsed="false">
      <c r="A330" s="1" t="n">
        <v>45767</v>
      </c>
      <c r="B330" s="0" t="s">
        <v>916</v>
      </c>
      <c r="C330" s="0" t="s">
        <v>105</v>
      </c>
      <c r="D330" s="0" t="n">
        <v>8061179711</v>
      </c>
      <c r="E330" s="0" t="s">
        <v>85</v>
      </c>
      <c r="F330" s="0" t="s">
        <v>917</v>
      </c>
      <c r="G330" s="0" t="s">
        <v>87</v>
      </c>
      <c r="H330" s="0" t="s">
        <v>46</v>
      </c>
      <c r="I330" s="0" t="s">
        <v>189</v>
      </c>
      <c r="K330" s="0" t="n">
        <v>27824</v>
      </c>
      <c r="L330" s="0" t="s">
        <v>91</v>
      </c>
      <c r="M330" s="0" t="s">
        <v>50</v>
      </c>
      <c r="O330" s="0" t="n">
        <v>3.6</v>
      </c>
      <c r="P330" s="0" t="s">
        <v>92</v>
      </c>
      <c r="Q330" s="0" t="s">
        <v>93</v>
      </c>
      <c r="R330" s="0" t="s">
        <v>74</v>
      </c>
      <c r="S330" s="0" t="s">
        <v>167</v>
      </c>
      <c r="T330" s="0" t="n">
        <v>30</v>
      </c>
      <c r="U330" s="0" t="s">
        <v>76</v>
      </c>
      <c r="V330" s="0" t="s">
        <v>148</v>
      </c>
      <c r="W330" s="0" t="s">
        <v>98</v>
      </c>
      <c r="X330" s="0" t="s">
        <v>58</v>
      </c>
      <c r="Y330" s="0" t="s">
        <v>59</v>
      </c>
      <c r="Z330" s="0" t="s">
        <v>161</v>
      </c>
      <c r="AA330" s="0" t="n">
        <v>30000</v>
      </c>
      <c r="AB330" s="0" t="n">
        <v>20000</v>
      </c>
      <c r="AC330" s="0" t="s">
        <v>63</v>
      </c>
      <c r="AE330" s="0" t="s">
        <v>184</v>
      </c>
      <c r="AG330" s="0" t="s">
        <v>50</v>
      </c>
      <c r="AI330" s="0" t="s">
        <v>101</v>
      </c>
      <c r="AJ330" s="0" t="s">
        <v>63</v>
      </c>
      <c r="AK330" s="0" t="s">
        <v>82</v>
      </c>
      <c r="AL330" s="0" t="s">
        <v>102</v>
      </c>
      <c r="AM330" s="0" t="s">
        <v>64</v>
      </c>
      <c r="AN330" s="0" t="s">
        <v>63</v>
      </c>
    </row>
    <row r="331" customFormat="false" ht="15" hidden="false" customHeight="false" outlineLevel="0" collapsed="false">
      <c r="A331" s="0" t="s">
        <v>918</v>
      </c>
      <c r="B331" s="0" t="s">
        <v>919</v>
      </c>
      <c r="C331" s="0" t="s">
        <v>105</v>
      </c>
      <c r="D331" s="0" t="n">
        <v>8037407879</v>
      </c>
      <c r="E331" s="0" t="s">
        <v>85</v>
      </c>
      <c r="F331" s="0" t="s">
        <v>920</v>
      </c>
      <c r="G331" s="0" t="s">
        <v>134</v>
      </c>
      <c r="I331" s="0" t="s">
        <v>108</v>
      </c>
      <c r="J331" s="0" t="s">
        <v>90</v>
      </c>
      <c r="K331" s="0" t="n">
        <v>104764</v>
      </c>
      <c r="L331" s="0" t="s">
        <v>72</v>
      </c>
      <c r="M331" s="0" t="s">
        <v>50</v>
      </c>
      <c r="N331" s="0" t="n">
        <v>2</v>
      </c>
      <c r="O331" s="0" t="n">
        <v>5.7</v>
      </c>
      <c r="P331" s="0" t="s">
        <v>92</v>
      </c>
      <c r="Q331" s="0" t="s">
        <v>52</v>
      </c>
      <c r="R331" s="0" t="s">
        <v>136</v>
      </c>
      <c r="S331" s="0" t="s">
        <v>95</v>
      </c>
      <c r="U331" s="0" t="s">
        <v>96</v>
      </c>
      <c r="V331" s="0" t="s">
        <v>77</v>
      </c>
      <c r="W331" s="0" t="s">
        <v>98</v>
      </c>
      <c r="X331" s="0" t="s">
        <v>196</v>
      </c>
      <c r="Z331" s="0" t="s">
        <v>161</v>
      </c>
      <c r="AA331" s="0" t="n">
        <v>40000</v>
      </c>
      <c r="AB331" s="0" t="s">
        <v>178</v>
      </c>
      <c r="AC331" s="0" t="s">
        <v>50</v>
      </c>
      <c r="AD331" s="0" t="n">
        <v>0</v>
      </c>
      <c r="AF331" s="1" t="n">
        <v>45899</v>
      </c>
      <c r="AG331" s="0" t="s">
        <v>82</v>
      </c>
      <c r="AH331" s="0" t="s">
        <v>116</v>
      </c>
      <c r="AK331" s="0" t="s">
        <v>63</v>
      </c>
      <c r="AL331" s="0" t="s">
        <v>50</v>
      </c>
      <c r="AM331" s="0" t="s">
        <v>118</v>
      </c>
      <c r="AN331" s="0" t="s">
        <v>190</v>
      </c>
    </row>
    <row r="332" customFormat="false" ht="15" hidden="false" customHeight="false" outlineLevel="0" collapsed="false">
      <c r="A332" s="0" t="s">
        <v>652</v>
      </c>
      <c r="B332" s="0" t="s">
        <v>921</v>
      </c>
      <c r="C332" s="0" t="s">
        <v>105</v>
      </c>
      <c r="D332" s="0" t="n">
        <v>8062430296</v>
      </c>
      <c r="E332" s="0" t="s">
        <v>85</v>
      </c>
      <c r="F332" s="0" t="s">
        <v>922</v>
      </c>
      <c r="G332" s="0" t="s">
        <v>87</v>
      </c>
      <c r="H332" s="0" t="s">
        <v>153</v>
      </c>
      <c r="I332" s="0" t="s">
        <v>154</v>
      </c>
      <c r="J332" s="0" t="s">
        <v>90</v>
      </c>
      <c r="K332" s="0" t="n">
        <v>54949</v>
      </c>
      <c r="L332" s="0" t="s">
        <v>72</v>
      </c>
      <c r="M332" s="0" t="s">
        <v>63</v>
      </c>
      <c r="N332" s="0" t="n">
        <v>1</v>
      </c>
      <c r="O332" s="0" t="n">
        <v>4.7</v>
      </c>
      <c r="P332" s="0" t="s">
        <v>111</v>
      </c>
      <c r="Q332" s="0" t="s">
        <v>52</v>
      </c>
      <c r="R332" s="0" t="s">
        <v>159</v>
      </c>
      <c r="S332" s="0" t="s">
        <v>75</v>
      </c>
      <c r="T332" s="0" t="n">
        <v>30</v>
      </c>
      <c r="U332" s="0" t="s">
        <v>96</v>
      </c>
      <c r="V332" s="0" t="s">
        <v>97</v>
      </c>
      <c r="W332" s="0" t="s">
        <v>98</v>
      </c>
      <c r="X332" s="0" t="s">
        <v>137</v>
      </c>
      <c r="Z332" s="0" t="s">
        <v>143</v>
      </c>
      <c r="AA332" s="0" t="n">
        <v>30000</v>
      </c>
      <c r="AB332" s="0" t="n">
        <v>40000</v>
      </c>
      <c r="AC332" s="0" t="s">
        <v>63</v>
      </c>
      <c r="AD332" s="0" t="n">
        <v>10000</v>
      </c>
      <c r="AE332" s="0" t="s">
        <v>60</v>
      </c>
      <c r="AF332" s="1" t="n">
        <v>45999</v>
      </c>
      <c r="AG332" s="0" t="s">
        <v>63</v>
      </c>
      <c r="AI332" s="0" t="s">
        <v>117</v>
      </c>
      <c r="AK332" s="0" t="s">
        <v>82</v>
      </c>
      <c r="AL332" s="0" t="s">
        <v>102</v>
      </c>
      <c r="AM332" s="0" t="s">
        <v>103</v>
      </c>
      <c r="AN332" s="0" t="s">
        <v>50</v>
      </c>
    </row>
    <row r="333" customFormat="false" ht="15" hidden="false" customHeight="false" outlineLevel="0" collapsed="false">
      <c r="A333" s="0" t="s">
        <v>489</v>
      </c>
      <c r="B333" s="0" t="s">
        <v>923</v>
      </c>
      <c r="C333" s="0" t="s">
        <v>163</v>
      </c>
      <c r="D333" s="0" t="n">
        <v>8018550910</v>
      </c>
      <c r="E333" s="0" t="s">
        <v>139</v>
      </c>
      <c r="F333" s="0" t="s">
        <v>924</v>
      </c>
      <c r="G333" s="0" t="s">
        <v>69</v>
      </c>
      <c r="H333" s="0" t="s">
        <v>176</v>
      </c>
      <c r="I333" s="0" t="s">
        <v>108</v>
      </c>
      <c r="J333" s="0" t="s">
        <v>71</v>
      </c>
      <c r="K333" s="0" t="n">
        <v>96732</v>
      </c>
      <c r="L333" s="0" t="s">
        <v>166</v>
      </c>
      <c r="M333" s="0" t="s">
        <v>50</v>
      </c>
      <c r="N333" s="0" t="n">
        <v>2</v>
      </c>
      <c r="O333" s="0" t="n">
        <v>5.2</v>
      </c>
      <c r="P333" s="0" t="s">
        <v>92</v>
      </c>
      <c r="Q333" s="0" t="s">
        <v>93</v>
      </c>
      <c r="S333" s="0" t="s">
        <v>95</v>
      </c>
      <c r="U333" s="0" t="s">
        <v>112</v>
      </c>
      <c r="V333" s="0" t="s">
        <v>148</v>
      </c>
      <c r="W333" s="0" t="s">
        <v>128</v>
      </c>
      <c r="X333" s="0" t="s">
        <v>137</v>
      </c>
      <c r="Y333" s="0" t="s">
        <v>156</v>
      </c>
      <c r="Z333" s="0" t="s">
        <v>79</v>
      </c>
      <c r="AA333" s="0" t="s">
        <v>150</v>
      </c>
      <c r="AC333" s="0" t="s">
        <v>63</v>
      </c>
      <c r="AD333" s="0" t="n">
        <v>10000</v>
      </c>
      <c r="AE333" s="0" t="s">
        <v>130</v>
      </c>
      <c r="AL333" s="0" t="s">
        <v>63</v>
      </c>
      <c r="AM333" s="0" t="s">
        <v>64</v>
      </c>
    </row>
    <row r="334" customFormat="false" ht="15" hidden="false" customHeight="false" outlineLevel="0" collapsed="false">
      <c r="A334" s="0" t="s">
        <v>669</v>
      </c>
      <c r="B334" s="0" t="s">
        <v>925</v>
      </c>
      <c r="C334" s="0" t="s">
        <v>121</v>
      </c>
      <c r="D334" s="0" t="n">
        <v>8081738111</v>
      </c>
      <c r="E334" s="0" t="s">
        <v>139</v>
      </c>
      <c r="F334" s="0" t="s">
        <v>926</v>
      </c>
      <c r="G334" s="0" t="s">
        <v>69</v>
      </c>
      <c r="H334" s="0" t="s">
        <v>170</v>
      </c>
      <c r="I334" s="0" t="s">
        <v>154</v>
      </c>
      <c r="J334" s="0" t="s">
        <v>109</v>
      </c>
      <c r="K334" s="0" t="n">
        <v>107331</v>
      </c>
      <c r="L334" s="0" t="s">
        <v>124</v>
      </c>
      <c r="M334" s="0" t="s">
        <v>50</v>
      </c>
      <c r="N334" s="0" t="n">
        <v>5</v>
      </c>
      <c r="O334" s="0" t="n">
        <v>1.3</v>
      </c>
      <c r="P334" s="0" t="s">
        <v>92</v>
      </c>
      <c r="Q334" s="0" t="s">
        <v>52</v>
      </c>
      <c r="S334" s="0" t="s">
        <v>54</v>
      </c>
      <c r="T334" s="0" t="n">
        <v>15</v>
      </c>
      <c r="U334" s="0" t="s">
        <v>160</v>
      </c>
      <c r="V334" s="0" t="s">
        <v>77</v>
      </c>
      <c r="W334" s="0" t="s">
        <v>113</v>
      </c>
      <c r="X334" s="0" t="s">
        <v>196</v>
      </c>
      <c r="Y334" s="0" t="s">
        <v>156</v>
      </c>
      <c r="Z334" s="0" t="s">
        <v>161</v>
      </c>
      <c r="AB334" s="0" t="n">
        <v>35000</v>
      </c>
      <c r="AC334" s="0" t="s">
        <v>63</v>
      </c>
      <c r="AD334" s="0" t="n">
        <v>0</v>
      </c>
      <c r="AE334" s="0" t="s">
        <v>60</v>
      </c>
      <c r="AG334" s="0" t="s">
        <v>82</v>
      </c>
      <c r="AI334" s="0" t="s">
        <v>172</v>
      </c>
      <c r="AJ334" s="0" t="s">
        <v>81</v>
      </c>
      <c r="AK334" s="0" t="s">
        <v>63</v>
      </c>
      <c r="AL334" s="0" t="s">
        <v>50</v>
      </c>
      <c r="AM334" s="0" t="s">
        <v>64</v>
      </c>
      <c r="AN334" s="0" t="s">
        <v>50</v>
      </c>
    </row>
    <row r="335" customFormat="false" ht="15" hidden="false" customHeight="false" outlineLevel="0" collapsed="false">
      <c r="A335" s="1" t="n">
        <v>45719</v>
      </c>
      <c r="B335" s="0" t="s">
        <v>927</v>
      </c>
      <c r="C335" s="0" t="s">
        <v>42</v>
      </c>
      <c r="D335" s="0" t="n">
        <v>8061866272</v>
      </c>
      <c r="E335" s="0" t="s">
        <v>85</v>
      </c>
      <c r="F335" s="0" t="s">
        <v>928</v>
      </c>
      <c r="G335" s="0" t="s">
        <v>45</v>
      </c>
      <c r="H335" s="0" t="s">
        <v>165</v>
      </c>
      <c r="I335" s="0" t="s">
        <v>154</v>
      </c>
      <c r="J335" s="0" t="s">
        <v>109</v>
      </c>
      <c r="K335" s="0" t="n">
        <v>79357</v>
      </c>
      <c r="L335" s="0" t="s">
        <v>110</v>
      </c>
      <c r="M335" s="0" t="s">
        <v>50</v>
      </c>
      <c r="N335" s="0" t="n">
        <v>3</v>
      </c>
      <c r="O335" s="0" t="n">
        <v>1.7</v>
      </c>
      <c r="P335" s="0" t="s">
        <v>125</v>
      </c>
      <c r="Q335" s="0" t="s">
        <v>73</v>
      </c>
      <c r="R335" s="0" t="s">
        <v>53</v>
      </c>
      <c r="S335" s="0" t="s">
        <v>75</v>
      </c>
      <c r="U335" s="0" t="s">
        <v>112</v>
      </c>
      <c r="V335" s="0" t="s">
        <v>56</v>
      </c>
      <c r="W335" s="0" t="s">
        <v>78</v>
      </c>
      <c r="X335" s="0" t="s">
        <v>137</v>
      </c>
      <c r="Y335" s="0" t="s">
        <v>177</v>
      </c>
      <c r="Z335" s="0" t="s">
        <v>79</v>
      </c>
      <c r="AB335" s="0" t="n">
        <v>40000</v>
      </c>
      <c r="AD335" s="0" t="n">
        <v>10000</v>
      </c>
      <c r="AE335" s="0" t="s">
        <v>184</v>
      </c>
      <c r="AG335" s="0" t="s">
        <v>63</v>
      </c>
      <c r="AH335" s="0" t="s">
        <v>116</v>
      </c>
      <c r="AI335" s="0" t="s">
        <v>117</v>
      </c>
      <c r="AJ335" s="0" t="s">
        <v>63</v>
      </c>
      <c r="AL335" s="0" t="s">
        <v>63</v>
      </c>
      <c r="AM335" s="0" t="s">
        <v>103</v>
      </c>
    </row>
    <row r="336" customFormat="false" ht="15" hidden="false" customHeight="false" outlineLevel="0" collapsed="false">
      <c r="A336" s="1" t="n">
        <v>45754</v>
      </c>
      <c r="B336" s="0" t="s">
        <v>929</v>
      </c>
      <c r="C336" s="0" t="s">
        <v>121</v>
      </c>
      <c r="D336" s="0" t="n">
        <v>8035278389</v>
      </c>
      <c r="E336" s="0" t="s">
        <v>67</v>
      </c>
      <c r="F336" s="0" t="s">
        <v>930</v>
      </c>
      <c r="G336" s="0" t="s">
        <v>45</v>
      </c>
      <c r="H336" s="0" t="s">
        <v>165</v>
      </c>
      <c r="I336" s="0" t="s">
        <v>189</v>
      </c>
      <c r="K336" s="0" t="n">
        <v>109608</v>
      </c>
      <c r="L336" s="0" t="s">
        <v>110</v>
      </c>
      <c r="M336" s="0" t="s">
        <v>63</v>
      </c>
      <c r="N336" s="0" t="n">
        <v>4</v>
      </c>
      <c r="O336" s="0" t="n">
        <v>3.2</v>
      </c>
      <c r="P336" s="0" t="s">
        <v>111</v>
      </c>
      <c r="Q336" s="0" t="s">
        <v>93</v>
      </c>
      <c r="R336" s="0" t="s">
        <v>53</v>
      </c>
      <c r="S336" s="0" t="s">
        <v>75</v>
      </c>
      <c r="T336" s="0" t="s">
        <v>127</v>
      </c>
      <c r="U336" s="0" t="s">
        <v>112</v>
      </c>
      <c r="V336" s="0" t="s">
        <v>97</v>
      </c>
      <c r="W336" s="0" t="s">
        <v>57</v>
      </c>
      <c r="X336" s="0" t="s">
        <v>137</v>
      </c>
      <c r="Z336" s="0" t="s">
        <v>161</v>
      </c>
      <c r="AA336" s="0" t="n">
        <v>30000</v>
      </c>
      <c r="AB336" s="0" t="s">
        <v>178</v>
      </c>
      <c r="AC336" s="0" t="s">
        <v>82</v>
      </c>
      <c r="AD336" s="0" t="n">
        <v>5000</v>
      </c>
      <c r="AF336" s="1" t="n">
        <v>45906</v>
      </c>
      <c r="AG336" s="0" t="s">
        <v>61</v>
      </c>
      <c r="AH336" s="0" t="s">
        <v>116</v>
      </c>
      <c r="AK336" s="0" t="s">
        <v>50</v>
      </c>
      <c r="AL336" s="0" t="s">
        <v>50</v>
      </c>
      <c r="AM336" s="0" t="s">
        <v>103</v>
      </c>
      <c r="AN336" s="0" t="s">
        <v>63</v>
      </c>
    </row>
    <row r="337" customFormat="false" ht="15" hidden="false" customHeight="false" outlineLevel="0" collapsed="false">
      <c r="A337" s="1" t="n">
        <v>45720</v>
      </c>
      <c r="B337" s="0" t="s">
        <v>931</v>
      </c>
      <c r="C337" s="0" t="s">
        <v>121</v>
      </c>
      <c r="D337" s="0" t="n">
        <v>8073723578</v>
      </c>
      <c r="E337" s="0" t="s">
        <v>43</v>
      </c>
      <c r="F337" s="0" t="s">
        <v>932</v>
      </c>
      <c r="G337" s="0" t="s">
        <v>107</v>
      </c>
      <c r="H337" s="0" t="s">
        <v>272</v>
      </c>
      <c r="I337" s="0" t="s">
        <v>47</v>
      </c>
      <c r="J337" s="0" t="s">
        <v>48</v>
      </c>
      <c r="K337" s="0" t="n">
        <v>67361</v>
      </c>
      <c r="L337" s="0" t="s">
        <v>72</v>
      </c>
      <c r="M337" s="0" t="s">
        <v>63</v>
      </c>
      <c r="N337" s="0" t="n">
        <v>1</v>
      </c>
      <c r="O337" s="0" t="n">
        <v>3.9</v>
      </c>
      <c r="P337" s="0" t="s">
        <v>92</v>
      </c>
      <c r="Q337" s="0" t="s">
        <v>52</v>
      </c>
      <c r="R337" s="0" t="s">
        <v>74</v>
      </c>
      <c r="S337" s="0" t="s">
        <v>147</v>
      </c>
      <c r="T337" s="0" t="n">
        <v>30</v>
      </c>
      <c r="U337" s="0" t="s">
        <v>55</v>
      </c>
      <c r="V337" s="0" t="s">
        <v>97</v>
      </c>
      <c r="W337" s="0" t="s">
        <v>98</v>
      </c>
      <c r="X337" s="0" t="s">
        <v>196</v>
      </c>
      <c r="Y337" s="0" t="s">
        <v>197</v>
      </c>
      <c r="Z337" s="0" t="s">
        <v>143</v>
      </c>
      <c r="AB337" s="0" t="n">
        <v>30000</v>
      </c>
      <c r="AC337" s="0" t="s">
        <v>50</v>
      </c>
      <c r="AD337" s="0" t="n">
        <v>0</v>
      </c>
      <c r="AE337" s="0" t="s">
        <v>184</v>
      </c>
      <c r="AF337" s="1" t="n">
        <v>45697</v>
      </c>
      <c r="AG337" s="0" t="s">
        <v>61</v>
      </c>
      <c r="AI337" s="0" t="s">
        <v>172</v>
      </c>
      <c r="AK337" s="0" t="s">
        <v>82</v>
      </c>
      <c r="AL337" s="0" t="s">
        <v>50</v>
      </c>
      <c r="AM337" s="0" t="s">
        <v>103</v>
      </c>
      <c r="AN337" s="0" t="s">
        <v>198</v>
      </c>
    </row>
    <row r="338" customFormat="false" ht="15" hidden="false" customHeight="false" outlineLevel="0" collapsed="false">
      <c r="A338" s="1" t="n">
        <v>45658</v>
      </c>
      <c r="B338" s="0" t="s">
        <v>933</v>
      </c>
      <c r="C338" s="0" t="s">
        <v>66</v>
      </c>
      <c r="D338" s="0" t="n">
        <v>8024581193</v>
      </c>
      <c r="E338" s="0" t="s">
        <v>122</v>
      </c>
      <c r="F338" s="0" t="s">
        <v>934</v>
      </c>
      <c r="G338" s="0" t="s">
        <v>107</v>
      </c>
      <c r="H338" s="0" t="s">
        <v>141</v>
      </c>
      <c r="I338" s="0" t="s">
        <v>154</v>
      </c>
      <c r="K338" s="0" t="n">
        <v>42594</v>
      </c>
      <c r="L338" s="0" t="s">
        <v>110</v>
      </c>
      <c r="M338" s="0" t="s">
        <v>50</v>
      </c>
      <c r="N338" s="0" t="n">
        <v>5</v>
      </c>
      <c r="O338" s="0" t="n">
        <v>4.7</v>
      </c>
      <c r="Q338" s="0" t="s">
        <v>73</v>
      </c>
      <c r="R338" s="0" t="s">
        <v>136</v>
      </c>
      <c r="S338" s="0" t="s">
        <v>167</v>
      </c>
      <c r="T338" s="0" t="n">
        <v>15</v>
      </c>
      <c r="U338" s="0" t="s">
        <v>55</v>
      </c>
      <c r="V338" s="0" t="s">
        <v>77</v>
      </c>
      <c r="W338" s="0" t="s">
        <v>78</v>
      </c>
      <c r="X338" s="0" t="s">
        <v>99</v>
      </c>
      <c r="Y338" s="0" t="s">
        <v>197</v>
      </c>
      <c r="Z338" s="0" t="s">
        <v>161</v>
      </c>
      <c r="AB338" s="0" t="n">
        <v>20000</v>
      </c>
      <c r="AC338" s="0" t="s">
        <v>50</v>
      </c>
      <c r="AD338" s="0" t="n">
        <v>0</v>
      </c>
      <c r="AE338" s="0" t="s">
        <v>80</v>
      </c>
      <c r="AI338" s="0" t="s">
        <v>172</v>
      </c>
      <c r="AJ338" s="0" t="s">
        <v>81</v>
      </c>
      <c r="AK338" s="0" t="s">
        <v>82</v>
      </c>
      <c r="AM338" s="0" t="s">
        <v>103</v>
      </c>
      <c r="AN338" s="0" t="s">
        <v>50</v>
      </c>
    </row>
    <row r="339" customFormat="false" ht="15" hidden="false" customHeight="false" outlineLevel="0" collapsed="false">
      <c r="A339" s="1" t="n">
        <v>45810</v>
      </c>
      <c r="B339" s="0" t="s">
        <v>935</v>
      </c>
      <c r="C339" s="0" t="s">
        <v>105</v>
      </c>
      <c r="D339" s="0" t="n">
        <v>8054136340</v>
      </c>
      <c r="E339" s="0" t="s">
        <v>85</v>
      </c>
      <c r="F339" s="0" t="s">
        <v>936</v>
      </c>
      <c r="G339" s="0" t="s">
        <v>45</v>
      </c>
      <c r="H339" s="0" t="s">
        <v>272</v>
      </c>
      <c r="I339" s="0" t="s">
        <v>108</v>
      </c>
      <c r="J339" s="0" t="s">
        <v>48</v>
      </c>
      <c r="K339" s="0" t="n">
        <v>35945</v>
      </c>
      <c r="L339" s="0" t="s">
        <v>110</v>
      </c>
      <c r="M339" s="0" t="s">
        <v>63</v>
      </c>
      <c r="O339" s="0" t="n">
        <v>4</v>
      </c>
      <c r="P339" s="0" t="s">
        <v>111</v>
      </c>
      <c r="Q339" s="0" t="s">
        <v>93</v>
      </c>
      <c r="R339" s="0" t="s">
        <v>53</v>
      </c>
      <c r="S339" s="0" t="s">
        <v>147</v>
      </c>
      <c r="T339" s="0" t="n">
        <v>15</v>
      </c>
      <c r="U339" s="0" t="s">
        <v>112</v>
      </c>
      <c r="V339" s="0" t="s">
        <v>148</v>
      </c>
      <c r="W339" s="0" t="s">
        <v>57</v>
      </c>
      <c r="X339" s="0" t="s">
        <v>99</v>
      </c>
      <c r="Y339" s="0" t="s">
        <v>59</v>
      </c>
      <c r="Z339" s="0" t="s">
        <v>129</v>
      </c>
      <c r="AA339" s="0" t="s">
        <v>150</v>
      </c>
      <c r="AB339" s="0" t="n">
        <v>35000</v>
      </c>
      <c r="AC339" s="0" t="s">
        <v>82</v>
      </c>
      <c r="AD339" s="0" t="n">
        <v>5000</v>
      </c>
      <c r="AE339" s="0" t="s">
        <v>60</v>
      </c>
      <c r="AF339" s="1" t="n">
        <v>45854</v>
      </c>
      <c r="AG339" s="0" t="s">
        <v>61</v>
      </c>
      <c r="AJ339" s="0" t="s">
        <v>50</v>
      </c>
      <c r="AK339" s="0" t="s">
        <v>50</v>
      </c>
      <c r="AN339" s="0" t="s">
        <v>198</v>
      </c>
    </row>
    <row r="340" customFormat="false" ht="15" hidden="false" customHeight="false" outlineLevel="0" collapsed="false">
      <c r="A340" s="1" t="n">
        <v>45735</v>
      </c>
      <c r="B340" s="0" t="s">
        <v>937</v>
      </c>
      <c r="C340" s="0" t="s">
        <v>105</v>
      </c>
      <c r="D340" s="0" t="n">
        <v>8086439010</v>
      </c>
      <c r="E340" s="0" t="s">
        <v>67</v>
      </c>
      <c r="F340" s="0" t="s">
        <v>938</v>
      </c>
      <c r="G340" s="0" t="s">
        <v>134</v>
      </c>
      <c r="H340" s="0" t="s">
        <v>272</v>
      </c>
      <c r="I340" s="0" t="s">
        <v>108</v>
      </c>
      <c r="J340" s="0" t="s">
        <v>71</v>
      </c>
      <c r="K340" s="0" t="n">
        <v>91654</v>
      </c>
      <c r="L340" s="0" t="s">
        <v>124</v>
      </c>
      <c r="M340" s="0" t="s">
        <v>63</v>
      </c>
      <c r="N340" s="0" t="n">
        <v>1</v>
      </c>
      <c r="O340" s="0" t="n">
        <v>5.5</v>
      </c>
      <c r="P340" s="0" t="s">
        <v>51</v>
      </c>
      <c r="Q340" s="0" t="s">
        <v>73</v>
      </c>
      <c r="R340" s="0" t="s">
        <v>94</v>
      </c>
      <c r="S340" s="0" t="s">
        <v>54</v>
      </c>
      <c r="T340" s="0" t="n">
        <v>45</v>
      </c>
      <c r="U340" s="0" t="s">
        <v>76</v>
      </c>
      <c r="V340" s="0" t="s">
        <v>155</v>
      </c>
      <c r="W340" s="0" t="s">
        <v>57</v>
      </c>
      <c r="X340" s="0" t="s">
        <v>58</v>
      </c>
      <c r="Z340" s="0" t="s">
        <v>161</v>
      </c>
      <c r="AA340" s="0" t="s">
        <v>150</v>
      </c>
      <c r="AB340" s="0" t="s">
        <v>178</v>
      </c>
      <c r="AC340" s="0" t="s">
        <v>50</v>
      </c>
      <c r="AD340" s="0" t="n">
        <v>0</v>
      </c>
      <c r="AE340" s="0" t="s">
        <v>80</v>
      </c>
      <c r="AF340" s="1" t="n">
        <v>45861</v>
      </c>
      <c r="AG340" s="0" t="s">
        <v>82</v>
      </c>
      <c r="AH340" s="0" t="s">
        <v>171</v>
      </c>
      <c r="AJ340" s="0" t="s">
        <v>62</v>
      </c>
      <c r="AK340" s="0" t="s">
        <v>82</v>
      </c>
      <c r="AM340" s="0" t="s">
        <v>103</v>
      </c>
      <c r="AN340" s="0" t="s">
        <v>198</v>
      </c>
    </row>
    <row r="341" customFormat="false" ht="15" hidden="false" customHeight="false" outlineLevel="0" collapsed="false">
      <c r="A341" s="1" t="n">
        <v>45663</v>
      </c>
      <c r="B341" s="0" t="s">
        <v>939</v>
      </c>
      <c r="C341" s="0" t="s">
        <v>163</v>
      </c>
      <c r="D341" s="0" t="n">
        <v>8070604045</v>
      </c>
      <c r="E341" s="0" t="s">
        <v>67</v>
      </c>
      <c r="F341" s="0" t="s">
        <v>940</v>
      </c>
      <c r="G341" s="0" t="s">
        <v>69</v>
      </c>
      <c r="H341" s="0" t="s">
        <v>242</v>
      </c>
      <c r="I341" s="0" t="s">
        <v>154</v>
      </c>
      <c r="J341" s="0" t="s">
        <v>48</v>
      </c>
      <c r="K341" s="0" t="n">
        <v>107881</v>
      </c>
      <c r="L341" s="0" t="s">
        <v>72</v>
      </c>
      <c r="M341" s="0" t="s">
        <v>50</v>
      </c>
      <c r="N341" s="0" t="n">
        <v>1</v>
      </c>
      <c r="O341" s="0" t="n">
        <v>5.2</v>
      </c>
      <c r="Q341" s="0" t="s">
        <v>52</v>
      </c>
      <c r="R341" s="0" t="s">
        <v>159</v>
      </c>
      <c r="S341" s="0" t="s">
        <v>167</v>
      </c>
      <c r="T341" s="0" t="n">
        <v>60</v>
      </c>
      <c r="U341" s="0" t="s">
        <v>96</v>
      </c>
      <c r="V341" s="0" t="s">
        <v>155</v>
      </c>
      <c r="W341" s="0" t="s">
        <v>78</v>
      </c>
      <c r="X341" s="0" t="s">
        <v>58</v>
      </c>
      <c r="Y341" s="0" t="s">
        <v>156</v>
      </c>
      <c r="Z341" s="0" t="s">
        <v>161</v>
      </c>
      <c r="AA341" s="0" t="n">
        <v>15000</v>
      </c>
      <c r="AB341" s="0" t="n">
        <v>20000</v>
      </c>
      <c r="AC341" s="0" t="s">
        <v>50</v>
      </c>
      <c r="AD341" s="0" t="n">
        <v>5000</v>
      </c>
      <c r="AE341" s="0" t="s">
        <v>184</v>
      </c>
      <c r="AF341" s="1" t="n">
        <v>45966</v>
      </c>
      <c r="AH341" s="0" t="s">
        <v>116</v>
      </c>
      <c r="AI341" s="0" t="s">
        <v>117</v>
      </c>
      <c r="AJ341" s="0" t="s">
        <v>81</v>
      </c>
      <c r="AK341" s="0" t="s">
        <v>61</v>
      </c>
      <c r="AL341" s="0" t="s">
        <v>63</v>
      </c>
      <c r="AM341" s="0" t="s">
        <v>64</v>
      </c>
      <c r="AN341" s="0" t="s">
        <v>198</v>
      </c>
    </row>
    <row r="342" customFormat="false" ht="15" hidden="false" customHeight="false" outlineLevel="0" collapsed="false">
      <c r="A342" s="1" t="n">
        <v>45788</v>
      </c>
      <c r="B342" s="0" t="s">
        <v>941</v>
      </c>
      <c r="C342" s="0" t="s">
        <v>42</v>
      </c>
      <c r="D342" s="0" t="n">
        <v>8095765571</v>
      </c>
      <c r="E342" s="0" t="s">
        <v>67</v>
      </c>
      <c r="F342" s="0" t="s">
        <v>942</v>
      </c>
      <c r="G342" s="0" t="s">
        <v>134</v>
      </c>
      <c r="H342" s="0" t="s">
        <v>135</v>
      </c>
      <c r="I342" s="0" t="s">
        <v>189</v>
      </c>
      <c r="J342" s="0" t="s">
        <v>109</v>
      </c>
      <c r="K342" s="0" t="n">
        <v>105640</v>
      </c>
      <c r="L342" s="0" t="s">
        <v>72</v>
      </c>
      <c r="M342" s="0" t="s">
        <v>63</v>
      </c>
      <c r="N342" s="0" t="n">
        <v>4</v>
      </c>
      <c r="O342" s="0" t="n">
        <v>5.2</v>
      </c>
      <c r="P342" s="0" t="s">
        <v>125</v>
      </c>
      <c r="Q342" s="0" t="s">
        <v>73</v>
      </c>
      <c r="S342" s="0" t="s">
        <v>167</v>
      </c>
      <c r="T342" s="0" t="n">
        <v>60</v>
      </c>
      <c r="U342" s="0" t="s">
        <v>112</v>
      </c>
      <c r="V342" s="0" t="s">
        <v>56</v>
      </c>
      <c r="W342" s="0" t="s">
        <v>57</v>
      </c>
      <c r="X342" s="0" t="s">
        <v>196</v>
      </c>
      <c r="Z342" s="0" t="s">
        <v>129</v>
      </c>
      <c r="AA342" s="0" t="n">
        <v>15000</v>
      </c>
      <c r="AB342" s="0" t="s">
        <v>178</v>
      </c>
      <c r="AD342" s="0" t="s">
        <v>115</v>
      </c>
      <c r="AE342" s="0" t="s">
        <v>184</v>
      </c>
      <c r="AF342" s="1" t="n">
        <v>45847</v>
      </c>
      <c r="AG342" s="0" t="s">
        <v>82</v>
      </c>
      <c r="AH342" s="0" t="s">
        <v>171</v>
      </c>
      <c r="AI342" s="0" t="s">
        <v>172</v>
      </c>
      <c r="AK342" s="0" t="s">
        <v>50</v>
      </c>
      <c r="AL342" s="0" t="s">
        <v>63</v>
      </c>
      <c r="AN342" s="0" t="s">
        <v>50</v>
      </c>
    </row>
    <row r="343" customFormat="false" ht="15" hidden="false" customHeight="false" outlineLevel="0" collapsed="false">
      <c r="A343" s="1" t="n">
        <v>45804</v>
      </c>
      <c r="B343" s="0" t="s">
        <v>943</v>
      </c>
      <c r="C343" s="0" t="s">
        <v>42</v>
      </c>
      <c r="D343" s="0" t="n">
        <v>8050888822</v>
      </c>
      <c r="E343" s="0" t="s">
        <v>139</v>
      </c>
      <c r="F343" s="0" t="s">
        <v>944</v>
      </c>
      <c r="G343" s="0" t="s">
        <v>134</v>
      </c>
      <c r="H343" s="0" t="s">
        <v>88</v>
      </c>
      <c r="I343" s="0" t="s">
        <v>189</v>
      </c>
      <c r="J343" s="0" t="s">
        <v>48</v>
      </c>
      <c r="K343" s="0" t="n">
        <v>38061</v>
      </c>
      <c r="L343" s="0" t="s">
        <v>124</v>
      </c>
      <c r="M343" s="0" t="s">
        <v>50</v>
      </c>
      <c r="O343" s="0" t="n">
        <v>5.1</v>
      </c>
      <c r="P343" s="0" t="s">
        <v>51</v>
      </c>
      <c r="Q343" s="0" t="s">
        <v>73</v>
      </c>
      <c r="R343" s="0" t="s">
        <v>74</v>
      </c>
      <c r="S343" s="0" t="s">
        <v>75</v>
      </c>
      <c r="U343" s="0" t="s">
        <v>55</v>
      </c>
      <c r="V343" s="0" t="s">
        <v>148</v>
      </c>
      <c r="W343" s="0" t="s">
        <v>57</v>
      </c>
      <c r="X343" s="0" t="s">
        <v>114</v>
      </c>
      <c r="AA343" s="0" t="n">
        <v>40000</v>
      </c>
      <c r="AB343" s="0" t="n">
        <v>30000</v>
      </c>
      <c r="AC343" s="0" t="s">
        <v>82</v>
      </c>
      <c r="AD343" s="0" t="n">
        <v>0</v>
      </c>
      <c r="AE343" s="0" t="s">
        <v>130</v>
      </c>
      <c r="AF343" s="0" t="s">
        <v>853</v>
      </c>
      <c r="AH343" s="0" t="s">
        <v>116</v>
      </c>
      <c r="AI343" s="0" t="s">
        <v>172</v>
      </c>
      <c r="AJ343" s="0" t="s">
        <v>63</v>
      </c>
      <c r="AK343" s="0" t="s">
        <v>61</v>
      </c>
      <c r="AN343" s="0" t="s">
        <v>50</v>
      </c>
    </row>
    <row r="344" customFormat="false" ht="15" hidden="false" customHeight="false" outlineLevel="0" collapsed="false">
      <c r="A344" s="1" t="n">
        <v>45667</v>
      </c>
      <c r="B344" s="0" t="s">
        <v>945</v>
      </c>
      <c r="C344" s="0" t="s">
        <v>66</v>
      </c>
      <c r="D344" s="0" t="n">
        <v>8022514663</v>
      </c>
      <c r="E344" s="0" t="s">
        <v>85</v>
      </c>
      <c r="F344" s="0" t="s">
        <v>946</v>
      </c>
      <c r="G344" s="0" t="s">
        <v>45</v>
      </c>
      <c r="H344" s="0" t="s">
        <v>135</v>
      </c>
      <c r="I344" s="0" t="s">
        <v>47</v>
      </c>
      <c r="J344" s="0" t="s">
        <v>90</v>
      </c>
      <c r="K344" s="0" t="n">
        <v>14852</v>
      </c>
      <c r="L344" s="0" t="s">
        <v>124</v>
      </c>
      <c r="M344" s="0" t="s">
        <v>63</v>
      </c>
      <c r="N344" s="0" t="n">
        <v>2</v>
      </c>
      <c r="O344" s="0" t="n">
        <v>2.5</v>
      </c>
      <c r="P344" s="0" t="s">
        <v>111</v>
      </c>
      <c r="Q344" s="0" t="s">
        <v>93</v>
      </c>
      <c r="R344" s="0" t="s">
        <v>159</v>
      </c>
      <c r="S344" s="0" t="s">
        <v>167</v>
      </c>
      <c r="U344" s="0" t="s">
        <v>76</v>
      </c>
      <c r="V344" s="0" t="s">
        <v>97</v>
      </c>
      <c r="W344" s="0" t="s">
        <v>78</v>
      </c>
      <c r="X344" s="0" t="s">
        <v>137</v>
      </c>
      <c r="Y344" s="0" t="s">
        <v>197</v>
      </c>
      <c r="Z344" s="0" t="s">
        <v>161</v>
      </c>
      <c r="AA344" s="0" t="n">
        <v>25000</v>
      </c>
      <c r="AB344" s="0" t="s">
        <v>178</v>
      </c>
      <c r="AE344" s="0" t="s">
        <v>184</v>
      </c>
      <c r="AF344" s="1" t="n">
        <v>45858</v>
      </c>
      <c r="AG344" s="0" t="s">
        <v>61</v>
      </c>
      <c r="AI344" s="0" t="s">
        <v>172</v>
      </c>
      <c r="AJ344" s="0" t="s">
        <v>50</v>
      </c>
      <c r="AK344" s="0" t="s">
        <v>63</v>
      </c>
      <c r="AN344" s="0" t="s">
        <v>50</v>
      </c>
    </row>
    <row r="345" customFormat="false" ht="15" hidden="false" customHeight="false" outlineLevel="0" collapsed="false">
      <c r="A345" s="1" t="n">
        <v>45751</v>
      </c>
      <c r="B345" s="0" t="s">
        <v>947</v>
      </c>
      <c r="C345" s="0" t="s">
        <v>66</v>
      </c>
      <c r="D345" s="0" t="n">
        <v>8033008094</v>
      </c>
      <c r="E345" s="0" t="s">
        <v>43</v>
      </c>
      <c r="F345" s="0" t="s">
        <v>948</v>
      </c>
      <c r="G345" s="0" t="s">
        <v>87</v>
      </c>
      <c r="H345" s="0" t="s">
        <v>135</v>
      </c>
      <c r="I345" s="0" t="s">
        <v>189</v>
      </c>
      <c r="K345" s="0" t="n">
        <v>48484</v>
      </c>
      <c r="L345" s="0" t="s">
        <v>166</v>
      </c>
      <c r="M345" s="0" t="s">
        <v>63</v>
      </c>
      <c r="N345" s="0" t="n">
        <v>2</v>
      </c>
      <c r="O345" s="0" t="n">
        <v>3.7</v>
      </c>
      <c r="P345" s="0" t="s">
        <v>125</v>
      </c>
      <c r="Q345" s="0" t="s">
        <v>93</v>
      </c>
      <c r="R345" s="0" t="s">
        <v>159</v>
      </c>
      <c r="S345" s="0" t="s">
        <v>54</v>
      </c>
      <c r="T345" s="0" t="n">
        <v>60</v>
      </c>
      <c r="U345" s="0" t="s">
        <v>160</v>
      </c>
      <c r="V345" s="0" t="s">
        <v>77</v>
      </c>
      <c r="W345" s="0" t="s">
        <v>98</v>
      </c>
      <c r="X345" s="0" t="s">
        <v>58</v>
      </c>
      <c r="Y345" s="0" t="s">
        <v>197</v>
      </c>
      <c r="Z345" s="0" t="s">
        <v>79</v>
      </c>
      <c r="AB345" s="0" t="n">
        <v>35000</v>
      </c>
      <c r="AC345" s="0" t="s">
        <v>82</v>
      </c>
      <c r="AD345" s="0" t="n">
        <v>0</v>
      </c>
      <c r="AE345" s="0" t="s">
        <v>184</v>
      </c>
      <c r="AG345" s="0" t="s">
        <v>82</v>
      </c>
      <c r="AJ345" s="0" t="s">
        <v>62</v>
      </c>
      <c r="AK345" s="0" t="s">
        <v>50</v>
      </c>
      <c r="AL345" s="0" t="s">
        <v>102</v>
      </c>
      <c r="AM345" s="0" t="s">
        <v>103</v>
      </c>
      <c r="AN345" s="0" t="s">
        <v>50</v>
      </c>
    </row>
    <row r="346" customFormat="false" ht="15" hidden="false" customHeight="false" outlineLevel="0" collapsed="false">
      <c r="A346" s="1" t="n">
        <v>45660</v>
      </c>
      <c r="B346" s="0" t="s">
        <v>949</v>
      </c>
      <c r="C346" s="0" t="s">
        <v>66</v>
      </c>
      <c r="D346" s="0" t="n">
        <v>8024000677</v>
      </c>
      <c r="E346" s="0" t="s">
        <v>122</v>
      </c>
      <c r="F346" s="0" t="s">
        <v>950</v>
      </c>
      <c r="G346" s="0" t="s">
        <v>87</v>
      </c>
      <c r="H346" s="0" t="s">
        <v>242</v>
      </c>
      <c r="I346" s="0" t="s">
        <v>142</v>
      </c>
      <c r="J346" s="0" t="s">
        <v>109</v>
      </c>
      <c r="K346" s="0" t="n">
        <v>84957</v>
      </c>
      <c r="L346" s="0" t="s">
        <v>124</v>
      </c>
      <c r="M346" s="0" t="s">
        <v>50</v>
      </c>
      <c r="O346" s="0" t="n">
        <v>4.2</v>
      </c>
      <c r="P346" s="0" t="s">
        <v>111</v>
      </c>
      <c r="Q346" s="0" t="s">
        <v>73</v>
      </c>
      <c r="R346" s="0" t="s">
        <v>136</v>
      </c>
      <c r="S346" s="0" t="s">
        <v>75</v>
      </c>
      <c r="T346" s="0" t="s">
        <v>127</v>
      </c>
      <c r="U346" s="0" t="s">
        <v>96</v>
      </c>
      <c r="V346" s="0" t="s">
        <v>56</v>
      </c>
      <c r="W346" s="0" t="s">
        <v>78</v>
      </c>
      <c r="X346" s="0" t="s">
        <v>58</v>
      </c>
      <c r="Y346" s="0" t="s">
        <v>177</v>
      </c>
      <c r="Z346" s="0" t="s">
        <v>161</v>
      </c>
      <c r="AA346" s="0" t="s">
        <v>150</v>
      </c>
      <c r="AC346" s="0" t="s">
        <v>61</v>
      </c>
      <c r="AD346" s="0" t="s">
        <v>115</v>
      </c>
      <c r="AF346" s="1" t="n">
        <v>46019</v>
      </c>
      <c r="AG346" s="0" t="s">
        <v>61</v>
      </c>
      <c r="AH346" s="0" t="s">
        <v>171</v>
      </c>
      <c r="AI346" s="0" t="s">
        <v>117</v>
      </c>
      <c r="AK346" s="0" t="s">
        <v>50</v>
      </c>
      <c r="AM346" s="0" t="s">
        <v>83</v>
      </c>
    </row>
    <row r="347" customFormat="false" ht="15" hidden="false" customHeight="false" outlineLevel="0" collapsed="false">
      <c r="A347" s="1" t="n">
        <v>45760</v>
      </c>
      <c r="B347" s="0" t="s">
        <v>951</v>
      </c>
      <c r="C347" s="0" t="s">
        <v>105</v>
      </c>
      <c r="D347" s="0" t="n">
        <v>8084209891</v>
      </c>
      <c r="E347" s="0" t="s">
        <v>43</v>
      </c>
      <c r="F347" s="0" t="s">
        <v>952</v>
      </c>
      <c r="G347" s="0" t="s">
        <v>107</v>
      </c>
      <c r="H347" s="0" t="s">
        <v>242</v>
      </c>
      <c r="I347" s="0" t="s">
        <v>47</v>
      </c>
      <c r="J347" s="0" t="s">
        <v>109</v>
      </c>
      <c r="K347" s="0" t="n">
        <v>35224</v>
      </c>
      <c r="L347" s="0" t="s">
        <v>72</v>
      </c>
      <c r="M347" s="0" t="s">
        <v>63</v>
      </c>
      <c r="N347" s="0" t="n">
        <v>2</v>
      </c>
      <c r="O347" s="0" t="n">
        <v>5.5</v>
      </c>
      <c r="P347" s="0" t="s">
        <v>111</v>
      </c>
      <c r="Q347" s="0" t="s">
        <v>93</v>
      </c>
      <c r="R347" s="0" t="s">
        <v>136</v>
      </c>
      <c r="S347" s="0" t="s">
        <v>75</v>
      </c>
      <c r="T347" s="0" t="n">
        <v>15</v>
      </c>
      <c r="U347" s="0" t="s">
        <v>160</v>
      </c>
      <c r="V347" s="0" t="s">
        <v>77</v>
      </c>
      <c r="W347" s="0" t="s">
        <v>98</v>
      </c>
      <c r="X347" s="0" t="s">
        <v>196</v>
      </c>
      <c r="Z347" s="0" t="s">
        <v>79</v>
      </c>
      <c r="AA347" s="0" t="s">
        <v>150</v>
      </c>
      <c r="AB347" s="0" t="n">
        <v>20000</v>
      </c>
      <c r="AC347" s="0" t="s">
        <v>50</v>
      </c>
      <c r="AD347" s="0" t="n">
        <v>10000</v>
      </c>
      <c r="AE347" s="0" t="s">
        <v>60</v>
      </c>
      <c r="AG347" s="0" t="s">
        <v>63</v>
      </c>
      <c r="AI347" s="0" t="s">
        <v>101</v>
      </c>
      <c r="AJ347" s="0" t="s">
        <v>63</v>
      </c>
      <c r="AL347" s="0" t="s">
        <v>63</v>
      </c>
      <c r="AM347" s="0" t="s">
        <v>103</v>
      </c>
      <c r="AN347" s="0" t="s">
        <v>63</v>
      </c>
    </row>
    <row r="348" customFormat="false" ht="15" hidden="false" customHeight="false" outlineLevel="0" collapsed="false">
      <c r="A348" s="0" t="s">
        <v>953</v>
      </c>
      <c r="B348" s="0" t="s">
        <v>954</v>
      </c>
      <c r="C348" s="0" t="s">
        <v>105</v>
      </c>
      <c r="D348" s="0" t="n">
        <v>8033841913</v>
      </c>
      <c r="E348" s="0" t="s">
        <v>67</v>
      </c>
      <c r="F348" s="0" t="s">
        <v>955</v>
      </c>
      <c r="G348" s="0" t="s">
        <v>107</v>
      </c>
      <c r="H348" s="0" t="s">
        <v>135</v>
      </c>
      <c r="I348" s="0" t="s">
        <v>142</v>
      </c>
      <c r="K348" s="0" t="n">
        <v>66550</v>
      </c>
      <c r="L348" s="0" t="s">
        <v>49</v>
      </c>
      <c r="M348" s="0" t="s">
        <v>50</v>
      </c>
      <c r="N348" s="0" t="n">
        <v>3</v>
      </c>
      <c r="O348" s="0" t="n">
        <v>3.3</v>
      </c>
      <c r="P348" s="0" t="s">
        <v>92</v>
      </c>
      <c r="Q348" s="0" t="s">
        <v>52</v>
      </c>
      <c r="S348" s="0" t="s">
        <v>75</v>
      </c>
      <c r="T348" s="0" t="n">
        <v>60</v>
      </c>
      <c r="U348" s="0" t="s">
        <v>76</v>
      </c>
      <c r="V348" s="0" t="s">
        <v>56</v>
      </c>
      <c r="W348" s="0" t="s">
        <v>113</v>
      </c>
      <c r="X348" s="0" t="s">
        <v>58</v>
      </c>
      <c r="Y348" s="0" t="s">
        <v>197</v>
      </c>
      <c r="Z348" s="0" t="s">
        <v>161</v>
      </c>
      <c r="AA348" s="0" t="n">
        <v>25000</v>
      </c>
      <c r="AB348" s="0" t="n">
        <v>35000</v>
      </c>
      <c r="AC348" s="0" t="s">
        <v>63</v>
      </c>
      <c r="AD348" s="0" t="n">
        <v>0</v>
      </c>
      <c r="AE348" s="0" t="s">
        <v>80</v>
      </c>
      <c r="AF348" s="1" t="n">
        <v>45887</v>
      </c>
      <c r="AG348" s="0" t="s">
        <v>63</v>
      </c>
      <c r="AH348" s="0" t="s">
        <v>171</v>
      </c>
      <c r="AI348" s="0" t="s">
        <v>172</v>
      </c>
      <c r="AJ348" s="0" t="s">
        <v>62</v>
      </c>
      <c r="AK348" s="0" t="s">
        <v>50</v>
      </c>
      <c r="AL348" s="0" t="s">
        <v>50</v>
      </c>
      <c r="AM348" s="0" t="s">
        <v>118</v>
      </c>
      <c r="AN348" s="0" t="s">
        <v>50</v>
      </c>
    </row>
    <row r="349" customFormat="false" ht="15" hidden="false" customHeight="false" outlineLevel="0" collapsed="false">
      <c r="A349" s="1" t="n">
        <v>45702</v>
      </c>
      <c r="B349" s="0" t="s">
        <v>956</v>
      </c>
      <c r="C349" s="0" t="s">
        <v>163</v>
      </c>
      <c r="D349" s="0" t="n">
        <v>8014302906</v>
      </c>
      <c r="E349" s="0" t="s">
        <v>85</v>
      </c>
      <c r="F349" s="0" t="s">
        <v>957</v>
      </c>
      <c r="G349" s="0" t="s">
        <v>87</v>
      </c>
      <c r="H349" s="0" t="s">
        <v>88</v>
      </c>
      <c r="I349" s="0" t="s">
        <v>189</v>
      </c>
      <c r="J349" s="0" t="s">
        <v>48</v>
      </c>
      <c r="K349" s="0" t="n">
        <v>59844</v>
      </c>
      <c r="L349" s="0" t="s">
        <v>49</v>
      </c>
      <c r="M349" s="0" t="s">
        <v>63</v>
      </c>
      <c r="N349" s="0" t="n">
        <v>1</v>
      </c>
      <c r="O349" s="0" t="n">
        <v>1.4</v>
      </c>
      <c r="P349" s="0" t="s">
        <v>125</v>
      </c>
      <c r="Q349" s="0" t="s">
        <v>73</v>
      </c>
      <c r="R349" s="0" t="s">
        <v>136</v>
      </c>
      <c r="S349" s="0" t="s">
        <v>95</v>
      </c>
      <c r="T349" s="0" t="n">
        <v>30</v>
      </c>
      <c r="U349" s="0" t="s">
        <v>112</v>
      </c>
      <c r="V349" s="0" t="s">
        <v>148</v>
      </c>
      <c r="W349" s="0" t="s">
        <v>113</v>
      </c>
      <c r="X349" s="0" t="s">
        <v>137</v>
      </c>
      <c r="AA349" s="0" t="n">
        <v>15000</v>
      </c>
      <c r="AB349" s="0" t="n">
        <v>35000</v>
      </c>
      <c r="AC349" s="0" t="s">
        <v>82</v>
      </c>
      <c r="AE349" s="0" t="s">
        <v>60</v>
      </c>
      <c r="AF349" s="1" t="n">
        <v>46009</v>
      </c>
      <c r="AG349" s="0" t="s">
        <v>50</v>
      </c>
      <c r="AH349" s="0" t="s">
        <v>171</v>
      </c>
      <c r="AK349" s="0" t="s">
        <v>50</v>
      </c>
      <c r="AL349" s="0" t="s">
        <v>102</v>
      </c>
      <c r="AM349" s="0" t="s">
        <v>103</v>
      </c>
      <c r="AN349" s="0" t="s">
        <v>50</v>
      </c>
    </row>
    <row r="350" customFormat="false" ht="15" hidden="false" customHeight="false" outlineLevel="0" collapsed="false">
      <c r="A350" s="1" t="n">
        <v>45810</v>
      </c>
      <c r="B350" s="0" t="s">
        <v>958</v>
      </c>
      <c r="C350" s="0" t="s">
        <v>42</v>
      </c>
      <c r="D350" s="0" t="n">
        <v>8090982133</v>
      </c>
      <c r="E350" s="0" t="s">
        <v>139</v>
      </c>
      <c r="F350" s="0" t="s">
        <v>844</v>
      </c>
      <c r="G350" s="0" t="s">
        <v>69</v>
      </c>
      <c r="H350" s="0" t="s">
        <v>242</v>
      </c>
      <c r="I350" s="0" t="s">
        <v>189</v>
      </c>
      <c r="K350" s="0" t="n">
        <v>54212</v>
      </c>
      <c r="L350" s="0" t="s">
        <v>110</v>
      </c>
      <c r="M350" s="0" t="s">
        <v>50</v>
      </c>
      <c r="N350" s="0" t="n">
        <v>3</v>
      </c>
      <c r="O350" s="0" t="n">
        <v>1.1</v>
      </c>
      <c r="P350" s="0" t="s">
        <v>51</v>
      </c>
      <c r="Q350" s="0" t="s">
        <v>52</v>
      </c>
      <c r="R350" s="0" t="s">
        <v>136</v>
      </c>
      <c r="S350" s="0" t="s">
        <v>54</v>
      </c>
      <c r="U350" s="0" t="s">
        <v>76</v>
      </c>
      <c r="V350" s="0" t="s">
        <v>148</v>
      </c>
      <c r="W350" s="0" t="s">
        <v>57</v>
      </c>
      <c r="X350" s="0" t="s">
        <v>114</v>
      </c>
      <c r="AA350" s="0" t="n">
        <v>40000</v>
      </c>
      <c r="AB350" s="0" t="n">
        <v>30000</v>
      </c>
      <c r="AC350" s="0" t="s">
        <v>50</v>
      </c>
      <c r="AD350" s="0" t="n">
        <v>0</v>
      </c>
      <c r="AF350" s="0" t="s">
        <v>959</v>
      </c>
      <c r="AG350" s="0" t="s">
        <v>50</v>
      </c>
      <c r="AI350" s="0" t="s">
        <v>172</v>
      </c>
      <c r="AJ350" s="0" t="s">
        <v>50</v>
      </c>
      <c r="AK350" s="0" t="s">
        <v>63</v>
      </c>
      <c r="AM350" s="0" t="s">
        <v>83</v>
      </c>
      <c r="AN350" s="0" t="s">
        <v>63</v>
      </c>
    </row>
    <row r="351" customFormat="false" ht="15" hidden="false" customHeight="false" outlineLevel="0" collapsed="false">
      <c r="A351" s="1" t="n">
        <v>45805</v>
      </c>
      <c r="B351" s="0" t="s">
        <v>960</v>
      </c>
      <c r="C351" s="0" t="s">
        <v>42</v>
      </c>
      <c r="D351" s="0" t="n">
        <v>8075580570</v>
      </c>
      <c r="E351" s="0" t="s">
        <v>139</v>
      </c>
      <c r="F351" s="0" t="s">
        <v>961</v>
      </c>
      <c r="G351" s="0" t="s">
        <v>134</v>
      </c>
      <c r="H351" s="0" t="s">
        <v>242</v>
      </c>
      <c r="I351" s="0" t="s">
        <v>154</v>
      </c>
      <c r="J351" s="0" t="s">
        <v>48</v>
      </c>
      <c r="K351" s="0" t="n">
        <v>37315</v>
      </c>
      <c r="L351" s="0" t="s">
        <v>49</v>
      </c>
      <c r="M351" s="0" t="s">
        <v>50</v>
      </c>
      <c r="N351" s="0" t="n">
        <v>1</v>
      </c>
      <c r="O351" s="0" t="n">
        <v>2.6</v>
      </c>
      <c r="P351" s="0" t="s">
        <v>92</v>
      </c>
      <c r="Q351" s="0" t="s">
        <v>73</v>
      </c>
      <c r="R351" s="0" t="s">
        <v>159</v>
      </c>
      <c r="S351" s="0" t="s">
        <v>147</v>
      </c>
      <c r="T351" s="0" t="s">
        <v>127</v>
      </c>
      <c r="U351" s="0" t="s">
        <v>160</v>
      </c>
      <c r="V351" s="0" t="s">
        <v>148</v>
      </c>
      <c r="W351" s="0" t="s">
        <v>98</v>
      </c>
      <c r="X351" s="0" t="s">
        <v>58</v>
      </c>
      <c r="Y351" s="0" t="s">
        <v>177</v>
      </c>
      <c r="Z351" s="0" t="s">
        <v>143</v>
      </c>
      <c r="AA351" s="0" t="n">
        <v>30000</v>
      </c>
      <c r="AC351" s="0" t="s">
        <v>82</v>
      </c>
      <c r="AD351" s="0" t="n">
        <v>10000</v>
      </c>
      <c r="AE351" s="0" t="s">
        <v>130</v>
      </c>
      <c r="AF351" s="0" t="s">
        <v>962</v>
      </c>
      <c r="AG351" s="0" t="s">
        <v>61</v>
      </c>
      <c r="AH351" s="0" t="s">
        <v>171</v>
      </c>
      <c r="AJ351" s="0" t="s">
        <v>63</v>
      </c>
      <c r="AK351" s="0" t="s">
        <v>61</v>
      </c>
      <c r="AL351" s="0" t="s">
        <v>50</v>
      </c>
      <c r="AM351" s="0" t="s">
        <v>118</v>
      </c>
      <c r="AN351" s="0" t="s">
        <v>190</v>
      </c>
    </row>
    <row r="352" customFormat="false" ht="15" hidden="false" customHeight="false" outlineLevel="0" collapsed="false">
      <c r="A352" s="0" t="s">
        <v>963</v>
      </c>
      <c r="B352" s="0" t="s">
        <v>964</v>
      </c>
      <c r="C352" s="0" t="s">
        <v>66</v>
      </c>
      <c r="D352" s="0" t="n">
        <v>8013602203</v>
      </c>
      <c r="E352" s="0" t="s">
        <v>67</v>
      </c>
      <c r="F352" s="0" t="s">
        <v>965</v>
      </c>
      <c r="G352" s="0" t="s">
        <v>87</v>
      </c>
      <c r="H352" s="0" t="s">
        <v>242</v>
      </c>
      <c r="I352" s="0" t="s">
        <v>142</v>
      </c>
      <c r="J352" s="0" t="s">
        <v>71</v>
      </c>
      <c r="K352" s="0" t="n">
        <v>80274</v>
      </c>
      <c r="L352" s="0" t="s">
        <v>72</v>
      </c>
      <c r="M352" s="0" t="s">
        <v>50</v>
      </c>
      <c r="N352" s="0" t="n">
        <v>4</v>
      </c>
      <c r="O352" s="0" t="n">
        <v>3.9</v>
      </c>
      <c r="P352" s="0" t="s">
        <v>111</v>
      </c>
      <c r="Q352" s="0" t="s">
        <v>93</v>
      </c>
      <c r="S352" s="0" t="s">
        <v>147</v>
      </c>
      <c r="T352" s="0" t="n">
        <v>45</v>
      </c>
      <c r="U352" s="0" t="s">
        <v>112</v>
      </c>
      <c r="V352" s="0" t="s">
        <v>148</v>
      </c>
      <c r="W352" s="0" t="s">
        <v>98</v>
      </c>
      <c r="X352" s="0" t="s">
        <v>114</v>
      </c>
      <c r="Y352" s="0" t="s">
        <v>177</v>
      </c>
      <c r="Z352" s="0" t="s">
        <v>143</v>
      </c>
      <c r="AA352" s="0" t="n">
        <v>30000</v>
      </c>
      <c r="AB352" s="0" t="n">
        <v>30000</v>
      </c>
      <c r="AD352" s="0" t="n">
        <v>10000</v>
      </c>
      <c r="AG352" s="0" t="s">
        <v>82</v>
      </c>
      <c r="AJ352" s="0" t="s">
        <v>63</v>
      </c>
      <c r="AK352" s="0" t="s">
        <v>82</v>
      </c>
      <c r="AL352" s="0" t="s">
        <v>50</v>
      </c>
      <c r="AM352" s="0" t="s">
        <v>83</v>
      </c>
      <c r="AN352" s="0" t="s">
        <v>50</v>
      </c>
    </row>
    <row r="353" customFormat="false" ht="15" hidden="false" customHeight="false" outlineLevel="0" collapsed="false">
      <c r="A353" s="1" t="n">
        <v>45688</v>
      </c>
      <c r="B353" s="0" t="s">
        <v>966</v>
      </c>
      <c r="C353" s="0" t="s">
        <v>121</v>
      </c>
      <c r="D353" s="0" t="n">
        <v>8035057390</v>
      </c>
      <c r="E353" s="0" t="s">
        <v>139</v>
      </c>
      <c r="F353" s="0" t="s">
        <v>967</v>
      </c>
      <c r="G353" s="0" t="s">
        <v>45</v>
      </c>
      <c r="H353" s="0" t="s">
        <v>70</v>
      </c>
      <c r="I353" s="0" t="s">
        <v>142</v>
      </c>
      <c r="J353" s="0" t="s">
        <v>71</v>
      </c>
      <c r="K353" s="0" t="n">
        <v>11757</v>
      </c>
      <c r="L353" s="0" t="s">
        <v>72</v>
      </c>
      <c r="M353" s="0" t="s">
        <v>63</v>
      </c>
      <c r="O353" s="0" t="n">
        <v>2.5</v>
      </c>
      <c r="P353" s="0" t="s">
        <v>111</v>
      </c>
      <c r="Q353" s="0" t="s">
        <v>93</v>
      </c>
      <c r="S353" s="0" t="s">
        <v>147</v>
      </c>
      <c r="T353" s="0" t="n">
        <v>60</v>
      </c>
      <c r="U353" s="0" t="s">
        <v>55</v>
      </c>
      <c r="V353" s="0" t="s">
        <v>155</v>
      </c>
      <c r="W353" s="0" t="s">
        <v>57</v>
      </c>
      <c r="X353" s="0" t="s">
        <v>196</v>
      </c>
      <c r="Y353" s="0" t="s">
        <v>59</v>
      </c>
      <c r="Z353" s="0" t="s">
        <v>79</v>
      </c>
      <c r="AB353" s="0" t="s">
        <v>178</v>
      </c>
      <c r="AC353" s="0" t="s">
        <v>50</v>
      </c>
      <c r="AD353" s="0" t="s">
        <v>115</v>
      </c>
      <c r="AE353" s="0" t="s">
        <v>130</v>
      </c>
      <c r="AF353" s="1" t="n">
        <v>45885</v>
      </c>
      <c r="AG353" s="0" t="s">
        <v>50</v>
      </c>
      <c r="AH353" s="0" t="s">
        <v>171</v>
      </c>
      <c r="AI353" s="0" t="s">
        <v>117</v>
      </c>
      <c r="AK353" s="0" t="s">
        <v>50</v>
      </c>
      <c r="AL353" s="0" t="s">
        <v>102</v>
      </c>
      <c r="AM353" s="0" t="s">
        <v>103</v>
      </c>
      <c r="AN353" s="0" t="s">
        <v>50</v>
      </c>
    </row>
    <row r="354" customFormat="false" ht="15" hidden="false" customHeight="false" outlineLevel="0" collapsed="false">
      <c r="A354" s="1" t="n">
        <v>45820</v>
      </c>
      <c r="B354" s="0" t="s">
        <v>968</v>
      </c>
      <c r="C354" s="0" t="s">
        <v>42</v>
      </c>
      <c r="D354" s="0" t="n">
        <v>8036709158</v>
      </c>
      <c r="E354" s="0" t="s">
        <v>43</v>
      </c>
      <c r="F354" s="0" t="s">
        <v>969</v>
      </c>
      <c r="G354" s="0" t="s">
        <v>134</v>
      </c>
      <c r="H354" s="0" t="s">
        <v>153</v>
      </c>
      <c r="I354" s="0" t="s">
        <v>108</v>
      </c>
      <c r="J354" s="0" t="s">
        <v>109</v>
      </c>
      <c r="K354" s="0" t="n">
        <v>96551</v>
      </c>
      <c r="L354" s="0" t="s">
        <v>91</v>
      </c>
      <c r="M354" s="0" t="s">
        <v>63</v>
      </c>
      <c r="N354" s="0" t="n">
        <v>4</v>
      </c>
      <c r="O354" s="0" t="n">
        <v>5.8</v>
      </c>
      <c r="P354" s="0" t="s">
        <v>92</v>
      </c>
      <c r="Q354" s="0" t="s">
        <v>73</v>
      </c>
      <c r="R354" s="0" t="s">
        <v>74</v>
      </c>
      <c r="S354" s="0" t="s">
        <v>54</v>
      </c>
      <c r="T354" s="0" t="n">
        <v>30</v>
      </c>
      <c r="U354" s="0" t="s">
        <v>96</v>
      </c>
      <c r="V354" s="0" t="s">
        <v>148</v>
      </c>
      <c r="W354" s="0" t="s">
        <v>57</v>
      </c>
      <c r="X354" s="0" t="s">
        <v>99</v>
      </c>
      <c r="AB354" s="0" t="s">
        <v>178</v>
      </c>
      <c r="AD354" s="0" t="n">
        <v>0</v>
      </c>
      <c r="AE354" s="0" t="s">
        <v>60</v>
      </c>
      <c r="AF354" s="0" t="s">
        <v>970</v>
      </c>
      <c r="AG354" s="0" t="s">
        <v>50</v>
      </c>
      <c r="AH354" s="0" t="s">
        <v>116</v>
      </c>
      <c r="AJ354" s="0" t="s">
        <v>63</v>
      </c>
      <c r="AK354" s="0" t="s">
        <v>50</v>
      </c>
      <c r="AM354" s="0" t="s">
        <v>103</v>
      </c>
      <c r="AN354" s="0" t="s">
        <v>50</v>
      </c>
    </row>
    <row r="355" customFormat="false" ht="15" hidden="false" customHeight="false" outlineLevel="0" collapsed="false">
      <c r="A355" s="0" t="s">
        <v>971</v>
      </c>
      <c r="B355" s="0" t="s">
        <v>972</v>
      </c>
      <c r="C355" s="0" t="s">
        <v>163</v>
      </c>
      <c r="D355" s="0" t="n">
        <v>8019326928</v>
      </c>
      <c r="E355" s="0" t="s">
        <v>139</v>
      </c>
      <c r="F355" s="0" t="s">
        <v>973</v>
      </c>
      <c r="G355" s="0" t="s">
        <v>87</v>
      </c>
      <c r="H355" s="0" t="s">
        <v>146</v>
      </c>
      <c r="I355" s="0" t="s">
        <v>189</v>
      </c>
      <c r="J355" s="0" t="s">
        <v>90</v>
      </c>
      <c r="K355" s="0" t="n">
        <v>33440</v>
      </c>
      <c r="L355" s="0" t="s">
        <v>124</v>
      </c>
      <c r="M355" s="0" t="s">
        <v>63</v>
      </c>
      <c r="N355" s="0" t="n">
        <v>3</v>
      </c>
      <c r="O355" s="0" t="n">
        <v>5.6</v>
      </c>
      <c r="P355" s="0" t="s">
        <v>111</v>
      </c>
      <c r="Q355" s="0" t="s">
        <v>73</v>
      </c>
      <c r="R355" s="0" t="s">
        <v>94</v>
      </c>
      <c r="S355" s="0" t="s">
        <v>126</v>
      </c>
      <c r="T355" s="0" t="n">
        <v>15</v>
      </c>
      <c r="U355" s="0" t="s">
        <v>55</v>
      </c>
      <c r="V355" s="0" t="s">
        <v>97</v>
      </c>
      <c r="W355" s="0" t="s">
        <v>78</v>
      </c>
      <c r="X355" s="0" t="s">
        <v>58</v>
      </c>
      <c r="Y355" s="0" t="s">
        <v>59</v>
      </c>
      <c r="Z355" s="0" t="s">
        <v>161</v>
      </c>
      <c r="AA355" s="0" t="n">
        <v>25000</v>
      </c>
      <c r="AB355" s="0" t="s">
        <v>178</v>
      </c>
      <c r="AC355" s="0" t="s">
        <v>61</v>
      </c>
      <c r="AE355" s="0" t="s">
        <v>130</v>
      </c>
      <c r="AF355" s="0" t="s">
        <v>974</v>
      </c>
      <c r="AJ355" s="0" t="s">
        <v>81</v>
      </c>
      <c r="AK355" s="0" t="s">
        <v>82</v>
      </c>
      <c r="AN355" s="0" t="s">
        <v>50</v>
      </c>
    </row>
    <row r="356" customFormat="false" ht="15" hidden="false" customHeight="false" outlineLevel="0" collapsed="false">
      <c r="A356" s="0" t="s">
        <v>975</v>
      </c>
      <c r="B356" s="0" t="s">
        <v>976</v>
      </c>
      <c r="C356" s="0" t="s">
        <v>105</v>
      </c>
      <c r="D356" s="0" t="n">
        <v>8061793831</v>
      </c>
      <c r="E356" s="0" t="s">
        <v>85</v>
      </c>
      <c r="F356" s="0" t="s">
        <v>977</v>
      </c>
      <c r="G356" s="0" t="s">
        <v>107</v>
      </c>
      <c r="H356" s="0" t="s">
        <v>46</v>
      </c>
      <c r="I356" s="0" t="s">
        <v>89</v>
      </c>
      <c r="J356" s="0" t="s">
        <v>109</v>
      </c>
      <c r="K356" s="0" t="n">
        <v>69682</v>
      </c>
      <c r="L356" s="0" t="s">
        <v>110</v>
      </c>
      <c r="M356" s="0" t="s">
        <v>63</v>
      </c>
      <c r="O356" s="0" t="n">
        <v>5.1</v>
      </c>
      <c r="P356" s="0" t="s">
        <v>51</v>
      </c>
      <c r="Q356" s="0" t="s">
        <v>52</v>
      </c>
      <c r="S356" s="0" t="s">
        <v>147</v>
      </c>
      <c r="T356" s="0" t="n">
        <v>30</v>
      </c>
      <c r="U356" s="0" t="s">
        <v>76</v>
      </c>
      <c r="V356" s="0" t="s">
        <v>155</v>
      </c>
      <c r="W356" s="0" t="s">
        <v>78</v>
      </c>
      <c r="X356" s="0" t="s">
        <v>137</v>
      </c>
      <c r="Y356" s="0" t="s">
        <v>59</v>
      </c>
      <c r="Z356" s="0" t="s">
        <v>149</v>
      </c>
      <c r="AC356" s="0" t="s">
        <v>63</v>
      </c>
      <c r="AD356" s="0" t="n">
        <v>0</v>
      </c>
      <c r="AE356" s="0" t="s">
        <v>80</v>
      </c>
      <c r="AG356" s="0" t="s">
        <v>61</v>
      </c>
      <c r="AH356" s="0" t="s">
        <v>116</v>
      </c>
      <c r="AK356" s="0" t="s">
        <v>50</v>
      </c>
      <c r="AM356" s="0" t="s">
        <v>103</v>
      </c>
    </row>
    <row r="357" customFormat="false" ht="15" hidden="false" customHeight="false" outlineLevel="0" collapsed="false">
      <c r="A357" s="1" t="n">
        <v>45786</v>
      </c>
      <c r="B357" s="0" t="s">
        <v>978</v>
      </c>
      <c r="C357" s="0" t="s">
        <v>42</v>
      </c>
      <c r="D357" s="0" t="n">
        <v>8048093356</v>
      </c>
      <c r="E357" s="0" t="s">
        <v>43</v>
      </c>
      <c r="F357" s="0" t="s">
        <v>979</v>
      </c>
      <c r="G357" s="0" t="s">
        <v>107</v>
      </c>
      <c r="H357" s="0" t="s">
        <v>242</v>
      </c>
      <c r="I357" s="0" t="s">
        <v>47</v>
      </c>
      <c r="J357" s="0" t="s">
        <v>71</v>
      </c>
      <c r="K357" s="0" t="n">
        <v>95278</v>
      </c>
      <c r="L357" s="0" t="s">
        <v>91</v>
      </c>
      <c r="M357" s="0" t="s">
        <v>50</v>
      </c>
      <c r="N357" s="0" t="n">
        <v>5</v>
      </c>
      <c r="O357" s="0" t="n">
        <v>4.9</v>
      </c>
      <c r="P357" s="0" t="s">
        <v>51</v>
      </c>
      <c r="Q357" s="0" t="s">
        <v>73</v>
      </c>
      <c r="S357" s="0" t="s">
        <v>147</v>
      </c>
      <c r="T357" s="0" t="n">
        <v>15</v>
      </c>
      <c r="U357" s="0" t="s">
        <v>96</v>
      </c>
      <c r="V357" s="0" t="s">
        <v>56</v>
      </c>
      <c r="W357" s="0" t="s">
        <v>113</v>
      </c>
      <c r="X357" s="0" t="s">
        <v>137</v>
      </c>
      <c r="Y357" s="0" t="s">
        <v>156</v>
      </c>
      <c r="Z357" s="0" t="s">
        <v>129</v>
      </c>
      <c r="AA357" s="0" t="n">
        <v>30000</v>
      </c>
      <c r="AF357" s="1" t="n">
        <v>45931</v>
      </c>
      <c r="AG357" s="0" t="s">
        <v>82</v>
      </c>
      <c r="AK357" s="0" t="s">
        <v>82</v>
      </c>
      <c r="AL357" s="0" t="s">
        <v>102</v>
      </c>
      <c r="AM357" s="0" t="s">
        <v>103</v>
      </c>
      <c r="AN357" s="0" t="s">
        <v>198</v>
      </c>
    </row>
    <row r="358" customFormat="false" ht="15" hidden="false" customHeight="false" outlineLevel="0" collapsed="false">
      <c r="A358" s="1" t="n">
        <v>45810</v>
      </c>
      <c r="B358" s="0" t="s">
        <v>980</v>
      </c>
      <c r="C358" s="0" t="s">
        <v>163</v>
      </c>
      <c r="D358" s="0" t="n">
        <v>8037634396</v>
      </c>
      <c r="E358" s="0" t="s">
        <v>43</v>
      </c>
      <c r="F358" s="0" t="s">
        <v>981</v>
      </c>
      <c r="G358" s="0" t="s">
        <v>45</v>
      </c>
      <c r="H358" s="0" t="s">
        <v>135</v>
      </c>
      <c r="I358" s="0" t="s">
        <v>154</v>
      </c>
      <c r="J358" s="0" t="s">
        <v>71</v>
      </c>
      <c r="K358" s="0" t="n">
        <v>97181</v>
      </c>
      <c r="L358" s="0" t="s">
        <v>124</v>
      </c>
      <c r="M358" s="0" t="s">
        <v>63</v>
      </c>
      <c r="N358" s="0" t="n">
        <v>4</v>
      </c>
      <c r="O358" s="0" t="n">
        <v>5</v>
      </c>
      <c r="P358" s="0" t="s">
        <v>125</v>
      </c>
      <c r="Q358" s="0" t="s">
        <v>52</v>
      </c>
      <c r="R358" s="0" t="s">
        <v>53</v>
      </c>
      <c r="S358" s="0" t="s">
        <v>126</v>
      </c>
      <c r="T358" s="0" t="n">
        <v>45</v>
      </c>
      <c r="U358" s="0" t="s">
        <v>76</v>
      </c>
      <c r="V358" s="0" t="s">
        <v>155</v>
      </c>
      <c r="W358" s="0" t="s">
        <v>128</v>
      </c>
      <c r="X358" s="0" t="s">
        <v>114</v>
      </c>
      <c r="Y358" s="0" t="s">
        <v>156</v>
      </c>
      <c r="AA358" s="0" t="n">
        <v>30000</v>
      </c>
      <c r="AC358" s="0" t="s">
        <v>61</v>
      </c>
      <c r="AD358" s="0" t="s">
        <v>115</v>
      </c>
      <c r="AF358" s="0" t="s">
        <v>732</v>
      </c>
      <c r="AL358" s="0" t="s">
        <v>63</v>
      </c>
      <c r="AM358" s="0" t="s">
        <v>103</v>
      </c>
      <c r="AN358" s="0" t="s">
        <v>198</v>
      </c>
    </row>
    <row r="359" customFormat="false" ht="15" hidden="false" customHeight="false" outlineLevel="0" collapsed="false">
      <c r="A359" s="0" t="s">
        <v>371</v>
      </c>
      <c r="B359" s="0" t="s">
        <v>982</v>
      </c>
      <c r="C359" s="0" t="s">
        <v>105</v>
      </c>
      <c r="D359" s="0" t="n">
        <v>8041278022</v>
      </c>
      <c r="E359" s="0" t="s">
        <v>139</v>
      </c>
      <c r="F359" s="0" t="s">
        <v>871</v>
      </c>
      <c r="G359" s="0" t="s">
        <v>45</v>
      </c>
      <c r="H359" s="0" t="s">
        <v>165</v>
      </c>
      <c r="I359" s="0" t="s">
        <v>189</v>
      </c>
      <c r="K359" s="0" t="n">
        <v>116333</v>
      </c>
      <c r="L359" s="0" t="s">
        <v>49</v>
      </c>
      <c r="M359" s="0" t="s">
        <v>63</v>
      </c>
      <c r="O359" s="0" t="n">
        <v>2</v>
      </c>
      <c r="P359" s="0" t="s">
        <v>111</v>
      </c>
      <c r="Q359" s="0" t="s">
        <v>73</v>
      </c>
      <c r="S359" s="0" t="s">
        <v>54</v>
      </c>
      <c r="U359" s="0" t="s">
        <v>76</v>
      </c>
      <c r="V359" s="0" t="s">
        <v>56</v>
      </c>
      <c r="W359" s="0" t="s">
        <v>128</v>
      </c>
      <c r="X359" s="0" t="s">
        <v>137</v>
      </c>
      <c r="Z359" s="0" t="s">
        <v>161</v>
      </c>
      <c r="AA359" s="0" t="n">
        <v>40000</v>
      </c>
      <c r="AB359" s="0" t="n">
        <v>40000</v>
      </c>
      <c r="AC359" s="0" t="s">
        <v>82</v>
      </c>
      <c r="AD359" s="0" t="n">
        <v>0</v>
      </c>
      <c r="AE359" s="0" t="s">
        <v>60</v>
      </c>
      <c r="AF359" s="1" t="n">
        <v>45830</v>
      </c>
      <c r="AG359" s="0" t="s">
        <v>82</v>
      </c>
      <c r="AK359" s="0" t="s">
        <v>61</v>
      </c>
      <c r="AL359" s="0" t="s">
        <v>102</v>
      </c>
      <c r="AM359" s="0" t="s">
        <v>103</v>
      </c>
    </row>
    <row r="360" customFormat="false" ht="15" hidden="false" customHeight="false" outlineLevel="0" collapsed="false">
      <c r="A360" s="1" t="n">
        <v>45732</v>
      </c>
      <c r="B360" s="0" t="s">
        <v>983</v>
      </c>
      <c r="C360" s="0" t="s">
        <v>121</v>
      </c>
      <c r="D360" s="0" t="n">
        <v>8049071522</v>
      </c>
      <c r="E360" s="0" t="s">
        <v>85</v>
      </c>
      <c r="F360" s="0" t="s">
        <v>984</v>
      </c>
      <c r="G360" s="0" t="s">
        <v>87</v>
      </c>
      <c r="H360" s="0" t="s">
        <v>141</v>
      </c>
      <c r="I360" s="0" t="s">
        <v>142</v>
      </c>
      <c r="J360" s="0" t="s">
        <v>90</v>
      </c>
      <c r="K360" s="0" t="n">
        <v>49513</v>
      </c>
      <c r="L360" s="0" t="s">
        <v>166</v>
      </c>
      <c r="M360" s="0" t="s">
        <v>63</v>
      </c>
      <c r="N360" s="0" t="n">
        <v>1</v>
      </c>
      <c r="O360" s="0" t="n">
        <v>3.5</v>
      </c>
      <c r="Q360" s="0" t="s">
        <v>93</v>
      </c>
      <c r="R360" s="0" t="s">
        <v>53</v>
      </c>
      <c r="S360" s="0" t="s">
        <v>95</v>
      </c>
      <c r="T360" s="0" t="n">
        <v>30</v>
      </c>
      <c r="U360" s="0" t="s">
        <v>76</v>
      </c>
      <c r="V360" s="0" t="s">
        <v>77</v>
      </c>
      <c r="W360" s="0" t="s">
        <v>78</v>
      </c>
      <c r="X360" s="0" t="s">
        <v>114</v>
      </c>
      <c r="Z360" s="0" t="s">
        <v>79</v>
      </c>
      <c r="AA360" s="0" t="n">
        <v>15000</v>
      </c>
      <c r="AC360" s="0" t="s">
        <v>63</v>
      </c>
      <c r="AD360" s="0" t="n">
        <v>10000</v>
      </c>
      <c r="AE360" s="0" t="s">
        <v>80</v>
      </c>
      <c r="AF360" s="1" t="n">
        <v>45981</v>
      </c>
      <c r="AG360" s="0" t="s">
        <v>50</v>
      </c>
      <c r="AI360" s="0" t="s">
        <v>117</v>
      </c>
      <c r="AJ360" s="0" t="s">
        <v>63</v>
      </c>
      <c r="AK360" s="0" t="s">
        <v>82</v>
      </c>
      <c r="AM360" s="0" t="s">
        <v>83</v>
      </c>
      <c r="AN360" s="0" t="s">
        <v>50</v>
      </c>
    </row>
    <row r="361" customFormat="false" ht="15" hidden="false" customHeight="false" outlineLevel="0" collapsed="false">
      <c r="A361" s="1" t="n">
        <v>45779</v>
      </c>
      <c r="B361" s="0" t="s">
        <v>985</v>
      </c>
      <c r="C361" s="0" t="s">
        <v>66</v>
      </c>
      <c r="D361" s="0" t="n">
        <v>8098525972</v>
      </c>
      <c r="E361" s="0" t="s">
        <v>67</v>
      </c>
      <c r="F361" s="0" t="s">
        <v>986</v>
      </c>
      <c r="G361" s="0" t="s">
        <v>69</v>
      </c>
      <c r="H361" s="0" t="s">
        <v>153</v>
      </c>
      <c r="I361" s="0" t="s">
        <v>47</v>
      </c>
      <c r="K361" s="0" t="n">
        <v>111796</v>
      </c>
      <c r="L361" s="0" t="s">
        <v>124</v>
      </c>
      <c r="M361" s="0" t="s">
        <v>63</v>
      </c>
      <c r="N361" s="0" t="n">
        <v>4</v>
      </c>
      <c r="O361" s="0" t="n">
        <v>5.4</v>
      </c>
      <c r="P361" s="0" t="s">
        <v>125</v>
      </c>
      <c r="Q361" s="0" t="s">
        <v>73</v>
      </c>
      <c r="R361" s="0" t="s">
        <v>74</v>
      </c>
      <c r="S361" s="0" t="s">
        <v>54</v>
      </c>
      <c r="T361" s="0" t="n">
        <v>60</v>
      </c>
      <c r="U361" s="0" t="s">
        <v>96</v>
      </c>
      <c r="V361" s="0" t="s">
        <v>148</v>
      </c>
      <c r="W361" s="0" t="s">
        <v>128</v>
      </c>
      <c r="X361" s="0" t="s">
        <v>137</v>
      </c>
      <c r="Y361" s="0" t="s">
        <v>197</v>
      </c>
      <c r="Z361" s="0" t="s">
        <v>79</v>
      </c>
      <c r="AA361" s="0" t="n">
        <v>15000</v>
      </c>
      <c r="AB361" s="0" t="s">
        <v>178</v>
      </c>
      <c r="AD361" s="0" t="n">
        <v>0</v>
      </c>
      <c r="AE361" s="0" t="s">
        <v>184</v>
      </c>
      <c r="AG361" s="0" t="s">
        <v>63</v>
      </c>
      <c r="AH361" s="0" t="s">
        <v>116</v>
      </c>
      <c r="AJ361" s="0" t="s">
        <v>81</v>
      </c>
      <c r="AL361" s="0" t="s">
        <v>63</v>
      </c>
      <c r="AM361" s="0" t="s">
        <v>83</v>
      </c>
      <c r="AN361" s="0" t="s">
        <v>63</v>
      </c>
    </row>
    <row r="362" customFormat="false" ht="15" hidden="false" customHeight="false" outlineLevel="0" collapsed="false">
      <c r="A362" s="0" t="s">
        <v>302</v>
      </c>
      <c r="B362" s="0" t="s">
        <v>987</v>
      </c>
      <c r="C362" s="0" t="s">
        <v>66</v>
      </c>
      <c r="D362" s="0" t="n">
        <v>8080383199</v>
      </c>
      <c r="E362" s="0" t="s">
        <v>43</v>
      </c>
      <c r="F362" s="0" t="s">
        <v>988</v>
      </c>
      <c r="G362" s="0" t="s">
        <v>107</v>
      </c>
      <c r="H362" s="0" t="s">
        <v>146</v>
      </c>
      <c r="I362" s="0" t="s">
        <v>154</v>
      </c>
      <c r="J362" s="0" t="s">
        <v>90</v>
      </c>
      <c r="K362" s="0" t="n">
        <v>78287</v>
      </c>
      <c r="L362" s="0" t="s">
        <v>91</v>
      </c>
      <c r="M362" s="0" t="s">
        <v>63</v>
      </c>
      <c r="O362" s="0" t="n">
        <v>3.6</v>
      </c>
      <c r="P362" s="0" t="s">
        <v>51</v>
      </c>
      <c r="Q362" s="0" t="s">
        <v>52</v>
      </c>
      <c r="R362" s="0" t="s">
        <v>159</v>
      </c>
      <c r="S362" s="0" t="s">
        <v>75</v>
      </c>
      <c r="T362" s="0" t="n">
        <v>45</v>
      </c>
      <c r="U362" s="0" t="s">
        <v>160</v>
      </c>
      <c r="V362" s="0" t="s">
        <v>155</v>
      </c>
      <c r="W362" s="0" t="s">
        <v>78</v>
      </c>
      <c r="X362" s="0" t="s">
        <v>58</v>
      </c>
      <c r="Y362" s="0" t="s">
        <v>197</v>
      </c>
      <c r="Z362" s="0" t="s">
        <v>149</v>
      </c>
      <c r="AC362" s="0" t="s">
        <v>50</v>
      </c>
      <c r="AE362" s="0" t="s">
        <v>60</v>
      </c>
      <c r="AG362" s="0" t="s">
        <v>63</v>
      </c>
      <c r="AL362" s="0" t="s">
        <v>102</v>
      </c>
      <c r="AM362" s="0" t="s">
        <v>83</v>
      </c>
    </row>
    <row r="363" customFormat="false" ht="15" hidden="false" customHeight="false" outlineLevel="0" collapsed="false">
      <c r="A363" s="0" t="s">
        <v>918</v>
      </c>
      <c r="B363" s="0" t="s">
        <v>989</v>
      </c>
      <c r="C363" s="0" t="s">
        <v>66</v>
      </c>
      <c r="D363" s="0" t="n">
        <v>8019392480</v>
      </c>
      <c r="E363" s="0" t="s">
        <v>122</v>
      </c>
      <c r="F363" s="0" t="s">
        <v>990</v>
      </c>
      <c r="G363" s="0" t="s">
        <v>87</v>
      </c>
      <c r="H363" s="0" t="s">
        <v>70</v>
      </c>
      <c r="I363" s="0" t="s">
        <v>47</v>
      </c>
      <c r="J363" s="0" t="s">
        <v>90</v>
      </c>
      <c r="K363" s="0" t="n">
        <v>23582</v>
      </c>
      <c r="L363" s="0" t="s">
        <v>49</v>
      </c>
      <c r="M363" s="0" t="s">
        <v>50</v>
      </c>
      <c r="O363" s="0" t="n">
        <v>3</v>
      </c>
      <c r="P363" s="0" t="s">
        <v>125</v>
      </c>
      <c r="Q363" s="0" t="s">
        <v>93</v>
      </c>
      <c r="R363" s="0" t="s">
        <v>74</v>
      </c>
      <c r="S363" s="0" t="s">
        <v>75</v>
      </c>
      <c r="U363" s="0" t="s">
        <v>96</v>
      </c>
      <c r="V363" s="0" t="s">
        <v>155</v>
      </c>
      <c r="W363" s="0" t="s">
        <v>113</v>
      </c>
      <c r="X363" s="0" t="s">
        <v>137</v>
      </c>
      <c r="Y363" s="0" t="s">
        <v>197</v>
      </c>
      <c r="Z363" s="0" t="s">
        <v>161</v>
      </c>
      <c r="AA363" s="0" t="n">
        <v>15000</v>
      </c>
      <c r="AC363" s="0" t="s">
        <v>61</v>
      </c>
      <c r="AD363" s="0" t="n">
        <v>5000</v>
      </c>
      <c r="AE363" s="0" t="s">
        <v>130</v>
      </c>
      <c r="AH363" s="0" t="s">
        <v>171</v>
      </c>
      <c r="AI363" s="0" t="s">
        <v>172</v>
      </c>
      <c r="AJ363" s="0" t="s">
        <v>63</v>
      </c>
      <c r="AK363" s="0" t="s">
        <v>63</v>
      </c>
      <c r="AM363" s="0" t="s">
        <v>118</v>
      </c>
      <c r="AN363" s="0" t="s">
        <v>198</v>
      </c>
    </row>
    <row r="364" customFormat="false" ht="15" hidden="false" customHeight="false" outlineLevel="0" collapsed="false">
      <c r="A364" s="1" t="n">
        <v>45781</v>
      </c>
      <c r="B364" s="0" t="s">
        <v>991</v>
      </c>
      <c r="C364" s="0" t="s">
        <v>42</v>
      </c>
      <c r="D364" s="0" t="n">
        <v>8071023927</v>
      </c>
      <c r="E364" s="0" t="s">
        <v>43</v>
      </c>
      <c r="F364" s="0" t="s">
        <v>992</v>
      </c>
      <c r="G364" s="0" t="s">
        <v>45</v>
      </c>
      <c r="H364" s="0" t="s">
        <v>165</v>
      </c>
      <c r="I364" s="0" t="s">
        <v>47</v>
      </c>
      <c r="J364" s="0" t="s">
        <v>71</v>
      </c>
      <c r="K364" s="0" t="n">
        <v>29612</v>
      </c>
      <c r="L364" s="0" t="s">
        <v>166</v>
      </c>
      <c r="M364" s="0" t="s">
        <v>63</v>
      </c>
      <c r="O364" s="0" t="n">
        <v>3.6</v>
      </c>
      <c r="P364" s="0" t="s">
        <v>51</v>
      </c>
      <c r="Q364" s="0" t="s">
        <v>73</v>
      </c>
      <c r="R364" s="0" t="s">
        <v>136</v>
      </c>
      <c r="S364" s="0" t="s">
        <v>75</v>
      </c>
      <c r="U364" s="0" t="s">
        <v>112</v>
      </c>
      <c r="V364" s="0" t="s">
        <v>97</v>
      </c>
      <c r="W364" s="0" t="s">
        <v>57</v>
      </c>
      <c r="X364" s="0" t="s">
        <v>99</v>
      </c>
      <c r="Z364" s="0" t="s">
        <v>129</v>
      </c>
      <c r="AA364" s="0" t="s">
        <v>150</v>
      </c>
      <c r="AC364" s="0" t="s">
        <v>63</v>
      </c>
      <c r="AD364" s="0" t="n">
        <v>10000</v>
      </c>
      <c r="AE364" s="0" t="s">
        <v>80</v>
      </c>
      <c r="AF364" s="0" t="s">
        <v>315</v>
      </c>
      <c r="AG364" s="0" t="s">
        <v>50</v>
      </c>
      <c r="AH364" s="0" t="s">
        <v>116</v>
      </c>
      <c r="AL364" s="0" t="s">
        <v>63</v>
      </c>
      <c r="AM364" s="0" t="s">
        <v>118</v>
      </c>
      <c r="AN364" s="0" t="s">
        <v>50</v>
      </c>
    </row>
    <row r="365" customFormat="false" ht="15" hidden="false" customHeight="false" outlineLevel="0" collapsed="false">
      <c r="A365" s="1" t="n">
        <v>45759</v>
      </c>
      <c r="B365" s="0" t="s">
        <v>993</v>
      </c>
      <c r="C365" s="0" t="s">
        <v>163</v>
      </c>
      <c r="D365" s="0" t="n">
        <v>8017711235</v>
      </c>
      <c r="E365" s="0" t="s">
        <v>139</v>
      </c>
      <c r="F365" s="0" t="s">
        <v>994</v>
      </c>
      <c r="G365" s="0" t="s">
        <v>87</v>
      </c>
      <c r="H365" s="0" t="s">
        <v>135</v>
      </c>
      <c r="I365" s="0" t="s">
        <v>154</v>
      </c>
      <c r="J365" s="0" t="s">
        <v>71</v>
      </c>
      <c r="K365" s="0" t="n">
        <v>110186</v>
      </c>
      <c r="L365" s="0" t="s">
        <v>124</v>
      </c>
      <c r="M365" s="0" t="s">
        <v>63</v>
      </c>
      <c r="N365" s="0" t="n">
        <v>4</v>
      </c>
      <c r="O365" s="0" t="n">
        <v>1.4</v>
      </c>
      <c r="P365" s="0" t="s">
        <v>111</v>
      </c>
      <c r="Q365" s="0" t="s">
        <v>93</v>
      </c>
      <c r="R365" s="0" t="s">
        <v>159</v>
      </c>
      <c r="S365" s="0" t="s">
        <v>95</v>
      </c>
      <c r="T365" s="0" t="n">
        <v>30</v>
      </c>
      <c r="U365" s="0" t="s">
        <v>55</v>
      </c>
      <c r="V365" s="0" t="s">
        <v>148</v>
      </c>
      <c r="W365" s="0" t="s">
        <v>113</v>
      </c>
      <c r="X365" s="0" t="s">
        <v>58</v>
      </c>
      <c r="Z365" s="0" t="s">
        <v>79</v>
      </c>
      <c r="AA365" s="0" t="s">
        <v>150</v>
      </c>
      <c r="AB365" s="0" t="s">
        <v>178</v>
      </c>
      <c r="AD365" s="0" t="s">
        <v>115</v>
      </c>
      <c r="AE365" s="0" t="s">
        <v>80</v>
      </c>
      <c r="AF365" s="1" t="n">
        <v>45943</v>
      </c>
      <c r="AG365" s="0" t="s">
        <v>50</v>
      </c>
      <c r="AJ365" s="0" t="s">
        <v>63</v>
      </c>
      <c r="AK365" s="0" t="s">
        <v>61</v>
      </c>
      <c r="AM365" s="0" t="s">
        <v>103</v>
      </c>
      <c r="AN365" s="0" t="s">
        <v>63</v>
      </c>
    </row>
    <row r="366" customFormat="false" ht="15" hidden="false" customHeight="false" outlineLevel="0" collapsed="false">
      <c r="A366" s="1" t="n">
        <v>45801</v>
      </c>
      <c r="B366" s="0" t="s">
        <v>995</v>
      </c>
      <c r="C366" s="0" t="s">
        <v>66</v>
      </c>
      <c r="D366" s="0" t="n">
        <v>8059479669</v>
      </c>
      <c r="E366" s="0" t="s">
        <v>43</v>
      </c>
      <c r="F366" s="0" t="s">
        <v>996</v>
      </c>
      <c r="G366" s="0" t="s">
        <v>69</v>
      </c>
      <c r="H366" s="0" t="s">
        <v>146</v>
      </c>
      <c r="I366" s="0" t="s">
        <v>189</v>
      </c>
      <c r="J366" s="0" t="s">
        <v>71</v>
      </c>
      <c r="K366" s="0" t="n">
        <v>112891</v>
      </c>
      <c r="L366" s="0" t="s">
        <v>110</v>
      </c>
      <c r="M366" s="0" t="s">
        <v>63</v>
      </c>
      <c r="N366" s="0" t="n">
        <v>3</v>
      </c>
      <c r="O366" s="0" t="n">
        <v>4.6</v>
      </c>
      <c r="Q366" s="0" t="s">
        <v>73</v>
      </c>
      <c r="S366" s="0" t="s">
        <v>147</v>
      </c>
      <c r="T366" s="0" t="n">
        <v>45</v>
      </c>
      <c r="U366" s="0" t="s">
        <v>160</v>
      </c>
      <c r="V366" s="0" t="s">
        <v>148</v>
      </c>
      <c r="W366" s="0" t="s">
        <v>113</v>
      </c>
      <c r="X366" s="0" t="s">
        <v>99</v>
      </c>
      <c r="Y366" s="0" t="s">
        <v>59</v>
      </c>
      <c r="Z366" s="0" t="s">
        <v>149</v>
      </c>
      <c r="AA366" s="0" t="n">
        <v>30000</v>
      </c>
      <c r="AB366" s="0" t="s">
        <v>178</v>
      </c>
      <c r="AF366" s="1" t="n">
        <v>45973</v>
      </c>
      <c r="AG366" s="0" t="s">
        <v>50</v>
      </c>
      <c r="AJ366" s="0" t="s">
        <v>81</v>
      </c>
      <c r="AK366" s="0" t="s">
        <v>50</v>
      </c>
      <c r="AL366" s="0" t="s">
        <v>102</v>
      </c>
      <c r="AM366" s="0" t="s">
        <v>103</v>
      </c>
      <c r="AN366" s="0" t="s">
        <v>50</v>
      </c>
    </row>
    <row r="367" customFormat="false" ht="15" hidden="false" customHeight="false" outlineLevel="0" collapsed="false">
      <c r="A367" s="1" t="n">
        <v>45792</v>
      </c>
      <c r="B367" s="0" t="s">
        <v>997</v>
      </c>
      <c r="C367" s="0" t="s">
        <v>105</v>
      </c>
      <c r="D367" s="0" t="n">
        <v>8079596144</v>
      </c>
      <c r="E367" s="0" t="s">
        <v>122</v>
      </c>
      <c r="F367" s="0" t="s">
        <v>271</v>
      </c>
      <c r="G367" s="0" t="s">
        <v>134</v>
      </c>
      <c r="H367" s="0" t="s">
        <v>153</v>
      </c>
      <c r="I367" s="0" t="s">
        <v>142</v>
      </c>
      <c r="J367" s="0" t="s">
        <v>90</v>
      </c>
      <c r="K367" s="0" t="n">
        <v>46968</v>
      </c>
      <c r="L367" s="0" t="s">
        <v>49</v>
      </c>
      <c r="M367" s="0" t="s">
        <v>63</v>
      </c>
      <c r="N367" s="0" t="n">
        <v>3</v>
      </c>
      <c r="O367" s="0" t="n">
        <v>4.2</v>
      </c>
      <c r="Q367" s="0" t="s">
        <v>73</v>
      </c>
      <c r="R367" s="0" t="s">
        <v>74</v>
      </c>
      <c r="S367" s="0" t="s">
        <v>147</v>
      </c>
      <c r="T367" s="0" t="s">
        <v>127</v>
      </c>
      <c r="U367" s="0" t="s">
        <v>76</v>
      </c>
      <c r="V367" s="0" t="s">
        <v>148</v>
      </c>
      <c r="W367" s="0" t="s">
        <v>78</v>
      </c>
      <c r="X367" s="0" t="s">
        <v>99</v>
      </c>
      <c r="Y367" s="0" t="s">
        <v>156</v>
      </c>
      <c r="Z367" s="0" t="s">
        <v>161</v>
      </c>
      <c r="AA367" s="0" t="s">
        <v>150</v>
      </c>
      <c r="AB367" s="0" t="n">
        <v>35000</v>
      </c>
      <c r="AC367" s="0" t="s">
        <v>63</v>
      </c>
      <c r="AD367" s="0" t="n">
        <v>10000</v>
      </c>
      <c r="AE367" s="0" t="s">
        <v>184</v>
      </c>
      <c r="AF367" s="1" t="n">
        <v>45947</v>
      </c>
      <c r="AG367" s="0" t="s">
        <v>82</v>
      </c>
      <c r="AH367" s="0" t="s">
        <v>116</v>
      </c>
      <c r="AI367" s="0" t="s">
        <v>172</v>
      </c>
      <c r="AJ367" s="0" t="s">
        <v>63</v>
      </c>
      <c r="AL367" s="0" t="s">
        <v>50</v>
      </c>
      <c r="AM367" s="0" t="s">
        <v>118</v>
      </c>
      <c r="AN367" s="0" t="s">
        <v>190</v>
      </c>
    </row>
    <row r="368" customFormat="false" ht="15" hidden="false" customHeight="false" outlineLevel="0" collapsed="false">
      <c r="A368" s="1" t="n">
        <v>45740</v>
      </c>
      <c r="B368" s="0" t="s">
        <v>998</v>
      </c>
      <c r="C368" s="0" t="s">
        <v>163</v>
      </c>
      <c r="D368" s="0" t="n">
        <v>8011482715</v>
      </c>
      <c r="E368" s="0" t="s">
        <v>122</v>
      </c>
      <c r="F368" s="0" t="s">
        <v>999</v>
      </c>
      <c r="G368" s="0" t="s">
        <v>107</v>
      </c>
      <c r="H368" s="0" t="s">
        <v>70</v>
      </c>
      <c r="I368" s="0" t="s">
        <v>189</v>
      </c>
      <c r="K368" s="0" t="n">
        <v>33086</v>
      </c>
      <c r="L368" s="0" t="s">
        <v>166</v>
      </c>
      <c r="M368" s="0" t="s">
        <v>63</v>
      </c>
      <c r="N368" s="0" t="n">
        <v>4</v>
      </c>
      <c r="O368" s="0" t="n">
        <v>2</v>
      </c>
      <c r="P368" s="0" t="s">
        <v>51</v>
      </c>
      <c r="Q368" s="0" t="s">
        <v>73</v>
      </c>
      <c r="R368" s="0" t="s">
        <v>94</v>
      </c>
      <c r="S368" s="0" t="s">
        <v>147</v>
      </c>
      <c r="T368" s="0" t="n">
        <v>45</v>
      </c>
      <c r="U368" s="0" t="s">
        <v>160</v>
      </c>
      <c r="V368" s="0" t="s">
        <v>148</v>
      </c>
      <c r="W368" s="0" t="s">
        <v>98</v>
      </c>
      <c r="X368" s="0" t="s">
        <v>99</v>
      </c>
      <c r="Y368" s="0" t="s">
        <v>177</v>
      </c>
      <c r="Z368" s="0" t="s">
        <v>129</v>
      </c>
      <c r="AA368" s="0" t="s">
        <v>150</v>
      </c>
      <c r="AB368" s="0" t="n">
        <v>35000</v>
      </c>
      <c r="AC368" s="0" t="s">
        <v>82</v>
      </c>
      <c r="AD368" s="0" t="n">
        <v>10000</v>
      </c>
      <c r="AG368" s="0" t="s">
        <v>63</v>
      </c>
      <c r="AI368" s="0" t="s">
        <v>117</v>
      </c>
      <c r="AJ368" s="0" t="s">
        <v>50</v>
      </c>
      <c r="AK368" s="0" t="s">
        <v>50</v>
      </c>
      <c r="AL368" s="0" t="s">
        <v>50</v>
      </c>
      <c r="AM368" s="0" t="s">
        <v>64</v>
      </c>
      <c r="AN368" s="0" t="s">
        <v>63</v>
      </c>
    </row>
    <row r="369" customFormat="false" ht="15" hidden="false" customHeight="false" outlineLevel="0" collapsed="false">
      <c r="A369" s="1" t="n">
        <v>45686</v>
      </c>
      <c r="B369" s="0" t="s">
        <v>1000</v>
      </c>
      <c r="C369" s="0" t="s">
        <v>163</v>
      </c>
      <c r="D369" s="0" t="n">
        <v>8033062057</v>
      </c>
      <c r="E369" s="0" t="s">
        <v>122</v>
      </c>
      <c r="F369" s="0" t="s">
        <v>1001</v>
      </c>
      <c r="G369" s="0" t="s">
        <v>107</v>
      </c>
      <c r="H369" s="0" t="s">
        <v>135</v>
      </c>
      <c r="I369" s="0" t="s">
        <v>89</v>
      </c>
      <c r="J369" s="0" t="s">
        <v>109</v>
      </c>
      <c r="K369" s="0" t="n">
        <v>23167</v>
      </c>
      <c r="L369" s="0" t="s">
        <v>110</v>
      </c>
      <c r="M369" s="0" t="s">
        <v>50</v>
      </c>
      <c r="N369" s="0" t="n">
        <v>1</v>
      </c>
      <c r="O369" s="0" t="n">
        <v>3.5</v>
      </c>
      <c r="Q369" s="0" t="s">
        <v>73</v>
      </c>
      <c r="R369" s="0" t="s">
        <v>94</v>
      </c>
      <c r="S369" s="0" t="s">
        <v>54</v>
      </c>
      <c r="T369" s="0" t="n">
        <v>30</v>
      </c>
      <c r="U369" s="0" t="s">
        <v>96</v>
      </c>
      <c r="V369" s="0" t="s">
        <v>77</v>
      </c>
      <c r="W369" s="0" t="s">
        <v>78</v>
      </c>
      <c r="X369" s="0" t="s">
        <v>58</v>
      </c>
      <c r="Y369" s="0" t="s">
        <v>177</v>
      </c>
      <c r="AB369" s="0" t="n">
        <v>35000</v>
      </c>
      <c r="AC369" s="0" t="s">
        <v>61</v>
      </c>
      <c r="AD369" s="0" t="n">
        <v>10000</v>
      </c>
      <c r="AF369" s="0" t="s">
        <v>212</v>
      </c>
      <c r="AG369" s="0" t="s">
        <v>82</v>
      </c>
      <c r="AH369" s="0" t="s">
        <v>116</v>
      </c>
      <c r="AJ369" s="0" t="s">
        <v>50</v>
      </c>
      <c r="AK369" s="0" t="s">
        <v>63</v>
      </c>
      <c r="AL369" s="0" t="s">
        <v>50</v>
      </c>
      <c r="AM369" s="0" t="s">
        <v>103</v>
      </c>
      <c r="AN369" s="0" t="s">
        <v>198</v>
      </c>
    </row>
    <row r="370" customFormat="false" ht="15" hidden="false" customHeight="false" outlineLevel="0" collapsed="false">
      <c r="A370" s="0" t="s">
        <v>635</v>
      </c>
      <c r="B370" s="0" t="s">
        <v>1002</v>
      </c>
      <c r="C370" s="0" t="s">
        <v>42</v>
      </c>
      <c r="D370" s="0" t="n">
        <v>8053858604</v>
      </c>
      <c r="E370" s="0" t="s">
        <v>67</v>
      </c>
      <c r="F370" s="0" t="s">
        <v>1003</v>
      </c>
      <c r="G370" s="0" t="s">
        <v>134</v>
      </c>
      <c r="H370" s="0" t="s">
        <v>165</v>
      </c>
      <c r="I370" s="0" t="s">
        <v>142</v>
      </c>
      <c r="J370" s="0" t="s">
        <v>71</v>
      </c>
      <c r="K370" s="0" t="n">
        <v>21809</v>
      </c>
      <c r="L370" s="0" t="s">
        <v>49</v>
      </c>
      <c r="M370" s="0" t="s">
        <v>63</v>
      </c>
      <c r="N370" s="0" t="n">
        <v>5</v>
      </c>
      <c r="O370" s="0" t="n">
        <v>4.8</v>
      </c>
      <c r="P370" s="0" t="s">
        <v>51</v>
      </c>
      <c r="Q370" s="0" t="s">
        <v>73</v>
      </c>
      <c r="R370" s="0" t="s">
        <v>136</v>
      </c>
      <c r="S370" s="0" t="s">
        <v>126</v>
      </c>
      <c r="T370" s="0" t="s">
        <v>127</v>
      </c>
      <c r="U370" s="0" t="s">
        <v>112</v>
      </c>
      <c r="V370" s="0" t="s">
        <v>97</v>
      </c>
      <c r="W370" s="0" t="s">
        <v>78</v>
      </c>
      <c r="X370" s="0" t="s">
        <v>99</v>
      </c>
      <c r="Z370" s="0" t="s">
        <v>79</v>
      </c>
      <c r="AA370" s="0" t="n">
        <v>15000</v>
      </c>
      <c r="AB370" s="0" t="n">
        <v>35000</v>
      </c>
      <c r="AC370" s="0" t="s">
        <v>63</v>
      </c>
      <c r="AE370" s="0" t="s">
        <v>184</v>
      </c>
      <c r="AF370" s="1" t="n">
        <v>45999</v>
      </c>
      <c r="AG370" s="0" t="s">
        <v>82</v>
      </c>
      <c r="AI370" s="0" t="s">
        <v>117</v>
      </c>
      <c r="AJ370" s="0" t="s">
        <v>81</v>
      </c>
      <c r="AM370" s="0" t="s">
        <v>64</v>
      </c>
    </row>
    <row r="371" customFormat="false" ht="15" hidden="false" customHeight="false" outlineLevel="0" collapsed="false">
      <c r="A371" s="1" t="n">
        <v>45746</v>
      </c>
      <c r="B371" s="0" t="s">
        <v>1004</v>
      </c>
      <c r="C371" s="0" t="s">
        <v>42</v>
      </c>
      <c r="D371" s="0" t="n">
        <v>8065144861</v>
      </c>
      <c r="E371" s="0" t="s">
        <v>122</v>
      </c>
      <c r="F371" s="0" t="s">
        <v>1005</v>
      </c>
      <c r="G371" s="0" t="s">
        <v>134</v>
      </c>
      <c r="I371" s="0" t="s">
        <v>89</v>
      </c>
      <c r="J371" s="0" t="s">
        <v>71</v>
      </c>
      <c r="K371" s="0" t="n">
        <v>47283</v>
      </c>
      <c r="L371" s="0" t="s">
        <v>110</v>
      </c>
      <c r="M371" s="0" t="s">
        <v>50</v>
      </c>
      <c r="N371" s="0" t="n">
        <v>5</v>
      </c>
      <c r="O371" s="0" t="n">
        <v>5.2</v>
      </c>
      <c r="P371" s="0" t="s">
        <v>125</v>
      </c>
      <c r="Q371" s="0" t="s">
        <v>52</v>
      </c>
      <c r="S371" s="0" t="s">
        <v>75</v>
      </c>
      <c r="T371" s="0" t="n">
        <v>60</v>
      </c>
      <c r="U371" s="0" t="s">
        <v>112</v>
      </c>
      <c r="V371" s="0" t="s">
        <v>155</v>
      </c>
      <c r="W371" s="0" t="s">
        <v>98</v>
      </c>
      <c r="X371" s="0" t="s">
        <v>58</v>
      </c>
      <c r="Y371" s="0" t="s">
        <v>156</v>
      </c>
      <c r="Z371" s="0" t="s">
        <v>161</v>
      </c>
      <c r="AA371" s="0" t="n">
        <v>15000</v>
      </c>
      <c r="AD371" s="0" t="n">
        <v>10000</v>
      </c>
      <c r="AE371" s="0" t="s">
        <v>184</v>
      </c>
      <c r="AG371" s="0" t="s">
        <v>82</v>
      </c>
      <c r="AI371" s="0" t="s">
        <v>117</v>
      </c>
      <c r="AJ371" s="0" t="s">
        <v>63</v>
      </c>
      <c r="AK371" s="0" t="s">
        <v>61</v>
      </c>
    </row>
    <row r="372" customFormat="false" ht="15" hidden="false" customHeight="false" outlineLevel="0" collapsed="false">
      <c r="A372" s="0" t="s">
        <v>505</v>
      </c>
      <c r="B372" s="0" t="s">
        <v>1006</v>
      </c>
      <c r="C372" s="0" t="s">
        <v>121</v>
      </c>
      <c r="D372" s="0" t="n">
        <v>8062493261</v>
      </c>
      <c r="E372" s="0" t="s">
        <v>67</v>
      </c>
      <c r="F372" s="0" t="s">
        <v>1007</v>
      </c>
      <c r="G372" s="0" t="s">
        <v>134</v>
      </c>
      <c r="I372" s="0" t="s">
        <v>189</v>
      </c>
      <c r="J372" s="0" t="s">
        <v>109</v>
      </c>
      <c r="K372" s="0" t="n">
        <v>12976</v>
      </c>
      <c r="L372" s="0" t="s">
        <v>49</v>
      </c>
      <c r="M372" s="0" t="s">
        <v>50</v>
      </c>
      <c r="N372" s="0" t="n">
        <v>2</v>
      </c>
      <c r="O372" s="0" t="n">
        <v>1.6</v>
      </c>
      <c r="Q372" s="0" t="s">
        <v>93</v>
      </c>
      <c r="R372" s="0" t="s">
        <v>53</v>
      </c>
      <c r="S372" s="0" t="s">
        <v>95</v>
      </c>
      <c r="T372" s="0" t="s">
        <v>127</v>
      </c>
      <c r="U372" s="0" t="s">
        <v>96</v>
      </c>
      <c r="V372" s="0" t="s">
        <v>97</v>
      </c>
      <c r="W372" s="0" t="s">
        <v>78</v>
      </c>
      <c r="X372" s="0" t="s">
        <v>137</v>
      </c>
      <c r="Z372" s="0" t="s">
        <v>149</v>
      </c>
      <c r="AA372" s="0" t="n">
        <v>30000</v>
      </c>
      <c r="AB372" s="0" t="n">
        <v>35000</v>
      </c>
      <c r="AC372" s="0" t="s">
        <v>63</v>
      </c>
      <c r="AD372" s="0" t="n">
        <v>0</v>
      </c>
      <c r="AE372" s="0" t="s">
        <v>184</v>
      </c>
      <c r="AF372" s="1" t="n">
        <v>45832</v>
      </c>
      <c r="AG372" s="0" t="s">
        <v>61</v>
      </c>
      <c r="AH372" s="0" t="s">
        <v>171</v>
      </c>
      <c r="AI372" s="0" t="s">
        <v>172</v>
      </c>
      <c r="AJ372" s="0" t="s">
        <v>81</v>
      </c>
      <c r="AK372" s="0" t="s">
        <v>63</v>
      </c>
      <c r="AM372" s="0" t="s">
        <v>103</v>
      </c>
    </row>
    <row r="373" customFormat="false" ht="15" hidden="false" customHeight="false" outlineLevel="0" collapsed="false">
      <c r="A373" s="1" t="n">
        <v>45815</v>
      </c>
      <c r="B373" s="0" t="s">
        <v>1008</v>
      </c>
      <c r="C373" s="0" t="s">
        <v>121</v>
      </c>
      <c r="D373" s="0" t="n">
        <v>8031076941</v>
      </c>
      <c r="E373" s="0" t="s">
        <v>85</v>
      </c>
      <c r="F373" s="0" t="s">
        <v>1009</v>
      </c>
      <c r="G373" s="0" t="s">
        <v>69</v>
      </c>
      <c r="I373" s="0" t="s">
        <v>47</v>
      </c>
      <c r="K373" s="0" t="n">
        <v>113525</v>
      </c>
      <c r="L373" s="0" t="s">
        <v>72</v>
      </c>
      <c r="M373" s="0" t="s">
        <v>50</v>
      </c>
      <c r="N373" s="0" t="n">
        <v>3</v>
      </c>
      <c r="O373" s="0" t="n">
        <v>1.4</v>
      </c>
      <c r="P373" s="0" t="s">
        <v>125</v>
      </c>
      <c r="Q373" s="0" t="s">
        <v>73</v>
      </c>
      <c r="R373" s="0" t="s">
        <v>94</v>
      </c>
      <c r="S373" s="0" t="s">
        <v>95</v>
      </c>
      <c r="T373" s="0" t="n">
        <v>30</v>
      </c>
      <c r="U373" s="0" t="s">
        <v>55</v>
      </c>
      <c r="V373" s="0" t="s">
        <v>77</v>
      </c>
      <c r="W373" s="0" t="s">
        <v>57</v>
      </c>
      <c r="X373" s="0" t="s">
        <v>196</v>
      </c>
      <c r="Y373" s="0" t="s">
        <v>177</v>
      </c>
      <c r="Z373" s="0" t="s">
        <v>149</v>
      </c>
      <c r="AA373" s="0" t="n">
        <v>40000</v>
      </c>
      <c r="AB373" s="0" t="s">
        <v>178</v>
      </c>
      <c r="AC373" s="0" t="s">
        <v>63</v>
      </c>
      <c r="AD373" s="0" t="s">
        <v>115</v>
      </c>
      <c r="AE373" s="0" t="s">
        <v>130</v>
      </c>
      <c r="AJ373" s="0" t="s">
        <v>63</v>
      </c>
      <c r="AM373" s="0" t="s">
        <v>118</v>
      </c>
      <c r="AN373" s="0" t="s">
        <v>50</v>
      </c>
    </row>
    <row r="374" customFormat="false" ht="15" hidden="false" customHeight="false" outlineLevel="0" collapsed="false">
      <c r="A374" s="1" t="n">
        <v>45770</v>
      </c>
      <c r="B374" s="0" t="s">
        <v>1010</v>
      </c>
      <c r="C374" s="0" t="s">
        <v>42</v>
      </c>
      <c r="D374" s="0" t="n">
        <v>8024863801</v>
      </c>
      <c r="E374" s="0" t="s">
        <v>122</v>
      </c>
      <c r="F374" s="0" t="s">
        <v>1011</v>
      </c>
      <c r="G374" s="0" t="s">
        <v>87</v>
      </c>
      <c r="H374" s="0" t="s">
        <v>176</v>
      </c>
      <c r="I374" s="0" t="s">
        <v>47</v>
      </c>
      <c r="J374" s="0" t="s">
        <v>48</v>
      </c>
      <c r="K374" s="0" t="n">
        <v>83188</v>
      </c>
      <c r="L374" s="0" t="s">
        <v>91</v>
      </c>
      <c r="M374" s="0" t="s">
        <v>50</v>
      </c>
      <c r="N374" s="0" t="n">
        <v>1</v>
      </c>
      <c r="O374" s="0" t="n">
        <v>2.2</v>
      </c>
      <c r="Q374" s="0" t="s">
        <v>52</v>
      </c>
      <c r="R374" s="0" t="s">
        <v>136</v>
      </c>
      <c r="S374" s="0" t="s">
        <v>126</v>
      </c>
      <c r="U374" s="0" t="s">
        <v>96</v>
      </c>
      <c r="V374" s="0" t="s">
        <v>97</v>
      </c>
      <c r="W374" s="0" t="s">
        <v>57</v>
      </c>
      <c r="X374" s="0" t="s">
        <v>99</v>
      </c>
      <c r="Y374" s="0" t="s">
        <v>59</v>
      </c>
      <c r="Z374" s="0" t="s">
        <v>161</v>
      </c>
      <c r="AA374" s="0" t="n">
        <v>25000</v>
      </c>
      <c r="AB374" s="0" t="n">
        <v>35000</v>
      </c>
      <c r="AC374" s="0" t="s">
        <v>50</v>
      </c>
      <c r="AD374" s="0" t="n">
        <v>0</v>
      </c>
      <c r="AG374" s="0" t="s">
        <v>82</v>
      </c>
      <c r="AH374" s="0" t="s">
        <v>116</v>
      </c>
      <c r="AI374" s="0" t="s">
        <v>101</v>
      </c>
      <c r="AK374" s="0" t="s">
        <v>61</v>
      </c>
      <c r="AL374" s="0" t="s">
        <v>102</v>
      </c>
      <c r="AM374" s="0" t="s">
        <v>64</v>
      </c>
      <c r="AN374" s="0" t="s">
        <v>50</v>
      </c>
    </row>
    <row r="375" customFormat="false" ht="15" hidden="false" customHeight="false" outlineLevel="0" collapsed="false">
      <c r="A375" s="1" t="n">
        <v>45753</v>
      </c>
      <c r="B375" s="0" t="s">
        <v>1012</v>
      </c>
      <c r="C375" s="0" t="s">
        <v>42</v>
      </c>
      <c r="D375" s="0" t="n">
        <v>8027332564</v>
      </c>
      <c r="E375" s="0" t="s">
        <v>122</v>
      </c>
      <c r="F375" s="0" t="s">
        <v>1013</v>
      </c>
      <c r="G375" s="0" t="s">
        <v>107</v>
      </c>
      <c r="H375" s="0" t="s">
        <v>46</v>
      </c>
      <c r="I375" s="0" t="s">
        <v>108</v>
      </c>
      <c r="J375" s="0" t="s">
        <v>71</v>
      </c>
      <c r="K375" s="0" t="n">
        <v>99527</v>
      </c>
      <c r="L375" s="0" t="s">
        <v>49</v>
      </c>
      <c r="M375" s="0" t="s">
        <v>63</v>
      </c>
      <c r="N375" s="0" t="n">
        <v>4</v>
      </c>
      <c r="O375" s="0" t="n">
        <v>5.9</v>
      </c>
      <c r="P375" s="0" t="s">
        <v>111</v>
      </c>
      <c r="Q375" s="0" t="s">
        <v>73</v>
      </c>
      <c r="R375" s="0" t="s">
        <v>159</v>
      </c>
      <c r="S375" s="0" t="s">
        <v>54</v>
      </c>
      <c r="T375" s="0" t="s">
        <v>127</v>
      </c>
      <c r="U375" s="0" t="s">
        <v>160</v>
      </c>
      <c r="V375" s="0" t="s">
        <v>77</v>
      </c>
      <c r="W375" s="0" t="s">
        <v>113</v>
      </c>
      <c r="X375" s="0" t="s">
        <v>196</v>
      </c>
      <c r="Z375" s="0" t="s">
        <v>79</v>
      </c>
      <c r="AA375" s="0" t="n">
        <v>25000</v>
      </c>
      <c r="AB375" s="0" t="n">
        <v>20000</v>
      </c>
      <c r="AC375" s="0" t="s">
        <v>82</v>
      </c>
      <c r="AF375" s="0" t="s">
        <v>1014</v>
      </c>
      <c r="AG375" s="0" t="s">
        <v>50</v>
      </c>
      <c r="AI375" s="0" t="s">
        <v>172</v>
      </c>
      <c r="AJ375" s="0" t="s">
        <v>63</v>
      </c>
      <c r="AL375" s="0" t="s">
        <v>50</v>
      </c>
      <c r="AM375" s="0" t="s">
        <v>83</v>
      </c>
      <c r="AN375" s="0" t="s">
        <v>63</v>
      </c>
    </row>
    <row r="376" customFormat="false" ht="15" hidden="false" customHeight="false" outlineLevel="0" collapsed="false">
      <c r="A376" s="1" t="n">
        <v>45671</v>
      </c>
      <c r="B376" s="0" t="s">
        <v>1015</v>
      </c>
      <c r="C376" s="0" t="s">
        <v>163</v>
      </c>
      <c r="D376" s="0" t="n">
        <v>8082001505</v>
      </c>
      <c r="E376" s="0" t="s">
        <v>43</v>
      </c>
      <c r="F376" s="0" t="s">
        <v>1016</v>
      </c>
      <c r="G376" s="0" t="s">
        <v>134</v>
      </c>
      <c r="H376" s="0" t="s">
        <v>153</v>
      </c>
      <c r="I376" s="0" t="s">
        <v>154</v>
      </c>
      <c r="J376" s="0" t="s">
        <v>71</v>
      </c>
      <c r="K376" s="0" t="n">
        <v>61745</v>
      </c>
      <c r="L376" s="0" t="s">
        <v>166</v>
      </c>
      <c r="M376" s="0" t="s">
        <v>63</v>
      </c>
      <c r="N376" s="0" t="n">
        <v>3</v>
      </c>
      <c r="O376" s="0" t="n">
        <v>3.5</v>
      </c>
      <c r="P376" s="0" t="s">
        <v>51</v>
      </c>
      <c r="Q376" s="0" t="s">
        <v>93</v>
      </c>
      <c r="R376" s="0" t="s">
        <v>159</v>
      </c>
      <c r="S376" s="0" t="s">
        <v>167</v>
      </c>
      <c r="T376" s="0" t="n">
        <v>45</v>
      </c>
      <c r="U376" s="0" t="s">
        <v>55</v>
      </c>
      <c r="V376" s="0" t="s">
        <v>56</v>
      </c>
      <c r="W376" s="0" t="s">
        <v>128</v>
      </c>
      <c r="X376" s="0" t="s">
        <v>58</v>
      </c>
      <c r="Y376" s="0" t="s">
        <v>177</v>
      </c>
      <c r="AA376" s="0" t="n">
        <v>15000</v>
      </c>
      <c r="AB376" s="0" t="n">
        <v>30000</v>
      </c>
      <c r="AC376" s="0" t="s">
        <v>61</v>
      </c>
      <c r="AD376" s="0" t="n">
        <v>10000</v>
      </c>
      <c r="AF376" s="0" t="s">
        <v>970</v>
      </c>
      <c r="AG376" s="0" t="s">
        <v>61</v>
      </c>
      <c r="AH376" s="0" t="s">
        <v>116</v>
      </c>
      <c r="AI376" s="0" t="s">
        <v>117</v>
      </c>
      <c r="AJ376" s="0" t="s">
        <v>63</v>
      </c>
      <c r="AK376" s="0" t="s">
        <v>61</v>
      </c>
      <c r="AM376" s="0" t="s">
        <v>118</v>
      </c>
      <c r="AN376" s="0" t="s">
        <v>190</v>
      </c>
    </row>
    <row r="377" customFormat="false" ht="15" hidden="false" customHeight="false" outlineLevel="0" collapsed="false">
      <c r="A377" s="1" t="n">
        <v>45745</v>
      </c>
      <c r="B377" s="0" t="s">
        <v>1017</v>
      </c>
      <c r="C377" s="0" t="s">
        <v>163</v>
      </c>
      <c r="D377" s="0" t="n">
        <v>8066158469</v>
      </c>
      <c r="E377" s="0" t="s">
        <v>85</v>
      </c>
      <c r="F377" s="0" t="s">
        <v>1018</v>
      </c>
      <c r="G377" s="0" t="s">
        <v>45</v>
      </c>
      <c r="H377" s="0" t="s">
        <v>176</v>
      </c>
      <c r="I377" s="0" t="s">
        <v>189</v>
      </c>
      <c r="J377" s="0" t="s">
        <v>71</v>
      </c>
      <c r="K377" s="0" t="n">
        <v>91965</v>
      </c>
      <c r="L377" s="0" t="s">
        <v>124</v>
      </c>
      <c r="M377" s="0" t="s">
        <v>63</v>
      </c>
      <c r="O377" s="0" t="n">
        <v>3.7</v>
      </c>
      <c r="P377" s="0" t="s">
        <v>111</v>
      </c>
      <c r="Q377" s="0" t="s">
        <v>52</v>
      </c>
      <c r="R377" s="0" t="s">
        <v>159</v>
      </c>
      <c r="S377" s="0" t="s">
        <v>167</v>
      </c>
      <c r="T377" s="0" t="n">
        <v>45</v>
      </c>
      <c r="U377" s="0" t="s">
        <v>112</v>
      </c>
      <c r="V377" s="0" t="s">
        <v>155</v>
      </c>
      <c r="W377" s="0" t="s">
        <v>57</v>
      </c>
      <c r="X377" s="0" t="s">
        <v>58</v>
      </c>
      <c r="Z377" s="0" t="s">
        <v>129</v>
      </c>
      <c r="AA377" s="0" t="n">
        <v>25000</v>
      </c>
      <c r="AB377" s="0" t="n">
        <v>35000</v>
      </c>
      <c r="AC377" s="0" t="s">
        <v>63</v>
      </c>
      <c r="AE377" s="0" t="s">
        <v>184</v>
      </c>
      <c r="AF377" s="0" t="s">
        <v>1019</v>
      </c>
      <c r="AG377" s="0" t="s">
        <v>50</v>
      </c>
      <c r="AH377" s="0" t="s">
        <v>171</v>
      </c>
      <c r="AI377" s="0" t="s">
        <v>172</v>
      </c>
      <c r="AJ377" s="0" t="s">
        <v>81</v>
      </c>
      <c r="AK377" s="0" t="s">
        <v>82</v>
      </c>
      <c r="AL377" s="0" t="s">
        <v>63</v>
      </c>
      <c r="AM377" s="0" t="s">
        <v>83</v>
      </c>
      <c r="AN377" s="0" t="s">
        <v>63</v>
      </c>
    </row>
    <row r="378" customFormat="false" ht="15" hidden="false" customHeight="false" outlineLevel="0" collapsed="false">
      <c r="A378" s="0" t="s">
        <v>505</v>
      </c>
      <c r="B378" s="0" t="s">
        <v>1020</v>
      </c>
      <c r="C378" s="0" t="s">
        <v>42</v>
      </c>
      <c r="D378" s="0" t="n">
        <v>8074189781</v>
      </c>
      <c r="E378" s="0" t="s">
        <v>139</v>
      </c>
      <c r="F378" s="0" t="s">
        <v>1021</v>
      </c>
      <c r="G378" s="0" t="s">
        <v>69</v>
      </c>
      <c r="H378" s="0" t="s">
        <v>141</v>
      </c>
      <c r="I378" s="0" t="s">
        <v>154</v>
      </c>
      <c r="J378" s="0" t="s">
        <v>90</v>
      </c>
      <c r="K378" s="0" t="n">
        <v>78788</v>
      </c>
      <c r="L378" s="0" t="s">
        <v>91</v>
      </c>
      <c r="M378" s="0" t="s">
        <v>63</v>
      </c>
      <c r="N378" s="0" t="n">
        <v>5</v>
      </c>
      <c r="O378" s="0" t="n">
        <v>2.4</v>
      </c>
      <c r="P378" s="0" t="s">
        <v>111</v>
      </c>
      <c r="Q378" s="0" t="s">
        <v>73</v>
      </c>
      <c r="R378" s="0" t="s">
        <v>159</v>
      </c>
      <c r="S378" s="0" t="s">
        <v>126</v>
      </c>
      <c r="U378" s="0" t="s">
        <v>76</v>
      </c>
      <c r="V378" s="0" t="s">
        <v>97</v>
      </c>
      <c r="W378" s="0" t="s">
        <v>78</v>
      </c>
      <c r="X378" s="0" t="s">
        <v>58</v>
      </c>
      <c r="Y378" s="0" t="s">
        <v>59</v>
      </c>
      <c r="Z378" s="0" t="s">
        <v>149</v>
      </c>
      <c r="AA378" s="0" t="n">
        <v>25000</v>
      </c>
      <c r="AB378" s="0" t="n">
        <v>20000</v>
      </c>
      <c r="AC378" s="0" t="s">
        <v>50</v>
      </c>
      <c r="AD378" s="0" t="n">
        <v>0</v>
      </c>
      <c r="AF378" s="1" t="n">
        <v>45911</v>
      </c>
      <c r="AG378" s="0" t="s">
        <v>50</v>
      </c>
      <c r="AI378" s="0" t="s">
        <v>172</v>
      </c>
      <c r="AJ378" s="0" t="s">
        <v>62</v>
      </c>
      <c r="AK378" s="0" t="s">
        <v>61</v>
      </c>
      <c r="AL378" s="0" t="s">
        <v>102</v>
      </c>
      <c r="AM378" s="0" t="s">
        <v>83</v>
      </c>
      <c r="AN378" s="0" t="s">
        <v>63</v>
      </c>
    </row>
    <row r="379" customFormat="false" ht="15" hidden="false" customHeight="false" outlineLevel="0" collapsed="false">
      <c r="A379" s="1" t="n">
        <v>45711</v>
      </c>
      <c r="B379" s="0" t="s">
        <v>1022</v>
      </c>
      <c r="C379" s="0" t="s">
        <v>163</v>
      </c>
      <c r="D379" s="0" t="n">
        <v>8019229212</v>
      </c>
      <c r="E379" s="0" t="s">
        <v>122</v>
      </c>
      <c r="F379" s="0" t="s">
        <v>1023</v>
      </c>
      <c r="G379" s="0" t="s">
        <v>45</v>
      </c>
      <c r="H379" s="0" t="s">
        <v>242</v>
      </c>
      <c r="I379" s="0" t="s">
        <v>108</v>
      </c>
      <c r="K379" s="0" t="n">
        <v>28430</v>
      </c>
      <c r="L379" s="0" t="s">
        <v>49</v>
      </c>
      <c r="M379" s="0" t="s">
        <v>50</v>
      </c>
      <c r="N379" s="0" t="n">
        <v>2</v>
      </c>
      <c r="O379" s="0" t="n">
        <v>5.6</v>
      </c>
      <c r="P379" s="0" t="s">
        <v>125</v>
      </c>
      <c r="Q379" s="0" t="s">
        <v>93</v>
      </c>
      <c r="R379" s="0" t="s">
        <v>53</v>
      </c>
      <c r="S379" s="0" t="s">
        <v>75</v>
      </c>
      <c r="T379" s="0" t="n">
        <v>30</v>
      </c>
      <c r="U379" s="0" t="s">
        <v>112</v>
      </c>
      <c r="V379" s="0" t="s">
        <v>97</v>
      </c>
      <c r="W379" s="0" t="s">
        <v>78</v>
      </c>
      <c r="X379" s="0" t="s">
        <v>137</v>
      </c>
      <c r="Y379" s="0" t="s">
        <v>59</v>
      </c>
      <c r="Z379" s="0" t="s">
        <v>129</v>
      </c>
      <c r="AB379" s="0" t="n">
        <v>20000</v>
      </c>
      <c r="AC379" s="0" t="s">
        <v>61</v>
      </c>
      <c r="AD379" s="0" t="s">
        <v>115</v>
      </c>
      <c r="AE379" s="0" t="s">
        <v>60</v>
      </c>
      <c r="AG379" s="0" t="s">
        <v>61</v>
      </c>
      <c r="AH379" s="0" t="s">
        <v>171</v>
      </c>
      <c r="AJ379" s="0" t="s">
        <v>50</v>
      </c>
      <c r="AM379" s="0" t="s">
        <v>118</v>
      </c>
      <c r="AN379" s="0" t="s">
        <v>190</v>
      </c>
    </row>
    <row r="380" customFormat="false" ht="15" hidden="false" customHeight="false" outlineLevel="0" collapsed="false">
      <c r="A380" s="1" t="n">
        <v>45710</v>
      </c>
      <c r="B380" s="0" t="s">
        <v>1024</v>
      </c>
      <c r="C380" s="0" t="s">
        <v>42</v>
      </c>
      <c r="D380" s="0" t="n">
        <v>8062209742</v>
      </c>
      <c r="E380" s="0" t="s">
        <v>139</v>
      </c>
      <c r="F380" s="0" t="s">
        <v>1025</v>
      </c>
      <c r="G380" s="0" t="s">
        <v>107</v>
      </c>
      <c r="H380" s="0" t="s">
        <v>135</v>
      </c>
      <c r="I380" s="0" t="s">
        <v>47</v>
      </c>
      <c r="J380" s="0" t="s">
        <v>71</v>
      </c>
      <c r="K380" s="0" t="n">
        <v>54191</v>
      </c>
      <c r="L380" s="0" t="s">
        <v>124</v>
      </c>
      <c r="M380" s="0" t="s">
        <v>50</v>
      </c>
      <c r="N380" s="0" t="n">
        <v>5</v>
      </c>
      <c r="O380" s="0" t="n">
        <v>3.9</v>
      </c>
      <c r="P380" s="0" t="s">
        <v>111</v>
      </c>
      <c r="Q380" s="0" t="s">
        <v>73</v>
      </c>
      <c r="R380" s="0" t="s">
        <v>159</v>
      </c>
      <c r="S380" s="0" t="s">
        <v>126</v>
      </c>
      <c r="T380" s="0" t="n">
        <v>30</v>
      </c>
      <c r="U380" s="0" t="s">
        <v>55</v>
      </c>
      <c r="V380" s="0" t="s">
        <v>77</v>
      </c>
      <c r="W380" s="0" t="s">
        <v>98</v>
      </c>
      <c r="X380" s="0" t="s">
        <v>58</v>
      </c>
      <c r="Y380" s="0" t="s">
        <v>156</v>
      </c>
      <c r="Z380" s="0" t="s">
        <v>143</v>
      </c>
      <c r="AA380" s="0" t="n">
        <v>40000</v>
      </c>
      <c r="AD380" s="0" t="n">
        <v>5000</v>
      </c>
      <c r="AE380" s="0" t="s">
        <v>130</v>
      </c>
      <c r="AG380" s="0" t="s">
        <v>61</v>
      </c>
      <c r="AI380" s="0" t="s">
        <v>172</v>
      </c>
      <c r="AJ380" s="0" t="s">
        <v>81</v>
      </c>
      <c r="AN380" s="0" t="s">
        <v>50</v>
      </c>
    </row>
    <row r="381" customFormat="false" ht="15" hidden="false" customHeight="false" outlineLevel="0" collapsed="false">
      <c r="A381" s="1" t="n">
        <v>45872</v>
      </c>
      <c r="B381" s="0" t="s">
        <v>1026</v>
      </c>
      <c r="C381" s="0" t="s">
        <v>163</v>
      </c>
      <c r="D381" s="0" t="n">
        <v>8037713235</v>
      </c>
      <c r="E381" s="0" t="s">
        <v>85</v>
      </c>
      <c r="F381" s="0" t="s">
        <v>1027</v>
      </c>
      <c r="G381" s="0" t="s">
        <v>69</v>
      </c>
      <c r="H381" s="0" t="s">
        <v>153</v>
      </c>
      <c r="I381" s="0" t="s">
        <v>189</v>
      </c>
      <c r="K381" s="0" t="n">
        <v>11145</v>
      </c>
      <c r="L381" s="0" t="s">
        <v>91</v>
      </c>
      <c r="M381" s="0" t="s">
        <v>63</v>
      </c>
      <c r="N381" s="0" t="n">
        <v>4</v>
      </c>
      <c r="O381" s="0" t="n">
        <v>5.4</v>
      </c>
      <c r="P381" s="0" t="s">
        <v>92</v>
      </c>
      <c r="Q381" s="0" t="s">
        <v>93</v>
      </c>
      <c r="R381" s="0" t="s">
        <v>53</v>
      </c>
      <c r="S381" s="0" t="s">
        <v>126</v>
      </c>
      <c r="T381" s="0" t="n">
        <v>60</v>
      </c>
      <c r="U381" s="0" t="s">
        <v>96</v>
      </c>
      <c r="V381" s="0" t="s">
        <v>77</v>
      </c>
      <c r="W381" s="0" t="s">
        <v>128</v>
      </c>
      <c r="X381" s="0" t="s">
        <v>114</v>
      </c>
      <c r="Y381" s="0" t="s">
        <v>59</v>
      </c>
      <c r="Z381" s="0" t="s">
        <v>161</v>
      </c>
      <c r="AA381" s="0" t="s">
        <v>150</v>
      </c>
      <c r="AB381" s="0" t="n">
        <v>30000</v>
      </c>
      <c r="AC381" s="0" t="s">
        <v>61</v>
      </c>
      <c r="AD381" s="0" t="s">
        <v>115</v>
      </c>
      <c r="AE381" s="0" t="s">
        <v>60</v>
      </c>
      <c r="AF381" s="1" t="n">
        <v>45876</v>
      </c>
      <c r="AG381" s="0" t="s">
        <v>61</v>
      </c>
      <c r="AH381" s="0" t="s">
        <v>116</v>
      </c>
      <c r="AI381" s="0" t="s">
        <v>101</v>
      </c>
      <c r="AK381" s="0" t="s">
        <v>50</v>
      </c>
      <c r="AM381" s="0" t="s">
        <v>118</v>
      </c>
      <c r="AN381" s="0" t="s">
        <v>198</v>
      </c>
    </row>
    <row r="382" customFormat="false" ht="15" hidden="false" customHeight="false" outlineLevel="0" collapsed="false">
      <c r="A382" s="1" t="n">
        <v>45810</v>
      </c>
      <c r="B382" s="0" t="s">
        <v>1028</v>
      </c>
      <c r="C382" s="0" t="s">
        <v>42</v>
      </c>
      <c r="D382" s="0" t="n">
        <v>8027439215</v>
      </c>
      <c r="E382" s="0" t="s">
        <v>67</v>
      </c>
      <c r="F382" s="0" t="s">
        <v>1029</v>
      </c>
      <c r="G382" s="0" t="s">
        <v>107</v>
      </c>
      <c r="H382" s="0" t="s">
        <v>165</v>
      </c>
      <c r="I382" s="0" t="s">
        <v>189</v>
      </c>
      <c r="J382" s="0" t="s">
        <v>48</v>
      </c>
      <c r="K382" s="0" t="n">
        <v>85553</v>
      </c>
      <c r="L382" s="0" t="s">
        <v>166</v>
      </c>
      <c r="M382" s="0" t="s">
        <v>63</v>
      </c>
      <c r="N382" s="0" t="n">
        <v>2</v>
      </c>
      <c r="O382" s="0" t="n">
        <v>1.1</v>
      </c>
      <c r="Q382" s="0" t="s">
        <v>52</v>
      </c>
      <c r="R382" s="0" t="s">
        <v>53</v>
      </c>
      <c r="S382" s="0" t="s">
        <v>54</v>
      </c>
      <c r="T382" s="0" t="n">
        <v>15</v>
      </c>
      <c r="U382" s="0" t="s">
        <v>96</v>
      </c>
      <c r="V382" s="0" t="s">
        <v>97</v>
      </c>
      <c r="W382" s="0" t="s">
        <v>78</v>
      </c>
      <c r="X382" s="0" t="s">
        <v>58</v>
      </c>
      <c r="Y382" s="0" t="s">
        <v>177</v>
      </c>
      <c r="Z382" s="0" t="s">
        <v>161</v>
      </c>
      <c r="AA382" s="0" t="s">
        <v>150</v>
      </c>
      <c r="AB382" s="0" t="n">
        <v>40000</v>
      </c>
      <c r="AD382" s="0" t="n">
        <v>10000</v>
      </c>
      <c r="AE382" s="0" t="s">
        <v>60</v>
      </c>
      <c r="AG382" s="0" t="s">
        <v>63</v>
      </c>
      <c r="AH382" s="0" t="s">
        <v>171</v>
      </c>
      <c r="AI382" s="0" t="s">
        <v>101</v>
      </c>
      <c r="AJ382" s="0" t="s">
        <v>62</v>
      </c>
      <c r="AK382" s="0" t="s">
        <v>61</v>
      </c>
      <c r="AM382" s="0" t="s">
        <v>83</v>
      </c>
      <c r="AN382" s="0" t="s">
        <v>50</v>
      </c>
    </row>
    <row r="383" customFormat="false" ht="15" hidden="false" customHeight="false" outlineLevel="0" collapsed="false">
      <c r="A383" s="0" t="s">
        <v>971</v>
      </c>
      <c r="B383" s="0" t="s">
        <v>1030</v>
      </c>
      <c r="C383" s="0" t="s">
        <v>105</v>
      </c>
      <c r="D383" s="0" t="n">
        <v>8037605500</v>
      </c>
      <c r="E383" s="0" t="s">
        <v>139</v>
      </c>
      <c r="F383" s="0" t="s">
        <v>1031</v>
      </c>
      <c r="G383" s="0" t="s">
        <v>134</v>
      </c>
      <c r="H383" s="0" t="s">
        <v>70</v>
      </c>
      <c r="I383" s="0" t="s">
        <v>47</v>
      </c>
      <c r="J383" s="0" t="s">
        <v>71</v>
      </c>
      <c r="K383" s="0" t="n">
        <v>97152</v>
      </c>
      <c r="L383" s="0" t="s">
        <v>72</v>
      </c>
      <c r="M383" s="0" t="s">
        <v>63</v>
      </c>
      <c r="O383" s="0" t="n">
        <v>5</v>
      </c>
      <c r="P383" s="0" t="s">
        <v>111</v>
      </c>
      <c r="Q383" s="0" t="s">
        <v>93</v>
      </c>
      <c r="R383" s="0" t="s">
        <v>136</v>
      </c>
      <c r="S383" s="0" t="s">
        <v>95</v>
      </c>
      <c r="U383" s="0" t="s">
        <v>96</v>
      </c>
      <c r="V383" s="0" t="s">
        <v>148</v>
      </c>
      <c r="W383" s="0" t="s">
        <v>128</v>
      </c>
      <c r="X383" s="0" t="s">
        <v>114</v>
      </c>
      <c r="Y383" s="0" t="s">
        <v>59</v>
      </c>
      <c r="Z383" s="0" t="s">
        <v>143</v>
      </c>
      <c r="AC383" s="0" t="s">
        <v>61</v>
      </c>
      <c r="AD383" s="0" t="n">
        <v>10000</v>
      </c>
      <c r="AE383" s="0" t="s">
        <v>130</v>
      </c>
      <c r="AG383" s="0" t="s">
        <v>82</v>
      </c>
      <c r="AI383" s="0" t="s">
        <v>172</v>
      </c>
      <c r="AK383" s="0" t="s">
        <v>50</v>
      </c>
      <c r="AM383" s="0" t="s">
        <v>83</v>
      </c>
      <c r="AN383" s="0" t="s">
        <v>50</v>
      </c>
    </row>
    <row r="384" customFormat="false" ht="15" hidden="false" customHeight="false" outlineLevel="0" collapsed="false">
      <c r="A384" s="1" t="n">
        <v>45701</v>
      </c>
      <c r="B384" s="0" t="s">
        <v>1032</v>
      </c>
      <c r="C384" s="0" t="s">
        <v>42</v>
      </c>
      <c r="D384" s="0" t="n">
        <v>8051574904</v>
      </c>
      <c r="E384" s="0" t="s">
        <v>139</v>
      </c>
      <c r="F384" s="0" t="s">
        <v>1033</v>
      </c>
      <c r="G384" s="0" t="s">
        <v>87</v>
      </c>
      <c r="H384" s="0" t="s">
        <v>272</v>
      </c>
      <c r="I384" s="0" t="s">
        <v>154</v>
      </c>
      <c r="J384" s="0" t="s">
        <v>48</v>
      </c>
      <c r="K384" s="0" t="n">
        <v>52813</v>
      </c>
      <c r="L384" s="0" t="s">
        <v>166</v>
      </c>
      <c r="M384" s="0" t="s">
        <v>63</v>
      </c>
      <c r="N384" s="0" t="n">
        <v>4</v>
      </c>
      <c r="O384" s="0" t="n">
        <v>4.3</v>
      </c>
      <c r="P384" s="0" t="s">
        <v>111</v>
      </c>
      <c r="Q384" s="0" t="s">
        <v>73</v>
      </c>
      <c r="S384" s="0" t="s">
        <v>126</v>
      </c>
      <c r="T384" s="0" t="n">
        <v>30</v>
      </c>
      <c r="U384" s="0" t="s">
        <v>112</v>
      </c>
      <c r="V384" s="0" t="s">
        <v>97</v>
      </c>
      <c r="W384" s="0" t="s">
        <v>113</v>
      </c>
      <c r="X384" s="0" t="s">
        <v>99</v>
      </c>
      <c r="Z384" s="0" t="s">
        <v>161</v>
      </c>
      <c r="AA384" s="0" t="n">
        <v>15000</v>
      </c>
      <c r="AB384" s="0" t="n">
        <v>40000</v>
      </c>
      <c r="AC384" s="0" t="s">
        <v>50</v>
      </c>
      <c r="AD384" s="0" t="s">
        <v>115</v>
      </c>
      <c r="AE384" s="0" t="s">
        <v>80</v>
      </c>
      <c r="AG384" s="0" t="s">
        <v>63</v>
      </c>
      <c r="AH384" s="0" t="s">
        <v>116</v>
      </c>
      <c r="AK384" s="0" t="s">
        <v>61</v>
      </c>
      <c r="AN384" s="0" t="s">
        <v>50</v>
      </c>
    </row>
    <row r="385" customFormat="false" ht="15" hidden="false" customHeight="false" outlineLevel="0" collapsed="false">
      <c r="A385" s="1" t="n">
        <v>45964</v>
      </c>
      <c r="B385" s="0" t="s">
        <v>1034</v>
      </c>
      <c r="C385" s="0" t="s">
        <v>105</v>
      </c>
      <c r="D385" s="0" t="n">
        <v>8068008992</v>
      </c>
      <c r="E385" s="0" t="s">
        <v>85</v>
      </c>
      <c r="F385" s="0" t="s">
        <v>1035</v>
      </c>
      <c r="G385" s="0" t="s">
        <v>134</v>
      </c>
      <c r="H385" s="0" t="s">
        <v>153</v>
      </c>
      <c r="I385" s="0" t="s">
        <v>189</v>
      </c>
      <c r="K385" s="0" t="n">
        <v>27646</v>
      </c>
      <c r="L385" s="0" t="s">
        <v>124</v>
      </c>
      <c r="M385" s="0" t="s">
        <v>63</v>
      </c>
      <c r="O385" s="0" t="n">
        <v>5.3</v>
      </c>
      <c r="P385" s="0" t="s">
        <v>125</v>
      </c>
      <c r="Q385" s="0" t="s">
        <v>93</v>
      </c>
      <c r="R385" s="0" t="s">
        <v>94</v>
      </c>
      <c r="S385" s="0" t="s">
        <v>75</v>
      </c>
      <c r="T385" s="0" t="s">
        <v>127</v>
      </c>
      <c r="U385" s="0" t="s">
        <v>76</v>
      </c>
      <c r="V385" s="0" t="s">
        <v>155</v>
      </c>
      <c r="W385" s="0" t="s">
        <v>57</v>
      </c>
      <c r="X385" s="0" t="s">
        <v>137</v>
      </c>
      <c r="Z385" s="0" t="s">
        <v>79</v>
      </c>
      <c r="AA385" s="0" t="n">
        <v>15000</v>
      </c>
      <c r="AB385" s="0" t="n">
        <v>30000</v>
      </c>
      <c r="AC385" s="0" t="s">
        <v>82</v>
      </c>
      <c r="AD385" s="0" t="s">
        <v>115</v>
      </c>
      <c r="AE385" s="0" t="s">
        <v>184</v>
      </c>
      <c r="AF385" s="1" t="n">
        <v>45904</v>
      </c>
      <c r="AG385" s="0" t="s">
        <v>82</v>
      </c>
      <c r="AH385" s="0" t="s">
        <v>116</v>
      </c>
      <c r="AJ385" s="0" t="s">
        <v>63</v>
      </c>
      <c r="AK385" s="0" t="s">
        <v>61</v>
      </c>
      <c r="AL385" s="0" t="s">
        <v>63</v>
      </c>
      <c r="AM385" s="0" t="s">
        <v>103</v>
      </c>
      <c r="AN385" s="0" t="s">
        <v>198</v>
      </c>
    </row>
    <row r="386" customFormat="false" ht="15" hidden="false" customHeight="false" outlineLevel="0" collapsed="false">
      <c r="A386" s="1" t="n">
        <v>45757</v>
      </c>
      <c r="B386" s="0" t="s">
        <v>1036</v>
      </c>
      <c r="C386" s="0" t="s">
        <v>66</v>
      </c>
      <c r="D386" s="0" t="n">
        <v>8099226958</v>
      </c>
      <c r="E386" s="0" t="s">
        <v>85</v>
      </c>
      <c r="F386" s="0" t="s">
        <v>1037</v>
      </c>
      <c r="G386" s="0" t="s">
        <v>45</v>
      </c>
      <c r="H386" s="0" t="s">
        <v>135</v>
      </c>
      <c r="I386" s="0" t="s">
        <v>154</v>
      </c>
      <c r="J386" s="0" t="s">
        <v>71</v>
      </c>
      <c r="K386" s="0" t="n">
        <v>29677</v>
      </c>
      <c r="L386" s="0" t="s">
        <v>72</v>
      </c>
      <c r="M386" s="0" t="s">
        <v>63</v>
      </c>
      <c r="N386" s="0" t="n">
        <v>2</v>
      </c>
      <c r="O386" s="0" t="n">
        <v>5.2</v>
      </c>
      <c r="P386" s="0" t="s">
        <v>51</v>
      </c>
      <c r="Q386" s="0" t="s">
        <v>93</v>
      </c>
      <c r="R386" s="0" t="s">
        <v>159</v>
      </c>
      <c r="S386" s="0" t="s">
        <v>167</v>
      </c>
      <c r="T386" s="0" t="n">
        <v>60</v>
      </c>
      <c r="U386" s="0" t="s">
        <v>76</v>
      </c>
      <c r="V386" s="0" t="s">
        <v>77</v>
      </c>
      <c r="W386" s="0" t="s">
        <v>98</v>
      </c>
      <c r="X386" s="0" t="s">
        <v>99</v>
      </c>
      <c r="Z386" s="0" t="s">
        <v>79</v>
      </c>
      <c r="AA386" s="0" t="s">
        <v>150</v>
      </c>
      <c r="AB386" s="0" t="s">
        <v>178</v>
      </c>
      <c r="AC386" s="0" t="s">
        <v>82</v>
      </c>
      <c r="AE386" s="0" t="s">
        <v>80</v>
      </c>
      <c r="AG386" s="0" t="s">
        <v>50</v>
      </c>
      <c r="AJ386" s="0" t="s">
        <v>50</v>
      </c>
      <c r="AK386" s="0" t="s">
        <v>50</v>
      </c>
      <c r="AN386" s="0" t="s">
        <v>190</v>
      </c>
    </row>
    <row r="387" customFormat="false" ht="15" hidden="false" customHeight="false" outlineLevel="0" collapsed="false">
      <c r="A387" s="1" t="n">
        <v>45727</v>
      </c>
      <c r="B387" s="0" t="s">
        <v>1038</v>
      </c>
      <c r="C387" s="0" t="s">
        <v>105</v>
      </c>
      <c r="D387" s="0" t="n">
        <v>8073723896</v>
      </c>
      <c r="E387" s="0" t="s">
        <v>122</v>
      </c>
      <c r="F387" s="0" t="s">
        <v>1039</v>
      </c>
      <c r="G387" s="0" t="s">
        <v>69</v>
      </c>
      <c r="I387" s="0" t="s">
        <v>189</v>
      </c>
      <c r="J387" s="0" t="s">
        <v>48</v>
      </c>
      <c r="K387" s="0" t="n">
        <v>88161</v>
      </c>
      <c r="L387" s="0" t="s">
        <v>110</v>
      </c>
      <c r="M387" s="0" t="s">
        <v>63</v>
      </c>
      <c r="N387" s="0" t="n">
        <v>3</v>
      </c>
      <c r="O387" s="0" t="n">
        <v>3.9</v>
      </c>
      <c r="P387" s="0" t="s">
        <v>111</v>
      </c>
      <c r="Q387" s="0" t="s">
        <v>93</v>
      </c>
      <c r="R387" s="0" t="s">
        <v>74</v>
      </c>
      <c r="S387" s="0" t="s">
        <v>54</v>
      </c>
      <c r="T387" s="0" t="n">
        <v>60</v>
      </c>
      <c r="U387" s="0" t="s">
        <v>160</v>
      </c>
      <c r="V387" s="0" t="s">
        <v>155</v>
      </c>
      <c r="W387" s="0" t="s">
        <v>57</v>
      </c>
      <c r="X387" s="0" t="s">
        <v>99</v>
      </c>
      <c r="Z387" s="0" t="s">
        <v>149</v>
      </c>
      <c r="AA387" s="0" t="n">
        <v>25000</v>
      </c>
      <c r="AB387" s="0" t="n">
        <v>20000</v>
      </c>
      <c r="AC387" s="0" t="s">
        <v>63</v>
      </c>
      <c r="AE387" s="0" t="s">
        <v>130</v>
      </c>
      <c r="AF387" s="1" t="n">
        <v>45849</v>
      </c>
      <c r="AG387" s="0" t="s">
        <v>61</v>
      </c>
      <c r="AI387" s="0" t="s">
        <v>117</v>
      </c>
      <c r="AJ387" s="0" t="s">
        <v>63</v>
      </c>
      <c r="AK387" s="0" t="s">
        <v>63</v>
      </c>
      <c r="AN387" s="0" t="s">
        <v>50</v>
      </c>
    </row>
    <row r="388" customFormat="false" ht="15" hidden="false" customHeight="false" outlineLevel="0" collapsed="false">
      <c r="A388" s="1" t="n">
        <v>45904</v>
      </c>
      <c r="B388" s="0" t="s">
        <v>1040</v>
      </c>
      <c r="C388" s="0" t="s">
        <v>66</v>
      </c>
      <c r="D388" s="0" t="n">
        <v>8031311258</v>
      </c>
      <c r="E388" s="0" t="s">
        <v>139</v>
      </c>
      <c r="F388" s="0" t="s">
        <v>1041</v>
      </c>
      <c r="G388" s="0" t="s">
        <v>107</v>
      </c>
      <c r="I388" s="0" t="s">
        <v>154</v>
      </c>
      <c r="J388" s="0" t="s">
        <v>71</v>
      </c>
      <c r="K388" s="0" t="n">
        <v>47580</v>
      </c>
      <c r="L388" s="0" t="s">
        <v>124</v>
      </c>
      <c r="M388" s="0" t="s">
        <v>63</v>
      </c>
      <c r="N388" s="0" t="n">
        <v>5</v>
      </c>
      <c r="O388" s="0" t="n">
        <v>5.2</v>
      </c>
      <c r="P388" s="0" t="s">
        <v>51</v>
      </c>
      <c r="Q388" s="0" t="s">
        <v>93</v>
      </c>
      <c r="R388" s="0" t="s">
        <v>136</v>
      </c>
      <c r="S388" s="0" t="s">
        <v>54</v>
      </c>
      <c r="T388" s="0" t="s">
        <v>127</v>
      </c>
      <c r="U388" s="0" t="s">
        <v>55</v>
      </c>
      <c r="V388" s="0" t="s">
        <v>148</v>
      </c>
      <c r="W388" s="0" t="s">
        <v>113</v>
      </c>
      <c r="X388" s="0" t="s">
        <v>196</v>
      </c>
      <c r="Z388" s="0" t="s">
        <v>79</v>
      </c>
      <c r="AA388" s="0" t="n">
        <v>30000</v>
      </c>
      <c r="AB388" s="0" t="n">
        <v>40000</v>
      </c>
      <c r="AC388" s="0" t="s">
        <v>63</v>
      </c>
      <c r="AD388" s="0" t="n">
        <v>5000</v>
      </c>
      <c r="AE388" s="0" t="s">
        <v>184</v>
      </c>
      <c r="AF388" s="1" t="n">
        <v>45953</v>
      </c>
      <c r="AG388" s="0" t="s">
        <v>82</v>
      </c>
      <c r="AH388" s="0" t="s">
        <v>171</v>
      </c>
      <c r="AJ388" s="0" t="s">
        <v>50</v>
      </c>
      <c r="AL388" s="0" t="s">
        <v>50</v>
      </c>
      <c r="AM388" s="0" t="s">
        <v>83</v>
      </c>
      <c r="AN388" s="0" t="s">
        <v>63</v>
      </c>
    </row>
    <row r="389" customFormat="false" ht="15" hidden="false" customHeight="false" outlineLevel="0" collapsed="false">
      <c r="A389" s="0" t="s">
        <v>626</v>
      </c>
      <c r="B389" s="0" t="s">
        <v>1042</v>
      </c>
      <c r="C389" s="0" t="s">
        <v>121</v>
      </c>
      <c r="D389" s="0" t="n">
        <v>8091028510</v>
      </c>
      <c r="E389" s="0" t="s">
        <v>122</v>
      </c>
      <c r="F389" s="0" t="s">
        <v>1043</v>
      </c>
      <c r="G389" s="0" t="s">
        <v>107</v>
      </c>
      <c r="H389" s="0" t="s">
        <v>242</v>
      </c>
      <c r="I389" s="0" t="s">
        <v>142</v>
      </c>
      <c r="J389" s="0" t="s">
        <v>90</v>
      </c>
      <c r="K389" s="0" t="n">
        <v>59227</v>
      </c>
      <c r="L389" s="0" t="s">
        <v>72</v>
      </c>
      <c r="M389" s="0" t="s">
        <v>50</v>
      </c>
      <c r="N389" s="0" t="n">
        <v>1</v>
      </c>
      <c r="O389" s="0" t="n">
        <v>5.2</v>
      </c>
      <c r="P389" s="0" t="s">
        <v>111</v>
      </c>
      <c r="Q389" s="0" t="s">
        <v>52</v>
      </c>
      <c r="R389" s="0" t="s">
        <v>53</v>
      </c>
      <c r="S389" s="0" t="s">
        <v>75</v>
      </c>
      <c r="T389" s="0" t="n">
        <v>45</v>
      </c>
      <c r="U389" s="0" t="s">
        <v>112</v>
      </c>
      <c r="V389" s="0" t="s">
        <v>97</v>
      </c>
      <c r="W389" s="0" t="s">
        <v>113</v>
      </c>
      <c r="X389" s="0" t="s">
        <v>58</v>
      </c>
      <c r="Y389" s="0" t="s">
        <v>177</v>
      </c>
      <c r="Z389" s="0" t="s">
        <v>79</v>
      </c>
      <c r="AB389" s="0" t="n">
        <v>35000</v>
      </c>
      <c r="AC389" s="0" t="s">
        <v>82</v>
      </c>
      <c r="AE389" s="0" t="s">
        <v>60</v>
      </c>
      <c r="AF389" s="1" t="n">
        <v>45920</v>
      </c>
      <c r="AG389" s="0" t="s">
        <v>50</v>
      </c>
      <c r="AH389" s="0" t="s">
        <v>171</v>
      </c>
      <c r="AI389" s="0" t="s">
        <v>101</v>
      </c>
      <c r="AJ389" s="0" t="s">
        <v>63</v>
      </c>
      <c r="AK389" s="0" t="s">
        <v>61</v>
      </c>
      <c r="AL389" s="0" t="s">
        <v>63</v>
      </c>
      <c r="AM389" s="0" t="s">
        <v>64</v>
      </c>
      <c r="AN389" s="0" t="s">
        <v>50</v>
      </c>
    </row>
    <row r="390" customFormat="false" ht="15" hidden="false" customHeight="false" outlineLevel="0" collapsed="false">
      <c r="A390" s="1" t="n">
        <v>45810</v>
      </c>
      <c r="B390" s="0" t="s">
        <v>1044</v>
      </c>
      <c r="C390" s="0" t="s">
        <v>163</v>
      </c>
      <c r="D390" s="0" t="n">
        <v>8087187458</v>
      </c>
      <c r="E390" s="0" t="s">
        <v>85</v>
      </c>
      <c r="F390" s="0" t="s">
        <v>1045</v>
      </c>
      <c r="G390" s="0" t="s">
        <v>87</v>
      </c>
      <c r="H390" s="0" t="s">
        <v>165</v>
      </c>
      <c r="I390" s="0" t="s">
        <v>154</v>
      </c>
      <c r="J390" s="0" t="s">
        <v>90</v>
      </c>
      <c r="K390" s="0" t="n">
        <v>26883</v>
      </c>
      <c r="L390" s="0" t="s">
        <v>91</v>
      </c>
      <c r="M390" s="0" t="s">
        <v>63</v>
      </c>
      <c r="N390" s="0" t="n">
        <v>2</v>
      </c>
      <c r="O390" s="0" t="n">
        <v>3.2</v>
      </c>
      <c r="P390" s="0" t="s">
        <v>125</v>
      </c>
      <c r="Q390" s="0" t="s">
        <v>52</v>
      </c>
      <c r="R390" s="0" t="s">
        <v>74</v>
      </c>
      <c r="S390" s="0" t="s">
        <v>167</v>
      </c>
      <c r="T390" s="0" t="n">
        <v>15</v>
      </c>
      <c r="U390" s="0" t="s">
        <v>112</v>
      </c>
      <c r="V390" s="0" t="s">
        <v>148</v>
      </c>
      <c r="W390" s="0" t="s">
        <v>128</v>
      </c>
      <c r="X390" s="0" t="s">
        <v>99</v>
      </c>
      <c r="Y390" s="0" t="s">
        <v>197</v>
      </c>
      <c r="Z390" s="0" t="s">
        <v>149</v>
      </c>
      <c r="AC390" s="0" t="s">
        <v>50</v>
      </c>
      <c r="AE390" s="0" t="s">
        <v>80</v>
      </c>
      <c r="AF390" s="1" t="n">
        <v>45994</v>
      </c>
      <c r="AG390" s="0" t="s">
        <v>63</v>
      </c>
      <c r="AJ390" s="0" t="s">
        <v>63</v>
      </c>
      <c r="AK390" s="0" t="s">
        <v>61</v>
      </c>
    </row>
    <row r="391" customFormat="false" ht="15" hidden="false" customHeight="false" outlineLevel="0" collapsed="false">
      <c r="A391" s="1" t="n">
        <v>45775</v>
      </c>
      <c r="B391" s="0" t="s">
        <v>1046</v>
      </c>
      <c r="C391" s="0" t="s">
        <v>121</v>
      </c>
      <c r="D391" s="0" t="n">
        <v>8051649604</v>
      </c>
      <c r="E391" s="0" t="s">
        <v>67</v>
      </c>
      <c r="F391" s="0" t="s">
        <v>1047</v>
      </c>
      <c r="G391" s="0" t="s">
        <v>45</v>
      </c>
      <c r="H391" s="0" t="s">
        <v>46</v>
      </c>
      <c r="I391" s="0" t="s">
        <v>108</v>
      </c>
      <c r="J391" s="0" t="s">
        <v>109</v>
      </c>
      <c r="K391" s="0" t="n">
        <v>12243</v>
      </c>
      <c r="L391" s="0" t="s">
        <v>166</v>
      </c>
      <c r="M391" s="0" t="s">
        <v>63</v>
      </c>
      <c r="N391" s="0" t="n">
        <v>2</v>
      </c>
      <c r="O391" s="0" t="n">
        <v>3.9</v>
      </c>
      <c r="P391" s="0" t="s">
        <v>111</v>
      </c>
      <c r="Q391" s="0" t="s">
        <v>52</v>
      </c>
      <c r="R391" s="0" t="s">
        <v>53</v>
      </c>
      <c r="S391" s="0" t="s">
        <v>126</v>
      </c>
      <c r="T391" s="0" t="n">
        <v>30</v>
      </c>
      <c r="U391" s="0" t="s">
        <v>76</v>
      </c>
      <c r="V391" s="0" t="s">
        <v>97</v>
      </c>
      <c r="W391" s="0" t="s">
        <v>78</v>
      </c>
      <c r="X391" s="0" t="s">
        <v>137</v>
      </c>
      <c r="Y391" s="0" t="s">
        <v>59</v>
      </c>
      <c r="Z391" s="0" t="s">
        <v>143</v>
      </c>
      <c r="AA391" s="0" t="n">
        <v>40000</v>
      </c>
      <c r="AB391" s="0" t="s">
        <v>178</v>
      </c>
      <c r="AC391" s="0" t="s">
        <v>82</v>
      </c>
      <c r="AD391" s="0" t="n">
        <v>10000</v>
      </c>
      <c r="AG391" s="0" t="s">
        <v>50</v>
      </c>
      <c r="AJ391" s="0" t="s">
        <v>62</v>
      </c>
      <c r="AK391" s="0" t="s">
        <v>50</v>
      </c>
      <c r="AL391" s="0" t="s">
        <v>63</v>
      </c>
      <c r="AN391" s="0" t="s">
        <v>50</v>
      </c>
    </row>
    <row r="392" customFormat="false" ht="15" hidden="false" customHeight="false" outlineLevel="0" collapsed="false">
      <c r="A392" s="1" t="n">
        <v>45721</v>
      </c>
      <c r="B392" s="0" t="s">
        <v>1048</v>
      </c>
      <c r="C392" s="0" t="s">
        <v>42</v>
      </c>
      <c r="D392" s="0" t="n">
        <v>8088851835</v>
      </c>
      <c r="E392" s="0" t="s">
        <v>122</v>
      </c>
      <c r="F392" s="0" t="s">
        <v>1049</v>
      </c>
      <c r="G392" s="0" t="s">
        <v>69</v>
      </c>
      <c r="H392" s="0" t="s">
        <v>135</v>
      </c>
      <c r="I392" s="0" t="s">
        <v>189</v>
      </c>
      <c r="K392" s="0" t="n">
        <v>117903</v>
      </c>
      <c r="L392" s="0" t="s">
        <v>49</v>
      </c>
      <c r="M392" s="0" t="s">
        <v>63</v>
      </c>
      <c r="N392" s="0" t="n">
        <v>3</v>
      </c>
      <c r="O392" s="0" t="n">
        <v>2.9</v>
      </c>
      <c r="P392" s="0" t="s">
        <v>92</v>
      </c>
      <c r="Q392" s="0" t="s">
        <v>73</v>
      </c>
      <c r="S392" s="0" t="s">
        <v>167</v>
      </c>
      <c r="U392" s="0" t="s">
        <v>160</v>
      </c>
      <c r="V392" s="0" t="s">
        <v>77</v>
      </c>
      <c r="W392" s="0" t="s">
        <v>57</v>
      </c>
      <c r="X392" s="0" t="s">
        <v>114</v>
      </c>
      <c r="Z392" s="0" t="s">
        <v>143</v>
      </c>
      <c r="AA392" s="0" t="n">
        <v>40000</v>
      </c>
      <c r="AB392" s="0" t="n">
        <v>30000</v>
      </c>
      <c r="AH392" s="0" t="s">
        <v>116</v>
      </c>
      <c r="AI392" s="0" t="s">
        <v>101</v>
      </c>
      <c r="AJ392" s="0" t="s">
        <v>62</v>
      </c>
      <c r="AL392" s="0" t="s">
        <v>102</v>
      </c>
      <c r="AM392" s="0" t="s">
        <v>103</v>
      </c>
      <c r="AN392" s="0" t="s">
        <v>50</v>
      </c>
    </row>
    <row r="393" customFormat="false" ht="15" hidden="false" customHeight="false" outlineLevel="0" collapsed="false">
      <c r="A393" s="0" t="s">
        <v>1050</v>
      </c>
      <c r="B393" s="0" t="s">
        <v>1051</v>
      </c>
      <c r="C393" s="0" t="s">
        <v>105</v>
      </c>
      <c r="D393" s="0" t="n">
        <v>8037242553</v>
      </c>
      <c r="E393" s="0" t="s">
        <v>139</v>
      </c>
      <c r="F393" s="0" t="s">
        <v>1052</v>
      </c>
      <c r="G393" s="0" t="s">
        <v>87</v>
      </c>
      <c r="H393" s="0" t="s">
        <v>272</v>
      </c>
      <c r="I393" s="0" t="s">
        <v>189</v>
      </c>
      <c r="J393" s="0" t="s">
        <v>109</v>
      </c>
      <c r="K393" s="0" t="n">
        <v>87516</v>
      </c>
      <c r="L393" s="0" t="s">
        <v>91</v>
      </c>
      <c r="M393" s="0" t="s">
        <v>63</v>
      </c>
      <c r="N393" s="0" t="n">
        <v>5</v>
      </c>
      <c r="O393" s="0" t="n">
        <v>1.7</v>
      </c>
      <c r="P393" s="0" t="s">
        <v>92</v>
      </c>
      <c r="Q393" s="0" t="s">
        <v>73</v>
      </c>
      <c r="R393" s="0" t="s">
        <v>159</v>
      </c>
      <c r="S393" s="0" t="s">
        <v>95</v>
      </c>
      <c r="T393" s="0" t="n">
        <v>60</v>
      </c>
      <c r="U393" s="0" t="s">
        <v>76</v>
      </c>
      <c r="V393" s="0" t="s">
        <v>97</v>
      </c>
      <c r="W393" s="0" t="s">
        <v>98</v>
      </c>
      <c r="X393" s="0" t="s">
        <v>114</v>
      </c>
      <c r="Y393" s="0" t="s">
        <v>197</v>
      </c>
      <c r="Z393" s="0" t="s">
        <v>149</v>
      </c>
      <c r="AA393" s="0" t="n">
        <v>15000</v>
      </c>
      <c r="AB393" s="0" t="n">
        <v>40000</v>
      </c>
      <c r="AC393" s="0" t="s">
        <v>61</v>
      </c>
      <c r="AD393" s="0" t="n">
        <v>0</v>
      </c>
      <c r="AE393" s="0" t="s">
        <v>130</v>
      </c>
      <c r="AG393" s="0" t="s">
        <v>61</v>
      </c>
      <c r="AL393" s="0" t="s">
        <v>63</v>
      </c>
      <c r="AM393" s="0" t="s">
        <v>118</v>
      </c>
      <c r="AN393" s="0" t="s">
        <v>63</v>
      </c>
    </row>
    <row r="394" customFormat="false" ht="15" hidden="false" customHeight="false" outlineLevel="0" collapsed="false">
      <c r="A394" s="1" t="n">
        <v>45746</v>
      </c>
      <c r="B394" s="0" t="s">
        <v>1053</v>
      </c>
      <c r="C394" s="0" t="s">
        <v>66</v>
      </c>
      <c r="D394" s="0" t="n">
        <v>8077441055</v>
      </c>
      <c r="E394" s="0" t="s">
        <v>85</v>
      </c>
      <c r="F394" s="0" t="s">
        <v>1054</v>
      </c>
      <c r="G394" s="0" t="s">
        <v>45</v>
      </c>
      <c r="H394" s="0" t="s">
        <v>88</v>
      </c>
      <c r="I394" s="0" t="s">
        <v>154</v>
      </c>
      <c r="K394" s="0" t="n">
        <v>35382</v>
      </c>
      <c r="L394" s="0" t="s">
        <v>91</v>
      </c>
      <c r="M394" s="0" t="s">
        <v>50</v>
      </c>
      <c r="N394" s="0" t="n">
        <v>1</v>
      </c>
      <c r="O394" s="0" t="n">
        <v>5.3</v>
      </c>
      <c r="P394" s="0" t="s">
        <v>125</v>
      </c>
      <c r="Q394" s="0" t="s">
        <v>93</v>
      </c>
      <c r="R394" s="0" t="s">
        <v>74</v>
      </c>
      <c r="S394" s="0" t="s">
        <v>126</v>
      </c>
      <c r="T394" s="0" t="n">
        <v>45</v>
      </c>
      <c r="U394" s="0" t="s">
        <v>96</v>
      </c>
      <c r="V394" s="0" t="s">
        <v>148</v>
      </c>
      <c r="W394" s="0" t="s">
        <v>78</v>
      </c>
      <c r="X394" s="0" t="s">
        <v>196</v>
      </c>
      <c r="Y394" s="0" t="s">
        <v>156</v>
      </c>
      <c r="Z394" s="0" t="s">
        <v>79</v>
      </c>
      <c r="AA394" s="0" t="n">
        <v>25000</v>
      </c>
      <c r="AB394" s="0" t="s">
        <v>178</v>
      </c>
      <c r="AD394" s="0" t="s">
        <v>115</v>
      </c>
      <c r="AE394" s="0" t="s">
        <v>130</v>
      </c>
      <c r="AF394" s="1" t="n">
        <v>45833</v>
      </c>
      <c r="AG394" s="0" t="s">
        <v>63</v>
      </c>
      <c r="AH394" s="0" t="s">
        <v>116</v>
      </c>
      <c r="AI394" s="0" t="s">
        <v>101</v>
      </c>
      <c r="AJ394" s="0" t="s">
        <v>81</v>
      </c>
      <c r="AK394" s="0" t="s">
        <v>50</v>
      </c>
      <c r="AL394" s="0" t="s">
        <v>63</v>
      </c>
      <c r="AM394" s="0" t="s">
        <v>83</v>
      </c>
    </row>
    <row r="395" customFormat="false" ht="15" hidden="false" customHeight="false" outlineLevel="0" collapsed="false">
      <c r="A395" s="1" t="n">
        <v>45661</v>
      </c>
      <c r="B395" s="0" t="s">
        <v>1055</v>
      </c>
      <c r="C395" s="0" t="s">
        <v>66</v>
      </c>
      <c r="D395" s="0" t="n">
        <v>8071600090</v>
      </c>
      <c r="E395" s="0" t="s">
        <v>43</v>
      </c>
      <c r="F395" s="0" t="s">
        <v>1056</v>
      </c>
      <c r="G395" s="0" t="s">
        <v>69</v>
      </c>
      <c r="H395" s="0" t="s">
        <v>170</v>
      </c>
      <c r="I395" s="0" t="s">
        <v>89</v>
      </c>
      <c r="J395" s="0" t="s">
        <v>90</v>
      </c>
      <c r="K395" s="0" t="n">
        <v>101832</v>
      </c>
      <c r="L395" s="0" t="s">
        <v>72</v>
      </c>
      <c r="M395" s="0" t="s">
        <v>50</v>
      </c>
      <c r="N395" s="0" t="n">
        <v>5</v>
      </c>
      <c r="O395" s="0" t="n">
        <v>5.6</v>
      </c>
      <c r="Q395" s="0" t="s">
        <v>52</v>
      </c>
      <c r="S395" s="0" t="s">
        <v>54</v>
      </c>
      <c r="T395" s="0" t="n">
        <v>60</v>
      </c>
      <c r="U395" s="0" t="s">
        <v>112</v>
      </c>
      <c r="V395" s="0" t="s">
        <v>155</v>
      </c>
      <c r="W395" s="0" t="s">
        <v>98</v>
      </c>
      <c r="X395" s="0" t="s">
        <v>137</v>
      </c>
      <c r="Y395" s="0" t="s">
        <v>59</v>
      </c>
      <c r="AA395" s="0" t="n">
        <v>40000</v>
      </c>
      <c r="AB395" s="0" t="n">
        <v>35000</v>
      </c>
      <c r="AC395" s="0" t="s">
        <v>61</v>
      </c>
      <c r="AD395" s="0" t="n">
        <v>10000</v>
      </c>
      <c r="AE395" s="0" t="s">
        <v>184</v>
      </c>
      <c r="AF395" s="0" t="s">
        <v>781</v>
      </c>
      <c r="AH395" s="0" t="s">
        <v>116</v>
      </c>
      <c r="AI395" s="0" t="s">
        <v>117</v>
      </c>
      <c r="AJ395" s="0" t="s">
        <v>62</v>
      </c>
      <c r="AK395" s="0" t="s">
        <v>61</v>
      </c>
      <c r="AL395" s="0" t="s">
        <v>63</v>
      </c>
      <c r="AM395" s="0" t="s">
        <v>83</v>
      </c>
      <c r="AN395" s="0" t="s">
        <v>50</v>
      </c>
    </row>
    <row r="396" customFormat="false" ht="15" hidden="false" customHeight="false" outlineLevel="0" collapsed="false">
      <c r="A396" s="1" t="n">
        <v>45718</v>
      </c>
      <c r="B396" s="0" t="s">
        <v>1057</v>
      </c>
      <c r="C396" s="0" t="s">
        <v>105</v>
      </c>
      <c r="D396" s="0" t="n">
        <v>8046969062</v>
      </c>
      <c r="E396" s="0" t="s">
        <v>67</v>
      </c>
      <c r="F396" s="0" t="s">
        <v>1058</v>
      </c>
      <c r="G396" s="0" t="s">
        <v>107</v>
      </c>
      <c r="H396" s="0" t="s">
        <v>141</v>
      </c>
      <c r="I396" s="0" t="s">
        <v>89</v>
      </c>
      <c r="J396" s="0" t="s">
        <v>90</v>
      </c>
      <c r="K396" s="0" t="n">
        <v>58067</v>
      </c>
      <c r="L396" s="0" t="s">
        <v>49</v>
      </c>
      <c r="M396" s="0" t="s">
        <v>50</v>
      </c>
      <c r="O396" s="0" t="n">
        <v>3.9</v>
      </c>
      <c r="P396" s="0" t="s">
        <v>92</v>
      </c>
      <c r="Q396" s="0" t="s">
        <v>93</v>
      </c>
      <c r="R396" s="0" t="s">
        <v>94</v>
      </c>
      <c r="S396" s="0" t="s">
        <v>54</v>
      </c>
      <c r="T396" s="0" t="s">
        <v>127</v>
      </c>
      <c r="U396" s="0" t="s">
        <v>55</v>
      </c>
      <c r="V396" s="0" t="s">
        <v>77</v>
      </c>
      <c r="W396" s="0" t="s">
        <v>128</v>
      </c>
      <c r="X396" s="0" t="s">
        <v>58</v>
      </c>
      <c r="Z396" s="0" t="s">
        <v>149</v>
      </c>
      <c r="AA396" s="0" t="s">
        <v>150</v>
      </c>
      <c r="AB396" s="0" t="n">
        <v>40000</v>
      </c>
      <c r="AC396" s="0" t="s">
        <v>63</v>
      </c>
      <c r="AD396" s="0" t="n">
        <v>5000</v>
      </c>
      <c r="AE396" s="0" t="s">
        <v>60</v>
      </c>
      <c r="AG396" s="0" t="s">
        <v>63</v>
      </c>
      <c r="AI396" s="0" t="s">
        <v>101</v>
      </c>
      <c r="AJ396" s="0" t="s">
        <v>63</v>
      </c>
      <c r="AK396" s="0" t="s">
        <v>61</v>
      </c>
      <c r="AL396" s="0" t="s">
        <v>102</v>
      </c>
      <c r="AM396" s="0" t="s">
        <v>64</v>
      </c>
      <c r="AN396" s="0" t="s">
        <v>50</v>
      </c>
    </row>
    <row r="397" customFormat="false" ht="15" hidden="false" customHeight="false" outlineLevel="0" collapsed="false">
      <c r="A397" s="1" t="n">
        <v>45818</v>
      </c>
      <c r="B397" s="0" t="s">
        <v>1059</v>
      </c>
      <c r="C397" s="0" t="s">
        <v>42</v>
      </c>
      <c r="D397" s="0" t="n">
        <v>8037072082</v>
      </c>
      <c r="E397" s="0" t="s">
        <v>85</v>
      </c>
      <c r="F397" s="0" t="s">
        <v>1060</v>
      </c>
      <c r="G397" s="0" t="s">
        <v>107</v>
      </c>
      <c r="H397" s="0" t="s">
        <v>153</v>
      </c>
      <c r="I397" s="0" t="s">
        <v>108</v>
      </c>
      <c r="J397" s="0" t="s">
        <v>109</v>
      </c>
      <c r="K397" s="0" t="n">
        <v>55871</v>
      </c>
      <c r="L397" s="0" t="s">
        <v>91</v>
      </c>
      <c r="M397" s="0" t="s">
        <v>63</v>
      </c>
      <c r="N397" s="0" t="n">
        <v>3</v>
      </c>
      <c r="O397" s="0" t="n">
        <v>2.1</v>
      </c>
      <c r="P397" s="0" t="s">
        <v>125</v>
      </c>
      <c r="Q397" s="0" t="s">
        <v>52</v>
      </c>
      <c r="R397" s="0" t="s">
        <v>136</v>
      </c>
      <c r="S397" s="0" t="s">
        <v>54</v>
      </c>
      <c r="T397" s="0" t="n">
        <v>15</v>
      </c>
      <c r="U397" s="0" t="s">
        <v>160</v>
      </c>
      <c r="V397" s="0" t="s">
        <v>97</v>
      </c>
      <c r="W397" s="0" t="s">
        <v>78</v>
      </c>
      <c r="X397" s="0" t="s">
        <v>137</v>
      </c>
      <c r="Y397" s="0" t="s">
        <v>197</v>
      </c>
      <c r="Z397" s="0" t="s">
        <v>129</v>
      </c>
      <c r="AA397" s="0" t="n">
        <v>40000</v>
      </c>
      <c r="AB397" s="0" t="n">
        <v>20000</v>
      </c>
      <c r="AC397" s="0" t="s">
        <v>61</v>
      </c>
      <c r="AE397" s="0" t="s">
        <v>60</v>
      </c>
      <c r="AG397" s="0" t="s">
        <v>50</v>
      </c>
      <c r="AJ397" s="0" t="s">
        <v>50</v>
      </c>
      <c r="AK397" s="0" t="s">
        <v>61</v>
      </c>
      <c r="AL397" s="0" t="s">
        <v>50</v>
      </c>
      <c r="AM397" s="0" t="s">
        <v>118</v>
      </c>
      <c r="AN397" s="0" t="s">
        <v>190</v>
      </c>
    </row>
    <row r="398" customFormat="false" ht="15" hidden="false" customHeight="false" outlineLevel="0" collapsed="false">
      <c r="A398" s="1" t="n">
        <v>45800</v>
      </c>
      <c r="B398" s="0" t="s">
        <v>1061</v>
      </c>
      <c r="C398" s="0" t="s">
        <v>105</v>
      </c>
      <c r="D398" s="0" t="n">
        <v>8010999023</v>
      </c>
      <c r="E398" s="0" t="s">
        <v>85</v>
      </c>
      <c r="F398" s="0" t="s">
        <v>1062</v>
      </c>
      <c r="G398" s="0" t="s">
        <v>45</v>
      </c>
      <c r="H398" s="0" t="s">
        <v>146</v>
      </c>
      <c r="I398" s="0" t="s">
        <v>154</v>
      </c>
      <c r="J398" s="0" t="s">
        <v>71</v>
      </c>
      <c r="K398" s="0" t="n">
        <v>104578</v>
      </c>
      <c r="L398" s="0" t="s">
        <v>49</v>
      </c>
      <c r="M398" s="0" t="s">
        <v>63</v>
      </c>
      <c r="N398" s="0" t="n">
        <v>4</v>
      </c>
      <c r="O398" s="0" t="n">
        <v>4.9</v>
      </c>
      <c r="P398" s="0" t="s">
        <v>92</v>
      </c>
      <c r="Q398" s="0" t="s">
        <v>52</v>
      </c>
      <c r="R398" s="0" t="s">
        <v>74</v>
      </c>
      <c r="S398" s="0" t="s">
        <v>167</v>
      </c>
      <c r="T398" s="0" t="s">
        <v>127</v>
      </c>
      <c r="U398" s="0" t="s">
        <v>112</v>
      </c>
      <c r="V398" s="0" t="s">
        <v>155</v>
      </c>
      <c r="W398" s="0" t="s">
        <v>98</v>
      </c>
      <c r="X398" s="0" t="s">
        <v>196</v>
      </c>
      <c r="Y398" s="0" t="s">
        <v>59</v>
      </c>
      <c r="Z398" s="0" t="s">
        <v>79</v>
      </c>
      <c r="AA398" s="0" t="s">
        <v>150</v>
      </c>
      <c r="AB398" s="0" t="n">
        <v>40000</v>
      </c>
      <c r="AC398" s="0" t="s">
        <v>50</v>
      </c>
      <c r="AD398" s="0" t="n">
        <v>10000</v>
      </c>
      <c r="AE398" s="0" t="s">
        <v>130</v>
      </c>
      <c r="AF398" s="0" t="s">
        <v>1063</v>
      </c>
      <c r="AG398" s="0" t="s">
        <v>61</v>
      </c>
      <c r="AH398" s="0" t="s">
        <v>116</v>
      </c>
      <c r="AJ398" s="0" t="s">
        <v>63</v>
      </c>
      <c r="AK398" s="0" t="s">
        <v>63</v>
      </c>
      <c r="AL398" s="0" t="s">
        <v>102</v>
      </c>
      <c r="AM398" s="0" t="s">
        <v>83</v>
      </c>
      <c r="AN398" s="0" t="s">
        <v>50</v>
      </c>
    </row>
    <row r="399" customFormat="false" ht="15" hidden="false" customHeight="false" outlineLevel="0" collapsed="false">
      <c r="A399" s="1" t="n">
        <v>45745</v>
      </c>
      <c r="B399" s="0" t="s">
        <v>1064</v>
      </c>
      <c r="C399" s="0" t="s">
        <v>121</v>
      </c>
      <c r="D399" s="0" t="n">
        <v>8029151794</v>
      </c>
      <c r="E399" s="0" t="s">
        <v>122</v>
      </c>
      <c r="F399" s="0" t="s">
        <v>996</v>
      </c>
      <c r="G399" s="0" t="s">
        <v>134</v>
      </c>
      <c r="H399" s="0" t="s">
        <v>176</v>
      </c>
      <c r="I399" s="0" t="s">
        <v>142</v>
      </c>
      <c r="J399" s="0" t="s">
        <v>48</v>
      </c>
      <c r="K399" s="0" t="n">
        <v>59872</v>
      </c>
      <c r="L399" s="0" t="s">
        <v>110</v>
      </c>
      <c r="M399" s="0" t="s">
        <v>63</v>
      </c>
      <c r="N399" s="0" t="n">
        <v>4</v>
      </c>
      <c r="O399" s="0" t="n">
        <v>1.4</v>
      </c>
      <c r="P399" s="0" t="s">
        <v>51</v>
      </c>
      <c r="Q399" s="0" t="s">
        <v>93</v>
      </c>
      <c r="R399" s="0" t="s">
        <v>53</v>
      </c>
      <c r="S399" s="0" t="s">
        <v>167</v>
      </c>
      <c r="T399" s="0" t="n">
        <v>15</v>
      </c>
      <c r="U399" s="0" t="s">
        <v>55</v>
      </c>
      <c r="V399" s="0" t="s">
        <v>56</v>
      </c>
      <c r="W399" s="0" t="s">
        <v>128</v>
      </c>
      <c r="X399" s="0" t="s">
        <v>99</v>
      </c>
      <c r="Y399" s="0" t="s">
        <v>59</v>
      </c>
      <c r="Z399" s="0" t="s">
        <v>161</v>
      </c>
      <c r="AA399" s="0" t="s">
        <v>150</v>
      </c>
      <c r="AD399" s="0" t="n">
        <v>0</v>
      </c>
      <c r="AE399" s="0" t="s">
        <v>60</v>
      </c>
      <c r="AF399" s="1" t="n">
        <v>45971</v>
      </c>
      <c r="AG399" s="0" t="s">
        <v>50</v>
      </c>
      <c r="AH399" s="0" t="s">
        <v>116</v>
      </c>
      <c r="AI399" s="0" t="s">
        <v>101</v>
      </c>
      <c r="AJ399" s="0" t="s">
        <v>50</v>
      </c>
      <c r="AL399" s="0" t="s">
        <v>63</v>
      </c>
      <c r="AM399" s="0" t="s">
        <v>83</v>
      </c>
    </row>
    <row r="400" customFormat="false" ht="15" hidden="false" customHeight="false" outlineLevel="0" collapsed="false">
      <c r="A400" s="1" t="n">
        <v>45814</v>
      </c>
      <c r="B400" s="0" t="s">
        <v>1065</v>
      </c>
      <c r="C400" s="0" t="s">
        <v>121</v>
      </c>
      <c r="D400" s="0" t="n">
        <v>8069825080</v>
      </c>
      <c r="E400" s="0" t="s">
        <v>85</v>
      </c>
      <c r="F400" s="0" t="s">
        <v>1066</v>
      </c>
      <c r="G400" s="0" t="s">
        <v>107</v>
      </c>
      <c r="H400" s="0" t="s">
        <v>70</v>
      </c>
      <c r="I400" s="0" t="s">
        <v>47</v>
      </c>
      <c r="J400" s="0" t="s">
        <v>109</v>
      </c>
      <c r="K400" s="0" t="n">
        <v>113674</v>
      </c>
      <c r="L400" s="0" t="s">
        <v>166</v>
      </c>
      <c r="M400" s="0" t="s">
        <v>50</v>
      </c>
      <c r="N400" s="0" t="n">
        <v>5</v>
      </c>
      <c r="O400" s="0" t="n">
        <v>5.1</v>
      </c>
      <c r="P400" s="0" t="s">
        <v>51</v>
      </c>
      <c r="Q400" s="0" t="s">
        <v>73</v>
      </c>
      <c r="R400" s="0" t="s">
        <v>136</v>
      </c>
      <c r="S400" s="0" t="s">
        <v>147</v>
      </c>
      <c r="T400" s="0" t="n">
        <v>30</v>
      </c>
      <c r="U400" s="0" t="s">
        <v>76</v>
      </c>
      <c r="V400" s="0" t="s">
        <v>148</v>
      </c>
      <c r="W400" s="0" t="s">
        <v>113</v>
      </c>
      <c r="X400" s="0" t="s">
        <v>99</v>
      </c>
      <c r="Z400" s="0" t="s">
        <v>149</v>
      </c>
      <c r="AA400" s="0" t="s">
        <v>150</v>
      </c>
      <c r="AB400" s="0" t="n">
        <v>30000</v>
      </c>
      <c r="AC400" s="0" t="s">
        <v>61</v>
      </c>
      <c r="AD400" s="0" t="n">
        <v>10000</v>
      </c>
      <c r="AF400" s="0" t="s">
        <v>245</v>
      </c>
      <c r="AG400" s="0" t="s">
        <v>50</v>
      </c>
      <c r="AH400" s="0" t="s">
        <v>171</v>
      </c>
      <c r="AI400" s="0" t="s">
        <v>172</v>
      </c>
      <c r="AJ400" s="0" t="s">
        <v>81</v>
      </c>
      <c r="AK400" s="0" t="s">
        <v>61</v>
      </c>
      <c r="AL400" s="0" t="s">
        <v>50</v>
      </c>
      <c r="AN400" s="0" t="s">
        <v>198</v>
      </c>
    </row>
    <row r="401" customFormat="false" ht="15" hidden="false" customHeight="false" outlineLevel="0" collapsed="false">
      <c r="A401" s="1" t="n">
        <v>45719</v>
      </c>
      <c r="B401" s="0" t="s">
        <v>1067</v>
      </c>
      <c r="C401" s="0" t="s">
        <v>42</v>
      </c>
      <c r="D401" s="0" t="n">
        <v>8018585913</v>
      </c>
      <c r="E401" s="0" t="s">
        <v>139</v>
      </c>
      <c r="F401" s="0" t="s">
        <v>1068</v>
      </c>
      <c r="G401" s="0" t="s">
        <v>87</v>
      </c>
      <c r="H401" s="0" t="s">
        <v>70</v>
      </c>
      <c r="I401" s="0" t="s">
        <v>108</v>
      </c>
      <c r="J401" s="0" t="s">
        <v>48</v>
      </c>
      <c r="K401" s="0" t="n">
        <v>18653</v>
      </c>
      <c r="L401" s="0" t="s">
        <v>72</v>
      </c>
      <c r="M401" s="0" t="s">
        <v>63</v>
      </c>
      <c r="N401" s="0" t="n">
        <v>3</v>
      </c>
      <c r="O401" s="0" t="n">
        <v>2.6</v>
      </c>
      <c r="Q401" s="0" t="s">
        <v>73</v>
      </c>
      <c r="R401" s="0" t="s">
        <v>159</v>
      </c>
      <c r="S401" s="0" t="s">
        <v>75</v>
      </c>
      <c r="T401" s="0" t="s">
        <v>127</v>
      </c>
      <c r="U401" s="0" t="s">
        <v>55</v>
      </c>
      <c r="V401" s="0" t="s">
        <v>56</v>
      </c>
      <c r="W401" s="0" t="s">
        <v>78</v>
      </c>
      <c r="X401" s="0" t="s">
        <v>114</v>
      </c>
      <c r="Y401" s="0" t="s">
        <v>197</v>
      </c>
      <c r="AA401" s="0" t="s">
        <v>150</v>
      </c>
      <c r="AB401" s="0" t="n">
        <v>35000</v>
      </c>
      <c r="AC401" s="0" t="s">
        <v>61</v>
      </c>
      <c r="AD401" s="0" t="n">
        <v>5000</v>
      </c>
      <c r="AI401" s="0" t="s">
        <v>117</v>
      </c>
      <c r="AJ401" s="0" t="s">
        <v>62</v>
      </c>
      <c r="AL401" s="0" t="s">
        <v>102</v>
      </c>
      <c r="AN401" s="0" t="s">
        <v>198</v>
      </c>
    </row>
    <row r="402" customFormat="false" ht="15" hidden="false" customHeight="false" outlineLevel="0" collapsed="false">
      <c r="A402" s="1" t="n">
        <v>45737</v>
      </c>
      <c r="B402" s="0" t="s">
        <v>1069</v>
      </c>
      <c r="C402" s="0" t="s">
        <v>105</v>
      </c>
      <c r="D402" s="0" t="n">
        <v>8063584671</v>
      </c>
      <c r="E402" s="0" t="s">
        <v>67</v>
      </c>
      <c r="F402" s="0" t="s">
        <v>1070</v>
      </c>
      <c r="G402" s="0" t="s">
        <v>69</v>
      </c>
      <c r="H402" s="0" t="s">
        <v>88</v>
      </c>
      <c r="I402" s="0" t="s">
        <v>47</v>
      </c>
      <c r="J402" s="0" t="s">
        <v>48</v>
      </c>
      <c r="K402" s="0" t="n">
        <v>116229</v>
      </c>
      <c r="L402" s="0" t="s">
        <v>166</v>
      </c>
      <c r="M402" s="0" t="s">
        <v>63</v>
      </c>
      <c r="O402" s="0" t="n">
        <v>3.5</v>
      </c>
      <c r="P402" s="0" t="s">
        <v>125</v>
      </c>
      <c r="Q402" s="0" t="s">
        <v>52</v>
      </c>
      <c r="R402" s="0" t="s">
        <v>94</v>
      </c>
      <c r="S402" s="0" t="s">
        <v>75</v>
      </c>
      <c r="U402" s="0" t="s">
        <v>96</v>
      </c>
      <c r="V402" s="0" t="s">
        <v>155</v>
      </c>
      <c r="W402" s="0" t="s">
        <v>57</v>
      </c>
      <c r="X402" s="0" t="s">
        <v>58</v>
      </c>
      <c r="Z402" s="0" t="s">
        <v>79</v>
      </c>
      <c r="AA402" s="0" t="n">
        <v>40000</v>
      </c>
      <c r="AB402" s="0" t="s">
        <v>178</v>
      </c>
      <c r="AC402" s="0" t="s">
        <v>61</v>
      </c>
      <c r="AF402" s="1" t="n">
        <v>45870</v>
      </c>
      <c r="AH402" s="0" t="s">
        <v>171</v>
      </c>
      <c r="AI402" s="0" t="s">
        <v>172</v>
      </c>
      <c r="AJ402" s="0" t="s">
        <v>62</v>
      </c>
      <c r="AK402" s="0" t="s">
        <v>61</v>
      </c>
      <c r="AM402" s="0" t="s">
        <v>64</v>
      </c>
      <c r="AN402" s="0" t="s">
        <v>50</v>
      </c>
    </row>
    <row r="403" customFormat="false" ht="15" hidden="false" customHeight="false" outlineLevel="0" collapsed="false">
      <c r="A403" s="1" t="n">
        <v>45742</v>
      </c>
      <c r="B403" s="0" t="s">
        <v>1071</v>
      </c>
      <c r="C403" s="0" t="s">
        <v>121</v>
      </c>
      <c r="D403" s="0" t="n">
        <v>8091181404</v>
      </c>
      <c r="E403" s="0" t="s">
        <v>85</v>
      </c>
      <c r="F403" s="0" t="s">
        <v>1072</v>
      </c>
      <c r="G403" s="0" t="s">
        <v>69</v>
      </c>
      <c r="H403" s="0" t="s">
        <v>176</v>
      </c>
      <c r="I403" s="0" t="s">
        <v>89</v>
      </c>
      <c r="J403" s="0" t="s">
        <v>71</v>
      </c>
      <c r="K403" s="0" t="n">
        <v>107270</v>
      </c>
      <c r="L403" s="0" t="s">
        <v>49</v>
      </c>
      <c r="M403" s="0" t="s">
        <v>63</v>
      </c>
      <c r="N403" s="0" t="n">
        <v>3</v>
      </c>
      <c r="O403" s="0" t="n">
        <v>4.8</v>
      </c>
      <c r="P403" s="0" t="s">
        <v>51</v>
      </c>
      <c r="Q403" s="0" t="s">
        <v>93</v>
      </c>
      <c r="R403" s="0" t="s">
        <v>159</v>
      </c>
      <c r="S403" s="0" t="s">
        <v>95</v>
      </c>
      <c r="T403" s="0" t="s">
        <v>127</v>
      </c>
      <c r="U403" s="0" t="s">
        <v>96</v>
      </c>
      <c r="V403" s="0" t="s">
        <v>56</v>
      </c>
      <c r="W403" s="0" t="s">
        <v>57</v>
      </c>
      <c r="X403" s="0" t="s">
        <v>196</v>
      </c>
      <c r="Y403" s="0" t="s">
        <v>177</v>
      </c>
      <c r="Z403" s="0" t="s">
        <v>161</v>
      </c>
      <c r="AA403" s="0" t="n">
        <v>25000</v>
      </c>
      <c r="AB403" s="0" t="n">
        <v>30000</v>
      </c>
      <c r="AD403" s="0" t="n">
        <v>0</v>
      </c>
      <c r="AE403" s="0" t="s">
        <v>80</v>
      </c>
      <c r="AF403" s="1" t="n">
        <v>45696</v>
      </c>
      <c r="AG403" s="0" t="s">
        <v>50</v>
      </c>
      <c r="AH403" s="0" t="s">
        <v>171</v>
      </c>
      <c r="AI403" s="0" t="s">
        <v>172</v>
      </c>
      <c r="AJ403" s="0" t="s">
        <v>62</v>
      </c>
      <c r="AL403" s="0" t="s">
        <v>102</v>
      </c>
      <c r="AM403" s="0" t="s">
        <v>118</v>
      </c>
      <c r="AN403" s="0" t="s">
        <v>50</v>
      </c>
    </row>
    <row r="404" customFormat="false" ht="15" hidden="false" customHeight="false" outlineLevel="0" collapsed="false">
      <c r="A404" s="1" t="n">
        <v>45806</v>
      </c>
      <c r="B404" s="0" t="s">
        <v>1073</v>
      </c>
      <c r="C404" s="0" t="s">
        <v>66</v>
      </c>
      <c r="D404" s="0" t="n">
        <v>8043130320</v>
      </c>
      <c r="E404" s="0" t="s">
        <v>67</v>
      </c>
      <c r="F404" s="0" t="s">
        <v>1074</v>
      </c>
      <c r="G404" s="0" t="s">
        <v>87</v>
      </c>
      <c r="H404" s="0" t="s">
        <v>153</v>
      </c>
      <c r="I404" s="0" t="s">
        <v>47</v>
      </c>
      <c r="J404" s="0" t="s">
        <v>90</v>
      </c>
      <c r="K404" s="0" t="n">
        <v>106466</v>
      </c>
      <c r="L404" s="0" t="s">
        <v>72</v>
      </c>
      <c r="M404" s="0" t="s">
        <v>63</v>
      </c>
      <c r="N404" s="0" t="n">
        <v>5</v>
      </c>
      <c r="O404" s="0" t="n">
        <v>4.8</v>
      </c>
      <c r="P404" s="0" t="s">
        <v>125</v>
      </c>
      <c r="Q404" s="0" t="s">
        <v>73</v>
      </c>
      <c r="R404" s="0" t="s">
        <v>74</v>
      </c>
      <c r="S404" s="0" t="s">
        <v>75</v>
      </c>
      <c r="U404" s="0" t="s">
        <v>160</v>
      </c>
      <c r="V404" s="0" t="s">
        <v>97</v>
      </c>
      <c r="W404" s="0" t="s">
        <v>128</v>
      </c>
      <c r="X404" s="0" t="s">
        <v>58</v>
      </c>
      <c r="Y404" s="0" t="s">
        <v>177</v>
      </c>
      <c r="Z404" s="0" t="s">
        <v>143</v>
      </c>
      <c r="AA404" s="0" t="n">
        <v>15000</v>
      </c>
      <c r="AC404" s="0" t="s">
        <v>82</v>
      </c>
      <c r="AD404" s="0" t="n">
        <v>10000</v>
      </c>
      <c r="AE404" s="0" t="s">
        <v>80</v>
      </c>
      <c r="AG404" s="0" t="s">
        <v>63</v>
      </c>
      <c r="AJ404" s="0" t="s">
        <v>81</v>
      </c>
      <c r="AK404" s="0" t="s">
        <v>82</v>
      </c>
      <c r="AL404" s="0" t="s">
        <v>102</v>
      </c>
      <c r="AM404" s="0" t="s">
        <v>83</v>
      </c>
      <c r="AN404" s="0" t="s">
        <v>50</v>
      </c>
    </row>
    <row r="405" customFormat="false" ht="15" hidden="false" customHeight="false" outlineLevel="0" collapsed="false">
      <c r="A405" s="1" t="n">
        <v>45737</v>
      </c>
      <c r="B405" s="0" t="s">
        <v>1075</v>
      </c>
      <c r="C405" s="0" t="s">
        <v>66</v>
      </c>
      <c r="D405" s="0" t="n">
        <v>8080579265</v>
      </c>
      <c r="E405" s="0" t="s">
        <v>67</v>
      </c>
      <c r="F405" s="0" t="s">
        <v>1076</v>
      </c>
      <c r="G405" s="0" t="s">
        <v>107</v>
      </c>
      <c r="H405" s="0" t="s">
        <v>46</v>
      </c>
      <c r="I405" s="0" t="s">
        <v>108</v>
      </c>
      <c r="J405" s="0" t="s">
        <v>90</v>
      </c>
      <c r="K405" s="0" t="n">
        <v>95872</v>
      </c>
      <c r="L405" s="0" t="s">
        <v>91</v>
      </c>
      <c r="M405" s="0" t="s">
        <v>50</v>
      </c>
      <c r="O405" s="0" t="n">
        <v>3.3</v>
      </c>
      <c r="Q405" s="0" t="s">
        <v>93</v>
      </c>
      <c r="R405" s="0" t="s">
        <v>53</v>
      </c>
      <c r="S405" s="0" t="s">
        <v>75</v>
      </c>
      <c r="T405" s="0" t="s">
        <v>127</v>
      </c>
      <c r="U405" s="0" t="s">
        <v>160</v>
      </c>
      <c r="V405" s="0" t="s">
        <v>97</v>
      </c>
      <c r="W405" s="0" t="s">
        <v>57</v>
      </c>
      <c r="X405" s="0" t="s">
        <v>114</v>
      </c>
      <c r="Y405" s="0" t="s">
        <v>156</v>
      </c>
      <c r="Z405" s="0" t="s">
        <v>143</v>
      </c>
      <c r="AA405" s="0" t="n">
        <v>40000</v>
      </c>
      <c r="AC405" s="0" t="s">
        <v>82</v>
      </c>
      <c r="AE405" s="0" t="s">
        <v>60</v>
      </c>
      <c r="AF405" s="1" t="n">
        <v>45942</v>
      </c>
      <c r="AG405" s="0" t="s">
        <v>63</v>
      </c>
      <c r="AH405" s="0" t="s">
        <v>171</v>
      </c>
      <c r="AI405" s="0" t="s">
        <v>117</v>
      </c>
      <c r="AJ405" s="0" t="s">
        <v>50</v>
      </c>
      <c r="AK405" s="0" t="s">
        <v>82</v>
      </c>
      <c r="AL405" s="0" t="s">
        <v>102</v>
      </c>
      <c r="AM405" s="0" t="s">
        <v>83</v>
      </c>
      <c r="AN405" s="0" t="s">
        <v>50</v>
      </c>
    </row>
    <row r="406" customFormat="false" ht="15" hidden="false" customHeight="false" outlineLevel="0" collapsed="false">
      <c r="A406" s="1" t="n">
        <v>45792</v>
      </c>
      <c r="B406" s="0" t="s">
        <v>1077</v>
      </c>
      <c r="C406" s="0" t="s">
        <v>163</v>
      </c>
      <c r="D406" s="0" t="n">
        <v>8054143064</v>
      </c>
      <c r="E406" s="0" t="s">
        <v>122</v>
      </c>
      <c r="F406" s="0" t="s">
        <v>1078</v>
      </c>
      <c r="G406" s="0" t="s">
        <v>69</v>
      </c>
      <c r="H406" s="0" t="s">
        <v>242</v>
      </c>
      <c r="I406" s="0" t="s">
        <v>142</v>
      </c>
      <c r="J406" s="0" t="s">
        <v>90</v>
      </c>
      <c r="K406" s="0" t="n">
        <v>10162</v>
      </c>
      <c r="L406" s="0" t="s">
        <v>91</v>
      </c>
      <c r="M406" s="0" t="s">
        <v>50</v>
      </c>
      <c r="O406" s="0" t="n">
        <v>4.7</v>
      </c>
      <c r="P406" s="0" t="s">
        <v>111</v>
      </c>
      <c r="Q406" s="0" t="s">
        <v>93</v>
      </c>
      <c r="R406" s="0" t="s">
        <v>159</v>
      </c>
      <c r="S406" s="0" t="s">
        <v>75</v>
      </c>
      <c r="T406" s="0" t="n">
        <v>45</v>
      </c>
      <c r="U406" s="0" t="s">
        <v>96</v>
      </c>
      <c r="V406" s="0" t="s">
        <v>77</v>
      </c>
      <c r="W406" s="0" t="s">
        <v>78</v>
      </c>
      <c r="X406" s="0" t="s">
        <v>58</v>
      </c>
      <c r="Y406" s="0" t="s">
        <v>197</v>
      </c>
      <c r="Z406" s="0" t="s">
        <v>149</v>
      </c>
      <c r="AB406" s="0" t="n">
        <v>20000</v>
      </c>
      <c r="AD406" s="0" t="n">
        <v>10000</v>
      </c>
      <c r="AE406" s="0" t="s">
        <v>60</v>
      </c>
      <c r="AF406" s="0" t="s">
        <v>1079</v>
      </c>
      <c r="AK406" s="0" t="s">
        <v>63</v>
      </c>
      <c r="AM406" s="0" t="s">
        <v>103</v>
      </c>
      <c r="AN406" s="0" t="s">
        <v>198</v>
      </c>
    </row>
    <row r="407" customFormat="false" ht="15" hidden="false" customHeight="false" outlineLevel="0" collapsed="false">
      <c r="A407" s="1" t="n">
        <v>45802</v>
      </c>
      <c r="B407" s="0" t="s">
        <v>1080</v>
      </c>
      <c r="C407" s="0" t="s">
        <v>105</v>
      </c>
      <c r="D407" s="0" t="n">
        <v>8086400632</v>
      </c>
      <c r="E407" s="0" t="s">
        <v>43</v>
      </c>
      <c r="F407" s="0" t="s">
        <v>1081</v>
      </c>
      <c r="G407" s="0" t="s">
        <v>87</v>
      </c>
      <c r="I407" s="0" t="s">
        <v>47</v>
      </c>
      <c r="K407" s="0" t="n">
        <v>115560</v>
      </c>
      <c r="L407" s="0" t="s">
        <v>91</v>
      </c>
      <c r="M407" s="0" t="s">
        <v>63</v>
      </c>
      <c r="N407" s="0" t="n">
        <v>2</v>
      </c>
      <c r="O407" s="0" t="n">
        <v>4.8</v>
      </c>
      <c r="P407" s="0" t="s">
        <v>111</v>
      </c>
      <c r="Q407" s="0" t="s">
        <v>73</v>
      </c>
      <c r="R407" s="0" t="s">
        <v>94</v>
      </c>
      <c r="S407" s="0" t="s">
        <v>126</v>
      </c>
      <c r="T407" s="0" t="n">
        <v>60</v>
      </c>
      <c r="U407" s="0" t="s">
        <v>55</v>
      </c>
      <c r="V407" s="0" t="s">
        <v>155</v>
      </c>
      <c r="W407" s="0" t="s">
        <v>113</v>
      </c>
      <c r="X407" s="0" t="s">
        <v>137</v>
      </c>
      <c r="Y407" s="0" t="s">
        <v>197</v>
      </c>
      <c r="Z407" s="0" t="s">
        <v>79</v>
      </c>
      <c r="AA407" s="0" t="n">
        <v>30000</v>
      </c>
      <c r="AB407" s="0" t="n">
        <v>20000</v>
      </c>
      <c r="AC407" s="0" t="s">
        <v>61</v>
      </c>
      <c r="AD407" s="0" t="s">
        <v>115</v>
      </c>
      <c r="AE407" s="0" t="s">
        <v>130</v>
      </c>
      <c r="AF407" s="0" t="s">
        <v>1082</v>
      </c>
      <c r="AG407" s="0" t="s">
        <v>50</v>
      </c>
      <c r="AH407" s="0" t="s">
        <v>171</v>
      </c>
      <c r="AI407" s="0" t="s">
        <v>101</v>
      </c>
      <c r="AJ407" s="0" t="s">
        <v>63</v>
      </c>
      <c r="AK407" s="0" t="s">
        <v>63</v>
      </c>
      <c r="AM407" s="0" t="s">
        <v>103</v>
      </c>
      <c r="AN407" s="0" t="s">
        <v>63</v>
      </c>
    </row>
    <row r="408" customFormat="false" ht="15" hidden="false" customHeight="false" outlineLevel="0" collapsed="false">
      <c r="A408" s="1" t="n">
        <v>45800</v>
      </c>
      <c r="B408" s="0" t="s">
        <v>1083</v>
      </c>
      <c r="C408" s="0" t="s">
        <v>42</v>
      </c>
      <c r="D408" s="0" t="n">
        <v>8075895351</v>
      </c>
      <c r="E408" s="0" t="s">
        <v>67</v>
      </c>
      <c r="F408" s="0" t="s">
        <v>1084</v>
      </c>
      <c r="G408" s="0" t="s">
        <v>134</v>
      </c>
      <c r="H408" s="0" t="s">
        <v>272</v>
      </c>
      <c r="I408" s="0" t="s">
        <v>108</v>
      </c>
      <c r="J408" s="0" t="s">
        <v>48</v>
      </c>
      <c r="K408" s="0" t="n">
        <v>38130</v>
      </c>
      <c r="L408" s="0" t="s">
        <v>91</v>
      </c>
      <c r="M408" s="0" t="s">
        <v>50</v>
      </c>
      <c r="N408" s="0" t="n">
        <v>2</v>
      </c>
      <c r="O408" s="0" t="n">
        <v>4.3</v>
      </c>
      <c r="P408" s="0" t="s">
        <v>111</v>
      </c>
      <c r="Q408" s="0" t="s">
        <v>52</v>
      </c>
      <c r="R408" s="0" t="s">
        <v>159</v>
      </c>
      <c r="S408" s="0" t="s">
        <v>95</v>
      </c>
      <c r="U408" s="0" t="s">
        <v>112</v>
      </c>
      <c r="V408" s="0" t="s">
        <v>56</v>
      </c>
      <c r="W408" s="0" t="s">
        <v>98</v>
      </c>
      <c r="X408" s="0" t="s">
        <v>99</v>
      </c>
      <c r="Y408" s="0" t="s">
        <v>197</v>
      </c>
      <c r="Z408" s="0" t="s">
        <v>79</v>
      </c>
      <c r="AB408" s="0" t="n">
        <v>30000</v>
      </c>
      <c r="AC408" s="0" t="s">
        <v>61</v>
      </c>
      <c r="AD408" s="0" t="s">
        <v>115</v>
      </c>
      <c r="AF408" s="1" t="n">
        <v>45945</v>
      </c>
      <c r="AG408" s="0" t="s">
        <v>82</v>
      </c>
      <c r="AH408" s="0" t="s">
        <v>116</v>
      </c>
      <c r="AI408" s="0" t="s">
        <v>172</v>
      </c>
      <c r="AJ408" s="0" t="s">
        <v>50</v>
      </c>
      <c r="AK408" s="0" t="s">
        <v>82</v>
      </c>
      <c r="AL408" s="0" t="s">
        <v>50</v>
      </c>
      <c r="AN408" s="0" t="s">
        <v>190</v>
      </c>
    </row>
    <row r="409" customFormat="false" ht="15" hidden="false" customHeight="false" outlineLevel="0" collapsed="false">
      <c r="A409" s="1" t="n">
        <v>45840</v>
      </c>
      <c r="B409" s="0" t="s">
        <v>1085</v>
      </c>
      <c r="C409" s="0" t="s">
        <v>66</v>
      </c>
      <c r="D409" s="0" t="n">
        <v>8071767610</v>
      </c>
      <c r="E409" s="0" t="s">
        <v>85</v>
      </c>
      <c r="F409" s="0" t="s">
        <v>1086</v>
      </c>
      <c r="G409" s="0" t="s">
        <v>107</v>
      </c>
      <c r="I409" s="0" t="s">
        <v>89</v>
      </c>
      <c r="J409" s="0" t="s">
        <v>90</v>
      </c>
      <c r="K409" s="0" t="n">
        <v>103804</v>
      </c>
      <c r="L409" s="0" t="s">
        <v>110</v>
      </c>
      <c r="M409" s="0" t="s">
        <v>50</v>
      </c>
      <c r="N409" s="0" t="n">
        <v>4</v>
      </c>
      <c r="O409" s="0" t="n">
        <v>2</v>
      </c>
      <c r="P409" s="0" t="s">
        <v>125</v>
      </c>
      <c r="Q409" s="0" t="s">
        <v>73</v>
      </c>
      <c r="R409" s="0" t="s">
        <v>74</v>
      </c>
      <c r="S409" s="0" t="s">
        <v>54</v>
      </c>
      <c r="T409" s="0" t="n">
        <v>15</v>
      </c>
      <c r="U409" s="0" t="s">
        <v>76</v>
      </c>
      <c r="V409" s="0" t="s">
        <v>56</v>
      </c>
      <c r="W409" s="0" t="s">
        <v>57</v>
      </c>
      <c r="X409" s="0" t="s">
        <v>99</v>
      </c>
      <c r="Y409" s="0" t="s">
        <v>177</v>
      </c>
      <c r="Z409" s="0" t="s">
        <v>129</v>
      </c>
      <c r="AA409" s="0" t="n">
        <v>15000</v>
      </c>
      <c r="AB409" s="0" t="n">
        <v>35000</v>
      </c>
      <c r="AC409" s="0" t="s">
        <v>50</v>
      </c>
      <c r="AD409" s="0" t="s">
        <v>115</v>
      </c>
      <c r="AE409" s="0" t="s">
        <v>60</v>
      </c>
      <c r="AG409" s="0" t="s">
        <v>50</v>
      </c>
      <c r="AH409" s="0" t="s">
        <v>116</v>
      </c>
      <c r="AJ409" s="0" t="s">
        <v>81</v>
      </c>
      <c r="AK409" s="0" t="s">
        <v>82</v>
      </c>
      <c r="AL409" s="0" t="s">
        <v>63</v>
      </c>
      <c r="AM409" s="0" t="s">
        <v>118</v>
      </c>
      <c r="AN409" s="0" t="s">
        <v>50</v>
      </c>
    </row>
    <row r="410" customFormat="false" ht="15" hidden="false" customHeight="false" outlineLevel="0" collapsed="false">
      <c r="A410" s="0" t="s">
        <v>669</v>
      </c>
      <c r="B410" s="0" t="s">
        <v>1087</v>
      </c>
      <c r="C410" s="0" t="s">
        <v>66</v>
      </c>
      <c r="D410" s="0" t="n">
        <v>8072101932</v>
      </c>
      <c r="E410" s="0" t="s">
        <v>43</v>
      </c>
      <c r="F410" s="0" t="s">
        <v>1088</v>
      </c>
      <c r="G410" s="0" t="s">
        <v>134</v>
      </c>
      <c r="H410" s="0" t="s">
        <v>146</v>
      </c>
      <c r="I410" s="0" t="s">
        <v>47</v>
      </c>
      <c r="J410" s="0" t="s">
        <v>109</v>
      </c>
      <c r="K410" s="0" t="n">
        <v>97418</v>
      </c>
      <c r="L410" s="0" t="s">
        <v>110</v>
      </c>
      <c r="M410" s="0" t="s">
        <v>50</v>
      </c>
      <c r="N410" s="0" t="n">
        <v>2</v>
      </c>
      <c r="O410" s="0" t="n">
        <v>4.4</v>
      </c>
      <c r="P410" s="0" t="s">
        <v>111</v>
      </c>
      <c r="Q410" s="0" t="s">
        <v>52</v>
      </c>
      <c r="R410" s="0" t="s">
        <v>136</v>
      </c>
      <c r="S410" s="0" t="s">
        <v>126</v>
      </c>
      <c r="T410" s="0" t="n">
        <v>60</v>
      </c>
      <c r="U410" s="0" t="s">
        <v>160</v>
      </c>
      <c r="V410" s="0" t="s">
        <v>155</v>
      </c>
      <c r="W410" s="0" t="s">
        <v>128</v>
      </c>
      <c r="X410" s="0" t="s">
        <v>196</v>
      </c>
      <c r="Y410" s="0" t="s">
        <v>197</v>
      </c>
      <c r="AA410" s="0" t="n">
        <v>40000</v>
      </c>
      <c r="AC410" s="0" t="s">
        <v>63</v>
      </c>
      <c r="AD410" s="0" t="n">
        <v>5000</v>
      </c>
      <c r="AE410" s="0" t="s">
        <v>60</v>
      </c>
      <c r="AG410" s="0" t="s">
        <v>82</v>
      </c>
      <c r="AH410" s="0" t="s">
        <v>116</v>
      </c>
      <c r="AI410" s="0" t="s">
        <v>101</v>
      </c>
      <c r="AK410" s="0" t="s">
        <v>82</v>
      </c>
      <c r="AL410" s="0" t="s">
        <v>50</v>
      </c>
      <c r="AN410" s="0" t="s">
        <v>50</v>
      </c>
    </row>
    <row r="411" customFormat="false" ht="15" hidden="false" customHeight="false" outlineLevel="0" collapsed="false">
      <c r="A411" s="1" t="n">
        <v>45821</v>
      </c>
      <c r="B411" s="0" t="s">
        <v>1089</v>
      </c>
      <c r="C411" s="0" t="s">
        <v>121</v>
      </c>
      <c r="D411" s="0" t="n">
        <v>8087327229</v>
      </c>
      <c r="E411" s="0" t="s">
        <v>122</v>
      </c>
      <c r="F411" s="0" t="s">
        <v>1090</v>
      </c>
      <c r="G411" s="0" t="s">
        <v>45</v>
      </c>
      <c r="I411" s="0" t="s">
        <v>108</v>
      </c>
      <c r="J411" s="0" t="s">
        <v>71</v>
      </c>
      <c r="K411" s="0" t="n">
        <v>84562</v>
      </c>
      <c r="L411" s="0" t="s">
        <v>166</v>
      </c>
      <c r="M411" s="0" t="s">
        <v>63</v>
      </c>
      <c r="O411" s="0" t="n">
        <v>1.1</v>
      </c>
      <c r="P411" s="0" t="s">
        <v>111</v>
      </c>
      <c r="Q411" s="0" t="s">
        <v>73</v>
      </c>
      <c r="R411" s="0" t="s">
        <v>74</v>
      </c>
      <c r="S411" s="0" t="s">
        <v>147</v>
      </c>
      <c r="U411" s="0" t="s">
        <v>96</v>
      </c>
      <c r="V411" s="0" t="s">
        <v>97</v>
      </c>
      <c r="W411" s="0" t="s">
        <v>113</v>
      </c>
      <c r="X411" s="0" t="s">
        <v>196</v>
      </c>
      <c r="Z411" s="0" t="s">
        <v>129</v>
      </c>
      <c r="AA411" s="0" t="n">
        <v>15000</v>
      </c>
      <c r="AB411" s="0" t="n">
        <v>35000</v>
      </c>
      <c r="AC411" s="0" t="s">
        <v>82</v>
      </c>
      <c r="AD411" s="0" t="n">
        <v>10000</v>
      </c>
      <c r="AE411" s="0" t="s">
        <v>184</v>
      </c>
      <c r="AG411" s="0" t="s">
        <v>50</v>
      </c>
      <c r="AH411" s="0" t="s">
        <v>171</v>
      </c>
      <c r="AK411" s="0" t="s">
        <v>63</v>
      </c>
      <c r="AM411" s="0" t="s">
        <v>103</v>
      </c>
      <c r="AN411" s="0" t="s">
        <v>50</v>
      </c>
    </row>
    <row r="412" customFormat="false" ht="15" hidden="false" customHeight="false" outlineLevel="0" collapsed="false">
      <c r="A412" s="1" t="n">
        <v>45685</v>
      </c>
      <c r="B412" s="0" t="s">
        <v>1091</v>
      </c>
      <c r="C412" s="0" t="s">
        <v>66</v>
      </c>
      <c r="D412" s="0" t="n">
        <v>8015245871</v>
      </c>
      <c r="E412" s="0" t="s">
        <v>139</v>
      </c>
      <c r="F412" s="0" t="s">
        <v>1092</v>
      </c>
      <c r="G412" s="0" t="s">
        <v>134</v>
      </c>
      <c r="H412" s="0" t="s">
        <v>46</v>
      </c>
      <c r="I412" s="0" t="s">
        <v>189</v>
      </c>
      <c r="J412" s="0" t="s">
        <v>90</v>
      </c>
      <c r="K412" s="0" t="n">
        <v>88145</v>
      </c>
      <c r="L412" s="0" t="s">
        <v>124</v>
      </c>
      <c r="M412" s="0" t="s">
        <v>63</v>
      </c>
      <c r="N412" s="0" t="n">
        <v>2</v>
      </c>
      <c r="O412" s="0" t="n">
        <v>4.7</v>
      </c>
      <c r="P412" s="0" t="s">
        <v>125</v>
      </c>
      <c r="Q412" s="0" t="s">
        <v>73</v>
      </c>
      <c r="R412" s="0" t="s">
        <v>159</v>
      </c>
      <c r="S412" s="0" t="s">
        <v>54</v>
      </c>
      <c r="U412" s="0" t="s">
        <v>96</v>
      </c>
      <c r="V412" s="0" t="s">
        <v>56</v>
      </c>
      <c r="W412" s="0" t="s">
        <v>78</v>
      </c>
      <c r="X412" s="0" t="s">
        <v>196</v>
      </c>
      <c r="Z412" s="0" t="s">
        <v>129</v>
      </c>
      <c r="AA412" s="0" t="n">
        <v>40000</v>
      </c>
      <c r="AB412" s="0" t="n">
        <v>35000</v>
      </c>
      <c r="AC412" s="0" t="s">
        <v>61</v>
      </c>
      <c r="AD412" s="0" t="n">
        <v>5000</v>
      </c>
      <c r="AE412" s="0" t="s">
        <v>80</v>
      </c>
      <c r="AF412" s="0" t="s">
        <v>703</v>
      </c>
      <c r="AJ412" s="0" t="s">
        <v>50</v>
      </c>
      <c r="AK412" s="0" t="s">
        <v>61</v>
      </c>
      <c r="AL412" s="0" t="s">
        <v>63</v>
      </c>
      <c r="AM412" s="0" t="s">
        <v>118</v>
      </c>
      <c r="AN412" s="0" t="s">
        <v>198</v>
      </c>
    </row>
    <row r="413" customFormat="false" ht="15" hidden="false" customHeight="false" outlineLevel="0" collapsed="false">
      <c r="A413" s="1" t="n">
        <v>45726</v>
      </c>
      <c r="B413" s="0" t="s">
        <v>1093</v>
      </c>
      <c r="C413" s="0" t="s">
        <v>105</v>
      </c>
      <c r="D413" s="0" t="n">
        <v>8022227594</v>
      </c>
      <c r="E413" s="0" t="s">
        <v>139</v>
      </c>
      <c r="F413" s="0" t="s">
        <v>1094</v>
      </c>
      <c r="G413" s="0" t="s">
        <v>45</v>
      </c>
      <c r="H413" s="0" t="s">
        <v>242</v>
      </c>
      <c r="I413" s="0" t="s">
        <v>142</v>
      </c>
      <c r="J413" s="0" t="s">
        <v>109</v>
      </c>
      <c r="K413" s="0" t="n">
        <v>55251</v>
      </c>
      <c r="L413" s="0" t="s">
        <v>91</v>
      </c>
      <c r="M413" s="0" t="s">
        <v>63</v>
      </c>
      <c r="N413" s="0" t="n">
        <v>4</v>
      </c>
      <c r="O413" s="0" t="n">
        <v>1.6</v>
      </c>
      <c r="P413" s="0" t="s">
        <v>92</v>
      </c>
      <c r="Q413" s="0" t="s">
        <v>73</v>
      </c>
      <c r="R413" s="0" t="s">
        <v>53</v>
      </c>
      <c r="S413" s="0" t="s">
        <v>75</v>
      </c>
      <c r="T413" s="0" t="s">
        <v>127</v>
      </c>
      <c r="U413" s="0" t="s">
        <v>96</v>
      </c>
      <c r="V413" s="0" t="s">
        <v>77</v>
      </c>
      <c r="W413" s="0" t="s">
        <v>113</v>
      </c>
      <c r="X413" s="0" t="s">
        <v>196</v>
      </c>
      <c r="Y413" s="0" t="s">
        <v>59</v>
      </c>
      <c r="Z413" s="0" t="s">
        <v>129</v>
      </c>
      <c r="AA413" s="0" t="n">
        <v>25000</v>
      </c>
      <c r="AB413" s="0" t="s">
        <v>178</v>
      </c>
      <c r="AC413" s="0" t="s">
        <v>82</v>
      </c>
      <c r="AE413" s="0" t="s">
        <v>184</v>
      </c>
      <c r="AF413" s="1" t="n">
        <v>45970</v>
      </c>
      <c r="AG413" s="0" t="s">
        <v>50</v>
      </c>
      <c r="AI413" s="0" t="s">
        <v>101</v>
      </c>
      <c r="AJ413" s="0" t="s">
        <v>62</v>
      </c>
      <c r="AK413" s="0" t="s">
        <v>50</v>
      </c>
      <c r="AM413" s="0" t="s">
        <v>103</v>
      </c>
      <c r="AN413" s="0" t="s">
        <v>63</v>
      </c>
    </row>
    <row r="414" customFormat="false" ht="15" hidden="false" customHeight="false" outlineLevel="0" collapsed="false">
      <c r="A414" s="1" t="n">
        <v>45717</v>
      </c>
      <c r="B414" s="0" t="s">
        <v>1095</v>
      </c>
      <c r="C414" s="0" t="s">
        <v>105</v>
      </c>
      <c r="D414" s="0" t="n">
        <v>8048642865</v>
      </c>
      <c r="E414" s="0" t="s">
        <v>139</v>
      </c>
      <c r="F414" s="0" t="s">
        <v>1096</v>
      </c>
      <c r="G414" s="0" t="s">
        <v>134</v>
      </c>
      <c r="H414" s="0" t="s">
        <v>141</v>
      </c>
      <c r="I414" s="0" t="s">
        <v>142</v>
      </c>
      <c r="J414" s="0" t="s">
        <v>90</v>
      </c>
      <c r="K414" s="0" t="n">
        <v>26803</v>
      </c>
      <c r="L414" s="0" t="s">
        <v>91</v>
      </c>
      <c r="M414" s="0" t="s">
        <v>50</v>
      </c>
      <c r="N414" s="0" t="n">
        <v>5</v>
      </c>
      <c r="O414" s="0" t="n">
        <v>2.2</v>
      </c>
      <c r="P414" s="0" t="s">
        <v>92</v>
      </c>
      <c r="Q414" s="0" t="s">
        <v>52</v>
      </c>
      <c r="R414" s="0" t="s">
        <v>74</v>
      </c>
      <c r="S414" s="0" t="s">
        <v>95</v>
      </c>
      <c r="T414" s="0" t="n">
        <v>15</v>
      </c>
      <c r="U414" s="0" t="s">
        <v>76</v>
      </c>
      <c r="V414" s="0" t="s">
        <v>155</v>
      </c>
      <c r="W414" s="0" t="s">
        <v>128</v>
      </c>
      <c r="X414" s="0" t="s">
        <v>196</v>
      </c>
      <c r="Y414" s="0" t="s">
        <v>156</v>
      </c>
      <c r="Z414" s="0" t="s">
        <v>149</v>
      </c>
      <c r="AA414" s="0" t="n">
        <v>40000</v>
      </c>
      <c r="AC414" s="0" t="s">
        <v>50</v>
      </c>
      <c r="AD414" s="0" t="n">
        <v>10000</v>
      </c>
      <c r="AE414" s="0" t="s">
        <v>184</v>
      </c>
      <c r="AF414" s="0" t="s">
        <v>1097</v>
      </c>
      <c r="AG414" s="0" t="s">
        <v>50</v>
      </c>
      <c r="AJ414" s="0" t="s">
        <v>50</v>
      </c>
      <c r="AL414" s="0" t="s">
        <v>102</v>
      </c>
      <c r="AM414" s="0" t="s">
        <v>64</v>
      </c>
      <c r="AN414" s="0" t="s">
        <v>198</v>
      </c>
    </row>
    <row r="415" customFormat="false" ht="15" hidden="false" customHeight="false" outlineLevel="0" collapsed="false">
      <c r="A415" s="1" t="n">
        <v>45660</v>
      </c>
      <c r="B415" s="0" t="s">
        <v>1098</v>
      </c>
      <c r="C415" s="0" t="s">
        <v>163</v>
      </c>
      <c r="D415" s="0" t="n">
        <v>8096744801</v>
      </c>
      <c r="E415" s="0" t="s">
        <v>67</v>
      </c>
      <c r="F415" s="0" t="s">
        <v>1099</v>
      </c>
      <c r="G415" s="0" t="s">
        <v>107</v>
      </c>
      <c r="H415" s="0" t="s">
        <v>141</v>
      </c>
      <c r="I415" s="0" t="s">
        <v>89</v>
      </c>
      <c r="J415" s="0" t="s">
        <v>90</v>
      </c>
      <c r="K415" s="0" t="n">
        <v>112133</v>
      </c>
      <c r="L415" s="0" t="s">
        <v>166</v>
      </c>
      <c r="M415" s="0" t="s">
        <v>63</v>
      </c>
      <c r="N415" s="0" t="n">
        <v>1</v>
      </c>
      <c r="O415" s="0" t="n">
        <v>3.9</v>
      </c>
      <c r="P415" s="0" t="s">
        <v>125</v>
      </c>
      <c r="Q415" s="0" t="s">
        <v>73</v>
      </c>
      <c r="R415" s="0" t="s">
        <v>159</v>
      </c>
      <c r="S415" s="0" t="s">
        <v>167</v>
      </c>
      <c r="U415" s="0" t="s">
        <v>96</v>
      </c>
      <c r="V415" s="0" t="s">
        <v>56</v>
      </c>
      <c r="W415" s="0" t="s">
        <v>57</v>
      </c>
      <c r="X415" s="0" t="s">
        <v>58</v>
      </c>
      <c r="Z415" s="0" t="s">
        <v>161</v>
      </c>
      <c r="AA415" s="0" t="s">
        <v>150</v>
      </c>
      <c r="AB415" s="0" t="n">
        <v>30000</v>
      </c>
      <c r="AC415" s="0" t="s">
        <v>82</v>
      </c>
      <c r="AD415" s="0" t="s">
        <v>115</v>
      </c>
      <c r="AE415" s="0" t="s">
        <v>130</v>
      </c>
      <c r="AF415" s="1" t="n">
        <v>46003</v>
      </c>
      <c r="AH415" s="0" t="s">
        <v>171</v>
      </c>
      <c r="AI415" s="0" t="s">
        <v>172</v>
      </c>
      <c r="AJ415" s="0" t="s">
        <v>63</v>
      </c>
      <c r="AK415" s="0" t="s">
        <v>61</v>
      </c>
      <c r="AL415" s="0" t="s">
        <v>63</v>
      </c>
      <c r="AM415" s="0" t="s">
        <v>64</v>
      </c>
      <c r="AN415" s="0" t="s">
        <v>198</v>
      </c>
    </row>
    <row r="416" customFormat="false" ht="15" hidden="false" customHeight="false" outlineLevel="0" collapsed="false">
      <c r="A416" s="1" t="n">
        <v>45692</v>
      </c>
      <c r="B416" s="0" t="s">
        <v>1100</v>
      </c>
      <c r="C416" s="0" t="s">
        <v>121</v>
      </c>
      <c r="D416" s="0" t="n">
        <v>8071244438</v>
      </c>
      <c r="E416" s="0" t="s">
        <v>43</v>
      </c>
      <c r="F416" s="0" t="s">
        <v>1101</v>
      </c>
      <c r="G416" s="0" t="s">
        <v>134</v>
      </c>
      <c r="H416" s="0" t="s">
        <v>242</v>
      </c>
      <c r="I416" s="0" t="s">
        <v>142</v>
      </c>
      <c r="J416" s="0" t="s">
        <v>109</v>
      </c>
      <c r="K416" s="0" t="n">
        <v>101037</v>
      </c>
      <c r="L416" s="0" t="s">
        <v>91</v>
      </c>
      <c r="M416" s="0" t="s">
        <v>50</v>
      </c>
      <c r="N416" s="0" t="n">
        <v>2</v>
      </c>
      <c r="O416" s="0" t="n">
        <v>1.1</v>
      </c>
      <c r="P416" s="0" t="s">
        <v>51</v>
      </c>
      <c r="Q416" s="0" t="s">
        <v>52</v>
      </c>
      <c r="R416" s="0" t="s">
        <v>159</v>
      </c>
      <c r="S416" s="0" t="s">
        <v>75</v>
      </c>
      <c r="T416" s="0" t="s">
        <v>127</v>
      </c>
      <c r="U416" s="0" t="s">
        <v>55</v>
      </c>
      <c r="V416" s="0" t="s">
        <v>97</v>
      </c>
      <c r="W416" s="0" t="s">
        <v>113</v>
      </c>
      <c r="X416" s="0" t="s">
        <v>58</v>
      </c>
      <c r="Y416" s="0" t="s">
        <v>177</v>
      </c>
      <c r="Z416" s="0" t="s">
        <v>129</v>
      </c>
      <c r="AA416" s="0" t="s">
        <v>150</v>
      </c>
      <c r="AB416" s="0" t="s">
        <v>178</v>
      </c>
      <c r="AC416" s="0" t="s">
        <v>61</v>
      </c>
      <c r="AD416" s="0" t="s">
        <v>115</v>
      </c>
      <c r="AE416" s="0" t="s">
        <v>60</v>
      </c>
      <c r="AF416" s="1" t="n">
        <v>46019</v>
      </c>
      <c r="AG416" s="0" t="s">
        <v>82</v>
      </c>
      <c r="AJ416" s="0" t="s">
        <v>62</v>
      </c>
      <c r="AK416" s="0" t="s">
        <v>50</v>
      </c>
      <c r="AM416" s="0" t="s">
        <v>83</v>
      </c>
      <c r="AN416" s="0" t="s">
        <v>50</v>
      </c>
    </row>
    <row r="417" customFormat="false" ht="15" hidden="false" customHeight="false" outlineLevel="0" collapsed="false">
      <c r="A417" s="1" t="n">
        <v>45812</v>
      </c>
      <c r="B417" s="0" t="s">
        <v>1102</v>
      </c>
      <c r="C417" s="0" t="s">
        <v>105</v>
      </c>
      <c r="D417" s="0" t="n">
        <v>8056544270</v>
      </c>
      <c r="E417" s="0" t="s">
        <v>122</v>
      </c>
      <c r="F417" s="0" t="s">
        <v>238</v>
      </c>
      <c r="G417" s="0" t="s">
        <v>45</v>
      </c>
      <c r="H417" s="0" t="s">
        <v>135</v>
      </c>
      <c r="I417" s="0" t="s">
        <v>154</v>
      </c>
      <c r="K417" s="0" t="n">
        <v>86475</v>
      </c>
      <c r="L417" s="0" t="s">
        <v>91</v>
      </c>
      <c r="M417" s="0" t="s">
        <v>50</v>
      </c>
      <c r="N417" s="0" t="n">
        <v>1</v>
      </c>
      <c r="O417" s="0" t="n">
        <v>5.8</v>
      </c>
      <c r="P417" s="0" t="s">
        <v>92</v>
      </c>
      <c r="Q417" s="0" t="s">
        <v>52</v>
      </c>
      <c r="R417" s="0" t="s">
        <v>53</v>
      </c>
      <c r="S417" s="0" t="s">
        <v>95</v>
      </c>
      <c r="T417" s="0" t="n">
        <v>60</v>
      </c>
      <c r="U417" s="0" t="s">
        <v>160</v>
      </c>
      <c r="V417" s="0" t="s">
        <v>77</v>
      </c>
      <c r="W417" s="0" t="s">
        <v>98</v>
      </c>
      <c r="X417" s="0" t="s">
        <v>99</v>
      </c>
      <c r="Y417" s="0" t="s">
        <v>197</v>
      </c>
      <c r="Z417" s="0" t="s">
        <v>143</v>
      </c>
      <c r="AA417" s="0" t="n">
        <v>40000</v>
      </c>
      <c r="AB417" s="0" t="n">
        <v>40000</v>
      </c>
      <c r="AC417" s="0" t="s">
        <v>50</v>
      </c>
      <c r="AD417" s="0" t="s">
        <v>115</v>
      </c>
      <c r="AE417" s="0" t="s">
        <v>130</v>
      </c>
      <c r="AF417" s="0" t="s">
        <v>1103</v>
      </c>
      <c r="AG417" s="0" t="s">
        <v>63</v>
      </c>
      <c r="AH417" s="0" t="s">
        <v>116</v>
      </c>
      <c r="AI417" s="0" t="s">
        <v>101</v>
      </c>
      <c r="AJ417" s="0" t="s">
        <v>81</v>
      </c>
      <c r="AL417" s="0" t="s">
        <v>63</v>
      </c>
      <c r="AN417" s="0" t="s">
        <v>50</v>
      </c>
    </row>
    <row r="418" customFormat="false" ht="15" hidden="false" customHeight="false" outlineLevel="0" collapsed="false">
      <c r="A418" s="1" t="n">
        <v>45757</v>
      </c>
      <c r="B418" s="0" t="s">
        <v>1104</v>
      </c>
      <c r="C418" s="0" t="s">
        <v>105</v>
      </c>
      <c r="D418" s="0" t="n">
        <v>8049922892</v>
      </c>
      <c r="E418" s="0" t="s">
        <v>43</v>
      </c>
      <c r="F418" s="0" t="s">
        <v>1105</v>
      </c>
      <c r="G418" s="0" t="s">
        <v>45</v>
      </c>
      <c r="H418" s="0" t="s">
        <v>135</v>
      </c>
      <c r="I418" s="0" t="s">
        <v>47</v>
      </c>
      <c r="J418" s="0" t="s">
        <v>109</v>
      </c>
      <c r="K418" s="0" t="n">
        <v>75084</v>
      </c>
      <c r="L418" s="0" t="s">
        <v>166</v>
      </c>
      <c r="M418" s="0" t="s">
        <v>50</v>
      </c>
      <c r="N418" s="0" t="n">
        <v>2</v>
      </c>
      <c r="O418" s="0" t="n">
        <v>3.7</v>
      </c>
      <c r="Q418" s="0" t="s">
        <v>93</v>
      </c>
      <c r="R418" s="0" t="s">
        <v>159</v>
      </c>
      <c r="S418" s="0" t="s">
        <v>167</v>
      </c>
      <c r="T418" s="0" t="n">
        <v>30</v>
      </c>
      <c r="U418" s="0" t="s">
        <v>112</v>
      </c>
      <c r="V418" s="0" t="s">
        <v>155</v>
      </c>
      <c r="W418" s="0" t="s">
        <v>57</v>
      </c>
      <c r="X418" s="0" t="s">
        <v>99</v>
      </c>
      <c r="Z418" s="0" t="s">
        <v>143</v>
      </c>
      <c r="AB418" s="0" t="n">
        <v>40000</v>
      </c>
      <c r="AE418" s="0" t="s">
        <v>80</v>
      </c>
      <c r="AF418" s="1" t="n">
        <v>45971</v>
      </c>
      <c r="AG418" s="0" t="s">
        <v>63</v>
      </c>
      <c r="AI418" s="0" t="s">
        <v>101</v>
      </c>
      <c r="AK418" s="0" t="s">
        <v>63</v>
      </c>
      <c r="AM418" s="0" t="s">
        <v>83</v>
      </c>
      <c r="AN418" s="0" t="s">
        <v>50</v>
      </c>
    </row>
    <row r="419" customFormat="false" ht="15" hidden="false" customHeight="false" outlineLevel="0" collapsed="false">
      <c r="A419" s="1" t="n">
        <v>45699</v>
      </c>
      <c r="B419" s="0" t="s">
        <v>1106</v>
      </c>
      <c r="C419" s="0" t="s">
        <v>121</v>
      </c>
      <c r="D419" s="0" t="n">
        <v>8062491260</v>
      </c>
      <c r="E419" s="0" t="s">
        <v>67</v>
      </c>
      <c r="F419" s="0" t="s">
        <v>1107</v>
      </c>
      <c r="G419" s="0" t="s">
        <v>134</v>
      </c>
      <c r="H419" s="0" t="s">
        <v>176</v>
      </c>
      <c r="I419" s="0" t="s">
        <v>47</v>
      </c>
      <c r="J419" s="0" t="s">
        <v>48</v>
      </c>
      <c r="K419" s="0" t="n">
        <v>117936</v>
      </c>
      <c r="L419" s="0" t="s">
        <v>124</v>
      </c>
      <c r="M419" s="0" t="s">
        <v>50</v>
      </c>
      <c r="N419" s="0" t="n">
        <v>1</v>
      </c>
      <c r="O419" s="0" t="n">
        <v>5.3</v>
      </c>
      <c r="Q419" s="0" t="s">
        <v>52</v>
      </c>
      <c r="R419" s="0" t="s">
        <v>74</v>
      </c>
      <c r="S419" s="0" t="s">
        <v>54</v>
      </c>
      <c r="T419" s="0" t="n">
        <v>30</v>
      </c>
      <c r="U419" s="0" t="s">
        <v>112</v>
      </c>
      <c r="V419" s="0" t="s">
        <v>77</v>
      </c>
      <c r="W419" s="0" t="s">
        <v>128</v>
      </c>
      <c r="X419" s="0" t="s">
        <v>114</v>
      </c>
      <c r="Z419" s="0" t="s">
        <v>129</v>
      </c>
      <c r="AA419" s="0" t="s">
        <v>150</v>
      </c>
      <c r="AB419" s="0" t="n">
        <v>35000</v>
      </c>
      <c r="AC419" s="0" t="s">
        <v>63</v>
      </c>
      <c r="AD419" s="0" t="n">
        <v>0</v>
      </c>
      <c r="AF419" s="0" t="s">
        <v>1108</v>
      </c>
      <c r="AG419" s="0" t="s">
        <v>82</v>
      </c>
      <c r="AI419" s="0" t="s">
        <v>117</v>
      </c>
      <c r="AK419" s="0" t="s">
        <v>63</v>
      </c>
      <c r="AM419" s="0" t="s">
        <v>64</v>
      </c>
      <c r="AN419" s="0" t="s">
        <v>63</v>
      </c>
    </row>
    <row r="420" customFormat="false" ht="15" hidden="false" customHeight="false" outlineLevel="0" collapsed="false">
      <c r="A420" s="1" t="n">
        <v>45748</v>
      </c>
      <c r="B420" s="0" t="s">
        <v>1109</v>
      </c>
      <c r="C420" s="0" t="s">
        <v>121</v>
      </c>
      <c r="D420" s="0" t="n">
        <v>8092279159</v>
      </c>
      <c r="E420" s="0" t="s">
        <v>85</v>
      </c>
      <c r="F420" s="0" t="s">
        <v>1110</v>
      </c>
      <c r="G420" s="0" t="s">
        <v>87</v>
      </c>
      <c r="H420" s="0" t="s">
        <v>165</v>
      </c>
      <c r="I420" s="0" t="s">
        <v>154</v>
      </c>
      <c r="J420" s="0" t="s">
        <v>71</v>
      </c>
      <c r="K420" s="0" t="n">
        <v>12239</v>
      </c>
      <c r="L420" s="0" t="s">
        <v>91</v>
      </c>
      <c r="M420" s="0" t="s">
        <v>50</v>
      </c>
      <c r="N420" s="0" t="n">
        <v>1</v>
      </c>
      <c r="O420" s="0" t="n">
        <v>5.9</v>
      </c>
      <c r="P420" s="0" t="s">
        <v>92</v>
      </c>
      <c r="Q420" s="0" t="s">
        <v>73</v>
      </c>
      <c r="R420" s="0" t="s">
        <v>136</v>
      </c>
      <c r="S420" s="0" t="s">
        <v>75</v>
      </c>
      <c r="T420" s="0" t="n">
        <v>45</v>
      </c>
      <c r="U420" s="0" t="s">
        <v>55</v>
      </c>
      <c r="V420" s="0" t="s">
        <v>56</v>
      </c>
      <c r="W420" s="0" t="s">
        <v>78</v>
      </c>
      <c r="X420" s="0" t="s">
        <v>58</v>
      </c>
      <c r="Y420" s="0" t="s">
        <v>156</v>
      </c>
      <c r="Z420" s="0" t="s">
        <v>161</v>
      </c>
      <c r="AA420" s="0" t="s">
        <v>150</v>
      </c>
      <c r="AB420" s="0" t="s">
        <v>178</v>
      </c>
      <c r="AC420" s="0" t="s">
        <v>63</v>
      </c>
      <c r="AH420" s="0" t="s">
        <v>171</v>
      </c>
      <c r="AK420" s="0" t="s">
        <v>63</v>
      </c>
      <c r="AM420" s="0" t="s">
        <v>83</v>
      </c>
      <c r="AN420" s="0" t="s">
        <v>198</v>
      </c>
    </row>
    <row r="421" customFormat="false" ht="15" hidden="false" customHeight="false" outlineLevel="0" collapsed="false">
      <c r="A421" s="1" t="n">
        <v>45714</v>
      </c>
      <c r="B421" s="0" t="s">
        <v>1111</v>
      </c>
      <c r="C421" s="0" t="s">
        <v>121</v>
      </c>
      <c r="D421" s="0" t="n">
        <v>8033505052</v>
      </c>
      <c r="E421" s="0" t="s">
        <v>122</v>
      </c>
      <c r="F421" s="0" t="s">
        <v>1112</v>
      </c>
      <c r="G421" s="0" t="s">
        <v>107</v>
      </c>
      <c r="H421" s="0" t="s">
        <v>170</v>
      </c>
      <c r="I421" s="0" t="s">
        <v>108</v>
      </c>
      <c r="K421" s="0" t="n">
        <v>111759</v>
      </c>
      <c r="L421" s="0" t="s">
        <v>166</v>
      </c>
      <c r="M421" s="0" t="s">
        <v>63</v>
      </c>
      <c r="N421" s="0" t="n">
        <v>1</v>
      </c>
      <c r="O421" s="0" t="n">
        <v>2.5</v>
      </c>
      <c r="P421" s="0" t="s">
        <v>111</v>
      </c>
      <c r="Q421" s="0" t="s">
        <v>73</v>
      </c>
      <c r="R421" s="0" t="s">
        <v>74</v>
      </c>
      <c r="S421" s="0" t="s">
        <v>95</v>
      </c>
      <c r="T421" s="0" t="n">
        <v>30</v>
      </c>
      <c r="U421" s="0" t="s">
        <v>76</v>
      </c>
      <c r="V421" s="0" t="s">
        <v>56</v>
      </c>
      <c r="W421" s="0" t="s">
        <v>113</v>
      </c>
      <c r="X421" s="0" t="s">
        <v>137</v>
      </c>
      <c r="AA421" s="0" t="n">
        <v>25000</v>
      </c>
      <c r="AB421" s="0" t="n">
        <v>20000</v>
      </c>
      <c r="AC421" s="0" t="s">
        <v>63</v>
      </c>
      <c r="AD421" s="0" t="n">
        <v>10000</v>
      </c>
      <c r="AE421" s="0" t="s">
        <v>130</v>
      </c>
      <c r="AG421" s="0" t="s">
        <v>61</v>
      </c>
      <c r="AH421" s="0" t="s">
        <v>116</v>
      </c>
      <c r="AJ421" s="0" t="s">
        <v>81</v>
      </c>
      <c r="AK421" s="0" t="s">
        <v>61</v>
      </c>
      <c r="AL421" s="0" t="s">
        <v>102</v>
      </c>
      <c r="AM421" s="0" t="s">
        <v>103</v>
      </c>
      <c r="AN421" s="0" t="s">
        <v>50</v>
      </c>
    </row>
    <row r="422" customFormat="false" ht="15" hidden="false" customHeight="false" outlineLevel="0" collapsed="false">
      <c r="A422" s="0" t="s">
        <v>1113</v>
      </c>
      <c r="B422" s="0" t="s">
        <v>1114</v>
      </c>
      <c r="C422" s="0" t="s">
        <v>121</v>
      </c>
      <c r="D422" s="0" t="n">
        <v>8065707438</v>
      </c>
      <c r="E422" s="0" t="s">
        <v>43</v>
      </c>
      <c r="F422" s="0" t="s">
        <v>1115</v>
      </c>
      <c r="G422" s="0" t="s">
        <v>107</v>
      </c>
      <c r="H422" s="0" t="s">
        <v>170</v>
      </c>
      <c r="I422" s="0" t="s">
        <v>89</v>
      </c>
      <c r="J422" s="0" t="s">
        <v>71</v>
      </c>
      <c r="K422" s="0" t="n">
        <v>22736</v>
      </c>
      <c r="L422" s="0" t="s">
        <v>49</v>
      </c>
      <c r="M422" s="0" t="s">
        <v>63</v>
      </c>
      <c r="N422" s="0" t="n">
        <v>1</v>
      </c>
      <c r="O422" s="0" t="n">
        <v>4.2</v>
      </c>
      <c r="P422" s="0" t="s">
        <v>125</v>
      </c>
      <c r="Q422" s="0" t="s">
        <v>73</v>
      </c>
      <c r="R422" s="0" t="s">
        <v>53</v>
      </c>
      <c r="S422" s="0" t="s">
        <v>75</v>
      </c>
      <c r="T422" s="0" t="n">
        <v>60</v>
      </c>
      <c r="U422" s="0" t="s">
        <v>76</v>
      </c>
      <c r="V422" s="0" t="s">
        <v>148</v>
      </c>
      <c r="W422" s="0" t="s">
        <v>78</v>
      </c>
      <c r="X422" s="0" t="s">
        <v>58</v>
      </c>
      <c r="Y422" s="0" t="s">
        <v>197</v>
      </c>
      <c r="Z422" s="0" t="s">
        <v>143</v>
      </c>
      <c r="AB422" s="0" t="n">
        <v>20000</v>
      </c>
      <c r="AC422" s="0" t="s">
        <v>82</v>
      </c>
      <c r="AD422" s="0" t="n">
        <v>5000</v>
      </c>
      <c r="AE422" s="0" t="s">
        <v>184</v>
      </c>
      <c r="AF422" s="0" t="s">
        <v>771</v>
      </c>
      <c r="AG422" s="0" t="s">
        <v>50</v>
      </c>
      <c r="AH422" s="0" t="s">
        <v>171</v>
      </c>
      <c r="AI422" s="0" t="s">
        <v>172</v>
      </c>
      <c r="AL422" s="0" t="s">
        <v>102</v>
      </c>
      <c r="AM422" s="0" t="s">
        <v>118</v>
      </c>
      <c r="AN422" s="0" t="s">
        <v>63</v>
      </c>
    </row>
    <row r="423" customFormat="false" ht="15" hidden="false" customHeight="false" outlineLevel="0" collapsed="false">
      <c r="A423" s="0" t="s">
        <v>1116</v>
      </c>
      <c r="B423" s="0" t="s">
        <v>1117</v>
      </c>
      <c r="C423" s="0" t="s">
        <v>163</v>
      </c>
      <c r="D423" s="0" t="n">
        <v>8043438309</v>
      </c>
      <c r="E423" s="0" t="s">
        <v>43</v>
      </c>
      <c r="F423" s="0" t="s">
        <v>1118</v>
      </c>
      <c r="G423" s="0" t="s">
        <v>107</v>
      </c>
      <c r="I423" s="0" t="s">
        <v>89</v>
      </c>
      <c r="J423" s="0" t="s">
        <v>90</v>
      </c>
      <c r="K423" s="0" t="n">
        <v>39997</v>
      </c>
      <c r="L423" s="0" t="s">
        <v>49</v>
      </c>
      <c r="M423" s="0" t="s">
        <v>63</v>
      </c>
      <c r="N423" s="0" t="n">
        <v>5</v>
      </c>
      <c r="O423" s="0" t="n">
        <v>2.6</v>
      </c>
      <c r="P423" s="0" t="s">
        <v>92</v>
      </c>
      <c r="Q423" s="0" t="s">
        <v>93</v>
      </c>
      <c r="S423" s="0" t="s">
        <v>75</v>
      </c>
      <c r="T423" s="0" t="n">
        <v>15</v>
      </c>
      <c r="U423" s="0" t="s">
        <v>76</v>
      </c>
      <c r="V423" s="0" t="s">
        <v>155</v>
      </c>
      <c r="W423" s="0" t="s">
        <v>128</v>
      </c>
      <c r="X423" s="0" t="s">
        <v>114</v>
      </c>
      <c r="Z423" s="0" t="s">
        <v>149</v>
      </c>
      <c r="AA423" s="0" t="n">
        <v>15000</v>
      </c>
      <c r="AB423" s="0" t="n">
        <v>35000</v>
      </c>
      <c r="AC423" s="0" t="s">
        <v>63</v>
      </c>
      <c r="AD423" s="0" t="n">
        <v>0</v>
      </c>
      <c r="AE423" s="0" t="s">
        <v>184</v>
      </c>
      <c r="AF423" s="1" t="n">
        <v>45878</v>
      </c>
      <c r="AH423" s="0" t="s">
        <v>116</v>
      </c>
      <c r="AI423" s="0" t="s">
        <v>172</v>
      </c>
      <c r="AJ423" s="0" t="s">
        <v>81</v>
      </c>
      <c r="AK423" s="0" t="s">
        <v>50</v>
      </c>
      <c r="AL423" s="0" t="s">
        <v>102</v>
      </c>
      <c r="AM423" s="0" t="s">
        <v>83</v>
      </c>
      <c r="AN423" s="0" t="s">
        <v>63</v>
      </c>
    </row>
    <row r="424" customFormat="false" ht="15" hidden="false" customHeight="false" outlineLevel="0" collapsed="false">
      <c r="A424" s="1" t="n">
        <v>45813</v>
      </c>
      <c r="B424" s="0" t="s">
        <v>1119</v>
      </c>
      <c r="C424" s="0" t="s">
        <v>66</v>
      </c>
      <c r="D424" s="0" t="n">
        <v>8034102565</v>
      </c>
      <c r="E424" s="0" t="s">
        <v>139</v>
      </c>
      <c r="F424" s="0" t="s">
        <v>1120</v>
      </c>
      <c r="G424" s="0" t="s">
        <v>107</v>
      </c>
      <c r="H424" s="0" t="s">
        <v>146</v>
      </c>
      <c r="I424" s="0" t="s">
        <v>89</v>
      </c>
      <c r="J424" s="0" t="s">
        <v>90</v>
      </c>
      <c r="K424" s="0" t="n">
        <v>69471</v>
      </c>
      <c r="L424" s="0" t="s">
        <v>110</v>
      </c>
      <c r="M424" s="0" t="s">
        <v>63</v>
      </c>
      <c r="N424" s="0" t="n">
        <v>4</v>
      </c>
      <c r="O424" s="0" t="n">
        <v>1.6</v>
      </c>
      <c r="P424" s="0" t="s">
        <v>51</v>
      </c>
      <c r="Q424" s="0" t="s">
        <v>93</v>
      </c>
      <c r="R424" s="0" t="s">
        <v>94</v>
      </c>
      <c r="S424" s="0" t="s">
        <v>167</v>
      </c>
      <c r="T424" s="0" t="n">
        <v>15</v>
      </c>
      <c r="U424" s="0" t="s">
        <v>76</v>
      </c>
      <c r="V424" s="0" t="s">
        <v>97</v>
      </c>
      <c r="W424" s="0" t="s">
        <v>98</v>
      </c>
      <c r="X424" s="0" t="s">
        <v>196</v>
      </c>
      <c r="Y424" s="0" t="s">
        <v>59</v>
      </c>
      <c r="AA424" s="0" t="n">
        <v>40000</v>
      </c>
      <c r="AB424" s="0" t="s">
        <v>178</v>
      </c>
      <c r="AC424" s="0" t="s">
        <v>82</v>
      </c>
      <c r="AD424" s="0" t="n">
        <v>0</v>
      </c>
      <c r="AE424" s="0" t="s">
        <v>130</v>
      </c>
      <c r="AF424" s="1" t="n">
        <v>45848</v>
      </c>
      <c r="AG424" s="0" t="s">
        <v>82</v>
      </c>
      <c r="AH424" s="0" t="s">
        <v>171</v>
      </c>
      <c r="AI424" s="0" t="s">
        <v>117</v>
      </c>
      <c r="AK424" s="0" t="s">
        <v>50</v>
      </c>
      <c r="AL424" s="0" t="s">
        <v>63</v>
      </c>
      <c r="AM424" s="0" t="s">
        <v>83</v>
      </c>
      <c r="AN424" s="0" t="s">
        <v>198</v>
      </c>
    </row>
    <row r="425" customFormat="false" ht="15" hidden="false" customHeight="false" outlineLevel="0" collapsed="false">
      <c r="A425" s="1" t="n">
        <v>45758</v>
      </c>
      <c r="B425" s="0" t="s">
        <v>1121</v>
      </c>
      <c r="C425" s="0" t="s">
        <v>42</v>
      </c>
      <c r="D425" s="0" t="n">
        <v>8092911191</v>
      </c>
      <c r="E425" s="0" t="s">
        <v>43</v>
      </c>
      <c r="F425" s="0" t="s">
        <v>1122</v>
      </c>
      <c r="G425" s="0" t="s">
        <v>45</v>
      </c>
      <c r="H425" s="0" t="s">
        <v>170</v>
      </c>
      <c r="I425" s="0" t="s">
        <v>89</v>
      </c>
      <c r="J425" s="0" t="s">
        <v>90</v>
      </c>
      <c r="K425" s="0" t="n">
        <v>25551</v>
      </c>
      <c r="L425" s="0" t="s">
        <v>110</v>
      </c>
      <c r="M425" s="0" t="s">
        <v>63</v>
      </c>
      <c r="N425" s="0" t="n">
        <v>5</v>
      </c>
      <c r="O425" s="0" t="n">
        <v>4.6</v>
      </c>
      <c r="Q425" s="0" t="s">
        <v>52</v>
      </c>
      <c r="S425" s="0" t="s">
        <v>167</v>
      </c>
      <c r="T425" s="0" t="n">
        <v>15</v>
      </c>
      <c r="U425" s="0" t="s">
        <v>55</v>
      </c>
      <c r="V425" s="0" t="s">
        <v>97</v>
      </c>
      <c r="W425" s="0" t="s">
        <v>98</v>
      </c>
      <c r="X425" s="0" t="s">
        <v>58</v>
      </c>
      <c r="Y425" s="0" t="s">
        <v>156</v>
      </c>
      <c r="Z425" s="0" t="s">
        <v>129</v>
      </c>
      <c r="AA425" s="0" t="n">
        <v>30000</v>
      </c>
      <c r="AC425" s="0" t="s">
        <v>50</v>
      </c>
      <c r="AD425" s="0" t="s">
        <v>115</v>
      </c>
      <c r="AE425" s="0" t="s">
        <v>60</v>
      </c>
      <c r="AG425" s="0" t="s">
        <v>63</v>
      </c>
      <c r="AH425" s="0" t="s">
        <v>116</v>
      </c>
      <c r="AJ425" s="0" t="s">
        <v>63</v>
      </c>
      <c r="AK425" s="0" t="s">
        <v>50</v>
      </c>
      <c r="AM425" s="0" t="s">
        <v>83</v>
      </c>
      <c r="AN425" s="0" t="s">
        <v>198</v>
      </c>
    </row>
    <row r="426" customFormat="false" ht="15" hidden="false" customHeight="false" outlineLevel="0" collapsed="false">
      <c r="A426" s="1" t="n">
        <v>45795</v>
      </c>
      <c r="B426" s="0" t="s">
        <v>1123</v>
      </c>
      <c r="C426" s="0" t="s">
        <v>121</v>
      </c>
      <c r="D426" s="0" t="n">
        <v>8067992341</v>
      </c>
      <c r="E426" s="0" t="s">
        <v>43</v>
      </c>
      <c r="F426" s="0" t="s">
        <v>680</v>
      </c>
      <c r="G426" s="0" t="s">
        <v>69</v>
      </c>
      <c r="I426" s="0" t="s">
        <v>154</v>
      </c>
      <c r="J426" s="0" t="s">
        <v>71</v>
      </c>
      <c r="K426" s="0" t="n">
        <v>28596</v>
      </c>
      <c r="L426" s="0" t="s">
        <v>49</v>
      </c>
      <c r="M426" s="0" t="s">
        <v>63</v>
      </c>
      <c r="N426" s="0" t="n">
        <v>1</v>
      </c>
      <c r="O426" s="0" t="n">
        <v>1.2</v>
      </c>
      <c r="P426" s="0" t="s">
        <v>125</v>
      </c>
      <c r="Q426" s="0" t="s">
        <v>52</v>
      </c>
      <c r="R426" s="0" t="s">
        <v>74</v>
      </c>
      <c r="S426" s="0" t="s">
        <v>75</v>
      </c>
      <c r="U426" s="0" t="s">
        <v>76</v>
      </c>
      <c r="V426" s="0" t="s">
        <v>155</v>
      </c>
      <c r="W426" s="0" t="s">
        <v>98</v>
      </c>
      <c r="X426" s="0" t="s">
        <v>137</v>
      </c>
      <c r="Z426" s="0" t="s">
        <v>79</v>
      </c>
      <c r="AA426" s="0" t="n">
        <v>40000</v>
      </c>
      <c r="AB426" s="0" t="s">
        <v>178</v>
      </c>
      <c r="AC426" s="0" t="s">
        <v>61</v>
      </c>
      <c r="AD426" s="0" t="n">
        <v>10000</v>
      </c>
      <c r="AE426" s="0" t="s">
        <v>80</v>
      </c>
      <c r="AF426" s="1" t="n">
        <v>45906</v>
      </c>
      <c r="AG426" s="0" t="s">
        <v>61</v>
      </c>
      <c r="AI426" s="0" t="s">
        <v>172</v>
      </c>
      <c r="AJ426" s="0" t="s">
        <v>50</v>
      </c>
      <c r="AK426" s="0" t="s">
        <v>61</v>
      </c>
      <c r="AL426" s="0" t="s">
        <v>102</v>
      </c>
      <c r="AN426" s="0" t="s">
        <v>198</v>
      </c>
    </row>
    <row r="427" customFormat="false" ht="15" hidden="false" customHeight="false" outlineLevel="0" collapsed="false">
      <c r="A427" s="1" t="n">
        <v>45822</v>
      </c>
      <c r="B427" s="0" t="s">
        <v>1124</v>
      </c>
      <c r="C427" s="0" t="s">
        <v>105</v>
      </c>
      <c r="D427" s="0" t="n">
        <v>8071448654</v>
      </c>
      <c r="E427" s="0" t="s">
        <v>67</v>
      </c>
      <c r="F427" s="0" t="s">
        <v>1125</v>
      </c>
      <c r="G427" s="0" t="s">
        <v>45</v>
      </c>
      <c r="I427" s="0" t="s">
        <v>108</v>
      </c>
      <c r="J427" s="0" t="s">
        <v>109</v>
      </c>
      <c r="K427" s="0" t="n">
        <v>46105</v>
      </c>
      <c r="L427" s="0" t="s">
        <v>49</v>
      </c>
      <c r="M427" s="0" t="s">
        <v>63</v>
      </c>
      <c r="N427" s="0" t="n">
        <v>2</v>
      </c>
      <c r="O427" s="0" t="n">
        <v>1.3</v>
      </c>
      <c r="P427" s="0" t="s">
        <v>125</v>
      </c>
      <c r="Q427" s="0" t="s">
        <v>52</v>
      </c>
      <c r="S427" s="0" t="s">
        <v>75</v>
      </c>
      <c r="T427" s="0" t="n">
        <v>15</v>
      </c>
      <c r="U427" s="0" t="s">
        <v>96</v>
      </c>
      <c r="V427" s="0" t="s">
        <v>148</v>
      </c>
      <c r="W427" s="0" t="s">
        <v>98</v>
      </c>
      <c r="X427" s="0" t="s">
        <v>99</v>
      </c>
      <c r="Y427" s="0" t="s">
        <v>177</v>
      </c>
      <c r="Z427" s="0" t="s">
        <v>161</v>
      </c>
      <c r="AB427" s="0" t="n">
        <v>30000</v>
      </c>
      <c r="AC427" s="0" t="s">
        <v>61</v>
      </c>
      <c r="AD427" s="0" t="s">
        <v>115</v>
      </c>
      <c r="AE427" s="0" t="s">
        <v>60</v>
      </c>
      <c r="AF427" s="1" t="n">
        <v>45912</v>
      </c>
      <c r="AG427" s="0" t="s">
        <v>61</v>
      </c>
      <c r="AH427" s="0" t="s">
        <v>171</v>
      </c>
      <c r="AJ427" s="0" t="s">
        <v>62</v>
      </c>
      <c r="AK427" s="0" t="s">
        <v>82</v>
      </c>
      <c r="AM427" s="0" t="s">
        <v>103</v>
      </c>
      <c r="AN427" s="0" t="s">
        <v>50</v>
      </c>
    </row>
    <row r="428" customFormat="false" ht="15" hidden="false" customHeight="false" outlineLevel="0" collapsed="false">
      <c r="A428" s="1" t="n">
        <v>45773</v>
      </c>
      <c r="B428" s="0" t="s">
        <v>1126</v>
      </c>
      <c r="C428" s="0" t="s">
        <v>42</v>
      </c>
      <c r="D428" s="0" t="n">
        <v>8061628861</v>
      </c>
      <c r="E428" s="0" t="s">
        <v>122</v>
      </c>
      <c r="F428" s="0" t="s">
        <v>1127</v>
      </c>
      <c r="G428" s="0" t="s">
        <v>45</v>
      </c>
      <c r="H428" s="0" t="s">
        <v>170</v>
      </c>
      <c r="I428" s="0" t="s">
        <v>189</v>
      </c>
      <c r="K428" s="0" t="n">
        <v>35002</v>
      </c>
      <c r="L428" s="0" t="s">
        <v>49</v>
      </c>
      <c r="M428" s="0" t="s">
        <v>50</v>
      </c>
      <c r="O428" s="0" t="n">
        <v>3.7</v>
      </c>
      <c r="P428" s="0" t="s">
        <v>111</v>
      </c>
      <c r="Q428" s="0" t="s">
        <v>73</v>
      </c>
      <c r="S428" s="0" t="s">
        <v>126</v>
      </c>
      <c r="T428" s="0" t="n">
        <v>30</v>
      </c>
      <c r="U428" s="0" t="s">
        <v>76</v>
      </c>
      <c r="V428" s="0" t="s">
        <v>148</v>
      </c>
      <c r="W428" s="0" t="s">
        <v>128</v>
      </c>
      <c r="X428" s="0" t="s">
        <v>114</v>
      </c>
      <c r="Y428" s="0" t="s">
        <v>156</v>
      </c>
      <c r="Z428" s="0" t="s">
        <v>143</v>
      </c>
      <c r="AA428" s="0" t="n">
        <v>15000</v>
      </c>
      <c r="AB428" s="0" t="n">
        <v>40000</v>
      </c>
      <c r="AC428" s="0" t="s">
        <v>82</v>
      </c>
      <c r="AD428" s="0" t="n">
        <v>5000</v>
      </c>
      <c r="AE428" s="0" t="s">
        <v>60</v>
      </c>
      <c r="AF428" s="1" t="n">
        <v>45971</v>
      </c>
      <c r="AH428" s="0" t="s">
        <v>116</v>
      </c>
      <c r="AJ428" s="0" t="s">
        <v>63</v>
      </c>
      <c r="AK428" s="0" t="s">
        <v>50</v>
      </c>
      <c r="AL428" s="0" t="s">
        <v>63</v>
      </c>
      <c r="AM428" s="0" t="s">
        <v>118</v>
      </c>
      <c r="AN428" s="0" t="s">
        <v>190</v>
      </c>
    </row>
    <row r="429" customFormat="false" ht="15" hidden="false" customHeight="false" outlineLevel="0" collapsed="false">
      <c r="A429" s="1" t="n">
        <v>45759</v>
      </c>
      <c r="B429" s="0" t="s">
        <v>1128</v>
      </c>
      <c r="C429" s="0" t="s">
        <v>163</v>
      </c>
      <c r="D429" s="0" t="n">
        <v>8098460225</v>
      </c>
      <c r="E429" s="0" t="s">
        <v>85</v>
      </c>
      <c r="F429" s="0" t="s">
        <v>1129</v>
      </c>
      <c r="G429" s="0" t="s">
        <v>69</v>
      </c>
      <c r="H429" s="0" t="s">
        <v>272</v>
      </c>
      <c r="I429" s="0" t="s">
        <v>89</v>
      </c>
      <c r="K429" s="0" t="n">
        <v>65556</v>
      </c>
      <c r="L429" s="0" t="s">
        <v>166</v>
      </c>
      <c r="M429" s="0" t="s">
        <v>63</v>
      </c>
      <c r="N429" s="0" t="n">
        <v>3</v>
      </c>
      <c r="O429" s="0" t="n">
        <v>5.1</v>
      </c>
      <c r="P429" s="0" t="s">
        <v>51</v>
      </c>
      <c r="Q429" s="0" t="s">
        <v>73</v>
      </c>
      <c r="R429" s="0" t="s">
        <v>159</v>
      </c>
      <c r="S429" s="0" t="s">
        <v>126</v>
      </c>
      <c r="T429" s="0" t="n">
        <v>45</v>
      </c>
      <c r="U429" s="0" t="s">
        <v>96</v>
      </c>
      <c r="V429" s="0" t="s">
        <v>155</v>
      </c>
      <c r="W429" s="0" t="s">
        <v>57</v>
      </c>
      <c r="X429" s="0" t="s">
        <v>114</v>
      </c>
      <c r="Y429" s="0" t="s">
        <v>156</v>
      </c>
      <c r="AA429" s="0" t="n">
        <v>25000</v>
      </c>
      <c r="AB429" s="0" t="n">
        <v>30000</v>
      </c>
      <c r="AE429" s="0" t="s">
        <v>130</v>
      </c>
      <c r="AF429" s="1" t="n">
        <v>45881</v>
      </c>
      <c r="AG429" s="0" t="s">
        <v>82</v>
      </c>
      <c r="AH429" s="0" t="s">
        <v>171</v>
      </c>
      <c r="AI429" s="0" t="s">
        <v>101</v>
      </c>
      <c r="AK429" s="0" t="s">
        <v>61</v>
      </c>
      <c r="AL429" s="0" t="s">
        <v>50</v>
      </c>
      <c r="AM429" s="0" t="s">
        <v>103</v>
      </c>
      <c r="AN429" s="0" t="s">
        <v>50</v>
      </c>
    </row>
    <row r="430" customFormat="false" ht="15" hidden="false" customHeight="false" outlineLevel="0" collapsed="false">
      <c r="A430" s="1" t="n">
        <v>45757</v>
      </c>
      <c r="B430" s="0" t="s">
        <v>1130</v>
      </c>
      <c r="C430" s="0" t="s">
        <v>42</v>
      </c>
      <c r="D430" s="0" t="n">
        <v>8034621479</v>
      </c>
      <c r="E430" s="0" t="s">
        <v>139</v>
      </c>
      <c r="F430" s="0" t="s">
        <v>1131</v>
      </c>
      <c r="G430" s="0" t="s">
        <v>134</v>
      </c>
      <c r="H430" s="0" t="s">
        <v>165</v>
      </c>
      <c r="I430" s="0" t="s">
        <v>142</v>
      </c>
      <c r="J430" s="0" t="s">
        <v>71</v>
      </c>
      <c r="K430" s="0" t="n">
        <v>57056</v>
      </c>
      <c r="L430" s="0" t="s">
        <v>124</v>
      </c>
      <c r="M430" s="0" t="s">
        <v>50</v>
      </c>
      <c r="O430" s="0" t="n">
        <v>5</v>
      </c>
      <c r="Q430" s="0" t="s">
        <v>93</v>
      </c>
      <c r="R430" s="0" t="s">
        <v>136</v>
      </c>
      <c r="S430" s="0" t="s">
        <v>54</v>
      </c>
      <c r="T430" s="0" t="n">
        <v>60</v>
      </c>
      <c r="U430" s="0" t="s">
        <v>96</v>
      </c>
      <c r="V430" s="0" t="s">
        <v>148</v>
      </c>
      <c r="W430" s="0" t="s">
        <v>113</v>
      </c>
      <c r="X430" s="0" t="s">
        <v>58</v>
      </c>
      <c r="Y430" s="0" t="s">
        <v>59</v>
      </c>
      <c r="Z430" s="0" t="s">
        <v>149</v>
      </c>
      <c r="AA430" s="0" t="n">
        <v>25000</v>
      </c>
      <c r="AB430" s="0" t="n">
        <v>40000</v>
      </c>
      <c r="AC430" s="0" t="s">
        <v>61</v>
      </c>
      <c r="AD430" s="0" t="s">
        <v>115</v>
      </c>
      <c r="AE430" s="0" t="s">
        <v>130</v>
      </c>
      <c r="AG430" s="0" t="s">
        <v>50</v>
      </c>
      <c r="AH430" s="0" t="s">
        <v>171</v>
      </c>
      <c r="AI430" s="0" t="s">
        <v>172</v>
      </c>
      <c r="AJ430" s="0" t="s">
        <v>50</v>
      </c>
      <c r="AL430" s="0" t="s">
        <v>102</v>
      </c>
      <c r="AM430" s="0" t="s">
        <v>83</v>
      </c>
      <c r="AN430" s="0" t="s">
        <v>50</v>
      </c>
    </row>
    <row r="431" customFormat="false" ht="15" hidden="false" customHeight="false" outlineLevel="0" collapsed="false">
      <c r="A431" s="0" t="s">
        <v>173</v>
      </c>
      <c r="B431" s="0" t="s">
        <v>1132</v>
      </c>
      <c r="C431" s="0" t="s">
        <v>42</v>
      </c>
      <c r="D431" s="0" t="n">
        <v>8086318249</v>
      </c>
      <c r="E431" s="0" t="s">
        <v>67</v>
      </c>
      <c r="F431" s="0" t="s">
        <v>1133</v>
      </c>
      <c r="G431" s="0" t="s">
        <v>69</v>
      </c>
      <c r="H431" s="0" t="s">
        <v>153</v>
      </c>
      <c r="I431" s="0" t="s">
        <v>154</v>
      </c>
      <c r="J431" s="0" t="s">
        <v>48</v>
      </c>
      <c r="K431" s="0" t="n">
        <v>82049</v>
      </c>
      <c r="L431" s="0" t="s">
        <v>91</v>
      </c>
      <c r="M431" s="0" t="s">
        <v>50</v>
      </c>
      <c r="N431" s="0" t="n">
        <v>5</v>
      </c>
      <c r="O431" s="0" t="n">
        <v>5.3</v>
      </c>
      <c r="P431" s="0" t="s">
        <v>111</v>
      </c>
      <c r="Q431" s="0" t="s">
        <v>73</v>
      </c>
      <c r="R431" s="0" t="s">
        <v>74</v>
      </c>
      <c r="S431" s="0" t="s">
        <v>147</v>
      </c>
      <c r="T431" s="0" t="n">
        <v>15</v>
      </c>
      <c r="U431" s="0" t="s">
        <v>160</v>
      </c>
      <c r="V431" s="0" t="s">
        <v>56</v>
      </c>
      <c r="W431" s="0" t="s">
        <v>113</v>
      </c>
      <c r="X431" s="0" t="s">
        <v>58</v>
      </c>
      <c r="Y431" s="0" t="s">
        <v>59</v>
      </c>
      <c r="Z431" s="0" t="s">
        <v>79</v>
      </c>
      <c r="AA431" s="0" t="s">
        <v>150</v>
      </c>
      <c r="AB431" s="0" t="n">
        <v>30000</v>
      </c>
      <c r="AC431" s="0" t="s">
        <v>61</v>
      </c>
      <c r="AD431" s="0" t="n">
        <v>0</v>
      </c>
      <c r="AE431" s="0" t="s">
        <v>60</v>
      </c>
      <c r="AH431" s="0" t="s">
        <v>116</v>
      </c>
      <c r="AJ431" s="0" t="s">
        <v>63</v>
      </c>
      <c r="AK431" s="0" t="s">
        <v>50</v>
      </c>
      <c r="AL431" s="0" t="s">
        <v>63</v>
      </c>
      <c r="AM431" s="0" t="s">
        <v>64</v>
      </c>
      <c r="AN431" s="0" t="s">
        <v>63</v>
      </c>
    </row>
    <row r="432" customFormat="false" ht="15" hidden="false" customHeight="false" outlineLevel="0" collapsed="false">
      <c r="A432" s="1" t="n">
        <v>45995</v>
      </c>
      <c r="B432" s="0" t="s">
        <v>1134</v>
      </c>
      <c r="C432" s="0" t="s">
        <v>66</v>
      </c>
      <c r="D432" s="0" t="n">
        <v>8022822379</v>
      </c>
      <c r="E432" s="0" t="s">
        <v>43</v>
      </c>
      <c r="F432" s="0" t="s">
        <v>1135</v>
      </c>
      <c r="G432" s="0" t="s">
        <v>45</v>
      </c>
      <c r="H432" s="0" t="s">
        <v>170</v>
      </c>
      <c r="I432" s="0" t="s">
        <v>142</v>
      </c>
      <c r="J432" s="0" t="s">
        <v>71</v>
      </c>
      <c r="K432" s="0" t="n">
        <v>52813</v>
      </c>
      <c r="L432" s="0" t="s">
        <v>72</v>
      </c>
      <c r="M432" s="0" t="s">
        <v>50</v>
      </c>
      <c r="N432" s="0" t="n">
        <v>4</v>
      </c>
      <c r="O432" s="0" t="n">
        <v>4.6</v>
      </c>
      <c r="P432" s="0" t="s">
        <v>92</v>
      </c>
      <c r="Q432" s="0" t="s">
        <v>93</v>
      </c>
      <c r="R432" s="0" t="s">
        <v>94</v>
      </c>
      <c r="S432" s="0" t="s">
        <v>54</v>
      </c>
      <c r="T432" s="0" t="n">
        <v>15</v>
      </c>
      <c r="U432" s="0" t="s">
        <v>76</v>
      </c>
      <c r="V432" s="0" t="s">
        <v>56</v>
      </c>
      <c r="W432" s="0" t="s">
        <v>57</v>
      </c>
      <c r="X432" s="0" t="s">
        <v>99</v>
      </c>
      <c r="Z432" s="0" t="s">
        <v>161</v>
      </c>
      <c r="AA432" s="0" t="n">
        <v>40000</v>
      </c>
      <c r="AB432" s="0" t="n">
        <v>20000</v>
      </c>
      <c r="AD432" s="0" t="s">
        <v>115</v>
      </c>
      <c r="AF432" s="0" t="s">
        <v>559</v>
      </c>
      <c r="AG432" s="0" t="s">
        <v>63</v>
      </c>
      <c r="AJ432" s="0" t="s">
        <v>50</v>
      </c>
      <c r="AK432" s="0" t="s">
        <v>82</v>
      </c>
      <c r="AL432" s="0" t="s">
        <v>63</v>
      </c>
      <c r="AM432" s="0" t="s">
        <v>83</v>
      </c>
    </row>
    <row r="433" customFormat="false" ht="15" hidden="false" customHeight="false" outlineLevel="0" collapsed="false">
      <c r="A433" s="1" t="n">
        <v>45993</v>
      </c>
      <c r="B433" s="0" t="s">
        <v>1136</v>
      </c>
      <c r="C433" s="0" t="s">
        <v>66</v>
      </c>
      <c r="D433" s="0" t="n">
        <v>8062821563</v>
      </c>
      <c r="E433" s="0" t="s">
        <v>85</v>
      </c>
      <c r="F433" s="0" t="s">
        <v>1137</v>
      </c>
      <c r="G433" s="0" t="s">
        <v>107</v>
      </c>
      <c r="I433" s="0" t="s">
        <v>47</v>
      </c>
      <c r="J433" s="0" t="s">
        <v>90</v>
      </c>
      <c r="K433" s="0" t="n">
        <v>80731</v>
      </c>
      <c r="L433" s="0" t="s">
        <v>72</v>
      </c>
      <c r="M433" s="0" t="s">
        <v>63</v>
      </c>
      <c r="O433" s="0" t="n">
        <v>1.2</v>
      </c>
      <c r="P433" s="0" t="s">
        <v>92</v>
      </c>
      <c r="Q433" s="0" t="s">
        <v>52</v>
      </c>
      <c r="R433" s="0" t="s">
        <v>94</v>
      </c>
      <c r="S433" s="0" t="s">
        <v>75</v>
      </c>
      <c r="U433" s="0" t="s">
        <v>96</v>
      </c>
      <c r="V433" s="0" t="s">
        <v>56</v>
      </c>
      <c r="W433" s="0" t="s">
        <v>113</v>
      </c>
      <c r="X433" s="0" t="s">
        <v>137</v>
      </c>
      <c r="Y433" s="0" t="s">
        <v>197</v>
      </c>
      <c r="Z433" s="0" t="s">
        <v>161</v>
      </c>
      <c r="AB433" s="0" t="s">
        <v>178</v>
      </c>
      <c r="AC433" s="0" t="s">
        <v>50</v>
      </c>
      <c r="AD433" s="0" t="n">
        <v>10000</v>
      </c>
      <c r="AE433" s="0" t="s">
        <v>184</v>
      </c>
      <c r="AJ433" s="0" t="s">
        <v>50</v>
      </c>
      <c r="AK433" s="0" t="s">
        <v>82</v>
      </c>
      <c r="AL433" s="0" t="s">
        <v>63</v>
      </c>
      <c r="AM433" s="0" t="s">
        <v>103</v>
      </c>
    </row>
    <row r="434" customFormat="false" ht="15" hidden="false" customHeight="false" outlineLevel="0" collapsed="false">
      <c r="A434" s="1" t="n">
        <v>45814</v>
      </c>
      <c r="B434" s="0" t="s">
        <v>1138</v>
      </c>
      <c r="C434" s="0" t="s">
        <v>121</v>
      </c>
      <c r="D434" s="0" t="n">
        <v>8015860545</v>
      </c>
      <c r="E434" s="0" t="s">
        <v>122</v>
      </c>
      <c r="F434" s="0" t="s">
        <v>1139</v>
      </c>
      <c r="G434" s="0" t="s">
        <v>45</v>
      </c>
      <c r="H434" s="0" t="s">
        <v>176</v>
      </c>
      <c r="I434" s="0" t="s">
        <v>108</v>
      </c>
      <c r="K434" s="0" t="n">
        <v>58062</v>
      </c>
      <c r="L434" s="0" t="s">
        <v>166</v>
      </c>
      <c r="M434" s="0" t="s">
        <v>63</v>
      </c>
      <c r="N434" s="0" t="n">
        <v>5</v>
      </c>
      <c r="O434" s="0" t="n">
        <v>2.6</v>
      </c>
      <c r="P434" s="0" t="s">
        <v>125</v>
      </c>
      <c r="Q434" s="0" t="s">
        <v>52</v>
      </c>
      <c r="R434" s="0" t="s">
        <v>94</v>
      </c>
      <c r="S434" s="0" t="s">
        <v>147</v>
      </c>
      <c r="T434" s="0" t="s">
        <v>127</v>
      </c>
      <c r="U434" s="0" t="s">
        <v>55</v>
      </c>
      <c r="V434" s="0" t="s">
        <v>77</v>
      </c>
      <c r="W434" s="0" t="s">
        <v>78</v>
      </c>
      <c r="X434" s="0" t="s">
        <v>58</v>
      </c>
      <c r="Z434" s="0" t="s">
        <v>149</v>
      </c>
      <c r="AA434" s="0" t="n">
        <v>40000</v>
      </c>
      <c r="AB434" s="0" t="n">
        <v>20000</v>
      </c>
      <c r="AC434" s="0" t="s">
        <v>50</v>
      </c>
      <c r="AD434" s="0" t="s">
        <v>115</v>
      </c>
      <c r="AE434" s="0" t="s">
        <v>60</v>
      </c>
      <c r="AF434" s="1" t="n">
        <v>45881</v>
      </c>
      <c r="AG434" s="0" t="s">
        <v>61</v>
      </c>
      <c r="AI434" s="0" t="s">
        <v>101</v>
      </c>
      <c r="AJ434" s="0" t="s">
        <v>63</v>
      </c>
      <c r="AK434" s="0" t="s">
        <v>61</v>
      </c>
      <c r="AN434" s="0" t="s">
        <v>50</v>
      </c>
    </row>
    <row r="435" customFormat="false" ht="15" hidden="false" customHeight="false" outlineLevel="0" collapsed="false">
      <c r="A435" s="1" t="n">
        <v>45776</v>
      </c>
      <c r="B435" s="0" t="s">
        <v>1140</v>
      </c>
      <c r="C435" s="0" t="s">
        <v>105</v>
      </c>
      <c r="D435" s="0" t="n">
        <v>8042171352</v>
      </c>
      <c r="E435" s="0" t="s">
        <v>139</v>
      </c>
      <c r="F435" s="0" t="s">
        <v>1141</v>
      </c>
      <c r="G435" s="0" t="s">
        <v>87</v>
      </c>
      <c r="H435" s="0" t="s">
        <v>153</v>
      </c>
      <c r="I435" s="0" t="s">
        <v>89</v>
      </c>
      <c r="K435" s="0" t="n">
        <v>60773</v>
      </c>
      <c r="L435" s="0" t="s">
        <v>166</v>
      </c>
      <c r="M435" s="0" t="s">
        <v>63</v>
      </c>
      <c r="N435" s="0" t="n">
        <v>1</v>
      </c>
      <c r="O435" s="0" t="n">
        <v>5.4</v>
      </c>
      <c r="P435" s="0" t="s">
        <v>111</v>
      </c>
      <c r="Q435" s="0" t="s">
        <v>73</v>
      </c>
      <c r="R435" s="0" t="s">
        <v>74</v>
      </c>
      <c r="S435" s="0" t="s">
        <v>75</v>
      </c>
      <c r="T435" s="0" t="n">
        <v>30</v>
      </c>
      <c r="U435" s="0" t="s">
        <v>55</v>
      </c>
      <c r="V435" s="0" t="s">
        <v>77</v>
      </c>
      <c r="W435" s="0" t="s">
        <v>98</v>
      </c>
      <c r="X435" s="0" t="s">
        <v>99</v>
      </c>
      <c r="Y435" s="0" t="s">
        <v>177</v>
      </c>
      <c r="Z435" s="0" t="s">
        <v>161</v>
      </c>
      <c r="AA435" s="0" t="s">
        <v>150</v>
      </c>
      <c r="AB435" s="0" t="n">
        <v>40000</v>
      </c>
      <c r="AC435" s="0" t="s">
        <v>61</v>
      </c>
      <c r="AE435" s="0" t="s">
        <v>130</v>
      </c>
      <c r="AF435" s="0" t="s">
        <v>974</v>
      </c>
      <c r="AI435" s="0" t="s">
        <v>101</v>
      </c>
      <c r="AJ435" s="0" t="s">
        <v>81</v>
      </c>
      <c r="AK435" s="0" t="s">
        <v>50</v>
      </c>
      <c r="AM435" s="0" t="s">
        <v>64</v>
      </c>
      <c r="AN435" s="0" t="s">
        <v>190</v>
      </c>
    </row>
    <row r="436" customFormat="false" ht="15" hidden="false" customHeight="false" outlineLevel="0" collapsed="false">
      <c r="A436" s="1" t="n">
        <v>45704</v>
      </c>
      <c r="B436" s="0" t="s">
        <v>1142</v>
      </c>
      <c r="C436" s="0" t="s">
        <v>121</v>
      </c>
      <c r="D436" s="0" t="n">
        <v>8031197304</v>
      </c>
      <c r="E436" s="0" t="s">
        <v>85</v>
      </c>
      <c r="F436" s="0" t="s">
        <v>1143</v>
      </c>
      <c r="G436" s="0" t="s">
        <v>134</v>
      </c>
      <c r="I436" s="0" t="s">
        <v>189</v>
      </c>
      <c r="J436" s="0" t="s">
        <v>48</v>
      </c>
      <c r="K436" s="0" t="n">
        <v>50231</v>
      </c>
      <c r="L436" s="0" t="s">
        <v>124</v>
      </c>
      <c r="M436" s="0" t="s">
        <v>63</v>
      </c>
      <c r="O436" s="0" t="n">
        <v>2.5</v>
      </c>
      <c r="P436" s="0" t="s">
        <v>51</v>
      </c>
      <c r="Q436" s="0" t="s">
        <v>73</v>
      </c>
      <c r="R436" s="0" t="s">
        <v>74</v>
      </c>
      <c r="S436" s="0" t="s">
        <v>167</v>
      </c>
      <c r="T436" s="0" t="n">
        <v>60</v>
      </c>
      <c r="U436" s="0" t="s">
        <v>55</v>
      </c>
      <c r="V436" s="0" t="s">
        <v>97</v>
      </c>
      <c r="W436" s="0" t="s">
        <v>113</v>
      </c>
      <c r="X436" s="0" t="s">
        <v>58</v>
      </c>
      <c r="Z436" s="0" t="s">
        <v>143</v>
      </c>
      <c r="AA436" s="0" t="s">
        <v>150</v>
      </c>
      <c r="AB436" s="0" t="s">
        <v>178</v>
      </c>
      <c r="AC436" s="0" t="s">
        <v>63</v>
      </c>
      <c r="AD436" s="0" t="n">
        <v>10000</v>
      </c>
      <c r="AF436" s="1" t="n">
        <v>46010</v>
      </c>
      <c r="AG436" s="0" t="s">
        <v>50</v>
      </c>
      <c r="AI436" s="0" t="s">
        <v>172</v>
      </c>
      <c r="AJ436" s="0" t="s">
        <v>62</v>
      </c>
      <c r="AK436" s="0" t="s">
        <v>63</v>
      </c>
      <c r="AL436" s="0" t="s">
        <v>63</v>
      </c>
      <c r="AN436" s="0" t="s">
        <v>63</v>
      </c>
    </row>
    <row r="437" customFormat="false" ht="15" hidden="false" customHeight="false" outlineLevel="0" collapsed="false">
      <c r="A437" s="1" t="n">
        <v>45749</v>
      </c>
      <c r="B437" s="0" t="s">
        <v>1144</v>
      </c>
      <c r="C437" s="0" t="s">
        <v>42</v>
      </c>
      <c r="D437" s="0" t="n">
        <v>8046745629</v>
      </c>
      <c r="E437" s="0" t="s">
        <v>139</v>
      </c>
      <c r="F437" s="0" t="s">
        <v>1145</v>
      </c>
      <c r="G437" s="0" t="s">
        <v>87</v>
      </c>
      <c r="I437" s="0" t="s">
        <v>89</v>
      </c>
      <c r="J437" s="0" t="s">
        <v>71</v>
      </c>
      <c r="K437" s="0" t="n">
        <v>109951</v>
      </c>
      <c r="L437" s="0" t="s">
        <v>166</v>
      </c>
      <c r="M437" s="0" t="s">
        <v>63</v>
      </c>
      <c r="N437" s="0" t="n">
        <v>1</v>
      </c>
      <c r="O437" s="0" t="n">
        <v>4.6</v>
      </c>
      <c r="P437" s="0" t="s">
        <v>51</v>
      </c>
      <c r="Q437" s="0" t="s">
        <v>93</v>
      </c>
      <c r="R437" s="0" t="s">
        <v>53</v>
      </c>
      <c r="S437" s="0" t="s">
        <v>75</v>
      </c>
      <c r="T437" s="0" t="n">
        <v>60</v>
      </c>
      <c r="U437" s="0" t="s">
        <v>96</v>
      </c>
      <c r="V437" s="0" t="s">
        <v>97</v>
      </c>
      <c r="W437" s="0" t="s">
        <v>128</v>
      </c>
      <c r="X437" s="0" t="s">
        <v>196</v>
      </c>
      <c r="Y437" s="0" t="s">
        <v>59</v>
      </c>
      <c r="Z437" s="0" t="s">
        <v>143</v>
      </c>
      <c r="AA437" s="0" t="n">
        <v>40000</v>
      </c>
      <c r="AB437" s="0" t="n">
        <v>35000</v>
      </c>
      <c r="AC437" s="0" t="s">
        <v>82</v>
      </c>
      <c r="AE437" s="0" t="s">
        <v>184</v>
      </c>
      <c r="AF437" s="1" t="n">
        <v>45908</v>
      </c>
      <c r="AG437" s="0" t="s">
        <v>82</v>
      </c>
      <c r="AI437" s="0" t="s">
        <v>101</v>
      </c>
      <c r="AJ437" s="0" t="s">
        <v>81</v>
      </c>
      <c r="AK437" s="0" t="s">
        <v>82</v>
      </c>
      <c r="AM437" s="0" t="s">
        <v>64</v>
      </c>
      <c r="AN437" s="0" t="s">
        <v>198</v>
      </c>
    </row>
    <row r="438" customFormat="false" ht="15" hidden="false" customHeight="false" outlineLevel="0" collapsed="false">
      <c r="A438" s="1" t="n">
        <v>45740</v>
      </c>
      <c r="B438" s="0" t="s">
        <v>1146</v>
      </c>
      <c r="C438" s="0" t="s">
        <v>121</v>
      </c>
      <c r="D438" s="0" t="n">
        <v>8094299900</v>
      </c>
      <c r="E438" s="0" t="s">
        <v>122</v>
      </c>
      <c r="F438" s="0" t="s">
        <v>1147</v>
      </c>
      <c r="G438" s="0" t="s">
        <v>45</v>
      </c>
      <c r="H438" s="0" t="s">
        <v>135</v>
      </c>
      <c r="I438" s="0" t="s">
        <v>47</v>
      </c>
      <c r="J438" s="0" t="s">
        <v>109</v>
      </c>
      <c r="K438" s="0" t="n">
        <v>27083</v>
      </c>
      <c r="L438" s="0" t="s">
        <v>72</v>
      </c>
      <c r="M438" s="0" t="s">
        <v>50</v>
      </c>
      <c r="N438" s="0" t="n">
        <v>4</v>
      </c>
      <c r="O438" s="0" t="n">
        <v>2</v>
      </c>
      <c r="Q438" s="0" t="s">
        <v>52</v>
      </c>
      <c r="R438" s="0" t="s">
        <v>94</v>
      </c>
      <c r="S438" s="0" t="s">
        <v>75</v>
      </c>
      <c r="T438" s="0" t="n">
        <v>45</v>
      </c>
      <c r="U438" s="0" t="s">
        <v>96</v>
      </c>
      <c r="V438" s="0" t="s">
        <v>77</v>
      </c>
      <c r="W438" s="0" t="s">
        <v>98</v>
      </c>
      <c r="X438" s="0" t="s">
        <v>114</v>
      </c>
      <c r="Y438" s="0" t="s">
        <v>156</v>
      </c>
      <c r="Z438" s="0" t="s">
        <v>149</v>
      </c>
      <c r="AA438" s="0" t="n">
        <v>30000</v>
      </c>
      <c r="AC438" s="0" t="s">
        <v>50</v>
      </c>
      <c r="AD438" s="0" t="n">
        <v>0</v>
      </c>
      <c r="AE438" s="0" t="s">
        <v>130</v>
      </c>
      <c r="AF438" s="1" t="n">
        <v>45664</v>
      </c>
      <c r="AG438" s="0" t="s">
        <v>61</v>
      </c>
      <c r="AI438" s="0" t="s">
        <v>172</v>
      </c>
      <c r="AJ438" s="0" t="s">
        <v>62</v>
      </c>
      <c r="AL438" s="0" t="s">
        <v>63</v>
      </c>
      <c r="AM438" s="0" t="s">
        <v>83</v>
      </c>
    </row>
    <row r="439" customFormat="false" ht="15" hidden="false" customHeight="false" outlineLevel="0" collapsed="false">
      <c r="A439" s="1" t="n">
        <v>45663</v>
      </c>
      <c r="B439" s="0" t="s">
        <v>1148</v>
      </c>
      <c r="C439" s="0" t="s">
        <v>42</v>
      </c>
      <c r="D439" s="0" t="n">
        <v>8082173911</v>
      </c>
      <c r="E439" s="0" t="s">
        <v>43</v>
      </c>
      <c r="F439" s="0" t="s">
        <v>1149</v>
      </c>
      <c r="G439" s="0" t="s">
        <v>134</v>
      </c>
      <c r="H439" s="0" t="s">
        <v>272</v>
      </c>
      <c r="I439" s="0" t="s">
        <v>142</v>
      </c>
      <c r="J439" s="0" t="s">
        <v>109</v>
      </c>
      <c r="K439" s="0" t="n">
        <v>37788</v>
      </c>
      <c r="L439" s="0" t="s">
        <v>166</v>
      </c>
      <c r="M439" s="0" t="s">
        <v>63</v>
      </c>
      <c r="N439" s="0" t="n">
        <v>1</v>
      </c>
      <c r="O439" s="0" t="n">
        <v>1.3</v>
      </c>
      <c r="P439" s="0" t="s">
        <v>125</v>
      </c>
      <c r="Q439" s="0" t="s">
        <v>93</v>
      </c>
      <c r="R439" s="0" t="s">
        <v>74</v>
      </c>
      <c r="S439" s="0" t="s">
        <v>54</v>
      </c>
      <c r="T439" s="0" t="s">
        <v>127</v>
      </c>
      <c r="U439" s="0" t="s">
        <v>55</v>
      </c>
      <c r="V439" s="0" t="s">
        <v>155</v>
      </c>
      <c r="W439" s="0" t="s">
        <v>78</v>
      </c>
      <c r="X439" s="0" t="s">
        <v>58</v>
      </c>
      <c r="Z439" s="0" t="s">
        <v>149</v>
      </c>
      <c r="AA439" s="0" t="n">
        <v>25000</v>
      </c>
      <c r="AB439" s="0" t="n">
        <v>35000</v>
      </c>
      <c r="AD439" s="0" t="n">
        <v>5000</v>
      </c>
      <c r="AE439" s="0" t="s">
        <v>130</v>
      </c>
      <c r="AF439" s="1" t="n">
        <v>45883</v>
      </c>
      <c r="AG439" s="0" t="s">
        <v>61</v>
      </c>
      <c r="AH439" s="0" t="s">
        <v>116</v>
      </c>
      <c r="AI439" s="0" t="s">
        <v>117</v>
      </c>
      <c r="AJ439" s="0" t="s">
        <v>81</v>
      </c>
      <c r="AK439" s="0" t="s">
        <v>82</v>
      </c>
      <c r="AM439" s="0" t="s">
        <v>118</v>
      </c>
      <c r="AN439" s="0" t="s">
        <v>50</v>
      </c>
    </row>
    <row r="440" customFormat="false" ht="15" hidden="false" customHeight="false" outlineLevel="0" collapsed="false">
      <c r="A440" s="1" t="n">
        <v>45740</v>
      </c>
      <c r="B440" s="0" t="s">
        <v>1150</v>
      </c>
      <c r="C440" s="0" t="s">
        <v>105</v>
      </c>
      <c r="D440" s="0" t="n">
        <v>8049176757</v>
      </c>
      <c r="E440" s="0" t="s">
        <v>122</v>
      </c>
      <c r="F440" s="0" t="s">
        <v>1151</v>
      </c>
      <c r="G440" s="0" t="s">
        <v>107</v>
      </c>
      <c r="H440" s="0" t="s">
        <v>242</v>
      </c>
      <c r="I440" s="0" t="s">
        <v>189</v>
      </c>
      <c r="J440" s="0" t="s">
        <v>109</v>
      </c>
      <c r="K440" s="0" t="n">
        <v>13544</v>
      </c>
      <c r="L440" s="0" t="s">
        <v>110</v>
      </c>
      <c r="M440" s="0" t="s">
        <v>50</v>
      </c>
      <c r="N440" s="0" t="n">
        <v>4</v>
      </c>
      <c r="O440" s="0" t="n">
        <v>2.7</v>
      </c>
      <c r="Q440" s="0" t="s">
        <v>52</v>
      </c>
      <c r="R440" s="0" t="s">
        <v>94</v>
      </c>
      <c r="S440" s="0" t="s">
        <v>54</v>
      </c>
      <c r="T440" s="0" t="n">
        <v>60</v>
      </c>
      <c r="U440" s="0" t="s">
        <v>55</v>
      </c>
      <c r="V440" s="0" t="s">
        <v>77</v>
      </c>
      <c r="W440" s="0" t="s">
        <v>113</v>
      </c>
      <c r="X440" s="0" t="s">
        <v>58</v>
      </c>
      <c r="Y440" s="0" t="s">
        <v>197</v>
      </c>
      <c r="Z440" s="0" t="s">
        <v>79</v>
      </c>
      <c r="AA440" s="0" t="s">
        <v>150</v>
      </c>
      <c r="AC440" s="0" t="s">
        <v>50</v>
      </c>
      <c r="AD440" s="0" t="s">
        <v>115</v>
      </c>
      <c r="AE440" s="0" t="s">
        <v>184</v>
      </c>
      <c r="AF440" s="0" t="s">
        <v>571</v>
      </c>
      <c r="AG440" s="0" t="s">
        <v>61</v>
      </c>
      <c r="AI440" s="0" t="s">
        <v>101</v>
      </c>
      <c r="AJ440" s="0" t="s">
        <v>62</v>
      </c>
      <c r="AK440" s="0" t="s">
        <v>63</v>
      </c>
      <c r="AL440" s="0" t="s">
        <v>63</v>
      </c>
      <c r="AM440" s="0" t="s">
        <v>83</v>
      </c>
      <c r="AN440" s="0" t="s">
        <v>50</v>
      </c>
    </row>
    <row r="441" customFormat="false" ht="15" hidden="false" customHeight="false" outlineLevel="0" collapsed="false">
      <c r="A441" s="1" t="n">
        <v>45699</v>
      </c>
      <c r="B441" s="0" t="s">
        <v>1152</v>
      </c>
      <c r="C441" s="0" t="s">
        <v>163</v>
      </c>
      <c r="D441" s="0" t="n">
        <v>8099477179</v>
      </c>
      <c r="E441" s="0" t="s">
        <v>85</v>
      </c>
      <c r="F441" s="0" t="s">
        <v>1153</v>
      </c>
      <c r="G441" s="0" t="s">
        <v>87</v>
      </c>
      <c r="H441" s="0" t="s">
        <v>176</v>
      </c>
      <c r="I441" s="0" t="s">
        <v>154</v>
      </c>
      <c r="J441" s="0" t="s">
        <v>90</v>
      </c>
      <c r="K441" s="0" t="n">
        <v>43994</v>
      </c>
      <c r="L441" s="0" t="s">
        <v>124</v>
      </c>
      <c r="M441" s="0" t="s">
        <v>63</v>
      </c>
      <c r="N441" s="0" t="n">
        <v>3</v>
      </c>
      <c r="O441" s="0" t="n">
        <v>4.5</v>
      </c>
      <c r="P441" s="0" t="s">
        <v>92</v>
      </c>
      <c r="Q441" s="0" t="s">
        <v>52</v>
      </c>
      <c r="R441" s="0" t="s">
        <v>74</v>
      </c>
      <c r="S441" s="0" t="s">
        <v>147</v>
      </c>
      <c r="T441" s="0" t="n">
        <v>15</v>
      </c>
      <c r="U441" s="0" t="s">
        <v>160</v>
      </c>
      <c r="V441" s="0" t="s">
        <v>77</v>
      </c>
      <c r="W441" s="0" t="s">
        <v>78</v>
      </c>
      <c r="X441" s="0" t="s">
        <v>99</v>
      </c>
      <c r="Y441" s="0" t="s">
        <v>59</v>
      </c>
      <c r="Z441" s="0" t="s">
        <v>143</v>
      </c>
      <c r="AA441" s="0" t="n">
        <v>30000</v>
      </c>
      <c r="AB441" s="0" t="n">
        <v>20000</v>
      </c>
      <c r="AC441" s="0" t="s">
        <v>50</v>
      </c>
      <c r="AD441" s="0" t="n">
        <v>5000</v>
      </c>
      <c r="AE441" s="0" t="s">
        <v>60</v>
      </c>
      <c r="AI441" s="0" t="s">
        <v>172</v>
      </c>
      <c r="AJ441" s="0" t="s">
        <v>63</v>
      </c>
      <c r="AK441" s="0" t="s">
        <v>82</v>
      </c>
      <c r="AL441" s="0" t="s">
        <v>50</v>
      </c>
      <c r="AN441" s="0" t="s">
        <v>63</v>
      </c>
    </row>
    <row r="442" customFormat="false" ht="15" hidden="false" customHeight="false" outlineLevel="0" collapsed="false">
      <c r="A442" s="1" t="n">
        <v>45773</v>
      </c>
      <c r="B442" s="0" t="s">
        <v>1154</v>
      </c>
      <c r="C442" s="0" t="s">
        <v>42</v>
      </c>
      <c r="D442" s="0" t="n">
        <v>8018958209</v>
      </c>
      <c r="E442" s="0" t="s">
        <v>139</v>
      </c>
      <c r="F442" s="0" t="s">
        <v>320</v>
      </c>
      <c r="G442" s="0" t="s">
        <v>69</v>
      </c>
      <c r="H442" s="0" t="s">
        <v>170</v>
      </c>
      <c r="I442" s="0" t="s">
        <v>154</v>
      </c>
      <c r="J442" s="0" t="s">
        <v>109</v>
      </c>
      <c r="K442" s="0" t="n">
        <v>19823</v>
      </c>
      <c r="L442" s="0" t="s">
        <v>124</v>
      </c>
      <c r="M442" s="0" t="s">
        <v>50</v>
      </c>
      <c r="O442" s="0" t="n">
        <v>4.9</v>
      </c>
      <c r="Q442" s="0" t="s">
        <v>93</v>
      </c>
      <c r="R442" s="0" t="s">
        <v>53</v>
      </c>
      <c r="S442" s="0" t="s">
        <v>75</v>
      </c>
      <c r="T442" s="0" t="n">
        <v>15</v>
      </c>
      <c r="U442" s="0" t="s">
        <v>112</v>
      </c>
      <c r="V442" s="0" t="s">
        <v>148</v>
      </c>
      <c r="W442" s="0" t="s">
        <v>128</v>
      </c>
      <c r="X442" s="0" t="s">
        <v>58</v>
      </c>
      <c r="Z442" s="0" t="s">
        <v>161</v>
      </c>
      <c r="AA442" s="0" t="n">
        <v>40000</v>
      </c>
      <c r="AB442" s="0" t="n">
        <v>35000</v>
      </c>
      <c r="AC442" s="0" t="s">
        <v>82</v>
      </c>
      <c r="AE442" s="0" t="s">
        <v>60</v>
      </c>
      <c r="AF442" s="0" t="s">
        <v>1155</v>
      </c>
      <c r="AG442" s="0" t="s">
        <v>63</v>
      </c>
      <c r="AI442" s="0" t="s">
        <v>172</v>
      </c>
      <c r="AJ442" s="0" t="s">
        <v>62</v>
      </c>
      <c r="AK442" s="0" t="s">
        <v>61</v>
      </c>
      <c r="AL442" s="0" t="s">
        <v>63</v>
      </c>
      <c r="AM442" s="0" t="s">
        <v>103</v>
      </c>
      <c r="AN442" s="0" t="s">
        <v>63</v>
      </c>
    </row>
    <row r="443" customFormat="false" ht="15" hidden="false" customHeight="false" outlineLevel="0" collapsed="false">
      <c r="A443" s="1" t="n">
        <v>45788</v>
      </c>
      <c r="B443" s="0" t="s">
        <v>1156</v>
      </c>
      <c r="C443" s="0" t="s">
        <v>163</v>
      </c>
      <c r="D443" s="0" t="n">
        <v>8039159454</v>
      </c>
      <c r="E443" s="0" t="s">
        <v>43</v>
      </c>
      <c r="F443" s="0" t="s">
        <v>1157</v>
      </c>
      <c r="G443" s="0" t="s">
        <v>134</v>
      </c>
      <c r="H443" s="0" t="s">
        <v>135</v>
      </c>
      <c r="I443" s="0" t="s">
        <v>142</v>
      </c>
      <c r="J443" s="0" t="s">
        <v>71</v>
      </c>
      <c r="K443" s="0" t="n">
        <v>107340</v>
      </c>
      <c r="L443" s="0" t="s">
        <v>124</v>
      </c>
      <c r="M443" s="0" t="s">
        <v>50</v>
      </c>
      <c r="N443" s="0" t="n">
        <v>1</v>
      </c>
      <c r="O443" s="0" t="n">
        <v>3.5</v>
      </c>
      <c r="P443" s="0" t="s">
        <v>111</v>
      </c>
      <c r="Q443" s="0" t="s">
        <v>52</v>
      </c>
      <c r="R443" s="0" t="s">
        <v>74</v>
      </c>
      <c r="S443" s="0" t="s">
        <v>95</v>
      </c>
      <c r="T443" s="0" t="n">
        <v>30</v>
      </c>
      <c r="U443" s="0" t="s">
        <v>160</v>
      </c>
      <c r="V443" s="0" t="s">
        <v>77</v>
      </c>
      <c r="W443" s="0" t="s">
        <v>57</v>
      </c>
      <c r="X443" s="0" t="s">
        <v>196</v>
      </c>
      <c r="Y443" s="0" t="s">
        <v>156</v>
      </c>
      <c r="AA443" s="0" t="n">
        <v>40000</v>
      </c>
      <c r="AB443" s="0" t="n">
        <v>30000</v>
      </c>
      <c r="AC443" s="0" t="s">
        <v>61</v>
      </c>
      <c r="AD443" s="0" t="s">
        <v>115</v>
      </c>
      <c r="AE443" s="0" t="s">
        <v>130</v>
      </c>
      <c r="AF443" s="1" t="n">
        <v>45833</v>
      </c>
      <c r="AG443" s="0" t="s">
        <v>63</v>
      </c>
      <c r="AI443" s="0" t="s">
        <v>117</v>
      </c>
      <c r="AJ443" s="0" t="s">
        <v>62</v>
      </c>
      <c r="AK443" s="0" t="s">
        <v>61</v>
      </c>
      <c r="AL443" s="0" t="s">
        <v>63</v>
      </c>
      <c r="AM443" s="0" t="s">
        <v>64</v>
      </c>
      <c r="AN443" s="0" t="s">
        <v>198</v>
      </c>
    </row>
    <row r="444" customFormat="false" ht="15" hidden="false" customHeight="false" outlineLevel="0" collapsed="false">
      <c r="A444" s="1" t="n">
        <v>45842</v>
      </c>
      <c r="B444" s="0" t="s">
        <v>1158</v>
      </c>
      <c r="C444" s="0" t="s">
        <v>66</v>
      </c>
      <c r="D444" s="0" t="n">
        <v>8076234781</v>
      </c>
      <c r="E444" s="0" t="s">
        <v>43</v>
      </c>
      <c r="F444" s="0" t="s">
        <v>1159</v>
      </c>
      <c r="G444" s="0" t="s">
        <v>107</v>
      </c>
      <c r="H444" s="0" t="s">
        <v>146</v>
      </c>
      <c r="I444" s="0" t="s">
        <v>108</v>
      </c>
      <c r="J444" s="0" t="s">
        <v>109</v>
      </c>
      <c r="K444" s="0" t="n">
        <v>112042</v>
      </c>
      <c r="L444" s="0" t="s">
        <v>49</v>
      </c>
      <c r="M444" s="0" t="s">
        <v>63</v>
      </c>
      <c r="O444" s="0" t="n">
        <v>2.9</v>
      </c>
      <c r="P444" s="0" t="s">
        <v>125</v>
      </c>
      <c r="Q444" s="0" t="s">
        <v>73</v>
      </c>
      <c r="S444" s="0" t="s">
        <v>147</v>
      </c>
      <c r="T444" s="0" t="n">
        <v>30</v>
      </c>
      <c r="U444" s="0" t="s">
        <v>112</v>
      </c>
      <c r="V444" s="0" t="s">
        <v>56</v>
      </c>
      <c r="W444" s="0" t="s">
        <v>57</v>
      </c>
      <c r="X444" s="0" t="s">
        <v>99</v>
      </c>
      <c r="AA444" s="0" t="s">
        <v>150</v>
      </c>
      <c r="AB444" s="0" t="n">
        <v>20000</v>
      </c>
      <c r="AD444" s="0" t="s">
        <v>115</v>
      </c>
      <c r="AF444" s="1" t="n">
        <v>45996</v>
      </c>
      <c r="AG444" s="0" t="s">
        <v>61</v>
      </c>
      <c r="AJ444" s="0" t="s">
        <v>81</v>
      </c>
      <c r="AK444" s="0" t="s">
        <v>63</v>
      </c>
      <c r="AL444" s="0" t="s">
        <v>63</v>
      </c>
      <c r="AM444" s="0" t="s">
        <v>83</v>
      </c>
      <c r="AN444" s="0" t="s">
        <v>198</v>
      </c>
    </row>
    <row r="445" customFormat="false" ht="15" hidden="false" customHeight="false" outlineLevel="0" collapsed="false">
      <c r="A445" s="1" t="n">
        <v>45743</v>
      </c>
      <c r="B445" s="0" t="s">
        <v>1160</v>
      </c>
      <c r="C445" s="0" t="s">
        <v>121</v>
      </c>
      <c r="D445" s="0" t="n">
        <v>8065200819</v>
      </c>
      <c r="E445" s="0" t="s">
        <v>43</v>
      </c>
      <c r="F445" s="0" t="s">
        <v>1161</v>
      </c>
      <c r="G445" s="0" t="s">
        <v>107</v>
      </c>
      <c r="H445" s="0" t="s">
        <v>170</v>
      </c>
      <c r="I445" s="0" t="s">
        <v>47</v>
      </c>
      <c r="J445" s="0" t="s">
        <v>48</v>
      </c>
      <c r="K445" s="0" t="n">
        <v>30469</v>
      </c>
      <c r="L445" s="0" t="s">
        <v>49</v>
      </c>
      <c r="M445" s="0" t="s">
        <v>63</v>
      </c>
      <c r="N445" s="0" t="n">
        <v>2</v>
      </c>
      <c r="O445" s="0" t="n">
        <v>3</v>
      </c>
      <c r="P445" s="0" t="s">
        <v>125</v>
      </c>
      <c r="Q445" s="0" t="s">
        <v>73</v>
      </c>
      <c r="R445" s="0" t="s">
        <v>53</v>
      </c>
      <c r="S445" s="0" t="s">
        <v>95</v>
      </c>
      <c r="T445" s="0" t="n">
        <v>30</v>
      </c>
      <c r="U445" s="0" t="s">
        <v>96</v>
      </c>
      <c r="V445" s="0" t="s">
        <v>56</v>
      </c>
      <c r="W445" s="0" t="s">
        <v>78</v>
      </c>
      <c r="X445" s="0" t="s">
        <v>137</v>
      </c>
      <c r="Y445" s="0" t="s">
        <v>156</v>
      </c>
      <c r="Z445" s="0" t="s">
        <v>129</v>
      </c>
      <c r="AA445" s="0" t="s">
        <v>150</v>
      </c>
      <c r="AB445" s="0" t="s">
        <v>178</v>
      </c>
      <c r="AD445" s="0" t="n">
        <v>0</v>
      </c>
      <c r="AE445" s="0" t="s">
        <v>60</v>
      </c>
      <c r="AF445" s="1" t="n">
        <v>45985</v>
      </c>
      <c r="AJ445" s="0" t="s">
        <v>62</v>
      </c>
      <c r="AK445" s="0" t="s">
        <v>63</v>
      </c>
      <c r="AL445" s="0" t="s">
        <v>50</v>
      </c>
      <c r="AM445" s="0" t="s">
        <v>118</v>
      </c>
    </row>
    <row r="446" customFormat="false" ht="15" hidden="false" customHeight="false" outlineLevel="0" collapsed="false">
      <c r="A446" s="1" t="n">
        <v>45696</v>
      </c>
      <c r="B446" s="0" t="s">
        <v>1162</v>
      </c>
      <c r="C446" s="0" t="s">
        <v>121</v>
      </c>
      <c r="D446" s="0" t="n">
        <v>8084198767</v>
      </c>
      <c r="E446" s="0" t="s">
        <v>122</v>
      </c>
      <c r="F446" s="0" t="s">
        <v>1163</v>
      </c>
      <c r="G446" s="0" t="s">
        <v>107</v>
      </c>
      <c r="H446" s="0" t="s">
        <v>88</v>
      </c>
      <c r="I446" s="0" t="s">
        <v>108</v>
      </c>
      <c r="J446" s="0" t="s">
        <v>48</v>
      </c>
      <c r="K446" s="0" t="n">
        <v>13361</v>
      </c>
      <c r="L446" s="0" t="s">
        <v>166</v>
      </c>
      <c r="M446" s="0" t="s">
        <v>63</v>
      </c>
      <c r="N446" s="0" t="n">
        <v>5</v>
      </c>
      <c r="O446" s="0" t="n">
        <v>5.6</v>
      </c>
      <c r="P446" s="0" t="s">
        <v>125</v>
      </c>
      <c r="Q446" s="0" t="s">
        <v>73</v>
      </c>
      <c r="S446" s="0" t="s">
        <v>126</v>
      </c>
      <c r="T446" s="0" t="n">
        <v>45</v>
      </c>
      <c r="U446" s="0" t="s">
        <v>76</v>
      </c>
      <c r="V446" s="0" t="s">
        <v>56</v>
      </c>
      <c r="W446" s="0" t="s">
        <v>113</v>
      </c>
      <c r="X446" s="0" t="s">
        <v>58</v>
      </c>
      <c r="Y446" s="0" t="s">
        <v>177</v>
      </c>
      <c r="Z446" s="0" t="s">
        <v>161</v>
      </c>
      <c r="AA446" s="0" t="s">
        <v>150</v>
      </c>
      <c r="AB446" s="0" t="n">
        <v>20000</v>
      </c>
      <c r="AC446" s="0" t="s">
        <v>82</v>
      </c>
      <c r="AD446" s="0" t="n">
        <v>0</v>
      </c>
      <c r="AE446" s="0" t="s">
        <v>130</v>
      </c>
      <c r="AF446" s="1" t="n">
        <v>45858</v>
      </c>
      <c r="AG446" s="0" t="s">
        <v>50</v>
      </c>
      <c r="AI446" s="0" t="s">
        <v>101</v>
      </c>
      <c r="AK446" s="0" t="s">
        <v>61</v>
      </c>
      <c r="AM446" s="0" t="s">
        <v>103</v>
      </c>
    </row>
    <row r="447" customFormat="false" ht="15" hidden="false" customHeight="false" outlineLevel="0" collapsed="false">
      <c r="A447" s="0" t="s">
        <v>788</v>
      </c>
      <c r="B447" s="0" t="s">
        <v>1164</v>
      </c>
      <c r="C447" s="0" t="s">
        <v>163</v>
      </c>
      <c r="D447" s="0" t="n">
        <v>8026271298</v>
      </c>
      <c r="E447" s="0" t="s">
        <v>122</v>
      </c>
      <c r="F447" s="0" t="s">
        <v>1165</v>
      </c>
      <c r="G447" s="0" t="s">
        <v>107</v>
      </c>
      <c r="H447" s="0" t="s">
        <v>141</v>
      </c>
      <c r="I447" s="0" t="s">
        <v>189</v>
      </c>
      <c r="J447" s="0" t="s">
        <v>109</v>
      </c>
      <c r="K447" s="0" t="n">
        <v>28460</v>
      </c>
      <c r="L447" s="0" t="s">
        <v>91</v>
      </c>
      <c r="M447" s="0" t="s">
        <v>63</v>
      </c>
      <c r="N447" s="0" t="n">
        <v>2</v>
      </c>
      <c r="O447" s="0" t="n">
        <v>1.4</v>
      </c>
      <c r="P447" s="0" t="s">
        <v>51</v>
      </c>
      <c r="Q447" s="0" t="s">
        <v>93</v>
      </c>
      <c r="R447" s="0" t="s">
        <v>74</v>
      </c>
      <c r="S447" s="0" t="s">
        <v>54</v>
      </c>
      <c r="T447" s="0" t="n">
        <v>45</v>
      </c>
      <c r="U447" s="0" t="s">
        <v>112</v>
      </c>
      <c r="V447" s="0" t="s">
        <v>155</v>
      </c>
      <c r="W447" s="0" t="s">
        <v>57</v>
      </c>
      <c r="X447" s="0" t="s">
        <v>58</v>
      </c>
      <c r="Y447" s="0" t="s">
        <v>59</v>
      </c>
      <c r="Z447" s="0" t="s">
        <v>79</v>
      </c>
      <c r="AB447" s="0" t="n">
        <v>30000</v>
      </c>
      <c r="AC447" s="0" t="s">
        <v>63</v>
      </c>
      <c r="AD447" s="0" t="s">
        <v>115</v>
      </c>
      <c r="AE447" s="0" t="s">
        <v>80</v>
      </c>
      <c r="AG447" s="0" t="s">
        <v>82</v>
      </c>
      <c r="AI447" s="0" t="s">
        <v>117</v>
      </c>
      <c r="AJ447" s="0" t="s">
        <v>63</v>
      </c>
      <c r="AK447" s="0" t="s">
        <v>61</v>
      </c>
      <c r="AL447" s="0" t="s">
        <v>50</v>
      </c>
    </row>
    <row r="448" customFormat="false" ht="15" hidden="false" customHeight="false" outlineLevel="0" collapsed="false">
      <c r="A448" s="1" t="n">
        <v>45772</v>
      </c>
      <c r="B448" s="0" t="s">
        <v>1166</v>
      </c>
      <c r="C448" s="0" t="s">
        <v>66</v>
      </c>
      <c r="D448" s="0" t="n">
        <v>8059490380</v>
      </c>
      <c r="E448" s="0" t="s">
        <v>43</v>
      </c>
      <c r="F448" s="0" t="s">
        <v>1167</v>
      </c>
      <c r="G448" s="0" t="s">
        <v>45</v>
      </c>
      <c r="H448" s="0" t="s">
        <v>88</v>
      </c>
      <c r="I448" s="0" t="s">
        <v>47</v>
      </c>
      <c r="J448" s="0" t="s">
        <v>109</v>
      </c>
      <c r="K448" s="0" t="n">
        <v>73157</v>
      </c>
      <c r="L448" s="0" t="s">
        <v>166</v>
      </c>
      <c r="M448" s="0" t="s">
        <v>63</v>
      </c>
      <c r="N448" s="0" t="n">
        <v>3</v>
      </c>
      <c r="O448" s="0" t="n">
        <v>4.5</v>
      </c>
      <c r="P448" s="0" t="s">
        <v>92</v>
      </c>
      <c r="Q448" s="0" t="s">
        <v>93</v>
      </c>
      <c r="R448" s="0" t="s">
        <v>53</v>
      </c>
      <c r="S448" s="0" t="s">
        <v>54</v>
      </c>
      <c r="T448" s="0" t="n">
        <v>30</v>
      </c>
      <c r="U448" s="0" t="s">
        <v>160</v>
      </c>
      <c r="V448" s="0" t="s">
        <v>148</v>
      </c>
      <c r="W448" s="0" t="s">
        <v>57</v>
      </c>
      <c r="X448" s="0" t="s">
        <v>99</v>
      </c>
      <c r="Y448" s="0" t="s">
        <v>156</v>
      </c>
      <c r="Z448" s="0" t="s">
        <v>149</v>
      </c>
      <c r="AA448" s="0" t="s">
        <v>150</v>
      </c>
      <c r="AB448" s="0" t="n">
        <v>40000</v>
      </c>
      <c r="AC448" s="0" t="s">
        <v>63</v>
      </c>
      <c r="AD448" s="0" t="s">
        <v>115</v>
      </c>
      <c r="AG448" s="0" t="s">
        <v>82</v>
      </c>
      <c r="AI448" s="0" t="s">
        <v>117</v>
      </c>
      <c r="AJ448" s="0" t="s">
        <v>50</v>
      </c>
      <c r="AK448" s="0" t="s">
        <v>82</v>
      </c>
      <c r="AM448" s="0" t="s">
        <v>118</v>
      </c>
      <c r="AN448" s="0" t="s">
        <v>50</v>
      </c>
    </row>
    <row r="449" customFormat="false" ht="15" hidden="false" customHeight="false" outlineLevel="0" collapsed="false">
      <c r="A449" s="1" t="n">
        <v>45688</v>
      </c>
      <c r="B449" s="0" t="s">
        <v>1168</v>
      </c>
      <c r="C449" s="0" t="s">
        <v>66</v>
      </c>
      <c r="D449" s="0" t="n">
        <v>8020272170</v>
      </c>
      <c r="E449" s="0" t="s">
        <v>67</v>
      </c>
      <c r="F449" s="0" t="s">
        <v>1169</v>
      </c>
      <c r="G449" s="0" t="s">
        <v>45</v>
      </c>
      <c r="H449" s="0" t="s">
        <v>141</v>
      </c>
      <c r="I449" s="0" t="s">
        <v>108</v>
      </c>
      <c r="J449" s="0" t="s">
        <v>48</v>
      </c>
      <c r="K449" s="0" t="n">
        <v>17053</v>
      </c>
      <c r="L449" s="0" t="s">
        <v>166</v>
      </c>
      <c r="M449" s="0" t="s">
        <v>50</v>
      </c>
      <c r="N449" s="0" t="n">
        <v>1</v>
      </c>
      <c r="O449" s="0" t="n">
        <v>3.5</v>
      </c>
      <c r="P449" s="0" t="s">
        <v>111</v>
      </c>
      <c r="Q449" s="0" t="s">
        <v>73</v>
      </c>
      <c r="R449" s="0" t="s">
        <v>136</v>
      </c>
      <c r="S449" s="0" t="s">
        <v>95</v>
      </c>
      <c r="U449" s="0" t="s">
        <v>96</v>
      </c>
      <c r="V449" s="0" t="s">
        <v>56</v>
      </c>
      <c r="W449" s="0" t="s">
        <v>98</v>
      </c>
      <c r="X449" s="0" t="s">
        <v>114</v>
      </c>
      <c r="Y449" s="0" t="s">
        <v>197</v>
      </c>
      <c r="Z449" s="0" t="s">
        <v>149</v>
      </c>
      <c r="AA449" s="0" t="n">
        <v>40000</v>
      </c>
      <c r="AB449" s="0" t="n">
        <v>30000</v>
      </c>
      <c r="AC449" s="0" t="s">
        <v>63</v>
      </c>
      <c r="AD449" s="0" t="n">
        <v>5000</v>
      </c>
      <c r="AE449" s="0" t="s">
        <v>60</v>
      </c>
      <c r="AF449" s="1" t="n">
        <v>45968</v>
      </c>
      <c r="AG449" s="0" t="s">
        <v>61</v>
      </c>
      <c r="AH449" s="0" t="s">
        <v>171</v>
      </c>
      <c r="AI449" s="0" t="s">
        <v>101</v>
      </c>
      <c r="AJ449" s="0" t="s">
        <v>63</v>
      </c>
      <c r="AK449" s="0" t="s">
        <v>50</v>
      </c>
      <c r="AL449" s="0" t="s">
        <v>50</v>
      </c>
      <c r="AM449" s="0" t="s">
        <v>103</v>
      </c>
      <c r="AN449" s="0" t="s">
        <v>50</v>
      </c>
    </row>
    <row r="450" customFormat="false" ht="15" hidden="false" customHeight="false" outlineLevel="0" collapsed="false">
      <c r="A450" s="1" t="n">
        <v>45811</v>
      </c>
      <c r="B450" s="0" t="s">
        <v>1170</v>
      </c>
      <c r="C450" s="0" t="s">
        <v>66</v>
      </c>
      <c r="D450" s="0" t="n">
        <v>8024123001</v>
      </c>
      <c r="E450" s="0" t="s">
        <v>139</v>
      </c>
      <c r="F450" s="0" t="s">
        <v>1171</v>
      </c>
      <c r="G450" s="0" t="s">
        <v>87</v>
      </c>
      <c r="H450" s="0" t="s">
        <v>165</v>
      </c>
      <c r="I450" s="0" t="s">
        <v>47</v>
      </c>
      <c r="J450" s="0" t="s">
        <v>90</v>
      </c>
      <c r="K450" s="0" t="n">
        <v>65372</v>
      </c>
      <c r="L450" s="0" t="s">
        <v>166</v>
      </c>
      <c r="M450" s="0" t="s">
        <v>50</v>
      </c>
      <c r="N450" s="0" t="n">
        <v>5</v>
      </c>
      <c r="O450" s="0" t="n">
        <v>4</v>
      </c>
      <c r="Q450" s="0" t="s">
        <v>52</v>
      </c>
      <c r="R450" s="0" t="s">
        <v>53</v>
      </c>
      <c r="S450" s="0" t="s">
        <v>147</v>
      </c>
      <c r="T450" s="0" t="s">
        <v>127</v>
      </c>
      <c r="U450" s="0" t="s">
        <v>96</v>
      </c>
      <c r="V450" s="0" t="s">
        <v>148</v>
      </c>
      <c r="W450" s="0" t="s">
        <v>128</v>
      </c>
      <c r="X450" s="0" t="s">
        <v>137</v>
      </c>
      <c r="Y450" s="0" t="s">
        <v>156</v>
      </c>
      <c r="Z450" s="0" t="s">
        <v>143</v>
      </c>
      <c r="AA450" s="0" t="n">
        <v>15000</v>
      </c>
      <c r="AB450" s="0" t="s">
        <v>178</v>
      </c>
      <c r="AC450" s="0" t="s">
        <v>63</v>
      </c>
      <c r="AE450" s="0" t="s">
        <v>130</v>
      </c>
      <c r="AG450" s="0" t="s">
        <v>61</v>
      </c>
      <c r="AH450" s="0" t="s">
        <v>116</v>
      </c>
      <c r="AI450" s="0" t="s">
        <v>172</v>
      </c>
      <c r="AJ450" s="0" t="s">
        <v>81</v>
      </c>
      <c r="AL450" s="0" t="s">
        <v>63</v>
      </c>
      <c r="AM450" s="0" t="s">
        <v>64</v>
      </c>
      <c r="AN450" s="0" t="s">
        <v>50</v>
      </c>
    </row>
    <row r="451" customFormat="false" ht="15" hidden="false" customHeight="false" outlineLevel="0" collapsed="false">
      <c r="A451" s="1" t="n">
        <v>45785</v>
      </c>
      <c r="B451" s="0" t="s">
        <v>1172</v>
      </c>
      <c r="C451" s="0" t="s">
        <v>42</v>
      </c>
      <c r="D451" s="0" t="n">
        <v>8077698729</v>
      </c>
      <c r="E451" s="0" t="s">
        <v>43</v>
      </c>
      <c r="F451" s="0" t="s">
        <v>1173</v>
      </c>
      <c r="G451" s="0" t="s">
        <v>69</v>
      </c>
      <c r="H451" s="0" t="s">
        <v>46</v>
      </c>
      <c r="I451" s="0" t="s">
        <v>89</v>
      </c>
      <c r="J451" s="0" t="s">
        <v>71</v>
      </c>
      <c r="K451" s="0" t="n">
        <v>26136</v>
      </c>
      <c r="L451" s="0" t="s">
        <v>166</v>
      </c>
      <c r="M451" s="0" t="s">
        <v>63</v>
      </c>
      <c r="N451" s="0" t="n">
        <v>5</v>
      </c>
      <c r="O451" s="0" t="n">
        <v>3.8</v>
      </c>
      <c r="P451" s="0" t="s">
        <v>92</v>
      </c>
      <c r="Q451" s="0" t="s">
        <v>93</v>
      </c>
      <c r="R451" s="0" t="s">
        <v>74</v>
      </c>
      <c r="S451" s="0" t="s">
        <v>147</v>
      </c>
      <c r="U451" s="0" t="s">
        <v>96</v>
      </c>
      <c r="V451" s="0" t="s">
        <v>155</v>
      </c>
      <c r="W451" s="0" t="s">
        <v>57</v>
      </c>
      <c r="X451" s="0" t="s">
        <v>58</v>
      </c>
      <c r="Z451" s="0" t="s">
        <v>161</v>
      </c>
      <c r="AA451" s="0" t="s">
        <v>150</v>
      </c>
      <c r="AB451" s="0" t="n">
        <v>40000</v>
      </c>
      <c r="AC451" s="0" t="s">
        <v>82</v>
      </c>
      <c r="AD451" s="0" t="s">
        <v>115</v>
      </c>
      <c r="AE451" s="0" t="s">
        <v>184</v>
      </c>
      <c r="AG451" s="0" t="s">
        <v>61</v>
      </c>
      <c r="AI451" s="0" t="s">
        <v>101</v>
      </c>
      <c r="AM451" s="0" t="s">
        <v>64</v>
      </c>
      <c r="AN451" s="0" t="s">
        <v>50</v>
      </c>
    </row>
    <row r="452" customFormat="false" ht="15" hidden="false" customHeight="false" outlineLevel="0" collapsed="false">
      <c r="A452" s="1" t="n">
        <v>45813</v>
      </c>
      <c r="B452" s="0" t="s">
        <v>1174</v>
      </c>
      <c r="C452" s="0" t="s">
        <v>66</v>
      </c>
      <c r="D452" s="0" t="n">
        <v>8053756742</v>
      </c>
      <c r="E452" s="0" t="s">
        <v>122</v>
      </c>
      <c r="F452" s="0" t="s">
        <v>1175</v>
      </c>
      <c r="G452" s="0" t="s">
        <v>134</v>
      </c>
      <c r="H452" s="0" t="s">
        <v>170</v>
      </c>
      <c r="I452" s="0" t="s">
        <v>154</v>
      </c>
      <c r="J452" s="0" t="s">
        <v>90</v>
      </c>
      <c r="K452" s="0" t="n">
        <v>57424</v>
      </c>
      <c r="L452" s="0" t="s">
        <v>49</v>
      </c>
      <c r="M452" s="0" t="s">
        <v>63</v>
      </c>
      <c r="N452" s="0" t="n">
        <v>5</v>
      </c>
      <c r="O452" s="0" t="n">
        <v>2</v>
      </c>
      <c r="P452" s="0" t="s">
        <v>51</v>
      </c>
      <c r="Q452" s="0" t="s">
        <v>52</v>
      </c>
      <c r="R452" s="0" t="s">
        <v>94</v>
      </c>
      <c r="S452" s="0" t="s">
        <v>75</v>
      </c>
      <c r="U452" s="0" t="s">
        <v>76</v>
      </c>
      <c r="V452" s="0" t="s">
        <v>148</v>
      </c>
      <c r="W452" s="0" t="s">
        <v>78</v>
      </c>
      <c r="X452" s="0" t="s">
        <v>114</v>
      </c>
      <c r="AA452" s="0" t="n">
        <v>30000</v>
      </c>
      <c r="AB452" s="0" t="n">
        <v>35000</v>
      </c>
      <c r="AC452" s="0" t="s">
        <v>63</v>
      </c>
      <c r="AD452" s="0" t="s">
        <v>115</v>
      </c>
      <c r="AF452" s="1" t="n">
        <v>46014</v>
      </c>
      <c r="AG452" s="0" t="s">
        <v>61</v>
      </c>
      <c r="AH452" s="0" t="s">
        <v>171</v>
      </c>
      <c r="AI452" s="0" t="s">
        <v>172</v>
      </c>
      <c r="AK452" s="0" t="s">
        <v>61</v>
      </c>
      <c r="AL452" s="0" t="s">
        <v>63</v>
      </c>
      <c r="AM452" s="0" t="s">
        <v>83</v>
      </c>
      <c r="AN452" s="0" t="s">
        <v>198</v>
      </c>
    </row>
    <row r="453" customFormat="false" ht="15" hidden="false" customHeight="false" outlineLevel="0" collapsed="false">
      <c r="A453" s="1" t="n">
        <v>45693</v>
      </c>
      <c r="B453" s="0" t="s">
        <v>1176</v>
      </c>
      <c r="C453" s="0" t="s">
        <v>163</v>
      </c>
      <c r="D453" s="0" t="n">
        <v>8065042162</v>
      </c>
      <c r="E453" s="0" t="s">
        <v>122</v>
      </c>
      <c r="F453" s="0" t="s">
        <v>1177</v>
      </c>
      <c r="G453" s="0" t="s">
        <v>134</v>
      </c>
      <c r="I453" s="0" t="s">
        <v>108</v>
      </c>
      <c r="K453" s="0" t="n">
        <v>90511</v>
      </c>
      <c r="L453" s="0" t="s">
        <v>124</v>
      </c>
      <c r="M453" s="0" t="s">
        <v>50</v>
      </c>
      <c r="N453" s="0" t="n">
        <v>3</v>
      </c>
      <c r="O453" s="0" t="n">
        <v>2.2</v>
      </c>
      <c r="P453" s="0" t="s">
        <v>51</v>
      </c>
      <c r="Q453" s="0" t="s">
        <v>93</v>
      </c>
      <c r="R453" s="0" t="s">
        <v>136</v>
      </c>
      <c r="S453" s="0" t="s">
        <v>54</v>
      </c>
      <c r="T453" s="0" t="s">
        <v>127</v>
      </c>
      <c r="U453" s="0" t="s">
        <v>76</v>
      </c>
      <c r="V453" s="0" t="s">
        <v>77</v>
      </c>
      <c r="W453" s="0" t="s">
        <v>57</v>
      </c>
      <c r="X453" s="0" t="s">
        <v>114</v>
      </c>
      <c r="Y453" s="0" t="s">
        <v>197</v>
      </c>
      <c r="Z453" s="0" t="s">
        <v>161</v>
      </c>
      <c r="AA453" s="0" t="n">
        <v>25000</v>
      </c>
      <c r="AB453" s="0" t="n">
        <v>30000</v>
      </c>
      <c r="AC453" s="0" t="s">
        <v>82</v>
      </c>
      <c r="AD453" s="0" t="n">
        <v>0</v>
      </c>
      <c r="AE453" s="0" t="s">
        <v>130</v>
      </c>
      <c r="AF453" s="1" t="n">
        <v>45853</v>
      </c>
      <c r="AJ453" s="0" t="s">
        <v>81</v>
      </c>
      <c r="AK453" s="0" t="s">
        <v>50</v>
      </c>
    </row>
    <row r="454" customFormat="false" ht="15" hidden="false" customHeight="false" outlineLevel="0" collapsed="false">
      <c r="A454" s="1" t="n">
        <v>45811</v>
      </c>
      <c r="B454" s="0" t="s">
        <v>1178</v>
      </c>
      <c r="C454" s="0" t="s">
        <v>163</v>
      </c>
      <c r="D454" s="0" t="n">
        <v>8070523603</v>
      </c>
      <c r="E454" s="0" t="s">
        <v>139</v>
      </c>
      <c r="F454" s="0" t="s">
        <v>1179</v>
      </c>
      <c r="G454" s="0" t="s">
        <v>69</v>
      </c>
      <c r="H454" s="0" t="s">
        <v>165</v>
      </c>
      <c r="I454" s="0" t="s">
        <v>189</v>
      </c>
      <c r="J454" s="0" t="s">
        <v>71</v>
      </c>
      <c r="K454" s="0" t="n">
        <v>31227</v>
      </c>
      <c r="L454" s="0" t="s">
        <v>49</v>
      </c>
      <c r="M454" s="0" t="s">
        <v>50</v>
      </c>
      <c r="O454" s="0" t="n">
        <v>4.1</v>
      </c>
      <c r="P454" s="0" t="s">
        <v>92</v>
      </c>
      <c r="Q454" s="0" t="s">
        <v>73</v>
      </c>
      <c r="R454" s="0" t="s">
        <v>136</v>
      </c>
      <c r="S454" s="0" t="s">
        <v>126</v>
      </c>
      <c r="T454" s="0" t="n">
        <v>30</v>
      </c>
      <c r="U454" s="0" t="s">
        <v>160</v>
      </c>
      <c r="V454" s="0" t="s">
        <v>155</v>
      </c>
      <c r="W454" s="0" t="s">
        <v>128</v>
      </c>
      <c r="X454" s="0" t="s">
        <v>114</v>
      </c>
      <c r="Z454" s="0" t="s">
        <v>161</v>
      </c>
      <c r="AA454" s="0" t="s">
        <v>150</v>
      </c>
      <c r="AB454" s="0" t="n">
        <v>30000</v>
      </c>
      <c r="AD454" s="0" t="n">
        <v>5000</v>
      </c>
      <c r="AE454" s="0" t="s">
        <v>130</v>
      </c>
      <c r="AF454" s="0" t="s">
        <v>1180</v>
      </c>
      <c r="AG454" s="0" t="s">
        <v>82</v>
      </c>
      <c r="AI454" s="0" t="s">
        <v>117</v>
      </c>
      <c r="AJ454" s="0" t="s">
        <v>63</v>
      </c>
      <c r="AK454" s="0" t="s">
        <v>82</v>
      </c>
      <c r="AL454" s="0" t="s">
        <v>50</v>
      </c>
      <c r="AM454" s="0" t="s">
        <v>64</v>
      </c>
      <c r="AN454" s="0" t="s">
        <v>50</v>
      </c>
    </row>
    <row r="455" customFormat="false" ht="15" hidden="false" customHeight="false" outlineLevel="0" collapsed="false">
      <c r="A455" s="1" t="n">
        <v>45750</v>
      </c>
      <c r="B455" s="0" t="s">
        <v>1181</v>
      </c>
      <c r="C455" s="0" t="s">
        <v>105</v>
      </c>
      <c r="D455" s="0" t="n">
        <v>8032124330</v>
      </c>
      <c r="E455" s="0" t="s">
        <v>139</v>
      </c>
      <c r="F455" s="0" t="s">
        <v>1182</v>
      </c>
      <c r="G455" s="0" t="s">
        <v>134</v>
      </c>
      <c r="H455" s="0" t="s">
        <v>70</v>
      </c>
      <c r="I455" s="0" t="s">
        <v>108</v>
      </c>
      <c r="J455" s="0" t="s">
        <v>90</v>
      </c>
      <c r="K455" s="0" t="n">
        <v>72824</v>
      </c>
      <c r="L455" s="0" t="s">
        <v>110</v>
      </c>
      <c r="M455" s="0" t="s">
        <v>50</v>
      </c>
      <c r="N455" s="0" t="n">
        <v>3</v>
      </c>
      <c r="O455" s="0" t="n">
        <v>4.5</v>
      </c>
      <c r="P455" s="0" t="s">
        <v>111</v>
      </c>
      <c r="Q455" s="0" t="s">
        <v>93</v>
      </c>
      <c r="R455" s="0" t="s">
        <v>53</v>
      </c>
      <c r="S455" s="0" t="s">
        <v>95</v>
      </c>
      <c r="T455" s="0" t="s">
        <v>127</v>
      </c>
      <c r="U455" s="0" t="s">
        <v>76</v>
      </c>
      <c r="V455" s="0" t="s">
        <v>77</v>
      </c>
      <c r="W455" s="0" t="s">
        <v>98</v>
      </c>
      <c r="X455" s="0" t="s">
        <v>137</v>
      </c>
      <c r="Z455" s="0" t="s">
        <v>161</v>
      </c>
      <c r="AB455" s="0" t="n">
        <v>20000</v>
      </c>
      <c r="AC455" s="0" t="s">
        <v>63</v>
      </c>
      <c r="AD455" s="0" t="n">
        <v>10000</v>
      </c>
      <c r="AF455" s="1" t="n">
        <v>45971</v>
      </c>
      <c r="AH455" s="0" t="s">
        <v>116</v>
      </c>
      <c r="AI455" s="0" t="s">
        <v>172</v>
      </c>
      <c r="AJ455" s="0" t="s">
        <v>81</v>
      </c>
      <c r="AK455" s="0" t="s">
        <v>82</v>
      </c>
      <c r="AL455" s="0" t="s">
        <v>63</v>
      </c>
      <c r="AM455" s="0" t="s">
        <v>103</v>
      </c>
      <c r="AN455" s="0" t="s">
        <v>198</v>
      </c>
    </row>
    <row r="456" customFormat="false" ht="15" hidden="false" customHeight="false" outlineLevel="0" collapsed="false">
      <c r="A456" s="1" t="n">
        <v>45816</v>
      </c>
      <c r="B456" s="0" t="s">
        <v>1183</v>
      </c>
      <c r="C456" s="0" t="s">
        <v>121</v>
      </c>
      <c r="D456" s="0" t="n">
        <v>8043925761</v>
      </c>
      <c r="E456" s="0" t="s">
        <v>67</v>
      </c>
      <c r="F456" s="0" t="s">
        <v>1184</v>
      </c>
      <c r="G456" s="0" t="s">
        <v>107</v>
      </c>
      <c r="H456" s="0" t="s">
        <v>70</v>
      </c>
      <c r="I456" s="0" t="s">
        <v>89</v>
      </c>
      <c r="J456" s="0" t="s">
        <v>71</v>
      </c>
      <c r="K456" s="0" t="n">
        <v>40252</v>
      </c>
      <c r="L456" s="0" t="s">
        <v>49</v>
      </c>
      <c r="M456" s="0" t="s">
        <v>50</v>
      </c>
      <c r="N456" s="0" t="n">
        <v>2</v>
      </c>
      <c r="O456" s="0" t="n">
        <v>4.1</v>
      </c>
      <c r="P456" s="0" t="s">
        <v>51</v>
      </c>
      <c r="Q456" s="0" t="s">
        <v>93</v>
      </c>
      <c r="S456" s="0" t="s">
        <v>147</v>
      </c>
      <c r="T456" s="0" t="n">
        <v>45</v>
      </c>
      <c r="U456" s="0" t="s">
        <v>55</v>
      </c>
      <c r="V456" s="0" t="s">
        <v>148</v>
      </c>
      <c r="W456" s="0" t="s">
        <v>128</v>
      </c>
      <c r="X456" s="0" t="s">
        <v>58</v>
      </c>
      <c r="Y456" s="0" t="s">
        <v>197</v>
      </c>
      <c r="Z456" s="0" t="s">
        <v>129</v>
      </c>
      <c r="AB456" s="0" t="n">
        <v>30000</v>
      </c>
      <c r="AC456" s="0" t="s">
        <v>50</v>
      </c>
      <c r="AE456" s="0" t="s">
        <v>60</v>
      </c>
      <c r="AF456" s="1" t="n">
        <v>46016</v>
      </c>
      <c r="AG456" s="0" t="s">
        <v>50</v>
      </c>
      <c r="AI456" s="0" t="s">
        <v>172</v>
      </c>
      <c r="AJ456" s="0" t="s">
        <v>50</v>
      </c>
      <c r="AL456" s="0" t="s">
        <v>50</v>
      </c>
      <c r="AM456" s="0" t="s">
        <v>83</v>
      </c>
    </row>
    <row r="457" customFormat="false" ht="15" hidden="false" customHeight="false" outlineLevel="0" collapsed="false">
      <c r="A457" s="1" t="n">
        <v>45670</v>
      </c>
      <c r="B457" s="0" t="s">
        <v>1185</v>
      </c>
      <c r="C457" s="0" t="s">
        <v>121</v>
      </c>
      <c r="D457" s="0" t="n">
        <v>8037833011</v>
      </c>
      <c r="E457" s="0" t="s">
        <v>122</v>
      </c>
      <c r="F457" s="0" t="s">
        <v>1186</v>
      </c>
      <c r="G457" s="0" t="s">
        <v>134</v>
      </c>
      <c r="H457" s="0" t="s">
        <v>176</v>
      </c>
      <c r="I457" s="0" t="s">
        <v>89</v>
      </c>
      <c r="J457" s="0" t="s">
        <v>109</v>
      </c>
      <c r="K457" s="0" t="n">
        <v>83076</v>
      </c>
      <c r="L457" s="0" t="s">
        <v>72</v>
      </c>
      <c r="M457" s="0" t="s">
        <v>50</v>
      </c>
      <c r="N457" s="0" t="n">
        <v>5</v>
      </c>
      <c r="O457" s="0" t="n">
        <v>3.7</v>
      </c>
      <c r="P457" s="0" t="s">
        <v>125</v>
      </c>
      <c r="Q457" s="0" t="s">
        <v>93</v>
      </c>
      <c r="R457" s="0" t="s">
        <v>53</v>
      </c>
      <c r="S457" s="0" t="s">
        <v>95</v>
      </c>
      <c r="T457" s="0" t="n">
        <v>60</v>
      </c>
      <c r="U457" s="0" t="s">
        <v>160</v>
      </c>
      <c r="V457" s="0" t="s">
        <v>56</v>
      </c>
      <c r="W457" s="0" t="s">
        <v>57</v>
      </c>
      <c r="X457" s="0" t="s">
        <v>58</v>
      </c>
      <c r="Z457" s="0" t="s">
        <v>129</v>
      </c>
      <c r="AA457" s="0" t="n">
        <v>40000</v>
      </c>
      <c r="AB457" s="0" t="s">
        <v>178</v>
      </c>
      <c r="AE457" s="0" t="s">
        <v>130</v>
      </c>
      <c r="AF457" s="1" t="n">
        <v>45845</v>
      </c>
      <c r="AG457" s="0" t="s">
        <v>61</v>
      </c>
      <c r="AH457" s="0" t="s">
        <v>171</v>
      </c>
      <c r="AI457" s="0" t="s">
        <v>101</v>
      </c>
      <c r="AK457" s="0" t="s">
        <v>63</v>
      </c>
      <c r="AL457" s="0" t="s">
        <v>102</v>
      </c>
    </row>
    <row r="458" customFormat="false" ht="15" hidden="false" customHeight="false" outlineLevel="0" collapsed="false">
      <c r="A458" s="1" t="n">
        <v>45747</v>
      </c>
      <c r="B458" s="0" t="s">
        <v>1187</v>
      </c>
      <c r="C458" s="0" t="s">
        <v>105</v>
      </c>
      <c r="D458" s="0" t="n">
        <v>8077922837</v>
      </c>
      <c r="E458" s="0" t="s">
        <v>85</v>
      </c>
      <c r="F458" s="0" t="s">
        <v>1188</v>
      </c>
      <c r="G458" s="0" t="s">
        <v>45</v>
      </c>
      <c r="H458" s="0" t="s">
        <v>141</v>
      </c>
      <c r="I458" s="0" t="s">
        <v>89</v>
      </c>
      <c r="J458" s="0" t="s">
        <v>109</v>
      </c>
      <c r="K458" s="0" t="n">
        <v>74861</v>
      </c>
      <c r="L458" s="0" t="s">
        <v>72</v>
      </c>
      <c r="M458" s="0" t="s">
        <v>50</v>
      </c>
      <c r="N458" s="0" t="n">
        <v>3</v>
      </c>
      <c r="O458" s="0" t="n">
        <v>5.9</v>
      </c>
      <c r="P458" s="0" t="s">
        <v>125</v>
      </c>
      <c r="Q458" s="0" t="s">
        <v>73</v>
      </c>
      <c r="R458" s="0" t="s">
        <v>159</v>
      </c>
      <c r="S458" s="0" t="s">
        <v>126</v>
      </c>
      <c r="T458" s="0" t="n">
        <v>15</v>
      </c>
      <c r="U458" s="0" t="s">
        <v>96</v>
      </c>
      <c r="V458" s="0" t="s">
        <v>77</v>
      </c>
      <c r="W458" s="0" t="s">
        <v>128</v>
      </c>
      <c r="X458" s="0" t="s">
        <v>58</v>
      </c>
      <c r="Y458" s="0" t="s">
        <v>197</v>
      </c>
      <c r="Z458" s="0" t="s">
        <v>149</v>
      </c>
      <c r="AA458" s="0" t="n">
        <v>25000</v>
      </c>
      <c r="AB458" s="0" t="n">
        <v>40000</v>
      </c>
      <c r="AC458" s="0" t="s">
        <v>61</v>
      </c>
      <c r="AD458" s="0" t="n">
        <v>5000</v>
      </c>
      <c r="AE458" s="0" t="s">
        <v>184</v>
      </c>
      <c r="AF458" s="1" t="n">
        <v>45978</v>
      </c>
      <c r="AG458" s="0" t="s">
        <v>63</v>
      </c>
      <c r="AH458" s="0" t="s">
        <v>171</v>
      </c>
      <c r="AM458" s="0" t="s">
        <v>83</v>
      </c>
      <c r="AN458" s="0" t="s">
        <v>63</v>
      </c>
    </row>
    <row r="459" customFormat="false" ht="15" hidden="false" customHeight="false" outlineLevel="0" collapsed="false">
      <c r="A459" s="1" t="n">
        <v>45753</v>
      </c>
      <c r="B459" s="0" t="s">
        <v>1189</v>
      </c>
      <c r="C459" s="0" t="s">
        <v>163</v>
      </c>
      <c r="D459" s="0" t="n">
        <v>8015990830</v>
      </c>
      <c r="E459" s="0" t="s">
        <v>85</v>
      </c>
      <c r="F459" s="0" t="s">
        <v>1190</v>
      </c>
      <c r="G459" s="0" t="s">
        <v>45</v>
      </c>
      <c r="H459" s="0" t="s">
        <v>165</v>
      </c>
      <c r="I459" s="0" t="s">
        <v>47</v>
      </c>
      <c r="J459" s="0" t="s">
        <v>71</v>
      </c>
      <c r="K459" s="0" t="n">
        <v>46428</v>
      </c>
      <c r="L459" s="0" t="s">
        <v>124</v>
      </c>
      <c r="M459" s="0" t="s">
        <v>63</v>
      </c>
      <c r="O459" s="0" t="n">
        <v>5.9</v>
      </c>
      <c r="P459" s="0" t="s">
        <v>92</v>
      </c>
      <c r="Q459" s="0" t="s">
        <v>73</v>
      </c>
      <c r="R459" s="0" t="s">
        <v>136</v>
      </c>
      <c r="S459" s="0" t="s">
        <v>126</v>
      </c>
      <c r="T459" s="0" t="n">
        <v>45</v>
      </c>
      <c r="U459" s="0" t="s">
        <v>160</v>
      </c>
      <c r="V459" s="0" t="s">
        <v>97</v>
      </c>
      <c r="W459" s="0" t="s">
        <v>78</v>
      </c>
      <c r="X459" s="0" t="s">
        <v>137</v>
      </c>
      <c r="Y459" s="0" t="s">
        <v>156</v>
      </c>
      <c r="AA459" s="0" t="n">
        <v>15000</v>
      </c>
      <c r="AB459" s="0" t="n">
        <v>30000</v>
      </c>
      <c r="AC459" s="0" t="s">
        <v>61</v>
      </c>
      <c r="AD459" s="0" t="n">
        <v>10000</v>
      </c>
      <c r="AE459" s="0" t="s">
        <v>184</v>
      </c>
      <c r="AH459" s="0" t="s">
        <v>171</v>
      </c>
      <c r="AJ459" s="0" t="s">
        <v>62</v>
      </c>
      <c r="AN459" s="0" t="s">
        <v>50</v>
      </c>
    </row>
    <row r="460" customFormat="false" ht="15" hidden="false" customHeight="false" outlineLevel="0" collapsed="false">
      <c r="A460" s="0" t="s">
        <v>173</v>
      </c>
      <c r="B460" s="0" t="s">
        <v>1191</v>
      </c>
      <c r="C460" s="0" t="s">
        <v>163</v>
      </c>
      <c r="D460" s="0" t="n">
        <v>8072031070</v>
      </c>
      <c r="E460" s="0" t="s">
        <v>67</v>
      </c>
      <c r="F460" s="0" t="s">
        <v>1192</v>
      </c>
      <c r="G460" s="0" t="s">
        <v>87</v>
      </c>
      <c r="H460" s="0" t="s">
        <v>46</v>
      </c>
      <c r="I460" s="0" t="s">
        <v>142</v>
      </c>
      <c r="J460" s="0" t="s">
        <v>71</v>
      </c>
      <c r="K460" s="0" t="n">
        <v>17904</v>
      </c>
      <c r="L460" s="0" t="s">
        <v>166</v>
      </c>
      <c r="M460" s="0" t="s">
        <v>50</v>
      </c>
      <c r="N460" s="0" t="n">
        <v>1</v>
      </c>
      <c r="O460" s="0" t="n">
        <v>5.2</v>
      </c>
      <c r="P460" s="0" t="s">
        <v>125</v>
      </c>
      <c r="Q460" s="0" t="s">
        <v>52</v>
      </c>
      <c r="R460" s="0" t="s">
        <v>94</v>
      </c>
      <c r="S460" s="0" t="s">
        <v>75</v>
      </c>
      <c r="T460" s="0" t="n">
        <v>15</v>
      </c>
      <c r="U460" s="0" t="s">
        <v>160</v>
      </c>
      <c r="V460" s="0" t="s">
        <v>148</v>
      </c>
      <c r="W460" s="0" t="s">
        <v>78</v>
      </c>
      <c r="X460" s="0" t="s">
        <v>196</v>
      </c>
      <c r="Z460" s="0" t="s">
        <v>79</v>
      </c>
      <c r="AA460" s="0" t="n">
        <v>40000</v>
      </c>
      <c r="AB460" s="0" t="n">
        <v>40000</v>
      </c>
      <c r="AC460" s="0" t="s">
        <v>82</v>
      </c>
      <c r="AD460" s="0" t="s">
        <v>115</v>
      </c>
      <c r="AF460" s="1" t="n">
        <v>45951</v>
      </c>
      <c r="AG460" s="0" t="s">
        <v>82</v>
      </c>
      <c r="AH460" s="0" t="s">
        <v>116</v>
      </c>
      <c r="AI460" s="0" t="s">
        <v>117</v>
      </c>
      <c r="AJ460" s="0" t="s">
        <v>81</v>
      </c>
      <c r="AK460" s="0" t="s">
        <v>61</v>
      </c>
      <c r="AM460" s="0" t="s">
        <v>64</v>
      </c>
      <c r="AN460" s="0" t="s">
        <v>198</v>
      </c>
    </row>
    <row r="461" customFormat="false" ht="15" hidden="false" customHeight="false" outlineLevel="0" collapsed="false">
      <c r="A461" s="1" t="n">
        <v>45730</v>
      </c>
      <c r="B461" s="0" t="s">
        <v>1193</v>
      </c>
      <c r="C461" s="0" t="s">
        <v>163</v>
      </c>
      <c r="D461" s="0" t="n">
        <v>8013586013</v>
      </c>
      <c r="E461" s="0" t="s">
        <v>139</v>
      </c>
      <c r="F461" s="0" t="s">
        <v>1194</v>
      </c>
      <c r="G461" s="0" t="s">
        <v>107</v>
      </c>
      <c r="H461" s="0" t="s">
        <v>242</v>
      </c>
      <c r="I461" s="0" t="s">
        <v>189</v>
      </c>
      <c r="K461" s="0" t="n">
        <v>31804</v>
      </c>
      <c r="L461" s="0" t="s">
        <v>49</v>
      </c>
      <c r="M461" s="0" t="s">
        <v>63</v>
      </c>
      <c r="N461" s="0" t="n">
        <v>4</v>
      </c>
      <c r="O461" s="0" t="n">
        <v>3.2</v>
      </c>
      <c r="P461" s="0" t="s">
        <v>125</v>
      </c>
      <c r="Q461" s="0" t="s">
        <v>93</v>
      </c>
      <c r="R461" s="0" t="s">
        <v>159</v>
      </c>
      <c r="S461" s="0" t="s">
        <v>95</v>
      </c>
      <c r="T461" s="0" t="n">
        <v>60</v>
      </c>
      <c r="U461" s="0" t="s">
        <v>76</v>
      </c>
      <c r="V461" s="0" t="s">
        <v>148</v>
      </c>
      <c r="W461" s="0" t="s">
        <v>78</v>
      </c>
      <c r="X461" s="0" t="s">
        <v>137</v>
      </c>
      <c r="Y461" s="0" t="s">
        <v>59</v>
      </c>
      <c r="Z461" s="0" t="s">
        <v>79</v>
      </c>
      <c r="AA461" s="0" t="s">
        <v>150</v>
      </c>
      <c r="AB461" s="0" t="n">
        <v>40000</v>
      </c>
      <c r="AC461" s="0" t="s">
        <v>82</v>
      </c>
      <c r="AE461" s="0" t="s">
        <v>184</v>
      </c>
      <c r="AF461" s="0" t="s">
        <v>816</v>
      </c>
      <c r="AG461" s="0" t="s">
        <v>50</v>
      </c>
      <c r="AJ461" s="0" t="s">
        <v>63</v>
      </c>
      <c r="AK461" s="0" t="s">
        <v>63</v>
      </c>
      <c r="AL461" s="0" t="s">
        <v>102</v>
      </c>
      <c r="AM461" s="0" t="s">
        <v>83</v>
      </c>
      <c r="AN461" s="0" t="s">
        <v>198</v>
      </c>
    </row>
    <row r="462" customFormat="false" ht="15" hidden="false" customHeight="false" outlineLevel="0" collapsed="false">
      <c r="A462" s="1" t="n">
        <v>45810</v>
      </c>
      <c r="B462" s="0" t="s">
        <v>1195</v>
      </c>
      <c r="C462" s="0" t="s">
        <v>121</v>
      </c>
      <c r="D462" s="0" t="n">
        <v>8019824132</v>
      </c>
      <c r="E462" s="0" t="s">
        <v>122</v>
      </c>
      <c r="F462" s="0" t="s">
        <v>1196</v>
      </c>
      <c r="G462" s="0" t="s">
        <v>134</v>
      </c>
      <c r="H462" s="0" t="s">
        <v>242</v>
      </c>
      <c r="I462" s="0" t="s">
        <v>189</v>
      </c>
      <c r="J462" s="0" t="s">
        <v>109</v>
      </c>
      <c r="K462" s="0" t="n">
        <v>88520</v>
      </c>
      <c r="L462" s="0" t="s">
        <v>110</v>
      </c>
      <c r="M462" s="0" t="s">
        <v>50</v>
      </c>
      <c r="N462" s="0" t="n">
        <v>1</v>
      </c>
      <c r="O462" s="0" t="n">
        <v>2.8</v>
      </c>
      <c r="P462" s="0" t="s">
        <v>92</v>
      </c>
      <c r="Q462" s="0" t="s">
        <v>73</v>
      </c>
      <c r="S462" s="0" t="s">
        <v>126</v>
      </c>
      <c r="T462" s="0" t="n">
        <v>60</v>
      </c>
      <c r="U462" s="0" t="s">
        <v>76</v>
      </c>
      <c r="V462" s="0" t="s">
        <v>155</v>
      </c>
      <c r="W462" s="0" t="s">
        <v>128</v>
      </c>
      <c r="X462" s="0" t="s">
        <v>58</v>
      </c>
      <c r="Z462" s="0" t="s">
        <v>149</v>
      </c>
      <c r="AA462" s="0" t="n">
        <v>15000</v>
      </c>
      <c r="AB462" s="0" t="s">
        <v>178</v>
      </c>
      <c r="AC462" s="0" t="s">
        <v>63</v>
      </c>
      <c r="AE462" s="0" t="s">
        <v>80</v>
      </c>
      <c r="AF462" s="0" t="s">
        <v>1197</v>
      </c>
      <c r="AH462" s="0" t="s">
        <v>116</v>
      </c>
      <c r="AJ462" s="0" t="s">
        <v>62</v>
      </c>
      <c r="AN462" s="0" t="s">
        <v>50</v>
      </c>
    </row>
    <row r="463" customFormat="false" ht="15" hidden="false" customHeight="false" outlineLevel="0" collapsed="false">
      <c r="A463" s="1" t="n">
        <v>45774</v>
      </c>
      <c r="B463" s="0" t="s">
        <v>1198</v>
      </c>
      <c r="C463" s="0" t="s">
        <v>66</v>
      </c>
      <c r="D463" s="0" t="n">
        <v>8095747226</v>
      </c>
      <c r="E463" s="0" t="s">
        <v>139</v>
      </c>
      <c r="F463" s="0" t="s">
        <v>1199</v>
      </c>
      <c r="G463" s="0" t="s">
        <v>45</v>
      </c>
      <c r="H463" s="0" t="s">
        <v>153</v>
      </c>
      <c r="I463" s="0" t="s">
        <v>89</v>
      </c>
      <c r="J463" s="0" t="s">
        <v>71</v>
      </c>
      <c r="K463" s="0" t="n">
        <v>91189</v>
      </c>
      <c r="L463" s="0" t="s">
        <v>124</v>
      </c>
      <c r="M463" s="0" t="s">
        <v>63</v>
      </c>
      <c r="N463" s="0" t="n">
        <v>2</v>
      </c>
      <c r="O463" s="0" t="n">
        <v>5.8</v>
      </c>
      <c r="P463" s="0" t="s">
        <v>92</v>
      </c>
      <c r="Q463" s="0" t="s">
        <v>93</v>
      </c>
      <c r="R463" s="0" t="s">
        <v>94</v>
      </c>
      <c r="S463" s="0" t="s">
        <v>167</v>
      </c>
      <c r="T463" s="0" t="s">
        <v>127</v>
      </c>
      <c r="U463" s="0" t="s">
        <v>55</v>
      </c>
      <c r="V463" s="0" t="s">
        <v>77</v>
      </c>
      <c r="W463" s="0" t="s">
        <v>113</v>
      </c>
      <c r="X463" s="0" t="s">
        <v>99</v>
      </c>
      <c r="Z463" s="0" t="s">
        <v>161</v>
      </c>
      <c r="AA463" s="0" t="n">
        <v>40000</v>
      </c>
      <c r="AB463" s="0" t="n">
        <v>20000</v>
      </c>
      <c r="AC463" s="0" t="s">
        <v>50</v>
      </c>
      <c r="AD463" s="0" t="s">
        <v>115</v>
      </c>
      <c r="AE463" s="0" t="s">
        <v>60</v>
      </c>
      <c r="AG463" s="0" t="s">
        <v>61</v>
      </c>
      <c r="AI463" s="0" t="s">
        <v>101</v>
      </c>
      <c r="AJ463" s="0" t="s">
        <v>81</v>
      </c>
      <c r="AL463" s="0" t="s">
        <v>102</v>
      </c>
      <c r="AN463" s="0" t="s">
        <v>63</v>
      </c>
    </row>
    <row r="464" customFormat="false" ht="15" hidden="false" customHeight="false" outlineLevel="0" collapsed="false">
      <c r="A464" s="0" t="s">
        <v>1200</v>
      </c>
      <c r="B464" s="0" t="s">
        <v>1201</v>
      </c>
      <c r="C464" s="0" t="s">
        <v>121</v>
      </c>
      <c r="D464" s="0" t="n">
        <v>8071995701</v>
      </c>
      <c r="E464" s="0" t="s">
        <v>122</v>
      </c>
      <c r="F464" s="0" t="s">
        <v>1202</v>
      </c>
      <c r="G464" s="0" t="s">
        <v>69</v>
      </c>
      <c r="H464" s="0" t="s">
        <v>165</v>
      </c>
      <c r="I464" s="0" t="s">
        <v>154</v>
      </c>
      <c r="J464" s="0" t="s">
        <v>90</v>
      </c>
      <c r="K464" s="0" t="n">
        <v>18063</v>
      </c>
      <c r="L464" s="0" t="s">
        <v>91</v>
      </c>
      <c r="M464" s="0" t="s">
        <v>63</v>
      </c>
      <c r="N464" s="0" t="n">
        <v>2</v>
      </c>
      <c r="O464" s="0" t="n">
        <v>3.3</v>
      </c>
      <c r="P464" s="0" t="s">
        <v>92</v>
      </c>
      <c r="Q464" s="0" t="s">
        <v>93</v>
      </c>
      <c r="R464" s="0" t="s">
        <v>136</v>
      </c>
      <c r="S464" s="0" t="s">
        <v>126</v>
      </c>
      <c r="T464" s="0" t="n">
        <v>45</v>
      </c>
      <c r="U464" s="0" t="s">
        <v>96</v>
      </c>
      <c r="V464" s="0" t="s">
        <v>56</v>
      </c>
      <c r="W464" s="0" t="s">
        <v>78</v>
      </c>
      <c r="X464" s="0" t="s">
        <v>137</v>
      </c>
      <c r="Y464" s="0" t="s">
        <v>197</v>
      </c>
      <c r="Z464" s="0" t="s">
        <v>143</v>
      </c>
      <c r="AA464" s="0" t="n">
        <v>15000</v>
      </c>
      <c r="AC464" s="0" t="s">
        <v>63</v>
      </c>
      <c r="AD464" s="0" t="s">
        <v>115</v>
      </c>
      <c r="AF464" s="1" t="n">
        <v>45829</v>
      </c>
      <c r="AJ464" s="0" t="s">
        <v>81</v>
      </c>
      <c r="AK464" s="0" t="s">
        <v>82</v>
      </c>
      <c r="AL464" s="0" t="s">
        <v>63</v>
      </c>
      <c r="AM464" s="0" t="s">
        <v>118</v>
      </c>
      <c r="AN464" s="0" t="s">
        <v>63</v>
      </c>
    </row>
    <row r="465" customFormat="false" ht="15" hidden="false" customHeight="false" outlineLevel="0" collapsed="false">
      <c r="A465" s="1" t="n">
        <v>45767</v>
      </c>
      <c r="B465" s="0" t="s">
        <v>1203</v>
      </c>
      <c r="C465" s="0" t="s">
        <v>105</v>
      </c>
      <c r="D465" s="0" t="n">
        <v>8061157834</v>
      </c>
      <c r="E465" s="0" t="s">
        <v>67</v>
      </c>
      <c r="F465" s="0" t="s">
        <v>1204</v>
      </c>
      <c r="G465" s="0" t="s">
        <v>45</v>
      </c>
      <c r="H465" s="0" t="s">
        <v>242</v>
      </c>
      <c r="I465" s="0" t="s">
        <v>154</v>
      </c>
      <c r="J465" s="0" t="s">
        <v>71</v>
      </c>
      <c r="K465" s="0" t="n">
        <v>68079</v>
      </c>
      <c r="L465" s="0" t="s">
        <v>166</v>
      </c>
      <c r="M465" s="0" t="s">
        <v>50</v>
      </c>
      <c r="N465" s="0" t="n">
        <v>2</v>
      </c>
      <c r="O465" s="0" t="n">
        <v>2.2</v>
      </c>
      <c r="P465" s="0" t="s">
        <v>51</v>
      </c>
      <c r="Q465" s="0" t="s">
        <v>52</v>
      </c>
      <c r="R465" s="0" t="s">
        <v>53</v>
      </c>
      <c r="S465" s="0" t="s">
        <v>95</v>
      </c>
      <c r="T465" s="0" t="n">
        <v>15</v>
      </c>
      <c r="U465" s="0" t="s">
        <v>76</v>
      </c>
      <c r="V465" s="0" t="s">
        <v>77</v>
      </c>
      <c r="W465" s="0" t="s">
        <v>57</v>
      </c>
      <c r="X465" s="0" t="s">
        <v>58</v>
      </c>
      <c r="Y465" s="0" t="s">
        <v>177</v>
      </c>
      <c r="Z465" s="0" t="s">
        <v>79</v>
      </c>
      <c r="AB465" s="0" t="s">
        <v>178</v>
      </c>
      <c r="AC465" s="0" t="s">
        <v>61</v>
      </c>
      <c r="AD465" s="0" t="n">
        <v>0</v>
      </c>
      <c r="AE465" s="0" t="s">
        <v>184</v>
      </c>
      <c r="AG465" s="0" t="s">
        <v>50</v>
      </c>
      <c r="AH465" s="0" t="s">
        <v>116</v>
      </c>
      <c r="AJ465" s="0" t="s">
        <v>63</v>
      </c>
      <c r="AK465" s="0" t="s">
        <v>63</v>
      </c>
      <c r="AL465" s="0" t="s">
        <v>63</v>
      </c>
      <c r="AM465" s="0" t="s">
        <v>118</v>
      </c>
      <c r="AN465" s="0" t="s">
        <v>50</v>
      </c>
    </row>
    <row r="466" customFormat="false" ht="15" hidden="false" customHeight="false" outlineLevel="0" collapsed="false">
      <c r="A466" s="1" t="n">
        <v>45674</v>
      </c>
      <c r="B466" s="0" t="s">
        <v>1205</v>
      </c>
      <c r="C466" s="0" t="s">
        <v>66</v>
      </c>
      <c r="D466" s="0" t="n">
        <v>8056124957</v>
      </c>
      <c r="E466" s="0" t="s">
        <v>43</v>
      </c>
      <c r="F466" s="0" t="s">
        <v>1206</v>
      </c>
      <c r="G466" s="0" t="s">
        <v>134</v>
      </c>
      <c r="H466" s="0" t="s">
        <v>242</v>
      </c>
      <c r="I466" s="0" t="s">
        <v>47</v>
      </c>
      <c r="J466" s="0" t="s">
        <v>109</v>
      </c>
      <c r="K466" s="0" t="n">
        <v>104219</v>
      </c>
      <c r="L466" s="0" t="s">
        <v>110</v>
      </c>
      <c r="M466" s="0" t="s">
        <v>50</v>
      </c>
      <c r="N466" s="0" t="n">
        <v>4</v>
      </c>
      <c r="O466" s="0" t="n">
        <v>4.3</v>
      </c>
      <c r="P466" s="0" t="s">
        <v>111</v>
      </c>
      <c r="Q466" s="0" t="s">
        <v>73</v>
      </c>
      <c r="R466" s="0" t="s">
        <v>74</v>
      </c>
      <c r="S466" s="0" t="s">
        <v>75</v>
      </c>
      <c r="T466" s="0" t="s">
        <v>127</v>
      </c>
      <c r="U466" s="0" t="s">
        <v>55</v>
      </c>
      <c r="V466" s="0" t="s">
        <v>77</v>
      </c>
      <c r="W466" s="0" t="s">
        <v>113</v>
      </c>
      <c r="X466" s="0" t="s">
        <v>99</v>
      </c>
      <c r="Y466" s="0" t="s">
        <v>59</v>
      </c>
      <c r="Z466" s="0" t="s">
        <v>143</v>
      </c>
      <c r="AA466" s="0" t="n">
        <v>25000</v>
      </c>
      <c r="AB466" s="0" t="n">
        <v>40000</v>
      </c>
      <c r="AD466" s="0" t="n">
        <v>0</v>
      </c>
      <c r="AE466" s="0" t="s">
        <v>80</v>
      </c>
      <c r="AG466" s="0" t="s">
        <v>82</v>
      </c>
      <c r="AH466" s="0" t="s">
        <v>116</v>
      </c>
      <c r="AI466" s="0" t="s">
        <v>117</v>
      </c>
      <c r="AK466" s="0" t="s">
        <v>61</v>
      </c>
      <c r="AL466" s="0" t="s">
        <v>63</v>
      </c>
      <c r="AM466" s="0" t="s">
        <v>64</v>
      </c>
      <c r="AN466" s="0" t="s">
        <v>50</v>
      </c>
    </row>
    <row r="467" customFormat="false" ht="15" hidden="false" customHeight="false" outlineLevel="0" collapsed="false">
      <c r="A467" s="1" t="n">
        <v>45742</v>
      </c>
      <c r="B467" s="0" t="s">
        <v>1207</v>
      </c>
      <c r="C467" s="0" t="s">
        <v>42</v>
      </c>
      <c r="D467" s="0" t="n">
        <v>8063598753</v>
      </c>
      <c r="E467" s="0" t="s">
        <v>67</v>
      </c>
      <c r="F467" s="0" t="s">
        <v>1208</v>
      </c>
      <c r="G467" s="0" t="s">
        <v>69</v>
      </c>
      <c r="H467" s="0" t="s">
        <v>242</v>
      </c>
      <c r="I467" s="0" t="s">
        <v>142</v>
      </c>
      <c r="J467" s="0" t="s">
        <v>90</v>
      </c>
      <c r="K467" s="0" t="n">
        <v>104574</v>
      </c>
      <c r="L467" s="0" t="s">
        <v>166</v>
      </c>
      <c r="M467" s="0" t="s">
        <v>50</v>
      </c>
      <c r="N467" s="0" t="n">
        <v>4</v>
      </c>
      <c r="O467" s="0" t="n">
        <v>5.3</v>
      </c>
      <c r="P467" s="0" t="s">
        <v>125</v>
      </c>
      <c r="Q467" s="0" t="s">
        <v>73</v>
      </c>
      <c r="R467" s="0" t="s">
        <v>94</v>
      </c>
      <c r="S467" s="0" t="s">
        <v>75</v>
      </c>
      <c r="T467" s="0" t="n">
        <v>15</v>
      </c>
      <c r="U467" s="0" t="s">
        <v>112</v>
      </c>
      <c r="V467" s="0" t="s">
        <v>155</v>
      </c>
      <c r="W467" s="0" t="s">
        <v>113</v>
      </c>
      <c r="X467" s="0" t="s">
        <v>58</v>
      </c>
      <c r="Y467" s="0" t="s">
        <v>197</v>
      </c>
      <c r="Z467" s="0" t="s">
        <v>149</v>
      </c>
      <c r="AB467" s="0" t="n">
        <v>40000</v>
      </c>
      <c r="AC467" s="0" t="s">
        <v>61</v>
      </c>
      <c r="AD467" s="0" t="s">
        <v>115</v>
      </c>
      <c r="AE467" s="0" t="s">
        <v>80</v>
      </c>
      <c r="AG467" s="0" t="s">
        <v>63</v>
      </c>
      <c r="AH467" s="0" t="s">
        <v>171</v>
      </c>
      <c r="AI467" s="0" t="s">
        <v>117</v>
      </c>
      <c r="AJ467" s="0" t="s">
        <v>62</v>
      </c>
      <c r="AK467" s="0" t="s">
        <v>82</v>
      </c>
      <c r="AM467" s="0" t="s">
        <v>83</v>
      </c>
      <c r="AN467" s="0" t="s">
        <v>198</v>
      </c>
    </row>
    <row r="468" customFormat="false" ht="15" hidden="false" customHeight="false" outlineLevel="0" collapsed="false">
      <c r="A468" s="1" t="n">
        <v>45711</v>
      </c>
      <c r="B468" s="0" t="s">
        <v>1209</v>
      </c>
      <c r="C468" s="0" t="s">
        <v>42</v>
      </c>
      <c r="D468" s="0" t="n">
        <v>8036092407</v>
      </c>
      <c r="E468" s="0" t="s">
        <v>139</v>
      </c>
      <c r="F468" s="0" t="s">
        <v>1210</v>
      </c>
      <c r="G468" s="0" t="s">
        <v>45</v>
      </c>
      <c r="H468" s="0" t="s">
        <v>242</v>
      </c>
      <c r="I468" s="0" t="s">
        <v>47</v>
      </c>
      <c r="J468" s="0" t="s">
        <v>109</v>
      </c>
      <c r="K468" s="0" t="n">
        <v>21190</v>
      </c>
      <c r="L468" s="0" t="s">
        <v>72</v>
      </c>
      <c r="M468" s="0" t="s">
        <v>63</v>
      </c>
      <c r="O468" s="0" t="n">
        <v>5.1</v>
      </c>
      <c r="P468" s="0" t="s">
        <v>111</v>
      </c>
      <c r="Q468" s="0" t="s">
        <v>52</v>
      </c>
      <c r="S468" s="0" t="s">
        <v>95</v>
      </c>
      <c r="T468" s="0" t="n">
        <v>15</v>
      </c>
      <c r="U468" s="0" t="s">
        <v>112</v>
      </c>
      <c r="V468" s="0" t="s">
        <v>77</v>
      </c>
      <c r="W468" s="0" t="s">
        <v>57</v>
      </c>
      <c r="X468" s="0" t="s">
        <v>137</v>
      </c>
      <c r="Y468" s="0" t="s">
        <v>156</v>
      </c>
      <c r="Z468" s="0" t="s">
        <v>161</v>
      </c>
      <c r="AA468" s="0" t="s">
        <v>150</v>
      </c>
      <c r="AB468" s="0" t="n">
        <v>30000</v>
      </c>
      <c r="AD468" s="0" t="n">
        <v>10000</v>
      </c>
      <c r="AF468" s="1" t="n">
        <v>45918</v>
      </c>
      <c r="AH468" s="0" t="s">
        <v>116</v>
      </c>
      <c r="AI468" s="0" t="s">
        <v>101</v>
      </c>
      <c r="AJ468" s="0" t="s">
        <v>50</v>
      </c>
      <c r="AK468" s="0" t="s">
        <v>82</v>
      </c>
      <c r="AL468" s="0" t="s">
        <v>63</v>
      </c>
      <c r="AM468" s="0" t="s">
        <v>64</v>
      </c>
    </row>
    <row r="469" customFormat="false" ht="15" hidden="false" customHeight="false" outlineLevel="0" collapsed="false">
      <c r="A469" s="1" t="n">
        <v>45711</v>
      </c>
      <c r="B469" s="0" t="s">
        <v>1211</v>
      </c>
      <c r="C469" s="0" t="s">
        <v>163</v>
      </c>
      <c r="D469" s="0" t="n">
        <v>8063240727</v>
      </c>
      <c r="E469" s="0" t="s">
        <v>139</v>
      </c>
      <c r="F469" s="0" t="s">
        <v>1212</v>
      </c>
      <c r="G469" s="0" t="s">
        <v>134</v>
      </c>
      <c r="H469" s="0" t="s">
        <v>135</v>
      </c>
      <c r="I469" s="0" t="s">
        <v>47</v>
      </c>
      <c r="K469" s="0" t="n">
        <v>66521</v>
      </c>
      <c r="L469" s="0" t="s">
        <v>110</v>
      </c>
      <c r="M469" s="0" t="s">
        <v>50</v>
      </c>
      <c r="N469" s="0" t="n">
        <v>3</v>
      </c>
      <c r="O469" s="0" t="n">
        <v>2.2</v>
      </c>
      <c r="P469" s="0" t="s">
        <v>92</v>
      </c>
      <c r="Q469" s="0" t="s">
        <v>93</v>
      </c>
      <c r="R469" s="0" t="s">
        <v>53</v>
      </c>
      <c r="S469" s="0" t="s">
        <v>147</v>
      </c>
      <c r="U469" s="0" t="s">
        <v>160</v>
      </c>
      <c r="V469" s="0" t="s">
        <v>148</v>
      </c>
      <c r="W469" s="0" t="s">
        <v>128</v>
      </c>
      <c r="X469" s="0" t="s">
        <v>196</v>
      </c>
      <c r="Y469" s="0" t="s">
        <v>177</v>
      </c>
      <c r="Z469" s="0" t="s">
        <v>149</v>
      </c>
      <c r="AA469" s="0" t="n">
        <v>30000</v>
      </c>
      <c r="AB469" s="0" t="n">
        <v>35000</v>
      </c>
      <c r="AC469" s="0" t="s">
        <v>61</v>
      </c>
      <c r="AD469" s="0" t="s">
        <v>115</v>
      </c>
      <c r="AE469" s="0" t="s">
        <v>80</v>
      </c>
      <c r="AF469" s="1" t="n">
        <v>45996</v>
      </c>
      <c r="AG469" s="0" t="s">
        <v>82</v>
      </c>
      <c r="AH469" s="0" t="s">
        <v>116</v>
      </c>
      <c r="AI469" s="0" t="s">
        <v>172</v>
      </c>
      <c r="AK469" s="0" t="s">
        <v>50</v>
      </c>
      <c r="AL469" s="0" t="s">
        <v>102</v>
      </c>
      <c r="AM469" s="0" t="s">
        <v>64</v>
      </c>
      <c r="AN469" s="0" t="s">
        <v>198</v>
      </c>
    </row>
    <row r="470" customFormat="false" ht="15" hidden="false" customHeight="false" outlineLevel="0" collapsed="false">
      <c r="A470" s="1" t="n">
        <v>45804</v>
      </c>
      <c r="B470" s="0" t="s">
        <v>1213</v>
      </c>
      <c r="C470" s="0" t="s">
        <v>66</v>
      </c>
      <c r="D470" s="0" t="n">
        <v>8015070029</v>
      </c>
      <c r="E470" s="0" t="s">
        <v>43</v>
      </c>
      <c r="F470" s="0" t="s">
        <v>393</v>
      </c>
      <c r="G470" s="0" t="s">
        <v>87</v>
      </c>
      <c r="H470" s="0" t="s">
        <v>135</v>
      </c>
      <c r="I470" s="0" t="s">
        <v>189</v>
      </c>
      <c r="J470" s="0" t="s">
        <v>48</v>
      </c>
      <c r="K470" s="0" t="n">
        <v>65862</v>
      </c>
      <c r="L470" s="0" t="s">
        <v>110</v>
      </c>
      <c r="M470" s="0" t="s">
        <v>50</v>
      </c>
      <c r="N470" s="0" t="n">
        <v>2</v>
      </c>
      <c r="O470" s="0" t="n">
        <v>3.4</v>
      </c>
      <c r="P470" s="0" t="s">
        <v>111</v>
      </c>
      <c r="Q470" s="0" t="s">
        <v>73</v>
      </c>
      <c r="R470" s="0" t="s">
        <v>159</v>
      </c>
      <c r="S470" s="0" t="s">
        <v>75</v>
      </c>
      <c r="U470" s="0" t="s">
        <v>112</v>
      </c>
      <c r="V470" s="0" t="s">
        <v>77</v>
      </c>
      <c r="W470" s="0" t="s">
        <v>128</v>
      </c>
      <c r="X470" s="0" t="s">
        <v>99</v>
      </c>
      <c r="Z470" s="0" t="s">
        <v>79</v>
      </c>
      <c r="AA470" s="0" t="s">
        <v>150</v>
      </c>
      <c r="AB470" s="0" t="n">
        <v>35000</v>
      </c>
      <c r="AC470" s="0" t="s">
        <v>63</v>
      </c>
      <c r="AD470" s="0" t="n">
        <v>5000</v>
      </c>
      <c r="AE470" s="0" t="s">
        <v>60</v>
      </c>
      <c r="AG470" s="0" t="s">
        <v>82</v>
      </c>
      <c r="AH470" s="0" t="s">
        <v>116</v>
      </c>
      <c r="AJ470" s="0" t="s">
        <v>81</v>
      </c>
      <c r="AL470" s="0" t="s">
        <v>102</v>
      </c>
      <c r="AN470" s="0" t="s">
        <v>63</v>
      </c>
    </row>
    <row r="471" customFormat="false" ht="15" hidden="false" customHeight="false" outlineLevel="0" collapsed="false">
      <c r="A471" s="1" t="n">
        <v>45753</v>
      </c>
      <c r="B471" s="0" t="s">
        <v>1214</v>
      </c>
      <c r="C471" s="0" t="s">
        <v>121</v>
      </c>
      <c r="D471" s="0" t="n">
        <v>8011441144</v>
      </c>
      <c r="E471" s="0" t="s">
        <v>43</v>
      </c>
      <c r="F471" s="0" t="s">
        <v>570</v>
      </c>
      <c r="G471" s="0" t="s">
        <v>87</v>
      </c>
      <c r="H471" s="0" t="s">
        <v>272</v>
      </c>
      <c r="I471" s="0" t="s">
        <v>154</v>
      </c>
      <c r="J471" s="0" t="s">
        <v>109</v>
      </c>
      <c r="K471" s="0" t="n">
        <v>87438</v>
      </c>
      <c r="L471" s="0" t="s">
        <v>72</v>
      </c>
      <c r="M471" s="0" t="s">
        <v>50</v>
      </c>
      <c r="N471" s="0" t="n">
        <v>2</v>
      </c>
      <c r="O471" s="0" t="n">
        <v>1.9</v>
      </c>
      <c r="P471" s="0" t="s">
        <v>111</v>
      </c>
      <c r="Q471" s="0" t="s">
        <v>52</v>
      </c>
      <c r="R471" s="0" t="s">
        <v>74</v>
      </c>
      <c r="S471" s="0" t="s">
        <v>126</v>
      </c>
      <c r="T471" s="0" t="n">
        <v>60</v>
      </c>
      <c r="U471" s="0" t="s">
        <v>76</v>
      </c>
      <c r="V471" s="0" t="s">
        <v>97</v>
      </c>
      <c r="W471" s="0" t="s">
        <v>98</v>
      </c>
      <c r="X471" s="0" t="s">
        <v>99</v>
      </c>
      <c r="Z471" s="0" t="s">
        <v>161</v>
      </c>
      <c r="AA471" s="0" t="s">
        <v>150</v>
      </c>
      <c r="AB471" s="0" t="s">
        <v>178</v>
      </c>
      <c r="AC471" s="0" t="s">
        <v>61</v>
      </c>
      <c r="AD471" s="0" t="s">
        <v>115</v>
      </c>
      <c r="AF471" s="1" t="n">
        <v>45862</v>
      </c>
      <c r="AH471" s="0" t="s">
        <v>116</v>
      </c>
      <c r="AI471" s="0" t="s">
        <v>172</v>
      </c>
      <c r="AJ471" s="0" t="s">
        <v>50</v>
      </c>
      <c r="AK471" s="0" t="s">
        <v>63</v>
      </c>
      <c r="AL471" s="0" t="s">
        <v>50</v>
      </c>
      <c r="AM471" s="0" t="s">
        <v>64</v>
      </c>
      <c r="AN471" s="0" t="s">
        <v>50</v>
      </c>
    </row>
    <row r="472" customFormat="false" ht="15" hidden="false" customHeight="false" outlineLevel="0" collapsed="false">
      <c r="A472" s="1" t="n">
        <v>45724</v>
      </c>
      <c r="B472" s="0" t="s">
        <v>1215</v>
      </c>
      <c r="C472" s="0" t="s">
        <v>105</v>
      </c>
      <c r="D472" s="0" t="n">
        <v>8043635732</v>
      </c>
      <c r="E472" s="0" t="s">
        <v>43</v>
      </c>
      <c r="F472" s="0" t="s">
        <v>1216</v>
      </c>
      <c r="G472" s="0" t="s">
        <v>45</v>
      </c>
      <c r="H472" s="0" t="s">
        <v>146</v>
      </c>
      <c r="I472" s="0" t="s">
        <v>89</v>
      </c>
      <c r="J472" s="0" t="s">
        <v>90</v>
      </c>
      <c r="K472" s="0" t="n">
        <v>12933</v>
      </c>
      <c r="L472" s="0" t="s">
        <v>124</v>
      </c>
      <c r="M472" s="0" t="s">
        <v>50</v>
      </c>
      <c r="N472" s="0" t="n">
        <v>5</v>
      </c>
      <c r="O472" s="0" t="n">
        <v>2.7</v>
      </c>
      <c r="P472" s="0" t="s">
        <v>92</v>
      </c>
      <c r="Q472" s="0" t="s">
        <v>73</v>
      </c>
      <c r="R472" s="0" t="s">
        <v>74</v>
      </c>
      <c r="S472" s="0" t="s">
        <v>75</v>
      </c>
      <c r="T472" s="0" t="n">
        <v>30</v>
      </c>
      <c r="U472" s="0" t="s">
        <v>160</v>
      </c>
      <c r="V472" s="0" t="s">
        <v>148</v>
      </c>
      <c r="W472" s="0" t="s">
        <v>113</v>
      </c>
      <c r="X472" s="0" t="s">
        <v>196</v>
      </c>
      <c r="Y472" s="0" t="s">
        <v>177</v>
      </c>
      <c r="Z472" s="0" t="s">
        <v>161</v>
      </c>
      <c r="AA472" s="0" t="s">
        <v>150</v>
      </c>
      <c r="AB472" s="0" t="n">
        <v>35000</v>
      </c>
      <c r="AC472" s="0" t="s">
        <v>50</v>
      </c>
      <c r="AD472" s="0" t="s">
        <v>115</v>
      </c>
      <c r="AF472" s="1" t="n">
        <v>46003</v>
      </c>
      <c r="AG472" s="0" t="s">
        <v>50</v>
      </c>
      <c r="AH472" s="0" t="s">
        <v>171</v>
      </c>
      <c r="AI472" s="0" t="s">
        <v>117</v>
      </c>
      <c r="AJ472" s="0" t="s">
        <v>50</v>
      </c>
      <c r="AK472" s="0" t="s">
        <v>82</v>
      </c>
      <c r="AM472" s="0" t="s">
        <v>118</v>
      </c>
      <c r="AN472" s="0" t="s">
        <v>50</v>
      </c>
    </row>
    <row r="473" customFormat="false" ht="15" hidden="false" customHeight="false" outlineLevel="0" collapsed="false">
      <c r="A473" s="1" t="n">
        <v>45805</v>
      </c>
      <c r="B473" s="0" t="s">
        <v>1217</v>
      </c>
      <c r="C473" s="0" t="s">
        <v>163</v>
      </c>
      <c r="D473" s="0" t="n">
        <v>8025392453</v>
      </c>
      <c r="E473" s="0" t="s">
        <v>139</v>
      </c>
      <c r="F473" s="0" t="s">
        <v>1218</v>
      </c>
      <c r="G473" s="0" t="s">
        <v>69</v>
      </c>
      <c r="H473" s="0" t="s">
        <v>153</v>
      </c>
      <c r="I473" s="0" t="s">
        <v>47</v>
      </c>
      <c r="J473" s="0" t="s">
        <v>90</v>
      </c>
      <c r="K473" s="0" t="n">
        <v>64046</v>
      </c>
      <c r="L473" s="0" t="s">
        <v>49</v>
      </c>
      <c r="M473" s="0" t="s">
        <v>63</v>
      </c>
      <c r="N473" s="0" t="n">
        <v>4</v>
      </c>
      <c r="O473" s="0" t="n">
        <v>5.4</v>
      </c>
      <c r="P473" s="0" t="s">
        <v>51</v>
      </c>
      <c r="Q473" s="0" t="s">
        <v>93</v>
      </c>
      <c r="R473" s="0" t="s">
        <v>94</v>
      </c>
      <c r="S473" s="0" t="s">
        <v>75</v>
      </c>
      <c r="T473" s="0" t="n">
        <v>15</v>
      </c>
      <c r="U473" s="0" t="s">
        <v>96</v>
      </c>
      <c r="V473" s="0" t="s">
        <v>148</v>
      </c>
      <c r="W473" s="0" t="s">
        <v>98</v>
      </c>
      <c r="X473" s="0" t="s">
        <v>114</v>
      </c>
      <c r="Z473" s="0" t="s">
        <v>79</v>
      </c>
      <c r="AA473" s="0" t="n">
        <v>40000</v>
      </c>
      <c r="AB473" s="0" t="s">
        <v>178</v>
      </c>
      <c r="AC473" s="0" t="s">
        <v>50</v>
      </c>
      <c r="AD473" s="0" t="n">
        <v>10000</v>
      </c>
      <c r="AE473" s="0" t="s">
        <v>60</v>
      </c>
      <c r="AF473" s="1" t="n">
        <v>45845</v>
      </c>
      <c r="AG473" s="0" t="s">
        <v>82</v>
      </c>
      <c r="AH473" s="0" t="s">
        <v>116</v>
      </c>
      <c r="AI473" s="0" t="s">
        <v>172</v>
      </c>
      <c r="AJ473" s="0" t="s">
        <v>50</v>
      </c>
      <c r="AK473" s="0" t="s">
        <v>50</v>
      </c>
      <c r="AL473" s="0" t="s">
        <v>63</v>
      </c>
      <c r="AM473" s="0" t="s">
        <v>118</v>
      </c>
      <c r="AN473" s="0" t="s">
        <v>198</v>
      </c>
    </row>
    <row r="474" customFormat="false" ht="15" hidden="false" customHeight="false" outlineLevel="0" collapsed="false">
      <c r="A474" s="1" t="n">
        <v>45785</v>
      </c>
      <c r="B474" s="0" t="s">
        <v>1219</v>
      </c>
      <c r="C474" s="0" t="s">
        <v>163</v>
      </c>
      <c r="D474" s="0" t="n">
        <v>8028318112</v>
      </c>
      <c r="E474" s="0" t="s">
        <v>67</v>
      </c>
      <c r="F474" s="0" t="s">
        <v>1220</v>
      </c>
      <c r="G474" s="0" t="s">
        <v>69</v>
      </c>
      <c r="I474" s="0" t="s">
        <v>189</v>
      </c>
      <c r="K474" s="0" t="n">
        <v>39910</v>
      </c>
      <c r="L474" s="0" t="s">
        <v>110</v>
      </c>
      <c r="M474" s="0" t="s">
        <v>50</v>
      </c>
      <c r="N474" s="0" t="n">
        <v>2</v>
      </c>
      <c r="O474" s="0" t="n">
        <v>1.5</v>
      </c>
      <c r="P474" s="0" t="s">
        <v>111</v>
      </c>
      <c r="Q474" s="0" t="s">
        <v>52</v>
      </c>
      <c r="S474" s="0" t="s">
        <v>126</v>
      </c>
      <c r="T474" s="0" t="n">
        <v>15</v>
      </c>
      <c r="U474" s="0" t="s">
        <v>55</v>
      </c>
      <c r="V474" s="0" t="s">
        <v>97</v>
      </c>
      <c r="W474" s="0" t="s">
        <v>128</v>
      </c>
      <c r="X474" s="0" t="s">
        <v>137</v>
      </c>
      <c r="Y474" s="0" t="s">
        <v>197</v>
      </c>
      <c r="Z474" s="0" t="s">
        <v>149</v>
      </c>
      <c r="AA474" s="0" t="n">
        <v>40000</v>
      </c>
      <c r="AB474" s="0" t="n">
        <v>30000</v>
      </c>
      <c r="AC474" s="0" t="s">
        <v>61</v>
      </c>
      <c r="AD474" s="0" t="n">
        <v>0</v>
      </c>
      <c r="AE474" s="0" t="s">
        <v>184</v>
      </c>
      <c r="AG474" s="0" t="s">
        <v>61</v>
      </c>
      <c r="AI474" s="0" t="s">
        <v>117</v>
      </c>
      <c r="AJ474" s="0" t="s">
        <v>50</v>
      </c>
      <c r="AK474" s="0" t="s">
        <v>61</v>
      </c>
      <c r="AM474" s="0" t="s">
        <v>103</v>
      </c>
      <c r="AN474" s="0" t="s">
        <v>63</v>
      </c>
    </row>
    <row r="475" customFormat="false" ht="15" hidden="false" customHeight="false" outlineLevel="0" collapsed="false">
      <c r="A475" s="1" t="n">
        <v>45819</v>
      </c>
      <c r="B475" s="0" t="s">
        <v>1221</v>
      </c>
      <c r="C475" s="0" t="s">
        <v>66</v>
      </c>
      <c r="D475" s="0" t="n">
        <v>8053904009</v>
      </c>
      <c r="E475" s="0" t="s">
        <v>85</v>
      </c>
      <c r="F475" s="0" t="s">
        <v>1222</v>
      </c>
      <c r="G475" s="0" t="s">
        <v>87</v>
      </c>
      <c r="H475" s="0" t="s">
        <v>46</v>
      </c>
      <c r="I475" s="0" t="s">
        <v>154</v>
      </c>
      <c r="K475" s="0" t="n">
        <v>27037</v>
      </c>
      <c r="L475" s="0" t="s">
        <v>91</v>
      </c>
      <c r="M475" s="0" t="s">
        <v>50</v>
      </c>
      <c r="N475" s="0" t="n">
        <v>2</v>
      </c>
      <c r="O475" s="0" t="n">
        <v>2.5</v>
      </c>
      <c r="Q475" s="0" t="s">
        <v>93</v>
      </c>
      <c r="R475" s="0" t="s">
        <v>94</v>
      </c>
      <c r="S475" s="0" t="s">
        <v>54</v>
      </c>
      <c r="T475" s="0" t="n">
        <v>45</v>
      </c>
      <c r="U475" s="0" t="s">
        <v>160</v>
      </c>
      <c r="V475" s="0" t="s">
        <v>97</v>
      </c>
      <c r="W475" s="0" t="s">
        <v>128</v>
      </c>
      <c r="X475" s="0" t="s">
        <v>58</v>
      </c>
      <c r="Y475" s="0" t="s">
        <v>177</v>
      </c>
      <c r="Z475" s="0" t="s">
        <v>79</v>
      </c>
      <c r="AA475" s="0" t="n">
        <v>30000</v>
      </c>
      <c r="AB475" s="0" t="n">
        <v>20000</v>
      </c>
      <c r="AC475" s="0" t="s">
        <v>61</v>
      </c>
      <c r="AD475" s="0" t="n">
        <v>5000</v>
      </c>
      <c r="AE475" s="0" t="s">
        <v>184</v>
      </c>
      <c r="AF475" s="1" t="n">
        <v>45890</v>
      </c>
      <c r="AG475" s="0" t="s">
        <v>50</v>
      </c>
      <c r="AH475" s="0" t="s">
        <v>171</v>
      </c>
      <c r="AI475" s="0" t="s">
        <v>117</v>
      </c>
      <c r="AJ475" s="0" t="s">
        <v>63</v>
      </c>
      <c r="AK475" s="0" t="s">
        <v>82</v>
      </c>
      <c r="AN475" s="0" t="s">
        <v>190</v>
      </c>
    </row>
    <row r="476" customFormat="false" ht="15" hidden="false" customHeight="false" outlineLevel="0" collapsed="false">
      <c r="A476" s="1" t="n">
        <v>45814</v>
      </c>
      <c r="B476" s="0" t="s">
        <v>1223</v>
      </c>
      <c r="C476" s="0" t="s">
        <v>105</v>
      </c>
      <c r="D476" s="0" t="n">
        <v>8099965548</v>
      </c>
      <c r="E476" s="0" t="s">
        <v>43</v>
      </c>
      <c r="F476" s="0" t="s">
        <v>1224</v>
      </c>
      <c r="G476" s="0" t="s">
        <v>134</v>
      </c>
      <c r="H476" s="0" t="s">
        <v>242</v>
      </c>
      <c r="I476" s="0" t="s">
        <v>189</v>
      </c>
      <c r="J476" s="0" t="s">
        <v>48</v>
      </c>
      <c r="K476" s="0" t="n">
        <v>26578</v>
      </c>
      <c r="L476" s="0" t="s">
        <v>91</v>
      </c>
      <c r="M476" s="0" t="s">
        <v>50</v>
      </c>
      <c r="N476" s="0" t="n">
        <v>1</v>
      </c>
      <c r="O476" s="0" t="n">
        <v>3</v>
      </c>
      <c r="P476" s="0" t="s">
        <v>92</v>
      </c>
      <c r="Q476" s="0" t="s">
        <v>93</v>
      </c>
      <c r="R476" s="0" t="s">
        <v>159</v>
      </c>
      <c r="S476" s="0" t="s">
        <v>126</v>
      </c>
      <c r="T476" s="0" t="n">
        <v>60</v>
      </c>
      <c r="U476" s="0" t="s">
        <v>112</v>
      </c>
      <c r="V476" s="0" t="s">
        <v>97</v>
      </c>
      <c r="W476" s="0" t="s">
        <v>128</v>
      </c>
      <c r="X476" s="0" t="s">
        <v>196</v>
      </c>
      <c r="Z476" s="0" t="s">
        <v>129</v>
      </c>
      <c r="AA476" s="0" t="n">
        <v>30000</v>
      </c>
      <c r="AB476" s="0" t="n">
        <v>20000</v>
      </c>
      <c r="AC476" s="0" t="s">
        <v>50</v>
      </c>
      <c r="AD476" s="0" t="n">
        <v>0</v>
      </c>
      <c r="AE476" s="0" t="s">
        <v>184</v>
      </c>
      <c r="AI476" s="0" t="s">
        <v>117</v>
      </c>
      <c r="AJ476" s="0" t="s">
        <v>62</v>
      </c>
      <c r="AL476" s="0" t="s">
        <v>50</v>
      </c>
      <c r="AM476" s="0" t="s">
        <v>64</v>
      </c>
    </row>
    <row r="477" customFormat="false" ht="15" hidden="false" customHeight="false" outlineLevel="0" collapsed="false">
      <c r="A477" s="0" t="s">
        <v>463</v>
      </c>
      <c r="B477" s="0" t="s">
        <v>1225</v>
      </c>
      <c r="C477" s="0" t="s">
        <v>42</v>
      </c>
      <c r="D477" s="0" t="n">
        <v>8072309982</v>
      </c>
      <c r="E477" s="0" t="s">
        <v>122</v>
      </c>
      <c r="F477" s="0" t="s">
        <v>1226</v>
      </c>
      <c r="G477" s="0" t="s">
        <v>107</v>
      </c>
      <c r="H477" s="0" t="s">
        <v>88</v>
      </c>
      <c r="I477" s="0" t="s">
        <v>89</v>
      </c>
      <c r="J477" s="0" t="s">
        <v>90</v>
      </c>
      <c r="K477" s="0" t="n">
        <v>46883</v>
      </c>
      <c r="L477" s="0" t="s">
        <v>166</v>
      </c>
      <c r="M477" s="0" t="s">
        <v>63</v>
      </c>
      <c r="N477" s="0" t="n">
        <v>3</v>
      </c>
      <c r="O477" s="0" t="n">
        <v>4.4</v>
      </c>
      <c r="P477" s="0" t="s">
        <v>111</v>
      </c>
      <c r="Q477" s="0" t="s">
        <v>93</v>
      </c>
      <c r="R477" s="0" t="s">
        <v>74</v>
      </c>
      <c r="S477" s="0" t="s">
        <v>95</v>
      </c>
      <c r="T477" s="0" t="n">
        <v>15</v>
      </c>
      <c r="U477" s="0" t="s">
        <v>76</v>
      </c>
      <c r="V477" s="0" t="s">
        <v>77</v>
      </c>
      <c r="W477" s="0" t="s">
        <v>78</v>
      </c>
      <c r="X477" s="0" t="s">
        <v>114</v>
      </c>
      <c r="Y477" s="0" t="s">
        <v>177</v>
      </c>
      <c r="Z477" s="0" t="s">
        <v>149</v>
      </c>
      <c r="AA477" s="0" t="n">
        <v>30000</v>
      </c>
      <c r="AB477" s="0" t="n">
        <v>30000</v>
      </c>
      <c r="AD477" s="0" t="n">
        <v>10000</v>
      </c>
      <c r="AE477" s="0" t="s">
        <v>60</v>
      </c>
      <c r="AF477" s="0" t="s">
        <v>1227</v>
      </c>
      <c r="AG477" s="0" t="s">
        <v>61</v>
      </c>
      <c r="AI477" s="0" t="s">
        <v>101</v>
      </c>
      <c r="AJ477" s="0" t="s">
        <v>50</v>
      </c>
      <c r="AK477" s="0" t="s">
        <v>61</v>
      </c>
      <c r="AL477" s="0" t="s">
        <v>102</v>
      </c>
      <c r="AM477" s="0" t="s">
        <v>118</v>
      </c>
      <c r="AN477" s="0" t="s">
        <v>50</v>
      </c>
    </row>
    <row r="478" customFormat="false" ht="15" hidden="false" customHeight="false" outlineLevel="0" collapsed="false">
      <c r="A478" s="1" t="n">
        <v>45711</v>
      </c>
      <c r="B478" s="0" t="s">
        <v>1228</v>
      </c>
      <c r="C478" s="0" t="s">
        <v>163</v>
      </c>
      <c r="D478" s="0" t="n">
        <v>8075063283</v>
      </c>
      <c r="E478" s="0" t="s">
        <v>139</v>
      </c>
      <c r="F478" s="0" t="s">
        <v>1229</v>
      </c>
      <c r="G478" s="0" t="s">
        <v>69</v>
      </c>
      <c r="H478" s="0" t="s">
        <v>242</v>
      </c>
      <c r="I478" s="0" t="s">
        <v>142</v>
      </c>
      <c r="J478" s="0" t="s">
        <v>71</v>
      </c>
      <c r="K478" s="0" t="n">
        <v>79605</v>
      </c>
      <c r="L478" s="0" t="s">
        <v>166</v>
      </c>
      <c r="M478" s="0" t="s">
        <v>50</v>
      </c>
      <c r="N478" s="0" t="n">
        <v>3</v>
      </c>
      <c r="O478" s="0" t="n">
        <v>1.2</v>
      </c>
      <c r="P478" s="0" t="s">
        <v>125</v>
      </c>
      <c r="Q478" s="0" t="s">
        <v>93</v>
      </c>
      <c r="R478" s="0" t="s">
        <v>53</v>
      </c>
      <c r="S478" s="0" t="s">
        <v>75</v>
      </c>
      <c r="T478" s="0" t="n">
        <v>15</v>
      </c>
      <c r="U478" s="0" t="s">
        <v>112</v>
      </c>
      <c r="V478" s="0" t="s">
        <v>56</v>
      </c>
      <c r="W478" s="0" t="s">
        <v>57</v>
      </c>
      <c r="X478" s="0" t="s">
        <v>99</v>
      </c>
      <c r="Z478" s="0" t="s">
        <v>149</v>
      </c>
      <c r="AB478" s="0" t="n">
        <v>40000</v>
      </c>
      <c r="AC478" s="0" t="s">
        <v>50</v>
      </c>
      <c r="AD478" s="0" t="s">
        <v>115</v>
      </c>
      <c r="AF478" s="1" t="n">
        <v>45987</v>
      </c>
      <c r="AG478" s="0" t="s">
        <v>50</v>
      </c>
      <c r="AI478" s="0" t="s">
        <v>101</v>
      </c>
      <c r="AJ478" s="0" t="s">
        <v>81</v>
      </c>
      <c r="AK478" s="0" t="s">
        <v>50</v>
      </c>
      <c r="AL478" s="0" t="s">
        <v>63</v>
      </c>
      <c r="AM478" s="0" t="s">
        <v>118</v>
      </c>
      <c r="AN478" s="0" t="s">
        <v>190</v>
      </c>
    </row>
    <row r="479" customFormat="false" ht="15" hidden="false" customHeight="false" outlineLevel="0" collapsed="false">
      <c r="A479" s="0" t="s">
        <v>669</v>
      </c>
      <c r="B479" s="0" t="s">
        <v>1230</v>
      </c>
      <c r="C479" s="0" t="s">
        <v>163</v>
      </c>
      <c r="D479" s="0" t="n">
        <v>8071922288</v>
      </c>
      <c r="E479" s="0" t="s">
        <v>139</v>
      </c>
      <c r="F479" s="0" t="s">
        <v>1231</v>
      </c>
      <c r="G479" s="0" t="s">
        <v>69</v>
      </c>
      <c r="H479" s="0" t="s">
        <v>135</v>
      </c>
      <c r="I479" s="0" t="s">
        <v>108</v>
      </c>
      <c r="J479" s="0" t="s">
        <v>109</v>
      </c>
      <c r="K479" s="0" t="n">
        <v>95209</v>
      </c>
      <c r="L479" s="0" t="s">
        <v>49</v>
      </c>
      <c r="M479" s="0" t="s">
        <v>63</v>
      </c>
      <c r="N479" s="0" t="n">
        <v>2</v>
      </c>
      <c r="O479" s="0" t="n">
        <v>1.7</v>
      </c>
      <c r="P479" s="0" t="s">
        <v>92</v>
      </c>
      <c r="Q479" s="0" t="s">
        <v>93</v>
      </c>
      <c r="R479" s="0" t="s">
        <v>159</v>
      </c>
      <c r="S479" s="0" t="s">
        <v>147</v>
      </c>
      <c r="U479" s="0" t="s">
        <v>160</v>
      </c>
      <c r="V479" s="0" t="s">
        <v>56</v>
      </c>
      <c r="W479" s="0" t="s">
        <v>57</v>
      </c>
      <c r="X479" s="0" t="s">
        <v>114</v>
      </c>
      <c r="Z479" s="0" t="s">
        <v>129</v>
      </c>
      <c r="AA479" s="0" t="n">
        <v>40000</v>
      </c>
      <c r="AB479" s="0" t="n">
        <v>20000</v>
      </c>
      <c r="AC479" s="0" t="s">
        <v>50</v>
      </c>
      <c r="AD479" s="0" t="n">
        <v>5000</v>
      </c>
      <c r="AE479" s="0" t="s">
        <v>130</v>
      </c>
      <c r="AF479" s="1" t="n">
        <v>45870</v>
      </c>
      <c r="AG479" s="0" t="s">
        <v>61</v>
      </c>
      <c r="AH479" s="0" t="s">
        <v>171</v>
      </c>
      <c r="AI479" s="0" t="s">
        <v>172</v>
      </c>
      <c r="AK479" s="0" t="s">
        <v>61</v>
      </c>
      <c r="AL479" s="0" t="s">
        <v>63</v>
      </c>
      <c r="AM479" s="0" t="s">
        <v>83</v>
      </c>
      <c r="AN479" s="0" t="s">
        <v>50</v>
      </c>
    </row>
    <row r="480" customFormat="false" ht="15" hidden="false" customHeight="false" outlineLevel="0" collapsed="false">
      <c r="A480" s="1" t="n">
        <v>45747</v>
      </c>
      <c r="B480" s="0" t="s">
        <v>1232</v>
      </c>
      <c r="C480" s="0" t="s">
        <v>66</v>
      </c>
      <c r="D480" s="0" t="n">
        <v>8019158638</v>
      </c>
      <c r="E480" s="0" t="s">
        <v>67</v>
      </c>
      <c r="F480" s="0" t="s">
        <v>499</v>
      </c>
      <c r="G480" s="0" t="s">
        <v>45</v>
      </c>
      <c r="H480" s="0" t="s">
        <v>176</v>
      </c>
      <c r="I480" s="0" t="s">
        <v>142</v>
      </c>
      <c r="J480" s="0" t="s">
        <v>109</v>
      </c>
      <c r="K480" s="0" t="n">
        <v>24029</v>
      </c>
      <c r="L480" s="0" t="s">
        <v>110</v>
      </c>
      <c r="M480" s="0" t="s">
        <v>63</v>
      </c>
      <c r="N480" s="0" t="n">
        <v>2</v>
      </c>
      <c r="O480" s="0" t="n">
        <v>3.5</v>
      </c>
      <c r="P480" s="0" t="s">
        <v>125</v>
      </c>
      <c r="Q480" s="0" t="s">
        <v>73</v>
      </c>
      <c r="R480" s="0" t="s">
        <v>136</v>
      </c>
      <c r="S480" s="0" t="s">
        <v>95</v>
      </c>
      <c r="T480" s="0" t="n">
        <v>15</v>
      </c>
      <c r="U480" s="0" t="s">
        <v>55</v>
      </c>
      <c r="V480" s="0" t="s">
        <v>155</v>
      </c>
      <c r="W480" s="0" t="s">
        <v>98</v>
      </c>
      <c r="X480" s="0" t="s">
        <v>114</v>
      </c>
      <c r="Y480" s="0" t="s">
        <v>197</v>
      </c>
      <c r="Z480" s="0" t="s">
        <v>79</v>
      </c>
      <c r="AA480" s="0" t="n">
        <v>40000</v>
      </c>
      <c r="AB480" s="0" t="n">
        <v>30000</v>
      </c>
      <c r="AC480" s="0" t="s">
        <v>82</v>
      </c>
      <c r="AD480" s="0" t="n">
        <v>5000</v>
      </c>
      <c r="AE480" s="0" t="s">
        <v>184</v>
      </c>
      <c r="AG480" s="0" t="s">
        <v>61</v>
      </c>
      <c r="AI480" s="0" t="s">
        <v>101</v>
      </c>
      <c r="AJ480" s="0" t="s">
        <v>62</v>
      </c>
      <c r="AM480" s="0" t="s">
        <v>103</v>
      </c>
      <c r="AN480" s="0" t="s">
        <v>198</v>
      </c>
    </row>
    <row r="481" customFormat="false" ht="15" hidden="false" customHeight="false" outlineLevel="0" collapsed="false">
      <c r="A481" s="1" t="n">
        <v>45709</v>
      </c>
      <c r="B481" s="0" t="s">
        <v>1233</v>
      </c>
      <c r="C481" s="0" t="s">
        <v>163</v>
      </c>
      <c r="D481" s="0" t="n">
        <v>8021079489</v>
      </c>
      <c r="E481" s="0" t="s">
        <v>67</v>
      </c>
      <c r="F481" s="0" t="s">
        <v>1234</v>
      </c>
      <c r="G481" s="0" t="s">
        <v>134</v>
      </c>
      <c r="H481" s="0" t="s">
        <v>176</v>
      </c>
      <c r="I481" s="0" t="s">
        <v>142</v>
      </c>
      <c r="J481" s="0" t="s">
        <v>90</v>
      </c>
      <c r="K481" s="0" t="n">
        <v>54877</v>
      </c>
      <c r="L481" s="0" t="s">
        <v>124</v>
      </c>
      <c r="M481" s="0" t="s">
        <v>50</v>
      </c>
      <c r="N481" s="0" t="n">
        <v>1</v>
      </c>
      <c r="O481" s="0" t="n">
        <v>2.2</v>
      </c>
      <c r="P481" s="0" t="s">
        <v>92</v>
      </c>
      <c r="Q481" s="0" t="s">
        <v>73</v>
      </c>
      <c r="R481" s="0" t="s">
        <v>159</v>
      </c>
      <c r="S481" s="0" t="s">
        <v>126</v>
      </c>
      <c r="T481" s="0" t="n">
        <v>45</v>
      </c>
      <c r="U481" s="0" t="s">
        <v>55</v>
      </c>
      <c r="V481" s="0" t="s">
        <v>155</v>
      </c>
      <c r="W481" s="0" t="s">
        <v>57</v>
      </c>
      <c r="X481" s="0" t="s">
        <v>114</v>
      </c>
      <c r="Y481" s="0" t="s">
        <v>156</v>
      </c>
      <c r="Z481" s="0" t="s">
        <v>129</v>
      </c>
      <c r="AA481" s="0" t="n">
        <v>40000</v>
      </c>
      <c r="AC481" s="0" t="s">
        <v>50</v>
      </c>
      <c r="AD481" s="0" t="n">
        <v>0</v>
      </c>
      <c r="AE481" s="0" t="s">
        <v>130</v>
      </c>
      <c r="AF481" s="1" t="n">
        <v>45969</v>
      </c>
      <c r="AH481" s="0" t="s">
        <v>171</v>
      </c>
      <c r="AI481" s="0" t="s">
        <v>101</v>
      </c>
      <c r="AJ481" s="0" t="s">
        <v>62</v>
      </c>
      <c r="AK481" s="0" t="s">
        <v>50</v>
      </c>
      <c r="AL481" s="0" t="s">
        <v>102</v>
      </c>
      <c r="AM481" s="0" t="s">
        <v>118</v>
      </c>
    </row>
    <row r="482" customFormat="false" ht="15" hidden="false" customHeight="false" outlineLevel="0" collapsed="false">
      <c r="A482" s="1" t="n">
        <v>45841</v>
      </c>
      <c r="B482" s="0" t="s">
        <v>1235</v>
      </c>
      <c r="C482" s="0" t="s">
        <v>66</v>
      </c>
      <c r="D482" s="0" t="n">
        <v>8083608832</v>
      </c>
      <c r="E482" s="0" t="s">
        <v>43</v>
      </c>
      <c r="F482" s="0" t="s">
        <v>1236</v>
      </c>
      <c r="G482" s="0" t="s">
        <v>45</v>
      </c>
      <c r="H482" s="0" t="s">
        <v>88</v>
      </c>
      <c r="I482" s="0" t="s">
        <v>89</v>
      </c>
      <c r="J482" s="0" t="s">
        <v>71</v>
      </c>
      <c r="K482" s="0" t="n">
        <v>51869</v>
      </c>
      <c r="L482" s="0" t="s">
        <v>72</v>
      </c>
      <c r="M482" s="0" t="s">
        <v>50</v>
      </c>
      <c r="N482" s="0" t="n">
        <v>4</v>
      </c>
      <c r="O482" s="0" t="n">
        <v>3.4</v>
      </c>
      <c r="Q482" s="0" t="s">
        <v>52</v>
      </c>
      <c r="R482" s="0" t="s">
        <v>136</v>
      </c>
      <c r="S482" s="0" t="s">
        <v>54</v>
      </c>
      <c r="T482" s="0" t="n">
        <v>60</v>
      </c>
      <c r="U482" s="0" t="s">
        <v>96</v>
      </c>
      <c r="V482" s="0" t="s">
        <v>148</v>
      </c>
      <c r="W482" s="0" t="s">
        <v>98</v>
      </c>
      <c r="X482" s="0" t="s">
        <v>58</v>
      </c>
      <c r="Y482" s="0" t="s">
        <v>156</v>
      </c>
      <c r="Z482" s="0" t="s">
        <v>149</v>
      </c>
      <c r="AA482" s="0" t="n">
        <v>30000</v>
      </c>
      <c r="AB482" s="0" t="n">
        <v>40000</v>
      </c>
      <c r="AD482" s="0" t="n">
        <v>5000</v>
      </c>
      <c r="AF482" s="1" t="n">
        <v>45876</v>
      </c>
      <c r="AG482" s="0" t="s">
        <v>50</v>
      </c>
      <c r="AH482" s="0" t="s">
        <v>116</v>
      </c>
      <c r="AI482" s="0" t="s">
        <v>172</v>
      </c>
      <c r="AJ482" s="0" t="s">
        <v>81</v>
      </c>
      <c r="AL482" s="0" t="s">
        <v>50</v>
      </c>
      <c r="AM482" s="0" t="s">
        <v>118</v>
      </c>
      <c r="AN482" s="0" t="s">
        <v>190</v>
      </c>
    </row>
    <row r="483" customFormat="false" ht="15" hidden="false" customHeight="false" outlineLevel="0" collapsed="false">
      <c r="A483" s="1" t="n">
        <v>45935</v>
      </c>
      <c r="B483" s="0" t="s">
        <v>1237</v>
      </c>
      <c r="C483" s="0" t="s">
        <v>105</v>
      </c>
      <c r="D483" s="0" t="n">
        <v>8098184081</v>
      </c>
      <c r="E483" s="0" t="s">
        <v>139</v>
      </c>
      <c r="F483" s="0" t="s">
        <v>1238</v>
      </c>
      <c r="G483" s="0" t="s">
        <v>107</v>
      </c>
      <c r="H483" s="0" t="s">
        <v>70</v>
      </c>
      <c r="I483" s="0" t="s">
        <v>154</v>
      </c>
      <c r="K483" s="0" t="n">
        <v>44217</v>
      </c>
      <c r="L483" s="0" t="s">
        <v>49</v>
      </c>
      <c r="M483" s="0" t="s">
        <v>63</v>
      </c>
      <c r="N483" s="0" t="n">
        <v>2</v>
      </c>
      <c r="O483" s="0" t="n">
        <v>3.3</v>
      </c>
      <c r="P483" s="0" t="s">
        <v>51</v>
      </c>
      <c r="Q483" s="0" t="s">
        <v>93</v>
      </c>
      <c r="S483" s="0" t="s">
        <v>95</v>
      </c>
      <c r="T483" s="0" t="s">
        <v>127</v>
      </c>
      <c r="U483" s="0" t="s">
        <v>96</v>
      </c>
      <c r="V483" s="0" t="s">
        <v>148</v>
      </c>
      <c r="W483" s="0" t="s">
        <v>57</v>
      </c>
      <c r="X483" s="0" t="s">
        <v>99</v>
      </c>
      <c r="Y483" s="0" t="s">
        <v>197</v>
      </c>
      <c r="AA483" s="0" t="n">
        <v>30000</v>
      </c>
      <c r="AB483" s="0" t="n">
        <v>20000</v>
      </c>
      <c r="AC483" s="0" t="s">
        <v>82</v>
      </c>
      <c r="AD483" s="0" t="n">
        <v>10000</v>
      </c>
      <c r="AE483" s="0" t="s">
        <v>60</v>
      </c>
      <c r="AF483" s="1" t="n">
        <v>45828</v>
      </c>
      <c r="AG483" s="0" t="s">
        <v>50</v>
      </c>
      <c r="AI483" s="0" t="s">
        <v>172</v>
      </c>
      <c r="AJ483" s="0" t="s">
        <v>63</v>
      </c>
      <c r="AK483" s="0" t="s">
        <v>82</v>
      </c>
      <c r="AL483" s="0" t="s">
        <v>102</v>
      </c>
      <c r="AM483" s="0" t="s">
        <v>83</v>
      </c>
      <c r="AN483" s="0" t="s">
        <v>50</v>
      </c>
    </row>
    <row r="484" customFormat="false" ht="15" hidden="false" customHeight="false" outlineLevel="0" collapsed="false">
      <c r="A484" s="0" t="s">
        <v>232</v>
      </c>
      <c r="B484" s="0" t="s">
        <v>1239</v>
      </c>
      <c r="C484" s="0" t="s">
        <v>42</v>
      </c>
      <c r="D484" s="0" t="n">
        <v>8042520097</v>
      </c>
      <c r="E484" s="0" t="s">
        <v>122</v>
      </c>
      <c r="F484" s="0" t="s">
        <v>1240</v>
      </c>
      <c r="G484" s="0" t="s">
        <v>69</v>
      </c>
      <c r="H484" s="0" t="s">
        <v>176</v>
      </c>
      <c r="I484" s="0" t="s">
        <v>154</v>
      </c>
      <c r="J484" s="0" t="s">
        <v>48</v>
      </c>
      <c r="K484" s="0" t="n">
        <v>30787</v>
      </c>
      <c r="L484" s="0" t="s">
        <v>91</v>
      </c>
      <c r="M484" s="0" t="s">
        <v>50</v>
      </c>
      <c r="N484" s="0" t="n">
        <v>4</v>
      </c>
      <c r="O484" s="0" t="n">
        <v>5.3</v>
      </c>
      <c r="P484" s="0" t="s">
        <v>92</v>
      </c>
      <c r="Q484" s="0" t="s">
        <v>73</v>
      </c>
      <c r="R484" s="0" t="s">
        <v>136</v>
      </c>
      <c r="S484" s="0" t="s">
        <v>54</v>
      </c>
      <c r="T484" s="0" t="s">
        <v>127</v>
      </c>
      <c r="U484" s="0" t="s">
        <v>112</v>
      </c>
      <c r="V484" s="0" t="s">
        <v>56</v>
      </c>
      <c r="W484" s="0" t="s">
        <v>128</v>
      </c>
      <c r="X484" s="0" t="s">
        <v>196</v>
      </c>
      <c r="Y484" s="0" t="s">
        <v>177</v>
      </c>
      <c r="AA484" s="0" t="n">
        <v>30000</v>
      </c>
      <c r="AB484" s="0" t="s">
        <v>178</v>
      </c>
      <c r="AC484" s="0" t="s">
        <v>61</v>
      </c>
      <c r="AD484" s="0" t="n">
        <v>5000</v>
      </c>
      <c r="AE484" s="0" t="s">
        <v>80</v>
      </c>
      <c r="AG484" s="0" t="s">
        <v>50</v>
      </c>
      <c r="AJ484" s="0" t="s">
        <v>50</v>
      </c>
      <c r="AK484" s="0" t="s">
        <v>63</v>
      </c>
      <c r="AL484" s="0" t="s">
        <v>50</v>
      </c>
      <c r="AN484" s="0" t="s">
        <v>190</v>
      </c>
    </row>
    <row r="485" customFormat="false" ht="15" hidden="false" customHeight="false" outlineLevel="0" collapsed="false">
      <c r="A485" s="1" t="n">
        <v>45759</v>
      </c>
      <c r="B485" s="0" t="s">
        <v>1241</v>
      </c>
      <c r="C485" s="0" t="s">
        <v>42</v>
      </c>
      <c r="D485" s="0" t="n">
        <v>8068750274</v>
      </c>
      <c r="E485" s="0" t="s">
        <v>43</v>
      </c>
      <c r="F485" s="0" t="s">
        <v>1242</v>
      </c>
      <c r="G485" s="0" t="s">
        <v>45</v>
      </c>
      <c r="H485" s="0" t="s">
        <v>141</v>
      </c>
      <c r="I485" s="0" t="s">
        <v>189</v>
      </c>
      <c r="J485" s="0" t="s">
        <v>48</v>
      </c>
      <c r="K485" s="0" t="n">
        <v>118497</v>
      </c>
      <c r="L485" s="0" t="s">
        <v>166</v>
      </c>
      <c r="M485" s="0" t="s">
        <v>50</v>
      </c>
      <c r="O485" s="0" t="n">
        <v>3.7</v>
      </c>
      <c r="P485" s="0" t="s">
        <v>111</v>
      </c>
      <c r="Q485" s="0" t="s">
        <v>93</v>
      </c>
      <c r="R485" s="0" t="s">
        <v>136</v>
      </c>
      <c r="S485" s="0" t="s">
        <v>54</v>
      </c>
      <c r="T485" s="0" t="n">
        <v>60</v>
      </c>
      <c r="U485" s="0" t="s">
        <v>160</v>
      </c>
      <c r="V485" s="0" t="s">
        <v>155</v>
      </c>
      <c r="W485" s="0" t="s">
        <v>98</v>
      </c>
      <c r="X485" s="0" t="s">
        <v>58</v>
      </c>
      <c r="Y485" s="0" t="s">
        <v>156</v>
      </c>
      <c r="Z485" s="0" t="s">
        <v>129</v>
      </c>
      <c r="AA485" s="0" t="n">
        <v>15000</v>
      </c>
      <c r="AC485" s="0" t="s">
        <v>82</v>
      </c>
      <c r="AD485" s="0" t="n">
        <v>10000</v>
      </c>
      <c r="AE485" s="0" t="s">
        <v>60</v>
      </c>
      <c r="AF485" s="1" t="n">
        <v>45949</v>
      </c>
      <c r="AG485" s="0" t="s">
        <v>82</v>
      </c>
      <c r="AH485" s="0" t="s">
        <v>171</v>
      </c>
      <c r="AJ485" s="0" t="s">
        <v>62</v>
      </c>
      <c r="AK485" s="0" t="s">
        <v>61</v>
      </c>
      <c r="AL485" s="0" t="s">
        <v>102</v>
      </c>
      <c r="AM485" s="0" t="s">
        <v>118</v>
      </c>
      <c r="AN485" s="0" t="s">
        <v>198</v>
      </c>
    </row>
    <row r="486" customFormat="false" ht="15" hidden="false" customHeight="false" outlineLevel="0" collapsed="false">
      <c r="A486" s="0" t="s">
        <v>799</v>
      </c>
      <c r="B486" s="0" t="s">
        <v>1243</v>
      </c>
      <c r="C486" s="0" t="s">
        <v>163</v>
      </c>
      <c r="D486" s="0" t="n">
        <v>8028824809</v>
      </c>
      <c r="E486" s="0" t="s">
        <v>67</v>
      </c>
      <c r="F486" s="0" t="s">
        <v>1244</v>
      </c>
      <c r="G486" s="0" t="s">
        <v>134</v>
      </c>
      <c r="H486" s="0" t="s">
        <v>272</v>
      </c>
      <c r="I486" s="0" t="s">
        <v>142</v>
      </c>
      <c r="J486" s="0" t="s">
        <v>48</v>
      </c>
      <c r="K486" s="0" t="n">
        <v>99712</v>
      </c>
      <c r="L486" s="0" t="s">
        <v>72</v>
      </c>
      <c r="M486" s="0" t="s">
        <v>63</v>
      </c>
      <c r="N486" s="0" t="n">
        <v>3</v>
      </c>
      <c r="O486" s="0" t="n">
        <v>3.1</v>
      </c>
      <c r="P486" s="0" t="s">
        <v>51</v>
      </c>
      <c r="Q486" s="0" t="s">
        <v>73</v>
      </c>
      <c r="R486" s="0" t="s">
        <v>136</v>
      </c>
      <c r="S486" s="0" t="s">
        <v>126</v>
      </c>
      <c r="T486" s="0" t="s">
        <v>127</v>
      </c>
      <c r="U486" s="0" t="s">
        <v>112</v>
      </c>
      <c r="V486" s="0" t="s">
        <v>148</v>
      </c>
      <c r="W486" s="0" t="s">
        <v>57</v>
      </c>
      <c r="X486" s="0" t="s">
        <v>196</v>
      </c>
      <c r="Y486" s="0" t="s">
        <v>197</v>
      </c>
      <c r="Z486" s="0" t="s">
        <v>129</v>
      </c>
      <c r="AA486" s="0" t="n">
        <v>15000</v>
      </c>
      <c r="AB486" s="0" t="n">
        <v>30000</v>
      </c>
      <c r="AC486" s="0" t="s">
        <v>82</v>
      </c>
      <c r="AD486" s="0" t="n">
        <v>5000</v>
      </c>
      <c r="AE486" s="0" t="s">
        <v>60</v>
      </c>
      <c r="AF486" s="1" t="n">
        <v>45816</v>
      </c>
      <c r="AG486" s="0" t="s">
        <v>61</v>
      </c>
      <c r="AJ486" s="0" t="s">
        <v>63</v>
      </c>
      <c r="AK486" s="0" t="s">
        <v>63</v>
      </c>
      <c r="AL486" s="0" t="s">
        <v>63</v>
      </c>
      <c r="AM486" s="0" t="s">
        <v>103</v>
      </c>
      <c r="AN486" s="0" t="s">
        <v>63</v>
      </c>
    </row>
    <row r="487" customFormat="false" ht="15" hidden="false" customHeight="false" outlineLevel="0" collapsed="false">
      <c r="A487" s="1" t="n">
        <v>45667</v>
      </c>
      <c r="B487" s="0" t="s">
        <v>1245</v>
      </c>
      <c r="C487" s="0" t="s">
        <v>163</v>
      </c>
      <c r="D487" s="0" t="n">
        <v>8073188059</v>
      </c>
      <c r="E487" s="0" t="s">
        <v>122</v>
      </c>
      <c r="F487" s="0" t="s">
        <v>578</v>
      </c>
      <c r="G487" s="0" t="s">
        <v>107</v>
      </c>
      <c r="H487" s="0" t="s">
        <v>146</v>
      </c>
      <c r="I487" s="0" t="s">
        <v>154</v>
      </c>
      <c r="K487" s="0" t="n">
        <v>92802</v>
      </c>
      <c r="L487" s="0" t="s">
        <v>72</v>
      </c>
      <c r="M487" s="0" t="s">
        <v>50</v>
      </c>
      <c r="O487" s="0" t="n">
        <v>4.8</v>
      </c>
      <c r="P487" s="0" t="s">
        <v>111</v>
      </c>
      <c r="Q487" s="0" t="s">
        <v>52</v>
      </c>
      <c r="S487" s="0" t="s">
        <v>75</v>
      </c>
      <c r="T487" s="0" t="s">
        <v>127</v>
      </c>
      <c r="U487" s="0" t="s">
        <v>55</v>
      </c>
      <c r="V487" s="0" t="s">
        <v>148</v>
      </c>
      <c r="W487" s="0" t="s">
        <v>78</v>
      </c>
      <c r="X487" s="0" t="s">
        <v>99</v>
      </c>
      <c r="Y487" s="0" t="s">
        <v>177</v>
      </c>
      <c r="Z487" s="0" t="s">
        <v>129</v>
      </c>
      <c r="AD487" s="0" t="n">
        <v>5000</v>
      </c>
      <c r="AF487" s="1" t="n">
        <v>45901</v>
      </c>
      <c r="AG487" s="0" t="s">
        <v>50</v>
      </c>
      <c r="AH487" s="0" t="s">
        <v>116</v>
      </c>
      <c r="AJ487" s="0" t="s">
        <v>50</v>
      </c>
      <c r="AK487" s="0" t="s">
        <v>82</v>
      </c>
      <c r="AL487" s="0" t="s">
        <v>63</v>
      </c>
      <c r="AN487" s="0" t="s">
        <v>50</v>
      </c>
    </row>
    <row r="488" customFormat="false" ht="15" hidden="false" customHeight="false" outlineLevel="0" collapsed="false">
      <c r="A488" s="1" t="n">
        <v>45697</v>
      </c>
      <c r="B488" s="0" t="s">
        <v>1246</v>
      </c>
      <c r="C488" s="0" t="s">
        <v>66</v>
      </c>
      <c r="D488" s="0" t="n">
        <v>8047465789</v>
      </c>
      <c r="E488" s="0" t="s">
        <v>67</v>
      </c>
      <c r="F488" s="0" t="s">
        <v>1247</v>
      </c>
      <c r="G488" s="0" t="s">
        <v>107</v>
      </c>
      <c r="H488" s="0" t="s">
        <v>141</v>
      </c>
      <c r="I488" s="0" t="s">
        <v>189</v>
      </c>
      <c r="J488" s="0" t="s">
        <v>71</v>
      </c>
      <c r="K488" s="0" t="n">
        <v>94153</v>
      </c>
      <c r="L488" s="0" t="s">
        <v>49</v>
      </c>
      <c r="M488" s="0" t="s">
        <v>63</v>
      </c>
      <c r="N488" s="0" t="n">
        <v>3</v>
      </c>
      <c r="O488" s="0" t="n">
        <v>2.9</v>
      </c>
      <c r="P488" s="0" t="s">
        <v>92</v>
      </c>
      <c r="Q488" s="0" t="s">
        <v>93</v>
      </c>
      <c r="R488" s="0" t="s">
        <v>94</v>
      </c>
      <c r="S488" s="0" t="s">
        <v>95</v>
      </c>
      <c r="T488" s="0" t="n">
        <v>15</v>
      </c>
      <c r="U488" s="0" t="s">
        <v>160</v>
      </c>
      <c r="V488" s="0" t="s">
        <v>77</v>
      </c>
      <c r="W488" s="0" t="s">
        <v>78</v>
      </c>
      <c r="X488" s="0" t="s">
        <v>196</v>
      </c>
      <c r="Y488" s="0" t="s">
        <v>156</v>
      </c>
      <c r="Z488" s="0" t="s">
        <v>79</v>
      </c>
      <c r="AB488" s="0" t="s">
        <v>178</v>
      </c>
      <c r="AD488" s="0" t="n">
        <v>10000</v>
      </c>
      <c r="AE488" s="0" t="s">
        <v>60</v>
      </c>
      <c r="AF488" s="0" t="s">
        <v>215</v>
      </c>
      <c r="AG488" s="0" t="s">
        <v>61</v>
      </c>
      <c r="AK488" s="0" t="s">
        <v>63</v>
      </c>
      <c r="AL488" s="0" t="s">
        <v>102</v>
      </c>
      <c r="AM488" s="0" t="s">
        <v>103</v>
      </c>
      <c r="AN488" s="0" t="s">
        <v>198</v>
      </c>
    </row>
    <row r="489" customFormat="false" ht="15" hidden="false" customHeight="false" outlineLevel="0" collapsed="false">
      <c r="A489" s="0" t="s">
        <v>353</v>
      </c>
      <c r="B489" s="0" t="s">
        <v>1248</v>
      </c>
      <c r="C489" s="0" t="s">
        <v>105</v>
      </c>
      <c r="D489" s="0" t="n">
        <v>8031658249</v>
      </c>
      <c r="E489" s="0" t="s">
        <v>43</v>
      </c>
      <c r="F489" s="0" t="s">
        <v>1249</v>
      </c>
      <c r="G489" s="0" t="s">
        <v>107</v>
      </c>
      <c r="H489" s="0" t="s">
        <v>141</v>
      </c>
      <c r="I489" s="0" t="s">
        <v>189</v>
      </c>
      <c r="J489" s="0" t="s">
        <v>109</v>
      </c>
      <c r="K489" s="0" t="n">
        <v>10993</v>
      </c>
      <c r="L489" s="0" t="s">
        <v>91</v>
      </c>
      <c r="M489" s="0" t="s">
        <v>63</v>
      </c>
      <c r="N489" s="0" t="n">
        <v>5</v>
      </c>
      <c r="O489" s="0" t="n">
        <v>1</v>
      </c>
      <c r="P489" s="0" t="s">
        <v>125</v>
      </c>
      <c r="Q489" s="0" t="s">
        <v>93</v>
      </c>
      <c r="R489" s="0" t="s">
        <v>53</v>
      </c>
      <c r="S489" s="0" t="s">
        <v>95</v>
      </c>
      <c r="T489" s="0" t="n">
        <v>15</v>
      </c>
      <c r="U489" s="0" t="s">
        <v>96</v>
      </c>
      <c r="V489" s="0" t="s">
        <v>155</v>
      </c>
      <c r="W489" s="0" t="s">
        <v>78</v>
      </c>
      <c r="X489" s="0" t="s">
        <v>58</v>
      </c>
      <c r="Y489" s="0" t="s">
        <v>156</v>
      </c>
      <c r="Z489" s="0" t="s">
        <v>129</v>
      </c>
      <c r="AA489" s="0" t="s">
        <v>150</v>
      </c>
      <c r="AC489" s="0" t="s">
        <v>63</v>
      </c>
      <c r="AD489" s="0" t="n">
        <v>5000</v>
      </c>
      <c r="AE489" s="0" t="s">
        <v>80</v>
      </c>
      <c r="AF489" s="1" t="n">
        <v>45839</v>
      </c>
      <c r="AG489" s="0" t="s">
        <v>50</v>
      </c>
      <c r="AH489" s="0" t="s">
        <v>171</v>
      </c>
      <c r="AI489" s="0" t="s">
        <v>117</v>
      </c>
      <c r="AJ489" s="0" t="s">
        <v>81</v>
      </c>
      <c r="AK489" s="0" t="s">
        <v>50</v>
      </c>
      <c r="AM489" s="0" t="s">
        <v>64</v>
      </c>
      <c r="AN489" s="0" t="s">
        <v>63</v>
      </c>
    </row>
    <row r="490" customFormat="false" ht="15" hidden="false" customHeight="false" outlineLevel="0" collapsed="false">
      <c r="A490" s="0" t="s">
        <v>1250</v>
      </c>
      <c r="B490" s="0" t="s">
        <v>1251</v>
      </c>
      <c r="C490" s="0" t="s">
        <v>66</v>
      </c>
      <c r="D490" s="0" t="n">
        <v>8032896080</v>
      </c>
      <c r="E490" s="0" t="s">
        <v>122</v>
      </c>
      <c r="F490" s="0" t="s">
        <v>1252</v>
      </c>
      <c r="G490" s="0" t="s">
        <v>87</v>
      </c>
      <c r="H490" s="0" t="s">
        <v>170</v>
      </c>
      <c r="I490" s="0" t="s">
        <v>89</v>
      </c>
      <c r="K490" s="0" t="n">
        <v>39076</v>
      </c>
      <c r="L490" s="0" t="s">
        <v>72</v>
      </c>
      <c r="M490" s="0" t="s">
        <v>63</v>
      </c>
      <c r="O490" s="0" t="n">
        <v>5.6</v>
      </c>
      <c r="P490" s="0" t="s">
        <v>125</v>
      </c>
      <c r="Q490" s="0" t="s">
        <v>73</v>
      </c>
      <c r="R490" s="0" t="s">
        <v>74</v>
      </c>
      <c r="S490" s="0" t="s">
        <v>95</v>
      </c>
      <c r="T490" s="0" t="n">
        <v>15</v>
      </c>
      <c r="U490" s="0" t="s">
        <v>112</v>
      </c>
      <c r="V490" s="0" t="s">
        <v>56</v>
      </c>
      <c r="W490" s="0" t="s">
        <v>57</v>
      </c>
      <c r="X490" s="0" t="s">
        <v>99</v>
      </c>
      <c r="Z490" s="0" t="s">
        <v>79</v>
      </c>
      <c r="AA490" s="0" t="n">
        <v>25000</v>
      </c>
      <c r="AB490" s="0" t="n">
        <v>20000</v>
      </c>
      <c r="AC490" s="0" t="s">
        <v>50</v>
      </c>
      <c r="AD490" s="0" t="n">
        <v>10000</v>
      </c>
      <c r="AE490" s="0" t="s">
        <v>184</v>
      </c>
      <c r="AF490" s="1" t="n">
        <v>45898</v>
      </c>
      <c r="AG490" s="0" t="s">
        <v>82</v>
      </c>
      <c r="AJ490" s="0" t="s">
        <v>81</v>
      </c>
      <c r="AK490" s="0" t="s">
        <v>63</v>
      </c>
      <c r="AL490" s="0" t="s">
        <v>102</v>
      </c>
    </row>
    <row r="491" customFormat="false" ht="15" hidden="false" customHeight="false" outlineLevel="0" collapsed="false">
      <c r="A491" s="1" t="n">
        <v>45800</v>
      </c>
      <c r="B491" s="0" t="s">
        <v>1253</v>
      </c>
      <c r="C491" s="0" t="s">
        <v>121</v>
      </c>
      <c r="D491" s="0" t="n">
        <v>8012424794</v>
      </c>
      <c r="E491" s="0" t="s">
        <v>67</v>
      </c>
      <c r="F491" s="0" t="s">
        <v>1254</v>
      </c>
      <c r="G491" s="0" t="s">
        <v>107</v>
      </c>
      <c r="H491" s="0" t="s">
        <v>70</v>
      </c>
      <c r="I491" s="0" t="s">
        <v>108</v>
      </c>
      <c r="J491" s="0" t="s">
        <v>48</v>
      </c>
      <c r="K491" s="0" t="n">
        <v>101907</v>
      </c>
      <c r="L491" s="0" t="s">
        <v>49</v>
      </c>
      <c r="M491" s="0" t="s">
        <v>50</v>
      </c>
      <c r="N491" s="0" t="n">
        <v>4</v>
      </c>
      <c r="O491" s="0" t="n">
        <v>2.5</v>
      </c>
      <c r="P491" s="0" t="s">
        <v>51</v>
      </c>
      <c r="Q491" s="0" t="s">
        <v>93</v>
      </c>
      <c r="R491" s="0" t="s">
        <v>136</v>
      </c>
      <c r="S491" s="0" t="s">
        <v>54</v>
      </c>
      <c r="T491" s="0" t="n">
        <v>45</v>
      </c>
      <c r="U491" s="0" t="s">
        <v>55</v>
      </c>
      <c r="V491" s="0" t="s">
        <v>77</v>
      </c>
      <c r="W491" s="0" t="s">
        <v>57</v>
      </c>
      <c r="X491" s="0" t="s">
        <v>137</v>
      </c>
      <c r="Z491" s="0" t="s">
        <v>129</v>
      </c>
      <c r="AA491" s="0" t="n">
        <v>40000</v>
      </c>
      <c r="AB491" s="0" t="s">
        <v>178</v>
      </c>
      <c r="AC491" s="0" t="s">
        <v>63</v>
      </c>
      <c r="AD491" s="0" t="s">
        <v>115</v>
      </c>
      <c r="AE491" s="0" t="s">
        <v>60</v>
      </c>
      <c r="AG491" s="0" t="s">
        <v>61</v>
      </c>
      <c r="AI491" s="0" t="s">
        <v>117</v>
      </c>
      <c r="AJ491" s="0" t="s">
        <v>62</v>
      </c>
      <c r="AK491" s="0" t="s">
        <v>61</v>
      </c>
      <c r="AL491" s="0" t="s">
        <v>102</v>
      </c>
      <c r="AM491" s="0" t="s">
        <v>64</v>
      </c>
      <c r="AN491" s="0" t="s">
        <v>50</v>
      </c>
    </row>
    <row r="492" customFormat="false" ht="15" hidden="false" customHeight="false" outlineLevel="0" collapsed="false">
      <c r="A492" s="1" t="n">
        <v>45805</v>
      </c>
      <c r="B492" s="0" t="s">
        <v>1255</v>
      </c>
      <c r="C492" s="0" t="s">
        <v>163</v>
      </c>
      <c r="D492" s="0" t="n">
        <v>8091468625</v>
      </c>
      <c r="E492" s="0" t="s">
        <v>139</v>
      </c>
      <c r="F492" s="0" t="s">
        <v>1256</v>
      </c>
      <c r="G492" s="0" t="s">
        <v>134</v>
      </c>
      <c r="H492" s="0" t="s">
        <v>141</v>
      </c>
      <c r="I492" s="0" t="s">
        <v>142</v>
      </c>
      <c r="J492" s="0" t="s">
        <v>71</v>
      </c>
      <c r="K492" s="0" t="n">
        <v>103104</v>
      </c>
      <c r="L492" s="0" t="s">
        <v>91</v>
      </c>
      <c r="M492" s="0" t="s">
        <v>63</v>
      </c>
      <c r="N492" s="0" t="n">
        <v>2</v>
      </c>
      <c r="O492" s="0" t="n">
        <v>3.6</v>
      </c>
      <c r="Q492" s="0" t="s">
        <v>52</v>
      </c>
      <c r="R492" s="0" t="s">
        <v>136</v>
      </c>
      <c r="S492" s="0" t="s">
        <v>75</v>
      </c>
      <c r="T492" s="0" t="s">
        <v>127</v>
      </c>
      <c r="U492" s="0" t="s">
        <v>55</v>
      </c>
      <c r="V492" s="0" t="s">
        <v>148</v>
      </c>
      <c r="W492" s="0" t="s">
        <v>57</v>
      </c>
      <c r="X492" s="0" t="s">
        <v>99</v>
      </c>
      <c r="Z492" s="0" t="s">
        <v>161</v>
      </c>
      <c r="AB492" s="0" t="s">
        <v>178</v>
      </c>
      <c r="AC492" s="0" t="s">
        <v>50</v>
      </c>
      <c r="AD492" s="0" t="n">
        <v>0</v>
      </c>
      <c r="AF492" s="1" t="n">
        <v>45897</v>
      </c>
      <c r="AJ492" s="0" t="s">
        <v>81</v>
      </c>
      <c r="AM492" s="0" t="s">
        <v>64</v>
      </c>
      <c r="AN492" s="0" t="s">
        <v>198</v>
      </c>
    </row>
    <row r="493" customFormat="false" ht="15" hidden="false" customHeight="false" outlineLevel="0" collapsed="false">
      <c r="A493" s="1" t="n">
        <v>45742</v>
      </c>
      <c r="B493" s="0" t="s">
        <v>1257</v>
      </c>
      <c r="C493" s="0" t="s">
        <v>42</v>
      </c>
      <c r="D493" s="0" t="n">
        <v>8023490911</v>
      </c>
      <c r="E493" s="0" t="s">
        <v>139</v>
      </c>
      <c r="F493" s="0" t="s">
        <v>1258</v>
      </c>
      <c r="G493" s="0" t="s">
        <v>134</v>
      </c>
      <c r="H493" s="0" t="s">
        <v>141</v>
      </c>
      <c r="I493" s="0" t="s">
        <v>142</v>
      </c>
      <c r="J493" s="0" t="s">
        <v>109</v>
      </c>
      <c r="K493" s="0" t="n">
        <v>47415</v>
      </c>
      <c r="L493" s="0" t="s">
        <v>49</v>
      </c>
      <c r="M493" s="0" t="s">
        <v>50</v>
      </c>
      <c r="N493" s="0" t="n">
        <v>2</v>
      </c>
      <c r="O493" s="0" t="n">
        <v>2.9</v>
      </c>
      <c r="P493" s="0" t="s">
        <v>111</v>
      </c>
      <c r="Q493" s="0" t="s">
        <v>52</v>
      </c>
      <c r="S493" s="0" t="s">
        <v>147</v>
      </c>
      <c r="T493" s="0" t="n">
        <v>30</v>
      </c>
      <c r="U493" s="0" t="s">
        <v>55</v>
      </c>
      <c r="V493" s="0" t="s">
        <v>77</v>
      </c>
      <c r="W493" s="0" t="s">
        <v>128</v>
      </c>
      <c r="X493" s="0" t="s">
        <v>196</v>
      </c>
      <c r="Z493" s="0" t="s">
        <v>149</v>
      </c>
      <c r="AA493" s="0" t="n">
        <v>25000</v>
      </c>
      <c r="AB493" s="0" t="n">
        <v>20000</v>
      </c>
      <c r="AC493" s="0" t="s">
        <v>82</v>
      </c>
      <c r="AD493" s="0" t="n">
        <v>0</v>
      </c>
      <c r="AE493" s="0" t="s">
        <v>184</v>
      </c>
      <c r="AF493" s="0" t="s">
        <v>571</v>
      </c>
      <c r="AH493" s="0" t="s">
        <v>171</v>
      </c>
      <c r="AJ493" s="0" t="s">
        <v>81</v>
      </c>
      <c r="AK493" s="0" t="s">
        <v>61</v>
      </c>
      <c r="AM493" s="0" t="s">
        <v>83</v>
      </c>
      <c r="AN493" s="0" t="s">
        <v>50</v>
      </c>
    </row>
    <row r="494" customFormat="false" ht="15" hidden="false" customHeight="false" outlineLevel="0" collapsed="false">
      <c r="A494" s="1" t="n">
        <v>45870</v>
      </c>
      <c r="B494" s="0" t="s">
        <v>1259</v>
      </c>
      <c r="C494" s="0" t="s">
        <v>42</v>
      </c>
      <c r="D494" s="0" t="n">
        <v>8033788294</v>
      </c>
      <c r="E494" s="0" t="s">
        <v>43</v>
      </c>
      <c r="F494" s="0" t="s">
        <v>1260</v>
      </c>
      <c r="G494" s="0" t="s">
        <v>134</v>
      </c>
      <c r="H494" s="0" t="s">
        <v>242</v>
      </c>
      <c r="I494" s="0" t="s">
        <v>108</v>
      </c>
      <c r="J494" s="0" t="s">
        <v>90</v>
      </c>
      <c r="K494" s="0" t="n">
        <v>14244</v>
      </c>
      <c r="L494" s="0" t="s">
        <v>91</v>
      </c>
      <c r="M494" s="0" t="s">
        <v>63</v>
      </c>
      <c r="O494" s="0" t="n">
        <v>2.3</v>
      </c>
      <c r="P494" s="0" t="s">
        <v>51</v>
      </c>
      <c r="Q494" s="0" t="s">
        <v>52</v>
      </c>
      <c r="R494" s="0" t="s">
        <v>94</v>
      </c>
      <c r="S494" s="0" t="s">
        <v>147</v>
      </c>
      <c r="T494" s="0" t="n">
        <v>15</v>
      </c>
      <c r="U494" s="0" t="s">
        <v>55</v>
      </c>
      <c r="V494" s="0" t="s">
        <v>97</v>
      </c>
      <c r="W494" s="0" t="s">
        <v>57</v>
      </c>
      <c r="X494" s="0" t="s">
        <v>58</v>
      </c>
      <c r="Y494" s="0" t="s">
        <v>197</v>
      </c>
      <c r="Z494" s="0" t="s">
        <v>161</v>
      </c>
      <c r="AB494" s="0" t="n">
        <v>35000</v>
      </c>
      <c r="AC494" s="0" t="s">
        <v>61</v>
      </c>
      <c r="AE494" s="0" t="s">
        <v>130</v>
      </c>
      <c r="AG494" s="0" t="s">
        <v>50</v>
      </c>
      <c r="AI494" s="0" t="s">
        <v>101</v>
      </c>
      <c r="AK494" s="0" t="s">
        <v>61</v>
      </c>
      <c r="AL494" s="0" t="s">
        <v>50</v>
      </c>
      <c r="AN494" s="0" t="s">
        <v>50</v>
      </c>
    </row>
    <row r="495" customFormat="false" ht="15" hidden="false" customHeight="false" outlineLevel="0" collapsed="false">
      <c r="A495" s="1" t="n">
        <v>45700</v>
      </c>
      <c r="B495" s="0" t="s">
        <v>1261</v>
      </c>
      <c r="C495" s="0" t="s">
        <v>66</v>
      </c>
      <c r="D495" s="0" t="n">
        <v>8049479427</v>
      </c>
      <c r="E495" s="0" t="s">
        <v>122</v>
      </c>
      <c r="F495" s="0" t="s">
        <v>1262</v>
      </c>
      <c r="G495" s="0" t="s">
        <v>45</v>
      </c>
      <c r="H495" s="0" t="s">
        <v>141</v>
      </c>
      <c r="I495" s="0" t="s">
        <v>89</v>
      </c>
      <c r="J495" s="0" t="s">
        <v>48</v>
      </c>
      <c r="K495" s="0" t="n">
        <v>42728</v>
      </c>
      <c r="L495" s="0" t="s">
        <v>110</v>
      </c>
      <c r="M495" s="0" t="s">
        <v>63</v>
      </c>
      <c r="O495" s="0" t="n">
        <v>1.3</v>
      </c>
      <c r="P495" s="0" t="s">
        <v>92</v>
      </c>
      <c r="Q495" s="0" t="s">
        <v>93</v>
      </c>
      <c r="R495" s="0" t="s">
        <v>94</v>
      </c>
      <c r="S495" s="0" t="s">
        <v>54</v>
      </c>
      <c r="T495" s="0" t="n">
        <v>30</v>
      </c>
      <c r="U495" s="0" t="s">
        <v>112</v>
      </c>
      <c r="V495" s="0" t="s">
        <v>56</v>
      </c>
      <c r="W495" s="0" t="s">
        <v>128</v>
      </c>
      <c r="X495" s="0" t="s">
        <v>99</v>
      </c>
      <c r="AA495" s="0" t="n">
        <v>40000</v>
      </c>
      <c r="AB495" s="0" t="n">
        <v>40000</v>
      </c>
      <c r="AC495" s="0" t="s">
        <v>82</v>
      </c>
      <c r="AD495" s="0" t="n">
        <v>10000</v>
      </c>
      <c r="AF495" s="1" t="n">
        <v>45880</v>
      </c>
      <c r="AG495" s="0" t="s">
        <v>61</v>
      </c>
      <c r="AH495" s="0" t="s">
        <v>171</v>
      </c>
      <c r="AJ495" s="0" t="s">
        <v>62</v>
      </c>
      <c r="AK495" s="0" t="s">
        <v>50</v>
      </c>
      <c r="AL495" s="0" t="s">
        <v>102</v>
      </c>
      <c r="AM495" s="0" t="s">
        <v>103</v>
      </c>
    </row>
    <row r="496" customFormat="false" ht="15" hidden="false" customHeight="false" outlineLevel="0" collapsed="false">
      <c r="A496" s="1" t="n">
        <v>45705</v>
      </c>
      <c r="B496" s="0" t="s">
        <v>1263</v>
      </c>
      <c r="C496" s="0" t="s">
        <v>66</v>
      </c>
      <c r="D496" s="0" t="n">
        <v>8026663316</v>
      </c>
      <c r="E496" s="0" t="s">
        <v>67</v>
      </c>
      <c r="F496" s="0" t="s">
        <v>1264</v>
      </c>
      <c r="G496" s="0" t="s">
        <v>69</v>
      </c>
      <c r="H496" s="0" t="s">
        <v>135</v>
      </c>
      <c r="I496" s="0" t="s">
        <v>189</v>
      </c>
      <c r="K496" s="0" t="n">
        <v>17687</v>
      </c>
      <c r="L496" s="0" t="s">
        <v>110</v>
      </c>
      <c r="M496" s="0" t="s">
        <v>50</v>
      </c>
      <c r="N496" s="0" t="n">
        <v>1</v>
      </c>
      <c r="O496" s="0" t="n">
        <v>4.5</v>
      </c>
      <c r="P496" s="0" t="s">
        <v>125</v>
      </c>
      <c r="Q496" s="0" t="s">
        <v>73</v>
      </c>
      <c r="R496" s="0" t="s">
        <v>136</v>
      </c>
      <c r="S496" s="0" t="s">
        <v>147</v>
      </c>
      <c r="T496" s="0" t="n">
        <v>60</v>
      </c>
      <c r="U496" s="0" t="s">
        <v>112</v>
      </c>
      <c r="V496" s="0" t="s">
        <v>148</v>
      </c>
      <c r="W496" s="0" t="s">
        <v>57</v>
      </c>
      <c r="X496" s="0" t="s">
        <v>137</v>
      </c>
      <c r="Z496" s="0" t="s">
        <v>143</v>
      </c>
      <c r="AA496" s="0" t="n">
        <v>30000</v>
      </c>
      <c r="AB496" s="0" t="n">
        <v>35000</v>
      </c>
      <c r="AC496" s="0" t="s">
        <v>61</v>
      </c>
      <c r="AE496" s="0" t="s">
        <v>184</v>
      </c>
      <c r="AG496" s="0" t="s">
        <v>63</v>
      </c>
      <c r="AI496" s="0" t="s">
        <v>101</v>
      </c>
      <c r="AJ496" s="0" t="s">
        <v>63</v>
      </c>
      <c r="AK496" s="0" t="s">
        <v>63</v>
      </c>
      <c r="AN496" s="0" t="s">
        <v>190</v>
      </c>
    </row>
    <row r="497" customFormat="false" ht="15" hidden="false" customHeight="false" outlineLevel="0" collapsed="false">
      <c r="A497" s="1" t="n">
        <v>45738</v>
      </c>
      <c r="B497" s="0" t="s">
        <v>1265</v>
      </c>
      <c r="C497" s="0" t="s">
        <v>163</v>
      </c>
      <c r="D497" s="0" t="n">
        <v>8081760022</v>
      </c>
      <c r="E497" s="0" t="s">
        <v>67</v>
      </c>
      <c r="F497" s="0" t="s">
        <v>1266</v>
      </c>
      <c r="G497" s="0" t="s">
        <v>45</v>
      </c>
      <c r="H497" s="0" t="s">
        <v>146</v>
      </c>
      <c r="I497" s="0" t="s">
        <v>108</v>
      </c>
      <c r="J497" s="0" t="s">
        <v>71</v>
      </c>
      <c r="K497" s="0" t="n">
        <v>26343</v>
      </c>
      <c r="L497" s="0" t="s">
        <v>166</v>
      </c>
      <c r="M497" s="0" t="s">
        <v>63</v>
      </c>
      <c r="O497" s="0" t="n">
        <v>3.1</v>
      </c>
      <c r="P497" s="0" t="s">
        <v>111</v>
      </c>
      <c r="Q497" s="0" t="s">
        <v>52</v>
      </c>
      <c r="S497" s="0" t="s">
        <v>75</v>
      </c>
      <c r="T497" s="0" t="n">
        <v>60</v>
      </c>
      <c r="U497" s="0" t="s">
        <v>76</v>
      </c>
      <c r="V497" s="0" t="s">
        <v>77</v>
      </c>
      <c r="W497" s="0" t="s">
        <v>128</v>
      </c>
      <c r="X497" s="0" t="s">
        <v>99</v>
      </c>
      <c r="Y497" s="0" t="s">
        <v>156</v>
      </c>
      <c r="Z497" s="0" t="s">
        <v>149</v>
      </c>
      <c r="AA497" s="0" t="n">
        <v>30000</v>
      </c>
      <c r="AB497" s="0" t="n">
        <v>35000</v>
      </c>
      <c r="AC497" s="0" t="s">
        <v>82</v>
      </c>
      <c r="AE497" s="0" t="s">
        <v>60</v>
      </c>
      <c r="AF497" s="1" t="n">
        <v>45943</v>
      </c>
      <c r="AG497" s="0" t="s">
        <v>82</v>
      </c>
      <c r="AI497" s="0" t="s">
        <v>172</v>
      </c>
      <c r="AK497" s="0" t="s">
        <v>50</v>
      </c>
      <c r="AL497" s="0" t="s">
        <v>50</v>
      </c>
      <c r="AN497" s="0" t="s">
        <v>63</v>
      </c>
    </row>
    <row r="498" customFormat="false" ht="15" hidden="false" customHeight="false" outlineLevel="0" collapsed="false">
      <c r="A498" s="1" t="n">
        <v>45666</v>
      </c>
      <c r="B498" s="0" t="s">
        <v>1267</v>
      </c>
      <c r="C498" s="0" t="s">
        <v>66</v>
      </c>
      <c r="D498" s="0" t="n">
        <v>8062458932</v>
      </c>
      <c r="E498" s="0" t="s">
        <v>139</v>
      </c>
      <c r="F498" s="0" t="s">
        <v>1268</v>
      </c>
      <c r="G498" s="0" t="s">
        <v>45</v>
      </c>
      <c r="H498" s="0" t="s">
        <v>153</v>
      </c>
      <c r="I498" s="0" t="s">
        <v>154</v>
      </c>
      <c r="J498" s="0" t="s">
        <v>71</v>
      </c>
      <c r="K498" s="0" t="n">
        <v>12209</v>
      </c>
      <c r="L498" s="0" t="s">
        <v>166</v>
      </c>
      <c r="M498" s="0" t="s">
        <v>50</v>
      </c>
      <c r="N498" s="0" t="n">
        <v>5</v>
      </c>
      <c r="O498" s="0" t="n">
        <v>1.2</v>
      </c>
      <c r="P498" s="0" t="s">
        <v>125</v>
      </c>
      <c r="Q498" s="0" t="s">
        <v>73</v>
      </c>
      <c r="R498" s="0" t="s">
        <v>136</v>
      </c>
      <c r="S498" s="0" t="s">
        <v>75</v>
      </c>
      <c r="U498" s="0" t="s">
        <v>55</v>
      </c>
      <c r="V498" s="0" t="s">
        <v>155</v>
      </c>
      <c r="W498" s="0" t="s">
        <v>57</v>
      </c>
      <c r="X498" s="0" t="s">
        <v>114</v>
      </c>
      <c r="Z498" s="0" t="s">
        <v>161</v>
      </c>
      <c r="AA498" s="0" t="n">
        <v>40000</v>
      </c>
      <c r="AC498" s="0" t="s">
        <v>82</v>
      </c>
      <c r="AD498" s="0" t="n">
        <v>10000</v>
      </c>
      <c r="AE498" s="0" t="s">
        <v>184</v>
      </c>
      <c r="AF498" s="1" t="n">
        <v>45998</v>
      </c>
      <c r="AG498" s="0" t="s">
        <v>61</v>
      </c>
      <c r="AI498" s="0" t="s">
        <v>172</v>
      </c>
      <c r="AJ498" s="0" t="s">
        <v>63</v>
      </c>
      <c r="AL498" s="0" t="s">
        <v>50</v>
      </c>
      <c r="AM498" s="0" t="s">
        <v>64</v>
      </c>
    </row>
    <row r="499" customFormat="false" ht="15" hidden="false" customHeight="false" outlineLevel="0" collapsed="false">
      <c r="A499" s="1" t="n">
        <v>45691</v>
      </c>
      <c r="B499" s="0" t="s">
        <v>1269</v>
      </c>
      <c r="C499" s="0" t="s">
        <v>42</v>
      </c>
      <c r="D499" s="0" t="n">
        <v>8032609429</v>
      </c>
      <c r="E499" s="0" t="s">
        <v>43</v>
      </c>
      <c r="F499" s="0" t="s">
        <v>1270</v>
      </c>
      <c r="G499" s="0" t="s">
        <v>45</v>
      </c>
      <c r="H499" s="0" t="s">
        <v>70</v>
      </c>
      <c r="I499" s="0" t="s">
        <v>154</v>
      </c>
      <c r="J499" s="0" t="s">
        <v>90</v>
      </c>
      <c r="K499" s="0" t="n">
        <v>90758</v>
      </c>
      <c r="L499" s="0" t="s">
        <v>166</v>
      </c>
      <c r="M499" s="0" t="s">
        <v>63</v>
      </c>
      <c r="N499" s="0" t="n">
        <v>2</v>
      </c>
      <c r="O499" s="0" t="n">
        <v>1.5</v>
      </c>
      <c r="Q499" s="0" t="s">
        <v>93</v>
      </c>
      <c r="R499" s="0" t="s">
        <v>136</v>
      </c>
      <c r="S499" s="0" t="s">
        <v>147</v>
      </c>
      <c r="U499" s="0" t="s">
        <v>76</v>
      </c>
      <c r="V499" s="0" t="s">
        <v>155</v>
      </c>
      <c r="W499" s="0" t="s">
        <v>57</v>
      </c>
      <c r="X499" s="0" t="s">
        <v>58</v>
      </c>
      <c r="Y499" s="0" t="s">
        <v>59</v>
      </c>
      <c r="Z499" s="0" t="s">
        <v>161</v>
      </c>
      <c r="AA499" s="0" t="n">
        <v>25000</v>
      </c>
      <c r="AC499" s="0" t="s">
        <v>63</v>
      </c>
      <c r="AE499" s="0" t="s">
        <v>184</v>
      </c>
      <c r="AG499" s="0" t="s">
        <v>50</v>
      </c>
      <c r="AJ499" s="0" t="s">
        <v>81</v>
      </c>
      <c r="AK499" s="0" t="s">
        <v>63</v>
      </c>
      <c r="AL499" s="0" t="s">
        <v>50</v>
      </c>
      <c r="AM499" s="0" t="s">
        <v>64</v>
      </c>
      <c r="AN499" s="0" t="s">
        <v>198</v>
      </c>
    </row>
    <row r="500" customFormat="false" ht="15" hidden="false" customHeight="false" outlineLevel="0" collapsed="false">
      <c r="A500" s="0" t="s">
        <v>592</v>
      </c>
      <c r="B500" s="0" t="s">
        <v>1271</v>
      </c>
      <c r="C500" s="0" t="s">
        <v>42</v>
      </c>
      <c r="D500" s="0" t="n">
        <v>8020413322</v>
      </c>
      <c r="E500" s="0" t="s">
        <v>122</v>
      </c>
      <c r="F500" s="0" t="s">
        <v>1272</v>
      </c>
      <c r="G500" s="0" t="s">
        <v>107</v>
      </c>
      <c r="H500" s="0" t="s">
        <v>176</v>
      </c>
      <c r="I500" s="0" t="s">
        <v>108</v>
      </c>
      <c r="J500" s="0" t="s">
        <v>48</v>
      </c>
      <c r="K500" s="0" t="n">
        <v>57603</v>
      </c>
      <c r="L500" s="0" t="s">
        <v>110</v>
      </c>
      <c r="M500" s="0" t="s">
        <v>50</v>
      </c>
      <c r="N500" s="0" t="n">
        <v>2</v>
      </c>
      <c r="O500" s="0" t="n">
        <v>6</v>
      </c>
      <c r="P500" s="0" t="s">
        <v>125</v>
      </c>
      <c r="Q500" s="0" t="s">
        <v>93</v>
      </c>
      <c r="R500" s="0" t="s">
        <v>53</v>
      </c>
      <c r="S500" s="0" t="s">
        <v>54</v>
      </c>
      <c r="T500" s="0" t="n">
        <v>15</v>
      </c>
      <c r="U500" s="0" t="s">
        <v>112</v>
      </c>
      <c r="V500" s="0" t="s">
        <v>77</v>
      </c>
      <c r="W500" s="0" t="s">
        <v>113</v>
      </c>
      <c r="X500" s="0" t="s">
        <v>196</v>
      </c>
      <c r="Y500" s="0" t="s">
        <v>156</v>
      </c>
      <c r="Z500" s="0" t="s">
        <v>161</v>
      </c>
      <c r="AA500" s="0" t="n">
        <v>30000</v>
      </c>
      <c r="AB500" s="0" t="n">
        <v>35000</v>
      </c>
      <c r="AC500" s="0" t="s">
        <v>63</v>
      </c>
      <c r="AD500" s="0" t="s">
        <v>115</v>
      </c>
      <c r="AE500" s="0" t="s">
        <v>80</v>
      </c>
      <c r="AG500" s="0" t="s">
        <v>50</v>
      </c>
      <c r="AH500" s="0" t="s">
        <v>116</v>
      </c>
      <c r="AK500" s="0" t="s">
        <v>82</v>
      </c>
      <c r="AL500" s="0" t="s">
        <v>63</v>
      </c>
      <c r="AM500" s="0" t="s">
        <v>118</v>
      </c>
      <c r="AN500" s="0" t="s">
        <v>198</v>
      </c>
    </row>
    <row r="501" customFormat="false" ht="15" hidden="false" customHeight="false" outlineLevel="0" collapsed="false">
      <c r="A501" s="1" t="n">
        <v>45702</v>
      </c>
      <c r="B501" s="0" t="s">
        <v>1273</v>
      </c>
      <c r="C501" s="0" t="s">
        <v>42</v>
      </c>
      <c r="D501" s="0" t="n">
        <v>8011504663</v>
      </c>
      <c r="E501" s="0" t="s">
        <v>139</v>
      </c>
      <c r="F501" s="0" t="s">
        <v>1274</v>
      </c>
      <c r="G501" s="0" t="s">
        <v>45</v>
      </c>
      <c r="H501" s="0" t="s">
        <v>88</v>
      </c>
      <c r="I501" s="0" t="s">
        <v>154</v>
      </c>
      <c r="J501" s="0" t="s">
        <v>48</v>
      </c>
      <c r="K501" s="0" t="n">
        <v>63154</v>
      </c>
      <c r="L501" s="0" t="s">
        <v>72</v>
      </c>
      <c r="M501" s="0" t="s">
        <v>63</v>
      </c>
      <c r="N501" s="0" t="n">
        <v>3</v>
      </c>
      <c r="O501" s="0" t="n">
        <v>3.3</v>
      </c>
      <c r="P501" s="0" t="s">
        <v>92</v>
      </c>
      <c r="Q501" s="0" t="s">
        <v>73</v>
      </c>
      <c r="R501" s="0" t="s">
        <v>94</v>
      </c>
      <c r="S501" s="0" t="s">
        <v>75</v>
      </c>
      <c r="U501" s="0" t="s">
        <v>160</v>
      </c>
      <c r="V501" s="0" t="s">
        <v>56</v>
      </c>
      <c r="W501" s="0" t="s">
        <v>78</v>
      </c>
      <c r="X501" s="0" t="s">
        <v>137</v>
      </c>
      <c r="Z501" s="0" t="s">
        <v>149</v>
      </c>
      <c r="AC501" s="0" t="s">
        <v>61</v>
      </c>
      <c r="AD501" s="0" t="n">
        <v>0</v>
      </c>
      <c r="AE501" s="0" t="s">
        <v>80</v>
      </c>
      <c r="AG501" s="0" t="s">
        <v>50</v>
      </c>
      <c r="AH501" s="0" t="s">
        <v>171</v>
      </c>
      <c r="AI501" s="0" t="s">
        <v>117</v>
      </c>
      <c r="AJ501" s="0" t="s">
        <v>50</v>
      </c>
      <c r="AK501" s="0" t="s">
        <v>61</v>
      </c>
      <c r="AN501" s="0" t="s">
        <v>50</v>
      </c>
    </row>
    <row r="502" customFormat="false" ht="15" hidden="false" customHeight="false" outlineLevel="0" collapsed="false">
      <c r="A502" s="1" t="n">
        <v>45771</v>
      </c>
      <c r="B502" s="0" t="s">
        <v>1275</v>
      </c>
      <c r="C502" s="0" t="s">
        <v>121</v>
      </c>
      <c r="D502" s="0" t="n">
        <v>8046675298</v>
      </c>
      <c r="E502" s="0" t="s">
        <v>139</v>
      </c>
      <c r="F502" s="0" t="s">
        <v>1276</v>
      </c>
      <c r="G502" s="0" t="s">
        <v>69</v>
      </c>
      <c r="H502" s="0" t="s">
        <v>272</v>
      </c>
      <c r="I502" s="0" t="s">
        <v>154</v>
      </c>
      <c r="J502" s="0" t="s">
        <v>71</v>
      </c>
      <c r="K502" s="0" t="n">
        <v>75062</v>
      </c>
      <c r="L502" s="0" t="s">
        <v>110</v>
      </c>
      <c r="M502" s="0" t="s">
        <v>50</v>
      </c>
      <c r="N502" s="0" t="n">
        <v>3</v>
      </c>
      <c r="O502" s="0" t="n">
        <v>5.7</v>
      </c>
      <c r="P502" s="0" t="s">
        <v>51</v>
      </c>
      <c r="Q502" s="0" t="s">
        <v>93</v>
      </c>
      <c r="R502" s="0" t="s">
        <v>74</v>
      </c>
      <c r="S502" s="0" t="s">
        <v>75</v>
      </c>
      <c r="T502" s="0" t="n">
        <v>60</v>
      </c>
      <c r="U502" s="0" t="s">
        <v>55</v>
      </c>
      <c r="V502" s="0" t="s">
        <v>97</v>
      </c>
      <c r="W502" s="0" t="s">
        <v>98</v>
      </c>
      <c r="X502" s="0" t="s">
        <v>58</v>
      </c>
      <c r="Y502" s="0" t="s">
        <v>177</v>
      </c>
      <c r="Z502" s="0" t="s">
        <v>149</v>
      </c>
      <c r="AA502" s="0" t="n">
        <v>30000</v>
      </c>
      <c r="AB502" s="0" t="s">
        <v>178</v>
      </c>
      <c r="AD502" s="0" t="s">
        <v>115</v>
      </c>
      <c r="AF502" s="0" t="s">
        <v>486</v>
      </c>
      <c r="AG502" s="0" t="s">
        <v>82</v>
      </c>
      <c r="AI502" s="0" t="s">
        <v>117</v>
      </c>
      <c r="AL502" s="0" t="s">
        <v>102</v>
      </c>
      <c r="AM502" s="0" t="s">
        <v>103</v>
      </c>
      <c r="AN502" s="0" t="s">
        <v>198</v>
      </c>
    </row>
    <row r="503" customFormat="false" ht="15" hidden="false" customHeight="false" outlineLevel="0" collapsed="false">
      <c r="A503" s="1" t="n">
        <v>45664</v>
      </c>
      <c r="B503" s="0" t="s">
        <v>1277</v>
      </c>
      <c r="C503" s="0" t="s">
        <v>66</v>
      </c>
      <c r="D503" s="0" t="n">
        <v>8030601948</v>
      </c>
      <c r="E503" s="0" t="s">
        <v>85</v>
      </c>
      <c r="F503" s="0" t="s">
        <v>1278</v>
      </c>
      <c r="G503" s="0" t="s">
        <v>69</v>
      </c>
      <c r="H503" s="0" t="s">
        <v>88</v>
      </c>
      <c r="I503" s="0" t="s">
        <v>47</v>
      </c>
      <c r="J503" s="0" t="s">
        <v>109</v>
      </c>
      <c r="K503" s="0" t="n">
        <v>83980</v>
      </c>
      <c r="L503" s="0" t="s">
        <v>166</v>
      </c>
      <c r="M503" s="0" t="s">
        <v>50</v>
      </c>
      <c r="N503" s="0" t="n">
        <v>3</v>
      </c>
      <c r="O503" s="0" t="n">
        <v>4.2</v>
      </c>
      <c r="P503" s="0" t="s">
        <v>92</v>
      </c>
      <c r="Q503" s="0" t="s">
        <v>52</v>
      </c>
      <c r="R503" s="0" t="s">
        <v>74</v>
      </c>
      <c r="S503" s="0" t="s">
        <v>147</v>
      </c>
      <c r="T503" s="0" t="n">
        <v>15</v>
      </c>
      <c r="U503" s="0" t="s">
        <v>160</v>
      </c>
      <c r="V503" s="0" t="s">
        <v>97</v>
      </c>
      <c r="W503" s="0" t="s">
        <v>113</v>
      </c>
      <c r="X503" s="0" t="s">
        <v>58</v>
      </c>
      <c r="Y503" s="0" t="s">
        <v>156</v>
      </c>
      <c r="Z503" s="0" t="s">
        <v>161</v>
      </c>
      <c r="AA503" s="0" t="s">
        <v>150</v>
      </c>
      <c r="AB503" s="0" t="s">
        <v>178</v>
      </c>
      <c r="AD503" s="0" t="n">
        <v>5000</v>
      </c>
      <c r="AG503" s="0" t="s">
        <v>82</v>
      </c>
      <c r="AI503" s="0" t="s">
        <v>117</v>
      </c>
      <c r="AJ503" s="0" t="s">
        <v>50</v>
      </c>
      <c r="AK503" s="0" t="s">
        <v>50</v>
      </c>
      <c r="AL503" s="0" t="s">
        <v>50</v>
      </c>
      <c r="AM503" s="0" t="s">
        <v>83</v>
      </c>
      <c r="AN503" s="0" t="s">
        <v>50</v>
      </c>
    </row>
    <row r="504" customFormat="false" ht="15" hidden="false" customHeight="false" outlineLevel="0" collapsed="false">
      <c r="A504" s="1" t="n">
        <v>45781</v>
      </c>
      <c r="B504" s="0" t="s">
        <v>1279</v>
      </c>
      <c r="C504" s="0" t="s">
        <v>163</v>
      </c>
      <c r="D504" s="0" t="n">
        <v>8069144114</v>
      </c>
      <c r="E504" s="0" t="s">
        <v>139</v>
      </c>
      <c r="F504" s="0" t="s">
        <v>1280</v>
      </c>
      <c r="G504" s="0" t="s">
        <v>45</v>
      </c>
      <c r="H504" s="0" t="s">
        <v>135</v>
      </c>
      <c r="I504" s="0" t="s">
        <v>142</v>
      </c>
      <c r="J504" s="0" t="s">
        <v>90</v>
      </c>
      <c r="K504" s="0" t="n">
        <v>110717</v>
      </c>
      <c r="L504" s="0" t="s">
        <v>124</v>
      </c>
      <c r="M504" s="0" t="s">
        <v>50</v>
      </c>
      <c r="N504" s="0" t="n">
        <v>4</v>
      </c>
      <c r="O504" s="0" t="n">
        <v>2</v>
      </c>
      <c r="P504" s="0" t="s">
        <v>111</v>
      </c>
      <c r="Q504" s="0" t="s">
        <v>93</v>
      </c>
      <c r="R504" s="0" t="s">
        <v>94</v>
      </c>
      <c r="S504" s="0" t="s">
        <v>147</v>
      </c>
      <c r="T504" s="0" t="s">
        <v>127</v>
      </c>
      <c r="U504" s="0" t="s">
        <v>55</v>
      </c>
      <c r="V504" s="0" t="s">
        <v>155</v>
      </c>
      <c r="W504" s="0" t="s">
        <v>113</v>
      </c>
      <c r="X504" s="0" t="s">
        <v>137</v>
      </c>
      <c r="Y504" s="0" t="s">
        <v>197</v>
      </c>
      <c r="Z504" s="0" t="s">
        <v>161</v>
      </c>
      <c r="AA504" s="0" t="n">
        <v>15000</v>
      </c>
      <c r="AB504" s="0" t="n">
        <v>30000</v>
      </c>
      <c r="AC504" s="0" t="s">
        <v>50</v>
      </c>
      <c r="AD504" s="0" t="n">
        <v>0</v>
      </c>
      <c r="AE504" s="0" t="s">
        <v>130</v>
      </c>
      <c r="AG504" s="0" t="s">
        <v>61</v>
      </c>
      <c r="AH504" s="0" t="s">
        <v>116</v>
      </c>
      <c r="AJ504" s="0" t="s">
        <v>81</v>
      </c>
      <c r="AL504" s="0" t="s">
        <v>63</v>
      </c>
      <c r="AM504" s="0" t="s">
        <v>103</v>
      </c>
      <c r="AN504" s="0" t="s">
        <v>63</v>
      </c>
    </row>
    <row r="505" customFormat="false" ht="15" hidden="false" customHeight="false" outlineLevel="0" collapsed="false">
      <c r="A505" s="1" t="n">
        <v>45792</v>
      </c>
      <c r="B505" s="0" t="s">
        <v>1281</v>
      </c>
      <c r="C505" s="0" t="s">
        <v>42</v>
      </c>
      <c r="D505" s="0" t="n">
        <v>8058061622</v>
      </c>
      <c r="E505" s="0" t="s">
        <v>67</v>
      </c>
      <c r="F505" s="0" t="s">
        <v>1282</v>
      </c>
      <c r="G505" s="0" t="s">
        <v>107</v>
      </c>
      <c r="H505" s="0" t="s">
        <v>88</v>
      </c>
      <c r="I505" s="0" t="s">
        <v>142</v>
      </c>
      <c r="J505" s="0" t="s">
        <v>109</v>
      </c>
      <c r="K505" s="0" t="n">
        <v>93864</v>
      </c>
      <c r="L505" s="0" t="s">
        <v>124</v>
      </c>
      <c r="M505" s="0" t="s">
        <v>63</v>
      </c>
      <c r="N505" s="0" t="n">
        <v>1</v>
      </c>
      <c r="O505" s="0" t="n">
        <v>3.7</v>
      </c>
      <c r="P505" s="0" t="s">
        <v>51</v>
      </c>
      <c r="Q505" s="0" t="s">
        <v>73</v>
      </c>
      <c r="R505" s="0" t="s">
        <v>74</v>
      </c>
      <c r="S505" s="0" t="s">
        <v>167</v>
      </c>
      <c r="T505" s="0" t="n">
        <v>15</v>
      </c>
      <c r="U505" s="0" t="s">
        <v>96</v>
      </c>
      <c r="V505" s="0" t="s">
        <v>155</v>
      </c>
      <c r="W505" s="0" t="s">
        <v>113</v>
      </c>
      <c r="X505" s="0" t="s">
        <v>58</v>
      </c>
      <c r="Z505" s="0" t="s">
        <v>149</v>
      </c>
      <c r="AA505" s="0" t="n">
        <v>40000</v>
      </c>
      <c r="AB505" s="0" t="n">
        <v>35000</v>
      </c>
      <c r="AC505" s="0" t="s">
        <v>63</v>
      </c>
      <c r="AD505" s="0" t="n">
        <v>10000</v>
      </c>
      <c r="AE505" s="0" t="s">
        <v>184</v>
      </c>
      <c r="AG505" s="0" t="s">
        <v>61</v>
      </c>
      <c r="AJ505" s="0" t="s">
        <v>63</v>
      </c>
      <c r="AK505" s="0" t="s">
        <v>61</v>
      </c>
      <c r="AL505" s="0" t="s">
        <v>63</v>
      </c>
      <c r="AM505" s="0" t="s">
        <v>64</v>
      </c>
      <c r="AN505" s="0" t="s">
        <v>50</v>
      </c>
    </row>
    <row r="506" customFormat="false" ht="15" hidden="false" customHeight="false" outlineLevel="0" collapsed="false">
      <c r="A506" s="1" t="n">
        <v>45683</v>
      </c>
      <c r="B506" s="0" t="s">
        <v>1283</v>
      </c>
      <c r="C506" s="0" t="s">
        <v>121</v>
      </c>
      <c r="D506" s="0" t="n">
        <v>8033882733</v>
      </c>
      <c r="E506" s="0" t="s">
        <v>43</v>
      </c>
      <c r="F506" s="0" t="s">
        <v>1284</v>
      </c>
      <c r="G506" s="0" t="s">
        <v>87</v>
      </c>
      <c r="H506" s="0" t="s">
        <v>146</v>
      </c>
      <c r="I506" s="0" t="s">
        <v>47</v>
      </c>
      <c r="J506" s="0" t="s">
        <v>48</v>
      </c>
      <c r="K506" s="0" t="n">
        <v>69175</v>
      </c>
      <c r="L506" s="0" t="s">
        <v>124</v>
      </c>
      <c r="M506" s="0" t="s">
        <v>63</v>
      </c>
      <c r="N506" s="0" t="n">
        <v>3</v>
      </c>
      <c r="O506" s="0" t="n">
        <v>5.1</v>
      </c>
      <c r="Q506" s="0" t="s">
        <v>93</v>
      </c>
      <c r="S506" s="0" t="s">
        <v>126</v>
      </c>
      <c r="T506" s="0" t="n">
        <v>60</v>
      </c>
      <c r="U506" s="0" t="s">
        <v>160</v>
      </c>
      <c r="V506" s="0" t="s">
        <v>148</v>
      </c>
      <c r="W506" s="0" t="s">
        <v>113</v>
      </c>
      <c r="X506" s="0" t="s">
        <v>196</v>
      </c>
      <c r="Y506" s="0" t="s">
        <v>177</v>
      </c>
      <c r="Z506" s="0" t="s">
        <v>149</v>
      </c>
      <c r="AB506" s="0" t="s">
        <v>178</v>
      </c>
      <c r="AD506" s="0" t="n">
        <v>0</v>
      </c>
      <c r="AE506" s="0" t="s">
        <v>184</v>
      </c>
      <c r="AG506" s="0" t="s">
        <v>61</v>
      </c>
      <c r="AH506" s="0" t="s">
        <v>116</v>
      </c>
      <c r="AK506" s="0" t="s">
        <v>63</v>
      </c>
      <c r="AM506" s="0" t="s">
        <v>118</v>
      </c>
      <c r="AN506" s="0" t="s">
        <v>63</v>
      </c>
    </row>
    <row r="507" customFormat="false" ht="15" hidden="false" customHeight="false" outlineLevel="0" collapsed="false">
      <c r="A507" s="1" t="n">
        <v>45757</v>
      </c>
      <c r="B507" s="0" t="s">
        <v>1285</v>
      </c>
      <c r="C507" s="0" t="s">
        <v>66</v>
      </c>
      <c r="D507" s="0" t="n">
        <v>8039081281</v>
      </c>
      <c r="E507" s="0" t="s">
        <v>139</v>
      </c>
      <c r="F507" s="0" t="s">
        <v>1286</v>
      </c>
      <c r="G507" s="0" t="s">
        <v>134</v>
      </c>
      <c r="I507" s="0" t="s">
        <v>142</v>
      </c>
      <c r="J507" s="0" t="s">
        <v>71</v>
      </c>
      <c r="K507" s="0" t="n">
        <v>58308</v>
      </c>
      <c r="L507" s="0" t="s">
        <v>72</v>
      </c>
      <c r="M507" s="0" t="s">
        <v>63</v>
      </c>
      <c r="N507" s="0" t="n">
        <v>5</v>
      </c>
      <c r="O507" s="0" t="n">
        <v>5.6</v>
      </c>
      <c r="P507" s="0" t="s">
        <v>51</v>
      </c>
      <c r="Q507" s="0" t="s">
        <v>93</v>
      </c>
      <c r="R507" s="0" t="s">
        <v>94</v>
      </c>
      <c r="S507" s="0" t="s">
        <v>75</v>
      </c>
      <c r="T507" s="0" t="n">
        <v>60</v>
      </c>
      <c r="U507" s="0" t="s">
        <v>160</v>
      </c>
      <c r="V507" s="0" t="s">
        <v>155</v>
      </c>
      <c r="W507" s="0" t="s">
        <v>57</v>
      </c>
      <c r="X507" s="0" t="s">
        <v>137</v>
      </c>
      <c r="Y507" s="0" t="s">
        <v>177</v>
      </c>
      <c r="Z507" s="0" t="s">
        <v>143</v>
      </c>
      <c r="AA507" s="0" t="n">
        <v>15000</v>
      </c>
      <c r="AB507" s="0" t="n">
        <v>35000</v>
      </c>
      <c r="AC507" s="0" t="s">
        <v>82</v>
      </c>
      <c r="AD507" s="0" t="n">
        <v>10000</v>
      </c>
      <c r="AF507" s="1" t="n">
        <v>45910</v>
      </c>
      <c r="AG507" s="0" t="s">
        <v>63</v>
      </c>
      <c r="AI507" s="0" t="s">
        <v>101</v>
      </c>
      <c r="AJ507" s="0" t="s">
        <v>50</v>
      </c>
      <c r="AK507" s="0" t="s">
        <v>50</v>
      </c>
      <c r="AM507" s="0" t="s">
        <v>64</v>
      </c>
      <c r="AN507" s="0" t="s">
        <v>63</v>
      </c>
    </row>
    <row r="508" customFormat="false" ht="15" hidden="false" customHeight="false" outlineLevel="0" collapsed="false">
      <c r="A508" s="0" t="s">
        <v>232</v>
      </c>
      <c r="B508" s="0" t="s">
        <v>1287</v>
      </c>
      <c r="C508" s="0" t="s">
        <v>105</v>
      </c>
      <c r="D508" s="0" t="n">
        <v>8014623108</v>
      </c>
      <c r="E508" s="0" t="s">
        <v>85</v>
      </c>
      <c r="F508" s="0" t="s">
        <v>1288</v>
      </c>
      <c r="G508" s="0" t="s">
        <v>107</v>
      </c>
      <c r="H508" s="0" t="s">
        <v>272</v>
      </c>
      <c r="I508" s="0" t="s">
        <v>89</v>
      </c>
      <c r="J508" s="0" t="s">
        <v>90</v>
      </c>
      <c r="K508" s="0" t="n">
        <v>65468</v>
      </c>
      <c r="L508" s="0" t="s">
        <v>91</v>
      </c>
      <c r="M508" s="0" t="s">
        <v>50</v>
      </c>
      <c r="N508" s="0" t="n">
        <v>5</v>
      </c>
      <c r="O508" s="0" t="n">
        <v>3</v>
      </c>
      <c r="P508" s="0" t="s">
        <v>125</v>
      </c>
      <c r="Q508" s="0" t="s">
        <v>73</v>
      </c>
      <c r="R508" s="0" t="s">
        <v>74</v>
      </c>
      <c r="S508" s="0" t="s">
        <v>126</v>
      </c>
      <c r="T508" s="0" t="n">
        <v>15</v>
      </c>
      <c r="U508" s="0" t="s">
        <v>160</v>
      </c>
      <c r="V508" s="0" t="s">
        <v>97</v>
      </c>
      <c r="W508" s="0" t="s">
        <v>57</v>
      </c>
      <c r="X508" s="0" t="s">
        <v>114</v>
      </c>
      <c r="Y508" s="0" t="s">
        <v>59</v>
      </c>
      <c r="AA508" s="0" t="n">
        <v>40000</v>
      </c>
      <c r="AB508" s="0" t="n">
        <v>40000</v>
      </c>
      <c r="AC508" s="0" t="s">
        <v>63</v>
      </c>
      <c r="AD508" s="0" t="n">
        <v>5000</v>
      </c>
      <c r="AE508" s="0" t="s">
        <v>130</v>
      </c>
      <c r="AG508" s="0" t="s">
        <v>63</v>
      </c>
      <c r="AI508" s="0" t="s">
        <v>117</v>
      </c>
      <c r="AJ508" s="0" t="s">
        <v>81</v>
      </c>
      <c r="AK508" s="0" t="s">
        <v>61</v>
      </c>
      <c r="AL508" s="0" t="s">
        <v>102</v>
      </c>
      <c r="AM508" s="0" t="s">
        <v>64</v>
      </c>
      <c r="AN508" s="0" t="s">
        <v>198</v>
      </c>
    </row>
    <row r="509" customFormat="false" ht="15" hidden="false" customHeight="false" outlineLevel="0" collapsed="false">
      <c r="A509" s="1" t="n">
        <v>45694</v>
      </c>
      <c r="B509" s="0" t="s">
        <v>1289</v>
      </c>
      <c r="C509" s="0" t="s">
        <v>163</v>
      </c>
      <c r="D509" s="0" t="n">
        <v>8081443936</v>
      </c>
      <c r="E509" s="0" t="s">
        <v>139</v>
      </c>
      <c r="F509" s="0" t="s">
        <v>44</v>
      </c>
      <c r="G509" s="0" t="s">
        <v>45</v>
      </c>
      <c r="H509" s="0" t="s">
        <v>46</v>
      </c>
      <c r="I509" s="0" t="s">
        <v>189</v>
      </c>
      <c r="J509" s="0" t="s">
        <v>90</v>
      </c>
      <c r="K509" s="0" t="n">
        <v>113132</v>
      </c>
      <c r="L509" s="0" t="s">
        <v>72</v>
      </c>
      <c r="M509" s="0" t="s">
        <v>63</v>
      </c>
      <c r="N509" s="0" t="n">
        <v>4</v>
      </c>
      <c r="O509" s="0" t="n">
        <v>2.3</v>
      </c>
      <c r="P509" s="0" t="s">
        <v>125</v>
      </c>
      <c r="Q509" s="0" t="s">
        <v>52</v>
      </c>
      <c r="S509" s="0" t="s">
        <v>54</v>
      </c>
      <c r="T509" s="0" t="n">
        <v>30</v>
      </c>
      <c r="U509" s="0" t="s">
        <v>55</v>
      </c>
      <c r="V509" s="0" t="s">
        <v>77</v>
      </c>
      <c r="W509" s="0" t="s">
        <v>78</v>
      </c>
      <c r="X509" s="0" t="s">
        <v>99</v>
      </c>
      <c r="Y509" s="0" t="s">
        <v>197</v>
      </c>
      <c r="Z509" s="0" t="s">
        <v>149</v>
      </c>
      <c r="AA509" s="0" t="n">
        <v>30000</v>
      </c>
      <c r="AB509" s="0" t="n">
        <v>35000</v>
      </c>
      <c r="AD509" s="0" t="n">
        <v>0</v>
      </c>
      <c r="AE509" s="0" t="s">
        <v>60</v>
      </c>
      <c r="AF509" s="1" t="n">
        <v>45935</v>
      </c>
      <c r="AG509" s="0" t="s">
        <v>82</v>
      </c>
      <c r="AH509" s="0" t="s">
        <v>116</v>
      </c>
      <c r="AI509" s="0" t="s">
        <v>117</v>
      </c>
      <c r="AJ509" s="0" t="s">
        <v>81</v>
      </c>
      <c r="AN509" s="0" t="s">
        <v>63</v>
      </c>
    </row>
    <row r="510" customFormat="false" ht="15" hidden="false" customHeight="false" outlineLevel="0" collapsed="false">
      <c r="A510" s="1" t="n">
        <v>45684</v>
      </c>
      <c r="B510" s="0" t="s">
        <v>1290</v>
      </c>
      <c r="C510" s="0" t="s">
        <v>163</v>
      </c>
      <c r="D510" s="0" t="n">
        <v>8039013376</v>
      </c>
      <c r="E510" s="0" t="s">
        <v>67</v>
      </c>
      <c r="F510" s="0" t="s">
        <v>1291</v>
      </c>
      <c r="G510" s="0" t="s">
        <v>69</v>
      </c>
      <c r="H510" s="0" t="s">
        <v>141</v>
      </c>
      <c r="I510" s="0" t="s">
        <v>142</v>
      </c>
      <c r="K510" s="0" t="n">
        <v>50404</v>
      </c>
      <c r="L510" s="0" t="s">
        <v>110</v>
      </c>
      <c r="M510" s="0" t="s">
        <v>50</v>
      </c>
      <c r="N510" s="0" t="n">
        <v>5</v>
      </c>
      <c r="O510" s="0" t="n">
        <v>5.9</v>
      </c>
      <c r="P510" s="0" t="s">
        <v>92</v>
      </c>
      <c r="Q510" s="0" t="s">
        <v>73</v>
      </c>
      <c r="R510" s="0" t="s">
        <v>94</v>
      </c>
      <c r="S510" s="0" t="s">
        <v>126</v>
      </c>
      <c r="T510" s="0" t="n">
        <v>45</v>
      </c>
      <c r="U510" s="0" t="s">
        <v>112</v>
      </c>
      <c r="V510" s="0" t="s">
        <v>56</v>
      </c>
      <c r="W510" s="0" t="s">
        <v>57</v>
      </c>
      <c r="X510" s="0" t="s">
        <v>58</v>
      </c>
      <c r="Z510" s="0" t="s">
        <v>79</v>
      </c>
      <c r="AA510" s="0" t="n">
        <v>25000</v>
      </c>
      <c r="AB510" s="0" t="n">
        <v>20000</v>
      </c>
      <c r="AD510" s="0" t="n">
        <v>10000</v>
      </c>
      <c r="AE510" s="0" t="s">
        <v>130</v>
      </c>
      <c r="AF510" s="0" t="s">
        <v>1155</v>
      </c>
      <c r="AG510" s="0" t="s">
        <v>63</v>
      </c>
      <c r="AH510" s="0" t="s">
        <v>171</v>
      </c>
      <c r="AI510" s="0" t="s">
        <v>101</v>
      </c>
      <c r="AJ510" s="0" t="s">
        <v>81</v>
      </c>
      <c r="AK510" s="0" t="s">
        <v>82</v>
      </c>
      <c r="AL510" s="0" t="s">
        <v>63</v>
      </c>
      <c r="AM510" s="0" t="s">
        <v>118</v>
      </c>
      <c r="AN510" s="0" t="s">
        <v>198</v>
      </c>
    </row>
    <row r="511" customFormat="false" ht="15" hidden="false" customHeight="false" outlineLevel="0" collapsed="false">
      <c r="A511" s="1" t="n">
        <v>45809</v>
      </c>
      <c r="B511" s="0" t="s">
        <v>1292</v>
      </c>
      <c r="C511" s="0" t="s">
        <v>163</v>
      </c>
      <c r="D511" s="0" t="n">
        <v>8069332039</v>
      </c>
      <c r="E511" s="0" t="s">
        <v>122</v>
      </c>
      <c r="F511" s="0" t="s">
        <v>1293</v>
      </c>
      <c r="G511" s="0" t="s">
        <v>87</v>
      </c>
      <c r="H511" s="0" t="s">
        <v>146</v>
      </c>
      <c r="I511" s="0" t="s">
        <v>47</v>
      </c>
      <c r="J511" s="0" t="s">
        <v>71</v>
      </c>
      <c r="K511" s="0" t="n">
        <v>91645</v>
      </c>
      <c r="L511" s="0" t="s">
        <v>124</v>
      </c>
      <c r="M511" s="0" t="s">
        <v>63</v>
      </c>
      <c r="N511" s="0" t="n">
        <v>5</v>
      </c>
      <c r="O511" s="0" t="n">
        <v>5.8</v>
      </c>
      <c r="Q511" s="0" t="s">
        <v>73</v>
      </c>
      <c r="R511" s="0" t="s">
        <v>94</v>
      </c>
      <c r="S511" s="0" t="s">
        <v>167</v>
      </c>
      <c r="T511" s="0" t="n">
        <v>30</v>
      </c>
      <c r="U511" s="0" t="s">
        <v>112</v>
      </c>
      <c r="V511" s="0" t="s">
        <v>155</v>
      </c>
      <c r="W511" s="0" t="s">
        <v>78</v>
      </c>
      <c r="X511" s="0" t="s">
        <v>58</v>
      </c>
      <c r="Z511" s="0" t="s">
        <v>129</v>
      </c>
      <c r="AA511" s="0" t="n">
        <v>30000</v>
      </c>
      <c r="AC511" s="0" t="s">
        <v>61</v>
      </c>
      <c r="AD511" s="0" t="n">
        <v>5000</v>
      </c>
      <c r="AF511" s="1" t="n">
        <v>45941</v>
      </c>
      <c r="AG511" s="0" t="s">
        <v>82</v>
      </c>
      <c r="AH511" s="0" t="s">
        <v>116</v>
      </c>
      <c r="AI511" s="0" t="s">
        <v>101</v>
      </c>
      <c r="AJ511" s="0" t="s">
        <v>50</v>
      </c>
      <c r="AK511" s="0" t="s">
        <v>50</v>
      </c>
      <c r="AL511" s="0" t="s">
        <v>50</v>
      </c>
      <c r="AN511" s="0" t="s">
        <v>50</v>
      </c>
    </row>
    <row r="512" customFormat="false" ht="15" hidden="false" customHeight="false" outlineLevel="0" collapsed="false">
      <c r="A512" s="1" t="n">
        <v>45821</v>
      </c>
      <c r="B512" s="0" t="s">
        <v>1294</v>
      </c>
      <c r="C512" s="0" t="s">
        <v>163</v>
      </c>
      <c r="D512" s="0" t="n">
        <v>8016409704</v>
      </c>
      <c r="E512" s="0" t="s">
        <v>122</v>
      </c>
      <c r="F512" s="0" t="s">
        <v>1295</v>
      </c>
      <c r="G512" s="0" t="s">
        <v>45</v>
      </c>
      <c r="H512" s="0" t="s">
        <v>176</v>
      </c>
      <c r="I512" s="0" t="s">
        <v>108</v>
      </c>
      <c r="J512" s="0" t="s">
        <v>109</v>
      </c>
      <c r="K512" s="0" t="n">
        <v>18504</v>
      </c>
      <c r="L512" s="0" t="s">
        <v>91</v>
      </c>
      <c r="M512" s="0" t="s">
        <v>63</v>
      </c>
      <c r="N512" s="0" t="n">
        <v>5</v>
      </c>
      <c r="O512" s="0" t="n">
        <v>1.2</v>
      </c>
      <c r="P512" s="0" t="s">
        <v>92</v>
      </c>
      <c r="Q512" s="0" t="s">
        <v>52</v>
      </c>
      <c r="R512" s="0" t="s">
        <v>159</v>
      </c>
      <c r="S512" s="0" t="s">
        <v>75</v>
      </c>
      <c r="T512" s="0" t="n">
        <v>15</v>
      </c>
      <c r="U512" s="0" t="s">
        <v>55</v>
      </c>
      <c r="V512" s="0" t="s">
        <v>97</v>
      </c>
      <c r="W512" s="0" t="s">
        <v>113</v>
      </c>
      <c r="X512" s="0" t="s">
        <v>99</v>
      </c>
      <c r="Y512" s="0" t="s">
        <v>59</v>
      </c>
      <c r="Z512" s="0" t="s">
        <v>79</v>
      </c>
      <c r="AA512" s="0" t="s">
        <v>150</v>
      </c>
      <c r="AB512" s="0" t="n">
        <v>20000</v>
      </c>
      <c r="AC512" s="0" t="s">
        <v>63</v>
      </c>
      <c r="AD512" s="0" t="n">
        <v>10000</v>
      </c>
      <c r="AE512" s="0" t="s">
        <v>130</v>
      </c>
      <c r="AI512" s="0" t="s">
        <v>117</v>
      </c>
      <c r="AJ512" s="0" t="s">
        <v>62</v>
      </c>
      <c r="AK512" s="0" t="s">
        <v>61</v>
      </c>
      <c r="AM512" s="0" t="s">
        <v>83</v>
      </c>
      <c r="AN512" s="0" t="s">
        <v>190</v>
      </c>
    </row>
    <row r="513" customFormat="false" ht="15" hidden="false" customHeight="false" outlineLevel="0" collapsed="false">
      <c r="A513" s="1" t="n">
        <v>45728</v>
      </c>
      <c r="B513" s="0" t="s">
        <v>1296</v>
      </c>
      <c r="C513" s="0" t="s">
        <v>105</v>
      </c>
      <c r="D513" s="0" t="n">
        <v>8095200126</v>
      </c>
      <c r="E513" s="0" t="s">
        <v>122</v>
      </c>
      <c r="F513" s="0" t="s">
        <v>1297</v>
      </c>
      <c r="G513" s="0" t="s">
        <v>134</v>
      </c>
      <c r="H513" s="0" t="s">
        <v>146</v>
      </c>
      <c r="I513" s="0" t="s">
        <v>89</v>
      </c>
      <c r="J513" s="0" t="s">
        <v>90</v>
      </c>
      <c r="K513" s="0" t="n">
        <v>58613</v>
      </c>
      <c r="L513" s="0" t="s">
        <v>49</v>
      </c>
      <c r="M513" s="0" t="s">
        <v>50</v>
      </c>
      <c r="N513" s="0" t="n">
        <v>3</v>
      </c>
      <c r="O513" s="0" t="n">
        <v>4.3</v>
      </c>
      <c r="P513" s="0" t="s">
        <v>51</v>
      </c>
      <c r="Q513" s="0" t="s">
        <v>52</v>
      </c>
      <c r="R513" s="0" t="s">
        <v>136</v>
      </c>
      <c r="S513" s="0" t="s">
        <v>54</v>
      </c>
      <c r="T513" s="0" t="n">
        <v>30</v>
      </c>
      <c r="U513" s="0" t="s">
        <v>55</v>
      </c>
      <c r="V513" s="0" t="s">
        <v>56</v>
      </c>
      <c r="W513" s="0" t="s">
        <v>78</v>
      </c>
      <c r="X513" s="0" t="s">
        <v>196</v>
      </c>
      <c r="Y513" s="0" t="s">
        <v>197</v>
      </c>
      <c r="Z513" s="0" t="s">
        <v>129</v>
      </c>
      <c r="AA513" s="0" t="n">
        <v>40000</v>
      </c>
      <c r="AB513" s="0" t="n">
        <v>30000</v>
      </c>
      <c r="AC513" s="0" t="s">
        <v>63</v>
      </c>
      <c r="AD513" s="0" t="n">
        <v>5000</v>
      </c>
      <c r="AG513" s="0" t="s">
        <v>61</v>
      </c>
      <c r="AH513" s="0" t="s">
        <v>171</v>
      </c>
      <c r="AI513" s="0" t="s">
        <v>117</v>
      </c>
      <c r="AN513" s="0" t="s">
        <v>198</v>
      </c>
    </row>
    <row r="514" customFormat="false" ht="15" hidden="false" customHeight="false" outlineLevel="0" collapsed="false">
      <c r="A514" s="0" t="s">
        <v>1113</v>
      </c>
      <c r="B514" s="0" t="s">
        <v>1298</v>
      </c>
      <c r="C514" s="0" t="s">
        <v>66</v>
      </c>
      <c r="D514" s="0" t="n">
        <v>8080179022</v>
      </c>
      <c r="E514" s="0" t="s">
        <v>67</v>
      </c>
      <c r="F514" s="0" t="s">
        <v>1299</v>
      </c>
      <c r="G514" s="0" t="s">
        <v>45</v>
      </c>
      <c r="H514" s="0" t="s">
        <v>88</v>
      </c>
      <c r="I514" s="0" t="s">
        <v>189</v>
      </c>
      <c r="J514" s="0" t="s">
        <v>90</v>
      </c>
      <c r="K514" s="0" t="n">
        <v>68040</v>
      </c>
      <c r="L514" s="0" t="s">
        <v>91</v>
      </c>
      <c r="M514" s="0" t="s">
        <v>63</v>
      </c>
      <c r="N514" s="0" t="n">
        <v>1</v>
      </c>
      <c r="O514" s="0" t="n">
        <v>3.7</v>
      </c>
      <c r="P514" s="0" t="s">
        <v>92</v>
      </c>
      <c r="Q514" s="0" t="s">
        <v>52</v>
      </c>
      <c r="S514" s="0" t="s">
        <v>95</v>
      </c>
      <c r="T514" s="0" t="n">
        <v>45</v>
      </c>
      <c r="U514" s="0" t="s">
        <v>112</v>
      </c>
      <c r="V514" s="0" t="s">
        <v>77</v>
      </c>
      <c r="W514" s="0" t="s">
        <v>78</v>
      </c>
      <c r="X514" s="0" t="s">
        <v>196</v>
      </c>
      <c r="Y514" s="0" t="s">
        <v>156</v>
      </c>
      <c r="Z514" s="0" t="s">
        <v>143</v>
      </c>
      <c r="AA514" s="0" t="s">
        <v>150</v>
      </c>
      <c r="AB514" s="0" t="n">
        <v>40000</v>
      </c>
      <c r="AC514" s="0" t="s">
        <v>82</v>
      </c>
      <c r="AD514" s="0" t="n">
        <v>0</v>
      </c>
      <c r="AE514" s="0" t="s">
        <v>80</v>
      </c>
      <c r="AG514" s="0" t="s">
        <v>63</v>
      </c>
      <c r="AI514" s="0" t="s">
        <v>172</v>
      </c>
      <c r="AL514" s="0" t="s">
        <v>102</v>
      </c>
      <c r="AM514" s="0" t="s">
        <v>64</v>
      </c>
    </row>
    <row r="515" customFormat="false" ht="15" hidden="false" customHeight="false" outlineLevel="0" collapsed="false">
      <c r="A515" s="1" t="n">
        <v>45696</v>
      </c>
      <c r="B515" s="0" t="s">
        <v>1300</v>
      </c>
      <c r="C515" s="0" t="s">
        <v>66</v>
      </c>
      <c r="D515" s="0" t="n">
        <v>8096035199</v>
      </c>
      <c r="E515" s="0" t="s">
        <v>67</v>
      </c>
      <c r="F515" s="0" t="s">
        <v>1301</v>
      </c>
      <c r="G515" s="0" t="s">
        <v>45</v>
      </c>
      <c r="H515" s="0" t="s">
        <v>272</v>
      </c>
      <c r="I515" s="0" t="s">
        <v>154</v>
      </c>
      <c r="K515" s="0" t="n">
        <v>87348</v>
      </c>
      <c r="L515" s="0" t="s">
        <v>91</v>
      </c>
      <c r="M515" s="0" t="s">
        <v>50</v>
      </c>
      <c r="N515" s="0" t="n">
        <v>3</v>
      </c>
      <c r="O515" s="0" t="n">
        <v>1.7</v>
      </c>
      <c r="P515" s="0" t="s">
        <v>51</v>
      </c>
      <c r="Q515" s="0" t="s">
        <v>52</v>
      </c>
      <c r="R515" s="0" t="s">
        <v>136</v>
      </c>
      <c r="S515" s="0" t="s">
        <v>147</v>
      </c>
      <c r="T515" s="0" t="n">
        <v>60</v>
      </c>
      <c r="U515" s="0" t="s">
        <v>55</v>
      </c>
      <c r="V515" s="0" t="s">
        <v>97</v>
      </c>
      <c r="W515" s="0" t="s">
        <v>128</v>
      </c>
      <c r="X515" s="0" t="s">
        <v>99</v>
      </c>
      <c r="Z515" s="0" t="s">
        <v>143</v>
      </c>
      <c r="AA515" s="0" t="n">
        <v>25000</v>
      </c>
      <c r="AD515" s="0" t="n">
        <v>5000</v>
      </c>
      <c r="AI515" s="0" t="s">
        <v>101</v>
      </c>
      <c r="AJ515" s="0" t="s">
        <v>81</v>
      </c>
      <c r="AK515" s="0" t="s">
        <v>50</v>
      </c>
      <c r="AL515" s="0" t="s">
        <v>63</v>
      </c>
      <c r="AM515" s="0" t="s">
        <v>103</v>
      </c>
      <c r="AN515" s="0" t="s">
        <v>63</v>
      </c>
    </row>
    <row r="516" customFormat="false" ht="15" hidden="false" customHeight="false" outlineLevel="0" collapsed="false">
      <c r="A516" s="1" t="n">
        <v>45801</v>
      </c>
      <c r="B516" s="0" t="s">
        <v>1302</v>
      </c>
      <c r="C516" s="0" t="s">
        <v>66</v>
      </c>
      <c r="D516" s="0" t="n">
        <v>8098924605</v>
      </c>
      <c r="E516" s="0" t="s">
        <v>43</v>
      </c>
      <c r="F516" s="0" t="s">
        <v>1303</v>
      </c>
      <c r="G516" s="0" t="s">
        <v>45</v>
      </c>
      <c r="H516" s="0" t="s">
        <v>176</v>
      </c>
      <c r="I516" s="0" t="s">
        <v>142</v>
      </c>
      <c r="J516" s="0" t="s">
        <v>109</v>
      </c>
      <c r="K516" s="0" t="n">
        <v>98744</v>
      </c>
      <c r="L516" s="0" t="s">
        <v>91</v>
      </c>
      <c r="M516" s="0" t="s">
        <v>50</v>
      </c>
      <c r="N516" s="0" t="n">
        <v>4</v>
      </c>
      <c r="O516" s="0" t="n">
        <v>5.9</v>
      </c>
      <c r="Q516" s="0" t="s">
        <v>73</v>
      </c>
      <c r="R516" s="0" t="s">
        <v>94</v>
      </c>
      <c r="S516" s="0" t="s">
        <v>126</v>
      </c>
      <c r="T516" s="0" t="s">
        <v>127</v>
      </c>
      <c r="U516" s="0" t="s">
        <v>112</v>
      </c>
      <c r="V516" s="0" t="s">
        <v>148</v>
      </c>
      <c r="W516" s="0" t="s">
        <v>78</v>
      </c>
      <c r="X516" s="0" t="s">
        <v>196</v>
      </c>
      <c r="Y516" s="0" t="s">
        <v>177</v>
      </c>
      <c r="Z516" s="0" t="s">
        <v>161</v>
      </c>
      <c r="AA516" s="0" t="s">
        <v>150</v>
      </c>
      <c r="AB516" s="0" t="n">
        <v>40000</v>
      </c>
      <c r="AC516" s="0" t="s">
        <v>63</v>
      </c>
      <c r="AD516" s="0" t="n">
        <v>0</v>
      </c>
      <c r="AE516" s="0" t="s">
        <v>184</v>
      </c>
      <c r="AF516" s="0" t="s">
        <v>1304</v>
      </c>
      <c r="AG516" s="0" t="s">
        <v>63</v>
      </c>
      <c r="AI516" s="0" t="s">
        <v>117</v>
      </c>
      <c r="AK516" s="0" t="s">
        <v>63</v>
      </c>
      <c r="AL516" s="0" t="s">
        <v>102</v>
      </c>
      <c r="AM516" s="0" t="s">
        <v>83</v>
      </c>
      <c r="AN516" s="0" t="s">
        <v>198</v>
      </c>
    </row>
    <row r="517" customFormat="false" ht="15" hidden="false" customHeight="false" outlineLevel="0" collapsed="false">
      <c r="A517" s="0" t="s">
        <v>1305</v>
      </c>
      <c r="B517" s="0" t="s">
        <v>1306</v>
      </c>
      <c r="C517" s="0" t="s">
        <v>163</v>
      </c>
      <c r="D517" s="0" t="n">
        <v>8098589123</v>
      </c>
      <c r="E517" s="0" t="s">
        <v>85</v>
      </c>
      <c r="F517" s="0" t="s">
        <v>1307</v>
      </c>
      <c r="G517" s="0" t="s">
        <v>69</v>
      </c>
      <c r="H517" s="0" t="s">
        <v>135</v>
      </c>
      <c r="I517" s="0" t="s">
        <v>47</v>
      </c>
      <c r="J517" s="0" t="s">
        <v>109</v>
      </c>
      <c r="K517" s="0" t="n">
        <v>112023</v>
      </c>
      <c r="L517" s="0" t="s">
        <v>166</v>
      </c>
      <c r="M517" s="0" t="s">
        <v>63</v>
      </c>
      <c r="N517" s="0" t="n">
        <v>1</v>
      </c>
      <c r="O517" s="0" t="n">
        <v>1</v>
      </c>
      <c r="Q517" s="0" t="s">
        <v>52</v>
      </c>
      <c r="R517" s="0" t="s">
        <v>53</v>
      </c>
      <c r="S517" s="0" t="s">
        <v>167</v>
      </c>
      <c r="T517" s="0" t="n">
        <v>45</v>
      </c>
      <c r="U517" s="0" t="s">
        <v>96</v>
      </c>
      <c r="V517" s="0" t="s">
        <v>155</v>
      </c>
      <c r="W517" s="0" t="s">
        <v>113</v>
      </c>
      <c r="X517" s="0" t="s">
        <v>114</v>
      </c>
      <c r="Y517" s="0" t="s">
        <v>59</v>
      </c>
      <c r="Z517" s="0" t="s">
        <v>149</v>
      </c>
      <c r="AA517" s="0" t="s">
        <v>150</v>
      </c>
      <c r="AC517" s="0" t="s">
        <v>63</v>
      </c>
      <c r="AE517" s="0" t="s">
        <v>184</v>
      </c>
      <c r="AF517" s="1" t="n">
        <v>45952</v>
      </c>
      <c r="AG517" s="0" t="s">
        <v>61</v>
      </c>
      <c r="AH517" s="0" t="s">
        <v>116</v>
      </c>
      <c r="AK517" s="0" t="s">
        <v>82</v>
      </c>
      <c r="AM517" s="0" t="s">
        <v>103</v>
      </c>
      <c r="AN517" s="0" t="s">
        <v>198</v>
      </c>
    </row>
    <row r="518" customFormat="false" ht="15" hidden="false" customHeight="false" outlineLevel="0" collapsed="false">
      <c r="A518" s="1" t="n">
        <v>45798</v>
      </c>
      <c r="B518" s="0" t="s">
        <v>1308</v>
      </c>
      <c r="C518" s="0" t="s">
        <v>105</v>
      </c>
      <c r="D518" s="0" t="n">
        <v>8023796681</v>
      </c>
      <c r="E518" s="0" t="s">
        <v>122</v>
      </c>
      <c r="F518" s="0" t="s">
        <v>1309</v>
      </c>
      <c r="G518" s="0" t="s">
        <v>87</v>
      </c>
      <c r="I518" s="0" t="s">
        <v>154</v>
      </c>
      <c r="J518" s="0" t="s">
        <v>71</v>
      </c>
      <c r="K518" s="0" t="n">
        <v>55617</v>
      </c>
      <c r="L518" s="0" t="s">
        <v>91</v>
      </c>
      <c r="M518" s="0" t="s">
        <v>63</v>
      </c>
      <c r="N518" s="0" t="n">
        <v>2</v>
      </c>
      <c r="O518" s="0" t="n">
        <v>1.7</v>
      </c>
      <c r="P518" s="0" t="s">
        <v>125</v>
      </c>
      <c r="Q518" s="0" t="s">
        <v>93</v>
      </c>
      <c r="R518" s="0" t="s">
        <v>136</v>
      </c>
      <c r="S518" s="0" t="s">
        <v>95</v>
      </c>
      <c r="T518" s="0" t="n">
        <v>45</v>
      </c>
      <c r="U518" s="0" t="s">
        <v>55</v>
      </c>
      <c r="V518" s="0" t="s">
        <v>97</v>
      </c>
      <c r="W518" s="0" t="s">
        <v>78</v>
      </c>
      <c r="X518" s="0" t="s">
        <v>137</v>
      </c>
      <c r="Y518" s="0" t="s">
        <v>177</v>
      </c>
      <c r="Z518" s="0" t="s">
        <v>129</v>
      </c>
      <c r="AA518" s="0" t="n">
        <v>30000</v>
      </c>
      <c r="AB518" s="0" t="n">
        <v>30000</v>
      </c>
      <c r="AC518" s="0" t="s">
        <v>82</v>
      </c>
      <c r="AD518" s="0" t="n">
        <v>10000</v>
      </c>
      <c r="AE518" s="0" t="s">
        <v>184</v>
      </c>
      <c r="AF518" s="0" t="s">
        <v>1310</v>
      </c>
      <c r="AI518" s="0" t="s">
        <v>101</v>
      </c>
      <c r="AL518" s="0" t="s">
        <v>50</v>
      </c>
      <c r="AN518" s="0" t="s">
        <v>190</v>
      </c>
    </row>
    <row r="519" customFormat="false" ht="15" hidden="false" customHeight="false" outlineLevel="0" collapsed="false">
      <c r="A519" s="1" t="n">
        <v>45730</v>
      </c>
      <c r="B519" s="0" t="s">
        <v>1311</v>
      </c>
      <c r="C519" s="0" t="s">
        <v>121</v>
      </c>
      <c r="D519" s="0" t="n">
        <v>8062427912</v>
      </c>
      <c r="E519" s="0" t="s">
        <v>67</v>
      </c>
      <c r="F519" s="0" t="s">
        <v>1312</v>
      </c>
      <c r="G519" s="0" t="s">
        <v>134</v>
      </c>
      <c r="H519" s="0" t="s">
        <v>70</v>
      </c>
      <c r="I519" s="0" t="s">
        <v>89</v>
      </c>
      <c r="J519" s="0" t="s">
        <v>71</v>
      </c>
      <c r="K519" s="0" t="n">
        <v>58754</v>
      </c>
      <c r="L519" s="0" t="s">
        <v>91</v>
      </c>
      <c r="M519" s="0" t="s">
        <v>50</v>
      </c>
      <c r="N519" s="0" t="n">
        <v>1</v>
      </c>
      <c r="O519" s="0" t="n">
        <v>3.1</v>
      </c>
      <c r="P519" s="0" t="s">
        <v>111</v>
      </c>
      <c r="Q519" s="0" t="s">
        <v>93</v>
      </c>
      <c r="R519" s="0" t="s">
        <v>136</v>
      </c>
      <c r="S519" s="0" t="s">
        <v>54</v>
      </c>
      <c r="T519" s="0" t="n">
        <v>60</v>
      </c>
      <c r="U519" s="0" t="s">
        <v>112</v>
      </c>
      <c r="V519" s="0" t="s">
        <v>77</v>
      </c>
      <c r="W519" s="0" t="s">
        <v>128</v>
      </c>
      <c r="X519" s="0" t="s">
        <v>99</v>
      </c>
      <c r="Y519" s="0" t="s">
        <v>156</v>
      </c>
      <c r="Z519" s="0" t="s">
        <v>161</v>
      </c>
      <c r="AA519" s="0" t="n">
        <v>40000</v>
      </c>
      <c r="AB519" s="0" t="n">
        <v>35000</v>
      </c>
      <c r="AC519" s="0" t="s">
        <v>63</v>
      </c>
      <c r="AD519" s="0" t="n">
        <v>10000</v>
      </c>
      <c r="AF519" s="1" t="n">
        <v>46002</v>
      </c>
      <c r="AG519" s="0" t="s">
        <v>61</v>
      </c>
      <c r="AH519" s="0" t="s">
        <v>116</v>
      </c>
      <c r="AJ519" s="0" t="s">
        <v>63</v>
      </c>
      <c r="AK519" s="0" t="s">
        <v>50</v>
      </c>
      <c r="AL519" s="0" t="s">
        <v>50</v>
      </c>
      <c r="AM519" s="0" t="s">
        <v>103</v>
      </c>
    </row>
    <row r="520" customFormat="false" ht="15" hidden="false" customHeight="false" outlineLevel="0" collapsed="false">
      <c r="A520" s="0" t="s">
        <v>737</v>
      </c>
      <c r="B520" s="0" t="s">
        <v>1313</v>
      </c>
      <c r="C520" s="0" t="s">
        <v>163</v>
      </c>
      <c r="D520" s="0" t="n">
        <v>8051382580</v>
      </c>
      <c r="E520" s="0" t="s">
        <v>122</v>
      </c>
      <c r="F520" s="0" t="s">
        <v>1314</v>
      </c>
      <c r="G520" s="0" t="s">
        <v>69</v>
      </c>
      <c r="H520" s="0" t="s">
        <v>135</v>
      </c>
      <c r="I520" s="0" t="s">
        <v>142</v>
      </c>
      <c r="J520" s="0" t="s">
        <v>109</v>
      </c>
      <c r="K520" s="0" t="n">
        <v>47361</v>
      </c>
      <c r="L520" s="0" t="s">
        <v>91</v>
      </c>
      <c r="M520" s="0" t="s">
        <v>63</v>
      </c>
      <c r="N520" s="0" t="n">
        <v>3</v>
      </c>
      <c r="O520" s="0" t="n">
        <v>3.1</v>
      </c>
      <c r="P520" s="0" t="s">
        <v>92</v>
      </c>
      <c r="Q520" s="0" t="s">
        <v>52</v>
      </c>
      <c r="R520" s="0" t="s">
        <v>136</v>
      </c>
      <c r="S520" s="0" t="s">
        <v>54</v>
      </c>
      <c r="T520" s="0" t="n">
        <v>45</v>
      </c>
      <c r="U520" s="0" t="s">
        <v>76</v>
      </c>
      <c r="V520" s="0" t="s">
        <v>77</v>
      </c>
      <c r="W520" s="0" t="s">
        <v>113</v>
      </c>
      <c r="X520" s="0" t="s">
        <v>196</v>
      </c>
      <c r="Y520" s="0" t="s">
        <v>197</v>
      </c>
      <c r="Z520" s="0" t="s">
        <v>161</v>
      </c>
      <c r="AA520" s="0" t="n">
        <v>40000</v>
      </c>
      <c r="AB520" s="0" t="n">
        <v>30000</v>
      </c>
      <c r="AC520" s="0" t="s">
        <v>63</v>
      </c>
      <c r="AD520" s="0" t="s">
        <v>115</v>
      </c>
      <c r="AE520" s="0" t="s">
        <v>80</v>
      </c>
      <c r="AG520" s="0" t="s">
        <v>50</v>
      </c>
      <c r="AH520" s="0" t="s">
        <v>171</v>
      </c>
      <c r="AI520" s="0" t="s">
        <v>117</v>
      </c>
      <c r="AK520" s="0" t="s">
        <v>82</v>
      </c>
      <c r="AL520" s="0" t="s">
        <v>102</v>
      </c>
      <c r="AM520" s="0" t="s">
        <v>64</v>
      </c>
      <c r="AN520" s="0" t="s">
        <v>190</v>
      </c>
    </row>
    <row r="521" customFormat="false" ht="15" hidden="false" customHeight="false" outlineLevel="0" collapsed="false">
      <c r="A521" s="1" t="n">
        <v>45796</v>
      </c>
      <c r="B521" s="0" t="s">
        <v>1315</v>
      </c>
      <c r="C521" s="0" t="s">
        <v>105</v>
      </c>
      <c r="D521" s="0" t="n">
        <v>8069590884</v>
      </c>
      <c r="E521" s="0" t="s">
        <v>43</v>
      </c>
      <c r="F521" s="0" t="s">
        <v>1316</v>
      </c>
      <c r="G521" s="0" t="s">
        <v>69</v>
      </c>
      <c r="H521" s="0" t="s">
        <v>146</v>
      </c>
      <c r="I521" s="0" t="s">
        <v>142</v>
      </c>
      <c r="J521" s="0" t="s">
        <v>71</v>
      </c>
      <c r="K521" s="0" t="n">
        <v>65727</v>
      </c>
      <c r="L521" s="0" t="s">
        <v>124</v>
      </c>
      <c r="M521" s="0" t="s">
        <v>63</v>
      </c>
      <c r="N521" s="0" t="n">
        <v>5</v>
      </c>
      <c r="O521" s="0" t="n">
        <v>5.7</v>
      </c>
      <c r="P521" s="0" t="s">
        <v>92</v>
      </c>
      <c r="Q521" s="0" t="s">
        <v>73</v>
      </c>
      <c r="R521" s="0" t="s">
        <v>159</v>
      </c>
      <c r="S521" s="0" t="s">
        <v>167</v>
      </c>
      <c r="T521" s="0" t="n">
        <v>30</v>
      </c>
      <c r="U521" s="0" t="s">
        <v>76</v>
      </c>
      <c r="V521" s="0" t="s">
        <v>56</v>
      </c>
      <c r="W521" s="0" t="s">
        <v>78</v>
      </c>
      <c r="X521" s="0" t="s">
        <v>196</v>
      </c>
      <c r="Y521" s="0" t="s">
        <v>156</v>
      </c>
      <c r="Z521" s="0" t="s">
        <v>161</v>
      </c>
      <c r="AA521" s="0" t="n">
        <v>40000</v>
      </c>
      <c r="AB521" s="0" t="n">
        <v>20000</v>
      </c>
      <c r="AC521" s="0" t="s">
        <v>61</v>
      </c>
      <c r="AD521" s="0" t="n">
        <v>0</v>
      </c>
      <c r="AE521" s="0" t="s">
        <v>80</v>
      </c>
      <c r="AH521" s="0" t="s">
        <v>116</v>
      </c>
      <c r="AI521" s="0" t="s">
        <v>117</v>
      </c>
      <c r="AJ521" s="0" t="s">
        <v>50</v>
      </c>
      <c r="AK521" s="0" t="s">
        <v>63</v>
      </c>
      <c r="AM521" s="0" t="s">
        <v>64</v>
      </c>
      <c r="AN521" s="0" t="s">
        <v>190</v>
      </c>
    </row>
    <row r="522" customFormat="false" ht="15" hidden="false" customHeight="false" outlineLevel="0" collapsed="false">
      <c r="A522" s="1" t="n">
        <v>45665</v>
      </c>
      <c r="B522" s="0" t="s">
        <v>1317</v>
      </c>
      <c r="C522" s="0" t="s">
        <v>42</v>
      </c>
      <c r="D522" s="0" t="n">
        <v>8017035056</v>
      </c>
      <c r="E522" s="0" t="s">
        <v>139</v>
      </c>
      <c r="F522" s="0" t="s">
        <v>1318</v>
      </c>
      <c r="G522" s="0" t="s">
        <v>134</v>
      </c>
      <c r="H522" s="0" t="s">
        <v>88</v>
      </c>
      <c r="I522" s="0" t="s">
        <v>47</v>
      </c>
      <c r="J522" s="0" t="s">
        <v>90</v>
      </c>
      <c r="K522" s="0" t="n">
        <v>32607</v>
      </c>
      <c r="L522" s="0" t="s">
        <v>110</v>
      </c>
      <c r="M522" s="0" t="s">
        <v>50</v>
      </c>
      <c r="O522" s="0" t="n">
        <v>3.5</v>
      </c>
      <c r="P522" s="0" t="s">
        <v>92</v>
      </c>
      <c r="Q522" s="0" t="s">
        <v>52</v>
      </c>
      <c r="R522" s="0" t="s">
        <v>159</v>
      </c>
      <c r="S522" s="0" t="s">
        <v>54</v>
      </c>
      <c r="T522" s="0" t="n">
        <v>15</v>
      </c>
      <c r="U522" s="0" t="s">
        <v>160</v>
      </c>
      <c r="V522" s="0" t="s">
        <v>155</v>
      </c>
      <c r="W522" s="0" t="s">
        <v>128</v>
      </c>
      <c r="X522" s="0" t="s">
        <v>196</v>
      </c>
      <c r="Z522" s="0" t="s">
        <v>149</v>
      </c>
      <c r="AA522" s="0" t="s">
        <v>150</v>
      </c>
      <c r="AB522" s="0" t="n">
        <v>30000</v>
      </c>
      <c r="AC522" s="0" t="s">
        <v>82</v>
      </c>
      <c r="AD522" s="0" t="n">
        <v>10000</v>
      </c>
      <c r="AE522" s="0" t="s">
        <v>130</v>
      </c>
      <c r="AH522" s="0" t="s">
        <v>116</v>
      </c>
      <c r="AI522" s="0" t="s">
        <v>101</v>
      </c>
      <c r="AJ522" s="0" t="s">
        <v>63</v>
      </c>
      <c r="AK522" s="0" t="s">
        <v>50</v>
      </c>
      <c r="AM522" s="0" t="s">
        <v>118</v>
      </c>
      <c r="AN522" s="0" t="s">
        <v>198</v>
      </c>
    </row>
    <row r="523" customFormat="false" ht="15" hidden="false" customHeight="false" outlineLevel="0" collapsed="false">
      <c r="A523" s="0" t="s">
        <v>316</v>
      </c>
      <c r="B523" s="0" t="s">
        <v>1319</v>
      </c>
      <c r="C523" s="0" t="s">
        <v>66</v>
      </c>
      <c r="D523" s="0" t="n">
        <v>8090289763</v>
      </c>
      <c r="E523" s="0" t="s">
        <v>85</v>
      </c>
      <c r="F523" s="0" t="s">
        <v>1320</v>
      </c>
      <c r="G523" s="0" t="s">
        <v>134</v>
      </c>
      <c r="H523" s="0" t="s">
        <v>242</v>
      </c>
      <c r="I523" s="0" t="s">
        <v>89</v>
      </c>
      <c r="K523" s="0" t="n">
        <v>42256</v>
      </c>
      <c r="L523" s="0" t="s">
        <v>72</v>
      </c>
      <c r="M523" s="0" t="s">
        <v>50</v>
      </c>
      <c r="N523" s="0" t="n">
        <v>4</v>
      </c>
      <c r="O523" s="0" t="n">
        <v>1.5</v>
      </c>
      <c r="P523" s="0" t="s">
        <v>125</v>
      </c>
      <c r="Q523" s="0" t="s">
        <v>93</v>
      </c>
      <c r="R523" s="0" t="s">
        <v>53</v>
      </c>
      <c r="S523" s="0" t="s">
        <v>75</v>
      </c>
      <c r="T523" s="0" t="n">
        <v>30</v>
      </c>
      <c r="U523" s="0" t="s">
        <v>112</v>
      </c>
      <c r="V523" s="0" t="s">
        <v>97</v>
      </c>
      <c r="W523" s="0" t="s">
        <v>57</v>
      </c>
      <c r="X523" s="0" t="s">
        <v>99</v>
      </c>
      <c r="Z523" s="0" t="s">
        <v>161</v>
      </c>
      <c r="AA523" s="0" t="n">
        <v>40000</v>
      </c>
      <c r="AB523" s="0" t="n">
        <v>40000</v>
      </c>
      <c r="AC523" s="0" t="s">
        <v>61</v>
      </c>
      <c r="AE523" s="0" t="s">
        <v>184</v>
      </c>
      <c r="AF523" s="1" t="n">
        <v>45939</v>
      </c>
      <c r="AG523" s="0" t="s">
        <v>61</v>
      </c>
      <c r="AJ523" s="0" t="s">
        <v>62</v>
      </c>
      <c r="AK523" s="0" t="s">
        <v>61</v>
      </c>
      <c r="AL523" s="0" t="s">
        <v>102</v>
      </c>
      <c r="AM523" s="0" t="s">
        <v>64</v>
      </c>
      <c r="AN523" s="0" t="s">
        <v>50</v>
      </c>
    </row>
    <row r="524" customFormat="false" ht="15" hidden="false" customHeight="false" outlineLevel="0" collapsed="false">
      <c r="A524" s="1" t="n">
        <v>45810</v>
      </c>
      <c r="B524" s="0" t="s">
        <v>1321</v>
      </c>
      <c r="C524" s="0" t="s">
        <v>163</v>
      </c>
      <c r="D524" s="0" t="n">
        <v>8010626224</v>
      </c>
      <c r="E524" s="0" t="s">
        <v>122</v>
      </c>
      <c r="F524" s="0" t="s">
        <v>1322</v>
      </c>
      <c r="G524" s="0" t="s">
        <v>134</v>
      </c>
      <c r="H524" s="0" t="s">
        <v>242</v>
      </c>
      <c r="I524" s="0" t="s">
        <v>89</v>
      </c>
      <c r="K524" s="0" t="n">
        <v>42935</v>
      </c>
      <c r="L524" s="0" t="s">
        <v>49</v>
      </c>
      <c r="M524" s="0" t="s">
        <v>63</v>
      </c>
      <c r="N524" s="0" t="n">
        <v>5</v>
      </c>
      <c r="O524" s="0" t="n">
        <v>4.2</v>
      </c>
      <c r="P524" s="0" t="s">
        <v>51</v>
      </c>
      <c r="Q524" s="0" t="s">
        <v>93</v>
      </c>
      <c r="R524" s="0" t="s">
        <v>53</v>
      </c>
      <c r="S524" s="0" t="s">
        <v>75</v>
      </c>
      <c r="T524" s="0" t="n">
        <v>45</v>
      </c>
      <c r="U524" s="0" t="s">
        <v>55</v>
      </c>
      <c r="V524" s="0" t="s">
        <v>77</v>
      </c>
      <c r="W524" s="0" t="s">
        <v>57</v>
      </c>
      <c r="X524" s="0" t="s">
        <v>58</v>
      </c>
      <c r="Z524" s="0" t="s">
        <v>129</v>
      </c>
      <c r="AA524" s="0" t="n">
        <v>15000</v>
      </c>
      <c r="AC524" s="0" t="s">
        <v>61</v>
      </c>
      <c r="AE524" s="0" t="s">
        <v>130</v>
      </c>
      <c r="AH524" s="0" t="s">
        <v>116</v>
      </c>
      <c r="AK524" s="0" t="s">
        <v>63</v>
      </c>
      <c r="AL524" s="0" t="s">
        <v>50</v>
      </c>
      <c r="AM524" s="0" t="s">
        <v>118</v>
      </c>
      <c r="AN524" s="0" t="s">
        <v>198</v>
      </c>
    </row>
    <row r="525" customFormat="false" ht="15" hidden="false" customHeight="false" outlineLevel="0" collapsed="false">
      <c r="A525" s="0" t="s">
        <v>345</v>
      </c>
      <c r="B525" s="0" t="s">
        <v>1323</v>
      </c>
      <c r="C525" s="0" t="s">
        <v>163</v>
      </c>
      <c r="D525" s="0" t="n">
        <v>8016531664</v>
      </c>
      <c r="E525" s="0" t="s">
        <v>139</v>
      </c>
      <c r="F525" s="0" t="s">
        <v>1324</v>
      </c>
      <c r="G525" s="0" t="s">
        <v>87</v>
      </c>
      <c r="H525" s="0" t="s">
        <v>135</v>
      </c>
      <c r="I525" s="0" t="s">
        <v>108</v>
      </c>
      <c r="J525" s="0" t="s">
        <v>109</v>
      </c>
      <c r="K525" s="0" t="n">
        <v>72858</v>
      </c>
      <c r="L525" s="0" t="s">
        <v>72</v>
      </c>
      <c r="M525" s="0" t="s">
        <v>50</v>
      </c>
      <c r="O525" s="0" t="n">
        <v>4.4</v>
      </c>
      <c r="P525" s="0" t="s">
        <v>111</v>
      </c>
      <c r="Q525" s="0" t="s">
        <v>52</v>
      </c>
      <c r="R525" s="0" t="s">
        <v>94</v>
      </c>
      <c r="S525" s="0" t="s">
        <v>54</v>
      </c>
      <c r="T525" s="0" t="n">
        <v>30</v>
      </c>
      <c r="U525" s="0" t="s">
        <v>96</v>
      </c>
      <c r="V525" s="0" t="s">
        <v>56</v>
      </c>
      <c r="W525" s="0" t="s">
        <v>78</v>
      </c>
      <c r="X525" s="0" t="s">
        <v>137</v>
      </c>
      <c r="Y525" s="0" t="s">
        <v>59</v>
      </c>
      <c r="AB525" s="0" t="n">
        <v>40000</v>
      </c>
      <c r="AC525" s="0" t="s">
        <v>82</v>
      </c>
      <c r="AD525" s="0" t="n">
        <v>5000</v>
      </c>
      <c r="AE525" s="0" t="s">
        <v>184</v>
      </c>
      <c r="AF525" s="1" t="n">
        <v>45965</v>
      </c>
      <c r="AJ525" s="0" t="s">
        <v>62</v>
      </c>
      <c r="AK525" s="0" t="s">
        <v>61</v>
      </c>
      <c r="AL525" s="0" t="s">
        <v>63</v>
      </c>
      <c r="AM525" s="0" t="s">
        <v>118</v>
      </c>
      <c r="AN525" s="0" t="s">
        <v>198</v>
      </c>
    </row>
    <row r="526" customFormat="false" ht="15" hidden="false" customHeight="false" outlineLevel="0" collapsed="false">
      <c r="A526" s="1" t="n">
        <v>45708</v>
      </c>
      <c r="B526" s="0" t="s">
        <v>1325</v>
      </c>
      <c r="C526" s="0" t="s">
        <v>105</v>
      </c>
      <c r="D526" s="0" t="n">
        <v>8060653170</v>
      </c>
      <c r="E526" s="0" t="s">
        <v>139</v>
      </c>
      <c r="F526" s="0" t="s">
        <v>1326</v>
      </c>
      <c r="G526" s="0" t="s">
        <v>134</v>
      </c>
      <c r="H526" s="0" t="s">
        <v>170</v>
      </c>
      <c r="I526" s="0" t="s">
        <v>108</v>
      </c>
      <c r="J526" s="0" t="s">
        <v>71</v>
      </c>
      <c r="K526" s="0" t="n">
        <v>23949</v>
      </c>
      <c r="L526" s="0" t="s">
        <v>91</v>
      </c>
      <c r="M526" s="0" t="s">
        <v>63</v>
      </c>
      <c r="N526" s="0" t="n">
        <v>3</v>
      </c>
      <c r="O526" s="0" t="n">
        <v>3.3</v>
      </c>
      <c r="P526" s="0" t="s">
        <v>92</v>
      </c>
      <c r="Q526" s="0" t="s">
        <v>93</v>
      </c>
      <c r="S526" s="0" t="s">
        <v>75</v>
      </c>
      <c r="T526" s="0" t="n">
        <v>15</v>
      </c>
      <c r="U526" s="0" t="s">
        <v>112</v>
      </c>
      <c r="V526" s="0" t="s">
        <v>155</v>
      </c>
      <c r="W526" s="0" t="s">
        <v>98</v>
      </c>
      <c r="X526" s="0" t="s">
        <v>196</v>
      </c>
      <c r="Y526" s="0" t="s">
        <v>177</v>
      </c>
      <c r="Z526" s="0" t="s">
        <v>149</v>
      </c>
      <c r="AA526" s="0" t="s">
        <v>150</v>
      </c>
      <c r="AC526" s="0" t="s">
        <v>63</v>
      </c>
      <c r="AD526" s="0" t="n">
        <v>10000</v>
      </c>
      <c r="AG526" s="0" t="s">
        <v>61</v>
      </c>
      <c r="AI526" s="0" t="s">
        <v>172</v>
      </c>
      <c r="AJ526" s="0" t="s">
        <v>81</v>
      </c>
      <c r="AK526" s="0" t="s">
        <v>50</v>
      </c>
      <c r="AN526" s="0" t="s">
        <v>63</v>
      </c>
    </row>
    <row r="527" customFormat="false" ht="15" hidden="false" customHeight="false" outlineLevel="0" collapsed="false">
      <c r="A527" s="1" t="n">
        <v>45777</v>
      </c>
      <c r="B527" s="0" t="s">
        <v>1327</v>
      </c>
      <c r="C527" s="0" t="s">
        <v>66</v>
      </c>
      <c r="D527" s="0" t="n">
        <v>8037076822</v>
      </c>
      <c r="E527" s="0" t="s">
        <v>43</v>
      </c>
      <c r="F527" s="0" t="s">
        <v>1297</v>
      </c>
      <c r="G527" s="0" t="s">
        <v>134</v>
      </c>
      <c r="H527" s="0" t="s">
        <v>242</v>
      </c>
      <c r="I527" s="0" t="s">
        <v>154</v>
      </c>
      <c r="J527" s="0" t="s">
        <v>109</v>
      </c>
      <c r="K527" s="0" t="n">
        <v>27938</v>
      </c>
      <c r="L527" s="0" t="s">
        <v>166</v>
      </c>
      <c r="M527" s="0" t="s">
        <v>50</v>
      </c>
      <c r="N527" s="0" t="n">
        <v>1</v>
      </c>
      <c r="O527" s="0" t="n">
        <v>3.6</v>
      </c>
      <c r="P527" s="0" t="s">
        <v>92</v>
      </c>
      <c r="Q527" s="0" t="s">
        <v>93</v>
      </c>
      <c r="R527" s="0" t="s">
        <v>136</v>
      </c>
      <c r="S527" s="0" t="s">
        <v>126</v>
      </c>
      <c r="U527" s="0" t="s">
        <v>96</v>
      </c>
      <c r="V527" s="0" t="s">
        <v>155</v>
      </c>
      <c r="W527" s="0" t="s">
        <v>128</v>
      </c>
      <c r="X527" s="0" t="s">
        <v>196</v>
      </c>
      <c r="Y527" s="0" t="s">
        <v>59</v>
      </c>
      <c r="Z527" s="0" t="s">
        <v>161</v>
      </c>
      <c r="AA527" s="0" t="n">
        <v>40000</v>
      </c>
      <c r="AB527" s="0" t="s">
        <v>178</v>
      </c>
      <c r="AC527" s="0" t="s">
        <v>63</v>
      </c>
      <c r="AD527" s="0" t="n">
        <v>5000</v>
      </c>
      <c r="AF527" s="0" t="s">
        <v>1108</v>
      </c>
      <c r="AH527" s="0" t="s">
        <v>171</v>
      </c>
      <c r="AJ527" s="0" t="s">
        <v>62</v>
      </c>
      <c r="AK527" s="0" t="s">
        <v>63</v>
      </c>
      <c r="AL527" s="0" t="s">
        <v>102</v>
      </c>
      <c r="AM527" s="0" t="s">
        <v>64</v>
      </c>
      <c r="AN527" s="0" t="s">
        <v>190</v>
      </c>
    </row>
    <row r="528" customFormat="false" ht="15" hidden="false" customHeight="false" outlineLevel="0" collapsed="false">
      <c r="A528" s="1" t="n">
        <v>45691</v>
      </c>
      <c r="B528" s="0" t="s">
        <v>1328</v>
      </c>
      <c r="C528" s="0" t="s">
        <v>121</v>
      </c>
      <c r="D528" s="0" t="n">
        <v>8043514137</v>
      </c>
      <c r="E528" s="0" t="s">
        <v>43</v>
      </c>
      <c r="F528" s="0" t="s">
        <v>1329</v>
      </c>
      <c r="G528" s="0" t="s">
        <v>45</v>
      </c>
      <c r="H528" s="0" t="s">
        <v>272</v>
      </c>
      <c r="I528" s="0" t="s">
        <v>142</v>
      </c>
      <c r="J528" s="0" t="s">
        <v>48</v>
      </c>
      <c r="K528" s="0" t="n">
        <v>119677</v>
      </c>
      <c r="L528" s="0" t="s">
        <v>110</v>
      </c>
      <c r="M528" s="0" t="s">
        <v>63</v>
      </c>
      <c r="N528" s="0" t="n">
        <v>5</v>
      </c>
      <c r="O528" s="0" t="n">
        <v>3.9</v>
      </c>
      <c r="P528" s="0" t="s">
        <v>51</v>
      </c>
      <c r="Q528" s="0" t="s">
        <v>52</v>
      </c>
      <c r="R528" s="0" t="s">
        <v>53</v>
      </c>
      <c r="S528" s="0" t="s">
        <v>147</v>
      </c>
      <c r="T528" s="0" t="n">
        <v>15</v>
      </c>
      <c r="U528" s="0" t="s">
        <v>160</v>
      </c>
      <c r="V528" s="0" t="s">
        <v>56</v>
      </c>
      <c r="W528" s="0" t="s">
        <v>57</v>
      </c>
      <c r="X528" s="0" t="s">
        <v>196</v>
      </c>
      <c r="Y528" s="0" t="s">
        <v>177</v>
      </c>
      <c r="Z528" s="0" t="s">
        <v>161</v>
      </c>
      <c r="AA528" s="0" t="s">
        <v>150</v>
      </c>
      <c r="AB528" s="0" t="s">
        <v>178</v>
      </c>
      <c r="AD528" s="0" t="n">
        <v>5000</v>
      </c>
      <c r="AE528" s="0" t="s">
        <v>184</v>
      </c>
      <c r="AF528" s="1" t="n">
        <v>46009</v>
      </c>
      <c r="AG528" s="0" t="s">
        <v>50</v>
      </c>
      <c r="AH528" s="0" t="s">
        <v>116</v>
      </c>
      <c r="AK528" s="0" t="s">
        <v>61</v>
      </c>
      <c r="AM528" s="0" t="s">
        <v>103</v>
      </c>
      <c r="AN528" s="0" t="s">
        <v>198</v>
      </c>
    </row>
    <row r="529" customFormat="false" ht="15" hidden="false" customHeight="false" outlineLevel="0" collapsed="false">
      <c r="A529" s="1" t="n">
        <v>45822</v>
      </c>
      <c r="B529" s="0" t="s">
        <v>1330</v>
      </c>
      <c r="C529" s="0" t="s">
        <v>42</v>
      </c>
      <c r="D529" s="0" t="n">
        <v>8060283960</v>
      </c>
      <c r="E529" s="0" t="s">
        <v>139</v>
      </c>
      <c r="F529" s="0" t="s">
        <v>1331</v>
      </c>
      <c r="G529" s="0" t="s">
        <v>87</v>
      </c>
      <c r="I529" s="0" t="s">
        <v>189</v>
      </c>
      <c r="K529" s="0" t="n">
        <v>116179</v>
      </c>
      <c r="L529" s="0" t="s">
        <v>124</v>
      </c>
      <c r="M529" s="0" t="s">
        <v>63</v>
      </c>
      <c r="N529" s="0" t="n">
        <v>3</v>
      </c>
      <c r="O529" s="0" t="n">
        <v>4</v>
      </c>
      <c r="P529" s="0" t="s">
        <v>51</v>
      </c>
      <c r="Q529" s="0" t="s">
        <v>93</v>
      </c>
      <c r="R529" s="0" t="s">
        <v>74</v>
      </c>
      <c r="S529" s="0" t="s">
        <v>147</v>
      </c>
      <c r="T529" s="0" t="s">
        <v>127</v>
      </c>
      <c r="U529" s="0" t="s">
        <v>55</v>
      </c>
      <c r="V529" s="0" t="s">
        <v>97</v>
      </c>
      <c r="W529" s="0" t="s">
        <v>57</v>
      </c>
      <c r="X529" s="0" t="s">
        <v>99</v>
      </c>
      <c r="Y529" s="0" t="s">
        <v>59</v>
      </c>
      <c r="Z529" s="0" t="s">
        <v>79</v>
      </c>
      <c r="AD529" s="0" t="n">
        <v>5000</v>
      </c>
      <c r="AG529" s="0" t="s">
        <v>82</v>
      </c>
      <c r="AI529" s="0" t="s">
        <v>117</v>
      </c>
      <c r="AJ529" s="0" t="s">
        <v>50</v>
      </c>
      <c r="AK529" s="0" t="s">
        <v>50</v>
      </c>
      <c r="AL529" s="0" t="s">
        <v>102</v>
      </c>
      <c r="AN529" s="0" t="s">
        <v>50</v>
      </c>
    </row>
    <row r="530" customFormat="false" ht="15" hidden="false" customHeight="false" outlineLevel="0" collapsed="false">
      <c r="A530" s="1" t="n">
        <v>45777</v>
      </c>
      <c r="B530" s="0" t="s">
        <v>1332</v>
      </c>
      <c r="C530" s="0" t="s">
        <v>105</v>
      </c>
      <c r="D530" s="0" t="n">
        <v>8042016340</v>
      </c>
      <c r="E530" s="0" t="s">
        <v>122</v>
      </c>
      <c r="F530" s="0" t="s">
        <v>1096</v>
      </c>
      <c r="G530" s="0" t="s">
        <v>107</v>
      </c>
      <c r="H530" s="0" t="s">
        <v>46</v>
      </c>
      <c r="I530" s="0" t="s">
        <v>108</v>
      </c>
      <c r="J530" s="0" t="s">
        <v>90</v>
      </c>
      <c r="K530" s="0" t="n">
        <v>42912</v>
      </c>
      <c r="L530" s="0" t="s">
        <v>72</v>
      </c>
      <c r="M530" s="0" t="s">
        <v>63</v>
      </c>
      <c r="N530" s="0" t="n">
        <v>2</v>
      </c>
      <c r="O530" s="0" t="n">
        <v>5</v>
      </c>
      <c r="P530" s="0" t="s">
        <v>92</v>
      </c>
      <c r="Q530" s="0" t="s">
        <v>93</v>
      </c>
      <c r="R530" s="0" t="s">
        <v>159</v>
      </c>
      <c r="S530" s="0" t="s">
        <v>167</v>
      </c>
      <c r="U530" s="0" t="s">
        <v>112</v>
      </c>
      <c r="V530" s="0" t="s">
        <v>77</v>
      </c>
      <c r="W530" s="0" t="s">
        <v>57</v>
      </c>
      <c r="X530" s="0" t="s">
        <v>196</v>
      </c>
      <c r="Z530" s="0" t="s">
        <v>129</v>
      </c>
      <c r="AA530" s="0" t="n">
        <v>30000</v>
      </c>
      <c r="AB530" s="0" t="n">
        <v>20000</v>
      </c>
      <c r="AC530" s="0" t="s">
        <v>50</v>
      </c>
      <c r="AD530" s="0" t="n">
        <v>5000</v>
      </c>
      <c r="AE530" s="0" t="s">
        <v>130</v>
      </c>
      <c r="AF530" s="1" t="n">
        <v>46000</v>
      </c>
      <c r="AG530" s="0" t="s">
        <v>82</v>
      </c>
      <c r="AH530" s="0" t="s">
        <v>116</v>
      </c>
      <c r="AI530" s="0" t="s">
        <v>101</v>
      </c>
      <c r="AJ530" s="0" t="s">
        <v>50</v>
      </c>
      <c r="AL530" s="0" t="s">
        <v>102</v>
      </c>
      <c r="AM530" s="0" t="s">
        <v>83</v>
      </c>
      <c r="AN530" s="0" t="s">
        <v>50</v>
      </c>
    </row>
    <row r="531" customFormat="false" ht="15" hidden="false" customHeight="false" outlineLevel="0" collapsed="false">
      <c r="A531" s="1" t="n">
        <v>45844</v>
      </c>
      <c r="B531" s="0" t="s">
        <v>1333</v>
      </c>
      <c r="C531" s="0" t="s">
        <v>121</v>
      </c>
      <c r="D531" s="0" t="n">
        <v>8036841625</v>
      </c>
      <c r="E531" s="0" t="s">
        <v>139</v>
      </c>
      <c r="F531" s="0" t="s">
        <v>1334</v>
      </c>
      <c r="G531" s="0" t="s">
        <v>134</v>
      </c>
      <c r="H531" s="0" t="s">
        <v>165</v>
      </c>
      <c r="I531" s="0" t="s">
        <v>47</v>
      </c>
      <c r="J531" s="0" t="s">
        <v>109</v>
      </c>
      <c r="K531" s="0" t="n">
        <v>70521</v>
      </c>
      <c r="L531" s="0" t="s">
        <v>72</v>
      </c>
      <c r="M531" s="0" t="s">
        <v>50</v>
      </c>
      <c r="O531" s="0" t="n">
        <v>5.6</v>
      </c>
      <c r="P531" s="0" t="s">
        <v>111</v>
      </c>
      <c r="Q531" s="0" t="s">
        <v>93</v>
      </c>
      <c r="R531" s="0" t="s">
        <v>94</v>
      </c>
      <c r="S531" s="0" t="s">
        <v>167</v>
      </c>
      <c r="T531" s="0" t="n">
        <v>60</v>
      </c>
      <c r="U531" s="0" t="s">
        <v>160</v>
      </c>
      <c r="V531" s="0" t="s">
        <v>56</v>
      </c>
      <c r="W531" s="0" t="s">
        <v>57</v>
      </c>
      <c r="X531" s="0" t="s">
        <v>99</v>
      </c>
      <c r="Y531" s="0" t="s">
        <v>156</v>
      </c>
      <c r="Z531" s="0" t="s">
        <v>161</v>
      </c>
      <c r="AA531" s="0" t="s">
        <v>150</v>
      </c>
      <c r="AB531" s="0" t="n">
        <v>35000</v>
      </c>
      <c r="AC531" s="0" t="s">
        <v>63</v>
      </c>
      <c r="AD531" s="0" t="n">
        <v>0</v>
      </c>
      <c r="AE531" s="0" t="s">
        <v>184</v>
      </c>
      <c r="AF531" s="0" t="s">
        <v>556</v>
      </c>
      <c r="AI531" s="0" t="s">
        <v>172</v>
      </c>
      <c r="AJ531" s="0" t="s">
        <v>81</v>
      </c>
      <c r="AK531" s="0" t="s">
        <v>63</v>
      </c>
      <c r="AL531" s="0" t="s">
        <v>50</v>
      </c>
      <c r="AM531" s="0" t="s">
        <v>83</v>
      </c>
      <c r="AN531" s="0" t="s">
        <v>190</v>
      </c>
    </row>
    <row r="532" customFormat="false" ht="15" hidden="false" customHeight="false" outlineLevel="0" collapsed="false">
      <c r="A532" s="0" t="s">
        <v>433</v>
      </c>
      <c r="B532" s="0" t="s">
        <v>1335</v>
      </c>
      <c r="C532" s="0" t="s">
        <v>121</v>
      </c>
      <c r="D532" s="0" t="n">
        <v>8022265679</v>
      </c>
      <c r="E532" s="0" t="s">
        <v>67</v>
      </c>
      <c r="F532" s="0" t="s">
        <v>1336</v>
      </c>
      <c r="G532" s="0" t="s">
        <v>69</v>
      </c>
      <c r="H532" s="0" t="s">
        <v>165</v>
      </c>
      <c r="I532" s="0" t="s">
        <v>89</v>
      </c>
      <c r="K532" s="0" t="n">
        <v>66909</v>
      </c>
      <c r="L532" s="0" t="s">
        <v>49</v>
      </c>
      <c r="M532" s="0" t="s">
        <v>63</v>
      </c>
      <c r="N532" s="0" t="n">
        <v>4</v>
      </c>
      <c r="O532" s="0" t="n">
        <v>3.9</v>
      </c>
      <c r="P532" s="0" t="s">
        <v>51</v>
      </c>
      <c r="Q532" s="0" t="s">
        <v>52</v>
      </c>
      <c r="R532" s="0" t="s">
        <v>159</v>
      </c>
      <c r="S532" s="0" t="s">
        <v>126</v>
      </c>
      <c r="T532" s="0" t="s">
        <v>127</v>
      </c>
      <c r="U532" s="0" t="s">
        <v>96</v>
      </c>
      <c r="V532" s="0" t="s">
        <v>77</v>
      </c>
      <c r="W532" s="0" t="s">
        <v>113</v>
      </c>
      <c r="X532" s="0" t="s">
        <v>99</v>
      </c>
      <c r="Y532" s="0" t="s">
        <v>59</v>
      </c>
      <c r="Z532" s="0" t="s">
        <v>143</v>
      </c>
      <c r="AA532" s="0" t="n">
        <v>30000</v>
      </c>
      <c r="AD532" s="0" t="n">
        <v>0</v>
      </c>
      <c r="AE532" s="0" t="s">
        <v>130</v>
      </c>
      <c r="AG532" s="0" t="s">
        <v>82</v>
      </c>
      <c r="AH532" s="0" t="s">
        <v>171</v>
      </c>
      <c r="AL532" s="0" t="s">
        <v>50</v>
      </c>
      <c r="AM532" s="0" t="s">
        <v>83</v>
      </c>
      <c r="AN532" s="0" t="s">
        <v>50</v>
      </c>
    </row>
    <row r="533" customFormat="false" ht="15" hidden="false" customHeight="false" outlineLevel="0" collapsed="false">
      <c r="A533" s="1" t="n">
        <v>45774</v>
      </c>
      <c r="B533" s="0" t="s">
        <v>1337</v>
      </c>
      <c r="C533" s="0" t="s">
        <v>42</v>
      </c>
      <c r="D533" s="0" t="n">
        <v>8012152643</v>
      </c>
      <c r="E533" s="0" t="s">
        <v>85</v>
      </c>
      <c r="F533" s="0" t="s">
        <v>1338</v>
      </c>
      <c r="G533" s="0" t="s">
        <v>69</v>
      </c>
      <c r="I533" s="0" t="s">
        <v>154</v>
      </c>
      <c r="K533" s="0" t="n">
        <v>10358</v>
      </c>
      <c r="L533" s="0" t="s">
        <v>124</v>
      </c>
      <c r="M533" s="0" t="s">
        <v>63</v>
      </c>
      <c r="N533" s="0" t="n">
        <v>4</v>
      </c>
      <c r="O533" s="0" t="n">
        <v>3.9</v>
      </c>
      <c r="P533" s="0" t="s">
        <v>125</v>
      </c>
      <c r="Q533" s="0" t="s">
        <v>73</v>
      </c>
      <c r="R533" s="0" t="s">
        <v>74</v>
      </c>
      <c r="S533" s="0" t="s">
        <v>54</v>
      </c>
      <c r="T533" s="0" t="n">
        <v>15</v>
      </c>
      <c r="U533" s="0" t="s">
        <v>76</v>
      </c>
      <c r="V533" s="0" t="s">
        <v>77</v>
      </c>
      <c r="W533" s="0" t="s">
        <v>57</v>
      </c>
      <c r="X533" s="0" t="s">
        <v>137</v>
      </c>
      <c r="Z533" s="0" t="s">
        <v>161</v>
      </c>
      <c r="AB533" s="0" t="n">
        <v>35000</v>
      </c>
      <c r="AC533" s="0" t="s">
        <v>82</v>
      </c>
      <c r="AG533" s="0" t="s">
        <v>63</v>
      </c>
      <c r="AJ533" s="0" t="s">
        <v>62</v>
      </c>
      <c r="AK533" s="0" t="s">
        <v>82</v>
      </c>
      <c r="AL533" s="0" t="s">
        <v>63</v>
      </c>
      <c r="AN533" s="0" t="s">
        <v>190</v>
      </c>
    </row>
    <row r="534" customFormat="false" ht="15" hidden="false" customHeight="false" outlineLevel="0" collapsed="false">
      <c r="A534" s="0" t="s">
        <v>1339</v>
      </c>
      <c r="B534" s="0" t="s">
        <v>1340</v>
      </c>
      <c r="C534" s="0" t="s">
        <v>42</v>
      </c>
      <c r="D534" s="0" t="n">
        <v>8066597298</v>
      </c>
      <c r="E534" s="0" t="s">
        <v>67</v>
      </c>
      <c r="F534" s="0" t="s">
        <v>1341</v>
      </c>
      <c r="G534" s="0" t="s">
        <v>134</v>
      </c>
      <c r="H534" s="0" t="s">
        <v>135</v>
      </c>
      <c r="I534" s="0" t="s">
        <v>108</v>
      </c>
      <c r="J534" s="0" t="s">
        <v>48</v>
      </c>
      <c r="K534" s="0" t="n">
        <v>24491</v>
      </c>
      <c r="L534" s="0" t="s">
        <v>166</v>
      </c>
      <c r="M534" s="0" t="s">
        <v>63</v>
      </c>
      <c r="N534" s="0" t="n">
        <v>3</v>
      </c>
      <c r="O534" s="0" t="n">
        <v>1.2</v>
      </c>
      <c r="P534" s="0" t="s">
        <v>51</v>
      </c>
      <c r="Q534" s="0" t="s">
        <v>52</v>
      </c>
      <c r="R534" s="0" t="s">
        <v>136</v>
      </c>
      <c r="S534" s="0" t="s">
        <v>95</v>
      </c>
      <c r="U534" s="0" t="s">
        <v>112</v>
      </c>
      <c r="V534" s="0" t="s">
        <v>155</v>
      </c>
      <c r="W534" s="0" t="s">
        <v>78</v>
      </c>
      <c r="X534" s="0" t="s">
        <v>58</v>
      </c>
      <c r="Y534" s="0" t="s">
        <v>59</v>
      </c>
      <c r="Z534" s="0" t="s">
        <v>79</v>
      </c>
      <c r="AA534" s="0" t="s">
        <v>150</v>
      </c>
      <c r="AB534" s="0" t="s">
        <v>178</v>
      </c>
      <c r="AC534" s="0" t="s">
        <v>61</v>
      </c>
      <c r="AD534" s="0" t="n">
        <v>0</v>
      </c>
      <c r="AF534" s="1" t="n">
        <v>45986</v>
      </c>
      <c r="AG534" s="0" t="s">
        <v>50</v>
      </c>
      <c r="AI534" s="0" t="s">
        <v>117</v>
      </c>
      <c r="AJ534" s="0" t="s">
        <v>50</v>
      </c>
      <c r="AM534" s="0" t="s">
        <v>103</v>
      </c>
      <c r="AN534" s="0" t="s">
        <v>198</v>
      </c>
    </row>
    <row r="535" customFormat="false" ht="15" hidden="false" customHeight="false" outlineLevel="0" collapsed="false">
      <c r="A535" s="0" t="s">
        <v>1342</v>
      </c>
      <c r="B535" s="0" t="s">
        <v>1343</v>
      </c>
      <c r="C535" s="0" t="s">
        <v>42</v>
      </c>
      <c r="D535" s="0" t="n">
        <v>8013750602</v>
      </c>
      <c r="E535" s="0" t="s">
        <v>85</v>
      </c>
      <c r="F535" s="0" t="s">
        <v>1344</v>
      </c>
      <c r="G535" s="0" t="s">
        <v>45</v>
      </c>
      <c r="I535" s="0" t="s">
        <v>108</v>
      </c>
      <c r="J535" s="0" t="s">
        <v>90</v>
      </c>
      <c r="K535" s="0" t="n">
        <v>15783</v>
      </c>
      <c r="L535" s="0" t="s">
        <v>72</v>
      </c>
      <c r="M535" s="0" t="s">
        <v>63</v>
      </c>
      <c r="N535" s="0" t="n">
        <v>5</v>
      </c>
      <c r="O535" s="0" t="n">
        <v>3.5</v>
      </c>
      <c r="Q535" s="0" t="s">
        <v>93</v>
      </c>
      <c r="S535" s="0" t="s">
        <v>54</v>
      </c>
      <c r="T535" s="0" t="n">
        <v>60</v>
      </c>
      <c r="U535" s="0" t="s">
        <v>76</v>
      </c>
      <c r="V535" s="0" t="s">
        <v>56</v>
      </c>
      <c r="W535" s="0" t="s">
        <v>98</v>
      </c>
      <c r="X535" s="0" t="s">
        <v>137</v>
      </c>
      <c r="Z535" s="0" t="s">
        <v>79</v>
      </c>
      <c r="AA535" s="0" t="n">
        <v>25000</v>
      </c>
      <c r="AC535" s="0" t="s">
        <v>61</v>
      </c>
      <c r="AD535" s="0" t="n">
        <v>5000</v>
      </c>
      <c r="AE535" s="0" t="s">
        <v>60</v>
      </c>
      <c r="AH535" s="0" t="s">
        <v>171</v>
      </c>
      <c r="AI535" s="0" t="s">
        <v>117</v>
      </c>
      <c r="AJ535" s="0" t="s">
        <v>62</v>
      </c>
      <c r="AK535" s="0" t="s">
        <v>50</v>
      </c>
      <c r="AL535" s="0" t="s">
        <v>102</v>
      </c>
      <c r="AM535" s="0" t="s">
        <v>118</v>
      </c>
      <c r="AN535" s="0" t="s">
        <v>50</v>
      </c>
    </row>
    <row r="536" customFormat="false" ht="15" hidden="false" customHeight="false" outlineLevel="0" collapsed="false">
      <c r="A536" s="1" t="n">
        <v>45690</v>
      </c>
      <c r="B536" s="0" t="s">
        <v>1345</v>
      </c>
      <c r="C536" s="0" t="s">
        <v>121</v>
      </c>
      <c r="D536" s="0" t="n">
        <v>8011954205</v>
      </c>
      <c r="E536" s="0" t="s">
        <v>67</v>
      </c>
      <c r="F536" s="0" t="s">
        <v>1346</v>
      </c>
      <c r="G536" s="0" t="s">
        <v>87</v>
      </c>
      <c r="I536" s="0" t="s">
        <v>108</v>
      </c>
      <c r="K536" s="0" t="n">
        <v>82737</v>
      </c>
      <c r="L536" s="0" t="s">
        <v>110</v>
      </c>
      <c r="M536" s="0" t="s">
        <v>63</v>
      </c>
      <c r="O536" s="0" t="n">
        <v>2.3</v>
      </c>
      <c r="P536" s="0" t="s">
        <v>92</v>
      </c>
      <c r="Q536" s="0" t="s">
        <v>52</v>
      </c>
      <c r="R536" s="0" t="s">
        <v>159</v>
      </c>
      <c r="S536" s="0" t="s">
        <v>54</v>
      </c>
      <c r="T536" s="0" t="n">
        <v>15</v>
      </c>
      <c r="U536" s="0" t="s">
        <v>112</v>
      </c>
      <c r="V536" s="0" t="s">
        <v>56</v>
      </c>
      <c r="W536" s="0" t="s">
        <v>78</v>
      </c>
      <c r="X536" s="0" t="s">
        <v>196</v>
      </c>
      <c r="Y536" s="0" t="s">
        <v>177</v>
      </c>
      <c r="Z536" s="0" t="s">
        <v>79</v>
      </c>
      <c r="AA536" s="0" t="n">
        <v>40000</v>
      </c>
      <c r="AB536" s="0" t="n">
        <v>40000</v>
      </c>
      <c r="AC536" s="0" t="s">
        <v>50</v>
      </c>
      <c r="AE536" s="0" t="s">
        <v>184</v>
      </c>
      <c r="AF536" s="0" t="s">
        <v>1347</v>
      </c>
      <c r="AG536" s="0" t="s">
        <v>82</v>
      </c>
      <c r="AI536" s="0" t="s">
        <v>101</v>
      </c>
      <c r="AJ536" s="0" t="s">
        <v>62</v>
      </c>
      <c r="AK536" s="0" t="s">
        <v>63</v>
      </c>
      <c r="AM536" s="0" t="s">
        <v>118</v>
      </c>
    </row>
    <row r="537" customFormat="false" ht="15" hidden="false" customHeight="false" outlineLevel="0" collapsed="false">
      <c r="A537" s="0" t="s">
        <v>222</v>
      </c>
      <c r="B537" s="0" t="s">
        <v>1348</v>
      </c>
      <c r="C537" s="0" t="s">
        <v>105</v>
      </c>
      <c r="D537" s="0" t="n">
        <v>8055247029</v>
      </c>
      <c r="E537" s="0" t="s">
        <v>67</v>
      </c>
      <c r="F537" s="0" t="s">
        <v>1349</v>
      </c>
      <c r="G537" s="0" t="s">
        <v>107</v>
      </c>
      <c r="H537" s="0" t="s">
        <v>146</v>
      </c>
      <c r="I537" s="0" t="s">
        <v>142</v>
      </c>
      <c r="J537" s="0" t="s">
        <v>90</v>
      </c>
      <c r="K537" s="0" t="n">
        <v>17785</v>
      </c>
      <c r="L537" s="0" t="s">
        <v>110</v>
      </c>
      <c r="M537" s="0" t="s">
        <v>50</v>
      </c>
      <c r="N537" s="0" t="n">
        <v>2</v>
      </c>
      <c r="O537" s="0" t="n">
        <v>4.8</v>
      </c>
      <c r="P537" s="0" t="s">
        <v>92</v>
      </c>
      <c r="Q537" s="0" t="s">
        <v>73</v>
      </c>
      <c r="R537" s="0" t="s">
        <v>159</v>
      </c>
      <c r="S537" s="0" t="s">
        <v>147</v>
      </c>
      <c r="T537" s="0" t="n">
        <v>30</v>
      </c>
      <c r="U537" s="0" t="s">
        <v>112</v>
      </c>
      <c r="V537" s="0" t="s">
        <v>77</v>
      </c>
      <c r="W537" s="0" t="s">
        <v>128</v>
      </c>
      <c r="X537" s="0" t="s">
        <v>99</v>
      </c>
      <c r="Y537" s="0" t="s">
        <v>156</v>
      </c>
      <c r="Z537" s="0" t="s">
        <v>161</v>
      </c>
      <c r="AC537" s="0" t="s">
        <v>61</v>
      </c>
      <c r="AD537" s="0" t="n">
        <v>10000</v>
      </c>
      <c r="AE537" s="0" t="s">
        <v>184</v>
      </c>
      <c r="AG537" s="0" t="s">
        <v>63</v>
      </c>
      <c r="AI537" s="0" t="s">
        <v>101</v>
      </c>
      <c r="AJ537" s="0" t="s">
        <v>50</v>
      </c>
      <c r="AK537" s="0" t="s">
        <v>61</v>
      </c>
      <c r="AL537" s="0" t="s">
        <v>102</v>
      </c>
      <c r="AN537" s="0" t="s">
        <v>50</v>
      </c>
    </row>
    <row r="538" customFormat="false" ht="15" hidden="false" customHeight="false" outlineLevel="0" collapsed="false">
      <c r="A538" s="1" t="n">
        <v>45735</v>
      </c>
      <c r="B538" s="0" t="s">
        <v>1350</v>
      </c>
      <c r="C538" s="0" t="s">
        <v>121</v>
      </c>
      <c r="D538" s="0" t="n">
        <v>8035790180</v>
      </c>
      <c r="E538" s="0" t="s">
        <v>43</v>
      </c>
      <c r="F538" s="0" t="s">
        <v>1351</v>
      </c>
      <c r="G538" s="0" t="s">
        <v>87</v>
      </c>
      <c r="H538" s="0" t="s">
        <v>46</v>
      </c>
      <c r="I538" s="0" t="s">
        <v>189</v>
      </c>
      <c r="J538" s="0" t="s">
        <v>109</v>
      </c>
      <c r="K538" s="0" t="n">
        <v>110814</v>
      </c>
      <c r="L538" s="0" t="s">
        <v>166</v>
      </c>
      <c r="M538" s="0" t="s">
        <v>50</v>
      </c>
      <c r="N538" s="0" t="n">
        <v>4</v>
      </c>
      <c r="O538" s="0" t="n">
        <v>5.6</v>
      </c>
      <c r="P538" s="0" t="s">
        <v>92</v>
      </c>
      <c r="Q538" s="0" t="s">
        <v>93</v>
      </c>
      <c r="R538" s="0" t="s">
        <v>74</v>
      </c>
      <c r="S538" s="0" t="s">
        <v>126</v>
      </c>
      <c r="T538" s="0" t="n">
        <v>60</v>
      </c>
      <c r="U538" s="0" t="s">
        <v>160</v>
      </c>
      <c r="V538" s="0" t="s">
        <v>97</v>
      </c>
      <c r="W538" s="0" t="s">
        <v>98</v>
      </c>
      <c r="X538" s="0" t="s">
        <v>137</v>
      </c>
      <c r="Z538" s="0" t="s">
        <v>79</v>
      </c>
      <c r="AA538" s="0" t="n">
        <v>30000</v>
      </c>
      <c r="AC538" s="0" t="s">
        <v>82</v>
      </c>
      <c r="AD538" s="0" t="n">
        <v>10000</v>
      </c>
      <c r="AE538" s="0" t="s">
        <v>80</v>
      </c>
      <c r="AF538" s="1" t="n">
        <v>45871</v>
      </c>
      <c r="AH538" s="0" t="s">
        <v>171</v>
      </c>
      <c r="AI538" s="0" t="s">
        <v>101</v>
      </c>
      <c r="AJ538" s="0" t="s">
        <v>50</v>
      </c>
      <c r="AL538" s="0" t="s">
        <v>63</v>
      </c>
      <c r="AM538" s="0" t="s">
        <v>103</v>
      </c>
    </row>
    <row r="539" customFormat="false" ht="15" hidden="false" customHeight="false" outlineLevel="0" collapsed="false">
      <c r="A539" s="0" t="s">
        <v>918</v>
      </c>
      <c r="B539" s="0" t="s">
        <v>1352</v>
      </c>
      <c r="C539" s="0" t="s">
        <v>105</v>
      </c>
      <c r="D539" s="0" t="n">
        <v>8099784876</v>
      </c>
      <c r="E539" s="0" t="s">
        <v>122</v>
      </c>
      <c r="F539" s="0" t="s">
        <v>1353</v>
      </c>
      <c r="G539" s="0" t="s">
        <v>134</v>
      </c>
      <c r="H539" s="0" t="s">
        <v>242</v>
      </c>
      <c r="I539" s="0" t="s">
        <v>154</v>
      </c>
      <c r="J539" s="0" t="s">
        <v>90</v>
      </c>
      <c r="K539" s="0" t="n">
        <v>25533</v>
      </c>
      <c r="L539" s="0" t="s">
        <v>166</v>
      </c>
      <c r="M539" s="0" t="s">
        <v>50</v>
      </c>
      <c r="N539" s="0" t="n">
        <v>4</v>
      </c>
      <c r="O539" s="0" t="n">
        <v>5.3</v>
      </c>
      <c r="P539" s="0" t="s">
        <v>51</v>
      </c>
      <c r="Q539" s="0" t="s">
        <v>73</v>
      </c>
      <c r="R539" s="0" t="s">
        <v>53</v>
      </c>
      <c r="S539" s="0" t="s">
        <v>95</v>
      </c>
      <c r="U539" s="0" t="s">
        <v>55</v>
      </c>
      <c r="V539" s="0" t="s">
        <v>56</v>
      </c>
      <c r="W539" s="0" t="s">
        <v>57</v>
      </c>
      <c r="X539" s="0" t="s">
        <v>99</v>
      </c>
      <c r="Y539" s="0" t="s">
        <v>197</v>
      </c>
      <c r="Z539" s="0" t="s">
        <v>79</v>
      </c>
      <c r="AB539" s="0" t="n">
        <v>35000</v>
      </c>
      <c r="AC539" s="0" t="s">
        <v>50</v>
      </c>
      <c r="AD539" s="0" t="n">
        <v>5000</v>
      </c>
      <c r="AE539" s="0" t="s">
        <v>184</v>
      </c>
      <c r="AF539" s="0" t="s">
        <v>1019</v>
      </c>
      <c r="AG539" s="0" t="s">
        <v>61</v>
      </c>
      <c r="AJ539" s="0" t="s">
        <v>50</v>
      </c>
      <c r="AK539" s="0" t="s">
        <v>82</v>
      </c>
      <c r="AM539" s="0" t="s">
        <v>118</v>
      </c>
    </row>
    <row r="540" customFormat="false" ht="15" hidden="false" customHeight="false" outlineLevel="0" collapsed="false">
      <c r="A540" s="1" t="n">
        <v>45720</v>
      </c>
      <c r="B540" s="0" t="s">
        <v>1354</v>
      </c>
      <c r="C540" s="0" t="s">
        <v>121</v>
      </c>
      <c r="D540" s="0" t="n">
        <v>8018478733</v>
      </c>
      <c r="E540" s="0" t="s">
        <v>43</v>
      </c>
      <c r="F540" s="0" t="s">
        <v>1355</v>
      </c>
      <c r="G540" s="0" t="s">
        <v>45</v>
      </c>
      <c r="H540" s="0" t="s">
        <v>242</v>
      </c>
      <c r="I540" s="0" t="s">
        <v>189</v>
      </c>
      <c r="J540" s="0" t="s">
        <v>109</v>
      </c>
      <c r="K540" s="0" t="n">
        <v>114498</v>
      </c>
      <c r="L540" s="0" t="s">
        <v>166</v>
      </c>
      <c r="M540" s="0" t="s">
        <v>63</v>
      </c>
      <c r="O540" s="0" t="n">
        <v>4.1</v>
      </c>
      <c r="P540" s="0" t="s">
        <v>125</v>
      </c>
      <c r="Q540" s="0" t="s">
        <v>52</v>
      </c>
      <c r="R540" s="0" t="s">
        <v>159</v>
      </c>
      <c r="S540" s="0" t="s">
        <v>147</v>
      </c>
      <c r="T540" s="0" t="n">
        <v>15</v>
      </c>
      <c r="U540" s="0" t="s">
        <v>96</v>
      </c>
      <c r="V540" s="0" t="s">
        <v>155</v>
      </c>
      <c r="W540" s="0" t="s">
        <v>57</v>
      </c>
      <c r="X540" s="0" t="s">
        <v>137</v>
      </c>
      <c r="Z540" s="0" t="s">
        <v>129</v>
      </c>
      <c r="AA540" s="0" t="n">
        <v>40000</v>
      </c>
      <c r="AB540" s="0" t="n">
        <v>30000</v>
      </c>
      <c r="AD540" s="0" t="n">
        <v>0</v>
      </c>
      <c r="AE540" s="0" t="s">
        <v>130</v>
      </c>
      <c r="AJ540" s="0" t="s">
        <v>62</v>
      </c>
      <c r="AL540" s="0" t="s">
        <v>63</v>
      </c>
      <c r="AN540" s="0" t="s">
        <v>50</v>
      </c>
    </row>
    <row r="541" customFormat="false" ht="15" hidden="false" customHeight="false" outlineLevel="0" collapsed="false">
      <c r="A541" s="1" t="n">
        <v>45698</v>
      </c>
      <c r="B541" s="0" t="s">
        <v>1356</v>
      </c>
      <c r="C541" s="0" t="s">
        <v>42</v>
      </c>
      <c r="D541" s="0" t="n">
        <v>8039604115</v>
      </c>
      <c r="E541" s="0" t="s">
        <v>67</v>
      </c>
      <c r="F541" s="0" t="s">
        <v>1357</v>
      </c>
      <c r="G541" s="0" t="s">
        <v>134</v>
      </c>
      <c r="H541" s="0" t="s">
        <v>272</v>
      </c>
      <c r="I541" s="0" t="s">
        <v>47</v>
      </c>
      <c r="K541" s="0" t="n">
        <v>112708</v>
      </c>
      <c r="L541" s="0" t="s">
        <v>166</v>
      </c>
      <c r="M541" s="0" t="s">
        <v>50</v>
      </c>
      <c r="O541" s="0" t="n">
        <v>4.5</v>
      </c>
      <c r="Q541" s="0" t="s">
        <v>52</v>
      </c>
      <c r="R541" s="0" t="s">
        <v>74</v>
      </c>
      <c r="S541" s="0" t="s">
        <v>126</v>
      </c>
      <c r="T541" s="0" t="n">
        <v>15</v>
      </c>
      <c r="U541" s="0" t="s">
        <v>55</v>
      </c>
      <c r="V541" s="0" t="s">
        <v>148</v>
      </c>
      <c r="W541" s="0" t="s">
        <v>57</v>
      </c>
      <c r="X541" s="0" t="s">
        <v>114</v>
      </c>
      <c r="Z541" s="0" t="s">
        <v>149</v>
      </c>
      <c r="AA541" s="0" t="s">
        <v>150</v>
      </c>
      <c r="AD541" s="0" t="n">
        <v>10000</v>
      </c>
      <c r="AE541" s="0" t="s">
        <v>60</v>
      </c>
      <c r="AF541" s="1" t="n">
        <v>45903</v>
      </c>
      <c r="AG541" s="0" t="s">
        <v>82</v>
      </c>
      <c r="AK541" s="0" t="s">
        <v>50</v>
      </c>
      <c r="AL541" s="0" t="s">
        <v>102</v>
      </c>
      <c r="AM541" s="0" t="s">
        <v>118</v>
      </c>
      <c r="AN541" s="0" t="s">
        <v>50</v>
      </c>
    </row>
    <row r="542" customFormat="false" ht="15" hidden="false" customHeight="false" outlineLevel="0" collapsed="false">
      <c r="A542" s="0" t="s">
        <v>1358</v>
      </c>
      <c r="B542" s="0" t="s">
        <v>1359</v>
      </c>
      <c r="C542" s="0" t="s">
        <v>66</v>
      </c>
      <c r="D542" s="0" t="n">
        <v>8022965862</v>
      </c>
      <c r="E542" s="0" t="s">
        <v>139</v>
      </c>
      <c r="F542" s="0" t="s">
        <v>1360</v>
      </c>
      <c r="G542" s="0" t="s">
        <v>134</v>
      </c>
      <c r="H542" s="0" t="s">
        <v>146</v>
      </c>
      <c r="I542" s="0" t="s">
        <v>142</v>
      </c>
      <c r="J542" s="0" t="s">
        <v>109</v>
      </c>
      <c r="K542" s="0" t="n">
        <v>77394</v>
      </c>
      <c r="L542" s="0" t="s">
        <v>166</v>
      </c>
      <c r="M542" s="0" t="s">
        <v>50</v>
      </c>
      <c r="N542" s="0" t="n">
        <v>2</v>
      </c>
      <c r="O542" s="0" t="n">
        <v>1</v>
      </c>
      <c r="P542" s="0" t="s">
        <v>51</v>
      </c>
      <c r="Q542" s="0" t="s">
        <v>73</v>
      </c>
      <c r="R542" s="0" t="s">
        <v>159</v>
      </c>
      <c r="S542" s="0" t="s">
        <v>147</v>
      </c>
      <c r="T542" s="0" t="n">
        <v>45</v>
      </c>
      <c r="U542" s="0" t="s">
        <v>160</v>
      </c>
      <c r="V542" s="0" t="s">
        <v>97</v>
      </c>
      <c r="W542" s="0" t="s">
        <v>78</v>
      </c>
      <c r="X542" s="0" t="s">
        <v>137</v>
      </c>
      <c r="Y542" s="0" t="s">
        <v>197</v>
      </c>
      <c r="Z542" s="0" t="s">
        <v>149</v>
      </c>
      <c r="AA542" s="0" t="n">
        <v>15000</v>
      </c>
      <c r="AC542" s="0" t="s">
        <v>61</v>
      </c>
      <c r="AD542" s="0" t="n">
        <v>0</v>
      </c>
      <c r="AE542" s="0" t="s">
        <v>184</v>
      </c>
      <c r="AG542" s="0" t="s">
        <v>61</v>
      </c>
      <c r="AJ542" s="0" t="s">
        <v>50</v>
      </c>
      <c r="AK542" s="0" t="s">
        <v>61</v>
      </c>
      <c r="AL542" s="0" t="s">
        <v>102</v>
      </c>
      <c r="AM542" s="0" t="s">
        <v>83</v>
      </c>
      <c r="AN542" s="0" t="s">
        <v>63</v>
      </c>
    </row>
    <row r="543" customFormat="false" ht="15" hidden="false" customHeight="false" outlineLevel="0" collapsed="false">
      <c r="A543" s="1" t="n">
        <v>45745</v>
      </c>
      <c r="B543" s="0" t="s">
        <v>1361</v>
      </c>
      <c r="C543" s="0" t="s">
        <v>163</v>
      </c>
      <c r="D543" s="0" t="n">
        <v>8099135168</v>
      </c>
      <c r="E543" s="0" t="s">
        <v>67</v>
      </c>
      <c r="F543" s="0" t="s">
        <v>1362</v>
      </c>
      <c r="G543" s="0" t="s">
        <v>69</v>
      </c>
      <c r="H543" s="0" t="s">
        <v>135</v>
      </c>
      <c r="I543" s="0" t="s">
        <v>142</v>
      </c>
      <c r="J543" s="0" t="s">
        <v>71</v>
      </c>
      <c r="K543" s="0" t="n">
        <v>26074</v>
      </c>
      <c r="L543" s="0" t="s">
        <v>91</v>
      </c>
      <c r="M543" s="0" t="s">
        <v>50</v>
      </c>
      <c r="N543" s="0" t="n">
        <v>2</v>
      </c>
      <c r="O543" s="0" t="n">
        <v>1.9</v>
      </c>
      <c r="P543" s="0" t="s">
        <v>51</v>
      </c>
      <c r="Q543" s="0" t="s">
        <v>52</v>
      </c>
      <c r="R543" s="0" t="s">
        <v>53</v>
      </c>
      <c r="S543" s="0" t="s">
        <v>95</v>
      </c>
      <c r="U543" s="0" t="s">
        <v>55</v>
      </c>
      <c r="V543" s="0" t="s">
        <v>77</v>
      </c>
      <c r="W543" s="0" t="s">
        <v>98</v>
      </c>
      <c r="X543" s="0" t="s">
        <v>58</v>
      </c>
      <c r="Y543" s="0" t="s">
        <v>156</v>
      </c>
      <c r="Z543" s="0" t="s">
        <v>79</v>
      </c>
      <c r="AB543" s="0" t="n">
        <v>30000</v>
      </c>
      <c r="AC543" s="0" t="s">
        <v>50</v>
      </c>
      <c r="AD543" s="0" t="n">
        <v>10000</v>
      </c>
      <c r="AE543" s="0" t="s">
        <v>130</v>
      </c>
      <c r="AF543" s="0" t="s">
        <v>1363</v>
      </c>
      <c r="AG543" s="0" t="s">
        <v>63</v>
      </c>
      <c r="AI543" s="0" t="s">
        <v>101</v>
      </c>
      <c r="AJ543" s="0" t="s">
        <v>63</v>
      </c>
      <c r="AL543" s="0" t="s">
        <v>63</v>
      </c>
      <c r="AM543" s="0" t="s">
        <v>103</v>
      </c>
      <c r="AN543" s="0" t="s">
        <v>50</v>
      </c>
    </row>
    <row r="544" customFormat="false" ht="15" hidden="false" customHeight="false" outlineLevel="0" collapsed="false">
      <c r="A544" s="1" t="n">
        <v>45677</v>
      </c>
      <c r="B544" s="0" t="s">
        <v>1364</v>
      </c>
      <c r="C544" s="0" t="s">
        <v>121</v>
      </c>
      <c r="D544" s="0" t="n">
        <v>8032532859</v>
      </c>
      <c r="E544" s="0" t="s">
        <v>139</v>
      </c>
      <c r="F544" s="0" t="s">
        <v>1365</v>
      </c>
      <c r="G544" s="0" t="s">
        <v>69</v>
      </c>
      <c r="H544" s="0" t="s">
        <v>88</v>
      </c>
      <c r="I544" s="0" t="s">
        <v>89</v>
      </c>
      <c r="K544" s="0" t="n">
        <v>15076</v>
      </c>
      <c r="L544" s="0" t="s">
        <v>49</v>
      </c>
      <c r="M544" s="0" t="s">
        <v>50</v>
      </c>
      <c r="N544" s="0" t="n">
        <v>5</v>
      </c>
      <c r="O544" s="0" t="n">
        <v>3.5</v>
      </c>
      <c r="Q544" s="0" t="s">
        <v>73</v>
      </c>
      <c r="R544" s="0" t="s">
        <v>136</v>
      </c>
      <c r="S544" s="0" t="s">
        <v>167</v>
      </c>
      <c r="T544" s="0" t="n">
        <v>15</v>
      </c>
      <c r="U544" s="0" t="s">
        <v>55</v>
      </c>
      <c r="V544" s="0" t="s">
        <v>97</v>
      </c>
      <c r="W544" s="0" t="s">
        <v>78</v>
      </c>
      <c r="X544" s="0" t="s">
        <v>58</v>
      </c>
      <c r="Y544" s="0" t="s">
        <v>197</v>
      </c>
      <c r="Z544" s="0" t="s">
        <v>143</v>
      </c>
      <c r="AB544" s="0" t="n">
        <v>40000</v>
      </c>
      <c r="AC544" s="0" t="s">
        <v>50</v>
      </c>
      <c r="AD544" s="0" t="n">
        <v>0</v>
      </c>
      <c r="AE544" s="0" t="s">
        <v>80</v>
      </c>
      <c r="AF544" s="1" t="n">
        <v>45825</v>
      </c>
      <c r="AG544" s="0" t="s">
        <v>50</v>
      </c>
      <c r="AI544" s="0" t="s">
        <v>172</v>
      </c>
      <c r="AJ544" s="0" t="s">
        <v>50</v>
      </c>
      <c r="AK544" s="0" t="s">
        <v>63</v>
      </c>
      <c r="AL544" s="0" t="s">
        <v>63</v>
      </c>
      <c r="AM544" s="0" t="s">
        <v>103</v>
      </c>
      <c r="AN544" s="0" t="s">
        <v>63</v>
      </c>
    </row>
    <row r="545" customFormat="false" ht="15" hidden="false" customHeight="false" outlineLevel="0" collapsed="false">
      <c r="A545" s="1" t="n">
        <v>45687</v>
      </c>
      <c r="B545" s="0" t="s">
        <v>1366</v>
      </c>
      <c r="C545" s="0" t="s">
        <v>163</v>
      </c>
      <c r="D545" s="0" t="n">
        <v>8032420703</v>
      </c>
      <c r="E545" s="0" t="s">
        <v>122</v>
      </c>
      <c r="F545" s="0" t="s">
        <v>1367</v>
      </c>
      <c r="G545" s="0" t="s">
        <v>45</v>
      </c>
      <c r="H545" s="0" t="s">
        <v>170</v>
      </c>
      <c r="I545" s="0" t="s">
        <v>89</v>
      </c>
      <c r="J545" s="0" t="s">
        <v>109</v>
      </c>
      <c r="K545" s="0" t="n">
        <v>37160</v>
      </c>
      <c r="L545" s="0" t="s">
        <v>166</v>
      </c>
      <c r="M545" s="0" t="s">
        <v>50</v>
      </c>
      <c r="O545" s="0" t="n">
        <v>4.8</v>
      </c>
      <c r="P545" s="0" t="s">
        <v>92</v>
      </c>
      <c r="Q545" s="0" t="s">
        <v>93</v>
      </c>
      <c r="R545" s="0" t="s">
        <v>94</v>
      </c>
      <c r="S545" s="0" t="s">
        <v>167</v>
      </c>
      <c r="T545" s="0" t="s">
        <v>127</v>
      </c>
      <c r="U545" s="0" t="s">
        <v>76</v>
      </c>
      <c r="V545" s="0" t="s">
        <v>97</v>
      </c>
      <c r="W545" s="0" t="s">
        <v>113</v>
      </c>
      <c r="X545" s="0" t="s">
        <v>196</v>
      </c>
      <c r="Z545" s="0" t="s">
        <v>143</v>
      </c>
      <c r="AA545" s="0" t="s">
        <v>150</v>
      </c>
      <c r="AC545" s="0" t="s">
        <v>82</v>
      </c>
      <c r="AE545" s="0" t="s">
        <v>80</v>
      </c>
      <c r="AG545" s="0" t="s">
        <v>82</v>
      </c>
      <c r="AI545" s="0" t="s">
        <v>172</v>
      </c>
      <c r="AJ545" s="0" t="s">
        <v>62</v>
      </c>
      <c r="AK545" s="0" t="s">
        <v>61</v>
      </c>
      <c r="AL545" s="0" t="s">
        <v>50</v>
      </c>
      <c r="AM545" s="0" t="s">
        <v>118</v>
      </c>
      <c r="AN545" s="0" t="s">
        <v>50</v>
      </c>
    </row>
    <row r="546" customFormat="false" ht="15" hidden="false" customHeight="false" outlineLevel="0" collapsed="false">
      <c r="A546" s="1" t="n">
        <v>45741</v>
      </c>
      <c r="B546" s="0" t="s">
        <v>1368</v>
      </c>
      <c r="C546" s="0" t="s">
        <v>163</v>
      </c>
      <c r="D546" s="0" t="n">
        <v>8015907259</v>
      </c>
      <c r="E546" s="0" t="s">
        <v>85</v>
      </c>
      <c r="F546" s="0" t="s">
        <v>1369</v>
      </c>
      <c r="G546" s="0" t="s">
        <v>107</v>
      </c>
      <c r="H546" s="0" t="s">
        <v>135</v>
      </c>
      <c r="I546" s="0" t="s">
        <v>154</v>
      </c>
      <c r="K546" s="0" t="n">
        <v>13492</v>
      </c>
      <c r="L546" s="0" t="s">
        <v>72</v>
      </c>
      <c r="M546" s="0" t="s">
        <v>50</v>
      </c>
      <c r="N546" s="0" t="n">
        <v>3</v>
      </c>
      <c r="O546" s="0" t="n">
        <v>2.4</v>
      </c>
      <c r="Q546" s="0" t="s">
        <v>52</v>
      </c>
      <c r="R546" s="0" t="s">
        <v>159</v>
      </c>
      <c r="S546" s="0" t="s">
        <v>167</v>
      </c>
      <c r="T546" s="0" t="n">
        <v>15</v>
      </c>
      <c r="U546" s="0" t="s">
        <v>160</v>
      </c>
      <c r="V546" s="0" t="s">
        <v>97</v>
      </c>
      <c r="W546" s="0" t="s">
        <v>57</v>
      </c>
      <c r="X546" s="0" t="s">
        <v>99</v>
      </c>
      <c r="Z546" s="0" t="s">
        <v>143</v>
      </c>
      <c r="AA546" s="0" t="n">
        <v>30000</v>
      </c>
      <c r="AB546" s="0" t="n">
        <v>35000</v>
      </c>
      <c r="AC546" s="0" t="s">
        <v>82</v>
      </c>
      <c r="AD546" s="0" t="s">
        <v>115</v>
      </c>
      <c r="AF546" s="0" t="s">
        <v>1197</v>
      </c>
      <c r="AG546" s="0" t="s">
        <v>82</v>
      </c>
      <c r="AI546" s="0" t="s">
        <v>117</v>
      </c>
      <c r="AJ546" s="0" t="s">
        <v>81</v>
      </c>
      <c r="AK546" s="0" t="s">
        <v>61</v>
      </c>
      <c r="AN546" s="0" t="s">
        <v>63</v>
      </c>
    </row>
    <row r="547" customFormat="false" ht="15" hidden="false" customHeight="false" outlineLevel="0" collapsed="false">
      <c r="A547" s="0" t="s">
        <v>1370</v>
      </c>
      <c r="B547" s="0" t="s">
        <v>1371</v>
      </c>
      <c r="C547" s="0" t="s">
        <v>163</v>
      </c>
      <c r="D547" s="0" t="n">
        <v>8065791626</v>
      </c>
      <c r="E547" s="0" t="s">
        <v>85</v>
      </c>
      <c r="F547" s="0" t="s">
        <v>1372</v>
      </c>
      <c r="G547" s="0" t="s">
        <v>69</v>
      </c>
      <c r="I547" s="0" t="s">
        <v>89</v>
      </c>
      <c r="J547" s="0" t="s">
        <v>48</v>
      </c>
      <c r="K547" s="0" t="n">
        <v>115656</v>
      </c>
      <c r="L547" s="0" t="s">
        <v>110</v>
      </c>
      <c r="M547" s="0" t="s">
        <v>50</v>
      </c>
      <c r="N547" s="0" t="n">
        <v>4</v>
      </c>
      <c r="O547" s="0" t="n">
        <v>4.1</v>
      </c>
      <c r="P547" s="0" t="s">
        <v>92</v>
      </c>
      <c r="Q547" s="0" t="s">
        <v>93</v>
      </c>
      <c r="R547" s="0" t="s">
        <v>74</v>
      </c>
      <c r="S547" s="0" t="s">
        <v>126</v>
      </c>
      <c r="U547" s="0" t="s">
        <v>112</v>
      </c>
      <c r="V547" s="0" t="s">
        <v>155</v>
      </c>
      <c r="W547" s="0" t="s">
        <v>78</v>
      </c>
      <c r="X547" s="0" t="s">
        <v>114</v>
      </c>
      <c r="Y547" s="0" t="s">
        <v>177</v>
      </c>
      <c r="AA547" s="0" t="n">
        <v>25000</v>
      </c>
      <c r="AB547" s="0" t="s">
        <v>178</v>
      </c>
      <c r="AC547" s="0" t="s">
        <v>61</v>
      </c>
      <c r="AE547" s="0" t="s">
        <v>184</v>
      </c>
      <c r="AG547" s="0" t="s">
        <v>63</v>
      </c>
      <c r="AH547" s="0" t="s">
        <v>116</v>
      </c>
      <c r="AI547" s="0" t="s">
        <v>101</v>
      </c>
      <c r="AJ547" s="0" t="s">
        <v>50</v>
      </c>
      <c r="AK547" s="0" t="s">
        <v>50</v>
      </c>
      <c r="AL547" s="0" t="s">
        <v>63</v>
      </c>
    </row>
    <row r="548" customFormat="false" ht="15" hidden="false" customHeight="false" outlineLevel="0" collapsed="false">
      <c r="A548" s="1" t="n">
        <v>45761</v>
      </c>
      <c r="B548" s="0" t="s">
        <v>1373</v>
      </c>
      <c r="C548" s="0" t="s">
        <v>121</v>
      </c>
      <c r="D548" s="0" t="n">
        <v>8078786599</v>
      </c>
      <c r="E548" s="0" t="s">
        <v>67</v>
      </c>
      <c r="F548" s="0" t="s">
        <v>1374</v>
      </c>
      <c r="G548" s="0" t="s">
        <v>69</v>
      </c>
      <c r="H548" s="0" t="s">
        <v>153</v>
      </c>
      <c r="I548" s="0" t="s">
        <v>47</v>
      </c>
      <c r="J548" s="0" t="s">
        <v>90</v>
      </c>
      <c r="K548" s="0" t="n">
        <v>106558</v>
      </c>
      <c r="L548" s="0" t="s">
        <v>49</v>
      </c>
      <c r="M548" s="0" t="s">
        <v>50</v>
      </c>
      <c r="N548" s="0" t="n">
        <v>2</v>
      </c>
      <c r="O548" s="0" t="n">
        <v>3.3</v>
      </c>
      <c r="Q548" s="0" t="s">
        <v>73</v>
      </c>
      <c r="R548" s="0" t="s">
        <v>159</v>
      </c>
      <c r="S548" s="0" t="s">
        <v>95</v>
      </c>
      <c r="T548" s="0" t="n">
        <v>15</v>
      </c>
      <c r="U548" s="0" t="s">
        <v>76</v>
      </c>
      <c r="V548" s="0" t="s">
        <v>155</v>
      </c>
      <c r="W548" s="0" t="s">
        <v>128</v>
      </c>
      <c r="X548" s="0" t="s">
        <v>196</v>
      </c>
      <c r="Y548" s="0" t="s">
        <v>177</v>
      </c>
      <c r="AA548" s="0" t="n">
        <v>30000</v>
      </c>
      <c r="AB548" s="0" t="n">
        <v>20000</v>
      </c>
      <c r="AD548" s="0" t="n">
        <v>5000</v>
      </c>
      <c r="AE548" s="0" t="s">
        <v>184</v>
      </c>
      <c r="AF548" s="1" t="n">
        <v>45991</v>
      </c>
      <c r="AH548" s="0" t="s">
        <v>116</v>
      </c>
      <c r="AJ548" s="0" t="s">
        <v>81</v>
      </c>
      <c r="AK548" s="0" t="s">
        <v>50</v>
      </c>
      <c r="AL548" s="0" t="s">
        <v>50</v>
      </c>
      <c r="AM548" s="0" t="s">
        <v>103</v>
      </c>
      <c r="AN548" s="0" t="s">
        <v>198</v>
      </c>
    </row>
    <row r="549" customFormat="false" ht="15" hidden="false" customHeight="false" outlineLevel="0" collapsed="false">
      <c r="A549" s="1" t="n">
        <v>45873</v>
      </c>
      <c r="B549" s="0" t="s">
        <v>1375</v>
      </c>
      <c r="C549" s="0" t="s">
        <v>66</v>
      </c>
      <c r="D549" s="0" t="n">
        <v>8024453078</v>
      </c>
      <c r="E549" s="0" t="s">
        <v>67</v>
      </c>
      <c r="F549" s="0" t="s">
        <v>1376</v>
      </c>
      <c r="G549" s="0" t="s">
        <v>45</v>
      </c>
      <c r="H549" s="0" t="s">
        <v>146</v>
      </c>
      <c r="I549" s="0" t="s">
        <v>142</v>
      </c>
      <c r="J549" s="0" t="s">
        <v>71</v>
      </c>
      <c r="K549" s="0" t="n">
        <v>113878</v>
      </c>
      <c r="L549" s="0" t="s">
        <v>72</v>
      </c>
      <c r="M549" s="0" t="s">
        <v>50</v>
      </c>
      <c r="N549" s="0" t="n">
        <v>3</v>
      </c>
      <c r="O549" s="0" t="n">
        <v>2.3</v>
      </c>
      <c r="P549" s="0" t="s">
        <v>111</v>
      </c>
      <c r="Q549" s="0" t="s">
        <v>73</v>
      </c>
      <c r="R549" s="0" t="s">
        <v>74</v>
      </c>
      <c r="S549" s="0" t="s">
        <v>126</v>
      </c>
      <c r="T549" s="0" t="n">
        <v>30</v>
      </c>
      <c r="U549" s="0" t="s">
        <v>112</v>
      </c>
      <c r="V549" s="0" t="s">
        <v>148</v>
      </c>
      <c r="W549" s="0" t="s">
        <v>78</v>
      </c>
      <c r="X549" s="0" t="s">
        <v>58</v>
      </c>
      <c r="Y549" s="0" t="s">
        <v>197</v>
      </c>
      <c r="Z549" s="0" t="s">
        <v>129</v>
      </c>
      <c r="AA549" s="0" t="n">
        <v>40000</v>
      </c>
      <c r="AB549" s="0" t="n">
        <v>35000</v>
      </c>
      <c r="AC549" s="0" t="s">
        <v>82</v>
      </c>
      <c r="AD549" s="0" t="n">
        <v>10000</v>
      </c>
      <c r="AE549" s="0" t="s">
        <v>184</v>
      </c>
      <c r="AF549" s="1" t="n">
        <v>45850</v>
      </c>
      <c r="AH549" s="0" t="s">
        <v>171</v>
      </c>
      <c r="AI549" s="0" t="s">
        <v>117</v>
      </c>
      <c r="AJ549" s="0" t="s">
        <v>63</v>
      </c>
      <c r="AL549" s="0" t="s">
        <v>102</v>
      </c>
      <c r="AM549" s="0" t="s">
        <v>83</v>
      </c>
    </row>
    <row r="550" customFormat="false" ht="15" hidden="false" customHeight="false" outlineLevel="0" collapsed="false">
      <c r="A550" s="1" t="n">
        <v>45823</v>
      </c>
      <c r="B550" s="0" t="s">
        <v>1377</v>
      </c>
      <c r="C550" s="0" t="s">
        <v>163</v>
      </c>
      <c r="D550" s="0" t="n">
        <v>8053908184</v>
      </c>
      <c r="E550" s="0" t="s">
        <v>85</v>
      </c>
      <c r="F550" s="0" t="s">
        <v>1378</v>
      </c>
      <c r="G550" s="0" t="s">
        <v>69</v>
      </c>
      <c r="H550" s="0" t="s">
        <v>272</v>
      </c>
      <c r="I550" s="0" t="s">
        <v>189</v>
      </c>
      <c r="J550" s="0" t="s">
        <v>48</v>
      </c>
      <c r="K550" s="0" t="n">
        <v>64076</v>
      </c>
      <c r="L550" s="0" t="s">
        <v>124</v>
      </c>
      <c r="M550" s="0" t="s">
        <v>50</v>
      </c>
      <c r="N550" s="0" t="n">
        <v>2</v>
      </c>
      <c r="O550" s="0" t="n">
        <v>2.6</v>
      </c>
      <c r="P550" s="0" t="s">
        <v>92</v>
      </c>
      <c r="Q550" s="0" t="s">
        <v>93</v>
      </c>
      <c r="R550" s="0" t="s">
        <v>136</v>
      </c>
      <c r="S550" s="0" t="s">
        <v>167</v>
      </c>
      <c r="T550" s="0" t="n">
        <v>30</v>
      </c>
      <c r="U550" s="0" t="s">
        <v>76</v>
      </c>
      <c r="V550" s="0" t="s">
        <v>77</v>
      </c>
      <c r="W550" s="0" t="s">
        <v>98</v>
      </c>
      <c r="X550" s="0" t="s">
        <v>137</v>
      </c>
      <c r="Y550" s="0" t="s">
        <v>197</v>
      </c>
      <c r="Z550" s="0" t="s">
        <v>79</v>
      </c>
      <c r="AA550" s="0" t="n">
        <v>15000</v>
      </c>
      <c r="AB550" s="0" t="n">
        <v>30000</v>
      </c>
      <c r="AC550" s="0" t="s">
        <v>82</v>
      </c>
      <c r="AD550" s="0" t="n">
        <v>5000</v>
      </c>
      <c r="AG550" s="0" t="s">
        <v>50</v>
      </c>
      <c r="AH550" s="0" t="s">
        <v>171</v>
      </c>
      <c r="AI550" s="0" t="s">
        <v>172</v>
      </c>
      <c r="AK550" s="0" t="s">
        <v>61</v>
      </c>
      <c r="AM550" s="0" t="s">
        <v>118</v>
      </c>
      <c r="AN550" s="0" t="s">
        <v>63</v>
      </c>
    </row>
    <row r="551" customFormat="false" ht="15" hidden="false" customHeight="false" outlineLevel="0" collapsed="false">
      <c r="A551" s="1" t="n">
        <v>45693</v>
      </c>
      <c r="B551" s="0" t="s">
        <v>1379</v>
      </c>
      <c r="C551" s="0" t="s">
        <v>121</v>
      </c>
      <c r="D551" s="0" t="n">
        <v>8053309319</v>
      </c>
      <c r="E551" s="0" t="s">
        <v>67</v>
      </c>
      <c r="F551" s="0" t="s">
        <v>1380</v>
      </c>
      <c r="G551" s="0" t="s">
        <v>107</v>
      </c>
      <c r="H551" s="0" t="s">
        <v>165</v>
      </c>
      <c r="I551" s="0" t="s">
        <v>108</v>
      </c>
      <c r="J551" s="0" t="s">
        <v>109</v>
      </c>
      <c r="K551" s="0" t="n">
        <v>82593</v>
      </c>
      <c r="L551" s="0" t="s">
        <v>72</v>
      </c>
      <c r="M551" s="0" t="s">
        <v>50</v>
      </c>
      <c r="N551" s="0" t="n">
        <v>4</v>
      </c>
      <c r="O551" s="0" t="n">
        <v>5.8</v>
      </c>
      <c r="P551" s="0" t="s">
        <v>111</v>
      </c>
      <c r="Q551" s="0" t="s">
        <v>73</v>
      </c>
      <c r="R551" s="0" t="s">
        <v>159</v>
      </c>
      <c r="S551" s="0" t="s">
        <v>54</v>
      </c>
      <c r="T551" s="0" t="s">
        <v>127</v>
      </c>
      <c r="U551" s="0" t="s">
        <v>55</v>
      </c>
      <c r="V551" s="0" t="s">
        <v>56</v>
      </c>
      <c r="W551" s="0" t="s">
        <v>98</v>
      </c>
      <c r="X551" s="0" t="s">
        <v>114</v>
      </c>
      <c r="Y551" s="0" t="s">
        <v>156</v>
      </c>
      <c r="AB551" s="0" t="n">
        <v>20000</v>
      </c>
      <c r="AC551" s="0" t="s">
        <v>63</v>
      </c>
      <c r="AD551" s="0" t="s">
        <v>115</v>
      </c>
      <c r="AE551" s="0" t="s">
        <v>60</v>
      </c>
      <c r="AF551" s="0" t="s">
        <v>179</v>
      </c>
      <c r="AG551" s="0" t="s">
        <v>50</v>
      </c>
      <c r="AJ551" s="0" t="s">
        <v>50</v>
      </c>
      <c r="AK551" s="0" t="s">
        <v>61</v>
      </c>
      <c r="AL551" s="0" t="s">
        <v>50</v>
      </c>
      <c r="AM551" s="0" t="s">
        <v>83</v>
      </c>
      <c r="AN551" s="0" t="s">
        <v>50</v>
      </c>
    </row>
    <row r="552" customFormat="false" ht="15" hidden="false" customHeight="false" outlineLevel="0" collapsed="false">
      <c r="A552" s="1" t="n">
        <v>45773</v>
      </c>
      <c r="B552" s="0" t="s">
        <v>1381</v>
      </c>
      <c r="C552" s="0" t="s">
        <v>121</v>
      </c>
      <c r="D552" s="0" t="n">
        <v>8085437626</v>
      </c>
      <c r="E552" s="0" t="s">
        <v>67</v>
      </c>
      <c r="F552" s="0" t="s">
        <v>1382</v>
      </c>
      <c r="G552" s="0" t="s">
        <v>69</v>
      </c>
      <c r="H552" s="0" t="s">
        <v>70</v>
      </c>
      <c r="I552" s="0" t="s">
        <v>47</v>
      </c>
      <c r="K552" s="0" t="n">
        <v>40127</v>
      </c>
      <c r="L552" s="0" t="s">
        <v>72</v>
      </c>
      <c r="M552" s="0" t="s">
        <v>50</v>
      </c>
      <c r="N552" s="0" t="n">
        <v>4</v>
      </c>
      <c r="O552" s="0" t="n">
        <v>1.6</v>
      </c>
      <c r="P552" s="0" t="s">
        <v>125</v>
      </c>
      <c r="Q552" s="0" t="s">
        <v>52</v>
      </c>
      <c r="S552" s="0" t="s">
        <v>126</v>
      </c>
      <c r="T552" s="0" t="n">
        <v>15</v>
      </c>
      <c r="U552" s="0" t="s">
        <v>76</v>
      </c>
      <c r="V552" s="0" t="s">
        <v>56</v>
      </c>
      <c r="W552" s="0" t="s">
        <v>78</v>
      </c>
      <c r="X552" s="0" t="s">
        <v>137</v>
      </c>
      <c r="Y552" s="0" t="s">
        <v>156</v>
      </c>
      <c r="Z552" s="0" t="s">
        <v>129</v>
      </c>
      <c r="AA552" s="0" t="n">
        <v>40000</v>
      </c>
      <c r="AB552" s="0" t="n">
        <v>30000</v>
      </c>
      <c r="AC552" s="0" t="s">
        <v>63</v>
      </c>
      <c r="AD552" s="0" t="s">
        <v>115</v>
      </c>
      <c r="AE552" s="0" t="s">
        <v>184</v>
      </c>
      <c r="AG552" s="0" t="s">
        <v>63</v>
      </c>
      <c r="AH552" s="0" t="s">
        <v>171</v>
      </c>
      <c r="AI552" s="0" t="s">
        <v>172</v>
      </c>
      <c r="AK552" s="0" t="s">
        <v>82</v>
      </c>
      <c r="AL552" s="0" t="s">
        <v>63</v>
      </c>
      <c r="AM552" s="0" t="s">
        <v>83</v>
      </c>
    </row>
    <row r="553" customFormat="false" ht="15" hidden="false" customHeight="false" outlineLevel="0" collapsed="false">
      <c r="A553" s="1" t="n">
        <v>45815</v>
      </c>
      <c r="B553" s="0" t="s">
        <v>1383</v>
      </c>
      <c r="C553" s="0" t="s">
        <v>121</v>
      </c>
      <c r="D553" s="0" t="n">
        <v>8094125851</v>
      </c>
      <c r="E553" s="0" t="s">
        <v>122</v>
      </c>
      <c r="F553" s="0" t="s">
        <v>1384</v>
      </c>
      <c r="G553" s="0" t="s">
        <v>107</v>
      </c>
      <c r="H553" s="0" t="s">
        <v>272</v>
      </c>
      <c r="I553" s="0" t="s">
        <v>47</v>
      </c>
      <c r="J553" s="0" t="s">
        <v>90</v>
      </c>
      <c r="K553" s="0" t="n">
        <v>23156</v>
      </c>
      <c r="L553" s="0" t="s">
        <v>166</v>
      </c>
      <c r="M553" s="0" t="s">
        <v>63</v>
      </c>
      <c r="N553" s="0" t="n">
        <v>4</v>
      </c>
      <c r="O553" s="0" t="n">
        <v>4.5</v>
      </c>
      <c r="Q553" s="0" t="s">
        <v>73</v>
      </c>
      <c r="R553" s="0" t="s">
        <v>53</v>
      </c>
      <c r="S553" s="0" t="s">
        <v>95</v>
      </c>
      <c r="T553" s="0" t="n">
        <v>60</v>
      </c>
      <c r="U553" s="0" t="s">
        <v>76</v>
      </c>
      <c r="V553" s="0" t="s">
        <v>97</v>
      </c>
      <c r="W553" s="0" t="s">
        <v>57</v>
      </c>
      <c r="X553" s="0" t="s">
        <v>137</v>
      </c>
      <c r="AA553" s="0" t="n">
        <v>25000</v>
      </c>
      <c r="AB553" s="0" t="n">
        <v>20000</v>
      </c>
      <c r="AC553" s="0" t="s">
        <v>82</v>
      </c>
      <c r="AE553" s="0" t="s">
        <v>184</v>
      </c>
      <c r="AF553" s="0" t="s">
        <v>1385</v>
      </c>
      <c r="AI553" s="0" t="s">
        <v>172</v>
      </c>
      <c r="AK553" s="0" t="s">
        <v>61</v>
      </c>
      <c r="AL553" s="0" t="s">
        <v>63</v>
      </c>
      <c r="AM553" s="0" t="s">
        <v>118</v>
      </c>
      <c r="AN553" s="0" t="s">
        <v>50</v>
      </c>
    </row>
    <row r="554" customFormat="false" ht="15" hidden="false" customHeight="false" outlineLevel="0" collapsed="false">
      <c r="A554" s="1" t="n">
        <v>45710</v>
      </c>
      <c r="B554" s="0" t="s">
        <v>1386</v>
      </c>
      <c r="C554" s="0" t="s">
        <v>121</v>
      </c>
      <c r="D554" s="0" t="n">
        <v>8035440639</v>
      </c>
      <c r="E554" s="0" t="s">
        <v>67</v>
      </c>
      <c r="F554" s="0" t="s">
        <v>1387</v>
      </c>
      <c r="G554" s="0" t="s">
        <v>87</v>
      </c>
      <c r="I554" s="0" t="s">
        <v>189</v>
      </c>
      <c r="J554" s="0" t="s">
        <v>71</v>
      </c>
      <c r="K554" s="0" t="n">
        <v>68894</v>
      </c>
      <c r="L554" s="0" t="s">
        <v>91</v>
      </c>
      <c r="M554" s="0" t="s">
        <v>50</v>
      </c>
      <c r="N554" s="0" t="n">
        <v>3</v>
      </c>
      <c r="O554" s="0" t="n">
        <v>5.2</v>
      </c>
      <c r="Q554" s="0" t="s">
        <v>93</v>
      </c>
      <c r="R554" s="0" t="s">
        <v>159</v>
      </c>
      <c r="S554" s="0" t="s">
        <v>167</v>
      </c>
      <c r="T554" s="0" t="s">
        <v>127</v>
      </c>
      <c r="U554" s="0" t="s">
        <v>160</v>
      </c>
      <c r="V554" s="0" t="s">
        <v>97</v>
      </c>
      <c r="W554" s="0" t="s">
        <v>128</v>
      </c>
      <c r="X554" s="0" t="s">
        <v>99</v>
      </c>
      <c r="Y554" s="0" t="s">
        <v>197</v>
      </c>
      <c r="Z554" s="0" t="s">
        <v>149</v>
      </c>
      <c r="AA554" s="0" t="n">
        <v>15000</v>
      </c>
      <c r="AB554" s="0" t="n">
        <v>40000</v>
      </c>
      <c r="AF554" s="0" t="s">
        <v>520</v>
      </c>
      <c r="AG554" s="0" t="s">
        <v>50</v>
      </c>
      <c r="AH554" s="0" t="s">
        <v>116</v>
      </c>
      <c r="AJ554" s="0" t="s">
        <v>81</v>
      </c>
      <c r="AK554" s="0" t="s">
        <v>63</v>
      </c>
      <c r="AM554" s="0" t="s">
        <v>103</v>
      </c>
    </row>
    <row r="555" customFormat="false" ht="15" hidden="false" customHeight="false" outlineLevel="0" collapsed="false">
      <c r="A555" s="1" t="n">
        <v>45803</v>
      </c>
      <c r="B555" s="0" t="s">
        <v>1388</v>
      </c>
      <c r="C555" s="0" t="s">
        <v>121</v>
      </c>
      <c r="D555" s="0" t="n">
        <v>8093842238</v>
      </c>
      <c r="E555" s="0" t="s">
        <v>139</v>
      </c>
      <c r="F555" s="0" t="s">
        <v>1389</v>
      </c>
      <c r="G555" s="0" t="s">
        <v>87</v>
      </c>
      <c r="H555" s="0" t="s">
        <v>170</v>
      </c>
      <c r="I555" s="0" t="s">
        <v>89</v>
      </c>
      <c r="J555" s="0" t="s">
        <v>90</v>
      </c>
      <c r="K555" s="0" t="n">
        <v>62250</v>
      </c>
      <c r="L555" s="0" t="s">
        <v>72</v>
      </c>
      <c r="M555" s="0" t="s">
        <v>63</v>
      </c>
      <c r="N555" s="0" t="n">
        <v>2</v>
      </c>
      <c r="O555" s="0" t="n">
        <v>4.8</v>
      </c>
      <c r="P555" s="0" t="s">
        <v>92</v>
      </c>
      <c r="Q555" s="0" t="s">
        <v>73</v>
      </c>
      <c r="R555" s="0" t="s">
        <v>159</v>
      </c>
      <c r="S555" s="0" t="s">
        <v>147</v>
      </c>
      <c r="T555" s="0" t="n">
        <v>45</v>
      </c>
      <c r="U555" s="0" t="s">
        <v>112</v>
      </c>
      <c r="V555" s="0" t="s">
        <v>155</v>
      </c>
      <c r="W555" s="0" t="s">
        <v>128</v>
      </c>
      <c r="X555" s="0" t="s">
        <v>99</v>
      </c>
      <c r="Y555" s="0" t="s">
        <v>59</v>
      </c>
      <c r="AB555" s="0" t="n">
        <v>30000</v>
      </c>
      <c r="AD555" s="0" t="n">
        <v>5000</v>
      </c>
      <c r="AJ555" s="0" t="s">
        <v>81</v>
      </c>
      <c r="AK555" s="0" t="s">
        <v>61</v>
      </c>
    </row>
    <row r="556" customFormat="false" ht="15" hidden="false" customHeight="false" outlineLevel="0" collapsed="false">
      <c r="A556" s="1" t="n">
        <v>45735</v>
      </c>
      <c r="B556" s="0" t="s">
        <v>1390</v>
      </c>
      <c r="C556" s="0" t="s">
        <v>105</v>
      </c>
      <c r="D556" s="0" t="n">
        <v>8037799083</v>
      </c>
      <c r="E556" s="0" t="s">
        <v>122</v>
      </c>
      <c r="F556" s="0" t="s">
        <v>1391</v>
      </c>
      <c r="G556" s="0" t="s">
        <v>69</v>
      </c>
      <c r="H556" s="0" t="s">
        <v>70</v>
      </c>
      <c r="I556" s="0" t="s">
        <v>108</v>
      </c>
      <c r="K556" s="0" t="n">
        <v>46198</v>
      </c>
      <c r="L556" s="0" t="s">
        <v>166</v>
      </c>
      <c r="M556" s="0" t="s">
        <v>50</v>
      </c>
      <c r="N556" s="0" t="n">
        <v>2</v>
      </c>
      <c r="O556" s="0" t="n">
        <v>3.7</v>
      </c>
      <c r="Q556" s="0" t="s">
        <v>52</v>
      </c>
      <c r="R556" s="0" t="s">
        <v>74</v>
      </c>
      <c r="S556" s="0" t="s">
        <v>126</v>
      </c>
      <c r="T556" s="0" t="n">
        <v>15</v>
      </c>
      <c r="U556" s="0" t="s">
        <v>55</v>
      </c>
      <c r="V556" s="0" t="s">
        <v>97</v>
      </c>
      <c r="W556" s="0" t="s">
        <v>98</v>
      </c>
      <c r="X556" s="0" t="s">
        <v>99</v>
      </c>
      <c r="Y556" s="0" t="s">
        <v>197</v>
      </c>
      <c r="Z556" s="0" t="s">
        <v>79</v>
      </c>
      <c r="AA556" s="0" t="n">
        <v>40000</v>
      </c>
      <c r="AB556" s="0" t="n">
        <v>40000</v>
      </c>
      <c r="AC556" s="0" t="s">
        <v>63</v>
      </c>
      <c r="AD556" s="0" t="n">
        <v>10000</v>
      </c>
      <c r="AE556" s="0" t="s">
        <v>130</v>
      </c>
      <c r="AF556" s="1" t="n">
        <v>45789</v>
      </c>
      <c r="AG556" s="0" t="s">
        <v>63</v>
      </c>
      <c r="AH556" s="0" t="s">
        <v>116</v>
      </c>
      <c r="AI556" s="0" t="s">
        <v>172</v>
      </c>
      <c r="AJ556" s="0" t="s">
        <v>62</v>
      </c>
      <c r="AK556" s="0" t="s">
        <v>61</v>
      </c>
      <c r="AM556" s="0" t="s">
        <v>103</v>
      </c>
      <c r="AN556" s="0" t="s">
        <v>50</v>
      </c>
    </row>
    <row r="557" customFormat="false" ht="15" hidden="false" customHeight="false" outlineLevel="0" collapsed="false">
      <c r="A557" s="1" t="n">
        <v>45814</v>
      </c>
      <c r="B557" s="0" t="s">
        <v>1392</v>
      </c>
      <c r="C557" s="0" t="s">
        <v>105</v>
      </c>
      <c r="D557" s="0" t="n">
        <v>8082706099</v>
      </c>
      <c r="E557" s="0" t="s">
        <v>43</v>
      </c>
      <c r="F557" s="0" t="s">
        <v>1393</v>
      </c>
      <c r="G557" s="0" t="s">
        <v>134</v>
      </c>
      <c r="H557" s="0" t="s">
        <v>165</v>
      </c>
      <c r="I557" s="0" t="s">
        <v>154</v>
      </c>
      <c r="K557" s="0" t="n">
        <v>110066</v>
      </c>
      <c r="L557" s="0" t="s">
        <v>124</v>
      </c>
      <c r="M557" s="0" t="s">
        <v>50</v>
      </c>
      <c r="N557" s="0" t="n">
        <v>3</v>
      </c>
      <c r="O557" s="0" t="n">
        <v>5.5</v>
      </c>
      <c r="P557" s="0" t="s">
        <v>51</v>
      </c>
      <c r="Q557" s="0" t="s">
        <v>52</v>
      </c>
      <c r="R557" s="0" t="s">
        <v>53</v>
      </c>
      <c r="S557" s="0" t="s">
        <v>95</v>
      </c>
      <c r="T557" s="0" t="n">
        <v>30</v>
      </c>
      <c r="U557" s="0" t="s">
        <v>55</v>
      </c>
      <c r="V557" s="0" t="s">
        <v>148</v>
      </c>
      <c r="W557" s="0" t="s">
        <v>113</v>
      </c>
      <c r="X557" s="0" t="s">
        <v>114</v>
      </c>
      <c r="Z557" s="0" t="s">
        <v>79</v>
      </c>
      <c r="AA557" s="0" t="n">
        <v>40000</v>
      </c>
      <c r="AB557" s="0" t="n">
        <v>30000</v>
      </c>
      <c r="AC557" s="0" t="s">
        <v>50</v>
      </c>
      <c r="AD557" s="0" t="n">
        <v>0</v>
      </c>
      <c r="AE557" s="0" t="s">
        <v>130</v>
      </c>
      <c r="AG557" s="0" t="s">
        <v>63</v>
      </c>
      <c r="AK557" s="0" t="s">
        <v>61</v>
      </c>
      <c r="AL557" s="0" t="s">
        <v>63</v>
      </c>
      <c r="AM557" s="0" t="s">
        <v>64</v>
      </c>
      <c r="AN557" s="0" t="s">
        <v>190</v>
      </c>
    </row>
    <row r="558" customFormat="false" ht="15" hidden="false" customHeight="false" outlineLevel="0" collapsed="false">
      <c r="A558" s="1" t="n">
        <v>45761</v>
      </c>
      <c r="B558" s="0" t="s">
        <v>1394</v>
      </c>
      <c r="C558" s="0" t="s">
        <v>163</v>
      </c>
      <c r="D558" s="0" t="n">
        <v>8063024581</v>
      </c>
      <c r="E558" s="0" t="s">
        <v>67</v>
      </c>
      <c r="F558" s="0" t="s">
        <v>1395</v>
      </c>
      <c r="G558" s="0" t="s">
        <v>45</v>
      </c>
      <c r="H558" s="0" t="s">
        <v>135</v>
      </c>
      <c r="I558" s="0" t="s">
        <v>142</v>
      </c>
      <c r="J558" s="0" t="s">
        <v>90</v>
      </c>
      <c r="K558" s="0" t="n">
        <v>21793</v>
      </c>
      <c r="L558" s="0" t="s">
        <v>72</v>
      </c>
      <c r="M558" s="0" t="s">
        <v>50</v>
      </c>
      <c r="N558" s="0" t="n">
        <v>5</v>
      </c>
      <c r="O558" s="0" t="n">
        <v>1.7</v>
      </c>
      <c r="P558" s="0" t="s">
        <v>51</v>
      </c>
      <c r="Q558" s="0" t="s">
        <v>52</v>
      </c>
      <c r="R558" s="0" t="s">
        <v>53</v>
      </c>
      <c r="S558" s="0" t="s">
        <v>75</v>
      </c>
      <c r="T558" s="0" t="n">
        <v>45</v>
      </c>
      <c r="U558" s="0" t="s">
        <v>160</v>
      </c>
      <c r="V558" s="0" t="s">
        <v>148</v>
      </c>
      <c r="W558" s="0" t="s">
        <v>113</v>
      </c>
      <c r="X558" s="0" t="s">
        <v>58</v>
      </c>
      <c r="Z558" s="0" t="s">
        <v>143</v>
      </c>
      <c r="AA558" s="0" t="n">
        <v>15000</v>
      </c>
      <c r="AC558" s="0" t="s">
        <v>61</v>
      </c>
      <c r="AD558" s="0" t="n">
        <v>5000</v>
      </c>
      <c r="AG558" s="0" t="s">
        <v>61</v>
      </c>
      <c r="AJ558" s="0" t="s">
        <v>63</v>
      </c>
      <c r="AK558" s="0" t="s">
        <v>82</v>
      </c>
      <c r="AM558" s="0" t="s">
        <v>118</v>
      </c>
      <c r="AN558" s="0" t="s">
        <v>63</v>
      </c>
    </row>
    <row r="559" customFormat="false" ht="15" hidden="false" customHeight="false" outlineLevel="0" collapsed="false">
      <c r="A559" s="1" t="n">
        <v>45752</v>
      </c>
      <c r="B559" s="0" t="s">
        <v>1396</v>
      </c>
      <c r="C559" s="0" t="s">
        <v>105</v>
      </c>
      <c r="D559" s="0" t="n">
        <v>8067429121</v>
      </c>
      <c r="E559" s="0" t="s">
        <v>67</v>
      </c>
      <c r="F559" s="0" t="s">
        <v>1397</v>
      </c>
      <c r="G559" s="0" t="s">
        <v>45</v>
      </c>
      <c r="H559" s="0" t="s">
        <v>165</v>
      </c>
      <c r="I559" s="0" t="s">
        <v>108</v>
      </c>
      <c r="J559" s="0" t="s">
        <v>90</v>
      </c>
      <c r="K559" s="0" t="n">
        <v>74092</v>
      </c>
      <c r="L559" s="0" t="s">
        <v>72</v>
      </c>
      <c r="M559" s="0" t="s">
        <v>50</v>
      </c>
      <c r="N559" s="0" t="n">
        <v>2</v>
      </c>
      <c r="O559" s="0" t="n">
        <v>3.5</v>
      </c>
      <c r="P559" s="0" t="s">
        <v>111</v>
      </c>
      <c r="Q559" s="0" t="s">
        <v>93</v>
      </c>
      <c r="R559" s="0" t="s">
        <v>136</v>
      </c>
      <c r="S559" s="0" t="s">
        <v>54</v>
      </c>
      <c r="U559" s="0" t="s">
        <v>55</v>
      </c>
      <c r="V559" s="0" t="s">
        <v>56</v>
      </c>
      <c r="W559" s="0" t="s">
        <v>98</v>
      </c>
      <c r="X559" s="0" t="s">
        <v>114</v>
      </c>
      <c r="Y559" s="0" t="s">
        <v>197</v>
      </c>
      <c r="Z559" s="0" t="s">
        <v>143</v>
      </c>
      <c r="AA559" s="0" t="n">
        <v>40000</v>
      </c>
      <c r="AC559" s="0" t="s">
        <v>50</v>
      </c>
      <c r="AD559" s="0" t="n">
        <v>0</v>
      </c>
      <c r="AE559" s="0" t="s">
        <v>60</v>
      </c>
      <c r="AJ559" s="0" t="s">
        <v>50</v>
      </c>
      <c r="AK559" s="0" t="s">
        <v>82</v>
      </c>
      <c r="AM559" s="0" t="s">
        <v>64</v>
      </c>
      <c r="AN559" s="0" t="s">
        <v>190</v>
      </c>
    </row>
    <row r="560" customFormat="false" ht="15" hidden="false" customHeight="false" outlineLevel="0" collapsed="false">
      <c r="A560" s="1" t="n">
        <v>45692</v>
      </c>
      <c r="B560" s="0" t="s">
        <v>1398</v>
      </c>
      <c r="C560" s="0" t="s">
        <v>121</v>
      </c>
      <c r="D560" s="0" t="n">
        <v>8026214033</v>
      </c>
      <c r="E560" s="0" t="s">
        <v>139</v>
      </c>
      <c r="F560" s="0" t="s">
        <v>1399</v>
      </c>
      <c r="G560" s="0" t="s">
        <v>69</v>
      </c>
      <c r="H560" s="0" t="s">
        <v>46</v>
      </c>
      <c r="I560" s="0" t="s">
        <v>142</v>
      </c>
      <c r="J560" s="0" t="s">
        <v>71</v>
      </c>
      <c r="K560" s="0" t="n">
        <v>31217</v>
      </c>
      <c r="L560" s="0" t="s">
        <v>72</v>
      </c>
      <c r="M560" s="0" t="s">
        <v>50</v>
      </c>
      <c r="N560" s="0" t="n">
        <v>1</v>
      </c>
      <c r="O560" s="0" t="n">
        <v>3.3</v>
      </c>
      <c r="P560" s="0" t="s">
        <v>125</v>
      </c>
      <c r="Q560" s="0" t="s">
        <v>93</v>
      </c>
      <c r="R560" s="0" t="s">
        <v>74</v>
      </c>
      <c r="S560" s="0" t="s">
        <v>75</v>
      </c>
      <c r="T560" s="0" t="s">
        <v>127</v>
      </c>
      <c r="U560" s="0" t="s">
        <v>96</v>
      </c>
      <c r="V560" s="0" t="s">
        <v>56</v>
      </c>
      <c r="W560" s="0" t="s">
        <v>98</v>
      </c>
      <c r="X560" s="0" t="s">
        <v>99</v>
      </c>
      <c r="Y560" s="0" t="s">
        <v>59</v>
      </c>
      <c r="Z560" s="0" t="s">
        <v>129</v>
      </c>
      <c r="AC560" s="0" t="s">
        <v>50</v>
      </c>
      <c r="AD560" s="0" t="n">
        <v>0</v>
      </c>
      <c r="AE560" s="0" t="s">
        <v>60</v>
      </c>
      <c r="AF560" s="1" t="n">
        <v>46006</v>
      </c>
      <c r="AG560" s="0" t="s">
        <v>50</v>
      </c>
      <c r="AI560" s="0" t="s">
        <v>117</v>
      </c>
      <c r="AJ560" s="0" t="s">
        <v>50</v>
      </c>
      <c r="AM560" s="0" t="s">
        <v>118</v>
      </c>
    </row>
    <row r="561" customFormat="false" ht="15" hidden="false" customHeight="false" outlineLevel="0" collapsed="false">
      <c r="A561" s="1" t="n">
        <v>45768</v>
      </c>
      <c r="B561" s="0" t="s">
        <v>1400</v>
      </c>
      <c r="C561" s="0" t="s">
        <v>121</v>
      </c>
      <c r="D561" s="0" t="n">
        <v>8041193292</v>
      </c>
      <c r="E561" s="0" t="s">
        <v>122</v>
      </c>
      <c r="F561" s="0" t="s">
        <v>1401</v>
      </c>
      <c r="G561" s="0" t="s">
        <v>134</v>
      </c>
      <c r="H561" s="0" t="s">
        <v>70</v>
      </c>
      <c r="I561" s="0" t="s">
        <v>108</v>
      </c>
      <c r="J561" s="0" t="s">
        <v>90</v>
      </c>
      <c r="K561" s="0" t="n">
        <v>65549</v>
      </c>
      <c r="L561" s="0" t="s">
        <v>124</v>
      </c>
      <c r="M561" s="0" t="s">
        <v>50</v>
      </c>
      <c r="N561" s="0" t="n">
        <v>4</v>
      </c>
      <c r="O561" s="0" t="n">
        <v>5.4</v>
      </c>
      <c r="P561" s="0" t="s">
        <v>125</v>
      </c>
      <c r="Q561" s="0" t="s">
        <v>93</v>
      </c>
      <c r="R561" s="0" t="s">
        <v>136</v>
      </c>
      <c r="S561" s="0" t="s">
        <v>75</v>
      </c>
      <c r="T561" s="0" t="n">
        <v>15</v>
      </c>
      <c r="U561" s="0" t="s">
        <v>76</v>
      </c>
      <c r="V561" s="0" t="s">
        <v>155</v>
      </c>
      <c r="W561" s="0" t="s">
        <v>98</v>
      </c>
      <c r="X561" s="0" t="s">
        <v>99</v>
      </c>
      <c r="Z561" s="0" t="s">
        <v>161</v>
      </c>
      <c r="AB561" s="0" t="s">
        <v>178</v>
      </c>
      <c r="AC561" s="0" t="s">
        <v>61</v>
      </c>
      <c r="AD561" s="0" t="s">
        <v>115</v>
      </c>
      <c r="AE561" s="0" t="s">
        <v>80</v>
      </c>
      <c r="AF561" s="1" t="n">
        <v>45850</v>
      </c>
      <c r="AG561" s="0" t="s">
        <v>82</v>
      </c>
      <c r="AI561" s="0" t="s">
        <v>101</v>
      </c>
      <c r="AK561" s="0" t="s">
        <v>82</v>
      </c>
      <c r="AM561" s="0" t="s">
        <v>83</v>
      </c>
      <c r="AN561" s="0" t="s">
        <v>198</v>
      </c>
    </row>
    <row r="562" customFormat="false" ht="15" hidden="false" customHeight="false" outlineLevel="0" collapsed="false">
      <c r="A562" s="1" t="n">
        <v>45965</v>
      </c>
      <c r="B562" s="0" t="s">
        <v>1402</v>
      </c>
      <c r="C562" s="0" t="s">
        <v>105</v>
      </c>
      <c r="D562" s="0" t="n">
        <v>8038693064</v>
      </c>
      <c r="E562" s="0" t="s">
        <v>85</v>
      </c>
      <c r="F562" s="0" t="s">
        <v>1403</v>
      </c>
      <c r="G562" s="0" t="s">
        <v>45</v>
      </c>
      <c r="H562" s="0" t="s">
        <v>46</v>
      </c>
      <c r="I562" s="0" t="s">
        <v>89</v>
      </c>
      <c r="J562" s="0" t="s">
        <v>90</v>
      </c>
      <c r="K562" s="0" t="n">
        <v>77669</v>
      </c>
      <c r="L562" s="0" t="s">
        <v>72</v>
      </c>
      <c r="M562" s="0" t="s">
        <v>50</v>
      </c>
      <c r="N562" s="0" t="n">
        <v>1</v>
      </c>
      <c r="O562" s="0" t="n">
        <v>1.1</v>
      </c>
      <c r="P562" s="0" t="s">
        <v>51</v>
      </c>
      <c r="Q562" s="0" t="s">
        <v>93</v>
      </c>
      <c r="R562" s="0" t="s">
        <v>94</v>
      </c>
      <c r="S562" s="0" t="s">
        <v>126</v>
      </c>
      <c r="T562" s="0" t="n">
        <v>30</v>
      </c>
      <c r="U562" s="0" t="s">
        <v>55</v>
      </c>
      <c r="V562" s="0" t="s">
        <v>148</v>
      </c>
      <c r="W562" s="0" t="s">
        <v>113</v>
      </c>
      <c r="X562" s="0" t="s">
        <v>114</v>
      </c>
      <c r="Y562" s="0" t="s">
        <v>59</v>
      </c>
      <c r="Z562" s="0" t="s">
        <v>149</v>
      </c>
      <c r="AB562" s="0" t="n">
        <v>20000</v>
      </c>
      <c r="AC562" s="0" t="s">
        <v>63</v>
      </c>
      <c r="AE562" s="0" t="s">
        <v>80</v>
      </c>
      <c r="AF562" s="0" t="s">
        <v>520</v>
      </c>
      <c r="AG562" s="0" t="s">
        <v>61</v>
      </c>
      <c r="AI562" s="0" t="s">
        <v>117</v>
      </c>
      <c r="AJ562" s="0" t="s">
        <v>63</v>
      </c>
      <c r="AK562" s="0" t="s">
        <v>61</v>
      </c>
      <c r="AL562" s="0" t="s">
        <v>102</v>
      </c>
      <c r="AM562" s="0" t="s">
        <v>83</v>
      </c>
      <c r="AN562" s="0" t="s">
        <v>198</v>
      </c>
    </row>
    <row r="563" customFormat="false" ht="15" hidden="false" customHeight="false" outlineLevel="0" collapsed="false">
      <c r="A563" s="0" t="s">
        <v>222</v>
      </c>
      <c r="B563" s="0" t="s">
        <v>1404</v>
      </c>
      <c r="C563" s="0" t="s">
        <v>163</v>
      </c>
      <c r="D563" s="0" t="n">
        <v>8024211686</v>
      </c>
      <c r="E563" s="0" t="s">
        <v>67</v>
      </c>
      <c r="F563" s="0" t="s">
        <v>1405</v>
      </c>
      <c r="G563" s="0" t="s">
        <v>69</v>
      </c>
      <c r="H563" s="0" t="s">
        <v>46</v>
      </c>
      <c r="I563" s="0" t="s">
        <v>142</v>
      </c>
      <c r="J563" s="0" t="s">
        <v>71</v>
      </c>
      <c r="K563" s="0" t="n">
        <v>15586</v>
      </c>
      <c r="L563" s="0" t="s">
        <v>72</v>
      </c>
      <c r="M563" s="0" t="s">
        <v>63</v>
      </c>
      <c r="N563" s="0" t="n">
        <v>4</v>
      </c>
      <c r="O563" s="0" t="n">
        <v>5.8</v>
      </c>
      <c r="P563" s="0" t="s">
        <v>125</v>
      </c>
      <c r="Q563" s="0" t="s">
        <v>93</v>
      </c>
      <c r="R563" s="0" t="s">
        <v>136</v>
      </c>
      <c r="S563" s="0" t="s">
        <v>126</v>
      </c>
      <c r="T563" s="0" t="n">
        <v>60</v>
      </c>
      <c r="U563" s="0" t="s">
        <v>76</v>
      </c>
      <c r="V563" s="0" t="s">
        <v>77</v>
      </c>
      <c r="W563" s="0" t="s">
        <v>78</v>
      </c>
      <c r="X563" s="0" t="s">
        <v>58</v>
      </c>
      <c r="Y563" s="0" t="s">
        <v>177</v>
      </c>
      <c r="AA563" s="0" t="n">
        <v>15000</v>
      </c>
      <c r="AB563" s="0" t="n">
        <v>40000</v>
      </c>
      <c r="AC563" s="0" t="s">
        <v>50</v>
      </c>
      <c r="AD563" s="0" t="n">
        <v>5000</v>
      </c>
      <c r="AE563" s="0" t="s">
        <v>184</v>
      </c>
      <c r="AG563" s="0" t="s">
        <v>61</v>
      </c>
      <c r="AH563" s="0" t="s">
        <v>171</v>
      </c>
      <c r="AI563" s="0" t="s">
        <v>117</v>
      </c>
      <c r="AJ563" s="0" t="s">
        <v>63</v>
      </c>
      <c r="AK563" s="0" t="s">
        <v>50</v>
      </c>
      <c r="AM563" s="0" t="s">
        <v>118</v>
      </c>
      <c r="AN563" s="0" t="s">
        <v>50</v>
      </c>
    </row>
    <row r="564" customFormat="false" ht="15" hidden="false" customHeight="false" outlineLevel="0" collapsed="false">
      <c r="A564" s="0" t="s">
        <v>225</v>
      </c>
      <c r="B564" s="0" t="s">
        <v>1406</v>
      </c>
      <c r="C564" s="0" t="s">
        <v>163</v>
      </c>
      <c r="D564" s="0" t="n">
        <v>8057858864</v>
      </c>
      <c r="E564" s="0" t="s">
        <v>122</v>
      </c>
      <c r="F564" s="0" t="s">
        <v>1407</v>
      </c>
      <c r="G564" s="0" t="s">
        <v>69</v>
      </c>
      <c r="H564" s="0" t="s">
        <v>46</v>
      </c>
      <c r="I564" s="0" t="s">
        <v>108</v>
      </c>
      <c r="J564" s="0" t="s">
        <v>90</v>
      </c>
      <c r="K564" s="0" t="n">
        <v>81352</v>
      </c>
      <c r="L564" s="0" t="s">
        <v>72</v>
      </c>
      <c r="M564" s="0" t="s">
        <v>50</v>
      </c>
      <c r="N564" s="0" t="n">
        <v>3</v>
      </c>
      <c r="O564" s="0" t="n">
        <v>5</v>
      </c>
      <c r="P564" s="0" t="s">
        <v>111</v>
      </c>
      <c r="Q564" s="0" t="s">
        <v>93</v>
      </c>
      <c r="R564" s="0" t="s">
        <v>74</v>
      </c>
      <c r="S564" s="0" t="s">
        <v>147</v>
      </c>
      <c r="T564" s="0" t="n">
        <v>60</v>
      </c>
      <c r="U564" s="0" t="s">
        <v>160</v>
      </c>
      <c r="V564" s="0" t="s">
        <v>155</v>
      </c>
      <c r="W564" s="0" t="s">
        <v>98</v>
      </c>
      <c r="X564" s="0" t="s">
        <v>58</v>
      </c>
      <c r="Y564" s="0" t="s">
        <v>156</v>
      </c>
      <c r="Z564" s="0" t="s">
        <v>161</v>
      </c>
      <c r="AA564" s="0" t="n">
        <v>40000</v>
      </c>
      <c r="AB564" s="0" t="n">
        <v>30000</v>
      </c>
      <c r="AC564" s="0" t="s">
        <v>63</v>
      </c>
      <c r="AD564" s="0" t="n">
        <v>5000</v>
      </c>
      <c r="AE564" s="0" t="s">
        <v>184</v>
      </c>
      <c r="AF564" s="0" t="s">
        <v>1103</v>
      </c>
      <c r="AH564" s="0" t="s">
        <v>171</v>
      </c>
      <c r="AI564" s="0" t="s">
        <v>117</v>
      </c>
      <c r="AJ564" s="0" t="s">
        <v>62</v>
      </c>
      <c r="AK564" s="0" t="s">
        <v>82</v>
      </c>
      <c r="AM564" s="0" t="s">
        <v>64</v>
      </c>
    </row>
    <row r="565" customFormat="false" ht="15" hidden="false" customHeight="false" outlineLevel="0" collapsed="false">
      <c r="A565" s="0" t="s">
        <v>1408</v>
      </c>
      <c r="B565" s="0" t="s">
        <v>1409</v>
      </c>
      <c r="C565" s="0" t="s">
        <v>42</v>
      </c>
      <c r="D565" s="0" t="n">
        <v>8053401695</v>
      </c>
      <c r="E565" s="0" t="s">
        <v>122</v>
      </c>
      <c r="F565" s="0" t="s">
        <v>1410</v>
      </c>
      <c r="G565" s="0" t="s">
        <v>45</v>
      </c>
      <c r="I565" s="0" t="s">
        <v>47</v>
      </c>
      <c r="J565" s="0" t="s">
        <v>90</v>
      </c>
      <c r="K565" s="0" t="n">
        <v>11720</v>
      </c>
      <c r="L565" s="0" t="s">
        <v>49</v>
      </c>
      <c r="M565" s="0" t="s">
        <v>63</v>
      </c>
      <c r="N565" s="0" t="n">
        <v>5</v>
      </c>
      <c r="O565" s="0" t="n">
        <v>5.8</v>
      </c>
      <c r="P565" s="0" t="s">
        <v>125</v>
      </c>
      <c r="Q565" s="0" t="s">
        <v>52</v>
      </c>
      <c r="R565" s="0" t="s">
        <v>74</v>
      </c>
      <c r="S565" s="0" t="s">
        <v>75</v>
      </c>
      <c r="T565" s="0" t="s">
        <v>127</v>
      </c>
      <c r="U565" s="0" t="s">
        <v>160</v>
      </c>
      <c r="V565" s="0" t="s">
        <v>148</v>
      </c>
      <c r="W565" s="0" t="s">
        <v>57</v>
      </c>
      <c r="X565" s="0" t="s">
        <v>137</v>
      </c>
      <c r="Y565" s="0" t="s">
        <v>177</v>
      </c>
      <c r="Z565" s="0" t="s">
        <v>143</v>
      </c>
      <c r="AA565" s="0" t="n">
        <v>40000</v>
      </c>
      <c r="AB565" s="0" t="n">
        <v>30000</v>
      </c>
      <c r="AD565" s="0" t="n">
        <v>0</v>
      </c>
      <c r="AE565" s="0" t="s">
        <v>80</v>
      </c>
      <c r="AG565" s="0" t="s">
        <v>63</v>
      </c>
      <c r="AI565" s="0" t="s">
        <v>101</v>
      </c>
      <c r="AJ565" s="0" t="s">
        <v>62</v>
      </c>
      <c r="AK565" s="0" t="s">
        <v>82</v>
      </c>
      <c r="AL565" s="0" t="s">
        <v>63</v>
      </c>
      <c r="AM565" s="0" t="s">
        <v>83</v>
      </c>
    </row>
    <row r="566" customFormat="false" ht="15" hidden="false" customHeight="false" outlineLevel="0" collapsed="false">
      <c r="A566" s="0" t="s">
        <v>1411</v>
      </c>
      <c r="B566" s="0" t="s">
        <v>1412</v>
      </c>
      <c r="C566" s="0" t="s">
        <v>105</v>
      </c>
      <c r="D566" s="0" t="n">
        <v>8033303091</v>
      </c>
      <c r="E566" s="0" t="s">
        <v>139</v>
      </c>
      <c r="F566" s="0" t="s">
        <v>1413</v>
      </c>
      <c r="G566" s="0" t="s">
        <v>134</v>
      </c>
      <c r="H566" s="0" t="s">
        <v>70</v>
      </c>
      <c r="I566" s="0" t="s">
        <v>154</v>
      </c>
      <c r="J566" s="0" t="s">
        <v>109</v>
      </c>
      <c r="K566" s="0" t="n">
        <v>77744</v>
      </c>
      <c r="L566" s="0" t="s">
        <v>166</v>
      </c>
      <c r="M566" s="0" t="s">
        <v>50</v>
      </c>
      <c r="N566" s="0" t="n">
        <v>1</v>
      </c>
      <c r="O566" s="0" t="n">
        <v>5.9</v>
      </c>
      <c r="P566" s="0" t="s">
        <v>111</v>
      </c>
      <c r="Q566" s="0" t="s">
        <v>52</v>
      </c>
      <c r="R566" s="0" t="s">
        <v>136</v>
      </c>
      <c r="S566" s="0" t="s">
        <v>167</v>
      </c>
      <c r="T566" s="0" t="n">
        <v>15</v>
      </c>
      <c r="U566" s="0" t="s">
        <v>160</v>
      </c>
      <c r="V566" s="0" t="s">
        <v>148</v>
      </c>
      <c r="W566" s="0" t="s">
        <v>78</v>
      </c>
      <c r="X566" s="0" t="s">
        <v>137</v>
      </c>
      <c r="Y566" s="0" t="s">
        <v>59</v>
      </c>
      <c r="AA566" s="0" t="n">
        <v>25000</v>
      </c>
      <c r="AB566" s="0" t="n">
        <v>40000</v>
      </c>
      <c r="AC566" s="0" t="s">
        <v>63</v>
      </c>
      <c r="AD566" s="0" t="n">
        <v>5000</v>
      </c>
      <c r="AE566" s="0" t="s">
        <v>80</v>
      </c>
      <c r="AF566" s="1" t="n">
        <v>45902</v>
      </c>
      <c r="AG566" s="0" t="s">
        <v>50</v>
      </c>
      <c r="AI566" s="0" t="s">
        <v>172</v>
      </c>
      <c r="AJ566" s="0" t="s">
        <v>63</v>
      </c>
      <c r="AK566" s="0" t="s">
        <v>63</v>
      </c>
      <c r="AL566" s="0" t="s">
        <v>63</v>
      </c>
      <c r="AN566" s="0" t="s">
        <v>190</v>
      </c>
    </row>
    <row r="567" customFormat="false" ht="15" hidden="false" customHeight="false" outlineLevel="0" collapsed="false">
      <c r="A567" s="1" t="n">
        <v>45690</v>
      </c>
      <c r="B567" s="0" t="s">
        <v>1414</v>
      </c>
      <c r="C567" s="0" t="s">
        <v>121</v>
      </c>
      <c r="D567" s="0" t="n">
        <v>8012012537</v>
      </c>
      <c r="E567" s="0" t="s">
        <v>139</v>
      </c>
      <c r="F567" s="0" t="s">
        <v>1415</v>
      </c>
      <c r="G567" s="0" t="s">
        <v>87</v>
      </c>
      <c r="H567" s="0" t="s">
        <v>176</v>
      </c>
      <c r="I567" s="0" t="s">
        <v>154</v>
      </c>
      <c r="J567" s="0" t="s">
        <v>90</v>
      </c>
      <c r="K567" s="0" t="n">
        <v>22770</v>
      </c>
      <c r="L567" s="0" t="s">
        <v>72</v>
      </c>
      <c r="M567" s="0" t="s">
        <v>63</v>
      </c>
      <c r="N567" s="0" t="n">
        <v>2</v>
      </c>
      <c r="O567" s="0" t="n">
        <v>4.9</v>
      </c>
      <c r="Q567" s="0" t="s">
        <v>93</v>
      </c>
      <c r="R567" s="0" t="s">
        <v>53</v>
      </c>
      <c r="S567" s="0" t="s">
        <v>126</v>
      </c>
      <c r="T567" s="0" t="n">
        <v>45</v>
      </c>
      <c r="U567" s="0" t="s">
        <v>96</v>
      </c>
      <c r="V567" s="0" t="s">
        <v>148</v>
      </c>
      <c r="W567" s="0" t="s">
        <v>57</v>
      </c>
      <c r="X567" s="0" t="s">
        <v>99</v>
      </c>
      <c r="Y567" s="0" t="s">
        <v>59</v>
      </c>
      <c r="Z567" s="0" t="s">
        <v>143</v>
      </c>
      <c r="AA567" s="0" t="n">
        <v>30000</v>
      </c>
      <c r="AB567" s="0" t="n">
        <v>30000</v>
      </c>
      <c r="AD567" s="0" t="s">
        <v>115</v>
      </c>
      <c r="AE567" s="0" t="s">
        <v>80</v>
      </c>
      <c r="AF567" s="0" t="s">
        <v>962</v>
      </c>
      <c r="AG567" s="0" t="s">
        <v>50</v>
      </c>
      <c r="AJ567" s="0" t="s">
        <v>63</v>
      </c>
      <c r="AK567" s="0" t="s">
        <v>63</v>
      </c>
      <c r="AM567" s="0" t="s">
        <v>118</v>
      </c>
      <c r="AN567" s="0" t="s">
        <v>50</v>
      </c>
    </row>
    <row r="568" customFormat="false" ht="15" hidden="false" customHeight="false" outlineLevel="0" collapsed="false">
      <c r="A568" s="1" t="n">
        <v>45694</v>
      </c>
      <c r="B568" s="0" t="s">
        <v>1416</v>
      </c>
      <c r="C568" s="0" t="s">
        <v>121</v>
      </c>
      <c r="D568" s="0" t="n">
        <v>8063974248</v>
      </c>
      <c r="E568" s="0" t="s">
        <v>85</v>
      </c>
      <c r="F568" s="0" t="s">
        <v>1417</v>
      </c>
      <c r="G568" s="0" t="s">
        <v>134</v>
      </c>
      <c r="H568" s="0" t="s">
        <v>153</v>
      </c>
      <c r="I568" s="0" t="s">
        <v>154</v>
      </c>
      <c r="K568" s="0" t="n">
        <v>116474</v>
      </c>
      <c r="L568" s="0" t="s">
        <v>110</v>
      </c>
      <c r="M568" s="0" t="s">
        <v>63</v>
      </c>
      <c r="N568" s="0" t="n">
        <v>5</v>
      </c>
      <c r="O568" s="0" t="n">
        <v>4.8</v>
      </c>
      <c r="Q568" s="0" t="s">
        <v>52</v>
      </c>
      <c r="S568" s="0" t="s">
        <v>167</v>
      </c>
      <c r="T568" s="0" t="n">
        <v>15</v>
      </c>
      <c r="U568" s="0" t="s">
        <v>76</v>
      </c>
      <c r="V568" s="0" t="s">
        <v>155</v>
      </c>
      <c r="W568" s="0" t="s">
        <v>78</v>
      </c>
      <c r="X568" s="0" t="s">
        <v>196</v>
      </c>
      <c r="Y568" s="0" t="s">
        <v>177</v>
      </c>
      <c r="Z568" s="0" t="s">
        <v>79</v>
      </c>
      <c r="AA568" s="0" t="n">
        <v>40000</v>
      </c>
      <c r="AB568" s="0" t="n">
        <v>20000</v>
      </c>
      <c r="AC568" s="0" t="s">
        <v>50</v>
      </c>
      <c r="AE568" s="0" t="s">
        <v>80</v>
      </c>
      <c r="AG568" s="0" t="s">
        <v>61</v>
      </c>
      <c r="AH568" s="0" t="s">
        <v>171</v>
      </c>
      <c r="AJ568" s="0" t="s">
        <v>62</v>
      </c>
      <c r="AK568" s="0" t="s">
        <v>82</v>
      </c>
      <c r="AM568" s="0" t="s">
        <v>64</v>
      </c>
    </row>
    <row r="569" customFormat="false" ht="15" hidden="false" customHeight="false" outlineLevel="0" collapsed="false">
      <c r="A569" s="1" t="n">
        <v>45782</v>
      </c>
      <c r="B569" s="0" t="s">
        <v>1418</v>
      </c>
      <c r="C569" s="0" t="s">
        <v>42</v>
      </c>
      <c r="D569" s="0" t="n">
        <v>8097777422</v>
      </c>
      <c r="E569" s="0" t="s">
        <v>43</v>
      </c>
      <c r="F569" s="0" t="s">
        <v>1419</v>
      </c>
      <c r="G569" s="0" t="s">
        <v>107</v>
      </c>
      <c r="H569" s="0" t="s">
        <v>141</v>
      </c>
      <c r="I569" s="0" t="s">
        <v>154</v>
      </c>
      <c r="J569" s="0" t="s">
        <v>109</v>
      </c>
      <c r="K569" s="0" t="n">
        <v>105258</v>
      </c>
      <c r="L569" s="0" t="s">
        <v>91</v>
      </c>
      <c r="M569" s="0" t="s">
        <v>63</v>
      </c>
      <c r="N569" s="0" t="n">
        <v>2</v>
      </c>
      <c r="O569" s="0" t="n">
        <v>5.2</v>
      </c>
      <c r="P569" s="0" t="s">
        <v>51</v>
      </c>
      <c r="Q569" s="0" t="s">
        <v>73</v>
      </c>
      <c r="R569" s="0" t="s">
        <v>74</v>
      </c>
      <c r="S569" s="0" t="s">
        <v>167</v>
      </c>
      <c r="T569" s="0" t="n">
        <v>15</v>
      </c>
      <c r="U569" s="0" t="s">
        <v>55</v>
      </c>
      <c r="V569" s="0" t="s">
        <v>155</v>
      </c>
      <c r="W569" s="0" t="s">
        <v>113</v>
      </c>
      <c r="X569" s="0" t="s">
        <v>99</v>
      </c>
      <c r="Y569" s="0" t="s">
        <v>156</v>
      </c>
      <c r="Z569" s="0" t="s">
        <v>143</v>
      </c>
      <c r="AA569" s="0" t="n">
        <v>15000</v>
      </c>
      <c r="AB569" s="0" t="n">
        <v>30000</v>
      </c>
      <c r="AC569" s="0" t="s">
        <v>50</v>
      </c>
      <c r="AE569" s="0" t="s">
        <v>184</v>
      </c>
      <c r="AG569" s="0" t="s">
        <v>61</v>
      </c>
      <c r="AH569" s="0" t="s">
        <v>171</v>
      </c>
      <c r="AJ569" s="0" t="s">
        <v>50</v>
      </c>
      <c r="AK569" s="0" t="s">
        <v>61</v>
      </c>
      <c r="AL569" s="0" t="s">
        <v>50</v>
      </c>
      <c r="AM569" s="0" t="s">
        <v>83</v>
      </c>
      <c r="AN569" s="0" t="s">
        <v>63</v>
      </c>
    </row>
    <row r="570" customFormat="false" ht="15" hidden="false" customHeight="false" outlineLevel="0" collapsed="false">
      <c r="A570" s="0" t="s">
        <v>340</v>
      </c>
      <c r="B570" s="0" t="s">
        <v>1420</v>
      </c>
      <c r="C570" s="0" t="s">
        <v>105</v>
      </c>
      <c r="D570" s="0" t="n">
        <v>8052445044</v>
      </c>
      <c r="E570" s="0" t="s">
        <v>67</v>
      </c>
      <c r="F570" s="0" t="s">
        <v>1421</v>
      </c>
      <c r="G570" s="0" t="s">
        <v>69</v>
      </c>
      <c r="H570" s="0" t="s">
        <v>46</v>
      </c>
      <c r="I570" s="0" t="s">
        <v>108</v>
      </c>
      <c r="J570" s="0" t="s">
        <v>71</v>
      </c>
      <c r="K570" s="0" t="n">
        <v>97843</v>
      </c>
      <c r="L570" s="0" t="s">
        <v>91</v>
      </c>
      <c r="M570" s="0" t="s">
        <v>50</v>
      </c>
      <c r="N570" s="0" t="n">
        <v>1</v>
      </c>
      <c r="O570" s="0" t="n">
        <v>5.1</v>
      </c>
      <c r="P570" s="0" t="s">
        <v>92</v>
      </c>
      <c r="Q570" s="0" t="s">
        <v>73</v>
      </c>
      <c r="R570" s="0" t="s">
        <v>74</v>
      </c>
      <c r="S570" s="0" t="s">
        <v>95</v>
      </c>
      <c r="T570" s="0" t="n">
        <v>30</v>
      </c>
      <c r="U570" s="0" t="s">
        <v>76</v>
      </c>
      <c r="V570" s="0" t="s">
        <v>77</v>
      </c>
      <c r="W570" s="0" t="s">
        <v>128</v>
      </c>
      <c r="X570" s="0" t="s">
        <v>196</v>
      </c>
      <c r="Y570" s="0" t="s">
        <v>197</v>
      </c>
      <c r="Z570" s="0" t="s">
        <v>161</v>
      </c>
      <c r="AA570" s="0" t="n">
        <v>40000</v>
      </c>
      <c r="AB570" s="0" t="s">
        <v>178</v>
      </c>
      <c r="AC570" s="0" t="s">
        <v>82</v>
      </c>
      <c r="AE570" s="0" t="s">
        <v>184</v>
      </c>
      <c r="AI570" s="0" t="s">
        <v>117</v>
      </c>
      <c r="AK570" s="0" t="s">
        <v>61</v>
      </c>
      <c r="AL570" s="0" t="s">
        <v>63</v>
      </c>
      <c r="AM570" s="0" t="s">
        <v>118</v>
      </c>
      <c r="AN570" s="0" t="s">
        <v>198</v>
      </c>
    </row>
    <row r="571" customFormat="false" ht="15" hidden="false" customHeight="false" outlineLevel="0" collapsed="false">
      <c r="A571" s="1" t="n">
        <v>45812</v>
      </c>
      <c r="B571" s="0" t="s">
        <v>1422</v>
      </c>
      <c r="C571" s="0" t="s">
        <v>163</v>
      </c>
      <c r="D571" s="0" t="n">
        <v>8011608113</v>
      </c>
      <c r="E571" s="0" t="s">
        <v>67</v>
      </c>
      <c r="F571" s="0" t="s">
        <v>1423</v>
      </c>
      <c r="G571" s="0" t="s">
        <v>69</v>
      </c>
      <c r="H571" s="0" t="s">
        <v>146</v>
      </c>
      <c r="I571" s="0" t="s">
        <v>142</v>
      </c>
      <c r="J571" s="0" t="s">
        <v>48</v>
      </c>
      <c r="K571" s="0" t="n">
        <v>58004</v>
      </c>
      <c r="L571" s="0" t="s">
        <v>124</v>
      </c>
      <c r="M571" s="0" t="s">
        <v>50</v>
      </c>
      <c r="O571" s="0" t="n">
        <v>4.9</v>
      </c>
      <c r="P571" s="0" t="s">
        <v>51</v>
      </c>
      <c r="Q571" s="0" t="s">
        <v>93</v>
      </c>
      <c r="R571" s="0" t="s">
        <v>159</v>
      </c>
      <c r="S571" s="0" t="s">
        <v>167</v>
      </c>
      <c r="T571" s="0" t="n">
        <v>60</v>
      </c>
      <c r="U571" s="0" t="s">
        <v>55</v>
      </c>
      <c r="V571" s="0" t="s">
        <v>155</v>
      </c>
      <c r="W571" s="0" t="s">
        <v>128</v>
      </c>
      <c r="X571" s="0" t="s">
        <v>99</v>
      </c>
      <c r="Z571" s="0" t="s">
        <v>161</v>
      </c>
      <c r="AA571" s="0" t="n">
        <v>40000</v>
      </c>
      <c r="AB571" s="0" t="s">
        <v>178</v>
      </c>
      <c r="AC571" s="0" t="s">
        <v>82</v>
      </c>
      <c r="AD571" s="0" t="n">
        <v>0</v>
      </c>
      <c r="AF571" s="1" t="n">
        <v>45826</v>
      </c>
      <c r="AG571" s="0" t="s">
        <v>50</v>
      </c>
      <c r="AI571" s="0" t="s">
        <v>172</v>
      </c>
      <c r="AJ571" s="0" t="s">
        <v>81</v>
      </c>
      <c r="AK571" s="0" t="s">
        <v>50</v>
      </c>
      <c r="AL571" s="0" t="s">
        <v>102</v>
      </c>
      <c r="AM571" s="0" t="s">
        <v>103</v>
      </c>
      <c r="AN571" s="0" t="s">
        <v>50</v>
      </c>
    </row>
    <row r="572" customFormat="false" ht="15" hidden="false" customHeight="false" outlineLevel="0" collapsed="false">
      <c r="A572" s="1" t="n">
        <v>45766</v>
      </c>
      <c r="B572" s="0" t="s">
        <v>1424</v>
      </c>
      <c r="C572" s="0" t="s">
        <v>66</v>
      </c>
      <c r="D572" s="0" t="n">
        <v>8062235749</v>
      </c>
      <c r="E572" s="0" t="s">
        <v>43</v>
      </c>
      <c r="F572" s="0" t="s">
        <v>1425</v>
      </c>
      <c r="G572" s="0" t="s">
        <v>45</v>
      </c>
      <c r="H572" s="0" t="s">
        <v>88</v>
      </c>
      <c r="I572" s="0" t="s">
        <v>108</v>
      </c>
      <c r="J572" s="0" t="s">
        <v>71</v>
      </c>
      <c r="K572" s="0" t="n">
        <v>68688</v>
      </c>
      <c r="L572" s="0" t="s">
        <v>72</v>
      </c>
      <c r="M572" s="0" t="s">
        <v>50</v>
      </c>
      <c r="N572" s="0" t="n">
        <v>3</v>
      </c>
      <c r="O572" s="0" t="n">
        <v>4.8</v>
      </c>
      <c r="Q572" s="0" t="s">
        <v>93</v>
      </c>
      <c r="R572" s="0" t="s">
        <v>53</v>
      </c>
      <c r="S572" s="0" t="s">
        <v>167</v>
      </c>
      <c r="U572" s="0" t="s">
        <v>55</v>
      </c>
      <c r="V572" s="0" t="s">
        <v>77</v>
      </c>
      <c r="W572" s="0" t="s">
        <v>78</v>
      </c>
      <c r="X572" s="0" t="s">
        <v>114</v>
      </c>
      <c r="Y572" s="0" t="s">
        <v>197</v>
      </c>
      <c r="Z572" s="0" t="s">
        <v>79</v>
      </c>
      <c r="AA572" s="0" t="n">
        <v>15000</v>
      </c>
      <c r="AE572" s="0" t="s">
        <v>60</v>
      </c>
      <c r="AF572" s="1" t="n">
        <v>45912</v>
      </c>
      <c r="AI572" s="0" t="s">
        <v>172</v>
      </c>
      <c r="AJ572" s="0" t="s">
        <v>81</v>
      </c>
      <c r="AK572" s="0" t="s">
        <v>82</v>
      </c>
      <c r="AL572" s="0" t="s">
        <v>63</v>
      </c>
      <c r="AM572" s="0" t="s">
        <v>64</v>
      </c>
    </row>
    <row r="573" customFormat="false" ht="15" hidden="false" customHeight="false" outlineLevel="0" collapsed="false">
      <c r="A573" s="1" t="n">
        <v>45773</v>
      </c>
      <c r="B573" s="0" t="s">
        <v>1426</v>
      </c>
      <c r="C573" s="0" t="s">
        <v>42</v>
      </c>
      <c r="D573" s="0" t="n">
        <v>8038557229</v>
      </c>
      <c r="E573" s="0" t="s">
        <v>139</v>
      </c>
      <c r="F573" s="0" t="s">
        <v>1427</v>
      </c>
      <c r="G573" s="0" t="s">
        <v>87</v>
      </c>
      <c r="H573" s="0" t="s">
        <v>88</v>
      </c>
      <c r="I573" s="0" t="s">
        <v>154</v>
      </c>
      <c r="J573" s="0" t="s">
        <v>90</v>
      </c>
      <c r="K573" s="0" t="n">
        <v>24077</v>
      </c>
      <c r="L573" s="0" t="s">
        <v>166</v>
      </c>
      <c r="M573" s="0" t="s">
        <v>63</v>
      </c>
      <c r="N573" s="0" t="n">
        <v>5</v>
      </c>
      <c r="O573" s="0" t="n">
        <v>1.2</v>
      </c>
      <c r="P573" s="0" t="s">
        <v>92</v>
      </c>
      <c r="Q573" s="0" t="s">
        <v>93</v>
      </c>
      <c r="S573" s="0" t="s">
        <v>75</v>
      </c>
      <c r="T573" s="0" t="s">
        <v>127</v>
      </c>
      <c r="U573" s="0" t="s">
        <v>112</v>
      </c>
      <c r="V573" s="0" t="s">
        <v>97</v>
      </c>
      <c r="W573" s="0" t="s">
        <v>78</v>
      </c>
      <c r="X573" s="0" t="s">
        <v>114</v>
      </c>
      <c r="Y573" s="0" t="s">
        <v>59</v>
      </c>
      <c r="Z573" s="0" t="s">
        <v>129</v>
      </c>
      <c r="AB573" s="0" t="s">
        <v>178</v>
      </c>
      <c r="AD573" s="0" t="n">
        <v>0</v>
      </c>
      <c r="AE573" s="0" t="s">
        <v>184</v>
      </c>
      <c r="AF573" s="1" t="n">
        <v>45698</v>
      </c>
      <c r="AH573" s="0" t="s">
        <v>171</v>
      </c>
      <c r="AI573" s="0" t="s">
        <v>117</v>
      </c>
      <c r="AJ573" s="0" t="s">
        <v>63</v>
      </c>
      <c r="AK573" s="0" t="s">
        <v>63</v>
      </c>
      <c r="AL573" s="0" t="s">
        <v>102</v>
      </c>
      <c r="AM573" s="0" t="s">
        <v>103</v>
      </c>
      <c r="AN573" s="0" t="s">
        <v>198</v>
      </c>
    </row>
    <row r="574" customFormat="false" ht="15" hidden="false" customHeight="false" outlineLevel="0" collapsed="false">
      <c r="A574" s="1" t="n">
        <v>45705</v>
      </c>
      <c r="B574" s="0" t="s">
        <v>1428</v>
      </c>
      <c r="C574" s="0" t="s">
        <v>163</v>
      </c>
      <c r="D574" s="0" t="n">
        <v>8071575863</v>
      </c>
      <c r="E574" s="0" t="s">
        <v>139</v>
      </c>
      <c r="F574" s="0" t="s">
        <v>1429</v>
      </c>
      <c r="G574" s="0" t="s">
        <v>87</v>
      </c>
      <c r="H574" s="0" t="s">
        <v>135</v>
      </c>
      <c r="I574" s="0" t="s">
        <v>154</v>
      </c>
      <c r="K574" s="0" t="n">
        <v>29415</v>
      </c>
      <c r="L574" s="0" t="s">
        <v>49</v>
      </c>
      <c r="M574" s="0" t="s">
        <v>63</v>
      </c>
      <c r="O574" s="0" t="n">
        <v>2.5</v>
      </c>
      <c r="P574" s="0" t="s">
        <v>111</v>
      </c>
      <c r="Q574" s="0" t="s">
        <v>93</v>
      </c>
      <c r="S574" s="0" t="s">
        <v>75</v>
      </c>
      <c r="T574" s="0" t="n">
        <v>45</v>
      </c>
      <c r="U574" s="0" t="s">
        <v>160</v>
      </c>
      <c r="V574" s="0" t="s">
        <v>56</v>
      </c>
      <c r="W574" s="0" t="s">
        <v>78</v>
      </c>
      <c r="X574" s="0" t="s">
        <v>137</v>
      </c>
      <c r="Y574" s="0" t="s">
        <v>177</v>
      </c>
      <c r="AA574" s="0" t="s">
        <v>150</v>
      </c>
      <c r="AB574" s="0" t="n">
        <v>35000</v>
      </c>
      <c r="AC574" s="0" t="s">
        <v>63</v>
      </c>
      <c r="AD574" s="0" t="n">
        <v>0</v>
      </c>
      <c r="AE574" s="0" t="s">
        <v>184</v>
      </c>
      <c r="AG574" s="0" t="s">
        <v>63</v>
      </c>
      <c r="AH574" s="0" t="s">
        <v>116</v>
      </c>
      <c r="AJ574" s="0" t="s">
        <v>50</v>
      </c>
      <c r="AK574" s="0" t="s">
        <v>82</v>
      </c>
      <c r="AL574" s="0" t="s">
        <v>102</v>
      </c>
      <c r="AM574" s="0" t="s">
        <v>103</v>
      </c>
      <c r="AN574" s="0" t="s">
        <v>63</v>
      </c>
    </row>
    <row r="575" customFormat="false" ht="15" hidden="false" customHeight="false" outlineLevel="0" collapsed="false">
      <c r="A575" s="1" t="n">
        <v>45718</v>
      </c>
      <c r="B575" s="0" t="s">
        <v>1430</v>
      </c>
      <c r="C575" s="0" t="s">
        <v>121</v>
      </c>
      <c r="D575" s="0" t="n">
        <v>8039540811</v>
      </c>
      <c r="E575" s="0" t="s">
        <v>122</v>
      </c>
      <c r="F575" s="0" t="s">
        <v>1431</v>
      </c>
      <c r="G575" s="0" t="s">
        <v>87</v>
      </c>
      <c r="H575" s="0" t="s">
        <v>272</v>
      </c>
      <c r="I575" s="0" t="s">
        <v>154</v>
      </c>
      <c r="J575" s="0" t="s">
        <v>109</v>
      </c>
      <c r="K575" s="0" t="n">
        <v>87692</v>
      </c>
      <c r="L575" s="0" t="s">
        <v>124</v>
      </c>
      <c r="M575" s="0" t="s">
        <v>50</v>
      </c>
      <c r="N575" s="0" t="n">
        <v>2</v>
      </c>
      <c r="O575" s="0" t="n">
        <v>2</v>
      </c>
      <c r="P575" s="0" t="s">
        <v>125</v>
      </c>
      <c r="Q575" s="0" t="s">
        <v>52</v>
      </c>
      <c r="S575" s="0" t="s">
        <v>147</v>
      </c>
      <c r="T575" s="0" t="n">
        <v>45</v>
      </c>
      <c r="U575" s="0" t="s">
        <v>76</v>
      </c>
      <c r="V575" s="0" t="s">
        <v>77</v>
      </c>
      <c r="W575" s="0" t="s">
        <v>128</v>
      </c>
      <c r="X575" s="0" t="s">
        <v>137</v>
      </c>
      <c r="Y575" s="0" t="s">
        <v>59</v>
      </c>
      <c r="Z575" s="0" t="s">
        <v>129</v>
      </c>
      <c r="AA575" s="0" t="s">
        <v>150</v>
      </c>
      <c r="AB575" s="0" t="n">
        <v>30000</v>
      </c>
      <c r="AD575" s="0" t="n">
        <v>0</v>
      </c>
      <c r="AE575" s="0" t="s">
        <v>130</v>
      </c>
      <c r="AF575" s="0" t="s">
        <v>1432</v>
      </c>
      <c r="AG575" s="0" t="s">
        <v>63</v>
      </c>
      <c r="AI575" s="0" t="s">
        <v>117</v>
      </c>
      <c r="AJ575" s="0" t="s">
        <v>62</v>
      </c>
      <c r="AK575" s="0" t="s">
        <v>63</v>
      </c>
      <c r="AL575" s="0" t="s">
        <v>102</v>
      </c>
      <c r="AM575" s="0" t="s">
        <v>118</v>
      </c>
    </row>
    <row r="576" customFormat="false" ht="15" hidden="false" customHeight="false" outlineLevel="0" collapsed="false">
      <c r="A576" s="1" t="n">
        <v>45763</v>
      </c>
      <c r="B576" s="0" t="s">
        <v>1433</v>
      </c>
      <c r="C576" s="0" t="s">
        <v>42</v>
      </c>
      <c r="D576" s="0" t="n">
        <v>8018860555</v>
      </c>
      <c r="E576" s="0" t="s">
        <v>85</v>
      </c>
      <c r="F576" s="0" t="s">
        <v>1434</v>
      </c>
      <c r="G576" s="0" t="s">
        <v>45</v>
      </c>
      <c r="H576" s="0" t="s">
        <v>272</v>
      </c>
      <c r="I576" s="0" t="s">
        <v>154</v>
      </c>
      <c r="J576" s="0" t="s">
        <v>71</v>
      </c>
      <c r="K576" s="0" t="n">
        <v>13995</v>
      </c>
      <c r="L576" s="0" t="s">
        <v>110</v>
      </c>
      <c r="M576" s="0" t="s">
        <v>50</v>
      </c>
      <c r="N576" s="0" t="n">
        <v>2</v>
      </c>
      <c r="O576" s="0" t="n">
        <v>3.5</v>
      </c>
      <c r="Q576" s="0" t="s">
        <v>52</v>
      </c>
      <c r="R576" s="0" t="s">
        <v>74</v>
      </c>
      <c r="S576" s="0" t="s">
        <v>95</v>
      </c>
      <c r="T576" s="0" t="n">
        <v>30</v>
      </c>
      <c r="U576" s="0" t="s">
        <v>76</v>
      </c>
      <c r="V576" s="0" t="s">
        <v>56</v>
      </c>
      <c r="W576" s="0" t="s">
        <v>113</v>
      </c>
      <c r="X576" s="0" t="s">
        <v>114</v>
      </c>
      <c r="Z576" s="0" t="s">
        <v>129</v>
      </c>
      <c r="AA576" s="0" t="n">
        <v>25000</v>
      </c>
      <c r="AB576" s="0" t="s">
        <v>178</v>
      </c>
      <c r="AC576" s="0" t="s">
        <v>82</v>
      </c>
      <c r="AE576" s="0" t="s">
        <v>60</v>
      </c>
      <c r="AF576" s="1" t="n">
        <v>45861</v>
      </c>
      <c r="AG576" s="0" t="s">
        <v>50</v>
      </c>
      <c r="AI576" s="0" t="s">
        <v>101</v>
      </c>
      <c r="AK576" s="0" t="s">
        <v>50</v>
      </c>
      <c r="AM576" s="0" t="s">
        <v>118</v>
      </c>
      <c r="AN576" s="0" t="s">
        <v>50</v>
      </c>
    </row>
    <row r="577" customFormat="false" ht="15" hidden="false" customHeight="false" outlineLevel="0" collapsed="false">
      <c r="A577" s="1" t="n">
        <v>45805</v>
      </c>
      <c r="B577" s="0" t="s">
        <v>1435</v>
      </c>
      <c r="C577" s="0" t="s">
        <v>42</v>
      </c>
      <c r="D577" s="0" t="n">
        <v>8098310124</v>
      </c>
      <c r="E577" s="0" t="s">
        <v>139</v>
      </c>
      <c r="F577" s="0" t="s">
        <v>1436</v>
      </c>
      <c r="G577" s="0" t="s">
        <v>134</v>
      </c>
      <c r="H577" s="0" t="s">
        <v>242</v>
      </c>
      <c r="I577" s="0" t="s">
        <v>154</v>
      </c>
      <c r="J577" s="0" t="s">
        <v>109</v>
      </c>
      <c r="K577" s="0" t="n">
        <v>104344</v>
      </c>
      <c r="L577" s="0" t="s">
        <v>91</v>
      </c>
      <c r="M577" s="0" t="s">
        <v>63</v>
      </c>
      <c r="N577" s="0" t="n">
        <v>5</v>
      </c>
      <c r="O577" s="0" t="n">
        <v>3.6</v>
      </c>
      <c r="P577" s="0" t="s">
        <v>92</v>
      </c>
      <c r="Q577" s="0" t="s">
        <v>73</v>
      </c>
      <c r="R577" s="0" t="s">
        <v>159</v>
      </c>
      <c r="S577" s="0" t="s">
        <v>95</v>
      </c>
      <c r="U577" s="0" t="s">
        <v>160</v>
      </c>
      <c r="V577" s="0" t="s">
        <v>97</v>
      </c>
      <c r="W577" s="0" t="s">
        <v>78</v>
      </c>
      <c r="X577" s="0" t="s">
        <v>58</v>
      </c>
      <c r="Y577" s="0" t="s">
        <v>197</v>
      </c>
      <c r="Z577" s="0" t="s">
        <v>143</v>
      </c>
      <c r="AB577" s="0" t="n">
        <v>40000</v>
      </c>
      <c r="AC577" s="0" t="s">
        <v>82</v>
      </c>
      <c r="AD577" s="0" t="s">
        <v>115</v>
      </c>
      <c r="AE577" s="0" t="s">
        <v>60</v>
      </c>
      <c r="AF577" s="0" t="s">
        <v>1437</v>
      </c>
      <c r="AG577" s="0" t="s">
        <v>50</v>
      </c>
      <c r="AH577" s="0" t="s">
        <v>116</v>
      </c>
      <c r="AI577" s="0" t="s">
        <v>101</v>
      </c>
      <c r="AJ577" s="0" t="s">
        <v>81</v>
      </c>
      <c r="AK577" s="0" t="s">
        <v>82</v>
      </c>
      <c r="AL577" s="0" t="s">
        <v>102</v>
      </c>
      <c r="AM577" s="0" t="s">
        <v>83</v>
      </c>
      <c r="AN577" s="0" t="s">
        <v>50</v>
      </c>
    </row>
    <row r="578" customFormat="false" ht="15" hidden="false" customHeight="false" outlineLevel="0" collapsed="false">
      <c r="A578" s="1" t="n">
        <v>45803</v>
      </c>
      <c r="B578" s="0" t="s">
        <v>1438</v>
      </c>
      <c r="C578" s="0" t="s">
        <v>66</v>
      </c>
      <c r="D578" s="0" t="n">
        <v>8047373949</v>
      </c>
      <c r="E578" s="0" t="s">
        <v>122</v>
      </c>
      <c r="F578" s="0" t="s">
        <v>1439</v>
      </c>
      <c r="G578" s="0" t="s">
        <v>45</v>
      </c>
      <c r="H578" s="0" t="s">
        <v>141</v>
      </c>
      <c r="I578" s="0" t="s">
        <v>47</v>
      </c>
      <c r="J578" s="0" t="s">
        <v>109</v>
      </c>
      <c r="K578" s="0" t="n">
        <v>24179</v>
      </c>
      <c r="L578" s="0" t="s">
        <v>124</v>
      </c>
      <c r="M578" s="0" t="s">
        <v>50</v>
      </c>
      <c r="N578" s="0" t="n">
        <v>3</v>
      </c>
      <c r="O578" s="0" t="n">
        <v>1.3</v>
      </c>
      <c r="P578" s="0" t="s">
        <v>92</v>
      </c>
      <c r="Q578" s="0" t="s">
        <v>73</v>
      </c>
      <c r="R578" s="0" t="s">
        <v>159</v>
      </c>
      <c r="S578" s="0" t="s">
        <v>167</v>
      </c>
      <c r="T578" s="0" t="s">
        <v>127</v>
      </c>
      <c r="U578" s="0" t="s">
        <v>76</v>
      </c>
      <c r="V578" s="0" t="s">
        <v>56</v>
      </c>
      <c r="W578" s="0" t="s">
        <v>57</v>
      </c>
      <c r="X578" s="0" t="s">
        <v>196</v>
      </c>
      <c r="Y578" s="0" t="s">
        <v>197</v>
      </c>
      <c r="Z578" s="0" t="s">
        <v>149</v>
      </c>
      <c r="AA578" s="0" t="s">
        <v>150</v>
      </c>
      <c r="AB578" s="0" t="s">
        <v>178</v>
      </c>
      <c r="AC578" s="0" t="s">
        <v>82</v>
      </c>
      <c r="AD578" s="0" t="n">
        <v>5000</v>
      </c>
      <c r="AG578" s="0" t="s">
        <v>63</v>
      </c>
      <c r="AI578" s="0" t="s">
        <v>101</v>
      </c>
      <c r="AJ578" s="0" t="s">
        <v>81</v>
      </c>
      <c r="AM578" s="0" t="s">
        <v>83</v>
      </c>
      <c r="AN578" s="0" t="s">
        <v>198</v>
      </c>
    </row>
    <row r="579" customFormat="false" ht="15" hidden="false" customHeight="false" outlineLevel="0" collapsed="false">
      <c r="A579" s="1" t="n">
        <v>45806</v>
      </c>
      <c r="B579" s="0" t="s">
        <v>1440</v>
      </c>
      <c r="C579" s="0" t="s">
        <v>163</v>
      </c>
      <c r="D579" s="0" t="n">
        <v>8097234140</v>
      </c>
      <c r="E579" s="0" t="s">
        <v>43</v>
      </c>
      <c r="F579" s="0" t="s">
        <v>1441</v>
      </c>
      <c r="G579" s="0" t="s">
        <v>45</v>
      </c>
      <c r="H579" s="0" t="s">
        <v>153</v>
      </c>
      <c r="I579" s="0" t="s">
        <v>189</v>
      </c>
      <c r="J579" s="0" t="s">
        <v>109</v>
      </c>
      <c r="K579" s="0" t="n">
        <v>54920</v>
      </c>
      <c r="L579" s="0" t="s">
        <v>166</v>
      </c>
      <c r="M579" s="0" t="s">
        <v>63</v>
      </c>
      <c r="N579" s="0" t="n">
        <v>1</v>
      </c>
      <c r="O579" s="0" t="n">
        <v>3.5</v>
      </c>
      <c r="P579" s="0" t="s">
        <v>125</v>
      </c>
      <c r="Q579" s="0" t="s">
        <v>93</v>
      </c>
      <c r="R579" s="0" t="s">
        <v>74</v>
      </c>
      <c r="S579" s="0" t="s">
        <v>95</v>
      </c>
      <c r="T579" s="0" t="n">
        <v>15</v>
      </c>
      <c r="U579" s="0" t="s">
        <v>55</v>
      </c>
      <c r="V579" s="0" t="s">
        <v>56</v>
      </c>
      <c r="W579" s="0" t="s">
        <v>78</v>
      </c>
      <c r="X579" s="0" t="s">
        <v>114</v>
      </c>
      <c r="AA579" s="0" t="n">
        <v>25000</v>
      </c>
      <c r="AC579" s="0" t="s">
        <v>63</v>
      </c>
      <c r="AD579" s="0" t="n">
        <v>10000</v>
      </c>
      <c r="AE579" s="0" t="s">
        <v>80</v>
      </c>
      <c r="AG579" s="0" t="s">
        <v>63</v>
      </c>
      <c r="AH579" s="0" t="s">
        <v>171</v>
      </c>
      <c r="AI579" s="0" t="s">
        <v>117</v>
      </c>
      <c r="AJ579" s="0" t="s">
        <v>62</v>
      </c>
      <c r="AL579" s="0" t="s">
        <v>50</v>
      </c>
      <c r="AN579" s="0" t="s">
        <v>50</v>
      </c>
    </row>
    <row r="580" customFormat="false" ht="15" hidden="false" customHeight="false" outlineLevel="0" collapsed="false">
      <c r="A580" s="1" t="n">
        <v>45777</v>
      </c>
      <c r="B580" s="0" t="s">
        <v>1442</v>
      </c>
      <c r="C580" s="0" t="s">
        <v>66</v>
      </c>
      <c r="D580" s="0" t="n">
        <v>8093739701</v>
      </c>
      <c r="E580" s="0" t="s">
        <v>122</v>
      </c>
      <c r="F580" s="0" t="s">
        <v>1443</v>
      </c>
      <c r="G580" s="0" t="s">
        <v>87</v>
      </c>
      <c r="H580" s="0" t="s">
        <v>170</v>
      </c>
      <c r="I580" s="0" t="s">
        <v>142</v>
      </c>
      <c r="J580" s="0" t="s">
        <v>48</v>
      </c>
      <c r="K580" s="0" t="n">
        <v>102314</v>
      </c>
      <c r="L580" s="0" t="s">
        <v>49</v>
      </c>
      <c r="M580" s="0" t="s">
        <v>50</v>
      </c>
      <c r="N580" s="0" t="n">
        <v>1</v>
      </c>
      <c r="O580" s="0" t="n">
        <v>3.7</v>
      </c>
      <c r="P580" s="0" t="s">
        <v>111</v>
      </c>
      <c r="Q580" s="0" t="s">
        <v>93</v>
      </c>
      <c r="R580" s="0" t="s">
        <v>136</v>
      </c>
      <c r="S580" s="0" t="s">
        <v>167</v>
      </c>
      <c r="T580" s="0" t="n">
        <v>60</v>
      </c>
      <c r="U580" s="0" t="s">
        <v>55</v>
      </c>
      <c r="V580" s="0" t="s">
        <v>155</v>
      </c>
      <c r="W580" s="0" t="s">
        <v>128</v>
      </c>
      <c r="X580" s="0" t="s">
        <v>114</v>
      </c>
      <c r="Y580" s="0" t="s">
        <v>156</v>
      </c>
      <c r="Z580" s="0" t="s">
        <v>149</v>
      </c>
      <c r="AA580" s="0" t="n">
        <v>25000</v>
      </c>
      <c r="AB580" s="0" t="s">
        <v>178</v>
      </c>
      <c r="AC580" s="0" t="s">
        <v>50</v>
      </c>
      <c r="AD580" s="0" t="n">
        <v>5000</v>
      </c>
      <c r="AE580" s="0" t="s">
        <v>60</v>
      </c>
      <c r="AF580" s="1" t="n">
        <v>45929</v>
      </c>
      <c r="AG580" s="0" t="s">
        <v>61</v>
      </c>
      <c r="AH580" s="0" t="s">
        <v>116</v>
      </c>
      <c r="AJ580" s="0" t="s">
        <v>50</v>
      </c>
      <c r="AL580" s="0" t="s">
        <v>50</v>
      </c>
    </row>
    <row r="581" customFormat="false" ht="15" hidden="false" customHeight="false" outlineLevel="0" collapsed="false">
      <c r="A581" s="1" t="n">
        <v>45678</v>
      </c>
      <c r="B581" s="0" t="s">
        <v>1444</v>
      </c>
      <c r="C581" s="0" t="s">
        <v>42</v>
      </c>
      <c r="D581" s="0" t="n">
        <v>8059523652</v>
      </c>
      <c r="E581" s="0" t="s">
        <v>43</v>
      </c>
      <c r="F581" s="0" t="s">
        <v>1445</v>
      </c>
      <c r="G581" s="0" t="s">
        <v>45</v>
      </c>
      <c r="H581" s="0" t="s">
        <v>176</v>
      </c>
      <c r="I581" s="0" t="s">
        <v>108</v>
      </c>
      <c r="J581" s="0" t="s">
        <v>48</v>
      </c>
      <c r="K581" s="0" t="n">
        <v>17969</v>
      </c>
      <c r="L581" s="0" t="s">
        <v>91</v>
      </c>
      <c r="M581" s="0" t="s">
        <v>63</v>
      </c>
      <c r="N581" s="0" t="n">
        <v>3</v>
      </c>
      <c r="O581" s="0" t="n">
        <v>3.2</v>
      </c>
      <c r="P581" s="0" t="s">
        <v>125</v>
      </c>
      <c r="Q581" s="0" t="s">
        <v>73</v>
      </c>
      <c r="R581" s="0" t="s">
        <v>159</v>
      </c>
      <c r="S581" s="0" t="s">
        <v>54</v>
      </c>
      <c r="T581" s="0" t="n">
        <v>30</v>
      </c>
      <c r="U581" s="0" t="s">
        <v>160</v>
      </c>
      <c r="V581" s="0" t="s">
        <v>77</v>
      </c>
      <c r="W581" s="0" t="s">
        <v>78</v>
      </c>
      <c r="X581" s="0" t="s">
        <v>58</v>
      </c>
      <c r="Y581" s="0" t="s">
        <v>59</v>
      </c>
      <c r="Z581" s="0" t="s">
        <v>79</v>
      </c>
      <c r="AA581" s="0" t="n">
        <v>25000</v>
      </c>
      <c r="AB581" s="0" t="n">
        <v>30000</v>
      </c>
      <c r="AD581" s="0" t="s">
        <v>115</v>
      </c>
      <c r="AE581" s="0" t="s">
        <v>184</v>
      </c>
      <c r="AF581" s="1" t="n">
        <v>45852</v>
      </c>
      <c r="AG581" s="0" t="s">
        <v>50</v>
      </c>
      <c r="AH581" s="0" t="s">
        <v>171</v>
      </c>
      <c r="AJ581" s="0" t="s">
        <v>81</v>
      </c>
      <c r="AL581" s="0" t="s">
        <v>102</v>
      </c>
      <c r="AM581" s="0" t="s">
        <v>118</v>
      </c>
      <c r="AN581" s="0" t="s">
        <v>190</v>
      </c>
    </row>
    <row r="582" customFormat="false" ht="15" hidden="false" customHeight="false" outlineLevel="0" collapsed="false">
      <c r="A582" s="1" t="n">
        <v>45819</v>
      </c>
      <c r="B582" s="0" t="s">
        <v>1446</v>
      </c>
      <c r="C582" s="0" t="s">
        <v>163</v>
      </c>
      <c r="D582" s="0" t="n">
        <v>8015897385</v>
      </c>
      <c r="E582" s="0" t="s">
        <v>43</v>
      </c>
      <c r="F582" s="0" t="s">
        <v>1447</v>
      </c>
      <c r="G582" s="0" t="s">
        <v>107</v>
      </c>
      <c r="H582" s="0" t="s">
        <v>46</v>
      </c>
      <c r="I582" s="0" t="s">
        <v>189</v>
      </c>
      <c r="J582" s="0" t="s">
        <v>109</v>
      </c>
      <c r="K582" s="0" t="n">
        <v>70746</v>
      </c>
      <c r="L582" s="0" t="s">
        <v>124</v>
      </c>
      <c r="M582" s="0" t="s">
        <v>50</v>
      </c>
      <c r="N582" s="0" t="n">
        <v>4</v>
      </c>
      <c r="O582" s="0" t="n">
        <v>4.7</v>
      </c>
      <c r="P582" s="0" t="s">
        <v>51</v>
      </c>
      <c r="Q582" s="0" t="s">
        <v>73</v>
      </c>
      <c r="R582" s="0" t="s">
        <v>74</v>
      </c>
      <c r="S582" s="0" t="s">
        <v>95</v>
      </c>
      <c r="U582" s="0" t="s">
        <v>160</v>
      </c>
      <c r="V582" s="0" t="s">
        <v>148</v>
      </c>
      <c r="W582" s="0" t="s">
        <v>128</v>
      </c>
      <c r="X582" s="0" t="s">
        <v>196</v>
      </c>
      <c r="Y582" s="0" t="s">
        <v>156</v>
      </c>
      <c r="Z582" s="0" t="s">
        <v>143</v>
      </c>
      <c r="AA582" s="0" t="n">
        <v>25000</v>
      </c>
      <c r="AB582" s="0" t="s">
        <v>178</v>
      </c>
      <c r="AC582" s="0" t="s">
        <v>82</v>
      </c>
      <c r="AD582" s="0" t="n">
        <v>10000</v>
      </c>
      <c r="AF582" s="1" t="n">
        <v>45971</v>
      </c>
      <c r="AG582" s="0" t="s">
        <v>63</v>
      </c>
      <c r="AH582" s="0" t="s">
        <v>171</v>
      </c>
      <c r="AJ582" s="0" t="s">
        <v>50</v>
      </c>
      <c r="AK582" s="0" t="s">
        <v>63</v>
      </c>
      <c r="AL582" s="0" t="s">
        <v>50</v>
      </c>
      <c r="AM582" s="0" t="s">
        <v>103</v>
      </c>
    </row>
    <row r="583" customFormat="false" ht="15" hidden="false" customHeight="false" outlineLevel="0" collapsed="false">
      <c r="A583" s="1" t="n">
        <v>45796</v>
      </c>
      <c r="B583" s="0" t="s">
        <v>1448</v>
      </c>
      <c r="C583" s="0" t="s">
        <v>105</v>
      </c>
      <c r="D583" s="0" t="n">
        <v>8019037049</v>
      </c>
      <c r="E583" s="0" t="s">
        <v>43</v>
      </c>
      <c r="F583" s="0" t="s">
        <v>1449</v>
      </c>
      <c r="G583" s="0" t="s">
        <v>134</v>
      </c>
      <c r="H583" s="0" t="s">
        <v>153</v>
      </c>
      <c r="I583" s="0" t="s">
        <v>154</v>
      </c>
      <c r="J583" s="0" t="s">
        <v>71</v>
      </c>
      <c r="K583" s="0" t="n">
        <v>21067</v>
      </c>
      <c r="L583" s="0" t="s">
        <v>49</v>
      </c>
      <c r="M583" s="0" t="s">
        <v>50</v>
      </c>
      <c r="N583" s="0" t="n">
        <v>2</v>
      </c>
      <c r="O583" s="0" t="n">
        <v>5.8</v>
      </c>
      <c r="P583" s="0" t="s">
        <v>125</v>
      </c>
      <c r="Q583" s="0" t="s">
        <v>52</v>
      </c>
      <c r="R583" s="0" t="s">
        <v>136</v>
      </c>
      <c r="S583" s="0" t="s">
        <v>126</v>
      </c>
      <c r="U583" s="0" t="s">
        <v>76</v>
      </c>
      <c r="V583" s="0" t="s">
        <v>148</v>
      </c>
      <c r="W583" s="0" t="s">
        <v>128</v>
      </c>
      <c r="X583" s="0" t="s">
        <v>114</v>
      </c>
      <c r="AA583" s="0" t="n">
        <v>40000</v>
      </c>
      <c r="AC583" s="0" t="s">
        <v>61</v>
      </c>
      <c r="AD583" s="0" t="s">
        <v>115</v>
      </c>
      <c r="AE583" s="0" t="s">
        <v>60</v>
      </c>
      <c r="AF583" s="1" t="n">
        <v>46022</v>
      </c>
      <c r="AI583" s="0" t="s">
        <v>172</v>
      </c>
      <c r="AJ583" s="0" t="s">
        <v>81</v>
      </c>
      <c r="AK583" s="0" t="s">
        <v>63</v>
      </c>
      <c r="AL583" s="0" t="s">
        <v>102</v>
      </c>
      <c r="AM583" s="0" t="s">
        <v>103</v>
      </c>
      <c r="AN583" s="0" t="s">
        <v>50</v>
      </c>
    </row>
    <row r="584" customFormat="false" ht="15" hidden="false" customHeight="false" outlineLevel="0" collapsed="false">
      <c r="A584" s="1" t="n">
        <v>45814</v>
      </c>
      <c r="B584" s="0" t="s">
        <v>1450</v>
      </c>
      <c r="C584" s="0" t="s">
        <v>42</v>
      </c>
      <c r="D584" s="0" t="n">
        <v>8039334741</v>
      </c>
      <c r="E584" s="0" t="s">
        <v>43</v>
      </c>
      <c r="F584" s="0" t="s">
        <v>1451</v>
      </c>
      <c r="G584" s="0" t="s">
        <v>87</v>
      </c>
      <c r="I584" s="0" t="s">
        <v>89</v>
      </c>
      <c r="J584" s="0" t="s">
        <v>90</v>
      </c>
      <c r="K584" s="0" t="n">
        <v>35622</v>
      </c>
      <c r="L584" s="0" t="s">
        <v>110</v>
      </c>
      <c r="M584" s="0" t="s">
        <v>50</v>
      </c>
      <c r="N584" s="0" t="n">
        <v>1</v>
      </c>
      <c r="O584" s="0" t="n">
        <v>2.1</v>
      </c>
      <c r="P584" s="0" t="s">
        <v>92</v>
      </c>
      <c r="Q584" s="0" t="s">
        <v>73</v>
      </c>
      <c r="R584" s="0" t="s">
        <v>94</v>
      </c>
      <c r="S584" s="0" t="s">
        <v>126</v>
      </c>
      <c r="T584" s="0" t="n">
        <v>60</v>
      </c>
      <c r="U584" s="0" t="s">
        <v>76</v>
      </c>
      <c r="V584" s="0" t="s">
        <v>155</v>
      </c>
      <c r="W584" s="0" t="s">
        <v>128</v>
      </c>
      <c r="X584" s="0" t="s">
        <v>137</v>
      </c>
      <c r="Y584" s="0" t="s">
        <v>156</v>
      </c>
      <c r="Z584" s="0" t="s">
        <v>149</v>
      </c>
      <c r="AA584" s="0" t="n">
        <v>40000</v>
      </c>
      <c r="AB584" s="0" t="n">
        <v>40000</v>
      </c>
      <c r="AC584" s="0" t="s">
        <v>50</v>
      </c>
      <c r="AE584" s="0" t="s">
        <v>80</v>
      </c>
      <c r="AF584" s="0" t="s">
        <v>447</v>
      </c>
      <c r="AG584" s="0" t="s">
        <v>82</v>
      </c>
      <c r="AH584" s="0" t="s">
        <v>171</v>
      </c>
      <c r="AI584" s="0" t="s">
        <v>172</v>
      </c>
      <c r="AJ584" s="0" t="s">
        <v>63</v>
      </c>
      <c r="AN584" s="0" t="s">
        <v>50</v>
      </c>
    </row>
    <row r="585" customFormat="false" ht="15" hidden="false" customHeight="false" outlineLevel="0" collapsed="false">
      <c r="A585" s="1" t="n">
        <v>45717</v>
      </c>
      <c r="B585" s="0" t="s">
        <v>1452</v>
      </c>
      <c r="C585" s="0" t="s">
        <v>66</v>
      </c>
      <c r="D585" s="0" t="n">
        <v>8065176483</v>
      </c>
      <c r="E585" s="0" t="s">
        <v>139</v>
      </c>
      <c r="F585" s="0" t="s">
        <v>1453</v>
      </c>
      <c r="G585" s="0" t="s">
        <v>134</v>
      </c>
      <c r="H585" s="0" t="s">
        <v>135</v>
      </c>
      <c r="I585" s="0" t="s">
        <v>154</v>
      </c>
      <c r="J585" s="0" t="s">
        <v>48</v>
      </c>
      <c r="K585" s="0" t="n">
        <v>76632</v>
      </c>
      <c r="L585" s="0" t="s">
        <v>110</v>
      </c>
      <c r="M585" s="0" t="s">
        <v>50</v>
      </c>
      <c r="N585" s="0" t="n">
        <v>2</v>
      </c>
      <c r="O585" s="0" t="n">
        <v>2.2</v>
      </c>
      <c r="P585" s="0" t="s">
        <v>92</v>
      </c>
      <c r="Q585" s="0" t="s">
        <v>93</v>
      </c>
      <c r="R585" s="0" t="s">
        <v>159</v>
      </c>
      <c r="S585" s="0" t="s">
        <v>95</v>
      </c>
      <c r="T585" s="0" t="n">
        <v>45</v>
      </c>
      <c r="U585" s="0" t="s">
        <v>76</v>
      </c>
      <c r="V585" s="0" t="s">
        <v>77</v>
      </c>
      <c r="W585" s="0" t="s">
        <v>57</v>
      </c>
      <c r="X585" s="0" t="s">
        <v>196</v>
      </c>
      <c r="AA585" s="0" t="s">
        <v>150</v>
      </c>
      <c r="AB585" s="0" t="n">
        <v>40000</v>
      </c>
      <c r="AF585" s="1" t="n">
        <v>45941</v>
      </c>
      <c r="AG585" s="0" t="s">
        <v>50</v>
      </c>
      <c r="AI585" s="0" t="s">
        <v>172</v>
      </c>
      <c r="AJ585" s="0" t="s">
        <v>81</v>
      </c>
      <c r="AK585" s="0" t="s">
        <v>82</v>
      </c>
      <c r="AM585" s="0" t="s">
        <v>118</v>
      </c>
      <c r="AN585" s="0" t="s">
        <v>63</v>
      </c>
    </row>
    <row r="586" customFormat="false" ht="15" hidden="false" customHeight="false" outlineLevel="0" collapsed="false">
      <c r="A586" s="1" t="n">
        <v>45804</v>
      </c>
      <c r="B586" s="0" t="s">
        <v>1454</v>
      </c>
      <c r="C586" s="0" t="s">
        <v>66</v>
      </c>
      <c r="D586" s="0" t="n">
        <v>8050471241</v>
      </c>
      <c r="E586" s="0" t="s">
        <v>67</v>
      </c>
      <c r="F586" s="0" t="s">
        <v>1455</v>
      </c>
      <c r="G586" s="0" t="s">
        <v>134</v>
      </c>
      <c r="H586" s="0" t="s">
        <v>88</v>
      </c>
      <c r="I586" s="0" t="s">
        <v>142</v>
      </c>
      <c r="J586" s="0" t="s">
        <v>71</v>
      </c>
      <c r="K586" s="0" t="n">
        <v>15564</v>
      </c>
      <c r="L586" s="0" t="s">
        <v>166</v>
      </c>
      <c r="M586" s="0" t="s">
        <v>50</v>
      </c>
      <c r="N586" s="0" t="n">
        <v>5</v>
      </c>
      <c r="O586" s="0" t="n">
        <v>3</v>
      </c>
      <c r="P586" s="0" t="s">
        <v>111</v>
      </c>
      <c r="Q586" s="0" t="s">
        <v>52</v>
      </c>
      <c r="R586" s="0" t="s">
        <v>94</v>
      </c>
      <c r="S586" s="0" t="s">
        <v>147</v>
      </c>
      <c r="U586" s="0" t="s">
        <v>112</v>
      </c>
      <c r="V586" s="0" t="s">
        <v>56</v>
      </c>
      <c r="W586" s="0" t="s">
        <v>57</v>
      </c>
      <c r="X586" s="0" t="s">
        <v>196</v>
      </c>
      <c r="Z586" s="0" t="s">
        <v>161</v>
      </c>
      <c r="AA586" s="0" t="n">
        <v>30000</v>
      </c>
      <c r="AB586" s="0" t="n">
        <v>35000</v>
      </c>
      <c r="AC586" s="0" t="s">
        <v>50</v>
      </c>
      <c r="AD586" s="0" t="s">
        <v>115</v>
      </c>
      <c r="AE586" s="0" t="s">
        <v>80</v>
      </c>
      <c r="AG586" s="0" t="s">
        <v>63</v>
      </c>
      <c r="AI586" s="0" t="s">
        <v>117</v>
      </c>
      <c r="AJ586" s="0" t="s">
        <v>50</v>
      </c>
      <c r="AK586" s="0" t="s">
        <v>82</v>
      </c>
      <c r="AL586" s="0" t="s">
        <v>50</v>
      </c>
      <c r="AM586" s="0" t="s">
        <v>83</v>
      </c>
      <c r="AN586" s="0" t="s">
        <v>50</v>
      </c>
    </row>
    <row r="587" customFormat="false" ht="15" hidden="false" customHeight="false" outlineLevel="0" collapsed="false">
      <c r="A587" s="0" t="s">
        <v>788</v>
      </c>
      <c r="B587" s="0" t="s">
        <v>1456</v>
      </c>
      <c r="C587" s="0" t="s">
        <v>66</v>
      </c>
      <c r="D587" s="0" t="n">
        <v>8090378849</v>
      </c>
      <c r="E587" s="0" t="s">
        <v>43</v>
      </c>
      <c r="F587" s="0" t="s">
        <v>1457</v>
      </c>
      <c r="G587" s="0" t="s">
        <v>87</v>
      </c>
      <c r="H587" s="0" t="s">
        <v>176</v>
      </c>
      <c r="I587" s="0" t="s">
        <v>142</v>
      </c>
      <c r="J587" s="0" t="s">
        <v>48</v>
      </c>
      <c r="K587" s="0" t="n">
        <v>63554</v>
      </c>
      <c r="L587" s="0" t="s">
        <v>72</v>
      </c>
      <c r="M587" s="0" t="s">
        <v>50</v>
      </c>
      <c r="N587" s="0" t="n">
        <v>3</v>
      </c>
      <c r="O587" s="0" t="n">
        <v>4.8</v>
      </c>
      <c r="P587" s="0" t="s">
        <v>92</v>
      </c>
      <c r="Q587" s="0" t="s">
        <v>52</v>
      </c>
      <c r="R587" s="0" t="s">
        <v>74</v>
      </c>
      <c r="S587" s="0" t="s">
        <v>147</v>
      </c>
      <c r="U587" s="0" t="s">
        <v>160</v>
      </c>
      <c r="V587" s="0" t="s">
        <v>148</v>
      </c>
      <c r="W587" s="0" t="s">
        <v>98</v>
      </c>
      <c r="X587" s="0" t="s">
        <v>58</v>
      </c>
      <c r="Y587" s="0" t="s">
        <v>59</v>
      </c>
      <c r="AA587" s="0" t="n">
        <v>30000</v>
      </c>
      <c r="AB587" s="0" t="n">
        <v>30000</v>
      </c>
      <c r="AD587" s="0" t="n">
        <v>5000</v>
      </c>
      <c r="AF587" s="1" t="n">
        <v>45898</v>
      </c>
      <c r="AG587" s="0" t="s">
        <v>63</v>
      </c>
      <c r="AH587" s="0" t="s">
        <v>171</v>
      </c>
      <c r="AI587" s="0" t="s">
        <v>101</v>
      </c>
      <c r="AM587" s="0" t="s">
        <v>118</v>
      </c>
      <c r="AN587" s="0" t="s">
        <v>50</v>
      </c>
    </row>
    <row r="588" customFormat="false" ht="15" hidden="false" customHeight="false" outlineLevel="0" collapsed="false">
      <c r="A588" s="1" t="n">
        <v>45667</v>
      </c>
      <c r="B588" s="0" t="s">
        <v>1458</v>
      </c>
      <c r="C588" s="0" t="s">
        <v>66</v>
      </c>
      <c r="D588" s="0" t="n">
        <v>8077051958</v>
      </c>
      <c r="E588" s="0" t="s">
        <v>122</v>
      </c>
      <c r="F588" s="0" t="s">
        <v>1459</v>
      </c>
      <c r="G588" s="0" t="s">
        <v>45</v>
      </c>
      <c r="H588" s="0" t="s">
        <v>176</v>
      </c>
      <c r="I588" s="0" t="s">
        <v>108</v>
      </c>
      <c r="K588" s="0" t="n">
        <v>69370</v>
      </c>
      <c r="L588" s="0" t="s">
        <v>72</v>
      </c>
      <c r="M588" s="0" t="s">
        <v>63</v>
      </c>
      <c r="N588" s="0" t="n">
        <v>3</v>
      </c>
      <c r="O588" s="0" t="n">
        <v>3.2</v>
      </c>
      <c r="Q588" s="0" t="s">
        <v>93</v>
      </c>
      <c r="R588" s="0" t="s">
        <v>136</v>
      </c>
      <c r="S588" s="0" t="s">
        <v>126</v>
      </c>
      <c r="T588" s="0" t="n">
        <v>45</v>
      </c>
      <c r="U588" s="0" t="s">
        <v>160</v>
      </c>
      <c r="V588" s="0" t="s">
        <v>56</v>
      </c>
      <c r="W588" s="0" t="s">
        <v>98</v>
      </c>
      <c r="X588" s="0" t="s">
        <v>114</v>
      </c>
      <c r="Y588" s="0" t="s">
        <v>59</v>
      </c>
      <c r="Z588" s="0" t="s">
        <v>129</v>
      </c>
      <c r="AA588" s="0" t="n">
        <v>15000</v>
      </c>
      <c r="AB588" s="0" t="s">
        <v>178</v>
      </c>
      <c r="AC588" s="0" t="s">
        <v>61</v>
      </c>
      <c r="AD588" s="0" t="n">
        <v>10000</v>
      </c>
      <c r="AE588" s="0" t="s">
        <v>130</v>
      </c>
      <c r="AF588" s="1" t="n">
        <v>45941</v>
      </c>
      <c r="AG588" s="0" t="s">
        <v>50</v>
      </c>
      <c r="AI588" s="0" t="s">
        <v>117</v>
      </c>
      <c r="AJ588" s="0" t="s">
        <v>63</v>
      </c>
      <c r="AK588" s="0" t="s">
        <v>61</v>
      </c>
      <c r="AM588" s="0" t="s">
        <v>83</v>
      </c>
    </row>
    <row r="589" customFormat="false" ht="15" hidden="false" customHeight="false" outlineLevel="0" collapsed="false">
      <c r="A589" s="0" t="s">
        <v>1460</v>
      </c>
      <c r="B589" s="0" t="s">
        <v>1461</v>
      </c>
      <c r="C589" s="0" t="s">
        <v>66</v>
      </c>
      <c r="D589" s="0" t="n">
        <v>8023665188</v>
      </c>
      <c r="E589" s="0" t="s">
        <v>67</v>
      </c>
      <c r="F589" s="0" t="s">
        <v>1462</v>
      </c>
      <c r="G589" s="0" t="s">
        <v>45</v>
      </c>
      <c r="H589" s="0" t="s">
        <v>70</v>
      </c>
      <c r="I589" s="0" t="s">
        <v>108</v>
      </c>
      <c r="J589" s="0" t="s">
        <v>90</v>
      </c>
      <c r="K589" s="0" t="n">
        <v>23325</v>
      </c>
      <c r="L589" s="0" t="s">
        <v>166</v>
      </c>
      <c r="M589" s="0" t="s">
        <v>63</v>
      </c>
      <c r="O589" s="0" t="n">
        <v>5.1</v>
      </c>
      <c r="Q589" s="0" t="s">
        <v>73</v>
      </c>
      <c r="R589" s="0" t="s">
        <v>53</v>
      </c>
      <c r="S589" s="0" t="s">
        <v>167</v>
      </c>
      <c r="U589" s="0" t="s">
        <v>96</v>
      </c>
      <c r="V589" s="0" t="s">
        <v>97</v>
      </c>
      <c r="W589" s="0" t="s">
        <v>98</v>
      </c>
      <c r="X589" s="0" t="s">
        <v>196</v>
      </c>
      <c r="Y589" s="0" t="s">
        <v>177</v>
      </c>
      <c r="Z589" s="0" t="s">
        <v>149</v>
      </c>
      <c r="AA589" s="0" t="n">
        <v>25000</v>
      </c>
      <c r="AB589" s="0" t="n">
        <v>30000</v>
      </c>
      <c r="AC589" s="0" t="s">
        <v>82</v>
      </c>
      <c r="AD589" s="0" t="n">
        <v>10000</v>
      </c>
      <c r="AE589" s="0" t="s">
        <v>130</v>
      </c>
      <c r="AG589" s="0" t="s">
        <v>50</v>
      </c>
      <c r="AH589" s="0" t="s">
        <v>116</v>
      </c>
      <c r="AJ589" s="0" t="s">
        <v>63</v>
      </c>
      <c r="AK589" s="0" t="s">
        <v>50</v>
      </c>
      <c r="AN589" s="0" t="s">
        <v>198</v>
      </c>
    </row>
    <row r="590" customFormat="false" ht="15" hidden="false" customHeight="false" outlineLevel="0" collapsed="false">
      <c r="A590" s="1" t="n">
        <v>45779</v>
      </c>
      <c r="B590" s="0" t="s">
        <v>1463</v>
      </c>
      <c r="C590" s="0" t="s">
        <v>121</v>
      </c>
      <c r="D590" s="0" t="n">
        <v>8081965066</v>
      </c>
      <c r="E590" s="0" t="s">
        <v>122</v>
      </c>
      <c r="F590" s="0" t="s">
        <v>1464</v>
      </c>
      <c r="G590" s="0" t="s">
        <v>87</v>
      </c>
      <c r="H590" s="0" t="s">
        <v>176</v>
      </c>
      <c r="I590" s="0" t="s">
        <v>154</v>
      </c>
      <c r="J590" s="0" t="s">
        <v>71</v>
      </c>
      <c r="K590" s="0" t="n">
        <v>42309</v>
      </c>
      <c r="L590" s="0" t="s">
        <v>124</v>
      </c>
      <c r="M590" s="0" t="s">
        <v>63</v>
      </c>
      <c r="O590" s="0" t="n">
        <v>1.5</v>
      </c>
      <c r="P590" s="0" t="s">
        <v>92</v>
      </c>
      <c r="Q590" s="0" t="s">
        <v>93</v>
      </c>
      <c r="R590" s="0" t="s">
        <v>53</v>
      </c>
      <c r="S590" s="0" t="s">
        <v>95</v>
      </c>
      <c r="T590" s="0" t="n">
        <v>30</v>
      </c>
      <c r="U590" s="0" t="s">
        <v>96</v>
      </c>
      <c r="V590" s="0" t="s">
        <v>97</v>
      </c>
      <c r="W590" s="0" t="s">
        <v>78</v>
      </c>
      <c r="X590" s="0" t="s">
        <v>137</v>
      </c>
      <c r="Y590" s="0" t="s">
        <v>59</v>
      </c>
      <c r="AA590" s="0" t="n">
        <v>25000</v>
      </c>
      <c r="AC590" s="0" t="s">
        <v>63</v>
      </c>
      <c r="AE590" s="0" t="s">
        <v>80</v>
      </c>
      <c r="AI590" s="0" t="s">
        <v>101</v>
      </c>
      <c r="AJ590" s="0" t="s">
        <v>50</v>
      </c>
      <c r="AK590" s="0" t="s">
        <v>50</v>
      </c>
      <c r="AL590" s="0" t="s">
        <v>63</v>
      </c>
      <c r="AM590" s="0" t="s">
        <v>83</v>
      </c>
      <c r="AN590" s="0" t="s">
        <v>198</v>
      </c>
    </row>
    <row r="591" customFormat="false" ht="15" hidden="false" customHeight="false" outlineLevel="0" collapsed="false">
      <c r="A591" s="1" t="n">
        <v>45671</v>
      </c>
      <c r="B591" s="0" t="s">
        <v>1465</v>
      </c>
      <c r="C591" s="0" t="s">
        <v>42</v>
      </c>
      <c r="D591" s="0" t="n">
        <v>8086397410</v>
      </c>
      <c r="E591" s="0" t="s">
        <v>122</v>
      </c>
      <c r="F591" s="0" t="s">
        <v>1466</v>
      </c>
      <c r="G591" s="0" t="s">
        <v>107</v>
      </c>
      <c r="H591" s="0" t="s">
        <v>170</v>
      </c>
      <c r="I591" s="0" t="s">
        <v>47</v>
      </c>
      <c r="J591" s="0" t="s">
        <v>48</v>
      </c>
      <c r="K591" s="0" t="n">
        <v>17062</v>
      </c>
      <c r="L591" s="0" t="s">
        <v>166</v>
      </c>
      <c r="M591" s="0" t="s">
        <v>63</v>
      </c>
      <c r="N591" s="0" t="n">
        <v>5</v>
      </c>
      <c r="O591" s="0" t="n">
        <v>4.6</v>
      </c>
      <c r="P591" s="0" t="s">
        <v>92</v>
      </c>
      <c r="Q591" s="0" t="s">
        <v>73</v>
      </c>
      <c r="R591" s="0" t="s">
        <v>136</v>
      </c>
      <c r="S591" s="0" t="s">
        <v>147</v>
      </c>
      <c r="T591" s="0" t="n">
        <v>60</v>
      </c>
      <c r="U591" s="0" t="s">
        <v>96</v>
      </c>
      <c r="V591" s="0" t="s">
        <v>97</v>
      </c>
      <c r="W591" s="0" t="s">
        <v>57</v>
      </c>
      <c r="X591" s="0" t="s">
        <v>99</v>
      </c>
      <c r="Z591" s="0" t="s">
        <v>149</v>
      </c>
      <c r="AB591" s="0" t="s">
        <v>178</v>
      </c>
      <c r="AC591" s="0" t="s">
        <v>82</v>
      </c>
      <c r="AD591" s="0" t="s">
        <v>115</v>
      </c>
      <c r="AE591" s="0" t="s">
        <v>130</v>
      </c>
      <c r="AF591" s="0" t="s">
        <v>1467</v>
      </c>
      <c r="AG591" s="0" t="s">
        <v>63</v>
      </c>
      <c r="AJ591" s="0" t="s">
        <v>50</v>
      </c>
      <c r="AK591" s="0" t="s">
        <v>82</v>
      </c>
      <c r="AL591" s="0" t="s">
        <v>63</v>
      </c>
      <c r="AM591" s="0" t="s">
        <v>83</v>
      </c>
      <c r="AN591" s="0" t="s">
        <v>50</v>
      </c>
    </row>
    <row r="592" customFormat="false" ht="15" hidden="false" customHeight="false" outlineLevel="0" collapsed="false">
      <c r="A592" s="1" t="n">
        <v>45906</v>
      </c>
      <c r="B592" s="0" t="s">
        <v>1468</v>
      </c>
      <c r="C592" s="0" t="s">
        <v>105</v>
      </c>
      <c r="D592" s="0" t="n">
        <v>8033012852</v>
      </c>
      <c r="E592" s="0" t="s">
        <v>122</v>
      </c>
      <c r="F592" s="0" t="s">
        <v>1469</v>
      </c>
      <c r="G592" s="0" t="s">
        <v>45</v>
      </c>
      <c r="H592" s="0" t="s">
        <v>272</v>
      </c>
      <c r="I592" s="0" t="s">
        <v>108</v>
      </c>
      <c r="J592" s="0" t="s">
        <v>90</v>
      </c>
      <c r="K592" s="0" t="n">
        <v>70548</v>
      </c>
      <c r="L592" s="0" t="s">
        <v>91</v>
      </c>
      <c r="M592" s="0" t="s">
        <v>50</v>
      </c>
      <c r="N592" s="0" t="n">
        <v>4</v>
      </c>
      <c r="O592" s="0" t="n">
        <v>4</v>
      </c>
      <c r="P592" s="0" t="s">
        <v>125</v>
      </c>
      <c r="Q592" s="0" t="s">
        <v>52</v>
      </c>
      <c r="R592" s="0" t="s">
        <v>136</v>
      </c>
      <c r="S592" s="0" t="s">
        <v>54</v>
      </c>
      <c r="T592" s="0" t="n">
        <v>15</v>
      </c>
      <c r="U592" s="0" t="s">
        <v>76</v>
      </c>
      <c r="V592" s="0" t="s">
        <v>155</v>
      </c>
      <c r="W592" s="0" t="s">
        <v>98</v>
      </c>
      <c r="X592" s="0" t="s">
        <v>58</v>
      </c>
      <c r="Y592" s="0" t="s">
        <v>156</v>
      </c>
      <c r="Z592" s="0" t="s">
        <v>143</v>
      </c>
      <c r="AA592" s="0" t="s">
        <v>150</v>
      </c>
      <c r="AB592" s="0" t="n">
        <v>40000</v>
      </c>
      <c r="AC592" s="0" t="s">
        <v>61</v>
      </c>
      <c r="AD592" s="0" t="s">
        <v>115</v>
      </c>
      <c r="AE592" s="0" t="s">
        <v>184</v>
      </c>
      <c r="AG592" s="0" t="s">
        <v>82</v>
      </c>
      <c r="AH592" s="0" t="s">
        <v>171</v>
      </c>
      <c r="AJ592" s="0" t="s">
        <v>50</v>
      </c>
      <c r="AK592" s="0" t="s">
        <v>61</v>
      </c>
      <c r="AN592" s="0" t="s">
        <v>63</v>
      </c>
    </row>
    <row r="593" customFormat="false" ht="15" hidden="false" customHeight="false" outlineLevel="0" collapsed="false">
      <c r="A593" s="1" t="n">
        <v>45690</v>
      </c>
      <c r="B593" s="0" t="s">
        <v>1470</v>
      </c>
      <c r="C593" s="0" t="s">
        <v>105</v>
      </c>
      <c r="D593" s="0" t="n">
        <v>8043814834</v>
      </c>
      <c r="E593" s="0" t="s">
        <v>43</v>
      </c>
      <c r="F593" s="0" t="s">
        <v>1471</v>
      </c>
      <c r="G593" s="0" t="s">
        <v>87</v>
      </c>
      <c r="H593" s="0" t="s">
        <v>46</v>
      </c>
      <c r="I593" s="0" t="s">
        <v>47</v>
      </c>
      <c r="K593" s="0" t="n">
        <v>103404</v>
      </c>
      <c r="L593" s="0" t="s">
        <v>49</v>
      </c>
      <c r="M593" s="0" t="s">
        <v>50</v>
      </c>
      <c r="N593" s="0" t="n">
        <v>2</v>
      </c>
      <c r="O593" s="0" t="n">
        <v>4.1</v>
      </c>
      <c r="P593" s="0" t="s">
        <v>125</v>
      </c>
      <c r="Q593" s="0" t="s">
        <v>52</v>
      </c>
      <c r="R593" s="0" t="s">
        <v>74</v>
      </c>
      <c r="S593" s="0" t="s">
        <v>75</v>
      </c>
      <c r="T593" s="0" t="n">
        <v>30</v>
      </c>
      <c r="U593" s="0" t="s">
        <v>55</v>
      </c>
      <c r="V593" s="0" t="s">
        <v>77</v>
      </c>
      <c r="W593" s="0" t="s">
        <v>113</v>
      </c>
      <c r="X593" s="0" t="s">
        <v>114</v>
      </c>
      <c r="Y593" s="0" t="s">
        <v>197</v>
      </c>
      <c r="Z593" s="0" t="s">
        <v>161</v>
      </c>
      <c r="AA593" s="0" t="s">
        <v>150</v>
      </c>
      <c r="AB593" s="0" t="s">
        <v>178</v>
      </c>
      <c r="AC593" s="0" t="s">
        <v>82</v>
      </c>
      <c r="AD593" s="0" t="n">
        <v>10000</v>
      </c>
      <c r="AE593" s="0" t="s">
        <v>184</v>
      </c>
      <c r="AF593" s="1" t="n">
        <v>45996</v>
      </c>
      <c r="AG593" s="0" t="s">
        <v>50</v>
      </c>
      <c r="AH593" s="0" t="s">
        <v>116</v>
      </c>
      <c r="AJ593" s="0" t="s">
        <v>63</v>
      </c>
      <c r="AM593" s="0" t="s">
        <v>118</v>
      </c>
      <c r="AN593" s="0" t="s">
        <v>190</v>
      </c>
    </row>
    <row r="594" customFormat="false" ht="15" hidden="false" customHeight="false" outlineLevel="0" collapsed="false">
      <c r="A594" s="1" t="n">
        <v>45677</v>
      </c>
      <c r="B594" s="0" t="s">
        <v>1472</v>
      </c>
      <c r="C594" s="0" t="s">
        <v>163</v>
      </c>
      <c r="D594" s="0" t="n">
        <v>8022716400</v>
      </c>
      <c r="E594" s="0" t="s">
        <v>67</v>
      </c>
      <c r="F594" s="0" t="s">
        <v>1473</v>
      </c>
      <c r="G594" s="0" t="s">
        <v>107</v>
      </c>
      <c r="I594" s="0" t="s">
        <v>108</v>
      </c>
      <c r="J594" s="0" t="s">
        <v>109</v>
      </c>
      <c r="K594" s="0" t="n">
        <v>40040</v>
      </c>
      <c r="L594" s="0" t="s">
        <v>91</v>
      </c>
      <c r="M594" s="0" t="s">
        <v>63</v>
      </c>
      <c r="N594" s="0" t="n">
        <v>4</v>
      </c>
      <c r="O594" s="0" t="n">
        <v>1.6</v>
      </c>
      <c r="P594" s="0" t="s">
        <v>125</v>
      </c>
      <c r="Q594" s="0" t="s">
        <v>73</v>
      </c>
      <c r="R594" s="0" t="s">
        <v>53</v>
      </c>
      <c r="S594" s="0" t="s">
        <v>54</v>
      </c>
      <c r="T594" s="0" t="n">
        <v>60</v>
      </c>
      <c r="U594" s="0" t="s">
        <v>76</v>
      </c>
      <c r="V594" s="0" t="s">
        <v>155</v>
      </c>
      <c r="W594" s="0" t="s">
        <v>98</v>
      </c>
      <c r="X594" s="0" t="s">
        <v>99</v>
      </c>
      <c r="Z594" s="0" t="s">
        <v>149</v>
      </c>
      <c r="AA594" s="0" t="s">
        <v>150</v>
      </c>
      <c r="AB594" s="0" t="n">
        <v>20000</v>
      </c>
      <c r="AD594" s="0" t="n">
        <v>10000</v>
      </c>
      <c r="AE594" s="0" t="s">
        <v>184</v>
      </c>
      <c r="AF594" s="1" t="n">
        <v>45986</v>
      </c>
      <c r="AG594" s="0" t="s">
        <v>50</v>
      </c>
      <c r="AH594" s="0" t="s">
        <v>171</v>
      </c>
      <c r="AK594" s="0" t="s">
        <v>82</v>
      </c>
      <c r="AL594" s="0" t="s">
        <v>102</v>
      </c>
      <c r="AN594" s="0" t="s">
        <v>63</v>
      </c>
    </row>
    <row r="595" customFormat="false" ht="15" hidden="false" customHeight="false" outlineLevel="0" collapsed="false">
      <c r="A595" s="0" t="s">
        <v>1474</v>
      </c>
      <c r="B595" s="0" t="s">
        <v>1475</v>
      </c>
      <c r="C595" s="0" t="s">
        <v>121</v>
      </c>
      <c r="D595" s="0" t="n">
        <v>8090512805</v>
      </c>
      <c r="E595" s="0" t="s">
        <v>43</v>
      </c>
      <c r="F595" s="0" t="s">
        <v>1476</v>
      </c>
      <c r="G595" s="0" t="s">
        <v>45</v>
      </c>
      <c r="H595" s="0" t="s">
        <v>165</v>
      </c>
      <c r="I595" s="0" t="s">
        <v>189</v>
      </c>
      <c r="J595" s="0" t="s">
        <v>71</v>
      </c>
      <c r="K595" s="0" t="n">
        <v>53534</v>
      </c>
      <c r="L595" s="0" t="s">
        <v>49</v>
      </c>
      <c r="M595" s="0" t="s">
        <v>63</v>
      </c>
      <c r="N595" s="0" t="n">
        <v>2</v>
      </c>
      <c r="O595" s="0" t="n">
        <v>5.8</v>
      </c>
      <c r="P595" s="0" t="s">
        <v>51</v>
      </c>
      <c r="Q595" s="0" t="s">
        <v>73</v>
      </c>
      <c r="R595" s="0" t="s">
        <v>53</v>
      </c>
      <c r="S595" s="0" t="s">
        <v>95</v>
      </c>
      <c r="T595" s="0" t="n">
        <v>15</v>
      </c>
      <c r="U595" s="0" t="s">
        <v>55</v>
      </c>
      <c r="V595" s="0" t="s">
        <v>148</v>
      </c>
      <c r="W595" s="0" t="s">
        <v>98</v>
      </c>
      <c r="X595" s="0" t="s">
        <v>58</v>
      </c>
      <c r="Y595" s="0" t="s">
        <v>197</v>
      </c>
      <c r="Z595" s="0" t="s">
        <v>143</v>
      </c>
      <c r="AA595" s="0" t="n">
        <v>30000</v>
      </c>
      <c r="AB595" s="0" t="n">
        <v>40000</v>
      </c>
      <c r="AC595" s="0" t="s">
        <v>50</v>
      </c>
      <c r="AD595" s="0" t="n">
        <v>5000</v>
      </c>
      <c r="AG595" s="0" t="s">
        <v>63</v>
      </c>
      <c r="AI595" s="0" t="s">
        <v>117</v>
      </c>
      <c r="AJ595" s="0" t="s">
        <v>62</v>
      </c>
      <c r="AK595" s="0" t="s">
        <v>82</v>
      </c>
      <c r="AL595" s="0" t="s">
        <v>50</v>
      </c>
      <c r="AN595" s="0" t="s">
        <v>190</v>
      </c>
    </row>
    <row r="596" customFormat="false" ht="15" hidden="false" customHeight="false" outlineLevel="0" collapsed="false">
      <c r="A596" s="1" t="n">
        <v>45661</v>
      </c>
      <c r="B596" s="0" t="s">
        <v>1477</v>
      </c>
      <c r="C596" s="0" t="s">
        <v>42</v>
      </c>
      <c r="D596" s="0" t="n">
        <v>8053534095</v>
      </c>
      <c r="E596" s="0" t="s">
        <v>139</v>
      </c>
      <c r="F596" s="0" t="s">
        <v>1478</v>
      </c>
      <c r="G596" s="0" t="s">
        <v>134</v>
      </c>
      <c r="H596" s="0" t="s">
        <v>153</v>
      </c>
      <c r="I596" s="0" t="s">
        <v>154</v>
      </c>
      <c r="K596" s="0" t="n">
        <v>20447</v>
      </c>
      <c r="L596" s="0" t="s">
        <v>49</v>
      </c>
      <c r="M596" s="0" t="s">
        <v>50</v>
      </c>
      <c r="N596" s="0" t="n">
        <v>4</v>
      </c>
      <c r="O596" s="0" t="n">
        <v>2</v>
      </c>
      <c r="P596" s="0" t="s">
        <v>92</v>
      </c>
      <c r="Q596" s="0" t="s">
        <v>93</v>
      </c>
      <c r="R596" s="0" t="s">
        <v>94</v>
      </c>
      <c r="S596" s="0" t="s">
        <v>167</v>
      </c>
      <c r="T596" s="0" t="n">
        <v>15</v>
      </c>
      <c r="U596" s="0" t="s">
        <v>112</v>
      </c>
      <c r="V596" s="0" t="s">
        <v>155</v>
      </c>
      <c r="W596" s="0" t="s">
        <v>98</v>
      </c>
      <c r="X596" s="0" t="s">
        <v>137</v>
      </c>
      <c r="Y596" s="0" t="s">
        <v>197</v>
      </c>
      <c r="Z596" s="0" t="s">
        <v>129</v>
      </c>
      <c r="AA596" s="0" t="n">
        <v>25000</v>
      </c>
      <c r="AB596" s="0" t="n">
        <v>30000</v>
      </c>
      <c r="AC596" s="0" t="s">
        <v>63</v>
      </c>
      <c r="AD596" s="0" t="s">
        <v>115</v>
      </c>
      <c r="AE596" s="0" t="s">
        <v>184</v>
      </c>
      <c r="AF596" s="1" t="n">
        <v>45971</v>
      </c>
      <c r="AG596" s="0" t="s">
        <v>50</v>
      </c>
      <c r="AH596" s="0" t="s">
        <v>171</v>
      </c>
      <c r="AI596" s="0" t="s">
        <v>172</v>
      </c>
      <c r="AJ596" s="0" t="s">
        <v>62</v>
      </c>
      <c r="AK596" s="0" t="s">
        <v>61</v>
      </c>
      <c r="AL596" s="0" t="s">
        <v>102</v>
      </c>
      <c r="AN596" s="0" t="s">
        <v>190</v>
      </c>
    </row>
    <row r="597" customFormat="false" ht="15" hidden="false" customHeight="false" outlineLevel="0" collapsed="false">
      <c r="A597" s="1" t="n">
        <v>45871</v>
      </c>
      <c r="B597" s="0" t="s">
        <v>1479</v>
      </c>
      <c r="C597" s="0" t="s">
        <v>66</v>
      </c>
      <c r="D597" s="0" t="n">
        <v>8094674464</v>
      </c>
      <c r="E597" s="0" t="s">
        <v>43</v>
      </c>
      <c r="F597" s="0" t="s">
        <v>1480</v>
      </c>
      <c r="G597" s="0" t="s">
        <v>45</v>
      </c>
      <c r="H597" s="0" t="s">
        <v>70</v>
      </c>
      <c r="I597" s="0" t="s">
        <v>108</v>
      </c>
      <c r="J597" s="0" t="s">
        <v>109</v>
      </c>
      <c r="K597" s="0" t="n">
        <v>16265</v>
      </c>
      <c r="L597" s="0" t="s">
        <v>72</v>
      </c>
      <c r="M597" s="0" t="s">
        <v>63</v>
      </c>
      <c r="O597" s="0" t="n">
        <v>5.1</v>
      </c>
      <c r="P597" s="0" t="s">
        <v>111</v>
      </c>
      <c r="Q597" s="0" t="s">
        <v>93</v>
      </c>
      <c r="R597" s="0" t="s">
        <v>136</v>
      </c>
      <c r="S597" s="0" t="s">
        <v>126</v>
      </c>
      <c r="T597" s="0" t="s">
        <v>127</v>
      </c>
      <c r="U597" s="0" t="s">
        <v>55</v>
      </c>
      <c r="V597" s="0" t="s">
        <v>56</v>
      </c>
      <c r="W597" s="0" t="s">
        <v>128</v>
      </c>
      <c r="X597" s="0" t="s">
        <v>114</v>
      </c>
      <c r="Y597" s="0" t="s">
        <v>156</v>
      </c>
      <c r="Z597" s="0" t="s">
        <v>79</v>
      </c>
      <c r="AA597" s="0" t="s">
        <v>150</v>
      </c>
      <c r="AB597" s="0" t="n">
        <v>30000</v>
      </c>
      <c r="AC597" s="0" t="s">
        <v>63</v>
      </c>
      <c r="AD597" s="0" t="n">
        <v>5000</v>
      </c>
      <c r="AG597" s="0" t="s">
        <v>50</v>
      </c>
      <c r="AH597" s="0" t="s">
        <v>116</v>
      </c>
      <c r="AJ597" s="0" t="s">
        <v>62</v>
      </c>
      <c r="AK597" s="0" t="s">
        <v>50</v>
      </c>
      <c r="AL597" s="0" t="s">
        <v>50</v>
      </c>
      <c r="AM597" s="0" t="s">
        <v>103</v>
      </c>
      <c r="AN597" s="0" t="s">
        <v>50</v>
      </c>
    </row>
    <row r="598" customFormat="false" ht="15" hidden="false" customHeight="false" outlineLevel="0" collapsed="false">
      <c r="A598" s="1" t="n">
        <v>45872</v>
      </c>
      <c r="B598" s="0" t="s">
        <v>1481</v>
      </c>
      <c r="C598" s="0" t="s">
        <v>66</v>
      </c>
      <c r="D598" s="0" t="n">
        <v>8062152370</v>
      </c>
      <c r="E598" s="0" t="s">
        <v>85</v>
      </c>
      <c r="F598" s="0" t="s">
        <v>1482</v>
      </c>
      <c r="G598" s="0" t="s">
        <v>45</v>
      </c>
      <c r="I598" s="0" t="s">
        <v>142</v>
      </c>
      <c r="J598" s="0" t="s">
        <v>71</v>
      </c>
      <c r="K598" s="0" t="n">
        <v>116561</v>
      </c>
      <c r="L598" s="0" t="s">
        <v>166</v>
      </c>
      <c r="M598" s="0" t="s">
        <v>50</v>
      </c>
      <c r="O598" s="0" t="n">
        <v>5.4</v>
      </c>
      <c r="Q598" s="0" t="s">
        <v>52</v>
      </c>
      <c r="R598" s="0" t="s">
        <v>136</v>
      </c>
      <c r="S598" s="0" t="s">
        <v>54</v>
      </c>
      <c r="U598" s="0" t="s">
        <v>112</v>
      </c>
      <c r="V598" s="0" t="s">
        <v>77</v>
      </c>
      <c r="W598" s="0" t="s">
        <v>78</v>
      </c>
      <c r="X598" s="0" t="s">
        <v>99</v>
      </c>
      <c r="Z598" s="0" t="s">
        <v>149</v>
      </c>
      <c r="AA598" s="0" t="n">
        <v>30000</v>
      </c>
      <c r="AB598" s="0" t="n">
        <v>20000</v>
      </c>
      <c r="AC598" s="0" t="s">
        <v>63</v>
      </c>
      <c r="AD598" s="0" t="n">
        <v>10000</v>
      </c>
      <c r="AE598" s="0" t="s">
        <v>184</v>
      </c>
      <c r="AG598" s="0" t="s">
        <v>61</v>
      </c>
      <c r="AK598" s="0" t="s">
        <v>63</v>
      </c>
      <c r="AL598" s="0" t="s">
        <v>63</v>
      </c>
      <c r="AN598" s="0" t="s">
        <v>198</v>
      </c>
    </row>
    <row r="599" customFormat="false" ht="15" hidden="false" customHeight="false" outlineLevel="0" collapsed="false">
      <c r="A599" s="0" t="s">
        <v>1483</v>
      </c>
      <c r="B599" s="0" t="s">
        <v>1484</v>
      </c>
      <c r="C599" s="0" t="s">
        <v>105</v>
      </c>
      <c r="D599" s="0" t="n">
        <v>8027841755</v>
      </c>
      <c r="E599" s="0" t="s">
        <v>122</v>
      </c>
      <c r="F599" s="0" t="s">
        <v>1485</v>
      </c>
      <c r="G599" s="0" t="s">
        <v>87</v>
      </c>
      <c r="H599" s="0" t="s">
        <v>242</v>
      </c>
      <c r="I599" s="0" t="s">
        <v>154</v>
      </c>
      <c r="K599" s="0" t="n">
        <v>47712</v>
      </c>
      <c r="L599" s="0" t="s">
        <v>49</v>
      </c>
      <c r="M599" s="0" t="s">
        <v>63</v>
      </c>
      <c r="N599" s="0" t="n">
        <v>2</v>
      </c>
      <c r="O599" s="0" t="n">
        <v>5.8</v>
      </c>
      <c r="P599" s="0" t="s">
        <v>111</v>
      </c>
      <c r="Q599" s="0" t="s">
        <v>73</v>
      </c>
      <c r="R599" s="0" t="s">
        <v>159</v>
      </c>
      <c r="S599" s="0" t="s">
        <v>75</v>
      </c>
      <c r="T599" s="0" t="n">
        <v>45</v>
      </c>
      <c r="U599" s="0" t="s">
        <v>160</v>
      </c>
      <c r="V599" s="0" t="s">
        <v>148</v>
      </c>
      <c r="W599" s="0" t="s">
        <v>113</v>
      </c>
      <c r="X599" s="0" t="s">
        <v>99</v>
      </c>
      <c r="AA599" s="0" t="n">
        <v>40000</v>
      </c>
      <c r="AC599" s="0" t="s">
        <v>50</v>
      </c>
      <c r="AF599" s="0" t="s">
        <v>1486</v>
      </c>
      <c r="AG599" s="0" t="s">
        <v>50</v>
      </c>
      <c r="AH599" s="0" t="s">
        <v>171</v>
      </c>
      <c r="AI599" s="0" t="s">
        <v>172</v>
      </c>
      <c r="AJ599" s="0" t="s">
        <v>63</v>
      </c>
      <c r="AM599" s="0" t="s">
        <v>64</v>
      </c>
    </row>
    <row r="600" customFormat="false" ht="15" hidden="false" customHeight="false" outlineLevel="0" collapsed="false">
      <c r="A600" s="1" t="n">
        <v>45679</v>
      </c>
      <c r="B600" s="0" t="s">
        <v>1487</v>
      </c>
      <c r="C600" s="0" t="s">
        <v>105</v>
      </c>
      <c r="D600" s="0" t="n">
        <v>8054566533</v>
      </c>
      <c r="E600" s="0" t="s">
        <v>139</v>
      </c>
      <c r="F600" s="0" t="s">
        <v>1488</v>
      </c>
      <c r="G600" s="0" t="s">
        <v>87</v>
      </c>
      <c r="H600" s="0" t="s">
        <v>165</v>
      </c>
      <c r="I600" s="0" t="s">
        <v>189</v>
      </c>
      <c r="J600" s="0" t="s">
        <v>109</v>
      </c>
      <c r="K600" s="0" t="n">
        <v>57332</v>
      </c>
      <c r="L600" s="0" t="s">
        <v>72</v>
      </c>
      <c r="M600" s="0" t="s">
        <v>50</v>
      </c>
      <c r="O600" s="0" t="n">
        <v>1.9</v>
      </c>
      <c r="P600" s="0" t="s">
        <v>51</v>
      </c>
      <c r="Q600" s="0" t="s">
        <v>52</v>
      </c>
      <c r="R600" s="0" t="s">
        <v>94</v>
      </c>
      <c r="S600" s="0" t="s">
        <v>75</v>
      </c>
      <c r="T600" s="0" t="n">
        <v>60</v>
      </c>
      <c r="U600" s="0" t="s">
        <v>96</v>
      </c>
      <c r="V600" s="0" t="s">
        <v>97</v>
      </c>
      <c r="W600" s="0" t="s">
        <v>78</v>
      </c>
      <c r="X600" s="0" t="s">
        <v>114</v>
      </c>
      <c r="Y600" s="0" t="s">
        <v>177</v>
      </c>
      <c r="Z600" s="0" t="s">
        <v>143</v>
      </c>
      <c r="AA600" s="0" t="n">
        <v>15000</v>
      </c>
      <c r="AB600" s="0" t="s">
        <v>178</v>
      </c>
      <c r="AC600" s="0" t="s">
        <v>82</v>
      </c>
      <c r="AE600" s="0" t="s">
        <v>80</v>
      </c>
      <c r="AF600" s="0" t="s">
        <v>771</v>
      </c>
      <c r="AG600" s="0" t="s">
        <v>63</v>
      </c>
      <c r="AJ600" s="0" t="s">
        <v>62</v>
      </c>
      <c r="AK600" s="0" t="s">
        <v>63</v>
      </c>
      <c r="AL600" s="0" t="s">
        <v>102</v>
      </c>
      <c r="AM600" s="0" t="s">
        <v>118</v>
      </c>
      <c r="AN600" s="0" t="s">
        <v>63</v>
      </c>
    </row>
    <row r="601" customFormat="false" ht="15" hidden="false" customHeight="false" outlineLevel="0" collapsed="false">
      <c r="A601" s="1" t="n">
        <v>45784</v>
      </c>
      <c r="B601" s="0" t="s">
        <v>1489</v>
      </c>
      <c r="C601" s="0" t="s">
        <v>121</v>
      </c>
      <c r="D601" s="0" t="n">
        <v>8033532534</v>
      </c>
      <c r="E601" s="0" t="s">
        <v>67</v>
      </c>
      <c r="F601" s="0" t="s">
        <v>1490</v>
      </c>
      <c r="G601" s="0" t="s">
        <v>69</v>
      </c>
      <c r="H601" s="0" t="s">
        <v>176</v>
      </c>
      <c r="I601" s="0" t="s">
        <v>189</v>
      </c>
      <c r="J601" s="0" t="s">
        <v>48</v>
      </c>
      <c r="K601" s="0" t="n">
        <v>79559</v>
      </c>
      <c r="L601" s="0" t="s">
        <v>124</v>
      </c>
      <c r="M601" s="0" t="s">
        <v>63</v>
      </c>
      <c r="N601" s="0" t="n">
        <v>4</v>
      </c>
      <c r="O601" s="0" t="n">
        <v>1.6</v>
      </c>
      <c r="Q601" s="0" t="s">
        <v>93</v>
      </c>
      <c r="R601" s="0" t="s">
        <v>136</v>
      </c>
      <c r="S601" s="0" t="s">
        <v>95</v>
      </c>
      <c r="T601" s="0" t="n">
        <v>15</v>
      </c>
      <c r="U601" s="0" t="s">
        <v>112</v>
      </c>
      <c r="V601" s="0" t="s">
        <v>97</v>
      </c>
      <c r="W601" s="0" t="s">
        <v>57</v>
      </c>
      <c r="X601" s="0" t="s">
        <v>58</v>
      </c>
      <c r="Y601" s="0" t="s">
        <v>156</v>
      </c>
      <c r="Z601" s="0" t="s">
        <v>79</v>
      </c>
      <c r="AA601" s="0" t="n">
        <v>40000</v>
      </c>
      <c r="AB601" s="0" t="s">
        <v>178</v>
      </c>
      <c r="AC601" s="0" t="s">
        <v>63</v>
      </c>
      <c r="AE601" s="0" t="s">
        <v>80</v>
      </c>
      <c r="AF601" s="0" t="s">
        <v>1491</v>
      </c>
      <c r="AG601" s="0" t="s">
        <v>82</v>
      </c>
      <c r="AH601" s="0" t="s">
        <v>116</v>
      </c>
      <c r="AJ601" s="0" t="s">
        <v>62</v>
      </c>
      <c r="AK601" s="0" t="s">
        <v>50</v>
      </c>
      <c r="AL601" s="0" t="s">
        <v>63</v>
      </c>
      <c r="AN601" s="0" t="s">
        <v>50</v>
      </c>
    </row>
    <row r="602" customFormat="false" ht="15" hidden="false" customHeight="false" outlineLevel="0" collapsed="false">
      <c r="A602" s="1" t="n">
        <v>45770</v>
      </c>
      <c r="B602" s="0" t="s">
        <v>1492</v>
      </c>
      <c r="C602" s="0" t="s">
        <v>42</v>
      </c>
      <c r="D602" s="0" t="n">
        <v>8095275696</v>
      </c>
      <c r="E602" s="0" t="s">
        <v>43</v>
      </c>
      <c r="F602" s="0" t="s">
        <v>1493</v>
      </c>
      <c r="G602" s="0" t="s">
        <v>107</v>
      </c>
      <c r="H602" s="0" t="s">
        <v>70</v>
      </c>
      <c r="I602" s="0" t="s">
        <v>142</v>
      </c>
      <c r="K602" s="0" t="n">
        <v>46116</v>
      </c>
      <c r="L602" s="0" t="s">
        <v>49</v>
      </c>
      <c r="M602" s="0" t="s">
        <v>50</v>
      </c>
      <c r="N602" s="0" t="n">
        <v>2</v>
      </c>
      <c r="O602" s="0" t="n">
        <v>1.7</v>
      </c>
      <c r="P602" s="0" t="s">
        <v>125</v>
      </c>
      <c r="Q602" s="0" t="s">
        <v>93</v>
      </c>
      <c r="R602" s="0" t="s">
        <v>74</v>
      </c>
      <c r="S602" s="0" t="s">
        <v>126</v>
      </c>
      <c r="T602" s="0" t="s">
        <v>127</v>
      </c>
      <c r="U602" s="0" t="s">
        <v>96</v>
      </c>
      <c r="V602" s="0" t="s">
        <v>148</v>
      </c>
      <c r="W602" s="0" t="s">
        <v>98</v>
      </c>
      <c r="X602" s="0" t="s">
        <v>99</v>
      </c>
      <c r="Z602" s="0" t="s">
        <v>129</v>
      </c>
      <c r="AA602" s="0" t="n">
        <v>25000</v>
      </c>
      <c r="AD602" s="0" t="n">
        <v>5000</v>
      </c>
      <c r="AE602" s="0" t="s">
        <v>184</v>
      </c>
      <c r="AF602" s="1" t="n">
        <v>45958</v>
      </c>
      <c r="AG602" s="0" t="s">
        <v>63</v>
      </c>
      <c r="AH602" s="0" t="s">
        <v>171</v>
      </c>
      <c r="AI602" s="0" t="s">
        <v>172</v>
      </c>
      <c r="AJ602" s="0" t="s">
        <v>62</v>
      </c>
      <c r="AK602" s="0" t="s">
        <v>82</v>
      </c>
      <c r="AL602" s="0" t="s">
        <v>102</v>
      </c>
      <c r="AM602" s="0" t="s">
        <v>83</v>
      </c>
    </row>
    <row r="603" customFormat="false" ht="15" hidden="false" customHeight="false" outlineLevel="0" collapsed="false">
      <c r="A603" s="1" t="n">
        <v>45671</v>
      </c>
      <c r="B603" s="0" t="s">
        <v>1494</v>
      </c>
      <c r="C603" s="0" t="s">
        <v>42</v>
      </c>
      <c r="D603" s="0" t="n">
        <v>8052676804</v>
      </c>
      <c r="E603" s="0" t="s">
        <v>139</v>
      </c>
      <c r="F603" s="0" t="s">
        <v>1495</v>
      </c>
      <c r="G603" s="0" t="s">
        <v>134</v>
      </c>
      <c r="H603" s="0" t="s">
        <v>165</v>
      </c>
      <c r="I603" s="0" t="s">
        <v>154</v>
      </c>
      <c r="J603" s="0" t="s">
        <v>90</v>
      </c>
      <c r="K603" s="0" t="n">
        <v>74491</v>
      </c>
      <c r="L603" s="0" t="s">
        <v>72</v>
      </c>
      <c r="M603" s="0" t="s">
        <v>63</v>
      </c>
      <c r="N603" s="0" t="n">
        <v>5</v>
      </c>
      <c r="O603" s="0" t="n">
        <v>2.3</v>
      </c>
      <c r="P603" s="0" t="s">
        <v>51</v>
      </c>
      <c r="Q603" s="0" t="s">
        <v>93</v>
      </c>
      <c r="S603" s="0" t="s">
        <v>95</v>
      </c>
      <c r="U603" s="0" t="s">
        <v>112</v>
      </c>
      <c r="V603" s="0" t="s">
        <v>148</v>
      </c>
      <c r="W603" s="0" t="s">
        <v>98</v>
      </c>
      <c r="X603" s="0" t="s">
        <v>137</v>
      </c>
      <c r="Y603" s="0" t="s">
        <v>156</v>
      </c>
      <c r="Z603" s="0" t="s">
        <v>149</v>
      </c>
      <c r="AA603" s="0" t="n">
        <v>25000</v>
      </c>
      <c r="AB603" s="0" t="n">
        <v>30000</v>
      </c>
      <c r="AC603" s="0" t="s">
        <v>63</v>
      </c>
      <c r="AD603" s="0" t="n">
        <v>5000</v>
      </c>
      <c r="AE603" s="0" t="s">
        <v>130</v>
      </c>
      <c r="AF603" s="1" t="n">
        <v>45997</v>
      </c>
      <c r="AI603" s="0" t="s">
        <v>172</v>
      </c>
      <c r="AJ603" s="0" t="s">
        <v>81</v>
      </c>
      <c r="AK603" s="0" t="s">
        <v>63</v>
      </c>
      <c r="AL603" s="0" t="s">
        <v>63</v>
      </c>
      <c r="AM603" s="0" t="s">
        <v>83</v>
      </c>
    </row>
    <row r="604" customFormat="false" ht="15" hidden="false" customHeight="false" outlineLevel="0" collapsed="false">
      <c r="A604" s="1" t="n">
        <v>45725</v>
      </c>
      <c r="B604" s="0" t="s">
        <v>1496</v>
      </c>
      <c r="C604" s="0" t="s">
        <v>163</v>
      </c>
      <c r="D604" s="0" t="n">
        <v>8099438746</v>
      </c>
      <c r="E604" s="0" t="s">
        <v>43</v>
      </c>
      <c r="F604" s="0" t="s">
        <v>1497</v>
      </c>
      <c r="G604" s="0" t="s">
        <v>87</v>
      </c>
      <c r="H604" s="0" t="s">
        <v>153</v>
      </c>
      <c r="I604" s="0" t="s">
        <v>47</v>
      </c>
      <c r="J604" s="0" t="s">
        <v>90</v>
      </c>
      <c r="K604" s="0" t="n">
        <v>49352</v>
      </c>
      <c r="L604" s="0" t="s">
        <v>49</v>
      </c>
      <c r="M604" s="0" t="s">
        <v>50</v>
      </c>
      <c r="O604" s="0" t="n">
        <v>1.8</v>
      </c>
      <c r="P604" s="0" t="s">
        <v>51</v>
      </c>
      <c r="Q604" s="0" t="s">
        <v>73</v>
      </c>
      <c r="R604" s="0" t="s">
        <v>159</v>
      </c>
      <c r="S604" s="0" t="s">
        <v>75</v>
      </c>
      <c r="T604" s="0" t="n">
        <v>15</v>
      </c>
      <c r="U604" s="0" t="s">
        <v>112</v>
      </c>
      <c r="V604" s="0" t="s">
        <v>155</v>
      </c>
      <c r="W604" s="0" t="s">
        <v>113</v>
      </c>
      <c r="X604" s="0" t="s">
        <v>99</v>
      </c>
      <c r="Y604" s="0" t="s">
        <v>197</v>
      </c>
      <c r="AA604" s="0" t="n">
        <v>15000</v>
      </c>
      <c r="AB604" s="0" t="n">
        <v>35000</v>
      </c>
      <c r="AC604" s="0" t="s">
        <v>82</v>
      </c>
      <c r="AD604" s="0" t="s">
        <v>115</v>
      </c>
      <c r="AE604" s="0" t="s">
        <v>80</v>
      </c>
      <c r="AF604" s="0" t="s">
        <v>556</v>
      </c>
      <c r="AI604" s="0" t="s">
        <v>117</v>
      </c>
      <c r="AJ604" s="0" t="s">
        <v>62</v>
      </c>
      <c r="AK604" s="0" t="s">
        <v>63</v>
      </c>
      <c r="AM604" s="0" t="s">
        <v>118</v>
      </c>
      <c r="AN604" s="0" t="s">
        <v>50</v>
      </c>
    </row>
    <row r="605" customFormat="false" ht="15" hidden="false" customHeight="false" outlineLevel="0" collapsed="false">
      <c r="A605" s="0" t="s">
        <v>918</v>
      </c>
      <c r="B605" s="0" t="s">
        <v>1498</v>
      </c>
      <c r="C605" s="0" t="s">
        <v>66</v>
      </c>
      <c r="D605" s="0" t="n">
        <v>8074710444</v>
      </c>
      <c r="E605" s="0" t="s">
        <v>43</v>
      </c>
      <c r="F605" s="0" t="s">
        <v>1499</v>
      </c>
      <c r="G605" s="0" t="s">
        <v>69</v>
      </c>
      <c r="H605" s="0" t="s">
        <v>165</v>
      </c>
      <c r="I605" s="0" t="s">
        <v>142</v>
      </c>
      <c r="K605" s="0" t="n">
        <v>36148</v>
      </c>
      <c r="L605" s="0" t="s">
        <v>49</v>
      </c>
      <c r="M605" s="0" t="s">
        <v>63</v>
      </c>
      <c r="N605" s="0" t="n">
        <v>3</v>
      </c>
      <c r="O605" s="0" t="n">
        <v>1.2</v>
      </c>
      <c r="P605" s="0" t="s">
        <v>92</v>
      </c>
      <c r="Q605" s="0" t="s">
        <v>93</v>
      </c>
      <c r="R605" s="0" t="s">
        <v>136</v>
      </c>
      <c r="S605" s="0" t="s">
        <v>126</v>
      </c>
      <c r="T605" s="0" t="n">
        <v>60</v>
      </c>
      <c r="U605" s="0" t="s">
        <v>160</v>
      </c>
      <c r="V605" s="0" t="s">
        <v>56</v>
      </c>
      <c r="W605" s="0" t="s">
        <v>113</v>
      </c>
      <c r="X605" s="0" t="s">
        <v>99</v>
      </c>
      <c r="Y605" s="0" t="s">
        <v>197</v>
      </c>
      <c r="AA605" s="0" t="n">
        <v>25000</v>
      </c>
      <c r="AB605" s="0" t="s">
        <v>178</v>
      </c>
      <c r="AC605" s="0" t="s">
        <v>63</v>
      </c>
      <c r="AD605" s="0" t="n">
        <v>5000</v>
      </c>
      <c r="AE605" s="0" t="s">
        <v>80</v>
      </c>
      <c r="AF605" s="1" t="n">
        <v>46019</v>
      </c>
      <c r="AG605" s="0" t="s">
        <v>50</v>
      </c>
      <c r="AI605" s="0" t="s">
        <v>172</v>
      </c>
      <c r="AJ605" s="0" t="s">
        <v>62</v>
      </c>
      <c r="AK605" s="0" t="s">
        <v>82</v>
      </c>
      <c r="AL605" s="0" t="s">
        <v>50</v>
      </c>
      <c r="AN605" s="0" t="s">
        <v>50</v>
      </c>
    </row>
    <row r="606" customFormat="false" ht="15" hidden="false" customHeight="false" outlineLevel="0" collapsed="false">
      <c r="A606" s="0" t="s">
        <v>652</v>
      </c>
      <c r="B606" s="0" t="s">
        <v>1500</v>
      </c>
      <c r="C606" s="0" t="s">
        <v>42</v>
      </c>
      <c r="D606" s="0" t="n">
        <v>8019061506</v>
      </c>
      <c r="E606" s="0" t="s">
        <v>43</v>
      </c>
      <c r="F606" s="0" t="s">
        <v>1501</v>
      </c>
      <c r="G606" s="0" t="s">
        <v>107</v>
      </c>
      <c r="I606" s="0" t="s">
        <v>89</v>
      </c>
      <c r="J606" s="0" t="s">
        <v>71</v>
      </c>
      <c r="K606" s="0" t="n">
        <v>114992</v>
      </c>
      <c r="L606" s="0" t="s">
        <v>72</v>
      </c>
      <c r="M606" s="0" t="s">
        <v>63</v>
      </c>
      <c r="O606" s="0" t="n">
        <v>2.3</v>
      </c>
      <c r="P606" s="0" t="s">
        <v>51</v>
      </c>
      <c r="Q606" s="0" t="s">
        <v>52</v>
      </c>
      <c r="S606" s="0" t="s">
        <v>54</v>
      </c>
      <c r="T606" s="0" t="n">
        <v>45</v>
      </c>
      <c r="U606" s="0" t="s">
        <v>55</v>
      </c>
      <c r="V606" s="0" t="s">
        <v>77</v>
      </c>
      <c r="W606" s="0" t="s">
        <v>113</v>
      </c>
      <c r="X606" s="0" t="s">
        <v>196</v>
      </c>
      <c r="Z606" s="0" t="s">
        <v>143</v>
      </c>
      <c r="AA606" s="0" t="n">
        <v>40000</v>
      </c>
      <c r="AB606" s="0" t="n">
        <v>20000</v>
      </c>
      <c r="AC606" s="0" t="s">
        <v>50</v>
      </c>
      <c r="AD606" s="0" t="n">
        <v>10000</v>
      </c>
      <c r="AE606" s="0" t="s">
        <v>60</v>
      </c>
      <c r="AF606" s="1" t="n">
        <v>45857</v>
      </c>
      <c r="AG606" s="0" t="s">
        <v>63</v>
      </c>
      <c r="AJ606" s="0" t="s">
        <v>50</v>
      </c>
      <c r="AK606" s="0" t="s">
        <v>63</v>
      </c>
      <c r="AM606" s="0" t="s">
        <v>83</v>
      </c>
    </row>
    <row r="607" customFormat="false" ht="15" hidden="false" customHeight="false" outlineLevel="0" collapsed="false">
      <c r="A607" s="1" t="n">
        <v>45757</v>
      </c>
      <c r="B607" s="0" t="s">
        <v>1502</v>
      </c>
      <c r="C607" s="0" t="s">
        <v>42</v>
      </c>
      <c r="D607" s="0" t="n">
        <v>8054977061</v>
      </c>
      <c r="E607" s="0" t="s">
        <v>122</v>
      </c>
      <c r="F607" s="0" t="s">
        <v>1503</v>
      </c>
      <c r="G607" s="0" t="s">
        <v>45</v>
      </c>
      <c r="H607" s="0" t="s">
        <v>272</v>
      </c>
      <c r="I607" s="0" t="s">
        <v>154</v>
      </c>
      <c r="K607" s="0" t="n">
        <v>62509</v>
      </c>
      <c r="L607" s="0" t="s">
        <v>110</v>
      </c>
      <c r="M607" s="0" t="s">
        <v>63</v>
      </c>
      <c r="N607" s="0" t="n">
        <v>2</v>
      </c>
      <c r="O607" s="0" t="n">
        <v>4.3</v>
      </c>
      <c r="P607" s="0" t="s">
        <v>92</v>
      </c>
      <c r="Q607" s="0" t="s">
        <v>52</v>
      </c>
      <c r="S607" s="0" t="s">
        <v>54</v>
      </c>
      <c r="T607" s="0" t="n">
        <v>30</v>
      </c>
      <c r="U607" s="0" t="s">
        <v>160</v>
      </c>
      <c r="V607" s="0" t="s">
        <v>77</v>
      </c>
      <c r="W607" s="0" t="s">
        <v>113</v>
      </c>
      <c r="X607" s="0" t="s">
        <v>58</v>
      </c>
      <c r="Z607" s="0" t="s">
        <v>143</v>
      </c>
      <c r="AB607" s="0" t="n">
        <v>40000</v>
      </c>
      <c r="AC607" s="0" t="s">
        <v>82</v>
      </c>
      <c r="AD607" s="0" t="n">
        <v>10000</v>
      </c>
      <c r="AE607" s="0" t="s">
        <v>60</v>
      </c>
      <c r="AG607" s="0" t="s">
        <v>50</v>
      </c>
      <c r="AJ607" s="0" t="s">
        <v>63</v>
      </c>
      <c r="AK607" s="0" t="s">
        <v>82</v>
      </c>
      <c r="AL607" s="0" t="s">
        <v>63</v>
      </c>
      <c r="AM607" s="0" t="s">
        <v>83</v>
      </c>
      <c r="AN607" s="0" t="s">
        <v>63</v>
      </c>
    </row>
    <row r="608" customFormat="false" ht="15" hidden="false" customHeight="false" outlineLevel="0" collapsed="false">
      <c r="A608" s="0" t="s">
        <v>1504</v>
      </c>
      <c r="B608" s="0" t="s">
        <v>1505</v>
      </c>
      <c r="C608" s="0" t="s">
        <v>121</v>
      </c>
      <c r="D608" s="0" t="n">
        <v>8012368781</v>
      </c>
      <c r="E608" s="0" t="s">
        <v>122</v>
      </c>
      <c r="F608" s="0" t="s">
        <v>1336</v>
      </c>
      <c r="G608" s="0" t="s">
        <v>107</v>
      </c>
      <c r="H608" s="0" t="s">
        <v>70</v>
      </c>
      <c r="I608" s="0" t="s">
        <v>108</v>
      </c>
      <c r="K608" s="0" t="n">
        <v>32935</v>
      </c>
      <c r="L608" s="0" t="s">
        <v>49</v>
      </c>
      <c r="M608" s="0" t="s">
        <v>50</v>
      </c>
      <c r="N608" s="0" t="n">
        <v>1</v>
      </c>
      <c r="O608" s="0" t="n">
        <v>1.9</v>
      </c>
      <c r="P608" s="0" t="s">
        <v>51</v>
      </c>
      <c r="Q608" s="0" t="s">
        <v>93</v>
      </c>
      <c r="R608" s="0" t="s">
        <v>136</v>
      </c>
      <c r="S608" s="0" t="s">
        <v>75</v>
      </c>
      <c r="T608" s="0" t="n">
        <v>30</v>
      </c>
      <c r="U608" s="0" t="s">
        <v>112</v>
      </c>
      <c r="V608" s="0" t="s">
        <v>97</v>
      </c>
      <c r="W608" s="0" t="s">
        <v>113</v>
      </c>
      <c r="X608" s="0" t="s">
        <v>137</v>
      </c>
      <c r="Y608" s="0" t="s">
        <v>177</v>
      </c>
      <c r="AA608" s="0" t="n">
        <v>30000</v>
      </c>
      <c r="AB608" s="0" t="n">
        <v>20000</v>
      </c>
      <c r="AD608" s="0" t="n">
        <v>10000</v>
      </c>
      <c r="AF608" s="1" t="n">
        <v>45920</v>
      </c>
      <c r="AG608" s="0" t="s">
        <v>61</v>
      </c>
      <c r="AH608" s="0" t="s">
        <v>116</v>
      </c>
      <c r="AI608" s="0" t="s">
        <v>117</v>
      </c>
      <c r="AJ608" s="0" t="s">
        <v>63</v>
      </c>
      <c r="AK608" s="0" t="s">
        <v>63</v>
      </c>
      <c r="AL608" s="0" t="s">
        <v>63</v>
      </c>
      <c r="AM608" s="0" t="s">
        <v>103</v>
      </c>
      <c r="AN608" s="0" t="s">
        <v>190</v>
      </c>
    </row>
    <row r="609" customFormat="false" ht="15" hidden="false" customHeight="false" outlineLevel="0" collapsed="false">
      <c r="A609" s="1" t="n">
        <v>45738</v>
      </c>
      <c r="B609" s="0" t="s">
        <v>1506</v>
      </c>
      <c r="C609" s="0" t="s">
        <v>121</v>
      </c>
      <c r="D609" s="0" t="n">
        <v>8091675959</v>
      </c>
      <c r="E609" s="0" t="s">
        <v>122</v>
      </c>
      <c r="F609" s="0" t="s">
        <v>1507</v>
      </c>
      <c r="G609" s="0" t="s">
        <v>69</v>
      </c>
      <c r="H609" s="0" t="s">
        <v>176</v>
      </c>
      <c r="I609" s="0" t="s">
        <v>189</v>
      </c>
      <c r="K609" s="0" t="n">
        <v>24969</v>
      </c>
      <c r="L609" s="0" t="s">
        <v>110</v>
      </c>
      <c r="M609" s="0" t="s">
        <v>63</v>
      </c>
      <c r="N609" s="0" t="n">
        <v>4</v>
      </c>
      <c r="O609" s="0" t="n">
        <v>5.3</v>
      </c>
      <c r="P609" s="0" t="s">
        <v>92</v>
      </c>
      <c r="Q609" s="0" t="s">
        <v>52</v>
      </c>
      <c r="R609" s="0" t="s">
        <v>53</v>
      </c>
      <c r="S609" s="0" t="s">
        <v>54</v>
      </c>
      <c r="T609" s="0" t="s">
        <v>127</v>
      </c>
      <c r="U609" s="0" t="s">
        <v>76</v>
      </c>
      <c r="V609" s="0" t="s">
        <v>56</v>
      </c>
      <c r="W609" s="0" t="s">
        <v>57</v>
      </c>
      <c r="X609" s="0" t="s">
        <v>196</v>
      </c>
      <c r="Y609" s="0" t="s">
        <v>197</v>
      </c>
      <c r="Z609" s="0" t="s">
        <v>129</v>
      </c>
      <c r="AA609" s="0" t="n">
        <v>25000</v>
      </c>
      <c r="AB609" s="0" t="s">
        <v>178</v>
      </c>
      <c r="AC609" s="0" t="s">
        <v>63</v>
      </c>
      <c r="AD609" s="0" t="n">
        <v>5000</v>
      </c>
      <c r="AE609" s="0" t="s">
        <v>184</v>
      </c>
      <c r="AF609" s="1" t="n">
        <v>45953</v>
      </c>
      <c r="AG609" s="0" t="s">
        <v>63</v>
      </c>
      <c r="AJ609" s="0" t="s">
        <v>63</v>
      </c>
      <c r="AK609" s="0" t="s">
        <v>61</v>
      </c>
      <c r="AL609" s="0" t="s">
        <v>63</v>
      </c>
      <c r="AM609" s="0" t="s">
        <v>83</v>
      </c>
      <c r="AN609" s="0" t="s">
        <v>50</v>
      </c>
    </row>
    <row r="610" customFormat="false" ht="15" hidden="false" customHeight="false" outlineLevel="0" collapsed="false">
      <c r="A610" s="1" t="n">
        <v>45794</v>
      </c>
      <c r="B610" s="0" t="s">
        <v>1508</v>
      </c>
      <c r="C610" s="0" t="s">
        <v>163</v>
      </c>
      <c r="D610" s="0" t="n">
        <v>8088522325</v>
      </c>
      <c r="E610" s="0" t="s">
        <v>85</v>
      </c>
      <c r="F610" s="0" t="s">
        <v>1509</v>
      </c>
      <c r="G610" s="0" t="s">
        <v>69</v>
      </c>
      <c r="H610" s="0" t="s">
        <v>46</v>
      </c>
      <c r="I610" s="0" t="s">
        <v>142</v>
      </c>
      <c r="J610" s="0" t="s">
        <v>48</v>
      </c>
      <c r="K610" s="0" t="n">
        <v>102283</v>
      </c>
      <c r="L610" s="0" t="s">
        <v>166</v>
      </c>
      <c r="M610" s="0" t="s">
        <v>50</v>
      </c>
      <c r="N610" s="0" t="n">
        <v>4</v>
      </c>
      <c r="O610" s="0" t="n">
        <v>5.5</v>
      </c>
      <c r="P610" s="0" t="s">
        <v>51</v>
      </c>
      <c r="Q610" s="0" t="s">
        <v>93</v>
      </c>
      <c r="R610" s="0" t="s">
        <v>74</v>
      </c>
      <c r="S610" s="0" t="s">
        <v>75</v>
      </c>
      <c r="T610" s="0" t="n">
        <v>30</v>
      </c>
      <c r="U610" s="0" t="s">
        <v>112</v>
      </c>
      <c r="V610" s="0" t="s">
        <v>56</v>
      </c>
      <c r="W610" s="0" t="s">
        <v>78</v>
      </c>
      <c r="X610" s="0" t="s">
        <v>114</v>
      </c>
      <c r="Y610" s="0" t="s">
        <v>177</v>
      </c>
      <c r="Z610" s="0" t="s">
        <v>79</v>
      </c>
      <c r="AA610" s="0" t="n">
        <v>25000</v>
      </c>
      <c r="AB610" s="0" t="n">
        <v>30000</v>
      </c>
      <c r="AD610" s="0" t="n">
        <v>5000</v>
      </c>
      <c r="AE610" s="0" t="s">
        <v>80</v>
      </c>
      <c r="AG610" s="0" t="s">
        <v>50</v>
      </c>
      <c r="AI610" s="0" t="s">
        <v>172</v>
      </c>
      <c r="AJ610" s="0" t="s">
        <v>63</v>
      </c>
      <c r="AK610" s="0" t="s">
        <v>82</v>
      </c>
      <c r="AN610" s="0" t="s">
        <v>63</v>
      </c>
    </row>
    <row r="611" customFormat="false" ht="15" hidden="false" customHeight="false" outlineLevel="0" collapsed="false">
      <c r="A611" s="1" t="n">
        <v>45814</v>
      </c>
      <c r="B611" s="0" t="s">
        <v>1510</v>
      </c>
      <c r="C611" s="0" t="s">
        <v>66</v>
      </c>
      <c r="D611" s="0" t="n">
        <v>8070251890</v>
      </c>
      <c r="E611" s="0" t="s">
        <v>67</v>
      </c>
      <c r="F611" s="0" t="s">
        <v>1511</v>
      </c>
      <c r="G611" s="0" t="s">
        <v>45</v>
      </c>
      <c r="H611" s="0" t="s">
        <v>135</v>
      </c>
      <c r="I611" s="0" t="s">
        <v>142</v>
      </c>
      <c r="J611" s="0" t="s">
        <v>109</v>
      </c>
      <c r="K611" s="0" t="n">
        <v>35762</v>
      </c>
      <c r="L611" s="0" t="s">
        <v>166</v>
      </c>
      <c r="M611" s="0" t="s">
        <v>50</v>
      </c>
      <c r="N611" s="0" t="n">
        <v>1</v>
      </c>
      <c r="O611" s="0" t="n">
        <v>4.1</v>
      </c>
      <c r="P611" s="0" t="s">
        <v>51</v>
      </c>
      <c r="Q611" s="0" t="s">
        <v>93</v>
      </c>
      <c r="S611" s="0" t="s">
        <v>95</v>
      </c>
      <c r="T611" s="0" t="n">
        <v>15</v>
      </c>
      <c r="U611" s="0" t="s">
        <v>76</v>
      </c>
      <c r="V611" s="0" t="s">
        <v>155</v>
      </c>
      <c r="W611" s="0" t="s">
        <v>98</v>
      </c>
      <c r="X611" s="0" t="s">
        <v>196</v>
      </c>
      <c r="Y611" s="0" t="s">
        <v>156</v>
      </c>
      <c r="Z611" s="0" t="s">
        <v>129</v>
      </c>
      <c r="AB611" s="0" t="n">
        <v>40000</v>
      </c>
      <c r="AD611" s="0" t="n">
        <v>10000</v>
      </c>
      <c r="AE611" s="0" t="s">
        <v>80</v>
      </c>
      <c r="AF611" s="1" t="n">
        <v>45843</v>
      </c>
      <c r="AG611" s="0" t="s">
        <v>50</v>
      </c>
      <c r="AI611" s="0" t="s">
        <v>117</v>
      </c>
      <c r="AJ611" s="0" t="s">
        <v>81</v>
      </c>
      <c r="AL611" s="0" t="s">
        <v>102</v>
      </c>
      <c r="AM611" s="0" t="s">
        <v>83</v>
      </c>
      <c r="AN611" s="0" t="s">
        <v>50</v>
      </c>
    </row>
    <row r="612" customFormat="false" ht="15" hidden="false" customHeight="false" outlineLevel="0" collapsed="false">
      <c r="A612" s="0" t="s">
        <v>1050</v>
      </c>
      <c r="B612" s="0" t="s">
        <v>1512</v>
      </c>
      <c r="C612" s="0" t="s">
        <v>163</v>
      </c>
      <c r="D612" s="0" t="n">
        <v>8061321020</v>
      </c>
      <c r="E612" s="0" t="s">
        <v>43</v>
      </c>
      <c r="F612" s="0" t="s">
        <v>1513</v>
      </c>
      <c r="G612" s="0" t="s">
        <v>69</v>
      </c>
      <c r="H612" s="0" t="s">
        <v>141</v>
      </c>
      <c r="I612" s="0" t="s">
        <v>154</v>
      </c>
      <c r="J612" s="0" t="s">
        <v>90</v>
      </c>
      <c r="K612" s="0" t="n">
        <v>13249</v>
      </c>
      <c r="L612" s="0" t="s">
        <v>72</v>
      </c>
      <c r="M612" s="0" t="s">
        <v>50</v>
      </c>
      <c r="N612" s="0" t="n">
        <v>3</v>
      </c>
      <c r="O612" s="0" t="n">
        <v>4.6</v>
      </c>
      <c r="P612" s="0" t="s">
        <v>111</v>
      </c>
      <c r="Q612" s="0" t="s">
        <v>93</v>
      </c>
      <c r="R612" s="0" t="s">
        <v>136</v>
      </c>
      <c r="S612" s="0" t="s">
        <v>147</v>
      </c>
      <c r="T612" s="0" t="n">
        <v>45</v>
      </c>
      <c r="U612" s="0" t="s">
        <v>96</v>
      </c>
      <c r="V612" s="0" t="s">
        <v>155</v>
      </c>
      <c r="W612" s="0" t="s">
        <v>98</v>
      </c>
      <c r="X612" s="0" t="s">
        <v>196</v>
      </c>
      <c r="Z612" s="0" t="s">
        <v>149</v>
      </c>
      <c r="AA612" s="0" t="n">
        <v>25000</v>
      </c>
      <c r="AC612" s="0" t="s">
        <v>82</v>
      </c>
      <c r="AD612" s="0" t="n">
        <v>5000</v>
      </c>
      <c r="AE612" s="0" t="s">
        <v>130</v>
      </c>
      <c r="AF612" s="0" t="s">
        <v>752</v>
      </c>
      <c r="AG612" s="0" t="s">
        <v>63</v>
      </c>
      <c r="AH612" s="0" t="s">
        <v>116</v>
      </c>
      <c r="AJ612" s="0" t="s">
        <v>63</v>
      </c>
      <c r="AK612" s="0" t="s">
        <v>50</v>
      </c>
    </row>
    <row r="613" customFormat="false" ht="15" hidden="false" customHeight="false" outlineLevel="0" collapsed="false">
      <c r="A613" s="1" t="n">
        <v>45841</v>
      </c>
      <c r="B613" s="0" t="s">
        <v>1514</v>
      </c>
      <c r="C613" s="0" t="s">
        <v>121</v>
      </c>
      <c r="D613" s="0" t="n">
        <v>8078588767</v>
      </c>
      <c r="E613" s="0" t="s">
        <v>43</v>
      </c>
      <c r="F613" s="0" t="s">
        <v>1515</v>
      </c>
      <c r="G613" s="0" t="s">
        <v>107</v>
      </c>
      <c r="H613" s="0" t="s">
        <v>135</v>
      </c>
      <c r="I613" s="0" t="s">
        <v>154</v>
      </c>
      <c r="K613" s="0" t="n">
        <v>12284</v>
      </c>
      <c r="L613" s="0" t="s">
        <v>124</v>
      </c>
      <c r="M613" s="0" t="s">
        <v>63</v>
      </c>
      <c r="O613" s="0" t="n">
        <v>2.8</v>
      </c>
      <c r="P613" s="0" t="s">
        <v>51</v>
      </c>
      <c r="Q613" s="0" t="s">
        <v>52</v>
      </c>
      <c r="S613" s="0" t="s">
        <v>147</v>
      </c>
      <c r="T613" s="0" t="n">
        <v>45</v>
      </c>
      <c r="U613" s="0" t="s">
        <v>160</v>
      </c>
      <c r="V613" s="0" t="s">
        <v>155</v>
      </c>
      <c r="W613" s="0" t="s">
        <v>113</v>
      </c>
      <c r="X613" s="0" t="s">
        <v>99</v>
      </c>
      <c r="Z613" s="0" t="s">
        <v>79</v>
      </c>
      <c r="AA613" s="0" t="n">
        <v>30000</v>
      </c>
      <c r="AB613" s="0" t="n">
        <v>30000</v>
      </c>
      <c r="AC613" s="0" t="s">
        <v>82</v>
      </c>
      <c r="AD613" s="0" t="n">
        <v>10000</v>
      </c>
      <c r="AE613" s="0" t="s">
        <v>60</v>
      </c>
      <c r="AF613" s="0" t="s">
        <v>718</v>
      </c>
      <c r="AH613" s="0" t="s">
        <v>116</v>
      </c>
      <c r="AK613" s="0" t="s">
        <v>63</v>
      </c>
      <c r="AM613" s="0" t="s">
        <v>64</v>
      </c>
      <c r="AN613" s="0" t="s">
        <v>190</v>
      </c>
    </row>
    <row r="614" customFormat="false" ht="15" hidden="false" customHeight="false" outlineLevel="0" collapsed="false">
      <c r="A614" s="1" t="n">
        <v>45776</v>
      </c>
      <c r="B614" s="0" t="s">
        <v>1516</v>
      </c>
      <c r="C614" s="0" t="s">
        <v>66</v>
      </c>
      <c r="D614" s="0" t="n">
        <v>8095978796</v>
      </c>
      <c r="E614" s="0" t="s">
        <v>43</v>
      </c>
      <c r="F614" s="0" t="s">
        <v>1517</v>
      </c>
      <c r="G614" s="0" t="s">
        <v>87</v>
      </c>
      <c r="H614" s="0" t="s">
        <v>46</v>
      </c>
      <c r="I614" s="0" t="s">
        <v>142</v>
      </c>
      <c r="K614" s="0" t="n">
        <v>84072</v>
      </c>
      <c r="L614" s="0" t="s">
        <v>110</v>
      </c>
      <c r="M614" s="0" t="s">
        <v>63</v>
      </c>
      <c r="N614" s="0" t="n">
        <v>3</v>
      </c>
      <c r="O614" s="0" t="n">
        <v>3.3</v>
      </c>
      <c r="P614" s="0" t="s">
        <v>51</v>
      </c>
      <c r="Q614" s="0" t="s">
        <v>73</v>
      </c>
      <c r="R614" s="0" t="s">
        <v>159</v>
      </c>
      <c r="S614" s="0" t="s">
        <v>126</v>
      </c>
      <c r="T614" s="0" t="n">
        <v>15</v>
      </c>
      <c r="U614" s="0" t="s">
        <v>112</v>
      </c>
      <c r="V614" s="0" t="s">
        <v>77</v>
      </c>
      <c r="W614" s="0" t="s">
        <v>98</v>
      </c>
      <c r="X614" s="0" t="s">
        <v>114</v>
      </c>
      <c r="Y614" s="0" t="s">
        <v>177</v>
      </c>
      <c r="AA614" s="0" t="n">
        <v>40000</v>
      </c>
      <c r="AB614" s="0" t="n">
        <v>30000</v>
      </c>
      <c r="AD614" s="0" t="n">
        <v>0</v>
      </c>
      <c r="AE614" s="0" t="s">
        <v>184</v>
      </c>
      <c r="AH614" s="0" t="s">
        <v>116</v>
      </c>
      <c r="AJ614" s="0" t="s">
        <v>50</v>
      </c>
      <c r="AK614" s="0" t="s">
        <v>61</v>
      </c>
      <c r="AM614" s="0" t="s">
        <v>64</v>
      </c>
      <c r="AN614" s="0" t="s">
        <v>50</v>
      </c>
    </row>
    <row r="615" customFormat="false" ht="15" hidden="false" customHeight="false" outlineLevel="0" collapsed="false">
      <c r="A615" s="0" t="s">
        <v>1518</v>
      </c>
      <c r="B615" s="0" t="s">
        <v>1519</v>
      </c>
      <c r="C615" s="0" t="s">
        <v>121</v>
      </c>
      <c r="D615" s="0" t="n">
        <v>8041195619</v>
      </c>
      <c r="E615" s="0" t="s">
        <v>85</v>
      </c>
      <c r="F615" s="0" t="s">
        <v>1520</v>
      </c>
      <c r="G615" s="0" t="s">
        <v>107</v>
      </c>
      <c r="H615" s="0" t="s">
        <v>242</v>
      </c>
      <c r="I615" s="0" t="s">
        <v>154</v>
      </c>
      <c r="K615" s="0" t="n">
        <v>67028</v>
      </c>
      <c r="L615" s="0" t="s">
        <v>124</v>
      </c>
      <c r="M615" s="0" t="s">
        <v>50</v>
      </c>
      <c r="N615" s="0" t="n">
        <v>5</v>
      </c>
      <c r="O615" s="0" t="n">
        <v>1</v>
      </c>
      <c r="P615" s="0" t="s">
        <v>51</v>
      </c>
      <c r="Q615" s="0" t="s">
        <v>93</v>
      </c>
      <c r="R615" s="0" t="s">
        <v>94</v>
      </c>
      <c r="S615" s="0" t="s">
        <v>167</v>
      </c>
      <c r="T615" s="0" t="n">
        <v>15</v>
      </c>
      <c r="U615" s="0" t="s">
        <v>96</v>
      </c>
      <c r="V615" s="0" t="s">
        <v>56</v>
      </c>
      <c r="W615" s="0" t="s">
        <v>78</v>
      </c>
      <c r="X615" s="0" t="s">
        <v>58</v>
      </c>
      <c r="Z615" s="0" t="s">
        <v>143</v>
      </c>
      <c r="AA615" s="0" t="n">
        <v>40000</v>
      </c>
      <c r="AB615" s="0" t="n">
        <v>35000</v>
      </c>
      <c r="AC615" s="0" t="s">
        <v>50</v>
      </c>
      <c r="AD615" s="0" t="n">
        <v>0</v>
      </c>
      <c r="AE615" s="0" t="s">
        <v>184</v>
      </c>
      <c r="AF615" s="0" t="s">
        <v>700</v>
      </c>
      <c r="AG615" s="0" t="s">
        <v>61</v>
      </c>
      <c r="AI615" s="0" t="s">
        <v>172</v>
      </c>
      <c r="AK615" s="0" t="s">
        <v>61</v>
      </c>
      <c r="AM615" s="0" t="s">
        <v>103</v>
      </c>
      <c r="AN615" s="0" t="s">
        <v>50</v>
      </c>
    </row>
    <row r="616" customFormat="false" ht="15" hidden="false" customHeight="false" outlineLevel="0" collapsed="false">
      <c r="A616" s="1" t="n">
        <v>45798</v>
      </c>
      <c r="B616" s="0" t="s">
        <v>1521</v>
      </c>
      <c r="C616" s="0" t="s">
        <v>121</v>
      </c>
      <c r="D616" s="0" t="n">
        <v>8077567894</v>
      </c>
      <c r="E616" s="0" t="s">
        <v>85</v>
      </c>
      <c r="F616" s="0" t="s">
        <v>1522</v>
      </c>
      <c r="G616" s="0" t="s">
        <v>87</v>
      </c>
      <c r="H616" s="0" t="s">
        <v>46</v>
      </c>
      <c r="I616" s="0" t="s">
        <v>189</v>
      </c>
      <c r="J616" s="0" t="s">
        <v>48</v>
      </c>
      <c r="K616" s="0" t="n">
        <v>33819</v>
      </c>
      <c r="L616" s="0" t="s">
        <v>49</v>
      </c>
      <c r="M616" s="0" t="s">
        <v>50</v>
      </c>
      <c r="N616" s="0" t="n">
        <v>5</v>
      </c>
      <c r="O616" s="0" t="n">
        <v>4.8</v>
      </c>
      <c r="P616" s="0" t="s">
        <v>92</v>
      </c>
      <c r="Q616" s="0" t="s">
        <v>93</v>
      </c>
      <c r="R616" s="0" t="s">
        <v>74</v>
      </c>
      <c r="S616" s="0" t="s">
        <v>126</v>
      </c>
      <c r="T616" s="0" t="s">
        <v>127</v>
      </c>
      <c r="U616" s="0" t="s">
        <v>112</v>
      </c>
      <c r="V616" s="0" t="s">
        <v>77</v>
      </c>
      <c r="W616" s="0" t="s">
        <v>113</v>
      </c>
      <c r="X616" s="0" t="s">
        <v>99</v>
      </c>
      <c r="Y616" s="0" t="s">
        <v>177</v>
      </c>
      <c r="Z616" s="0" t="s">
        <v>129</v>
      </c>
      <c r="AA616" s="0" t="n">
        <v>40000</v>
      </c>
      <c r="AB616" s="0" t="n">
        <v>40000</v>
      </c>
      <c r="AC616" s="0" t="s">
        <v>50</v>
      </c>
      <c r="AD616" s="0" t="s">
        <v>115</v>
      </c>
      <c r="AF616" s="0" t="s">
        <v>1523</v>
      </c>
      <c r="AG616" s="0" t="s">
        <v>61</v>
      </c>
      <c r="AI616" s="0" t="s">
        <v>117</v>
      </c>
      <c r="AJ616" s="0" t="s">
        <v>81</v>
      </c>
      <c r="AK616" s="0" t="s">
        <v>63</v>
      </c>
      <c r="AM616" s="0" t="s">
        <v>64</v>
      </c>
      <c r="AN616" s="0" t="s">
        <v>190</v>
      </c>
    </row>
    <row r="617" customFormat="false" ht="15" hidden="false" customHeight="false" outlineLevel="0" collapsed="false">
      <c r="A617" s="1" t="n">
        <v>45683</v>
      </c>
      <c r="B617" s="0" t="s">
        <v>1524</v>
      </c>
      <c r="C617" s="0" t="s">
        <v>163</v>
      </c>
      <c r="D617" s="0" t="n">
        <v>8088848693</v>
      </c>
      <c r="E617" s="0" t="s">
        <v>85</v>
      </c>
      <c r="F617" s="0" t="s">
        <v>1525</v>
      </c>
      <c r="G617" s="0" t="s">
        <v>45</v>
      </c>
      <c r="H617" s="0" t="s">
        <v>272</v>
      </c>
      <c r="I617" s="0" t="s">
        <v>142</v>
      </c>
      <c r="K617" s="0" t="n">
        <v>55735</v>
      </c>
      <c r="L617" s="0" t="s">
        <v>72</v>
      </c>
      <c r="M617" s="0" t="s">
        <v>63</v>
      </c>
      <c r="N617" s="0" t="n">
        <v>1</v>
      </c>
      <c r="O617" s="0" t="n">
        <v>1.3</v>
      </c>
      <c r="P617" s="0" t="s">
        <v>111</v>
      </c>
      <c r="Q617" s="0" t="s">
        <v>52</v>
      </c>
      <c r="R617" s="0" t="s">
        <v>136</v>
      </c>
      <c r="S617" s="0" t="s">
        <v>167</v>
      </c>
      <c r="T617" s="0" t="n">
        <v>30</v>
      </c>
      <c r="U617" s="0" t="s">
        <v>96</v>
      </c>
      <c r="V617" s="0" t="s">
        <v>97</v>
      </c>
      <c r="W617" s="0" t="s">
        <v>128</v>
      </c>
      <c r="X617" s="0" t="s">
        <v>58</v>
      </c>
      <c r="Z617" s="0" t="s">
        <v>143</v>
      </c>
      <c r="AA617" s="0" t="n">
        <v>30000</v>
      </c>
      <c r="AB617" s="0" t="n">
        <v>40000</v>
      </c>
      <c r="AC617" s="0" t="s">
        <v>63</v>
      </c>
      <c r="AE617" s="0" t="s">
        <v>60</v>
      </c>
      <c r="AF617" s="1" t="n">
        <v>45881</v>
      </c>
      <c r="AG617" s="0" t="s">
        <v>50</v>
      </c>
      <c r="AI617" s="0" t="s">
        <v>101</v>
      </c>
      <c r="AJ617" s="0" t="s">
        <v>50</v>
      </c>
      <c r="AL617" s="0" t="s">
        <v>102</v>
      </c>
      <c r="AM617" s="0" t="s">
        <v>83</v>
      </c>
      <c r="AN617" s="0" t="s">
        <v>50</v>
      </c>
    </row>
    <row r="618" customFormat="false" ht="15" hidden="false" customHeight="false" outlineLevel="0" collapsed="false">
      <c r="A618" s="1" t="n">
        <v>45684</v>
      </c>
      <c r="B618" s="0" t="s">
        <v>1526</v>
      </c>
      <c r="C618" s="0" t="s">
        <v>105</v>
      </c>
      <c r="D618" s="0" t="n">
        <v>8011783979</v>
      </c>
      <c r="E618" s="0" t="s">
        <v>43</v>
      </c>
      <c r="F618" s="0" t="s">
        <v>1272</v>
      </c>
      <c r="G618" s="0" t="s">
        <v>45</v>
      </c>
      <c r="H618" s="0" t="s">
        <v>46</v>
      </c>
      <c r="I618" s="0" t="s">
        <v>189</v>
      </c>
      <c r="J618" s="0" t="s">
        <v>71</v>
      </c>
      <c r="K618" s="0" t="n">
        <v>79689</v>
      </c>
      <c r="L618" s="0" t="s">
        <v>49</v>
      </c>
      <c r="M618" s="0" t="s">
        <v>50</v>
      </c>
      <c r="O618" s="0" t="n">
        <v>1.3</v>
      </c>
      <c r="P618" s="0" t="s">
        <v>111</v>
      </c>
      <c r="Q618" s="0" t="s">
        <v>73</v>
      </c>
      <c r="S618" s="0" t="s">
        <v>167</v>
      </c>
      <c r="T618" s="0" t="n">
        <v>15</v>
      </c>
      <c r="U618" s="0" t="s">
        <v>96</v>
      </c>
      <c r="V618" s="0" t="s">
        <v>77</v>
      </c>
      <c r="W618" s="0" t="s">
        <v>57</v>
      </c>
      <c r="X618" s="0" t="s">
        <v>137</v>
      </c>
      <c r="Z618" s="0" t="s">
        <v>149</v>
      </c>
      <c r="AA618" s="0" t="n">
        <v>15000</v>
      </c>
      <c r="AB618" s="0" t="n">
        <v>35000</v>
      </c>
      <c r="AC618" s="0" t="s">
        <v>82</v>
      </c>
      <c r="AE618" s="0" t="s">
        <v>184</v>
      </c>
      <c r="AF618" s="1" t="n">
        <v>45876</v>
      </c>
      <c r="AG618" s="0" t="s">
        <v>63</v>
      </c>
      <c r="AH618" s="0" t="s">
        <v>171</v>
      </c>
      <c r="AI618" s="0" t="s">
        <v>101</v>
      </c>
      <c r="AJ618" s="0" t="s">
        <v>62</v>
      </c>
      <c r="AK618" s="0" t="s">
        <v>63</v>
      </c>
      <c r="AL618" s="0" t="s">
        <v>63</v>
      </c>
      <c r="AM618" s="0" t="s">
        <v>83</v>
      </c>
      <c r="AN618" s="0" t="s">
        <v>198</v>
      </c>
    </row>
    <row r="619" customFormat="false" ht="15" hidden="false" customHeight="false" outlineLevel="0" collapsed="false">
      <c r="A619" s="1" t="n">
        <v>45730</v>
      </c>
      <c r="B619" s="0" t="s">
        <v>1527</v>
      </c>
      <c r="C619" s="0" t="s">
        <v>105</v>
      </c>
      <c r="D619" s="0" t="n">
        <v>8041219836</v>
      </c>
      <c r="E619" s="0" t="s">
        <v>67</v>
      </c>
      <c r="F619" s="0" t="s">
        <v>1528</v>
      </c>
      <c r="G619" s="0" t="s">
        <v>69</v>
      </c>
      <c r="I619" s="0" t="s">
        <v>154</v>
      </c>
      <c r="J619" s="0" t="s">
        <v>109</v>
      </c>
      <c r="K619" s="0" t="n">
        <v>79222</v>
      </c>
      <c r="L619" s="0" t="s">
        <v>49</v>
      </c>
      <c r="M619" s="0" t="s">
        <v>63</v>
      </c>
      <c r="O619" s="0" t="n">
        <v>4.5</v>
      </c>
      <c r="P619" s="0" t="s">
        <v>111</v>
      </c>
      <c r="Q619" s="0" t="s">
        <v>73</v>
      </c>
      <c r="R619" s="0" t="s">
        <v>159</v>
      </c>
      <c r="S619" s="0" t="s">
        <v>54</v>
      </c>
      <c r="T619" s="0" t="n">
        <v>45</v>
      </c>
      <c r="U619" s="0" t="s">
        <v>160</v>
      </c>
      <c r="V619" s="0" t="s">
        <v>155</v>
      </c>
      <c r="W619" s="0" t="s">
        <v>78</v>
      </c>
      <c r="X619" s="0" t="s">
        <v>114</v>
      </c>
      <c r="Y619" s="0" t="s">
        <v>59</v>
      </c>
      <c r="AA619" s="0" t="n">
        <v>30000</v>
      </c>
      <c r="AB619" s="0" t="n">
        <v>40000</v>
      </c>
      <c r="AC619" s="0" t="s">
        <v>63</v>
      </c>
      <c r="AD619" s="0" t="n">
        <v>5000</v>
      </c>
      <c r="AE619" s="0" t="s">
        <v>130</v>
      </c>
      <c r="AG619" s="0" t="s">
        <v>63</v>
      </c>
      <c r="AK619" s="0" t="s">
        <v>61</v>
      </c>
      <c r="AM619" s="0" t="s">
        <v>118</v>
      </c>
      <c r="AN619" s="0" t="s">
        <v>198</v>
      </c>
    </row>
    <row r="620" customFormat="false" ht="15" hidden="false" customHeight="false" outlineLevel="0" collapsed="false">
      <c r="A620" s="1" t="n">
        <v>45664</v>
      </c>
      <c r="B620" s="0" t="s">
        <v>1529</v>
      </c>
      <c r="C620" s="0" t="s">
        <v>163</v>
      </c>
      <c r="D620" s="0" t="n">
        <v>8012847211</v>
      </c>
      <c r="E620" s="0" t="s">
        <v>43</v>
      </c>
      <c r="F620" s="0" t="s">
        <v>1530</v>
      </c>
      <c r="G620" s="0" t="s">
        <v>107</v>
      </c>
      <c r="H620" s="0" t="s">
        <v>135</v>
      </c>
      <c r="I620" s="0" t="s">
        <v>108</v>
      </c>
      <c r="J620" s="0" t="s">
        <v>109</v>
      </c>
      <c r="K620" s="0" t="n">
        <v>98652</v>
      </c>
      <c r="L620" s="0" t="s">
        <v>72</v>
      </c>
      <c r="M620" s="0" t="s">
        <v>63</v>
      </c>
      <c r="N620" s="0" t="n">
        <v>5</v>
      </c>
      <c r="O620" s="0" t="n">
        <v>4.4</v>
      </c>
      <c r="P620" s="0" t="s">
        <v>92</v>
      </c>
      <c r="Q620" s="0" t="s">
        <v>93</v>
      </c>
      <c r="R620" s="0" t="s">
        <v>74</v>
      </c>
      <c r="S620" s="0" t="s">
        <v>75</v>
      </c>
      <c r="T620" s="0" t="n">
        <v>30</v>
      </c>
      <c r="U620" s="0" t="s">
        <v>160</v>
      </c>
      <c r="V620" s="0" t="s">
        <v>155</v>
      </c>
      <c r="W620" s="0" t="s">
        <v>57</v>
      </c>
      <c r="X620" s="0" t="s">
        <v>99</v>
      </c>
      <c r="Y620" s="0" t="s">
        <v>156</v>
      </c>
      <c r="Z620" s="0" t="s">
        <v>149</v>
      </c>
      <c r="AA620" s="0" t="s">
        <v>150</v>
      </c>
      <c r="AB620" s="0" t="n">
        <v>40000</v>
      </c>
      <c r="AE620" s="0" t="s">
        <v>60</v>
      </c>
      <c r="AF620" s="1" t="n">
        <v>45994</v>
      </c>
      <c r="AG620" s="0" t="s">
        <v>50</v>
      </c>
      <c r="AH620" s="0" t="s">
        <v>171</v>
      </c>
      <c r="AI620" s="0" t="s">
        <v>117</v>
      </c>
      <c r="AJ620" s="0" t="s">
        <v>50</v>
      </c>
      <c r="AK620" s="0" t="s">
        <v>63</v>
      </c>
      <c r="AL620" s="0" t="s">
        <v>102</v>
      </c>
      <c r="AN620" s="0" t="s">
        <v>190</v>
      </c>
    </row>
    <row r="621" customFormat="false" ht="15" hidden="false" customHeight="false" outlineLevel="0" collapsed="false">
      <c r="A621" s="1" t="n">
        <v>45811</v>
      </c>
      <c r="B621" s="0" t="s">
        <v>1531</v>
      </c>
      <c r="C621" s="0" t="s">
        <v>121</v>
      </c>
      <c r="D621" s="0" t="n">
        <v>8092724918</v>
      </c>
      <c r="E621" s="0" t="s">
        <v>67</v>
      </c>
      <c r="F621" s="0" t="s">
        <v>1532</v>
      </c>
      <c r="G621" s="0" t="s">
        <v>107</v>
      </c>
      <c r="H621" s="0" t="s">
        <v>242</v>
      </c>
      <c r="I621" s="0" t="s">
        <v>154</v>
      </c>
      <c r="J621" s="0" t="s">
        <v>71</v>
      </c>
      <c r="K621" s="0" t="n">
        <v>56574</v>
      </c>
      <c r="L621" s="0" t="s">
        <v>72</v>
      </c>
      <c r="M621" s="0" t="s">
        <v>63</v>
      </c>
      <c r="N621" s="0" t="n">
        <v>3</v>
      </c>
      <c r="O621" s="0" t="n">
        <v>5.2</v>
      </c>
      <c r="P621" s="0" t="s">
        <v>125</v>
      </c>
      <c r="Q621" s="0" t="s">
        <v>52</v>
      </c>
      <c r="R621" s="0" t="s">
        <v>94</v>
      </c>
      <c r="S621" s="0" t="s">
        <v>167</v>
      </c>
      <c r="T621" s="0" t="n">
        <v>45</v>
      </c>
      <c r="U621" s="0" t="s">
        <v>160</v>
      </c>
      <c r="V621" s="0" t="s">
        <v>148</v>
      </c>
      <c r="W621" s="0" t="s">
        <v>57</v>
      </c>
      <c r="X621" s="0" t="s">
        <v>196</v>
      </c>
      <c r="Y621" s="0" t="s">
        <v>197</v>
      </c>
      <c r="Z621" s="0" t="s">
        <v>129</v>
      </c>
      <c r="AB621" s="0" t="n">
        <v>35000</v>
      </c>
      <c r="AD621" s="0" t="n">
        <v>0</v>
      </c>
      <c r="AE621" s="0" t="s">
        <v>80</v>
      </c>
      <c r="AF621" s="1" t="n">
        <v>45723</v>
      </c>
      <c r="AI621" s="0" t="s">
        <v>117</v>
      </c>
      <c r="AJ621" s="0" t="s">
        <v>62</v>
      </c>
      <c r="AK621" s="0" t="s">
        <v>63</v>
      </c>
      <c r="AL621" s="0" t="s">
        <v>50</v>
      </c>
      <c r="AM621" s="0" t="s">
        <v>83</v>
      </c>
    </row>
    <row r="622" customFormat="false" ht="15" hidden="false" customHeight="false" outlineLevel="0" collapsed="false">
      <c r="A622" s="1" t="n">
        <v>45680</v>
      </c>
      <c r="B622" s="0" t="s">
        <v>1533</v>
      </c>
      <c r="C622" s="0" t="s">
        <v>121</v>
      </c>
      <c r="D622" s="0" t="n">
        <v>8026650536</v>
      </c>
      <c r="E622" s="0" t="s">
        <v>85</v>
      </c>
      <c r="F622" s="0" t="s">
        <v>145</v>
      </c>
      <c r="G622" s="0" t="s">
        <v>107</v>
      </c>
      <c r="H622" s="0" t="s">
        <v>153</v>
      </c>
      <c r="I622" s="0" t="s">
        <v>47</v>
      </c>
      <c r="J622" s="0" t="s">
        <v>48</v>
      </c>
      <c r="K622" s="0" t="n">
        <v>68565</v>
      </c>
      <c r="L622" s="0" t="s">
        <v>110</v>
      </c>
      <c r="M622" s="0" t="s">
        <v>63</v>
      </c>
      <c r="N622" s="0" t="n">
        <v>1</v>
      </c>
      <c r="O622" s="0" t="n">
        <v>2.4</v>
      </c>
      <c r="P622" s="0" t="s">
        <v>92</v>
      </c>
      <c r="Q622" s="0" t="s">
        <v>73</v>
      </c>
      <c r="S622" s="0" t="s">
        <v>167</v>
      </c>
      <c r="T622" s="0" t="n">
        <v>15</v>
      </c>
      <c r="U622" s="0" t="s">
        <v>96</v>
      </c>
      <c r="V622" s="0" t="s">
        <v>155</v>
      </c>
      <c r="W622" s="0" t="s">
        <v>98</v>
      </c>
      <c r="X622" s="0" t="s">
        <v>137</v>
      </c>
      <c r="Z622" s="0" t="s">
        <v>149</v>
      </c>
      <c r="AA622" s="0" t="n">
        <v>25000</v>
      </c>
      <c r="AB622" s="0" t="s">
        <v>178</v>
      </c>
      <c r="AC622" s="0" t="s">
        <v>50</v>
      </c>
      <c r="AD622" s="0" t="n">
        <v>10000</v>
      </c>
      <c r="AE622" s="0" t="s">
        <v>80</v>
      </c>
      <c r="AG622" s="0" t="s">
        <v>82</v>
      </c>
      <c r="AI622" s="0" t="s">
        <v>172</v>
      </c>
      <c r="AJ622" s="0" t="s">
        <v>63</v>
      </c>
      <c r="AK622" s="0" t="s">
        <v>82</v>
      </c>
      <c r="AN622" s="0" t="s">
        <v>190</v>
      </c>
    </row>
    <row r="623" customFormat="false" ht="15" hidden="false" customHeight="false" outlineLevel="0" collapsed="false">
      <c r="A623" s="1" t="n">
        <v>45823</v>
      </c>
      <c r="B623" s="0" t="s">
        <v>1534</v>
      </c>
      <c r="C623" s="0" t="s">
        <v>121</v>
      </c>
      <c r="D623" s="0" t="n">
        <v>8051452961</v>
      </c>
      <c r="E623" s="0" t="s">
        <v>139</v>
      </c>
      <c r="F623" s="0" t="s">
        <v>1535</v>
      </c>
      <c r="G623" s="0" t="s">
        <v>45</v>
      </c>
      <c r="H623" s="0" t="s">
        <v>146</v>
      </c>
      <c r="I623" s="0" t="s">
        <v>108</v>
      </c>
      <c r="J623" s="0" t="s">
        <v>71</v>
      </c>
      <c r="K623" s="0" t="n">
        <v>65824</v>
      </c>
      <c r="L623" s="0" t="s">
        <v>166</v>
      </c>
      <c r="M623" s="0" t="s">
        <v>63</v>
      </c>
      <c r="N623" s="0" t="n">
        <v>2</v>
      </c>
      <c r="O623" s="0" t="n">
        <v>3.8</v>
      </c>
      <c r="P623" s="0" t="s">
        <v>92</v>
      </c>
      <c r="Q623" s="0" t="s">
        <v>93</v>
      </c>
      <c r="R623" s="0" t="s">
        <v>74</v>
      </c>
      <c r="S623" s="0" t="s">
        <v>54</v>
      </c>
      <c r="U623" s="0" t="s">
        <v>112</v>
      </c>
      <c r="V623" s="0" t="s">
        <v>77</v>
      </c>
      <c r="W623" s="0" t="s">
        <v>78</v>
      </c>
      <c r="X623" s="0" t="s">
        <v>114</v>
      </c>
      <c r="Y623" s="0" t="s">
        <v>59</v>
      </c>
      <c r="AA623" s="0" t="n">
        <v>30000</v>
      </c>
      <c r="AB623" s="0" t="n">
        <v>30000</v>
      </c>
      <c r="AC623" s="0" t="s">
        <v>61</v>
      </c>
      <c r="AD623" s="0" t="n">
        <v>0</v>
      </c>
      <c r="AE623" s="0" t="s">
        <v>80</v>
      </c>
      <c r="AH623" s="0" t="s">
        <v>171</v>
      </c>
      <c r="AI623" s="0" t="s">
        <v>101</v>
      </c>
      <c r="AJ623" s="0" t="s">
        <v>63</v>
      </c>
      <c r="AK623" s="0" t="s">
        <v>82</v>
      </c>
      <c r="AL623" s="0" t="s">
        <v>63</v>
      </c>
      <c r="AM623" s="0" t="s">
        <v>83</v>
      </c>
      <c r="AN623" s="0" t="s">
        <v>50</v>
      </c>
    </row>
    <row r="624" customFormat="false" ht="15" hidden="false" customHeight="false" outlineLevel="0" collapsed="false">
      <c r="A624" s="0" t="s">
        <v>1339</v>
      </c>
      <c r="B624" s="0" t="s">
        <v>1536</v>
      </c>
      <c r="C624" s="0" t="s">
        <v>105</v>
      </c>
      <c r="D624" s="0" t="n">
        <v>8041728577</v>
      </c>
      <c r="E624" s="0" t="s">
        <v>122</v>
      </c>
      <c r="F624" s="0" t="s">
        <v>1537</v>
      </c>
      <c r="G624" s="0" t="s">
        <v>107</v>
      </c>
      <c r="H624" s="0" t="s">
        <v>146</v>
      </c>
      <c r="I624" s="0" t="s">
        <v>89</v>
      </c>
      <c r="K624" s="0" t="n">
        <v>102197</v>
      </c>
      <c r="L624" s="0" t="s">
        <v>72</v>
      </c>
      <c r="M624" s="0" t="s">
        <v>50</v>
      </c>
      <c r="N624" s="0" t="n">
        <v>2</v>
      </c>
      <c r="O624" s="0" t="n">
        <v>1.8</v>
      </c>
      <c r="Q624" s="0" t="s">
        <v>73</v>
      </c>
      <c r="S624" s="0" t="s">
        <v>54</v>
      </c>
      <c r="T624" s="0" t="n">
        <v>60</v>
      </c>
      <c r="U624" s="0" t="s">
        <v>96</v>
      </c>
      <c r="V624" s="0" t="s">
        <v>77</v>
      </c>
      <c r="W624" s="0" t="s">
        <v>78</v>
      </c>
      <c r="X624" s="0" t="s">
        <v>58</v>
      </c>
      <c r="Y624" s="0" t="s">
        <v>197</v>
      </c>
      <c r="Z624" s="0" t="s">
        <v>161</v>
      </c>
      <c r="AA624" s="0" t="s">
        <v>150</v>
      </c>
      <c r="AB624" s="0" t="n">
        <v>35000</v>
      </c>
      <c r="AD624" s="0" t="n">
        <v>5000</v>
      </c>
      <c r="AE624" s="0" t="s">
        <v>184</v>
      </c>
      <c r="AF624" s="1" t="n">
        <v>45829</v>
      </c>
      <c r="AG624" s="0" t="s">
        <v>63</v>
      </c>
      <c r="AK624" s="0" t="s">
        <v>61</v>
      </c>
      <c r="AL624" s="0" t="s">
        <v>102</v>
      </c>
      <c r="AM624" s="0" t="s">
        <v>103</v>
      </c>
      <c r="AN624" s="0" t="s">
        <v>50</v>
      </c>
    </row>
    <row r="625" customFormat="false" ht="15" hidden="false" customHeight="false" outlineLevel="0" collapsed="false">
      <c r="A625" s="1" t="n">
        <v>45677</v>
      </c>
      <c r="B625" s="0" t="s">
        <v>1538</v>
      </c>
      <c r="C625" s="0" t="s">
        <v>66</v>
      </c>
      <c r="D625" s="0" t="n">
        <v>8067512010</v>
      </c>
      <c r="E625" s="0" t="s">
        <v>122</v>
      </c>
      <c r="F625" s="0" t="s">
        <v>1539</v>
      </c>
      <c r="G625" s="0" t="s">
        <v>45</v>
      </c>
      <c r="H625" s="0" t="s">
        <v>146</v>
      </c>
      <c r="I625" s="0" t="s">
        <v>108</v>
      </c>
      <c r="J625" s="0" t="s">
        <v>109</v>
      </c>
      <c r="K625" s="0" t="n">
        <v>66293</v>
      </c>
      <c r="L625" s="0" t="s">
        <v>72</v>
      </c>
      <c r="M625" s="0" t="s">
        <v>50</v>
      </c>
      <c r="O625" s="0" t="n">
        <v>2.9</v>
      </c>
      <c r="P625" s="0" t="s">
        <v>111</v>
      </c>
      <c r="Q625" s="0" t="s">
        <v>93</v>
      </c>
      <c r="R625" s="0" t="s">
        <v>94</v>
      </c>
      <c r="S625" s="0" t="s">
        <v>75</v>
      </c>
      <c r="T625" s="0" t="s">
        <v>127</v>
      </c>
      <c r="U625" s="0" t="s">
        <v>76</v>
      </c>
      <c r="V625" s="0" t="s">
        <v>148</v>
      </c>
      <c r="W625" s="0" t="s">
        <v>57</v>
      </c>
      <c r="X625" s="0" t="s">
        <v>114</v>
      </c>
      <c r="Y625" s="0" t="s">
        <v>197</v>
      </c>
      <c r="Z625" s="0" t="s">
        <v>79</v>
      </c>
      <c r="AA625" s="0" t="n">
        <v>40000</v>
      </c>
      <c r="AB625" s="0" t="s">
        <v>178</v>
      </c>
      <c r="AC625" s="0" t="s">
        <v>61</v>
      </c>
      <c r="AD625" s="0" t="n">
        <v>10000</v>
      </c>
      <c r="AF625" s="1" t="n">
        <v>45830</v>
      </c>
      <c r="AG625" s="0" t="s">
        <v>50</v>
      </c>
      <c r="AI625" s="0" t="s">
        <v>101</v>
      </c>
      <c r="AJ625" s="0" t="s">
        <v>62</v>
      </c>
      <c r="AK625" s="0" t="s">
        <v>61</v>
      </c>
      <c r="AL625" s="0" t="s">
        <v>102</v>
      </c>
      <c r="AM625" s="0" t="s">
        <v>118</v>
      </c>
      <c r="AN625" s="0" t="s">
        <v>63</v>
      </c>
    </row>
    <row r="626" customFormat="false" ht="15" hidden="false" customHeight="false" outlineLevel="0" collapsed="false">
      <c r="A626" s="1" t="n">
        <v>45767</v>
      </c>
      <c r="B626" s="0" t="s">
        <v>1540</v>
      </c>
      <c r="C626" s="0" t="s">
        <v>42</v>
      </c>
      <c r="D626" s="0" t="n">
        <v>8042688154</v>
      </c>
      <c r="E626" s="0" t="s">
        <v>67</v>
      </c>
      <c r="F626" s="0" t="s">
        <v>1541</v>
      </c>
      <c r="G626" s="0" t="s">
        <v>107</v>
      </c>
      <c r="H626" s="0" t="s">
        <v>70</v>
      </c>
      <c r="I626" s="0" t="s">
        <v>89</v>
      </c>
      <c r="K626" s="0" t="n">
        <v>88139</v>
      </c>
      <c r="L626" s="0" t="s">
        <v>49</v>
      </c>
      <c r="M626" s="0" t="s">
        <v>63</v>
      </c>
      <c r="N626" s="0" t="n">
        <v>1</v>
      </c>
      <c r="O626" s="0" t="n">
        <v>4.9</v>
      </c>
      <c r="P626" s="0" t="s">
        <v>92</v>
      </c>
      <c r="Q626" s="0" t="s">
        <v>73</v>
      </c>
      <c r="S626" s="0" t="s">
        <v>167</v>
      </c>
      <c r="U626" s="0" t="s">
        <v>76</v>
      </c>
      <c r="V626" s="0" t="s">
        <v>97</v>
      </c>
      <c r="W626" s="0" t="s">
        <v>57</v>
      </c>
      <c r="X626" s="0" t="s">
        <v>99</v>
      </c>
      <c r="AA626" s="0" t="n">
        <v>15000</v>
      </c>
      <c r="AB626" s="0" t="n">
        <v>30000</v>
      </c>
      <c r="AD626" s="0" t="n">
        <v>10000</v>
      </c>
      <c r="AE626" s="0" t="s">
        <v>130</v>
      </c>
      <c r="AF626" s="1" t="n">
        <v>45948</v>
      </c>
      <c r="AG626" s="0" t="s">
        <v>63</v>
      </c>
      <c r="AI626" s="0" t="s">
        <v>172</v>
      </c>
      <c r="AJ626" s="0" t="s">
        <v>62</v>
      </c>
      <c r="AK626" s="0" t="s">
        <v>63</v>
      </c>
      <c r="AL626" s="0" t="s">
        <v>63</v>
      </c>
      <c r="AM626" s="0" t="s">
        <v>103</v>
      </c>
      <c r="AN626" s="0" t="s">
        <v>50</v>
      </c>
    </row>
    <row r="627" customFormat="false" ht="15" hidden="false" customHeight="false" outlineLevel="0" collapsed="false">
      <c r="A627" s="1" t="n">
        <v>45740</v>
      </c>
      <c r="B627" s="0" t="s">
        <v>1542</v>
      </c>
      <c r="C627" s="0" t="s">
        <v>163</v>
      </c>
      <c r="D627" s="0" t="n">
        <v>8093183615</v>
      </c>
      <c r="E627" s="0" t="s">
        <v>85</v>
      </c>
      <c r="F627" s="0" t="s">
        <v>1543</v>
      </c>
      <c r="G627" s="0" t="s">
        <v>134</v>
      </c>
      <c r="H627" s="0" t="s">
        <v>165</v>
      </c>
      <c r="I627" s="0" t="s">
        <v>108</v>
      </c>
      <c r="J627" s="0" t="s">
        <v>90</v>
      </c>
      <c r="K627" s="0" t="n">
        <v>43260</v>
      </c>
      <c r="L627" s="0" t="s">
        <v>49</v>
      </c>
      <c r="M627" s="0" t="s">
        <v>63</v>
      </c>
      <c r="N627" s="0" t="n">
        <v>2</v>
      </c>
      <c r="O627" s="0" t="n">
        <v>5.2</v>
      </c>
      <c r="P627" s="0" t="s">
        <v>111</v>
      </c>
      <c r="Q627" s="0" t="s">
        <v>93</v>
      </c>
      <c r="R627" s="0" t="s">
        <v>94</v>
      </c>
      <c r="S627" s="0" t="s">
        <v>95</v>
      </c>
      <c r="T627" s="0" t="s">
        <v>127</v>
      </c>
      <c r="U627" s="0" t="s">
        <v>96</v>
      </c>
      <c r="V627" s="0" t="s">
        <v>155</v>
      </c>
      <c r="W627" s="0" t="s">
        <v>57</v>
      </c>
      <c r="X627" s="0" t="s">
        <v>114</v>
      </c>
      <c r="Y627" s="0" t="s">
        <v>197</v>
      </c>
      <c r="Z627" s="0" t="s">
        <v>161</v>
      </c>
      <c r="AA627" s="0" t="n">
        <v>25000</v>
      </c>
      <c r="AB627" s="0" t="n">
        <v>30000</v>
      </c>
      <c r="AC627" s="0" t="s">
        <v>50</v>
      </c>
      <c r="AD627" s="0" t="n">
        <v>10000</v>
      </c>
      <c r="AE627" s="0" t="s">
        <v>80</v>
      </c>
      <c r="AG627" s="0" t="s">
        <v>61</v>
      </c>
      <c r="AH627" s="0" t="s">
        <v>171</v>
      </c>
      <c r="AJ627" s="0" t="s">
        <v>62</v>
      </c>
      <c r="AK627" s="0" t="s">
        <v>50</v>
      </c>
      <c r="AM627" s="0" t="s">
        <v>64</v>
      </c>
      <c r="AN627" s="0" t="s">
        <v>198</v>
      </c>
    </row>
    <row r="628" customFormat="false" ht="15" hidden="false" customHeight="false" outlineLevel="0" collapsed="false">
      <c r="A628" s="0" t="s">
        <v>659</v>
      </c>
      <c r="B628" s="0" t="s">
        <v>1544</v>
      </c>
      <c r="C628" s="0" t="s">
        <v>163</v>
      </c>
      <c r="D628" s="0" t="n">
        <v>8020655497</v>
      </c>
      <c r="E628" s="0" t="s">
        <v>122</v>
      </c>
      <c r="F628" s="0" t="s">
        <v>1545</v>
      </c>
      <c r="G628" s="0" t="s">
        <v>107</v>
      </c>
      <c r="H628" s="0" t="s">
        <v>176</v>
      </c>
      <c r="I628" s="0" t="s">
        <v>89</v>
      </c>
      <c r="K628" s="0" t="n">
        <v>75034</v>
      </c>
      <c r="L628" s="0" t="s">
        <v>49</v>
      </c>
      <c r="M628" s="0" t="s">
        <v>63</v>
      </c>
      <c r="O628" s="0" t="n">
        <v>4.2</v>
      </c>
      <c r="P628" s="0" t="s">
        <v>92</v>
      </c>
      <c r="Q628" s="0" t="s">
        <v>52</v>
      </c>
      <c r="R628" s="0" t="s">
        <v>94</v>
      </c>
      <c r="S628" s="0" t="s">
        <v>147</v>
      </c>
      <c r="T628" s="0" t="n">
        <v>30</v>
      </c>
      <c r="U628" s="0" t="s">
        <v>55</v>
      </c>
      <c r="V628" s="0" t="s">
        <v>155</v>
      </c>
      <c r="W628" s="0" t="s">
        <v>98</v>
      </c>
      <c r="X628" s="0" t="s">
        <v>99</v>
      </c>
      <c r="Y628" s="0" t="s">
        <v>177</v>
      </c>
      <c r="Z628" s="0" t="s">
        <v>143</v>
      </c>
      <c r="AA628" s="0" t="n">
        <v>25000</v>
      </c>
      <c r="AB628" s="0" t="n">
        <v>40000</v>
      </c>
      <c r="AC628" s="0" t="s">
        <v>82</v>
      </c>
      <c r="AD628" s="0" t="n">
        <v>5000</v>
      </c>
      <c r="AE628" s="0" t="s">
        <v>184</v>
      </c>
      <c r="AF628" s="1" t="n">
        <v>45972</v>
      </c>
      <c r="AG628" s="0" t="s">
        <v>61</v>
      </c>
      <c r="AI628" s="0" t="s">
        <v>117</v>
      </c>
      <c r="AK628" s="0" t="s">
        <v>82</v>
      </c>
      <c r="AL628" s="0" t="s">
        <v>102</v>
      </c>
      <c r="AM628" s="0" t="s">
        <v>103</v>
      </c>
      <c r="AN628" s="0" t="s">
        <v>50</v>
      </c>
    </row>
    <row r="629" customFormat="false" ht="15" hidden="false" customHeight="false" outlineLevel="0" collapsed="false">
      <c r="A629" s="0" t="s">
        <v>659</v>
      </c>
      <c r="B629" s="0" t="s">
        <v>1546</v>
      </c>
      <c r="C629" s="0" t="s">
        <v>121</v>
      </c>
      <c r="D629" s="0" t="n">
        <v>8018042731</v>
      </c>
      <c r="E629" s="0" t="s">
        <v>122</v>
      </c>
      <c r="F629" s="0" t="s">
        <v>1547</v>
      </c>
      <c r="G629" s="0" t="s">
        <v>134</v>
      </c>
      <c r="H629" s="0" t="s">
        <v>146</v>
      </c>
      <c r="I629" s="0" t="s">
        <v>89</v>
      </c>
      <c r="J629" s="0" t="s">
        <v>48</v>
      </c>
      <c r="K629" s="0" t="n">
        <v>13890</v>
      </c>
      <c r="L629" s="0" t="s">
        <v>110</v>
      </c>
      <c r="M629" s="0" t="s">
        <v>63</v>
      </c>
      <c r="N629" s="0" t="n">
        <v>5</v>
      </c>
      <c r="O629" s="0" t="n">
        <v>1.3</v>
      </c>
      <c r="P629" s="0" t="s">
        <v>51</v>
      </c>
      <c r="Q629" s="0" t="s">
        <v>93</v>
      </c>
      <c r="R629" s="0" t="s">
        <v>159</v>
      </c>
      <c r="S629" s="0" t="s">
        <v>54</v>
      </c>
      <c r="U629" s="0" t="s">
        <v>76</v>
      </c>
      <c r="V629" s="0" t="s">
        <v>56</v>
      </c>
      <c r="W629" s="0" t="s">
        <v>113</v>
      </c>
      <c r="X629" s="0" t="s">
        <v>137</v>
      </c>
      <c r="Y629" s="0" t="s">
        <v>156</v>
      </c>
      <c r="Z629" s="0" t="s">
        <v>79</v>
      </c>
      <c r="AA629" s="0" t="n">
        <v>25000</v>
      </c>
      <c r="AB629" s="0" t="n">
        <v>30000</v>
      </c>
      <c r="AC629" s="0" t="s">
        <v>82</v>
      </c>
      <c r="AE629" s="0" t="s">
        <v>130</v>
      </c>
      <c r="AF629" s="1" t="n">
        <v>45831</v>
      </c>
      <c r="AG629" s="0" t="s">
        <v>82</v>
      </c>
      <c r="AJ629" s="0" t="s">
        <v>81</v>
      </c>
      <c r="AK629" s="0" t="s">
        <v>63</v>
      </c>
      <c r="AM629" s="0" t="s">
        <v>83</v>
      </c>
      <c r="AN629" s="0" t="s">
        <v>50</v>
      </c>
    </row>
    <row r="630" customFormat="false" ht="15" hidden="false" customHeight="false" outlineLevel="0" collapsed="false">
      <c r="A630" s="0" t="s">
        <v>1113</v>
      </c>
      <c r="B630" s="0" t="s">
        <v>1548</v>
      </c>
      <c r="C630" s="0" t="s">
        <v>121</v>
      </c>
      <c r="D630" s="0" t="n">
        <v>8028462384</v>
      </c>
      <c r="E630" s="0" t="s">
        <v>85</v>
      </c>
      <c r="F630" s="0" t="s">
        <v>1549</v>
      </c>
      <c r="G630" s="0" t="s">
        <v>87</v>
      </c>
      <c r="H630" s="0" t="s">
        <v>46</v>
      </c>
      <c r="I630" s="0" t="s">
        <v>89</v>
      </c>
      <c r="K630" s="0" t="n">
        <v>36812</v>
      </c>
      <c r="L630" s="0" t="s">
        <v>110</v>
      </c>
      <c r="M630" s="0" t="s">
        <v>50</v>
      </c>
      <c r="N630" s="0" t="n">
        <v>1</v>
      </c>
      <c r="O630" s="0" t="n">
        <v>3.4</v>
      </c>
      <c r="P630" s="0" t="s">
        <v>111</v>
      </c>
      <c r="Q630" s="0" t="s">
        <v>52</v>
      </c>
      <c r="R630" s="0" t="s">
        <v>159</v>
      </c>
      <c r="S630" s="0" t="s">
        <v>126</v>
      </c>
      <c r="T630" s="0" t="n">
        <v>15</v>
      </c>
      <c r="U630" s="0" t="s">
        <v>76</v>
      </c>
      <c r="V630" s="0" t="s">
        <v>148</v>
      </c>
      <c r="W630" s="0" t="s">
        <v>57</v>
      </c>
      <c r="X630" s="0" t="s">
        <v>58</v>
      </c>
      <c r="Z630" s="0" t="s">
        <v>129</v>
      </c>
      <c r="AA630" s="0" t="n">
        <v>25000</v>
      </c>
      <c r="AB630" s="0" t="s">
        <v>178</v>
      </c>
      <c r="AC630" s="0" t="s">
        <v>61</v>
      </c>
      <c r="AE630" s="0" t="s">
        <v>60</v>
      </c>
      <c r="AG630" s="0" t="s">
        <v>61</v>
      </c>
      <c r="AI630" s="0" t="s">
        <v>117</v>
      </c>
      <c r="AJ630" s="0" t="s">
        <v>50</v>
      </c>
      <c r="AK630" s="0" t="s">
        <v>82</v>
      </c>
      <c r="AM630" s="0" t="s">
        <v>118</v>
      </c>
      <c r="AN630" s="0" t="s">
        <v>50</v>
      </c>
    </row>
    <row r="631" customFormat="false" ht="15" hidden="false" customHeight="false" outlineLevel="0" collapsed="false">
      <c r="A631" s="1" t="n">
        <v>45709</v>
      </c>
      <c r="B631" s="0" t="s">
        <v>1550</v>
      </c>
      <c r="C631" s="0" t="s">
        <v>105</v>
      </c>
      <c r="D631" s="0" t="n">
        <v>8060267710</v>
      </c>
      <c r="E631" s="0" t="s">
        <v>67</v>
      </c>
      <c r="F631" s="0" t="s">
        <v>1551</v>
      </c>
      <c r="G631" s="0" t="s">
        <v>69</v>
      </c>
      <c r="H631" s="0" t="s">
        <v>141</v>
      </c>
      <c r="I631" s="0" t="s">
        <v>47</v>
      </c>
      <c r="J631" s="0" t="s">
        <v>48</v>
      </c>
      <c r="K631" s="0" t="n">
        <v>25793</v>
      </c>
      <c r="L631" s="0" t="s">
        <v>110</v>
      </c>
      <c r="M631" s="0" t="s">
        <v>50</v>
      </c>
      <c r="N631" s="0" t="n">
        <v>1</v>
      </c>
      <c r="O631" s="0" t="n">
        <v>4.1</v>
      </c>
      <c r="P631" s="0" t="s">
        <v>125</v>
      </c>
      <c r="Q631" s="0" t="s">
        <v>73</v>
      </c>
      <c r="S631" s="0" t="s">
        <v>54</v>
      </c>
      <c r="U631" s="0" t="s">
        <v>112</v>
      </c>
      <c r="V631" s="0" t="s">
        <v>77</v>
      </c>
      <c r="W631" s="0" t="s">
        <v>113</v>
      </c>
      <c r="X631" s="0" t="s">
        <v>196</v>
      </c>
      <c r="Y631" s="0" t="s">
        <v>177</v>
      </c>
      <c r="Z631" s="0" t="s">
        <v>143</v>
      </c>
      <c r="AA631" s="0" t="n">
        <v>30000</v>
      </c>
      <c r="AB631" s="0" t="s">
        <v>178</v>
      </c>
      <c r="AD631" s="0" t="n">
        <v>5000</v>
      </c>
      <c r="AE631" s="0" t="s">
        <v>60</v>
      </c>
      <c r="AF631" s="1" t="n">
        <v>45902</v>
      </c>
      <c r="AI631" s="0" t="s">
        <v>101</v>
      </c>
      <c r="AJ631" s="0" t="s">
        <v>50</v>
      </c>
      <c r="AK631" s="0" t="s">
        <v>61</v>
      </c>
      <c r="AL631" s="0" t="s">
        <v>50</v>
      </c>
      <c r="AM631" s="0" t="s">
        <v>64</v>
      </c>
    </row>
    <row r="632" customFormat="false" ht="15" hidden="false" customHeight="false" outlineLevel="0" collapsed="false">
      <c r="A632" s="1" t="n">
        <v>45823</v>
      </c>
      <c r="B632" s="0" t="s">
        <v>1552</v>
      </c>
      <c r="C632" s="0" t="s">
        <v>121</v>
      </c>
      <c r="D632" s="0" t="n">
        <v>8076937935</v>
      </c>
      <c r="E632" s="0" t="s">
        <v>67</v>
      </c>
      <c r="F632" s="0" t="s">
        <v>1553</v>
      </c>
      <c r="G632" s="0" t="s">
        <v>69</v>
      </c>
      <c r="H632" s="0" t="s">
        <v>70</v>
      </c>
      <c r="I632" s="0" t="s">
        <v>189</v>
      </c>
      <c r="J632" s="0" t="s">
        <v>109</v>
      </c>
      <c r="K632" s="0" t="n">
        <v>83565</v>
      </c>
      <c r="L632" s="0" t="s">
        <v>110</v>
      </c>
      <c r="M632" s="0" t="s">
        <v>63</v>
      </c>
      <c r="N632" s="0" t="n">
        <v>3</v>
      </c>
      <c r="O632" s="0" t="n">
        <v>1.5</v>
      </c>
      <c r="P632" s="0" t="s">
        <v>51</v>
      </c>
      <c r="Q632" s="0" t="s">
        <v>93</v>
      </c>
      <c r="R632" s="0" t="s">
        <v>136</v>
      </c>
      <c r="S632" s="0" t="s">
        <v>167</v>
      </c>
      <c r="T632" s="0" t="n">
        <v>60</v>
      </c>
      <c r="U632" s="0" t="s">
        <v>160</v>
      </c>
      <c r="V632" s="0" t="s">
        <v>77</v>
      </c>
      <c r="W632" s="0" t="s">
        <v>57</v>
      </c>
      <c r="X632" s="0" t="s">
        <v>114</v>
      </c>
      <c r="Y632" s="0" t="s">
        <v>197</v>
      </c>
      <c r="Z632" s="0" t="s">
        <v>161</v>
      </c>
      <c r="AB632" s="0" t="n">
        <v>40000</v>
      </c>
      <c r="AC632" s="0" t="s">
        <v>82</v>
      </c>
      <c r="AE632" s="0" t="s">
        <v>80</v>
      </c>
      <c r="AF632" s="1" t="n">
        <v>45667</v>
      </c>
      <c r="AG632" s="0" t="s">
        <v>63</v>
      </c>
      <c r="AH632" s="0" t="s">
        <v>171</v>
      </c>
      <c r="AI632" s="0" t="s">
        <v>172</v>
      </c>
      <c r="AJ632" s="0" t="s">
        <v>81</v>
      </c>
      <c r="AK632" s="0" t="s">
        <v>82</v>
      </c>
      <c r="AN632" s="0" t="s">
        <v>63</v>
      </c>
    </row>
    <row r="633" customFormat="false" ht="15" hidden="false" customHeight="false" outlineLevel="0" collapsed="false">
      <c r="A633" s="1" t="n">
        <v>45713</v>
      </c>
      <c r="B633" s="0" t="s">
        <v>1554</v>
      </c>
      <c r="C633" s="0" t="s">
        <v>66</v>
      </c>
      <c r="D633" s="0" t="n">
        <v>8049810955</v>
      </c>
      <c r="E633" s="0" t="s">
        <v>139</v>
      </c>
      <c r="F633" s="0" t="s">
        <v>1555</v>
      </c>
      <c r="G633" s="0" t="s">
        <v>134</v>
      </c>
      <c r="H633" s="0" t="s">
        <v>272</v>
      </c>
      <c r="I633" s="0" t="s">
        <v>154</v>
      </c>
      <c r="J633" s="0" t="s">
        <v>48</v>
      </c>
      <c r="K633" s="0" t="n">
        <v>10716</v>
      </c>
      <c r="L633" s="0" t="s">
        <v>49</v>
      </c>
      <c r="M633" s="0" t="s">
        <v>50</v>
      </c>
      <c r="N633" s="0" t="n">
        <v>5</v>
      </c>
      <c r="O633" s="0" t="n">
        <v>4.2</v>
      </c>
      <c r="Q633" s="0" t="s">
        <v>93</v>
      </c>
      <c r="S633" s="0" t="s">
        <v>95</v>
      </c>
      <c r="T633" s="0" t="n">
        <v>45</v>
      </c>
      <c r="U633" s="0" t="s">
        <v>55</v>
      </c>
      <c r="V633" s="0" t="s">
        <v>155</v>
      </c>
      <c r="W633" s="0" t="s">
        <v>98</v>
      </c>
      <c r="X633" s="0" t="s">
        <v>137</v>
      </c>
      <c r="Z633" s="0" t="s">
        <v>149</v>
      </c>
      <c r="AB633" s="0" t="n">
        <v>40000</v>
      </c>
      <c r="AC633" s="0" t="s">
        <v>82</v>
      </c>
      <c r="AD633" s="0" t="s">
        <v>115</v>
      </c>
      <c r="AE633" s="0" t="s">
        <v>60</v>
      </c>
      <c r="AG633" s="0" t="s">
        <v>63</v>
      </c>
      <c r="AI633" s="0" t="s">
        <v>172</v>
      </c>
      <c r="AJ633" s="0" t="s">
        <v>50</v>
      </c>
      <c r="AK633" s="0" t="s">
        <v>63</v>
      </c>
      <c r="AL633" s="0" t="s">
        <v>63</v>
      </c>
      <c r="AM633" s="0" t="s">
        <v>64</v>
      </c>
      <c r="AN633" s="0" t="s">
        <v>190</v>
      </c>
    </row>
    <row r="634" customFormat="false" ht="15" hidden="false" customHeight="false" outlineLevel="0" collapsed="false">
      <c r="A634" s="1" t="n">
        <v>45771</v>
      </c>
      <c r="B634" s="0" t="s">
        <v>1556</v>
      </c>
      <c r="C634" s="0" t="s">
        <v>163</v>
      </c>
      <c r="D634" s="0" t="n">
        <v>8037113563</v>
      </c>
      <c r="E634" s="0" t="s">
        <v>122</v>
      </c>
      <c r="F634" s="0" t="s">
        <v>1557</v>
      </c>
      <c r="G634" s="0" t="s">
        <v>107</v>
      </c>
      <c r="H634" s="0" t="s">
        <v>170</v>
      </c>
      <c r="I634" s="0" t="s">
        <v>89</v>
      </c>
      <c r="K634" s="0" t="n">
        <v>53746</v>
      </c>
      <c r="L634" s="0" t="s">
        <v>49</v>
      </c>
      <c r="M634" s="0" t="s">
        <v>50</v>
      </c>
      <c r="N634" s="0" t="n">
        <v>5</v>
      </c>
      <c r="O634" s="0" t="n">
        <v>1.7</v>
      </c>
      <c r="Q634" s="0" t="s">
        <v>93</v>
      </c>
      <c r="R634" s="0" t="s">
        <v>159</v>
      </c>
      <c r="S634" s="0" t="s">
        <v>95</v>
      </c>
      <c r="T634" s="0" t="n">
        <v>45</v>
      </c>
      <c r="U634" s="0" t="s">
        <v>55</v>
      </c>
      <c r="V634" s="0" t="s">
        <v>155</v>
      </c>
      <c r="W634" s="0" t="s">
        <v>78</v>
      </c>
      <c r="X634" s="0" t="s">
        <v>137</v>
      </c>
      <c r="Y634" s="0" t="s">
        <v>156</v>
      </c>
      <c r="Z634" s="0" t="s">
        <v>129</v>
      </c>
      <c r="AA634" s="0" t="n">
        <v>15000</v>
      </c>
      <c r="AB634" s="0" t="n">
        <v>20000</v>
      </c>
      <c r="AC634" s="0" t="s">
        <v>50</v>
      </c>
      <c r="AD634" s="0" t="n">
        <v>5000</v>
      </c>
      <c r="AE634" s="0" t="s">
        <v>80</v>
      </c>
      <c r="AF634" s="1" t="n">
        <v>46016</v>
      </c>
      <c r="AG634" s="0" t="s">
        <v>63</v>
      </c>
      <c r="AJ634" s="0" t="s">
        <v>50</v>
      </c>
      <c r="AK634" s="0" t="s">
        <v>63</v>
      </c>
      <c r="AM634" s="0" t="s">
        <v>118</v>
      </c>
    </row>
    <row r="635" customFormat="false" ht="15" hidden="false" customHeight="false" outlineLevel="0" collapsed="false">
      <c r="A635" s="1" t="n">
        <v>45724</v>
      </c>
      <c r="B635" s="0" t="s">
        <v>1558</v>
      </c>
      <c r="C635" s="0" t="s">
        <v>42</v>
      </c>
      <c r="D635" s="0" t="n">
        <v>8030356881</v>
      </c>
      <c r="E635" s="0" t="s">
        <v>122</v>
      </c>
      <c r="F635" s="0" t="s">
        <v>1268</v>
      </c>
      <c r="G635" s="0" t="s">
        <v>87</v>
      </c>
      <c r="H635" s="0" t="s">
        <v>70</v>
      </c>
      <c r="I635" s="0" t="s">
        <v>89</v>
      </c>
      <c r="J635" s="0" t="s">
        <v>48</v>
      </c>
      <c r="K635" s="0" t="n">
        <v>36078</v>
      </c>
      <c r="L635" s="0" t="s">
        <v>49</v>
      </c>
      <c r="M635" s="0" t="s">
        <v>63</v>
      </c>
      <c r="N635" s="0" t="n">
        <v>2</v>
      </c>
      <c r="O635" s="0" t="n">
        <v>4.8</v>
      </c>
      <c r="P635" s="0" t="s">
        <v>125</v>
      </c>
      <c r="Q635" s="0" t="s">
        <v>52</v>
      </c>
      <c r="R635" s="0" t="s">
        <v>94</v>
      </c>
      <c r="S635" s="0" t="s">
        <v>54</v>
      </c>
      <c r="T635" s="0" t="n">
        <v>45</v>
      </c>
      <c r="U635" s="0" t="s">
        <v>112</v>
      </c>
      <c r="V635" s="0" t="s">
        <v>77</v>
      </c>
      <c r="W635" s="0" t="s">
        <v>57</v>
      </c>
      <c r="X635" s="0" t="s">
        <v>99</v>
      </c>
      <c r="Y635" s="0" t="s">
        <v>59</v>
      </c>
      <c r="Z635" s="0" t="s">
        <v>149</v>
      </c>
      <c r="AA635" s="0" t="n">
        <v>30000</v>
      </c>
      <c r="AB635" s="0" t="n">
        <v>20000</v>
      </c>
      <c r="AD635" s="0" t="n">
        <v>0</v>
      </c>
      <c r="AE635" s="0" t="s">
        <v>80</v>
      </c>
      <c r="AG635" s="0" t="s">
        <v>63</v>
      </c>
      <c r="AJ635" s="0" t="s">
        <v>81</v>
      </c>
      <c r="AK635" s="0" t="s">
        <v>63</v>
      </c>
      <c r="AL635" s="0" t="s">
        <v>102</v>
      </c>
      <c r="AM635" s="0" t="s">
        <v>64</v>
      </c>
      <c r="AN635" s="0" t="s">
        <v>198</v>
      </c>
    </row>
    <row r="636" customFormat="false" ht="15" hidden="false" customHeight="false" outlineLevel="0" collapsed="false">
      <c r="A636" s="0" t="s">
        <v>299</v>
      </c>
      <c r="B636" s="0" t="s">
        <v>1559</v>
      </c>
      <c r="C636" s="0" t="s">
        <v>121</v>
      </c>
      <c r="D636" s="0" t="n">
        <v>8060432035</v>
      </c>
      <c r="E636" s="0" t="s">
        <v>85</v>
      </c>
      <c r="F636" s="0" t="s">
        <v>1560</v>
      </c>
      <c r="G636" s="0" t="s">
        <v>69</v>
      </c>
      <c r="H636" s="0" t="s">
        <v>146</v>
      </c>
      <c r="I636" s="0" t="s">
        <v>108</v>
      </c>
      <c r="K636" s="0" t="n">
        <v>97955</v>
      </c>
      <c r="L636" s="0" t="s">
        <v>110</v>
      </c>
      <c r="M636" s="0" t="s">
        <v>63</v>
      </c>
      <c r="O636" s="0" t="n">
        <v>3.7</v>
      </c>
      <c r="P636" s="0" t="s">
        <v>111</v>
      </c>
      <c r="Q636" s="0" t="s">
        <v>52</v>
      </c>
      <c r="R636" s="0" t="s">
        <v>53</v>
      </c>
      <c r="S636" s="0" t="s">
        <v>147</v>
      </c>
      <c r="T636" s="0" t="n">
        <v>30</v>
      </c>
      <c r="U636" s="0" t="s">
        <v>160</v>
      </c>
      <c r="V636" s="0" t="s">
        <v>56</v>
      </c>
      <c r="W636" s="0" t="s">
        <v>113</v>
      </c>
      <c r="X636" s="0" t="s">
        <v>99</v>
      </c>
      <c r="Y636" s="0" t="s">
        <v>59</v>
      </c>
      <c r="Z636" s="0" t="s">
        <v>149</v>
      </c>
      <c r="AB636" s="0" t="n">
        <v>35000</v>
      </c>
      <c r="AC636" s="0" t="s">
        <v>82</v>
      </c>
      <c r="AD636" s="0" t="n">
        <v>10000</v>
      </c>
      <c r="AE636" s="0" t="s">
        <v>184</v>
      </c>
      <c r="AF636" s="1" t="n">
        <v>45725</v>
      </c>
      <c r="AH636" s="0" t="s">
        <v>171</v>
      </c>
      <c r="AI636" s="0" t="s">
        <v>117</v>
      </c>
      <c r="AJ636" s="0" t="s">
        <v>50</v>
      </c>
      <c r="AK636" s="0" t="s">
        <v>82</v>
      </c>
      <c r="AM636" s="0" t="s">
        <v>103</v>
      </c>
      <c r="AN636" s="0" t="s">
        <v>50</v>
      </c>
    </row>
    <row r="637" customFormat="false" ht="15" hidden="false" customHeight="false" outlineLevel="0" collapsed="false">
      <c r="A637" s="1" t="n">
        <v>45696</v>
      </c>
      <c r="B637" s="0" t="s">
        <v>1561</v>
      </c>
      <c r="C637" s="0" t="s">
        <v>66</v>
      </c>
      <c r="D637" s="0" t="n">
        <v>8037432134</v>
      </c>
      <c r="E637" s="0" t="s">
        <v>85</v>
      </c>
      <c r="F637" s="0" t="s">
        <v>1562</v>
      </c>
      <c r="G637" s="0" t="s">
        <v>107</v>
      </c>
      <c r="I637" s="0" t="s">
        <v>89</v>
      </c>
      <c r="K637" s="0" t="n">
        <v>115336</v>
      </c>
      <c r="L637" s="0" t="s">
        <v>110</v>
      </c>
      <c r="M637" s="0" t="s">
        <v>50</v>
      </c>
      <c r="N637" s="0" t="n">
        <v>2</v>
      </c>
      <c r="O637" s="0" t="n">
        <v>3.3</v>
      </c>
      <c r="P637" s="0" t="s">
        <v>125</v>
      </c>
      <c r="Q637" s="0" t="s">
        <v>73</v>
      </c>
      <c r="R637" s="0" t="s">
        <v>159</v>
      </c>
      <c r="S637" s="0" t="s">
        <v>147</v>
      </c>
      <c r="T637" s="0" t="n">
        <v>45</v>
      </c>
      <c r="U637" s="0" t="s">
        <v>112</v>
      </c>
      <c r="V637" s="0" t="s">
        <v>56</v>
      </c>
      <c r="W637" s="0" t="s">
        <v>57</v>
      </c>
      <c r="X637" s="0" t="s">
        <v>137</v>
      </c>
      <c r="Y637" s="0" t="s">
        <v>177</v>
      </c>
      <c r="Z637" s="0" t="s">
        <v>161</v>
      </c>
      <c r="AA637" s="0" t="s">
        <v>150</v>
      </c>
      <c r="AB637" s="0" t="n">
        <v>35000</v>
      </c>
      <c r="AC637" s="0" t="s">
        <v>61</v>
      </c>
      <c r="AD637" s="0" t="s">
        <v>115</v>
      </c>
      <c r="AE637" s="0" t="s">
        <v>60</v>
      </c>
      <c r="AF637" s="0" t="s">
        <v>1563</v>
      </c>
      <c r="AG637" s="0" t="s">
        <v>63</v>
      </c>
      <c r="AH637" s="0" t="s">
        <v>116</v>
      </c>
      <c r="AI637" s="0" t="s">
        <v>172</v>
      </c>
      <c r="AK637" s="0" t="s">
        <v>82</v>
      </c>
      <c r="AL637" s="0" t="s">
        <v>50</v>
      </c>
      <c r="AM637" s="0" t="s">
        <v>64</v>
      </c>
      <c r="AN637" s="0" t="s">
        <v>50</v>
      </c>
    </row>
    <row r="638" customFormat="false" ht="15" hidden="false" customHeight="false" outlineLevel="0" collapsed="false">
      <c r="A638" s="1" t="n">
        <v>45667</v>
      </c>
      <c r="B638" s="0" t="s">
        <v>1564</v>
      </c>
      <c r="C638" s="0" t="s">
        <v>42</v>
      </c>
      <c r="D638" s="0" t="n">
        <v>8096173002</v>
      </c>
      <c r="E638" s="0" t="s">
        <v>43</v>
      </c>
      <c r="F638" s="0" t="s">
        <v>1565</v>
      </c>
      <c r="G638" s="0" t="s">
        <v>134</v>
      </c>
      <c r="H638" s="0" t="s">
        <v>176</v>
      </c>
      <c r="I638" s="0" t="s">
        <v>154</v>
      </c>
      <c r="K638" s="0" t="n">
        <v>111843</v>
      </c>
      <c r="L638" s="0" t="s">
        <v>110</v>
      </c>
      <c r="M638" s="0" t="s">
        <v>50</v>
      </c>
      <c r="N638" s="0" t="n">
        <v>1</v>
      </c>
      <c r="O638" s="0" t="n">
        <v>3.9</v>
      </c>
      <c r="P638" s="0" t="s">
        <v>125</v>
      </c>
      <c r="Q638" s="0" t="s">
        <v>93</v>
      </c>
      <c r="R638" s="0" t="s">
        <v>136</v>
      </c>
      <c r="S638" s="0" t="s">
        <v>75</v>
      </c>
      <c r="T638" s="0" t="n">
        <v>30</v>
      </c>
      <c r="U638" s="0" t="s">
        <v>76</v>
      </c>
      <c r="V638" s="0" t="s">
        <v>77</v>
      </c>
      <c r="W638" s="0" t="s">
        <v>57</v>
      </c>
      <c r="X638" s="0" t="s">
        <v>196</v>
      </c>
      <c r="Y638" s="0" t="s">
        <v>197</v>
      </c>
      <c r="Z638" s="0" t="s">
        <v>149</v>
      </c>
      <c r="AA638" s="0" t="n">
        <v>30000</v>
      </c>
      <c r="AB638" s="0" t="n">
        <v>30000</v>
      </c>
      <c r="AC638" s="0" t="s">
        <v>63</v>
      </c>
      <c r="AD638" s="0" t="s">
        <v>115</v>
      </c>
      <c r="AE638" s="0" t="s">
        <v>130</v>
      </c>
      <c r="AF638" s="1" t="n">
        <v>45850</v>
      </c>
      <c r="AG638" s="0" t="s">
        <v>61</v>
      </c>
      <c r="AJ638" s="0" t="s">
        <v>50</v>
      </c>
      <c r="AM638" s="0" t="s">
        <v>103</v>
      </c>
      <c r="AN638" s="0" t="s">
        <v>50</v>
      </c>
    </row>
    <row r="639" customFormat="false" ht="15" hidden="false" customHeight="false" outlineLevel="0" collapsed="false">
      <c r="A639" s="1" t="n">
        <v>45696</v>
      </c>
      <c r="B639" s="0" t="s">
        <v>1566</v>
      </c>
      <c r="C639" s="0" t="s">
        <v>105</v>
      </c>
      <c r="D639" s="0" t="n">
        <v>8015087753</v>
      </c>
      <c r="E639" s="0" t="s">
        <v>43</v>
      </c>
      <c r="F639" s="0" t="s">
        <v>1567</v>
      </c>
      <c r="G639" s="0" t="s">
        <v>107</v>
      </c>
      <c r="H639" s="0" t="s">
        <v>165</v>
      </c>
      <c r="I639" s="0" t="s">
        <v>189</v>
      </c>
      <c r="J639" s="0" t="s">
        <v>71</v>
      </c>
      <c r="K639" s="0" t="n">
        <v>36262</v>
      </c>
      <c r="L639" s="0" t="s">
        <v>166</v>
      </c>
      <c r="M639" s="0" t="s">
        <v>63</v>
      </c>
      <c r="O639" s="0" t="n">
        <v>4.7</v>
      </c>
      <c r="Q639" s="0" t="s">
        <v>73</v>
      </c>
      <c r="R639" s="0" t="s">
        <v>159</v>
      </c>
      <c r="S639" s="0" t="s">
        <v>167</v>
      </c>
      <c r="T639" s="0" t="s">
        <v>127</v>
      </c>
      <c r="U639" s="0" t="s">
        <v>76</v>
      </c>
      <c r="V639" s="0" t="s">
        <v>148</v>
      </c>
      <c r="W639" s="0" t="s">
        <v>57</v>
      </c>
      <c r="X639" s="0" t="s">
        <v>196</v>
      </c>
      <c r="Y639" s="0" t="s">
        <v>197</v>
      </c>
      <c r="Z639" s="0" t="s">
        <v>161</v>
      </c>
      <c r="AA639" s="0" t="n">
        <v>15000</v>
      </c>
      <c r="AB639" s="0" t="n">
        <v>35000</v>
      </c>
      <c r="AC639" s="0" t="s">
        <v>82</v>
      </c>
      <c r="AD639" s="0" t="s">
        <v>115</v>
      </c>
      <c r="AE639" s="0" t="s">
        <v>184</v>
      </c>
      <c r="AG639" s="0" t="s">
        <v>61</v>
      </c>
      <c r="AH639" s="0" t="s">
        <v>116</v>
      </c>
      <c r="AK639" s="0" t="s">
        <v>82</v>
      </c>
      <c r="AM639" s="0" t="s">
        <v>64</v>
      </c>
      <c r="AN639" s="0" t="s">
        <v>50</v>
      </c>
    </row>
    <row r="640" customFormat="false" ht="15" hidden="false" customHeight="false" outlineLevel="0" collapsed="false">
      <c r="A640" s="1" t="n">
        <v>45742</v>
      </c>
      <c r="B640" s="0" t="s">
        <v>1568</v>
      </c>
      <c r="C640" s="0" t="s">
        <v>42</v>
      </c>
      <c r="D640" s="0" t="n">
        <v>8041952404</v>
      </c>
      <c r="E640" s="0" t="s">
        <v>139</v>
      </c>
      <c r="F640" s="0" t="s">
        <v>1569</v>
      </c>
      <c r="G640" s="0" t="s">
        <v>107</v>
      </c>
      <c r="H640" s="0" t="s">
        <v>135</v>
      </c>
      <c r="I640" s="0" t="s">
        <v>189</v>
      </c>
      <c r="J640" s="0" t="s">
        <v>71</v>
      </c>
      <c r="K640" s="0" t="n">
        <v>89555</v>
      </c>
      <c r="L640" s="0" t="s">
        <v>72</v>
      </c>
      <c r="M640" s="0" t="s">
        <v>50</v>
      </c>
      <c r="N640" s="0" t="n">
        <v>1</v>
      </c>
      <c r="O640" s="0" t="n">
        <v>3.4</v>
      </c>
      <c r="P640" s="0" t="s">
        <v>92</v>
      </c>
      <c r="Q640" s="0" t="s">
        <v>93</v>
      </c>
      <c r="R640" s="0" t="s">
        <v>74</v>
      </c>
      <c r="S640" s="0" t="s">
        <v>54</v>
      </c>
      <c r="U640" s="0" t="s">
        <v>160</v>
      </c>
      <c r="V640" s="0" t="s">
        <v>77</v>
      </c>
      <c r="W640" s="0" t="s">
        <v>113</v>
      </c>
      <c r="X640" s="0" t="s">
        <v>114</v>
      </c>
      <c r="Z640" s="0" t="s">
        <v>79</v>
      </c>
      <c r="AA640" s="0" t="s">
        <v>150</v>
      </c>
      <c r="AC640" s="0" t="s">
        <v>61</v>
      </c>
      <c r="AD640" s="0" t="s">
        <v>115</v>
      </c>
      <c r="AE640" s="0" t="s">
        <v>184</v>
      </c>
      <c r="AG640" s="0" t="s">
        <v>82</v>
      </c>
      <c r="AI640" s="0" t="s">
        <v>172</v>
      </c>
      <c r="AJ640" s="0" t="s">
        <v>50</v>
      </c>
      <c r="AK640" s="0" t="s">
        <v>63</v>
      </c>
      <c r="AM640" s="0" t="s">
        <v>64</v>
      </c>
      <c r="AN640" s="0" t="s">
        <v>63</v>
      </c>
    </row>
    <row r="641" customFormat="false" ht="15" hidden="false" customHeight="false" outlineLevel="0" collapsed="false">
      <c r="A641" s="1" t="n">
        <v>45813</v>
      </c>
      <c r="B641" s="0" t="s">
        <v>1570</v>
      </c>
      <c r="C641" s="0" t="s">
        <v>163</v>
      </c>
      <c r="D641" s="0" t="n">
        <v>8090272292</v>
      </c>
      <c r="E641" s="0" t="s">
        <v>67</v>
      </c>
      <c r="F641" s="0" t="s">
        <v>1571</v>
      </c>
      <c r="G641" s="0" t="s">
        <v>107</v>
      </c>
      <c r="H641" s="0" t="s">
        <v>146</v>
      </c>
      <c r="I641" s="0" t="s">
        <v>154</v>
      </c>
      <c r="J641" s="0" t="s">
        <v>48</v>
      </c>
      <c r="K641" s="0" t="n">
        <v>62766</v>
      </c>
      <c r="L641" s="0" t="s">
        <v>124</v>
      </c>
      <c r="M641" s="0" t="s">
        <v>50</v>
      </c>
      <c r="N641" s="0" t="n">
        <v>2</v>
      </c>
      <c r="O641" s="0" t="n">
        <v>4.7</v>
      </c>
      <c r="Q641" s="0" t="s">
        <v>93</v>
      </c>
      <c r="R641" s="0" t="s">
        <v>94</v>
      </c>
      <c r="S641" s="0" t="s">
        <v>147</v>
      </c>
      <c r="T641" s="0" t="s">
        <v>127</v>
      </c>
      <c r="U641" s="0" t="s">
        <v>76</v>
      </c>
      <c r="V641" s="0" t="s">
        <v>77</v>
      </c>
      <c r="W641" s="0" t="s">
        <v>128</v>
      </c>
      <c r="X641" s="0" t="s">
        <v>114</v>
      </c>
      <c r="Z641" s="0" t="s">
        <v>79</v>
      </c>
      <c r="AA641" s="0" t="n">
        <v>25000</v>
      </c>
      <c r="AB641" s="0" t="n">
        <v>35000</v>
      </c>
      <c r="AC641" s="0" t="s">
        <v>61</v>
      </c>
      <c r="AD641" s="0" t="s">
        <v>115</v>
      </c>
      <c r="AE641" s="0" t="s">
        <v>130</v>
      </c>
      <c r="AG641" s="0" t="s">
        <v>50</v>
      </c>
      <c r="AI641" s="0" t="s">
        <v>117</v>
      </c>
      <c r="AJ641" s="0" t="s">
        <v>50</v>
      </c>
      <c r="AL641" s="0" t="s">
        <v>63</v>
      </c>
      <c r="AM641" s="0" t="s">
        <v>83</v>
      </c>
      <c r="AN641" s="0" t="s">
        <v>198</v>
      </c>
    </row>
    <row r="642" customFormat="false" ht="15" hidden="false" customHeight="false" outlineLevel="0" collapsed="false">
      <c r="A642" s="1" t="n">
        <v>45761</v>
      </c>
      <c r="B642" s="0" t="s">
        <v>1572</v>
      </c>
      <c r="C642" s="0" t="s">
        <v>66</v>
      </c>
      <c r="D642" s="0" t="n">
        <v>8069555922</v>
      </c>
      <c r="E642" s="0" t="s">
        <v>85</v>
      </c>
      <c r="F642" s="0" t="s">
        <v>1573</v>
      </c>
      <c r="G642" s="0" t="s">
        <v>69</v>
      </c>
      <c r="H642" s="0" t="s">
        <v>153</v>
      </c>
      <c r="I642" s="0" t="s">
        <v>89</v>
      </c>
      <c r="J642" s="0" t="s">
        <v>48</v>
      </c>
      <c r="K642" s="0" t="n">
        <v>30523</v>
      </c>
      <c r="L642" s="0" t="s">
        <v>124</v>
      </c>
      <c r="M642" s="0" t="s">
        <v>50</v>
      </c>
      <c r="N642" s="0" t="n">
        <v>2</v>
      </c>
      <c r="O642" s="0" t="n">
        <v>5.9</v>
      </c>
      <c r="Q642" s="0" t="s">
        <v>93</v>
      </c>
      <c r="R642" s="0" t="s">
        <v>53</v>
      </c>
      <c r="S642" s="0" t="s">
        <v>54</v>
      </c>
      <c r="T642" s="0" t="n">
        <v>45</v>
      </c>
      <c r="U642" s="0" t="s">
        <v>160</v>
      </c>
      <c r="V642" s="0" t="s">
        <v>155</v>
      </c>
      <c r="W642" s="0" t="s">
        <v>113</v>
      </c>
      <c r="X642" s="0" t="s">
        <v>114</v>
      </c>
      <c r="Y642" s="0" t="s">
        <v>59</v>
      </c>
      <c r="Z642" s="0" t="s">
        <v>129</v>
      </c>
      <c r="AA642" s="0" t="n">
        <v>40000</v>
      </c>
      <c r="AB642" s="0" t="n">
        <v>40000</v>
      </c>
      <c r="AC642" s="0" t="s">
        <v>61</v>
      </c>
      <c r="AD642" s="0" t="s">
        <v>115</v>
      </c>
      <c r="AE642" s="0" t="s">
        <v>60</v>
      </c>
      <c r="AG642" s="0" t="s">
        <v>50</v>
      </c>
      <c r="AI642" s="0" t="s">
        <v>172</v>
      </c>
      <c r="AJ642" s="0" t="s">
        <v>81</v>
      </c>
      <c r="AM642" s="0" t="s">
        <v>64</v>
      </c>
      <c r="AN642" s="0" t="s">
        <v>190</v>
      </c>
    </row>
    <row r="643" customFormat="false" ht="15" hidden="false" customHeight="false" outlineLevel="0" collapsed="false">
      <c r="A643" s="1" t="n">
        <v>45658</v>
      </c>
      <c r="B643" s="0" t="s">
        <v>1574</v>
      </c>
      <c r="C643" s="0" t="s">
        <v>163</v>
      </c>
      <c r="D643" s="0" t="n">
        <v>8054116005</v>
      </c>
      <c r="E643" s="0" t="s">
        <v>67</v>
      </c>
      <c r="F643" s="0" t="s">
        <v>1575</v>
      </c>
      <c r="G643" s="0" t="s">
        <v>134</v>
      </c>
      <c r="I643" s="0" t="s">
        <v>189</v>
      </c>
      <c r="J643" s="0" t="s">
        <v>90</v>
      </c>
      <c r="K643" s="0" t="n">
        <v>117817</v>
      </c>
      <c r="L643" s="0" t="s">
        <v>124</v>
      </c>
      <c r="M643" s="0" t="s">
        <v>50</v>
      </c>
      <c r="N643" s="0" t="n">
        <v>1</v>
      </c>
      <c r="O643" s="0" t="n">
        <v>5.3</v>
      </c>
      <c r="P643" s="0" t="s">
        <v>51</v>
      </c>
      <c r="Q643" s="0" t="s">
        <v>52</v>
      </c>
      <c r="R643" s="0" t="s">
        <v>53</v>
      </c>
      <c r="S643" s="0" t="s">
        <v>75</v>
      </c>
      <c r="T643" s="0" t="n">
        <v>15</v>
      </c>
      <c r="U643" s="0" t="s">
        <v>96</v>
      </c>
      <c r="V643" s="0" t="s">
        <v>56</v>
      </c>
      <c r="W643" s="0" t="s">
        <v>98</v>
      </c>
      <c r="X643" s="0" t="s">
        <v>114</v>
      </c>
      <c r="AA643" s="0" t="n">
        <v>30000</v>
      </c>
      <c r="AC643" s="0" t="s">
        <v>82</v>
      </c>
      <c r="AD643" s="0" t="n">
        <v>0</v>
      </c>
      <c r="AE643" s="0" t="s">
        <v>184</v>
      </c>
      <c r="AF643" s="0" t="s">
        <v>1227</v>
      </c>
      <c r="AG643" s="0" t="s">
        <v>82</v>
      </c>
      <c r="AH643" s="0" t="s">
        <v>171</v>
      </c>
      <c r="AI643" s="0" t="s">
        <v>172</v>
      </c>
      <c r="AJ643" s="0" t="s">
        <v>50</v>
      </c>
      <c r="AK643" s="0" t="s">
        <v>50</v>
      </c>
      <c r="AL643" s="0" t="s">
        <v>50</v>
      </c>
      <c r="AN643" s="0" t="s">
        <v>63</v>
      </c>
    </row>
    <row r="644" customFormat="false" ht="15" hidden="false" customHeight="false" outlineLevel="0" collapsed="false">
      <c r="A644" s="0" t="s">
        <v>353</v>
      </c>
      <c r="B644" s="0" t="s">
        <v>1576</v>
      </c>
      <c r="C644" s="0" t="s">
        <v>42</v>
      </c>
      <c r="D644" s="0" t="n">
        <v>8028021013</v>
      </c>
      <c r="E644" s="0" t="s">
        <v>122</v>
      </c>
      <c r="F644" s="0" t="s">
        <v>1577</v>
      </c>
      <c r="G644" s="0" t="s">
        <v>107</v>
      </c>
      <c r="H644" s="0" t="s">
        <v>153</v>
      </c>
      <c r="I644" s="0" t="s">
        <v>47</v>
      </c>
      <c r="K644" s="0" t="n">
        <v>116150</v>
      </c>
      <c r="L644" s="0" t="s">
        <v>124</v>
      </c>
      <c r="M644" s="0" t="s">
        <v>50</v>
      </c>
      <c r="N644" s="0" t="n">
        <v>2</v>
      </c>
      <c r="O644" s="0" t="n">
        <v>3.9</v>
      </c>
      <c r="P644" s="0" t="s">
        <v>111</v>
      </c>
      <c r="Q644" s="0" t="s">
        <v>93</v>
      </c>
      <c r="R644" s="0" t="s">
        <v>136</v>
      </c>
      <c r="S644" s="0" t="s">
        <v>126</v>
      </c>
      <c r="T644" s="0" t="n">
        <v>15</v>
      </c>
      <c r="U644" s="0" t="s">
        <v>55</v>
      </c>
      <c r="V644" s="0" t="s">
        <v>77</v>
      </c>
      <c r="W644" s="0" t="s">
        <v>78</v>
      </c>
      <c r="X644" s="0" t="s">
        <v>196</v>
      </c>
      <c r="Y644" s="0" t="s">
        <v>59</v>
      </c>
      <c r="Z644" s="0" t="s">
        <v>161</v>
      </c>
      <c r="AA644" s="0" t="n">
        <v>30000</v>
      </c>
      <c r="AB644" s="0" t="s">
        <v>178</v>
      </c>
      <c r="AC644" s="0" t="s">
        <v>61</v>
      </c>
      <c r="AE644" s="0" t="s">
        <v>130</v>
      </c>
      <c r="AF644" s="1" t="n">
        <v>45907</v>
      </c>
      <c r="AG644" s="0" t="s">
        <v>82</v>
      </c>
      <c r="AJ644" s="0" t="s">
        <v>81</v>
      </c>
      <c r="AK644" s="0" t="s">
        <v>50</v>
      </c>
      <c r="AM644" s="0" t="s">
        <v>64</v>
      </c>
      <c r="AN644" s="0" t="s">
        <v>50</v>
      </c>
    </row>
    <row r="645" customFormat="false" ht="15" hidden="false" customHeight="false" outlineLevel="0" collapsed="false">
      <c r="A645" s="1" t="n">
        <v>45672</v>
      </c>
      <c r="B645" s="0" t="s">
        <v>1578</v>
      </c>
      <c r="C645" s="0" t="s">
        <v>163</v>
      </c>
      <c r="D645" s="0" t="n">
        <v>8047329499</v>
      </c>
      <c r="E645" s="0" t="s">
        <v>67</v>
      </c>
      <c r="F645" s="0" t="s">
        <v>1579</v>
      </c>
      <c r="G645" s="0" t="s">
        <v>45</v>
      </c>
      <c r="H645" s="0" t="s">
        <v>170</v>
      </c>
      <c r="I645" s="0" t="s">
        <v>47</v>
      </c>
      <c r="K645" s="0" t="n">
        <v>67603</v>
      </c>
      <c r="L645" s="0" t="s">
        <v>110</v>
      </c>
      <c r="M645" s="0" t="s">
        <v>63</v>
      </c>
      <c r="N645" s="0" t="n">
        <v>1</v>
      </c>
      <c r="O645" s="0" t="n">
        <v>2</v>
      </c>
      <c r="P645" s="0" t="s">
        <v>125</v>
      </c>
      <c r="Q645" s="0" t="s">
        <v>93</v>
      </c>
      <c r="S645" s="0" t="s">
        <v>147</v>
      </c>
      <c r="T645" s="0" t="n">
        <v>30</v>
      </c>
      <c r="U645" s="0" t="s">
        <v>96</v>
      </c>
      <c r="V645" s="0" t="s">
        <v>155</v>
      </c>
      <c r="W645" s="0" t="s">
        <v>128</v>
      </c>
      <c r="X645" s="0" t="s">
        <v>58</v>
      </c>
      <c r="Y645" s="0" t="s">
        <v>177</v>
      </c>
      <c r="Z645" s="0" t="s">
        <v>149</v>
      </c>
      <c r="AA645" s="0" t="n">
        <v>30000</v>
      </c>
      <c r="AB645" s="0" t="n">
        <v>30000</v>
      </c>
      <c r="AC645" s="0" t="s">
        <v>82</v>
      </c>
      <c r="AD645" s="0" t="n">
        <v>5000</v>
      </c>
      <c r="AE645" s="0" t="s">
        <v>80</v>
      </c>
      <c r="AF645" s="0" t="s">
        <v>1580</v>
      </c>
      <c r="AI645" s="0" t="s">
        <v>117</v>
      </c>
      <c r="AJ645" s="0" t="s">
        <v>62</v>
      </c>
      <c r="AK645" s="0" t="s">
        <v>61</v>
      </c>
      <c r="AM645" s="0" t="s">
        <v>118</v>
      </c>
      <c r="AN645" s="0" t="s">
        <v>198</v>
      </c>
    </row>
    <row r="646" customFormat="false" ht="15" hidden="false" customHeight="false" outlineLevel="0" collapsed="false">
      <c r="A646" s="1" t="n">
        <v>45751</v>
      </c>
      <c r="B646" s="0" t="s">
        <v>1581</v>
      </c>
      <c r="C646" s="0" t="s">
        <v>42</v>
      </c>
      <c r="D646" s="0" t="n">
        <v>8052619317</v>
      </c>
      <c r="E646" s="0" t="s">
        <v>67</v>
      </c>
      <c r="F646" s="0" t="s">
        <v>1582</v>
      </c>
      <c r="G646" s="0" t="s">
        <v>45</v>
      </c>
      <c r="H646" s="0" t="s">
        <v>176</v>
      </c>
      <c r="I646" s="0" t="s">
        <v>47</v>
      </c>
      <c r="J646" s="0" t="s">
        <v>90</v>
      </c>
      <c r="K646" s="0" t="n">
        <v>43321</v>
      </c>
      <c r="L646" s="0" t="s">
        <v>110</v>
      </c>
      <c r="M646" s="0" t="s">
        <v>63</v>
      </c>
      <c r="N646" s="0" t="n">
        <v>3</v>
      </c>
      <c r="O646" s="0" t="n">
        <v>1.9</v>
      </c>
      <c r="P646" s="0" t="s">
        <v>51</v>
      </c>
      <c r="Q646" s="0" t="s">
        <v>52</v>
      </c>
      <c r="R646" s="0" t="s">
        <v>94</v>
      </c>
      <c r="S646" s="0" t="s">
        <v>95</v>
      </c>
      <c r="T646" s="0" t="s">
        <v>127</v>
      </c>
      <c r="U646" s="0" t="s">
        <v>55</v>
      </c>
      <c r="V646" s="0" t="s">
        <v>97</v>
      </c>
      <c r="W646" s="0" t="s">
        <v>78</v>
      </c>
      <c r="X646" s="0" t="s">
        <v>114</v>
      </c>
      <c r="Y646" s="0" t="s">
        <v>177</v>
      </c>
      <c r="Z646" s="0" t="s">
        <v>143</v>
      </c>
      <c r="AA646" s="0" t="n">
        <v>30000</v>
      </c>
      <c r="AB646" s="0" t="n">
        <v>20000</v>
      </c>
      <c r="AC646" s="0" t="s">
        <v>50</v>
      </c>
      <c r="AE646" s="0" t="s">
        <v>130</v>
      </c>
      <c r="AF646" s="0" t="s">
        <v>1583</v>
      </c>
      <c r="AG646" s="0" t="s">
        <v>50</v>
      </c>
      <c r="AI646" s="0" t="s">
        <v>172</v>
      </c>
      <c r="AJ646" s="0" t="s">
        <v>62</v>
      </c>
      <c r="AK646" s="0" t="s">
        <v>63</v>
      </c>
      <c r="AL646" s="0" t="s">
        <v>50</v>
      </c>
      <c r="AN646" s="0" t="s">
        <v>190</v>
      </c>
    </row>
    <row r="647" customFormat="false" ht="15" hidden="false" customHeight="false" outlineLevel="0" collapsed="false">
      <c r="A647" s="0" t="s">
        <v>687</v>
      </c>
      <c r="B647" s="0" t="s">
        <v>1584</v>
      </c>
      <c r="C647" s="0" t="s">
        <v>105</v>
      </c>
      <c r="D647" s="0" t="n">
        <v>8096382807</v>
      </c>
      <c r="E647" s="0" t="s">
        <v>139</v>
      </c>
      <c r="F647" s="0" t="s">
        <v>1585</v>
      </c>
      <c r="G647" s="0" t="s">
        <v>107</v>
      </c>
      <c r="H647" s="0" t="s">
        <v>70</v>
      </c>
      <c r="I647" s="0" t="s">
        <v>89</v>
      </c>
      <c r="J647" s="0" t="s">
        <v>71</v>
      </c>
      <c r="K647" s="0" t="n">
        <v>119881</v>
      </c>
      <c r="L647" s="0" t="s">
        <v>110</v>
      </c>
      <c r="M647" s="0" t="s">
        <v>50</v>
      </c>
      <c r="O647" s="0" t="n">
        <v>1.4</v>
      </c>
      <c r="P647" s="0" t="s">
        <v>111</v>
      </c>
      <c r="Q647" s="0" t="s">
        <v>73</v>
      </c>
      <c r="R647" s="0" t="s">
        <v>159</v>
      </c>
      <c r="S647" s="0" t="s">
        <v>167</v>
      </c>
      <c r="T647" s="0" t="n">
        <v>45</v>
      </c>
      <c r="U647" s="0" t="s">
        <v>96</v>
      </c>
      <c r="V647" s="0" t="s">
        <v>56</v>
      </c>
      <c r="W647" s="0" t="s">
        <v>57</v>
      </c>
      <c r="X647" s="0" t="s">
        <v>58</v>
      </c>
      <c r="Y647" s="0" t="s">
        <v>59</v>
      </c>
      <c r="Z647" s="0" t="s">
        <v>79</v>
      </c>
      <c r="AA647" s="0" t="n">
        <v>40000</v>
      </c>
      <c r="AB647" s="0" t="n">
        <v>30000</v>
      </c>
      <c r="AC647" s="0" t="s">
        <v>82</v>
      </c>
      <c r="AE647" s="0" t="s">
        <v>130</v>
      </c>
      <c r="AG647" s="0" t="s">
        <v>82</v>
      </c>
      <c r="AH647" s="0" t="s">
        <v>171</v>
      </c>
      <c r="AI647" s="0" t="s">
        <v>101</v>
      </c>
      <c r="AJ647" s="0" t="s">
        <v>62</v>
      </c>
      <c r="AK647" s="0" t="s">
        <v>61</v>
      </c>
      <c r="AL647" s="0" t="s">
        <v>102</v>
      </c>
      <c r="AM647" s="0" t="s">
        <v>103</v>
      </c>
    </row>
    <row r="648" customFormat="false" ht="15" hidden="false" customHeight="false" outlineLevel="0" collapsed="false">
      <c r="A648" s="1" t="n">
        <v>45703</v>
      </c>
      <c r="B648" s="0" t="s">
        <v>1586</v>
      </c>
      <c r="C648" s="0" t="s">
        <v>163</v>
      </c>
      <c r="D648" s="0" t="n">
        <v>8015316025</v>
      </c>
      <c r="E648" s="0" t="s">
        <v>85</v>
      </c>
      <c r="F648" s="0" t="s">
        <v>1587</v>
      </c>
      <c r="G648" s="0" t="s">
        <v>69</v>
      </c>
      <c r="H648" s="0" t="s">
        <v>46</v>
      </c>
      <c r="I648" s="0" t="s">
        <v>154</v>
      </c>
      <c r="J648" s="0" t="s">
        <v>90</v>
      </c>
      <c r="K648" s="0" t="n">
        <v>67340</v>
      </c>
      <c r="L648" s="0" t="s">
        <v>72</v>
      </c>
      <c r="M648" s="0" t="s">
        <v>63</v>
      </c>
      <c r="N648" s="0" t="n">
        <v>3</v>
      </c>
      <c r="O648" s="0" t="n">
        <v>3.5</v>
      </c>
      <c r="P648" s="0" t="s">
        <v>92</v>
      </c>
      <c r="Q648" s="0" t="s">
        <v>52</v>
      </c>
      <c r="R648" s="0" t="s">
        <v>136</v>
      </c>
      <c r="S648" s="0" t="s">
        <v>75</v>
      </c>
      <c r="T648" s="0" t="n">
        <v>45</v>
      </c>
      <c r="U648" s="0" t="s">
        <v>160</v>
      </c>
      <c r="V648" s="0" t="s">
        <v>155</v>
      </c>
      <c r="W648" s="0" t="s">
        <v>78</v>
      </c>
      <c r="X648" s="0" t="s">
        <v>114</v>
      </c>
      <c r="Z648" s="0" t="s">
        <v>149</v>
      </c>
      <c r="AB648" s="0" t="s">
        <v>178</v>
      </c>
      <c r="AC648" s="0" t="s">
        <v>82</v>
      </c>
      <c r="AD648" s="0" t="s">
        <v>115</v>
      </c>
      <c r="AE648" s="0" t="s">
        <v>184</v>
      </c>
      <c r="AF648" s="0" t="s">
        <v>805</v>
      </c>
      <c r="AG648" s="0" t="s">
        <v>50</v>
      </c>
      <c r="AJ648" s="0" t="s">
        <v>50</v>
      </c>
      <c r="AL648" s="0" t="s">
        <v>63</v>
      </c>
      <c r="AM648" s="0" t="s">
        <v>118</v>
      </c>
      <c r="AN648" s="0" t="s">
        <v>50</v>
      </c>
    </row>
    <row r="649" customFormat="false" ht="15" hidden="false" customHeight="false" outlineLevel="0" collapsed="false">
      <c r="A649" s="1" t="n">
        <v>45904</v>
      </c>
      <c r="B649" s="0" t="s">
        <v>1588</v>
      </c>
      <c r="C649" s="0" t="s">
        <v>163</v>
      </c>
      <c r="D649" s="0" t="n">
        <v>8079910371</v>
      </c>
      <c r="E649" s="0" t="s">
        <v>43</v>
      </c>
      <c r="F649" s="0" t="s">
        <v>1589</v>
      </c>
      <c r="G649" s="0" t="s">
        <v>69</v>
      </c>
      <c r="H649" s="0" t="s">
        <v>135</v>
      </c>
      <c r="I649" s="0" t="s">
        <v>108</v>
      </c>
      <c r="J649" s="0" t="s">
        <v>71</v>
      </c>
      <c r="K649" s="0" t="n">
        <v>61593</v>
      </c>
      <c r="L649" s="0" t="s">
        <v>166</v>
      </c>
      <c r="M649" s="0" t="s">
        <v>63</v>
      </c>
      <c r="N649" s="0" t="n">
        <v>5</v>
      </c>
      <c r="O649" s="0" t="n">
        <v>2.5</v>
      </c>
      <c r="Q649" s="0" t="s">
        <v>52</v>
      </c>
      <c r="S649" s="0" t="s">
        <v>54</v>
      </c>
      <c r="U649" s="0" t="s">
        <v>112</v>
      </c>
      <c r="V649" s="0" t="s">
        <v>97</v>
      </c>
      <c r="W649" s="0" t="s">
        <v>113</v>
      </c>
      <c r="X649" s="0" t="s">
        <v>99</v>
      </c>
      <c r="Y649" s="0" t="s">
        <v>156</v>
      </c>
      <c r="Z649" s="0" t="s">
        <v>129</v>
      </c>
      <c r="AA649" s="0" t="n">
        <v>15000</v>
      </c>
      <c r="AB649" s="0" t="n">
        <v>30000</v>
      </c>
      <c r="AC649" s="0" t="s">
        <v>82</v>
      </c>
      <c r="AD649" s="0" t="n">
        <v>10000</v>
      </c>
      <c r="AE649" s="0" t="s">
        <v>184</v>
      </c>
      <c r="AF649" s="1" t="n">
        <v>45838</v>
      </c>
      <c r="AH649" s="0" t="s">
        <v>171</v>
      </c>
      <c r="AJ649" s="0" t="s">
        <v>62</v>
      </c>
      <c r="AM649" s="0" t="s">
        <v>118</v>
      </c>
      <c r="AN649" s="0" t="s">
        <v>190</v>
      </c>
    </row>
    <row r="650" customFormat="false" ht="15" hidden="false" customHeight="false" outlineLevel="0" collapsed="false">
      <c r="A650" s="1" t="n">
        <v>45819</v>
      </c>
      <c r="B650" s="0" t="s">
        <v>1590</v>
      </c>
      <c r="C650" s="0" t="s">
        <v>163</v>
      </c>
      <c r="D650" s="0" t="n">
        <v>8065686049</v>
      </c>
      <c r="E650" s="0" t="s">
        <v>85</v>
      </c>
      <c r="F650" s="0" t="s">
        <v>1591</v>
      </c>
      <c r="G650" s="0" t="s">
        <v>69</v>
      </c>
      <c r="H650" s="0" t="s">
        <v>272</v>
      </c>
      <c r="I650" s="0" t="s">
        <v>142</v>
      </c>
      <c r="J650" s="0" t="s">
        <v>48</v>
      </c>
      <c r="K650" s="0" t="n">
        <v>67253</v>
      </c>
      <c r="L650" s="0" t="s">
        <v>72</v>
      </c>
      <c r="M650" s="0" t="s">
        <v>63</v>
      </c>
      <c r="O650" s="0" t="n">
        <v>1.7</v>
      </c>
      <c r="P650" s="0" t="s">
        <v>111</v>
      </c>
      <c r="Q650" s="0" t="s">
        <v>73</v>
      </c>
      <c r="S650" s="0" t="s">
        <v>167</v>
      </c>
      <c r="T650" s="0" t="s">
        <v>127</v>
      </c>
      <c r="U650" s="0" t="s">
        <v>96</v>
      </c>
      <c r="V650" s="0" t="s">
        <v>77</v>
      </c>
      <c r="W650" s="0" t="s">
        <v>113</v>
      </c>
      <c r="X650" s="0" t="s">
        <v>196</v>
      </c>
      <c r="Z650" s="0" t="s">
        <v>143</v>
      </c>
      <c r="AA650" s="0" t="n">
        <v>25000</v>
      </c>
      <c r="AB650" s="0" t="n">
        <v>40000</v>
      </c>
      <c r="AC650" s="0" t="s">
        <v>61</v>
      </c>
      <c r="AD650" s="0" t="n">
        <v>10000</v>
      </c>
      <c r="AE650" s="0" t="s">
        <v>184</v>
      </c>
      <c r="AG650" s="0" t="s">
        <v>61</v>
      </c>
      <c r="AH650" s="0" t="s">
        <v>171</v>
      </c>
      <c r="AI650" s="0" t="s">
        <v>101</v>
      </c>
      <c r="AJ650" s="0" t="s">
        <v>62</v>
      </c>
      <c r="AK650" s="0" t="s">
        <v>63</v>
      </c>
      <c r="AL650" s="0" t="s">
        <v>63</v>
      </c>
      <c r="AM650" s="0" t="s">
        <v>83</v>
      </c>
      <c r="AN650" s="0" t="s">
        <v>63</v>
      </c>
    </row>
    <row r="651" customFormat="false" ht="15" hidden="false" customHeight="false" outlineLevel="0" collapsed="false">
      <c r="A651" s="1" t="n">
        <v>45679</v>
      </c>
      <c r="B651" s="0" t="s">
        <v>1592</v>
      </c>
      <c r="C651" s="0" t="s">
        <v>42</v>
      </c>
      <c r="D651" s="0" t="n">
        <v>8096979318</v>
      </c>
      <c r="E651" s="0" t="s">
        <v>43</v>
      </c>
      <c r="F651" s="0" t="s">
        <v>1593</v>
      </c>
      <c r="G651" s="0" t="s">
        <v>134</v>
      </c>
      <c r="H651" s="0" t="s">
        <v>165</v>
      </c>
      <c r="I651" s="0" t="s">
        <v>154</v>
      </c>
      <c r="J651" s="0" t="s">
        <v>109</v>
      </c>
      <c r="K651" s="0" t="n">
        <v>117897</v>
      </c>
      <c r="L651" s="0" t="s">
        <v>166</v>
      </c>
      <c r="M651" s="0" t="s">
        <v>50</v>
      </c>
      <c r="N651" s="0" t="n">
        <v>1</v>
      </c>
      <c r="O651" s="0" t="n">
        <v>2.4</v>
      </c>
      <c r="P651" s="0" t="s">
        <v>51</v>
      </c>
      <c r="Q651" s="0" t="s">
        <v>52</v>
      </c>
      <c r="R651" s="0" t="s">
        <v>94</v>
      </c>
      <c r="S651" s="0" t="s">
        <v>54</v>
      </c>
      <c r="T651" s="0" t="n">
        <v>15</v>
      </c>
      <c r="U651" s="0" t="s">
        <v>96</v>
      </c>
      <c r="V651" s="0" t="s">
        <v>97</v>
      </c>
      <c r="W651" s="0" t="s">
        <v>78</v>
      </c>
      <c r="X651" s="0" t="s">
        <v>196</v>
      </c>
      <c r="Z651" s="0" t="s">
        <v>161</v>
      </c>
      <c r="AA651" s="0" t="n">
        <v>15000</v>
      </c>
      <c r="AB651" s="0" t="n">
        <v>40000</v>
      </c>
      <c r="AC651" s="0" t="s">
        <v>61</v>
      </c>
      <c r="AE651" s="0" t="s">
        <v>184</v>
      </c>
      <c r="AF651" s="1" t="n">
        <v>45991</v>
      </c>
      <c r="AG651" s="0" t="s">
        <v>63</v>
      </c>
      <c r="AH651" s="0" t="s">
        <v>116</v>
      </c>
      <c r="AI651" s="0" t="s">
        <v>172</v>
      </c>
      <c r="AJ651" s="0" t="s">
        <v>81</v>
      </c>
      <c r="AK651" s="0" t="s">
        <v>61</v>
      </c>
      <c r="AL651" s="0" t="s">
        <v>63</v>
      </c>
      <c r="AM651" s="0" t="s">
        <v>64</v>
      </c>
      <c r="AN651" s="0" t="s">
        <v>63</v>
      </c>
    </row>
    <row r="652" customFormat="false" ht="15" hidden="false" customHeight="false" outlineLevel="0" collapsed="false">
      <c r="A652" s="1" t="n">
        <v>45770</v>
      </c>
      <c r="B652" s="0" t="s">
        <v>1594</v>
      </c>
      <c r="C652" s="0" t="s">
        <v>163</v>
      </c>
      <c r="D652" s="0" t="n">
        <v>8048715788</v>
      </c>
      <c r="E652" s="0" t="s">
        <v>43</v>
      </c>
      <c r="F652" s="0" t="s">
        <v>1595</v>
      </c>
      <c r="G652" s="0" t="s">
        <v>107</v>
      </c>
      <c r="H652" s="0" t="s">
        <v>176</v>
      </c>
      <c r="I652" s="0" t="s">
        <v>189</v>
      </c>
      <c r="J652" s="0" t="s">
        <v>109</v>
      </c>
      <c r="K652" s="0" t="n">
        <v>29518</v>
      </c>
      <c r="L652" s="0" t="s">
        <v>72</v>
      </c>
      <c r="M652" s="0" t="s">
        <v>50</v>
      </c>
      <c r="O652" s="0" t="n">
        <v>2.3</v>
      </c>
      <c r="Q652" s="0" t="s">
        <v>52</v>
      </c>
      <c r="R652" s="0" t="s">
        <v>159</v>
      </c>
      <c r="S652" s="0" t="s">
        <v>126</v>
      </c>
      <c r="T652" s="0" t="s">
        <v>127</v>
      </c>
      <c r="U652" s="0" t="s">
        <v>76</v>
      </c>
      <c r="V652" s="0" t="s">
        <v>155</v>
      </c>
      <c r="W652" s="0" t="s">
        <v>98</v>
      </c>
      <c r="X652" s="0" t="s">
        <v>137</v>
      </c>
      <c r="Y652" s="0" t="s">
        <v>59</v>
      </c>
      <c r="AA652" s="0" t="n">
        <v>15000</v>
      </c>
      <c r="AB652" s="0" t="n">
        <v>40000</v>
      </c>
      <c r="AC652" s="0" t="s">
        <v>63</v>
      </c>
      <c r="AD652" s="0" t="s">
        <v>115</v>
      </c>
      <c r="AF652" s="1" t="n">
        <v>45869</v>
      </c>
      <c r="AG652" s="0" t="s">
        <v>82</v>
      </c>
      <c r="AH652" s="0" t="s">
        <v>116</v>
      </c>
      <c r="AI652" s="0" t="s">
        <v>172</v>
      </c>
      <c r="AJ652" s="0" t="s">
        <v>81</v>
      </c>
      <c r="AK652" s="0" t="s">
        <v>82</v>
      </c>
      <c r="AM652" s="0" t="s">
        <v>118</v>
      </c>
      <c r="AN652" s="0" t="s">
        <v>190</v>
      </c>
    </row>
    <row r="653" customFormat="false" ht="15" hidden="false" customHeight="false" outlineLevel="0" collapsed="false">
      <c r="A653" s="1" t="n">
        <v>45707</v>
      </c>
      <c r="B653" s="0" t="s">
        <v>1596</v>
      </c>
      <c r="C653" s="0" t="s">
        <v>163</v>
      </c>
      <c r="D653" s="0" t="n">
        <v>8013180065</v>
      </c>
      <c r="E653" s="0" t="s">
        <v>139</v>
      </c>
      <c r="F653" s="0" t="s">
        <v>1597</v>
      </c>
      <c r="G653" s="0" t="s">
        <v>45</v>
      </c>
      <c r="H653" s="0" t="s">
        <v>176</v>
      </c>
      <c r="I653" s="0" t="s">
        <v>47</v>
      </c>
      <c r="K653" s="0" t="n">
        <v>20345</v>
      </c>
      <c r="L653" s="0" t="s">
        <v>166</v>
      </c>
      <c r="M653" s="0" t="s">
        <v>63</v>
      </c>
      <c r="N653" s="0" t="n">
        <v>3</v>
      </c>
      <c r="O653" s="0" t="n">
        <v>5.5</v>
      </c>
      <c r="P653" s="0" t="s">
        <v>51</v>
      </c>
      <c r="Q653" s="0" t="s">
        <v>73</v>
      </c>
      <c r="R653" s="0" t="s">
        <v>159</v>
      </c>
      <c r="S653" s="0" t="s">
        <v>147</v>
      </c>
      <c r="U653" s="0" t="s">
        <v>96</v>
      </c>
      <c r="V653" s="0" t="s">
        <v>77</v>
      </c>
      <c r="W653" s="0" t="s">
        <v>113</v>
      </c>
      <c r="X653" s="0" t="s">
        <v>99</v>
      </c>
      <c r="Y653" s="0" t="s">
        <v>177</v>
      </c>
      <c r="Z653" s="0" t="s">
        <v>161</v>
      </c>
      <c r="AB653" s="0" t="n">
        <v>30000</v>
      </c>
      <c r="AD653" s="0" t="n">
        <v>0</v>
      </c>
      <c r="AE653" s="0" t="s">
        <v>60</v>
      </c>
      <c r="AG653" s="0" t="s">
        <v>63</v>
      </c>
      <c r="AJ653" s="0" t="s">
        <v>62</v>
      </c>
      <c r="AL653" s="0" t="s">
        <v>102</v>
      </c>
      <c r="AM653" s="0" t="s">
        <v>83</v>
      </c>
      <c r="AN653" s="0" t="s">
        <v>50</v>
      </c>
    </row>
    <row r="654" customFormat="false" ht="15" hidden="false" customHeight="false" outlineLevel="0" collapsed="false">
      <c r="A654" s="1" t="n">
        <v>45674</v>
      </c>
      <c r="B654" s="0" t="s">
        <v>1598</v>
      </c>
      <c r="C654" s="0" t="s">
        <v>105</v>
      </c>
      <c r="D654" s="0" t="n">
        <v>8040737204</v>
      </c>
      <c r="E654" s="0" t="s">
        <v>122</v>
      </c>
      <c r="F654" s="0" t="s">
        <v>1599</v>
      </c>
      <c r="G654" s="0" t="s">
        <v>107</v>
      </c>
      <c r="H654" s="0" t="s">
        <v>272</v>
      </c>
      <c r="I654" s="0" t="s">
        <v>189</v>
      </c>
      <c r="J654" s="0" t="s">
        <v>90</v>
      </c>
      <c r="K654" s="0" t="n">
        <v>56299</v>
      </c>
      <c r="L654" s="0" t="s">
        <v>124</v>
      </c>
      <c r="M654" s="0" t="s">
        <v>63</v>
      </c>
      <c r="N654" s="0" t="n">
        <v>5</v>
      </c>
      <c r="O654" s="0" t="n">
        <v>4.2</v>
      </c>
      <c r="P654" s="0" t="s">
        <v>51</v>
      </c>
      <c r="Q654" s="0" t="s">
        <v>52</v>
      </c>
      <c r="R654" s="0" t="s">
        <v>94</v>
      </c>
      <c r="S654" s="0" t="s">
        <v>75</v>
      </c>
      <c r="T654" s="0" t="n">
        <v>60</v>
      </c>
      <c r="U654" s="0" t="s">
        <v>76</v>
      </c>
      <c r="V654" s="0" t="s">
        <v>56</v>
      </c>
      <c r="W654" s="0" t="s">
        <v>113</v>
      </c>
      <c r="X654" s="0" t="s">
        <v>137</v>
      </c>
      <c r="Y654" s="0" t="s">
        <v>156</v>
      </c>
      <c r="Z654" s="0" t="s">
        <v>149</v>
      </c>
      <c r="AA654" s="0" t="n">
        <v>15000</v>
      </c>
      <c r="AB654" s="0" t="n">
        <v>30000</v>
      </c>
      <c r="AD654" s="0" t="n">
        <v>5000</v>
      </c>
      <c r="AE654" s="0" t="s">
        <v>184</v>
      </c>
      <c r="AF654" s="1" t="n">
        <v>45917</v>
      </c>
      <c r="AG654" s="0" t="s">
        <v>82</v>
      </c>
      <c r="AI654" s="0" t="s">
        <v>172</v>
      </c>
      <c r="AJ654" s="0" t="s">
        <v>81</v>
      </c>
      <c r="AK654" s="0" t="s">
        <v>82</v>
      </c>
      <c r="AL654" s="0" t="s">
        <v>102</v>
      </c>
      <c r="AM654" s="0" t="s">
        <v>103</v>
      </c>
      <c r="AN654" s="0" t="s">
        <v>50</v>
      </c>
    </row>
    <row r="655" customFormat="false" ht="15" hidden="false" customHeight="false" outlineLevel="0" collapsed="false">
      <c r="A655" s="1" t="n">
        <v>45785</v>
      </c>
      <c r="B655" s="0" t="s">
        <v>1600</v>
      </c>
      <c r="C655" s="0" t="s">
        <v>121</v>
      </c>
      <c r="D655" s="0" t="n">
        <v>8054462343</v>
      </c>
      <c r="E655" s="0" t="s">
        <v>139</v>
      </c>
      <c r="F655" s="0" t="s">
        <v>1601</v>
      </c>
      <c r="G655" s="0" t="s">
        <v>69</v>
      </c>
      <c r="H655" s="0" t="s">
        <v>272</v>
      </c>
      <c r="I655" s="0" t="s">
        <v>89</v>
      </c>
      <c r="J655" s="0" t="s">
        <v>90</v>
      </c>
      <c r="K655" s="0" t="n">
        <v>86696</v>
      </c>
      <c r="L655" s="0" t="s">
        <v>166</v>
      </c>
      <c r="M655" s="0" t="s">
        <v>50</v>
      </c>
      <c r="N655" s="0" t="n">
        <v>2</v>
      </c>
      <c r="O655" s="0" t="n">
        <v>2.1</v>
      </c>
      <c r="P655" s="0" t="s">
        <v>111</v>
      </c>
      <c r="Q655" s="0" t="s">
        <v>93</v>
      </c>
      <c r="R655" s="0" t="s">
        <v>74</v>
      </c>
      <c r="S655" s="0" t="s">
        <v>126</v>
      </c>
      <c r="T655" s="0" t="n">
        <v>60</v>
      </c>
      <c r="U655" s="0" t="s">
        <v>76</v>
      </c>
      <c r="V655" s="0" t="s">
        <v>56</v>
      </c>
      <c r="W655" s="0" t="s">
        <v>98</v>
      </c>
      <c r="X655" s="0" t="s">
        <v>137</v>
      </c>
      <c r="Y655" s="0" t="s">
        <v>156</v>
      </c>
      <c r="Z655" s="0" t="s">
        <v>143</v>
      </c>
      <c r="AC655" s="0" t="s">
        <v>50</v>
      </c>
      <c r="AD655" s="0" t="n">
        <v>0</v>
      </c>
      <c r="AE655" s="0" t="s">
        <v>184</v>
      </c>
      <c r="AF655" s="1" t="n">
        <v>45912</v>
      </c>
      <c r="AG655" s="0" t="s">
        <v>82</v>
      </c>
      <c r="AH655" s="0" t="s">
        <v>116</v>
      </c>
      <c r="AJ655" s="0" t="s">
        <v>63</v>
      </c>
      <c r="AL655" s="0" t="s">
        <v>63</v>
      </c>
      <c r="AM655" s="0" t="s">
        <v>83</v>
      </c>
      <c r="AN655" s="0" t="s">
        <v>190</v>
      </c>
    </row>
    <row r="656" customFormat="false" ht="15" hidden="false" customHeight="false" outlineLevel="0" collapsed="false">
      <c r="A656" s="1" t="n">
        <v>45778</v>
      </c>
      <c r="B656" s="0" t="s">
        <v>1602</v>
      </c>
      <c r="C656" s="0" t="s">
        <v>163</v>
      </c>
      <c r="D656" s="0" t="n">
        <v>8056000229</v>
      </c>
      <c r="E656" s="0" t="s">
        <v>122</v>
      </c>
      <c r="F656" s="0" t="s">
        <v>1603</v>
      </c>
      <c r="G656" s="0" t="s">
        <v>87</v>
      </c>
      <c r="H656" s="0" t="s">
        <v>141</v>
      </c>
      <c r="I656" s="0" t="s">
        <v>189</v>
      </c>
      <c r="J656" s="0" t="s">
        <v>90</v>
      </c>
      <c r="K656" s="0" t="n">
        <v>18398</v>
      </c>
      <c r="L656" s="0" t="s">
        <v>124</v>
      </c>
      <c r="M656" s="0" t="s">
        <v>50</v>
      </c>
      <c r="N656" s="0" t="n">
        <v>4</v>
      </c>
      <c r="O656" s="0" t="n">
        <v>3.1</v>
      </c>
      <c r="P656" s="0" t="s">
        <v>51</v>
      </c>
      <c r="Q656" s="0" t="s">
        <v>52</v>
      </c>
      <c r="R656" s="0" t="s">
        <v>136</v>
      </c>
      <c r="S656" s="0" t="s">
        <v>126</v>
      </c>
      <c r="T656" s="0" t="n">
        <v>60</v>
      </c>
      <c r="U656" s="0" t="s">
        <v>76</v>
      </c>
      <c r="V656" s="0" t="s">
        <v>155</v>
      </c>
      <c r="W656" s="0" t="s">
        <v>78</v>
      </c>
      <c r="X656" s="0" t="s">
        <v>114</v>
      </c>
      <c r="Y656" s="0" t="s">
        <v>197</v>
      </c>
      <c r="Z656" s="0" t="s">
        <v>79</v>
      </c>
      <c r="AA656" s="0" t="n">
        <v>30000</v>
      </c>
      <c r="AB656" s="0" t="n">
        <v>35000</v>
      </c>
      <c r="AD656" s="0" t="s">
        <v>115</v>
      </c>
      <c r="AE656" s="0" t="s">
        <v>184</v>
      </c>
      <c r="AG656" s="0" t="s">
        <v>61</v>
      </c>
      <c r="AH656" s="0" t="s">
        <v>116</v>
      </c>
      <c r="AJ656" s="0" t="s">
        <v>50</v>
      </c>
      <c r="AK656" s="0" t="s">
        <v>50</v>
      </c>
      <c r="AN656" s="0" t="s">
        <v>50</v>
      </c>
    </row>
    <row r="657" customFormat="false" ht="15" hidden="false" customHeight="false" outlineLevel="0" collapsed="false">
      <c r="A657" s="0" t="s">
        <v>1518</v>
      </c>
      <c r="B657" s="0" t="s">
        <v>1604</v>
      </c>
      <c r="C657" s="0" t="s">
        <v>42</v>
      </c>
      <c r="D657" s="0" t="n">
        <v>8042514108</v>
      </c>
      <c r="E657" s="0" t="s">
        <v>139</v>
      </c>
      <c r="F657" s="0" t="s">
        <v>857</v>
      </c>
      <c r="G657" s="0" t="s">
        <v>69</v>
      </c>
      <c r="H657" s="0" t="s">
        <v>176</v>
      </c>
      <c r="I657" s="0" t="s">
        <v>142</v>
      </c>
      <c r="J657" s="0" t="s">
        <v>90</v>
      </c>
      <c r="K657" s="0" t="n">
        <v>78762</v>
      </c>
      <c r="L657" s="0" t="s">
        <v>110</v>
      </c>
      <c r="M657" s="0" t="s">
        <v>50</v>
      </c>
      <c r="N657" s="0" t="n">
        <v>5</v>
      </c>
      <c r="O657" s="0" t="n">
        <v>1.5</v>
      </c>
      <c r="P657" s="0" t="s">
        <v>92</v>
      </c>
      <c r="Q657" s="0" t="s">
        <v>73</v>
      </c>
      <c r="S657" s="0" t="s">
        <v>147</v>
      </c>
      <c r="T657" s="0" t="s">
        <v>127</v>
      </c>
      <c r="U657" s="0" t="s">
        <v>160</v>
      </c>
      <c r="V657" s="0" t="s">
        <v>97</v>
      </c>
      <c r="W657" s="0" t="s">
        <v>128</v>
      </c>
      <c r="X657" s="0" t="s">
        <v>58</v>
      </c>
      <c r="Z657" s="0" t="s">
        <v>161</v>
      </c>
      <c r="AA657" s="0" t="n">
        <v>15000</v>
      </c>
      <c r="AB657" s="0" t="s">
        <v>178</v>
      </c>
      <c r="AC657" s="0" t="s">
        <v>63</v>
      </c>
      <c r="AD657" s="0" t="n">
        <v>10000</v>
      </c>
      <c r="AF657" s="0" t="s">
        <v>1605</v>
      </c>
      <c r="AG657" s="0" t="s">
        <v>82</v>
      </c>
      <c r="AH657" s="0" t="s">
        <v>116</v>
      </c>
      <c r="AJ657" s="0" t="s">
        <v>63</v>
      </c>
      <c r="AK657" s="0" t="s">
        <v>82</v>
      </c>
      <c r="AL657" s="0" t="s">
        <v>50</v>
      </c>
      <c r="AM657" s="0" t="s">
        <v>64</v>
      </c>
      <c r="AN657" s="0" t="s">
        <v>50</v>
      </c>
    </row>
    <row r="658" customFormat="false" ht="15" hidden="false" customHeight="false" outlineLevel="0" collapsed="false">
      <c r="A658" s="0" t="s">
        <v>225</v>
      </c>
      <c r="B658" s="0" t="s">
        <v>1606</v>
      </c>
      <c r="C658" s="0" t="s">
        <v>42</v>
      </c>
      <c r="D658" s="0" t="n">
        <v>8037624348</v>
      </c>
      <c r="E658" s="0" t="s">
        <v>139</v>
      </c>
      <c r="F658" s="0" t="s">
        <v>1607</v>
      </c>
      <c r="G658" s="0" t="s">
        <v>134</v>
      </c>
      <c r="I658" s="0" t="s">
        <v>89</v>
      </c>
      <c r="J658" s="0" t="s">
        <v>109</v>
      </c>
      <c r="K658" s="0" t="n">
        <v>41529</v>
      </c>
      <c r="L658" s="0" t="s">
        <v>110</v>
      </c>
      <c r="M658" s="0" t="s">
        <v>63</v>
      </c>
      <c r="N658" s="0" t="n">
        <v>4</v>
      </c>
      <c r="O658" s="0" t="n">
        <v>5.1</v>
      </c>
      <c r="Q658" s="0" t="s">
        <v>93</v>
      </c>
      <c r="R658" s="0" t="s">
        <v>159</v>
      </c>
      <c r="S658" s="0" t="s">
        <v>126</v>
      </c>
      <c r="T658" s="0" t="n">
        <v>60</v>
      </c>
      <c r="U658" s="0" t="s">
        <v>160</v>
      </c>
      <c r="V658" s="0" t="s">
        <v>77</v>
      </c>
      <c r="W658" s="0" t="s">
        <v>128</v>
      </c>
      <c r="X658" s="0" t="s">
        <v>137</v>
      </c>
      <c r="Z658" s="0" t="s">
        <v>149</v>
      </c>
      <c r="AA658" s="0" t="n">
        <v>25000</v>
      </c>
      <c r="AB658" s="0" t="n">
        <v>20000</v>
      </c>
      <c r="AC658" s="0" t="s">
        <v>82</v>
      </c>
      <c r="AD658" s="0" t="n">
        <v>5000</v>
      </c>
      <c r="AE658" s="0" t="s">
        <v>184</v>
      </c>
      <c r="AG658" s="0" t="s">
        <v>61</v>
      </c>
      <c r="AI658" s="0" t="s">
        <v>117</v>
      </c>
      <c r="AK658" s="0" t="s">
        <v>61</v>
      </c>
      <c r="AM658" s="0" t="s">
        <v>103</v>
      </c>
      <c r="AN658" s="0" t="s">
        <v>50</v>
      </c>
    </row>
    <row r="659" customFormat="false" ht="15" hidden="false" customHeight="false" outlineLevel="0" collapsed="false">
      <c r="A659" s="1" t="n">
        <v>45795</v>
      </c>
      <c r="B659" s="0" t="s">
        <v>1608</v>
      </c>
      <c r="C659" s="0" t="s">
        <v>163</v>
      </c>
      <c r="D659" s="0" t="n">
        <v>8082385198</v>
      </c>
      <c r="E659" s="0" t="s">
        <v>85</v>
      </c>
      <c r="F659" s="0" t="s">
        <v>1609</v>
      </c>
      <c r="G659" s="0" t="s">
        <v>107</v>
      </c>
      <c r="H659" s="0" t="s">
        <v>176</v>
      </c>
      <c r="I659" s="0" t="s">
        <v>142</v>
      </c>
      <c r="K659" s="0" t="n">
        <v>118880</v>
      </c>
      <c r="L659" s="0" t="s">
        <v>72</v>
      </c>
      <c r="M659" s="0" t="s">
        <v>50</v>
      </c>
      <c r="N659" s="0" t="n">
        <v>5</v>
      </c>
      <c r="O659" s="0" t="n">
        <v>1.3</v>
      </c>
      <c r="Q659" s="0" t="s">
        <v>73</v>
      </c>
      <c r="R659" s="0" t="s">
        <v>74</v>
      </c>
      <c r="S659" s="0" t="s">
        <v>54</v>
      </c>
      <c r="T659" s="0" t="n">
        <v>45</v>
      </c>
      <c r="U659" s="0" t="s">
        <v>96</v>
      </c>
      <c r="V659" s="0" t="s">
        <v>97</v>
      </c>
      <c r="W659" s="0" t="s">
        <v>128</v>
      </c>
      <c r="X659" s="0" t="s">
        <v>58</v>
      </c>
      <c r="AB659" s="0" t="n">
        <v>35000</v>
      </c>
      <c r="AD659" s="0" t="n">
        <v>0</v>
      </c>
      <c r="AE659" s="0" t="s">
        <v>184</v>
      </c>
      <c r="AF659" s="0" t="s">
        <v>1610</v>
      </c>
      <c r="AI659" s="0" t="s">
        <v>172</v>
      </c>
      <c r="AK659" s="0" t="s">
        <v>82</v>
      </c>
      <c r="AN659" s="0" t="s">
        <v>63</v>
      </c>
    </row>
    <row r="660" customFormat="false" ht="15" hidden="false" customHeight="false" outlineLevel="0" collapsed="false">
      <c r="A660" s="1" t="n">
        <v>45931</v>
      </c>
      <c r="B660" s="0" t="s">
        <v>1611</v>
      </c>
      <c r="C660" s="0" t="s">
        <v>105</v>
      </c>
      <c r="D660" s="0" t="n">
        <v>8017257686</v>
      </c>
      <c r="E660" s="0" t="s">
        <v>85</v>
      </c>
      <c r="F660" s="0" t="s">
        <v>1612</v>
      </c>
      <c r="G660" s="0" t="s">
        <v>69</v>
      </c>
      <c r="H660" s="0" t="s">
        <v>170</v>
      </c>
      <c r="I660" s="0" t="s">
        <v>108</v>
      </c>
      <c r="J660" s="0" t="s">
        <v>109</v>
      </c>
      <c r="K660" s="0" t="n">
        <v>28117</v>
      </c>
      <c r="L660" s="0" t="s">
        <v>110</v>
      </c>
      <c r="M660" s="0" t="s">
        <v>50</v>
      </c>
      <c r="N660" s="0" t="n">
        <v>4</v>
      </c>
      <c r="O660" s="0" t="n">
        <v>2</v>
      </c>
      <c r="P660" s="0" t="s">
        <v>111</v>
      </c>
      <c r="Q660" s="0" t="s">
        <v>52</v>
      </c>
      <c r="R660" s="0" t="s">
        <v>53</v>
      </c>
      <c r="S660" s="0" t="s">
        <v>147</v>
      </c>
      <c r="T660" s="0" t="n">
        <v>60</v>
      </c>
      <c r="U660" s="0" t="s">
        <v>112</v>
      </c>
      <c r="V660" s="0" t="s">
        <v>56</v>
      </c>
      <c r="W660" s="0" t="s">
        <v>98</v>
      </c>
      <c r="X660" s="0" t="s">
        <v>99</v>
      </c>
      <c r="Y660" s="0" t="s">
        <v>197</v>
      </c>
      <c r="Z660" s="0" t="s">
        <v>129</v>
      </c>
      <c r="AA660" s="0" t="n">
        <v>30000</v>
      </c>
      <c r="AB660" s="0" t="n">
        <v>40000</v>
      </c>
      <c r="AC660" s="0" t="s">
        <v>61</v>
      </c>
      <c r="AD660" s="0" t="n">
        <v>5000</v>
      </c>
      <c r="AE660" s="0" t="s">
        <v>80</v>
      </c>
      <c r="AF660" s="0" t="s">
        <v>537</v>
      </c>
      <c r="AG660" s="0" t="s">
        <v>63</v>
      </c>
      <c r="AH660" s="0" t="s">
        <v>171</v>
      </c>
      <c r="AI660" s="0" t="s">
        <v>101</v>
      </c>
      <c r="AJ660" s="0" t="s">
        <v>81</v>
      </c>
      <c r="AM660" s="0" t="s">
        <v>83</v>
      </c>
      <c r="AN660" s="0" t="s">
        <v>198</v>
      </c>
    </row>
    <row r="661" customFormat="false" ht="15" hidden="false" customHeight="false" outlineLevel="0" collapsed="false">
      <c r="A661" s="1" t="n">
        <v>45662</v>
      </c>
      <c r="B661" s="0" t="s">
        <v>1613</v>
      </c>
      <c r="C661" s="0" t="s">
        <v>42</v>
      </c>
      <c r="D661" s="0" t="n">
        <v>8099255596</v>
      </c>
      <c r="E661" s="0" t="s">
        <v>122</v>
      </c>
      <c r="F661" s="0" t="s">
        <v>1614</v>
      </c>
      <c r="G661" s="0" t="s">
        <v>134</v>
      </c>
      <c r="H661" s="0" t="s">
        <v>176</v>
      </c>
      <c r="I661" s="0" t="s">
        <v>154</v>
      </c>
      <c r="J661" s="0" t="s">
        <v>71</v>
      </c>
      <c r="K661" s="0" t="n">
        <v>101681</v>
      </c>
      <c r="L661" s="0" t="s">
        <v>91</v>
      </c>
      <c r="M661" s="0" t="s">
        <v>50</v>
      </c>
      <c r="N661" s="0" t="n">
        <v>4</v>
      </c>
      <c r="O661" s="0" t="n">
        <v>2.9</v>
      </c>
      <c r="P661" s="0" t="s">
        <v>111</v>
      </c>
      <c r="Q661" s="0" t="s">
        <v>73</v>
      </c>
      <c r="R661" s="0" t="s">
        <v>53</v>
      </c>
      <c r="S661" s="0" t="s">
        <v>95</v>
      </c>
      <c r="T661" s="0" t="n">
        <v>60</v>
      </c>
      <c r="U661" s="0" t="s">
        <v>112</v>
      </c>
      <c r="V661" s="0" t="s">
        <v>155</v>
      </c>
      <c r="W661" s="0" t="s">
        <v>128</v>
      </c>
      <c r="X661" s="0" t="s">
        <v>58</v>
      </c>
      <c r="Y661" s="0" t="s">
        <v>177</v>
      </c>
      <c r="Z661" s="0" t="s">
        <v>129</v>
      </c>
      <c r="AA661" s="0" t="n">
        <v>30000</v>
      </c>
      <c r="AB661" s="0" t="n">
        <v>30000</v>
      </c>
      <c r="AC661" s="0" t="s">
        <v>82</v>
      </c>
      <c r="AD661" s="0" t="s">
        <v>115</v>
      </c>
      <c r="AE661" s="0" t="s">
        <v>60</v>
      </c>
      <c r="AG661" s="0" t="s">
        <v>63</v>
      </c>
      <c r="AH661" s="0" t="s">
        <v>116</v>
      </c>
      <c r="AI661" s="0" t="s">
        <v>101</v>
      </c>
      <c r="AJ661" s="0" t="s">
        <v>50</v>
      </c>
      <c r="AK661" s="0" t="s">
        <v>63</v>
      </c>
      <c r="AL661" s="0" t="s">
        <v>63</v>
      </c>
      <c r="AM661" s="0" t="s">
        <v>118</v>
      </c>
      <c r="AN661" s="0" t="s">
        <v>198</v>
      </c>
    </row>
    <row r="662" customFormat="false" ht="15" hidden="false" customHeight="false" outlineLevel="0" collapsed="false">
      <c r="A662" s="1" t="n">
        <v>45720</v>
      </c>
      <c r="B662" s="0" t="s">
        <v>1615</v>
      </c>
      <c r="C662" s="0" t="s">
        <v>66</v>
      </c>
      <c r="D662" s="0" t="n">
        <v>8043331368</v>
      </c>
      <c r="E662" s="0" t="s">
        <v>67</v>
      </c>
      <c r="F662" s="0" t="s">
        <v>1616</v>
      </c>
      <c r="G662" s="0" t="s">
        <v>87</v>
      </c>
      <c r="H662" s="0" t="s">
        <v>88</v>
      </c>
      <c r="I662" s="0" t="s">
        <v>142</v>
      </c>
      <c r="K662" s="0" t="n">
        <v>72259</v>
      </c>
      <c r="L662" s="0" t="s">
        <v>49</v>
      </c>
      <c r="M662" s="0" t="s">
        <v>50</v>
      </c>
      <c r="N662" s="0" t="n">
        <v>3</v>
      </c>
      <c r="O662" s="0" t="n">
        <v>3.2</v>
      </c>
      <c r="P662" s="0" t="s">
        <v>125</v>
      </c>
      <c r="Q662" s="0" t="s">
        <v>52</v>
      </c>
      <c r="S662" s="0" t="s">
        <v>75</v>
      </c>
      <c r="T662" s="0" t="n">
        <v>45</v>
      </c>
      <c r="U662" s="0" t="s">
        <v>55</v>
      </c>
      <c r="V662" s="0" t="s">
        <v>97</v>
      </c>
      <c r="W662" s="0" t="s">
        <v>113</v>
      </c>
      <c r="X662" s="0" t="s">
        <v>99</v>
      </c>
      <c r="Y662" s="0" t="s">
        <v>177</v>
      </c>
      <c r="Z662" s="0" t="s">
        <v>129</v>
      </c>
      <c r="AA662" s="0" t="n">
        <v>30000</v>
      </c>
      <c r="AB662" s="0" t="n">
        <v>35000</v>
      </c>
      <c r="AC662" s="0" t="s">
        <v>82</v>
      </c>
      <c r="AE662" s="0" t="s">
        <v>130</v>
      </c>
      <c r="AF662" s="1" t="n">
        <v>45993</v>
      </c>
      <c r="AG662" s="0" t="s">
        <v>61</v>
      </c>
      <c r="AJ662" s="0" t="s">
        <v>63</v>
      </c>
      <c r="AK662" s="0" t="s">
        <v>50</v>
      </c>
      <c r="AM662" s="0" t="s">
        <v>103</v>
      </c>
    </row>
    <row r="663" customFormat="false" ht="15" hidden="false" customHeight="false" outlineLevel="0" collapsed="false">
      <c r="A663" s="1" t="n">
        <v>45819</v>
      </c>
      <c r="B663" s="0" t="s">
        <v>1617</v>
      </c>
      <c r="C663" s="0" t="s">
        <v>105</v>
      </c>
      <c r="D663" s="0" t="n">
        <v>8039855935</v>
      </c>
      <c r="E663" s="0" t="s">
        <v>85</v>
      </c>
      <c r="F663" s="0" t="s">
        <v>1618</v>
      </c>
      <c r="G663" s="0" t="s">
        <v>107</v>
      </c>
      <c r="H663" s="0" t="s">
        <v>70</v>
      </c>
      <c r="I663" s="0" t="s">
        <v>154</v>
      </c>
      <c r="J663" s="0" t="s">
        <v>90</v>
      </c>
      <c r="K663" s="0" t="n">
        <v>12487</v>
      </c>
      <c r="L663" s="0" t="s">
        <v>91</v>
      </c>
      <c r="M663" s="0" t="s">
        <v>63</v>
      </c>
      <c r="N663" s="0" t="n">
        <v>1</v>
      </c>
      <c r="O663" s="0" t="n">
        <v>4.4</v>
      </c>
      <c r="P663" s="0" t="s">
        <v>51</v>
      </c>
      <c r="Q663" s="0" t="s">
        <v>52</v>
      </c>
      <c r="S663" s="0" t="s">
        <v>54</v>
      </c>
      <c r="U663" s="0" t="s">
        <v>112</v>
      </c>
      <c r="V663" s="0" t="s">
        <v>56</v>
      </c>
      <c r="W663" s="0" t="s">
        <v>128</v>
      </c>
      <c r="X663" s="0" t="s">
        <v>58</v>
      </c>
      <c r="Y663" s="0" t="s">
        <v>156</v>
      </c>
      <c r="Z663" s="0" t="s">
        <v>143</v>
      </c>
      <c r="AA663" s="0" t="s">
        <v>150</v>
      </c>
      <c r="AB663" s="0" t="n">
        <v>20000</v>
      </c>
      <c r="AD663" s="0" t="n">
        <v>10000</v>
      </c>
      <c r="AE663" s="0" t="s">
        <v>80</v>
      </c>
      <c r="AG663" s="0" t="s">
        <v>63</v>
      </c>
      <c r="AJ663" s="0" t="s">
        <v>63</v>
      </c>
      <c r="AK663" s="0" t="s">
        <v>61</v>
      </c>
      <c r="AM663" s="0" t="s">
        <v>103</v>
      </c>
      <c r="AN663" s="0" t="s">
        <v>50</v>
      </c>
    </row>
    <row r="664" customFormat="false" ht="15" hidden="false" customHeight="false" outlineLevel="0" collapsed="false">
      <c r="A664" s="1" t="n">
        <v>45701</v>
      </c>
      <c r="B664" s="0" t="s">
        <v>1619</v>
      </c>
      <c r="C664" s="0" t="s">
        <v>105</v>
      </c>
      <c r="D664" s="0" t="n">
        <v>8091612860</v>
      </c>
      <c r="E664" s="0" t="s">
        <v>43</v>
      </c>
      <c r="F664" s="0" t="s">
        <v>1620</v>
      </c>
      <c r="G664" s="0" t="s">
        <v>107</v>
      </c>
      <c r="H664" s="0" t="s">
        <v>70</v>
      </c>
      <c r="I664" s="0" t="s">
        <v>108</v>
      </c>
      <c r="J664" s="0" t="s">
        <v>48</v>
      </c>
      <c r="K664" s="0" t="n">
        <v>14205</v>
      </c>
      <c r="L664" s="0" t="s">
        <v>124</v>
      </c>
      <c r="M664" s="0" t="s">
        <v>63</v>
      </c>
      <c r="N664" s="0" t="n">
        <v>1</v>
      </c>
      <c r="O664" s="0" t="n">
        <v>2.1</v>
      </c>
      <c r="P664" s="0" t="s">
        <v>92</v>
      </c>
      <c r="Q664" s="0" t="s">
        <v>52</v>
      </c>
      <c r="R664" s="0" t="s">
        <v>159</v>
      </c>
      <c r="S664" s="0" t="s">
        <v>75</v>
      </c>
      <c r="U664" s="0" t="s">
        <v>55</v>
      </c>
      <c r="V664" s="0" t="s">
        <v>56</v>
      </c>
      <c r="W664" s="0" t="s">
        <v>57</v>
      </c>
      <c r="X664" s="0" t="s">
        <v>58</v>
      </c>
      <c r="Y664" s="0" t="s">
        <v>156</v>
      </c>
      <c r="Z664" s="0" t="s">
        <v>79</v>
      </c>
      <c r="AA664" s="0" t="n">
        <v>30000</v>
      </c>
      <c r="AB664" s="0" t="n">
        <v>40000</v>
      </c>
      <c r="AC664" s="0" t="s">
        <v>61</v>
      </c>
      <c r="AF664" s="1" t="n">
        <v>45877</v>
      </c>
      <c r="AI664" s="0" t="s">
        <v>172</v>
      </c>
      <c r="AJ664" s="0" t="s">
        <v>81</v>
      </c>
      <c r="AK664" s="0" t="s">
        <v>50</v>
      </c>
      <c r="AL664" s="0" t="s">
        <v>63</v>
      </c>
      <c r="AM664" s="0" t="s">
        <v>64</v>
      </c>
      <c r="AN664" s="0" t="s">
        <v>198</v>
      </c>
    </row>
    <row r="665" customFormat="false" ht="15" hidden="false" customHeight="false" outlineLevel="0" collapsed="false">
      <c r="A665" s="0" t="s">
        <v>119</v>
      </c>
      <c r="B665" s="0" t="s">
        <v>1621</v>
      </c>
      <c r="C665" s="0" t="s">
        <v>163</v>
      </c>
      <c r="D665" s="0" t="n">
        <v>8061202173</v>
      </c>
      <c r="E665" s="0" t="s">
        <v>67</v>
      </c>
      <c r="F665" s="0" t="s">
        <v>1622</v>
      </c>
      <c r="G665" s="0" t="s">
        <v>134</v>
      </c>
      <c r="H665" s="0" t="s">
        <v>170</v>
      </c>
      <c r="I665" s="0" t="s">
        <v>108</v>
      </c>
      <c r="J665" s="0" t="s">
        <v>90</v>
      </c>
      <c r="K665" s="0" t="n">
        <v>17547</v>
      </c>
      <c r="L665" s="0" t="s">
        <v>110</v>
      </c>
      <c r="M665" s="0" t="s">
        <v>50</v>
      </c>
      <c r="N665" s="0" t="n">
        <v>5</v>
      </c>
      <c r="O665" s="0" t="n">
        <v>3.4</v>
      </c>
      <c r="P665" s="0" t="s">
        <v>125</v>
      </c>
      <c r="Q665" s="0" t="s">
        <v>93</v>
      </c>
      <c r="R665" s="0" t="s">
        <v>159</v>
      </c>
      <c r="S665" s="0" t="s">
        <v>126</v>
      </c>
      <c r="T665" s="0" t="n">
        <v>60</v>
      </c>
      <c r="U665" s="0" t="s">
        <v>96</v>
      </c>
      <c r="V665" s="0" t="s">
        <v>148</v>
      </c>
      <c r="W665" s="0" t="s">
        <v>57</v>
      </c>
      <c r="X665" s="0" t="s">
        <v>99</v>
      </c>
      <c r="Y665" s="0" t="s">
        <v>156</v>
      </c>
      <c r="Z665" s="0" t="s">
        <v>79</v>
      </c>
      <c r="AB665" s="0" t="n">
        <v>30000</v>
      </c>
      <c r="AC665" s="0" t="s">
        <v>63</v>
      </c>
      <c r="AD665" s="0" t="n">
        <v>5000</v>
      </c>
      <c r="AE665" s="0" t="s">
        <v>60</v>
      </c>
      <c r="AF665" s="1" t="n">
        <v>45889</v>
      </c>
      <c r="AG665" s="0" t="s">
        <v>61</v>
      </c>
      <c r="AH665" s="0" t="s">
        <v>171</v>
      </c>
      <c r="AM665" s="0" t="s">
        <v>64</v>
      </c>
    </row>
    <row r="666" customFormat="false" ht="15" hidden="false" customHeight="false" outlineLevel="0" collapsed="false">
      <c r="A666" s="1" t="n">
        <v>45810</v>
      </c>
      <c r="B666" s="0" t="s">
        <v>1623</v>
      </c>
      <c r="C666" s="0" t="s">
        <v>121</v>
      </c>
      <c r="D666" s="0" t="n">
        <v>8079990777</v>
      </c>
      <c r="E666" s="0" t="s">
        <v>43</v>
      </c>
      <c r="F666" s="0" t="s">
        <v>1624</v>
      </c>
      <c r="G666" s="0" t="s">
        <v>134</v>
      </c>
      <c r="H666" s="0" t="s">
        <v>165</v>
      </c>
      <c r="I666" s="0" t="s">
        <v>89</v>
      </c>
      <c r="J666" s="0" t="s">
        <v>71</v>
      </c>
      <c r="K666" s="0" t="n">
        <v>44865</v>
      </c>
      <c r="L666" s="0" t="s">
        <v>91</v>
      </c>
      <c r="M666" s="0" t="s">
        <v>63</v>
      </c>
      <c r="N666" s="0" t="n">
        <v>1</v>
      </c>
      <c r="O666" s="0" t="n">
        <v>1.7</v>
      </c>
      <c r="P666" s="0" t="s">
        <v>92</v>
      </c>
      <c r="Q666" s="0" t="s">
        <v>93</v>
      </c>
      <c r="S666" s="0" t="s">
        <v>147</v>
      </c>
      <c r="T666" s="0" t="n">
        <v>45</v>
      </c>
      <c r="U666" s="0" t="s">
        <v>112</v>
      </c>
      <c r="V666" s="0" t="s">
        <v>97</v>
      </c>
      <c r="W666" s="0" t="s">
        <v>78</v>
      </c>
      <c r="X666" s="0" t="s">
        <v>58</v>
      </c>
      <c r="Y666" s="0" t="s">
        <v>177</v>
      </c>
      <c r="Z666" s="0" t="s">
        <v>149</v>
      </c>
      <c r="AB666" s="0" t="n">
        <v>35000</v>
      </c>
      <c r="AC666" s="0" t="s">
        <v>63</v>
      </c>
      <c r="AD666" s="0" t="n">
        <v>0</v>
      </c>
      <c r="AE666" s="0" t="s">
        <v>60</v>
      </c>
      <c r="AF666" s="0" t="s">
        <v>1019</v>
      </c>
      <c r="AG666" s="0" t="s">
        <v>63</v>
      </c>
      <c r="AH666" s="0" t="s">
        <v>116</v>
      </c>
      <c r="AJ666" s="0" t="s">
        <v>81</v>
      </c>
      <c r="AK666" s="0" t="s">
        <v>50</v>
      </c>
      <c r="AN666" s="0" t="s">
        <v>190</v>
      </c>
    </row>
    <row r="667" customFormat="false" ht="15" hidden="false" customHeight="false" outlineLevel="0" collapsed="false">
      <c r="A667" s="1" t="n">
        <v>45744</v>
      </c>
      <c r="B667" s="0" t="s">
        <v>1625</v>
      </c>
      <c r="C667" s="0" t="s">
        <v>42</v>
      </c>
      <c r="D667" s="0" t="n">
        <v>8053169386</v>
      </c>
      <c r="E667" s="0" t="s">
        <v>122</v>
      </c>
      <c r="F667" s="0" t="s">
        <v>1626</v>
      </c>
      <c r="G667" s="0" t="s">
        <v>45</v>
      </c>
      <c r="H667" s="0" t="s">
        <v>135</v>
      </c>
      <c r="I667" s="0" t="s">
        <v>142</v>
      </c>
      <c r="K667" s="0" t="n">
        <v>62819</v>
      </c>
      <c r="L667" s="0" t="s">
        <v>110</v>
      </c>
      <c r="M667" s="0" t="s">
        <v>63</v>
      </c>
      <c r="N667" s="0" t="n">
        <v>5</v>
      </c>
      <c r="O667" s="0" t="n">
        <v>3</v>
      </c>
      <c r="P667" s="0" t="s">
        <v>111</v>
      </c>
      <c r="Q667" s="0" t="s">
        <v>93</v>
      </c>
      <c r="R667" s="0" t="s">
        <v>74</v>
      </c>
      <c r="S667" s="0" t="s">
        <v>126</v>
      </c>
      <c r="T667" s="0" t="n">
        <v>60</v>
      </c>
      <c r="U667" s="0" t="s">
        <v>96</v>
      </c>
      <c r="V667" s="0" t="s">
        <v>97</v>
      </c>
      <c r="W667" s="0" t="s">
        <v>98</v>
      </c>
      <c r="X667" s="0" t="s">
        <v>114</v>
      </c>
      <c r="Y667" s="0" t="s">
        <v>59</v>
      </c>
      <c r="Z667" s="0" t="s">
        <v>79</v>
      </c>
      <c r="AA667" s="0" t="n">
        <v>15000</v>
      </c>
      <c r="AB667" s="0" t="n">
        <v>35000</v>
      </c>
      <c r="AC667" s="0" t="s">
        <v>50</v>
      </c>
      <c r="AD667" s="0" t="n">
        <v>10000</v>
      </c>
      <c r="AE667" s="0" t="s">
        <v>184</v>
      </c>
      <c r="AF667" s="1" t="n">
        <v>45973</v>
      </c>
      <c r="AG667" s="0" t="s">
        <v>50</v>
      </c>
      <c r="AH667" s="0" t="s">
        <v>171</v>
      </c>
      <c r="AJ667" s="0" t="s">
        <v>62</v>
      </c>
      <c r="AK667" s="0" t="s">
        <v>61</v>
      </c>
      <c r="AL667" s="0" t="s">
        <v>50</v>
      </c>
      <c r="AM667" s="0" t="s">
        <v>118</v>
      </c>
      <c r="AN667" s="0" t="s">
        <v>50</v>
      </c>
    </row>
    <row r="668" customFormat="false" ht="15" hidden="false" customHeight="false" outlineLevel="0" collapsed="false">
      <c r="A668" s="1" t="n">
        <v>45688</v>
      </c>
      <c r="B668" s="0" t="s">
        <v>1627</v>
      </c>
      <c r="C668" s="0" t="s">
        <v>163</v>
      </c>
      <c r="D668" s="0" t="n">
        <v>8034635056</v>
      </c>
      <c r="E668" s="0" t="s">
        <v>85</v>
      </c>
      <c r="F668" s="0" t="s">
        <v>1628</v>
      </c>
      <c r="G668" s="0" t="s">
        <v>45</v>
      </c>
      <c r="H668" s="0" t="s">
        <v>272</v>
      </c>
      <c r="I668" s="0" t="s">
        <v>89</v>
      </c>
      <c r="J668" s="0" t="s">
        <v>71</v>
      </c>
      <c r="K668" s="0" t="n">
        <v>64369</v>
      </c>
      <c r="L668" s="0" t="s">
        <v>166</v>
      </c>
      <c r="M668" s="0" t="s">
        <v>50</v>
      </c>
      <c r="N668" s="0" t="n">
        <v>3</v>
      </c>
      <c r="O668" s="0" t="n">
        <v>4.5</v>
      </c>
      <c r="P668" s="0" t="s">
        <v>111</v>
      </c>
      <c r="Q668" s="0" t="s">
        <v>52</v>
      </c>
      <c r="R668" s="0" t="s">
        <v>94</v>
      </c>
      <c r="S668" s="0" t="s">
        <v>95</v>
      </c>
      <c r="T668" s="0" t="n">
        <v>60</v>
      </c>
      <c r="U668" s="0" t="s">
        <v>160</v>
      </c>
      <c r="V668" s="0" t="s">
        <v>97</v>
      </c>
      <c r="W668" s="0" t="s">
        <v>78</v>
      </c>
      <c r="X668" s="0" t="s">
        <v>114</v>
      </c>
      <c r="Y668" s="0" t="s">
        <v>177</v>
      </c>
      <c r="Z668" s="0" t="s">
        <v>149</v>
      </c>
      <c r="AA668" s="0" t="n">
        <v>25000</v>
      </c>
      <c r="AB668" s="0" t="n">
        <v>35000</v>
      </c>
      <c r="AC668" s="0" t="s">
        <v>61</v>
      </c>
      <c r="AD668" s="0" t="n">
        <v>5000</v>
      </c>
      <c r="AE668" s="0" t="s">
        <v>80</v>
      </c>
      <c r="AF668" s="0" t="s">
        <v>486</v>
      </c>
      <c r="AG668" s="0" t="s">
        <v>61</v>
      </c>
      <c r="AH668" s="0" t="s">
        <v>116</v>
      </c>
      <c r="AJ668" s="0" t="s">
        <v>63</v>
      </c>
      <c r="AK668" s="0" t="s">
        <v>82</v>
      </c>
      <c r="AL668" s="0" t="s">
        <v>63</v>
      </c>
      <c r="AM668" s="0" t="s">
        <v>103</v>
      </c>
      <c r="AN668" s="0" t="s">
        <v>190</v>
      </c>
    </row>
    <row r="669" customFormat="false" ht="15" hidden="false" customHeight="false" outlineLevel="0" collapsed="false">
      <c r="A669" s="0" t="s">
        <v>1629</v>
      </c>
      <c r="B669" s="0" t="s">
        <v>1630</v>
      </c>
      <c r="C669" s="0" t="s">
        <v>163</v>
      </c>
      <c r="D669" s="0" t="n">
        <v>8069372673</v>
      </c>
      <c r="E669" s="0" t="s">
        <v>122</v>
      </c>
      <c r="F669" s="0" t="s">
        <v>1631</v>
      </c>
      <c r="G669" s="0" t="s">
        <v>134</v>
      </c>
      <c r="H669" s="0" t="s">
        <v>176</v>
      </c>
      <c r="I669" s="0" t="s">
        <v>189</v>
      </c>
      <c r="J669" s="0" t="s">
        <v>90</v>
      </c>
      <c r="K669" s="0" t="n">
        <v>65779</v>
      </c>
      <c r="L669" s="0" t="s">
        <v>49</v>
      </c>
      <c r="M669" s="0" t="s">
        <v>63</v>
      </c>
      <c r="N669" s="0" t="n">
        <v>3</v>
      </c>
      <c r="O669" s="0" t="n">
        <v>1.8</v>
      </c>
      <c r="P669" s="0" t="s">
        <v>92</v>
      </c>
      <c r="Q669" s="0" t="s">
        <v>93</v>
      </c>
      <c r="R669" s="0" t="s">
        <v>136</v>
      </c>
      <c r="S669" s="0" t="s">
        <v>147</v>
      </c>
      <c r="T669" s="0" t="n">
        <v>60</v>
      </c>
      <c r="U669" s="0" t="s">
        <v>112</v>
      </c>
      <c r="V669" s="0" t="s">
        <v>77</v>
      </c>
      <c r="W669" s="0" t="s">
        <v>78</v>
      </c>
      <c r="X669" s="0" t="s">
        <v>58</v>
      </c>
      <c r="Y669" s="0" t="s">
        <v>156</v>
      </c>
      <c r="Z669" s="0" t="s">
        <v>143</v>
      </c>
      <c r="AA669" s="0" t="n">
        <v>15000</v>
      </c>
      <c r="AB669" s="0" t="n">
        <v>35000</v>
      </c>
      <c r="AC669" s="0" t="s">
        <v>61</v>
      </c>
      <c r="AD669" s="0" t="s">
        <v>115</v>
      </c>
      <c r="AE669" s="0" t="s">
        <v>80</v>
      </c>
      <c r="AF669" s="0" t="s">
        <v>1632</v>
      </c>
      <c r="AG669" s="0" t="s">
        <v>50</v>
      </c>
      <c r="AI669" s="0" t="s">
        <v>172</v>
      </c>
      <c r="AJ669" s="0" t="s">
        <v>50</v>
      </c>
      <c r="AK669" s="0" t="s">
        <v>61</v>
      </c>
      <c r="AL669" s="0" t="s">
        <v>63</v>
      </c>
      <c r="AM669" s="0" t="s">
        <v>118</v>
      </c>
    </row>
    <row r="670" customFormat="false" ht="15" hidden="false" customHeight="false" outlineLevel="0" collapsed="false">
      <c r="A670" s="1" t="n">
        <v>45712</v>
      </c>
      <c r="B670" s="0" t="s">
        <v>1633</v>
      </c>
      <c r="C670" s="0" t="s">
        <v>66</v>
      </c>
      <c r="D670" s="0" t="n">
        <v>8094527978</v>
      </c>
      <c r="E670" s="0" t="s">
        <v>67</v>
      </c>
      <c r="F670" s="0" t="s">
        <v>1634</v>
      </c>
      <c r="G670" s="0" t="s">
        <v>69</v>
      </c>
      <c r="H670" s="0" t="s">
        <v>70</v>
      </c>
      <c r="I670" s="0" t="s">
        <v>189</v>
      </c>
      <c r="J670" s="0" t="s">
        <v>90</v>
      </c>
      <c r="K670" s="0" t="n">
        <v>23129</v>
      </c>
      <c r="L670" s="0" t="s">
        <v>72</v>
      </c>
      <c r="M670" s="0" t="s">
        <v>63</v>
      </c>
      <c r="N670" s="0" t="n">
        <v>5</v>
      </c>
      <c r="O670" s="0" t="n">
        <v>5.7</v>
      </c>
      <c r="Q670" s="0" t="s">
        <v>93</v>
      </c>
      <c r="R670" s="0" t="s">
        <v>53</v>
      </c>
      <c r="S670" s="0" t="s">
        <v>75</v>
      </c>
      <c r="T670" s="0" t="n">
        <v>30</v>
      </c>
      <c r="U670" s="0" t="s">
        <v>112</v>
      </c>
      <c r="V670" s="0" t="s">
        <v>155</v>
      </c>
      <c r="W670" s="0" t="s">
        <v>57</v>
      </c>
      <c r="X670" s="0" t="s">
        <v>58</v>
      </c>
      <c r="Y670" s="0" t="s">
        <v>197</v>
      </c>
      <c r="Z670" s="0" t="s">
        <v>129</v>
      </c>
      <c r="AA670" s="0" t="s">
        <v>150</v>
      </c>
      <c r="AB670" s="0" t="s">
        <v>178</v>
      </c>
      <c r="AC670" s="0" t="s">
        <v>50</v>
      </c>
      <c r="AD670" s="0" t="n">
        <v>5000</v>
      </c>
      <c r="AE670" s="0" t="s">
        <v>80</v>
      </c>
      <c r="AF670" s="0" t="s">
        <v>1635</v>
      </c>
      <c r="AJ670" s="0" t="s">
        <v>62</v>
      </c>
      <c r="AK670" s="0" t="s">
        <v>50</v>
      </c>
      <c r="AL670" s="0" t="s">
        <v>50</v>
      </c>
      <c r="AM670" s="0" t="s">
        <v>64</v>
      </c>
      <c r="AN670" s="0" t="s">
        <v>50</v>
      </c>
    </row>
    <row r="671" customFormat="false" ht="15" hidden="false" customHeight="false" outlineLevel="0" collapsed="false">
      <c r="A671" s="0" t="s">
        <v>869</v>
      </c>
      <c r="B671" s="0" t="s">
        <v>1636</v>
      </c>
      <c r="C671" s="0" t="s">
        <v>121</v>
      </c>
      <c r="D671" s="0" t="n">
        <v>8010811032</v>
      </c>
      <c r="E671" s="0" t="s">
        <v>139</v>
      </c>
      <c r="F671" s="0" t="s">
        <v>412</v>
      </c>
      <c r="G671" s="0" t="s">
        <v>107</v>
      </c>
      <c r="H671" s="0" t="s">
        <v>88</v>
      </c>
      <c r="I671" s="0" t="s">
        <v>108</v>
      </c>
      <c r="K671" s="0" t="n">
        <v>50711</v>
      </c>
      <c r="L671" s="0" t="s">
        <v>91</v>
      </c>
      <c r="M671" s="0" t="s">
        <v>50</v>
      </c>
      <c r="N671" s="0" t="n">
        <v>5</v>
      </c>
      <c r="O671" s="0" t="n">
        <v>1.8</v>
      </c>
      <c r="P671" s="0" t="s">
        <v>111</v>
      </c>
      <c r="Q671" s="0" t="s">
        <v>52</v>
      </c>
      <c r="R671" s="0" t="s">
        <v>74</v>
      </c>
      <c r="S671" s="0" t="s">
        <v>95</v>
      </c>
      <c r="T671" s="0" t="n">
        <v>15</v>
      </c>
      <c r="U671" s="0" t="s">
        <v>76</v>
      </c>
      <c r="V671" s="0" t="s">
        <v>155</v>
      </c>
      <c r="W671" s="0" t="s">
        <v>128</v>
      </c>
      <c r="X671" s="0" t="s">
        <v>58</v>
      </c>
      <c r="Y671" s="0" t="s">
        <v>177</v>
      </c>
      <c r="Z671" s="0" t="s">
        <v>129</v>
      </c>
      <c r="AA671" s="0" t="s">
        <v>150</v>
      </c>
      <c r="AC671" s="0" t="s">
        <v>50</v>
      </c>
      <c r="AD671" s="0" t="n">
        <v>0</v>
      </c>
      <c r="AF671" s="1" t="n">
        <v>45973</v>
      </c>
      <c r="AG671" s="0" t="s">
        <v>50</v>
      </c>
      <c r="AJ671" s="0" t="s">
        <v>50</v>
      </c>
      <c r="AK671" s="0" t="s">
        <v>50</v>
      </c>
      <c r="AL671" s="0" t="s">
        <v>63</v>
      </c>
      <c r="AM671" s="0" t="s">
        <v>64</v>
      </c>
      <c r="AN671" s="0" t="s">
        <v>190</v>
      </c>
    </row>
    <row r="672" customFormat="false" ht="15" hidden="false" customHeight="false" outlineLevel="0" collapsed="false">
      <c r="A672" s="1" t="n">
        <v>45701</v>
      </c>
      <c r="B672" s="0" t="s">
        <v>1637</v>
      </c>
      <c r="C672" s="0" t="s">
        <v>163</v>
      </c>
      <c r="D672" s="0" t="n">
        <v>8018672730</v>
      </c>
      <c r="E672" s="0" t="s">
        <v>139</v>
      </c>
      <c r="F672" s="0" t="s">
        <v>1638</v>
      </c>
      <c r="G672" s="0" t="s">
        <v>69</v>
      </c>
      <c r="I672" s="0" t="s">
        <v>89</v>
      </c>
      <c r="K672" s="0" t="n">
        <v>53297</v>
      </c>
      <c r="L672" s="0" t="s">
        <v>91</v>
      </c>
      <c r="M672" s="0" t="s">
        <v>63</v>
      </c>
      <c r="N672" s="0" t="n">
        <v>1</v>
      </c>
      <c r="O672" s="0" t="n">
        <v>1.2</v>
      </c>
      <c r="P672" s="0" t="s">
        <v>111</v>
      </c>
      <c r="Q672" s="0" t="s">
        <v>73</v>
      </c>
      <c r="S672" s="0" t="s">
        <v>167</v>
      </c>
      <c r="T672" s="0" t="n">
        <v>15</v>
      </c>
      <c r="U672" s="0" t="s">
        <v>55</v>
      </c>
      <c r="V672" s="0" t="s">
        <v>155</v>
      </c>
      <c r="W672" s="0" t="s">
        <v>113</v>
      </c>
      <c r="X672" s="0" t="s">
        <v>58</v>
      </c>
      <c r="Y672" s="0" t="s">
        <v>197</v>
      </c>
      <c r="AA672" s="0" t="n">
        <v>25000</v>
      </c>
      <c r="AC672" s="0" t="s">
        <v>63</v>
      </c>
      <c r="AD672" s="0" t="n">
        <v>0</v>
      </c>
      <c r="AE672" s="0" t="s">
        <v>130</v>
      </c>
      <c r="AF672" s="1" t="n">
        <v>45698</v>
      </c>
      <c r="AG672" s="0" t="s">
        <v>63</v>
      </c>
      <c r="AK672" s="0" t="s">
        <v>82</v>
      </c>
      <c r="AM672" s="0" t="s">
        <v>64</v>
      </c>
      <c r="AN672" s="0" t="s">
        <v>190</v>
      </c>
    </row>
    <row r="673" customFormat="false" ht="15" hidden="false" customHeight="false" outlineLevel="0" collapsed="false">
      <c r="A673" s="0" t="s">
        <v>1639</v>
      </c>
      <c r="B673" s="0" t="s">
        <v>1640</v>
      </c>
      <c r="C673" s="0" t="s">
        <v>42</v>
      </c>
      <c r="D673" s="0" t="n">
        <v>8075987111</v>
      </c>
      <c r="E673" s="0" t="s">
        <v>85</v>
      </c>
      <c r="F673" s="0" t="s">
        <v>1641</v>
      </c>
      <c r="G673" s="0" t="s">
        <v>134</v>
      </c>
      <c r="H673" s="0" t="s">
        <v>70</v>
      </c>
      <c r="I673" s="0" t="s">
        <v>108</v>
      </c>
      <c r="J673" s="0" t="s">
        <v>90</v>
      </c>
      <c r="K673" s="0" t="n">
        <v>92160</v>
      </c>
      <c r="L673" s="0" t="s">
        <v>166</v>
      </c>
      <c r="M673" s="0" t="s">
        <v>50</v>
      </c>
      <c r="N673" s="0" t="n">
        <v>4</v>
      </c>
      <c r="O673" s="0" t="n">
        <v>4</v>
      </c>
      <c r="P673" s="0" t="s">
        <v>92</v>
      </c>
      <c r="Q673" s="0" t="s">
        <v>52</v>
      </c>
      <c r="R673" s="0" t="s">
        <v>74</v>
      </c>
      <c r="S673" s="0" t="s">
        <v>75</v>
      </c>
      <c r="T673" s="0" t="n">
        <v>45</v>
      </c>
      <c r="U673" s="0" t="s">
        <v>96</v>
      </c>
      <c r="V673" s="0" t="s">
        <v>148</v>
      </c>
      <c r="W673" s="0" t="s">
        <v>113</v>
      </c>
      <c r="X673" s="0" t="s">
        <v>196</v>
      </c>
      <c r="Y673" s="0" t="s">
        <v>59</v>
      </c>
      <c r="Z673" s="0" t="s">
        <v>129</v>
      </c>
      <c r="AA673" s="0" t="n">
        <v>40000</v>
      </c>
      <c r="AB673" s="0" t="n">
        <v>40000</v>
      </c>
      <c r="AC673" s="0" t="s">
        <v>50</v>
      </c>
      <c r="AD673" s="0" t="s">
        <v>115</v>
      </c>
      <c r="AF673" s="0" t="s">
        <v>1642</v>
      </c>
      <c r="AG673" s="0" t="s">
        <v>82</v>
      </c>
      <c r="AI673" s="0" t="s">
        <v>117</v>
      </c>
      <c r="AJ673" s="0" t="s">
        <v>50</v>
      </c>
      <c r="AK673" s="0" t="s">
        <v>82</v>
      </c>
      <c r="AM673" s="0" t="s">
        <v>64</v>
      </c>
    </row>
    <row r="674" customFormat="false" ht="15" hidden="false" customHeight="false" outlineLevel="0" collapsed="false">
      <c r="A674" s="1" t="n">
        <v>45720</v>
      </c>
      <c r="B674" s="0" t="s">
        <v>1643</v>
      </c>
      <c r="C674" s="0" t="s">
        <v>121</v>
      </c>
      <c r="D674" s="0" t="n">
        <v>8019393216</v>
      </c>
      <c r="E674" s="0" t="s">
        <v>85</v>
      </c>
      <c r="F674" s="0" t="s">
        <v>1644</v>
      </c>
      <c r="G674" s="0" t="s">
        <v>134</v>
      </c>
      <c r="H674" s="0" t="s">
        <v>170</v>
      </c>
      <c r="I674" s="0" t="s">
        <v>108</v>
      </c>
      <c r="J674" s="0" t="s">
        <v>90</v>
      </c>
      <c r="K674" s="0" t="n">
        <v>87242</v>
      </c>
      <c r="L674" s="0" t="s">
        <v>49</v>
      </c>
      <c r="M674" s="0" t="s">
        <v>63</v>
      </c>
      <c r="N674" s="0" t="n">
        <v>3</v>
      </c>
      <c r="O674" s="0" t="n">
        <v>4.9</v>
      </c>
      <c r="P674" s="0" t="s">
        <v>92</v>
      </c>
      <c r="Q674" s="0" t="s">
        <v>73</v>
      </c>
      <c r="R674" s="0" t="s">
        <v>94</v>
      </c>
      <c r="S674" s="0" t="s">
        <v>167</v>
      </c>
      <c r="T674" s="0" t="n">
        <v>15</v>
      </c>
      <c r="U674" s="0" t="s">
        <v>55</v>
      </c>
      <c r="V674" s="0" t="s">
        <v>77</v>
      </c>
      <c r="W674" s="0" t="s">
        <v>57</v>
      </c>
      <c r="X674" s="0" t="s">
        <v>196</v>
      </c>
      <c r="Z674" s="0" t="s">
        <v>149</v>
      </c>
      <c r="AA674" s="0" t="s">
        <v>150</v>
      </c>
      <c r="AB674" s="0" t="n">
        <v>40000</v>
      </c>
      <c r="AC674" s="0" t="s">
        <v>82</v>
      </c>
      <c r="AD674" s="0" t="n">
        <v>10000</v>
      </c>
      <c r="AG674" s="0" t="s">
        <v>63</v>
      </c>
      <c r="AI674" s="0" t="s">
        <v>172</v>
      </c>
      <c r="AK674" s="0" t="s">
        <v>82</v>
      </c>
      <c r="AL674" s="0" t="s">
        <v>102</v>
      </c>
      <c r="AM674" s="0" t="s">
        <v>103</v>
      </c>
      <c r="AN674" s="0" t="s">
        <v>190</v>
      </c>
    </row>
    <row r="675" customFormat="false" ht="15" hidden="false" customHeight="false" outlineLevel="0" collapsed="false">
      <c r="A675" s="1" t="n">
        <v>45967</v>
      </c>
      <c r="B675" s="0" t="s">
        <v>1645</v>
      </c>
      <c r="C675" s="0" t="s">
        <v>42</v>
      </c>
      <c r="D675" s="0" t="n">
        <v>8035832275</v>
      </c>
      <c r="E675" s="0" t="s">
        <v>122</v>
      </c>
      <c r="F675" s="0" t="s">
        <v>1646</v>
      </c>
      <c r="G675" s="0" t="s">
        <v>107</v>
      </c>
      <c r="H675" s="0" t="s">
        <v>153</v>
      </c>
      <c r="I675" s="0" t="s">
        <v>154</v>
      </c>
      <c r="K675" s="0" t="n">
        <v>13268</v>
      </c>
      <c r="L675" s="0" t="s">
        <v>166</v>
      </c>
      <c r="M675" s="0" t="s">
        <v>63</v>
      </c>
      <c r="N675" s="0" t="n">
        <v>3</v>
      </c>
      <c r="O675" s="0" t="n">
        <v>2.2</v>
      </c>
      <c r="P675" s="0" t="s">
        <v>111</v>
      </c>
      <c r="Q675" s="0" t="s">
        <v>52</v>
      </c>
      <c r="R675" s="0" t="s">
        <v>53</v>
      </c>
      <c r="S675" s="0" t="s">
        <v>126</v>
      </c>
      <c r="T675" s="0" t="n">
        <v>60</v>
      </c>
      <c r="U675" s="0" t="s">
        <v>160</v>
      </c>
      <c r="V675" s="0" t="s">
        <v>155</v>
      </c>
      <c r="W675" s="0" t="s">
        <v>128</v>
      </c>
      <c r="X675" s="0" t="s">
        <v>137</v>
      </c>
      <c r="Z675" s="0" t="s">
        <v>161</v>
      </c>
      <c r="AA675" s="0" t="n">
        <v>15000</v>
      </c>
      <c r="AB675" s="0" t="n">
        <v>40000</v>
      </c>
      <c r="AC675" s="0" t="s">
        <v>50</v>
      </c>
      <c r="AD675" s="0" t="n">
        <v>0</v>
      </c>
      <c r="AE675" s="0" t="s">
        <v>184</v>
      </c>
      <c r="AF675" s="1" t="n">
        <v>45959</v>
      </c>
      <c r="AG675" s="0" t="s">
        <v>63</v>
      </c>
      <c r="AI675" s="0" t="s">
        <v>172</v>
      </c>
      <c r="AJ675" s="0" t="s">
        <v>62</v>
      </c>
      <c r="AN675" s="0" t="s">
        <v>50</v>
      </c>
    </row>
    <row r="676" customFormat="false" ht="15" hidden="false" customHeight="false" outlineLevel="0" collapsed="false">
      <c r="A676" s="1" t="n">
        <v>45698</v>
      </c>
      <c r="B676" s="0" t="s">
        <v>1647</v>
      </c>
      <c r="C676" s="0" t="s">
        <v>66</v>
      </c>
      <c r="D676" s="0" t="n">
        <v>8016993664</v>
      </c>
      <c r="E676" s="0" t="s">
        <v>67</v>
      </c>
      <c r="F676" s="0" t="s">
        <v>1648</v>
      </c>
      <c r="G676" s="0" t="s">
        <v>134</v>
      </c>
      <c r="H676" s="0" t="s">
        <v>135</v>
      </c>
      <c r="I676" s="0" t="s">
        <v>142</v>
      </c>
      <c r="J676" s="0" t="s">
        <v>109</v>
      </c>
      <c r="K676" s="0" t="n">
        <v>108971</v>
      </c>
      <c r="L676" s="0" t="s">
        <v>110</v>
      </c>
      <c r="M676" s="0" t="s">
        <v>50</v>
      </c>
      <c r="N676" s="0" t="n">
        <v>2</v>
      </c>
      <c r="O676" s="0" t="n">
        <v>5.5</v>
      </c>
      <c r="P676" s="0" t="s">
        <v>51</v>
      </c>
      <c r="Q676" s="0" t="s">
        <v>93</v>
      </c>
      <c r="R676" s="0" t="s">
        <v>53</v>
      </c>
      <c r="S676" s="0" t="s">
        <v>126</v>
      </c>
      <c r="T676" s="0" t="s">
        <v>127</v>
      </c>
      <c r="U676" s="0" t="s">
        <v>76</v>
      </c>
      <c r="V676" s="0" t="s">
        <v>148</v>
      </c>
      <c r="W676" s="0" t="s">
        <v>128</v>
      </c>
      <c r="X676" s="0" t="s">
        <v>196</v>
      </c>
      <c r="Z676" s="0" t="s">
        <v>161</v>
      </c>
      <c r="AA676" s="0" t="n">
        <v>40000</v>
      </c>
      <c r="AB676" s="0" t="n">
        <v>30000</v>
      </c>
      <c r="AC676" s="0" t="s">
        <v>82</v>
      </c>
      <c r="AD676" s="0" t="n">
        <v>10000</v>
      </c>
      <c r="AE676" s="0" t="s">
        <v>130</v>
      </c>
      <c r="AI676" s="0" t="s">
        <v>117</v>
      </c>
      <c r="AK676" s="0" t="s">
        <v>63</v>
      </c>
      <c r="AL676" s="0" t="s">
        <v>50</v>
      </c>
      <c r="AM676" s="0" t="s">
        <v>103</v>
      </c>
      <c r="AN676" s="0" t="s">
        <v>190</v>
      </c>
    </row>
    <row r="677" customFormat="false" ht="15" hidden="false" customHeight="false" outlineLevel="0" collapsed="false">
      <c r="A677" s="1" t="n">
        <v>45659</v>
      </c>
      <c r="B677" s="0" t="s">
        <v>1649</v>
      </c>
      <c r="C677" s="0" t="s">
        <v>121</v>
      </c>
      <c r="D677" s="0" t="n">
        <v>8095143291</v>
      </c>
      <c r="E677" s="0" t="s">
        <v>139</v>
      </c>
      <c r="F677" s="0" t="s">
        <v>1650</v>
      </c>
      <c r="G677" s="0" t="s">
        <v>107</v>
      </c>
      <c r="I677" s="0" t="s">
        <v>89</v>
      </c>
      <c r="K677" s="0" t="n">
        <v>18888</v>
      </c>
      <c r="L677" s="0" t="s">
        <v>72</v>
      </c>
      <c r="M677" s="0" t="s">
        <v>50</v>
      </c>
      <c r="O677" s="0" t="n">
        <v>3.1</v>
      </c>
      <c r="P677" s="0" t="s">
        <v>111</v>
      </c>
      <c r="Q677" s="0" t="s">
        <v>52</v>
      </c>
      <c r="R677" s="0" t="s">
        <v>74</v>
      </c>
      <c r="S677" s="0" t="s">
        <v>167</v>
      </c>
      <c r="T677" s="0" t="s">
        <v>127</v>
      </c>
      <c r="U677" s="0" t="s">
        <v>96</v>
      </c>
      <c r="V677" s="0" t="s">
        <v>155</v>
      </c>
      <c r="W677" s="0" t="s">
        <v>98</v>
      </c>
      <c r="X677" s="0" t="s">
        <v>137</v>
      </c>
      <c r="Z677" s="0" t="s">
        <v>79</v>
      </c>
      <c r="AA677" s="0" t="n">
        <v>25000</v>
      </c>
      <c r="AD677" s="0" t="n">
        <v>10000</v>
      </c>
      <c r="AE677" s="0" t="s">
        <v>184</v>
      </c>
      <c r="AG677" s="0" t="s">
        <v>50</v>
      </c>
      <c r="AH677" s="0" t="s">
        <v>116</v>
      </c>
      <c r="AJ677" s="0" t="s">
        <v>62</v>
      </c>
      <c r="AK677" s="0" t="s">
        <v>61</v>
      </c>
      <c r="AM677" s="0" t="s">
        <v>103</v>
      </c>
      <c r="AN677" s="0" t="s">
        <v>190</v>
      </c>
    </row>
    <row r="678" customFormat="false" ht="15" hidden="false" customHeight="false" outlineLevel="0" collapsed="false">
      <c r="A678" s="1" t="n">
        <v>45764</v>
      </c>
      <c r="B678" s="0" t="s">
        <v>1651</v>
      </c>
      <c r="C678" s="0" t="s">
        <v>105</v>
      </c>
      <c r="D678" s="0" t="n">
        <v>8028996104</v>
      </c>
      <c r="E678" s="0" t="s">
        <v>85</v>
      </c>
      <c r="F678" s="0" t="s">
        <v>1652</v>
      </c>
      <c r="G678" s="0" t="s">
        <v>45</v>
      </c>
      <c r="H678" s="0" t="s">
        <v>141</v>
      </c>
      <c r="I678" s="0" t="s">
        <v>154</v>
      </c>
      <c r="K678" s="0" t="n">
        <v>114215</v>
      </c>
      <c r="L678" s="0" t="s">
        <v>72</v>
      </c>
      <c r="M678" s="0" t="s">
        <v>63</v>
      </c>
      <c r="N678" s="0" t="n">
        <v>1</v>
      </c>
      <c r="O678" s="0" t="n">
        <v>1.7</v>
      </c>
      <c r="P678" s="0" t="s">
        <v>92</v>
      </c>
      <c r="Q678" s="0" t="s">
        <v>93</v>
      </c>
      <c r="R678" s="0" t="s">
        <v>94</v>
      </c>
      <c r="S678" s="0" t="s">
        <v>126</v>
      </c>
      <c r="T678" s="0" t="s">
        <v>127</v>
      </c>
      <c r="U678" s="0" t="s">
        <v>55</v>
      </c>
      <c r="V678" s="0" t="s">
        <v>155</v>
      </c>
      <c r="W678" s="0" t="s">
        <v>78</v>
      </c>
      <c r="X678" s="0" t="s">
        <v>58</v>
      </c>
      <c r="Y678" s="0" t="s">
        <v>197</v>
      </c>
      <c r="AB678" s="0" t="s">
        <v>178</v>
      </c>
      <c r="AC678" s="0" t="s">
        <v>50</v>
      </c>
      <c r="AD678" s="0" t="n">
        <v>5000</v>
      </c>
      <c r="AF678" s="1" t="n">
        <v>45940</v>
      </c>
      <c r="AH678" s="0" t="s">
        <v>171</v>
      </c>
      <c r="AI678" s="0" t="s">
        <v>101</v>
      </c>
      <c r="AK678" s="0" t="s">
        <v>63</v>
      </c>
      <c r="AL678" s="0" t="s">
        <v>50</v>
      </c>
      <c r="AM678" s="0" t="s">
        <v>83</v>
      </c>
      <c r="AN678" s="0" t="s">
        <v>198</v>
      </c>
    </row>
    <row r="679" customFormat="false" ht="15" hidden="false" customHeight="false" outlineLevel="0" collapsed="false">
      <c r="A679" s="1" t="n">
        <v>45779</v>
      </c>
      <c r="B679" s="0" t="s">
        <v>1653</v>
      </c>
      <c r="C679" s="0" t="s">
        <v>121</v>
      </c>
      <c r="D679" s="0" t="n">
        <v>8037409946</v>
      </c>
      <c r="E679" s="0" t="s">
        <v>139</v>
      </c>
      <c r="F679" s="0" t="s">
        <v>229</v>
      </c>
      <c r="G679" s="0" t="s">
        <v>45</v>
      </c>
      <c r="H679" s="0" t="s">
        <v>70</v>
      </c>
      <c r="I679" s="0" t="s">
        <v>89</v>
      </c>
      <c r="J679" s="0" t="s">
        <v>90</v>
      </c>
      <c r="K679" s="0" t="n">
        <v>25267</v>
      </c>
      <c r="L679" s="0" t="s">
        <v>110</v>
      </c>
      <c r="M679" s="0" t="s">
        <v>63</v>
      </c>
      <c r="N679" s="0" t="n">
        <v>1</v>
      </c>
      <c r="O679" s="0" t="n">
        <v>3.9</v>
      </c>
      <c r="P679" s="0" t="s">
        <v>51</v>
      </c>
      <c r="Q679" s="0" t="s">
        <v>73</v>
      </c>
      <c r="R679" s="0" t="s">
        <v>136</v>
      </c>
      <c r="S679" s="0" t="s">
        <v>147</v>
      </c>
      <c r="T679" s="0" t="n">
        <v>45</v>
      </c>
      <c r="U679" s="0" t="s">
        <v>160</v>
      </c>
      <c r="V679" s="0" t="s">
        <v>97</v>
      </c>
      <c r="W679" s="0" t="s">
        <v>98</v>
      </c>
      <c r="X679" s="0" t="s">
        <v>196</v>
      </c>
      <c r="Y679" s="0" t="s">
        <v>177</v>
      </c>
      <c r="AA679" s="0" t="n">
        <v>40000</v>
      </c>
      <c r="AB679" s="0" t="s">
        <v>178</v>
      </c>
      <c r="AC679" s="0" t="s">
        <v>63</v>
      </c>
      <c r="AD679" s="0" t="n">
        <v>0</v>
      </c>
      <c r="AE679" s="0" t="s">
        <v>130</v>
      </c>
      <c r="AF679" s="1" t="n">
        <v>45846</v>
      </c>
      <c r="AG679" s="0" t="s">
        <v>63</v>
      </c>
      <c r="AL679" s="0" t="s">
        <v>50</v>
      </c>
      <c r="AM679" s="0" t="s">
        <v>83</v>
      </c>
      <c r="AN679" s="0" t="s">
        <v>50</v>
      </c>
    </row>
    <row r="680" customFormat="false" ht="15" hidden="false" customHeight="false" outlineLevel="0" collapsed="false">
      <c r="A680" s="1" t="n">
        <v>45964</v>
      </c>
      <c r="B680" s="0" t="s">
        <v>1654</v>
      </c>
      <c r="C680" s="0" t="s">
        <v>42</v>
      </c>
      <c r="D680" s="0" t="n">
        <v>8026852512</v>
      </c>
      <c r="E680" s="0" t="s">
        <v>85</v>
      </c>
      <c r="F680" s="0" t="s">
        <v>1655</v>
      </c>
      <c r="G680" s="0" t="s">
        <v>69</v>
      </c>
      <c r="H680" s="0" t="s">
        <v>170</v>
      </c>
      <c r="I680" s="0" t="s">
        <v>154</v>
      </c>
      <c r="K680" s="0" t="n">
        <v>16629</v>
      </c>
      <c r="L680" s="0" t="s">
        <v>124</v>
      </c>
      <c r="M680" s="0" t="s">
        <v>63</v>
      </c>
      <c r="N680" s="0" t="n">
        <v>4</v>
      </c>
      <c r="O680" s="0" t="n">
        <v>2</v>
      </c>
      <c r="P680" s="0" t="s">
        <v>92</v>
      </c>
      <c r="Q680" s="0" t="s">
        <v>93</v>
      </c>
      <c r="R680" s="0" t="s">
        <v>159</v>
      </c>
      <c r="S680" s="0" t="s">
        <v>147</v>
      </c>
      <c r="U680" s="0" t="s">
        <v>160</v>
      </c>
      <c r="V680" s="0" t="s">
        <v>155</v>
      </c>
      <c r="W680" s="0" t="s">
        <v>78</v>
      </c>
      <c r="X680" s="0" t="s">
        <v>114</v>
      </c>
      <c r="Y680" s="0" t="s">
        <v>177</v>
      </c>
      <c r="AA680" s="0" t="n">
        <v>40000</v>
      </c>
      <c r="AB680" s="0" t="n">
        <v>40000</v>
      </c>
      <c r="AC680" s="0" t="s">
        <v>50</v>
      </c>
      <c r="AD680" s="0" t="n">
        <v>0</v>
      </c>
      <c r="AE680" s="0" t="s">
        <v>130</v>
      </c>
      <c r="AF680" s="1" t="n">
        <v>45941</v>
      </c>
      <c r="AH680" s="0" t="s">
        <v>116</v>
      </c>
      <c r="AI680" s="0" t="s">
        <v>117</v>
      </c>
      <c r="AJ680" s="0" t="s">
        <v>81</v>
      </c>
      <c r="AK680" s="0" t="s">
        <v>50</v>
      </c>
      <c r="AL680" s="0" t="s">
        <v>50</v>
      </c>
      <c r="AM680" s="0" t="s">
        <v>118</v>
      </c>
      <c r="AN680" s="0" t="s">
        <v>50</v>
      </c>
    </row>
    <row r="681" customFormat="false" ht="15" hidden="false" customHeight="false" outlineLevel="0" collapsed="false">
      <c r="A681" s="1" t="n">
        <v>45702</v>
      </c>
      <c r="B681" s="0" t="s">
        <v>1656</v>
      </c>
      <c r="C681" s="0" t="s">
        <v>163</v>
      </c>
      <c r="D681" s="0" t="n">
        <v>8022315737</v>
      </c>
      <c r="E681" s="0" t="s">
        <v>139</v>
      </c>
      <c r="F681" s="0" t="s">
        <v>1657</v>
      </c>
      <c r="G681" s="0" t="s">
        <v>134</v>
      </c>
      <c r="H681" s="0" t="s">
        <v>146</v>
      </c>
      <c r="I681" s="0" t="s">
        <v>154</v>
      </c>
      <c r="J681" s="0" t="s">
        <v>90</v>
      </c>
      <c r="K681" s="0" t="n">
        <v>68580</v>
      </c>
      <c r="L681" s="0" t="s">
        <v>91</v>
      </c>
      <c r="M681" s="0" t="s">
        <v>63</v>
      </c>
      <c r="N681" s="0" t="n">
        <v>2</v>
      </c>
      <c r="O681" s="0" t="n">
        <v>5.8</v>
      </c>
      <c r="P681" s="0" t="s">
        <v>111</v>
      </c>
      <c r="Q681" s="0" t="s">
        <v>52</v>
      </c>
      <c r="R681" s="0" t="s">
        <v>159</v>
      </c>
      <c r="S681" s="0" t="s">
        <v>147</v>
      </c>
      <c r="U681" s="0" t="s">
        <v>76</v>
      </c>
      <c r="V681" s="0" t="s">
        <v>97</v>
      </c>
      <c r="W681" s="0" t="s">
        <v>98</v>
      </c>
      <c r="X681" s="0" t="s">
        <v>99</v>
      </c>
      <c r="Y681" s="0" t="s">
        <v>177</v>
      </c>
      <c r="Z681" s="0" t="s">
        <v>79</v>
      </c>
      <c r="AA681" s="0" t="n">
        <v>15000</v>
      </c>
      <c r="AB681" s="0" t="n">
        <v>20000</v>
      </c>
      <c r="AC681" s="0" t="s">
        <v>50</v>
      </c>
      <c r="AD681" s="0" t="n">
        <v>0</v>
      </c>
      <c r="AG681" s="0" t="s">
        <v>50</v>
      </c>
      <c r="AH681" s="0" t="s">
        <v>171</v>
      </c>
      <c r="AJ681" s="0" t="s">
        <v>50</v>
      </c>
      <c r="AK681" s="0" t="s">
        <v>50</v>
      </c>
      <c r="AL681" s="0" t="s">
        <v>50</v>
      </c>
      <c r="AM681" s="0" t="s">
        <v>64</v>
      </c>
      <c r="AN681" s="0" t="s">
        <v>50</v>
      </c>
    </row>
    <row r="682" customFormat="false" ht="15" hidden="false" customHeight="false" outlineLevel="0" collapsed="false">
      <c r="A682" s="1" t="n">
        <v>45704</v>
      </c>
      <c r="B682" s="0" t="s">
        <v>1658</v>
      </c>
      <c r="C682" s="0" t="s">
        <v>66</v>
      </c>
      <c r="D682" s="0" t="n">
        <v>8033310374</v>
      </c>
      <c r="E682" s="0" t="s">
        <v>139</v>
      </c>
      <c r="F682" s="0" t="s">
        <v>1659</v>
      </c>
      <c r="G682" s="0" t="s">
        <v>45</v>
      </c>
      <c r="H682" s="0" t="s">
        <v>176</v>
      </c>
      <c r="I682" s="0" t="s">
        <v>154</v>
      </c>
      <c r="J682" s="0" t="s">
        <v>109</v>
      </c>
      <c r="K682" s="0" t="n">
        <v>87137</v>
      </c>
      <c r="L682" s="0" t="s">
        <v>124</v>
      </c>
      <c r="M682" s="0" t="s">
        <v>50</v>
      </c>
      <c r="N682" s="0" t="n">
        <v>5</v>
      </c>
      <c r="O682" s="0" t="n">
        <v>3.9</v>
      </c>
      <c r="P682" s="0" t="s">
        <v>125</v>
      </c>
      <c r="Q682" s="0" t="s">
        <v>93</v>
      </c>
      <c r="R682" s="0" t="s">
        <v>53</v>
      </c>
      <c r="S682" s="0" t="s">
        <v>147</v>
      </c>
      <c r="T682" s="0" t="n">
        <v>45</v>
      </c>
      <c r="U682" s="0" t="s">
        <v>96</v>
      </c>
      <c r="V682" s="0" t="s">
        <v>155</v>
      </c>
      <c r="W682" s="0" t="s">
        <v>128</v>
      </c>
      <c r="X682" s="0" t="s">
        <v>99</v>
      </c>
      <c r="Y682" s="0" t="s">
        <v>59</v>
      </c>
      <c r="Z682" s="0" t="s">
        <v>79</v>
      </c>
      <c r="AB682" s="0" t="n">
        <v>35000</v>
      </c>
      <c r="AC682" s="0" t="s">
        <v>82</v>
      </c>
      <c r="AD682" s="0" t="s">
        <v>115</v>
      </c>
      <c r="AE682" s="0" t="s">
        <v>80</v>
      </c>
      <c r="AF682" s="0" t="s">
        <v>1660</v>
      </c>
      <c r="AG682" s="0" t="s">
        <v>82</v>
      </c>
      <c r="AJ682" s="0" t="s">
        <v>63</v>
      </c>
      <c r="AK682" s="0" t="s">
        <v>82</v>
      </c>
      <c r="AL682" s="0" t="s">
        <v>63</v>
      </c>
      <c r="AM682" s="0" t="s">
        <v>118</v>
      </c>
      <c r="AN682" s="0" t="s">
        <v>50</v>
      </c>
    </row>
    <row r="683" customFormat="false" ht="15" hidden="false" customHeight="false" outlineLevel="0" collapsed="false">
      <c r="A683" s="1" t="n">
        <v>45680</v>
      </c>
      <c r="B683" s="0" t="s">
        <v>1661</v>
      </c>
      <c r="C683" s="0" t="s">
        <v>121</v>
      </c>
      <c r="D683" s="0" t="n">
        <v>8089541539</v>
      </c>
      <c r="E683" s="0" t="s">
        <v>85</v>
      </c>
      <c r="F683" s="0" t="s">
        <v>1662</v>
      </c>
      <c r="G683" s="0" t="s">
        <v>69</v>
      </c>
      <c r="H683" s="0" t="s">
        <v>70</v>
      </c>
      <c r="I683" s="0" t="s">
        <v>142</v>
      </c>
      <c r="J683" s="0" t="s">
        <v>109</v>
      </c>
      <c r="K683" s="0" t="n">
        <v>73655</v>
      </c>
      <c r="L683" s="0" t="s">
        <v>72</v>
      </c>
      <c r="M683" s="0" t="s">
        <v>63</v>
      </c>
      <c r="N683" s="0" t="n">
        <v>5</v>
      </c>
      <c r="O683" s="0" t="n">
        <v>1</v>
      </c>
      <c r="P683" s="0" t="s">
        <v>111</v>
      </c>
      <c r="Q683" s="0" t="s">
        <v>73</v>
      </c>
      <c r="R683" s="0" t="s">
        <v>53</v>
      </c>
      <c r="S683" s="0" t="s">
        <v>167</v>
      </c>
      <c r="T683" s="0" t="s">
        <v>127</v>
      </c>
      <c r="U683" s="0" t="s">
        <v>55</v>
      </c>
      <c r="V683" s="0" t="s">
        <v>97</v>
      </c>
      <c r="W683" s="0" t="s">
        <v>98</v>
      </c>
      <c r="X683" s="0" t="s">
        <v>114</v>
      </c>
      <c r="Y683" s="0" t="s">
        <v>177</v>
      </c>
      <c r="Z683" s="0" t="s">
        <v>149</v>
      </c>
      <c r="AA683" s="0" t="n">
        <v>30000</v>
      </c>
      <c r="AB683" s="0" t="n">
        <v>20000</v>
      </c>
      <c r="AC683" s="0" t="s">
        <v>61</v>
      </c>
      <c r="AD683" s="0" t="n">
        <v>0</v>
      </c>
      <c r="AE683" s="0" t="s">
        <v>130</v>
      </c>
      <c r="AF683" s="1" t="n">
        <v>45828</v>
      </c>
      <c r="AH683" s="0" t="s">
        <v>116</v>
      </c>
      <c r="AI683" s="0" t="s">
        <v>101</v>
      </c>
      <c r="AJ683" s="0" t="s">
        <v>81</v>
      </c>
      <c r="AK683" s="0" t="s">
        <v>63</v>
      </c>
      <c r="AL683" s="0" t="s">
        <v>50</v>
      </c>
      <c r="AM683" s="0" t="s">
        <v>83</v>
      </c>
      <c r="AN683" s="0" t="s">
        <v>198</v>
      </c>
    </row>
    <row r="684" customFormat="false" ht="15" hidden="false" customHeight="false" outlineLevel="0" collapsed="false">
      <c r="A684" s="1" t="n">
        <v>45735</v>
      </c>
      <c r="B684" s="0" t="s">
        <v>1663</v>
      </c>
      <c r="C684" s="0" t="s">
        <v>66</v>
      </c>
      <c r="D684" s="0" t="n">
        <v>8083665010</v>
      </c>
      <c r="E684" s="0" t="s">
        <v>43</v>
      </c>
      <c r="F684" s="0" t="s">
        <v>1664</v>
      </c>
      <c r="G684" s="0" t="s">
        <v>45</v>
      </c>
      <c r="H684" s="0" t="s">
        <v>141</v>
      </c>
      <c r="I684" s="0" t="s">
        <v>89</v>
      </c>
      <c r="J684" s="0" t="s">
        <v>48</v>
      </c>
      <c r="K684" s="0" t="n">
        <v>97364</v>
      </c>
      <c r="L684" s="0" t="s">
        <v>166</v>
      </c>
      <c r="M684" s="0" t="s">
        <v>63</v>
      </c>
      <c r="N684" s="0" t="n">
        <v>4</v>
      </c>
      <c r="O684" s="0" t="n">
        <v>3.3</v>
      </c>
      <c r="P684" s="0" t="s">
        <v>111</v>
      </c>
      <c r="Q684" s="0" t="s">
        <v>73</v>
      </c>
      <c r="R684" s="0" t="s">
        <v>53</v>
      </c>
      <c r="S684" s="0" t="s">
        <v>95</v>
      </c>
      <c r="U684" s="0" t="s">
        <v>76</v>
      </c>
      <c r="V684" s="0" t="s">
        <v>77</v>
      </c>
      <c r="W684" s="0" t="s">
        <v>113</v>
      </c>
      <c r="X684" s="0" t="s">
        <v>137</v>
      </c>
      <c r="Z684" s="0" t="s">
        <v>161</v>
      </c>
      <c r="AA684" s="0" t="n">
        <v>15000</v>
      </c>
      <c r="AB684" s="0" t="n">
        <v>20000</v>
      </c>
      <c r="AC684" s="0" t="s">
        <v>61</v>
      </c>
      <c r="AD684" s="0" t="n">
        <v>10000</v>
      </c>
      <c r="AE684" s="0" t="s">
        <v>184</v>
      </c>
      <c r="AF684" s="1" t="n">
        <v>45858</v>
      </c>
      <c r="AG684" s="0" t="s">
        <v>63</v>
      </c>
      <c r="AI684" s="0" t="s">
        <v>172</v>
      </c>
      <c r="AJ684" s="0" t="s">
        <v>62</v>
      </c>
      <c r="AK684" s="0" t="s">
        <v>82</v>
      </c>
      <c r="AL684" s="0" t="s">
        <v>102</v>
      </c>
      <c r="AM684" s="0" t="s">
        <v>64</v>
      </c>
      <c r="AN684" s="0" t="s">
        <v>50</v>
      </c>
    </row>
    <row r="685" customFormat="false" ht="15" hidden="false" customHeight="false" outlineLevel="0" collapsed="false">
      <c r="A685" s="1" t="n">
        <v>45800</v>
      </c>
      <c r="B685" s="0" t="s">
        <v>1665</v>
      </c>
      <c r="C685" s="0" t="s">
        <v>42</v>
      </c>
      <c r="D685" s="0" t="n">
        <v>8037430524</v>
      </c>
      <c r="E685" s="0" t="s">
        <v>67</v>
      </c>
      <c r="F685" s="0" t="s">
        <v>1666</v>
      </c>
      <c r="G685" s="0" t="s">
        <v>45</v>
      </c>
      <c r="H685" s="0" t="s">
        <v>242</v>
      </c>
      <c r="I685" s="0" t="s">
        <v>89</v>
      </c>
      <c r="K685" s="0" t="n">
        <v>71257</v>
      </c>
      <c r="L685" s="0" t="s">
        <v>49</v>
      </c>
      <c r="M685" s="0" t="s">
        <v>63</v>
      </c>
      <c r="N685" s="0" t="n">
        <v>4</v>
      </c>
      <c r="O685" s="0" t="n">
        <v>4</v>
      </c>
      <c r="P685" s="0" t="s">
        <v>125</v>
      </c>
      <c r="Q685" s="0" t="s">
        <v>93</v>
      </c>
      <c r="R685" s="0" t="s">
        <v>53</v>
      </c>
      <c r="S685" s="0" t="s">
        <v>54</v>
      </c>
      <c r="T685" s="0" t="n">
        <v>30</v>
      </c>
      <c r="U685" s="0" t="s">
        <v>96</v>
      </c>
      <c r="V685" s="0" t="s">
        <v>148</v>
      </c>
      <c r="W685" s="0" t="s">
        <v>57</v>
      </c>
      <c r="X685" s="0" t="s">
        <v>196</v>
      </c>
      <c r="Z685" s="0" t="s">
        <v>143</v>
      </c>
      <c r="AB685" s="0" t="s">
        <v>178</v>
      </c>
      <c r="AC685" s="0" t="s">
        <v>50</v>
      </c>
      <c r="AD685" s="0" t="n">
        <v>10000</v>
      </c>
      <c r="AE685" s="0" t="s">
        <v>60</v>
      </c>
      <c r="AF685" s="0" t="s">
        <v>1667</v>
      </c>
      <c r="AG685" s="0" t="s">
        <v>50</v>
      </c>
      <c r="AH685" s="0" t="s">
        <v>171</v>
      </c>
      <c r="AI685" s="0" t="s">
        <v>172</v>
      </c>
      <c r="AJ685" s="0" t="s">
        <v>81</v>
      </c>
      <c r="AK685" s="0" t="s">
        <v>50</v>
      </c>
      <c r="AM685" s="0" t="s">
        <v>64</v>
      </c>
      <c r="AN685" s="0" t="s">
        <v>198</v>
      </c>
    </row>
    <row r="686" customFormat="false" ht="15" hidden="false" customHeight="false" outlineLevel="0" collapsed="false">
      <c r="A686" s="0" t="s">
        <v>458</v>
      </c>
      <c r="B686" s="0" t="s">
        <v>1668</v>
      </c>
      <c r="C686" s="0" t="s">
        <v>42</v>
      </c>
      <c r="D686" s="0" t="n">
        <v>8041717008</v>
      </c>
      <c r="E686" s="0" t="s">
        <v>67</v>
      </c>
      <c r="F686" s="0" t="s">
        <v>1669</v>
      </c>
      <c r="G686" s="0" t="s">
        <v>87</v>
      </c>
      <c r="I686" s="0" t="s">
        <v>89</v>
      </c>
      <c r="K686" s="0" t="n">
        <v>26295</v>
      </c>
      <c r="L686" s="0" t="s">
        <v>49</v>
      </c>
      <c r="M686" s="0" t="s">
        <v>50</v>
      </c>
      <c r="O686" s="0" t="n">
        <v>1.2</v>
      </c>
      <c r="Q686" s="0" t="s">
        <v>73</v>
      </c>
      <c r="S686" s="0" t="s">
        <v>126</v>
      </c>
      <c r="T686" s="0" t="n">
        <v>45</v>
      </c>
      <c r="U686" s="0" t="s">
        <v>160</v>
      </c>
      <c r="V686" s="0" t="s">
        <v>56</v>
      </c>
      <c r="W686" s="0" t="s">
        <v>57</v>
      </c>
      <c r="X686" s="0" t="s">
        <v>58</v>
      </c>
      <c r="Y686" s="0" t="s">
        <v>156</v>
      </c>
      <c r="Z686" s="0" t="s">
        <v>129</v>
      </c>
      <c r="AA686" s="0" t="n">
        <v>40000</v>
      </c>
      <c r="AB686" s="0" t="s">
        <v>178</v>
      </c>
      <c r="AC686" s="0" t="s">
        <v>61</v>
      </c>
      <c r="AD686" s="0" t="n">
        <v>10000</v>
      </c>
      <c r="AE686" s="0" t="s">
        <v>130</v>
      </c>
      <c r="AF686" s="0" t="s">
        <v>513</v>
      </c>
      <c r="AG686" s="0" t="s">
        <v>50</v>
      </c>
      <c r="AK686" s="0" t="s">
        <v>82</v>
      </c>
      <c r="AM686" s="0" t="s">
        <v>64</v>
      </c>
      <c r="AN686" s="0" t="s">
        <v>198</v>
      </c>
    </row>
    <row r="687" customFormat="false" ht="15" hidden="false" customHeight="false" outlineLevel="0" collapsed="false">
      <c r="A687" s="1" t="n">
        <v>45935</v>
      </c>
      <c r="B687" s="0" t="s">
        <v>1670</v>
      </c>
      <c r="C687" s="0" t="s">
        <v>42</v>
      </c>
      <c r="D687" s="0" t="n">
        <v>8078105370</v>
      </c>
      <c r="E687" s="0" t="s">
        <v>122</v>
      </c>
      <c r="F687" s="0" t="s">
        <v>1671</v>
      </c>
      <c r="G687" s="0" t="s">
        <v>87</v>
      </c>
      <c r="H687" s="0" t="s">
        <v>70</v>
      </c>
      <c r="I687" s="0" t="s">
        <v>142</v>
      </c>
      <c r="J687" s="0" t="s">
        <v>109</v>
      </c>
      <c r="K687" s="0" t="n">
        <v>43071</v>
      </c>
      <c r="L687" s="0" t="s">
        <v>91</v>
      </c>
      <c r="M687" s="0" t="s">
        <v>63</v>
      </c>
      <c r="N687" s="0" t="n">
        <v>5</v>
      </c>
      <c r="O687" s="0" t="n">
        <v>1.5</v>
      </c>
      <c r="P687" s="0" t="s">
        <v>51</v>
      </c>
      <c r="Q687" s="0" t="s">
        <v>52</v>
      </c>
      <c r="S687" s="0" t="s">
        <v>167</v>
      </c>
      <c r="T687" s="0" t="n">
        <v>45</v>
      </c>
      <c r="U687" s="0" t="s">
        <v>96</v>
      </c>
      <c r="V687" s="0" t="s">
        <v>148</v>
      </c>
      <c r="W687" s="0" t="s">
        <v>98</v>
      </c>
      <c r="X687" s="0" t="s">
        <v>114</v>
      </c>
      <c r="Y687" s="0" t="s">
        <v>156</v>
      </c>
      <c r="AC687" s="0" t="s">
        <v>82</v>
      </c>
      <c r="AD687" s="0" t="n">
        <v>5000</v>
      </c>
      <c r="AE687" s="0" t="s">
        <v>80</v>
      </c>
      <c r="AF687" s="1" t="n">
        <v>45913</v>
      </c>
      <c r="AG687" s="0" t="s">
        <v>50</v>
      </c>
      <c r="AH687" s="0" t="s">
        <v>116</v>
      </c>
      <c r="AI687" s="0" t="s">
        <v>117</v>
      </c>
      <c r="AK687" s="0" t="s">
        <v>82</v>
      </c>
      <c r="AM687" s="0" t="s">
        <v>83</v>
      </c>
      <c r="AN687" s="0" t="s">
        <v>63</v>
      </c>
    </row>
    <row r="688" customFormat="false" ht="15" hidden="false" customHeight="false" outlineLevel="0" collapsed="false">
      <c r="A688" s="1" t="n">
        <v>45818</v>
      </c>
      <c r="B688" s="0" t="s">
        <v>1672</v>
      </c>
      <c r="C688" s="0" t="s">
        <v>163</v>
      </c>
      <c r="D688" s="0" t="n">
        <v>8020491063</v>
      </c>
      <c r="E688" s="0" t="s">
        <v>67</v>
      </c>
      <c r="F688" s="0" t="s">
        <v>1673</v>
      </c>
      <c r="G688" s="0" t="s">
        <v>107</v>
      </c>
      <c r="I688" s="0" t="s">
        <v>154</v>
      </c>
      <c r="J688" s="0" t="s">
        <v>90</v>
      </c>
      <c r="K688" s="0" t="n">
        <v>14895</v>
      </c>
      <c r="L688" s="0" t="s">
        <v>91</v>
      </c>
      <c r="M688" s="0" t="s">
        <v>50</v>
      </c>
      <c r="N688" s="0" t="n">
        <v>4</v>
      </c>
      <c r="O688" s="0" t="n">
        <v>2.2</v>
      </c>
      <c r="P688" s="0" t="s">
        <v>51</v>
      </c>
      <c r="Q688" s="0" t="s">
        <v>93</v>
      </c>
      <c r="R688" s="0" t="s">
        <v>94</v>
      </c>
      <c r="S688" s="0" t="s">
        <v>95</v>
      </c>
      <c r="T688" s="0" t="n">
        <v>60</v>
      </c>
      <c r="U688" s="0" t="s">
        <v>76</v>
      </c>
      <c r="V688" s="0" t="s">
        <v>155</v>
      </c>
      <c r="W688" s="0" t="s">
        <v>78</v>
      </c>
      <c r="X688" s="0" t="s">
        <v>196</v>
      </c>
      <c r="Z688" s="0" t="s">
        <v>143</v>
      </c>
      <c r="AA688" s="0" t="n">
        <v>15000</v>
      </c>
      <c r="AC688" s="0" t="s">
        <v>50</v>
      </c>
      <c r="AE688" s="0" t="s">
        <v>130</v>
      </c>
      <c r="AF688" s="1" t="n">
        <v>45977</v>
      </c>
      <c r="AG688" s="0" t="s">
        <v>63</v>
      </c>
      <c r="AJ688" s="0" t="s">
        <v>50</v>
      </c>
      <c r="AL688" s="0" t="s">
        <v>50</v>
      </c>
      <c r="AM688" s="0" t="s">
        <v>103</v>
      </c>
      <c r="AN688" s="0" t="s">
        <v>50</v>
      </c>
    </row>
    <row r="689" customFormat="false" ht="15" hidden="false" customHeight="false" outlineLevel="0" collapsed="false">
      <c r="A689" s="1" t="n">
        <v>45696</v>
      </c>
      <c r="B689" s="0" t="s">
        <v>1674</v>
      </c>
      <c r="C689" s="0" t="s">
        <v>105</v>
      </c>
      <c r="D689" s="0" t="n">
        <v>8067208939</v>
      </c>
      <c r="E689" s="0" t="s">
        <v>85</v>
      </c>
      <c r="F689" s="0" t="s">
        <v>1675</v>
      </c>
      <c r="G689" s="0" t="s">
        <v>69</v>
      </c>
      <c r="H689" s="0" t="s">
        <v>46</v>
      </c>
      <c r="I689" s="0" t="s">
        <v>89</v>
      </c>
      <c r="J689" s="0" t="s">
        <v>71</v>
      </c>
      <c r="K689" s="0" t="n">
        <v>12575</v>
      </c>
      <c r="L689" s="0" t="s">
        <v>124</v>
      </c>
      <c r="M689" s="0" t="s">
        <v>50</v>
      </c>
      <c r="N689" s="0" t="n">
        <v>2</v>
      </c>
      <c r="O689" s="0" t="n">
        <v>2.7</v>
      </c>
      <c r="P689" s="0" t="s">
        <v>51</v>
      </c>
      <c r="Q689" s="0" t="s">
        <v>52</v>
      </c>
      <c r="S689" s="0" t="s">
        <v>75</v>
      </c>
      <c r="T689" s="0" t="n">
        <v>45</v>
      </c>
      <c r="U689" s="0" t="s">
        <v>76</v>
      </c>
      <c r="V689" s="0" t="s">
        <v>56</v>
      </c>
      <c r="W689" s="0" t="s">
        <v>57</v>
      </c>
      <c r="X689" s="0" t="s">
        <v>114</v>
      </c>
      <c r="Y689" s="0" t="s">
        <v>197</v>
      </c>
      <c r="Z689" s="0" t="s">
        <v>79</v>
      </c>
      <c r="AA689" s="0" t="n">
        <v>25000</v>
      </c>
      <c r="AB689" s="0" t="n">
        <v>20000</v>
      </c>
      <c r="AC689" s="0" t="s">
        <v>50</v>
      </c>
      <c r="AE689" s="0" t="s">
        <v>184</v>
      </c>
      <c r="AF689" s="0" t="s">
        <v>974</v>
      </c>
      <c r="AG689" s="0" t="s">
        <v>61</v>
      </c>
      <c r="AH689" s="0" t="s">
        <v>116</v>
      </c>
      <c r="AJ689" s="0" t="s">
        <v>81</v>
      </c>
      <c r="AK689" s="0" t="s">
        <v>61</v>
      </c>
      <c r="AL689" s="0" t="s">
        <v>102</v>
      </c>
      <c r="AN689" s="0" t="s">
        <v>50</v>
      </c>
    </row>
    <row r="690" customFormat="false" ht="15" hidden="false" customHeight="false" outlineLevel="0" collapsed="false">
      <c r="A690" s="1" t="n">
        <v>45779</v>
      </c>
      <c r="B690" s="0" t="s">
        <v>1676</v>
      </c>
      <c r="C690" s="0" t="s">
        <v>66</v>
      </c>
      <c r="D690" s="0" t="n">
        <v>8072689644</v>
      </c>
      <c r="E690" s="0" t="s">
        <v>67</v>
      </c>
      <c r="F690" s="0" t="s">
        <v>1677</v>
      </c>
      <c r="G690" s="0" t="s">
        <v>107</v>
      </c>
      <c r="H690" s="0" t="s">
        <v>153</v>
      </c>
      <c r="I690" s="0" t="s">
        <v>89</v>
      </c>
      <c r="K690" s="0" t="n">
        <v>108175</v>
      </c>
      <c r="L690" s="0" t="s">
        <v>72</v>
      </c>
      <c r="M690" s="0" t="s">
        <v>63</v>
      </c>
      <c r="N690" s="0" t="n">
        <v>3</v>
      </c>
      <c r="O690" s="0" t="n">
        <v>5</v>
      </c>
      <c r="P690" s="0" t="s">
        <v>92</v>
      </c>
      <c r="Q690" s="0" t="s">
        <v>73</v>
      </c>
      <c r="R690" s="0" t="s">
        <v>159</v>
      </c>
      <c r="S690" s="0" t="s">
        <v>167</v>
      </c>
      <c r="T690" s="0" t="n">
        <v>30</v>
      </c>
      <c r="U690" s="0" t="s">
        <v>76</v>
      </c>
      <c r="V690" s="0" t="s">
        <v>56</v>
      </c>
      <c r="W690" s="0" t="s">
        <v>78</v>
      </c>
      <c r="X690" s="0" t="s">
        <v>137</v>
      </c>
      <c r="AA690" s="0" t="n">
        <v>25000</v>
      </c>
      <c r="AB690" s="0" t="n">
        <v>35000</v>
      </c>
      <c r="AC690" s="0" t="s">
        <v>63</v>
      </c>
      <c r="AD690" s="0" t="s">
        <v>115</v>
      </c>
      <c r="AE690" s="0" t="s">
        <v>184</v>
      </c>
      <c r="AG690" s="0" t="s">
        <v>63</v>
      </c>
      <c r="AH690" s="0" t="s">
        <v>116</v>
      </c>
      <c r="AI690" s="0" t="s">
        <v>117</v>
      </c>
      <c r="AK690" s="0" t="s">
        <v>61</v>
      </c>
      <c r="AL690" s="0" t="s">
        <v>63</v>
      </c>
      <c r="AM690" s="0" t="s">
        <v>118</v>
      </c>
      <c r="AN690" s="0" t="s">
        <v>50</v>
      </c>
    </row>
    <row r="691" customFormat="false" ht="15" hidden="false" customHeight="false" outlineLevel="0" collapsed="false">
      <c r="A691" s="0" t="s">
        <v>316</v>
      </c>
      <c r="B691" s="0" t="s">
        <v>1678</v>
      </c>
      <c r="C691" s="0" t="s">
        <v>105</v>
      </c>
      <c r="D691" s="0" t="n">
        <v>8051803852</v>
      </c>
      <c r="E691" s="0" t="s">
        <v>85</v>
      </c>
      <c r="F691" s="0" t="s">
        <v>1679</v>
      </c>
      <c r="G691" s="0" t="s">
        <v>69</v>
      </c>
      <c r="H691" s="0" t="s">
        <v>153</v>
      </c>
      <c r="I691" s="0" t="s">
        <v>142</v>
      </c>
      <c r="J691" s="0" t="s">
        <v>48</v>
      </c>
      <c r="K691" s="0" t="n">
        <v>95865</v>
      </c>
      <c r="L691" s="0" t="s">
        <v>91</v>
      </c>
      <c r="M691" s="0" t="s">
        <v>63</v>
      </c>
      <c r="N691" s="0" t="n">
        <v>5</v>
      </c>
      <c r="O691" s="0" t="n">
        <v>5.8</v>
      </c>
      <c r="P691" s="0" t="s">
        <v>92</v>
      </c>
      <c r="Q691" s="0" t="s">
        <v>52</v>
      </c>
      <c r="R691" s="0" t="s">
        <v>53</v>
      </c>
      <c r="S691" s="0" t="s">
        <v>126</v>
      </c>
      <c r="T691" s="0" t="n">
        <v>30</v>
      </c>
      <c r="U691" s="0" t="s">
        <v>76</v>
      </c>
      <c r="V691" s="0" t="s">
        <v>148</v>
      </c>
      <c r="W691" s="0" t="s">
        <v>57</v>
      </c>
      <c r="X691" s="0" t="s">
        <v>137</v>
      </c>
      <c r="Y691" s="0" t="s">
        <v>197</v>
      </c>
      <c r="Z691" s="0" t="s">
        <v>143</v>
      </c>
      <c r="AA691" s="0" t="n">
        <v>25000</v>
      </c>
      <c r="AD691" s="0" t="n">
        <v>10000</v>
      </c>
      <c r="AE691" s="0" t="s">
        <v>80</v>
      </c>
      <c r="AG691" s="0" t="s">
        <v>63</v>
      </c>
      <c r="AK691" s="0" t="s">
        <v>50</v>
      </c>
      <c r="AL691" s="0" t="s">
        <v>50</v>
      </c>
      <c r="AM691" s="0" t="s">
        <v>64</v>
      </c>
    </row>
    <row r="692" customFormat="false" ht="15" hidden="false" customHeight="false" outlineLevel="0" collapsed="false">
      <c r="A692" s="0" t="s">
        <v>1358</v>
      </c>
      <c r="B692" s="0" t="s">
        <v>1680</v>
      </c>
      <c r="C692" s="0" t="s">
        <v>105</v>
      </c>
      <c r="D692" s="0" t="n">
        <v>8032033022</v>
      </c>
      <c r="E692" s="0" t="s">
        <v>122</v>
      </c>
      <c r="F692" s="0" t="s">
        <v>1681</v>
      </c>
      <c r="G692" s="0" t="s">
        <v>69</v>
      </c>
      <c r="H692" s="0" t="s">
        <v>135</v>
      </c>
      <c r="I692" s="0" t="s">
        <v>47</v>
      </c>
      <c r="K692" s="0" t="n">
        <v>44431</v>
      </c>
      <c r="L692" s="0" t="s">
        <v>166</v>
      </c>
      <c r="M692" s="0" t="s">
        <v>50</v>
      </c>
      <c r="N692" s="0" t="n">
        <v>3</v>
      </c>
      <c r="O692" s="0" t="n">
        <v>1.1</v>
      </c>
      <c r="P692" s="0" t="s">
        <v>51</v>
      </c>
      <c r="Q692" s="0" t="s">
        <v>93</v>
      </c>
      <c r="S692" s="0" t="s">
        <v>126</v>
      </c>
      <c r="U692" s="0" t="s">
        <v>55</v>
      </c>
      <c r="V692" s="0" t="s">
        <v>155</v>
      </c>
      <c r="W692" s="0" t="s">
        <v>128</v>
      </c>
      <c r="X692" s="0" t="s">
        <v>196</v>
      </c>
      <c r="Y692" s="0" t="s">
        <v>156</v>
      </c>
      <c r="Z692" s="0" t="s">
        <v>149</v>
      </c>
      <c r="AA692" s="0" t="s">
        <v>150</v>
      </c>
      <c r="AB692" s="0" t="s">
        <v>178</v>
      </c>
      <c r="AC692" s="0" t="s">
        <v>63</v>
      </c>
      <c r="AD692" s="0" t="n">
        <v>10000</v>
      </c>
      <c r="AF692" s="0" t="s">
        <v>625</v>
      </c>
      <c r="AG692" s="0" t="s">
        <v>82</v>
      </c>
      <c r="AH692" s="0" t="s">
        <v>171</v>
      </c>
      <c r="AI692" s="0" t="s">
        <v>117</v>
      </c>
      <c r="AJ692" s="0" t="s">
        <v>81</v>
      </c>
      <c r="AM692" s="0" t="s">
        <v>83</v>
      </c>
      <c r="AN692" s="0" t="s">
        <v>50</v>
      </c>
    </row>
    <row r="693" customFormat="false" ht="15" hidden="false" customHeight="false" outlineLevel="0" collapsed="false">
      <c r="A693" s="1" t="n">
        <v>45743</v>
      </c>
      <c r="B693" s="0" t="s">
        <v>1682</v>
      </c>
      <c r="C693" s="0" t="s">
        <v>66</v>
      </c>
      <c r="D693" s="0" t="n">
        <v>8036512868</v>
      </c>
      <c r="E693" s="0" t="s">
        <v>85</v>
      </c>
      <c r="F693" s="0" t="s">
        <v>1683</v>
      </c>
      <c r="G693" s="0" t="s">
        <v>69</v>
      </c>
      <c r="H693" s="0" t="s">
        <v>141</v>
      </c>
      <c r="I693" s="0" t="s">
        <v>89</v>
      </c>
      <c r="J693" s="0" t="s">
        <v>71</v>
      </c>
      <c r="K693" s="0" t="n">
        <v>86751</v>
      </c>
      <c r="L693" s="0" t="s">
        <v>110</v>
      </c>
      <c r="M693" s="0" t="s">
        <v>63</v>
      </c>
      <c r="O693" s="0" t="n">
        <v>3.3</v>
      </c>
      <c r="P693" s="0" t="s">
        <v>125</v>
      </c>
      <c r="Q693" s="0" t="s">
        <v>93</v>
      </c>
      <c r="R693" s="0" t="s">
        <v>53</v>
      </c>
      <c r="S693" s="0" t="s">
        <v>167</v>
      </c>
      <c r="T693" s="0" t="s">
        <v>127</v>
      </c>
      <c r="U693" s="0" t="s">
        <v>55</v>
      </c>
      <c r="V693" s="0" t="s">
        <v>77</v>
      </c>
      <c r="W693" s="0" t="s">
        <v>128</v>
      </c>
      <c r="X693" s="0" t="s">
        <v>137</v>
      </c>
      <c r="Y693" s="0" t="s">
        <v>197</v>
      </c>
      <c r="AA693" s="0" t="n">
        <v>40000</v>
      </c>
      <c r="AB693" s="0" t="n">
        <v>40000</v>
      </c>
      <c r="AC693" s="0" t="s">
        <v>82</v>
      </c>
      <c r="AD693" s="0" t="s">
        <v>115</v>
      </c>
      <c r="AE693" s="0" t="s">
        <v>184</v>
      </c>
      <c r="AJ693" s="0" t="s">
        <v>62</v>
      </c>
      <c r="AK693" s="0" t="s">
        <v>63</v>
      </c>
      <c r="AL693" s="0" t="s">
        <v>102</v>
      </c>
      <c r="AM693" s="0" t="s">
        <v>103</v>
      </c>
      <c r="AN693" s="0" t="s">
        <v>50</v>
      </c>
    </row>
    <row r="694" customFormat="false" ht="15" hidden="false" customHeight="false" outlineLevel="0" collapsed="false">
      <c r="A694" s="1" t="n">
        <v>45684</v>
      </c>
      <c r="B694" s="0" t="s">
        <v>1684</v>
      </c>
      <c r="C694" s="0" t="s">
        <v>42</v>
      </c>
      <c r="D694" s="0" t="n">
        <v>8042873271</v>
      </c>
      <c r="E694" s="0" t="s">
        <v>139</v>
      </c>
      <c r="F694" s="0" t="s">
        <v>1685</v>
      </c>
      <c r="G694" s="0" t="s">
        <v>107</v>
      </c>
      <c r="H694" s="0" t="s">
        <v>165</v>
      </c>
      <c r="I694" s="0" t="s">
        <v>89</v>
      </c>
      <c r="J694" s="0" t="s">
        <v>90</v>
      </c>
      <c r="K694" s="0" t="n">
        <v>40926</v>
      </c>
      <c r="L694" s="0" t="s">
        <v>110</v>
      </c>
      <c r="M694" s="0" t="s">
        <v>50</v>
      </c>
      <c r="N694" s="0" t="n">
        <v>4</v>
      </c>
      <c r="O694" s="0" t="n">
        <v>4.1</v>
      </c>
      <c r="P694" s="0" t="s">
        <v>125</v>
      </c>
      <c r="Q694" s="0" t="s">
        <v>93</v>
      </c>
      <c r="R694" s="0" t="s">
        <v>53</v>
      </c>
      <c r="S694" s="0" t="s">
        <v>75</v>
      </c>
      <c r="T694" s="0" t="s">
        <v>127</v>
      </c>
      <c r="U694" s="0" t="s">
        <v>160</v>
      </c>
      <c r="V694" s="0" t="s">
        <v>77</v>
      </c>
      <c r="W694" s="0" t="s">
        <v>113</v>
      </c>
      <c r="X694" s="0" t="s">
        <v>114</v>
      </c>
      <c r="Y694" s="0" t="s">
        <v>177</v>
      </c>
      <c r="Z694" s="0" t="s">
        <v>161</v>
      </c>
      <c r="AA694" s="0" t="n">
        <v>25000</v>
      </c>
      <c r="AB694" s="0" t="n">
        <v>35000</v>
      </c>
      <c r="AC694" s="0" t="s">
        <v>61</v>
      </c>
      <c r="AD694" s="0" t="n">
        <v>10000</v>
      </c>
      <c r="AE694" s="0" t="s">
        <v>60</v>
      </c>
      <c r="AF694" s="1" t="n">
        <v>45859</v>
      </c>
      <c r="AG694" s="0" t="s">
        <v>50</v>
      </c>
      <c r="AJ694" s="0" t="s">
        <v>62</v>
      </c>
      <c r="AK694" s="0" t="s">
        <v>63</v>
      </c>
      <c r="AM694" s="0" t="s">
        <v>83</v>
      </c>
      <c r="AN694" s="0" t="s">
        <v>198</v>
      </c>
    </row>
    <row r="695" customFormat="false" ht="15" hidden="false" customHeight="false" outlineLevel="0" collapsed="false">
      <c r="A695" s="1" t="n">
        <v>45782</v>
      </c>
      <c r="B695" s="0" t="s">
        <v>1686</v>
      </c>
      <c r="C695" s="0" t="s">
        <v>105</v>
      </c>
      <c r="D695" s="0" t="n">
        <v>8066910568</v>
      </c>
      <c r="E695" s="0" t="s">
        <v>85</v>
      </c>
      <c r="F695" s="0" t="s">
        <v>1687</v>
      </c>
      <c r="G695" s="0" t="s">
        <v>134</v>
      </c>
      <c r="H695" s="0" t="s">
        <v>70</v>
      </c>
      <c r="I695" s="0" t="s">
        <v>142</v>
      </c>
      <c r="J695" s="0" t="s">
        <v>109</v>
      </c>
      <c r="K695" s="0" t="n">
        <v>81287</v>
      </c>
      <c r="L695" s="0" t="s">
        <v>110</v>
      </c>
      <c r="M695" s="0" t="s">
        <v>63</v>
      </c>
      <c r="O695" s="0" t="n">
        <v>1.4</v>
      </c>
      <c r="P695" s="0" t="s">
        <v>92</v>
      </c>
      <c r="Q695" s="0" t="s">
        <v>93</v>
      </c>
      <c r="R695" s="0" t="s">
        <v>94</v>
      </c>
      <c r="S695" s="0" t="s">
        <v>147</v>
      </c>
      <c r="T695" s="0" t="n">
        <v>15</v>
      </c>
      <c r="U695" s="0" t="s">
        <v>112</v>
      </c>
      <c r="V695" s="0" t="s">
        <v>97</v>
      </c>
      <c r="W695" s="0" t="s">
        <v>113</v>
      </c>
      <c r="X695" s="0" t="s">
        <v>99</v>
      </c>
      <c r="AA695" s="0" t="n">
        <v>40000</v>
      </c>
      <c r="AB695" s="0" t="s">
        <v>178</v>
      </c>
      <c r="AC695" s="0" t="s">
        <v>63</v>
      </c>
      <c r="AD695" s="0" t="n">
        <v>10000</v>
      </c>
      <c r="AE695" s="0" t="s">
        <v>130</v>
      </c>
      <c r="AF695" s="1" t="n">
        <v>45915</v>
      </c>
      <c r="AG695" s="0" t="s">
        <v>50</v>
      </c>
      <c r="AH695" s="0" t="s">
        <v>116</v>
      </c>
      <c r="AI695" s="0" t="s">
        <v>101</v>
      </c>
      <c r="AJ695" s="0" t="s">
        <v>63</v>
      </c>
      <c r="AK695" s="0" t="s">
        <v>63</v>
      </c>
      <c r="AL695" s="0" t="s">
        <v>63</v>
      </c>
      <c r="AM695" s="0" t="s">
        <v>64</v>
      </c>
      <c r="AN695" s="0" t="s">
        <v>190</v>
      </c>
    </row>
    <row r="696" customFormat="false" ht="15" hidden="false" customHeight="false" outlineLevel="0" collapsed="false">
      <c r="A696" s="1" t="n">
        <v>45718</v>
      </c>
      <c r="B696" s="0" t="s">
        <v>1688</v>
      </c>
      <c r="C696" s="0" t="s">
        <v>66</v>
      </c>
      <c r="D696" s="0" t="n">
        <v>8033680772</v>
      </c>
      <c r="E696" s="0" t="s">
        <v>85</v>
      </c>
      <c r="F696" s="0" t="s">
        <v>1689</v>
      </c>
      <c r="G696" s="0" t="s">
        <v>87</v>
      </c>
      <c r="H696" s="0" t="s">
        <v>153</v>
      </c>
      <c r="I696" s="0" t="s">
        <v>47</v>
      </c>
      <c r="J696" s="0" t="s">
        <v>109</v>
      </c>
      <c r="K696" s="0" t="n">
        <v>110699</v>
      </c>
      <c r="L696" s="0" t="s">
        <v>49</v>
      </c>
      <c r="M696" s="0" t="s">
        <v>63</v>
      </c>
      <c r="N696" s="0" t="n">
        <v>4</v>
      </c>
      <c r="O696" s="0" t="n">
        <v>4.8</v>
      </c>
      <c r="Q696" s="0" t="s">
        <v>73</v>
      </c>
      <c r="R696" s="0" t="s">
        <v>159</v>
      </c>
      <c r="S696" s="0" t="s">
        <v>75</v>
      </c>
      <c r="U696" s="0" t="s">
        <v>96</v>
      </c>
      <c r="V696" s="0" t="s">
        <v>155</v>
      </c>
      <c r="W696" s="0" t="s">
        <v>98</v>
      </c>
      <c r="X696" s="0" t="s">
        <v>99</v>
      </c>
      <c r="Z696" s="0" t="s">
        <v>129</v>
      </c>
      <c r="AA696" s="0" t="n">
        <v>40000</v>
      </c>
      <c r="AB696" s="0" t="n">
        <v>40000</v>
      </c>
      <c r="AC696" s="0" t="s">
        <v>82</v>
      </c>
      <c r="AD696" s="0" t="n">
        <v>5000</v>
      </c>
      <c r="AF696" s="0" t="s">
        <v>1690</v>
      </c>
      <c r="AG696" s="0" t="s">
        <v>82</v>
      </c>
      <c r="AH696" s="0" t="s">
        <v>116</v>
      </c>
      <c r="AI696" s="0" t="s">
        <v>117</v>
      </c>
      <c r="AJ696" s="0" t="s">
        <v>62</v>
      </c>
      <c r="AK696" s="0" t="s">
        <v>82</v>
      </c>
      <c r="AM696" s="0" t="s">
        <v>83</v>
      </c>
      <c r="AN696" s="0" t="s">
        <v>63</v>
      </c>
    </row>
    <row r="697" customFormat="false" ht="15" hidden="false" customHeight="false" outlineLevel="0" collapsed="false">
      <c r="A697" s="1" t="n">
        <v>45663</v>
      </c>
      <c r="B697" s="0" t="s">
        <v>1691</v>
      </c>
      <c r="C697" s="0" t="s">
        <v>121</v>
      </c>
      <c r="D697" s="0" t="n">
        <v>8091315976</v>
      </c>
      <c r="E697" s="0" t="s">
        <v>43</v>
      </c>
      <c r="F697" s="0" t="s">
        <v>1692</v>
      </c>
      <c r="G697" s="0" t="s">
        <v>69</v>
      </c>
      <c r="H697" s="0" t="s">
        <v>146</v>
      </c>
      <c r="I697" s="0" t="s">
        <v>47</v>
      </c>
      <c r="J697" s="0" t="s">
        <v>48</v>
      </c>
      <c r="K697" s="0" t="n">
        <v>82356</v>
      </c>
      <c r="L697" s="0" t="s">
        <v>166</v>
      </c>
      <c r="M697" s="0" t="s">
        <v>63</v>
      </c>
      <c r="N697" s="0" t="n">
        <v>3</v>
      </c>
      <c r="O697" s="0" t="n">
        <v>1.2</v>
      </c>
      <c r="P697" s="0" t="s">
        <v>51</v>
      </c>
      <c r="Q697" s="0" t="s">
        <v>93</v>
      </c>
      <c r="R697" s="0" t="s">
        <v>136</v>
      </c>
      <c r="S697" s="0" t="s">
        <v>54</v>
      </c>
      <c r="T697" s="0" t="n">
        <v>30</v>
      </c>
      <c r="U697" s="0" t="s">
        <v>112</v>
      </c>
      <c r="V697" s="0" t="s">
        <v>56</v>
      </c>
      <c r="W697" s="0" t="s">
        <v>78</v>
      </c>
      <c r="X697" s="0" t="s">
        <v>137</v>
      </c>
      <c r="Z697" s="0" t="s">
        <v>149</v>
      </c>
      <c r="AA697" s="0" t="n">
        <v>40000</v>
      </c>
      <c r="AB697" s="0" t="s">
        <v>178</v>
      </c>
      <c r="AC697" s="0" t="s">
        <v>50</v>
      </c>
      <c r="AD697" s="0" t="n">
        <v>5000</v>
      </c>
      <c r="AE697" s="0" t="s">
        <v>80</v>
      </c>
      <c r="AG697" s="0" t="s">
        <v>63</v>
      </c>
      <c r="AH697" s="0" t="s">
        <v>171</v>
      </c>
      <c r="AK697" s="0" t="s">
        <v>82</v>
      </c>
      <c r="AL697" s="0" t="s">
        <v>50</v>
      </c>
      <c r="AM697" s="0" t="s">
        <v>118</v>
      </c>
      <c r="AN697" s="0" t="s">
        <v>50</v>
      </c>
    </row>
    <row r="698" customFormat="false" ht="15" hidden="false" customHeight="false" outlineLevel="0" collapsed="false">
      <c r="A698" s="1" t="n">
        <v>45765</v>
      </c>
      <c r="B698" s="0" t="s">
        <v>1693</v>
      </c>
      <c r="C698" s="0" t="s">
        <v>105</v>
      </c>
      <c r="D698" s="0" t="n">
        <v>8043416111</v>
      </c>
      <c r="E698" s="0" t="s">
        <v>43</v>
      </c>
      <c r="F698" s="0" t="s">
        <v>1694</v>
      </c>
      <c r="G698" s="0" t="s">
        <v>107</v>
      </c>
      <c r="H698" s="0" t="s">
        <v>176</v>
      </c>
      <c r="I698" s="0" t="s">
        <v>47</v>
      </c>
      <c r="J698" s="0" t="s">
        <v>71</v>
      </c>
      <c r="K698" s="0" t="n">
        <v>18905</v>
      </c>
      <c r="L698" s="0" t="s">
        <v>110</v>
      </c>
      <c r="M698" s="0" t="s">
        <v>50</v>
      </c>
      <c r="N698" s="0" t="n">
        <v>4</v>
      </c>
      <c r="O698" s="0" t="n">
        <v>3.3</v>
      </c>
      <c r="P698" s="0" t="s">
        <v>111</v>
      </c>
      <c r="Q698" s="0" t="s">
        <v>52</v>
      </c>
      <c r="R698" s="0" t="s">
        <v>136</v>
      </c>
      <c r="S698" s="0" t="s">
        <v>54</v>
      </c>
      <c r="U698" s="0" t="s">
        <v>96</v>
      </c>
      <c r="V698" s="0" t="s">
        <v>148</v>
      </c>
      <c r="W698" s="0" t="s">
        <v>57</v>
      </c>
      <c r="X698" s="0" t="s">
        <v>58</v>
      </c>
      <c r="Y698" s="0" t="s">
        <v>59</v>
      </c>
      <c r="Z698" s="0" t="s">
        <v>149</v>
      </c>
      <c r="AA698" s="0" t="n">
        <v>15000</v>
      </c>
      <c r="AB698" s="0" t="n">
        <v>30000</v>
      </c>
      <c r="AC698" s="0" t="s">
        <v>61</v>
      </c>
      <c r="AD698" s="0" t="n">
        <v>0</v>
      </c>
      <c r="AF698" s="1" t="n">
        <v>45923</v>
      </c>
      <c r="AH698" s="0" t="s">
        <v>171</v>
      </c>
      <c r="AJ698" s="0" t="s">
        <v>50</v>
      </c>
      <c r="AK698" s="0" t="s">
        <v>50</v>
      </c>
      <c r="AM698" s="0" t="s">
        <v>64</v>
      </c>
    </row>
    <row r="699" customFormat="false" ht="15" hidden="false" customHeight="false" outlineLevel="0" collapsed="false">
      <c r="A699" s="1" t="n">
        <v>45686</v>
      </c>
      <c r="B699" s="0" t="s">
        <v>1695</v>
      </c>
      <c r="C699" s="0" t="s">
        <v>42</v>
      </c>
      <c r="D699" s="0" t="n">
        <v>8050681488</v>
      </c>
      <c r="E699" s="0" t="s">
        <v>67</v>
      </c>
      <c r="F699" s="0" t="s">
        <v>1696</v>
      </c>
      <c r="G699" s="0" t="s">
        <v>45</v>
      </c>
      <c r="I699" s="0" t="s">
        <v>89</v>
      </c>
      <c r="J699" s="0" t="s">
        <v>48</v>
      </c>
      <c r="K699" s="0" t="n">
        <v>117550</v>
      </c>
      <c r="L699" s="0" t="s">
        <v>124</v>
      </c>
      <c r="M699" s="0" t="s">
        <v>63</v>
      </c>
      <c r="O699" s="0" t="n">
        <v>1.8</v>
      </c>
      <c r="P699" s="0" t="s">
        <v>92</v>
      </c>
      <c r="Q699" s="0" t="s">
        <v>93</v>
      </c>
      <c r="R699" s="0" t="s">
        <v>74</v>
      </c>
      <c r="S699" s="0" t="s">
        <v>95</v>
      </c>
      <c r="U699" s="0" t="s">
        <v>76</v>
      </c>
      <c r="V699" s="0" t="s">
        <v>155</v>
      </c>
      <c r="W699" s="0" t="s">
        <v>113</v>
      </c>
      <c r="X699" s="0" t="s">
        <v>196</v>
      </c>
      <c r="Y699" s="0" t="s">
        <v>156</v>
      </c>
      <c r="AA699" s="0" t="n">
        <v>30000</v>
      </c>
      <c r="AC699" s="0" t="s">
        <v>63</v>
      </c>
      <c r="AE699" s="0" t="s">
        <v>60</v>
      </c>
      <c r="AF699" s="0" t="s">
        <v>131</v>
      </c>
      <c r="AG699" s="0" t="s">
        <v>50</v>
      </c>
      <c r="AH699" s="0" t="s">
        <v>116</v>
      </c>
      <c r="AI699" s="0" t="s">
        <v>117</v>
      </c>
      <c r="AL699" s="0" t="s">
        <v>63</v>
      </c>
      <c r="AM699" s="0" t="s">
        <v>118</v>
      </c>
      <c r="AN699" s="0" t="s">
        <v>63</v>
      </c>
    </row>
    <row r="700" customFormat="false" ht="15" hidden="false" customHeight="false" outlineLevel="0" collapsed="false">
      <c r="A700" s="0" t="s">
        <v>669</v>
      </c>
      <c r="B700" s="0" t="s">
        <v>1697</v>
      </c>
      <c r="C700" s="0" t="s">
        <v>163</v>
      </c>
      <c r="D700" s="0" t="n">
        <v>8048299416</v>
      </c>
      <c r="E700" s="0" t="s">
        <v>43</v>
      </c>
      <c r="F700" s="0" t="s">
        <v>1698</v>
      </c>
      <c r="G700" s="0" t="s">
        <v>45</v>
      </c>
      <c r="H700" s="0" t="s">
        <v>165</v>
      </c>
      <c r="I700" s="0" t="s">
        <v>154</v>
      </c>
      <c r="J700" s="0" t="s">
        <v>71</v>
      </c>
      <c r="K700" s="0" t="n">
        <v>103703</v>
      </c>
      <c r="L700" s="0" t="s">
        <v>124</v>
      </c>
      <c r="M700" s="0" t="s">
        <v>50</v>
      </c>
      <c r="N700" s="0" t="n">
        <v>3</v>
      </c>
      <c r="O700" s="0" t="n">
        <v>1.5</v>
      </c>
      <c r="P700" s="0" t="s">
        <v>51</v>
      </c>
      <c r="Q700" s="0" t="s">
        <v>93</v>
      </c>
      <c r="R700" s="0" t="s">
        <v>53</v>
      </c>
      <c r="S700" s="0" t="s">
        <v>54</v>
      </c>
      <c r="T700" s="0" t="n">
        <v>30</v>
      </c>
      <c r="U700" s="0" t="s">
        <v>160</v>
      </c>
      <c r="V700" s="0" t="s">
        <v>155</v>
      </c>
      <c r="W700" s="0" t="s">
        <v>78</v>
      </c>
      <c r="X700" s="0" t="s">
        <v>137</v>
      </c>
      <c r="Y700" s="0" t="s">
        <v>156</v>
      </c>
      <c r="Z700" s="0" t="s">
        <v>129</v>
      </c>
      <c r="AB700" s="0" t="s">
        <v>178</v>
      </c>
      <c r="AC700" s="0" t="s">
        <v>82</v>
      </c>
      <c r="AE700" s="0" t="s">
        <v>60</v>
      </c>
      <c r="AF700" s="1" t="n">
        <v>45838</v>
      </c>
      <c r="AG700" s="0" t="s">
        <v>50</v>
      </c>
      <c r="AJ700" s="0" t="s">
        <v>50</v>
      </c>
      <c r="AL700" s="0" t="s">
        <v>102</v>
      </c>
      <c r="AM700" s="0" t="s">
        <v>64</v>
      </c>
      <c r="AN700" s="0" t="s">
        <v>63</v>
      </c>
    </row>
    <row r="701" customFormat="false" ht="15" hidden="false" customHeight="false" outlineLevel="0" collapsed="false">
      <c r="A701" s="1" t="n">
        <v>45778</v>
      </c>
      <c r="B701" s="0" t="s">
        <v>1699</v>
      </c>
      <c r="C701" s="0" t="s">
        <v>66</v>
      </c>
      <c r="D701" s="0" t="n">
        <v>8087366028</v>
      </c>
      <c r="E701" s="0" t="s">
        <v>43</v>
      </c>
      <c r="F701" s="0" t="s">
        <v>1076</v>
      </c>
      <c r="G701" s="0" t="s">
        <v>134</v>
      </c>
      <c r="H701" s="0" t="s">
        <v>176</v>
      </c>
      <c r="I701" s="0" t="s">
        <v>154</v>
      </c>
      <c r="J701" s="0" t="s">
        <v>48</v>
      </c>
      <c r="K701" s="0" t="n">
        <v>83783</v>
      </c>
      <c r="L701" s="0" t="s">
        <v>49</v>
      </c>
      <c r="M701" s="0" t="s">
        <v>63</v>
      </c>
      <c r="O701" s="0" t="n">
        <v>3.7</v>
      </c>
      <c r="Q701" s="0" t="s">
        <v>73</v>
      </c>
      <c r="R701" s="0" t="s">
        <v>94</v>
      </c>
      <c r="S701" s="0" t="s">
        <v>147</v>
      </c>
      <c r="T701" s="0" t="s">
        <v>127</v>
      </c>
      <c r="U701" s="0" t="s">
        <v>76</v>
      </c>
      <c r="V701" s="0" t="s">
        <v>56</v>
      </c>
      <c r="W701" s="0" t="s">
        <v>128</v>
      </c>
      <c r="X701" s="0" t="s">
        <v>58</v>
      </c>
      <c r="Y701" s="0" t="s">
        <v>197</v>
      </c>
      <c r="Z701" s="0" t="s">
        <v>143</v>
      </c>
      <c r="AA701" s="0" t="n">
        <v>30000</v>
      </c>
      <c r="AB701" s="0" t="n">
        <v>35000</v>
      </c>
      <c r="AD701" s="0" t="s">
        <v>115</v>
      </c>
      <c r="AE701" s="0" t="s">
        <v>80</v>
      </c>
      <c r="AG701" s="0" t="s">
        <v>82</v>
      </c>
      <c r="AI701" s="0" t="s">
        <v>117</v>
      </c>
      <c r="AK701" s="0" t="s">
        <v>63</v>
      </c>
      <c r="AL701" s="0" t="s">
        <v>63</v>
      </c>
      <c r="AM701" s="0" t="s">
        <v>83</v>
      </c>
      <c r="AN701" s="0" t="s">
        <v>190</v>
      </c>
    </row>
    <row r="702" customFormat="false" ht="15" hidden="false" customHeight="false" outlineLevel="0" collapsed="false">
      <c r="A702" s="1" t="n">
        <v>45782</v>
      </c>
      <c r="B702" s="0" t="s">
        <v>1700</v>
      </c>
      <c r="C702" s="0" t="s">
        <v>105</v>
      </c>
      <c r="D702" s="0" t="n">
        <v>8070165940</v>
      </c>
      <c r="E702" s="0" t="s">
        <v>85</v>
      </c>
      <c r="F702" s="0" t="s">
        <v>1701</v>
      </c>
      <c r="G702" s="0" t="s">
        <v>87</v>
      </c>
      <c r="H702" s="0" t="s">
        <v>135</v>
      </c>
      <c r="I702" s="0" t="s">
        <v>142</v>
      </c>
      <c r="J702" s="0" t="s">
        <v>90</v>
      </c>
      <c r="K702" s="0" t="n">
        <v>109259</v>
      </c>
      <c r="L702" s="0" t="s">
        <v>110</v>
      </c>
      <c r="M702" s="0" t="s">
        <v>63</v>
      </c>
      <c r="N702" s="0" t="n">
        <v>1</v>
      </c>
      <c r="O702" s="0" t="n">
        <v>2.9</v>
      </c>
      <c r="P702" s="0" t="s">
        <v>125</v>
      </c>
      <c r="Q702" s="0" t="s">
        <v>93</v>
      </c>
      <c r="R702" s="0" t="s">
        <v>53</v>
      </c>
      <c r="S702" s="0" t="s">
        <v>167</v>
      </c>
      <c r="T702" s="0" t="n">
        <v>45</v>
      </c>
      <c r="U702" s="0" t="s">
        <v>96</v>
      </c>
      <c r="V702" s="0" t="s">
        <v>155</v>
      </c>
      <c r="W702" s="0" t="s">
        <v>78</v>
      </c>
      <c r="X702" s="0" t="s">
        <v>99</v>
      </c>
      <c r="Y702" s="0" t="s">
        <v>177</v>
      </c>
      <c r="Z702" s="0" t="s">
        <v>79</v>
      </c>
      <c r="AA702" s="0" t="n">
        <v>30000</v>
      </c>
      <c r="AB702" s="0" t="s">
        <v>178</v>
      </c>
      <c r="AC702" s="0" t="s">
        <v>61</v>
      </c>
      <c r="AD702" s="0" t="n">
        <v>0</v>
      </c>
      <c r="AF702" s="1" t="n">
        <v>45972</v>
      </c>
      <c r="AG702" s="0" t="s">
        <v>50</v>
      </c>
      <c r="AJ702" s="0" t="s">
        <v>81</v>
      </c>
      <c r="AK702" s="0" t="s">
        <v>82</v>
      </c>
      <c r="AL702" s="0" t="s">
        <v>50</v>
      </c>
      <c r="AM702" s="0" t="s">
        <v>118</v>
      </c>
      <c r="AN702" s="0" t="s">
        <v>190</v>
      </c>
    </row>
    <row r="703" customFormat="false" ht="15" hidden="false" customHeight="false" outlineLevel="0" collapsed="false">
      <c r="A703" s="1" t="n">
        <v>45713</v>
      </c>
      <c r="B703" s="0" t="s">
        <v>1702</v>
      </c>
      <c r="C703" s="0" t="s">
        <v>42</v>
      </c>
      <c r="D703" s="0" t="n">
        <v>8095309294</v>
      </c>
      <c r="E703" s="0" t="s">
        <v>122</v>
      </c>
      <c r="F703" s="0" t="s">
        <v>1703</v>
      </c>
      <c r="G703" s="0" t="s">
        <v>134</v>
      </c>
      <c r="H703" s="0" t="s">
        <v>70</v>
      </c>
      <c r="I703" s="0" t="s">
        <v>189</v>
      </c>
      <c r="J703" s="0" t="s">
        <v>90</v>
      </c>
      <c r="K703" s="0" t="n">
        <v>101741</v>
      </c>
      <c r="L703" s="0" t="s">
        <v>91</v>
      </c>
      <c r="M703" s="0" t="s">
        <v>63</v>
      </c>
      <c r="N703" s="0" t="n">
        <v>5</v>
      </c>
      <c r="O703" s="0" t="n">
        <v>1.2</v>
      </c>
      <c r="P703" s="0" t="s">
        <v>92</v>
      </c>
      <c r="Q703" s="0" t="s">
        <v>73</v>
      </c>
      <c r="R703" s="0" t="s">
        <v>136</v>
      </c>
      <c r="S703" s="0" t="s">
        <v>167</v>
      </c>
      <c r="U703" s="0" t="s">
        <v>55</v>
      </c>
      <c r="V703" s="0" t="s">
        <v>56</v>
      </c>
      <c r="W703" s="0" t="s">
        <v>57</v>
      </c>
      <c r="X703" s="0" t="s">
        <v>196</v>
      </c>
      <c r="Y703" s="0" t="s">
        <v>177</v>
      </c>
      <c r="Z703" s="0" t="s">
        <v>79</v>
      </c>
      <c r="AC703" s="0" t="s">
        <v>50</v>
      </c>
      <c r="AD703" s="0" t="n">
        <v>0</v>
      </c>
      <c r="AE703" s="0" t="s">
        <v>80</v>
      </c>
      <c r="AG703" s="0" t="s">
        <v>61</v>
      </c>
      <c r="AH703" s="0" t="s">
        <v>171</v>
      </c>
      <c r="AI703" s="0" t="s">
        <v>172</v>
      </c>
      <c r="AJ703" s="0" t="s">
        <v>50</v>
      </c>
      <c r="AL703" s="0" t="s">
        <v>102</v>
      </c>
      <c r="AM703" s="0" t="s">
        <v>83</v>
      </c>
      <c r="AN703" s="0" t="s">
        <v>63</v>
      </c>
    </row>
    <row r="704" customFormat="false" ht="15" hidden="false" customHeight="false" outlineLevel="0" collapsed="false">
      <c r="A704" s="1" t="n">
        <v>45812</v>
      </c>
      <c r="B704" s="0" t="s">
        <v>1704</v>
      </c>
      <c r="C704" s="0" t="s">
        <v>42</v>
      </c>
      <c r="D704" s="0" t="n">
        <v>8037031585</v>
      </c>
      <c r="E704" s="0" t="s">
        <v>67</v>
      </c>
      <c r="F704" s="0" t="s">
        <v>1705</v>
      </c>
      <c r="G704" s="0" t="s">
        <v>69</v>
      </c>
      <c r="H704" s="0" t="s">
        <v>242</v>
      </c>
      <c r="I704" s="0" t="s">
        <v>189</v>
      </c>
      <c r="K704" s="0" t="n">
        <v>102734</v>
      </c>
      <c r="L704" s="0" t="s">
        <v>91</v>
      </c>
      <c r="M704" s="0" t="s">
        <v>63</v>
      </c>
      <c r="N704" s="0" t="n">
        <v>4</v>
      </c>
      <c r="O704" s="0" t="n">
        <v>3.5</v>
      </c>
      <c r="P704" s="0" t="s">
        <v>92</v>
      </c>
      <c r="Q704" s="0" t="s">
        <v>52</v>
      </c>
      <c r="R704" s="0" t="s">
        <v>53</v>
      </c>
      <c r="S704" s="0" t="s">
        <v>54</v>
      </c>
      <c r="T704" s="0" t="n">
        <v>45</v>
      </c>
      <c r="U704" s="0" t="s">
        <v>160</v>
      </c>
      <c r="V704" s="0" t="s">
        <v>148</v>
      </c>
      <c r="W704" s="0" t="s">
        <v>78</v>
      </c>
      <c r="X704" s="0" t="s">
        <v>58</v>
      </c>
      <c r="Z704" s="0" t="s">
        <v>143</v>
      </c>
      <c r="AA704" s="0" t="s">
        <v>150</v>
      </c>
      <c r="AB704" s="0" t="n">
        <v>20000</v>
      </c>
      <c r="AC704" s="0" t="s">
        <v>50</v>
      </c>
      <c r="AD704" s="0" t="n">
        <v>10000</v>
      </c>
      <c r="AE704" s="0" t="s">
        <v>130</v>
      </c>
      <c r="AG704" s="0" t="s">
        <v>61</v>
      </c>
      <c r="AH704" s="0" t="s">
        <v>171</v>
      </c>
      <c r="AI704" s="0" t="s">
        <v>172</v>
      </c>
      <c r="AJ704" s="0" t="s">
        <v>50</v>
      </c>
      <c r="AL704" s="0" t="s">
        <v>50</v>
      </c>
      <c r="AM704" s="0" t="s">
        <v>118</v>
      </c>
      <c r="AN704" s="0" t="s">
        <v>50</v>
      </c>
    </row>
    <row r="705" customFormat="false" ht="15" hidden="false" customHeight="false" outlineLevel="0" collapsed="false">
      <c r="A705" s="1" t="n">
        <v>45967</v>
      </c>
      <c r="B705" s="0" t="s">
        <v>1706</v>
      </c>
      <c r="C705" s="0" t="s">
        <v>66</v>
      </c>
      <c r="D705" s="0" t="n">
        <v>8046488536</v>
      </c>
      <c r="E705" s="0" t="s">
        <v>67</v>
      </c>
      <c r="F705" s="0" t="s">
        <v>1707</v>
      </c>
      <c r="G705" s="0" t="s">
        <v>69</v>
      </c>
      <c r="H705" s="0" t="s">
        <v>170</v>
      </c>
      <c r="I705" s="0" t="s">
        <v>154</v>
      </c>
      <c r="J705" s="0" t="s">
        <v>48</v>
      </c>
      <c r="K705" s="0" t="n">
        <v>92716</v>
      </c>
      <c r="L705" s="0" t="s">
        <v>91</v>
      </c>
      <c r="M705" s="0" t="s">
        <v>63</v>
      </c>
      <c r="O705" s="0" t="n">
        <v>5.4</v>
      </c>
      <c r="P705" s="0" t="s">
        <v>51</v>
      </c>
      <c r="Q705" s="0" t="s">
        <v>52</v>
      </c>
      <c r="R705" s="0" t="s">
        <v>53</v>
      </c>
      <c r="S705" s="0" t="s">
        <v>54</v>
      </c>
      <c r="T705" s="0" t="n">
        <v>15</v>
      </c>
      <c r="U705" s="0" t="s">
        <v>55</v>
      </c>
      <c r="V705" s="0" t="s">
        <v>148</v>
      </c>
      <c r="W705" s="0" t="s">
        <v>78</v>
      </c>
      <c r="X705" s="0" t="s">
        <v>99</v>
      </c>
      <c r="Y705" s="0" t="s">
        <v>197</v>
      </c>
      <c r="Z705" s="0" t="s">
        <v>129</v>
      </c>
      <c r="AA705" s="0" t="n">
        <v>40000</v>
      </c>
      <c r="AB705" s="0" t="n">
        <v>35000</v>
      </c>
      <c r="AC705" s="0" t="s">
        <v>61</v>
      </c>
      <c r="AD705" s="0" t="n">
        <v>5000</v>
      </c>
      <c r="AF705" s="1" t="n">
        <v>45889</v>
      </c>
      <c r="AG705" s="0" t="s">
        <v>50</v>
      </c>
      <c r="AI705" s="0" t="s">
        <v>101</v>
      </c>
      <c r="AJ705" s="0" t="s">
        <v>63</v>
      </c>
      <c r="AK705" s="0" t="s">
        <v>61</v>
      </c>
      <c r="AM705" s="0" t="s">
        <v>118</v>
      </c>
      <c r="AN705" s="0" t="s">
        <v>198</v>
      </c>
    </row>
    <row r="706" customFormat="false" ht="15" hidden="false" customHeight="false" outlineLevel="0" collapsed="false">
      <c r="A706" s="1" t="n">
        <v>45709</v>
      </c>
      <c r="B706" s="0" t="s">
        <v>1708</v>
      </c>
      <c r="C706" s="0" t="s">
        <v>121</v>
      </c>
      <c r="D706" s="0" t="n">
        <v>8074581639</v>
      </c>
      <c r="E706" s="0" t="s">
        <v>122</v>
      </c>
      <c r="F706" s="0" t="s">
        <v>1709</v>
      </c>
      <c r="G706" s="0" t="s">
        <v>107</v>
      </c>
      <c r="H706" s="0" t="s">
        <v>170</v>
      </c>
      <c r="I706" s="0" t="s">
        <v>154</v>
      </c>
      <c r="J706" s="0" t="s">
        <v>90</v>
      </c>
      <c r="K706" s="0" t="n">
        <v>101283</v>
      </c>
      <c r="L706" s="0" t="s">
        <v>166</v>
      </c>
      <c r="M706" s="0" t="s">
        <v>50</v>
      </c>
      <c r="N706" s="0" t="n">
        <v>2</v>
      </c>
      <c r="O706" s="0" t="n">
        <v>4.3</v>
      </c>
      <c r="Q706" s="0" t="s">
        <v>73</v>
      </c>
      <c r="R706" s="0" t="s">
        <v>159</v>
      </c>
      <c r="S706" s="0" t="s">
        <v>126</v>
      </c>
      <c r="T706" s="0" t="n">
        <v>45</v>
      </c>
      <c r="U706" s="0" t="s">
        <v>55</v>
      </c>
      <c r="V706" s="0" t="s">
        <v>148</v>
      </c>
      <c r="W706" s="0" t="s">
        <v>128</v>
      </c>
      <c r="X706" s="0" t="s">
        <v>114</v>
      </c>
      <c r="Y706" s="0" t="s">
        <v>177</v>
      </c>
      <c r="AA706" s="0" t="n">
        <v>30000</v>
      </c>
      <c r="AB706" s="0" t="n">
        <v>35000</v>
      </c>
      <c r="AC706" s="0" t="s">
        <v>82</v>
      </c>
      <c r="AD706" s="0" t="n">
        <v>5000</v>
      </c>
      <c r="AE706" s="0" t="s">
        <v>60</v>
      </c>
      <c r="AG706" s="0" t="s">
        <v>82</v>
      </c>
      <c r="AI706" s="0" t="s">
        <v>101</v>
      </c>
      <c r="AJ706" s="0" t="s">
        <v>50</v>
      </c>
      <c r="AK706" s="0" t="s">
        <v>61</v>
      </c>
      <c r="AN706" s="0" t="s">
        <v>50</v>
      </c>
    </row>
    <row r="707" customFormat="false" ht="15" hidden="false" customHeight="false" outlineLevel="0" collapsed="false">
      <c r="A707" s="1" t="n">
        <v>45803</v>
      </c>
      <c r="B707" s="0" t="s">
        <v>1710</v>
      </c>
      <c r="C707" s="0" t="s">
        <v>42</v>
      </c>
      <c r="D707" s="0" t="n">
        <v>8020739561</v>
      </c>
      <c r="E707" s="0" t="s">
        <v>85</v>
      </c>
      <c r="F707" s="0" t="s">
        <v>1711</v>
      </c>
      <c r="G707" s="0" t="s">
        <v>87</v>
      </c>
      <c r="H707" s="0" t="s">
        <v>153</v>
      </c>
      <c r="I707" s="0" t="s">
        <v>154</v>
      </c>
      <c r="K707" s="0" t="n">
        <v>45331</v>
      </c>
      <c r="L707" s="0" t="s">
        <v>72</v>
      </c>
      <c r="M707" s="0" t="s">
        <v>50</v>
      </c>
      <c r="N707" s="0" t="n">
        <v>2</v>
      </c>
      <c r="O707" s="0" t="n">
        <v>3.5</v>
      </c>
      <c r="P707" s="0" t="s">
        <v>111</v>
      </c>
      <c r="Q707" s="0" t="s">
        <v>93</v>
      </c>
      <c r="R707" s="0" t="s">
        <v>159</v>
      </c>
      <c r="S707" s="0" t="s">
        <v>167</v>
      </c>
      <c r="U707" s="0" t="s">
        <v>76</v>
      </c>
      <c r="V707" s="0" t="s">
        <v>148</v>
      </c>
      <c r="W707" s="0" t="s">
        <v>98</v>
      </c>
      <c r="X707" s="0" t="s">
        <v>114</v>
      </c>
      <c r="Y707" s="0" t="s">
        <v>156</v>
      </c>
      <c r="Z707" s="0" t="s">
        <v>161</v>
      </c>
      <c r="AA707" s="0" t="n">
        <v>25000</v>
      </c>
      <c r="AC707" s="0" t="s">
        <v>82</v>
      </c>
      <c r="AD707" s="0" t="n">
        <v>5000</v>
      </c>
      <c r="AE707" s="0" t="s">
        <v>130</v>
      </c>
      <c r="AG707" s="0" t="s">
        <v>50</v>
      </c>
      <c r="AH707" s="0" t="s">
        <v>116</v>
      </c>
      <c r="AI707" s="0" t="s">
        <v>172</v>
      </c>
      <c r="AJ707" s="0" t="s">
        <v>81</v>
      </c>
      <c r="AK707" s="0" t="s">
        <v>50</v>
      </c>
      <c r="AL707" s="0" t="s">
        <v>50</v>
      </c>
      <c r="AM707" s="0" t="s">
        <v>83</v>
      </c>
      <c r="AN707" s="0" t="s">
        <v>50</v>
      </c>
    </row>
    <row r="708" customFormat="false" ht="15" hidden="false" customHeight="false" outlineLevel="0" collapsed="false">
      <c r="A708" s="0" t="s">
        <v>725</v>
      </c>
      <c r="B708" s="0" t="s">
        <v>1712</v>
      </c>
      <c r="C708" s="0" t="s">
        <v>66</v>
      </c>
      <c r="D708" s="0" t="n">
        <v>8058262270</v>
      </c>
      <c r="E708" s="0" t="s">
        <v>67</v>
      </c>
      <c r="F708" s="0" t="s">
        <v>1713</v>
      </c>
      <c r="G708" s="0" t="s">
        <v>45</v>
      </c>
      <c r="H708" s="0" t="s">
        <v>165</v>
      </c>
      <c r="I708" s="0" t="s">
        <v>108</v>
      </c>
      <c r="J708" s="0" t="s">
        <v>71</v>
      </c>
      <c r="K708" s="0" t="n">
        <v>85257</v>
      </c>
      <c r="L708" s="0" t="s">
        <v>124</v>
      </c>
      <c r="M708" s="0" t="s">
        <v>50</v>
      </c>
      <c r="N708" s="0" t="n">
        <v>3</v>
      </c>
      <c r="O708" s="0" t="n">
        <v>1.9</v>
      </c>
      <c r="Q708" s="0" t="s">
        <v>52</v>
      </c>
      <c r="R708" s="0" t="s">
        <v>159</v>
      </c>
      <c r="S708" s="0" t="s">
        <v>54</v>
      </c>
      <c r="T708" s="0" t="n">
        <v>15</v>
      </c>
      <c r="U708" s="0" t="s">
        <v>55</v>
      </c>
      <c r="V708" s="0" t="s">
        <v>148</v>
      </c>
      <c r="W708" s="0" t="s">
        <v>128</v>
      </c>
      <c r="X708" s="0" t="s">
        <v>196</v>
      </c>
      <c r="Y708" s="0" t="s">
        <v>197</v>
      </c>
      <c r="Z708" s="0" t="s">
        <v>79</v>
      </c>
      <c r="AA708" s="0" t="n">
        <v>40000</v>
      </c>
      <c r="AB708" s="0" t="n">
        <v>40000</v>
      </c>
      <c r="AC708" s="0" t="s">
        <v>82</v>
      </c>
      <c r="AD708" s="0" t="n">
        <v>10000</v>
      </c>
      <c r="AE708" s="0" t="s">
        <v>80</v>
      </c>
      <c r="AF708" s="1" t="n">
        <v>45885</v>
      </c>
      <c r="AG708" s="0" t="s">
        <v>63</v>
      </c>
      <c r="AH708" s="0" t="s">
        <v>171</v>
      </c>
      <c r="AI708" s="0" t="s">
        <v>117</v>
      </c>
      <c r="AJ708" s="0" t="s">
        <v>81</v>
      </c>
      <c r="AK708" s="0" t="s">
        <v>82</v>
      </c>
      <c r="AL708" s="0" t="s">
        <v>50</v>
      </c>
      <c r="AM708" s="0" t="s">
        <v>64</v>
      </c>
    </row>
    <row r="709" customFormat="false" ht="15" hidden="false" customHeight="false" outlineLevel="0" collapsed="false">
      <c r="A709" s="0" t="s">
        <v>1714</v>
      </c>
      <c r="B709" s="0" t="s">
        <v>1715</v>
      </c>
      <c r="C709" s="0" t="s">
        <v>105</v>
      </c>
      <c r="D709" s="0" t="n">
        <v>8063451468</v>
      </c>
      <c r="E709" s="0" t="s">
        <v>43</v>
      </c>
      <c r="F709" s="0" t="s">
        <v>1716</v>
      </c>
      <c r="G709" s="0" t="s">
        <v>87</v>
      </c>
      <c r="H709" s="0" t="s">
        <v>272</v>
      </c>
      <c r="I709" s="0" t="s">
        <v>108</v>
      </c>
      <c r="J709" s="0" t="s">
        <v>71</v>
      </c>
      <c r="K709" s="0" t="n">
        <v>10396</v>
      </c>
      <c r="L709" s="0" t="s">
        <v>124</v>
      </c>
      <c r="M709" s="0" t="s">
        <v>63</v>
      </c>
      <c r="O709" s="0" t="n">
        <v>1.1</v>
      </c>
      <c r="P709" s="0" t="s">
        <v>51</v>
      </c>
      <c r="Q709" s="0" t="s">
        <v>73</v>
      </c>
      <c r="R709" s="0" t="s">
        <v>94</v>
      </c>
      <c r="S709" s="0" t="s">
        <v>147</v>
      </c>
      <c r="U709" s="0" t="s">
        <v>96</v>
      </c>
      <c r="V709" s="0" t="s">
        <v>97</v>
      </c>
      <c r="W709" s="0" t="s">
        <v>78</v>
      </c>
      <c r="X709" s="0" t="s">
        <v>196</v>
      </c>
      <c r="Z709" s="0" t="s">
        <v>161</v>
      </c>
      <c r="AA709" s="0" t="n">
        <v>15000</v>
      </c>
      <c r="AB709" s="0" t="n">
        <v>35000</v>
      </c>
      <c r="AC709" s="0" t="s">
        <v>61</v>
      </c>
      <c r="AE709" s="0" t="s">
        <v>130</v>
      </c>
      <c r="AF709" s="0" t="s">
        <v>1717</v>
      </c>
      <c r="AG709" s="0" t="s">
        <v>50</v>
      </c>
      <c r="AH709" s="0" t="s">
        <v>171</v>
      </c>
      <c r="AI709" s="0" t="s">
        <v>117</v>
      </c>
      <c r="AJ709" s="0" t="s">
        <v>62</v>
      </c>
      <c r="AK709" s="0" t="s">
        <v>63</v>
      </c>
      <c r="AL709" s="0" t="s">
        <v>50</v>
      </c>
      <c r="AM709" s="0" t="s">
        <v>64</v>
      </c>
      <c r="AN709" s="0" t="s">
        <v>50</v>
      </c>
    </row>
    <row r="710" customFormat="false" ht="15" hidden="false" customHeight="false" outlineLevel="0" collapsed="false">
      <c r="A710" s="1" t="n">
        <v>45821</v>
      </c>
      <c r="B710" s="0" t="s">
        <v>1718</v>
      </c>
      <c r="C710" s="0" t="s">
        <v>121</v>
      </c>
      <c r="D710" s="0" t="n">
        <v>8060696383</v>
      </c>
      <c r="E710" s="0" t="s">
        <v>122</v>
      </c>
      <c r="F710" s="0" t="s">
        <v>1719</v>
      </c>
      <c r="G710" s="0" t="s">
        <v>107</v>
      </c>
      <c r="H710" s="0" t="s">
        <v>135</v>
      </c>
      <c r="I710" s="0" t="s">
        <v>142</v>
      </c>
      <c r="J710" s="0" t="s">
        <v>71</v>
      </c>
      <c r="K710" s="0" t="n">
        <v>51293</v>
      </c>
      <c r="L710" s="0" t="s">
        <v>110</v>
      </c>
      <c r="M710" s="0" t="s">
        <v>50</v>
      </c>
      <c r="N710" s="0" t="n">
        <v>2</v>
      </c>
      <c r="O710" s="0" t="n">
        <v>5.1</v>
      </c>
      <c r="Q710" s="0" t="s">
        <v>93</v>
      </c>
      <c r="R710" s="0" t="s">
        <v>94</v>
      </c>
      <c r="S710" s="0" t="s">
        <v>126</v>
      </c>
      <c r="T710" s="0" t="n">
        <v>15</v>
      </c>
      <c r="U710" s="0" t="s">
        <v>55</v>
      </c>
      <c r="V710" s="0" t="s">
        <v>56</v>
      </c>
      <c r="W710" s="0" t="s">
        <v>113</v>
      </c>
      <c r="X710" s="0" t="s">
        <v>58</v>
      </c>
      <c r="Z710" s="0" t="s">
        <v>129</v>
      </c>
      <c r="AA710" s="0" t="n">
        <v>30000</v>
      </c>
      <c r="AB710" s="0" t="n">
        <v>40000</v>
      </c>
      <c r="AC710" s="0" t="s">
        <v>63</v>
      </c>
      <c r="AD710" s="0" t="s">
        <v>115</v>
      </c>
      <c r="AG710" s="0" t="s">
        <v>63</v>
      </c>
      <c r="AJ710" s="0" t="s">
        <v>63</v>
      </c>
      <c r="AK710" s="0" t="s">
        <v>82</v>
      </c>
      <c r="AL710" s="0" t="s">
        <v>102</v>
      </c>
      <c r="AM710" s="0" t="s">
        <v>64</v>
      </c>
      <c r="AN710" s="0" t="s">
        <v>198</v>
      </c>
    </row>
    <row r="711" customFormat="false" ht="15" hidden="false" customHeight="false" outlineLevel="0" collapsed="false">
      <c r="A711" s="1" t="n">
        <v>45701</v>
      </c>
      <c r="B711" s="0" t="s">
        <v>1720</v>
      </c>
      <c r="C711" s="0" t="s">
        <v>66</v>
      </c>
      <c r="D711" s="0" t="n">
        <v>8032517176</v>
      </c>
      <c r="E711" s="0" t="s">
        <v>67</v>
      </c>
      <c r="F711" s="0" t="s">
        <v>1721</v>
      </c>
      <c r="G711" s="0" t="s">
        <v>134</v>
      </c>
      <c r="H711" s="0" t="s">
        <v>70</v>
      </c>
      <c r="I711" s="0" t="s">
        <v>89</v>
      </c>
      <c r="J711" s="0" t="s">
        <v>109</v>
      </c>
      <c r="K711" s="0" t="n">
        <v>42675</v>
      </c>
      <c r="L711" s="0" t="s">
        <v>91</v>
      </c>
      <c r="M711" s="0" t="s">
        <v>63</v>
      </c>
      <c r="N711" s="0" t="n">
        <v>1</v>
      </c>
      <c r="O711" s="0" t="n">
        <v>2.6</v>
      </c>
      <c r="P711" s="0" t="s">
        <v>111</v>
      </c>
      <c r="Q711" s="0" t="s">
        <v>93</v>
      </c>
      <c r="S711" s="0" t="s">
        <v>95</v>
      </c>
      <c r="T711" s="0" t="s">
        <v>127</v>
      </c>
      <c r="U711" s="0" t="s">
        <v>55</v>
      </c>
      <c r="V711" s="0" t="s">
        <v>97</v>
      </c>
      <c r="W711" s="0" t="s">
        <v>78</v>
      </c>
      <c r="X711" s="0" t="s">
        <v>137</v>
      </c>
      <c r="Z711" s="0" t="s">
        <v>143</v>
      </c>
      <c r="AA711" s="0" t="n">
        <v>30000</v>
      </c>
      <c r="AB711" s="0" t="n">
        <v>40000</v>
      </c>
      <c r="AC711" s="0" t="s">
        <v>50</v>
      </c>
      <c r="AD711" s="0" t="n">
        <v>5000</v>
      </c>
      <c r="AF711" s="1" t="n">
        <v>45909</v>
      </c>
      <c r="AG711" s="0" t="s">
        <v>50</v>
      </c>
      <c r="AH711" s="0" t="s">
        <v>116</v>
      </c>
      <c r="AI711" s="0" t="s">
        <v>117</v>
      </c>
      <c r="AJ711" s="0" t="s">
        <v>62</v>
      </c>
      <c r="AK711" s="0" t="s">
        <v>63</v>
      </c>
      <c r="AM711" s="0" t="s">
        <v>64</v>
      </c>
      <c r="AN711" s="0" t="s">
        <v>50</v>
      </c>
    </row>
    <row r="712" customFormat="false" ht="15" hidden="false" customHeight="false" outlineLevel="0" collapsed="false">
      <c r="A712" s="0" t="s">
        <v>669</v>
      </c>
      <c r="B712" s="0" t="s">
        <v>1722</v>
      </c>
      <c r="C712" s="0" t="s">
        <v>66</v>
      </c>
      <c r="D712" s="0" t="n">
        <v>8073178094</v>
      </c>
      <c r="E712" s="0" t="s">
        <v>43</v>
      </c>
      <c r="F712" s="0" t="s">
        <v>1723</v>
      </c>
      <c r="G712" s="0" t="s">
        <v>87</v>
      </c>
      <c r="H712" s="0" t="s">
        <v>70</v>
      </c>
      <c r="I712" s="0" t="s">
        <v>154</v>
      </c>
      <c r="J712" s="0" t="s">
        <v>48</v>
      </c>
      <c r="K712" s="0" t="n">
        <v>97518</v>
      </c>
      <c r="L712" s="0" t="s">
        <v>110</v>
      </c>
      <c r="M712" s="0" t="s">
        <v>63</v>
      </c>
      <c r="N712" s="0" t="n">
        <v>5</v>
      </c>
      <c r="O712" s="0" t="n">
        <v>5.6</v>
      </c>
      <c r="P712" s="0" t="s">
        <v>92</v>
      </c>
      <c r="Q712" s="0" t="s">
        <v>52</v>
      </c>
      <c r="R712" s="0" t="s">
        <v>53</v>
      </c>
      <c r="S712" s="0" t="s">
        <v>167</v>
      </c>
      <c r="T712" s="0" t="n">
        <v>15</v>
      </c>
      <c r="U712" s="0" t="s">
        <v>96</v>
      </c>
      <c r="V712" s="0" t="s">
        <v>77</v>
      </c>
      <c r="W712" s="0" t="s">
        <v>78</v>
      </c>
      <c r="X712" s="0" t="s">
        <v>114</v>
      </c>
      <c r="Y712" s="0" t="s">
        <v>177</v>
      </c>
      <c r="Z712" s="0" t="s">
        <v>149</v>
      </c>
      <c r="AA712" s="0" t="n">
        <v>30000</v>
      </c>
      <c r="AB712" s="0" t="s">
        <v>178</v>
      </c>
      <c r="AC712" s="0" t="s">
        <v>61</v>
      </c>
      <c r="AG712" s="0" t="s">
        <v>63</v>
      </c>
      <c r="AI712" s="0" t="s">
        <v>101</v>
      </c>
      <c r="AJ712" s="0" t="s">
        <v>62</v>
      </c>
      <c r="AL712" s="0" t="s">
        <v>50</v>
      </c>
      <c r="AM712" s="0" t="s">
        <v>103</v>
      </c>
    </row>
    <row r="713" customFormat="false" ht="15" hidden="false" customHeight="false" outlineLevel="0" collapsed="false">
      <c r="A713" s="1" t="n">
        <v>45663</v>
      </c>
      <c r="B713" s="0" t="s">
        <v>1724</v>
      </c>
      <c r="C713" s="0" t="s">
        <v>121</v>
      </c>
      <c r="D713" s="0" t="n">
        <v>8069240493</v>
      </c>
      <c r="E713" s="0" t="s">
        <v>67</v>
      </c>
      <c r="F713" s="0" t="s">
        <v>1725</v>
      </c>
      <c r="G713" s="0" t="s">
        <v>107</v>
      </c>
      <c r="H713" s="0" t="s">
        <v>46</v>
      </c>
      <c r="I713" s="0" t="s">
        <v>89</v>
      </c>
      <c r="K713" s="0" t="n">
        <v>102763</v>
      </c>
      <c r="L713" s="0" t="s">
        <v>166</v>
      </c>
      <c r="M713" s="0" t="s">
        <v>63</v>
      </c>
      <c r="N713" s="0" t="n">
        <v>2</v>
      </c>
      <c r="O713" s="0" t="n">
        <v>4.9</v>
      </c>
      <c r="P713" s="0" t="s">
        <v>125</v>
      </c>
      <c r="Q713" s="0" t="s">
        <v>93</v>
      </c>
      <c r="R713" s="0" t="s">
        <v>136</v>
      </c>
      <c r="S713" s="0" t="s">
        <v>126</v>
      </c>
      <c r="T713" s="0" t="n">
        <v>15</v>
      </c>
      <c r="U713" s="0" t="s">
        <v>112</v>
      </c>
      <c r="V713" s="0" t="s">
        <v>56</v>
      </c>
      <c r="W713" s="0" t="s">
        <v>98</v>
      </c>
      <c r="X713" s="0" t="s">
        <v>114</v>
      </c>
      <c r="Y713" s="0" t="s">
        <v>197</v>
      </c>
      <c r="Z713" s="0" t="s">
        <v>161</v>
      </c>
      <c r="AA713" s="0" t="n">
        <v>30000</v>
      </c>
      <c r="AB713" s="0" t="s">
        <v>178</v>
      </c>
      <c r="AD713" s="0" t="s">
        <v>115</v>
      </c>
      <c r="AG713" s="0" t="s">
        <v>63</v>
      </c>
      <c r="AH713" s="0" t="s">
        <v>171</v>
      </c>
      <c r="AK713" s="0" t="s">
        <v>61</v>
      </c>
      <c r="AN713" s="0" t="s">
        <v>198</v>
      </c>
    </row>
    <row r="714" customFormat="false" ht="15" hidden="false" customHeight="false" outlineLevel="0" collapsed="false">
      <c r="A714" s="1" t="n">
        <v>45767</v>
      </c>
      <c r="B714" s="0" t="s">
        <v>1726</v>
      </c>
      <c r="C714" s="0" t="s">
        <v>42</v>
      </c>
      <c r="D714" s="0" t="n">
        <v>8066733465</v>
      </c>
      <c r="E714" s="0" t="s">
        <v>43</v>
      </c>
      <c r="F714" s="0" t="s">
        <v>1727</v>
      </c>
      <c r="G714" s="0" t="s">
        <v>134</v>
      </c>
      <c r="H714" s="0" t="s">
        <v>146</v>
      </c>
      <c r="I714" s="0" t="s">
        <v>189</v>
      </c>
      <c r="J714" s="0" t="s">
        <v>109</v>
      </c>
      <c r="K714" s="0" t="n">
        <v>18621</v>
      </c>
      <c r="L714" s="0" t="s">
        <v>110</v>
      </c>
      <c r="M714" s="0" t="s">
        <v>50</v>
      </c>
      <c r="O714" s="0" t="n">
        <v>4.7</v>
      </c>
      <c r="P714" s="0" t="s">
        <v>125</v>
      </c>
      <c r="Q714" s="0" t="s">
        <v>93</v>
      </c>
      <c r="R714" s="0" t="s">
        <v>53</v>
      </c>
      <c r="S714" s="0" t="s">
        <v>126</v>
      </c>
      <c r="T714" s="0" t="n">
        <v>45</v>
      </c>
      <c r="U714" s="0" t="s">
        <v>96</v>
      </c>
      <c r="V714" s="0" t="s">
        <v>97</v>
      </c>
      <c r="W714" s="0" t="s">
        <v>98</v>
      </c>
      <c r="X714" s="0" t="s">
        <v>114</v>
      </c>
      <c r="Y714" s="0" t="s">
        <v>156</v>
      </c>
      <c r="Z714" s="0" t="s">
        <v>161</v>
      </c>
      <c r="AA714" s="0" t="n">
        <v>30000</v>
      </c>
      <c r="AB714" s="0" t="n">
        <v>40000</v>
      </c>
      <c r="AC714" s="0" t="s">
        <v>50</v>
      </c>
      <c r="AG714" s="0" t="s">
        <v>61</v>
      </c>
      <c r="AJ714" s="0" t="s">
        <v>81</v>
      </c>
      <c r="AK714" s="0" t="s">
        <v>63</v>
      </c>
      <c r="AL714" s="0" t="s">
        <v>102</v>
      </c>
      <c r="AM714" s="0" t="s">
        <v>118</v>
      </c>
      <c r="AN714" s="0" t="s">
        <v>198</v>
      </c>
    </row>
    <row r="715" customFormat="false" ht="15" hidden="false" customHeight="false" outlineLevel="0" collapsed="false">
      <c r="A715" s="1" t="n">
        <v>45780</v>
      </c>
      <c r="B715" s="0" t="s">
        <v>1728</v>
      </c>
      <c r="C715" s="0" t="s">
        <v>42</v>
      </c>
      <c r="D715" s="0" t="n">
        <v>8077819218</v>
      </c>
      <c r="E715" s="0" t="s">
        <v>122</v>
      </c>
      <c r="F715" s="0" t="s">
        <v>1729</v>
      </c>
      <c r="G715" s="0" t="s">
        <v>134</v>
      </c>
      <c r="H715" s="0" t="s">
        <v>272</v>
      </c>
      <c r="I715" s="0" t="s">
        <v>142</v>
      </c>
      <c r="J715" s="0" t="s">
        <v>48</v>
      </c>
      <c r="K715" s="0" t="n">
        <v>51506</v>
      </c>
      <c r="L715" s="0" t="s">
        <v>124</v>
      </c>
      <c r="M715" s="0" t="s">
        <v>63</v>
      </c>
      <c r="N715" s="0" t="n">
        <v>4</v>
      </c>
      <c r="O715" s="0" t="n">
        <v>5</v>
      </c>
      <c r="P715" s="0" t="s">
        <v>111</v>
      </c>
      <c r="Q715" s="0" t="s">
        <v>73</v>
      </c>
      <c r="R715" s="0" t="s">
        <v>159</v>
      </c>
      <c r="S715" s="0" t="s">
        <v>75</v>
      </c>
      <c r="T715" s="0" t="s">
        <v>127</v>
      </c>
      <c r="U715" s="0" t="s">
        <v>96</v>
      </c>
      <c r="V715" s="0" t="s">
        <v>148</v>
      </c>
      <c r="W715" s="0" t="s">
        <v>128</v>
      </c>
      <c r="X715" s="0" t="s">
        <v>58</v>
      </c>
      <c r="Z715" s="0" t="s">
        <v>161</v>
      </c>
      <c r="AA715" s="0" t="s">
        <v>150</v>
      </c>
      <c r="AB715" s="0" t="n">
        <v>30000</v>
      </c>
      <c r="AC715" s="0" t="s">
        <v>82</v>
      </c>
      <c r="AD715" s="0" t="s">
        <v>115</v>
      </c>
      <c r="AE715" s="0" t="s">
        <v>184</v>
      </c>
      <c r="AF715" s="1" t="n">
        <v>45952</v>
      </c>
      <c r="AG715" s="0" t="s">
        <v>61</v>
      </c>
      <c r="AJ715" s="0" t="s">
        <v>62</v>
      </c>
      <c r="AK715" s="0" t="s">
        <v>61</v>
      </c>
      <c r="AL715" s="0" t="s">
        <v>50</v>
      </c>
      <c r="AM715" s="0" t="s">
        <v>83</v>
      </c>
      <c r="AN715" s="0" t="s">
        <v>50</v>
      </c>
    </row>
    <row r="716" customFormat="false" ht="15" hidden="false" customHeight="false" outlineLevel="0" collapsed="false">
      <c r="A716" s="1" t="n">
        <v>45806</v>
      </c>
      <c r="B716" s="0" t="s">
        <v>1730</v>
      </c>
      <c r="C716" s="0" t="s">
        <v>105</v>
      </c>
      <c r="D716" s="0" t="n">
        <v>8091791507</v>
      </c>
      <c r="E716" s="0" t="s">
        <v>67</v>
      </c>
      <c r="F716" s="0" t="s">
        <v>1731</v>
      </c>
      <c r="G716" s="0" t="s">
        <v>134</v>
      </c>
      <c r="H716" s="0" t="s">
        <v>272</v>
      </c>
      <c r="I716" s="0" t="s">
        <v>189</v>
      </c>
      <c r="J716" s="0" t="s">
        <v>48</v>
      </c>
      <c r="K716" s="0" t="n">
        <v>112820</v>
      </c>
      <c r="L716" s="0" t="s">
        <v>124</v>
      </c>
      <c r="M716" s="0" t="s">
        <v>50</v>
      </c>
      <c r="N716" s="0" t="n">
        <v>2</v>
      </c>
      <c r="O716" s="0" t="n">
        <v>6</v>
      </c>
      <c r="P716" s="0" t="s">
        <v>51</v>
      </c>
      <c r="Q716" s="0" t="s">
        <v>52</v>
      </c>
      <c r="R716" s="0" t="s">
        <v>159</v>
      </c>
      <c r="S716" s="0" t="s">
        <v>167</v>
      </c>
      <c r="T716" s="0" t="n">
        <v>45</v>
      </c>
      <c r="U716" s="0" t="s">
        <v>112</v>
      </c>
      <c r="V716" s="0" t="s">
        <v>148</v>
      </c>
      <c r="W716" s="0" t="s">
        <v>128</v>
      </c>
      <c r="X716" s="0" t="s">
        <v>58</v>
      </c>
      <c r="Y716" s="0" t="s">
        <v>197</v>
      </c>
      <c r="AA716" s="0" t="n">
        <v>30000</v>
      </c>
      <c r="AB716" s="0" t="n">
        <v>30000</v>
      </c>
      <c r="AD716" s="0" t="n">
        <v>0</v>
      </c>
      <c r="AE716" s="0" t="s">
        <v>130</v>
      </c>
      <c r="AF716" s="1" t="n">
        <v>45937</v>
      </c>
      <c r="AH716" s="0" t="s">
        <v>116</v>
      </c>
      <c r="AI716" s="0" t="s">
        <v>101</v>
      </c>
      <c r="AJ716" s="0" t="s">
        <v>62</v>
      </c>
      <c r="AK716" s="0" t="s">
        <v>63</v>
      </c>
      <c r="AL716" s="0" t="s">
        <v>63</v>
      </c>
      <c r="AM716" s="0" t="s">
        <v>118</v>
      </c>
      <c r="AN716" s="0" t="s">
        <v>50</v>
      </c>
    </row>
    <row r="717" customFormat="false" ht="15" hidden="false" customHeight="false" outlineLevel="0" collapsed="false">
      <c r="A717" s="1" t="n">
        <v>45804</v>
      </c>
      <c r="B717" s="0" t="s">
        <v>1732</v>
      </c>
      <c r="C717" s="0" t="s">
        <v>105</v>
      </c>
      <c r="D717" s="0" t="n">
        <v>8068174055</v>
      </c>
      <c r="E717" s="0" t="s">
        <v>67</v>
      </c>
      <c r="F717" s="0" t="s">
        <v>1733</v>
      </c>
      <c r="G717" s="0" t="s">
        <v>87</v>
      </c>
      <c r="H717" s="0" t="s">
        <v>153</v>
      </c>
      <c r="I717" s="0" t="s">
        <v>108</v>
      </c>
      <c r="J717" s="0" t="s">
        <v>48</v>
      </c>
      <c r="K717" s="0" t="n">
        <v>32560</v>
      </c>
      <c r="L717" s="0" t="s">
        <v>166</v>
      </c>
      <c r="M717" s="0" t="s">
        <v>63</v>
      </c>
      <c r="N717" s="0" t="n">
        <v>2</v>
      </c>
      <c r="O717" s="0" t="n">
        <v>1.6</v>
      </c>
      <c r="P717" s="0" t="s">
        <v>125</v>
      </c>
      <c r="Q717" s="0" t="s">
        <v>52</v>
      </c>
      <c r="R717" s="0" t="s">
        <v>53</v>
      </c>
      <c r="S717" s="0" t="s">
        <v>75</v>
      </c>
      <c r="T717" s="0" t="n">
        <v>15</v>
      </c>
      <c r="U717" s="0" t="s">
        <v>112</v>
      </c>
      <c r="V717" s="0" t="s">
        <v>97</v>
      </c>
      <c r="W717" s="0" t="s">
        <v>113</v>
      </c>
      <c r="X717" s="0" t="s">
        <v>196</v>
      </c>
      <c r="Y717" s="0" t="s">
        <v>197</v>
      </c>
      <c r="Z717" s="0" t="s">
        <v>161</v>
      </c>
      <c r="AA717" s="0" t="n">
        <v>15000</v>
      </c>
      <c r="AB717" s="0" t="n">
        <v>30000</v>
      </c>
      <c r="AD717" s="0" t="n">
        <v>0</v>
      </c>
      <c r="AE717" s="0" t="s">
        <v>130</v>
      </c>
      <c r="AF717" s="1" t="n">
        <v>45998</v>
      </c>
      <c r="AG717" s="0" t="s">
        <v>82</v>
      </c>
      <c r="AJ717" s="0" t="s">
        <v>62</v>
      </c>
      <c r="AL717" s="0" t="s">
        <v>102</v>
      </c>
      <c r="AM717" s="0" t="s">
        <v>64</v>
      </c>
      <c r="AN717" s="0" t="s">
        <v>198</v>
      </c>
    </row>
    <row r="718" customFormat="false" ht="15" hidden="false" customHeight="false" outlineLevel="0" collapsed="false">
      <c r="A718" s="1" t="n">
        <v>45668</v>
      </c>
      <c r="B718" s="0" t="s">
        <v>1734</v>
      </c>
      <c r="C718" s="0" t="s">
        <v>163</v>
      </c>
      <c r="D718" s="0" t="n">
        <v>8030921653</v>
      </c>
      <c r="E718" s="0" t="s">
        <v>85</v>
      </c>
      <c r="F718" s="0" t="s">
        <v>1735</v>
      </c>
      <c r="G718" s="0" t="s">
        <v>87</v>
      </c>
      <c r="H718" s="0" t="s">
        <v>46</v>
      </c>
      <c r="I718" s="0" t="s">
        <v>108</v>
      </c>
      <c r="J718" s="0" t="s">
        <v>48</v>
      </c>
      <c r="K718" s="0" t="n">
        <v>15543</v>
      </c>
      <c r="L718" s="0" t="s">
        <v>124</v>
      </c>
      <c r="M718" s="0" t="s">
        <v>50</v>
      </c>
      <c r="N718" s="0" t="n">
        <v>1</v>
      </c>
      <c r="O718" s="0" t="n">
        <v>1.8</v>
      </c>
      <c r="Q718" s="0" t="s">
        <v>73</v>
      </c>
      <c r="R718" s="0" t="s">
        <v>94</v>
      </c>
      <c r="S718" s="0" t="s">
        <v>167</v>
      </c>
      <c r="T718" s="0" t="n">
        <v>30</v>
      </c>
      <c r="U718" s="0" t="s">
        <v>76</v>
      </c>
      <c r="V718" s="0" t="s">
        <v>155</v>
      </c>
      <c r="W718" s="0" t="s">
        <v>57</v>
      </c>
      <c r="X718" s="0" t="s">
        <v>196</v>
      </c>
      <c r="Z718" s="0" t="s">
        <v>161</v>
      </c>
      <c r="AA718" s="0" t="n">
        <v>25000</v>
      </c>
      <c r="AB718" s="0" t="n">
        <v>40000</v>
      </c>
      <c r="AC718" s="0" t="s">
        <v>63</v>
      </c>
      <c r="AD718" s="0" t="n">
        <v>0</v>
      </c>
      <c r="AE718" s="0" t="s">
        <v>130</v>
      </c>
      <c r="AG718" s="0" t="s">
        <v>82</v>
      </c>
      <c r="AH718" s="0" t="s">
        <v>171</v>
      </c>
      <c r="AI718" s="0" t="s">
        <v>172</v>
      </c>
      <c r="AL718" s="0" t="s">
        <v>50</v>
      </c>
      <c r="AN718" s="0" t="s">
        <v>50</v>
      </c>
    </row>
    <row r="719" customFormat="false" ht="15" hidden="false" customHeight="false" outlineLevel="0" collapsed="false">
      <c r="A719" s="0" t="s">
        <v>1483</v>
      </c>
      <c r="B719" s="0" t="s">
        <v>1736</v>
      </c>
      <c r="C719" s="0" t="s">
        <v>163</v>
      </c>
      <c r="D719" s="0" t="n">
        <v>8074693042</v>
      </c>
      <c r="E719" s="0" t="s">
        <v>122</v>
      </c>
      <c r="F719" s="0" t="s">
        <v>1737</v>
      </c>
      <c r="G719" s="0" t="s">
        <v>45</v>
      </c>
      <c r="H719" s="0" t="s">
        <v>272</v>
      </c>
      <c r="I719" s="0" t="s">
        <v>89</v>
      </c>
      <c r="J719" s="0" t="s">
        <v>109</v>
      </c>
      <c r="K719" s="0" t="n">
        <v>43491</v>
      </c>
      <c r="L719" s="0" t="s">
        <v>124</v>
      </c>
      <c r="M719" s="0" t="s">
        <v>50</v>
      </c>
      <c r="N719" s="0" t="n">
        <v>2</v>
      </c>
      <c r="O719" s="0" t="n">
        <v>5</v>
      </c>
      <c r="Q719" s="0" t="s">
        <v>73</v>
      </c>
      <c r="S719" s="0" t="s">
        <v>126</v>
      </c>
      <c r="T719" s="0" t="n">
        <v>15</v>
      </c>
      <c r="U719" s="0" t="s">
        <v>96</v>
      </c>
      <c r="V719" s="0" t="s">
        <v>56</v>
      </c>
      <c r="W719" s="0" t="s">
        <v>128</v>
      </c>
      <c r="X719" s="0" t="s">
        <v>196</v>
      </c>
      <c r="Y719" s="0" t="s">
        <v>59</v>
      </c>
      <c r="AB719" s="0" t="n">
        <v>30000</v>
      </c>
      <c r="AC719" s="0" t="s">
        <v>63</v>
      </c>
      <c r="AD719" s="0" t="n">
        <v>0</v>
      </c>
      <c r="AE719" s="0" t="s">
        <v>184</v>
      </c>
      <c r="AF719" s="1" t="n">
        <v>46009</v>
      </c>
      <c r="AG719" s="0" t="s">
        <v>50</v>
      </c>
      <c r="AJ719" s="0" t="s">
        <v>63</v>
      </c>
      <c r="AL719" s="0" t="s">
        <v>63</v>
      </c>
      <c r="AN719" s="0" t="s">
        <v>50</v>
      </c>
    </row>
    <row r="720" customFormat="false" ht="15" hidden="false" customHeight="false" outlineLevel="0" collapsed="false">
      <c r="A720" s="1" t="n">
        <v>45683</v>
      </c>
      <c r="B720" s="0" t="s">
        <v>1738</v>
      </c>
      <c r="C720" s="0" t="s">
        <v>105</v>
      </c>
      <c r="D720" s="0" t="n">
        <v>8012658997</v>
      </c>
      <c r="E720" s="0" t="s">
        <v>122</v>
      </c>
      <c r="F720" s="0" t="s">
        <v>318</v>
      </c>
      <c r="G720" s="0" t="s">
        <v>134</v>
      </c>
      <c r="I720" s="0" t="s">
        <v>142</v>
      </c>
      <c r="K720" s="0" t="n">
        <v>90027</v>
      </c>
      <c r="L720" s="0" t="s">
        <v>91</v>
      </c>
      <c r="M720" s="0" t="s">
        <v>63</v>
      </c>
      <c r="N720" s="0" t="n">
        <v>2</v>
      </c>
      <c r="O720" s="0" t="n">
        <v>5.8</v>
      </c>
      <c r="Q720" s="0" t="s">
        <v>73</v>
      </c>
      <c r="R720" s="0" t="s">
        <v>53</v>
      </c>
      <c r="S720" s="0" t="s">
        <v>95</v>
      </c>
      <c r="U720" s="0" t="s">
        <v>55</v>
      </c>
      <c r="V720" s="0" t="s">
        <v>77</v>
      </c>
      <c r="W720" s="0" t="s">
        <v>78</v>
      </c>
      <c r="X720" s="0" t="s">
        <v>114</v>
      </c>
      <c r="Y720" s="0" t="s">
        <v>197</v>
      </c>
      <c r="AA720" s="0" t="n">
        <v>25000</v>
      </c>
      <c r="AC720" s="0" t="s">
        <v>61</v>
      </c>
      <c r="AD720" s="0" t="n">
        <v>5000</v>
      </c>
      <c r="AE720" s="0" t="s">
        <v>184</v>
      </c>
      <c r="AF720" s="1" t="n">
        <v>45935</v>
      </c>
      <c r="AH720" s="0" t="s">
        <v>116</v>
      </c>
      <c r="AI720" s="0" t="s">
        <v>117</v>
      </c>
      <c r="AK720" s="0" t="s">
        <v>61</v>
      </c>
      <c r="AM720" s="0" t="s">
        <v>118</v>
      </c>
      <c r="AN720" s="0" t="s">
        <v>198</v>
      </c>
    </row>
    <row r="721" customFormat="false" ht="15" hidden="false" customHeight="false" outlineLevel="0" collapsed="false">
      <c r="A721" s="1" t="n">
        <v>45661</v>
      </c>
      <c r="B721" s="0" t="s">
        <v>1739</v>
      </c>
      <c r="C721" s="0" t="s">
        <v>121</v>
      </c>
      <c r="D721" s="0" t="n">
        <v>8061193233</v>
      </c>
      <c r="E721" s="0" t="s">
        <v>43</v>
      </c>
      <c r="F721" s="0" t="s">
        <v>1740</v>
      </c>
      <c r="G721" s="0" t="s">
        <v>134</v>
      </c>
      <c r="I721" s="0" t="s">
        <v>108</v>
      </c>
      <c r="J721" s="0" t="s">
        <v>90</v>
      </c>
      <c r="K721" s="0" t="n">
        <v>89803</v>
      </c>
      <c r="L721" s="0" t="s">
        <v>110</v>
      </c>
      <c r="M721" s="0" t="s">
        <v>63</v>
      </c>
      <c r="N721" s="0" t="n">
        <v>1</v>
      </c>
      <c r="O721" s="0" t="n">
        <v>3.4</v>
      </c>
      <c r="P721" s="0" t="s">
        <v>125</v>
      </c>
      <c r="Q721" s="0" t="s">
        <v>52</v>
      </c>
      <c r="R721" s="0" t="s">
        <v>53</v>
      </c>
      <c r="S721" s="0" t="s">
        <v>126</v>
      </c>
      <c r="T721" s="0" t="n">
        <v>60</v>
      </c>
      <c r="U721" s="0" t="s">
        <v>112</v>
      </c>
      <c r="V721" s="0" t="s">
        <v>97</v>
      </c>
      <c r="W721" s="0" t="s">
        <v>98</v>
      </c>
      <c r="X721" s="0" t="s">
        <v>99</v>
      </c>
      <c r="Y721" s="0" t="s">
        <v>197</v>
      </c>
      <c r="Z721" s="0" t="s">
        <v>161</v>
      </c>
      <c r="AA721" s="0" t="n">
        <v>40000</v>
      </c>
      <c r="AB721" s="0" t="n">
        <v>20000</v>
      </c>
      <c r="AC721" s="0" t="s">
        <v>50</v>
      </c>
      <c r="AD721" s="0" t="n">
        <v>10000</v>
      </c>
      <c r="AF721" s="1" t="n">
        <v>45958</v>
      </c>
      <c r="AG721" s="0" t="s">
        <v>50</v>
      </c>
      <c r="AH721" s="0" t="s">
        <v>116</v>
      </c>
      <c r="AI721" s="0" t="s">
        <v>117</v>
      </c>
      <c r="AK721" s="0" t="s">
        <v>50</v>
      </c>
      <c r="AL721" s="0" t="s">
        <v>102</v>
      </c>
      <c r="AM721" s="0" t="s">
        <v>118</v>
      </c>
    </row>
    <row r="722" customFormat="false" ht="15" hidden="false" customHeight="false" outlineLevel="0" collapsed="false">
      <c r="A722" s="0" t="s">
        <v>592</v>
      </c>
      <c r="B722" s="0" t="s">
        <v>1741</v>
      </c>
      <c r="C722" s="0" t="s">
        <v>163</v>
      </c>
      <c r="D722" s="0" t="n">
        <v>8067364292</v>
      </c>
      <c r="E722" s="0" t="s">
        <v>85</v>
      </c>
      <c r="F722" s="0" t="s">
        <v>1742</v>
      </c>
      <c r="G722" s="0" t="s">
        <v>69</v>
      </c>
      <c r="I722" s="0" t="s">
        <v>47</v>
      </c>
      <c r="J722" s="0" t="s">
        <v>90</v>
      </c>
      <c r="K722" s="0" t="n">
        <v>75776</v>
      </c>
      <c r="L722" s="0" t="s">
        <v>110</v>
      </c>
      <c r="M722" s="0" t="s">
        <v>63</v>
      </c>
      <c r="N722" s="0" t="n">
        <v>3</v>
      </c>
      <c r="O722" s="0" t="n">
        <v>1</v>
      </c>
      <c r="P722" s="0" t="s">
        <v>111</v>
      </c>
      <c r="Q722" s="0" t="s">
        <v>52</v>
      </c>
      <c r="S722" s="0" t="s">
        <v>54</v>
      </c>
      <c r="T722" s="0" t="s">
        <v>127</v>
      </c>
      <c r="U722" s="0" t="s">
        <v>76</v>
      </c>
      <c r="V722" s="0" t="s">
        <v>97</v>
      </c>
      <c r="W722" s="0" t="s">
        <v>113</v>
      </c>
      <c r="X722" s="0" t="s">
        <v>114</v>
      </c>
      <c r="Y722" s="0" t="s">
        <v>59</v>
      </c>
      <c r="Z722" s="0" t="s">
        <v>161</v>
      </c>
      <c r="AA722" s="0" t="n">
        <v>30000</v>
      </c>
      <c r="AB722" s="0" t="n">
        <v>40000</v>
      </c>
      <c r="AC722" s="0" t="s">
        <v>82</v>
      </c>
      <c r="AD722" s="0" t="n">
        <v>5000</v>
      </c>
      <c r="AE722" s="0" t="s">
        <v>60</v>
      </c>
      <c r="AF722" s="1" t="n">
        <v>45820</v>
      </c>
      <c r="AG722" s="0" t="s">
        <v>50</v>
      </c>
      <c r="AH722" s="0" t="s">
        <v>116</v>
      </c>
      <c r="AI722" s="0" t="s">
        <v>101</v>
      </c>
      <c r="AK722" s="0" t="s">
        <v>63</v>
      </c>
      <c r="AL722" s="0" t="s">
        <v>50</v>
      </c>
      <c r="AM722" s="0" t="s">
        <v>103</v>
      </c>
      <c r="AN722" s="0" t="s">
        <v>198</v>
      </c>
    </row>
    <row r="723" customFormat="false" ht="15" hidden="false" customHeight="false" outlineLevel="0" collapsed="false">
      <c r="A723" s="1" t="n">
        <v>45733</v>
      </c>
      <c r="B723" s="0" t="s">
        <v>1743</v>
      </c>
      <c r="C723" s="0" t="s">
        <v>163</v>
      </c>
      <c r="D723" s="0" t="n">
        <v>8021171324</v>
      </c>
      <c r="E723" s="0" t="s">
        <v>43</v>
      </c>
      <c r="F723" s="0" t="s">
        <v>1744</v>
      </c>
      <c r="G723" s="0" t="s">
        <v>69</v>
      </c>
      <c r="H723" s="0" t="s">
        <v>146</v>
      </c>
      <c r="I723" s="0" t="s">
        <v>189</v>
      </c>
      <c r="K723" s="0" t="n">
        <v>14967</v>
      </c>
      <c r="L723" s="0" t="s">
        <v>110</v>
      </c>
      <c r="M723" s="0" t="s">
        <v>63</v>
      </c>
      <c r="O723" s="0" t="n">
        <v>2.3</v>
      </c>
      <c r="Q723" s="0" t="s">
        <v>93</v>
      </c>
      <c r="R723" s="0" t="s">
        <v>94</v>
      </c>
      <c r="S723" s="0" t="s">
        <v>167</v>
      </c>
      <c r="U723" s="0" t="s">
        <v>76</v>
      </c>
      <c r="V723" s="0" t="s">
        <v>97</v>
      </c>
      <c r="W723" s="0" t="s">
        <v>57</v>
      </c>
      <c r="X723" s="0" t="s">
        <v>137</v>
      </c>
      <c r="Z723" s="0" t="s">
        <v>79</v>
      </c>
      <c r="AB723" s="0" t="n">
        <v>30000</v>
      </c>
      <c r="AC723" s="0" t="s">
        <v>82</v>
      </c>
      <c r="AD723" s="0" t="n">
        <v>10000</v>
      </c>
      <c r="AF723" s="1" t="n">
        <v>45829</v>
      </c>
      <c r="AG723" s="0" t="s">
        <v>61</v>
      </c>
      <c r="AH723" s="0" t="s">
        <v>171</v>
      </c>
      <c r="AI723" s="0" t="s">
        <v>117</v>
      </c>
      <c r="AJ723" s="0" t="s">
        <v>62</v>
      </c>
      <c r="AK723" s="0" t="s">
        <v>61</v>
      </c>
      <c r="AL723" s="0" t="s">
        <v>63</v>
      </c>
      <c r="AM723" s="0" t="s">
        <v>64</v>
      </c>
      <c r="AN723" s="0" t="s">
        <v>198</v>
      </c>
    </row>
    <row r="724" customFormat="false" ht="15" hidden="false" customHeight="false" outlineLevel="0" collapsed="false">
      <c r="A724" s="1" t="n">
        <v>45662</v>
      </c>
      <c r="B724" s="0" t="s">
        <v>1745</v>
      </c>
      <c r="C724" s="0" t="s">
        <v>121</v>
      </c>
      <c r="D724" s="0" t="n">
        <v>8050296396</v>
      </c>
      <c r="E724" s="0" t="s">
        <v>43</v>
      </c>
      <c r="F724" s="0" t="s">
        <v>1746</v>
      </c>
      <c r="G724" s="0" t="s">
        <v>107</v>
      </c>
      <c r="I724" s="0" t="s">
        <v>154</v>
      </c>
      <c r="J724" s="0" t="s">
        <v>90</v>
      </c>
      <c r="K724" s="0" t="n">
        <v>115884</v>
      </c>
      <c r="L724" s="0" t="s">
        <v>166</v>
      </c>
      <c r="M724" s="0" t="s">
        <v>63</v>
      </c>
      <c r="N724" s="0" t="n">
        <v>1</v>
      </c>
      <c r="O724" s="0" t="n">
        <v>2.2</v>
      </c>
      <c r="P724" s="0" t="s">
        <v>51</v>
      </c>
      <c r="Q724" s="0" t="s">
        <v>52</v>
      </c>
      <c r="R724" s="0" t="s">
        <v>136</v>
      </c>
      <c r="S724" s="0" t="s">
        <v>126</v>
      </c>
      <c r="T724" s="0" t="n">
        <v>30</v>
      </c>
      <c r="U724" s="0" t="s">
        <v>76</v>
      </c>
      <c r="V724" s="0" t="s">
        <v>155</v>
      </c>
      <c r="W724" s="0" t="s">
        <v>57</v>
      </c>
      <c r="X724" s="0" t="s">
        <v>114</v>
      </c>
      <c r="Y724" s="0" t="s">
        <v>197</v>
      </c>
      <c r="Z724" s="0" t="s">
        <v>149</v>
      </c>
      <c r="AA724" s="0" t="n">
        <v>15000</v>
      </c>
      <c r="AB724" s="0" t="n">
        <v>35000</v>
      </c>
      <c r="AD724" s="0" t="n">
        <v>10000</v>
      </c>
      <c r="AE724" s="0" t="s">
        <v>130</v>
      </c>
      <c r="AF724" s="1" t="n">
        <v>45846</v>
      </c>
      <c r="AG724" s="0" t="s">
        <v>61</v>
      </c>
      <c r="AI724" s="0" t="s">
        <v>101</v>
      </c>
      <c r="AJ724" s="0" t="s">
        <v>50</v>
      </c>
      <c r="AK724" s="0" t="s">
        <v>63</v>
      </c>
      <c r="AM724" s="0" t="s">
        <v>64</v>
      </c>
      <c r="AN724" s="0" t="s">
        <v>50</v>
      </c>
    </row>
    <row r="725" customFormat="false" ht="15" hidden="false" customHeight="false" outlineLevel="0" collapsed="false">
      <c r="A725" s="1" t="n">
        <v>45775</v>
      </c>
      <c r="B725" s="0" t="s">
        <v>1747</v>
      </c>
      <c r="C725" s="0" t="s">
        <v>42</v>
      </c>
      <c r="D725" s="0" t="n">
        <v>8089884158</v>
      </c>
      <c r="E725" s="0" t="s">
        <v>122</v>
      </c>
      <c r="F725" s="0" t="s">
        <v>1748</v>
      </c>
      <c r="G725" s="0" t="s">
        <v>69</v>
      </c>
      <c r="H725" s="0" t="s">
        <v>46</v>
      </c>
      <c r="I725" s="0" t="s">
        <v>108</v>
      </c>
      <c r="J725" s="0" t="s">
        <v>109</v>
      </c>
      <c r="K725" s="0" t="n">
        <v>87286</v>
      </c>
      <c r="L725" s="0" t="s">
        <v>124</v>
      </c>
      <c r="M725" s="0" t="s">
        <v>50</v>
      </c>
      <c r="N725" s="0" t="n">
        <v>1</v>
      </c>
      <c r="O725" s="0" t="n">
        <v>1.3</v>
      </c>
      <c r="Q725" s="0" t="s">
        <v>93</v>
      </c>
      <c r="S725" s="0" t="s">
        <v>75</v>
      </c>
      <c r="T725" s="0" t="n">
        <v>45</v>
      </c>
      <c r="U725" s="0" t="s">
        <v>55</v>
      </c>
      <c r="V725" s="0" t="s">
        <v>77</v>
      </c>
      <c r="W725" s="0" t="s">
        <v>78</v>
      </c>
      <c r="X725" s="0" t="s">
        <v>99</v>
      </c>
      <c r="Y725" s="0" t="s">
        <v>156</v>
      </c>
      <c r="Z725" s="0" t="s">
        <v>161</v>
      </c>
      <c r="AC725" s="0" t="s">
        <v>50</v>
      </c>
      <c r="AE725" s="0" t="s">
        <v>130</v>
      </c>
      <c r="AF725" s="0" t="s">
        <v>131</v>
      </c>
      <c r="AG725" s="0" t="s">
        <v>63</v>
      </c>
      <c r="AH725" s="0" t="s">
        <v>116</v>
      </c>
      <c r="AJ725" s="0" t="s">
        <v>62</v>
      </c>
      <c r="AM725" s="0" t="s">
        <v>83</v>
      </c>
      <c r="AN725" s="0" t="s">
        <v>50</v>
      </c>
    </row>
    <row r="726" customFormat="false" ht="15" hidden="false" customHeight="false" outlineLevel="0" collapsed="false">
      <c r="A726" s="1" t="n">
        <v>45693</v>
      </c>
      <c r="B726" s="0" t="s">
        <v>1749</v>
      </c>
      <c r="C726" s="0" t="s">
        <v>66</v>
      </c>
      <c r="D726" s="0" t="n">
        <v>8082101452</v>
      </c>
      <c r="E726" s="0" t="s">
        <v>85</v>
      </c>
      <c r="F726" s="0" t="s">
        <v>1750</v>
      </c>
      <c r="G726" s="0" t="s">
        <v>69</v>
      </c>
      <c r="H726" s="0" t="s">
        <v>46</v>
      </c>
      <c r="I726" s="0" t="s">
        <v>47</v>
      </c>
      <c r="J726" s="0" t="s">
        <v>109</v>
      </c>
      <c r="K726" s="0" t="n">
        <v>49010</v>
      </c>
      <c r="L726" s="0" t="s">
        <v>91</v>
      </c>
      <c r="M726" s="0" t="s">
        <v>63</v>
      </c>
      <c r="N726" s="0" t="n">
        <v>3</v>
      </c>
      <c r="O726" s="0" t="n">
        <v>5.9</v>
      </c>
      <c r="P726" s="0" t="s">
        <v>51</v>
      </c>
      <c r="Q726" s="0" t="s">
        <v>52</v>
      </c>
      <c r="R726" s="0" t="s">
        <v>53</v>
      </c>
      <c r="S726" s="0" t="s">
        <v>95</v>
      </c>
      <c r="T726" s="0" t="n">
        <v>15</v>
      </c>
      <c r="U726" s="0" t="s">
        <v>160</v>
      </c>
      <c r="V726" s="0" t="s">
        <v>97</v>
      </c>
      <c r="W726" s="0" t="s">
        <v>57</v>
      </c>
      <c r="X726" s="0" t="s">
        <v>196</v>
      </c>
      <c r="Y726" s="0" t="s">
        <v>156</v>
      </c>
      <c r="Z726" s="0" t="s">
        <v>149</v>
      </c>
      <c r="AC726" s="0" t="s">
        <v>50</v>
      </c>
      <c r="AE726" s="0" t="s">
        <v>130</v>
      </c>
      <c r="AF726" s="1" t="n">
        <v>45968</v>
      </c>
      <c r="AG726" s="0" t="s">
        <v>63</v>
      </c>
      <c r="AI726" s="0" t="s">
        <v>117</v>
      </c>
      <c r="AJ726" s="0" t="s">
        <v>63</v>
      </c>
      <c r="AL726" s="0" t="s">
        <v>50</v>
      </c>
      <c r="AM726" s="0" t="s">
        <v>64</v>
      </c>
      <c r="AN726" s="0" t="s">
        <v>50</v>
      </c>
    </row>
    <row r="727" customFormat="false" ht="15" hidden="false" customHeight="false" outlineLevel="0" collapsed="false">
      <c r="A727" s="1" t="n">
        <v>45752</v>
      </c>
      <c r="B727" s="0" t="s">
        <v>1751</v>
      </c>
      <c r="C727" s="0" t="s">
        <v>42</v>
      </c>
      <c r="D727" s="0" t="n">
        <v>8030508295</v>
      </c>
      <c r="E727" s="0" t="s">
        <v>43</v>
      </c>
      <c r="F727" s="0" t="s">
        <v>1752</v>
      </c>
      <c r="G727" s="0" t="s">
        <v>69</v>
      </c>
      <c r="H727" s="0" t="s">
        <v>46</v>
      </c>
      <c r="I727" s="0" t="s">
        <v>47</v>
      </c>
      <c r="J727" s="0" t="s">
        <v>48</v>
      </c>
      <c r="K727" s="0" t="n">
        <v>94749</v>
      </c>
      <c r="L727" s="0" t="s">
        <v>91</v>
      </c>
      <c r="M727" s="0" t="s">
        <v>63</v>
      </c>
      <c r="N727" s="0" t="n">
        <v>2</v>
      </c>
      <c r="O727" s="0" t="n">
        <v>5.1</v>
      </c>
      <c r="P727" s="0" t="s">
        <v>51</v>
      </c>
      <c r="Q727" s="0" t="s">
        <v>52</v>
      </c>
      <c r="R727" s="0" t="s">
        <v>74</v>
      </c>
      <c r="S727" s="0" t="s">
        <v>54</v>
      </c>
      <c r="T727" s="0" t="s">
        <v>127</v>
      </c>
      <c r="U727" s="0" t="s">
        <v>76</v>
      </c>
      <c r="V727" s="0" t="s">
        <v>97</v>
      </c>
      <c r="W727" s="0" t="s">
        <v>57</v>
      </c>
      <c r="X727" s="0" t="s">
        <v>114</v>
      </c>
      <c r="Y727" s="0" t="s">
        <v>197</v>
      </c>
      <c r="Z727" s="0" t="s">
        <v>161</v>
      </c>
      <c r="AB727" s="0" t="n">
        <v>35000</v>
      </c>
      <c r="AC727" s="0" t="s">
        <v>50</v>
      </c>
      <c r="AD727" s="0" t="s">
        <v>115</v>
      </c>
      <c r="AE727" s="0" t="s">
        <v>184</v>
      </c>
      <c r="AG727" s="0" t="s">
        <v>63</v>
      </c>
      <c r="AI727" s="0" t="s">
        <v>117</v>
      </c>
      <c r="AJ727" s="0" t="s">
        <v>50</v>
      </c>
      <c r="AK727" s="0" t="s">
        <v>63</v>
      </c>
      <c r="AM727" s="0" t="s">
        <v>118</v>
      </c>
      <c r="AN727" s="0" t="s">
        <v>190</v>
      </c>
    </row>
    <row r="728" customFormat="false" ht="15" hidden="false" customHeight="false" outlineLevel="0" collapsed="false">
      <c r="A728" s="1" t="n">
        <v>45658</v>
      </c>
      <c r="B728" s="0" t="s">
        <v>1753</v>
      </c>
      <c r="C728" s="0" t="s">
        <v>66</v>
      </c>
      <c r="D728" s="0" t="n">
        <v>8084202557</v>
      </c>
      <c r="E728" s="0" t="s">
        <v>67</v>
      </c>
      <c r="F728" s="0" t="s">
        <v>1384</v>
      </c>
      <c r="G728" s="0" t="s">
        <v>45</v>
      </c>
      <c r="H728" s="0" t="s">
        <v>272</v>
      </c>
      <c r="I728" s="0" t="s">
        <v>142</v>
      </c>
      <c r="K728" s="0" t="n">
        <v>118806</v>
      </c>
      <c r="L728" s="0" t="s">
        <v>110</v>
      </c>
      <c r="M728" s="0" t="s">
        <v>63</v>
      </c>
      <c r="N728" s="0" t="n">
        <v>5</v>
      </c>
      <c r="O728" s="0" t="n">
        <v>4.8</v>
      </c>
      <c r="P728" s="0" t="s">
        <v>92</v>
      </c>
      <c r="Q728" s="0" t="s">
        <v>52</v>
      </c>
      <c r="R728" s="0" t="s">
        <v>53</v>
      </c>
      <c r="S728" s="0" t="s">
        <v>95</v>
      </c>
      <c r="T728" s="0" t="n">
        <v>60</v>
      </c>
      <c r="U728" s="0" t="s">
        <v>55</v>
      </c>
      <c r="V728" s="0" t="s">
        <v>155</v>
      </c>
      <c r="W728" s="0" t="s">
        <v>78</v>
      </c>
      <c r="X728" s="0" t="s">
        <v>196</v>
      </c>
      <c r="Y728" s="0" t="s">
        <v>177</v>
      </c>
      <c r="Z728" s="0" t="s">
        <v>129</v>
      </c>
      <c r="AA728" s="0" t="s">
        <v>150</v>
      </c>
      <c r="AB728" s="0" t="n">
        <v>35000</v>
      </c>
      <c r="AC728" s="0" t="s">
        <v>82</v>
      </c>
      <c r="AD728" s="0" t="n">
        <v>10000</v>
      </c>
      <c r="AE728" s="0" t="s">
        <v>60</v>
      </c>
      <c r="AG728" s="0" t="s">
        <v>61</v>
      </c>
      <c r="AI728" s="0" t="s">
        <v>172</v>
      </c>
      <c r="AK728" s="0" t="s">
        <v>61</v>
      </c>
      <c r="AL728" s="0" t="s">
        <v>102</v>
      </c>
    </row>
    <row r="729" customFormat="false" ht="15" hidden="false" customHeight="false" outlineLevel="0" collapsed="false">
      <c r="A729" s="1" t="n">
        <v>45743</v>
      </c>
      <c r="B729" s="0" t="s">
        <v>1754</v>
      </c>
      <c r="C729" s="0" t="s">
        <v>121</v>
      </c>
      <c r="D729" s="0" t="n">
        <v>8033581963</v>
      </c>
      <c r="E729" s="0" t="s">
        <v>139</v>
      </c>
      <c r="F729" s="0" t="s">
        <v>1755</v>
      </c>
      <c r="G729" s="0" t="s">
        <v>69</v>
      </c>
      <c r="H729" s="0" t="s">
        <v>135</v>
      </c>
      <c r="I729" s="0" t="s">
        <v>142</v>
      </c>
      <c r="J729" s="0" t="s">
        <v>48</v>
      </c>
      <c r="K729" s="0" t="n">
        <v>88372</v>
      </c>
      <c r="L729" s="0" t="s">
        <v>166</v>
      </c>
      <c r="M729" s="0" t="s">
        <v>63</v>
      </c>
      <c r="N729" s="0" t="n">
        <v>3</v>
      </c>
      <c r="O729" s="0" t="n">
        <v>2.5</v>
      </c>
      <c r="P729" s="0" t="s">
        <v>51</v>
      </c>
      <c r="Q729" s="0" t="s">
        <v>93</v>
      </c>
      <c r="R729" s="0" t="s">
        <v>53</v>
      </c>
      <c r="S729" s="0" t="s">
        <v>54</v>
      </c>
      <c r="U729" s="0" t="s">
        <v>160</v>
      </c>
      <c r="V729" s="0" t="s">
        <v>56</v>
      </c>
      <c r="W729" s="0" t="s">
        <v>98</v>
      </c>
      <c r="X729" s="0" t="s">
        <v>137</v>
      </c>
      <c r="Y729" s="0" t="s">
        <v>177</v>
      </c>
      <c r="Z729" s="0" t="s">
        <v>149</v>
      </c>
      <c r="AA729" s="0" t="s">
        <v>150</v>
      </c>
      <c r="AC729" s="0" t="s">
        <v>82</v>
      </c>
      <c r="AE729" s="0" t="s">
        <v>60</v>
      </c>
      <c r="AF729" s="0" t="s">
        <v>1304</v>
      </c>
      <c r="AG729" s="0" t="s">
        <v>61</v>
      </c>
      <c r="AH729" s="0" t="s">
        <v>116</v>
      </c>
      <c r="AJ729" s="0" t="s">
        <v>81</v>
      </c>
      <c r="AK729" s="0" t="s">
        <v>61</v>
      </c>
      <c r="AL729" s="0" t="s">
        <v>63</v>
      </c>
      <c r="AM729" s="0" t="s">
        <v>83</v>
      </c>
      <c r="AN729" s="0" t="s">
        <v>190</v>
      </c>
    </row>
    <row r="730" customFormat="false" ht="15" hidden="false" customHeight="false" outlineLevel="0" collapsed="false">
      <c r="A730" s="0" t="s">
        <v>248</v>
      </c>
      <c r="B730" s="0" t="s">
        <v>1756</v>
      </c>
      <c r="C730" s="0" t="s">
        <v>163</v>
      </c>
      <c r="D730" s="0" t="n">
        <v>8044533110</v>
      </c>
      <c r="E730" s="0" t="s">
        <v>85</v>
      </c>
      <c r="F730" s="0" t="s">
        <v>1757</v>
      </c>
      <c r="G730" s="0" t="s">
        <v>87</v>
      </c>
      <c r="H730" s="0" t="s">
        <v>242</v>
      </c>
      <c r="I730" s="0" t="s">
        <v>142</v>
      </c>
      <c r="J730" s="0" t="s">
        <v>109</v>
      </c>
      <c r="K730" s="0" t="n">
        <v>117703</v>
      </c>
      <c r="L730" s="0" t="s">
        <v>110</v>
      </c>
      <c r="M730" s="0" t="s">
        <v>50</v>
      </c>
      <c r="N730" s="0" t="n">
        <v>5</v>
      </c>
      <c r="O730" s="0" t="n">
        <v>4.9</v>
      </c>
      <c r="P730" s="0" t="s">
        <v>92</v>
      </c>
      <c r="Q730" s="0" t="s">
        <v>52</v>
      </c>
      <c r="S730" s="0" t="s">
        <v>95</v>
      </c>
      <c r="T730" s="0" t="n">
        <v>15</v>
      </c>
      <c r="U730" s="0" t="s">
        <v>160</v>
      </c>
      <c r="V730" s="0" t="s">
        <v>56</v>
      </c>
      <c r="W730" s="0" t="s">
        <v>128</v>
      </c>
      <c r="X730" s="0" t="s">
        <v>99</v>
      </c>
      <c r="Y730" s="0" t="s">
        <v>197</v>
      </c>
      <c r="Z730" s="0" t="s">
        <v>143</v>
      </c>
      <c r="AA730" s="0" t="n">
        <v>40000</v>
      </c>
      <c r="AB730" s="0" t="s">
        <v>178</v>
      </c>
      <c r="AC730" s="0" t="s">
        <v>50</v>
      </c>
      <c r="AD730" s="0" t="n">
        <v>10000</v>
      </c>
      <c r="AE730" s="0" t="s">
        <v>130</v>
      </c>
      <c r="AF730" s="0" t="s">
        <v>1635</v>
      </c>
      <c r="AL730" s="0" t="s">
        <v>102</v>
      </c>
      <c r="AM730" s="0" t="s">
        <v>103</v>
      </c>
      <c r="AN730" s="0" t="s">
        <v>50</v>
      </c>
    </row>
    <row r="731" customFormat="false" ht="15" hidden="false" customHeight="false" outlineLevel="0" collapsed="false">
      <c r="A731" s="1" t="n">
        <v>45814</v>
      </c>
      <c r="B731" s="0" t="s">
        <v>1758</v>
      </c>
      <c r="C731" s="0" t="s">
        <v>121</v>
      </c>
      <c r="D731" s="0" t="n">
        <v>8061063166</v>
      </c>
      <c r="E731" s="0" t="s">
        <v>43</v>
      </c>
      <c r="F731" s="0" t="s">
        <v>699</v>
      </c>
      <c r="G731" s="0" t="s">
        <v>134</v>
      </c>
      <c r="H731" s="0" t="s">
        <v>176</v>
      </c>
      <c r="I731" s="0" t="s">
        <v>142</v>
      </c>
      <c r="J731" s="0" t="s">
        <v>109</v>
      </c>
      <c r="K731" s="0" t="n">
        <v>75130</v>
      </c>
      <c r="L731" s="0" t="s">
        <v>166</v>
      </c>
      <c r="M731" s="0" t="s">
        <v>50</v>
      </c>
      <c r="N731" s="0" t="n">
        <v>2</v>
      </c>
      <c r="O731" s="0" t="n">
        <v>5.5</v>
      </c>
      <c r="P731" s="0" t="s">
        <v>51</v>
      </c>
      <c r="Q731" s="0" t="s">
        <v>73</v>
      </c>
      <c r="R731" s="0" t="s">
        <v>53</v>
      </c>
      <c r="S731" s="0" t="s">
        <v>167</v>
      </c>
      <c r="T731" s="0" t="n">
        <v>15</v>
      </c>
      <c r="U731" s="0" t="s">
        <v>76</v>
      </c>
      <c r="V731" s="0" t="s">
        <v>97</v>
      </c>
      <c r="W731" s="0" t="s">
        <v>98</v>
      </c>
      <c r="X731" s="0" t="s">
        <v>99</v>
      </c>
      <c r="Y731" s="0" t="s">
        <v>59</v>
      </c>
      <c r="Z731" s="0" t="s">
        <v>129</v>
      </c>
      <c r="AA731" s="0" t="n">
        <v>30000</v>
      </c>
      <c r="AB731" s="0" t="n">
        <v>40000</v>
      </c>
      <c r="AC731" s="0" t="s">
        <v>50</v>
      </c>
      <c r="AE731" s="0" t="s">
        <v>60</v>
      </c>
      <c r="AF731" s="1" t="n">
        <v>45992</v>
      </c>
      <c r="AG731" s="0" t="s">
        <v>63</v>
      </c>
      <c r="AI731" s="0" t="s">
        <v>101</v>
      </c>
      <c r="AJ731" s="0" t="s">
        <v>81</v>
      </c>
      <c r="AM731" s="0" t="s">
        <v>103</v>
      </c>
    </row>
    <row r="732" customFormat="false" ht="15" hidden="false" customHeight="false" outlineLevel="0" collapsed="false">
      <c r="A732" s="1" t="n">
        <v>45743</v>
      </c>
      <c r="B732" s="0" t="s">
        <v>1759</v>
      </c>
      <c r="C732" s="0" t="s">
        <v>42</v>
      </c>
      <c r="D732" s="0" t="n">
        <v>8072230215</v>
      </c>
      <c r="E732" s="0" t="s">
        <v>43</v>
      </c>
      <c r="F732" s="0" t="s">
        <v>1760</v>
      </c>
      <c r="G732" s="0" t="s">
        <v>107</v>
      </c>
      <c r="H732" s="0" t="s">
        <v>46</v>
      </c>
      <c r="I732" s="0" t="s">
        <v>108</v>
      </c>
      <c r="J732" s="0" t="s">
        <v>109</v>
      </c>
      <c r="K732" s="0" t="n">
        <v>61773</v>
      </c>
      <c r="L732" s="0" t="s">
        <v>49</v>
      </c>
      <c r="M732" s="0" t="s">
        <v>50</v>
      </c>
      <c r="N732" s="0" t="n">
        <v>1</v>
      </c>
      <c r="O732" s="0" t="n">
        <v>1.9</v>
      </c>
      <c r="Q732" s="0" t="s">
        <v>52</v>
      </c>
      <c r="R732" s="0" t="s">
        <v>74</v>
      </c>
      <c r="S732" s="0" t="s">
        <v>95</v>
      </c>
      <c r="T732" s="0" t="n">
        <v>15</v>
      </c>
      <c r="U732" s="0" t="s">
        <v>55</v>
      </c>
      <c r="V732" s="0" t="s">
        <v>77</v>
      </c>
      <c r="W732" s="0" t="s">
        <v>128</v>
      </c>
      <c r="X732" s="0" t="s">
        <v>58</v>
      </c>
      <c r="Y732" s="0" t="s">
        <v>197</v>
      </c>
      <c r="Z732" s="0" t="s">
        <v>79</v>
      </c>
      <c r="AA732" s="0" t="n">
        <v>25000</v>
      </c>
      <c r="AB732" s="0" t="s">
        <v>178</v>
      </c>
      <c r="AC732" s="0" t="s">
        <v>61</v>
      </c>
      <c r="AD732" s="0" t="s">
        <v>115</v>
      </c>
      <c r="AE732" s="0" t="s">
        <v>80</v>
      </c>
      <c r="AG732" s="0" t="s">
        <v>63</v>
      </c>
      <c r="AJ732" s="0" t="s">
        <v>81</v>
      </c>
      <c r="AK732" s="0" t="s">
        <v>63</v>
      </c>
      <c r="AN732" s="0" t="s">
        <v>198</v>
      </c>
    </row>
    <row r="733" customFormat="false" ht="15" hidden="false" customHeight="false" outlineLevel="0" collapsed="false">
      <c r="A733" s="1" t="n">
        <v>45672</v>
      </c>
      <c r="B733" s="0" t="s">
        <v>1761</v>
      </c>
      <c r="C733" s="0" t="s">
        <v>121</v>
      </c>
      <c r="D733" s="0" t="n">
        <v>8051050127</v>
      </c>
      <c r="E733" s="0" t="s">
        <v>122</v>
      </c>
      <c r="F733" s="0" t="s">
        <v>1762</v>
      </c>
      <c r="G733" s="0" t="s">
        <v>134</v>
      </c>
      <c r="H733" s="0" t="s">
        <v>135</v>
      </c>
      <c r="I733" s="0" t="s">
        <v>108</v>
      </c>
      <c r="K733" s="0" t="n">
        <v>112672</v>
      </c>
      <c r="L733" s="0" t="s">
        <v>91</v>
      </c>
      <c r="M733" s="0" t="s">
        <v>63</v>
      </c>
      <c r="N733" s="0" t="n">
        <v>3</v>
      </c>
      <c r="O733" s="0" t="n">
        <v>1.7</v>
      </c>
      <c r="P733" s="0" t="s">
        <v>111</v>
      </c>
      <c r="Q733" s="0" t="s">
        <v>93</v>
      </c>
      <c r="R733" s="0" t="s">
        <v>94</v>
      </c>
      <c r="S733" s="0" t="s">
        <v>147</v>
      </c>
      <c r="T733" s="0" t="s">
        <v>127</v>
      </c>
      <c r="U733" s="0" t="s">
        <v>76</v>
      </c>
      <c r="V733" s="0" t="s">
        <v>97</v>
      </c>
      <c r="W733" s="0" t="s">
        <v>78</v>
      </c>
      <c r="X733" s="0" t="s">
        <v>99</v>
      </c>
      <c r="Y733" s="0" t="s">
        <v>197</v>
      </c>
      <c r="Z733" s="0" t="s">
        <v>79</v>
      </c>
      <c r="AA733" s="0" t="n">
        <v>25000</v>
      </c>
      <c r="AB733" s="0" t="n">
        <v>20000</v>
      </c>
      <c r="AC733" s="0" t="s">
        <v>50</v>
      </c>
      <c r="AD733" s="0" t="n">
        <v>0</v>
      </c>
      <c r="AE733" s="0" t="s">
        <v>184</v>
      </c>
      <c r="AG733" s="0" t="s">
        <v>61</v>
      </c>
      <c r="AK733" s="0" t="s">
        <v>50</v>
      </c>
      <c r="AL733" s="0" t="s">
        <v>63</v>
      </c>
      <c r="AM733" s="0" t="s">
        <v>83</v>
      </c>
    </row>
    <row r="734" customFormat="false" ht="15" hidden="false" customHeight="false" outlineLevel="0" collapsed="false">
      <c r="A734" s="1" t="n">
        <v>45904</v>
      </c>
      <c r="B734" s="0" t="s">
        <v>1763</v>
      </c>
      <c r="C734" s="0" t="s">
        <v>42</v>
      </c>
      <c r="D734" s="0" t="n">
        <v>8070881578</v>
      </c>
      <c r="E734" s="0" t="s">
        <v>122</v>
      </c>
      <c r="F734" s="0" t="s">
        <v>1764</v>
      </c>
      <c r="G734" s="0" t="s">
        <v>107</v>
      </c>
      <c r="H734" s="0" t="s">
        <v>88</v>
      </c>
      <c r="I734" s="0" t="s">
        <v>142</v>
      </c>
      <c r="K734" s="0" t="n">
        <v>89443</v>
      </c>
      <c r="L734" s="0" t="s">
        <v>110</v>
      </c>
      <c r="M734" s="0" t="s">
        <v>50</v>
      </c>
      <c r="O734" s="0" t="n">
        <v>4.2</v>
      </c>
      <c r="P734" s="0" t="s">
        <v>51</v>
      </c>
      <c r="Q734" s="0" t="s">
        <v>52</v>
      </c>
      <c r="R734" s="0" t="s">
        <v>74</v>
      </c>
      <c r="S734" s="0" t="s">
        <v>147</v>
      </c>
      <c r="U734" s="0" t="s">
        <v>112</v>
      </c>
      <c r="V734" s="0" t="s">
        <v>77</v>
      </c>
      <c r="W734" s="0" t="s">
        <v>98</v>
      </c>
      <c r="X734" s="0" t="s">
        <v>99</v>
      </c>
      <c r="AA734" s="0" t="n">
        <v>40000</v>
      </c>
      <c r="AB734" s="0" t="n">
        <v>20000</v>
      </c>
      <c r="AC734" s="0" t="s">
        <v>50</v>
      </c>
      <c r="AE734" s="0" t="s">
        <v>130</v>
      </c>
      <c r="AF734" s="1" t="n">
        <v>45843</v>
      </c>
      <c r="AG734" s="0" t="s">
        <v>61</v>
      </c>
      <c r="AJ734" s="0" t="s">
        <v>50</v>
      </c>
      <c r="AK734" s="0" t="s">
        <v>63</v>
      </c>
      <c r="AM734" s="0" t="s">
        <v>83</v>
      </c>
      <c r="AN734" s="0" t="s">
        <v>50</v>
      </c>
    </row>
    <row r="735" customFormat="false" ht="15" hidden="false" customHeight="false" outlineLevel="0" collapsed="false">
      <c r="A735" s="1" t="n">
        <v>45962</v>
      </c>
      <c r="B735" s="0" t="s">
        <v>1765</v>
      </c>
      <c r="C735" s="0" t="s">
        <v>121</v>
      </c>
      <c r="D735" s="0" t="n">
        <v>8048013916</v>
      </c>
      <c r="E735" s="0" t="s">
        <v>43</v>
      </c>
      <c r="F735" s="0" t="s">
        <v>1231</v>
      </c>
      <c r="G735" s="0" t="s">
        <v>87</v>
      </c>
      <c r="H735" s="0" t="s">
        <v>46</v>
      </c>
      <c r="I735" s="0" t="s">
        <v>108</v>
      </c>
      <c r="J735" s="0" t="s">
        <v>48</v>
      </c>
      <c r="K735" s="0" t="n">
        <v>79361</v>
      </c>
      <c r="L735" s="0" t="s">
        <v>124</v>
      </c>
      <c r="M735" s="0" t="s">
        <v>63</v>
      </c>
      <c r="N735" s="0" t="n">
        <v>4</v>
      </c>
      <c r="O735" s="0" t="n">
        <v>1.1</v>
      </c>
      <c r="Q735" s="0" t="s">
        <v>73</v>
      </c>
      <c r="R735" s="0" t="s">
        <v>136</v>
      </c>
      <c r="S735" s="0" t="s">
        <v>95</v>
      </c>
      <c r="U735" s="0" t="s">
        <v>160</v>
      </c>
      <c r="V735" s="0" t="s">
        <v>56</v>
      </c>
      <c r="W735" s="0" t="s">
        <v>113</v>
      </c>
      <c r="X735" s="0" t="s">
        <v>196</v>
      </c>
      <c r="Y735" s="0" t="s">
        <v>156</v>
      </c>
      <c r="Z735" s="0" t="s">
        <v>129</v>
      </c>
      <c r="AA735" s="0" t="n">
        <v>25000</v>
      </c>
      <c r="AB735" s="0" t="n">
        <v>40000</v>
      </c>
      <c r="AE735" s="0" t="s">
        <v>130</v>
      </c>
      <c r="AF735" s="1" t="n">
        <v>45912</v>
      </c>
      <c r="AJ735" s="0" t="s">
        <v>63</v>
      </c>
      <c r="AK735" s="0" t="s">
        <v>50</v>
      </c>
      <c r="AM735" s="0" t="s">
        <v>64</v>
      </c>
      <c r="AN735" s="0" t="s">
        <v>50</v>
      </c>
    </row>
    <row r="736" customFormat="false" ht="15" hidden="false" customHeight="false" outlineLevel="0" collapsed="false">
      <c r="A736" s="1" t="n">
        <v>45801</v>
      </c>
      <c r="B736" s="0" t="s">
        <v>1766</v>
      </c>
      <c r="C736" s="0" t="s">
        <v>105</v>
      </c>
      <c r="D736" s="0" t="n">
        <v>8060351362</v>
      </c>
      <c r="E736" s="0" t="s">
        <v>67</v>
      </c>
      <c r="F736" s="0" t="s">
        <v>1767</v>
      </c>
      <c r="G736" s="0" t="s">
        <v>69</v>
      </c>
      <c r="H736" s="0" t="s">
        <v>141</v>
      </c>
      <c r="I736" s="0" t="s">
        <v>142</v>
      </c>
      <c r="J736" s="0" t="s">
        <v>90</v>
      </c>
      <c r="K736" s="0" t="n">
        <v>74595</v>
      </c>
      <c r="L736" s="0" t="s">
        <v>72</v>
      </c>
      <c r="M736" s="0" t="s">
        <v>63</v>
      </c>
      <c r="N736" s="0" t="n">
        <v>5</v>
      </c>
      <c r="O736" s="0" t="n">
        <v>2.7</v>
      </c>
      <c r="P736" s="0" t="s">
        <v>111</v>
      </c>
      <c r="Q736" s="0" t="s">
        <v>52</v>
      </c>
      <c r="S736" s="0" t="s">
        <v>75</v>
      </c>
      <c r="T736" s="0" t="n">
        <v>60</v>
      </c>
      <c r="U736" s="0" t="s">
        <v>76</v>
      </c>
      <c r="V736" s="0" t="s">
        <v>148</v>
      </c>
      <c r="W736" s="0" t="s">
        <v>128</v>
      </c>
      <c r="X736" s="0" t="s">
        <v>137</v>
      </c>
      <c r="Y736" s="0" t="s">
        <v>59</v>
      </c>
      <c r="AB736" s="0" t="s">
        <v>178</v>
      </c>
      <c r="AC736" s="0" t="s">
        <v>61</v>
      </c>
      <c r="AG736" s="0" t="s">
        <v>61</v>
      </c>
      <c r="AH736" s="0" t="s">
        <v>116</v>
      </c>
      <c r="AI736" s="0" t="s">
        <v>101</v>
      </c>
      <c r="AJ736" s="0" t="s">
        <v>63</v>
      </c>
      <c r="AL736" s="0" t="s">
        <v>102</v>
      </c>
      <c r="AM736" s="0" t="s">
        <v>118</v>
      </c>
      <c r="AN736" s="0" t="s">
        <v>198</v>
      </c>
    </row>
    <row r="737" customFormat="false" ht="15" hidden="false" customHeight="false" outlineLevel="0" collapsed="false">
      <c r="A737" s="1" t="n">
        <v>45675</v>
      </c>
      <c r="B737" s="0" t="s">
        <v>1768</v>
      </c>
      <c r="C737" s="0" t="s">
        <v>42</v>
      </c>
      <c r="D737" s="0" t="n">
        <v>8085449435</v>
      </c>
      <c r="E737" s="0" t="s">
        <v>43</v>
      </c>
      <c r="F737" s="0" t="s">
        <v>1769</v>
      </c>
      <c r="G737" s="0" t="s">
        <v>87</v>
      </c>
      <c r="H737" s="0" t="s">
        <v>46</v>
      </c>
      <c r="I737" s="0" t="s">
        <v>142</v>
      </c>
      <c r="J737" s="0" t="s">
        <v>109</v>
      </c>
      <c r="K737" s="0" t="n">
        <v>93739</v>
      </c>
      <c r="L737" s="0" t="s">
        <v>91</v>
      </c>
      <c r="M737" s="0" t="s">
        <v>63</v>
      </c>
      <c r="N737" s="0" t="n">
        <v>5</v>
      </c>
      <c r="O737" s="0" t="n">
        <v>2.1</v>
      </c>
      <c r="P737" s="0" t="s">
        <v>92</v>
      </c>
      <c r="Q737" s="0" t="s">
        <v>93</v>
      </c>
      <c r="R737" s="0" t="s">
        <v>74</v>
      </c>
      <c r="S737" s="0" t="s">
        <v>126</v>
      </c>
      <c r="T737" s="0" t="n">
        <v>60</v>
      </c>
      <c r="U737" s="0" t="s">
        <v>112</v>
      </c>
      <c r="V737" s="0" t="s">
        <v>97</v>
      </c>
      <c r="W737" s="0" t="s">
        <v>98</v>
      </c>
      <c r="X737" s="0" t="s">
        <v>196</v>
      </c>
      <c r="Y737" s="0" t="s">
        <v>197</v>
      </c>
      <c r="Z737" s="0" t="s">
        <v>129</v>
      </c>
      <c r="AB737" s="0" t="n">
        <v>30000</v>
      </c>
      <c r="AC737" s="0" t="s">
        <v>82</v>
      </c>
      <c r="AD737" s="0" t="n">
        <v>0</v>
      </c>
      <c r="AE737" s="0" t="s">
        <v>60</v>
      </c>
      <c r="AF737" s="1" t="n">
        <v>46006</v>
      </c>
      <c r="AG737" s="0" t="s">
        <v>50</v>
      </c>
      <c r="AK737" s="0" t="s">
        <v>82</v>
      </c>
      <c r="AL737" s="0" t="s">
        <v>50</v>
      </c>
      <c r="AM737" s="0" t="s">
        <v>103</v>
      </c>
      <c r="AN737" s="0" t="s">
        <v>50</v>
      </c>
    </row>
    <row r="738" customFormat="false" ht="15" hidden="false" customHeight="false" outlineLevel="0" collapsed="false">
      <c r="A738" s="1" t="n">
        <v>45743</v>
      </c>
      <c r="B738" s="0" t="s">
        <v>1770</v>
      </c>
      <c r="C738" s="0" t="s">
        <v>66</v>
      </c>
      <c r="D738" s="0" t="n">
        <v>8091339346</v>
      </c>
      <c r="E738" s="0" t="s">
        <v>67</v>
      </c>
      <c r="F738" s="0" t="s">
        <v>1771</v>
      </c>
      <c r="G738" s="0" t="s">
        <v>69</v>
      </c>
      <c r="H738" s="0" t="s">
        <v>146</v>
      </c>
      <c r="I738" s="0" t="s">
        <v>47</v>
      </c>
      <c r="J738" s="0" t="s">
        <v>109</v>
      </c>
      <c r="K738" s="0" t="n">
        <v>39318</v>
      </c>
      <c r="L738" s="0" t="s">
        <v>110</v>
      </c>
      <c r="M738" s="0" t="s">
        <v>50</v>
      </c>
      <c r="O738" s="0" t="n">
        <v>3.9</v>
      </c>
      <c r="P738" s="0" t="s">
        <v>51</v>
      </c>
      <c r="Q738" s="0" t="s">
        <v>73</v>
      </c>
      <c r="R738" s="0" t="s">
        <v>74</v>
      </c>
      <c r="S738" s="0" t="s">
        <v>95</v>
      </c>
      <c r="T738" s="0" t="n">
        <v>15</v>
      </c>
      <c r="U738" s="0" t="s">
        <v>76</v>
      </c>
      <c r="V738" s="0" t="s">
        <v>155</v>
      </c>
      <c r="W738" s="0" t="s">
        <v>128</v>
      </c>
      <c r="X738" s="0" t="s">
        <v>99</v>
      </c>
      <c r="Y738" s="0" t="s">
        <v>197</v>
      </c>
      <c r="Z738" s="0" t="s">
        <v>161</v>
      </c>
      <c r="AA738" s="0" t="n">
        <v>25000</v>
      </c>
      <c r="AB738" s="0" t="n">
        <v>30000</v>
      </c>
      <c r="AC738" s="0" t="s">
        <v>50</v>
      </c>
      <c r="AD738" s="0" t="s">
        <v>115</v>
      </c>
      <c r="AE738" s="0" t="s">
        <v>60</v>
      </c>
      <c r="AH738" s="0" t="s">
        <v>171</v>
      </c>
      <c r="AI738" s="0" t="s">
        <v>101</v>
      </c>
      <c r="AJ738" s="0" t="s">
        <v>81</v>
      </c>
      <c r="AK738" s="0" t="s">
        <v>61</v>
      </c>
      <c r="AL738" s="0" t="s">
        <v>102</v>
      </c>
      <c r="AM738" s="0" t="s">
        <v>64</v>
      </c>
      <c r="AN738" s="0" t="s">
        <v>50</v>
      </c>
    </row>
    <row r="739" customFormat="false" ht="15" hidden="false" customHeight="false" outlineLevel="0" collapsed="false">
      <c r="A739" s="1" t="n">
        <v>45711</v>
      </c>
      <c r="B739" s="0" t="s">
        <v>1772</v>
      </c>
      <c r="C739" s="0" t="s">
        <v>163</v>
      </c>
      <c r="D739" s="0" t="n">
        <v>8074537834</v>
      </c>
      <c r="E739" s="0" t="s">
        <v>43</v>
      </c>
      <c r="F739" s="0" t="s">
        <v>1773</v>
      </c>
      <c r="G739" s="0" t="s">
        <v>134</v>
      </c>
      <c r="H739" s="0" t="s">
        <v>146</v>
      </c>
      <c r="I739" s="0" t="s">
        <v>154</v>
      </c>
      <c r="K739" s="0" t="n">
        <v>94938</v>
      </c>
      <c r="L739" s="0" t="s">
        <v>124</v>
      </c>
      <c r="M739" s="0" t="s">
        <v>50</v>
      </c>
      <c r="N739" s="0" t="n">
        <v>1</v>
      </c>
      <c r="O739" s="0" t="n">
        <v>4.8</v>
      </c>
      <c r="P739" s="0" t="s">
        <v>125</v>
      </c>
      <c r="Q739" s="0" t="s">
        <v>73</v>
      </c>
      <c r="R739" s="0" t="s">
        <v>159</v>
      </c>
      <c r="S739" s="0" t="s">
        <v>54</v>
      </c>
      <c r="T739" s="0" t="s">
        <v>127</v>
      </c>
      <c r="U739" s="0" t="s">
        <v>76</v>
      </c>
      <c r="V739" s="0" t="s">
        <v>77</v>
      </c>
      <c r="W739" s="0" t="s">
        <v>78</v>
      </c>
      <c r="X739" s="0" t="s">
        <v>99</v>
      </c>
      <c r="Y739" s="0" t="s">
        <v>156</v>
      </c>
      <c r="Z739" s="0" t="s">
        <v>143</v>
      </c>
      <c r="AA739" s="0" t="s">
        <v>150</v>
      </c>
      <c r="AB739" s="0" t="n">
        <v>40000</v>
      </c>
      <c r="AE739" s="0" t="s">
        <v>60</v>
      </c>
      <c r="AG739" s="0" t="s">
        <v>63</v>
      </c>
      <c r="AH739" s="0" t="s">
        <v>171</v>
      </c>
      <c r="AI739" s="0" t="s">
        <v>172</v>
      </c>
      <c r="AJ739" s="0" t="s">
        <v>62</v>
      </c>
      <c r="AL739" s="0" t="s">
        <v>63</v>
      </c>
      <c r="AM739" s="0" t="s">
        <v>103</v>
      </c>
      <c r="AN739" s="0" t="s">
        <v>63</v>
      </c>
    </row>
    <row r="740" customFormat="false" ht="15" hidden="false" customHeight="false" outlineLevel="0" collapsed="false">
      <c r="A740" s="0" t="s">
        <v>1774</v>
      </c>
      <c r="B740" s="0" t="s">
        <v>1775</v>
      </c>
      <c r="C740" s="0" t="s">
        <v>163</v>
      </c>
      <c r="D740" s="0" t="n">
        <v>8019655576</v>
      </c>
      <c r="E740" s="0" t="s">
        <v>122</v>
      </c>
      <c r="F740" s="0" t="s">
        <v>1776</v>
      </c>
      <c r="G740" s="0" t="s">
        <v>107</v>
      </c>
      <c r="H740" s="0" t="s">
        <v>141</v>
      </c>
      <c r="I740" s="0" t="s">
        <v>108</v>
      </c>
      <c r="K740" s="0" t="n">
        <v>18535</v>
      </c>
      <c r="L740" s="0" t="s">
        <v>72</v>
      </c>
      <c r="M740" s="0" t="s">
        <v>63</v>
      </c>
      <c r="N740" s="0" t="n">
        <v>1</v>
      </c>
      <c r="O740" s="0" t="n">
        <v>1.7</v>
      </c>
      <c r="P740" s="0" t="s">
        <v>111</v>
      </c>
      <c r="Q740" s="0" t="s">
        <v>73</v>
      </c>
      <c r="R740" s="0" t="s">
        <v>94</v>
      </c>
      <c r="S740" s="0" t="s">
        <v>75</v>
      </c>
      <c r="T740" s="0" t="n">
        <v>45</v>
      </c>
      <c r="U740" s="0" t="s">
        <v>76</v>
      </c>
      <c r="V740" s="0" t="s">
        <v>97</v>
      </c>
      <c r="W740" s="0" t="s">
        <v>113</v>
      </c>
      <c r="X740" s="0" t="s">
        <v>99</v>
      </c>
      <c r="Z740" s="0" t="s">
        <v>161</v>
      </c>
      <c r="AA740" s="0" t="n">
        <v>40000</v>
      </c>
      <c r="AC740" s="0" t="s">
        <v>50</v>
      </c>
      <c r="AD740" s="0" t="s">
        <v>115</v>
      </c>
      <c r="AF740" s="1" t="n">
        <v>46002</v>
      </c>
      <c r="AG740" s="0" t="s">
        <v>50</v>
      </c>
      <c r="AI740" s="0" t="s">
        <v>101</v>
      </c>
      <c r="AJ740" s="0" t="s">
        <v>50</v>
      </c>
      <c r="AK740" s="0" t="s">
        <v>63</v>
      </c>
      <c r="AL740" s="0" t="s">
        <v>102</v>
      </c>
      <c r="AM740" s="0" t="s">
        <v>118</v>
      </c>
      <c r="AN740" s="0" t="s">
        <v>63</v>
      </c>
    </row>
    <row r="741" customFormat="false" ht="15" hidden="false" customHeight="false" outlineLevel="0" collapsed="false">
      <c r="A741" s="1" t="n">
        <v>45786</v>
      </c>
      <c r="B741" s="0" t="s">
        <v>1777</v>
      </c>
      <c r="C741" s="0" t="s">
        <v>42</v>
      </c>
      <c r="D741" s="0" t="n">
        <v>8054725929</v>
      </c>
      <c r="E741" s="0" t="s">
        <v>85</v>
      </c>
      <c r="F741" s="0" t="s">
        <v>1778</v>
      </c>
      <c r="G741" s="0" t="s">
        <v>87</v>
      </c>
      <c r="H741" s="0" t="s">
        <v>88</v>
      </c>
      <c r="I741" s="0" t="s">
        <v>108</v>
      </c>
      <c r="J741" s="0" t="s">
        <v>71</v>
      </c>
      <c r="K741" s="0" t="n">
        <v>36039</v>
      </c>
      <c r="L741" s="0" t="s">
        <v>72</v>
      </c>
      <c r="M741" s="0" t="s">
        <v>50</v>
      </c>
      <c r="N741" s="0" t="n">
        <v>4</v>
      </c>
      <c r="O741" s="0" t="n">
        <v>4.7</v>
      </c>
      <c r="P741" s="0" t="s">
        <v>125</v>
      </c>
      <c r="Q741" s="0" t="s">
        <v>52</v>
      </c>
      <c r="R741" s="0" t="s">
        <v>53</v>
      </c>
      <c r="S741" s="0" t="s">
        <v>75</v>
      </c>
      <c r="T741" s="0" t="n">
        <v>15</v>
      </c>
      <c r="U741" s="0" t="s">
        <v>76</v>
      </c>
      <c r="V741" s="0" t="s">
        <v>97</v>
      </c>
      <c r="W741" s="0" t="s">
        <v>78</v>
      </c>
      <c r="X741" s="0" t="s">
        <v>196</v>
      </c>
      <c r="Y741" s="0" t="s">
        <v>156</v>
      </c>
      <c r="Z741" s="0" t="s">
        <v>143</v>
      </c>
      <c r="AA741" s="0" t="s">
        <v>150</v>
      </c>
      <c r="AB741" s="0" t="n">
        <v>35000</v>
      </c>
      <c r="AC741" s="0" t="s">
        <v>82</v>
      </c>
      <c r="AD741" s="0" t="n">
        <v>0</v>
      </c>
      <c r="AE741" s="0" t="s">
        <v>80</v>
      </c>
      <c r="AG741" s="0" t="s">
        <v>82</v>
      </c>
      <c r="AH741" s="0" t="s">
        <v>171</v>
      </c>
      <c r="AJ741" s="0" t="s">
        <v>50</v>
      </c>
      <c r="AK741" s="0" t="s">
        <v>50</v>
      </c>
      <c r="AM741" s="0" t="s">
        <v>103</v>
      </c>
      <c r="AN741" s="0" t="s">
        <v>50</v>
      </c>
    </row>
    <row r="742" customFormat="false" ht="15" hidden="false" customHeight="false" outlineLevel="0" collapsed="false">
      <c r="A742" s="1" t="n">
        <v>45812</v>
      </c>
      <c r="B742" s="0" t="s">
        <v>1779</v>
      </c>
      <c r="C742" s="0" t="s">
        <v>105</v>
      </c>
      <c r="D742" s="0" t="n">
        <v>8028341704</v>
      </c>
      <c r="E742" s="0" t="s">
        <v>85</v>
      </c>
      <c r="F742" s="0" t="s">
        <v>930</v>
      </c>
      <c r="G742" s="0" t="s">
        <v>69</v>
      </c>
      <c r="H742" s="0" t="s">
        <v>153</v>
      </c>
      <c r="I742" s="0" t="s">
        <v>89</v>
      </c>
      <c r="J742" s="0" t="s">
        <v>48</v>
      </c>
      <c r="K742" s="0" t="n">
        <v>70718</v>
      </c>
      <c r="L742" s="0" t="s">
        <v>91</v>
      </c>
      <c r="M742" s="0" t="s">
        <v>63</v>
      </c>
      <c r="N742" s="0" t="n">
        <v>5</v>
      </c>
      <c r="O742" s="0" t="n">
        <v>5.7</v>
      </c>
      <c r="Q742" s="0" t="s">
        <v>73</v>
      </c>
      <c r="R742" s="0" t="s">
        <v>53</v>
      </c>
      <c r="S742" s="0" t="s">
        <v>95</v>
      </c>
      <c r="U742" s="0" t="s">
        <v>112</v>
      </c>
      <c r="V742" s="0" t="s">
        <v>97</v>
      </c>
      <c r="W742" s="0" t="s">
        <v>128</v>
      </c>
      <c r="X742" s="0" t="s">
        <v>137</v>
      </c>
      <c r="Y742" s="0" t="s">
        <v>59</v>
      </c>
      <c r="Z742" s="0" t="s">
        <v>161</v>
      </c>
      <c r="AA742" s="0" t="n">
        <v>15000</v>
      </c>
      <c r="AB742" s="0" t="n">
        <v>35000</v>
      </c>
      <c r="AC742" s="0" t="s">
        <v>50</v>
      </c>
      <c r="AD742" s="0" t="n">
        <v>5000</v>
      </c>
      <c r="AE742" s="0" t="s">
        <v>60</v>
      </c>
      <c r="AF742" s="1" t="n">
        <v>45818</v>
      </c>
      <c r="AG742" s="0" t="s">
        <v>63</v>
      </c>
      <c r="AH742" s="0" t="s">
        <v>171</v>
      </c>
      <c r="AJ742" s="0" t="s">
        <v>81</v>
      </c>
      <c r="AL742" s="0" t="s">
        <v>50</v>
      </c>
      <c r="AN742" s="0" t="s">
        <v>190</v>
      </c>
    </row>
    <row r="743" customFormat="false" ht="15" hidden="false" customHeight="false" outlineLevel="0" collapsed="false">
      <c r="A743" s="1" t="n">
        <v>45782</v>
      </c>
      <c r="B743" s="0" t="s">
        <v>1780</v>
      </c>
      <c r="C743" s="0" t="s">
        <v>163</v>
      </c>
      <c r="D743" s="0" t="n">
        <v>8072982807</v>
      </c>
      <c r="E743" s="0" t="s">
        <v>122</v>
      </c>
      <c r="F743" s="0" t="s">
        <v>1781</v>
      </c>
      <c r="G743" s="0" t="s">
        <v>69</v>
      </c>
      <c r="H743" s="0" t="s">
        <v>141</v>
      </c>
      <c r="I743" s="0" t="s">
        <v>142</v>
      </c>
      <c r="J743" s="0" t="s">
        <v>90</v>
      </c>
      <c r="K743" s="0" t="n">
        <v>87374</v>
      </c>
      <c r="L743" s="0" t="s">
        <v>72</v>
      </c>
      <c r="M743" s="0" t="s">
        <v>50</v>
      </c>
      <c r="N743" s="0" t="n">
        <v>4</v>
      </c>
      <c r="O743" s="0" t="n">
        <v>4.7</v>
      </c>
      <c r="P743" s="0" t="s">
        <v>92</v>
      </c>
      <c r="Q743" s="0" t="s">
        <v>93</v>
      </c>
      <c r="R743" s="0" t="s">
        <v>53</v>
      </c>
      <c r="S743" s="0" t="s">
        <v>126</v>
      </c>
      <c r="T743" s="0" t="n">
        <v>30</v>
      </c>
      <c r="U743" s="0" t="s">
        <v>55</v>
      </c>
      <c r="V743" s="0" t="s">
        <v>56</v>
      </c>
      <c r="W743" s="0" t="s">
        <v>78</v>
      </c>
      <c r="X743" s="0" t="s">
        <v>114</v>
      </c>
      <c r="Y743" s="0" t="s">
        <v>177</v>
      </c>
      <c r="Z743" s="0" t="s">
        <v>161</v>
      </c>
      <c r="AA743" s="0" t="n">
        <v>30000</v>
      </c>
      <c r="AC743" s="0" t="s">
        <v>50</v>
      </c>
      <c r="AD743" s="0" t="n">
        <v>0</v>
      </c>
      <c r="AE743" s="0" t="s">
        <v>80</v>
      </c>
      <c r="AF743" s="0" t="s">
        <v>1782</v>
      </c>
      <c r="AG743" s="0" t="s">
        <v>82</v>
      </c>
      <c r="AH743" s="0" t="s">
        <v>116</v>
      </c>
      <c r="AJ743" s="0" t="s">
        <v>63</v>
      </c>
      <c r="AK743" s="0" t="s">
        <v>63</v>
      </c>
      <c r="AL743" s="0" t="s">
        <v>102</v>
      </c>
      <c r="AM743" s="0" t="s">
        <v>64</v>
      </c>
      <c r="AN743" s="0" t="s">
        <v>50</v>
      </c>
    </row>
    <row r="744" customFormat="false" ht="15" hidden="false" customHeight="false" outlineLevel="0" collapsed="false">
      <c r="A744" s="0" t="s">
        <v>652</v>
      </c>
      <c r="B744" s="0" t="s">
        <v>1783</v>
      </c>
      <c r="C744" s="0" t="s">
        <v>105</v>
      </c>
      <c r="D744" s="0" t="n">
        <v>8036268523</v>
      </c>
      <c r="E744" s="0" t="s">
        <v>139</v>
      </c>
      <c r="F744" s="0" t="s">
        <v>1784</v>
      </c>
      <c r="G744" s="0" t="s">
        <v>69</v>
      </c>
      <c r="H744" s="0" t="s">
        <v>88</v>
      </c>
      <c r="I744" s="0" t="s">
        <v>142</v>
      </c>
      <c r="J744" s="0" t="s">
        <v>109</v>
      </c>
      <c r="K744" s="0" t="n">
        <v>67542</v>
      </c>
      <c r="L744" s="0" t="s">
        <v>124</v>
      </c>
      <c r="M744" s="0" t="s">
        <v>50</v>
      </c>
      <c r="N744" s="0" t="n">
        <v>2</v>
      </c>
      <c r="O744" s="0" t="n">
        <v>3.9</v>
      </c>
      <c r="P744" s="0" t="s">
        <v>111</v>
      </c>
      <c r="Q744" s="0" t="s">
        <v>73</v>
      </c>
      <c r="R744" s="0" t="s">
        <v>94</v>
      </c>
      <c r="S744" s="0" t="s">
        <v>167</v>
      </c>
      <c r="T744" s="0" t="n">
        <v>60</v>
      </c>
      <c r="U744" s="0" t="s">
        <v>160</v>
      </c>
      <c r="V744" s="0" t="s">
        <v>77</v>
      </c>
      <c r="W744" s="0" t="s">
        <v>57</v>
      </c>
      <c r="X744" s="0" t="s">
        <v>99</v>
      </c>
      <c r="AA744" s="0" t="n">
        <v>40000</v>
      </c>
      <c r="AC744" s="0" t="s">
        <v>82</v>
      </c>
      <c r="AD744" s="0" t="n">
        <v>10000</v>
      </c>
      <c r="AG744" s="0" t="s">
        <v>50</v>
      </c>
      <c r="AH744" s="0" t="s">
        <v>116</v>
      </c>
      <c r="AI744" s="0" t="s">
        <v>101</v>
      </c>
      <c r="AJ744" s="0" t="s">
        <v>63</v>
      </c>
      <c r="AK744" s="0" t="s">
        <v>82</v>
      </c>
      <c r="AL744" s="0" t="s">
        <v>50</v>
      </c>
      <c r="AM744" s="0" t="s">
        <v>103</v>
      </c>
      <c r="AN744" s="0" t="s">
        <v>190</v>
      </c>
    </row>
    <row r="745" customFormat="false" ht="15" hidden="false" customHeight="false" outlineLevel="0" collapsed="false">
      <c r="A745" s="1" t="n">
        <v>45752</v>
      </c>
      <c r="B745" s="0" t="s">
        <v>1785</v>
      </c>
      <c r="C745" s="0" t="s">
        <v>66</v>
      </c>
      <c r="D745" s="0" t="n">
        <v>8030766764</v>
      </c>
      <c r="E745" s="0" t="s">
        <v>43</v>
      </c>
      <c r="F745" s="0" t="s">
        <v>1786</v>
      </c>
      <c r="G745" s="0" t="s">
        <v>134</v>
      </c>
      <c r="H745" s="0" t="s">
        <v>242</v>
      </c>
      <c r="I745" s="0" t="s">
        <v>108</v>
      </c>
      <c r="J745" s="0" t="s">
        <v>48</v>
      </c>
      <c r="K745" s="0" t="n">
        <v>99804</v>
      </c>
      <c r="L745" s="0" t="s">
        <v>110</v>
      </c>
      <c r="M745" s="0" t="s">
        <v>63</v>
      </c>
      <c r="N745" s="0" t="n">
        <v>4</v>
      </c>
      <c r="O745" s="0" t="n">
        <v>2.5</v>
      </c>
      <c r="P745" s="0" t="s">
        <v>51</v>
      </c>
      <c r="Q745" s="0" t="s">
        <v>93</v>
      </c>
      <c r="R745" s="0" t="s">
        <v>136</v>
      </c>
      <c r="S745" s="0" t="s">
        <v>95</v>
      </c>
      <c r="T745" s="0" t="n">
        <v>30</v>
      </c>
      <c r="U745" s="0" t="s">
        <v>160</v>
      </c>
      <c r="V745" s="0" t="s">
        <v>155</v>
      </c>
      <c r="W745" s="0" t="s">
        <v>78</v>
      </c>
      <c r="X745" s="0" t="s">
        <v>99</v>
      </c>
      <c r="AB745" s="0" t="n">
        <v>40000</v>
      </c>
      <c r="AC745" s="0" t="s">
        <v>50</v>
      </c>
      <c r="AE745" s="0" t="s">
        <v>130</v>
      </c>
      <c r="AI745" s="0" t="s">
        <v>101</v>
      </c>
      <c r="AK745" s="0" t="s">
        <v>63</v>
      </c>
      <c r="AL745" s="0" t="s">
        <v>63</v>
      </c>
      <c r="AM745" s="0" t="s">
        <v>83</v>
      </c>
      <c r="AN745" s="0" t="s">
        <v>50</v>
      </c>
    </row>
    <row r="746" customFormat="false" ht="15" hidden="false" customHeight="false" outlineLevel="0" collapsed="false">
      <c r="A746" s="1" t="n">
        <v>45674</v>
      </c>
      <c r="B746" s="0" t="s">
        <v>1787</v>
      </c>
      <c r="C746" s="0" t="s">
        <v>163</v>
      </c>
      <c r="D746" s="0" t="n">
        <v>8035451146</v>
      </c>
      <c r="E746" s="0" t="s">
        <v>85</v>
      </c>
      <c r="F746" s="0" t="s">
        <v>1788</v>
      </c>
      <c r="G746" s="0" t="s">
        <v>134</v>
      </c>
      <c r="H746" s="0" t="s">
        <v>272</v>
      </c>
      <c r="I746" s="0" t="s">
        <v>154</v>
      </c>
      <c r="J746" s="0" t="s">
        <v>71</v>
      </c>
      <c r="K746" s="0" t="n">
        <v>25765</v>
      </c>
      <c r="L746" s="0" t="s">
        <v>72</v>
      </c>
      <c r="M746" s="0" t="s">
        <v>63</v>
      </c>
      <c r="N746" s="0" t="n">
        <v>5</v>
      </c>
      <c r="O746" s="0" t="n">
        <v>5.1</v>
      </c>
      <c r="P746" s="0" t="s">
        <v>92</v>
      </c>
      <c r="Q746" s="0" t="s">
        <v>93</v>
      </c>
      <c r="R746" s="0" t="s">
        <v>136</v>
      </c>
      <c r="S746" s="0" t="s">
        <v>147</v>
      </c>
      <c r="T746" s="0" t="n">
        <v>15</v>
      </c>
      <c r="U746" s="0" t="s">
        <v>76</v>
      </c>
      <c r="V746" s="0" t="s">
        <v>148</v>
      </c>
      <c r="W746" s="0" t="s">
        <v>113</v>
      </c>
      <c r="X746" s="0" t="s">
        <v>114</v>
      </c>
      <c r="Y746" s="0" t="s">
        <v>156</v>
      </c>
      <c r="Z746" s="0" t="s">
        <v>129</v>
      </c>
      <c r="AA746" s="0" t="n">
        <v>15000</v>
      </c>
      <c r="AB746" s="0" t="n">
        <v>35000</v>
      </c>
      <c r="AC746" s="0" t="s">
        <v>50</v>
      </c>
      <c r="AE746" s="0" t="s">
        <v>60</v>
      </c>
      <c r="AF746" s="1" t="n">
        <v>45890</v>
      </c>
      <c r="AG746" s="0" t="s">
        <v>61</v>
      </c>
      <c r="AH746" s="0" t="s">
        <v>116</v>
      </c>
      <c r="AI746" s="0" t="s">
        <v>101</v>
      </c>
      <c r="AJ746" s="0" t="s">
        <v>81</v>
      </c>
      <c r="AK746" s="0" t="s">
        <v>63</v>
      </c>
      <c r="AM746" s="0" t="s">
        <v>64</v>
      </c>
      <c r="AN746" s="0" t="s">
        <v>190</v>
      </c>
    </row>
    <row r="747" customFormat="false" ht="15" hidden="false" customHeight="false" outlineLevel="0" collapsed="false">
      <c r="A747" s="1" t="n">
        <v>45965</v>
      </c>
      <c r="B747" s="0" t="s">
        <v>1789</v>
      </c>
      <c r="C747" s="0" t="s">
        <v>121</v>
      </c>
      <c r="D747" s="0" t="n">
        <v>8010561104</v>
      </c>
      <c r="E747" s="0" t="s">
        <v>85</v>
      </c>
      <c r="F747" s="0" t="s">
        <v>1790</v>
      </c>
      <c r="G747" s="0" t="s">
        <v>45</v>
      </c>
      <c r="H747" s="0" t="s">
        <v>272</v>
      </c>
      <c r="I747" s="0" t="s">
        <v>189</v>
      </c>
      <c r="J747" s="0" t="s">
        <v>48</v>
      </c>
      <c r="K747" s="0" t="n">
        <v>116648</v>
      </c>
      <c r="L747" s="0" t="s">
        <v>72</v>
      </c>
      <c r="M747" s="0" t="s">
        <v>50</v>
      </c>
      <c r="N747" s="0" t="n">
        <v>5</v>
      </c>
      <c r="O747" s="0" t="n">
        <v>5</v>
      </c>
      <c r="P747" s="0" t="s">
        <v>92</v>
      </c>
      <c r="Q747" s="0" t="s">
        <v>52</v>
      </c>
      <c r="R747" s="0" t="s">
        <v>53</v>
      </c>
      <c r="S747" s="0" t="s">
        <v>167</v>
      </c>
      <c r="U747" s="0" t="s">
        <v>160</v>
      </c>
      <c r="V747" s="0" t="s">
        <v>148</v>
      </c>
      <c r="W747" s="0" t="s">
        <v>98</v>
      </c>
      <c r="X747" s="0" t="s">
        <v>137</v>
      </c>
      <c r="Y747" s="0" t="s">
        <v>197</v>
      </c>
      <c r="Z747" s="0" t="s">
        <v>129</v>
      </c>
      <c r="AA747" s="0" t="n">
        <v>15000</v>
      </c>
      <c r="AB747" s="0" t="n">
        <v>30000</v>
      </c>
      <c r="AC747" s="0" t="s">
        <v>61</v>
      </c>
      <c r="AD747" s="0" t="n">
        <v>5000</v>
      </c>
      <c r="AE747" s="0" t="s">
        <v>130</v>
      </c>
      <c r="AF747" s="1" t="n">
        <v>45986</v>
      </c>
      <c r="AG747" s="0" t="s">
        <v>82</v>
      </c>
      <c r="AH747" s="0" t="s">
        <v>171</v>
      </c>
      <c r="AI747" s="0" t="s">
        <v>117</v>
      </c>
      <c r="AJ747" s="0" t="s">
        <v>62</v>
      </c>
      <c r="AK747" s="0" t="s">
        <v>61</v>
      </c>
      <c r="AL747" s="0" t="s">
        <v>102</v>
      </c>
      <c r="AM747" s="0" t="s">
        <v>64</v>
      </c>
    </row>
    <row r="748" customFormat="false" ht="15" hidden="false" customHeight="false" outlineLevel="0" collapsed="false">
      <c r="A748" s="0" t="s">
        <v>119</v>
      </c>
      <c r="B748" s="0" t="s">
        <v>1791</v>
      </c>
      <c r="C748" s="0" t="s">
        <v>121</v>
      </c>
      <c r="D748" s="0" t="n">
        <v>8011722586</v>
      </c>
      <c r="E748" s="0" t="s">
        <v>67</v>
      </c>
      <c r="F748" s="0" t="s">
        <v>1792</v>
      </c>
      <c r="G748" s="0" t="s">
        <v>45</v>
      </c>
      <c r="H748" s="0" t="s">
        <v>141</v>
      </c>
      <c r="I748" s="0" t="s">
        <v>142</v>
      </c>
      <c r="J748" s="0" t="s">
        <v>109</v>
      </c>
      <c r="K748" s="0" t="n">
        <v>64339</v>
      </c>
      <c r="L748" s="0" t="s">
        <v>110</v>
      </c>
      <c r="M748" s="0" t="s">
        <v>63</v>
      </c>
      <c r="N748" s="0" t="n">
        <v>5</v>
      </c>
      <c r="O748" s="0" t="n">
        <v>3.4</v>
      </c>
      <c r="P748" s="0" t="s">
        <v>92</v>
      </c>
      <c r="Q748" s="0" t="s">
        <v>93</v>
      </c>
      <c r="R748" s="0" t="s">
        <v>53</v>
      </c>
      <c r="S748" s="0" t="s">
        <v>167</v>
      </c>
      <c r="U748" s="0" t="s">
        <v>96</v>
      </c>
      <c r="V748" s="0" t="s">
        <v>97</v>
      </c>
      <c r="W748" s="0" t="s">
        <v>78</v>
      </c>
      <c r="X748" s="0" t="s">
        <v>58</v>
      </c>
      <c r="Y748" s="0" t="s">
        <v>177</v>
      </c>
      <c r="Z748" s="0" t="s">
        <v>143</v>
      </c>
      <c r="AA748" s="0" t="s">
        <v>150</v>
      </c>
      <c r="AB748" s="0" t="s">
        <v>178</v>
      </c>
      <c r="AD748" s="0" t="s">
        <v>115</v>
      </c>
      <c r="AE748" s="0" t="s">
        <v>60</v>
      </c>
      <c r="AG748" s="0" t="s">
        <v>50</v>
      </c>
      <c r="AH748" s="0" t="s">
        <v>116</v>
      </c>
      <c r="AI748" s="0" t="s">
        <v>101</v>
      </c>
      <c r="AJ748" s="0" t="s">
        <v>50</v>
      </c>
      <c r="AK748" s="0" t="s">
        <v>82</v>
      </c>
      <c r="AL748" s="0" t="s">
        <v>102</v>
      </c>
      <c r="AN748" s="0" t="s">
        <v>198</v>
      </c>
    </row>
    <row r="749" customFormat="false" ht="15" hidden="false" customHeight="false" outlineLevel="0" collapsed="false">
      <c r="A749" s="1" t="n">
        <v>45686</v>
      </c>
      <c r="B749" s="0" t="s">
        <v>1793</v>
      </c>
      <c r="C749" s="0" t="s">
        <v>42</v>
      </c>
      <c r="D749" s="0" t="n">
        <v>8077202790</v>
      </c>
      <c r="E749" s="0" t="s">
        <v>139</v>
      </c>
      <c r="F749" s="0" t="s">
        <v>1794</v>
      </c>
      <c r="G749" s="0" t="s">
        <v>87</v>
      </c>
      <c r="I749" s="0" t="s">
        <v>189</v>
      </c>
      <c r="K749" s="0" t="n">
        <v>60098</v>
      </c>
      <c r="L749" s="0" t="s">
        <v>91</v>
      </c>
      <c r="M749" s="0" t="s">
        <v>63</v>
      </c>
      <c r="N749" s="0" t="n">
        <v>5</v>
      </c>
      <c r="O749" s="0" t="n">
        <v>1.9</v>
      </c>
      <c r="P749" s="0" t="s">
        <v>92</v>
      </c>
      <c r="Q749" s="0" t="s">
        <v>73</v>
      </c>
      <c r="R749" s="0" t="s">
        <v>136</v>
      </c>
      <c r="S749" s="0" t="s">
        <v>126</v>
      </c>
      <c r="T749" s="0" t="n">
        <v>30</v>
      </c>
      <c r="U749" s="0" t="s">
        <v>96</v>
      </c>
      <c r="V749" s="0" t="s">
        <v>77</v>
      </c>
      <c r="W749" s="0" t="s">
        <v>128</v>
      </c>
      <c r="X749" s="0" t="s">
        <v>196</v>
      </c>
      <c r="AA749" s="0" t="n">
        <v>25000</v>
      </c>
      <c r="AB749" s="0" t="n">
        <v>35000</v>
      </c>
      <c r="AC749" s="0" t="s">
        <v>50</v>
      </c>
      <c r="AF749" s="1" t="n">
        <v>45935</v>
      </c>
      <c r="AG749" s="0" t="s">
        <v>61</v>
      </c>
      <c r="AH749" s="0" t="s">
        <v>116</v>
      </c>
      <c r="AI749" s="0" t="s">
        <v>172</v>
      </c>
      <c r="AJ749" s="0" t="s">
        <v>62</v>
      </c>
      <c r="AK749" s="0" t="s">
        <v>82</v>
      </c>
      <c r="AM749" s="0" t="s">
        <v>64</v>
      </c>
      <c r="AN749" s="0" t="s">
        <v>63</v>
      </c>
    </row>
    <row r="750" customFormat="false" ht="15" hidden="false" customHeight="false" outlineLevel="0" collapsed="false">
      <c r="A750" s="1" t="n">
        <v>45710</v>
      </c>
      <c r="B750" s="0" t="s">
        <v>1795</v>
      </c>
      <c r="C750" s="0" t="s">
        <v>163</v>
      </c>
      <c r="D750" s="0" t="n">
        <v>8060232033</v>
      </c>
      <c r="E750" s="0" t="s">
        <v>67</v>
      </c>
      <c r="F750" s="0" t="s">
        <v>1796</v>
      </c>
      <c r="G750" s="0" t="s">
        <v>134</v>
      </c>
      <c r="H750" s="0" t="s">
        <v>272</v>
      </c>
      <c r="I750" s="0" t="s">
        <v>89</v>
      </c>
      <c r="J750" s="0" t="s">
        <v>48</v>
      </c>
      <c r="K750" s="0" t="n">
        <v>89034</v>
      </c>
      <c r="L750" s="0" t="s">
        <v>72</v>
      </c>
      <c r="M750" s="0" t="s">
        <v>50</v>
      </c>
      <c r="N750" s="0" t="n">
        <v>3</v>
      </c>
      <c r="O750" s="0" t="n">
        <v>4.1</v>
      </c>
      <c r="P750" s="0" t="s">
        <v>125</v>
      </c>
      <c r="Q750" s="0" t="s">
        <v>73</v>
      </c>
      <c r="R750" s="0" t="s">
        <v>159</v>
      </c>
      <c r="S750" s="0" t="s">
        <v>54</v>
      </c>
      <c r="T750" s="0" t="n">
        <v>30</v>
      </c>
      <c r="U750" s="0" t="s">
        <v>112</v>
      </c>
      <c r="V750" s="0" t="s">
        <v>97</v>
      </c>
      <c r="W750" s="0" t="s">
        <v>113</v>
      </c>
      <c r="X750" s="0" t="s">
        <v>99</v>
      </c>
      <c r="Y750" s="0" t="s">
        <v>197</v>
      </c>
      <c r="Z750" s="0" t="s">
        <v>143</v>
      </c>
      <c r="AA750" s="0" t="n">
        <v>40000</v>
      </c>
      <c r="AB750" s="0" t="n">
        <v>20000</v>
      </c>
      <c r="AC750" s="0" t="s">
        <v>63</v>
      </c>
      <c r="AD750" s="0" t="n">
        <v>10000</v>
      </c>
      <c r="AG750" s="0" t="s">
        <v>61</v>
      </c>
      <c r="AI750" s="0" t="s">
        <v>172</v>
      </c>
      <c r="AJ750" s="0" t="s">
        <v>62</v>
      </c>
      <c r="AK750" s="0" t="s">
        <v>82</v>
      </c>
      <c r="AM750" s="0" t="s">
        <v>64</v>
      </c>
      <c r="AN750" s="0" t="s">
        <v>198</v>
      </c>
    </row>
    <row r="751" customFormat="false" ht="15" hidden="false" customHeight="false" outlineLevel="0" collapsed="false">
      <c r="A751" s="1" t="n">
        <v>45733</v>
      </c>
      <c r="B751" s="0" t="s">
        <v>1797</v>
      </c>
      <c r="C751" s="0" t="s">
        <v>105</v>
      </c>
      <c r="D751" s="0" t="n">
        <v>8075961801</v>
      </c>
      <c r="E751" s="0" t="s">
        <v>43</v>
      </c>
      <c r="F751" s="0" t="s">
        <v>1260</v>
      </c>
      <c r="G751" s="0" t="s">
        <v>87</v>
      </c>
      <c r="H751" s="0" t="s">
        <v>170</v>
      </c>
      <c r="I751" s="0" t="s">
        <v>108</v>
      </c>
      <c r="J751" s="0" t="s">
        <v>90</v>
      </c>
      <c r="K751" s="0" t="n">
        <v>82947</v>
      </c>
      <c r="L751" s="0" t="s">
        <v>49</v>
      </c>
      <c r="M751" s="0" t="s">
        <v>50</v>
      </c>
      <c r="N751" s="0" t="n">
        <v>5</v>
      </c>
      <c r="O751" s="0" t="n">
        <v>2</v>
      </c>
      <c r="P751" s="0" t="s">
        <v>51</v>
      </c>
      <c r="Q751" s="0" t="s">
        <v>93</v>
      </c>
      <c r="S751" s="0" t="s">
        <v>54</v>
      </c>
      <c r="T751" s="0" t="n">
        <v>60</v>
      </c>
      <c r="U751" s="0" t="s">
        <v>112</v>
      </c>
      <c r="V751" s="0" t="s">
        <v>155</v>
      </c>
      <c r="W751" s="0" t="s">
        <v>113</v>
      </c>
      <c r="X751" s="0" t="s">
        <v>99</v>
      </c>
      <c r="Y751" s="0" t="s">
        <v>59</v>
      </c>
      <c r="Z751" s="0" t="s">
        <v>129</v>
      </c>
      <c r="AA751" s="0" t="n">
        <v>40000</v>
      </c>
      <c r="AB751" s="0" t="s">
        <v>178</v>
      </c>
      <c r="AC751" s="0" t="s">
        <v>63</v>
      </c>
      <c r="AD751" s="0" t="n">
        <v>5000</v>
      </c>
      <c r="AE751" s="0" t="s">
        <v>80</v>
      </c>
      <c r="AF751" s="1" t="n">
        <v>45971</v>
      </c>
      <c r="AG751" s="0" t="s">
        <v>50</v>
      </c>
      <c r="AH751" s="0" t="s">
        <v>116</v>
      </c>
      <c r="AI751" s="0" t="s">
        <v>101</v>
      </c>
      <c r="AK751" s="0" t="s">
        <v>61</v>
      </c>
      <c r="AM751" s="0" t="s">
        <v>103</v>
      </c>
      <c r="AN751" s="0" t="s">
        <v>190</v>
      </c>
    </row>
    <row r="752" customFormat="false" ht="15" hidden="false" customHeight="false" outlineLevel="0" collapsed="false">
      <c r="A752" s="0" t="s">
        <v>305</v>
      </c>
      <c r="B752" s="0" t="s">
        <v>1798</v>
      </c>
      <c r="C752" s="0" t="s">
        <v>105</v>
      </c>
      <c r="D752" s="0" t="n">
        <v>8064298487</v>
      </c>
      <c r="E752" s="0" t="s">
        <v>43</v>
      </c>
      <c r="F752" s="0" t="s">
        <v>1799</v>
      </c>
      <c r="G752" s="0" t="s">
        <v>107</v>
      </c>
      <c r="H752" s="0" t="s">
        <v>46</v>
      </c>
      <c r="I752" s="0" t="s">
        <v>47</v>
      </c>
      <c r="J752" s="0" t="s">
        <v>109</v>
      </c>
      <c r="K752" s="0" t="n">
        <v>108291</v>
      </c>
      <c r="L752" s="0" t="s">
        <v>124</v>
      </c>
      <c r="M752" s="0" t="s">
        <v>63</v>
      </c>
      <c r="O752" s="0" t="n">
        <v>1.9</v>
      </c>
      <c r="P752" s="0" t="s">
        <v>92</v>
      </c>
      <c r="Q752" s="0" t="s">
        <v>93</v>
      </c>
      <c r="R752" s="0" t="s">
        <v>74</v>
      </c>
      <c r="S752" s="0" t="s">
        <v>126</v>
      </c>
      <c r="T752" s="0" t="s">
        <v>127</v>
      </c>
      <c r="U752" s="0" t="s">
        <v>55</v>
      </c>
      <c r="V752" s="0" t="s">
        <v>77</v>
      </c>
      <c r="W752" s="0" t="s">
        <v>113</v>
      </c>
      <c r="X752" s="0" t="s">
        <v>99</v>
      </c>
      <c r="Y752" s="0" t="s">
        <v>197</v>
      </c>
      <c r="Z752" s="0" t="s">
        <v>79</v>
      </c>
      <c r="AA752" s="0" t="n">
        <v>25000</v>
      </c>
      <c r="AB752" s="0" t="s">
        <v>178</v>
      </c>
      <c r="AC752" s="0" t="s">
        <v>50</v>
      </c>
      <c r="AD752" s="0" t="s">
        <v>115</v>
      </c>
      <c r="AF752" s="1" t="n">
        <v>45911</v>
      </c>
      <c r="AG752" s="0" t="s">
        <v>63</v>
      </c>
      <c r="AI752" s="0" t="s">
        <v>101</v>
      </c>
      <c r="AJ752" s="0" t="s">
        <v>62</v>
      </c>
      <c r="AK752" s="0" t="s">
        <v>61</v>
      </c>
      <c r="AM752" s="0" t="s">
        <v>103</v>
      </c>
      <c r="AN752" s="0" t="s">
        <v>50</v>
      </c>
    </row>
    <row r="753" customFormat="false" ht="15" hidden="false" customHeight="false" outlineLevel="0" collapsed="false">
      <c r="A753" s="1" t="n">
        <v>45823</v>
      </c>
      <c r="B753" s="0" t="s">
        <v>1800</v>
      </c>
      <c r="C753" s="0" t="s">
        <v>66</v>
      </c>
      <c r="D753" s="0" t="n">
        <v>8065810437</v>
      </c>
      <c r="E753" s="0" t="s">
        <v>67</v>
      </c>
      <c r="F753" s="0" t="s">
        <v>1801</v>
      </c>
      <c r="G753" s="0" t="s">
        <v>87</v>
      </c>
      <c r="H753" s="0" t="s">
        <v>141</v>
      </c>
      <c r="I753" s="0" t="s">
        <v>142</v>
      </c>
      <c r="J753" s="0" t="s">
        <v>48</v>
      </c>
      <c r="K753" s="0" t="n">
        <v>48353</v>
      </c>
      <c r="L753" s="0" t="s">
        <v>124</v>
      </c>
      <c r="M753" s="0" t="s">
        <v>63</v>
      </c>
      <c r="N753" s="0" t="n">
        <v>5</v>
      </c>
      <c r="O753" s="0" t="n">
        <v>4.2</v>
      </c>
      <c r="P753" s="0" t="s">
        <v>51</v>
      </c>
      <c r="Q753" s="0" t="s">
        <v>73</v>
      </c>
      <c r="R753" s="0" t="s">
        <v>94</v>
      </c>
      <c r="S753" s="0" t="s">
        <v>95</v>
      </c>
      <c r="T753" s="0" t="n">
        <v>15</v>
      </c>
      <c r="U753" s="0" t="s">
        <v>55</v>
      </c>
      <c r="V753" s="0" t="s">
        <v>56</v>
      </c>
      <c r="W753" s="0" t="s">
        <v>78</v>
      </c>
      <c r="X753" s="0" t="s">
        <v>196</v>
      </c>
      <c r="Y753" s="0" t="s">
        <v>197</v>
      </c>
      <c r="AB753" s="0" t="n">
        <v>20000</v>
      </c>
      <c r="AC753" s="0" t="s">
        <v>50</v>
      </c>
      <c r="AD753" s="0" t="s">
        <v>115</v>
      </c>
      <c r="AE753" s="0" t="s">
        <v>60</v>
      </c>
      <c r="AF753" s="0" t="s">
        <v>970</v>
      </c>
      <c r="AG753" s="0" t="s">
        <v>50</v>
      </c>
      <c r="AI753" s="0" t="s">
        <v>117</v>
      </c>
      <c r="AJ753" s="0" t="s">
        <v>50</v>
      </c>
      <c r="AK753" s="0" t="s">
        <v>50</v>
      </c>
      <c r="AM753" s="0" t="s">
        <v>64</v>
      </c>
      <c r="AN753" s="0" t="s">
        <v>50</v>
      </c>
    </row>
    <row r="754" customFormat="false" ht="15" hidden="false" customHeight="false" outlineLevel="0" collapsed="false">
      <c r="A754" s="1" t="n">
        <v>45717</v>
      </c>
      <c r="B754" s="0" t="s">
        <v>1802</v>
      </c>
      <c r="C754" s="0" t="s">
        <v>163</v>
      </c>
      <c r="D754" s="0" t="n">
        <v>8062968985</v>
      </c>
      <c r="E754" s="0" t="s">
        <v>85</v>
      </c>
      <c r="F754" s="0" t="s">
        <v>1803</v>
      </c>
      <c r="G754" s="0" t="s">
        <v>69</v>
      </c>
      <c r="H754" s="0" t="s">
        <v>135</v>
      </c>
      <c r="I754" s="0" t="s">
        <v>108</v>
      </c>
      <c r="J754" s="0" t="s">
        <v>90</v>
      </c>
      <c r="K754" s="0" t="n">
        <v>23376</v>
      </c>
      <c r="L754" s="0" t="s">
        <v>72</v>
      </c>
      <c r="M754" s="0" t="s">
        <v>63</v>
      </c>
      <c r="N754" s="0" t="n">
        <v>1</v>
      </c>
      <c r="O754" s="0" t="n">
        <v>2.8</v>
      </c>
      <c r="Q754" s="0" t="s">
        <v>52</v>
      </c>
      <c r="R754" s="0" t="s">
        <v>94</v>
      </c>
      <c r="S754" s="0" t="s">
        <v>126</v>
      </c>
      <c r="T754" s="0" t="n">
        <v>15</v>
      </c>
      <c r="U754" s="0" t="s">
        <v>160</v>
      </c>
      <c r="V754" s="0" t="s">
        <v>56</v>
      </c>
      <c r="W754" s="0" t="s">
        <v>128</v>
      </c>
      <c r="X754" s="0" t="s">
        <v>99</v>
      </c>
      <c r="Y754" s="0" t="s">
        <v>156</v>
      </c>
      <c r="Z754" s="0" t="s">
        <v>149</v>
      </c>
      <c r="AA754" s="0" t="s">
        <v>150</v>
      </c>
      <c r="AB754" s="0" t="n">
        <v>40000</v>
      </c>
      <c r="AC754" s="0" t="s">
        <v>82</v>
      </c>
      <c r="AD754" s="0" t="n">
        <v>5000</v>
      </c>
      <c r="AE754" s="0" t="s">
        <v>130</v>
      </c>
      <c r="AF754" s="0" t="s">
        <v>486</v>
      </c>
      <c r="AG754" s="0" t="s">
        <v>50</v>
      </c>
      <c r="AJ754" s="0" t="s">
        <v>62</v>
      </c>
      <c r="AK754" s="0" t="s">
        <v>82</v>
      </c>
      <c r="AL754" s="0" t="s">
        <v>50</v>
      </c>
      <c r="AM754" s="0" t="s">
        <v>64</v>
      </c>
    </row>
    <row r="755" customFormat="false" ht="15" hidden="false" customHeight="false" outlineLevel="0" collapsed="false">
      <c r="A755" s="1" t="n">
        <v>45763</v>
      </c>
      <c r="B755" s="0" t="s">
        <v>1804</v>
      </c>
      <c r="C755" s="0" t="s">
        <v>105</v>
      </c>
      <c r="D755" s="0" t="n">
        <v>8060082660</v>
      </c>
      <c r="E755" s="0" t="s">
        <v>139</v>
      </c>
      <c r="F755" s="0" t="s">
        <v>1805</v>
      </c>
      <c r="G755" s="0" t="s">
        <v>45</v>
      </c>
      <c r="I755" s="0" t="s">
        <v>108</v>
      </c>
      <c r="J755" s="0" t="s">
        <v>109</v>
      </c>
      <c r="K755" s="0" t="n">
        <v>63855</v>
      </c>
      <c r="L755" s="0" t="s">
        <v>49</v>
      </c>
      <c r="M755" s="0" t="s">
        <v>50</v>
      </c>
      <c r="O755" s="0" t="n">
        <v>1.5</v>
      </c>
      <c r="P755" s="0" t="s">
        <v>125</v>
      </c>
      <c r="Q755" s="0" t="s">
        <v>52</v>
      </c>
      <c r="R755" s="0" t="s">
        <v>94</v>
      </c>
      <c r="S755" s="0" t="s">
        <v>75</v>
      </c>
      <c r="T755" s="0" t="n">
        <v>45</v>
      </c>
      <c r="U755" s="0" t="s">
        <v>112</v>
      </c>
      <c r="V755" s="0" t="s">
        <v>97</v>
      </c>
      <c r="W755" s="0" t="s">
        <v>98</v>
      </c>
      <c r="X755" s="0" t="s">
        <v>114</v>
      </c>
      <c r="Y755" s="0" t="s">
        <v>59</v>
      </c>
      <c r="Z755" s="0" t="s">
        <v>129</v>
      </c>
      <c r="AC755" s="0" t="s">
        <v>63</v>
      </c>
      <c r="AF755" s="1" t="n">
        <v>46016</v>
      </c>
      <c r="AG755" s="0" t="s">
        <v>63</v>
      </c>
      <c r="AH755" s="0" t="s">
        <v>116</v>
      </c>
      <c r="AI755" s="0" t="s">
        <v>101</v>
      </c>
      <c r="AJ755" s="0" t="s">
        <v>50</v>
      </c>
      <c r="AK755" s="0" t="s">
        <v>61</v>
      </c>
      <c r="AM755" s="0" t="s">
        <v>103</v>
      </c>
      <c r="AN755" s="0" t="s">
        <v>63</v>
      </c>
    </row>
    <row r="756" customFormat="false" ht="15" hidden="false" customHeight="false" outlineLevel="0" collapsed="false">
      <c r="A756" s="0" t="s">
        <v>1082</v>
      </c>
      <c r="B756" s="0" t="s">
        <v>1806</v>
      </c>
      <c r="C756" s="0" t="s">
        <v>105</v>
      </c>
      <c r="D756" s="0" t="n">
        <v>8061544630</v>
      </c>
      <c r="E756" s="0" t="s">
        <v>67</v>
      </c>
      <c r="F756" s="0" t="s">
        <v>1807</v>
      </c>
      <c r="G756" s="0" t="s">
        <v>87</v>
      </c>
      <c r="H756" s="0" t="s">
        <v>272</v>
      </c>
      <c r="I756" s="0" t="s">
        <v>89</v>
      </c>
      <c r="K756" s="0" t="n">
        <v>60070</v>
      </c>
      <c r="L756" s="0" t="s">
        <v>91</v>
      </c>
      <c r="M756" s="0" t="s">
        <v>63</v>
      </c>
      <c r="N756" s="0" t="n">
        <v>2</v>
      </c>
      <c r="O756" s="0" t="n">
        <v>5.6</v>
      </c>
      <c r="P756" s="0" t="s">
        <v>125</v>
      </c>
      <c r="Q756" s="0" t="s">
        <v>52</v>
      </c>
      <c r="R756" s="0" t="s">
        <v>53</v>
      </c>
      <c r="S756" s="0" t="s">
        <v>167</v>
      </c>
      <c r="T756" s="0" t="s">
        <v>127</v>
      </c>
      <c r="U756" s="0" t="s">
        <v>96</v>
      </c>
      <c r="V756" s="0" t="s">
        <v>148</v>
      </c>
      <c r="W756" s="0" t="s">
        <v>57</v>
      </c>
      <c r="X756" s="0" t="s">
        <v>196</v>
      </c>
      <c r="Y756" s="0" t="s">
        <v>156</v>
      </c>
      <c r="Z756" s="0" t="s">
        <v>129</v>
      </c>
      <c r="AA756" s="0" t="n">
        <v>40000</v>
      </c>
      <c r="AC756" s="0" t="s">
        <v>63</v>
      </c>
      <c r="AD756" s="0" t="n">
        <v>5000</v>
      </c>
      <c r="AK756" s="0" t="s">
        <v>50</v>
      </c>
      <c r="AL756" s="0" t="s">
        <v>102</v>
      </c>
      <c r="AM756" s="0" t="s">
        <v>118</v>
      </c>
    </row>
    <row r="757" customFormat="false" ht="15" hidden="false" customHeight="false" outlineLevel="0" collapsed="false">
      <c r="A757" s="0" t="s">
        <v>1483</v>
      </c>
      <c r="B757" s="0" t="s">
        <v>1808</v>
      </c>
      <c r="C757" s="0" t="s">
        <v>163</v>
      </c>
      <c r="D757" s="0" t="n">
        <v>8075706438</v>
      </c>
      <c r="E757" s="0" t="s">
        <v>139</v>
      </c>
      <c r="F757" s="0" t="s">
        <v>1809</v>
      </c>
      <c r="G757" s="0" t="s">
        <v>45</v>
      </c>
      <c r="H757" s="0" t="s">
        <v>242</v>
      </c>
      <c r="I757" s="0" t="s">
        <v>142</v>
      </c>
      <c r="J757" s="0" t="s">
        <v>109</v>
      </c>
      <c r="K757" s="0" t="n">
        <v>23051</v>
      </c>
      <c r="L757" s="0" t="s">
        <v>72</v>
      </c>
      <c r="M757" s="0" t="s">
        <v>63</v>
      </c>
      <c r="N757" s="0" t="n">
        <v>5</v>
      </c>
      <c r="O757" s="0" t="n">
        <v>3.4</v>
      </c>
      <c r="P757" s="0" t="s">
        <v>51</v>
      </c>
      <c r="Q757" s="0" t="s">
        <v>52</v>
      </c>
      <c r="R757" s="0" t="s">
        <v>94</v>
      </c>
      <c r="S757" s="0" t="s">
        <v>75</v>
      </c>
      <c r="T757" s="0" t="n">
        <v>30</v>
      </c>
      <c r="U757" s="0" t="s">
        <v>96</v>
      </c>
      <c r="V757" s="0" t="s">
        <v>155</v>
      </c>
      <c r="W757" s="0" t="s">
        <v>113</v>
      </c>
      <c r="X757" s="0" t="s">
        <v>99</v>
      </c>
      <c r="Y757" s="0" t="s">
        <v>59</v>
      </c>
      <c r="Z757" s="0" t="s">
        <v>161</v>
      </c>
      <c r="AA757" s="0" t="n">
        <v>40000</v>
      </c>
      <c r="AB757" s="0" t="n">
        <v>35000</v>
      </c>
      <c r="AD757" s="0" t="s">
        <v>115</v>
      </c>
      <c r="AH757" s="0" t="s">
        <v>116</v>
      </c>
      <c r="AI757" s="0" t="s">
        <v>117</v>
      </c>
      <c r="AK757" s="0" t="s">
        <v>63</v>
      </c>
      <c r="AL757" s="0" t="s">
        <v>50</v>
      </c>
      <c r="AM757" s="0" t="s">
        <v>64</v>
      </c>
      <c r="AN757" s="0" t="s">
        <v>190</v>
      </c>
    </row>
    <row r="758" customFormat="false" ht="15" hidden="false" customHeight="false" outlineLevel="0" collapsed="false">
      <c r="A758" s="1" t="n">
        <v>45775</v>
      </c>
      <c r="B758" s="0" t="s">
        <v>1810</v>
      </c>
      <c r="C758" s="0" t="s">
        <v>121</v>
      </c>
      <c r="D758" s="0" t="n">
        <v>8051313669</v>
      </c>
      <c r="E758" s="0" t="s">
        <v>67</v>
      </c>
      <c r="F758" s="0" t="s">
        <v>1811</v>
      </c>
      <c r="G758" s="0" t="s">
        <v>87</v>
      </c>
      <c r="H758" s="0" t="s">
        <v>153</v>
      </c>
      <c r="I758" s="0" t="s">
        <v>108</v>
      </c>
      <c r="J758" s="0" t="s">
        <v>90</v>
      </c>
      <c r="K758" s="0" t="n">
        <v>29456</v>
      </c>
      <c r="L758" s="0" t="s">
        <v>49</v>
      </c>
      <c r="M758" s="0" t="s">
        <v>63</v>
      </c>
      <c r="O758" s="0" t="n">
        <v>1.4</v>
      </c>
      <c r="Q758" s="0" t="s">
        <v>93</v>
      </c>
      <c r="R758" s="0" t="s">
        <v>74</v>
      </c>
      <c r="S758" s="0" t="s">
        <v>147</v>
      </c>
      <c r="T758" s="0" t="n">
        <v>30</v>
      </c>
      <c r="U758" s="0" t="s">
        <v>112</v>
      </c>
      <c r="V758" s="0" t="s">
        <v>77</v>
      </c>
      <c r="W758" s="0" t="s">
        <v>113</v>
      </c>
      <c r="X758" s="0" t="s">
        <v>114</v>
      </c>
      <c r="AA758" s="0" t="n">
        <v>25000</v>
      </c>
      <c r="AB758" s="0" t="n">
        <v>30000</v>
      </c>
      <c r="AD758" s="0" t="n">
        <v>10000</v>
      </c>
      <c r="AE758" s="0" t="s">
        <v>60</v>
      </c>
      <c r="AG758" s="0" t="s">
        <v>82</v>
      </c>
      <c r="AH758" s="0" t="s">
        <v>116</v>
      </c>
      <c r="AI758" s="0" t="s">
        <v>172</v>
      </c>
      <c r="AJ758" s="0" t="s">
        <v>62</v>
      </c>
      <c r="AK758" s="0" t="s">
        <v>50</v>
      </c>
      <c r="AM758" s="0" t="s">
        <v>64</v>
      </c>
      <c r="AN758" s="0" t="s">
        <v>198</v>
      </c>
    </row>
    <row r="759" customFormat="false" ht="15" hidden="false" customHeight="false" outlineLevel="0" collapsed="false">
      <c r="A759" s="1" t="n">
        <v>45736</v>
      </c>
      <c r="B759" s="0" t="s">
        <v>1812</v>
      </c>
      <c r="C759" s="0" t="s">
        <v>163</v>
      </c>
      <c r="D759" s="0" t="n">
        <v>8096040102</v>
      </c>
      <c r="E759" s="0" t="s">
        <v>139</v>
      </c>
      <c r="F759" s="0" t="s">
        <v>1813</v>
      </c>
      <c r="G759" s="0" t="s">
        <v>45</v>
      </c>
      <c r="H759" s="0" t="s">
        <v>170</v>
      </c>
      <c r="I759" s="0" t="s">
        <v>154</v>
      </c>
      <c r="K759" s="0" t="n">
        <v>38348</v>
      </c>
      <c r="L759" s="0" t="s">
        <v>124</v>
      </c>
      <c r="M759" s="0" t="s">
        <v>50</v>
      </c>
      <c r="N759" s="0" t="n">
        <v>2</v>
      </c>
      <c r="O759" s="0" t="n">
        <v>3.3</v>
      </c>
      <c r="P759" s="0" t="s">
        <v>92</v>
      </c>
      <c r="Q759" s="0" t="s">
        <v>93</v>
      </c>
      <c r="S759" s="0" t="s">
        <v>126</v>
      </c>
      <c r="T759" s="0" t="n">
        <v>30</v>
      </c>
      <c r="U759" s="0" t="s">
        <v>96</v>
      </c>
      <c r="V759" s="0" t="s">
        <v>77</v>
      </c>
      <c r="W759" s="0" t="s">
        <v>78</v>
      </c>
      <c r="X759" s="0" t="s">
        <v>196</v>
      </c>
      <c r="Y759" s="0" t="s">
        <v>59</v>
      </c>
      <c r="AB759" s="0" t="n">
        <v>20000</v>
      </c>
      <c r="AC759" s="0" t="s">
        <v>61</v>
      </c>
      <c r="AF759" s="0" t="s">
        <v>431</v>
      </c>
      <c r="AG759" s="0" t="s">
        <v>63</v>
      </c>
      <c r="AI759" s="0" t="s">
        <v>117</v>
      </c>
      <c r="AJ759" s="0" t="s">
        <v>81</v>
      </c>
      <c r="AK759" s="0" t="s">
        <v>82</v>
      </c>
      <c r="AL759" s="0" t="s">
        <v>50</v>
      </c>
      <c r="AN759" s="0" t="s">
        <v>50</v>
      </c>
    </row>
    <row r="760" customFormat="false" ht="15" hidden="false" customHeight="false" outlineLevel="0" collapsed="false">
      <c r="A760" s="1" t="n">
        <v>45781</v>
      </c>
      <c r="B760" s="0" t="s">
        <v>1814</v>
      </c>
      <c r="C760" s="0" t="s">
        <v>121</v>
      </c>
      <c r="D760" s="0" t="n">
        <v>8088961498</v>
      </c>
      <c r="E760" s="0" t="s">
        <v>43</v>
      </c>
      <c r="F760" s="0" t="s">
        <v>1815</v>
      </c>
      <c r="G760" s="0" t="s">
        <v>69</v>
      </c>
      <c r="H760" s="0" t="s">
        <v>88</v>
      </c>
      <c r="I760" s="0" t="s">
        <v>47</v>
      </c>
      <c r="J760" s="0" t="s">
        <v>109</v>
      </c>
      <c r="K760" s="0" t="n">
        <v>73564</v>
      </c>
      <c r="L760" s="0" t="s">
        <v>72</v>
      </c>
      <c r="M760" s="0" t="s">
        <v>63</v>
      </c>
      <c r="N760" s="0" t="n">
        <v>1</v>
      </c>
      <c r="O760" s="0" t="n">
        <v>5.1</v>
      </c>
      <c r="P760" s="0" t="s">
        <v>125</v>
      </c>
      <c r="Q760" s="0" t="s">
        <v>73</v>
      </c>
      <c r="R760" s="0" t="s">
        <v>159</v>
      </c>
      <c r="S760" s="0" t="s">
        <v>54</v>
      </c>
      <c r="T760" s="0" t="n">
        <v>30</v>
      </c>
      <c r="U760" s="0" t="s">
        <v>76</v>
      </c>
      <c r="V760" s="0" t="s">
        <v>77</v>
      </c>
      <c r="W760" s="0" t="s">
        <v>78</v>
      </c>
      <c r="X760" s="0" t="s">
        <v>58</v>
      </c>
      <c r="Y760" s="0" t="s">
        <v>197</v>
      </c>
      <c r="AA760" s="0" t="s">
        <v>150</v>
      </c>
      <c r="AB760" s="0" t="n">
        <v>20000</v>
      </c>
      <c r="AC760" s="0" t="s">
        <v>50</v>
      </c>
      <c r="AD760" s="0" t="n">
        <v>0</v>
      </c>
      <c r="AE760" s="0" t="s">
        <v>184</v>
      </c>
      <c r="AF760" s="1" t="n">
        <v>45878</v>
      </c>
      <c r="AG760" s="0" t="s">
        <v>61</v>
      </c>
      <c r="AJ760" s="0" t="s">
        <v>81</v>
      </c>
      <c r="AK760" s="0" t="s">
        <v>50</v>
      </c>
      <c r="AM760" s="0" t="s">
        <v>103</v>
      </c>
      <c r="AN760" s="0" t="s">
        <v>50</v>
      </c>
    </row>
    <row r="761" customFormat="false" ht="15" hidden="false" customHeight="false" outlineLevel="0" collapsed="false">
      <c r="A761" s="1" t="n">
        <v>45661</v>
      </c>
      <c r="B761" s="0" t="s">
        <v>1816</v>
      </c>
      <c r="C761" s="0" t="s">
        <v>42</v>
      </c>
      <c r="D761" s="0" t="n">
        <v>8019560913</v>
      </c>
      <c r="E761" s="0" t="s">
        <v>67</v>
      </c>
      <c r="F761" s="0" t="s">
        <v>1817</v>
      </c>
      <c r="G761" s="0" t="s">
        <v>87</v>
      </c>
      <c r="H761" s="0" t="s">
        <v>88</v>
      </c>
      <c r="I761" s="0" t="s">
        <v>47</v>
      </c>
      <c r="J761" s="0" t="s">
        <v>109</v>
      </c>
      <c r="K761" s="0" t="n">
        <v>47572</v>
      </c>
      <c r="L761" s="0" t="s">
        <v>166</v>
      </c>
      <c r="M761" s="0" t="s">
        <v>63</v>
      </c>
      <c r="O761" s="0" t="n">
        <v>4.6</v>
      </c>
      <c r="Q761" s="0" t="s">
        <v>93</v>
      </c>
      <c r="R761" s="0" t="s">
        <v>136</v>
      </c>
      <c r="S761" s="0" t="s">
        <v>54</v>
      </c>
      <c r="T761" s="0" t="n">
        <v>60</v>
      </c>
      <c r="U761" s="0" t="s">
        <v>112</v>
      </c>
      <c r="V761" s="0" t="s">
        <v>148</v>
      </c>
      <c r="W761" s="0" t="s">
        <v>113</v>
      </c>
      <c r="X761" s="0" t="s">
        <v>137</v>
      </c>
      <c r="Y761" s="0" t="s">
        <v>197</v>
      </c>
      <c r="Z761" s="0" t="s">
        <v>129</v>
      </c>
      <c r="AA761" s="0" t="n">
        <v>15000</v>
      </c>
      <c r="AB761" s="0" t="n">
        <v>30000</v>
      </c>
      <c r="AC761" s="0" t="s">
        <v>50</v>
      </c>
      <c r="AD761" s="0" t="n">
        <v>5000</v>
      </c>
      <c r="AE761" s="0" t="s">
        <v>184</v>
      </c>
      <c r="AF761" s="0" t="s">
        <v>1818</v>
      </c>
      <c r="AG761" s="0" t="s">
        <v>82</v>
      </c>
      <c r="AH761" s="0" t="s">
        <v>171</v>
      </c>
      <c r="AI761" s="0" t="s">
        <v>117</v>
      </c>
      <c r="AK761" s="0" t="s">
        <v>61</v>
      </c>
      <c r="AN761" s="0" t="s">
        <v>50</v>
      </c>
    </row>
    <row r="762" customFormat="false" ht="15" hidden="false" customHeight="false" outlineLevel="0" collapsed="false">
      <c r="A762" s="1" t="n">
        <v>45699</v>
      </c>
      <c r="B762" s="0" t="s">
        <v>1819</v>
      </c>
      <c r="C762" s="0" t="s">
        <v>42</v>
      </c>
      <c r="D762" s="0" t="n">
        <v>8064866540</v>
      </c>
      <c r="E762" s="0" t="s">
        <v>139</v>
      </c>
      <c r="F762" s="0" t="s">
        <v>1820</v>
      </c>
      <c r="G762" s="0" t="s">
        <v>134</v>
      </c>
      <c r="H762" s="0" t="s">
        <v>70</v>
      </c>
      <c r="I762" s="0" t="s">
        <v>189</v>
      </c>
      <c r="J762" s="0" t="s">
        <v>48</v>
      </c>
      <c r="K762" s="0" t="n">
        <v>16436</v>
      </c>
      <c r="L762" s="0" t="s">
        <v>72</v>
      </c>
      <c r="M762" s="0" t="s">
        <v>50</v>
      </c>
      <c r="N762" s="0" t="n">
        <v>5</v>
      </c>
      <c r="O762" s="0" t="n">
        <v>1.1</v>
      </c>
      <c r="Q762" s="0" t="s">
        <v>93</v>
      </c>
      <c r="R762" s="0" t="s">
        <v>136</v>
      </c>
      <c r="S762" s="0" t="s">
        <v>167</v>
      </c>
      <c r="T762" s="0" t="n">
        <v>30</v>
      </c>
      <c r="U762" s="0" t="s">
        <v>96</v>
      </c>
      <c r="V762" s="0" t="s">
        <v>97</v>
      </c>
      <c r="W762" s="0" t="s">
        <v>113</v>
      </c>
      <c r="X762" s="0" t="s">
        <v>137</v>
      </c>
      <c r="Y762" s="0" t="s">
        <v>197</v>
      </c>
      <c r="Z762" s="0" t="s">
        <v>149</v>
      </c>
      <c r="AA762" s="0" t="n">
        <v>25000</v>
      </c>
      <c r="AB762" s="0" t="n">
        <v>40000</v>
      </c>
      <c r="AC762" s="0" t="s">
        <v>61</v>
      </c>
      <c r="AD762" s="0" t="n">
        <v>5000</v>
      </c>
      <c r="AE762" s="0" t="s">
        <v>80</v>
      </c>
      <c r="AF762" s="1" t="n">
        <v>45886</v>
      </c>
      <c r="AG762" s="0" t="s">
        <v>50</v>
      </c>
      <c r="AH762" s="0" t="s">
        <v>171</v>
      </c>
      <c r="AK762" s="0" t="s">
        <v>63</v>
      </c>
      <c r="AL762" s="0" t="s">
        <v>102</v>
      </c>
      <c r="AM762" s="0" t="s">
        <v>83</v>
      </c>
      <c r="AN762" s="0" t="s">
        <v>50</v>
      </c>
    </row>
    <row r="763" customFormat="false" ht="15" hidden="false" customHeight="false" outlineLevel="0" collapsed="false">
      <c r="A763" s="1" t="n">
        <v>45795</v>
      </c>
      <c r="B763" s="0" t="s">
        <v>1821</v>
      </c>
      <c r="C763" s="0" t="s">
        <v>121</v>
      </c>
      <c r="D763" s="0" t="n">
        <v>8015211257</v>
      </c>
      <c r="E763" s="0" t="s">
        <v>122</v>
      </c>
      <c r="F763" s="0" t="s">
        <v>1822</v>
      </c>
      <c r="G763" s="0" t="s">
        <v>134</v>
      </c>
      <c r="I763" s="0" t="s">
        <v>108</v>
      </c>
      <c r="K763" s="0" t="n">
        <v>73572</v>
      </c>
      <c r="L763" s="0" t="s">
        <v>72</v>
      </c>
      <c r="M763" s="0" t="s">
        <v>63</v>
      </c>
      <c r="N763" s="0" t="n">
        <v>1</v>
      </c>
      <c r="O763" s="0" t="n">
        <v>5.9</v>
      </c>
      <c r="P763" s="0" t="s">
        <v>125</v>
      </c>
      <c r="Q763" s="0" t="s">
        <v>52</v>
      </c>
      <c r="R763" s="0" t="s">
        <v>74</v>
      </c>
      <c r="S763" s="0" t="s">
        <v>95</v>
      </c>
      <c r="T763" s="0" t="n">
        <v>30</v>
      </c>
      <c r="U763" s="0" t="s">
        <v>76</v>
      </c>
      <c r="V763" s="0" t="s">
        <v>155</v>
      </c>
      <c r="W763" s="0" t="s">
        <v>98</v>
      </c>
      <c r="X763" s="0" t="s">
        <v>137</v>
      </c>
      <c r="Y763" s="0" t="s">
        <v>156</v>
      </c>
      <c r="Z763" s="0" t="s">
        <v>149</v>
      </c>
      <c r="AA763" s="0" t="n">
        <v>40000</v>
      </c>
      <c r="AB763" s="0" t="n">
        <v>20000</v>
      </c>
      <c r="AC763" s="0" t="s">
        <v>63</v>
      </c>
      <c r="AD763" s="0" t="n">
        <v>0</v>
      </c>
      <c r="AF763" s="1" t="n">
        <v>45914</v>
      </c>
      <c r="AG763" s="0" t="s">
        <v>63</v>
      </c>
      <c r="AH763" s="0" t="s">
        <v>116</v>
      </c>
      <c r="AI763" s="0" t="s">
        <v>117</v>
      </c>
      <c r="AJ763" s="0" t="s">
        <v>62</v>
      </c>
      <c r="AK763" s="0" t="s">
        <v>50</v>
      </c>
      <c r="AM763" s="0" t="s">
        <v>64</v>
      </c>
      <c r="AN763" s="0" t="s">
        <v>50</v>
      </c>
    </row>
    <row r="764" customFormat="false" ht="15" hidden="false" customHeight="false" outlineLevel="0" collapsed="false">
      <c r="A764" s="1" t="n">
        <v>45697</v>
      </c>
      <c r="B764" s="0" t="s">
        <v>1823</v>
      </c>
      <c r="C764" s="0" t="s">
        <v>163</v>
      </c>
      <c r="D764" s="0" t="n">
        <v>8026707088</v>
      </c>
      <c r="E764" s="0" t="s">
        <v>139</v>
      </c>
      <c r="F764" s="0" t="s">
        <v>1824</v>
      </c>
      <c r="G764" s="0" t="s">
        <v>69</v>
      </c>
      <c r="H764" s="0" t="s">
        <v>170</v>
      </c>
      <c r="I764" s="0" t="s">
        <v>142</v>
      </c>
      <c r="K764" s="0" t="n">
        <v>72900</v>
      </c>
      <c r="L764" s="0" t="s">
        <v>72</v>
      </c>
      <c r="M764" s="0" t="s">
        <v>50</v>
      </c>
      <c r="N764" s="0" t="n">
        <v>1</v>
      </c>
      <c r="O764" s="0" t="n">
        <v>1.7</v>
      </c>
      <c r="P764" s="0" t="s">
        <v>111</v>
      </c>
      <c r="Q764" s="0" t="s">
        <v>73</v>
      </c>
      <c r="R764" s="0" t="s">
        <v>136</v>
      </c>
      <c r="S764" s="0" t="s">
        <v>126</v>
      </c>
      <c r="T764" s="0" t="n">
        <v>30</v>
      </c>
      <c r="U764" s="0" t="s">
        <v>160</v>
      </c>
      <c r="V764" s="0" t="s">
        <v>148</v>
      </c>
      <c r="W764" s="0" t="s">
        <v>113</v>
      </c>
      <c r="X764" s="0" t="s">
        <v>99</v>
      </c>
      <c r="Y764" s="0" t="s">
        <v>59</v>
      </c>
      <c r="Z764" s="0" t="s">
        <v>143</v>
      </c>
      <c r="AA764" s="0" t="n">
        <v>25000</v>
      </c>
      <c r="AB764" s="0" t="n">
        <v>30000</v>
      </c>
      <c r="AC764" s="0" t="s">
        <v>50</v>
      </c>
      <c r="AD764" s="0" t="n">
        <v>5000</v>
      </c>
      <c r="AE764" s="0" t="s">
        <v>130</v>
      </c>
      <c r="AG764" s="0" t="s">
        <v>82</v>
      </c>
      <c r="AH764" s="0" t="s">
        <v>171</v>
      </c>
      <c r="AI764" s="0" t="s">
        <v>172</v>
      </c>
      <c r="AJ764" s="0" t="s">
        <v>62</v>
      </c>
      <c r="AK764" s="0" t="s">
        <v>61</v>
      </c>
      <c r="AL764" s="0" t="s">
        <v>50</v>
      </c>
      <c r="AM764" s="0" t="s">
        <v>118</v>
      </c>
    </row>
    <row r="765" customFormat="false" ht="15" hidden="false" customHeight="false" outlineLevel="0" collapsed="false">
      <c r="A765" s="1" t="n">
        <v>45668</v>
      </c>
      <c r="B765" s="0" t="s">
        <v>1825</v>
      </c>
      <c r="C765" s="0" t="s">
        <v>66</v>
      </c>
      <c r="D765" s="0" t="n">
        <v>8061650472</v>
      </c>
      <c r="E765" s="0" t="s">
        <v>67</v>
      </c>
      <c r="F765" s="0" t="s">
        <v>1826</v>
      </c>
      <c r="G765" s="0" t="s">
        <v>134</v>
      </c>
      <c r="H765" s="0" t="s">
        <v>46</v>
      </c>
      <c r="I765" s="0" t="s">
        <v>89</v>
      </c>
      <c r="J765" s="0" t="s">
        <v>48</v>
      </c>
      <c r="K765" s="0" t="n">
        <v>84844</v>
      </c>
      <c r="L765" s="0" t="s">
        <v>124</v>
      </c>
      <c r="M765" s="0" t="s">
        <v>63</v>
      </c>
      <c r="N765" s="0" t="n">
        <v>2</v>
      </c>
      <c r="O765" s="0" t="n">
        <v>5.7</v>
      </c>
      <c r="P765" s="0" t="s">
        <v>92</v>
      </c>
      <c r="Q765" s="0" t="s">
        <v>52</v>
      </c>
      <c r="R765" s="0" t="s">
        <v>136</v>
      </c>
      <c r="S765" s="0" t="s">
        <v>147</v>
      </c>
      <c r="T765" s="0" t="n">
        <v>60</v>
      </c>
      <c r="U765" s="0" t="s">
        <v>96</v>
      </c>
      <c r="V765" s="0" t="s">
        <v>148</v>
      </c>
      <c r="W765" s="0" t="s">
        <v>113</v>
      </c>
      <c r="X765" s="0" t="s">
        <v>137</v>
      </c>
      <c r="Y765" s="0" t="s">
        <v>59</v>
      </c>
      <c r="Z765" s="0" t="s">
        <v>143</v>
      </c>
      <c r="AA765" s="0" t="n">
        <v>25000</v>
      </c>
      <c r="AB765" s="0" t="n">
        <v>30000</v>
      </c>
      <c r="AC765" s="0" t="s">
        <v>82</v>
      </c>
      <c r="AD765" s="0" t="n">
        <v>5000</v>
      </c>
      <c r="AE765" s="0" t="s">
        <v>80</v>
      </c>
      <c r="AG765" s="0" t="s">
        <v>63</v>
      </c>
      <c r="AH765" s="0" t="s">
        <v>116</v>
      </c>
      <c r="AI765" s="0" t="s">
        <v>101</v>
      </c>
      <c r="AK765" s="0" t="s">
        <v>61</v>
      </c>
      <c r="AL765" s="0" t="s">
        <v>50</v>
      </c>
      <c r="AM765" s="0" t="s">
        <v>83</v>
      </c>
      <c r="AN765" s="0" t="s">
        <v>190</v>
      </c>
    </row>
    <row r="766" customFormat="false" ht="15" hidden="false" customHeight="false" outlineLevel="0" collapsed="false">
      <c r="A766" s="1" t="n">
        <v>45770</v>
      </c>
      <c r="B766" s="0" t="s">
        <v>1827</v>
      </c>
      <c r="C766" s="0" t="s">
        <v>105</v>
      </c>
      <c r="D766" s="0" t="n">
        <v>8085914700</v>
      </c>
      <c r="E766" s="0" t="s">
        <v>139</v>
      </c>
      <c r="F766" s="0" t="s">
        <v>1644</v>
      </c>
      <c r="G766" s="0" t="s">
        <v>45</v>
      </c>
      <c r="H766" s="0" t="s">
        <v>153</v>
      </c>
      <c r="I766" s="0" t="s">
        <v>108</v>
      </c>
      <c r="J766" s="0" t="s">
        <v>71</v>
      </c>
      <c r="K766" s="0" t="n">
        <v>44887</v>
      </c>
      <c r="L766" s="0" t="s">
        <v>49</v>
      </c>
      <c r="M766" s="0" t="s">
        <v>63</v>
      </c>
      <c r="N766" s="0" t="n">
        <v>4</v>
      </c>
      <c r="O766" s="0" t="n">
        <v>5.1</v>
      </c>
      <c r="P766" s="0" t="s">
        <v>111</v>
      </c>
      <c r="Q766" s="0" t="s">
        <v>93</v>
      </c>
      <c r="S766" s="0" t="s">
        <v>75</v>
      </c>
      <c r="T766" s="0" t="n">
        <v>30</v>
      </c>
      <c r="U766" s="0" t="s">
        <v>96</v>
      </c>
      <c r="V766" s="0" t="s">
        <v>97</v>
      </c>
      <c r="W766" s="0" t="s">
        <v>78</v>
      </c>
      <c r="X766" s="0" t="s">
        <v>196</v>
      </c>
      <c r="AA766" s="0" t="n">
        <v>15000</v>
      </c>
      <c r="AC766" s="0" t="s">
        <v>63</v>
      </c>
      <c r="AD766" s="0" t="n">
        <v>5000</v>
      </c>
      <c r="AE766" s="0" t="s">
        <v>80</v>
      </c>
      <c r="AF766" s="1" t="n">
        <v>45939</v>
      </c>
      <c r="AG766" s="0" t="s">
        <v>82</v>
      </c>
      <c r="AH766" s="0" t="s">
        <v>171</v>
      </c>
      <c r="AJ766" s="0" t="s">
        <v>63</v>
      </c>
      <c r="AM766" s="0" t="s">
        <v>83</v>
      </c>
      <c r="AN766" s="0" t="s">
        <v>63</v>
      </c>
    </row>
    <row r="767" customFormat="false" ht="15" hidden="false" customHeight="false" outlineLevel="0" collapsed="false">
      <c r="A767" s="1" t="n">
        <v>45666</v>
      </c>
      <c r="B767" s="0" t="s">
        <v>1828</v>
      </c>
      <c r="C767" s="0" t="s">
        <v>42</v>
      </c>
      <c r="D767" s="0" t="n">
        <v>8031791910</v>
      </c>
      <c r="E767" s="0" t="s">
        <v>67</v>
      </c>
      <c r="F767" s="0" t="s">
        <v>1829</v>
      </c>
      <c r="G767" s="0" t="s">
        <v>107</v>
      </c>
      <c r="H767" s="0" t="s">
        <v>141</v>
      </c>
      <c r="I767" s="0" t="s">
        <v>47</v>
      </c>
      <c r="J767" s="0" t="s">
        <v>109</v>
      </c>
      <c r="K767" s="0" t="n">
        <v>42537</v>
      </c>
      <c r="L767" s="0" t="s">
        <v>124</v>
      </c>
      <c r="M767" s="0" t="s">
        <v>63</v>
      </c>
      <c r="N767" s="0" t="n">
        <v>4</v>
      </c>
      <c r="O767" s="0" t="n">
        <v>2.8</v>
      </c>
      <c r="Q767" s="0" t="s">
        <v>73</v>
      </c>
      <c r="R767" s="0" t="s">
        <v>136</v>
      </c>
      <c r="S767" s="0" t="s">
        <v>126</v>
      </c>
      <c r="T767" s="0" t="n">
        <v>45</v>
      </c>
      <c r="U767" s="0" t="s">
        <v>96</v>
      </c>
      <c r="V767" s="0" t="s">
        <v>97</v>
      </c>
      <c r="W767" s="0" t="s">
        <v>98</v>
      </c>
      <c r="X767" s="0" t="s">
        <v>58</v>
      </c>
      <c r="Y767" s="0" t="s">
        <v>177</v>
      </c>
      <c r="Z767" s="0" t="s">
        <v>143</v>
      </c>
      <c r="AA767" s="0" t="s">
        <v>150</v>
      </c>
      <c r="AC767" s="0" t="s">
        <v>61</v>
      </c>
      <c r="AD767" s="0" t="n">
        <v>5000</v>
      </c>
      <c r="AE767" s="0" t="s">
        <v>80</v>
      </c>
      <c r="AF767" s="1" t="n">
        <v>45849</v>
      </c>
      <c r="AG767" s="0" t="s">
        <v>50</v>
      </c>
      <c r="AJ767" s="0" t="s">
        <v>62</v>
      </c>
      <c r="AL767" s="0" t="s">
        <v>63</v>
      </c>
    </row>
    <row r="768" customFormat="false" ht="15" hidden="false" customHeight="false" outlineLevel="0" collapsed="false">
      <c r="A768" s="0" t="s">
        <v>305</v>
      </c>
      <c r="B768" s="0" t="s">
        <v>1830</v>
      </c>
      <c r="C768" s="0" t="s">
        <v>42</v>
      </c>
      <c r="D768" s="0" t="n">
        <v>8036068867</v>
      </c>
      <c r="E768" s="0" t="s">
        <v>67</v>
      </c>
      <c r="F768" s="0" t="s">
        <v>1831</v>
      </c>
      <c r="G768" s="0" t="s">
        <v>134</v>
      </c>
      <c r="H768" s="0" t="s">
        <v>153</v>
      </c>
      <c r="I768" s="0" t="s">
        <v>47</v>
      </c>
      <c r="K768" s="0" t="n">
        <v>40578</v>
      </c>
      <c r="L768" s="0" t="s">
        <v>72</v>
      </c>
      <c r="M768" s="0" t="s">
        <v>50</v>
      </c>
      <c r="N768" s="0" t="n">
        <v>4</v>
      </c>
      <c r="O768" s="0" t="n">
        <v>3.7</v>
      </c>
      <c r="Q768" s="0" t="s">
        <v>52</v>
      </c>
      <c r="R768" s="0" t="s">
        <v>53</v>
      </c>
      <c r="S768" s="0" t="s">
        <v>147</v>
      </c>
      <c r="T768" s="0" t="n">
        <v>15</v>
      </c>
      <c r="U768" s="0" t="s">
        <v>55</v>
      </c>
      <c r="V768" s="0" t="s">
        <v>77</v>
      </c>
      <c r="W768" s="0" t="s">
        <v>128</v>
      </c>
      <c r="X768" s="0" t="s">
        <v>196</v>
      </c>
      <c r="Y768" s="0" t="s">
        <v>59</v>
      </c>
      <c r="Z768" s="0" t="s">
        <v>161</v>
      </c>
      <c r="AB768" s="0" t="n">
        <v>20000</v>
      </c>
      <c r="AC768" s="0" t="s">
        <v>50</v>
      </c>
      <c r="AE768" s="0" t="s">
        <v>80</v>
      </c>
      <c r="AG768" s="0" t="s">
        <v>63</v>
      </c>
      <c r="AI768" s="0" t="s">
        <v>172</v>
      </c>
      <c r="AK768" s="0" t="s">
        <v>61</v>
      </c>
      <c r="AM768" s="0" t="s">
        <v>118</v>
      </c>
      <c r="AN768" s="0" t="s">
        <v>50</v>
      </c>
    </row>
    <row r="769" customFormat="false" ht="15" hidden="false" customHeight="false" outlineLevel="0" collapsed="false">
      <c r="A769" s="1" t="n">
        <v>45699</v>
      </c>
      <c r="B769" s="0" t="s">
        <v>1832</v>
      </c>
      <c r="C769" s="0" t="s">
        <v>121</v>
      </c>
      <c r="D769" s="0" t="n">
        <v>8068558918</v>
      </c>
      <c r="E769" s="0" t="s">
        <v>67</v>
      </c>
      <c r="F769" s="0" t="s">
        <v>1833</v>
      </c>
      <c r="G769" s="0" t="s">
        <v>87</v>
      </c>
      <c r="I769" s="0" t="s">
        <v>47</v>
      </c>
      <c r="J769" s="0" t="s">
        <v>71</v>
      </c>
      <c r="K769" s="0" t="n">
        <v>118909</v>
      </c>
      <c r="L769" s="0" t="s">
        <v>124</v>
      </c>
      <c r="M769" s="0" t="s">
        <v>50</v>
      </c>
      <c r="N769" s="0" t="n">
        <v>1</v>
      </c>
      <c r="O769" s="0" t="n">
        <v>1.6</v>
      </c>
      <c r="P769" s="0" t="s">
        <v>92</v>
      </c>
      <c r="Q769" s="0" t="s">
        <v>73</v>
      </c>
      <c r="R769" s="0" t="s">
        <v>159</v>
      </c>
      <c r="S769" s="0" t="s">
        <v>75</v>
      </c>
      <c r="T769" s="0" t="n">
        <v>60</v>
      </c>
      <c r="U769" s="0" t="s">
        <v>160</v>
      </c>
      <c r="V769" s="0" t="s">
        <v>97</v>
      </c>
      <c r="W769" s="0" t="s">
        <v>113</v>
      </c>
      <c r="X769" s="0" t="s">
        <v>137</v>
      </c>
      <c r="Y769" s="0" t="s">
        <v>156</v>
      </c>
      <c r="Z769" s="0" t="s">
        <v>161</v>
      </c>
      <c r="AA769" s="0" t="n">
        <v>30000</v>
      </c>
      <c r="AB769" s="0" t="n">
        <v>40000</v>
      </c>
      <c r="AC769" s="0" t="s">
        <v>50</v>
      </c>
      <c r="AD769" s="0" t="n">
        <v>10000</v>
      </c>
      <c r="AE769" s="0" t="s">
        <v>60</v>
      </c>
      <c r="AF769" s="0" t="s">
        <v>781</v>
      </c>
      <c r="AJ769" s="0" t="s">
        <v>50</v>
      </c>
      <c r="AK769" s="0" t="s">
        <v>61</v>
      </c>
      <c r="AL769" s="0" t="s">
        <v>63</v>
      </c>
      <c r="AM769" s="0" t="s">
        <v>103</v>
      </c>
      <c r="AN769" s="0" t="s">
        <v>63</v>
      </c>
    </row>
    <row r="770" customFormat="false" ht="15" hidden="false" customHeight="false" outlineLevel="0" collapsed="false">
      <c r="A770" s="1" t="n">
        <v>45659</v>
      </c>
      <c r="B770" s="0" t="s">
        <v>1834</v>
      </c>
      <c r="C770" s="0" t="s">
        <v>66</v>
      </c>
      <c r="D770" s="0" t="n">
        <v>8044260204</v>
      </c>
      <c r="E770" s="0" t="s">
        <v>85</v>
      </c>
      <c r="F770" s="0" t="s">
        <v>1835</v>
      </c>
      <c r="G770" s="0" t="s">
        <v>134</v>
      </c>
      <c r="H770" s="0" t="s">
        <v>153</v>
      </c>
      <c r="I770" s="0" t="s">
        <v>154</v>
      </c>
      <c r="K770" s="0" t="n">
        <v>32832</v>
      </c>
      <c r="L770" s="0" t="s">
        <v>110</v>
      </c>
      <c r="M770" s="0" t="s">
        <v>50</v>
      </c>
      <c r="O770" s="0" t="n">
        <v>1.2</v>
      </c>
      <c r="P770" s="0" t="s">
        <v>125</v>
      </c>
      <c r="Q770" s="0" t="s">
        <v>93</v>
      </c>
      <c r="R770" s="0" t="s">
        <v>74</v>
      </c>
      <c r="S770" s="0" t="s">
        <v>54</v>
      </c>
      <c r="T770" s="0" t="n">
        <v>45</v>
      </c>
      <c r="U770" s="0" t="s">
        <v>55</v>
      </c>
      <c r="V770" s="0" t="s">
        <v>97</v>
      </c>
      <c r="W770" s="0" t="s">
        <v>57</v>
      </c>
      <c r="X770" s="0" t="s">
        <v>99</v>
      </c>
      <c r="Y770" s="0" t="s">
        <v>156</v>
      </c>
      <c r="Z770" s="0" t="s">
        <v>79</v>
      </c>
      <c r="AA770" s="0" t="n">
        <v>30000</v>
      </c>
      <c r="AB770" s="0" t="n">
        <v>20000</v>
      </c>
      <c r="AC770" s="0" t="s">
        <v>50</v>
      </c>
      <c r="AD770" s="0" t="n">
        <v>10000</v>
      </c>
      <c r="AE770" s="0" t="s">
        <v>184</v>
      </c>
      <c r="AF770" s="1" t="n">
        <v>45938</v>
      </c>
      <c r="AH770" s="0" t="s">
        <v>116</v>
      </c>
      <c r="AI770" s="0" t="s">
        <v>172</v>
      </c>
      <c r="AJ770" s="0" t="s">
        <v>50</v>
      </c>
      <c r="AK770" s="0" t="s">
        <v>50</v>
      </c>
      <c r="AL770" s="0" t="s">
        <v>50</v>
      </c>
      <c r="AM770" s="0" t="s">
        <v>83</v>
      </c>
      <c r="AN770" s="0" t="s">
        <v>63</v>
      </c>
    </row>
    <row r="771" customFormat="false" ht="15" hidden="false" customHeight="false" outlineLevel="0" collapsed="false">
      <c r="A771" s="1" t="n">
        <v>45840</v>
      </c>
      <c r="B771" s="0" t="s">
        <v>1836</v>
      </c>
      <c r="C771" s="0" t="s">
        <v>163</v>
      </c>
      <c r="D771" s="0" t="n">
        <v>8056785439</v>
      </c>
      <c r="E771" s="0" t="s">
        <v>139</v>
      </c>
      <c r="F771" s="0" t="s">
        <v>1837</v>
      </c>
      <c r="G771" s="0" t="s">
        <v>45</v>
      </c>
      <c r="H771" s="0" t="s">
        <v>70</v>
      </c>
      <c r="I771" s="0" t="s">
        <v>142</v>
      </c>
      <c r="J771" s="0" t="s">
        <v>90</v>
      </c>
      <c r="K771" s="0" t="n">
        <v>109902</v>
      </c>
      <c r="L771" s="0" t="s">
        <v>72</v>
      </c>
      <c r="M771" s="0" t="s">
        <v>50</v>
      </c>
      <c r="O771" s="0" t="n">
        <v>1.5</v>
      </c>
      <c r="P771" s="0" t="s">
        <v>111</v>
      </c>
      <c r="Q771" s="0" t="s">
        <v>52</v>
      </c>
      <c r="R771" s="0" t="s">
        <v>159</v>
      </c>
      <c r="S771" s="0" t="s">
        <v>167</v>
      </c>
      <c r="U771" s="0" t="s">
        <v>112</v>
      </c>
      <c r="V771" s="0" t="s">
        <v>77</v>
      </c>
      <c r="W771" s="0" t="s">
        <v>78</v>
      </c>
      <c r="X771" s="0" t="s">
        <v>137</v>
      </c>
      <c r="Y771" s="0" t="s">
        <v>156</v>
      </c>
      <c r="AA771" s="0" t="n">
        <v>40000</v>
      </c>
      <c r="AB771" s="0" t="n">
        <v>30000</v>
      </c>
      <c r="AC771" s="0" t="s">
        <v>50</v>
      </c>
      <c r="AE771" s="0" t="s">
        <v>60</v>
      </c>
      <c r="AF771" s="0" t="s">
        <v>703</v>
      </c>
      <c r="AG771" s="0" t="s">
        <v>82</v>
      </c>
      <c r="AH771" s="0" t="s">
        <v>171</v>
      </c>
      <c r="AJ771" s="0" t="s">
        <v>63</v>
      </c>
      <c r="AK771" s="0" t="s">
        <v>50</v>
      </c>
      <c r="AM771" s="0" t="s">
        <v>83</v>
      </c>
    </row>
    <row r="772" customFormat="false" ht="15" hidden="false" customHeight="false" outlineLevel="0" collapsed="false">
      <c r="A772" s="1" t="n">
        <v>45797</v>
      </c>
      <c r="B772" s="0" t="s">
        <v>1838</v>
      </c>
      <c r="C772" s="0" t="s">
        <v>66</v>
      </c>
      <c r="D772" s="0" t="n">
        <v>8078398476</v>
      </c>
      <c r="E772" s="0" t="s">
        <v>67</v>
      </c>
      <c r="F772" s="0" t="s">
        <v>1839</v>
      </c>
      <c r="G772" s="0" t="s">
        <v>87</v>
      </c>
      <c r="H772" s="0" t="s">
        <v>170</v>
      </c>
      <c r="I772" s="0" t="s">
        <v>89</v>
      </c>
      <c r="J772" s="0" t="s">
        <v>48</v>
      </c>
      <c r="K772" s="0" t="n">
        <v>52247</v>
      </c>
      <c r="L772" s="0" t="s">
        <v>49</v>
      </c>
      <c r="M772" s="0" t="s">
        <v>50</v>
      </c>
      <c r="O772" s="0" t="n">
        <v>3.9</v>
      </c>
      <c r="P772" s="0" t="s">
        <v>92</v>
      </c>
      <c r="Q772" s="0" t="s">
        <v>93</v>
      </c>
      <c r="R772" s="0" t="s">
        <v>136</v>
      </c>
      <c r="S772" s="0" t="s">
        <v>126</v>
      </c>
      <c r="T772" s="0" t="n">
        <v>45</v>
      </c>
      <c r="U772" s="0" t="s">
        <v>96</v>
      </c>
      <c r="V772" s="0" t="s">
        <v>77</v>
      </c>
      <c r="W772" s="0" t="s">
        <v>78</v>
      </c>
      <c r="X772" s="0" t="s">
        <v>114</v>
      </c>
      <c r="Z772" s="0" t="s">
        <v>79</v>
      </c>
      <c r="AA772" s="0" t="n">
        <v>15000</v>
      </c>
      <c r="AB772" s="0" t="n">
        <v>40000</v>
      </c>
      <c r="AC772" s="0" t="s">
        <v>63</v>
      </c>
      <c r="AD772" s="0" t="n">
        <v>0</v>
      </c>
      <c r="AE772" s="0" t="s">
        <v>130</v>
      </c>
      <c r="AF772" s="1" t="n">
        <v>45872</v>
      </c>
      <c r="AG772" s="0" t="s">
        <v>63</v>
      </c>
      <c r="AI772" s="0" t="s">
        <v>172</v>
      </c>
      <c r="AJ772" s="0" t="s">
        <v>63</v>
      </c>
      <c r="AL772" s="0" t="s">
        <v>50</v>
      </c>
      <c r="AN772" s="0" t="s">
        <v>63</v>
      </c>
    </row>
    <row r="773" customFormat="false" ht="15" hidden="false" customHeight="false" outlineLevel="0" collapsed="false">
      <c r="A773" s="0" t="s">
        <v>1082</v>
      </c>
      <c r="B773" s="0" t="s">
        <v>1840</v>
      </c>
      <c r="C773" s="0" t="s">
        <v>121</v>
      </c>
      <c r="D773" s="0" t="n">
        <v>8075581713</v>
      </c>
      <c r="E773" s="0" t="s">
        <v>43</v>
      </c>
      <c r="F773" s="0" t="s">
        <v>1841</v>
      </c>
      <c r="G773" s="0" t="s">
        <v>45</v>
      </c>
      <c r="I773" s="0" t="s">
        <v>154</v>
      </c>
      <c r="J773" s="0" t="s">
        <v>48</v>
      </c>
      <c r="K773" s="0" t="n">
        <v>67264</v>
      </c>
      <c r="L773" s="0" t="s">
        <v>72</v>
      </c>
      <c r="M773" s="0" t="s">
        <v>50</v>
      </c>
      <c r="N773" s="0" t="n">
        <v>2</v>
      </c>
      <c r="O773" s="0" t="n">
        <v>1.6</v>
      </c>
      <c r="P773" s="0" t="s">
        <v>92</v>
      </c>
      <c r="Q773" s="0" t="s">
        <v>52</v>
      </c>
      <c r="R773" s="0" t="s">
        <v>159</v>
      </c>
      <c r="S773" s="0" t="s">
        <v>126</v>
      </c>
      <c r="T773" s="0" t="n">
        <v>30</v>
      </c>
      <c r="U773" s="0" t="s">
        <v>160</v>
      </c>
      <c r="V773" s="0" t="s">
        <v>155</v>
      </c>
      <c r="W773" s="0" t="s">
        <v>113</v>
      </c>
      <c r="X773" s="0" t="s">
        <v>196</v>
      </c>
      <c r="Z773" s="0" t="s">
        <v>129</v>
      </c>
      <c r="AD773" s="0" t="s">
        <v>115</v>
      </c>
      <c r="AG773" s="0" t="s">
        <v>63</v>
      </c>
      <c r="AH773" s="0" t="s">
        <v>116</v>
      </c>
      <c r="AK773" s="0" t="s">
        <v>82</v>
      </c>
      <c r="AL773" s="0" t="s">
        <v>63</v>
      </c>
      <c r="AM773" s="0" t="s">
        <v>83</v>
      </c>
      <c r="AN773" s="0" t="s">
        <v>50</v>
      </c>
    </row>
    <row r="774" customFormat="false" ht="15" hidden="false" customHeight="false" outlineLevel="0" collapsed="false">
      <c r="A774" s="1" t="n">
        <v>45695</v>
      </c>
      <c r="B774" s="0" t="s">
        <v>1842</v>
      </c>
      <c r="C774" s="0" t="s">
        <v>66</v>
      </c>
      <c r="D774" s="0" t="n">
        <v>8095225538</v>
      </c>
      <c r="E774" s="0" t="s">
        <v>122</v>
      </c>
      <c r="F774" s="0" t="s">
        <v>1843</v>
      </c>
      <c r="G774" s="0" t="s">
        <v>69</v>
      </c>
      <c r="H774" s="0" t="s">
        <v>46</v>
      </c>
      <c r="I774" s="0" t="s">
        <v>89</v>
      </c>
      <c r="J774" s="0" t="s">
        <v>71</v>
      </c>
      <c r="K774" s="0" t="n">
        <v>33988</v>
      </c>
      <c r="L774" s="0" t="s">
        <v>124</v>
      </c>
      <c r="M774" s="0" t="s">
        <v>63</v>
      </c>
      <c r="O774" s="0" t="n">
        <v>5.8</v>
      </c>
      <c r="P774" s="0" t="s">
        <v>125</v>
      </c>
      <c r="Q774" s="0" t="s">
        <v>52</v>
      </c>
      <c r="R774" s="0" t="s">
        <v>94</v>
      </c>
      <c r="S774" s="0" t="s">
        <v>147</v>
      </c>
      <c r="T774" s="0" t="n">
        <v>60</v>
      </c>
      <c r="U774" s="0" t="s">
        <v>55</v>
      </c>
      <c r="V774" s="0" t="s">
        <v>148</v>
      </c>
      <c r="W774" s="0" t="s">
        <v>98</v>
      </c>
      <c r="X774" s="0" t="s">
        <v>114</v>
      </c>
      <c r="Y774" s="0" t="s">
        <v>59</v>
      </c>
      <c r="Z774" s="0" t="s">
        <v>161</v>
      </c>
      <c r="AA774" s="0" t="n">
        <v>15000</v>
      </c>
      <c r="AB774" s="0" t="s">
        <v>178</v>
      </c>
      <c r="AD774" s="0" t="n">
        <v>0</v>
      </c>
      <c r="AE774" s="0" t="s">
        <v>60</v>
      </c>
      <c r="AF774" s="1" t="n">
        <v>45910</v>
      </c>
      <c r="AG774" s="0" t="s">
        <v>82</v>
      </c>
      <c r="AH774" s="0" t="s">
        <v>171</v>
      </c>
      <c r="AJ774" s="0" t="s">
        <v>63</v>
      </c>
      <c r="AK774" s="0" t="s">
        <v>61</v>
      </c>
      <c r="AL774" s="0" t="s">
        <v>50</v>
      </c>
      <c r="AM774" s="0" t="s">
        <v>83</v>
      </c>
      <c r="AN774" s="0" t="s">
        <v>50</v>
      </c>
    </row>
    <row r="775" customFormat="false" ht="15" hidden="false" customHeight="false" outlineLevel="0" collapsed="false">
      <c r="A775" s="1" t="n">
        <v>45686</v>
      </c>
      <c r="B775" s="0" t="s">
        <v>1844</v>
      </c>
      <c r="C775" s="0" t="s">
        <v>105</v>
      </c>
      <c r="D775" s="0" t="n">
        <v>8059416355</v>
      </c>
      <c r="E775" s="0" t="s">
        <v>43</v>
      </c>
      <c r="F775" s="0" t="s">
        <v>1845</v>
      </c>
      <c r="G775" s="0" t="s">
        <v>134</v>
      </c>
      <c r="H775" s="0" t="s">
        <v>135</v>
      </c>
      <c r="I775" s="0" t="s">
        <v>108</v>
      </c>
      <c r="J775" s="0" t="s">
        <v>90</v>
      </c>
      <c r="K775" s="0" t="n">
        <v>37647</v>
      </c>
      <c r="L775" s="0" t="s">
        <v>72</v>
      </c>
      <c r="M775" s="0" t="s">
        <v>50</v>
      </c>
      <c r="N775" s="0" t="n">
        <v>1</v>
      </c>
      <c r="O775" s="0" t="n">
        <v>3.7</v>
      </c>
      <c r="P775" s="0" t="s">
        <v>92</v>
      </c>
      <c r="Q775" s="0" t="s">
        <v>52</v>
      </c>
      <c r="S775" s="0" t="s">
        <v>147</v>
      </c>
      <c r="T775" s="0" t="n">
        <v>30</v>
      </c>
      <c r="U775" s="0" t="s">
        <v>76</v>
      </c>
      <c r="V775" s="0" t="s">
        <v>155</v>
      </c>
      <c r="W775" s="0" t="s">
        <v>57</v>
      </c>
      <c r="X775" s="0" t="s">
        <v>114</v>
      </c>
      <c r="Z775" s="0" t="s">
        <v>149</v>
      </c>
      <c r="AB775" s="0" t="n">
        <v>20000</v>
      </c>
      <c r="AC775" s="0" t="s">
        <v>50</v>
      </c>
      <c r="AD775" s="0" t="n">
        <v>10000</v>
      </c>
      <c r="AE775" s="0" t="s">
        <v>184</v>
      </c>
      <c r="AF775" s="1" t="n">
        <v>45881</v>
      </c>
      <c r="AG775" s="0" t="s">
        <v>63</v>
      </c>
      <c r="AH775" s="0" t="s">
        <v>171</v>
      </c>
      <c r="AJ775" s="0" t="s">
        <v>63</v>
      </c>
      <c r="AL775" s="0" t="s">
        <v>102</v>
      </c>
      <c r="AM775" s="0" t="s">
        <v>64</v>
      </c>
      <c r="AN775" s="0" t="s">
        <v>50</v>
      </c>
    </row>
    <row r="776" customFormat="false" ht="15" hidden="false" customHeight="false" outlineLevel="0" collapsed="false">
      <c r="A776" s="1" t="n">
        <v>45693</v>
      </c>
      <c r="B776" s="0" t="s">
        <v>1846</v>
      </c>
      <c r="C776" s="0" t="s">
        <v>163</v>
      </c>
      <c r="D776" s="0" t="n">
        <v>8017744982</v>
      </c>
      <c r="E776" s="0" t="s">
        <v>67</v>
      </c>
      <c r="F776" s="0" t="s">
        <v>1847</v>
      </c>
      <c r="G776" s="0" t="s">
        <v>134</v>
      </c>
      <c r="H776" s="0" t="s">
        <v>272</v>
      </c>
      <c r="I776" s="0" t="s">
        <v>89</v>
      </c>
      <c r="K776" s="0" t="n">
        <v>106595</v>
      </c>
      <c r="L776" s="0" t="s">
        <v>72</v>
      </c>
      <c r="M776" s="0" t="s">
        <v>50</v>
      </c>
      <c r="N776" s="0" t="n">
        <v>1</v>
      </c>
      <c r="O776" s="0" t="n">
        <v>5.6</v>
      </c>
      <c r="P776" s="0" t="s">
        <v>111</v>
      </c>
      <c r="Q776" s="0" t="s">
        <v>73</v>
      </c>
      <c r="R776" s="0" t="s">
        <v>94</v>
      </c>
      <c r="S776" s="0" t="s">
        <v>95</v>
      </c>
      <c r="T776" s="0" t="n">
        <v>45</v>
      </c>
      <c r="U776" s="0" t="s">
        <v>55</v>
      </c>
      <c r="V776" s="0" t="s">
        <v>155</v>
      </c>
      <c r="W776" s="0" t="s">
        <v>57</v>
      </c>
      <c r="X776" s="0" t="s">
        <v>99</v>
      </c>
      <c r="Y776" s="0" t="s">
        <v>156</v>
      </c>
      <c r="AA776" s="0" t="s">
        <v>150</v>
      </c>
      <c r="AB776" s="0" t="s">
        <v>178</v>
      </c>
      <c r="AD776" s="0" t="s">
        <v>115</v>
      </c>
      <c r="AG776" s="0" t="s">
        <v>61</v>
      </c>
      <c r="AH776" s="0" t="s">
        <v>171</v>
      </c>
      <c r="AI776" s="0" t="s">
        <v>117</v>
      </c>
      <c r="AJ776" s="0" t="s">
        <v>63</v>
      </c>
      <c r="AK776" s="0" t="s">
        <v>82</v>
      </c>
      <c r="AL776" s="0" t="s">
        <v>63</v>
      </c>
      <c r="AM776" s="0" t="s">
        <v>103</v>
      </c>
      <c r="AN776" s="0" t="s">
        <v>190</v>
      </c>
    </row>
    <row r="777" customFormat="false" ht="15" hidden="false" customHeight="false" outlineLevel="0" collapsed="false">
      <c r="A777" s="1" t="n">
        <v>45799</v>
      </c>
      <c r="B777" s="0" t="s">
        <v>1848</v>
      </c>
      <c r="C777" s="0" t="s">
        <v>163</v>
      </c>
      <c r="D777" s="0" t="n">
        <v>8097363169</v>
      </c>
      <c r="E777" s="0" t="s">
        <v>67</v>
      </c>
      <c r="F777" s="0" t="s">
        <v>524</v>
      </c>
      <c r="G777" s="0" t="s">
        <v>45</v>
      </c>
      <c r="H777" s="0" t="s">
        <v>153</v>
      </c>
      <c r="I777" s="0" t="s">
        <v>89</v>
      </c>
      <c r="J777" s="0" t="s">
        <v>48</v>
      </c>
      <c r="K777" s="0" t="n">
        <v>100293</v>
      </c>
      <c r="L777" s="0" t="s">
        <v>72</v>
      </c>
      <c r="M777" s="0" t="s">
        <v>50</v>
      </c>
      <c r="N777" s="0" t="n">
        <v>1</v>
      </c>
      <c r="O777" s="0" t="n">
        <v>1.5</v>
      </c>
      <c r="P777" s="0" t="s">
        <v>51</v>
      </c>
      <c r="Q777" s="0" t="s">
        <v>73</v>
      </c>
      <c r="R777" s="0" t="s">
        <v>94</v>
      </c>
      <c r="S777" s="0" t="s">
        <v>147</v>
      </c>
      <c r="T777" s="0" t="n">
        <v>60</v>
      </c>
      <c r="U777" s="0" t="s">
        <v>112</v>
      </c>
      <c r="V777" s="0" t="s">
        <v>97</v>
      </c>
      <c r="W777" s="0" t="s">
        <v>78</v>
      </c>
      <c r="X777" s="0" t="s">
        <v>58</v>
      </c>
      <c r="Y777" s="0" t="s">
        <v>177</v>
      </c>
      <c r="Z777" s="0" t="s">
        <v>149</v>
      </c>
      <c r="AA777" s="0" t="n">
        <v>15000</v>
      </c>
      <c r="AB777" s="0" t="n">
        <v>30000</v>
      </c>
      <c r="AC777" s="0" t="s">
        <v>61</v>
      </c>
      <c r="AD777" s="0" t="n">
        <v>5000</v>
      </c>
      <c r="AE777" s="0" t="s">
        <v>130</v>
      </c>
      <c r="AF777" s="1" t="n">
        <v>45986</v>
      </c>
      <c r="AG777" s="0" t="s">
        <v>82</v>
      </c>
      <c r="AH777" s="0" t="s">
        <v>116</v>
      </c>
      <c r="AJ777" s="0" t="s">
        <v>63</v>
      </c>
      <c r="AK777" s="0" t="s">
        <v>61</v>
      </c>
      <c r="AL777" s="0" t="s">
        <v>63</v>
      </c>
      <c r="AM777" s="0" t="s">
        <v>103</v>
      </c>
      <c r="AN777" s="0" t="s">
        <v>50</v>
      </c>
    </row>
    <row r="778" customFormat="false" ht="15" hidden="false" customHeight="false" outlineLevel="0" collapsed="false">
      <c r="A778" s="1" t="n">
        <v>45875</v>
      </c>
      <c r="B778" s="0" t="s">
        <v>1849</v>
      </c>
      <c r="C778" s="0" t="s">
        <v>66</v>
      </c>
      <c r="D778" s="0" t="n">
        <v>8061718540</v>
      </c>
      <c r="E778" s="0" t="s">
        <v>139</v>
      </c>
      <c r="F778" s="0" t="s">
        <v>1850</v>
      </c>
      <c r="G778" s="0" t="s">
        <v>87</v>
      </c>
      <c r="H778" s="0" t="s">
        <v>170</v>
      </c>
      <c r="I778" s="0" t="s">
        <v>189</v>
      </c>
      <c r="J778" s="0" t="s">
        <v>90</v>
      </c>
      <c r="K778" s="0" t="n">
        <v>77552</v>
      </c>
      <c r="L778" s="0" t="s">
        <v>166</v>
      </c>
      <c r="M778" s="0" t="s">
        <v>63</v>
      </c>
      <c r="N778" s="0" t="n">
        <v>3</v>
      </c>
      <c r="O778" s="0" t="n">
        <v>5</v>
      </c>
      <c r="P778" s="0" t="s">
        <v>111</v>
      </c>
      <c r="Q778" s="0" t="s">
        <v>52</v>
      </c>
      <c r="R778" s="0" t="s">
        <v>74</v>
      </c>
      <c r="S778" s="0" t="s">
        <v>54</v>
      </c>
      <c r="T778" s="0" t="n">
        <v>60</v>
      </c>
      <c r="U778" s="0" t="s">
        <v>112</v>
      </c>
      <c r="V778" s="0" t="s">
        <v>97</v>
      </c>
      <c r="W778" s="0" t="s">
        <v>113</v>
      </c>
      <c r="X778" s="0" t="s">
        <v>58</v>
      </c>
      <c r="Y778" s="0" t="s">
        <v>177</v>
      </c>
      <c r="AC778" s="0" t="s">
        <v>61</v>
      </c>
      <c r="AD778" s="0" t="n">
        <v>0</v>
      </c>
      <c r="AE778" s="0" t="s">
        <v>60</v>
      </c>
      <c r="AF778" s="0" t="s">
        <v>588</v>
      </c>
      <c r="AG778" s="0" t="s">
        <v>82</v>
      </c>
      <c r="AH778" s="0" t="s">
        <v>171</v>
      </c>
      <c r="AI778" s="0" t="s">
        <v>172</v>
      </c>
      <c r="AJ778" s="0" t="s">
        <v>81</v>
      </c>
      <c r="AK778" s="0" t="s">
        <v>82</v>
      </c>
      <c r="AL778" s="0" t="s">
        <v>63</v>
      </c>
    </row>
    <row r="779" customFormat="false" ht="15" hidden="false" customHeight="false" outlineLevel="0" collapsed="false">
      <c r="A779" s="1" t="n">
        <v>45749</v>
      </c>
      <c r="B779" s="0" t="s">
        <v>1851</v>
      </c>
      <c r="C779" s="0" t="s">
        <v>42</v>
      </c>
      <c r="D779" s="0" t="n">
        <v>8066913730</v>
      </c>
      <c r="E779" s="0" t="s">
        <v>85</v>
      </c>
      <c r="F779" s="0" t="s">
        <v>1852</v>
      </c>
      <c r="G779" s="0" t="s">
        <v>107</v>
      </c>
      <c r="H779" s="0" t="s">
        <v>272</v>
      </c>
      <c r="I779" s="0" t="s">
        <v>47</v>
      </c>
      <c r="K779" s="0" t="n">
        <v>97783</v>
      </c>
      <c r="L779" s="0" t="s">
        <v>72</v>
      </c>
      <c r="M779" s="0" t="s">
        <v>63</v>
      </c>
      <c r="N779" s="0" t="n">
        <v>2</v>
      </c>
      <c r="O779" s="0" t="n">
        <v>3.7</v>
      </c>
      <c r="Q779" s="0" t="s">
        <v>52</v>
      </c>
      <c r="R779" s="0" t="s">
        <v>53</v>
      </c>
      <c r="S779" s="0" t="s">
        <v>126</v>
      </c>
      <c r="T779" s="0" t="n">
        <v>60</v>
      </c>
      <c r="U779" s="0" t="s">
        <v>76</v>
      </c>
      <c r="V779" s="0" t="s">
        <v>155</v>
      </c>
      <c r="W779" s="0" t="s">
        <v>128</v>
      </c>
      <c r="X779" s="0" t="s">
        <v>99</v>
      </c>
      <c r="Y779" s="0" t="s">
        <v>59</v>
      </c>
      <c r="Z779" s="0" t="s">
        <v>143</v>
      </c>
      <c r="AA779" s="0" t="n">
        <v>40000</v>
      </c>
      <c r="AB779" s="0" t="n">
        <v>30000</v>
      </c>
      <c r="AC779" s="0" t="s">
        <v>82</v>
      </c>
      <c r="AD779" s="0" t="n">
        <v>10000</v>
      </c>
      <c r="AE779" s="0" t="s">
        <v>184</v>
      </c>
      <c r="AF779" s="1" t="n">
        <v>45962</v>
      </c>
      <c r="AG779" s="0" t="s">
        <v>63</v>
      </c>
      <c r="AJ779" s="0" t="s">
        <v>50</v>
      </c>
      <c r="AK779" s="0" t="s">
        <v>82</v>
      </c>
      <c r="AL779" s="0" t="s">
        <v>50</v>
      </c>
      <c r="AM779" s="0" t="s">
        <v>103</v>
      </c>
      <c r="AN779" s="0" t="s">
        <v>63</v>
      </c>
    </row>
    <row r="780" customFormat="false" ht="15" hidden="false" customHeight="false" outlineLevel="0" collapsed="false">
      <c r="A780" s="1" t="n">
        <v>45707</v>
      </c>
      <c r="B780" s="0" t="s">
        <v>1853</v>
      </c>
      <c r="C780" s="0" t="s">
        <v>105</v>
      </c>
      <c r="D780" s="0" t="n">
        <v>8043123836</v>
      </c>
      <c r="E780" s="0" t="s">
        <v>67</v>
      </c>
      <c r="F780" s="0" t="s">
        <v>1854</v>
      </c>
      <c r="G780" s="0" t="s">
        <v>45</v>
      </c>
      <c r="H780" s="0" t="s">
        <v>242</v>
      </c>
      <c r="I780" s="0" t="s">
        <v>189</v>
      </c>
      <c r="J780" s="0" t="s">
        <v>48</v>
      </c>
      <c r="K780" s="0" t="n">
        <v>87460</v>
      </c>
      <c r="L780" s="0" t="s">
        <v>110</v>
      </c>
      <c r="M780" s="0" t="s">
        <v>63</v>
      </c>
      <c r="O780" s="0" t="n">
        <v>3</v>
      </c>
      <c r="P780" s="0" t="s">
        <v>111</v>
      </c>
      <c r="Q780" s="0" t="s">
        <v>52</v>
      </c>
      <c r="R780" s="0" t="s">
        <v>94</v>
      </c>
      <c r="S780" s="0" t="s">
        <v>167</v>
      </c>
      <c r="T780" s="0" t="n">
        <v>45</v>
      </c>
      <c r="U780" s="0" t="s">
        <v>96</v>
      </c>
      <c r="V780" s="0" t="s">
        <v>148</v>
      </c>
      <c r="W780" s="0" t="s">
        <v>128</v>
      </c>
      <c r="X780" s="0" t="s">
        <v>58</v>
      </c>
      <c r="Y780" s="0" t="s">
        <v>156</v>
      </c>
      <c r="AB780" s="0" t="n">
        <v>30000</v>
      </c>
      <c r="AC780" s="0" t="s">
        <v>63</v>
      </c>
      <c r="AE780" s="0" t="s">
        <v>60</v>
      </c>
      <c r="AF780" s="1" t="n">
        <v>45823</v>
      </c>
      <c r="AI780" s="0" t="s">
        <v>172</v>
      </c>
      <c r="AK780" s="0" t="s">
        <v>63</v>
      </c>
      <c r="AL780" s="0" t="s">
        <v>50</v>
      </c>
      <c r="AM780" s="0" t="s">
        <v>83</v>
      </c>
      <c r="AN780" s="0" t="s">
        <v>198</v>
      </c>
    </row>
    <row r="781" customFormat="false" ht="15" hidden="false" customHeight="false" outlineLevel="0" collapsed="false">
      <c r="A781" s="1" t="n">
        <v>45792</v>
      </c>
      <c r="B781" s="0" t="s">
        <v>1855</v>
      </c>
      <c r="C781" s="0" t="s">
        <v>163</v>
      </c>
      <c r="D781" s="0" t="n">
        <v>8042528051</v>
      </c>
      <c r="E781" s="0" t="s">
        <v>122</v>
      </c>
      <c r="F781" s="0" t="s">
        <v>1856</v>
      </c>
      <c r="G781" s="0" t="s">
        <v>134</v>
      </c>
      <c r="H781" s="0" t="s">
        <v>170</v>
      </c>
      <c r="I781" s="0" t="s">
        <v>89</v>
      </c>
      <c r="J781" s="0" t="s">
        <v>71</v>
      </c>
      <c r="K781" s="0" t="n">
        <v>88003</v>
      </c>
      <c r="L781" s="0" t="s">
        <v>124</v>
      </c>
      <c r="M781" s="0" t="s">
        <v>63</v>
      </c>
      <c r="N781" s="0" t="n">
        <v>2</v>
      </c>
      <c r="O781" s="0" t="n">
        <v>4.8</v>
      </c>
      <c r="P781" s="0" t="s">
        <v>111</v>
      </c>
      <c r="Q781" s="0" t="s">
        <v>93</v>
      </c>
      <c r="R781" s="0" t="s">
        <v>53</v>
      </c>
      <c r="S781" s="0" t="s">
        <v>126</v>
      </c>
      <c r="T781" s="0" t="n">
        <v>15</v>
      </c>
      <c r="U781" s="0" t="s">
        <v>76</v>
      </c>
      <c r="V781" s="0" t="s">
        <v>77</v>
      </c>
      <c r="W781" s="0" t="s">
        <v>113</v>
      </c>
      <c r="X781" s="0" t="s">
        <v>137</v>
      </c>
      <c r="Y781" s="0" t="s">
        <v>197</v>
      </c>
      <c r="Z781" s="0" t="s">
        <v>149</v>
      </c>
      <c r="AA781" s="0" t="n">
        <v>15000</v>
      </c>
      <c r="AB781" s="0" t="n">
        <v>35000</v>
      </c>
      <c r="AC781" s="0" t="s">
        <v>50</v>
      </c>
      <c r="AD781" s="0" t="n">
        <v>5000</v>
      </c>
      <c r="AE781" s="0" t="s">
        <v>80</v>
      </c>
      <c r="AF781" s="1" t="n">
        <v>45943</v>
      </c>
      <c r="AG781" s="0" t="s">
        <v>82</v>
      </c>
      <c r="AH781" s="0" t="s">
        <v>171</v>
      </c>
      <c r="AJ781" s="0" t="s">
        <v>62</v>
      </c>
      <c r="AL781" s="0" t="s">
        <v>63</v>
      </c>
      <c r="AM781" s="0" t="s">
        <v>118</v>
      </c>
      <c r="AN781" s="0" t="s">
        <v>50</v>
      </c>
    </row>
    <row r="782" customFormat="false" ht="15" hidden="false" customHeight="false" outlineLevel="0" collapsed="false">
      <c r="A782" s="0" t="s">
        <v>438</v>
      </c>
      <c r="B782" s="0" t="s">
        <v>1857</v>
      </c>
      <c r="C782" s="0" t="s">
        <v>163</v>
      </c>
      <c r="D782" s="0" t="n">
        <v>8074119239</v>
      </c>
      <c r="E782" s="0" t="s">
        <v>67</v>
      </c>
      <c r="F782" s="0" t="s">
        <v>1858</v>
      </c>
      <c r="G782" s="0" t="s">
        <v>107</v>
      </c>
      <c r="H782" s="0" t="s">
        <v>242</v>
      </c>
      <c r="I782" s="0" t="s">
        <v>142</v>
      </c>
      <c r="K782" s="0" t="n">
        <v>47893</v>
      </c>
      <c r="L782" s="0" t="s">
        <v>72</v>
      </c>
      <c r="M782" s="0" t="s">
        <v>63</v>
      </c>
      <c r="N782" s="0" t="n">
        <v>5</v>
      </c>
      <c r="O782" s="0" t="n">
        <v>2.4</v>
      </c>
      <c r="Q782" s="0" t="s">
        <v>73</v>
      </c>
      <c r="R782" s="0" t="s">
        <v>74</v>
      </c>
      <c r="S782" s="0" t="s">
        <v>95</v>
      </c>
      <c r="T782" s="0" t="n">
        <v>15</v>
      </c>
      <c r="U782" s="0" t="s">
        <v>55</v>
      </c>
      <c r="V782" s="0" t="s">
        <v>155</v>
      </c>
      <c r="W782" s="0" t="s">
        <v>128</v>
      </c>
      <c r="X782" s="0" t="s">
        <v>99</v>
      </c>
      <c r="Y782" s="0" t="s">
        <v>197</v>
      </c>
      <c r="Z782" s="0" t="s">
        <v>79</v>
      </c>
      <c r="AA782" s="0" t="n">
        <v>40000</v>
      </c>
      <c r="AB782" s="0" t="s">
        <v>178</v>
      </c>
      <c r="AC782" s="0" t="s">
        <v>61</v>
      </c>
      <c r="AD782" s="0" t="s">
        <v>115</v>
      </c>
      <c r="AE782" s="0" t="s">
        <v>80</v>
      </c>
      <c r="AH782" s="0" t="s">
        <v>116</v>
      </c>
      <c r="AI782" s="0" t="s">
        <v>117</v>
      </c>
      <c r="AJ782" s="0" t="s">
        <v>62</v>
      </c>
      <c r="AK782" s="0" t="s">
        <v>63</v>
      </c>
      <c r="AL782" s="0" t="s">
        <v>63</v>
      </c>
      <c r="AM782" s="0" t="s">
        <v>103</v>
      </c>
      <c r="AN782" s="0" t="s">
        <v>63</v>
      </c>
    </row>
    <row r="783" customFormat="false" ht="15" hidden="false" customHeight="false" outlineLevel="0" collapsed="false">
      <c r="A783" s="1" t="n">
        <v>45680</v>
      </c>
      <c r="B783" s="0" t="s">
        <v>1859</v>
      </c>
      <c r="C783" s="0" t="s">
        <v>42</v>
      </c>
      <c r="D783" s="0" t="n">
        <v>8014631527</v>
      </c>
      <c r="E783" s="0" t="s">
        <v>122</v>
      </c>
      <c r="F783" s="0" t="s">
        <v>1860</v>
      </c>
      <c r="G783" s="0" t="s">
        <v>45</v>
      </c>
      <c r="H783" s="0" t="s">
        <v>272</v>
      </c>
      <c r="I783" s="0" t="s">
        <v>154</v>
      </c>
      <c r="J783" s="0" t="s">
        <v>48</v>
      </c>
      <c r="K783" s="0" t="n">
        <v>86397</v>
      </c>
      <c r="L783" s="0" t="s">
        <v>166</v>
      </c>
      <c r="M783" s="0" t="s">
        <v>63</v>
      </c>
      <c r="N783" s="0" t="n">
        <v>3</v>
      </c>
      <c r="O783" s="0" t="n">
        <v>4</v>
      </c>
      <c r="P783" s="0" t="s">
        <v>51</v>
      </c>
      <c r="Q783" s="0" t="s">
        <v>93</v>
      </c>
      <c r="R783" s="0" t="s">
        <v>74</v>
      </c>
      <c r="S783" s="0" t="s">
        <v>75</v>
      </c>
      <c r="T783" s="0" t="n">
        <v>45</v>
      </c>
      <c r="U783" s="0" t="s">
        <v>55</v>
      </c>
      <c r="V783" s="0" t="s">
        <v>148</v>
      </c>
      <c r="W783" s="0" t="s">
        <v>98</v>
      </c>
      <c r="X783" s="0" t="s">
        <v>99</v>
      </c>
      <c r="Y783" s="0" t="s">
        <v>177</v>
      </c>
      <c r="Z783" s="0" t="s">
        <v>79</v>
      </c>
      <c r="AA783" s="0" t="n">
        <v>15000</v>
      </c>
      <c r="AC783" s="0" t="s">
        <v>82</v>
      </c>
      <c r="AE783" s="0" t="s">
        <v>184</v>
      </c>
      <c r="AF783" s="1" t="n">
        <v>45983</v>
      </c>
      <c r="AG783" s="0" t="s">
        <v>82</v>
      </c>
      <c r="AI783" s="0" t="s">
        <v>101</v>
      </c>
      <c r="AL783" s="0" t="s">
        <v>63</v>
      </c>
      <c r="AM783" s="0" t="s">
        <v>83</v>
      </c>
      <c r="AN783" s="0" t="s">
        <v>190</v>
      </c>
    </row>
    <row r="784" customFormat="false" ht="15" hidden="false" customHeight="false" outlineLevel="0" collapsed="false">
      <c r="A784" s="1" t="n">
        <v>45812</v>
      </c>
      <c r="B784" s="0" t="s">
        <v>1861</v>
      </c>
      <c r="C784" s="0" t="s">
        <v>66</v>
      </c>
      <c r="D784" s="0" t="n">
        <v>8058508204</v>
      </c>
      <c r="E784" s="0" t="s">
        <v>139</v>
      </c>
      <c r="F784" s="0" t="s">
        <v>1862</v>
      </c>
      <c r="G784" s="0" t="s">
        <v>69</v>
      </c>
      <c r="H784" s="0" t="s">
        <v>165</v>
      </c>
      <c r="I784" s="0" t="s">
        <v>154</v>
      </c>
      <c r="J784" s="0" t="s">
        <v>90</v>
      </c>
      <c r="K784" s="0" t="n">
        <v>84509</v>
      </c>
      <c r="L784" s="0" t="s">
        <v>166</v>
      </c>
      <c r="M784" s="0" t="s">
        <v>63</v>
      </c>
      <c r="N784" s="0" t="n">
        <v>2</v>
      </c>
      <c r="O784" s="0" t="n">
        <v>3.7</v>
      </c>
      <c r="Q784" s="0" t="s">
        <v>73</v>
      </c>
      <c r="R784" s="0" t="s">
        <v>74</v>
      </c>
      <c r="S784" s="0" t="s">
        <v>126</v>
      </c>
      <c r="T784" s="0" t="n">
        <v>15</v>
      </c>
      <c r="U784" s="0" t="s">
        <v>112</v>
      </c>
      <c r="V784" s="0" t="s">
        <v>77</v>
      </c>
      <c r="W784" s="0" t="s">
        <v>113</v>
      </c>
      <c r="X784" s="0" t="s">
        <v>58</v>
      </c>
      <c r="Y784" s="0" t="s">
        <v>177</v>
      </c>
      <c r="AA784" s="0" t="n">
        <v>30000</v>
      </c>
      <c r="AD784" s="0" t="s">
        <v>115</v>
      </c>
      <c r="AE784" s="0" t="s">
        <v>80</v>
      </c>
      <c r="AF784" s="1" t="n">
        <v>45863</v>
      </c>
      <c r="AG784" s="0" t="s">
        <v>50</v>
      </c>
      <c r="AI784" s="0" t="s">
        <v>117</v>
      </c>
      <c r="AJ784" s="0" t="s">
        <v>63</v>
      </c>
      <c r="AM784" s="0" t="s">
        <v>103</v>
      </c>
      <c r="AN784" s="0" t="s">
        <v>198</v>
      </c>
    </row>
    <row r="785" customFormat="false" ht="15" hidden="false" customHeight="false" outlineLevel="0" collapsed="false">
      <c r="A785" s="0" t="s">
        <v>1250</v>
      </c>
      <c r="B785" s="0" t="s">
        <v>1863</v>
      </c>
      <c r="C785" s="0" t="s">
        <v>42</v>
      </c>
      <c r="D785" s="0" t="n">
        <v>8094685039</v>
      </c>
      <c r="E785" s="0" t="s">
        <v>67</v>
      </c>
      <c r="F785" s="0" t="s">
        <v>1864</v>
      </c>
      <c r="G785" s="0" t="s">
        <v>107</v>
      </c>
      <c r="H785" s="0" t="s">
        <v>146</v>
      </c>
      <c r="I785" s="0" t="s">
        <v>47</v>
      </c>
      <c r="J785" s="0" t="s">
        <v>48</v>
      </c>
      <c r="K785" s="0" t="n">
        <v>24934</v>
      </c>
      <c r="L785" s="0" t="s">
        <v>166</v>
      </c>
      <c r="M785" s="0" t="s">
        <v>63</v>
      </c>
      <c r="N785" s="0" t="n">
        <v>5</v>
      </c>
      <c r="O785" s="0" t="n">
        <v>3.1</v>
      </c>
      <c r="P785" s="0" t="s">
        <v>111</v>
      </c>
      <c r="Q785" s="0" t="s">
        <v>73</v>
      </c>
      <c r="S785" s="0" t="s">
        <v>126</v>
      </c>
      <c r="T785" s="0" t="n">
        <v>15</v>
      </c>
      <c r="U785" s="0" t="s">
        <v>76</v>
      </c>
      <c r="V785" s="0" t="s">
        <v>148</v>
      </c>
      <c r="W785" s="0" t="s">
        <v>128</v>
      </c>
      <c r="X785" s="0" t="s">
        <v>196</v>
      </c>
      <c r="Y785" s="0" t="s">
        <v>177</v>
      </c>
      <c r="Z785" s="0" t="s">
        <v>149</v>
      </c>
      <c r="AA785" s="0" t="n">
        <v>40000</v>
      </c>
      <c r="AB785" s="0" t="n">
        <v>20000</v>
      </c>
      <c r="AC785" s="0" t="s">
        <v>63</v>
      </c>
      <c r="AD785" s="0" t="n">
        <v>10000</v>
      </c>
      <c r="AE785" s="0" t="s">
        <v>184</v>
      </c>
      <c r="AF785" s="1" t="n">
        <v>45972</v>
      </c>
      <c r="AI785" s="0" t="s">
        <v>172</v>
      </c>
      <c r="AJ785" s="0" t="s">
        <v>62</v>
      </c>
      <c r="AL785" s="0" t="s">
        <v>102</v>
      </c>
      <c r="AM785" s="0" t="s">
        <v>64</v>
      </c>
      <c r="AN785" s="0" t="s">
        <v>63</v>
      </c>
    </row>
    <row r="786" customFormat="false" ht="15" hidden="false" customHeight="false" outlineLevel="0" collapsed="false">
      <c r="A786" s="0" t="s">
        <v>1865</v>
      </c>
      <c r="B786" s="0" t="s">
        <v>1866</v>
      </c>
      <c r="C786" s="0" t="s">
        <v>121</v>
      </c>
      <c r="D786" s="0" t="n">
        <v>8013792466</v>
      </c>
      <c r="E786" s="0" t="s">
        <v>139</v>
      </c>
      <c r="F786" s="0" t="s">
        <v>1867</v>
      </c>
      <c r="G786" s="0" t="s">
        <v>134</v>
      </c>
      <c r="H786" s="0" t="s">
        <v>46</v>
      </c>
      <c r="I786" s="0" t="s">
        <v>89</v>
      </c>
      <c r="J786" s="0" t="s">
        <v>48</v>
      </c>
      <c r="K786" s="0" t="n">
        <v>90025</v>
      </c>
      <c r="L786" s="0" t="s">
        <v>124</v>
      </c>
      <c r="M786" s="0" t="s">
        <v>63</v>
      </c>
      <c r="N786" s="0" t="n">
        <v>4</v>
      </c>
      <c r="O786" s="0" t="n">
        <v>3.4</v>
      </c>
      <c r="P786" s="0" t="s">
        <v>51</v>
      </c>
      <c r="Q786" s="0" t="s">
        <v>93</v>
      </c>
      <c r="R786" s="0" t="s">
        <v>159</v>
      </c>
      <c r="S786" s="0" t="s">
        <v>75</v>
      </c>
      <c r="T786" s="0" t="s">
        <v>127</v>
      </c>
      <c r="U786" s="0" t="s">
        <v>160</v>
      </c>
      <c r="V786" s="0" t="s">
        <v>56</v>
      </c>
      <c r="W786" s="0" t="s">
        <v>78</v>
      </c>
      <c r="X786" s="0" t="s">
        <v>137</v>
      </c>
      <c r="Y786" s="0" t="s">
        <v>156</v>
      </c>
      <c r="Z786" s="0" t="s">
        <v>161</v>
      </c>
      <c r="AA786" s="0" t="n">
        <v>15000</v>
      </c>
      <c r="AB786" s="0" t="n">
        <v>35000</v>
      </c>
      <c r="AC786" s="0" t="s">
        <v>61</v>
      </c>
      <c r="AD786" s="0" t="s">
        <v>115</v>
      </c>
      <c r="AE786" s="0" t="s">
        <v>60</v>
      </c>
      <c r="AF786" s="1" t="n">
        <v>45911</v>
      </c>
      <c r="AG786" s="0" t="s">
        <v>82</v>
      </c>
      <c r="AI786" s="0" t="s">
        <v>101</v>
      </c>
      <c r="AJ786" s="0" t="s">
        <v>50</v>
      </c>
      <c r="AK786" s="0" t="s">
        <v>61</v>
      </c>
      <c r="AL786" s="0" t="s">
        <v>50</v>
      </c>
      <c r="AM786" s="0" t="s">
        <v>103</v>
      </c>
      <c r="AN786" s="0" t="s">
        <v>198</v>
      </c>
    </row>
    <row r="787" customFormat="false" ht="15" hidden="false" customHeight="false" outlineLevel="0" collapsed="false">
      <c r="A787" s="1" t="n">
        <v>45748</v>
      </c>
      <c r="B787" s="0" t="s">
        <v>1868</v>
      </c>
      <c r="C787" s="0" t="s">
        <v>42</v>
      </c>
      <c r="D787" s="0" t="n">
        <v>8099345471</v>
      </c>
      <c r="E787" s="0" t="s">
        <v>139</v>
      </c>
      <c r="F787" s="0" t="s">
        <v>1362</v>
      </c>
      <c r="G787" s="0" t="s">
        <v>45</v>
      </c>
      <c r="I787" s="0" t="s">
        <v>89</v>
      </c>
      <c r="J787" s="0" t="s">
        <v>109</v>
      </c>
      <c r="K787" s="0" t="n">
        <v>68467</v>
      </c>
      <c r="L787" s="0" t="s">
        <v>72</v>
      </c>
      <c r="M787" s="0" t="s">
        <v>50</v>
      </c>
      <c r="N787" s="0" t="n">
        <v>2</v>
      </c>
      <c r="O787" s="0" t="n">
        <v>3.1</v>
      </c>
      <c r="P787" s="0" t="s">
        <v>51</v>
      </c>
      <c r="Q787" s="0" t="s">
        <v>52</v>
      </c>
      <c r="R787" s="0" t="s">
        <v>136</v>
      </c>
      <c r="S787" s="0" t="s">
        <v>54</v>
      </c>
      <c r="T787" s="0" t="n">
        <v>60</v>
      </c>
      <c r="U787" s="0" t="s">
        <v>55</v>
      </c>
      <c r="V787" s="0" t="s">
        <v>77</v>
      </c>
      <c r="W787" s="0" t="s">
        <v>113</v>
      </c>
      <c r="X787" s="0" t="s">
        <v>137</v>
      </c>
      <c r="Y787" s="0" t="s">
        <v>156</v>
      </c>
      <c r="Z787" s="0" t="s">
        <v>129</v>
      </c>
      <c r="AA787" s="0" t="n">
        <v>25000</v>
      </c>
      <c r="AC787" s="0" t="s">
        <v>82</v>
      </c>
      <c r="AD787" s="0" t="s">
        <v>115</v>
      </c>
      <c r="AE787" s="0" t="s">
        <v>80</v>
      </c>
      <c r="AG787" s="0" t="s">
        <v>61</v>
      </c>
      <c r="AH787" s="0" t="s">
        <v>116</v>
      </c>
      <c r="AJ787" s="0" t="s">
        <v>81</v>
      </c>
      <c r="AK787" s="0" t="s">
        <v>63</v>
      </c>
      <c r="AL787" s="0" t="s">
        <v>102</v>
      </c>
      <c r="AM787" s="0" t="s">
        <v>118</v>
      </c>
      <c r="AN787" s="0" t="s">
        <v>63</v>
      </c>
    </row>
    <row r="788" customFormat="false" ht="15" hidden="false" customHeight="false" outlineLevel="0" collapsed="false">
      <c r="A788" s="1" t="n">
        <v>45772</v>
      </c>
      <c r="B788" s="0" t="s">
        <v>1869</v>
      </c>
      <c r="C788" s="0" t="s">
        <v>105</v>
      </c>
      <c r="D788" s="0" t="n">
        <v>8096615201</v>
      </c>
      <c r="E788" s="0" t="s">
        <v>122</v>
      </c>
      <c r="F788" s="0" t="s">
        <v>1870</v>
      </c>
      <c r="G788" s="0" t="s">
        <v>134</v>
      </c>
      <c r="H788" s="0" t="s">
        <v>242</v>
      </c>
      <c r="I788" s="0" t="s">
        <v>142</v>
      </c>
      <c r="J788" s="0" t="s">
        <v>71</v>
      </c>
      <c r="K788" s="0" t="n">
        <v>115776</v>
      </c>
      <c r="L788" s="0" t="s">
        <v>110</v>
      </c>
      <c r="M788" s="0" t="s">
        <v>50</v>
      </c>
      <c r="N788" s="0" t="n">
        <v>1</v>
      </c>
      <c r="O788" s="0" t="n">
        <v>5.4</v>
      </c>
      <c r="P788" s="0" t="s">
        <v>111</v>
      </c>
      <c r="Q788" s="0" t="s">
        <v>52</v>
      </c>
      <c r="R788" s="0" t="s">
        <v>53</v>
      </c>
      <c r="S788" s="0" t="s">
        <v>126</v>
      </c>
      <c r="T788" s="0" t="n">
        <v>45</v>
      </c>
      <c r="U788" s="0" t="s">
        <v>55</v>
      </c>
      <c r="V788" s="0" t="s">
        <v>155</v>
      </c>
      <c r="W788" s="0" t="s">
        <v>113</v>
      </c>
      <c r="X788" s="0" t="s">
        <v>196</v>
      </c>
      <c r="Z788" s="0" t="s">
        <v>143</v>
      </c>
      <c r="AA788" s="0" t="n">
        <v>15000</v>
      </c>
      <c r="AB788" s="0" t="n">
        <v>20000</v>
      </c>
      <c r="AC788" s="0" t="s">
        <v>50</v>
      </c>
      <c r="AD788" s="0" t="s">
        <v>115</v>
      </c>
      <c r="AE788" s="0" t="s">
        <v>184</v>
      </c>
      <c r="AF788" s="1" t="n">
        <v>45849</v>
      </c>
      <c r="AG788" s="0" t="s">
        <v>61</v>
      </c>
      <c r="AJ788" s="0" t="s">
        <v>63</v>
      </c>
      <c r="AK788" s="0" t="s">
        <v>61</v>
      </c>
      <c r="AL788" s="0" t="s">
        <v>63</v>
      </c>
      <c r="AM788" s="0" t="s">
        <v>118</v>
      </c>
      <c r="AN788" s="0" t="s">
        <v>63</v>
      </c>
    </row>
    <row r="789" customFormat="false" ht="15" hidden="false" customHeight="false" outlineLevel="0" collapsed="false">
      <c r="A789" s="1" t="n">
        <v>45771</v>
      </c>
      <c r="B789" s="0" t="s">
        <v>1871</v>
      </c>
      <c r="C789" s="0" t="s">
        <v>163</v>
      </c>
      <c r="D789" s="0" t="n">
        <v>8029848692</v>
      </c>
      <c r="E789" s="0" t="s">
        <v>85</v>
      </c>
      <c r="F789" s="0" t="s">
        <v>1872</v>
      </c>
      <c r="G789" s="0" t="s">
        <v>107</v>
      </c>
      <c r="H789" s="0" t="s">
        <v>88</v>
      </c>
      <c r="I789" s="0" t="s">
        <v>47</v>
      </c>
      <c r="J789" s="0" t="s">
        <v>109</v>
      </c>
      <c r="K789" s="0" t="n">
        <v>11921</v>
      </c>
      <c r="L789" s="0" t="s">
        <v>91</v>
      </c>
      <c r="M789" s="0" t="s">
        <v>63</v>
      </c>
      <c r="N789" s="0" t="n">
        <v>1</v>
      </c>
      <c r="O789" s="0" t="n">
        <v>5.9</v>
      </c>
      <c r="P789" s="0" t="s">
        <v>125</v>
      </c>
      <c r="Q789" s="0" t="s">
        <v>93</v>
      </c>
      <c r="R789" s="0" t="s">
        <v>53</v>
      </c>
      <c r="S789" s="0" t="s">
        <v>147</v>
      </c>
      <c r="U789" s="0" t="s">
        <v>112</v>
      </c>
      <c r="V789" s="0" t="s">
        <v>56</v>
      </c>
      <c r="W789" s="0" t="s">
        <v>98</v>
      </c>
      <c r="X789" s="0" t="s">
        <v>99</v>
      </c>
      <c r="Y789" s="0" t="s">
        <v>156</v>
      </c>
      <c r="Z789" s="0" t="s">
        <v>143</v>
      </c>
      <c r="AA789" s="0" t="n">
        <v>15000</v>
      </c>
      <c r="AB789" s="0" t="n">
        <v>20000</v>
      </c>
      <c r="AC789" s="0" t="s">
        <v>82</v>
      </c>
      <c r="AD789" s="0" t="n">
        <v>10000</v>
      </c>
      <c r="AE789" s="0" t="s">
        <v>184</v>
      </c>
      <c r="AF789" s="1" t="n">
        <v>46020</v>
      </c>
      <c r="AG789" s="0" t="s">
        <v>61</v>
      </c>
      <c r="AI789" s="0" t="s">
        <v>101</v>
      </c>
      <c r="AJ789" s="0" t="s">
        <v>81</v>
      </c>
      <c r="AK789" s="0" t="s">
        <v>50</v>
      </c>
      <c r="AL789" s="0" t="s">
        <v>50</v>
      </c>
      <c r="AM789" s="0" t="s">
        <v>103</v>
      </c>
      <c r="AN789" s="0" t="s">
        <v>63</v>
      </c>
    </row>
    <row r="790" customFormat="false" ht="15" hidden="false" customHeight="false" outlineLevel="0" collapsed="false">
      <c r="A790" s="1" t="n">
        <v>45764</v>
      </c>
      <c r="B790" s="0" t="s">
        <v>1873</v>
      </c>
      <c r="C790" s="0" t="s">
        <v>66</v>
      </c>
      <c r="D790" s="0" t="n">
        <v>8045075212</v>
      </c>
      <c r="E790" s="0" t="s">
        <v>67</v>
      </c>
      <c r="F790" s="0" t="s">
        <v>1874</v>
      </c>
      <c r="G790" s="0" t="s">
        <v>107</v>
      </c>
      <c r="H790" s="0" t="s">
        <v>70</v>
      </c>
      <c r="I790" s="0" t="s">
        <v>189</v>
      </c>
      <c r="J790" s="0" t="s">
        <v>48</v>
      </c>
      <c r="K790" s="0" t="n">
        <v>18781</v>
      </c>
      <c r="L790" s="0" t="s">
        <v>110</v>
      </c>
      <c r="M790" s="0" t="s">
        <v>50</v>
      </c>
      <c r="N790" s="0" t="n">
        <v>3</v>
      </c>
      <c r="O790" s="0" t="n">
        <v>4.4</v>
      </c>
      <c r="P790" s="0" t="s">
        <v>125</v>
      </c>
      <c r="Q790" s="0" t="s">
        <v>73</v>
      </c>
      <c r="S790" s="0" t="s">
        <v>95</v>
      </c>
      <c r="T790" s="0" t="n">
        <v>60</v>
      </c>
      <c r="U790" s="0" t="s">
        <v>55</v>
      </c>
      <c r="V790" s="0" t="s">
        <v>97</v>
      </c>
      <c r="W790" s="0" t="s">
        <v>113</v>
      </c>
      <c r="X790" s="0" t="s">
        <v>196</v>
      </c>
      <c r="Y790" s="0" t="s">
        <v>59</v>
      </c>
      <c r="Z790" s="0" t="s">
        <v>161</v>
      </c>
      <c r="AA790" s="0" t="n">
        <v>25000</v>
      </c>
      <c r="AC790" s="0" t="s">
        <v>63</v>
      </c>
      <c r="AD790" s="0" t="n">
        <v>0</v>
      </c>
      <c r="AE790" s="0" t="s">
        <v>130</v>
      </c>
      <c r="AF790" s="1" t="n">
        <v>45883</v>
      </c>
      <c r="AG790" s="0" t="s">
        <v>63</v>
      </c>
      <c r="AI790" s="0" t="s">
        <v>101</v>
      </c>
      <c r="AJ790" s="0" t="s">
        <v>62</v>
      </c>
      <c r="AK790" s="0" t="s">
        <v>50</v>
      </c>
      <c r="AL790" s="0" t="s">
        <v>102</v>
      </c>
      <c r="AM790" s="0" t="s">
        <v>83</v>
      </c>
      <c r="AN790" s="0" t="s">
        <v>198</v>
      </c>
    </row>
    <row r="791" customFormat="false" ht="15" hidden="false" customHeight="false" outlineLevel="0" collapsed="false">
      <c r="A791" s="1" t="n">
        <v>45693</v>
      </c>
      <c r="B791" s="0" t="s">
        <v>1875</v>
      </c>
      <c r="C791" s="0" t="s">
        <v>121</v>
      </c>
      <c r="D791" s="0" t="n">
        <v>8091260195</v>
      </c>
      <c r="E791" s="0" t="s">
        <v>122</v>
      </c>
      <c r="F791" s="0" t="s">
        <v>1876</v>
      </c>
      <c r="G791" s="0" t="s">
        <v>107</v>
      </c>
      <c r="H791" s="0" t="s">
        <v>153</v>
      </c>
      <c r="I791" s="0" t="s">
        <v>189</v>
      </c>
      <c r="K791" s="0" t="n">
        <v>103256</v>
      </c>
      <c r="L791" s="0" t="s">
        <v>91</v>
      </c>
      <c r="M791" s="0" t="s">
        <v>63</v>
      </c>
      <c r="O791" s="0" t="n">
        <v>1.6</v>
      </c>
      <c r="P791" s="0" t="s">
        <v>51</v>
      </c>
      <c r="Q791" s="0" t="s">
        <v>93</v>
      </c>
      <c r="R791" s="0" t="s">
        <v>53</v>
      </c>
      <c r="S791" s="0" t="s">
        <v>75</v>
      </c>
      <c r="T791" s="0" t="n">
        <v>15</v>
      </c>
      <c r="U791" s="0" t="s">
        <v>55</v>
      </c>
      <c r="V791" s="0" t="s">
        <v>56</v>
      </c>
      <c r="W791" s="0" t="s">
        <v>98</v>
      </c>
      <c r="X791" s="0" t="s">
        <v>58</v>
      </c>
      <c r="Y791" s="0" t="s">
        <v>59</v>
      </c>
      <c r="Z791" s="0" t="s">
        <v>129</v>
      </c>
      <c r="AA791" s="0" t="s">
        <v>150</v>
      </c>
      <c r="AB791" s="0" t="n">
        <v>40000</v>
      </c>
      <c r="AD791" s="0" t="s">
        <v>115</v>
      </c>
      <c r="AE791" s="0" t="s">
        <v>184</v>
      </c>
      <c r="AG791" s="0" t="s">
        <v>50</v>
      </c>
      <c r="AH791" s="0" t="s">
        <v>116</v>
      </c>
      <c r="AJ791" s="0" t="s">
        <v>81</v>
      </c>
      <c r="AK791" s="0" t="s">
        <v>63</v>
      </c>
      <c r="AM791" s="0" t="s">
        <v>103</v>
      </c>
      <c r="AN791" s="0" t="s">
        <v>63</v>
      </c>
    </row>
    <row r="792" customFormat="false" ht="15" hidden="false" customHeight="false" outlineLevel="0" collapsed="false">
      <c r="A792" s="1" t="n">
        <v>45811</v>
      </c>
      <c r="B792" s="0" t="s">
        <v>1877</v>
      </c>
      <c r="C792" s="0" t="s">
        <v>105</v>
      </c>
      <c r="D792" s="0" t="n">
        <v>8071132251</v>
      </c>
      <c r="E792" s="0" t="s">
        <v>85</v>
      </c>
      <c r="F792" s="0" t="s">
        <v>1878</v>
      </c>
      <c r="G792" s="0" t="s">
        <v>134</v>
      </c>
      <c r="H792" s="0" t="s">
        <v>242</v>
      </c>
      <c r="I792" s="0" t="s">
        <v>142</v>
      </c>
      <c r="J792" s="0" t="s">
        <v>71</v>
      </c>
      <c r="K792" s="0" t="n">
        <v>117812</v>
      </c>
      <c r="L792" s="0" t="s">
        <v>72</v>
      </c>
      <c r="M792" s="0" t="s">
        <v>63</v>
      </c>
      <c r="N792" s="0" t="n">
        <v>1</v>
      </c>
      <c r="O792" s="0" t="n">
        <v>3.3</v>
      </c>
      <c r="Q792" s="0" t="s">
        <v>73</v>
      </c>
      <c r="R792" s="0" t="s">
        <v>53</v>
      </c>
      <c r="S792" s="0" t="s">
        <v>147</v>
      </c>
      <c r="T792" s="0" t="n">
        <v>30</v>
      </c>
      <c r="U792" s="0" t="s">
        <v>55</v>
      </c>
      <c r="V792" s="0" t="s">
        <v>97</v>
      </c>
      <c r="W792" s="0" t="s">
        <v>98</v>
      </c>
      <c r="X792" s="0" t="s">
        <v>114</v>
      </c>
      <c r="Z792" s="0" t="s">
        <v>129</v>
      </c>
      <c r="AA792" s="0" t="n">
        <v>25000</v>
      </c>
      <c r="AB792" s="0" t="n">
        <v>20000</v>
      </c>
      <c r="AD792" s="0" t="n">
        <v>0</v>
      </c>
      <c r="AE792" s="0" t="s">
        <v>80</v>
      </c>
      <c r="AF792" s="0" t="s">
        <v>179</v>
      </c>
      <c r="AG792" s="0" t="s">
        <v>61</v>
      </c>
      <c r="AH792" s="0" t="s">
        <v>171</v>
      </c>
      <c r="AI792" s="0" t="s">
        <v>172</v>
      </c>
      <c r="AK792" s="0" t="s">
        <v>82</v>
      </c>
      <c r="AM792" s="0" t="s">
        <v>64</v>
      </c>
      <c r="AN792" s="0" t="s">
        <v>50</v>
      </c>
    </row>
    <row r="793" customFormat="false" ht="15" hidden="false" customHeight="false" outlineLevel="0" collapsed="false">
      <c r="A793" s="1" t="n">
        <v>45693</v>
      </c>
      <c r="B793" s="0" t="s">
        <v>1879</v>
      </c>
      <c r="C793" s="0" t="s">
        <v>163</v>
      </c>
      <c r="D793" s="0" t="n">
        <v>8029779316</v>
      </c>
      <c r="E793" s="0" t="s">
        <v>122</v>
      </c>
      <c r="F793" s="0" t="s">
        <v>1880</v>
      </c>
      <c r="G793" s="0" t="s">
        <v>69</v>
      </c>
      <c r="H793" s="0" t="s">
        <v>88</v>
      </c>
      <c r="I793" s="0" t="s">
        <v>89</v>
      </c>
      <c r="K793" s="0" t="n">
        <v>44617</v>
      </c>
      <c r="L793" s="0" t="s">
        <v>124</v>
      </c>
      <c r="M793" s="0" t="s">
        <v>63</v>
      </c>
      <c r="N793" s="0" t="n">
        <v>3</v>
      </c>
      <c r="O793" s="0" t="n">
        <v>6</v>
      </c>
      <c r="P793" s="0" t="s">
        <v>111</v>
      </c>
      <c r="Q793" s="0" t="s">
        <v>52</v>
      </c>
      <c r="R793" s="0" t="s">
        <v>159</v>
      </c>
      <c r="S793" s="0" t="s">
        <v>54</v>
      </c>
      <c r="T793" s="0" t="n">
        <v>45</v>
      </c>
      <c r="U793" s="0" t="s">
        <v>55</v>
      </c>
      <c r="V793" s="0" t="s">
        <v>77</v>
      </c>
      <c r="W793" s="0" t="s">
        <v>128</v>
      </c>
      <c r="X793" s="0" t="s">
        <v>137</v>
      </c>
      <c r="Z793" s="0" t="s">
        <v>143</v>
      </c>
      <c r="AA793" s="0" t="n">
        <v>30000</v>
      </c>
      <c r="AB793" s="0" t="n">
        <v>20000</v>
      </c>
      <c r="AC793" s="0" t="s">
        <v>61</v>
      </c>
      <c r="AD793" s="0" t="n">
        <v>5000</v>
      </c>
      <c r="AF793" s="0" t="s">
        <v>860</v>
      </c>
      <c r="AH793" s="0" t="s">
        <v>116</v>
      </c>
      <c r="AI793" s="0" t="s">
        <v>101</v>
      </c>
      <c r="AJ793" s="0" t="s">
        <v>81</v>
      </c>
      <c r="AK793" s="0" t="s">
        <v>61</v>
      </c>
      <c r="AL793" s="0" t="s">
        <v>102</v>
      </c>
      <c r="AM793" s="0" t="s">
        <v>83</v>
      </c>
      <c r="AN793" s="0" t="s">
        <v>50</v>
      </c>
    </row>
    <row r="794" customFormat="false" ht="15" hidden="false" customHeight="false" outlineLevel="0" collapsed="false">
      <c r="A794" s="1" t="n">
        <v>45674</v>
      </c>
      <c r="B794" s="0" t="s">
        <v>1881</v>
      </c>
      <c r="C794" s="0" t="s">
        <v>163</v>
      </c>
      <c r="D794" s="0" t="n">
        <v>8044129962</v>
      </c>
      <c r="E794" s="0" t="s">
        <v>139</v>
      </c>
      <c r="F794" s="0" t="s">
        <v>1882</v>
      </c>
      <c r="G794" s="0" t="s">
        <v>107</v>
      </c>
      <c r="H794" s="0" t="s">
        <v>70</v>
      </c>
      <c r="I794" s="0" t="s">
        <v>189</v>
      </c>
      <c r="K794" s="0" t="n">
        <v>31645</v>
      </c>
      <c r="L794" s="0" t="s">
        <v>49</v>
      </c>
      <c r="M794" s="0" t="s">
        <v>50</v>
      </c>
      <c r="N794" s="0" t="n">
        <v>2</v>
      </c>
      <c r="O794" s="0" t="n">
        <v>5.5</v>
      </c>
      <c r="P794" s="0" t="s">
        <v>125</v>
      </c>
      <c r="Q794" s="0" t="s">
        <v>52</v>
      </c>
      <c r="S794" s="0" t="s">
        <v>54</v>
      </c>
      <c r="T794" s="0" t="n">
        <v>15</v>
      </c>
      <c r="U794" s="0" t="s">
        <v>76</v>
      </c>
      <c r="V794" s="0" t="s">
        <v>97</v>
      </c>
      <c r="W794" s="0" t="s">
        <v>113</v>
      </c>
      <c r="X794" s="0" t="s">
        <v>196</v>
      </c>
      <c r="Y794" s="0" t="s">
        <v>197</v>
      </c>
      <c r="Z794" s="0" t="s">
        <v>143</v>
      </c>
      <c r="AA794" s="0" t="n">
        <v>30000</v>
      </c>
      <c r="AB794" s="0" t="n">
        <v>35000</v>
      </c>
      <c r="AC794" s="0" t="s">
        <v>63</v>
      </c>
      <c r="AD794" s="0" t="s">
        <v>115</v>
      </c>
      <c r="AE794" s="0" t="s">
        <v>60</v>
      </c>
      <c r="AG794" s="0" t="s">
        <v>82</v>
      </c>
      <c r="AH794" s="0" t="s">
        <v>116</v>
      </c>
      <c r="AI794" s="0" t="s">
        <v>101</v>
      </c>
      <c r="AJ794" s="0" t="s">
        <v>63</v>
      </c>
      <c r="AK794" s="0" t="s">
        <v>63</v>
      </c>
      <c r="AN794" s="0" t="s">
        <v>190</v>
      </c>
    </row>
    <row r="795" customFormat="false" ht="15" hidden="false" customHeight="false" outlineLevel="0" collapsed="false">
      <c r="A795" s="0" t="s">
        <v>1883</v>
      </c>
      <c r="B795" s="0" t="s">
        <v>1884</v>
      </c>
      <c r="C795" s="0" t="s">
        <v>66</v>
      </c>
      <c r="D795" s="0" t="n">
        <v>8043207452</v>
      </c>
      <c r="E795" s="0" t="s">
        <v>139</v>
      </c>
      <c r="F795" s="0" t="s">
        <v>1885</v>
      </c>
      <c r="G795" s="0" t="s">
        <v>107</v>
      </c>
      <c r="H795" s="0" t="s">
        <v>146</v>
      </c>
      <c r="I795" s="0" t="s">
        <v>189</v>
      </c>
      <c r="J795" s="0" t="s">
        <v>71</v>
      </c>
      <c r="K795" s="0" t="n">
        <v>66464</v>
      </c>
      <c r="L795" s="0" t="s">
        <v>91</v>
      </c>
      <c r="M795" s="0" t="s">
        <v>50</v>
      </c>
      <c r="N795" s="0" t="n">
        <v>3</v>
      </c>
      <c r="O795" s="0" t="n">
        <v>3.5</v>
      </c>
      <c r="P795" s="0" t="s">
        <v>125</v>
      </c>
      <c r="Q795" s="0" t="s">
        <v>73</v>
      </c>
      <c r="S795" s="0" t="s">
        <v>54</v>
      </c>
      <c r="T795" s="0" t="s">
        <v>127</v>
      </c>
      <c r="U795" s="0" t="s">
        <v>96</v>
      </c>
      <c r="V795" s="0" t="s">
        <v>148</v>
      </c>
      <c r="W795" s="0" t="s">
        <v>98</v>
      </c>
      <c r="X795" s="0" t="s">
        <v>99</v>
      </c>
      <c r="Y795" s="0" t="s">
        <v>156</v>
      </c>
      <c r="Z795" s="0" t="s">
        <v>161</v>
      </c>
      <c r="AA795" s="0" t="s">
        <v>150</v>
      </c>
      <c r="AB795" s="0" t="n">
        <v>30000</v>
      </c>
      <c r="AC795" s="0" t="s">
        <v>82</v>
      </c>
      <c r="AD795" s="0" t="s">
        <v>115</v>
      </c>
      <c r="AE795" s="0" t="s">
        <v>60</v>
      </c>
      <c r="AF795" s="1" t="n">
        <v>45830</v>
      </c>
      <c r="AG795" s="0" t="s">
        <v>61</v>
      </c>
      <c r="AJ795" s="0" t="s">
        <v>81</v>
      </c>
      <c r="AK795" s="0" t="s">
        <v>61</v>
      </c>
      <c r="AL795" s="0" t="s">
        <v>102</v>
      </c>
      <c r="AM795" s="0" t="s">
        <v>103</v>
      </c>
    </row>
    <row r="796" customFormat="false" ht="15" hidden="false" customHeight="false" outlineLevel="0" collapsed="false">
      <c r="A796" s="0" t="s">
        <v>674</v>
      </c>
      <c r="B796" s="0" t="s">
        <v>1886</v>
      </c>
      <c r="C796" s="0" t="s">
        <v>66</v>
      </c>
      <c r="D796" s="0" t="n">
        <v>8090819114</v>
      </c>
      <c r="E796" s="0" t="s">
        <v>122</v>
      </c>
      <c r="F796" s="0" t="s">
        <v>1887</v>
      </c>
      <c r="G796" s="0" t="s">
        <v>134</v>
      </c>
      <c r="H796" s="0" t="s">
        <v>272</v>
      </c>
      <c r="I796" s="0" t="s">
        <v>142</v>
      </c>
      <c r="J796" s="0" t="s">
        <v>71</v>
      </c>
      <c r="K796" s="0" t="n">
        <v>96549</v>
      </c>
      <c r="L796" s="0" t="s">
        <v>124</v>
      </c>
      <c r="M796" s="0" t="s">
        <v>63</v>
      </c>
      <c r="N796" s="0" t="n">
        <v>2</v>
      </c>
      <c r="O796" s="0" t="n">
        <v>2.3</v>
      </c>
      <c r="Q796" s="0" t="s">
        <v>52</v>
      </c>
      <c r="R796" s="0" t="s">
        <v>53</v>
      </c>
      <c r="S796" s="0" t="s">
        <v>54</v>
      </c>
      <c r="T796" s="0" t="n">
        <v>15</v>
      </c>
      <c r="U796" s="0" t="s">
        <v>76</v>
      </c>
      <c r="V796" s="0" t="s">
        <v>97</v>
      </c>
      <c r="W796" s="0" t="s">
        <v>78</v>
      </c>
      <c r="X796" s="0" t="s">
        <v>58</v>
      </c>
      <c r="Y796" s="0" t="s">
        <v>156</v>
      </c>
      <c r="Z796" s="0" t="s">
        <v>149</v>
      </c>
      <c r="AA796" s="0" t="n">
        <v>15000</v>
      </c>
      <c r="AB796" s="0" t="n">
        <v>30000</v>
      </c>
      <c r="AC796" s="0" t="s">
        <v>82</v>
      </c>
      <c r="AD796" s="0" t="s">
        <v>115</v>
      </c>
      <c r="AE796" s="0" t="s">
        <v>80</v>
      </c>
      <c r="AG796" s="0" t="s">
        <v>61</v>
      </c>
      <c r="AK796" s="0" t="s">
        <v>63</v>
      </c>
      <c r="AL796" s="0" t="s">
        <v>63</v>
      </c>
      <c r="AN796" s="0" t="s">
        <v>198</v>
      </c>
    </row>
    <row r="797" customFormat="false" ht="15" hidden="false" customHeight="false" outlineLevel="0" collapsed="false">
      <c r="A797" s="1" t="n">
        <v>45803</v>
      </c>
      <c r="B797" s="0" t="s">
        <v>1888</v>
      </c>
      <c r="C797" s="0" t="s">
        <v>66</v>
      </c>
      <c r="D797" s="0" t="n">
        <v>8087623721</v>
      </c>
      <c r="E797" s="0" t="s">
        <v>122</v>
      </c>
      <c r="F797" s="0" t="s">
        <v>1889</v>
      </c>
      <c r="G797" s="0" t="s">
        <v>134</v>
      </c>
      <c r="H797" s="0" t="s">
        <v>272</v>
      </c>
      <c r="I797" s="0" t="s">
        <v>142</v>
      </c>
      <c r="J797" s="0" t="s">
        <v>90</v>
      </c>
      <c r="K797" s="0" t="n">
        <v>28293</v>
      </c>
      <c r="L797" s="0" t="s">
        <v>110</v>
      </c>
      <c r="M797" s="0" t="s">
        <v>50</v>
      </c>
      <c r="N797" s="0" t="n">
        <v>5</v>
      </c>
      <c r="O797" s="0" t="n">
        <v>3.3</v>
      </c>
      <c r="Q797" s="0" t="s">
        <v>73</v>
      </c>
      <c r="R797" s="0" t="s">
        <v>53</v>
      </c>
      <c r="S797" s="0" t="s">
        <v>95</v>
      </c>
      <c r="T797" s="0" t="n">
        <v>30</v>
      </c>
      <c r="U797" s="0" t="s">
        <v>55</v>
      </c>
      <c r="V797" s="0" t="s">
        <v>155</v>
      </c>
      <c r="W797" s="0" t="s">
        <v>57</v>
      </c>
      <c r="X797" s="0" t="s">
        <v>137</v>
      </c>
      <c r="Y797" s="0" t="s">
        <v>59</v>
      </c>
      <c r="Z797" s="0" t="s">
        <v>143</v>
      </c>
      <c r="AB797" s="0" t="s">
        <v>178</v>
      </c>
      <c r="AD797" s="0" t="n">
        <v>10000</v>
      </c>
      <c r="AF797" s="1" t="n">
        <v>45957</v>
      </c>
      <c r="AJ797" s="0" t="s">
        <v>63</v>
      </c>
      <c r="AK797" s="0" t="s">
        <v>82</v>
      </c>
      <c r="AL797" s="0" t="s">
        <v>50</v>
      </c>
      <c r="AM797" s="0" t="s">
        <v>83</v>
      </c>
      <c r="AN797" s="0" t="s">
        <v>190</v>
      </c>
    </row>
    <row r="798" customFormat="false" ht="15" hidden="false" customHeight="false" outlineLevel="0" collapsed="false">
      <c r="A798" s="0" t="s">
        <v>1890</v>
      </c>
      <c r="B798" s="0" t="s">
        <v>1891</v>
      </c>
      <c r="C798" s="0" t="s">
        <v>121</v>
      </c>
      <c r="D798" s="0" t="n">
        <v>8098933292</v>
      </c>
      <c r="E798" s="0" t="s">
        <v>122</v>
      </c>
      <c r="F798" s="0" t="s">
        <v>1892</v>
      </c>
      <c r="G798" s="0" t="s">
        <v>107</v>
      </c>
      <c r="H798" s="0" t="s">
        <v>70</v>
      </c>
      <c r="I798" s="0" t="s">
        <v>89</v>
      </c>
      <c r="K798" s="0" t="n">
        <v>13448</v>
      </c>
      <c r="L798" s="0" t="s">
        <v>72</v>
      </c>
      <c r="M798" s="0" t="s">
        <v>63</v>
      </c>
      <c r="N798" s="0" t="n">
        <v>2</v>
      </c>
      <c r="O798" s="0" t="n">
        <v>1.1</v>
      </c>
      <c r="P798" s="0" t="s">
        <v>111</v>
      </c>
      <c r="Q798" s="0" t="s">
        <v>73</v>
      </c>
      <c r="R798" s="0" t="s">
        <v>159</v>
      </c>
      <c r="S798" s="0" t="s">
        <v>75</v>
      </c>
      <c r="T798" s="0" t="n">
        <v>45</v>
      </c>
      <c r="U798" s="0" t="s">
        <v>55</v>
      </c>
      <c r="V798" s="0" t="s">
        <v>148</v>
      </c>
      <c r="W798" s="0" t="s">
        <v>128</v>
      </c>
      <c r="X798" s="0" t="s">
        <v>196</v>
      </c>
      <c r="Y798" s="0" t="s">
        <v>197</v>
      </c>
      <c r="Z798" s="0" t="s">
        <v>161</v>
      </c>
      <c r="AB798" s="0" t="n">
        <v>35000</v>
      </c>
      <c r="AC798" s="0" t="s">
        <v>82</v>
      </c>
      <c r="AD798" s="0" t="s">
        <v>115</v>
      </c>
      <c r="AE798" s="0" t="s">
        <v>80</v>
      </c>
      <c r="AG798" s="0" t="s">
        <v>61</v>
      </c>
      <c r="AI798" s="0" t="s">
        <v>117</v>
      </c>
      <c r="AK798" s="0" t="s">
        <v>50</v>
      </c>
      <c r="AL798" s="0" t="s">
        <v>50</v>
      </c>
      <c r="AM798" s="0" t="s">
        <v>64</v>
      </c>
      <c r="AN798" s="0" t="s">
        <v>190</v>
      </c>
    </row>
    <row r="799" customFormat="false" ht="15" hidden="false" customHeight="false" outlineLevel="0" collapsed="false">
      <c r="A799" s="0" t="s">
        <v>1460</v>
      </c>
      <c r="B799" s="0" t="s">
        <v>1893</v>
      </c>
      <c r="C799" s="0" t="s">
        <v>66</v>
      </c>
      <c r="D799" s="0" t="n">
        <v>8031666421</v>
      </c>
      <c r="E799" s="0" t="s">
        <v>122</v>
      </c>
      <c r="F799" s="0" t="s">
        <v>1894</v>
      </c>
      <c r="G799" s="0" t="s">
        <v>45</v>
      </c>
      <c r="H799" s="0" t="s">
        <v>242</v>
      </c>
      <c r="I799" s="0" t="s">
        <v>142</v>
      </c>
      <c r="J799" s="0" t="s">
        <v>90</v>
      </c>
      <c r="K799" s="0" t="n">
        <v>38094</v>
      </c>
      <c r="L799" s="0" t="s">
        <v>124</v>
      </c>
      <c r="M799" s="0" t="s">
        <v>50</v>
      </c>
      <c r="N799" s="0" t="n">
        <v>5</v>
      </c>
      <c r="O799" s="0" t="n">
        <v>4.7</v>
      </c>
      <c r="Q799" s="0" t="s">
        <v>52</v>
      </c>
      <c r="R799" s="0" t="s">
        <v>159</v>
      </c>
      <c r="S799" s="0" t="s">
        <v>126</v>
      </c>
      <c r="T799" s="0" t="s">
        <v>127</v>
      </c>
      <c r="U799" s="0" t="s">
        <v>160</v>
      </c>
      <c r="V799" s="0" t="s">
        <v>97</v>
      </c>
      <c r="W799" s="0" t="s">
        <v>78</v>
      </c>
      <c r="X799" s="0" t="s">
        <v>137</v>
      </c>
      <c r="Y799" s="0" t="s">
        <v>156</v>
      </c>
      <c r="Z799" s="0" t="s">
        <v>129</v>
      </c>
      <c r="AA799" s="0" t="s">
        <v>150</v>
      </c>
      <c r="AB799" s="0" t="n">
        <v>30000</v>
      </c>
      <c r="AD799" s="0" t="n">
        <v>0</v>
      </c>
      <c r="AE799" s="0" t="s">
        <v>80</v>
      </c>
      <c r="AF799" s="1" t="n">
        <v>45695</v>
      </c>
      <c r="AG799" s="0" t="s">
        <v>63</v>
      </c>
      <c r="AH799" s="0" t="s">
        <v>171</v>
      </c>
      <c r="AI799" s="0" t="s">
        <v>172</v>
      </c>
      <c r="AJ799" s="0" t="s">
        <v>62</v>
      </c>
      <c r="AK799" s="0" t="s">
        <v>61</v>
      </c>
      <c r="AL799" s="0" t="s">
        <v>50</v>
      </c>
      <c r="AM799" s="0" t="s">
        <v>83</v>
      </c>
      <c r="AN799" s="0" t="s">
        <v>190</v>
      </c>
    </row>
    <row r="800" customFormat="false" ht="15" hidden="false" customHeight="false" outlineLevel="0" collapsed="false">
      <c r="A800" s="1" t="n">
        <v>45784</v>
      </c>
      <c r="B800" s="0" t="s">
        <v>1895</v>
      </c>
      <c r="C800" s="0" t="s">
        <v>105</v>
      </c>
      <c r="D800" s="0" t="n">
        <v>8011655896</v>
      </c>
      <c r="E800" s="0" t="s">
        <v>67</v>
      </c>
      <c r="F800" s="0" t="s">
        <v>1896</v>
      </c>
      <c r="G800" s="0" t="s">
        <v>87</v>
      </c>
      <c r="I800" s="0" t="s">
        <v>142</v>
      </c>
      <c r="J800" s="0" t="s">
        <v>109</v>
      </c>
      <c r="K800" s="0" t="n">
        <v>71245</v>
      </c>
      <c r="L800" s="0" t="s">
        <v>124</v>
      </c>
      <c r="M800" s="0" t="s">
        <v>63</v>
      </c>
      <c r="O800" s="0" t="n">
        <v>3.2</v>
      </c>
      <c r="P800" s="0" t="s">
        <v>51</v>
      </c>
      <c r="Q800" s="0" t="s">
        <v>93</v>
      </c>
      <c r="R800" s="0" t="s">
        <v>159</v>
      </c>
      <c r="S800" s="0" t="s">
        <v>54</v>
      </c>
      <c r="T800" s="0" t="n">
        <v>15</v>
      </c>
      <c r="U800" s="0" t="s">
        <v>55</v>
      </c>
      <c r="V800" s="0" t="s">
        <v>148</v>
      </c>
      <c r="W800" s="0" t="s">
        <v>128</v>
      </c>
      <c r="X800" s="0" t="s">
        <v>99</v>
      </c>
      <c r="Y800" s="0" t="s">
        <v>197</v>
      </c>
      <c r="AB800" s="0" t="n">
        <v>35000</v>
      </c>
      <c r="AC800" s="0" t="s">
        <v>63</v>
      </c>
      <c r="AD800" s="0" t="n">
        <v>0</v>
      </c>
      <c r="AE800" s="0" t="s">
        <v>60</v>
      </c>
      <c r="AF800" s="1" t="n">
        <v>45909</v>
      </c>
      <c r="AG800" s="0" t="s">
        <v>63</v>
      </c>
      <c r="AH800" s="0" t="s">
        <v>116</v>
      </c>
      <c r="AI800" s="0" t="s">
        <v>117</v>
      </c>
      <c r="AJ800" s="0" t="s">
        <v>62</v>
      </c>
      <c r="AK800" s="0" t="s">
        <v>63</v>
      </c>
      <c r="AL800" s="0" t="s">
        <v>50</v>
      </c>
      <c r="AM800" s="0" t="s">
        <v>103</v>
      </c>
      <c r="AN800" s="0" t="s">
        <v>190</v>
      </c>
    </row>
    <row r="801" customFormat="false" ht="15" hidden="false" customHeight="false" outlineLevel="0" collapsed="false">
      <c r="A801" s="1" t="n">
        <v>45658</v>
      </c>
      <c r="B801" s="0" t="s">
        <v>1897</v>
      </c>
      <c r="C801" s="0" t="s">
        <v>66</v>
      </c>
      <c r="D801" s="0" t="n">
        <v>8025667321</v>
      </c>
      <c r="E801" s="0" t="s">
        <v>67</v>
      </c>
      <c r="F801" s="0" t="s">
        <v>1898</v>
      </c>
      <c r="G801" s="0" t="s">
        <v>69</v>
      </c>
      <c r="H801" s="0" t="s">
        <v>135</v>
      </c>
      <c r="I801" s="0" t="s">
        <v>108</v>
      </c>
      <c r="J801" s="0" t="s">
        <v>71</v>
      </c>
      <c r="K801" s="0" t="n">
        <v>16682</v>
      </c>
      <c r="L801" s="0" t="s">
        <v>110</v>
      </c>
      <c r="M801" s="0" t="s">
        <v>50</v>
      </c>
      <c r="N801" s="0" t="n">
        <v>1</v>
      </c>
      <c r="O801" s="0" t="n">
        <v>4.3</v>
      </c>
      <c r="P801" s="0" t="s">
        <v>51</v>
      </c>
      <c r="Q801" s="0" t="s">
        <v>73</v>
      </c>
      <c r="R801" s="0" t="s">
        <v>159</v>
      </c>
      <c r="S801" s="0" t="s">
        <v>54</v>
      </c>
      <c r="T801" s="0" t="n">
        <v>45</v>
      </c>
      <c r="U801" s="0" t="s">
        <v>96</v>
      </c>
      <c r="V801" s="0" t="s">
        <v>97</v>
      </c>
      <c r="W801" s="0" t="s">
        <v>113</v>
      </c>
      <c r="X801" s="0" t="s">
        <v>196</v>
      </c>
      <c r="Z801" s="0" t="s">
        <v>149</v>
      </c>
      <c r="AA801" s="0" t="n">
        <v>25000</v>
      </c>
      <c r="AB801" s="0" t="s">
        <v>178</v>
      </c>
      <c r="AC801" s="0" t="s">
        <v>82</v>
      </c>
      <c r="AD801" s="0" t="s">
        <v>115</v>
      </c>
      <c r="AE801" s="0" t="s">
        <v>80</v>
      </c>
      <c r="AF801" s="1" t="n">
        <v>46010</v>
      </c>
      <c r="AH801" s="0" t="s">
        <v>116</v>
      </c>
      <c r="AI801" s="0" t="s">
        <v>101</v>
      </c>
      <c r="AJ801" s="0" t="s">
        <v>63</v>
      </c>
      <c r="AK801" s="0" t="s">
        <v>82</v>
      </c>
      <c r="AL801" s="0" t="s">
        <v>50</v>
      </c>
      <c r="AM801" s="0" t="s">
        <v>103</v>
      </c>
    </row>
    <row r="802" customFormat="false" ht="15" hidden="false" customHeight="false" outlineLevel="0" collapsed="false">
      <c r="A802" s="0" t="s">
        <v>531</v>
      </c>
      <c r="B802" s="0" t="s">
        <v>1899</v>
      </c>
      <c r="C802" s="0" t="s">
        <v>66</v>
      </c>
      <c r="D802" s="0" t="n">
        <v>8022389075</v>
      </c>
      <c r="E802" s="0" t="s">
        <v>122</v>
      </c>
      <c r="F802" s="0" t="s">
        <v>1900</v>
      </c>
      <c r="G802" s="0" t="s">
        <v>45</v>
      </c>
      <c r="H802" s="0" t="s">
        <v>46</v>
      </c>
      <c r="I802" s="0" t="s">
        <v>47</v>
      </c>
      <c r="J802" s="0" t="s">
        <v>109</v>
      </c>
      <c r="K802" s="0" t="n">
        <v>77576</v>
      </c>
      <c r="L802" s="0" t="s">
        <v>166</v>
      </c>
      <c r="M802" s="0" t="s">
        <v>63</v>
      </c>
      <c r="N802" s="0" t="n">
        <v>3</v>
      </c>
      <c r="O802" s="0" t="n">
        <v>5.9</v>
      </c>
      <c r="P802" s="0" t="s">
        <v>51</v>
      </c>
      <c r="Q802" s="0" t="s">
        <v>52</v>
      </c>
      <c r="R802" s="0" t="s">
        <v>53</v>
      </c>
      <c r="S802" s="0" t="s">
        <v>54</v>
      </c>
      <c r="T802" s="0" t="n">
        <v>30</v>
      </c>
      <c r="U802" s="0" t="s">
        <v>76</v>
      </c>
      <c r="V802" s="0" t="s">
        <v>56</v>
      </c>
      <c r="W802" s="0" t="s">
        <v>128</v>
      </c>
      <c r="X802" s="0" t="s">
        <v>114</v>
      </c>
      <c r="Y802" s="0" t="s">
        <v>59</v>
      </c>
      <c r="Z802" s="0" t="s">
        <v>79</v>
      </c>
      <c r="AA802" s="0" t="n">
        <v>15000</v>
      </c>
      <c r="AB802" s="0" t="s">
        <v>178</v>
      </c>
      <c r="AC802" s="0" t="s">
        <v>61</v>
      </c>
      <c r="AD802" s="0" t="s">
        <v>115</v>
      </c>
      <c r="AF802" s="1" t="n">
        <v>45879</v>
      </c>
      <c r="AG802" s="0" t="s">
        <v>50</v>
      </c>
      <c r="AI802" s="0" t="s">
        <v>172</v>
      </c>
      <c r="AJ802" s="0" t="s">
        <v>63</v>
      </c>
      <c r="AK802" s="0" t="s">
        <v>82</v>
      </c>
      <c r="AL802" s="0" t="s">
        <v>50</v>
      </c>
      <c r="AM802" s="0" t="s">
        <v>64</v>
      </c>
      <c r="AN802" s="0" t="s">
        <v>50</v>
      </c>
    </row>
    <row r="803" customFormat="false" ht="15" hidden="false" customHeight="false" outlineLevel="0" collapsed="false">
      <c r="A803" s="1" t="n">
        <v>45689</v>
      </c>
      <c r="B803" s="0" t="s">
        <v>1901</v>
      </c>
      <c r="C803" s="0" t="s">
        <v>105</v>
      </c>
      <c r="D803" s="0" t="n">
        <v>8096489553</v>
      </c>
      <c r="E803" s="0" t="s">
        <v>43</v>
      </c>
      <c r="F803" s="0" t="s">
        <v>1902</v>
      </c>
      <c r="G803" s="0" t="s">
        <v>87</v>
      </c>
      <c r="H803" s="0" t="s">
        <v>146</v>
      </c>
      <c r="I803" s="0" t="s">
        <v>154</v>
      </c>
      <c r="K803" s="0" t="n">
        <v>70390</v>
      </c>
      <c r="L803" s="0" t="s">
        <v>72</v>
      </c>
      <c r="M803" s="0" t="s">
        <v>50</v>
      </c>
      <c r="N803" s="0" t="n">
        <v>5</v>
      </c>
      <c r="O803" s="0" t="n">
        <v>5.9</v>
      </c>
      <c r="P803" s="0" t="s">
        <v>125</v>
      </c>
      <c r="Q803" s="0" t="s">
        <v>73</v>
      </c>
      <c r="R803" s="0" t="s">
        <v>53</v>
      </c>
      <c r="S803" s="0" t="s">
        <v>54</v>
      </c>
      <c r="T803" s="0" t="n">
        <v>45</v>
      </c>
      <c r="U803" s="0" t="s">
        <v>112</v>
      </c>
      <c r="V803" s="0" t="s">
        <v>56</v>
      </c>
      <c r="W803" s="0" t="s">
        <v>78</v>
      </c>
      <c r="X803" s="0" t="s">
        <v>58</v>
      </c>
      <c r="Z803" s="0" t="s">
        <v>161</v>
      </c>
      <c r="AB803" s="0" t="n">
        <v>20000</v>
      </c>
      <c r="AC803" s="0" t="s">
        <v>61</v>
      </c>
      <c r="AD803" s="0" t="n">
        <v>5000</v>
      </c>
      <c r="AE803" s="0" t="s">
        <v>184</v>
      </c>
      <c r="AG803" s="0" t="s">
        <v>63</v>
      </c>
      <c r="AH803" s="0" t="s">
        <v>171</v>
      </c>
      <c r="AI803" s="0" t="s">
        <v>101</v>
      </c>
      <c r="AK803" s="0" t="s">
        <v>61</v>
      </c>
      <c r="AL803" s="0" t="s">
        <v>50</v>
      </c>
      <c r="AN803" s="0" t="s">
        <v>63</v>
      </c>
    </row>
    <row r="804" customFormat="false" ht="15" hidden="false" customHeight="false" outlineLevel="0" collapsed="false">
      <c r="A804" s="1" t="n">
        <v>45783</v>
      </c>
      <c r="B804" s="0" t="s">
        <v>1903</v>
      </c>
      <c r="C804" s="0" t="s">
        <v>121</v>
      </c>
      <c r="D804" s="0" t="n">
        <v>8061586279</v>
      </c>
      <c r="E804" s="0" t="s">
        <v>67</v>
      </c>
      <c r="F804" s="0" t="s">
        <v>1904</v>
      </c>
      <c r="G804" s="0" t="s">
        <v>107</v>
      </c>
      <c r="H804" s="0" t="s">
        <v>153</v>
      </c>
      <c r="I804" s="0" t="s">
        <v>189</v>
      </c>
      <c r="J804" s="0" t="s">
        <v>48</v>
      </c>
      <c r="K804" s="0" t="n">
        <v>117454</v>
      </c>
      <c r="L804" s="0" t="s">
        <v>49</v>
      </c>
      <c r="M804" s="0" t="s">
        <v>63</v>
      </c>
      <c r="O804" s="0" t="n">
        <v>1.5</v>
      </c>
      <c r="P804" s="0" t="s">
        <v>51</v>
      </c>
      <c r="Q804" s="0" t="s">
        <v>73</v>
      </c>
      <c r="R804" s="0" t="s">
        <v>74</v>
      </c>
      <c r="S804" s="0" t="s">
        <v>95</v>
      </c>
      <c r="U804" s="0" t="s">
        <v>160</v>
      </c>
      <c r="V804" s="0" t="s">
        <v>97</v>
      </c>
      <c r="W804" s="0" t="s">
        <v>128</v>
      </c>
      <c r="X804" s="0" t="s">
        <v>114</v>
      </c>
      <c r="Z804" s="0" t="s">
        <v>149</v>
      </c>
      <c r="AA804" s="0" t="n">
        <v>25000</v>
      </c>
      <c r="AB804" s="0" t="n">
        <v>30000</v>
      </c>
      <c r="AC804" s="0" t="s">
        <v>61</v>
      </c>
      <c r="AD804" s="0" t="n">
        <v>5000</v>
      </c>
      <c r="AF804" s="1" t="n">
        <v>45667</v>
      </c>
      <c r="AG804" s="0" t="s">
        <v>61</v>
      </c>
      <c r="AH804" s="0" t="s">
        <v>116</v>
      </c>
      <c r="AI804" s="0" t="s">
        <v>101</v>
      </c>
      <c r="AJ804" s="0" t="s">
        <v>63</v>
      </c>
      <c r="AK804" s="0" t="s">
        <v>63</v>
      </c>
      <c r="AL804" s="0" t="s">
        <v>63</v>
      </c>
      <c r="AM804" s="0" t="s">
        <v>118</v>
      </c>
      <c r="AN804" s="0" t="s">
        <v>63</v>
      </c>
    </row>
    <row r="805" customFormat="false" ht="15" hidden="false" customHeight="false" outlineLevel="0" collapsed="false">
      <c r="A805" s="1" t="n">
        <v>45688</v>
      </c>
      <c r="B805" s="0" t="s">
        <v>1905</v>
      </c>
      <c r="C805" s="0" t="s">
        <v>163</v>
      </c>
      <c r="D805" s="0" t="n">
        <v>8063373950</v>
      </c>
      <c r="E805" s="0" t="s">
        <v>85</v>
      </c>
      <c r="F805" s="0" t="s">
        <v>1906</v>
      </c>
      <c r="G805" s="0" t="s">
        <v>134</v>
      </c>
      <c r="H805" s="0" t="s">
        <v>88</v>
      </c>
      <c r="I805" s="0" t="s">
        <v>47</v>
      </c>
      <c r="K805" s="0" t="n">
        <v>80851</v>
      </c>
      <c r="L805" s="0" t="s">
        <v>49</v>
      </c>
      <c r="M805" s="0" t="s">
        <v>50</v>
      </c>
      <c r="N805" s="0" t="n">
        <v>2</v>
      </c>
      <c r="O805" s="0" t="n">
        <v>1.2</v>
      </c>
      <c r="P805" s="0" t="s">
        <v>51</v>
      </c>
      <c r="Q805" s="0" t="s">
        <v>52</v>
      </c>
      <c r="R805" s="0" t="s">
        <v>159</v>
      </c>
      <c r="S805" s="0" t="s">
        <v>95</v>
      </c>
      <c r="T805" s="0" t="n">
        <v>30</v>
      </c>
      <c r="U805" s="0" t="s">
        <v>160</v>
      </c>
      <c r="V805" s="0" t="s">
        <v>56</v>
      </c>
      <c r="W805" s="0" t="s">
        <v>98</v>
      </c>
      <c r="X805" s="0" t="s">
        <v>58</v>
      </c>
      <c r="Y805" s="0" t="s">
        <v>59</v>
      </c>
      <c r="Z805" s="0" t="s">
        <v>149</v>
      </c>
      <c r="AA805" s="0" t="n">
        <v>40000</v>
      </c>
      <c r="AB805" s="0" t="n">
        <v>40000</v>
      </c>
      <c r="AC805" s="0" t="s">
        <v>61</v>
      </c>
      <c r="AE805" s="0" t="s">
        <v>130</v>
      </c>
      <c r="AG805" s="0" t="s">
        <v>61</v>
      </c>
      <c r="AJ805" s="0" t="s">
        <v>63</v>
      </c>
      <c r="AK805" s="0" t="s">
        <v>61</v>
      </c>
      <c r="AM805" s="0" t="s">
        <v>83</v>
      </c>
      <c r="AN805" s="0" t="s">
        <v>63</v>
      </c>
    </row>
    <row r="806" customFormat="false" ht="15" hidden="false" customHeight="false" outlineLevel="0" collapsed="false">
      <c r="A806" s="1" t="n">
        <v>45720</v>
      </c>
      <c r="B806" s="0" t="s">
        <v>1907</v>
      </c>
      <c r="C806" s="0" t="s">
        <v>66</v>
      </c>
      <c r="D806" s="0" t="n">
        <v>8088673120</v>
      </c>
      <c r="E806" s="0" t="s">
        <v>122</v>
      </c>
      <c r="F806" s="0" t="s">
        <v>1908</v>
      </c>
      <c r="G806" s="0" t="s">
        <v>45</v>
      </c>
      <c r="H806" s="0" t="s">
        <v>165</v>
      </c>
      <c r="I806" s="0" t="s">
        <v>108</v>
      </c>
      <c r="J806" s="0" t="s">
        <v>109</v>
      </c>
      <c r="K806" s="0" t="n">
        <v>32482</v>
      </c>
      <c r="L806" s="0" t="s">
        <v>110</v>
      </c>
      <c r="M806" s="0" t="s">
        <v>63</v>
      </c>
      <c r="N806" s="0" t="n">
        <v>4</v>
      </c>
      <c r="O806" s="0" t="n">
        <v>2.5</v>
      </c>
      <c r="P806" s="0" t="s">
        <v>51</v>
      </c>
      <c r="Q806" s="0" t="s">
        <v>93</v>
      </c>
      <c r="S806" s="0" t="s">
        <v>147</v>
      </c>
      <c r="T806" s="0" t="n">
        <v>30</v>
      </c>
      <c r="U806" s="0" t="s">
        <v>96</v>
      </c>
      <c r="V806" s="0" t="s">
        <v>56</v>
      </c>
      <c r="W806" s="0" t="s">
        <v>113</v>
      </c>
      <c r="X806" s="0" t="s">
        <v>196</v>
      </c>
      <c r="Z806" s="0" t="s">
        <v>161</v>
      </c>
      <c r="AA806" s="0" t="n">
        <v>15000</v>
      </c>
      <c r="AB806" s="0" t="n">
        <v>40000</v>
      </c>
      <c r="AC806" s="0" t="s">
        <v>61</v>
      </c>
      <c r="AD806" s="0" t="n">
        <v>5000</v>
      </c>
      <c r="AF806" s="0" t="s">
        <v>1909</v>
      </c>
      <c r="AG806" s="0" t="s">
        <v>82</v>
      </c>
      <c r="AH806" s="0" t="s">
        <v>171</v>
      </c>
      <c r="AI806" s="0" t="s">
        <v>117</v>
      </c>
      <c r="AJ806" s="0" t="s">
        <v>81</v>
      </c>
      <c r="AK806" s="0" t="s">
        <v>82</v>
      </c>
      <c r="AM806" s="0" t="s">
        <v>83</v>
      </c>
      <c r="AN806" s="0" t="s">
        <v>50</v>
      </c>
    </row>
    <row r="807" customFormat="false" ht="15" hidden="false" customHeight="false" outlineLevel="0" collapsed="false">
      <c r="A807" s="1" t="n">
        <v>45724</v>
      </c>
      <c r="B807" s="0" t="s">
        <v>1910</v>
      </c>
      <c r="C807" s="0" t="s">
        <v>42</v>
      </c>
      <c r="D807" s="0" t="n">
        <v>8020784168</v>
      </c>
      <c r="E807" s="0" t="s">
        <v>122</v>
      </c>
      <c r="F807" s="0" t="s">
        <v>1911</v>
      </c>
      <c r="G807" s="0" t="s">
        <v>45</v>
      </c>
      <c r="H807" s="0" t="s">
        <v>165</v>
      </c>
      <c r="I807" s="0" t="s">
        <v>47</v>
      </c>
      <c r="J807" s="0" t="s">
        <v>48</v>
      </c>
      <c r="K807" s="0" t="n">
        <v>23853</v>
      </c>
      <c r="L807" s="0" t="s">
        <v>110</v>
      </c>
      <c r="M807" s="0" t="s">
        <v>63</v>
      </c>
      <c r="N807" s="0" t="n">
        <v>5</v>
      </c>
      <c r="O807" s="0" t="n">
        <v>5.2</v>
      </c>
      <c r="P807" s="0" t="s">
        <v>51</v>
      </c>
      <c r="Q807" s="0" t="s">
        <v>73</v>
      </c>
      <c r="R807" s="0" t="s">
        <v>94</v>
      </c>
      <c r="S807" s="0" t="s">
        <v>167</v>
      </c>
      <c r="T807" s="0" t="s">
        <v>127</v>
      </c>
      <c r="U807" s="0" t="s">
        <v>112</v>
      </c>
      <c r="V807" s="0" t="s">
        <v>97</v>
      </c>
      <c r="W807" s="0" t="s">
        <v>78</v>
      </c>
      <c r="X807" s="0" t="s">
        <v>137</v>
      </c>
      <c r="Y807" s="0" t="s">
        <v>59</v>
      </c>
      <c r="AA807" s="0" t="s">
        <v>150</v>
      </c>
      <c r="AB807" s="0" t="s">
        <v>178</v>
      </c>
      <c r="AC807" s="0" t="s">
        <v>50</v>
      </c>
      <c r="AD807" s="0" t="n">
        <v>0</v>
      </c>
      <c r="AE807" s="0" t="s">
        <v>80</v>
      </c>
      <c r="AG807" s="0" t="s">
        <v>82</v>
      </c>
      <c r="AH807" s="0" t="s">
        <v>116</v>
      </c>
      <c r="AI807" s="0" t="s">
        <v>101</v>
      </c>
      <c r="AJ807" s="0" t="s">
        <v>81</v>
      </c>
      <c r="AK807" s="0" t="s">
        <v>63</v>
      </c>
      <c r="AL807" s="0" t="s">
        <v>50</v>
      </c>
      <c r="AM807" s="0" t="s">
        <v>64</v>
      </c>
      <c r="AN807" s="0" t="s">
        <v>198</v>
      </c>
    </row>
    <row r="808" customFormat="false" ht="15" hidden="false" customHeight="false" outlineLevel="0" collapsed="false">
      <c r="A808" s="1" t="n">
        <v>45753</v>
      </c>
      <c r="B808" s="0" t="s">
        <v>1912</v>
      </c>
      <c r="C808" s="0" t="s">
        <v>105</v>
      </c>
      <c r="D808" s="0" t="n">
        <v>8079596863</v>
      </c>
      <c r="E808" s="0" t="s">
        <v>122</v>
      </c>
      <c r="F808" s="0" t="s">
        <v>1159</v>
      </c>
      <c r="G808" s="0" t="s">
        <v>69</v>
      </c>
      <c r="H808" s="0" t="s">
        <v>176</v>
      </c>
      <c r="I808" s="0" t="s">
        <v>142</v>
      </c>
      <c r="J808" s="0" t="s">
        <v>71</v>
      </c>
      <c r="K808" s="0" t="n">
        <v>21668</v>
      </c>
      <c r="L808" s="0" t="s">
        <v>49</v>
      </c>
      <c r="M808" s="0" t="s">
        <v>63</v>
      </c>
      <c r="N808" s="0" t="n">
        <v>2</v>
      </c>
      <c r="O808" s="0" t="n">
        <v>1.7</v>
      </c>
      <c r="P808" s="0" t="s">
        <v>111</v>
      </c>
      <c r="Q808" s="0" t="s">
        <v>73</v>
      </c>
      <c r="S808" s="0" t="s">
        <v>126</v>
      </c>
      <c r="T808" s="0" t="n">
        <v>60</v>
      </c>
      <c r="U808" s="0" t="s">
        <v>76</v>
      </c>
      <c r="V808" s="0" t="s">
        <v>155</v>
      </c>
      <c r="W808" s="0" t="s">
        <v>113</v>
      </c>
      <c r="X808" s="0" t="s">
        <v>99</v>
      </c>
      <c r="Y808" s="0" t="s">
        <v>197</v>
      </c>
      <c r="AA808" s="0" t="n">
        <v>40000</v>
      </c>
      <c r="AB808" s="0" t="s">
        <v>178</v>
      </c>
      <c r="AC808" s="0" t="s">
        <v>63</v>
      </c>
      <c r="AD808" s="0" t="n">
        <v>5000</v>
      </c>
      <c r="AE808" s="0" t="s">
        <v>80</v>
      </c>
      <c r="AG808" s="0" t="s">
        <v>63</v>
      </c>
      <c r="AK808" s="0" t="s">
        <v>82</v>
      </c>
      <c r="AM808" s="0" t="s">
        <v>64</v>
      </c>
      <c r="AN808" s="0" t="s">
        <v>190</v>
      </c>
    </row>
    <row r="809" customFormat="false" ht="15" hidden="false" customHeight="false" outlineLevel="0" collapsed="false">
      <c r="A809" s="1" t="n">
        <v>45805</v>
      </c>
      <c r="B809" s="0" t="s">
        <v>1913</v>
      </c>
      <c r="C809" s="0" t="s">
        <v>42</v>
      </c>
      <c r="D809" s="0" t="n">
        <v>8035343427</v>
      </c>
      <c r="E809" s="0" t="s">
        <v>85</v>
      </c>
      <c r="F809" s="0" t="s">
        <v>1914</v>
      </c>
      <c r="G809" s="0" t="s">
        <v>69</v>
      </c>
      <c r="I809" s="0" t="s">
        <v>47</v>
      </c>
      <c r="J809" s="0" t="s">
        <v>71</v>
      </c>
      <c r="K809" s="0" t="n">
        <v>63836</v>
      </c>
      <c r="L809" s="0" t="s">
        <v>124</v>
      </c>
      <c r="M809" s="0" t="s">
        <v>63</v>
      </c>
      <c r="O809" s="0" t="n">
        <v>3.2</v>
      </c>
      <c r="P809" s="0" t="s">
        <v>51</v>
      </c>
      <c r="Q809" s="0" t="s">
        <v>93</v>
      </c>
      <c r="R809" s="0" t="s">
        <v>74</v>
      </c>
      <c r="S809" s="0" t="s">
        <v>54</v>
      </c>
      <c r="T809" s="0" t="n">
        <v>60</v>
      </c>
      <c r="U809" s="0" t="s">
        <v>112</v>
      </c>
      <c r="V809" s="0" t="s">
        <v>77</v>
      </c>
      <c r="W809" s="0" t="s">
        <v>57</v>
      </c>
      <c r="X809" s="0" t="s">
        <v>196</v>
      </c>
      <c r="Y809" s="0" t="s">
        <v>177</v>
      </c>
      <c r="AA809" s="0" t="n">
        <v>25000</v>
      </c>
      <c r="AB809" s="0" t="n">
        <v>30000</v>
      </c>
      <c r="AC809" s="0" t="s">
        <v>61</v>
      </c>
      <c r="AE809" s="0" t="s">
        <v>184</v>
      </c>
      <c r="AF809" s="1" t="n">
        <v>45909</v>
      </c>
      <c r="AG809" s="0" t="s">
        <v>82</v>
      </c>
      <c r="AI809" s="0" t="s">
        <v>172</v>
      </c>
      <c r="AJ809" s="0" t="s">
        <v>62</v>
      </c>
      <c r="AK809" s="0" t="s">
        <v>82</v>
      </c>
      <c r="AL809" s="0" t="s">
        <v>102</v>
      </c>
      <c r="AM809" s="0" t="s">
        <v>103</v>
      </c>
      <c r="AN809" s="0" t="s">
        <v>50</v>
      </c>
    </row>
    <row r="810" customFormat="false" ht="15" hidden="false" customHeight="false" outlineLevel="0" collapsed="false">
      <c r="A810" s="0" t="s">
        <v>1250</v>
      </c>
      <c r="B810" s="0" t="s">
        <v>1915</v>
      </c>
      <c r="C810" s="0" t="s">
        <v>163</v>
      </c>
      <c r="D810" s="0" t="n">
        <v>8066766698</v>
      </c>
      <c r="E810" s="0" t="s">
        <v>43</v>
      </c>
      <c r="F810" s="0" t="s">
        <v>1916</v>
      </c>
      <c r="G810" s="0" t="s">
        <v>87</v>
      </c>
      <c r="H810" s="0" t="s">
        <v>70</v>
      </c>
      <c r="I810" s="0" t="s">
        <v>108</v>
      </c>
      <c r="J810" s="0" t="s">
        <v>48</v>
      </c>
      <c r="K810" s="0" t="n">
        <v>17198</v>
      </c>
      <c r="L810" s="0" t="s">
        <v>166</v>
      </c>
      <c r="M810" s="0" t="s">
        <v>50</v>
      </c>
      <c r="N810" s="0" t="n">
        <v>5</v>
      </c>
      <c r="O810" s="0" t="n">
        <v>1.2</v>
      </c>
      <c r="P810" s="0" t="s">
        <v>51</v>
      </c>
      <c r="Q810" s="0" t="s">
        <v>52</v>
      </c>
      <c r="R810" s="0" t="s">
        <v>159</v>
      </c>
      <c r="S810" s="0" t="s">
        <v>147</v>
      </c>
      <c r="T810" s="0" t="n">
        <v>30</v>
      </c>
      <c r="U810" s="0" t="s">
        <v>160</v>
      </c>
      <c r="V810" s="0" t="s">
        <v>97</v>
      </c>
      <c r="W810" s="0" t="s">
        <v>128</v>
      </c>
      <c r="X810" s="0" t="s">
        <v>196</v>
      </c>
      <c r="Y810" s="0" t="s">
        <v>156</v>
      </c>
      <c r="AA810" s="0" t="n">
        <v>40000</v>
      </c>
      <c r="AC810" s="0" t="s">
        <v>82</v>
      </c>
      <c r="AD810" s="0" t="n">
        <v>5000</v>
      </c>
      <c r="AE810" s="0" t="s">
        <v>184</v>
      </c>
      <c r="AF810" s="1" t="n">
        <v>45900</v>
      </c>
      <c r="AH810" s="0" t="s">
        <v>116</v>
      </c>
      <c r="AJ810" s="0" t="s">
        <v>50</v>
      </c>
      <c r="AK810" s="0" t="s">
        <v>63</v>
      </c>
      <c r="AN810" s="0" t="s">
        <v>50</v>
      </c>
    </row>
    <row r="811" customFormat="false" ht="15" hidden="false" customHeight="false" outlineLevel="0" collapsed="false">
      <c r="A811" s="1" t="n">
        <v>45776</v>
      </c>
      <c r="B811" s="0" t="s">
        <v>1917</v>
      </c>
      <c r="C811" s="0" t="s">
        <v>121</v>
      </c>
      <c r="D811" s="0" t="n">
        <v>8032256467</v>
      </c>
      <c r="E811" s="0" t="s">
        <v>122</v>
      </c>
      <c r="F811" s="0" t="s">
        <v>472</v>
      </c>
      <c r="G811" s="0" t="s">
        <v>45</v>
      </c>
      <c r="H811" s="0" t="s">
        <v>242</v>
      </c>
      <c r="I811" s="0" t="s">
        <v>89</v>
      </c>
      <c r="J811" s="0" t="s">
        <v>109</v>
      </c>
      <c r="K811" s="0" t="n">
        <v>30756</v>
      </c>
      <c r="L811" s="0" t="s">
        <v>91</v>
      </c>
      <c r="M811" s="0" t="s">
        <v>50</v>
      </c>
      <c r="N811" s="0" t="n">
        <v>5</v>
      </c>
      <c r="O811" s="0" t="n">
        <v>3</v>
      </c>
      <c r="P811" s="0" t="s">
        <v>125</v>
      </c>
      <c r="Q811" s="0" t="s">
        <v>93</v>
      </c>
      <c r="R811" s="0" t="s">
        <v>159</v>
      </c>
      <c r="S811" s="0" t="s">
        <v>167</v>
      </c>
      <c r="T811" s="0" t="n">
        <v>15</v>
      </c>
      <c r="U811" s="0" t="s">
        <v>76</v>
      </c>
      <c r="V811" s="0" t="s">
        <v>56</v>
      </c>
      <c r="W811" s="0" t="s">
        <v>98</v>
      </c>
      <c r="X811" s="0" t="s">
        <v>137</v>
      </c>
      <c r="Y811" s="0" t="s">
        <v>59</v>
      </c>
      <c r="Z811" s="0" t="s">
        <v>143</v>
      </c>
      <c r="AA811" s="0" t="n">
        <v>25000</v>
      </c>
      <c r="AB811" s="0" t="s">
        <v>178</v>
      </c>
      <c r="AD811" s="0" t="n">
        <v>0</v>
      </c>
      <c r="AF811" s="0" t="s">
        <v>690</v>
      </c>
      <c r="AG811" s="0" t="s">
        <v>50</v>
      </c>
      <c r="AJ811" s="0" t="s">
        <v>81</v>
      </c>
      <c r="AK811" s="0" t="s">
        <v>82</v>
      </c>
      <c r="AL811" s="0" t="s">
        <v>63</v>
      </c>
    </row>
    <row r="812" customFormat="false" ht="15" hidden="false" customHeight="false" outlineLevel="0" collapsed="false">
      <c r="A812" s="1" t="n">
        <v>45964</v>
      </c>
      <c r="B812" s="0" t="s">
        <v>1918</v>
      </c>
      <c r="C812" s="0" t="s">
        <v>42</v>
      </c>
      <c r="D812" s="0" t="n">
        <v>8067293719</v>
      </c>
      <c r="E812" s="0" t="s">
        <v>67</v>
      </c>
      <c r="F812" s="0" t="s">
        <v>1088</v>
      </c>
      <c r="G812" s="0" t="s">
        <v>107</v>
      </c>
      <c r="H812" s="0" t="s">
        <v>153</v>
      </c>
      <c r="I812" s="0" t="s">
        <v>47</v>
      </c>
      <c r="J812" s="0" t="s">
        <v>90</v>
      </c>
      <c r="K812" s="0" t="n">
        <v>96606</v>
      </c>
      <c r="L812" s="0" t="s">
        <v>124</v>
      </c>
      <c r="M812" s="0" t="s">
        <v>50</v>
      </c>
      <c r="N812" s="0" t="n">
        <v>1</v>
      </c>
      <c r="O812" s="0" t="n">
        <v>4.7</v>
      </c>
      <c r="P812" s="0" t="s">
        <v>111</v>
      </c>
      <c r="Q812" s="0" t="s">
        <v>93</v>
      </c>
      <c r="R812" s="0" t="s">
        <v>136</v>
      </c>
      <c r="S812" s="0" t="s">
        <v>147</v>
      </c>
      <c r="U812" s="0" t="s">
        <v>160</v>
      </c>
      <c r="V812" s="0" t="s">
        <v>56</v>
      </c>
      <c r="W812" s="0" t="s">
        <v>113</v>
      </c>
      <c r="X812" s="0" t="s">
        <v>196</v>
      </c>
      <c r="Y812" s="0" t="s">
        <v>156</v>
      </c>
      <c r="Z812" s="0" t="s">
        <v>161</v>
      </c>
      <c r="AA812" s="0" t="n">
        <v>40000</v>
      </c>
      <c r="AB812" s="0" t="n">
        <v>20000</v>
      </c>
      <c r="AC812" s="0" t="s">
        <v>50</v>
      </c>
      <c r="AF812" s="0" t="s">
        <v>1919</v>
      </c>
      <c r="AG812" s="0" t="s">
        <v>82</v>
      </c>
      <c r="AH812" s="0" t="s">
        <v>116</v>
      </c>
      <c r="AI812" s="0" t="s">
        <v>117</v>
      </c>
      <c r="AJ812" s="0" t="s">
        <v>50</v>
      </c>
      <c r="AK812" s="0" t="s">
        <v>50</v>
      </c>
      <c r="AM812" s="0" t="s">
        <v>64</v>
      </c>
    </row>
    <row r="813" customFormat="false" ht="15" hidden="false" customHeight="false" outlineLevel="0" collapsed="false">
      <c r="A813" s="1" t="n">
        <v>45692</v>
      </c>
      <c r="B813" s="0" t="s">
        <v>1920</v>
      </c>
      <c r="C813" s="0" t="s">
        <v>42</v>
      </c>
      <c r="D813" s="0" t="n">
        <v>8043939802</v>
      </c>
      <c r="E813" s="0" t="s">
        <v>67</v>
      </c>
      <c r="F813" s="0" t="s">
        <v>1921</v>
      </c>
      <c r="G813" s="0" t="s">
        <v>87</v>
      </c>
      <c r="H813" s="0" t="s">
        <v>146</v>
      </c>
      <c r="I813" s="0" t="s">
        <v>89</v>
      </c>
      <c r="J813" s="0" t="s">
        <v>48</v>
      </c>
      <c r="K813" s="0" t="n">
        <v>97209</v>
      </c>
      <c r="L813" s="0" t="s">
        <v>166</v>
      </c>
      <c r="M813" s="0" t="s">
        <v>50</v>
      </c>
      <c r="N813" s="0" t="n">
        <v>1</v>
      </c>
      <c r="O813" s="0" t="n">
        <v>4.8</v>
      </c>
      <c r="P813" s="0" t="s">
        <v>111</v>
      </c>
      <c r="Q813" s="0" t="s">
        <v>73</v>
      </c>
      <c r="S813" s="0" t="s">
        <v>95</v>
      </c>
      <c r="T813" s="0" t="n">
        <v>45</v>
      </c>
      <c r="U813" s="0" t="s">
        <v>96</v>
      </c>
      <c r="V813" s="0" t="s">
        <v>77</v>
      </c>
      <c r="W813" s="0" t="s">
        <v>98</v>
      </c>
      <c r="X813" s="0" t="s">
        <v>58</v>
      </c>
      <c r="Y813" s="0" t="s">
        <v>177</v>
      </c>
      <c r="Z813" s="0" t="s">
        <v>143</v>
      </c>
      <c r="AA813" s="0" t="n">
        <v>25000</v>
      </c>
      <c r="AB813" s="0" t="n">
        <v>35000</v>
      </c>
      <c r="AC813" s="0" t="s">
        <v>82</v>
      </c>
      <c r="AD813" s="0" t="n">
        <v>5000</v>
      </c>
      <c r="AE813" s="0" t="s">
        <v>60</v>
      </c>
      <c r="AF813" s="0" t="s">
        <v>805</v>
      </c>
      <c r="AG813" s="0" t="s">
        <v>82</v>
      </c>
      <c r="AH813" s="0" t="s">
        <v>171</v>
      </c>
      <c r="AI813" s="0" t="s">
        <v>172</v>
      </c>
      <c r="AJ813" s="0" t="s">
        <v>50</v>
      </c>
      <c r="AK813" s="0" t="s">
        <v>61</v>
      </c>
      <c r="AL813" s="0" t="s">
        <v>102</v>
      </c>
      <c r="AM813" s="0" t="s">
        <v>83</v>
      </c>
      <c r="AN813" s="0" t="s">
        <v>50</v>
      </c>
    </row>
    <row r="814" customFormat="false" ht="15" hidden="false" customHeight="false" outlineLevel="0" collapsed="false">
      <c r="A814" s="1" t="n">
        <v>45732</v>
      </c>
      <c r="B814" s="0" t="s">
        <v>1922</v>
      </c>
      <c r="C814" s="0" t="s">
        <v>105</v>
      </c>
      <c r="D814" s="0" t="n">
        <v>8050563223</v>
      </c>
      <c r="E814" s="0" t="s">
        <v>139</v>
      </c>
      <c r="F814" s="0" t="s">
        <v>1923</v>
      </c>
      <c r="G814" s="0" t="s">
        <v>45</v>
      </c>
      <c r="I814" s="0" t="s">
        <v>154</v>
      </c>
      <c r="J814" s="0" t="s">
        <v>71</v>
      </c>
      <c r="K814" s="0" t="n">
        <v>96411</v>
      </c>
      <c r="L814" s="0" t="s">
        <v>72</v>
      </c>
      <c r="M814" s="0" t="s">
        <v>63</v>
      </c>
      <c r="N814" s="0" t="n">
        <v>4</v>
      </c>
      <c r="O814" s="0" t="n">
        <v>5.7</v>
      </c>
      <c r="P814" s="0" t="s">
        <v>51</v>
      </c>
      <c r="Q814" s="0" t="s">
        <v>73</v>
      </c>
      <c r="R814" s="0" t="s">
        <v>159</v>
      </c>
      <c r="S814" s="0" t="s">
        <v>147</v>
      </c>
      <c r="T814" s="0" t="n">
        <v>15</v>
      </c>
      <c r="U814" s="0" t="s">
        <v>96</v>
      </c>
      <c r="V814" s="0" t="s">
        <v>155</v>
      </c>
      <c r="W814" s="0" t="s">
        <v>128</v>
      </c>
      <c r="X814" s="0" t="s">
        <v>137</v>
      </c>
      <c r="Y814" s="0" t="s">
        <v>177</v>
      </c>
      <c r="Z814" s="0" t="s">
        <v>143</v>
      </c>
      <c r="AA814" s="0" t="s">
        <v>150</v>
      </c>
      <c r="AB814" s="0" t="s">
        <v>178</v>
      </c>
      <c r="AE814" s="0" t="s">
        <v>184</v>
      </c>
      <c r="AF814" s="1" t="n">
        <v>45996</v>
      </c>
      <c r="AG814" s="0" t="s">
        <v>63</v>
      </c>
      <c r="AH814" s="0" t="s">
        <v>116</v>
      </c>
      <c r="AJ814" s="0" t="s">
        <v>62</v>
      </c>
      <c r="AK814" s="0" t="s">
        <v>82</v>
      </c>
      <c r="AL814" s="0" t="s">
        <v>50</v>
      </c>
      <c r="AM814" s="0" t="s">
        <v>64</v>
      </c>
    </row>
    <row r="815" customFormat="false" ht="15" hidden="false" customHeight="false" outlineLevel="0" collapsed="false">
      <c r="A815" s="1" t="n">
        <v>45789</v>
      </c>
      <c r="B815" s="0" t="s">
        <v>1924</v>
      </c>
      <c r="C815" s="0" t="s">
        <v>121</v>
      </c>
      <c r="D815" s="0" t="n">
        <v>8077195678</v>
      </c>
      <c r="E815" s="0" t="s">
        <v>85</v>
      </c>
      <c r="F815" s="0" t="s">
        <v>1925</v>
      </c>
      <c r="G815" s="0" t="s">
        <v>107</v>
      </c>
      <c r="H815" s="0" t="s">
        <v>165</v>
      </c>
      <c r="I815" s="0" t="s">
        <v>189</v>
      </c>
      <c r="J815" s="0" t="s">
        <v>48</v>
      </c>
      <c r="K815" s="0" t="n">
        <v>13595</v>
      </c>
      <c r="L815" s="0" t="s">
        <v>72</v>
      </c>
      <c r="M815" s="0" t="s">
        <v>63</v>
      </c>
      <c r="N815" s="0" t="n">
        <v>4</v>
      </c>
      <c r="O815" s="0" t="n">
        <v>4.8</v>
      </c>
      <c r="P815" s="0" t="s">
        <v>125</v>
      </c>
      <c r="Q815" s="0" t="s">
        <v>73</v>
      </c>
      <c r="R815" s="0" t="s">
        <v>74</v>
      </c>
      <c r="S815" s="0" t="s">
        <v>147</v>
      </c>
      <c r="T815" s="0" t="s">
        <v>127</v>
      </c>
      <c r="U815" s="0" t="s">
        <v>112</v>
      </c>
      <c r="V815" s="0" t="s">
        <v>155</v>
      </c>
      <c r="W815" s="0" t="s">
        <v>98</v>
      </c>
      <c r="X815" s="0" t="s">
        <v>137</v>
      </c>
      <c r="Y815" s="0" t="s">
        <v>197</v>
      </c>
      <c r="Z815" s="0" t="s">
        <v>149</v>
      </c>
      <c r="AA815" s="0" t="n">
        <v>40000</v>
      </c>
      <c r="AB815" s="0" t="n">
        <v>35000</v>
      </c>
      <c r="AC815" s="0" t="s">
        <v>50</v>
      </c>
      <c r="AD815" s="0" t="s">
        <v>115</v>
      </c>
      <c r="AE815" s="0" t="s">
        <v>80</v>
      </c>
      <c r="AG815" s="0" t="s">
        <v>63</v>
      </c>
      <c r="AH815" s="0" t="s">
        <v>116</v>
      </c>
      <c r="AI815" s="0" t="s">
        <v>172</v>
      </c>
      <c r="AJ815" s="0" t="s">
        <v>81</v>
      </c>
      <c r="AK815" s="0" t="s">
        <v>82</v>
      </c>
      <c r="AM815" s="0" t="s">
        <v>103</v>
      </c>
      <c r="AN815" s="0" t="s">
        <v>190</v>
      </c>
    </row>
    <row r="816" customFormat="false" ht="15" hidden="false" customHeight="false" outlineLevel="0" collapsed="false">
      <c r="A816" s="1" t="n">
        <v>45700</v>
      </c>
      <c r="B816" s="0" t="s">
        <v>1926</v>
      </c>
      <c r="C816" s="0" t="s">
        <v>163</v>
      </c>
      <c r="D816" s="0" t="n">
        <v>8081565068</v>
      </c>
      <c r="E816" s="0" t="s">
        <v>139</v>
      </c>
      <c r="F816" s="0" t="s">
        <v>1927</v>
      </c>
      <c r="G816" s="0" t="s">
        <v>134</v>
      </c>
      <c r="H816" s="0" t="s">
        <v>135</v>
      </c>
      <c r="I816" s="0" t="s">
        <v>189</v>
      </c>
      <c r="J816" s="0" t="s">
        <v>48</v>
      </c>
      <c r="K816" s="0" t="n">
        <v>92683</v>
      </c>
      <c r="L816" s="0" t="s">
        <v>72</v>
      </c>
      <c r="M816" s="0" t="s">
        <v>63</v>
      </c>
      <c r="N816" s="0" t="n">
        <v>5</v>
      </c>
      <c r="O816" s="0" t="n">
        <v>5.7</v>
      </c>
      <c r="P816" s="0" t="s">
        <v>125</v>
      </c>
      <c r="Q816" s="0" t="s">
        <v>93</v>
      </c>
      <c r="R816" s="0" t="s">
        <v>159</v>
      </c>
      <c r="S816" s="0" t="s">
        <v>147</v>
      </c>
      <c r="T816" s="0" t="s">
        <v>127</v>
      </c>
      <c r="U816" s="0" t="s">
        <v>112</v>
      </c>
      <c r="V816" s="0" t="s">
        <v>148</v>
      </c>
      <c r="W816" s="0" t="s">
        <v>113</v>
      </c>
      <c r="X816" s="0" t="s">
        <v>196</v>
      </c>
      <c r="Y816" s="0" t="s">
        <v>177</v>
      </c>
      <c r="Z816" s="0" t="s">
        <v>79</v>
      </c>
      <c r="AA816" s="0" t="n">
        <v>40000</v>
      </c>
      <c r="AC816" s="0" t="s">
        <v>82</v>
      </c>
      <c r="AF816" s="1" t="n">
        <v>45932</v>
      </c>
      <c r="AG816" s="0" t="s">
        <v>61</v>
      </c>
      <c r="AI816" s="0" t="s">
        <v>101</v>
      </c>
      <c r="AK816" s="0" t="s">
        <v>82</v>
      </c>
      <c r="AL816" s="0" t="s">
        <v>63</v>
      </c>
    </row>
    <row r="817" customFormat="false" ht="15" hidden="false" customHeight="false" outlineLevel="0" collapsed="false">
      <c r="A817" s="0" t="s">
        <v>489</v>
      </c>
      <c r="B817" s="0" t="s">
        <v>1928</v>
      </c>
      <c r="C817" s="0" t="s">
        <v>121</v>
      </c>
      <c r="D817" s="0" t="n">
        <v>8098380502</v>
      </c>
      <c r="E817" s="0" t="s">
        <v>67</v>
      </c>
      <c r="F817" s="0" t="s">
        <v>1929</v>
      </c>
      <c r="G817" s="0" t="s">
        <v>69</v>
      </c>
      <c r="H817" s="0" t="s">
        <v>70</v>
      </c>
      <c r="I817" s="0" t="s">
        <v>89</v>
      </c>
      <c r="J817" s="0" t="s">
        <v>90</v>
      </c>
      <c r="K817" s="0" t="n">
        <v>115283</v>
      </c>
      <c r="L817" s="0" t="s">
        <v>49</v>
      </c>
      <c r="M817" s="0" t="s">
        <v>50</v>
      </c>
      <c r="O817" s="0" t="n">
        <v>2</v>
      </c>
      <c r="P817" s="0" t="s">
        <v>125</v>
      </c>
      <c r="Q817" s="0" t="s">
        <v>52</v>
      </c>
      <c r="R817" s="0" t="s">
        <v>74</v>
      </c>
      <c r="S817" s="0" t="s">
        <v>126</v>
      </c>
      <c r="T817" s="0" t="s">
        <v>127</v>
      </c>
      <c r="U817" s="0" t="s">
        <v>160</v>
      </c>
      <c r="V817" s="0" t="s">
        <v>56</v>
      </c>
      <c r="W817" s="0" t="s">
        <v>78</v>
      </c>
      <c r="X817" s="0" t="s">
        <v>114</v>
      </c>
      <c r="Y817" s="0" t="s">
        <v>177</v>
      </c>
      <c r="Z817" s="0" t="s">
        <v>161</v>
      </c>
      <c r="AA817" s="0" t="n">
        <v>15000</v>
      </c>
      <c r="AB817" s="0" t="s">
        <v>178</v>
      </c>
      <c r="AC817" s="0" t="s">
        <v>61</v>
      </c>
      <c r="AD817" s="0" t="n">
        <v>5000</v>
      </c>
      <c r="AE817" s="0" t="s">
        <v>80</v>
      </c>
      <c r="AF817" s="0" t="s">
        <v>1563</v>
      </c>
      <c r="AG817" s="0" t="s">
        <v>50</v>
      </c>
      <c r="AI817" s="0" t="s">
        <v>101</v>
      </c>
      <c r="AJ817" s="0" t="s">
        <v>62</v>
      </c>
      <c r="AL817" s="0" t="s">
        <v>50</v>
      </c>
      <c r="AM817" s="0" t="s">
        <v>64</v>
      </c>
    </row>
    <row r="818" customFormat="false" ht="15" hidden="false" customHeight="false" outlineLevel="0" collapsed="false">
      <c r="A818" s="1" t="n">
        <v>45794</v>
      </c>
      <c r="B818" s="0" t="s">
        <v>1930</v>
      </c>
      <c r="C818" s="0" t="s">
        <v>121</v>
      </c>
      <c r="D818" s="0" t="n">
        <v>8061377017</v>
      </c>
      <c r="E818" s="0" t="s">
        <v>43</v>
      </c>
      <c r="F818" s="0" t="s">
        <v>1931</v>
      </c>
      <c r="G818" s="0" t="s">
        <v>69</v>
      </c>
      <c r="H818" s="0" t="s">
        <v>146</v>
      </c>
      <c r="I818" s="0" t="s">
        <v>142</v>
      </c>
      <c r="J818" s="0" t="s">
        <v>71</v>
      </c>
      <c r="K818" s="0" t="n">
        <v>96565</v>
      </c>
      <c r="L818" s="0" t="s">
        <v>124</v>
      </c>
      <c r="M818" s="0" t="s">
        <v>50</v>
      </c>
      <c r="N818" s="0" t="n">
        <v>4</v>
      </c>
      <c r="O818" s="0" t="n">
        <v>4</v>
      </c>
      <c r="P818" s="0" t="s">
        <v>111</v>
      </c>
      <c r="Q818" s="0" t="s">
        <v>52</v>
      </c>
      <c r="R818" s="0" t="s">
        <v>53</v>
      </c>
      <c r="S818" s="0" t="s">
        <v>126</v>
      </c>
      <c r="T818" s="0" t="n">
        <v>45</v>
      </c>
      <c r="U818" s="0" t="s">
        <v>160</v>
      </c>
      <c r="V818" s="0" t="s">
        <v>77</v>
      </c>
      <c r="W818" s="0" t="s">
        <v>128</v>
      </c>
      <c r="X818" s="0" t="s">
        <v>99</v>
      </c>
      <c r="Y818" s="0" t="s">
        <v>156</v>
      </c>
      <c r="AA818" s="0" t="n">
        <v>40000</v>
      </c>
      <c r="AB818" s="0" t="n">
        <v>40000</v>
      </c>
      <c r="AC818" s="0" t="s">
        <v>63</v>
      </c>
      <c r="AD818" s="0" t="s">
        <v>115</v>
      </c>
      <c r="AE818" s="0" t="s">
        <v>130</v>
      </c>
      <c r="AF818" s="1" t="n">
        <v>46019</v>
      </c>
      <c r="AG818" s="0" t="s">
        <v>61</v>
      </c>
      <c r="AH818" s="0" t="s">
        <v>116</v>
      </c>
      <c r="AJ818" s="0" t="s">
        <v>62</v>
      </c>
      <c r="AK818" s="0" t="s">
        <v>50</v>
      </c>
      <c r="AM818" s="0" t="s">
        <v>64</v>
      </c>
      <c r="AN818" s="0" t="s">
        <v>50</v>
      </c>
    </row>
    <row r="819" customFormat="false" ht="15" hidden="false" customHeight="false" outlineLevel="0" collapsed="false">
      <c r="A819" s="1" t="n">
        <v>45748</v>
      </c>
      <c r="B819" s="0" t="s">
        <v>1932</v>
      </c>
      <c r="C819" s="0" t="s">
        <v>163</v>
      </c>
      <c r="D819" s="0" t="n">
        <v>8088662295</v>
      </c>
      <c r="E819" s="0" t="s">
        <v>43</v>
      </c>
      <c r="F819" s="0" t="s">
        <v>1933</v>
      </c>
      <c r="G819" s="0" t="s">
        <v>87</v>
      </c>
      <c r="H819" s="0" t="s">
        <v>170</v>
      </c>
      <c r="I819" s="0" t="s">
        <v>154</v>
      </c>
      <c r="J819" s="0" t="s">
        <v>48</v>
      </c>
      <c r="K819" s="0" t="n">
        <v>92283</v>
      </c>
      <c r="L819" s="0" t="s">
        <v>110</v>
      </c>
      <c r="M819" s="0" t="s">
        <v>63</v>
      </c>
      <c r="N819" s="0" t="n">
        <v>2</v>
      </c>
      <c r="O819" s="0" t="n">
        <v>4.7</v>
      </c>
      <c r="P819" s="0" t="s">
        <v>111</v>
      </c>
      <c r="Q819" s="0" t="s">
        <v>73</v>
      </c>
      <c r="R819" s="0" t="s">
        <v>94</v>
      </c>
      <c r="S819" s="0" t="s">
        <v>147</v>
      </c>
      <c r="U819" s="0" t="s">
        <v>96</v>
      </c>
      <c r="V819" s="0" t="s">
        <v>97</v>
      </c>
      <c r="W819" s="0" t="s">
        <v>57</v>
      </c>
      <c r="X819" s="0" t="s">
        <v>137</v>
      </c>
      <c r="AA819" s="0" t="s">
        <v>150</v>
      </c>
      <c r="AC819" s="0" t="s">
        <v>61</v>
      </c>
      <c r="AE819" s="0" t="s">
        <v>184</v>
      </c>
      <c r="AF819" s="1" t="n">
        <v>45833</v>
      </c>
      <c r="AG819" s="0" t="s">
        <v>50</v>
      </c>
      <c r="AI819" s="0" t="s">
        <v>172</v>
      </c>
      <c r="AJ819" s="0" t="s">
        <v>81</v>
      </c>
      <c r="AL819" s="0" t="s">
        <v>63</v>
      </c>
      <c r="AN819" s="0" t="s">
        <v>63</v>
      </c>
    </row>
    <row r="820" customFormat="false" ht="15" hidden="false" customHeight="false" outlineLevel="0" collapsed="false">
      <c r="A820" s="0" t="s">
        <v>1934</v>
      </c>
      <c r="B820" s="0" t="s">
        <v>1935</v>
      </c>
      <c r="C820" s="0" t="s">
        <v>42</v>
      </c>
      <c r="D820" s="0" t="n">
        <v>8051336223</v>
      </c>
      <c r="E820" s="0" t="s">
        <v>139</v>
      </c>
      <c r="F820" s="0" t="s">
        <v>1936</v>
      </c>
      <c r="G820" s="0" t="s">
        <v>69</v>
      </c>
      <c r="H820" s="0" t="s">
        <v>146</v>
      </c>
      <c r="I820" s="0" t="s">
        <v>189</v>
      </c>
      <c r="J820" s="0" t="s">
        <v>48</v>
      </c>
      <c r="K820" s="0" t="n">
        <v>44012</v>
      </c>
      <c r="L820" s="0" t="s">
        <v>91</v>
      </c>
      <c r="M820" s="0" t="s">
        <v>50</v>
      </c>
      <c r="N820" s="0" t="n">
        <v>4</v>
      </c>
      <c r="O820" s="0" t="n">
        <v>1.6</v>
      </c>
      <c r="Q820" s="0" t="s">
        <v>93</v>
      </c>
      <c r="R820" s="0" t="s">
        <v>136</v>
      </c>
      <c r="S820" s="0" t="s">
        <v>167</v>
      </c>
      <c r="T820" s="0" t="n">
        <v>60</v>
      </c>
      <c r="U820" s="0" t="s">
        <v>112</v>
      </c>
      <c r="V820" s="0" t="s">
        <v>56</v>
      </c>
      <c r="W820" s="0" t="s">
        <v>128</v>
      </c>
      <c r="X820" s="0" t="s">
        <v>114</v>
      </c>
      <c r="Y820" s="0" t="s">
        <v>156</v>
      </c>
      <c r="Z820" s="0" t="s">
        <v>149</v>
      </c>
      <c r="AA820" s="0" t="n">
        <v>25000</v>
      </c>
      <c r="AB820" s="0" t="n">
        <v>35000</v>
      </c>
      <c r="AC820" s="0" t="s">
        <v>50</v>
      </c>
      <c r="AD820" s="0" t="n">
        <v>10000</v>
      </c>
      <c r="AE820" s="0" t="s">
        <v>184</v>
      </c>
      <c r="AF820" s="1" t="n">
        <v>45727</v>
      </c>
      <c r="AG820" s="0" t="s">
        <v>61</v>
      </c>
      <c r="AJ820" s="0" t="s">
        <v>50</v>
      </c>
      <c r="AK820" s="0" t="s">
        <v>61</v>
      </c>
      <c r="AM820" s="0" t="s">
        <v>83</v>
      </c>
    </row>
    <row r="821" customFormat="false" ht="15" hidden="false" customHeight="false" outlineLevel="0" collapsed="false">
      <c r="A821" s="1" t="n">
        <v>45763</v>
      </c>
      <c r="B821" s="0" t="s">
        <v>1937</v>
      </c>
      <c r="C821" s="0" t="s">
        <v>42</v>
      </c>
      <c r="D821" s="0" t="n">
        <v>8065245223</v>
      </c>
      <c r="E821" s="0" t="s">
        <v>67</v>
      </c>
      <c r="F821" s="0" t="s">
        <v>1236</v>
      </c>
      <c r="G821" s="0" t="s">
        <v>69</v>
      </c>
      <c r="H821" s="0" t="s">
        <v>272</v>
      </c>
      <c r="I821" s="0" t="s">
        <v>154</v>
      </c>
      <c r="J821" s="0" t="s">
        <v>109</v>
      </c>
      <c r="K821" s="0" t="n">
        <v>22462</v>
      </c>
      <c r="L821" s="0" t="s">
        <v>110</v>
      </c>
      <c r="M821" s="0" t="s">
        <v>63</v>
      </c>
      <c r="N821" s="0" t="n">
        <v>4</v>
      </c>
      <c r="O821" s="0" t="n">
        <v>2</v>
      </c>
      <c r="P821" s="0" t="s">
        <v>51</v>
      </c>
      <c r="Q821" s="0" t="s">
        <v>73</v>
      </c>
      <c r="R821" s="0" t="s">
        <v>74</v>
      </c>
      <c r="S821" s="0" t="s">
        <v>75</v>
      </c>
      <c r="T821" s="0" t="n">
        <v>15</v>
      </c>
      <c r="U821" s="0" t="s">
        <v>76</v>
      </c>
      <c r="V821" s="0" t="s">
        <v>77</v>
      </c>
      <c r="W821" s="0" t="s">
        <v>78</v>
      </c>
      <c r="X821" s="0" t="s">
        <v>137</v>
      </c>
      <c r="Y821" s="0" t="s">
        <v>59</v>
      </c>
      <c r="Z821" s="0" t="s">
        <v>129</v>
      </c>
      <c r="AA821" s="0" t="s">
        <v>150</v>
      </c>
      <c r="AB821" s="0" t="s">
        <v>178</v>
      </c>
      <c r="AC821" s="0" t="s">
        <v>50</v>
      </c>
      <c r="AD821" s="0" t="s">
        <v>115</v>
      </c>
      <c r="AE821" s="0" t="s">
        <v>80</v>
      </c>
      <c r="AF821" s="1" t="n">
        <v>45669</v>
      </c>
      <c r="AL821" s="0" t="s">
        <v>102</v>
      </c>
      <c r="AM821" s="0" t="s">
        <v>103</v>
      </c>
      <c r="AN821" s="0" t="s">
        <v>190</v>
      </c>
    </row>
    <row r="822" customFormat="false" ht="15" hidden="false" customHeight="false" outlineLevel="0" collapsed="false">
      <c r="A822" s="1" t="n">
        <v>45713</v>
      </c>
      <c r="B822" s="0" t="s">
        <v>1938</v>
      </c>
      <c r="C822" s="0" t="s">
        <v>163</v>
      </c>
      <c r="D822" s="0" t="n">
        <v>8021928391</v>
      </c>
      <c r="E822" s="0" t="s">
        <v>67</v>
      </c>
      <c r="F822" s="0" t="s">
        <v>1939</v>
      </c>
      <c r="G822" s="0" t="s">
        <v>107</v>
      </c>
      <c r="H822" s="0" t="s">
        <v>153</v>
      </c>
      <c r="I822" s="0" t="s">
        <v>47</v>
      </c>
      <c r="J822" s="0" t="s">
        <v>71</v>
      </c>
      <c r="K822" s="0" t="n">
        <v>81532</v>
      </c>
      <c r="L822" s="0" t="s">
        <v>72</v>
      </c>
      <c r="M822" s="0" t="s">
        <v>50</v>
      </c>
      <c r="N822" s="0" t="n">
        <v>2</v>
      </c>
      <c r="O822" s="0" t="n">
        <v>2.6</v>
      </c>
      <c r="P822" s="0" t="s">
        <v>125</v>
      </c>
      <c r="Q822" s="0" t="s">
        <v>93</v>
      </c>
      <c r="R822" s="0" t="s">
        <v>53</v>
      </c>
      <c r="S822" s="0" t="s">
        <v>75</v>
      </c>
      <c r="T822" s="0" t="n">
        <v>60</v>
      </c>
      <c r="U822" s="0" t="s">
        <v>55</v>
      </c>
      <c r="V822" s="0" t="s">
        <v>97</v>
      </c>
      <c r="W822" s="0" t="s">
        <v>98</v>
      </c>
      <c r="X822" s="0" t="s">
        <v>99</v>
      </c>
      <c r="Z822" s="0" t="s">
        <v>143</v>
      </c>
      <c r="AB822" s="0" t="n">
        <v>40000</v>
      </c>
      <c r="AC822" s="0" t="s">
        <v>82</v>
      </c>
      <c r="AD822" s="0" t="n">
        <v>5000</v>
      </c>
      <c r="AG822" s="0" t="s">
        <v>61</v>
      </c>
      <c r="AI822" s="0" t="s">
        <v>172</v>
      </c>
      <c r="AJ822" s="0" t="s">
        <v>81</v>
      </c>
      <c r="AK822" s="0" t="s">
        <v>82</v>
      </c>
      <c r="AM822" s="0" t="s">
        <v>103</v>
      </c>
      <c r="AN822" s="0" t="s">
        <v>50</v>
      </c>
    </row>
    <row r="823" customFormat="false" ht="15" hidden="false" customHeight="false" outlineLevel="0" collapsed="false">
      <c r="A823" s="1" t="n">
        <v>45815</v>
      </c>
      <c r="B823" s="0" t="s">
        <v>1940</v>
      </c>
      <c r="C823" s="0" t="s">
        <v>42</v>
      </c>
      <c r="D823" s="0" t="n">
        <v>8024666517</v>
      </c>
      <c r="E823" s="0" t="s">
        <v>122</v>
      </c>
      <c r="F823" s="0" t="s">
        <v>665</v>
      </c>
      <c r="G823" s="0" t="s">
        <v>134</v>
      </c>
      <c r="H823" s="0" t="s">
        <v>153</v>
      </c>
      <c r="I823" s="0" t="s">
        <v>89</v>
      </c>
      <c r="J823" s="0" t="s">
        <v>109</v>
      </c>
      <c r="K823" s="0" t="n">
        <v>114750</v>
      </c>
      <c r="L823" s="0" t="s">
        <v>110</v>
      </c>
      <c r="M823" s="0" t="s">
        <v>63</v>
      </c>
      <c r="N823" s="0" t="n">
        <v>2</v>
      </c>
      <c r="O823" s="0" t="n">
        <v>2.2</v>
      </c>
      <c r="P823" s="0" t="s">
        <v>125</v>
      </c>
      <c r="Q823" s="0" t="s">
        <v>93</v>
      </c>
      <c r="R823" s="0" t="s">
        <v>159</v>
      </c>
      <c r="S823" s="0" t="s">
        <v>75</v>
      </c>
      <c r="U823" s="0" t="s">
        <v>160</v>
      </c>
      <c r="V823" s="0" t="s">
        <v>77</v>
      </c>
      <c r="W823" s="0" t="s">
        <v>98</v>
      </c>
      <c r="X823" s="0" t="s">
        <v>99</v>
      </c>
      <c r="Y823" s="0" t="s">
        <v>177</v>
      </c>
      <c r="Z823" s="0" t="s">
        <v>149</v>
      </c>
      <c r="AA823" s="0" t="n">
        <v>40000</v>
      </c>
      <c r="AC823" s="0" t="s">
        <v>50</v>
      </c>
      <c r="AD823" s="0" t="s">
        <v>115</v>
      </c>
      <c r="AE823" s="0" t="s">
        <v>60</v>
      </c>
      <c r="AF823" s="1" t="n">
        <v>45889</v>
      </c>
      <c r="AG823" s="0" t="s">
        <v>50</v>
      </c>
      <c r="AH823" s="0" t="s">
        <v>171</v>
      </c>
      <c r="AK823" s="0" t="s">
        <v>82</v>
      </c>
      <c r="AM823" s="0" t="s">
        <v>83</v>
      </c>
    </row>
    <row r="824" customFormat="false" ht="15" hidden="false" customHeight="false" outlineLevel="0" collapsed="false">
      <c r="A824" s="1" t="n">
        <v>45799</v>
      </c>
      <c r="B824" s="0" t="s">
        <v>1941</v>
      </c>
      <c r="C824" s="0" t="s">
        <v>121</v>
      </c>
      <c r="D824" s="0" t="n">
        <v>8095386667</v>
      </c>
      <c r="E824" s="0" t="s">
        <v>85</v>
      </c>
      <c r="F824" s="0" t="s">
        <v>1942</v>
      </c>
      <c r="G824" s="0" t="s">
        <v>107</v>
      </c>
      <c r="H824" s="0" t="s">
        <v>88</v>
      </c>
      <c r="I824" s="0" t="s">
        <v>154</v>
      </c>
      <c r="J824" s="0" t="s">
        <v>109</v>
      </c>
      <c r="K824" s="0" t="n">
        <v>20969</v>
      </c>
      <c r="L824" s="0" t="s">
        <v>72</v>
      </c>
      <c r="M824" s="0" t="s">
        <v>63</v>
      </c>
      <c r="N824" s="0" t="n">
        <v>2</v>
      </c>
      <c r="O824" s="0" t="n">
        <v>3.7</v>
      </c>
      <c r="P824" s="0" t="s">
        <v>125</v>
      </c>
      <c r="Q824" s="0" t="s">
        <v>52</v>
      </c>
      <c r="R824" s="0" t="s">
        <v>74</v>
      </c>
      <c r="S824" s="0" t="s">
        <v>95</v>
      </c>
      <c r="T824" s="0" t="n">
        <v>60</v>
      </c>
      <c r="U824" s="0" t="s">
        <v>96</v>
      </c>
      <c r="V824" s="0" t="s">
        <v>155</v>
      </c>
      <c r="W824" s="0" t="s">
        <v>78</v>
      </c>
      <c r="X824" s="0" t="s">
        <v>196</v>
      </c>
      <c r="Z824" s="0" t="s">
        <v>129</v>
      </c>
      <c r="AA824" s="0" t="s">
        <v>150</v>
      </c>
      <c r="AB824" s="0" t="n">
        <v>40000</v>
      </c>
      <c r="AD824" s="0" t="n">
        <v>10000</v>
      </c>
      <c r="AF824" s="0" t="s">
        <v>1909</v>
      </c>
      <c r="AG824" s="0" t="s">
        <v>50</v>
      </c>
      <c r="AI824" s="0" t="s">
        <v>172</v>
      </c>
      <c r="AJ824" s="0" t="s">
        <v>50</v>
      </c>
      <c r="AK824" s="0" t="s">
        <v>82</v>
      </c>
      <c r="AM824" s="0" t="s">
        <v>64</v>
      </c>
      <c r="AN824" s="0" t="s">
        <v>50</v>
      </c>
    </row>
    <row r="825" customFormat="false" ht="15" hidden="false" customHeight="false" outlineLevel="0" collapsed="false">
      <c r="A825" s="1" t="n">
        <v>45687</v>
      </c>
      <c r="B825" s="0" t="s">
        <v>1943</v>
      </c>
      <c r="C825" s="0" t="s">
        <v>42</v>
      </c>
      <c r="D825" s="0" t="n">
        <v>8086854640</v>
      </c>
      <c r="E825" s="0" t="s">
        <v>43</v>
      </c>
      <c r="F825" s="0" t="s">
        <v>460</v>
      </c>
      <c r="G825" s="0" t="s">
        <v>107</v>
      </c>
      <c r="H825" s="0" t="s">
        <v>165</v>
      </c>
      <c r="I825" s="0" t="s">
        <v>47</v>
      </c>
      <c r="J825" s="0" t="s">
        <v>48</v>
      </c>
      <c r="K825" s="0" t="n">
        <v>40829</v>
      </c>
      <c r="L825" s="0" t="s">
        <v>91</v>
      </c>
      <c r="M825" s="0" t="s">
        <v>63</v>
      </c>
      <c r="N825" s="0" t="n">
        <v>5</v>
      </c>
      <c r="O825" s="0" t="n">
        <v>3.5</v>
      </c>
      <c r="P825" s="0" t="s">
        <v>111</v>
      </c>
      <c r="Q825" s="0" t="s">
        <v>52</v>
      </c>
      <c r="R825" s="0" t="s">
        <v>136</v>
      </c>
      <c r="S825" s="0" t="s">
        <v>95</v>
      </c>
      <c r="T825" s="0" t="n">
        <v>30</v>
      </c>
      <c r="U825" s="0" t="s">
        <v>55</v>
      </c>
      <c r="V825" s="0" t="s">
        <v>148</v>
      </c>
      <c r="W825" s="0" t="s">
        <v>57</v>
      </c>
      <c r="X825" s="0" t="s">
        <v>99</v>
      </c>
      <c r="Y825" s="0" t="s">
        <v>59</v>
      </c>
      <c r="Z825" s="0" t="s">
        <v>143</v>
      </c>
      <c r="AA825" s="0" t="n">
        <v>25000</v>
      </c>
      <c r="AB825" s="0" t="n">
        <v>35000</v>
      </c>
      <c r="AC825" s="0" t="s">
        <v>82</v>
      </c>
      <c r="AD825" s="0" t="n">
        <v>5000</v>
      </c>
      <c r="AF825" s="1" t="n">
        <v>45889</v>
      </c>
      <c r="AH825" s="0" t="s">
        <v>171</v>
      </c>
      <c r="AI825" s="0" t="s">
        <v>117</v>
      </c>
      <c r="AJ825" s="0" t="s">
        <v>63</v>
      </c>
      <c r="AK825" s="0" t="s">
        <v>63</v>
      </c>
      <c r="AL825" s="0" t="s">
        <v>50</v>
      </c>
      <c r="AN825" s="0" t="s">
        <v>190</v>
      </c>
    </row>
    <row r="826" customFormat="false" ht="15" hidden="false" customHeight="false" outlineLevel="0" collapsed="false">
      <c r="A826" s="1" t="n">
        <v>45718</v>
      </c>
      <c r="B826" s="0" t="s">
        <v>1944</v>
      </c>
      <c r="C826" s="0" t="s">
        <v>66</v>
      </c>
      <c r="D826" s="0" t="n">
        <v>8056223620</v>
      </c>
      <c r="E826" s="0" t="s">
        <v>85</v>
      </c>
      <c r="F826" s="0" t="s">
        <v>1945</v>
      </c>
      <c r="G826" s="0" t="s">
        <v>134</v>
      </c>
      <c r="H826" s="0" t="s">
        <v>176</v>
      </c>
      <c r="I826" s="0" t="s">
        <v>47</v>
      </c>
      <c r="K826" s="0" t="n">
        <v>58414</v>
      </c>
      <c r="L826" s="0" t="s">
        <v>49</v>
      </c>
      <c r="M826" s="0" t="s">
        <v>63</v>
      </c>
      <c r="N826" s="0" t="n">
        <v>2</v>
      </c>
      <c r="O826" s="0" t="n">
        <v>2.4</v>
      </c>
      <c r="P826" s="0" t="s">
        <v>51</v>
      </c>
      <c r="Q826" s="0" t="s">
        <v>73</v>
      </c>
      <c r="R826" s="0" t="s">
        <v>94</v>
      </c>
      <c r="S826" s="0" t="s">
        <v>147</v>
      </c>
      <c r="T826" s="0" t="n">
        <v>15</v>
      </c>
      <c r="U826" s="0" t="s">
        <v>112</v>
      </c>
      <c r="V826" s="0" t="s">
        <v>56</v>
      </c>
      <c r="W826" s="0" t="s">
        <v>98</v>
      </c>
      <c r="X826" s="0" t="s">
        <v>58</v>
      </c>
      <c r="Y826" s="0" t="s">
        <v>156</v>
      </c>
      <c r="Z826" s="0" t="s">
        <v>79</v>
      </c>
      <c r="AA826" s="0" t="n">
        <v>15000</v>
      </c>
      <c r="AB826" s="0" t="n">
        <v>35000</v>
      </c>
      <c r="AE826" s="0" t="s">
        <v>184</v>
      </c>
      <c r="AF826" s="1" t="n">
        <v>45898</v>
      </c>
      <c r="AG826" s="0" t="s">
        <v>50</v>
      </c>
      <c r="AH826" s="0" t="s">
        <v>116</v>
      </c>
      <c r="AI826" s="0" t="s">
        <v>172</v>
      </c>
      <c r="AJ826" s="0" t="s">
        <v>81</v>
      </c>
      <c r="AM826" s="0" t="s">
        <v>118</v>
      </c>
    </row>
    <row r="827" customFormat="false" ht="15" hidden="false" customHeight="false" outlineLevel="0" collapsed="false">
      <c r="A827" s="1" t="n">
        <v>45747</v>
      </c>
      <c r="B827" s="0" t="s">
        <v>1946</v>
      </c>
      <c r="C827" s="0" t="s">
        <v>121</v>
      </c>
      <c r="D827" s="0" t="n">
        <v>8029154679</v>
      </c>
      <c r="E827" s="0" t="s">
        <v>122</v>
      </c>
      <c r="F827" s="0" t="s">
        <v>1947</v>
      </c>
      <c r="G827" s="0" t="s">
        <v>45</v>
      </c>
      <c r="H827" s="0" t="s">
        <v>176</v>
      </c>
      <c r="I827" s="0" t="s">
        <v>108</v>
      </c>
      <c r="J827" s="0" t="s">
        <v>109</v>
      </c>
      <c r="K827" s="0" t="n">
        <v>99698</v>
      </c>
      <c r="L827" s="0" t="s">
        <v>110</v>
      </c>
      <c r="M827" s="0" t="s">
        <v>50</v>
      </c>
      <c r="N827" s="0" t="n">
        <v>5</v>
      </c>
      <c r="O827" s="0" t="n">
        <v>5.7</v>
      </c>
      <c r="P827" s="0" t="s">
        <v>92</v>
      </c>
      <c r="Q827" s="0" t="s">
        <v>93</v>
      </c>
      <c r="R827" s="0" t="s">
        <v>136</v>
      </c>
      <c r="S827" s="0" t="s">
        <v>126</v>
      </c>
      <c r="T827" s="0" t="n">
        <v>30</v>
      </c>
      <c r="U827" s="0" t="s">
        <v>160</v>
      </c>
      <c r="V827" s="0" t="s">
        <v>77</v>
      </c>
      <c r="W827" s="0" t="s">
        <v>128</v>
      </c>
      <c r="X827" s="0" t="s">
        <v>114</v>
      </c>
      <c r="Y827" s="0" t="s">
        <v>177</v>
      </c>
      <c r="AA827" s="0" t="n">
        <v>15000</v>
      </c>
      <c r="AB827" s="0" t="s">
        <v>178</v>
      </c>
      <c r="AD827" s="0" t="n">
        <v>5000</v>
      </c>
      <c r="AE827" s="0" t="s">
        <v>60</v>
      </c>
      <c r="AF827" s="1" t="n">
        <v>45969</v>
      </c>
      <c r="AH827" s="0" t="s">
        <v>171</v>
      </c>
      <c r="AJ827" s="0" t="s">
        <v>63</v>
      </c>
      <c r="AK827" s="0" t="s">
        <v>63</v>
      </c>
      <c r="AM827" s="0" t="s">
        <v>83</v>
      </c>
    </row>
    <row r="828" customFormat="false" ht="15" hidden="false" customHeight="false" outlineLevel="0" collapsed="false">
      <c r="A828" s="1" t="n">
        <v>45694</v>
      </c>
      <c r="B828" s="0" t="s">
        <v>1948</v>
      </c>
      <c r="C828" s="0" t="s">
        <v>163</v>
      </c>
      <c r="D828" s="0" t="n">
        <v>8046107432</v>
      </c>
      <c r="E828" s="0" t="s">
        <v>122</v>
      </c>
      <c r="F828" s="0" t="s">
        <v>1949</v>
      </c>
      <c r="G828" s="0" t="s">
        <v>87</v>
      </c>
      <c r="H828" s="0" t="s">
        <v>153</v>
      </c>
      <c r="I828" s="0" t="s">
        <v>142</v>
      </c>
      <c r="J828" s="0" t="s">
        <v>90</v>
      </c>
      <c r="K828" s="0" t="n">
        <v>101988</v>
      </c>
      <c r="L828" s="0" t="s">
        <v>124</v>
      </c>
      <c r="M828" s="0" t="s">
        <v>63</v>
      </c>
      <c r="N828" s="0" t="n">
        <v>5</v>
      </c>
      <c r="O828" s="0" t="n">
        <v>1.2</v>
      </c>
      <c r="Q828" s="0" t="s">
        <v>93</v>
      </c>
      <c r="R828" s="0" t="s">
        <v>53</v>
      </c>
      <c r="S828" s="0" t="s">
        <v>54</v>
      </c>
      <c r="T828" s="0" t="n">
        <v>60</v>
      </c>
      <c r="U828" s="0" t="s">
        <v>76</v>
      </c>
      <c r="V828" s="0" t="s">
        <v>77</v>
      </c>
      <c r="W828" s="0" t="s">
        <v>128</v>
      </c>
      <c r="X828" s="0" t="s">
        <v>196</v>
      </c>
      <c r="Z828" s="0" t="s">
        <v>129</v>
      </c>
      <c r="AA828" s="0" t="n">
        <v>30000</v>
      </c>
      <c r="AB828" s="0" t="n">
        <v>35000</v>
      </c>
      <c r="AC828" s="0" t="s">
        <v>61</v>
      </c>
      <c r="AD828" s="0" t="n">
        <v>5000</v>
      </c>
      <c r="AE828" s="0" t="s">
        <v>130</v>
      </c>
      <c r="AF828" s="0" t="s">
        <v>1950</v>
      </c>
      <c r="AG828" s="0" t="s">
        <v>63</v>
      </c>
      <c r="AJ828" s="0" t="s">
        <v>62</v>
      </c>
      <c r="AK828" s="0" t="s">
        <v>50</v>
      </c>
      <c r="AL828" s="0" t="s">
        <v>50</v>
      </c>
      <c r="AM828" s="0" t="s">
        <v>83</v>
      </c>
      <c r="AN828" s="0" t="s">
        <v>198</v>
      </c>
    </row>
    <row r="829" customFormat="false" ht="15" hidden="false" customHeight="false" outlineLevel="0" collapsed="false">
      <c r="A829" s="1" t="n">
        <v>45665</v>
      </c>
      <c r="B829" s="0" t="s">
        <v>1951</v>
      </c>
      <c r="C829" s="0" t="s">
        <v>66</v>
      </c>
      <c r="D829" s="0" t="n">
        <v>8038122043</v>
      </c>
      <c r="E829" s="0" t="s">
        <v>122</v>
      </c>
      <c r="F829" s="0" t="s">
        <v>1952</v>
      </c>
      <c r="G829" s="0" t="s">
        <v>107</v>
      </c>
      <c r="H829" s="0" t="s">
        <v>141</v>
      </c>
      <c r="I829" s="0" t="s">
        <v>47</v>
      </c>
      <c r="J829" s="0" t="s">
        <v>90</v>
      </c>
      <c r="K829" s="0" t="n">
        <v>108425</v>
      </c>
      <c r="L829" s="0" t="s">
        <v>91</v>
      </c>
      <c r="M829" s="0" t="s">
        <v>50</v>
      </c>
      <c r="N829" s="0" t="n">
        <v>4</v>
      </c>
      <c r="O829" s="0" t="n">
        <v>1.8</v>
      </c>
      <c r="Q829" s="0" t="s">
        <v>73</v>
      </c>
      <c r="R829" s="0" t="s">
        <v>94</v>
      </c>
      <c r="S829" s="0" t="s">
        <v>54</v>
      </c>
      <c r="T829" s="0" t="n">
        <v>15</v>
      </c>
      <c r="U829" s="0" t="s">
        <v>76</v>
      </c>
      <c r="V829" s="0" t="s">
        <v>56</v>
      </c>
      <c r="W829" s="0" t="s">
        <v>98</v>
      </c>
      <c r="X829" s="0" t="s">
        <v>58</v>
      </c>
      <c r="Y829" s="0" t="s">
        <v>156</v>
      </c>
      <c r="Z829" s="0" t="s">
        <v>129</v>
      </c>
      <c r="AA829" s="0" t="n">
        <v>25000</v>
      </c>
      <c r="AD829" s="0" t="n">
        <v>0</v>
      </c>
      <c r="AE829" s="0" t="s">
        <v>184</v>
      </c>
      <c r="AF829" s="1" t="n">
        <v>45937</v>
      </c>
      <c r="AG829" s="0" t="s">
        <v>63</v>
      </c>
      <c r="AI829" s="0" t="s">
        <v>172</v>
      </c>
      <c r="AJ829" s="0" t="s">
        <v>63</v>
      </c>
      <c r="AK829" s="0" t="s">
        <v>61</v>
      </c>
      <c r="AL829" s="0" t="s">
        <v>63</v>
      </c>
      <c r="AN829" s="0" t="s">
        <v>198</v>
      </c>
    </row>
    <row r="830" customFormat="false" ht="15" hidden="false" customHeight="false" outlineLevel="0" collapsed="false">
      <c r="A830" s="1" t="n">
        <v>45690</v>
      </c>
      <c r="B830" s="0" t="s">
        <v>1953</v>
      </c>
      <c r="C830" s="0" t="s">
        <v>121</v>
      </c>
      <c r="D830" s="0" t="n">
        <v>8063414658</v>
      </c>
      <c r="E830" s="0" t="s">
        <v>122</v>
      </c>
      <c r="F830" s="0" t="s">
        <v>1473</v>
      </c>
      <c r="G830" s="0" t="s">
        <v>134</v>
      </c>
      <c r="H830" s="0" t="s">
        <v>70</v>
      </c>
      <c r="I830" s="0" t="s">
        <v>47</v>
      </c>
      <c r="K830" s="0" t="n">
        <v>90636</v>
      </c>
      <c r="L830" s="0" t="s">
        <v>91</v>
      </c>
      <c r="M830" s="0" t="s">
        <v>63</v>
      </c>
      <c r="O830" s="0" t="n">
        <v>2.1</v>
      </c>
      <c r="Q830" s="0" t="s">
        <v>73</v>
      </c>
      <c r="R830" s="0" t="s">
        <v>94</v>
      </c>
      <c r="S830" s="0" t="s">
        <v>75</v>
      </c>
      <c r="T830" s="0" t="n">
        <v>15</v>
      </c>
      <c r="U830" s="0" t="s">
        <v>160</v>
      </c>
      <c r="V830" s="0" t="s">
        <v>155</v>
      </c>
      <c r="W830" s="0" t="s">
        <v>78</v>
      </c>
      <c r="X830" s="0" t="s">
        <v>114</v>
      </c>
      <c r="Y830" s="0" t="s">
        <v>156</v>
      </c>
      <c r="Z830" s="0" t="s">
        <v>161</v>
      </c>
      <c r="AA830" s="0" t="n">
        <v>15000</v>
      </c>
      <c r="AB830" s="0" t="n">
        <v>35000</v>
      </c>
      <c r="AC830" s="0" t="s">
        <v>50</v>
      </c>
      <c r="AD830" s="0" t="n">
        <v>10000</v>
      </c>
      <c r="AE830" s="0" t="s">
        <v>184</v>
      </c>
      <c r="AL830" s="0" t="s">
        <v>50</v>
      </c>
      <c r="AM830" s="0" t="s">
        <v>83</v>
      </c>
      <c r="AN830" s="0" t="s">
        <v>198</v>
      </c>
    </row>
    <row r="831" customFormat="false" ht="15" hidden="false" customHeight="false" outlineLevel="0" collapsed="false">
      <c r="A831" s="1" t="n">
        <v>45694</v>
      </c>
      <c r="B831" s="0" t="s">
        <v>1954</v>
      </c>
      <c r="C831" s="0" t="s">
        <v>105</v>
      </c>
      <c r="D831" s="0" t="n">
        <v>8051352528</v>
      </c>
      <c r="E831" s="0" t="s">
        <v>85</v>
      </c>
      <c r="F831" s="0" t="s">
        <v>1955</v>
      </c>
      <c r="G831" s="0" t="s">
        <v>69</v>
      </c>
      <c r="H831" s="0" t="s">
        <v>165</v>
      </c>
      <c r="I831" s="0" t="s">
        <v>154</v>
      </c>
      <c r="J831" s="0" t="s">
        <v>71</v>
      </c>
      <c r="K831" s="0" t="n">
        <v>84915</v>
      </c>
      <c r="L831" s="0" t="s">
        <v>72</v>
      </c>
      <c r="M831" s="0" t="s">
        <v>50</v>
      </c>
      <c r="N831" s="0" t="n">
        <v>2</v>
      </c>
      <c r="O831" s="0" t="n">
        <v>5.8</v>
      </c>
      <c r="Q831" s="0" t="s">
        <v>52</v>
      </c>
      <c r="R831" s="0" t="s">
        <v>136</v>
      </c>
      <c r="S831" s="0" t="s">
        <v>147</v>
      </c>
      <c r="T831" s="0" t="n">
        <v>15</v>
      </c>
      <c r="U831" s="0" t="s">
        <v>55</v>
      </c>
      <c r="V831" s="0" t="s">
        <v>77</v>
      </c>
      <c r="W831" s="0" t="s">
        <v>78</v>
      </c>
      <c r="X831" s="0" t="s">
        <v>196</v>
      </c>
      <c r="Z831" s="0" t="s">
        <v>149</v>
      </c>
      <c r="AC831" s="0" t="s">
        <v>61</v>
      </c>
      <c r="AD831" s="0" t="n">
        <v>10000</v>
      </c>
      <c r="AE831" s="0" t="s">
        <v>80</v>
      </c>
      <c r="AG831" s="0" t="s">
        <v>50</v>
      </c>
      <c r="AH831" s="0" t="s">
        <v>171</v>
      </c>
      <c r="AJ831" s="0" t="s">
        <v>62</v>
      </c>
      <c r="AK831" s="0" t="s">
        <v>63</v>
      </c>
      <c r="AL831" s="0" t="s">
        <v>63</v>
      </c>
      <c r="AM831" s="0" t="s">
        <v>103</v>
      </c>
      <c r="AN831" s="0" t="s">
        <v>50</v>
      </c>
    </row>
    <row r="832" customFormat="false" ht="15" hidden="false" customHeight="false" outlineLevel="0" collapsed="false">
      <c r="A832" s="1" t="n">
        <v>45718</v>
      </c>
      <c r="B832" s="0" t="s">
        <v>1956</v>
      </c>
      <c r="C832" s="0" t="s">
        <v>42</v>
      </c>
      <c r="D832" s="0" t="n">
        <v>8010861718</v>
      </c>
      <c r="E832" s="0" t="s">
        <v>43</v>
      </c>
      <c r="F832" s="0" t="s">
        <v>1957</v>
      </c>
      <c r="G832" s="0" t="s">
        <v>134</v>
      </c>
      <c r="H832" s="0" t="s">
        <v>170</v>
      </c>
      <c r="I832" s="0" t="s">
        <v>89</v>
      </c>
      <c r="J832" s="0" t="s">
        <v>109</v>
      </c>
      <c r="K832" s="0" t="n">
        <v>77234</v>
      </c>
      <c r="L832" s="0" t="s">
        <v>91</v>
      </c>
      <c r="M832" s="0" t="s">
        <v>50</v>
      </c>
      <c r="N832" s="0" t="n">
        <v>2</v>
      </c>
      <c r="O832" s="0" t="n">
        <v>3.1</v>
      </c>
      <c r="P832" s="0" t="s">
        <v>125</v>
      </c>
      <c r="Q832" s="0" t="s">
        <v>93</v>
      </c>
      <c r="R832" s="0" t="s">
        <v>53</v>
      </c>
      <c r="S832" s="0" t="s">
        <v>54</v>
      </c>
      <c r="T832" s="0" t="n">
        <v>45</v>
      </c>
      <c r="U832" s="0" t="s">
        <v>112</v>
      </c>
      <c r="V832" s="0" t="s">
        <v>97</v>
      </c>
      <c r="W832" s="0" t="s">
        <v>78</v>
      </c>
      <c r="X832" s="0" t="s">
        <v>137</v>
      </c>
      <c r="Y832" s="0" t="s">
        <v>59</v>
      </c>
      <c r="Z832" s="0" t="s">
        <v>149</v>
      </c>
      <c r="AA832" s="0" t="n">
        <v>15000</v>
      </c>
      <c r="AC832" s="0" t="s">
        <v>50</v>
      </c>
      <c r="AE832" s="0" t="s">
        <v>80</v>
      </c>
      <c r="AG832" s="0" t="s">
        <v>50</v>
      </c>
      <c r="AI832" s="0" t="s">
        <v>172</v>
      </c>
      <c r="AJ832" s="0" t="s">
        <v>50</v>
      </c>
      <c r="AK832" s="0" t="s">
        <v>82</v>
      </c>
      <c r="AM832" s="0" t="s">
        <v>64</v>
      </c>
    </row>
    <row r="833" customFormat="false" ht="15" hidden="false" customHeight="false" outlineLevel="0" collapsed="false">
      <c r="A833" s="0" t="s">
        <v>953</v>
      </c>
      <c r="B833" s="0" t="s">
        <v>1958</v>
      </c>
      <c r="C833" s="0" t="s">
        <v>42</v>
      </c>
      <c r="D833" s="0" t="n">
        <v>8032602089</v>
      </c>
      <c r="E833" s="0" t="s">
        <v>122</v>
      </c>
      <c r="F833" s="0" t="s">
        <v>1959</v>
      </c>
      <c r="G833" s="0" t="s">
        <v>69</v>
      </c>
      <c r="H833" s="0" t="s">
        <v>153</v>
      </c>
      <c r="I833" s="0" t="s">
        <v>189</v>
      </c>
      <c r="J833" s="0" t="s">
        <v>90</v>
      </c>
      <c r="K833" s="0" t="n">
        <v>88049</v>
      </c>
      <c r="L833" s="0" t="s">
        <v>110</v>
      </c>
      <c r="M833" s="0" t="s">
        <v>63</v>
      </c>
      <c r="N833" s="0" t="n">
        <v>4</v>
      </c>
      <c r="O833" s="0" t="n">
        <v>2.4</v>
      </c>
      <c r="P833" s="0" t="s">
        <v>51</v>
      </c>
      <c r="Q833" s="0" t="s">
        <v>73</v>
      </c>
      <c r="S833" s="0" t="s">
        <v>54</v>
      </c>
      <c r="T833" s="0" t="n">
        <v>15</v>
      </c>
      <c r="U833" s="0" t="s">
        <v>76</v>
      </c>
      <c r="V833" s="0" t="s">
        <v>155</v>
      </c>
      <c r="W833" s="0" t="s">
        <v>128</v>
      </c>
      <c r="X833" s="0" t="s">
        <v>114</v>
      </c>
      <c r="Z833" s="0" t="s">
        <v>149</v>
      </c>
      <c r="AA833" s="0" t="n">
        <v>25000</v>
      </c>
      <c r="AB833" s="0" t="n">
        <v>35000</v>
      </c>
      <c r="AD833" s="0" t="s">
        <v>115</v>
      </c>
      <c r="AE833" s="0" t="s">
        <v>184</v>
      </c>
      <c r="AF833" s="1" t="n">
        <v>45942</v>
      </c>
      <c r="AG833" s="0" t="s">
        <v>63</v>
      </c>
      <c r="AH833" s="0" t="s">
        <v>171</v>
      </c>
      <c r="AI833" s="0" t="s">
        <v>101</v>
      </c>
      <c r="AJ833" s="0" t="s">
        <v>81</v>
      </c>
      <c r="AM833" s="0" t="s">
        <v>103</v>
      </c>
      <c r="AN833" s="0" t="s">
        <v>50</v>
      </c>
    </row>
    <row r="834" customFormat="false" ht="15" hidden="false" customHeight="false" outlineLevel="0" collapsed="false">
      <c r="A834" s="1" t="n">
        <v>45768</v>
      </c>
      <c r="B834" s="0" t="s">
        <v>1960</v>
      </c>
      <c r="C834" s="0" t="s">
        <v>121</v>
      </c>
      <c r="D834" s="0" t="n">
        <v>8075997979</v>
      </c>
      <c r="E834" s="0" t="s">
        <v>85</v>
      </c>
      <c r="F834" s="0" t="s">
        <v>1961</v>
      </c>
      <c r="G834" s="0" t="s">
        <v>107</v>
      </c>
      <c r="H834" s="0" t="s">
        <v>272</v>
      </c>
      <c r="I834" s="0" t="s">
        <v>108</v>
      </c>
      <c r="J834" s="0" t="s">
        <v>90</v>
      </c>
      <c r="K834" s="0" t="n">
        <v>76120</v>
      </c>
      <c r="L834" s="0" t="s">
        <v>124</v>
      </c>
      <c r="M834" s="0" t="s">
        <v>50</v>
      </c>
      <c r="N834" s="0" t="n">
        <v>4</v>
      </c>
      <c r="O834" s="0" t="n">
        <v>1.9</v>
      </c>
      <c r="Q834" s="0" t="s">
        <v>73</v>
      </c>
      <c r="R834" s="0" t="s">
        <v>136</v>
      </c>
      <c r="S834" s="0" t="s">
        <v>167</v>
      </c>
      <c r="T834" s="0" t="n">
        <v>60</v>
      </c>
      <c r="U834" s="0" t="s">
        <v>96</v>
      </c>
      <c r="V834" s="0" t="s">
        <v>97</v>
      </c>
      <c r="W834" s="0" t="s">
        <v>98</v>
      </c>
      <c r="X834" s="0" t="s">
        <v>99</v>
      </c>
      <c r="Z834" s="0" t="s">
        <v>79</v>
      </c>
      <c r="AA834" s="0" t="n">
        <v>25000</v>
      </c>
      <c r="AB834" s="0" t="n">
        <v>35000</v>
      </c>
      <c r="AE834" s="0" t="s">
        <v>60</v>
      </c>
      <c r="AF834" s="1" t="n">
        <v>45725</v>
      </c>
      <c r="AG834" s="0" t="s">
        <v>82</v>
      </c>
      <c r="AH834" s="0" t="s">
        <v>116</v>
      </c>
      <c r="AI834" s="0" t="s">
        <v>117</v>
      </c>
      <c r="AJ834" s="0" t="s">
        <v>63</v>
      </c>
      <c r="AL834" s="0" t="s">
        <v>50</v>
      </c>
      <c r="AM834" s="0" t="s">
        <v>103</v>
      </c>
      <c r="AN834" s="0" t="s">
        <v>63</v>
      </c>
    </row>
    <row r="835" customFormat="false" ht="15" hidden="false" customHeight="false" outlineLevel="0" collapsed="false">
      <c r="A835" s="1" t="n">
        <v>45666</v>
      </c>
      <c r="B835" s="0" t="s">
        <v>1962</v>
      </c>
      <c r="C835" s="0" t="s">
        <v>66</v>
      </c>
      <c r="D835" s="0" t="n">
        <v>8010211873</v>
      </c>
      <c r="E835" s="0" t="s">
        <v>139</v>
      </c>
      <c r="F835" s="0" t="s">
        <v>1616</v>
      </c>
      <c r="G835" s="0" t="s">
        <v>69</v>
      </c>
      <c r="H835" s="0" t="s">
        <v>272</v>
      </c>
      <c r="I835" s="0" t="s">
        <v>142</v>
      </c>
      <c r="J835" s="0" t="s">
        <v>48</v>
      </c>
      <c r="K835" s="0" t="n">
        <v>112241</v>
      </c>
      <c r="L835" s="0" t="s">
        <v>124</v>
      </c>
      <c r="M835" s="0" t="s">
        <v>50</v>
      </c>
      <c r="O835" s="0" t="n">
        <v>4.6</v>
      </c>
      <c r="P835" s="0" t="s">
        <v>51</v>
      </c>
      <c r="Q835" s="0" t="s">
        <v>93</v>
      </c>
      <c r="R835" s="0" t="s">
        <v>74</v>
      </c>
      <c r="S835" s="0" t="s">
        <v>75</v>
      </c>
      <c r="T835" s="0" t="n">
        <v>45</v>
      </c>
      <c r="U835" s="0" t="s">
        <v>160</v>
      </c>
      <c r="V835" s="0" t="s">
        <v>148</v>
      </c>
      <c r="W835" s="0" t="s">
        <v>98</v>
      </c>
      <c r="X835" s="0" t="s">
        <v>114</v>
      </c>
      <c r="Y835" s="0" t="s">
        <v>197</v>
      </c>
      <c r="Z835" s="0" t="s">
        <v>161</v>
      </c>
      <c r="AB835" s="0" t="n">
        <v>20000</v>
      </c>
      <c r="AC835" s="0" t="s">
        <v>50</v>
      </c>
      <c r="AD835" s="0" t="n">
        <v>5000</v>
      </c>
      <c r="AE835" s="0" t="s">
        <v>60</v>
      </c>
      <c r="AF835" s="1" t="n">
        <v>45892</v>
      </c>
      <c r="AG835" s="0" t="s">
        <v>63</v>
      </c>
      <c r="AJ835" s="0" t="s">
        <v>50</v>
      </c>
      <c r="AK835" s="0" t="s">
        <v>61</v>
      </c>
      <c r="AL835" s="0" t="s">
        <v>50</v>
      </c>
      <c r="AM835" s="0" t="s">
        <v>103</v>
      </c>
      <c r="AN835" s="0" t="s">
        <v>50</v>
      </c>
    </row>
    <row r="836" customFormat="false" ht="15" hidden="false" customHeight="false" outlineLevel="0" collapsed="false">
      <c r="A836" s="1" t="n">
        <v>45778</v>
      </c>
      <c r="B836" s="0" t="s">
        <v>1963</v>
      </c>
      <c r="C836" s="0" t="s">
        <v>105</v>
      </c>
      <c r="D836" s="0" t="n">
        <v>8023001760</v>
      </c>
      <c r="E836" s="0" t="s">
        <v>67</v>
      </c>
      <c r="F836" s="0" t="s">
        <v>1260</v>
      </c>
      <c r="G836" s="0" t="s">
        <v>69</v>
      </c>
      <c r="H836" s="0" t="s">
        <v>141</v>
      </c>
      <c r="I836" s="0" t="s">
        <v>89</v>
      </c>
      <c r="J836" s="0" t="s">
        <v>71</v>
      </c>
      <c r="K836" s="0" t="n">
        <v>86639</v>
      </c>
      <c r="L836" s="0" t="s">
        <v>124</v>
      </c>
      <c r="M836" s="0" t="s">
        <v>50</v>
      </c>
      <c r="N836" s="0" t="n">
        <v>1</v>
      </c>
      <c r="O836" s="0" t="n">
        <v>1</v>
      </c>
      <c r="P836" s="0" t="s">
        <v>51</v>
      </c>
      <c r="Q836" s="0" t="s">
        <v>73</v>
      </c>
      <c r="S836" s="0" t="s">
        <v>126</v>
      </c>
      <c r="T836" s="0" t="s">
        <v>127</v>
      </c>
      <c r="U836" s="0" t="s">
        <v>76</v>
      </c>
      <c r="V836" s="0" t="s">
        <v>56</v>
      </c>
      <c r="W836" s="0" t="s">
        <v>78</v>
      </c>
      <c r="X836" s="0" t="s">
        <v>58</v>
      </c>
      <c r="Y836" s="0" t="s">
        <v>197</v>
      </c>
      <c r="Z836" s="0" t="s">
        <v>143</v>
      </c>
      <c r="AA836" s="0" t="n">
        <v>15000</v>
      </c>
      <c r="AB836" s="0" t="n">
        <v>35000</v>
      </c>
      <c r="AD836" s="0" t="n">
        <v>0</v>
      </c>
      <c r="AF836" s="1" t="n">
        <v>46015</v>
      </c>
      <c r="AG836" s="0" t="s">
        <v>63</v>
      </c>
      <c r="AJ836" s="0" t="s">
        <v>50</v>
      </c>
      <c r="AK836" s="0" t="s">
        <v>61</v>
      </c>
      <c r="AM836" s="0" t="s">
        <v>64</v>
      </c>
      <c r="AN836" s="0" t="s">
        <v>50</v>
      </c>
    </row>
    <row r="837" customFormat="false" ht="15" hidden="false" customHeight="false" outlineLevel="0" collapsed="false">
      <c r="A837" s="1" t="n">
        <v>45674</v>
      </c>
      <c r="B837" s="0" t="s">
        <v>1964</v>
      </c>
      <c r="C837" s="0" t="s">
        <v>121</v>
      </c>
      <c r="D837" s="0" t="n">
        <v>8019373966</v>
      </c>
      <c r="E837" s="0" t="s">
        <v>122</v>
      </c>
      <c r="F837" s="0" t="s">
        <v>1965</v>
      </c>
      <c r="G837" s="0" t="s">
        <v>45</v>
      </c>
      <c r="H837" s="0" t="s">
        <v>242</v>
      </c>
      <c r="I837" s="0" t="s">
        <v>108</v>
      </c>
      <c r="J837" s="0" t="s">
        <v>71</v>
      </c>
      <c r="K837" s="0" t="n">
        <v>68796</v>
      </c>
      <c r="L837" s="0" t="s">
        <v>91</v>
      </c>
      <c r="M837" s="0" t="s">
        <v>63</v>
      </c>
      <c r="N837" s="0" t="n">
        <v>5</v>
      </c>
      <c r="O837" s="0" t="n">
        <v>1.3</v>
      </c>
      <c r="P837" s="0" t="s">
        <v>51</v>
      </c>
      <c r="Q837" s="0" t="s">
        <v>73</v>
      </c>
      <c r="R837" s="0" t="s">
        <v>74</v>
      </c>
      <c r="S837" s="0" t="s">
        <v>95</v>
      </c>
      <c r="T837" s="0" t="n">
        <v>45</v>
      </c>
      <c r="U837" s="0" t="s">
        <v>76</v>
      </c>
      <c r="V837" s="0" t="s">
        <v>77</v>
      </c>
      <c r="W837" s="0" t="s">
        <v>128</v>
      </c>
      <c r="X837" s="0" t="s">
        <v>114</v>
      </c>
      <c r="Z837" s="0" t="s">
        <v>143</v>
      </c>
      <c r="AA837" s="0" t="n">
        <v>15000</v>
      </c>
      <c r="AB837" s="0" t="n">
        <v>35000</v>
      </c>
      <c r="AC837" s="0" t="s">
        <v>63</v>
      </c>
      <c r="AD837" s="0" t="s">
        <v>115</v>
      </c>
      <c r="AE837" s="0" t="s">
        <v>184</v>
      </c>
      <c r="AF837" s="0" t="s">
        <v>645</v>
      </c>
      <c r="AG837" s="0" t="s">
        <v>50</v>
      </c>
      <c r="AH837" s="0" t="s">
        <v>116</v>
      </c>
      <c r="AJ837" s="0" t="s">
        <v>81</v>
      </c>
      <c r="AK837" s="0" t="s">
        <v>50</v>
      </c>
      <c r="AL837" s="0" t="s">
        <v>63</v>
      </c>
      <c r="AM837" s="0" t="s">
        <v>103</v>
      </c>
      <c r="AN837" s="0" t="s">
        <v>50</v>
      </c>
    </row>
    <row r="838" customFormat="false" ht="15" hidden="false" customHeight="false" outlineLevel="0" collapsed="false">
      <c r="A838" s="1" t="n">
        <v>45710</v>
      </c>
      <c r="B838" s="0" t="s">
        <v>1966</v>
      </c>
      <c r="C838" s="0" t="s">
        <v>42</v>
      </c>
      <c r="D838" s="0" t="n">
        <v>8066081482</v>
      </c>
      <c r="E838" s="0" t="s">
        <v>67</v>
      </c>
      <c r="F838" s="0" t="s">
        <v>1967</v>
      </c>
      <c r="G838" s="0" t="s">
        <v>69</v>
      </c>
      <c r="H838" s="0" t="s">
        <v>70</v>
      </c>
      <c r="I838" s="0" t="s">
        <v>142</v>
      </c>
      <c r="K838" s="0" t="n">
        <v>29215</v>
      </c>
      <c r="L838" s="0" t="s">
        <v>166</v>
      </c>
      <c r="M838" s="0" t="s">
        <v>50</v>
      </c>
      <c r="N838" s="0" t="n">
        <v>3</v>
      </c>
      <c r="O838" s="0" t="n">
        <v>1.8</v>
      </c>
      <c r="P838" s="0" t="s">
        <v>51</v>
      </c>
      <c r="Q838" s="0" t="s">
        <v>52</v>
      </c>
      <c r="S838" s="0" t="s">
        <v>95</v>
      </c>
      <c r="T838" s="0" t="n">
        <v>30</v>
      </c>
      <c r="U838" s="0" t="s">
        <v>112</v>
      </c>
      <c r="V838" s="0" t="s">
        <v>148</v>
      </c>
      <c r="W838" s="0" t="s">
        <v>98</v>
      </c>
      <c r="X838" s="0" t="s">
        <v>99</v>
      </c>
      <c r="Y838" s="0" t="s">
        <v>177</v>
      </c>
      <c r="Z838" s="0" t="s">
        <v>143</v>
      </c>
      <c r="AA838" s="0" t="s">
        <v>150</v>
      </c>
      <c r="AB838" s="0" t="n">
        <v>40000</v>
      </c>
      <c r="AC838" s="0" t="s">
        <v>50</v>
      </c>
      <c r="AD838" s="0" t="s">
        <v>115</v>
      </c>
      <c r="AE838" s="0" t="s">
        <v>130</v>
      </c>
      <c r="AF838" s="1" t="n">
        <v>45940</v>
      </c>
      <c r="AG838" s="0" t="s">
        <v>63</v>
      </c>
      <c r="AI838" s="0" t="s">
        <v>172</v>
      </c>
      <c r="AJ838" s="0" t="s">
        <v>50</v>
      </c>
      <c r="AK838" s="0" t="s">
        <v>63</v>
      </c>
      <c r="AM838" s="0" t="s">
        <v>103</v>
      </c>
      <c r="AN838" s="0" t="s">
        <v>63</v>
      </c>
    </row>
    <row r="839" customFormat="false" ht="15" hidden="false" customHeight="false" outlineLevel="0" collapsed="false">
      <c r="A839" s="1" t="n">
        <v>45709</v>
      </c>
      <c r="B839" s="0" t="s">
        <v>1968</v>
      </c>
      <c r="C839" s="0" t="s">
        <v>105</v>
      </c>
      <c r="D839" s="0" t="n">
        <v>8080459205</v>
      </c>
      <c r="E839" s="0" t="s">
        <v>122</v>
      </c>
      <c r="F839" s="0" t="s">
        <v>238</v>
      </c>
      <c r="G839" s="0" t="s">
        <v>69</v>
      </c>
      <c r="H839" s="0" t="s">
        <v>70</v>
      </c>
      <c r="I839" s="0" t="s">
        <v>108</v>
      </c>
      <c r="J839" s="0" t="s">
        <v>48</v>
      </c>
      <c r="K839" s="0" t="n">
        <v>24674</v>
      </c>
      <c r="L839" s="0" t="s">
        <v>110</v>
      </c>
      <c r="M839" s="0" t="s">
        <v>50</v>
      </c>
      <c r="O839" s="0" t="n">
        <v>4.7</v>
      </c>
      <c r="P839" s="0" t="s">
        <v>125</v>
      </c>
      <c r="Q839" s="0" t="s">
        <v>52</v>
      </c>
      <c r="R839" s="0" t="s">
        <v>159</v>
      </c>
      <c r="S839" s="0" t="s">
        <v>54</v>
      </c>
      <c r="T839" s="0" t="n">
        <v>45</v>
      </c>
      <c r="U839" s="0" t="s">
        <v>96</v>
      </c>
      <c r="V839" s="0" t="s">
        <v>155</v>
      </c>
      <c r="W839" s="0" t="s">
        <v>128</v>
      </c>
      <c r="X839" s="0" t="s">
        <v>196</v>
      </c>
      <c r="Y839" s="0" t="s">
        <v>177</v>
      </c>
      <c r="Z839" s="0" t="s">
        <v>129</v>
      </c>
      <c r="AA839" s="0" t="n">
        <v>25000</v>
      </c>
      <c r="AB839" s="0" t="n">
        <v>30000</v>
      </c>
      <c r="AD839" s="0" t="s">
        <v>115</v>
      </c>
      <c r="AE839" s="0" t="s">
        <v>60</v>
      </c>
      <c r="AF839" s="1" t="n">
        <v>45932</v>
      </c>
      <c r="AG839" s="0" t="s">
        <v>50</v>
      </c>
      <c r="AI839" s="0" t="s">
        <v>172</v>
      </c>
      <c r="AJ839" s="0" t="s">
        <v>50</v>
      </c>
      <c r="AL839" s="0" t="s">
        <v>63</v>
      </c>
      <c r="AM839" s="0" t="s">
        <v>118</v>
      </c>
      <c r="AN839" s="0" t="s">
        <v>50</v>
      </c>
    </row>
    <row r="840" customFormat="false" ht="15" hidden="false" customHeight="false" outlineLevel="0" collapsed="false">
      <c r="A840" s="1" t="n">
        <v>45729</v>
      </c>
      <c r="B840" s="0" t="s">
        <v>1969</v>
      </c>
      <c r="C840" s="0" t="s">
        <v>42</v>
      </c>
      <c r="D840" s="0" t="n">
        <v>8065947629</v>
      </c>
      <c r="E840" s="0" t="s">
        <v>67</v>
      </c>
      <c r="F840" s="0" t="s">
        <v>1970</v>
      </c>
      <c r="G840" s="0" t="s">
        <v>134</v>
      </c>
      <c r="H840" s="0" t="s">
        <v>153</v>
      </c>
      <c r="I840" s="0" t="s">
        <v>189</v>
      </c>
      <c r="J840" s="0" t="s">
        <v>109</v>
      </c>
      <c r="K840" s="0" t="n">
        <v>20944</v>
      </c>
      <c r="L840" s="0" t="s">
        <v>166</v>
      </c>
      <c r="M840" s="0" t="s">
        <v>50</v>
      </c>
      <c r="N840" s="0" t="n">
        <v>1</v>
      </c>
      <c r="O840" s="0" t="n">
        <v>3.5</v>
      </c>
      <c r="P840" s="0" t="s">
        <v>51</v>
      </c>
      <c r="Q840" s="0" t="s">
        <v>52</v>
      </c>
      <c r="S840" s="0" t="s">
        <v>54</v>
      </c>
      <c r="T840" s="0" t="n">
        <v>15</v>
      </c>
      <c r="U840" s="0" t="s">
        <v>96</v>
      </c>
      <c r="V840" s="0" t="s">
        <v>155</v>
      </c>
      <c r="W840" s="0" t="s">
        <v>98</v>
      </c>
      <c r="X840" s="0" t="s">
        <v>114</v>
      </c>
      <c r="Y840" s="0" t="s">
        <v>197</v>
      </c>
      <c r="AA840" s="0" t="n">
        <v>25000</v>
      </c>
      <c r="AB840" s="0" t="n">
        <v>40000</v>
      </c>
      <c r="AC840" s="0" t="s">
        <v>82</v>
      </c>
      <c r="AD840" s="0" t="n">
        <v>0</v>
      </c>
      <c r="AE840" s="0" t="s">
        <v>80</v>
      </c>
      <c r="AG840" s="0" t="s">
        <v>82</v>
      </c>
      <c r="AH840" s="0" t="s">
        <v>171</v>
      </c>
      <c r="AJ840" s="0" t="s">
        <v>81</v>
      </c>
      <c r="AK840" s="0" t="s">
        <v>50</v>
      </c>
      <c r="AN840" s="0" t="s">
        <v>50</v>
      </c>
    </row>
    <row r="841" customFormat="false" ht="15" hidden="false" customHeight="false" outlineLevel="0" collapsed="false">
      <c r="A841" s="1" t="n">
        <v>45699</v>
      </c>
      <c r="B841" s="0" t="s">
        <v>1971</v>
      </c>
      <c r="C841" s="0" t="s">
        <v>66</v>
      </c>
      <c r="D841" s="0" t="n">
        <v>8097848347</v>
      </c>
      <c r="E841" s="0" t="s">
        <v>139</v>
      </c>
      <c r="F841" s="0" t="s">
        <v>1622</v>
      </c>
      <c r="G841" s="0" t="s">
        <v>69</v>
      </c>
      <c r="H841" s="0" t="s">
        <v>46</v>
      </c>
      <c r="I841" s="0" t="s">
        <v>142</v>
      </c>
      <c r="J841" s="0" t="s">
        <v>71</v>
      </c>
      <c r="K841" s="0" t="n">
        <v>68255</v>
      </c>
      <c r="L841" s="0" t="s">
        <v>166</v>
      </c>
      <c r="M841" s="0" t="s">
        <v>63</v>
      </c>
      <c r="O841" s="0" t="n">
        <v>5.7</v>
      </c>
      <c r="P841" s="0" t="s">
        <v>92</v>
      </c>
      <c r="Q841" s="0" t="s">
        <v>52</v>
      </c>
      <c r="R841" s="0" t="s">
        <v>136</v>
      </c>
      <c r="S841" s="0" t="s">
        <v>75</v>
      </c>
      <c r="T841" s="0" t="n">
        <v>60</v>
      </c>
      <c r="U841" s="0" t="s">
        <v>55</v>
      </c>
      <c r="V841" s="0" t="s">
        <v>148</v>
      </c>
      <c r="W841" s="0" t="s">
        <v>78</v>
      </c>
      <c r="X841" s="0" t="s">
        <v>114</v>
      </c>
      <c r="Y841" s="0" t="s">
        <v>156</v>
      </c>
      <c r="Z841" s="0" t="s">
        <v>161</v>
      </c>
      <c r="AA841" s="0" t="s">
        <v>150</v>
      </c>
      <c r="AB841" s="0" t="n">
        <v>40000</v>
      </c>
      <c r="AD841" s="0" t="n">
        <v>10000</v>
      </c>
      <c r="AG841" s="0" t="s">
        <v>63</v>
      </c>
      <c r="AJ841" s="0" t="s">
        <v>50</v>
      </c>
      <c r="AM841" s="0" t="s">
        <v>103</v>
      </c>
      <c r="AN841" s="0" t="s">
        <v>190</v>
      </c>
    </row>
    <row r="842" customFormat="false" ht="15" hidden="false" customHeight="false" outlineLevel="0" collapsed="false">
      <c r="A842" s="1" t="n">
        <v>45787</v>
      </c>
      <c r="B842" s="0" t="s">
        <v>1972</v>
      </c>
      <c r="C842" s="0" t="s">
        <v>66</v>
      </c>
      <c r="D842" s="0" t="n">
        <v>8048700374</v>
      </c>
      <c r="E842" s="0" t="s">
        <v>139</v>
      </c>
      <c r="F842" s="0" t="s">
        <v>1973</v>
      </c>
      <c r="G842" s="0" t="s">
        <v>107</v>
      </c>
      <c r="H842" s="0" t="s">
        <v>242</v>
      </c>
      <c r="I842" s="0" t="s">
        <v>189</v>
      </c>
      <c r="J842" s="0" t="s">
        <v>48</v>
      </c>
      <c r="K842" s="0" t="n">
        <v>12937</v>
      </c>
      <c r="L842" s="0" t="s">
        <v>49</v>
      </c>
      <c r="M842" s="0" t="s">
        <v>50</v>
      </c>
      <c r="N842" s="0" t="n">
        <v>5</v>
      </c>
      <c r="O842" s="0" t="n">
        <v>1.7</v>
      </c>
      <c r="P842" s="0" t="s">
        <v>51</v>
      </c>
      <c r="Q842" s="0" t="s">
        <v>73</v>
      </c>
      <c r="S842" s="0" t="s">
        <v>95</v>
      </c>
      <c r="T842" s="0" t="n">
        <v>45</v>
      </c>
      <c r="U842" s="0" t="s">
        <v>96</v>
      </c>
      <c r="V842" s="0" t="s">
        <v>155</v>
      </c>
      <c r="W842" s="0" t="s">
        <v>78</v>
      </c>
      <c r="X842" s="0" t="s">
        <v>196</v>
      </c>
      <c r="AA842" s="0" t="n">
        <v>25000</v>
      </c>
      <c r="AB842" s="0" t="s">
        <v>178</v>
      </c>
      <c r="AE842" s="0" t="s">
        <v>130</v>
      </c>
      <c r="AG842" s="0" t="s">
        <v>61</v>
      </c>
      <c r="AH842" s="0" t="s">
        <v>116</v>
      </c>
      <c r="AI842" s="0" t="s">
        <v>101</v>
      </c>
      <c r="AJ842" s="0" t="s">
        <v>62</v>
      </c>
      <c r="AK842" s="0" t="s">
        <v>50</v>
      </c>
      <c r="AL842" s="0" t="s">
        <v>50</v>
      </c>
      <c r="AM842" s="0" t="s">
        <v>118</v>
      </c>
      <c r="AN842" s="0" t="s">
        <v>50</v>
      </c>
    </row>
    <row r="843" customFormat="false" ht="15" hidden="false" customHeight="false" outlineLevel="0" collapsed="false">
      <c r="A843" s="1" t="n">
        <v>45675</v>
      </c>
      <c r="B843" s="0" t="s">
        <v>1974</v>
      </c>
      <c r="C843" s="0" t="s">
        <v>105</v>
      </c>
      <c r="D843" s="0" t="n">
        <v>8067841075</v>
      </c>
      <c r="E843" s="0" t="s">
        <v>67</v>
      </c>
      <c r="F843" s="0" t="s">
        <v>1975</v>
      </c>
      <c r="G843" s="0" t="s">
        <v>134</v>
      </c>
      <c r="H843" s="0" t="s">
        <v>88</v>
      </c>
      <c r="I843" s="0" t="s">
        <v>154</v>
      </c>
      <c r="J843" s="0" t="s">
        <v>71</v>
      </c>
      <c r="K843" s="0" t="n">
        <v>105807</v>
      </c>
      <c r="L843" s="0" t="s">
        <v>124</v>
      </c>
      <c r="M843" s="0" t="s">
        <v>50</v>
      </c>
      <c r="N843" s="0" t="n">
        <v>4</v>
      </c>
      <c r="O843" s="0" t="n">
        <v>1.1</v>
      </c>
      <c r="Q843" s="0" t="s">
        <v>52</v>
      </c>
      <c r="R843" s="0" t="s">
        <v>74</v>
      </c>
      <c r="S843" s="0" t="s">
        <v>167</v>
      </c>
      <c r="T843" s="0" t="n">
        <v>30</v>
      </c>
      <c r="U843" s="0" t="s">
        <v>55</v>
      </c>
      <c r="V843" s="0" t="s">
        <v>97</v>
      </c>
      <c r="W843" s="0" t="s">
        <v>98</v>
      </c>
      <c r="X843" s="0" t="s">
        <v>99</v>
      </c>
      <c r="Y843" s="0" t="s">
        <v>197</v>
      </c>
      <c r="Z843" s="0" t="s">
        <v>129</v>
      </c>
      <c r="AA843" s="0" t="n">
        <v>40000</v>
      </c>
      <c r="AB843" s="0" t="n">
        <v>30000</v>
      </c>
      <c r="AC843" s="0" t="s">
        <v>82</v>
      </c>
      <c r="AD843" s="0" t="n">
        <v>10000</v>
      </c>
      <c r="AF843" s="1" t="n">
        <v>45908</v>
      </c>
      <c r="AG843" s="0" t="s">
        <v>50</v>
      </c>
      <c r="AH843" s="0" t="s">
        <v>116</v>
      </c>
      <c r="AI843" s="0" t="s">
        <v>172</v>
      </c>
      <c r="AJ843" s="0" t="s">
        <v>62</v>
      </c>
      <c r="AK843" s="0" t="s">
        <v>61</v>
      </c>
      <c r="AM843" s="0" t="s">
        <v>83</v>
      </c>
      <c r="AN843" s="0" t="s">
        <v>198</v>
      </c>
    </row>
    <row r="844" customFormat="false" ht="15" hidden="false" customHeight="false" outlineLevel="0" collapsed="false">
      <c r="A844" s="0" t="s">
        <v>592</v>
      </c>
      <c r="B844" s="0" t="s">
        <v>1976</v>
      </c>
      <c r="C844" s="0" t="s">
        <v>42</v>
      </c>
      <c r="D844" s="0" t="n">
        <v>8032902142</v>
      </c>
      <c r="E844" s="0" t="s">
        <v>43</v>
      </c>
      <c r="F844" s="0" t="s">
        <v>1977</v>
      </c>
      <c r="G844" s="0" t="s">
        <v>45</v>
      </c>
      <c r="H844" s="0" t="s">
        <v>153</v>
      </c>
      <c r="I844" s="0" t="s">
        <v>154</v>
      </c>
      <c r="J844" s="0" t="s">
        <v>71</v>
      </c>
      <c r="K844" s="0" t="n">
        <v>119612</v>
      </c>
      <c r="L844" s="0" t="s">
        <v>91</v>
      </c>
      <c r="M844" s="0" t="s">
        <v>50</v>
      </c>
      <c r="N844" s="0" t="n">
        <v>2</v>
      </c>
      <c r="O844" s="0" t="n">
        <v>5.5</v>
      </c>
      <c r="P844" s="0" t="s">
        <v>92</v>
      </c>
      <c r="Q844" s="0" t="s">
        <v>73</v>
      </c>
      <c r="R844" s="0" t="s">
        <v>53</v>
      </c>
      <c r="S844" s="0" t="s">
        <v>147</v>
      </c>
      <c r="T844" s="0" t="n">
        <v>60</v>
      </c>
      <c r="U844" s="0" t="s">
        <v>76</v>
      </c>
      <c r="V844" s="0" t="s">
        <v>77</v>
      </c>
      <c r="W844" s="0" t="s">
        <v>57</v>
      </c>
      <c r="X844" s="0" t="s">
        <v>137</v>
      </c>
      <c r="Y844" s="0" t="s">
        <v>59</v>
      </c>
      <c r="AD844" s="0" t="n">
        <v>5000</v>
      </c>
      <c r="AF844" s="1" t="n">
        <v>45944</v>
      </c>
      <c r="AG844" s="0" t="s">
        <v>61</v>
      </c>
      <c r="AH844" s="0" t="s">
        <v>116</v>
      </c>
      <c r="AJ844" s="0" t="s">
        <v>81</v>
      </c>
      <c r="AK844" s="0" t="s">
        <v>50</v>
      </c>
      <c r="AL844" s="0" t="s">
        <v>63</v>
      </c>
      <c r="AM844" s="0" t="s">
        <v>83</v>
      </c>
      <c r="AN844" s="0" t="s">
        <v>63</v>
      </c>
    </row>
    <row r="845" customFormat="false" ht="15" hidden="false" customHeight="false" outlineLevel="0" collapsed="false">
      <c r="A845" s="1" t="n">
        <v>45659</v>
      </c>
      <c r="B845" s="0" t="s">
        <v>1978</v>
      </c>
      <c r="C845" s="0" t="s">
        <v>163</v>
      </c>
      <c r="D845" s="0" t="n">
        <v>8033676181</v>
      </c>
      <c r="E845" s="0" t="s">
        <v>43</v>
      </c>
      <c r="F845" s="0" t="s">
        <v>1979</v>
      </c>
      <c r="G845" s="0" t="s">
        <v>134</v>
      </c>
      <c r="H845" s="0" t="s">
        <v>135</v>
      </c>
      <c r="I845" s="0" t="s">
        <v>189</v>
      </c>
      <c r="J845" s="0" t="s">
        <v>48</v>
      </c>
      <c r="K845" s="0" t="n">
        <v>80451</v>
      </c>
      <c r="L845" s="0" t="s">
        <v>124</v>
      </c>
      <c r="M845" s="0" t="s">
        <v>63</v>
      </c>
      <c r="N845" s="0" t="n">
        <v>4</v>
      </c>
      <c r="O845" s="0" t="n">
        <v>1</v>
      </c>
      <c r="P845" s="0" t="s">
        <v>51</v>
      </c>
      <c r="Q845" s="0" t="s">
        <v>73</v>
      </c>
      <c r="R845" s="0" t="s">
        <v>159</v>
      </c>
      <c r="S845" s="0" t="s">
        <v>126</v>
      </c>
      <c r="T845" s="0" t="n">
        <v>15</v>
      </c>
      <c r="U845" s="0" t="s">
        <v>96</v>
      </c>
      <c r="V845" s="0" t="s">
        <v>56</v>
      </c>
      <c r="W845" s="0" t="s">
        <v>57</v>
      </c>
      <c r="X845" s="0" t="s">
        <v>196</v>
      </c>
      <c r="Z845" s="0" t="s">
        <v>143</v>
      </c>
      <c r="AB845" s="0" t="n">
        <v>40000</v>
      </c>
      <c r="AC845" s="0" t="s">
        <v>50</v>
      </c>
      <c r="AD845" s="0" t="n">
        <v>0</v>
      </c>
      <c r="AE845" s="0" t="s">
        <v>80</v>
      </c>
      <c r="AH845" s="0" t="s">
        <v>171</v>
      </c>
      <c r="AI845" s="0" t="s">
        <v>117</v>
      </c>
      <c r="AJ845" s="0" t="s">
        <v>62</v>
      </c>
      <c r="AL845" s="0" t="s">
        <v>102</v>
      </c>
      <c r="AM845" s="0" t="s">
        <v>64</v>
      </c>
      <c r="AN845" s="0" t="s">
        <v>63</v>
      </c>
    </row>
    <row r="846" customFormat="false" ht="15" hidden="false" customHeight="false" outlineLevel="0" collapsed="false">
      <c r="A846" s="1" t="n">
        <v>45787</v>
      </c>
      <c r="B846" s="0" t="s">
        <v>1980</v>
      </c>
      <c r="C846" s="0" t="s">
        <v>66</v>
      </c>
      <c r="D846" s="0" t="n">
        <v>8060284858</v>
      </c>
      <c r="E846" s="0" t="s">
        <v>67</v>
      </c>
      <c r="F846" s="0" t="s">
        <v>1981</v>
      </c>
      <c r="G846" s="0" t="s">
        <v>45</v>
      </c>
      <c r="H846" s="0" t="s">
        <v>146</v>
      </c>
      <c r="I846" s="0" t="s">
        <v>89</v>
      </c>
      <c r="J846" s="0" t="s">
        <v>109</v>
      </c>
      <c r="K846" s="0" t="n">
        <v>76014</v>
      </c>
      <c r="L846" s="0" t="s">
        <v>72</v>
      </c>
      <c r="M846" s="0" t="s">
        <v>63</v>
      </c>
      <c r="N846" s="0" t="n">
        <v>4</v>
      </c>
      <c r="O846" s="0" t="n">
        <v>2</v>
      </c>
      <c r="P846" s="0" t="s">
        <v>111</v>
      </c>
      <c r="Q846" s="0" t="s">
        <v>73</v>
      </c>
      <c r="R846" s="0" t="s">
        <v>136</v>
      </c>
      <c r="S846" s="0" t="s">
        <v>167</v>
      </c>
      <c r="T846" s="0" t="s">
        <v>127</v>
      </c>
      <c r="U846" s="0" t="s">
        <v>76</v>
      </c>
      <c r="V846" s="0" t="s">
        <v>155</v>
      </c>
      <c r="W846" s="0" t="s">
        <v>113</v>
      </c>
      <c r="X846" s="0" t="s">
        <v>137</v>
      </c>
      <c r="Y846" s="0" t="s">
        <v>59</v>
      </c>
      <c r="AA846" s="0" t="n">
        <v>40000</v>
      </c>
      <c r="AB846" s="0" t="n">
        <v>40000</v>
      </c>
      <c r="AC846" s="0" t="s">
        <v>50</v>
      </c>
      <c r="AD846" s="0" t="n">
        <v>5000</v>
      </c>
      <c r="AE846" s="0" t="s">
        <v>184</v>
      </c>
      <c r="AF846" s="0" t="s">
        <v>201</v>
      </c>
      <c r="AG846" s="0" t="s">
        <v>63</v>
      </c>
      <c r="AH846" s="0" t="s">
        <v>171</v>
      </c>
      <c r="AI846" s="0" t="s">
        <v>117</v>
      </c>
      <c r="AJ846" s="0" t="s">
        <v>62</v>
      </c>
      <c r="AK846" s="0" t="s">
        <v>61</v>
      </c>
      <c r="AL846" s="0" t="s">
        <v>63</v>
      </c>
    </row>
    <row r="847" customFormat="false" ht="15" hidden="false" customHeight="false" outlineLevel="0" collapsed="false">
      <c r="A847" s="1" t="n">
        <v>45779</v>
      </c>
      <c r="B847" s="0" t="s">
        <v>1982</v>
      </c>
      <c r="C847" s="0" t="s">
        <v>105</v>
      </c>
      <c r="D847" s="0" t="n">
        <v>8035018189</v>
      </c>
      <c r="E847" s="0" t="s">
        <v>139</v>
      </c>
      <c r="F847" s="0" t="s">
        <v>1983</v>
      </c>
      <c r="G847" s="0" t="s">
        <v>107</v>
      </c>
      <c r="H847" s="0" t="s">
        <v>70</v>
      </c>
      <c r="I847" s="0" t="s">
        <v>89</v>
      </c>
      <c r="J847" s="0" t="s">
        <v>90</v>
      </c>
      <c r="K847" s="0" t="n">
        <v>92045</v>
      </c>
      <c r="L847" s="0" t="s">
        <v>49</v>
      </c>
      <c r="M847" s="0" t="s">
        <v>63</v>
      </c>
      <c r="N847" s="0" t="n">
        <v>1</v>
      </c>
      <c r="O847" s="0" t="n">
        <v>2.1</v>
      </c>
      <c r="Q847" s="0" t="s">
        <v>93</v>
      </c>
      <c r="R847" s="0" t="s">
        <v>74</v>
      </c>
      <c r="S847" s="0" t="s">
        <v>167</v>
      </c>
      <c r="T847" s="0" t="n">
        <v>45</v>
      </c>
      <c r="U847" s="0" t="s">
        <v>76</v>
      </c>
      <c r="V847" s="0" t="s">
        <v>155</v>
      </c>
      <c r="W847" s="0" t="s">
        <v>98</v>
      </c>
      <c r="X847" s="0" t="s">
        <v>137</v>
      </c>
      <c r="Y847" s="0" t="s">
        <v>177</v>
      </c>
      <c r="Z847" s="0" t="s">
        <v>143</v>
      </c>
      <c r="AA847" s="0" t="n">
        <v>30000</v>
      </c>
      <c r="AB847" s="0" t="n">
        <v>20000</v>
      </c>
      <c r="AC847" s="0" t="s">
        <v>63</v>
      </c>
      <c r="AD847" s="0" t="n">
        <v>5000</v>
      </c>
      <c r="AF847" s="0" t="s">
        <v>1385</v>
      </c>
      <c r="AG847" s="0" t="s">
        <v>63</v>
      </c>
      <c r="AI847" s="0" t="s">
        <v>117</v>
      </c>
      <c r="AJ847" s="0" t="s">
        <v>62</v>
      </c>
      <c r="AK847" s="0" t="s">
        <v>82</v>
      </c>
      <c r="AN847" s="0" t="s">
        <v>50</v>
      </c>
    </row>
    <row r="848" customFormat="false" ht="15" hidden="false" customHeight="false" outlineLevel="0" collapsed="false">
      <c r="A848" s="0" t="s">
        <v>119</v>
      </c>
      <c r="B848" s="0" t="s">
        <v>1984</v>
      </c>
      <c r="C848" s="0" t="s">
        <v>105</v>
      </c>
      <c r="D848" s="0" t="n">
        <v>8028029744</v>
      </c>
      <c r="E848" s="0" t="s">
        <v>122</v>
      </c>
      <c r="F848" s="0" t="s">
        <v>1985</v>
      </c>
      <c r="G848" s="0" t="s">
        <v>69</v>
      </c>
      <c r="H848" s="0" t="s">
        <v>135</v>
      </c>
      <c r="I848" s="0" t="s">
        <v>89</v>
      </c>
      <c r="J848" s="0" t="s">
        <v>90</v>
      </c>
      <c r="K848" s="0" t="n">
        <v>87024</v>
      </c>
      <c r="L848" s="0" t="s">
        <v>110</v>
      </c>
      <c r="M848" s="0" t="s">
        <v>50</v>
      </c>
      <c r="N848" s="0" t="n">
        <v>2</v>
      </c>
      <c r="O848" s="0" t="n">
        <v>1.3</v>
      </c>
      <c r="P848" s="0" t="s">
        <v>111</v>
      </c>
      <c r="Q848" s="0" t="s">
        <v>93</v>
      </c>
      <c r="S848" s="0" t="s">
        <v>54</v>
      </c>
      <c r="T848" s="0" t="n">
        <v>45</v>
      </c>
      <c r="U848" s="0" t="s">
        <v>112</v>
      </c>
      <c r="V848" s="0" t="s">
        <v>56</v>
      </c>
      <c r="W848" s="0" t="s">
        <v>98</v>
      </c>
      <c r="X848" s="0" t="s">
        <v>99</v>
      </c>
      <c r="Z848" s="0" t="s">
        <v>79</v>
      </c>
      <c r="AA848" s="0" t="n">
        <v>25000</v>
      </c>
      <c r="AB848" s="0" t="s">
        <v>178</v>
      </c>
      <c r="AC848" s="0" t="s">
        <v>61</v>
      </c>
      <c r="AD848" s="0" t="n">
        <v>10000</v>
      </c>
      <c r="AE848" s="0" t="s">
        <v>80</v>
      </c>
      <c r="AH848" s="0" t="s">
        <v>171</v>
      </c>
      <c r="AJ848" s="0" t="s">
        <v>62</v>
      </c>
      <c r="AK848" s="0" t="s">
        <v>50</v>
      </c>
      <c r="AL848" s="0" t="s">
        <v>50</v>
      </c>
      <c r="AM848" s="0" t="s">
        <v>64</v>
      </c>
      <c r="AN848" s="0" t="s">
        <v>63</v>
      </c>
    </row>
    <row r="849" customFormat="false" ht="15" hidden="false" customHeight="false" outlineLevel="0" collapsed="false">
      <c r="A849" s="1" t="n">
        <v>45712</v>
      </c>
      <c r="B849" s="0" t="s">
        <v>1986</v>
      </c>
      <c r="C849" s="0" t="s">
        <v>121</v>
      </c>
      <c r="D849" s="0" t="n">
        <v>8036577865</v>
      </c>
      <c r="E849" s="0" t="s">
        <v>139</v>
      </c>
      <c r="F849" s="0" t="s">
        <v>1218</v>
      </c>
      <c r="G849" s="0" t="s">
        <v>107</v>
      </c>
      <c r="H849" s="0" t="s">
        <v>242</v>
      </c>
      <c r="I849" s="0" t="s">
        <v>189</v>
      </c>
      <c r="K849" s="0" t="n">
        <v>47980</v>
      </c>
      <c r="L849" s="0" t="s">
        <v>110</v>
      </c>
      <c r="M849" s="0" t="s">
        <v>63</v>
      </c>
      <c r="N849" s="0" t="n">
        <v>4</v>
      </c>
      <c r="O849" s="0" t="n">
        <v>1.1</v>
      </c>
      <c r="P849" s="0" t="s">
        <v>125</v>
      </c>
      <c r="Q849" s="0" t="s">
        <v>93</v>
      </c>
      <c r="S849" s="0" t="s">
        <v>95</v>
      </c>
      <c r="U849" s="0" t="s">
        <v>96</v>
      </c>
      <c r="V849" s="0" t="s">
        <v>97</v>
      </c>
      <c r="W849" s="0" t="s">
        <v>98</v>
      </c>
      <c r="X849" s="0" t="s">
        <v>58</v>
      </c>
      <c r="Y849" s="0" t="s">
        <v>197</v>
      </c>
      <c r="Z849" s="0" t="s">
        <v>143</v>
      </c>
      <c r="AB849" s="0" t="n">
        <v>20000</v>
      </c>
      <c r="AC849" s="0" t="s">
        <v>63</v>
      </c>
      <c r="AD849" s="0" t="n">
        <v>10000</v>
      </c>
      <c r="AE849" s="0" t="s">
        <v>80</v>
      </c>
      <c r="AF849" s="0" t="s">
        <v>1014</v>
      </c>
      <c r="AJ849" s="0" t="s">
        <v>50</v>
      </c>
      <c r="AK849" s="0" t="s">
        <v>82</v>
      </c>
      <c r="AL849" s="0" t="s">
        <v>63</v>
      </c>
      <c r="AM849" s="0" t="s">
        <v>103</v>
      </c>
    </row>
    <row r="850" customFormat="false" ht="15" hidden="false" customHeight="false" outlineLevel="0" collapsed="false">
      <c r="A850" s="0" t="s">
        <v>1883</v>
      </c>
      <c r="B850" s="0" t="s">
        <v>1987</v>
      </c>
      <c r="C850" s="0" t="s">
        <v>66</v>
      </c>
      <c r="D850" s="0" t="n">
        <v>8075293067</v>
      </c>
      <c r="E850" s="0" t="s">
        <v>67</v>
      </c>
      <c r="F850" s="0" t="s">
        <v>1988</v>
      </c>
      <c r="G850" s="0" t="s">
        <v>45</v>
      </c>
      <c r="H850" s="0" t="s">
        <v>88</v>
      </c>
      <c r="I850" s="0" t="s">
        <v>89</v>
      </c>
      <c r="K850" s="0" t="n">
        <v>96702</v>
      </c>
      <c r="L850" s="0" t="s">
        <v>72</v>
      </c>
      <c r="M850" s="0" t="s">
        <v>50</v>
      </c>
      <c r="N850" s="0" t="n">
        <v>5</v>
      </c>
      <c r="O850" s="0" t="n">
        <v>3.6</v>
      </c>
      <c r="Q850" s="0" t="s">
        <v>73</v>
      </c>
      <c r="R850" s="0" t="s">
        <v>159</v>
      </c>
      <c r="S850" s="0" t="s">
        <v>167</v>
      </c>
      <c r="T850" s="0" t="n">
        <v>60</v>
      </c>
      <c r="U850" s="0" t="s">
        <v>160</v>
      </c>
      <c r="V850" s="0" t="s">
        <v>77</v>
      </c>
      <c r="W850" s="0" t="s">
        <v>113</v>
      </c>
      <c r="X850" s="0" t="s">
        <v>58</v>
      </c>
      <c r="Y850" s="0" t="s">
        <v>59</v>
      </c>
      <c r="Z850" s="0" t="s">
        <v>129</v>
      </c>
      <c r="AA850" s="0" t="n">
        <v>15000</v>
      </c>
      <c r="AB850" s="0" t="n">
        <v>35000</v>
      </c>
      <c r="AC850" s="0" t="s">
        <v>50</v>
      </c>
      <c r="AD850" s="0" t="n">
        <v>5000</v>
      </c>
      <c r="AE850" s="0" t="s">
        <v>80</v>
      </c>
      <c r="AG850" s="0" t="s">
        <v>63</v>
      </c>
      <c r="AJ850" s="0" t="s">
        <v>81</v>
      </c>
      <c r="AK850" s="0" t="s">
        <v>50</v>
      </c>
      <c r="AM850" s="0" t="s">
        <v>64</v>
      </c>
      <c r="AN850" s="0" t="s">
        <v>198</v>
      </c>
    </row>
    <row r="851" customFormat="false" ht="15" hidden="false" customHeight="false" outlineLevel="0" collapsed="false">
      <c r="A851" s="1" t="n">
        <v>45686</v>
      </c>
      <c r="B851" s="0" t="s">
        <v>1989</v>
      </c>
      <c r="C851" s="0" t="s">
        <v>42</v>
      </c>
      <c r="D851" s="0" t="n">
        <v>8034425523</v>
      </c>
      <c r="E851" s="0" t="s">
        <v>122</v>
      </c>
      <c r="F851" s="0" t="s">
        <v>1990</v>
      </c>
      <c r="G851" s="0" t="s">
        <v>107</v>
      </c>
      <c r="H851" s="0" t="s">
        <v>70</v>
      </c>
      <c r="I851" s="0" t="s">
        <v>47</v>
      </c>
      <c r="J851" s="0" t="s">
        <v>71</v>
      </c>
      <c r="K851" s="0" t="n">
        <v>76613</v>
      </c>
      <c r="L851" s="0" t="s">
        <v>166</v>
      </c>
      <c r="M851" s="0" t="s">
        <v>50</v>
      </c>
      <c r="N851" s="0" t="n">
        <v>3</v>
      </c>
      <c r="O851" s="0" t="n">
        <v>2.2</v>
      </c>
      <c r="Q851" s="0" t="s">
        <v>73</v>
      </c>
      <c r="R851" s="0" t="s">
        <v>159</v>
      </c>
      <c r="S851" s="0" t="s">
        <v>167</v>
      </c>
      <c r="U851" s="0" t="s">
        <v>96</v>
      </c>
      <c r="V851" s="0" t="s">
        <v>77</v>
      </c>
      <c r="W851" s="0" t="s">
        <v>57</v>
      </c>
      <c r="X851" s="0" t="s">
        <v>137</v>
      </c>
      <c r="Y851" s="0" t="s">
        <v>177</v>
      </c>
      <c r="Z851" s="0" t="s">
        <v>143</v>
      </c>
      <c r="AA851" s="0" t="n">
        <v>30000</v>
      </c>
      <c r="AC851" s="0" t="s">
        <v>50</v>
      </c>
      <c r="AD851" s="0" t="n">
        <v>10000</v>
      </c>
      <c r="AF851" s="0" t="s">
        <v>360</v>
      </c>
      <c r="AG851" s="0" t="s">
        <v>82</v>
      </c>
      <c r="AI851" s="0" t="s">
        <v>101</v>
      </c>
      <c r="AJ851" s="0" t="s">
        <v>50</v>
      </c>
      <c r="AK851" s="0" t="s">
        <v>61</v>
      </c>
      <c r="AM851" s="0" t="s">
        <v>64</v>
      </c>
    </row>
    <row r="852" customFormat="false" ht="15" hidden="false" customHeight="false" outlineLevel="0" collapsed="false">
      <c r="A852" s="1" t="n">
        <v>45750</v>
      </c>
      <c r="B852" s="0" t="s">
        <v>1991</v>
      </c>
      <c r="C852" s="0" t="s">
        <v>66</v>
      </c>
      <c r="D852" s="0" t="n">
        <v>8077459675</v>
      </c>
      <c r="E852" s="0" t="s">
        <v>67</v>
      </c>
      <c r="F852" s="0" t="s">
        <v>1992</v>
      </c>
      <c r="G852" s="0" t="s">
        <v>107</v>
      </c>
      <c r="H852" s="0" t="s">
        <v>146</v>
      </c>
      <c r="I852" s="0" t="s">
        <v>142</v>
      </c>
      <c r="K852" s="0" t="n">
        <v>14002</v>
      </c>
      <c r="L852" s="0" t="s">
        <v>166</v>
      </c>
      <c r="M852" s="0" t="s">
        <v>63</v>
      </c>
      <c r="N852" s="0" t="n">
        <v>1</v>
      </c>
      <c r="O852" s="0" t="n">
        <v>2.5</v>
      </c>
      <c r="P852" s="0" t="s">
        <v>51</v>
      </c>
      <c r="Q852" s="0" t="s">
        <v>93</v>
      </c>
      <c r="R852" s="0" t="s">
        <v>136</v>
      </c>
      <c r="S852" s="0" t="s">
        <v>95</v>
      </c>
      <c r="U852" s="0" t="s">
        <v>112</v>
      </c>
      <c r="V852" s="0" t="s">
        <v>56</v>
      </c>
      <c r="W852" s="0" t="s">
        <v>78</v>
      </c>
      <c r="X852" s="0" t="s">
        <v>196</v>
      </c>
      <c r="Y852" s="0" t="s">
        <v>177</v>
      </c>
      <c r="AA852" s="0" t="n">
        <v>30000</v>
      </c>
      <c r="AB852" s="0" t="n">
        <v>35000</v>
      </c>
      <c r="AC852" s="0" t="s">
        <v>63</v>
      </c>
      <c r="AE852" s="0" t="s">
        <v>130</v>
      </c>
      <c r="AF852" s="1" t="n">
        <v>45823</v>
      </c>
      <c r="AG852" s="0" t="s">
        <v>63</v>
      </c>
      <c r="AJ852" s="0" t="s">
        <v>62</v>
      </c>
      <c r="AK852" s="0" t="s">
        <v>61</v>
      </c>
      <c r="AL852" s="0" t="s">
        <v>102</v>
      </c>
      <c r="AM852" s="0" t="s">
        <v>103</v>
      </c>
    </row>
    <row r="853" customFormat="false" ht="15" hidden="false" customHeight="false" outlineLevel="0" collapsed="false">
      <c r="A853" s="1" t="n">
        <v>45731</v>
      </c>
      <c r="B853" s="0" t="s">
        <v>1993</v>
      </c>
      <c r="C853" s="0" t="s">
        <v>121</v>
      </c>
      <c r="D853" s="0" t="n">
        <v>8024795927</v>
      </c>
      <c r="E853" s="0" t="s">
        <v>122</v>
      </c>
      <c r="F853" s="0" t="s">
        <v>1994</v>
      </c>
      <c r="G853" s="0" t="s">
        <v>69</v>
      </c>
      <c r="H853" s="0" t="s">
        <v>46</v>
      </c>
      <c r="I853" s="0" t="s">
        <v>89</v>
      </c>
      <c r="K853" s="0" t="n">
        <v>116865</v>
      </c>
      <c r="L853" s="0" t="s">
        <v>72</v>
      </c>
      <c r="M853" s="0" t="s">
        <v>63</v>
      </c>
      <c r="N853" s="0" t="n">
        <v>1</v>
      </c>
      <c r="O853" s="0" t="n">
        <v>4.6</v>
      </c>
      <c r="P853" s="0" t="s">
        <v>111</v>
      </c>
      <c r="Q853" s="0" t="s">
        <v>52</v>
      </c>
      <c r="R853" s="0" t="s">
        <v>94</v>
      </c>
      <c r="S853" s="0" t="s">
        <v>75</v>
      </c>
      <c r="T853" s="0" t="n">
        <v>45</v>
      </c>
      <c r="U853" s="0" t="s">
        <v>76</v>
      </c>
      <c r="V853" s="0" t="s">
        <v>77</v>
      </c>
      <c r="W853" s="0" t="s">
        <v>113</v>
      </c>
      <c r="X853" s="0" t="s">
        <v>114</v>
      </c>
      <c r="Z853" s="0" t="s">
        <v>149</v>
      </c>
      <c r="AA853" s="0" t="s">
        <v>150</v>
      </c>
      <c r="AB853" s="0" t="n">
        <v>35000</v>
      </c>
      <c r="AD853" s="0" t="n">
        <v>10000</v>
      </c>
      <c r="AE853" s="0" t="s">
        <v>130</v>
      </c>
      <c r="AG853" s="0" t="s">
        <v>50</v>
      </c>
      <c r="AI853" s="0" t="s">
        <v>101</v>
      </c>
      <c r="AJ853" s="0" t="s">
        <v>81</v>
      </c>
      <c r="AK853" s="0" t="s">
        <v>63</v>
      </c>
      <c r="AL853" s="0" t="s">
        <v>102</v>
      </c>
      <c r="AM853" s="0" t="s">
        <v>64</v>
      </c>
      <c r="AN853" s="0" t="s">
        <v>50</v>
      </c>
    </row>
    <row r="854" customFormat="false" ht="15" hidden="false" customHeight="false" outlineLevel="0" collapsed="false">
      <c r="A854" s="1" t="n">
        <v>45843</v>
      </c>
      <c r="B854" s="0" t="s">
        <v>1995</v>
      </c>
      <c r="C854" s="0" t="s">
        <v>163</v>
      </c>
      <c r="D854" s="0" t="n">
        <v>8070486666</v>
      </c>
      <c r="E854" s="0" t="s">
        <v>43</v>
      </c>
      <c r="F854" s="0" t="s">
        <v>1646</v>
      </c>
      <c r="G854" s="0" t="s">
        <v>107</v>
      </c>
      <c r="I854" s="0" t="s">
        <v>108</v>
      </c>
      <c r="J854" s="0" t="s">
        <v>90</v>
      </c>
      <c r="K854" s="0" t="n">
        <v>117524</v>
      </c>
      <c r="L854" s="0" t="s">
        <v>49</v>
      </c>
      <c r="M854" s="0" t="s">
        <v>50</v>
      </c>
      <c r="N854" s="0" t="n">
        <v>1</v>
      </c>
      <c r="O854" s="0" t="n">
        <v>3</v>
      </c>
      <c r="P854" s="0" t="s">
        <v>51</v>
      </c>
      <c r="Q854" s="0" t="s">
        <v>52</v>
      </c>
      <c r="R854" s="0" t="s">
        <v>53</v>
      </c>
      <c r="S854" s="0" t="s">
        <v>147</v>
      </c>
      <c r="T854" s="0" t="s">
        <v>127</v>
      </c>
      <c r="U854" s="0" t="s">
        <v>160</v>
      </c>
      <c r="V854" s="0" t="s">
        <v>148</v>
      </c>
      <c r="W854" s="0" t="s">
        <v>113</v>
      </c>
      <c r="X854" s="0" t="s">
        <v>137</v>
      </c>
      <c r="Y854" s="0" t="s">
        <v>177</v>
      </c>
      <c r="Z854" s="0" t="s">
        <v>149</v>
      </c>
      <c r="AA854" s="0" t="s">
        <v>150</v>
      </c>
      <c r="AB854" s="0" t="n">
        <v>20000</v>
      </c>
      <c r="AF854" s="0" t="s">
        <v>1635</v>
      </c>
      <c r="AG854" s="0" t="s">
        <v>82</v>
      </c>
      <c r="AK854" s="0" t="s">
        <v>61</v>
      </c>
      <c r="AM854" s="0" t="s">
        <v>118</v>
      </c>
      <c r="AN854" s="0" t="s">
        <v>63</v>
      </c>
    </row>
    <row r="855" customFormat="false" ht="15" hidden="false" customHeight="false" outlineLevel="0" collapsed="false">
      <c r="A855" s="1" t="n">
        <v>45811</v>
      </c>
      <c r="B855" s="0" t="s">
        <v>1996</v>
      </c>
      <c r="C855" s="0" t="s">
        <v>105</v>
      </c>
      <c r="D855" s="0" t="n">
        <v>8086113817</v>
      </c>
      <c r="E855" s="0" t="s">
        <v>43</v>
      </c>
      <c r="F855" s="0" t="s">
        <v>585</v>
      </c>
      <c r="G855" s="0" t="s">
        <v>107</v>
      </c>
      <c r="H855" s="0" t="s">
        <v>272</v>
      </c>
      <c r="I855" s="0" t="s">
        <v>89</v>
      </c>
      <c r="K855" s="0" t="n">
        <v>19254</v>
      </c>
      <c r="L855" s="0" t="s">
        <v>91</v>
      </c>
      <c r="M855" s="0" t="s">
        <v>50</v>
      </c>
      <c r="N855" s="0" t="n">
        <v>2</v>
      </c>
      <c r="O855" s="0" t="n">
        <v>2.2</v>
      </c>
      <c r="P855" s="0" t="s">
        <v>125</v>
      </c>
      <c r="Q855" s="0" t="s">
        <v>73</v>
      </c>
      <c r="R855" s="0" t="s">
        <v>159</v>
      </c>
      <c r="S855" s="0" t="s">
        <v>147</v>
      </c>
      <c r="T855" s="0" t="s">
        <v>127</v>
      </c>
      <c r="U855" s="0" t="s">
        <v>112</v>
      </c>
      <c r="V855" s="0" t="s">
        <v>97</v>
      </c>
      <c r="W855" s="0" t="s">
        <v>78</v>
      </c>
      <c r="X855" s="0" t="s">
        <v>114</v>
      </c>
      <c r="Y855" s="0" t="s">
        <v>156</v>
      </c>
      <c r="Z855" s="0" t="s">
        <v>161</v>
      </c>
      <c r="AA855" s="0" t="n">
        <v>30000</v>
      </c>
      <c r="AC855" s="0" t="s">
        <v>61</v>
      </c>
      <c r="AE855" s="0" t="s">
        <v>60</v>
      </c>
      <c r="AF855" s="0" t="s">
        <v>556</v>
      </c>
      <c r="AG855" s="0" t="s">
        <v>63</v>
      </c>
      <c r="AH855" s="0" t="s">
        <v>171</v>
      </c>
      <c r="AJ855" s="0" t="s">
        <v>62</v>
      </c>
      <c r="AK855" s="0" t="s">
        <v>82</v>
      </c>
      <c r="AM855" s="0" t="s">
        <v>83</v>
      </c>
      <c r="AN855" s="0" t="s">
        <v>63</v>
      </c>
    </row>
    <row r="856" customFormat="false" ht="15" hidden="false" customHeight="false" outlineLevel="0" collapsed="false">
      <c r="A856" s="1" t="n">
        <v>45715</v>
      </c>
      <c r="B856" s="0" t="s">
        <v>1997</v>
      </c>
      <c r="C856" s="0" t="s">
        <v>42</v>
      </c>
      <c r="D856" s="0" t="n">
        <v>8038531115</v>
      </c>
      <c r="E856" s="0" t="s">
        <v>122</v>
      </c>
      <c r="F856" s="0" t="s">
        <v>1998</v>
      </c>
      <c r="G856" s="0" t="s">
        <v>107</v>
      </c>
      <c r="H856" s="0" t="s">
        <v>165</v>
      </c>
      <c r="I856" s="0" t="s">
        <v>154</v>
      </c>
      <c r="J856" s="0" t="s">
        <v>71</v>
      </c>
      <c r="K856" s="0" t="n">
        <v>81646</v>
      </c>
      <c r="L856" s="0" t="s">
        <v>110</v>
      </c>
      <c r="M856" s="0" t="s">
        <v>50</v>
      </c>
      <c r="N856" s="0" t="n">
        <v>2</v>
      </c>
      <c r="O856" s="0" t="n">
        <v>1.6</v>
      </c>
      <c r="P856" s="0" t="s">
        <v>125</v>
      </c>
      <c r="Q856" s="0" t="s">
        <v>93</v>
      </c>
      <c r="R856" s="0" t="s">
        <v>159</v>
      </c>
      <c r="S856" s="0" t="s">
        <v>147</v>
      </c>
      <c r="T856" s="0" t="n">
        <v>30</v>
      </c>
      <c r="U856" s="0" t="s">
        <v>112</v>
      </c>
      <c r="V856" s="0" t="s">
        <v>155</v>
      </c>
      <c r="W856" s="0" t="s">
        <v>78</v>
      </c>
      <c r="X856" s="0" t="s">
        <v>114</v>
      </c>
      <c r="Y856" s="0" t="s">
        <v>177</v>
      </c>
      <c r="Z856" s="0" t="s">
        <v>143</v>
      </c>
      <c r="AB856" s="0" t="n">
        <v>30000</v>
      </c>
      <c r="AD856" s="0" t="n">
        <v>0</v>
      </c>
      <c r="AE856" s="0" t="s">
        <v>60</v>
      </c>
      <c r="AG856" s="0" t="s">
        <v>61</v>
      </c>
      <c r="AH856" s="0" t="s">
        <v>116</v>
      </c>
      <c r="AI856" s="0" t="s">
        <v>101</v>
      </c>
      <c r="AJ856" s="0" t="s">
        <v>81</v>
      </c>
      <c r="AK856" s="0" t="s">
        <v>63</v>
      </c>
      <c r="AN856" s="0" t="s">
        <v>50</v>
      </c>
    </row>
    <row r="857" customFormat="false" ht="15" hidden="false" customHeight="false" outlineLevel="0" collapsed="false">
      <c r="A857" s="1" t="n">
        <v>45762</v>
      </c>
      <c r="B857" s="0" t="s">
        <v>1999</v>
      </c>
      <c r="C857" s="0" t="s">
        <v>105</v>
      </c>
      <c r="D857" s="0" t="n">
        <v>8034915916</v>
      </c>
      <c r="E857" s="0" t="s">
        <v>85</v>
      </c>
      <c r="F857" s="0" t="s">
        <v>1781</v>
      </c>
      <c r="G857" s="0" t="s">
        <v>107</v>
      </c>
      <c r="H857" s="0" t="s">
        <v>70</v>
      </c>
      <c r="I857" s="0" t="s">
        <v>154</v>
      </c>
      <c r="K857" s="0" t="n">
        <v>62297</v>
      </c>
      <c r="L857" s="0" t="s">
        <v>72</v>
      </c>
      <c r="M857" s="0" t="s">
        <v>50</v>
      </c>
      <c r="O857" s="0" t="n">
        <v>1</v>
      </c>
      <c r="P857" s="0" t="s">
        <v>111</v>
      </c>
      <c r="Q857" s="0" t="s">
        <v>73</v>
      </c>
      <c r="R857" s="0" t="s">
        <v>159</v>
      </c>
      <c r="S857" s="0" t="s">
        <v>167</v>
      </c>
      <c r="T857" s="0" t="n">
        <v>60</v>
      </c>
      <c r="U857" s="0" t="s">
        <v>160</v>
      </c>
      <c r="V857" s="0" t="s">
        <v>56</v>
      </c>
      <c r="W857" s="0" t="s">
        <v>78</v>
      </c>
      <c r="X857" s="0" t="s">
        <v>58</v>
      </c>
      <c r="Z857" s="0" t="s">
        <v>149</v>
      </c>
      <c r="AA857" s="0" t="n">
        <v>40000</v>
      </c>
      <c r="AC857" s="0" t="s">
        <v>82</v>
      </c>
      <c r="AD857" s="0" t="n">
        <v>0</v>
      </c>
      <c r="AG857" s="0" t="s">
        <v>82</v>
      </c>
      <c r="AI857" s="0" t="s">
        <v>172</v>
      </c>
      <c r="AJ857" s="0" t="s">
        <v>63</v>
      </c>
      <c r="AK857" s="0" t="s">
        <v>82</v>
      </c>
      <c r="AL857" s="0" t="s">
        <v>50</v>
      </c>
      <c r="AM857" s="0" t="s">
        <v>83</v>
      </c>
      <c r="AN857" s="0" t="s">
        <v>63</v>
      </c>
    </row>
    <row r="858" customFormat="false" ht="15" hidden="false" customHeight="false" outlineLevel="0" collapsed="false">
      <c r="A858" s="1" t="n">
        <v>45675</v>
      </c>
      <c r="B858" s="0" t="s">
        <v>2000</v>
      </c>
      <c r="C858" s="0" t="s">
        <v>121</v>
      </c>
      <c r="D858" s="0" t="n">
        <v>8036969824</v>
      </c>
      <c r="E858" s="0" t="s">
        <v>43</v>
      </c>
      <c r="F858" s="0" t="s">
        <v>2001</v>
      </c>
      <c r="G858" s="0" t="s">
        <v>45</v>
      </c>
      <c r="H858" s="0" t="s">
        <v>70</v>
      </c>
      <c r="I858" s="0" t="s">
        <v>142</v>
      </c>
      <c r="J858" s="0" t="s">
        <v>109</v>
      </c>
      <c r="K858" s="0" t="n">
        <v>44083</v>
      </c>
      <c r="L858" s="0" t="s">
        <v>166</v>
      </c>
      <c r="M858" s="0" t="s">
        <v>63</v>
      </c>
      <c r="N858" s="0" t="n">
        <v>5</v>
      </c>
      <c r="O858" s="0" t="n">
        <v>3.6</v>
      </c>
      <c r="P858" s="0" t="s">
        <v>51</v>
      </c>
      <c r="Q858" s="0" t="s">
        <v>93</v>
      </c>
      <c r="R858" s="0" t="s">
        <v>53</v>
      </c>
      <c r="S858" s="0" t="s">
        <v>95</v>
      </c>
      <c r="T858" s="0" t="n">
        <v>15</v>
      </c>
      <c r="U858" s="0" t="s">
        <v>96</v>
      </c>
      <c r="V858" s="0" t="s">
        <v>77</v>
      </c>
      <c r="W858" s="0" t="s">
        <v>57</v>
      </c>
      <c r="X858" s="0" t="s">
        <v>137</v>
      </c>
      <c r="Y858" s="0" t="s">
        <v>197</v>
      </c>
      <c r="Z858" s="0" t="s">
        <v>129</v>
      </c>
      <c r="AA858" s="0" t="s">
        <v>150</v>
      </c>
      <c r="AB858" s="0" t="n">
        <v>35000</v>
      </c>
      <c r="AC858" s="0" t="s">
        <v>61</v>
      </c>
      <c r="AE858" s="0" t="s">
        <v>60</v>
      </c>
      <c r="AF858" s="1" t="n">
        <v>45973</v>
      </c>
      <c r="AG858" s="0" t="s">
        <v>63</v>
      </c>
      <c r="AH858" s="0" t="s">
        <v>171</v>
      </c>
      <c r="AI858" s="0" t="s">
        <v>101</v>
      </c>
      <c r="AJ858" s="0" t="s">
        <v>50</v>
      </c>
      <c r="AK858" s="0" t="s">
        <v>61</v>
      </c>
      <c r="AM858" s="0" t="s">
        <v>118</v>
      </c>
      <c r="AN858" s="0" t="s">
        <v>50</v>
      </c>
    </row>
    <row r="859" customFormat="false" ht="15" hidden="false" customHeight="false" outlineLevel="0" collapsed="false">
      <c r="A859" s="1" t="n">
        <v>45813</v>
      </c>
      <c r="B859" s="0" t="s">
        <v>2002</v>
      </c>
      <c r="C859" s="0" t="s">
        <v>42</v>
      </c>
      <c r="D859" s="0" t="n">
        <v>8017916438</v>
      </c>
      <c r="E859" s="0" t="s">
        <v>122</v>
      </c>
      <c r="F859" s="0" t="s">
        <v>2003</v>
      </c>
      <c r="G859" s="0" t="s">
        <v>107</v>
      </c>
      <c r="H859" s="0" t="s">
        <v>135</v>
      </c>
      <c r="I859" s="0" t="s">
        <v>142</v>
      </c>
      <c r="J859" s="0" t="s">
        <v>90</v>
      </c>
      <c r="K859" s="0" t="n">
        <v>49860</v>
      </c>
      <c r="L859" s="0" t="s">
        <v>72</v>
      </c>
      <c r="M859" s="0" t="s">
        <v>63</v>
      </c>
      <c r="N859" s="0" t="n">
        <v>2</v>
      </c>
      <c r="O859" s="0" t="n">
        <v>3.9</v>
      </c>
      <c r="Q859" s="0" t="s">
        <v>73</v>
      </c>
      <c r="R859" s="0" t="s">
        <v>136</v>
      </c>
      <c r="S859" s="0" t="s">
        <v>54</v>
      </c>
      <c r="T859" s="0" t="n">
        <v>30</v>
      </c>
      <c r="U859" s="0" t="s">
        <v>76</v>
      </c>
      <c r="V859" s="0" t="s">
        <v>155</v>
      </c>
      <c r="W859" s="0" t="s">
        <v>57</v>
      </c>
      <c r="X859" s="0" t="s">
        <v>114</v>
      </c>
      <c r="Y859" s="0" t="s">
        <v>156</v>
      </c>
      <c r="Z859" s="0" t="s">
        <v>143</v>
      </c>
      <c r="AA859" s="0" t="s">
        <v>150</v>
      </c>
      <c r="AB859" s="0" t="n">
        <v>30000</v>
      </c>
      <c r="AC859" s="0" t="s">
        <v>61</v>
      </c>
      <c r="AD859" s="0" t="n">
        <v>10000</v>
      </c>
      <c r="AE859" s="0" t="s">
        <v>60</v>
      </c>
      <c r="AF859" s="1" t="n">
        <v>46021</v>
      </c>
      <c r="AG859" s="0" t="s">
        <v>63</v>
      </c>
      <c r="AI859" s="0" t="s">
        <v>101</v>
      </c>
      <c r="AJ859" s="0" t="s">
        <v>63</v>
      </c>
      <c r="AK859" s="0" t="s">
        <v>82</v>
      </c>
      <c r="AL859" s="0" t="s">
        <v>63</v>
      </c>
      <c r="AM859" s="0" t="s">
        <v>83</v>
      </c>
    </row>
    <row r="860" customFormat="false" ht="15" hidden="false" customHeight="false" outlineLevel="0" collapsed="false">
      <c r="A860" s="1" t="n">
        <v>45770</v>
      </c>
      <c r="B860" s="0" t="s">
        <v>2004</v>
      </c>
      <c r="C860" s="0" t="s">
        <v>66</v>
      </c>
      <c r="D860" s="0" t="n">
        <v>8034525524</v>
      </c>
      <c r="E860" s="0" t="s">
        <v>43</v>
      </c>
      <c r="F860" s="0" t="s">
        <v>309</v>
      </c>
      <c r="G860" s="0" t="s">
        <v>45</v>
      </c>
      <c r="H860" s="0" t="s">
        <v>153</v>
      </c>
      <c r="I860" s="0" t="s">
        <v>47</v>
      </c>
      <c r="J860" s="0" t="s">
        <v>71</v>
      </c>
      <c r="K860" s="0" t="n">
        <v>80137</v>
      </c>
      <c r="L860" s="0" t="s">
        <v>124</v>
      </c>
      <c r="M860" s="0" t="s">
        <v>50</v>
      </c>
      <c r="N860" s="0" t="n">
        <v>2</v>
      </c>
      <c r="O860" s="0" t="n">
        <v>4.9</v>
      </c>
      <c r="P860" s="0" t="s">
        <v>111</v>
      </c>
      <c r="Q860" s="0" t="s">
        <v>93</v>
      </c>
      <c r="R860" s="0" t="s">
        <v>94</v>
      </c>
      <c r="S860" s="0" t="s">
        <v>167</v>
      </c>
      <c r="T860" s="0" t="n">
        <v>15</v>
      </c>
      <c r="U860" s="0" t="s">
        <v>96</v>
      </c>
      <c r="V860" s="0" t="s">
        <v>155</v>
      </c>
      <c r="W860" s="0" t="s">
        <v>57</v>
      </c>
      <c r="X860" s="0" t="s">
        <v>137</v>
      </c>
      <c r="Y860" s="0" t="s">
        <v>197</v>
      </c>
      <c r="Z860" s="0" t="s">
        <v>149</v>
      </c>
      <c r="AB860" s="0" t="n">
        <v>40000</v>
      </c>
      <c r="AC860" s="0" t="s">
        <v>63</v>
      </c>
      <c r="AD860" s="0" t="s">
        <v>115</v>
      </c>
      <c r="AE860" s="0" t="s">
        <v>60</v>
      </c>
      <c r="AF860" s="1" t="n">
        <v>45994</v>
      </c>
      <c r="AG860" s="0" t="s">
        <v>61</v>
      </c>
      <c r="AI860" s="0" t="s">
        <v>117</v>
      </c>
      <c r="AJ860" s="0" t="s">
        <v>63</v>
      </c>
      <c r="AK860" s="0" t="s">
        <v>82</v>
      </c>
      <c r="AL860" s="0" t="s">
        <v>50</v>
      </c>
      <c r="AN860" s="0" t="s">
        <v>190</v>
      </c>
    </row>
    <row r="861" customFormat="false" ht="15" hidden="false" customHeight="false" outlineLevel="0" collapsed="false">
      <c r="A861" s="1" t="n">
        <v>45760</v>
      </c>
      <c r="B861" s="0" t="s">
        <v>2005</v>
      </c>
      <c r="C861" s="0" t="s">
        <v>163</v>
      </c>
      <c r="D861" s="0" t="n">
        <v>8035754346</v>
      </c>
      <c r="E861" s="0" t="s">
        <v>122</v>
      </c>
      <c r="F861" s="0" t="s">
        <v>457</v>
      </c>
      <c r="G861" s="0" t="s">
        <v>134</v>
      </c>
      <c r="H861" s="0" t="s">
        <v>146</v>
      </c>
      <c r="I861" s="0" t="s">
        <v>142</v>
      </c>
      <c r="J861" s="0" t="s">
        <v>48</v>
      </c>
      <c r="K861" s="0" t="n">
        <v>28119</v>
      </c>
      <c r="L861" s="0" t="s">
        <v>49</v>
      </c>
      <c r="M861" s="0" t="s">
        <v>63</v>
      </c>
      <c r="N861" s="0" t="n">
        <v>2</v>
      </c>
      <c r="O861" s="0" t="n">
        <v>6</v>
      </c>
      <c r="P861" s="0" t="s">
        <v>92</v>
      </c>
      <c r="Q861" s="0" t="s">
        <v>52</v>
      </c>
      <c r="R861" s="0" t="s">
        <v>74</v>
      </c>
      <c r="S861" s="0" t="s">
        <v>54</v>
      </c>
      <c r="T861" s="0" t="s">
        <v>127</v>
      </c>
      <c r="U861" s="0" t="s">
        <v>112</v>
      </c>
      <c r="V861" s="0" t="s">
        <v>56</v>
      </c>
      <c r="W861" s="0" t="s">
        <v>128</v>
      </c>
      <c r="X861" s="0" t="s">
        <v>58</v>
      </c>
      <c r="Y861" s="0" t="s">
        <v>59</v>
      </c>
      <c r="Z861" s="0" t="s">
        <v>129</v>
      </c>
      <c r="AA861" s="0" t="n">
        <v>25000</v>
      </c>
      <c r="AB861" s="0" t="n">
        <v>35000</v>
      </c>
      <c r="AC861" s="0" t="s">
        <v>63</v>
      </c>
      <c r="AD861" s="0" t="n">
        <v>10000</v>
      </c>
      <c r="AE861" s="0" t="s">
        <v>184</v>
      </c>
      <c r="AF861" s="1" t="n">
        <v>45846</v>
      </c>
      <c r="AG861" s="0" t="s">
        <v>82</v>
      </c>
      <c r="AJ861" s="0" t="s">
        <v>81</v>
      </c>
      <c r="AK861" s="0" t="s">
        <v>63</v>
      </c>
      <c r="AM861" s="0" t="s">
        <v>103</v>
      </c>
      <c r="AN861" s="0" t="s">
        <v>63</v>
      </c>
    </row>
    <row r="862" customFormat="false" ht="15" hidden="false" customHeight="false" outlineLevel="0" collapsed="false">
      <c r="A862" s="1" t="n">
        <v>45809</v>
      </c>
      <c r="B862" s="0" t="s">
        <v>2006</v>
      </c>
      <c r="C862" s="0" t="s">
        <v>163</v>
      </c>
      <c r="D862" s="0" t="n">
        <v>8044809624</v>
      </c>
      <c r="E862" s="0" t="s">
        <v>122</v>
      </c>
      <c r="F862" s="0" t="s">
        <v>2007</v>
      </c>
      <c r="G862" s="0" t="s">
        <v>45</v>
      </c>
      <c r="H862" s="0" t="s">
        <v>88</v>
      </c>
      <c r="I862" s="0" t="s">
        <v>142</v>
      </c>
      <c r="J862" s="0" t="s">
        <v>48</v>
      </c>
      <c r="K862" s="0" t="n">
        <v>31065</v>
      </c>
      <c r="L862" s="0" t="s">
        <v>124</v>
      </c>
      <c r="M862" s="0" t="s">
        <v>50</v>
      </c>
      <c r="O862" s="0" t="n">
        <v>1.6</v>
      </c>
      <c r="P862" s="0" t="s">
        <v>125</v>
      </c>
      <c r="Q862" s="0" t="s">
        <v>52</v>
      </c>
      <c r="R862" s="0" t="s">
        <v>159</v>
      </c>
      <c r="S862" s="0" t="s">
        <v>167</v>
      </c>
      <c r="T862" s="0" t="n">
        <v>60</v>
      </c>
      <c r="U862" s="0" t="s">
        <v>55</v>
      </c>
      <c r="V862" s="0" t="s">
        <v>155</v>
      </c>
      <c r="W862" s="0" t="s">
        <v>78</v>
      </c>
      <c r="X862" s="0" t="s">
        <v>114</v>
      </c>
      <c r="Y862" s="0" t="s">
        <v>59</v>
      </c>
      <c r="Z862" s="0" t="s">
        <v>79</v>
      </c>
      <c r="AA862" s="0" t="s">
        <v>150</v>
      </c>
      <c r="AB862" s="0" t="n">
        <v>30000</v>
      </c>
      <c r="AC862" s="0" t="s">
        <v>50</v>
      </c>
      <c r="AD862" s="0" t="n">
        <v>0</v>
      </c>
      <c r="AE862" s="0" t="s">
        <v>80</v>
      </c>
      <c r="AF862" s="1" t="n">
        <v>46021</v>
      </c>
      <c r="AG862" s="0" t="s">
        <v>61</v>
      </c>
      <c r="AK862" s="0" t="s">
        <v>50</v>
      </c>
      <c r="AL862" s="0" t="s">
        <v>102</v>
      </c>
    </row>
    <row r="863" customFormat="false" ht="15" hidden="false" customHeight="false" outlineLevel="0" collapsed="false">
      <c r="A863" s="1" t="n">
        <v>45751</v>
      </c>
      <c r="B863" s="0" t="s">
        <v>2008</v>
      </c>
      <c r="C863" s="0" t="s">
        <v>121</v>
      </c>
      <c r="D863" s="0" t="n">
        <v>8064867187</v>
      </c>
      <c r="E863" s="0" t="s">
        <v>85</v>
      </c>
      <c r="F863" s="0" t="s">
        <v>2009</v>
      </c>
      <c r="G863" s="0" t="s">
        <v>45</v>
      </c>
      <c r="I863" s="0" t="s">
        <v>189</v>
      </c>
      <c r="J863" s="0" t="s">
        <v>109</v>
      </c>
      <c r="K863" s="0" t="n">
        <v>109330</v>
      </c>
      <c r="L863" s="0" t="s">
        <v>91</v>
      </c>
      <c r="M863" s="0" t="s">
        <v>50</v>
      </c>
      <c r="N863" s="0" t="n">
        <v>5</v>
      </c>
      <c r="O863" s="0" t="n">
        <v>1.6</v>
      </c>
      <c r="Q863" s="0" t="s">
        <v>93</v>
      </c>
      <c r="R863" s="0" t="s">
        <v>53</v>
      </c>
      <c r="S863" s="0" t="s">
        <v>54</v>
      </c>
      <c r="T863" s="0" t="s">
        <v>127</v>
      </c>
      <c r="U863" s="0" t="s">
        <v>55</v>
      </c>
      <c r="V863" s="0" t="s">
        <v>97</v>
      </c>
      <c r="W863" s="0" t="s">
        <v>78</v>
      </c>
      <c r="X863" s="0" t="s">
        <v>137</v>
      </c>
      <c r="Z863" s="0" t="s">
        <v>129</v>
      </c>
      <c r="AA863" s="0" t="n">
        <v>25000</v>
      </c>
      <c r="AB863" s="0" t="n">
        <v>40000</v>
      </c>
      <c r="AC863" s="0" t="s">
        <v>61</v>
      </c>
      <c r="AD863" s="0" t="n">
        <v>5000</v>
      </c>
      <c r="AF863" s="0" t="s">
        <v>2010</v>
      </c>
      <c r="AG863" s="0" t="s">
        <v>63</v>
      </c>
      <c r="AJ863" s="0" t="s">
        <v>62</v>
      </c>
      <c r="AK863" s="0" t="s">
        <v>61</v>
      </c>
      <c r="AM863" s="0" t="s">
        <v>83</v>
      </c>
      <c r="AN863" s="0" t="s">
        <v>50</v>
      </c>
    </row>
    <row r="864" customFormat="false" ht="15" hidden="false" customHeight="false" outlineLevel="0" collapsed="false">
      <c r="A864" s="1" t="n">
        <v>45810</v>
      </c>
      <c r="B864" s="0" t="s">
        <v>2011</v>
      </c>
      <c r="C864" s="0" t="s">
        <v>105</v>
      </c>
      <c r="D864" s="0" t="n">
        <v>8069153839</v>
      </c>
      <c r="E864" s="0" t="s">
        <v>67</v>
      </c>
      <c r="F864" s="0" t="s">
        <v>2012</v>
      </c>
      <c r="G864" s="0" t="s">
        <v>87</v>
      </c>
      <c r="H864" s="0" t="s">
        <v>88</v>
      </c>
      <c r="I864" s="0" t="s">
        <v>47</v>
      </c>
      <c r="J864" s="0" t="s">
        <v>109</v>
      </c>
      <c r="K864" s="0" t="n">
        <v>25760</v>
      </c>
      <c r="L864" s="0" t="s">
        <v>49</v>
      </c>
      <c r="M864" s="0" t="s">
        <v>50</v>
      </c>
      <c r="N864" s="0" t="n">
        <v>2</v>
      </c>
      <c r="O864" s="0" t="n">
        <v>5</v>
      </c>
      <c r="P864" s="0" t="s">
        <v>92</v>
      </c>
      <c r="Q864" s="0" t="s">
        <v>52</v>
      </c>
      <c r="R864" s="0" t="s">
        <v>74</v>
      </c>
      <c r="S864" s="0" t="s">
        <v>167</v>
      </c>
      <c r="T864" s="0" t="n">
        <v>60</v>
      </c>
      <c r="U864" s="0" t="s">
        <v>55</v>
      </c>
      <c r="V864" s="0" t="s">
        <v>56</v>
      </c>
      <c r="W864" s="0" t="s">
        <v>78</v>
      </c>
      <c r="X864" s="0" t="s">
        <v>196</v>
      </c>
      <c r="Z864" s="0" t="s">
        <v>129</v>
      </c>
      <c r="AA864" s="0" t="n">
        <v>15000</v>
      </c>
      <c r="AB864" s="0" t="n">
        <v>40000</v>
      </c>
      <c r="AC864" s="0" t="s">
        <v>63</v>
      </c>
      <c r="AD864" s="0" t="n">
        <v>10000</v>
      </c>
      <c r="AE864" s="0" t="s">
        <v>80</v>
      </c>
      <c r="AF864" s="1" t="n">
        <v>45946</v>
      </c>
      <c r="AG864" s="0" t="s">
        <v>63</v>
      </c>
      <c r="AH864" s="0" t="s">
        <v>116</v>
      </c>
      <c r="AI864" s="0" t="s">
        <v>117</v>
      </c>
      <c r="AK864" s="0" t="s">
        <v>63</v>
      </c>
      <c r="AL864" s="0" t="s">
        <v>50</v>
      </c>
      <c r="AM864" s="0" t="s">
        <v>64</v>
      </c>
      <c r="AN864" s="0" t="s">
        <v>190</v>
      </c>
    </row>
    <row r="865" customFormat="false" ht="15" hidden="false" customHeight="false" outlineLevel="0" collapsed="false">
      <c r="A865" s="1" t="n">
        <v>45729</v>
      </c>
      <c r="B865" s="0" t="s">
        <v>2013</v>
      </c>
      <c r="C865" s="0" t="s">
        <v>163</v>
      </c>
      <c r="D865" s="0" t="n">
        <v>8094132688</v>
      </c>
      <c r="E865" s="0" t="s">
        <v>67</v>
      </c>
      <c r="F865" s="0" t="s">
        <v>2014</v>
      </c>
      <c r="G865" s="0" t="s">
        <v>45</v>
      </c>
      <c r="H865" s="0" t="s">
        <v>141</v>
      </c>
      <c r="I865" s="0" t="s">
        <v>89</v>
      </c>
      <c r="K865" s="0" t="n">
        <v>69151</v>
      </c>
      <c r="L865" s="0" t="s">
        <v>49</v>
      </c>
      <c r="M865" s="0" t="s">
        <v>50</v>
      </c>
      <c r="N865" s="0" t="n">
        <v>1</v>
      </c>
      <c r="O865" s="0" t="n">
        <v>1.1</v>
      </c>
      <c r="P865" s="0" t="s">
        <v>125</v>
      </c>
      <c r="Q865" s="0" t="s">
        <v>73</v>
      </c>
      <c r="R865" s="0" t="s">
        <v>74</v>
      </c>
      <c r="S865" s="0" t="s">
        <v>147</v>
      </c>
      <c r="T865" s="0" t="n">
        <v>60</v>
      </c>
      <c r="U865" s="0" t="s">
        <v>96</v>
      </c>
      <c r="V865" s="0" t="s">
        <v>97</v>
      </c>
      <c r="W865" s="0" t="s">
        <v>98</v>
      </c>
      <c r="X865" s="0" t="s">
        <v>196</v>
      </c>
      <c r="Y865" s="0" t="s">
        <v>59</v>
      </c>
      <c r="Z865" s="0" t="s">
        <v>129</v>
      </c>
      <c r="AB865" s="0" t="n">
        <v>35000</v>
      </c>
      <c r="AC865" s="0" t="s">
        <v>82</v>
      </c>
      <c r="AD865" s="0" t="n">
        <v>5000</v>
      </c>
      <c r="AE865" s="0" t="s">
        <v>60</v>
      </c>
      <c r="AF865" s="1" t="n">
        <v>45862</v>
      </c>
      <c r="AG865" s="0" t="s">
        <v>61</v>
      </c>
      <c r="AH865" s="0" t="s">
        <v>116</v>
      </c>
      <c r="AJ865" s="0" t="s">
        <v>63</v>
      </c>
      <c r="AK865" s="0" t="s">
        <v>50</v>
      </c>
      <c r="AM865" s="0" t="s">
        <v>103</v>
      </c>
      <c r="AN865" s="0" t="s">
        <v>63</v>
      </c>
    </row>
    <row r="866" customFormat="false" ht="15" hidden="false" customHeight="false" outlineLevel="0" collapsed="false">
      <c r="A866" s="1" t="n">
        <v>45727</v>
      </c>
      <c r="B866" s="0" t="s">
        <v>2015</v>
      </c>
      <c r="C866" s="0" t="s">
        <v>105</v>
      </c>
      <c r="D866" s="0" t="n">
        <v>8093808429</v>
      </c>
      <c r="E866" s="0" t="s">
        <v>139</v>
      </c>
      <c r="F866" s="0" t="s">
        <v>2016</v>
      </c>
      <c r="G866" s="0" t="s">
        <v>87</v>
      </c>
      <c r="H866" s="0" t="s">
        <v>46</v>
      </c>
      <c r="I866" s="0" t="s">
        <v>142</v>
      </c>
      <c r="K866" s="0" t="n">
        <v>56668</v>
      </c>
      <c r="L866" s="0" t="s">
        <v>49</v>
      </c>
      <c r="M866" s="0" t="s">
        <v>63</v>
      </c>
      <c r="O866" s="0" t="n">
        <v>5.8</v>
      </c>
      <c r="Q866" s="0" t="s">
        <v>52</v>
      </c>
      <c r="R866" s="0" t="s">
        <v>53</v>
      </c>
      <c r="S866" s="0" t="s">
        <v>54</v>
      </c>
      <c r="T866" s="0" t="n">
        <v>30</v>
      </c>
      <c r="U866" s="0" t="s">
        <v>55</v>
      </c>
      <c r="V866" s="0" t="s">
        <v>155</v>
      </c>
      <c r="W866" s="0" t="s">
        <v>113</v>
      </c>
      <c r="X866" s="0" t="s">
        <v>99</v>
      </c>
      <c r="Y866" s="0" t="s">
        <v>156</v>
      </c>
      <c r="Z866" s="0" t="s">
        <v>79</v>
      </c>
      <c r="AA866" s="0" t="n">
        <v>25000</v>
      </c>
      <c r="AB866" s="0" t="n">
        <v>30000</v>
      </c>
      <c r="AC866" s="0" t="s">
        <v>82</v>
      </c>
      <c r="AD866" s="0" t="n">
        <v>0</v>
      </c>
      <c r="AE866" s="0" t="s">
        <v>60</v>
      </c>
      <c r="AF866" s="1" t="n">
        <v>45727</v>
      </c>
      <c r="AG866" s="0" t="s">
        <v>63</v>
      </c>
      <c r="AH866" s="0" t="s">
        <v>116</v>
      </c>
      <c r="AI866" s="0" t="s">
        <v>101</v>
      </c>
      <c r="AJ866" s="0" t="s">
        <v>81</v>
      </c>
      <c r="AK866" s="0" t="s">
        <v>82</v>
      </c>
      <c r="AL866" s="0" t="s">
        <v>63</v>
      </c>
      <c r="AM866" s="0" t="s">
        <v>118</v>
      </c>
      <c r="AN866" s="0" t="s">
        <v>63</v>
      </c>
    </row>
    <row r="867" customFormat="false" ht="15" hidden="false" customHeight="false" outlineLevel="0" collapsed="false">
      <c r="A867" s="1" t="n">
        <v>45779</v>
      </c>
      <c r="B867" s="0" t="s">
        <v>2017</v>
      </c>
      <c r="C867" s="0" t="s">
        <v>163</v>
      </c>
      <c r="D867" s="0" t="n">
        <v>8024655964</v>
      </c>
      <c r="E867" s="0" t="s">
        <v>85</v>
      </c>
      <c r="F867" s="0" t="s">
        <v>2018</v>
      </c>
      <c r="G867" s="0" t="s">
        <v>45</v>
      </c>
      <c r="H867" s="0" t="s">
        <v>176</v>
      </c>
      <c r="I867" s="0" t="s">
        <v>89</v>
      </c>
      <c r="K867" s="0" t="n">
        <v>78412</v>
      </c>
      <c r="L867" s="0" t="s">
        <v>72</v>
      </c>
      <c r="M867" s="0" t="s">
        <v>63</v>
      </c>
      <c r="N867" s="0" t="n">
        <v>5</v>
      </c>
      <c r="O867" s="0" t="n">
        <v>5.3</v>
      </c>
      <c r="Q867" s="0" t="s">
        <v>93</v>
      </c>
      <c r="S867" s="0" t="s">
        <v>95</v>
      </c>
      <c r="T867" s="0" t="n">
        <v>15</v>
      </c>
      <c r="U867" s="0" t="s">
        <v>160</v>
      </c>
      <c r="V867" s="0" t="s">
        <v>97</v>
      </c>
      <c r="W867" s="0" t="s">
        <v>128</v>
      </c>
      <c r="X867" s="0" t="s">
        <v>58</v>
      </c>
      <c r="Y867" s="0" t="s">
        <v>59</v>
      </c>
      <c r="Z867" s="0" t="s">
        <v>143</v>
      </c>
      <c r="AA867" s="0" t="n">
        <v>25000</v>
      </c>
      <c r="AB867" s="0" t="n">
        <v>20000</v>
      </c>
      <c r="AC867" s="0" t="s">
        <v>82</v>
      </c>
      <c r="AD867" s="0" t="n">
        <v>0</v>
      </c>
      <c r="AE867" s="0" t="s">
        <v>130</v>
      </c>
      <c r="AG867" s="0" t="s">
        <v>61</v>
      </c>
      <c r="AI867" s="0" t="s">
        <v>101</v>
      </c>
      <c r="AJ867" s="0" t="s">
        <v>63</v>
      </c>
      <c r="AK867" s="0" t="s">
        <v>50</v>
      </c>
      <c r="AL867" s="0" t="s">
        <v>63</v>
      </c>
      <c r="AM867" s="0" t="s">
        <v>103</v>
      </c>
      <c r="AN867" s="0" t="s">
        <v>50</v>
      </c>
    </row>
    <row r="868" customFormat="false" ht="15" hidden="false" customHeight="false" outlineLevel="0" collapsed="false">
      <c r="A868" s="1" t="n">
        <v>45782</v>
      </c>
      <c r="B868" s="0" t="s">
        <v>2019</v>
      </c>
      <c r="C868" s="0" t="s">
        <v>163</v>
      </c>
      <c r="D868" s="0" t="n">
        <v>8095420677</v>
      </c>
      <c r="E868" s="0" t="s">
        <v>43</v>
      </c>
      <c r="F868" s="0" t="s">
        <v>2020</v>
      </c>
      <c r="G868" s="0" t="s">
        <v>107</v>
      </c>
      <c r="H868" s="0" t="s">
        <v>272</v>
      </c>
      <c r="I868" s="0" t="s">
        <v>89</v>
      </c>
      <c r="J868" s="0" t="s">
        <v>48</v>
      </c>
      <c r="K868" s="0" t="n">
        <v>77258</v>
      </c>
      <c r="L868" s="0" t="s">
        <v>124</v>
      </c>
      <c r="M868" s="0" t="s">
        <v>50</v>
      </c>
      <c r="N868" s="0" t="n">
        <v>5</v>
      </c>
      <c r="O868" s="0" t="n">
        <v>2.9</v>
      </c>
      <c r="Q868" s="0" t="s">
        <v>93</v>
      </c>
      <c r="R868" s="0" t="s">
        <v>159</v>
      </c>
      <c r="S868" s="0" t="s">
        <v>95</v>
      </c>
      <c r="U868" s="0" t="s">
        <v>76</v>
      </c>
      <c r="V868" s="0" t="s">
        <v>148</v>
      </c>
      <c r="W868" s="0" t="s">
        <v>113</v>
      </c>
      <c r="X868" s="0" t="s">
        <v>99</v>
      </c>
      <c r="Y868" s="0" t="s">
        <v>156</v>
      </c>
      <c r="Z868" s="0" t="s">
        <v>143</v>
      </c>
      <c r="AA868" s="0" t="n">
        <v>25000</v>
      </c>
      <c r="AB868" s="0" t="s">
        <v>178</v>
      </c>
      <c r="AD868" s="0" t="s">
        <v>115</v>
      </c>
      <c r="AE868" s="0" t="s">
        <v>60</v>
      </c>
      <c r="AG868" s="0" t="s">
        <v>82</v>
      </c>
      <c r="AH868" s="0" t="s">
        <v>171</v>
      </c>
      <c r="AJ868" s="0" t="s">
        <v>62</v>
      </c>
      <c r="AK868" s="0" t="s">
        <v>82</v>
      </c>
      <c r="AL868" s="0" t="s">
        <v>50</v>
      </c>
      <c r="AM868" s="0" t="s">
        <v>64</v>
      </c>
      <c r="AN868" s="0" t="s">
        <v>190</v>
      </c>
    </row>
    <row r="869" customFormat="false" ht="15" hidden="false" customHeight="false" outlineLevel="0" collapsed="false">
      <c r="A869" s="1" t="n">
        <v>45729</v>
      </c>
      <c r="B869" s="0" t="s">
        <v>2021</v>
      </c>
      <c r="C869" s="0" t="s">
        <v>163</v>
      </c>
      <c r="D869" s="0" t="n">
        <v>8032297072</v>
      </c>
      <c r="E869" s="0" t="s">
        <v>85</v>
      </c>
      <c r="F869" s="0" t="s">
        <v>2022</v>
      </c>
      <c r="G869" s="0" t="s">
        <v>69</v>
      </c>
      <c r="I869" s="0" t="s">
        <v>108</v>
      </c>
      <c r="J869" s="0" t="s">
        <v>90</v>
      </c>
      <c r="K869" s="0" t="n">
        <v>106658</v>
      </c>
      <c r="L869" s="0" t="s">
        <v>91</v>
      </c>
      <c r="M869" s="0" t="s">
        <v>63</v>
      </c>
      <c r="O869" s="0" t="n">
        <v>4.8</v>
      </c>
      <c r="P869" s="0" t="s">
        <v>51</v>
      </c>
      <c r="Q869" s="0" t="s">
        <v>73</v>
      </c>
      <c r="R869" s="0" t="s">
        <v>53</v>
      </c>
      <c r="S869" s="0" t="s">
        <v>75</v>
      </c>
      <c r="T869" s="0" t="n">
        <v>30</v>
      </c>
      <c r="U869" s="0" t="s">
        <v>55</v>
      </c>
      <c r="V869" s="0" t="s">
        <v>97</v>
      </c>
      <c r="W869" s="0" t="s">
        <v>113</v>
      </c>
      <c r="X869" s="0" t="s">
        <v>114</v>
      </c>
      <c r="Y869" s="0" t="s">
        <v>197</v>
      </c>
      <c r="Z869" s="0" t="s">
        <v>79</v>
      </c>
      <c r="AA869" s="0" t="n">
        <v>40000</v>
      </c>
      <c r="AB869" s="0" t="n">
        <v>40000</v>
      </c>
      <c r="AC869" s="0" t="s">
        <v>82</v>
      </c>
      <c r="AD869" s="0" t="n">
        <v>5000</v>
      </c>
      <c r="AE869" s="0" t="s">
        <v>80</v>
      </c>
      <c r="AF869" s="1" t="n">
        <v>45852</v>
      </c>
      <c r="AI869" s="0" t="s">
        <v>117</v>
      </c>
      <c r="AJ869" s="0" t="s">
        <v>62</v>
      </c>
      <c r="AK869" s="0" t="s">
        <v>50</v>
      </c>
      <c r="AL869" s="0" t="s">
        <v>50</v>
      </c>
      <c r="AM869" s="0" t="s">
        <v>83</v>
      </c>
      <c r="AN869" s="0" t="s">
        <v>50</v>
      </c>
    </row>
    <row r="870" customFormat="false" ht="15" hidden="false" customHeight="false" outlineLevel="0" collapsed="false">
      <c r="A870" s="1" t="n">
        <v>45811</v>
      </c>
      <c r="B870" s="0" t="s">
        <v>2023</v>
      </c>
      <c r="C870" s="0" t="s">
        <v>105</v>
      </c>
      <c r="D870" s="0" t="n">
        <v>8020711890</v>
      </c>
      <c r="E870" s="0" t="s">
        <v>67</v>
      </c>
      <c r="F870" s="0" t="s">
        <v>2024</v>
      </c>
      <c r="G870" s="0" t="s">
        <v>45</v>
      </c>
      <c r="H870" s="0" t="s">
        <v>170</v>
      </c>
      <c r="I870" s="0" t="s">
        <v>142</v>
      </c>
      <c r="J870" s="0" t="s">
        <v>109</v>
      </c>
      <c r="K870" s="0" t="n">
        <v>40557</v>
      </c>
      <c r="L870" s="0" t="s">
        <v>72</v>
      </c>
      <c r="M870" s="0" t="s">
        <v>63</v>
      </c>
      <c r="N870" s="0" t="n">
        <v>2</v>
      </c>
      <c r="O870" s="0" t="n">
        <v>4.1</v>
      </c>
      <c r="P870" s="0" t="s">
        <v>111</v>
      </c>
      <c r="Q870" s="0" t="s">
        <v>52</v>
      </c>
      <c r="R870" s="0" t="s">
        <v>94</v>
      </c>
      <c r="S870" s="0" t="s">
        <v>54</v>
      </c>
      <c r="T870" s="0" t="n">
        <v>45</v>
      </c>
      <c r="U870" s="0" t="s">
        <v>55</v>
      </c>
      <c r="V870" s="0" t="s">
        <v>56</v>
      </c>
      <c r="W870" s="0" t="s">
        <v>98</v>
      </c>
      <c r="X870" s="0" t="s">
        <v>58</v>
      </c>
      <c r="Y870" s="0" t="s">
        <v>59</v>
      </c>
      <c r="Z870" s="0" t="s">
        <v>143</v>
      </c>
      <c r="AA870" s="0" t="n">
        <v>40000</v>
      </c>
      <c r="AC870" s="0" t="s">
        <v>63</v>
      </c>
      <c r="AD870" s="0" t="s">
        <v>115</v>
      </c>
      <c r="AE870" s="0" t="s">
        <v>60</v>
      </c>
      <c r="AF870" s="1" t="n">
        <v>46003</v>
      </c>
      <c r="AG870" s="0" t="s">
        <v>82</v>
      </c>
      <c r="AJ870" s="0" t="s">
        <v>63</v>
      </c>
      <c r="AK870" s="0" t="s">
        <v>82</v>
      </c>
      <c r="AN870" s="0" t="s">
        <v>50</v>
      </c>
    </row>
    <row r="871" customFormat="false" ht="15" hidden="false" customHeight="false" outlineLevel="0" collapsed="false">
      <c r="A871" s="1" t="n">
        <v>45717</v>
      </c>
      <c r="B871" s="0" t="s">
        <v>2025</v>
      </c>
      <c r="C871" s="0" t="s">
        <v>42</v>
      </c>
      <c r="D871" s="0" t="n">
        <v>8049342650</v>
      </c>
      <c r="E871" s="0" t="s">
        <v>139</v>
      </c>
      <c r="F871" s="0" t="s">
        <v>2026</v>
      </c>
      <c r="G871" s="0" t="s">
        <v>107</v>
      </c>
      <c r="H871" s="0" t="s">
        <v>242</v>
      </c>
      <c r="I871" s="0" t="s">
        <v>47</v>
      </c>
      <c r="J871" s="0" t="s">
        <v>109</v>
      </c>
      <c r="K871" s="0" t="n">
        <v>84853</v>
      </c>
      <c r="L871" s="0" t="s">
        <v>72</v>
      </c>
      <c r="M871" s="0" t="s">
        <v>63</v>
      </c>
      <c r="N871" s="0" t="n">
        <v>3</v>
      </c>
      <c r="O871" s="0" t="n">
        <v>5.1</v>
      </c>
      <c r="P871" s="0" t="s">
        <v>111</v>
      </c>
      <c r="Q871" s="0" t="s">
        <v>52</v>
      </c>
      <c r="S871" s="0" t="s">
        <v>147</v>
      </c>
      <c r="U871" s="0" t="s">
        <v>112</v>
      </c>
      <c r="V871" s="0" t="s">
        <v>56</v>
      </c>
      <c r="W871" s="0" t="s">
        <v>128</v>
      </c>
      <c r="X871" s="0" t="s">
        <v>196</v>
      </c>
      <c r="Y871" s="0" t="s">
        <v>156</v>
      </c>
      <c r="Z871" s="0" t="s">
        <v>129</v>
      </c>
      <c r="AA871" s="0" t="s">
        <v>150</v>
      </c>
      <c r="AB871" s="0" t="n">
        <v>40000</v>
      </c>
      <c r="AC871" s="0" t="s">
        <v>82</v>
      </c>
      <c r="AE871" s="0" t="s">
        <v>60</v>
      </c>
      <c r="AF871" s="1" t="n">
        <v>45939</v>
      </c>
      <c r="AG871" s="0" t="s">
        <v>61</v>
      </c>
      <c r="AH871" s="0" t="s">
        <v>171</v>
      </c>
      <c r="AJ871" s="0" t="s">
        <v>50</v>
      </c>
      <c r="AK871" s="0" t="s">
        <v>82</v>
      </c>
      <c r="AL871" s="0" t="s">
        <v>63</v>
      </c>
      <c r="AN871" s="0" t="s">
        <v>50</v>
      </c>
    </row>
    <row r="872" customFormat="false" ht="15" hidden="false" customHeight="false" outlineLevel="0" collapsed="false">
      <c r="A872" s="0" t="s">
        <v>316</v>
      </c>
      <c r="B872" s="0" t="s">
        <v>2027</v>
      </c>
      <c r="C872" s="0" t="s">
        <v>163</v>
      </c>
      <c r="D872" s="0" t="n">
        <v>8021503407</v>
      </c>
      <c r="E872" s="0" t="s">
        <v>67</v>
      </c>
      <c r="F872" s="0" t="s">
        <v>2028</v>
      </c>
      <c r="G872" s="0" t="s">
        <v>87</v>
      </c>
      <c r="H872" s="0" t="s">
        <v>272</v>
      </c>
      <c r="I872" s="0" t="s">
        <v>108</v>
      </c>
      <c r="J872" s="0" t="s">
        <v>48</v>
      </c>
      <c r="K872" s="0" t="n">
        <v>67718</v>
      </c>
      <c r="L872" s="0" t="s">
        <v>110</v>
      </c>
      <c r="M872" s="0" t="s">
        <v>50</v>
      </c>
      <c r="N872" s="0" t="n">
        <v>2</v>
      </c>
      <c r="O872" s="0" t="n">
        <v>1.7</v>
      </c>
      <c r="P872" s="0" t="s">
        <v>51</v>
      </c>
      <c r="Q872" s="0" t="s">
        <v>73</v>
      </c>
      <c r="R872" s="0" t="s">
        <v>136</v>
      </c>
      <c r="S872" s="0" t="s">
        <v>54</v>
      </c>
      <c r="T872" s="0" t="n">
        <v>60</v>
      </c>
      <c r="U872" s="0" t="s">
        <v>76</v>
      </c>
      <c r="V872" s="0" t="s">
        <v>56</v>
      </c>
      <c r="W872" s="0" t="s">
        <v>57</v>
      </c>
      <c r="X872" s="0" t="s">
        <v>99</v>
      </c>
      <c r="Z872" s="0" t="s">
        <v>149</v>
      </c>
      <c r="AA872" s="0" t="n">
        <v>40000</v>
      </c>
      <c r="AC872" s="0" t="s">
        <v>82</v>
      </c>
      <c r="AD872" s="0" t="n">
        <v>0</v>
      </c>
      <c r="AE872" s="0" t="s">
        <v>80</v>
      </c>
      <c r="AF872" s="1" t="n">
        <v>45920</v>
      </c>
      <c r="AH872" s="0" t="s">
        <v>116</v>
      </c>
      <c r="AK872" s="0" t="s">
        <v>82</v>
      </c>
      <c r="AL872" s="0" t="s">
        <v>102</v>
      </c>
      <c r="AM872" s="0" t="s">
        <v>64</v>
      </c>
      <c r="AN872" s="0" t="s">
        <v>50</v>
      </c>
    </row>
    <row r="873" customFormat="false" ht="15" hidden="false" customHeight="false" outlineLevel="0" collapsed="false">
      <c r="A873" s="1" t="n">
        <v>45755</v>
      </c>
      <c r="B873" s="0" t="s">
        <v>2029</v>
      </c>
      <c r="C873" s="0" t="s">
        <v>105</v>
      </c>
      <c r="D873" s="0" t="n">
        <v>8060697866</v>
      </c>
      <c r="E873" s="0" t="s">
        <v>43</v>
      </c>
      <c r="F873" s="0" t="s">
        <v>2030</v>
      </c>
      <c r="G873" s="0" t="s">
        <v>69</v>
      </c>
      <c r="H873" s="0" t="s">
        <v>88</v>
      </c>
      <c r="I873" s="0" t="s">
        <v>108</v>
      </c>
      <c r="K873" s="0" t="n">
        <v>76433</v>
      </c>
      <c r="L873" s="0" t="s">
        <v>124</v>
      </c>
      <c r="M873" s="0" t="s">
        <v>63</v>
      </c>
      <c r="N873" s="0" t="n">
        <v>4</v>
      </c>
      <c r="O873" s="0" t="n">
        <v>3.5</v>
      </c>
      <c r="P873" s="0" t="s">
        <v>51</v>
      </c>
      <c r="Q873" s="0" t="s">
        <v>93</v>
      </c>
      <c r="S873" s="0" t="s">
        <v>147</v>
      </c>
      <c r="T873" s="0" t="s">
        <v>127</v>
      </c>
      <c r="U873" s="0" t="s">
        <v>55</v>
      </c>
      <c r="V873" s="0" t="s">
        <v>148</v>
      </c>
      <c r="W873" s="0" t="s">
        <v>113</v>
      </c>
      <c r="X873" s="0" t="s">
        <v>58</v>
      </c>
      <c r="Z873" s="0" t="s">
        <v>79</v>
      </c>
      <c r="AA873" s="0" t="n">
        <v>40000</v>
      </c>
      <c r="AB873" s="0" t="n">
        <v>30000</v>
      </c>
      <c r="AC873" s="0" t="s">
        <v>50</v>
      </c>
      <c r="AD873" s="0" t="s">
        <v>115</v>
      </c>
      <c r="AG873" s="0" t="s">
        <v>61</v>
      </c>
      <c r="AI873" s="0" t="s">
        <v>101</v>
      </c>
      <c r="AJ873" s="0" t="s">
        <v>63</v>
      </c>
      <c r="AK873" s="0" t="s">
        <v>61</v>
      </c>
      <c r="AM873" s="0" t="s">
        <v>103</v>
      </c>
      <c r="AN873" s="0" t="s">
        <v>190</v>
      </c>
    </row>
    <row r="874" customFormat="false" ht="15" hidden="false" customHeight="false" outlineLevel="0" collapsed="false">
      <c r="A874" s="1" t="n">
        <v>45735</v>
      </c>
      <c r="B874" s="0" t="s">
        <v>2031</v>
      </c>
      <c r="C874" s="0" t="s">
        <v>42</v>
      </c>
      <c r="D874" s="0" t="n">
        <v>8026734478</v>
      </c>
      <c r="E874" s="0" t="s">
        <v>85</v>
      </c>
      <c r="F874" s="0" t="s">
        <v>2032</v>
      </c>
      <c r="G874" s="0" t="s">
        <v>69</v>
      </c>
      <c r="H874" s="0" t="s">
        <v>153</v>
      </c>
      <c r="I874" s="0" t="s">
        <v>47</v>
      </c>
      <c r="J874" s="0" t="s">
        <v>90</v>
      </c>
      <c r="K874" s="0" t="n">
        <v>58994</v>
      </c>
      <c r="L874" s="0" t="s">
        <v>110</v>
      </c>
      <c r="M874" s="0" t="s">
        <v>50</v>
      </c>
      <c r="O874" s="0" t="n">
        <v>5.7</v>
      </c>
      <c r="P874" s="0" t="s">
        <v>92</v>
      </c>
      <c r="Q874" s="0" t="s">
        <v>93</v>
      </c>
      <c r="R874" s="0" t="s">
        <v>159</v>
      </c>
      <c r="S874" s="0" t="s">
        <v>54</v>
      </c>
      <c r="T874" s="0" t="s">
        <v>127</v>
      </c>
      <c r="U874" s="0" t="s">
        <v>112</v>
      </c>
      <c r="V874" s="0" t="s">
        <v>56</v>
      </c>
      <c r="W874" s="0" t="s">
        <v>113</v>
      </c>
      <c r="X874" s="0" t="s">
        <v>58</v>
      </c>
      <c r="Y874" s="0" t="s">
        <v>177</v>
      </c>
      <c r="Z874" s="0" t="s">
        <v>79</v>
      </c>
      <c r="AA874" s="0" t="n">
        <v>40000</v>
      </c>
      <c r="AB874" s="0" t="n">
        <v>20000</v>
      </c>
      <c r="AC874" s="0" t="s">
        <v>61</v>
      </c>
      <c r="AD874" s="0" t="n">
        <v>0</v>
      </c>
      <c r="AE874" s="0" t="s">
        <v>184</v>
      </c>
      <c r="AF874" s="1" t="n">
        <v>45878</v>
      </c>
      <c r="AJ874" s="0" t="s">
        <v>62</v>
      </c>
      <c r="AK874" s="0" t="s">
        <v>63</v>
      </c>
      <c r="AL874" s="0" t="s">
        <v>102</v>
      </c>
      <c r="AM874" s="0" t="s">
        <v>118</v>
      </c>
      <c r="AN874" s="0" t="s">
        <v>50</v>
      </c>
    </row>
    <row r="875" customFormat="false" ht="15" hidden="false" customHeight="false" outlineLevel="0" collapsed="false">
      <c r="A875" s="1" t="n">
        <v>45677</v>
      </c>
      <c r="B875" s="0" t="s">
        <v>2033</v>
      </c>
      <c r="C875" s="0" t="s">
        <v>105</v>
      </c>
      <c r="D875" s="0" t="n">
        <v>8047146394</v>
      </c>
      <c r="E875" s="0" t="s">
        <v>43</v>
      </c>
      <c r="F875" s="0" t="s">
        <v>2034</v>
      </c>
      <c r="G875" s="0" t="s">
        <v>107</v>
      </c>
      <c r="H875" s="0" t="s">
        <v>46</v>
      </c>
      <c r="I875" s="0" t="s">
        <v>108</v>
      </c>
      <c r="J875" s="0" t="s">
        <v>90</v>
      </c>
      <c r="K875" s="0" t="n">
        <v>67365</v>
      </c>
      <c r="L875" s="0" t="s">
        <v>166</v>
      </c>
      <c r="M875" s="0" t="s">
        <v>63</v>
      </c>
      <c r="N875" s="0" t="n">
        <v>5</v>
      </c>
      <c r="O875" s="0" t="n">
        <v>4.7</v>
      </c>
      <c r="P875" s="0" t="s">
        <v>92</v>
      </c>
      <c r="Q875" s="0" t="s">
        <v>52</v>
      </c>
      <c r="R875" s="0" t="s">
        <v>136</v>
      </c>
      <c r="S875" s="0" t="s">
        <v>147</v>
      </c>
      <c r="T875" s="0" t="n">
        <v>15</v>
      </c>
      <c r="U875" s="0" t="s">
        <v>55</v>
      </c>
      <c r="V875" s="0" t="s">
        <v>97</v>
      </c>
      <c r="W875" s="0" t="s">
        <v>78</v>
      </c>
      <c r="X875" s="0" t="s">
        <v>58</v>
      </c>
      <c r="Z875" s="0" t="s">
        <v>79</v>
      </c>
      <c r="AA875" s="0" t="n">
        <v>15000</v>
      </c>
      <c r="AB875" s="0" t="s">
        <v>178</v>
      </c>
      <c r="AC875" s="0" t="s">
        <v>82</v>
      </c>
      <c r="AD875" s="0" t="n">
        <v>10000</v>
      </c>
      <c r="AE875" s="0" t="s">
        <v>130</v>
      </c>
      <c r="AF875" s="1" t="n">
        <v>45877</v>
      </c>
      <c r="AJ875" s="0" t="s">
        <v>63</v>
      </c>
      <c r="AM875" s="0" t="s">
        <v>64</v>
      </c>
      <c r="AN875" s="0" t="s">
        <v>190</v>
      </c>
    </row>
    <row r="876" customFormat="false" ht="15" hidden="false" customHeight="false" outlineLevel="0" collapsed="false">
      <c r="A876" s="1" t="n">
        <v>45791</v>
      </c>
      <c r="B876" s="0" t="s">
        <v>2035</v>
      </c>
      <c r="C876" s="0" t="s">
        <v>66</v>
      </c>
      <c r="D876" s="0" t="n">
        <v>8018625158</v>
      </c>
      <c r="E876" s="0" t="s">
        <v>43</v>
      </c>
      <c r="F876" s="0" t="s">
        <v>2036</v>
      </c>
      <c r="G876" s="0" t="s">
        <v>107</v>
      </c>
      <c r="H876" s="0" t="s">
        <v>176</v>
      </c>
      <c r="I876" s="0" t="s">
        <v>154</v>
      </c>
      <c r="J876" s="0" t="s">
        <v>71</v>
      </c>
      <c r="K876" s="0" t="n">
        <v>11511</v>
      </c>
      <c r="L876" s="0" t="s">
        <v>91</v>
      </c>
      <c r="M876" s="0" t="s">
        <v>63</v>
      </c>
      <c r="O876" s="0" t="n">
        <v>3.9</v>
      </c>
      <c r="P876" s="0" t="s">
        <v>51</v>
      </c>
      <c r="Q876" s="0" t="s">
        <v>52</v>
      </c>
      <c r="R876" s="0" t="s">
        <v>159</v>
      </c>
      <c r="S876" s="0" t="s">
        <v>95</v>
      </c>
      <c r="T876" s="0" t="s">
        <v>127</v>
      </c>
      <c r="U876" s="0" t="s">
        <v>160</v>
      </c>
      <c r="V876" s="0" t="s">
        <v>148</v>
      </c>
      <c r="W876" s="0" t="s">
        <v>78</v>
      </c>
      <c r="X876" s="0" t="s">
        <v>99</v>
      </c>
      <c r="AA876" s="0" t="n">
        <v>15000</v>
      </c>
      <c r="AB876" s="0" t="n">
        <v>40000</v>
      </c>
      <c r="AC876" s="0" t="s">
        <v>82</v>
      </c>
      <c r="AE876" s="0" t="s">
        <v>80</v>
      </c>
      <c r="AF876" s="1" t="n">
        <v>45990</v>
      </c>
      <c r="AG876" s="0" t="s">
        <v>61</v>
      </c>
      <c r="AH876" s="0" t="s">
        <v>116</v>
      </c>
      <c r="AI876" s="0" t="s">
        <v>101</v>
      </c>
      <c r="AK876" s="0" t="s">
        <v>50</v>
      </c>
      <c r="AL876" s="0" t="s">
        <v>50</v>
      </c>
      <c r="AM876" s="0" t="s">
        <v>83</v>
      </c>
      <c r="AN876" s="0" t="s">
        <v>198</v>
      </c>
    </row>
    <row r="877" customFormat="false" ht="15" hidden="false" customHeight="false" outlineLevel="0" collapsed="false">
      <c r="A877" s="1" t="n">
        <v>45783</v>
      </c>
      <c r="B877" s="0" t="s">
        <v>2037</v>
      </c>
      <c r="C877" s="0" t="s">
        <v>163</v>
      </c>
      <c r="D877" s="0" t="n">
        <v>8055922853</v>
      </c>
      <c r="E877" s="0" t="s">
        <v>122</v>
      </c>
      <c r="F877" s="0" t="s">
        <v>1771</v>
      </c>
      <c r="G877" s="0" t="s">
        <v>107</v>
      </c>
      <c r="I877" s="0" t="s">
        <v>89</v>
      </c>
      <c r="J877" s="0" t="s">
        <v>48</v>
      </c>
      <c r="K877" s="0" t="n">
        <v>80660</v>
      </c>
      <c r="L877" s="0" t="s">
        <v>166</v>
      </c>
      <c r="M877" s="0" t="s">
        <v>63</v>
      </c>
      <c r="N877" s="0" t="n">
        <v>1</v>
      </c>
      <c r="O877" s="0" t="n">
        <v>3.7</v>
      </c>
      <c r="P877" s="0" t="s">
        <v>111</v>
      </c>
      <c r="Q877" s="0" t="s">
        <v>73</v>
      </c>
      <c r="S877" s="0" t="s">
        <v>75</v>
      </c>
      <c r="T877" s="0" t="n">
        <v>30</v>
      </c>
      <c r="U877" s="0" t="s">
        <v>55</v>
      </c>
      <c r="V877" s="0" t="s">
        <v>56</v>
      </c>
      <c r="W877" s="0" t="s">
        <v>128</v>
      </c>
      <c r="X877" s="0" t="s">
        <v>137</v>
      </c>
      <c r="Y877" s="0" t="s">
        <v>156</v>
      </c>
      <c r="Z877" s="0" t="s">
        <v>129</v>
      </c>
      <c r="AA877" s="0" t="n">
        <v>25000</v>
      </c>
      <c r="AB877" s="0" t="n">
        <v>35000</v>
      </c>
      <c r="AC877" s="0" t="s">
        <v>82</v>
      </c>
      <c r="AD877" s="0" t="n">
        <v>5000</v>
      </c>
      <c r="AE877" s="0" t="s">
        <v>130</v>
      </c>
      <c r="AF877" s="1" t="n">
        <v>46001</v>
      </c>
      <c r="AG877" s="0" t="s">
        <v>50</v>
      </c>
      <c r="AI877" s="0" t="s">
        <v>101</v>
      </c>
      <c r="AK877" s="0" t="s">
        <v>50</v>
      </c>
      <c r="AL877" s="0" t="s">
        <v>102</v>
      </c>
      <c r="AM877" s="0" t="s">
        <v>83</v>
      </c>
    </row>
    <row r="878" customFormat="false" ht="15" hidden="false" customHeight="false" outlineLevel="0" collapsed="false">
      <c r="A878" s="1" t="n">
        <v>45745</v>
      </c>
      <c r="B878" s="0" t="s">
        <v>2038</v>
      </c>
      <c r="C878" s="0" t="s">
        <v>105</v>
      </c>
      <c r="D878" s="0" t="n">
        <v>8013981790</v>
      </c>
      <c r="E878" s="0" t="s">
        <v>43</v>
      </c>
      <c r="F878" s="0" t="s">
        <v>2039</v>
      </c>
      <c r="G878" s="0" t="s">
        <v>87</v>
      </c>
      <c r="H878" s="0" t="s">
        <v>272</v>
      </c>
      <c r="I878" s="0" t="s">
        <v>189</v>
      </c>
      <c r="K878" s="0" t="n">
        <v>32619</v>
      </c>
      <c r="L878" s="0" t="s">
        <v>166</v>
      </c>
      <c r="M878" s="0" t="s">
        <v>50</v>
      </c>
      <c r="N878" s="0" t="n">
        <v>5</v>
      </c>
      <c r="O878" s="0" t="n">
        <v>4.9</v>
      </c>
      <c r="P878" s="0" t="s">
        <v>92</v>
      </c>
      <c r="Q878" s="0" t="s">
        <v>73</v>
      </c>
      <c r="R878" s="0" t="s">
        <v>74</v>
      </c>
      <c r="S878" s="0" t="s">
        <v>75</v>
      </c>
      <c r="U878" s="0" t="s">
        <v>160</v>
      </c>
      <c r="V878" s="0" t="s">
        <v>56</v>
      </c>
      <c r="W878" s="0" t="s">
        <v>98</v>
      </c>
      <c r="X878" s="0" t="s">
        <v>114</v>
      </c>
      <c r="Y878" s="0" t="s">
        <v>177</v>
      </c>
      <c r="Z878" s="0" t="s">
        <v>79</v>
      </c>
      <c r="AB878" s="0" t="n">
        <v>20000</v>
      </c>
      <c r="AC878" s="0" t="s">
        <v>63</v>
      </c>
      <c r="AD878" s="0" t="s">
        <v>115</v>
      </c>
      <c r="AE878" s="0" t="s">
        <v>60</v>
      </c>
      <c r="AF878" s="1" t="n">
        <v>45874</v>
      </c>
      <c r="AG878" s="0" t="s">
        <v>63</v>
      </c>
      <c r="AI878" s="0" t="s">
        <v>172</v>
      </c>
      <c r="AJ878" s="0" t="s">
        <v>63</v>
      </c>
      <c r="AK878" s="0" t="s">
        <v>61</v>
      </c>
      <c r="AL878" s="0" t="s">
        <v>102</v>
      </c>
      <c r="AN878" s="0" t="s">
        <v>190</v>
      </c>
    </row>
    <row r="879" customFormat="false" ht="15" hidden="false" customHeight="false" outlineLevel="0" collapsed="false">
      <c r="A879" s="1" t="n">
        <v>45778</v>
      </c>
      <c r="B879" s="0" t="s">
        <v>2040</v>
      </c>
      <c r="C879" s="0" t="s">
        <v>163</v>
      </c>
      <c r="D879" s="0" t="n">
        <v>8088604129</v>
      </c>
      <c r="E879" s="0" t="s">
        <v>139</v>
      </c>
      <c r="F879" s="0" t="s">
        <v>2041</v>
      </c>
      <c r="G879" s="0" t="s">
        <v>107</v>
      </c>
      <c r="H879" s="0" t="s">
        <v>135</v>
      </c>
      <c r="I879" s="0" t="s">
        <v>189</v>
      </c>
      <c r="K879" s="0" t="n">
        <v>18089</v>
      </c>
      <c r="L879" s="0" t="s">
        <v>91</v>
      </c>
      <c r="M879" s="0" t="s">
        <v>63</v>
      </c>
      <c r="N879" s="0" t="n">
        <v>4</v>
      </c>
      <c r="O879" s="0" t="n">
        <v>4.6</v>
      </c>
      <c r="P879" s="0" t="s">
        <v>92</v>
      </c>
      <c r="Q879" s="0" t="s">
        <v>73</v>
      </c>
      <c r="R879" s="0" t="s">
        <v>136</v>
      </c>
      <c r="S879" s="0" t="s">
        <v>167</v>
      </c>
      <c r="T879" s="0" t="n">
        <v>60</v>
      </c>
      <c r="U879" s="0" t="s">
        <v>112</v>
      </c>
      <c r="V879" s="0" t="s">
        <v>97</v>
      </c>
      <c r="W879" s="0" t="s">
        <v>57</v>
      </c>
      <c r="X879" s="0" t="s">
        <v>58</v>
      </c>
      <c r="Y879" s="0" t="s">
        <v>177</v>
      </c>
      <c r="Z879" s="0" t="s">
        <v>143</v>
      </c>
      <c r="AA879" s="0" t="s">
        <v>150</v>
      </c>
      <c r="AB879" s="0" t="n">
        <v>20000</v>
      </c>
      <c r="AC879" s="0" t="s">
        <v>61</v>
      </c>
      <c r="AD879" s="0" t="n">
        <v>10000</v>
      </c>
      <c r="AF879" s="0" t="s">
        <v>2042</v>
      </c>
      <c r="AG879" s="0" t="s">
        <v>50</v>
      </c>
      <c r="AJ879" s="0" t="s">
        <v>62</v>
      </c>
      <c r="AK879" s="0" t="s">
        <v>50</v>
      </c>
      <c r="AL879" s="0" t="s">
        <v>102</v>
      </c>
      <c r="AM879" s="0" t="s">
        <v>64</v>
      </c>
    </row>
    <row r="880" customFormat="false" ht="15" hidden="false" customHeight="false" outlineLevel="0" collapsed="false">
      <c r="A880" s="1" t="n">
        <v>45904</v>
      </c>
      <c r="B880" s="0" t="s">
        <v>2043</v>
      </c>
      <c r="C880" s="0" t="s">
        <v>66</v>
      </c>
      <c r="D880" s="0" t="n">
        <v>8041511655</v>
      </c>
      <c r="E880" s="0" t="s">
        <v>43</v>
      </c>
      <c r="F880" s="0" t="s">
        <v>2044</v>
      </c>
      <c r="G880" s="0" t="s">
        <v>45</v>
      </c>
      <c r="H880" s="0" t="s">
        <v>88</v>
      </c>
      <c r="I880" s="0" t="s">
        <v>154</v>
      </c>
      <c r="J880" s="0" t="s">
        <v>90</v>
      </c>
      <c r="K880" s="0" t="n">
        <v>116413</v>
      </c>
      <c r="L880" s="0" t="s">
        <v>91</v>
      </c>
      <c r="M880" s="0" t="s">
        <v>63</v>
      </c>
      <c r="N880" s="0" t="n">
        <v>3</v>
      </c>
      <c r="O880" s="0" t="n">
        <v>4.7</v>
      </c>
      <c r="P880" s="0" t="s">
        <v>125</v>
      </c>
      <c r="Q880" s="0" t="s">
        <v>52</v>
      </c>
      <c r="R880" s="0" t="s">
        <v>94</v>
      </c>
      <c r="S880" s="0" t="s">
        <v>126</v>
      </c>
      <c r="T880" s="0" t="n">
        <v>60</v>
      </c>
      <c r="U880" s="0" t="s">
        <v>112</v>
      </c>
      <c r="V880" s="0" t="s">
        <v>56</v>
      </c>
      <c r="W880" s="0" t="s">
        <v>78</v>
      </c>
      <c r="X880" s="0" t="s">
        <v>196</v>
      </c>
      <c r="AA880" s="0" t="s">
        <v>150</v>
      </c>
      <c r="AE880" s="0" t="s">
        <v>80</v>
      </c>
      <c r="AF880" s="1" t="n">
        <v>45909</v>
      </c>
      <c r="AG880" s="0" t="s">
        <v>82</v>
      </c>
      <c r="AI880" s="0" t="s">
        <v>101</v>
      </c>
      <c r="AJ880" s="0" t="s">
        <v>81</v>
      </c>
      <c r="AK880" s="0" t="s">
        <v>63</v>
      </c>
      <c r="AL880" s="0" t="s">
        <v>102</v>
      </c>
      <c r="AM880" s="0" t="s">
        <v>83</v>
      </c>
      <c r="AN880" s="0" t="s">
        <v>50</v>
      </c>
    </row>
    <row r="881" customFormat="false" ht="15" hidden="false" customHeight="false" outlineLevel="0" collapsed="false">
      <c r="A881" s="1" t="n">
        <v>45754</v>
      </c>
      <c r="B881" s="0" t="s">
        <v>2045</v>
      </c>
      <c r="C881" s="0" t="s">
        <v>105</v>
      </c>
      <c r="D881" s="0" t="n">
        <v>8074142265</v>
      </c>
      <c r="E881" s="0" t="s">
        <v>43</v>
      </c>
      <c r="F881" s="0" t="s">
        <v>2046</v>
      </c>
      <c r="G881" s="0" t="s">
        <v>45</v>
      </c>
      <c r="I881" s="0" t="s">
        <v>89</v>
      </c>
      <c r="J881" s="0" t="s">
        <v>90</v>
      </c>
      <c r="K881" s="0" t="n">
        <v>13367</v>
      </c>
      <c r="L881" s="0" t="s">
        <v>49</v>
      </c>
      <c r="M881" s="0" t="s">
        <v>63</v>
      </c>
      <c r="O881" s="0" t="n">
        <v>4.1</v>
      </c>
      <c r="Q881" s="0" t="s">
        <v>73</v>
      </c>
      <c r="R881" s="0" t="s">
        <v>159</v>
      </c>
      <c r="S881" s="0" t="s">
        <v>126</v>
      </c>
      <c r="T881" s="0" t="n">
        <v>15</v>
      </c>
      <c r="U881" s="0" t="s">
        <v>96</v>
      </c>
      <c r="V881" s="0" t="s">
        <v>56</v>
      </c>
      <c r="W881" s="0" t="s">
        <v>98</v>
      </c>
      <c r="X881" s="0" t="s">
        <v>196</v>
      </c>
      <c r="AA881" s="0" t="n">
        <v>15000</v>
      </c>
      <c r="AB881" s="0" t="n">
        <v>40000</v>
      </c>
      <c r="AD881" s="0" t="n">
        <v>0</v>
      </c>
      <c r="AE881" s="0" t="s">
        <v>80</v>
      </c>
      <c r="AG881" s="0" t="s">
        <v>63</v>
      </c>
      <c r="AI881" s="0" t="s">
        <v>117</v>
      </c>
      <c r="AJ881" s="0" t="s">
        <v>62</v>
      </c>
      <c r="AK881" s="0" t="s">
        <v>50</v>
      </c>
      <c r="AL881" s="0" t="s">
        <v>63</v>
      </c>
      <c r="AM881" s="0" t="s">
        <v>64</v>
      </c>
      <c r="AN881" s="0" t="s">
        <v>190</v>
      </c>
    </row>
    <row r="882" customFormat="false" ht="15" hidden="false" customHeight="false" outlineLevel="0" collapsed="false">
      <c r="A882" s="1" t="n">
        <v>45800</v>
      </c>
      <c r="B882" s="0" t="s">
        <v>2047</v>
      </c>
      <c r="C882" s="0" t="s">
        <v>42</v>
      </c>
      <c r="D882" s="0" t="n">
        <v>8075121683</v>
      </c>
      <c r="E882" s="0" t="s">
        <v>122</v>
      </c>
      <c r="F882" s="0" t="s">
        <v>2048</v>
      </c>
      <c r="G882" s="0" t="s">
        <v>107</v>
      </c>
      <c r="I882" s="0" t="s">
        <v>154</v>
      </c>
      <c r="K882" s="0" t="n">
        <v>44013</v>
      </c>
      <c r="L882" s="0" t="s">
        <v>110</v>
      </c>
      <c r="M882" s="0" t="s">
        <v>63</v>
      </c>
      <c r="O882" s="0" t="n">
        <v>2.9</v>
      </c>
      <c r="P882" s="0" t="s">
        <v>125</v>
      </c>
      <c r="Q882" s="0" t="s">
        <v>93</v>
      </c>
      <c r="R882" s="0" t="s">
        <v>136</v>
      </c>
      <c r="S882" s="0" t="s">
        <v>54</v>
      </c>
      <c r="T882" s="0" t="s">
        <v>127</v>
      </c>
      <c r="U882" s="0" t="s">
        <v>96</v>
      </c>
      <c r="V882" s="0" t="s">
        <v>155</v>
      </c>
      <c r="W882" s="0" t="s">
        <v>113</v>
      </c>
      <c r="X882" s="0" t="s">
        <v>114</v>
      </c>
      <c r="Z882" s="0" t="s">
        <v>149</v>
      </c>
      <c r="AA882" s="0" t="n">
        <v>30000</v>
      </c>
      <c r="AB882" s="0" t="n">
        <v>40000</v>
      </c>
      <c r="AD882" s="0" t="n">
        <v>0</v>
      </c>
      <c r="AE882" s="0" t="s">
        <v>184</v>
      </c>
      <c r="AG882" s="0" t="s">
        <v>61</v>
      </c>
      <c r="AI882" s="0" t="s">
        <v>117</v>
      </c>
      <c r="AJ882" s="0" t="s">
        <v>62</v>
      </c>
      <c r="AM882" s="0" t="s">
        <v>64</v>
      </c>
      <c r="AN882" s="0" t="s">
        <v>50</v>
      </c>
    </row>
    <row r="883" customFormat="false" ht="15" hidden="false" customHeight="false" outlineLevel="0" collapsed="false">
      <c r="A883" s="1" t="n">
        <v>45993</v>
      </c>
      <c r="B883" s="0" t="s">
        <v>2049</v>
      </c>
      <c r="C883" s="0" t="s">
        <v>163</v>
      </c>
      <c r="D883" s="0" t="n">
        <v>8023530374</v>
      </c>
      <c r="E883" s="0" t="s">
        <v>122</v>
      </c>
      <c r="F883" s="0" t="s">
        <v>2050</v>
      </c>
      <c r="G883" s="0" t="s">
        <v>134</v>
      </c>
      <c r="H883" s="0" t="s">
        <v>141</v>
      </c>
      <c r="I883" s="0" t="s">
        <v>189</v>
      </c>
      <c r="J883" s="0" t="s">
        <v>90</v>
      </c>
      <c r="K883" s="0" t="n">
        <v>80791</v>
      </c>
      <c r="L883" s="0" t="s">
        <v>72</v>
      </c>
      <c r="M883" s="0" t="s">
        <v>50</v>
      </c>
      <c r="O883" s="0" t="n">
        <v>3.7</v>
      </c>
      <c r="P883" s="0" t="s">
        <v>125</v>
      </c>
      <c r="Q883" s="0" t="s">
        <v>93</v>
      </c>
      <c r="R883" s="0" t="s">
        <v>136</v>
      </c>
      <c r="S883" s="0" t="s">
        <v>75</v>
      </c>
      <c r="T883" s="0" t="n">
        <v>30</v>
      </c>
      <c r="U883" s="0" t="s">
        <v>76</v>
      </c>
      <c r="V883" s="0" t="s">
        <v>148</v>
      </c>
      <c r="W883" s="0" t="s">
        <v>98</v>
      </c>
      <c r="X883" s="0" t="s">
        <v>196</v>
      </c>
      <c r="AA883" s="0" t="n">
        <v>30000</v>
      </c>
      <c r="AB883" s="0" t="n">
        <v>30000</v>
      </c>
      <c r="AC883" s="0" t="s">
        <v>82</v>
      </c>
      <c r="AD883" s="0" t="s">
        <v>115</v>
      </c>
      <c r="AH883" s="0" t="s">
        <v>171</v>
      </c>
      <c r="AI883" s="0" t="s">
        <v>172</v>
      </c>
      <c r="AJ883" s="0" t="s">
        <v>62</v>
      </c>
      <c r="AK883" s="0" t="s">
        <v>82</v>
      </c>
      <c r="AM883" s="0" t="s">
        <v>83</v>
      </c>
      <c r="AN883" s="0" t="s">
        <v>50</v>
      </c>
    </row>
    <row r="884" customFormat="false" ht="15" hidden="false" customHeight="false" outlineLevel="0" collapsed="false">
      <c r="A884" s="0" t="s">
        <v>737</v>
      </c>
      <c r="B884" s="0" t="s">
        <v>2051</v>
      </c>
      <c r="C884" s="0" t="s">
        <v>163</v>
      </c>
      <c r="D884" s="0" t="n">
        <v>8011275951</v>
      </c>
      <c r="E884" s="0" t="s">
        <v>67</v>
      </c>
      <c r="F884" s="0" t="s">
        <v>2052</v>
      </c>
      <c r="G884" s="0" t="s">
        <v>134</v>
      </c>
      <c r="H884" s="0" t="s">
        <v>170</v>
      </c>
      <c r="I884" s="0" t="s">
        <v>108</v>
      </c>
      <c r="J884" s="0" t="s">
        <v>48</v>
      </c>
      <c r="K884" s="0" t="n">
        <v>16137</v>
      </c>
      <c r="L884" s="0" t="s">
        <v>91</v>
      </c>
      <c r="M884" s="0" t="s">
        <v>63</v>
      </c>
      <c r="N884" s="0" t="n">
        <v>1</v>
      </c>
      <c r="O884" s="0" t="n">
        <v>4.7</v>
      </c>
      <c r="P884" s="0" t="s">
        <v>51</v>
      </c>
      <c r="Q884" s="0" t="s">
        <v>73</v>
      </c>
      <c r="R884" s="0" t="s">
        <v>94</v>
      </c>
      <c r="S884" s="0" t="s">
        <v>126</v>
      </c>
      <c r="T884" s="0" t="n">
        <v>15</v>
      </c>
      <c r="U884" s="0" t="s">
        <v>55</v>
      </c>
      <c r="V884" s="0" t="s">
        <v>77</v>
      </c>
      <c r="W884" s="0" t="s">
        <v>98</v>
      </c>
      <c r="X884" s="0" t="s">
        <v>58</v>
      </c>
      <c r="Y884" s="0" t="s">
        <v>59</v>
      </c>
      <c r="AB884" s="0" t="n">
        <v>20000</v>
      </c>
      <c r="AC884" s="0" t="s">
        <v>50</v>
      </c>
      <c r="AD884" s="0" t="n">
        <v>10000</v>
      </c>
      <c r="AE884" s="0" t="s">
        <v>184</v>
      </c>
      <c r="AF884" s="0" t="s">
        <v>1063</v>
      </c>
      <c r="AG884" s="0" t="s">
        <v>63</v>
      </c>
      <c r="AH884" s="0" t="s">
        <v>116</v>
      </c>
      <c r="AK884" s="0" t="s">
        <v>63</v>
      </c>
      <c r="AL884" s="0" t="s">
        <v>63</v>
      </c>
    </row>
    <row r="885" customFormat="false" ht="15" hidden="false" customHeight="false" outlineLevel="0" collapsed="false">
      <c r="A885" s="1" t="n">
        <v>45783</v>
      </c>
      <c r="B885" s="0" t="s">
        <v>2053</v>
      </c>
      <c r="C885" s="0" t="s">
        <v>66</v>
      </c>
      <c r="D885" s="0" t="n">
        <v>8018194860</v>
      </c>
      <c r="E885" s="0" t="s">
        <v>67</v>
      </c>
      <c r="F885" s="0" t="s">
        <v>2054</v>
      </c>
      <c r="G885" s="0" t="s">
        <v>69</v>
      </c>
      <c r="H885" s="0" t="s">
        <v>146</v>
      </c>
      <c r="I885" s="0" t="s">
        <v>154</v>
      </c>
      <c r="J885" s="0" t="s">
        <v>48</v>
      </c>
      <c r="K885" s="0" t="n">
        <v>64891</v>
      </c>
      <c r="L885" s="0" t="s">
        <v>166</v>
      </c>
      <c r="M885" s="0" t="s">
        <v>63</v>
      </c>
      <c r="N885" s="0" t="n">
        <v>4</v>
      </c>
      <c r="O885" s="0" t="n">
        <v>2.5</v>
      </c>
      <c r="P885" s="0" t="s">
        <v>111</v>
      </c>
      <c r="Q885" s="0" t="s">
        <v>52</v>
      </c>
      <c r="R885" s="0" t="s">
        <v>159</v>
      </c>
      <c r="S885" s="0" t="s">
        <v>167</v>
      </c>
      <c r="T885" s="0" t="n">
        <v>30</v>
      </c>
      <c r="U885" s="0" t="s">
        <v>76</v>
      </c>
      <c r="V885" s="0" t="s">
        <v>77</v>
      </c>
      <c r="W885" s="0" t="s">
        <v>57</v>
      </c>
      <c r="X885" s="0" t="s">
        <v>196</v>
      </c>
      <c r="Y885" s="0" t="s">
        <v>156</v>
      </c>
      <c r="Z885" s="0" t="s">
        <v>129</v>
      </c>
      <c r="AA885" s="0" t="n">
        <v>40000</v>
      </c>
      <c r="AB885" s="0" t="n">
        <v>35000</v>
      </c>
      <c r="AC885" s="0" t="s">
        <v>50</v>
      </c>
      <c r="AE885" s="0" t="s">
        <v>80</v>
      </c>
      <c r="AF885" s="1" t="n">
        <v>46007</v>
      </c>
      <c r="AG885" s="0" t="s">
        <v>82</v>
      </c>
      <c r="AI885" s="0" t="s">
        <v>117</v>
      </c>
      <c r="AJ885" s="0" t="s">
        <v>62</v>
      </c>
      <c r="AK885" s="0" t="s">
        <v>82</v>
      </c>
      <c r="AL885" s="0" t="s">
        <v>63</v>
      </c>
      <c r="AM885" s="0" t="s">
        <v>64</v>
      </c>
    </row>
    <row r="886" customFormat="false" ht="15" hidden="false" customHeight="false" outlineLevel="0" collapsed="false">
      <c r="A886" s="0" t="s">
        <v>40</v>
      </c>
      <c r="B886" s="0" t="s">
        <v>2055</v>
      </c>
      <c r="C886" s="0" t="s">
        <v>163</v>
      </c>
      <c r="D886" s="0" t="n">
        <v>8045712753</v>
      </c>
      <c r="E886" s="0" t="s">
        <v>43</v>
      </c>
      <c r="F886" s="0" t="s">
        <v>2056</v>
      </c>
      <c r="G886" s="0" t="s">
        <v>69</v>
      </c>
      <c r="H886" s="0" t="s">
        <v>165</v>
      </c>
      <c r="I886" s="0" t="s">
        <v>89</v>
      </c>
      <c r="J886" s="0" t="s">
        <v>109</v>
      </c>
      <c r="K886" s="0" t="n">
        <v>72168</v>
      </c>
      <c r="L886" s="0" t="s">
        <v>91</v>
      </c>
      <c r="M886" s="0" t="s">
        <v>63</v>
      </c>
      <c r="N886" s="0" t="n">
        <v>4</v>
      </c>
      <c r="O886" s="0" t="n">
        <v>5.9</v>
      </c>
      <c r="P886" s="0" t="s">
        <v>111</v>
      </c>
      <c r="Q886" s="0" t="s">
        <v>52</v>
      </c>
      <c r="S886" s="0" t="s">
        <v>167</v>
      </c>
      <c r="T886" s="0" t="s">
        <v>127</v>
      </c>
      <c r="U886" s="0" t="s">
        <v>96</v>
      </c>
      <c r="V886" s="0" t="s">
        <v>155</v>
      </c>
      <c r="W886" s="0" t="s">
        <v>98</v>
      </c>
      <c r="X886" s="0" t="s">
        <v>196</v>
      </c>
      <c r="Y886" s="0" t="s">
        <v>197</v>
      </c>
      <c r="Z886" s="0" t="s">
        <v>149</v>
      </c>
      <c r="AB886" s="0" t="n">
        <v>35000</v>
      </c>
      <c r="AD886" s="0" t="n">
        <v>10000</v>
      </c>
      <c r="AF886" s="1" t="n">
        <v>46011</v>
      </c>
      <c r="AG886" s="0" t="s">
        <v>82</v>
      </c>
      <c r="AJ886" s="0" t="s">
        <v>81</v>
      </c>
      <c r="AK886" s="0" t="s">
        <v>82</v>
      </c>
      <c r="AL886" s="0" t="s">
        <v>102</v>
      </c>
      <c r="AM886" s="0" t="s">
        <v>103</v>
      </c>
      <c r="AN886" s="0" t="s">
        <v>190</v>
      </c>
    </row>
    <row r="887" customFormat="false" ht="15" hidden="false" customHeight="false" outlineLevel="0" collapsed="false">
      <c r="A887" s="1" t="n">
        <v>45698</v>
      </c>
      <c r="B887" s="0" t="s">
        <v>2057</v>
      </c>
      <c r="C887" s="0" t="s">
        <v>121</v>
      </c>
      <c r="D887" s="0" t="n">
        <v>8010969945</v>
      </c>
      <c r="E887" s="0" t="s">
        <v>67</v>
      </c>
      <c r="F887" s="0" t="s">
        <v>2058</v>
      </c>
      <c r="G887" s="0" t="s">
        <v>134</v>
      </c>
      <c r="H887" s="0" t="s">
        <v>141</v>
      </c>
      <c r="I887" s="0" t="s">
        <v>108</v>
      </c>
      <c r="J887" s="0" t="s">
        <v>109</v>
      </c>
      <c r="K887" s="0" t="n">
        <v>51969</v>
      </c>
      <c r="L887" s="0" t="s">
        <v>91</v>
      </c>
      <c r="M887" s="0" t="s">
        <v>50</v>
      </c>
      <c r="N887" s="0" t="n">
        <v>4</v>
      </c>
      <c r="O887" s="0" t="n">
        <v>5.8</v>
      </c>
      <c r="P887" s="0" t="s">
        <v>92</v>
      </c>
      <c r="Q887" s="0" t="s">
        <v>73</v>
      </c>
      <c r="R887" s="0" t="s">
        <v>94</v>
      </c>
      <c r="S887" s="0" t="s">
        <v>75</v>
      </c>
      <c r="T887" s="0" t="n">
        <v>60</v>
      </c>
      <c r="U887" s="0" t="s">
        <v>55</v>
      </c>
      <c r="V887" s="0" t="s">
        <v>97</v>
      </c>
      <c r="W887" s="0" t="s">
        <v>57</v>
      </c>
      <c r="X887" s="0" t="s">
        <v>114</v>
      </c>
      <c r="Y887" s="0" t="s">
        <v>177</v>
      </c>
      <c r="Z887" s="0" t="s">
        <v>129</v>
      </c>
      <c r="AA887" s="0" t="n">
        <v>30000</v>
      </c>
      <c r="AB887" s="0" t="s">
        <v>178</v>
      </c>
      <c r="AD887" s="0" t="n">
        <v>10000</v>
      </c>
      <c r="AE887" s="0" t="s">
        <v>60</v>
      </c>
      <c r="AF887" s="1" t="n">
        <v>45932</v>
      </c>
      <c r="AI887" s="0" t="s">
        <v>101</v>
      </c>
      <c r="AJ887" s="0" t="s">
        <v>62</v>
      </c>
      <c r="AK887" s="0" t="s">
        <v>63</v>
      </c>
      <c r="AL887" s="0" t="s">
        <v>50</v>
      </c>
      <c r="AM887" s="0" t="s">
        <v>118</v>
      </c>
      <c r="AN887" s="0" t="s">
        <v>63</v>
      </c>
    </row>
    <row r="888" customFormat="false" ht="15" hidden="false" customHeight="false" outlineLevel="0" collapsed="false">
      <c r="A888" s="1" t="n">
        <v>45965</v>
      </c>
      <c r="B888" s="0" t="s">
        <v>2059</v>
      </c>
      <c r="C888" s="0" t="s">
        <v>42</v>
      </c>
      <c r="D888" s="0" t="n">
        <v>8099298044</v>
      </c>
      <c r="E888" s="0" t="s">
        <v>139</v>
      </c>
      <c r="F888" s="0" t="s">
        <v>2060</v>
      </c>
      <c r="G888" s="0" t="s">
        <v>134</v>
      </c>
      <c r="H888" s="0" t="s">
        <v>46</v>
      </c>
      <c r="I888" s="0" t="s">
        <v>142</v>
      </c>
      <c r="J888" s="0" t="s">
        <v>90</v>
      </c>
      <c r="K888" s="0" t="n">
        <v>72033</v>
      </c>
      <c r="L888" s="0" t="s">
        <v>124</v>
      </c>
      <c r="M888" s="0" t="s">
        <v>50</v>
      </c>
      <c r="N888" s="0" t="n">
        <v>4</v>
      </c>
      <c r="O888" s="0" t="n">
        <v>5.7</v>
      </c>
      <c r="P888" s="0" t="s">
        <v>51</v>
      </c>
      <c r="Q888" s="0" t="s">
        <v>73</v>
      </c>
      <c r="R888" s="0" t="s">
        <v>53</v>
      </c>
      <c r="S888" s="0" t="s">
        <v>147</v>
      </c>
      <c r="T888" s="0" t="s">
        <v>127</v>
      </c>
      <c r="U888" s="0" t="s">
        <v>96</v>
      </c>
      <c r="V888" s="0" t="s">
        <v>155</v>
      </c>
      <c r="W888" s="0" t="s">
        <v>57</v>
      </c>
      <c r="X888" s="0" t="s">
        <v>137</v>
      </c>
      <c r="Y888" s="0" t="s">
        <v>197</v>
      </c>
      <c r="Z888" s="0" t="s">
        <v>161</v>
      </c>
      <c r="AA888" s="0" t="s">
        <v>150</v>
      </c>
      <c r="AB888" s="0" t="n">
        <v>35000</v>
      </c>
      <c r="AC888" s="0" t="s">
        <v>61</v>
      </c>
      <c r="AE888" s="0" t="s">
        <v>130</v>
      </c>
      <c r="AF888" s="0" t="s">
        <v>360</v>
      </c>
      <c r="AG888" s="0" t="s">
        <v>63</v>
      </c>
      <c r="AH888" s="0" t="s">
        <v>171</v>
      </c>
      <c r="AI888" s="0" t="s">
        <v>172</v>
      </c>
      <c r="AJ888" s="0" t="s">
        <v>50</v>
      </c>
      <c r="AK888" s="0" t="s">
        <v>63</v>
      </c>
      <c r="AL888" s="0" t="s">
        <v>102</v>
      </c>
      <c r="AM888" s="0" t="s">
        <v>83</v>
      </c>
      <c r="AN888" s="0" t="s">
        <v>190</v>
      </c>
    </row>
    <row r="889" customFormat="false" ht="15" hidden="false" customHeight="false" outlineLevel="0" collapsed="false">
      <c r="A889" s="1" t="n">
        <v>45815</v>
      </c>
      <c r="B889" s="0" t="s">
        <v>2061</v>
      </c>
      <c r="C889" s="0" t="s">
        <v>121</v>
      </c>
      <c r="D889" s="0" t="n">
        <v>8088174504</v>
      </c>
      <c r="E889" s="0" t="s">
        <v>139</v>
      </c>
      <c r="F889" s="0" t="s">
        <v>1975</v>
      </c>
      <c r="G889" s="0" t="s">
        <v>45</v>
      </c>
      <c r="H889" s="0" t="s">
        <v>141</v>
      </c>
      <c r="I889" s="0" t="s">
        <v>189</v>
      </c>
      <c r="J889" s="0" t="s">
        <v>48</v>
      </c>
      <c r="K889" s="0" t="n">
        <v>97370</v>
      </c>
      <c r="L889" s="0" t="s">
        <v>110</v>
      </c>
      <c r="M889" s="0" t="s">
        <v>50</v>
      </c>
      <c r="N889" s="0" t="n">
        <v>1</v>
      </c>
      <c r="O889" s="0" t="n">
        <v>5.3</v>
      </c>
      <c r="Q889" s="0" t="s">
        <v>93</v>
      </c>
      <c r="R889" s="0" t="s">
        <v>74</v>
      </c>
      <c r="S889" s="0" t="s">
        <v>126</v>
      </c>
      <c r="T889" s="0" t="s">
        <v>127</v>
      </c>
      <c r="U889" s="0" t="s">
        <v>96</v>
      </c>
      <c r="V889" s="0" t="s">
        <v>155</v>
      </c>
      <c r="W889" s="0" t="s">
        <v>113</v>
      </c>
      <c r="X889" s="0" t="s">
        <v>114</v>
      </c>
      <c r="Y889" s="0" t="s">
        <v>177</v>
      </c>
      <c r="Z889" s="0" t="s">
        <v>161</v>
      </c>
      <c r="AA889" s="0" t="s">
        <v>150</v>
      </c>
      <c r="AB889" s="0" t="n">
        <v>40000</v>
      </c>
      <c r="AD889" s="0" t="n">
        <v>10000</v>
      </c>
      <c r="AE889" s="0" t="s">
        <v>184</v>
      </c>
      <c r="AF889" s="1" t="n">
        <v>45848</v>
      </c>
      <c r="AG889" s="0" t="s">
        <v>50</v>
      </c>
      <c r="AH889" s="0" t="s">
        <v>171</v>
      </c>
      <c r="AI889" s="0" t="s">
        <v>101</v>
      </c>
      <c r="AJ889" s="0" t="s">
        <v>63</v>
      </c>
      <c r="AL889" s="0" t="s">
        <v>102</v>
      </c>
      <c r="AM889" s="0" t="s">
        <v>103</v>
      </c>
      <c r="AN889" s="0" t="s">
        <v>50</v>
      </c>
    </row>
    <row r="890" customFormat="false" ht="15" hidden="false" customHeight="false" outlineLevel="0" collapsed="false">
      <c r="A890" s="1" t="n">
        <v>45748</v>
      </c>
      <c r="B890" s="0" t="s">
        <v>2062</v>
      </c>
      <c r="C890" s="0" t="s">
        <v>42</v>
      </c>
      <c r="D890" s="0" t="n">
        <v>8015618266</v>
      </c>
      <c r="E890" s="0" t="s">
        <v>139</v>
      </c>
      <c r="F890" s="0" t="s">
        <v>2063</v>
      </c>
      <c r="G890" s="0" t="s">
        <v>107</v>
      </c>
      <c r="H890" s="0" t="s">
        <v>141</v>
      </c>
      <c r="I890" s="0" t="s">
        <v>47</v>
      </c>
      <c r="K890" s="0" t="n">
        <v>22281</v>
      </c>
      <c r="L890" s="0" t="s">
        <v>91</v>
      </c>
      <c r="M890" s="0" t="s">
        <v>50</v>
      </c>
      <c r="O890" s="0" t="n">
        <v>3.7</v>
      </c>
      <c r="P890" s="0" t="s">
        <v>125</v>
      </c>
      <c r="Q890" s="0" t="s">
        <v>93</v>
      </c>
      <c r="R890" s="0" t="s">
        <v>94</v>
      </c>
      <c r="S890" s="0" t="s">
        <v>147</v>
      </c>
      <c r="U890" s="0" t="s">
        <v>112</v>
      </c>
      <c r="V890" s="0" t="s">
        <v>148</v>
      </c>
      <c r="W890" s="0" t="s">
        <v>98</v>
      </c>
      <c r="X890" s="0" t="s">
        <v>114</v>
      </c>
      <c r="Z890" s="0" t="s">
        <v>161</v>
      </c>
      <c r="AA890" s="0" t="n">
        <v>30000</v>
      </c>
      <c r="AB890" s="0" t="n">
        <v>35000</v>
      </c>
      <c r="AC890" s="0" t="s">
        <v>63</v>
      </c>
      <c r="AE890" s="0" t="s">
        <v>184</v>
      </c>
      <c r="AF890" s="1" t="n">
        <v>45886</v>
      </c>
      <c r="AH890" s="0" t="s">
        <v>171</v>
      </c>
      <c r="AJ890" s="0" t="s">
        <v>62</v>
      </c>
      <c r="AK890" s="0" t="s">
        <v>82</v>
      </c>
      <c r="AN890" s="0" t="s">
        <v>190</v>
      </c>
    </row>
    <row r="891" customFormat="false" ht="15" hidden="false" customHeight="false" outlineLevel="0" collapsed="false">
      <c r="A891" s="1" t="n">
        <v>45665</v>
      </c>
      <c r="B891" s="0" t="s">
        <v>2064</v>
      </c>
      <c r="C891" s="0" t="s">
        <v>66</v>
      </c>
      <c r="D891" s="0" t="n">
        <v>8022997893</v>
      </c>
      <c r="E891" s="0" t="s">
        <v>122</v>
      </c>
      <c r="F891" s="0" t="s">
        <v>2065</v>
      </c>
      <c r="G891" s="0" t="s">
        <v>87</v>
      </c>
      <c r="H891" s="0" t="s">
        <v>146</v>
      </c>
      <c r="I891" s="0" t="s">
        <v>154</v>
      </c>
      <c r="J891" s="0" t="s">
        <v>48</v>
      </c>
      <c r="K891" s="0" t="n">
        <v>118633</v>
      </c>
      <c r="L891" s="0" t="s">
        <v>124</v>
      </c>
      <c r="M891" s="0" t="s">
        <v>50</v>
      </c>
      <c r="N891" s="0" t="n">
        <v>1</v>
      </c>
      <c r="O891" s="0" t="n">
        <v>3.4</v>
      </c>
      <c r="P891" s="0" t="s">
        <v>111</v>
      </c>
      <c r="Q891" s="0" t="s">
        <v>93</v>
      </c>
      <c r="R891" s="0" t="s">
        <v>53</v>
      </c>
      <c r="S891" s="0" t="s">
        <v>54</v>
      </c>
      <c r="T891" s="0" t="n">
        <v>45</v>
      </c>
      <c r="U891" s="0" t="s">
        <v>76</v>
      </c>
      <c r="V891" s="0" t="s">
        <v>56</v>
      </c>
      <c r="W891" s="0" t="s">
        <v>98</v>
      </c>
      <c r="X891" s="0" t="s">
        <v>196</v>
      </c>
      <c r="Y891" s="0" t="s">
        <v>59</v>
      </c>
      <c r="Z891" s="0" t="s">
        <v>79</v>
      </c>
      <c r="AA891" s="0" t="n">
        <v>25000</v>
      </c>
      <c r="AB891" s="0" t="n">
        <v>35000</v>
      </c>
      <c r="AC891" s="0" t="s">
        <v>63</v>
      </c>
      <c r="AD891" s="0" t="n">
        <v>10000</v>
      </c>
      <c r="AE891" s="0" t="s">
        <v>184</v>
      </c>
      <c r="AJ891" s="0" t="s">
        <v>63</v>
      </c>
      <c r="AK891" s="0" t="s">
        <v>82</v>
      </c>
      <c r="AM891" s="0" t="s">
        <v>83</v>
      </c>
      <c r="AN891" s="0" t="s">
        <v>50</v>
      </c>
    </row>
    <row r="892" customFormat="false" ht="15" hidden="false" customHeight="false" outlineLevel="0" collapsed="false">
      <c r="A892" s="1" t="n">
        <v>45751</v>
      </c>
      <c r="B892" s="0" t="s">
        <v>2066</v>
      </c>
      <c r="C892" s="0" t="s">
        <v>121</v>
      </c>
      <c r="D892" s="0" t="n">
        <v>8038329115</v>
      </c>
      <c r="E892" s="0" t="s">
        <v>122</v>
      </c>
      <c r="F892" s="0" t="s">
        <v>2067</v>
      </c>
      <c r="G892" s="0" t="s">
        <v>87</v>
      </c>
      <c r="H892" s="0" t="s">
        <v>141</v>
      </c>
      <c r="I892" s="0" t="s">
        <v>154</v>
      </c>
      <c r="J892" s="0" t="s">
        <v>48</v>
      </c>
      <c r="K892" s="0" t="n">
        <v>33570</v>
      </c>
      <c r="L892" s="0" t="s">
        <v>72</v>
      </c>
      <c r="M892" s="0" t="s">
        <v>63</v>
      </c>
      <c r="N892" s="0" t="n">
        <v>4</v>
      </c>
      <c r="O892" s="0" t="n">
        <v>2.3</v>
      </c>
      <c r="Q892" s="0" t="s">
        <v>93</v>
      </c>
      <c r="R892" s="0" t="s">
        <v>94</v>
      </c>
      <c r="S892" s="0" t="s">
        <v>126</v>
      </c>
      <c r="T892" s="0" t="n">
        <v>30</v>
      </c>
      <c r="U892" s="0" t="s">
        <v>96</v>
      </c>
      <c r="V892" s="0" t="s">
        <v>97</v>
      </c>
      <c r="W892" s="0" t="s">
        <v>98</v>
      </c>
      <c r="X892" s="0" t="s">
        <v>137</v>
      </c>
      <c r="Z892" s="0" t="s">
        <v>143</v>
      </c>
      <c r="AA892" s="0" t="n">
        <v>40000</v>
      </c>
      <c r="AB892" s="0" t="n">
        <v>30000</v>
      </c>
      <c r="AC892" s="0" t="s">
        <v>50</v>
      </c>
      <c r="AD892" s="0" t="n">
        <v>5000</v>
      </c>
      <c r="AG892" s="0" t="s">
        <v>63</v>
      </c>
      <c r="AI892" s="0" t="s">
        <v>117</v>
      </c>
      <c r="AJ892" s="0" t="s">
        <v>50</v>
      </c>
      <c r="AK892" s="0" t="s">
        <v>50</v>
      </c>
      <c r="AL892" s="0" t="s">
        <v>50</v>
      </c>
      <c r="AM892" s="0" t="s">
        <v>118</v>
      </c>
      <c r="AN892" s="0" t="s">
        <v>50</v>
      </c>
    </row>
    <row r="893" customFormat="false" ht="15" hidden="false" customHeight="false" outlineLevel="0" collapsed="false">
      <c r="A893" s="1" t="n">
        <v>45818</v>
      </c>
      <c r="B893" s="0" t="s">
        <v>2068</v>
      </c>
      <c r="C893" s="0" t="s">
        <v>121</v>
      </c>
      <c r="D893" s="0" t="n">
        <v>8080106555</v>
      </c>
      <c r="E893" s="0" t="s">
        <v>85</v>
      </c>
      <c r="F893" s="0" t="s">
        <v>2069</v>
      </c>
      <c r="G893" s="0" t="s">
        <v>69</v>
      </c>
      <c r="H893" s="0" t="s">
        <v>153</v>
      </c>
      <c r="I893" s="0" t="s">
        <v>108</v>
      </c>
      <c r="K893" s="0" t="n">
        <v>34761</v>
      </c>
      <c r="L893" s="0" t="s">
        <v>49</v>
      </c>
      <c r="M893" s="0" t="s">
        <v>50</v>
      </c>
      <c r="O893" s="0" t="n">
        <v>2.2</v>
      </c>
      <c r="P893" s="0" t="s">
        <v>51</v>
      </c>
      <c r="Q893" s="0" t="s">
        <v>52</v>
      </c>
      <c r="S893" s="0" t="s">
        <v>54</v>
      </c>
      <c r="T893" s="0" t="s">
        <v>127</v>
      </c>
      <c r="U893" s="0" t="s">
        <v>76</v>
      </c>
      <c r="V893" s="0" t="s">
        <v>148</v>
      </c>
      <c r="W893" s="0" t="s">
        <v>113</v>
      </c>
      <c r="X893" s="0" t="s">
        <v>58</v>
      </c>
      <c r="Y893" s="0" t="s">
        <v>59</v>
      </c>
      <c r="Z893" s="0" t="s">
        <v>143</v>
      </c>
      <c r="AA893" s="0" t="n">
        <v>30000</v>
      </c>
      <c r="AB893" s="0" t="n">
        <v>20000</v>
      </c>
      <c r="AD893" s="0" t="n">
        <v>0</v>
      </c>
      <c r="AE893" s="0" t="s">
        <v>80</v>
      </c>
      <c r="AF893" s="0" t="s">
        <v>1909</v>
      </c>
      <c r="AI893" s="0" t="s">
        <v>117</v>
      </c>
      <c r="AJ893" s="0" t="s">
        <v>81</v>
      </c>
      <c r="AK893" s="0" t="s">
        <v>82</v>
      </c>
      <c r="AL893" s="0" t="s">
        <v>50</v>
      </c>
      <c r="AM893" s="0" t="s">
        <v>118</v>
      </c>
    </row>
    <row r="894" customFormat="false" ht="15" hidden="false" customHeight="false" outlineLevel="0" collapsed="false">
      <c r="A894" s="0" t="s">
        <v>305</v>
      </c>
      <c r="B894" s="0" t="s">
        <v>2070</v>
      </c>
      <c r="C894" s="0" t="s">
        <v>66</v>
      </c>
      <c r="D894" s="0" t="n">
        <v>8010974683</v>
      </c>
      <c r="E894" s="0" t="s">
        <v>139</v>
      </c>
      <c r="F894" s="0" t="s">
        <v>2071</v>
      </c>
      <c r="G894" s="0" t="s">
        <v>69</v>
      </c>
      <c r="H894" s="0" t="s">
        <v>242</v>
      </c>
      <c r="I894" s="0" t="s">
        <v>142</v>
      </c>
      <c r="J894" s="0" t="s">
        <v>48</v>
      </c>
      <c r="K894" s="0" t="n">
        <v>59840</v>
      </c>
      <c r="L894" s="0" t="s">
        <v>110</v>
      </c>
      <c r="M894" s="0" t="s">
        <v>63</v>
      </c>
      <c r="O894" s="0" t="n">
        <v>1.3</v>
      </c>
      <c r="P894" s="0" t="s">
        <v>92</v>
      </c>
      <c r="Q894" s="0" t="s">
        <v>93</v>
      </c>
      <c r="R894" s="0" t="s">
        <v>94</v>
      </c>
      <c r="S894" s="0" t="s">
        <v>54</v>
      </c>
      <c r="U894" s="0" t="s">
        <v>160</v>
      </c>
      <c r="V894" s="0" t="s">
        <v>97</v>
      </c>
      <c r="W894" s="0" t="s">
        <v>128</v>
      </c>
      <c r="X894" s="0" t="s">
        <v>58</v>
      </c>
      <c r="Y894" s="0" t="s">
        <v>177</v>
      </c>
      <c r="Z894" s="0" t="s">
        <v>161</v>
      </c>
      <c r="AB894" s="0" t="n">
        <v>30000</v>
      </c>
      <c r="AC894" s="0" t="s">
        <v>61</v>
      </c>
      <c r="AE894" s="0" t="s">
        <v>184</v>
      </c>
      <c r="AF894" s="1" t="n">
        <v>45755</v>
      </c>
      <c r="AG894" s="0" t="s">
        <v>63</v>
      </c>
      <c r="AJ894" s="0" t="s">
        <v>50</v>
      </c>
      <c r="AK894" s="0" t="s">
        <v>50</v>
      </c>
      <c r="AL894" s="0" t="s">
        <v>102</v>
      </c>
      <c r="AN894" s="0" t="s">
        <v>190</v>
      </c>
    </row>
    <row r="895" customFormat="false" ht="15" hidden="false" customHeight="false" outlineLevel="0" collapsed="false">
      <c r="A895" s="1" t="n">
        <v>45747</v>
      </c>
      <c r="B895" s="0" t="s">
        <v>2072</v>
      </c>
      <c r="C895" s="0" t="s">
        <v>42</v>
      </c>
      <c r="D895" s="0" t="n">
        <v>8060421010</v>
      </c>
      <c r="E895" s="0" t="s">
        <v>43</v>
      </c>
      <c r="F895" s="0" t="s">
        <v>2073</v>
      </c>
      <c r="G895" s="0" t="s">
        <v>107</v>
      </c>
      <c r="H895" s="0" t="s">
        <v>46</v>
      </c>
      <c r="I895" s="0" t="s">
        <v>154</v>
      </c>
      <c r="K895" s="0" t="n">
        <v>83849</v>
      </c>
      <c r="L895" s="0" t="s">
        <v>72</v>
      </c>
      <c r="M895" s="0" t="s">
        <v>63</v>
      </c>
      <c r="N895" s="0" t="n">
        <v>3</v>
      </c>
      <c r="O895" s="0" t="n">
        <v>5.6</v>
      </c>
      <c r="P895" s="0" t="s">
        <v>125</v>
      </c>
      <c r="Q895" s="0" t="s">
        <v>93</v>
      </c>
      <c r="S895" s="0" t="s">
        <v>167</v>
      </c>
      <c r="T895" s="0" t="n">
        <v>60</v>
      </c>
      <c r="U895" s="0" t="s">
        <v>96</v>
      </c>
      <c r="V895" s="0" t="s">
        <v>148</v>
      </c>
      <c r="W895" s="0" t="s">
        <v>128</v>
      </c>
      <c r="X895" s="0" t="s">
        <v>137</v>
      </c>
      <c r="Z895" s="0" t="s">
        <v>149</v>
      </c>
      <c r="AB895" s="0" t="n">
        <v>20000</v>
      </c>
      <c r="AC895" s="0" t="s">
        <v>50</v>
      </c>
      <c r="AD895" s="0" t="n">
        <v>5000</v>
      </c>
      <c r="AE895" s="0" t="s">
        <v>80</v>
      </c>
      <c r="AF895" s="1" t="n">
        <v>45966</v>
      </c>
      <c r="AG895" s="0" t="s">
        <v>63</v>
      </c>
      <c r="AH895" s="0" t="s">
        <v>116</v>
      </c>
      <c r="AI895" s="0" t="s">
        <v>117</v>
      </c>
      <c r="AJ895" s="0" t="s">
        <v>81</v>
      </c>
      <c r="AK895" s="0" t="s">
        <v>61</v>
      </c>
      <c r="AM895" s="0" t="s">
        <v>83</v>
      </c>
      <c r="AN895" s="0" t="s">
        <v>63</v>
      </c>
    </row>
    <row r="896" customFormat="false" ht="15" hidden="false" customHeight="false" outlineLevel="0" collapsed="false">
      <c r="A896" s="1" t="n">
        <v>45737</v>
      </c>
      <c r="B896" s="0" t="s">
        <v>2074</v>
      </c>
      <c r="C896" s="0" t="s">
        <v>163</v>
      </c>
      <c r="D896" s="0" t="n">
        <v>8090931259</v>
      </c>
      <c r="E896" s="0" t="s">
        <v>67</v>
      </c>
      <c r="F896" s="0" t="s">
        <v>2075</v>
      </c>
      <c r="G896" s="0" t="s">
        <v>45</v>
      </c>
      <c r="H896" s="0" t="s">
        <v>70</v>
      </c>
      <c r="I896" s="0" t="s">
        <v>108</v>
      </c>
      <c r="J896" s="0" t="s">
        <v>90</v>
      </c>
      <c r="K896" s="0" t="n">
        <v>21157</v>
      </c>
      <c r="L896" s="0" t="s">
        <v>49</v>
      </c>
      <c r="M896" s="0" t="s">
        <v>63</v>
      </c>
      <c r="N896" s="0" t="n">
        <v>5</v>
      </c>
      <c r="O896" s="0" t="n">
        <v>5.1</v>
      </c>
      <c r="Q896" s="0" t="s">
        <v>93</v>
      </c>
      <c r="R896" s="0" t="s">
        <v>159</v>
      </c>
      <c r="S896" s="0" t="s">
        <v>95</v>
      </c>
      <c r="T896" s="0" t="n">
        <v>60</v>
      </c>
      <c r="U896" s="0" t="s">
        <v>55</v>
      </c>
      <c r="V896" s="0" t="s">
        <v>56</v>
      </c>
      <c r="W896" s="0" t="s">
        <v>78</v>
      </c>
      <c r="X896" s="0" t="s">
        <v>137</v>
      </c>
      <c r="Y896" s="0" t="s">
        <v>59</v>
      </c>
      <c r="Z896" s="0" t="s">
        <v>79</v>
      </c>
      <c r="AA896" s="0" t="n">
        <v>15000</v>
      </c>
      <c r="AB896" s="0" t="n">
        <v>40000</v>
      </c>
      <c r="AC896" s="0" t="s">
        <v>61</v>
      </c>
      <c r="AD896" s="0" t="s">
        <v>115</v>
      </c>
      <c r="AE896" s="0" t="s">
        <v>80</v>
      </c>
      <c r="AG896" s="0" t="s">
        <v>63</v>
      </c>
      <c r="AH896" s="0" t="s">
        <v>116</v>
      </c>
      <c r="AJ896" s="0" t="s">
        <v>62</v>
      </c>
      <c r="AK896" s="0" t="s">
        <v>82</v>
      </c>
      <c r="AL896" s="0" t="s">
        <v>63</v>
      </c>
      <c r="AM896" s="0" t="s">
        <v>83</v>
      </c>
      <c r="AN896" s="0" t="s">
        <v>63</v>
      </c>
    </row>
    <row r="897" customFormat="false" ht="15" hidden="false" customHeight="false" outlineLevel="0" collapsed="false">
      <c r="A897" s="1" t="n">
        <v>45679</v>
      </c>
      <c r="B897" s="0" t="s">
        <v>2076</v>
      </c>
      <c r="C897" s="0" t="s">
        <v>121</v>
      </c>
      <c r="D897" s="0" t="n">
        <v>8079803166</v>
      </c>
      <c r="E897" s="0" t="s">
        <v>122</v>
      </c>
      <c r="F897" s="0" t="s">
        <v>2077</v>
      </c>
      <c r="G897" s="0" t="s">
        <v>134</v>
      </c>
      <c r="H897" s="0" t="s">
        <v>46</v>
      </c>
      <c r="I897" s="0" t="s">
        <v>189</v>
      </c>
      <c r="J897" s="0" t="s">
        <v>48</v>
      </c>
      <c r="K897" s="0" t="n">
        <v>49263</v>
      </c>
      <c r="L897" s="0" t="s">
        <v>49</v>
      </c>
      <c r="M897" s="0" t="s">
        <v>50</v>
      </c>
      <c r="N897" s="0" t="n">
        <v>2</v>
      </c>
      <c r="O897" s="0" t="n">
        <v>5.9</v>
      </c>
      <c r="P897" s="0" t="s">
        <v>111</v>
      </c>
      <c r="Q897" s="0" t="s">
        <v>93</v>
      </c>
      <c r="S897" s="0" t="s">
        <v>167</v>
      </c>
      <c r="T897" s="0" t="n">
        <v>15</v>
      </c>
      <c r="U897" s="0" t="s">
        <v>55</v>
      </c>
      <c r="V897" s="0" t="s">
        <v>155</v>
      </c>
      <c r="W897" s="0" t="s">
        <v>128</v>
      </c>
      <c r="X897" s="0" t="s">
        <v>99</v>
      </c>
      <c r="Y897" s="0" t="s">
        <v>59</v>
      </c>
      <c r="Z897" s="0" t="s">
        <v>161</v>
      </c>
      <c r="AA897" s="0" t="s">
        <v>150</v>
      </c>
      <c r="AB897" s="0" t="n">
        <v>30000</v>
      </c>
      <c r="AC897" s="0" t="s">
        <v>50</v>
      </c>
      <c r="AE897" s="0" t="s">
        <v>184</v>
      </c>
      <c r="AG897" s="0" t="s">
        <v>82</v>
      </c>
      <c r="AH897" s="0" t="s">
        <v>116</v>
      </c>
      <c r="AI897" s="0" t="s">
        <v>117</v>
      </c>
      <c r="AJ897" s="0" t="s">
        <v>62</v>
      </c>
      <c r="AK897" s="0" t="s">
        <v>63</v>
      </c>
      <c r="AL897" s="0" t="s">
        <v>63</v>
      </c>
      <c r="AM897" s="0" t="s">
        <v>83</v>
      </c>
      <c r="AN897" s="0" t="s">
        <v>50</v>
      </c>
    </row>
    <row r="898" customFormat="false" ht="15" hidden="false" customHeight="false" outlineLevel="0" collapsed="false">
      <c r="A898" s="1" t="n">
        <v>45663</v>
      </c>
      <c r="B898" s="0" t="s">
        <v>2078</v>
      </c>
      <c r="C898" s="0" t="s">
        <v>121</v>
      </c>
      <c r="D898" s="0" t="n">
        <v>8045679876</v>
      </c>
      <c r="E898" s="0" t="s">
        <v>43</v>
      </c>
      <c r="F898" s="0" t="s">
        <v>2079</v>
      </c>
      <c r="G898" s="0" t="s">
        <v>45</v>
      </c>
      <c r="H898" s="0" t="s">
        <v>146</v>
      </c>
      <c r="I898" s="0" t="s">
        <v>89</v>
      </c>
      <c r="J898" s="0" t="s">
        <v>48</v>
      </c>
      <c r="K898" s="0" t="n">
        <v>88077</v>
      </c>
      <c r="L898" s="0" t="s">
        <v>91</v>
      </c>
      <c r="M898" s="0" t="s">
        <v>50</v>
      </c>
      <c r="N898" s="0" t="n">
        <v>1</v>
      </c>
      <c r="O898" s="0" t="n">
        <v>3.6</v>
      </c>
      <c r="Q898" s="0" t="s">
        <v>93</v>
      </c>
      <c r="R898" s="0" t="s">
        <v>94</v>
      </c>
      <c r="S898" s="0" t="s">
        <v>75</v>
      </c>
      <c r="T898" s="0" t="n">
        <v>45</v>
      </c>
      <c r="U898" s="0" t="s">
        <v>55</v>
      </c>
      <c r="V898" s="0" t="s">
        <v>56</v>
      </c>
      <c r="W898" s="0" t="s">
        <v>98</v>
      </c>
      <c r="X898" s="0" t="s">
        <v>137</v>
      </c>
      <c r="Y898" s="0" t="s">
        <v>59</v>
      </c>
      <c r="Z898" s="0" t="s">
        <v>129</v>
      </c>
      <c r="AB898" s="0" t="s">
        <v>178</v>
      </c>
      <c r="AC898" s="0" t="s">
        <v>82</v>
      </c>
      <c r="AD898" s="0" t="n">
        <v>5000</v>
      </c>
      <c r="AE898" s="0" t="s">
        <v>80</v>
      </c>
      <c r="AF898" s="1" t="n">
        <v>45940</v>
      </c>
      <c r="AG898" s="0" t="s">
        <v>82</v>
      </c>
      <c r="AI898" s="0" t="s">
        <v>101</v>
      </c>
      <c r="AK898" s="0" t="s">
        <v>82</v>
      </c>
      <c r="AM898" s="0" t="s">
        <v>64</v>
      </c>
      <c r="AN898" s="0" t="s">
        <v>63</v>
      </c>
    </row>
    <row r="899" customFormat="false" ht="15" hidden="false" customHeight="false" outlineLevel="0" collapsed="false">
      <c r="A899" s="1" t="n">
        <v>45775</v>
      </c>
      <c r="B899" s="0" t="s">
        <v>2080</v>
      </c>
      <c r="C899" s="0" t="s">
        <v>66</v>
      </c>
      <c r="D899" s="0" t="n">
        <v>8075219904</v>
      </c>
      <c r="E899" s="0" t="s">
        <v>67</v>
      </c>
      <c r="F899" s="0" t="s">
        <v>2081</v>
      </c>
      <c r="G899" s="0" t="s">
        <v>87</v>
      </c>
      <c r="H899" s="0" t="s">
        <v>153</v>
      </c>
      <c r="I899" s="0" t="s">
        <v>108</v>
      </c>
      <c r="K899" s="0" t="n">
        <v>62852</v>
      </c>
      <c r="L899" s="0" t="s">
        <v>124</v>
      </c>
      <c r="M899" s="0" t="s">
        <v>50</v>
      </c>
      <c r="O899" s="0" t="n">
        <v>4.4</v>
      </c>
      <c r="P899" s="0" t="s">
        <v>51</v>
      </c>
      <c r="Q899" s="0" t="s">
        <v>52</v>
      </c>
      <c r="R899" s="0" t="s">
        <v>94</v>
      </c>
      <c r="S899" s="0" t="s">
        <v>95</v>
      </c>
      <c r="T899" s="0" t="n">
        <v>45</v>
      </c>
      <c r="U899" s="0" t="s">
        <v>55</v>
      </c>
      <c r="V899" s="0" t="s">
        <v>56</v>
      </c>
      <c r="W899" s="0" t="s">
        <v>57</v>
      </c>
      <c r="X899" s="0" t="s">
        <v>137</v>
      </c>
      <c r="Y899" s="0" t="s">
        <v>59</v>
      </c>
      <c r="AA899" s="0" t="n">
        <v>40000</v>
      </c>
      <c r="AB899" s="0" t="n">
        <v>40000</v>
      </c>
      <c r="AC899" s="0" t="s">
        <v>82</v>
      </c>
      <c r="AD899" s="0" t="n">
        <v>0</v>
      </c>
      <c r="AF899" s="1" t="n">
        <v>45784</v>
      </c>
      <c r="AG899" s="0" t="s">
        <v>61</v>
      </c>
      <c r="AH899" s="0" t="s">
        <v>116</v>
      </c>
      <c r="AJ899" s="0" t="s">
        <v>50</v>
      </c>
      <c r="AK899" s="0" t="s">
        <v>61</v>
      </c>
      <c r="AL899" s="0" t="s">
        <v>63</v>
      </c>
      <c r="AM899" s="0" t="s">
        <v>64</v>
      </c>
      <c r="AN899" s="0" t="s">
        <v>50</v>
      </c>
    </row>
    <row r="900" customFormat="false" ht="15" hidden="false" customHeight="false" outlineLevel="0" collapsed="false">
      <c r="A900" s="0" t="s">
        <v>2082</v>
      </c>
      <c r="B900" s="0" t="s">
        <v>2083</v>
      </c>
      <c r="C900" s="0" t="s">
        <v>163</v>
      </c>
      <c r="D900" s="0" t="n">
        <v>8073516094</v>
      </c>
      <c r="E900" s="0" t="s">
        <v>67</v>
      </c>
      <c r="F900" s="0" t="s">
        <v>2084</v>
      </c>
      <c r="G900" s="0" t="s">
        <v>45</v>
      </c>
      <c r="H900" s="0" t="s">
        <v>153</v>
      </c>
      <c r="I900" s="0" t="s">
        <v>47</v>
      </c>
      <c r="J900" s="0" t="s">
        <v>48</v>
      </c>
      <c r="K900" s="0" t="n">
        <v>21993</v>
      </c>
      <c r="L900" s="0" t="s">
        <v>110</v>
      </c>
      <c r="M900" s="0" t="s">
        <v>63</v>
      </c>
      <c r="N900" s="0" t="n">
        <v>5</v>
      </c>
      <c r="O900" s="0" t="n">
        <v>2.2</v>
      </c>
      <c r="P900" s="0" t="s">
        <v>51</v>
      </c>
      <c r="Q900" s="0" t="s">
        <v>52</v>
      </c>
      <c r="S900" s="0" t="s">
        <v>95</v>
      </c>
      <c r="T900" s="0" t="n">
        <v>60</v>
      </c>
      <c r="U900" s="0" t="s">
        <v>55</v>
      </c>
      <c r="V900" s="0" t="s">
        <v>56</v>
      </c>
      <c r="W900" s="0" t="s">
        <v>113</v>
      </c>
      <c r="X900" s="0" t="s">
        <v>196</v>
      </c>
      <c r="Y900" s="0" t="s">
        <v>156</v>
      </c>
      <c r="Z900" s="0" t="s">
        <v>129</v>
      </c>
      <c r="AA900" s="0" t="n">
        <v>15000</v>
      </c>
      <c r="AB900" s="0" t="s">
        <v>178</v>
      </c>
      <c r="AC900" s="0" t="s">
        <v>50</v>
      </c>
      <c r="AD900" s="0" t="n">
        <v>5000</v>
      </c>
      <c r="AE900" s="0" t="s">
        <v>80</v>
      </c>
      <c r="AF900" s="0" t="s">
        <v>315</v>
      </c>
      <c r="AG900" s="0" t="s">
        <v>61</v>
      </c>
      <c r="AI900" s="0" t="s">
        <v>101</v>
      </c>
      <c r="AJ900" s="0" t="s">
        <v>63</v>
      </c>
      <c r="AM900" s="0" t="s">
        <v>103</v>
      </c>
      <c r="AN900" s="0" t="s">
        <v>198</v>
      </c>
    </row>
    <row r="901" customFormat="false" ht="15" hidden="false" customHeight="false" outlineLevel="0" collapsed="false">
      <c r="A901" s="1" t="n">
        <v>45778</v>
      </c>
      <c r="B901" s="0" t="s">
        <v>2085</v>
      </c>
      <c r="C901" s="0" t="s">
        <v>42</v>
      </c>
      <c r="D901" s="0" t="n">
        <v>8055235396</v>
      </c>
      <c r="E901" s="0" t="s">
        <v>139</v>
      </c>
      <c r="F901" s="0" t="s">
        <v>2086</v>
      </c>
      <c r="G901" s="0" t="s">
        <v>45</v>
      </c>
      <c r="H901" s="0" t="s">
        <v>46</v>
      </c>
      <c r="I901" s="0" t="s">
        <v>108</v>
      </c>
      <c r="J901" s="0" t="s">
        <v>109</v>
      </c>
      <c r="K901" s="0" t="n">
        <v>110218</v>
      </c>
      <c r="L901" s="0" t="s">
        <v>166</v>
      </c>
      <c r="M901" s="0" t="s">
        <v>63</v>
      </c>
      <c r="N901" s="0" t="n">
        <v>5</v>
      </c>
      <c r="O901" s="0" t="n">
        <v>1.6</v>
      </c>
      <c r="P901" s="0" t="s">
        <v>92</v>
      </c>
      <c r="Q901" s="0" t="s">
        <v>73</v>
      </c>
      <c r="R901" s="0" t="s">
        <v>136</v>
      </c>
      <c r="S901" s="0" t="s">
        <v>147</v>
      </c>
      <c r="T901" s="0" t="n">
        <v>45</v>
      </c>
      <c r="U901" s="0" t="s">
        <v>160</v>
      </c>
      <c r="V901" s="0" t="s">
        <v>155</v>
      </c>
      <c r="W901" s="0" t="s">
        <v>128</v>
      </c>
      <c r="X901" s="0" t="s">
        <v>114</v>
      </c>
      <c r="Z901" s="0" t="s">
        <v>161</v>
      </c>
      <c r="AA901" s="0" t="n">
        <v>40000</v>
      </c>
      <c r="AC901" s="0" t="s">
        <v>50</v>
      </c>
      <c r="AD901" s="0" t="s">
        <v>115</v>
      </c>
      <c r="AG901" s="0" t="s">
        <v>61</v>
      </c>
      <c r="AH901" s="0" t="s">
        <v>171</v>
      </c>
      <c r="AJ901" s="0" t="s">
        <v>50</v>
      </c>
      <c r="AL901" s="0" t="s">
        <v>50</v>
      </c>
      <c r="AM901" s="0" t="s">
        <v>103</v>
      </c>
      <c r="AN901" s="0" t="s">
        <v>190</v>
      </c>
    </row>
    <row r="902" customFormat="false" ht="15" hidden="false" customHeight="false" outlineLevel="0" collapsed="false">
      <c r="A902" s="1" t="n">
        <v>45754</v>
      </c>
      <c r="B902" s="0" t="s">
        <v>2087</v>
      </c>
      <c r="C902" s="0" t="s">
        <v>105</v>
      </c>
      <c r="D902" s="0" t="n">
        <v>8091117376</v>
      </c>
      <c r="E902" s="0" t="s">
        <v>43</v>
      </c>
      <c r="F902" s="0" t="s">
        <v>2088</v>
      </c>
      <c r="G902" s="0" t="s">
        <v>69</v>
      </c>
      <c r="H902" s="0" t="s">
        <v>272</v>
      </c>
      <c r="I902" s="0" t="s">
        <v>154</v>
      </c>
      <c r="K902" s="0" t="n">
        <v>94928</v>
      </c>
      <c r="L902" s="0" t="s">
        <v>72</v>
      </c>
      <c r="M902" s="0" t="s">
        <v>63</v>
      </c>
      <c r="N902" s="0" t="n">
        <v>1</v>
      </c>
      <c r="O902" s="0" t="n">
        <v>1.5</v>
      </c>
      <c r="P902" s="0" t="s">
        <v>92</v>
      </c>
      <c r="Q902" s="0" t="s">
        <v>93</v>
      </c>
      <c r="R902" s="0" t="s">
        <v>94</v>
      </c>
      <c r="S902" s="0" t="s">
        <v>75</v>
      </c>
      <c r="T902" s="0" t="n">
        <v>45</v>
      </c>
      <c r="U902" s="0" t="s">
        <v>55</v>
      </c>
      <c r="V902" s="0" t="s">
        <v>155</v>
      </c>
      <c r="W902" s="0" t="s">
        <v>57</v>
      </c>
      <c r="X902" s="0" t="s">
        <v>58</v>
      </c>
      <c r="Y902" s="0" t="s">
        <v>177</v>
      </c>
      <c r="Z902" s="0" t="s">
        <v>79</v>
      </c>
      <c r="AB902" s="0" t="n">
        <v>35000</v>
      </c>
      <c r="AC902" s="0" t="s">
        <v>63</v>
      </c>
      <c r="AD902" s="0" t="n">
        <v>5000</v>
      </c>
      <c r="AE902" s="0" t="s">
        <v>130</v>
      </c>
      <c r="AF902" s="0" t="s">
        <v>1432</v>
      </c>
      <c r="AG902" s="0" t="s">
        <v>61</v>
      </c>
      <c r="AH902" s="0" t="s">
        <v>171</v>
      </c>
      <c r="AJ902" s="0" t="s">
        <v>50</v>
      </c>
      <c r="AK902" s="0" t="s">
        <v>63</v>
      </c>
      <c r="AM902" s="0" t="s">
        <v>64</v>
      </c>
    </row>
    <row r="903" customFormat="false" ht="15" hidden="false" customHeight="false" outlineLevel="0" collapsed="false">
      <c r="A903" s="1" t="n">
        <v>45757</v>
      </c>
      <c r="B903" s="0" t="s">
        <v>2089</v>
      </c>
      <c r="C903" s="0" t="s">
        <v>42</v>
      </c>
      <c r="D903" s="0" t="n">
        <v>8067640289</v>
      </c>
      <c r="E903" s="0" t="s">
        <v>43</v>
      </c>
      <c r="F903" s="0" t="s">
        <v>2090</v>
      </c>
      <c r="G903" s="0" t="s">
        <v>107</v>
      </c>
      <c r="H903" s="0" t="s">
        <v>170</v>
      </c>
      <c r="I903" s="0" t="s">
        <v>89</v>
      </c>
      <c r="J903" s="0" t="s">
        <v>109</v>
      </c>
      <c r="K903" s="0" t="n">
        <v>97553</v>
      </c>
      <c r="L903" s="0" t="s">
        <v>110</v>
      </c>
      <c r="M903" s="0" t="s">
        <v>63</v>
      </c>
      <c r="O903" s="0" t="n">
        <v>5.2</v>
      </c>
      <c r="P903" s="0" t="s">
        <v>111</v>
      </c>
      <c r="Q903" s="0" t="s">
        <v>93</v>
      </c>
      <c r="R903" s="0" t="s">
        <v>74</v>
      </c>
      <c r="S903" s="0" t="s">
        <v>167</v>
      </c>
      <c r="U903" s="0" t="s">
        <v>160</v>
      </c>
      <c r="V903" s="0" t="s">
        <v>97</v>
      </c>
      <c r="W903" s="0" t="s">
        <v>113</v>
      </c>
      <c r="X903" s="0" t="s">
        <v>137</v>
      </c>
      <c r="Y903" s="0" t="s">
        <v>59</v>
      </c>
      <c r="Z903" s="0" t="s">
        <v>129</v>
      </c>
      <c r="AA903" s="0" t="n">
        <v>30000</v>
      </c>
      <c r="AB903" s="0" t="s">
        <v>178</v>
      </c>
      <c r="AC903" s="0" t="s">
        <v>61</v>
      </c>
      <c r="AD903" s="0" t="s">
        <v>115</v>
      </c>
      <c r="AE903" s="0" t="s">
        <v>130</v>
      </c>
      <c r="AF903" s="1" t="n">
        <v>45757</v>
      </c>
      <c r="AG903" s="0" t="s">
        <v>61</v>
      </c>
      <c r="AI903" s="0" t="s">
        <v>172</v>
      </c>
      <c r="AJ903" s="0" t="s">
        <v>81</v>
      </c>
      <c r="AL903" s="0" t="s">
        <v>50</v>
      </c>
      <c r="AM903" s="0" t="s">
        <v>83</v>
      </c>
      <c r="AN903" s="0" t="s">
        <v>198</v>
      </c>
    </row>
    <row r="904" customFormat="false" ht="15" hidden="false" customHeight="false" outlineLevel="0" collapsed="false">
      <c r="A904" s="0" t="s">
        <v>626</v>
      </c>
      <c r="B904" s="0" t="s">
        <v>2091</v>
      </c>
      <c r="C904" s="0" t="s">
        <v>66</v>
      </c>
      <c r="D904" s="0" t="n">
        <v>8055171003</v>
      </c>
      <c r="E904" s="0" t="s">
        <v>139</v>
      </c>
      <c r="F904" s="0" t="s">
        <v>2092</v>
      </c>
      <c r="G904" s="0" t="s">
        <v>134</v>
      </c>
      <c r="H904" s="0" t="s">
        <v>272</v>
      </c>
      <c r="I904" s="0" t="s">
        <v>89</v>
      </c>
      <c r="J904" s="0" t="s">
        <v>48</v>
      </c>
      <c r="K904" s="0" t="n">
        <v>21014</v>
      </c>
      <c r="L904" s="0" t="s">
        <v>166</v>
      </c>
      <c r="M904" s="0" t="s">
        <v>50</v>
      </c>
      <c r="N904" s="0" t="n">
        <v>3</v>
      </c>
      <c r="O904" s="0" t="n">
        <v>5.8</v>
      </c>
      <c r="P904" s="0" t="s">
        <v>51</v>
      </c>
      <c r="Q904" s="0" t="s">
        <v>73</v>
      </c>
      <c r="R904" s="0" t="s">
        <v>136</v>
      </c>
      <c r="S904" s="0" t="s">
        <v>95</v>
      </c>
      <c r="T904" s="0" t="n">
        <v>45</v>
      </c>
      <c r="U904" s="0" t="s">
        <v>160</v>
      </c>
      <c r="V904" s="0" t="s">
        <v>155</v>
      </c>
      <c r="W904" s="0" t="s">
        <v>128</v>
      </c>
      <c r="X904" s="0" t="s">
        <v>99</v>
      </c>
      <c r="Y904" s="0" t="s">
        <v>59</v>
      </c>
      <c r="Z904" s="0" t="s">
        <v>149</v>
      </c>
      <c r="AB904" s="0" t="n">
        <v>30000</v>
      </c>
      <c r="AC904" s="0" t="s">
        <v>61</v>
      </c>
      <c r="AD904" s="0" t="n">
        <v>10000</v>
      </c>
      <c r="AE904" s="0" t="s">
        <v>184</v>
      </c>
      <c r="AF904" s="1" t="n">
        <v>45854</v>
      </c>
      <c r="AG904" s="0" t="s">
        <v>61</v>
      </c>
      <c r="AH904" s="0" t="s">
        <v>171</v>
      </c>
      <c r="AI904" s="0" t="s">
        <v>117</v>
      </c>
      <c r="AJ904" s="0" t="s">
        <v>50</v>
      </c>
      <c r="AK904" s="0" t="s">
        <v>82</v>
      </c>
      <c r="AM904" s="0" t="s">
        <v>64</v>
      </c>
      <c r="AN904" s="0" t="s">
        <v>190</v>
      </c>
    </row>
    <row r="905" customFormat="false" ht="15" hidden="false" customHeight="false" outlineLevel="0" collapsed="false">
      <c r="A905" s="1" t="n">
        <v>45785</v>
      </c>
      <c r="B905" s="0" t="s">
        <v>2093</v>
      </c>
      <c r="C905" s="0" t="s">
        <v>121</v>
      </c>
      <c r="D905" s="0" t="n">
        <v>8059765936</v>
      </c>
      <c r="E905" s="0" t="s">
        <v>139</v>
      </c>
      <c r="F905" s="0" t="s">
        <v>2094</v>
      </c>
      <c r="G905" s="0" t="s">
        <v>134</v>
      </c>
      <c r="I905" s="0" t="s">
        <v>108</v>
      </c>
      <c r="K905" s="0" t="n">
        <v>30687</v>
      </c>
      <c r="L905" s="0" t="s">
        <v>110</v>
      </c>
      <c r="M905" s="0" t="s">
        <v>50</v>
      </c>
      <c r="N905" s="0" t="n">
        <v>2</v>
      </c>
      <c r="O905" s="0" t="n">
        <v>1.4</v>
      </c>
      <c r="P905" s="0" t="s">
        <v>111</v>
      </c>
      <c r="Q905" s="0" t="s">
        <v>73</v>
      </c>
      <c r="R905" s="0" t="s">
        <v>94</v>
      </c>
      <c r="S905" s="0" t="s">
        <v>147</v>
      </c>
      <c r="T905" s="0" t="n">
        <v>60</v>
      </c>
      <c r="U905" s="0" t="s">
        <v>160</v>
      </c>
      <c r="V905" s="0" t="s">
        <v>97</v>
      </c>
      <c r="W905" s="0" t="s">
        <v>128</v>
      </c>
      <c r="X905" s="0" t="s">
        <v>196</v>
      </c>
      <c r="Y905" s="0" t="s">
        <v>177</v>
      </c>
      <c r="Z905" s="0" t="s">
        <v>149</v>
      </c>
      <c r="AA905" s="0" t="n">
        <v>25000</v>
      </c>
      <c r="AB905" s="0" t="n">
        <v>20000</v>
      </c>
      <c r="AE905" s="0" t="s">
        <v>184</v>
      </c>
      <c r="AG905" s="0" t="s">
        <v>63</v>
      </c>
      <c r="AH905" s="0" t="s">
        <v>116</v>
      </c>
      <c r="AI905" s="0" t="s">
        <v>101</v>
      </c>
      <c r="AJ905" s="0" t="s">
        <v>62</v>
      </c>
      <c r="AL905" s="0" t="s">
        <v>102</v>
      </c>
      <c r="AM905" s="0" t="s">
        <v>103</v>
      </c>
      <c r="AN905" s="0" t="s">
        <v>50</v>
      </c>
    </row>
    <row r="906" customFormat="false" ht="15" hidden="false" customHeight="false" outlineLevel="0" collapsed="false">
      <c r="A906" s="0" t="s">
        <v>1200</v>
      </c>
      <c r="B906" s="0" t="s">
        <v>2095</v>
      </c>
      <c r="C906" s="0" t="s">
        <v>163</v>
      </c>
      <c r="D906" s="0" t="n">
        <v>8056047075</v>
      </c>
      <c r="E906" s="0" t="s">
        <v>139</v>
      </c>
      <c r="F906" s="0" t="s">
        <v>2096</v>
      </c>
      <c r="G906" s="0" t="s">
        <v>45</v>
      </c>
      <c r="H906" s="0" t="s">
        <v>176</v>
      </c>
      <c r="I906" s="0" t="s">
        <v>108</v>
      </c>
      <c r="J906" s="0" t="s">
        <v>71</v>
      </c>
      <c r="K906" s="0" t="n">
        <v>76964</v>
      </c>
      <c r="L906" s="0" t="s">
        <v>110</v>
      </c>
      <c r="M906" s="0" t="s">
        <v>63</v>
      </c>
      <c r="N906" s="0" t="n">
        <v>1</v>
      </c>
      <c r="O906" s="0" t="n">
        <v>1.5</v>
      </c>
      <c r="P906" s="0" t="s">
        <v>92</v>
      </c>
      <c r="Q906" s="0" t="s">
        <v>93</v>
      </c>
      <c r="S906" s="0" t="s">
        <v>126</v>
      </c>
      <c r="T906" s="0" t="n">
        <v>60</v>
      </c>
      <c r="U906" s="0" t="s">
        <v>96</v>
      </c>
      <c r="V906" s="0" t="s">
        <v>77</v>
      </c>
      <c r="W906" s="0" t="s">
        <v>98</v>
      </c>
      <c r="X906" s="0" t="s">
        <v>99</v>
      </c>
      <c r="Y906" s="0" t="s">
        <v>197</v>
      </c>
      <c r="Z906" s="0" t="s">
        <v>161</v>
      </c>
      <c r="AA906" s="0" t="n">
        <v>40000</v>
      </c>
      <c r="AC906" s="0" t="s">
        <v>82</v>
      </c>
      <c r="AD906" s="0" t="s">
        <v>115</v>
      </c>
      <c r="AE906" s="0" t="s">
        <v>130</v>
      </c>
      <c r="AF906" s="0" t="s">
        <v>559</v>
      </c>
      <c r="AI906" s="0" t="s">
        <v>172</v>
      </c>
      <c r="AK906" s="0" t="s">
        <v>50</v>
      </c>
      <c r="AL906" s="0" t="s">
        <v>63</v>
      </c>
      <c r="AM906" s="0" t="s">
        <v>64</v>
      </c>
    </row>
    <row r="907" customFormat="false" ht="15" hidden="false" customHeight="false" outlineLevel="0" collapsed="false">
      <c r="A907" s="1" t="n">
        <v>45709</v>
      </c>
      <c r="B907" s="0" t="s">
        <v>2097</v>
      </c>
      <c r="C907" s="0" t="s">
        <v>121</v>
      </c>
      <c r="D907" s="0" t="n">
        <v>8052308622</v>
      </c>
      <c r="E907" s="0" t="s">
        <v>139</v>
      </c>
      <c r="F907" s="0" t="s">
        <v>2098</v>
      </c>
      <c r="G907" s="0" t="s">
        <v>87</v>
      </c>
      <c r="H907" s="0" t="s">
        <v>70</v>
      </c>
      <c r="I907" s="0" t="s">
        <v>108</v>
      </c>
      <c r="J907" s="0" t="s">
        <v>71</v>
      </c>
      <c r="K907" s="0" t="n">
        <v>75494</v>
      </c>
      <c r="L907" s="0" t="s">
        <v>166</v>
      </c>
      <c r="M907" s="0" t="s">
        <v>50</v>
      </c>
      <c r="N907" s="0" t="n">
        <v>5</v>
      </c>
      <c r="O907" s="0" t="n">
        <v>5.4</v>
      </c>
      <c r="P907" s="0" t="s">
        <v>125</v>
      </c>
      <c r="Q907" s="0" t="s">
        <v>93</v>
      </c>
      <c r="R907" s="0" t="s">
        <v>94</v>
      </c>
      <c r="S907" s="0" t="s">
        <v>167</v>
      </c>
      <c r="T907" s="0" t="n">
        <v>45</v>
      </c>
      <c r="U907" s="0" t="s">
        <v>55</v>
      </c>
      <c r="V907" s="0" t="s">
        <v>148</v>
      </c>
      <c r="W907" s="0" t="s">
        <v>57</v>
      </c>
      <c r="X907" s="0" t="s">
        <v>99</v>
      </c>
      <c r="Z907" s="0" t="s">
        <v>79</v>
      </c>
      <c r="AA907" s="0" t="n">
        <v>40000</v>
      </c>
      <c r="AB907" s="0" t="n">
        <v>40000</v>
      </c>
      <c r="AC907" s="0" t="s">
        <v>50</v>
      </c>
      <c r="AD907" s="0" t="n">
        <v>5000</v>
      </c>
      <c r="AE907" s="0" t="s">
        <v>60</v>
      </c>
      <c r="AF907" s="1" t="n">
        <v>45840</v>
      </c>
      <c r="AG907" s="0" t="s">
        <v>82</v>
      </c>
      <c r="AH907" s="0" t="s">
        <v>171</v>
      </c>
      <c r="AI907" s="0" t="s">
        <v>117</v>
      </c>
      <c r="AJ907" s="0" t="s">
        <v>81</v>
      </c>
      <c r="AK907" s="0" t="s">
        <v>63</v>
      </c>
      <c r="AL907" s="0" t="s">
        <v>50</v>
      </c>
      <c r="AM907" s="0" t="s">
        <v>64</v>
      </c>
      <c r="AN907" s="0" t="s">
        <v>198</v>
      </c>
    </row>
    <row r="908" customFormat="false" ht="15" hidden="false" customHeight="false" outlineLevel="0" collapsed="false">
      <c r="A908" s="0" t="s">
        <v>225</v>
      </c>
      <c r="B908" s="0" t="s">
        <v>2099</v>
      </c>
      <c r="C908" s="0" t="s">
        <v>66</v>
      </c>
      <c r="D908" s="0" t="n">
        <v>8042158168</v>
      </c>
      <c r="E908" s="0" t="s">
        <v>85</v>
      </c>
      <c r="F908" s="0" t="s">
        <v>2100</v>
      </c>
      <c r="G908" s="0" t="s">
        <v>87</v>
      </c>
      <c r="H908" s="0" t="s">
        <v>176</v>
      </c>
      <c r="I908" s="0" t="s">
        <v>108</v>
      </c>
      <c r="J908" s="0" t="s">
        <v>90</v>
      </c>
      <c r="K908" s="0" t="n">
        <v>98387</v>
      </c>
      <c r="L908" s="0" t="s">
        <v>124</v>
      </c>
      <c r="M908" s="0" t="s">
        <v>50</v>
      </c>
      <c r="N908" s="0" t="n">
        <v>2</v>
      </c>
      <c r="O908" s="0" t="n">
        <v>2.6</v>
      </c>
      <c r="P908" s="0" t="s">
        <v>51</v>
      </c>
      <c r="Q908" s="0" t="s">
        <v>73</v>
      </c>
      <c r="R908" s="0" t="s">
        <v>159</v>
      </c>
      <c r="S908" s="0" t="s">
        <v>167</v>
      </c>
      <c r="T908" s="0" t="s">
        <v>127</v>
      </c>
      <c r="U908" s="0" t="s">
        <v>160</v>
      </c>
      <c r="V908" s="0" t="s">
        <v>97</v>
      </c>
      <c r="W908" s="0" t="s">
        <v>78</v>
      </c>
      <c r="X908" s="0" t="s">
        <v>196</v>
      </c>
      <c r="Y908" s="0" t="s">
        <v>197</v>
      </c>
      <c r="Z908" s="0" t="s">
        <v>79</v>
      </c>
      <c r="AA908" s="0" t="n">
        <v>30000</v>
      </c>
      <c r="AC908" s="0" t="s">
        <v>82</v>
      </c>
      <c r="AD908" s="0" t="s">
        <v>115</v>
      </c>
      <c r="AE908" s="0" t="s">
        <v>80</v>
      </c>
      <c r="AF908" s="0" t="s">
        <v>1097</v>
      </c>
      <c r="AG908" s="0" t="s">
        <v>50</v>
      </c>
      <c r="AJ908" s="0" t="s">
        <v>50</v>
      </c>
      <c r="AK908" s="0" t="s">
        <v>61</v>
      </c>
      <c r="AM908" s="0" t="s">
        <v>83</v>
      </c>
      <c r="AN908" s="0" t="s">
        <v>198</v>
      </c>
    </row>
    <row r="909" customFormat="false" ht="15" hidden="false" customHeight="false" outlineLevel="0" collapsed="false">
      <c r="A909" s="0" t="s">
        <v>1200</v>
      </c>
      <c r="B909" s="0" t="s">
        <v>2101</v>
      </c>
      <c r="C909" s="0" t="s">
        <v>42</v>
      </c>
      <c r="D909" s="0" t="n">
        <v>8058480869</v>
      </c>
      <c r="E909" s="0" t="s">
        <v>43</v>
      </c>
      <c r="F909" s="0" t="s">
        <v>2102</v>
      </c>
      <c r="G909" s="0" t="s">
        <v>87</v>
      </c>
      <c r="H909" s="0" t="s">
        <v>176</v>
      </c>
      <c r="I909" s="0" t="s">
        <v>47</v>
      </c>
      <c r="J909" s="0" t="s">
        <v>48</v>
      </c>
      <c r="K909" s="0" t="n">
        <v>117104</v>
      </c>
      <c r="L909" s="0" t="s">
        <v>49</v>
      </c>
      <c r="M909" s="0" t="s">
        <v>50</v>
      </c>
      <c r="N909" s="0" t="n">
        <v>4</v>
      </c>
      <c r="O909" s="0" t="n">
        <v>4.3</v>
      </c>
      <c r="P909" s="0" t="s">
        <v>92</v>
      </c>
      <c r="Q909" s="0" t="s">
        <v>93</v>
      </c>
      <c r="R909" s="0" t="s">
        <v>74</v>
      </c>
      <c r="S909" s="0" t="s">
        <v>95</v>
      </c>
      <c r="T909" s="0" t="n">
        <v>15</v>
      </c>
      <c r="U909" s="0" t="s">
        <v>76</v>
      </c>
      <c r="V909" s="0" t="s">
        <v>77</v>
      </c>
      <c r="W909" s="0" t="s">
        <v>57</v>
      </c>
      <c r="X909" s="0" t="s">
        <v>99</v>
      </c>
      <c r="AA909" s="0" t="n">
        <v>30000</v>
      </c>
      <c r="AB909" s="0" t="n">
        <v>30000</v>
      </c>
      <c r="AC909" s="0" t="s">
        <v>61</v>
      </c>
      <c r="AD909" s="0" t="s">
        <v>115</v>
      </c>
      <c r="AE909" s="0" t="s">
        <v>80</v>
      </c>
      <c r="AF909" s="1" t="n">
        <v>45882</v>
      </c>
      <c r="AG909" s="0" t="s">
        <v>82</v>
      </c>
      <c r="AJ909" s="0" t="s">
        <v>81</v>
      </c>
      <c r="AK909" s="0" t="s">
        <v>50</v>
      </c>
      <c r="AL909" s="0" t="s">
        <v>102</v>
      </c>
      <c r="AM909" s="0" t="s">
        <v>83</v>
      </c>
    </row>
    <row r="910" customFormat="false" ht="15" hidden="false" customHeight="false" outlineLevel="0" collapsed="false">
      <c r="A910" s="1" t="n">
        <v>45681</v>
      </c>
      <c r="B910" s="0" t="s">
        <v>2103</v>
      </c>
      <c r="C910" s="0" t="s">
        <v>121</v>
      </c>
      <c r="D910" s="0" t="n">
        <v>8099265296</v>
      </c>
      <c r="E910" s="0" t="s">
        <v>67</v>
      </c>
      <c r="F910" s="0" t="s">
        <v>2104</v>
      </c>
      <c r="G910" s="0" t="s">
        <v>107</v>
      </c>
      <c r="H910" s="0" t="s">
        <v>242</v>
      </c>
      <c r="I910" s="0" t="s">
        <v>189</v>
      </c>
      <c r="J910" s="0" t="s">
        <v>71</v>
      </c>
      <c r="K910" s="0" t="n">
        <v>87388</v>
      </c>
      <c r="L910" s="0" t="s">
        <v>166</v>
      </c>
      <c r="M910" s="0" t="s">
        <v>50</v>
      </c>
      <c r="N910" s="0" t="n">
        <v>5</v>
      </c>
      <c r="O910" s="0" t="n">
        <v>3.8</v>
      </c>
      <c r="P910" s="0" t="s">
        <v>51</v>
      </c>
      <c r="Q910" s="0" t="s">
        <v>73</v>
      </c>
      <c r="R910" s="0" t="s">
        <v>94</v>
      </c>
      <c r="S910" s="0" t="s">
        <v>126</v>
      </c>
      <c r="T910" s="0" t="n">
        <v>60</v>
      </c>
      <c r="U910" s="0" t="s">
        <v>160</v>
      </c>
      <c r="V910" s="0" t="s">
        <v>155</v>
      </c>
      <c r="W910" s="0" t="s">
        <v>128</v>
      </c>
      <c r="X910" s="0" t="s">
        <v>196</v>
      </c>
      <c r="Z910" s="0" t="s">
        <v>79</v>
      </c>
      <c r="AA910" s="0" t="n">
        <v>25000</v>
      </c>
      <c r="AB910" s="0" t="n">
        <v>35000</v>
      </c>
      <c r="AC910" s="0" t="s">
        <v>50</v>
      </c>
      <c r="AD910" s="0" t="s">
        <v>115</v>
      </c>
      <c r="AE910" s="0" t="s">
        <v>80</v>
      </c>
      <c r="AH910" s="0" t="s">
        <v>171</v>
      </c>
      <c r="AI910" s="0" t="s">
        <v>101</v>
      </c>
      <c r="AJ910" s="0" t="s">
        <v>81</v>
      </c>
      <c r="AK910" s="0" t="s">
        <v>61</v>
      </c>
      <c r="AM910" s="0" t="s">
        <v>64</v>
      </c>
      <c r="AN910" s="0" t="s">
        <v>50</v>
      </c>
    </row>
    <row r="911" customFormat="false" ht="15" hidden="false" customHeight="false" outlineLevel="0" collapsed="false">
      <c r="A911" s="0" t="s">
        <v>458</v>
      </c>
      <c r="B911" s="0" t="s">
        <v>2105</v>
      </c>
      <c r="C911" s="0" t="s">
        <v>105</v>
      </c>
      <c r="D911" s="0" t="n">
        <v>8063481919</v>
      </c>
      <c r="E911" s="0" t="s">
        <v>67</v>
      </c>
      <c r="F911" s="0" t="s">
        <v>2106</v>
      </c>
      <c r="G911" s="0" t="s">
        <v>107</v>
      </c>
      <c r="H911" s="0" t="s">
        <v>242</v>
      </c>
      <c r="I911" s="0" t="s">
        <v>47</v>
      </c>
      <c r="J911" s="0" t="s">
        <v>109</v>
      </c>
      <c r="K911" s="0" t="n">
        <v>45443</v>
      </c>
      <c r="L911" s="0" t="s">
        <v>91</v>
      </c>
      <c r="M911" s="0" t="s">
        <v>50</v>
      </c>
      <c r="N911" s="0" t="n">
        <v>4</v>
      </c>
      <c r="O911" s="0" t="n">
        <v>2.8</v>
      </c>
      <c r="P911" s="0" t="s">
        <v>92</v>
      </c>
      <c r="Q911" s="0" t="s">
        <v>73</v>
      </c>
      <c r="S911" s="0" t="s">
        <v>126</v>
      </c>
      <c r="T911" s="0" t="n">
        <v>45</v>
      </c>
      <c r="U911" s="0" t="s">
        <v>55</v>
      </c>
      <c r="V911" s="0" t="s">
        <v>97</v>
      </c>
      <c r="W911" s="0" t="s">
        <v>57</v>
      </c>
      <c r="X911" s="0" t="s">
        <v>114</v>
      </c>
      <c r="Z911" s="0" t="s">
        <v>129</v>
      </c>
      <c r="AA911" s="0" t="n">
        <v>30000</v>
      </c>
      <c r="AB911" s="0" t="n">
        <v>20000</v>
      </c>
      <c r="AD911" s="0" t="s">
        <v>115</v>
      </c>
      <c r="AE911" s="0" t="s">
        <v>184</v>
      </c>
      <c r="AG911" s="0" t="s">
        <v>61</v>
      </c>
      <c r="AI911" s="0" t="s">
        <v>101</v>
      </c>
      <c r="AK911" s="0" t="s">
        <v>63</v>
      </c>
      <c r="AM911" s="0" t="s">
        <v>64</v>
      </c>
      <c r="AN911" s="0" t="s">
        <v>190</v>
      </c>
    </row>
    <row r="912" customFormat="false" ht="15" hidden="false" customHeight="false" outlineLevel="0" collapsed="false">
      <c r="A912" s="1" t="n">
        <v>45803</v>
      </c>
      <c r="B912" s="0" t="s">
        <v>2107</v>
      </c>
      <c r="C912" s="0" t="s">
        <v>66</v>
      </c>
      <c r="D912" s="0" t="n">
        <v>8060792779</v>
      </c>
      <c r="E912" s="0" t="s">
        <v>139</v>
      </c>
      <c r="F912" s="0" t="s">
        <v>2108</v>
      </c>
      <c r="G912" s="0" t="s">
        <v>134</v>
      </c>
      <c r="H912" s="0" t="s">
        <v>88</v>
      </c>
      <c r="I912" s="0" t="s">
        <v>154</v>
      </c>
      <c r="J912" s="0" t="s">
        <v>71</v>
      </c>
      <c r="K912" s="0" t="n">
        <v>113738</v>
      </c>
      <c r="L912" s="0" t="s">
        <v>124</v>
      </c>
      <c r="M912" s="0" t="s">
        <v>63</v>
      </c>
      <c r="N912" s="0" t="n">
        <v>4</v>
      </c>
      <c r="O912" s="0" t="n">
        <v>2.3</v>
      </c>
      <c r="P912" s="0" t="s">
        <v>125</v>
      </c>
      <c r="Q912" s="0" t="s">
        <v>93</v>
      </c>
      <c r="R912" s="0" t="s">
        <v>94</v>
      </c>
      <c r="S912" s="0" t="s">
        <v>147</v>
      </c>
      <c r="T912" s="0" t="n">
        <v>30</v>
      </c>
      <c r="U912" s="0" t="s">
        <v>55</v>
      </c>
      <c r="V912" s="0" t="s">
        <v>77</v>
      </c>
      <c r="W912" s="0" t="s">
        <v>113</v>
      </c>
      <c r="X912" s="0" t="s">
        <v>196</v>
      </c>
      <c r="AB912" s="0" t="n">
        <v>30000</v>
      </c>
      <c r="AC912" s="0" t="s">
        <v>82</v>
      </c>
      <c r="AE912" s="0" t="s">
        <v>184</v>
      </c>
      <c r="AF912" s="1" t="n">
        <v>45951</v>
      </c>
      <c r="AG912" s="0" t="s">
        <v>63</v>
      </c>
      <c r="AH912" s="0" t="s">
        <v>116</v>
      </c>
      <c r="AI912" s="0" t="s">
        <v>117</v>
      </c>
      <c r="AJ912" s="0" t="s">
        <v>62</v>
      </c>
      <c r="AK912" s="0" t="s">
        <v>50</v>
      </c>
      <c r="AM912" s="0" t="s">
        <v>83</v>
      </c>
      <c r="AN912" s="0" t="s">
        <v>190</v>
      </c>
    </row>
    <row r="913" customFormat="false" ht="15" hidden="false" customHeight="false" outlineLevel="0" collapsed="false">
      <c r="A913" s="0" t="s">
        <v>1865</v>
      </c>
      <c r="B913" s="0" t="s">
        <v>2109</v>
      </c>
      <c r="C913" s="0" t="s">
        <v>42</v>
      </c>
      <c r="D913" s="0" t="n">
        <v>8091981404</v>
      </c>
      <c r="E913" s="0" t="s">
        <v>139</v>
      </c>
      <c r="F913" s="0" t="s">
        <v>2110</v>
      </c>
      <c r="G913" s="0" t="s">
        <v>107</v>
      </c>
      <c r="H913" s="0" t="s">
        <v>135</v>
      </c>
      <c r="I913" s="0" t="s">
        <v>142</v>
      </c>
      <c r="J913" s="0" t="s">
        <v>71</v>
      </c>
      <c r="K913" s="0" t="n">
        <v>31672</v>
      </c>
      <c r="L913" s="0" t="s">
        <v>91</v>
      </c>
      <c r="M913" s="0" t="s">
        <v>63</v>
      </c>
      <c r="N913" s="0" t="n">
        <v>1</v>
      </c>
      <c r="O913" s="0" t="n">
        <v>3.5</v>
      </c>
      <c r="P913" s="0" t="s">
        <v>92</v>
      </c>
      <c r="Q913" s="0" t="s">
        <v>52</v>
      </c>
      <c r="R913" s="0" t="s">
        <v>136</v>
      </c>
      <c r="S913" s="0" t="s">
        <v>167</v>
      </c>
      <c r="T913" s="0" t="n">
        <v>60</v>
      </c>
      <c r="U913" s="0" t="s">
        <v>112</v>
      </c>
      <c r="V913" s="0" t="s">
        <v>155</v>
      </c>
      <c r="W913" s="0" t="s">
        <v>113</v>
      </c>
      <c r="X913" s="0" t="s">
        <v>58</v>
      </c>
      <c r="AA913" s="0" t="n">
        <v>25000</v>
      </c>
      <c r="AB913" s="0" t="n">
        <v>40000</v>
      </c>
      <c r="AC913" s="0" t="s">
        <v>50</v>
      </c>
      <c r="AD913" s="0" t="s">
        <v>115</v>
      </c>
      <c r="AG913" s="0" t="s">
        <v>63</v>
      </c>
      <c r="AI913" s="0" t="s">
        <v>101</v>
      </c>
      <c r="AJ913" s="0" t="s">
        <v>62</v>
      </c>
      <c r="AK913" s="0" t="s">
        <v>61</v>
      </c>
      <c r="AM913" s="0" t="s">
        <v>103</v>
      </c>
      <c r="AN913" s="0" t="s">
        <v>198</v>
      </c>
    </row>
    <row r="914" customFormat="false" ht="15" hidden="false" customHeight="false" outlineLevel="0" collapsed="false">
      <c r="A914" s="0" t="s">
        <v>1460</v>
      </c>
      <c r="B914" s="0" t="s">
        <v>2111</v>
      </c>
      <c r="C914" s="0" t="s">
        <v>163</v>
      </c>
      <c r="D914" s="0" t="n">
        <v>8017682829</v>
      </c>
      <c r="E914" s="0" t="s">
        <v>85</v>
      </c>
      <c r="F914" s="0" t="s">
        <v>2112</v>
      </c>
      <c r="G914" s="0" t="s">
        <v>45</v>
      </c>
      <c r="H914" s="0" t="s">
        <v>141</v>
      </c>
      <c r="I914" s="0" t="s">
        <v>154</v>
      </c>
      <c r="J914" s="0" t="s">
        <v>71</v>
      </c>
      <c r="K914" s="0" t="n">
        <v>88630</v>
      </c>
      <c r="L914" s="0" t="s">
        <v>110</v>
      </c>
      <c r="M914" s="0" t="s">
        <v>50</v>
      </c>
      <c r="N914" s="0" t="n">
        <v>4</v>
      </c>
      <c r="O914" s="0" t="n">
        <v>4.8</v>
      </c>
      <c r="P914" s="0" t="s">
        <v>125</v>
      </c>
      <c r="Q914" s="0" t="s">
        <v>73</v>
      </c>
      <c r="R914" s="0" t="s">
        <v>136</v>
      </c>
      <c r="S914" s="0" t="s">
        <v>167</v>
      </c>
      <c r="T914" s="0" t="s">
        <v>127</v>
      </c>
      <c r="U914" s="0" t="s">
        <v>160</v>
      </c>
      <c r="V914" s="0" t="s">
        <v>77</v>
      </c>
      <c r="W914" s="0" t="s">
        <v>57</v>
      </c>
      <c r="X914" s="0" t="s">
        <v>99</v>
      </c>
      <c r="Y914" s="0" t="s">
        <v>59</v>
      </c>
      <c r="AB914" s="0" t="n">
        <v>35000</v>
      </c>
      <c r="AD914" s="0" t="s">
        <v>115</v>
      </c>
      <c r="AE914" s="0" t="s">
        <v>184</v>
      </c>
      <c r="AG914" s="0" t="s">
        <v>61</v>
      </c>
      <c r="AH914" s="0" t="s">
        <v>171</v>
      </c>
      <c r="AJ914" s="0" t="s">
        <v>62</v>
      </c>
      <c r="AK914" s="0" t="s">
        <v>50</v>
      </c>
      <c r="AL914" s="0" t="s">
        <v>50</v>
      </c>
      <c r="AM914" s="0" t="s">
        <v>64</v>
      </c>
    </row>
    <row r="915" customFormat="false" ht="15" hidden="false" customHeight="false" outlineLevel="0" collapsed="false">
      <c r="A915" s="1" t="n">
        <v>45768</v>
      </c>
      <c r="B915" s="0" t="s">
        <v>2113</v>
      </c>
      <c r="C915" s="0" t="s">
        <v>42</v>
      </c>
      <c r="D915" s="0" t="n">
        <v>8057785434</v>
      </c>
      <c r="E915" s="0" t="s">
        <v>139</v>
      </c>
      <c r="F915" s="0" t="s">
        <v>2114</v>
      </c>
      <c r="G915" s="0" t="s">
        <v>107</v>
      </c>
      <c r="H915" s="0" t="s">
        <v>170</v>
      </c>
      <c r="I915" s="0" t="s">
        <v>189</v>
      </c>
      <c r="J915" s="0" t="s">
        <v>109</v>
      </c>
      <c r="K915" s="0" t="n">
        <v>97872</v>
      </c>
      <c r="L915" s="0" t="s">
        <v>124</v>
      </c>
      <c r="M915" s="0" t="s">
        <v>63</v>
      </c>
      <c r="N915" s="0" t="n">
        <v>5</v>
      </c>
      <c r="O915" s="0" t="n">
        <v>5.8</v>
      </c>
      <c r="P915" s="0" t="s">
        <v>51</v>
      </c>
      <c r="Q915" s="0" t="s">
        <v>73</v>
      </c>
      <c r="R915" s="0" t="s">
        <v>74</v>
      </c>
      <c r="S915" s="0" t="s">
        <v>126</v>
      </c>
      <c r="T915" s="0" t="n">
        <v>15</v>
      </c>
      <c r="U915" s="0" t="s">
        <v>55</v>
      </c>
      <c r="V915" s="0" t="s">
        <v>56</v>
      </c>
      <c r="W915" s="0" t="s">
        <v>128</v>
      </c>
      <c r="X915" s="0" t="s">
        <v>137</v>
      </c>
      <c r="Z915" s="0" t="s">
        <v>161</v>
      </c>
      <c r="AA915" s="0" t="s">
        <v>150</v>
      </c>
      <c r="AB915" s="0" t="n">
        <v>40000</v>
      </c>
      <c r="AD915" s="0" t="s">
        <v>115</v>
      </c>
      <c r="AE915" s="0" t="s">
        <v>60</v>
      </c>
      <c r="AG915" s="0" t="s">
        <v>63</v>
      </c>
      <c r="AJ915" s="0" t="s">
        <v>50</v>
      </c>
      <c r="AK915" s="0" t="s">
        <v>50</v>
      </c>
      <c r="AL915" s="0" t="s">
        <v>102</v>
      </c>
      <c r="AN915" s="0" t="s">
        <v>198</v>
      </c>
    </row>
    <row r="916" customFormat="false" ht="15" hidden="false" customHeight="false" outlineLevel="0" collapsed="false">
      <c r="A916" s="1" t="n">
        <v>45722</v>
      </c>
      <c r="B916" s="0" t="s">
        <v>2115</v>
      </c>
      <c r="C916" s="0" t="s">
        <v>105</v>
      </c>
      <c r="D916" s="0" t="n">
        <v>8054326109</v>
      </c>
      <c r="E916" s="0" t="s">
        <v>85</v>
      </c>
      <c r="F916" s="0" t="s">
        <v>2116</v>
      </c>
      <c r="G916" s="0" t="s">
        <v>87</v>
      </c>
      <c r="I916" s="0" t="s">
        <v>108</v>
      </c>
      <c r="J916" s="0" t="s">
        <v>48</v>
      </c>
      <c r="K916" s="0" t="n">
        <v>65505</v>
      </c>
      <c r="L916" s="0" t="s">
        <v>49</v>
      </c>
      <c r="M916" s="0" t="s">
        <v>63</v>
      </c>
      <c r="O916" s="0" t="n">
        <v>2.5</v>
      </c>
      <c r="Q916" s="0" t="s">
        <v>52</v>
      </c>
      <c r="R916" s="0" t="s">
        <v>136</v>
      </c>
      <c r="S916" s="0" t="s">
        <v>167</v>
      </c>
      <c r="U916" s="0" t="s">
        <v>96</v>
      </c>
      <c r="V916" s="0" t="s">
        <v>97</v>
      </c>
      <c r="W916" s="0" t="s">
        <v>98</v>
      </c>
      <c r="X916" s="0" t="s">
        <v>99</v>
      </c>
      <c r="AB916" s="0" t="n">
        <v>30000</v>
      </c>
      <c r="AC916" s="0" t="s">
        <v>61</v>
      </c>
      <c r="AD916" s="0" t="n">
        <v>10000</v>
      </c>
      <c r="AE916" s="0" t="s">
        <v>80</v>
      </c>
      <c r="AF916" s="1" t="n">
        <v>45864</v>
      </c>
      <c r="AH916" s="0" t="s">
        <v>171</v>
      </c>
      <c r="AI916" s="0" t="s">
        <v>117</v>
      </c>
      <c r="AJ916" s="0" t="s">
        <v>81</v>
      </c>
      <c r="AK916" s="0" t="s">
        <v>82</v>
      </c>
      <c r="AM916" s="0" t="s">
        <v>64</v>
      </c>
      <c r="AN916" s="0" t="s">
        <v>50</v>
      </c>
    </row>
    <row r="917" customFormat="false" ht="15" hidden="false" customHeight="false" outlineLevel="0" collapsed="false">
      <c r="A917" s="1" t="n">
        <v>45789</v>
      </c>
      <c r="B917" s="0" t="s">
        <v>2117</v>
      </c>
      <c r="C917" s="0" t="s">
        <v>121</v>
      </c>
      <c r="D917" s="0" t="n">
        <v>8023445578</v>
      </c>
      <c r="E917" s="0" t="s">
        <v>85</v>
      </c>
      <c r="F917" s="0" t="s">
        <v>2118</v>
      </c>
      <c r="G917" s="0" t="s">
        <v>45</v>
      </c>
      <c r="H917" s="0" t="s">
        <v>170</v>
      </c>
      <c r="I917" s="0" t="s">
        <v>154</v>
      </c>
      <c r="J917" s="0" t="s">
        <v>48</v>
      </c>
      <c r="K917" s="0" t="n">
        <v>83359</v>
      </c>
      <c r="L917" s="0" t="s">
        <v>49</v>
      </c>
      <c r="M917" s="0" t="s">
        <v>63</v>
      </c>
      <c r="N917" s="0" t="n">
        <v>1</v>
      </c>
      <c r="O917" s="0" t="n">
        <v>5.9</v>
      </c>
      <c r="P917" s="0" t="s">
        <v>92</v>
      </c>
      <c r="Q917" s="0" t="s">
        <v>73</v>
      </c>
      <c r="R917" s="0" t="s">
        <v>94</v>
      </c>
      <c r="S917" s="0" t="s">
        <v>75</v>
      </c>
      <c r="T917" s="0" t="n">
        <v>60</v>
      </c>
      <c r="U917" s="0" t="s">
        <v>160</v>
      </c>
      <c r="V917" s="0" t="s">
        <v>148</v>
      </c>
      <c r="W917" s="0" t="s">
        <v>113</v>
      </c>
      <c r="X917" s="0" t="s">
        <v>196</v>
      </c>
      <c r="Y917" s="0" t="s">
        <v>197</v>
      </c>
      <c r="Z917" s="0" t="s">
        <v>149</v>
      </c>
      <c r="AA917" s="0" t="n">
        <v>40000</v>
      </c>
      <c r="AB917" s="0" t="n">
        <v>30000</v>
      </c>
      <c r="AE917" s="0" t="s">
        <v>60</v>
      </c>
      <c r="AG917" s="0" t="s">
        <v>50</v>
      </c>
      <c r="AI917" s="0" t="s">
        <v>101</v>
      </c>
      <c r="AJ917" s="0" t="s">
        <v>63</v>
      </c>
      <c r="AK917" s="0" t="s">
        <v>63</v>
      </c>
      <c r="AM917" s="0" t="s">
        <v>64</v>
      </c>
      <c r="AN917" s="0" t="s">
        <v>190</v>
      </c>
    </row>
    <row r="918" customFormat="false" ht="15" hidden="false" customHeight="false" outlineLevel="0" collapsed="false">
      <c r="A918" s="1" t="n">
        <v>45662</v>
      </c>
      <c r="B918" s="0" t="s">
        <v>2119</v>
      </c>
      <c r="C918" s="0" t="s">
        <v>42</v>
      </c>
      <c r="D918" s="0" t="n">
        <v>8010414016</v>
      </c>
      <c r="E918" s="0" t="s">
        <v>139</v>
      </c>
      <c r="F918" s="0" t="s">
        <v>2120</v>
      </c>
      <c r="G918" s="0" t="s">
        <v>69</v>
      </c>
      <c r="H918" s="0" t="s">
        <v>70</v>
      </c>
      <c r="I918" s="0" t="s">
        <v>47</v>
      </c>
      <c r="J918" s="0" t="s">
        <v>109</v>
      </c>
      <c r="K918" s="0" t="n">
        <v>76150</v>
      </c>
      <c r="L918" s="0" t="s">
        <v>49</v>
      </c>
      <c r="M918" s="0" t="s">
        <v>50</v>
      </c>
      <c r="N918" s="0" t="n">
        <v>3</v>
      </c>
      <c r="O918" s="0" t="n">
        <v>1.9</v>
      </c>
      <c r="P918" s="0" t="s">
        <v>125</v>
      </c>
      <c r="Q918" s="0" t="s">
        <v>52</v>
      </c>
      <c r="S918" s="0" t="s">
        <v>54</v>
      </c>
      <c r="U918" s="0" t="s">
        <v>96</v>
      </c>
      <c r="V918" s="0" t="s">
        <v>148</v>
      </c>
      <c r="W918" s="0" t="s">
        <v>128</v>
      </c>
      <c r="X918" s="0" t="s">
        <v>137</v>
      </c>
      <c r="Y918" s="0" t="s">
        <v>59</v>
      </c>
      <c r="AA918" s="0" t="n">
        <v>30000</v>
      </c>
      <c r="AB918" s="0" t="n">
        <v>40000</v>
      </c>
      <c r="AC918" s="0" t="s">
        <v>61</v>
      </c>
      <c r="AD918" s="0" t="n">
        <v>5000</v>
      </c>
      <c r="AE918" s="0" t="s">
        <v>60</v>
      </c>
      <c r="AF918" s="1" t="n">
        <v>45972</v>
      </c>
      <c r="AG918" s="0" t="s">
        <v>63</v>
      </c>
      <c r="AH918" s="0" t="s">
        <v>116</v>
      </c>
      <c r="AJ918" s="0" t="s">
        <v>62</v>
      </c>
      <c r="AK918" s="0" t="s">
        <v>50</v>
      </c>
      <c r="AL918" s="0" t="s">
        <v>102</v>
      </c>
      <c r="AM918" s="0" t="s">
        <v>83</v>
      </c>
      <c r="AN918" s="0" t="s">
        <v>198</v>
      </c>
    </row>
    <row r="919" customFormat="false" ht="15" hidden="false" customHeight="false" outlineLevel="0" collapsed="false">
      <c r="A919" s="1" t="n">
        <v>45712</v>
      </c>
      <c r="B919" s="0" t="s">
        <v>2121</v>
      </c>
      <c r="C919" s="0" t="s">
        <v>105</v>
      </c>
      <c r="D919" s="0" t="n">
        <v>8071326664</v>
      </c>
      <c r="E919" s="0" t="s">
        <v>85</v>
      </c>
      <c r="F919" s="0" t="s">
        <v>2122</v>
      </c>
      <c r="G919" s="0" t="s">
        <v>87</v>
      </c>
      <c r="H919" s="0" t="s">
        <v>153</v>
      </c>
      <c r="I919" s="0" t="s">
        <v>108</v>
      </c>
      <c r="K919" s="0" t="n">
        <v>29718</v>
      </c>
      <c r="L919" s="0" t="s">
        <v>91</v>
      </c>
      <c r="M919" s="0" t="s">
        <v>50</v>
      </c>
      <c r="N919" s="0" t="n">
        <v>5</v>
      </c>
      <c r="O919" s="0" t="n">
        <v>2.3</v>
      </c>
      <c r="P919" s="0" t="s">
        <v>92</v>
      </c>
      <c r="Q919" s="0" t="s">
        <v>52</v>
      </c>
      <c r="S919" s="0" t="s">
        <v>54</v>
      </c>
      <c r="T919" s="0" t="n">
        <v>60</v>
      </c>
      <c r="U919" s="0" t="s">
        <v>112</v>
      </c>
      <c r="V919" s="0" t="s">
        <v>97</v>
      </c>
      <c r="W919" s="0" t="s">
        <v>78</v>
      </c>
      <c r="X919" s="0" t="s">
        <v>58</v>
      </c>
      <c r="Y919" s="0" t="s">
        <v>156</v>
      </c>
      <c r="Z919" s="0" t="s">
        <v>143</v>
      </c>
      <c r="AB919" s="0" t="n">
        <v>20000</v>
      </c>
      <c r="AD919" s="0" t="n">
        <v>10000</v>
      </c>
      <c r="AE919" s="0" t="s">
        <v>80</v>
      </c>
      <c r="AG919" s="0" t="s">
        <v>61</v>
      </c>
      <c r="AH919" s="0" t="s">
        <v>171</v>
      </c>
      <c r="AL919" s="0" t="s">
        <v>50</v>
      </c>
      <c r="AM919" s="0" t="s">
        <v>83</v>
      </c>
    </row>
    <row r="920" customFormat="false" ht="15" hidden="false" customHeight="false" outlineLevel="0" collapsed="false">
      <c r="A920" s="1" t="n">
        <v>45821</v>
      </c>
      <c r="B920" s="0" t="s">
        <v>2123</v>
      </c>
      <c r="C920" s="0" t="s">
        <v>105</v>
      </c>
      <c r="D920" s="0" t="n">
        <v>8063929804</v>
      </c>
      <c r="E920" s="0" t="s">
        <v>85</v>
      </c>
      <c r="F920" s="0" t="s">
        <v>2124</v>
      </c>
      <c r="G920" s="0" t="s">
        <v>107</v>
      </c>
      <c r="I920" s="0" t="s">
        <v>108</v>
      </c>
      <c r="J920" s="0" t="s">
        <v>109</v>
      </c>
      <c r="K920" s="0" t="n">
        <v>70733</v>
      </c>
      <c r="L920" s="0" t="s">
        <v>124</v>
      </c>
      <c r="M920" s="0" t="s">
        <v>50</v>
      </c>
      <c r="N920" s="0" t="n">
        <v>4</v>
      </c>
      <c r="O920" s="0" t="n">
        <v>5.2</v>
      </c>
      <c r="P920" s="0" t="s">
        <v>111</v>
      </c>
      <c r="Q920" s="0" t="s">
        <v>73</v>
      </c>
      <c r="R920" s="0" t="s">
        <v>53</v>
      </c>
      <c r="S920" s="0" t="s">
        <v>147</v>
      </c>
      <c r="T920" s="0" t="s">
        <v>127</v>
      </c>
      <c r="U920" s="0" t="s">
        <v>112</v>
      </c>
      <c r="V920" s="0" t="s">
        <v>77</v>
      </c>
      <c r="W920" s="0" t="s">
        <v>57</v>
      </c>
      <c r="X920" s="0" t="s">
        <v>196</v>
      </c>
      <c r="Z920" s="0" t="s">
        <v>149</v>
      </c>
      <c r="AB920" s="0" t="n">
        <v>30000</v>
      </c>
      <c r="AC920" s="0" t="s">
        <v>61</v>
      </c>
      <c r="AE920" s="0" t="s">
        <v>130</v>
      </c>
      <c r="AF920" s="0" t="s">
        <v>2125</v>
      </c>
      <c r="AG920" s="0" t="s">
        <v>61</v>
      </c>
      <c r="AH920" s="0" t="s">
        <v>116</v>
      </c>
      <c r="AI920" s="0" t="s">
        <v>101</v>
      </c>
      <c r="AJ920" s="0" t="s">
        <v>63</v>
      </c>
      <c r="AK920" s="0" t="s">
        <v>50</v>
      </c>
      <c r="AN920" s="0" t="s">
        <v>50</v>
      </c>
    </row>
    <row r="921" customFormat="false" ht="15" hidden="false" customHeight="false" outlineLevel="0" collapsed="false">
      <c r="A921" s="1" t="n">
        <v>45802</v>
      </c>
      <c r="B921" s="0" t="s">
        <v>2126</v>
      </c>
      <c r="C921" s="0" t="s">
        <v>105</v>
      </c>
      <c r="D921" s="0" t="n">
        <v>8028637880</v>
      </c>
      <c r="E921" s="0" t="s">
        <v>67</v>
      </c>
      <c r="F921" s="0" t="s">
        <v>2127</v>
      </c>
      <c r="G921" s="0" t="s">
        <v>45</v>
      </c>
      <c r="H921" s="0" t="s">
        <v>135</v>
      </c>
      <c r="I921" s="0" t="s">
        <v>89</v>
      </c>
      <c r="J921" s="0" t="s">
        <v>71</v>
      </c>
      <c r="K921" s="0" t="n">
        <v>105185</v>
      </c>
      <c r="L921" s="0" t="s">
        <v>49</v>
      </c>
      <c r="M921" s="0" t="s">
        <v>63</v>
      </c>
      <c r="N921" s="0" t="n">
        <v>5</v>
      </c>
      <c r="O921" s="0" t="n">
        <v>1.1</v>
      </c>
      <c r="P921" s="0" t="s">
        <v>51</v>
      </c>
      <c r="Q921" s="0" t="s">
        <v>93</v>
      </c>
      <c r="R921" s="0" t="s">
        <v>53</v>
      </c>
      <c r="S921" s="0" t="s">
        <v>147</v>
      </c>
      <c r="T921" s="0" t="n">
        <v>15</v>
      </c>
      <c r="U921" s="0" t="s">
        <v>55</v>
      </c>
      <c r="V921" s="0" t="s">
        <v>97</v>
      </c>
      <c r="W921" s="0" t="s">
        <v>113</v>
      </c>
      <c r="X921" s="0" t="s">
        <v>114</v>
      </c>
      <c r="Y921" s="0" t="s">
        <v>177</v>
      </c>
      <c r="Z921" s="0" t="s">
        <v>129</v>
      </c>
      <c r="AA921" s="0" t="s">
        <v>150</v>
      </c>
      <c r="AB921" s="0" t="n">
        <v>40000</v>
      </c>
      <c r="AC921" s="0" t="s">
        <v>63</v>
      </c>
      <c r="AD921" s="0" t="s">
        <v>115</v>
      </c>
      <c r="AE921" s="0" t="s">
        <v>184</v>
      </c>
      <c r="AF921" s="1" t="n">
        <v>46001</v>
      </c>
      <c r="AG921" s="0" t="s">
        <v>82</v>
      </c>
      <c r="AH921" s="0" t="s">
        <v>171</v>
      </c>
      <c r="AI921" s="0" t="s">
        <v>172</v>
      </c>
      <c r="AJ921" s="0" t="s">
        <v>63</v>
      </c>
      <c r="AK921" s="0" t="s">
        <v>61</v>
      </c>
      <c r="AL921" s="0" t="s">
        <v>63</v>
      </c>
      <c r="AM921" s="0" t="s">
        <v>103</v>
      </c>
      <c r="AN921" s="0" t="s">
        <v>63</v>
      </c>
    </row>
    <row r="922" customFormat="false" ht="15" hidden="false" customHeight="false" outlineLevel="0" collapsed="false">
      <c r="A922" s="1" t="n">
        <v>45818</v>
      </c>
      <c r="B922" s="0" t="s">
        <v>2128</v>
      </c>
      <c r="C922" s="0" t="s">
        <v>66</v>
      </c>
      <c r="D922" s="0" t="n">
        <v>8013446768</v>
      </c>
      <c r="E922" s="0" t="s">
        <v>139</v>
      </c>
      <c r="F922" s="0" t="s">
        <v>1624</v>
      </c>
      <c r="G922" s="0" t="s">
        <v>69</v>
      </c>
      <c r="H922" s="0" t="s">
        <v>141</v>
      </c>
      <c r="I922" s="0" t="s">
        <v>189</v>
      </c>
      <c r="J922" s="0" t="s">
        <v>109</v>
      </c>
      <c r="K922" s="0" t="n">
        <v>108586</v>
      </c>
      <c r="L922" s="0" t="s">
        <v>72</v>
      </c>
      <c r="M922" s="0" t="s">
        <v>63</v>
      </c>
      <c r="N922" s="0" t="n">
        <v>5</v>
      </c>
      <c r="O922" s="0" t="n">
        <v>2.8</v>
      </c>
      <c r="P922" s="0" t="s">
        <v>111</v>
      </c>
      <c r="Q922" s="0" t="s">
        <v>52</v>
      </c>
      <c r="R922" s="0" t="s">
        <v>159</v>
      </c>
      <c r="S922" s="0" t="s">
        <v>75</v>
      </c>
      <c r="T922" s="0" t="s">
        <v>127</v>
      </c>
      <c r="U922" s="0" t="s">
        <v>112</v>
      </c>
      <c r="V922" s="0" t="s">
        <v>155</v>
      </c>
      <c r="W922" s="0" t="s">
        <v>98</v>
      </c>
      <c r="X922" s="0" t="s">
        <v>58</v>
      </c>
      <c r="Y922" s="0" t="s">
        <v>59</v>
      </c>
      <c r="Z922" s="0" t="s">
        <v>149</v>
      </c>
      <c r="AA922" s="0" t="s">
        <v>150</v>
      </c>
      <c r="AB922" s="0" t="n">
        <v>35000</v>
      </c>
      <c r="AC922" s="0" t="s">
        <v>50</v>
      </c>
      <c r="AD922" s="0" t="n">
        <v>0</v>
      </c>
      <c r="AE922" s="0" t="s">
        <v>80</v>
      </c>
      <c r="AG922" s="0" t="s">
        <v>82</v>
      </c>
      <c r="AH922" s="0" t="s">
        <v>116</v>
      </c>
      <c r="AI922" s="0" t="s">
        <v>172</v>
      </c>
      <c r="AJ922" s="0" t="s">
        <v>62</v>
      </c>
      <c r="AL922" s="0" t="s">
        <v>102</v>
      </c>
      <c r="AM922" s="0" t="s">
        <v>118</v>
      </c>
      <c r="AN922" s="0" t="s">
        <v>190</v>
      </c>
    </row>
    <row r="923" customFormat="false" ht="15" hidden="false" customHeight="false" outlineLevel="0" collapsed="false">
      <c r="A923" s="1" t="n">
        <v>45751</v>
      </c>
      <c r="B923" s="0" t="s">
        <v>2129</v>
      </c>
      <c r="C923" s="0" t="s">
        <v>66</v>
      </c>
      <c r="D923" s="0" t="n">
        <v>8090786882</v>
      </c>
      <c r="E923" s="0" t="s">
        <v>122</v>
      </c>
      <c r="F923" s="0" t="s">
        <v>2130</v>
      </c>
      <c r="G923" s="0" t="s">
        <v>69</v>
      </c>
      <c r="H923" s="0" t="s">
        <v>141</v>
      </c>
      <c r="I923" s="0" t="s">
        <v>154</v>
      </c>
      <c r="J923" s="0" t="s">
        <v>109</v>
      </c>
      <c r="K923" s="0" t="n">
        <v>61393</v>
      </c>
      <c r="L923" s="0" t="s">
        <v>49</v>
      </c>
      <c r="M923" s="0" t="s">
        <v>50</v>
      </c>
      <c r="O923" s="0" t="n">
        <v>2.6</v>
      </c>
      <c r="Q923" s="0" t="s">
        <v>52</v>
      </c>
      <c r="R923" s="0" t="s">
        <v>159</v>
      </c>
      <c r="S923" s="0" t="s">
        <v>75</v>
      </c>
      <c r="T923" s="0" t="n">
        <v>45</v>
      </c>
      <c r="U923" s="0" t="s">
        <v>160</v>
      </c>
      <c r="V923" s="0" t="s">
        <v>97</v>
      </c>
      <c r="W923" s="0" t="s">
        <v>98</v>
      </c>
      <c r="X923" s="0" t="s">
        <v>99</v>
      </c>
      <c r="Z923" s="0" t="s">
        <v>129</v>
      </c>
      <c r="AA923" s="0" t="n">
        <v>30000</v>
      </c>
      <c r="AB923" s="0" t="n">
        <v>35000</v>
      </c>
      <c r="AD923" s="0" t="n">
        <v>5000</v>
      </c>
      <c r="AE923" s="0" t="s">
        <v>130</v>
      </c>
      <c r="AG923" s="0" t="s">
        <v>63</v>
      </c>
      <c r="AH923" s="0" t="s">
        <v>116</v>
      </c>
      <c r="AI923" s="0" t="s">
        <v>101</v>
      </c>
      <c r="AJ923" s="0" t="s">
        <v>50</v>
      </c>
      <c r="AK923" s="0" t="s">
        <v>63</v>
      </c>
    </row>
    <row r="924" customFormat="false" ht="15" hidden="false" customHeight="false" outlineLevel="0" collapsed="false">
      <c r="A924" s="0" t="s">
        <v>1200</v>
      </c>
      <c r="B924" s="0" t="s">
        <v>2131</v>
      </c>
      <c r="C924" s="0" t="s">
        <v>42</v>
      </c>
      <c r="D924" s="0" t="n">
        <v>8026494625</v>
      </c>
      <c r="E924" s="0" t="s">
        <v>85</v>
      </c>
      <c r="F924" s="0" t="s">
        <v>2132</v>
      </c>
      <c r="G924" s="0" t="s">
        <v>134</v>
      </c>
      <c r="H924" s="0" t="s">
        <v>170</v>
      </c>
      <c r="I924" s="0" t="s">
        <v>142</v>
      </c>
      <c r="J924" s="0" t="s">
        <v>71</v>
      </c>
      <c r="K924" s="0" t="n">
        <v>85837</v>
      </c>
      <c r="L924" s="0" t="s">
        <v>72</v>
      </c>
      <c r="M924" s="0" t="s">
        <v>63</v>
      </c>
      <c r="N924" s="0" t="n">
        <v>2</v>
      </c>
      <c r="O924" s="0" t="n">
        <v>2.2</v>
      </c>
      <c r="P924" s="0" t="s">
        <v>92</v>
      </c>
      <c r="Q924" s="0" t="s">
        <v>93</v>
      </c>
      <c r="R924" s="0" t="s">
        <v>136</v>
      </c>
      <c r="S924" s="0" t="s">
        <v>147</v>
      </c>
      <c r="T924" s="0" t="n">
        <v>45</v>
      </c>
      <c r="U924" s="0" t="s">
        <v>160</v>
      </c>
      <c r="V924" s="0" t="s">
        <v>56</v>
      </c>
      <c r="W924" s="0" t="s">
        <v>98</v>
      </c>
      <c r="X924" s="0" t="s">
        <v>196</v>
      </c>
      <c r="Y924" s="0" t="s">
        <v>197</v>
      </c>
      <c r="Z924" s="0" t="s">
        <v>161</v>
      </c>
      <c r="AA924" s="0" t="n">
        <v>15000</v>
      </c>
      <c r="AB924" s="0" t="n">
        <v>20000</v>
      </c>
      <c r="AD924" s="0" t="n">
        <v>10000</v>
      </c>
      <c r="AE924" s="0" t="s">
        <v>184</v>
      </c>
      <c r="AF924" s="0" t="s">
        <v>556</v>
      </c>
      <c r="AG924" s="0" t="s">
        <v>61</v>
      </c>
      <c r="AH924" s="0" t="s">
        <v>171</v>
      </c>
      <c r="AI924" s="0" t="s">
        <v>172</v>
      </c>
      <c r="AK924" s="0" t="s">
        <v>50</v>
      </c>
      <c r="AL924" s="0" t="s">
        <v>102</v>
      </c>
      <c r="AM924" s="0" t="s">
        <v>103</v>
      </c>
      <c r="AN924" s="0" t="s">
        <v>63</v>
      </c>
    </row>
    <row r="925" customFormat="false" ht="15" hidden="false" customHeight="false" outlineLevel="0" collapsed="false">
      <c r="A925" s="1" t="n">
        <v>45739</v>
      </c>
      <c r="B925" s="0" t="s">
        <v>2133</v>
      </c>
      <c r="C925" s="0" t="s">
        <v>42</v>
      </c>
      <c r="D925" s="0" t="n">
        <v>8081219864</v>
      </c>
      <c r="E925" s="0" t="s">
        <v>139</v>
      </c>
      <c r="F925" s="0" t="s">
        <v>2134</v>
      </c>
      <c r="G925" s="0" t="s">
        <v>107</v>
      </c>
      <c r="H925" s="0" t="s">
        <v>88</v>
      </c>
      <c r="I925" s="0" t="s">
        <v>47</v>
      </c>
      <c r="J925" s="0" t="s">
        <v>48</v>
      </c>
      <c r="K925" s="0" t="n">
        <v>97854</v>
      </c>
      <c r="L925" s="0" t="s">
        <v>72</v>
      </c>
      <c r="M925" s="0" t="s">
        <v>63</v>
      </c>
      <c r="N925" s="0" t="n">
        <v>5</v>
      </c>
      <c r="O925" s="0" t="n">
        <v>3.1</v>
      </c>
      <c r="P925" s="0" t="s">
        <v>111</v>
      </c>
      <c r="Q925" s="0" t="s">
        <v>73</v>
      </c>
      <c r="R925" s="0" t="s">
        <v>53</v>
      </c>
      <c r="S925" s="0" t="s">
        <v>75</v>
      </c>
      <c r="T925" s="0" t="n">
        <v>30</v>
      </c>
      <c r="U925" s="0" t="s">
        <v>96</v>
      </c>
      <c r="V925" s="0" t="s">
        <v>148</v>
      </c>
      <c r="W925" s="0" t="s">
        <v>78</v>
      </c>
      <c r="X925" s="0" t="s">
        <v>58</v>
      </c>
      <c r="Z925" s="0" t="s">
        <v>143</v>
      </c>
      <c r="AB925" s="0" t="n">
        <v>40000</v>
      </c>
      <c r="AC925" s="0" t="s">
        <v>61</v>
      </c>
      <c r="AD925" s="0" t="n">
        <v>0</v>
      </c>
      <c r="AE925" s="0" t="s">
        <v>80</v>
      </c>
      <c r="AF925" s="1" t="n">
        <v>46000</v>
      </c>
      <c r="AG925" s="0" t="s">
        <v>61</v>
      </c>
      <c r="AH925" s="0" t="s">
        <v>171</v>
      </c>
      <c r="AJ925" s="0" t="s">
        <v>50</v>
      </c>
      <c r="AK925" s="0" t="s">
        <v>50</v>
      </c>
      <c r="AL925" s="0" t="s">
        <v>63</v>
      </c>
      <c r="AM925" s="0" t="s">
        <v>103</v>
      </c>
    </row>
    <row r="926" customFormat="false" ht="15" hidden="false" customHeight="false" outlineLevel="0" collapsed="false">
      <c r="A926" s="1" t="n">
        <v>45731</v>
      </c>
      <c r="B926" s="0" t="s">
        <v>2135</v>
      </c>
      <c r="C926" s="0" t="s">
        <v>42</v>
      </c>
      <c r="D926" s="0" t="n">
        <v>8047509496</v>
      </c>
      <c r="E926" s="0" t="s">
        <v>85</v>
      </c>
      <c r="F926" s="0" t="s">
        <v>2136</v>
      </c>
      <c r="G926" s="0" t="s">
        <v>134</v>
      </c>
      <c r="I926" s="0" t="s">
        <v>47</v>
      </c>
      <c r="J926" s="0" t="s">
        <v>48</v>
      </c>
      <c r="K926" s="0" t="n">
        <v>72539</v>
      </c>
      <c r="L926" s="0" t="s">
        <v>91</v>
      </c>
      <c r="M926" s="0" t="s">
        <v>63</v>
      </c>
      <c r="O926" s="0" t="n">
        <v>1.1</v>
      </c>
      <c r="P926" s="0" t="s">
        <v>92</v>
      </c>
      <c r="Q926" s="0" t="s">
        <v>93</v>
      </c>
      <c r="R926" s="0" t="s">
        <v>53</v>
      </c>
      <c r="S926" s="0" t="s">
        <v>95</v>
      </c>
      <c r="T926" s="0" t="n">
        <v>60</v>
      </c>
      <c r="U926" s="0" t="s">
        <v>160</v>
      </c>
      <c r="V926" s="0" t="s">
        <v>56</v>
      </c>
      <c r="W926" s="0" t="s">
        <v>113</v>
      </c>
      <c r="X926" s="0" t="s">
        <v>196</v>
      </c>
      <c r="Z926" s="0" t="s">
        <v>79</v>
      </c>
      <c r="AA926" s="0" t="n">
        <v>15000</v>
      </c>
      <c r="AB926" s="0" t="n">
        <v>40000</v>
      </c>
      <c r="AC926" s="0" t="s">
        <v>61</v>
      </c>
      <c r="AD926" s="0" t="s">
        <v>115</v>
      </c>
      <c r="AE926" s="0" t="s">
        <v>184</v>
      </c>
      <c r="AF926" s="1" t="n">
        <v>45939</v>
      </c>
      <c r="AG926" s="0" t="s">
        <v>63</v>
      </c>
      <c r="AH926" s="0" t="s">
        <v>116</v>
      </c>
      <c r="AI926" s="0" t="s">
        <v>117</v>
      </c>
      <c r="AK926" s="0" t="s">
        <v>61</v>
      </c>
      <c r="AL926" s="0" t="s">
        <v>102</v>
      </c>
      <c r="AM926" s="0" t="s">
        <v>103</v>
      </c>
      <c r="AN926" s="0" t="s">
        <v>190</v>
      </c>
    </row>
    <row r="927" customFormat="false" ht="15" hidden="false" customHeight="false" outlineLevel="0" collapsed="false">
      <c r="A927" s="1" t="n">
        <v>45699</v>
      </c>
      <c r="B927" s="0" t="s">
        <v>2137</v>
      </c>
      <c r="C927" s="0" t="s">
        <v>121</v>
      </c>
      <c r="D927" s="0" t="n">
        <v>8043358157</v>
      </c>
      <c r="E927" s="0" t="s">
        <v>85</v>
      </c>
      <c r="F927" s="0" t="s">
        <v>2138</v>
      </c>
      <c r="G927" s="0" t="s">
        <v>69</v>
      </c>
      <c r="H927" s="0" t="s">
        <v>165</v>
      </c>
      <c r="I927" s="0" t="s">
        <v>142</v>
      </c>
      <c r="J927" s="0" t="s">
        <v>71</v>
      </c>
      <c r="K927" s="0" t="n">
        <v>97108</v>
      </c>
      <c r="L927" s="0" t="s">
        <v>166</v>
      </c>
      <c r="M927" s="0" t="s">
        <v>63</v>
      </c>
      <c r="N927" s="0" t="n">
        <v>3</v>
      </c>
      <c r="O927" s="0" t="n">
        <v>2.6</v>
      </c>
      <c r="P927" s="0" t="s">
        <v>51</v>
      </c>
      <c r="Q927" s="0" t="s">
        <v>52</v>
      </c>
      <c r="R927" s="0" t="s">
        <v>53</v>
      </c>
      <c r="S927" s="0" t="s">
        <v>167</v>
      </c>
      <c r="T927" s="0" t="n">
        <v>60</v>
      </c>
      <c r="U927" s="0" t="s">
        <v>55</v>
      </c>
      <c r="V927" s="0" t="s">
        <v>97</v>
      </c>
      <c r="W927" s="0" t="s">
        <v>128</v>
      </c>
      <c r="X927" s="0" t="s">
        <v>99</v>
      </c>
      <c r="Y927" s="0" t="s">
        <v>59</v>
      </c>
      <c r="Z927" s="0" t="s">
        <v>129</v>
      </c>
      <c r="AA927" s="0" t="n">
        <v>40000</v>
      </c>
      <c r="AB927" s="0" t="n">
        <v>30000</v>
      </c>
      <c r="AC927" s="0" t="s">
        <v>61</v>
      </c>
      <c r="AD927" s="0" t="n">
        <v>10000</v>
      </c>
      <c r="AE927" s="0" t="s">
        <v>60</v>
      </c>
      <c r="AF927" s="1" t="n">
        <v>45700</v>
      </c>
      <c r="AG927" s="0" t="s">
        <v>50</v>
      </c>
      <c r="AH927" s="0" t="s">
        <v>171</v>
      </c>
      <c r="AI927" s="0" t="s">
        <v>117</v>
      </c>
      <c r="AJ927" s="0" t="s">
        <v>81</v>
      </c>
      <c r="AK927" s="0" t="s">
        <v>61</v>
      </c>
      <c r="AL927" s="0" t="s">
        <v>50</v>
      </c>
      <c r="AM927" s="0" t="s">
        <v>83</v>
      </c>
      <c r="AN927" s="0" t="s">
        <v>190</v>
      </c>
    </row>
    <row r="928" customFormat="false" ht="15" hidden="false" customHeight="false" outlineLevel="0" collapsed="false">
      <c r="A928" s="1" t="n">
        <v>45761</v>
      </c>
      <c r="B928" s="0" t="s">
        <v>2139</v>
      </c>
      <c r="C928" s="0" t="s">
        <v>121</v>
      </c>
      <c r="D928" s="0" t="n">
        <v>8059449823</v>
      </c>
      <c r="E928" s="0" t="s">
        <v>67</v>
      </c>
      <c r="F928" s="0" t="s">
        <v>2140</v>
      </c>
      <c r="G928" s="0" t="s">
        <v>134</v>
      </c>
      <c r="I928" s="0" t="s">
        <v>189</v>
      </c>
      <c r="J928" s="0" t="s">
        <v>109</v>
      </c>
      <c r="K928" s="0" t="n">
        <v>93281</v>
      </c>
      <c r="L928" s="0" t="s">
        <v>91</v>
      </c>
      <c r="M928" s="0" t="s">
        <v>63</v>
      </c>
      <c r="N928" s="0" t="n">
        <v>3</v>
      </c>
      <c r="O928" s="0" t="n">
        <v>5.7</v>
      </c>
      <c r="P928" s="0" t="s">
        <v>111</v>
      </c>
      <c r="Q928" s="0" t="s">
        <v>52</v>
      </c>
      <c r="S928" s="0" t="s">
        <v>54</v>
      </c>
      <c r="T928" s="0" t="n">
        <v>60</v>
      </c>
      <c r="U928" s="0" t="s">
        <v>160</v>
      </c>
      <c r="V928" s="0" t="s">
        <v>77</v>
      </c>
      <c r="W928" s="0" t="s">
        <v>128</v>
      </c>
      <c r="X928" s="0" t="s">
        <v>58</v>
      </c>
      <c r="Z928" s="0" t="s">
        <v>161</v>
      </c>
      <c r="AA928" s="0" t="n">
        <v>40000</v>
      </c>
      <c r="AC928" s="0" t="s">
        <v>82</v>
      </c>
      <c r="AE928" s="0" t="s">
        <v>184</v>
      </c>
      <c r="AF928" s="0" t="s">
        <v>2141</v>
      </c>
      <c r="AG928" s="0" t="s">
        <v>50</v>
      </c>
      <c r="AI928" s="0" t="s">
        <v>117</v>
      </c>
      <c r="AJ928" s="0" t="s">
        <v>62</v>
      </c>
      <c r="AK928" s="0" t="s">
        <v>50</v>
      </c>
      <c r="AL928" s="0" t="s">
        <v>50</v>
      </c>
      <c r="AM928" s="0" t="s">
        <v>83</v>
      </c>
      <c r="AN928" s="0" t="s">
        <v>50</v>
      </c>
    </row>
    <row r="929" customFormat="false" ht="15" hidden="false" customHeight="false" outlineLevel="0" collapsed="false">
      <c r="A929" s="1" t="n">
        <v>45870</v>
      </c>
      <c r="B929" s="0" t="s">
        <v>2142</v>
      </c>
      <c r="C929" s="0" t="s">
        <v>42</v>
      </c>
      <c r="D929" s="0" t="n">
        <v>8070655417</v>
      </c>
      <c r="E929" s="0" t="s">
        <v>122</v>
      </c>
      <c r="F929" s="0" t="s">
        <v>2143</v>
      </c>
      <c r="G929" s="0" t="s">
        <v>87</v>
      </c>
      <c r="H929" s="0" t="s">
        <v>135</v>
      </c>
      <c r="I929" s="0" t="s">
        <v>142</v>
      </c>
      <c r="J929" s="0" t="s">
        <v>71</v>
      </c>
      <c r="K929" s="0" t="n">
        <v>16556</v>
      </c>
      <c r="L929" s="0" t="s">
        <v>110</v>
      </c>
      <c r="M929" s="0" t="s">
        <v>63</v>
      </c>
      <c r="O929" s="0" t="n">
        <v>4</v>
      </c>
      <c r="P929" s="0" t="s">
        <v>111</v>
      </c>
      <c r="Q929" s="0" t="s">
        <v>73</v>
      </c>
      <c r="R929" s="0" t="s">
        <v>53</v>
      </c>
      <c r="S929" s="0" t="s">
        <v>147</v>
      </c>
      <c r="U929" s="0" t="s">
        <v>96</v>
      </c>
      <c r="V929" s="0" t="s">
        <v>97</v>
      </c>
      <c r="W929" s="0" t="s">
        <v>78</v>
      </c>
      <c r="X929" s="0" t="s">
        <v>137</v>
      </c>
      <c r="AA929" s="0" t="s">
        <v>150</v>
      </c>
      <c r="AB929" s="0" t="n">
        <v>30000</v>
      </c>
      <c r="AC929" s="0" t="s">
        <v>61</v>
      </c>
      <c r="AD929" s="0" t="n">
        <v>0</v>
      </c>
      <c r="AE929" s="0" t="s">
        <v>184</v>
      </c>
      <c r="AF929" s="1" t="n">
        <v>45942</v>
      </c>
      <c r="AG929" s="0" t="s">
        <v>50</v>
      </c>
      <c r="AJ929" s="0" t="s">
        <v>62</v>
      </c>
      <c r="AK929" s="0" t="s">
        <v>61</v>
      </c>
      <c r="AL929" s="0" t="s">
        <v>63</v>
      </c>
      <c r="AM929" s="0" t="s">
        <v>64</v>
      </c>
      <c r="AN929" s="0" t="s">
        <v>198</v>
      </c>
    </row>
    <row r="930" customFormat="false" ht="15" hidden="false" customHeight="false" outlineLevel="0" collapsed="false">
      <c r="A930" s="1" t="n">
        <v>45782</v>
      </c>
      <c r="B930" s="0" t="s">
        <v>2144</v>
      </c>
      <c r="C930" s="0" t="s">
        <v>163</v>
      </c>
      <c r="D930" s="0" t="n">
        <v>8092993759</v>
      </c>
      <c r="E930" s="0" t="s">
        <v>67</v>
      </c>
      <c r="F930" s="0" t="s">
        <v>2145</v>
      </c>
      <c r="G930" s="0" t="s">
        <v>45</v>
      </c>
      <c r="H930" s="0" t="s">
        <v>70</v>
      </c>
      <c r="I930" s="0" t="s">
        <v>189</v>
      </c>
      <c r="J930" s="0" t="s">
        <v>48</v>
      </c>
      <c r="K930" s="0" t="n">
        <v>45013</v>
      </c>
      <c r="L930" s="0" t="s">
        <v>110</v>
      </c>
      <c r="M930" s="0" t="s">
        <v>63</v>
      </c>
      <c r="N930" s="0" t="n">
        <v>4</v>
      </c>
      <c r="O930" s="0" t="n">
        <v>2.3</v>
      </c>
      <c r="Q930" s="0" t="s">
        <v>52</v>
      </c>
      <c r="R930" s="0" t="s">
        <v>94</v>
      </c>
      <c r="S930" s="0" t="s">
        <v>147</v>
      </c>
      <c r="T930" s="0" t="n">
        <v>15</v>
      </c>
      <c r="U930" s="0" t="s">
        <v>55</v>
      </c>
      <c r="V930" s="0" t="s">
        <v>56</v>
      </c>
      <c r="W930" s="0" t="s">
        <v>57</v>
      </c>
      <c r="X930" s="0" t="s">
        <v>114</v>
      </c>
      <c r="Z930" s="0" t="s">
        <v>143</v>
      </c>
      <c r="AA930" s="0" t="n">
        <v>30000</v>
      </c>
      <c r="AB930" s="0" t="s">
        <v>178</v>
      </c>
      <c r="AC930" s="0" t="s">
        <v>82</v>
      </c>
      <c r="AE930" s="0" t="s">
        <v>60</v>
      </c>
      <c r="AF930" s="0" t="s">
        <v>1079</v>
      </c>
      <c r="AJ930" s="0" t="s">
        <v>81</v>
      </c>
      <c r="AK930" s="0" t="s">
        <v>50</v>
      </c>
    </row>
    <row r="931" customFormat="false" ht="15" hidden="false" customHeight="false" outlineLevel="0" collapsed="false">
      <c r="A931" s="1" t="n">
        <v>45766</v>
      </c>
      <c r="B931" s="0" t="s">
        <v>2146</v>
      </c>
      <c r="C931" s="0" t="s">
        <v>66</v>
      </c>
      <c r="D931" s="0" t="n">
        <v>8098432853</v>
      </c>
      <c r="E931" s="0" t="s">
        <v>43</v>
      </c>
      <c r="F931" s="0" t="s">
        <v>2147</v>
      </c>
      <c r="G931" s="0" t="s">
        <v>69</v>
      </c>
      <c r="H931" s="0" t="s">
        <v>141</v>
      </c>
      <c r="I931" s="0" t="s">
        <v>47</v>
      </c>
      <c r="J931" s="0" t="s">
        <v>48</v>
      </c>
      <c r="K931" s="0" t="n">
        <v>15653</v>
      </c>
      <c r="L931" s="0" t="s">
        <v>110</v>
      </c>
      <c r="M931" s="0" t="s">
        <v>63</v>
      </c>
      <c r="N931" s="0" t="n">
        <v>2</v>
      </c>
      <c r="O931" s="0" t="n">
        <v>3.9</v>
      </c>
      <c r="Q931" s="0" t="s">
        <v>93</v>
      </c>
      <c r="R931" s="0" t="s">
        <v>136</v>
      </c>
      <c r="S931" s="0" t="s">
        <v>95</v>
      </c>
      <c r="U931" s="0" t="s">
        <v>112</v>
      </c>
      <c r="V931" s="0" t="s">
        <v>56</v>
      </c>
      <c r="W931" s="0" t="s">
        <v>128</v>
      </c>
      <c r="X931" s="0" t="s">
        <v>137</v>
      </c>
      <c r="Y931" s="0" t="s">
        <v>177</v>
      </c>
      <c r="Z931" s="0" t="s">
        <v>161</v>
      </c>
      <c r="AB931" s="0" t="n">
        <v>30000</v>
      </c>
      <c r="AC931" s="0" t="s">
        <v>61</v>
      </c>
      <c r="AD931" s="0" t="n">
        <v>10000</v>
      </c>
      <c r="AE931" s="0" t="s">
        <v>130</v>
      </c>
      <c r="AG931" s="0" t="s">
        <v>63</v>
      </c>
      <c r="AJ931" s="0" t="s">
        <v>62</v>
      </c>
      <c r="AK931" s="0" t="s">
        <v>50</v>
      </c>
      <c r="AL931" s="0" t="s">
        <v>63</v>
      </c>
      <c r="AM931" s="0" t="s">
        <v>83</v>
      </c>
      <c r="AN931" s="0" t="s">
        <v>50</v>
      </c>
    </row>
    <row r="932" customFormat="false" ht="15" hidden="false" customHeight="false" outlineLevel="0" collapsed="false">
      <c r="A932" s="1" t="n">
        <v>45698</v>
      </c>
      <c r="B932" s="0" t="s">
        <v>2148</v>
      </c>
      <c r="C932" s="0" t="s">
        <v>66</v>
      </c>
      <c r="D932" s="0" t="n">
        <v>8073780187</v>
      </c>
      <c r="E932" s="0" t="s">
        <v>122</v>
      </c>
      <c r="F932" s="0" t="s">
        <v>2149</v>
      </c>
      <c r="G932" s="0" t="s">
        <v>107</v>
      </c>
      <c r="H932" s="0" t="s">
        <v>165</v>
      </c>
      <c r="I932" s="0" t="s">
        <v>108</v>
      </c>
      <c r="J932" s="0" t="s">
        <v>90</v>
      </c>
      <c r="K932" s="0" t="n">
        <v>87180</v>
      </c>
      <c r="L932" s="0" t="s">
        <v>124</v>
      </c>
      <c r="M932" s="0" t="s">
        <v>50</v>
      </c>
      <c r="O932" s="0" t="n">
        <v>4.5</v>
      </c>
      <c r="P932" s="0" t="s">
        <v>51</v>
      </c>
      <c r="Q932" s="0" t="s">
        <v>93</v>
      </c>
      <c r="R932" s="0" t="s">
        <v>159</v>
      </c>
      <c r="S932" s="0" t="s">
        <v>167</v>
      </c>
      <c r="T932" s="0" t="n">
        <v>15</v>
      </c>
      <c r="U932" s="0" t="s">
        <v>96</v>
      </c>
      <c r="V932" s="0" t="s">
        <v>155</v>
      </c>
      <c r="W932" s="0" t="s">
        <v>128</v>
      </c>
      <c r="X932" s="0" t="s">
        <v>137</v>
      </c>
      <c r="AA932" s="0" t="n">
        <v>30000</v>
      </c>
      <c r="AB932" s="0" t="n">
        <v>35000</v>
      </c>
      <c r="AC932" s="0" t="s">
        <v>50</v>
      </c>
      <c r="AD932" s="0" t="n">
        <v>5000</v>
      </c>
      <c r="AE932" s="0" t="s">
        <v>130</v>
      </c>
      <c r="AG932" s="0" t="s">
        <v>82</v>
      </c>
      <c r="AH932" s="0" t="s">
        <v>116</v>
      </c>
      <c r="AI932" s="0" t="s">
        <v>101</v>
      </c>
      <c r="AJ932" s="0" t="s">
        <v>63</v>
      </c>
      <c r="AK932" s="0" t="s">
        <v>50</v>
      </c>
      <c r="AM932" s="0" t="s">
        <v>83</v>
      </c>
      <c r="AN932" s="0" t="s">
        <v>50</v>
      </c>
    </row>
    <row r="933" customFormat="false" ht="15" hidden="false" customHeight="false" outlineLevel="0" collapsed="false">
      <c r="A933" s="1" t="n">
        <v>45724</v>
      </c>
      <c r="B933" s="0" t="s">
        <v>2150</v>
      </c>
      <c r="C933" s="0" t="s">
        <v>105</v>
      </c>
      <c r="D933" s="0" t="n">
        <v>8079110587</v>
      </c>
      <c r="E933" s="0" t="s">
        <v>67</v>
      </c>
      <c r="F933" s="0" t="s">
        <v>2151</v>
      </c>
      <c r="G933" s="0" t="s">
        <v>134</v>
      </c>
      <c r="H933" s="0" t="s">
        <v>176</v>
      </c>
      <c r="I933" s="0" t="s">
        <v>189</v>
      </c>
      <c r="J933" s="0" t="s">
        <v>71</v>
      </c>
      <c r="K933" s="0" t="n">
        <v>56483</v>
      </c>
      <c r="L933" s="0" t="s">
        <v>72</v>
      </c>
      <c r="M933" s="0" t="s">
        <v>63</v>
      </c>
      <c r="O933" s="0" t="n">
        <v>5.3</v>
      </c>
      <c r="Q933" s="0" t="s">
        <v>93</v>
      </c>
      <c r="R933" s="0" t="s">
        <v>74</v>
      </c>
      <c r="S933" s="0" t="s">
        <v>167</v>
      </c>
      <c r="T933" s="0" t="s">
        <v>127</v>
      </c>
      <c r="U933" s="0" t="s">
        <v>76</v>
      </c>
      <c r="V933" s="0" t="s">
        <v>155</v>
      </c>
      <c r="W933" s="0" t="s">
        <v>113</v>
      </c>
      <c r="X933" s="0" t="s">
        <v>58</v>
      </c>
      <c r="Y933" s="0" t="s">
        <v>177</v>
      </c>
      <c r="AB933" s="0" t="n">
        <v>40000</v>
      </c>
      <c r="AC933" s="0" t="s">
        <v>63</v>
      </c>
      <c r="AE933" s="0" t="s">
        <v>184</v>
      </c>
      <c r="AF933" s="1" t="n">
        <v>45937</v>
      </c>
      <c r="AG933" s="0" t="s">
        <v>82</v>
      </c>
      <c r="AJ933" s="0" t="s">
        <v>50</v>
      </c>
      <c r="AK933" s="0" t="s">
        <v>61</v>
      </c>
      <c r="AM933" s="0" t="s">
        <v>83</v>
      </c>
      <c r="AN933" s="0" t="s">
        <v>63</v>
      </c>
    </row>
    <row r="934" customFormat="false" ht="15" hidden="false" customHeight="false" outlineLevel="0" collapsed="false">
      <c r="A934" s="1" t="n">
        <v>45822</v>
      </c>
      <c r="B934" s="0" t="s">
        <v>2152</v>
      </c>
      <c r="C934" s="0" t="s">
        <v>42</v>
      </c>
      <c r="D934" s="0" t="n">
        <v>8065448912</v>
      </c>
      <c r="E934" s="0" t="s">
        <v>122</v>
      </c>
      <c r="F934" s="0" t="s">
        <v>2153</v>
      </c>
      <c r="G934" s="0" t="s">
        <v>134</v>
      </c>
      <c r="H934" s="0" t="s">
        <v>88</v>
      </c>
      <c r="I934" s="0" t="s">
        <v>154</v>
      </c>
      <c r="K934" s="0" t="n">
        <v>40059</v>
      </c>
      <c r="L934" s="0" t="s">
        <v>166</v>
      </c>
      <c r="M934" s="0" t="s">
        <v>50</v>
      </c>
      <c r="N934" s="0" t="n">
        <v>1</v>
      </c>
      <c r="O934" s="0" t="n">
        <v>3.2</v>
      </c>
      <c r="P934" s="0" t="s">
        <v>125</v>
      </c>
      <c r="Q934" s="0" t="s">
        <v>52</v>
      </c>
      <c r="R934" s="0" t="s">
        <v>53</v>
      </c>
      <c r="S934" s="0" t="s">
        <v>167</v>
      </c>
      <c r="T934" s="0" t="n">
        <v>15</v>
      </c>
      <c r="U934" s="0" t="s">
        <v>76</v>
      </c>
      <c r="V934" s="0" t="s">
        <v>56</v>
      </c>
      <c r="W934" s="0" t="s">
        <v>57</v>
      </c>
      <c r="X934" s="0" t="s">
        <v>114</v>
      </c>
      <c r="Y934" s="0" t="s">
        <v>156</v>
      </c>
      <c r="Z934" s="0" t="s">
        <v>79</v>
      </c>
      <c r="AB934" s="0" t="n">
        <v>20000</v>
      </c>
      <c r="AC934" s="0" t="s">
        <v>82</v>
      </c>
      <c r="AD934" s="0" t="n">
        <v>0</v>
      </c>
      <c r="AE934" s="0" t="s">
        <v>60</v>
      </c>
      <c r="AF934" s="0" t="s">
        <v>424</v>
      </c>
      <c r="AG934" s="0" t="s">
        <v>50</v>
      </c>
      <c r="AH934" s="0" t="s">
        <v>116</v>
      </c>
      <c r="AI934" s="0" t="s">
        <v>101</v>
      </c>
      <c r="AJ934" s="0" t="s">
        <v>62</v>
      </c>
      <c r="AK934" s="0" t="s">
        <v>50</v>
      </c>
      <c r="AM934" s="0" t="s">
        <v>64</v>
      </c>
      <c r="AN934" s="0" t="s">
        <v>63</v>
      </c>
    </row>
    <row r="935" customFormat="false" ht="15" hidden="false" customHeight="false" outlineLevel="0" collapsed="false">
      <c r="A935" s="1" t="n">
        <v>45738</v>
      </c>
      <c r="B935" s="0" t="s">
        <v>2154</v>
      </c>
      <c r="C935" s="0" t="s">
        <v>121</v>
      </c>
      <c r="D935" s="0" t="n">
        <v>8098614357</v>
      </c>
      <c r="E935" s="0" t="s">
        <v>43</v>
      </c>
      <c r="F935" s="0" t="s">
        <v>899</v>
      </c>
      <c r="G935" s="0" t="s">
        <v>107</v>
      </c>
      <c r="H935" s="0" t="s">
        <v>176</v>
      </c>
      <c r="I935" s="0" t="s">
        <v>47</v>
      </c>
      <c r="J935" s="0" t="s">
        <v>109</v>
      </c>
      <c r="K935" s="0" t="n">
        <v>103504</v>
      </c>
      <c r="L935" s="0" t="s">
        <v>72</v>
      </c>
      <c r="M935" s="0" t="s">
        <v>50</v>
      </c>
      <c r="O935" s="0" t="n">
        <v>1.7</v>
      </c>
      <c r="P935" s="0" t="s">
        <v>125</v>
      </c>
      <c r="Q935" s="0" t="s">
        <v>93</v>
      </c>
      <c r="R935" s="0" t="s">
        <v>74</v>
      </c>
      <c r="S935" s="0" t="s">
        <v>54</v>
      </c>
      <c r="U935" s="0" t="s">
        <v>76</v>
      </c>
      <c r="V935" s="0" t="s">
        <v>77</v>
      </c>
      <c r="W935" s="0" t="s">
        <v>98</v>
      </c>
      <c r="X935" s="0" t="s">
        <v>114</v>
      </c>
      <c r="Y935" s="0" t="s">
        <v>59</v>
      </c>
      <c r="Z935" s="0" t="s">
        <v>149</v>
      </c>
      <c r="AC935" s="0" t="s">
        <v>63</v>
      </c>
      <c r="AE935" s="0" t="s">
        <v>130</v>
      </c>
      <c r="AG935" s="0" t="s">
        <v>82</v>
      </c>
      <c r="AH935" s="0" t="s">
        <v>171</v>
      </c>
      <c r="AI935" s="0" t="s">
        <v>101</v>
      </c>
      <c r="AJ935" s="0" t="s">
        <v>63</v>
      </c>
      <c r="AK935" s="0" t="s">
        <v>61</v>
      </c>
      <c r="AM935" s="0" t="s">
        <v>83</v>
      </c>
      <c r="AN935" s="0" t="s">
        <v>50</v>
      </c>
    </row>
    <row r="936" customFormat="false" ht="15" hidden="false" customHeight="false" outlineLevel="0" collapsed="false">
      <c r="A936" s="0" t="s">
        <v>869</v>
      </c>
      <c r="B936" s="0" t="s">
        <v>2155</v>
      </c>
      <c r="C936" s="0" t="s">
        <v>105</v>
      </c>
      <c r="D936" s="0" t="n">
        <v>8035224200</v>
      </c>
      <c r="E936" s="0" t="s">
        <v>85</v>
      </c>
      <c r="F936" s="0" t="s">
        <v>2156</v>
      </c>
      <c r="G936" s="0" t="s">
        <v>134</v>
      </c>
      <c r="H936" s="0" t="s">
        <v>88</v>
      </c>
      <c r="I936" s="0" t="s">
        <v>47</v>
      </c>
      <c r="J936" s="0" t="s">
        <v>90</v>
      </c>
      <c r="K936" s="0" t="n">
        <v>25455</v>
      </c>
      <c r="L936" s="0" t="s">
        <v>49</v>
      </c>
      <c r="M936" s="0" t="s">
        <v>50</v>
      </c>
      <c r="O936" s="0" t="n">
        <v>1.3</v>
      </c>
      <c r="P936" s="0" t="s">
        <v>51</v>
      </c>
      <c r="Q936" s="0" t="s">
        <v>52</v>
      </c>
      <c r="R936" s="0" t="s">
        <v>53</v>
      </c>
      <c r="S936" s="0" t="s">
        <v>126</v>
      </c>
      <c r="T936" s="0" t="n">
        <v>45</v>
      </c>
      <c r="U936" s="0" t="s">
        <v>55</v>
      </c>
      <c r="V936" s="0" t="s">
        <v>56</v>
      </c>
      <c r="W936" s="0" t="s">
        <v>128</v>
      </c>
      <c r="X936" s="0" t="s">
        <v>99</v>
      </c>
      <c r="Z936" s="0" t="s">
        <v>143</v>
      </c>
      <c r="AA936" s="0" t="n">
        <v>15000</v>
      </c>
      <c r="AB936" s="0" t="n">
        <v>35000</v>
      </c>
      <c r="AG936" s="0" t="s">
        <v>61</v>
      </c>
      <c r="AH936" s="0" t="s">
        <v>116</v>
      </c>
      <c r="AI936" s="0" t="s">
        <v>117</v>
      </c>
      <c r="AJ936" s="0" t="s">
        <v>81</v>
      </c>
      <c r="AK936" s="0" t="s">
        <v>61</v>
      </c>
      <c r="AL936" s="0" t="s">
        <v>63</v>
      </c>
      <c r="AM936" s="0" t="s">
        <v>83</v>
      </c>
      <c r="AN936" s="0" t="s">
        <v>190</v>
      </c>
    </row>
    <row r="937" customFormat="false" ht="15" hidden="false" customHeight="false" outlineLevel="0" collapsed="false">
      <c r="A937" s="1" t="n">
        <v>45681</v>
      </c>
      <c r="B937" s="0" t="s">
        <v>2157</v>
      </c>
      <c r="C937" s="0" t="s">
        <v>66</v>
      </c>
      <c r="D937" s="0" t="n">
        <v>8010419981</v>
      </c>
      <c r="E937" s="0" t="s">
        <v>139</v>
      </c>
      <c r="F937" s="0" t="s">
        <v>2158</v>
      </c>
      <c r="G937" s="0" t="s">
        <v>134</v>
      </c>
      <c r="H937" s="0" t="s">
        <v>141</v>
      </c>
      <c r="I937" s="0" t="s">
        <v>47</v>
      </c>
      <c r="K937" s="0" t="n">
        <v>43901</v>
      </c>
      <c r="L937" s="0" t="s">
        <v>49</v>
      </c>
      <c r="M937" s="0" t="s">
        <v>50</v>
      </c>
      <c r="N937" s="0" t="n">
        <v>2</v>
      </c>
      <c r="O937" s="0" t="n">
        <v>1.3</v>
      </c>
      <c r="P937" s="0" t="s">
        <v>125</v>
      </c>
      <c r="Q937" s="0" t="s">
        <v>52</v>
      </c>
      <c r="S937" s="0" t="s">
        <v>126</v>
      </c>
      <c r="U937" s="0" t="s">
        <v>96</v>
      </c>
      <c r="V937" s="0" t="s">
        <v>56</v>
      </c>
      <c r="W937" s="0" t="s">
        <v>128</v>
      </c>
      <c r="X937" s="0" t="s">
        <v>99</v>
      </c>
      <c r="Y937" s="0" t="s">
        <v>177</v>
      </c>
      <c r="Z937" s="0" t="s">
        <v>149</v>
      </c>
      <c r="AB937" s="0" t="n">
        <v>20000</v>
      </c>
      <c r="AC937" s="0" t="s">
        <v>82</v>
      </c>
      <c r="AD937" s="0" t="n">
        <v>10000</v>
      </c>
      <c r="AE937" s="0" t="s">
        <v>80</v>
      </c>
      <c r="AF937" s="0" t="s">
        <v>2159</v>
      </c>
      <c r="AI937" s="0" t="s">
        <v>172</v>
      </c>
      <c r="AK937" s="0" t="s">
        <v>61</v>
      </c>
      <c r="AM937" s="0" t="s">
        <v>83</v>
      </c>
    </row>
    <row r="938" customFormat="false" ht="15" hidden="false" customHeight="false" outlineLevel="0" collapsed="false">
      <c r="A938" s="1" t="n">
        <v>45686</v>
      </c>
      <c r="B938" s="0" t="s">
        <v>2160</v>
      </c>
      <c r="C938" s="0" t="s">
        <v>42</v>
      </c>
      <c r="D938" s="0" t="n">
        <v>8095640742</v>
      </c>
      <c r="E938" s="0" t="s">
        <v>67</v>
      </c>
      <c r="F938" s="0" t="s">
        <v>2161</v>
      </c>
      <c r="G938" s="0" t="s">
        <v>107</v>
      </c>
      <c r="H938" s="0" t="s">
        <v>242</v>
      </c>
      <c r="I938" s="0" t="s">
        <v>142</v>
      </c>
      <c r="J938" s="0" t="s">
        <v>109</v>
      </c>
      <c r="K938" s="0" t="n">
        <v>113608</v>
      </c>
      <c r="L938" s="0" t="s">
        <v>166</v>
      </c>
      <c r="M938" s="0" t="s">
        <v>50</v>
      </c>
      <c r="O938" s="0" t="n">
        <v>1.7</v>
      </c>
      <c r="P938" s="0" t="s">
        <v>111</v>
      </c>
      <c r="Q938" s="0" t="s">
        <v>52</v>
      </c>
      <c r="R938" s="0" t="s">
        <v>94</v>
      </c>
      <c r="S938" s="0" t="s">
        <v>126</v>
      </c>
      <c r="U938" s="0" t="s">
        <v>76</v>
      </c>
      <c r="V938" s="0" t="s">
        <v>56</v>
      </c>
      <c r="W938" s="0" t="s">
        <v>128</v>
      </c>
      <c r="X938" s="0" t="s">
        <v>137</v>
      </c>
      <c r="Y938" s="0" t="s">
        <v>156</v>
      </c>
      <c r="Z938" s="0" t="s">
        <v>143</v>
      </c>
      <c r="AA938" s="0" t="n">
        <v>15000</v>
      </c>
      <c r="AB938" s="0" t="n">
        <v>30000</v>
      </c>
      <c r="AC938" s="0" t="s">
        <v>50</v>
      </c>
      <c r="AD938" s="0" t="n">
        <v>5000</v>
      </c>
      <c r="AE938" s="0" t="s">
        <v>80</v>
      </c>
      <c r="AG938" s="0" t="s">
        <v>50</v>
      </c>
      <c r="AH938" s="0" t="s">
        <v>116</v>
      </c>
      <c r="AI938" s="0" t="s">
        <v>101</v>
      </c>
      <c r="AK938" s="0" t="s">
        <v>61</v>
      </c>
      <c r="AL938" s="0" t="s">
        <v>50</v>
      </c>
      <c r="AM938" s="0" t="s">
        <v>118</v>
      </c>
      <c r="AN938" s="0" t="s">
        <v>50</v>
      </c>
    </row>
    <row r="939" customFormat="false" ht="15" hidden="false" customHeight="false" outlineLevel="0" collapsed="false">
      <c r="A939" s="0" t="s">
        <v>2162</v>
      </c>
      <c r="B939" s="0" t="s">
        <v>2163</v>
      </c>
      <c r="C939" s="0" t="s">
        <v>66</v>
      </c>
      <c r="D939" s="0" t="n">
        <v>8053242747</v>
      </c>
      <c r="E939" s="0" t="s">
        <v>122</v>
      </c>
      <c r="F939" s="0" t="s">
        <v>2164</v>
      </c>
      <c r="G939" s="0" t="s">
        <v>87</v>
      </c>
      <c r="H939" s="0" t="s">
        <v>46</v>
      </c>
      <c r="I939" s="0" t="s">
        <v>154</v>
      </c>
      <c r="J939" s="0" t="s">
        <v>71</v>
      </c>
      <c r="K939" s="0" t="n">
        <v>21591</v>
      </c>
      <c r="L939" s="0" t="s">
        <v>91</v>
      </c>
      <c r="M939" s="0" t="s">
        <v>50</v>
      </c>
      <c r="N939" s="0" t="n">
        <v>4</v>
      </c>
      <c r="O939" s="0" t="n">
        <v>5.4</v>
      </c>
      <c r="P939" s="0" t="s">
        <v>51</v>
      </c>
      <c r="Q939" s="0" t="s">
        <v>73</v>
      </c>
      <c r="R939" s="0" t="s">
        <v>94</v>
      </c>
      <c r="S939" s="0" t="s">
        <v>95</v>
      </c>
      <c r="T939" s="0" t="n">
        <v>30</v>
      </c>
      <c r="U939" s="0" t="s">
        <v>76</v>
      </c>
      <c r="V939" s="0" t="s">
        <v>56</v>
      </c>
      <c r="W939" s="0" t="s">
        <v>98</v>
      </c>
      <c r="X939" s="0" t="s">
        <v>58</v>
      </c>
      <c r="Z939" s="0" t="s">
        <v>161</v>
      </c>
      <c r="AA939" s="0" t="n">
        <v>25000</v>
      </c>
      <c r="AB939" s="0" t="n">
        <v>40000</v>
      </c>
      <c r="AC939" s="0" t="s">
        <v>63</v>
      </c>
      <c r="AD939" s="0" t="s">
        <v>115</v>
      </c>
      <c r="AE939" s="0" t="s">
        <v>184</v>
      </c>
      <c r="AF939" s="0" t="s">
        <v>802</v>
      </c>
      <c r="AG939" s="0" t="s">
        <v>61</v>
      </c>
      <c r="AJ939" s="0" t="s">
        <v>50</v>
      </c>
      <c r="AK939" s="0" t="s">
        <v>82</v>
      </c>
      <c r="AL939" s="0" t="s">
        <v>50</v>
      </c>
      <c r="AM939" s="0" t="s">
        <v>64</v>
      </c>
      <c r="AN939" s="0" t="s">
        <v>63</v>
      </c>
    </row>
    <row r="940" customFormat="false" ht="15" hidden="false" customHeight="false" outlineLevel="0" collapsed="false">
      <c r="A940" s="1" t="n">
        <v>45718</v>
      </c>
      <c r="B940" s="0" t="s">
        <v>2165</v>
      </c>
      <c r="C940" s="0" t="s">
        <v>163</v>
      </c>
      <c r="D940" s="0" t="n">
        <v>8012232081</v>
      </c>
      <c r="E940" s="0" t="s">
        <v>122</v>
      </c>
      <c r="F940" s="0" t="s">
        <v>2166</v>
      </c>
      <c r="G940" s="0" t="s">
        <v>69</v>
      </c>
      <c r="H940" s="0" t="s">
        <v>242</v>
      </c>
      <c r="I940" s="0" t="s">
        <v>189</v>
      </c>
      <c r="J940" s="0" t="s">
        <v>48</v>
      </c>
      <c r="K940" s="0" t="n">
        <v>113562</v>
      </c>
      <c r="L940" s="0" t="s">
        <v>166</v>
      </c>
      <c r="M940" s="0" t="s">
        <v>50</v>
      </c>
      <c r="N940" s="0" t="n">
        <v>4</v>
      </c>
      <c r="O940" s="0" t="n">
        <v>4.6</v>
      </c>
      <c r="P940" s="0" t="s">
        <v>51</v>
      </c>
      <c r="Q940" s="0" t="s">
        <v>52</v>
      </c>
      <c r="S940" s="0" t="s">
        <v>167</v>
      </c>
      <c r="T940" s="0" t="n">
        <v>30</v>
      </c>
      <c r="U940" s="0" t="s">
        <v>96</v>
      </c>
      <c r="V940" s="0" t="s">
        <v>155</v>
      </c>
      <c r="W940" s="0" t="s">
        <v>98</v>
      </c>
      <c r="X940" s="0" t="s">
        <v>196</v>
      </c>
      <c r="Z940" s="0" t="s">
        <v>149</v>
      </c>
      <c r="AA940" s="0" t="s">
        <v>150</v>
      </c>
      <c r="AB940" s="0" t="n">
        <v>20000</v>
      </c>
      <c r="AC940" s="0" t="s">
        <v>63</v>
      </c>
      <c r="AD940" s="0" t="s">
        <v>115</v>
      </c>
      <c r="AE940" s="0" t="s">
        <v>80</v>
      </c>
      <c r="AF940" s="0" t="s">
        <v>1782</v>
      </c>
      <c r="AG940" s="0" t="s">
        <v>61</v>
      </c>
      <c r="AI940" s="0" t="s">
        <v>101</v>
      </c>
      <c r="AJ940" s="0" t="s">
        <v>62</v>
      </c>
      <c r="AK940" s="0" t="s">
        <v>61</v>
      </c>
      <c r="AL940" s="0" t="s">
        <v>63</v>
      </c>
    </row>
    <row r="941" customFormat="false" ht="15" hidden="false" customHeight="false" outlineLevel="0" collapsed="false">
      <c r="A941" s="1" t="n">
        <v>45742</v>
      </c>
      <c r="B941" s="0" t="s">
        <v>2167</v>
      </c>
      <c r="C941" s="0" t="s">
        <v>105</v>
      </c>
      <c r="D941" s="0" t="n">
        <v>8095064149</v>
      </c>
      <c r="E941" s="0" t="s">
        <v>43</v>
      </c>
      <c r="F941" s="0" t="s">
        <v>2168</v>
      </c>
      <c r="G941" s="0" t="s">
        <v>87</v>
      </c>
      <c r="H941" s="0" t="s">
        <v>135</v>
      </c>
      <c r="I941" s="0" t="s">
        <v>154</v>
      </c>
      <c r="J941" s="0" t="s">
        <v>48</v>
      </c>
      <c r="K941" s="0" t="n">
        <v>86149</v>
      </c>
      <c r="L941" s="0" t="s">
        <v>124</v>
      </c>
      <c r="M941" s="0" t="s">
        <v>50</v>
      </c>
      <c r="N941" s="0" t="n">
        <v>3</v>
      </c>
      <c r="O941" s="0" t="n">
        <v>5.1</v>
      </c>
      <c r="P941" s="0" t="s">
        <v>111</v>
      </c>
      <c r="Q941" s="0" t="s">
        <v>52</v>
      </c>
      <c r="R941" s="0" t="s">
        <v>94</v>
      </c>
      <c r="S941" s="0" t="s">
        <v>126</v>
      </c>
      <c r="U941" s="0" t="s">
        <v>160</v>
      </c>
      <c r="V941" s="0" t="s">
        <v>97</v>
      </c>
      <c r="W941" s="0" t="s">
        <v>57</v>
      </c>
      <c r="X941" s="0" t="s">
        <v>137</v>
      </c>
      <c r="Y941" s="0" t="s">
        <v>59</v>
      </c>
      <c r="Z941" s="0" t="s">
        <v>143</v>
      </c>
      <c r="AA941" s="0" t="s">
        <v>150</v>
      </c>
      <c r="AC941" s="0" t="s">
        <v>50</v>
      </c>
      <c r="AD941" s="0" t="n">
        <v>5000</v>
      </c>
      <c r="AE941" s="0" t="s">
        <v>130</v>
      </c>
      <c r="AF941" s="1" t="n">
        <v>45788</v>
      </c>
      <c r="AG941" s="0" t="s">
        <v>50</v>
      </c>
      <c r="AH941" s="0" t="s">
        <v>116</v>
      </c>
      <c r="AI941" s="0" t="s">
        <v>172</v>
      </c>
      <c r="AJ941" s="0" t="s">
        <v>50</v>
      </c>
      <c r="AL941" s="0" t="s">
        <v>63</v>
      </c>
      <c r="AM941" s="0" t="s">
        <v>118</v>
      </c>
      <c r="AN941" s="0" t="s">
        <v>50</v>
      </c>
    </row>
    <row r="942" customFormat="false" ht="15" hidden="false" customHeight="false" outlineLevel="0" collapsed="false">
      <c r="A942" s="1" t="n">
        <v>45757</v>
      </c>
      <c r="B942" s="0" t="s">
        <v>2169</v>
      </c>
      <c r="C942" s="0" t="s">
        <v>42</v>
      </c>
      <c r="D942" s="0" t="n">
        <v>8058345978</v>
      </c>
      <c r="E942" s="0" t="s">
        <v>43</v>
      </c>
      <c r="F942" s="0" t="s">
        <v>2170</v>
      </c>
      <c r="G942" s="0" t="s">
        <v>107</v>
      </c>
      <c r="H942" s="0" t="s">
        <v>153</v>
      </c>
      <c r="I942" s="0" t="s">
        <v>108</v>
      </c>
      <c r="J942" s="0" t="s">
        <v>48</v>
      </c>
      <c r="K942" s="0" t="n">
        <v>65511</v>
      </c>
      <c r="L942" s="0" t="s">
        <v>49</v>
      </c>
      <c r="M942" s="0" t="s">
        <v>63</v>
      </c>
      <c r="O942" s="0" t="n">
        <v>4.5</v>
      </c>
      <c r="P942" s="0" t="s">
        <v>111</v>
      </c>
      <c r="Q942" s="0" t="s">
        <v>52</v>
      </c>
      <c r="S942" s="0" t="s">
        <v>54</v>
      </c>
      <c r="T942" s="0" t="n">
        <v>45</v>
      </c>
      <c r="U942" s="0" t="s">
        <v>55</v>
      </c>
      <c r="V942" s="0" t="s">
        <v>56</v>
      </c>
      <c r="W942" s="0" t="s">
        <v>78</v>
      </c>
      <c r="X942" s="0" t="s">
        <v>99</v>
      </c>
      <c r="Y942" s="0" t="s">
        <v>156</v>
      </c>
      <c r="AA942" s="0" t="s">
        <v>150</v>
      </c>
      <c r="AB942" s="0" t="n">
        <v>20000</v>
      </c>
      <c r="AC942" s="0" t="s">
        <v>63</v>
      </c>
      <c r="AD942" s="0" t="n">
        <v>5000</v>
      </c>
      <c r="AE942" s="0" t="s">
        <v>184</v>
      </c>
      <c r="AG942" s="0" t="s">
        <v>82</v>
      </c>
      <c r="AJ942" s="0" t="s">
        <v>63</v>
      </c>
      <c r="AK942" s="0" t="s">
        <v>82</v>
      </c>
      <c r="AM942" s="0" t="s">
        <v>118</v>
      </c>
    </row>
    <row r="943" customFormat="false" ht="15" hidden="false" customHeight="false" outlineLevel="0" collapsed="false">
      <c r="A943" s="1" t="n">
        <v>45694</v>
      </c>
      <c r="B943" s="0" t="s">
        <v>2171</v>
      </c>
      <c r="C943" s="0" t="s">
        <v>163</v>
      </c>
      <c r="D943" s="0" t="n">
        <v>8016141035</v>
      </c>
      <c r="E943" s="0" t="s">
        <v>67</v>
      </c>
      <c r="F943" s="0" t="s">
        <v>2172</v>
      </c>
      <c r="G943" s="0" t="s">
        <v>107</v>
      </c>
      <c r="H943" s="0" t="s">
        <v>153</v>
      </c>
      <c r="I943" s="0" t="s">
        <v>108</v>
      </c>
      <c r="K943" s="0" t="n">
        <v>24744</v>
      </c>
      <c r="L943" s="0" t="s">
        <v>110</v>
      </c>
      <c r="M943" s="0" t="s">
        <v>63</v>
      </c>
      <c r="N943" s="0" t="n">
        <v>4</v>
      </c>
      <c r="O943" s="0" t="n">
        <v>3.7</v>
      </c>
      <c r="P943" s="0" t="s">
        <v>125</v>
      </c>
      <c r="Q943" s="0" t="s">
        <v>52</v>
      </c>
      <c r="R943" s="0" t="s">
        <v>74</v>
      </c>
      <c r="S943" s="0" t="s">
        <v>167</v>
      </c>
      <c r="T943" s="0" t="n">
        <v>45</v>
      </c>
      <c r="U943" s="0" t="s">
        <v>160</v>
      </c>
      <c r="V943" s="0" t="s">
        <v>77</v>
      </c>
      <c r="W943" s="0" t="s">
        <v>113</v>
      </c>
      <c r="X943" s="0" t="s">
        <v>99</v>
      </c>
      <c r="Y943" s="0" t="s">
        <v>177</v>
      </c>
      <c r="Z943" s="0" t="s">
        <v>149</v>
      </c>
      <c r="AA943" s="0" t="s">
        <v>150</v>
      </c>
      <c r="AB943" s="0" t="n">
        <v>35000</v>
      </c>
      <c r="AC943" s="0" t="s">
        <v>63</v>
      </c>
      <c r="AD943" s="0" t="n">
        <v>5000</v>
      </c>
      <c r="AE943" s="0" t="s">
        <v>60</v>
      </c>
      <c r="AF943" s="0" t="s">
        <v>959</v>
      </c>
      <c r="AG943" s="0" t="s">
        <v>50</v>
      </c>
      <c r="AI943" s="0" t="s">
        <v>117</v>
      </c>
      <c r="AL943" s="0" t="s">
        <v>63</v>
      </c>
      <c r="AN943" s="0" t="s">
        <v>50</v>
      </c>
    </row>
    <row r="944" customFormat="false" ht="15" hidden="false" customHeight="false" outlineLevel="0" collapsed="false">
      <c r="A944" s="0" t="s">
        <v>1113</v>
      </c>
      <c r="B944" s="0" t="s">
        <v>2173</v>
      </c>
      <c r="C944" s="0" t="s">
        <v>163</v>
      </c>
      <c r="D944" s="0" t="n">
        <v>8053691252</v>
      </c>
      <c r="E944" s="0" t="s">
        <v>43</v>
      </c>
      <c r="F944" s="0" t="s">
        <v>2174</v>
      </c>
      <c r="G944" s="0" t="s">
        <v>45</v>
      </c>
      <c r="I944" s="0" t="s">
        <v>47</v>
      </c>
      <c r="K944" s="0" t="n">
        <v>56479</v>
      </c>
      <c r="L944" s="0" t="s">
        <v>49</v>
      </c>
      <c r="M944" s="0" t="s">
        <v>63</v>
      </c>
      <c r="N944" s="0" t="n">
        <v>5</v>
      </c>
      <c r="O944" s="0" t="n">
        <v>1.5</v>
      </c>
      <c r="P944" s="0" t="s">
        <v>51</v>
      </c>
      <c r="Q944" s="0" t="s">
        <v>73</v>
      </c>
      <c r="S944" s="0" t="s">
        <v>75</v>
      </c>
      <c r="U944" s="0" t="s">
        <v>55</v>
      </c>
      <c r="V944" s="0" t="s">
        <v>155</v>
      </c>
      <c r="W944" s="0" t="s">
        <v>78</v>
      </c>
      <c r="X944" s="0" t="s">
        <v>99</v>
      </c>
      <c r="Y944" s="0" t="s">
        <v>59</v>
      </c>
      <c r="Z944" s="0" t="s">
        <v>149</v>
      </c>
      <c r="AB944" s="0" t="n">
        <v>40000</v>
      </c>
      <c r="AC944" s="0" t="s">
        <v>50</v>
      </c>
      <c r="AE944" s="0" t="s">
        <v>130</v>
      </c>
      <c r="AG944" s="0" t="s">
        <v>50</v>
      </c>
      <c r="AJ944" s="0" t="s">
        <v>62</v>
      </c>
      <c r="AM944" s="0" t="s">
        <v>118</v>
      </c>
      <c r="AN944" s="0" t="s">
        <v>198</v>
      </c>
    </row>
    <row r="945" customFormat="false" ht="15" hidden="false" customHeight="false" outlineLevel="0" collapsed="false">
      <c r="A945" s="1" t="n">
        <v>45783</v>
      </c>
      <c r="B945" s="0" t="s">
        <v>2175</v>
      </c>
      <c r="C945" s="0" t="s">
        <v>121</v>
      </c>
      <c r="D945" s="0" t="n">
        <v>8069633763</v>
      </c>
      <c r="E945" s="0" t="s">
        <v>139</v>
      </c>
      <c r="F945" s="0" t="s">
        <v>2176</v>
      </c>
      <c r="G945" s="0" t="s">
        <v>69</v>
      </c>
      <c r="H945" s="0" t="s">
        <v>170</v>
      </c>
      <c r="I945" s="0" t="s">
        <v>47</v>
      </c>
      <c r="K945" s="0" t="n">
        <v>65987</v>
      </c>
      <c r="L945" s="0" t="s">
        <v>124</v>
      </c>
      <c r="M945" s="0" t="s">
        <v>63</v>
      </c>
      <c r="N945" s="0" t="n">
        <v>4</v>
      </c>
      <c r="O945" s="0" t="n">
        <v>3.5</v>
      </c>
      <c r="P945" s="0" t="s">
        <v>125</v>
      </c>
      <c r="Q945" s="0" t="s">
        <v>73</v>
      </c>
      <c r="R945" s="0" t="s">
        <v>74</v>
      </c>
      <c r="S945" s="0" t="s">
        <v>147</v>
      </c>
      <c r="T945" s="0" t="n">
        <v>15</v>
      </c>
      <c r="U945" s="0" t="s">
        <v>96</v>
      </c>
      <c r="V945" s="0" t="s">
        <v>155</v>
      </c>
      <c r="W945" s="0" t="s">
        <v>113</v>
      </c>
      <c r="X945" s="0" t="s">
        <v>99</v>
      </c>
      <c r="Y945" s="0" t="s">
        <v>177</v>
      </c>
      <c r="AA945" s="0" t="n">
        <v>25000</v>
      </c>
      <c r="AB945" s="0" t="n">
        <v>40000</v>
      </c>
      <c r="AC945" s="0" t="s">
        <v>82</v>
      </c>
      <c r="AE945" s="0" t="s">
        <v>60</v>
      </c>
      <c r="AF945" s="1" t="n">
        <v>45697</v>
      </c>
      <c r="AG945" s="0" t="s">
        <v>63</v>
      </c>
      <c r="AI945" s="0" t="s">
        <v>172</v>
      </c>
      <c r="AJ945" s="0" t="s">
        <v>50</v>
      </c>
      <c r="AK945" s="0" t="s">
        <v>63</v>
      </c>
      <c r="AL945" s="0" t="s">
        <v>63</v>
      </c>
      <c r="AM945" s="0" t="s">
        <v>103</v>
      </c>
      <c r="AN945" s="0" t="s">
        <v>50</v>
      </c>
    </row>
    <row r="946" customFormat="false" ht="15" hidden="false" customHeight="false" outlineLevel="0" collapsed="false">
      <c r="A946" s="1" t="n">
        <v>45739</v>
      </c>
      <c r="B946" s="0" t="s">
        <v>2177</v>
      </c>
      <c r="C946" s="0" t="s">
        <v>42</v>
      </c>
      <c r="D946" s="0" t="n">
        <v>8041347711</v>
      </c>
      <c r="E946" s="0" t="s">
        <v>67</v>
      </c>
      <c r="F946" s="0" t="s">
        <v>2178</v>
      </c>
      <c r="G946" s="0" t="s">
        <v>69</v>
      </c>
      <c r="H946" s="0" t="s">
        <v>70</v>
      </c>
      <c r="I946" s="0" t="s">
        <v>89</v>
      </c>
      <c r="J946" s="0" t="s">
        <v>90</v>
      </c>
      <c r="K946" s="0" t="n">
        <v>15769</v>
      </c>
      <c r="L946" s="0" t="s">
        <v>110</v>
      </c>
      <c r="M946" s="0" t="s">
        <v>50</v>
      </c>
      <c r="N946" s="0" t="n">
        <v>2</v>
      </c>
      <c r="O946" s="0" t="n">
        <v>5.6</v>
      </c>
      <c r="P946" s="0" t="s">
        <v>125</v>
      </c>
      <c r="Q946" s="0" t="s">
        <v>52</v>
      </c>
      <c r="R946" s="0" t="s">
        <v>136</v>
      </c>
      <c r="S946" s="0" t="s">
        <v>147</v>
      </c>
      <c r="T946" s="0" t="n">
        <v>15</v>
      </c>
      <c r="U946" s="0" t="s">
        <v>96</v>
      </c>
      <c r="V946" s="0" t="s">
        <v>77</v>
      </c>
      <c r="W946" s="0" t="s">
        <v>57</v>
      </c>
      <c r="X946" s="0" t="s">
        <v>99</v>
      </c>
      <c r="Z946" s="0" t="s">
        <v>161</v>
      </c>
      <c r="AA946" s="0" t="s">
        <v>150</v>
      </c>
      <c r="AB946" s="0" t="n">
        <v>30000</v>
      </c>
      <c r="AC946" s="0" t="s">
        <v>50</v>
      </c>
      <c r="AD946" s="0" t="n">
        <v>0</v>
      </c>
      <c r="AE946" s="0" t="s">
        <v>184</v>
      </c>
      <c r="AF946" s="1" t="n">
        <v>45905</v>
      </c>
      <c r="AH946" s="0" t="s">
        <v>171</v>
      </c>
      <c r="AJ946" s="0" t="s">
        <v>62</v>
      </c>
      <c r="AL946" s="0" t="s">
        <v>63</v>
      </c>
      <c r="AN946" s="0" t="s">
        <v>50</v>
      </c>
    </row>
    <row r="947" customFormat="false" ht="15" hidden="false" customHeight="false" outlineLevel="0" collapsed="false">
      <c r="A947" s="1" t="n">
        <v>45693</v>
      </c>
      <c r="B947" s="0" t="s">
        <v>2179</v>
      </c>
      <c r="C947" s="0" t="s">
        <v>121</v>
      </c>
      <c r="D947" s="0" t="n">
        <v>8091438353</v>
      </c>
      <c r="E947" s="0" t="s">
        <v>85</v>
      </c>
      <c r="F947" s="0" t="s">
        <v>2180</v>
      </c>
      <c r="G947" s="0" t="s">
        <v>107</v>
      </c>
      <c r="H947" s="0" t="s">
        <v>176</v>
      </c>
      <c r="I947" s="0" t="s">
        <v>108</v>
      </c>
      <c r="J947" s="0" t="s">
        <v>90</v>
      </c>
      <c r="K947" s="0" t="n">
        <v>74796</v>
      </c>
      <c r="L947" s="0" t="s">
        <v>124</v>
      </c>
      <c r="M947" s="0" t="s">
        <v>50</v>
      </c>
      <c r="N947" s="0" t="n">
        <v>5</v>
      </c>
      <c r="O947" s="0" t="n">
        <v>4.3</v>
      </c>
      <c r="P947" s="0" t="s">
        <v>111</v>
      </c>
      <c r="Q947" s="0" t="s">
        <v>93</v>
      </c>
      <c r="R947" s="0" t="s">
        <v>94</v>
      </c>
      <c r="S947" s="0" t="s">
        <v>167</v>
      </c>
      <c r="U947" s="0" t="s">
        <v>76</v>
      </c>
      <c r="V947" s="0" t="s">
        <v>155</v>
      </c>
      <c r="W947" s="0" t="s">
        <v>128</v>
      </c>
      <c r="X947" s="0" t="s">
        <v>196</v>
      </c>
      <c r="Z947" s="0" t="s">
        <v>143</v>
      </c>
      <c r="AA947" s="0" t="n">
        <v>30000</v>
      </c>
      <c r="AB947" s="0" t="n">
        <v>35000</v>
      </c>
      <c r="AC947" s="0" t="s">
        <v>82</v>
      </c>
      <c r="AD947" s="0" t="s">
        <v>115</v>
      </c>
      <c r="AE947" s="0" t="s">
        <v>130</v>
      </c>
      <c r="AF947" s="1" t="n">
        <v>45948</v>
      </c>
      <c r="AG947" s="0" t="s">
        <v>82</v>
      </c>
      <c r="AI947" s="0" t="s">
        <v>117</v>
      </c>
      <c r="AJ947" s="0" t="s">
        <v>81</v>
      </c>
      <c r="AK947" s="0" t="s">
        <v>82</v>
      </c>
      <c r="AM947" s="0" t="s">
        <v>64</v>
      </c>
    </row>
    <row r="948" customFormat="false" ht="15" hidden="false" customHeight="false" outlineLevel="0" collapsed="false">
      <c r="A948" s="1" t="n">
        <v>45779</v>
      </c>
      <c r="B948" s="0" t="s">
        <v>2181</v>
      </c>
      <c r="C948" s="0" t="s">
        <v>163</v>
      </c>
      <c r="D948" s="0" t="n">
        <v>8075033340</v>
      </c>
      <c r="E948" s="0" t="s">
        <v>139</v>
      </c>
      <c r="F948" s="0" t="s">
        <v>2182</v>
      </c>
      <c r="G948" s="0" t="s">
        <v>45</v>
      </c>
      <c r="H948" s="0" t="s">
        <v>141</v>
      </c>
      <c r="I948" s="0" t="s">
        <v>154</v>
      </c>
      <c r="K948" s="0" t="n">
        <v>82331</v>
      </c>
      <c r="L948" s="0" t="s">
        <v>72</v>
      </c>
      <c r="M948" s="0" t="s">
        <v>50</v>
      </c>
      <c r="N948" s="0" t="n">
        <v>3</v>
      </c>
      <c r="O948" s="0" t="n">
        <v>3.6</v>
      </c>
      <c r="P948" s="0" t="s">
        <v>125</v>
      </c>
      <c r="Q948" s="0" t="s">
        <v>93</v>
      </c>
      <c r="R948" s="0" t="s">
        <v>136</v>
      </c>
      <c r="S948" s="0" t="s">
        <v>95</v>
      </c>
      <c r="T948" s="0" t="n">
        <v>45</v>
      </c>
      <c r="U948" s="0" t="s">
        <v>160</v>
      </c>
      <c r="V948" s="0" t="s">
        <v>97</v>
      </c>
      <c r="W948" s="0" t="s">
        <v>78</v>
      </c>
      <c r="X948" s="0" t="s">
        <v>196</v>
      </c>
      <c r="Y948" s="0" t="s">
        <v>156</v>
      </c>
      <c r="Z948" s="0" t="s">
        <v>143</v>
      </c>
      <c r="AA948" s="0" t="n">
        <v>25000</v>
      </c>
      <c r="AB948" s="0" t="s">
        <v>178</v>
      </c>
      <c r="AC948" s="0" t="s">
        <v>82</v>
      </c>
      <c r="AD948" s="0" t="s">
        <v>115</v>
      </c>
      <c r="AH948" s="0" t="s">
        <v>171</v>
      </c>
      <c r="AI948" s="0" t="s">
        <v>172</v>
      </c>
      <c r="AJ948" s="0" t="s">
        <v>62</v>
      </c>
      <c r="AK948" s="0" t="s">
        <v>61</v>
      </c>
      <c r="AL948" s="0" t="s">
        <v>102</v>
      </c>
      <c r="AM948" s="0" t="s">
        <v>103</v>
      </c>
      <c r="AN948" s="0" t="s">
        <v>190</v>
      </c>
    </row>
    <row r="949" customFormat="false" ht="15" hidden="false" customHeight="false" outlineLevel="0" collapsed="false">
      <c r="A949" s="1" t="n">
        <v>45663</v>
      </c>
      <c r="B949" s="0" t="s">
        <v>2183</v>
      </c>
      <c r="C949" s="0" t="s">
        <v>42</v>
      </c>
      <c r="D949" s="0" t="n">
        <v>8063709262</v>
      </c>
      <c r="E949" s="0" t="s">
        <v>67</v>
      </c>
      <c r="F949" s="0" t="s">
        <v>2184</v>
      </c>
      <c r="G949" s="0" t="s">
        <v>69</v>
      </c>
      <c r="H949" s="0" t="s">
        <v>242</v>
      </c>
      <c r="I949" s="0" t="s">
        <v>47</v>
      </c>
      <c r="K949" s="0" t="n">
        <v>94191</v>
      </c>
      <c r="L949" s="0" t="s">
        <v>91</v>
      </c>
      <c r="M949" s="0" t="s">
        <v>50</v>
      </c>
      <c r="N949" s="0" t="n">
        <v>5</v>
      </c>
      <c r="O949" s="0" t="n">
        <v>4</v>
      </c>
      <c r="P949" s="0" t="s">
        <v>111</v>
      </c>
      <c r="Q949" s="0" t="s">
        <v>93</v>
      </c>
      <c r="R949" s="0" t="s">
        <v>94</v>
      </c>
      <c r="S949" s="0" t="s">
        <v>95</v>
      </c>
      <c r="T949" s="0" t="n">
        <v>30</v>
      </c>
      <c r="U949" s="0" t="s">
        <v>55</v>
      </c>
      <c r="V949" s="0" t="s">
        <v>155</v>
      </c>
      <c r="W949" s="0" t="s">
        <v>128</v>
      </c>
      <c r="X949" s="0" t="s">
        <v>99</v>
      </c>
      <c r="Z949" s="0" t="s">
        <v>143</v>
      </c>
      <c r="AC949" s="0" t="s">
        <v>50</v>
      </c>
      <c r="AD949" s="0" t="n">
        <v>0</v>
      </c>
      <c r="AE949" s="0" t="s">
        <v>130</v>
      </c>
      <c r="AF949" s="0" t="s">
        <v>853</v>
      </c>
      <c r="AG949" s="0" t="s">
        <v>50</v>
      </c>
      <c r="AH949" s="0" t="s">
        <v>171</v>
      </c>
      <c r="AI949" s="0" t="s">
        <v>101</v>
      </c>
      <c r="AJ949" s="0" t="s">
        <v>81</v>
      </c>
      <c r="AL949" s="0" t="s">
        <v>102</v>
      </c>
      <c r="AM949" s="0" t="s">
        <v>118</v>
      </c>
      <c r="AN949" s="0" t="s">
        <v>190</v>
      </c>
    </row>
    <row r="950" customFormat="false" ht="15" hidden="false" customHeight="false" outlineLevel="0" collapsed="false">
      <c r="A950" s="1" t="n">
        <v>45671</v>
      </c>
      <c r="B950" s="0" t="s">
        <v>2185</v>
      </c>
      <c r="C950" s="0" t="s">
        <v>42</v>
      </c>
      <c r="D950" s="0" t="n">
        <v>8092220752</v>
      </c>
      <c r="E950" s="0" t="s">
        <v>67</v>
      </c>
      <c r="F950" s="0" t="s">
        <v>2186</v>
      </c>
      <c r="G950" s="0" t="s">
        <v>45</v>
      </c>
      <c r="H950" s="0" t="s">
        <v>141</v>
      </c>
      <c r="I950" s="0" t="s">
        <v>154</v>
      </c>
      <c r="J950" s="0" t="s">
        <v>90</v>
      </c>
      <c r="K950" s="0" t="n">
        <v>42520</v>
      </c>
      <c r="L950" s="0" t="s">
        <v>110</v>
      </c>
      <c r="M950" s="0" t="s">
        <v>50</v>
      </c>
      <c r="N950" s="0" t="n">
        <v>1</v>
      </c>
      <c r="O950" s="0" t="n">
        <v>4.8</v>
      </c>
      <c r="P950" s="0" t="s">
        <v>125</v>
      </c>
      <c r="Q950" s="0" t="s">
        <v>73</v>
      </c>
      <c r="R950" s="0" t="s">
        <v>136</v>
      </c>
      <c r="S950" s="0" t="s">
        <v>167</v>
      </c>
      <c r="U950" s="0" t="s">
        <v>112</v>
      </c>
      <c r="V950" s="0" t="s">
        <v>97</v>
      </c>
      <c r="W950" s="0" t="s">
        <v>113</v>
      </c>
      <c r="X950" s="0" t="s">
        <v>58</v>
      </c>
      <c r="Z950" s="0" t="s">
        <v>79</v>
      </c>
      <c r="AA950" s="0" t="s">
        <v>150</v>
      </c>
      <c r="AB950" s="0" t="n">
        <v>35000</v>
      </c>
      <c r="AC950" s="0" t="s">
        <v>50</v>
      </c>
      <c r="AD950" s="0" t="n">
        <v>10000</v>
      </c>
      <c r="AJ950" s="0" t="s">
        <v>81</v>
      </c>
      <c r="AK950" s="0" t="s">
        <v>61</v>
      </c>
      <c r="AL950" s="0" t="s">
        <v>50</v>
      </c>
      <c r="AM950" s="0" t="s">
        <v>64</v>
      </c>
    </row>
    <row r="951" customFormat="false" ht="15" hidden="false" customHeight="false" outlineLevel="0" collapsed="false">
      <c r="A951" s="1" t="n">
        <v>45811</v>
      </c>
      <c r="B951" s="0" t="s">
        <v>2187</v>
      </c>
      <c r="C951" s="0" t="s">
        <v>42</v>
      </c>
      <c r="D951" s="0" t="n">
        <v>8020921193</v>
      </c>
      <c r="E951" s="0" t="s">
        <v>67</v>
      </c>
      <c r="F951" s="0" t="s">
        <v>2188</v>
      </c>
      <c r="G951" s="0" t="s">
        <v>107</v>
      </c>
      <c r="H951" s="0" t="s">
        <v>272</v>
      </c>
      <c r="I951" s="0" t="s">
        <v>108</v>
      </c>
      <c r="J951" s="0" t="s">
        <v>109</v>
      </c>
      <c r="K951" s="0" t="n">
        <v>33203</v>
      </c>
      <c r="L951" s="0" t="s">
        <v>124</v>
      </c>
      <c r="M951" s="0" t="s">
        <v>50</v>
      </c>
      <c r="N951" s="0" t="n">
        <v>2</v>
      </c>
      <c r="O951" s="0" t="n">
        <v>5.8</v>
      </c>
      <c r="P951" s="0" t="s">
        <v>51</v>
      </c>
      <c r="Q951" s="0" t="s">
        <v>73</v>
      </c>
      <c r="R951" s="0" t="s">
        <v>53</v>
      </c>
      <c r="S951" s="0" t="s">
        <v>126</v>
      </c>
      <c r="U951" s="0" t="s">
        <v>160</v>
      </c>
      <c r="V951" s="0" t="s">
        <v>97</v>
      </c>
      <c r="W951" s="0" t="s">
        <v>57</v>
      </c>
      <c r="X951" s="0" t="s">
        <v>114</v>
      </c>
      <c r="Z951" s="0" t="s">
        <v>129</v>
      </c>
      <c r="AA951" s="0" t="n">
        <v>15000</v>
      </c>
      <c r="AC951" s="0" t="s">
        <v>61</v>
      </c>
      <c r="AD951" s="0" t="n">
        <v>0</v>
      </c>
      <c r="AF951" s="0" t="s">
        <v>1155</v>
      </c>
      <c r="AG951" s="0" t="s">
        <v>82</v>
      </c>
      <c r="AJ951" s="0" t="s">
        <v>50</v>
      </c>
      <c r="AK951" s="0" t="s">
        <v>61</v>
      </c>
      <c r="AL951" s="0" t="s">
        <v>63</v>
      </c>
      <c r="AN951" s="0" t="s">
        <v>190</v>
      </c>
    </row>
    <row r="952" customFormat="false" ht="15" hidden="false" customHeight="false" outlineLevel="0" collapsed="false">
      <c r="A952" s="1" t="n">
        <v>45750</v>
      </c>
      <c r="B952" s="0" t="s">
        <v>2189</v>
      </c>
      <c r="C952" s="0" t="s">
        <v>42</v>
      </c>
      <c r="D952" s="0" t="n">
        <v>8056752592</v>
      </c>
      <c r="E952" s="0" t="s">
        <v>122</v>
      </c>
      <c r="F952" s="0" t="s">
        <v>2190</v>
      </c>
      <c r="G952" s="0" t="s">
        <v>107</v>
      </c>
      <c r="I952" s="0" t="s">
        <v>142</v>
      </c>
      <c r="J952" s="0" t="s">
        <v>90</v>
      </c>
      <c r="K952" s="0" t="n">
        <v>73898</v>
      </c>
      <c r="L952" s="0" t="s">
        <v>110</v>
      </c>
      <c r="M952" s="0" t="s">
        <v>50</v>
      </c>
      <c r="N952" s="0" t="n">
        <v>3</v>
      </c>
      <c r="O952" s="0" t="n">
        <v>1.7</v>
      </c>
      <c r="P952" s="0" t="s">
        <v>51</v>
      </c>
      <c r="Q952" s="0" t="s">
        <v>52</v>
      </c>
      <c r="R952" s="0" t="s">
        <v>136</v>
      </c>
      <c r="S952" s="0" t="s">
        <v>75</v>
      </c>
      <c r="T952" s="0" t="n">
        <v>15</v>
      </c>
      <c r="U952" s="0" t="s">
        <v>112</v>
      </c>
      <c r="V952" s="0" t="s">
        <v>148</v>
      </c>
      <c r="W952" s="0" t="s">
        <v>98</v>
      </c>
      <c r="X952" s="0" t="s">
        <v>58</v>
      </c>
      <c r="Y952" s="0" t="s">
        <v>197</v>
      </c>
      <c r="Z952" s="0" t="s">
        <v>79</v>
      </c>
      <c r="AA952" s="0" t="s">
        <v>150</v>
      </c>
      <c r="AC952" s="0" t="s">
        <v>82</v>
      </c>
      <c r="AD952" s="0" t="n">
        <v>0</v>
      </c>
      <c r="AE952" s="0" t="s">
        <v>184</v>
      </c>
      <c r="AF952" s="1" t="n">
        <v>46001</v>
      </c>
      <c r="AK952" s="0" t="s">
        <v>82</v>
      </c>
      <c r="AM952" s="0" t="s">
        <v>118</v>
      </c>
      <c r="AN952" s="0" t="s">
        <v>50</v>
      </c>
    </row>
    <row r="953" customFormat="false" ht="15" hidden="false" customHeight="false" outlineLevel="0" collapsed="false">
      <c r="A953" s="0" t="s">
        <v>652</v>
      </c>
      <c r="B953" s="0" t="s">
        <v>2191</v>
      </c>
      <c r="C953" s="0" t="s">
        <v>121</v>
      </c>
      <c r="D953" s="0" t="n">
        <v>8067433950</v>
      </c>
      <c r="E953" s="0" t="s">
        <v>67</v>
      </c>
      <c r="F953" s="0" t="s">
        <v>2192</v>
      </c>
      <c r="G953" s="0" t="s">
        <v>69</v>
      </c>
      <c r="H953" s="0" t="s">
        <v>135</v>
      </c>
      <c r="I953" s="0" t="s">
        <v>108</v>
      </c>
      <c r="J953" s="0" t="s">
        <v>109</v>
      </c>
      <c r="K953" s="0" t="n">
        <v>47239</v>
      </c>
      <c r="L953" s="0" t="s">
        <v>110</v>
      </c>
      <c r="M953" s="0" t="s">
        <v>50</v>
      </c>
      <c r="N953" s="0" t="n">
        <v>4</v>
      </c>
      <c r="O953" s="0" t="n">
        <v>5.5</v>
      </c>
      <c r="P953" s="0" t="s">
        <v>111</v>
      </c>
      <c r="Q953" s="0" t="s">
        <v>93</v>
      </c>
      <c r="R953" s="0" t="s">
        <v>74</v>
      </c>
      <c r="S953" s="0" t="s">
        <v>54</v>
      </c>
      <c r="T953" s="0" t="n">
        <v>30</v>
      </c>
      <c r="U953" s="0" t="s">
        <v>76</v>
      </c>
      <c r="V953" s="0" t="s">
        <v>77</v>
      </c>
      <c r="W953" s="0" t="s">
        <v>128</v>
      </c>
      <c r="X953" s="0" t="s">
        <v>58</v>
      </c>
      <c r="Z953" s="0" t="s">
        <v>161</v>
      </c>
      <c r="AA953" s="0" t="n">
        <v>25000</v>
      </c>
      <c r="AB953" s="0" t="n">
        <v>20000</v>
      </c>
      <c r="AC953" s="0" t="s">
        <v>82</v>
      </c>
      <c r="AD953" s="0" t="n">
        <v>0</v>
      </c>
      <c r="AE953" s="0" t="s">
        <v>130</v>
      </c>
      <c r="AF953" s="0" t="s">
        <v>424</v>
      </c>
      <c r="AJ953" s="0" t="s">
        <v>63</v>
      </c>
      <c r="AL953" s="0" t="s">
        <v>50</v>
      </c>
      <c r="AM953" s="0" t="s">
        <v>64</v>
      </c>
      <c r="AN953" s="0" t="s">
        <v>50</v>
      </c>
    </row>
    <row r="954" customFormat="false" ht="15" hidden="false" customHeight="false" outlineLevel="0" collapsed="false">
      <c r="A954" s="1" t="n">
        <v>45717</v>
      </c>
      <c r="B954" s="0" t="s">
        <v>2193</v>
      </c>
      <c r="C954" s="0" t="s">
        <v>66</v>
      </c>
      <c r="D954" s="0" t="n">
        <v>8073904001</v>
      </c>
      <c r="E954" s="0" t="s">
        <v>122</v>
      </c>
      <c r="F954" s="0" t="s">
        <v>2194</v>
      </c>
      <c r="G954" s="0" t="s">
        <v>107</v>
      </c>
      <c r="I954" s="0" t="s">
        <v>142</v>
      </c>
      <c r="J954" s="0" t="s">
        <v>90</v>
      </c>
      <c r="K954" s="0" t="n">
        <v>98367</v>
      </c>
      <c r="L954" s="0" t="s">
        <v>91</v>
      </c>
      <c r="M954" s="0" t="s">
        <v>50</v>
      </c>
      <c r="N954" s="0" t="n">
        <v>2</v>
      </c>
      <c r="O954" s="0" t="n">
        <v>1.7</v>
      </c>
      <c r="Q954" s="0" t="s">
        <v>93</v>
      </c>
      <c r="R954" s="0" t="s">
        <v>74</v>
      </c>
      <c r="S954" s="0" t="s">
        <v>75</v>
      </c>
      <c r="U954" s="0" t="s">
        <v>112</v>
      </c>
      <c r="V954" s="0" t="s">
        <v>77</v>
      </c>
      <c r="W954" s="0" t="s">
        <v>113</v>
      </c>
      <c r="X954" s="0" t="s">
        <v>137</v>
      </c>
      <c r="Z954" s="0" t="s">
        <v>129</v>
      </c>
      <c r="AA954" s="0" t="s">
        <v>150</v>
      </c>
      <c r="AB954" s="0" t="n">
        <v>40000</v>
      </c>
      <c r="AC954" s="0" t="s">
        <v>50</v>
      </c>
      <c r="AD954" s="0" t="n">
        <v>0</v>
      </c>
      <c r="AE954" s="0" t="s">
        <v>184</v>
      </c>
      <c r="AF954" s="1" t="n">
        <v>45859</v>
      </c>
      <c r="AK954" s="0" t="s">
        <v>50</v>
      </c>
      <c r="AM954" s="0" t="s">
        <v>103</v>
      </c>
    </row>
    <row r="955" customFormat="false" ht="15" hidden="false" customHeight="false" outlineLevel="0" collapsed="false">
      <c r="A955" s="0" t="s">
        <v>371</v>
      </c>
      <c r="B955" s="0" t="s">
        <v>2195</v>
      </c>
      <c r="C955" s="0" t="s">
        <v>42</v>
      </c>
      <c r="D955" s="0" t="n">
        <v>8098360765</v>
      </c>
      <c r="E955" s="0" t="s">
        <v>67</v>
      </c>
      <c r="F955" s="0" t="s">
        <v>2196</v>
      </c>
      <c r="G955" s="0" t="s">
        <v>107</v>
      </c>
      <c r="I955" s="0" t="s">
        <v>189</v>
      </c>
      <c r="J955" s="0" t="s">
        <v>90</v>
      </c>
      <c r="K955" s="0" t="n">
        <v>115969</v>
      </c>
      <c r="L955" s="0" t="s">
        <v>72</v>
      </c>
      <c r="M955" s="0" t="s">
        <v>50</v>
      </c>
      <c r="N955" s="0" t="n">
        <v>3</v>
      </c>
      <c r="O955" s="0" t="n">
        <v>3.7</v>
      </c>
      <c r="P955" s="0" t="s">
        <v>111</v>
      </c>
      <c r="Q955" s="0" t="s">
        <v>93</v>
      </c>
      <c r="S955" s="0" t="s">
        <v>75</v>
      </c>
      <c r="T955" s="0" t="s">
        <v>127</v>
      </c>
      <c r="U955" s="0" t="s">
        <v>76</v>
      </c>
      <c r="V955" s="0" t="s">
        <v>155</v>
      </c>
      <c r="W955" s="0" t="s">
        <v>78</v>
      </c>
      <c r="X955" s="0" t="s">
        <v>99</v>
      </c>
      <c r="Y955" s="0" t="s">
        <v>197</v>
      </c>
      <c r="Z955" s="0" t="s">
        <v>161</v>
      </c>
      <c r="AA955" s="0" t="n">
        <v>25000</v>
      </c>
      <c r="AB955" s="0" t="n">
        <v>20000</v>
      </c>
      <c r="AC955" s="0" t="s">
        <v>50</v>
      </c>
      <c r="AD955" s="0" t="n">
        <v>0</v>
      </c>
      <c r="AE955" s="0" t="s">
        <v>80</v>
      </c>
      <c r="AG955" s="0" t="s">
        <v>61</v>
      </c>
      <c r="AH955" s="0" t="s">
        <v>116</v>
      </c>
      <c r="AI955" s="0" t="s">
        <v>172</v>
      </c>
      <c r="AJ955" s="0" t="s">
        <v>81</v>
      </c>
      <c r="AL955" s="0" t="s">
        <v>50</v>
      </c>
      <c r="AM955" s="0" t="s">
        <v>118</v>
      </c>
      <c r="AN955" s="0" t="s">
        <v>50</v>
      </c>
    </row>
    <row r="956" customFormat="false" ht="15" hidden="false" customHeight="false" outlineLevel="0" collapsed="false">
      <c r="A956" s="1" t="n">
        <v>45770</v>
      </c>
      <c r="B956" s="0" t="s">
        <v>2197</v>
      </c>
      <c r="C956" s="0" t="s">
        <v>105</v>
      </c>
      <c r="D956" s="0" t="n">
        <v>8023482938</v>
      </c>
      <c r="E956" s="0" t="s">
        <v>139</v>
      </c>
      <c r="F956" s="0" t="s">
        <v>2198</v>
      </c>
      <c r="G956" s="0" t="s">
        <v>134</v>
      </c>
      <c r="H956" s="0" t="s">
        <v>46</v>
      </c>
      <c r="I956" s="0" t="s">
        <v>189</v>
      </c>
      <c r="J956" s="0" t="s">
        <v>90</v>
      </c>
      <c r="K956" s="0" t="n">
        <v>100561</v>
      </c>
      <c r="L956" s="0" t="s">
        <v>166</v>
      </c>
      <c r="M956" s="0" t="s">
        <v>50</v>
      </c>
      <c r="N956" s="0" t="n">
        <v>5</v>
      </c>
      <c r="O956" s="0" t="n">
        <v>3.5</v>
      </c>
      <c r="P956" s="0" t="s">
        <v>125</v>
      </c>
      <c r="Q956" s="0" t="s">
        <v>52</v>
      </c>
      <c r="R956" s="0" t="s">
        <v>74</v>
      </c>
      <c r="S956" s="0" t="s">
        <v>54</v>
      </c>
      <c r="T956" s="0" t="n">
        <v>60</v>
      </c>
      <c r="U956" s="0" t="s">
        <v>55</v>
      </c>
      <c r="V956" s="0" t="s">
        <v>97</v>
      </c>
      <c r="W956" s="0" t="s">
        <v>98</v>
      </c>
      <c r="X956" s="0" t="s">
        <v>114</v>
      </c>
      <c r="Z956" s="0" t="s">
        <v>143</v>
      </c>
      <c r="AB956" s="0" t="n">
        <v>35000</v>
      </c>
      <c r="AC956" s="0" t="s">
        <v>50</v>
      </c>
      <c r="AD956" s="0" t="n">
        <v>5000</v>
      </c>
      <c r="AE956" s="0" t="s">
        <v>184</v>
      </c>
      <c r="AF956" s="1" t="n">
        <v>45727</v>
      </c>
      <c r="AG956" s="0" t="s">
        <v>50</v>
      </c>
      <c r="AJ956" s="0" t="s">
        <v>63</v>
      </c>
      <c r="AK956" s="0" t="s">
        <v>82</v>
      </c>
      <c r="AL956" s="0" t="s">
        <v>63</v>
      </c>
      <c r="AM956" s="0" t="s">
        <v>83</v>
      </c>
      <c r="AN956" s="0" t="s">
        <v>198</v>
      </c>
    </row>
    <row r="957" customFormat="false" ht="15" hidden="false" customHeight="false" outlineLevel="0" collapsed="false">
      <c r="A957" s="1" t="n">
        <v>45739</v>
      </c>
      <c r="B957" s="0" t="s">
        <v>2199</v>
      </c>
      <c r="C957" s="0" t="s">
        <v>42</v>
      </c>
      <c r="D957" s="0" t="n">
        <v>8061654839</v>
      </c>
      <c r="E957" s="0" t="s">
        <v>122</v>
      </c>
      <c r="F957" s="0" t="s">
        <v>2200</v>
      </c>
      <c r="G957" s="0" t="s">
        <v>87</v>
      </c>
      <c r="H957" s="0" t="s">
        <v>242</v>
      </c>
      <c r="I957" s="0" t="s">
        <v>47</v>
      </c>
      <c r="J957" s="0" t="s">
        <v>48</v>
      </c>
      <c r="K957" s="0" t="n">
        <v>82510</v>
      </c>
      <c r="L957" s="0" t="s">
        <v>166</v>
      </c>
      <c r="M957" s="0" t="s">
        <v>50</v>
      </c>
      <c r="N957" s="0" t="n">
        <v>5</v>
      </c>
      <c r="O957" s="0" t="n">
        <v>1.4</v>
      </c>
      <c r="P957" s="0" t="s">
        <v>51</v>
      </c>
      <c r="Q957" s="0" t="s">
        <v>73</v>
      </c>
      <c r="R957" s="0" t="s">
        <v>53</v>
      </c>
      <c r="S957" s="0" t="s">
        <v>75</v>
      </c>
      <c r="T957" s="0" t="n">
        <v>15</v>
      </c>
      <c r="U957" s="0" t="s">
        <v>112</v>
      </c>
      <c r="V957" s="0" t="s">
        <v>77</v>
      </c>
      <c r="W957" s="0" t="s">
        <v>78</v>
      </c>
      <c r="X957" s="0" t="s">
        <v>196</v>
      </c>
      <c r="Y957" s="0" t="s">
        <v>59</v>
      </c>
      <c r="Z957" s="0" t="s">
        <v>129</v>
      </c>
      <c r="AA957" s="0" t="n">
        <v>40000</v>
      </c>
      <c r="AB957" s="0" t="s">
        <v>178</v>
      </c>
      <c r="AC957" s="0" t="s">
        <v>50</v>
      </c>
      <c r="AE957" s="0" t="s">
        <v>130</v>
      </c>
      <c r="AF957" s="0" t="s">
        <v>1304</v>
      </c>
      <c r="AG957" s="0" t="s">
        <v>82</v>
      </c>
      <c r="AK957" s="0" t="s">
        <v>82</v>
      </c>
      <c r="AL957" s="0" t="s">
        <v>50</v>
      </c>
      <c r="AM957" s="0" t="s">
        <v>118</v>
      </c>
    </row>
    <row r="958" customFormat="false" ht="15" hidden="false" customHeight="false" outlineLevel="0" collapsed="false">
      <c r="A958" s="0" t="s">
        <v>687</v>
      </c>
      <c r="B958" s="0" t="s">
        <v>2201</v>
      </c>
      <c r="C958" s="0" t="s">
        <v>121</v>
      </c>
      <c r="D958" s="0" t="n">
        <v>8049441620</v>
      </c>
      <c r="E958" s="0" t="s">
        <v>139</v>
      </c>
      <c r="F958" s="0" t="s">
        <v>1652</v>
      </c>
      <c r="G958" s="0" t="s">
        <v>69</v>
      </c>
      <c r="H958" s="0" t="s">
        <v>272</v>
      </c>
      <c r="I958" s="0" t="s">
        <v>189</v>
      </c>
      <c r="J958" s="0" t="s">
        <v>90</v>
      </c>
      <c r="K958" s="0" t="n">
        <v>83162</v>
      </c>
      <c r="L958" s="0" t="s">
        <v>110</v>
      </c>
      <c r="M958" s="0" t="s">
        <v>63</v>
      </c>
      <c r="N958" s="0" t="n">
        <v>5</v>
      </c>
      <c r="O958" s="0" t="n">
        <v>2.3</v>
      </c>
      <c r="P958" s="0" t="s">
        <v>111</v>
      </c>
      <c r="Q958" s="0" t="s">
        <v>93</v>
      </c>
      <c r="S958" s="0" t="s">
        <v>167</v>
      </c>
      <c r="T958" s="0" t="n">
        <v>45</v>
      </c>
      <c r="U958" s="0" t="s">
        <v>96</v>
      </c>
      <c r="V958" s="0" t="s">
        <v>77</v>
      </c>
      <c r="W958" s="0" t="s">
        <v>78</v>
      </c>
      <c r="X958" s="0" t="s">
        <v>99</v>
      </c>
      <c r="Y958" s="0" t="s">
        <v>59</v>
      </c>
      <c r="Z958" s="0" t="s">
        <v>79</v>
      </c>
      <c r="AA958" s="0" t="n">
        <v>40000</v>
      </c>
      <c r="AC958" s="0" t="s">
        <v>61</v>
      </c>
      <c r="AD958" s="0" t="n">
        <v>0</v>
      </c>
      <c r="AE958" s="0" t="s">
        <v>60</v>
      </c>
      <c r="AJ958" s="0" t="s">
        <v>81</v>
      </c>
      <c r="AL958" s="0" t="s">
        <v>102</v>
      </c>
      <c r="AM958" s="0" t="s">
        <v>103</v>
      </c>
      <c r="AN958" s="0" t="s">
        <v>190</v>
      </c>
    </row>
    <row r="959" customFormat="false" ht="15" hidden="false" customHeight="false" outlineLevel="0" collapsed="false">
      <c r="A959" s="1" t="n">
        <v>45763</v>
      </c>
      <c r="B959" s="0" t="s">
        <v>2202</v>
      </c>
      <c r="C959" s="0" t="s">
        <v>42</v>
      </c>
      <c r="D959" s="0" t="n">
        <v>8091493489</v>
      </c>
      <c r="E959" s="0" t="s">
        <v>43</v>
      </c>
      <c r="F959" s="0" t="s">
        <v>2203</v>
      </c>
      <c r="G959" s="0" t="s">
        <v>87</v>
      </c>
      <c r="H959" s="0" t="s">
        <v>70</v>
      </c>
      <c r="I959" s="0" t="s">
        <v>47</v>
      </c>
      <c r="J959" s="0" t="s">
        <v>109</v>
      </c>
      <c r="K959" s="0" t="n">
        <v>39377</v>
      </c>
      <c r="L959" s="0" t="s">
        <v>110</v>
      </c>
      <c r="M959" s="0" t="s">
        <v>50</v>
      </c>
      <c r="N959" s="0" t="n">
        <v>5</v>
      </c>
      <c r="O959" s="0" t="n">
        <v>2.6</v>
      </c>
      <c r="Q959" s="0" t="s">
        <v>93</v>
      </c>
      <c r="R959" s="0" t="s">
        <v>159</v>
      </c>
      <c r="S959" s="0" t="s">
        <v>147</v>
      </c>
      <c r="T959" s="0" t="n">
        <v>60</v>
      </c>
      <c r="U959" s="0" t="s">
        <v>55</v>
      </c>
      <c r="V959" s="0" t="s">
        <v>97</v>
      </c>
      <c r="W959" s="0" t="s">
        <v>128</v>
      </c>
      <c r="X959" s="0" t="s">
        <v>114</v>
      </c>
      <c r="Z959" s="0" t="s">
        <v>79</v>
      </c>
      <c r="AA959" s="0" t="n">
        <v>15000</v>
      </c>
      <c r="AB959" s="0" t="n">
        <v>35000</v>
      </c>
      <c r="AD959" s="0" t="n">
        <v>10000</v>
      </c>
      <c r="AE959" s="0" t="s">
        <v>60</v>
      </c>
      <c r="AG959" s="0" t="s">
        <v>61</v>
      </c>
      <c r="AH959" s="0" t="s">
        <v>171</v>
      </c>
      <c r="AI959" s="0" t="s">
        <v>117</v>
      </c>
      <c r="AJ959" s="0" t="s">
        <v>62</v>
      </c>
      <c r="AL959" s="0" t="s">
        <v>63</v>
      </c>
      <c r="AN959" s="0" t="s">
        <v>190</v>
      </c>
    </row>
    <row r="960" customFormat="false" ht="15" hidden="false" customHeight="false" outlineLevel="0" collapsed="false">
      <c r="A960" s="1" t="n">
        <v>45699</v>
      </c>
      <c r="B960" s="0" t="s">
        <v>2204</v>
      </c>
      <c r="C960" s="0" t="s">
        <v>66</v>
      </c>
      <c r="D960" s="0" t="n">
        <v>8036182785</v>
      </c>
      <c r="E960" s="0" t="s">
        <v>122</v>
      </c>
      <c r="F960" s="0" t="s">
        <v>2205</v>
      </c>
      <c r="G960" s="0" t="s">
        <v>45</v>
      </c>
      <c r="H960" s="0" t="s">
        <v>272</v>
      </c>
      <c r="I960" s="0" t="s">
        <v>47</v>
      </c>
      <c r="J960" s="0" t="s">
        <v>71</v>
      </c>
      <c r="K960" s="0" t="n">
        <v>53687</v>
      </c>
      <c r="L960" s="0" t="s">
        <v>110</v>
      </c>
      <c r="M960" s="0" t="s">
        <v>63</v>
      </c>
      <c r="N960" s="0" t="n">
        <v>2</v>
      </c>
      <c r="O960" s="0" t="n">
        <v>1.7</v>
      </c>
      <c r="P960" s="0" t="s">
        <v>92</v>
      </c>
      <c r="Q960" s="0" t="s">
        <v>93</v>
      </c>
      <c r="R960" s="0" t="s">
        <v>159</v>
      </c>
      <c r="S960" s="0" t="s">
        <v>95</v>
      </c>
      <c r="T960" s="0" t="n">
        <v>60</v>
      </c>
      <c r="U960" s="0" t="s">
        <v>55</v>
      </c>
      <c r="V960" s="0" t="s">
        <v>155</v>
      </c>
      <c r="W960" s="0" t="s">
        <v>98</v>
      </c>
      <c r="X960" s="0" t="s">
        <v>196</v>
      </c>
      <c r="Y960" s="0" t="s">
        <v>197</v>
      </c>
      <c r="AA960" s="0" t="n">
        <v>40000</v>
      </c>
      <c r="AB960" s="0" t="n">
        <v>20000</v>
      </c>
      <c r="AC960" s="0" t="s">
        <v>82</v>
      </c>
      <c r="AD960" s="0" t="n">
        <v>10000</v>
      </c>
      <c r="AE960" s="0" t="s">
        <v>184</v>
      </c>
      <c r="AG960" s="0" t="s">
        <v>50</v>
      </c>
      <c r="AJ960" s="0" t="s">
        <v>62</v>
      </c>
      <c r="AK960" s="0" t="s">
        <v>50</v>
      </c>
      <c r="AL960" s="0" t="s">
        <v>50</v>
      </c>
      <c r="AM960" s="0" t="s">
        <v>83</v>
      </c>
    </row>
    <row r="961" customFormat="false" ht="15" hidden="false" customHeight="false" outlineLevel="0" collapsed="false">
      <c r="A961" s="1" t="n">
        <v>45812</v>
      </c>
      <c r="B961" s="0" t="s">
        <v>2206</v>
      </c>
      <c r="C961" s="0" t="s">
        <v>163</v>
      </c>
      <c r="D961" s="0" t="n">
        <v>8029214803</v>
      </c>
      <c r="E961" s="0" t="s">
        <v>122</v>
      </c>
      <c r="F961" s="0" t="s">
        <v>1650</v>
      </c>
      <c r="G961" s="0" t="s">
        <v>45</v>
      </c>
      <c r="H961" s="0" t="s">
        <v>153</v>
      </c>
      <c r="I961" s="0" t="s">
        <v>89</v>
      </c>
      <c r="J961" s="0" t="s">
        <v>109</v>
      </c>
      <c r="K961" s="0" t="n">
        <v>104747</v>
      </c>
      <c r="L961" s="0" t="s">
        <v>72</v>
      </c>
      <c r="M961" s="0" t="s">
        <v>50</v>
      </c>
      <c r="N961" s="0" t="n">
        <v>3</v>
      </c>
      <c r="O961" s="0" t="n">
        <v>2.1</v>
      </c>
      <c r="P961" s="0" t="s">
        <v>92</v>
      </c>
      <c r="Q961" s="0" t="s">
        <v>52</v>
      </c>
      <c r="S961" s="0" t="s">
        <v>147</v>
      </c>
      <c r="T961" s="0" t="n">
        <v>15</v>
      </c>
      <c r="U961" s="0" t="s">
        <v>55</v>
      </c>
      <c r="V961" s="0" t="s">
        <v>77</v>
      </c>
      <c r="W961" s="0" t="s">
        <v>78</v>
      </c>
      <c r="X961" s="0" t="s">
        <v>114</v>
      </c>
      <c r="Y961" s="0" t="s">
        <v>177</v>
      </c>
      <c r="Z961" s="0" t="s">
        <v>129</v>
      </c>
      <c r="AA961" s="0" t="n">
        <v>40000</v>
      </c>
      <c r="AB961" s="0" t="n">
        <v>30000</v>
      </c>
      <c r="AC961" s="0" t="s">
        <v>61</v>
      </c>
      <c r="AF961" s="1" t="n">
        <v>45850</v>
      </c>
      <c r="AG961" s="0" t="s">
        <v>61</v>
      </c>
      <c r="AI961" s="0" t="s">
        <v>101</v>
      </c>
      <c r="AJ961" s="0" t="s">
        <v>50</v>
      </c>
      <c r="AK961" s="0" t="s">
        <v>63</v>
      </c>
      <c r="AN961" s="0" t="s">
        <v>50</v>
      </c>
    </row>
    <row r="962" customFormat="false" ht="15" hidden="false" customHeight="false" outlineLevel="0" collapsed="false">
      <c r="A962" s="1" t="n">
        <v>45774</v>
      </c>
      <c r="B962" s="0" t="s">
        <v>2207</v>
      </c>
      <c r="C962" s="0" t="s">
        <v>121</v>
      </c>
      <c r="D962" s="0" t="n">
        <v>8079800523</v>
      </c>
      <c r="E962" s="0" t="s">
        <v>85</v>
      </c>
      <c r="F962" s="0" t="s">
        <v>2208</v>
      </c>
      <c r="G962" s="0" t="s">
        <v>45</v>
      </c>
      <c r="H962" s="0" t="s">
        <v>135</v>
      </c>
      <c r="I962" s="0" t="s">
        <v>89</v>
      </c>
      <c r="J962" s="0" t="s">
        <v>48</v>
      </c>
      <c r="K962" s="0" t="n">
        <v>59464</v>
      </c>
      <c r="L962" s="0" t="s">
        <v>91</v>
      </c>
      <c r="M962" s="0" t="s">
        <v>50</v>
      </c>
      <c r="N962" s="0" t="n">
        <v>3</v>
      </c>
      <c r="O962" s="0" t="n">
        <v>5.6</v>
      </c>
      <c r="Q962" s="0" t="s">
        <v>52</v>
      </c>
      <c r="S962" s="0" t="s">
        <v>126</v>
      </c>
      <c r="T962" s="0" t="n">
        <v>30</v>
      </c>
      <c r="U962" s="0" t="s">
        <v>112</v>
      </c>
      <c r="V962" s="0" t="s">
        <v>155</v>
      </c>
      <c r="W962" s="0" t="s">
        <v>113</v>
      </c>
      <c r="X962" s="0" t="s">
        <v>114</v>
      </c>
      <c r="Z962" s="0" t="s">
        <v>129</v>
      </c>
      <c r="AB962" s="0" t="n">
        <v>40000</v>
      </c>
      <c r="AD962" s="0" t="n">
        <v>0</v>
      </c>
      <c r="AE962" s="0" t="s">
        <v>184</v>
      </c>
      <c r="AF962" s="0" t="s">
        <v>2209</v>
      </c>
      <c r="AG962" s="0" t="s">
        <v>50</v>
      </c>
      <c r="AI962" s="0" t="s">
        <v>117</v>
      </c>
      <c r="AJ962" s="0" t="s">
        <v>63</v>
      </c>
      <c r="AK962" s="0" t="s">
        <v>50</v>
      </c>
      <c r="AM962" s="0" t="s">
        <v>118</v>
      </c>
      <c r="AN962" s="0" t="s">
        <v>198</v>
      </c>
    </row>
    <row r="963" customFormat="false" ht="15" hidden="false" customHeight="false" outlineLevel="0" collapsed="false">
      <c r="A963" s="1" t="n">
        <v>45822</v>
      </c>
      <c r="B963" s="0" t="s">
        <v>2210</v>
      </c>
      <c r="C963" s="0" t="s">
        <v>42</v>
      </c>
      <c r="D963" s="0" t="n">
        <v>8086758128</v>
      </c>
      <c r="E963" s="0" t="s">
        <v>122</v>
      </c>
      <c r="F963" s="0" t="s">
        <v>2211</v>
      </c>
      <c r="G963" s="0" t="s">
        <v>45</v>
      </c>
      <c r="H963" s="0" t="s">
        <v>242</v>
      </c>
      <c r="I963" s="0" t="s">
        <v>89</v>
      </c>
      <c r="K963" s="0" t="n">
        <v>56405</v>
      </c>
      <c r="L963" s="0" t="s">
        <v>110</v>
      </c>
      <c r="M963" s="0" t="s">
        <v>50</v>
      </c>
      <c r="N963" s="0" t="n">
        <v>2</v>
      </c>
      <c r="O963" s="0" t="n">
        <v>4.2</v>
      </c>
      <c r="P963" s="0" t="s">
        <v>92</v>
      </c>
      <c r="Q963" s="0" t="s">
        <v>73</v>
      </c>
      <c r="R963" s="0" t="s">
        <v>53</v>
      </c>
      <c r="S963" s="0" t="s">
        <v>95</v>
      </c>
      <c r="T963" s="0" t="n">
        <v>45</v>
      </c>
      <c r="U963" s="0" t="s">
        <v>160</v>
      </c>
      <c r="V963" s="0" t="s">
        <v>97</v>
      </c>
      <c r="W963" s="0" t="s">
        <v>98</v>
      </c>
      <c r="X963" s="0" t="s">
        <v>114</v>
      </c>
      <c r="Y963" s="0" t="s">
        <v>197</v>
      </c>
      <c r="Z963" s="0" t="s">
        <v>129</v>
      </c>
      <c r="AA963" s="0" t="n">
        <v>30000</v>
      </c>
      <c r="AB963" s="0" t="n">
        <v>30000</v>
      </c>
      <c r="AC963" s="0" t="s">
        <v>50</v>
      </c>
      <c r="AD963" s="0" t="n">
        <v>10000</v>
      </c>
      <c r="AE963" s="0" t="s">
        <v>130</v>
      </c>
      <c r="AF963" s="0" t="s">
        <v>970</v>
      </c>
      <c r="AJ963" s="0" t="s">
        <v>63</v>
      </c>
      <c r="AK963" s="0" t="s">
        <v>61</v>
      </c>
      <c r="AM963" s="0" t="s">
        <v>118</v>
      </c>
      <c r="AN963" s="0" t="s">
        <v>50</v>
      </c>
    </row>
    <row r="964" customFormat="false" ht="15" hidden="false" customHeight="false" outlineLevel="0" collapsed="false">
      <c r="A964" s="1" t="n">
        <v>45771</v>
      </c>
      <c r="B964" s="0" t="s">
        <v>2212</v>
      </c>
      <c r="C964" s="0" t="s">
        <v>42</v>
      </c>
      <c r="D964" s="0" t="n">
        <v>8077731180</v>
      </c>
      <c r="E964" s="0" t="s">
        <v>139</v>
      </c>
      <c r="F964" s="0" t="s">
        <v>547</v>
      </c>
      <c r="G964" s="0" t="s">
        <v>87</v>
      </c>
      <c r="H964" s="0" t="s">
        <v>153</v>
      </c>
      <c r="I964" s="0" t="s">
        <v>89</v>
      </c>
      <c r="J964" s="0" t="s">
        <v>109</v>
      </c>
      <c r="K964" s="0" t="n">
        <v>24025</v>
      </c>
      <c r="L964" s="0" t="s">
        <v>72</v>
      </c>
      <c r="M964" s="0" t="s">
        <v>63</v>
      </c>
      <c r="N964" s="0" t="n">
        <v>5</v>
      </c>
      <c r="O964" s="0" t="n">
        <v>2</v>
      </c>
      <c r="P964" s="0" t="s">
        <v>51</v>
      </c>
      <c r="Q964" s="0" t="s">
        <v>93</v>
      </c>
      <c r="R964" s="0" t="s">
        <v>53</v>
      </c>
      <c r="S964" s="0" t="s">
        <v>167</v>
      </c>
      <c r="T964" s="0" t="n">
        <v>30</v>
      </c>
      <c r="U964" s="0" t="s">
        <v>96</v>
      </c>
      <c r="V964" s="0" t="s">
        <v>56</v>
      </c>
      <c r="W964" s="0" t="s">
        <v>128</v>
      </c>
      <c r="X964" s="0" t="s">
        <v>58</v>
      </c>
      <c r="Y964" s="0" t="s">
        <v>59</v>
      </c>
      <c r="Z964" s="0" t="s">
        <v>149</v>
      </c>
      <c r="AA964" s="0" t="n">
        <v>15000</v>
      </c>
      <c r="AB964" s="0" t="n">
        <v>30000</v>
      </c>
      <c r="AD964" s="0" t="n">
        <v>10000</v>
      </c>
      <c r="AF964" s="1" t="n">
        <v>45929</v>
      </c>
      <c r="AH964" s="0" t="s">
        <v>116</v>
      </c>
      <c r="AJ964" s="0" t="s">
        <v>62</v>
      </c>
      <c r="AK964" s="0" t="s">
        <v>61</v>
      </c>
      <c r="AL964" s="0" t="s">
        <v>63</v>
      </c>
      <c r="AM964" s="0" t="s">
        <v>83</v>
      </c>
      <c r="AN964" s="0" t="s">
        <v>50</v>
      </c>
    </row>
    <row r="965" customFormat="false" ht="15" hidden="false" customHeight="false" outlineLevel="0" collapsed="false">
      <c r="A965" s="1" t="n">
        <v>45692</v>
      </c>
      <c r="B965" s="0" t="s">
        <v>2213</v>
      </c>
      <c r="C965" s="0" t="s">
        <v>42</v>
      </c>
      <c r="D965" s="0" t="n">
        <v>8014260842</v>
      </c>
      <c r="E965" s="0" t="s">
        <v>85</v>
      </c>
      <c r="F965" s="0" t="s">
        <v>2214</v>
      </c>
      <c r="G965" s="0" t="s">
        <v>134</v>
      </c>
      <c r="H965" s="0" t="s">
        <v>242</v>
      </c>
      <c r="I965" s="0" t="s">
        <v>142</v>
      </c>
      <c r="J965" s="0" t="s">
        <v>48</v>
      </c>
      <c r="K965" s="0" t="n">
        <v>112109</v>
      </c>
      <c r="L965" s="0" t="s">
        <v>49</v>
      </c>
      <c r="M965" s="0" t="s">
        <v>50</v>
      </c>
      <c r="N965" s="0" t="n">
        <v>3</v>
      </c>
      <c r="O965" s="0" t="n">
        <v>2.6</v>
      </c>
      <c r="P965" s="0" t="s">
        <v>125</v>
      </c>
      <c r="Q965" s="0" t="s">
        <v>93</v>
      </c>
      <c r="R965" s="0" t="s">
        <v>53</v>
      </c>
      <c r="S965" s="0" t="s">
        <v>95</v>
      </c>
      <c r="T965" s="0" t="s">
        <v>127</v>
      </c>
      <c r="U965" s="0" t="s">
        <v>96</v>
      </c>
      <c r="V965" s="0" t="s">
        <v>56</v>
      </c>
      <c r="W965" s="0" t="s">
        <v>113</v>
      </c>
      <c r="X965" s="0" t="s">
        <v>137</v>
      </c>
      <c r="Y965" s="0" t="s">
        <v>177</v>
      </c>
      <c r="Z965" s="0" t="s">
        <v>149</v>
      </c>
      <c r="AB965" s="0" t="n">
        <v>35000</v>
      </c>
      <c r="AC965" s="0" t="s">
        <v>63</v>
      </c>
      <c r="AD965" s="0" t="n">
        <v>5000</v>
      </c>
      <c r="AE965" s="0" t="s">
        <v>130</v>
      </c>
      <c r="AF965" s="1" t="n">
        <v>45972</v>
      </c>
      <c r="AG965" s="0" t="s">
        <v>50</v>
      </c>
      <c r="AH965" s="0" t="s">
        <v>116</v>
      </c>
      <c r="AI965" s="0" t="s">
        <v>117</v>
      </c>
      <c r="AJ965" s="0" t="s">
        <v>50</v>
      </c>
      <c r="AK965" s="0" t="s">
        <v>82</v>
      </c>
      <c r="AM965" s="0" t="s">
        <v>83</v>
      </c>
    </row>
    <row r="966" customFormat="false" ht="15" hidden="false" customHeight="false" outlineLevel="0" collapsed="false">
      <c r="A966" s="1" t="n">
        <v>45738</v>
      </c>
      <c r="B966" s="0" t="s">
        <v>2215</v>
      </c>
      <c r="C966" s="0" t="s">
        <v>163</v>
      </c>
      <c r="D966" s="0" t="n">
        <v>8027161260</v>
      </c>
      <c r="E966" s="0" t="s">
        <v>67</v>
      </c>
      <c r="F966" s="0" t="s">
        <v>2216</v>
      </c>
      <c r="G966" s="0" t="s">
        <v>87</v>
      </c>
      <c r="H966" s="0" t="s">
        <v>135</v>
      </c>
      <c r="I966" s="0" t="s">
        <v>154</v>
      </c>
      <c r="J966" s="0" t="s">
        <v>48</v>
      </c>
      <c r="K966" s="0" t="n">
        <v>70324</v>
      </c>
      <c r="L966" s="0" t="s">
        <v>124</v>
      </c>
      <c r="M966" s="0" t="s">
        <v>50</v>
      </c>
      <c r="O966" s="0" t="n">
        <v>5.8</v>
      </c>
      <c r="P966" s="0" t="s">
        <v>92</v>
      </c>
      <c r="Q966" s="0" t="s">
        <v>52</v>
      </c>
      <c r="R966" s="0" t="s">
        <v>94</v>
      </c>
      <c r="S966" s="0" t="s">
        <v>75</v>
      </c>
      <c r="T966" s="0" t="n">
        <v>15</v>
      </c>
      <c r="U966" s="0" t="s">
        <v>55</v>
      </c>
      <c r="V966" s="0" t="s">
        <v>148</v>
      </c>
      <c r="W966" s="0" t="s">
        <v>57</v>
      </c>
      <c r="X966" s="0" t="s">
        <v>99</v>
      </c>
      <c r="Y966" s="0" t="s">
        <v>177</v>
      </c>
      <c r="Z966" s="0" t="s">
        <v>143</v>
      </c>
      <c r="AA966" s="0" t="n">
        <v>15000</v>
      </c>
      <c r="AB966" s="0" t="n">
        <v>35000</v>
      </c>
      <c r="AC966" s="0" t="s">
        <v>82</v>
      </c>
      <c r="AD966" s="0" t="n">
        <v>5000</v>
      </c>
      <c r="AE966" s="0" t="s">
        <v>184</v>
      </c>
      <c r="AF966" s="1" t="n">
        <v>45845</v>
      </c>
      <c r="AG966" s="0" t="s">
        <v>50</v>
      </c>
      <c r="AH966" s="0" t="s">
        <v>171</v>
      </c>
      <c r="AJ966" s="0" t="s">
        <v>62</v>
      </c>
      <c r="AK966" s="0" t="s">
        <v>61</v>
      </c>
      <c r="AL966" s="0" t="s">
        <v>63</v>
      </c>
      <c r="AM966" s="0" t="s">
        <v>103</v>
      </c>
    </row>
    <row r="967" customFormat="false" ht="15" hidden="false" customHeight="false" outlineLevel="0" collapsed="false">
      <c r="A967" s="1" t="n">
        <v>45679</v>
      </c>
      <c r="B967" s="0" t="s">
        <v>2217</v>
      </c>
      <c r="C967" s="0" t="s">
        <v>42</v>
      </c>
      <c r="D967" s="0" t="n">
        <v>8076830369</v>
      </c>
      <c r="E967" s="0" t="s">
        <v>122</v>
      </c>
      <c r="F967" s="0" t="s">
        <v>2218</v>
      </c>
      <c r="G967" s="0" t="s">
        <v>134</v>
      </c>
      <c r="I967" s="0" t="s">
        <v>108</v>
      </c>
      <c r="J967" s="0" t="s">
        <v>109</v>
      </c>
      <c r="K967" s="0" t="n">
        <v>86157</v>
      </c>
      <c r="L967" s="0" t="s">
        <v>110</v>
      </c>
      <c r="M967" s="0" t="s">
        <v>63</v>
      </c>
      <c r="N967" s="0" t="n">
        <v>4</v>
      </c>
      <c r="O967" s="0" t="n">
        <v>2.1</v>
      </c>
      <c r="Q967" s="0" t="s">
        <v>52</v>
      </c>
      <c r="R967" s="0" t="s">
        <v>94</v>
      </c>
      <c r="S967" s="0" t="s">
        <v>167</v>
      </c>
      <c r="T967" s="0" t="n">
        <v>60</v>
      </c>
      <c r="U967" s="0" t="s">
        <v>160</v>
      </c>
      <c r="V967" s="0" t="s">
        <v>148</v>
      </c>
      <c r="W967" s="0" t="s">
        <v>98</v>
      </c>
      <c r="X967" s="0" t="s">
        <v>99</v>
      </c>
      <c r="AA967" s="0" t="n">
        <v>15000</v>
      </c>
      <c r="AB967" s="0" t="s">
        <v>178</v>
      </c>
      <c r="AC967" s="0" t="s">
        <v>82</v>
      </c>
      <c r="AD967" s="0" t="s">
        <v>115</v>
      </c>
      <c r="AE967" s="0" t="s">
        <v>60</v>
      </c>
      <c r="AF967" s="1" t="n">
        <v>45886</v>
      </c>
      <c r="AG967" s="0" t="s">
        <v>82</v>
      </c>
      <c r="AJ967" s="0" t="s">
        <v>50</v>
      </c>
      <c r="AK967" s="0" t="s">
        <v>50</v>
      </c>
      <c r="AL967" s="0" t="s">
        <v>50</v>
      </c>
      <c r="AM967" s="0" t="s">
        <v>64</v>
      </c>
    </row>
    <row r="968" customFormat="false" ht="15" hidden="false" customHeight="false" outlineLevel="0" collapsed="false">
      <c r="A968" s="1" t="n">
        <v>45810</v>
      </c>
      <c r="B968" s="0" t="s">
        <v>2219</v>
      </c>
      <c r="C968" s="0" t="s">
        <v>66</v>
      </c>
      <c r="D968" s="0" t="n">
        <v>8021689007</v>
      </c>
      <c r="E968" s="0" t="s">
        <v>67</v>
      </c>
      <c r="F968" s="0" t="s">
        <v>2220</v>
      </c>
      <c r="G968" s="0" t="s">
        <v>107</v>
      </c>
      <c r="I968" s="0" t="s">
        <v>142</v>
      </c>
      <c r="J968" s="0" t="s">
        <v>71</v>
      </c>
      <c r="K968" s="0" t="n">
        <v>114577</v>
      </c>
      <c r="L968" s="0" t="s">
        <v>166</v>
      </c>
      <c r="M968" s="0" t="s">
        <v>63</v>
      </c>
      <c r="O968" s="0" t="n">
        <v>6</v>
      </c>
      <c r="P968" s="0" t="s">
        <v>51</v>
      </c>
      <c r="Q968" s="0" t="s">
        <v>73</v>
      </c>
      <c r="S968" s="0" t="s">
        <v>167</v>
      </c>
      <c r="T968" s="0" t="n">
        <v>45</v>
      </c>
      <c r="U968" s="0" t="s">
        <v>76</v>
      </c>
      <c r="V968" s="0" t="s">
        <v>56</v>
      </c>
      <c r="W968" s="0" t="s">
        <v>57</v>
      </c>
      <c r="X968" s="0" t="s">
        <v>58</v>
      </c>
      <c r="Y968" s="0" t="s">
        <v>59</v>
      </c>
      <c r="Z968" s="0" t="s">
        <v>149</v>
      </c>
      <c r="AA968" s="0" t="n">
        <v>30000</v>
      </c>
      <c r="AB968" s="0" t="n">
        <v>20000</v>
      </c>
      <c r="AC968" s="0" t="s">
        <v>63</v>
      </c>
      <c r="AD968" s="0" t="n">
        <v>10000</v>
      </c>
      <c r="AE968" s="0" t="s">
        <v>60</v>
      </c>
      <c r="AG968" s="0" t="s">
        <v>61</v>
      </c>
      <c r="AJ968" s="0" t="s">
        <v>63</v>
      </c>
      <c r="AK968" s="0" t="s">
        <v>61</v>
      </c>
      <c r="AN968" s="0" t="s">
        <v>190</v>
      </c>
    </row>
    <row r="969" customFormat="false" ht="15" hidden="false" customHeight="false" outlineLevel="0" collapsed="false">
      <c r="A969" s="0" t="s">
        <v>2221</v>
      </c>
      <c r="B969" s="0" t="s">
        <v>2222</v>
      </c>
      <c r="C969" s="0" t="s">
        <v>121</v>
      </c>
      <c r="D969" s="0" t="n">
        <v>8050446284</v>
      </c>
      <c r="E969" s="0" t="s">
        <v>43</v>
      </c>
      <c r="F969" s="0" t="s">
        <v>2223</v>
      </c>
      <c r="G969" s="0" t="s">
        <v>87</v>
      </c>
      <c r="H969" s="0" t="s">
        <v>141</v>
      </c>
      <c r="I969" s="0" t="s">
        <v>47</v>
      </c>
      <c r="K969" s="0" t="n">
        <v>115488</v>
      </c>
      <c r="L969" s="0" t="s">
        <v>110</v>
      </c>
      <c r="M969" s="0" t="s">
        <v>50</v>
      </c>
      <c r="O969" s="0" t="n">
        <v>1.1</v>
      </c>
      <c r="P969" s="0" t="s">
        <v>125</v>
      </c>
      <c r="Q969" s="0" t="s">
        <v>52</v>
      </c>
      <c r="R969" s="0" t="s">
        <v>136</v>
      </c>
      <c r="S969" s="0" t="s">
        <v>147</v>
      </c>
      <c r="T969" s="0" t="n">
        <v>30</v>
      </c>
      <c r="U969" s="0" t="s">
        <v>76</v>
      </c>
      <c r="V969" s="0" t="s">
        <v>155</v>
      </c>
      <c r="W969" s="0" t="s">
        <v>98</v>
      </c>
      <c r="X969" s="0" t="s">
        <v>99</v>
      </c>
      <c r="Y969" s="0" t="s">
        <v>177</v>
      </c>
      <c r="Z969" s="0" t="s">
        <v>129</v>
      </c>
      <c r="AA969" s="0" t="n">
        <v>25000</v>
      </c>
      <c r="AB969" s="0" t="n">
        <v>20000</v>
      </c>
      <c r="AC969" s="0" t="s">
        <v>63</v>
      </c>
      <c r="AD969" s="0" t="s">
        <v>115</v>
      </c>
      <c r="AE969" s="0" t="s">
        <v>60</v>
      </c>
      <c r="AF969" s="1" t="n">
        <v>45871</v>
      </c>
      <c r="AG969" s="0" t="s">
        <v>63</v>
      </c>
      <c r="AH969" s="0" t="s">
        <v>171</v>
      </c>
      <c r="AJ969" s="0" t="s">
        <v>63</v>
      </c>
      <c r="AK969" s="0" t="s">
        <v>61</v>
      </c>
    </row>
    <row r="970" customFormat="false" ht="15" hidden="false" customHeight="false" outlineLevel="0" collapsed="false">
      <c r="A970" s="1" t="n">
        <v>45702</v>
      </c>
      <c r="B970" s="0" t="s">
        <v>2224</v>
      </c>
      <c r="C970" s="0" t="s">
        <v>121</v>
      </c>
      <c r="D970" s="0" t="n">
        <v>8083651529</v>
      </c>
      <c r="E970" s="0" t="s">
        <v>67</v>
      </c>
      <c r="F970" s="0" t="s">
        <v>2225</v>
      </c>
      <c r="G970" s="0" t="s">
        <v>134</v>
      </c>
      <c r="H970" s="0" t="s">
        <v>170</v>
      </c>
      <c r="I970" s="0" t="s">
        <v>154</v>
      </c>
      <c r="J970" s="0" t="s">
        <v>109</v>
      </c>
      <c r="K970" s="0" t="n">
        <v>96328</v>
      </c>
      <c r="L970" s="0" t="s">
        <v>91</v>
      </c>
      <c r="M970" s="0" t="s">
        <v>63</v>
      </c>
      <c r="N970" s="0" t="n">
        <v>1</v>
      </c>
      <c r="O970" s="0" t="n">
        <v>2.5</v>
      </c>
      <c r="P970" s="0" t="s">
        <v>125</v>
      </c>
      <c r="Q970" s="0" t="s">
        <v>52</v>
      </c>
      <c r="R970" s="0" t="s">
        <v>159</v>
      </c>
      <c r="S970" s="0" t="s">
        <v>54</v>
      </c>
      <c r="U970" s="0" t="s">
        <v>96</v>
      </c>
      <c r="V970" s="0" t="s">
        <v>155</v>
      </c>
      <c r="W970" s="0" t="s">
        <v>78</v>
      </c>
      <c r="X970" s="0" t="s">
        <v>58</v>
      </c>
      <c r="Y970" s="0" t="s">
        <v>177</v>
      </c>
      <c r="Z970" s="0" t="s">
        <v>143</v>
      </c>
      <c r="AF970" s="1" t="n">
        <v>45884</v>
      </c>
      <c r="AG970" s="0" t="s">
        <v>50</v>
      </c>
      <c r="AI970" s="0" t="s">
        <v>172</v>
      </c>
      <c r="AJ970" s="0" t="s">
        <v>81</v>
      </c>
      <c r="AL970" s="0" t="s">
        <v>50</v>
      </c>
      <c r="AM970" s="0" t="s">
        <v>64</v>
      </c>
      <c r="AN970" s="0" t="s">
        <v>63</v>
      </c>
    </row>
    <row r="971" customFormat="false" ht="15" hidden="false" customHeight="false" outlineLevel="0" collapsed="false">
      <c r="A971" s="1" t="n">
        <v>45809</v>
      </c>
      <c r="B971" s="0" t="s">
        <v>2226</v>
      </c>
      <c r="C971" s="0" t="s">
        <v>42</v>
      </c>
      <c r="D971" s="0" t="n">
        <v>8072653244</v>
      </c>
      <c r="E971" s="0" t="s">
        <v>122</v>
      </c>
      <c r="F971" s="0" t="s">
        <v>2227</v>
      </c>
      <c r="G971" s="0" t="s">
        <v>45</v>
      </c>
      <c r="H971" s="0" t="s">
        <v>153</v>
      </c>
      <c r="I971" s="0" t="s">
        <v>89</v>
      </c>
      <c r="J971" s="0" t="s">
        <v>109</v>
      </c>
      <c r="K971" s="0" t="n">
        <v>97821</v>
      </c>
      <c r="L971" s="0" t="s">
        <v>49</v>
      </c>
      <c r="M971" s="0" t="s">
        <v>50</v>
      </c>
      <c r="N971" s="0" t="n">
        <v>4</v>
      </c>
      <c r="O971" s="0" t="n">
        <v>1.8</v>
      </c>
      <c r="P971" s="0" t="s">
        <v>51</v>
      </c>
      <c r="Q971" s="0" t="s">
        <v>52</v>
      </c>
      <c r="R971" s="0" t="s">
        <v>136</v>
      </c>
      <c r="S971" s="0" t="s">
        <v>54</v>
      </c>
      <c r="T971" s="0" t="s">
        <v>127</v>
      </c>
      <c r="U971" s="0" t="s">
        <v>160</v>
      </c>
      <c r="V971" s="0" t="s">
        <v>148</v>
      </c>
      <c r="W971" s="0" t="s">
        <v>113</v>
      </c>
      <c r="X971" s="0" t="s">
        <v>58</v>
      </c>
      <c r="Y971" s="0" t="s">
        <v>156</v>
      </c>
      <c r="Z971" s="0" t="s">
        <v>129</v>
      </c>
      <c r="AA971" s="0" t="n">
        <v>15000</v>
      </c>
      <c r="AC971" s="0" t="s">
        <v>63</v>
      </c>
      <c r="AD971" s="0" t="n">
        <v>5000</v>
      </c>
      <c r="AG971" s="0" t="s">
        <v>82</v>
      </c>
      <c r="AI971" s="0" t="s">
        <v>101</v>
      </c>
      <c r="AJ971" s="0" t="s">
        <v>63</v>
      </c>
      <c r="AK971" s="0" t="s">
        <v>82</v>
      </c>
      <c r="AL971" s="0" t="s">
        <v>63</v>
      </c>
      <c r="AM971" s="0" t="s">
        <v>118</v>
      </c>
      <c r="AN971" s="0" t="s">
        <v>190</v>
      </c>
    </row>
    <row r="972" customFormat="false" ht="15" hidden="false" customHeight="false" outlineLevel="0" collapsed="false">
      <c r="A972" s="1" t="n">
        <v>45679</v>
      </c>
      <c r="B972" s="0" t="s">
        <v>2228</v>
      </c>
      <c r="C972" s="0" t="s">
        <v>163</v>
      </c>
      <c r="D972" s="0" t="n">
        <v>8032555671</v>
      </c>
      <c r="E972" s="0" t="s">
        <v>67</v>
      </c>
      <c r="F972" s="0" t="s">
        <v>1247</v>
      </c>
      <c r="G972" s="0" t="s">
        <v>87</v>
      </c>
      <c r="H972" s="0" t="s">
        <v>141</v>
      </c>
      <c r="I972" s="0" t="s">
        <v>108</v>
      </c>
      <c r="K972" s="0" t="n">
        <v>94040</v>
      </c>
      <c r="L972" s="0" t="s">
        <v>124</v>
      </c>
      <c r="M972" s="0" t="s">
        <v>50</v>
      </c>
      <c r="O972" s="0" t="n">
        <v>1.5</v>
      </c>
      <c r="P972" s="0" t="s">
        <v>51</v>
      </c>
      <c r="Q972" s="0" t="s">
        <v>93</v>
      </c>
      <c r="R972" s="0" t="s">
        <v>53</v>
      </c>
      <c r="S972" s="0" t="s">
        <v>126</v>
      </c>
      <c r="U972" s="0" t="s">
        <v>76</v>
      </c>
      <c r="V972" s="0" t="s">
        <v>56</v>
      </c>
      <c r="W972" s="0" t="s">
        <v>98</v>
      </c>
      <c r="X972" s="0" t="s">
        <v>196</v>
      </c>
      <c r="Z972" s="0" t="s">
        <v>79</v>
      </c>
      <c r="AA972" s="0" t="n">
        <v>40000</v>
      </c>
      <c r="AB972" s="0" t="n">
        <v>20000</v>
      </c>
      <c r="AC972" s="0" t="s">
        <v>63</v>
      </c>
      <c r="AD972" s="0" t="n">
        <v>0</v>
      </c>
      <c r="AE972" s="0" t="s">
        <v>80</v>
      </c>
      <c r="AF972" s="1" t="n">
        <v>45890</v>
      </c>
      <c r="AG972" s="0" t="s">
        <v>63</v>
      </c>
      <c r="AI972" s="0" t="s">
        <v>172</v>
      </c>
      <c r="AJ972" s="0" t="s">
        <v>62</v>
      </c>
      <c r="AM972" s="0" t="s">
        <v>64</v>
      </c>
      <c r="AN972" s="0" t="s">
        <v>50</v>
      </c>
    </row>
    <row r="973" customFormat="false" ht="15" hidden="false" customHeight="false" outlineLevel="0" collapsed="false">
      <c r="A973" s="1" t="n">
        <v>45758</v>
      </c>
      <c r="B973" s="0" t="s">
        <v>2229</v>
      </c>
      <c r="C973" s="0" t="s">
        <v>121</v>
      </c>
      <c r="D973" s="0" t="n">
        <v>8069899586</v>
      </c>
      <c r="E973" s="0" t="s">
        <v>122</v>
      </c>
      <c r="F973" s="0" t="s">
        <v>2230</v>
      </c>
      <c r="G973" s="0" t="s">
        <v>134</v>
      </c>
      <c r="H973" s="0" t="s">
        <v>135</v>
      </c>
      <c r="I973" s="0" t="s">
        <v>89</v>
      </c>
      <c r="J973" s="0" t="s">
        <v>71</v>
      </c>
      <c r="K973" s="0" t="n">
        <v>62187</v>
      </c>
      <c r="L973" s="0" t="s">
        <v>110</v>
      </c>
      <c r="M973" s="0" t="s">
        <v>63</v>
      </c>
      <c r="N973" s="0" t="n">
        <v>3</v>
      </c>
      <c r="O973" s="0" t="n">
        <v>4.9</v>
      </c>
      <c r="P973" s="0" t="s">
        <v>111</v>
      </c>
      <c r="Q973" s="0" t="s">
        <v>93</v>
      </c>
      <c r="S973" s="0" t="s">
        <v>54</v>
      </c>
      <c r="T973" s="0" t="n">
        <v>60</v>
      </c>
      <c r="U973" s="0" t="s">
        <v>160</v>
      </c>
      <c r="V973" s="0" t="s">
        <v>155</v>
      </c>
      <c r="W973" s="0" t="s">
        <v>128</v>
      </c>
      <c r="X973" s="0" t="s">
        <v>196</v>
      </c>
      <c r="Y973" s="0" t="s">
        <v>197</v>
      </c>
      <c r="Z973" s="0" t="s">
        <v>149</v>
      </c>
      <c r="AA973" s="0" t="s">
        <v>150</v>
      </c>
      <c r="AB973" s="0" t="n">
        <v>20000</v>
      </c>
      <c r="AD973" s="0" t="n">
        <v>10000</v>
      </c>
      <c r="AE973" s="0" t="s">
        <v>80</v>
      </c>
      <c r="AF973" s="0" t="s">
        <v>700</v>
      </c>
      <c r="AI973" s="0" t="s">
        <v>117</v>
      </c>
      <c r="AJ973" s="0" t="s">
        <v>81</v>
      </c>
      <c r="AK973" s="0" t="s">
        <v>63</v>
      </c>
      <c r="AL973" s="0" t="s">
        <v>63</v>
      </c>
      <c r="AM973" s="0" t="s">
        <v>103</v>
      </c>
      <c r="AN973" s="0" t="s">
        <v>50</v>
      </c>
    </row>
    <row r="974" customFormat="false" ht="15" hidden="false" customHeight="false" outlineLevel="0" collapsed="false">
      <c r="A974" s="1" t="n">
        <v>45800</v>
      </c>
      <c r="B974" s="0" t="s">
        <v>2231</v>
      </c>
      <c r="C974" s="0" t="s">
        <v>105</v>
      </c>
      <c r="D974" s="0" t="n">
        <v>8025526124</v>
      </c>
      <c r="E974" s="0" t="s">
        <v>122</v>
      </c>
      <c r="F974" s="0" t="s">
        <v>2232</v>
      </c>
      <c r="G974" s="0" t="s">
        <v>107</v>
      </c>
      <c r="H974" s="0" t="s">
        <v>176</v>
      </c>
      <c r="I974" s="0" t="s">
        <v>89</v>
      </c>
      <c r="J974" s="0" t="s">
        <v>109</v>
      </c>
      <c r="K974" s="0" t="n">
        <v>33819</v>
      </c>
      <c r="L974" s="0" t="s">
        <v>166</v>
      </c>
      <c r="M974" s="0" t="s">
        <v>50</v>
      </c>
      <c r="N974" s="0" t="n">
        <v>2</v>
      </c>
      <c r="O974" s="0" t="n">
        <v>5.8</v>
      </c>
      <c r="Q974" s="0" t="s">
        <v>73</v>
      </c>
      <c r="R974" s="0" t="s">
        <v>53</v>
      </c>
      <c r="S974" s="0" t="s">
        <v>54</v>
      </c>
      <c r="T974" s="0" t="n">
        <v>60</v>
      </c>
      <c r="U974" s="0" t="s">
        <v>160</v>
      </c>
      <c r="V974" s="0" t="s">
        <v>77</v>
      </c>
      <c r="W974" s="0" t="s">
        <v>128</v>
      </c>
      <c r="X974" s="0" t="s">
        <v>58</v>
      </c>
      <c r="Y974" s="0" t="s">
        <v>177</v>
      </c>
      <c r="Z974" s="0" t="s">
        <v>129</v>
      </c>
      <c r="AB974" s="0" t="n">
        <v>30000</v>
      </c>
      <c r="AC974" s="0" t="s">
        <v>63</v>
      </c>
      <c r="AE974" s="0" t="s">
        <v>80</v>
      </c>
      <c r="AF974" s="0" t="s">
        <v>1227</v>
      </c>
      <c r="AG974" s="0" t="s">
        <v>50</v>
      </c>
      <c r="AH974" s="0" t="s">
        <v>116</v>
      </c>
      <c r="AJ974" s="0" t="s">
        <v>63</v>
      </c>
      <c r="AK974" s="0" t="s">
        <v>82</v>
      </c>
      <c r="AN974" s="0" t="s">
        <v>50</v>
      </c>
    </row>
    <row r="975" customFormat="false" ht="15" hidden="false" customHeight="false" outlineLevel="0" collapsed="false">
      <c r="A975" s="1" t="n">
        <v>45814</v>
      </c>
      <c r="B975" s="0" t="s">
        <v>2233</v>
      </c>
      <c r="C975" s="0" t="s">
        <v>163</v>
      </c>
      <c r="D975" s="0" t="n">
        <v>8074715566</v>
      </c>
      <c r="E975" s="0" t="s">
        <v>85</v>
      </c>
      <c r="F975" s="0" t="s">
        <v>2234</v>
      </c>
      <c r="G975" s="0" t="s">
        <v>134</v>
      </c>
      <c r="H975" s="0" t="s">
        <v>141</v>
      </c>
      <c r="I975" s="0" t="s">
        <v>154</v>
      </c>
      <c r="J975" s="0" t="s">
        <v>109</v>
      </c>
      <c r="K975" s="0" t="n">
        <v>48384</v>
      </c>
      <c r="L975" s="0" t="s">
        <v>110</v>
      </c>
      <c r="M975" s="0" t="s">
        <v>63</v>
      </c>
      <c r="N975" s="0" t="n">
        <v>5</v>
      </c>
      <c r="O975" s="0" t="n">
        <v>3.8</v>
      </c>
      <c r="Q975" s="0" t="s">
        <v>73</v>
      </c>
      <c r="R975" s="0" t="s">
        <v>136</v>
      </c>
      <c r="S975" s="0" t="s">
        <v>95</v>
      </c>
      <c r="T975" s="0" t="n">
        <v>30</v>
      </c>
      <c r="U975" s="0" t="s">
        <v>112</v>
      </c>
      <c r="V975" s="0" t="s">
        <v>97</v>
      </c>
      <c r="W975" s="0" t="s">
        <v>78</v>
      </c>
      <c r="X975" s="0" t="s">
        <v>137</v>
      </c>
      <c r="Y975" s="0" t="s">
        <v>197</v>
      </c>
      <c r="Z975" s="0" t="s">
        <v>79</v>
      </c>
      <c r="AA975" s="0" t="n">
        <v>15000</v>
      </c>
      <c r="AB975" s="0" t="n">
        <v>35000</v>
      </c>
      <c r="AC975" s="0" t="s">
        <v>61</v>
      </c>
      <c r="AE975" s="0" t="s">
        <v>60</v>
      </c>
      <c r="AF975" s="0" t="s">
        <v>915</v>
      </c>
      <c r="AH975" s="0" t="s">
        <v>171</v>
      </c>
      <c r="AI975" s="0" t="s">
        <v>172</v>
      </c>
      <c r="AJ975" s="0" t="s">
        <v>62</v>
      </c>
      <c r="AK975" s="0" t="s">
        <v>50</v>
      </c>
      <c r="AN975" s="0" t="s">
        <v>190</v>
      </c>
    </row>
    <row r="976" customFormat="false" ht="15" hidden="false" customHeight="false" outlineLevel="0" collapsed="false">
      <c r="A976" s="1" t="n">
        <v>45725</v>
      </c>
      <c r="B976" s="0" t="s">
        <v>2235</v>
      </c>
      <c r="C976" s="0" t="s">
        <v>163</v>
      </c>
      <c r="D976" s="0" t="n">
        <v>8098938318</v>
      </c>
      <c r="E976" s="0" t="s">
        <v>139</v>
      </c>
      <c r="F976" s="0" t="s">
        <v>2236</v>
      </c>
      <c r="G976" s="0" t="s">
        <v>45</v>
      </c>
      <c r="H976" s="0" t="s">
        <v>70</v>
      </c>
      <c r="I976" s="0" t="s">
        <v>47</v>
      </c>
      <c r="J976" s="0" t="s">
        <v>71</v>
      </c>
      <c r="K976" s="0" t="n">
        <v>93885</v>
      </c>
      <c r="L976" s="0" t="s">
        <v>166</v>
      </c>
      <c r="M976" s="0" t="s">
        <v>63</v>
      </c>
      <c r="N976" s="0" t="n">
        <v>5</v>
      </c>
      <c r="O976" s="0" t="n">
        <v>2.7</v>
      </c>
      <c r="P976" s="0" t="s">
        <v>51</v>
      </c>
      <c r="Q976" s="0" t="s">
        <v>52</v>
      </c>
      <c r="R976" s="0" t="s">
        <v>159</v>
      </c>
      <c r="S976" s="0" t="s">
        <v>75</v>
      </c>
      <c r="T976" s="0" t="s">
        <v>127</v>
      </c>
      <c r="U976" s="0" t="s">
        <v>96</v>
      </c>
      <c r="V976" s="0" t="s">
        <v>77</v>
      </c>
      <c r="W976" s="0" t="s">
        <v>98</v>
      </c>
      <c r="X976" s="0" t="s">
        <v>58</v>
      </c>
      <c r="Z976" s="0" t="s">
        <v>79</v>
      </c>
      <c r="AA976" s="0" t="n">
        <v>30000</v>
      </c>
      <c r="AB976" s="0" t="n">
        <v>40000</v>
      </c>
      <c r="AD976" s="0" t="n">
        <v>0</v>
      </c>
      <c r="AE976" s="0" t="s">
        <v>60</v>
      </c>
      <c r="AF976" s="1" t="n">
        <v>45904</v>
      </c>
      <c r="AI976" s="0" t="s">
        <v>101</v>
      </c>
      <c r="AK976" s="0" t="s">
        <v>61</v>
      </c>
      <c r="AL976" s="0" t="s">
        <v>50</v>
      </c>
      <c r="AM976" s="0" t="s">
        <v>103</v>
      </c>
    </row>
    <row r="977" customFormat="false" ht="15" hidden="false" customHeight="false" outlineLevel="0" collapsed="false">
      <c r="A977" s="1" t="n">
        <v>45760</v>
      </c>
      <c r="B977" s="0" t="s">
        <v>2237</v>
      </c>
      <c r="C977" s="0" t="s">
        <v>42</v>
      </c>
      <c r="D977" s="0" t="n">
        <v>8082567218</v>
      </c>
      <c r="E977" s="0" t="s">
        <v>67</v>
      </c>
      <c r="F977" s="0" t="s">
        <v>2238</v>
      </c>
      <c r="G977" s="0" t="s">
        <v>107</v>
      </c>
      <c r="H977" s="0" t="s">
        <v>176</v>
      </c>
      <c r="I977" s="0" t="s">
        <v>47</v>
      </c>
      <c r="J977" s="0" t="s">
        <v>109</v>
      </c>
      <c r="K977" s="0" t="n">
        <v>15920</v>
      </c>
      <c r="L977" s="0" t="s">
        <v>91</v>
      </c>
      <c r="M977" s="0" t="s">
        <v>50</v>
      </c>
      <c r="N977" s="0" t="n">
        <v>1</v>
      </c>
      <c r="O977" s="0" t="n">
        <v>3.7</v>
      </c>
      <c r="P977" s="0" t="s">
        <v>125</v>
      </c>
      <c r="Q977" s="0" t="s">
        <v>93</v>
      </c>
      <c r="S977" s="0" t="s">
        <v>147</v>
      </c>
      <c r="T977" s="0" t="n">
        <v>60</v>
      </c>
      <c r="U977" s="0" t="s">
        <v>55</v>
      </c>
      <c r="V977" s="0" t="s">
        <v>56</v>
      </c>
      <c r="W977" s="0" t="s">
        <v>57</v>
      </c>
      <c r="X977" s="0" t="s">
        <v>137</v>
      </c>
      <c r="Y977" s="0" t="s">
        <v>197</v>
      </c>
      <c r="Z977" s="0" t="s">
        <v>161</v>
      </c>
      <c r="AB977" s="0" t="n">
        <v>40000</v>
      </c>
      <c r="AD977" s="0" t="n">
        <v>0</v>
      </c>
      <c r="AE977" s="0" t="s">
        <v>80</v>
      </c>
      <c r="AF977" s="0" t="s">
        <v>1437</v>
      </c>
      <c r="AG977" s="0" t="s">
        <v>61</v>
      </c>
      <c r="AI977" s="0" t="s">
        <v>101</v>
      </c>
      <c r="AJ977" s="0" t="s">
        <v>62</v>
      </c>
      <c r="AK977" s="0" t="s">
        <v>61</v>
      </c>
      <c r="AL977" s="0" t="s">
        <v>63</v>
      </c>
      <c r="AM977" s="0" t="s">
        <v>103</v>
      </c>
    </row>
    <row r="978" customFormat="false" ht="15" hidden="false" customHeight="false" outlineLevel="0" collapsed="false">
      <c r="A978" s="1" t="n">
        <v>45767</v>
      </c>
      <c r="B978" s="0" t="s">
        <v>2239</v>
      </c>
      <c r="C978" s="0" t="s">
        <v>121</v>
      </c>
      <c r="D978" s="0" t="n">
        <v>8042333267</v>
      </c>
      <c r="E978" s="0" t="s">
        <v>67</v>
      </c>
      <c r="F978" s="0" t="s">
        <v>2240</v>
      </c>
      <c r="G978" s="0" t="s">
        <v>134</v>
      </c>
      <c r="H978" s="0" t="s">
        <v>176</v>
      </c>
      <c r="I978" s="0" t="s">
        <v>108</v>
      </c>
      <c r="J978" s="0" t="s">
        <v>109</v>
      </c>
      <c r="K978" s="0" t="n">
        <v>89265</v>
      </c>
      <c r="L978" s="0" t="s">
        <v>49</v>
      </c>
      <c r="M978" s="0" t="s">
        <v>50</v>
      </c>
      <c r="N978" s="0" t="n">
        <v>4</v>
      </c>
      <c r="O978" s="0" t="n">
        <v>4.4</v>
      </c>
      <c r="P978" s="0" t="s">
        <v>125</v>
      </c>
      <c r="Q978" s="0" t="s">
        <v>93</v>
      </c>
      <c r="R978" s="0" t="s">
        <v>159</v>
      </c>
      <c r="S978" s="0" t="s">
        <v>95</v>
      </c>
      <c r="U978" s="0" t="s">
        <v>160</v>
      </c>
      <c r="V978" s="0" t="s">
        <v>148</v>
      </c>
      <c r="W978" s="0" t="s">
        <v>78</v>
      </c>
      <c r="X978" s="0" t="s">
        <v>196</v>
      </c>
      <c r="Y978" s="0" t="s">
        <v>156</v>
      </c>
      <c r="Z978" s="0" t="s">
        <v>129</v>
      </c>
      <c r="AA978" s="0" t="n">
        <v>40000</v>
      </c>
      <c r="AB978" s="0" t="n">
        <v>30000</v>
      </c>
      <c r="AC978" s="0" t="s">
        <v>82</v>
      </c>
      <c r="AD978" s="0" t="n">
        <v>0</v>
      </c>
      <c r="AF978" s="1" t="n">
        <v>45849</v>
      </c>
      <c r="AG978" s="0" t="s">
        <v>61</v>
      </c>
      <c r="AH978" s="0" t="s">
        <v>171</v>
      </c>
      <c r="AI978" s="0" t="s">
        <v>172</v>
      </c>
      <c r="AJ978" s="0" t="s">
        <v>63</v>
      </c>
      <c r="AK978" s="0" t="s">
        <v>61</v>
      </c>
      <c r="AL978" s="0" t="s">
        <v>63</v>
      </c>
      <c r="AM978" s="0" t="s">
        <v>83</v>
      </c>
      <c r="AN978" s="0" t="s">
        <v>50</v>
      </c>
    </row>
    <row r="979" customFormat="false" ht="15" hidden="false" customHeight="false" outlineLevel="0" collapsed="false">
      <c r="A979" s="1" t="n">
        <v>45701</v>
      </c>
      <c r="B979" s="0" t="s">
        <v>2241</v>
      </c>
      <c r="C979" s="0" t="s">
        <v>121</v>
      </c>
      <c r="D979" s="0" t="n">
        <v>8042662689</v>
      </c>
      <c r="E979" s="0" t="s">
        <v>139</v>
      </c>
      <c r="F979" s="0" t="s">
        <v>2242</v>
      </c>
      <c r="G979" s="0" t="s">
        <v>107</v>
      </c>
      <c r="H979" s="0" t="s">
        <v>242</v>
      </c>
      <c r="I979" s="0" t="s">
        <v>154</v>
      </c>
      <c r="K979" s="0" t="n">
        <v>65264</v>
      </c>
      <c r="L979" s="0" t="s">
        <v>124</v>
      </c>
      <c r="M979" s="0" t="s">
        <v>50</v>
      </c>
      <c r="N979" s="0" t="n">
        <v>3</v>
      </c>
      <c r="O979" s="0" t="n">
        <v>5.7</v>
      </c>
      <c r="Q979" s="0" t="s">
        <v>73</v>
      </c>
      <c r="S979" s="0" t="s">
        <v>126</v>
      </c>
      <c r="T979" s="0" t="n">
        <v>45</v>
      </c>
      <c r="U979" s="0" t="s">
        <v>160</v>
      </c>
      <c r="V979" s="0" t="s">
        <v>148</v>
      </c>
      <c r="W979" s="0" t="s">
        <v>78</v>
      </c>
      <c r="X979" s="0" t="s">
        <v>137</v>
      </c>
      <c r="AA979" s="0" t="n">
        <v>40000</v>
      </c>
      <c r="AB979" s="0" t="n">
        <v>35000</v>
      </c>
      <c r="AC979" s="0" t="s">
        <v>82</v>
      </c>
      <c r="AE979" s="0" t="s">
        <v>130</v>
      </c>
      <c r="AF979" s="1" t="n">
        <v>45849</v>
      </c>
      <c r="AG979" s="0" t="s">
        <v>50</v>
      </c>
      <c r="AH979" s="0" t="s">
        <v>171</v>
      </c>
      <c r="AI979" s="0" t="s">
        <v>117</v>
      </c>
      <c r="AJ979" s="0" t="s">
        <v>81</v>
      </c>
      <c r="AL979" s="0" t="s">
        <v>102</v>
      </c>
      <c r="AM979" s="0" t="s">
        <v>83</v>
      </c>
    </row>
    <row r="980" customFormat="false" ht="15" hidden="false" customHeight="false" outlineLevel="0" collapsed="false">
      <c r="A980" s="1" t="n">
        <v>45748</v>
      </c>
      <c r="B980" s="0" t="s">
        <v>2243</v>
      </c>
      <c r="C980" s="0" t="s">
        <v>121</v>
      </c>
      <c r="D980" s="0" t="n">
        <v>8038405950</v>
      </c>
      <c r="E980" s="0" t="s">
        <v>67</v>
      </c>
      <c r="F980" s="0" t="s">
        <v>497</v>
      </c>
      <c r="G980" s="0" t="s">
        <v>87</v>
      </c>
      <c r="H980" s="0" t="s">
        <v>135</v>
      </c>
      <c r="I980" s="0" t="s">
        <v>189</v>
      </c>
      <c r="J980" s="0" t="s">
        <v>109</v>
      </c>
      <c r="K980" s="0" t="n">
        <v>102013</v>
      </c>
      <c r="L980" s="0" t="s">
        <v>110</v>
      </c>
      <c r="M980" s="0" t="s">
        <v>63</v>
      </c>
      <c r="O980" s="0" t="n">
        <v>4.1</v>
      </c>
      <c r="P980" s="0" t="s">
        <v>111</v>
      </c>
      <c r="Q980" s="0" t="s">
        <v>52</v>
      </c>
      <c r="R980" s="0" t="s">
        <v>94</v>
      </c>
      <c r="S980" s="0" t="s">
        <v>75</v>
      </c>
      <c r="T980" s="0" t="n">
        <v>45</v>
      </c>
      <c r="U980" s="0" t="s">
        <v>55</v>
      </c>
      <c r="V980" s="0" t="s">
        <v>148</v>
      </c>
      <c r="W980" s="0" t="s">
        <v>57</v>
      </c>
      <c r="X980" s="0" t="s">
        <v>58</v>
      </c>
      <c r="Y980" s="0" t="s">
        <v>156</v>
      </c>
      <c r="Z980" s="0" t="s">
        <v>143</v>
      </c>
      <c r="AC980" s="0" t="s">
        <v>63</v>
      </c>
      <c r="AD980" s="0" t="s">
        <v>115</v>
      </c>
      <c r="AE980" s="0" t="s">
        <v>184</v>
      </c>
      <c r="AF980" s="1" t="n">
        <v>45724</v>
      </c>
      <c r="AH980" s="0" t="s">
        <v>116</v>
      </c>
      <c r="AK980" s="0" t="s">
        <v>50</v>
      </c>
      <c r="AL980" s="0" t="s">
        <v>102</v>
      </c>
      <c r="AN980" s="0" t="s">
        <v>190</v>
      </c>
    </row>
    <row r="981" customFormat="false" ht="15" hidden="false" customHeight="false" outlineLevel="0" collapsed="false">
      <c r="A981" s="1" t="n">
        <v>45774</v>
      </c>
      <c r="B981" s="0" t="s">
        <v>2244</v>
      </c>
      <c r="C981" s="0" t="s">
        <v>121</v>
      </c>
      <c r="D981" s="0" t="n">
        <v>8032875131</v>
      </c>
      <c r="E981" s="0" t="s">
        <v>85</v>
      </c>
      <c r="F981" s="0" t="s">
        <v>2245</v>
      </c>
      <c r="G981" s="0" t="s">
        <v>87</v>
      </c>
      <c r="H981" s="0" t="s">
        <v>135</v>
      </c>
      <c r="I981" s="0" t="s">
        <v>89</v>
      </c>
      <c r="J981" s="0" t="s">
        <v>71</v>
      </c>
      <c r="K981" s="0" t="n">
        <v>93840</v>
      </c>
      <c r="L981" s="0" t="s">
        <v>72</v>
      </c>
      <c r="M981" s="0" t="s">
        <v>50</v>
      </c>
      <c r="N981" s="0" t="n">
        <v>4</v>
      </c>
      <c r="O981" s="0" t="n">
        <v>4.9</v>
      </c>
      <c r="Q981" s="0" t="s">
        <v>52</v>
      </c>
      <c r="S981" s="0" t="s">
        <v>167</v>
      </c>
      <c r="T981" s="0" t="n">
        <v>45</v>
      </c>
      <c r="U981" s="0" t="s">
        <v>112</v>
      </c>
      <c r="V981" s="0" t="s">
        <v>56</v>
      </c>
      <c r="W981" s="0" t="s">
        <v>78</v>
      </c>
      <c r="X981" s="0" t="s">
        <v>99</v>
      </c>
      <c r="Y981" s="0" t="s">
        <v>59</v>
      </c>
      <c r="Z981" s="0" t="s">
        <v>79</v>
      </c>
      <c r="AA981" s="0" t="s">
        <v>150</v>
      </c>
      <c r="AB981" s="0" t="n">
        <v>40000</v>
      </c>
      <c r="AC981" s="0" t="s">
        <v>82</v>
      </c>
      <c r="AD981" s="0" t="n">
        <v>0</v>
      </c>
      <c r="AE981" s="0" t="s">
        <v>60</v>
      </c>
      <c r="AF981" s="1" t="n">
        <v>45940</v>
      </c>
      <c r="AJ981" s="0" t="s">
        <v>63</v>
      </c>
      <c r="AK981" s="0" t="s">
        <v>50</v>
      </c>
      <c r="AN981" s="0" t="s">
        <v>198</v>
      </c>
    </row>
    <row r="982" customFormat="false" ht="15" hidden="false" customHeight="false" outlineLevel="0" collapsed="false">
      <c r="A982" s="0" t="s">
        <v>1408</v>
      </c>
      <c r="B982" s="0" t="s">
        <v>2246</v>
      </c>
      <c r="C982" s="0" t="s">
        <v>163</v>
      </c>
      <c r="D982" s="0" t="n">
        <v>8098549488</v>
      </c>
      <c r="E982" s="0" t="s">
        <v>43</v>
      </c>
      <c r="F982" s="0" t="s">
        <v>1826</v>
      </c>
      <c r="G982" s="0" t="s">
        <v>134</v>
      </c>
      <c r="H982" s="0" t="s">
        <v>170</v>
      </c>
      <c r="I982" s="0" t="s">
        <v>108</v>
      </c>
      <c r="J982" s="0" t="s">
        <v>48</v>
      </c>
      <c r="K982" s="0" t="n">
        <v>47098</v>
      </c>
      <c r="L982" s="0" t="s">
        <v>49</v>
      </c>
      <c r="M982" s="0" t="s">
        <v>50</v>
      </c>
      <c r="N982" s="0" t="n">
        <v>2</v>
      </c>
      <c r="O982" s="0" t="n">
        <v>5.9</v>
      </c>
      <c r="P982" s="0" t="s">
        <v>51</v>
      </c>
      <c r="Q982" s="0" t="s">
        <v>93</v>
      </c>
      <c r="R982" s="0" t="s">
        <v>159</v>
      </c>
      <c r="S982" s="0" t="s">
        <v>75</v>
      </c>
      <c r="U982" s="0" t="s">
        <v>96</v>
      </c>
      <c r="V982" s="0" t="s">
        <v>148</v>
      </c>
      <c r="W982" s="0" t="s">
        <v>57</v>
      </c>
      <c r="X982" s="0" t="s">
        <v>114</v>
      </c>
      <c r="AA982" s="0" t="s">
        <v>150</v>
      </c>
      <c r="AB982" s="0" t="n">
        <v>35000</v>
      </c>
      <c r="AC982" s="0" t="s">
        <v>50</v>
      </c>
      <c r="AD982" s="0" t="s">
        <v>115</v>
      </c>
      <c r="AE982" s="0" t="s">
        <v>60</v>
      </c>
      <c r="AG982" s="0" t="s">
        <v>82</v>
      </c>
      <c r="AH982" s="0" t="s">
        <v>116</v>
      </c>
      <c r="AJ982" s="0" t="s">
        <v>63</v>
      </c>
      <c r="AK982" s="0" t="s">
        <v>63</v>
      </c>
      <c r="AL982" s="0" t="s">
        <v>50</v>
      </c>
      <c r="AN982" s="0" t="s">
        <v>50</v>
      </c>
    </row>
    <row r="983" customFormat="false" ht="15" hidden="false" customHeight="false" outlineLevel="0" collapsed="false">
      <c r="A983" s="1" t="n">
        <v>45873</v>
      </c>
      <c r="B983" s="0" t="s">
        <v>2247</v>
      </c>
      <c r="C983" s="0" t="s">
        <v>163</v>
      </c>
      <c r="D983" s="0" t="n">
        <v>8022003335</v>
      </c>
      <c r="E983" s="0" t="s">
        <v>139</v>
      </c>
      <c r="F983" s="0" t="s">
        <v>2248</v>
      </c>
      <c r="G983" s="0" t="s">
        <v>87</v>
      </c>
      <c r="H983" s="0" t="s">
        <v>46</v>
      </c>
      <c r="I983" s="0" t="s">
        <v>142</v>
      </c>
      <c r="K983" s="0" t="n">
        <v>119456</v>
      </c>
      <c r="L983" s="0" t="s">
        <v>49</v>
      </c>
      <c r="M983" s="0" t="s">
        <v>63</v>
      </c>
      <c r="N983" s="0" t="n">
        <v>5</v>
      </c>
      <c r="O983" s="0" t="n">
        <v>2.7</v>
      </c>
      <c r="P983" s="0" t="s">
        <v>111</v>
      </c>
      <c r="Q983" s="0" t="s">
        <v>93</v>
      </c>
      <c r="R983" s="0" t="s">
        <v>74</v>
      </c>
      <c r="S983" s="0" t="s">
        <v>95</v>
      </c>
      <c r="U983" s="0" t="s">
        <v>76</v>
      </c>
      <c r="V983" s="0" t="s">
        <v>56</v>
      </c>
      <c r="W983" s="0" t="s">
        <v>57</v>
      </c>
      <c r="X983" s="0" t="s">
        <v>196</v>
      </c>
      <c r="Z983" s="0" t="s">
        <v>149</v>
      </c>
      <c r="AA983" s="0" t="n">
        <v>15000</v>
      </c>
      <c r="AB983" s="0" t="s">
        <v>178</v>
      </c>
      <c r="AC983" s="0" t="s">
        <v>50</v>
      </c>
      <c r="AD983" s="0" t="n">
        <v>10000</v>
      </c>
      <c r="AE983" s="0" t="s">
        <v>60</v>
      </c>
      <c r="AF983" s="1" t="n">
        <v>45877</v>
      </c>
      <c r="AG983" s="0" t="s">
        <v>61</v>
      </c>
      <c r="AH983" s="0" t="s">
        <v>171</v>
      </c>
      <c r="AJ983" s="0" t="s">
        <v>50</v>
      </c>
      <c r="AK983" s="0" t="s">
        <v>50</v>
      </c>
      <c r="AL983" s="0" t="s">
        <v>63</v>
      </c>
      <c r="AM983" s="0" t="s">
        <v>64</v>
      </c>
      <c r="AN983" s="0" t="s">
        <v>50</v>
      </c>
    </row>
    <row r="984" customFormat="false" ht="15" hidden="false" customHeight="false" outlineLevel="0" collapsed="false">
      <c r="A984" s="1" t="n">
        <v>45722</v>
      </c>
      <c r="B984" s="0" t="s">
        <v>2249</v>
      </c>
      <c r="C984" s="0" t="s">
        <v>42</v>
      </c>
      <c r="D984" s="0" t="n">
        <v>8024155900</v>
      </c>
      <c r="E984" s="0" t="s">
        <v>139</v>
      </c>
      <c r="F984" s="0" t="s">
        <v>1551</v>
      </c>
      <c r="G984" s="0" t="s">
        <v>134</v>
      </c>
      <c r="H984" s="0" t="s">
        <v>153</v>
      </c>
      <c r="I984" s="0" t="s">
        <v>108</v>
      </c>
      <c r="J984" s="0" t="s">
        <v>71</v>
      </c>
      <c r="K984" s="0" t="n">
        <v>89930</v>
      </c>
      <c r="L984" s="0" t="s">
        <v>110</v>
      </c>
      <c r="M984" s="0" t="s">
        <v>63</v>
      </c>
      <c r="N984" s="0" t="n">
        <v>4</v>
      </c>
      <c r="O984" s="0" t="n">
        <v>1.1</v>
      </c>
      <c r="P984" s="0" t="s">
        <v>125</v>
      </c>
      <c r="Q984" s="0" t="s">
        <v>93</v>
      </c>
      <c r="R984" s="0" t="s">
        <v>94</v>
      </c>
      <c r="S984" s="0" t="s">
        <v>95</v>
      </c>
      <c r="T984" s="0" t="n">
        <v>30</v>
      </c>
      <c r="U984" s="0" t="s">
        <v>160</v>
      </c>
      <c r="V984" s="0" t="s">
        <v>77</v>
      </c>
      <c r="W984" s="0" t="s">
        <v>113</v>
      </c>
      <c r="X984" s="0" t="s">
        <v>137</v>
      </c>
      <c r="Y984" s="0" t="s">
        <v>197</v>
      </c>
      <c r="Z984" s="0" t="s">
        <v>79</v>
      </c>
      <c r="AA984" s="0" t="n">
        <v>25000</v>
      </c>
      <c r="AB984" s="0" t="n">
        <v>20000</v>
      </c>
      <c r="AC984" s="0" t="s">
        <v>82</v>
      </c>
      <c r="AD984" s="0" t="s">
        <v>115</v>
      </c>
      <c r="AG984" s="0" t="s">
        <v>82</v>
      </c>
      <c r="AH984" s="0" t="s">
        <v>116</v>
      </c>
      <c r="AI984" s="0" t="s">
        <v>101</v>
      </c>
      <c r="AJ984" s="0" t="s">
        <v>81</v>
      </c>
      <c r="AK984" s="0" t="s">
        <v>63</v>
      </c>
      <c r="AM984" s="0" t="s">
        <v>64</v>
      </c>
    </row>
    <row r="985" customFormat="false" ht="15" hidden="false" customHeight="false" outlineLevel="0" collapsed="false">
      <c r="A985" s="0" t="s">
        <v>788</v>
      </c>
      <c r="B985" s="0" t="s">
        <v>2250</v>
      </c>
      <c r="C985" s="0" t="s">
        <v>66</v>
      </c>
      <c r="D985" s="0" t="n">
        <v>8068370404</v>
      </c>
      <c r="E985" s="0" t="s">
        <v>43</v>
      </c>
      <c r="F985" s="0" t="s">
        <v>2251</v>
      </c>
      <c r="G985" s="0" t="s">
        <v>87</v>
      </c>
      <c r="H985" s="0" t="s">
        <v>70</v>
      </c>
      <c r="I985" s="0" t="s">
        <v>108</v>
      </c>
      <c r="J985" s="0" t="s">
        <v>71</v>
      </c>
      <c r="K985" s="0" t="n">
        <v>59324</v>
      </c>
      <c r="L985" s="0" t="s">
        <v>110</v>
      </c>
      <c r="M985" s="0" t="s">
        <v>50</v>
      </c>
      <c r="N985" s="0" t="n">
        <v>4</v>
      </c>
      <c r="O985" s="0" t="n">
        <v>4.3</v>
      </c>
      <c r="Q985" s="0" t="s">
        <v>73</v>
      </c>
      <c r="R985" s="0" t="s">
        <v>94</v>
      </c>
      <c r="S985" s="0" t="s">
        <v>95</v>
      </c>
      <c r="T985" s="0" t="n">
        <v>45</v>
      </c>
      <c r="U985" s="0" t="s">
        <v>96</v>
      </c>
      <c r="V985" s="0" t="s">
        <v>148</v>
      </c>
      <c r="W985" s="0" t="s">
        <v>78</v>
      </c>
      <c r="X985" s="0" t="s">
        <v>196</v>
      </c>
      <c r="Y985" s="0" t="s">
        <v>177</v>
      </c>
      <c r="AA985" s="0" t="n">
        <v>15000</v>
      </c>
      <c r="AB985" s="0" t="n">
        <v>30000</v>
      </c>
      <c r="AC985" s="0" t="s">
        <v>61</v>
      </c>
      <c r="AE985" s="0" t="s">
        <v>130</v>
      </c>
      <c r="AH985" s="0" t="s">
        <v>116</v>
      </c>
      <c r="AI985" s="0" t="s">
        <v>101</v>
      </c>
      <c r="AJ985" s="0" t="s">
        <v>50</v>
      </c>
      <c r="AK985" s="0" t="s">
        <v>61</v>
      </c>
      <c r="AL985" s="0" t="s">
        <v>50</v>
      </c>
      <c r="AM985" s="0" t="s">
        <v>118</v>
      </c>
      <c r="AN985" s="0" t="s">
        <v>198</v>
      </c>
    </row>
    <row r="986" customFormat="false" ht="15" hidden="false" customHeight="false" outlineLevel="0" collapsed="false">
      <c r="A986" s="1" t="n">
        <v>45870</v>
      </c>
      <c r="B986" s="0" t="s">
        <v>2252</v>
      </c>
      <c r="C986" s="0" t="s">
        <v>42</v>
      </c>
      <c r="D986" s="0" t="n">
        <v>8013922081</v>
      </c>
      <c r="E986" s="0" t="s">
        <v>139</v>
      </c>
      <c r="F986" s="0" t="s">
        <v>2253</v>
      </c>
      <c r="G986" s="0" t="s">
        <v>134</v>
      </c>
      <c r="H986" s="0" t="s">
        <v>70</v>
      </c>
      <c r="I986" s="0" t="s">
        <v>47</v>
      </c>
      <c r="J986" s="0" t="s">
        <v>90</v>
      </c>
      <c r="K986" s="0" t="n">
        <v>60296</v>
      </c>
      <c r="L986" s="0" t="s">
        <v>124</v>
      </c>
      <c r="M986" s="0" t="s">
        <v>63</v>
      </c>
      <c r="N986" s="0" t="n">
        <v>5</v>
      </c>
      <c r="O986" s="0" t="n">
        <v>5.5</v>
      </c>
      <c r="P986" s="0" t="s">
        <v>92</v>
      </c>
      <c r="Q986" s="0" t="s">
        <v>93</v>
      </c>
      <c r="R986" s="0" t="s">
        <v>94</v>
      </c>
      <c r="S986" s="0" t="s">
        <v>126</v>
      </c>
      <c r="T986" s="0" t="n">
        <v>15</v>
      </c>
      <c r="U986" s="0" t="s">
        <v>76</v>
      </c>
      <c r="V986" s="0" t="s">
        <v>97</v>
      </c>
      <c r="W986" s="0" t="s">
        <v>98</v>
      </c>
      <c r="X986" s="0" t="s">
        <v>58</v>
      </c>
      <c r="Y986" s="0" t="s">
        <v>177</v>
      </c>
      <c r="Z986" s="0" t="s">
        <v>161</v>
      </c>
      <c r="AA986" s="0" t="n">
        <v>40000</v>
      </c>
      <c r="AB986" s="0" t="n">
        <v>30000</v>
      </c>
      <c r="AC986" s="0" t="s">
        <v>61</v>
      </c>
      <c r="AD986" s="0" t="n">
        <v>0</v>
      </c>
      <c r="AE986" s="0" t="s">
        <v>130</v>
      </c>
      <c r="AG986" s="0" t="s">
        <v>82</v>
      </c>
      <c r="AI986" s="0" t="s">
        <v>117</v>
      </c>
      <c r="AJ986" s="0" t="s">
        <v>62</v>
      </c>
      <c r="AK986" s="0" t="s">
        <v>63</v>
      </c>
      <c r="AL986" s="0" t="s">
        <v>63</v>
      </c>
      <c r="AM986" s="0" t="s">
        <v>118</v>
      </c>
      <c r="AN986" s="0" t="s">
        <v>50</v>
      </c>
    </row>
    <row r="987" customFormat="false" ht="15" hidden="false" customHeight="false" outlineLevel="0" collapsed="false">
      <c r="A987" s="1" t="n">
        <v>45718</v>
      </c>
      <c r="B987" s="0" t="s">
        <v>2254</v>
      </c>
      <c r="C987" s="0" t="s">
        <v>121</v>
      </c>
      <c r="D987" s="0" t="n">
        <v>8031506414</v>
      </c>
      <c r="E987" s="0" t="s">
        <v>122</v>
      </c>
      <c r="F987" s="0" t="s">
        <v>2255</v>
      </c>
      <c r="G987" s="0" t="s">
        <v>69</v>
      </c>
      <c r="H987" s="0" t="s">
        <v>141</v>
      </c>
      <c r="I987" s="0" t="s">
        <v>142</v>
      </c>
      <c r="J987" s="0" t="s">
        <v>71</v>
      </c>
      <c r="K987" s="0" t="n">
        <v>81669</v>
      </c>
      <c r="L987" s="0" t="s">
        <v>110</v>
      </c>
      <c r="M987" s="0" t="s">
        <v>50</v>
      </c>
      <c r="N987" s="0" t="n">
        <v>3</v>
      </c>
      <c r="O987" s="0" t="n">
        <v>1.6</v>
      </c>
      <c r="P987" s="0" t="s">
        <v>92</v>
      </c>
      <c r="Q987" s="0" t="s">
        <v>73</v>
      </c>
      <c r="R987" s="0" t="s">
        <v>53</v>
      </c>
      <c r="S987" s="0" t="s">
        <v>126</v>
      </c>
      <c r="T987" s="0" t="n">
        <v>60</v>
      </c>
      <c r="U987" s="0" t="s">
        <v>76</v>
      </c>
      <c r="V987" s="0" t="s">
        <v>77</v>
      </c>
      <c r="W987" s="0" t="s">
        <v>113</v>
      </c>
      <c r="X987" s="0" t="s">
        <v>99</v>
      </c>
      <c r="Y987" s="0" t="s">
        <v>177</v>
      </c>
      <c r="Z987" s="0" t="s">
        <v>161</v>
      </c>
      <c r="AA987" s="0" t="n">
        <v>40000</v>
      </c>
      <c r="AC987" s="0" t="s">
        <v>82</v>
      </c>
      <c r="AD987" s="0" t="n">
        <v>10000</v>
      </c>
      <c r="AE987" s="0" t="s">
        <v>80</v>
      </c>
      <c r="AF987" s="1" t="n">
        <v>45845</v>
      </c>
      <c r="AG987" s="0" t="s">
        <v>82</v>
      </c>
      <c r="AI987" s="0" t="s">
        <v>101</v>
      </c>
      <c r="AJ987" s="0" t="s">
        <v>50</v>
      </c>
      <c r="AK987" s="0" t="s">
        <v>50</v>
      </c>
      <c r="AM987" s="0" t="s">
        <v>103</v>
      </c>
    </row>
    <row r="988" customFormat="false" ht="15" hidden="false" customHeight="false" outlineLevel="0" collapsed="false">
      <c r="A988" s="0" t="s">
        <v>553</v>
      </c>
      <c r="B988" s="0" t="s">
        <v>2256</v>
      </c>
      <c r="C988" s="0" t="s">
        <v>163</v>
      </c>
      <c r="D988" s="0" t="n">
        <v>8053822194</v>
      </c>
      <c r="E988" s="0" t="s">
        <v>43</v>
      </c>
      <c r="F988" s="0" t="s">
        <v>2257</v>
      </c>
      <c r="G988" s="0" t="s">
        <v>134</v>
      </c>
      <c r="H988" s="0" t="s">
        <v>70</v>
      </c>
      <c r="I988" s="0" t="s">
        <v>47</v>
      </c>
      <c r="J988" s="0" t="s">
        <v>71</v>
      </c>
      <c r="K988" s="0" t="n">
        <v>42591</v>
      </c>
      <c r="L988" s="0" t="s">
        <v>124</v>
      </c>
      <c r="M988" s="0" t="s">
        <v>63</v>
      </c>
      <c r="N988" s="0" t="n">
        <v>1</v>
      </c>
      <c r="O988" s="0" t="n">
        <v>1.2</v>
      </c>
      <c r="P988" s="0" t="s">
        <v>111</v>
      </c>
      <c r="Q988" s="0" t="s">
        <v>93</v>
      </c>
      <c r="R988" s="0" t="s">
        <v>53</v>
      </c>
      <c r="S988" s="0" t="s">
        <v>75</v>
      </c>
      <c r="T988" s="0" t="n">
        <v>45</v>
      </c>
      <c r="U988" s="0" t="s">
        <v>112</v>
      </c>
      <c r="V988" s="0" t="s">
        <v>56</v>
      </c>
      <c r="W988" s="0" t="s">
        <v>98</v>
      </c>
      <c r="X988" s="0" t="s">
        <v>196</v>
      </c>
      <c r="Y988" s="0" t="s">
        <v>59</v>
      </c>
      <c r="Z988" s="0" t="s">
        <v>161</v>
      </c>
      <c r="AB988" s="0" t="n">
        <v>40000</v>
      </c>
      <c r="AE988" s="0" t="s">
        <v>130</v>
      </c>
      <c r="AF988" s="1" t="n">
        <v>46000</v>
      </c>
      <c r="AG988" s="0" t="s">
        <v>50</v>
      </c>
      <c r="AH988" s="0" t="s">
        <v>116</v>
      </c>
      <c r="AI988" s="0" t="s">
        <v>117</v>
      </c>
      <c r="AK988" s="0" t="s">
        <v>63</v>
      </c>
      <c r="AL988" s="0" t="s">
        <v>50</v>
      </c>
      <c r="AM988" s="0" t="s">
        <v>83</v>
      </c>
      <c r="AN988" s="0" t="s">
        <v>190</v>
      </c>
    </row>
    <row r="989" customFormat="false" ht="15" hidden="false" customHeight="false" outlineLevel="0" collapsed="false">
      <c r="A989" s="1" t="n">
        <v>45679</v>
      </c>
      <c r="B989" s="0" t="s">
        <v>2258</v>
      </c>
      <c r="C989" s="0" t="s">
        <v>66</v>
      </c>
      <c r="D989" s="0" t="n">
        <v>8061471131</v>
      </c>
      <c r="E989" s="0" t="s">
        <v>122</v>
      </c>
      <c r="F989" s="0" t="s">
        <v>2259</v>
      </c>
      <c r="G989" s="0" t="s">
        <v>87</v>
      </c>
      <c r="H989" s="0" t="s">
        <v>141</v>
      </c>
      <c r="I989" s="0" t="s">
        <v>108</v>
      </c>
      <c r="K989" s="0" t="n">
        <v>104418</v>
      </c>
      <c r="L989" s="0" t="s">
        <v>72</v>
      </c>
      <c r="M989" s="0" t="s">
        <v>50</v>
      </c>
      <c r="N989" s="0" t="n">
        <v>4</v>
      </c>
      <c r="O989" s="0" t="n">
        <v>3.3</v>
      </c>
      <c r="P989" s="0" t="s">
        <v>92</v>
      </c>
      <c r="Q989" s="0" t="s">
        <v>73</v>
      </c>
      <c r="R989" s="0" t="s">
        <v>53</v>
      </c>
      <c r="S989" s="0" t="s">
        <v>54</v>
      </c>
      <c r="T989" s="0" t="s">
        <v>127</v>
      </c>
      <c r="U989" s="0" t="s">
        <v>55</v>
      </c>
      <c r="V989" s="0" t="s">
        <v>56</v>
      </c>
      <c r="W989" s="0" t="s">
        <v>78</v>
      </c>
      <c r="X989" s="0" t="s">
        <v>58</v>
      </c>
      <c r="Z989" s="0" t="s">
        <v>149</v>
      </c>
      <c r="AF989" s="0" t="s">
        <v>690</v>
      </c>
      <c r="AG989" s="0" t="s">
        <v>61</v>
      </c>
      <c r="AI989" s="0" t="s">
        <v>101</v>
      </c>
      <c r="AJ989" s="0" t="s">
        <v>62</v>
      </c>
      <c r="AK989" s="0" t="s">
        <v>61</v>
      </c>
      <c r="AL989" s="0" t="s">
        <v>102</v>
      </c>
      <c r="AM989" s="0" t="s">
        <v>118</v>
      </c>
      <c r="AN989" s="0" t="s">
        <v>63</v>
      </c>
    </row>
    <row r="990" customFormat="false" ht="15" hidden="false" customHeight="false" outlineLevel="0" collapsed="false">
      <c r="A990" s="1" t="n">
        <v>45712</v>
      </c>
      <c r="B990" s="0" t="s">
        <v>2260</v>
      </c>
      <c r="C990" s="0" t="s">
        <v>163</v>
      </c>
      <c r="D990" s="0" t="n">
        <v>8047628993</v>
      </c>
      <c r="E990" s="0" t="s">
        <v>67</v>
      </c>
      <c r="F990" s="0" t="s">
        <v>2261</v>
      </c>
      <c r="G990" s="0" t="s">
        <v>134</v>
      </c>
      <c r="H990" s="0" t="s">
        <v>272</v>
      </c>
      <c r="I990" s="0" t="s">
        <v>108</v>
      </c>
      <c r="J990" s="0" t="s">
        <v>109</v>
      </c>
      <c r="K990" s="0" t="n">
        <v>44711</v>
      </c>
      <c r="L990" s="0" t="s">
        <v>91</v>
      </c>
      <c r="M990" s="0" t="s">
        <v>63</v>
      </c>
      <c r="N990" s="0" t="n">
        <v>5</v>
      </c>
      <c r="O990" s="0" t="n">
        <v>1.9</v>
      </c>
      <c r="P990" s="0" t="s">
        <v>92</v>
      </c>
      <c r="Q990" s="0" t="s">
        <v>73</v>
      </c>
      <c r="R990" s="0" t="s">
        <v>159</v>
      </c>
      <c r="S990" s="0" t="s">
        <v>147</v>
      </c>
      <c r="T990" s="0" t="n">
        <v>30</v>
      </c>
      <c r="U990" s="0" t="s">
        <v>55</v>
      </c>
      <c r="V990" s="0" t="s">
        <v>56</v>
      </c>
      <c r="W990" s="0" t="s">
        <v>98</v>
      </c>
      <c r="X990" s="0" t="s">
        <v>58</v>
      </c>
      <c r="Y990" s="0" t="s">
        <v>197</v>
      </c>
      <c r="AA990" s="0" t="n">
        <v>30000</v>
      </c>
      <c r="AB990" s="0" t="s">
        <v>178</v>
      </c>
      <c r="AC990" s="0" t="s">
        <v>50</v>
      </c>
      <c r="AD990" s="0" t="n">
        <v>0</v>
      </c>
      <c r="AF990" s="1" t="n">
        <v>45886</v>
      </c>
      <c r="AG990" s="0" t="s">
        <v>50</v>
      </c>
      <c r="AJ990" s="0" t="s">
        <v>81</v>
      </c>
      <c r="AK990" s="0" t="s">
        <v>61</v>
      </c>
      <c r="AM990" s="0" t="s">
        <v>64</v>
      </c>
      <c r="AN990" s="0" t="s">
        <v>198</v>
      </c>
    </row>
    <row r="991" customFormat="false" ht="15" hidden="false" customHeight="false" outlineLevel="0" collapsed="false">
      <c r="A991" s="0" t="s">
        <v>635</v>
      </c>
      <c r="B991" s="0" t="s">
        <v>2262</v>
      </c>
      <c r="C991" s="0" t="s">
        <v>105</v>
      </c>
      <c r="D991" s="0" t="n">
        <v>8039578370</v>
      </c>
      <c r="E991" s="0" t="s">
        <v>122</v>
      </c>
      <c r="F991" s="0" t="s">
        <v>2263</v>
      </c>
      <c r="G991" s="0" t="s">
        <v>45</v>
      </c>
      <c r="H991" s="0" t="s">
        <v>88</v>
      </c>
      <c r="I991" s="0" t="s">
        <v>142</v>
      </c>
      <c r="J991" s="0" t="s">
        <v>90</v>
      </c>
      <c r="K991" s="0" t="n">
        <v>90190</v>
      </c>
      <c r="L991" s="0" t="s">
        <v>166</v>
      </c>
      <c r="M991" s="0" t="s">
        <v>63</v>
      </c>
      <c r="N991" s="0" t="n">
        <v>5</v>
      </c>
      <c r="O991" s="0" t="n">
        <v>1.3</v>
      </c>
      <c r="P991" s="0" t="s">
        <v>92</v>
      </c>
      <c r="Q991" s="0" t="s">
        <v>52</v>
      </c>
      <c r="R991" s="0" t="s">
        <v>94</v>
      </c>
      <c r="S991" s="0" t="s">
        <v>95</v>
      </c>
      <c r="T991" s="0" t="n">
        <v>30</v>
      </c>
      <c r="U991" s="0" t="s">
        <v>76</v>
      </c>
      <c r="V991" s="0" t="s">
        <v>155</v>
      </c>
      <c r="W991" s="0" t="s">
        <v>113</v>
      </c>
      <c r="X991" s="0" t="s">
        <v>114</v>
      </c>
      <c r="Y991" s="0" t="s">
        <v>59</v>
      </c>
      <c r="Z991" s="0" t="s">
        <v>143</v>
      </c>
      <c r="AB991" s="0" t="n">
        <v>40000</v>
      </c>
      <c r="AC991" s="0" t="s">
        <v>82</v>
      </c>
      <c r="AD991" s="0" t="n">
        <v>10000</v>
      </c>
      <c r="AE991" s="0" t="s">
        <v>130</v>
      </c>
      <c r="AJ991" s="0" t="s">
        <v>50</v>
      </c>
      <c r="AL991" s="0" t="s">
        <v>102</v>
      </c>
      <c r="AN991" s="0" t="s">
        <v>63</v>
      </c>
    </row>
    <row r="992" customFormat="false" ht="15" hidden="false" customHeight="false" outlineLevel="0" collapsed="false">
      <c r="A992" s="1" t="n">
        <v>45676</v>
      </c>
      <c r="B992" s="0" t="s">
        <v>2264</v>
      </c>
      <c r="C992" s="0" t="s">
        <v>42</v>
      </c>
      <c r="D992" s="0" t="n">
        <v>8044578317</v>
      </c>
      <c r="E992" s="0" t="s">
        <v>122</v>
      </c>
      <c r="F992" s="0" t="s">
        <v>2265</v>
      </c>
      <c r="G992" s="0" t="s">
        <v>134</v>
      </c>
      <c r="H992" s="0" t="s">
        <v>272</v>
      </c>
      <c r="I992" s="0" t="s">
        <v>47</v>
      </c>
      <c r="J992" s="0" t="s">
        <v>48</v>
      </c>
      <c r="K992" s="0" t="n">
        <v>66270</v>
      </c>
      <c r="L992" s="0" t="s">
        <v>110</v>
      </c>
      <c r="M992" s="0" t="s">
        <v>50</v>
      </c>
      <c r="N992" s="0" t="n">
        <v>4</v>
      </c>
      <c r="O992" s="0" t="n">
        <v>3.1</v>
      </c>
      <c r="Q992" s="0" t="s">
        <v>93</v>
      </c>
      <c r="S992" s="0" t="s">
        <v>167</v>
      </c>
      <c r="T992" s="0" t="s">
        <v>127</v>
      </c>
      <c r="U992" s="0" t="s">
        <v>76</v>
      </c>
      <c r="V992" s="0" t="s">
        <v>77</v>
      </c>
      <c r="W992" s="0" t="s">
        <v>113</v>
      </c>
      <c r="X992" s="0" t="s">
        <v>99</v>
      </c>
      <c r="Z992" s="0" t="s">
        <v>149</v>
      </c>
      <c r="AA992" s="0" t="s">
        <v>150</v>
      </c>
      <c r="AB992" s="0" t="n">
        <v>30000</v>
      </c>
      <c r="AD992" s="0" t="s">
        <v>115</v>
      </c>
      <c r="AE992" s="0" t="s">
        <v>80</v>
      </c>
      <c r="AH992" s="0" t="s">
        <v>171</v>
      </c>
      <c r="AJ992" s="0" t="s">
        <v>62</v>
      </c>
      <c r="AK992" s="0" t="s">
        <v>63</v>
      </c>
      <c r="AL992" s="0" t="s">
        <v>50</v>
      </c>
      <c r="AM992" s="0" t="s">
        <v>118</v>
      </c>
      <c r="AN992" s="0" t="s">
        <v>50</v>
      </c>
    </row>
    <row r="993" customFormat="false" ht="15" hidden="false" customHeight="false" outlineLevel="0" collapsed="false">
      <c r="A993" s="0" t="s">
        <v>1050</v>
      </c>
      <c r="B993" s="0" t="s">
        <v>2266</v>
      </c>
      <c r="C993" s="0" t="s">
        <v>42</v>
      </c>
      <c r="D993" s="0" t="n">
        <v>8099379971</v>
      </c>
      <c r="E993" s="0" t="s">
        <v>85</v>
      </c>
      <c r="F993" s="0" t="s">
        <v>2267</v>
      </c>
      <c r="G993" s="0" t="s">
        <v>69</v>
      </c>
      <c r="H993" s="0" t="s">
        <v>146</v>
      </c>
      <c r="I993" s="0" t="s">
        <v>154</v>
      </c>
      <c r="J993" s="0" t="s">
        <v>90</v>
      </c>
      <c r="K993" s="0" t="n">
        <v>13358</v>
      </c>
      <c r="L993" s="0" t="s">
        <v>110</v>
      </c>
      <c r="M993" s="0" t="s">
        <v>50</v>
      </c>
      <c r="N993" s="0" t="n">
        <v>4</v>
      </c>
      <c r="O993" s="0" t="n">
        <v>1.1</v>
      </c>
      <c r="P993" s="0" t="s">
        <v>51</v>
      </c>
      <c r="Q993" s="0" t="s">
        <v>93</v>
      </c>
      <c r="R993" s="0" t="s">
        <v>94</v>
      </c>
      <c r="S993" s="0" t="s">
        <v>147</v>
      </c>
      <c r="T993" s="0" t="n">
        <v>30</v>
      </c>
      <c r="U993" s="0" t="s">
        <v>76</v>
      </c>
      <c r="V993" s="0" t="s">
        <v>97</v>
      </c>
      <c r="W993" s="0" t="s">
        <v>113</v>
      </c>
      <c r="X993" s="0" t="s">
        <v>196</v>
      </c>
      <c r="Z993" s="0" t="s">
        <v>149</v>
      </c>
      <c r="AA993" s="0" t="n">
        <v>30000</v>
      </c>
      <c r="AB993" s="0" t="s">
        <v>178</v>
      </c>
      <c r="AC993" s="0" t="s">
        <v>61</v>
      </c>
      <c r="AD993" s="0" t="n">
        <v>5000</v>
      </c>
      <c r="AE993" s="0" t="s">
        <v>130</v>
      </c>
      <c r="AG993" s="0" t="s">
        <v>50</v>
      </c>
      <c r="AH993" s="0" t="s">
        <v>171</v>
      </c>
      <c r="AJ993" s="0" t="s">
        <v>50</v>
      </c>
      <c r="AK993" s="0" t="s">
        <v>82</v>
      </c>
      <c r="AL993" s="0" t="s">
        <v>102</v>
      </c>
      <c r="AM993" s="0" t="s">
        <v>83</v>
      </c>
      <c r="AN993" s="0" t="s">
        <v>50</v>
      </c>
    </row>
    <row r="994" customFormat="false" ht="15" hidden="false" customHeight="false" outlineLevel="0" collapsed="false">
      <c r="A994" s="1" t="n">
        <v>45811</v>
      </c>
      <c r="B994" s="0" t="s">
        <v>2268</v>
      </c>
      <c r="C994" s="0" t="s">
        <v>42</v>
      </c>
      <c r="D994" s="0" t="n">
        <v>8073928214</v>
      </c>
      <c r="E994" s="0" t="s">
        <v>67</v>
      </c>
      <c r="F994" s="0" t="s">
        <v>2269</v>
      </c>
      <c r="G994" s="0" t="s">
        <v>87</v>
      </c>
      <c r="H994" s="0" t="s">
        <v>165</v>
      </c>
      <c r="I994" s="0" t="s">
        <v>154</v>
      </c>
      <c r="J994" s="0" t="s">
        <v>109</v>
      </c>
      <c r="K994" s="0" t="n">
        <v>44818</v>
      </c>
      <c r="L994" s="0" t="s">
        <v>124</v>
      </c>
      <c r="M994" s="0" t="s">
        <v>63</v>
      </c>
      <c r="N994" s="0" t="n">
        <v>1</v>
      </c>
      <c r="O994" s="0" t="n">
        <v>1.4</v>
      </c>
      <c r="P994" s="0" t="s">
        <v>51</v>
      </c>
      <c r="Q994" s="0" t="s">
        <v>93</v>
      </c>
      <c r="S994" s="0" t="s">
        <v>75</v>
      </c>
      <c r="T994" s="0" t="n">
        <v>45</v>
      </c>
      <c r="U994" s="0" t="s">
        <v>76</v>
      </c>
      <c r="V994" s="0" t="s">
        <v>148</v>
      </c>
      <c r="W994" s="0" t="s">
        <v>78</v>
      </c>
      <c r="X994" s="0" t="s">
        <v>99</v>
      </c>
      <c r="Z994" s="0" t="s">
        <v>161</v>
      </c>
      <c r="AA994" s="0" t="n">
        <v>40000</v>
      </c>
      <c r="AB994" s="0" t="s">
        <v>178</v>
      </c>
      <c r="AE994" s="0" t="s">
        <v>130</v>
      </c>
      <c r="AF994" s="1" t="n">
        <v>45695</v>
      </c>
      <c r="AG994" s="0" t="s">
        <v>82</v>
      </c>
      <c r="AI994" s="0" t="s">
        <v>117</v>
      </c>
      <c r="AK994" s="0" t="s">
        <v>50</v>
      </c>
      <c r="AM994" s="0" t="s">
        <v>64</v>
      </c>
    </row>
    <row r="995" customFormat="false" ht="15" hidden="false" customHeight="false" outlineLevel="0" collapsed="false">
      <c r="A995" s="1" t="n">
        <v>45722</v>
      </c>
      <c r="B995" s="0" t="s">
        <v>2270</v>
      </c>
      <c r="C995" s="0" t="s">
        <v>163</v>
      </c>
      <c r="D995" s="0" t="n">
        <v>8026521948</v>
      </c>
      <c r="E995" s="0" t="s">
        <v>85</v>
      </c>
      <c r="F995" s="0" t="s">
        <v>2271</v>
      </c>
      <c r="G995" s="0" t="s">
        <v>45</v>
      </c>
      <c r="H995" s="0" t="s">
        <v>141</v>
      </c>
      <c r="I995" s="0" t="s">
        <v>154</v>
      </c>
      <c r="J995" s="0" t="s">
        <v>109</v>
      </c>
      <c r="K995" s="0" t="n">
        <v>69383</v>
      </c>
      <c r="L995" s="0" t="s">
        <v>91</v>
      </c>
      <c r="M995" s="0" t="s">
        <v>63</v>
      </c>
      <c r="N995" s="0" t="n">
        <v>5</v>
      </c>
      <c r="O995" s="0" t="n">
        <v>3.8</v>
      </c>
      <c r="P995" s="0" t="s">
        <v>51</v>
      </c>
      <c r="Q995" s="0" t="s">
        <v>52</v>
      </c>
      <c r="R995" s="0" t="s">
        <v>159</v>
      </c>
      <c r="S995" s="0" t="s">
        <v>95</v>
      </c>
      <c r="T995" s="0" t="n">
        <v>30</v>
      </c>
      <c r="U995" s="0" t="s">
        <v>55</v>
      </c>
      <c r="V995" s="0" t="s">
        <v>77</v>
      </c>
      <c r="W995" s="0" t="s">
        <v>57</v>
      </c>
      <c r="X995" s="0" t="s">
        <v>137</v>
      </c>
      <c r="Z995" s="0" t="s">
        <v>143</v>
      </c>
      <c r="AA995" s="0" t="n">
        <v>15000</v>
      </c>
      <c r="AC995" s="0" t="s">
        <v>61</v>
      </c>
      <c r="AD995" s="0" t="n">
        <v>0</v>
      </c>
      <c r="AE995" s="0" t="s">
        <v>184</v>
      </c>
      <c r="AF995" s="1" t="n">
        <v>45990</v>
      </c>
      <c r="AG995" s="0" t="s">
        <v>61</v>
      </c>
      <c r="AH995" s="0" t="s">
        <v>171</v>
      </c>
      <c r="AJ995" s="0" t="s">
        <v>81</v>
      </c>
      <c r="AK995" s="0" t="s">
        <v>82</v>
      </c>
      <c r="AM995" s="0" t="s">
        <v>64</v>
      </c>
    </row>
    <row r="996" customFormat="false" ht="15" hidden="false" customHeight="false" outlineLevel="0" collapsed="false">
      <c r="A996" s="1" t="n">
        <v>45873</v>
      </c>
      <c r="B996" s="0" t="s">
        <v>2272</v>
      </c>
      <c r="C996" s="0" t="s">
        <v>42</v>
      </c>
      <c r="D996" s="0" t="n">
        <v>8099318726</v>
      </c>
      <c r="E996" s="0" t="s">
        <v>67</v>
      </c>
      <c r="F996" s="0" t="s">
        <v>2273</v>
      </c>
      <c r="G996" s="0" t="s">
        <v>107</v>
      </c>
      <c r="H996" s="0" t="s">
        <v>70</v>
      </c>
      <c r="I996" s="0" t="s">
        <v>154</v>
      </c>
      <c r="K996" s="0" t="n">
        <v>77069</v>
      </c>
      <c r="L996" s="0" t="s">
        <v>166</v>
      </c>
      <c r="M996" s="0" t="s">
        <v>50</v>
      </c>
      <c r="N996" s="0" t="n">
        <v>1</v>
      </c>
      <c r="O996" s="0" t="n">
        <v>3.6</v>
      </c>
      <c r="P996" s="0" t="s">
        <v>51</v>
      </c>
      <c r="Q996" s="0" t="s">
        <v>73</v>
      </c>
      <c r="R996" s="0" t="s">
        <v>74</v>
      </c>
      <c r="S996" s="0" t="s">
        <v>167</v>
      </c>
      <c r="T996" s="0" t="n">
        <v>30</v>
      </c>
      <c r="U996" s="0" t="s">
        <v>160</v>
      </c>
      <c r="V996" s="0" t="s">
        <v>56</v>
      </c>
      <c r="W996" s="0" t="s">
        <v>57</v>
      </c>
      <c r="X996" s="0" t="s">
        <v>137</v>
      </c>
      <c r="AA996" s="0" t="n">
        <v>25000</v>
      </c>
      <c r="AB996" s="0" t="s">
        <v>178</v>
      </c>
      <c r="AC996" s="0" t="s">
        <v>61</v>
      </c>
      <c r="AD996" s="0" t="s">
        <v>115</v>
      </c>
      <c r="AE996" s="0" t="s">
        <v>60</v>
      </c>
      <c r="AF996" s="1" t="n">
        <v>45820</v>
      </c>
      <c r="AG996" s="0" t="s">
        <v>82</v>
      </c>
      <c r="AK996" s="0" t="s">
        <v>63</v>
      </c>
      <c r="AL996" s="0" t="s">
        <v>102</v>
      </c>
      <c r="AN996" s="0" t="s">
        <v>63</v>
      </c>
    </row>
    <row r="997" customFormat="false" ht="15" hidden="false" customHeight="false" outlineLevel="0" collapsed="false">
      <c r="A997" s="1" t="n">
        <v>45752</v>
      </c>
      <c r="B997" s="0" t="s">
        <v>2274</v>
      </c>
      <c r="C997" s="0" t="s">
        <v>163</v>
      </c>
      <c r="D997" s="0" t="n">
        <v>8028220919</v>
      </c>
      <c r="E997" s="0" t="s">
        <v>122</v>
      </c>
      <c r="F997" s="0" t="s">
        <v>2275</v>
      </c>
      <c r="G997" s="0" t="s">
        <v>45</v>
      </c>
      <c r="I997" s="0" t="s">
        <v>47</v>
      </c>
      <c r="J997" s="0" t="s">
        <v>90</v>
      </c>
      <c r="K997" s="0" t="n">
        <v>50946</v>
      </c>
      <c r="L997" s="0" t="s">
        <v>166</v>
      </c>
      <c r="M997" s="0" t="s">
        <v>50</v>
      </c>
      <c r="N997" s="0" t="n">
        <v>5</v>
      </c>
      <c r="O997" s="0" t="n">
        <v>3.3</v>
      </c>
      <c r="Q997" s="0" t="s">
        <v>52</v>
      </c>
      <c r="R997" s="0" t="s">
        <v>136</v>
      </c>
      <c r="S997" s="0" t="s">
        <v>95</v>
      </c>
      <c r="T997" s="0" t="n">
        <v>45</v>
      </c>
      <c r="U997" s="0" t="s">
        <v>76</v>
      </c>
      <c r="V997" s="0" t="s">
        <v>77</v>
      </c>
      <c r="W997" s="0" t="s">
        <v>78</v>
      </c>
      <c r="X997" s="0" t="s">
        <v>58</v>
      </c>
      <c r="Z997" s="0" t="s">
        <v>129</v>
      </c>
      <c r="AB997" s="0" t="n">
        <v>20000</v>
      </c>
      <c r="AC997" s="0" t="s">
        <v>63</v>
      </c>
      <c r="AD997" s="0" t="s">
        <v>115</v>
      </c>
      <c r="AE997" s="0" t="s">
        <v>60</v>
      </c>
      <c r="AF997" s="1" t="n">
        <v>45834</v>
      </c>
      <c r="AG997" s="0" t="s">
        <v>50</v>
      </c>
      <c r="AH997" s="0" t="s">
        <v>171</v>
      </c>
      <c r="AI997" s="0" t="s">
        <v>117</v>
      </c>
      <c r="AK997" s="0" t="s">
        <v>50</v>
      </c>
      <c r="AN997" s="0" t="s">
        <v>63</v>
      </c>
    </row>
    <row r="998" customFormat="false" ht="15" hidden="false" customHeight="false" outlineLevel="0" collapsed="false">
      <c r="A998" s="1" t="n">
        <v>45806</v>
      </c>
      <c r="B998" s="0" t="s">
        <v>2276</v>
      </c>
      <c r="C998" s="0" t="s">
        <v>105</v>
      </c>
      <c r="D998" s="0" t="n">
        <v>8081745187</v>
      </c>
      <c r="E998" s="0" t="s">
        <v>139</v>
      </c>
      <c r="F998" s="0" t="s">
        <v>2277</v>
      </c>
      <c r="G998" s="0" t="s">
        <v>45</v>
      </c>
      <c r="H998" s="0" t="s">
        <v>88</v>
      </c>
      <c r="I998" s="0" t="s">
        <v>154</v>
      </c>
      <c r="J998" s="0" t="s">
        <v>48</v>
      </c>
      <c r="K998" s="0" t="n">
        <v>29882</v>
      </c>
      <c r="L998" s="0" t="s">
        <v>110</v>
      </c>
      <c r="M998" s="0" t="s">
        <v>63</v>
      </c>
      <c r="N998" s="0" t="n">
        <v>5</v>
      </c>
      <c r="O998" s="0" t="n">
        <v>1.1</v>
      </c>
      <c r="Q998" s="0" t="s">
        <v>73</v>
      </c>
      <c r="S998" s="0" t="s">
        <v>95</v>
      </c>
      <c r="T998" s="0" t="n">
        <v>60</v>
      </c>
      <c r="U998" s="0" t="s">
        <v>76</v>
      </c>
      <c r="V998" s="0" t="s">
        <v>77</v>
      </c>
      <c r="W998" s="0" t="s">
        <v>128</v>
      </c>
      <c r="X998" s="0" t="s">
        <v>137</v>
      </c>
      <c r="Y998" s="0" t="s">
        <v>177</v>
      </c>
      <c r="Z998" s="0" t="s">
        <v>149</v>
      </c>
      <c r="AA998" s="0" t="s">
        <v>150</v>
      </c>
      <c r="AB998" s="0" t="n">
        <v>30000</v>
      </c>
      <c r="AC998" s="0" t="s">
        <v>82</v>
      </c>
      <c r="AG998" s="0" t="s">
        <v>50</v>
      </c>
      <c r="AH998" s="0" t="s">
        <v>171</v>
      </c>
      <c r="AI998" s="0" t="s">
        <v>117</v>
      </c>
      <c r="AJ998" s="0" t="s">
        <v>62</v>
      </c>
      <c r="AL998" s="0" t="s">
        <v>50</v>
      </c>
      <c r="AM998" s="0" t="s">
        <v>64</v>
      </c>
      <c r="AN998" s="0" t="s">
        <v>63</v>
      </c>
    </row>
    <row r="999" customFormat="false" ht="15" hidden="false" customHeight="false" outlineLevel="0" collapsed="false">
      <c r="A999" s="1" t="n">
        <v>45843</v>
      </c>
      <c r="B999" s="0" t="s">
        <v>2278</v>
      </c>
      <c r="C999" s="0" t="s">
        <v>163</v>
      </c>
      <c r="D999" s="0" t="n">
        <v>8095033398</v>
      </c>
      <c r="E999" s="0" t="s">
        <v>139</v>
      </c>
      <c r="F999" s="0" t="s">
        <v>2279</v>
      </c>
      <c r="G999" s="0" t="s">
        <v>69</v>
      </c>
      <c r="H999" s="0" t="s">
        <v>46</v>
      </c>
      <c r="I999" s="0" t="s">
        <v>89</v>
      </c>
      <c r="J999" s="0" t="s">
        <v>71</v>
      </c>
      <c r="K999" s="0" t="n">
        <v>18488</v>
      </c>
      <c r="L999" s="0" t="s">
        <v>72</v>
      </c>
      <c r="M999" s="0" t="s">
        <v>63</v>
      </c>
      <c r="N999" s="0" t="n">
        <v>4</v>
      </c>
      <c r="O999" s="0" t="n">
        <v>4.6</v>
      </c>
      <c r="Q999" s="0" t="s">
        <v>93</v>
      </c>
      <c r="R999" s="0" t="s">
        <v>94</v>
      </c>
      <c r="S999" s="0" t="s">
        <v>167</v>
      </c>
      <c r="T999" s="0" t="n">
        <v>15</v>
      </c>
      <c r="U999" s="0" t="s">
        <v>76</v>
      </c>
      <c r="V999" s="0" t="s">
        <v>148</v>
      </c>
      <c r="W999" s="0" t="s">
        <v>98</v>
      </c>
      <c r="X999" s="0" t="s">
        <v>58</v>
      </c>
      <c r="Z999" s="0" t="s">
        <v>143</v>
      </c>
      <c r="AA999" s="0" t="s">
        <v>150</v>
      </c>
      <c r="AB999" s="0" t="s">
        <v>178</v>
      </c>
      <c r="AC999" s="0" t="s">
        <v>82</v>
      </c>
      <c r="AE999" s="0" t="s">
        <v>130</v>
      </c>
      <c r="AI999" s="0" t="s">
        <v>117</v>
      </c>
      <c r="AJ999" s="0" t="s">
        <v>62</v>
      </c>
      <c r="AL999" s="0" t="s">
        <v>50</v>
      </c>
      <c r="AM999" s="0" t="s">
        <v>118</v>
      </c>
      <c r="AN999" s="0" t="s">
        <v>198</v>
      </c>
    </row>
    <row r="1000" customFormat="false" ht="15" hidden="false" customHeight="false" outlineLevel="0" collapsed="false">
      <c r="A1000" s="1" t="n">
        <v>45739</v>
      </c>
      <c r="B1000" s="0" t="s">
        <v>2280</v>
      </c>
      <c r="C1000" s="0" t="s">
        <v>105</v>
      </c>
      <c r="D1000" s="0" t="n">
        <v>8076029590</v>
      </c>
      <c r="E1000" s="0" t="s">
        <v>139</v>
      </c>
      <c r="F1000" s="0" t="s">
        <v>2281</v>
      </c>
      <c r="G1000" s="0" t="s">
        <v>107</v>
      </c>
      <c r="H1000" s="0" t="s">
        <v>70</v>
      </c>
      <c r="I1000" s="0" t="s">
        <v>47</v>
      </c>
      <c r="K1000" s="0" t="n">
        <v>68188</v>
      </c>
      <c r="L1000" s="0" t="s">
        <v>72</v>
      </c>
      <c r="M1000" s="0" t="s">
        <v>63</v>
      </c>
      <c r="N1000" s="0" t="n">
        <v>3</v>
      </c>
      <c r="O1000" s="0" t="n">
        <v>4.7</v>
      </c>
      <c r="P1000" s="0" t="s">
        <v>92</v>
      </c>
      <c r="Q1000" s="0" t="s">
        <v>93</v>
      </c>
      <c r="R1000" s="0" t="s">
        <v>136</v>
      </c>
      <c r="S1000" s="0" t="s">
        <v>147</v>
      </c>
      <c r="T1000" s="0" t="n">
        <v>15</v>
      </c>
      <c r="U1000" s="0" t="s">
        <v>96</v>
      </c>
      <c r="V1000" s="0" t="s">
        <v>148</v>
      </c>
      <c r="W1000" s="0" t="s">
        <v>98</v>
      </c>
      <c r="X1000" s="0" t="s">
        <v>99</v>
      </c>
      <c r="Y1000" s="0" t="s">
        <v>156</v>
      </c>
      <c r="Z1000" s="0" t="s">
        <v>79</v>
      </c>
      <c r="AA1000" s="0" t="n">
        <v>25000</v>
      </c>
      <c r="AB1000" s="0" t="n">
        <v>30000</v>
      </c>
      <c r="AC1000" s="0" t="s">
        <v>63</v>
      </c>
      <c r="AD1000" s="0" t="s">
        <v>115</v>
      </c>
      <c r="AF1000" s="0" t="s">
        <v>131</v>
      </c>
      <c r="AG1000" s="0" t="s">
        <v>63</v>
      </c>
      <c r="AJ1000" s="0" t="s">
        <v>62</v>
      </c>
      <c r="AK1000" s="0" t="s">
        <v>50</v>
      </c>
      <c r="AL1000" s="0" t="s">
        <v>102</v>
      </c>
      <c r="AM1000" s="0" t="s">
        <v>103</v>
      </c>
      <c r="AN1000" s="0" t="s">
        <v>198</v>
      </c>
    </row>
    <row r="1001" customFormat="false" ht="15" hidden="false" customHeight="false" outlineLevel="0" collapsed="false">
      <c r="A1001" s="0" t="s">
        <v>2282</v>
      </c>
      <c r="B1001" s="0" t="s">
        <v>2283</v>
      </c>
      <c r="C1001" s="0" t="s">
        <v>163</v>
      </c>
      <c r="D1001" s="0" t="n">
        <v>8022138886</v>
      </c>
      <c r="E1001" s="0" t="s">
        <v>85</v>
      </c>
      <c r="F1001" s="0" t="s">
        <v>2284</v>
      </c>
      <c r="G1001" s="0" t="s">
        <v>87</v>
      </c>
      <c r="H1001" s="0" t="s">
        <v>88</v>
      </c>
      <c r="I1001" s="0" t="s">
        <v>89</v>
      </c>
      <c r="J1001" s="0" t="s">
        <v>109</v>
      </c>
      <c r="K1001" s="0" t="n">
        <v>11522</v>
      </c>
      <c r="L1001" s="0" t="s">
        <v>91</v>
      </c>
      <c r="M1001" s="0" t="s">
        <v>50</v>
      </c>
      <c r="O1001" s="0" t="n">
        <v>1.9</v>
      </c>
      <c r="P1001" s="0" t="s">
        <v>125</v>
      </c>
      <c r="Q1001" s="0" t="s">
        <v>93</v>
      </c>
      <c r="R1001" s="0" t="s">
        <v>74</v>
      </c>
      <c r="S1001" s="0" t="s">
        <v>54</v>
      </c>
      <c r="T1001" s="0" t="n">
        <v>45</v>
      </c>
      <c r="U1001" s="0" t="s">
        <v>160</v>
      </c>
      <c r="V1001" s="0" t="s">
        <v>155</v>
      </c>
      <c r="W1001" s="0" t="s">
        <v>57</v>
      </c>
      <c r="X1001" s="0" t="s">
        <v>99</v>
      </c>
      <c r="Y1001" s="0" t="s">
        <v>59</v>
      </c>
      <c r="Z1001" s="0" t="s">
        <v>149</v>
      </c>
      <c r="AA1001" s="0" t="n">
        <v>15000</v>
      </c>
      <c r="AB1001" s="0" t="n">
        <v>35000</v>
      </c>
      <c r="AD1001" s="0" t="s">
        <v>115</v>
      </c>
      <c r="AE1001" s="0" t="s">
        <v>184</v>
      </c>
      <c r="AF1001" s="0" t="s">
        <v>1063</v>
      </c>
      <c r="AH1001" s="0" t="s">
        <v>171</v>
      </c>
      <c r="AI1001" s="0" t="s">
        <v>117</v>
      </c>
      <c r="AJ1001" s="0" t="s">
        <v>62</v>
      </c>
      <c r="AK1001" s="0" t="s">
        <v>50</v>
      </c>
      <c r="AL1001" s="0" t="s">
        <v>102</v>
      </c>
      <c r="AM1001" s="0" t="s">
        <v>83</v>
      </c>
      <c r="AN1001" s="0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C1001"/>
  <sheetViews>
    <sheetView showFormulas="false" showGridLines="true" showRowColHeaders="true" showZeros="true" rightToLeft="false" tabSelected="false" showOutlineSymbols="true" defaultGridColor="true" view="normal" topLeftCell="BM1" colorId="64" zoomScale="100" zoomScaleNormal="100" zoomScalePageLayoutView="100" workbookViewId="0">
      <selection pane="topLeft" activeCell="BR1" activeCellId="1" sqref="F:F BR1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26.15"/>
    <col collapsed="false" customWidth="true" hidden="false" outlineLevel="0" max="2" min="2" style="2" width="31.86"/>
    <col collapsed="false" customWidth="true" hidden="false" outlineLevel="0" max="3" min="3" style="2" width="31.42"/>
    <col collapsed="false" customWidth="true" hidden="false" outlineLevel="0" max="4" min="4" style="0" width="20.85"/>
    <col collapsed="false" customWidth="true" hidden="false" outlineLevel="0" max="5" min="5" style="0" width="15.57"/>
    <col collapsed="false" customWidth="true" hidden="false" outlineLevel="0" max="6" min="6" style="0" width="36.29"/>
    <col collapsed="false" customWidth="true" hidden="false" outlineLevel="0" max="7" min="7" style="0" width="14"/>
    <col collapsed="false" customWidth="true" hidden="false" outlineLevel="0" max="8" min="8" style="0" width="17.86"/>
    <col collapsed="false" customWidth="true" hidden="false" outlineLevel="0" max="9" min="9" style="0" width="22"/>
    <col collapsed="false" customWidth="true" hidden="false" outlineLevel="0" max="10" min="10" style="0" width="23.42"/>
    <col collapsed="false" customWidth="true" hidden="false" outlineLevel="0" max="11" min="11" style="3" width="26.42"/>
    <col collapsed="false" customWidth="true" hidden="false" outlineLevel="0" max="12" min="12" style="3" width="28.29"/>
    <col collapsed="false" customWidth="true" hidden="false" outlineLevel="0" max="13" min="13" style="0" width="28.29"/>
    <col collapsed="false" customWidth="true" hidden="false" outlineLevel="0" max="14" min="14" style="3" width="21.29"/>
    <col collapsed="false" customWidth="true" hidden="false" outlineLevel="0" max="15" min="15" style="0" width="21.43"/>
    <col collapsed="false" customWidth="true" hidden="false" outlineLevel="0" max="16" min="16" style="4" width="21.85"/>
    <col collapsed="false" customWidth="true" hidden="false" outlineLevel="0" max="17" min="17" style="0" width="28.57"/>
    <col collapsed="false" customWidth="true" hidden="false" outlineLevel="0" max="18" min="18" style="0" width="23"/>
    <col collapsed="false" customWidth="true" hidden="false" outlineLevel="0" max="19" min="19" style="0" width="25.14"/>
    <col collapsed="false" customWidth="true" hidden="false" outlineLevel="0" max="20" min="20" style="0" width="26"/>
    <col collapsed="false" customWidth="true" hidden="false" outlineLevel="0" max="21" min="21" style="5" width="21.14"/>
    <col collapsed="false" customWidth="true" hidden="false" outlineLevel="0" max="22" min="22" style="0" width="26.57"/>
    <col collapsed="false" customWidth="true" hidden="false" outlineLevel="0" max="23" min="23" style="0" width="28.57"/>
    <col collapsed="false" customWidth="true" hidden="false" outlineLevel="0" max="24" min="24" style="0" width="28.86"/>
    <col collapsed="false" customWidth="true" hidden="false" outlineLevel="0" max="25" min="25" style="0" width="22.42"/>
    <col collapsed="false" customWidth="true" hidden="false" outlineLevel="0" max="27" min="26" style="0" width="27.71"/>
    <col collapsed="false" customWidth="true" hidden="false" outlineLevel="0" max="28" min="28" style="0" width="22.71"/>
    <col collapsed="false" customWidth="true" hidden="false" outlineLevel="0" max="30" min="29" style="6" width="24.86"/>
    <col collapsed="false" customWidth="true" hidden="false" outlineLevel="0" max="31" min="31" style="5" width="28.14"/>
    <col collapsed="false" customWidth="true" hidden="false" outlineLevel="0" max="34" min="32" style="0" width="28.86"/>
    <col collapsed="false" customWidth="true" hidden="false" outlineLevel="0" max="35" min="35" style="0" width="27"/>
    <col collapsed="false" customWidth="true" hidden="false" outlineLevel="0" max="36" min="36" style="0" width="24"/>
    <col collapsed="false" customWidth="true" hidden="false" outlineLevel="0" max="38" min="37" style="0" width="18.42"/>
    <col collapsed="false" customWidth="true" hidden="false" outlineLevel="0" max="39" min="39" style="0" width="22.86"/>
    <col collapsed="false" customWidth="true" hidden="false" outlineLevel="0" max="40" min="40" style="0" width="26.86"/>
    <col collapsed="false" customWidth="true" hidden="false" outlineLevel="0" max="41" min="41" style="0" width="24.57"/>
    <col collapsed="false" customWidth="true" hidden="false" outlineLevel="0" max="42" min="42" style="0" width="25.71"/>
    <col collapsed="false" customWidth="true" hidden="false" outlineLevel="0" max="43" min="43" style="0" width="24.86"/>
    <col collapsed="false" customWidth="true" hidden="false" outlineLevel="0" max="44" min="44" style="5" width="24.86"/>
    <col collapsed="false" customWidth="true" hidden="false" outlineLevel="0" max="45" min="45" style="0" width="20.42"/>
    <col collapsed="false" customWidth="true" hidden="false" outlineLevel="0" max="46" min="46" style="5" width="20.42"/>
    <col collapsed="false" customWidth="true" hidden="false" outlineLevel="0" max="48" min="47" style="0" width="31.86"/>
    <col collapsed="false" customWidth="true" hidden="false" outlineLevel="0" max="49" min="49" style="0" width="27"/>
    <col collapsed="false" customWidth="true" hidden="false" outlineLevel="0" max="50" min="50" style="5" width="26.15"/>
    <col collapsed="false" customWidth="true" hidden="false" outlineLevel="0" max="52" min="51" style="0" width="26.15"/>
    <col collapsed="false" customWidth="true" hidden="false" outlineLevel="0" max="54" min="53" style="7" width="26.15"/>
    <col collapsed="false" customWidth="true" hidden="false" outlineLevel="0" max="56" min="55" style="0" width="22.86"/>
    <col collapsed="false" customWidth="true" hidden="false" outlineLevel="0" max="58" min="57" style="0" width="29.42"/>
    <col collapsed="false" customWidth="true" hidden="false" outlineLevel="0" max="60" min="59" style="0" width="24.42"/>
    <col collapsed="false" customWidth="true" hidden="false" outlineLevel="0" max="62" min="61" style="0" width="22.86"/>
    <col collapsed="false" customWidth="true" hidden="false" outlineLevel="0" max="64" min="63" style="0" width="19"/>
    <col collapsed="false" customWidth="true" hidden="false" outlineLevel="0" max="66" min="65" style="0" width="23.42"/>
    <col collapsed="false" customWidth="true" hidden="false" outlineLevel="0" max="68" min="67" style="0" width="24.86"/>
    <col collapsed="false" customWidth="true" hidden="false" outlineLevel="0" max="70" min="69" style="0" width="24.29"/>
  </cols>
  <sheetData>
    <row r="1" customFormat="false" ht="15" hidden="false" customHeight="false" outlineLevel="0" collapsed="false">
      <c r="A1" s="8" t="s">
        <v>1</v>
      </c>
      <c r="B1" s="9" t="s">
        <v>0</v>
      </c>
      <c r="C1" s="9" t="s">
        <v>2285</v>
      </c>
      <c r="D1" s="8" t="s">
        <v>2</v>
      </c>
      <c r="E1" s="8" t="s">
        <v>3</v>
      </c>
      <c r="F1" s="8" t="s">
        <v>4</v>
      </c>
      <c r="G1" s="8" t="s">
        <v>2286</v>
      </c>
      <c r="H1" s="8" t="s">
        <v>5</v>
      </c>
      <c r="I1" s="8" t="s">
        <v>6</v>
      </c>
      <c r="J1" s="8" t="s">
        <v>7</v>
      </c>
      <c r="K1" s="10" t="s">
        <v>2287</v>
      </c>
      <c r="L1" s="10" t="s">
        <v>8</v>
      </c>
      <c r="M1" s="8" t="s">
        <v>2288</v>
      </c>
      <c r="N1" s="10" t="s">
        <v>9</v>
      </c>
      <c r="O1" s="8" t="s">
        <v>2289</v>
      </c>
      <c r="P1" s="11" t="s">
        <v>10</v>
      </c>
      <c r="Q1" s="8" t="s">
        <v>11</v>
      </c>
      <c r="R1" s="8" t="s">
        <v>2290</v>
      </c>
      <c r="S1" s="8" t="s">
        <v>12</v>
      </c>
      <c r="T1" s="8" t="s">
        <v>13</v>
      </c>
      <c r="U1" s="12" t="s">
        <v>2291</v>
      </c>
      <c r="V1" s="8" t="s">
        <v>14</v>
      </c>
      <c r="W1" s="8" t="s">
        <v>15</v>
      </c>
      <c r="X1" s="8" t="s">
        <v>2292</v>
      </c>
      <c r="Y1" s="8" t="s">
        <v>16</v>
      </c>
      <c r="Z1" s="8" t="s">
        <v>17</v>
      </c>
      <c r="AA1" s="8" t="s">
        <v>2293</v>
      </c>
      <c r="AB1" s="8" t="s">
        <v>18</v>
      </c>
      <c r="AC1" s="13" t="s">
        <v>2294</v>
      </c>
      <c r="AD1" s="13" t="s">
        <v>19</v>
      </c>
      <c r="AE1" s="12" t="s">
        <v>2295</v>
      </c>
      <c r="AF1" s="8" t="s">
        <v>20</v>
      </c>
      <c r="AG1" s="8" t="s">
        <v>2296</v>
      </c>
      <c r="AH1" s="8" t="s">
        <v>21</v>
      </c>
      <c r="AI1" s="8" t="s">
        <v>22</v>
      </c>
      <c r="AJ1" s="8" t="s">
        <v>2297</v>
      </c>
      <c r="AK1" s="8" t="s">
        <v>23</v>
      </c>
      <c r="AL1" s="8" t="s">
        <v>2298</v>
      </c>
      <c r="AM1" s="8" t="s">
        <v>24</v>
      </c>
      <c r="AN1" s="8" t="s">
        <v>2299</v>
      </c>
      <c r="AO1" s="8" t="s">
        <v>25</v>
      </c>
      <c r="AP1" s="8" t="s">
        <v>2300</v>
      </c>
      <c r="AQ1" s="8" t="s">
        <v>26</v>
      </c>
      <c r="AR1" s="12" t="s">
        <v>2301</v>
      </c>
      <c r="AS1" s="8" t="s">
        <v>27</v>
      </c>
      <c r="AT1" s="12" t="s">
        <v>2302</v>
      </c>
      <c r="AU1" s="8" t="s">
        <v>28</v>
      </c>
      <c r="AV1" s="8" t="s">
        <v>2303</v>
      </c>
      <c r="AW1" s="8" t="s">
        <v>29</v>
      </c>
      <c r="AX1" s="12" t="s">
        <v>2304</v>
      </c>
      <c r="AY1" s="8" t="s">
        <v>30</v>
      </c>
      <c r="AZ1" s="8" t="s">
        <v>2305</v>
      </c>
      <c r="BA1" s="14" t="s">
        <v>31</v>
      </c>
      <c r="BB1" s="14" t="s">
        <v>2306</v>
      </c>
      <c r="BC1" s="8" t="s">
        <v>32</v>
      </c>
      <c r="BD1" s="8" t="s">
        <v>2307</v>
      </c>
      <c r="BE1" s="8" t="s">
        <v>33</v>
      </c>
      <c r="BF1" s="8" t="s">
        <v>2308</v>
      </c>
      <c r="BG1" s="8" t="s">
        <v>34</v>
      </c>
      <c r="BH1" s="8" t="s">
        <v>2309</v>
      </c>
      <c r="BI1" s="8" t="s">
        <v>35</v>
      </c>
      <c r="BJ1" s="8" t="s">
        <v>2310</v>
      </c>
      <c r="BK1" s="8" t="s">
        <v>36</v>
      </c>
      <c r="BL1" s="8" t="s">
        <v>2311</v>
      </c>
      <c r="BM1" s="8" t="s">
        <v>37</v>
      </c>
      <c r="BN1" s="8" t="s">
        <v>2312</v>
      </c>
      <c r="BO1" s="8" t="s">
        <v>38</v>
      </c>
      <c r="BP1" s="8" t="s">
        <v>2313</v>
      </c>
      <c r="BQ1" s="8" t="s">
        <v>39</v>
      </c>
      <c r="BR1" s="8" t="s">
        <v>2314</v>
      </c>
    </row>
    <row r="2" customFormat="false" ht="15" hidden="false" customHeight="false" outlineLevel="0" collapsed="false">
      <c r="A2" s="0" t="s">
        <v>41</v>
      </c>
      <c r="B2" s="2" t="s">
        <v>40</v>
      </c>
      <c r="C2" s="2" t="str">
        <f aca="false">TEXT(B2,"dd/mm/yyyy")</f>
        <v>19/05/2025</v>
      </c>
      <c r="D2" s="0" t="s">
        <v>42</v>
      </c>
      <c r="E2" s="0" t="n">
        <v>8044398138</v>
      </c>
      <c r="F2" s="0" t="s">
        <v>43</v>
      </c>
      <c r="G2" s="0" t="s">
        <v>2315</v>
      </c>
      <c r="H2" s="0" t="s">
        <v>44</v>
      </c>
      <c r="I2" s="0" t="s">
        <v>45</v>
      </c>
      <c r="J2" s="0" t="s">
        <v>87</v>
      </c>
      <c r="K2" s="3" t="str">
        <f aca="false" t="array" ref="K2:K2">IFERROR(IF(J2&lt;&gt;"",J2,INDEX(J2:J1001,MATCH(1,(F2:F1001=F2)*(I2:I1001=I2)*(L2:L1001=L2)*(J2:J1001&lt;&gt;""),0))),"Not Found")</f>
        <v>Oil Change</v>
      </c>
      <c r="L2" s="3" t="s">
        <v>47</v>
      </c>
      <c r="M2" s="0" t="str">
        <f aca="false">PROPER(L2)</f>
        <v>None</v>
      </c>
      <c r="N2" s="3" t="s">
        <v>48</v>
      </c>
      <c r="O2" s="0" t="str">
        <f aca="false" t="array" ref="O2:O2">IF(N2&lt;&gt;"",N2,_xlfn.xlookup(1,(L2:L1001=L2)*(N2:N1001&lt;&gt;""),N2:N1001,"Not Found"))</f>
        <v>Uche</v>
      </c>
      <c r="P2" s="4" t="n">
        <v>110523</v>
      </c>
      <c r="Q2" s="0" t="s">
        <v>49</v>
      </c>
      <c r="R2" s="0" t="str">
        <f aca="false">PROPER(Q2)</f>
        <v>Transfer</v>
      </c>
      <c r="S2" s="0" t="s">
        <v>50</v>
      </c>
      <c r="T2" s="0" t="n">
        <v>4</v>
      </c>
      <c r="U2" s="5" t="n">
        <f aca="false">IF(ISBLANK(T2),AVERAGE(T2:T1001),T2)</f>
        <v>4</v>
      </c>
      <c r="V2" s="0" t="n">
        <v>4.4</v>
      </c>
      <c r="W2" s="0" t="s">
        <v>51</v>
      </c>
      <c r="X2" s="0" t="str">
        <f aca="false">IF(ISBLANK(W2),"No remarks",W2)</f>
        <v>Recommended further checks</v>
      </c>
      <c r="Y2" s="0" t="s">
        <v>52</v>
      </c>
      <c r="Z2" s="0" t="s">
        <v>53</v>
      </c>
      <c r="AA2" s="0" t="str">
        <f aca="false">PROPER(IF(ISBLANK(Z2),"Location Unavailable",Z2))</f>
        <v>Main Bay</v>
      </c>
      <c r="AB2" s="0" t="s">
        <v>54</v>
      </c>
      <c r="AC2" s="6" t="str">
        <f aca="false">PROPER(AB2)</f>
        <v>Mechanic Referral</v>
      </c>
      <c r="AE2" s="5" t="n">
        <f aca="false">IF(ISBLANK(AD2),AVERAGEIF(L2:L1001,L2,AD2:AD1001),AD2)</f>
        <v>37.4427480916031</v>
      </c>
      <c r="AF2" s="0" t="s">
        <v>55</v>
      </c>
      <c r="AG2" s="0" t="str">
        <f aca="false">PROPER(AF2)</f>
        <v>Available</v>
      </c>
      <c r="AH2" s="0" t="s">
        <v>56</v>
      </c>
      <c r="AI2" s="0" t="s">
        <v>98</v>
      </c>
      <c r="AJ2" s="0" t="str">
        <f aca="false">PROPER(AI2)</f>
        <v>Emergency</v>
      </c>
      <c r="AK2" s="0" t="s">
        <v>58</v>
      </c>
      <c r="AL2" s="0" t="str">
        <f aca="false">PROPER(AK2)</f>
        <v>Fleet Owner</v>
      </c>
      <c r="AM2" s="0" t="s">
        <v>59</v>
      </c>
      <c r="AN2" s="0" t="str">
        <f aca="false">IF(ISBLANK(AM2),"Unknown",AM2)</f>
        <v>Bolt Driver</v>
      </c>
      <c r="AP2" s="0" t="str">
        <f aca="false">IF(ISBLANK(AO2),"Unknown",AO2)</f>
        <v>Unknown</v>
      </c>
      <c r="AQ2" s="0" t="n">
        <v>40000</v>
      </c>
      <c r="AR2" s="5" t="n">
        <f aca="false">IF(ISBLANK(AQ2),AVERAGEIF(M2:M1001,M2,AQ2:AQ1001),AQ2)</f>
        <v>40000</v>
      </c>
      <c r="AS2" s="0" t="n">
        <v>30000</v>
      </c>
      <c r="AT2" s="5" t="n">
        <f aca="false">IF(ISBLANK(AS2),AVERAGE(AS2:AS1001),AS2)</f>
        <v>30000</v>
      </c>
      <c r="AU2" s="0" t="s">
        <v>50</v>
      </c>
      <c r="AV2" s="0" t="str">
        <f aca="false">PROPER(IF(ISBLANK(AU2),"No",AU2))</f>
        <v>No</v>
      </c>
      <c r="AW2" s="0" t="n">
        <v>0</v>
      </c>
      <c r="AX2" s="5" t="n">
        <f aca="false">IF(ISBLANK(AW2),0,AW2)</f>
        <v>0</v>
      </c>
      <c r="AY2" s="0" t="s">
        <v>60</v>
      </c>
      <c r="AZ2" s="0" t="str">
        <f aca="false">UPPER(IF(ISBLANK(AY2),"NONE",AY2))</f>
        <v>NONE</v>
      </c>
      <c r="BB2" s="7" t="str">
        <f aca="false">IF(ISBLANK(BA2),"No Follow Up Needed",BA2)</f>
        <v>No Follow Up Needed</v>
      </c>
      <c r="BC2" s="0" t="s">
        <v>61</v>
      </c>
      <c r="BD2" s="0" t="str">
        <f aca="false">PROPER(IF(ISBLANK(BC2),"Unknown",BC2))</f>
        <v>No</v>
      </c>
      <c r="BF2" s="0" t="str">
        <f aca="false">IF(ISBLANK(BE2),"No comments",BE2)</f>
        <v>No comments</v>
      </c>
      <c r="BH2" s="0" t="str">
        <f aca="false">IF(ISBLANK(BG2),"No comments",BG2)</f>
        <v>No comments</v>
      </c>
      <c r="BI2" s="0" t="s">
        <v>50</v>
      </c>
      <c r="BJ2" s="0" t="str">
        <f aca="false">IF(ISBLANK(BI2),"Not Mentioned",BI2)</f>
        <v>No</v>
      </c>
      <c r="BK2" s="0" t="s">
        <v>63</v>
      </c>
      <c r="BL2" s="0" t="str">
        <f aca="false">PROPER(IF(ISBLANK(BK2),"Not Mentioned",BK2))</f>
        <v>Yes</v>
      </c>
      <c r="BM2" s="0" t="s">
        <v>50</v>
      </c>
      <c r="BN2" s="0" t="str">
        <f aca="false">PROPER(IF(ISBLANK(BM2),"Not Mentioned",BM2))</f>
        <v>No</v>
      </c>
      <c r="BO2" s="0" t="s">
        <v>64</v>
      </c>
      <c r="BP2" s="0" t="str">
        <f aca="false">IF(ISBLANK(BO2),"One-Time Plan",BO2)</f>
        <v>Gold Maintenance Plan</v>
      </c>
      <c r="BR2" s="0" t="str">
        <f aca="false">PROPER(IF(ISBLANK(BQ2),"No",BQ2))</f>
        <v>No</v>
      </c>
    </row>
    <row r="3" customFormat="false" ht="15" hidden="false" customHeight="false" outlineLevel="0" collapsed="false">
      <c r="A3" s="0" t="s">
        <v>65</v>
      </c>
      <c r="B3" s="2" t="n">
        <v>45661</v>
      </c>
      <c r="C3" s="2" t="str">
        <f aca="false">TEXT(B3,"dd/mm/yyyy")</f>
        <v>04/01/2025</v>
      </c>
      <c r="D3" s="0" t="s">
        <v>66</v>
      </c>
      <c r="E3" s="0" t="n">
        <v>8057699801</v>
      </c>
      <c r="F3" s="0" t="s">
        <v>67</v>
      </c>
      <c r="G3" s="0" t="s">
        <v>2316</v>
      </c>
      <c r="H3" s="0" t="s">
        <v>68</v>
      </c>
      <c r="I3" s="0" t="s">
        <v>69</v>
      </c>
      <c r="J3" s="0" t="s">
        <v>2317</v>
      </c>
      <c r="K3" s="3" t="str">
        <f aca="false" t="array" ref="K3:K3">IFERROR(IF(J3&lt;&gt;"",J3,INDEX(J3:J1002,MATCH(1,(F3:F1002=F3)*(I3:I1002=I3)*(L3:L1002=L3)*(J3:J1002&lt;&gt;""),0))),"Not Found")</f>
        <v>Suspension Noise</v>
      </c>
      <c r="L3" s="3" t="s">
        <v>47</v>
      </c>
      <c r="M3" s="0" t="str">
        <f aca="false">PROPER(L3)</f>
        <v>None</v>
      </c>
      <c r="N3" s="3" t="s">
        <v>71</v>
      </c>
      <c r="O3" s="0" t="str">
        <f aca="false" t="array" ref="O3:O3">IF(N3&lt;&gt;"",N3,_xlfn.xlookup(1,(L3:L1002=L3)*(N3:N1002&lt;&gt;""),N3:N1002,"Not Found"))</f>
        <v>Isaac Bobo</v>
      </c>
      <c r="P3" s="4" t="n">
        <v>71821</v>
      </c>
      <c r="Q3" s="0" t="s">
        <v>72</v>
      </c>
      <c r="R3" s="0" t="str">
        <f aca="false">PROPER(Q3)</f>
        <v>Pos</v>
      </c>
      <c r="S3" s="0" t="s">
        <v>50</v>
      </c>
      <c r="U3" s="5" t="n">
        <f aca="false">IF(ISBLANK(T3),AVERAGE(T3:T1002),T3)</f>
        <v>3.01556886227545</v>
      </c>
      <c r="V3" s="0" t="n">
        <v>2.3</v>
      </c>
      <c r="X3" s="0" t="str">
        <f aca="false">IF(ISBLANK(W3),"No remarks",W3)</f>
        <v>No remarks</v>
      </c>
      <c r="Y3" s="0" t="s">
        <v>73</v>
      </c>
      <c r="Z3" s="0" t="s">
        <v>74</v>
      </c>
      <c r="AA3" s="0" t="str">
        <f aca="false">PROPER(IF(ISBLANK(Z3),"Location Unavailable",Z3))</f>
        <v>Under Tree</v>
      </c>
      <c r="AB3" s="0" t="s">
        <v>75</v>
      </c>
      <c r="AC3" s="6" t="str">
        <f aca="false">PROPER(AB3)</f>
        <v>Mechanik Referal</v>
      </c>
      <c r="AD3" s="6" t="n">
        <v>60</v>
      </c>
      <c r="AE3" s="5" t="n">
        <f aca="false">IF(ISBLANK(AD3),AVERAGEIF(L3:L1002,L3,AD3:AD1002),AD3)</f>
        <v>60</v>
      </c>
      <c r="AF3" s="0" t="s">
        <v>76</v>
      </c>
      <c r="AG3" s="0" t="str">
        <f aca="false">PROPER(AF3)</f>
        <v>Orderd</v>
      </c>
      <c r="AH3" s="0" t="s">
        <v>77</v>
      </c>
      <c r="AI3" s="0" t="s">
        <v>78</v>
      </c>
      <c r="AJ3" s="0" t="str">
        <f aca="false">PROPER(AI3)</f>
        <v>Booking</v>
      </c>
      <c r="AK3" s="0" t="s">
        <v>58</v>
      </c>
      <c r="AL3" s="0" t="str">
        <f aca="false">PROPER(AK3)</f>
        <v>Fleet Owner</v>
      </c>
      <c r="AM3" s="0" t="s">
        <v>59</v>
      </c>
      <c r="AN3" s="0" t="str">
        <f aca="false">IF(ISBLANK(AM3),"Unknown",AM3)</f>
        <v>Bolt Driver</v>
      </c>
      <c r="AO3" s="0" t="s">
        <v>79</v>
      </c>
      <c r="AP3" s="0" t="str">
        <f aca="false">IF(ISBLANK(AO3),"Unknown",AO3)</f>
        <v>Specialist</v>
      </c>
      <c r="AR3" s="5" t="n">
        <f aca="false">IF(ISBLANK(AQ3),AVERAGEIF(M3:M1002,M3,AQ3:AQ1002),AQ3)</f>
        <v>26037.037037037</v>
      </c>
      <c r="AS3" s="0" t="n">
        <v>35000</v>
      </c>
      <c r="AT3" s="5" t="n">
        <f aca="false">IF(ISBLANK(AS3),AVERAGE(AS3:AS1002),AS3)</f>
        <v>35000</v>
      </c>
      <c r="AU3" s="0" t="s">
        <v>63</v>
      </c>
      <c r="AV3" s="0" t="str">
        <f aca="false">PROPER(IF(ISBLANK(AU3),"No",AU3))</f>
        <v>Yes</v>
      </c>
      <c r="AX3" s="5" t="n">
        <f aca="false">IF(ISBLANK(AW3),0,AW3)</f>
        <v>0</v>
      </c>
      <c r="AY3" s="0" t="s">
        <v>80</v>
      </c>
      <c r="AZ3" s="0" t="str">
        <f aca="false">UPPER(IF(ISBLANK(AY3),"NONE",AY3))</f>
        <v>PROMO10</v>
      </c>
      <c r="BB3" s="7" t="str">
        <f aca="false">IF(ISBLANK(BA3),"No Follow Up Needed",BA3)</f>
        <v>No Follow Up Needed</v>
      </c>
      <c r="BC3" s="0" t="s">
        <v>61</v>
      </c>
      <c r="BD3" s="0" t="str">
        <f aca="false">PROPER(IF(ISBLANK(BC3),"Unknown",BC3))</f>
        <v>No</v>
      </c>
      <c r="BF3" s="0" t="str">
        <f aca="false">IF(ISBLANK(BE3),"No comments",BE3)</f>
        <v>No comments</v>
      </c>
      <c r="BH3" s="0" t="str">
        <f aca="false">IF(ISBLANK(BG3),"No comments",BG3)</f>
        <v>No comments</v>
      </c>
      <c r="BI3" s="0" t="s">
        <v>63</v>
      </c>
      <c r="BJ3" s="0" t="str">
        <f aca="false">IF(ISBLANK(BI3),"Not Mentioned",BI3)</f>
        <v>Yes</v>
      </c>
      <c r="BK3" s="0" t="s">
        <v>82</v>
      </c>
      <c r="BL3" s="0" t="str">
        <f aca="false">PROPER(IF(ISBLANK(BK3),"Not Mentioned",BK3))</f>
        <v>Yes</v>
      </c>
      <c r="BM3" s="0" t="s">
        <v>63</v>
      </c>
      <c r="BN3" s="0" t="str">
        <f aca="false">PROPER(IF(ISBLANK(BM3),"Not Mentioned",BM3))</f>
        <v>Yes</v>
      </c>
      <c r="BO3" s="0" t="s">
        <v>2318</v>
      </c>
      <c r="BP3" s="0" t="str">
        <f aca="false">IF(ISBLANK(BO3),"One-Time Plan",BO3)</f>
        <v>Gold</v>
      </c>
      <c r="BQ3" s="0" t="s">
        <v>63</v>
      </c>
      <c r="BR3" s="0" t="str">
        <f aca="false">PROPER(IF(ISBLANK(BQ3),"No",BQ3))</f>
        <v>Yes</v>
      </c>
    </row>
    <row r="4" customFormat="false" ht="15" hidden="false" customHeight="false" outlineLevel="0" collapsed="false">
      <c r="A4" s="0" t="s">
        <v>84</v>
      </c>
      <c r="B4" s="2" t="n">
        <v>45764</v>
      </c>
      <c r="C4" s="2" t="str">
        <f aca="false">TEXT(B4,"dd/mm/yyyy")</f>
        <v>17/04/2025</v>
      </c>
      <c r="D4" s="0" t="s">
        <v>42</v>
      </c>
      <c r="E4" s="0" t="n">
        <v>8066506603</v>
      </c>
      <c r="F4" s="0" t="s">
        <v>85</v>
      </c>
      <c r="G4" s="0" t="s">
        <v>2319</v>
      </c>
      <c r="H4" s="0" t="s">
        <v>86</v>
      </c>
      <c r="I4" s="0" t="s">
        <v>87</v>
      </c>
      <c r="J4" s="0" t="s">
        <v>87</v>
      </c>
      <c r="K4" s="3" t="str">
        <f aca="false" t="array" ref="K4:K4">IFERROR(IF(J4&lt;&gt;"",J4,INDEX(J4:J1003,MATCH(1,(F4:F1003=F4)*(I4:I1003=I4)*(L4:L1003=L4)*(J4:J1003&lt;&gt;""),0))),"Not Found")</f>
        <v>Oil Change</v>
      </c>
      <c r="L4" s="3" t="s">
        <v>89</v>
      </c>
      <c r="M4" s="0" t="str">
        <f aca="false">PROPER(L4)</f>
        <v>Shock Absorbers</v>
      </c>
      <c r="N4" s="3" t="s">
        <v>90</v>
      </c>
      <c r="O4" s="0" t="str">
        <f aca="false" t="array" ref="O4:O4">IF(N4&lt;&gt;"",N4,_xlfn.xlookup(1,(L4:L1003=L4)*(N4:N1003&lt;&gt;""),N4:N1003,"Not Found"))</f>
        <v>Musa</v>
      </c>
      <c r="P4" s="4" t="n">
        <v>62956</v>
      </c>
      <c r="Q4" s="0" t="s">
        <v>91</v>
      </c>
      <c r="R4" s="0" t="str">
        <f aca="false">PROPER(Q4)</f>
        <v>Pos</v>
      </c>
      <c r="S4" s="0" t="s">
        <v>63</v>
      </c>
      <c r="T4" s="0" t="n">
        <v>2</v>
      </c>
      <c r="U4" s="5" t="n">
        <f aca="false">IF(ISBLANK(T4),AVERAGE(T4:T1003),T4)</f>
        <v>2</v>
      </c>
      <c r="V4" s="0" t="n">
        <v>2.8</v>
      </c>
      <c r="W4" s="0" t="s">
        <v>92</v>
      </c>
      <c r="X4" s="0" t="str">
        <f aca="false">IF(ISBLANK(W4),"No remarks",W4)</f>
        <v>Urgent service</v>
      </c>
      <c r="Y4" s="0" t="s">
        <v>93</v>
      </c>
      <c r="Z4" s="0" t="s">
        <v>94</v>
      </c>
      <c r="AA4" s="0" t="str">
        <f aca="false">PROPER(IF(ISBLANK(Z4),"Location Unavailable",Z4))</f>
        <v>Vip Section</v>
      </c>
      <c r="AB4" s="0" t="s">
        <v>95</v>
      </c>
      <c r="AC4" s="6" t="str">
        <f aca="false">PROPER(AB4)</f>
        <v>Road Sign</v>
      </c>
      <c r="AE4" s="5" t="n">
        <f aca="false">IF(ISBLANK(AD4),AVERAGEIF(L4:L1003,L4,AD4:AD1003),AD4)</f>
        <v>39.8958333333333</v>
      </c>
      <c r="AF4" s="0" t="s">
        <v>96</v>
      </c>
      <c r="AG4" s="0" t="str">
        <f aca="false">PROPER(AF4)</f>
        <v>Ordered</v>
      </c>
      <c r="AH4" s="0" t="s">
        <v>155</v>
      </c>
      <c r="AI4" s="0" t="s">
        <v>98</v>
      </c>
      <c r="AJ4" s="0" t="str">
        <f aca="false">PROPER(AI4)</f>
        <v>Emergency</v>
      </c>
      <c r="AK4" s="0" t="s">
        <v>99</v>
      </c>
      <c r="AL4" s="0" t="str">
        <f aca="false">PROPER(AK4)</f>
        <v>Uber Driver</v>
      </c>
      <c r="AM4" s="0" t="s">
        <v>59</v>
      </c>
      <c r="AN4" s="0" t="str">
        <f aca="false">IF(ISBLANK(AM4),"Unknown",AM4)</f>
        <v>Bolt Driver</v>
      </c>
      <c r="AO4" s="0" t="s">
        <v>79</v>
      </c>
      <c r="AP4" s="0" t="str">
        <f aca="false">IF(ISBLANK(AO4),"Unknown",AO4)</f>
        <v>Specialist</v>
      </c>
      <c r="AR4" s="5" t="n">
        <f aca="false">IF(ISBLANK(AQ4),AVERAGEIF(M4:M1003,M4,AQ4:AQ1003),AQ4)</f>
        <v>26167.8832116788</v>
      </c>
      <c r="AS4" s="0" t="n">
        <v>30000</v>
      </c>
      <c r="AT4" s="5" t="n">
        <f aca="false">IF(ISBLANK(AS4),AVERAGE(AS4:AS1003),AS4)</f>
        <v>30000</v>
      </c>
      <c r="AU4" s="0" t="s">
        <v>63</v>
      </c>
      <c r="AV4" s="0" t="str">
        <f aca="false">PROPER(IF(ISBLANK(AU4),"No",AU4))</f>
        <v>Yes</v>
      </c>
      <c r="AW4" s="0" t="n">
        <v>5000</v>
      </c>
      <c r="AX4" s="5" t="n">
        <f aca="false">IF(ISBLANK(AW4),0,AW4)</f>
        <v>5000</v>
      </c>
      <c r="AY4" s="0" t="s">
        <v>80</v>
      </c>
      <c r="AZ4" s="0" t="str">
        <f aca="false">UPPER(IF(ISBLANK(AY4),"NONE",AY4))</f>
        <v>PROMO10</v>
      </c>
      <c r="BA4" s="7" t="s">
        <v>100</v>
      </c>
      <c r="BB4" s="7" t="str">
        <f aca="false">IF(ISBLANK(BA4),"No Follow Up Needed",BA4)</f>
        <v>27/09/2025</v>
      </c>
      <c r="BC4" s="0" t="s">
        <v>50</v>
      </c>
      <c r="BD4" s="0" t="str">
        <f aca="false">PROPER(IF(ISBLANK(BC4),"Unknown",BC4))</f>
        <v>No</v>
      </c>
      <c r="BF4" s="0" t="str">
        <f aca="false">IF(ISBLANK(BE4),"No comments",BE4)</f>
        <v>No comments</v>
      </c>
      <c r="BG4" s="0" t="s">
        <v>2320</v>
      </c>
      <c r="BH4" s="0" t="str">
        <f aca="false">IF(ISBLANK(BG4),"No comments",BG4)</f>
        <v>No complaints</v>
      </c>
      <c r="BI4" s="0" t="s">
        <v>50</v>
      </c>
      <c r="BJ4" s="0" t="str">
        <f aca="false">IF(ISBLANK(BI4),"Not Mentioned",BI4)</f>
        <v>No</v>
      </c>
      <c r="BK4" s="0" t="s">
        <v>82</v>
      </c>
      <c r="BL4" s="0" t="str">
        <f aca="false">PROPER(IF(ISBLANK(BK4),"Not Mentioned",BK4))</f>
        <v>Yes</v>
      </c>
      <c r="BM4" s="0" t="s">
        <v>63</v>
      </c>
      <c r="BN4" s="0" t="str">
        <f aca="false">PROPER(IF(ISBLANK(BM4),"Not Mentioned",BM4))</f>
        <v>Yes</v>
      </c>
      <c r="BO4" s="0" t="s">
        <v>2321</v>
      </c>
      <c r="BP4" s="0" t="str">
        <f aca="false">IF(ISBLANK(BO4),"One-Time Plan",BO4)</f>
        <v>One-Time Plan</v>
      </c>
      <c r="BQ4" s="0" t="s">
        <v>63</v>
      </c>
      <c r="BR4" s="0" t="str">
        <f aca="false">PROPER(IF(ISBLANK(BQ4),"No",BQ4))</f>
        <v>Yes</v>
      </c>
      <c r="CC4" s="0" t="n">
        <f aca="false">COUNTA(AH2:AH1001)</f>
        <v>1000</v>
      </c>
    </row>
    <row r="5" customFormat="false" ht="15" hidden="false" customHeight="false" outlineLevel="0" collapsed="false">
      <c r="A5" s="0" t="s">
        <v>104</v>
      </c>
      <c r="B5" s="2" t="n">
        <v>45794</v>
      </c>
      <c r="C5" s="2" t="str">
        <f aca="false">TEXT(B5,"dd/mm/yyyy")</f>
        <v>17/05/2025</v>
      </c>
      <c r="D5" s="0" t="s">
        <v>105</v>
      </c>
      <c r="E5" s="0" t="n">
        <v>8074612320</v>
      </c>
      <c r="F5" s="0" t="s">
        <v>85</v>
      </c>
      <c r="G5" s="0" t="s">
        <v>2319</v>
      </c>
      <c r="H5" s="0" t="s">
        <v>106</v>
      </c>
      <c r="I5" s="0" t="s">
        <v>107</v>
      </c>
      <c r="J5" s="0" t="s">
        <v>2317</v>
      </c>
      <c r="K5" s="3" t="str">
        <f aca="false" t="array" ref="K5:K5">IFERROR(IF(J5&lt;&gt;"",J5,INDEX(J5:J1004,MATCH(1,(F5:F1004=F5)*(I5:I1004=I5)*(L5:L1004=L5)*(J5:J1004&lt;&gt;""),0))),"Not Found")</f>
        <v>Suspension Noise</v>
      </c>
      <c r="L5" s="3" t="s">
        <v>108</v>
      </c>
      <c r="M5" s="0" t="str">
        <f aca="false">PROPER(L5)</f>
        <v>Timing Belt</v>
      </c>
      <c r="N5" s="3" t="s">
        <v>109</v>
      </c>
      <c r="O5" s="0" t="str">
        <f aca="false" t="array" ref="O5:O5">IF(N5&lt;&gt;"",N5,_xlfn.xlookup(1,(L5:L1004=L5)*(N5:N1004&lt;&gt;""),N5:N1004,"Not Found"))</f>
        <v>Tijani</v>
      </c>
      <c r="P5" s="4" t="n">
        <v>77984</v>
      </c>
      <c r="Q5" s="0" t="s">
        <v>110</v>
      </c>
      <c r="R5" s="0" t="str">
        <f aca="false">PROPER(Q5)</f>
        <v>Cash</v>
      </c>
      <c r="S5" s="0" t="s">
        <v>63</v>
      </c>
      <c r="T5" s="0" t="n">
        <v>4</v>
      </c>
      <c r="U5" s="5" t="n">
        <f aca="false">IF(ISBLANK(T5),AVERAGE(T5:T1004),T5)</f>
        <v>4</v>
      </c>
      <c r="V5" s="0" t="n">
        <v>4.1</v>
      </c>
      <c r="W5" s="0" t="s">
        <v>111</v>
      </c>
      <c r="X5" s="0" t="str">
        <f aca="false">IF(ISBLANK(W5),"No remarks",W5)</f>
        <v>Changed all filters</v>
      </c>
      <c r="Y5" s="0" t="s">
        <v>52</v>
      </c>
      <c r="Z5" s="0" t="s">
        <v>53</v>
      </c>
      <c r="AA5" s="0" t="str">
        <f aca="false">PROPER(IF(ISBLANK(Z5),"Location Unavailable",Z5))</f>
        <v>Main Bay</v>
      </c>
      <c r="AB5" s="0" t="s">
        <v>54</v>
      </c>
      <c r="AC5" s="6" t="str">
        <f aca="false">PROPER(AB5)</f>
        <v>Mechanic Referral</v>
      </c>
      <c r="AD5" s="6" t="n">
        <v>30</v>
      </c>
      <c r="AE5" s="5" t="n">
        <f aca="false">IF(ISBLANK(AD5),AVERAGEIF(L5:L1004,L5,AD5:AD1004),AD5)</f>
        <v>30</v>
      </c>
      <c r="AF5" s="0" t="s">
        <v>112</v>
      </c>
      <c r="AG5" s="0" t="str">
        <f aca="false">PROPER(AF5)</f>
        <v>Unavailable</v>
      </c>
      <c r="AH5" s="0" t="s">
        <v>77</v>
      </c>
      <c r="AI5" s="0" t="s">
        <v>113</v>
      </c>
      <c r="AJ5" s="0" t="str">
        <f aca="false">PROPER(AI5)</f>
        <v>Normal</v>
      </c>
      <c r="AK5" s="0" t="s">
        <v>114</v>
      </c>
      <c r="AL5" s="0" t="str">
        <f aca="false">PROPER(AK5)</f>
        <v>Returning</v>
      </c>
      <c r="AM5" s="0" t="s">
        <v>59</v>
      </c>
      <c r="AN5" s="0" t="str">
        <f aca="false">IF(ISBLANK(AM5),"Unknown",AM5)</f>
        <v>Bolt Driver</v>
      </c>
      <c r="AO5" s="0" t="s">
        <v>79</v>
      </c>
      <c r="AP5" s="0" t="str">
        <f aca="false">IF(ISBLANK(AO5),"Unknown",AO5)</f>
        <v>Specialist</v>
      </c>
      <c r="AQ5" s="0" t="n">
        <v>15000</v>
      </c>
      <c r="AR5" s="5" t="n">
        <f aca="false">IF(ISBLANK(AQ5),AVERAGEIF(M5:M1004,M5,AQ5:AQ1004),AQ5)</f>
        <v>15000</v>
      </c>
      <c r="AT5" s="5" t="n">
        <f aca="false">IF(ISBLANK(AS5),AVERAGE(AS5:AS1004),AS5)</f>
        <v>31408.7061668682</v>
      </c>
      <c r="AU5" s="0" t="s">
        <v>50</v>
      </c>
      <c r="AV5" s="0" t="str">
        <f aca="false">PROPER(IF(ISBLANK(AU5),"No",AU5))</f>
        <v>No</v>
      </c>
      <c r="AW5" s="0" t="n">
        <v>5000</v>
      </c>
      <c r="AX5" s="5" t="n">
        <f aca="false">IF(ISBLANK(AW5),0,AW5)</f>
        <v>5000</v>
      </c>
      <c r="AY5" s="0" t="s">
        <v>60</v>
      </c>
      <c r="AZ5" s="0" t="str">
        <f aca="false">UPPER(IF(ISBLANK(AY5),"NONE",AY5))</f>
        <v>NONE</v>
      </c>
      <c r="BA5" s="7" t="n">
        <v>45981</v>
      </c>
      <c r="BB5" s="7" t="n">
        <f aca="false">IF(ISBLANK(BA5),"No Follow Up Needed",BA5)</f>
        <v>45981</v>
      </c>
      <c r="BD5" s="0" t="str">
        <f aca="false">PROPER(IF(ISBLANK(BC5),"Unknown",BC5))</f>
        <v>Unknown</v>
      </c>
      <c r="BE5" s="0" t="s">
        <v>116</v>
      </c>
      <c r="BF5" s="0" t="str">
        <f aca="false">IF(ISBLANK(BE5),"No comments",BE5)</f>
        <v>Needs tire alignment</v>
      </c>
      <c r="BG5" s="0" t="s">
        <v>117</v>
      </c>
      <c r="BH5" s="0" t="str">
        <f aca="false">IF(ISBLANK(BG5),"No comments",BG5)</f>
        <v>Prefers morning</v>
      </c>
      <c r="BI5" s="0" t="s">
        <v>63</v>
      </c>
      <c r="BJ5" s="0" t="str">
        <f aca="false">IF(ISBLANK(BI5),"Not Mentioned",BI5)</f>
        <v>Yes</v>
      </c>
      <c r="BK5" s="0" t="s">
        <v>82</v>
      </c>
      <c r="BL5" s="0" t="str">
        <f aca="false">PROPER(IF(ISBLANK(BK5),"Not Mentioned",BK5))</f>
        <v>Yes</v>
      </c>
      <c r="BM5" s="0" t="s">
        <v>63</v>
      </c>
      <c r="BN5" s="0" t="str">
        <f aca="false">PROPER(IF(ISBLANK(BM5),"Not Mentioned",BM5))</f>
        <v>Yes</v>
      </c>
      <c r="BO5" s="0" t="s">
        <v>2321</v>
      </c>
      <c r="BP5" s="0" t="str">
        <f aca="false">IF(ISBLANK(BO5),"One-Time Plan",BO5)</f>
        <v>One-Time Plan</v>
      </c>
      <c r="BQ5" s="0" t="s">
        <v>50</v>
      </c>
      <c r="BR5" s="0" t="str">
        <f aca="false">PROPER(IF(ISBLANK(BQ5),"No",BQ5))</f>
        <v>No</v>
      </c>
    </row>
    <row r="6" customFormat="false" ht="15" hidden="false" customHeight="false" outlineLevel="0" collapsed="false">
      <c r="A6" s="0" t="s">
        <v>120</v>
      </c>
      <c r="B6" s="2" t="s">
        <v>119</v>
      </c>
      <c r="C6" s="2" t="str">
        <f aca="false">TEXT(B6,"dd/mm/yyyy")</f>
        <v>28/01/2025</v>
      </c>
      <c r="D6" s="0" t="s">
        <v>121</v>
      </c>
      <c r="E6" s="0" t="n">
        <v>8093329195</v>
      </c>
      <c r="F6" s="0" t="s">
        <v>122</v>
      </c>
      <c r="G6" s="0" t="s">
        <v>2316</v>
      </c>
      <c r="H6" s="0" t="s">
        <v>123</v>
      </c>
      <c r="I6" s="0" t="s">
        <v>107</v>
      </c>
      <c r="K6" s="3" t="str">
        <f aca="false" t="array" ref="K6:K6">IFERROR(IF(J6&lt;&gt;"",J6,INDEX(J6:J1005,MATCH(1,(F6:F1005=F6)*(I6:I1005=I6)*(L6:L1005=L6)*(J6:J1005&lt;&gt;""),0))),"Not Found")</f>
        <v>Suspension Noise</v>
      </c>
      <c r="L6" s="3" t="s">
        <v>89</v>
      </c>
      <c r="M6" s="0" t="str">
        <f aca="false">PROPER(L6)</f>
        <v>Shock Absorbers</v>
      </c>
      <c r="N6" s="3" t="s">
        <v>109</v>
      </c>
      <c r="O6" s="0" t="str">
        <f aca="false" t="array" ref="O6:O6">IF(N6&lt;&gt;"",N6,_xlfn.xlookup(1,(L6:L1005=L6)*(N6:N1005&lt;&gt;""),N6:N1005,"Not Found"))</f>
        <v>Tijani</v>
      </c>
      <c r="P6" s="4" t="n">
        <v>102558</v>
      </c>
      <c r="Q6" s="0" t="s">
        <v>124</v>
      </c>
      <c r="R6" s="0" t="str">
        <f aca="false">PROPER(Q6)</f>
        <v>Cash</v>
      </c>
      <c r="S6" s="0" t="s">
        <v>50</v>
      </c>
      <c r="T6" s="0" t="n">
        <v>3</v>
      </c>
      <c r="U6" s="5" t="n">
        <f aca="false">IF(ISBLANK(T6),AVERAGE(T6:T1005),T6)</f>
        <v>3</v>
      </c>
      <c r="V6" s="0" t="n">
        <v>3.9</v>
      </c>
      <c r="W6" s="0" t="s">
        <v>125</v>
      </c>
      <c r="X6" s="0" t="str">
        <f aca="false">IF(ISBLANK(W6),"No remarks",W6)</f>
        <v>Customer waited</v>
      </c>
      <c r="Y6" s="0" t="s">
        <v>52</v>
      </c>
      <c r="Z6" s="0" t="s">
        <v>53</v>
      </c>
      <c r="AA6" s="0" t="str">
        <f aca="false">PROPER(IF(ISBLANK(Z6),"Location Unavailable",Z6))</f>
        <v>Main Bay</v>
      </c>
      <c r="AB6" s="0" t="s">
        <v>126</v>
      </c>
      <c r="AC6" s="6" t="str">
        <f aca="false">PROPER(AB6)</f>
        <v>Whatsapp</v>
      </c>
      <c r="AD6" s="6" t="n">
        <v>45</v>
      </c>
      <c r="AE6" s="5" t="n">
        <f aca="false">IF(ISBLANK(AD6),AVERAGEIF(L6:L1005,L6,AD6:AD1005),AD6)</f>
        <v>45</v>
      </c>
      <c r="AF6" s="0" t="s">
        <v>55</v>
      </c>
      <c r="AG6" s="0" t="str">
        <f aca="false">PROPER(AF6)</f>
        <v>Available</v>
      </c>
      <c r="AH6" s="0" t="s">
        <v>155</v>
      </c>
      <c r="AI6" s="0" t="s">
        <v>128</v>
      </c>
      <c r="AJ6" s="0" t="str">
        <f aca="false">PROPER(AI6)</f>
        <v>Normal</v>
      </c>
      <c r="AK6" s="0" t="s">
        <v>114</v>
      </c>
      <c r="AL6" s="0" t="str">
        <f aca="false">PROPER(AK6)</f>
        <v>Returning</v>
      </c>
      <c r="AN6" s="0" t="str">
        <f aca="false">IF(ISBLANK(AM6),"Unknown",AM6)</f>
        <v>Unknown</v>
      </c>
      <c r="AO6" s="0" t="s">
        <v>79</v>
      </c>
      <c r="AP6" s="0" t="str">
        <f aca="false">IF(ISBLANK(AO6),"Unknown",AO6)</f>
        <v>Specialist</v>
      </c>
      <c r="AQ6" s="0" t="n">
        <v>15000</v>
      </c>
      <c r="AR6" s="5" t="n">
        <f aca="false">IF(ISBLANK(AQ6),AVERAGEIF(M6:M1005,M6,AQ6:AQ1005),AQ6)</f>
        <v>15000</v>
      </c>
      <c r="AS6" s="0" t="n">
        <v>40000</v>
      </c>
      <c r="AT6" s="5" t="n">
        <f aca="false">IF(ISBLANK(AS6),AVERAGE(AS6:AS1005),AS6)</f>
        <v>40000</v>
      </c>
      <c r="AU6" s="0" t="s">
        <v>63</v>
      </c>
      <c r="AV6" s="0" t="str">
        <f aca="false">PROPER(IF(ISBLANK(AU6),"No",AU6))</f>
        <v>Yes</v>
      </c>
      <c r="AW6" s="0" t="n">
        <v>0</v>
      </c>
      <c r="AX6" s="5" t="n">
        <f aca="false">IF(ISBLANK(AW6),0,AW6)</f>
        <v>0</v>
      </c>
      <c r="AY6" s="0" t="s">
        <v>130</v>
      </c>
      <c r="AZ6" s="0" t="str">
        <f aca="false">UPPER(IF(ISBLANK(AY6),"NONE",AY6))</f>
        <v>LOYALTY10</v>
      </c>
      <c r="BA6" s="7" t="s">
        <v>131</v>
      </c>
      <c r="BB6" s="7" t="str">
        <f aca="false">IF(ISBLANK(BA6),"No Follow Up Needed",BA6)</f>
        <v>18/07/2025</v>
      </c>
      <c r="BC6" s="0" t="s">
        <v>50</v>
      </c>
      <c r="BD6" s="0" t="str">
        <f aca="false">PROPER(IF(ISBLANK(BC6),"Unknown",BC6))</f>
        <v>No</v>
      </c>
      <c r="BE6" s="0" t="s">
        <v>116</v>
      </c>
      <c r="BF6" s="0" t="str">
        <f aca="false">IF(ISBLANK(BE6),"No comments",BE6)</f>
        <v>Needs tire alignment</v>
      </c>
      <c r="BG6" s="0" t="s">
        <v>117</v>
      </c>
      <c r="BH6" s="0" t="str">
        <f aca="false">IF(ISBLANK(BG6),"No comments",BG6)</f>
        <v>Prefers morning</v>
      </c>
      <c r="BI6" s="0" t="s">
        <v>50</v>
      </c>
      <c r="BJ6" s="0" t="str">
        <f aca="false">IF(ISBLANK(BI6),"Not Mentioned",BI6)</f>
        <v>No</v>
      </c>
      <c r="BL6" s="0" t="str">
        <f aca="false">PROPER(IF(ISBLANK(BK6),"Not Mentioned",BK6))</f>
        <v>Not Mentioned</v>
      </c>
      <c r="BN6" s="0" t="str">
        <f aca="false">PROPER(IF(ISBLANK(BM6),"Not Mentioned",BM6))</f>
        <v>Not Mentioned</v>
      </c>
      <c r="BP6" s="0" t="str">
        <f aca="false">IF(ISBLANK(BO6),"One-Time Plan",BO6)</f>
        <v>One-Time Plan</v>
      </c>
      <c r="BR6" s="0" t="str">
        <f aca="false">PROPER(IF(ISBLANK(BQ6),"No",BQ6))</f>
        <v>No</v>
      </c>
    </row>
    <row r="7" customFormat="false" ht="15" hidden="false" customHeight="false" outlineLevel="0" collapsed="false">
      <c r="A7" s="0" t="s">
        <v>132</v>
      </c>
      <c r="B7" s="2" t="n">
        <v>45695</v>
      </c>
      <c r="C7" s="2" t="str">
        <f aca="false">TEXT(B7,"dd/mm/yyyy")</f>
        <v>07/02/2025</v>
      </c>
      <c r="D7" s="0" t="s">
        <v>66</v>
      </c>
      <c r="E7" s="0" t="n">
        <v>8069676465</v>
      </c>
      <c r="F7" s="0" t="s">
        <v>43</v>
      </c>
      <c r="G7" s="0" t="s">
        <v>2315</v>
      </c>
      <c r="H7" s="0" t="s">
        <v>133</v>
      </c>
      <c r="I7" s="0" t="s">
        <v>134</v>
      </c>
      <c r="J7" s="0" t="s">
        <v>2322</v>
      </c>
      <c r="K7" s="3" t="str">
        <f aca="false" t="array" ref="K7:K7">IFERROR(IF(J7&lt;&gt;"",J7,INDEX(J7:J1006,MATCH(1,(F7:F1006=F7)*(I7:I1006=I7)*(L7:L1006=L7)*(J7:J1006&lt;&gt;""),0))),"Not Found")</f>
        <v>Brake Failure</v>
      </c>
      <c r="L7" s="3" t="s">
        <v>108</v>
      </c>
      <c r="M7" s="0" t="str">
        <f aca="false">PROPER(L7)</f>
        <v>Timing Belt</v>
      </c>
      <c r="N7" s="3" t="s">
        <v>71</v>
      </c>
      <c r="O7" s="0" t="str">
        <f aca="false" t="array" ref="O7:O7">IF(N7&lt;&gt;"",N7,_xlfn.xlookup(1,(L7:L1006=L7)*(N7:N1006&lt;&gt;""),N7:N1006,"Not Found"))</f>
        <v>Isaac Bobo</v>
      </c>
      <c r="P7" s="4" t="n">
        <v>21415</v>
      </c>
      <c r="Q7" s="0" t="s">
        <v>49</v>
      </c>
      <c r="R7" s="0" t="str">
        <f aca="false">PROPER(Q7)</f>
        <v>Transfer</v>
      </c>
      <c r="S7" s="0" t="s">
        <v>50</v>
      </c>
      <c r="T7" s="0" t="n">
        <v>2</v>
      </c>
      <c r="U7" s="5" t="n">
        <f aca="false">IF(ISBLANK(T7),AVERAGE(T7:T1006),T7)</f>
        <v>2</v>
      </c>
      <c r="V7" s="0" t="n">
        <v>3</v>
      </c>
      <c r="W7" s="0" t="s">
        <v>111</v>
      </c>
      <c r="X7" s="0" t="str">
        <f aca="false">IF(ISBLANK(W7),"No remarks",W7)</f>
        <v>Changed all filters</v>
      </c>
      <c r="Y7" s="0" t="s">
        <v>73</v>
      </c>
      <c r="Z7" s="0" t="s">
        <v>136</v>
      </c>
      <c r="AA7" s="0" t="str">
        <f aca="false">PROPER(IF(ISBLANK(Z7),"Location Unavailable",Z7))</f>
        <v>Vip Section</v>
      </c>
      <c r="AB7" s="0" t="s">
        <v>95</v>
      </c>
      <c r="AC7" s="6" t="str">
        <f aca="false">PROPER(AB7)</f>
        <v>Road Sign</v>
      </c>
      <c r="AD7" s="6" t="n">
        <v>15</v>
      </c>
      <c r="AE7" s="5" t="n">
        <f aca="false">IF(ISBLANK(AD7),AVERAGEIF(L7:L1006,L7,AD7:AD1006),AD7)</f>
        <v>15</v>
      </c>
      <c r="AF7" s="0" t="s">
        <v>112</v>
      </c>
      <c r="AG7" s="0" t="str">
        <f aca="false">PROPER(AF7)</f>
        <v>Unavailable</v>
      </c>
      <c r="AH7" s="0" t="s">
        <v>56</v>
      </c>
      <c r="AI7" s="0" t="s">
        <v>78</v>
      </c>
      <c r="AJ7" s="0" t="str">
        <f aca="false">PROPER(AI7)</f>
        <v>Booking</v>
      </c>
      <c r="AK7" s="0" t="s">
        <v>196</v>
      </c>
      <c r="AL7" s="0" t="str">
        <f aca="false">PROPER(AK7)</f>
        <v>First Time</v>
      </c>
      <c r="AN7" s="0" t="str">
        <f aca="false">IF(ISBLANK(AM7),"Unknown",AM7)</f>
        <v>Unknown</v>
      </c>
      <c r="AO7" s="0" t="s">
        <v>79</v>
      </c>
      <c r="AP7" s="0" t="str">
        <f aca="false">IF(ISBLANK(AO7),"Unknown",AO7)</f>
        <v>Specialist</v>
      </c>
      <c r="AQ7" s="0" t="n">
        <v>25000</v>
      </c>
      <c r="AR7" s="5" t="n">
        <f aca="false">IF(ISBLANK(AQ7),AVERAGEIF(M7:M1006,M7,AQ7:AQ1006),AQ7)</f>
        <v>25000</v>
      </c>
      <c r="AS7" s="0" t="n">
        <v>35000</v>
      </c>
      <c r="AT7" s="5" t="n">
        <f aca="false">IF(ISBLANK(AS7),AVERAGE(AS7:AS1006),AS7)</f>
        <v>35000</v>
      </c>
      <c r="AU7" s="0" t="s">
        <v>50</v>
      </c>
      <c r="AV7" s="0" t="str">
        <f aca="false">PROPER(IF(ISBLANK(AU7),"No",AU7))</f>
        <v>No</v>
      </c>
      <c r="AW7" s="0" t="n">
        <v>5000</v>
      </c>
      <c r="AX7" s="5" t="n">
        <f aca="false">IF(ISBLANK(AW7),0,AW7)</f>
        <v>5000</v>
      </c>
      <c r="AZ7" s="0" t="str">
        <f aca="false">UPPER(IF(ISBLANK(AY7),"NONE",AY7))</f>
        <v>NONE</v>
      </c>
      <c r="BA7" s="7" t="n">
        <v>45827</v>
      </c>
      <c r="BB7" s="7" t="n">
        <f aca="false">IF(ISBLANK(BA7),"No Follow Up Needed",BA7)</f>
        <v>45827</v>
      </c>
      <c r="BC7" s="0" t="s">
        <v>61</v>
      </c>
      <c r="BD7" s="0" t="str">
        <f aca="false">PROPER(IF(ISBLANK(BC7),"Unknown",BC7))</f>
        <v>No</v>
      </c>
      <c r="BF7" s="0" t="str">
        <f aca="false">IF(ISBLANK(BE7),"No comments",BE7)</f>
        <v>No comments</v>
      </c>
      <c r="BG7" s="0" t="s">
        <v>117</v>
      </c>
      <c r="BH7" s="0" t="str">
        <f aca="false">IF(ISBLANK(BG7),"No comments",BG7)</f>
        <v>Prefers morning</v>
      </c>
      <c r="BI7" s="0" t="s">
        <v>50</v>
      </c>
      <c r="BJ7" s="0" t="str">
        <f aca="false">IF(ISBLANK(BI7),"Not Mentioned",BI7)</f>
        <v>No</v>
      </c>
      <c r="BL7" s="0" t="str">
        <f aca="false">PROPER(IF(ISBLANK(BK7),"Not Mentioned",BK7))</f>
        <v>Not Mentioned</v>
      </c>
      <c r="BM7" s="0" t="s">
        <v>63</v>
      </c>
      <c r="BN7" s="0" t="str">
        <f aca="false">PROPER(IF(ISBLANK(BM7),"Not Mentioned",BM7))</f>
        <v>Yes</v>
      </c>
      <c r="BP7" s="0" t="str">
        <f aca="false">IF(ISBLANK(BO7),"One-Time Plan",BO7)</f>
        <v>One-Time Plan</v>
      </c>
      <c r="BQ7" s="0" t="s">
        <v>50</v>
      </c>
      <c r="BR7" s="0" t="str">
        <f aca="false">PROPER(IF(ISBLANK(BQ7),"No",BQ7))</f>
        <v>No</v>
      </c>
    </row>
    <row r="8" customFormat="false" ht="15" hidden="false" customHeight="false" outlineLevel="0" collapsed="false">
      <c r="A8" s="0" t="s">
        <v>138</v>
      </c>
      <c r="B8" s="2" t="n">
        <v>45731</v>
      </c>
      <c r="C8" s="2" t="str">
        <f aca="false">TEXT(B8,"dd/mm/yyyy")</f>
        <v>15/03/2025</v>
      </c>
      <c r="D8" s="0" t="s">
        <v>66</v>
      </c>
      <c r="E8" s="0" t="n">
        <v>8034954217</v>
      </c>
      <c r="F8" s="0" t="s">
        <v>139</v>
      </c>
      <c r="G8" s="0" t="s">
        <v>2323</v>
      </c>
      <c r="H8" s="0" t="s">
        <v>140</v>
      </c>
      <c r="I8" s="0" t="s">
        <v>107</v>
      </c>
      <c r="J8" s="0" t="s">
        <v>87</v>
      </c>
      <c r="K8" s="3" t="str">
        <f aca="false" t="array" ref="K8:K8">IFERROR(IF(J8&lt;&gt;"",J8,INDEX(J8:J1007,MATCH(1,(F8:F1007=F8)*(I8:I1007=I8)*(L8:L1007=L8)*(J8:J1007&lt;&gt;""),0))),"Not Found")</f>
        <v>Oil Change</v>
      </c>
      <c r="L8" s="3" t="s">
        <v>142</v>
      </c>
      <c r="M8" s="0" t="str">
        <f aca="false">PROPER(L8)</f>
        <v>Oil Filter, Brake Pads</v>
      </c>
      <c r="N8" s="3" t="s">
        <v>71</v>
      </c>
      <c r="O8" s="0" t="str">
        <f aca="false" t="array" ref="O8:O8">IF(N8&lt;&gt;"",N8,_xlfn.xlookup(1,(L8:L1007=L8)*(N8:N1007&lt;&gt;""),N8:N1007,"Not Found"))</f>
        <v>Isaac Bobo</v>
      </c>
      <c r="P8" s="4" t="n">
        <v>97183</v>
      </c>
      <c r="Q8" s="0" t="s">
        <v>49</v>
      </c>
      <c r="R8" s="0" t="str">
        <f aca="false">PROPER(Q8)</f>
        <v>Transfer</v>
      </c>
      <c r="S8" s="0" t="s">
        <v>63</v>
      </c>
      <c r="T8" s="0" t="n">
        <v>1</v>
      </c>
      <c r="U8" s="5" t="n">
        <f aca="false">IF(ISBLANK(T8),AVERAGE(T8:T1007),T8)</f>
        <v>1</v>
      </c>
      <c r="V8" s="0" t="n">
        <v>1.4</v>
      </c>
      <c r="W8" s="0" t="s">
        <v>51</v>
      </c>
      <c r="X8" s="0" t="str">
        <f aca="false">IF(ISBLANK(W8),"No remarks",W8)</f>
        <v>Recommended further checks</v>
      </c>
      <c r="Y8" s="0" t="s">
        <v>73</v>
      </c>
      <c r="Z8" s="0" t="s">
        <v>53</v>
      </c>
      <c r="AA8" s="0" t="str">
        <f aca="false">PROPER(IF(ISBLANK(Z8),"Location Unavailable",Z8))</f>
        <v>Main Bay</v>
      </c>
      <c r="AB8" s="0" t="s">
        <v>126</v>
      </c>
      <c r="AC8" s="6" t="str">
        <f aca="false">PROPER(AB8)</f>
        <v>Whatsapp</v>
      </c>
      <c r="AD8" s="6" t="n">
        <v>15</v>
      </c>
      <c r="AE8" s="5" t="n">
        <f aca="false">IF(ISBLANK(AD8),AVERAGEIF(L8:L1007,L8,AD8:AD1007),AD8)</f>
        <v>15</v>
      </c>
      <c r="AF8" s="0" t="s">
        <v>112</v>
      </c>
      <c r="AG8" s="0" t="str">
        <f aca="false">PROPER(AF8)</f>
        <v>Unavailable</v>
      </c>
      <c r="AH8" s="0" t="s">
        <v>56</v>
      </c>
      <c r="AI8" s="0" t="s">
        <v>113</v>
      </c>
      <c r="AJ8" s="0" t="str">
        <f aca="false">PROPER(AI8)</f>
        <v>Normal</v>
      </c>
      <c r="AK8" s="0" t="s">
        <v>196</v>
      </c>
      <c r="AL8" s="0" t="str">
        <f aca="false">PROPER(AK8)</f>
        <v>First Time</v>
      </c>
      <c r="AN8" s="0" t="str">
        <f aca="false">IF(ISBLANK(AM8),"Unknown",AM8)</f>
        <v>Unknown</v>
      </c>
      <c r="AO8" s="0" t="s">
        <v>143</v>
      </c>
      <c r="AP8" s="0" t="str">
        <f aca="false">IF(ISBLANK(AO8),"Unknown",AO8)</f>
        <v>Senior</v>
      </c>
      <c r="AQ8" s="0" t="n">
        <v>30000</v>
      </c>
      <c r="AR8" s="5" t="n">
        <f aca="false">IF(ISBLANK(AQ8),AVERAGEIF(M8:M1007,M8,AQ8:AQ1007),AQ8)</f>
        <v>30000</v>
      </c>
      <c r="AS8" s="0" t="n">
        <v>30000</v>
      </c>
      <c r="AT8" s="5" t="n">
        <f aca="false">IF(ISBLANK(AS8),AVERAGE(AS8:AS1007),AS8)</f>
        <v>30000</v>
      </c>
      <c r="AV8" s="0" t="str">
        <f aca="false">PROPER(IF(ISBLANK(AU8),"No",AU8))</f>
        <v>No</v>
      </c>
      <c r="AW8" s="0" t="n">
        <v>10000</v>
      </c>
      <c r="AX8" s="5" t="n">
        <f aca="false">IF(ISBLANK(AW8),0,AW8)</f>
        <v>10000</v>
      </c>
      <c r="AY8" s="0" t="s">
        <v>80</v>
      </c>
      <c r="AZ8" s="0" t="str">
        <f aca="false">UPPER(IF(ISBLANK(AY8),"NONE",AY8))</f>
        <v>PROMO10</v>
      </c>
      <c r="BB8" s="7" t="str">
        <f aca="false">IF(ISBLANK(BA8),"No Follow Up Needed",BA8)</f>
        <v>No Follow Up Needed</v>
      </c>
      <c r="BD8" s="0" t="str">
        <f aca="false">PROPER(IF(ISBLANK(BC8),"Unknown",BC8))</f>
        <v>Unknown</v>
      </c>
      <c r="BE8" s="0" t="s">
        <v>116</v>
      </c>
      <c r="BF8" s="0" t="str">
        <f aca="false">IF(ISBLANK(BE8),"No comments",BE8)</f>
        <v>Needs tire alignment</v>
      </c>
      <c r="BG8" s="0" t="s">
        <v>117</v>
      </c>
      <c r="BH8" s="0" t="str">
        <f aca="false">IF(ISBLANK(BG8),"No comments",BG8)</f>
        <v>Prefers morning</v>
      </c>
      <c r="BI8" s="0" t="s">
        <v>63</v>
      </c>
      <c r="BJ8" s="0" t="str">
        <f aca="false">IF(ISBLANK(BI8),"Not Mentioned",BI8)</f>
        <v>Yes</v>
      </c>
      <c r="BL8" s="0" t="str">
        <f aca="false">PROPER(IF(ISBLANK(BK8),"Not Mentioned",BK8))</f>
        <v>Not Mentioned</v>
      </c>
      <c r="BM8" s="0" t="s">
        <v>63</v>
      </c>
      <c r="BN8" s="0" t="str">
        <f aca="false">PROPER(IF(ISBLANK(BM8),"Not Mentioned",BM8))</f>
        <v>Yes</v>
      </c>
      <c r="BO8" s="0" t="s">
        <v>64</v>
      </c>
      <c r="BP8" s="0" t="str">
        <f aca="false">IF(ISBLANK(BO8),"One-Time Plan",BO8)</f>
        <v>Gold Maintenance Plan</v>
      </c>
      <c r="BR8" s="0" t="str">
        <f aca="false">PROPER(IF(ISBLANK(BQ8),"No",BQ8))</f>
        <v>No</v>
      </c>
    </row>
    <row r="9" customFormat="false" ht="15" hidden="false" customHeight="false" outlineLevel="0" collapsed="false">
      <c r="A9" s="0" t="s">
        <v>144</v>
      </c>
      <c r="B9" s="2" t="n">
        <v>45673</v>
      </c>
      <c r="C9" s="2" t="str">
        <f aca="false">TEXT(B9,"dd/mm/yyyy")</f>
        <v>16/01/2025</v>
      </c>
      <c r="D9" s="0" t="s">
        <v>121</v>
      </c>
      <c r="E9" s="0" t="n">
        <v>8042635373</v>
      </c>
      <c r="F9" s="0" t="s">
        <v>139</v>
      </c>
      <c r="G9" s="0" t="s">
        <v>2323</v>
      </c>
      <c r="H9" s="0" t="s">
        <v>145</v>
      </c>
      <c r="I9" s="0" t="s">
        <v>87</v>
      </c>
      <c r="J9" s="0" t="s">
        <v>2322</v>
      </c>
      <c r="K9" s="3" t="str">
        <f aca="false" t="array" ref="K9:K9">IFERROR(IF(J9&lt;&gt;"",J9,INDEX(J9:J1008,MATCH(1,(F9:F1008=F9)*(I9:I1008=I9)*(L9:L1008=L9)*(J9:J1008&lt;&gt;""),0))),"Not Found")</f>
        <v>Brake Failure</v>
      </c>
      <c r="L9" s="3" t="s">
        <v>142</v>
      </c>
      <c r="M9" s="0" t="str">
        <f aca="false">PROPER(L9)</f>
        <v>Oil Filter, Brake Pads</v>
      </c>
      <c r="N9" s="3" t="s">
        <v>71</v>
      </c>
      <c r="O9" s="0" t="str">
        <f aca="false" t="array" ref="O9:O9">IF(N9&lt;&gt;"",N9,_xlfn.xlookup(1,(L9:L1008=L9)*(N9:N1008&lt;&gt;""),N9:N1008,"Not Found"))</f>
        <v>Isaac Bobo</v>
      </c>
      <c r="P9" s="4" t="n">
        <v>69772</v>
      </c>
      <c r="Q9" s="0" t="s">
        <v>91</v>
      </c>
      <c r="R9" s="0" t="str">
        <f aca="false">PROPER(Q9)</f>
        <v>Pos</v>
      </c>
      <c r="S9" s="0" t="s">
        <v>50</v>
      </c>
      <c r="T9" s="0" t="n">
        <v>3</v>
      </c>
      <c r="U9" s="5" t="n">
        <f aca="false">IF(ISBLANK(T9),AVERAGE(T9:T1008),T9)</f>
        <v>3</v>
      </c>
      <c r="V9" s="0" t="n">
        <v>3.5</v>
      </c>
      <c r="W9" s="0" t="s">
        <v>111</v>
      </c>
      <c r="X9" s="0" t="str">
        <f aca="false">IF(ISBLANK(W9),"No remarks",W9)</f>
        <v>Changed all filters</v>
      </c>
      <c r="Y9" s="0" t="s">
        <v>93</v>
      </c>
      <c r="Z9" s="0" t="s">
        <v>74</v>
      </c>
      <c r="AA9" s="0" t="str">
        <f aca="false">PROPER(IF(ISBLANK(Z9),"Location Unavailable",Z9))</f>
        <v>Under Tree</v>
      </c>
      <c r="AB9" s="0" t="s">
        <v>147</v>
      </c>
      <c r="AC9" s="6" t="str">
        <f aca="false">PROPER(AB9)</f>
        <v>Instagram</v>
      </c>
      <c r="AE9" s="5" t="n">
        <f aca="false">IF(ISBLANK(AD9),AVERAGEIF(L9:L1008,L9,AD9:AD1008),AD9)</f>
        <v>38.7898089171975</v>
      </c>
      <c r="AF9" s="0" t="s">
        <v>96</v>
      </c>
      <c r="AG9" s="0" t="str">
        <f aca="false">PROPER(AF9)</f>
        <v>Ordered</v>
      </c>
      <c r="AH9" s="0" t="s">
        <v>148</v>
      </c>
      <c r="AI9" s="0" t="s">
        <v>98</v>
      </c>
      <c r="AJ9" s="0" t="str">
        <f aca="false">PROPER(AI9)</f>
        <v>Emergency</v>
      </c>
      <c r="AK9" s="0" t="s">
        <v>99</v>
      </c>
      <c r="AL9" s="0" t="str">
        <f aca="false">PROPER(AK9)</f>
        <v>Uber Driver</v>
      </c>
      <c r="AN9" s="0" t="str">
        <f aca="false">IF(ISBLANK(AM9),"Unknown",AM9)</f>
        <v>Unknown</v>
      </c>
      <c r="AO9" s="0" t="s">
        <v>149</v>
      </c>
      <c r="AP9" s="0" t="str">
        <f aca="false">IF(ISBLANK(AO9),"Unknown",AO9)</f>
        <v>Senior </v>
      </c>
      <c r="AQ9" s="0" t="n">
        <v>20000</v>
      </c>
      <c r="AR9" s="5" t="n">
        <f aca="false">IF(ISBLANK(AQ9),AVERAGEIF(M9:M1008,M9,AQ9:AQ1008),AQ9)</f>
        <v>20000</v>
      </c>
      <c r="AS9" s="0" t="n">
        <v>35000</v>
      </c>
      <c r="AT9" s="5" t="n">
        <f aca="false">IF(ISBLANK(AS9),AVERAGE(AS9:AS1008),AS9)</f>
        <v>35000</v>
      </c>
      <c r="AU9" s="0" t="s">
        <v>63</v>
      </c>
      <c r="AV9" s="0" t="str">
        <f aca="false">PROPER(IF(ISBLANK(AU9),"No",AU9))</f>
        <v>Yes</v>
      </c>
      <c r="AW9" s="0" t="n">
        <v>10000</v>
      </c>
      <c r="AX9" s="5" t="n">
        <f aca="false">IF(ISBLANK(AW9),0,AW9)</f>
        <v>10000</v>
      </c>
      <c r="AY9" s="0" t="s">
        <v>130</v>
      </c>
      <c r="AZ9" s="0" t="str">
        <f aca="false">UPPER(IF(ISBLANK(AY9),"NONE",AY9))</f>
        <v>LOYALTY10</v>
      </c>
      <c r="BA9" s="7" t="n">
        <v>45932</v>
      </c>
      <c r="BB9" s="7" t="n">
        <f aca="false">IF(ISBLANK(BA9),"No Follow Up Needed",BA9)</f>
        <v>45932</v>
      </c>
      <c r="BC9" s="0" t="s">
        <v>82</v>
      </c>
      <c r="BD9" s="0" t="str">
        <f aca="false">PROPER(IF(ISBLANK(BC9),"Unknown",BC9))</f>
        <v>Yes</v>
      </c>
      <c r="BF9" s="0" t="str">
        <f aca="false">IF(ISBLANK(BE9),"No comments",BE9)</f>
        <v>No comments</v>
      </c>
      <c r="BH9" s="0" t="str">
        <f aca="false">IF(ISBLANK(BG9),"No comments",BG9)</f>
        <v>No comments</v>
      </c>
      <c r="BI9" s="0" t="s">
        <v>63</v>
      </c>
      <c r="BJ9" s="0" t="str">
        <f aca="false">IF(ISBLANK(BI9),"Not Mentioned",BI9)</f>
        <v>Yes</v>
      </c>
      <c r="BK9" s="0" t="s">
        <v>63</v>
      </c>
      <c r="BL9" s="0" t="str">
        <f aca="false">PROPER(IF(ISBLANK(BK9),"Not Mentioned",BK9))</f>
        <v>Yes</v>
      </c>
      <c r="BN9" s="0" t="str">
        <f aca="false">PROPER(IF(ISBLANK(BM9),"Not Mentioned",BM9))</f>
        <v>Not Mentioned</v>
      </c>
      <c r="BO9" s="0" t="s">
        <v>2321</v>
      </c>
      <c r="BP9" s="0" t="str">
        <f aca="false">IF(ISBLANK(BO9),"One-Time Plan",BO9)</f>
        <v>One-Time Plan</v>
      </c>
      <c r="BQ9" s="0" t="s">
        <v>63</v>
      </c>
      <c r="BR9" s="0" t="str">
        <f aca="false">PROPER(IF(ISBLANK(BQ9),"No",BQ9))</f>
        <v>Yes</v>
      </c>
    </row>
    <row r="10" customFormat="false" ht="15" hidden="false" customHeight="false" outlineLevel="0" collapsed="false">
      <c r="A10" s="0" t="s">
        <v>151</v>
      </c>
      <c r="B10" s="2" t="n">
        <v>45733</v>
      </c>
      <c r="C10" s="2" t="str">
        <f aca="false">TEXT(B10,"dd/mm/yyyy")</f>
        <v>17/03/2025</v>
      </c>
      <c r="D10" s="0" t="s">
        <v>66</v>
      </c>
      <c r="E10" s="0" t="n">
        <v>8028478117</v>
      </c>
      <c r="F10" s="0" t="s">
        <v>85</v>
      </c>
      <c r="G10" s="0" t="s">
        <v>2319</v>
      </c>
      <c r="H10" s="0" t="s">
        <v>152</v>
      </c>
      <c r="I10" s="0" t="s">
        <v>107</v>
      </c>
      <c r="J10" s="0" t="s">
        <v>2322</v>
      </c>
      <c r="K10" s="3" t="str">
        <f aca="false" t="array" ref="K10:K10">IFERROR(IF(J10&lt;&gt;"",J10,INDEX(J10:J1009,MATCH(1,(F10:F1009=F10)*(I10:I1009=I10)*(L10:L1009=L10)*(J10:J1009&lt;&gt;""),0))),"Not Found")</f>
        <v>Brake Failure</v>
      </c>
      <c r="L10" s="3" t="s">
        <v>154</v>
      </c>
      <c r="M10" s="0" t="str">
        <f aca="false">PROPER(L10)</f>
        <v>Air Filter</v>
      </c>
      <c r="O10" s="0" t="e">
        <f aca="false" t="array" ref="O10:O10">IF(N10&lt;&gt;"",N10,_xlfn.xlookup(1,(L10:L1009=L10)*(N10:N1009&lt;&gt;""),N10:N1009,"Not Found"))</f>
        <v>#NAME?</v>
      </c>
      <c r="P10" s="4" t="n">
        <v>33192</v>
      </c>
      <c r="Q10" s="0" t="s">
        <v>72</v>
      </c>
      <c r="R10" s="0" t="str">
        <f aca="false">PROPER(Q10)</f>
        <v>Pos</v>
      </c>
      <c r="S10" s="0" t="s">
        <v>50</v>
      </c>
      <c r="T10" s="0" t="n">
        <v>5</v>
      </c>
      <c r="U10" s="5" t="n">
        <f aca="false">IF(ISBLANK(T10),AVERAGE(T10:T1009),T10)</f>
        <v>5</v>
      </c>
      <c r="V10" s="0" t="n">
        <v>5</v>
      </c>
      <c r="W10" s="0" t="s">
        <v>125</v>
      </c>
      <c r="X10" s="0" t="str">
        <f aca="false">IF(ISBLANK(W10),"No remarks",W10)</f>
        <v>Customer waited</v>
      </c>
      <c r="Y10" s="0" t="s">
        <v>93</v>
      </c>
      <c r="Z10" s="0" t="s">
        <v>94</v>
      </c>
      <c r="AA10" s="0" t="str">
        <f aca="false">PROPER(IF(ISBLANK(Z10),"Location Unavailable",Z10))</f>
        <v>Vip Section</v>
      </c>
      <c r="AB10" s="0" t="s">
        <v>126</v>
      </c>
      <c r="AC10" s="6" t="str">
        <f aca="false">PROPER(AB10)</f>
        <v>Whatsapp</v>
      </c>
      <c r="AD10" s="6" t="n">
        <v>60</v>
      </c>
      <c r="AE10" s="5" t="n">
        <f aca="false">IF(ISBLANK(AD10),AVERAGEIF(L10:L1009,L10,AD10:AD1009),AD10)</f>
        <v>60</v>
      </c>
      <c r="AF10" s="0" t="s">
        <v>76</v>
      </c>
      <c r="AG10" s="0" t="str">
        <f aca="false">PROPER(AF10)</f>
        <v>Orderd</v>
      </c>
      <c r="AH10" s="0" t="s">
        <v>155</v>
      </c>
      <c r="AI10" s="0" t="s">
        <v>78</v>
      </c>
      <c r="AJ10" s="0" t="str">
        <f aca="false">PROPER(AI10)</f>
        <v>Booking</v>
      </c>
      <c r="AK10" s="0" t="s">
        <v>196</v>
      </c>
      <c r="AL10" s="0" t="str">
        <f aca="false">PROPER(AK10)</f>
        <v>First Time</v>
      </c>
      <c r="AM10" s="0" t="s">
        <v>2324</v>
      </c>
      <c r="AN10" s="0" t="str">
        <f aca="false">IF(ISBLANK(AM10),"Unknown",AM10)</f>
        <v>Logistics Convoy</v>
      </c>
      <c r="AO10" s="0" t="s">
        <v>149</v>
      </c>
      <c r="AP10" s="0" t="str">
        <f aca="false">IF(ISBLANK(AO10),"Unknown",AO10)</f>
        <v>Senior </v>
      </c>
      <c r="AQ10" s="0" t="n">
        <v>30000</v>
      </c>
      <c r="AR10" s="5" t="n">
        <f aca="false">IF(ISBLANK(AQ10),AVERAGEIF(M10:M1009,M10,AQ10:AQ1009),AQ10)</f>
        <v>30000</v>
      </c>
      <c r="AS10" s="0" t="n">
        <v>40000</v>
      </c>
      <c r="AT10" s="5" t="n">
        <f aca="false">IF(ISBLANK(AS10),AVERAGE(AS10:AS1009),AS10)</f>
        <v>40000</v>
      </c>
      <c r="AU10" s="0" t="s">
        <v>50</v>
      </c>
      <c r="AV10" s="0" t="str">
        <f aca="false">PROPER(IF(ISBLANK(AU10),"No",AU10))</f>
        <v>No</v>
      </c>
      <c r="AX10" s="5" t="n">
        <f aca="false">IF(ISBLANK(AW10),0,AW10)</f>
        <v>0</v>
      </c>
      <c r="AY10" s="0" t="s">
        <v>130</v>
      </c>
      <c r="AZ10" s="0" t="str">
        <f aca="false">UPPER(IF(ISBLANK(AY10),"NONE",AY10))</f>
        <v>LOYALTY10</v>
      </c>
      <c r="BA10" s="7" t="n">
        <v>45908</v>
      </c>
      <c r="BB10" s="7" t="n">
        <f aca="false">IF(ISBLANK(BA10),"No Follow Up Needed",BA10)</f>
        <v>45908</v>
      </c>
      <c r="BC10" s="0" t="s">
        <v>50</v>
      </c>
      <c r="BD10" s="0" t="str">
        <f aca="false">PROPER(IF(ISBLANK(BC10),"Unknown",BC10))</f>
        <v>No</v>
      </c>
      <c r="BE10" s="0" t="s">
        <v>116</v>
      </c>
      <c r="BF10" s="0" t="str">
        <f aca="false">IF(ISBLANK(BE10),"No comments",BE10)</f>
        <v>Needs tire alignment</v>
      </c>
      <c r="BG10" s="0" t="s">
        <v>117</v>
      </c>
      <c r="BH10" s="0" t="str">
        <f aca="false">IF(ISBLANK(BG10),"No comments",BG10)</f>
        <v>Prefers morning</v>
      </c>
      <c r="BI10" s="0" t="s">
        <v>50</v>
      </c>
      <c r="BJ10" s="0" t="str">
        <f aca="false">IF(ISBLANK(BI10),"Not Mentioned",BI10)</f>
        <v>No</v>
      </c>
      <c r="BK10" s="0" t="s">
        <v>61</v>
      </c>
      <c r="BL10" s="0" t="str">
        <f aca="false">PROPER(IF(ISBLANK(BK10),"Not Mentioned",BK10))</f>
        <v>No</v>
      </c>
      <c r="BN10" s="0" t="str">
        <f aca="false">PROPER(IF(ISBLANK(BM10),"Not Mentioned",BM10))</f>
        <v>Not Mentioned</v>
      </c>
      <c r="BO10" s="0" t="s">
        <v>2321</v>
      </c>
      <c r="BP10" s="0" t="str">
        <f aca="false">IF(ISBLANK(BO10),"One-Time Plan",BO10)</f>
        <v>One-Time Plan</v>
      </c>
      <c r="BR10" s="0" t="str">
        <f aca="false">PROPER(IF(ISBLANK(BQ10),"No",BQ10))</f>
        <v>No</v>
      </c>
    </row>
    <row r="11" customFormat="false" ht="15" hidden="false" customHeight="false" outlineLevel="0" collapsed="false">
      <c r="A11" s="0" t="s">
        <v>157</v>
      </c>
      <c r="B11" s="2" t="n">
        <v>45684</v>
      </c>
      <c r="C11" s="2" t="str">
        <f aca="false">TEXT(B11,"dd/mm/yyyy")</f>
        <v>27/01/2025</v>
      </c>
      <c r="D11" s="0" t="s">
        <v>66</v>
      </c>
      <c r="E11" s="0" t="n">
        <v>8015915081</v>
      </c>
      <c r="F11" s="0" t="s">
        <v>139</v>
      </c>
      <c r="G11" s="0" t="s">
        <v>2323</v>
      </c>
      <c r="H11" s="0" t="s">
        <v>158</v>
      </c>
      <c r="I11" s="0" t="s">
        <v>45</v>
      </c>
      <c r="J11" s="0" t="s">
        <v>2322</v>
      </c>
      <c r="K11" s="3" t="str">
        <f aca="false" t="array" ref="K11:K11">IFERROR(IF(J11&lt;&gt;"",J11,INDEX(J11:J1010,MATCH(1,(F11:F1010=F11)*(I11:I1010=I11)*(L11:L1010=L11)*(J11:J1010&lt;&gt;""),0))),"Not Found")</f>
        <v>Brake Failure</v>
      </c>
      <c r="L11" s="3" t="s">
        <v>142</v>
      </c>
      <c r="M11" s="0" t="str">
        <f aca="false">PROPER(L11)</f>
        <v>Oil Filter, Brake Pads</v>
      </c>
      <c r="N11" s="3" t="s">
        <v>90</v>
      </c>
      <c r="O11" s="0" t="str">
        <f aca="false" t="array" ref="O11:O11">IF(N11&lt;&gt;"",N11,_xlfn.xlookup(1,(L11:L1010=L11)*(N11:N1010&lt;&gt;""),N11:N1010,"Not Found"))</f>
        <v>Musa</v>
      </c>
      <c r="P11" s="4" t="n">
        <v>113143</v>
      </c>
      <c r="Q11" s="0" t="s">
        <v>49</v>
      </c>
      <c r="R11" s="0" t="str">
        <f aca="false">PROPER(Q11)</f>
        <v>Transfer</v>
      </c>
      <c r="S11" s="0" t="s">
        <v>63</v>
      </c>
      <c r="T11" s="0" t="n">
        <v>3</v>
      </c>
      <c r="U11" s="5" t="n">
        <f aca="false">IF(ISBLANK(T11),AVERAGE(T11:T1010),T11)</f>
        <v>3</v>
      </c>
      <c r="V11" s="0" t="n">
        <v>5</v>
      </c>
      <c r="X11" s="0" t="str">
        <f aca="false">IF(ISBLANK(W11),"No remarks",W11)</f>
        <v>No remarks</v>
      </c>
      <c r="Y11" s="0" t="s">
        <v>93</v>
      </c>
      <c r="Z11" s="0" t="s">
        <v>159</v>
      </c>
      <c r="AA11" s="0" t="str">
        <f aca="false">PROPER(IF(ISBLANK(Z11),"Location Unavailable",Z11))</f>
        <v>Main Bay</v>
      </c>
      <c r="AB11" s="0" t="s">
        <v>126</v>
      </c>
      <c r="AC11" s="6" t="str">
        <f aca="false">PROPER(AB11)</f>
        <v>Whatsapp</v>
      </c>
      <c r="AD11" s="6" t="n">
        <v>15</v>
      </c>
      <c r="AE11" s="5" t="n">
        <f aca="false">IF(ISBLANK(AD11),AVERAGEIF(L11:L1010,L11,AD11:AD1010),AD11)</f>
        <v>15</v>
      </c>
      <c r="AF11" s="0" t="s">
        <v>160</v>
      </c>
      <c r="AG11" s="0" t="str">
        <f aca="false">PROPER(AF11)</f>
        <v>Availaible</v>
      </c>
      <c r="AH11" s="0" t="s">
        <v>155</v>
      </c>
      <c r="AI11" s="0" t="s">
        <v>98</v>
      </c>
      <c r="AJ11" s="0" t="str">
        <f aca="false">PROPER(AI11)</f>
        <v>Emergency</v>
      </c>
      <c r="AK11" s="0" t="s">
        <v>196</v>
      </c>
      <c r="AL11" s="0" t="str">
        <f aca="false">PROPER(AK11)</f>
        <v>First Time</v>
      </c>
      <c r="AN11" s="0" t="str">
        <f aca="false">IF(ISBLANK(AM11),"Unknown",AM11)</f>
        <v>Unknown</v>
      </c>
      <c r="AO11" s="0" t="s">
        <v>161</v>
      </c>
      <c r="AP11" s="0" t="str">
        <f aca="false">IF(ISBLANK(AO11),"Unknown",AO11)</f>
        <v>Apprentice</v>
      </c>
      <c r="AQ11" s="0" t="n">
        <v>40000</v>
      </c>
      <c r="AR11" s="5" t="n">
        <f aca="false">IF(ISBLANK(AQ11),AVERAGEIF(M11:M1010,M11,AQ11:AQ1010),AQ11)</f>
        <v>40000</v>
      </c>
      <c r="AS11" s="0" t="n">
        <v>40000</v>
      </c>
      <c r="AT11" s="5" t="n">
        <f aca="false">IF(ISBLANK(AS11),AVERAGE(AS11:AS1010),AS11)</f>
        <v>40000</v>
      </c>
      <c r="AV11" s="0" t="str">
        <f aca="false">PROPER(IF(ISBLANK(AU11),"No",AU11))</f>
        <v>No</v>
      </c>
      <c r="AW11" s="0" t="n">
        <v>0</v>
      </c>
      <c r="AX11" s="5" t="n">
        <f aca="false">IF(ISBLANK(AW11),0,AW11)</f>
        <v>0</v>
      </c>
      <c r="AY11" s="0" t="s">
        <v>60</v>
      </c>
      <c r="AZ11" s="0" t="str">
        <f aca="false">UPPER(IF(ISBLANK(AY11),"NONE",AY11))</f>
        <v>NONE</v>
      </c>
      <c r="BA11" s="7" t="n">
        <v>45951</v>
      </c>
      <c r="BB11" s="7" t="n">
        <f aca="false">IF(ISBLANK(BA11),"No Follow Up Needed",BA11)</f>
        <v>45951</v>
      </c>
      <c r="BC11" s="0" t="s">
        <v>61</v>
      </c>
      <c r="BD11" s="0" t="str">
        <f aca="false">PROPER(IF(ISBLANK(BC11),"Unknown",BC11))</f>
        <v>No</v>
      </c>
      <c r="BE11" s="0" t="s">
        <v>116</v>
      </c>
      <c r="BF11" s="0" t="str">
        <f aca="false">IF(ISBLANK(BE11),"No comments",BE11)</f>
        <v>Needs tire alignment</v>
      </c>
      <c r="BG11" s="0" t="s">
        <v>117</v>
      </c>
      <c r="BH11" s="0" t="str">
        <f aca="false">IF(ISBLANK(BG11),"No comments",BG11)</f>
        <v>Prefers morning</v>
      </c>
      <c r="BI11" s="0" t="s">
        <v>63</v>
      </c>
      <c r="BJ11" s="0" t="str">
        <f aca="false">IF(ISBLANK(BI11),"Not Mentioned",BI11)</f>
        <v>Yes</v>
      </c>
      <c r="BK11" s="0" t="s">
        <v>63</v>
      </c>
      <c r="BL11" s="0" t="str">
        <f aca="false">PROPER(IF(ISBLANK(BK11),"Not Mentioned",BK11))</f>
        <v>Yes</v>
      </c>
      <c r="BM11" s="0" t="s">
        <v>63</v>
      </c>
      <c r="BN11" s="0" t="str">
        <f aca="false">PROPER(IF(ISBLANK(BM11),"Not Mentioned",BM11))</f>
        <v>Yes</v>
      </c>
      <c r="BO11" s="0" t="s">
        <v>2318</v>
      </c>
      <c r="BP11" s="0" t="str">
        <f aca="false">IF(ISBLANK(BO11),"One-Time Plan",BO11)</f>
        <v>Gold</v>
      </c>
      <c r="BR11" s="0" t="str">
        <f aca="false">PROPER(IF(ISBLANK(BQ11),"No",BQ11))</f>
        <v>No</v>
      </c>
    </row>
    <row r="12" customFormat="false" ht="15" hidden="false" customHeight="false" outlineLevel="0" collapsed="false">
      <c r="A12" s="0" t="s">
        <v>162</v>
      </c>
      <c r="B12" s="2" t="n">
        <v>45823</v>
      </c>
      <c r="C12" s="2" t="str">
        <f aca="false">TEXT(B12,"dd/mm/yyyy")</f>
        <v>15/06/2025</v>
      </c>
      <c r="D12" s="0" t="s">
        <v>163</v>
      </c>
      <c r="E12" s="0" t="n">
        <v>8018118989</v>
      </c>
      <c r="F12" s="0" t="s">
        <v>67</v>
      </c>
      <c r="G12" s="0" t="s">
        <v>2316</v>
      </c>
      <c r="H12" s="0" t="s">
        <v>164</v>
      </c>
      <c r="I12" s="0" t="s">
        <v>134</v>
      </c>
      <c r="J12" s="0" t="s">
        <v>2325</v>
      </c>
      <c r="K12" s="3" t="str">
        <f aca="false" t="array" ref="K12:K12">IFERROR(IF(J12&lt;&gt;"",J12,INDEX(J12:J1011,MATCH(1,(F12:F1011=F12)*(I12:I1011=I12)*(L12:L1011=L12)*(J12:J1011&lt;&gt;""),0))),"Not Found")</f>
        <v>Engine Knocking</v>
      </c>
      <c r="L12" s="3" t="s">
        <v>142</v>
      </c>
      <c r="M12" s="0" t="str">
        <f aca="false">PROPER(L12)</f>
        <v>Oil Filter, Brake Pads</v>
      </c>
      <c r="O12" s="0" t="e">
        <f aca="false" t="array" ref="O12:O12">IF(N12&lt;&gt;"",N12,_xlfn.xlookup(1,(L12:L1011=L12)*(N12:N1011&lt;&gt;""),N12:N1011,"Not Found"))</f>
        <v>#NAME?</v>
      </c>
      <c r="P12" s="4" t="n">
        <v>33680</v>
      </c>
      <c r="Q12" s="0" t="s">
        <v>166</v>
      </c>
      <c r="R12" s="0" t="str">
        <f aca="false">PROPER(Q12)</f>
        <v>Transfer</v>
      </c>
      <c r="S12" s="0" t="s">
        <v>50</v>
      </c>
      <c r="T12" s="0" t="n">
        <v>5</v>
      </c>
      <c r="U12" s="5" t="n">
        <f aca="false">IF(ISBLANK(T12),AVERAGE(T12:T1011),T12)</f>
        <v>5</v>
      </c>
      <c r="V12" s="0" t="n">
        <v>5.2</v>
      </c>
      <c r="W12" s="0" t="s">
        <v>125</v>
      </c>
      <c r="X12" s="0" t="str">
        <f aca="false">IF(ISBLANK(W12),"No remarks",W12)</f>
        <v>Customer waited</v>
      </c>
      <c r="Y12" s="0" t="s">
        <v>73</v>
      </c>
      <c r="Z12" s="0" t="s">
        <v>159</v>
      </c>
      <c r="AA12" s="0" t="str">
        <f aca="false">PROPER(IF(ISBLANK(Z12),"Location Unavailable",Z12))</f>
        <v>Main Bay</v>
      </c>
      <c r="AB12" s="0" t="s">
        <v>167</v>
      </c>
      <c r="AC12" s="6" t="str">
        <f aca="false">PROPER(AB12)</f>
        <v>Word Of Mouth</v>
      </c>
      <c r="AD12" s="6" t="n">
        <v>60</v>
      </c>
      <c r="AE12" s="5" t="n">
        <f aca="false">IF(ISBLANK(AD12),AVERAGEIF(L12:L1011,L12,AD12:AD1011),AD12)</f>
        <v>60</v>
      </c>
      <c r="AF12" s="0" t="s">
        <v>55</v>
      </c>
      <c r="AG12" s="0" t="str">
        <f aca="false">PROPER(AF12)</f>
        <v>Available</v>
      </c>
      <c r="AH12" s="0" t="s">
        <v>155</v>
      </c>
      <c r="AI12" s="0" t="s">
        <v>98</v>
      </c>
      <c r="AJ12" s="0" t="str">
        <f aca="false">PROPER(AI12)</f>
        <v>Emergency</v>
      </c>
      <c r="AK12" s="0" t="s">
        <v>196</v>
      </c>
      <c r="AL12" s="0" t="str">
        <f aca="false">PROPER(AK12)</f>
        <v>First Time</v>
      </c>
      <c r="AM12" s="0" t="s">
        <v>2324</v>
      </c>
      <c r="AN12" s="0" t="str">
        <f aca="false">IF(ISBLANK(AM12),"Unknown",AM12)</f>
        <v>Logistics Convoy</v>
      </c>
      <c r="AO12" s="0" t="s">
        <v>79</v>
      </c>
      <c r="AP12" s="0" t="str">
        <f aca="false">IF(ISBLANK(AO12),"Unknown",AO12)</f>
        <v>Specialist</v>
      </c>
      <c r="AQ12" s="0" t="n">
        <v>25000</v>
      </c>
      <c r="AR12" s="5" t="n">
        <f aca="false">IF(ISBLANK(AQ12),AVERAGEIF(M12:M1011,M12,AQ12:AQ1011),AQ12)</f>
        <v>25000</v>
      </c>
      <c r="AS12" s="0" t="n">
        <v>35000</v>
      </c>
      <c r="AT12" s="5" t="n">
        <f aca="false">IF(ISBLANK(AS12),AVERAGE(AS12:AS1011),AS12)</f>
        <v>35000</v>
      </c>
      <c r="AU12" s="0" t="s">
        <v>63</v>
      </c>
      <c r="AV12" s="0" t="str">
        <f aca="false">PROPER(IF(ISBLANK(AU12),"No",AU12))</f>
        <v>Yes</v>
      </c>
      <c r="AW12" s="0" t="n">
        <v>0</v>
      </c>
      <c r="AX12" s="5" t="n">
        <f aca="false">IF(ISBLANK(AW12),0,AW12)</f>
        <v>0</v>
      </c>
      <c r="AY12" s="0" t="s">
        <v>60</v>
      </c>
      <c r="AZ12" s="0" t="str">
        <f aca="false">UPPER(IF(ISBLANK(AY12),"NONE",AY12))</f>
        <v>NONE</v>
      </c>
      <c r="BB12" s="7" t="str">
        <f aca="false">IF(ISBLANK(BA12),"No Follow Up Needed",BA12)</f>
        <v>No Follow Up Needed</v>
      </c>
      <c r="BD12" s="0" t="str">
        <f aca="false">PROPER(IF(ISBLANK(BC12),"Unknown",BC12))</f>
        <v>Unknown</v>
      </c>
      <c r="BF12" s="0" t="str">
        <f aca="false">IF(ISBLANK(BE12),"No comments",BE12)</f>
        <v>No comments</v>
      </c>
      <c r="BG12" s="0" t="s">
        <v>2320</v>
      </c>
      <c r="BH12" s="0" t="str">
        <f aca="false">IF(ISBLANK(BG12),"No comments",BG12)</f>
        <v>No complaints</v>
      </c>
      <c r="BI12" s="0" t="s">
        <v>63</v>
      </c>
      <c r="BJ12" s="0" t="str">
        <f aca="false">IF(ISBLANK(BI12),"Not Mentioned",BI12)</f>
        <v>Yes</v>
      </c>
      <c r="BK12" s="0" t="s">
        <v>50</v>
      </c>
      <c r="BL12" s="0" t="str">
        <f aca="false">PROPER(IF(ISBLANK(BK12),"Not Mentioned",BK12))</f>
        <v>No</v>
      </c>
      <c r="BN12" s="0" t="str">
        <f aca="false">PROPER(IF(ISBLANK(BM12),"Not Mentioned",BM12))</f>
        <v>Not Mentioned</v>
      </c>
      <c r="BO12" s="0" t="s">
        <v>2318</v>
      </c>
      <c r="BP12" s="0" t="str">
        <f aca="false">IF(ISBLANK(BO12),"One-Time Plan",BO12)</f>
        <v>Gold</v>
      </c>
      <c r="BQ12" s="0" t="s">
        <v>50</v>
      </c>
      <c r="BR12" s="0" t="str">
        <f aca="false">PROPER(IF(ISBLANK(BQ12),"No",BQ12))</f>
        <v>No</v>
      </c>
    </row>
    <row r="13" customFormat="false" ht="15" hidden="false" customHeight="false" outlineLevel="0" collapsed="false">
      <c r="A13" s="0" t="s">
        <v>168</v>
      </c>
      <c r="B13" s="2" t="n">
        <v>45788</v>
      </c>
      <c r="C13" s="2" t="str">
        <f aca="false">TEXT(B13,"dd/mm/yyyy")</f>
        <v>11/05/2025</v>
      </c>
      <c r="D13" s="0" t="s">
        <v>66</v>
      </c>
      <c r="E13" s="0" t="n">
        <v>8027137020</v>
      </c>
      <c r="F13" s="0" t="s">
        <v>67</v>
      </c>
      <c r="G13" s="0" t="s">
        <v>2316</v>
      </c>
      <c r="H13" s="0" t="s">
        <v>169</v>
      </c>
      <c r="I13" s="0" t="s">
        <v>87</v>
      </c>
      <c r="J13" s="0" t="s">
        <v>2325</v>
      </c>
      <c r="K13" s="3" t="str">
        <f aca="false" t="array" ref="K13:K13">IFERROR(IF(J13&lt;&gt;"",J13,INDEX(J13:J1012,MATCH(1,(F13:F1012=F13)*(I13:I1012=I13)*(L13:L1012=L13)*(J13:J1012&lt;&gt;""),0))),"Not Found")</f>
        <v>Engine Knocking</v>
      </c>
      <c r="L13" s="3" t="s">
        <v>154</v>
      </c>
      <c r="M13" s="0" t="str">
        <f aca="false">PROPER(L13)</f>
        <v>Air Filter</v>
      </c>
      <c r="N13" s="3" t="s">
        <v>90</v>
      </c>
      <c r="O13" s="0" t="str">
        <f aca="false" t="array" ref="O13:O13">IF(N13&lt;&gt;"",N13,_xlfn.xlookup(1,(L13:L1012=L13)*(N13:N1012&lt;&gt;""),N13:N1012,"Not Found"))</f>
        <v>Musa</v>
      </c>
      <c r="P13" s="4" t="n">
        <v>55886</v>
      </c>
      <c r="Q13" s="0" t="s">
        <v>124</v>
      </c>
      <c r="R13" s="0" t="str">
        <f aca="false">PROPER(Q13)</f>
        <v>Cash</v>
      </c>
      <c r="S13" s="0" t="s">
        <v>50</v>
      </c>
      <c r="T13" s="0" t="n">
        <v>5</v>
      </c>
      <c r="U13" s="5" t="n">
        <f aca="false">IF(ISBLANK(T13),AVERAGE(T13:T1012),T13)</f>
        <v>5</v>
      </c>
      <c r="V13" s="0" t="n">
        <v>1.6</v>
      </c>
      <c r="W13" s="0" t="s">
        <v>111</v>
      </c>
      <c r="X13" s="0" t="str">
        <f aca="false">IF(ISBLANK(W13),"No remarks",W13)</f>
        <v>Changed all filters</v>
      </c>
      <c r="Y13" s="0" t="s">
        <v>73</v>
      </c>
      <c r="Z13" s="0" t="s">
        <v>159</v>
      </c>
      <c r="AA13" s="0" t="str">
        <f aca="false">PROPER(IF(ISBLANK(Z13),"Location Unavailable",Z13))</f>
        <v>Main Bay</v>
      </c>
      <c r="AB13" s="0" t="s">
        <v>75</v>
      </c>
      <c r="AC13" s="6" t="str">
        <f aca="false">PROPER(AB13)</f>
        <v>Mechanik Referal</v>
      </c>
      <c r="AE13" s="5" t="n">
        <f aca="false">IF(ISBLANK(AD13),AVERAGEIF(L13:L1012,L13,AD13:AD1012),AD13)</f>
        <v>37.5</v>
      </c>
      <c r="AF13" s="0" t="s">
        <v>112</v>
      </c>
      <c r="AG13" s="0" t="str">
        <f aca="false">PROPER(AF13)</f>
        <v>Unavailable</v>
      </c>
      <c r="AH13" s="0" t="s">
        <v>77</v>
      </c>
      <c r="AI13" s="0" t="s">
        <v>128</v>
      </c>
      <c r="AJ13" s="0" t="str">
        <f aca="false">PROPER(AI13)</f>
        <v>Normal</v>
      </c>
      <c r="AK13" s="0" t="s">
        <v>99</v>
      </c>
      <c r="AL13" s="0" t="str">
        <f aca="false">PROPER(AK13)</f>
        <v>Uber Driver</v>
      </c>
      <c r="AM13" s="0" t="s">
        <v>2324</v>
      </c>
      <c r="AN13" s="0" t="str">
        <f aca="false">IF(ISBLANK(AM13),"Unknown",AM13)</f>
        <v>Logistics Convoy</v>
      </c>
      <c r="AO13" s="0" t="s">
        <v>149</v>
      </c>
      <c r="AP13" s="0" t="str">
        <f aca="false">IF(ISBLANK(AO13),"Unknown",AO13)</f>
        <v>Senior </v>
      </c>
      <c r="AQ13" s="0" t="n">
        <v>25000</v>
      </c>
      <c r="AR13" s="5" t="n">
        <f aca="false">IF(ISBLANK(AQ13),AVERAGEIF(M13:M1012,M13,AQ13:AQ1012),AQ13)</f>
        <v>25000</v>
      </c>
      <c r="AS13" s="0" t="n">
        <v>20000</v>
      </c>
      <c r="AT13" s="5" t="n">
        <f aca="false">IF(ISBLANK(AS13),AVERAGE(AS13:AS1012),AS13)</f>
        <v>20000</v>
      </c>
      <c r="AU13" s="0" t="s">
        <v>50</v>
      </c>
      <c r="AV13" s="0" t="str">
        <f aca="false">PROPER(IF(ISBLANK(AU13),"No",AU13))</f>
        <v>No</v>
      </c>
      <c r="AW13" s="0" t="n">
        <v>10000</v>
      </c>
      <c r="AX13" s="5" t="n">
        <f aca="false">IF(ISBLANK(AW13),0,AW13)</f>
        <v>10000</v>
      </c>
      <c r="AY13" s="0" t="s">
        <v>80</v>
      </c>
      <c r="AZ13" s="0" t="str">
        <f aca="false">UPPER(IF(ISBLANK(AY13),"NONE",AY13))</f>
        <v>PROMO10</v>
      </c>
      <c r="BB13" s="7" t="str">
        <f aca="false">IF(ISBLANK(BA13),"No Follow Up Needed",BA13)</f>
        <v>No Follow Up Needed</v>
      </c>
      <c r="BC13" s="0" t="s">
        <v>82</v>
      </c>
      <c r="BD13" s="0" t="str">
        <f aca="false">PROPER(IF(ISBLANK(BC13),"Unknown",BC13))</f>
        <v>Yes</v>
      </c>
      <c r="BE13" s="0" t="s">
        <v>171</v>
      </c>
      <c r="BF13" s="0" t="str">
        <f aca="false">IF(ISBLANK(BE13),"No comments",BE13)</f>
        <v>Shock absorber weakening</v>
      </c>
      <c r="BG13" s="0" t="s">
        <v>172</v>
      </c>
      <c r="BH13" s="0" t="str">
        <f aca="false">IF(ISBLANK(BG13),"No comments",BG13)</f>
        <v>Always late</v>
      </c>
      <c r="BI13" s="0" t="s">
        <v>50</v>
      </c>
      <c r="BJ13" s="0" t="str">
        <f aca="false">IF(ISBLANK(BI13),"Not Mentioned",BI13)</f>
        <v>No</v>
      </c>
      <c r="BL13" s="0" t="str">
        <f aca="false">PROPER(IF(ISBLANK(BK13),"Not Mentioned",BK13))</f>
        <v>Not Mentioned</v>
      </c>
      <c r="BM13" s="0" t="s">
        <v>63</v>
      </c>
      <c r="BN13" s="0" t="str">
        <f aca="false">PROPER(IF(ISBLANK(BM13),"Not Mentioned",BM13))</f>
        <v>Yes</v>
      </c>
      <c r="BP13" s="0" t="str">
        <f aca="false">IF(ISBLANK(BO13),"One-Time Plan",BO13)</f>
        <v>One-Time Plan</v>
      </c>
      <c r="BR13" s="0" t="str">
        <f aca="false">PROPER(IF(ISBLANK(BQ13),"No",BQ13))</f>
        <v>No</v>
      </c>
    </row>
    <row r="14" customFormat="false" ht="15" hidden="false" customHeight="false" outlineLevel="0" collapsed="false">
      <c r="A14" s="0" t="s">
        <v>174</v>
      </c>
      <c r="B14" s="2" t="s">
        <v>173</v>
      </c>
      <c r="C14" s="2" t="str">
        <f aca="false">TEXT(B14,"dd/mm/yyyy")</f>
        <v>13/01/2025</v>
      </c>
      <c r="D14" s="0" t="s">
        <v>163</v>
      </c>
      <c r="E14" s="0" t="n">
        <v>8051831217</v>
      </c>
      <c r="F14" s="0" t="s">
        <v>43</v>
      </c>
      <c r="G14" s="0" t="s">
        <v>2315</v>
      </c>
      <c r="H14" s="0" t="s">
        <v>175</v>
      </c>
      <c r="I14" s="0" t="s">
        <v>134</v>
      </c>
      <c r="J14" s="0" t="s">
        <v>2325</v>
      </c>
      <c r="K14" s="3" t="str">
        <f aca="false" t="array" ref="K14:K14">IFERROR(IF(J14&lt;&gt;"",J14,INDEX(J14:J1013,MATCH(1,(F14:F1013=F14)*(I14:I1013=I14)*(L14:L1013=L14)*(J14:J1013&lt;&gt;""),0))),"Not Found")</f>
        <v>Engine Knocking</v>
      </c>
      <c r="L14" s="3" t="s">
        <v>142</v>
      </c>
      <c r="M14" s="0" t="str">
        <f aca="false">PROPER(L14)</f>
        <v>Oil Filter, Brake Pads</v>
      </c>
      <c r="N14" s="3" t="s">
        <v>71</v>
      </c>
      <c r="O14" s="0" t="str">
        <f aca="false" t="array" ref="O14:O14">IF(N14&lt;&gt;"",N14,_xlfn.xlookup(1,(L14:L1013=L14)*(N14:N1013&lt;&gt;""),N14:N1013,"Not Found"))</f>
        <v>Isaac Bobo</v>
      </c>
      <c r="P14" s="4" t="n">
        <v>72924</v>
      </c>
      <c r="Q14" s="0" t="s">
        <v>91</v>
      </c>
      <c r="R14" s="0" t="str">
        <f aca="false">PROPER(Q14)</f>
        <v>Pos</v>
      </c>
      <c r="S14" s="0" t="s">
        <v>50</v>
      </c>
      <c r="T14" s="0" t="n">
        <v>5</v>
      </c>
      <c r="U14" s="5" t="n">
        <f aca="false">IF(ISBLANK(T14),AVERAGE(T14:T1013),T14)</f>
        <v>5</v>
      </c>
      <c r="V14" s="0" t="n">
        <v>3.3</v>
      </c>
      <c r="W14" s="0" t="s">
        <v>92</v>
      </c>
      <c r="X14" s="0" t="str">
        <f aca="false">IF(ISBLANK(W14),"No remarks",W14)</f>
        <v>Urgent service</v>
      </c>
      <c r="Y14" s="0" t="s">
        <v>73</v>
      </c>
      <c r="Z14" s="0" t="s">
        <v>94</v>
      </c>
      <c r="AA14" s="0" t="str">
        <f aca="false">PROPER(IF(ISBLANK(Z14),"Location Unavailable",Z14))</f>
        <v>Vip Section</v>
      </c>
      <c r="AB14" s="0" t="s">
        <v>126</v>
      </c>
      <c r="AC14" s="6" t="str">
        <f aca="false">PROPER(AB14)</f>
        <v>Whatsapp</v>
      </c>
      <c r="AD14" s="6" t="n">
        <v>15</v>
      </c>
      <c r="AE14" s="5" t="n">
        <f aca="false">IF(ISBLANK(AD14),AVERAGEIF(L14:L1013,L14,AD14:AD1013),AD14)</f>
        <v>15</v>
      </c>
      <c r="AF14" s="0" t="s">
        <v>160</v>
      </c>
      <c r="AG14" s="0" t="str">
        <f aca="false">PROPER(AF14)</f>
        <v>Availaible</v>
      </c>
      <c r="AH14" s="0" t="s">
        <v>155</v>
      </c>
      <c r="AI14" s="0" t="s">
        <v>98</v>
      </c>
      <c r="AJ14" s="0" t="str">
        <f aca="false">PROPER(AI14)</f>
        <v>Emergency</v>
      </c>
      <c r="AK14" s="0" t="s">
        <v>99</v>
      </c>
      <c r="AL14" s="0" t="str">
        <f aca="false">PROPER(AK14)</f>
        <v>Uber Driver</v>
      </c>
      <c r="AM14" s="0" t="s">
        <v>177</v>
      </c>
      <c r="AN14" s="0" t="str">
        <f aca="false">IF(ISBLANK(AM14),"Unknown",AM14)</f>
        <v>Private</v>
      </c>
      <c r="AO14" s="0" t="s">
        <v>149</v>
      </c>
      <c r="AP14" s="0" t="str">
        <f aca="false">IF(ISBLANK(AO14),"Unknown",AO14)</f>
        <v>Senior </v>
      </c>
      <c r="AQ14" s="0" t="n">
        <v>25000</v>
      </c>
      <c r="AR14" s="5" t="n">
        <f aca="false">IF(ISBLANK(AQ14),AVERAGEIF(M14:M1013,M14,AQ14:AQ1013),AQ14)</f>
        <v>25000</v>
      </c>
      <c r="AS14" s="0" t="n">
        <v>30000</v>
      </c>
      <c r="AT14" s="5" t="n">
        <f aca="false">IF(ISBLANK(AS14),AVERAGE(AS14:AS1013),AS14)</f>
        <v>30000</v>
      </c>
      <c r="AU14" s="0" t="s">
        <v>63</v>
      </c>
      <c r="AV14" s="0" t="str">
        <f aca="false">PROPER(IF(ISBLANK(AU14),"No",AU14))</f>
        <v>Yes</v>
      </c>
      <c r="AW14" s="0" t="n">
        <v>10000</v>
      </c>
      <c r="AX14" s="5" t="n">
        <f aca="false">IF(ISBLANK(AW14),0,AW14)</f>
        <v>10000</v>
      </c>
      <c r="AY14" s="0" t="s">
        <v>60</v>
      </c>
      <c r="AZ14" s="0" t="str">
        <f aca="false">UPPER(IF(ISBLANK(AY14),"NONE",AY14))</f>
        <v>NONE</v>
      </c>
      <c r="BA14" s="7" t="s">
        <v>179</v>
      </c>
      <c r="BB14" s="7" t="str">
        <f aca="false">IF(ISBLANK(BA14),"No Follow Up Needed",BA14)</f>
        <v>16/12/2025</v>
      </c>
      <c r="BC14" s="0" t="s">
        <v>63</v>
      </c>
      <c r="BD14" s="0" t="str">
        <f aca="false">PROPER(IF(ISBLANK(BC14),"Unknown",BC14))</f>
        <v>Yes</v>
      </c>
      <c r="BF14" s="0" t="str">
        <f aca="false">IF(ISBLANK(BE14),"No comments",BE14)</f>
        <v>No comments</v>
      </c>
      <c r="BH14" s="0" t="str">
        <f aca="false">IF(ISBLANK(BG14),"No comments",BG14)</f>
        <v>No comments</v>
      </c>
      <c r="BJ14" s="0" t="str">
        <f aca="false">IF(ISBLANK(BI14),"Not Mentioned",BI14)</f>
        <v>Not Mentioned</v>
      </c>
      <c r="BL14" s="0" t="str">
        <f aca="false">PROPER(IF(ISBLANK(BK14),"Not Mentioned",BK14))</f>
        <v>Not Mentioned</v>
      </c>
      <c r="BM14" s="0" t="s">
        <v>50</v>
      </c>
      <c r="BN14" s="0" t="str">
        <f aca="false">PROPER(IF(ISBLANK(BM14),"Not Mentioned",BM14))</f>
        <v>No</v>
      </c>
      <c r="BO14" s="0" t="s">
        <v>64</v>
      </c>
      <c r="BP14" s="0" t="str">
        <f aca="false">IF(ISBLANK(BO14),"One-Time Plan",BO14)</f>
        <v>Gold Maintenance Plan</v>
      </c>
      <c r="BQ14" s="0" t="s">
        <v>50</v>
      </c>
      <c r="BR14" s="0" t="str">
        <f aca="false">PROPER(IF(ISBLANK(BQ14),"No",BQ14))</f>
        <v>No</v>
      </c>
    </row>
    <row r="15" customFormat="false" ht="15" hidden="false" customHeight="false" outlineLevel="0" collapsed="false">
      <c r="A15" s="0" t="s">
        <v>180</v>
      </c>
      <c r="B15" s="2" t="n">
        <v>45764</v>
      </c>
      <c r="C15" s="2" t="str">
        <f aca="false">TEXT(B15,"dd/mm/yyyy")</f>
        <v>17/04/2025</v>
      </c>
      <c r="D15" s="0" t="s">
        <v>66</v>
      </c>
      <c r="E15" s="0" t="n">
        <v>8088453254</v>
      </c>
      <c r="F15" s="0" t="s">
        <v>122</v>
      </c>
      <c r="G15" s="0" t="s">
        <v>2316</v>
      </c>
      <c r="H15" s="0" t="s">
        <v>181</v>
      </c>
      <c r="I15" s="0" t="s">
        <v>45</v>
      </c>
      <c r="J15" s="0" t="s">
        <v>2322</v>
      </c>
      <c r="K15" s="3" t="str">
        <f aca="false" t="array" ref="K15:K15">IFERROR(IF(J15&lt;&gt;"",J15,INDEX(J15:J1014,MATCH(1,(F15:F1014=F15)*(I15:I1014=I15)*(L15:L1014=L15)*(J15:J1014&lt;&gt;""),0))),"Not Found")</f>
        <v>Brake Failure</v>
      </c>
      <c r="L15" s="3" t="s">
        <v>47</v>
      </c>
      <c r="M15" s="0" t="str">
        <f aca="false">PROPER(L15)</f>
        <v>None</v>
      </c>
      <c r="O15" s="0" t="e">
        <f aca="false" t="array" ref="O15:O15">IF(N15&lt;&gt;"",N15,_xlfn.xlookup(1,(L15:L1014=L15)*(N15:N1014&lt;&gt;""),N15:N1014,"Not Found"))</f>
        <v>#NAME?</v>
      </c>
      <c r="P15" s="4" t="n">
        <v>70851</v>
      </c>
      <c r="Q15" s="0" t="s">
        <v>72</v>
      </c>
      <c r="R15" s="0" t="str">
        <f aca="false">PROPER(Q15)</f>
        <v>Pos</v>
      </c>
      <c r="S15" s="0" t="s">
        <v>63</v>
      </c>
      <c r="T15" s="0" t="n">
        <v>5</v>
      </c>
      <c r="U15" s="5" t="n">
        <f aca="false">IF(ISBLANK(T15),AVERAGE(T15:T1014),T15)</f>
        <v>5</v>
      </c>
      <c r="V15" s="0" t="n">
        <v>2.4</v>
      </c>
      <c r="W15" s="0" t="s">
        <v>92</v>
      </c>
      <c r="X15" s="0" t="str">
        <f aca="false">IF(ISBLANK(W15),"No remarks",W15)</f>
        <v>Urgent service</v>
      </c>
      <c r="Y15" s="0" t="s">
        <v>52</v>
      </c>
      <c r="Z15" s="0" t="s">
        <v>74</v>
      </c>
      <c r="AA15" s="0" t="str">
        <f aca="false">PROPER(IF(ISBLANK(Z15),"Location Unavailable",Z15))</f>
        <v>Under Tree</v>
      </c>
      <c r="AB15" s="0" t="s">
        <v>167</v>
      </c>
      <c r="AC15" s="6" t="str">
        <f aca="false">PROPER(AB15)</f>
        <v>Word Of Mouth</v>
      </c>
      <c r="AD15" s="6" t="n">
        <v>15</v>
      </c>
      <c r="AE15" s="5" t="n">
        <f aca="false">IF(ISBLANK(AD15),AVERAGEIF(L15:L1014,L15,AD15:AD1014),AD15)</f>
        <v>15</v>
      </c>
      <c r="AF15" s="0" t="s">
        <v>112</v>
      </c>
      <c r="AG15" s="0" t="str">
        <f aca="false">PROPER(AF15)</f>
        <v>Unavailable</v>
      </c>
      <c r="AH15" s="0" t="s">
        <v>155</v>
      </c>
      <c r="AI15" s="0" t="s">
        <v>128</v>
      </c>
      <c r="AJ15" s="0" t="str">
        <f aca="false">PROPER(AI15)</f>
        <v>Normal</v>
      </c>
      <c r="AK15" s="0" t="s">
        <v>58</v>
      </c>
      <c r="AL15" s="0" t="str">
        <f aca="false">PROPER(AK15)</f>
        <v>Fleet Owner</v>
      </c>
      <c r="AM15" s="0" t="s">
        <v>177</v>
      </c>
      <c r="AN15" s="0" t="str">
        <f aca="false">IF(ISBLANK(AM15),"Unknown",AM15)</f>
        <v>Private</v>
      </c>
      <c r="AO15" s="0" t="s">
        <v>79</v>
      </c>
      <c r="AP15" s="0" t="str">
        <f aca="false">IF(ISBLANK(AO15),"Unknown",AO15)</f>
        <v>Specialist</v>
      </c>
      <c r="AQ15" s="0" t="n">
        <v>15000</v>
      </c>
      <c r="AR15" s="5" t="n">
        <f aca="false">IF(ISBLANK(AQ15),AVERAGEIF(M15:M1014,M15,AQ15:AQ1014),AQ15)</f>
        <v>15000</v>
      </c>
      <c r="AS15" s="0" t="n">
        <v>20000</v>
      </c>
      <c r="AT15" s="5" t="n">
        <f aca="false">IF(ISBLANK(AS15),AVERAGE(AS15:AS1014),AS15)</f>
        <v>20000</v>
      </c>
      <c r="AU15" s="0" t="s">
        <v>63</v>
      </c>
      <c r="AV15" s="0" t="str">
        <f aca="false">PROPER(IF(ISBLANK(AU15),"No",AU15))</f>
        <v>Yes</v>
      </c>
      <c r="AW15" s="0" t="n">
        <v>5000</v>
      </c>
      <c r="AX15" s="5" t="n">
        <f aca="false">IF(ISBLANK(AW15),0,AW15)</f>
        <v>5000</v>
      </c>
      <c r="AY15" s="0" t="s">
        <v>80</v>
      </c>
      <c r="AZ15" s="0" t="str">
        <f aca="false">UPPER(IF(ISBLANK(AY15),"NONE",AY15))</f>
        <v>PROMO10</v>
      </c>
      <c r="BA15" s="7" t="n">
        <v>45854</v>
      </c>
      <c r="BB15" s="7" t="n">
        <f aca="false">IF(ISBLANK(BA15),"No Follow Up Needed",BA15)</f>
        <v>45854</v>
      </c>
      <c r="BC15" s="0" t="s">
        <v>61</v>
      </c>
      <c r="BD15" s="0" t="str">
        <f aca="false">PROPER(IF(ISBLANK(BC15),"Unknown",BC15))</f>
        <v>No</v>
      </c>
      <c r="BE15" s="0" t="s">
        <v>116</v>
      </c>
      <c r="BF15" s="0" t="str">
        <f aca="false">IF(ISBLANK(BE15),"No comments",BE15)</f>
        <v>Needs tire alignment</v>
      </c>
      <c r="BH15" s="0" t="str">
        <f aca="false">IF(ISBLANK(BG15),"No comments",BG15)</f>
        <v>No comments</v>
      </c>
      <c r="BI15" s="0" t="s">
        <v>50</v>
      </c>
      <c r="BJ15" s="0" t="str">
        <f aca="false">IF(ISBLANK(BI15),"Not Mentioned",BI15)</f>
        <v>No</v>
      </c>
      <c r="BK15" s="0" t="s">
        <v>61</v>
      </c>
      <c r="BL15" s="0" t="str">
        <f aca="false">PROPER(IF(ISBLANK(BK15),"Not Mentioned",BK15))</f>
        <v>No</v>
      </c>
      <c r="BM15" s="0" t="s">
        <v>50</v>
      </c>
      <c r="BN15" s="0" t="str">
        <f aca="false">PROPER(IF(ISBLANK(BM15),"Not Mentioned",BM15))</f>
        <v>No</v>
      </c>
      <c r="BO15" s="0" t="s">
        <v>2321</v>
      </c>
      <c r="BP15" s="0" t="str">
        <f aca="false">IF(ISBLANK(BO15),"One-Time Plan",BO15)</f>
        <v>One-Time Plan</v>
      </c>
      <c r="BQ15" s="0" t="s">
        <v>50</v>
      </c>
      <c r="BR15" s="0" t="str">
        <f aca="false">PROPER(IF(ISBLANK(BQ15),"No",BQ15))</f>
        <v>No</v>
      </c>
    </row>
    <row r="16" customFormat="false" ht="15" hidden="false" customHeight="false" outlineLevel="0" collapsed="false">
      <c r="A16" s="0" t="s">
        <v>182</v>
      </c>
      <c r="B16" s="2" t="n">
        <v>45709</v>
      </c>
      <c r="C16" s="2" t="str">
        <f aca="false">TEXT(B16,"dd/mm/yyyy")</f>
        <v>21/02/2025</v>
      </c>
      <c r="D16" s="0" t="s">
        <v>121</v>
      </c>
      <c r="E16" s="0" t="n">
        <v>8068498545</v>
      </c>
      <c r="F16" s="0" t="s">
        <v>43</v>
      </c>
      <c r="G16" s="0" t="s">
        <v>2315</v>
      </c>
      <c r="H16" s="0" t="s">
        <v>183</v>
      </c>
      <c r="I16" s="0" t="s">
        <v>87</v>
      </c>
      <c r="J16" s="0" t="s">
        <v>87</v>
      </c>
      <c r="K16" s="3" t="str">
        <f aca="false" t="array" ref="K16:K16">IFERROR(IF(J16&lt;&gt;"",J16,INDEX(J16:J1015,MATCH(1,(F16:F1015=F16)*(I16:I1015=I16)*(L16:L1015=L16)*(J16:J1015&lt;&gt;""),0))),"Not Found")</f>
        <v>Oil Change</v>
      </c>
      <c r="L16" s="3" t="s">
        <v>154</v>
      </c>
      <c r="M16" s="0" t="str">
        <f aca="false">PROPER(L16)</f>
        <v>Air Filter</v>
      </c>
      <c r="N16" s="3" t="s">
        <v>71</v>
      </c>
      <c r="O16" s="0" t="str">
        <f aca="false" t="array" ref="O16:O16">IF(N16&lt;&gt;"",N16,_xlfn.xlookup(1,(L16:L1015=L16)*(N16:N1015&lt;&gt;""),N16:N1015,"Not Found"))</f>
        <v>Isaac Bobo</v>
      </c>
      <c r="P16" s="4" t="n">
        <v>52054</v>
      </c>
      <c r="Q16" s="0" t="s">
        <v>72</v>
      </c>
      <c r="R16" s="0" t="str">
        <f aca="false">PROPER(Q16)</f>
        <v>Pos</v>
      </c>
      <c r="S16" s="0" t="s">
        <v>50</v>
      </c>
      <c r="T16" s="0" t="n">
        <v>3</v>
      </c>
      <c r="U16" s="5" t="n">
        <f aca="false">IF(ISBLANK(T16),AVERAGE(T16:T1015),T16)</f>
        <v>3</v>
      </c>
      <c r="V16" s="0" t="n">
        <v>3.3</v>
      </c>
      <c r="W16" s="0" t="s">
        <v>92</v>
      </c>
      <c r="X16" s="0" t="str">
        <f aca="false">IF(ISBLANK(W16),"No remarks",W16)</f>
        <v>Urgent service</v>
      </c>
      <c r="Y16" s="0" t="s">
        <v>93</v>
      </c>
      <c r="Z16" s="0" t="s">
        <v>94</v>
      </c>
      <c r="AA16" s="0" t="str">
        <f aca="false">PROPER(IF(ISBLANK(Z16),"Location Unavailable",Z16))</f>
        <v>Vip Section</v>
      </c>
      <c r="AB16" s="0" t="s">
        <v>54</v>
      </c>
      <c r="AC16" s="6" t="str">
        <f aca="false">PROPER(AB16)</f>
        <v>Mechanic Referral</v>
      </c>
      <c r="AD16" s="6" t="n">
        <v>60</v>
      </c>
      <c r="AE16" s="5" t="n">
        <f aca="false">IF(ISBLANK(AD16),AVERAGEIF(L16:L1015,L16,AD16:AD1015),AD16)</f>
        <v>60</v>
      </c>
      <c r="AF16" s="0" t="s">
        <v>112</v>
      </c>
      <c r="AG16" s="0" t="str">
        <f aca="false">PROPER(AF16)</f>
        <v>Unavailable</v>
      </c>
      <c r="AH16" s="0" t="s">
        <v>77</v>
      </c>
      <c r="AI16" s="0" t="s">
        <v>128</v>
      </c>
      <c r="AJ16" s="0" t="str">
        <f aca="false">PROPER(AI16)</f>
        <v>Normal</v>
      </c>
      <c r="AK16" s="0" t="s">
        <v>99</v>
      </c>
      <c r="AL16" s="0" t="str">
        <f aca="false">PROPER(AK16)</f>
        <v>Uber Driver</v>
      </c>
      <c r="AM16" s="0" t="s">
        <v>2324</v>
      </c>
      <c r="AN16" s="0" t="str">
        <f aca="false">IF(ISBLANK(AM16),"Unknown",AM16)</f>
        <v>Logistics Convoy</v>
      </c>
      <c r="AO16" s="0" t="s">
        <v>79</v>
      </c>
      <c r="AP16" s="0" t="str">
        <f aca="false">IF(ISBLANK(AO16),"Unknown",AO16)</f>
        <v>Specialist</v>
      </c>
      <c r="AQ16" s="0" t="n">
        <v>15000</v>
      </c>
      <c r="AR16" s="5" t="n">
        <f aca="false">IF(ISBLANK(AQ16),AVERAGEIF(M16:M1015,M16,AQ16:AQ1015),AQ16)</f>
        <v>15000</v>
      </c>
      <c r="AS16" s="0" t="n">
        <v>20000</v>
      </c>
      <c r="AT16" s="5" t="n">
        <f aca="false">IF(ISBLANK(AS16),AVERAGE(AS16:AS1015),AS16)</f>
        <v>20000</v>
      </c>
      <c r="AU16" s="0" t="s">
        <v>61</v>
      </c>
      <c r="AV16" s="0" t="str">
        <f aca="false">PROPER(IF(ISBLANK(AU16),"No",AU16))</f>
        <v>No</v>
      </c>
      <c r="AW16" s="0" t="n">
        <v>5000</v>
      </c>
      <c r="AX16" s="5" t="n">
        <f aca="false">IF(ISBLANK(AW16),0,AW16)</f>
        <v>5000</v>
      </c>
      <c r="AY16" s="0" t="s">
        <v>184</v>
      </c>
      <c r="AZ16" s="0" t="str">
        <f aca="false">UPPER(IF(ISBLANK(AY16),"NONE",AY16))</f>
        <v>N/A</v>
      </c>
      <c r="BA16" s="7" t="n">
        <v>45932</v>
      </c>
      <c r="BB16" s="7" t="n">
        <f aca="false">IF(ISBLANK(BA16),"No Follow Up Needed",BA16)</f>
        <v>45932</v>
      </c>
      <c r="BD16" s="0" t="str">
        <f aca="false">PROPER(IF(ISBLANK(BC16),"Unknown",BC16))</f>
        <v>Unknown</v>
      </c>
      <c r="BE16" s="0" t="s">
        <v>171</v>
      </c>
      <c r="BF16" s="0" t="str">
        <f aca="false">IF(ISBLANK(BE16),"No comments",BE16)</f>
        <v>Shock absorber weakening</v>
      </c>
      <c r="BH16" s="0" t="str">
        <f aca="false">IF(ISBLANK(BG16),"No comments",BG16)</f>
        <v>No comments</v>
      </c>
      <c r="BI16" s="0" t="s">
        <v>50</v>
      </c>
      <c r="BJ16" s="0" t="str">
        <f aca="false">IF(ISBLANK(BI16),"Not Mentioned",BI16)</f>
        <v>No</v>
      </c>
      <c r="BL16" s="0" t="str">
        <f aca="false">PROPER(IF(ISBLANK(BK16),"Not Mentioned",BK16))</f>
        <v>Not Mentioned</v>
      </c>
      <c r="BN16" s="0" t="str">
        <f aca="false">PROPER(IF(ISBLANK(BM16),"Not Mentioned",BM16))</f>
        <v>Not Mentioned</v>
      </c>
      <c r="BO16" s="0" t="s">
        <v>64</v>
      </c>
      <c r="BP16" s="0" t="str">
        <f aca="false">IF(ISBLANK(BO16),"One-Time Plan",BO16)</f>
        <v>Gold Maintenance Plan</v>
      </c>
      <c r="BQ16" s="0" t="s">
        <v>63</v>
      </c>
      <c r="BR16" s="0" t="str">
        <f aca="false">PROPER(IF(ISBLANK(BQ16),"No",BQ16))</f>
        <v>Yes</v>
      </c>
    </row>
    <row r="17" customFormat="false" ht="15" hidden="false" customHeight="false" outlineLevel="0" collapsed="false">
      <c r="A17" s="0" t="s">
        <v>185</v>
      </c>
      <c r="B17" s="2" t="n">
        <v>45820</v>
      </c>
      <c r="C17" s="2" t="str">
        <f aca="false">TEXT(B17,"dd/mm/yyyy")</f>
        <v>12/06/2025</v>
      </c>
      <c r="D17" s="0" t="s">
        <v>105</v>
      </c>
      <c r="E17" s="0" t="n">
        <v>8078870570</v>
      </c>
      <c r="F17" s="0" t="s">
        <v>122</v>
      </c>
      <c r="G17" s="0" t="s">
        <v>2316</v>
      </c>
      <c r="H17" s="0" t="s">
        <v>186</v>
      </c>
      <c r="I17" s="0" t="s">
        <v>87</v>
      </c>
      <c r="J17" s="0" t="s">
        <v>87</v>
      </c>
      <c r="K17" s="3" t="str">
        <f aca="false" t="array" ref="K17:K17">IFERROR(IF(J17&lt;&gt;"",J17,INDEX(J17:J1016,MATCH(1,(F17:F1016=F17)*(I17:I1016=I17)*(L17:L1016=L17)*(J17:J1016&lt;&gt;""),0))),"Not Found")</f>
        <v>Oil Change</v>
      </c>
      <c r="L17" s="3" t="s">
        <v>142</v>
      </c>
      <c r="M17" s="0" t="str">
        <f aca="false">PROPER(L17)</f>
        <v>Oil Filter, Brake Pads</v>
      </c>
      <c r="O17" s="0" t="e">
        <f aca="false" t="array" ref="O17:O17">IF(N17&lt;&gt;"",N17,_xlfn.xlookup(1,(L17:L1016=L17)*(N17:N1016&lt;&gt;""),N17:N1016,"Not Found"))</f>
        <v>#NAME?</v>
      </c>
      <c r="P17" s="4" t="n">
        <v>44123</v>
      </c>
      <c r="Q17" s="0" t="s">
        <v>49</v>
      </c>
      <c r="R17" s="0" t="str">
        <f aca="false">PROPER(Q17)</f>
        <v>Transfer</v>
      </c>
      <c r="S17" s="0" t="s">
        <v>63</v>
      </c>
      <c r="T17" s="0" t="n">
        <v>5</v>
      </c>
      <c r="U17" s="5" t="n">
        <f aca="false">IF(ISBLANK(T17),AVERAGE(T17:T1016),T17)</f>
        <v>5</v>
      </c>
      <c r="V17" s="0" t="n">
        <v>5.7</v>
      </c>
      <c r="W17" s="0" t="s">
        <v>125</v>
      </c>
      <c r="X17" s="0" t="str">
        <f aca="false">IF(ISBLANK(W17),"No remarks",W17)</f>
        <v>Customer waited</v>
      </c>
      <c r="Y17" s="0" t="s">
        <v>73</v>
      </c>
      <c r="Z17" s="0" t="s">
        <v>136</v>
      </c>
      <c r="AA17" s="0" t="str">
        <f aca="false">PROPER(IF(ISBLANK(Z17),"Location Unavailable",Z17))</f>
        <v>Vip Section</v>
      </c>
      <c r="AB17" s="0" t="s">
        <v>167</v>
      </c>
      <c r="AC17" s="6" t="str">
        <f aca="false">PROPER(AB17)</f>
        <v>Word Of Mouth</v>
      </c>
      <c r="AD17" s="6" t="n">
        <v>45</v>
      </c>
      <c r="AE17" s="5" t="n">
        <f aca="false">IF(ISBLANK(AD17),AVERAGEIF(L17:L1016,L17,AD17:AD1016),AD17)</f>
        <v>45</v>
      </c>
      <c r="AF17" s="0" t="s">
        <v>76</v>
      </c>
      <c r="AG17" s="0" t="str">
        <f aca="false">PROPER(AF17)</f>
        <v>Orderd</v>
      </c>
      <c r="AH17" s="0" t="s">
        <v>56</v>
      </c>
      <c r="AI17" s="0" t="s">
        <v>98</v>
      </c>
      <c r="AJ17" s="0" t="str">
        <f aca="false">PROPER(AI17)</f>
        <v>Emergency</v>
      </c>
      <c r="AK17" s="0" t="s">
        <v>196</v>
      </c>
      <c r="AL17" s="0" t="str">
        <f aca="false">PROPER(AK17)</f>
        <v>First Time</v>
      </c>
      <c r="AN17" s="0" t="str">
        <f aca="false">IF(ISBLANK(AM17),"Unknown",AM17)</f>
        <v>Unknown</v>
      </c>
      <c r="AO17" s="0" t="s">
        <v>161</v>
      </c>
      <c r="AP17" s="0" t="str">
        <f aca="false">IF(ISBLANK(AO17),"Unknown",AO17)</f>
        <v>Apprentice</v>
      </c>
      <c r="AQ17" s="0" t="n">
        <v>20000</v>
      </c>
      <c r="AR17" s="5" t="n">
        <f aca="false">IF(ISBLANK(AQ17),AVERAGEIF(M17:M1016,M17,AQ17:AQ1016),AQ17)</f>
        <v>20000</v>
      </c>
      <c r="AT17" s="5" t="n">
        <f aca="false">IF(ISBLANK(AS17),AVERAGE(AS17:AS1016),AS17)</f>
        <v>31409.3137254902</v>
      </c>
      <c r="AV17" s="0" t="str">
        <f aca="false">PROPER(IF(ISBLANK(AU17),"No",AU17))</f>
        <v>No</v>
      </c>
      <c r="AW17" s="0" t="n">
        <v>10000</v>
      </c>
      <c r="AX17" s="5" t="n">
        <f aca="false">IF(ISBLANK(AW17),0,AW17)</f>
        <v>10000</v>
      </c>
      <c r="AY17" s="0" t="s">
        <v>60</v>
      </c>
      <c r="AZ17" s="0" t="str">
        <f aca="false">UPPER(IF(ISBLANK(AY17),"NONE",AY17))</f>
        <v>NONE</v>
      </c>
      <c r="BA17" s="7" t="n">
        <v>45975</v>
      </c>
      <c r="BB17" s="7" t="n">
        <f aca="false">IF(ISBLANK(BA17),"No Follow Up Needed",BA17)</f>
        <v>45975</v>
      </c>
      <c r="BC17" s="0" t="s">
        <v>61</v>
      </c>
      <c r="BD17" s="0" t="str">
        <f aca="false">PROPER(IF(ISBLANK(BC17),"Unknown",BC17))</f>
        <v>No</v>
      </c>
      <c r="BE17" s="0" t="s">
        <v>171</v>
      </c>
      <c r="BF17" s="0" t="str">
        <f aca="false">IF(ISBLANK(BE17),"No comments",BE17)</f>
        <v>Shock absorber weakening</v>
      </c>
      <c r="BH17" s="0" t="str">
        <f aca="false">IF(ISBLANK(BG17),"No comments",BG17)</f>
        <v>No comments</v>
      </c>
      <c r="BJ17" s="0" t="str">
        <f aca="false">IF(ISBLANK(BI17),"Not Mentioned",BI17)</f>
        <v>Not Mentioned</v>
      </c>
      <c r="BL17" s="0" t="str">
        <f aca="false">PROPER(IF(ISBLANK(BK17),"Not Mentioned",BK17))</f>
        <v>Not Mentioned</v>
      </c>
      <c r="BM17" s="0" t="s">
        <v>50</v>
      </c>
      <c r="BN17" s="0" t="str">
        <f aca="false">PROPER(IF(ISBLANK(BM17),"Not Mentioned",BM17))</f>
        <v>No</v>
      </c>
      <c r="BO17" s="0" t="s">
        <v>2318</v>
      </c>
      <c r="BP17" s="0" t="str">
        <f aca="false">IF(ISBLANK(BO17),"One-Time Plan",BO17)</f>
        <v>Gold</v>
      </c>
      <c r="BQ17" s="0" t="s">
        <v>50</v>
      </c>
      <c r="BR17" s="0" t="str">
        <f aca="false">PROPER(IF(ISBLANK(BQ17),"No",BQ17))</f>
        <v>No</v>
      </c>
    </row>
    <row r="18" customFormat="false" ht="15" hidden="false" customHeight="false" outlineLevel="0" collapsed="false">
      <c r="A18" s="0" t="s">
        <v>187</v>
      </c>
      <c r="B18" s="2" t="n">
        <v>45808</v>
      </c>
      <c r="C18" s="2" t="str">
        <f aca="false">TEXT(B18,"dd/mm/yyyy")</f>
        <v>31/05/2025</v>
      </c>
      <c r="D18" s="0" t="s">
        <v>66</v>
      </c>
      <c r="E18" s="0" t="n">
        <v>8097470361</v>
      </c>
      <c r="F18" s="0" t="s">
        <v>122</v>
      </c>
      <c r="G18" s="0" t="s">
        <v>2316</v>
      </c>
      <c r="H18" s="0" t="s">
        <v>188</v>
      </c>
      <c r="I18" s="0" t="s">
        <v>87</v>
      </c>
      <c r="J18" s="0" t="s">
        <v>2322</v>
      </c>
      <c r="K18" s="3" t="str">
        <f aca="false" t="array" ref="K18:K18">IFERROR(IF(J18&lt;&gt;"",J18,INDEX(J18:J1017,MATCH(1,(F18:F1017=F18)*(I18:I1017=I18)*(L18:L1017=L18)*(J18:J1017&lt;&gt;""),0))),"Not Found")</f>
        <v>Brake Failure</v>
      </c>
      <c r="L18" s="3" t="s">
        <v>189</v>
      </c>
      <c r="M18" s="0" t="str">
        <f aca="false">PROPER(L18)</f>
        <v>Battery</v>
      </c>
      <c r="N18" s="3" t="s">
        <v>109</v>
      </c>
      <c r="O18" s="0" t="str">
        <f aca="false" t="array" ref="O18:O18">IF(N18&lt;&gt;"",N18,_xlfn.xlookup(1,(L18:L1017=L18)*(N18:N1017&lt;&gt;""),N18:N1017,"Not Found"))</f>
        <v>Tijani</v>
      </c>
      <c r="P18" s="4" t="n">
        <v>107888</v>
      </c>
      <c r="Q18" s="0" t="s">
        <v>110</v>
      </c>
      <c r="R18" s="0" t="str">
        <f aca="false">PROPER(Q18)</f>
        <v>Cash</v>
      </c>
      <c r="S18" s="0" t="s">
        <v>63</v>
      </c>
      <c r="T18" s="0" t="n">
        <v>4</v>
      </c>
      <c r="U18" s="5" t="n">
        <f aca="false">IF(ISBLANK(T18),AVERAGE(T18:T1017),T18)</f>
        <v>4</v>
      </c>
      <c r="V18" s="0" t="n">
        <v>2.7</v>
      </c>
      <c r="W18" s="0" t="s">
        <v>51</v>
      </c>
      <c r="X18" s="0" t="str">
        <f aca="false">IF(ISBLANK(W18),"No remarks",W18)</f>
        <v>Recommended further checks</v>
      </c>
      <c r="Y18" s="0" t="s">
        <v>93</v>
      </c>
      <c r="Z18" s="0" t="s">
        <v>94</v>
      </c>
      <c r="AA18" s="0" t="str">
        <f aca="false">PROPER(IF(ISBLANK(Z18),"Location Unavailable",Z18))</f>
        <v>Vip Section</v>
      </c>
      <c r="AB18" s="0" t="s">
        <v>54</v>
      </c>
      <c r="AC18" s="6" t="str">
        <f aca="false">PROPER(AB18)</f>
        <v>Mechanic Referral</v>
      </c>
      <c r="AE18" s="5" t="n">
        <f aca="false">IF(ISBLANK(AD18),AVERAGEIF(L18:L1017,L18,AD18:AD1017),AD18)</f>
        <v>39.8717948717949</v>
      </c>
      <c r="AF18" s="0" t="s">
        <v>112</v>
      </c>
      <c r="AG18" s="0" t="str">
        <f aca="false">PROPER(AF18)</f>
        <v>Unavailable</v>
      </c>
      <c r="AH18" s="0" t="s">
        <v>77</v>
      </c>
      <c r="AI18" s="0" t="s">
        <v>98</v>
      </c>
      <c r="AJ18" s="0" t="str">
        <f aca="false">PROPER(AI18)</f>
        <v>Emergency</v>
      </c>
      <c r="AK18" s="0" t="s">
        <v>196</v>
      </c>
      <c r="AL18" s="0" t="str">
        <f aca="false">PROPER(AK18)</f>
        <v>First Time</v>
      </c>
      <c r="AM18" s="0" t="s">
        <v>2324</v>
      </c>
      <c r="AN18" s="0" t="str">
        <f aca="false">IF(ISBLANK(AM18),"Unknown",AM18)</f>
        <v>Logistics Convoy</v>
      </c>
      <c r="AO18" s="0" t="s">
        <v>149</v>
      </c>
      <c r="AP18" s="0" t="str">
        <f aca="false">IF(ISBLANK(AO18),"Unknown",AO18)</f>
        <v>Senior </v>
      </c>
      <c r="AQ18" s="0" t="n">
        <v>15000</v>
      </c>
      <c r="AR18" s="5" t="n">
        <f aca="false">IF(ISBLANK(AQ18),AVERAGEIF(M18:M1017,M18,AQ18:AQ1017),AQ18)</f>
        <v>15000</v>
      </c>
      <c r="AT18" s="5" t="n">
        <f aca="false">IF(ISBLANK(AS18),AVERAGE(AS18:AS1017),AS18)</f>
        <v>31409.3137254902</v>
      </c>
      <c r="AU18" s="0" t="s">
        <v>61</v>
      </c>
      <c r="AV18" s="0" t="str">
        <f aca="false">PROPER(IF(ISBLANK(AU18),"No",AU18))</f>
        <v>No</v>
      </c>
      <c r="AW18" s="0" t="n">
        <v>5000</v>
      </c>
      <c r="AX18" s="5" t="n">
        <f aca="false">IF(ISBLANK(AW18),0,AW18)</f>
        <v>5000</v>
      </c>
      <c r="AY18" s="0" t="s">
        <v>60</v>
      </c>
      <c r="AZ18" s="0" t="str">
        <f aca="false">UPPER(IF(ISBLANK(AY18),"NONE",AY18))</f>
        <v>NONE</v>
      </c>
      <c r="BA18" s="7" t="n">
        <v>45998</v>
      </c>
      <c r="BB18" s="7" t="n">
        <f aca="false">IF(ISBLANK(BA18),"No Follow Up Needed",BA18)</f>
        <v>45998</v>
      </c>
      <c r="BC18" s="0" t="s">
        <v>50</v>
      </c>
      <c r="BD18" s="0" t="str">
        <f aca="false">PROPER(IF(ISBLANK(BC18),"Unknown",BC18))</f>
        <v>No</v>
      </c>
      <c r="BF18" s="0" t="str">
        <f aca="false">IF(ISBLANK(BE18),"No comments",BE18)</f>
        <v>No comments</v>
      </c>
      <c r="BG18" s="0" t="s">
        <v>2320</v>
      </c>
      <c r="BH18" s="0" t="str">
        <f aca="false">IF(ISBLANK(BG18),"No comments",BG18)</f>
        <v>No complaints</v>
      </c>
      <c r="BI18" s="0" t="s">
        <v>50</v>
      </c>
      <c r="BJ18" s="0" t="str">
        <f aca="false">IF(ISBLANK(BI18),"Not Mentioned",BI18)</f>
        <v>No</v>
      </c>
      <c r="BK18" s="0" t="s">
        <v>63</v>
      </c>
      <c r="BL18" s="0" t="str">
        <f aca="false">PROPER(IF(ISBLANK(BK18),"Not Mentioned",BK18))</f>
        <v>Yes</v>
      </c>
      <c r="BN18" s="0" t="str">
        <f aca="false">PROPER(IF(ISBLANK(BM18),"Not Mentioned",BM18))</f>
        <v>Not Mentioned</v>
      </c>
      <c r="BO18" s="0" t="s">
        <v>2321</v>
      </c>
      <c r="BP18" s="0" t="str">
        <f aca="false">IF(ISBLANK(BO18),"One-Time Plan",BO18)</f>
        <v>One-Time Plan</v>
      </c>
      <c r="BQ18" s="0" t="s">
        <v>190</v>
      </c>
      <c r="BR18" s="0" t="str">
        <f aca="false">PROPER(IF(ISBLANK(BQ18),"No",BQ18))</f>
        <v>Yes</v>
      </c>
    </row>
    <row r="19" customFormat="false" ht="15" hidden="false" customHeight="false" outlineLevel="0" collapsed="false">
      <c r="A19" s="0" t="s">
        <v>192</v>
      </c>
      <c r="B19" s="2" t="s">
        <v>191</v>
      </c>
      <c r="C19" s="2" t="str">
        <f aca="false">TEXT(B19,"dd/mm/yyyy")</f>
        <v>20/02/2025</v>
      </c>
      <c r="D19" s="0" t="s">
        <v>121</v>
      </c>
      <c r="E19" s="0" t="n">
        <v>8058015538</v>
      </c>
      <c r="F19" s="0" t="s">
        <v>122</v>
      </c>
      <c r="G19" s="0" t="s">
        <v>2316</v>
      </c>
      <c r="H19" s="0" t="s">
        <v>193</v>
      </c>
      <c r="I19" s="0" t="s">
        <v>69</v>
      </c>
      <c r="K19" s="3" t="str">
        <f aca="false" t="array" ref="K19:K19">IFERROR(IF(J19&lt;&gt;"",J19,INDEX(J19:J1018,MATCH(1,(F19:F1018=F19)*(I19:I1018=I19)*(L19:L1018=L19)*(J19:J1018&lt;&gt;""),0))),"Not Found")</f>
        <v>Engine Knocking</v>
      </c>
      <c r="L19" s="3" t="s">
        <v>47</v>
      </c>
      <c r="M19" s="0" t="str">
        <f aca="false">PROPER(L19)</f>
        <v>None</v>
      </c>
      <c r="N19" s="3" t="s">
        <v>109</v>
      </c>
      <c r="O19" s="0" t="str">
        <f aca="false" t="array" ref="O19:O19">IF(N19&lt;&gt;"",N19,_xlfn.xlookup(1,(L19:L1018=L19)*(N19:N1018&lt;&gt;""),N19:N1018,"Not Found"))</f>
        <v>Tijani</v>
      </c>
      <c r="P19" s="4" t="n">
        <v>57603</v>
      </c>
      <c r="Q19" s="0" t="s">
        <v>72</v>
      </c>
      <c r="R19" s="0" t="str">
        <f aca="false">PROPER(Q19)</f>
        <v>Pos</v>
      </c>
      <c r="S19" s="0" t="s">
        <v>50</v>
      </c>
      <c r="T19" s="0" t="n">
        <v>3</v>
      </c>
      <c r="U19" s="5" t="n">
        <f aca="false">IF(ISBLANK(T19),AVERAGE(T19:T1018),T19)</f>
        <v>3</v>
      </c>
      <c r="V19" s="0" t="n">
        <v>3</v>
      </c>
      <c r="W19" s="0" t="s">
        <v>125</v>
      </c>
      <c r="X19" s="0" t="str">
        <f aca="false">IF(ISBLANK(W19),"No remarks",W19)</f>
        <v>Customer waited</v>
      </c>
      <c r="Y19" s="0" t="s">
        <v>93</v>
      </c>
      <c r="Z19" s="0" t="s">
        <v>94</v>
      </c>
      <c r="AA19" s="0" t="str">
        <f aca="false">PROPER(IF(ISBLANK(Z19),"Location Unavailable",Z19))</f>
        <v>Vip Section</v>
      </c>
      <c r="AB19" s="0" t="s">
        <v>126</v>
      </c>
      <c r="AC19" s="6" t="str">
        <f aca="false">PROPER(AB19)</f>
        <v>Whatsapp</v>
      </c>
      <c r="AD19" s="6" t="n">
        <v>45</v>
      </c>
      <c r="AE19" s="5" t="n">
        <f aca="false">IF(ISBLANK(AD19),AVERAGEIF(L19:L1018,L19,AD19:AD1018),AD19)</f>
        <v>45</v>
      </c>
      <c r="AF19" s="0" t="s">
        <v>160</v>
      </c>
      <c r="AG19" s="0" t="str">
        <f aca="false">PROPER(AF19)</f>
        <v>Availaible</v>
      </c>
      <c r="AH19" s="0" t="s">
        <v>77</v>
      </c>
      <c r="AI19" s="0" t="s">
        <v>98</v>
      </c>
      <c r="AJ19" s="0" t="str">
        <f aca="false">PROPER(AI19)</f>
        <v>Emergency</v>
      </c>
      <c r="AK19" s="0" t="s">
        <v>114</v>
      </c>
      <c r="AL19" s="0" t="str">
        <f aca="false">PROPER(AK19)</f>
        <v>Returning</v>
      </c>
      <c r="AN19" s="0" t="str">
        <f aca="false">IF(ISBLANK(AM19),"Unknown",AM19)</f>
        <v>Unknown</v>
      </c>
      <c r="AO19" s="0" t="s">
        <v>149</v>
      </c>
      <c r="AP19" s="0" t="str">
        <f aca="false">IF(ISBLANK(AO19),"Unknown",AO19)</f>
        <v>Senior </v>
      </c>
      <c r="AQ19" s="0" t="n">
        <v>30000</v>
      </c>
      <c r="AR19" s="5" t="n">
        <f aca="false">IF(ISBLANK(AQ19),AVERAGEIF(M19:M1018,M19,AQ19:AQ1018),AQ19)</f>
        <v>30000</v>
      </c>
      <c r="AS19" s="0" t="n">
        <v>20000</v>
      </c>
      <c r="AT19" s="5" t="n">
        <f aca="false">IF(ISBLANK(AS19),AVERAGE(AS19:AS1018),AS19)</f>
        <v>20000</v>
      </c>
      <c r="AV19" s="0" t="str">
        <f aca="false">PROPER(IF(ISBLANK(AU19),"No",AU19))</f>
        <v>No</v>
      </c>
      <c r="AW19" s="0" t="n">
        <v>5000</v>
      </c>
      <c r="AX19" s="5" t="n">
        <f aca="false">IF(ISBLANK(AW19),0,AW19)</f>
        <v>5000</v>
      </c>
      <c r="AY19" s="0" t="s">
        <v>130</v>
      </c>
      <c r="AZ19" s="0" t="str">
        <f aca="false">UPPER(IF(ISBLANK(AY19),"NONE",AY19))</f>
        <v>LOYALTY10</v>
      </c>
      <c r="BA19" s="7" t="n">
        <v>46002</v>
      </c>
      <c r="BB19" s="7" t="n">
        <f aca="false">IF(ISBLANK(BA19),"No Follow Up Needed",BA19)</f>
        <v>46002</v>
      </c>
      <c r="BC19" s="0" t="s">
        <v>61</v>
      </c>
      <c r="BD19" s="0" t="str">
        <f aca="false">PROPER(IF(ISBLANK(BC19),"Unknown",BC19))</f>
        <v>No</v>
      </c>
      <c r="BF19" s="0" t="str">
        <f aca="false">IF(ISBLANK(BE19),"No comments",BE19)</f>
        <v>No comments</v>
      </c>
      <c r="BG19" s="0" t="s">
        <v>2320</v>
      </c>
      <c r="BH19" s="0" t="str">
        <f aca="false">IF(ISBLANK(BG19),"No comments",BG19)</f>
        <v>No complaints</v>
      </c>
      <c r="BJ19" s="0" t="str">
        <f aca="false">IF(ISBLANK(BI19),"Not Mentioned",BI19)</f>
        <v>Not Mentioned</v>
      </c>
      <c r="BK19" s="0" t="s">
        <v>82</v>
      </c>
      <c r="BL19" s="0" t="str">
        <f aca="false">PROPER(IF(ISBLANK(BK19),"Not Mentioned",BK19))</f>
        <v>Yes</v>
      </c>
      <c r="BM19" s="0" t="s">
        <v>63</v>
      </c>
      <c r="BN19" s="0" t="str">
        <f aca="false">PROPER(IF(ISBLANK(BM19),"Not Mentioned",BM19))</f>
        <v>Yes</v>
      </c>
      <c r="BO19" s="0" t="s">
        <v>64</v>
      </c>
      <c r="BP19" s="0" t="str">
        <f aca="false">IF(ISBLANK(BO19),"One-Time Plan",BO19)</f>
        <v>Gold Maintenance Plan</v>
      </c>
      <c r="BQ19" s="0" t="s">
        <v>190</v>
      </c>
      <c r="BR19" s="0" t="str">
        <f aca="false">PROPER(IF(ISBLANK(BQ19),"No",BQ19))</f>
        <v>Yes</v>
      </c>
    </row>
    <row r="20" customFormat="false" ht="15" hidden="false" customHeight="false" outlineLevel="0" collapsed="false">
      <c r="A20" s="0" t="s">
        <v>194</v>
      </c>
      <c r="B20" s="2" t="n">
        <v>45772</v>
      </c>
      <c r="C20" s="2" t="str">
        <f aca="false">TEXT(B20,"dd/mm/yyyy")</f>
        <v>25/04/2025</v>
      </c>
      <c r="D20" s="0" t="s">
        <v>105</v>
      </c>
      <c r="E20" s="0" t="n">
        <v>8051766978</v>
      </c>
      <c r="F20" s="0" t="s">
        <v>43</v>
      </c>
      <c r="G20" s="0" t="s">
        <v>2315</v>
      </c>
      <c r="H20" s="0" t="s">
        <v>195</v>
      </c>
      <c r="I20" s="0" t="s">
        <v>87</v>
      </c>
      <c r="J20" s="0" t="s">
        <v>2317</v>
      </c>
      <c r="K20" s="3" t="str">
        <f aca="false" t="array" ref="K20:K20">IFERROR(IF(J20&lt;&gt;"",J20,INDEX(J20:J1019,MATCH(1,(F20:F1019=F20)*(I20:I1019=I20)*(L20:L1019=L20)*(J20:J1019&lt;&gt;""),0))),"Not Found")</f>
        <v>Suspension Noise</v>
      </c>
      <c r="L20" s="3" t="s">
        <v>142</v>
      </c>
      <c r="M20" s="0" t="str">
        <f aca="false">PROPER(L20)</f>
        <v>Oil Filter, Brake Pads</v>
      </c>
      <c r="O20" s="0" t="e">
        <f aca="false" t="array" ref="O20:O20">IF(N20&lt;&gt;"",N20,_xlfn.xlookup(1,(L20:L1019=L20)*(N20:N1019&lt;&gt;""),N20:N1019,"Not Found"))</f>
        <v>#NAME?</v>
      </c>
      <c r="P20" s="4" t="n">
        <v>83667</v>
      </c>
      <c r="Q20" s="0" t="s">
        <v>72</v>
      </c>
      <c r="R20" s="0" t="str">
        <f aca="false">PROPER(Q20)</f>
        <v>Pos</v>
      </c>
      <c r="S20" s="0" t="s">
        <v>63</v>
      </c>
      <c r="T20" s="0" t="n">
        <v>3</v>
      </c>
      <c r="U20" s="5" t="n">
        <f aca="false">IF(ISBLANK(T20),AVERAGE(T20:T1019),T20)</f>
        <v>3</v>
      </c>
      <c r="V20" s="0" t="n">
        <v>3.9</v>
      </c>
      <c r="W20" s="0" t="s">
        <v>125</v>
      </c>
      <c r="X20" s="0" t="str">
        <f aca="false">IF(ISBLANK(W20),"No remarks",W20)</f>
        <v>Customer waited</v>
      </c>
      <c r="Y20" s="0" t="s">
        <v>73</v>
      </c>
      <c r="Z20" s="0" t="s">
        <v>159</v>
      </c>
      <c r="AA20" s="0" t="str">
        <f aca="false">PROPER(IF(ISBLANK(Z20),"Location Unavailable",Z20))</f>
        <v>Main Bay</v>
      </c>
      <c r="AB20" s="0" t="s">
        <v>75</v>
      </c>
      <c r="AC20" s="6" t="str">
        <f aca="false">PROPER(AB20)</f>
        <v>Mechanik Referal</v>
      </c>
      <c r="AD20" s="6" t="n">
        <v>60</v>
      </c>
      <c r="AE20" s="5" t="n">
        <f aca="false">IF(ISBLANK(AD20),AVERAGEIF(L20:L1019,L20,AD20:AD1019),AD20)</f>
        <v>60</v>
      </c>
      <c r="AF20" s="0" t="s">
        <v>55</v>
      </c>
      <c r="AG20" s="0" t="str">
        <f aca="false">PROPER(AF20)</f>
        <v>Available</v>
      </c>
      <c r="AH20" s="0" t="s">
        <v>155</v>
      </c>
      <c r="AI20" s="0" t="s">
        <v>113</v>
      </c>
      <c r="AJ20" s="0" t="str">
        <f aca="false">PROPER(AI20)</f>
        <v>Normal</v>
      </c>
      <c r="AK20" s="0" t="s">
        <v>196</v>
      </c>
      <c r="AL20" s="0" t="str">
        <f aca="false">PROPER(AK20)</f>
        <v>First Time</v>
      </c>
      <c r="AM20" s="0" t="s">
        <v>2326</v>
      </c>
      <c r="AN20" s="0" t="str">
        <f aca="false">IF(ISBLANK(AM20),"Unknown",AM20)</f>
        <v>Government Convoy</v>
      </c>
      <c r="AO20" s="0" t="s">
        <v>79</v>
      </c>
      <c r="AP20" s="0" t="str">
        <f aca="false">IF(ISBLANK(AO20),"Unknown",AO20)</f>
        <v>Specialist</v>
      </c>
      <c r="AR20" s="5" t="n">
        <f aca="false">IF(ISBLANK(AQ20),AVERAGEIF(M20:M1019,M20,AQ20:AQ1019),AQ20)</f>
        <v>26423.6111111111</v>
      </c>
      <c r="AT20" s="5" t="n">
        <f aca="false">IF(ISBLANK(AS20),AVERAGE(AS20:AS1019),AS20)</f>
        <v>31423.3128834356</v>
      </c>
      <c r="AU20" s="0" t="s">
        <v>63</v>
      </c>
      <c r="AV20" s="0" t="str">
        <f aca="false">PROPER(IF(ISBLANK(AU20),"No",AU20))</f>
        <v>Yes</v>
      </c>
      <c r="AX20" s="5" t="n">
        <f aca="false">IF(ISBLANK(AW20),0,AW20)</f>
        <v>0</v>
      </c>
      <c r="AY20" s="0" t="s">
        <v>184</v>
      </c>
      <c r="AZ20" s="0" t="str">
        <f aca="false">UPPER(IF(ISBLANK(AY20),"NONE",AY20))</f>
        <v>N/A</v>
      </c>
      <c r="BA20" s="7" t="n">
        <v>45896</v>
      </c>
      <c r="BB20" s="7" t="n">
        <f aca="false">IF(ISBLANK(BA20),"No Follow Up Needed",BA20)</f>
        <v>45896</v>
      </c>
      <c r="BC20" s="0" t="s">
        <v>61</v>
      </c>
      <c r="BD20" s="0" t="str">
        <f aca="false">PROPER(IF(ISBLANK(BC20),"Unknown",BC20))</f>
        <v>No</v>
      </c>
      <c r="BE20" s="0" t="s">
        <v>116</v>
      </c>
      <c r="BF20" s="0" t="str">
        <f aca="false">IF(ISBLANK(BE20),"No comments",BE20)</f>
        <v>Needs tire alignment</v>
      </c>
      <c r="BG20" s="0" t="s">
        <v>172</v>
      </c>
      <c r="BH20" s="0" t="str">
        <f aca="false">IF(ISBLANK(BG20),"No comments",BG20)</f>
        <v>Always late</v>
      </c>
      <c r="BI20" s="0" t="s">
        <v>50</v>
      </c>
      <c r="BJ20" s="0" t="str">
        <f aca="false">IF(ISBLANK(BI20),"Not Mentioned",BI20)</f>
        <v>No</v>
      </c>
      <c r="BK20" s="0" t="s">
        <v>82</v>
      </c>
      <c r="BL20" s="0" t="str">
        <f aca="false">PROPER(IF(ISBLANK(BK20),"Not Mentioned",BK20))</f>
        <v>Yes</v>
      </c>
      <c r="BM20" s="0" t="s">
        <v>63</v>
      </c>
      <c r="BN20" s="0" t="str">
        <f aca="false">PROPER(IF(ISBLANK(BM20),"Not Mentioned",BM20))</f>
        <v>Yes</v>
      </c>
      <c r="BP20" s="0" t="str">
        <f aca="false">IF(ISBLANK(BO20),"One-Time Plan",BO20)</f>
        <v>One-Time Plan</v>
      </c>
      <c r="BQ20" s="0" t="s">
        <v>198</v>
      </c>
      <c r="BR20" s="0" t="str">
        <f aca="false">PROPER(IF(ISBLANK(BQ20),"No",BQ20))</f>
        <v>Followed Up</v>
      </c>
    </row>
    <row r="21" customFormat="false" ht="15" hidden="false" customHeight="false" outlineLevel="0" collapsed="false">
      <c r="A21" s="0" t="s">
        <v>199</v>
      </c>
      <c r="B21" s="2" t="n">
        <v>45996</v>
      </c>
      <c r="C21" s="2" t="str">
        <f aca="false">TEXT(B21,"dd/mm/yyyy")</f>
        <v>05/12/2025</v>
      </c>
      <c r="D21" s="0" t="s">
        <v>163</v>
      </c>
      <c r="E21" s="0" t="n">
        <v>8088338313</v>
      </c>
      <c r="F21" s="0" t="s">
        <v>85</v>
      </c>
      <c r="G21" s="0" t="s">
        <v>2319</v>
      </c>
      <c r="H21" s="0" t="s">
        <v>200</v>
      </c>
      <c r="I21" s="0" t="s">
        <v>69</v>
      </c>
      <c r="J21" s="0" t="s">
        <v>2317</v>
      </c>
      <c r="K21" s="3" t="str">
        <f aca="false" t="array" ref="K21:K21">IFERROR(IF(J21&lt;&gt;"",J21,INDEX(J21:J1020,MATCH(1,(F21:F1020=F21)*(I21:I1020=I21)*(L21:L1020=L21)*(J21:J1020&lt;&gt;""),0))),"Not Found")</f>
        <v>Suspension Noise</v>
      </c>
      <c r="L21" s="3" t="s">
        <v>89</v>
      </c>
      <c r="M21" s="0" t="str">
        <f aca="false">PROPER(L21)</f>
        <v>Shock Absorbers</v>
      </c>
      <c r="N21" s="3" t="s">
        <v>71</v>
      </c>
      <c r="O21" s="0" t="str">
        <f aca="false" t="array" ref="O21:O21">IF(N21&lt;&gt;"",N21,_xlfn.xlookup(1,(L21:L1020=L21)*(N21:N1020&lt;&gt;""),N21:N1020,"Not Found"))</f>
        <v>Isaac Bobo</v>
      </c>
      <c r="P21" s="4" t="n">
        <v>92278</v>
      </c>
      <c r="Q21" s="0" t="s">
        <v>49</v>
      </c>
      <c r="R21" s="0" t="str">
        <f aca="false">PROPER(Q21)</f>
        <v>Transfer</v>
      </c>
      <c r="S21" s="0" t="s">
        <v>50</v>
      </c>
      <c r="T21" s="0" t="n">
        <v>4</v>
      </c>
      <c r="U21" s="5" t="n">
        <f aca="false">IF(ISBLANK(T21),AVERAGE(T21:T1020),T21)</f>
        <v>4</v>
      </c>
      <c r="V21" s="0" t="n">
        <v>5</v>
      </c>
      <c r="W21" s="0" t="s">
        <v>92</v>
      </c>
      <c r="X21" s="0" t="str">
        <f aca="false">IF(ISBLANK(W21),"No remarks",W21)</f>
        <v>Urgent service</v>
      </c>
      <c r="Y21" s="0" t="s">
        <v>93</v>
      </c>
      <c r="Z21" s="0" t="s">
        <v>53</v>
      </c>
      <c r="AA21" s="0" t="str">
        <f aca="false">PROPER(IF(ISBLANK(Z21),"Location Unavailable",Z21))</f>
        <v>Main Bay</v>
      </c>
      <c r="AB21" s="0" t="s">
        <v>75</v>
      </c>
      <c r="AC21" s="6" t="str">
        <f aca="false">PROPER(AB21)</f>
        <v>Mechanik Referal</v>
      </c>
      <c r="AD21" s="6" t="n">
        <v>45</v>
      </c>
      <c r="AE21" s="5" t="n">
        <f aca="false">IF(ISBLANK(AD21),AVERAGEIF(L21:L1020,L21,AD21:AD1020),AD21)</f>
        <v>45</v>
      </c>
      <c r="AF21" s="0" t="s">
        <v>76</v>
      </c>
      <c r="AG21" s="0" t="str">
        <f aca="false">PROPER(AF21)</f>
        <v>Orderd</v>
      </c>
      <c r="AH21" s="0" t="s">
        <v>155</v>
      </c>
      <c r="AI21" s="0" t="s">
        <v>98</v>
      </c>
      <c r="AJ21" s="0" t="str">
        <f aca="false">PROPER(AI21)</f>
        <v>Emergency</v>
      </c>
      <c r="AK21" s="0" t="s">
        <v>114</v>
      </c>
      <c r="AL21" s="0" t="str">
        <f aca="false">PROPER(AK21)</f>
        <v>Returning</v>
      </c>
      <c r="AN21" s="0" t="str">
        <f aca="false">IF(ISBLANK(AM21),"Unknown",AM21)</f>
        <v>Unknown</v>
      </c>
      <c r="AO21" s="0" t="s">
        <v>79</v>
      </c>
      <c r="AP21" s="0" t="str">
        <f aca="false">IF(ISBLANK(AO21),"Unknown",AO21)</f>
        <v>Specialist</v>
      </c>
      <c r="AQ21" s="0" t="n">
        <v>25000</v>
      </c>
      <c r="AR21" s="5" t="n">
        <f aca="false">IF(ISBLANK(AQ21),AVERAGEIF(M21:M1020,M21,AQ21:AQ1020),AQ21)</f>
        <v>25000</v>
      </c>
      <c r="AT21" s="5" t="n">
        <f aca="false">IF(ISBLANK(AS21),AVERAGE(AS21:AS1020),AS21)</f>
        <v>31423.3128834356</v>
      </c>
      <c r="AU21" s="0" t="s">
        <v>50</v>
      </c>
      <c r="AV21" s="0" t="str">
        <f aca="false">PROPER(IF(ISBLANK(AU21),"No",AU21))</f>
        <v>No</v>
      </c>
      <c r="AW21" s="0" t="n">
        <v>10000</v>
      </c>
      <c r="AX21" s="5" t="n">
        <f aca="false">IF(ISBLANK(AW21),0,AW21)</f>
        <v>10000</v>
      </c>
      <c r="AZ21" s="0" t="str">
        <f aca="false">UPPER(IF(ISBLANK(AY21),"NONE",AY21))</f>
        <v>NONE</v>
      </c>
      <c r="BA21" s="7" t="s">
        <v>201</v>
      </c>
      <c r="BB21" s="7" t="str">
        <f aca="false">IF(ISBLANK(BA21),"No Follow Up Needed",BA21)</f>
        <v>13/07/2025</v>
      </c>
      <c r="BD21" s="0" t="str">
        <f aca="false">PROPER(IF(ISBLANK(BC21),"Unknown",BC21))</f>
        <v>Unknown</v>
      </c>
      <c r="BE21" s="0" t="s">
        <v>116</v>
      </c>
      <c r="BF21" s="0" t="str">
        <f aca="false">IF(ISBLANK(BE21),"No comments",BE21)</f>
        <v>Needs tire alignment</v>
      </c>
      <c r="BH21" s="0" t="str">
        <f aca="false">IF(ISBLANK(BG21),"No comments",BG21)</f>
        <v>No comments</v>
      </c>
      <c r="BI21" s="0" t="s">
        <v>50</v>
      </c>
      <c r="BJ21" s="0" t="str">
        <f aca="false">IF(ISBLANK(BI21),"Not Mentioned",BI21)</f>
        <v>No</v>
      </c>
      <c r="BL21" s="0" t="str">
        <f aca="false">PROPER(IF(ISBLANK(BK21),"Not Mentioned",BK21))</f>
        <v>Not Mentioned</v>
      </c>
      <c r="BN21" s="0" t="str">
        <f aca="false">PROPER(IF(ISBLANK(BM21),"Not Mentioned",BM21))</f>
        <v>Not Mentioned</v>
      </c>
      <c r="BO21" s="0" t="s">
        <v>2321</v>
      </c>
      <c r="BP21" s="0" t="str">
        <f aca="false">IF(ISBLANK(BO21),"One-Time Plan",BO21)</f>
        <v>One-Time Plan</v>
      </c>
      <c r="BQ21" s="0" t="s">
        <v>190</v>
      </c>
      <c r="BR21" s="0" t="str">
        <f aca="false">PROPER(IF(ISBLANK(BQ21),"No",BQ21))</f>
        <v>Yes</v>
      </c>
    </row>
    <row r="22" customFormat="false" ht="15" hidden="false" customHeight="false" outlineLevel="0" collapsed="false">
      <c r="A22" s="0" t="s">
        <v>202</v>
      </c>
      <c r="B22" s="2" t="n">
        <v>45729</v>
      </c>
      <c r="C22" s="2" t="str">
        <f aca="false">TEXT(B22,"dd/mm/yyyy")</f>
        <v>13/03/2025</v>
      </c>
      <c r="D22" s="0" t="s">
        <v>121</v>
      </c>
      <c r="E22" s="0" t="n">
        <v>8082631078</v>
      </c>
      <c r="F22" s="0" t="s">
        <v>67</v>
      </c>
      <c r="G22" s="0" t="s">
        <v>2316</v>
      </c>
      <c r="H22" s="0" t="s">
        <v>203</v>
      </c>
      <c r="I22" s="0" t="s">
        <v>107</v>
      </c>
      <c r="J22" s="0" t="s">
        <v>2322</v>
      </c>
      <c r="K22" s="3" t="str">
        <f aca="false" t="array" ref="K22:K22">IFERROR(IF(J22&lt;&gt;"",J22,INDEX(J22:J1021,MATCH(1,(F22:F1021=F22)*(I22:I1021=I22)*(L22:L1021=L22)*(J22:J1021&lt;&gt;""),0))),"Not Found")</f>
        <v>Brake Failure</v>
      </c>
      <c r="L22" s="3" t="s">
        <v>89</v>
      </c>
      <c r="M22" s="0" t="str">
        <f aca="false">PROPER(L22)</f>
        <v>Shock Absorbers</v>
      </c>
      <c r="N22" s="3" t="s">
        <v>109</v>
      </c>
      <c r="O22" s="0" t="str">
        <f aca="false" t="array" ref="O22:O22">IF(N22&lt;&gt;"",N22,_xlfn.xlookup(1,(L22:L1021=L22)*(N22:N1021&lt;&gt;""),N22:N1021,"Not Found"))</f>
        <v>Tijani</v>
      </c>
      <c r="P22" s="4" t="n">
        <v>44816</v>
      </c>
      <c r="Q22" s="0" t="s">
        <v>91</v>
      </c>
      <c r="R22" s="0" t="str">
        <f aca="false">PROPER(Q22)</f>
        <v>Pos</v>
      </c>
      <c r="S22" s="0" t="s">
        <v>63</v>
      </c>
      <c r="U22" s="5" t="n">
        <f aca="false">IF(ISBLANK(T22),AVERAGE(T22:T1021),T22)</f>
        <v>3.00244798041616</v>
      </c>
      <c r="V22" s="0" t="n">
        <v>1.5</v>
      </c>
      <c r="W22" s="0" t="s">
        <v>111</v>
      </c>
      <c r="X22" s="0" t="str">
        <f aca="false">IF(ISBLANK(W22),"No remarks",W22)</f>
        <v>Changed all filters</v>
      </c>
      <c r="Y22" s="0" t="s">
        <v>93</v>
      </c>
      <c r="Z22" s="0" t="s">
        <v>94</v>
      </c>
      <c r="AA22" s="0" t="str">
        <f aca="false">PROPER(IF(ISBLANK(Z22),"Location Unavailable",Z22))</f>
        <v>Vip Section</v>
      </c>
      <c r="AB22" s="0" t="s">
        <v>75</v>
      </c>
      <c r="AC22" s="6" t="str">
        <f aca="false">PROPER(AB22)</f>
        <v>Mechanik Referal</v>
      </c>
      <c r="AE22" s="5" t="n">
        <f aca="false">IF(ISBLANK(AD22),AVERAGEIF(L22:L1021,L22,AD22:AD1021),AD22)</f>
        <v>39.8239436619718</v>
      </c>
      <c r="AF22" s="0" t="s">
        <v>96</v>
      </c>
      <c r="AG22" s="0" t="str">
        <f aca="false">PROPER(AF22)</f>
        <v>Ordered</v>
      </c>
      <c r="AH22" s="0" t="s">
        <v>155</v>
      </c>
      <c r="AI22" s="0" t="s">
        <v>128</v>
      </c>
      <c r="AJ22" s="0" t="str">
        <f aca="false">PROPER(AI22)</f>
        <v>Normal</v>
      </c>
      <c r="AK22" s="0" t="s">
        <v>99</v>
      </c>
      <c r="AL22" s="0" t="str">
        <f aca="false">PROPER(AK22)</f>
        <v>Uber Driver</v>
      </c>
      <c r="AN22" s="0" t="str">
        <f aca="false">IF(ISBLANK(AM22),"Unknown",AM22)</f>
        <v>Unknown</v>
      </c>
      <c r="AP22" s="0" t="str">
        <f aca="false">IF(ISBLANK(AO22),"Unknown",AO22)</f>
        <v>Unknown</v>
      </c>
      <c r="AQ22" s="0" t="n">
        <v>15000</v>
      </c>
      <c r="AR22" s="5" t="n">
        <f aca="false">IF(ISBLANK(AQ22),AVERAGEIF(M22:M1021,M22,AQ22:AQ1021),AQ22)</f>
        <v>15000</v>
      </c>
      <c r="AS22" s="0" t="n">
        <v>40000</v>
      </c>
      <c r="AT22" s="5" t="n">
        <f aca="false">IF(ISBLANK(AS22),AVERAGE(AS22:AS1021),AS22)</f>
        <v>40000</v>
      </c>
      <c r="AV22" s="0" t="str">
        <f aca="false">PROPER(IF(ISBLANK(AU22),"No",AU22))</f>
        <v>No</v>
      </c>
      <c r="AW22" s="0" t="n">
        <v>10000</v>
      </c>
      <c r="AX22" s="5" t="n">
        <f aca="false">IF(ISBLANK(AW22),0,AW22)</f>
        <v>10000</v>
      </c>
      <c r="AY22" s="0" t="s">
        <v>80</v>
      </c>
      <c r="AZ22" s="0" t="str">
        <f aca="false">UPPER(IF(ISBLANK(AY22),"NONE",AY22))</f>
        <v>PROMO10</v>
      </c>
      <c r="BA22" s="7" t="n">
        <v>45937</v>
      </c>
      <c r="BB22" s="7" t="n">
        <f aca="false">IF(ISBLANK(BA22),"No Follow Up Needed",BA22)</f>
        <v>45937</v>
      </c>
      <c r="BD22" s="0" t="str">
        <f aca="false">PROPER(IF(ISBLANK(BC22),"Unknown",BC22))</f>
        <v>Unknown</v>
      </c>
      <c r="BF22" s="0" t="str">
        <f aca="false">IF(ISBLANK(BE22),"No comments",BE22)</f>
        <v>No comments</v>
      </c>
      <c r="BG22" s="0" t="s">
        <v>2320</v>
      </c>
      <c r="BH22" s="0" t="str">
        <f aca="false">IF(ISBLANK(BG22),"No comments",BG22)</f>
        <v>No complaints</v>
      </c>
      <c r="BJ22" s="0" t="str">
        <f aca="false">IF(ISBLANK(BI22),"Not Mentioned",BI22)</f>
        <v>Not Mentioned</v>
      </c>
      <c r="BK22" s="0" t="s">
        <v>50</v>
      </c>
      <c r="BL22" s="0" t="str">
        <f aca="false">PROPER(IF(ISBLANK(BK22),"Not Mentioned",BK22))</f>
        <v>No</v>
      </c>
      <c r="BM22" s="0" t="s">
        <v>50</v>
      </c>
      <c r="BN22" s="0" t="str">
        <f aca="false">PROPER(IF(ISBLANK(BM22),"Not Mentioned",BM22))</f>
        <v>No</v>
      </c>
      <c r="BO22" s="0" t="s">
        <v>2318</v>
      </c>
      <c r="BP22" s="0" t="str">
        <f aca="false">IF(ISBLANK(BO22),"One-Time Plan",BO22)</f>
        <v>Gold</v>
      </c>
      <c r="BQ22" s="0" t="s">
        <v>198</v>
      </c>
      <c r="BR22" s="0" t="str">
        <f aca="false">PROPER(IF(ISBLANK(BQ22),"No",BQ22))</f>
        <v>Followed Up</v>
      </c>
    </row>
    <row r="23" customFormat="false" ht="15" hidden="false" customHeight="false" outlineLevel="0" collapsed="false">
      <c r="A23" s="0" t="s">
        <v>204</v>
      </c>
      <c r="B23" s="2" t="n">
        <v>45699</v>
      </c>
      <c r="C23" s="2" t="str">
        <f aca="false">TEXT(B23,"dd/mm/yyyy")</f>
        <v>11/02/2025</v>
      </c>
      <c r="D23" s="0" t="s">
        <v>42</v>
      </c>
      <c r="E23" s="0" t="n">
        <v>8029545414</v>
      </c>
      <c r="F23" s="0" t="s">
        <v>122</v>
      </c>
      <c r="G23" s="0" t="s">
        <v>2316</v>
      </c>
      <c r="H23" s="0" t="s">
        <v>205</v>
      </c>
      <c r="I23" s="0" t="s">
        <v>134</v>
      </c>
      <c r="K23" s="3" t="str">
        <f aca="false" t="array" ref="K23:K23">IFERROR(IF(J23&lt;&gt;"",J23,INDEX(J23:J1022,MATCH(1,(F23:F1022=F23)*(I23:I1022=I23)*(L23:L1022=L23)*(J23:J1022&lt;&gt;""),0))),"Not Found")</f>
        <v>Brake Failure</v>
      </c>
      <c r="L23" s="3" t="s">
        <v>189</v>
      </c>
      <c r="M23" s="0" t="str">
        <f aca="false">PROPER(L23)</f>
        <v>Battery</v>
      </c>
      <c r="N23" s="3" t="s">
        <v>90</v>
      </c>
      <c r="O23" s="0" t="str">
        <f aca="false" t="array" ref="O23:O23">IF(N23&lt;&gt;"",N23,_xlfn.xlookup(1,(L23:L1022=L23)*(N23:N1022&lt;&gt;""),N23:N1022,"Not Found"))</f>
        <v>Musa</v>
      </c>
      <c r="P23" s="4" t="n">
        <v>73417</v>
      </c>
      <c r="Q23" s="0" t="s">
        <v>72</v>
      </c>
      <c r="R23" s="0" t="str">
        <f aca="false">PROPER(Q23)</f>
        <v>Pos</v>
      </c>
      <c r="S23" s="0" t="s">
        <v>63</v>
      </c>
      <c r="T23" s="0" t="n">
        <v>4</v>
      </c>
      <c r="U23" s="5" t="n">
        <f aca="false">IF(ISBLANK(T23),AVERAGE(T23:T1022),T23)</f>
        <v>4</v>
      </c>
      <c r="V23" s="0" t="n">
        <v>2.9</v>
      </c>
      <c r="W23" s="0" t="s">
        <v>125</v>
      </c>
      <c r="X23" s="0" t="str">
        <f aca="false">IF(ISBLANK(W23),"No remarks",W23)</f>
        <v>Customer waited</v>
      </c>
      <c r="Y23" s="0" t="s">
        <v>93</v>
      </c>
      <c r="Z23" s="0" t="s">
        <v>94</v>
      </c>
      <c r="AA23" s="0" t="str">
        <f aca="false">PROPER(IF(ISBLANK(Z23),"Location Unavailable",Z23))</f>
        <v>Vip Section</v>
      </c>
      <c r="AB23" s="0" t="s">
        <v>167</v>
      </c>
      <c r="AC23" s="6" t="str">
        <f aca="false">PROPER(AB23)</f>
        <v>Word Of Mouth</v>
      </c>
      <c r="AD23" s="6" t="n">
        <v>45</v>
      </c>
      <c r="AE23" s="5" t="n">
        <f aca="false">IF(ISBLANK(AD23),AVERAGEIF(L23:L1022,L23,AD23:AD1022),AD23)</f>
        <v>45</v>
      </c>
      <c r="AF23" s="0" t="s">
        <v>76</v>
      </c>
      <c r="AG23" s="0" t="str">
        <f aca="false">PROPER(AF23)</f>
        <v>Orderd</v>
      </c>
      <c r="AH23" s="0" t="s">
        <v>155</v>
      </c>
      <c r="AI23" s="0" t="s">
        <v>113</v>
      </c>
      <c r="AJ23" s="0" t="str">
        <f aca="false">PROPER(AI23)</f>
        <v>Normal</v>
      </c>
      <c r="AK23" s="0" t="s">
        <v>196</v>
      </c>
      <c r="AL23" s="0" t="str">
        <f aca="false">PROPER(AK23)</f>
        <v>First Time</v>
      </c>
      <c r="AN23" s="0" t="str">
        <f aca="false">IF(ISBLANK(AM23),"Unknown",AM23)</f>
        <v>Unknown</v>
      </c>
      <c r="AO23" s="0" t="s">
        <v>149</v>
      </c>
      <c r="AP23" s="0" t="str">
        <f aca="false">IF(ISBLANK(AO23),"Unknown",AO23)</f>
        <v>Senior </v>
      </c>
      <c r="AQ23" s="0" t="n">
        <v>40000</v>
      </c>
      <c r="AR23" s="5" t="n">
        <f aca="false">IF(ISBLANK(AQ23),AVERAGEIF(M23:M1022,M23,AQ23:AQ1022),AQ23)</f>
        <v>40000</v>
      </c>
      <c r="AS23" s="0" t="n">
        <v>35000</v>
      </c>
      <c r="AT23" s="5" t="n">
        <f aca="false">IF(ISBLANK(AS23),AVERAGE(AS23:AS1022),AS23)</f>
        <v>35000</v>
      </c>
      <c r="AV23" s="0" t="str">
        <f aca="false">PROPER(IF(ISBLANK(AU23),"No",AU23))</f>
        <v>No</v>
      </c>
      <c r="AW23" s="0" t="n">
        <v>5000</v>
      </c>
      <c r="AX23" s="5" t="n">
        <f aca="false">IF(ISBLANK(AW23),0,AW23)</f>
        <v>5000</v>
      </c>
      <c r="AZ23" s="0" t="str">
        <f aca="false">UPPER(IF(ISBLANK(AY23),"NONE",AY23))</f>
        <v>NONE</v>
      </c>
      <c r="BA23" s="7" t="n">
        <v>45834</v>
      </c>
      <c r="BB23" s="7" t="n">
        <f aca="false">IF(ISBLANK(BA23),"No Follow Up Needed",BA23)</f>
        <v>45834</v>
      </c>
      <c r="BC23" s="0" t="s">
        <v>63</v>
      </c>
      <c r="BD23" s="0" t="str">
        <f aca="false">PROPER(IF(ISBLANK(BC23),"Unknown",BC23))</f>
        <v>Yes</v>
      </c>
      <c r="BE23" s="0" t="s">
        <v>171</v>
      </c>
      <c r="BF23" s="0" t="str">
        <f aca="false">IF(ISBLANK(BE23),"No comments",BE23)</f>
        <v>Shock absorber weakening</v>
      </c>
      <c r="BH23" s="0" t="str">
        <f aca="false">IF(ISBLANK(BG23),"No comments",BG23)</f>
        <v>No comments</v>
      </c>
      <c r="BJ23" s="0" t="str">
        <f aca="false">IF(ISBLANK(BI23),"Not Mentioned",BI23)</f>
        <v>Not Mentioned</v>
      </c>
      <c r="BK23" s="0" t="s">
        <v>61</v>
      </c>
      <c r="BL23" s="0" t="str">
        <f aca="false">PROPER(IF(ISBLANK(BK23),"Not Mentioned",BK23))</f>
        <v>No</v>
      </c>
      <c r="BN23" s="0" t="str">
        <f aca="false">PROPER(IF(ISBLANK(BM23),"Not Mentioned",BM23))</f>
        <v>Not Mentioned</v>
      </c>
      <c r="BP23" s="0" t="str">
        <f aca="false">IF(ISBLANK(BO23),"One-Time Plan",BO23)</f>
        <v>One-Time Plan</v>
      </c>
      <c r="BQ23" s="0" t="s">
        <v>63</v>
      </c>
      <c r="BR23" s="0" t="str">
        <f aca="false">PROPER(IF(ISBLANK(BQ23),"No",BQ23))</f>
        <v>Yes</v>
      </c>
    </row>
    <row r="24" customFormat="false" ht="15" hidden="false" customHeight="false" outlineLevel="0" collapsed="false">
      <c r="A24" s="0" t="s">
        <v>206</v>
      </c>
      <c r="B24" s="2" t="n">
        <v>45689</v>
      </c>
      <c r="C24" s="2" t="str">
        <f aca="false">TEXT(B24,"dd/mm/yyyy")</f>
        <v>01/02/2025</v>
      </c>
      <c r="D24" s="0" t="s">
        <v>105</v>
      </c>
      <c r="E24" s="0" t="n">
        <v>8029784909</v>
      </c>
      <c r="F24" s="0" t="s">
        <v>85</v>
      </c>
      <c r="G24" s="0" t="s">
        <v>2319</v>
      </c>
      <c r="H24" s="0" t="s">
        <v>207</v>
      </c>
      <c r="I24" s="0" t="s">
        <v>87</v>
      </c>
      <c r="J24" s="0" t="s">
        <v>2322</v>
      </c>
      <c r="K24" s="3" t="str">
        <f aca="false" t="array" ref="K24:K24">IFERROR(IF(J24&lt;&gt;"",J24,INDEX(J24:J1023,MATCH(1,(F24:F1023=F24)*(I24:I1023=I24)*(L24:L1023=L24)*(J24:J1023&lt;&gt;""),0))),"Not Found")</f>
        <v>Brake Failure</v>
      </c>
      <c r="L24" s="3" t="s">
        <v>89</v>
      </c>
      <c r="M24" s="0" t="str">
        <f aca="false">PROPER(L24)</f>
        <v>Shock Absorbers</v>
      </c>
      <c r="N24" s="3" t="s">
        <v>109</v>
      </c>
      <c r="O24" s="0" t="str">
        <f aca="false" t="array" ref="O24:O24">IF(N24&lt;&gt;"",N24,_xlfn.xlookup(1,(L24:L1023=L24)*(N24:N1023&lt;&gt;""),N24:N1023,"Not Found"))</f>
        <v>Tijani</v>
      </c>
      <c r="P24" s="4" t="n">
        <v>27782</v>
      </c>
      <c r="Q24" s="0" t="s">
        <v>124</v>
      </c>
      <c r="R24" s="0" t="str">
        <f aca="false">PROPER(Q24)</f>
        <v>Cash</v>
      </c>
      <c r="S24" s="0" t="s">
        <v>63</v>
      </c>
      <c r="T24" s="0" t="n">
        <v>2</v>
      </c>
      <c r="U24" s="5" t="n">
        <f aca="false">IF(ISBLANK(T24),AVERAGE(T24:T1023),T24)</f>
        <v>2</v>
      </c>
      <c r="V24" s="0" t="n">
        <v>4.9</v>
      </c>
      <c r="W24" s="0" t="s">
        <v>51</v>
      </c>
      <c r="X24" s="0" t="str">
        <f aca="false">IF(ISBLANK(W24),"No remarks",W24)</f>
        <v>Recommended further checks</v>
      </c>
      <c r="Y24" s="0" t="s">
        <v>52</v>
      </c>
      <c r="Z24" s="0" t="s">
        <v>74</v>
      </c>
      <c r="AA24" s="0" t="str">
        <f aca="false">PROPER(IF(ISBLANK(Z24),"Location Unavailable",Z24))</f>
        <v>Under Tree</v>
      </c>
      <c r="AB24" s="0" t="s">
        <v>54</v>
      </c>
      <c r="AC24" s="6" t="str">
        <f aca="false">PROPER(AB24)</f>
        <v>Mechanic Referral</v>
      </c>
      <c r="AD24" s="6" t="n">
        <v>30</v>
      </c>
      <c r="AE24" s="5" t="n">
        <f aca="false">IF(ISBLANK(AD24),AVERAGEIF(L24:L1023,L24,AD24:AD1023),AD24)</f>
        <v>30</v>
      </c>
      <c r="AF24" s="0" t="s">
        <v>160</v>
      </c>
      <c r="AG24" s="0" t="str">
        <f aca="false">PROPER(AF24)</f>
        <v>Availaible</v>
      </c>
      <c r="AH24" s="0" t="s">
        <v>56</v>
      </c>
      <c r="AI24" s="0" t="s">
        <v>113</v>
      </c>
      <c r="AJ24" s="0" t="str">
        <f aca="false">PROPER(AI24)</f>
        <v>Normal</v>
      </c>
      <c r="AK24" s="0" t="s">
        <v>99</v>
      </c>
      <c r="AL24" s="0" t="str">
        <f aca="false">PROPER(AK24)</f>
        <v>Uber Driver</v>
      </c>
      <c r="AM24" s="0" t="s">
        <v>2326</v>
      </c>
      <c r="AN24" s="0" t="str">
        <f aca="false">IF(ISBLANK(AM24),"Unknown",AM24)</f>
        <v>Government Convoy</v>
      </c>
      <c r="AO24" s="0" t="s">
        <v>149</v>
      </c>
      <c r="AP24" s="0" t="str">
        <f aca="false">IF(ISBLANK(AO24),"Unknown",AO24)</f>
        <v>Senior </v>
      </c>
      <c r="AQ24" s="0" t="n">
        <v>20000</v>
      </c>
      <c r="AR24" s="5" t="n">
        <f aca="false">IF(ISBLANK(AQ24),AVERAGEIF(M24:M1023,M24,AQ24:AQ1023),AQ24)</f>
        <v>20000</v>
      </c>
      <c r="AT24" s="5" t="n">
        <f aca="false">IF(ISBLANK(AS24),AVERAGE(AS24:AS1023),AS24)</f>
        <v>31408.3640836408</v>
      </c>
      <c r="AV24" s="0" t="str">
        <f aca="false">PROPER(IF(ISBLANK(AU24),"No",AU24))</f>
        <v>No</v>
      </c>
      <c r="AW24" s="0" t="n">
        <v>5000</v>
      </c>
      <c r="AX24" s="5" t="n">
        <f aca="false">IF(ISBLANK(AW24),0,AW24)</f>
        <v>5000</v>
      </c>
      <c r="AZ24" s="0" t="str">
        <f aca="false">UPPER(IF(ISBLANK(AY24),"NONE",AY24))</f>
        <v>NONE</v>
      </c>
      <c r="BA24" s="7" t="n">
        <v>45844</v>
      </c>
      <c r="BB24" s="7" t="n">
        <f aca="false">IF(ISBLANK(BA24),"No Follow Up Needed",BA24)</f>
        <v>45844</v>
      </c>
      <c r="BC24" s="0" t="s">
        <v>63</v>
      </c>
      <c r="BD24" s="0" t="str">
        <f aca="false">PROPER(IF(ISBLANK(BC24),"Unknown",BC24))</f>
        <v>Yes</v>
      </c>
      <c r="BE24" s="0" t="s">
        <v>171</v>
      </c>
      <c r="BF24" s="0" t="str">
        <f aca="false">IF(ISBLANK(BE24),"No comments",BE24)</f>
        <v>Shock absorber weakening</v>
      </c>
      <c r="BG24" s="0" t="s">
        <v>172</v>
      </c>
      <c r="BH24" s="0" t="str">
        <f aca="false">IF(ISBLANK(BG24),"No comments",BG24)</f>
        <v>Always late</v>
      </c>
      <c r="BI24" s="0" t="s">
        <v>63</v>
      </c>
      <c r="BJ24" s="0" t="str">
        <f aca="false">IF(ISBLANK(BI24),"Not Mentioned",BI24)</f>
        <v>Yes</v>
      </c>
      <c r="BK24" s="0" t="s">
        <v>63</v>
      </c>
      <c r="BL24" s="0" t="str">
        <f aca="false">PROPER(IF(ISBLANK(BK24),"Not Mentioned",BK24))</f>
        <v>Yes</v>
      </c>
      <c r="BN24" s="0" t="str">
        <f aca="false">PROPER(IF(ISBLANK(BM24),"Not Mentioned",BM24))</f>
        <v>Not Mentioned</v>
      </c>
      <c r="BP24" s="0" t="str">
        <f aca="false">IF(ISBLANK(BO24),"One-Time Plan",BO24)</f>
        <v>One-Time Plan</v>
      </c>
      <c r="BQ24" s="0" t="s">
        <v>190</v>
      </c>
      <c r="BR24" s="0" t="str">
        <f aca="false">PROPER(IF(ISBLANK(BQ24),"No",BQ24))</f>
        <v>Yes</v>
      </c>
    </row>
    <row r="25" customFormat="false" ht="15" hidden="false" customHeight="false" outlineLevel="0" collapsed="false">
      <c r="A25" s="0" t="s">
        <v>208</v>
      </c>
      <c r="B25" s="2" t="n">
        <v>45962</v>
      </c>
      <c r="C25" s="2" t="str">
        <f aca="false">TEXT(B25,"dd/mm/yyyy")</f>
        <v>01/11/2025</v>
      </c>
      <c r="D25" s="0" t="s">
        <v>105</v>
      </c>
      <c r="E25" s="0" t="n">
        <v>8073018412</v>
      </c>
      <c r="F25" s="0" t="s">
        <v>43</v>
      </c>
      <c r="G25" s="0" t="s">
        <v>2315</v>
      </c>
      <c r="H25" s="0" t="s">
        <v>209</v>
      </c>
      <c r="I25" s="0" t="s">
        <v>69</v>
      </c>
      <c r="J25" s="0" t="s">
        <v>2325</v>
      </c>
      <c r="K25" s="3" t="str">
        <f aca="false" t="array" ref="K25:K25">IFERROR(IF(J25&lt;&gt;"",J25,INDEX(J25:J1024,MATCH(1,(F25:F1024=F25)*(I25:I1024=I25)*(L25:L1024=L25)*(J25:J1024&lt;&gt;""),0))),"Not Found")</f>
        <v>Engine Knocking</v>
      </c>
      <c r="L25" s="3" t="s">
        <v>142</v>
      </c>
      <c r="M25" s="0" t="str">
        <f aca="false">PROPER(L25)</f>
        <v>Oil Filter, Brake Pads</v>
      </c>
      <c r="N25" s="3" t="s">
        <v>109</v>
      </c>
      <c r="O25" s="0" t="str">
        <f aca="false" t="array" ref="O25:O25">IF(N25&lt;&gt;"",N25,_xlfn.xlookup(1,(L25:L1024=L25)*(N25:N1024&lt;&gt;""),N25:N1024,"Not Found"))</f>
        <v>Tijani</v>
      </c>
      <c r="P25" s="4" t="n">
        <v>59664</v>
      </c>
      <c r="Q25" s="0" t="s">
        <v>72</v>
      </c>
      <c r="R25" s="0" t="str">
        <f aca="false">PROPER(Q25)</f>
        <v>Pos</v>
      </c>
      <c r="S25" s="0" t="s">
        <v>63</v>
      </c>
      <c r="T25" s="0" t="n">
        <v>3</v>
      </c>
      <c r="U25" s="5" t="n">
        <f aca="false">IF(ISBLANK(T25),AVERAGE(T25:T1024),T25)</f>
        <v>3</v>
      </c>
      <c r="V25" s="0" t="n">
        <v>3.7</v>
      </c>
      <c r="W25" s="0" t="s">
        <v>51</v>
      </c>
      <c r="X25" s="0" t="str">
        <f aca="false">IF(ISBLANK(W25),"No remarks",W25)</f>
        <v>Recommended further checks</v>
      </c>
      <c r="Y25" s="0" t="s">
        <v>93</v>
      </c>
      <c r="AA25" s="0" t="str">
        <f aca="false">PROPER(IF(ISBLANK(Z25),"Location Unavailable",Z25))</f>
        <v>Location Unavailable</v>
      </c>
      <c r="AB25" s="0" t="s">
        <v>95</v>
      </c>
      <c r="AC25" s="6" t="str">
        <f aca="false">PROPER(AB25)</f>
        <v>Road Sign</v>
      </c>
      <c r="AD25" s="6" t="n">
        <v>45</v>
      </c>
      <c r="AE25" s="5" t="n">
        <f aca="false">IF(ISBLANK(AD25),AVERAGEIF(L25:L1024,L25,AD25:AD1024),AD25)</f>
        <v>45</v>
      </c>
      <c r="AF25" s="0" t="s">
        <v>76</v>
      </c>
      <c r="AG25" s="0" t="str">
        <f aca="false">PROPER(AF25)</f>
        <v>Orderd</v>
      </c>
      <c r="AH25" s="0" t="s">
        <v>56</v>
      </c>
      <c r="AI25" s="0" t="s">
        <v>78</v>
      </c>
      <c r="AJ25" s="0" t="str">
        <f aca="false">PROPER(AI25)</f>
        <v>Booking</v>
      </c>
      <c r="AK25" s="0" t="s">
        <v>114</v>
      </c>
      <c r="AL25" s="0" t="str">
        <f aca="false">PROPER(AK25)</f>
        <v>Returning</v>
      </c>
      <c r="AM25" s="0" t="s">
        <v>2326</v>
      </c>
      <c r="AN25" s="0" t="str">
        <f aca="false">IF(ISBLANK(AM25),"Unknown",AM25)</f>
        <v>Government Convoy</v>
      </c>
      <c r="AO25" s="0" t="s">
        <v>79</v>
      </c>
      <c r="AP25" s="0" t="str">
        <f aca="false">IF(ISBLANK(AO25),"Unknown",AO25)</f>
        <v>Specialist</v>
      </c>
      <c r="AQ25" s="0" t="n">
        <v>40000</v>
      </c>
      <c r="AR25" s="5" t="n">
        <f aca="false">IF(ISBLANK(AQ25),AVERAGEIF(M25:M1024,M25,AQ25:AQ1024),AQ25)</f>
        <v>40000</v>
      </c>
      <c r="AS25" s="0" t="n">
        <v>20000</v>
      </c>
      <c r="AT25" s="5" t="n">
        <f aca="false">IF(ISBLANK(AS25),AVERAGE(AS25:AS1024),AS25)</f>
        <v>20000</v>
      </c>
      <c r="AU25" s="0" t="s">
        <v>63</v>
      </c>
      <c r="AV25" s="0" t="str">
        <f aca="false">PROPER(IF(ISBLANK(AU25),"No",AU25))</f>
        <v>Yes</v>
      </c>
      <c r="AW25" s="0" t="n">
        <v>5000</v>
      </c>
      <c r="AX25" s="5" t="n">
        <f aca="false">IF(ISBLANK(AW25),0,AW25)</f>
        <v>5000</v>
      </c>
      <c r="AY25" s="0" t="s">
        <v>80</v>
      </c>
      <c r="AZ25" s="0" t="str">
        <f aca="false">UPPER(IF(ISBLANK(AY25),"NONE",AY25))</f>
        <v>PROMO10</v>
      </c>
      <c r="BA25" s="7" t="n">
        <v>45936</v>
      </c>
      <c r="BB25" s="7" t="n">
        <f aca="false">IF(ISBLANK(BA25),"No Follow Up Needed",BA25)</f>
        <v>45936</v>
      </c>
      <c r="BC25" s="0" t="s">
        <v>63</v>
      </c>
      <c r="BD25" s="0" t="str">
        <f aca="false">PROPER(IF(ISBLANK(BC25),"Unknown",BC25))</f>
        <v>Yes</v>
      </c>
      <c r="BF25" s="0" t="str">
        <f aca="false">IF(ISBLANK(BE25),"No comments",BE25)</f>
        <v>No comments</v>
      </c>
      <c r="BG25" s="0" t="s">
        <v>2320</v>
      </c>
      <c r="BH25" s="0" t="str">
        <f aca="false">IF(ISBLANK(BG25),"No comments",BG25)</f>
        <v>No complaints</v>
      </c>
      <c r="BI25" s="0" t="s">
        <v>63</v>
      </c>
      <c r="BJ25" s="0" t="str">
        <f aca="false">IF(ISBLANK(BI25),"Not Mentioned",BI25)</f>
        <v>Yes</v>
      </c>
      <c r="BK25" s="0" t="s">
        <v>63</v>
      </c>
      <c r="BL25" s="0" t="str">
        <f aca="false">PROPER(IF(ISBLANK(BK25),"Not Mentioned",BK25))</f>
        <v>Yes</v>
      </c>
      <c r="BN25" s="0" t="str">
        <f aca="false">PROPER(IF(ISBLANK(BM25),"Not Mentioned",BM25))</f>
        <v>Not Mentioned</v>
      </c>
      <c r="BO25" s="0" t="s">
        <v>64</v>
      </c>
      <c r="BP25" s="0" t="str">
        <f aca="false">IF(ISBLANK(BO25),"One-Time Plan",BO25)</f>
        <v>Gold Maintenance Plan</v>
      </c>
      <c r="BQ25" s="0" t="s">
        <v>63</v>
      </c>
      <c r="BR25" s="0" t="str">
        <f aca="false">PROPER(IF(ISBLANK(BQ25),"No",BQ25))</f>
        <v>Yes</v>
      </c>
    </row>
    <row r="26" customFormat="false" ht="15" hidden="false" customHeight="false" outlineLevel="0" collapsed="false">
      <c r="A26" s="0" t="s">
        <v>210</v>
      </c>
      <c r="B26" s="2" t="n">
        <v>45818</v>
      </c>
      <c r="C26" s="2" t="str">
        <f aca="false">TEXT(B26,"dd/mm/yyyy")</f>
        <v>10/06/2025</v>
      </c>
      <c r="D26" s="0" t="s">
        <v>42</v>
      </c>
      <c r="E26" s="0" t="n">
        <v>8051429578</v>
      </c>
      <c r="F26" s="0" t="s">
        <v>67</v>
      </c>
      <c r="G26" s="0" t="s">
        <v>2316</v>
      </c>
      <c r="H26" s="0" t="s">
        <v>211</v>
      </c>
      <c r="I26" s="0" t="s">
        <v>87</v>
      </c>
      <c r="J26" s="0" t="s">
        <v>2325</v>
      </c>
      <c r="K26" s="3" t="str">
        <f aca="false" t="array" ref="K26:K26">IFERROR(IF(J26&lt;&gt;"",J26,INDEX(J26:J1025,MATCH(1,(F26:F1025=F26)*(I26:I1025=I26)*(L26:L1025=L26)*(J26:J1025&lt;&gt;""),0))),"Not Found")</f>
        <v>Engine Knocking</v>
      </c>
      <c r="L26" s="3" t="s">
        <v>189</v>
      </c>
      <c r="M26" s="0" t="str">
        <f aca="false">PROPER(L26)</f>
        <v>Battery</v>
      </c>
      <c r="N26" s="3" t="s">
        <v>90</v>
      </c>
      <c r="O26" s="0" t="str">
        <f aca="false" t="array" ref="O26:O26">IF(N26&lt;&gt;"",N26,_xlfn.xlookup(1,(L26:L1025=L26)*(N26:N1025&lt;&gt;""),N26:N1025,"Not Found"))</f>
        <v>Musa</v>
      </c>
      <c r="P26" s="4" t="n">
        <v>30284</v>
      </c>
      <c r="Q26" s="0" t="s">
        <v>166</v>
      </c>
      <c r="R26" s="0" t="str">
        <f aca="false">PROPER(Q26)</f>
        <v>Transfer</v>
      </c>
      <c r="S26" s="0" t="s">
        <v>50</v>
      </c>
      <c r="T26" s="0" t="n">
        <v>3</v>
      </c>
      <c r="U26" s="5" t="n">
        <f aca="false">IF(ISBLANK(T26),AVERAGE(T26:T1025),T26)</f>
        <v>3</v>
      </c>
      <c r="V26" s="0" t="n">
        <v>2.3</v>
      </c>
      <c r="W26" s="0" t="s">
        <v>92</v>
      </c>
      <c r="X26" s="0" t="str">
        <f aca="false">IF(ISBLANK(W26),"No remarks",W26)</f>
        <v>Urgent service</v>
      </c>
      <c r="Y26" s="0" t="s">
        <v>93</v>
      </c>
      <c r="Z26" s="0" t="s">
        <v>136</v>
      </c>
      <c r="AA26" s="0" t="str">
        <f aca="false">PROPER(IF(ISBLANK(Z26),"Location Unavailable",Z26))</f>
        <v>Vip Section</v>
      </c>
      <c r="AB26" s="0" t="s">
        <v>126</v>
      </c>
      <c r="AC26" s="6" t="str">
        <f aca="false">PROPER(AB26)</f>
        <v>Whatsapp</v>
      </c>
      <c r="AE26" s="5" t="n">
        <f aca="false">IF(ISBLANK(AD26),AVERAGEIF(L26:L1025,L26,AD26:AD1025),AD26)</f>
        <v>39.8275862068966</v>
      </c>
      <c r="AF26" s="0" t="s">
        <v>55</v>
      </c>
      <c r="AG26" s="0" t="str">
        <f aca="false">PROPER(AF26)</f>
        <v>Available</v>
      </c>
      <c r="AH26" s="0" t="s">
        <v>155</v>
      </c>
      <c r="AI26" s="0" t="s">
        <v>78</v>
      </c>
      <c r="AJ26" s="0" t="str">
        <f aca="false">PROPER(AI26)</f>
        <v>Booking</v>
      </c>
      <c r="AK26" s="0" t="s">
        <v>114</v>
      </c>
      <c r="AL26" s="0" t="str">
        <f aca="false">PROPER(AK26)</f>
        <v>Returning</v>
      </c>
      <c r="AN26" s="0" t="str">
        <f aca="false">IF(ISBLANK(AM26),"Unknown",AM26)</f>
        <v>Unknown</v>
      </c>
      <c r="AO26" s="0" t="s">
        <v>161</v>
      </c>
      <c r="AP26" s="0" t="str">
        <f aca="false">IF(ISBLANK(AO26),"Unknown",AO26)</f>
        <v>Apprentice</v>
      </c>
      <c r="AQ26" s="0" t="n">
        <v>25000</v>
      </c>
      <c r="AR26" s="5" t="n">
        <f aca="false">IF(ISBLANK(AQ26),AVERAGEIF(M26:M1025,M26,AQ26:AQ1025),AQ26)</f>
        <v>25000</v>
      </c>
      <c r="AT26" s="5" t="n">
        <f aca="false">IF(ISBLANK(AS26),AVERAGE(AS26:AS1025),AS26)</f>
        <v>31422.4137931035</v>
      </c>
      <c r="AV26" s="0" t="str">
        <f aca="false">PROPER(IF(ISBLANK(AU26),"No",AU26))</f>
        <v>No</v>
      </c>
      <c r="AX26" s="5" t="n">
        <f aca="false">IF(ISBLANK(AW26),0,AW26)</f>
        <v>0</v>
      </c>
      <c r="AY26" s="0" t="s">
        <v>60</v>
      </c>
      <c r="AZ26" s="0" t="str">
        <f aca="false">UPPER(IF(ISBLANK(AY26),"NONE",AY26))</f>
        <v>NONE</v>
      </c>
      <c r="BA26" s="7" t="s">
        <v>212</v>
      </c>
      <c r="BB26" s="7" t="str">
        <f aca="false">IF(ISBLANK(BA26),"No Follow Up Needed",BA26)</f>
        <v>30/07/2025</v>
      </c>
      <c r="BC26" s="0" t="s">
        <v>50</v>
      </c>
      <c r="BD26" s="0" t="str">
        <f aca="false">PROPER(IF(ISBLANK(BC26),"Unknown",BC26))</f>
        <v>No</v>
      </c>
      <c r="BE26" s="0" t="s">
        <v>116</v>
      </c>
      <c r="BF26" s="0" t="str">
        <f aca="false">IF(ISBLANK(BE26),"No comments",BE26)</f>
        <v>Needs tire alignment</v>
      </c>
      <c r="BH26" s="0" t="str">
        <f aca="false">IF(ISBLANK(BG26),"No comments",BG26)</f>
        <v>No comments</v>
      </c>
      <c r="BI26" s="0" t="s">
        <v>50</v>
      </c>
      <c r="BJ26" s="0" t="str">
        <f aca="false">IF(ISBLANK(BI26),"Not Mentioned",BI26)</f>
        <v>No</v>
      </c>
      <c r="BK26" s="0" t="s">
        <v>50</v>
      </c>
      <c r="BL26" s="0" t="str">
        <f aca="false">PROPER(IF(ISBLANK(BK26),"Not Mentioned",BK26))</f>
        <v>No</v>
      </c>
      <c r="BM26" s="0" t="s">
        <v>63</v>
      </c>
      <c r="BN26" s="0" t="str">
        <f aca="false">PROPER(IF(ISBLANK(BM26),"Not Mentioned",BM26))</f>
        <v>Yes</v>
      </c>
      <c r="BO26" s="0" t="s">
        <v>2321</v>
      </c>
      <c r="BP26" s="0" t="str">
        <f aca="false">IF(ISBLANK(BO26),"One-Time Plan",BO26)</f>
        <v>One-Time Plan</v>
      </c>
      <c r="BQ26" s="0" t="s">
        <v>50</v>
      </c>
      <c r="BR26" s="0" t="str">
        <f aca="false">PROPER(IF(ISBLANK(BQ26),"No",BQ26))</f>
        <v>No</v>
      </c>
    </row>
    <row r="27" customFormat="false" ht="15" hidden="false" customHeight="false" outlineLevel="0" collapsed="false">
      <c r="A27" s="0" t="s">
        <v>213</v>
      </c>
      <c r="B27" s="2" t="n">
        <v>45804</v>
      </c>
      <c r="C27" s="2" t="str">
        <f aca="false">TEXT(B27,"dd/mm/yyyy")</f>
        <v>27/05/2025</v>
      </c>
      <c r="D27" s="0" t="s">
        <v>105</v>
      </c>
      <c r="E27" s="0" t="n">
        <v>8090977513</v>
      </c>
      <c r="F27" s="0" t="s">
        <v>43</v>
      </c>
      <c r="G27" s="0" t="s">
        <v>2315</v>
      </c>
      <c r="H27" s="0" t="s">
        <v>214</v>
      </c>
      <c r="I27" s="0" t="s">
        <v>69</v>
      </c>
      <c r="J27" s="0" t="s">
        <v>2325</v>
      </c>
      <c r="K27" s="3" t="str">
        <f aca="false" t="array" ref="K27:K27">IFERROR(IF(J27&lt;&gt;"",J27,INDEX(J27:J1026,MATCH(1,(F27:F1026=F27)*(I27:I1026=I27)*(L27:L1026=L27)*(J27:J1026&lt;&gt;""),0))),"Not Found")</f>
        <v>Engine Knocking</v>
      </c>
      <c r="L27" s="3" t="s">
        <v>108</v>
      </c>
      <c r="M27" s="0" t="str">
        <f aca="false">PROPER(L27)</f>
        <v>Timing Belt</v>
      </c>
      <c r="N27" s="3" t="s">
        <v>48</v>
      </c>
      <c r="O27" s="0" t="str">
        <f aca="false" t="array" ref="O27:O27">IF(N27&lt;&gt;"",N27,_xlfn.xlookup(1,(L27:L1026=L27)*(N27:N1026&lt;&gt;""),N27:N1026,"Not Found"))</f>
        <v>Uche</v>
      </c>
      <c r="P27" s="4" t="n">
        <v>84870</v>
      </c>
      <c r="Q27" s="0" t="s">
        <v>72</v>
      </c>
      <c r="R27" s="0" t="str">
        <f aca="false">PROPER(Q27)</f>
        <v>Pos</v>
      </c>
      <c r="S27" s="0" t="s">
        <v>50</v>
      </c>
      <c r="T27" s="0" t="n">
        <v>3</v>
      </c>
      <c r="U27" s="5" t="n">
        <f aca="false">IF(ISBLANK(T27),AVERAGE(T27:T1026),T27)</f>
        <v>3</v>
      </c>
      <c r="V27" s="0" t="n">
        <v>2.6</v>
      </c>
      <c r="W27" s="0" t="s">
        <v>92</v>
      </c>
      <c r="X27" s="0" t="str">
        <f aca="false">IF(ISBLANK(W27),"No remarks",W27)</f>
        <v>Urgent service</v>
      </c>
      <c r="Y27" s="0" t="s">
        <v>52</v>
      </c>
      <c r="Z27" s="0" t="s">
        <v>159</v>
      </c>
      <c r="AA27" s="0" t="str">
        <f aca="false">PROPER(IF(ISBLANK(Z27),"Location Unavailable",Z27))</f>
        <v>Main Bay</v>
      </c>
      <c r="AB27" s="0" t="s">
        <v>167</v>
      </c>
      <c r="AC27" s="6" t="str">
        <f aca="false">PROPER(AB27)</f>
        <v>Word Of Mouth</v>
      </c>
      <c r="AD27" s="6" t="n">
        <v>15</v>
      </c>
      <c r="AE27" s="5" t="n">
        <f aca="false">IF(ISBLANK(AD27),AVERAGEIF(L27:L1026,L27,AD27:AD1026),AD27)</f>
        <v>15</v>
      </c>
      <c r="AF27" s="0" t="s">
        <v>96</v>
      </c>
      <c r="AG27" s="0" t="str">
        <f aca="false">PROPER(AF27)</f>
        <v>Ordered</v>
      </c>
      <c r="AH27" s="0" t="s">
        <v>56</v>
      </c>
      <c r="AI27" s="0" t="s">
        <v>78</v>
      </c>
      <c r="AJ27" s="0" t="str">
        <f aca="false">PROPER(AI27)</f>
        <v>Booking</v>
      </c>
      <c r="AK27" s="0" t="s">
        <v>196</v>
      </c>
      <c r="AL27" s="0" t="str">
        <f aca="false">PROPER(AK27)</f>
        <v>First Time</v>
      </c>
      <c r="AM27" s="0" t="s">
        <v>177</v>
      </c>
      <c r="AN27" s="0" t="str">
        <f aca="false">IF(ISBLANK(AM27),"Unknown",AM27)</f>
        <v>Private</v>
      </c>
      <c r="AO27" s="0" t="s">
        <v>79</v>
      </c>
      <c r="AP27" s="0" t="str">
        <f aca="false">IF(ISBLANK(AO27),"Unknown",AO27)</f>
        <v>Specialist</v>
      </c>
      <c r="AQ27" s="0" t="n">
        <v>20000</v>
      </c>
      <c r="AR27" s="5" t="n">
        <f aca="false">IF(ISBLANK(AQ27),AVERAGEIF(M27:M1026,M27,AQ27:AQ1026),AQ27)</f>
        <v>20000</v>
      </c>
      <c r="AS27" s="0" t="n">
        <v>30000</v>
      </c>
      <c r="AT27" s="5" t="n">
        <f aca="false">IF(ISBLANK(AS27),AVERAGE(AS27:AS1026),AS27)</f>
        <v>30000</v>
      </c>
      <c r="AV27" s="0" t="str">
        <f aca="false">PROPER(IF(ISBLANK(AU27),"No",AU27))</f>
        <v>No</v>
      </c>
      <c r="AW27" s="0" t="n">
        <v>5000</v>
      </c>
      <c r="AX27" s="5" t="n">
        <f aca="false">IF(ISBLANK(AW27),0,AW27)</f>
        <v>5000</v>
      </c>
      <c r="AY27" s="0" t="s">
        <v>184</v>
      </c>
      <c r="AZ27" s="0" t="str">
        <f aca="false">UPPER(IF(ISBLANK(AY27),"NONE",AY27))</f>
        <v>N/A</v>
      </c>
      <c r="BA27" s="7" t="s">
        <v>215</v>
      </c>
      <c r="BB27" s="7" t="str">
        <f aca="false">IF(ISBLANK(BA27),"No Follow Up Needed",BA27)</f>
        <v>28/09/2025</v>
      </c>
      <c r="BC27" s="0" t="s">
        <v>61</v>
      </c>
      <c r="BD27" s="0" t="str">
        <f aca="false">PROPER(IF(ISBLANK(BC27),"Unknown",BC27))</f>
        <v>No</v>
      </c>
      <c r="BE27" s="0" t="s">
        <v>171</v>
      </c>
      <c r="BF27" s="0" t="str">
        <f aca="false">IF(ISBLANK(BE27),"No comments",BE27)</f>
        <v>Shock absorber weakening</v>
      </c>
      <c r="BG27" s="0" t="s">
        <v>172</v>
      </c>
      <c r="BH27" s="0" t="str">
        <f aca="false">IF(ISBLANK(BG27),"No comments",BG27)</f>
        <v>Always late</v>
      </c>
      <c r="BI27" s="0" t="s">
        <v>50</v>
      </c>
      <c r="BJ27" s="0" t="str">
        <f aca="false">IF(ISBLANK(BI27),"Not Mentioned",BI27)</f>
        <v>No</v>
      </c>
      <c r="BL27" s="0" t="str">
        <f aca="false">PROPER(IF(ISBLANK(BK27),"Not Mentioned",BK27))</f>
        <v>Not Mentioned</v>
      </c>
      <c r="BM27" s="0" t="s">
        <v>50</v>
      </c>
      <c r="BN27" s="0" t="str">
        <f aca="false">PROPER(IF(ISBLANK(BM27),"Not Mentioned",BM27))</f>
        <v>No</v>
      </c>
      <c r="BO27" s="0" t="s">
        <v>2321</v>
      </c>
      <c r="BP27" s="0" t="str">
        <f aca="false">IF(ISBLANK(BO27),"One-Time Plan",BO27)</f>
        <v>One-Time Plan</v>
      </c>
      <c r="BQ27" s="0" t="s">
        <v>50</v>
      </c>
      <c r="BR27" s="0" t="str">
        <f aca="false">PROPER(IF(ISBLANK(BQ27),"No",BQ27))</f>
        <v>No</v>
      </c>
    </row>
    <row r="28" customFormat="false" ht="15" hidden="false" customHeight="false" outlineLevel="0" collapsed="false">
      <c r="A28" s="0" t="s">
        <v>216</v>
      </c>
      <c r="B28" s="2" t="n">
        <v>45739</v>
      </c>
      <c r="C28" s="2" t="str">
        <f aca="false">TEXT(B28,"dd/mm/yyyy")</f>
        <v>23/03/2025</v>
      </c>
      <c r="D28" s="0" t="s">
        <v>105</v>
      </c>
      <c r="E28" s="0" t="n">
        <v>8056023301</v>
      </c>
      <c r="F28" s="0" t="s">
        <v>139</v>
      </c>
      <c r="G28" s="0" t="s">
        <v>2323</v>
      </c>
      <c r="H28" s="0" t="s">
        <v>217</v>
      </c>
      <c r="I28" s="0" t="s">
        <v>107</v>
      </c>
      <c r="J28" s="0" t="s">
        <v>87</v>
      </c>
      <c r="K28" s="3" t="str">
        <f aca="false" t="array" ref="K28:K28">IFERROR(IF(J28&lt;&gt;"",J28,INDEX(J28:J1027,MATCH(1,(F28:F1027=F28)*(I28:I1027=I28)*(L28:L1027=L28)*(J28:J1027&lt;&gt;""),0))),"Not Found")</f>
        <v>Oil Change</v>
      </c>
      <c r="L28" s="3" t="s">
        <v>89</v>
      </c>
      <c r="M28" s="0" t="str">
        <f aca="false">PROPER(L28)</f>
        <v>Shock Absorbers</v>
      </c>
      <c r="N28" s="3" t="s">
        <v>109</v>
      </c>
      <c r="O28" s="0" t="str">
        <f aca="false" t="array" ref="O28:O28">IF(N28&lt;&gt;"",N28,_xlfn.xlookup(1,(L28:L1027=L28)*(N28:N1027&lt;&gt;""),N28:N1027,"Not Found"))</f>
        <v>Tijani</v>
      </c>
      <c r="P28" s="4" t="n">
        <v>14285</v>
      </c>
      <c r="Q28" s="0" t="s">
        <v>49</v>
      </c>
      <c r="R28" s="0" t="str">
        <f aca="false">PROPER(Q28)</f>
        <v>Transfer</v>
      </c>
      <c r="S28" s="0" t="s">
        <v>63</v>
      </c>
      <c r="T28" s="0" t="n">
        <v>3</v>
      </c>
      <c r="U28" s="5" t="n">
        <f aca="false">IF(ISBLANK(T28),AVERAGE(T28:T1027),T28)</f>
        <v>3</v>
      </c>
      <c r="V28" s="0" t="n">
        <v>5</v>
      </c>
      <c r="W28" s="0" t="s">
        <v>51</v>
      </c>
      <c r="X28" s="0" t="str">
        <f aca="false">IF(ISBLANK(W28),"No remarks",W28)</f>
        <v>Recommended further checks</v>
      </c>
      <c r="Y28" s="0" t="s">
        <v>73</v>
      </c>
      <c r="Z28" s="0" t="s">
        <v>94</v>
      </c>
      <c r="AA28" s="0" t="str">
        <f aca="false">PROPER(IF(ISBLANK(Z28),"Location Unavailable",Z28))</f>
        <v>Vip Section</v>
      </c>
      <c r="AB28" s="0" t="s">
        <v>75</v>
      </c>
      <c r="AC28" s="6" t="str">
        <f aca="false">PROPER(AB28)</f>
        <v>Mechanik Referal</v>
      </c>
      <c r="AE28" s="5" t="n">
        <f aca="false">IF(ISBLANK(AD28),AVERAGEIF(L28:L1027,L28,AD28:AD1027),AD28)</f>
        <v>39.8936170212766</v>
      </c>
      <c r="AF28" s="0" t="s">
        <v>112</v>
      </c>
      <c r="AG28" s="0" t="str">
        <f aca="false">PROPER(AF28)</f>
        <v>Unavailable</v>
      </c>
      <c r="AH28" s="0" t="s">
        <v>77</v>
      </c>
      <c r="AI28" s="0" t="s">
        <v>98</v>
      </c>
      <c r="AJ28" s="0" t="str">
        <f aca="false">PROPER(AI28)</f>
        <v>Emergency</v>
      </c>
      <c r="AK28" s="0" t="s">
        <v>196</v>
      </c>
      <c r="AL28" s="0" t="str">
        <f aca="false">PROPER(AK28)</f>
        <v>First Time</v>
      </c>
      <c r="AN28" s="0" t="str">
        <f aca="false">IF(ISBLANK(AM28),"Unknown",AM28)</f>
        <v>Unknown</v>
      </c>
      <c r="AO28" s="0" t="s">
        <v>79</v>
      </c>
      <c r="AP28" s="0" t="str">
        <f aca="false">IF(ISBLANK(AO28),"Unknown",AO28)</f>
        <v>Specialist</v>
      </c>
      <c r="AQ28" s="0" t="n">
        <v>25000</v>
      </c>
      <c r="AR28" s="5" t="n">
        <f aca="false">IF(ISBLANK(AQ28),AVERAGEIF(M28:M1027,M28,AQ28:AQ1027),AQ28)</f>
        <v>25000</v>
      </c>
      <c r="AS28" s="0" t="n">
        <v>20000</v>
      </c>
      <c r="AT28" s="5" t="n">
        <f aca="false">IF(ISBLANK(AS28),AVERAGE(AS28:AS1027),AS28)</f>
        <v>20000</v>
      </c>
      <c r="AV28" s="0" t="str">
        <f aca="false">PROPER(IF(ISBLANK(AU28),"No",AU28))</f>
        <v>No</v>
      </c>
      <c r="AX28" s="5" t="n">
        <f aca="false">IF(ISBLANK(AW28),0,AW28)</f>
        <v>0</v>
      </c>
      <c r="AY28" s="0" t="s">
        <v>184</v>
      </c>
      <c r="AZ28" s="0" t="str">
        <f aca="false">UPPER(IF(ISBLANK(AY28),"NONE",AY28))</f>
        <v>N/A</v>
      </c>
      <c r="BA28" s="7" t="n">
        <v>45924</v>
      </c>
      <c r="BB28" s="7" t="n">
        <f aca="false">IF(ISBLANK(BA28),"No Follow Up Needed",BA28)</f>
        <v>45924</v>
      </c>
      <c r="BC28" s="0" t="s">
        <v>63</v>
      </c>
      <c r="BD28" s="0" t="str">
        <f aca="false">PROPER(IF(ISBLANK(BC28),"Unknown",BC28))</f>
        <v>Yes</v>
      </c>
      <c r="BF28" s="0" t="str">
        <f aca="false">IF(ISBLANK(BE28),"No comments",BE28)</f>
        <v>No comments</v>
      </c>
      <c r="BH28" s="0" t="str">
        <f aca="false">IF(ISBLANK(BG28),"No comments",BG28)</f>
        <v>No comments</v>
      </c>
      <c r="BI28" s="0" t="s">
        <v>50</v>
      </c>
      <c r="BJ28" s="0" t="str">
        <f aca="false">IF(ISBLANK(BI28),"Not Mentioned",BI28)</f>
        <v>No</v>
      </c>
      <c r="BK28" s="0" t="s">
        <v>50</v>
      </c>
      <c r="BL28" s="0" t="str">
        <f aca="false">PROPER(IF(ISBLANK(BK28),"Not Mentioned",BK28))</f>
        <v>No</v>
      </c>
      <c r="BM28" s="0" t="s">
        <v>63</v>
      </c>
      <c r="BN28" s="0" t="str">
        <f aca="false">PROPER(IF(ISBLANK(BM28),"Not Mentioned",BM28))</f>
        <v>Yes</v>
      </c>
      <c r="BO28" s="0" t="s">
        <v>2321</v>
      </c>
      <c r="BP28" s="0" t="str">
        <f aca="false">IF(ISBLANK(BO28),"One-Time Plan",BO28)</f>
        <v>One-Time Plan</v>
      </c>
      <c r="BQ28" s="0" t="s">
        <v>50</v>
      </c>
      <c r="BR28" s="0" t="str">
        <f aca="false">PROPER(IF(ISBLANK(BQ28),"No",BQ28))</f>
        <v>No</v>
      </c>
    </row>
    <row r="29" customFormat="false" ht="15" hidden="false" customHeight="false" outlineLevel="0" collapsed="false">
      <c r="A29" s="0" t="s">
        <v>218</v>
      </c>
      <c r="B29" s="2" t="n">
        <v>45714</v>
      </c>
      <c r="C29" s="2" t="str">
        <f aca="false">TEXT(B29,"dd/mm/yyyy")</f>
        <v>26/02/2025</v>
      </c>
      <c r="D29" s="0" t="s">
        <v>42</v>
      </c>
      <c r="E29" s="0" t="n">
        <v>8049065941</v>
      </c>
      <c r="F29" s="0" t="s">
        <v>85</v>
      </c>
      <c r="G29" s="0" t="s">
        <v>2319</v>
      </c>
      <c r="H29" s="0" t="s">
        <v>219</v>
      </c>
      <c r="I29" s="0" t="s">
        <v>45</v>
      </c>
      <c r="J29" s="0" t="s">
        <v>2317</v>
      </c>
      <c r="K29" s="3" t="str">
        <f aca="false" t="array" ref="K29:K29">IFERROR(IF(J29&lt;&gt;"",J29,INDEX(J29:J1028,MATCH(1,(F29:F1028=F29)*(I29:I1028=I29)*(L29:L1028=L29)*(J29:J1028&lt;&gt;""),0))),"Not Found")</f>
        <v>Suspension Noise</v>
      </c>
      <c r="L29" s="3" t="s">
        <v>47</v>
      </c>
      <c r="M29" s="0" t="str">
        <f aca="false">PROPER(L29)</f>
        <v>None</v>
      </c>
      <c r="N29" s="3" t="s">
        <v>71</v>
      </c>
      <c r="O29" s="0" t="str">
        <f aca="false" t="array" ref="O29:O29">IF(N29&lt;&gt;"",N29,_xlfn.xlookup(1,(L29:L1028=L29)*(N29:N1028&lt;&gt;""),N29:N1028,"Not Found"))</f>
        <v>Isaac Bobo</v>
      </c>
      <c r="P29" s="4" t="n">
        <v>52655</v>
      </c>
      <c r="Q29" s="0" t="s">
        <v>72</v>
      </c>
      <c r="R29" s="0" t="str">
        <f aca="false">PROPER(Q29)</f>
        <v>Pos</v>
      </c>
      <c r="S29" s="0" t="s">
        <v>63</v>
      </c>
      <c r="U29" s="5" t="n">
        <f aca="false">IF(ISBLANK(T29),AVERAGE(T29:T1028),T29)</f>
        <v>3.00246609124538</v>
      </c>
      <c r="V29" s="0" t="n">
        <v>1.8</v>
      </c>
      <c r="W29" s="0" t="s">
        <v>125</v>
      </c>
      <c r="X29" s="0" t="str">
        <f aca="false">IF(ISBLANK(W29),"No remarks",W29)</f>
        <v>Customer waited</v>
      </c>
      <c r="Y29" s="0" t="s">
        <v>93</v>
      </c>
      <c r="Z29" s="0" t="s">
        <v>53</v>
      </c>
      <c r="AA29" s="0" t="str">
        <f aca="false">PROPER(IF(ISBLANK(Z29),"Location Unavailable",Z29))</f>
        <v>Main Bay</v>
      </c>
      <c r="AB29" s="0" t="s">
        <v>54</v>
      </c>
      <c r="AC29" s="6" t="str">
        <f aca="false">PROPER(AB29)</f>
        <v>Mechanic Referral</v>
      </c>
      <c r="AD29" s="6" t="n">
        <v>45</v>
      </c>
      <c r="AE29" s="5" t="n">
        <f aca="false">IF(ISBLANK(AD29),AVERAGEIF(L29:L1028,L29,AD29:AD1028),AD29)</f>
        <v>45</v>
      </c>
      <c r="AF29" s="0" t="s">
        <v>96</v>
      </c>
      <c r="AG29" s="0" t="str">
        <f aca="false">PROPER(AF29)</f>
        <v>Ordered</v>
      </c>
      <c r="AH29" s="0" t="s">
        <v>155</v>
      </c>
      <c r="AI29" s="0" t="s">
        <v>128</v>
      </c>
      <c r="AJ29" s="0" t="str">
        <f aca="false">PROPER(AI29)</f>
        <v>Normal</v>
      </c>
      <c r="AK29" s="0" t="s">
        <v>196</v>
      </c>
      <c r="AL29" s="0" t="str">
        <f aca="false">PROPER(AK29)</f>
        <v>First Time</v>
      </c>
      <c r="AM29" s="0" t="s">
        <v>2326</v>
      </c>
      <c r="AN29" s="0" t="str">
        <f aca="false">IF(ISBLANK(AM29),"Unknown",AM29)</f>
        <v>Government Convoy</v>
      </c>
      <c r="AO29" s="0" t="s">
        <v>149</v>
      </c>
      <c r="AP29" s="0" t="str">
        <f aca="false">IF(ISBLANK(AO29),"Unknown",AO29)</f>
        <v>Senior </v>
      </c>
      <c r="AQ29" s="0" t="n">
        <v>40000</v>
      </c>
      <c r="AR29" s="5" t="n">
        <f aca="false">IF(ISBLANK(AQ29),AVERAGEIF(M29:M1028,M29,AQ29:AQ1028),AQ29)</f>
        <v>40000</v>
      </c>
      <c r="AS29" s="0" t="n">
        <v>40000</v>
      </c>
      <c r="AT29" s="5" t="n">
        <f aca="false">IF(ISBLANK(AS29),AVERAGE(AS29:AS1028),AS29)</f>
        <v>40000</v>
      </c>
      <c r="AU29" s="0" t="s">
        <v>63</v>
      </c>
      <c r="AV29" s="0" t="str">
        <f aca="false">PROPER(IF(ISBLANK(AU29),"No",AU29))</f>
        <v>Yes</v>
      </c>
      <c r="AW29" s="0" t="n">
        <v>0</v>
      </c>
      <c r="AX29" s="5" t="n">
        <f aca="false">IF(ISBLANK(AW29),0,AW29)</f>
        <v>0</v>
      </c>
      <c r="AZ29" s="0" t="str">
        <f aca="false">UPPER(IF(ISBLANK(AY29),"NONE",AY29))</f>
        <v>NONE</v>
      </c>
      <c r="BA29" s="7" t="n">
        <v>45785</v>
      </c>
      <c r="BB29" s="7" t="n">
        <f aca="false">IF(ISBLANK(BA29),"No Follow Up Needed",BA29)</f>
        <v>45785</v>
      </c>
      <c r="BD29" s="0" t="str">
        <f aca="false">PROPER(IF(ISBLANK(BC29),"Unknown",BC29))</f>
        <v>Unknown</v>
      </c>
      <c r="BF29" s="0" t="str">
        <f aca="false">IF(ISBLANK(BE29),"No comments",BE29)</f>
        <v>No comments</v>
      </c>
      <c r="BG29" s="0" t="s">
        <v>117</v>
      </c>
      <c r="BH29" s="0" t="str">
        <f aca="false">IF(ISBLANK(BG29),"No comments",BG29)</f>
        <v>Prefers morning</v>
      </c>
      <c r="BI29" s="0" t="s">
        <v>63</v>
      </c>
      <c r="BJ29" s="0" t="str">
        <f aca="false">IF(ISBLANK(BI29),"Not Mentioned",BI29)</f>
        <v>Yes</v>
      </c>
      <c r="BK29" s="0" t="s">
        <v>50</v>
      </c>
      <c r="BL29" s="0" t="str">
        <f aca="false">PROPER(IF(ISBLANK(BK29),"Not Mentioned",BK29))</f>
        <v>No</v>
      </c>
      <c r="BM29" s="0" t="s">
        <v>63</v>
      </c>
      <c r="BN29" s="0" t="str">
        <f aca="false">PROPER(IF(ISBLANK(BM29),"Not Mentioned",BM29))</f>
        <v>Yes</v>
      </c>
      <c r="BO29" s="0" t="s">
        <v>64</v>
      </c>
      <c r="BP29" s="0" t="str">
        <f aca="false">IF(ISBLANK(BO29),"One-Time Plan",BO29)</f>
        <v>Gold Maintenance Plan</v>
      </c>
      <c r="BQ29" s="0" t="s">
        <v>63</v>
      </c>
      <c r="BR29" s="0" t="str">
        <f aca="false">PROPER(IF(ISBLANK(BQ29),"No",BQ29))</f>
        <v>Yes</v>
      </c>
    </row>
    <row r="30" customFormat="false" ht="15" hidden="false" customHeight="false" outlineLevel="0" collapsed="false">
      <c r="A30" s="0" t="s">
        <v>220</v>
      </c>
      <c r="B30" s="2" t="n">
        <v>45764</v>
      </c>
      <c r="C30" s="2" t="str">
        <f aca="false">TEXT(B30,"dd/mm/yyyy")</f>
        <v>17/04/2025</v>
      </c>
      <c r="D30" s="0" t="s">
        <v>121</v>
      </c>
      <c r="E30" s="0" t="n">
        <v>8059503523</v>
      </c>
      <c r="F30" s="0" t="s">
        <v>122</v>
      </c>
      <c r="G30" s="0" t="s">
        <v>2316</v>
      </c>
      <c r="H30" s="0" t="s">
        <v>221</v>
      </c>
      <c r="I30" s="0" t="s">
        <v>87</v>
      </c>
      <c r="J30" s="0" t="s">
        <v>2325</v>
      </c>
      <c r="K30" s="3" t="str">
        <f aca="false" t="array" ref="K30:K30">IFERROR(IF(J30&lt;&gt;"",J30,INDEX(J30:J1029,MATCH(1,(F30:F1029=F30)*(I30:I1029=I30)*(L30:L1029=L30)*(J30:J1029&lt;&gt;""),0))),"Not Found")</f>
        <v>Engine Knocking</v>
      </c>
      <c r="L30" s="3" t="s">
        <v>142</v>
      </c>
      <c r="M30" s="0" t="str">
        <f aca="false">PROPER(L30)</f>
        <v>Oil Filter, Brake Pads</v>
      </c>
      <c r="N30" s="3" t="s">
        <v>90</v>
      </c>
      <c r="O30" s="0" t="str">
        <f aca="false" t="array" ref="O30:O30">IF(N30&lt;&gt;"",N30,_xlfn.xlookup(1,(L30:L1029=L30)*(N30:N1029&lt;&gt;""),N30:N1029,"Not Found"))</f>
        <v>Musa</v>
      </c>
      <c r="P30" s="4" t="n">
        <v>28670</v>
      </c>
      <c r="Q30" s="0" t="s">
        <v>110</v>
      </c>
      <c r="R30" s="0" t="str">
        <f aca="false">PROPER(Q30)</f>
        <v>Cash</v>
      </c>
      <c r="S30" s="0" t="s">
        <v>50</v>
      </c>
      <c r="T30" s="0" t="n">
        <v>2</v>
      </c>
      <c r="U30" s="5" t="n">
        <f aca="false">IF(ISBLANK(T30),AVERAGE(T30:T1029),T30)</f>
        <v>2</v>
      </c>
      <c r="V30" s="0" t="n">
        <v>4.2</v>
      </c>
      <c r="W30" s="0" t="s">
        <v>92</v>
      </c>
      <c r="X30" s="0" t="str">
        <f aca="false">IF(ISBLANK(W30),"No remarks",W30)</f>
        <v>Urgent service</v>
      </c>
      <c r="Y30" s="0" t="s">
        <v>73</v>
      </c>
      <c r="Z30" s="0" t="s">
        <v>74</v>
      </c>
      <c r="AA30" s="0" t="str">
        <f aca="false">PROPER(IF(ISBLANK(Z30),"Location Unavailable",Z30))</f>
        <v>Under Tree</v>
      </c>
      <c r="AB30" s="0" t="s">
        <v>126</v>
      </c>
      <c r="AC30" s="6" t="str">
        <f aca="false">PROPER(AB30)</f>
        <v>Whatsapp</v>
      </c>
      <c r="AD30" s="6" t="n">
        <v>60</v>
      </c>
      <c r="AE30" s="5" t="n">
        <f aca="false">IF(ISBLANK(AD30),AVERAGEIF(L30:L1029,L30,AD30:AD1029),AD30)</f>
        <v>60</v>
      </c>
      <c r="AF30" s="0" t="s">
        <v>112</v>
      </c>
      <c r="AG30" s="0" t="str">
        <f aca="false">PROPER(AF30)</f>
        <v>Unavailable</v>
      </c>
      <c r="AH30" s="0" t="s">
        <v>155</v>
      </c>
      <c r="AI30" s="0" t="s">
        <v>113</v>
      </c>
      <c r="AJ30" s="0" t="str">
        <f aca="false">PROPER(AI30)</f>
        <v>Normal</v>
      </c>
      <c r="AK30" s="0" t="s">
        <v>196</v>
      </c>
      <c r="AL30" s="0" t="str">
        <f aca="false">PROPER(AK30)</f>
        <v>First Time</v>
      </c>
      <c r="AM30" s="0" t="s">
        <v>2324</v>
      </c>
      <c r="AN30" s="0" t="str">
        <f aca="false">IF(ISBLANK(AM30),"Unknown",AM30)</f>
        <v>Logistics Convoy</v>
      </c>
      <c r="AO30" s="0" t="s">
        <v>161</v>
      </c>
      <c r="AP30" s="0" t="str">
        <f aca="false">IF(ISBLANK(AO30),"Unknown",AO30)</f>
        <v>Apprentice</v>
      </c>
      <c r="AQ30" s="0" t="n">
        <v>30000</v>
      </c>
      <c r="AR30" s="5" t="n">
        <f aca="false">IF(ISBLANK(AQ30),AVERAGEIF(M30:M1029,M30,AQ30:AQ1029),AQ30)</f>
        <v>30000</v>
      </c>
      <c r="AS30" s="0" t="n">
        <v>20000</v>
      </c>
      <c r="AT30" s="5" t="n">
        <f aca="false">IF(ISBLANK(AS30),AVERAGE(AS30:AS1029),AS30)</f>
        <v>20000</v>
      </c>
      <c r="AV30" s="0" t="str">
        <f aca="false">PROPER(IF(ISBLANK(AU30),"No",AU30))</f>
        <v>No</v>
      </c>
      <c r="AW30" s="0" t="n">
        <v>10000</v>
      </c>
      <c r="AX30" s="5" t="n">
        <f aca="false">IF(ISBLANK(AW30),0,AW30)</f>
        <v>10000</v>
      </c>
      <c r="AY30" s="0" t="s">
        <v>80</v>
      </c>
      <c r="AZ30" s="0" t="str">
        <f aca="false">UPPER(IF(ISBLANK(AY30),"NONE",AY30))</f>
        <v>PROMO10</v>
      </c>
      <c r="BA30" s="7" t="s">
        <v>215</v>
      </c>
      <c r="BB30" s="7" t="str">
        <f aca="false">IF(ISBLANK(BA30),"No Follow Up Needed",BA30)</f>
        <v>28/09/2025</v>
      </c>
      <c r="BC30" s="0" t="s">
        <v>63</v>
      </c>
      <c r="BD30" s="0" t="str">
        <f aca="false">PROPER(IF(ISBLANK(BC30),"Unknown",BC30))</f>
        <v>Yes</v>
      </c>
      <c r="BE30" s="0" t="s">
        <v>116</v>
      </c>
      <c r="BF30" s="0" t="str">
        <f aca="false">IF(ISBLANK(BE30),"No comments",BE30)</f>
        <v>Needs tire alignment</v>
      </c>
      <c r="BH30" s="0" t="str">
        <f aca="false">IF(ISBLANK(BG30),"No comments",BG30)</f>
        <v>No comments</v>
      </c>
      <c r="BI30" s="0" t="s">
        <v>63</v>
      </c>
      <c r="BJ30" s="0" t="str">
        <f aca="false">IF(ISBLANK(BI30),"Not Mentioned",BI30)</f>
        <v>Yes</v>
      </c>
      <c r="BK30" s="0" t="s">
        <v>63</v>
      </c>
      <c r="BL30" s="0" t="str">
        <f aca="false">PROPER(IF(ISBLANK(BK30),"Not Mentioned",BK30))</f>
        <v>Yes</v>
      </c>
      <c r="BM30" s="0" t="s">
        <v>63</v>
      </c>
      <c r="BN30" s="0" t="str">
        <f aca="false">PROPER(IF(ISBLANK(BM30),"Not Mentioned",BM30))</f>
        <v>Yes</v>
      </c>
      <c r="BP30" s="0" t="str">
        <f aca="false">IF(ISBLANK(BO30),"One-Time Plan",BO30)</f>
        <v>One-Time Plan</v>
      </c>
      <c r="BQ30" s="0" t="s">
        <v>50</v>
      </c>
      <c r="BR30" s="0" t="str">
        <f aca="false">PROPER(IF(ISBLANK(BQ30),"No",BQ30))</f>
        <v>No</v>
      </c>
    </row>
    <row r="31" customFormat="false" ht="15" hidden="false" customHeight="false" outlineLevel="0" collapsed="false">
      <c r="A31" s="0" t="s">
        <v>223</v>
      </c>
      <c r="B31" s="2" t="s">
        <v>222</v>
      </c>
      <c r="C31" s="2" t="str">
        <f aca="false">TEXT(B31,"dd/mm/yyyy")</f>
        <v>14/04/2025</v>
      </c>
      <c r="D31" s="0" t="s">
        <v>66</v>
      </c>
      <c r="E31" s="0" t="n">
        <v>8011084726</v>
      </c>
      <c r="F31" s="0" t="s">
        <v>43</v>
      </c>
      <c r="G31" s="0" t="s">
        <v>2315</v>
      </c>
      <c r="H31" s="0" t="s">
        <v>224</v>
      </c>
      <c r="I31" s="0" t="s">
        <v>69</v>
      </c>
      <c r="J31" s="0" t="s">
        <v>87</v>
      </c>
      <c r="K31" s="3" t="str">
        <f aca="false" t="array" ref="K31:K31">IFERROR(IF(J31&lt;&gt;"",J31,INDEX(J31:J1030,MATCH(1,(F31:F1030=F31)*(I31:I1030=I31)*(L31:L1030=L31)*(J31:J1030&lt;&gt;""),0))),"Not Found")</f>
        <v>Oil Change</v>
      </c>
      <c r="L31" s="3" t="s">
        <v>47</v>
      </c>
      <c r="M31" s="0" t="str">
        <f aca="false">PROPER(L31)</f>
        <v>None</v>
      </c>
      <c r="N31" s="3" t="s">
        <v>71</v>
      </c>
      <c r="O31" s="0" t="str">
        <f aca="false" t="array" ref="O31:O31">IF(N31&lt;&gt;"",N31,_xlfn.xlookup(1,(L31:L1030=L31)*(N31:N1030&lt;&gt;""),N31:N1030,"Not Found"))</f>
        <v>Isaac Bobo</v>
      </c>
      <c r="P31" s="4" t="n">
        <v>91082</v>
      </c>
      <c r="Q31" s="0" t="s">
        <v>124</v>
      </c>
      <c r="R31" s="0" t="str">
        <f aca="false">PROPER(Q31)</f>
        <v>Cash</v>
      </c>
      <c r="S31" s="0" t="s">
        <v>50</v>
      </c>
      <c r="T31" s="0" t="n">
        <v>3</v>
      </c>
      <c r="U31" s="5" t="n">
        <f aca="false">IF(ISBLANK(T31),AVERAGE(T31:T1030),T31)</f>
        <v>3</v>
      </c>
      <c r="V31" s="0" t="n">
        <v>5</v>
      </c>
      <c r="W31" s="0" t="s">
        <v>111</v>
      </c>
      <c r="X31" s="0" t="str">
        <f aca="false">IF(ISBLANK(W31),"No remarks",W31)</f>
        <v>Changed all filters</v>
      </c>
      <c r="Y31" s="0" t="s">
        <v>93</v>
      </c>
      <c r="Z31" s="0" t="s">
        <v>74</v>
      </c>
      <c r="AA31" s="0" t="str">
        <f aca="false">PROPER(IF(ISBLANK(Z31),"Location Unavailable",Z31))</f>
        <v>Under Tree</v>
      </c>
      <c r="AB31" s="0" t="s">
        <v>54</v>
      </c>
      <c r="AC31" s="6" t="str">
        <f aca="false">PROPER(AB31)</f>
        <v>Mechanic Referral</v>
      </c>
      <c r="AD31" s="6" t="n">
        <v>45</v>
      </c>
      <c r="AE31" s="5" t="n">
        <f aca="false">IF(ISBLANK(AD31),AVERAGEIF(L31:L1030,L31,AD31:AD1030),AD31)</f>
        <v>45</v>
      </c>
      <c r="AF31" s="0" t="s">
        <v>76</v>
      </c>
      <c r="AG31" s="0" t="str">
        <f aca="false">PROPER(AF31)</f>
        <v>Orderd</v>
      </c>
      <c r="AH31" s="0" t="s">
        <v>155</v>
      </c>
      <c r="AI31" s="0" t="s">
        <v>78</v>
      </c>
      <c r="AJ31" s="0" t="str">
        <f aca="false">PROPER(AI31)</f>
        <v>Booking</v>
      </c>
      <c r="AK31" s="0" t="s">
        <v>114</v>
      </c>
      <c r="AL31" s="0" t="str">
        <f aca="false">PROPER(AK31)</f>
        <v>Returning</v>
      </c>
      <c r="AN31" s="0" t="str">
        <f aca="false">IF(ISBLANK(AM31),"Unknown",AM31)</f>
        <v>Unknown</v>
      </c>
      <c r="AO31" s="0" t="s">
        <v>161</v>
      </c>
      <c r="AP31" s="0" t="str">
        <f aca="false">IF(ISBLANK(AO31),"Unknown",AO31)</f>
        <v>Apprentice</v>
      </c>
      <c r="AQ31" s="0" t="n">
        <v>40000</v>
      </c>
      <c r="AR31" s="5" t="n">
        <f aca="false">IF(ISBLANK(AQ31),AVERAGEIF(M31:M1030,M31,AQ31:AQ1030),AQ31)</f>
        <v>40000</v>
      </c>
      <c r="AS31" s="0" t="n">
        <v>30000</v>
      </c>
      <c r="AT31" s="5" t="n">
        <f aca="false">IF(ISBLANK(AS31),AVERAGE(AS31:AS1030),AS31)</f>
        <v>30000</v>
      </c>
      <c r="AU31" s="0" t="s">
        <v>82</v>
      </c>
      <c r="AV31" s="0" t="str">
        <f aca="false">PROPER(IF(ISBLANK(AU31),"No",AU31))</f>
        <v>Yes</v>
      </c>
      <c r="AW31" s="0" t="n">
        <v>5000</v>
      </c>
      <c r="AX31" s="5" t="n">
        <f aca="false">IF(ISBLANK(AW31),0,AW31)</f>
        <v>5000</v>
      </c>
      <c r="AY31" s="0" t="s">
        <v>130</v>
      </c>
      <c r="AZ31" s="0" t="str">
        <f aca="false">UPPER(IF(ISBLANK(AY31),"NONE",AY31))</f>
        <v>LOYALTY10</v>
      </c>
      <c r="BA31" s="7" t="n">
        <v>45909</v>
      </c>
      <c r="BB31" s="7" t="n">
        <f aca="false">IF(ISBLANK(BA31),"No Follow Up Needed",BA31)</f>
        <v>45909</v>
      </c>
      <c r="BD31" s="0" t="str">
        <f aca="false">PROPER(IF(ISBLANK(BC31),"Unknown",BC31))</f>
        <v>Unknown</v>
      </c>
      <c r="BF31" s="0" t="str">
        <f aca="false">IF(ISBLANK(BE31),"No comments",BE31)</f>
        <v>No comments</v>
      </c>
      <c r="BH31" s="0" t="str">
        <f aca="false">IF(ISBLANK(BG31),"No comments",BG31)</f>
        <v>No comments</v>
      </c>
      <c r="BJ31" s="0" t="str">
        <f aca="false">IF(ISBLANK(BI31),"Not Mentioned",BI31)</f>
        <v>Not Mentioned</v>
      </c>
      <c r="BK31" s="0" t="s">
        <v>50</v>
      </c>
      <c r="BL31" s="0" t="str">
        <f aca="false">PROPER(IF(ISBLANK(BK31),"Not Mentioned",BK31))</f>
        <v>No</v>
      </c>
      <c r="BM31" s="0" t="s">
        <v>63</v>
      </c>
      <c r="BN31" s="0" t="str">
        <f aca="false">PROPER(IF(ISBLANK(BM31),"Not Mentioned",BM31))</f>
        <v>Yes</v>
      </c>
      <c r="BO31" s="0" t="s">
        <v>64</v>
      </c>
      <c r="BP31" s="0" t="str">
        <f aca="false">IF(ISBLANK(BO31),"One-Time Plan",BO31)</f>
        <v>Gold Maintenance Plan</v>
      </c>
      <c r="BR31" s="0" t="str">
        <f aca="false">PROPER(IF(ISBLANK(BQ31),"No",BQ31))</f>
        <v>No</v>
      </c>
    </row>
    <row r="32" customFormat="false" ht="15" hidden="false" customHeight="false" outlineLevel="0" collapsed="false">
      <c r="A32" s="0" t="s">
        <v>226</v>
      </c>
      <c r="B32" s="2" t="s">
        <v>225</v>
      </c>
      <c r="C32" s="2" t="str">
        <f aca="false">TEXT(B32,"dd/mm/yyyy")</f>
        <v>24/02/2025</v>
      </c>
      <c r="D32" s="0" t="s">
        <v>105</v>
      </c>
      <c r="E32" s="0" t="n">
        <v>8079481912</v>
      </c>
      <c r="F32" s="0" t="s">
        <v>122</v>
      </c>
      <c r="G32" s="0" t="s">
        <v>2316</v>
      </c>
      <c r="H32" s="0" t="s">
        <v>227</v>
      </c>
      <c r="I32" s="0" t="s">
        <v>107</v>
      </c>
      <c r="J32" s="0" t="s">
        <v>2317</v>
      </c>
      <c r="K32" s="3" t="str">
        <f aca="false" t="array" ref="K32:K32">IFERROR(IF(J32&lt;&gt;"",J32,INDEX(J32:J1031,MATCH(1,(F32:F1031=F32)*(I32:I1031=I32)*(L32:L1031=L32)*(J32:J1031&lt;&gt;""),0))),"Not Found")</f>
        <v>Suspension Noise</v>
      </c>
      <c r="L32" s="3" t="s">
        <v>142</v>
      </c>
      <c r="M32" s="0" t="str">
        <f aca="false">PROPER(L32)</f>
        <v>Oil Filter, Brake Pads</v>
      </c>
      <c r="N32" s="3" t="s">
        <v>71</v>
      </c>
      <c r="O32" s="0" t="str">
        <f aca="false" t="array" ref="O32:O32">IF(N32&lt;&gt;"",N32,_xlfn.xlookup(1,(L32:L1031=L32)*(N32:N1031&lt;&gt;""),N32:N1031,"Not Found"))</f>
        <v>Isaac Bobo</v>
      </c>
      <c r="P32" s="4" t="n">
        <v>21827</v>
      </c>
      <c r="Q32" s="0" t="s">
        <v>49</v>
      </c>
      <c r="R32" s="0" t="str">
        <f aca="false">PROPER(Q32)</f>
        <v>Transfer</v>
      </c>
      <c r="S32" s="0" t="s">
        <v>63</v>
      </c>
      <c r="U32" s="5" t="n">
        <f aca="false">IF(ISBLANK(T32),AVERAGE(T32:T1031),T32)</f>
        <v>3.00370828182942</v>
      </c>
      <c r="V32" s="0" t="n">
        <v>5.4</v>
      </c>
      <c r="W32" s="0" t="s">
        <v>111</v>
      </c>
      <c r="X32" s="0" t="str">
        <f aca="false">IF(ISBLANK(W32),"No remarks",W32)</f>
        <v>Changed all filters</v>
      </c>
      <c r="Y32" s="0" t="s">
        <v>73</v>
      </c>
      <c r="Z32" s="0" t="s">
        <v>159</v>
      </c>
      <c r="AA32" s="0" t="str">
        <f aca="false">PROPER(IF(ISBLANK(Z32),"Location Unavailable",Z32))</f>
        <v>Main Bay</v>
      </c>
      <c r="AB32" s="0" t="s">
        <v>75</v>
      </c>
      <c r="AC32" s="6" t="str">
        <f aca="false">PROPER(AB32)</f>
        <v>Mechanik Referal</v>
      </c>
      <c r="AD32" s="6" t="n">
        <v>15</v>
      </c>
      <c r="AE32" s="5" t="n">
        <f aca="false">IF(ISBLANK(AD32),AVERAGEIF(L32:L1031,L32,AD32:AD1031),AD32)</f>
        <v>15</v>
      </c>
      <c r="AF32" s="0" t="s">
        <v>55</v>
      </c>
      <c r="AG32" s="0" t="str">
        <f aca="false">PROPER(AF32)</f>
        <v>Available</v>
      </c>
      <c r="AH32" s="0" t="s">
        <v>155</v>
      </c>
      <c r="AI32" s="0" t="s">
        <v>78</v>
      </c>
      <c r="AJ32" s="0" t="str">
        <f aca="false">PROPER(AI32)</f>
        <v>Booking</v>
      </c>
      <c r="AK32" s="0" t="s">
        <v>196</v>
      </c>
      <c r="AL32" s="0" t="str">
        <f aca="false">PROPER(AK32)</f>
        <v>First Time</v>
      </c>
      <c r="AM32" s="0" t="s">
        <v>2324</v>
      </c>
      <c r="AN32" s="0" t="str">
        <f aca="false">IF(ISBLANK(AM32),"Unknown",AM32)</f>
        <v>Logistics Convoy</v>
      </c>
      <c r="AO32" s="0" t="s">
        <v>149</v>
      </c>
      <c r="AP32" s="0" t="str">
        <f aca="false">IF(ISBLANK(AO32),"Unknown",AO32)</f>
        <v>Senior </v>
      </c>
      <c r="AQ32" s="0" t="n">
        <v>20000</v>
      </c>
      <c r="AR32" s="5" t="n">
        <f aca="false">IF(ISBLANK(AQ32),AVERAGEIF(M32:M1031,M32,AQ32:AQ1031),AQ32)</f>
        <v>20000</v>
      </c>
      <c r="AS32" s="0" t="n">
        <v>20000</v>
      </c>
      <c r="AT32" s="5" t="n">
        <f aca="false">IF(ISBLANK(AS32),AVERAGE(AS32:AS1031),AS32)</f>
        <v>20000</v>
      </c>
      <c r="AU32" s="0" t="s">
        <v>82</v>
      </c>
      <c r="AV32" s="0" t="str">
        <f aca="false">PROPER(IF(ISBLANK(AU32),"No",AU32))</f>
        <v>Yes</v>
      </c>
      <c r="AX32" s="5" t="n">
        <f aca="false">IF(ISBLANK(AW32),0,AW32)</f>
        <v>0</v>
      </c>
      <c r="AY32" s="0" t="s">
        <v>184</v>
      </c>
      <c r="AZ32" s="0" t="str">
        <f aca="false">UPPER(IF(ISBLANK(AY32),"NONE",AY32))</f>
        <v>N/A</v>
      </c>
      <c r="BA32" s="7" t="n">
        <v>45930</v>
      </c>
      <c r="BB32" s="7" t="n">
        <f aca="false">IF(ISBLANK(BA32),"No Follow Up Needed",BA32)</f>
        <v>45930</v>
      </c>
      <c r="BC32" s="0" t="s">
        <v>82</v>
      </c>
      <c r="BD32" s="0" t="str">
        <f aca="false">PROPER(IF(ISBLANK(BC32),"Unknown",BC32))</f>
        <v>Yes</v>
      </c>
      <c r="BF32" s="0" t="str">
        <f aca="false">IF(ISBLANK(BE32),"No comments",BE32)</f>
        <v>No comments</v>
      </c>
      <c r="BH32" s="0" t="str">
        <f aca="false">IF(ISBLANK(BG32),"No comments",BG32)</f>
        <v>No comments</v>
      </c>
      <c r="BI32" s="0" t="s">
        <v>50</v>
      </c>
      <c r="BJ32" s="0" t="str">
        <f aca="false">IF(ISBLANK(BI32),"Not Mentioned",BI32)</f>
        <v>No</v>
      </c>
      <c r="BK32" s="0" t="s">
        <v>50</v>
      </c>
      <c r="BL32" s="0" t="str">
        <f aca="false">PROPER(IF(ISBLANK(BK32),"Not Mentioned",BK32))</f>
        <v>No</v>
      </c>
      <c r="BM32" s="0" t="s">
        <v>50</v>
      </c>
      <c r="BN32" s="0" t="str">
        <f aca="false">PROPER(IF(ISBLANK(BM32),"Not Mentioned",BM32))</f>
        <v>No</v>
      </c>
      <c r="BP32" s="0" t="str">
        <f aca="false">IF(ISBLANK(BO32),"One-Time Plan",BO32)</f>
        <v>One-Time Plan</v>
      </c>
      <c r="BQ32" s="0" t="s">
        <v>50</v>
      </c>
      <c r="BR32" s="0" t="str">
        <f aca="false">PROPER(IF(ISBLANK(BQ32),"No",BQ32))</f>
        <v>No</v>
      </c>
    </row>
    <row r="33" customFormat="false" ht="15" hidden="false" customHeight="false" outlineLevel="0" collapsed="false">
      <c r="A33" s="0" t="s">
        <v>228</v>
      </c>
      <c r="B33" s="2" t="n">
        <v>45713</v>
      </c>
      <c r="C33" s="2" t="str">
        <f aca="false">TEXT(B33,"dd/mm/yyyy")</f>
        <v>25/02/2025</v>
      </c>
      <c r="D33" s="0" t="s">
        <v>121</v>
      </c>
      <c r="E33" s="0" t="n">
        <v>8088710632</v>
      </c>
      <c r="F33" s="0" t="s">
        <v>85</v>
      </c>
      <c r="G33" s="0" t="s">
        <v>2319</v>
      </c>
      <c r="H33" s="0" t="s">
        <v>229</v>
      </c>
      <c r="I33" s="0" t="s">
        <v>69</v>
      </c>
      <c r="K33" s="3" t="str">
        <f aca="false" t="array" ref="K33:K33">IFERROR(IF(J33&lt;&gt;"",J33,INDEX(J33:J1032,MATCH(1,(F33:F1032=F33)*(I33:I1032=I33)*(L33:L1032=L33)*(J33:J1032&lt;&gt;""),0))),"Not Found")</f>
        <v>Suspension Noise</v>
      </c>
      <c r="L33" s="3" t="s">
        <v>47</v>
      </c>
      <c r="M33" s="0" t="str">
        <f aca="false">PROPER(L33)</f>
        <v>None</v>
      </c>
      <c r="N33" s="3" t="s">
        <v>71</v>
      </c>
      <c r="O33" s="0" t="str">
        <f aca="false" t="array" ref="O33:O33">IF(N33&lt;&gt;"",N33,_xlfn.xlookup(1,(L33:L1032=L33)*(N33:N1032&lt;&gt;""),N33:N1032,"Not Found"))</f>
        <v>Isaac Bobo</v>
      </c>
      <c r="P33" s="4" t="n">
        <v>76968</v>
      </c>
      <c r="Q33" s="0" t="s">
        <v>91</v>
      </c>
      <c r="R33" s="0" t="str">
        <f aca="false">PROPER(Q33)</f>
        <v>Pos</v>
      </c>
      <c r="S33" s="0" t="s">
        <v>63</v>
      </c>
      <c r="T33" s="0" t="n">
        <v>3</v>
      </c>
      <c r="U33" s="5" t="n">
        <f aca="false">IF(ISBLANK(T33),AVERAGE(T33:T1032),T33)</f>
        <v>3</v>
      </c>
      <c r="V33" s="0" t="n">
        <v>2.6</v>
      </c>
      <c r="X33" s="0" t="str">
        <f aca="false">IF(ISBLANK(W33),"No remarks",W33)</f>
        <v>No remarks</v>
      </c>
      <c r="Y33" s="0" t="s">
        <v>52</v>
      </c>
      <c r="AA33" s="0" t="str">
        <f aca="false">PROPER(IF(ISBLANK(Z33),"Location Unavailable",Z33))</f>
        <v>Location Unavailable</v>
      </c>
      <c r="AB33" s="0" t="s">
        <v>167</v>
      </c>
      <c r="AC33" s="6" t="str">
        <f aca="false">PROPER(AB33)</f>
        <v>Word Of Mouth</v>
      </c>
      <c r="AD33" s="6" t="n">
        <v>30</v>
      </c>
      <c r="AE33" s="5" t="n">
        <f aca="false">IF(ISBLANK(AD33),AVERAGEIF(L33:L1032,L33,AD33:AD1032),AD33)</f>
        <v>30</v>
      </c>
      <c r="AF33" s="0" t="s">
        <v>96</v>
      </c>
      <c r="AG33" s="0" t="str">
        <f aca="false">PROPER(AF33)</f>
        <v>Ordered</v>
      </c>
      <c r="AH33" s="0" t="s">
        <v>148</v>
      </c>
      <c r="AI33" s="0" t="s">
        <v>128</v>
      </c>
      <c r="AJ33" s="0" t="str">
        <f aca="false">PROPER(AI33)</f>
        <v>Normal</v>
      </c>
      <c r="AK33" s="0" t="s">
        <v>99</v>
      </c>
      <c r="AL33" s="0" t="str">
        <f aca="false">PROPER(AK33)</f>
        <v>Uber Driver</v>
      </c>
      <c r="AM33" s="0" t="s">
        <v>2324</v>
      </c>
      <c r="AN33" s="0" t="str">
        <f aca="false">IF(ISBLANK(AM33),"Unknown",AM33)</f>
        <v>Logistics Convoy</v>
      </c>
      <c r="AO33" s="0" t="s">
        <v>79</v>
      </c>
      <c r="AP33" s="0" t="str">
        <f aca="false">IF(ISBLANK(AO33),"Unknown",AO33)</f>
        <v>Specialist</v>
      </c>
      <c r="AQ33" s="0" t="n">
        <v>25000</v>
      </c>
      <c r="AR33" s="5" t="n">
        <f aca="false">IF(ISBLANK(AQ33),AVERAGEIF(M33:M1032,M33,AQ33:AQ1032),AQ33)</f>
        <v>25000</v>
      </c>
      <c r="AS33" s="0" t="n">
        <v>40000</v>
      </c>
      <c r="AT33" s="5" t="n">
        <f aca="false">IF(ISBLANK(AS33),AVERAGE(AS33:AS1032),AS33)</f>
        <v>40000</v>
      </c>
      <c r="AU33" s="0" t="s">
        <v>61</v>
      </c>
      <c r="AV33" s="0" t="str">
        <f aca="false">PROPER(IF(ISBLANK(AU33),"No",AU33))</f>
        <v>No</v>
      </c>
      <c r="AX33" s="5" t="n">
        <f aca="false">IF(ISBLANK(AW33),0,AW33)</f>
        <v>0</v>
      </c>
      <c r="AY33" s="0" t="s">
        <v>184</v>
      </c>
      <c r="AZ33" s="0" t="str">
        <f aca="false">UPPER(IF(ISBLANK(AY33),"NONE",AY33))</f>
        <v>N/A</v>
      </c>
      <c r="BA33" s="7" t="n">
        <v>45910</v>
      </c>
      <c r="BB33" s="7" t="n">
        <f aca="false">IF(ISBLANK(BA33),"No Follow Up Needed",BA33)</f>
        <v>45910</v>
      </c>
      <c r="BC33" s="0" t="s">
        <v>50</v>
      </c>
      <c r="BD33" s="0" t="str">
        <f aca="false">PROPER(IF(ISBLANK(BC33),"Unknown",BC33))</f>
        <v>No</v>
      </c>
      <c r="BE33" s="0" t="s">
        <v>116</v>
      </c>
      <c r="BF33" s="0" t="str">
        <f aca="false">IF(ISBLANK(BE33),"No comments",BE33)</f>
        <v>Needs tire alignment</v>
      </c>
      <c r="BG33" s="0" t="s">
        <v>117</v>
      </c>
      <c r="BH33" s="0" t="str">
        <f aca="false">IF(ISBLANK(BG33),"No comments",BG33)</f>
        <v>Prefers morning</v>
      </c>
      <c r="BJ33" s="0" t="str">
        <f aca="false">IF(ISBLANK(BI33),"Not Mentioned",BI33)</f>
        <v>Not Mentioned</v>
      </c>
      <c r="BK33" s="0" t="s">
        <v>61</v>
      </c>
      <c r="BL33" s="0" t="str">
        <f aca="false">PROPER(IF(ISBLANK(BK33),"Not Mentioned",BK33))</f>
        <v>No</v>
      </c>
      <c r="BN33" s="0" t="str">
        <f aca="false">PROPER(IF(ISBLANK(BM33),"Not Mentioned",BM33))</f>
        <v>Not Mentioned</v>
      </c>
      <c r="BP33" s="0" t="str">
        <f aca="false">IF(ISBLANK(BO33),"One-Time Plan",BO33)</f>
        <v>One-Time Plan</v>
      </c>
      <c r="BQ33" s="0" t="s">
        <v>50</v>
      </c>
      <c r="BR33" s="0" t="str">
        <f aca="false">PROPER(IF(ISBLANK(BQ33),"No",BQ33))</f>
        <v>No</v>
      </c>
    </row>
    <row r="34" customFormat="false" ht="15" hidden="false" customHeight="false" outlineLevel="0" collapsed="false">
      <c r="A34" s="0" t="s">
        <v>230</v>
      </c>
      <c r="B34" s="2" t="n">
        <v>45801</v>
      </c>
      <c r="C34" s="2" t="str">
        <f aca="false">TEXT(B34,"dd/mm/yyyy")</f>
        <v>24/05/2025</v>
      </c>
      <c r="D34" s="0" t="s">
        <v>121</v>
      </c>
      <c r="E34" s="0" t="n">
        <v>8098271886</v>
      </c>
      <c r="F34" s="0" t="s">
        <v>85</v>
      </c>
      <c r="G34" s="0" t="s">
        <v>2319</v>
      </c>
      <c r="H34" s="0" t="s">
        <v>231</v>
      </c>
      <c r="I34" s="0" t="s">
        <v>69</v>
      </c>
      <c r="J34" s="0" t="s">
        <v>2317</v>
      </c>
      <c r="K34" s="3" t="str">
        <f aca="false" t="array" ref="K34:K34">IFERROR(IF(J34&lt;&gt;"",J34,INDEX(J34:J1033,MATCH(1,(F34:F1033=F34)*(I34:I1033=I34)*(L34:L1033=L34)*(J34:J1033&lt;&gt;""),0))),"Not Found")</f>
        <v>Suspension Noise</v>
      </c>
      <c r="L34" s="3" t="s">
        <v>154</v>
      </c>
      <c r="M34" s="0" t="str">
        <f aca="false">PROPER(L34)</f>
        <v>Air Filter</v>
      </c>
      <c r="O34" s="0" t="e">
        <f aca="false" t="array" ref="O34:O34">IF(N34&lt;&gt;"",N34,_xlfn.xlookup(1,(L34:L1033=L34)*(N34:N1033&lt;&gt;""),N34:N1033,"Not Found"))</f>
        <v>#NAME?</v>
      </c>
      <c r="P34" s="4" t="n">
        <v>117042</v>
      </c>
      <c r="Q34" s="0" t="s">
        <v>124</v>
      </c>
      <c r="R34" s="0" t="str">
        <f aca="false">PROPER(Q34)</f>
        <v>Cash</v>
      </c>
      <c r="S34" s="0" t="s">
        <v>63</v>
      </c>
      <c r="T34" s="0" t="n">
        <v>1</v>
      </c>
      <c r="U34" s="5" t="n">
        <f aca="false">IF(ISBLANK(T34),AVERAGE(T34:T1033),T34)</f>
        <v>1</v>
      </c>
      <c r="V34" s="0" t="n">
        <v>1.9</v>
      </c>
      <c r="W34" s="0" t="s">
        <v>111</v>
      </c>
      <c r="X34" s="0" t="str">
        <f aca="false">IF(ISBLANK(W34),"No remarks",W34)</f>
        <v>Changed all filters</v>
      </c>
      <c r="Y34" s="0" t="s">
        <v>73</v>
      </c>
      <c r="Z34" s="0" t="s">
        <v>136</v>
      </c>
      <c r="AA34" s="0" t="str">
        <f aca="false">PROPER(IF(ISBLANK(Z34),"Location Unavailable",Z34))</f>
        <v>Vip Section</v>
      </c>
      <c r="AB34" s="0" t="s">
        <v>75</v>
      </c>
      <c r="AC34" s="6" t="str">
        <f aca="false">PROPER(AB34)</f>
        <v>Mechanik Referal</v>
      </c>
      <c r="AE34" s="5" t="n">
        <f aca="false">IF(ISBLANK(AD34),AVERAGEIF(L34:L1033,L34,AD34:AD1033),AD34)</f>
        <v>37.3509933774834</v>
      </c>
      <c r="AF34" s="0" t="s">
        <v>96</v>
      </c>
      <c r="AG34" s="0" t="str">
        <f aca="false">PROPER(AF34)</f>
        <v>Ordered</v>
      </c>
      <c r="AH34" s="0" t="s">
        <v>77</v>
      </c>
      <c r="AI34" s="0" t="s">
        <v>98</v>
      </c>
      <c r="AJ34" s="0" t="str">
        <f aca="false">PROPER(AI34)</f>
        <v>Emergency</v>
      </c>
      <c r="AK34" s="0" t="s">
        <v>196</v>
      </c>
      <c r="AL34" s="0" t="str">
        <f aca="false">PROPER(AK34)</f>
        <v>First Time</v>
      </c>
      <c r="AM34" s="0" t="s">
        <v>177</v>
      </c>
      <c r="AN34" s="0" t="str">
        <f aca="false">IF(ISBLANK(AM34),"Unknown",AM34)</f>
        <v>Private</v>
      </c>
      <c r="AO34" s="0" t="s">
        <v>79</v>
      </c>
      <c r="AP34" s="0" t="str">
        <f aca="false">IF(ISBLANK(AO34),"Unknown",AO34)</f>
        <v>Specialist</v>
      </c>
      <c r="AQ34" s="0" t="n">
        <v>20000</v>
      </c>
      <c r="AR34" s="5" t="n">
        <f aca="false">IF(ISBLANK(AQ34),AVERAGEIF(M34:M1033,M34,AQ34:AQ1033),AQ34)</f>
        <v>20000</v>
      </c>
      <c r="AT34" s="5" t="n">
        <f aca="false">IF(ISBLANK(AS34),AVERAGE(AS34:AS1033),AS34)</f>
        <v>31447.2049689441</v>
      </c>
      <c r="AU34" s="0" t="s">
        <v>61</v>
      </c>
      <c r="AV34" s="0" t="str">
        <f aca="false">PROPER(IF(ISBLANK(AU34),"No",AU34))</f>
        <v>No</v>
      </c>
      <c r="AW34" s="0" t="n">
        <v>0</v>
      </c>
      <c r="AX34" s="5" t="n">
        <f aca="false">IF(ISBLANK(AW34),0,AW34)</f>
        <v>0</v>
      </c>
      <c r="AY34" s="0" t="s">
        <v>80</v>
      </c>
      <c r="AZ34" s="0" t="str">
        <f aca="false">UPPER(IF(ISBLANK(AY34),"NONE",AY34))</f>
        <v>PROMO10</v>
      </c>
      <c r="BA34" s="7" t="n">
        <v>45907</v>
      </c>
      <c r="BB34" s="7" t="n">
        <f aca="false">IF(ISBLANK(BA34),"No Follow Up Needed",BA34)</f>
        <v>45907</v>
      </c>
      <c r="BC34" s="0" t="s">
        <v>63</v>
      </c>
      <c r="BD34" s="0" t="str">
        <f aca="false">PROPER(IF(ISBLANK(BC34),"Unknown",BC34))</f>
        <v>Yes</v>
      </c>
      <c r="BF34" s="0" t="str">
        <f aca="false">IF(ISBLANK(BE34),"No comments",BE34)</f>
        <v>No comments</v>
      </c>
      <c r="BG34" s="0" t="s">
        <v>172</v>
      </c>
      <c r="BH34" s="0" t="str">
        <f aca="false">IF(ISBLANK(BG34),"No comments",BG34)</f>
        <v>Always late</v>
      </c>
      <c r="BJ34" s="0" t="str">
        <f aca="false">IF(ISBLANK(BI34),"Not Mentioned",BI34)</f>
        <v>Not Mentioned</v>
      </c>
      <c r="BL34" s="0" t="str">
        <f aca="false">PROPER(IF(ISBLANK(BK34),"Not Mentioned",BK34))</f>
        <v>Not Mentioned</v>
      </c>
      <c r="BN34" s="0" t="str">
        <f aca="false">PROPER(IF(ISBLANK(BM34),"Not Mentioned",BM34))</f>
        <v>Not Mentioned</v>
      </c>
      <c r="BO34" s="0" t="s">
        <v>2318</v>
      </c>
      <c r="BP34" s="0" t="str">
        <f aca="false">IF(ISBLANK(BO34),"One-Time Plan",BO34)</f>
        <v>Gold</v>
      </c>
      <c r="BQ34" s="0" t="s">
        <v>198</v>
      </c>
      <c r="BR34" s="0" t="str">
        <f aca="false">PROPER(IF(ISBLANK(BQ34),"No",BQ34))</f>
        <v>Followed Up</v>
      </c>
    </row>
    <row r="35" customFormat="false" ht="15" hidden="false" customHeight="false" outlineLevel="0" collapsed="false">
      <c r="A35" s="0" t="s">
        <v>233</v>
      </c>
      <c r="B35" s="2" t="s">
        <v>232</v>
      </c>
      <c r="C35" s="2" t="str">
        <f aca="false">TEXT(B35,"dd/mm/yyyy")</f>
        <v>30/01/2025</v>
      </c>
      <c r="D35" s="0" t="s">
        <v>42</v>
      </c>
      <c r="E35" s="0" t="n">
        <v>8029407935</v>
      </c>
      <c r="F35" s="0" t="s">
        <v>67</v>
      </c>
      <c r="G35" s="0" t="s">
        <v>2316</v>
      </c>
      <c r="H35" s="0" t="s">
        <v>234</v>
      </c>
      <c r="I35" s="0" t="s">
        <v>107</v>
      </c>
      <c r="J35" s="0" t="s">
        <v>87</v>
      </c>
      <c r="K35" s="3" t="str">
        <f aca="false" t="array" ref="K35:K35">IFERROR(IF(J35&lt;&gt;"",J35,INDEX(J35:J1034,MATCH(1,(F35:F1034=F35)*(I35:I1034=I35)*(L35:L1034=L35)*(J35:J1034&lt;&gt;""),0))),"Not Found")</f>
        <v>Oil Change</v>
      </c>
      <c r="L35" s="3" t="s">
        <v>189</v>
      </c>
      <c r="M35" s="0" t="str">
        <f aca="false">PROPER(L35)</f>
        <v>Battery</v>
      </c>
      <c r="O35" s="0" t="e">
        <f aca="false" t="array" ref="O35:O35">IF(N35&lt;&gt;"",N35,_xlfn.xlookup(1,(L35:L1034=L35)*(N35:N1034&lt;&gt;""),N35:N1034,"Not Found"))</f>
        <v>#NAME?</v>
      </c>
      <c r="P35" s="4" t="n">
        <v>111648</v>
      </c>
      <c r="Q35" s="0" t="s">
        <v>124</v>
      </c>
      <c r="R35" s="0" t="str">
        <f aca="false">PROPER(Q35)</f>
        <v>Cash</v>
      </c>
      <c r="S35" s="0" t="s">
        <v>50</v>
      </c>
      <c r="T35" s="0" t="n">
        <v>3</v>
      </c>
      <c r="U35" s="5" t="n">
        <f aca="false">IF(ISBLANK(T35),AVERAGE(T35:T1034),T35)</f>
        <v>3</v>
      </c>
      <c r="V35" s="0" t="n">
        <v>5.2</v>
      </c>
      <c r="W35" s="0" t="s">
        <v>125</v>
      </c>
      <c r="X35" s="0" t="str">
        <f aca="false">IF(ISBLANK(W35),"No remarks",W35)</f>
        <v>Customer waited</v>
      </c>
      <c r="Y35" s="0" t="s">
        <v>52</v>
      </c>
      <c r="Z35" s="0" t="s">
        <v>53</v>
      </c>
      <c r="AA35" s="0" t="str">
        <f aca="false">PROPER(IF(ISBLANK(Z35),"Location Unavailable",Z35))</f>
        <v>Main Bay</v>
      </c>
      <c r="AB35" s="0" t="s">
        <v>54</v>
      </c>
      <c r="AC35" s="6" t="str">
        <f aca="false">PROPER(AB35)</f>
        <v>Mechanic Referral</v>
      </c>
      <c r="AD35" s="6" t="n">
        <v>60</v>
      </c>
      <c r="AE35" s="5" t="n">
        <f aca="false">IF(ISBLANK(AD35),AVERAGEIF(L35:L1034,L35,AD35:AD1034),AD35)</f>
        <v>60</v>
      </c>
      <c r="AF35" s="0" t="s">
        <v>96</v>
      </c>
      <c r="AG35" s="0" t="str">
        <f aca="false">PROPER(AF35)</f>
        <v>Ordered</v>
      </c>
      <c r="AH35" s="0" t="s">
        <v>77</v>
      </c>
      <c r="AI35" s="0" t="s">
        <v>78</v>
      </c>
      <c r="AJ35" s="0" t="str">
        <f aca="false">PROPER(AI35)</f>
        <v>Booking</v>
      </c>
      <c r="AK35" s="0" t="s">
        <v>58</v>
      </c>
      <c r="AL35" s="0" t="str">
        <f aca="false">PROPER(AK35)</f>
        <v>Fleet Owner</v>
      </c>
      <c r="AM35" s="0" t="s">
        <v>59</v>
      </c>
      <c r="AN35" s="0" t="str">
        <f aca="false">IF(ISBLANK(AM35),"Unknown",AM35)</f>
        <v>Bolt Driver</v>
      </c>
      <c r="AO35" s="0" t="s">
        <v>149</v>
      </c>
      <c r="AP35" s="0" t="str">
        <f aca="false">IF(ISBLANK(AO35),"Unknown",AO35)</f>
        <v>Senior </v>
      </c>
      <c r="AR35" s="5" t="n">
        <f aca="false">IF(ISBLANK(AQ35),AVERAGEIF(M35:M1034,M35,AQ35:AQ1034),AQ35)</f>
        <v>25614.0350877193</v>
      </c>
      <c r="AS35" s="0" t="n">
        <v>40000</v>
      </c>
      <c r="AT35" s="5" t="n">
        <f aca="false">IF(ISBLANK(AS35),AVERAGE(AS35:AS1034),AS35)</f>
        <v>40000</v>
      </c>
      <c r="AU35" s="0" t="s">
        <v>50</v>
      </c>
      <c r="AV35" s="0" t="str">
        <f aca="false">PROPER(IF(ISBLANK(AU35),"No",AU35))</f>
        <v>No</v>
      </c>
      <c r="AW35" s="0" t="n">
        <v>10000</v>
      </c>
      <c r="AX35" s="5" t="n">
        <f aca="false">IF(ISBLANK(AW35),0,AW35)</f>
        <v>10000</v>
      </c>
      <c r="AZ35" s="0" t="str">
        <f aca="false">UPPER(IF(ISBLANK(AY35),"NONE",AY35))</f>
        <v>NONE</v>
      </c>
      <c r="BA35" s="7" t="n">
        <v>45930</v>
      </c>
      <c r="BB35" s="7" t="n">
        <f aca="false">IF(ISBLANK(BA35),"No Follow Up Needed",BA35)</f>
        <v>45930</v>
      </c>
      <c r="BC35" s="0" t="s">
        <v>50</v>
      </c>
      <c r="BD35" s="0" t="str">
        <f aca="false">PROPER(IF(ISBLANK(BC35),"Unknown",BC35))</f>
        <v>No</v>
      </c>
      <c r="BE35" s="0" t="s">
        <v>116</v>
      </c>
      <c r="BF35" s="0" t="str">
        <f aca="false">IF(ISBLANK(BE35),"No comments",BE35)</f>
        <v>Needs tire alignment</v>
      </c>
      <c r="BG35" s="0" t="s">
        <v>117</v>
      </c>
      <c r="BH35" s="0" t="str">
        <f aca="false">IF(ISBLANK(BG35),"No comments",BG35)</f>
        <v>Prefers morning</v>
      </c>
      <c r="BI35" s="0" t="s">
        <v>50</v>
      </c>
      <c r="BJ35" s="0" t="str">
        <f aca="false">IF(ISBLANK(BI35),"Not Mentioned",BI35)</f>
        <v>No</v>
      </c>
      <c r="BL35" s="0" t="str">
        <f aca="false">PROPER(IF(ISBLANK(BK35),"Not Mentioned",BK35))</f>
        <v>Not Mentioned</v>
      </c>
      <c r="BN35" s="0" t="str">
        <f aca="false">PROPER(IF(ISBLANK(BM35),"Not Mentioned",BM35))</f>
        <v>Not Mentioned</v>
      </c>
      <c r="BP35" s="0" t="str">
        <f aca="false">IF(ISBLANK(BO35),"One-Time Plan",BO35)</f>
        <v>One-Time Plan</v>
      </c>
      <c r="BQ35" s="0" t="s">
        <v>50</v>
      </c>
      <c r="BR35" s="0" t="str">
        <f aca="false">PROPER(IF(ISBLANK(BQ35),"No",BQ35))</f>
        <v>No</v>
      </c>
    </row>
    <row r="36" customFormat="false" ht="15" hidden="false" customHeight="false" outlineLevel="0" collapsed="false">
      <c r="A36" s="0" t="s">
        <v>235</v>
      </c>
      <c r="B36" s="2" t="n">
        <v>45815</v>
      </c>
      <c r="C36" s="2" t="str">
        <f aca="false">TEXT(B36,"dd/mm/yyyy")</f>
        <v>07/06/2025</v>
      </c>
      <c r="D36" s="0" t="s">
        <v>121</v>
      </c>
      <c r="E36" s="0" t="n">
        <v>8017693044</v>
      </c>
      <c r="F36" s="0" t="s">
        <v>139</v>
      </c>
      <c r="G36" s="0" t="s">
        <v>2323</v>
      </c>
      <c r="H36" s="0" t="s">
        <v>236</v>
      </c>
      <c r="I36" s="0" t="s">
        <v>87</v>
      </c>
      <c r="J36" s="0" t="s">
        <v>87</v>
      </c>
      <c r="K36" s="3" t="str">
        <f aca="false" t="array" ref="K36:K36">IFERROR(IF(J36&lt;&gt;"",J36,INDEX(J36:J1035,MATCH(1,(F36:F1035=F36)*(I36:I1035=I36)*(L36:L1035=L36)*(J36:J1035&lt;&gt;""),0))),"Not Found")</f>
        <v>Oil Change</v>
      </c>
      <c r="L36" s="3" t="s">
        <v>154</v>
      </c>
      <c r="M36" s="0" t="str">
        <f aca="false">PROPER(L36)</f>
        <v>Air Filter</v>
      </c>
      <c r="N36" s="3" t="s">
        <v>90</v>
      </c>
      <c r="O36" s="0" t="str">
        <f aca="false" t="array" ref="O36:O36">IF(N36&lt;&gt;"",N36,_xlfn.xlookup(1,(L36:L1035=L36)*(N36:N1035&lt;&gt;""),N36:N1035,"Not Found"))</f>
        <v>Musa</v>
      </c>
      <c r="P36" s="4" t="n">
        <v>97789</v>
      </c>
      <c r="Q36" s="0" t="s">
        <v>49</v>
      </c>
      <c r="R36" s="0" t="str">
        <f aca="false">PROPER(Q36)</f>
        <v>Transfer</v>
      </c>
      <c r="S36" s="0" t="s">
        <v>50</v>
      </c>
      <c r="T36" s="0" t="n">
        <v>5</v>
      </c>
      <c r="U36" s="5" t="n">
        <f aca="false">IF(ISBLANK(T36),AVERAGE(T36:T1035),T36)</f>
        <v>5</v>
      </c>
      <c r="V36" s="0" t="n">
        <v>5.9</v>
      </c>
      <c r="W36" s="0" t="s">
        <v>51</v>
      </c>
      <c r="X36" s="0" t="str">
        <f aca="false">IF(ISBLANK(W36),"No remarks",W36)</f>
        <v>Recommended further checks</v>
      </c>
      <c r="Y36" s="0" t="s">
        <v>52</v>
      </c>
      <c r="AA36" s="0" t="str">
        <f aca="false">PROPER(IF(ISBLANK(Z36),"Location Unavailable",Z36))</f>
        <v>Location Unavailable</v>
      </c>
      <c r="AB36" s="0" t="s">
        <v>147</v>
      </c>
      <c r="AC36" s="6" t="str">
        <f aca="false">PROPER(AB36)</f>
        <v>Instagram</v>
      </c>
      <c r="AD36" s="6" t="n">
        <v>45</v>
      </c>
      <c r="AE36" s="5" t="n">
        <f aca="false">IF(ISBLANK(AD36),AVERAGEIF(L36:L1035,L36,AD36:AD1035),AD36)</f>
        <v>45</v>
      </c>
      <c r="AF36" s="0" t="s">
        <v>96</v>
      </c>
      <c r="AG36" s="0" t="str">
        <f aca="false">PROPER(AF36)</f>
        <v>Ordered</v>
      </c>
      <c r="AH36" s="0" t="s">
        <v>56</v>
      </c>
      <c r="AI36" s="0" t="s">
        <v>98</v>
      </c>
      <c r="AJ36" s="0" t="str">
        <f aca="false">PROPER(AI36)</f>
        <v>Emergency</v>
      </c>
      <c r="AK36" s="0" t="s">
        <v>99</v>
      </c>
      <c r="AL36" s="0" t="str">
        <f aca="false">PROPER(AK36)</f>
        <v>Uber Driver</v>
      </c>
      <c r="AM36" s="0" t="s">
        <v>2326</v>
      </c>
      <c r="AN36" s="0" t="str">
        <f aca="false">IF(ISBLANK(AM36),"Unknown",AM36)</f>
        <v>Government Convoy</v>
      </c>
      <c r="AO36" s="0" t="s">
        <v>161</v>
      </c>
      <c r="AP36" s="0" t="str">
        <f aca="false">IF(ISBLANK(AO36),"Unknown",AO36)</f>
        <v>Apprentice</v>
      </c>
      <c r="AQ36" s="0" t="n">
        <v>25000</v>
      </c>
      <c r="AR36" s="5" t="n">
        <f aca="false">IF(ISBLANK(AQ36),AVERAGEIF(M36:M1035,M36,AQ36:AQ1035),AQ36)</f>
        <v>25000</v>
      </c>
      <c r="AS36" s="0" t="n">
        <v>40000</v>
      </c>
      <c r="AT36" s="5" t="n">
        <f aca="false">IF(ISBLANK(AS36),AVERAGE(AS36:AS1035),AS36)</f>
        <v>40000</v>
      </c>
      <c r="AU36" s="0" t="s">
        <v>50</v>
      </c>
      <c r="AV36" s="0" t="str">
        <f aca="false">PROPER(IF(ISBLANK(AU36),"No",AU36))</f>
        <v>No</v>
      </c>
      <c r="AW36" s="0" t="n">
        <v>5000</v>
      </c>
      <c r="AX36" s="5" t="n">
        <f aca="false">IF(ISBLANK(AW36),0,AW36)</f>
        <v>5000</v>
      </c>
      <c r="AY36" s="0" t="s">
        <v>60</v>
      </c>
      <c r="AZ36" s="0" t="str">
        <f aca="false">UPPER(IF(ISBLANK(AY36),"NONE",AY36))</f>
        <v>NONE</v>
      </c>
      <c r="BA36" s="7" t="n">
        <v>45836</v>
      </c>
      <c r="BB36" s="7" t="n">
        <f aca="false">IF(ISBLANK(BA36),"No Follow Up Needed",BA36)</f>
        <v>45836</v>
      </c>
      <c r="BD36" s="0" t="str">
        <f aca="false">PROPER(IF(ISBLANK(BC36),"Unknown",BC36))</f>
        <v>Unknown</v>
      </c>
      <c r="BF36" s="0" t="str">
        <f aca="false">IF(ISBLANK(BE36),"No comments",BE36)</f>
        <v>No comments</v>
      </c>
      <c r="BH36" s="0" t="str">
        <f aca="false">IF(ISBLANK(BG36),"No comments",BG36)</f>
        <v>No comments</v>
      </c>
      <c r="BI36" s="0" t="s">
        <v>63</v>
      </c>
      <c r="BJ36" s="0" t="str">
        <f aca="false">IF(ISBLANK(BI36),"Not Mentioned",BI36)</f>
        <v>Yes</v>
      </c>
      <c r="BK36" s="0" t="s">
        <v>50</v>
      </c>
      <c r="BL36" s="0" t="str">
        <f aca="false">PROPER(IF(ISBLANK(BK36),"Not Mentioned",BK36))</f>
        <v>No</v>
      </c>
      <c r="BM36" s="0" t="s">
        <v>63</v>
      </c>
      <c r="BN36" s="0" t="str">
        <f aca="false">PROPER(IF(ISBLANK(BM36),"Not Mentioned",BM36))</f>
        <v>Yes</v>
      </c>
      <c r="BO36" s="0" t="s">
        <v>2321</v>
      </c>
      <c r="BP36" s="0" t="str">
        <f aca="false">IF(ISBLANK(BO36),"One-Time Plan",BO36)</f>
        <v>One-Time Plan</v>
      </c>
      <c r="BQ36" s="0" t="s">
        <v>190</v>
      </c>
      <c r="BR36" s="0" t="str">
        <f aca="false">PROPER(IF(ISBLANK(BQ36),"No",BQ36))</f>
        <v>Yes</v>
      </c>
    </row>
    <row r="37" customFormat="false" ht="15" hidden="false" customHeight="false" outlineLevel="0" collapsed="false">
      <c r="A37" s="0" t="s">
        <v>237</v>
      </c>
      <c r="B37" s="2" t="n">
        <v>45962</v>
      </c>
      <c r="C37" s="2" t="str">
        <f aca="false">TEXT(B37,"dd/mm/yyyy")</f>
        <v>01/11/2025</v>
      </c>
      <c r="D37" s="0" t="s">
        <v>42</v>
      </c>
      <c r="E37" s="0" t="n">
        <v>8041861591</v>
      </c>
      <c r="F37" s="0" t="s">
        <v>139</v>
      </c>
      <c r="G37" s="0" t="s">
        <v>2323</v>
      </c>
      <c r="H37" s="0" t="s">
        <v>238</v>
      </c>
      <c r="I37" s="0" t="s">
        <v>45</v>
      </c>
      <c r="J37" s="0" t="s">
        <v>2325</v>
      </c>
      <c r="K37" s="3" t="str">
        <f aca="false" t="array" ref="K37:K37">IFERROR(IF(J37&lt;&gt;"",J37,INDEX(J37:J1036,MATCH(1,(F37:F1036=F37)*(I37:I1036=I37)*(L37:L1036=L37)*(J37:J1036&lt;&gt;""),0))),"Not Found")</f>
        <v>Engine Knocking</v>
      </c>
      <c r="L37" s="3" t="s">
        <v>89</v>
      </c>
      <c r="M37" s="0" t="str">
        <f aca="false">PROPER(L37)</f>
        <v>Shock Absorbers</v>
      </c>
      <c r="N37" s="3" t="s">
        <v>48</v>
      </c>
      <c r="O37" s="0" t="str">
        <f aca="false" t="array" ref="O37:O37">IF(N37&lt;&gt;"",N37,_xlfn.xlookup(1,(L37:L1036=L37)*(N37:N1036&lt;&gt;""),N37:N1036,"Not Found"))</f>
        <v>Uche</v>
      </c>
      <c r="P37" s="4" t="n">
        <v>107242</v>
      </c>
      <c r="Q37" s="0" t="s">
        <v>72</v>
      </c>
      <c r="R37" s="0" t="str">
        <f aca="false">PROPER(Q37)</f>
        <v>Pos</v>
      </c>
      <c r="S37" s="0" t="s">
        <v>63</v>
      </c>
      <c r="T37" s="0" t="n">
        <v>1</v>
      </c>
      <c r="U37" s="5" t="n">
        <f aca="false">IF(ISBLANK(T37),AVERAGE(T37:T1036),T37)</f>
        <v>1</v>
      </c>
      <c r="V37" s="0" t="n">
        <v>1.8</v>
      </c>
      <c r="W37" s="0" t="s">
        <v>111</v>
      </c>
      <c r="X37" s="0" t="str">
        <f aca="false">IF(ISBLANK(W37),"No remarks",W37)</f>
        <v>Changed all filters</v>
      </c>
      <c r="Y37" s="0" t="s">
        <v>93</v>
      </c>
      <c r="Z37" s="0" t="s">
        <v>74</v>
      </c>
      <c r="AA37" s="0" t="str">
        <f aca="false">PROPER(IF(ISBLANK(Z37),"Location Unavailable",Z37))</f>
        <v>Under Tree</v>
      </c>
      <c r="AB37" s="0" t="s">
        <v>126</v>
      </c>
      <c r="AC37" s="6" t="str">
        <f aca="false">PROPER(AB37)</f>
        <v>Whatsapp</v>
      </c>
      <c r="AD37" s="6" t="n">
        <v>30</v>
      </c>
      <c r="AE37" s="5" t="n">
        <f aca="false">IF(ISBLANK(AD37),AVERAGEIF(L37:L1036,L37,AD37:AD1036),AD37)</f>
        <v>30</v>
      </c>
      <c r="AF37" s="0" t="s">
        <v>160</v>
      </c>
      <c r="AG37" s="0" t="str">
        <f aca="false">PROPER(AF37)</f>
        <v>Availaible</v>
      </c>
      <c r="AH37" s="0" t="s">
        <v>56</v>
      </c>
      <c r="AI37" s="0" t="s">
        <v>128</v>
      </c>
      <c r="AJ37" s="0" t="str">
        <f aca="false">PROPER(AI37)</f>
        <v>Normal</v>
      </c>
      <c r="AK37" s="0" t="s">
        <v>196</v>
      </c>
      <c r="AL37" s="0" t="str">
        <f aca="false">PROPER(AK37)</f>
        <v>First Time</v>
      </c>
      <c r="AN37" s="0" t="str">
        <f aca="false">IF(ISBLANK(AM37),"Unknown",AM37)</f>
        <v>Unknown</v>
      </c>
      <c r="AO37" s="0" t="s">
        <v>79</v>
      </c>
      <c r="AP37" s="0" t="str">
        <f aca="false">IF(ISBLANK(AO37),"Unknown",AO37)</f>
        <v>Specialist</v>
      </c>
      <c r="AQ37" s="0" t="n">
        <v>25000</v>
      </c>
      <c r="AR37" s="5" t="n">
        <f aca="false">IF(ISBLANK(AQ37),AVERAGEIF(M37:M1036,M37,AQ37:AQ1036),AQ37)</f>
        <v>25000</v>
      </c>
      <c r="AS37" s="0" t="n">
        <v>30000</v>
      </c>
      <c r="AT37" s="5" t="n">
        <f aca="false">IF(ISBLANK(AS37),AVERAGE(AS37:AS1036),AS37)</f>
        <v>30000</v>
      </c>
      <c r="AU37" s="0" t="s">
        <v>63</v>
      </c>
      <c r="AV37" s="0" t="str">
        <f aca="false">PROPER(IF(ISBLANK(AU37),"No",AU37))</f>
        <v>Yes</v>
      </c>
      <c r="AW37" s="0" t="n">
        <v>5000</v>
      </c>
      <c r="AX37" s="5" t="n">
        <f aca="false">IF(ISBLANK(AW37),0,AW37)</f>
        <v>5000</v>
      </c>
      <c r="AY37" s="0" t="s">
        <v>60</v>
      </c>
      <c r="AZ37" s="0" t="str">
        <f aca="false">UPPER(IF(ISBLANK(AY37),"NONE",AY37))</f>
        <v>NONE</v>
      </c>
      <c r="BA37" s="7" t="s">
        <v>239</v>
      </c>
      <c r="BB37" s="7" t="str">
        <f aca="false">IF(ISBLANK(BA37),"No Follow Up Needed",BA37)</f>
        <v>23/11/2025</v>
      </c>
      <c r="BC37" s="0" t="s">
        <v>61</v>
      </c>
      <c r="BD37" s="0" t="str">
        <f aca="false">PROPER(IF(ISBLANK(BC37),"Unknown",BC37))</f>
        <v>No</v>
      </c>
      <c r="BE37" s="0" t="s">
        <v>116</v>
      </c>
      <c r="BF37" s="0" t="str">
        <f aca="false">IF(ISBLANK(BE37),"No comments",BE37)</f>
        <v>Needs tire alignment</v>
      </c>
      <c r="BH37" s="0" t="str">
        <f aca="false">IF(ISBLANK(BG37),"No comments",BG37)</f>
        <v>No comments</v>
      </c>
      <c r="BI37" s="0" t="s">
        <v>63</v>
      </c>
      <c r="BJ37" s="0" t="str">
        <f aca="false">IF(ISBLANK(BI37),"Not Mentioned",BI37)</f>
        <v>Yes</v>
      </c>
      <c r="BK37" s="0" t="s">
        <v>61</v>
      </c>
      <c r="BL37" s="0" t="str">
        <f aca="false">PROPER(IF(ISBLANK(BK37),"Not Mentioned",BK37))</f>
        <v>No</v>
      </c>
      <c r="BM37" s="0" t="s">
        <v>63</v>
      </c>
      <c r="BN37" s="0" t="str">
        <f aca="false">PROPER(IF(ISBLANK(BM37),"Not Mentioned",BM37))</f>
        <v>Yes</v>
      </c>
      <c r="BO37" s="0" t="s">
        <v>2321</v>
      </c>
      <c r="BP37" s="0" t="str">
        <f aca="false">IF(ISBLANK(BO37),"One-Time Plan",BO37)</f>
        <v>One-Time Plan</v>
      </c>
      <c r="BQ37" s="0" t="s">
        <v>198</v>
      </c>
      <c r="BR37" s="0" t="str">
        <f aca="false">PROPER(IF(ISBLANK(BQ37),"No",BQ37))</f>
        <v>Followed Up</v>
      </c>
    </row>
    <row r="38" customFormat="false" ht="15" hidden="false" customHeight="false" outlineLevel="0" collapsed="false">
      <c r="A38" s="0" t="s">
        <v>240</v>
      </c>
      <c r="B38" s="2" t="n">
        <v>45723</v>
      </c>
      <c r="C38" s="2" t="str">
        <f aca="false">TEXT(B38,"dd/mm/yyyy")</f>
        <v>07/03/2025</v>
      </c>
      <c r="D38" s="0" t="s">
        <v>121</v>
      </c>
      <c r="E38" s="0" t="n">
        <v>8078062865</v>
      </c>
      <c r="F38" s="0" t="s">
        <v>43</v>
      </c>
      <c r="G38" s="0" t="s">
        <v>2315</v>
      </c>
      <c r="H38" s="0" t="s">
        <v>241</v>
      </c>
      <c r="I38" s="0" t="s">
        <v>107</v>
      </c>
      <c r="J38" s="0" t="s">
        <v>2317</v>
      </c>
      <c r="K38" s="3" t="str">
        <f aca="false" t="array" ref="K38:K38">IFERROR(IF(J38&lt;&gt;"",J38,INDEX(J38:J1037,MATCH(1,(F38:F1037=F38)*(I38:I1037=I38)*(L38:L1037=L38)*(J38:J1037&lt;&gt;""),0))),"Not Found")</f>
        <v>Suspension Noise</v>
      </c>
      <c r="L38" s="3" t="s">
        <v>47</v>
      </c>
      <c r="M38" s="0" t="str">
        <f aca="false">PROPER(L38)</f>
        <v>None</v>
      </c>
      <c r="N38" s="3" t="s">
        <v>90</v>
      </c>
      <c r="O38" s="0" t="str">
        <f aca="false" t="array" ref="O38:O38">IF(N38&lt;&gt;"",N38,_xlfn.xlookup(1,(L38:L1037=L38)*(N38:N1037&lt;&gt;""),N38:N1037,"Not Found"))</f>
        <v>Musa</v>
      </c>
      <c r="P38" s="4" t="n">
        <v>69450</v>
      </c>
      <c r="Q38" s="0" t="s">
        <v>124</v>
      </c>
      <c r="R38" s="0" t="str">
        <f aca="false">PROPER(Q38)</f>
        <v>Cash</v>
      </c>
      <c r="S38" s="0" t="s">
        <v>50</v>
      </c>
      <c r="T38" s="0" t="n">
        <v>4</v>
      </c>
      <c r="U38" s="5" t="n">
        <f aca="false">IF(ISBLANK(T38),AVERAGE(T38:T1037),T38)</f>
        <v>4</v>
      </c>
      <c r="V38" s="0" t="n">
        <v>1.7</v>
      </c>
      <c r="W38" s="0" t="s">
        <v>125</v>
      </c>
      <c r="X38" s="0" t="str">
        <f aca="false">IF(ISBLANK(W38),"No remarks",W38)</f>
        <v>Customer waited</v>
      </c>
      <c r="Y38" s="0" t="s">
        <v>93</v>
      </c>
      <c r="Z38" s="0" t="s">
        <v>159</v>
      </c>
      <c r="AA38" s="0" t="str">
        <f aca="false">PROPER(IF(ISBLANK(Z38),"Location Unavailable",Z38))</f>
        <v>Main Bay</v>
      </c>
      <c r="AB38" s="0" t="s">
        <v>75</v>
      </c>
      <c r="AC38" s="6" t="str">
        <f aca="false">PROPER(AB38)</f>
        <v>Mechanik Referal</v>
      </c>
      <c r="AD38" s="6" t="n">
        <v>30</v>
      </c>
      <c r="AE38" s="5" t="n">
        <f aca="false">IF(ISBLANK(AD38),AVERAGEIF(L38:L1037,L38,AD38:AD1037),AD38)</f>
        <v>30</v>
      </c>
      <c r="AF38" s="0" t="s">
        <v>112</v>
      </c>
      <c r="AG38" s="0" t="str">
        <f aca="false">PROPER(AF38)</f>
        <v>Unavailable</v>
      </c>
      <c r="AH38" s="0" t="s">
        <v>56</v>
      </c>
      <c r="AI38" s="0" t="s">
        <v>98</v>
      </c>
      <c r="AJ38" s="0" t="str">
        <f aca="false">PROPER(AI38)</f>
        <v>Emergency</v>
      </c>
      <c r="AK38" s="0" t="s">
        <v>58</v>
      </c>
      <c r="AL38" s="0" t="str">
        <f aca="false">PROPER(AK38)</f>
        <v>Fleet Owner</v>
      </c>
      <c r="AM38" s="0" t="s">
        <v>59</v>
      </c>
      <c r="AN38" s="0" t="str">
        <f aca="false">IF(ISBLANK(AM38),"Unknown",AM38)</f>
        <v>Bolt Driver</v>
      </c>
      <c r="AP38" s="0" t="str">
        <f aca="false">IF(ISBLANK(AO38),"Unknown",AO38)</f>
        <v>Unknown</v>
      </c>
      <c r="AQ38" s="0" t="n">
        <v>15000</v>
      </c>
      <c r="AR38" s="5" t="n">
        <f aca="false">IF(ISBLANK(AQ38),AVERAGEIF(M38:M1037,M38,AQ38:AQ1037),AQ38)</f>
        <v>15000</v>
      </c>
      <c r="AS38" s="0" t="n">
        <v>30000</v>
      </c>
      <c r="AT38" s="5" t="n">
        <f aca="false">IF(ISBLANK(AS38),AVERAGE(AS38:AS1037),AS38)</f>
        <v>30000</v>
      </c>
      <c r="AV38" s="0" t="str">
        <f aca="false">PROPER(IF(ISBLANK(AU38),"No",AU38))</f>
        <v>No</v>
      </c>
      <c r="AW38" s="0" t="n">
        <v>10000</v>
      </c>
      <c r="AX38" s="5" t="n">
        <f aca="false">IF(ISBLANK(AW38),0,AW38)</f>
        <v>10000</v>
      </c>
      <c r="AY38" s="0" t="s">
        <v>80</v>
      </c>
      <c r="AZ38" s="0" t="str">
        <f aca="false">UPPER(IF(ISBLANK(AY38),"NONE",AY38))</f>
        <v>PROMO10</v>
      </c>
      <c r="BA38" s="7" t="n">
        <v>46014</v>
      </c>
      <c r="BB38" s="7" t="n">
        <f aca="false">IF(ISBLANK(BA38),"No Follow Up Needed",BA38)</f>
        <v>46014</v>
      </c>
      <c r="BC38" s="0" t="s">
        <v>50</v>
      </c>
      <c r="BD38" s="0" t="str">
        <f aca="false">PROPER(IF(ISBLANK(BC38),"Unknown",BC38))</f>
        <v>No</v>
      </c>
      <c r="BF38" s="0" t="str">
        <f aca="false">IF(ISBLANK(BE38),"No comments",BE38)</f>
        <v>No comments</v>
      </c>
      <c r="BH38" s="0" t="str">
        <f aca="false">IF(ISBLANK(BG38),"No comments",BG38)</f>
        <v>No comments</v>
      </c>
      <c r="BJ38" s="0" t="str">
        <f aca="false">IF(ISBLANK(BI38),"Not Mentioned",BI38)</f>
        <v>Not Mentioned</v>
      </c>
      <c r="BK38" s="0" t="s">
        <v>82</v>
      </c>
      <c r="BL38" s="0" t="str">
        <f aca="false">PROPER(IF(ISBLANK(BK38),"Not Mentioned",BK38))</f>
        <v>Yes</v>
      </c>
      <c r="BN38" s="0" t="str">
        <f aca="false">PROPER(IF(ISBLANK(BM38),"Not Mentioned",BM38))</f>
        <v>Not Mentioned</v>
      </c>
      <c r="BO38" s="0" t="s">
        <v>2321</v>
      </c>
      <c r="BP38" s="0" t="str">
        <f aca="false">IF(ISBLANK(BO38),"One-Time Plan",BO38)</f>
        <v>One-Time Plan</v>
      </c>
      <c r="BQ38" s="0" t="s">
        <v>50</v>
      </c>
      <c r="BR38" s="0" t="str">
        <f aca="false">PROPER(IF(ISBLANK(BQ38),"No",BQ38))</f>
        <v>No</v>
      </c>
    </row>
    <row r="39" customFormat="false" ht="15" hidden="false" customHeight="false" outlineLevel="0" collapsed="false">
      <c r="A39" s="0" t="s">
        <v>243</v>
      </c>
      <c r="B39" s="2" t="n">
        <v>45839</v>
      </c>
      <c r="C39" s="2" t="str">
        <f aca="false">TEXT(B39,"dd/mm/yyyy")</f>
        <v>01/07/2025</v>
      </c>
      <c r="D39" s="0" t="s">
        <v>66</v>
      </c>
      <c r="E39" s="0" t="n">
        <v>8085088096</v>
      </c>
      <c r="F39" s="0" t="s">
        <v>43</v>
      </c>
      <c r="G39" s="0" t="s">
        <v>2315</v>
      </c>
      <c r="H39" s="0" t="s">
        <v>244</v>
      </c>
      <c r="I39" s="0" t="s">
        <v>69</v>
      </c>
      <c r="K39" s="3" t="str">
        <f aca="false" t="array" ref="K39:K39">IFERROR(IF(J39&lt;&gt;"",J39,INDEX(J39:J1038,MATCH(1,(F39:F1038=F39)*(I39:I1038=I39)*(L39:L1038=L39)*(J39:J1038&lt;&gt;""),0))),"Not Found")</f>
        <v>Brake Failure</v>
      </c>
      <c r="L39" s="3" t="s">
        <v>108</v>
      </c>
      <c r="M39" s="0" t="str">
        <f aca="false">PROPER(L39)</f>
        <v>Timing Belt</v>
      </c>
      <c r="N39" s="3" t="s">
        <v>71</v>
      </c>
      <c r="O39" s="0" t="str">
        <f aca="false" t="array" ref="O39:O39">IF(N39&lt;&gt;"",N39,_xlfn.xlookup(1,(L39:L1038=L39)*(N39:N1038&lt;&gt;""),N39:N1038,"Not Found"))</f>
        <v>Isaac Bobo</v>
      </c>
      <c r="P39" s="4" t="n">
        <v>60123</v>
      </c>
      <c r="Q39" s="0" t="s">
        <v>72</v>
      </c>
      <c r="R39" s="0" t="str">
        <f aca="false">PROPER(Q39)</f>
        <v>Pos</v>
      </c>
      <c r="S39" s="0" t="s">
        <v>50</v>
      </c>
      <c r="T39" s="0" t="n">
        <v>5</v>
      </c>
      <c r="U39" s="5" t="n">
        <f aca="false">IF(ISBLANK(T39),AVERAGE(T39:T1038),T39)</f>
        <v>5</v>
      </c>
      <c r="V39" s="0" t="n">
        <v>3.3</v>
      </c>
      <c r="W39" s="0" t="s">
        <v>92</v>
      </c>
      <c r="X39" s="0" t="str">
        <f aca="false">IF(ISBLANK(W39),"No remarks",W39)</f>
        <v>Urgent service</v>
      </c>
      <c r="Y39" s="0" t="s">
        <v>73</v>
      </c>
      <c r="Z39" s="0" t="s">
        <v>94</v>
      </c>
      <c r="AA39" s="0" t="str">
        <f aca="false">PROPER(IF(ISBLANK(Z39),"Location Unavailable",Z39))</f>
        <v>Vip Section</v>
      </c>
      <c r="AB39" s="0" t="s">
        <v>147</v>
      </c>
      <c r="AC39" s="6" t="str">
        <f aca="false">PROPER(AB39)</f>
        <v>Instagram</v>
      </c>
      <c r="AD39" s="6" t="n">
        <v>45</v>
      </c>
      <c r="AE39" s="5" t="n">
        <f aca="false">IF(ISBLANK(AD39),AVERAGEIF(L39:L1038,L39,AD39:AD1038),AD39)</f>
        <v>45</v>
      </c>
      <c r="AF39" s="0" t="s">
        <v>160</v>
      </c>
      <c r="AG39" s="0" t="str">
        <f aca="false">PROPER(AF39)</f>
        <v>Availaible</v>
      </c>
      <c r="AH39" s="0" t="s">
        <v>56</v>
      </c>
      <c r="AI39" s="0" t="s">
        <v>113</v>
      </c>
      <c r="AJ39" s="0" t="str">
        <f aca="false">PROPER(AI39)</f>
        <v>Normal</v>
      </c>
      <c r="AK39" s="0" t="s">
        <v>99</v>
      </c>
      <c r="AL39" s="0" t="str">
        <f aca="false">PROPER(AK39)</f>
        <v>Uber Driver</v>
      </c>
      <c r="AN39" s="0" t="str">
        <f aca="false">IF(ISBLANK(AM39),"Unknown",AM39)</f>
        <v>Unknown</v>
      </c>
      <c r="AO39" s="0" t="s">
        <v>79</v>
      </c>
      <c r="AP39" s="0" t="str">
        <f aca="false">IF(ISBLANK(AO39),"Unknown",AO39)</f>
        <v>Specialist</v>
      </c>
      <c r="AQ39" s="0" t="n">
        <v>15000</v>
      </c>
      <c r="AR39" s="5" t="n">
        <f aca="false">IF(ISBLANK(AQ39),AVERAGEIF(M39:M1038,M39,AQ39:AQ1038),AQ39)</f>
        <v>15000</v>
      </c>
      <c r="AS39" s="0" t="n">
        <v>20000</v>
      </c>
      <c r="AT39" s="5" t="n">
        <f aca="false">IF(ISBLANK(AS39),AVERAGE(AS39:AS1038),AS39)</f>
        <v>20000</v>
      </c>
      <c r="AU39" s="0" t="s">
        <v>63</v>
      </c>
      <c r="AV39" s="0" t="str">
        <f aca="false">PROPER(IF(ISBLANK(AU39),"No",AU39))</f>
        <v>Yes</v>
      </c>
      <c r="AW39" s="0" t="n">
        <v>0</v>
      </c>
      <c r="AX39" s="5" t="n">
        <f aca="false">IF(ISBLANK(AW39),0,AW39)</f>
        <v>0</v>
      </c>
      <c r="AY39" s="0" t="s">
        <v>80</v>
      </c>
      <c r="AZ39" s="0" t="str">
        <f aca="false">UPPER(IF(ISBLANK(AY39),"NONE",AY39))</f>
        <v>PROMO10</v>
      </c>
      <c r="BA39" s="7" t="s">
        <v>245</v>
      </c>
      <c r="BB39" s="7" t="str">
        <f aca="false">IF(ISBLANK(BA39),"No Follow Up Needed",BA39)</f>
        <v>17/12/2025</v>
      </c>
      <c r="BC39" s="0" t="s">
        <v>63</v>
      </c>
      <c r="BD39" s="0" t="str">
        <f aca="false">PROPER(IF(ISBLANK(BC39),"Unknown",BC39))</f>
        <v>Yes</v>
      </c>
      <c r="BE39" s="0" t="s">
        <v>116</v>
      </c>
      <c r="BF39" s="0" t="str">
        <f aca="false">IF(ISBLANK(BE39),"No comments",BE39)</f>
        <v>Needs tire alignment</v>
      </c>
      <c r="BH39" s="0" t="str">
        <f aca="false">IF(ISBLANK(BG39),"No comments",BG39)</f>
        <v>No comments</v>
      </c>
      <c r="BI39" s="0" t="s">
        <v>50</v>
      </c>
      <c r="BJ39" s="0" t="str">
        <f aca="false">IF(ISBLANK(BI39),"Not Mentioned",BI39)</f>
        <v>No</v>
      </c>
      <c r="BK39" s="0" t="s">
        <v>61</v>
      </c>
      <c r="BL39" s="0" t="str">
        <f aca="false">PROPER(IF(ISBLANK(BK39),"Not Mentioned",BK39))</f>
        <v>No</v>
      </c>
      <c r="BM39" s="0" t="s">
        <v>50</v>
      </c>
      <c r="BN39" s="0" t="str">
        <f aca="false">PROPER(IF(ISBLANK(BM39),"Not Mentioned",BM39))</f>
        <v>No</v>
      </c>
      <c r="BO39" s="0" t="s">
        <v>2318</v>
      </c>
      <c r="BP39" s="0" t="str">
        <f aca="false">IF(ISBLANK(BO39),"One-Time Plan",BO39)</f>
        <v>Gold</v>
      </c>
      <c r="BR39" s="0" t="str">
        <f aca="false">PROPER(IF(ISBLANK(BQ39),"No",BQ39))</f>
        <v>No</v>
      </c>
    </row>
    <row r="40" customFormat="false" ht="15" hidden="false" customHeight="false" outlineLevel="0" collapsed="false">
      <c r="A40" s="0" t="s">
        <v>246</v>
      </c>
      <c r="B40" s="2" t="n">
        <v>45966</v>
      </c>
      <c r="C40" s="2" t="str">
        <f aca="false">TEXT(B40,"dd/mm/yyyy")</f>
        <v>05/11/2025</v>
      </c>
      <c r="D40" s="0" t="s">
        <v>163</v>
      </c>
      <c r="E40" s="0" t="n">
        <v>8017329266</v>
      </c>
      <c r="F40" s="0" t="s">
        <v>67</v>
      </c>
      <c r="G40" s="0" t="s">
        <v>2316</v>
      </c>
      <c r="H40" s="0" t="s">
        <v>247</v>
      </c>
      <c r="I40" s="0" t="s">
        <v>107</v>
      </c>
      <c r="J40" s="0" t="s">
        <v>87</v>
      </c>
      <c r="K40" s="3" t="str">
        <f aca="false" t="array" ref="K40:K40">IFERROR(IF(J40&lt;&gt;"",J40,INDEX(J40:J1039,MATCH(1,(F40:F1039=F40)*(I40:I1039=I40)*(L40:L1039=L40)*(J40:J1039&lt;&gt;""),0))),"Not Found")</f>
        <v>Oil Change</v>
      </c>
      <c r="L40" s="3" t="s">
        <v>142</v>
      </c>
      <c r="M40" s="0" t="str">
        <f aca="false">PROPER(L40)</f>
        <v>Oil Filter, Brake Pads</v>
      </c>
      <c r="N40" s="3" t="s">
        <v>90</v>
      </c>
      <c r="O40" s="0" t="str">
        <f aca="false" t="array" ref="O40:O40">IF(N40&lt;&gt;"",N40,_xlfn.xlookup(1,(L40:L1039=L40)*(N40:N1039&lt;&gt;""),N40:N1039,"Not Found"))</f>
        <v>Musa</v>
      </c>
      <c r="P40" s="4" t="n">
        <v>96203</v>
      </c>
      <c r="Q40" s="0" t="s">
        <v>72</v>
      </c>
      <c r="R40" s="0" t="str">
        <f aca="false">PROPER(Q40)</f>
        <v>Pos</v>
      </c>
      <c r="S40" s="0" t="s">
        <v>50</v>
      </c>
      <c r="T40" s="0" t="n">
        <v>5</v>
      </c>
      <c r="U40" s="5" t="n">
        <f aca="false">IF(ISBLANK(T40),AVERAGE(T40:T1039),T40)</f>
        <v>5</v>
      </c>
      <c r="V40" s="0" t="n">
        <v>3</v>
      </c>
      <c r="W40" s="0" t="s">
        <v>51</v>
      </c>
      <c r="X40" s="0" t="str">
        <f aca="false">IF(ISBLANK(W40),"No remarks",W40)</f>
        <v>Recommended further checks</v>
      </c>
      <c r="Y40" s="0" t="s">
        <v>73</v>
      </c>
      <c r="Z40" s="0" t="s">
        <v>159</v>
      </c>
      <c r="AA40" s="0" t="str">
        <f aca="false">PROPER(IF(ISBLANK(Z40),"Location Unavailable",Z40))</f>
        <v>Main Bay</v>
      </c>
      <c r="AB40" s="0" t="s">
        <v>95</v>
      </c>
      <c r="AC40" s="6" t="str">
        <f aca="false">PROPER(AB40)</f>
        <v>Road Sign</v>
      </c>
      <c r="AD40" s="6" t="n">
        <v>15</v>
      </c>
      <c r="AE40" s="5" t="n">
        <f aca="false">IF(ISBLANK(AD40),AVERAGEIF(L40:L1039,L40,AD40:AD1039),AD40)</f>
        <v>15</v>
      </c>
      <c r="AF40" s="0" t="s">
        <v>112</v>
      </c>
      <c r="AG40" s="0" t="str">
        <f aca="false">PROPER(AF40)</f>
        <v>Unavailable</v>
      </c>
      <c r="AH40" s="0" t="s">
        <v>155</v>
      </c>
      <c r="AI40" s="0" t="s">
        <v>128</v>
      </c>
      <c r="AJ40" s="0" t="str">
        <f aca="false">PROPER(AI40)</f>
        <v>Normal</v>
      </c>
      <c r="AK40" s="0" t="s">
        <v>196</v>
      </c>
      <c r="AL40" s="0" t="str">
        <f aca="false">PROPER(AK40)</f>
        <v>First Time</v>
      </c>
      <c r="AN40" s="0" t="str">
        <f aca="false">IF(ISBLANK(AM40),"Unknown",AM40)</f>
        <v>Unknown</v>
      </c>
      <c r="AO40" s="0" t="s">
        <v>79</v>
      </c>
      <c r="AP40" s="0" t="str">
        <f aca="false">IF(ISBLANK(AO40),"Unknown",AO40)</f>
        <v>Specialist</v>
      </c>
      <c r="AR40" s="5" t="n">
        <f aca="false">IF(ISBLANK(AQ40),AVERAGEIF(M40:M1039,M40,AQ40:AQ1039),AQ40)</f>
        <v>26347.5177304965</v>
      </c>
      <c r="AS40" s="0" t="n">
        <v>35000</v>
      </c>
      <c r="AT40" s="5" t="n">
        <f aca="false">IF(ISBLANK(AS40),AVERAGE(AS40:AS1039),AS40)</f>
        <v>35000</v>
      </c>
      <c r="AV40" s="0" t="str">
        <f aca="false">PROPER(IF(ISBLANK(AU40),"No",AU40))</f>
        <v>No</v>
      </c>
      <c r="AX40" s="5" t="n">
        <f aca="false">IF(ISBLANK(AW40),0,AW40)</f>
        <v>0</v>
      </c>
      <c r="AY40" s="0" t="s">
        <v>130</v>
      </c>
      <c r="AZ40" s="0" t="str">
        <f aca="false">UPPER(IF(ISBLANK(AY40),"NONE",AY40))</f>
        <v>LOYALTY10</v>
      </c>
      <c r="BA40" s="7" t="n">
        <v>45851</v>
      </c>
      <c r="BB40" s="7" t="n">
        <f aca="false">IF(ISBLANK(BA40),"No Follow Up Needed",BA40)</f>
        <v>45851</v>
      </c>
      <c r="BC40" s="0" t="s">
        <v>50</v>
      </c>
      <c r="BD40" s="0" t="str">
        <f aca="false">PROPER(IF(ISBLANK(BC40),"Unknown",BC40))</f>
        <v>No</v>
      </c>
      <c r="BE40" s="0" t="s">
        <v>116</v>
      </c>
      <c r="BF40" s="0" t="str">
        <f aca="false">IF(ISBLANK(BE40),"No comments",BE40)</f>
        <v>Needs tire alignment</v>
      </c>
      <c r="BG40" s="0" t="s">
        <v>2320</v>
      </c>
      <c r="BH40" s="0" t="str">
        <f aca="false">IF(ISBLANK(BG40),"No comments",BG40)</f>
        <v>No complaints</v>
      </c>
      <c r="BI40" s="0" t="s">
        <v>50</v>
      </c>
      <c r="BJ40" s="0" t="str">
        <f aca="false">IF(ISBLANK(BI40),"Not Mentioned",BI40)</f>
        <v>No</v>
      </c>
      <c r="BK40" s="0" t="s">
        <v>63</v>
      </c>
      <c r="BL40" s="0" t="str">
        <f aca="false">PROPER(IF(ISBLANK(BK40),"Not Mentioned",BK40))</f>
        <v>Yes</v>
      </c>
      <c r="BM40" s="0" t="s">
        <v>63</v>
      </c>
      <c r="BN40" s="0" t="str">
        <f aca="false">PROPER(IF(ISBLANK(BM40),"Not Mentioned",BM40))</f>
        <v>Yes</v>
      </c>
      <c r="BO40" s="0" t="s">
        <v>2321</v>
      </c>
      <c r="BP40" s="0" t="str">
        <f aca="false">IF(ISBLANK(BO40),"One-Time Plan",BO40)</f>
        <v>One-Time Plan</v>
      </c>
      <c r="BQ40" s="0" t="s">
        <v>50</v>
      </c>
      <c r="BR40" s="0" t="str">
        <f aca="false">PROPER(IF(ISBLANK(BQ40),"No",BQ40))</f>
        <v>No</v>
      </c>
    </row>
    <row r="41" customFormat="false" ht="15" hidden="false" customHeight="false" outlineLevel="0" collapsed="false">
      <c r="A41" s="0" t="s">
        <v>249</v>
      </c>
      <c r="B41" s="2" t="s">
        <v>248</v>
      </c>
      <c r="C41" s="2" t="str">
        <f aca="false">TEXT(B41,"dd/mm/yyyy")</f>
        <v>17/03/2025</v>
      </c>
      <c r="D41" s="0" t="s">
        <v>121</v>
      </c>
      <c r="E41" s="0" t="n">
        <v>8066648087</v>
      </c>
      <c r="F41" s="0" t="s">
        <v>85</v>
      </c>
      <c r="G41" s="0" t="s">
        <v>2319</v>
      </c>
      <c r="H41" s="0" t="s">
        <v>250</v>
      </c>
      <c r="I41" s="0" t="s">
        <v>69</v>
      </c>
      <c r="J41" s="0" t="s">
        <v>2322</v>
      </c>
      <c r="K41" s="3" t="str">
        <f aca="false" t="array" ref="K41:K41">IFERROR(IF(J41&lt;&gt;"",J41,INDEX(J41:J1040,MATCH(1,(F41:F1040=F41)*(I41:I1040=I41)*(L41:L1040=L41)*(J41:J1040&lt;&gt;""),0))),"Not Found")</f>
        <v>Brake Failure</v>
      </c>
      <c r="L41" s="3" t="s">
        <v>89</v>
      </c>
      <c r="M41" s="0" t="str">
        <f aca="false">PROPER(L41)</f>
        <v>Shock Absorbers</v>
      </c>
      <c r="O41" s="0" t="e">
        <f aca="false" t="array" ref="O41:O41">IF(N41&lt;&gt;"",N41,_xlfn.xlookup(1,(L41:L1040=L41)*(N41:N1040&lt;&gt;""),N41:N1040,"Not Found"))</f>
        <v>#NAME?</v>
      </c>
      <c r="P41" s="4" t="n">
        <v>82587</v>
      </c>
      <c r="Q41" s="0" t="s">
        <v>110</v>
      </c>
      <c r="R41" s="0" t="str">
        <f aca="false">PROPER(Q41)</f>
        <v>Cash</v>
      </c>
      <c r="S41" s="0" t="s">
        <v>63</v>
      </c>
      <c r="T41" s="0" t="n">
        <v>5</v>
      </c>
      <c r="U41" s="5" t="n">
        <f aca="false">IF(ISBLANK(T41),AVERAGE(T41:T1040),T41)</f>
        <v>5</v>
      </c>
      <c r="V41" s="0" t="n">
        <v>2.4</v>
      </c>
      <c r="W41" s="0" t="s">
        <v>125</v>
      </c>
      <c r="X41" s="0" t="str">
        <f aca="false">IF(ISBLANK(W41),"No remarks",W41)</f>
        <v>Customer waited</v>
      </c>
      <c r="Y41" s="0" t="s">
        <v>73</v>
      </c>
      <c r="Z41" s="0" t="s">
        <v>159</v>
      </c>
      <c r="AA41" s="0" t="str">
        <f aca="false">PROPER(IF(ISBLANK(Z41),"Location Unavailable",Z41))</f>
        <v>Main Bay</v>
      </c>
      <c r="AB41" s="0" t="s">
        <v>75</v>
      </c>
      <c r="AC41" s="6" t="str">
        <f aca="false">PROPER(AB41)</f>
        <v>Mechanik Referal</v>
      </c>
      <c r="AD41" s="6" t="n">
        <v>45</v>
      </c>
      <c r="AE41" s="5" t="n">
        <f aca="false">IF(ISBLANK(AD41),AVERAGEIF(L41:L1040,L41,AD41:AD1040),AD41)</f>
        <v>45</v>
      </c>
      <c r="AF41" s="0" t="s">
        <v>112</v>
      </c>
      <c r="AG41" s="0" t="str">
        <f aca="false">PROPER(AF41)</f>
        <v>Unavailable</v>
      </c>
      <c r="AH41" s="0" t="s">
        <v>155</v>
      </c>
      <c r="AI41" s="0" t="s">
        <v>98</v>
      </c>
      <c r="AJ41" s="0" t="str">
        <f aca="false">PROPER(AI41)</f>
        <v>Emergency</v>
      </c>
      <c r="AK41" s="0" t="s">
        <v>196</v>
      </c>
      <c r="AL41" s="0" t="str">
        <f aca="false">PROPER(AK41)</f>
        <v>First Time</v>
      </c>
      <c r="AM41" s="0" t="s">
        <v>2324</v>
      </c>
      <c r="AN41" s="0" t="str">
        <f aca="false">IF(ISBLANK(AM41),"Unknown",AM41)</f>
        <v>Logistics Convoy</v>
      </c>
      <c r="AO41" s="0" t="s">
        <v>149</v>
      </c>
      <c r="AP41" s="0" t="str">
        <f aca="false">IF(ISBLANK(AO41),"Unknown",AO41)</f>
        <v>Senior </v>
      </c>
      <c r="AQ41" s="0" t="n">
        <v>40000</v>
      </c>
      <c r="AR41" s="5" t="n">
        <f aca="false">IF(ISBLANK(AQ41),AVERAGEIF(M41:M1040,M41,AQ41:AQ1040),AQ41)</f>
        <v>40000</v>
      </c>
      <c r="AS41" s="0" t="n">
        <v>30000</v>
      </c>
      <c r="AT41" s="5" t="n">
        <f aca="false">IF(ISBLANK(AS41),AVERAGE(AS41:AS1040),AS41)</f>
        <v>30000</v>
      </c>
      <c r="AV41" s="0" t="str">
        <f aca="false">PROPER(IF(ISBLANK(AU41),"No",AU41))</f>
        <v>No</v>
      </c>
      <c r="AW41" s="0" t="n">
        <v>5000</v>
      </c>
      <c r="AX41" s="5" t="n">
        <f aca="false">IF(ISBLANK(AW41),0,AW41)</f>
        <v>5000</v>
      </c>
      <c r="AY41" s="0" t="s">
        <v>130</v>
      </c>
      <c r="AZ41" s="0" t="str">
        <f aca="false">UPPER(IF(ISBLANK(AY41),"NONE",AY41))</f>
        <v>LOYALTY10</v>
      </c>
      <c r="BB41" s="7" t="str">
        <f aca="false">IF(ISBLANK(BA41),"No Follow Up Needed",BA41)</f>
        <v>No Follow Up Needed</v>
      </c>
      <c r="BC41" s="0" t="s">
        <v>63</v>
      </c>
      <c r="BD41" s="0" t="str">
        <f aca="false">PROPER(IF(ISBLANK(BC41),"Unknown",BC41))</f>
        <v>Yes</v>
      </c>
      <c r="BE41" s="0" t="s">
        <v>116</v>
      </c>
      <c r="BF41" s="0" t="str">
        <f aca="false">IF(ISBLANK(BE41),"No comments",BE41)</f>
        <v>Needs tire alignment</v>
      </c>
      <c r="BG41" s="0" t="s">
        <v>2320</v>
      </c>
      <c r="BH41" s="0" t="str">
        <f aca="false">IF(ISBLANK(BG41),"No comments",BG41)</f>
        <v>No complaints</v>
      </c>
      <c r="BI41" s="0" t="s">
        <v>50</v>
      </c>
      <c r="BJ41" s="0" t="str">
        <f aca="false">IF(ISBLANK(BI41),"Not Mentioned",BI41)</f>
        <v>No</v>
      </c>
      <c r="BK41" s="0" t="s">
        <v>50</v>
      </c>
      <c r="BL41" s="0" t="str">
        <f aca="false">PROPER(IF(ISBLANK(BK41),"Not Mentioned",BK41))</f>
        <v>No</v>
      </c>
      <c r="BM41" s="0" t="s">
        <v>63</v>
      </c>
      <c r="BN41" s="0" t="str">
        <f aca="false">PROPER(IF(ISBLANK(BM41),"Not Mentioned",BM41))</f>
        <v>Yes</v>
      </c>
      <c r="BO41" s="0" t="s">
        <v>2318</v>
      </c>
      <c r="BP41" s="0" t="str">
        <f aca="false">IF(ISBLANK(BO41),"One-Time Plan",BO41)</f>
        <v>Gold</v>
      </c>
      <c r="BQ41" s="0" t="s">
        <v>50</v>
      </c>
      <c r="BR41" s="0" t="str">
        <f aca="false">PROPER(IF(ISBLANK(BQ41),"No",BQ41))</f>
        <v>No</v>
      </c>
    </row>
    <row r="42" customFormat="false" ht="15" hidden="false" customHeight="false" outlineLevel="0" collapsed="false">
      <c r="A42" s="0" t="s">
        <v>251</v>
      </c>
      <c r="B42" s="2" t="n">
        <v>45789</v>
      </c>
      <c r="C42" s="2" t="str">
        <f aca="false">TEXT(B42,"dd/mm/yyyy")</f>
        <v>12/05/2025</v>
      </c>
      <c r="D42" s="0" t="s">
        <v>121</v>
      </c>
      <c r="E42" s="0" t="n">
        <v>8056146216</v>
      </c>
      <c r="F42" s="0" t="s">
        <v>85</v>
      </c>
      <c r="G42" s="0" t="s">
        <v>2319</v>
      </c>
      <c r="H42" s="0" t="s">
        <v>252</v>
      </c>
      <c r="I42" s="0" t="s">
        <v>134</v>
      </c>
      <c r="J42" s="0" t="s">
        <v>2322</v>
      </c>
      <c r="K42" s="3" t="str">
        <f aca="false" t="array" ref="K42:K42">IFERROR(IF(J42&lt;&gt;"",J42,INDEX(J42:J1041,MATCH(1,(F42:F1041=F42)*(I42:I1041=I42)*(L42:L1041=L42)*(J42:J1041&lt;&gt;""),0))),"Not Found")</f>
        <v>Brake Failure</v>
      </c>
      <c r="L42" s="3" t="s">
        <v>142</v>
      </c>
      <c r="M42" s="0" t="str">
        <f aca="false">PROPER(L42)</f>
        <v>Oil Filter, Brake Pads</v>
      </c>
      <c r="N42" s="3" t="s">
        <v>90</v>
      </c>
      <c r="O42" s="0" t="str">
        <f aca="false" t="array" ref="O42:O42">IF(N42&lt;&gt;"",N42,_xlfn.xlookup(1,(L42:L1041=L42)*(N42:N1041&lt;&gt;""),N42:N1041,"Not Found"))</f>
        <v>Musa</v>
      </c>
      <c r="P42" s="4" t="n">
        <v>41600</v>
      </c>
      <c r="Q42" s="0" t="s">
        <v>124</v>
      </c>
      <c r="R42" s="0" t="str">
        <f aca="false">PROPER(Q42)</f>
        <v>Cash</v>
      </c>
      <c r="S42" s="0" t="s">
        <v>50</v>
      </c>
      <c r="T42" s="0" t="n">
        <v>2</v>
      </c>
      <c r="U42" s="5" t="n">
        <f aca="false">IF(ISBLANK(T42),AVERAGE(T42:T1041),T42)</f>
        <v>2</v>
      </c>
      <c r="V42" s="0" t="n">
        <v>4</v>
      </c>
      <c r="W42" s="0" t="s">
        <v>92</v>
      </c>
      <c r="X42" s="0" t="str">
        <f aca="false">IF(ISBLANK(W42),"No remarks",W42)</f>
        <v>Urgent service</v>
      </c>
      <c r="Y42" s="0" t="s">
        <v>52</v>
      </c>
      <c r="Z42" s="0" t="s">
        <v>74</v>
      </c>
      <c r="AA42" s="0" t="str">
        <f aca="false">PROPER(IF(ISBLANK(Z42),"Location Unavailable",Z42))</f>
        <v>Under Tree</v>
      </c>
      <c r="AB42" s="0" t="s">
        <v>54</v>
      </c>
      <c r="AC42" s="6" t="str">
        <f aca="false">PROPER(AB42)</f>
        <v>Mechanic Referral</v>
      </c>
      <c r="AD42" s="6" t="n">
        <v>45</v>
      </c>
      <c r="AE42" s="5" t="n">
        <f aca="false">IF(ISBLANK(AD42),AVERAGEIF(L42:L1041,L42,AD42:AD1041),AD42)</f>
        <v>45</v>
      </c>
      <c r="AF42" s="0" t="s">
        <v>96</v>
      </c>
      <c r="AG42" s="0" t="str">
        <f aca="false">PROPER(AF42)</f>
        <v>Ordered</v>
      </c>
      <c r="AH42" s="0" t="s">
        <v>148</v>
      </c>
      <c r="AI42" s="0" t="s">
        <v>98</v>
      </c>
      <c r="AJ42" s="0" t="str">
        <f aca="false">PROPER(AI42)</f>
        <v>Emergency</v>
      </c>
      <c r="AK42" s="0" t="s">
        <v>196</v>
      </c>
      <c r="AL42" s="0" t="str">
        <f aca="false">PROPER(AK42)</f>
        <v>First Time</v>
      </c>
      <c r="AM42" s="0" t="s">
        <v>177</v>
      </c>
      <c r="AN42" s="0" t="str">
        <f aca="false">IF(ISBLANK(AM42),"Unknown",AM42)</f>
        <v>Private</v>
      </c>
      <c r="AO42" s="0" t="s">
        <v>143</v>
      </c>
      <c r="AP42" s="0" t="str">
        <f aca="false">IF(ISBLANK(AO42),"Unknown",AO42)</f>
        <v>Senior</v>
      </c>
      <c r="AQ42" s="0" t="n">
        <v>40000</v>
      </c>
      <c r="AR42" s="5" t="n">
        <f aca="false">IF(ISBLANK(AQ42),AVERAGEIF(M42:M1041,M42,AQ42:AQ1041),AQ42)</f>
        <v>40000</v>
      </c>
      <c r="AS42" s="0" t="n">
        <v>20000</v>
      </c>
      <c r="AT42" s="5" t="n">
        <f aca="false">IF(ISBLANK(AS42),AVERAGE(AS42:AS1041),AS42)</f>
        <v>20000</v>
      </c>
      <c r="AU42" s="0" t="s">
        <v>63</v>
      </c>
      <c r="AV42" s="0" t="str">
        <f aca="false">PROPER(IF(ISBLANK(AU42),"No",AU42))</f>
        <v>Yes</v>
      </c>
      <c r="AW42" s="0" t="n">
        <v>5000</v>
      </c>
      <c r="AX42" s="5" t="n">
        <f aca="false">IF(ISBLANK(AW42),0,AW42)</f>
        <v>5000</v>
      </c>
      <c r="AY42" s="0" t="s">
        <v>130</v>
      </c>
      <c r="AZ42" s="0" t="str">
        <f aca="false">UPPER(IF(ISBLANK(AY42),"NONE",AY42))</f>
        <v>LOYALTY10</v>
      </c>
      <c r="BA42" s="7" t="n">
        <v>45699</v>
      </c>
      <c r="BB42" s="7" t="n">
        <f aca="false">IF(ISBLANK(BA42),"No Follow Up Needed",BA42)</f>
        <v>45699</v>
      </c>
      <c r="BC42" s="0" t="s">
        <v>82</v>
      </c>
      <c r="BD42" s="0" t="str">
        <f aca="false">PROPER(IF(ISBLANK(BC42),"Unknown",BC42))</f>
        <v>Yes</v>
      </c>
      <c r="BF42" s="0" t="str">
        <f aca="false">IF(ISBLANK(BE42),"No comments",BE42)</f>
        <v>No comments</v>
      </c>
      <c r="BG42" s="0" t="s">
        <v>117</v>
      </c>
      <c r="BH42" s="0" t="str">
        <f aca="false">IF(ISBLANK(BG42),"No comments",BG42)</f>
        <v>Prefers morning</v>
      </c>
      <c r="BI42" s="0" t="s">
        <v>50</v>
      </c>
      <c r="BJ42" s="0" t="str">
        <f aca="false">IF(ISBLANK(BI42),"Not Mentioned",BI42)</f>
        <v>No</v>
      </c>
      <c r="BK42" s="0" t="s">
        <v>63</v>
      </c>
      <c r="BL42" s="0" t="str">
        <f aca="false">PROPER(IF(ISBLANK(BK42),"Not Mentioned",BK42))</f>
        <v>Yes</v>
      </c>
      <c r="BM42" s="0" t="s">
        <v>63</v>
      </c>
      <c r="BN42" s="0" t="str">
        <f aca="false">PROPER(IF(ISBLANK(BM42),"Not Mentioned",BM42))</f>
        <v>Yes</v>
      </c>
      <c r="BP42" s="0" t="str">
        <f aca="false">IF(ISBLANK(BO42),"One-Time Plan",BO42)</f>
        <v>One-Time Plan</v>
      </c>
      <c r="BQ42" s="0" t="s">
        <v>63</v>
      </c>
      <c r="BR42" s="0" t="str">
        <f aca="false">PROPER(IF(ISBLANK(BQ42),"No",BQ42))</f>
        <v>Yes</v>
      </c>
    </row>
    <row r="43" customFormat="false" ht="15" hidden="false" customHeight="false" outlineLevel="0" collapsed="false">
      <c r="A43" s="0" t="s">
        <v>253</v>
      </c>
      <c r="B43" s="2" t="n">
        <v>45659</v>
      </c>
      <c r="C43" s="2" t="str">
        <f aca="false">TEXT(B43,"dd/mm/yyyy")</f>
        <v>02/01/2025</v>
      </c>
      <c r="D43" s="0" t="s">
        <v>121</v>
      </c>
      <c r="E43" s="0" t="n">
        <v>8036227100</v>
      </c>
      <c r="F43" s="0" t="s">
        <v>85</v>
      </c>
      <c r="G43" s="0" t="s">
        <v>2319</v>
      </c>
      <c r="H43" s="0" t="s">
        <v>254</v>
      </c>
      <c r="I43" s="0" t="s">
        <v>107</v>
      </c>
      <c r="J43" s="0" t="s">
        <v>2317</v>
      </c>
      <c r="K43" s="3" t="str">
        <f aca="false" t="array" ref="K43:K43">IFERROR(IF(J43&lt;&gt;"",J43,INDEX(J43:J1042,MATCH(1,(F43:F1042=F43)*(I43:I1042=I43)*(L43:L1042=L43)*(J43:J1042&lt;&gt;""),0))),"Not Found")</f>
        <v>Suspension Noise</v>
      </c>
      <c r="L43" s="3" t="s">
        <v>142</v>
      </c>
      <c r="M43" s="0" t="str">
        <f aca="false">PROPER(L43)</f>
        <v>Oil Filter, Brake Pads</v>
      </c>
      <c r="O43" s="0" t="e">
        <f aca="false" t="array" ref="O43:O43">IF(N43&lt;&gt;"",N43,_xlfn.xlookup(1,(L43:L1042=L43)*(N43:N1042&lt;&gt;""),N43:N1042,"Not Found"))</f>
        <v>#NAME?</v>
      </c>
      <c r="P43" s="4" t="n">
        <v>105624</v>
      </c>
      <c r="Q43" s="0" t="s">
        <v>110</v>
      </c>
      <c r="R43" s="0" t="str">
        <f aca="false">PROPER(Q43)</f>
        <v>Cash</v>
      </c>
      <c r="S43" s="0" t="s">
        <v>63</v>
      </c>
      <c r="T43" s="0" t="n">
        <v>5</v>
      </c>
      <c r="U43" s="5" t="n">
        <f aca="false">IF(ISBLANK(T43),AVERAGE(T43:T1042),T43)</f>
        <v>5</v>
      </c>
      <c r="V43" s="0" t="n">
        <v>1.3</v>
      </c>
      <c r="W43" s="0" t="s">
        <v>51</v>
      </c>
      <c r="X43" s="0" t="str">
        <f aca="false">IF(ISBLANK(W43),"No remarks",W43)</f>
        <v>Recommended further checks</v>
      </c>
      <c r="Y43" s="0" t="s">
        <v>93</v>
      </c>
      <c r="Z43" s="0" t="s">
        <v>94</v>
      </c>
      <c r="AA43" s="0" t="str">
        <f aca="false">PROPER(IF(ISBLANK(Z43),"Location Unavailable",Z43))</f>
        <v>Vip Section</v>
      </c>
      <c r="AB43" s="0" t="s">
        <v>147</v>
      </c>
      <c r="AC43" s="6" t="str">
        <f aca="false">PROPER(AB43)</f>
        <v>Instagram</v>
      </c>
      <c r="AD43" s="6" t="n">
        <v>30</v>
      </c>
      <c r="AE43" s="5" t="n">
        <f aca="false">IF(ISBLANK(AD43),AVERAGEIF(L43:L1042,L43,AD43:AD1042),AD43)</f>
        <v>30</v>
      </c>
      <c r="AF43" s="0" t="s">
        <v>96</v>
      </c>
      <c r="AG43" s="0" t="str">
        <f aca="false">PROPER(AF43)</f>
        <v>Ordered</v>
      </c>
      <c r="AH43" s="0" t="s">
        <v>56</v>
      </c>
      <c r="AI43" s="0" t="s">
        <v>113</v>
      </c>
      <c r="AJ43" s="0" t="str">
        <f aca="false">PROPER(AI43)</f>
        <v>Normal</v>
      </c>
      <c r="AK43" s="0" t="s">
        <v>196</v>
      </c>
      <c r="AL43" s="0" t="str">
        <f aca="false">PROPER(AK43)</f>
        <v>First Time</v>
      </c>
      <c r="AN43" s="0" t="str">
        <f aca="false">IF(ISBLANK(AM43),"Unknown",AM43)</f>
        <v>Unknown</v>
      </c>
      <c r="AO43" s="0" t="s">
        <v>79</v>
      </c>
      <c r="AP43" s="0" t="str">
        <f aca="false">IF(ISBLANK(AO43),"Unknown",AO43)</f>
        <v>Specialist</v>
      </c>
      <c r="AQ43" s="0" t="n">
        <v>20000</v>
      </c>
      <c r="AR43" s="5" t="n">
        <f aca="false">IF(ISBLANK(AQ43),AVERAGEIF(M43:M1042,M43,AQ43:AQ1042),AQ43)</f>
        <v>20000</v>
      </c>
      <c r="AS43" s="0" t="n">
        <v>30000</v>
      </c>
      <c r="AT43" s="5" t="n">
        <f aca="false">IF(ISBLANK(AS43),AVERAGE(AS43:AS1042),AS43)</f>
        <v>30000</v>
      </c>
      <c r="AV43" s="0" t="str">
        <f aca="false">PROPER(IF(ISBLANK(AU43),"No",AU43))</f>
        <v>No</v>
      </c>
      <c r="AX43" s="5" t="n">
        <f aca="false">IF(ISBLANK(AW43),0,AW43)</f>
        <v>0</v>
      </c>
      <c r="AY43" s="0" t="s">
        <v>184</v>
      </c>
      <c r="AZ43" s="0" t="str">
        <f aca="false">UPPER(IF(ISBLANK(AY43),"NONE",AY43))</f>
        <v>N/A</v>
      </c>
      <c r="BB43" s="7" t="str">
        <f aca="false">IF(ISBLANK(BA43),"No Follow Up Needed",BA43)</f>
        <v>No Follow Up Needed</v>
      </c>
      <c r="BC43" s="0" t="s">
        <v>63</v>
      </c>
      <c r="BD43" s="0" t="str">
        <f aca="false">PROPER(IF(ISBLANK(BC43),"Unknown",BC43))</f>
        <v>Yes</v>
      </c>
      <c r="BF43" s="0" t="str">
        <f aca="false">IF(ISBLANK(BE43),"No comments",BE43)</f>
        <v>No comments</v>
      </c>
      <c r="BH43" s="0" t="str">
        <f aca="false">IF(ISBLANK(BG43),"No comments",BG43)</f>
        <v>No comments</v>
      </c>
      <c r="BI43" s="0" t="s">
        <v>63</v>
      </c>
      <c r="BJ43" s="0" t="str">
        <f aca="false">IF(ISBLANK(BI43),"Not Mentioned",BI43)</f>
        <v>Yes</v>
      </c>
      <c r="BK43" s="0" t="s">
        <v>50</v>
      </c>
      <c r="BL43" s="0" t="str">
        <f aca="false">PROPER(IF(ISBLANK(BK43),"Not Mentioned",BK43))</f>
        <v>No</v>
      </c>
      <c r="BN43" s="0" t="str">
        <f aca="false">PROPER(IF(ISBLANK(BM43),"Not Mentioned",BM43))</f>
        <v>Not Mentioned</v>
      </c>
      <c r="BO43" s="0" t="s">
        <v>64</v>
      </c>
      <c r="BP43" s="0" t="str">
        <f aca="false">IF(ISBLANK(BO43),"One-Time Plan",BO43)</f>
        <v>Gold Maintenance Plan</v>
      </c>
      <c r="BQ43" s="0" t="s">
        <v>50</v>
      </c>
      <c r="BR43" s="0" t="str">
        <f aca="false">PROPER(IF(ISBLANK(BQ43),"No",BQ43))</f>
        <v>No</v>
      </c>
    </row>
    <row r="44" customFormat="false" ht="15" hidden="false" customHeight="false" outlineLevel="0" collapsed="false">
      <c r="A44" s="0" t="s">
        <v>255</v>
      </c>
      <c r="B44" s="2" t="n">
        <v>45674</v>
      </c>
      <c r="C44" s="2" t="str">
        <f aca="false">TEXT(B44,"dd/mm/yyyy")</f>
        <v>17/01/2025</v>
      </c>
      <c r="D44" s="0" t="s">
        <v>42</v>
      </c>
      <c r="E44" s="0" t="n">
        <v>8036893461</v>
      </c>
      <c r="F44" s="0" t="s">
        <v>67</v>
      </c>
      <c r="G44" s="0" t="s">
        <v>2316</v>
      </c>
      <c r="H44" s="0" t="s">
        <v>256</v>
      </c>
      <c r="I44" s="0" t="s">
        <v>45</v>
      </c>
      <c r="K44" s="3" t="str">
        <f aca="false" t="array" ref="K44:K44">IFERROR(IF(J44&lt;&gt;"",J44,INDEX(J44:J1043,MATCH(1,(F44:F1043=F44)*(I44:I1043=I44)*(L44:L1043=L44)*(J44:J1043&lt;&gt;""),0))),"Not Found")</f>
        <v>Oil Change</v>
      </c>
      <c r="L44" s="3" t="s">
        <v>154</v>
      </c>
      <c r="M44" s="0" t="str">
        <f aca="false">PROPER(L44)</f>
        <v>Air Filter</v>
      </c>
      <c r="O44" s="0" t="e">
        <f aca="false" t="array" ref="O44:O44">IF(N44&lt;&gt;"",N44,_xlfn.xlookup(1,(L44:L1043=L44)*(N44:N1043&lt;&gt;""),N44:N1043,"Not Found"))</f>
        <v>#NAME?</v>
      </c>
      <c r="P44" s="4" t="n">
        <v>23402</v>
      </c>
      <c r="Q44" s="0" t="s">
        <v>72</v>
      </c>
      <c r="R44" s="0" t="str">
        <f aca="false">PROPER(Q44)</f>
        <v>Pos</v>
      </c>
      <c r="S44" s="0" t="s">
        <v>50</v>
      </c>
      <c r="T44" s="0" t="n">
        <v>2</v>
      </c>
      <c r="U44" s="5" t="n">
        <f aca="false">IF(ISBLANK(T44),AVERAGE(T44:T1043),T44)</f>
        <v>2</v>
      </c>
      <c r="V44" s="0" t="n">
        <v>5.2</v>
      </c>
      <c r="W44" s="0" t="s">
        <v>125</v>
      </c>
      <c r="X44" s="0" t="str">
        <f aca="false">IF(ISBLANK(W44),"No remarks",W44)</f>
        <v>Customer waited</v>
      </c>
      <c r="Y44" s="0" t="s">
        <v>93</v>
      </c>
      <c r="Z44" s="0" t="s">
        <v>159</v>
      </c>
      <c r="AA44" s="0" t="str">
        <f aca="false">PROPER(IF(ISBLANK(Z44),"Location Unavailable",Z44))</f>
        <v>Main Bay</v>
      </c>
      <c r="AB44" s="0" t="s">
        <v>147</v>
      </c>
      <c r="AC44" s="6" t="str">
        <f aca="false">PROPER(AB44)</f>
        <v>Instagram</v>
      </c>
      <c r="AD44" s="6" t="n">
        <v>45</v>
      </c>
      <c r="AE44" s="5" t="n">
        <f aca="false">IF(ISBLANK(AD44),AVERAGEIF(L44:L1043,L44,AD44:AD1043),AD44)</f>
        <v>45</v>
      </c>
      <c r="AF44" s="0" t="s">
        <v>55</v>
      </c>
      <c r="AG44" s="0" t="str">
        <f aca="false">PROPER(AF44)</f>
        <v>Available</v>
      </c>
      <c r="AH44" s="0" t="s">
        <v>56</v>
      </c>
      <c r="AI44" s="0" t="s">
        <v>98</v>
      </c>
      <c r="AJ44" s="0" t="str">
        <f aca="false">PROPER(AI44)</f>
        <v>Emergency</v>
      </c>
      <c r="AK44" s="0" t="s">
        <v>114</v>
      </c>
      <c r="AL44" s="0" t="str">
        <f aca="false">PROPER(AK44)</f>
        <v>Returning</v>
      </c>
      <c r="AN44" s="0" t="str">
        <f aca="false">IF(ISBLANK(AM44),"Unknown",AM44)</f>
        <v>Unknown</v>
      </c>
      <c r="AO44" s="0" t="s">
        <v>143</v>
      </c>
      <c r="AP44" s="0" t="str">
        <f aca="false">IF(ISBLANK(AO44),"Unknown",AO44)</f>
        <v>Senior</v>
      </c>
      <c r="AQ44" s="0" t="n">
        <v>20000</v>
      </c>
      <c r="AR44" s="5" t="n">
        <f aca="false">IF(ISBLANK(AQ44),AVERAGEIF(M44:M1043,M44,AQ44:AQ1043),AQ44)</f>
        <v>20000</v>
      </c>
      <c r="AS44" s="0" t="n">
        <v>30000</v>
      </c>
      <c r="AT44" s="5" t="n">
        <f aca="false">IF(ISBLANK(AS44),AVERAGE(AS44:AS1043),AS44)</f>
        <v>30000</v>
      </c>
      <c r="AU44" s="0" t="s">
        <v>50</v>
      </c>
      <c r="AV44" s="0" t="str">
        <f aca="false">PROPER(IF(ISBLANK(AU44),"No",AU44))</f>
        <v>No</v>
      </c>
      <c r="AW44" s="0" t="n">
        <v>10000</v>
      </c>
      <c r="AX44" s="5" t="n">
        <f aca="false">IF(ISBLANK(AW44),0,AW44)</f>
        <v>10000</v>
      </c>
      <c r="AY44" s="0" t="s">
        <v>184</v>
      </c>
      <c r="AZ44" s="0" t="str">
        <f aca="false">UPPER(IF(ISBLANK(AY44),"NONE",AY44))</f>
        <v>N/A</v>
      </c>
      <c r="BA44" s="7" t="n">
        <v>45756</v>
      </c>
      <c r="BB44" s="7" t="n">
        <f aca="false">IF(ISBLANK(BA44),"No Follow Up Needed",BA44)</f>
        <v>45756</v>
      </c>
      <c r="BD44" s="0" t="str">
        <f aca="false">PROPER(IF(ISBLANK(BC44),"Unknown",BC44))</f>
        <v>Unknown</v>
      </c>
      <c r="BE44" s="0" t="s">
        <v>171</v>
      </c>
      <c r="BF44" s="0" t="str">
        <f aca="false">IF(ISBLANK(BE44),"No comments",BE44)</f>
        <v>Shock absorber weakening</v>
      </c>
      <c r="BG44" s="0" t="s">
        <v>172</v>
      </c>
      <c r="BH44" s="0" t="str">
        <f aca="false">IF(ISBLANK(BG44),"No comments",BG44)</f>
        <v>Always late</v>
      </c>
      <c r="BI44" s="0" t="s">
        <v>63</v>
      </c>
      <c r="BJ44" s="0" t="str">
        <f aca="false">IF(ISBLANK(BI44),"Not Mentioned",BI44)</f>
        <v>Yes</v>
      </c>
      <c r="BK44" s="0" t="s">
        <v>61</v>
      </c>
      <c r="BL44" s="0" t="str">
        <f aca="false">PROPER(IF(ISBLANK(BK44),"Not Mentioned",BK44))</f>
        <v>No</v>
      </c>
      <c r="BM44" s="0" t="s">
        <v>63</v>
      </c>
      <c r="BN44" s="0" t="str">
        <f aca="false">PROPER(IF(ISBLANK(BM44),"Not Mentioned",BM44))</f>
        <v>Yes</v>
      </c>
      <c r="BO44" s="0" t="s">
        <v>2318</v>
      </c>
      <c r="BP44" s="0" t="str">
        <f aca="false">IF(ISBLANK(BO44),"One-Time Plan",BO44)</f>
        <v>Gold</v>
      </c>
      <c r="BQ44" s="0" t="s">
        <v>190</v>
      </c>
      <c r="BR44" s="0" t="str">
        <f aca="false">PROPER(IF(ISBLANK(BQ44),"No",BQ44))</f>
        <v>Yes</v>
      </c>
    </row>
    <row r="45" customFormat="false" ht="15" hidden="false" customHeight="false" outlineLevel="0" collapsed="false">
      <c r="A45" s="0" t="s">
        <v>257</v>
      </c>
      <c r="B45" s="2" t="n">
        <v>45710</v>
      </c>
      <c r="C45" s="2" t="str">
        <f aca="false">TEXT(B45,"dd/mm/yyyy")</f>
        <v>22/02/2025</v>
      </c>
      <c r="D45" s="0" t="s">
        <v>105</v>
      </c>
      <c r="E45" s="0" t="n">
        <v>8095973808</v>
      </c>
      <c r="F45" s="0" t="s">
        <v>122</v>
      </c>
      <c r="G45" s="0" t="s">
        <v>2316</v>
      </c>
      <c r="H45" s="0" t="s">
        <v>258</v>
      </c>
      <c r="I45" s="0" t="s">
        <v>69</v>
      </c>
      <c r="J45" s="0" t="s">
        <v>87</v>
      </c>
      <c r="K45" s="3" t="str">
        <f aca="false" t="array" ref="K45:K45">IFERROR(IF(J45&lt;&gt;"",J45,INDEX(J45:J1044,MATCH(1,(F45:F1044=F45)*(I45:I1044=I45)*(L45:L1044=L45)*(J45:J1044&lt;&gt;""),0))),"Not Found")</f>
        <v>Oil Change</v>
      </c>
      <c r="L45" s="3" t="s">
        <v>154</v>
      </c>
      <c r="M45" s="0" t="str">
        <f aca="false">PROPER(L45)</f>
        <v>Air Filter</v>
      </c>
      <c r="N45" s="3" t="s">
        <v>71</v>
      </c>
      <c r="O45" s="0" t="str">
        <f aca="false" t="array" ref="O45:O45">IF(N45&lt;&gt;"",N45,_xlfn.xlookup(1,(L45:L1044=L45)*(N45:N1044&lt;&gt;""),N45:N1044,"Not Found"))</f>
        <v>Isaac Bobo</v>
      </c>
      <c r="P45" s="4" t="n">
        <v>61445</v>
      </c>
      <c r="Q45" s="0" t="s">
        <v>110</v>
      </c>
      <c r="R45" s="0" t="str">
        <f aca="false">PROPER(Q45)</f>
        <v>Cash</v>
      </c>
      <c r="S45" s="0" t="s">
        <v>63</v>
      </c>
      <c r="U45" s="5" t="n">
        <f aca="false">IF(ISBLANK(T45),AVERAGE(T45:T1044),T45)</f>
        <v>2.99749058971142</v>
      </c>
      <c r="V45" s="0" t="n">
        <v>1.9</v>
      </c>
      <c r="W45" s="0" t="s">
        <v>51</v>
      </c>
      <c r="X45" s="0" t="str">
        <f aca="false">IF(ISBLANK(W45),"No remarks",W45)</f>
        <v>Recommended further checks</v>
      </c>
      <c r="Y45" s="0" t="s">
        <v>52</v>
      </c>
      <c r="Z45" s="0" t="s">
        <v>94</v>
      </c>
      <c r="AA45" s="0" t="str">
        <f aca="false">PROPER(IF(ISBLANK(Z45),"Location Unavailable",Z45))</f>
        <v>Vip Section</v>
      </c>
      <c r="AB45" s="0" t="s">
        <v>54</v>
      </c>
      <c r="AC45" s="6" t="str">
        <f aca="false">PROPER(AB45)</f>
        <v>Mechanic Referral</v>
      </c>
      <c r="AD45" s="6" t="n">
        <v>45</v>
      </c>
      <c r="AE45" s="5" t="n">
        <f aca="false">IF(ISBLANK(AD45),AVERAGEIF(L45:L1044,L45,AD45:AD1044),AD45)</f>
        <v>45</v>
      </c>
      <c r="AF45" s="0" t="s">
        <v>112</v>
      </c>
      <c r="AG45" s="0" t="str">
        <f aca="false">PROPER(AF45)</f>
        <v>Unavailable</v>
      </c>
      <c r="AH45" s="0" t="s">
        <v>77</v>
      </c>
      <c r="AI45" s="0" t="s">
        <v>113</v>
      </c>
      <c r="AJ45" s="0" t="str">
        <f aca="false">PROPER(AI45)</f>
        <v>Normal</v>
      </c>
      <c r="AK45" s="0" t="s">
        <v>196</v>
      </c>
      <c r="AL45" s="0" t="str">
        <f aca="false">PROPER(AK45)</f>
        <v>First Time</v>
      </c>
      <c r="AM45" s="0" t="s">
        <v>2324</v>
      </c>
      <c r="AN45" s="0" t="str">
        <f aca="false">IF(ISBLANK(AM45),"Unknown",AM45)</f>
        <v>Logistics Convoy</v>
      </c>
      <c r="AO45" s="0" t="s">
        <v>161</v>
      </c>
      <c r="AP45" s="0" t="str">
        <f aca="false">IF(ISBLANK(AO45),"Unknown",AO45)</f>
        <v>Apprentice</v>
      </c>
      <c r="AQ45" s="0" t="n">
        <v>25000</v>
      </c>
      <c r="AR45" s="5" t="n">
        <f aca="false">IF(ISBLANK(AQ45),AVERAGEIF(M45:M1044,M45,AQ45:AQ1044),AQ45)</f>
        <v>25000</v>
      </c>
      <c r="AS45" s="0" t="n">
        <v>40000</v>
      </c>
      <c r="AT45" s="5" t="n">
        <f aca="false">IF(ISBLANK(AS45),AVERAGE(AS45:AS1044),AS45)</f>
        <v>40000</v>
      </c>
      <c r="AU45" s="0" t="s">
        <v>63</v>
      </c>
      <c r="AV45" s="0" t="str">
        <f aca="false">PROPER(IF(ISBLANK(AU45),"No",AU45))</f>
        <v>Yes</v>
      </c>
      <c r="AW45" s="0" t="n">
        <v>5000</v>
      </c>
      <c r="AX45" s="5" t="n">
        <f aca="false">IF(ISBLANK(AW45),0,AW45)</f>
        <v>5000</v>
      </c>
      <c r="AZ45" s="0" t="str">
        <f aca="false">UPPER(IF(ISBLANK(AY45),"NONE",AY45))</f>
        <v>NONE</v>
      </c>
      <c r="BA45" s="7" t="n">
        <v>45842</v>
      </c>
      <c r="BB45" s="7" t="n">
        <f aca="false">IF(ISBLANK(BA45),"No Follow Up Needed",BA45)</f>
        <v>45842</v>
      </c>
      <c r="BC45" s="0" t="s">
        <v>63</v>
      </c>
      <c r="BD45" s="0" t="str">
        <f aca="false">PROPER(IF(ISBLANK(BC45),"Unknown",BC45))</f>
        <v>Yes</v>
      </c>
      <c r="BF45" s="0" t="str">
        <f aca="false">IF(ISBLANK(BE45),"No comments",BE45)</f>
        <v>No comments</v>
      </c>
      <c r="BG45" s="0" t="s">
        <v>172</v>
      </c>
      <c r="BH45" s="0" t="str">
        <f aca="false">IF(ISBLANK(BG45),"No comments",BG45)</f>
        <v>Always late</v>
      </c>
      <c r="BI45" s="0" t="s">
        <v>50</v>
      </c>
      <c r="BJ45" s="0" t="str">
        <f aca="false">IF(ISBLANK(BI45),"Not Mentioned",BI45)</f>
        <v>No</v>
      </c>
      <c r="BL45" s="0" t="str">
        <f aca="false">PROPER(IF(ISBLANK(BK45),"Not Mentioned",BK45))</f>
        <v>Not Mentioned</v>
      </c>
      <c r="BM45" s="0" t="s">
        <v>63</v>
      </c>
      <c r="BN45" s="0" t="str">
        <f aca="false">PROPER(IF(ISBLANK(BM45),"Not Mentioned",BM45))</f>
        <v>Yes</v>
      </c>
      <c r="BO45" s="0" t="s">
        <v>2321</v>
      </c>
      <c r="BP45" s="0" t="str">
        <f aca="false">IF(ISBLANK(BO45),"One-Time Plan",BO45)</f>
        <v>One-Time Plan</v>
      </c>
      <c r="BQ45" s="0" t="s">
        <v>50</v>
      </c>
      <c r="BR45" s="0" t="str">
        <f aca="false">PROPER(IF(ISBLANK(BQ45),"No",BQ45))</f>
        <v>No</v>
      </c>
    </row>
    <row r="46" customFormat="false" ht="15" hidden="false" customHeight="false" outlineLevel="0" collapsed="false">
      <c r="A46" s="0" t="s">
        <v>259</v>
      </c>
      <c r="B46" s="2" t="n">
        <v>45676</v>
      </c>
      <c r="C46" s="2" t="str">
        <f aca="false">TEXT(B46,"dd/mm/yyyy")</f>
        <v>19/01/2025</v>
      </c>
      <c r="D46" s="0" t="s">
        <v>42</v>
      </c>
      <c r="E46" s="0" t="n">
        <v>8037012825</v>
      </c>
      <c r="F46" s="0" t="s">
        <v>139</v>
      </c>
      <c r="G46" s="0" t="s">
        <v>2323</v>
      </c>
      <c r="H46" s="0" t="s">
        <v>260</v>
      </c>
      <c r="I46" s="0" t="s">
        <v>69</v>
      </c>
      <c r="J46" s="0" t="s">
        <v>2322</v>
      </c>
      <c r="K46" s="3" t="str">
        <f aca="false" t="array" ref="K46:K46">IFERROR(IF(J46&lt;&gt;"",J46,INDEX(J46:J1045,MATCH(1,(F46:F1045=F46)*(I46:I1045=I46)*(L46:L1045=L46)*(J46:J1045&lt;&gt;""),0))),"Not Found")</f>
        <v>Brake Failure</v>
      </c>
      <c r="L46" s="3" t="s">
        <v>47</v>
      </c>
      <c r="M46" s="0" t="str">
        <f aca="false">PROPER(L46)</f>
        <v>None</v>
      </c>
      <c r="N46" s="3" t="s">
        <v>71</v>
      </c>
      <c r="O46" s="0" t="str">
        <f aca="false" t="array" ref="O46:O46">IF(N46&lt;&gt;"",N46,_xlfn.xlookup(1,(L46:L1045=L46)*(N46:N1045&lt;&gt;""),N46:N1045,"Not Found"))</f>
        <v>Isaac Bobo</v>
      </c>
      <c r="P46" s="4" t="n">
        <v>16959</v>
      </c>
      <c r="Q46" s="0" t="s">
        <v>110</v>
      </c>
      <c r="R46" s="0" t="str">
        <f aca="false">PROPER(Q46)</f>
        <v>Cash</v>
      </c>
      <c r="S46" s="0" t="s">
        <v>50</v>
      </c>
      <c r="T46" s="0" t="n">
        <v>3</v>
      </c>
      <c r="U46" s="5" t="n">
        <f aca="false">IF(ISBLANK(T46),AVERAGE(T46:T1045),T46)</f>
        <v>3</v>
      </c>
      <c r="V46" s="0" t="n">
        <v>3.7</v>
      </c>
      <c r="W46" s="0" t="s">
        <v>125</v>
      </c>
      <c r="X46" s="0" t="str">
        <f aca="false">IF(ISBLANK(W46),"No remarks",W46)</f>
        <v>Customer waited</v>
      </c>
      <c r="Y46" s="0" t="s">
        <v>73</v>
      </c>
      <c r="Z46" s="0" t="s">
        <v>136</v>
      </c>
      <c r="AA46" s="0" t="str">
        <f aca="false">PROPER(IF(ISBLANK(Z46),"Location Unavailable",Z46))</f>
        <v>Vip Section</v>
      </c>
      <c r="AB46" s="0" t="s">
        <v>95</v>
      </c>
      <c r="AC46" s="6" t="str">
        <f aca="false">PROPER(AB46)</f>
        <v>Road Sign</v>
      </c>
      <c r="AD46" s="6" t="n">
        <v>30</v>
      </c>
      <c r="AE46" s="5" t="n">
        <f aca="false">IF(ISBLANK(AD46),AVERAGEIF(L46:L1045,L46,AD46:AD1045),AD46)</f>
        <v>30</v>
      </c>
      <c r="AF46" s="0" t="s">
        <v>160</v>
      </c>
      <c r="AG46" s="0" t="str">
        <f aca="false">PROPER(AF46)</f>
        <v>Availaible</v>
      </c>
      <c r="AH46" s="0" t="s">
        <v>148</v>
      </c>
      <c r="AI46" s="0" t="s">
        <v>78</v>
      </c>
      <c r="AJ46" s="0" t="str">
        <f aca="false">PROPER(AI46)</f>
        <v>Booking</v>
      </c>
      <c r="AK46" s="0" t="s">
        <v>196</v>
      </c>
      <c r="AL46" s="0" t="str">
        <f aca="false">PROPER(AK46)</f>
        <v>First Time</v>
      </c>
      <c r="AM46" s="0" t="s">
        <v>177</v>
      </c>
      <c r="AN46" s="0" t="str">
        <f aca="false">IF(ISBLANK(AM46),"Unknown",AM46)</f>
        <v>Private</v>
      </c>
      <c r="AO46" s="0" t="s">
        <v>79</v>
      </c>
      <c r="AP46" s="0" t="str">
        <f aca="false">IF(ISBLANK(AO46),"Unknown",AO46)</f>
        <v>Specialist</v>
      </c>
      <c r="AQ46" s="0" t="n">
        <v>15000</v>
      </c>
      <c r="AR46" s="5" t="n">
        <f aca="false">IF(ISBLANK(AQ46),AVERAGEIF(M46:M1045,M46,AQ46:AQ1045),AQ46)</f>
        <v>15000</v>
      </c>
      <c r="AS46" s="0" t="n">
        <v>20000</v>
      </c>
      <c r="AT46" s="5" t="n">
        <f aca="false">IF(ISBLANK(AS46),AVERAGE(AS46:AS1045),AS46)</f>
        <v>20000</v>
      </c>
      <c r="AU46" s="0" t="s">
        <v>50</v>
      </c>
      <c r="AV46" s="0" t="str">
        <f aca="false">PROPER(IF(ISBLANK(AU46),"No",AU46))</f>
        <v>No</v>
      </c>
      <c r="AW46" s="0" t="n">
        <v>5000</v>
      </c>
      <c r="AX46" s="5" t="n">
        <f aca="false">IF(ISBLANK(AW46),0,AW46)</f>
        <v>5000</v>
      </c>
      <c r="AY46" s="0" t="s">
        <v>130</v>
      </c>
      <c r="AZ46" s="0" t="str">
        <f aca="false">UPPER(IF(ISBLANK(AY46),"NONE",AY46))</f>
        <v>LOYALTY10</v>
      </c>
      <c r="BB46" s="7" t="str">
        <f aca="false">IF(ISBLANK(BA46),"No Follow Up Needed",BA46)</f>
        <v>No Follow Up Needed</v>
      </c>
      <c r="BC46" s="0" t="s">
        <v>82</v>
      </c>
      <c r="BD46" s="0" t="str">
        <f aca="false">PROPER(IF(ISBLANK(BC46),"Unknown",BC46))</f>
        <v>Yes</v>
      </c>
      <c r="BF46" s="0" t="str">
        <f aca="false">IF(ISBLANK(BE46),"No comments",BE46)</f>
        <v>No comments</v>
      </c>
      <c r="BG46" s="0" t="s">
        <v>117</v>
      </c>
      <c r="BH46" s="0" t="str">
        <f aca="false">IF(ISBLANK(BG46),"No comments",BG46)</f>
        <v>Prefers morning</v>
      </c>
      <c r="BI46" s="0" t="s">
        <v>63</v>
      </c>
      <c r="BJ46" s="0" t="str">
        <f aca="false">IF(ISBLANK(BI46),"Not Mentioned",BI46)</f>
        <v>Yes</v>
      </c>
      <c r="BL46" s="0" t="str">
        <f aca="false">PROPER(IF(ISBLANK(BK46),"Not Mentioned",BK46))</f>
        <v>Not Mentioned</v>
      </c>
      <c r="BN46" s="0" t="str">
        <f aca="false">PROPER(IF(ISBLANK(BM46),"Not Mentioned",BM46))</f>
        <v>Not Mentioned</v>
      </c>
      <c r="BO46" s="0" t="s">
        <v>2321</v>
      </c>
      <c r="BP46" s="0" t="str">
        <f aca="false">IF(ISBLANK(BO46),"One-Time Plan",BO46)</f>
        <v>One-Time Plan</v>
      </c>
      <c r="BQ46" s="0" t="s">
        <v>50</v>
      </c>
      <c r="BR46" s="0" t="str">
        <f aca="false">PROPER(IF(ISBLANK(BQ46),"No",BQ46))</f>
        <v>No</v>
      </c>
    </row>
    <row r="47" customFormat="false" ht="15" hidden="false" customHeight="false" outlineLevel="0" collapsed="false">
      <c r="A47" s="0" t="s">
        <v>261</v>
      </c>
      <c r="B47" s="2" t="n">
        <v>45775</v>
      </c>
      <c r="C47" s="2" t="str">
        <f aca="false">TEXT(B47,"dd/mm/yyyy")</f>
        <v>28/04/2025</v>
      </c>
      <c r="D47" s="0" t="s">
        <v>66</v>
      </c>
      <c r="E47" s="0" t="n">
        <v>8019180999</v>
      </c>
      <c r="F47" s="0" t="s">
        <v>122</v>
      </c>
      <c r="G47" s="0" t="s">
        <v>2316</v>
      </c>
      <c r="H47" s="0" t="s">
        <v>262</v>
      </c>
      <c r="I47" s="0" t="s">
        <v>107</v>
      </c>
      <c r="J47" s="0" t="s">
        <v>2322</v>
      </c>
      <c r="K47" s="3" t="str">
        <f aca="false" t="array" ref="K47:K47">IFERROR(IF(J47&lt;&gt;"",J47,INDEX(J47:J1046,MATCH(1,(F47:F1046=F47)*(I47:I1046=I47)*(L47:L1046=L47)*(J47:J1046&lt;&gt;""),0))),"Not Found")</f>
        <v>Brake Failure</v>
      </c>
      <c r="L47" s="3" t="s">
        <v>154</v>
      </c>
      <c r="M47" s="0" t="str">
        <f aca="false">PROPER(L47)</f>
        <v>Air Filter</v>
      </c>
      <c r="N47" s="3" t="s">
        <v>109</v>
      </c>
      <c r="O47" s="0" t="str">
        <f aca="false" t="array" ref="O47:O47">IF(N47&lt;&gt;"",N47,_xlfn.xlookup(1,(L47:L1046=L47)*(N47:N1046&lt;&gt;""),N47:N1046,"Not Found"))</f>
        <v>Tijani</v>
      </c>
      <c r="P47" s="4" t="n">
        <v>82007</v>
      </c>
      <c r="Q47" s="0" t="s">
        <v>91</v>
      </c>
      <c r="R47" s="0" t="str">
        <f aca="false">PROPER(Q47)</f>
        <v>Pos</v>
      </c>
      <c r="S47" s="0" t="s">
        <v>50</v>
      </c>
      <c r="T47" s="0" t="n">
        <v>3</v>
      </c>
      <c r="U47" s="5" t="n">
        <f aca="false">IF(ISBLANK(T47),AVERAGE(T47:T1046),T47)</f>
        <v>3</v>
      </c>
      <c r="V47" s="0" t="n">
        <v>2.3</v>
      </c>
      <c r="X47" s="0" t="str">
        <f aca="false">IF(ISBLANK(W47),"No remarks",W47)</f>
        <v>No remarks</v>
      </c>
      <c r="Y47" s="0" t="s">
        <v>73</v>
      </c>
      <c r="Z47" s="0" t="s">
        <v>159</v>
      </c>
      <c r="AA47" s="0" t="str">
        <f aca="false">PROPER(IF(ISBLANK(Z47),"Location Unavailable",Z47))</f>
        <v>Main Bay</v>
      </c>
      <c r="AB47" s="0" t="s">
        <v>95</v>
      </c>
      <c r="AC47" s="6" t="str">
        <f aca="false">PROPER(AB47)</f>
        <v>Road Sign</v>
      </c>
      <c r="AD47" s="6" t="n">
        <v>15</v>
      </c>
      <c r="AE47" s="5" t="n">
        <f aca="false">IF(ISBLANK(AD47),AVERAGEIF(L47:L1046,L47,AD47:AD1046),AD47)</f>
        <v>15</v>
      </c>
      <c r="AF47" s="0" t="s">
        <v>96</v>
      </c>
      <c r="AG47" s="0" t="str">
        <f aca="false">PROPER(AF47)</f>
        <v>Ordered</v>
      </c>
      <c r="AH47" s="0" t="s">
        <v>56</v>
      </c>
      <c r="AI47" s="0" t="s">
        <v>113</v>
      </c>
      <c r="AJ47" s="0" t="str">
        <f aca="false">PROPER(AI47)</f>
        <v>Normal</v>
      </c>
      <c r="AK47" s="0" t="s">
        <v>114</v>
      </c>
      <c r="AL47" s="0" t="str">
        <f aca="false">PROPER(AK47)</f>
        <v>Returning</v>
      </c>
      <c r="AN47" s="0" t="str">
        <f aca="false">IF(ISBLANK(AM47),"Unknown",AM47)</f>
        <v>Unknown</v>
      </c>
      <c r="AO47" s="0" t="s">
        <v>161</v>
      </c>
      <c r="AP47" s="0" t="str">
        <f aca="false">IF(ISBLANK(AO47),"Unknown",AO47)</f>
        <v>Apprentice</v>
      </c>
      <c r="AQ47" s="0" t="n">
        <v>25000</v>
      </c>
      <c r="AR47" s="5" t="n">
        <f aca="false">IF(ISBLANK(AQ47),AVERAGEIF(M47:M1046,M47,AQ47:AQ1046),AQ47)</f>
        <v>25000</v>
      </c>
      <c r="AS47" s="0" t="n">
        <v>40000</v>
      </c>
      <c r="AT47" s="5" t="n">
        <f aca="false">IF(ISBLANK(AS47),AVERAGE(AS47:AS1046),AS47)</f>
        <v>40000</v>
      </c>
      <c r="AU47" s="0" t="s">
        <v>50</v>
      </c>
      <c r="AV47" s="0" t="str">
        <f aca="false">PROPER(IF(ISBLANK(AU47),"No",AU47))</f>
        <v>No</v>
      </c>
      <c r="AW47" s="0" t="n">
        <v>0</v>
      </c>
      <c r="AX47" s="5" t="n">
        <f aca="false">IF(ISBLANK(AW47),0,AW47)</f>
        <v>0</v>
      </c>
      <c r="AY47" s="0" t="s">
        <v>80</v>
      </c>
      <c r="AZ47" s="0" t="str">
        <f aca="false">UPPER(IF(ISBLANK(AY47),"NONE",AY47))</f>
        <v>PROMO10</v>
      </c>
      <c r="BA47" s="7" t="n">
        <v>45876</v>
      </c>
      <c r="BB47" s="7" t="n">
        <f aca="false">IF(ISBLANK(BA47),"No Follow Up Needed",BA47)</f>
        <v>45876</v>
      </c>
      <c r="BC47" s="0" t="s">
        <v>82</v>
      </c>
      <c r="BD47" s="0" t="str">
        <f aca="false">PROPER(IF(ISBLANK(BC47),"Unknown",BC47))</f>
        <v>Yes</v>
      </c>
      <c r="BF47" s="0" t="str">
        <f aca="false">IF(ISBLANK(BE47),"No comments",BE47)</f>
        <v>No comments</v>
      </c>
      <c r="BG47" s="0" t="s">
        <v>172</v>
      </c>
      <c r="BH47" s="0" t="str">
        <f aca="false">IF(ISBLANK(BG47),"No comments",BG47)</f>
        <v>Always late</v>
      </c>
      <c r="BJ47" s="0" t="str">
        <f aca="false">IF(ISBLANK(BI47),"Not Mentioned",BI47)</f>
        <v>Not Mentioned</v>
      </c>
      <c r="BK47" s="0" t="s">
        <v>82</v>
      </c>
      <c r="BL47" s="0" t="str">
        <f aca="false">PROPER(IF(ISBLANK(BK47),"Not Mentioned",BK47))</f>
        <v>Yes</v>
      </c>
      <c r="BN47" s="0" t="str">
        <f aca="false">PROPER(IF(ISBLANK(BM47),"Not Mentioned",BM47))</f>
        <v>Not Mentioned</v>
      </c>
      <c r="BO47" s="0" t="s">
        <v>2321</v>
      </c>
      <c r="BP47" s="0" t="str">
        <f aca="false">IF(ISBLANK(BO47),"One-Time Plan",BO47)</f>
        <v>One-Time Plan</v>
      </c>
      <c r="BQ47" s="0" t="s">
        <v>198</v>
      </c>
      <c r="BR47" s="0" t="str">
        <f aca="false">PROPER(IF(ISBLANK(BQ47),"No",BQ47))</f>
        <v>Followed Up</v>
      </c>
    </row>
    <row r="48" customFormat="false" ht="15" hidden="false" customHeight="false" outlineLevel="0" collapsed="false">
      <c r="A48" s="0" t="s">
        <v>263</v>
      </c>
      <c r="B48" s="2" t="n">
        <v>45742</v>
      </c>
      <c r="C48" s="2" t="str">
        <f aca="false">TEXT(B48,"dd/mm/yyyy")</f>
        <v>26/03/2025</v>
      </c>
      <c r="D48" s="0" t="s">
        <v>42</v>
      </c>
      <c r="E48" s="0" t="n">
        <v>8055842323</v>
      </c>
      <c r="F48" s="0" t="s">
        <v>85</v>
      </c>
      <c r="G48" s="0" t="s">
        <v>2319</v>
      </c>
      <c r="H48" s="0" t="s">
        <v>264</v>
      </c>
      <c r="I48" s="0" t="s">
        <v>69</v>
      </c>
      <c r="J48" s="0" t="s">
        <v>2322</v>
      </c>
      <c r="K48" s="3" t="str">
        <f aca="false" t="array" ref="K48:K48">IFERROR(IF(J48&lt;&gt;"",J48,INDEX(J48:J1047,MATCH(1,(F48:F1047=F48)*(I48:I1047=I48)*(L48:L1047=L48)*(J48:J1047&lt;&gt;""),0))),"Not Found")</f>
        <v>Brake Failure</v>
      </c>
      <c r="L48" s="3" t="s">
        <v>89</v>
      </c>
      <c r="M48" s="0" t="str">
        <f aca="false">PROPER(L48)</f>
        <v>Shock Absorbers</v>
      </c>
      <c r="N48" s="3" t="s">
        <v>109</v>
      </c>
      <c r="O48" s="0" t="str">
        <f aca="false" t="array" ref="O48:O48">IF(N48&lt;&gt;"",N48,_xlfn.xlookup(1,(L48:L1047=L48)*(N48:N1047&lt;&gt;""),N48:N1047,"Not Found"))</f>
        <v>Tijani</v>
      </c>
      <c r="P48" s="4" t="n">
        <v>33809</v>
      </c>
      <c r="Q48" s="0" t="s">
        <v>110</v>
      </c>
      <c r="R48" s="0" t="str">
        <f aca="false">PROPER(Q48)</f>
        <v>Cash</v>
      </c>
      <c r="S48" s="0" t="s">
        <v>50</v>
      </c>
      <c r="T48" s="0" t="n">
        <v>5</v>
      </c>
      <c r="U48" s="5" t="n">
        <f aca="false">IF(ISBLANK(T48),AVERAGE(T48:T1047),T48)</f>
        <v>5</v>
      </c>
      <c r="V48" s="0" t="n">
        <v>3.6</v>
      </c>
      <c r="W48" s="0" t="s">
        <v>92</v>
      </c>
      <c r="X48" s="0" t="str">
        <f aca="false">IF(ISBLANK(W48),"No remarks",W48)</f>
        <v>Urgent service</v>
      </c>
      <c r="Y48" s="0" t="s">
        <v>52</v>
      </c>
      <c r="Z48" s="0" t="s">
        <v>53</v>
      </c>
      <c r="AA48" s="0" t="str">
        <f aca="false">PROPER(IF(ISBLANK(Z48),"Location Unavailable",Z48))</f>
        <v>Main Bay</v>
      </c>
      <c r="AB48" s="0" t="s">
        <v>75</v>
      </c>
      <c r="AC48" s="6" t="str">
        <f aca="false">PROPER(AB48)</f>
        <v>Mechanik Referal</v>
      </c>
      <c r="AE48" s="5" t="n">
        <f aca="false">IF(ISBLANK(AD48),AVERAGEIF(L48:L1047,L48,AD48:AD1047),AD48)</f>
        <v>39.9280575539568</v>
      </c>
      <c r="AF48" s="0" t="s">
        <v>160</v>
      </c>
      <c r="AG48" s="0" t="str">
        <f aca="false">PROPER(AF48)</f>
        <v>Availaible</v>
      </c>
      <c r="AH48" s="0" t="s">
        <v>56</v>
      </c>
      <c r="AI48" s="0" t="s">
        <v>98</v>
      </c>
      <c r="AJ48" s="0" t="str">
        <f aca="false">PROPER(AI48)</f>
        <v>Emergency</v>
      </c>
      <c r="AK48" s="0" t="s">
        <v>58</v>
      </c>
      <c r="AL48" s="0" t="str">
        <f aca="false">PROPER(AK48)</f>
        <v>Fleet Owner</v>
      </c>
      <c r="AM48" s="0" t="s">
        <v>59</v>
      </c>
      <c r="AN48" s="0" t="str">
        <f aca="false">IF(ISBLANK(AM48),"Unknown",AM48)</f>
        <v>Bolt Driver</v>
      </c>
      <c r="AP48" s="0" t="str">
        <f aca="false">IF(ISBLANK(AO48),"Unknown",AO48)</f>
        <v>Unknown</v>
      </c>
      <c r="AQ48" s="0" t="n">
        <v>40000</v>
      </c>
      <c r="AR48" s="5" t="n">
        <f aca="false">IF(ISBLANK(AQ48),AVERAGEIF(M48:M1047,M48,AQ48:AQ1047),AQ48)</f>
        <v>40000</v>
      </c>
      <c r="AS48" s="0" t="n">
        <v>20000</v>
      </c>
      <c r="AT48" s="5" t="n">
        <f aca="false">IF(ISBLANK(AS48),AVERAGE(AS48:AS1047),AS48)</f>
        <v>20000</v>
      </c>
      <c r="AU48" s="0" t="s">
        <v>61</v>
      </c>
      <c r="AV48" s="0" t="str">
        <f aca="false">PROPER(IF(ISBLANK(AU48),"No",AU48))</f>
        <v>No</v>
      </c>
      <c r="AX48" s="5" t="n">
        <f aca="false">IF(ISBLANK(AW48),0,AW48)</f>
        <v>0</v>
      </c>
      <c r="AY48" s="0" t="s">
        <v>80</v>
      </c>
      <c r="AZ48" s="0" t="str">
        <f aca="false">UPPER(IF(ISBLANK(AY48),"NONE",AY48))</f>
        <v>PROMO10</v>
      </c>
      <c r="BB48" s="7" t="str">
        <f aca="false">IF(ISBLANK(BA48),"No Follow Up Needed",BA48)</f>
        <v>No Follow Up Needed</v>
      </c>
      <c r="BC48" s="0" t="s">
        <v>61</v>
      </c>
      <c r="BD48" s="0" t="str">
        <f aca="false">PROPER(IF(ISBLANK(BC48),"Unknown",BC48))</f>
        <v>No</v>
      </c>
      <c r="BF48" s="0" t="str">
        <f aca="false">IF(ISBLANK(BE48),"No comments",BE48)</f>
        <v>No comments</v>
      </c>
      <c r="BG48" s="0" t="s">
        <v>117</v>
      </c>
      <c r="BH48" s="0" t="str">
        <f aca="false">IF(ISBLANK(BG48),"No comments",BG48)</f>
        <v>Prefers morning</v>
      </c>
      <c r="BI48" s="0" t="s">
        <v>50</v>
      </c>
      <c r="BJ48" s="0" t="str">
        <f aca="false">IF(ISBLANK(BI48),"Not Mentioned",BI48)</f>
        <v>No</v>
      </c>
      <c r="BK48" s="0" t="s">
        <v>63</v>
      </c>
      <c r="BL48" s="0" t="str">
        <f aca="false">PROPER(IF(ISBLANK(BK48),"Not Mentioned",BK48))</f>
        <v>Yes</v>
      </c>
      <c r="BM48" s="0" t="s">
        <v>63</v>
      </c>
      <c r="BN48" s="0" t="str">
        <f aca="false">PROPER(IF(ISBLANK(BM48),"Not Mentioned",BM48))</f>
        <v>Yes</v>
      </c>
      <c r="BO48" s="0" t="s">
        <v>64</v>
      </c>
      <c r="BP48" s="0" t="str">
        <f aca="false">IF(ISBLANK(BO48),"One-Time Plan",BO48)</f>
        <v>Gold Maintenance Plan</v>
      </c>
      <c r="BQ48" s="0" t="s">
        <v>50</v>
      </c>
      <c r="BR48" s="0" t="str">
        <f aca="false">PROPER(IF(ISBLANK(BQ48),"No",BQ48))</f>
        <v>No</v>
      </c>
    </row>
    <row r="49" customFormat="false" ht="15" hidden="false" customHeight="false" outlineLevel="0" collapsed="false">
      <c r="A49" s="0" t="s">
        <v>265</v>
      </c>
      <c r="B49" s="2" t="n">
        <v>45722</v>
      </c>
      <c r="C49" s="2" t="str">
        <f aca="false">TEXT(B49,"dd/mm/yyyy")</f>
        <v>06/03/2025</v>
      </c>
      <c r="D49" s="0" t="s">
        <v>105</v>
      </c>
      <c r="E49" s="0" t="n">
        <v>8035414874</v>
      </c>
      <c r="F49" s="0" t="s">
        <v>139</v>
      </c>
      <c r="G49" s="0" t="s">
        <v>2323</v>
      </c>
      <c r="H49" s="0" t="s">
        <v>266</v>
      </c>
      <c r="I49" s="0" t="s">
        <v>69</v>
      </c>
      <c r="J49" s="0" t="s">
        <v>2325</v>
      </c>
      <c r="K49" s="3" t="str">
        <f aca="false" t="array" ref="K49:K49">IFERROR(IF(J49&lt;&gt;"",J49,INDEX(J49:J1048,MATCH(1,(F49:F1048=F49)*(I49:I1048=I49)*(L49:L1048=L49)*(J49:J1048&lt;&gt;""),0))),"Not Found")</f>
        <v>Engine Knocking</v>
      </c>
      <c r="L49" s="3" t="s">
        <v>108</v>
      </c>
      <c r="M49" s="0" t="str">
        <f aca="false">PROPER(L49)</f>
        <v>Timing Belt</v>
      </c>
      <c r="N49" s="3" t="s">
        <v>71</v>
      </c>
      <c r="O49" s="0" t="str">
        <f aca="false" t="array" ref="O49:O49">IF(N49&lt;&gt;"",N49,_xlfn.xlookup(1,(L49:L1048=L49)*(N49:N1048&lt;&gt;""),N49:N1048,"Not Found"))</f>
        <v>Isaac Bobo</v>
      </c>
      <c r="P49" s="4" t="n">
        <v>104147</v>
      </c>
      <c r="Q49" s="0" t="s">
        <v>49</v>
      </c>
      <c r="R49" s="0" t="str">
        <f aca="false">PROPER(Q49)</f>
        <v>Transfer</v>
      </c>
      <c r="S49" s="0" t="s">
        <v>63</v>
      </c>
      <c r="T49" s="0" t="n">
        <v>4</v>
      </c>
      <c r="U49" s="5" t="n">
        <f aca="false">IF(ISBLANK(T49),AVERAGE(T49:T1048),T49)</f>
        <v>4</v>
      </c>
      <c r="V49" s="0" t="n">
        <v>4.9</v>
      </c>
      <c r="W49" s="0" t="s">
        <v>111</v>
      </c>
      <c r="X49" s="0" t="str">
        <f aca="false">IF(ISBLANK(W49),"No remarks",W49)</f>
        <v>Changed all filters</v>
      </c>
      <c r="Y49" s="0" t="s">
        <v>93</v>
      </c>
      <c r="AA49" s="0" t="str">
        <f aca="false">PROPER(IF(ISBLANK(Z49),"Location Unavailable",Z49))</f>
        <v>Location Unavailable</v>
      </c>
      <c r="AB49" s="0" t="s">
        <v>95</v>
      </c>
      <c r="AC49" s="6" t="str">
        <f aca="false">PROPER(AB49)</f>
        <v>Road Sign</v>
      </c>
      <c r="AD49" s="6" t="n">
        <v>15</v>
      </c>
      <c r="AE49" s="5" t="n">
        <f aca="false">IF(ISBLANK(AD49),AVERAGEIF(L49:L1048,L49,AD49:AD1048),AD49)</f>
        <v>15</v>
      </c>
      <c r="AF49" s="0" t="s">
        <v>76</v>
      </c>
      <c r="AG49" s="0" t="str">
        <f aca="false">PROPER(AF49)</f>
        <v>Orderd</v>
      </c>
      <c r="AH49" s="0" t="s">
        <v>155</v>
      </c>
      <c r="AI49" s="0" t="s">
        <v>113</v>
      </c>
      <c r="AJ49" s="0" t="str">
        <f aca="false">PROPER(AI49)</f>
        <v>Normal</v>
      </c>
      <c r="AK49" s="0" t="s">
        <v>196</v>
      </c>
      <c r="AL49" s="0" t="str">
        <f aca="false">PROPER(AK49)</f>
        <v>First Time</v>
      </c>
      <c r="AN49" s="0" t="str">
        <f aca="false">IF(ISBLANK(AM49),"Unknown",AM49)</f>
        <v>Unknown</v>
      </c>
      <c r="AP49" s="0" t="str">
        <f aca="false">IF(ISBLANK(AO49),"Unknown",AO49)</f>
        <v>Unknown</v>
      </c>
      <c r="AR49" s="5" t="n">
        <f aca="false">IF(ISBLANK(AQ49),AVERAGEIF(M49:M1048,M49,AQ49:AQ1048),AQ49)</f>
        <v>27321.4285714286</v>
      </c>
      <c r="AS49" s="0" t="n">
        <v>30000</v>
      </c>
      <c r="AT49" s="5" t="n">
        <f aca="false">IF(ISBLANK(AS49),AVERAGE(AS49:AS1048),AS49)</f>
        <v>30000</v>
      </c>
      <c r="AU49" s="0" t="s">
        <v>82</v>
      </c>
      <c r="AV49" s="0" t="str">
        <f aca="false">PROPER(IF(ISBLANK(AU49),"No",AU49))</f>
        <v>Yes</v>
      </c>
      <c r="AX49" s="5" t="n">
        <f aca="false">IF(ISBLANK(AW49),0,AW49)</f>
        <v>0</v>
      </c>
      <c r="AY49" s="0" t="s">
        <v>60</v>
      </c>
      <c r="AZ49" s="0" t="str">
        <f aca="false">UPPER(IF(ISBLANK(AY49),"NONE",AY49))</f>
        <v>NONE</v>
      </c>
      <c r="BA49" s="7" t="n">
        <v>45874</v>
      </c>
      <c r="BB49" s="7" t="n">
        <f aca="false">IF(ISBLANK(BA49),"No Follow Up Needed",BA49)</f>
        <v>45874</v>
      </c>
      <c r="BC49" s="0" t="s">
        <v>50</v>
      </c>
      <c r="BD49" s="0" t="str">
        <f aca="false">PROPER(IF(ISBLANK(BC49),"Unknown",BC49))</f>
        <v>No</v>
      </c>
      <c r="BF49" s="0" t="str">
        <f aca="false">IF(ISBLANK(BE49),"No comments",BE49)</f>
        <v>No comments</v>
      </c>
      <c r="BH49" s="0" t="str">
        <f aca="false">IF(ISBLANK(BG49),"No comments",BG49)</f>
        <v>No comments</v>
      </c>
      <c r="BJ49" s="0" t="str">
        <f aca="false">IF(ISBLANK(BI49),"Not Mentioned",BI49)</f>
        <v>Not Mentioned</v>
      </c>
      <c r="BK49" s="0" t="s">
        <v>82</v>
      </c>
      <c r="BL49" s="0" t="str">
        <f aca="false">PROPER(IF(ISBLANK(BK49),"Not Mentioned",BK49))</f>
        <v>Yes</v>
      </c>
      <c r="BN49" s="0" t="str">
        <f aca="false">PROPER(IF(ISBLANK(BM49),"Not Mentioned",BM49))</f>
        <v>Not Mentioned</v>
      </c>
      <c r="BO49" s="0" t="s">
        <v>2321</v>
      </c>
      <c r="BP49" s="0" t="str">
        <f aca="false">IF(ISBLANK(BO49),"One-Time Plan",BO49)</f>
        <v>One-Time Plan</v>
      </c>
      <c r="BQ49" s="0" t="s">
        <v>50</v>
      </c>
      <c r="BR49" s="0" t="str">
        <f aca="false">PROPER(IF(ISBLANK(BQ49),"No",BQ49))</f>
        <v>No</v>
      </c>
    </row>
    <row r="50" customFormat="false" ht="15" hidden="false" customHeight="false" outlineLevel="0" collapsed="false">
      <c r="A50" s="0" t="s">
        <v>268</v>
      </c>
      <c r="B50" s="2" t="s">
        <v>267</v>
      </c>
      <c r="C50" s="2" t="str">
        <f aca="false">TEXT(B50,"dd/mm/yyyy")</f>
        <v>28/05/2025</v>
      </c>
      <c r="D50" s="0" t="s">
        <v>66</v>
      </c>
      <c r="E50" s="0" t="n">
        <v>8099638670</v>
      </c>
      <c r="F50" s="0" t="s">
        <v>43</v>
      </c>
      <c r="G50" s="0" t="s">
        <v>2315</v>
      </c>
      <c r="H50" s="0" t="s">
        <v>269</v>
      </c>
      <c r="I50" s="0" t="s">
        <v>107</v>
      </c>
      <c r="K50" s="3" t="str">
        <f aca="false" t="array" ref="K50:K50">IFERROR(IF(J50&lt;&gt;"",J50,INDEX(J50:J1049,MATCH(1,(F50:F1049=F50)*(I50:I1049=I50)*(L50:L1049=L50)*(J50:J1049&lt;&gt;""),0))),"Not Found")</f>
        <v>Engine Knocking</v>
      </c>
      <c r="L50" s="3" t="s">
        <v>89</v>
      </c>
      <c r="M50" s="0" t="str">
        <f aca="false">PROPER(L50)</f>
        <v>Shock Absorbers</v>
      </c>
      <c r="N50" s="3" t="s">
        <v>71</v>
      </c>
      <c r="O50" s="0" t="str">
        <f aca="false" t="array" ref="O50:O50">IF(N50&lt;&gt;"",N50,_xlfn.xlookup(1,(L50:L1049=L50)*(N50:N1049&lt;&gt;""),N50:N1049,"Not Found"))</f>
        <v>Isaac Bobo</v>
      </c>
      <c r="P50" s="4" t="n">
        <v>67610</v>
      </c>
      <c r="Q50" s="0" t="s">
        <v>110</v>
      </c>
      <c r="R50" s="0" t="str">
        <f aca="false">PROPER(Q50)</f>
        <v>Cash</v>
      </c>
      <c r="S50" s="0" t="s">
        <v>50</v>
      </c>
      <c r="T50" s="0" t="n">
        <v>3</v>
      </c>
      <c r="U50" s="5" t="n">
        <f aca="false">IF(ISBLANK(T50),AVERAGE(T50:T1049),T50)</f>
        <v>3</v>
      </c>
      <c r="V50" s="0" t="n">
        <v>1</v>
      </c>
      <c r="W50" s="0" t="s">
        <v>92</v>
      </c>
      <c r="X50" s="0" t="str">
        <f aca="false">IF(ISBLANK(W50),"No remarks",W50)</f>
        <v>Urgent service</v>
      </c>
      <c r="Y50" s="0" t="s">
        <v>73</v>
      </c>
      <c r="AA50" s="0" t="str">
        <f aca="false">PROPER(IF(ISBLANK(Z50),"Location Unavailable",Z50))</f>
        <v>Location Unavailable</v>
      </c>
      <c r="AB50" s="0" t="s">
        <v>75</v>
      </c>
      <c r="AC50" s="6" t="str">
        <f aca="false">PROPER(AB50)</f>
        <v>Mechanik Referal</v>
      </c>
      <c r="AD50" s="6" t="n">
        <v>15</v>
      </c>
      <c r="AE50" s="5" t="n">
        <f aca="false">IF(ISBLANK(AD50),AVERAGEIF(L50:L1049,L50,AD50:AD1049),AD50)</f>
        <v>15</v>
      </c>
      <c r="AF50" s="0" t="s">
        <v>96</v>
      </c>
      <c r="AG50" s="0" t="str">
        <f aca="false">PROPER(AF50)</f>
        <v>Ordered</v>
      </c>
      <c r="AH50" s="0" t="s">
        <v>77</v>
      </c>
      <c r="AI50" s="0" t="s">
        <v>98</v>
      </c>
      <c r="AJ50" s="0" t="str">
        <f aca="false">PROPER(AI50)</f>
        <v>Emergency</v>
      </c>
      <c r="AK50" s="0" t="s">
        <v>58</v>
      </c>
      <c r="AL50" s="0" t="str">
        <f aca="false">PROPER(AK50)</f>
        <v>Fleet Owner</v>
      </c>
      <c r="AN50" s="0" t="str">
        <f aca="false">IF(ISBLANK(AM50),"Unknown",AM50)</f>
        <v>Unknown</v>
      </c>
      <c r="AO50" s="0" t="s">
        <v>149</v>
      </c>
      <c r="AP50" s="0" t="str">
        <f aca="false">IF(ISBLANK(AO50),"Unknown",AO50)</f>
        <v>Senior </v>
      </c>
      <c r="AQ50" s="0" t="n">
        <v>25000</v>
      </c>
      <c r="AR50" s="5" t="n">
        <f aca="false">IF(ISBLANK(AQ50),AVERAGEIF(M50:M1049,M50,AQ50:AQ1049),AQ50)</f>
        <v>25000</v>
      </c>
      <c r="AS50" s="0" t="n">
        <v>35000</v>
      </c>
      <c r="AT50" s="5" t="n">
        <f aca="false">IF(ISBLANK(AS50),AVERAGE(AS50:AS1049),AS50)</f>
        <v>35000</v>
      </c>
      <c r="AV50" s="0" t="str">
        <f aca="false">PROPER(IF(ISBLANK(AU50),"No",AU50))</f>
        <v>No</v>
      </c>
      <c r="AX50" s="5" t="n">
        <f aca="false">IF(ISBLANK(AW50),0,AW50)</f>
        <v>0</v>
      </c>
      <c r="AY50" s="0" t="s">
        <v>60</v>
      </c>
      <c r="AZ50" s="0" t="str">
        <f aca="false">UPPER(IF(ISBLANK(AY50),"NONE",AY50))</f>
        <v>NONE</v>
      </c>
      <c r="BB50" s="7" t="str">
        <f aca="false">IF(ISBLANK(BA50),"No Follow Up Needed",BA50)</f>
        <v>No Follow Up Needed</v>
      </c>
      <c r="BC50" s="0" t="s">
        <v>82</v>
      </c>
      <c r="BD50" s="0" t="str">
        <f aca="false">PROPER(IF(ISBLANK(BC50),"Unknown",BC50))</f>
        <v>Yes</v>
      </c>
      <c r="BE50" s="0" t="s">
        <v>171</v>
      </c>
      <c r="BF50" s="0" t="str">
        <f aca="false">IF(ISBLANK(BE50),"No comments",BE50)</f>
        <v>Shock absorber weakening</v>
      </c>
      <c r="BH50" s="0" t="str">
        <f aca="false">IF(ISBLANK(BG50),"No comments",BG50)</f>
        <v>No comments</v>
      </c>
      <c r="BI50" s="0" t="s">
        <v>50</v>
      </c>
      <c r="BJ50" s="0" t="str">
        <f aca="false">IF(ISBLANK(BI50),"Not Mentioned",BI50)</f>
        <v>No</v>
      </c>
      <c r="BK50" s="0" t="s">
        <v>61</v>
      </c>
      <c r="BL50" s="0" t="str">
        <f aca="false">PROPER(IF(ISBLANK(BK50),"Not Mentioned",BK50))</f>
        <v>No</v>
      </c>
      <c r="BN50" s="0" t="str">
        <f aca="false">PROPER(IF(ISBLANK(BM50),"Not Mentioned",BM50))</f>
        <v>Not Mentioned</v>
      </c>
      <c r="BO50" s="0" t="s">
        <v>2321</v>
      </c>
      <c r="BP50" s="0" t="str">
        <f aca="false">IF(ISBLANK(BO50),"One-Time Plan",BO50)</f>
        <v>One-Time Plan</v>
      </c>
      <c r="BQ50" s="0" t="s">
        <v>50</v>
      </c>
      <c r="BR50" s="0" t="str">
        <f aca="false">PROPER(IF(ISBLANK(BQ50),"No",BQ50))</f>
        <v>No</v>
      </c>
    </row>
    <row r="51" customFormat="false" ht="15" hidden="false" customHeight="false" outlineLevel="0" collapsed="false">
      <c r="A51" s="0" t="s">
        <v>270</v>
      </c>
      <c r="B51" s="2" t="n">
        <v>45773</v>
      </c>
      <c r="C51" s="2" t="str">
        <f aca="false">TEXT(B51,"dd/mm/yyyy")</f>
        <v>26/04/2025</v>
      </c>
      <c r="D51" s="0" t="s">
        <v>105</v>
      </c>
      <c r="E51" s="0" t="n">
        <v>8073850736</v>
      </c>
      <c r="F51" s="0" t="s">
        <v>67</v>
      </c>
      <c r="G51" s="0" t="s">
        <v>2316</v>
      </c>
      <c r="H51" s="0" t="s">
        <v>271</v>
      </c>
      <c r="I51" s="0" t="s">
        <v>107</v>
      </c>
      <c r="J51" s="0" t="s">
        <v>2317</v>
      </c>
      <c r="K51" s="3" t="str">
        <f aca="false" t="array" ref="K51:K51">IFERROR(IF(J51&lt;&gt;"",J51,INDEX(J51:J1050,MATCH(1,(F51:F1050=F51)*(I51:I1050=I51)*(L51:L1050=L51)*(J51:J1050&lt;&gt;""),0))),"Not Found")</f>
        <v>Suspension Noise</v>
      </c>
      <c r="L51" s="3" t="s">
        <v>154</v>
      </c>
      <c r="M51" s="0" t="str">
        <f aca="false">PROPER(L51)</f>
        <v>Air Filter</v>
      </c>
      <c r="O51" s="0" t="e">
        <f aca="false" t="array" ref="O51:O51">IF(N51&lt;&gt;"",N51,_xlfn.xlookup(1,(L51:L1050=L51)*(N51:N1050&lt;&gt;""),N51:N1050,"Not Found"))</f>
        <v>#NAME?</v>
      </c>
      <c r="P51" s="4" t="n">
        <v>25850</v>
      </c>
      <c r="Q51" s="0" t="s">
        <v>72</v>
      </c>
      <c r="R51" s="0" t="str">
        <f aca="false">PROPER(Q51)</f>
        <v>Pos</v>
      </c>
      <c r="S51" s="0" t="s">
        <v>50</v>
      </c>
      <c r="T51" s="0" t="n">
        <v>2</v>
      </c>
      <c r="U51" s="5" t="n">
        <f aca="false">IF(ISBLANK(T51),AVERAGE(T51:T1050),T51)</f>
        <v>2</v>
      </c>
      <c r="V51" s="0" t="n">
        <v>5.4</v>
      </c>
      <c r="W51" s="0" t="s">
        <v>92</v>
      </c>
      <c r="X51" s="0" t="str">
        <f aca="false">IF(ISBLANK(W51),"No remarks",W51)</f>
        <v>Urgent service</v>
      </c>
      <c r="Y51" s="0" t="s">
        <v>93</v>
      </c>
      <c r="AA51" s="0" t="str">
        <f aca="false">PROPER(IF(ISBLANK(Z51),"Location Unavailable",Z51))</f>
        <v>Location Unavailable</v>
      </c>
      <c r="AB51" s="0" t="s">
        <v>147</v>
      </c>
      <c r="AC51" s="6" t="str">
        <f aca="false">PROPER(AB51)</f>
        <v>Instagram</v>
      </c>
      <c r="AD51" s="6" t="n">
        <v>30</v>
      </c>
      <c r="AE51" s="5" t="n">
        <f aca="false">IF(ISBLANK(AD51),AVERAGEIF(L51:L1050,L51,AD51:AD1050),AD51)</f>
        <v>30</v>
      </c>
      <c r="AF51" s="0" t="s">
        <v>55</v>
      </c>
      <c r="AG51" s="0" t="str">
        <f aca="false">PROPER(AF51)</f>
        <v>Available</v>
      </c>
      <c r="AH51" s="0" t="s">
        <v>148</v>
      </c>
      <c r="AI51" s="0" t="s">
        <v>78</v>
      </c>
      <c r="AJ51" s="0" t="str">
        <f aca="false">PROPER(AI51)</f>
        <v>Booking</v>
      </c>
      <c r="AK51" s="0" t="s">
        <v>196</v>
      </c>
      <c r="AL51" s="0" t="str">
        <f aca="false">PROPER(AK51)</f>
        <v>First Time</v>
      </c>
      <c r="AM51" s="0" t="s">
        <v>177</v>
      </c>
      <c r="AN51" s="0" t="str">
        <f aca="false">IF(ISBLANK(AM51),"Unknown",AM51)</f>
        <v>Private</v>
      </c>
      <c r="AO51" s="0" t="s">
        <v>143</v>
      </c>
      <c r="AP51" s="0" t="str">
        <f aca="false">IF(ISBLANK(AO51),"Unknown",AO51)</f>
        <v>Senior</v>
      </c>
      <c r="AQ51" s="0" t="n">
        <v>40000</v>
      </c>
      <c r="AR51" s="5" t="n">
        <f aca="false">IF(ISBLANK(AQ51),AVERAGEIF(M51:M1050,M51,AQ51:AQ1050),AQ51)</f>
        <v>40000</v>
      </c>
      <c r="AS51" s="0" t="n">
        <v>20000</v>
      </c>
      <c r="AT51" s="5" t="n">
        <f aca="false">IF(ISBLANK(AS51),AVERAGE(AS51:AS1050),AS51)</f>
        <v>20000</v>
      </c>
      <c r="AU51" s="0" t="s">
        <v>50</v>
      </c>
      <c r="AV51" s="0" t="str">
        <f aca="false">PROPER(IF(ISBLANK(AU51),"No",AU51))</f>
        <v>No</v>
      </c>
      <c r="AX51" s="5" t="n">
        <f aca="false">IF(ISBLANK(AW51),0,AW51)</f>
        <v>0</v>
      </c>
      <c r="AY51" s="0" t="s">
        <v>80</v>
      </c>
      <c r="AZ51" s="0" t="str">
        <f aca="false">UPPER(IF(ISBLANK(AY51),"NONE",AY51))</f>
        <v>PROMO10</v>
      </c>
      <c r="BB51" s="7" t="str">
        <f aca="false">IF(ISBLANK(BA51),"No Follow Up Needed",BA51)</f>
        <v>No Follow Up Needed</v>
      </c>
      <c r="BC51" s="0" t="s">
        <v>82</v>
      </c>
      <c r="BD51" s="0" t="str">
        <f aca="false">PROPER(IF(ISBLANK(BC51),"Unknown",BC51))</f>
        <v>Yes</v>
      </c>
      <c r="BF51" s="0" t="str">
        <f aca="false">IF(ISBLANK(BE51),"No comments",BE51)</f>
        <v>No comments</v>
      </c>
      <c r="BG51" s="0" t="s">
        <v>172</v>
      </c>
      <c r="BH51" s="0" t="str">
        <f aca="false">IF(ISBLANK(BG51),"No comments",BG51)</f>
        <v>Always late</v>
      </c>
      <c r="BI51" s="0" t="s">
        <v>50</v>
      </c>
      <c r="BJ51" s="0" t="str">
        <f aca="false">IF(ISBLANK(BI51),"Not Mentioned",BI51)</f>
        <v>No</v>
      </c>
      <c r="BK51" s="0" t="s">
        <v>61</v>
      </c>
      <c r="BL51" s="0" t="str">
        <f aca="false">PROPER(IF(ISBLANK(BK51),"Not Mentioned",BK51))</f>
        <v>No</v>
      </c>
      <c r="BM51" s="0" t="s">
        <v>50</v>
      </c>
      <c r="BN51" s="0" t="str">
        <f aca="false">PROPER(IF(ISBLANK(BM51),"Not Mentioned",BM51))</f>
        <v>No</v>
      </c>
      <c r="BO51" s="0" t="s">
        <v>64</v>
      </c>
      <c r="BP51" s="0" t="str">
        <f aca="false">IF(ISBLANK(BO51),"One-Time Plan",BO51)</f>
        <v>Gold Maintenance Plan</v>
      </c>
      <c r="BQ51" s="0" t="s">
        <v>63</v>
      </c>
      <c r="BR51" s="0" t="str">
        <f aca="false">PROPER(IF(ISBLANK(BQ51),"No",BQ51))</f>
        <v>Yes</v>
      </c>
    </row>
    <row r="52" customFormat="false" ht="15" hidden="false" customHeight="false" outlineLevel="0" collapsed="false">
      <c r="A52" s="0" t="s">
        <v>273</v>
      </c>
      <c r="B52" s="2" t="n">
        <v>45761</v>
      </c>
      <c r="C52" s="2" t="str">
        <f aca="false">TEXT(B52,"dd/mm/yyyy")</f>
        <v>14/04/2025</v>
      </c>
      <c r="D52" s="0" t="s">
        <v>105</v>
      </c>
      <c r="E52" s="0" t="n">
        <v>8072733686</v>
      </c>
      <c r="F52" s="0" t="s">
        <v>43</v>
      </c>
      <c r="G52" s="0" t="s">
        <v>2315</v>
      </c>
      <c r="H52" s="0" t="s">
        <v>274</v>
      </c>
      <c r="I52" s="0" t="s">
        <v>45</v>
      </c>
      <c r="J52" s="0" t="s">
        <v>87</v>
      </c>
      <c r="K52" s="3" t="str">
        <f aca="false" t="array" ref="K52:K52">IFERROR(IF(J52&lt;&gt;"",J52,INDEX(J52:J1051,MATCH(1,(F52:F1051=F52)*(I52:I1051=I52)*(L52:L1051=L52)*(J52:J1051&lt;&gt;""),0))),"Not Found")</f>
        <v>Oil Change</v>
      </c>
      <c r="L52" s="3" t="s">
        <v>189</v>
      </c>
      <c r="M52" s="0" t="str">
        <f aca="false">PROPER(L52)</f>
        <v>Battery</v>
      </c>
      <c r="N52" s="3" t="s">
        <v>71</v>
      </c>
      <c r="O52" s="0" t="str">
        <f aca="false" t="array" ref="O52:O52">IF(N52&lt;&gt;"",N52,_xlfn.xlookup(1,(L52:L1051=L52)*(N52:N1051&lt;&gt;""),N52:N1051,"Not Found"))</f>
        <v>Isaac Bobo</v>
      </c>
      <c r="P52" s="4" t="n">
        <v>94596</v>
      </c>
      <c r="Q52" s="0" t="s">
        <v>166</v>
      </c>
      <c r="R52" s="0" t="str">
        <f aca="false">PROPER(Q52)</f>
        <v>Transfer</v>
      </c>
      <c r="S52" s="0" t="s">
        <v>63</v>
      </c>
      <c r="T52" s="0" t="n">
        <v>5</v>
      </c>
      <c r="U52" s="5" t="n">
        <f aca="false">IF(ISBLANK(T52),AVERAGE(T52:T1051),T52)</f>
        <v>5</v>
      </c>
      <c r="V52" s="0" t="n">
        <v>3.9</v>
      </c>
      <c r="X52" s="0" t="str">
        <f aca="false">IF(ISBLANK(W52),"No remarks",W52)</f>
        <v>No remarks</v>
      </c>
      <c r="Y52" s="0" t="s">
        <v>73</v>
      </c>
      <c r="Z52" s="0" t="s">
        <v>136</v>
      </c>
      <c r="AA52" s="0" t="str">
        <f aca="false">PROPER(IF(ISBLANK(Z52),"Location Unavailable",Z52))</f>
        <v>Vip Section</v>
      </c>
      <c r="AB52" s="0" t="s">
        <v>54</v>
      </c>
      <c r="AC52" s="6" t="str">
        <f aca="false">PROPER(AB52)</f>
        <v>Mechanic Referral</v>
      </c>
      <c r="AD52" s="6" t="n">
        <v>30</v>
      </c>
      <c r="AE52" s="5" t="n">
        <f aca="false">IF(ISBLANK(AD52),AVERAGEIF(L52:L1051,L52,AD52:AD1051),AD52)</f>
        <v>30</v>
      </c>
      <c r="AF52" s="0" t="s">
        <v>112</v>
      </c>
      <c r="AG52" s="0" t="str">
        <f aca="false">PROPER(AF52)</f>
        <v>Unavailable</v>
      </c>
      <c r="AH52" s="0" t="s">
        <v>148</v>
      </c>
      <c r="AI52" s="0" t="s">
        <v>78</v>
      </c>
      <c r="AJ52" s="0" t="str">
        <f aca="false">PROPER(AI52)</f>
        <v>Booking</v>
      </c>
      <c r="AK52" s="0" t="s">
        <v>196</v>
      </c>
      <c r="AL52" s="0" t="str">
        <f aca="false">PROPER(AK52)</f>
        <v>First Time</v>
      </c>
      <c r="AN52" s="0" t="str">
        <f aca="false">IF(ISBLANK(AM52),"Unknown",AM52)</f>
        <v>Unknown</v>
      </c>
      <c r="AO52" s="0" t="s">
        <v>79</v>
      </c>
      <c r="AP52" s="0" t="str">
        <f aca="false">IF(ISBLANK(AO52),"Unknown",AO52)</f>
        <v>Specialist</v>
      </c>
      <c r="AR52" s="5" t="n">
        <f aca="false">IF(ISBLANK(AQ52),AVERAGEIF(M52:M1051,M52,AQ52:AQ1051),AQ52)</f>
        <v>25614.0350877193</v>
      </c>
      <c r="AS52" s="0" t="n">
        <v>35000</v>
      </c>
      <c r="AT52" s="5" t="n">
        <f aca="false">IF(ISBLANK(AS52),AVERAGE(AS52:AS1051),AS52)</f>
        <v>35000</v>
      </c>
      <c r="AU52" s="0" t="s">
        <v>63</v>
      </c>
      <c r="AV52" s="0" t="str">
        <f aca="false">PROPER(IF(ISBLANK(AU52),"No",AU52))</f>
        <v>Yes</v>
      </c>
      <c r="AW52" s="0" t="n">
        <v>5000</v>
      </c>
      <c r="AX52" s="5" t="n">
        <f aca="false">IF(ISBLANK(AW52),0,AW52)</f>
        <v>5000</v>
      </c>
      <c r="AY52" s="0" t="s">
        <v>130</v>
      </c>
      <c r="AZ52" s="0" t="str">
        <f aca="false">UPPER(IF(ISBLANK(AY52),"NONE",AY52))</f>
        <v>LOYALTY10</v>
      </c>
      <c r="BB52" s="7" t="str">
        <f aca="false">IF(ISBLANK(BA52),"No Follow Up Needed",BA52)</f>
        <v>No Follow Up Needed</v>
      </c>
      <c r="BC52" s="0" t="s">
        <v>61</v>
      </c>
      <c r="BD52" s="0" t="str">
        <f aca="false">PROPER(IF(ISBLANK(BC52),"Unknown",BC52))</f>
        <v>No</v>
      </c>
      <c r="BE52" s="0" t="s">
        <v>116</v>
      </c>
      <c r="BF52" s="0" t="str">
        <f aca="false">IF(ISBLANK(BE52),"No comments",BE52)</f>
        <v>Needs tire alignment</v>
      </c>
      <c r="BH52" s="0" t="str">
        <f aca="false">IF(ISBLANK(BG52),"No comments",BG52)</f>
        <v>No comments</v>
      </c>
      <c r="BI52" s="0" t="s">
        <v>63</v>
      </c>
      <c r="BJ52" s="0" t="str">
        <f aca="false">IF(ISBLANK(BI52),"Not Mentioned",BI52)</f>
        <v>Yes</v>
      </c>
      <c r="BK52" s="0" t="s">
        <v>63</v>
      </c>
      <c r="BL52" s="0" t="str">
        <f aca="false">PROPER(IF(ISBLANK(BK52),"Not Mentioned",BK52))</f>
        <v>Yes</v>
      </c>
      <c r="BM52" s="0" t="s">
        <v>50</v>
      </c>
      <c r="BN52" s="0" t="str">
        <f aca="false">PROPER(IF(ISBLANK(BM52),"Not Mentioned",BM52))</f>
        <v>No</v>
      </c>
      <c r="BO52" s="0" t="s">
        <v>2321</v>
      </c>
      <c r="BP52" s="0" t="str">
        <f aca="false">IF(ISBLANK(BO52),"One-Time Plan",BO52)</f>
        <v>One-Time Plan</v>
      </c>
      <c r="BQ52" s="0" t="s">
        <v>198</v>
      </c>
      <c r="BR52" s="0" t="str">
        <f aca="false">PROPER(IF(ISBLANK(BQ52),"No",BQ52))</f>
        <v>Followed Up</v>
      </c>
    </row>
    <row r="53" customFormat="false" ht="15" hidden="false" customHeight="false" outlineLevel="0" collapsed="false">
      <c r="A53" s="0" t="s">
        <v>275</v>
      </c>
      <c r="B53" s="2" t="n">
        <v>45757</v>
      </c>
      <c r="C53" s="2" t="str">
        <f aca="false">TEXT(B53,"dd/mm/yyyy")</f>
        <v>10/04/2025</v>
      </c>
      <c r="D53" s="0" t="s">
        <v>163</v>
      </c>
      <c r="E53" s="0" t="n">
        <v>8090498733</v>
      </c>
      <c r="F53" s="0" t="s">
        <v>67</v>
      </c>
      <c r="G53" s="0" t="s">
        <v>2316</v>
      </c>
      <c r="H53" s="0" t="s">
        <v>276</v>
      </c>
      <c r="I53" s="0" t="s">
        <v>107</v>
      </c>
      <c r="J53" s="0" t="s">
        <v>2325</v>
      </c>
      <c r="K53" s="3" t="str">
        <f aca="false" t="array" ref="K53:K53">IFERROR(IF(J53&lt;&gt;"",J53,INDEX(J53:J1052,MATCH(1,(F53:F1052=F53)*(I53:I1052=I53)*(L53:L1052=L53)*(J53:J1052&lt;&gt;""),0))),"Not Found")</f>
        <v>Engine Knocking</v>
      </c>
      <c r="L53" s="3" t="s">
        <v>108</v>
      </c>
      <c r="M53" s="0" t="str">
        <f aca="false">PROPER(L53)</f>
        <v>Timing Belt</v>
      </c>
      <c r="N53" s="3" t="s">
        <v>48</v>
      </c>
      <c r="O53" s="0" t="str">
        <f aca="false" t="array" ref="O53:O53">IF(N53&lt;&gt;"",N53,_xlfn.xlookup(1,(L53:L1052=L53)*(N53:N1052&lt;&gt;""),N53:N1052,"Not Found"))</f>
        <v>Uche</v>
      </c>
      <c r="P53" s="4" t="n">
        <v>71442</v>
      </c>
      <c r="Q53" s="0" t="s">
        <v>49</v>
      </c>
      <c r="R53" s="0" t="str">
        <f aca="false">PROPER(Q53)</f>
        <v>Transfer</v>
      </c>
      <c r="S53" s="0" t="s">
        <v>63</v>
      </c>
      <c r="T53" s="0" t="n">
        <v>3</v>
      </c>
      <c r="U53" s="5" t="n">
        <f aca="false">IF(ISBLANK(T53),AVERAGE(T53:T1052),T53)</f>
        <v>3</v>
      </c>
      <c r="V53" s="0" t="n">
        <v>1.9</v>
      </c>
      <c r="W53" s="0" t="s">
        <v>51</v>
      </c>
      <c r="X53" s="0" t="str">
        <f aca="false">IF(ISBLANK(W53),"No remarks",W53)</f>
        <v>Recommended further checks</v>
      </c>
      <c r="Y53" s="0" t="s">
        <v>52</v>
      </c>
      <c r="Z53" s="0" t="s">
        <v>74</v>
      </c>
      <c r="AA53" s="0" t="str">
        <f aca="false">PROPER(IF(ISBLANK(Z53),"Location Unavailable",Z53))</f>
        <v>Under Tree</v>
      </c>
      <c r="AB53" s="0" t="s">
        <v>95</v>
      </c>
      <c r="AC53" s="6" t="str">
        <f aca="false">PROPER(AB53)</f>
        <v>Road Sign</v>
      </c>
      <c r="AD53" s="6" t="n">
        <v>15</v>
      </c>
      <c r="AE53" s="5" t="n">
        <f aca="false">IF(ISBLANK(AD53),AVERAGEIF(L53:L1052,L53,AD53:AD1052),AD53)</f>
        <v>15</v>
      </c>
      <c r="AF53" s="0" t="s">
        <v>55</v>
      </c>
      <c r="AG53" s="0" t="str">
        <f aca="false">PROPER(AF53)</f>
        <v>Available</v>
      </c>
      <c r="AH53" s="0" t="s">
        <v>56</v>
      </c>
      <c r="AI53" s="0" t="s">
        <v>113</v>
      </c>
      <c r="AJ53" s="0" t="str">
        <f aca="false">PROPER(AI53)</f>
        <v>Normal</v>
      </c>
      <c r="AK53" s="0" t="s">
        <v>58</v>
      </c>
      <c r="AL53" s="0" t="str">
        <f aca="false">PROPER(AK53)</f>
        <v>Fleet Owner</v>
      </c>
      <c r="AM53" s="0" t="s">
        <v>177</v>
      </c>
      <c r="AN53" s="0" t="str">
        <f aca="false">IF(ISBLANK(AM53),"Unknown",AM53)</f>
        <v>Private</v>
      </c>
      <c r="AO53" s="0" t="s">
        <v>143</v>
      </c>
      <c r="AP53" s="0" t="str">
        <f aca="false">IF(ISBLANK(AO53),"Unknown",AO53)</f>
        <v>Senior</v>
      </c>
      <c r="AQ53" s="0" t="n">
        <v>30000</v>
      </c>
      <c r="AR53" s="5" t="n">
        <f aca="false">IF(ISBLANK(AQ53),AVERAGEIF(M53:M1052,M53,AQ53:AQ1052),AQ53)</f>
        <v>30000</v>
      </c>
      <c r="AS53" s="0" t="n">
        <v>30000</v>
      </c>
      <c r="AT53" s="5" t="n">
        <f aca="false">IF(ISBLANK(AS53),AVERAGE(AS53:AS1052),AS53)</f>
        <v>30000</v>
      </c>
      <c r="AU53" s="0" t="s">
        <v>82</v>
      </c>
      <c r="AV53" s="0" t="str">
        <f aca="false">PROPER(IF(ISBLANK(AU53),"No",AU53))</f>
        <v>Yes</v>
      </c>
      <c r="AW53" s="0" t="n">
        <v>5000</v>
      </c>
      <c r="AX53" s="5" t="n">
        <f aca="false">IF(ISBLANK(AW53),0,AW53)</f>
        <v>5000</v>
      </c>
      <c r="AZ53" s="0" t="str">
        <f aca="false">UPPER(IF(ISBLANK(AY53),"NONE",AY53))</f>
        <v>NONE</v>
      </c>
      <c r="BB53" s="7" t="str">
        <f aca="false">IF(ISBLANK(BA53),"No Follow Up Needed",BA53)</f>
        <v>No Follow Up Needed</v>
      </c>
      <c r="BC53" s="0" t="s">
        <v>50</v>
      </c>
      <c r="BD53" s="0" t="str">
        <f aca="false">PROPER(IF(ISBLANK(BC53),"Unknown",BC53))</f>
        <v>No</v>
      </c>
      <c r="BF53" s="0" t="str">
        <f aca="false">IF(ISBLANK(BE53),"No comments",BE53)</f>
        <v>No comments</v>
      </c>
      <c r="BH53" s="0" t="str">
        <f aca="false">IF(ISBLANK(BG53),"No comments",BG53)</f>
        <v>No comments</v>
      </c>
      <c r="BI53" s="0" t="s">
        <v>63</v>
      </c>
      <c r="BJ53" s="0" t="str">
        <f aca="false">IF(ISBLANK(BI53),"Not Mentioned",BI53)</f>
        <v>Yes</v>
      </c>
      <c r="BK53" s="0" t="s">
        <v>50</v>
      </c>
      <c r="BL53" s="0" t="str">
        <f aca="false">PROPER(IF(ISBLANK(BK53),"Not Mentioned",BK53))</f>
        <v>No</v>
      </c>
      <c r="BN53" s="0" t="str">
        <f aca="false">PROPER(IF(ISBLANK(BM53),"Not Mentioned",BM53))</f>
        <v>Not Mentioned</v>
      </c>
      <c r="BO53" s="0" t="s">
        <v>64</v>
      </c>
      <c r="BP53" s="0" t="str">
        <f aca="false">IF(ISBLANK(BO53),"One-Time Plan",BO53)</f>
        <v>Gold Maintenance Plan</v>
      </c>
      <c r="BQ53" s="0" t="s">
        <v>50</v>
      </c>
      <c r="BR53" s="0" t="str">
        <f aca="false">PROPER(IF(ISBLANK(BQ53),"No",BQ53))</f>
        <v>No</v>
      </c>
    </row>
    <row r="54" customFormat="false" ht="15" hidden="false" customHeight="false" outlineLevel="0" collapsed="false">
      <c r="A54" s="0" t="s">
        <v>277</v>
      </c>
      <c r="B54" s="2" t="n">
        <v>45674</v>
      </c>
      <c r="C54" s="2" t="str">
        <f aca="false">TEXT(B54,"dd/mm/yyyy")</f>
        <v>17/01/2025</v>
      </c>
      <c r="D54" s="0" t="s">
        <v>66</v>
      </c>
      <c r="E54" s="0" t="n">
        <v>8054445587</v>
      </c>
      <c r="F54" s="0" t="s">
        <v>139</v>
      </c>
      <c r="G54" s="0" t="s">
        <v>2323</v>
      </c>
      <c r="H54" s="0" t="s">
        <v>278</v>
      </c>
      <c r="I54" s="0" t="s">
        <v>87</v>
      </c>
      <c r="K54" s="3" t="str">
        <f aca="false" t="array" ref="K54:K54">IFERROR(IF(J54&lt;&gt;"",J54,INDEX(J54:J1053,MATCH(1,(F54:F1053=F54)*(I54:I1053=I54)*(L54:L1053=L54)*(J54:J1053&lt;&gt;""),0))),"Not Found")</f>
        <v>Brake Failure</v>
      </c>
      <c r="L54" s="3" t="s">
        <v>47</v>
      </c>
      <c r="M54" s="0" t="str">
        <f aca="false">PROPER(L54)</f>
        <v>None</v>
      </c>
      <c r="N54" s="3" t="s">
        <v>90</v>
      </c>
      <c r="O54" s="0" t="str">
        <f aca="false" t="array" ref="O54:O54">IF(N54&lt;&gt;"",N54,_xlfn.xlookup(1,(L54:L1053=L54)*(N54:N1053&lt;&gt;""),N54:N1053,"Not Found"))</f>
        <v>Musa</v>
      </c>
      <c r="P54" s="4" t="n">
        <v>33009</v>
      </c>
      <c r="Q54" s="0" t="s">
        <v>91</v>
      </c>
      <c r="R54" s="0" t="str">
        <f aca="false">PROPER(Q54)</f>
        <v>Pos</v>
      </c>
      <c r="S54" s="0" t="s">
        <v>50</v>
      </c>
      <c r="T54" s="0" t="n">
        <v>4</v>
      </c>
      <c r="U54" s="5" t="n">
        <f aca="false">IF(ISBLANK(T54),AVERAGE(T54:T1053),T54)</f>
        <v>4</v>
      </c>
      <c r="V54" s="0" t="n">
        <v>4.3</v>
      </c>
      <c r="W54" s="0" t="s">
        <v>51</v>
      </c>
      <c r="X54" s="0" t="str">
        <f aca="false">IF(ISBLANK(W54),"No remarks",W54)</f>
        <v>Recommended further checks</v>
      </c>
      <c r="Y54" s="0" t="s">
        <v>93</v>
      </c>
      <c r="Z54" s="0" t="s">
        <v>136</v>
      </c>
      <c r="AA54" s="0" t="str">
        <f aca="false">PROPER(IF(ISBLANK(Z54),"Location Unavailable",Z54))</f>
        <v>Vip Section</v>
      </c>
      <c r="AB54" s="0" t="s">
        <v>54</v>
      </c>
      <c r="AC54" s="6" t="str">
        <f aca="false">PROPER(AB54)</f>
        <v>Mechanic Referral</v>
      </c>
      <c r="AD54" s="6" t="n">
        <v>30</v>
      </c>
      <c r="AE54" s="5" t="n">
        <f aca="false">IF(ISBLANK(AD54),AVERAGEIF(L54:L1053,L54,AD54:AD1053),AD54)</f>
        <v>30</v>
      </c>
      <c r="AF54" s="0" t="s">
        <v>96</v>
      </c>
      <c r="AG54" s="0" t="str">
        <f aca="false">PROPER(AF54)</f>
        <v>Ordered</v>
      </c>
      <c r="AH54" s="0" t="s">
        <v>155</v>
      </c>
      <c r="AI54" s="0" t="s">
        <v>113</v>
      </c>
      <c r="AJ54" s="0" t="str">
        <f aca="false">PROPER(AI54)</f>
        <v>Normal</v>
      </c>
      <c r="AK54" s="0" t="s">
        <v>114</v>
      </c>
      <c r="AL54" s="0" t="str">
        <f aca="false">PROPER(AK54)</f>
        <v>Returning</v>
      </c>
      <c r="AN54" s="0" t="str">
        <f aca="false">IF(ISBLANK(AM54),"Unknown",AM54)</f>
        <v>Unknown</v>
      </c>
      <c r="AO54" s="0" t="s">
        <v>161</v>
      </c>
      <c r="AP54" s="0" t="str">
        <f aca="false">IF(ISBLANK(AO54),"Unknown",AO54)</f>
        <v>Apprentice</v>
      </c>
      <c r="AQ54" s="0" t="n">
        <v>30000</v>
      </c>
      <c r="AR54" s="5" t="n">
        <f aca="false">IF(ISBLANK(AQ54),AVERAGEIF(M54:M1053,M54,AQ54:AQ1053),AQ54)</f>
        <v>30000</v>
      </c>
      <c r="AS54" s="0" t="n">
        <v>30000</v>
      </c>
      <c r="AT54" s="5" t="n">
        <f aca="false">IF(ISBLANK(AS54),AVERAGE(AS54:AS1053),AS54)</f>
        <v>30000</v>
      </c>
      <c r="AU54" s="0" t="s">
        <v>50</v>
      </c>
      <c r="AV54" s="0" t="str">
        <f aca="false">PROPER(IF(ISBLANK(AU54),"No",AU54))</f>
        <v>No</v>
      </c>
      <c r="AW54" s="0" t="n">
        <v>10000</v>
      </c>
      <c r="AX54" s="5" t="n">
        <f aca="false">IF(ISBLANK(AW54),0,AW54)</f>
        <v>10000</v>
      </c>
      <c r="AY54" s="0" t="s">
        <v>80</v>
      </c>
      <c r="AZ54" s="0" t="str">
        <f aca="false">UPPER(IF(ISBLANK(AY54),"NONE",AY54))</f>
        <v>PROMO10</v>
      </c>
      <c r="BB54" s="7" t="str">
        <f aca="false">IF(ISBLANK(BA54),"No Follow Up Needed",BA54)</f>
        <v>No Follow Up Needed</v>
      </c>
      <c r="BC54" s="0" t="s">
        <v>50</v>
      </c>
      <c r="BD54" s="0" t="str">
        <f aca="false">PROPER(IF(ISBLANK(BC54),"Unknown",BC54))</f>
        <v>No</v>
      </c>
      <c r="BF54" s="0" t="str">
        <f aca="false">IF(ISBLANK(BE54),"No comments",BE54)</f>
        <v>No comments</v>
      </c>
      <c r="BG54" s="0" t="s">
        <v>172</v>
      </c>
      <c r="BH54" s="0" t="str">
        <f aca="false">IF(ISBLANK(BG54),"No comments",BG54)</f>
        <v>Always late</v>
      </c>
      <c r="BI54" s="0" t="s">
        <v>63</v>
      </c>
      <c r="BJ54" s="0" t="str">
        <f aca="false">IF(ISBLANK(BI54),"Not Mentioned",BI54)</f>
        <v>Yes</v>
      </c>
      <c r="BL54" s="0" t="str">
        <f aca="false">PROPER(IF(ISBLANK(BK54),"Not Mentioned",BK54))</f>
        <v>Not Mentioned</v>
      </c>
      <c r="BM54" s="0" t="s">
        <v>63</v>
      </c>
      <c r="BN54" s="0" t="str">
        <f aca="false">PROPER(IF(ISBLANK(BM54),"Not Mentioned",BM54))</f>
        <v>Yes</v>
      </c>
      <c r="BO54" s="0" t="s">
        <v>2321</v>
      </c>
      <c r="BP54" s="0" t="str">
        <f aca="false">IF(ISBLANK(BO54),"One-Time Plan",BO54)</f>
        <v>One-Time Plan</v>
      </c>
      <c r="BQ54" s="0" t="s">
        <v>50</v>
      </c>
      <c r="BR54" s="0" t="str">
        <f aca="false">PROPER(IF(ISBLANK(BQ54),"No",BQ54))</f>
        <v>No</v>
      </c>
    </row>
    <row r="55" customFormat="false" ht="15" hidden="false" customHeight="false" outlineLevel="0" collapsed="false">
      <c r="A55" s="0" t="s">
        <v>279</v>
      </c>
      <c r="B55" s="2" t="n">
        <v>45992</v>
      </c>
      <c r="C55" s="2" t="str">
        <f aca="false">TEXT(B55,"dd/mm/yyyy")</f>
        <v>01/12/2025</v>
      </c>
      <c r="D55" s="0" t="s">
        <v>163</v>
      </c>
      <c r="E55" s="0" t="n">
        <v>8087632976</v>
      </c>
      <c r="F55" s="0" t="s">
        <v>139</v>
      </c>
      <c r="G55" s="0" t="s">
        <v>2323</v>
      </c>
      <c r="H55" s="0" t="s">
        <v>280</v>
      </c>
      <c r="I55" s="0" t="s">
        <v>45</v>
      </c>
      <c r="J55" s="0" t="s">
        <v>2322</v>
      </c>
      <c r="K55" s="3" t="str">
        <f aca="false" t="array" ref="K55:K55">IFERROR(IF(J55&lt;&gt;"",J55,INDEX(J55:J1054,MATCH(1,(F55:F1054=F55)*(I55:I1054=I55)*(L55:L1054=L55)*(J55:J1054&lt;&gt;""),0))),"Not Found")</f>
        <v>Brake Failure</v>
      </c>
      <c r="L55" s="3" t="s">
        <v>142</v>
      </c>
      <c r="M55" s="0" t="str">
        <f aca="false">PROPER(L55)</f>
        <v>Oil Filter, Brake Pads</v>
      </c>
      <c r="N55" s="3" t="s">
        <v>71</v>
      </c>
      <c r="O55" s="0" t="str">
        <f aca="false" t="array" ref="O55:O55">IF(N55&lt;&gt;"",N55,_xlfn.xlookup(1,(L55:L1054=L55)*(N55:N1054&lt;&gt;""),N55:N1054,"Not Found"))</f>
        <v>Isaac Bobo</v>
      </c>
      <c r="P55" s="4" t="n">
        <v>18299</v>
      </c>
      <c r="Q55" s="0" t="s">
        <v>166</v>
      </c>
      <c r="R55" s="0" t="str">
        <f aca="false">PROPER(Q55)</f>
        <v>Transfer</v>
      </c>
      <c r="S55" s="0" t="s">
        <v>50</v>
      </c>
      <c r="T55" s="0" t="n">
        <v>3</v>
      </c>
      <c r="U55" s="5" t="n">
        <f aca="false">IF(ISBLANK(T55),AVERAGE(T55:T1054),T55)</f>
        <v>3</v>
      </c>
      <c r="V55" s="0" t="n">
        <v>1.2</v>
      </c>
      <c r="W55" s="0" t="s">
        <v>125</v>
      </c>
      <c r="X55" s="0" t="str">
        <f aca="false">IF(ISBLANK(W55),"No remarks",W55)</f>
        <v>Customer waited</v>
      </c>
      <c r="Y55" s="0" t="s">
        <v>73</v>
      </c>
      <c r="Z55" s="0" t="s">
        <v>53</v>
      </c>
      <c r="AA55" s="0" t="str">
        <f aca="false">PROPER(IF(ISBLANK(Z55),"Location Unavailable",Z55))</f>
        <v>Main Bay</v>
      </c>
      <c r="AB55" s="0" t="s">
        <v>54</v>
      </c>
      <c r="AC55" s="6" t="str">
        <f aca="false">PROPER(AB55)</f>
        <v>Mechanic Referral</v>
      </c>
      <c r="AD55" s="6" t="n">
        <v>60</v>
      </c>
      <c r="AE55" s="5" t="n">
        <f aca="false">IF(ISBLANK(AD55),AVERAGEIF(L55:L1054,L55,AD55:AD1054),AD55)</f>
        <v>60</v>
      </c>
      <c r="AF55" s="0" t="s">
        <v>160</v>
      </c>
      <c r="AG55" s="0" t="str">
        <f aca="false">PROPER(AF55)</f>
        <v>Availaible</v>
      </c>
      <c r="AH55" s="0" t="s">
        <v>155</v>
      </c>
      <c r="AI55" s="0" t="s">
        <v>98</v>
      </c>
      <c r="AJ55" s="0" t="str">
        <f aca="false">PROPER(AI55)</f>
        <v>Emergency</v>
      </c>
      <c r="AK55" s="0" t="s">
        <v>196</v>
      </c>
      <c r="AL55" s="0" t="str">
        <f aca="false">PROPER(AK55)</f>
        <v>First Time</v>
      </c>
      <c r="AM55" s="0" t="s">
        <v>2326</v>
      </c>
      <c r="AN55" s="0" t="str">
        <f aca="false">IF(ISBLANK(AM55),"Unknown",AM55)</f>
        <v>Government Convoy</v>
      </c>
      <c r="AP55" s="0" t="str">
        <f aca="false">IF(ISBLANK(AO55),"Unknown",AO55)</f>
        <v>Unknown</v>
      </c>
      <c r="AQ55" s="0" t="n">
        <v>20000</v>
      </c>
      <c r="AR55" s="5" t="n">
        <f aca="false">IF(ISBLANK(AQ55),AVERAGEIF(M55:M1054,M55,AQ55:AQ1054),AQ55)</f>
        <v>20000</v>
      </c>
      <c r="AS55" s="0" t="n">
        <v>30000</v>
      </c>
      <c r="AT55" s="5" t="n">
        <f aca="false">IF(ISBLANK(AS55),AVERAGE(AS55:AS1054),AS55)</f>
        <v>30000</v>
      </c>
      <c r="AU55" s="0" t="s">
        <v>50</v>
      </c>
      <c r="AV55" s="0" t="str">
        <f aca="false">PROPER(IF(ISBLANK(AU55),"No",AU55))</f>
        <v>No</v>
      </c>
      <c r="AW55" s="0" t="n">
        <v>5000</v>
      </c>
      <c r="AX55" s="5" t="n">
        <f aca="false">IF(ISBLANK(AW55),0,AW55)</f>
        <v>5000</v>
      </c>
      <c r="AZ55" s="0" t="str">
        <f aca="false">UPPER(IF(ISBLANK(AY55),"NONE",AY55))</f>
        <v>NONE</v>
      </c>
      <c r="BA55" s="7" t="n">
        <v>46002</v>
      </c>
      <c r="BB55" s="7" t="n">
        <f aca="false">IF(ISBLANK(BA55),"No Follow Up Needed",BA55)</f>
        <v>46002</v>
      </c>
      <c r="BC55" s="0" t="s">
        <v>63</v>
      </c>
      <c r="BD55" s="0" t="str">
        <f aca="false">PROPER(IF(ISBLANK(BC55),"Unknown",BC55))</f>
        <v>Yes</v>
      </c>
      <c r="BE55" s="0" t="s">
        <v>116</v>
      </c>
      <c r="BF55" s="0" t="str">
        <f aca="false">IF(ISBLANK(BE55),"No comments",BE55)</f>
        <v>Needs tire alignment</v>
      </c>
      <c r="BH55" s="0" t="str">
        <f aca="false">IF(ISBLANK(BG55),"No comments",BG55)</f>
        <v>No comments</v>
      </c>
      <c r="BI55" s="0" t="s">
        <v>50</v>
      </c>
      <c r="BJ55" s="0" t="str">
        <f aca="false">IF(ISBLANK(BI55),"Not Mentioned",BI55)</f>
        <v>No</v>
      </c>
      <c r="BK55" s="0" t="s">
        <v>63</v>
      </c>
      <c r="BL55" s="0" t="str">
        <f aca="false">PROPER(IF(ISBLANK(BK55),"Not Mentioned",BK55))</f>
        <v>Yes</v>
      </c>
      <c r="BM55" s="0" t="s">
        <v>63</v>
      </c>
      <c r="BN55" s="0" t="str">
        <f aca="false">PROPER(IF(ISBLANK(BM55),"Not Mentioned",BM55))</f>
        <v>Yes</v>
      </c>
      <c r="BO55" s="0" t="s">
        <v>2321</v>
      </c>
      <c r="BP55" s="0" t="str">
        <f aca="false">IF(ISBLANK(BO55),"One-Time Plan",BO55)</f>
        <v>One-Time Plan</v>
      </c>
      <c r="BQ55" s="0" t="s">
        <v>190</v>
      </c>
      <c r="BR55" s="0" t="str">
        <f aca="false">PROPER(IF(ISBLANK(BQ55),"No",BQ55))</f>
        <v>Yes</v>
      </c>
    </row>
    <row r="56" customFormat="false" ht="15" hidden="false" customHeight="false" outlineLevel="0" collapsed="false">
      <c r="A56" s="0" t="s">
        <v>281</v>
      </c>
      <c r="B56" s="2" t="n">
        <v>45732</v>
      </c>
      <c r="C56" s="2" t="str">
        <f aca="false">TEXT(B56,"dd/mm/yyyy")</f>
        <v>16/03/2025</v>
      </c>
      <c r="D56" s="0" t="s">
        <v>163</v>
      </c>
      <c r="E56" s="0" t="n">
        <v>8085980240</v>
      </c>
      <c r="F56" s="0" t="s">
        <v>67</v>
      </c>
      <c r="G56" s="0" t="s">
        <v>2316</v>
      </c>
      <c r="H56" s="0" t="s">
        <v>282</v>
      </c>
      <c r="I56" s="0" t="s">
        <v>107</v>
      </c>
      <c r="K56" s="3" t="str">
        <f aca="false" t="array" ref="K56:K56">IFERROR(IF(J56&lt;&gt;"",J56,INDEX(J56:J1055,MATCH(1,(F56:F1055=F56)*(I56:I1055=I56)*(L56:L1055=L56)*(J56:J1055&lt;&gt;""),0))),"Not Found")</f>
        <v>Oil Change</v>
      </c>
      <c r="L56" s="3" t="s">
        <v>47</v>
      </c>
      <c r="M56" s="0" t="str">
        <f aca="false">PROPER(L56)</f>
        <v>None</v>
      </c>
      <c r="O56" s="0" t="e">
        <f aca="false" t="array" ref="O56:O56">IF(N56&lt;&gt;"",N56,_xlfn.xlookup(1,(L56:L1055=L56)*(N56:N1055&lt;&gt;""),N56:N1055,"Not Found"))</f>
        <v>#NAME?</v>
      </c>
      <c r="P56" s="4" t="n">
        <v>69921</v>
      </c>
      <c r="Q56" s="0" t="s">
        <v>72</v>
      </c>
      <c r="R56" s="0" t="str">
        <f aca="false">PROPER(Q56)</f>
        <v>Pos</v>
      </c>
      <c r="S56" s="0" t="s">
        <v>63</v>
      </c>
      <c r="T56" s="0" t="n">
        <v>1</v>
      </c>
      <c r="U56" s="5" t="n">
        <f aca="false">IF(ISBLANK(T56),AVERAGE(T56:T1055),T56)</f>
        <v>1</v>
      </c>
      <c r="V56" s="0" t="n">
        <v>3.4</v>
      </c>
      <c r="W56" s="0" t="s">
        <v>111</v>
      </c>
      <c r="X56" s="0" t="str">
        <f aca="false">IF(ISBLANK(W56),"No remarks",W56)</f>
        <v>Changed all filters</v>
      </c>
      <c r="Y56" s="0" t="s">
        <v>52</v>
      </c>
      <c r="Z56" s="0" t="s">
        <v>136</v>
      </c>
      <c r="AA56" s="0" t="str">
        <f aca="false">PROPER(IF(ISBLANK(Z56),"Location Unavailable",Z56))</f>
        <v>Vip Section</v>
      </c>
      <c r="AB56" s="0" t="s">
        <v>147</v>
      </c>
      <c r="AC56" s="6" t="str">
        <f aca="false">PROPER(AB56)</f>
        <v>Instagram</v>
      </c>
      <c r="AE56" s="5" t="n">
        <f aca="false">IF(ISBLANK(AD56),AVERAGEIF(L56:L1055,L56,AD56:AD1055),AD56)</f>
        <v>37.5</v>
      </c>
      <c r="AF56" s="0" t="s">
        <v>76</v>
      </c>
      <c r="AG56" s="0" t="str">
        <f aca="false">PROPER(AF56)</f>
        <v>Orderd</v>
      </c>
      <c r="AH56" s="0" t="s">
        <v>155</v>
      </c>
      <c r="AI56" s="0" t="s">
        <v>128</v>
      </c>
      <c r="AJ56" s="0" t="str">
        <f aca="false">PROPER(AI56)</f>
        <v>Normal</v>
      </c>
      <c r="AK56" s="0" t="s">
        <v>114</v>
      </c>
      <c r="AL56" s="0" t="str">
        <f aca="false">PROPER(AK56)</f>
        <v>Returning</v>
      </c>
      <c r="AM56" s="0" t="s">
        <v>177</v>
      </c>
      <c r="AN56" s="0" t="str">
        <f aca="false">IF(ISBLANK(AM56),"Unknown",AM56)</f>
        <v>Private</v>
      </c>
      <c r="AO56" s="0" t="s">
        <v>161</v>
      </c>
      <c r="AP56" s="0" t="str">
        <f aca="false">IF(ISBLANK(AO56),"Unknown",AO56)</f>
        <v>Apprentice</v>
      </c>
      <c r="AQ56" s="0" t="n">
        <v>30000</v>
      </c>
      <c r="AR56" s="5" t="n">
        <f aca="false">IF(ISBLANK(AQ56),AVERAGEIF(M56:M1055,M56,AQ56:AQ1055),AQ56)</f>
        <v>30000</v>
      </c>
      <c r="AT56" s="5" t="n">
        <f aca="false">IF(ISBLANK(AS56),AVERAGE(AS56:AS1055),AS56)</f>
        <v>31479.5918367347</v>
      </c>
      <c r="AU56" s="0" t="s">
        <v>82</v>
      </c>
      <c r="AV56" s="0" t="str">
        <f aca="false">PROPER(IF(ISBLANK(AU56),"No",AU56))</f>
        <v>Yes</v>
      </c>
      <c r="AW56" s="0" t="n">
        <v>10000</v>
      </c>
      <c r="AX56" s="5" t="n">
        <f aca="false">IF(ISBLANK(AW56),0,AW56)</f>
        <v>10000</v>
      </c>
      <c r="AY56" s="0" t="s">
        <v>184</v>
      </c>
      <c r="AZ56" s="0" t="str">
        <f aca="false">UPPER(IF(ISBLANK(AY56),"NONE",AY56))</f>
        <v>N/A</v>
      </c>
      <c r="BA56" s="7" t="n">
        <v>45847</v>
      </c>
      <c r="BB56" s="7" t="n">
        <f aca="false">IF(ISBLANK(BA56),"No Follow Up Needed",BA56)</f>
        <v>45847</v>
      </c>
      <c r="BC56" s="0" t="s">
        <v>63</v>
      </c>
      <c r="BD56" s="0" t="str">
        <f aca="false">PROPER(IF(ISBLANK(BC56),"Unknown",BC56))</f>
        <v>Yes</v>
      </c>
      <c r="BE56" s="0" t="s">
        <v>171</v>
      </c>
      <c r="BF56" s="0" t="str">
        <f aca="false">IF(ISBLANK(BE56),"No comments",BE56)</f>
        <v>Shock absorber weakening</v>
      </c>
      <c r="BG56" s="0" t="s">
        <v>117</v>
      </c>
      <c r="BH56" s="0" t="str">
        <f aca="false">IF(ISBLANK(BG56),"No comments",BG56)</f>
        <v>Prefers morning</v>
      </c>
      <c r="BJ56" s="0" t="str">
        <f aca="false">IF(ISBLANK(BI56),"Not Mentioned",BI56)</f>
        <v>Not Mentioned</v>
      </c>
      <c r="BL56" s="0" t="str">
        <f aca="false">PROPER(IF(ISBLANK(BK56),"Not Mentioned",BK56))</f>
        <v>Not Mentioned</v>
      </c>
      <c r="BM56" s="0" t="s">
        <v>63</v>
      </c>
      <c r="BN56" s="0" t="str">
        <f aca="false">PROPER(IF(ISBLANK(BM56),"Not Mentioned",BM56))</f>
        <v>Yes</v>
      </c>
      <c r="BO56" s="0" t="s">
        <v>2318</v>
      </c>
      <c r="BP56" s="0" t="str">
        <f aca="false">IF(ISBLANK(BO56),"One-Time Plan",BO56)</f>
        <v>Gold</v>
      </c>
      <c r="BQ56" s="0" t="s">
        <v>190</v>
      </c>
      <c r="BR56" s="0" t="str">
        <f aca="false">PROPER(IF(ISBLANK(BQ56),"No",BQ56))</f>
        <v>Yes</v>
      </c>
    </row>
    <row r="57" customFormat="false" ht="15" hidden="false" customHeight="false" outlineLevel="0" collapsed="false">
      <c r="A57" s="0" t="s">
        <v>283</v>
      </c>
      <c r="B57" s="2" t="n">
        <v>45783</v>
      </c>
      <c r="C57" s="2" t="str">
        <f aca="false">TEXT(B57,"dd/mm/yyyy")</f>
        <v>06/05/2025</v>
      </c>
      <c r="D57" s="0" t="s">
        <v>105</v>
      </c>
      <c r="E57" s="0" t="n">
        <v>8055051587</v>
      </c>
      <c r="F57" s="0" t="s">
        <v>85</v>
      </c>
      <c r="G57" s="0" t="s">
        <v>2319</v>
      </c>
      <c r="H57" s="0" t="s">
        <v>284</v>
      </c>
      <c r="I57" s="0" t="s">
        <v>134</v>
      </c>
      <c r="J57" s="0" t="s">
        <v>2322</v>
      </c>
      <c r="K57" s="3" t="str">
        <f aca="false" t="array" ref="K57:K57">IFERROR(IF(J57&lt;&gt;"",J57,INDEX(J57:J1056,MATCH(1,(F57:F1056=F57)*(I57:I1056=I57)*(L57:L1056=L57)*(J57:J1056&lt;&gt;""),0))),"Not Found")</f>
        <v>Brake Failure</v>
      </c>
      <c r="L57" s="3" t="s">
        <v>189</v>
      </c>
      <c r="M57" s="0" t="str">
        <f aca="false">PROPER(L57)</f>
        <v>Battery</v>
      </c>
      <c r="N57" s="3" t="s">
        <v>109</v>
      </c>
      <c r="O57" s="0" t="str">
        <f aca="false" t="array" ref="O57:O57">IF(N57&lt;&gt;"",N57,_xlfn.xlookup(1,(L57:L1056=L57)*(N57:N1056&lt;&gt;""),N57:N1056,"Not Found"))</f>
        <v>Tijani</v>
      </c>
      <c r="P57" s="4" t="n">
        <v>100109</v>
      </c>
      <c r="Q57" s="0" t="s">
        <v>166</v>
      </c>
      <c r="R57" s="0" t="str">
        <f aca="false">PROPER(Q57)</f>
        <v>Transfer</v>
      </c>
      <c r="S57" s="0" t="s">
        <v>50</v>
      </c>
      <c r="T57" s="0" t="n">
        <v>5</v>
      </c>
      <c r="U57" s="5" t="n">
        <f aca="false">IF(ISBLANK(T57),AVERAGE(T57:T1056),T57)</f>
        <v>5</v>
      </c>
      <c r="V57" s="0" t="n">
        <v>4.3</v>
      </c>
      <c r="W57" s="0" t="s">
        <v>51</v>
      </c>
      <c r="X57" s="0" t="str">
        <f aca="false">IF(ISBLANK(W57),"No remarks",W57)</f>
        <v>Recommended further checks</v>
      </c>
      <c r="Y57" s="0" t="s">
        <v>93</v>
      </c>
      <c r="Z57" s="0" t="s">
        <v>159</v>
      </c>
      <c r="AA57" s="0" t="str">
        <f aca="false">PROPER(IF(ISBLANK(Z57),"Location Unavailable",Z57))</f>
        <v>Main Bay</v>
      </c>
      <c r="AB57" s="0" t="s">
        <v>95</v>
      </c>
      <c r="AC57" s="6" t="str">
        <f aca="false">PROPER(AB57)</f>
        <v>Road Sign</v>
      </c>
      <c r="AD57" s="6" t="n">
        <v>45</v>
      </c>
      <c r="AE57" s="5" t="n">
        <f aca="false">IF(ISBLANK(AD57),AVERAGEIF(L57:L1056,L57,AD57:AD1056),AD57)</f>
        <v>45</v>
      </c>
      <c r="AF57" s="0" t="s">
        <v>76</v>
      </c>
      <c r="AG57" s="0" t="str">
        <f aca="false">PROPER(AF57)</f>
        <v>Orderd</v>
      </c>
      <c r="AH57" s="0" t="s">
        <v>77</v>
      </c>
      <c r="AI57" s="0" t="s">
        <v>78</v>
      </c>
      <c r="AJ57" s="0" t="str">
        <f aca="false">PROPER(AI57)</f>
        <v>Booking</v>
      </c>
      <c r="AK57" s="0" t="s">
        <v>196</v>
      </c>
      <c r="AL57" s="0" t="str">
        <f aca="false">PROPER(AK57)</f>
        <v>First Time</v>
      </c>
      <c r="AM57" s="0" t="s">
        <v>177</v>
      </c>
      <c r="AN57" s="0" t="str">
        <f aca="false">IF(ISBLANK(AM57),"Unknown",AM57)</f>
        <v>Private</v>
      </c>
      <c r="AO57" s="0" t="s">
        <v>143</v>
      </c>
      <c r="AP57" s="0" t="str">
        <f aca="false">IF(ISBLANK(AO57),"Unknown",AO57)</f>
        <v>Senior</v>
      </c>
      <c r="AQ57" s="0" t="n">
        <v>25000</v>
      </c>
      <c r="AR57" s="5" t="n">
        <f aca="false">IF(ISBLANK(AQ57),AVERAGEIF(M57:M1056,M57,AQ57:AQ1056),AQ57)</f>
        <v>25000</v>
      </c>
      <c r="AT57" s="5" t="n">
        <f aca="false">IF(ISBLANK(AS57),AVERAGE(AS57:AS1056),AS57)</f>
        <v>31479.5918367347</v>
      </c>
      <c r="AU57" s="0" t="s">
        <v>82</v>
      </c>
      <c r="AV57" s="0" t="str">
        <f aca="false">PROPER(IF(ISBLANK(AU57),"No",AU57))</f>
        <v>Yes</v>
      </c>
      <c r="AW57" s="0" t="n">
        <v>10000</v>
      </c>
      <c r="AX57" s="5" t="n">
        <f aca="false">IF(ISBLANK(AW57),0,AW57)</f>
        <v>10000</v>
      </c>
      <c r="AY57" s="0" t="s">
        <v>80</v>
      </c>
      <c r="AZ57" s="0" t="str">
        <f aca="false">UPPER(IF(ISBLANK(AY57),"NONE",AY57))</f>
        <v>PROMO10</v>
      </c>
      <c r="BB57" s="7" t="str">
        <f aca="false">IF(ISBLANK(BA57),"No Follow Up Needed",BA57)</f>
        <v>No Follow Up Needed</v>
      </c>
      <c r="BC57" s="0" t="s">
        <v>61</v>
      </c>
      <c r="BD57" s="0" t="str">
        <f aca="false">PROPER(IF(ISBLANK(BC57),"Unknown",BC57))</f>
        <v>No</v>
      </c>
      <c r="BE57" s="0" t="s">
        <v>171</v>
      </c>
      <c r="BF57" s="0" t="str">
        <f aca="false">IF(ISBLANK(BE57),"No comments",BE57)</f>
        <v>Shock absorber weakening</v>
      </c>
      <c r="BG57" s="0" t="s">
        <v>117</v>
      </c>
      <c r="BH57" s="0" t="str">
        <f aca="false">IF(ISBLANK(BG57),"No comments",BG57)</f>
        <v>Prefers morning</v>
      </c>
      <c r="BI57" s="0" t="s">
        <v>50</v>
      </c>
      <c r="BJ57" s="0" t="str">
        <f aca="false">IF(ISBLANK(BI57),"Not Mentioned",BI57)</f>
        <v>No</v>
      </c>
      <c r="BK57" s="0" t="s">
        <v>82</v>
      </c>
      <c r="BL57" s="0" t="str">
        <f aca="false">PROPER(IF(ISBLANK(BK57),"Not Mentioned",BK57))</f>
        <v>Yes</v>
      </c>
      <c r="BN57" s="0" t="str">
        <f aca="false">PROPER(IF(ISBLANK(BM57),"Not Mentioned",BM57))</f>
        <v>Not Mentioned</v>
      </c>
      <c r="BO57" s="0" t="s">
        <v>2318</v>
      </c>
      <c r="BP57" s="0" t="str">
        <f aca="false">IF(ISBLANK(BO57),"One-Time Plan",BO57)</f>
        <v>Gold</v>
      </c>
      <c r="BQ57" s="0" t="s">
        <v>190</v>
      </c>
      <c r="BR57" s="0" t="str">
        <f aca="false">PROPER(IF(ISBLANK(BQ57),"No",BQ57))</f>
        <v>Yes</v>
      </c>
    </row>
    <row r="58" customFormat="false" ht="15" hidden="false" customHeight="false" outlineLevel="0" collapsed="false">
      <c r="A58" s="0" t="s">
        <v>285</v>
      </c>
      <c r="B58" s="2" t="n">
        <v>45759</v>
      </c>
      <c r="C58" s="2" t="str">
        <f aca="false">TEXT(B58,"dd/mm/yyyy")</f>
        <v>12/04/2025</v>
      </c>
      <c r="D58" s="0" t="s">
        <v>163</v>
      </c>
      <c r="E58" s="0" t="n">
        <v>8092691963</v>
      </c>
      <c r="F58" s="0" t="s">
        <v>43</v>
      </c>
      <c r="G58" s="0" t="s">
        <v>2315</v>
      </c>
      <c r="H58" s="0" t="s">
        <v>286</v>
      </c>
      <c r="I58" s="0" t="s">
        <v>107</v>
      </c>
      <c r="J58" s="0" t="s">
        <v>87</v>
      </c>
      <c r="K58" s="3" t="str">
        <f aca="false" t="array" ref="K58:K58">IFERROR(IF(J58&lt;&gt;"",J58,INDEX(J58:J1057,MATCH(1,(F58:F1057=F58)*(I58:I1057=I58)*(L58:L1057=L58)*(J58:J1057&lt;&gt;""),0))),"Not Found")</f>
        <v>Oil Change</v>
      </c>
      <c r="L58" s="3" t="s">
        <v>189</v>
      </c>
      <c r="M58" s="0" t="str">
        <f aca="false">PROPER(L58)</f>
        <v>Battery</v>
      </c>
      <c r="O58" s="0" t="e">
        <f aca="false" t="array" ref="O58:O58">IF(N58&lt;&gt;"",N58,_xlfn.xlookup(1,(L58:L1057=L58)*(N58:N1057&lt;&gt;""),N58:N1057,"Not Found"))</f>
        <v>#NAME?</v>
      </c>
      <c r="P58" s="4" t="n">
        <v>38189</v>
      </c>
      <c r="Q58" s="0" t="s">
        <v>49</v>
      </c>
      <c r="R58" s="0" t="str">
        <f aca="false">PROPER(Q58)</f>
        <v>Transfer</v>
      </c>
      <c r="S58" s="0" t="s">
        <v>63</v>
      </c>
      <c r="U58" s="5" t="n">
        <f aca="false">IF(ISBLANK(T58),AVERAGE(T58:T1057),T58)</f>
        <v>2.99108280254777</v>
      </c>
      <c r="V58" s="0" t="n">
        <v>3.7</v>
      </c>
      <c r="W58" s="0" t="s">
        <v>92</v>
      </c>
      <c r="X58" s="0" t="str">
        <f aca="false">IF(ISBLANK(W58),"No remarks",W58)</f>
        <v>Urgent service</v>
      </c>
      <c r="Y58" s="0" t="s">
        <v>52</v>
      </c>
      <c r="Z58" s="0" t="s">
        <v>136</v>
      </c>
      <c r="AA58" s="0" t="str">
        <f aca="false">PROPER(IF(ISBLANK(Z58),"Location Unavailable",Z58))</f>
        <v>Vip Section</v>
      </c>
      <c r="AB58" s="0" t="s">
        <v>95</v>
      </c>
      <c r="AC58" s="6" t="str">
        <f aca="false">PROPER(AB58)</f>
        <v>Road Sign</v>
      </c>
      <c r="AD58" s="6" t="n">
        <v>45</v>
      </c>
      <c r="AE58" s="5" t="n">
        <f aca="false">IF(ISBLANK(AD58),AVERAGEIF(L58:L1057,L58,AD58:AD1057),AD58)</f>
        <v>45</v>
      </c>
      <c r="AF58" s="0" t="s">
        <v>96</v>
      </c>
      <c r="AG58" s="0" t="str">
        <f aca="false">PROPER(AF58)</f>
        <v>Ordered</v>
      </c>
      <c r="AH58" s="0" t="s">
        <v>155</v>
      </c>
      <c r="AI58" s="0" t="s">
        <v>98</v>
      </c>
      <c r="AJ58" s="0" t="str">
        <f aca="false">PROPER(AI58)</f>
        <v>Emergency</v>
      </c>
      <c r="AK58" s="0" t="s">
        <v>58</v>
      </c>
      <c r="AL58" s="0" t="str">
        <f aca="false">PROPER(AK58)</f>
        <v>Fleet Owner</v>
      </c>
      <c r="AN58" s="0" t="str">
        <f aca="false">IF(ISBLANK(AM58),"Unknown",AM58)</f>
        <v>Unknown</v>
      </c>
      <c r="AO58" s="0" t="s">
        <v>79</v>
      </c>
      <c r="AP58" s="0" t="str">
        <f aca="false">IF(ISBLANK(AO58),"Unknown",AO58)</f>
        <v>Specialist</v>
      </c>
      <c r="AQ58" s="0" t="n">
        <v>25000</v>
      </c>
      <c r="AR58" s="5" t="n">
        <f aca="false">IF(ISBLANK(AQ58),AVERAGEIF(M58:M1057,M58,AQ58:AQ1057),AQ58)</f>
        <v>25000</v>
      </c>
      <c r="AS58" s="0" t="n">
        <v>35000</v>
      </c>
      <c r="AT58" s="5" t="n">
        <f aca="false">IF(ISBLANK(AS58),AVERAGE(AS58:AS1057),AS58)</f>
        <v>35000</v>
      </c>
      <c r="AU58" s="0" t="s">
        <v>82</v>
      </c>
      <c r="AV58" s="0" t="str">
        <f aca="false">PROPER(IF(ISBLANK(AU58),"No",AU58))</f>
        <v>Yes</v>
      </c>
      <c r="AW58" s="0" t="n">
        <v>0</v>
      </c>
      <c r="AX58" s="5" t="n">
        <f aca="false">IF(ISBLANK(AW58),0,AW58)</f>
        <v>0</v>
      </c>
      <c r="AZ58" s="0" t="str">
        <f aca="false">UPPER(IF(ISBLANK(AY58),"NONE",AY58))</f>
        <v>NONE</v>
      </c>
      <c r="BA58" s="7" t="n">
        <v>45898</v>
      </c>
      <c r="BB58" s="7" t="n">
        <f aca="false">IF(ISBLANK(BA58),"No Follow Up Needed",BA58)</f>
        <v>45898</v>
      </c>
      <c r="BC58" s="0" t="s">
        <v>82</v>
      </c>
      <c r="BD58" s="0" t="str">
        <f aca="false">PROPER(IF(ISBLANK(BC58),"Unknown",BC58))</f>
        <v>Yes</v>
      </c>
      <c r="BE58" s="0" t="s">
        <v>171</v>
      </c>
      <c r="BF58" s="0" t="str">
        <f aca="false">IF(ISBLANK(BE58),"No comments",BE58)</f>
        <v>Shock absorber weakening</v>
      </c>
      <c r="BG58" s="0" t="s">
        <v>117</v>
      </c>
      <c r="BH58" s="0" t="str">
        <f aca="false">IF(ISBLANK(BG58),"No comments",BG58)</f>
        <v>Prefers morning</v>
      </c>
      <c r="BI58" s="0" t="s">
        <v>63</v>
      </c>
      <c r="BJ58" s="0" t="str">
        <f aca="false">IF(ISBLANK(BI58),"Not Mentioned",BI58)</f>
        <v>Yes</v>
      </c>
      <c r="BK58" s="0" t="s">
        <v>50</v>
      </c>
      <c r="BL58" s="0" t="str">
        <f aca="false">PROPER(IF(ISBLANK(BK58),"Not Mentioned",BK58))</f>
        <v>No</v>
      </c>
      <c r="BM58" s="0" t="s">
        <v>63</v>
      </c>
      <c r="BN58" s="0" t="str">
        <f aca="false">PROPER(IF(ISBLANK(BM58),"Not Mentioned",BM58))</f>
        <v>Yes</v>
      </c>
      <c r="BO58" s="0" t="s">
        <v>2321</v>
      </c>
      <c r="BP58" s="0" t="str">
        <f aca="false">IF(ISBLANK(BO58),"One-Time Plan",BO58)</f>
        <v>One-Time Plan</v>
      </c>
      <c r="BQ58" s="0" t="s">
        <v>63</v>
      </c>
      <c r="BR58" s="0" t="str">
        <f aca="false">PROPER(IF(ISBLANK(BQ58),"No",BQ58))</f>
        <v>Yes</v>
      </c>
    </row>
    <row r="59" customFormat="false" ht="15" hidden="false" customHeight="false" outlineLevel="0" collapsed="false">
      <c r="A59" s="0" t="s">
        <v>287</v>
      </c>
      <c r="B59" s="2" t="n">
        <v>45698</v>
      </c>
      <c r="C59" s="2" t="str">
        <f aca="false">TEXT(B59,"dd/mm/yyyy")</f>
        <v>10/02/2025</v>
      </c>
      <c r="D59" s="0" t="s">
        <v>42</v>
      </c>
      <c r="E59" s="0" t="n">
        <v>8050215871</v>
      </c>
      <c r="F59" s="0" t="s">
        <v>67</v>
      </c>
      <c r="G59" s="0" t="s">
        <v>2316</v>
      </c>
      <c r="H59" s="0" t="s">
        <v>288</v>
      </c>
      <c r="I59" s="0" t="s">
        <v>107</v>
      </c>
      <c r="K59" s="3" t="str">
        <f aca="false" t="array" ref="K59:K59">IFERROR(IF(J59&lt;&gt;"",J59,INDEX(J59:J1058,MATCH(1,(F59:F1058=F59)*(I59:I1058=I59)*(L59:L1058=L59)*(J59:J1058&lt;&gt;""),0))),"Not Found")</f>
        <v>Brake Failure</v>
      </c>
      <c r="L59" s="3" t="s">
        <v>142</v>
      </c>
      <c r="M59" s="0" t="str">
        <f aca="false">PROPER(L59)</f>
        <v>Oil Filter, Brake Pads</v>
      </c>
      <c r="O59" s="0" t="e">
        <f aca="false" t="array" ref="O59:O59">IF(N59&lt;&gt;"",N59,_xlfn.xlookup(1,(L59:L1058=L59)*(N59:N1058&lt;&gt;""),N59:N1058,"Not Found"))</f>
        <v>#NAME?</v>
      </c>
      <c r="P59" s="4" t="n">
        <v>35994</v>
      </c>
      <c r="Q59" s="0" t="s">
        <v>49</v>
      </c>
      <c r="R59" s="0" t="str">
        <f aca="false">PROPER(Q59)</f>
        <v>Transfer</v>
      </c>
      <c r="S59" s="0" t="s">
        <v>50</v>
      </c>
      <c r="U59" s="5" t="n">
        <f aca="false">IF(ISBLANK(T59),AVERAGE(T59:T1058),T59)</f>
        <v>2.99108280254777</v>
      </c>
      <c r="V59" s="0" t="n">
        <v>2.2</v>
      </c>
      <c r="W59" s="0" t="s">
        <v>51</v>
      </c>
      <c r="X59" s="0" t="str">
        <f aca="false">IF(ISBLANK(W59),"No remarks",W59)</f>
        <v>Recommended further checks</v>
      </c>
      <c r="Y59" s="0" t="s">
        <v>52</v>
      </c>
      <c r="Z59" s="0" t="s">
        <v>74</v>
      </c>
      <c r="AA59" s="0" t="str">
        <f aca="false">PROPER(IF(ISBLANK(Z59),"Location Unavailable",Z59))</f>
        <v>Under Tree</v>
      </c>
      <c r="AB59" s="0" t="s">
        <v>54</v>
      </c>
      <c r="AC59" s="6" t="str">
        <f aca="false">PROPER(AB59)</f>
        <v>Mechanic Referral</v>
      </c>
      <c r="AD59" s="6" t="n">
        <v>45</v>
      </c>
      <c r="AE59" s="5" t="n">
        <f aca="false">IF(ISBLANK(AD59),AVERAGEIF(L59:L1058,L59,AD59:AD1058),AD59)</f>
        <v>45</v>
      </c>
      <c r="AF59" s="0" t="s">
        <v>160</v>
      </c>
      <c r="AG59" s="0" t="str">
        <f aca="false">PROPER(AF59)</f>
        <v>Availaible</v>
      </c>
      <c r="AH59" s="0" t="s">
        <v>148</v>
      </c>
      <c r="AI59" s="0" t="s">
        <v>113</v>
      </c>
      <c r="AJ59" s="0" t="str">
        <f aca="false">PROPER(AI59)</f>
        <v>Normal</v>
      </c>
      <c r="AK59" s="0" t="s">
        <v>58</v>
      </c>
      <c r="AL59" s="0" t="str">
        <f aca="false">PROPER(AK59)</f>
        <v>Fleet Owner</v>
      </c>
      <c r="AM59" s="0" t="s">
        <v>59</v>
      </c>
      <c r="AN59" s="0" t="str">
        <f aca="false">IF(ISBLANK(AM59),"Unknown",AM59)</f>
        <v>Bolt Driver</v>
      </c>
      <c r="AO59" s="0" t="s">
        <v>79</v>
      </c>
      <c r="AP59" s="0" t="str">
        <f aca="false">IF(ISBLANK(AO59),"Unknown",AO59)</f>
        <v>Specialist</v>
      </c>
      <c r="AQ59" s="0" t="n">
        <v>15000</v>
      </c>
      <c r="AR59" s="5" t="n">
        <f aca="false">IF(ISBLANK(AQ59),AVERAGEIF(M59:M1058,M59,AQ59:AQ1058),AQ59)</f>
        <v>15000</v>
      </c>
      <c r="AS59" s="0" t="n">
        <v>40000</v>
      </c>
      <c r="AT59" s="5" t="n">
        <f aca="false">IF(ISBLANK(AS59),AVERAGE(AS59:AS1058),AS59)</f>
        <v>40000</v>
      </c>
      <c r="AU59" s="0" t="s">
        <v>63</v>
      </c>
      <c r="AV59" s="0" t="str">
        <f aca="false">PROPER(IF(ISBLANK(AU59),"No",AU59))</f>
        <v>Yes</v>
      </c>
      <c r="AX59" s="5" t="n">
        <f aca="false">IF(ISBLANK(AW59),0,AW59)</f>
        <v>0</v>
      </c>
      <c r="AZ59" s="0" t="str">
        <f aca="false">UPPER(IF(ISBLANK(AY59),"NONE",AY59))</f>
        <v>NONE</v>
      </c>
      <c r="BB59" s="7" t="str">
        <f aca="false">IF(ISBLANK(BA59),"No Follow Up Needed",BA59)</f>
        <v>No Follow Up Needed</v>
      </c>
      <c r="BC59" s="0" t="s">
        <v>61</v>
      </c>
      <c r="BD59" s="0" t="str">
        <f aca="false">PROPER(IF(ISBLANK(BC59),"Unknown",BC59))</f>
        <v>No</v>
      </c>
      <c r="BF59" s="0" t="str">
        <f aca="false">IF(ISBLANK(BE59),"No comments",BE59)</f>
        <v>No comments</v>
      </c>
      <c r="BH59" s="0" t="str">
        <f aca="false">IF(ISBLANK(BG59),"No comments",BG59)</f>
        <v>No comments</v>
      </c>
      <c r="BJ59" s="0" t="str">
        <f aca="false">IF(ISBLANK(BI59),"Not Mentioned",BI59)</f>
        <v>Not Mentioned</v>
      </c>
      <c r="BK59" s="0" t="s">
        <v>82</v>
      </c>
      <c r="BL59" s="0" t="str">
        <f aca="false">PROPER(IF(ISBLANK(BK59),"Not Mentioned",BK59))</f>
        <v>Yes</v>
      </c>
      <c r="BM59" s="0" t="s">
        <v>50</v>
      </c>
      <c r="BN59" s="0" t="str">
        <f aca="false">PROPER(IF(ISBLANK(BM59),"Not Mentioned",BM59))</f>
        <v>No</v>
      </c>
      <c r="BO59" s="0" t="s">
        <v>64</v>
      </c>
      <c r="BP59" s="0" t="str">
        <f aca="false">IF(ISBLANK(BO59),"One-Time Plan",BO59)</f>
        <v>Gold Maintenance Plan</v>
      </c>
      <c r="BQ59" s="0" t="s">
        <v>198</v>
      </c>
      <c r="BR59" s="0" t="str">
        <f aca="false">PROPER(IF(ISBLANK(BQ59),"No",BQ59))</f>
        <v>Followed Up</v>
      </c>
    </row>
    <row r="60" customFormat="false" ht="15" hidden="false" customHeight="false" outlineLevel="0" collapsed="false">
      <c r="A60" s="0" t="s">
        <v>289</v>
      </c>
      <c r="B60" s="2" t="n">
        <v>45758</v>
      </c>
      <c r="C60" s="2" t="str">
        <f aca="false">TEXT(B60,"dd/mm/yyyy")</f>
        <v>11/04/2025</v>
      </c>
      <c r="D60" s="0" t="s">
        <v>163</v>
      </c>
      <c r="E60" s="0" t="n">
        <v>8066196330</v>
      </c>
      <c r="F60" s="0" t="s">
        <v>122</v>
      </c>
      <c r="G60" s="0" t="s">
        <v>2316</v>
      </c>
      <c r="H60" s="0" t="s">
        <v>290</v>
      </c>
      <c r="I60" s="0" t="s">
        <v>134</v>
      </c>
      <c r="J60" s="0" t="s">
        <v>2325</v>
      </c>
      <c r="K60" s="3" t="str">
        <f aca="false" t="array" ref="K60:K60">IFERROR(IF(J60&lt;&gt;"",J60,INDEX(J60:J1059,MATCH(1,(F60:F1059=F60)*(I60:I1059=I60)*(L60:L1059=L60)*(J60:J1059&lt;&gt;""),0))),"Not Found")</f>
        <v>Engine Knocking</v>
      </c>
      <c r="L60" s="3" t="s">
        <v>89</v>
      </c>
      <c r="M60" s="0" t="str">
        <f aca="false">PROPER(L60)</f>
        <v>Shock Absorbers</v>
      </c>
      <c r="N60" s="3" t="s">
        <v>71</v>
      </c>
      <c r="O60" s="0" t="str">
        <f aca="false" t="array" ref="O60:O60">IF(N60&lt;&gt;"",N60,_xlfn.xlookup(1,(L60:L1059=L60)*(N60:N1059&lt;&gt;""),N60:N1059,"Not Found"))</f>
        <v>Isaac Bobo</v>
      </c>
      <c r="P60" s="4" t="n">
        <v>68051</v>
      </c>
      <c r="Q60" s="0" t="s">
        <v>166</v>
      </c>
      <c r="R60" s="0" t="str">
        <f aca="false">PROPER(Q60)</f>
        <v>Transfer</v>
      </c>
      <c r="S60" s="0" t="s">
        <v>63</v>
      </c>
      <c r="U60" s="5" t="n">
        <f aca="false">IF(ISBLANK(T60),AVERAGE(T60:T1059),T60)</f>
        <v>2.99108280254777</v>
      </c>
      <c r="V60" s="0" t="n">
        <v>4</v>
      </c>
      <c r="W60" s="0" t="s">
        <v>92</v>
      </c>
      <c r="X60" s="0" t="str">
        <f aca="false">IF(ISBLANK(W60),"No remarks",W60)</f>
        <v>Urgent service</v>
      </c>
      <c r="Y60" s="0" t="s">
        <v>52</v>
      </c>
      <c r="AA60" s="0" t="str">
        <f aca="false">PROPER(IF(ISBLANK(Z60),"Location Unavailable",Z60))</f>
        <v>Location Unavailable</v>
      </c>
      <c r="AB60" s="0" t="s">
        <v>167</v>
      </c>
      <c r="AC60" s="6" t="str">
        <f aca="false">PROPER(AB60)</f>
        <v>Word Of Mouth</v>
      </c>
      <c r="AD60" s="6" t="n">
        <v>45</v>
      </c>
      <c r="AE60" s="5" t="n">
        <f aca="false">IF(ISBLANK(AD60),AVERAGEIF(L60:L1059,L60,AD60:AD1059),AD60)</f>
        <v>45</v>
      </c>
      <c r="AF60" s="0" t="s">
        <v>160</v>
      </c>
      <c r="AG60" s="0" t="str">
        <f aca="false">PROPER(AF60)</f>
        <v>Availaible</v>
      </c>
      <c r="AH60" s="0" t="s">
        <v>56</v>
      </c>
      <c r="AI60" s="0" t="s">
        <v>113</v>
      </c>
      <c r="AJ60" s="0" t="str">
        <f aca="false">PROPER(AI60)</f>
        <v>Normal</v>
      </c>
      <c r="AK60" s="0" t="s">
        <v>196</v>
      </c>
      <c r="AL60" s="0" t="str">
        <f aca="false">PROPER(AK60)</f>
        <v>First Time</v>
      </c>
      <c r="AM60" s="0" t="s">
        <v>2326</v>
      </c>
      <c r="AN60" s="0" t="str">
        <f aca="false">IF(ISBLANK(AM60),"Unknown",AM60)</f>
        <v>Government Convoy</v>
      </c>
      <c r="AO60" s="0" t="s">
        <v>79</v>
      </c>
      <c r="AP60" s="0" t="str">
        <f aca="false">IF(ISBLANK(AO60),"Unknown",AO60)</f>
        <v>Specialist</v>
      </c>
      <c r="AR60" s="5" t="n">
        <f aca="false">IF(ISBLANK(AQ60),AVERAGEIF(M60:M1059,M60,AQ60:AQ1059),AQ60)</f>
        <v>26210.9375</v>
      </c>
      <c r="AS60" s="0" t="n">
        <v>30000</v>
      </c>
      <c r="AT60" s="5" t="n">
        <f aca="false">IF(ISBLANK(AS60),AVERAGE(AS60:AS1059),AS60)</f>
        <v>30000</v>
      </c>
      <c r="AU60" s="0" t="s">
        <v>61</v>
      </c>
      <c r="AV60" s="0" t="str">
        <f aca="false">PROPER(IF(ISBLANK(AU60),"No",AU60))</f>
        <v>No</v>
      </c>
      <c r="AW60" s="0" t="n">
        <v>5000</v>
      </c>
      <c r="AX60" s="5" t="n">
        <f aca="false">IF(ISBLANK(AW60),0,AW60)</f>
        <v>5000</v>
      </c>
      <c r="AZ60" s="0" t="str">
        <f aca="false">UPPER(IF(ISBLANK(AY60),"NONE",AY60))</f>
        <v>NONE</v>
      </c>
      <c r="BA60" s="7" t="n">
        <v>45881</v>
      </c>
      <c r="BB60" s="7" t="n">
        <f aca="false">IF(ISBLANK(BA60),"No Follow Up Needed",BA60)</f>
        <v>45881</v>
      </c>
      <c r="BC60" s="0" t="s">
        <v>61</v>
      </c>
      <c r="BD60" s="0" t="str">
        <f aca="false">PROPER(IF(ISBLANK(BC60),"Unknown",BC60))</f>
        <v>No</v>
      </c>
      <c r="BF60" s="0" t="str">
        <f aca="false">IF(ISBLANK(BE60),"No comments",BE60)</f>
        <v>No comments</v>
      </c>
      <c r="BG60" s="0" t="s">
        <v>117</v>
      </c>
      <c r="BH60" s="0" t="str">
        <f aca="false">IF(ISBLANK(BG60),"No comments",BG60)</f>
        <v>Prefers morning</v>
      </c>
      <c r="BI60" s="0" t="s">
        <v>63</v>
      </c>
      <c r="BJ60" s="0" t="str">
        <f aca="false">IF(ISBLANK(BI60),"Not Mentioned",BI60)</f>
        <v>Yes</v>
      </c>
      <c r="BK60" s="0" t="s">
        <v>63</v>
      </c>
      <c r="BL60" s="0" t="str">
        <f aca="false">PROPER(IF(ISBLANK(BK60),"Not Mentioned",BK60))</f>
        <v>Yes</v>
      </c>
      <c r="BN60" s="0" t="str">
        <f aca="false">PROPER(IF(ISBLANK(BM60),"Not Mentioned",BM60))</f>
        <v>Not Mentioned</v>
      </c>
      <c r="BP60" s="0" t="str">
        <f aca="false">IF(ISBLANK(BO60),"One-Time Plan",BO60)</f>
        <v>One-Time Plan</v>
      </c>
      <c r="BQ60" s="0" t="s">
        <v>63</v>
      </c>
      <c r="BR60" s="0" t="str">
        <f aca="false">PROPER(IF(ISBLANK(BQ60),"No",BQ60))</f>
        <v>Yes</v>
      </c>
    </row>
    <row r="61" customFormat="false" ht="15" hidden="false" customHeight="false" outlineLevel="0" collapsed="false">
      <c r="A61" s="0" t="s">
        <v>291</v>
      </c>
      <c r="B61" s="2" t="n">
        <v>45997</v>
      </c>
      <c r="C61" s="2" t="str">
        <f aca="false">TEXT(B61,"dd/mm/yyyy")</f>
        <v>06/12/2025</v>
      </c>
      <c r="D61" s="0" t="s">
        <v>163</v>
      </c>
      <c r="E61" s="0" t="n">
        <v>8054106502</v>
      </c>
      <c r="F61" s="0" t="s">
        <v>85</v>
      </c>
      <c r="G61" s="0" t="s">
        <v>2319</v>
      </c>
      <c r="H61" s="0" t="s">
        <v>292</v>
      </c>
      <c r="I61" s="0" t="s">
        <v>45</v>
      </c>
      <c r="J61" s="0" t="s">
        <v>2317</v>
      </c>
      <c r="K61" s="3" t="str">
        <f aca="false" t="array" ref="K61:K61">IFERROR(IF(J61&lt;&gt;"",J61,INDEX(J61:J1060,MATCH(1,(F61:F1060=F61)*(I61:I1060=I61)*(L61:L1060=L61)*(J61:J1060&lt;&gt;""),0))),"Not Found")</f>
        <v>Suspension Noise</v>
      </c>
      <c r="L61" s="3" t="s">
        <v>189</v>
      </c>
      <c r="M61" s="0" t="str">
        <f aca="false">PROPER(L61)</f>
        <v>Battery</v>
      </c>
      <c r="N61" s="3" t="s">
        <v>109</v>
      </c>
      <c r="O61" s="0" t="str">
        <f aca="false" t="array" ref="O61:O61">IF(N61&lt;&gt;"",N61,_xlfn.xlookup(1,(L61:L1060=L61)*(N61:N1060&lt;&gt;""),N61:N1060,"Not Found"))</f>
        <v>Tijani</v>
      </c>
      <c r="P61" s="4" t="n">
        <v>113181</v>
      </c>
      <c r="Q61" s="0" t="s">
        <v>124</v>
      </c>
      <c r="R61" s="0" t="str">
        <f aca="false">PROPER(Q61)</f>
        <v>Cash</v>
      </c>
      <c r="S61" s="0" t="s">
        <v>50</v>
      </c>
      <c r="T61" s="0" t="n">
        <v>5</v>
      </c>
      <c r="U61" s="5" t="n">
        <f aca="false">IF(ISBLANK(T61),AVERAGE(T61:T1060),T61)</f>
        <v>5</v>
      </c>
      <c r="V61" s="0" t="n">
        <v>3.4</v>
      </c>
      <c r="W61" s="0" t="s">
        <v>92</v>
      </c>
      <c r="X61" s="0" t="str">
        <f aca="false">IF(ISBLANK(W61),"No remarks",W61)</f>
        <v>Urgent service</v>
      </c>
      <c r="Y61" s="0" t="s">
        <v>73</v>
      </c>
      <c r="Z61" s="0" t="s">
        <v>53</v>
      </c>
      <c r="AA61" s="0" t="str">
        <f aca="false">PROPER(IF(ISBLANK(Z61),"Location Unavailable",Z61))</f>
        <v>Main Bay</v>
      </c>
      <c r="AB61" s="0" t="s">
        <v>167</v>
      </c>
      <c r="AC61" s="6" t="str">
        <f aca="false">PROPER(AB61)</f>
        <v>Word Of Mouth</v>
      </c>
      <c r="AD61" s="6" t="n">
        <v>45</v>
      </c>
      <c r="AE61" s="5" t="n">
        <f aca="false">IF(ISBLANK(AD61),AVERAGEIF(L61:L1060,L61,AD61:AD1060),AD61)</f>
        <v>45</v>
      </c>
      <c r="AF61" s="0" t="s">
        <v>55</v>
      </c>
      <c r="AG61" s="0" t="str">
        <f aca="false">PROPER(AF61)</f>
        <v>Available</v>
      </c>
      <c r="AH61" s="0" t="s">
        <v>155</v>
      </c>
      <c r="AI61" s="0" t="s">
        <v>113</v>
      </c>
      <c r="AJ61" s="0" t="str">
        <f aca="false">PROPER(AI61)</f>
        <v>Normal</v>
      </c>
      <c r="AK61" s="0" t="s">
        <v>196</v>
      </c>
      <c r="AL61" s="0" t="str">
        <f aca="false">PROPER(AK61)</f>
        <v>First Time</v>
      </c>
      <c r="AN61" s="0" t="str">
        <f aca="false">IF(ISBLANK(AM61),"Unknown",AM61)</f>
        <v>Unknown</v>
      </c>
      <c r="AO61" s="0" t="s">
        <v>149</v>
      </c>
      <c r="AP61" s="0" t="str">
        <f aca="false">IF(ISBLANK(AO61),"Unknown",AO61)</f>
        <v>Senior </v>
      </c>
      <c r="AQ61" s="0" t="n">
        <v>25000</v>
      </c>
      <c r="AR61" s="5" t="n">
        <f aca="false">IF(ISBLANK(AQ61),AVERAGEIF(M61:M1060,M61,AQ61:AQ1060),AQ61)</f>
        <v>25000</v>
      </c>
      <c r="AT61" s="5" t="n">
        <f aca="false">IF(ISBLANK(AS61),AVERAGE(AS61:AS1060),AS61)</f>
        <v>31466.0691421255</v>
      </c>
      <c r="AU61" s="0" t="s">
        <v>63</v>
      </c>
      <c r="AV61" s="0" t="str">
        <f aca="false">PROPER(IF(ISBLANK(AU61),"No",AU61))</f>
        <v>Yes</v>
      </c>
      <c r="AX61" s="5" t="n">
        <f aca="false">IF(ISBLANK(AW61),0,AW61)</f>
        <v>0</v>
      </c>
      <c r="AZ61" s="0" t="str">
        <f aca="false">UPPER(IF(ISBLANK(AY61),"NONE",AY61))</f>
        <v>NONE</v>
      </c>
      <c r="BA61" s="7" t="s">
        <v>212</v>
      </c>
      <c r="BB61" s="7" t="str">
        <f aca="false">IF(ISBLANK(BA61),"No Follow Up Needed",BA61)</f>
        <v>30/07/2025</v>
      </c>
      <c r="BC61" s="0" t="s">
        <v>50</v>
      </c>
      <c r="BD61" s="0" t="str">
        <f aca="false">PROPER(IF(ISBLANK(BC61),"Unknown",BC61))</f>
        <v>No</v>
      </c>
      <c r="BF61" s="0" t="str">
        <f aca="false">IF(ISBLANK(BE61),"No comments",BE61)</f>
        <v>No comments</v>
      </c>
      <c r="BG61" s="0" t="s">
        <v>172</v>
      </c>
      <c r="BH61" s="0" t="str">
        <f aca="false">IF(ISBLANK(BG61),"No comments",BG61)</f>
        <v>Always late</v>
      </c>
      <c r="BI61" s="0" t="s">
        <v>50</v>
      </c>
      <c r="BJ61" s="0" t="str">
        <f aca="false">IF(ISBLANK(BI61),"Not Mentioned",BI61)</f>
        <v>No</v>
      </c>
      <c r="BL61" s="0" t="str">
        <f aca="false">PROPER(IF(ISBLANK(BK61),"Not Mentioned",BK61))</f>
        <v>Not Mentioned</v>
      </c>
      <c r="BM61" s="0" t="s">
        <v>50</v>
      </c>
      <c r="BN61" s="0" t="str">
        <f aca="false">PROPER(IF(ISBLANK(BM61),"Not Mentioned",BM61))</f>
        <v>No</v>
      </c>
      <c r="BO61" s="0" t="s">
        <v>2321</v>
      </c>
      <c r="BP61" s="0" t="str">
        <f aca="false">IF(ISBLANK(BO61),"One-Time Plan",BO61)</f>
        <v>One-Time Plan</v>
      </c>
      <c r="BQ61" s="0" t="s">
        <v>50</v>
      </c>
      <c r="BR61" s="0" t="str">
        <f aca="false">PROPER(IF(ISBLANK(BQ61),"No",BQ61))</f>
        <v>No</v>
      </c>
    </row>
    <row r="62" customFormat="false" ht="15" hidden="false" customHeight="false" outlineLevel="0" collapsed="false">
      <c r="A62" s="0" t="s">
        <v>293</v>
      </c>
      <c r="B62" s="2" t="n">
        <v>45660</v>
      </c>
      <c r="C62" s="2" t="str">
        <f aca="false">TEXT(B62,"dd/mm/yyyy")</f>
        <v>03/01/2025</v>
      </c>
      <c r="D62" s="0" t="s">
        <v>105</v>
      </c>
      <c r="E62" s="0" t="n">
        <v>8031780851</v>
      </c>
      <c r="F62" s="0" t="s">
        <v>43</v>
      </c>
      <c r="G62" s="0" t="s">
        <v>2315</v>
      </c>
      <c r="H62" s="0" t="s">
        <v>294</v>
      </c>
      <c r="I62" s="0" t="s">
        <v>69</v>
      </c>
      <c r="J62" s="0" t="s">
        <v>2325</v>
      </c>
      <c r="K62" s="3" t="str">
        <f aca="false" t="array" ref="K62:K62">IFERROR(IF(J62&lt;&gt;"",J62,INDEX(J62:J1061,MATCH(1,(F62:F1061=F62)*(I62:I1061=I62)*(L62:L1061=L62)*(J62:J1061&lt;&gt;""),0))),"Not Found")</f>
        <v>Engine Knocking</v>
      </c>
      <c r="L62" s="3" t="s">
        <v>154</v>
      </c>
      <c r="M62" s="0" t="str">
        <f aca="false">PROPER(L62)</f>
        <v>Air Filter</v>
      </c>
      <c r="N62" s="3" t="s">
        <v>90</v>
      </c>
      <c r="O62" s="0" t="str">
        <f aca="false" t="array" ref="O62:O62">IF(N62&lt;&gt;"",N62,_xlfn.xlookup(1,(L62:L1061=L62)*(N62:N1061&lt;&gt;""),N62:N1061,"Not Found"))</f>
        <v>Musa</v>
      </c>
      <c r="P62" s="4" t="n">
        <v>104004</v>
      </c>
      <c r="Q62" s="0" t="s">
        <v>110</v>
      </c>
      <c r="R62" s="0" t="str">
        <f aca="false">PROPER(Q62)</f>
        <v>Cash</v>
      </c>
      <c r="S62" s="0" t="s">
        <v>50</v>
      </c>
      <c r="T62" s="0" t="n">
        <v>2</v>
      </c>
      <c r="U62" s="5" t="n">
        <f aca="false">IF(ISBLANK(T62),AVERAGE(T62:T1061),T62)</f>
        <v>2</v>
      </c>
      <c r="V62" s="0" t="n">
        <v>5.2</v>
      </c>
      <c r="W62" s="0" t="s">
        <v>111</v>
      </c>
      <c r="X62" s="0" t="str">
        <f aca="false">IF(ISBLANK(W62),"No remarks",W62)</f>
        <v>Changed all filters</v>
      </c>
      <c r="Y62" s="0" t="s">
        <v>52</v>
      </c>
      <c r="Z62" s="0" t="s">
        <v>136</v>
      </c>
      <c r="AA62" s="0" t="str">
        <f aca="false">PROPER(IF(ISBLANK(Z62),"Location Unavailable",Z62))</f>
        <v>Vip Section</v>
      </c>
      <c r="AB62" s="0" t="s">
        <v>167</v>
      </c>
      <c r="AC62" s="6" t="str">
        <f aca="false">PROPER(AB62)</f>
        <v>Word Of Mouth</v>
      </c>
      <c r="AD62" s="6" t="n">
        <v>15</v>
      </c>
      <c r="AE62" s="5" t="n">
        <f aca="false">IF(ISBLANK(AD62),AVERAGEIF(L62:L1061,L62,AD62:AD1061),AD62)</f>
        <v>15</v>
      </c>
      <c r="AF62" s="0" t="s">
        <v>76</v>
      </c>
      <c r="AG62" s="0" t="str">
        <f aca="false">PROPER(AF62)</f>
        <v>Orderd</v>
      </c>
      <c r="AH62" s="0" t="s">
        <v>155</v>
      </c>
      <c r="AI62" s="0" t="s">
        <v>128</v>
      </c>
      <c r="AJ62" s="0" t="str">
        <f aca="false">PROPER(AI62)</f>
        <v>Normal</v>
      </c>
      <c r="AK62" s="0" t="s">
        <v>196</v>
      </c>
      <c r="AL62" s="0" t="str">
        <f aca="false">PROPER(AK62)</f>
        <v>First Time</v>
      </c>
      <c r="AM62" s="0" t="s">
        <v>2326</v>
      </c>
      <c r="AN62" s="0" t="str">
        <f aca="false">IF(ISBLANK(AM62),"Unknown",AM62)</f>
        <v>Government Convoy</v>
      </c>
      <c r="AO62" s="0" t="s">
        <v>79</v>
      </c>
      <c r="AP62" s="0" t="str">
        <f aca="false">IF(ISBLANK(AO62),"Unknown",AO62)</f>
        <v>Specialist</v>
      </c>
      <c r="AQ62" s="0" t="n">
        <v>15000</v>
      </c>
      <c r="AR62" s="5" t="n">
        <f aca="false">IF(ISBLANK(AQ62),AVERAGEIF(M62:M1061,M62,AQ62:AQ1061),AQ62)</f>
        <v>15000</v>
      </c>
      <c r="AS62" s="0" t="n">
        <v>30000</v>
      </c>
      <c r="AT62" s="5" t="n">
        <f aca="false">IF(ISBLANK(AS62),AVERAGE(AS62:AS1061),AS62)</f>
        <v>30000</v>
      </c>
      <c r="AU62" s="0" t="s">
        <v>82</v>
      </c>
      <c r="AV62" s="0" t="str">
        <f aca="false">PROPER(IF(ISBLANK(AU62),"No",AU62))</f>
        <v>Yes</v>
      </c>
      <c r="AW62" s="0" t="n">
        <v>10000</v>
      </c>
      <c r="AX62" s="5" t="n">
        <f aca="false">IF(ISBLANK(AW62),0,AW62)</f>
        <v>10000</v>
      </c>
      <c r="AY62" s="0" t="s">
        <v>80</v>
      </c>
      <c r="AZ62" s="0" t="str">
        <f aca="false">UPPER(IF(ISBLANK(AY62),"NONE",AY62))</f>
        <v>PROMO10</v>
      </c>
      <c r="BA62" s="7" t="s">
        <v>295</v>
      </c>
      <c r="BB62" s="7" t="str">
        <f aca="false">IF(ISBLANK(BA62),"No Follow Up Needed",BA62)</f>
        <v>21/08/2025</v>
      </c>
      <c r="BC62" s="0" t="s">
        <v>50</v>
      </c>
      <c r="BD62" s="0" t="str">
        <f aca="false">PROPER(IF(ISBLANK(BC62),"Unknown",BC62))</f>
        <v>No</v>
      </c>
      <c r="BF62" s="0" t="str">
        <f aca="false">IF(ISBLANK(BE62),"No comments",BE62)</f>
        <v>No comments</v>
      </c>
      <c r="BH62" s="0" t="str">
        <f aca="false">IF(ISBLANK(BG62),"No comments",BG62)</f>
        <v>No comments</v>
      </c>
      <c r="BI62" s="0" t="s">
        <v>50</v>
      </c>
      <c r="BJ62" s="0" t="str">
        <f aca="false">IF(ISBLANK(BI62),"Not Mentioned",BI62)</f>
        <v>No</v>
      </c>
      <c r="BK62" s="0" t="s">
        <v>82</v>
      </c>
      <c r="BL62" s="0" t="str">
        <f aca="false">PROPER(IF(ISBLANK(BK62),"Not Mentioned",BK62))</f>
        <v>Yes</v>
      </c>
      <c r="BM62" s="0" t="s">
        <v>50</v>
      </c>
      <c r="BN62" s="0" t="str">
        <f aca="false">PROPER(IF(ISBLANK(BM62),"Not Mentioned",BM62))</f>
        <v>No</v>
      </c>
      <c r="BO62" s="0" t="s">
        <v>64</v>
      </c>
      <c r="BP62" s="0" t="str">
        <f aca="false">IF(ISBLANK(BO62),"One-Time Plan",BO62)</f>
        <v>Gold Maintenance Plan</v>
      </c>
      <c r="BQ62" s="0" t="s">
        <v>198</v>
      </c>
      <c r="BR62" s="0" t="str">
        <f aca="false">PROPER(IF(ISBLANK(BQ62),"No",BQ62))</f>
        <v>Followed Up</v>
      </c>
    </row>
    <row r="63" customFormat="false" ht="15" hidden="false" customHeight="false" outlineLevel="0" collapsed="false">
      <c r="A63" s="0" t="s">
        <v>296</v>
      </c>
      <c r="B63" s="2" t="n">
        <v>45800</v>
      </c>
      <c r="C63" s="2" t="str">
        <f aca="false">TEXT(B63,"dd/mm/yyyy")</f>
        <v>23/05/2025</v>
      </c>
      <c r="D63" s="0" t="s">
        <v>121</v>
      </c>
      <c r="E63" s="0" t="n">
        <v>8024072446</v>
      </c>
      <c r="F63" s="0" t="s">
        <v>43</v>
      </c>
      <c r="G63" s="0" t="s">
        <v>2315</v>
      </c>
      <c r="H63" s="0" t="s">
        <v>297</v>
      </c>
      <c r="I63" s="0" t="s">
        <v>87</v>
      </c>
      <c r="J63" s="0" t="s">
        <v>87</v>
      </c>
      <c r="K63" s="3" t="str">
        <f aca="false" t="array" ref="K63:K63">IFERROR(IF(J63&lt;&gt;"",J63,INDEX(J63:J1062,MATCH(1,(F63:F1062=F63)*(I63:I1062=I63)*(L63:L1062=L63)*(J63:J1062&lt;&gt;""),0))),"Not Found")</f>
        <v>Oil Change</v>
      </c>
      <c r="L63" s="3" t="s">
        <v>154</v>
      </c>
      <c r="M63" s="0" t="str">
        <f aca="false">PROPER(L63)</f>
        <v>Air Filter</v>
      </c>
      <c r="N63" s="3" t="s">
        <v>48</v>
      </c>
      <c r="O63" s="0" t="str">
        <f aca="false" t="array" ref="O63:O63">IF(N63&lt;&gt;"",N63,_xlfn.xlookup(1,(L63:L1062=L63)*(N63:N1062&lt;&gt;""),N63:N1062,"Not Found"))</f>
        <v>Uche</v>
      </c>
      <c r="P63" s="4" t="n">
        <v>105460</v>
      </c>
      <c r="Q63" s="0" t="s">
        <v>49</v>
      </c>
      <c r="R63" s="0" t="str">
        <f aca="false">PROPER(Q63)</f>
        <v>Transfer</v>
      </c>
      <c r="S63" s="0" t="s">
        <v>50</v>
      </c>
      <c r="T63" s="0" t="n">
        <v>2</v>
      </c>
      <c r="U63" s="5" t="n">
        <f aca="false">IF(ISBLANK(T63),AVERAGE(T63:T1062),T63)</f>
        <v>2</v>
      </c>
      <c r="V63" s="0" t="n">
        <v>4.7</v>
      </c>
      <c r="X63" s="0" t="str">
        <f aca="false">IF(ISBLANK(W63),"No remarks",W63)</f>
        <v>No remarks</v>
      </c>
      <c r="Y63" s="0" t="s">
        <v>52</v>
      </c>
      <c r="Z63" s="0" t="s">
        <v>53</v>
      </c>
      <c r="AA63" s="0" t="str">
        <f aca="false">PROPER(IF(ISBLANK(Z63),"Location Unavailable",Z63))</f>
        <v>Main Bay</v>
      </c>
      <c r="AB63" s="0" t="s">
        <v>126</v>
      </c>
      <c r="AC63" s="6" t="str">
        <f aca="false">PROPER(AB63)</f>
        <v>Whatsapp</v>
      </c>
      <c r="AD63" s="6" t="n">
        <v>45</v>
      </c>
      <c r="AE63" s="5" t="n">
        <f aca="false">IF(ISBLANK(AD63),AVERAGEIF(L63:L1062,L63,AD63:AD1062),AD63)</f>
        <v>45</v>
      </c>
      <c r="AF63" s="0" t="s">
        <v>96</v>
      </c>
      <c r="AG63" s="0" t="str">
        <f aca="false">PROPER(AF63)</f>
        <v>Ordered</v>
      </c>
      <c r="AH63" s="0" t="s">
        <v>148</v>
      </c>
      <c r="AI63" s="0" t="s">
        <v>98</v>
      </c>
      <c r="AJ63" s="0" t="str">
        <f aca="false">PROPER(AI63)</f>
        <v>Emergency</v>
      </c>
      <c r="AK63" s="0" t="s">
        <v>58</v>
      </c>
      <c r="AL63" s="0" t="str">
        <f aca="false">PROPER(AK63)</f>
        <v>Fleet Owner</v>
      </c>
      <c r="AN63" s="0" t="str">
        <f aca="false">IF(ISBLANK(AM63),"Unknown",AM63)</f>
        <v>Unknown</v>
      </c>
      <c r="AO63" s="0" t="s">
        <v>143</v>
      </c>
      <c r="AP63" s="0" t="str">
        <f aca="false">IF(ISBLANK(AO63),"Unknown",AO63)</f>
        <v>Senior</v>
      </c>
      <c r="AQ63" s="0" t="n">
        <v>15000</v>
      </c>
      <c r="AR63" s="5" t="n">
        <f aca="false">IF(ISBLANK(AQ63),AVERAGEIF(M63:M1062,M63,AQ63:AQ1062),AQ63)</f>
        <v>15000</v>
      </c>
      <c r="AS63" s="0" t="n">
        <v>30000</v>
      </c>
      <c r="AT63" s="5" t="n">
        <f aca="false">IF(ISBLANK(AS63),AVERAGE(AS63:AS1062),AS63)</f>
        <v>30000</v>
      </c>
      <c r="AU63" s="0" t="s">
        <v>63</v>
      </c>
      <c r="AV63" s="0" t="str">
        <f aca="false">PROPER(IF(ISBLANK(AU63),"No",AU63))</f>
        <v>Yes</v>
      </c>
      <c r="AX63" s="5" t="n">
        <f aca="false">IF(ISBLANK(AW63),0,AW63)</f>
        <v>0</v>
      </c>
      <c r="AY63" s="0" t="s">
        <v>130</v>
      </c>
      <c r="AZ63" s="0" t="str">
        <f aca="false">UPPER(IF(ISBLANK(AY63),"NONE",AY63))</f>
        <v>LOYALTY10</v>
      </c>
      <c r="BA63" s="7" t="s">
        <v>298</v>
      </c>
      <c r="BB63" s="7" t="str">
        <f aca="false">IF(ISBLANK(BA63),"No Follow Up Needed",BA63)</f>
        <v>28/10/2025</v>
      </c>
      <c r="BD63" s="0" t="str">
        <f aca="false">PROPER(IF(ISBLANK(BC63),"Unknown",BC63))</f>
        <v>Unknown</v>
      </c>
      <c r="BF63" s="0" t="str">
        <f aca="false">IF(ISBLANK(BE63),"No comments",BE63)</f>
        <v>No comments</v>
      </c>
      <c r="BH63" s="0" t="str">
        <f aca="false">IF(ISBLANK(BG63),"No comments",BG63)</f>
        <v>No comments</v>
      </c>
      <c r="BI63" s="0" t="s">
        <v>50</v>
      </c>
      <c r="BJ63" s="0" t="str">
        <f aca="false">IF(ISBLANK(BI63),"Not Mentioned",BI63)</f>
        <v>No</v>
      </c>
      <c r="BK63" s="0" t="s">
        <v>61</v>
      </c>
      <c r="BL63" s="0" t="str">
        <f aca="false">PROPER(IF(ISBLANK(BK63),"Not Mentioned",BK63))</f>
        <v>No</v>
      </c>
      <c r="BM63" s="0" t="s">
        <v>63</v>
      </c>
      <c r="BN63" s="0" t="str">
        <f aca="false">PROPER(IF(ISBLANK(BM63),"Not Mentioned",BM63))</f>
        <v>Yes</v>
      </c>
      <c r="BO63" s="0" t="s">
        <v>64</v>
      </c>
      <c r="BP63" s="0" t="str">
        <f aca="false">IF(ISBLANK(BO63),"One-Time Plan",BO63)</f>
        <v>Gold Maintenance Plan</v>
      </c>
      <c r="BQ63" s="0" t="s">
        <v>190</v>
      </c>
      <c r="BR63" s="0" t="str">
        <f aca="false">PROPER(IF(ISBLANK(BQ63),"No",BQ63))</f>
        <v>Yes</v>
      </c>
    </row>
    <row r="64" customFormat="false" ht="15" hidden="false" customHeight="false" outlineLevel="0" collapsed="false">
      <c r="A64" s="0" t="s">
        <v>300</v>
      </c>
      <c r="B64" s="2" t="s">
        <v>299</v>
      </c>
      <c r="C64" s="2" t="str">
        <f aca="false">TEXT(B64,"dd/mm/yyyy")</f>
        <v>27/05/2025</v>
      </c>
      <c r="D64" s="0" t="s">
        <v>42</v>
      </c>
      <c r="E64" s="0" t="n">
        <v>8070975394</v>
      </c>
      <c r="F64" s="0" t="s">
        <v>85</v>
      </c>
      <c r="G64" s="0" t="s">
        <v>2319</v>
      </c>
      <c r="H64" s="0" t="s">
        <v>301</v>
      </c>
      <c r="I64" s="0" t="s">
        <v>134</v>
      </c>
      <c r="J64" s="0" t="s">
        <v>87</v>
      </c>
      <c r="K64" s="3" t="str">
        <f aca="false" t="array" ref="K64:K64">IFERROR(IF(J64&lt;&gt;"",J64,INDEX(J64:J1063,MATCH(1,(F64:F1063=F64)*(I64:I1063=I64)*(L64:L1063=L64)*(J64:J1063&lt;&gt;""),0))),"Not Found")</f>
        <v>Oil Change</v>
      </c>
      <c r="L64" s="3" t="s">
        <v>154</v>
      </c>
      <c r="M64" s="0" t="str">
        <f aca="false">PROPER(L64)</f>
        <v>Air Filter</v>
      </c>
      <c r="N64" s="3" t="s">
        <v>90</v>
      </c>
      <c r="O64" s="0" t="str">
        <f aca="false" t="array" ref="O64:O64">IF(N64&lt;&gt;"",N64,_xlfn.xlookup(1,(L64:L1063=L64)*(N64:N1063&lt;&gt;""),N64:N1063,"Not Found"))</f>
        <v>Musa</v>
      </c>
      <c r="P64" s="4" t="n">
        <v>38478</v>
      </c>
      <c r="Q64" s="0" t="s">
        <v>49</v>
      </c>
      <c r="R64" s="0" t="str">
        <f aca="false">PROPER(Q64)</f>
        <v>Transfer</v>
      </c>
      <c r="S64" s="0" t="s">
        <v>63</v>
      </c>
      <c r="T64" s="0" t="n">
        <v>2</v>
      </c>
      <c r="U64" s="5" t="n">
        <f aca="false">IF(ISBLANK(T64),AVERAGE(T64:T1063),T64)</f>
        <v>2</v>
      </c>
      <c r="V64" s="0" t="n">
        <v>1.5</v>
      </c>
      <c r="W64" s="0" t="s">
        <v>92</v>
      </c>
      <c r="X64" s="0" t="str">
        <f aca="false">IF(ISBLANK(W64),"No remarks",W64)</f>
        <v>Urgent service</v>
      </c>
      <c r="Y64" s="0" t="s">
        <v>93</v>
      </c>
      <c r="Z64" s="0" t="s">
        <v>74</v>
      </c>
      <c r="AA64" s="0" t="str">
        <f aca="false">PROPER(IF(ISBLANK(Z64),"Location Unavailable",Z64))</f>
        <v>Under Tree</v>
      </c>
      <c r="AB64" s="0" t="s">
        <v>54</v>
      </c>
      <c r="AC64" s="6" t="str">
        <f aca="false">PROPER(AB64)</f>
        <v>Mechanic Referral</v>
      </c>
      <c r="AD64" s="6" t="n">
        <v>45</v>
      </c>
      <c r="AE64" s="5" t="n">
        <f aca="false">IF(ISBLANK(AD64),AVERAGEIF(L64:L1063,L64,AD64:AD1063),AD64)</f>
        <v>45</v>
      </c>
      <c r="AF64" s="0" t="s">
        <v>55</v>
      </c>
      <c r="AG64" s="0" t="str">
        <f aca="false">PROPER(AF64)</f>
        <v>Available</v>
      </c>
      <c r="AH64" s="0" t="s">
        <v>155</v>
      </c>
      <c r="AI64" s="0" t="s">
        <v>98</v>
      </c>
      <c r="AJ64" s="0" t="str">
        <f aca="false">PROPER(AI64)</f>
        <v>Emergency</v>
      </c>
      <c r="AK64" s="0" t="s">
        <v>99</v>
      </c>
      <c r="AL64" s="0" t="str">
        <f aca="false">PROPER(AK64)</f>
        <v>Uber Driver</v>
      </c>
      <c r="AN64" s="0" t="str">
        <f aca="false">IF(ISBLANK(AM64),"Unknown",AM64)</f>
        <v>Unknown</v>
      </c>
      <c r="AO64" s="0" t="s">
        <v>143</v>
      </c>
      <c r="AP64" s="0" t="str">
        <f aca="false">IF(ISBLANK(AO64),"Unknown",AO64)</f>
        <v>Senior</v>
      </c>
      <c r="AQ64" s="0" t="n">
        <v>20000</v>
      </c>
      <c r="AR64" s="5" t="n">
        <f aca="false">IF(ISBLANK(AQ64),AVERAGEIF(M64:M1063,M64,AQ64:AQ1063),AQ64)</f>
        <v>20000</v>
      </c>
      <c r="AS64" s="0" t="n">
        <v>40000</v>
      </c>
      <c r="AT64" s="5" t="n">
        <f aca="false">IF(ISBLANK(AS64),AVERAGE(AS64:AS1063),AS64)</f>
        <v>40000</v>
      </c>
      <c r="AU64" s="0" t="s">
        <v>63</v>
      </c>
      <c r="AV64" s="0" t="str">
        <f aca="false">PROPER(IF(ISBLANK(AU64),"No",AU64))</f>
        <v>Yes</v>
      </c>
      <c r="AW64" s="0" t="n">
        <v>5000</v>
      </c>
      <c r="AX64" s="5" t="n">
        <f aca="false">IF(ISBLANK(AW64),0,AW64)</f>
        <v>5000</v>
      </c>
      <c r="AY64" s="0" t="s">
        <v>130</v>
      </c>
      <c r="AZ64" s="0" t="str">
        <f aca="false">UPPER(IF(ISBLANK(AY64),"NONE",AY64))</f>
        <v>LOYALTY10</v>
      </c>
      <c r="BA64" s="7" t="n">
        <v>45850</v>
      </c>
      <c r="BB64" s="7" t="n">
        <f aca="false">IF(ISBLANK(BA64),"No Follow Up Needed",BA64)</f>
        <v>45850</v>
      </c>
      <c r="BC64" s="0" t="s">
        <v>50</v>
      </c>
      <c r="BD64" s="0" t="str">
        <f aca="false">PROPER(IF(ISBLANK(BC64),"Unknown",BC64))</f>
        <v>No</v>
      </c>
      <c r="BF64" s="0" t="str">
        <f aca="false">IF(ISBLANK(BE64),"No comments",BE64)</f>
        <v>No comments</v>
      </c>
      <c r="BH64" s="0" t="str">
        <f aca="false">IF(ISBLANK(BG64),"No comments",BG64)</f>
        <v>No comments</v>
      </c>
      <c r="BI64" s="0" t="s">
        <v>63</v>
      </c>
      <c r="BJ64" s="0" t="str">
        <f aca="false">IF(ISBLANK(BI64),"Not Mentioned",BI64)</f>
        <v>Yes</v>
      </c>
      <c r="BK64" s="0" t="s">
        <v>63</v>
      </c>
      <c r="BL64" s="0" t="str">
        <f aca="false">PROPER(IF(ISBLANK(BK64),"Not Mentioned",BK64))</f>
        <v>Yes</v>
      </c>
      <c r="BN64" s="0" t="str">
        <f aca="false">PROPER(IF(ISBLANK(BM64),"Not Mentioned",BM64))</f>
        <v>Not Mentioned</v>
      </c>
      <c r="BO64" s="0" t="s">
        <v>2318</v>
      </c>
      <c r="BP64" s="0" t="str">
        <f aca="false">IF(ISBLANK(BO64),"One-Time Plan",BO64)</f>
        <v>Gold</v>
      </c>
      <c r="BQ64" s="0" t="s">
        <v>63</v>
      </c>
      <c r="BR64" s="0" t="str">
        <f aca="false">PROPER(IF(ISBLANK(BQ64),"No",BQ64))</f>
        <v>Yes</v>
      </c>
    </row>
    <row r="65" customFormat="false" ht="15" hidden="false" customHeight="false" outlineLevel="0" collapsed="false">
      <c r="A65" s="0" t="s">
        <v>303</v>
      </c>
      <c r="B65" s="2" t="s">
        <v>302</v>
      </c>
      <c r="C65" s="2" t="str">
        <f aca="false">TEXT(B65,"dd/mm/yyyy")</f>
        <v>21/05/2025</v>
      </c>
      <c r="D65" s="0" t="s">
        <v>105</v>
      </c>
      <c r="E65" s="0" t="n">
        <v>8015662934</v>
      </c>
      <c r="F65" s="0" t="s">
        <v>122</v>
      </c>
      <c r="G65" s="0" t="s">
        <v>2316</v>
      </c>
      <c r="H65" s="0" t="s">
        <v>304</v>
      </c>
      <c r="I65" s="0" t="s">
        <v>45</v>
      </c>
      <c r="J65" s="0" t="s">
        <v>2325</v>
      </c>
      <c r="K65" s="3" t="str">
        <f aca="false" t="array" ref="K65:K65">IFERROR(IF(J65&lt;&gt;"",J65,INDEX(J65:J1064,MATCH(1,(F65:F1064=F65)*(I65:I1064=I65)*(L65:L1064=L65)*(J65:J1064&lt;&gt;""),0))),"Not Found")</f>
        <v>Engine Knocking</v>
      </c>
      <c r="L65" s="3" t="s">
        <v>89</v>
      </c>
      <c r="M65" s="0" t="str">
        <f aca="false">PROPER(L65)</f>
        <v>Shock Absorbers</v>
      </c>
      <c r="N65" s="3" t="s">
        <v>90</v>
      </c>
      <c r="O65" s="0" t="str">
        <f aca="false" t="array" ref="O65:O65">IF(N65&lt;&gt;"",N65,_xlfn.xlookup(1,(L65:L1064=L65)*(N65:N1064&lt;&gt;""),N65:N1064,"Not Found"))</f>
        <v>Musa</v>
      </c>
      <c r="P65" s="4" t="n">
        <v>83988</v>
      </c>
      <c r="Q65" s="0" t="s">
        <v>124</v>
      </c>
      <c r="R65" s="0" t="str">
        <f aca="false">PROPER(Q65)</f>
        <v>Cash</v>
      </c>
      <c r="S65" s="0" t="s">
        <v>63</v>
      </c>
      <c r="T65" s="0" t="n">
        <v>1</v>
      </c>
      <c r="U65" s="5" t="n">
        <f aca="false">IF(ISBLANK(T65),AVERAGE(T65:T1064),T65)</f>
        <v>1</v>
      </c>
      <c r="V65" s="0" t="n">
        <v>2.7</v>
      </c>
      <c r="W65" s="0" t="s">
        <v>92</v>
      </c>
      <c r="X65" s="0" t="str">
        <f aca="false">IF(ISBLANK(W65),"No remarks",W65)</f>
        <v>Urgent service</v>
      </c>
      <c r="Y65" s="0" t="s">
        <v>52</v>
      </c>
      <c r="AA65" s="0" t="str">
        <f aca="false">PROPER(IF(ISBLANK(Z65),"Location Unavailable",Z65))</f>
        <v>Location Unavailable</v>
      </c>
      <c r="AB65" s="0" t="s">
        <v>126</v>
      </c>
      <c r="AC65" s="6" t="str">
        <f aca="false">PROPER(AB65)</f>
        <v>Whatsapp</v>
      </c>
      <c r="AD65" s="6" t="n">
        <v>30</v>
      </c>
      <c r="AE65" s="5" t="n">
        <f aca="false">IF(ISBLANK(AD65),AVERAGEIF(L65:L1064,L65,AD65:AD1064),AD65)</f>
        <v>30</v>
      </c>
      <c r="AF65" s="0" t="s">
        <v>76</v>
      </c>
      <c r="AG65" s="0" t="str">
        <f aca="false">PROPER(AF65)</f>
        <v>Orderd</v>
      </c>
      <c r="AH65" s="0" t="s">
        <v>56</v>
      </c>
      <c r="AI65" s="0" t="s">
        <v>98</v>
      </c>
      <c r="AJ65" s="0" t="str">
        <f aca="false">PROPER(AI65)</f>
        <v>Emergency</v>
      </c>
      <c r="AK65" s="0" t="s">
        <v>196</v>
      </c>
      <c r="AL65" s="0" t="str">
        <f aca="false">PROPER(AK65)</f>
        <v>First Time</v>
      </c>
      <c r="AN65" s="0" t="str">
        <f aca="false">IF(ISBLANK(AM65),"Unknown",AM65)</f>
        <v>Unknown</v>
      </c>
      <c r="AO65" s="0" t="s">
        <v>149</v>
      </c>
      <c r="AP65" s="0" t="str">
        <f aca="false">IF(ISBLANK(AO65),"Unknown",AO65)</f>
        <v>Senior </v>
      </c>
      <c r="AR65" s="5" t="n">
        <f aca="false">IF(ISBLANK(AQ65),AVERAGEIF(M65:M1064,M65,AQ65:AQ1064),AQ65)</f>
        <v>26210.9375</v>
      </c>
      <c r="AS65" s="0" t="n">
        <v>30000</v>
      </c>
      <c r="AT65" s="5" t="n">
        <f aca="false">IF(ISBLANK(AS65),AVERAGE(AS65:AS1064),AS65)</f>
        <v>30000</v>
      </c>
      <c r="AU65" s="0" t="s">
        <v>50</v>
      </c>
      <c r="AV65" s="0" t="str">
        <f aca="false">PROPER(IF(ISBLANK(AU65),"No",AU65))</f>
        <v>No</v>
      </c>
      <c r="AX65" s="5" t="n">
        <f aca="false">IF(ISBLANK(AW65),0,AW65)</f>
        <v>0</v>
      </c>
      <c r="AZ65" s="0" t="str">
        <f aca="false">UPPER(IF(ISBLANK(AY65),"NONE",AY65))</f>
        <v>NONE</v>
      </c>
      <c r="BB65" s="7" t="str">
        <f aca="false">IF(ISBLANK(BA65),"No Follow Up Needed",BA65)</f>
        <v>No Follow Up Needed</v>
      </c>
      <c r="BC65" s="0" t="s">
        <v>82</v>
      </c>
      <c r="BD65" s="0" t="str">
        <f aca="false">PROPER(IF(ISBLANK(BC65),"Unknown",BC65))</f>
        <v>Yes</v>
      </c>
      <c r="BF65" s="0" t="str">
        <f aca="false">IF(ISBLANK(BE65),"No comments",BE65)</f>
        <v>No comments</v>
      </c>
      <c r="BG65" s="0" t="s">
        <v>117</v>
      </c>
      <c r="BH65" s="0" t="str">
        <f aca="false">IF(ISBLANK(BG65),"No comments",BG65)</f>
        <v>Prefers morning</v>
      </c>
      <c r="BJ65" s="0" t="str">
        <f aca="false">IF(ISBLANK(BI65),"Not Mentioned",BI65)</f>
        <v>Not Mentioned</v>
      </c>
      <c r="BK65" s="0" t="s">
        <v>61</v>
      </c>
      <c r="BL65" s="0" t="str">
        <f aca="false">PROPER(IF(ISBLANK(BK65),"Not Mentioned",BK65))</f>
        <v>No</v>
      </c>
      <c r="BN65" s="0" t="str">
        <f aca="false">PROPER(IF(ISBLANK(BM65),"Not Mentioned",BM65))</f>
        <v>Not Mentioned</v>
      </c>
      <c r="BO65" s="0" t="s">
        <v>2318</v>
      </c>
      <c r="BP65" s="0" t="str">
        <f aca="false">IF(ISBLANK(BO65),"One-Time Plan",BO65)</f>
        <v>Gold</v>
      </c>
      <c r="BQ65" s="0" t="s">
        <v>198</v>
      </c>
      <c r="BR65" s="0" t="str">
        <f aca="false">PROPER(IF(ISBLANK(BQ65),"No",BQ65))</f>
        <v>Followed Up</v>
      </c>
    </row>
    <row r="66" customFormat="false" ht="15" hidden="false" customHeight="false" outlineLevel="0" collapsed="false">
      <c r="A66" s="0" t="s">
        <v>306</v>
      </c>
      <c r="B66" s="2" t="s">
        <v>305</v>
      </c>
      <c r="C66" s="2" t="str">
        <f aca="false">TEXT(B66,"dd/mm/yyyy")</f>
        <v>30/03/2025</v>
      </c>
      <c r="D66" s="0" t="s">
        <v>121</v>
      </c>
      <c r="E66" s="0" t="n">
        <v>8076562688</v>
      </c>
      <c r="F66" s="0" t="s">
        <v>43</v>
      </c>
      <c r="G66" s="0" t="s">
        <v>2315</v>
      </c>
      <c r="H66" s="0" t="s">
        <v>307</v>
      </c>
      <c r="I66" s="0" t="s">
        <v>69</v>
      </c>
      <c r="J66" s="0" t="s">
        <v>2322</v>
      </c>
      <c r="K66" s="3" t="str">
        <f aca="false" t="array" ref="K66:K66">IFERROR(IF(J66&lt;&gt;"",J66,INDEX(J66:J1065,MATCH(1,(F66:F1065=F66)*(I66:I1065=I66)*(L66:L1065=L66)*(J66:J1065&lt;&gt;""),0))),"Not Found")</f>
        <v>Brake Failure</v>
      </c>
      <c r="L66" s="3" t="s">
        <v>108</v>
      </c>
      <c r="M66" s="0" t="str">
        <f aca="false">PROPER(L66)</f>
        <v>Timing Belt</v>
      </c>
      <c r="N66" s="3" t="s">
        <v>48</v>
      </c>
      <c r="O66" s="0" t="str">
        <f aca="false" t="array" ref="O66:O66">IF(N66&lt;&gt;"",N66,_xlfn.xlookup(1,(L66:L1065=L66)*(N66:N1065&lt;&gt;""),N66:N1065,"Not Found"))</f>
        <v>Uche</v>
      </c>
      <c r="P66" s="4" t="n">
        <v>95904</v>
      </c>
      <c r="Q66" s="0" t="s">
        <v>166</v>
      </c>
      <c r="R66" s="0" t="str">
        <f aca="false">PROPER(Q66)</f>
        <v>Transfer</v>
      </c>
      <c r="S66" s="0" t="s">
        <v>50</v>
      </c>
      <c r="T66" s="0" t="n">
        <v>5</v>
      </c>
      <c r="U66" s="5" t="n">
        <f aca="false">IF(ISBLANK(T66),AVERAGE(T66:T1065),T66)</f>
        <v>5</v>
      </c>
      <c r="V66" s="0" t="n">
        <v>5.9</v>
      </c>
      <c r="W66" s="0" t="s">
        <v>92</v>
      </c>
      <c r="X66" s="0" t="str">
        <f aca="false">IF(ISBLANK(W66),"No remarks",W66)</f>
        <v>Urgent service</v>
      </c>
      <c r="Y66" s="0" t="s">
        <v>73</v>
      </c>
      <c r="Z66" s="0" t="s">
        <v>53</v>
      </c>
      <c r="AA66" s="0" t="str">
        <f aca="false">PROPER(IF(ISBLANK(Z66),"Location Unavailable",Z66))</f>
        <v>Main Bay</v>
      </c>
      <c r="AB66" s="0" t="s">
        <v>75</v>
      </c>
      <c r="AC66" s="6" t="str">
        <f aca="false">PROPER(AB66)</f>
        <v>Mechanik Referal</v>
      </c>
      <c r="AD66" s="6" t="n">
        <v>30</v>
      </c>
      <c r="AE66" s="5" t="n">
        <f aca="false">IF(ISBLANK(AD66),AVERAGEIF(L66:L1065,L66,AD66:AD1065),AD66)</f>
        <v>30</v>
      </c>
      <c r="AF66" s="0" t="s">
        <v>112</v>
      </c>
      <c r="AG66" s="0" t="str">
        <f aca="false">PROPER(AF66)</f>
        <v>Unavailable</v>
      </c>
      <c r="AH66" s="0" t="s">
        <v>77</v>
      </c>
      <c r="AI66" s="0" t="s">
        <v>128</v>
      </c>
      <c r="AJ66" s="0" t="str">
        <f aca="false">PROPER(AI66)</f>
        <v>Normal</v>
      </c>
      <c r="AK66" s="0" t="s">
        <v>196</v>
      </c>
      <c r="AL66" s="0" t="str">
        <f aca="false">PROPER(AK66)</f>
        <v>First Time</v>
      </c>
      <c r="AM66" s="0" t="s">
        <v>59</v>
      </c>
      <c r="AN66" s="0" t="str">
        <f aca="false">IF(ISBLANK(AM66),"Unknown",AM66)</f>
        <v>Bolt Driver</v>
      </c>
      <c r="AP66" s="0" t="str">
        <f aca="false">IF(ISBLANK(AO66),"Unknown",AO66)</f>
        <v>Unknown</v>
      </c>
      <c r="AQ66" s="0" t="n">
        <v>15000</v>
      </c>
      <c r="AR66" s="5" t="n">
        <f aca="false">IF(ISBLANK(AQ66),AVERAGEIF(M66:M1065,M66,AQ66:AQ1065),AQ66)</f>
        <v>15000</v>
      </c>
      <c r="AS66" s="0" t="n">
        <v>40000</v>
      </c>
      <c r="AT66" s="5" t="n">
        <f aca="false">IF(ISBLANK(AS66),AVERAGE(AS66:AS1065),AS66)</f>
        <v>40000</v>
      </c>
      <c r="AV66" s="0" t="str">
        <f aca="false">PROPER(IF(ISBLANK(AU66),"No",AU66))</f>
        <v>No</v>
      </c>
      <c r="AW66" s="0" t="n">
        <v>0</v>
      </c>
      <c r="AX66" s="5" t="n">
        <f aca="false">IF(ISBLANK(AW66),0,AW66)</f>
        <v>0</v>
      </c>
      <c r="AY66" s="0" t="s">
        <v>184</v>
      </c>
      <c r="AZ66" s="0" t="str">
        <f aca="false">UPPER(IF(ISBLANK(AY66),"NONE",AY66))</f>
        <v>N/A</v>
      </c>
      <c r="BB66" s="7" t="str">
        <f aca="false">IF(ISBLANK(BA66),"No Follow Up Needed",BA66)</f>
        <v>No Follow Up Needed</v>
      </c>
      <c r="BC66" s="0" t="s">
        <v>63</v>
      </c>
      <c r="BD66" s="0" t="str">
        <f aca="false">PROPER(IF(ISBLANK(BC66),"Unknown",BC66))</f>
        <v>Yes</v>
      </c>
      <c r="BF66" s="0" t="str">
        <f aca="false">IF(ISBLANK(BE66),"No comments",BE66)</f>
        <v>No comments</v>
      </c>
      <c r="BH66" s="0" t="str">
        <f aca="false">IF(ISBLANK(BG66),"No comments",BG66)</f>
        <v>No comments</v>
      </c>
      <c r="BI66" s="0" t="s">
        <v>63</v>
      </c>
      <c r="BJ66" s="0" t="str">
        <f aca="false">IF(ISBLANK(BI66),"Not Mentioned",BI66)</f>
        <v>Yes</v>
      </c>
      <c r="BK66" s="0" t="s">
        <v>61</v>
      </c>
      <c r="BL66" s="0" t="str">
        <f aca="false">PROPER(IF(ISBLANK(BK66),"Not Mentioned",BK66))</f>
        <v>No</v>
      </c>
      <c r="BN66" s="0" t="str">
        <f aca="false">PROPER(IF(ISBLANK(BM66),"Not Mentioned",BM66))</f>
        <v>Not Mentioned</v>
      </c>
      <c r="BO66" s="0" t="s">
        <v>2321</v>
      </c>
      <c r="BP66" s="0" t="str">
        <f aca="false">IF(ISBLANK(BO66),"One-Time Plan",BO66)</f>
        <v>One-Time Plan</v>
      </c>
      <c r="BQ66" s="0" t="s">
        <v>50</v>
      </c>
      <c r="BR66" s="0" t="str">
        <f aca="false">PROPER(IF(ISBLANK(BQ66),"No",BQ66))</f>
        <v>No</v>
      </c>
    </row>
    <row r="67" customFormat="false" ht="15" hidden="false" customHeight="false" outlineLevel="0" collapsed="false">
      <c r="A67" s="0" t="s">
        <v>308</v>
      </c>
      <c r="B67" s="2" t="n">
        <v>45823</v>
      </c>
      <c r="C67" s="2" t="str">
        <f aca="false">TEXT(B67,"dd/mm/yyyy")</f>
        <v>15/06/2025</v>
      </c>
      <c r="D67" s="0" t="s">
        <v>42</v>
      </c>
      <c r="E67" s="0" t="n">
        <v>8039448158</v>
      </c>
      <c r="F67" s="0" t="s">
        <v>85</v>
      </c>
      <c r="G67" s="0" t="s">
        <v>2319</v>
      </c>
      <c r="H67" s="0" t="s">
        <v>309</v>
      </c>
      <c r="I67" s="0" t="s">
        <v>134</v>
      </c>
      <c r="J67" s="0" t="s">
        <v>2322</v>
      </c>
      <c r="K67" s="3" t="str">
        <f aca="false" t="array" ref="K67:K67">IFERROR(IF(J67&lt;&gt;"",J67,INDEX(J67:J1066,MATCH(1,(F67:F1066=F67)*(I67:I1066=I67)*(L67:L1066=L67)*(J67:J1066&lt;&gt;""),0))),"Not Found")</f>
        <v>Brake Failure</v>
      </c>
      <c r="L67" s="3" t="s">
        <v>189</v>
      </c>
      <c r="M67" s="0" t="str">
        <f aca="false">PROPER(L67)</f>
        <v>Battery</v>
      </c>
      <c r="N67" s="3" t="s">
        <v>48</v>
      </c>
      <c r="O67" s="0" t="str">
        <f aca="false" t="array" ref="O67:O67">IF(N67&lt;&gt;"",N67,_xlfn.xlookup(1,(L67:L1066=L67)*(N67:N1066&lt;&gt;""),N67:N1066,"Not Found"))</f>
        <v>Uche</v>
      </c>
      <c r="P67" s="4" t="n">
        <v>86356</v>
      </c>
      <c r="Q67" s="0" t="s">
        <v>124</v>
      </c>
      <c r="R67" s="0" t="str">
        <f aca="false">PROPER(Q67)</f>
        <v>Cash</v>
      </c>
      <c r="S67" s="0" t="s">
        <v>50</v>
      </c>
      <c r="T67" s="0" t="n">
        <v>3</v>
      </c>
      <c r="U67" s="5" t="n">
        <f aca="false">IF(ISBLANK(T67),AVERAGE(T67:T1066),T67)</f>
        <v>3</v>
      </c>
      <c r="V67" s="0" t="n">
        <v>2.2</v>
      </c>
      <c r="W67" s="0" t="s">
        <v>125</v>
      </c>
      <c r="X67" s="0" t="str">
        <f aca="false">IF(ISBLANK(W67),"No remarks",W67)</f>
        <v>Customer waited</v>
      </c>
      <c r="Y67" s="0" t="s">
        <v>93</v>
      </c>
      <c r="Z67" s="0" t="s">
        <v>159</v>
      </c>
      <c r="AA67" s="0" t="str">
        <f aca="false">PROPER(IF(ISBLANK(Z67),"Location Unavailable",Z67))</f>
        <v>Main Bay</v>
      </c>
      <c r="AB67" s="0" t="s">
        <v>54</v>
      </c>
      <c r="AC67" s="6" t="str">
        <f aca="false">PROPER(AB67)</f>
        <v>Mechanic Referral</v>
      </c>
      <c r="AD67" s="6" t="n">
        <v>45</v>
      </c>
      <c r="AE67" s="5" t="n">
        <f aca="false">IF(ISBLANK(AD67),AVERAGEIF(L67:L1066,L67,AD67:AD1066),AD67)</f>
        <v>45</v>
      </c>
      <c r="AF67" s="0" t="s">
        <v>96</v>
      </c>
      <c r="AG67" s="0" t="str">
        <f aca="false">PROPER(AF67)</f>
        <v>Ordered</v>
      </c>
      <c r="AH67" s="0" t="s">
        <v>56</v>
      </c>
      <c r="AI67" s="0" t="s">
        <v>78</v>
      </c>
      <c r="AJ67" s="0" t="str">
        <f aca="false">PROPER(AI67)</f>
        <v>Booking</v>
      </c>
      <c r="AK67" s="0" t="s">
        <v>58</v>
      </c>
      <c r="AL67" s="0" t="str">
        <f aca="false">PROPER(AK67)</f>
        <v>Fleet Owner</v>
      </c>
      <c r="AN67" s="0" t="str">
        <f aca="false">IF(ISBLANK(AM67),"Unknown",AM67)</f>
        <v>Unknown</v>
      </c>
      <c r="AO67" s="0" t="s">
        <v>149</v>
      </c>
      <c r="AP67" s="0" t="str">
        <f aca="false">IF(ISBLANK(AO67),"Unknown",AO67)</f>
        <v>Senior </v>
      </c>
      <c r="AQ67" s="0" t="n">
        <v>20000</v>
      </c>
      <c r="AR67" s="5" t="n">
        <f aca="false">IF(ISBLANK(AQ67),AVERAGEIF(M67:M1066,M67,AQ67:AQ1066),AQ67)</f>
        <v>20000</v>
      </c>
      <c r="AS67" s="0" t="n">
        <v>35000</v>
      </c>
      <c r="AT67" s="5" t="n">
        <f aca="false">IF(ISBLANK(AS67),AVERAGE(AS67:AS1066),AS67)</f>
        <v>35000</v>
      </c>
      <c r="AV67" s="0" t="str">
        <f aca="false">PROPER(IF(ISBLANK(AU67),"No",AU67))</f>
        <v>No</v>
      </c>
      <c r="AW67" s="0" t="n">
        <v>5000</v>
      </c>
      <c r="AX67" s="5" t="n">
        <f aca="false">IF(ISBLANK(AW67),0,AW67)</f>
        <v>5000</v>
      </c>
      <c r="AZ67" s="0" t="str">
        <f aca="false">UPPER(IF(ISBLANK(AY67),"NONE",AY67))</f>
        <v>NONE</v>
      </c>
      <c r="BA67" s="7" t="n">
        <v>45831</v>
      </c>
      <c r="BB67" s="7" t="n">
        <f aca="false">IF(ISBLANK(BA67),"No Follow Up Needed",BA67)</f>
        <v>45831</v>
      </c>
      <c r="BD67" s="0" t="str">
        <f aca="false">PROPER(IF(ISBLANK(BC67),"Unknown",BC67))</f>
        <v>Unknown</v>
      </c>
      <c r="BE67" s="0" t="s">
        <v>116</v>
      </c>
      <c r="BF67" s="0" t="str">
        <f aca="false">IF(ISBLANK(BE67),"No comments",BE67)</f>
        <v>Needs tire alignment</v>
      </c>
      <c r="BH67" s="0" t="str">
        <f aca="false">IF(ISBLANK(BG67),"No comments",BG67)</f>
        <v>No comments</v>
      </c>
      <c r="BI67" s="0" t="s">
        <v>50</v>
      </c>
      <c r="BJ67" s="0" t="str">
        <f aca="false">IF(ISBLANK(BI67),"Not Mentioned",BI67)</f>
        <v>No</v>
      </c>
      <c r="BK67" s="0" t="s">
        <v>82</v>
      </c>
      <c r="BL67" s="0" t="str">
        <f aca="false">PROPER(IF(ISBLANK(BK67),"Not Mentioned",BK67))</f>
        <v>Yes</v>
      </c>
      <c r="BM67" s="0" t="s">
        <v>50</v>
      </c>
      <c r="BN67" s="0" t="str">
        <f aca="false">PROPER(IF(ISBLANK(BM67),"Not Mentioned",BM67))</f>
        <v>No</v>
      </c>
      <c r="BP67" s="0" t="str">
        <f aca="false">IF(ISBLANK(BO67),"One-Time Plan",BO67)</f>
        <v>One-Time Plan</v>
      </c>
      <c r="BQ67" s="0" t="s">
        <v>198</v>
      </c>
      <c r="BR67" s="0" t="str">
        <f aca="false">PROPER(IF(ISBLANK(BQ67),"No",BQ67))</f>
        <v>Followed Up</v>
      </c>
    </row>
    <row r="68" customFormat="false" ht="15" hidden="false" customHeight="false" outlineLevel="0" collapsed="false">
      <c r="A68" s="0" t="s">
        <v>311</v>
      </c>
      <c r="B68" s="2" t="s">
        <v>310</v>
      </c>
      <c r="C68" s="2" t="str">
        <f aca="false">TEXT(B68,"dd/mm/yyyy")</f>
        <v>26/02/2025</v>
      </c>
      <c r="D68" s="0" t="s">
        <v>66</v>
      </c>
      <c r="E68" s="0" t="n">
        <v>8010496212</v>
      </c>
      <c r="F68" s="0" t="s">
        <v>139</v>
      </c>
      <c r="G68" s="0" t="s">
        <v>2323</v>
      </c>
      <c r="H68" s="0" t="s">
        <v>312</v>
      </c>
      <c r="I68" s="0" t="s">
        <v>134</v>
      </c>
      <c r="J68" s="0" t="s">
        <v>2325</v>
      </c>
      <c r="K68" s="3" t="str">
        <f aca="false" t="array" ref="K68:K68">IFERROR(IF(J68&lt;&gt;"",J68,INDEX(J68:J1067,MATCH(1,(F68:F1067=F68)*(I68:I1067=I68)*(L68:L1067=L68)*(J68:J1067&lt;&gt;""),0))),"Not Found")</f>
        <v>Engine Knocking</v>
      </c>
      <c r="L68" s="3" t="s">
        <v>89</v>
      </c>
      <c r="M68" s="0" t="str">
        <f aca="false">PROPER(L68)</f>
        <v>Shock Absorbers</v>
      </c>
      <c r="O68" s="0" t="e">
        <f aca="false" t="array" ref="O68:O68">IF(N68&lt;&gt;"",N68,_xlfn.xlookup(1,(L68:L1067=L68)*(N68:N1067&lt;&gt;""),N68:N1067,"Not Found"))</f>
        <v>#NAME?</v>
      </c>
      <c r="P68" s="4" t="n">
        <v>34398</v>
      </c>
      <c r="Q68" s="0" t="s">
        <v>110</v>
      </c>
      <c r="R68" s="0" t="str">
        <f aca="false">PROPER(Q68)</f>
        <v>Cash</v>
      </c>
      <c r="S68" s="0" t="s">
        <v>63</v>
      </c>
      <c r="T68" s="0" t="n">
        <v>5</v>
      </c>
      <c r="U68" s="5" t="n">
        <f aca="false">IF(ISBLANK(T68),AVERAGE(T68:T1067),T68)</f>
        <v>5</v>
      </c>
      <c r="V68" s="0" t="n">
        <v>1.7</v>
      </c>
      <c r="W68" s="0" t="s">
        <v>92</v>
      </c>
      <c r="X68" s="0" t="str">
        <f aca="false">IF(ISBLANK(W68),"No remarks",W68)</f>
        <v>Urgent service</v>
      </c>
      <c r="Y68" s="0" t="s">
        <v>93</v>
      </c>
      <c r="AA68" s="0" t="str">
        <f aca="false">PROPER(IF(ISBLANK(Z68),"Location Unavailable",Z68))</f>
        <v>Location Unavailable</v>
      </c>
      <c r="AB68" s="0" t="s">
        <v>167</v>
      </c>
      <c r="AC68" s="6" t="str">
        <f aca="false">PROPER(AB68)</f>
        <v>Word Of Mouth</v>
      </c>
      <c r="AD68" s="6" t="n">
        <v>45</v>
      </c>
      <c r="AE68" s="5" t="n">
        <f aca="false">IF(ISBLANK(AD68),AVERAGEIF(L68:L1067,L68,AD68:AD1067),AD68)</f>
        <v>45</v>
      </c>
      <c r="AF68" s="0" t="s">
        <v>160</v>
      </c>
      <c r="AG68" s="0" t="str">
        <f aca="false">PROPER(AF68)</f>
        <v>Availaible</v>
      </c>
      <c r="AH68" s="0" t="s">
        <v>148</v>
      </c>
      <c r="AI68" s="0" t="s">
        <v>98</v>
      </c>
      <c r="AJ68" s="0" t="str">
        <f aca="false">PROPER(AI68)</f>
        <v>Emergency</v>
      </c>
      <c r="AK68" s="0" t="s">
        <v>114</v>
      </c>
      <c r="AL68" s="0" t="str">
        <f aca="false">PROPER(AK68)</f>
        <v>Returning</v>
      </c>
      <c r="AN68" s="0" t="str">
        <f aca="false">IF(ISBLANK(AM68),"Unknown",AM68)</f>
        <v>Unknown</v>
      </c>
      <c r="AO68" s="0" t="s">
        <v>149</v>
      </c>
      <c r="AP68" s="0" t="str">
        <f aca="false">IF(ISBLANK(AO68),"Unknown",AO68)</f>
        <v>Senior </v>
      </c>
      <c r="AQ68" s="0" t="n">
        <v>30000</v>
      </c>
      <c r="AR68" s="5" t="n">
        <f aca="false">IF(ISBLANK(AQ68),AVERAGEIF(M68:M1067,M68,AQ68:AQ1067),AQ68)</f>
        <v>30000</v>
      </c>
      <c r="AS68" s="0" t="n">
        <v>30000</v>
      </c>
      <c r="AT68" s="5" t="n">
        <f aca="false">IF(ISBLANK(AS68),AVERAGE(AS68:AS1067),AS68)</f>
        <v>30000</v>
      </c>
      <c r="AU68" s="0" t="s">
        <v>63</v>
      </c>
      <c r="AV68" s="0" t="str">
        <f aca="false">PROPER(IF(ISBLANK(AU68),"No",AU68))</f>
        <v>Yes</v>
      </c>
      <c r="AW68" s="0" t="n">
        <v>5000</v>
      </c>
      <c r="AX68" s="5" t="n">
        <f aca="false">IF(ISBLANK(AW68),0,AW68)</f>
        <v>5000</v>
      </c>
      <c r="AY68" s="0" t="s">
        <v>80</v>
      </c>
      <c r="AZ68" s="0" t="str">
        <f aca="false">UPPER(IF(ISBLANK(AY68),"NONE",AY68))</f>
        <v>PROMO10</v>
      </c>
      <c r="BA68" s="7" t="n">
        <v>46021</v>
      </c>
      <c r="BB68" s="7" t="n">
        <f aca="false">IF(ISBLANK(BA68),"No Follow Up Needed",BA68)</f>
        <v>46021</v>
      </c>
      <c r="BC68" s="0" t="s">
        <v>50</v>
      </c>
      <c r="BD68" s="0" t="str">
        <f aca="false">PROPER(IF(ISBLANK(BC68),"Unknown",BC68))</f>
        <v>No</v>
      </c>
      <c r="BE68" s="0" t="s">
        <v>171</v>
      </c>
      <c r="BF68" s="0" t="str">
        <f aca="false">IF(ISBLANK(BE68),"No comments",BE68)</f>
        <v>Shock absorber weakening</v>
      </c>
      <c r="BG68" s="0" t="s">
        <v>172</v>
      </c>
      <c r="BH68" s="0" t="str">
        <f aca="false">IF(ISBLANK(BG68),"No comments",BG68)</f>
        <v>Always late</v>
      </c>
      <c r="BI68" s="0" t="s">
        <v>50</v>
      </c>
      <c r="BJ68" s="0" t="str">
        <f aca="false">IF(ISBLANK(BI68),"Not Mentioned",BI68)</f>
        <v>No</v>
      </c>
      <c r="BK68" s="0" t="s">
        <v>82</v>
      </c>
      <c r="BL68" s="0" t="str">
        <f aca="false">PROPER(IF(ISBLANK(BK68),"Not Mentioned",BK68))</f>
        <v>Yes</v>
      </c>
      <c r="BM68" s="0" t="s">
        <v>50</v>
      </c>
      <c r="BN68" s="0" t="str">
        <f aca="false">PROPER(IF(ISBLANK(BM68),"Not Mentioned",BM68))</f>
        <v>No</v>
      </c>
      <c r="BP68" s="0" t="str">
        <f aca="false">IF(ISBLANK(BO68),"One-Time Plan",BO68)</f>
        <v>One-Time Plan</v>
      </c>
      <c r="BQ68" s="0" t="s">
        <v>50</v>
      </c>
      <c r="BR68" s="0" t="str">
        <f aca="false">PROPER(IF(ISBLANK(BQ68),"No",BQ68))</f>
        <v>No</v>
      </c>
    </row>
    <row r="69" customFormat="false" ht="15" hidden="false" customHeight="false" outlineLevel="0" collapsed="false">
      <c r="A69" s="0" t="s">
        <v>313</v>
      </c>
      <c r="B69" s="2" t="n">
        <v>45704</v>
      </c>
      <c r="C69" s="2" t="str">
        <f aca="false">TEXT(B69,"dd/mm/yyyy")</f>
        <v>16/02/2025</v>
      </c>
      <c r="D69" s="0" t="s">
        <v>42</v>
      </c>
      <c r="E69" s="0" t="n">
        <v>8095733862</v>
      </c>
      <c r="F69" s="0" t="s">
        <v>67</v>
      </c>
      <c r="G69" s="0" t="s">
        <v>2316</v>
      </c>
      <c r="H69" s="0" t="s">
        <v>314</v>
      </c>
      <c r="I69" s="0" t="s">
        <v>69</v>
      </c>
      <c r="K69" s="3" t="str">
        <f aca="false" t="array" ref="K69:K69">IFERROR(IF(J69&lt;&gt;"",J69,INDEX(J69:J1068,MATCH(1,(F69:F1068=F69)*(I69:I1068=I69)*(L69:L1068=L69)*(J69:J1068&lt;&gt;""),0))),"Not Found")</f>
        <v>Engine Knocking</v>
      </c>
      <c r="L69" s="3" t="s">
        <v>108</v>
      </c>
      <c r="M69" s="0" t="str">
        <f aca="false">PROPER(L69)</f>
        <v>Timing Belt</v>
      </c>
      <c r="N69" s="3" t="s">
        <v>71</v>
      </c>
      <c r="O69" s="0" t="str">
        <f aca="false" t="array" ref="O69:O69">IF(N69&lt;&gt;"",N69,_xlfn.xlookup(1,(L69:L1068=L69)*(N69:N1068&lt;&gt;""),N69:N1068,"Not Found"))</f>
        <v>Isaac Bobo</v>
      </c>
      <c r="P69" s="4" t="n">
        <v>119820</v>
      </c>
      <c r="Q69" s="0" t="s">
        <v>91</v>
      </c>
      <c r="R69" s="0" t="str">
        <f aca="false">PROPER(Q69)</f>
        <v>Pos</v>
      </c>
      <c r="S69" s="0" t="s">
        <v>50</v>
      </c>
      <c r="T69" s="0" t="n">
        <v>4</v>
      </c>
      <c r="U69" s="5" t="n">
        <f aca="false">IF(ISBLANK(T69),AVERAGE(T69:T1068),T69)</f>
        <v>4</v>
      </c>
      <c r="V69" s="0" t="n">
        <v>5.8</v>
      </c>
      <c r="W69" s="0" t="s">
        <v>51</v>
      </c>
      <c r="X69" s="0" t="str">
        <f aca="false">IF(ISBLANK(W69),"No remarks",W69)</f>
        <v>Recommended further checks</v>
      </c>
      <c r="Y69" s="0" t="s">
        <v>93</v>
      </c>
      <c r="Z69" s="0" t="s">
        <v>94</v>
      </c>
      <c r="AA69" s="0" t="str">
        <f aca="false">PROPER(IF(ISBLANK(Z69),"Location Unavailable",Z69))</f>
        <v>Vip Section</v>
      </c>
      <c r="AB69" s="0" t="s">
        <v>167</v>
      </c>
      <c r="AC69" s="6" t="str">
        <f aca="false">PROPER(AB69)</f>
        <v>Word Of Mouth</v>
      </c>
      <c r="AD69" s="6" t="n">
        <v>15</v>
      </c>
      <c r="AE69" s="5" t="n">
        <f aca="false">IF(ISBLANK(AD69),AVERAGEIF(L69:L1068,L69,AD69:AD1068),AD69)</f>
        <v>15</v>
      </c>
      <c r="AF69" s="0" t="s">
        <v>96</v>
      </c>
      <c r="AG69" s="0" t="str">
        <f aca="false">PROPER(AF69)</f>
        <v>Ordered</v>
      </c>
      <c r="AH69" s="0" t="s">
        <v>56</v>
      </c>
      <c r="AI69" s="0" t="s">
        <v>98</v>
      </c>
      <c r="AJ69" s="0" t="str">
        <f aca="false">PROPER(AI69)</f>
        <v>Emergency</v>
      </c>
      <c r="AK69" s="0" t="s">
        <v>58</v>
      </c>
      <c r="AL69" s="0" t="str">
        <f aca="false">PROPER(AK69)</f>
        <v>Fleet Owner</v>
      </c>
      <c r="AN69" s="0" t="str">
        <f aca="false">IF(ISBLANK(AM69),"Unknown",AM69)</f>
        <v>Unknown</v>
      </c>
      <c r="AO69" s="0" t="s">
        <v>143</v>
      </c>
      <c r="AP69" s="0" t="str">
        <f aca="false">IF(ISBLANK(AO69),"Unknown",AO69)</f>
        <v>Senior</v>
      </c>
      <c r="AQ69" s="0" t="n">
        <v>25000</v>
      </c>
      <c r="AR69" s="5" t="n">
        <f aca="false">IF(ISBLANK(AQ69),AVERAGEIF(M69:M1068,M69,AQ69:AQ1068),AQ69)</f>
        <v>25000</v>
      </c>
      <c r="AS69" s="0" t="n">
        <v>20000</v>
      </c>
      <c r="AT69" s="5" t="n">
        <f aca="false">IF(ISBLANK(AS69),AVERAGE(AS69:AS1068),AS69)</f>
        <v>20000</v>
      </c>
      <c r="AV69" s="0" t="str">
        <f aca="false">PROPER(IF(ISBLANK(AU69),"No",AU69))</f>
        <v>No</v>
      </c>
      <c r="AW69" s="0" t="n">
        <v>10000</v>
      </c>
      <c r="AX69" s="5" t="n">
        <f aca="false">IF(ISBLANK(AW69),0,AW69)</f>
        <v>10000</v>
      </c>
      <c r="AY69" s="0" t="s">
        <v>60</v>
      </c>
      <c r="AZ69" s="0" t="str">
        <f aca="false">UPPER(IF(ISBLANK(AY69),"NONE",AY69))</f>
        <v>NONE</v>
      </c>
      <c r="BA69" s="7" t="s">
        <v>315</v>
      </c>
      <c r="BB69" s="7" t="str">
        <f aca="false">IF(ISBLANK(BA69),"No Follow Up Needed",BA69)</f>
        <v>13/12/2025</v>
      </c>
      <c r="BC69" s="0" t="s">
        <v>82</v>
      </c>
      <c r="BD69" s="0" t="str">
        <f aca="false">PROPER(IF(ISBLANK(BC69),"Unknown",BC69))</f>
        <v>Yes</v>
      </c>
      <c r="BF69" s="0" t="str">
        <f aca="false">IF(ISBLANK(BE69),"No comments",BE69)</f>
        <v>No comments</v>
      </c>
      <c r="BH69" s="0" t="str">
        <f aca="false">IF(ISBLANK(BG69),"No comments",BG69)</f>
        <v>No comments</v>
      </c>
      <c r="BI69" s="0" t="s">
        <v>63</v>
      </c>
      <c r="BJ69" s="0" t="str">
        <f aca="false">IF(ISBLANK(BI69),"Not Mentioned",BI69)</f>
        <v>Yes</v>
      </c>
      <c r="BL69" s="0" t="str">
        <f aca="false">PROPER(IF(ISBLANK(BK69),"Not Mentioned",BK69))</f>
        <v>Not Mentioned</v>
      </c>
      <c r="BM69" s="0" t="s">
        <v>63</v>
      </c>
      <c r="BN69" s="0" t="str">
        <f aca="false">PROPER(IF(ISBLANK(BM69),"Not Mentioned",BM69))</f>
        <v>Yes</v>
      </c>
      <c r="BO69" s="0" t="s">
        <v>2321</v>
      </c>
      <c r="BP69" s="0" t="str">
        <f aca="false">IF(ISBLANK(BO69),"One-Time Plan",BO69)</f>
        <v>One-Time Plan</v>
      </c>
      <c r="BQ69" s="0" t="s">
        <v>50</v>
      </c>
      <c r="BR69" s="0" t="str">
        <f aca="false">PROPER(IF(ISBLANK(BQ69),"No",BQ69))</f>
        <v>No</v>
      </c>
    </row>
    <row r="70" customFormat="false" ht="15" hidden="false" customHeight="false" outlineLevel="0" collapsed="false">
      <c r="A70" s="0" t="s">
        <v>317</v>
      </c>
      <c r="B70" s="2" t="s">
        <v>316</v>
      </c>
      <c r="C70" s="2" t="str">
        <f aca="false">TEXT(B70,"dd/mm/yyyy")</f>
        <v>14/01/2025</v>
      </c>
      <c r="D70" s="0" t="s">
        <v>66</v>
      </c>
      <c r="E70" s="0" t="n">
        <v>8039933920</v>
      </c>
      <c r="F70" s="0" t="s">
        <v>139</v>
      </c>
      <c r="G70" s="0" t="s">
        <v>2323</v>
      </c>
      <c r="H70" s="0" t="s">
        <v>318</v>
      </c>
      <c r="I70" s="0" t="s">
        <v>45</v>
      </c>
      <c r="J70" s="0" t="s">
        <v>2325</v>
      </c>
      <c r="K70" s="3" t="str">
        <f aca="false" t="array" ref="K70:K70">IFERROR(IF(J70&lt;&gt;"",J70,INDEX(J70:J1069,MATCH(1,(F70:F1069=F70)*(I70:I1069=I70)*(L70:L1069=L70)*(J70:J1069&lt;&gt;""),0))),"Not Found")</f>
        <v>Engine Knocking</v>
      </c>
      <c r="L70" s="3" t="s">
        <v>108</v>
      </c>
      <c r="M70" s="0" t="str">
        <f aca="false">PROPER(L70)</f>
        <v>Timing Belt</v>
      </c>
      <c r="N70" s="3" t="s">
        <v>90</v>
      </c>
      <c r="O70" s="0" t="str">
        <f aca="false" t="array" ref="O70:O70">IF(N70&lt;&gt;"",N70,_xlfn.xlookup(1,(L70:L1069=L70)*(N70:N1069&lt;&gt;""),N70:N1069,"Not Found"))</f>
        <v>Musa</v>
      </c>
      <c r="P70" s="4" t="n">
        <v>13836</v>
      </c>
      <c r="Q70" s="0" t="s">
        <v>49</v>
      </c>
      <c r="R70" s="0" t="str">
        <f aca="false">PROPER(Q70)</f>
        <v>Transfer</v>
      </c>
      <c r="S70" s="0" t="s">
        <v>50</v>
      </c>
      <c r="T70" s="0" t="n">
        <v>2</v>
      </c>
      <c r="U70" s="5" t="n">
        <f aca="false">IF(ISBLANK(T70),AVERAGE(T70:T1069),T70)</f>
        <v>2</v>
      </c>
      <c r="V70" s="0" t="n">
        <v>4.9</v>
      </c>
      <c r="W70" s="0" t="s">
        <v>51</v>
      </c>
      <c r="X70" s="0" t="str">
        <f aca="false">IF(ISBLANK(W70),"No remarks",W70)</f>
        <v>Recommended further checks</v>
      </c>
      <c r="Y70" s="0" t="s">
        <v>73</v>
      </c>
      <c r="Z70" s="0" t="s">
        <v>136</v>
      </c>
      <c r="AA70" s="0" t="str">
        <f aca="false">PROPER(IF(ISBLANK(Z70),"Location Unavailable",Z70))</f>
        <v>Vip Section</v>
      </c>
      <c r="AB70" s="0" t="s">
        <v>54</v>
      </c>
      <c r="AC70" s="6" t="str">
        <f aca="false">PROPER(AB70)</f>
        <v>Mechanic Referral</v>
      </c>
      <c r="AD70" s="6" t="n">
        <v>15</v>
      </c>
      <c r="AE70" s="5" t="n">
        <f aca="false">IF(ISBLANK(AD70),AVERAGEIF(L70:L1069,L70,AD70:AD1069),AD70)</f>
        <v>15</v>
      </c>
      <c r="AF70" s="0" t="s">
        <v>96</v>
      </c>
      <c r="AG70" s="0" t="str">
        <f aca="false">PROPER(AF70)</f>
        <v>Ordered</v>
      </c>
      <c r="AH70" s="0" t="s">
        <v>155</v>
      </c>
      <c r="AI70" s="0" t="s">
        <v>98</v>
      </c>
      <c r="AJ70" s="0" t="str">
        <f aca="false">PROPER(AI70)</f>
        <v>Emergency</v>
      </c>
      <c r="AK70" s="0" t="s">
        <v>99</v>
      </c>
      <c r="AL70" s="0" t="str">
        <f aca="false">PROPER(AK70)</f>
        <v>Uber Driver</v>
      </c>
      <c r="AN70" s="0" t="str">
        <f aca="false">IF(ISBLANK(AM70),"Unknown",AM70)</f>
        <v>Unknown</v>
      </c>
      <c r="AO70" s="0" t="s">
        <v>161</v>
      </c>
      <c r="AP70" s="0" t="str">
        <f aca="false">IF(ISBLANK(AO70),"Unknown",AO70)</f>
        <v>Apprentice</v>
      </c>
      <c r="AQ70" s="0" t="n">
        <v>20000</v>
      </c>
      <c r="AR70" s="5" t="n">
        <f aca="false">IF(ISBLANK(AQ70),AVERAGEIF(M70:M1069,M70,AQ70:AQ1069),AQ70)</f>
        <v>20000</v>
      </c>
      <c r="AS70" s="0" t="n">
        <v>40000</v>
      </c>
      <c r="AT70" s="5" t="n">
        <f aca="false">IF(ISBLANK(AS70),AVERAGE(AS70:AS1069),AS70)</f>
        <v>40000</v>
      </c>
      <c r="AU70" s="0" t="s">
        <v>63</v>
      </c>
      <c r="AV70" s="0" t="str">
        <f aca="false">PROPER(IF(ISBLANK(AU70),"No",AU70))</f>
        <v>Yes</v>
      </c>
      <c r="AW70" s="0" t="n">
        <v>0</v>
      </c>
      <c r="AX70" s="5" t="n">
        <f aca="false">IF(ISBLANK(AW70),0,AW70)</f>
        <v>0</v>
      </c>
      <c r="AY70" s="0" t="s">
        <v>184</v>
      </c>
      <c r="AZ70" s="0" t="str">
        <f aca="false">UPPER(IF(ISBLANK(AY70),"NONE",AY70))</f>
        <v>N/A</v>
      </c>
      <c r="BA70" s="7" t="n">
        <v>45962</v>
      </c>
      <c r="BB70" s="7" t="n">
        <f aca="false">IF(ISBLANK(BA70),"No Follow Up Needed",BA70)</f>
        <v>45962</v>
      </c>
      <c r="BC70" s="0" t="s">
        <v>50</v>
      </c>
      <c r="BD70" s="0" t="str">
        <f aca="false">PROPER(IF(ISBLANK(BC70),"Unknown",BC70))</f>
        <v>No</v>
      </c>
      <c r="BE70" s="0" t="s">
        <v>116</v>
      </c>
      <c r="BF70" s="0" t="str">
        <f aca="false">IF(ISBLANK(BE70),"No comments",BE70)</f>
        <v>Needs tire alignment</v>
      </c>
      <c r="BH70" s="0" t="str">
        <f aca="false">IF(ISBLANK(BG70),"No comments",BG70)</f>
        <v>No comments</v>
      </c>
      <c r="BI70" s="0" t="s">
        <v>63</v>
      </c>
      <c r="BJ70" s="0" t="str">
        <f aca="false">IF(ISBLANK(BI70),"Not Mentioned",BI70)</f>
        <v>Yes</v>
      </c>
      <c r="BL70" s="0" t="str">
        <f aca="false">PROPER(IF(ISBLANK(BK70),"Not Mentioned",BK70))</f>
        <v>Not Mentioned</v>
      </c>
      <c r="BM70" s="0" t="s">
        <v>63</v>
      </c>
      <c r="BN70" s="0" t="str">
        <f aca="false">PROPER(IF(ISBLANK(BM70),"Not Mentioned",BM70))</f>
        <v>Yes</v>
      </c>
      <c r="BO70" s="0" t="s">
        <v>64</v>
      </c>
      <c r="BP70" s="0" t="str">
        <f aca="false">IF(ISBLANK(BO70),"One-Time Plan",BO70)</f>
        <v>Gold Maintenance Plan</v>
      </c>
      <c r="BR70" s="0" t="str">
        <f aca="false">PROPER(IF(ISBLANK(BQ70),"No",BQ70))</f>
        <v>No</v>
      </c>
    </row>
    <row r="71" customFormat="false" ht="15" hidden="false" customHeight="false" outlineLevel="0" collapsed="false">
      <c r="A71" s="0" t="s">
        <v>319</v>
      </c>
      <c r="B71" s="2" t="s">
        <v>302</v>
      </c>
      <c r="C71" s="2" t="str">
        <f aca="false">TEXT(B71,"dd/mm/yyyy")</f>
        <v>21/05/2025</v>
      </c>
      <c r="D71" s="0" t="s">
        <v>42</v>
      </c>
      <c r="E71" s="0" t="n">
        <v>8040906854</v>
      </c>
      <c r="F71" s="0" t="s">
        <v>43</v>
      </c>
      <c r="G71" s="0" t="s">
        <v>2315</v>
      </c>
      <c r="H71" s="0" t="s">
        <v>320</v>
      </c>
      <c r="I71" s="0" t="s">
        <v>107</v>
      </c>
      <c r="J71" s="0" t="s">
        <v>2322</v>
      </c>
      <c r="K71" s="3" t="str">
        <f aca="false" t="array" ref="K71:K71">IFERROR(IF(J71&lt;&gt;"",J71,INDEX(J71:J1070,MATCH(1,(F71:F1070=F71)*(I71:I1070=I71)*(L71:L1070=L71)*(J71:J1070&lt;&gt;""),0))),"Not Found")</f>
        <v>Brake Failure</v>
      </c>
      <c r="L71" s="3" t="s">
        <v>142</v>
      </c>
      <c r="M71" s="0" t="str">
        <f aca="false">PROPER(L71)</f>
        <v>Oil Filter, Brake Pads</v>
      </c>
      <c r="N71" s="3" t="s">
        <v>71</v>
      </c>
      <c r="O71" s="0" t="str">
        <f aca="false" t="array" ref="O71:O71">IF(N71&lt;&gt;"",N71,_xlfn.xlookup(1,(L71:L1070=L71)*(N71:N1070&lt;&gt;""),N71:N1070,"Not Found"))</f>
        <v>Isaac Bobo</v>
      </c>
      <c r="P71" s="4" t="n">
        <v>52706</v>
      </c>
      <c r="Q71" s="0" t="s">
        <v>49</v>
      </c>
      <c r="R71" s="0" t="str">
        <f aca="false">PROPER(Q71)</f>
        <v>Transfer</v>
      </c>
      <c r="S71" s="0" t="s">
        <v>50</v>
      </c>
      <c r="T71" s="0" t="n">
        <v>5</v>
      </c>
      <c r="U71" s="5" t="n">
        <f aca="false">IF(ISBLANK(T71),AVERAGE(T71:T1070),T71)</f>
        <v>5</v>
      </c>
      <c r="V71" s="0" t="n">
        <v>5.6</v>
      </c>
      <c r="W71" s="0" t="s">
        <v>125</v>
      </c>
      <c r="X71" s="0" t="str">
        <f aca="false">IF(ISBLANK(W71),"No remarks",W71)</f>
        <v>Customer waited</v>
      </c>
      <c r="Y71" s="0" t="s">
        <v>52</v>
      </c>
      <c r="Z71" s="0" t="s">
        <v>159</v>
      </c>
      <c r="AA71" s="0" t="str">
        <f aca="false">PROPER(IF(ISBLANK(Z71),"Location Unavailable",Z71))</f>
        <v>Main Bay</v>
      </c>
      <c r="AB71" s="0" t="s">
        <v>126</v>
      </c>
      <c r="AC71" s="6" t="str">
        <f aca="false">PROPER(AB71)</f>
        <v>Whatsapp</v>
      </c>
      <c r="AD71" s="6" t="n">
        <v>45</v>
      </c>
      <c r="AE71" s="5" t="n">
        <f aca="false">IF(ISBLANK(AD71),AVERAGEIF(L71:L1070,L71,AD71:AD1070),AD71)</f>
        <v>45</v>
      </c>
      <c r="AF71" s="0" t="s">
        <v>55</v>
      </c>
      <c r="AG71" s="0" t="str">
        <f aca="false">PROPER(AF71)</f>
        <v>Available</v>
      </c>
      <c r="AH71" s="0" t="s">
        <v>148</v>
      </c>
      <c r="AI71" s="0" t="s">
        <v>113</v>
      </c>
      <c r="AJ71" s="0" t="str">
        <f aca="false">PROPER(AI71)</f>
        <v>Normal</v>
      </c>
      <c r="AK71" s="0" t="s">
        <v>114</v>
      </c>
      <c r="AL71" s="0" t="str">
        <f aca="false">PROPER(AK71)</f>
        <v>Returning</v>
      </c>
      <c r="AN71" s="0" t="str">
        <f aca="false">IF(ISBLANK(AM71),"Unknown",AM71)</f>
        <v>Unknown</v>
      </c>
      <c r="AP71" s="0" t="str">
        <f aca="false">IF(ISBLANK(AO71),"Unknown",AO71)</f>
        <v>Unknown</v>
      </c>
      <c r="AR71" s="5" t="n">
        <f aca="false">IF(ISBLANK(AQ71),AVERAGEIF(M71:M1070,M71,AQ71:AQ1070),AQ71)</f>
        <v>26423.3576642336</v>
      </c>
      <c r="AS71" s="0" t="n">
        <v>20000</v>
      </c>
      <c r="AT71" s="5" t="n">
        <f aca="false">IF(ISBLANK(AS71),AVERAGE(AS71:AS1070),AS71)</f>
        <v>20000</v>
      </c>
      <c r="AV71" s="0" t="str">
        <f aca="false">PROPER(IF(ISBLANK(AU71),"No",AU71))</f>
        <v>No</v>
      </c>
      <c r="AW71" s="0" t="n">
        <v>5000</v>
      </c>
      <c r="AX71" s="5" t="n">
        <f aca="false">IF(ISBLANK(AW71),0,AW71)</f>
        <v>5000</v>
      </c>
      <c r="AZ71" s="0" t="str">
        <f aca="false">UPPER(IF(ISBLANK(AY71),"NONE",AY71))</f>
        <v>NONE</v>
      </c>
      <c r="BA71" s="7" t="n">
        <v>46022</v>
      </c>
      <c r="BB71" s="7" t="n">
        <f aca="false">IF(ISBLANK(BA71),"No Follow Up Needed",BA71)</f>
        <v>46022</v>
      </c>
      <c r="BC71" s="0" t="s">
        <v>50</v>
      </c>
      <c r="BD71" s="0" t="str">
        <f aca="false">PROPER(IF(ISBLANK(BC71),"Unknown",BC71))</f>
        <v>No</v>
      </c>
      <c r="BF71" s="0" t="str">
        <f aca="false">IF(ISBLANK(BE71),"No comments",BE71)</f>
        <v>No comments</v>
      </c>
      <c r="BG71" s="0" t="s">
        <v>117</v>
      </c>
      <c r="BH71" s="0" t="str">
        <f aca="false">IF(ISBLANK(BG71),"No comments",BG71)</f>
        <v>Prefers morning</v>
      </c>
      <c r="BI71" s="0" t="s">
        <v>50</v>
      </c>
      <c r="BJ71" s="0" t="str">
        <f aca="false">IF(ISBLANK(BI71),"Not Mentioned",BI71)</f>
        <v>No</v>
      </c>
      <c r="BK71" s="0" t="s">
        <v>50</v>
      </c>
      <c r="BL71" s="0" t="str">
        <f aca="false">PROPER(IF(ISBLANK(BK71),"Not Mentioned",BK71))</f>
        <v>No</v>
      </c>
      <c r="BN71" s="0" t="str">
        <f aca="false">PROPER(IF(ISBLANK(BM71),"Not Mentioned",BM71))</f>
        <v>Not Mentioned</v>
      </c>
      <c r="BO71" s="0" t="s">
        <v>64</v>
      </c>
      <c r="BP71" s="0" t="str">
        <f aca="false">IF(ISBLANK(BO71),"One-Time Plan",BO71)</f>
        <v>Gold Maintenance Plan</v>
      </c>
      <c r="BQ71" s="0" t="s">
        <v>198</v>
      </c>
      <c r="BR71" s="0" t="str">
        <f aca="false">PROPER(IF(ISBLANK(BQ71),"No",BQ71))</f>
        <v>Followed Up</v>
      </c>
    </row>
    <row r="72" customFormat="false" ht="15" hidden="false" customHeight="false" outlineLevel="0" collapsed="false">
      <c r="A72" s="0" t="s">
        <v>321</v>
      </c>
      <c r="B72" s="2" t="n">
        <v>45675</v>
      </c>
      <c r="C72" s="2" t="str">
        <f aca="false">TEXT(B72,"dd/mm/yyyy")</f>
        <v>18/01/2025</v>
      </c>
      <c r="D72" s="0" t="s">
        <v>121</v>
      </c>
      <c r="E72" s="0" t="n">
        <v>8072617503</v>
      </c>
      <c r="F72" s="0" t="s">
        <v>139</v>
      </c>
      <c r="G72" s="0" t="s">
        <v>2323</v>
      </c>
      <c r="H72" s="0" t="s">
        <v>322</v>
      </c>
      <c r="I72" s="0" t="s">
        <v>107</v>
      </c>
      <c r="J72" s="0" t="s">
        <v>87</v>
      </c>
      <c r="K72" s="3" t="str">
        <f aca="false" t="array" ref="K72:K72">IFERROR(IF(J72&lt;&gt;"",J72,INDEX(J72:J1071,MATCH(1,(F72:F1071=F72)*(I72:I1071=I72)*(L72:L1071=L72)*(J72:J1071&lt;&gt;""),0))),"Not Found")</f>
        <v>Oil Change</v>
      </c>
      <c r="L72" s="3" t="s">
        <v>108</v>
      </c>
      <c r="M72" s="0" t="str">
        <f aca="false">PROPER(L72)</f>
        <v>Timing Belt</v>
      </c>
      <c r="O72" s="0" t="e">
        <f aca="false" t="array" ref="O72:O72">IF(N72&lt;&gt;"",N72,_xlfn.xlookup(1,(L72:L1071=L72)*(N72:N1071&lt;&gt;""),N72:N1071,"Not Found"))</f>
        <v>#NAME?</v>
      </c>
      <c r="P72" s="4" t="n">
        <v>33827</v>
      </c>
      <c r="Q72" s="0" t="s">
        <v>110</v>
      </c>
      <c r="R72" s="0" t="str">
        <f aca="false">PROPER(Q72)</f>
        <v>Cash</v>
      </c>
      <c r="S72" s="0" t="s">
        <v>63</v>
      </c>
      <c r="U72" s="5" t="n">
        <f aca="false">IF(ISBLANK(T72),AVERAGE(T72:T1071),T72)</f>
        <v>2.98708010335917</v>
      </c>
      <c r="V72" s="0" t="n">
        <v>1.2</v>
      </c>
      <c r="W72" s="0" t="s">
        <v>111</v>
      </c>
      <c r="X72" s="0" t="str">
        <f aca="false">IF(ISBLANK(W72),"No remarks",W72)</f>
        <v>Changed all filters</v>
      </c>
      <c r="Y72" s="0" t="s">
        <v>73</v>
      </c>
      <c r="Z72" s="0" t="s">
        <v>74</v>
      </c>
      <c r="AA72" s="0" t="str">
        <f aca="false">PROPER(IF(ISBLANK(Z72),"Location Unavailable",Z72))</f>
        <v>Under Tree</v>
      </c>
      <c r="AB72" s="0" t="s">
        <v>75</v>
      </c>
      <c r="AC72" s="6" t="str">
        <f aca="false">PROPER(AB72)</f>
        <v>Mechanik Referal</v>
      </c>
      <c r="AD72" s="6" t="n">
        <v>30</v>
      </c>
      <c r="AE72" s="5" t="n">
        <f aca="false">IF(ISBLANK(AD72),AVERAGEIF(L72:L1071,L72,AD72:AD1071),AD72)</f>
        <v>30</v>
      </c>
      <c r="AF72" s="0" t="s">
        <v>112</v>
      </c>
      <c r="AG72" s="0" t="str">
        <f aca="false">PROPER(AF72)</f>
        <v>Unavailable</v>
      </c>
      <c r="AH72" s="0" t="s">
        <v>155</v>
      </c>
      <c r="AI72" s="0" t="s">
        <v>98</v>
      </c>
      <c r="AJ72" s="0" t="str">
        <f aca="false">PROPER(AI72)</f>
        <v>Emergency</v>
      </c>
      <c r="AK72" s="0" t="s">
        <v>196</v>
      </c>
      <c r="AL72" s="0" t="str">
        <f aca="false">PROPER(AK72)</f>
        <v>First Time</v>
      </c>
      <c r="AN72" s="0" t="str">
        <f aca="false">IF(ISBLANK(AM72),"Unknown",AM72)</f>
        <v>Unknown</v>
      </c>
      <c r="AO72" s="0" t="s">
        <v>143</v>
      </c>
      <c r="AP72" s="0" t="str">
        <f aca="false">IF(ISBLANK(AO72),"Unknown",AO72)</f>
        <v>Senior</v>
      </c>
      <c r="AQ72" s="0" t="n">
        <v>30000</v>
      </c>
      <c r="AR72" s="5" t="n">
        <f aca="false">IF(ISBLANK(AQ72),AVERAGEIF(M72:M1071,M72,AQ72:AQ1071),AQ72)</f>
        <v>30000</v>
      </c>
      <c r="AS72" s="0" t="n">
        <v>35000</v>
      </c>
      <c r="AT72" s="5" t="n">
        <f aca="false">IF(ISBLANK(AS72),AVERAGE(AS72:AS1071),AS72)</f>
        <v>35000</v>
      </c>
      <c r="AU72" s="0" t="s">
        <v>82</v>
      </c>
      <c r="AV72" s="0" t="str">
        <f aca="false">PROPER(IF(ISBLANK(AU72),"No",AU72))</f>
        <v>Yes</v>
      </c>
      <c r="AW72" s="0" t="n">
        <v>5000</v>
      </c>
      <c r="AX72" s="5" t="n">
        <f aca="false">IF(ISBLANK(AW72),0,AW72)</f>
        <v>5000</v>
      </c>
      <c r="AY72" s="0" t="s">
        <v>80</v>
      </c>
      <c r="AZ72" s="0" t="str">
        <f aca="false">UPPER(IF(ISBLANK(AY72),"NONE",AY72))</f>
        <v>PROMO10</v>
      </c>
      <c r="BA72" s="7" t="n">
        <v>45835</v>
      </c>
      <c r="BB72" s="7" t="n">
        <f aca="false">IF(ISBLANK(BA72),"No Follow Up Needed",BA72)</f>
        <v>45835</v>
      </c>
      <c r="BC72" s="0" t="s">
        <v>61</v>
      </c>
      <c r="BD72" s="0" t="str">
        <f aca="false">PROPER(IF(ISBLANK(BC72),"Unknown",BC72))</f>
        <v>No</v>
      </c>
      <c r="BF72" s="0" t="str">
        <f aca="false">IF(ISBLANK(BE72),"No comments",BE72)</f>
        <v>No comments</v>
      </c>
      <c r="BG72" s="0" t="s">
        <v>172</v>
      </c>
      <c r="BH72" s="0" t="str">
        <f aca="false">IF(ISBLANK(BG72),"No comments",BG72)</f>
        <v>Always late</v>
      </c>
      <c r="BI72" s="0" t="s">
        <v>63</v>
      </c>
      <c r="BJ72" s="0" t="str">
        <f aca="false">IF(ISBLANK(BI72),"Not Mentioned",BI72)</f>
        <v>Yes</v>
      </c>
      <c r="BK72" s="0" t="s">
        <v>50</v>
      </c>
      <c r="BL72" s="0" t="str">
        <f aca="false">PROPER(IF(ISBLANK(BK72),"Not Mentioned",BK72))</f>
        <v>No</v>
      </c>
      <c r="BM72" s="0" t="s">
        <v>50</v>
      </c>
      <c r="BN72" s="0" t="str">
        <f aca="false">PROPER(IF(ISBLANK(BM72),"Not Mentioned",BM72))</f>
        <v>No</v>
      </c>
      <c r="BO72" s="0" t="s">
        <v>64</v>
      </c>
      <c r="BP72" s="0" t="str">
        <f aca="false">IF(ISBLANK(BO72),"One-Time Plan",BO72)</f>
        <v>Gold Maintenance Plan</v>
      </c>
      <c r="BQ72" s="0" t="s">
        <v>50</v>
      </c>
      <c r="BR72" s="0" t="str">
        <f aca="false">PROPER(IF(ISBLANK(BQ72),"No",BQ72))</f>
        <v>No</v>
      </c>
    </row>
    <row r="73" customFormat="false" ht="15" hidden="false" customHeight="false" outlineLevel="0" collapsed="false">
      <c r="A73" s="0" t="s">
        <v>323</v>
      </c>
      <c r="B73" s="2" t="n">
        <v>45782</v>
      </c>
      <c r="C73" s="2" t="str">
        <f aca="false">TEXT(B73,"dd/mm/yyyy")</f>
        <v>05/05/2025</v>
      </c>
      <c r="D73" s="0" t="s">
        <v>66</v>
      </c>
      <c r="E73" s="0" t="n">
        <v>8093741127</v>
      </c>
      <c r="F73" s="0" t="s">
        <v>122</v>
      </c>
      <c r="G73" s="0" t="s">
        <v>2316</v>
      </c>
      <c r="H73" s="0" t="s">
        <v>324</v>
      </c>
      <c r="I73" s="0" t="s">
        <v>69</v>
      </c>
      <c r="J73" s="0" t="s">
        <v>87</v>
      </c>
      <c r="K73" s="3" t="str">
        <f aca="false" t="array" ref="K73:K73">IFERROR(IF(J73&lt;&gt;"",J73,INDEX(J73:J1072,MATCH(1,(F73:F1072=F73)*(I73:I1072=I73)*(L73:L1072=L73)*(J73:J1072&lt;&gt;""),0))),"Not Found")</f>
        <v>Oil Change</v>
      </c>
      <c r="L73" s="3" t="s">
        <v>154</v>
      </c>
      <c r="M73" s="0" t="str">
        <f aca="false">PROPER(L73)</f>
        <v>Air Filter</v>
      </c>
      <c r="N73" s="3" t="s">
        <v>109</v>
      </c>
      <c r="O73" s="0" t="str">
        <f aca="false" t="array" ref="O73:O73">IF(N73&lt;&gt;"",N73,_xlfn.xlookup(1,(L73:L1072=L73)*(N73:N1072&lt;&gt;""),N73:N1072,"Not Found"))</f>
        <v>Tijani</v>
      </c>
      <c r="P73" s="4" t="n">
        <v>32615</v>
      </c>
      <c r="Q73" s="0" t="s">
        <v>91</v>
      </c>
      <c r="R73" s="0" t="str">
        <f aca="false">PROPER(Q73)</f>
        <v>Pos</v>
      </c>
      <c r="S73" s="0" t="s">
        <v>50</v>
      </c>
      <c r="T73" s="0" t="n">
        <v>4</v>
      </c>
      <c r="U73" s="5" t="n">
        <f aca="false">IF(ISBLANK(T73),AVERAGE(T73:T1072),T73)</f>
        <v>4</v>
      </c>
      <c r="V73" s="0" t="n">
        <v>2.1</v>
      </c>
      <c r="X73" s="0" t="str">
        <f aca="false">IF(ISBLANK(W73),"No remarks",W73)</f>
        <v>No remarks</v>
      </c>
      <c r="Y73" s="0" t="s">
        <v>73</v>
      </c>
      <c r="Z73" s="0" t="s">
        <v>74</v>
      </c>
      <c r="AA73" s="0" t="str">
        <f aca="false">PROPER(IF(ISBLANK(Z73),"Location Unavailable",Z73))</f>
        <v>Under Tree</v>
      </c>
      <c r="AB73" s="0" t="s">
        <v>54</v>
      </c>
      <c r="AC73" s="6" t="str">
        <f aca="false">PROPER(AB73)</f>
        <v>Mechanic Referral</v>
      </c>
      <c r="AD73" s="6" t="n">
        <v>15</v>
      </c>
      <c r="AE73" s="5" t="n">
        <f aca="false">IF(ISBLANK(AD73),AVERAGEIF(L73:L1072,L73,AD73:AD1072),AD73)</f>
        <v>15</v>
      </c>
      <c r="AF73" s="0" t="s">
        <v>55</v>
      </c>
      <c r="AG73" s="0" t="str">
        <f aca="false">PROPER(AF73)</f>
        <v>Available</v>
      </c>
      <c r="AH73" s="0" t="s">
        <v>155</v>
      </c>
      <c r="AI73" s="0" t="s">
        <v>98</v>
      </c>
      <c r="AJ73" s="0" t="str">
        <f aca="false">PROPER(AI73)</f>
        <v>Emergency</v>
      </c>
      <c r="AK73" s="0" t="s">
        <v>114</v>
      </c>
      <c r="AL73" s="0" t="str">
        <f aca="false">PROPER(AK73)</f>
        <v>Returning</v>
      </c>
      <c r="AM73" s="0" t="s">
        <v>2324</v>
      </c>
      <c r="AN73" s="0" t="str">
        <f aca="false">IF(ISBLANK(AM73),"Unknown",AM73)</f>
        <v>Logistics Convoy</v>
      </c>
      <c r="AO73" s="0" t="s">
        <v>161</v>
      </c>
      <c r="AP73" s="0" t="str">
        <f aca="false">IF(ISBLANK(AO73),"Unknown",AO73)</f>
        <v>Apprentice</v>
      </c>
      <c r="AQ73" s="0" t="n">
        <v>40000</v>
      </c>
      <c r="AR73" s="5" t="n">
        <f aca="false">IF(ISBLANK(AQ73),AVERAGEIF(M73:M1072,M73,AQ73:AQ1072),AQ73)</f>
        <v>40000</v>
      </c>
      <c r="AS73" s="0" t="n">
        <v>20000</v>
      </c>
      <c r="AT73" s="5" t="n">
        <f aca="false">IF(ISBLANK(AS73),AVERAGE(AS73:AS1072),AS73)</f>
        <v>20000</v>
      </c>
      <c r="AU73" s="0" t="s">
        <v>61</v>
      </c>
      <c r="AV73" s="0" t="str">
        <f aca="false">PROPER(IF(ISBLANK(AU73),"No",AU73))</f>
        <v>No</v>
      </c>
      <c r="AW73" s="0" t="n">
        <v>0</v>
      </c>
      <c r="AX73" s="5" t="n">
        <f aca="false">IF(ISBLANK(AW73),0,AW73)</f>
        <v>0</v>
      </c>
      <c r="AY73" s="0" t="s">
        <v>80</v>
      </c>
      <c r="AZ73" s="0" t="str">
        <f aca="false">UPPER(IF(ISBLANK(AY73),"NONE",AY73))</f>
        <v>PROMO10</v>
      </c>
      <c r="BA73" s="7" t="s">
        <v>325</v>
      </c>
      <c r="BB73" s="7" t="str">
        <f aca="false">IF(ISBLANK(BA73),"No Follow Up Needed",BA73)</f>
        <v>26/08/2025</v>
      </c>
      <c r="BC73" s="0" t="s">
        <v>50</v>
      </c>
      <c r="BD73" s="0" t="str">
        <f aca="false">PROPER(IF(ISBLANK(BC73),"Unknown",BC73))</f>
        <v>No</v>
      </c>
      <c r="BE73" s="0" t="s">
        <v>116</v>
      </c>
      <c r="BF73" s="0" t="str">
        <f aca="false">IF(ISBLANK(BE73),"No comments",BE73)</f>
        <v>Needs tire alignment</v>
      </c>
      <c r="BH73" s="0" t="str">
        <f aca="false">IF(ISBLANK(BG73),"No comments",BG73)</f>
        <v>No comments</v>
      </c>
      <c r="BI73" s="0" t="s">
        <v>50</v>
      </c>
      <c r="BJ73" s="0" t="str">
        <f aca="false">IF(ISBLANK(BI73),"Not Mentioned",BI73)</f>
        <v>No</v>
      </c>
      <c r="BK73" s="0" t="s">
        <v>50</v>
      </c>
      <c r="BL73" s="0" t="str">
        <f aca="false">PROPER(IF(ISBLANK(BK73),"Not Mentioned",BK73))</f>
        <v>No</v>
      </c>
      <c r="BN73" s="0" t="str">
        <f aca="false">PROPER(IF(ISBLANK(BM73),"Not Mentioned",BM73))</f>
        <v>Not Mentioned</v>
      </c>
      <c r="BO73" s="0" t="s">
        <v>2321</v>
      </c>
      <c r="BP73" s="0" t="str">
        <f aca="false">IF(ISBLANK(BO73),"One-Time Plan",BO73)</f>
        <v>One-Time Plan</v>
      </c>
      <c r="BQ73" s="0" t="s">
        <v>63</v>
      </c>
      <c r="BR73" s="0" t="str">
        <f aca="false">PROPER(IF(ISBLANK(BQ73),"No",BQ73))</f>
        <v>Yes</v>
      </c>
    </row>
    <row r="74" customFormat="false" ht="15" hidden="false" customHeight="false" outlineLevel="0" collapsed="false">
      <c r="A74" s="0" t="s">
        <v>326</v>
      </c>
      <c r="B74" s="2" t="n">
        <v>45691</v>
      </c>
      <c r="C74" s="2" t="str">
        <f aca="false">TEXT(B74,"dd/mm/yyyy")</f>
        <v>03/02/2025</v>
      </c>
      <c r="D74" s="0" t="s">
        <v>163</v>
      </c>
      <c r="E74" s="0" t="n">
        <v>8038606966</v>
      </c>
      <c r="F74" s="0" t="s">
        <v>43</v>
      </c>
      <c r="G74" s="0" t="s">
        <v>2315</v>
      </c>
      <c r="H74" s="0" t="s">
        <v>327</v>
      </c>
      <c r="I74" s="0" t="s">
        <v>107</v>
      </c>
      <c r="J74" s="0" t="s">
        <v>87</v>
      </c>
      <c r="K74" s="3" t="str">
        <f aca="false" t="array" ref="K74:K74">IFERROR(IF(J74&lt;&gt;"",J74,INDEX(J74:J1073,MATCH(1,(F74:F1073=F74)*(I74:I1073=I74)*(L74:L1073=L74)*(J74:J1073&lt;&gt;""),0))),"Not Found")</f>
        <v>Oil Change</v>
      </c>
      <c r="L74" s="3" t="s">
        <v>108</v>
      </c>
      <c r="M74" s="0" t="str">
        <f aca="false">PROPER(L74)</f>
        <v>Timing Belt</v>
      </c>
      <c r="N74" s="3" t="s">
        <v>90</v>
      </c>
      <c r="O74" s="0" t="str">
        <f aca="false" t="array" ref="O74:O74">IF(N74&lt;&gt;"",N74,_xlfn.xlookup(1,(L74:L1073=L74)*(N74:N1073&lt;&gt;""),N74:N1073,"Not Found"))</f>
        <v>Musa</v>
      </c>
      <c r="P74" s="4" t="n">
        <v>30341</v>
      </c>
      <c r="Q74" s="0" t="s">
        <v>91</v>
      </c>
      <c r="R74" s="0" t="str">
        <f aca="false">PROPER(Q74)</f>
        <v>Pos</v>
      </c>
      <c r="S74" s="0" t="s">
        <v>50</v>
      </c>
      <c r="U74" s="5" t="n">
        <f aca="false">IF(ISBLANK(T74),AVERAGE(T74:T1073),T74)</f>
        <v>2.98576972833118</v>
      </c>
      <c r="V74" s="0" t="n">
        <v>4.4</v>
      </c>
      <c r="W74" s="0" t="s">
        <v>92</v>
      </c>
      <c r="X74" s="0" t="str">
        <f aca="false">IF(ISBLANK(W74),"No remarks",W74)</f>
        <v>Urgent service</v>
      </c>
      <c r="Y74" s="0" t="s">
        <v>52</v>
      </c>
      <c r="Z74" s="0" t="s">
        <v>74</v>
      </c>
      <c r="AA74" s="0" t="str">
        <f aca="false">PROPER(IF(ISBLANK(Z74),"Location Unavailable",Z74))</f>
        <v>Under Tree</v>
      </c>
      <c r="AB74" s="0" t="s">
        <v>167</v>
      </c>
      <c r="AC74" s="6" t="str">
        <f aca="false">PROPER(AB74)</f>
        <v>Word Of Mouth</v>
      </c>
      <c r="AE74" s="5" t="n">
        <f aca="false">IF(ISBLANK(AD74),AVERAGEIF(L74:L1073,L74,AD74:AD1073),AD74)</f>
        <v>37.6190476190476</v>
      </c>
      <c r="AF74" s="0" t="s">
        <v>76</v>
      </c>
      <c r="AG74" s="0" t="str">
        <f aca="false">PROPER(AF74)</f>
        <v>Orderd</v>
      </c>
      <c r="AH74" s="0" t="s">
        <v>148</v>
      </c>
      <c r="AI74" s="0" t="s">
        <v>128</v>
      </c>
      <c r="AJ74" s="0" t="str">
        <f aca="false">PROPER(AI74)</f>
        <v>Normal</v>
      </c>
      <c r="AK74" s="0" t="s">
        <v>196</v>
      </c>
      <c r="AL74" s="0" t="str">
        <f aca="false">PROPER(AK74)</f>
        <v>First Time</v>
      </c>
      <c r="AN74" s="0" t="str">
        <f aca="false">IF(ISBLANK(AM74),"Unknown",AM74)</f>
        <v>Unknown</v>
      </c>
      <c r="AO74" s="0" t="s">
        <v>149</v>
      </c>
      <c r="AP74" s="0" t="str">
        <f aca="false">IF(ISBLANK(AO74),"Unknown",AO74)</f>
        <v>Senior </v>
      </c>
      <c r="AQ74" s="0" t="n">
        <v>15000</v>
      </c>
      <c r="AR74" s="5" t="n">
        <f aca="false">IF(ISBLANK(AQ74),AVERAGEIF(M74:M1073,M74,AQ74:AQ1073),AQ74)</f>
        <v>15000</v>
      </c>
      <c r="AS74" s="0" t="n">
        <v>20000</v>
      </c>
      <c r="AT74" s="5" t="n">
        <f aca="false">IF(ISBLANK(AS74),AVERAGE(AS74:AS1073),AS74)</f>
        <v>20000</v>
      </c>
      <c r="AU74" s="0" t="s">
        <v>63</v>
      </c>
      <c r="AV74" s="0" t="str">
        <f aca="false">PROPER(IF(ISBLANK(AU74),"No",AU74))</f>
        <v>Yes</v>
      </c>
      <c r="AX74" s="5" t="n">
        <f aca="false">IF(ISBLANK(AW74),0,AW74)</f>
        <v>0</v>
      </c>
      <c r="AZ74" s="0" t="str">
        <f aca="false">UPPER(IF(ISBLANK(AY74),"NONE",AY74))</f>
        <v>NONE</v>
      </c>
      <c r="BB74" s="7" t="str">
        <f aca="false">IF(ISBLANK(BA74),"No Follow Up Needed",BA74)</f>
        <v>No Follow Up Needed</v>
      </c>
      <c r="BC74" s="0" t="s">
        <v>82</v>
      </c>
      <c r="BD74" s="0" t="str">
        <f aca="false">PROPER(IF(ISBLANK(BC74),"Unknown",BC74))</f>
        <v>Yes</v>
      </c>
      <c r="BE74" s="0" t="s">
        <v>171</v>
      </c>
      <c r="BF74" s="0" t="str">
        <f aca="false">IF(ISBLANK(BE74),"No comments",BE74)</f>
        <v>Shock absorber weakening</v>
      </c>
      <c r="BH74" s="0" t="str">
        <f aca="false">IF(ISBLANK(BG74),"No comments",BG74)</f>
        <v>No comments</v>
      </c>
      <c r="BI74" s="0" t="s">
        <v>63</v>
      </c>
      <c r="BJ74" s="0" t="str">
        <f aca="false">IF(ISBLANK(BI74),"Not Mentioned",BI74)</f>
        <v>Yes</v>
      </c>
      <c r="BK74" s="0" t="s">
        <v>82</v>
      </c>
      <c r="BL74" s="0" t="str">
        <f aca="false">PROPER(IF(ISBLANK(BK74),"Not Mentioned",BK74))</f>
        <v>Yes</v>
      </c>
      <c r="BM74" s="0" t="s">
        <v>63</v>
      </c>
      <c r="BN74" s="0" t="str">
        <f aca="false">PROPER(IF(ISBLANK(BM74),"Not Mentioned",BM74))</f>
        <v>Yes</v>
      </c>
      <c r="BO74" s="0" t="s">
        <v>2321</v>
      </c>
      <c r="BP74" s="0" t="str">
        <f aca="false">IF(ISBLANK(BO74),"One-Time Plan",BO74)</f>
        <v>One-Time Plan</v>
      </c>
      <c r="BQ74" s="0" t="s">
        <v>198</v>
      </c>
      <c r="BR74" s="0" t="str">
        <f aca="false">PROPER(IF(ISBLANK(BQ74),"No",BQ74))</f>
        <v>Followed Up</v>
      </c>
    </row>
    <row r="75" customFormat="false" ht="15" hidden="false" customHeight="false" outlineLevel="0" collapsed="false">
      <c r="A75" s="0" t="s">
        <v>329</v>
      </c>
      <c r="B75" s="2" t="s">
        <v>328</v>
      </c>
      <c r="C75" s="2" t="str">
        <f aca="false">TEXT(B75,"dd/mm/yyyy")</f>
        <v>18/01/2025</v>
      </c>
      <c r="D75" s="0" t="s">
        <v>42</v>
      </c>
      <c r="E75" s="0" t="n">
        <v>8042080592</v>
      </c>
      <c r="F75" s="0" t="s">
        <v>67</v>
      </c>
      <c r="G75" s="0" t="s">
        <v>2316</v>
      </c>
      <c r="H75" s="0" t="s">
        <v>330</v>
      </c>
      <c r="I75" s="0" t="s">
        <v>134</v>
      </c>
      <c r="J75" s="0" t="s">
        <v>2325</v>
      </c>
      <c r="K75" s="3" t="str">
        <f aca="false" t="array" ref="K75:K75">IFERROR(IF(J75&lt;&gt;"",J75,INDEX(J75:J1074,MATCH(1,(F75:F1074=F75)*(I75:I1074=I75)*(L75:L1074=L75)*(J75:J1074&lt;&gt;""),0))),"Not Found")</f>
        <v>Engine Knocking</v>
      </c>
      <c r="L75" s="3" t="s">
        <v>189</v>
      </c>
      <c r="M75" s="0" t="str">
        <f aca="false">PROPER(L75)</f>
        <v>Battery</v>
      </c>
      <c r="N75" s="3" t="s">
        <v>48</v>
      </c>
      <c r="O75" s="0" t="str">
        <f aca="false" t="array" ref="O75:O75">IF(N75&lt;&gt;"",N75,_xlfn.xlookup(1,(L75:L1074=L75)*(N75:N1074&lt;&gt;""),N75:N1074,"Not Found"))</f>
        <v>Uche</v>
      </c>
      <c r="P75" s="4" t="n">
        <v>85582</v>
      </c>
      <c r="Q75" s="0" t="s">
        <v>72</v>
      </c>
      <c r="R75" s="0" t="str">
        <f aca="false">PROPER(Q75)</f>
        <v>Pos</v>
      </c>
      <c r="S75" s="0" t="s">
        <v>50</v>
      </c>
      <c r="T75" s="0" t="n">
        <v>2</v>
      </c>
      <c r="U75" s="5" t="n">
        <f aca="false">IF(ISBLANK(T75),AVERAGE(T75:T1074),T75)</f>
        <v>2</v>
      </c>
      <c r="V75" s="0" t="n">
        <v>4.6</v>
      </c>
      <c r="W75" s="0" t="s">
        <v>92</v>
      </c>
      <c r="X75" s="0" t="str">
        <f aca="false">IF(ISBLANK(W75),"No remarks",W75)</f>
        <v>Urgent service</v>
      </c>
      <c r="Y75" s="0" t="s">
        <v>93</v>
      </c>
      <c r="Z75" s="0" t="s">
        <v>159</v>
      </c>
      <c r="AA75" s="0" t="str">
        <f aca="false">PROPER(IF(ISBLANK(Z75),"Location Unavailable",Z75))</f>
        <v>Main Bay</v>
      </c>
      <c r="AB75" s="0" t="s">
        <v>167</v>
      </c>
      <c r="AC75" s="6" t="str">
        <f aca="false">PROPER(AB75)</f>
        <v>Word Of Mouth</v>
      </c>
      <c r="AE75" s="5" t="n">
        <f aca="false">IF(ISBLANK(AD75),AVERAGEIF(L75:L1074,L75,AD75:AD1074),AD75)</f>
        <v>39.5454545454546</v>
      </c>
      <c r="AF75" s="0" t="s">
        <v>76</v>
      </c>
      <c r="AG75" s="0" t="str">
        <f aca="false">PROPER(AF75)</f>
        <v>Orderd</v>
      </c>
      <c r="AH75" s="0" t="s">
        <v>155</v>
      </c>
      <c r="AI75" s="0" t="s">
        <v>128</v>
      </c>
      <c r="AJ75" s="0" t="str">
        <f aca="false">PROPER(AI75)</f>
        <v>Normal</v>
      </c>
      <c r="AK75" s="0" t="s">
        <v>58</v>
      </c>
      <c r="AL75" s="0" t="str">
        <f aca="false">PROPER(AK75)</f>
        <v>Fleet Owner</v>
      </c>
      <c r="AM75" s="0" t="s">
        <v>59</v>
      </c>
      <c r="AN75" s="0" t="str">
        <f aca="false">IF(ISBLANK(AM75),"Unknown",AM75)</f>
        <v>Bolt Driver</v>
      </c>
      <c r="AO75" s="0" t="s">
        <v>149</v>
      </c>
      <c r="AP75" s="0" t="str">
        <f aca="false">IF(ISBLANK(AO75),"Unknown",AO75)</f>
        <v>Senior </v>
      </c>
      <c r="AR75" s="5" t="n">
        <f aca="false">IF(ISBLANK(AQ75),AVERAGEIF(M75:M1074,M75,AQ75:AQ1074),AQ75)</f>
        <v>25681.8181818182</v>
      </c>
      <c r="AS75" s="0" t="n">
        <v>20000</v>
      </c>
      <c r="AT75" s="5" t="n">
        <f aca="false">IF(ISBLANK(AS75),AVERAGE(AS75:AS1074),AS75)</f>
        <v>20000</v>
      </c>
      <c r="AU75" s="0" t="s">
        <v>61</v>
      </c>
      <c r="AV75" s="0" t="str">
        <f aca="false">PROPER(IF(ISBLANK(AU75),"No",AU75))</f>
        <v>No</v>
      </c>
      <c r="AX75" s="5" t="n">
        <f aca="false">IF(ISBLANK(AW75),0,AW75)</f>
        <v>0</v>
      </c>
      <c r="AY75" s="0" t="s">
        <v>184</v>
      </c>
      <c r="AZ75" s="0" t="str">
        <f aca="false">UPPER(IF(ISBLANK(AY75),"NONE",AY75))</f>
        <v>N/A</v>
      </c>
      <c r="BA75" s="7" t="n">
        <v>45969</v>
      </c>
      <c r="BB75" s="7" t="n">
        <f aca="false">IF(ISBLANK(BA75),"No Follow Up Needed",BA75)</f>
        <v>45969</v>
      </c>
      <c r="BC75" s="0" t="s">
        <v>50</v>
      </c>
      <c r="BD75" s="0" t="str">
        <f aca="false">PROPER(IF(ISBLANK(BC75),"Unknown",BC75))</f>
        <v>No</v>
      </c>
      <c r="BF75" s="0" t="str">
        <f aca="false">IF(ISBLANK(BE75),"No comments",BE75)</f>
        <v>No comments</v>
      </c>
      <c r="BG75" s="0" t="s">
        <v>2320</v>
      </c>
      <c r="BH75" s="0" t="str">
        <f aca="false">IF(ISBLANK(BG75),"No comments",BG75)</f>
        <v>No complaints</v>
      </c>
      <c r="BI75" s="0" t="s">
        <v>63</v>
      </c>
      <c r="BJ75" s="0" t="str">
        <f aca="false">IF(ISBLANK(BI75),"Not Mentioned",BI75)</f>
        <v>Yes</v>
      </c>
      <c r="BK75" s="0" t="s">
        <v>82</v>
      </c>
      <c r="BL75" s="0" t="str">
        <f aca="false">PROPER(IF(ISBLANK(BK75),"Not Mentioned",BK75))</f>
        <v>Yes</v>
      </c>
      <c r="BM75" s="0" t="s">
        <v>50</v>
      </c>
      <c r="BN75" s="0" t="str">
        <f aca="false">PROPER(IF(ISBLANK(BM75),"Not Mentioned",BM75))</f>
        <v>No</v>
      </c>
      <c r="BO75" s="0" t="s">
        <v>64</v>
      </c>
      <c r="BP75" s="0" t="str">
        <f aca="false">IF(ISBLANK(BO75),"One-Time Plan",BO75)</f>
        <v>Gold Maintenance Plan</v>
      </c>
      <c r="BQ75" s="0" t="s">
        <v>50</v>
      </c>
      <c r="BR75" s="0" t="str">
        <f aca="false">PROPER(IF(ISBLANK(BQ75),"No",BQ75))</f>
        <v>No</v>
      </c>
    </row>
    <row r="76" customFormat="false" ht="15" hidden="false" customHeight="false" outlineLevel="0" collapsed="false">
      <c r="A76" s="0" t="s">
        <v>331</v>
      </c>
      <c r="B76" s="2" t="n">
        <v>45742</v>
      </c>
      <c r="C76" s="2" t="str">
        <f aca="false">TEXT(B76,"dd/mm/yyyy")</f>
        <v>26/03/2025</v>
      </c>
      <c r="D76" s="0" t="s">
        <v>66</v>
      </c>
      <c r="E76" s="0" t="n">
        <v>8074524663</v>
      </c>
      <c r="F76" s="0" t="s">
        <v>67</v>
      </c>
      <c r="G76" s="0" t="s">
        <v>2316</v>
      </c>
      <c r="H76" s="0" t="s">
        <v>332</v>
      </c>
      <c r="I76" s="0" t="s">
        <v>134</v>
      </c>
      <c r="J76" s="0" t="s">
        <v>2317</v>
      </c>
      <c r="K76" s="3" t="str">
        <f aca="false" t="array" ref="K76:K76">IFERROR(IF(J76&lt;&gt;"",J76,INDEX(J76:J1075,MATCH(1,(F76:F1075=F76)*(I76:I1075=I76)*(L76:L1075=L76)*(J76:J1075&lt;&gt;""),0))),"Not Found")</f>
        <v>Suspension Noise</v>
      </c>
      <c r="L76" s="3" t="s">
        <v>89</v>
      </c>
      <c r="M76" s="0" t="str">
        <f aca="false">PROPER(L76)</f>
        <v>Shock Absorbers</v>
      </c>
      <c r="O76" s="0" t="e">
        <f aca="false" t="array" ref="O76:O76">IF(N76&lt;&gt;"",N76,_xlfn.xlookup(1,(L76:L1075=L76)*(N76:N1075&lt;&gt;""),N76:N1075,"Not Found"))</f>
        <v>#NAME?</v>
      </c>
      <c r="P76" s="4" t="n">
        <v>84301</v>
      </c>
      <c r="Q76" s="0" t="s">
        <v>72</v>
      </c>
      <c r="R76" s="0" t="str">
        <f aca="false">PROPER(Q76)</f>
        <v>Pos</v>
      </c>
      <c r="S76" s="0" t="s">
        <v>50</v>
      </c>
      <c r="T76" s="0" t="n">
        <v>5</v>
      </c>
      <c r="U76" s="5" t="n">
        <f aca="false">IF(ISBLANK(T76),AVERAGE(T76:T1075),T76)</f>
        <v>5</v>
      </c>
      <c r="V76" s="0" t="n">
        <v>4.8</v>
      </c>
      <c r="X76" s="0" t="str">
        <f aca="false">IF(ISBLANK(W76),"No remarks",W76)</f>
        <v>No remarks</v>
      </c>
      <c r="Y76" s="0" t="s">
        <v>73</v>
      </c>
      <c r="Z76" s="0" t="s">
        <v>159</v>
      </c>
      <c r="AA76" s="0" t="str">
        <f aca="false">PROPER(IF(ISBLANK(Z76),"Location Unavailable",Z76))</f>
        <v>Main Bay</v>
      </c>
      <c r="AB76" s="0" t="s">
        <v>167</v>
      </c>
      <c r="AC76" s="6" t="str">
        <f aca="false">PROPER(AB76)</f>
        <v>Word Of Mouth</v>
      </c>
      <c r="AE76" s="5" t="n">
        <f aca="false">IF(ISBLANK(AD76),AVERAGEIF(L76:L1075,L76,AD76:AD1075),AD76)</f>
        <v>40.1111111111111</v>
      </c>
      <c r="AF76" s="0" t="s">
        <v>160</v>
      </c>
      <c r="AG76" s="0" t="str">
        <f aca="false">PROPER(AF76)</f>
        <v>Availaible</v>
      </c>
      <c r="AH76" s="0" t="s">
        <v>155</v>
      </c>
      <c r="AI76" s="0" t="s">
        <v>113</v>
      </c>
      <c r="AJ76" s="0" t="str">
        <f aca="false">PROPER(AI76)</f>
        <v>Normal</v>
      </c>
      <c r="AK76" s="0" t="s">
        <v>196</v>
      </c>
      <c r="AL76" s="0" t="str">
        <f aca="false">PROPER(AK76)</f>
        <v>First Time</v>
      </c>
      <c r="AM76" s="0" t="s">
        <v>177</v>
      </c>
      <c r="AN76" s="0" t="str">
        <f aca="false">IF(ISBLANK(AM76),"Unknown",AM76)</f>
        <v>Private</v>
      </c>
      <c r="AP76" s="0" t="str">
        <f aca="false">IF(ISBLANK(AO76),"Unknown",AO76)</f>
        <v>Unknown</v>
      </c>
      <c r="AQ76" s="0" t="n">
        <v>40000</v>
      </c>
      <c r="AR76" s="5" t="n">
        <f aca="false">IF(ISBLANK(AQ76),AVERAGEIF(M76:M1075,M76,AQ76:AQ1075),AQ76)</f>
        <v>40000</v>
      </c>
      <c r="AT76" s="5" t="n">
        <f aca="false">IF(ISBLANK(AS76),AVERAGE(AS76:AS1075),AS76)</f>
        <v>31505.8670143416</v>
      </c>
      <c r="AU76" s="0" t="s">
        <v>63</v>
      </c>
      <c r="AV76" s="0" t="str">
        <f aca="false">PROPER(IF(ISBLANK(AU76),"No",AU76))</f>
        <v>Yes</v>
      </c>
      <c r="AX76" s="5" t="n">
        <f aca="false">IF(ISBLANK(AW76),0,AW76)</f>
        <v>0</v>
      </c>
      <c r="AY76" s="0" t="s">
        <v>60</v>
      </c>
      <c r="AZ76" s="0" t="str">
        <f aca="false">UPPER(IF(ISBLANK(AY76),"NONE",AY76))</f>
        <v>NONE</v>
      </c>
      <c r="BA76" s="7" t="n">
        <v>45874</v>
      </c>
      <c r="BB76" s="7" t="n">
        <f aca="false">IF(ISBLANK(BA76),"No Follow Up Needed",BA76)</f>
        <v>45874</v>
      </c>
      <c r="BD76" s="0" t="str">
        <f aca="false">PROPER(IF(ISBLANK(BC76),"Unknown",BC76))</f>
        <v>Unknown</v>
      </c>
      <c r="BE76" s="0" t="s">
        <v>171</v>
      </c>
      <c r="BF76" s="0" t="str">
        <f aca="false">IF(ISBLANK(BE76),"No comments",BE76)</f>
        <v>Shock absorber weakening</v>
      </c>
      <c r="BH76" s="0" t="str">
        <f aca="false">IF(ISBLANK(BG76),"No comments",BG76)</f>
        <v>No comments</v>
      </c>
      <c r="BI76" s="0" t="s">
        <v>63</v>
      </c>
      <c r="BJ76" s="0" t="str">
        <f aca="false">IF(ISBLANK(BI76),"Not Mentioned",BI76)</f>
        <v>Yes</v>
      </c>
      <c r="BK76" s="0" t="s">
        <v>50</v>
      </c>
      <c r="BL76" s="0" t="str">
        <f aca="false">PROPER(IF(ISBLANK(BK76),"Not Mentioned",BK76))</f>
        <v>No</v>
      </c>
      <c r="BM76" s="0" t="s">
        <v>63</v>
      </c>
      <c r="BN76" s="0" t="str">
        <f aca="false">PROPER(IF(ISBLANK(BM76),"Not Mentioned",BM76))</f>
        <v>Yes</v>
      </c>
      <c r="BO76" s="0" t="s">
        <v>2321</v>
      </c>
      <c r="BP76" s="0" t="str">
        <f aca="false">IF(ISBLANK(BO76),"One-Time Plan",BO76)</f>
        <v>One-Time Plan</v>
      </c>
      <c r="BR76" s="0" t="str">
        <f aca="false">PROPER(IF(ISBLANK(BQ76),"No",BQ76))</f>
        <v>No</v>
      </c>
    </row>
    <row r="77" customFormat="false" ht="15" hidden="false" customHeight="false" outlineLevel="0" collapsed="false">
      <c r="A77" s="0" t="s">
        <v>333</v>
      </c>
      <c r="B77" s="2" t="n">
        <v>45697</v>
      </c>
      <c r="C77" s="2" t="str">
        <f aca="false">TEXT(B77,"dd/mm/yyyy")</f>
        <v>09/02/2025</v>
      </c>
      <c r="D77" s="0" t="s">
        <v>105</v>
      </c>
      <c r="E77" s="0" t="n">
        <v>8054495204</v>
      </c>
      <c r="F77" s="0" t="s">
        <v>67</v>
      </c>
      <c r="G77" s="0" t="s">
        <v>2316</v>
      </c>
      <c r="H77" s="0" t="s">
        <v>334</v>
      </c>
      <c r="I77" s="0" t="s">
        <v>107</v>
      </c>
      <c r="K77" s="3" t="str">
        <f aca="false" t="array" ref="K77:K77">IFERROR(IF(J77&lt;&gt;"",J77,INDEX(J77:J1076,MATCH(1,(F77:F1076=F77)*(I77:I1076=I77)*(L77:L1076=L77)*(J77:J1076&lt;&gt;""),0))),"Not Found")</f>
        <v>Engine Knocking</v>
      </c>
      <c r="L77" s="3" t="s">
        <v>189</v>
      </c>
      <c r="M77" s="0" t="str">
        <f aca="false">PROPER(L77)</f>
        <v>Battery</v>
      </c>
      <c r="N77" s="3" t="s">
        <v>48</v>
      </c>
      <c r="O77" s="0" t="str">
        <f aca="false" t="array" ref="O77:O77">IF(N77&lt;&gt;"",N77,_xlfn.xlookup(1,(L77:L1076=L77)*(N77:N1076&lt;&gt;""),N77:N1076,"Not Found"))</f>
        <v>Uche</v>
      </c>
      <c r="P77" s="4" t="n">
        <v>90584</v>
      </c>
      <c r="Q77" s="0" t="s">
        <v>110</v>
      </c>
      <c r="R77" s="0" t="str">
        <f aca="false">PROPER(Q77)</f>
        <v>Cash</v>
      </c>
      <c r="S77" s="0" t="s">
        <v>50</v>
      </c>
      <c r="U77" s="5" t="n">
        <f aca="false">IF(ISBLANK(T77),AVERAGE(T77:T1076),T77)</f>
        <v>2.98443579766537</v>
      </c>
      <c r="V77" s="0" t="n">
        <v>3</v>
      </c>
      <c r="W77" s="0" t="s">
        <v>92</v>
      </c>
      <c r="X77" s="0" t="str">
        <f aca="false">IF(ISBLANK(W77),"No remarks",W77)</f>
        <v>Urgent service</v>
      </c>
      <c r="Y77" s="0" t="s">
        <v>52</v>
      </c>
      <c r="Z77" s="0" t="s">
        <v>159</v>
      </c>
      <c r="AA77" s="0" t="str">
        <f aca="false">PROPER(IF(ISBLANK(Z77),"Location Unavailable",Z77))</f>
        <v>Main Bay</v>
      </c>
      <c r="AB77" s="0" t="s">
        <v>54</v>
      </c>
      <c r="AC77" s="6" t="str">
        <f aca="false">PROPER(AB77)</f>
        <v>Mechanic Referral</v>
      </c>
      <c r="AD77" s="6" t="n">
        <v>15</v>
      </c>
      <c r="AE77" s="5" t="n">
        <f aca="false">IF(ISBLANK(AD77),AVERAGEIF(L77:L1076,L77,AD77:AD1076),AD77)</f>
        <v>15</v>
      </c>
      <c r="AF77" s="0" t="s">
        <v>96</v>
      </c>
      <c r="AG77" s="0" t="str">
        <f aca="false">PROPER(AF77)</f>
        <v>Ordered</v>
      </c>
      <c r="AH77" s="0" t="s">
        <v>155</v>
      </c>
      <c r="AI77" s="0" t="s">
        <v>98</v>
      </c>
      <c r="AJ77" s="0" t="str">
        <f aca="false">PROPER(AI77)</f>
        <v>Emergency</v>
      </c>
      <c r="AK77" s="0" t="s">
        <v>99</v>
      </c>
      <c r="AL77" s="0" t="str">
        <f aca="false">PROPER(AK77)</f>
        <v>Uber Driver</v>
      </c>
      <c r="AM77" s="0" t="s">
        <v>2326</v>
      </c>
      <c r="AN77" s="0" t="str">
        <f aca="false">IF(ISBLANK(AM77),"Unknown",AM77)</f>
        <v>Government Convoy</v>
      </c>
      <c r="AO77" s="0" t="s">
        <v>79</v>
      </c>
      <c r="AP77" s="0" t="str">
        <f aca="false">IF(ISBLANK(AO77),"Unknown",AO77)</f>
        <v>Specialist</v>
      </c>
      <c r="AQ77" s="0" t="n">
        <v>40000</v>
      </c>
      <c r="AR77" s="5" t="n">
        <f aca="false">IF(ISBLANK(AQ77),AVERAGEIF(M77:M1076,M77,AQ77:AQ1076),AQ77)</f>
        <v>40000</v>
      </c>
      <c r="AS77" s="0" t="n">
        <v>20000</v>
      </c>
      <c r="AT77" s="5" t="n">
        <f aca="false">IF(ISBLANK(AS77),AVERAGE(AS77:AS1076),AS77)</f>
        <v>20000</v>
      </c>
      <c r="AU77" s="0" t="s">
        <v>63</v>
      </c>
      <c r="AV77" s="0" t="str">
        <f aca="false">PROPER(IF(ISBLANK(AU77),"No",AU77))</f>
        <v>Yes</v>
      </c>
      <c r="AW77" s="0" t="n">
        <v>5000</v>
      </c>
      <c r="AX77" s="5" t="n">
        <f aca="false">IF(ISBLANK(AW77),0,AW77)</f>
        <v>5000</v>
      </c>
      <c r="AY77" s="0" t="s">
        <v>60</v>
      </c>
      <c r="AZ77" s="0" t="str">
        <f aca="false">UPPER(IF(ISBLANK(AY77),"NONE",AY77))</f>
        <v>NONE</v>
      </c>
      <c r="BA77" s="7" t="n">
        <v>45725</v>
      </c>
      <c r="BB77" s="7" t="n">
        <f aca="false">IF(ISBLANK(BA77),"No Follow Up Needed",BA77)</f>
        <v>45725</v>
      </c>
      <c r="BC77" s="0" t="s">
        <v>63</v>
      </c>
      <c r="BD77" s="0" t="str">
        <f aca="false">PROPER(IF(ISBLANK(BC77),"Unknown",BC77))</f>
        <v>Yes</v>
      </c>
      <c r="BE77" s="0" t="s">
        <v>116</v>
      </c>
      <c r="BF77" s="0" t="str">
        <f aca="false">IF(ISBLANK(BE77),"No comments",BE77)</f>
        <v>Needs tire alignment</v>
      </c>
      <c r="BH77" s="0" t="str">
        <f aca="false">IF(ISBLANK(BG77),"No comments",BG77)</f>
        <v>No comments</v>
      </c>
      <c r="BI77" s="0" t="s">
        <v>50</v>
      </c>
      <c r="BJ77" s="0" t="str">
        <f aca="false">IF(ISBLANK(BI77),"Not Mentioned",BI77)</f>
        <v>No</v>
      </c>
      <c r="BL77" s="0" t="str">
        <f aca="false">PROPER(IF(ISBLANK(BK77),"Not Mentioned",BK77))</f>
        <v>Not Mentioned</v>
      </c>
      <c r="BM77" s="0" t="s">
        <v>63</v>
      </c>
      <c r="BN77" s="0" t="str">
        <f aca="false">PROPER(IF(ISBLANK(BM77),"Not Mentioned",BM77))</f>
        <v>Yes</v>
      </c>
      <c r="BO77" s="0" t="s">
        <v>64</v>
      </c>
      <c r="BP77" s="0" t="str">
        <f aca="false">IF(ISBLANK(BO77),"One-Time Plan",BO77)</f>
        <v>Gold Maintenance Plan</v>
      </c>
      <c r="BQ77" s="0" t="s">
        <v>190</v>
      </c>
      <c r="BR77" s="0" t="str">
        <f aca="false">PROPER(IF(ISBLANK(BQ77),"No",BQ77))</f>
        <v>Yes</v>
      </c>
    </row>
    <row r="78" customFormat="false" ht="15" hidden="false" customHeight="false" outlineLevel="0" collapsed="false">
      <c r="A78" s="0" t="s">
        <v>335</v>
      </c>
      <c r="B78" s="2" t="n">
        <v>45751</v>
      </c>
      <c r="C78" s="2" t="str">
        <f aca="false">TEXT(B78,"dd/mm/yyyy")</f>
        <v>04/04/2025</v>
      </c>
      <c r="D78" s="0" t="s">
        <v>42</v>
      </c>
      <c r="E78" s="0" t="n">
        <v>8060454028</v>
      </c>
      <c r="F78" s="0" t="s">
        <v>122</v>
      </c>
      <c r="G78" s="0" t="s">
        <v>2316</v>
      </c>
      <c r="H78" s="0" t="s">
        <v>336</v>
      </c>
      <c r="I78" s="0" t="s">
        <v>87</v>
      </c>
      <c r="J78" s="0" t="s">
        <v>2322</v>
      </c>
      <c r="K78" s="3" t="str">
        <f aca="false" t="array" ref="K78:K78">IFERROR(IF(J78&lt;&gt;"",J78,INDEX(J78:J1077,MATCH(1,(F78:F1077=F78)*(I78:I1077=I78)*(L78:L1077=L78)*(J78:J1077&lt;&gt;""),0))),"Not Found")</f>
        <v>Brake Failure</v>
      </c>
      <c r="L78" s="3" t="s">
        <v>189</v>
      </c>
      <c r="M78" s="0" t="str">
        <f aca="false">PROPER(L78)</f>
        <v>Battery</v>
      </c>
      <c r="N78" s="3" t="s">
        <v>109</v>
      </c>
      <c r="O78" s="0" t="str">
        <f aca="false" t="array" ref="O78:O78">IF(N78&lt;&gt;"",N78,_xlfn.xlookup(1,(L78:L1077=L78)*(N78:N1077&lt;&gt;""),N78:N1077,"Not Found"))</f>
        <v>Tijani</v>
      </c>
      <c r="P78" s="4" t="n">
        <v>38062</v>
      </c>
      <c r="Q78" s="0" t="s">
        <v>124</v>
      </c>
      <c r="R78" s="0" t="str">
        <f aca="false">PROPER(Q78)</f>
        <v>Cash</v>
      </c>
      <c r="S78" s="0" t="s">
        <v>63</v>
      </c>
      <c r="T78" s="0" t="n">
        <v>5</v>
      </c>
      <c r="U78" s="5" t="n">
        <f aca="false">IF(ISBLANK(T78),AVERAGE(T78:T1077),T78)</f>
        <v>5</v>
      </c>
      <c r="V78" s="0" t="n">
        <v>4</v>
      </c>
      <c r="X78" s="0" t="str">
        <f aca="false">IF(ISBLANK(W78),"No remarks",W78)</f>
        <v>No remarks</v>
      </c>
      <c r="Y78" s="0" t="s">
        <v>93</v>
      </c>
      <c r="Z78" s="0" t="s">
        <v>53</v>
      </c>
      <c r="AA78" s="0" t="str">
        <f aca="false">PROPER(IF(ISBLANK(Z78),"Location Unavailable",Z78))</f>
        <v>Main Bay</v>
      </c>
      <c r="AB78" s="0" t="s">
        <v>167</v>
      </c>
      <c r="AC78" s="6" t="str">
        <f aca="false">PROPER(AB78)</f>
        <v>Word Of Mouth</v>
      </c>
      <c r="AD78" s="6" t="n">
        <v>15</v>
      </c>
      <c r="AE78" s="5" t="n">
        <f aca="false">IF(ISBLANK(AD78),AVERAGEIF(L78:L1077,L78,AD78:AD1077),AD78)</f>
        <v>15</v>
      </c>
      <c r="AF78" s="0" t="s">
        <v>55</v>
      </c>
      <c r="AG78" s="0" t="str">
        <f aca="false">PROPER(AF78)</f>
        <v>Available</v>
      </c>
      <c r="AH78" s="0" t="s">
        <v>155</v>
      </c>
      <c r="AI78" s="0" t="s">
        <v>128</v>
      </c>
      <c r="AJ78" s="0" t="str">
        <f aca="false">PROPER(AI78)</f>
        <v>Normal</v>
      </c>
      <c r="AK78" s="0" t="s">
        <v>99</v>
      </c>
      <c r="AL78" s="0" t="str">
        <f aca="false">PROPER(AK78)</f>
        <v>Uber Driver</v>
      </c>
      <c r="AN78" s="0" t="str">
        <f aca="false">IF(ISBLANK(AM78),"Unknown",AM78)</f>
        <v>Unknown</v>
      </c>
      <c r="AO78" s="0" t="s">
        <v>149</v>
      </c>
      <c r="AP78" s="0" t="str">
        <f aca="false">IF(ISBLANK(AO78),"Unknown",AO78)</f>
        <v>Senior </v>
      </c>
      <c r="AQ78" s="0" t="n">
        <v>25000</v>
      </c>
      <c r="AR78" s="5" t="n">
        <f aca="false">IF(ISBLANK(AQ78),AVERAGEIF(M78:M1077,M78,AQ78:AQ1077),AQ78)</f>
        <v>25000</v>
      </c>
      <c r="AS78" s="0" t="n">
        <v>20000</v>
      </c>
      <c r="AT78" s="5" t="n">
        <f aca="false">IF(ISBLANK(AS78),AVERAGE(AS78:AS1077),AS78)</f>
        <v>20000</v>
      </c>
      <c r="AU78" s="0" t="s">
        <v>50</v>
      </c>
      <c r="AV78" s="0" t="str">
        <f aca="false">PROPER(IF(ISBLANK(AU78),"No",AU78))</f>
        <v>No</v>
      </c>
      <c r="AW78" s="0" t="n">
        <v>10000</v>
      </c>
      <c r="AX78" s="5" t="n">
        <f aca="false">IF(ISBLANK(AW78),0,AW78)</f>
        <v>10000</v>
      </c>
      <c r="AY78" s="0" t="s">
        <v>80</v>
      </c>
      <c r="AZ78" s="0" t="str">
        <f aca="false">UPPER(IF(ISBLANK(AY78),"NONE",AY78))</f>
        <v>PROMO10</v>
      </c>
      <c r="BA78" s="7" t="s">
        <v>337</v>
      </c>
      <c r="BB78" s="7" t="str">
        <f aca="false">IF(ISBLANK(BA78),"No Follow Up Needed",BA78)</f>
        <v>29/12/2025</v>
      </c>
      <c r="BC78" s="0" t="s">
        <v>82</v>
      </c>
      <c r="BD78" s="0" t="str">
        <f aca="false">PROPER(IF(ISBLANK(BC78),"Unknown",BC78))</f>
        <v>Yes</v>
      </c>
      <c r="BE78" s="0" t="s">
        <v>171</v>
      </c>
      <c r="BF78" s="0" t="str">
        <f aca="false">IF(ISBLANK(BE78),"No comments",BE78)</f>
        <v>Shock absorber weakening</v>
      </c>
      <c r="BH78" s="0" t="str">
        <f aca="false">IF(ISBLANK(BG78),"No comments",BG78)</f>
        <v>No comments</v>
      </c>
      <c r="BI78" s="0" t="s">
        <v>63</v>
      </c>
      <c r="BJ78" s="0" t="str">
        <f aca="false">IF(ISBLANK(BI78),"Not Mentioned",BI78)</f>
        <v>Yes</v>
      </c>
      <c r="BK78" s="0" t="s">
        <v>82</v>
      </c>
      <c r="BL78" s="0" t="str">
        <f aca="false">PROPER(IF(ISBLANK(BK78),"Not Mentioned",BK78))</f>
        <v>Yes</v>
      </c>
      <c r="BN78" s="0" t="str">
        <f aca="false">PROPER(IF(ISBLANK(BM78),"Not Mentioned",BM78))</f>
        <v>Not Mentioned</v>
      </c>
      <c r="BO78" s="0" t="s">
        <v>2321</v>
      </c>
      <c r="BP78" s="0" t="str">
        <f aca="false">IF(ISBLANK(BO78),"One-Time Plan",BO78)</f>
        <v>One-Time Plan</v>
      </c>
      <c r="BQ78" s="0" t="s">
        <v>63</v>
      </c>
      <c r="BR78" s="0" t="str">
        <f aca="false">PROPER(IF(ISBLANK(BQ78),"No",BQ78))</f>
        <v>Yes</v>
      </c>
    </row>
    <row r="79" customFormat="false" ht="15" hidden="false" customHeight="false" outlineLevel="0" collapsed="false">
      <c r="A79" s="0" t="s">
        <v>338</v>
      </c>
      <c r="B79" s="2" t="n">
        <v>45701</v>
      </c>
      <c r="C79" s="2" t="str">
        <f aca="false">TEXT(B79,"dd/mm/yyyy")</f>
        <v>13/02/2025</v>
      </c>
      <c r="D79" s="0" t="s">
        <v>42</v>
      </c>
      <c r="E79" s="0" t="n">
        <v>8037557095</v>
      </c>
      <c r="F79" s="0" t="s">
        <v>67</v>
      </c>
      <c r="G79" s="0" t="s">
        <v>2316</v>
      </c>
      <c r="H79" s="0" t="s">
        <v>339</v>
      </c>
      <c r="I79" s="0" t="s">
        <v>134</v>
      </c>
      <c r="J79" s="0" t="s">
        <v>2325</v>
      </c>
      <c r="K79" s="3" t="str">
        <f aca="false" t="array" ref="K79:K79">IFERROR(IF(J79&lt;&gt;"",J79,INDEX(J79:J1078,MATCH(1,(F79:F1078=F79)*(I79:I1078=I79)*(L79:L1078=L79)*(J79:J1078&lt;&gt;""),0))),"Not Found")</f>
        <v>Engine Knocking</v>
      </c>
      <c r="L79" s="3" t="s">
        <v>47</v>
      </c>
      <c r="M79" s="0" t="str">
        <f aca="false">PROPER(L79)</f>
        <v>None</v>
      </c>
      <c r="N79" s="3" t="s">
        <v>71</v>
      </c>
      <c r="O79" s="0" t="str">
        <f aca="false" t="array" ref="O79:O79">IF(N79&lt;&gt;"",N79,_xlfn.xlookup(1,(L79:L1078=L79)*(N79:N1078&lt;&gt;""),N79:N1078,"Not Found"))</f>
        <v>Isaac Bobo</v>
      </c>
      <c r="P79" s="4" t="n">
        <v>107123</v>
      </c>
      <c r="Q79" s="0" t="s">
        <v>91</v>
      </c>
      <c r="R79" s="0" t="str">
        <f aca="false">PROPER(Q79)</f>
        <v>Pos</v>
      </c>
      <c r="S79" s="0" t="s">
        <v>50</v>
      </c>
      <c r="U79" s="5" t="n">
        <f aca="false">IF(ISBLANK(T79),AVERAGE(T79:T1078),T79)</f>
        <v>2.98181818181818</v>
      </c>
      <c r="V79" s="0" t="n">
        <v>5.3</v>
      </c>
      <c r="W79" s="0" t="s">
        <v>125</v>
      </c>
      <c r="X79" s="0" t="str">
        <f aca="false">IF(ISBLANK(W79),"No remarks",W79)</f>
        <v>Customer waited</v>
      </c>
      <c r="Y79" s="0" t="s">
        <v>73</v>
      </c>
      <c r="AA79" s="0" t="str">
        <f aca="false">PROPER(IF(ISBLANK(Z79),"Location Unavailable",Z79))</f>
        <v>Location Unavailable</v>
      </c>
      <c r="AB79" s="0" t="s">
        <v>95</v>
      </c>
      <c r="AC79" s="6" t="str">
        <f aca="false">PROPER(AB79)</f>
        <v>Road Sign</v>
      </c>
      <c r="AD79" s="6" t="n">
        <v>45</v>
      </c>
      <c r="AE79" s="5" t="n">
        <f aca="false">IF(ISBLANK(AD79),AVERAGEIF(L79:L1078,L79,AD79:AD1078),AD79)</f>
        <v>45</v>
      </c>
      <c r="AF79" s="0" t="s">
        <v>112</v>
      </c>
      <c r="AG79" s="0" t="str">
        <f aca="false">PROPER(AF79)</f>
        <v>Unavailable</v>
      </c>
      <c r="AH79" s="0" t="s">
        <v>148</v>
      </c>
      <c r="AI79" s="0" t="s">
        <v>98</v>
      </c>
      <c r="AJ79" s="0" t="str">
        <f aca="false">PROPER(AI79)</f>
        <v>Emergency</v>
      </c>
      <c r="AK79" s="0" t="s">
        <v>114</v>
      </c>
      <c r="AL79" s="0" t="str">
        <f aca="false">PROPER(AK79)</f>
        <v>Returning</v>
      </c>
      <c r="AN79" s="0" t="str">
        <f aca="false">IF(ISBLANK(AM79),"Unknown",AM79)</f>
        <v>Unknown</v>
      </c>
      <c r="AO79" s="0" t="s">
        <v>161</v>
      </c>
      <c r="AP79" s="0" t="str">
        <f aca="false">IF(ISBLANK(AO79),"Unknown",AO79)</f>
        <v>Apprentice</v>
      </c>
      <c r="AR79" s="5" t="n">
        <f aca="false">IF(ISBLANK(AQ79),AVERAGEIF(M79:M1078,M79,AQ79:AQ1078),AQ79)</f>
        <v>25992.0634920635</v>
      </c>
      <c r="AS79" s="0" t="n">
        <v>40000</v>
      </c>
      <c r="AT79" s="5" t="n">
        <f aca="false">IF(ISBLANK(AS79),AVERAGE(AS79:AS1078),AS79)</f>
        <v>40000</v>
      </c>
      <c r="AU79" s="0" t="s">
        <v>50</v>
      </c>
      <c r="AV79" s="0" t="str">
        <f aca="false">PROPER(IF(ISBLANK(AU79),"No",AU79))</f>
        <v>No</v>
      </c>
      <c r="AW79" s="0" t="n">
        <v>5000</v>
      </c>
      <c r="AX79" s="5" t="n">
        <f aca="false">IF(ISBLANK(AW79),0,AW79)</f>
        <v>5000</v>
      </c>
      <c r="AY79" s="0" t="s">
        <v>184</v>
      </c>
      <c r="AZ79" s="0" t="str">
        <f aca="false">UPPER(IF(ISBLANK(AY79),"NONE",AY79))</f>
        <v>N/A</v>
      </c>
      <c r="BA79" s="7" t="n">
        <v>46002</v>
      </c>
      <c r="BB79" s="7" t="n">
        <f aca="false">IF(ISBLANK(BA79),"No Follow Up Needed",BA79)</f>
        <v>46002</v>
      </c>
      <c r="BC79" s="0" t="s">
        <v>63</v>
      </c>
      <c r="BD79" s="0" t="str">
        <f aca="false">PROPER(IF(ISBLANK(BC79),"Unknown",BC79))</f>
        <v>Yes</v>
      </c>
      <c r="BE79" s="0" t="s">
        <v>171</v>
      </c>
      <c r="BF79" s="0" t="str">
        <f aca="false">IF(ISBLANK(BE79),"No comments",BE79)</f>
        <v>Shock absorber weakening</v>
      </c>
      <c r="BG79" s="0" t="s">
        <v>117</v>
      </c>
      <c r="BH79" s="0" t="str">
        <f aca="false">IF(ISBLANK(BG79),"No comments",BG79)</f>
        <v>Prefers morning</v>
      </c>
      <c r="BI79" s="0" t="s">
        <v>50</v>
      </c>
      <c r="BJ79" s="0" t="str">
        <f aca="false">IF(ISBLANK(BI79),"Not Mentioned",BI79)</f>
        <v>No</v>
      </c>
      <c r="BL79" s="0" t="str">
        <f aca="false">PROPER(IF(ISBLANK(BK79),"Not Mentioned",BK79))</f>
        <v>Not Mentioned</v>
      </c>
      <c r="BM79" s="0" t="s">
        <v>50</v>
      </c>
      <c r="BN79" s="0" t="str">
        <f aca="false">PROPER(IF(ISBLANK(BM79),"Not Mentioned",BM79))</f>
        <v>No</v>
      </c>
      <c r="BP79" s="0" t="str">
        <f aca="false">IF(ISBLANK(BO79),"One-Time Plan",BO79)</f>
        <v>One-Time Plan</v>
      </c>
      <c r="BQ79" s="0" t="s">
        <v>63</v>
      </c>
      <c r="BR79" s="0" t="str">
        <f aca="false">PROPER(IF(ISBLANK(BQ79),"No",BQ79))</f>
        <v>Yes</v>
      </c>
    </row>
    <row r="80" customFormat="false" ht="15" hidden="false" customHeight="false" outlineLevel="0" collapsed="false">
      <c r="A80" s="0" t="s">
        <v>341</v>
      </c>
      <c r="B80" s="2" t="s">
        <v>340</v>
      </c>
      <c r="C80" s="2" t="str">
        <f aca="false">TEXT(B80,"dd/mm/yyyy")</f>
        <v>14/06/2025</v>
      </c>
      <c r="D80" s="0" t="s">
        <v>121</v>
      </c>
      <c r="E80" s="0" t="n">
        <v>8063729043</v>
      </c>
      <c r="F80" s="0" t="s">
        <v>139</v>
      </c>
      <c r="G80" s="0" t="s">
        <v>2323</v>
      </c>
      <c r="H80" s="0" t="s">
        <v>342</v>
      </c>
      <c r="I80" s="0" t="s">
        <v>69</v>
      </c>
      <c r="J80" s="0" t="s">
        <v>87</v>
      </c>
      <c r="K80" s="3" t="str">
        <f aca="false" t="array" ref="K80:K80">IFERROR(IF(J80&lt;&gt;"",J80,INDEX(J80:J1079,MATCH(1,(F80:F1079=F80)*(I80:I1079=I80)*(L80:L1079=L80)*(J80:J1079&lt;&gt;""),0))),"Not Found")</f>
        <v>Oil Change</v>
      </c>
      <c r="L80" s="3" t="s">
        <v>108</v>
      </c>
      <c r="M80" s="0" t="str">
        <f aca="false">PROPER(L80)</f>
        <v>Timing Belt</v>
      </c>
      <c r="N80" s="3" t="s">
        <v>71</v>
      </c>
      <c r="O80" s="0" t="str">
        <f aca="false" t="array" ref="O80:O80">IF(N80&lt;&gt;"",N80,_xlfn.xlookup(1,(L80:L1079=L80)*(N80:N1079&lt;&gt;""),N80:N1079,"Not Found"))</f>
        <v>Isaac Bobo</v>
      </c>
      <c r="P80" s="4" t="n">
        <v>63993</v>
      </c>
      <c r="Q80" s="0" t="s">
        <v>166</v>
      </c>
      <c r="R80" s="0" t="str">
        <f aca="false">PROPER(Q80)</f>
        <v>Transfer</v>
      </c>
      <c r="S80" s="0" t="s">
        <v>50</v>
      </c>
      <c r="T80" s="0" t="n">
        <v>5</v>
      </c>
      <c r="U80" s="5" t="n">
        <f aca="false">IF(ISBLANK(T80),AVERAGE(T80:T1079),T80)</f>
        <v>5</v>
      </c>
      <c r="V80" s="0" t="n">
        <v>4</v>
      </c>
      <c r="X80" s="0" t="str">
        <f aca="false">IF(ISBLANK(W80),"No remarks",W80)</f>
        <v>No remarks</v>
      </c>
      <c r="Y80" s="0" t="s">
        <v>52</v>
      </c>
      <c r="Z80" s="0" t="s">
        <v>53</v>
      </c>
      <c r="AA80" s="0" t="str">
        <f aca="false">PROPER(IF(ISBLANK(Z80),"Location Unavailable",Z80))</f>
        <v>Main Bay</v>
      </c>
      <c r="AB80" s="0" t="s">
        <v>147</v>
      </c>
      <c r="AC80" s="6" t="str">
        <f aca="false">PROPER(AB80)</f>
        <v>Instagram</v>
      </c>
      <c r="AD80" s="6" t="n">
        <v>15</v>
      </c>
      <c r="AE80" s="5" t="n">
        <f aca="false">IF(ISBLANK(AD80),AVERAGEIF(L80:L1079,L80,AD80:AD1079),AD80)</f>
        <v>15</v>
      </c>
      <c r="AF80" s="0" t="s">
        <v>96</v>
      </c>
      <c r="AG80" s="0" t="str">
        <f aca="false">PROPER(AF80)</f>
        <v>Ordered</v>
      </c>
      <c r="AH80" s="0" t="s">
        <v>155</v>
      </c>
      <c r="AI80" s="0" t="s">
        <v>98</v>
      </c>
      <c r="AJ80" s="0" t="str">
        <f aca="false">PROPER(AI80)</f>
        <v>Emergency</v>
      </c>
      <c r="AK80" s="0" t="s">
        <v>196</v>
      </c>
      <c r="AL80" s="0" t="str">
        <f aca="false">PROPER(AK80)</f>
        <v>First Time</v>
      </c>
      <c r="AN80" s="0" t="str">
        <f aca="false">IF(ISBLANK(AM80),"Unknown",AM80)</f>
        <v>Unknown</v>
      </c>
      <c r="AO80" s="0" t="s">
        <v>79</v>
      </c>
      <c r="AP80" s="0" t="str">
        <f aca="false">IF(ISBLANK(AO80),"Unknown",AO80)</f>
        <v>Specialist</v>
      </c>
      <c r="AQ80" s="0" t="n">
        <v>20000</v>
      </c>
      <c r="AR80" s="5" t="n">
        <f aca="false">IF(ISBLANK(AQ80),AVERAGEIF(M80:M1079,M80,AQ80:AQ1079),AQ80)</f>
        <v>20000</v>
      </c>
      <c r="AS80" s="0" t="n">
        <v>30000</v>
      </c>
      <c r="AT80" s="5" t="n">
        <f aca="false">IF(ISBLANK(AS80),AVERAGE(AS80:AS1079),AS80)</f>
        <v>30000</v>
      </c>
      <c r="AU80" s="0" t="s">
        <v>50</v>
      </c>
      <c r="AV80" s="0" t="str">
        <f aca="false">PROPER(IF(ISBLANK(AU80),"No",AU80))</f>
        <v>No</v>
      </c>
      <c r="AX80" s="5" t="n">
        <f aca="false">IF(ISBLANK(AW80),0,AW80)</f>
        <v>0</v>
      </c>
      <c r="AY80" s="0" t="s">
        <v>184</v>
      </c>
      <c r="AZ80" s="0" t="str">
        <f aca="false">UPPER(IF(ISBLANK(AY80),"NONE",AY80))</f>
        <v>N/A</v>
      </c>
      <c r="BA80" s="7" t="n">
        <v>45942</v>
      </c>
      <c r="BB80" s="7" t="n">
        <f aca="false">IF(ISBLANK(BA80),"No Follow Up Needed",BA80)</f>
        <v>45942</v>
      </c>
      <c r="BC80" s="0" t="s">
        <v>50</v>
      </c>
      <c r="BD80" s="0" t="str">
        <f aca="false">PROPER(IF(ISBLANK(BC80),"Unknown",BC80))</f>
        <v>No</v>
      </c>
      <c r="BF80" s="0" t="str">
        <f aca="false">IF(ISBLANK(BE80),"No comments",BE80)</f>
        <v>No comments</v>
      </c>
      <c r="BG80" s="0" t="s">
        <v>172</v>
      </c>
      <c r="BH80" s="0" t="str">
        <f aca="false">IF(ISBLANK(BG80),"No comments",BG80)</f>
        <v>Always late</v>
      </c>
      <c r="BI80" s="0" t="s">
        <v>63</v>
      </c>
      <c r="BJ80" s="0" t="str">
        <f aca="false">IF(ISBLANK(BI80),"Not Mentioned",BI80)</f>
        <v>Yes</v>
      </c>
      <c r="BK80" s="0" t="s">
        <v>61</v>
      </c>
      <c r="BL80" s="0" t="str">
        <f aca="false">PROPER(IF(ISBLANK(BK80),"Not Mentioned",BK80))</f>
        <v>No</v>
      </c>
      <c r="BM80" s="0" t="s">
        <v>63</v>
      </c>
      <c r="BN80" s="0" t="str">
        <f aca="false">PROPER(IF(ISBLANK(BM80),"Not Mentioned",BM80))</f>
        <v>Yes</v>
      </c>
      <c r="BO80" s="0" t="s">
        <v>64</v>
      </c>
      <c r="BP80" s="0" t="str">
        <f aca="false">IF(ISBLANK(BO80),"One-Time Plan",BO80)</f>
        <v>Gold Maintenance Plan</v>
      </c>
      <c r="BQ80" s="0" t="s">
        <v>63</v>
      </c>
      <c r="BR80" s="0" t="str">
        <f aca="false">PROPER(IF(ISBLANK(BQ80),"No",BQ80))</f>
        <v>Yes</v>
      </c>
    </row>
    <row r="81" customFormat="false" ht="15" hidden="false" customHeight="false" outlineLevel="0" collapsed="false">
      <c r="A81" s="0" t="s">
        <v>343</v>
      </c>
      <c r="B81" s="2" t="n">
        <v>45749</v>
      </c>
      <c r="C81" s="2" t="str">
        <f aca="false">TEXT(B81,"dd/mm/yyyy")</f>
        <v>02/04/2025</v>
      </c>
      <c r="D81" s="0" t="s">
        <v>121</v>
      </c>
      <c r="E81" s="0" t="n">
        <v>8034728879</v>
      </c>
      <c r="F81" s="0" t="s">
        <v>139</v>
      </c>
      <c r="G81" s="0" t="s">
        <v>2323</v>
      </c>
      <c r="H81" s="0" t="s">
        <v>344</v>
      </c>
      <c r="I81" s="0" t="s">
        <v>107</v>
      </c>
      <c r="J81" s="0" t="s">
        <v>2317</v>
      </c>
      <c r="K81" s="3" t="str">
        <f aca="false" t="array" ref="K81:K81">IFERROR(IF(J81&lt;&gt;"",J81,INDEX(J81:J1080,MATCH(1,(F81:F1080=F81)*(I81:I1080=I81)*(L81:L1080=L81)*(J81:J1080&lt;&gt;""),0))),"Not Found")</f>
        <v>Suspension Noise</v>
      </c>
      <c r="L81" s="3" t="s">
        <v>47</v>
      </c>
      <c r="M81" s="0" t="str">
        <f aca="false">PROPER(L81)</f>
        <v>None</v>
      </c>
      <c r="N81" s="3" t="s">
        <v>48</v>
      </c>
      <c r="O81" s="0" t="str">
        <f aca="false" t="array" ref="O81:O81">IF(N81&lt;&gt;"",N81,_xlfn.xlookup(1,(L81:L1080=L81)*(N81:N1080&lt;&gt;""),N81:N1080,"Not Found"))</f>
        <v>Uche</v>
      </c>
      <c r="P81" s="4" t="n">
        <v>32438</v>
      </c>
      <c r="Q81" s="0" t="s">
        <v>110</v>
      </c>
      <c r="R81" s="0" t="str">
        <f aca="false">PROPER(Q81)</f>
        <v>Cash</v>
      </c>
      <c r="S81" s="0" t="s">
        <v>63</v>
      </c>
      <c r="T81" s="0" t="n">
        <v>5</v>
      </c>
      <c r="U81" s="5" t="n">
        <f aca="false">IF(ISBLANK(T81),AVERAGE(T81:T1080),T81)</f>
        <v>5</v>
      </c>
      <c r="V81" s="0" t="n">
        <v>4.2</v>
      </c>
      <c r="W81" s="0" t="s">
        <v>125</v>
      </c>
      <c r="X81" s="0" t="str">
        <f aca="false">IF(ISBLANK(W81),"No remarks",W81)</f>
        <v>Customer waited</v>
      </c>
      <c r="Y81" s="0" t="s">
        <v>93</v>
      </c>
      <c r="Z81" s="0" t="s">
        <v>74</v>
      </c>
      <c r="AA81" s="0" t="str">
        <f aca="false">PROPER(IF(ISBLANK(Z81),"Location Unavailable",Z81))</f>
        <v>Under Tree</v>
      </c>
      <c r="AB81" s="0" t="s">
        <v>167</v>
      </c>
      <c r="AC81" s="6" t="str">
        <f aca="false">PROPER(AB81)</f>
        <v>Word Of Mouth</v>
      </c>
      <c r="AD81" s="6" t="n">
        <v>45</v>
      </c>
      <c r="AE81" s="5" t="n">
        <f aca="false">IF(ISBLANK(AD81),AVERAGEIF(L81:L1080,L81,AD81:AD1080),AD81)</f>
        <v>45</v>
      </c>
      <c r="AF81" s="0" t="s">
        <v>160</v>
      </c>
      <c r="AG81" s="0" t="str">
        <f aca="false">PROPER(AF81)</f>
        <v>Availaible</v>
      </c>
      <c r="AH81" s="0" t="s">
        <v>56</v>
      </c>
      <c r="AI81" s="0" t="s">
        <v>98</v>
      </c>
      <c r="AJ81" s="0" t="str">
        <f aca="false">PROPER(AI81)</f>
        <v>Emergency</v>
      </c>
      <c r="AK81" s="0" t="s">
        <v>196</v>
      </c>
      <c r="AL81" s="0" t="str">
        <f aca="false">PROPER(AK81)</f>
        <v>First Time</v>
      </c>
      <c r="AM81" s="0" t="s">
        <v>2326</v>
      </c>
      <c r="AN81" s="0" t="str">
        <f aca="false">IF(ISBLANK(AM81),"Unknown",AM81)</f>
        <v>Government Convoy</v>
      </c>
      <c r="AO81" s="0" t="s">
        <v>143</v>
      </c>
      <c r="AP81" s="0" t="str">
        <f aca="false">IF(ISBLANK(AO81),"Unknown",AO81)</f>
        <v>Senior</v>
      </c>
      <c r="AQ81" s="0" t="n">
        <v>40000</v>
      </c>
      <c r="AR81" s="5" t="n">
        <f aca="false">IF(ISBLANK(AQ81),AVERAGEIF(M81:M1080,M81,AQ81:AQ1080),AQ81)</f>
        <v>40000</v>
      </c>
      <c r="AS81" s="0" t="n">
        <v>20000</v>
      </c>
      <c r="AT81" s="5" t="n">
        <f aca="false">IF(ISBLANK(AS81),AVERAGE(AS81:AS1080),AS81)</f>
        <v>20000</v>
      </c>
      <c r="AU81" s="0" t="s">
        <v>63</v>
      </c>
      <c r="AV81" s="0" t="str">
        <f aca="false">PROPER(IF(ISBLANK(AU81),"No",AU81))</f>
        <v>Yes</v>
      </c>
      <c r="AW81" s="0" t="n">
        <v>5000</v>
      </c>
      <c r="AX81" s="5" t="n">
        <f aca="false">IF(ISBLANK(AW81),0,AW81)</f>
        <v>5000</v>
      </c>
      <c r="AY81" s="0" t="s">
        <v>80</v>
      </c>
      <c r="AZ81" s="0" t="str">
        <f aca="false">UPPER(IF(ISBLANK(AY81),"NONE",AY81))</f>
        <v>PROMO10</v>
      </c>
      <c r="BB81" s="7" t="str">
        <f aca="false">IF(ISBLANK(BA81),"No Follow Up Needed",BA81)</f>
        <v>No Follow Up Needed</v>
      </c>
      <c r="BC81" s="0" t="s">
        <v>63</v>
      </c>
      <c r="BD81" s="0" t="str">
        <f aca="false">PROPER(IF(ISBLANK(BC81),"Unknown",BC81))</f>
        <v>Yes</v>
      </c>
      <c r="BF81" s="0" t="str">
        <f aca="false">IF(ISBLANK(BE81),"No comments",BE81)</f>
        <v>No comments</v>
      </c>
      <c r="BG81" s="0" t="s">
        <v>172</v>
      </c>
      <c r="BH81" s="0" t="str">
        <f aca="false">IF(ISBLANK(BG81),"No comments",BG81)</f>
        <v>Always late</v>
      </c>
      <c r="BI81" s="0" t="s">
        <v>63</v>
      </c>
      <c r="BJ81" s="0" t="str">
        <f aca="false">IF(ISBLANK(BI81),"Not Mentioned",BI81)</f>
        <v>Yes</v>
      </c>
      <c r="BK81" s="0" t="s">
        <v>63</v>
      </c>
      <c r="BL81" s="0" t="str">
        <f aca="false">PROPER(IF(ISBLANK(BK81),"Not Mentioned",BK81))</f>
        <v>Yes</v>
      </c>
      <c r="BM81" s="0" t="s">
        <v>63</v>
      </c>
      <c r="BN81" s="0" t="str">
        <f aca="false">PROPER(IF(ISBLANK(BM81),"Not Mentioned",BM81))</f>
        <v>Yes</v>
      </c>
      <c r="BO81" s="0" t="s">
        <v>2318</v>
      </c>
      <c r="BP81" s="0" t="str">
        <f aca="false">IF(ISBLANK(BO81),"One-Time Plan",BO81)</f>
        <v>Gold</v>
      </c>
      <c r="BR81" s="0" t="str">
        <f aca="false">PROPER(IF(ISBLANK(BQ81),"No",BQ81))</f>
        <v>No</v>
      </c>
    </row>
    <row r="82" customFormat="false" ht="15" hidden="false" customHeight="false" outlineLevel="0" collapsed="false">
      <c r="A82" s="0" t="s">
        <v>346</v>
      </c>
      <c r="B82" s="2" t="s">
        <v>345</v>
      </c>
      <c r="C82" s="2" t="str">
        <f aca="false">TEXT(B82,"dd/mm/yyyy")</f>
        <v>25/04/2025</v>
      </c>
      <c r="D82" s="0" t="s">
        <v>121</v>
      </c>
      <c r="E82" s="0" t="n">
        <v>8010902666</v>
      </c>
      <c r="F82" s="0" t="s">
        <v>43</v>
      </c>
      <c r="G82" s="0" t="s">
        <v>2315</v>
      </c>
      <c r="H82" s="0" t="s">
        <v>347</v>
      </c>
      <c r="I82" s="0" t="s">
        <v>69</v>
      </c>
      <c r="J82" s="0" t="s">
        <v>2317</v>
      </c>
      <c r="K82" s="3" t="str">
        <f aca="false" t="array" ref="K82:K82">IFERROR(IF(J82&lt;&gt;"",J82,INDEX(J82:J1081,MATCH(1,(F82:F1081=F82)*(I82:I1081=I82)*(L82:L1081=L82)*(J82:J1081&lt;&gt;""),0))),"Not Found")</f>
        <v>Suspension Noise</v>
      </c>
      <c r="L82" s="3" t="s">
        <v>154</v>
      </c>
      <c r="M82" s="0" t="str">
        <f aca="false">PROPER(L82)</f>
        <v>Air Filter</v>
      </c>
      <c r="O82" s="0" t="e">
        <f aca="false" t="array" ref="O82:O82">IF(N82&lt;&gt;"",N82,_xlfn.xlookup(1,(L82:L1081=L82)*(N82:N1081&lt;&gt;""),N82:N1081,"Not Found"))</f>
        <v>#NAME?</v>
      </c>
      <c r="P82" s="4" t="n">
        <v>23213</v>
      </c>
      <c r="Q82" s="0" t="s">
        <v>49</v>
      </c>
      <c r="R82" s="0" t="str">
        <f aca="false">PROPER(Q82)</f>
        <v>Transfer</v>
      </c>
      <c r="S82" s="0" t="s">
        <v>63</v>
      </c>
      <c r="T82" s="0" t="n">
        <v>3</v>
      </c>
      <c r="U82" s="5" t="n">
        <f aca="false">IF(ISBLANK(T82),AVERAGE(T82:T1081),T82)</f>
        <v>3</v>
      </c>
      <c r="V82" s="0" t="n">
        <v>1.1</v>
      </c>
      <c r="W82" s="0" t="s">
        <v>92</v>
      </c>
      <c r="X82" s="0" t="str">
        <f aca="false">IF(ISBLANK(W82),"No remarks",W82)</f>
        <v>Urgent service</v>
      </c>
      <c r="Y82" s="0" t="s">
        <v>52</v>
      </c>
      <c r="Z82" s="0" t="s">
        <v>159</v>
      </c>
      <c r="AA82" s="0" t="str">
        <f aca="false">PROPER(IF(ISBLANK(Z82),"Location Unavailable",Z82))</f>
        <v>Main Bay</v>
      </c>
      <c r="AB82" s="0" t="s">
        <v>54</v>
      </c>
      <c r="AC82" s="6" t="str">
        <f aca="false">PROPER(AB82)</f>
        <v>Mechanic Referral</v>
      </c>
      <c r="AD82" s="6" t="n">
        <v>45</v>
      </c>
      <c r="AE82" s="5" t="n">
        <f aca="false">IF(ISBLANK(AD82),AVERAGEIF(L82:L1081,L82,AD82:AD1081),AD82)</f>
        <v>45</v>
      </c>
      <c r="AF82" s="0" t="s">
        <v>96</v>
      </c>
      <c r="AG82" s="0" t="str">
        <f aca="false">PROPER(AF82)</f>
        <v>Ordered</v>
      </c>
      <c r="AH82" s="0" t="s">
        <v>56</v>
      </c>
      <c r="AI82" s="0" t="s">
        <v>98</v>
      </c>
      <c r="AJ82" s="0" t="str">
        <f aca="false">PROPER(AI82)</f>
        <v>Emergency</v>
      </c>
      <c r="AK82" s="0" t="s">
        <v>58</v>
      </c>
      <c r="AL82" s="0" t="str">
        <f aca="false">PROPER(AK82)</f>
        <v>Fleet Owner</v>
      </c>
      <c r="AN82" s="0" t="str">
        <f aca="false">IF(ISBLANK(AM82),"Unknown",AM82)</f>
        <v>Unknown</v>
      </c>
      <c r="AO82" s="0" t="s">
        <v>149</v>
      </c>
      <c r="AP82" s="0" t="str">
        <f aca="false">IF(ISBLANK(AO82),"Unknown",AO82)</f>
        <v>Senior </v>
      </c>
      <c r="AR82" s="5" t="n">
        <f aca="false">IF(ISBLANK(AQ82),AVERAGEIF(M82:M1081,M82,AQ82:AQ1081),AQ82)</f>
        <v>26515.1515151515</v>
      </c>
      <c r="AS82" s="0" t="n">
        <v>20000</v>
      </c>
      <c r="AT82" s="5" t="n">
        <f aca="false">IF(ISBLANK(AS82),AVERAGE(AS82:AS1081),AS82)</f>
        <v>20000</v>
      </c>
      <c r="AU82" s="0" t="s">
        <v>50</v>
      </c>
      <c r="AV82" s="0" t="str">
        <f aca="false">PROPER(IF(ISBLANK(AU82),"No",AU82))</f>
        <v>No</v>
      </c>
      <c r="AW82" s="0" t="n">
        <v>10000</v>
      </c>
      <c r="AX82" s="5" t="n">
        <f aca="false">IF(ISBLANK(AW82),0,AW82)</f>
        <v>10000</v>
      </c>
      <c r="AY82" s="0" t="s">
        <v>130</v>
      </c>
      <c r="AZ82" s="0" t="str">
        <f aca="false">UPPER(IF(ISBLANK(AY82),"NONE",AY82))</f>
        <v>LOYALTY10</v>
      </c>
      <c r="BA82" s="7" t="s">
        <v>348</v>
      </c>
      <c r="BB82" s="7" t="str">
        <f aca="false">IF(ISBLANK(BA82),"No Follow Up Needed",BA82)</f>
        <v>15/07/2025</v>
      </c>
      <c r="BC82" s="0" t="s">
        <v>61</v>
      </c>
      <c r="BD82" s="0" t="str">
        <f aca="false">PROPER(IF(ISBLANK(BC82),"Unknown",BC82))</f>
        <v>No</v>
      </c>
      <c r="BF82" s="0" t="str">
        <f aca="false">IF(ISBLANK(BE82),"No comments",BE82)</f>
        <v>No comments</v>
      </c>
      <c r="BG82" s="0" t="s">
        <v>172</v>
      </c>
      <c r="BH82" s="0" t="str">
        <f aca="false">IF(ISBLANK(BG82),"No comments",BG82)</f>
        <v>Always late</v>
      </c>
      <c r="BI82" s="0" t="s">
        <v>63</v>
      </c>
      <c r="BJ82" s="0" t="str">
        <f aca="false">IF(ISBLANK(BI82),"Not Mentioned",BI82)</f>
        <v>Yes</v>
      </c>
      <c r="BK82" s="0" t="s">
        <v>61</v>
      </c>
      <c r="BL82" s="0" t="str">
        <f aca="false">PROPER(IF(ISBLANK(BK82),"Not Mentioned",BK82))</f>
        <v>No</v>
      </c>
      <c r="BN82" s="0" t="str">
        <f aca="false">PROPER(IF(ISBLANK(BM82),"Not Mentioned",BM82))</f>
        <v>Not Mentioned</v>
      </c>
      <c r="BO82" s="0" t="s">
        <v>2318</v>
      </c>
      <c r="BP82" s="0" t="str">
        <f aca="false">IF(ISBLANK(BO82),"One-Time Plan",BO82)</f>
        <v>Gold</v>
      </c>
      <c r="BQ82" s="0" t="s">
        <v>63</v>
      </c>
      <c r="BR82" s="0" t="str">
        <f aca="false">PROPER(IF(ISBLANK(BQ82),"No",BQ82))</f>
        <v>Yes</v>
      </c>
    </row>
    <row r="83" customFormat="false" ht="15" hidden="false" customHeight="false" outlineLevel="0" collapsed="false">
      <c r="A83" s="0" t="s">
        <v>349</v>
      </c>
      <c r="B83" s="2" t="n">
        <v>45782</v>
      </c>
      <c r="C83" s="2" t="str">
        <f aca="false">TEXT(B83,"dd/mm/yyyy")</f>
        <v>05/05/2025</v>
      </c>
      <c r="D83" s="0" t="s">
        <v>66</v>
      </c>
      <c r="E83" s="0" t="n">
        <v>8058696493</v>
      </c>
      <c r="F83" s="0" t="s">
        <v>67</v>
      </c>
      <c r="G83" s="0" t="s">
        <v>2316</v>
      </c>
      <c r="H83" s="0" t="s">
        <v>350</v>
      </c>
      <c r="I83" s="0" t="s">
        <v>45</v>
      </c>
      <c r="J83" s="0" t="s">
        <v>2317</v>
      </c>
      <c r="K83" s="3" t="str">
        <f aca="false" t="array" ref="K83:K83">IFERROR(IF(J83&lt;&gt;"",J83,INDEX(J83:J1082,MATCH(1,(F83:F1082=F83)*(I83:I1082=I83)*(L83:L1082=L83)*(J83:J1082&lt;&gt;""),0))),"Not Found")</f>
        <v>Suspension Noise</v>
      </c>
      <c r="L83" s="3" t="s">
        <v>142</v>
      </c>
      <c r="M83" s="0" t="str">
        <f aca="false">PROPER(L83)</f>
        <v>Oil Filter, Brake Pads</v>
      </c>
      <c r="N83" s="3" t="s">
        <v>71</v>
      </c>
      <c r="O83" s="0" t="str">
        <f aca="false" t="array" ref="O83:O83">IF(N83&lt;&gt;"",N83,_xlfn.xlookup(1,(L83:L1082=L83)*(N83:N1082&lt;&gt;""),N83:N1082,"Not Found"))</f>
        <v>Isaac Bobo</v>
      </c>
      <c r="P83" s="4" t="n">
        <v>106050</v>
      </c>
      <c r="Q83" s="0" t="s">
        <v>91</v>
      </c>
      <c r="R83" s="0" t="str">
        <f aca="false">PROPER(Q83)</f>
        <v>Pos</v>
      </c>
      <c r="S83" s="0" t="s">
        <v>63</v>
      </c>
      <c r="T83" s="0" t="n">
        <v>1</v>
      </c>
      <c r="U83" s="5" t="n">
        <f aca="false">IF(ISBLANK(T83),AVERAGE(T83:T1082),T83)</f>
        <v>1</v>
      </c>
      <c r="V83" s="0" t="n">
        <v>5.8</v>
      </c>
      <c r="W83" s="0" t="s">
        <v>92</v>
      </c>
      <c r="X83" s="0" t="str">
        <f aca="false">IF(ISBLANK(W83),"No remarks",W83)</f>
        <v>Urgent service</v>
      </c>
      <c r="Y83" s="0" t="s">
        <v>52</v>
      </c>
      <c r="Z83" s="0" t="s">
        <v>136</v>
      </c>
      <c r="AA83" s="0" t="str">
        <f aca="false">PROPER(IF(ISBLANK(Z83),"Location Unavailable",Z83))</f>
        <v>Vip Section</v>
      </c>
      <c r="AB83" s="0" t="s">
        <v>54</v>
      </c>
      <c r="AC83" s="6" t="str">
        <f aca="false">PROPER(AB83)</f>
        <v>Mechanic Referral</v>
      </c>
      <c r="AD83" s="6" t="n">
        <v>45</v>
      </c>
      <c r="AE83" s="5" t="n">
        <f aca="false">IF(ISBLANK(AD83),AVERAGEIF(L83:L1082,L83,AD83:AD1082),AD83)</f>
        <v>45</v>
      </c>
      <c r="AF83" s="0" t="s">
        <v>76</v>
      </c>
      <c r="AG83" s="0" t="str">
        <f aca="false">PROPER(AF83)</f>
        <v>Orderd</v>
      </c>
      <c r="AH83" s="0" t="s">
        <v>77</v>
      </c>
      <c r="AI83" s="0" t="s">
        <v>128</v>
      </c>
      <c r="AJ83" s="0" t="str">
        <f aca="false">PROPER(AI83)</f>
        <v>Normal</v>
      </c>
      <c r="AK83" s="0" t="s">
        <v>114</v>
      </c>
      <c r="AL83" s="0" t="str">
        <f aca="false">PROPER(AK83)</f>
        <v>Returning</v>
      </c>
      <c r="AM83" s="0" t="s">
        <v>2326</v>
      </c>
      <c r="AN83" s="0" t="str">
        <f aca="false">IF(ISBLANK(AM83),"Unknown",AM83)</f>
        <v>Government Convoy</v>
      </c>
      <c r="AO83" s="0" t="s">
        <v>161</v>
      </c>
      <c r="AP83" s="0" t="str">
        <f aca="false">IF(ISBLANK(AO83),"Unknown",AO83)</f>
        <v>Apprentice</v>
      </c>
      <c r="AQ83" s="0" t="n">
        <v>25000</v>
      </c>
      <c r="AR83" s="5" t="n">
        <f aca="false">IF(ISBLANK(AQ83),AVERAGEIF(M83:M1082,M83,AQ83:AQ1082),AQ83)</f>
        <v>25000</v>
      </c>
      <c r="AS83" s="0" t="n">
        <v>30000</v>
      </c>
      <c r="AT83" s="5" t="n">
        <f aca="false">IF(ISBLANK(AS83),AVERAGE(AS83:AS1082),AS83)</f>
        <v>30000</v>
      </c>
      <c r="AU83" s="0" t="s">
        <v>61</v>
      </c>
      <c r="AV83" s="0" t="str">
        <f aca="false">PROPER(IF(ISBLANK(AU83),"No",AU83))</f>
        <v>No</v>
      </c>
      <c r="AW83" s="0" t="n">
        <v>5000</v>
      </c>
      <c r="AX83" s="5" t="n">
        <f aca="false">IF(ISBLANK(AW83),0,AW83)</f>
        <v>5000</v>
      </c>
      <c r="AY83" s="0" t="s">
        <v>60</v>
      </c>
      <c r="AZ83" s="0" t="str">
        <f aca="false">UPPER(IF(ISBLANK(AY83),"NONE",AY83))</f>
        <v>NONE</v>
      </c>
      <c r="BA83" s="7" t="n">
        <v>46020</v>
      </c>
      <c r="BB83" s="7" t="n">
        <f aca="false">IF(ISBLANK(BA83),"No Follow Up Needed",BA83)</f>
        <v>46020</v>
      </c>
      <c r="BC83" s="0" t="s">
        <v>82</v>
      </c>
      <c r="BD83" s="0" t="str">
        <f aca="false">PROPER(IF(ISBLANK(BC83),"Unknown",BC83))</f>
        <v>Yes</v>
      </c>
      <c r="BE83" s="0" t="s">
        <v>116</v>
      </c>
      <c r="BF83" s="0" t="str">
        <f aca="false">IF(ISBLANK(BE83),"No comments",BE83)</f>
        <v>Needs tire alignment</v>
      </c>
      <c r="BH83" s="0" t="str">
        <f aca="false">IF(ISBLANK(BG83),"No comments",BG83)</f>
        <v>No comments</v>
      </c>
      <c r="BI83" s="0" t="s">
        <v>63</v>
      </c>
      <c r="BJ83" s="0" t="str">
        <f aca="false">IF(ISBLANK(BI83),"Not Mentioned",BI83)</f>
        <v>Yes</v>
      </c>
      <c r="BK83" s="0" t="s">
        <v>50</v>
      </c>
      <c r="BL83" s="0" t="str">
        <f aca="false">PROPER(IF(ISBLANK(BK83),"Not Mentioned",BK83))</f>
        <v>No</v>
      </c>
      <c r="BM83" s="0" t="s">
        <v>63</v>
      </c>
      <c r="BN83" s="0" t="str">
        <f aca="false">PROPER(IF(ISBLANK(BM83),"Not Mentioned",BM83))</f>
        <v>Yes</v>
      </c>
      <c r="BO83" s="0" t="s">
        <v>64</v>
      </c>
      <c r="BP83" s="0" t="str">
        <f aca="false">IF(ISBLANK(BO83),"One-Time Plan",BO83)</f>
        <v>Gold Maintenance Plan</v>
      </c>
      <c r="BQ83" s="0" t="s">
        <v>50</v>
      </c>
      <c r="BR83" s="0" t="str">
        <f aca="false">PROPER(IF(ISBLANK(BQ83),"No",BQ83))</f>
        <v>No</v>
      </c>
    </row>
    <row r="84" customFormat="false" ht="15" hidden="false" customHeight="false" outlineLevel="0" collapsed="false">
      <c r="A84" s="0" t="s">
        <v>351</v>
      </c>
      <c r="B84" s="2" t="n">
        <v>45783</v>
      </c>
      <c r="C84" s="2" t="str">
        <f aca="false">TEXT(B84,"dd/mm/yyyy")</f>
        <v>06/05/2025</v>
      </c>
      <c r="D84" s="0" t="s">
        <v>163</v>
      </c>
      <c r="E84" s="0" t="n">
        <v>8011327694</v>
      </c>
      <c r="F84" s="0" t="s">
        <v>122</v>
      </c>
      <c r="G84" s="0" t="s">
        <v>2316</v>
      </c>
      <c r="H84" s="0" t="s">
        <v>352</v>
      </c>
      <c r="I84" s="0" t="s">
        <v>107</v>
      </c>
      <c r="J84" s="0" t="s">
        <v>2317</v>
      </c>
      <c r="K84" s="3" t="str">
        <f aca="false" t="array" ref="K84:K84">IFERROR(IF(J84&lt;&gt;"",J84,INDEX(J84:J1083,MATCH(1,(F84:F1083=F84)*(I84:I1083=I84)*(L84:L1083=L84)*(J84:J1083&lt;&gt;""),0))),"Not Found")</f>
        <v>Suspension Noise</v>
      </c>
      <c r="L84" s="3" t="s">
        <v>142</v>
      </c>
      <c r="M84" s="0" t="str">
        <f aca="false">PROPER(L84)</f>
        <v>Oil Filter, Brake Pads</v>
      </c>
      <c r="N84" s="3" t="s">
        <v>71</v>
      </c>
      <c r="O84" s="0" t="str">
        <f aca="false" t="array" ref="O84:O84">IF(N84&lt;&gt;"",N84,_xlfn.xlookup(1,(L84:L1083=L84)*(N84:N1083&lt;&gt;""),N84:N1083,"Not Found"))</f>
        <v>Isaac Bobo</v>
      </c>
      <c r="P84" s="4" t="n">
        <v>65980</v>
      </c>
      <c r="Q84" s="0" t="s">
        <v>91</v>
      </c>
      <c r="R84" s="0" t="str">
        <f aca="false">PROPER(Q84)</f>
        <v>Pos</v>
      </c>
      <c r="S84" s="0" t="s">
        <v>63</v>
      </c>
      <c r="T84" s="0" t="n">
        <v>2</v>
      </c>
      <c r="U84" s="5" t="n">
        <f aca="false">IF(ISBLANK(T84),AVERAGE(T84:T1083),T84)</f>
        <v>2</v>
      </c>
      <c r="V84" s="0" t="n">
        <v>2.8</v>
      </c>
      <c r="W84" s="0" t="s">
        <v>111</v>
      </c>
      <c r="X84" s="0" t="str">
        <f aca="false">IF(ISBLANK(W84),"No remarks",W84)</f>
        <v>Changed all filters</v>
      </c>
      <c r="Y84" s="0" t="s">
        <v>52</v>
      </c>
      <c r="Z84" s="0" t="s">
        <v>74</v>
      </c>
      <c r="AA84" s="0" t="str">
        <f aca="false">PROPER(IF(ISBLANK(Z84),"Location Unavailable",Z84))</f>
        <v>Under Tree</v>
      </c>
      <c r="AB84" s="0" t="s">
        <v>167</v>
      </c>
      <c r="AC84" s="6" t="str">
        <f aca="false">PROPER(AB84)</f>
        <v>Word Of Mouth</v>
      </c>
      <c r="AD84" s="6" t="n">
        <v>60</v>
      </c>
      <c r="AE84" s="5" t="n">
        <f aca="false">IF(ISBLANK(AD84),AVERAGEIF(L84:L1083,L84,AD84:AD1083),AD84)</f>
        <v>60</v>
      </c>
      <c r="AF84" s="0" t="s">
        <v>76</v>
      </c>
      <c r="AG84" s="0" t="str">
        <f aca="false">PROPER(AF84)</f>
        <v>Orderd</v>
      </c>
      <c r="AH84" s="0" t="s">
        <v>56</v>
      </c>
      <c r="AI84" s="0" t="s">
        <v>98</v>
      </c>
      <c r="AJ84" s="0" t="str">
        <f aca="false">PROPER(AI84)</f>
        <v>Emergency</v>
      </c>
      <c r="AK84" s="0" t="s">
        <v>114</v>
      </c>
      <c r="AL84" s="0" t="str">
        <f aca="false">PROPER(AK84)</f>
        <v>Returning</v>
      </c>
      <c r="AN84" s="0" t="str">
        <f aca="false">IF(ISBLANK(AM84),"Unknown",AM84)</f>
        <v>Unknown</v>
      </c>
      <c r="AO84" s="0" t="s">
        <v>79</v>
      </c>
      <c r="AP84" s="0" t="str">
        <f aca="false">IF(ISBLANK(AO84),"Unknown",AO84)</f>
        <v>Specialist</v>
      </c>
      <c r="AQ84" s="0" t="n">
        <v>40000</v>
      </c>
      <c r="AR84" s="5" t="n">
        <f aca="false">IF(ISBLANK(AQ84),AVERAGEIF(M84:M1083,M84,AQ84:AQ1083),AQ84)</f>
        <v>40000</v>
      </c>
      <c r="AT84" s="5" t="n">
        <f aca="false">IF(ISBLANK(AS84),AVERAGE(AS84:AS1083),AS84)</f>
        <v>31559.2105263158</v>
      </c>
      <c r="AU84" s="0" t="s">
        <v>61</v>
      </c>
      <c r="AV84" s="0" t="str">
        <f aca="false">PROPER(IF(ISBLANK(AU84),"No",AU84))</f>
        <v>No</v>
      </c>
      <c r="AW84" s="0" t="n">
        <v>10000</v>
      </c>
      <c r="AX84" s="5" t="n">
        <f aca="false">IF(ISBLANK(AW84),0,AW84)</f>
        <v>10000</v>
      </c>
      <c r="AY84" s="0" t="s">
        <v>80</v>
      </c>
      <c r="AZ84" s="0" t="str">
        <f aca="false">UPPER(IF(ISBLANK(AY84),"NONE",AY84))</f>
        <v>PROMO10</v>
      </c>
      <c r="BA84" s="7" t="n">
        <v>45938</v>
      </c>
      <c r="BB84" s="7" t="n">
        <f aca="false">IF(ISBLANK(BA84),"No Follow Up Needed",BA84)</f>
        <v>45938</v>
      </c>
      <c r="BC84" s="0" t="s">
        <v>82</v>
      </c>
      <c r="BD84" s="0" t="str">
        <f aca="false">PROPER(IF(ISBLANK(BC84),"Unknown",BC84))</f>
        <v>Yes</v>
      </c>
      <c r="BF84" s="0" t="str">
        <f aca="false">IF(ISBLANK(BE84),"No comments",BE84)</f>
        <v>No comments</v>
      </c>
      <c r="BH84" s="0" t="str">
        <f aca="false">IF(ISBLANK(BG84),"No comments",BG84)</f>
        <v>No comments</v>
      </c>
      <c r="BI84" s="0" t="s">
        <v>50</v>
      </c>
      <c r="BJ84" s="0" t="str">
        <f aca="false">IF(ISBLANK(BI84),"Not Mentioned",BI84)</f>
        <v>No</v>
      </c>
      <c r="BK84" s="0" t="s">
        <v>63</v>
      </c>
      <c r="BL84" s="0" t="str">
        <f aca="false">PROPER(IF(ISBLANK(BK84),"Not Mentioned",BK84))</f>
        <v>Yes</v>
      </c>
      <c r="BM84" s="0" t="s">
        <v>63</v>
      </c>
      <c r="BN84" s="0" t="str">
        <f aca="false">PROPER(IF(ISBLANK(BM84),"Not Mentioned",BM84))</f>
        <v>Yes</v>
      </c>
      <c r="BP84" s="0" t="str">
        <f aca="false">IF(ISBLANK(BO84),"One-Time Plan",BO84)</f>
        <v>One-Time Plan</v>
      </c>
      <c r="BQ84" s="0" t="s">
        <v>50</v>
      </c>
      <c r="BR84" s="0" t="str">
        <f aca="false">PROPER(IF(ISBLANK(BQ84),"No",BQ84))</f>
        <v>No</v>
      </c>
    </row>
    <row r="85" customFormat="false" ht="15" hidden="false" customHeight="false" outlineLevel="0" collapsed="false">
      <c r="A85" s="0" t="s">
        <v>354</v>
      </c>
      <c r="B85" s="2" t="s">
        <v>353</v>
      </c>
      <c r="C85" s="2" t="str">
        <f aca="false">TEXT(B85,"dd/mm/yyyy")</f>
        <v>18/05/2025</v>
      </c>
      <c r="D85" s="0" t="s">
        <v>42</v>
      </c>
      <c r="E85" s="0" t="n">
        <v>8019896028</v>
      </c>
      <c r="F85" s="0" t="s">
        <v>85</v>
      </c>
      <c r="G85" s="0" t="s">
        <v>2319</v>
      </c>
      <c r="H85" s="0" t="s">
        <v>355</v>
      </c>
      <c r="I85" s="0" t="s">
        <v>87</v>
      </c>
      <c r="J85" s="0" t="s">
        <v>87</v>
      </c>
      <c r="K85" s="3" t="str">
        <f aca="false" t="array" ref="K85:K85">IFERROR(IF(J85&lt;&gt;"",J85,INDEX(J85:J1084,MATCH(1,(F85:F1084=F85)*(I85:I1084=I85)*(L85:L1084=L85)*(J85:J1084&lt;&gt;""),0))),"Not Found")</f>
        <v>Oil Change</v>
      </c>
      <c r="L85" s="3" t="s">
        <v>189</v>
      </c>
      <c r="M85" s="0" t="str">
        <f aca="false">PROPER(L85)</f>
        <v>Battery</v>
      </c>
      <c r="O85" s="0" t="e">
        <f aca="false" t="array" ref="O85:O85">IF(N85&lt;&gt;"",N85,_xlfn.xlookup(1,(L85:L1084=L85)*(N85:N1084&lt;&gt;""),N85:N1084,"Not Found"))</f>
        <v>#NAME?</v>
      </c>
      <c r="P85" s="4" t="n">
        <v>114779</v>
      </c>
      <c r="Q85" s="0" t="s">
        <v>91</v>
      </c>
      <c r="R85" s="0" t="str">
        <f aca="false">PROPER(Q85)</f>
        <v>Pos</v>
      </c>
      <c r="S85" s="0" t="s">
        <v>63</v>
      </c>
      <c r="T85" s="0" t="n">
        <v>2</v>
      </c>
      <c r="U85" s="5" t="n">
        <f aca="false">IF(ISBLANK(T85),AVERAGE(T85:T1084),T85)</f>
        <v>2</v>
      </c>
      <c r="V85" s="0" t="n">
        <v>2.5</v>
      </c>
      <c r="W85" s="0" t="s">
        <v>51</v>
      </c>
      <c r="X85" s="0" t="str">
        <f aca="false">IF(ISBLANK(W85),"No remarks",W85)</f>
        <v>Recommended further checks</v>
      </c>
      <c r="Y85" s="0" t="s">
        <v>52</v>
      </c>
      <c r="Z85" s="0" t="s">
        <v>53</v>
      </c>
      <c r="AA85" s="0" t="str">
        <f aca="false">PROPER(IF(ISBLANK(Z85),"Location Unavailable",Z85))</f>
        <v>Main Bay</v>
      </c>
      <c r="AB85" s="0" t="s">
        <v>95</v>
      </c>
      <c r="AC85" s="6" t="str">
        <f aca="false">PROPER(AB85)</f>
        <v>Road Sign</v>
      </c>
      <c r="AD85" s="6" t="n">
        <v>60</v>
      </c>
      <c r="AE85" s="5" t="n">
        <f aca="false">IF(ISBLANK(AD85),AVERAGEIF(L85:L1084,L85,AD85:AD1084),AD85)</f>
        <v>60</v>
      </c>
      <c r="AF85" s="0" t="s">
        <v>160</v>
      </c>
      <c r="AG85" s="0" t="str">
        <f aca="false">PROPER(AF85)</f>
        <v>Availaible</v>
      </c>
      <c r="AH85" s="0" t="s">
        <v>155</v>
      </c>
      <c r="AI85" s="0" t="s">
        <v>98</v>
      </c>
      <c r="AJ85" s="0" t="str">
        <f aca="false">PROPER(AI85)</f>
        <v>Emergency</v>
      </c>
      <c r="AK85" s="0" t="s">
        <v>99</v>
      </c>
      <c r="AL85" s="0" t="str">
        <f aca="false">PROPER(AK85)</f>
        <v>Uber Driver</v>
      </c>
      <c r="AN85" s="0" t="str">
        <f aca="false">IF(ISBLANK(AM85),"Unknown",AM85)</f>
        <v>Unknown</v>
      </c>
      <c r="AO85" s="0" t="s">
        <v>79</v>
      </c>
      <c r="AP85" s="0" t="str">
        <f aca="false">IF(ISBLANK(AO85),"Unknown",AO85)</f>
        <v>Specialist</v>
      </c>
      <c r="AR85" s="5" t="n">
        <f aca="false">IF(ISBLANK(AQ85),AVERAGEIF(M85:M1084,M85,AQ85:AQ1084),AQ85)</f>
        <v>25555.5555555556</v>
      </c>
      <c r="AS85" s="0" t="n">
        <v>40000</v>
      </c>
      <c r="AT85" s="5" t="n">
        <f aca="false">IF(ISBLANK(AS85),AVERAGE(AS85:AS1084),AS85)</f>
        <v>40000</v>
      </c>
      <c r="AV85" s="0" t="str">
        <f aca="false">PROPER(IF(ISBLANK(AU85),"No",AU85))</f>
        <v>No</v>
      </c>
      <c r="AW85" s="0" t="n">
        <v>5000</v>
      </c>
      <c r="AX85" s="5" t="n">
        <f aca="false">IF(ISBLANK(AW85),0,AW85)</f>
        <v>5000</v>
      </c>
      <c r="AY85" s="0" t="s">
        <v>60</v>
      </c>
      <c r="AZ85" s="0" t="str">
        <f aca="false">UPPER(IF(ISBLANK(AY85),"NONE",AY85))</f>
        <v>NONE</v>
      </c>
      <c r="BA85" s="7" t="n">
        <v>45986</v>
      </c>
      <c r="BB85" s="7" t="n">
        <f aca="false">IF(ISBLANK(BA85),"No Follow Up Needed",BA85)</f>
        <v>45986</v>
      </c>
      <c r="BD85" s="0" t="str">
        <f aca="false">PROPER(IF(ISBLANK(BC85),"Unknown",BC85))</f>
        <v>Unknown</v>
      </c>
      <c r="BF85" s="0" t="str">
        <f aca="false">IF(ISBLANK(BE85),"No comments",BE85)</f>
        <v>No comments</v>
      </c>
      <c r="BG85" s="0" t="s">
        <v>2320</v>
      </c>
      <c r="BH85" s="0" t="str">
        <f aca="false">IF(ISBLANK(BG85),"No comments",BG85)</f>
        <v>No complaints</v>
      </c>
      <c r="BI85" s="0" t="s">
        <v>63</v>
      </c>
      <c r="BJ85" s="0" t="str">
        <f aca="false">IF(ISBLANK(BI85),"Not Mentioned",BI85)</f>
        <v>Yes</v>
      </c>
      <c r="BK85" s="0" t="s">
        <v>50</v>
      </c>
      <c r="BL85" s="0" t="str">
        <f aca="false">PROPER(IF(ISBLANK(BK85),"Not Mentioned",BK85))</f>
        <v>No</v>
      </c>
      <c r="BM85" s="0" t="s">
        <v>63</v>
      </c>
      <c r="BN85" s="0" t="str">
        <f aca="false">PROPER(IF(ISBLANK(BM85),"Not Mentioned",BM85))</f>
        <v>Yes</v>
      </c>
      <c r="BO85" s="0" t="s">
        <v>64</v>
      </c>
      <c r="BP85" s="0" t="str">
        <f aca="false">IF(ISBLANK(BO85),"One-Time Plan",BO85)</f>
        <v>Gold Maintenance Plan</v>
      </c>
      <c r="BQ85" s="0" t="s">
        <v>190</v>
      </c>
      <c r="BR85" s="0" t="str">
        <f aca="false">PROPER(IF(ISBLANK(BQ85),"No",BQ85))</f>
        <v>Yes</v>
      </c>
    </row>
    <row r="86" customFormat="false" ht="15" hidden="false" customHeight="false" outlineLevel="0" collapsed="false">
      <c r="A86" s="0" t="s">
        <v>356</v>
      </c>
      <c r="B86" s="2" t="n">
        <v>45818</v>
      </c>
      <c r="C86" s="2" t="str">
        <f aca="false">TEXT(B86,"dd/mm/yyyy")</f>
        <v>10/06/2025</v>
      </c>
      <c r="D86" s="0" t="s">
        <v>66</v>
      </c>
      <c r="E86" s="0" t="n">
        <v>8058034735</v>
      </c>
      <c r="F86" s="0" t="s">
        <v>139</v>
      </c>
      <c r="G86" s="0" t="s">
        <v>2323</v>
      </c>
      <c r="H86" s="0" t="s">
        <v>357</v>
      </c>
      <c r="I86" s="0" t="s">
        <v>87</v>
      </c>
      <c r="J86" s="0" t="s">
        <v>2322</v>
      </c>
      <c r="K86" s="3" t="str">
        <f aca="false" t="array" ref="K86:K86">IFERROR(IF(J86&lt;&gt;"",J86,INDEX(J86:J1085,MATCH(1,(F86:F1085=F86)*(I86:I1085=I86)*(L86:L1085=L86)*(J86:J1085&lt;&gt;""),0))),"Not Found")</f>
        <v>Brake Failure</v>
      </c>
      <c r="L86" s="3" t="s">
        <v>154</v>
      </c>
      <c r="M86" s="0" t="str">
        <f aca="false">PROPER(L86)</f>
        <v>Air Filter</v>
      </c>
      <c r="O86" s="0" t="e">
        <f aca="false" t="array" ref="O86:O86">IF(N86&lt;&gt;"",N86,_xlfn.xlookup(1,(L86:L1085=L86)*(N86:N1085&lt;&gt;""),N86:N1085,"Not Found"))</f>
        <v>#NAME?</v>
      </c>
      <c r="P86" s="4" t="n">
        <v>52854</v>
      </c>
      <c r="Q86" s="0" t="s">
        <v>124</v>
      </c>
      <c r="R86" s="0" t="str">
        <f aca="false">PROPER(Q86)</f>
        <v>Cash</v>
      </c>
      <c r="S86" s="0" t="s">
        <v>50</v>
      </c>
      <c r="T86" s="0" t="n">
        <v>1</v>
      </c>
      <c r="U86" s="5" t="n">
        <f aca="false">IF(ISBLANK(T86),AVERAGE(T86:T1085),T86)</f>
        <v>1</v>
      </c>
      <c r="V86" s="0" t="n">
        <v>3.8</v>
      </c>
      <c r="X86" s="0" t="str">
        <f aca="false">IF(ISBLANK(W86),"No remarks",W86)</f>
        <v>No remarks</v>
      </c>
      <c r="Y86" s="0" t="s">
        <v>52</v>
      </c>
      <c r="Z86" s="0" t="s">
        <v>159</v>
      </c>
      <c r="AA86" s="0" t="str">
        <f aca="false">PROPER(IF(ISBLANK(Z86),"Location Unavailable",Z86))</f>
        <v>Main Bay</v>
      </c>
      <c r="AB86" s="0" t="s">
        <v>95</v>
      </c>
      <c r="AC86" s="6" t="str">
        <f aca="false">PROPER(AB86)</f>
        <v>Road Sign</v>
      </c>
      <c r="AD86" s="6" t="n">
        <v>30</v>
      </c>
      <c r="AE86" s="5" t="n">
        <f aca="false">IF(ISBLANK(AD86),AVERAGEIF(L86:L1085,L86,AD86:AD1085),AD86)</f>
        <v>30</v>
      </c>
      <c r="AF86" s="0" t="s">
        <v>96</v>
      </c>
      <c r="AG86" s="0" t="str">
        <f aca="false">PROPER(AF86)</f>
        <v>Ordered</v>
      </c>
      <c r="AH86" s="0" t="s">
        <v>77</v>
      </c>
      <c r="AI86" s="0" t="s">
        <v>128</v>
      </c>
      <c r="AJ86" s="0" t="str">
        <f aca="false">PROPER(AI86)</f>
        <v>Normal</v>
      </c>
      <c r="AK86" s="0" t="s">
        <v>99</v>
      </c>
      <c r="AL86" s="0" t="str">
        <f aca="false">PROPER(AK86)</f>
        <v>Uber Driver</v>
      </c>
      <c r="AN86" s="0" t="str">
        <f aca="false">IF(ISBLANK(AM86),"Unknown",AM86)</f>
        <v>Unknown</v>
      </c>
      <c r="AO86" s="0" t="s">
        <v>79</v>
      </c>
      <c r="AP86" s="0" t="str">
        <f aca="false">IF(ISBLANK(AO86),"Unknown",AO86)</f>
        <v>Specialist</v>
      </c>
      <c r="AQ86" s="0" t="n">
        <v>30000</v>
      </c>
      <c r="AR86" s="5" t="n">
        <f aca="false">IF(ISBLANK(AQ86),AVERAGEIF(M86:M1085,M86,AQ86:AQ1085),AQ86)</f>
        <v>30000</v>
      </c>
      <c r="AS86" s="0" t="n">
        <v>35000</v>
      </c>
      <c r="AT86" s="5" t="n">
        <f aca="false">IF(ISBLANK(AS86),AVERAGE(AS86:AS1085),AS86)</f>
        <v>35000</v>
      </c>
      <c r="AU86" s="0" t="s">
        <v>61</v>
      </c>
      <c r="AV86" s="0" t="str">
        <f aca="false">PROPER(IF(ISBLANK(AU86),"No",AU86))</f>
        <v>No</v>
      </c>
      <c r="AW86" s="0" t="n">
        <v>10000</v>
      </c>
      <c r="AX86" s="5" t="n">
        <f aca="false">IF(ISBLANK(AW86),0,AW86)</f>
        <v>10000</v>
      </c>
      <c r="AY86" s="0" t="s">
        <v>60</v>
      </c>
      <c r="AZ86" s="0" t="str">
        <f aca="false">UPPER(IF(ISBLANK(AY86),"NONE",AY86))</f>
        <v>NONE</v>
      </c>
      <c r="BA86" s="7" t="n">
        <v>45847</v>
      </c>
      <c r="BB86" s="7" t="n">
        <f aca="false">IF(ISBLANK(BA86),"No Follow Up Needed",BA86)</f>
        <v>45847</v>
      </c>
      <c r="BD86" s="0" t="str">
        <f aca="false">PROPER(IF(ISBLANK(BC86),"Unknown",BC86))</f>
        <v>Unknown</v>
      </c>
      <c r="BF86" s="0" t="str">
        <f aca="false">IF(ISBLANK(BE86),"No comments",BE86)</f>
        <v>No comments</v>
      </c>
      <c r="BG86" s="0" t="s">
        <v>2320</v>
      </c>
      <c r="BH86" s="0" t="str">
        <f aca="false">IF(ISBLANK(BG86),"No comments",BG86)</f>
        <v>No complaints</v>
      </c>
      <c r="BI86" s="0" t="s">
        <v>50</v>
      </c>
      <c r="BJ86" s="0" t="str">
        <f aca="false">IF(ISBLANK(BI86),"Not Mentioned",BI86)</f>
        <v>No</v>
      </c>
      <c r="BK86" s="0" t="s">
        <v>50</v>
      </c>
      <c r="BL86" s="0" t="str">
        <f aca="false">PROPER(IF(ISBLANK(BK86),"Not Mentioned",BK86))</f>
        <v>No</v>
      </c>
      <c r="BM86" s="0" t="s">
        <v>63</v>
      </c>
      <c r="BN86" s="0" t="str">
        <f aca="false">PROPER(IF(ISBLANK(BM86),"Not Mentioned",BM86))</f>
        <v>Yes</v>
      </c>
      <c r="BO86" s="0" t="s">
        <v>2321</v>
      </c>
      <c r="BP86" s="0" t="str">
        <f aca="false">IF(ISBLANK(BO86),"One-Time Plan",BO86)</f>
        <v>One-Time Plan</v>
      </c>
      <c r="BQ86" s="0" t="s">
        <v>198</v>
      </c>
      <c r="BR86" s="0" t="str">
        <f aca="false">PROPER(IF(ISBLANK(BQ86),"No",BQ86))</f>
        <v>Followed Up</v>
      </c>
    </row>
    <row r="87" customFormat="false" ht="15" hidden="false" customHeight="false" outlineLevel="0" collapsed="false">
      <c r="A87" s="0" t="s">
        <v>358</v>
      </c>
      <c r="B87" s="2" t="n">
        <v>45665</v>
      </c>
      <c r="C87" s="2" t="str">
        <f aca="false">TEXT(B87,"dd/mm/yyyy")</f>
        <v>08/01/2025</v>
      </c>
      <c r="D87" s="0" t="s">
        <v>42</v>
      </c>
      <c r="E87" s="0" t="n">
        <v>8014028892</v>
      </c>
      <c r="F87" s="0" t="s">
        <v>43</v>
      </c>
      <c r="G87" s="0" t="s">
        <v>2315</v>
      </c>
      <c r="H87" s="0" t="s">
        <v>359</v>
      </c>
      <c r="I87" s="0" t="s">
        <v>134</v>
      </c>
      <c r="J87" s="0" t="s">
        <v>2317</v>
      </c>
      <c r="K87" s="3" t="str">
        <f aca="false" t="array" ref="K87:K87">IFERROR(IF(J87&lt;&gt;"",J87,INDEX(J87:J1086,MATCH(1,(F87:F1086=F87)*(I87:I1086=I87)*(L87:L1086=L87)*(J87:J1086&lt;&gt;""),0))),"Not Found")</f>
        <v>Suspension Noise</v>
      </c>
      <c r="L87" s="3" t="s">
        <v>142</v>
      </c>
      <c r="M87" s="0" t="str">
        <f aca="false">PROPER(L87)</f>
        <v>Oil Filter, Brake Pads</v>
      </c>
      <c r="N87" s="3" t="s">
        <v>48</v>
      </c>
      <c r="O87" s="0" t="str">
        <f aca="false" t="array" ref="O87:O87">IF(N87&lt;&gt;"",N87,_xlfn.xlookup(1,(L87:L1086=L87)*(N87:N1086&lt;&gt;""),N87:N1086,"Not Found"))</f>
        <v>Uche</v>
      </c>
      <c r="P87" s="4" t="n">
        <v>96146</v>
      </c>
      <c r="Q87" s="0" t="s">
        <v>49</v>
      </c>
      <c r="R87" s="0" t="str">
        <f aca="false">PROPER(Q87)</f>
        <v>Transfer</v>
      </c>
      <c r="S87" s="0" t="s">
        <v>50</v>
      </c>
      <c r="T87" s="0" t="n">
        <v>1</v>
      </c>
      <c r="U87" s="5" t="n">
        <f aca="false">IF(ISBLANK(T87),AVERAGE(T87:T1086),T87)</f>
        <v>1</v>
      </c>
      <c r="V87" s="0" t="n">
        <v>4.8</v>
      </c>
      <c r="W87" s="0" t="s">
        <v>111</v>
      </c>
      <c r="X87" s="0" t="str">
        <f aca="false">IF(ISBLANK(W87),"No remarks",W87)</f>
        <v>Changed all filters</v>
      </c>
      <c r="Y87" s="0" t="s">
        <v>73</v>
      </c>
      <c r="Z87" s="0" t="s">
        <v>74</v>
      </c>
      <c r="AA87" s="0" t="str">
        <f aca="false">PROPER(IF(ISBLANK(Z87),"Location Unavailable",Z87))</f>
        <v>Under Tree</v>
      </c>
      <c r="AB87" s="0" t="s">
        <v>95</v>
      </c>
      <c r="AC87" s="6" t="str">
        <f aca="false">PROPER(AB87)</f>
        <v>Road Sign</v>
      </c>
      <c r="AD87" s="6" t="n">
        <v>15</v>
      </c>
      <c r="AE87" s="5" t="n">
        <f aca="false">IF(ISBLANK(AD87),AVERAGEIF(L87:L1086,L87,AD87:AD1086),AD87)</f>
        <v>15</v>
      </c>
      <c r="AF87" s="0" t="s">
        <v>76</v>
      </c>
      <c r="AG87" s="0" t="str">
        <f aca="false">PROPER(AF87)</f>
        <v>Orderd</v>
      </c>
      <c r="AH87" s="0" t="s">
        <v>56</v>
      </c>
      <c r="AI87" s="0" t="s">
        <v>78</v>
      </c>
      <c r="AJ87" s="0" t="str">
        <f aca="false">PROPER(AI87)</f>
        <v>Booking</v>
      </c>
      <c r="AK87" s="0" t="s">
        <v>196</v>
      </c>
      <c r="AL87" s="0" t="str">
        <f aca="false">PROPER(AK87)</f>
        <v>First Time</v>
      </c>
      <c r="AM87" s="0" t="s">
        <v>2326</v>
      </c>
      <c r="AN87" s="0" t="str">
        <f aca="false">IF(ISBLANK(AM87),"Unknown",AM87)</f>
        <v>Government Convoy</v>
      </c>
      <c r="AO87" s="0" t="s">
        <v>149</v>
      </c>
      <c r="AP87" s="0" t="str">
        <f aca="false">IF(ISBLANK(AO87),"Unknown",AO87)</f>
        <v>Senior </v>
      </c>
      <c r="AQ87" s="0" t="n">
        <v>15000</v>
      </c>
      <c r="AR87" s="5" t="n">
        <f aca="false">IF(ISBLANK(AQ87),AVERAGEIF(M87:M1086,M87,AQ87:AQ1086),AQ87)</f>
        <v>15000</v>
      </c>
      <c r="AS87" s="0" t="n">
        <v>20000</v>
      </c>
      <c r="AT87" s="5" t="n">
        <f aca="false">IF(ISBLANK(AS87),AVERAGE(AS87:AS1086),AS87)</f>
        <v>20000</v>
      </c>
      <c r="AU87" s="0" t="s">
        <v>82</v>
      </c>
      <c r="AV87" s="0" t="str">
        <f aca="false">PROPER(IF(ISBLANK(AU87),"No",AU87))</f>
        <v>Yes</v>
      </c>
      <c r="AW87" s="0" t="n">
        <v>10000</v>
      </c>
      <c r="AX87" s="5" t="n">
        <f aca="false">IF(ISBLANK(AW87),0,AW87)</f>
        <v>10000</v>
      </c>
      <c r="AY87" s="0" t="s">
        <v>80</v>
      </c>
      <c r="AZ87" s="0" t="str">
        <f aca="false">UPPER(IF(ISBLANK(AY87),"NONE",AY87))</f>
        <v>PROMO10</v>
      </c>
      <c r="BA87" s="7" t="s">
        <v>360</v>
      </c>
      <c r="BB87" s="7" t="str">
        <f aca="false">IF(ISBLANK(BA87),"No Follow Up Needed",BA87)</f>
        <v>23/08/2025</v>
      </c>
      <c r="BC87" s="0" t="s">
        <v>82</v>
      </c>
      <c r="BD87" s="0" t="str">
        <f aca="false">PROPER(IF(ISBLANK(BC87),"Unknown",BC87))</f>
        <v>Yes</v>
      </c>
      <c r="BE87" s="0" t="s">
        <v>116</v>
      </c>
      <c r="BF87" s="0" t="str">
        <f aca="false">IF(ISBLANK(BE87),"No comments",BE87)</f>
        <v>Needs tire alignment</v>
      </c>
      <c r="BG87" s="0" t="s">
        <v>2320</v>
      </c>
      <c r="BH87" s="0" t="str">
        <f aca="false">IF(ISBLANK(BG87),"No comments",BG87)</f>
        <v>No complaints</v>
      </c>
      <c r="BI87" s="0" t="s">
        <v>50</v>
      </c>
      <c r="BJ87" s="0" t="str">
        <f aca="false">IF(ISBLANK(BI87),"Not Mentioned",BI87)</f>
        <v>No</v>
      </c>
      <c r="BL87" s="0" t="str">
        <f aca="false">PROPER(IF(ISBLANK(BK87),"Not Mentioned",BK87))</f>
        <v>Not Mentioned</v>
      </c>
      <c r="BN87" s="0" t="str">
        <f aca="false">PROPER(IF(ISBLANK(BM87),"Not Mentioned",BM87))</f>
        <v>Not Mentioned</v>
      </c>
      <c r="BO87" s="0" t="s">
        <v>2321</v>
      </c>
      <c r="BP87" s="0" t="str">
        <f aca="false">IF(ISBLANK(BO87),"One-Time Plan",BO87)</f>
        <v>One-Time Plan</v>
      </c>
      <c r="BQ87" s="0" t="s">
        <v>190</v>
      </c>
      <c r="BR87" s="0" t="str">
        <f aca="false">PROPER(IF(ISBLANK(BQ87),"No",BQ87))</f>
        <v>Yes</v>
      </c>
    </row>
    <row r="88" customFormat="false" ht="15" hidden="false" customHeight="false" outlineLevel="0" collapsed="false">
      <c r="A88" s="0" t="s">
        <v>361</v>
      </c>
      <c r="B88" s="2" t="n">
        <v>45806</v>
      </c>
      <c r="C88" s="2" t="str">
        <f aca="false">TEXT(B88,"dd/mm/yyyy")</f>
        <v>29/05/2025</v>
      </c>
      <c r="D88" s="0" t="s">
        <v>163</v>
      </c>
      <c r="E88" s="0" t="n">
        <v>8084449447</v>
      </c>
      <c r="F88" s="0" t="s">
        <v>139</v>
      </c>
      <c r="G88" s="0" t="s">
        <v>2323</v>
      </c>
      <c r="H88" s="0" t="s">
        <v>362</v>
      </c>
      <c r="I88" s="0" t="s">
        <v>69</v>
      </c>
      <c r="J88" s="0" t="s">
        <v>2325</v>
      </c>
      <c r="K88" s="3" t="str">
        <f aca="false" t="array" ref="K88:K88">IFERROR(IF(J88&lt;&gt;"",J88,INDEX(J88:J1087,MATCH(1,(F88:F1087=F88)*(I88:I1087=I88)*(L88:L1087=L88)*(J88:J1087&lt;&gt;""),0))),"Not Found")</f>
        <v>Engine Knocking</v>
      </c>
      <c r="L88" s="3" t="s">
        <v>89</v>
      </c>
      <c r="M88" s="0" t="str">
        <f aca="false">PROPER(L88)</f>
        <v>Shock Absorbers</v>
      </c>
      <c r="N88" s="3" t="s">
        <v>71</v>
      </c>
      <c r="O88" s="0" t="str">
        <f aca="false" t="array" ref="O88:O88">IF(N88&lt;&gt;"",N88,_xlfn.xlookup(1,(L88:L1087=L88)*(N88:N1087&lt;&gt;""),N88:N1087,"Not Found"))</f>
        <v>Isaac Bobo</v>
      </c>
      <c r="P88" s="4" t="n">
        <v>86700</v>
      </c>
      <c r="Q88" s="0" t="s">
        <v>91</v>
      </c>
      <c r="R88" s="0" t="str">
        <f aca="false">PROPER(Q88)</f>
        <v>Pos</v>
      </c>
      <c r="S88" s="0" t="s">
        <v>63</v>
      </c>
      <c r="T88" s="0" t="n">
        <v>5</v>
      </c>
      <c r="U88" s="5" t="n">
        <f aca="false">IF(ISBLANK(T88),AVERAGE(T88:T1087),T88)</f>
        <v>5</v>
      </c>
      <c r="V88" s="0" t="n">
        <v>2</v>
      </c>
      <c r="W88" s="0" t="s">
        <v>51</v>
      </c>
      <c r="X88" s="0" t="str">
        <f aca="false">IF(ISBLANK(W88),"No remarks",W88)</f>
        <v>Recommended further checks</v>
      </c>
      <c r="Y88" s="0" t="s">
        <v>52</v>
      </c>
      <c r="Z88" s="0" t="s">
        <v>94</v>
      </c>
      <c r="AA88" s="0" t="str">
        <f aca="false">PROPER(IF(ISBLANK(Z88),"Location Unavailable",Z88))</f>
        <v>Vip Section</v>
      </c>
      <c r="AB88" s="0" t="s">
        <v>54</v>
      </c>
      <c r="AC88" s="6" t="str">
        <f aca="false">PROPER(AB88)</f>
        <v>Mechanic Referral</v>
      </c>
      <c r="AD88" s="6" t="n">
        <v>15</v>
      </c>
      <c r="AE88" s="5" t="n">
        <f aca="false">IF(ISBLANK(AD88),AVERAGEIF(L88:L1087,L88,AD88:AD1087),AD88)</f>
        <v>15</v>
      </c>
      <c r="AF88" s="0" t="s">
        <v>55</v>
      </c>
      <c r="AG88" s="0" t="str">
        <f aca="false">PROPER(AF88)</f>
        <v>Available</v>
      </c>
      <c r="AH88" s="0" t="s">
        <v>148</v>
      </c>
      <c r="AI88" s="0" t="s">
        <v>98</v>
      </c>
      <c r="AJ88" s="0" t="str">
        <f aca="false">PROPER(AI88)</f>
        <v>Emergency</v>
      </c>
      <c r="AK88" s="0" t="s">
        <v>196</v>
      </c>
      <c r="AL88" s="0" t="str">
        <f aca="false">PROPER(AK88)</f>
        <v>First Time</v>
      </c>
      <c r="AM88" s="0" t="s">
        <v>177</v>
      </c>
      <c r="AN88" s="0" t="str">
        <f aca="false">IF(ISBLANK(AM88),"Unknown",AM88)</f>
        <v>Private</v>
      </c>
      <c r="AP88" s="0" t="str">
        <f aca="false">IF(ISBLANK(AO88),"Unknown",AO88)</f>
        <v>Unknown</v>
      </c>
      <c r="AQ88" s="0" t="n">
        <v>25000</v>
      </c>
      <c r="AR88" s="5" t="n">
        <f aca="false">IF(ISBLANK(AQ88),AVERAGEIF(M88:M1087,M88,AQ88:AQ1087),AQ88)</f>
        <v>25000</v>
      </c>
      <c r="AS88" s="0" t="n">
        <v>40000</v>
      </c>
      <c r="AT88" s="5" t="n">
        <f aca="false">IF(ISBLANK(AS88),AVERAGE(AS88:AS1087),AS88)</f>
        <v>40000</v>
      </c>
      <c r="AU88" s="0" t="s">
        <v>63</v>
      </c>
      <c r="AV88" s="0" t="str">
        <f aca="false">PROPER(IF(ISBLANK(AU88),"No",AU88))</f>
        <v>Yes</v>
      </c>
      <c r="AX88" s="5" t="n">
        <f aca="false">IF(ISBLANK(AW88),0,AW88)</f>
        <v>0</v>
      </c>
      <c r="AY88" s="0" t="s">
        <v>80</v>
      </c>
      <c r="AZ88" s="0" t="str">
        <f aca="false">UPPER(IF(ISBLANK(AY88),"NONE",AY88))</f>
        <v>PROMO10</v>
      </c>
      <c r="BA88" s="7" t="n">
        <v>45838</v>
      </c>
      <c r="BB88" s="7" t="n">
        <f aca="false">IF(ISBLANK(BA88),"No Follow Up Needed",BA88)</f>
        <v>45838</v>
      </c>
      <c r="BC88" s="0" t="s">
        <v>63</v>
      </c>
      <c r="BD88" s="0" t="str">
        <f aca="false">PROPER(IF(ISBLANK(BC88),"Unknown",BC88))</f>
        <v>Yes</v>
      </c>
      <c r="BF88" s="0" t="str">
        <f aca="false">IF(ISBLANK(BE88),"No comments",BE88)</f>
        <v>No comments</v>
      </c>
      <c r="BG88" s="0" t="s">
        <v>2320</v>
      </c>
      <c r="BH88" s="0" t="str">
        <f aca="false">IF(ISBLANK(BG88),"No comments",BG88)</f>
        <v>No complaints</v>
      </c>
      <c r="BI88" s="0" t="s">
        <v>50</v>
      </c>
      <c r="BJ88" s="0" t="str">
        <f aca="false">IF(ISBLANK(BI88),"Not Mentioned",BI88)</f>
        <v>No</v>
      </c>
      <c r="BK88" s="0" t="s">
        <v>50</v>
      </c>
      <c r="BL88" s="0" t="str">
        <f aca="false">PROPER(IF(ISBLANK(BK88),"Not Mentioned",BK88))</f>
        <v>No</v>
      </c>
      <c r="BN88" s="0" t="str">
        <f aca="false">PROPER(IF(ISBLANK(BM88),"Not Mentioned",BM88))</f>
        <v>Not Mentioned</v>
      </c>
      <c r="BO88" s="0" t="s">
        <v>2318</v>
      </c>
      <c r="BP88" s="0" t="str">
        <f aca="false">IF(ISBLANK(BO88),"One-Time Plan",BO88)</f>
        <v>Gold</v>
      </c>
      <c r="BQ88" s="0" t="s">
        <v>198</v>
      </c>
      <c r="BR88" s="0" t="str">
        <f aca="false">PROPER(IF(ISBLANK(BQ88),"No",BQ88))</f>
        <v>Followed Up</v>
      </c>
    </row>
    <row r="89" customFormat="false" ht="15" hidden="false" customHeight="false" outlineLevel="0" collapsed="false">
      <c r="A89" s="0" t="s">
        <v>363</v>
      </c>
      <c r="B89" s="2" t="n">
        <v>45724</v>
      </c>
      <c r="C89" s="2" t="str">
        <f aca="false">TEXT(B89,"dd/mm/yyyy")</f>
        <v>08/03/2025</v>
      </c>
      <c r="D89" s="0" t="s">
        <v>121</v>
      </c>
      <c r="E89" s="0" t="n">
        <v>8025460445</v>
      </c>
      <c r="F89" s="0" t="s">
        <v>139</v>
      </c>
      <c r="G89" s="0" t="s">
        <v>2323</v>
      </c>
      <c r="H89" s="0" t="s">
        <v>364</v>
      </c>
      <c r="I89" s="0" t="s">
        <v>45</v>
      </c>
      <c r="J89" s="0" t="s">
        <v>87</v>
      </c>
      <c r="K89" s="3" t="str">
        <f aca="false" t="array" ref="K89:K89">IFERROR(IF(J89&lt;&gt;"",J89,INDEX(J89:J1088,MATCH(1,(F89:F1088=F89)*(I89:I1088=I89)*(L89:L1088=L89)*(J89:J1088&lt;&gt;""),0))),"Not Found")</f>
        <v>Oil Change</v>
      </c>
      <c r="L89" s="3" t="s">
        <v>47</v>
      </c>
      <c r="M89" s="0" t="str">
        <f aca="false">PROPER(L89)</f>
        <v>None</v>
      </c>
      <c r="O89" s="0" t="e">
        <f aca="false" t="array" ref="O89:O89">IF(N89&lt;&gt;"",N89,_xlfn.xlookup(1,(L89:L1088=L89)*(N89:N1088&lt;&gt;""),N89:N1088,"Not Found"))</f>
        <v>#NAME?</v>
      </c>
      <c r="P89" s="4" t="n">
        <v>19877</v>
      </c>
      <c r="Q89" s="0" t="s">
        <v>110</v>
      </c>
      <c r="R89" s="0" t="str">
        <f aca="false">PROPER(Q89)</f>
        <v>Cash</v>
      </c>
      <c r="S89" s="0" t="s">
        <v>63</v>
      </c>
      <c r="T89" s="0" t="n">
        <v>4</v>
      </c>
      <c r="U89" s="5" t="n">
        <f aca="false">IF(ISBLANK(T89),AVERAGE(T89:T1088),T89)</f>
        <v>4</v>
      </c>
      <c r="V89" s="0" t="n">
        <v>3.2</v>
      </c>
      <c r="W89" s="0" t="s">
        <v>125</v>
      </c>
      <c r="X89" s="0" t="str">
        <f aca="false">IF(ISBLANK(W89),"No remarks",W89)</f>
        <v>Customer waited</v>
      </c>
      <c r="Y89" s="0" t="s">
        <v>73</v>
      </c>
      <c r="AA89" s="0" t="str">
        <f aca="false">PROPER(IF(ISBLANK(Z89),"Location Unavailable",Z89))</f>
        <v>Location Unavailable</v>
      </c>
      <c r="AB89" s="0" t="s">
        <v>75</v>
      </c>
      <c r="AC89" s="6" t="str">
        <f aca="false">PROPER(AB89)</f>
        <v>Mechanik Referal</v>
      </c>
      <c r="AE89" s="5" t="n">
        <f aca="false">IF(ISBLANK(AD89),AVERAGEIF(L89:L1088,L89,AD89:AD1088),AD89)</f>
        <v>37.375</v>
      </c>
      <c r="AF89" s="0" t="s">
        <v>76</v>
      </c>
      <c r="AG89" s="0" t="str">
        <f aca="false">PROPER(AF89)</f>
        <v>Orderd</v>
      </c>
      <c r="AH89" s="0" t="s">
        <v>155</v>
      </c>
      <c r="AI89" s="0" t="s">
        <v>128</v>
      </c>
      <c r="AJ89" s="0" t="str">
        <f aca="false">PROPER(AI89)</f>
        <v>Normal</v>
      </c>
      <c r="AK89" s="0" t="s">
        <v>58</v>
      </c>
      <c r="AL89" s="0" t="str">
        <f aca="false">PROPER(AK89)</f>
        <v>Fleet Owner</v>
      </c>
      <c r="AN89" s="0" t="str">
        <f aca="false">IF(ISBLANK(AM89),"Unknown",AM89)</f>
        <v>Unknown</v>
      </c>
      <c r="AO89" s="0" t="s">
        <v>143</v>
      </c>
      <c r="AP89" s="0" t="str">
        <f aca="false">IF(ISBLANK(AO89),"Unknown",AO89)</f>
        <v>Senior</v>
      </c>
      <c r="AQ89" s="0" t="n">
        <v>20000</v>
      </c>
      <c r="AR89" s="5" t="n">
        <f aca="false">IF(ISBLANK(AQ89),AVERAGEIF(M89:M1088,M89,AQ89:AQ1088),AQ89)</f>
        <v>20000</v>
      </c>
      <c r="AS89" s="0" t="n">
        <v>30000</v>
      </c>
      <c r="AT89" s="5" t="n">
        <f aca="false">IF(ISBLANK(AS89),AVERAGE(AS89:AS1088),AS89)</f>
        <v>30000</v>
      </c>
      <c r="AU89" s="0" t="s">
        <v>82</v>
      </c>
      <c r="AV89" s="0" t="str">
        <f aca="false">PROPER(IF(ISBLANK(AU89),"No",AU89))</f>
        <v>Yes</v>
      </c>
      <c r="AW89" s="0" t="n">
        <v>5000</v>
      </c>
      <c r="AX89" s="5" t="n">
        <f aca="false">IF(ISBLANK(AW89),0,AW89)</f>
        <v>5000</v>
      </c>
      <c r="AY89" s="0" t="s">
        <v>80</v>
      </c>
      <c r="AZ89" s="0" t="str">
        <f aca="false">UPPER(IF(ISBLANK(AY89),"NONE",AY89))</f>
        <v>PROMO10</v>
      </c>
      <c r="BB89" s="7" t="str">
        <f aca="false">IF(ISBLANK(BA89),"No Follow Up Needed",BA89)</f>
        <v>No Follow Up Needed</v>
      </c>
      <c r="BC89" s="0" t="s">
        <v>82</v>
      </c>
      <c r="BD89" s="0" t="str">
        <f aca="false">PROPER(IF(ISBLANK(BC89),"Unknown",BC89))</f>
        <v>Yes</v>
      </c>
      <c r="BE89" s="0" t="s">
        <v>116</v>
      </c>
      <c r="BF89" s="0" t="str">
        <f aca="false">IF(ISBLANK(BE89),"No comments",BE89)</f>
        <v>Needs tire alignment</v>
      </c>
      <c r="BG89" s="0" t="s">
        <v>2320</v>
      </c>
      <c r="BH89" s="0" t="str">
        <f aca="false">IF(ISBLANK(BG89),"No comments",BG89)</f>
        <v>No complaints</v>
      </c>
      <c r="BI89" s="0" t="s">
        <v>50</v>
      </c>
      <c r="BJ89" s="0" t="str">
        <f aca="false">IF(ISBLANK(BI89),"Not Mentioned",BI89)</f>
        <v>No</v>
      </c>
      <c r="BL89" s="0" t="str">
        <f aca="false">PROPER(IF(ISBLANK(BK89),"Not Mentioned",BK89))</f>
        <v>Not Mentioned</v>
      </c>
      <c r="BN89" s="0" t="str">
        <f aca="false">PROPER(IF(ISBLANK(BM89),"Not Mentioned",BM89))</f>
        <v>Not Mentioned</v>
      </c>
      <c r="BO89" s="0" t="s">
        <v>2321</v>
      </c>
      <c r="BP89" s="0" t="str">
        <f aca="false">IF(ISBLANK(BO89),"One-Time Plan",BO89)</f>
        <v>One-Time Plan</v>
      </c>
      <c r="BQ89" s="0" t="s">
        <v>190</v>
      </c>
      <c r="BR89" s="0" t="str">
        <f aca="false">PROPER(IF(ISBLANK(BQ89),"No",BQ89))</f>
        <v>Yes</v>
      </c>
    </row>
    <row r="90" customFormat="false" ht="15" hidden="false" customHeight="false" outlineLevel="0" collapsed="false">
      <c r="A90" s="0" t="s">
        <v>365</v>
      </c>
      <c r="B90" s="2" t="n">
        <v>45662</v>
      </c>
      <c r="C90" s="2" t="str">
        <f aca="false">TEXT(B90,"dd/mm/yyyy")</f>
        <v>05/01/2025</v>
      </c>
      <c r="D90" s="0" t="s">
        <v>66</v>
      </c>
      <c r="E90" s="0" t="n">
        <v>8029112869</v>
      </c>
      <c r="F90" s="0" t="s">
        <v>43</v>
      </c>
      <c r="G90" s="0" t="s">
        <v>2315</v>
      </c>
      <c r="H90" s="0" t="s">
        <v>366</v>
      </c>
      <c r="I90" s="0" t="s">
        <v>69</v>
      </c>
      <c r="J90" s="0" t="s">
        <v>2317</v>
      </c>
      <c r="K90" s="3" t="str">
        <f aca="false" t="array" ref="K90:K90">IFERROR(IF(J90&lt;&gt;"",J90,INDEX(J90:J1089,MATCH(1,(F90:F1089=F90)*(I90:I1089=I90)*(L90:L1089=L90)*(J90:J1089&lt;&gt;""),0))),"Not Found")</f>
        <v>Suspension Noise</v>
      </c>
      <c r="L90" s="3" t="s">
        <v>142</v>
      </c>
      <c r="M90" s="0" t="str">
        <f aca="false">PROPER(L90)</f>
        <v>Oil Filter, Brake Pads</v>
      </c>
      <c r="N90" s="3" t="s">
        <v>48</v>
      </c>
      <c r="O90" s="0" t="str">
        <f aca="false" t="array" ref="O90:O90">IF(N90&lt;&gt;"",N90,_xlfn.xlookup(1,(L90:L1089=L90)*(N90:N1089&lt;&gt;""),N90:N1089,"Not Found"))</f>
        <v>Uche</v>
      </c>
      <c r="P90" s="4" t="n">
        <v>93932</v>
      </c>
      <c r="Q90" s="0" t="s">
        <v>72</v>
      </c>
      <c r="R90" s="0" t="str">
        <f aca="false">PROPER(Q90)</f>
        <v>Pos</v>
      </c>
      <c r="S90" s="0" t="s">
        <v>50</v>
      </c>
      <c r="T90" s="0" t="n">
        <v>2</v>
      </c>
      <c r="U90" s="5" t="n">
        <f aca="false">IF(ISBLANK(T90),AVERAGE(T90:T1089),T90)</f>
        <v>2</v>
      </c>
      <c r="V90" s="0" t="n">
        <v>3.7</v>
      </c>
      <c r="W90" s="0" t="s">
        <v>111</v>
      </c>
      <c r="X90" s="0" t="str">
        <f aca="false">IF(ISBLANK(W90),"No remarks",W90)</f>
        <v>Changed all filters</v>
      </c>
      <c r="Y90" s="0" t="s">
        <v>93</v>
      </c>
      <c r="Z90" s="0" t="s">
        <v>53</v>
      </c>
      <c r="AA90" s="0" t="str">
        <f aca="false">PROPER(IF(ISBLANK(Z90),"Location Unavailable",Z90))</f>
        <v>Main Bay</v>
      </c>
      <c r="AB90" s="0" t="s">
        <v>54</v>
      </c>
      <c r="AC90" s="6" t="str">
        <f aca="false">PROPER(AB90)</f>
        <v>Mechanic Referral</v>
      </c>
      <c r="AE90" s="5" t="n">
        <f aca="false">IF(ISBLANK(AD90),AVERAGEIF(L90:L1089,L90,AD90:AD1089),AD90)</f>
        <v>38.6785714285714</v>
      </c>
      <c r="AF90" s="0" t="s">
        <v>96</v>
      </c>
      <c r="AG90" s="0" t="str">
        <f aca="false">PROPER(AF90)</f>
        <v>Ordered</v>
      </c>
      <c r="AH90" s="0" t="s">
        <v>148</v>
      </c>
      <c r="AI90" s="0" t="s">
        <v>78</v>
      </c>
      <c r="AJ90" s="0" t="str">
        <f aca="false">PROPER(AI90)</f>
        <v>Booking</v>
      </c>
      <c r="AK90" s="0" t="s">
        <v>196</v>
      </c>
      <c r="AL90" s="0" t="str">
        <f aca="false">PROPER(AK90)</f>
        <v>First Time</v>
      </c>
      <c r="AM90" s="0" t="s">
        <v>59</v>
      </c>
      <c r="AN90" s="0" t="str">
        <f aca="false">IF(ISBLANK(AM90),"Unknown",AM90)</f>
        <v>Bolt Driver</v>
      </c>
      <c r="AO90" s="0" t="s">
        <v>161</v>
      </c>
      <c r="AP90" s="0" t="str">
        <f aca="false">IF(ISBLANK(AO90),"Unknown",AO90)</f>
        <v>Apprentice</v>
      </c>
      <c r="AQ90" s="0" t="n">
        <v>40000</v>
      </c>
      <c r="AR90" s="5" t="n">
        <f aca="false">IF(ISBLANK(AQ90),AVERAGEIF(M90:M1089,M90,AQ90:AQ1089),AQ90)</f>
        <v>40000</v>
      </c>
      <c r="AS90" s="0" t="n">
        <v>20000</v>
      </c>
      <c r="AT90" s="5" t="n">
        <f aca="false">IF(ISBLANK(AS90),AVERAGE(AS90:AS1089),AS90)</f>
        <v>20000</v>
      </c>
      <c r="AU90" s="0" t="s">
        <v>63</v>
      </c>
      <c r="AV90" s="0" t="str">
        <f aca="false">PROPER(IF(ISBLANK(AU90),"No",AU90))</f>
        <v>Yes</v>
      </c>
      <c r="AX90" s="5" t="n">
        <f aca="false">IF(ISBLANK(AW90),0,AW90)</f>
        <v>0</v>
      </c>
      <c r="AY90" s="0" t="s">
        <v>80</v>
      </c>
      <c r="AZ90" s="0" t="str">
        <f aca="false">UPPER(IF(ISBLANK(AY90),"NONE",AY90))</f>
        <v>PROMO10</v>
      </c>
      <c r="BB90" s="7" t="str">
        <f aca="false">IF(ISBLANK(BA90),"No Follow Up Needed",BA90)</f>
        <v>No Follow Up Needed</v>
      </c>
      <c r="BC90" s="0" t="s">
        <v>50</v>
      </c>
      <c r="BD90" s="0" t="str">
        <f aca="false">PROPER(IF(ISBLANK(BC90),"Unknown",BC90))</f>
        <v>No</v>
      </c>
      <c r="BF90" s="0" t="str">
        <f aca="false">IF(ISBLANK(BE90),"No comments",BE90)</f>
        <v>No comments</v>
      </c>
      <c r="BG90" s="0" t="s">
        <v>117</v>
      </c>
      <c r="BH90" s="0" t="str">
        <f aca="false">IF(ISBLANK(BG90),"No comments",BG90)</f>
        <v>Prefers morning</v>
      </c>
      <c r="BI90" s="0" t="s">
        <v>63</v>
      </c>
      <c r="BJ90" s="0" t="str">
        <f aca="false">IF(ISBLANK(BI90),"Not Mentioned",BI90)</f>
        <v>Yes</v>
      </c>
      <c r="BK90" s="0" t="s">
        <v>50</v>
      </c>
      <c r="BL90" s="0" t="str">
        <f aca="false">PROPER(IF(ISBLANK(BK90),"Not Mentioned",BK90))</f>
        <v>No</v>
      </c>
      <c r="BN90" s="0" t="str">
        <f aca="false">PROPER(IF(ISBLANK(BM90),"Not Mentioned",BM90))</f>
        <v>Not Mentioned</v>
      </c>
      <c r="BO90" s="0" t="s">
        <v>2321</v>
      </c>
      <c r="BP90" s="0" t="str">
        <f aca="false">IF(ISBLANK(BO90),"One-Time Plan",BO90)</f>
        <v>One-Time Plan</v>
      </c>
      <c r="BQ90" s="0" t="s">
        <v>50</v>
      </c>
      <c r="BR90" s="0" t="str">
        <f aca="false">PROPER(IF(ISBLANK(BQ90),"No",BQ90))</f>
        <v>No</v>
      </c>
    </row>
    <row r="91" customFormat="false" ht="15" hidden="false" customHeight="false" outlineLevel="0" collapsed="false">
      <c r="A91" s="0" t="s">
        <v>367</v>
      </c>
      <c r="B91" s="2" t="n">
        <v>45808</v>
      </c>
      <c r="C91" s="2" t="str">
        <f aca="false">TEXT(B91,"dd/mm/yyyy")</f>
        <v>31/05/2025</v>
      </c>
      <c r="D91" s="0" t="s">
        <v>163</v>
      </c>
      <c r="E91" s="0" t="n">
        <v>8049000479</v>
      </c>
      <c r="F91" s="0" t="s">
        <v>139</v>
      </c>
      <c r="G91" s="0" t="s">
        <v>2323</v>
      </c>
      <c r="H91" s="0" t="s">
        <v>368</v>
      </c>
      <c r="I91" s="0" t="s">
        <v>45</v>
      </c>
      <c r="K91" s="3" t="str">
        <f aca="false" t="array" ref="K91:K91">IFERROR(IF(J91&lt;&gt;"",J91,INDEX(J91:J1090,MATCH(1,(F91:F1090=F91)*(I91:I1090=I91)*(L91:L1090=L91)*(J91:J1090&lt;&gt;""),0))),"Not Found")</f>
        <v>Brake Failure</v>
      </c>
      <c r="L91" s="3" t="s">
        <v>108</v>
      </c>
      <c r="M91" s="0" t="str">
        <f aca="false">PROPER(L91)</f>
        <v>Timing Belt</v>
      </c>
      <c r="N91" s="3" t="s">
        <v>109</v>
      </c>
      <c r="O91" s="0" t="str">
        <f aca="false" t="array" ref="O91:O91">IF(N91&lt;&gt;"",N91,_xlfn.xlookup(1,(L91:L1090=L91)*(N91:N1090&lt;&gt;""),N91:N1090,"Not Found"))</f>
        <v>Tijani</v>
      </c>
      <c r="P91" s="4" t="n">
        <v>49740</v>
      </c>
      <c r="Q91" s="0" t="s">
        <v>110</v>
      </c>
      <c r="R91" s="0" t="str">
        <f aca="false">PROPER(Q91)</f>
        <v>Cash</v>
      </c>
      <c r="S91" s="0" t="s">
        <v>50</v>
      </c>
      <c r="T91" s="0" t="n">
        <v>1</v>
      </c>
      <c r="U91" s="5" t="n">
        <f aca="false">IF(ISBLANK(T91),AVERAGE(T91:T1090),T91)</f>
        <v>1</v>
      </c>
      <c r="V91" s="0" t="n">
        <v>5.2</v>
      </c>
      <c r="W91" s="0" t="s">
        <v>111</v>
      </c>
      <c r="X91" s="0" t="str">
        <f aca="false">IF(ISBLANK(W91),"No remarks",W91)</f>
        <v>Changed all filters</v>
      </c>
      <c r="Y91" s="0" t="s">
        <v>93</v>
      </c>
      <c r="Z91" s="0" t="s">
        <v>74</v>
      </c>
      <c r="AA91" s="0" t="str">
        <f aca="false">PROPER(IF(ISBLANK(Z91),"Location Unavailable",Z91))</f>
        <v>Under Tree</v>
      </c>
      <c r="AB91" s="0" t="s">
        <v>167</v>
      </c>
      <c r="AC91" s="6" t="str">
        <f aca="false">PROPER(AB91)</f>
        <v>Word Of Mouth</v>
      </c>
      <c r="AD91" s="6" t="n">
        <v>30</v>
      </c>
      <c r="AE91" s="5" t="n">
        <f aca="false">IF(ISBLANK(AD91),AVERAGEIF(L91:L1090,L91,AD91:AD1090),AD91)</f>
        <v>30</v>
      </c>
      <c r="AF91" s="0" t="s">
        <v>96</v>
      </c>
      <c r="AG91" s="0" t="str">
        <f aca="false">PROPER(AF91)</f>
        <v>Ordered</v>
      </c>
      <c r="AH91" s="0" t="s">
        <v>155</v>
      </c>
      <c r="AI91" s="0" t="s">
        <v>128</v>
      </c>
      <c r="AJ91" s="0" t="str">
        <f aca="false">PROPER(AI91)</f>
        <v>Normal</v>
      </c>
      <c r="AK91" s="0" t="s">
        <v>196</v>
      </c>
      <c r="AL91" s="0" t="str">
        <f aca="false">PROPER(AK91)</f>
        <v>First Time</v>
      </c>
      <c r="AM91" s="0" t="s">
        <v>177</v>
      </c>
      <c r="AN91" s="0" t="str">
        <f aca="false">IF(ISBLANK(AM91),"Unknown",AM91)</f>
        <v>Private</v>
      </c>
      <c r="AO91" s="0" t="s">
        <v>161</v>
      </c>
      <c r="AP91" s="0" t="str">
        <f aca="false">IF(ISBLANK(AO91),"Unknown",AO91)</f>
        <v>Apprentice</v>
      </c>
      <c r="AQ91" s="0" t="n">
        <v>40000</v>
      </c>
      <c r="AR91" s="5" t="n">
        <f aca="false">IF(ISBLANK(AQ91),AVERAGEIF(M91:M1090,M91,AQ91:AQ1090),AQ91)</f>
        <v>40000</v>
      </c>
      <c r="AS91" s="0" t="n">
        <v>35000</v>
      </c>
      <c r="AT91" s="5" t="n">
        <f aca="false">IF(ISBLANK(AS91),AVERAGE(AS91:AS1090),AS91)</f>
        <v>35000</v>
      </c>
      <c r="AU91" s="0" t="s">
        <v>61</v>
      </c>
      <c r="AV91" s="0" t="str">
        <f aca="false">PROPER(IF(ISBLANK(AU91),"No",AU91))</f>
        <v>No</v>
      </c>
      <c r="AW91" s="0" t="n">
        <v>10000</v>
      </c>
      <c r="AX91" s="5" t="n">
        <f aca="false">IF(ISBLANK(AW91),0,AW91)</f>
        <v>10000</v>
      </c>
      <c r="AY91" s="0" t="s">
        <v>184</v>
      </c>
      <c r="AZ91" s="0" t="str">
        <f aca="false">UPPER(IF(ISBLANK(AY91),"NONE",AY91))</f>
        <v>N/A</v>
      </c>
      <c r="BA91" s="7" t="n">
        <v>45997</v>
      </c>
      <c r="BB91" s="7" t="n">
        <f aca="false">IF(ISBLANK(BA91),"No Follow Up Needed",BA91)</f>
        <v>45997</v>
      </c>
      <c r="BC91" s="0" t="s">
        <v>63</v>
      </c>
      <c r="BD91" s="0" t="str">
        <f aca="false">PROPER(IF(ISBLANK(BC91),"Unknown",BC91))</f>
        <v>Yes</v>
      </c>
      <c r="BF91" s="0" t="str">
        <f aca="false">IF(ISBLANK(BE91),"No comments",BE91)</f>
        <v>No comments</v>
      </c>
      <c r="BG91" s="0" t="s">
        <v>2320</v>
      </c>
      <c r="BH91" s="0" t="str">
        <f aca="false">IF(ISBLANK(BG91),"No comments",BG91)</f>
        <v>No complaints</v>
      </c>
      <c r="BI91" s="0" t="s">
        <v>50</v>
      </c>
      <c r="BJ91" s="0" t="str">
        <f aca="false">IF(ISBLANK(BI91),"Not Mentioned",BI91)</f>
        <v>No</v>
      </c>
      <c r="BK91" s="0" t="s">
        <v>50</v>
      </c>
      <c r="BL91" s="0" t="str">
        <f aca="false">PROPER(IF(ISBLANK(BK91),"Not Mentioned",BK91))</f>
        <v>No</v>
      </c>
      <c r="BM91" s="0" t="s">
        <v>63</v>
      </c>
      <c r="BN91" s="0" t="str">
        <f aca="false">PROPER(IF(ISBLANK(BM91),"Not Mentioned",BM91))</f>
        <v>Yes</v>
      </c>
      <c r="BP91" s="0" t="str">
        <f aca="false">IF(ISBLANK(BO91),"One-Time Plan",BO91)</f>
        <v>One-Time Plan</v>
      </c>
      <c r="BR91" s="0" t="str">
        <f aca="false">PROPER(IF(ISBLANK(BQ91),"No",BQ91))</f>
        <v>No</v>
      </c>
    </row>
    <row r="92" customFormat="false" ht="15" hidden="false" customHeight="false" outlineLevel="0" collapsed="false">
      <c r="A92" s="0" t="s">
        <v>369</v>
      </c>
      <c r="B92" s="2" t="n">
        <v>45776</v>
      </c>
      <c r="C92" s="2" t="str">
        <f aca="false">TEXT(B92,"dd/mm/yyyy")</f>
        <v>29/04/2025</v>
      </c>
      <c r="D92" s="0" t="s">
        <v>105</v>
      </c>
      <c r="E92" s="0" t="n">
        <v>8069110577</v>
      </c>
      <c r="F92" s="0" t="s">
        <v>139</v>
      </c>
      <c r="G92" s="0" t="s">
        <v>2323</v>
      </c>
      <c r="H92" s="0" t="s">
        <v>370</v>
      </c>
      <c r="I92" s="0" t="s">
        <v>134</v>
      </c>
      <c r="J92" s="0" t="s">
        <v>2325</v>
      </c>
      <c r="K92" s="3" t="str">
        <f aca="false" t="array" ref="K92:K92">IFERROR(IF(J92&lt;&gt;"",J92,INDEX(J92:J1091,MATCH(1,(F92:F1091=F92)*(I92:I1091=I92)*(L92:L1091=L92)*(J92:J1091&lt;&gt;""),0))),"Not Found")</f>
        <v>Engine Knocking</v>
      </c>
      <c r="L92" s="3" t="s">
        <v>47</v>
      </c>
      <c r="M92" s="0" t="str">
        <f aca="false">PROPER(L92)</f>
        <v>None</v>
      </c>
      <c r="N92" s="3" t="s">
        <v>109</v>
      </c>
      <c r="O92" s="0" t="str">
        <f aca="false" t="array" ref="O92:O92">IF(N92&lt;&gt;"",N92,_xlfn.xlookup(1,(L92:L1091=L92)*(N92:N1091&lt;&gt;""),N92:N1091,"Not Found"))</f>
        <v>Tijani</v>
      </c>
      <c r="P92" s="4" t="n">
        <v>40968</v>
      </c>
      <c r="Q92" s="0" t="s">
        <v>124</v>
      </c>
      <c r="R92" s="0" t="str">
        <f aca="false">PROPER(Q92)</f>
        <v>Cash</v>
      </c>
      <c r="S92" s="0" t="s">
        <v>63</v>
      </c>
      <c r="U92" s="5" t="n">
        <f aca="false">IF(ISBLANK(T92),AVERAGE(T92:T1091),T92)</f>
        <v>2.9868073878628</v>
      </c>
      <c r="V92" s="0" t="n">
        <v>6</v>
      </c>
      <c r="W92" s="0" t="s">
        <v>92</v>
      </c>
      <c r="X92" s="0" t="str">
        <f aca="false">IF(ISBLANK(W92),"No remarks",W92)</f>
        <v>Urgent service</v>
      </c>
      <c r="Y92" s="0" t="s">
        <v>52</v>
      </c>
      <c r="Z92" s="0" t="s">
        <v>53</v>
      </c>
      <c r="AA92" s="0" t="str">
        <f aca="false">PROPER(IF(ISBLANK(Z92),"Location Unavailable",Z92))</f>
        <v>Main Bay</v>
      </c>
      <c r="AB92" s="0" t="s">
        <v>75</v>
      </c>
      <c r="AC92" s="6" t="str">
        <f aca="false">PROPER(AB92)</f>
        <v>Mechanik Referal</v>
      </c>
      <c r="AD92" s="6" t="n">
        <v>30</v>
      </c>
      <c r="AE92" s="5" t="n">
        <f aca="false">IF(ISBLANK(AD92),AVERAGEIF(L92:L1091,L92,AD92:AD1091),AD92)</f>
        <v>30</v>
      </c>
      <c r="AF92" s="0" t="s">
        <v>112</v>
      </c>
      <c r="AG92" s="0" t="str">
        <f aca="false">PROPER(AF92)</f>
        <v>Unavailable</v>
      </c>
      <c r="AH92" s="0" t="s">
        <v>56</v>
      </c>
      <c r="AI92" s="0" t="s">
        <v>128</v>
      </c>
      <c r="AJ92" s="0" t="str">
        <f aca="false">PROPER(AI92)</f>
        <v>Normal</v>
      </c>
      <c r="AK92" s="0" t="s">
        <v>99</v>
      </c>
      <c r="AL92" s="0" t="str">
        <f aca="false">PROPER(AK92)</f>
        <v>Uber Driver</v>
      </c>
      <c r="AM92" s="0" t="s">
        <v>59</v>
      </c>
      <c r="AN92" s="0" t="str">
        <f aca="false">IF(ISBLANK(AM92),"Unknown",AM92)</f>
        <v>Bolt Driver</v>
      </c>
      <c r="AO92" s="0" t="s">
        <v>143</v>
      </c>
      <c r="AP92" s="0" t="str">
        <f aca="false">IF(ISBLANK(AO92),"Unknown",AO92)</f>
        <v>Senior</v>
      </c>
      <c r="AQ92" s="0" t="n">
        <v>30000</v>
      </c>
      <c r="AR92" s="5" t="n">
        <f aca="false">IF(ISBLANK(AQ92),AVERAGEIF(M92:M1091,M92,AQ92:AQ1091),AQ92)</f>
        <v>30000</v>
      </c>
      <c r="AS92" s="0" t="n">
        <v>20000</v>
      </c>
      <c r="AT92" s="5" t="n">
        <f aca="false">IF(ISBLANK(AS92),AVERAGE(AS92:AS1091),AS92)</f>
        <v>20000</v>
      </c>
      <c r="AV92" s="0" t="str">
        <f aca="false">PROPER(IF(ISBLANK(AU92),"No",AU92))</f>
        <v>No</v>
      </c>
      <c r="AW92" s="0" t="n">
        <v>5000</v>
      </c>
      <c r="AX92" s="5" t="n">
        <f aca="false">IF(ISBLANK(AW92),0,AW92)</f>
        <v>5000</v>
      </c>
      <c r="AZ92" s="0" t="str">
        <f aca="false">UPPER(IF(ISBLANK(AY92),"NONE",AY92))</f>
        <v>NONE</v>
      </c>
      <c r="BB92" s="7" t="str">
        <f aca="false">IF(ISBLANK(BA92),"No Follow Up Needed",BA92)</f>
        <v>No Follow Up Needed</v>
      </c>
      <c r="BC92" s="0" t="s">
        <v>50</v>
      </c>
      <c r="BD92" s="0" t="str">
        <f aca="false">PROPER(IF(ISBLANK(BC92),"Unknown",BC92))</f>
        <v>No</v>
      </c>
      <c r="BE92" s="0" t="s">
        <v>116</v>
      </c>
      <c r="BF92" s="0" t="str">
        <f aca="false">IF(ISBLANK(BE92),"No comments",BE92)</f>
        <v>Needs tire alignment</v>
      </c>
      <c r="BG92" s="0" t="s">
        <v>172</v>
      </c>
      <c r="BH92" s="0" t="str">
        <f aca="false">IF(ISBLANK(BG92),"No comments",BG92)</f>
        <v>Always late</v>
      </c>
      <c r="BI92" s="0" t="s">
        <v>50</v>
      </c>
      <c r="BJ92" s="0" t="str">
        <f aca="false">IF(ISBLANK(BI92),"Not Mentioned",BI92)</f>
        <v>No</v>
      </c>
      <c r="BK92" s="0" t="s">
        <v>82</v>
      </c>
      <c r="BL92" s="0" t="str">
        <f aca="false">PROPER(IF(ISBLANK(BK92),"Not Mentioned",BK92))</f>
        <v>Yes</v>
      </c>
      <c r="BN92" s="0" t="str">
        <f aca="false">PROPER(IF(ISBLANK(BM92),"Not Mentioned",BM92))</f>
        <v>Not Mentioned</v>
      </c>
      <c r="BO92" s="0" t="s">
        <v>2321</v>
      </c>
      <c r="BP92" s="0" t="str">
        <f aca="false">IF(ISBLANK(BO92),"One-Time Plan",BO92)</f>
        <v>One-Time Plan</v>
      </c>
      <c r="BQ92" s="0" t="s">
        <v>198</v>
      </c>
      <c r="BR92" s="0" t="str">
        <f aca="false">PROPER(IF(ISBLANK(BQ92),"No",BQ92))</f>
        <v>Followed Up</v>
      </c>
    </row>
    <row r="93" customFormat="false" ht="15" hidden="false" customHeight="false" outlineLevel="0" collapsed="false">
      <c r="A93" s="0" t="s">
        <v>372</v>
      </c>
      <c r="B93" s="2" t="s">
        <v>371</v>
      </c>
      <c r="C93" s="2" t="str">
        <f aca="false">TEXT(B93,"dd/mm/yyyy")</f>
        <v>24/01/2025</v>
      </c>
      <c r="D93" s="0" t="s">
        <v>105</v>
      </c>
      <c r="E93" s="0" t="n">
        <v>8036092388</v>
      </c>
      <c r="F93" s="0" t="s">
        <v>122</v>
      </c>
      <c r="G93" s="0" t="s">
        <v>2316</v>
      </c>
      <c r="H93" s="0" t="s">
        <v>373</v>
      </c>
      <c r="I93" s="0" t="s">
        <v>107</v>
      </c>
      <c r="J93" s="0" t="s">
        <v>2325</v>
      </c>
      <c r="K93" s="3" t="str">
        <f aca="false" t="array" ref="K93:K93">IFERROR(IF(J93&lt;&gt;"",J93,INDEX(J93:J1092,MATCH(1,(F93:F1092=F93)*(I93:I1092=I93)*(L93:L1092=L93)*(J93:J1092&lt;&gt;""),0))),"Not Found")</f>
        <v>Engine Knocking</v>
      </c>
      <c r="L93" s="3" t="s">
        <v>108</v>
      </c>
      <c r="M93" s="0" t="str">
        <f aca="false">PROPER(L93)</f>
        <v>Timing Belt</v>
      </c>
      <c r="N93" s="3" t="s">
        <v>90</v>
      </c>
      <c r="O93" s="0" t="str">
        <f aca="false" t="array" ref="O93:O93">IF(N93&lt;&gt;"",N93,_xlfn.xlookup(1,(L93:L1092=L93)*(N93:N1092&lt;&gt;""),N93:N1092,"Not Found"))</f>
        <v>Musa</v>
      </c>
      <c r="P93" s="4" t="n">
        <v>82500</v>
      </c>
      <c r="Q93" s="0" t="s">
        <v>91</v>
      </c>
      <c r="R93" s="0" t="str">
        <f aca="false">PROPER(Q93)</f>
        <v>Pos</v>
      </c>
      <c r="S93" s="0" t="s">
        <v>63</v>
      </c>
      <c r="T93" s="0" t="n">
        <v>2</v>
      </c>
      <c r="U93" s="5" t="n">
        <f aca="false">IF(ISBLANK(T93),AVERAGE(T93:T1092),T93)</f>
        <v>2</v>
      </c>
      <c r="V93" s="0" t="n">
        <v>3.2</v>
      </c>
      <c r="W93" s="0" t="s">
        <v>111</v>
      </c>
      <c r="X93" s="0" t="str">
        <f aca="false">IF(ISBLANK(W93),"No remarks",W93)</f>
        <v>Changed all filters</v>
      </c>
      <c r="Y93" s="0" t="s">
        <v>93</v>
      </c>
      <c r="AA93" s="0" t="str">
        <f aca="false">PROPER(IF(ISBLANK(Z93),"Location Unavailable",Z93))</f>
        <v>Location Unavailable</v>
      </c>
      <c r="AB93" s="0" t="s">
        <v>54</v>
      </c>
      <c r="AC93" s="6" t="str">
        <f aca="false">PROPER(AB93)</f>
        <v>Mechanic Referral</v>
      </c>
      <c r="AD93" s="6" t="n">
        <v>45</v>
      </c>
      <c r="AE93" s="5" t="n">
        <f aca="false">IF(ISBLANK(AD93),AVERAGEIF(L93:L1092,L93,AD93:AD1092),AD93)</f>
        <v>45</v>
      </c>
      <c r="AF93" s="0" t="s">
        <v>55</v>
      </c>
      <c r="AG93" s="0" t="str">
        <f aca="false">PROPER(AF93)</f>
        <v>Available</v>
      </c>
      <c r="AH93" s="0" t="s">
        <v>56</v>
      </c>
      <c r="AI93" s="0" t="s">
        <v>128</v>
      </c>
      <c r="AJ93" s="0" t="str">
        <f aca="false">PROPER(AI93)</f>
        <v>Normal</v>
      </c>
      <c r="AK93" s="0" t="s">
        <v>196</v>
      </c>
      <c r="AL93" s="0" t="str">
        <f aca="false">PROPER(AK93)</f>
        <v>First Time</v>
      </c>
      <c r="AM93" s="0" t="s">
        <v>59</v>
      </c>
      <c r="AN93" s="0" t="str">
        <f aca="false">IF(ISBLANK(AM93),"Unknown",AM93)</f>
        <v>Bolt Driver</v>
      </c>
      <c r="AO93" s="0" t="s">
        <v>79</v>
      </c>
      <c r="AP93" s="0" t="str">
        <f aca="false">IF(ISBLANK(AO93),"Unknown",AO93)</f>
        <v>Specialist</v>
      </c>
      <c r="AQ93" s="0" t="n">
        <v>30000</v>
      </c>
      <c r="AR93" s="5" t="n">
        <f aca="false">IF(ISBLANK(AQ93),AVERAGEIF(M93:M1092,M93,AQ93:AQ1092),AQ93)</f>
        <v>30000</v>
      </c>
      <c r="AS93" s="0" t="n">
        <v>30000</v>
      </c>
      <c r="AT93" s="5" t="n">
        <f aca="false">IF(ISBLANK(AS93),AVERAGE(AS93:AS1092),AS93)</f>
        <v>30000</v>
      </c>
      <c r="AU93" s="0" t="s">
        <v>82</v>
      </c>
      <c r="AV93" s="0" t="str">
        <f aca="false">PROPER(IF(ISBLANK(AU93),"No",AU93))</f>
        <v>Yes</v>
      </c>
      <c r="AW93" s="0" t="n">
        <v>0</v>
      </c>
      <c r="AX93" s="5" t="n">
        <f aca="false">IF(ISBLANK(AW93),0,AW93)</f>
        <v>0</v>
      </c>
      <c r="AY93" s="0" t="s">
        <v>80</v>
      </c>
      <c r="AZ93" s="0" t="str">
        <f aca="false">UPPER(IF(ISBLANK(AY93),"NONE",AY93))</f>
        <v>PROMO10</v>
      </c>
      <c r="BA93" s="7" t="n">
        <v>45876</v>
      </c>
      <c r="BB93" s="7" t="n">
        <f aca="false">IF(ISBLANK(BA93),"No Follow Up Needed",BA93)</f>
        <v>45876</v>
      </c>
      <c r="BC93" s="0" t="s">
        <v>82</v>
      </c>
      <c r="BD93" s="0" t="str">
        <f aca="false">PROPER(IF(ISBLANK(BC93),"Unknown",BC93))</f>
        <v>Yes</v>
      </c>
      <c r="BF93" s="0" t="str">
        <f aca="false">IF(ISBLANK(BE93),"No comments",BE93)</f>
        <v>No comments</v>
      </c>
      <c r="BH93" s="0" t="str">
        <f aca="false">IF(ISBLANK(BG93),"No comments",BG93)</f>
        <v>No comments</v>
      </c>
      <c r="BI93" s="0" t="s">
        <v>63</v>
      </c>
      <c r="BJ93" s="0" t="str">
        <f aca="false">IF(ISBLANK(BI93),"Not Mentioned",BI93)</f>
        <v>Yes</v>
      </c>
      <c r="BK93" s="0" t="s">
        <v>50</v>
      </c>
      <c r="BL93" s="0" t="str">
        <f aca="false">PROPER(IF(ISBLANK(BK93),"Not Mentioned",BK93))</f>
        <v>No</v>
      </c>
      <c r="BM93" s="0" t="s">
        <v>50</v>
      </c>
      <c r="BN93" s="0" t="str">
        <f aca="false">PROPER(IF(ISBLANK(BM93),"Not Mentioned",BM93))</f>
        <v>No</v>
      </c>
      <c r="BO93" s="0" t="s">
        <v>64</v>
      </c>
      <c r="BP93" s="0" t="str">
        <f aca="false">IF(ISBLANK(BO93),"One-Time Plan",BO93)</f>
        <v>Gold Maintenance Plan</v>
      </c>
      <c r="BQ93" s="0" t="s">
        <v>50</v>
      </c>
      <c r="BR93" s="0" t="str">
        <f aca="false">PROPER(IF(ISBLANK(BQ93),"No",BQ93))</f>
        <v>No</v>
      </c>
    </row>
    <row r="94" customFormat="false" ht="15" hidden="false" customHeight="false" outlineLevel="0" collapsed="false">
      <c r="A94" s="0" t="s">
        <v>374</v>
      </c>
      <c r="B94" s="2" t="n">
        <v>45719</v>
      </c>
      <c r="C94" s="2" t="str">
        <f aca="false">TEXT(B94,"dd/mm/yyyy")</f>
        <v>03/03/2025</v>
      </c>
      <c r="D94" s="0" t="s">
        <v>42</v>
      </c>
      <c r="E94" s="0" t="n">
        <v>8094736292</v>
      </c>
      <c r="F94" s="0" t="s">
        <v>85</v>
      </c>
      <c r="G94" s="0" t="s">
        <v>2319</v>
      </c>
      <c r="H94" s="0" t="s">
        <v>375</v>
      </c>
      <c r="I94" s="0" t="s">
        <v>107</v>
      </c>
      <c r="J94" s="0" t="s">
        <v>87</v>
      </c>
      <c r="K94" s="3" t="str">
        <f aca="false" t="array" ref="K94:K94">IFERROR(IF(J94&lt;&gt;"",J94,INDEX(J94:J1093,MATCH(1,(F94:F1093=F94)*(I94:I1093=I94)*(L94:L1093=L94)*(J94:J1093&lt;&gt;""),0))),"Not Found")</f>
        <v>Oil Change</v>
      </c>
      <c r="L94" s="3" t="s">
        <v>47</v>
      </c>
      <c r="M94" s="0" t="str">
        <f aca="false">PROPER(L94)</f>
        <v>None</v>
      </c>
      <c r="O94" s="0" t="e">
        <f aca="false" t="array" ref="O94:O94">IF(N94&lt;&gt;"",N94,_xlfn.xlookup(1,(L94:L1093=L94)*(N94:N1093&lt;&gt;""),N94:N1093,"Not Found"))</f>
        <v>#NAME?</v>
      </c>
      <c r="P94" s="4" t="n">
        <v>82175</v>
      </c>
      <c r="Q94" s="0" t="s">
        <v>166</v>
      </c>
      <c r="R94" s="0" t="str">
        <f aca="false">PROPER(Q94)</f>
        <v>Transfer</v>
      </c>
      <c r="S94" s="0" t="s">
        <v>63</v>
      </c>
      <c r="T94" s="0" t="n">
        <v>1</v>
      </c>
      <c r="U94" s="5" t="n">
        <f aca="false">IF(ISBLANK(T94),AVERAGE(T94:T1093),T94)</f>
        <v>1</v>
      </c>
      <c r="V94" s="0" t="n">
        <v>3.8</v>
      </c>
      <c r="X94" s="0" t="str">
        <f aca="false">IF(ISBLANK(W94),"No remarks",W94)</f>
        <v>No remarks</v>
      </c>
      <c r="Y94" s="0" t="s">
        <v>52</v>
      </c>
      <c r="Z94" s="0" t="s">
        <v>136</v>
      </c>
      <c r="AA94" s="0" t="str">
        <f aca="false">PROPER(IF(ISBLANK(Z94),"Location Unavailable",Z94))</f>
        <v>Vip Section</v>
      </c>
      <c r="AB94" s="0" t="s">
        <v>75</v>
      </c>
      <c r="AC94" s="6" t="str">
        <f aca="false">PROPER(AB94)</f>
        <v>Mechanik Referal</v>
      </c>
      <c r="AD94" s="6" t="n">
        <v>60</v>
      </c>
      <c r="AE94" s="5" t="n">
        <f aca="false">IF(ISBLANK(AD94),AVERAGEIF(L94:L1093,L94,AD94:AD1093),AD94)</f>
        <v>60</v>
      </c>
      <c r="AF94" s="0" t="s">
        <v>96</v>
      </c>
      <c r="AG94" s="0" t="str">
        <f aca="false">PROPER(AF94)</f>
        <v>Ordered</v>
      </c>
      <c r="AH94" s="0" t="s">
        <v>155</v>
      </c>
      <c r="AI94" s="0" t="s">
        <v>78</v>
      </c>
      <c r="AJ94" s="0" t="str">
        <f aca="false">PROPER(AI94)</f>
        <v>Booking</v>
      </c>
      <c r="AK94" s="0" t="s">
        <v>99</v>
      </c>
      <c r="AL94" s="0" t="str">
        <f aca="false">PROPER(AK94)</f>
        <v>Uber Driver</v>
      </c>
      <c r="AN94" s="0" t="str">
        <f aca="false">IF(ISBLANK(AM94),"Unknown",AM94)</f>
        <v>Unknown</v>
      </c>
      <c r="AP94" s="0" t="str">
        <f aca="false">IF(ISBLANK(AO94),"Unknown",AO94)</f>
        <v>Unknown</v>
      </c>
      <c r="AQ94" s="0" t="n">
        <v>30000</v>
      </c>
      <c r="AR94" s="5" t="n">
        <f aca="false">IF(ISBLANK(AQ94),AVERAGEIF(M94:M1093,M94,AQ94:AQ1093),AQ94)</f>
        <v>30000</v>
      </c>
      <c r="AS94" s="0" t="n">
        <v>35000</v>
      </c>
      <c r="AT94" s="5" t="n">
        <f aca="false">IF(ISBLANK(AS94),AVERAGE(AS94:AS1093),AS94)</f>
        <v>35000</v>
      </c>
      <c r="AU94" s="0" t="s">
        <v>82</v>
      </c>
      <c r="AV94" s="0" t="str">
        <f aca="false">PROPER(IF(ISBLANK(AU94),"No",AU94))</f>
        <v>Yes</v>
      </c>
      <c r="AW94" s="0" t="n">
        <v>5000</v>
      </c>
      <c r="AX94" s="5" t="n">
        <f aca="false">IF(ISBLANK(AW94),0,AW94)</f>
        <v>5000</v>
      </c>
      <c r="AY94" s="0" t="s">
        <v>184</v>
      </c>
      <c r="AZ94" s="0" t="str">
        <f aca="false">UPPER(IF(ISBLANK(AY94),"NONE",AY94))</f>
        <v>N/A</v>
      </c>
      <c r="BA94" s="7" t="s">
        <v>376</v>
      </c>
      <c r="BB94" s="7" t="str">
        <f aca="false">IF(ISBLANK(BA94),"No Follow Up Needed",BA94)</f>
        <v>31/10/2025</v>
      </c>
      <c r="BD94" s="0" t="str">
        <f aca="false">PROPER(IF(ISBLANK(BC94),"Unknown",BC94))</f>
        <v>Unknown</v>
      </c>
      <c r="BE94" s="0" t="s">
        <v>116</v>
      </c>
      <c r="BF94" s="0" t="str">
        <f aca="false">IF(ISBLANK(BE94),"No comments",BE94)</f>
        <v>Needs tire alignment</v>
      </c>
      <c r="BH94" s="0" t="str">
        <f aca="false">IF(ISBLANK(BG94),"No comments",BG94)</f>
        <v>No comments</v>
      </c>
      <c r="BI94" s="0" t="s">
        <v>50</v>
      </c>
      <c r="BJ94" s="0" t="str">
        <f aca="false">IF(ISBLANK(BI94),"Not Mentioned",BI94)</f>
        <v>No</v>
      </c>
      <c r="BL94" s="0" t="str">
        <f aca="false">PROPER(IF(ISBLANK(BK94),"Not Mentioned",BK94))</f>
        <v>Not Mentioned</v>
      </c>
      <c r="BN94" s="0" t="str">
        <f aca="false">PROPER(IF(ISBLANK(BM94),"Not Mentioned",BM94))</f>
        <v>Not Mentioned</v>
      </c>
      <c r="BO94" s="0" t="s">
        <v>64</v>
      </c>
      <c r="BP94" s="0" t="str">
        <f aca="false">IF(ISBLANK(BO94),"One-Time Plan",BO94)</f>
        <v>Gold Maintenance Plan</v>
      </c>
      <c r="BQ94" s="0" t="s">
        <v>63</v>
      </c>
      <c r="BR94" s="0" t="str">
        <f aca="false">PROPER(IF(ISBLANK(BQ94),"No",BQ94))</f>
        <v>Yes</v>
      </c>
    </row>
    <row r="95" customFormat="false" ht="15" hidden="false" customHeight="false" outlineLevel="0" collapsed="false">
      <c r="A95" s="0" t="s">
        <v>377</v>
      </c>
      <c r="B95" s="2" t="n">
        <v>45996</v>
      </c>
      <c r="C95" s="2" t="str">
        <f aca="false">TEXT(B95,"dd/mm/yyyy")</f>
        <v>05/12/2025</v>
      </c>
      <c r="D95" s="0" t="s">
        <v>66</v>
      </c>
      <c r="E95" s="0" t="n">
        <v>8088609496</v>
      </c>
      <c r="F95" s="0" t="s">
        <v>43</v>
      </c>
      <c r="G95" s="0" t="s">
        <v>2315</v>
      </c>
      <c r="H95" s="0" t="s">
        <v>378</v>
      </c>
      <c r="I95" s="0" t="s">
        <v>134</v>
      </c>
      <c r="J95" s="0" t="s">
        <v>87</v>
      </c>
      <c r="K95" s="3" t="str">
        <f aca="false" t="array" ref="K95:K95">IFERROR(IF(J95&lt;&gt;"",J95,INDEX(J95:J1094,MATCH(1,(F95:F1094=F95)*(I95:I1094=I95)*(L95:L1094=L95)*(J95:J1094&lt;&gt;""),0))),"Not Found")</f>
        <v>Oil Change</v>
      </c>
      <c r="L95" s="3" t="s">
        <v>189</v>
      </c>
      <c r="M95" s="0" t="str">
        <f aca="false">PROPER(L95)</f>
        <v>Battery</v>
      </c>
      <c r="N95" s="3" t="s">
        <v>90</v>
      </c>
      <c r="O95" s="0" t="str">
        <f aca="false" t="array" ref="O95:O95">IF(N95&lt;&gt;"",N95,_xlfn.xlookup(1,(L95:L1094=L95)*(N95:N1094&lt;&gt;""),N95:N1094,"Not Found"))</f>
        <v>Musa</v>
      </c>
      <c r="P95" s="4" t="n">
        <v>28857</v>
      </c>
      <c r="Q95" s="0" t="s">
        <v>110</v>
      </c>
      <c r="R95" s="0" t="str">
        <f aca="false">PROPER(Q95)</f>
        <v>Cash</v>
      </c>
      <c r="S95" s="0" t="s">
        <v>63</v>
      </c>
      <c r="T95" s="0" t="n">
        <v>4</v>
      </c>
      <c r="U95" s="5" t="n">
        <f aca="false">IF(ISBLANK(T95),AVERAGE(T95:T1094),T95)</f>
        <v>4</v>
      </c>
      <c r="V95" s="0" t="n">
        <v>3.5</v>
      </c>
      <c r="W95" s="0" t="s">
        <v>125</v>
      </c>
      <c r="X95" s="0" t="str">
        <f aca="false">IF(ISBLANK(W95),"No remarks",W95)</f>
        <v>Customer waited</v>
      </c>
      <c r="Y95" s="0" t="s">
        <v>52</v>
      </c>
      <c r="Z95" s="0" t="s">
        <v>94</v>
      </c>
      <c r="AA95" s="0" t="str">
        <f aca="false">PROPER(IF(ISBLANK(Z95),"Location Unavailable",Z95))</f>
        <v>Vip Section</v>
      </c>
      <c r="AB95" s="0" t="s">
        <v>147</v>
      </c>
      <c r="AC95" s="6" t="str">
        <f aca="false">PROPER(AB95)</f>
        <v>Instagram</v>
      </c>
      <c r="AD95" s="6" t="n">
        <v>30</v>
      </c>
      <c r="AE95" s="5" t="n">
        <f aca="false">IF(ISBLANK(AD95),AVERAGEIF(L95:L1094,L95,AD95:AD1094),AD95)</f>
        <v>30</v>
      </c>
      <c r="AF95" s="0" t="s">
        <v>55</v>
      </c>
      <c r="AG95" s="0" t="str">
        <f aca="false">PROPER(AF95)</f>
        <v>Available</v>
      </c>
      <c r="AH95" s="0" t="s">
        <v>155</v>
      </c>
      <c r="AI95" s="0" t="s">
        <v>98</v>
      </c>
      <c r="AJ95" s="0" t="str">
        <f aca="false">PROPER(AI95)</f>
        <v>Emergency</v>
      </c>
      <c r="AK95" s="0" t="s">
        <v>58</v>
      </c>
      <c r="AL95" s="0" t="str">
        <f aca="false">PROPER(AK95)</f>
        <v>Fleet Owner</v>
      </c>
      <c r="AM95" s="0" t="s">
        <v>2326</v>
      </c>
      <c r="AN95" s="0" t="str">
        <f aca="false">IF(ISBLANK(AM95),"Unknown",AM95)</f>
        <v>Government Convoy</v>
      </c>
      <c r="AO95" s="0" t="s">
        <v>161</v>
      </c>
      <c r="AP95" s="0" t="str">
        <f aca="false">IF(ISBLANK(AO95),"Unknown",AO95)</f>
        <v>Apprentice</v>
      </c>
      <c r="AQ95" s="0" t="n">
        <v>15000</v>
      </c>
      <c r="AR95" s="5" t="n">
        <f aca="false">IF(ISBLANK(AQ95),AVERAGEIF(M95:M1094,M95,AQ95:AQ1094),AQ95)</f>
        <v>15000</v>
      </c>
      <c r="AS95" s="0" t="n">
        <v>40000</v>
      </c>
      <c r="AT95" s="5" t="n">
        <f aca="false">IF(ISBLANK(AS95),AVERAGE(AS95:AS1094),AS95)</f>
        <v>40000</v>
      </c>
      <c r="AU95" s="0" t="s">
        <v>61</v>
      </c>
      <c r="AV95" s="0" t="str">
        <f aca="false">PROPER(IF(ISBLANK(AU95),"No",AU95))</f>
        <v>No</v>
      </c>
      <c r="AW95" s="0" t="n">
        <v>0</v>
      </c>
      <c r="AX95" s="5" t="n">
        <f aca="false">IF(ISBLANK(AW95),0,AW95)</f>
        <v>0</v>
      </c>
      <c r="AY95" s="0" t="s">
        <v>184</v>
      </c>
      <c r="AZ95" s="0" t="str">
        <f aca="false">UPPER(IF(ISBLANK(AY95),"NONE",AY95))</f>
        <v>N/A</v>
      </c>
      <c r="BA95" s="7" t="n">
        <v>45920</v>
      </c>
      <c r="BB95" s="7" t="n">
        <f aca="false">IF(ISBLANK(BA95),"No Follow Up Needed",BA95)</f>
        <v>45920</v>
      </c>
      <c r="BC95" s="0" t="s">
        <v>82</v>
      </c>
      <c r="BD95" s="0" t="str">
        <f aca="false">PROPER(IF(ISBLANK(BC95),"Unknown",BC95))</f>
        <v>Yes</v>
      </c>
      <c r="BF95" s="0" t="str">
        <f aca="false">IF(ISBLANK(BE95),"No comments",BE95)</f>
        <v>No comments</v>
      </c>
      <c r="BH95" s="0" t="str">
        <f aca="false">IF(ISBLANK(BG95),"No comments",BG95)</f>
        <v>No comments</v>
      </c>
      <c r="BI95" s="0" t="s">
        <v>63</v>
      </c>
      <c r="BJ95" s="0" t="str">
        <f aca="false">IF(ISBLANK(BI95),"Not Mentioned",BI95)</f>
        <v>Yes</v>
      </c>
      <c r="BK95" s="0" t="s">
        <v>61</v>
      </c>
      <c r="BL95" s="0" t="str">
        <f aca="false">PROPER(IF(ISBLANK(BK95),"Not Mentioned",BK95))</f>
        <v>No</v>
      </c>
      <c r="BN95" s="0" t="str">
        <f aca="false">PROPER(IF(ISBLANK(BM95),"Not Mentioned",BM95))</f>
        <v>Not Mentioned</v>
      </c>
      <c r="BO95" s="0" t="s">
        <v>64</v>
      </c>
      <c r="BP95" s="0" t="str">
        <f aca="false">IF(ISBLANK(BO95),"One-Time Plan",BO95)</f>
        <v>Gold Maintenance Plan</v>
      </c>
      <c r="BQ95" s="0" t="s">
        <v>63</v>
      </c>
      <c r="BR95" s="0" t="str">
        <f aca="false">PROPER(IF(ISBLANK(BQ95),"No",BQ95))</f>
        <v>Yes</v>
      </c>
    </row>
    <row r="96" customFormat="false" ht="15" hidden="false" customHeight="false" outlineLevel="0" collapsed="false">
      <c r="A96" s="0" t="s">
        <v>379</v>
      </c>
      <c r="B96" s="2" t="n">
        <v>45802</v>
      </c>
      <c r="C96" s="2" t="str">
        <f aca="false">TEXT(B96,"dd/mm/yyyy")</f>
        <v>25/05/2025</v>
      </c>
      <c r="D96" s="0" t="s">
        <v>66</v>
      </c>
      <c r="E96" s="0" t="n">
        <v>8058306200</v>
      </c>
      <c r="F96" s="0" t="s">
        <v>43</v>
      </c>
      <c r="G96" s="0" t="s">
        <v>2315</v>
      </c>
      <c r="H96" s="0" t="s">
        <v>380</v>
      </c>
      <c r="I96" s="0" t="s">
        <v>45</v>
      </c>
      <c r="J96" s="0" t="s">
        <v>2325</v>
      </c>
      <c r="K96" s="3" t="str">
        <f aca="false" t="array" ref="K96:K96">IFERROR(IF(J96&lt;&gt;"",J96,INDEX(J96:J1095,MATCH(1,(F96:F1095=F96)*(I96:I1095=I96)*(L96:L1095=L96)*(J96:J1095&lt;&gt;""),0))),"Not Found")</f>
        <v>Engine Knocking</v>
      </c>
      <c r="L96" s="3" t="s">
        <v>108</v>
      </c>
      <c r="M96" s="0" t="str">
        <f aca="false">PROPER(L96)</f>
        <v>Timing Belt</v>
      </c>
      <c r="N96" s="3" t="s">
        <v>48</v>
      </c>
      <c r="O96" s="0" t="str">
        <f aca="false" t="array" ref="O96:O96">IF(N96&lt;&gt;"",N96,_xlfn.xlookup(1,(L96:L1095=L96)*(N96:N1095&lt;&gt;""),N96:N1095,"Not Found"))</f>
        <v>Uche</v>
      </c>
      <c r="P96" s="4" t="n">
        <v>40992</v>
      </c>
      <c r="Q96" s="0" t="s">
        <v>49</v>
      </c>
      <c r="R96" s="0" t="str">
        <f aca="false">PROPER(Q96)</f>
        <v>Transfer</v>
      </c>
      <c r="S96" s="0" t="s">
        <v>63</v>
      </c>
      <c r="T96" s="0" t="n">
        <v>1</v>
      </c>
      <c r="U96" s="5" t="n">
        <f aca="false">IF(ISBLANK(T96),AVERAGE(T96:T1095),T96)</f>
        <v>1</v>
      </c>
      <c r="V96" s="0" t="n">
        <v>3.4</v>
      </c>
      <c r="X96" s="0" t="str">
        <f aca="false">IF(ISBLANK(W96),"No remarks",W96)</f>
        <v>No remarks</v>
      </c>
      <c r="Y96" s="0" t="s">
        <v>93</v>
      </c>
      <c r="AA96" s="0" t="str">
        <f aca="false">PROPER(IF(ISBLANK(Z96),"Location Unavailable",Z96))</f>
        <v>Location Unavailable</v>
      </c>
      <c r="AB96" s="0" t="s">
        <v>167</v>
      </c>
      <c r="AC96" s="6" t="str">
        <f aca="false">PROPER(AB96)</f>
        <v>Word Of Mouth</v>
      </c>
      <c r="AD96" s="6" t="n">
        <v>30</v>
      </c>
      <c r="AE96" s="5" t="n">
        <f aca="false">IF(ISBLANK(AD96),AVERAGEIF(L96:L1095,L96,AD96:AD1095),AD96)</f>
        <v>30</v>
      </c>
      <c r="AF96" s="0" t="s">
        <v>96</v>
      </c>
      <c r="AG96" s="0" t="str">
        <f aca="false">PROPER(AF96)</f>
        <v>Ordered</v>
      </c>
      <c r="AH96" s="0" t="s">
        <v>155</v>
      </c>
      <c r="AI96" s="0" t="s">
        <v>113</v>
      </c>
      <c r="AJ96" s="0" t="str">
        <f aca="false">PROPER(AI96)</f>
        <v>Normal</v>
      </c>
      <c r="AK96" s="0" t="s">
        <v>99</v>
      </c>
      <c r="AL96" s="0" t="str">
        <f aca="false">PROPER(AK96)</f>
        <v>Uber Driver</v>
      </c>
      <c r="AM96" s="0" t="s">
        <v>2324</v>
      </c>
      <c r="AN96" s="0" t="str">
        <f aca="false">IF(ISBLANK(AM96),"Unknown",AM96)</f>
        <v>Logistics Convoy</v>
      </c>
      <c r="AO96" s="0" t="s">
        <v>143</v>
      </c>
      <c r="AP96" s="0" t="str">
        <f aca="false">IF(ISBLANK(AO96),"Unknown",AO96)</f>
        <v>Senior</v>
      </c>
      <c r="AQ96" s="0" t="n">
        <v>40000</v>
      </c>
      <c r="AR96" s="5" t="n">
        <f aca="false">IF(ISBLANK(AQ96),AVERAGEIF(M96:M1095,M96,AQ96:AQ1095),AQ96)</f>
        <v>40000</v>
      </c>
      <c r="AS96" s="0" t="n">
        <v>35000</v>
      </c>
      <c r="AT96" s="5" t="n">
        <f aca="false">IF(ISBLANK(AS96),AVERAGE(AS96:AS1095),AS96)</f>
        <v>35000</v>
      </c>
      <c r="AU96" s="0" t="s">
        <v>63</v>
      </c>
      <c r="AV96" s="0" t="str">
        <f aca="false">PROPER(IF(ISBLANK(AU96),"No",AU96))</f>
        <v>Yes</v>
      </c>
      <c r="AW96" s="0" t="n">
        <v>10000</v>
      </c>
      <c r="AX96" s="5" t="n">
        <f aca="false">IF(ISBLANK(AW96),0,AW96)</f>
        <v>10000</v>
      </c>
      <c r="AZ96" s="0" t="str">
        <f aca="false">UPPER(IF(ISBLANK(AY96),"NONE",AY96))</f>
        <v>NONE</v>
      </c>
      <c r="BB96" s="7" t="str">
        <f aca="false">IF(ISBLANK(BA96),"No Follow Up Needed",BA96)</f>
        <v>No Follow Up Needed</v>
      </c>
      <c r="BC96" s="0" t="s">
        <v>50</v>
      </c>
      <c r="BD96" s="0" t="str">
        <f aca="false">PROPER(IF(ISBLANK(BC96),"Unknown",BC96))</f>
        <v>No</v>
      </c>
      <c r="BF96" s="0" t="str">
        <f aca="false">IF(ISBLANK(BE96),"No comments",BE96)</f>
        <v>No comments</v>
      </c>
      <c r="BG96" s="0" t="s">
        <v>117</v>
      </c>
      <c r="BH96" s="0" t="str">
        <f aca="false">IF(ISBLANK(BG96),"No comments",BG96)</f>
        <v>Prefers morning</v>
      </c>
      <c r="BI96" s="0" t="s">
        <v>50</v>
      </c>
      <c r="BJ96" s="0" t="str">
        <f aca="false">IF(ISBLANK(BI96),"Not Mentioned",BI96)</f>
        <v>No</v>
      </c>
      <c r="BL96" s="0" t="str">
        <f aca="false">PROPER(IF(ISBLANK(BK96),"Not Mentioned",BK96))</f>
        <v>Not Mentioned</v>
      </c>
      <c r="BM96" s="0" t="s">
        <v>63</v>
      </c>
      <c r="BN96" s="0" t="str">
        <f aca="false">PROPER(IF(ISBLANK(BM96),"Not Mentioned",BM96))</f>
        <v>Yes</v>
      </c>
      <c r="BO96" s="0" t="s">
        <v>64</v>
      </c>
      <c r="BP96" s="0" t="str">
        <f aca="false">IF(ISBLANK(BO96),"One-Time Plan",BO96)</f>
        <v>Gold Maintenance Plan</v>
      </c>
      <c r="BQ96" s="0" t="s">
        <v>190</v>
      </c>
      <c r="BR96" s="0" t="str">
        <f aca="false">PROPER(IF(ISBLANK(BQ96),"No",BQ96))</f>
        <v>Yes</v>
      </c>
    </row>
    <row r="97" customFormat="false" ht="15" hidden="false" customHeight="false" outlineLevel="0" collapsed="false">
      <c r="A97" s="0" t="s">
        <v>381</v>
      </c>
      <c r="B97" s="2" t="n">
        <v>45695</v>
      </c>
      <c r="C97" s="2" t="str">
        <f aca="false">TEXT(B97,"dd/mm/yyyy")</f>
        <v>07/02/2025</v>
      </c>
      <c r="D97" s="0" t="s">
        <v>42</v>
      </c>
      <c r="E97" s="0" t="n">
        <v>8015892805</v>
      </c>
      <c r="F97" s="0" t="s">
        <v>67</v>
      </c>
      <c r="G97" s="0" t="s">
        <v>2316</v>
      </c>
      <c r="H97" s="0" t="s">
        <v>382</v>
      </c>
      <c r="I97" s="0" t="s">
        <v>134</v>
      </c>
      <c r="J97" s="0" t="s">
        <v>2322</v>
      </c>
      <c r="K97" s="3" t="str">
        <f aca="false" t="array" ref="K97:K97">IFERROR(IF(J97&lt;&gt;"",J97,INDEX(J97:J1096,MATCH(1,(F97:F1096=F97)*(I97:I1096=I97)*(L97:L1096=L97)*(J97:J1096&lt;&gt;""),0))),"Not Found")</f>
        <v>Brake Failure</v>
      </c>
      <c r="L97" s="3" t="s">
        <v>142</v>
      </c>
      <c r="M97" s="0" t="str">
        <f aca="false">PROPER(L97)</f>
        <v>Oil Filter, Brake Pads</v>
      </c>
      <c r="N97" s="3" t="s">
        <v>71</v>
      </c>
      <c r="O97" s="0" t="str">
        <f aca="false" t="array" ref="O97:O97">IF(N97&lt;&gt;"",N97,_xlfn.xlookup(1,(L97:L1096=L97)*(N97:N1096&lt;&gt;""),N97:N1096,"Not Found"))</f>
        <v>Isaac Bobo</v>
      </c>
      <c r="P97" s="4" t="n">
        <v>31831</v>
      </c>
      <c r="Q97" s="0" t="s">
        <v>166</v>
      </c>
      <c r="R97" s="0" t="str">
        <f aca="false">PROPER(Q97)</f>
        <v>Transfer</v>
      </c>
      <c r="S97" s="0" t="s">
        <v>63</v>
      </c>
      <c r="T97" s="0" t="n">
        <v>4</v>
      </c>
      <c r="U97" s="5" t="n">
        <f aca="false">IF(ISBLANK(T97),AVERAGE(T97:T1096),T97)</f>
        <v>4</v>
      </c>
      <c r="V97" s="0" t="n">
        <v>4.6</v>
      </c>
      <c r="X97" s="0" t="str">
        <f aca="false">IF(ISBLANK(W97),"No remarks",W97)</f>
        <v>No remarks</v>
      </c>
      <c r="Y97" s="0" t="s">
        <v>93</v>
      </c>
      <c r="Z97" s="0" t="s">
        <v>94</v>
      </c>
      <c r="AA97" s="0" t="str">
        <f aca="false">PROPER(IF(ISBLANK(Z97),"Location Unavailable",Z97))</f>
        <v>Vip Section</v>
      </c>
      <c r="AB97" s="0" t="s">
        <v>126</v>
      </c>
      <c r="AC97" s="6" t="str">
        <f aca="false">PROPER(AB97)</f>
        <v>Whatsapp</v>
      </c>
      <c r="AD97" s="6" t="n">
        <v>30</v>
      </c>
      <c r="AE97" s="5" t="n">
        <f aca="false">IF(ISBLANK(AD97),AVERAGEIF(L97:L1096,L97,AD97:AD1096),AD97)</f>
        <v>30</v>
      </c>
      <c r="AF97" s="0" t="s">
        <v>160</v>
      </c>
      <c r="AG97" s="0" t="str">
        <f aca="false">PROPER(AF97)</f>
        <v>Availaible</v>
      </c>
      <c r="AH97" s="0" t="s">
        <v>148</v>
      </c>
      <c r="AI97" s="0" t="s">
        <v>113</v>
      </c>
      <c r="AJ97" s="0" t="str">
        <f aca="false">PROPER(AI97)</f>
        <v>Normal</v>
      </c>
      <c r="AK97" s="0" t="s">
        <v>114</v>
      </c>
      <c r="AL97" s="0" t="str">
        <f aca="false">PROPER(AK97)</f>
        <v>Returning</v>
      </c>
      <c r="AM97" s="0" t="s">
        <v>59</v>
      </c>
      <c r="AN97" s="0" t="str">
        <f aca="false">IF(ISBLANK(AM97),"Unknown",AM97)</f>
        <v>Bolt Driver</v>
      </c>
      <c r="AO97" s="0" t="s">
        <v>79</v>
      </c>
      <c r="AP97" s="0" t="str">
        <f aca="false">IF(ISBLANK(AO97),"Unknown",AO97)</f>
        <v>Specialist</v>
      </c>
      <c r="AQ97" s="0" t="n">
        <v>40000</v>
      </c>
      <c r="AR97" s="5" t="n">
        <f aca="false">IF(ISBLANK(AQ97),AVERAGEIF(M97:M1096,M97,AQ97:AQ1096),AQ97)</f>
        <v>40000</v>
      </c>
      <c r="AT97" s="5" t="n">
        <f aca="false">IF(ISBLANK(AS97),AVERAGE(AS97:AS1096),AS97)</f>
        <v>31557.486631016</v>
      </c>
      <c r="AU97" s="0" t="s">
        <v>82</v>
      </c>
      <c r="AV97" s="0" t="str">
        <f aca="false">PROPER(IF(ISBLANK(AU97),"No",AU97))</f>
        <v>Yes</v>
      </c>
      <c r="AW97" s="0" t="n">
        <v>5000</v>
      </c>
      <c r="AX97" s="5" t="n">
        <f aca="false">IF(ISBLANK(AW97),0,AW97)</f>
        <v>5000</v>
      </c>
      <c r="AY97" s="0" t="s">
        <v>80</v>
      </c>
      <c r="AZ97" s="0" t="str">
        <f aca="false">UPPER(IF(ISBLANK(AY97),"NONE",AY97))</f>
        <v>PROMO10</v>
      </c>
      <c r="BA97" s="7" t="n">
        <v>45936</v>
      </c>
      <c r="BB97" s="7" t="n">
        <f aca="false">IF(ISBLANK(BA97),"No Follow Up Needed",BA97)</f>
        <v>45936</v>
      </c>
      <c r="BC97" s="0" t="s">
        <v>82</v>
      </c>
      <c r="BD97" s="0" t="str">
        <f aca="false">PROPER(IF(ISBLANK(BC97),"Unknown",BC97))</f>
        <v>Yes</v>
      </c>
      <c r="BE97" s="0" t="s">
        <v>171</v>
      </c>
      <c r="BF97" s="0" t="str">
        <f aca="false">IF(ISBLANK(BE97),"No comments",BE97)</f>
        <v>Shock absorber weakening</v>
      </c>
      <c r="BG97" s="0" t="s">
        <v>172</v>
      </c>
      <c r="BH97" s="0" t="str">
        <f aca="false">IF(ISBLANK(BG97),"No comments",BG97)</f>
        <v>Always late</v>
      </c>
      <c r="BI97" s="0" t="s">
        <v>50</v>
      </c>
      <c r="BJ97" s="0" t="str">
        <f aca="false">IF(ISBLANK(BI97),"Not Mentioned",BI97)</f>
        <v>No</v>
      </c>
      <c r="BL97" s="0" t="str">
        <f aca="false">PROPER(IF(ISBLANK(BK97),"Not Mentioned",BK97))</f>
        <v>Not Mentioned</v>
      </c>
      <c r="BM97" s="0" t="s">
        <v>63</v>
      </c>
      <c r="BN97" s="0" t="str">
        <f aca="false">PROPER(IF(ISBLANK(BM97),"Not Mentioned",BM97))</f>
        <v>Yes</v>
      </c>
      <c r="BO97" s="0" t="s">
        <v>2321</v>
      </c>
      <c r="BP97" s="0" t="str">
        <f aca="false">IF(ISBLANK(BO97),"One-Time Plan",BO97)</f>
        <v>One-Time Plan</v>
      </c>
      <c r="BQ97" s="0" t="s">
        <v>50</v>
      </c>
      <c r="BR97" s="0" t="str">
        <f aca="false">PROPER(IF(ISBLANK(BQ97),"No",BQ97))</f>
        <v>No</v>
      </c>
    </row>
    <row r="98" customFormat="false" ht="15" hidden="false" customHeight="false" outlineLevel="0" collapsed="false">
      <c r="A98" s="0" t="s">
        <v>383</v>
      </c>
      <c r="B98" s="2" t="n">
        <v>45714</v>
      </c>
      <c r="C98" s="2" t="str">
        <f aca="false">TEXT(B98,"dd/mm/yyyy")</f>
        <v>26/02/2025</v>
      </c>
      <c r="D98" s="0" t="s">
        <v>42</v>
      </c>
      <c r="E98" s="0" t="n">
        <v>8013984330</v>
      </c>
      <c r="F98" s="0" t="s">
        <v>85</v>
      </c>
      <c r="G98" s="0" t="s">
        <v>2319</v>
      </c>
      <c r="H98" s="0" t="s">
        <v>384</v>
      </c>
      <c r="I98" s="0" t="s">
        <v>87</v>
      </c>
      <c r="J98" s="0" t="s">
        <v>2322</v>
      </c>
      <c r="K98" s="3" t="str">
        <f aca="false" t="array" ref="K98:K98">IFERROR(IF(J98&lt;&gt;"",J98,INDEX(J98:J1097,MATCH(1,(F98:F1097=F98)*(I98:I1097=I98)*(L98:L1097=L98)*(J98:J1097&lt;&gt;""),0))),"Not Found")</f>
        <v>Brake Failure</v>
      </c>
      <c r="L98" s="3" t="s">
        <v>47</v>
      </c>
      <c r="M98" s="0" t="str">
        <f aca="false">PROPER(L98)</f>
        <v>None</v>
      </c>
      <c r="O98" s="0" t="e">
        <f aca="false" t="array" ref="O98:O98">IF(N98&lt;&gt;"",N98,_xlfn.xlookup(1,(L98:L1097=L98)*(N98:N1097&lt;&gt;""),N98:N1097,"Not Found"))</f>
        <v>#NAME?</v>
      </c>
      <c r="P98" s="4" t="n">
        <v>52611</v>
      </c>
      <c r="Q98" s="0" t="s">
        <v>91</v>
      </c>
      <c r="R98" s="0" t="str">
        <f aca="false">PROPER(Q98)</f>
        <v>Pos</v>
      </c>
      <c r="S98" s="0" t="s">
        <v>50</v>
      </c>
      <c r="T98" s="0" t="n">
        <v>3</v>
      </c>
      <c r="U98" s="5" t="n">
        <f aca="false">IF(ISBLANK(T98),AVERAGE(T98:T1097),T98)</f>
        <v>3</v>
      </c>
      <c r="V98" s="0" t="n">
        <v>1.1</v>
      </c>
      <c r="W98" s="0" t="s">
        <v>92</v>
      </c>
      <c r="X98" s="0" t="str">
        <f aca="false">IF(ISBLANK(W98),"No remarks",W98)</f>
        <v>Urgent service</v>
      </c>
      <c r="Y98" s="0" t="s">
        <v>93</v>
      </c>
      <c r="Z98" s="0" t="s">
        <v>94</v>
      </c>
      <c r="AA98" s="0" t="str">
        <f aca="false">PROPER(IF(ISBLANK(Z98),"Location Unavailable",Z98))</f>
        <v>Vip Section</v>
      </c>
      <c r="AB98" s="0" t="s">
        <v>95</v>
      </c>
      <c r="AC98" s="6" t="str">
        <f aca="false">PROPER(AB98)</f>
        <v>Road Sign</v>
      </c>
      <c r="AD98" s="6" t="n">
        <v>30</v>
      </c>
      <c r="AE98" s="5" t="n">
        <f aca="false">IF(ISBLANK(AD98),AVERAGEIF(L98:L1097,L98,AD98:AD1097),AD98)</f>
        <v>30</v>
      </c>
      <c r="AF98" s="0" t="s">
        <v>96</v>
      </c>
      <c r="AG98" s="0" t="str">
        <f aca="false">PROPER(AF98)</f>
        <v>Ordered</v>
      </c>
      <c r="AH98" s="0" t="s">
        <v>56</v>
      </c>
      <c r="AI98" s="0" t="s">
        <v>128</v>
      </c>
      <c r="AJ98" s="0" t="str">
        <f aca="false">PROPER(AI98)</f>
        <v>Normal</v>
      </c>
      <c r="AK98" s="0" t="s">
        <v>196</v>
      </c>
      <c r="AL98" s="0" t="str">
        <f aca="false">PROPER(AK98)</f>
        <v>First Time</v>
      </c>
      <c r="AM98" s="0" t="s">
        <v>2326</v>
      </c>
      <c r="AN98" s="0" t="str">
        <f aca="false">IF(ISBLANK(AM98),"Unknown",AM98)</f>
        <v>Government Convoy</v>
      </c>
      <c r="AO98" s="0" t="s">
        <v>79</v>
      </c>
      <c r="AP98" s="0" t="str">
        <f aca="false">IF(ISBLANK(AO98),"Unknown",AO98)</f>
        <v>Specialist</v>
      </c>
      <c r="AQ98" s="0" t="n">
        <v>15000</v>
      </c>
      <c r="AR98" s="5" t="n">
        <f aca="false">IF(ISBLANK(AQ98),AVERAGEIF(M98:M1097,M98,AQ98:AQ1097),AQ98)</f>
        <v>15000</v>
      </c>
      <c r="AS98" s="0" t="n">
        <v>30000</v>
      </c>
      <c r="AT98" s="5" t="n">
        <f aca="false">IF(ISBLANK(AS98),AVERAGE(AS98:AS1097),AS98)</f>
        <v>30000</v>
      </c>
      <c r="AU98" s="0" t="s">
        <v>82</v>
      </c>
      <c r="AV98" s="0" t="str">
        <f aca="false">PROPER(IF(ISBLANK(AU98),"No",AU98))</f>
        <v>Yes</v>
      </c>
      <c r="AW98" s="0" t="n">
        <v>0</v>
      </c>
      <c r="AX98" s="5" t="n">
        <f aca="false">IF(ISBLANK(AW98),0,AW98)</f>
        <v>0</v>
      </c>
      <c r="AY98" s="0" t="s">
        <v>80</v>
      </c>
      <c r="AZ98" s="0" t="str">
        <f aca="false">UPPER(IF(ISBLANK(AY98),"NONE",AY98))</f>
        <v>PROMO10</v>
      </c>
      <c r="BA98" s="7" t="n">
        <v>45913</v>
      </c>
      <c r="BB98" s="7" t="n">
        <f aca="false">IF(ISBLANK(BA98),"No Follow Up Needed",BA98)</f>
        <v>45913</v>
      </c>
      <c r="BC98" s="0" t="s">
        <v>63</v>
      </c>
      <c r="BD98" s="0" t="str">
        <f aca="false">PROPER(IF(ISBLANK(BC98),"Unknown",BC98))</f>
        <v>Yes</v>
      </c>
      <c r="BF98" s="0" t="str">
        <f aca="false">IF(ISBLANK(BE98),"No comments",BE98)</f>
        <v>No comments</v>
      </c>
      <c r="BH98" s="0" t="str">
        <f aca="false">IF(ISBLANK(BG98),"No comments",BG98)</f>
        <v>No comments</v>
      </c>
      <c r="BJ98" s="0" t="str">
        <f aca="false">IF(ISBLANK(BI98),"Not Mentioned",BI98)</f>
        <v>Not Mentioned</v>
      </c>
      <c r="BK98" s="0" t="s">
        <v>61</v>
      </c>
      <c r="BL98" s="0" t="str">
        <f aca="false">PROPER(IF(ISBLANK(BK98),"Not Mentioned",BK98))</f>
        <v>No</v>
      </c>
      <c r="BN98" s="0" t="str">
        <f aca="false">PROPER(IF(ISBLANK(BM98),"Not Mentioned",BM98))</f>
        <v>Not Mentioned</v>
      </c>
      <c r="BO98" s="0" t="s">
        <v>64</v>
      </c>
      <c r="BP98" s="0" t="str">
        <f aca="false">IF(ISBLANK(BO98),"One-Time Plan",BO98)</f>
        <v>Gold Maintenance Plan</v>
      </c>
      <c r="BQ98" s="0" t="s">
        <v>63</v>
      </c>
      <c r="BR98" s="0" t="str">
        <f aca="false">PROPER(IF(ISBLANK(BQ98),"No",BQ98))</f>
        <v>Yes</v>
      </c>
    </row>
    <row r="99" customFormat="false" ht="15" hidden="false" customHeight="false" outlineLevel="0" collapsed="false">
      <c r="A99" s="0" t="s">
        <v>385</v>
      </c>
      <c r="B99" s="2" t="n">
        <v>45725</v>
      </c>
      <c r="C99" s="2" t="str">
        <f aca="false">TEXT(B99,"dd/mm/yyyy")</f>
        <v>09/03/2025</v>
      </c>
      <c r="D99" s="0" t="s">
        <v>163</v>
      </c>
      <c r="E99" s="0" t="n">
        <v>8036725819</v>
      </c>
      <c r="F99" s="0" t="s">
        <v>139</v>
      </c>
      <c r="G99" s="0" t="s">
        <v>2323</v>
      </c>
      <c r="H99" s="0" t="s">
        <v>386</v>
      </c>
      <c r="I99" s="0" t="s">
        <v>107</v>
      </c>
      <c r="J99" s="0" t="s">
        <v>87</v>
      </c>
      <c r="K99" s="3" t="str">
        <f aca="false" t="array" ref="K99:K99">IFERROR(IF(J99&lt;&gt;"",J99,INDEX(J99:J1098,MATCH(1,(F99:F1098=F99)*(I99:I1098=I99)*(L99:L1098=L99)*(J99:J1098&lt;&gt;""),0))),"Not Found")</f>
        <v>Oil Change</v>
      </c>
      <c r="L99" s="3" t="s">
        <v>189</v>
      </c>
      <c r="M99" s="0" t="str">
        <f aca="false">PROPER(L99)</f>
        <v>Battery</v>
      </c>
      <c r="N99" s="3" t="s">
        <v>109</v>
      </c>
      <c r="O99" s="0" t="str">
        <f aca="false" t="array" ref="O99:O99">IF(N99&lt;&gt;"",N99,_xlfn.xlookup(1,(L99:L1098=L99)*(N99:N1098&lt;&gt;""),N99:N1098,"Not Found"))</f>
        <v>Tijani</v>
      </c>
      <c r="P99" s="4" t="n">
        <v>95631</v>
      </c>
      <c r="Q99" s="0" t="s">
        <v>91</v>
      </c>
      <c r="R99" s="0" t="str">
        <f aca="false">PROPER(Q99)</f>
        <v>Pos</v>
      </c>
      <c r="S99" s="0" t="s">
        <v>50</v>
      </c>
      <c r="T99" s="0" t="n">
        <v>3</v>
      </c>
      <c r="U99" s="5" t="n">
        <f aca="false">IF(ISBLANK(T99),AVERAGE(T99:T1098),T99)</f>
        <v>3</v>
      </c>
      <c r="V99" s="0" t="n">
        <v>1.6</v>
      </c>
      <c r="W99" s="0" t="s">
        <v>125</v>
      </c>
      <c r="X99" s="0" t="str">
        <f aca="false">IF(ISBLANK(W99),"No remarks",W99)</f>
        <v>Customer waited</v>
      </c>
      <c r="Y99" s="0" t="s">
        <v>73</v>
      </c>
      <c r="AA99" s="0" t="str">
        <f aca="false">PROPER(IF(ISBLANK(Z99),"Location Unavailable",Z99))</f>
        <v>Location Unavailable</v>
      </c>
      <c r="AB99" s="0" t="s">
        <v>167</v>
      </c>
      <c r="AC99" s="6" t="str">
        <f aca="false">PROPER(AB99)</f>
        <v>Word Of Mouth</v>
      </c>
      <c r="AD99" s="6" t="n">
        <v>45</v>
      </c>
      <c r="AE99" s="5" t="n">
        <f aca="false">IF(ISBLANK(AD99),AVERAGEIF(L99:L1098,L99,AD99:AD1098),AD99)</f>
        <v>45</v>
      </c>
      <c r="AF99" s="0" t="s">
        <v>160</v>
      </c>
      <c r="AG99" s="0" t="str">
        <f aca="false">PROPER(AF99)</f>
        <v>Availaible</v>
      </c>
      <c r="AH99" s="0" t="s">
        <v>155</v>
      </c>
      <c r="AI99" s="0" t="s">
        <v>98</v>
      </c>
      <c r="AJ99" s="0" t="str">
        <f aca="false">PROPER(AI99)</f>
        <v>Emergency</v>
      </c>
      <c r="AK99" s="0" t="s">
        <v>114</v>
      </c>
      <c r="AL99" s="0" t="str">
        <f aca="false">PROPER(AK99)</f>
        <v>Returning</v>
      </c>
      <c r="AN99" s="0" t="str">
        <f aca="false">IF(ISBLANK(AM99),"Unknown",AM99)</f>
        <v>Unknown</v>
      </c>
      <c r="AO99" s="0" t="s">
        <v>79</v>
      </c>
      <c r="AP99" s="0" t="str">
        <f aca="false">IF(ISBLANK(AO99),"Unknown",AO99)</f>
        <v>Specialist</v>
      </c>
      <c r="AQ99" s="0" t="n">
        <v>15000</v>
      </c>
      <c r="AR99" s="5" t="n">
        <f aca="false">IF(ISBLANK(AQ99),AVERAGEIF(M99:M1098,M99,AQ99:AQ1098),AQ99)</f>
        <v>15000</v>
      </c>
      <c r="AS99" s="0" t="n">
        <v>30000</v>
      </c>
      <c r="AT99" s="5" t="n">
        <f aca="false">IF(ISBLANK(AS99),AVERAGE(AS99:AS1098),AS99)</f>
        <v>30000</v>
      </c>
      <c r="AU99" s="0" t="s">
        <v>61</v>
      </c>
      <c r="AV99" s="0" t="str">
        <f aca="false">PROPER(IF(ISBLANK(AU99),"No",AU99))</f>
        <v>No</v>
      </c>
      <c r="AW99" s="0" t="n">
        <v>5000</v>
      </c>
      <c r="AX99" s="5" t="n">
        <f aca="false">IF(ISBLANK(AW99),0,AW99)</f>
        <v>5000</v>
      </c>
      <c r="AY99" s="0" t="s">
        <v>80</v>
      </c>
      <c r="AZ99" s="0" t="str">
        <f aca="false">UPPER(IF(ISBLANK(AY99),"NONE",AY99))</f>
        <v>PROMO10</v>
      </c>
      <c r="BA99" s="7" t="n">
        <v>45949</v>
      </c>
      <c r="BB99" s="7" t="n">
        <f aca="false">IF(ISBLANK(BA99),"No Follow Up Needed",BA99)</f>
        <v>45949</v>
      </c>
      <c r="BC99" s="0" t="s">
        <v>61</v>
      </c>
      <c r="BD99" s="0" t="str">
        <f aca="false">PROPER(IF(ISBLANK(BC99),"Unknown",BC99))</f>
        <v>No</v>
      </c>
      <c r="BE99" s="0" t="s">
        <v>116</v>
      </c>
      <c r="BF99" s="0" t="str">
        <f aca="false">IF(ISBLANK(BE99),"No comments",BE99)</f>
        <v>Needs tire alignment</v>
      </c>
      <c r="BG99" s="0" t="s">
        <v>117</v>
      </c>
      <c r="BH99" s="0" t="str">
        <f aca="false">IF(ISBLANK(BG99),"No comments",BG99)</f>
        <v>Prefers morning</v>
      </c>
      <c r="BI99" s="0" t="s">
        <v>50</v>
      </c>
      <c r="BJ99" s="0" t="str">
        <f aca="false">IF(ISBLANK(BI99),"Not Mentioned",BI99)</f>
        <v>No</v>
      </c>
      <c r="BK99" s="0" t="s">
        <v>63</v>
      </c>
      <c r="BL99" s="0" t="str">
        <f aca="false">PROPER(IF(ISBLANK(BK99),"Not Mentioned",BK99))</f>
        <v>Yes</v>
      </c>
      <c r="BN99" s="0" t="str">
        <f aca="false">PROPER(IF(ISBLANK(BM99),"Not Mentioned",BM99))</f>
        <v>Not Mentioned</v>
      </c>
      <c r="BO99" s="0" t="s">
        <v>64</v>
      </c>
      <c r="BP99" s="0" t="str">
        <f aca="false">IF(ISBLANK(BO99),"One-Time Plan",BO99)</f>
        <v>Gold Maintenance Plan</v>
      </c>
      <c r="BQ99" s="0" t="s">
        <v>50</v>
      </c>
      <c r="BR99" s="0" t="str">
        <f aca="false">PROPER(IF(ISBLANK(BQ99),"No",BQ99))</f>
        <v>No</v>
      </c>
    </row>
    <row r="100" customFormat="false" ht="15" hidden="false" customHeight="false" outlineLevel="0" collapsed="false">
      <c r="A100" s="0" t="s">
        <v>388</v>
      </c>
      <c r="B100" s="2" t="s">
        <v>387</v>
      </c>
      <c r="C100" s="2" t="str">
        <f aca="false">TEXT(B100,"dd/mm/yyyy")</f>
        <v>13/05/2025</v>
      </c>
      <c r="D100" s="0" t="s">
        <v>163</v>
      </c>
      <c r="E100" s="0" t="n">
        <v>8036551621</v>
      </c>
      <c r="F100" s="0" t="s">
        <v>122</v>
      </c>
      <c r="G100" s="0" t="s">
        <v>2316</v>
      </c>
      <c r="H100" s="0" t="s">
        <v>389</v>
      </c>
      <c r="I100" s="0" t="s">
        <v>87</v>
      </c>
      <c r="J100" s="0" t="s">
        <v>2322</v>
      </c>
      <c r="K100" s="3" t="str">
        <f aca="false" t="array" ref="K100:K100">IFERROR(IF(J100&lt;&gt;"",J100,INDEX(J100:J1099,MATCH(1,(F100:F1099=F100)*(I100:I1099=I100)*(L100:L1099=L100)*(J100:J1099&lt;&gt;""),0))),"Not Found")</f>
        <v>Brake Failure</v>
      </c>
      <c r="L100" s="3" t="s">
        <v>142</v>
      </c>
      <c r="M100" s="0" t="str">
        <f aca="false">PROPER(L100)</f>
        <v>Oil Filter, Brake Pads</v>
      </c>
      <c r="N100" s="3" t="s">
        <v>90</v>
      </c>
      <c r="O100" s="0" t="str">
        <f aca="false" t="array" ref="O100:O100">IF(N100&lt;&gt;"",N100,_xlfn.xlookup(1,(L100:L1099=L100)*(N100:N1099&lt;&gt;""),N100:N1099,"Not Found"))</f>
        <v>Musa</v>
      </c>
      <c r="P100" s="4" t="n">
        <v>57669</v>
      </c>
      <c r="Q100" s="0" t="s">
        <v>110</v>
      </c>
      <c r="R100" s="0" t="str">
        <f aca="false">PROPER(Q100)</f>
        <v>Cash</v>
      </c>
      <c r="S100" s="0" t="s">
        <v>63</v>
      </c>
      <c r="T100" s="0" t="n">
        <v>5</v>
      </c>
      <c r="U100" s="5" t="n">
        <f aca="false">IF(ISBLANK(T100),AVERAGE(T100:T1099),T100)</f>
        <v>5</v>
      </c>
      <c r="V100" s="0" t="n">
        <v>3.4</v>
      </c>
      <c r="W100" s="0" t="s">
        <v>51</v>
      </c>
      <c r="X100" s="0" t="str">
        <f aca="false">IF(ISBLANK(W100),"No remarks",W100)</f>
        <v>Recommended further checks</v>
      </c>
      <c r="Y100" s="0" t="s">
        <v>73</v>
      </c>
      <c r="Z100" s="0" t="s">
        <v>74</v>
      </c>
      <c r="AA100" s="0" t="str">
        <f aca="false">PROPER(IF(ISBLANK(Z100),"Location Unavailable",Z100))</f>
        <v>Under Tree</v>
      </c>
      <c r="AB100" s="0" t="s">
        <v>95</v>
      </c>
      <c r="AC100" s="6" t="str">
        <f aca="false">PROPER(AB100)</f>
        <v>Road Sign</v>
      </c>
      <c r="AD100" s="6" t="n">
        <v>15</v>
      </c>
      <c r="AE100" s="5" t="n">
        <f aca="false">IF(ISBLANK(AD100),AVERAGEIF(L100:L1099,L100,AD100:AD1099),AD100)</f>
        <v>15</v>
      </c>
      <c r="AF100" s="0" t="s">
        <v>55</v>
      </c>
      <c r="AG100" s="0" t="str">
        <f aca="false">PROPER(AF100)</f>
        <v>Available</v>
      </c>
      <c r="AH100" s="0" t="s">
        <v>155</v>
      </c>
      <c r="AI100" s="0" t="s">
        <v>98</v>
      </c>
      <c r="AJ100" s="0" t="str">
        <f aca="false">PROPER(AI100)</f>
        <v>Emergency</v>
      </c>
      <c r="AK100" s="0" t="s">
        <v>58</v>
      </c>
      <c r="AL100" s="0" t="str">
        <f aca="false">PROPER(AK100)</f>
        <v>Fleet Owner</v>
      </c>
      <c r="AN100" s="0" t="str">
        <f aca="false">IF(ISBLANK(AM100),"Unknown",AM100)</f>
        <v>Unknown</v>
      </c>
      <c r="AO100" s="0" t="s">
        <v>79</v>
      </c>
      <c r="AP100" s="0" t="str">
        <f aca="false">IF(ISBLANK(AO100),"Unknown",AO100)</f>
        <v>Specialist</v>
      </c>
      <c r="AQ100" s="0" t="n">
        <v>30000</v>
      </c>
      <c r="AR100" s="5" t="n">
        <f aca="false">IF(ISBLANK(AQ100),AVERAGEIF(M100:M1099,M100,AQ100:AQ1099),AQ100)</f>
        <v>30000</v>
      </c>
      <c r="AS100" s="0" t="n">
        <v>40000</v>
      </c>
      <c r="AT100" s="5" t="n">
        <f aca="false">IF(ISBLANK(AS100),AVERAGE(AS100:AS1099),AS100)</f>
        <v>40000</v>
      </c>
      <c r="AU100" s="0" t="s">
        <v>50</v>
      </c>
      <c r="AV100" s="0" t="str">
        <f aca="false">PROPER(IF(ISBLANK(AU100),"No",AU100))</f>
        <v>No</v>
      </c>
      <c r="AX100" s="5" t="n">
        <f aca="false">IF(ISBLANK(AW100),0,AW100)</f>
        <v>0</v>
      </c>
      <c r="AZ100" s="0" t="str">
        <f aca="false">UPPER(IF(ISBLANK(AY100),"NONE",AY100))</f>
        <v>NONE</v>
      </c>
      <c r="BB100" s="7" t="str">
        <f aca="false">IF(ISBLANK(BA100),"No Follow Up Needed",BA100)</f>
        <v>No Follow Up Needed</v>
      </c>
      <c r="BC100" s="0" t="s">
        <v>82</v>
      </c>
      <c r="BD100" s="0" t="str">
        <f aca="false">PROPER(IF(ISBLANK(BC100),"Unknown",BC100))</f>
        <v>Yes</v>
      </c>
      <c r="BE100" s="0" t="s">
        <v>171</v>
      </c>
      <c r="BF100" s="0" t="str">
        <f aca="false">IF(ISBLANK(BE100),"No comments",BE100)</f>
        <v>Shock absorber weakening</v>
      </c>
      <c r="BG100" s="0" t="s">
        <v>172</v>
      </c>
      <c r="BH100" s="0" t="str">
        <f aca="false">IF(ISBLANK(BG100),"No comments",BG100)</f>
        <v>Always late</v>
      </c>
      <c r="BI100" s="0" t="s">
        <v>63</v>
      </c>
      <c r="BJ100" s="0" t="str">
        <f aca="false">IF(ISBLANK(BI100),"Not Mentioned",BI100)</f>
        <v>Yes</v>
      </c>
      <c r="BK100" s="0" t="s">
        <v>82</v>
      </c>
      <c r="BL100" s="0" t="str">
        <f aca="false">PROPER(IF(ISBLANK(BK100),"Not Mentioned",BK100))</f>
        <v>Yes</v>
      </c>
      <c r="BN100" s="0" t="str">
        <f aca="false">PROPER(IF(ISBLANK(BM100),"Not Mentioned",BM100))</f>
        <v>Not Mentioned</v>
      </c>
      <c r="BO100" s="0" t="s">
        <v>2321</v>
      </c>
      <c r="BP100" s="0" t="str">
        <f aca="false">IF(ISBLANK(BO100),"One-Time Plan",BO100)</f>
        <v>One-Time Plan</v>
      </c>
      <c r="BR100" s="0" t="str">
        <f aca="false">PROPER(IF(ISBLANK(BQ100),"No",BQ100))</f>
        <v>No</v>
      </c>
    </row>
    <row r="101" customFormat="false" ht="15" hidden="false" customHeight="false" outlineLevel="0" collapsed="false">
      <c r="A101" s="0" t="s">
        <v>390</v>
      </c>
      <c r="B101" s="2" t="n">
        <v>45778</v>
      </c>
      <c r="C101" s="2" t="str">
        <f aca="false">TEXT(B101,"dd/mm/yyyy")</f>
        <v>01/05/2025</v>
      </c>
      <c r="D101" s="0" t="s">
        <v>121</v>
      </c>
      <c r="E101" s="0" t="n">
        <v>8048131375</v>
      </c>
      <c r="F101" s="0" t="s">
        <v>67</v>
      </c>
      <c r="G101" s="0" t="s">
        <v>2316</v>
      </c>
      <c r="H101" s="0" t="s">
        <v>391</v>
      </c>
      <c r="I101" s="0" t="s">
        <v>107</v>
      </c>
      <c r="J101" s="0" t="s">
        <v>2325</v>
      </c>
      <c r="K101" s="3" t="str">
        <f aca="false" t="array" ref="K101:K101">IFERROR(IF(J101&lt;&gt;"",J101,INDEX(J101:J1100,MATCH(1,(F101:F1100=F101)*(I101:I1100=I101)*(L101:L1100=L101)*(J101:J1100&lt;&gt;""),0))),"Not Found")</f>
        <v>Engine Knocking</v>
      </c>
      <c r="L101" s="3" t="s">
        <v>154</v>
      </c>
      <c r="M101" s="0" t="str">
        <f aca="false">PROPER(L101)</f>
        <v>Air Filter</v>
      </c>
      <c r="N101" s="3" t="s">
        <v>109</v>
      </c>
      <c r="O101" s="0" t="str">
        <f aca="false" t="array" ref="O101:O101">IF(N101&lt;&gt;"",N101,_xlfn.xlookup(1,(L101:L1100=L101)*(N101:N1100&lt;&gt;""),N101:N1100,"Not Found"))</f>
        <v>Tijani</v>
      </c>
      <c r="P101" s="4" t="n">
        <v>102074</v>
      </c>
      <c r="Q101" s="0" t="s">
        <v>72</v>
      </c>
      <c r="R101" s="0" t="str">
        <f aca="false">PROPER(Q101)</f>
        <v>Pos</v>
      </c>
      <c r="S101" s="0" t="s">
        <v>63</v>
      </c>
      <c r="T101" s="0" t="n">
        <v>3</v>
      </c>
      <c r="U101" s="5" t="n">
        <f aca="false">IF(ISBLANK(T101),AVERAGE(T101:T1100),T101)</f>
        <v>3</v>
      </c>
      <c r="V101" s="0" t="n">
        <v>3.1</v>
      </c>
      <c r="W101" s="0" t="s">
        <v>51</v>
      </c>
      <c r="X101" s="0" t="str">
        <f aca="false">IF(ISBLANK(W101),"No remarks",W101)</f>
        <v>Recommended further checks</v>
      </c>
      <c r="Y101" s="0" t="s">
        <v>52</v>
      </c>
      <c r="Z101" s="0" t="s">
        <v>94</v>
      </c>
      <c r="AA101" s="0" t="str">
        <f aca="false">PROPER(IF(ISBLANK(Z101),"Location Unavailable",Z101))</f>
        <v>Vip Section</v>
      </c>
      <c r="AB101" s="0" t="s">
        <v>54</v>
      </c>
      <c r="AC101" s="6" t="str">
        <f aca="false">PROPER(AB101)</f>
        <v>Mechanic Referral</v>
      </c>
      <c r="AD101" s="6" t="n">
        <v>15</v>
      </c>
      <c r="AE101" s="5" t="n">
        <f aca="false">IF(ISBLANK(AD101),AVERAGEIF(L101:L1100,L101,AD101:AD1100),AD101)</f>
        <v>15</v>
      </c>
      <c r="AF101" s="0" t="s">
        <v>112</v>
      </c>
      <c r="AG101" s="0" t="str">
        <f aca="false">PROPER(AF101)</f>
        <v>Unavailable</v>
      </c>
      <c r="AH101" s="0" t="s">
        <v>155</v>
      </c>
      <c r="AI101" s="0" t="s">
        <v>128</v>
      </c>
      <c r="AJ101" s="0" t="str">
        <f aca="false">PROPER(AI101)</f>
        <v>Normal</v>
      </c>
      <c r="AK101" s="0" t="s">
        <v>196</v>
      </c>
      <c r="AL101" s="0" t="str">
        <f aca="false">PROPER(AK101)</f>
        <v>First Time</v>
      </c>
      <c r="AN101" s="0" t="str">
        <f aca="false">IF(ISBLANK(AM101),"Unknown",AM101)</f>
        <v>Unknown</v>
      </c>
      <c r="AO101" s="0" t="s">
        <v>161</v>
      </c>
      <c r="AP101" s="0" t="str">
        <f aca="false">IF(ISBLANK(AO101),"Unknown",AO101)</f>
        <v>Apprentice</v>
      </c>
      <c r="AQ101" s="0" t="n">
        <v>15000</v>
      </c>
      <c r="AR101" s="5" t="n">
        <f aca="false">IF(ISBLANK(AQ101),AVERAGEIF(M101:M1100,M101,AQ101:AQ1100),AQ101)</f>
        <v>15000</v>
      </c>
      <c r="AS101" s="0" t="n">
        <v>40000</v>
      </c>
      <c r="AT101" s="5" t="n">
        <f aca="false">IF(ISBLANK(AS101),AVERAGE(AS101:AS1100),AS101)</f>
        <v>40000</v>
      </c>
      <c r="AU101" s="0" t="s">
        <v>61</v>
      </c>
      <c r="AV101" s="0" t="str">
        <f aca="false">PROPER(IF(ISBLANK(AU101),"No",AU101))</f>
        <v>No</v>
      </c>
      <c r="AW101" s="0" t="n">
        <v>5000</v>
      </c>
      <c r="AX101" s="5" t="n">
        <f aca="false">IF(ISBLANK(AW101),0,AW101)</f>
        <v>5000</v>
      </c>
      <c r="AY101" s="0" t="s">
        <v>184</v>
      </c>
      <c r="AZ101" s="0" t="str">
        <f aca="false">UPPER(IF(ISBLANK(AY101),"NONE",AY101))</f>
        <v>N/A</v>
      </c>
      <c r="BB101" s="7" t="str">
        <f aca="false">IF(ISBLANK(BA101),"No Follow Up Needed",BA101)</f>
        <v>No Follow Up Needed</v>
      </c>
      <c r="BC101" s="0" t="s">
        <v>82</v>
      </c>
      <c r="BD101" s="0" t="str">
        <f aca="false">PROPER(IF(ISBLANK(BC101),"Unknown",BC101))</f>
        <v>Yes</v>
      </c>
      <c r="BE101" s="0" t="s">
        <v>171</v>
      </c>
      <c r="BF101" s="0" t="str">
        <f aca="false">IF(ISBLANK(BE101),"No comments",BE101)</f>
        <v>Shock absorber weakening</v>
      </c>
      <c r="BH101" s="0" t="str">
        <f aca="false">IF(ISBLANK(BG101),"No comments",BG101)</f>
        <v>No comments</v>
      </c>
      <c r="BI101" s="0" t="s">
        <v>50</v>
      </c>
      <c r="BJ101" s="0" t="str">
        <f aca="false">IF(ISBLANK(BI101),"Not Mentioned",BI101)</f>
        <v>No</v>
      </c>
      <c r="BK101" s="0" t="s">
        <v>50</v>
      </c>
      <c r="BL101" s="0" t="str">
        <f aca="false">PROPER(IF(ISBLANK(BK101),"Not Mentioned",BK101))</f>
        <v>No</v>
      </c>
      <c r="BM101" s="0" t="s">
        <v>63</v>
      </c>
      <c r="BN101" s="0" t="str">
        <f aca="false">PROPER(IF(ISBLANK(BM101),"Not Mentioned",BM101))</f>
        <v>Yes</v>
      </c>
      <c r="BO101" s="0" t="s">
        <v>2318</v>
      </c>
      <c r="BP101" s="0" t="str">
        <f aca="false">IF(ISBLANK(BO101),"One-Time Plan",BO101)</f>
        <v>Gold</v>
      </c>
      <c r="BQ101" s="0" t="s">
        <v>190</v>
      </c>
      <c r="BR101" s="0" t="str">
        <f aca="false">PROPER(IF(ISBLANK(BQ101),"No",BQ101))</f>
        <v>Yes</v>
      </c>
    </row>
    <row r="102" customFormat="false" ht="15" hidden="false" customHeight="false" outlineLevel="0" collapsed="false">
      <c r="A102" s="0" t="s">
        <v>2283</v>
      </c>
      <c r="B102" s="2" t="s">
        <v>2282</v>
      </c>
      <c r="C102" s="2" t="str">
        <f aca="false">TEXT(B102,"dd/mm/yyyy")</f>
        <v>21/04/2025</v>
      </c>
      <c r="D102" s="0" t="s">
        <v>163</v>
      </c>
      <c r="E102" s="0" t="n">
        <v>8022138886</v>
      </c>
      <c r="F102" s="0" t="s">
        <v>85</v>
      </c>
      <c r="G102" s="0" t="s">
        <v>2319</v>
      </c>
      <c r="H102" s="0" t="s">
        <v>2284</v>
      </c>
      <c r="I102" s="0" t="s">
        <v>87</v>
      </c>
      <c r="J102" s="0" t="s">
        <v>87</v>
      </c>
      <c r="K102" s="3" t="str">
        <f aca="false" t="array" ref="K102:K102">IFERROR(IF(J102&lt;&gt;"",J102,INDEX(J102:J1101,MATCH(1,(F102:F1101=F102)*(I102:I1101=I102)*(L102:L1101=L102)*(J102:J1101&lt;&gt;""),0))),"Not Found")</f>
        <v>Oil Change</v>
      </c>
      <c r="L102" s="3" t="s">
        <v>89</v>
      </c>
      <c r="M102" s="0" t="str">
        <f aca="false">PROPER(L102)</f>
        <v>Shock Absorbers</v>
      </c>
      <c r="N102" s="3" t="s">
        <v>109</v>
      </c>
      <c r="O102" s="0" t="str">
        <f aca="false" t="array" ref="O102:O102">IF(N102&lt;&gt;"",N102,_xlfn.xlookup(1,(L102:L1101=L102)*(N102:N1101&lt;&gt;""),N102:N1101,"Not Found"))</f>
        <v>Tijani</v>
      </c>
      <c r="P102" s="4" t="n">
        <v>11522</v>
      </c>
      <c r="Q102" s="0" t="s">
        <v>91</v>
      </c>
      <c r="R102" s="0" t="str">
        <f aca="false">PROPER(Q102)</f>
        <v>Pos</v>
      </c>
      <c r="S102" s="0" t="s">
        <v>50</v>
      </c>
      <c r="U102" s="5" t="n">
        <f aca="false">IF(ISBLANK(T102),AVERAGE(T102:T1101),T102)</f>
        <v>2.98798397863818</v>
      </c>
      <c r="V102" s="0" t="n">
        <v>1.9</v>
      </c>
      <c r="W102" s="0" t="s">
        <v>125</v>
      </c>
      <c r="X102" s="0" t="str">
        <f aca="false">IF(ISBLANK(W102),"No remarks",W102)</f>
        <v>Customer waited</v>
      </c>
      <c r="Y102" s="0" t="s">
        <v>93</v>
      </c>
      <c r="Z102" s="0" t="s">
        <v>74</v>
      </c>
      <c r="AA102" s="0" t="str">
        <f aca="false">PROPER(IF(ISBLANK(Z102),"Location Unavailable",Z102))</f>
        <v>Under Tree</v>
      </c>
      <c r="AB102" s="0" t="s">
        <v>54</v>
      </c>
      <c r="AC102" s="6" t="str">
        <f aca="false">PROPER(AB102)</f>
        <v>Mechanic Referral</v>
      </c>
      <c r="AD102" s="6" t="n">
        <v>45</v>
      </c>
      <c r="AE102" s="5" t="n">
        <f aca="false">IF(ISBLANK(AD102),AVERAGEIF(L102:L1101,L102,AD102:AD1101),AD102)</f>
        <v>45</v>
      </c>
      <c r="AF102" s="0" t="s">
        <v>160</v>
      </c>
      <c r="AG102" s="0" t="str">
        <f aca="false">PROPER(AF102)</f>
        <v>Availaible</v>
      </c>
      <c r="AH102" s="0" t="s">
        <v>155</v>
      </c>
      <c r="AI102" s="0" t="s">
        <v>98</v>
      </c>
      <c r="AJ102" s="0" t="str">
        <f aca="false">PROPER(AI102)</f>
        <v>Emergency</v>
      </c>
      <c r="AK102" s="0" t="s">
        <v>99</v>
      </c>
      <c r="AL102" s="0" t="str">
        <f aca="false">PROPER(AK102)</f>
        <v>Uber Driver</v>
      </c>
      <c r="AM102" s="0" t="s">
        <v>59</v>
      </c>
      <c r="AN102" s="0" t="str">
        <f aca="false">IF(ISBLANK(AM102),"Unknown",AM102)</f>
        <v>Bolt Driver</v>
      </c>
      <c r="AO102" s="0" t="s">
        <v>149</v>
      </c>
      <c r="AP102" s="0" t="str">
        <f aca="false">IF(ISBLANK(AO102),"Unknown",AO102)</f>
        <v>Senior </v>
      </c>
      <c r="AQ102" s="0" t="n">
        <v>15000</v>
      </c>
      <c r="AR102" s="5" t="n">
        <f aca="false">IF(ISBLANK(AQ102),AVERAGEIF(M102:M1101,M102,AQ102:AQ1101),AQ102)</f>
        <v>15000</v>
      </c>
      <c r="AS102" s="0" t="n">
        <v>35000</v>
      </c>
      <c r="AT102" s="5" t="n">
        <f aca="false">IF(ISBLANK(AS102),AVERAGE(AS102:AS1101),AS102)</f>
        <v>35000</v>
      </c>
      <c r="AV102" s="0" t="str">
        <f aca="false">PROPER(IF(ISBLANK(AU102),"No",AU102))</f>
        <v>No</v>
      </c>
      <c r="AW102" s="0" t="n">
        <v>5000</v>
      </c>
      <c r="AX102" s="5" t="n">
        <f aca="false">IF(ISBLANK(AW102),0,AW102)</f>
        <v>5000</v>
      </c>
      <c r="AY102" s="0" t="s">
        <v>184</v>
      </c>
      <c r="AZ102" s="0" t="str">
        <f aca="false">UPPER(IF(ISBLANK(AY102),"NONE",AY102))</f>
        <v>N/A</v>
      </c>
      <c r="BA102" s="7" t="s">
        <v>1063</v>
      </c>
      <c r="BB102" s="7" t="str">
        <f aca="false">IF(ISBLANK(BA102),"No Follow Up Needed",BA102)</f>
        <v>16/11/2025</v>
      </c>
      <c r="BD102" s="0" t="str">
        <f aca="false">PROPER(IF(ISBLANK(BC102),"Unknown",BC102))</f>
        <v>Unknown</v>
      </c>
      <c r="BE102" s="0" t="s">
        <v>171</v>
      </c>
      <c r="BF102" s="0" t="str">
        <f aca="false">IF(ISBLANK(BE102),"No comments",BE102)</f>
        <v>Shock absorber weakening</v>
      </c>
      <c r="BG102" s="0" t="s">
        <v>117</v>
      </c>
      <c r="BH102" s="0" t="str">
        <f aca="false">IF(ISBLANK(BG102),"No comments",BG102)</f>
        <v>Prefers morning</v>
      </c>
      <c r="BI102" s="0" t="s">
        <v>50</v>
      </c>
      <c r="BJ102" s="0" t="str">
        <f aca="false">IF(ISBLANK(BI102),"Not Mentioned",BI102)</f>
        <v>No</v>
      </c>
      <c r="BK102" s="0" t="s">
        <v>50</v>
      </c>
      <c r="BL102" s="0" t="str">
        <f aca="false">PROPER(IF(ISBLANK(BK102),"Not Mentioned",BK102))</f>
        <v>No</v>
      </c>
      <c r="BM102" s="0" t="s">
        <v>63</v>
      </c>
      <c r="BN102" s="0" t="str">
        <f aca="false">PROPER(IF(ISBLANK(BM102),"Not Mentioned",BM102))</f>
        <v>Yes</v>
      </c>
      <c r="BO102" s="0" t="s">
        <v>2318</v>
      </c>
      <c r="BP102" s="0" t="str">
        <f aca="false">IF(ISBLANK(BO102),"One-Time Plan",BO102)</f>
        <v>Gold</v>
      </c>
      <c r="BQ102" s="0" t="s">
        <v>50</v>
      </c>
      <c r="BR102" s="0" t="str">
        <f aca="false">PROPER(IF(ISBLANK(BQ102),"No",BQ102))</f>
        <v>No</v>
      </c>
    </row>
    <row r="103" customFormat="false" ht="15" hidden="false" customHeight="false" outlineLevel="0" collapsed="false">
      <c r="A103" s="0" t="s">
        <v>392</v>
      </c>
      <c r="B103" s="2" t="n">
        <v>45791</v>
      </c>
      <c r="C103" s="2" t="str">
        <f aca="false">TEXT(B103,"dd/mm/yyyy")</f>
        <v>14/05/2025</v>
      </c>
      <c r="D103" s="0" t="s">
        <v>42</v>
      </c>
      <c r="E103" s="0" t="n">
        <v>8033373562</v>
      </c>
      <c r="F103" s="0" t="s">
        <v>43</v>
      </c>
      <c r="G103" s="0" t="s">
        <v>2315</v>
      </c>
      <c r="H103" s="0" t="s">
        <v>393</v>
      </c>
      <c r="I103" s="0" t="s">
        <v>87</v>
      </c>
      <c r="J103" s="0" t="s">
        <v>2322</v>
      </c>
      <c r="K103" s="3" t="str">
        <f aca="false" t="array" ref="K103:K103">IFERROR(IF(J103&lt;&gt;"",J103,INDEX(J103:J1102,MATCH(1,(F103:F1102=F103)*(I103:I1102=I103)*(L103:L1102=L103)*(J103:J1102&lt;&gt;""),0))),"Not Found")</f>
        <v>Brake Failure</v>
      </c>
      <c r="L103" s="3" t="s">
        <v>142</v>
      </c>
      <c r="M103" s="0" t="str">
        <f aca="false">PROPER(L103)</f>
        <v>Oil Filter, Brake Pads</v>
      </c>
      <c r="N103" s="3" t="s">
        <v>109</v>
      </c>
      <c r="O103" s="0" t="str">
        <f aca="false" t="array" ref="O103:O103">IF(N103&lt;&gt;"",N103,_xlfn.xlookup(1,(L103:L1102=L103)*(N103:N1102&lt;&gt;""),N103:N1102,"Not Found"))</f>
        <v>Tijani</v>
      </c>
      <c r="P103" s="4" t="n">
        <v>42049</v>
      </c>
      <c r="Q103" s="0" t="s">
        <v>124</v>
      </c>
      <c r="R103" s="0" t="str">
        <f aca="false">PROPER(Q103)</f>
        <v>Cash</v>
      </c>
      <c r="S103" s="0" t="s">
        <v>63</v>
      </c>
      <c r="T103" s="0" t="n">
        <v>2</v>
      </c>
      <c r="U103" s="5" t="n">
        <f aca="false">IF(ISBLANK(T103),AVERAGE(T103:T1102),T103)</f>
        <v>2</v>
      </c>
      <c r="V103" s="0" t="n">
        <v>4.2</v>
      </c>
      <c r="W103" s="0" t="s">
        <v>51</v>
      </c>
      <c r="X103" s="0" t="str">
        <f aca="false">IF(ISBLANK(W103),"No remarks",W103)</f>
        <v>Recommended further checks</v>
      </c>
      <c r="Y103" s="0" t="s">
        <v>93</v>
      </c>
      <c r="Z103" s="0" t="s">
        <v>53</v>
      </c>
      <c r="AA103" s="0" t="str">
        <f aca="false">PROPER(IF(ISBLANK(Z103),"Location Unavailable",Z103))</f>
        <v>Main Bay</v>
      </c>
      <c r="AB103" s="0" t="s">
        <v>54</v>
      </c>
      <c r="AC103" s="6" t="str">
        <f aca="false">PROPER(AB103)</f>
        <v>Mechanic Referral</v>
      </c>
      <c r="AD103" s="6" t="n">
        <v>45</v>
      </c>
      <c r="AE103" s="5" t="n">
        <f aca="false">IF(ISBLANK(AD103),AVERAGEIF(L103:L1102,L103,AD103:AD1102),AD103)</f>
        <v>45</v>
      </c>
      <c r="AF103" s="0" t="s">
        <v>160</v>
      </c>
      <c r="AG103" s="0" t="str">
        <f aca="false">PROPER(AF103)</f>
        <v>Availaible</v>
      </c>
      <c r="AH103" s="0" t="s">
        <v>148</v>
      </c>
      <c r="AI103" s="0" t="s">
        <v>128</v>
      </c>
      <c r="AJ103" s="0" t="str">
        <f aca="false">PROPER(AI103)</f>
        <v>Normal</v>
      </c>
      <c r="AK103" s="0" t="s">
        <v>114</v>
      </c>
      <c r="AL103" s="0" t="str">
        <f aca="false">PROPER(AK103)</f>
        <v>Returning</v>
      </c>
      <c r="AM103" s="0" t="s">
        <v>2326</v>
      </c>
      <c r="AN103" s="0" t="str">
        <f aca="false">IF(ISBLANK(AM103),"Unknown",AM103)</f>
        <v>Government Convoy</v>
      </c>
      <c r="AP103" s="0" t="str">
        <f aca="false">IF(ISBLANK(AO103),"Unknown",AO103)</f>
        <v>Unknown</v>
      </c>
      <c r="AQ103" s="0" t="n">
        <v>15000</v>
      </c>
      <c r="AR103" s="5" t="n">
        <f aca="false">IF(ISBLANK(AQ103),AVERAGEIF(M103:M1102,M103,AQ103:AQ1102),AQ103)</f>
        <v>15000</v>
      </c>
      <c r="AS103" s="0" t="n">
        <v>30000</v>
      </c>
      <c r="AT103" s="5" t="n">
        <f aca="false">IF(ISBLANK(AS103),AVERAGE(AS103:AS1102),AS103)</f>
        <v>30000</v>
      </c>
      <c r="AU103" s="0" t="s">
        <v>82</v>
      </c>
      <c r="AV103" s="0" t="str">
        <f aca="false">PROPER(IF(ISBLANK(AU103),"No",AU103))</f>
        <v>Yes</v>
      </c>
      <c r="AW103" s="0" t="n">
        <v>0</v>
      </c>
      <c r="AX103" s="5" t="n">
        <f aca="false">IF(ISBLANK(AW103),0,AW103)</f>
        <v>0</v>
      </c>
      <c r="AZ103" s="0" t="str">
        <f aca="false">UPPER(IF(ISBLANK(AY103),"NONE",AY103))</f>
        <v>NONE</v>
      </c>
      <c r="BB103" s="7" t="str">
        <f aca="false">IF(ISBLANK(BA103),"No Follow Up Needed",BA103)</f>
        <v>No Follow Up Needed</v>
      </c>
      <c r="BC103" s="0" t="s">
        <v>63</v>
      </c>
      <c r="BD103" s="0" t="str">
        <f aca="false">PROPER(IF(ISBLANK(BC103),"Unknown",BC103))</f>
        <v>Yes</v>
      </c>
      <c r="BF103" s="0" t="str">
        <f aca="false">IF(ISBLANK(BE103),"No comments",BE103)</f>
        <v>No comments</v>
      </c>
      <c r="BH103" s="0" t="str">
        <f aca="false">IF(ISBLANK(BG103),"No comments",BG103)</f>
        <v>No comments</v>
      </c>
      <c r="BI103" s="0" t="s">
        <v>50</v>
      </c>
      <c r="BJ103" s="0" t="str">
        <f aca="false">IF(ISBLANK(BI103),"Not Mentioned",BI103)</f>
        <v>No</v>
      </c>
      <c r="BK103" s="0" t="s">
        <v>82</v>
      </c>
      <c r="BL103" s="0" t="str">
        <f aca="false">PROPER(IF(ISBLANK(BK103),"Not Mentioned",BK103))</f>
        <v>Yes</v>
      </c>
      <c r="BM103" s="0" t="s">
        <v>50</v>
      </c>
      <c r="BN103" s="0" t="str">
        <f aca="false">PROPER(IF(ISBLANK(BM103),"Not Mentioned",BM103))</f>
        <v>No</v>
      </c>
      <c r="BO103" s="0" t="s">
        <v>2321</v>
      </c>
      <c r="BP103" s="0" t="str">
        <f aca="false">IF(ISBLANK(BO103),"One-Time Plan",BO103)</f>
        <v>One-Time Plan</v>
      </c>
      <c r="BR103" s="0" t="str">
        <f aca="false">PROPER(IF(ISBLANK(BQ103),"No",BQ103))</f>
        <v>No</v>
      </c>
    </row>
    <row r="104" customFormat="false" ht="15" hidden="false" customHeight="false" outlineLevel="0" collapsed="false">
      <c r="A104" s="0" t="s">
        <v>394</v>
      </c>
      <c r="B104" s="2" t="n">
        <v>45806</v>
      </c>
      <c r="C104" s="2" t="str">
        <f aca="false">TEXT(B104,"dd/mm/yyyy")</f>
        <v>29/05/2025</v>
      </c>
      <c r="D104" s="0" t="s">
        <v>121</v>
      </c>
      <c r="E104" s="0" t="n">
        <v>8039386305</v>
      </c>
      <c r="F104" s="0" t="s">
        <v>85</v>
      </c>
      <c r="G104" s="0" t="s">
        <v>2319</v>
      </c>
      <c r="H104" s="0" t="s">
        <v>395</v>
      </c>
      <c r="I104" s="0" t="s">
        <v>69</v>
      </c>
      <c r="J104" s="0" t="s">
        <v>2322</v>
      </c>
      <c r="K104" s="3" t="str">
        <f aca="false" t="array" ref="K104:K104">IFERROR(IF(J104&lt;&gt;"",J104,INDEX(J104:J1103,MATCH(1,(F104:F1103=F104)*(I104:I1103=I104)*(L104:L1103=L104)*(J104:J1103&lt;&gt;""),0))),"Not Found")</f>
        <v>Brake Failure</v>
      </c>
      <c r="L104" s="3" t="s">
        <v>89</v>
      </c>
      <c r="M104" s="0" t="str">
        <f aca="false">PROPER(L104)</f>
        <v>Shock Absorbers</v>
      </c>
      <c r="N104" s="3" t="s">
        <v>109</v>
      </c>
      <c r="O104" s="0" t="str">
        <f aca="false" t="array" ref="O104:O104">IF(N104&lt;&gt;"",N104,_xlfn.xlookup(1,(L104:L1103=L104)*(N104:N1103&lt;&gt;""),N104:N1103,"Not Found"))</f>
        <v>Tijani</v>
      </c>
      <c r="P104" s="4" t="n">
        <v>113461</v>
      </c>
      <c r="Q104" s="0" t="s">
        <v>124</v>
      </c>
      <c r="R104" s="0" t="str">
        <f aca="false">PROPER(Q104)</f>
        <v>Cash</v>
      </c>
      <c r="S104" s="0" t="s">
        <v>50</v>
      </c>
      <c r="T104" s="0" t="n">
        <v>3</v>
      </c>
      <c r="U104" s="5" t="n">
        <f aca="false">IF(ISBLANK(T104),AVERAGE(T104:T1103),T104)</f>
        <v>3</v>
      </c>
      <c r="V104" s="0" t="n">
        <v>1.2</v>
      </c>
      <c r="W104" s="0" t="s">
        <v>125</v>
      </c>
      <c r="X104" s="0" t="str">
        <f aca="false">IF(ISBLANK(W104),"No remarks",W104)</f>
        <v>Customer waited</v>
      </c>
      <c r="Y104" s="0" t="s">
        <v>73</v>
      </c>
      <c r="Z104" s="0" t="s">
        <v>94</v>
      </c>
      <c r="AA104" s="0" t="str">
        <f aca="false">PROPER(IF(ISBLANK(Z104),"Location Unavailable",Z104))</f>
        <v>Vip Section</v>
      </c>
      <c r="AB104" s="0" t="s">
        <v>167</v>
      </c>
      <c r="AC104" s="6" t="str">
        <f aca="false">PROPER(AB104)</f>
        <v>Word Of Mouth</v>
      </c>
      <c r="AD104" s="6" t="n">
        <v>30</v>
      </c>
      <c r="AE104" s="5" t="n">
        <f aca="false">IF(ISBLANK(AD104),AVERAGEIF(L104:L1103,L104,AD104:AD1103),AD104)</f>
        <v>30</v>
      </c>
      <c r="AF104" s="0" t="s">
        <v>112</v>
      </c>
      <c r="AG104" s="0" t="str">
        <f aca="false">PROPER(AF104)</f>
        <v>Unavailable</v>
      </c>
      <c r="AH104" s="0" t="s">
        <v>155</v>
      </c>
      <c r="AI104" s="0" t="s">
        <v>128</v>
      </c>
      <c r="AJ104" s="0" t="str">
        <f aca="false">PROPER(AI104)</f>
        <v>Normal</v>
      </c>
      <c r="AK104" s="0" t="s">
        <v>114</v>
      </c>
      <c r="AL104" s="0" t="str">
        <f aca="false">PROPER(AK104)</f>
        <v>Returning</v>
      </c>
      <c r="AM104" s="0" t="s">
        <v>2326</v>
      </c>
      <c r="AN104" s="0" t="str">
        <f aca="false">IF(ISBLANK(AM104),"Unknown",AM104)</f>
        <v>Government Convoy</v>
      </c>
      <c r="AO104" s="0" t="s">
        <v>161</v>
      </c>
      <c r="AP104" s="0" t="str">
        <f aca="false">IF(ISBLANK(AO104),"Unknown",AO104)</f>
        <v>Apprentice</v>
      </c>
      <c r="AQ104" s="0" t="n">
        <v>20000</v>
      </c>
      <c r="AR104" s="5" t="n">
        <f aca="false">IF(ISBLANK(AQ104),AVERAGEIF(M104:M1103,M104,AQ104:AQ1103),AQ104)</f>
        <v>20000</v>
      </c>
      <c r="AS104" s="0" t="n">
        <v>40000</v>
      </c>
      <c r="AT104" s="5" t="n">
        <f aca="false">IF(ISBLANK(AS104),AVERAGE(AS104:AS1103),AS104)</f>
        <v>40000</v>
      </c>
      <c r="AU104" s="0" t="s">
        <v>50</v>
      </c>
      <c r="AV104" s="0" t="str">
        <f aca="false">PROPER(IF(ISBLANK(AU104),"No",AU104))</f>
        <v>No</v>
      </c>
      <c r="AW104" s="0" t="n">
        <v>0</v>
      </c>
      <c r="AX104" s="5" t="n">
        <f aca="false">IF(ISBLANK(AW104),0,AW104)</f>
        <v>0</v>
      </c>
      <c r="AY104" s="0" t="s">
        <v>184</v>
      </c>
      <c r="AZ104" s="0" t="str">
        <f aca="false">UPPER(IF(ISBLANK(AY104),"NONE",AY104))</f>
        <v>N/A</v>
      </c>
      <c r="BA104" s="7" t="s">
        <v>179</v>
      </c>
      <c r="BB104" s="7" t="str">
        <f aca="false">IF(ISBLANK(BA104),"No Follow Up Needed",BA104)</f>
        <v>16/12/2025</v>
      </c>
      <c r="BD104" s="0" t="str">
        <f aca="false">PROPER(IF(ISBLANK(BC104),"Unknown",BC104))</f>
        <v>Unknown</v>
      </c>
      <c r="BF104" s="0" t="str">
        <f aca="false">IF(ISBLANK(BE104),"No comments",BE104)</f>
        <v>No comments</v>
      </c>
      <c r="BG104" s="0" t="s">
        <v>2320</v>
      </c>
      <c r="BH104" s="0" t="str">
        <f aca="false">IF(ISBLANK(BG104),"No comments",BG104)</f>
        <v>No complaints</v>
      </c>
      <c r="BI104" s="0" t="s">
        <v>50</v>
      </c>
      <c r="BJ104" s="0" t="str">
        <f aca="false">IF(ISBLANK(BI104),"Not Mentioned",BI104)</f>
        <v>No</v>
      </c>
      <c r="BL104" s="0" t="str">
        <f aca="false">PROPER(IF(ISBLANK(BK104),"Not Mentioned",BK104))</f>
        <v>Not Mentioned</v>
      </c>
      <c r="BN104" s="0" t="str">
        <f aca="false">PROPER(IF(ISBLANK(BM104),"Not Mentioned",BM104))</f>
        <v>Not Mentioned</v>
      </c>
      <c r="BO104" s="0" t="s">
        <v>2321</v>
      </c>
      <c r="BP104" s="0" t="str">
        <f aca="false">IF(ISBLANK(BO104),"One-Time Plan",BO104)</f>
        <v>One-Time Plan</v>
      </c>
      <c r="BR104" s="0" t="str">
        <f aca="false">PROPER(IF(ISBLANK(BQ104),"No",BQ104))</f>
        <v>No</v>
      </c>
    </row>
    <row r="105" customFormat="false" ht="15" hidden="false" customHeight="false" outlineLevel="0" collapsed="false">
      <c r="A105" s="0" t="s">
        <v>396</v>
      </c>
      <c r="B105" s="2" t="n">
        <v>45754</v>
      </c>
      <c r="C105" s="2" t="str">
        <f aca="false">TEXT(B105,"dd/mm/yyyy")</f>
        <v>07/04/2025</v>
      </c>
      <c r="D105" s="0" t="s">
        <v>66</v>
      </c>
      <c r="E105" s="0" t="n">
        <v>8045164890</v>
      </c>
      <c r="F105" s="0" t="s">
        <v>122</v>
      </c>
      <c r="G105" s="0" t="s">
        <v>2316</v>
      </c>
      <c r="H105" s="0" t="s">
        <v>397</v>
      </c>
      <c r="I105" s="0" t="s">
        <v>45</v>
      </c>
      <c r="J105" s="0" t="s">
        <v>2322</v>
      </c>
      <c r="K105" s="3" t="str">
        <f aca="false" t="array" ref="K105:K105">IFERROR(IF(J105&lt;&gt;"",J105,INDEX(J105:J1104,MATCH(1,(F105:F1104=F105)*(I105:I1104=I105)*(L105:L1104=L105)*(J105:J1104&lt;&gt;""),0))),"Not Found")</f>
        <v>Brake Failure</v>
      </c>
      <c r="L105" s="3" t="s">
        <v>89</v>
      </c>
      <c r="M105" s="0" t="str">
        <f aca="false">PROPER(L105)</f>
        <v>Shock Absorbers</v>
      </c>
      <c r="N105" s="3" t="s">
        <v>109</v>
      </c>
      <c r="O105" s="0" t="str">
        <f aca="false" t="array" ref="O105:O105">IF(N105&lt;&gt;"",N105,_xlfn.xlookup(1,(L105:L1104=L105)*(N105:N1104&lt;&gt;""),N105:N1104,"Not Found"))</f>
        <v>Tijani</v>
      </c>
      <c r="P105" s="4" t="n">
        <v>85707</v>
      </c>
      <c r="Q105" s="0" t="s">
        <v>110</v>
      </c>
      <c r="R105" s="0" t="str">
        <f aca="false">PROPER(Q105)</f>
        <v>Cash</v>
      </c>
      <c r="S105" s="0" t="s">
        <v>50</v>
      </c>
      <c r="U105" s="5" t="n">
        <f aca="false">IF(ISBLANK(T105),AVERAGE(T105:T1104),T105)</f>
        <v>2.98929049531459</v>
      </c>
      <c r="V105" s="0" t="n">
        <v>1.6</v>
      </c>
      <c r="W105" s="0" t="s">
        <v>125</v>
      </c>
      <c r="X105" s="0" t="str">
        <f aca="false">IF(ISBLANK(W105),"No remarks",W105)</f>
        <v>Customer waited</v>
      </c>
      <c r="Y105" s="0" t="s">
        <v>52</v>
      </c>
      <c r="Z105" s="0" t="s">
        <v>159</v>
      </c>
      <c r="AA105" s="0" t="str">
        <f aca="false">PROPER(IF(ISBLANK(Z105),"Location Unavailable",Z105))</f>
        <v>Main Bay</v>
      </c>
      <c r="AB105" s="0" t="s">
        <v>167</v>
      </c>
      <c r="AC105" s="6" t="str">
        <f aca="false">PROPER(AB105)</f>
        <v>Word Of Mouth</v>
      </c>
      <c r="AD105" s="6" t="n">
        <v>60</v>
      </c>
      <c r="AE105" s="5" t="n">
        <f aca="false">IF(ISBLANK(AD105),AVERAGEIF(L105:L1104,L105,AD105:AD1104),AD105)</f>
        <v>60</v>
      </c>
      <c r="AF105" s="0" t="s">
        <v>55</v>
      </c>
      <c r="AG105" s="0" t="str">
        <f aca="false">PROPER(AF105)</f>
        <v>Available</v>
      </c>
      <c r="AH105" s="0" t="s">
        <v>155</v>
      </c>
      <c r="AI105" s="0" t="s">
        <v>98</v>
      </c>
      <c r="AJ105" s="0" t="str">
        <f aca="false">PROPER(AI105)</f>
        <v>Emergency</v>
      </c>
      <c r="AK105" s="0" t="s">
        <v>196</v>
      </c>
      <c r="AL105" s="0" t="str">
        <f aca="false">PROPER(AK105)</f>
        <v>First Time</v>
      </c>
      <c r="AM105" s="0" t="s">
        <v>177</v>
      </c>
      <c r="AN105" s="0" t="str">
        <f aca="false">IF(ISBLANK(AM105),"Unknown",AM105)</f>
        <v>Private</v>
      </c>
      <c r="AO105" s="0" t="s">
        <v>79</v>
      </c>
      <c r="AP105" s="0" t="str">
        <f aca="false">IF(ISBLANK(AO105),"Unknown",AO105)</f>
        <v>Specialist</v>
      </c>
      <c r="AQ105" s="0" t="n">
        <v>15000</v>
      </c>
      <c r="AR105" s="5" t="n">
        <f aca="false">IF(ISBLANK(AQ105),AVERAGEIF(M105:M1104,M105,AQ105:AQ1104),AQ105)</f>
        <v>15000</v>
      </c>
      <c r="AS105" s="0" t="n">
        <v>40000</v>
      </c>
      <c r="AT105" s="5" t="n">
        <f aca="false">IF(ISBLANK(AS105),AVERAGE(AS105:AS1104),AS105)</f>
        <v>40000</v>
      </c>
      <c r="AU105" s="0" t="s">
        <v>50</v>
      </c>
      <c r="AV105" s="0" t="str">
        <f aca="false">PROPER(IF(ISBLANK(AU105),"No",AU105))</f>
        <v>No</v>
      </c>
      <c r="AX105" s="5" t="n">
        <f aca="false">IF(ISBLANK(AW105),0,AW105)</f>
        <v>0</v>
      </c>
      <c r="AY105" s="0" t="s">
        <v>80</v>
      </c>
      <c r="AZ105" s="0" t="str">
        <f aca="false">UPPER(IF(ISBLANK(AY105),"NONE",AY105))</f>
        <v>PROMO10</v>
      </c>
      <c r="BA105" s="7" t="n">
        <v>45815</v>
      </c>
      <c r="BB105" s="7" t="n">
        <f aca="false">IF(ISBLANK(BA105),"No Follow Up Needed",BA105)</f>
        <v>45815</v>
      </c>
      <c r="BC105" s="0" t="s">
        <v>50</v>
      </c>
      <c r="BD105" s="0" t="str">
        <f aca="false">PROPER(IF(ISBLANK(BC105),"Unknown",BC105))</f>
        <v>No</v>
      </c>
      <c r="BE105" s="0" t="s">
        <v>171</v>
      </c>
      <c r="BF105" s="0" t="str">
        <f aca="false">IF(ISBLANK(BE105),"No comments",BE105)</f>
        <v>Shock absorber weakening</v>
      </c>
      <c r="BH105" s="0" t="str">
        <f aca="false">IF(ISBLANK(BG105),"No comments",BG105)</f>
        <v>No comments</v>
      </c>
      <c r="BI105" s="0" t="s">
        <v>63</v>
      </c>
      <c r="BJ105" s="0" t="str">
        <f aca="false">IF(ISBLANK(BI105),"Not Mentioned",BI105)</f>
        <v>Yes</v>
      </c>
      <c r="BK105" s="0" t="s">
        <v>61</v>
      </c>
      <c r="BL105" s="0" t="str">
        <f aca="false">PROPER(IF(ISBLANK(BK105),"Not Mentioned",BK105))</f>
        <v>No</v>
      </c>
      <c r="BN105" s="0" t="str">
        <f aca="false">PROPER(IF(ISBLANK(BM105),"Not Mentioned",BM105))</f>
        <v>Not Mentioned</v>
      </c>
      <c r="BO105" s="0" t="s">
        <v>2321</v>
      </c>
      <c r="BP105" s="0" t="str">
        <f aca="false">IF(ISBLANK(BO105),"One-Time Plan",BO105)</f>
        <v>One-Time Plan</v>
      </c>
      <c r="BQ105" s="0" t="s">
        <v>50</v>
      </c>
      <c r="BR105" s="0" t="str">
        <f aca="false">PROPER(IF(ISBLANK(BQ105),"No",BQ105))</f>
        <v>No</v>
      </c>
    </row>
    <row r="106" customFormat="false" ht="15" hidden="false" customHeight="false" outlineLevel="0" collapsed="false">
      <c r="A106" s="0" t="s">
        <v>398</v>
      </c>
      <c r="B106" s="2" t="n">
        <v>45808</v>
      </c>
      <c r="C106" s="2" t="str">
        <f aca="false">TEXT(B106,"dd/mm/yyyy")</f>
        <v>31/05/2025</v>
      </c>
      <c r="D106" s="0" t="s">
        <v>105</v>
      </c>
      <c r="E106" s="0" t="n">
        <v>8033392072</v>
      </c>
      <c r="F106" s="0" t="s">
        <v>43</v>
      </c>
      <c r="G106" s="0" t="s">
        <v>2315</v>
      </c>
      <c r="H106" s="0" t="s">
        <v>399</v>
      </c>
      <c r="I106" s="0" t="s">
        <v>45</v>
      </c>
      <c r="J106" s="0" t="s">
        <v>2322</v>
      </c>
      <c r="K106" s="3" t="str">
        <f aca="false" t="array" ref="K106:K106">IFERROR(IF(J106&lt;&gt;"",J106,INDEX(J106:J1105,MATCH(1,(F106:F1105=F106)*(I106:I1105=I106)*(L106:L1105=L106)*(J106:J1105&lt;&gt;""),0))),"Not Found")</f>
        <v>Brake Failure</v>
      </c>
      <c r="L106" s="3" t="s">
        <v>89</v>
      </c>
      <c r="M106" s="0" t="str">
        <f aca="false">PROPER(L106)</f>
        <v>Shock Absorbers</v>
      </c>
      <c r="O106" s="0" t="e">
        <f aca="false" t="array" ref="O106:O106">IF(N106&lt;&gt;"",N106,_xlfn.xlookup(1,(L106:L1105=L106)*(N106:N1105&lt;&gt;""),N106:N1105,"Not Found"))</f>
        <v>#NAME?</v>
      </c>
      <c r="P106" s="4" t="n">
        <v>80800</v>
      </c>
      <c r="Q106" s="0" t="s">
        <v>124</v>
      </c>
      <c r="R106" s="0" t="str">
        <f aca="false">PROPER(Q106)</f>
        <v>Cash</v>
      </c>
      <c r="S106" s="0" t="s">
        <v>50</v>
      </c>
      <c r="U106" s="5" t="n">
        <f aca="false">IF(ISBLANK(T106),AVERAGE(T106:T1105),T106)</f>
        <v>2.98929049531459</v>
      </c>
      <c r="V106" s="0" t="n">
        <v>4.8</v>
      </c>
      <c r="W106" s="0" t="s">
        <v>51</v>
      </c>
      <c r="X106" s="0" t="str">
        <f aca="false">IF(ISBLANK(W106),"No remarks",W106)</f>
        <v>Recommended further checks</v>
      </c>
      <c r="Y106" s="0" t="s">
        <v>52</v>
      </c>
      <c r="Z106" s="0" t="s">
        <v>53</v>
      </c>
      <c r="AA106" s="0" t="str">
        <f aca="false">PROPER(IF(ISBLANK(Z106),"Location Unavailable",Z106))</f>
        <v>Main Bay</v>
      </c>
      <c r="AB106" s="0" t="s">
        <v>167</v>
      </c>
      <c r="AC106" s="6" t="str">
        <f aca="false">PROPER(AB106)</f>
        <v>Word Of Mouth</v>
      </c>
      <c r="AD106" s="6" t="n">
        <v>30</v>
      </c>
      <c r="AE106" s="5" t="n">
        <f aca="false">IF(ISBLANK(AD106),AVERAGEIF(L106:L1105,L106,AD106:AD1105),AD106)</f>
        <v>30</v>
      </c>
      <c r="AF106" s="0" t="s">
        <v>96</v>
      </c>
      <c r="AG106" s="0" t="str">
        <f aca="false">PROPER(AF106)</f>
        <v>Ordered</v>
      </c>
      <c r="AH106" s="0" t="s">
        <v>56</v>
      </c>
      <c r="AI106" s="0" t="s">
        <v>78</v>
      </c>
      <c r="AJ106" s="0" t="str">
        <f aca="false">PROPER(AI106)</f>
        <v>Booking</v>
      </c>
      <c r="AK106" s="0" t="s">
        <v>114</v>
      </c>
      <c r="AL106" s="0" t="str">
        <f aca="false">PROPER(AK106)</f>
        <v>Returning</v>
      </c>
      <c r="AM106" s="0" t="s">
        <v>59</v>
      </c>
      <c r="AN106" s="0" t="str">
        <f aca="false">IF(ISBLANK(AM106),"Unknown",AM106)</f>
        <v>Bolt Driver</v>
      </c>
      <c r="AO106" s="0" t="s">
        <v>79</v>
      </c>
      <c r="AP106" s="0" t="str">
        <f aca="false">IF(ISBLANK(AO106),"Unknown",AO106)</f>
        <v>Specialist</v>
      </c>
      <c r="AQ106" s="0" t="n">
        <v>20000</v>
      </c>
      <c r="AR106" s="5" t="n">
        <f aca="false">IF(ISBLANK(AQ106),AVERAGEIF(M106:M1105,M106,AQ106:AQ1105),AQ106)</f>
        <v>20000</v>
      </c>
      <c r="AT106" s="5" t="n">
        <f aca="false">IF(ISBLANK(AS106),AVERAGE(AS106:AS1105),AS106)</f>
        <v>31513.5135135135</v>
      </c>
      <c r="AU106" s="0" t="s">
        <v>63</v>
      </c>
      <c r="AV106" s="0" t="str">
        <f aca="false">PROPER(IF(ISBLANK(AU106),"No",AU106))</f>
        <v>Yes</v>
      </c>
      <c r="AX106" s="5" t="n">
        <f aca="false">IF(ISBLANK(AW106),0,AW106)</f>
        <v>0</v>
      </c>
      <c r="AY106" s="0" t="s">
        <v>130</v>
      </c>
      <c r="AZ106" s="0" t="str">
        <f aca="false">UPPER(IF(ISBLANK(AY106),"NONE",AY106))</f>
        <v>LOYALTY10</v>
      </c>
      <c r="BB106" s="7" t="str">
        <f aca="false">IF(ISBLANK(BA106),"No Follow Up Needed",BA106)</f>
        <v>No Follow Up Needed</v>
      </c>
      <c r="BC106" s="0" t="s">
        <v>50</v>
      </c>
      <c r="BD106" s="0" t="str">
        <f aca="false">PROPER(IF(ISBLANK(BC106),"Unknown",BC106))</f>
        <v>No</v>
      </c>
      <c r="BF106" s="0" t="str">
        <f aca="false">IF(ISBLANK(BE106),"No comments",BE106)</f>
        <v>No comments</v>
      </c>
      <c r="BG106" s="0" t="s">
        <v>172</v>
      </c>
      <c r="BH106" s="0" t="str">
        <f aca="false">IF(ISBLANK(BG106),"No comments",BG106)</f>
        <v>Always late</v>
      </c>
      <c r="BI106" s="0" t="s">
        <v>63</v>
      </c>
      <c r="BJ106" s="0" t="str">
        <f aca="false">IF(ISBLANK(BI106),"Not Mentioned",BI106)</f>
        <v>Yes</v>
      </c>
      <c r="BK106" s="0" t="s">
        <v>82</v>
      </c>
      <c r="BL106" s="0" t="str">
        <f aca="false">PROPER(IF(ISBLANK(BK106),"Not Mentioned",BK106))</f>
        <v>Yes</v>
      </c>
      <c r="BN106" s="0" t="str">
        <f aca="false">PROPER(IF(ISBLANK(BM106),"Not Mentioned",BM106))</f>
        <v>Not Mentioned</v>
      </c>
      <c r="BP106" s="0" t="str">
        <f aca="false">IF(ISBLANK(BO106),"One-Time Plan",BO106)</f>
        <v>One-Time Plan</v>
      </c>
      <c r="BQ106" s="0" t="s">
        <v>63</v>
      </c>
      <c r="BR106" s="0" t="str">
        <f aca="false">PROPER(IF(ISBLANK(BQ106),"No",BQ106))</f>
        <v>Yes</v>
      </c>
    </row>
    <row r="107" customFormat="false" ht="15" hidden="false" customHeight="false" outlineLevel="0" collapsed="false">
      <c r="A107" s="0" t="s">
        <v>400</v>
      </c>
      <c r="B107" s="2" t="s">
        <v>387</v>
      </c>
      <c r="C107" s="2" t="str">
        <f aca="false">TEXT(B107,"dd/mm/yyyy")</f>
        <v>13/05/2025</v>
      </c>
      <c r="D107" s="0" t="s">
        <v>105</v>
      </c>
      <c r="E107" s="0" t="n">
        <v>8055609531</v>
      </c>
      <c r="F107" s="0" t="s">
        <v>139</v>
      </c>
      <c r="G107" s="0" t="s">
        <v>2323</v>
      </c>
      <c r="H107" s="0" t="s">
        <v>401</v>
      </c>
      <c r="I107" s="0" t="s">
        <v>107</v>
      </c>
      <c r="J107" s="0" t="s">
        <v>2317</v>
      </c>
      <c r="K107" s="3" t="str">
        <f aca="false" t="array" ref="K107:K107">IFERROR(IF(J107&lt;&gt;"",J107,INDEX(J107:J1106,MATCH(1,(F107:F1106=F107)*(I107:I1106=I107)*(L107:L1106=L107)*(J107:J1106&lt;&gt;""),0))),"Not Found")</f>
        <v>Suspension Noise</v>
      </c>
      <c r="L107" s="3" t="s">
        <v>142</v>
      </c>
      <c r="M107" s="0" t="str">
        <f aca="false">PROPER(L107)</f>
        <v>Oil Filter, Brake Pads</v>
      </c>
      <c r="O107" s="0" t="e">
        <f aca="false" t="array" ref="O107:O107">IF(N107&lt;&gt;"",N107,_xlfn.xlookup(1,(L107:L1106=L107)*(N107:N1106&lt;&gt;""),N107:N1106,"Not Found"))</f>
        <v>#NAME?</v>
      </c>
      <c r="P107" s="4" t="n">
        <v>36632</v>
      </c>
      <c r="Q107" s="0" t="s">
        <v>166</v>
      </c>
      <c r="R107" s="0" t="str">
        <f aca="false">PROPER(Q107)</f>
        <v>Transfer</v>
      </c>
      <c r="S107" s="0" t="s">
        <v>50</v>
      </c>
      <c r="T107" s="0" t="n">
        <v>4</v>
      </c>
      <c r="U107" s="5" t="n">
        <f aca="false">IF(ISBLANK(T107),AVERAGE(T107:T1106),T107)</f>
        <v>4</v>
      </c>
      <c r="V107" s="0" t="n">
        <v>3.1</v>
      </c>
      <c r="W107" s="0" t="s">
        <v>125</v>
      </c>
      <c r="X107" s="0" t="str">
        <f aca="false">IF(ISBLANK(W107),"No remarks",W107)</f>
        <v>Customer waited</v>
      </c>
      <c r="Y107" s="0" t="s">
        <v>73</v>
      </c>
      <c r="Z107" s="0" t="s">
        <v>53</v>
      </c>
      <c r="AA107" s="0" t="str">
        <f aca="false">PROPER(IF(ISBLANK(Z107),"Location Unavailable",Z107))</f>
        <v>Main Bay</v>
      </c>
      <c r="AB107" s="0" t="s">
        <v>95</v>
      </c>
      <c r="AC107" s="6" t="str">
        <f aca="false">PROPER(AB107)</f>
        <v>Road Sign</v>
      </c>
      <c r="AD107" s="6" t="n">
        <v>30</v>
      </c>
      <c r="AE107" s="5" t="n">
        <f aca="false">IF(ISBLANK(AD107),AVERAGEIF(L107:L1106,L107,AD107:AD1106),AD107)</f>
        <v>30</v>
      </c>
      <c r="AF107" s="0" t="s">
        <v>96</v>
      </c>
      <c r="AG107" s="0" t="str">
        <f aca="false">PROPER(AF107)</f>
        <v>Ordered</v>
      </c>
      <c r="AH107" s="0" t="s">
        <v>77</v>
      </c>
      <c r="AI107" s="0" t="s">
        <v>78</v>
      </c>
      <c r="AJ107" s="0" t="str">
        <f aca="false">PROPER(AI107)</f>
        <v>Booking</v>
      </c>
      <c r="AK107" s="0" t="s">
        <v>196</v>
      </c>
      <c r="AL107" s="0" t="str">
        <f aca="false">PROPER(AK107)</f>
        <v>First Time</v>
      </c>
      <c r="AN107" s="0" t="str">
        <f aca="false">IF(ISBLANK(AM107),"Unknown",AM107)</f>
        <v>Unknown</v>
      </c>
      <c r="AO107" s="0" t="s">
        <v>79</v>
      </c>
      <c r="AP107" s="0" t="str">
        <f aca="false">IF(ISBLANK(AO107),"Unknown",AO107)</f>
        <v>Specialist</v>
      </c>
      <c r="AQ107" s="0" t="n">
        <v>30000</v>
      </c>
      <c r="AR107" s="5" t="n">
        <f aca="false">IF(ISBLANK(AQ107),AVERAGEIF(M107:M1106,M107,AQ107:AQ1106),AQ107)</f>
        <v>30000</v>
      </c>
      <c r="AS107" s="0" t="n">
        <v>30000</v>
      </c>
      <c r="AT107" s="5" t="n">
        <f aca="false">IF(ISBLANK(AS107),AVERAGE(AS107:AS1106),AS107)</f>
        <v>30000</v>
      </c>
      <c r="AU107" s="0" t="s">
        <v>82</v>
      </c>
      <c r="AV107" s="0" t="str">
        <f aca="false">PROPER(IF(ISBLANK(AU107),"No",AU107))</f>
        <v>Yes</v>
      </c>
      <c r="AW107" s="0" t="n">
        <v>0</v>
      </c>
      <c r="AX107" s="5" t="n">
        <f aca="false">IF(ISBLANK(AW107),0,AW107)</f>
        <v>0</v>
      </c>
      <c r="AY107" s="0" t="s">
        <v>184</v>
      </c>
      <c r="AZ107" s="0" t="str">
        <f aca="false">UPPER(IF(ISBLANK(AY107),"NONE",AY107))</f>
        <v>N/A</v>
      </c>
      <c r="BB107" s="7" t="str">
        <f aca="false">IF(ISBLANK(BA107),"No Follow Up Needed",BA107)</f>
        <v>No Follow Up Needed</v>
      </c>
      <c r="BC107" s="0" t="s">
        <v>50</v>
      </c>
      <c r="BD107" s="0" t="str">
        <f aca="false">PROPER(IF(ISBLANK(BC107),"Unknown",BC107))</f>
        <v>No</v>
      </c>
      <c r="BF107" s="0" t="str">
        <f aca="false">IF(ISBLANK(BE107),"No comments",BE107)</f>
        <v>No comments</v>
      </c>
      <c r="BH107" s="0" t="str">
        <f aca="false">IF(ISBLANK(BG107),"No comments",BG107)</f>
        <v>No comments</v>
      </c>
      <c r="BI107" s="0" t="s">
        <v>50</v>
      </c>
      <c r="BJ107" s="0" t="str">
        <f aca="false">IF(ISBLANK(BI107),"Not Mentioned",BI107)</f>
        <v>No</v>
      </c>
      <c r="BK107" s="0" t="s">
        <v>61</v>
      </c>
      <c r="BL107" s="0" t="str">
        <f aca="false">PROPER(IF(ISBLANK(BK107),"Not Mentioned",BK107))</f>
        <v>No</v>
      </c>
      <c r="BN107" s="0" t="str">
        <f aca="false">PROPER(IF(ISBLANK(BM107),"Not Mentioned",BM107))</f>
        <v>Not Mentioned</v>
      </c>
      <c r="BO107" s="0" t="s">
        <v>2318</v>
      </c>
      <c r="BP107" s="0" t="str">
        <f aca="false">IF(ISBLANK(BO107),"One-Time Plan",BO107)</f>
        <v>Gold</v>
      </c>
      <c r="BR107" s="0" t="str">
        <f aca="false">PROPER(IF(ISBLANK(BQ107),"No",BQ107))</f>
        <v>No</v>
      </c>
    </row>
    <row r="108" customFormat="false" ht="15" hidden="false" customHeight="false" outlineLevel="0" collapsed="false">
      <c r="A108" s="0" t="s">
        <v>402</v>
      </c>
      <c r="B108" s="2" t="s">
        <v>387</v>
      </c>
      <c r="C108" s="2" t="str">
        <f aca="false">TEXT(B108,"dd/mm/yyyy")</f>
        <v>13/05/2025</v>
      </c>
      <c r="D108" s="0" t="s">
        <v>121</v>
      </c>
      <c r="E108" s="0" t="n">
        <v>8084424395</v>
      </c>
      <c r="F108" s="0" t="s">
        <v>67</v>
      </c>
      <c r="G108" s="0" t="s">
        <v>2316</v>
      </c>
      <c r="H108" s="0" t="s">
        <v>403</v>
      </c>
      <c r="I108" s="0" t="s">
        <v>107</v>
      </c>
      <c r="J108" s="0" t="s">
        <v>2317</v>
      </c>
      <c r="K108" s="3" t="str">
        <f aca="false" t="array" ref="K108:K108">IFERROR(IF(J108&lt;&gt;"",J108,INDEX(J108:J1107,MATCH(1,(F108:F1107=F108)*(I108:I1107=I108)*(L108:L1107=L108)*(J108:J1107&lt;&gt;""),0))),"Not Found")</f>
        <v>Suspension Noise</v>
      </c>
      <c r="L108" s="3" t="s">
        <v>89</v>
      </c>
      <c r="M108" s="0" t="str">
        <f aca="false">PROPER(L108)</f>
        <v>Shock Absorbers</v>
      </c>
      <c r="O108" s="0" t="e">
        <f aca="false" t="array" ref="O108:O108">IF(N108&lt;&gt;"",N108,_xlfn.xlookup(1,(L108:L1107=L108)*(N108:N1107&lt;&gt;""),N108:N1107,"Not Found"))</f>
        <v>#NAME?</v>
      </c>
      <c r="P108" s="4" t="n">
        <v>51969</v>
      </c>
      <c r="Q108" s="0" t="s">
        <v>124</v>
      </c>
      <c r="R108" s="0" t="str">
        <f aca="false">PROPER(Q108)</f>
        <v>Cash</v>
      </c>
      <c r="S108" s="0" t="s">
        <v>63</v>
      </c>
      <c r="T108" s="0" t="n">
        <v>3</v>
      </c>
      <c r="U108" s="5" t="n">
        <f aca="false">IF(ISBLANK(T108),AVERAGE(T108:T1107),T108)</f>
        <v>3</v>
      </c>
      <c r="V108" s="0" t="n">
        <v>5.4</v>
      </c>
      <c r="W108" s="0" t="s">
        <v>111</v>
      </c>
      <c r="X108" s="0" t="str">
        <f aca="false">IF(ISBLANK(W108),"No remarks",W108)</f>
        <v>Changed all filters</v>
      </c>
      <c r="Y108" s="0" t="s">
        <v>73</v>
      </c>
      <c r="Z108" s="0" t="s">
        <v>159</v>
      </c>
      <c r="AA108" s="0" t="str">
        <f aca="false">PROPER(IF(ISBLANK(Z108),"Location Unavailable",Z108))</f>
        <v>Main Bay</v>
      </c>
      <c r="AB108" s="0" t="s">
        <v>147</v>
      </c>
      <c r="AC108" s="6" t="str">
        <f aca="false">PROPER(AB108)</f>
        <v>Instagram</v>
      </c>
      <c r="AD108" s="6" t="n">
        <v>45</v>
      </c>
      <c r="AE108" s="5" t="n">
        <f aca="false">IF(ISBLANK(AD108),AVERAGEIF(L108:L1107,L108,AD108:AD1107),AD108)</f>
        <v>45</v>
      </c>
      <c r="AF108" s="0" t="s">
        <v>55</v>
      </c>
      <c r="AG108" s="0" t="str">
        <f aca="false">PROPER(AF108)</f>
        <v>Available</v>
      </c>
      <c r="AH108" s="0" t="s">
        <v>148</v>
      </c>
      <c r="AI108" s="0" t="s">
        <v>98</v>
      </c>
      <c r="AJ108" s="0" t="str">
        <f aca="false">PROPER(AI108)</f>
        <v>Emergency</v>
      </c>
      <c r="AK108" s="0" t="s">
        <v>196</v>
      </c>
      <c r="AL108" s="0" t="str">
        <f aca="false">PROPER(AK108)</f>
        <v>First Time</v>
      </c>
      <c r="AN108" s="0" t="str">
        <f aca="false">IF(ISBLANK(AM108),"Unknown",AM108)</f>
        <v>Unknown</v>
      </c>
      <c r="AO108" s="0" t="s">
        <v>161</v>
      </c>
      <c r="AP108" s="0" t="str">
        <f aca="false">IF(ISBLANK(AO108),"Unknown",AO108)</f>
        <v>Apprentice</v>
      </c>
      <c r="AQ108" s="0" t="n">
        <v>40000</v>
      </c>
      <c r="AR108" s="5" t="n">
        <f aca="false">IF(ISBLANK(AQ108),AVERAGEIF(M108:M1107,M108,AQ108:AQ1107),AQ108)</f>
        <v>40000</v>
      </c>
      <c r="AS108" s="0" t="n">
        <v>20000</v>
      </c>
      <c r="AT108" s="5" t="n">
        <f aca="false">IF(ISBLANK(AS108),AVERAGE(AS108:AS1107),AS108)</f>
        <v>20000</v>
      </c>
      <c r="AU108" s="0" t="s">
        <v>50</v>
      </c>
      <c r="AV108" s="0" t="str">
        <f aca="false">PROPER(IF(ISBLANK(AU108),"No",AU108))</f>
        <v>No</v>
      </c>
      <c r="AW108" s="0" t="n">
        <v>5000</v>
      </c>
      <c r="AX108" s="5" t="n">
        <f aca="false">IF(ISBLANK(AW108),0,AW108)</f>
        <v>5000</v>
      </c>
      <c r="AY108" s="0" t="s">
        <v>184</v>
      </c>
      <c r="AZ108" s="0" t="str">
        <f aca="false">UPPER(IF(ISBLANK(AY108),"NONE",AY108))</f>
        <v>N/A</v>
      </c>
      <c r="BA108" s="7" t="n">
        <v>45723</v>
      </c>
      <c r="BB108" s="7" t="n">
        <f aca="false">IF(ISBLANK(BA108),"No Follow Up Needed",BA108)</f>
        <v>45723</v>
      </c>
      <c r="BD108" s="0" t="str">
        <f aca="false">PROPER(IF(ISBLANK(BC108),"Unknown",BC108))</f>
        <v>Unknown</v>
      </c>
      <c r="BE108" s="0" t="s">
        <v>171</v>
      </c>
      <c r="BF108" s="0" t="str">
        <f aca="false">IF(ISBLANK(BE108),"No comments",BE108)</f>
        <v>Shock absorber weakening</v>
      </c>
      <c r="BG108" s="0" t="s">
        <v>2320</v>
      </c>
      <c r="BH108" s="0" t="str">
        <f aca="false">IF(ISBLANK(BG108),"No comments",BG108)</f>
        <v>No complaints</v>
      </c>
      <c r="BI108" s="0" t="s">
        <v>63</v>
      </c>
      <c r="BJ108" s="0" t="str">
        <f aca="false">IF(ISBLANK(BI108),"Not Mentioned",BI108)</f>
        <v>Yes</v>
      </c>
      <c r="BK108" s="0" t="s">
        <v>50</v>
      </c>
      <c r="BL108" s="0" t="str">
        <f aca="false">PROPER(IF(ISBLANK(BK108),"Not Mentioned",BK108))</f>
        <v>No</v>
      </c>
      <c r="BM108" s="0" t="s">
        <v>63</v>
      </c>
      <c r="BN108" s="0" t="str">
        <f aca="false">PROPER(IF(ISBLANK(BM108),"Not Mentioned",BM108))</f>
        <v>Yes</v>
      </c>
      <c r="BO108" s="0" t="s">
        <v>2318</v>
      </c>
      <c r="BP108" s="0" t="str">
        <f aca="false">IF(ISBLANK(BO108),"One-Time Plan",BO108)</f>
        <v>Gold</v>
      </c>
      <c r="BQ108" s="0" t="s">
        <v>198</v>
      </c>
      <c r="BR108" s="0" t="str">
        <f aca="false">PROPER(IF(ISBLANK(BQ108),"No",BQ108))</f>
        <v>Followed Up</v>
      </c>
    </row>
    <row r="109" customFormat="false" ht="15" hidden="false" customHeight="false" outlineLevel="0" collapsed="false">
      <c r="A109" s="0" t="s">
        <v>404</v>
      </c>
      <c r="B109" s="2" t="n">
        <v>45781</v>
      </c>
      <c r="C109" s="2" t="str">
        <f aca="false">TEXT(B109,"dd/mm/yyyy")</f>
        <v>04/05/2025</v>
      </c>
      <c r="D109" s="0" t="s">
        <v>42</v>
      </c>
      <c r="E109" s="0" t="n">
        <v>8043012764</v>
      </c>
      <c r="F109" s="0" t="s">
        <v>85</v>
      </c>
      <c r="G109" s="0" t="s">
        <v>2319</v>
      </c>
      <c r="H109" s="0" t="s">
        <v>405</v>
      </c>
      <c r="I109" s="0" t="s">
        <v>87</v>
      </c>
      <c r="J109" s="0" t="s">
        <v>2317</v>
      </c>
      <c r="K109" s="3" t="str">
        <f aca="false" t="array" ref="K109:K109">IFERROR(IF(J109&lt;&gt;"",J109,INDEX(J109:J1108,MATCH(1,(F109:F1108=F109)*(I109:I1108=I109)*(L109:L1108=L109)*(J109:J1108&lt;&gt;""),0))),"Not Found")</f>
        <v>Suspension Noise</v>
      </c>
      <c r="L109" s="3" t="s">
        <v>154</v>
      </c>
      <c r="M109" s="0" t="str">
        <f aca="false">PROPER(L109)</f>
        <v>Air Filter</v>
      </c>
      <c r="N109" s="3" t="s">
        <v>109</v>
      </c>
      <c r="O109" s="0" t="str">
        <f aca="false" t="array" ref="O109:O109">IF(N109&lt;&gt;"",N109,_xlfn.xlookup(1,(L109:L1108=L109)*(N109:N1108&lt;&gt;""),N109:N1108,"Not Found"))</f>
        <v>Tijani</v>
      </c>
      <c r="P109" s="4" t="n">
        <v>82868</v>
      </c>
      <c r="Q109" s="0" t="s">
        <v>166</v>
      </c>
      <c r="R109" s="0" t="str">
        <f aca="false">PROPER(Q109)</f>
        <v>Transfer</v>
      </c>
      <c r="S109" s="0" t="s">
        <v>63</v>
      </c>
      <c r="T109" s="0" t="n">
        <v>3</v>
      </c>
      <c r="U109" s="5" t="n">
        <f aca="false">IF(ISBLANK(T109),AVERAGE(T109:T1108),T109)</f>
        <v>3</v>
      </c>
      <c r="V109" s="0" t="n">
        <v>1.6</v>
      </c>
      <c r="W109" s="0" t="s">
        <v>125</v>
      </c>
      <c r="X109" s="0" t="str">
        <f aca="false">IF(ISBLANK(W109),"No remarks",W109)</f>
        <v>Customer waited</v>
      </c>
      <c r="Y109" s="0" t="s">
        <v>52</v>
      </c>
      <c r="Z109" s="0" t="s">
        <v>74</v>
      </c>
      <c r="AA109" s="0" t="str">
        <f aca="false">PROPER(IF(ISBLANK(Z109),"Location Unavailable",Z109))</f>
        <v>Under Tree</v>
      </c>
      <c r="AB109" s="0" t="s">
        <v>147</v>
      </c>
      <c r="AC109" s="6" t="str">
        <f aca="false">PROPER(AB109)</f>
        <v>Instagram</v>
      </c>
      <c r="AD109" s="6" t="n">
        <v>30</v>
      </c>
      <c r="AE109" s="5" t="n">
        <f aca="false">IF(ISBLANK(AD109),AVERAGEIF(L109:L1108,L109,AD109:AD1108),AD109)</f>
        <v>30</v>
      </c>
      <c r="AF109" s="0" t="s">
        <v>76</v>
      </c>
      <c r="AG109" s="0" t="str">
        <f aca="false">PROPER(AF109)</f>
        <v>Orderd</v>
      </c>
      <c r="AH109" s="0" t="s">
        <v>148</v>
      </c>
      <c r="AI109" s="0" t="s">
        <v>98</v>
      </c>
      <c r="AJ109" s="0" t="str">
        <f aca="false">PROPER(AI109)</f>
        <v>Emergency</v>
      </c>
      <c r="AK109" s="0" t="s">
        <v>196</v>
      </c>
      <c r="AL109" s="0" t="str">
        <f aca="false">PROPER(AK109)</f>
        <v>First Time</v>
      </c>
      <c r="AM109" s="0" t="s">
        <v>177</v>
      </c>
      <c r="AN109" s="0" t="str">
        <f aca="false">IF(ISBLANK(AM109),"Unknown",AM109)</f>
        <v>Private</v>
      </c>
      <c r="AO109" s="0" t="s">
        <v>79</v>
      </c>
      <c r="AP109" s="0" t="str">
        <f aca="false">IF(ISBLANK(AO109),"Unknown",AO109)</f>
        <v>Specialist</v>
      </c>
      <c r="AQ109" s="0" t="n">
        <v>20000</v>
      </c>
      <c r="AR109" s="5" t="n">
        <f aca="false">IF(ISBLANK(AQ109),AVERAGEIF(M109:M1108,M109,AQ109:AQ1108),AQ109)</f>
        <v>20000</v>
      </c>
      <c r="AS109" s="0" t="n">
        <v>20000</v>
      </c>
      <c r="AT109" s="5" t="n">
        <f aca="false">IF(ISBLANK(AS109),AVERAGE(AS109:AS1108),AS109)</f>
        <v>20000</v>
      </c>
      <c r="AU109" s="0" t="s">
        <v>63</v>
      </c>
      <c r="AV109" s="0" t="str">
        <f aca="false">PROPER(IF(ISBLANK(AU109),"No",AU109))</f>
        <v>Yes</v>
      </c>
      <c r="AW109" s="0" t="n">
        <v>10000</v>
      </c>
      <c r="AX109" s="5" t="n">
        <f aca="false">IF(ISBLANK(AW109),0,AW109)</f>
        <v>10000</v>
      </c>
      <c r="AY109" s="0" t="s">
        <v>60</v>
      </c>
      <c r="AZ109" s="0" t="str">
        <f aca="false">UPPER(IF(ISBLANK(AY109),"NONE",AY109))</f>
        <v>NONE</v>
      </c>
      <c r="BA109" s="7" t="n">
        <v>45877</v>
      </c>
      <c r="BB109" s="7" t="n">
        <f aca="false">IF(ISBLANK(BA109),"No Follow Up Needed",BA109)</f>
        <v>45877</v>
      </c>
      <c r="BC109" s="0" t="s">
        <v>63</v>
      </c>
      <c r="BD109" s="0" t="str">
        <f aca="false">PROPER(IF(ISBLANK(BC109),"Unknown",BC109))</f>
        <v>Yes</v>
      </c>
      <c r="BE109" s="0" t="s">
        <v>116</v>
      </c>
      <c r="BF109" s="0" t="str">
        <f aca="false">IF(ISBLANK(BE109),"No comments",BE109)</f>
        <v>Needs tire alignment</v>
      </c>
      <c r="BH109" s="0" t="str">
        <f aca="false">IF(ISBLANK(BG109),"No comments",BG109)</f>
        <v>No comments</v>
      </c>
      <c r="BI109" s="0" t="s">
        <v>50</v>
      </c>
      <c r="BJ109" s="0" t="str">
        <f aca="false">IF(ISBLANK(BI109),"Not Mentioned",BI109)</f>
        <v>No</v>
      </c>
      <c r="BK109" s="0" t="s">
        <v>61</v>
      </c>
      <c r="BL109" s="0" t="str">
        <f aca="false">PROPER(IF(ISBLANK(BK109),"Not Mentioned",BK109))</f>
        <v>No</v>
      </c>
      <c r="BM109" s="0" t="s">
        <v>63</v>
      </c>
      <c r="BN109" s="0" t="str">
        <f aca="false">PROPER(IF(ISBLANK(BM109),"Not Mentioned",BM109))</f>
        <v>Yes</v>
      </c>
      <c r="BP109" s="0" t="str">
        <f aca="false">IF(ISBLANK(BO109),"One-Time Plan",BO109)</f>
        <v>One-Time Plan</v>
      </c>
      <c r="BQ109" s="0" t="s">
        <v>198</v>
      </c>
      <c r="BR109" s="0" t="str">
        <f aca="false">PROPER(IF(ISBLANK(BQ109),"No",BQ109))</f>
        <v>Followed Up</v>
      </c>
    </row>
    <row r="110" customFormat="false" ht="15" hidden="false" customHeight="false" outlineLevel="0" collapsed="false">
      <c r="A110" s="0" t="s">
        <v>406</v>
      </c>
      <c r="B110" s="2" t="n">
        <v>45905</v>
      </c>
      <c r="C110" s="2" t="str">
        <f aca="false">TEXT(B110,"dd/mm/yyyy")</f>
        <v>05/09/2025</v>
      </c>
      <c r="D110" s="0" t="s">
        <v>42</v>
      </c>
      <c r="E110" s="0" t="n">
        <v>8033963425</v>
      </c>
      <c r="F110" s="0" t="s">
        <v>67</v>
      </c>
      <c r="G110" s="0" t="s">
        <v>2316</v>
      </c>
      <c r="H110" s="0" t="s">
        <v>407</v>
      </c>
      <c r="I110" s="0" t="s">
        <v>69</v>
      </c>
      <c r="J110" s="0" t="s">
        <v>2322</v>
      </c>
      <c r="K110" s="3" t="str">
        <f aca="false" t="array" ref="K110:K110">IFERROR(IF(J110&lt;&gt;"",J110,INDEX(J110:J1109,MATCH(1,(F110:F1109=F110)*(I110:I1109=I110)*(L110:L1109=L110)*(J110:J1109&lt;&gt;""),0))),"Not Found")</f>
        <v>Brake Failure</v>
      </c>
      <c r="L110" s="3" t="s">
        <v>189</v>
      </c>
      <c r="M110" s="0" t="str">
        <f aca="false">PROPER(L110)</f>
        <v>Battery</v>
      </c>
      <c r="N110" s="3" t="s">
        <v>71</v>
      </c>
      <c r="O110" s="0" t="str">
        <f aca="false" t="array" ref="O110:O110">IF(N110&lt;&gt;"",N110,_xlfn.xlookup(1,(L110:L1109=L110)*(N110:N1109&lt;&gt;""),N110:N1109,"Not Found"))</f>
        <v>Isaac Bobo</v>
      </c>
      <c r="P110" s="4" t="n">
        <v>50378</v>
      </c>
      <c r="Q110" s="0" t="s">
        <v>110</v>
      </c>
      <c r="R110" s="0" t="str">
        <f aca="false">PROPER(Q110)</f>
        <v>Cash</v>
      </c>
      <c r="S110" s="0" t="s">
        <v>63</v>
      </c>
      <c r="T110" s="0" t="n">
        <v>4</v>
      </c>
      <c r="U110" s="5" t="n">
        <f aca="false">IF(ISBLANK(T110),AVERAGE(T110:T1109),T110)</f>
        <v>4</v>
      </c>
      <c r="V110" s="0" t="n">
        <v>2.2</v>
      </c>
      <c r="W110" s="0" t="s">
        <v>92</v>
      </c>
      <c r="X110" s="0" t="str">
        <f aca="false">IF(ISBLANK(W110),"No remarks",W110)</f>
        <v>Urgent service</v>
      </c>
      <c r="Y110" s="0" t="s">
        <v>73</v>
      </c>
      <c r="Z110" s="0" t="s">
        <v>53</v>
      </c>
      <c r="AA110" s="0" t="str">
        <f aca="false">PROPER(IF(ISBLANK(Z110),"Location Unavailable",Z110))</f>
        <v>Main Bay</v>
      </c>
      <c r="AB110" s="0" t="s">
        <v>167</v>
      </c>
      <c r="AC110" s="6" t="str">
        <f aca="false">PROPER(AB110)</f>
        <v>Word Of Mouth</v>
      </c>
      <c r="AD110" s="6" t="n">
        <v>15</v>
      </c>
      <c r="AE110" s="5" t="n">
        <f aca="false">IF(ISBLANK(AD110),AVERAGEIF(L110:L1109,L110,AD110:AD1109),AD110)</f>
        <v>15</v>
      </c>
      <c r="AF110" s="0" t="s">
        <v>55</v>
      </c>
      <c r="AG110" s="0" t="str">
        <f aca="false">PROPER(AF110)</f>
        <v>Available</v>
      </c>
      <c r="AH110" s="0" t="s">
        <v>56</v>
      </c>
      <c r="AI110" s="0" t="s">
        <v>113</v>
      </c>
      <c r="AJ110" s="0" t="str">
        <f aca="false">PROPER(AI110)</f>
        <v>Normal</v>
      </c>
      <c r="AK110" s="0" t="s">
        <v>196</v>
      </c>
      <c r="AL110" s="0" t="str">
        <f aca="false">PROPER(AK110)</f>
        <v>First Time</v>
      </c>
      <c r="AM110" s="0" t="s">
        <v>2326</v>
      </c>
      <c r="AN110" s="0" t="str">
        <f aca="false">IF(ISBLANK(AM110),"Unknown",AM110)</f>
        <v>Government Convoy</v>
      </c>
      <c r="AP110" s="0" t="str">
        <f aca="false">IF(ISBLANK(AO110),"Unknown",AO110)</f>
        <v>Unknown</v>
      </c>
      <c r="AQ110" s="0" t="n">
        <v>30000</v>
      </c>
      <c r="AR110" s="5" t="n">
        <f aca="false">IF(ISBLANK(AQ110),AVERAGEIF(M110:M1109,M110,AQ110:AQ1109),AQ110)</f>
        <v>30000</v>
      </c>
      <c r="AS110" s="0" t="n">
        <v>20000</v>
      </c>
      <c r="AT110" s="5" t="n">
        <f aca="false">IF(ISBLANK(AS110),AVERAGE(AS110:AS1109),AS110)</f>
        <v>20000</v>
      </c>
      <c r="AU110" s="0" t="s">
        <v>82</v>
      </c>
      <c r="AV110" s="0" t="str">
        <f aca="false">PROPER(IF(ISBLANK(AU110),"No",AU110))</f>
        <v>Yes</v>
      </c>
      <c r="AW110" s="0" t="n">
        <v>10000</v>
      </c>
      <c r="AX110" s="5" t="n">
        <f aca="false">IF(ISBLANK(AW110),0,AW110)</f>
        <v>10000</v>
      </c>
      <c r="AY110" s="0" t="s">
        <v>184</v>
      </c>
      <c r="AZ110" s="0" t="str">
        <f aca="false">UPPER(IF(ISBLANK(AY110),"NONE",AY110))</f>
        <v>N/A</v>
      </c>
      <c r="BA110" s="7" t="s">
        <v>408</v>
      </c>
      <c r="BB110" s="7" t="str">
        <f aca="false">IF(ISBLANK(BA110),"No Follow Up Needed",BA110)</f>
        <v>26/11/2025</v>
      </c>
      <c r="BD110" s="0" t="str">
        <f aca="false">PROPER(IF(ISBLANK(BC110),"Unknown",BC110))</f>
        <v>Unknown</v>
      </c>
      <c r="BF110" s="0" t="str">
        <f aca="false">IF(ISBLANK(BE110),"No comments",BE110)</f>
        <v>No comments</v>
      </c>
      <c r="BH110" s="0" t="str">
        <f aca="false">IF(ISBLANK(BG110),"No comments",BG110)</f>
        <v>No comments</v>
      </c>
      <c r="BI110" s="0" t="s">
        <v>50</v>
      </c>
      <c r="BJ110" s="0" t="str">
        <f aca="false">IF(ISBLANK(BI110),"Not Mentioned",BI110)</f>
        <v>No</v>
      </c>
      <c r="BL110" s="0" t="str">
        <f aca="false">PROPER(IF(ISBLANK(BK110),"Not Mentioned",BK110))</f>
        <v>Not Mentioned</v>
      </c>
      <c r="BN110" s="0" t="str">
        <f aca="false">PROPER(IF(ISBLANK(BM110),"Not Mentioned",BM110))</f>
        <v>Not Mentioned</v>
      </c>
      <c r="BO110" s="0" t="s">
        <v>2321</v>
      </c>
      <c r="BP110" s="0" t="str">
        <f aca="false">IF(ISBLANK(BO110),"One-Time Plan",BO110)</f>
        <v>One-Time Plan</v>
      </c>
      <c r="BR110" s="0" t="str">
        <f aca="false">PROPER(IF(ISBLANK(BQ110),"No",BQ110))</f>
        <v>No</v>
      </c>
    </row>
    <row r="111" customFormat="false" ht="15" hidden="false" customHeight="false" outlineLevel="0" collapsed="false">
      <c r="A111" s="0" t="s">
        <v>409</v>
      </c>
      <c r="B111" s="2" t="n">
        <v>45677</v>
      </c>
      <c r="C111" s="2" t="str">
        <f aca="false">TEXT(B111,"dd/mm/yyyy")</f>
        <v>20/01/2025</v>
      </c>
      <c r="D111" s="0" t="s">
        <v>105</v>
      </c>
      <c r="E111" s="0" t="n">
        <v>8036305005</v>
      </c>
      <c r="F111" s="0" t="s">
        <v>139</v>
      </c>
      <c r="G111" s="0" t="s">
        <v>2323</v>
      </c>
      <c r="H111" s="0" t="s">
        <v>410</v>
      </c>
      <c r="I111" s="0" t="s">
        <v>107</v>
      </c>
      <c r="J111" s="0" t="s">
        <v>2325</v>
      </c>
      <c r="K111" s="3" t="str">
        <f aca="false" t="array" ref="K111:K111">IFERROR(IF(J111&lt;&gt;"",J111,INDEX(J111:J1110,MATCH(1,(F111:F1110=F111)*(I111:I1110=I111)*(L111:L1110=L111)*(J111:J1110&lt;&gt;""),0))),"Not Found")</f>
        <v>Engine Knocking</v>
      </c>
      <c r="L111" s="3" t="s">
        <v>189</v>
      </c>
      <c r="M111" s="0" t="str">
        <f aca="false">PROPER(L111)</f>
        <v>Battery</v>
      </c>
      <c r="N111" s="3" t="s">
        <v>109</v>
      </c>
      <c r="O111" s="0" t="str">
        <f aca="false" t="array" ref="O111:O111">IF(N111&lt;&gt;"",N111,_xlfn.xlookup(1,(L111:L1110=L111)*(N111:N1110&lt;&gt;""),N111:N1110,"Not Found"))</f>
        <v>Tijani</v>
      </c>
      <c r="P111" s="4" t="n">
        <v>44967</v>
      </c>
      <c r="Q111" s="0" t="s">
        <v>72</v>
      </c>
      <c r="R111" s="0" t="str">
        <f aca="false">PROPER(Q111)</f>
        <v>Pos</v>
      </c>
      <c r="S111" s="0" t="s">
        <v>63</v>
      </c>
      <c r="T111" s="0" t="n">
        <v>5</v>
      </c>
      <c r="U111" s="5" t="n">
        <f aca="false">IF(ISBLANK(T111),AVERAGE(T111:T1110),T111)</f>
        <v>5</v>
      </c>
      <c r="V111" s="0" t="n">
        <v>5.6</v>
      </c>
      <c r="W111" s="0" t="s">
        <v>92</v>
      </c>
      <c r="X111" s="0" t="str">
        <f aca="false">IF(ISBLANK(W111),"No remarks",W111)</f>
        <v>Urgent service</v>
      </c>
      <c r="Y111" s="0" t="s">
        <v>73</v>
      </c>
      <c r="Z111" s="0" t="s">
        <v>136</v>
      </c>
      <c r="AA111" s="0" t="str">
        <f aca="false">PROPER(IF(ISBLANK(Z111),"Location Unavailable",Z111))</f>
        <v>Vip Section</v>
      </c>
      <c r="AB111" s="0" t="s">
        <v>167</v>
      </c>
      <c r="AC111" s="6" t="str">
        <f aca="false">PROPER(AB111)</f>
        <v>Word Of Mouth</v>
      </c>
      <c r="AD111" s="6" t="n">
        <v>45</v>
      </c>
      <c r="AE111" s="5" t="n">
        <f aca="false">IF(ISBLANK(AD111),AVERAGEIF(L111:L1110,L111,AD111:AD1110),AD111)</f>
        <v>45</v>
      </c>
      <c r="AF111" s="0" t="s">
        <v>160</v>
      </c>
      <c r="AG111" s="0" t="str">
        <f aca="false">PROPER(AF111)</f>
        <v>Availaible</v>
      </c>
      <c r="AH111" s="0" t="s">
        <v>77</v>
      </c>
      <c r="AI111" s="0" t="s">
        <v>98</v>
      </c>
      <c r="AJ111" s="0" t="str">
        <f aca="false">PROPER(AI111)</f>
        <v>Emergency</v>
      </c>
      <c r="AK111" s="0" t="s">
        <v>114</v>
      </c>
      <c r="AL111" s="0" t="str">
        <f aca="false">PROPER(AK111)</f>
        <v>Returning</v>
      </c>
      <c r="AM111" s="0" t="s">
        <v>2324</v>
      </c>
      <c r="AN111" s="0" t="str">
        <f aca="false">IF(ISBLANK(AM111),"Unknown",AM111)</f>
        <v>Logistics Convoy</v>
      </c>
      <c r="AP111" s="0" t="str">
        <f aca="false">IF(ISBLANK(AO111),"Unknown",AO111)</f>
        <v>Unknown</v>
      </c>
      <c r="AQ111" s="0" t="n">
        <v>40000</v>
      </c>
      <c r="AR111" s="5" t="n">
        <f aca="false">IF(ISBLANK(AQ111),AVERAGEIF(M111:M1110,M111,AQ111:AQ1110),AQ111)</f>
        <v>40000</v>
      </c>
      <c r="AS111" s="0" t="n">
        <v>40000</v>
      </c>
      <c r="AT111" s="5" t="n">
        <f aca="false">IF(ISBLANK(AS111),AVERAGE(AS111:AS1110),AS111)</f>
        <v>40000</v>
      </c>
      <c r="AU111" s="0" t="s">
        <v>63</v>
      </c>
      <c r="AV111" s="0" t="str">
        <f aca="false">PROPER(IF(ISBLANK(AU111),"No",AU111))</f>
        <v>Yes</v>
      </c>
      <c r="AW111" s="0" t="n">
        <v>5000</v>
      </c>
      <c r="AX111" s="5" t="n">
        <f aca="false">IF(ISBLANK(AW111),0,AW111)</f>
        <v>5000</v>
      </c>
      <c r="AY111" s="0" t="s">
        <v>80</v>
      </c>
      <c r="AZ111" s="0" t="str">
        <f aca="false">UPPER(IF(ISBLANK(AY111),"NONE",AY111))</f>
        <v>PROMO10</v>
      </c>
      <c r="BB111" s="7" t="str">
        <f aca="false">IF(ISBLANK(BA111),"No Follow Up Needed",BA111)</f>
        <v>No Follow Up Needed</v>
      </c>
      <c r="BD111" s="0" t="str">
        <f aca="false">PROPER(IF(ISBLANK(BC111),"Unknown",BC111))</f>
        <v>Unknown</v>
      </c>
      <c r="BF111" s="0" t="str">
        <f aca="false">IF(ISBLANK(BE111),"No comments",BE111)</f>
        <v>No comments</v>
      </c>
      <c r="BG111" s="0" t="s">
        <v>172</v>
      </c>
      <c r="BH111" s="0" t="str">
        <f aca="false">IF(ISBLANK(BG111),"No comments",BG111)</f>
        <v>Always late</v>
      </c>
      <c r="BI111" s="0" t="s">
        <v>50</v>
      </c>
      <c r="BJ111" s="0" t="str">
        <f aca="false">IF(ISBLANK(BI111),"Not Mentioned",BI111)</f>
        <v>No</v>
      </c>
      <c r="BK111" s="0" t="s">
        <v>82</v>
      </c>
      <c r="BL111" s="0" t="str">
        <f aca="false">PROPER(IF(ISBLANK(BK111),"Not Mentioned",BK111))</f>
        <v>Yes</v>
      </c>
      <c r="BM111" s="0" t="s">
        <v>50</v>
      </c>
      <c r="BN111" s="0" t="str">
        <f aca="false">PROPER(IF(ISBLANK(BM111),"Not Mentioned",BM111))</f>
        <v>No</v>
      </c>
      <c r="BO111" s="0" t="s">
        <v>2321</v>
      </c>
      <c r="BP111" s="0" t="str">
        <f aca="false">IF(ISBLANK(BO111),"One-Time Plan",BO111)</f>
        <v>One-Time Plan</v>
      </c>
      <c r="BR111" s="0" t="str">
        <f aca="false">PROPER(IF(ISBLANK(BQ111),"No",BQ111))</f>
        <v>No</v>
      </c>
    </row>
    <row r="112" customFormat="false" ht="15" hidden="false" customHeight="false" outlineLevel="0" collapsed="false">
      <c r="A112" s="0" t="s">
        <v>411</v>
      </c>
      <c r="B112" s="2" t="n">
        <v>45822</v>
      </c>
      <c r="C112" s="2" t="str">
        <f aca="false">TEXT(B112,"dd/mm/yyyy")</f>
        <v>14/06/2025</v>
      </c>
      <c r="D112" s="0" t="s">
        <v>105</v>
      </c>
      <c r="E112" s="0" t="n">
        <v>8012884611</v>
      </c>
      <c r="F112" s="0" t="s">
        <v>139</v>
      </c>
      <c r="G112" s="0" t="s">
        <v>2323</v>
      </c>
      <c r="H112" s="0" t="s">
        <v>412</v>
      </c>
      <c r="I112" s="0" t="s">
        <v>107</v>
      </c>
      <c r="J112" s="0" t="s">
        <v>87</v>
      </c>
      <c r="K112" s="3" t="str">
        <f aca="false" t="array" ref="K112:K112">IFERROR(IF(J112&lt;&gt;"",J112,INDEX(J112:J1111,MATCH(1,(F112:F1111=F112)*(I112:I1111=I112)*(L112:L1111=L112)*(J112:J1111&lt;&gt;""),0))),"Not Found")</f>
        <v>Oil Change</v>
      </c>
      <c r="L112" s="3" t="s">
        <v>89</v>
      </c>
      <c r="M112" s="0" t="str">
        <f aca="false">PROPER(L112)</f>
        <v>Shock Absorbers</v>
      </c>
      <c r="N112" s="3" t="s">
        <v>90</v>
      </c>
      <c r="O112" s="0" t="str">
        <f aca="false" t="array" ref="O112:O112">IF(N112&lt;&gt;"",N112,_xlfn.xlookup(1,(L112:L1111=L112)*(N112:N1111&lt;&gt;""),N112:N1111,"Not Found"))</f>
        <v>Musa</v>
      </c>
      <c r="P112" s="4" t="n">
        <v>64771</v>
      </c>
      <c r="Q112" s="0" t="s">
        <v>49</v>
      </c>
      <c r="R112" s="0" t="str">
        <f aca="false">PROPER(Q112)</f>
        <v>Transfer</v>
      </c>
      <c r="S112" s="0" t="s">
        <v>50</v>
      </c>
      <c r="T112" s="0" t="n">
        <v>2</v>
      </c>
      <c r="U112" s="5" t="n">
        <f aca="false">IF(ISBLANK(T112),AVERAGE(T112:T1111),T112)</f>
        <v>2</v>
      </c>
      <c r="V112" s="0" t="n">
        <v>2.5</v>
      </c>
      <c r="X112" s="0" t="str">
        <f aca="false">IF(ISBLANK(W112),"No remarks",W112)</f>
        <v>No remarks</v>
      </c>
      <c r="Y112" s="0" t="s">
        <v>52</v>
      </c>
      <c r="AA112" s="0" t="str">
        <f aca="false">PROPER(IF(ISBLANK(Z112),"Location Unavailable",Z112))</f>
        <v>Location Unavailable</v>
      </c>
      <c r="AB112" s="0" t="s">
        <v>167</v>
      </c>
      <c r="AC112" s="6" t="str">
        <f aca="false">PROPER(AB112)</f>
        <v>Word Of Mouth</v>
      </c>
      <c r="AE112" s="5" t="n">
        <f aca="false">IF(ISBLANK(AD112),AVERAGEIF(L112:L1111,L112,AD112:AD1111),AD112)</f>
        <v>40.2325581395349</v>
      </c>
      <c r="AF112" s="0" t="s">
        <v>55</v>
      </c>
      <c r="AG112" s="0" t="str">
        <f aca="false">PROPER(AF112)</f>
        <v>Available</v>
      </c>
      <c r="AH112" s="0" t="s">
        <v>56</v>
      </c>
      <c r="AI112" s="0" t="s">
        <v>78</v>
      </c>
      <c r="AJ112" s="0" t="str">
        <f aca="false">PROPER(AI112)</f>
        <v>Booking</v>
      </c>
      <c r="AK112" s="0" t="s">
        <v>114</v>
      </c>
      <c r="AL112" s="0" t="str">
        <f aca="false">PROPER(AK112)</f>
        <v>Returning</v>
      </c>
      <c r="AM112" s="0" t="s">
        <v>2326</v>
      </c>
      <c r="AN112" s="0" t="str">
        <f aca="false">IF(ISBLANK(AM112),"Unknown",AM112)</f>
        <v>Government Convoy</v>
      </c>
      <c r="AO112" s="0" t="s">
        <v>161</v>
      </c>
      <c r="AP112" s="0" t="str">
        <f aca="false">IF(ISBLANK(AO112),"Unknown",AO112)</f>
        <v>Apprentice</v>
      </c>
      <c r="AQ112" s="0" t="n">
        <v>25000</v>
      </c>
      <c r="AR112" s="5" t="n">
        <f aca="false">IF(ISBLANK(AQ112),AVERAGEIF(M112:M1111,M112,AQ112:AQ1111),AQ112)</f>
        <v>25000</v>
      </c>
      <c r="AS112" s="0" t="n">
        <v>30000</v>
      </c>
      <c r="AT112" s="5" t="n">
        <f aca="false">IF(ISBLANK(AS112),AVERAGE(AS112:AS1111),AS112)</f>
        <v>30000</v>
      </c>
      <c r="AU112" s="0" t="s">
        <v>50</v>
      </c>
      <c r="AV112" s="0" t="str">
        <f aca="false">PROPER(IF(ISBLANK(AU112),"No",AU112))</f>
        <v>No</v>
      </c>
      <c r="AX112" s="5" t="n">
        <f aca="false">IF(ISBLANK(AW112),0,AW112)</f>
        <v>0</v>
      </c>
      <c r="AY112" s="0" t="s">
        <v>184</v>
      </c>
      <c r="AZ112" s="0" t="str">
        <f aca="false">UPPER(IF(ISBLANK(AY112),"NONE",AY112))</f>
        <v>N/A</v>
      </c>
      <c r="BB112" s="7" t="str">
        <f aca="false">IF(ISBLANK(BA112),"No Follow Up Needed",BA112)</f>
        <v>No Follow Up Needed</v>
      </c>
      <c r="BD112" s="0" t="str">
        <f aca="false">PROPER(IF(ISBLANK(BC112),"Unknown",BC112))</f>
        <v>Unknown</v>
      </c>
      <c r="BE112" s="0" t="s">
        <v>116</v>
      </c>
      <c r="BF112" s="0" t="str">
        <f aca="false">IF(ISBLANK(BE112),"No comments",BE112)</f>
        <v>Needs tire alignment</v>
      </c>
      <c r="BG112" s="0" t="s">
        <v>117</v>
      </c>
      <c r="BH112" s="0" t="str">
        <f aca="false">IF(ISBLANK(BG112),"No comments",BG112)</f>
        <v>Prefers morning</v>
      </c>
      <c r="BJ112" s="0" t="str">
        <f aca="false">IF(ISBLANK(BI112),"Not Mentioned",BI112)</f>
        <v>Not Mentioned</v>
      </c>
      <c r="BK112" s="0" t="s">
        <v>61</v>
      </c>
      <c r="BL112" s="0" t="str">
        <f aca="false">PROPER(IF(ISBLANK(BK112),"Not Mentioned",BK112))</f>
        <v>No</v>
      </c>
      <c r="BN112" s="0" t="str">
        <f aca="false">PROPER(IF(ISBLANK(BM112),"Not Mentioned",BM112))</f>
        <v>Not Mentioned</v>
      </c>
      <c r="BP112" s="0" t="str">
        <f aca="false">IF(ISBLANK(BO112),"One-Time Plan",BO112)</f>
        <v>One-Time Plan</v>
      </c>
      <c r="BQ112" s="0" t="s">
        <v>50</v>
      </c>
      <c r="BR112" s="0" t="str">
        <f aca="false">PROPER(IF(ISBLANK(BQ112),"No",BQ112))</f>
        <v>No</v>
      </c>
    </row>
    <row r="113" customFormat="false" ht="15" hidden="false" customHeight="false" outlineLevel="0" collapsed="false">
      <c r="A113" s="0" t="s">
        <v>413</v>
      </c>
      <c r="B113" s="2" t="n">
        <v>45750</v>
      </c>
      <c r="C113" s="2" t="str">
        <f aca="false">TEXT(B113,"dd/mm/yyyy")</f>
        <v>03/04/2025</v>
      </c>
      <c r="D113" s="0" t="s">
        <v>121</v>
      </c>
      <c r="E113" s="0" t="n">
        <v>8033632711</v>
      </c>
      <c r="F113" s="0" t="s">
        <v>43</v>
      </c>
      <c r="G113" s="0" t="s">
        <v>2315</v>
      </c>
      <c r="H113" s="0" t="s">
        <v>414</v>
      </c>
      <c r="I113" s="0" t="s">
        <v>69</v>
      </c>
      <c r="J113" s="0" t="s">
        <v>2325</v>
      </c>
      <c r="K113" s="3" t="str">
        <f aca="false" t="array" ref="K113:K113">IFERROR(IF(J113&lt;&gt;"",J113,INDEX(J113:J1112,MATCH(1,(F113:F1112=F113)*(I113:I1112=I113)*(L113:L1112=L113)*(J113:J1112&lt;&gt;""),0))),"Not Found")</f>
        <v>Engine Knocking</v>
      </c>
      <c r="L113" s="3" t="s">
        <v>89</v>
      </c>
      <c r="M113" s="0" t="str">
        <f aca="false">PROPER(L113)</f>
        <v>Shock Absorbers</v>
      </c>
      <c r="N113" s="3" t="s">
        <v>48</v>
      </c>
      <c r="O113" s="0" t="str">
        <f aca="false" t="array" ref="O113:O113">IF(N113&lt;&gt;"",N113,_xlfn.xlookup(1,(L113:L1112=L113)*(N113:N1112&lt;&gt;""),N113:N1112,"Not Found"))</f>
        <v>Uche</v>
      </c>
      <c r="P113" s="4" t="n">
        <v>26011</v>
      </c>
      <c r="Q113" s="0" t="s">
        <v>166</v>
      </c>
      <c r="R113" s="0" t="str">
        <f aca="false">PROPER(Q113)</f>
        <v>Transfer</v>
      </c>
      <c r="S113" s="0" t="s">
        <v>50</v>
      </c>
      <c r="T113" s="0" t="n">
        <v>2</v>
      </c>
      <c r="U113" s="5" t="n">
        <f aca="false">IF(ISBLANK(T113),AVERAGE(T113:T1112),T113)</f>
        <v>2</v>
      </c>
      <c r="V113" s="0" t="n">
        <v>5.8</v>
      </c>
      <c r="W113" s="0" t="s">
        <v>51</v>
      </c>
      <c r="X113" s="0" t="str">
        <f aca="false">IF(ISBLANK(W113),"No remarks",W113)</f>
        <v>Recommended further checks</v>
      </c>
      <c r="Y113" s="0" t="s">
        <v>93</v>
      </c>
      <c r="Z113" s="0" t="s">
        <v>53</v>
      </c>
      <c r="AA113" s="0" t="str">
        <f aca="false">PROPER(IF(ISBLANK(Z113),"Location Unavailable",Z113))</f>
        <v>Main Bay</v>
      </c>
      <c r="AB113" s="0" t="s">
        <v>95</v>
      </c>
      <c r="AC113" s="6" t="str">
        <f aca="false">PROPER(AB113)</f>
        <v>Road Sign</v>
      </c>
      <c r="AD113" s="6" t="n">
        <v>30</v>
      </c>
      <c r="AE113" s="5" t="n">
        <f aca="false">IF(ISBLANK(AD113),AVERAGEIF(L113:L1112,L113,AD113:AD1112),AD113)</f>
        <v>30</v>
      </c>
      <c r="AF113" s="0" t="s">
        <v>55</v>
      </c>
      <c r="AG113" s="0" t="str">
        <f aca="false">PROPER(AF113)</f>
        <v>Available</v>
      </c>
      <c r="AH113" s="0" t="s">
        <v>155</v>
      </c>
      <c r="AI113" s="0" t="s">
        <v>78</v>
      </c>
      <c r="AJ113" s="0" t="str">
        <f aca="false">PROPER(AI113)</f>
        <v>Booking</v>
      </c>
      <c r="AK113" s="0" t="s">
        <v>114</v>
      </c>
      <c r="AL113" s="0" t="str">
        <f aca="false">PROPER(AK113)</f>
        <v>Returning</v>
      </c>
      <c r="AM113" s="0" t="s">
        <v>2326</v>
      </c>
      <c r="AN113" s="0" t="str">
        <f aca="false">IF(ISBLANK(AM113),"Unknown",AM113)</f>
        <v>Government Convoy</v>
      </c>
      <c r="AP113" s="0" t="str">
        <f aca="false">IF(ISBLANK(AO113),"Unknown",AO113)</f>
        <v>Unknown</v>
      </c>
      <c r="AQ113" s="0" t="n">
        <v>25000</v>
      </c>
      <c r="AR113" s="5" t="n">
        <f aca="false">IF(ISBLANK(AQ113),AVERAGEIF(M113:M1112,M113,AQ113:AQ1112),AQ113)</f>
        <v>25000</v>
      </c>
      <c r="AT113" s="5" t="n">
        <f aca="false">IF(ISBLANK(AS113),AVERAGE(AS113:AS1112),AS113)</f>
        <v>31553.1335149864</v>
      </c>
      <c r="AU113" s="0" t="s">
        <v>82</v>
      </c>
      <c r="AV113" s="0" t="str">
        <f aca="false">PROPER(IF(ISBLANK(AU113),"No",AU113))</f>
        <v>Yes</v>
      </c>
      <c r="AW113" s="0" t="n">
        <v>10000</v>
      </c>
      <c r="AX113" s="5" t="n">
        <f aca="false">IF(ISBLANK(AW113),0,AW113)</f>
        <v>10000</v>
      </c>
      <c r="AY113" s="0" t="s">
        <v>184</v>
      </c>
      <c r="AZ113" s="0" t="str">
        <f aca="false">UPPER(IF(ISBLANK(AY113),"NONE",AY113))</f>
        <v>N/A</v>
      </c>
      <c r="BA113" s="7" t="s">
        <v>415</v>
      </c>
      <c r="BB113" s="7" t="str">
        <f aca="false">IF(ISBLANK(BA113),"No Follow Up Needed",BA113)</f>
        <v>26/06/2025</v>
      </c>
      <c r="BC113" s="0" t="s">
        <v>61</v>
      </c>
      <c r="BD113" s="0" t="str">
        <f aca="false">PROPER(IF(ISBLANK(BC113),"Unknown",BC113))</f>
        <v>No</v>
      </c>
      <c r="BE113" s="0" t="s">
        <v>116</v>
      </c>
      <c r="BF113" s="0" t="str">
        <f aca="false">IF(ISBLANK(BE113),"No comments",BE113)</f>
        <v>Needs tire alignment</v>
      </c>
      <c r="BH113" s="0" t="str">
        <f aca="false">IF(ISBLANK(BG113),"No comments",BG113)</f>
        <v>No comments</v>
      </c>
      <c r="BJ113" s="0" t="str">
        <f aca="false">IF(ISBLANK(BI113),"Not Mentioned",BI113)</f>
        <v>Not Mentioned</v>
      </c>
      <c r="BK113" s="0" t="s">
        <v>82</v>
      </c>
      <c r="BL113" s="0" t="str">
        <f aca="false">PROPER(IF(ISBLANK(BK113),"Not Mentioned",BK113))</f>
        <v>Yes</v>
      </c>
      <c r="BN113" s="0" t="str">
        <f aca="false">PROPER(IF(ISBLANK(BM113),"Not Mentioned",BM113))</f>
        <v>Not Mentioned</v>
      </c>
      <c r="BO113" s="0" t="s">
        <v>2318</v>
      </c>
      <c r="BP113" s="0" t="str">
        <f aca="false">IF(ISBLANK(BO113),"One-Time Plan",BO113)</f>
        <v>Gold</v>
      </c>
      <c r="BQ113" s="0" t="s">
        <v>63</v>
      </c>
      <c r="BR113" s="0" t="str">
        <f aca="false">PROPER(IF(ISBLANK(BQ113),"No",BQ113))</f>
        <v>Yes</v>
      </c>
    </row>
    <row r="114" customFormat="false" ht="15" hidden="false" customHeight="false" outlineLevel="0" collapsed="false">
      <c r="A114" s="0" t="s">
        <v>417</v>
      </c>
      <c r="B114" s="2" t="s">
        <v>416</v>
      </c>
      <c r="C114" s="2" t="str">
        <f aca="false">TEXT(B114,"dd/mm/yyyy")</f>
        <v>28/02/2025</v>
      </c>
      <c r="D114" s="0" t="s">
        <v>121</v>
      </c>
      <c r="E114" s="0" t="n">
        <v>8045136671</v>
      </c>
      <c r="F114" s="0" t="s">
        <v>67</v>
      </c>
      <c r="G114" s="0" t="s">
        <v>2316</v>
      </c>
      <c r="H114" s="0" t="s">
        <v>418</v>
      </c>
      <c r="I114" s="0" t="s">
        <v>45</v>
      </c>
      <c r="J114" s="0" t="s">
        <v>2322</v>
      </c>
      <c r="K114" s="3" t="str">
        <f aca="false" t="array" ref="K114:K114">IFERROR(IF(J114&lt;&gt;"",J114,INDEX(J114:J1113,MATCH(1,(F114:F1113=F114)*(I114:I1113=I114)*(L114:L1113=L114)*(J114:J1113&lt;&gt;""),0))),"Not Found")</f>
        <v>Brake Failure</v>
      </c>
      <c r="L114" s="3" t="s">
        <v>108</v>
      </c>
      <c r="M114" s="0" t="str">
        <f aca="false">PROPER(L114)</f>
        <v>Timing Belt</v>
      </c>
      <c r="N114" s="3" t="s">
        <v>48</v>
      </c>
      <c r="O114" s="0" t="str">
        <f aca="false" t="array" ref="O114:O114">IF(N114&lt;&gt;"",N114,_xlfn.xlookup(1,(L114:L1113=L114)*(N114:N1113&lt;&gt;""),N114:N1113,"Not Found"))</f>
        <v>Uche</v>
      </c>
      <c r="P114" s="4" t="n">
        <v>74107</v>
      </c>
      <c r="Q114" s="0" t="s">
        <v>91</v>
      </c>
      <c r="R114" s="0" t="str">
        <f aca="false">PROPER(Q114)</f>
        <v>Pos</v>
      </c>
      <c r="S114" s="0" t="s">
        <v>63</v>
      </c>
      <c r="T114" s="0" t="n">
        <v>1</v>
      </c>
      <c r="U114" s="5" t="n">
        <f aca="false">IF(ISBLANK(T114),AVERAGE(T114:T1113),T114)</f>
        <v>1</v>
      </c>
      <c r="V114" s="0" t="n">
        <v>1.7</v>
      </c>
      <c r="W114" s="0" t="s">
        <v>111</v>
      </c>
      <c r="X114" s="0" t="str">
        <f aca="false">IF(ISBLANK(W114),"No remarks",W114)</f>
        <v>Changed all filters</v>
      </c>
      <c r="Y114" s="0" t="s">
        <v>73</v>
      </c>
      <c r="Z114" s="0" t="s">
        <v>136</v>
      </c>
      <c r="AA114" s="0" t="str">
        <f aca="false">PROPER(IF(ISBLANK(Z114),"Location Unavailable",Z114))</f>
        <v>Vip Section</v>
      </c>
      <c r="AB114" s="0" t="s">
        <v>75</v>
      </c>
      <c r="AC114" s="6" t="str">
        <f aca="false">PROPER(AB114)</f>
        <v>Mechanik Referal</v>
      </c>
      <c r="AD114" s="6" t="n">
        <v>45</v>
      </c>
      <c r="AE114" s="5" t="n">
        <f aca="false">IF(ISBLANK(AD114),AVERAGEIF(L114:L1113,L114,AD114:AD1113),AD114)</f>
        <v>45</v>
      </c>
      <c r="AF114" s="0" t="s">
        <v>160</v>
      </c>
      <c r="AG114" s="0" t="str">
        <f aca="false">PROPER(AF114)</f>
        <v>Availaible</v>
      </c>
      <c r="AH114" s="0" t="s">
        <v>56</v>
      </c>
      <c r="AI114" s="0" t="s">
        <v>78</v>
      </c>
      <c r="AJ114" s="0" t="str">
        <f aca="false">PROPER(AI114)</f>
        <v>Booking</v>
      </c>
      <c r="AK114" s="0" t="s">
        <v>58</v>
      </c>
      <c r="AL114" s="0" t="str">
        <f aca="false">PROPER(AK114)</f>
        <v>Fleet Owner</v>
      </c>
      <c r="AM114" s="0" t="s">
        <v>2326</v>
      </c>
      <c r="AN114" s="0" t="str">
        <f aca="false">IF(ISBLANK(AM114),"Unknown",AM114)</f>
        <v>Government Convoy</v>
      </c>
      <c r="AO114" s="0" t="s">
        <v>79</v>
      </c>
      <c r="AP114" s="0" t="str">
        <f aca="false">IF(ISBLANK(AO114),"Unknown",AO114)</f>
        <v>Specialist</v>
      </c>
      <c r="AR114" s="5" t="n">
        <f aca="false">IF(ISBLANK(AQ114),AVERAGEIF(M114:M1113,M114,AQ114:AQ1113),AQ114)</f>
        <v>27384.6153846154</v>
      </c>
      <c r="AS114" s="0" t="n">
        <v>30000</v>
      </c>
      <c r="AT114" s="5" t="n">
        <f aca="false">IF(ISBLANK(AS114),AVERAGE(AS114:AS1113),AS114)</f>
        <v>30000</v>
      </c>
      <c r="AV114" s="0" t="str">
        <f aca="false">PROPER(IF(ISBLANK(AU114),"No",AU114))</f>
        <v>No</v>
      </c>
      <c r="AW114" s="0" t="n">
        <v>5000</v>
      </c>
      <c r="AX114" s="5" t="n">
        <f aca="false">IF(ISBLANK(AW114),0,AW114)</f>
        <v>5000</v>
      </c>
      <c r="AY114" s="0" t="s">
        <v>130</v>
      </c>
      <c r="AZ114" s="0" t="str">
        <f aca="false">UPPER(IF(ISBLANK(AY114),"NONE",AY114))</f>
        <v>LOYALTY10</v>
      </c>
      <c r="BB114" s="7" t="str">
        <f aca="false">IF(ISBLANK(BA114),"No Follow Up Needed",BA114)</f>
        <v>No Follow Up Needed</v>
      </c>
      <c r="BC114" s="0" t="s">
        <v>63</v>
      </c>
      <c r="BD114" s="0" t="str">
        <f aca="false">PROPER(IF(ISBLANK(BC114),"Unknown",BC114))</f>
        <v>Yes</v>
      </c>
      <c r="BE114" s="0" t="s">
        <v>171</v>
      </c>
      <c r="BF114" s="0" t="str">
        <f aca="false">IF(ISBLANK(BE114),"No comments",BE114)</f>
        <v>Shock absorber weakening</v>
      </c>
      <c r="BG114" s="0" t="s">
        <v>117</v>
      </c>
      <c r="BH114" s="0" t="str">
        <f aca="false">IF(ISBLANK(BG114),"No comments",BG114)</f>
        <v>Prefers morning</v>
      </c>
      <c r="BI114" s="0" t="s">
        <v>63</v>
      </c>
      <c r="BJ114" s="0" t="str">
        <f aca="false">IF(ISBLANK(BI114),"Not Mentioned",BI114)</f>
        <v>Yes</v>
      </c>
      <c r="BK114" s="0" t="s">
        <v>61</v>
      </c>
      <c r="BL114" s="0" t="str">
        <f aca="false">PROPER(IF(ISBLANK(BK114),"Not Mentioned",BK114))</f>
        <v>No</v>
      </c>
      <c r="BM114" s="0" t="s">
        <v>63</v>
      </c>
      <c r="BN114" s="0" t="str">
        <f aca="false">PROPER(IF(ISBLANK(BM114),"Not Mentioned",BM114))</f>
        <v>Yes</v>
      </c>
      <c r="BO114" s="0" t="s">
        <v>2321</v>
      </c>
      <c r="BP114" s="0" t="str">
        <f aca="false">IF(ISBLANK(BO114),"One-Time Plan",BO114)</f>
        <v>One-Time Plan</v>
      </c>
      <c r="BQ114" s="0" t="s">
        <v>50</v>
      </c>
      <c r="BR114" s="0" t="str">
        <f aca="false">PROPER(IF(ISBLANK(BQ114),"No",BQ114))</f>
        <v>No</v>
      </c>
    </row>
    <row r="115" customFormat="false" ht="15" hidden="false" customHeight="false" outlineLevel="0" collapsed="false">
      <c r="A115" s="0" t="s">
        <v>419</v>
      </c>
      <c r="B115" s="2" t="n">
        <v>45752</v>
      </c>
      <c r="C115" s="2" t="str">
        <f aca="false">TEXT(B115,"dd/mm/yyyy")</f>
        <v>05/04/2025</v>
      </c>
      <c r="D115" s="0" t="s">
        <v>66</v>
      </c>
      <c r="E115" s="0" t="n">
        <v>8023581521</v>
      </c>
      <c r="F115" s="0" t="s">
        <v>67</v>
      </c>
      <c r="G115" s="0" t="s">
        <v>2316</v>
      </c>
      <c r="H115" s="0" t="s">
        <v>420</v>
      </c>
      <c r="I115" s="0" t="s">
        <v>134</v>
      </c>
      <c r="J115" s="0" t="s">
        <v>2322</v>
      </c>
      <c r="K115" s="3" t="str">
        <f aca="false" t="array" ref="K115:K115">IFERROR(IF(J115&lt;&gt;"",J115,INDEX(J115:J1114,MATCH(1,(F115:F1114=F115)*(I115:I1114=I115)*(L115:L1114=L115)*(J115:J1114&lt;&gt;""),0))),"Not Found")</f>
        <v>Brake Failure</v>
      </c>
      <c r="L115" s="3" t="s">
        <v>47</v>
      </c>
      <c r="M115" s="0" t="str">
        <f aca="false">PROPER(L115)</f>
        <v>None</v>
      </c>
      <c r="N115" s="3" t="s">
        <v>48</v>
      </c>
      <c r="O115" s="0" t="str">
        <f aca="false" t="array" ref="O115:O115">IF(N115&lt;&gt;"",N115,_xlfn.xlookup(1,(L115:L1114=L115)*(N115:N1114&lt;&gt;""),N115:N1114,"Not Found"))</f>
        <v>Uche</v>
      </c>
      <c r="P115" s="4" t="n">
        <v>104999</v>
      </c>
      <c r="Q115" s="0" t="s">
        <v>72</v>
      </c>
      <c r="R115" s="0" t="str">
        <f aca="false">PROPER(Q115)</f>
        <v>Pos</v>
      </c>
      <c r="S115" s="0" t="s">
        <v>50</v>
      </c>
      <c r="T115" s="0" t="n">
        <v>2</v>
      </c>
      <c r="U115" s="5" t="n">
        <f aca="false">IF(ISBLANK(T115),AVERAGE(T115:T1114),T115)</f>
        <v>2</v>
      </c>
      <c r="V115" s="0" t="n">
        <v>4</v>
      </c>
      <c r="W115" s="0" t="s">
        <v>51</v>
      </c>
      <c r="X115" s="0" t="str">
        <f aca="false">IF(ISBLANK(W115),"No remarks",W115)</f>
        <v>Recommended further checks</v>
      </c>
      <c r="Y115" s="0" t="s">
        <v>73</v>
      </c>
      <c r="Z115" s="0" t="s">
        <v>136</v>
      </c>
      <c r="AA115" s="0" t="str">
        <f aca="false">PROPER(IF(ISBLANK(Z115),"Location Unavailable",Z115))</f>
        <v>Vip Section</v>
      </c>
      <c r="AB115" s="0" t="s">
        <v>75</v>
      </c>
      <c r="AC115" s="6" t="str">
        <f aca="false">PROPER(AB115)</f>
        <v>Mechanik Referal</v>
      </c>
      <c r="AD115" s="6" t="n">
        <v>15</v>
      </c>
      <c r="AE115" s="5" t="n">
        <f aca="false">IF(ISBLANK(AD115),AVERAGEIF(L115:L1114,L115,AD115:AD1114),AD115)</f>
        <v>15</v>
      </c>
      <c r="AF115" s="0" t="s">
        <v>96</v>
      </c>
      <c r="AG115" s="0" t="str">
        <f aca="false">PROPER(AF115)</f>
        <v>Ordered</v>
      </c>
      <c r="AH115" s="0" t="s">
        <v>155</v>
      </c>
      <c r="AI115" s="0" t="s">
        <v>128</v>
      </c>
      <c r="AJ115" s="0" t="str">
        <f aca="false">PROPER(AI115)</f>
        <v>Normal</v>
      </c>
      <c r="AK115" s="0" t="s">
        <v>114</v>
      </c>
      <c r="AL115" s="0" t="str">
        <f aca="false">PROPER(AK115)</f>
        <v>Returning</v>
      </c>
      <c r="AM115" s="0" t="s">
        <v>2326</v>
      </c>
      <c r="AN115" s="0" t="str">
        <f aca="false">IF(ISBLANK(AM115),"Unknown",AM115)</f>
        <v>Government Convoy</v>
      </c>
      <c r="AO115" s="0" t="s">
        <v>79</v>
      </c>
      <c r="AP115" s="0" t="str">
        <f aca="false">IF(ISBLANK(AO115),"Unknown",AO115)</f>
        <v>Specialist</v>
      </c>
      <c r="AQ115" s="0" t="n">
        <v>25000</v>
      </c>
      <c r="AR115" s="5" t="n">
        <f aca="false">IF(ISBLANK(AQ115),AVERAGEIF(M115:M1114,M115,AQ115:AQ1114),AQ115)</f>
        <v>25000</v>
      </c>
      <c r="AS115" s="0" t="n">
        <v>35000</v>
      </c>
      <c r="AT115" s="5" t="n">
        <f aca="false">IF(ISBLANK(AS115),AVERAGE(AS115:AS1114),AS115)</f>
        <v>35000</v>
      </c>
      <c r="AU115" s="0" t="s">
        <v>63</v>
      </c>
      <c r="AV115" s="0" t="str">
        <f aca="false">PROPER(IF(ISBLANK(AU115),"No",AU115))</f>
        <v>Yes</v>
      </c>
      <c r="AW115" s="0" t="n">
        <v>5000</v>
      </c>
      <c r="AX115" s="5" t="n">
        <f aca="false">IF(ISBLANK(AW115),0,AW115)</f>
        <v>5000</v>
      </c>
      <c r="AY115" s="0" t="s">
        <v>60</v>
      </c>
      <c r="AZ115" s="0" t="str">
        <f aca="false">UPPER(IF(ISBLANK(AY115),"NONE",AY115))</f>
        <v>NONE</v>
      </c>
      <c r="BA115" s="7" t="s">
        <v>421</v>
      </c>
      <c r="BB115" s="7" t="str">
        <f aca="false">IF(ISBLANK(BA115),"No Follow Up Needed",BA115)</f>
        <v>29/08/2025</v>
      </c>
      <c r="BC115" s="0" t="s">
        <v>50</v>
      </c>
      <c r="BD115" s="0" t="str">
        <f aca="false">PROPER(IF(ISBLANK(BC115),"Unknown",BC115))</f>
        <v>No</v>
      </c>
      <c r="BF115" s="0" t="str">
        <f aca="false">IF(ISBLANK(BE115),"No comments",BE115)</f>
        <v>No comments</v>
      </c>
      <c r="BH115" s="0" t="str">
        <f aca="false">IF(ISBLANK(BG115),"No comments",BG115)</f>
        <v>No comments</v>
      </c>
      <c r="BI115" s="0" t="s">
        <v>63</v>
      </c>
      <c r="BJ115" s="0" t="str">
        <f aca="false">IF(ISBLANK(BI115),"Not Mentioned",BI115)</f>
        <v>Yes</v>
      </c>
      <c r="BK115" s="0" t="s">
        <v>82</v>
      </c>
      <c r="BL115" s="0" t="str">
        <f aca="false">PROPER(IF(ISBLANK(BK115),"Not Mentioned",BK115))</f>
        <v>Yes</v>
      </c>
      <c r="BN115" s="0" t="str">
        <f aca="false">PROPER(IF(ISBLANK(BM115),"Not Mentioned",BM115))</f>
        <v>Not Mentioned</v>
      </c>
      <c r="BO115" s="0" t="s">
        <v>2321</v>
      </c>
      <c r="BP115" s="0" t="str">
        <f aca="false">IF(ISBLANK(BO115),"One-Time Plan",BO115)</f>
        <v>One-Time Plan</v>
      </c>
      <c r="BQ115" s="0" t="s">
        <v>190</v>
      </c>
      <c r="BR115" s="0" t="str">
        <f aca="false">PROPER(IF(ISBLANK(BQ115),"No",BQ115))</f>
        <v>Yes</v>
      </c>
    </row>
    <row r="116" customFormat="false" ht="15" hidden="false" customHeight="false" outlineLevel="0" collapsed="false">
      <c r="A116" s="0" t="s">
        <v>422</v>
      </c>
      <c r="B116" s="2" t="n">
        <v>45699</v>
      </c>
      <c r="C116" s="2" t="str">
        <f aca="false">TEXT(B116,"dd/mm/yyyy")</f>
        <v>11/02/2025</v>
      </c>
      <c r="D116" s="0" t="s">
        <v>105</v>
      </c>
      <c r="E116" s="0" t="n">
        <v>8012817734</v>
      </c>
      <c r="F116" s="0" t="s">
        <v>67</v>
      </c>
      <c r="G116" s="0" t="s">
        <v>2316</v>
      </c>
      <c r="H116" s="0" t="s">
        <v>423</v>
      </c>
      <c r="I116" s="0" t="s">
        <v>69</v>
      </c>
      <c r="J116" s="0" t="s">
        <v>2322</v>
      </c>
      <c r="K116" s="3" t="str">
        <f aca="false" t="array" ref="K116:K116">IFERROR(IF(J116&lt;&gt;"",J116,INDEX(J116:J1115,MATCH(1,(F116:F1115=F116)*(I116:I1115=I116)*(L116:L1115=L116)*(J116:J1115&lt;&gt;""),0))),"Not Found")</f>
        <v>Brake Failure</v>
      </c>
      <c r="L116" s="3" t="s">
        <v>142</v>
      </c>
      <c r="M116" s="0" t="str">
        <f aca="false">PROPER(L116)</f>
        <v>Oil Filter, Brake Pads</v>
      </c>
      <c r="N116" s="3" t="s">
        <v>90</v>
      </c>
      <c r="O116" s="0" t="str">
        <f aca="false" t="array" ref="O116:O116">IF(N116&lt;&gt;"",N116,_xlfn.xlookup(1,(L116:L1115=L116)*(N116:N1115&lt;&gt;""),N116:N1115,"Not Found"))</f>
        <v>Musa</v>
      </c>
      <c r="P116" s="4" t="n">
        <v>94489</v>
      </c>
      <c r="Q116" s="0" t="s">
        <v>72</v>
      </c>
      <c r="R116" s="0" t="str">
        <f aca="false">PROPER(Q116)</f>
        <v>Pos</v>
      </c>
      <c r="S116" s="0" t="s">
        <v>50</v>
      </c>
      <c r="T116" s="0" t="n">
        <v>1</v>
      </c>
      <c r="U116" s="5" t="n">
        <f aca="false">IF(ISBLANK(T116),AVERAGE(T116:T1115),T116)</f>
        <v>1</v>
      </c>
      <c r="V116" s="0" t="n">
        <v>1.2</v>
      </c>
      <c r="W116" s="0" t="s">
        <v>111</v>
      </c>
      <c r="X116" s="0" t="str">
        <f aca="false">IF(ISBLANK(W116),"No remarks",W116)</f>
        <v>Changed all filters</v>
      </c>
      <c r="Y116" s="0" t="s">
        <v>52</v>
      </c>
      <c r="Z116" s="0" t="s">
        <v>136</v>
      </c>
      <c r="AA116" s="0" t="str">
        <f aca="false">PROPER(IF(ISBLANK(Z116),"Location Unavailable",Z116))</f>
        <v>Vip Section</v>
      </c>
      <c r="AB116" s="0" t="s">
        <v>75</v>
      </c>
      <c r="AC116" s="6" t="str">
        <f aca="false">PROPER(AB116)</f>
        <v>Mechanik Referal</v>
      </c>
      <c r="AD116" s="6" t="n">
        <v>15</v>
      </c>
      <c r="AE116" s="5" t="n">
        <f aca="false">IF(ISBLANK(AD116),AVERAGEIF(L116:L1115,L116,AD116:AD1115),AD116)</f>
        <v>15</v>
      </c>
      <c r="AF116" s="0" t="s">
        <v>96</v>
      </c>
      <c r="AG116" s="0" t="str">
        <f aca="false">PROPER(AF116)</f>
        <v>Ordered</v>
      </c>
      <c r="AH116" s="0" t="s">
        <v>148</v>
      </c>
      <c r="AI116" s="0" t="s">
        <v>78</v>
      </c>
      <c r="AJ116" s="0" t="str">
        <f aca="false">PROPER(AI116)</f>
        <v>Booking</v>
      </c>
      <c r="AK116" s="0" t="s">
        <v>196</v>
      </c>
      <c r="AL116" s="0" t="str">
        <f aca="false">PROPER(AK116)</f>
        <v>First Time</v>
      </c>
      <c r="AM116" s="0" t="s">
        <v>177</v>
      </c>
      <c r="AN116" s="0" t="str">
        <f aca="false">IF(ISBLANK(AM116),"Unknown",AM116)</f>
        <v>Private</v>
      </c>
      <c r="AO116" s="0" t="s">
        <v>79</v>
      </c>
      <c r="AP116" s="0" t="str">
        <f aca="false">IF(ISBLANK(AO116),"Unknown",AO116)</f>
        <v>Specialist</v>
      </c>
      <c r="AQ116" s="0" t="n">
        <v>25000</v>
      </c>
      <c r="AR116" s="5" t="n">
        <f aca="false">IF(ISBLANK(AQ116),AVERAGEIF(M116:M1115,M116,AQ116:AQ1115),AQ116)</f>
        <v>25000</v>
      </c>
      <c r="AT116" s="5" t="n">
        <f aca="false">IF(ISBLANK(AS116),AVERAGE(AS116:AS1115),AS116)</f>
        <v>31550.5464480874</v>
      </c>
      <c r="AU116" s="0" t="s">
        <v>63</v>
      </c>
      <c r="AV116" s="0" t="str">
        <f aca="false">PROPER(IF(ISBLANK(AU116),"No",AU116))</f>
        <v>Yes</v>
      </c>
      <c r="AW116" s="0" t="n">
        <v>0</v>
      </c>
      <c r="AX116" s="5" t="n">
        <f aca="false">IF(ISBLANK(AW116),0,AW116)</f>
        <v>0</v>
      </c>
      <c r="AY116" s="0" t="s">
        <v>184</v>
      </c>
      <c r="AZ116" s="0" t="str">
        <f aca="false">UPPER(IF(ISBLANK(AY116),"NONE",AY116))</f>
        <v>N/A</v>
      </c>
      <c r="BA116" s="7" t="s">
        <v>424</v>
      </c>
      <c r="BB116" s="7" t="str">
        <f aca="false">IF(ISBLANK(BA116),"No Follow Up Needed",BA116)</f>
        <v>21/12/2025</v>
      </c>
      <c r="BC116" s="0" t="s">
        <v>82</v>
      </c>
      <c r="BD116" s="0" t="str">
        <f aca="false">PROPER(IF(ISBLANK(BC116),"Unknown",BC116))</f>
        <v>Yes</v>
      </c>
      <c r="BF116" s="0" t="str">
        <f aca="false">IF(ISBLANK(BE116),"No comments",BE116)</f>
        <v>No comments</v>
      </c>
      <c r="BG116" s="0" t="s">
        <v>172</v>
      </c>
      <c r="BH116" s="0" t="str">
        <f aca="false">IF(ISBLANK(BG116),"No comments",BG116)</f>
        <v>Always late</v>
      </c>
      <c r="BI116" s="0" t="s">
        <v>50</v>
      </c>
      <c r="BJ116" s="0" t="str">
        <f aca="false">IF(ISBLANK(BI116),"Not Mentioned",BI116)</f>
        <v>No</v>
      </c>
      <c r="BK116" s="0" t="s">
        <v>82</v>
      </c>
      <c r="BL116" s="0" t="str">
        <f aca="false">PROPER(IF(ISBLANK(BK116),"Not Mentioned",BK116))</f>
        <v>Yes</v>
      </c>
      <c r="BN116" s="0" t="str">
        <f aca="false">PROPER(IF(ISBLANK(BM116),"Not Mentioned",BM116))</f>
        <v>Not Mentioned</v>
      </c>
      <c r="BO116" s="0" t="s">
        <v>2321</v>
      </c>
      <c r="BP116" s="0" t="str">
        <f aca="false">IF(ISBLANK(BO116),"One-Time Plan",BO116)</f>
        <v>One-Time Plan</v>
      </c>
      <c r="BQ116" s="0" t="s">
        <v>198</v>
      </c>
      <c r="BR116" s="0" t="str">
        <f aca="false">PROPER(IF(ISBLANK(BQ116),"No",BQ116))</f>
        <v>Followed Up</v>
      </c>
    </row>
    <row r="117" customFormat="false" ht="15" hidden="false" customHeight="false" outlineLevel="0" collapsed="false">
      <c r="A117" s="0" t="s">
        <v>425</v>
      </c>
      <c r="B117" s="2" t="n">
        <v>45763</v>
      </c>
      <c r="C117" s="2" t="str">
        <f aca="false">TEXT(B117,"dd/mm/yyyy")</f>
        <v>16/04/2025</v>
      </c>
      <c r="D117" s="0" t="s">
        <v>42</v>
      </c>
      <c r="E117" s="0" t="n">
        <v>8028420515</v>
      </c>
      <c r="F117" s="0" t="s">
        <v>67</v>
      </c>
      <c r="G117" s="0" t="s">
        <v>2316</v>
      </c>
      <c r="H117" s="0" t="s">
        <v>426</v>
      </c>
      <c r="I117" s="0" t="s">
        <v>87</v>
      </c>
      <c r="J117" s="0" t="s">
        <v>2322</v>
      </c>
      <c r="K117" s="3" t="str">
        <f aca="false" t="array" ref="K117:K117">IFERROR(IF(J117&lt;&gt;"",J117,INDEX(J117:J1116,MATCH(1,(F117:F1116=F117)*(I117:I1116=I117)*(L117:L1116=L117)*(J117:J1116&lt;&gt;""),0))),"Not Found")</f>
        <v>Brake Failure</v>
      </c>
      <c r="L117" s="3" t="s">
        <v>89</v>
      </c>
      <c r="M117" s="0" t="str">
        <f aca="false">PROPER(L117)</f>
        <v>Shock Absorbers</v>
      </c>
      <c r="N117" s="3" t="s">
        <v>71</v>
      </c>
      <c r="O117" s="0" t="str">
        <f aca="false" t="array" ref="O117:O117">IF(N117&lt;&gt;"",N117,_xlfn.xlookup(1,(L117:L1116=L117)*(N117:N1116&lt;&gt;""),N117:N1116,"Not Found"))</f>
        <v>Isaac Bobo</v>
      </c>
      <c r="P117" s="4" t="n">
        <v>70689</v>
      </c>
      <c r="Q117" s="0" t="s">
        <v>72</v>
      </c>
      <c r="R117" s="0" t="str">
        <f aca="false">PROPER(Q117)</f>
        <v>Pos</v>
      </c>
      <c r="S117" s="0" t="s">
        <v>63</v>
      </c>
      <c r="T117" s="0" t="n">
        <v>1</v>
      </c>
      <c r="U117" s="5" t="n">
        <f aca="false">IF(ISBLANK(T117),AVERAGE(T117:T1116),T117)</f>
        <v>1</v>
      </c>
      <c r="V117" s="0" t="n">
        <v>3.4</v>
      </c>
      <c r="W117" s="0" t="s">
        <v>125</v>
      </c>
      <c r="X117" s="0" t="str">
        <f aca="false">IF(ISBLANK(W117),"No remarks",W117)</f>
        <v>Customer waited</v>
      </c>
      <c r="Y117" s="0" t="s">
        <v>52</v>
      </c>
      <c r="Z117" s="0" t="s">
        <v>159</v>
      </c>
      <c r="AA117" s="0" t="str">
        <f aca="false">PROPER(IF(ISBLANK(Z117),"Location Unavailable",Z117))</f>
        <v>Main Bay</v>
      </c>
      <c r="AB117" s="0" t="s">
        <v>54</v>
      </c>
      <c r="AC117" s="6" t="str">
        <f aca="false">PROPER(AB117)</f>
        <v>Mechanic Referral</v>
      </c>
      <c r="AD117" s="6" t="n">
        <v>45</v>
      </c>
      <c r="AE117" s="5" t="n">
        <f aca="false">IF(ISBLANK(AD117),AVERAGEIF(L117:L1116,L117,AD117:AD1116),AD117)</f>
        <v>45</v>
      </c>
      <c r="AF117" s="0" t="s">
        <v>96</v>
      </c>
      <c r="AG117" s="0" t="str">
        <f aca="false">PROPER(AF117)</f>
        <v>Ordered</v>
      </c>
      <c r="AH117" s="0" t="s">
        <v>155</v>
      </c>
      <c r="AI117" s="0" t="s">
        <v>113</v>
      </c>
      <c r="AJ117" s="0" t="str">
        <f aca="false">PROPER(AI117)</f>
        <v>Normal</v>
      </c>
      <c r="AK117" s="0" t="s">
        <v>99</v>
      </c>
      <c r="AL117" s="0" t="str">
        <f aca="false">PROPER(AK117)</f>
        <v>Uber Driver</v>
      </c>
      <c r="AM117" s="0" t="s">
        <v>2326</v>
      </c>
      <c r="AN117" s="0" t="str">
        <f aca="false">IF(ISBLANK(AM117),"Unknown",AM117)</f>
        <v>Government Convoy</v>
      </c>
      <c r="AO117" s="0" t="s">
        <v>143</v>
      </c>
      <c r="AP117" s="0" t="str">
        <f aca="false">IF(ISBLANK(AO117),"Unknown",AO117)</f>
        <v>Senior</v>
      </c>
      <c r="AQ117" s="0" t="n">
        <v>40000</v>
      </c>
      <c r="AR117" s="5" t="n">
        <f aca="false">IF(ISBLANK(AQ117),AVERAGEIF(M117:M1116,M117,AQ117:AQ1116),AQ117)</f>
        <v>40000</v>
      </c>
      <c r="AT117" s="5" t="n">
        <f aca="false">IF(ISBLANK(AS117),AVERAGE(AS117:AS1116),AS117)</f>
        <v>31550.5464480874</v>
      </c>
      <c r="AU117" s="0" t="s">
        <v>63</v>
      </c>
      <c r="AV117" s="0" t="str">
        <f aca="false">PROPER(IF(ISBLANK(AU117),"No",AU117))</f>
        <v>Yes</v>
      </c>
      <c r="AW117" s="0" t="n">
        <v>10000</v>
      </c>
      <c r="AX117" s="5" t="n">
        <f aca="false">IF(ISBLANK(AW117),0,AW117)</f>
        <v>10000</v>
      </c>
      <c r="AY117" s="0" t="s">
        <v>130</v>
      </c>
      <c r="AZ117" s="0" t="str">
        <f aca="false">UPPER(IF(ISBLANK(AY117),"NONE",AY117))</f>
        <v>LOYALTY10</v>
      </c>
      <c r="BA117" s="7" t="n">
        <v>45785</v>
      </c>
      <c r="BB117" s="7" t="n">
        <f aca="false">IF(ISBLANK(BA117),"No Follow Up Needed",BA117)</f>
        <v>45785</v>
      </c>
      <c r="BC117" s="0" t="s">
        <v>82</v>
      </c>
      <c r="BD117" s="0" t="str">
        <f aca="false">PROPER(IF(ISBLANK(BC117),"Unknown",BC117))</f>
        <v>Yes</v>
      </c>
      <c r="BE117" s="0" t="s">
        <v>116</v>
      </c>
      <c r="BF117" s="0" t="str">
        <f aca="false">IF(ISBLANK(BE117),"No comments",BE117)</f>
        <v>Needs tire alignment</v>
      </c>
      <c r="BG117" s="0" t="s">
        <v>2320</v>
      </c>
      <c r="BH117" s="0" t="str">
        <f aca="false">IF(ISBLANK(BG117),"No comments",BG117)</f>
        <v>No complaints</v>
      </c>
      <c r="BJ117" s="0" t="str">
        <f aca="false">IF(ISBLANK(BI117),"Not Mentioned",BI117)</f>
        <v>Not Mentioned</v>
      </c>
      <c r="BK117" s="0" t="s">
        <v>82</v>
      </c>
      <c r="BL117" s="0" t="str">
        <f aca="false">PROPER(IF(ISBLANK(BK117),"Not Mentioned",BK117))</f>
        <v>Yes</v>
      </c>
      <c r="BM117" s="0" t="s">
        <v>50</v>
      </c>
      <c r="BN117" s="0" t="str">
        <f aca="false">PROPER(IF(ISBLANK(BM117),"Not Mentioned",BM117))</f>
        <v>No</v>
      </c>
      <c r="BO117" s="0" t="s">
        <v>2318</v>
      </c>
      <c r="BP117" s="0" t="str">
        <f aca="false">IF(ISBLANK(BO117),"One-Time Plan",BO117)</f>
        <v>Gold</v>
      </c>
      <c r="BR117" s="0" t="str">
        <f aca="false">PROPER(IF(ISBLANK(BQ117),"No",BQ117))</f>
        <v>No</v>
      </c>
    </row>
    <row r="118" customFormat="false" ht="15" hidden="false" customHeight="false" outlineLevel="0" collapsed="false">
      <c r="A118" s="0" t="s">
        <v>427</v>
      </c>
      <c r="B118" s="2" t="n">
        <v>45690</v>
      </c>
      <c r="C118" s="2" t="str">
        <f aca="false">TEXT(B118,"dd/mm/yyyy")</f>
        <v>02/02/2025</v>
      </c>
      <c r="D118" s="0" t="s">
        <v>66</v>
      </c>
      <c r="E118" s="0" t="n">
        <v>8060858151</v>
      </c>
      <c r="F118" s="0" t="s">
        <v>122</v>
      </c>
      <c r="G118" s="0" t="s">
        <v>2316</v>
      </c>
      <c r="H118" s="0" t="s">
        <v>428</v>
      </c>
      <c r="I118" s="0" t="s">
        <v>45</v>
      </c>
      <c r="J118" s="0" t="s">
        <v>2325</v>
      </c>
      <c r="K118" s="3" t="str">
        <f aca="false" t="array" ref="K118:K118">IFERROR(IF(J118&lt;&gt;"",J118,INDEX(J118:J1117,MATCH(1,(F118:F1117=F118)*(I118:I1117=I118)*(L118:L1117=L118)*(J118:J1117&lt;&gt;""),0))),"Not Found")</f>
        <v>Engine Knocking</v>
      </c>
      <c r="L118" s="3" t="s">
        <v>142</v>
      </c>
      <c r="M118" s="0" t="str">
        <f aca="false">PROPER(L118)</f>
        <v>Oil Filter, Brake Pads</v>
      </c>
      <c r="N118" s="3" t="s">
        <v>71</v>
      </c>
      <c r="O118" s="0" t="str">
        <f aca="false" t="array" ref="O118:O118">IF(N118&lt;&gt;"",N118,_xlfn.xlookup(1,(L118:L1117=L118)*(N118:N1117&lt;&gt;""),N118:N1117,"Not Found"))</f>
        <v>Isaac Bobo</v>
      </c>
      <c r="P118" s="4" t="n">
        <v>106615</v>
      </c>
      <c r="Q118" s="0" t="s">
        <v>72</v>
      </c>
      <c r="R118" s="0" t="str">
        <f aca="false">PROPER(Q118)</f>
        <v>Pos</v>
      </c>
      <c r="S118" s="0" t="s">
        <v>63</v>
      </c>
      <c r="T118" s="0" t="n">
        <v>3</v>
      </c>
      <c r="U118" s="5" t="n">
        <f aca="false">IF(ISBLANK(T118),AVERAGE(T118:T1117),T118)</f>
        <v>3</v>
      </c>
      <c r="V118" s="0" t="n">
        <v>4.3</v>
      </c>
      <c r="W118" s="0" t="s">
        <v>92</v>
      </c>
      <c r="X118" s="0" t="str">
        <f aca="false">IF(ISBLANK(W118),"No remarks",W118)</f>
        <v>Urgent service</v>
      </c>
      <c r="Y118" s="0" t="s">
        <v>52</v>
      </c>
      <c r="Z118" s="0" t="s">
        <v>136</v>
      </c>
      <c r="AA118" s="0" t="str">
        <f aca="false">PROPER(IF(ISBLANK(Z118),"Location Unavailable",Z118))</f>
        <v>Vip Section</v>
      </c>
      <c r="AB118" s="0" t="s">
        <v>167</v>
      </c>
      <c r="AC118" s="6" t="str">
        <f aca="false">PROPER(AB118)</f>
        <v>Word Of Mouth</v>
      </c>
      <c r="AD118" s="6" t="n">
        <v>45</v>
      </c>
      <c r="AE118" s="5" t="n">
        <f aca="false">IF(ISBLANK(AD118),AVERAGEIF(L118:L1117,L118,AD118:AD1117),AD118)</f>
        <v>45</v>
      </c>
      <c r="AF118" s="0" t="s">
        <v>112</v>
      </c>
      <c r="AG118" s="0" t="str">
        <f aca="false">PROPER(AF118)</f>
        <v>Unavailable</v>
      </c>
      <c r="AH118" s="0" t="s">
        <v>155</v>
      </c>
      <c r="AI118" s="0" t="s">
        <v>78</v>
      </c>
      <c r="AJ118" s="0" t="str">
        <f aca="false">PROPER(AI118)</f>
        <v>Booking</v>
      </c>
      <c r="AK118" s="0" t="s">
        <v>196</v>
      </c>
      <c r="AL118" s="0" t="str">
        <f aca="false">PROPER(AK118)</f>
        <v>First Time</v>
      </c>
      <c r="AM118" s="0" t="s">
        <v>59</v>
      </c>
      <c r="AN118" s="0" t="str">
        <f aca="false">IF(ISBLANK(AM118),"Unknown",AM118)</f>
        <v>Bolt Driver</v>
      </c>
      <c r="AO118" s="0" t="s">
        <v>79</v>
      </c>
      <c r="AP118" s="0" t="str">
        <f aca="false">IF(ISBLANK(AO118),"Unknown",AO118)</f>
        <v>Specialist</v>
      </c>
      <c r="AQ118" s="0" t="n">
        <v>15000</v>
      </c>
      <c r="AR118" s="5" t="n">
        <f aca="false">IF(ISBLANK(AQ118),AVERAGEIF(M118:M1117,M118,AQ118:AQ1117),AQ118)</f>
        <v>15000</v>
      </c>
      <c r="AS118" s="0" t="n">
        <v>30000</v>
      </c>
      <c r="AT118" s="5" t="n">
        <f aca="false">IF(ISBLANK(AS118),AVERAGE(AS118:AS1117),AS118)</f>
        <v>30000</v>
      </c>
      <c r="AU118" s="0" t="s">
        <v>61</v>
      </c>
      <c r="AV118" s="0" t="str">
        <f aca="false">PROPER(IF(ISBLANK(AU118),"No",AU118))</f>
        <v>No</v>
      </c>
      <c r="AX118" s="5" t="n">
        <f aca="false">IF(ISBLANK(AW118),0,AW118)</f>
        <v>0</v>
      </c>
      <c r="AY118" s="0" t="s">
        <v>184</v>
      </c>
      <c r="AZ118" s="0" t="str">
        <f aca="false">UPPER(IF(ISBLANK(AY118),"NONE",AY118))</f>
        <v>N/A</v>
      </c>
      <c r="BB118" s="7" t="str">
        <f aca="false">IF(ISBLANK(BA118),"No Follow Up Needed",BA118)</f>
        <v>No Follow Up Needed</v>
      </c>
      <c r="BC118" s="0" t="s">
        <v>63</v>
      </c>
      <c r="BD118" s="0" t="str">
        <f aca="false">PROPER(IF(ISBLANK(BC118),"Unknown",BC118))</f>
        <v>Yes</v>
      </c>
      <c r="BF118" s="0" t="str">
        <f aca="false">IF(ISBLANK(BE118),"No comments",BE118)</f>
        <v>No comments</v>
      </c>
      <c r="BG118" s="0" t="s">
        <v>172</v>
      </c>
      <c r="BH118" s="0" t="str">
        <f aca="false">IF(ISBLANK(BG118),"No comments",BG118)</f>
        <v>Always late</v>
      </c>
      <c r="BJ118" s="0" t="str">
        <f aca="false">IF(ISBLANK(BI118),"Not Mentioned",BI118)</f>
        <v>Not Mentioned</v>
      </c>
      <c r="BK118" s="0" t="s">
        <v>63</v>
      </c>
      <c r="BL118" s="0" t="str">
        <f aca="false">PROPER(IF(ISBLANK(BK118),"Not Mentioned",BK118))</f>
        <v>Yes</v>
      </c>
      <c r="BM118" s="0" t="s">
        <v>63</v>
      </c>
      <c r="BN118" s="0" t="str">
        <f aca="false">PROPER(IF(ISBLANK(BM118),"Not Mentioned",BM118))</f>
        <v>Yes</v>
      </c>
      <c r="BO118" s="0" t="s">
        <v>64</v>
      </c>
      <c r="BP118" s="0" t="str">
        <f aca="false">IF(ISBLANK(BO118),"One-Time Plan",BO118)</f>
        <v>Gold Maintenance Plan</v>
      </c>
      <c r="BQ118" s="0" t="s">
        <v>50</v>
      </c>
      <c r="BR118" s="0" t="str">
        <f aca="false">PROPER(IF(ISBLANK(BQ118),"No",BQ118))</f>
        <v>No</v>
      </c>
    </row>
    <row r="119" customFormat="false" ht="15" hidden="false" customHeight="false" outlineLevel="0" collapsed="false">
      <c r="A119" s="0" t="s">
        <v>429</v>
      </c>
      <c r="B119" s="2" t="n">
        <v>45692</v>
      </c>
      <c r="C119" s="2" t="str">
        <f aca="false">TEXT(B119,"dd/mm/yyyy")</f>
        <v>04/02/2025</v>
      </c>
      <c r="D119" s="0" t="s">
        <v>121</v>
      </c>
      <c r="E119" s="0" t="n">
        <v>8097895055</v>
      </c>
      <c r="F119" s="0" t="s">
        <v>43</v>
      </c>
      <c r="G119" s="0" t="s">
        <v>2315</v>
      </c>
      <c r="H119" s="0" t="s">
        <v>430</v>
      </c>
      <c r="I119" s="0" t="s">
        <v>134</v>
      </c>
      <c r="J119" s="0" t="s">
        <v>87</v>
      </c>
      <c r="K119" s="3" t="str">
        <f aca="false" t="array" ref="K119:K119">IFERROR(IF(J119&lt;&gt;"",J119,INDEX(J119:J1118,MATCH(1,(F119:F1118=F119)*(I119:I1118=I119)*(L119:L1118=L119)*(J119:J1118&lt;&gt;""),0))),"Not Found")</f>
        <v>Oil Change</v>
      </c>
      <c r="L119" s="3" t="s">
        <v>108</v>
      </c>
      <c r="M119" s="0" t="str">
        <f aca="false">PROPER(L119)</f>
        <v>Timing Belt</v>
      </c>
      <c r="N119" s="3" t="s">
        <v>48</v>
      </c>
      <c r="O119" s="0" t="str">
        <f aca="false" t="array" ref="O119:O119">IF(N119&lt;&gt;"",N119,_xlfn.xlookup(1,(L119:L1118=L119)*(N119:N1118&lt;&gt;""),N119:N1118,"Not Found"))</f>
        <v>Uche</v>
      </c>
      <c r="P119" s="4" t="n">
        <v>107473</v>
      </c>
      <c r="Q119" s="0" t="s">
        <v>166</v>
      </c>
      <c r="R119" s="0" t="str">
        <f aca="false">PROPER(Q119)</f>
        <v>Transfer</v>
      </c>
      <c r="S119" s="0" t="s">
        <v>63</v>
      </c>
      <c r="T119" s="0" t="n">
        <v>3</v>
      </c>
      <c r="U119" s="5" t="n">
        <f aca="false">IF(ISBLANK(T119),AVERAGE(T119:T1118),T119)</f>
        <v>3</v>
      </c>
      <c r="V119" s="0" t="n">
        <v>5.8</v>
      </c>
      <c r="W119" s="0" t="s">
        <v>125</v>
      </c>
      <c r="X119" s="0" t="str">
        <f aca="false">IF(ISBLANK(W119),"No remarks",W119)</f>
        <v>Customer waited</v>
      </c>
      <c r="Y119" s="0" t="s">
        <v>73</v>
      </c>
      <c r="Z119" s="0" t="s">
        <v>94</v>
      </c>
      <c r="AA119" s="0" t="str">
        <f aca="false">PROPER(IF(ISBLANK(Z119),"Location Unavailable",Z119))</f>
        <v>Vip Section</v>
      </c>
      <c r="AB119" s="0" t="s">
        <v>95</v>
      </c>
      <c r="AC119" s="6" t="str">
        <f aca="false">PROPER(AB119)</f>
        <v>Road Sign</v>
      </c>
      <c r="AD119" s="6" t="n">
        <v>60</v>
      </c>
      <c r="AE119" s="5" t="n">
        <f aca="false">IF(ISBLANK(AD119),AVERAGEIF(L119:L1118,L119,AD119:AD1118),AD119)</f>
        <v>60</v>
      </c>
      <c r="AF119" s="0" t="s">
        <v>160</v>
      </c>
      <c r="AG119" s="0" t="str">
        <f aca="false">PROPER(AF119)</f>
        <v>Availaible</v>
      </c>
      <c r="AH119" s="0" t="s">
        <v>77</v>
      </c>
      <c r="AI119" s="0" t="s">
        <v>128</v>
      </c>
      <c r="AJ119" s="0" t="str">
        <f aca="false">PROPER(AI119)</f>
        <v>Normal</v>
      </c>
      <c r="AK119" s="0" t="s">
        <v>196</v>
      </c>
      <c r="AL119" s="0" t="str">
        <f aca="false">PROPER(AK119)</f>
        <v>First Time</v>
      </c>
      <c r="AM119" s="0" t="s">
        <v>2326</v>
      </c>
      <c r="AN119" s="0" t="str">
        <f aca="false">IF(ISBLANK(AM119),"Unknown",AM119)</f>
        <v>Government Convoy</v>
      </c>
      <c r="AO119" s="0" t="s">
        <v>149</v>
      </c>
      <c r="AP119" s="0" t="str">
        <f aca="false">IF(ISBLANK(AO119),"Unknown",AO119)</f>
        <v>Senior </v>
      </c>
      <c r="AQ119" s="0" t="n">
        <v>15000</v>
      </c>
      <c r="AR119" s="5" t="n">
        <f aca="false">IF(ISBLANK(AQ119),AVERAGEIF(M119:M1118,M119,AQ119:AQ1118),AQ119)</f>
        <v>15000</v>
      </c>
      <c r="AS119" s="0" t="n">
        <v>35000</v>
      </c>
      <c r="AT119" s="5" t="n">
        <f aca="false">IF(ISBLANK(AS119),AVERAGE(AS119:AS1118),AS119)</f>
        <v>35000</v>
      </c>
      <c r="AU119" s="0" t="s">
        <v>82</v>
      </c>
      <c r="AV119" s="0" t="str">
        <f aca="false">PROPER(IF(ISBLANK(AU119),"No",AU119))</f>
        <v>Yes</v>
      </c>
      <c r="AW119" s="0" t="n">
        <v>0</v>
      </c>
      <c r="AX119" s="5" t="n">
        <f aca="false">IF(ISBLANK(AW119),0,AW119)</f>
        <v>0</v>
      </c>
      <c r="AY119" s="0" t="s">
        <v>60</v>
      </c>
      <c r="AZ119" s="0" t="str">
        <f aca="false">UPPER(IF(ISBLANK(AY119),"NONE",AY119))</f>
        <v>NONE</v>
      </c>
      <c r="BA119" s="7" t="s">
        <v>431</v>
      </c>
      <c r="BB119" s="7" t="str">
        <f aca="false">IF(ISBLANK(BA119),"No Follow Up Needed",BA119)</f>
        <v>20/09/2025</v>
      </c>
      <c r="BC119" s="0" t="s">
        <v>82</v>
      </c>
      <c r="BD119" s="0" t="str">
        <f aca="false">PROPER(IF(ISBLANK(BC119),"Unknown",BC119))</f>
        <v>Yes</v>
      </c>
      <c r="BF119" s="0" t="str">
        <f aca="false">IF(ISBLANK(BE119),"No comments",BE119)</f>
        <v>No comments</v>
      </c>
      <c r="BG119" s="0" t="s">
        <v>172</v>
      </c>
      <c r="BH119" s="0" t="str">
        <f aca="false">IF(ISBLANK(BG119),"No comments",BG119)</f>
        <v>Always late</v>
      </c>
      <c r="BI119" s="0" t="s">
        <v>63</v>
      </c>
      <c r="BJ119" s="0" t="str">
        <f aca="false">IF(ISBLANK(BI119),"Not Mentioned",BI119)</f>
        <v>Yes</v>
      </c>
      <c r="BK119" s="0" t="s">
        <v>61</v>
      </c>
      <c r="BL119" s="0" t="str">
        <f aca="false">PROPER(IF(ISBLANK(BK119),"Not Mentioned",BK119))</f>
        <v>No</v>
      </c>
      <c r="BM119" s="0" t="s">
        <v>63</v>
      </c>
      <c r="BN119" s="0" t="str">
        <f aca="false">PROPER(IF(ISBLANK(BM119),"Not Mentioned",BM119))</f>
        <v>Yes</v>
      </c>
      <c r="BO119" s="0" t="s">
        <v>2321</v>
      </c>
      <c r="BP119" s="0" t="str">
        <f aca="false">IF(ISBLANK(BO119),"One-Time Plan",BO119)</f>
        <v>One-Time Plan</v>
      </c>
      <c r="BQ119" s="0" t="s">
        <v>50</v>
      </c>
      <c r="BR119" s="0" t="str">
        <f aca="false">PROPER(IF(ISBLANK(BQ119),"No",BQ119))</f>
        <v>No</v>
      </c>
    </row>
    <row r="120" customFormat="false" ht="15" hidden="false" customHeight="false" outlineLevel="0" collapsed="false">
      <c r="A120" s="0" t="s">
        <v>432</v>
      </c>
      <c r="B120" s="2" t="n">
        <v>45804</v>
      </c>
      <c r="C120" s="2" t="str">
        <f aca="false">TEXT(B120,"dd/mm/yyyy")</f>
        <v>27/05/2025</v>
      </c>
      <c r="D120" s="0" t="s">
        <v>121</v>
      </c>
      <c r="E120" s="0" t="n">
        <v>8024894008</v>
      </c>
      <c r="F120" s="0" t="s">
        <v>85</v>
      </c>
      <c r="G120" s="0" t="s">
        <v>2319</v>
      </c>
      <c r="H120" s="0" t="s">
        <v>318</v>
      </c>
      <c r="I120" s="0" t="s">
        <v>45</v>
      </c>
      <c r="J120" s="0" t="s">
        <v>2325</v>
      </c>
      <c r="K120" s="3" t="str">
        <f aca="false" t="array" ref="K120:K120">IFERROR(IF(J120&lt;&gt;"",J120,INDEX(J120:J1119,MATCH(1,(F120:F1119=F120)*(I120:I1119=I120)*(L120:L1119=L120)*(J120:J1119&lt;&gt;""),0))),"Not Found")</f>
        <v>Engine Knocking</v>
      </c>
      <c r="L120" s="3" t="s">
        <v>47</v>
      </c>
      <c r="M120" s="0" t="str">
        <f aca="false">PROPER(L120)</f>
        <v>None</v>
      </c>
      <c r="N120" s="3" t="s">
        <v>71</v>
      </c>
      <c r="O120" s="0" t="str">
        <f aca="false" t="array" ref="O120:O120">IF(N120&lt;&gt;"",N120,_xlfn.xlookup(1,(L120:L1119=L120)*(N120:N1119&lt;&gt;""),N120:N1119,"Not Found"))</f>
        <v>Isaac Bobo</v>
      </c>
      <c r="P120" s="4" t="n">
        <v>74631</v>
      </c>
      <c r="Q120" s="0" t="s">
        <v>110</v>
      </c>
      <c r="R120" s="0" t="str">
        <f aca="false">PROPER(Q120)</f>
        <v>Cash</v>
      </c>
      <c r="S120" s="0" t="s">
        <v>63</v>
      </c>
      <c r="T120" s="0" t="n">
        <v>5</v>
      </c>
      <c r="U120" s="5" t="n">
        <f aca="false">IF(ISBLANK(T120),AVERAGE(T120:T1119),T120)</f>
        <v>5</v>
      </c>
      <c r="V120" s="0" t="n">
        <v>3.8</v>
      </c>
      <c r="X120" s="0" t="str">
        <f aca="false">IF(ISBLANK(W120),"No remarks",W120)</f>
        <v>No remarks</v>
      </c>
      <c r="Y120" s="0" t="s">
        <v>73</v>
      </c>
      <c r="Z120" s="0" t="s">
        <v>94</v>
      </c>
      <c r="AA120" s="0" t="str">
        <f aca="false">PROPER(IF(ISBLANK(Z120),"Location Unavailable",Z120))</f>
        <v>Vip Section</v>
      </c>
      <c r="AB120" s="0" t="s">
        <v>147</v>
      </c>
      <c r="AC120" s="6" t="str">
        <f aca="false">PROPER(AB120)</f>
        <v>Instagram</v>
      </c>
      <c r="AD120" s="6" t="n">
        <v>15</v>
      </c>
      <c r="AE120" s="5" t="n">
        <f aca="false">IF(ISBLANK(AD120),AVERAGEIF(L120:L1119,L120,AD120:AD1119),AD120)</f>
        <v>15</v>
      </c>
      <c r="AF120" s="0" t="s">
        <v>96</v>
      </c>
      <c r="AG120" s="0" t="str">
        <f aca="false">PROPER(AF120)</f>
        <v>Ordered</v>
      </c>
      <c r="AH120" s="0" t="s">
        <v>155</v>
      </c>
      <c r="AI120" s="0" t="s">
        <v>98</v>
      </c>
      <c r="AJ120" s="0" t="str">
        <f aca="false">PROPER(AI120)</f>
        <v>Emergency</v>
      </c>
      <c r="AK120" s="0" t="s">
        <v>58</v>
      </c>
      <c r="AL120" s="0" t="str">
        <f aca="false">PROPER(AK120)</f>
        <v>Fleet Owner</v>
      </c>
      <c r="AM120" s="0" t="s">
        <v>2326</v>
      </c>
      <c r="AN120" s="0" t="str">
        <f aca="false">IF(ISBLANK(AM120),"Unknown",AM120)</f>
        <v>Government Convoy</v>
      </c>
      <c r="AO120" s="0" t="s">
        <v>149</v>
      </c>
      <c r="AP120" s="0" t="str">
        <f aca="false">IF(ISBLANK(AO120),"Unknown",AO120)</f>
        <v>Senior </v>
      </c>
      <c r="AQ120" s="0" t="n">
        <v>25000</v>
      </c>
      <c r="AR120" s="5" t="n">
        <f aca="false">IF(ISBLANK(AQ120),AVERAGEIF(M120:M1119,M120,AQ120:AQ1119),AQ120)</f>
        <v>25000</v>
      </c>
      <c r="AS120" s="0" t="n">
        <v>40000</v>
      </c>
      <c r="AT120" s="5" t="n">
        <f aca="false">IF(ISBLANK(AS120),AVERAGE(AS120:AS1119),AS120)</f>
        <v>40000</v>
      </c>
      <c r="AU120" s="0" t="s">
        <v>63</v>
      </c>
      <c r="AV120" s="0" t="str">
        <f aca="false">PROPER(IF(ISBLANK(AU120),"No",AU120))</f>
        <v>Yes</v>
      </c>
      <c r="AW120" s="0" t="n">
        <v>5000</v>
      </c>
      <c r="AX120" s="5" t="n">
        <f aca="false">IF(ISBLANK(AW120),0,AW120)</f>
        <v>5000</v>
      </c>
      <c r="AY120" s="0" t="s">
        <v>80</v>
      </c>
      <c r="AZ120" s="0" t="str">
        <f aca="false">UPPER(IF(ISBLANK(AY120),"NONE",AY120))</f>
        <v>PROMO10</v>
      </c>
      <c r="BA120" s="7" t="n">
        <v>45911</v>
      </c>
      <c r="BB120" s="7" t="n">
        <f aca="false">IF(ISBLANK(BA120),"No Follow Up Needed",BA120)</f>
        <v>45911</v>
      </c>
      <c r="BC120" s="0" t="s">
        <v>50</v>
      </c>
      <c r="BD120" s="0" t="str">
        <f aca="false">PROPER(IF(ISBLANK(BC120),"Unknown",BC120))</f>
        <v>No</v>
      </c>
      <c r="BE120" s="0" t="s">
        <v>116</v>
      </c>
      <c r="BF120" s="0" t="str">
        <f aca="false">IF(ISBLANK(BE120),"No comments",BE120)</f>
        <v>Needs tire alignment</v>
      </c>
      <c r="BH120" s="0" t="str">
        <f aca="false">IF(ISBLANK(BG120),"No comments",BG120)</f>
        <v>No comments</v>
      </c>
      <c r="BI120" s="0" t="s">
        <v>50</v>
      </c>
      <c r="BJ120" s="0" t="str">
        <f aca="false">IF(ISBLANK(BI120),"Not Mentioned",BI120)</f>
        <v>No</v>
      </c>
      <c r="BK120" s="0" t="s">
        <v>50</v>
      </c>
      <c r="BL120" s="0" t="str">
        <f aca="false">PROPER(IF(ISBLANK(BK120),"Not Mentioned",BK120))</f>
        <v>No</v>
      </c>
      <c r="BM120" s="0" t="s">
        <v>63</v>
      </c>
      <c r="BN120" s="0" t="str">
        <f aca="false">PROPER(IF(ISBLANK(BM120),"Not Mentioned",BM120))</f>
        <v>Yes</v>
      </c>
      <c r="BP120" s="0" t="str">
        <f aca="false">IF(ISBLANK(BO120),"One-Time Plan",BO120)</f>
        <v>One-Time Plan</v>
      </c>
      <c r="BQ120" s="0" t="s">
        <v>190</v>
      </c>
      <c r="BR120" s="0" t="str">
        <f aca="false">PROPER(IF(ISBLANK(BQ120),"No",BQ120))</f>
        <v>Yes</v>
      </c>
    </row>
    <row r="121" customFormat="false" ht="15" hidden="false" customHeight="false" outlineLevel="0" collapsed="false">
      <c r="A121" s="0" t="s">
        <v>434</v>
      </c>
      <c r="B121" s="2" t="s">
        <v>433</v>
      </c>
      <c r="C121" s="2" t="str">
        <f aca="false">TEXT(B121,"dd/mm/yyyy")</f>
        <v>16/02/2025</v>
      </c>
      <c r="D121" s="0" t="s">
        <v>66</v>
      </c>
      <c r="E121" s="0" t="n">
        <v>8055417034</v>
      </c>
      <c r="F121" s="0" t="s">
        <v>122</v>
      </c>
      <c r="G121" s="0" t="s">
        <v>2316</v>
      </c>
      <c r="H121" s="0" t="s">
        <v>435</v>
      </c>
      <c r="I121" s="0" t="s">
        <v>134</v>
      </c>
      <c r="J121" s="0" t="s">
        <v>2322</v>
      </c>
      <c r="K121" s="3" t="str">
        <f aca="false" t="array" ref="K121:K121">IFERROR(IF(J121&lt;&gt;"",J121,INDEX(J121:J1120,MATCH(1,(F121:F1120=F121)*(I121:I1120=I121)*(L121:L1120=L121)*(J121:J1120&lt;&gt;""),0))),"Not Found")</f>
        <v>Brake Failure</v>
      </c>
      <c r="L121" s="3" t="s">
        <v>154</v>
      </c>
      <c r="M121" s="0" t="str">
        <f aca="false">PROPER(L121)</f>
        <v>Air Filter</v>
      </c>
      <c r="N121" s="3" t="s">
        <v>48</v>
      </c>
      <c r="O121" s="0" t="str">
        <f aca="false" t="array" ref="O121:O121">IF(N121&lt;&gt;"",N121,_xlfn.xlookup(1,(L121:L1120=L121)*(N121:N1120&lt;&gt;""),N121:N1120,"Not Found"))</f>
        <v>Uche</v>
      </c>
      <c r="P121" s="4" t="n">
        <v>38687</v>
      </c>
      <c r="Q121" s="0" t="s">
        <v>72</v>
      </c>
      <c r="R121" s="0" t="str">
        <f aca="false">PROPER(Q121)</f>
        <v>Pos</v>
      </c>
      <c r="S121" s="0" t="s">
        <v>63</v>
      </c>
      <c r="T121" s="0" t="n">
        <v>4</v>
      </c>
      <c r="U121" s="5" t="n">
        <f aca="false">IF(ISBLANK(T121),AVERAGE(T121:T1120),T121)</f>
        <v>4</v>
      </c>
      <c r="V121" s="0" t="n">
        <v>5.6</v>
      </c>
      <c r="W121" s="0" t="s">
        <v>125</v>
      </c>
      <c r="X121" s="0" t="str">
        <f aca="false">IF(ISBLANK(W121),"No remarks",W121)</f>
        <v>Customer waited</v>
      </c>
      <c r="Y121" s="0" t="s">
        <v>93</v>
      </c>
      <c r="Z121" s="0" t="s">
        <v>74</v>
      </c>
      <c r="AA121" s="0" t="str">
        <f aca="false">PROPER(IF(ISBLANK(Z121),"Location Unavailable",Z121))</f>
        <v>Under Tree</v>
      </c>
      <c r="AB121" s="0" t="s">
        <v>147</v>
      </c>
      <c r="AC121" s="6" t="str">
        <f aca="false">PROPER(AB121)</f>
        <v>Instagram</v>
      </c>
      <c r="AD121" s="6" t="n">
        <v>15</v>
      </c>
      <c r="AE121" s="5" t="n">
        <f aca="false">IF(ISBLANK(AD121),AVERAGEIF(L121:L1120,L121,AD121:AD1120),AD121)</f>
        <v>15</v>
      </c>
      <c r="AF121" s="0" t="s">
        <v>76</v>
      </c>
      <c r="AG121" s="0" t="str">
        <f aca="false">PROPER(AF121)</f>
        <v>Orderd</v>
      </c>
      <c r="AH121" s="0" t="s">
        <v>77</v>
      </c>
      <c r="AI121" s="0" t="s">
        <v>128</v>
      </c>
      <c r="AJ121" s="0" t="str">
        <f aca="false">PROPER(AI121)</f>
        <v>Normal</v>
      </c>
      <c r="AK121" s="0" t="s">
        <v>99</v>
      </c>
      <c r="AL121" s="0" t="str">
        <f aca="false">PROPER(AK121)</f>
        <v>Uber Driver</v>
      </c>
      <c r="AN121" s="0" t="str">
        <f aca="false">IF(ISBLANK(AM121),"Unknown",AM121)</f>
        <v>Unknown</v>
      </c>
      <c r="AP121" s="0" t="str">
        <f aca="false">IF(ISBLANK(AO121),"Unknown",AO121)</f>
        <v>Unknown</v>
      </c>
      <c r="AR121" s="5" t="n">
        <f aca="false">IF(ISBLANK(AQ121),AVERAGEIF(M121:M1120,M121,AQ121:AQ1120),AQ121)</f>
        <v>26627.9069767442</v>
      </c>
      <c r="AS121" s="0" t="n">
        <v>30000</v>
      </c>
      <c r="AT121" s="5" t="n">
        <f aca="false">IF(ISBLANK(AS121),AVERAGE(AS121:AS1120),AS121)</f>
        <v>30000</v>
      </c>
      <c r="AU121" s="0" t="s">
        <v>50</v>
      </c>
      <c r="AV121" s="0" t="str">
        <f aca="false">PROPER(IF(ISBLANK(AU121),"No",AU121))</f>
        <v>No</v>
      </c>
      <c r="AW121" s="0" t="n">
        <v>5000</v>
      </c>
      <c r="AX121" s="5" t="n">
        <f aca="false">IF(ISBLANK(AW121),0,AW121)</f>
        <v>5000</v>
      </c>
      <c r="AY121" s="0" t="s">
        <v>80</v>
      </c>
      <c r="AZ121" s="0" t="str">
        <f aca="false">UPPER(IF(ISBLANK(AY121),"NONE",AY121))</f>
        <v>PROMO10</v>
      </c>
      <c r="BA121" s="7" t="n">
        <v>45923</v>
      </c>
      <c r="BB121" s="7" t="n">
        <f aca="false">IF(ISBLANK(BA121),"No Follow Up Needed",BA121)</f>
        <v>45923</v>
      </c>
      <c r="BC121" s="0" t="s">
        <v>63</v>
      </c>
      <c r="BD121" s="0" t="str">
        <f aca="false">PROPER(IF(ISBLANK(BC121),"Unknown",BC121))</f>
        <v>Yes</v>
      </c>
      <c r="BE121" s="0" t="s">
        <v>171</v>
      </c>
      <c r="BF121" s="0" t="str">
        <f aca="false">IF(ISBLANK(BE121),"No comments",BE121)</f>
        <v>Shock absorber weakening</v>
      </c>
      <c r="BG121" s="0" t="s">
        <v>172</v>
      </c>
      <c r="BH121" s="0" t="str">
        <f aca="false">IF(ISBLANK(BG121),"No comments",BG121)</f>
        <v>Always late</v>
      </c>
      <c r="BI121" s="0" t="s">
        <v>50</v>
      </c>
      <c r="BJ121" s="0" t="str">
        <f aca="false">IF(ISBLANK(BI121),"Not Mentioned",BI121)</f>
        <v>No</v>
      </c>
      <c r="BL121" s="0" t="str">
        <f aca="false">PROPER(IF(ISBLANK(BK121),"Not Mentioned",BK121))</f>
        <v>Not Mentioned</v>
      </c>
      <c r="BN121" s="0" t="str">
        <f aca="false">PROPER(IF(ISBLANK(BM121),"Not Mentioned",BM121))</f>
        <v>Not Mentioned</v>
      </c>
      <c r="BP121" s="0" t="str">
        <f aca="false">IF(ISBLANK(BO121),"One-Time Plan",BO121)</f>
        <v>One-Time Plan</v>
      </c>
      <c r="BQ121" s="0" t="s">
        <v>198</v>
      </c>
      <c r="BR121" s="0" t="str">
        <f aca="false">PROPER(IF(ISBLANK(BQ121),"No",BQ121))</f>
        <v>Followed Up</v>
      </c>
    </row>
    <row r="122" customFormat="false" ht="15" hidden="false" customHeight="false" outlineLevel="0" collapsed="false">
      <c r="A122" s="0" t="s">
        <v>436</v>
      </c>
      <c r="B122" s="2" t="n">
        <v>45811</v>
      </c>
      <c r="C122" s="2" t="str">
        <f aca="false">TEXT(B122,"dd/mm/yyyy")</f>
        <v>03/06/2025</v>
      </c>
      <c r="D122" s="0" t="s">
        <v>163</v>
      </c>
      <c r="E122" s="0" t="n">
        <v>8038217583</v>
      </c>
      <c r="F122" s="0" t="s">
        <v>67</v>
      </c>
      <c r="G122" s="0" t="s">
        <v>2316</v>
      </c>
      <c r="H122" s="0" t="s">
        <v>437</v>
      </c>
      <c r="I122" s="0" t="s">
        <v>134</v>
      </c>
      <c r="J122" s="0" t="s">
        <v>87</v>
      </c>
      <c r="K122" s="3" t="str">
        <f aca="false" t="array" ref="K122:K122">IFERROR(IF(J122&lt;&gt;"",J122,INDEX(J122:J1121,MATCH(1,(F122:F1121=F122)*(I122:I1121=I122)*(L122:L1121=L122)*(J122:J1121&lt;&gt;""),0))),"Not Found")</f>
        <v>Oil Change</v>
      </c>
      <c r="L122" s="3" t="s">
        <v>47</v>
      </c>
      <c r="M122" s="0" t="str">
        <f aca="false">PROPER(L122)</f>
        <v>None</v>
      </c>
      <c r="N122" s="3" t="s">
        <v>109</v>
      </c>
      <c r="O122" s="0" t="str">
        <f aca="false" t="array" ref="O122:O122">IF(N122&lt;&gt;"",N122,_xlfn.xlookup(1,(L122:L1121=L122)*(N122:N1121&lt;&gt;""),N122:N1121,"Not Found"))</f>
        <v>Tijani</v>
      </c>
      <c r="P122" s="4" t="n">
        <v>31176</v>
      </c>
      <c r="Q122" s="0" t="s">
        <v>72</v>
      </c>
      <c r="R122" s="0" t="str">
        <f aca="false">PROPER(Q122)</f>
        <v>Pos</v>
      </c>
      <c r="S122" s="0" t="s">
        <v>63</v>
      </c>
      <c r="T122" s="0" t="n">
        <v>3</v>
      </c>
      <c r="U122" s="5" t="n">
        <f aca="false">IF(ISBLANK(T122),AVERAGE(T122:T1121),T122)</f>
        <v>3</v>
      </c>
      <c r="V122" s="0" t="n">
        <v>5.1</v>
      </c>
      <c r="W122" s="0" t="s">
        <v>51</v>
      </c>
      <c r="X122" s="0" t="str">
        <f aca="false">IF(ISBLANK(W122),"No remarks",W122)</f>
        <v>Recommended further checks</v>
      </c>
      <c r="Y122" s="0" t="s">
        <v>52</v>
      </c>
      <c r="Z122" s="0" t="s">
        <v>136</v>
      </c>
      <c r="AA122" s="0" t="str">
        <f aca="false">PROPER(IF(ISBLANK(Z122),"Location Unavailable",Z122))</f>
        <v>Vip Section</v>
      </c>
      <c r="AB122" s="0" t="s">
        <v>147</v>
      </c>
      <c r="AC122" s="6" t="str">
        <f aca="false">PROPER(AB122)</f>
        <v>Instagram</v>
      </c>
      <c r="AD122" s="6" t="n">
        <v>15</v>
      </c>
      <c r="AE122" s="5" t="n">
        <f aca="false">IF(ISBLANK(AD122),AVERAGEIF(L122:L1121,L122,AD122:AD1121),AD122)</f>
        <v>15</v>
      </c>
      <c r="AF122" s="0" t="s">
        <v>160</v>
      </c>
      <c r="AG122" s="0" t="str">
        <f aca="false">PROPER(AF122)</f>
        <v>Availaible</v>
      </c>
      <c r="AH122" s="0" t="s">
        <v>56</v>
      </c>
      <c r="AI122" s="0" t="s">
        <v>78</v>
      </c>
      <c r="AJ122" s="0" t="str">
        <f aca="false">PROPER(AI122)</f>
        <v>Booking</v>
      </c>
      <c r="AK122" s="0" t="s">
        <v>196</v>
      </c>
      <c r="AL122" s="0" t="str">
        <f aca="false">PROPER(AK122)</f>
        <v>First Time</v>
      </c>
      <c r="AN122" s="0" t="str">
        <f aca="false">IF(ISBLANK(AM122),"Unknown",AM122)</f>
        <v>Unknown</v>
      </c>
      <c r="AO122" s="0" t="s">
        <v>149</v>
      </c>
      <c r="AP122" s="0" t="str">
        <f aca="false">IF(ISBLANK(AO122),"Unknown",AO122)</f>
        <v>Senior </v>
      </c>
      <c r="AQ122" s="0" t="n">
        <v>15000</v>
      </c>
      <c r="AR122" s="5" t="n">
        <f aca="false">IF(ISBLANK(AQ122),AVERAGEIF(M122:M1121,M122,AQ122:AQ1121),AQ122)</f>
        <v>15000</v>
      </c>
      <c r="AS122" s="0" t="n">
        <v>40000</v>
      </c>
      <c r="AT122" s="5" t="n">
        <f aca="false">IF(ISBLANK(AS122),AVERAGE(AS122:AS1121),AS122)</f>
        <v>40000</v>
      </c>
      <c r="AV122" s="0" t="str">
        <f aca="false">PROPER(IF(ISBLANK(AU122),"No",AU122))</f>
        <v>No</v>
      </c>
      <c r="AW122" s="0" t="n">
        <v>5000</v>
      </c>
      <c r="AX122" s="5" t="n">
        <f aca="false">IF(ISBLANK(AW122),0,AW122)</f>
        <v>5000</v>
      </c>
      <c r="AY122" s="0" t="s">
        <v>60</v>
      </c>
      <c r="AZ122" s="0" t="str">
        <f aca="false">UPPER(IF(ISBLANK(AY122),"NONE",AY122))</f>
        <v>NONE</v>
      </c>
      <c r="BB122" s="7" t="str">
        <f aca="false">IF(ISBLANK(BA122),"No Follow Up Needed",BA122)</f>
        <v>No Follow Up Needed</v>
      </c>
      <c r="BC122" s="0" t="s">
        <v>63</v>
      </c>
      <c r="BD122" s="0" t="str">
        <f aca="false">PROPER(IF(ISBLANK(BC122),"Unknown",BC122))</f>
        <v>Yes</v>
      </c>
      <c r="BE122" s="0" t="s">
        <v>171</v>
      </c>
      <c r="BF122" s="0" t="str">
        <f aca="false">IF(ISBLANK(BE122),"No comments",BE122)</f>
        <v>Shock absorber weakening</v>
      </c>
      <c r="BH122" s="0" t="str">
        <f aca="false">IF(ISBLANK(BG122),"No comments",BG122)</f>
        <v>No comments</v>
      </c>
      <c r="BI122" s="0" t="s">
        <v>50</v>
      </c>
      <c r="BJ122" s="0" t="str">
        <f aca="false">IF(ISBLANK(BI122),"Not Mentioned",BI122)</f>
        <v>No</v>
      </c>
      <c r="BK122" s="0" t="s">
        <v>50</v>
      </c>
      <c r="BL122" s="0" t="str">
        <f aca="false">PROPER(IF(ISBLANK(BK122),"Not Mentioned",BK122))</f>
        <v>No</v>
      </c>
      <c r="BM122" s="0" t="s">
        <v>50</v>
      </c>
      <c r="BN122" s="0" t="str">
        <f aca="false">PROPER(IF(ISBLANK(BM122),"Not Mentioned",BM122))</f>
        <v>No</v>
      </c>
      <c r="BP122" s="0" t="str">
        <f aca="false">IF(ISBLANK(BO122),"One-Time Plan",BO122)</f>
        <v>One-Time Plan</v>
      </c>
      <c r="BQ122" s="0" t="s">
        <v>63</v>
      </c>
      <c r="BR122" s="0" t="str">
        <f aca="false">PROPER(IF(ISBLANK(BQ122),"No",BQ122))</f>
        <v>Yes</v>
      </c>
    </row>
    <row r="123" customFormat="false" ht="15" hidden="false" customHeight="false" outlineLevel="0" collapsed="false">
      <c r="A123" s="0" t="s">
        <v>439</v>
      </c>
      <c r="B123" s="2" t="s">
        <v>438</v>
      </c>
      <c r="C123" s="2" t="str">
        <f aca="false">TEXT(B123,"dd/mm/yyyy")</f>
        <v>22/01/2025</v>
      </c>
      <c r="D123" s="0" t="s">
        <v>105</v>
      </c>
      <c r="E123" s="0" t="n">
        <v>8050946121</v>
      </c>
      <c r="F123" s="0" t="s">
        <v>139</v>
      </c>
      <c r="G123" s="0" t="s">
        <v>2323</v>
      </c>
      <c r="H123" s="0" t="s">
        <v>440</v>
      </c>
      <c r="I123" s="0" t="s">
        <v>45</v>
      </c>
      <c r="K123" s="3" t="str">
        <f aca="false" t="array" ref="K123:K123">IFERROR(IF(J123&lt;&gt;"",J123,INDEX(J123:J1122,MATCH(1,(F123:F1122=F123)*(I123:I1122=I123)*(L123:L1122=L123)*(J123:J1122&lt;&gt;""),0))),"Not Found")</f>
        <v>Brake Failure</v>
      </c>
      <c r="L123" s="3" t="s">
        <v>89</v>
      </c>
      <c r="M123" s="0" t="str">
        <f aca="false">PROPER(L123)</f>
        <v>Shock Absorbers</v>
      </c>
      <c r="O123" s="0" t="e">
        <f aca="false" t="array" ref="O123:O123">IF(N123&lt;&gt;"",N123,_xlfn.xlookup(1,(L123:L1122=L123)*(N123:N1122&lt;&gt;""),N123:N1122,"Not Found"))</f>
        <v>#NAME?</v>
      </c>
      <c r="P123" s="4" t="n">
        <v>115937</v>
      </c>
      <c r="Q123" s="0" t="s">
        <v>166</v>
      </c>
      <c r="R123" s="0" t="str">
        <f aca="false">PROPER(Q123)</f>
        <v>Transfer</v>
      </c>
      <c r="S123" s="0" t="s">
        <v>50</v>
      </c>
      <c r="T123" s="0" t="n">
        <v>4</v>
      </c>
      <c r="U123" s="5" t="n">
        <f aca="false">IF(ISBLANK(T123),AVERAGE(T123:T1122),T123)</f>
        <v>4</v>
      </c>
      <c r="V123" s="0" t="n">
        <v>2.9</v>
      </c>
      <c r="W123" s="0" t="s">
        <v>125</v>
      </c>
      <c r="X123" s="0" t="str">
        <f aca="false">IF(ISBLANK(W123),"No remarks",W123)</f>
        <v>Customer waited</v>
      </c>
      <c r="Y123" s="0" t="s">
        <v>52</v>
      </c>
      <c r="Z123" s="0" t="s">
        <v>159</v>
      </c>
      <c r="AA123" s="0" t="str">
        <f aca="false">PROPER(IF(ISBLANK(Z123),"Location Unavailable",Z123))</f>
        <v>Main Bay</v>
      </c>
      <c r="AB123" s="0" t="s">
        <v>75</v>
      </c>
      <c r="AC123" s="6" t="str">
        <f aca="false">PROPER(AB123)</f>
        <v>Mechanik Referal</v>
      </c>
      <c r="AD123" s="6" t="n">
        <v>30</v>
      </c>
      <c r="AE123" s="5" t="n">
        <f aca="false">IF(ISBLANK(AD123),AVERAGEIF(L123:L1122,L123,AD123:AD1122),AD123)</f>
        <v>30</v>
      </c>
      <c r="AF123" s="0" t="s">
        <v>76</v>
      </c>
      <c r="AG123" s="0" t="str">
        <f aca="false">PROPER(AF123)</f>
        <v>Orderd</v>
      </c>
      <c r="AH123" s="0" t="s">
        <v>77</v>
      </c>
      <c r="AI123" s="0" t="s">
        <v>128</v>
      </c>
      <c r="AJ123" s="0" t="str">
        <f aca="false">PROPER(AI123)</f>
        <v>Normal</v>
      </c>
      <c r="AK123" s="0" t="s">
        <v>58</v>
      </c>
      <c r="AL123" s="0" t="str">
        <f aca="false">PROPER(AK123)</f>
        <v>Fleet Owner</v>
      </c>
      <c r="AM123" s="0" t="s">
        <v>2326</v>
      </c>
      <c r="AN123" s="0" t="str">
        <f aca="false">IF(ISBLANK(AM123),"Unknown",AM123)</f>
        <v>Government Convoy</v>
      </c>
      <c r="AO123" s="0" t="s">
        <v>143</v>
      </c>
      <c r="AP123" s="0" t="str">
        <f aca="false">IF(ISBLANK(AO123),"Unknown",AO123)</f>
        <v>Senior</v>
      </c>
      <c r="AR123" s="5" t="n">
        <f aca="false">IF(ISBLANK(AQ123),AVERAGEIF(M123:M1122,M123,AQ123:AQ1122),AQ123)</f>
        <v>26153.8461538462</v>
      </c>
      <c r="AS123" s="0" t="n">
        <v>40000</v>
      </c>
      <c r="AT123" s="5" t="n">
        <f aca="false">IF(ISBLANK(AS123),AVERAGE(AS123:AS1122),AS123)</f>
        <v>40000</v>
      </c>
      <c r="AV123" s="0" t="str">
        <f aca="false">PROPER(IF(ISBLANK(AU123),"No",AU123))</f>
        <v>No</v>
      </c>
      <c r="AW123" s="0" t="n">
        <v>10000</v>
      </c>
      <c r="AX123" s="5" t="n">
        <f aca="false">IF(ISBLANK(AW123),0,AW123)</f>
        <v>10000</v>
      </c>
      <c r="AZ123" s="0" t="str">
        <f aca="false">UPPER(IF(ISBLANK(AY123),"NONE",AY123))</f>
        <v>NONE</v>
      </c>
      <c r="BA123" s="7" t="n">
        <v>45905</v>
      </c>
      <c r="BB123" s="7" t="n">
        <f aca="false">IF(ISBLANK(BA123),"No Follow Up Needed",BA123)</f>
        <v>45905</v>
      </c>
      <c r="BD123" s="0" t="str">
        <f aca="false">PROPER(IF(ISBLANK(BC123),"Unknown",BC123))</f>
        <v>Unknown</v>
      </c>
      <c r="BE123" s="0" t="s">
        <v>171</v>
      </c>
      <c r="BF123" s="0" t="str">
        <f aca="false">IF(ISBLANK(BE123),"No comments",BE123)</f>
        <v>Shock absorber weakening</v>
      </c>
      <c r="BG123" s="0" t="s">
        <v>2320</v>
      </c>
      <c r="BH123" s="0" t="str">
        <f aca="false">IF(ISBLANK(BG123),"No comments",BG123)</f>
        <v>No complaints</v>
      </c>
      <c r="BI123" s="0" t="s">
        <v>50</v>
      </c>
      <c r="BJ123" s="0" t="str">
        <f aca="false">IF(ISBLANK(BI123),"Not Mentioned",BI123)</f>
        <v>No</v>
      </c>
      <c r="BK123" s="0" t="s">
        <v>63</v>
      </c>
      <c r="BL123" s="0" t="str">
        <f aca="false">PROPER(IF(ISBLANK(BK123),"Not Mentioned",BK123))</f>
        <v>Yes</v>
      </c>
      <c r="BN123" s="0" t="str">
        <f aca="false">PROPER(IF(ISBLANK(BM123),"Not Mentioned",BM123))</f>
        <v>Not Mentioned</v>
      </c>
      <c r="BO123" s="0" t="s">
        <v>2321</v>
      </c>
      <c r="BP123" s="0" t="str">
        <f aca="false">IF(ISBLANK(BO123),"One-Time Plan",BO123)</f>
        <v>One-Time Plan</v>
      </c>
      <c r="BQ123" s="0" t="s">
        <v>190</v>
      </c>
      <c r="BR123" s="0" t="str">
        <f aca="false">PROPER(IF(ISBLANK(BQ123),"No",BQ123))</f>
        <v>Yes</v>
      </c>
    </row>
    <row r="124" customFormat="false" ht="15" hidden="false" customHeight="false" outlineLevel="0" collapsed="false">
      <c r="A124" s="0" t="s">
        <v>441</v>
      </c>
      <c r="B124" s="2" t="n">
        <v>45813</v>
      </c>
      <c r="C124" s="2" t="str">
        <f aca="false">TEXT(B124,"dd/mm/yyyy")</f>
        <v>05/06/2025</v>
      </c>
      <c r="D124" s="0" t="s">
        <v>66</v>
      </c>
      <c r="E124" s="0" t="n">
        <v>8071230621</v>
      </c>
      <c r="F124" s="0" t="s">
        <v>139</v>
      </c>
      <c r="G124" s="0" t="s">
        <v>2323</v>
      </c>
      <c r="H124" s="0" t="s">
        <v>442</v>
      </c>
      <c r="I124" s="0" t="s">
        <v>45</v>
      </c>
      <c r="J124" s="0" t="s">
        <v>87</v>
      </c>
      <c r="K124" s="3" t="str">
        <f aca="false" t="array" ref="K124:K124">IFERROR(IF(J124&lt;&gt;"",J124,INDEX(J124:J1123,MATCH(1,(F124:F1123=F124)*(I124:I1123=I124)*(L124:L1123=L124)*(J124:J1123&lt;&gt;""),0))),"Not Found")</f>
        <v>Oil Change</v>
      </c>
      <c r="L124" s="3" t="s">
        <v>189</v>
      </c>
      <c r="M124" s="0" t="str">
        <f aca="false">PROPER(L124)</f>
        <v>Battery</v>
      </c>
      <c r="O124" s="0" t="e">
        <f aca="false" t="array" ref="O124:O124">IF(N124&lt;&gt;"",N124,_xlfn.xlookup(1,(L124:L1123=L124)*(N124:N1123&lt;&gt;""),N124:N1123,"Not Found"))</f>
        <v>#NAME?</v>
      </c>
      <c r="P124" s="4" t="n">
        <v>61522</v>
      </c>
      <c r="Q124" s="0" t="s">
        <v>110</v>
      </c>
      <c r="R124" s="0" t="str">
        <f aca="false">PROPER(Q124)</f>
        <v>Cash</v>
      </c>
      <c r="S124" s="0" t="s">
        <v>50</v>
      </c>
      <c r="T124" s="0" t="n">
        <v>1</v>
      </c>
      <c r="U124" s="5" t="n">
        <f aca="false">IF(ISBLANK(T124),AVERAGE(T124:T1123),T124)</f>
        <v>1</v>
      </c>
      <c r="V124" s="0" t="n">
        <v>2.5</v>
      </c>
      <c r="W124" s="0" t="s">
        <v>125</v>
      </c>
      <c r="X124" s="0" t="str">
        <f aca="false">IF(ISBLANK(W124),"No remarks",W124)</f>
        <v>Customer waited</v>
      </c>
      <c r="Y124" s="0" t="s">
        <v>93</v>
      </c>
      <c r="Z124" s="0" t="s">
        <v>159</v>
      </c>
      <c r="AA124" s="0" t="str">
        <f aca="false">PROPER(IF(ISBLANK(Z124),"Location Unavailable",Z124))</f>
        <v>Main Bay</v>
      </c>
      <c r="AB124" s="0" t="s">
        <v>54</v>
      </c>
      <c r="AC124" s="6" t="str">
        <f aca="false">PROPER(AB124)</f>
        <v>Mechanic Referral</v>
      </c>
      <c r="AD124" s="6" t="n">
        <v>45</v>
      </c>
      <c r="AE124" s="5" t="n">
        <f aca="false">IF(ISBLANK(AD124),AVERAGEIF(L124:L1123,L124,AD124:AD1123),AD124)</f>
        <v>45</v>
      </c>
      <c r="AF124" s="0" t="s">
        <v>55</v>
      </c>
      <c r="AG124" s="0" t="str">
        <f aca="false">PROPER(AF124)</f>
        <v>Available</v>
      </c>
      <c r="AH124" s="0" t="s">
        <v>155</v>
      </c>
      <c r="AI124" s="0" t="s">
        <v>78</v>
      </c>
      <c r="AJ124" s="0" t="str">
        <f aca="false">PROPER(AI124)</f>
        <v>Booking</v>
      </c>
      <c r="AK124" s="0" t="s">
        <v>99</v>
      </c>
      <c r="AL124" s="0" t="str">
        <f aca="false">PROPER(AK124)</f>
        <v>Uber Driver</v>
      </c>
      <c r="AM124" s="0" t="s">
        <v>2324</v>
      </c>
      <c r="AN124" s="0" t="str">
        <f aca="false">IF(ISBLANK(AM124),"Unknown",AM124)</f>
        <v>Logistics Convoy</v>
      </c>
      <c r="AO124" s="0" t="s">
        <v>79</v>
      </c>
      <c r="AP124" s="0" t="str">
        <f aca="false">IF(ISBLANK(AO124),"Unknown",AO124)</f>
        <v>Specialist</v>
      </c>
      <c r="AQ124" s="0" t="n">
        <v>25000</v>
      </c>
      <c r="AR124" s="5" t="n">
        <f aca="false">IF(ISBLANK(AQ124),AVERAGEIF(M124:M1123,M124,AQ124:AQ1123),AQ124)</f>
        <v>25000</v>
      </c>
      <c r="AS124" s="0" t="n">
        <v>40000</v>
      </c>
      <c r="AT124" s="5" t="n">
        <f aca="false">IF(ISBLANK(AS124),AVERAGE(AS124:AS1123),AS124)</f>
        <v>40000</v>
      </c>
      <c r="AU124" s="0" t="s">
        <v>82</v>
      </c>
      <c r="AV124" s="0" t="str">
        <f aca="false">PROPER(IF(ISBLANK(AU124),"No",AU124))</f>
        <v>Yes</v>
      </c>
      <c r="AW124" s="0" t="n">
        <v>5000</v>
      </c>
      <c r="AX124" s="5" t="n">
        <f aca="false">IF(ISBLANK(AW124),0,AW124)</f>
        <v>5000</v>
      </c>
      <c r="AY124" s="0" t="s">
        <v>130</v>
      </c>
      <c r="AZ124" s="0" t="str">
        <f aca="false">UPPER(IF(ISBLANK(AY124),"NONE",AY124))</f>
        <v>LOYALTY10</v>
      </c>
      <c r="BA124" s="7" t="n">
        <v>45990</v>
      </c>
      <c r="BB124" s="7" t="n">
        <f aca="false">IF(ISBLANK(BA124),"No Follow Up Needed",BA124)</f>
        <v>45990</v>
      </c>
      <c r="BC124" s="0" t="s">
        <v>63</v>
      </c>
      <c r="BD124" s="0" t="str">
        <f aca="false">PROPER(IF(ISBLANK(BC124),"Unknown",BC124))</f>
        <v>Yes</v>
      </c>
      <c r="BE124" s="0" t="s">
        <v>116</v>
      </c>
      <c r="BF124" s="0" t="str">
        <f aca="false">IF(ISBLANK(BE124),"No comments",BE124)</f>
        <v>Needs tire alignment</v>
      </c>
      <c r="BG124" s="0" t="s">
        <v>117</v>
      </c>
      <c r="BH124" s="0" t="str">
        <f aca="false">IF(ISBLANK(BG124),"No comments",BG124)</f>
        <v>Prefers morning</v>
      </c>
      <c r="BI124" s="0" t="s">
        <v>50</v>
      </c>
      <c r="BJ124" s="0" t="str">
        <f aca="false">IF(ISBLANK(BI124),"Not Mentioned",BI124)</f>
        <v>No</v>
      </c>
      <c r="BK124" s="0" t="s">
        <v>63</v>
      </c>
      <c r="BL124" s="0" t="str">
        <f aca="false">PROPER(IF(ISBLANK(BK124),"Not Mentioned",BK124))</f>
        <v>Yes</v>
      </c>
      <c r="BM124" s="0" t="s">
        <v>50</v>
      </c>
      <c r="BN124" s="0" t="str">
        <f aca="false">PROPER(IF(ISBLANK(BM124),"Not Mentioned",BM124))</f>
        <v>No</v>
      </c>
      <c r="BO124" s="0" t="s">
        <v>2321</v>
      </c>
      <c r="BP124" s="0" t="str">
        <f aca="false">IF(ISBLANK(BO124),"One-Time Plan",BO124)</f>
        <v>One-Time Plan</v>
      </c>
      <c r="BQ124" s="0" t="s">
        <v>190</v>
      </c>
      <c r="BR124" s="0" t="str">
        <f aca="false">PROPER(IF(ISBLANK(BQ124),"No",BQ124))</f>
        <v>Yes</v>
      </c>
    </row>
    <row r="125" customFormat="false" ht="15" hidden="false" customHeight="false" outlineLevel="0" collapsed="false">
      <c r="A125" s="0" t="s">
        <v>443</v>
      </c>
      <c r="B125" s="2" t="n">
        <v>45714</v>
      </c>
      <c r="C125" s="2" t="str">
        <f aca="false">TEXT(B125,"dd/mm/yyyy")</f>
        <v>26/02/2025</v>
      </c>
      <c r="D125" s="0" t="s">
        <v>42</v>
      </c>
      <c r="E125" s="0" t="n">
        <v>8042232378</v>
      </c>
      <c r="F125" s="0" t="s">
        <v>67</v>
      </c>
      <c r="G125" s="0" t="s">
        <v>2316</v>
      </c>
      <c r="H125" s="0" t="s">
        <v>444</v>
      </c>
      <c r="I125" s="0" t="s">
        <v>45</v>
      </c>
      <c r="J125" s="0" t="s">
        <v>2317</v>
      </c>
      <c r="K125" s="3" t="str">
        <f aca="false" t="array" ref="K125:K125">IFERROR(IF(J125&lt;&gt;"",J125,INDEX(J125:J1124,MATCH(1,(F125:F1124=F125)*(I125:I1124=I125)*(L125:L1124=L125)*(J125:J1124&lt;&gt;""),0))),"Not Found")</f>
        <v>Suspension Noise</v>
      </c>
      <c r="L125" s="3" t="s">
        <v>47</v>
      </c>
      <c r="M125" s="0" t="str">
        <f aca="false">PROPER(L125)</f>
        <v>None</v>
      </c>
      <c r="N125" s="3" t="s">
        <v>90</v>
      </c>
      <c r="O125" s="0" t="str">
        <f aca="false" t="array" ref="O125:O125">IF(N125&lt;&gt;"",N125,_xlfn.xlookup(1,(L125:L1124=L125)*(N125:N1124&lt;&gt;""),N125:N1124,"Not Found"))</f>
        <v>Musa</v>
      </c>
      <c r="P125" s="4" t="n">
        <v>47990</v>
      </c>
      <c r="Q125" s="0" t="s">
        <v>124</v>
      </c>
      <c r="R125" s="0" t="str">
        <f aca="false">PROPER(Q125)</f>
        <v>Cash</v>
      </c>
      <c r="S125" s="0" t="s">
        <v>50</v>
      </c>
      <c r="T125" s="0" t="n">
        <v>2</v>
      </c>
      <c r="U125" s="5" t="n">
        <f aca="false">IF(ISBLANK(T125),AVERAGE(T125:T1124),T125)</f>
        <v>2</v>
      </c>
      <c r="V125" s="0" t="n">
        <v>1.2</v>
      </c>
      <c r="X125" s="0" t="str">
        <f aca="false">IF(ISBLANK(W125),"No remarks",W125)</f>
        <v>No remarks</v>
      </c>
      <c r="Y125" s="0" t="s">
        <v>52</v>
      </c>
      <c r="Z125" s="0" t="s">
        <v>74</v>
      </c>
      <c r="AA125" s="0" t="str">
        <f aca="false">PROPER(IF(ISBLANK(Z125),"Location Unavailable",Z125))</f>
        <v>Under Tree</v>
      </c>
      <c r="AB125" s="0" t="s">
        <v>75</v>
      </c>
      <c r="AC125" s="6" t="str">
        <f aca="false">PROPER(AB125)</f>
        <v>Mechanik Referal</v>
      </c>
      <c r="AD125" s="6" t="n">
        <v>60</v>
      </c>
      <c r="AE125" s="5" t="n">
        <f aca="false">IF(ISBLANK(AD125),AVERAGEIF(L125:L1124,L125,AD125:AD1124),AD125)</f>
        <v>60</v>
      </c>
      <c r="AF125" s="0" t="s">
        <v>160</v>
      </c>
      <c r="AG125" s="0" t="str">
        <f aca="false">PROPER(AF125)</f>
        <v>Availaible</v>
      </c>
      <c r="AH125" s="0" t="s">
        <v>155</v>
      </c>
      <c r="AI125" s="0" t="s">
        <v>98</v>
      </c>
      <c r="AJ125" s="0" t="str">
        <f aca="false">PROPER(AI125)</f>
        <v>Emergency</v>
      </c>
      <c r="AK125" s="0" t="s">
        <v>99</v>
      </c>
      <c r="AL125" s="0" t="str">
        <f aca="false">PROPER(AK125)</f>
        <v>Uber Driver</v>
      </c>
      <c r="AM125" s="0" t="s">
        <v>2324</v>
      </c>
      <c r="AN125" s="0" t="str">
        <f aca="false">IF(ISBLANK(AM125),"Unknown",AM125)</f>
        <v>Logistics Convoy</v>
      </c>
      <c r="AO125" s="0" t="s">
        <v>79</v>
      </c>
      <c r="AP125" s="0" t="str">
        <f aca="false">IF(ISBLANK(AO125),"Unknown",AO125)</f>
        <v>Specialist</v>
      </c>
      <c r="AQ125" s="0" t="n">
        <v>25000</v>
      </c>
      <c r="AR125" s="5" t="n">
        <f aca="false">IF(ISBLANK(AQ125),AVERAGEIF(M125:M1124,M125,AQ125:AQ1124),AQ125)</f>
        <v>25000</v>
      </c>
      <c r="AS125" s="0" t="n">
        <v>40000</v>
      </c>
      <c r="AT125" s="5" t="n">
        <f aca="false">IF(ISBLANK(AS125),AVERAGE(AS125:AS1124),AS125)</f>
        <v>40000</v>
      </c>
      <c r="AU125" s="0" t="s">
        <v>50</v>
      </c>
      <c r="AV125" s="0" t="str">
        <f aca="false">PROPER(IF(ISBLANK(AU125),"No",AU125))</f>
        <v>No</v>
      </c>
      <c r="AW125" s="0" t="n">
        <v>10000</v>
      </c>
      <c r="AX125" s="5" t="n">
        <f aca="false">IF(ISBLANK(AW125),0,AW125)</f>
        <v>10000</v>
      </c>
      <c r="AZ125" s="0" t="str">
        <f aca="false">UPPER(IF(ISBLANK(AY125),"NONE",AY125))</f>
        <v>NONE</v>
      </c>
      <c r="BB125" s="7" t="str">
        <f aca="false">IF(ISBLANK(BA125),"No Follow Up Needed",BA125)</f>
        <v>No Follow Up Needed</v>
      </c>
      <c r="BC125" s="0" t="s">
        <v>61</v>
      </c>
      <c r="BD125" s="0" t="str">
        <f aca="false">PROPER(IF(ISBLANK(BC125),"Unknown",BC125))</f>
        <v>No</v>
      </c>
      <c r="BF125" s="0" t="str">
        <f aca="false">IF(ISBLANK(BE125),"No comments",BE125)</f>
        <v>No comments</v>
      </c>
      <c r="BG125" s="0" t="s">
        <v>172</v>
      </c>
      <c r="BH125" s="0" t="str">
        <f aca="false">IF(ISBLANK(BG125),"No comments",BG125)</f>
        <v>Always late</v>
      </c>
      <c r="BI125" s="0" t="s">
        <v>50</v>
      </c>
      <c r="BJ125" s="0" t="str">
        <f aca="false">IF(ISBLANK(BI125),"Not Mentioned",BI125)</f>
        <v>No</v>
      </c>
      <c r="BK125" s="0" t="s">
        <v>63</v>
      </c>
      <c r="BL125" s="0" t="str">
        <f aca="false">PROPER(IF(ISBLANK(BK125),"Not Mentioned",BK125))</f>
        <v>Yes</v>
      </c>
      <c r="BM125" s="0" t="s">
        <v>63</v>
      </c>
      <c r="BN125" s="0" t="str">
        <f aca="false">PROPER(IF(ISBLANK(BM125),"Not Mentioned",BM125))</f>
        <v>Yes</v>
      </c>
      <c r="BO125" s="0" t="s">
        <v>2318</v>
      </c>
      <c r="BP125" s="0" t="str">
        <f aca="false">IF(ISBLANK(BO125),"One-Time Plan",BO125)</f>
        <v>Gold</v>
      </c>
      <c r="BQ125" s="0" t="s">
        <v>50</v>
      </c>
      <c r="BR125" s="0" t="str">
        <f aca="false">PROPER(IF(ISBLANK(BQ125),"No",BQ125))</f>
        <v>No</v>
      </c>
    </row>
    <row r="126" customFormat="false" ht="15" hidden="false" customHeight="false" outlineLevel="0" collapsed="false">
      <c r="A126" s="0" t="s">
        <v>445</v>
      </c>
      <c r="B126" s="2" t="n">
        <v>45817</v>
      </c>
      <c r="C126" s="2" t="str">
        <f aca="false">TEXT(B126,"dd/mm/yyyy")</f>
        <v>09/06/2025</v>
      </c>
      <c r="D126" s="0" t="s">
        <v>66</v>
      </c>
      <c r="E126" s="0" t="n">
        <v>8059612328</v>
      </c>
      <c r="F126" s="0" t="s">
        <v>122</v>
      </c>
      <c r="G126" s="0" t="s">
        <v>2316</v>
      </c>
      <c r="H126" s="0" t="s">
        <v>446</v>
      </c>
      <c r="I126" s="0" t="s">
        <v>69</v>
      </c>
      <c r="J126" s="0" t="s">
        <v>87</v>
      </c>
      <c r="K126" s="3" t="str">
        <f aca="false" t="array" ref="K126:K126">IFERROR(IF(J126&lt;&gt;"",J126,INDEX(J126:J1125,MATCH(1,(F126:F1125=F126)*(I126:I1125=I126)*(L126:L1125=L126)*(J126:J1125&lt;&gt;""),0))),"Not Found")</f>
        <v>Oil Change</v>
      </c>
      <c r="L126" s="3" t="s">
        <v>142</v>
      </c>
      <c r="M126" s="0" t="str">
        <f aca="false">PROPER(L126)</f>
        <v>Oil Filter, Brake Pads</v>
      </c>
      <c r="N126" s="3" t="s">
        <v>71</v>
      </c>
      <c r="O126" s="0" t="str">
        <f aca="false" t="array" ref="O126:O126">IF(N126&lt;&gt;"",N126,_xlfn.xlookup(1,(L126:L1125=L126)*(N126:N1125&lt;&gt;""),N126:N1125,"Not Found"))</f>
        <v>Isaac Bobo</v>
      </c>
      <c r="P126" s="4" t="n">
        <v>42392</v>
      </c>
      <c r="Q126" s="0" t="s">
        <v>124</v>
      </c>
      <c r="R126" s="0" t="str">
        <f aca="false">PROPER(Q126)</f>
        <v>Cash</v>
      </c>
      <c r="S126" s="0" t="s">
        <v>63</v>
      </c>
      <c r="U126" s="5" t="n">
        <f aca="false">IF(ISBLANK(T126),AVERAGE(T126:T1125),T126)</f>
        <v>2.99450549450549</v>
      </c>
      <c r="V126" s="0" t="n">
        <v>1.7</v>
      </c>
      <c r="W126" s="0" t="s">
        <v>51</v>
      </c>
      <c r="X126" s="0" t="str">
        <f aca="false">IF(ISBLANK(W126),"No remarks",W126)</f>
        <v>Recommended further checks</v>
      </c>
      <c r="Y126" s="0" t="s">
        <v>93</v>
      </c>
      <c r="Z126" s="0" t="s">
        <v>159</v>
      </c>
      <c r="AA126" s="0" t="str">
        <f aca="false">PROPER(IF(ISBLANK(Z126),"Location Unavailable",Z126))</f>
        <v>Main Bay</v>
      </c>
      <c r="AB126" s="0" t="s">
        <v>54</v>
      </c>
      <c r="AC126" s="6" t="str">
        <f aca="false">PROPER(AB126)</f>
        <v>Mechanic Referral</v>
      </c>
      <c r="AD126" s="6" t="n">
        <v>45</v>
      </c>
      <c r="AE126" s="5" t="n">
        <f aca="false">IF(ISBLANK(AD126),AVERAGEIF(L126:L1125,L126,AD126:AD1125),AD126)</f>
        <v>45</v>
      </c>
      <c r="AF126" s="0" t="s">
        <v>55</v>
      </c>
      <c r="AG126" s="0" t="str">
        <f aca="false">PROPER(AF126)</f>
        <v>Available</v>
      </c>
      <c r="AH126" s="0" t="s">
        <v>155</v>
      </c>
      <c r="AI126" s="0" t="s">
        <v>113</v>
      </c>
      <c r="AJ126" s="0" t="str">
        <f aca="false">PROPER(AI126)</f>
        <v>Normal</v>
      </c>
      <c r="AK126" s="0" t="s">
        <v>99</v>
      </c>
      <c r="AL126" s="0" t="str">
        <f aca="false">PROPER(AK126)</f>
        <v>Uber Driver</v>
      </c>
      <c r="AN126" s="0" t="str">
        <f aca="false">IF(ISBLANK(AM126),"Unknown",AM126)</f>
        <v>Unknown</v>
      </c>
      <c r="AO126" s="0" t="s">
        <v>149</v>
      </c>
      <c r="AP126" s="0" t="str">
        <f aca="false">IF(ISBLANK(AO126),"Unknown",AO126)</f>
        <v>Senior </v>
      </c>
      <c r="AQ126" s="0" t="n">
        <v>25000</v>
      </c>
      <c r="AR126" s="5" t="n">
        <f aca="false">IF(ISBLANK(AQ126),AVERAGEIF(M126:M1125,M126,AQ126:AQ1125),AQ126)</f>
        <v>25000</v>
      </c>
      <c r="AS126" s="0" t="n">
        <v>35000</v>
      </c>
      <c r="AT126" s="5" t="n">
        <f aca="false">IF(ISBLANK(AS126),AVERAGE(AS126:AS1125),AS126)</f>
        <v>35000</v>
      </c>
      <c r="AU126" s="0" t="s">
        <v>63</v>
      </c>
      <c r="AV126" s="0" t="str">
        <f aca="false">PROPER(IF(ISBLANK(AU126),"No",AU126))</f>
        <v>Yes</v>
      </c>
      <c r="AW126" s="0" t="n">
        <v>5000</v>
      </c>
      <c r="AX126" s="5" t="n">
        <f aca="false">IF(ISBLANK(AW126),0,AW126)</f>
        <v>5000</v>
      </c>
      <c r="AY126" s="0" t="s">
        <v>184</v>
      </c>
      <c r="AZ126" s="0" t="str">
        <f aca="false">UPPER(IF(ISBLANK(AY126),"NONE",AY126))</f>
        <v>N/A</v>
      </c>
      <c r="BA126" s="7" t="s">
        <v>447</v>
      </c>
      <c r="BB126" s="7" t="str">
        <f aca="false">IF(ISBLANK(BA126),"No Follow Up Needed",BA126)</f>
        <v>25/07/2025</v>
      </c>
      <c r="BC126" s="0" t="s">
        <v>61</v>
      </c>
      <c r="BD126" s="0" t="str">
        <f aca="false">PROPER(IF(ISBLANK(BC126),"Unknown",BC126))</f>
        <v>No</v>
      </c>
      <c r="BF126" s="0" t="str">
        <f aca="false">IF(ISBLANK(BE126),"No comments",BE126)</f>
        <v>No comments</v>
      </c>
      <c r="BG126" s="0" t="s">
        <v>2320</v>
      </c>
      <c r="BH126" s="0" t="str">
        <f aca="false">IF(ISBLANK(BG126),"No comments",BG126)</f>
        <v>No complaints</v>
      </c>
      <c r="BI126" s="0" t="s">
        <v>50</v>
      </c>
      <c r="BJ126" s="0" t="str">
        <f aca="false">IF(ISBLANK(BI126),"Not Mentioned",BI126)</f>
        <v>No</v>
      </c>
      <c r="BL126" s="0" t="str">
        <f aca="false">PROPER(IF(ISBLANK(BK126),"Not Mentioned",BK126))</f>
        <v>Not Mentioned</v>
      </c>
      <c r="BN126" s="0" t="str">
        <f aca="false">PROPER(IF(ISBLANK(BM126),"Not Mentioned",BM126))</f>
        <v>Not Mentioned</v>
      </c>
      <c r="BO126" s="0" t="s">
        <v>2318</v>
      </c>
      <c r="BP126" s="0" t="str">
        <f aca="false">IF(ISBLANK(BO126),"One-Time Plan",BO126)</f>
        <v>Gold</v>
      </c>
      <c r="BQ126" s="0" t="s">
        <v>198</v>
      </c>
      <c r="BR126" s="0" t="str">
        <f aca="false">PROPER(IF(ISBLANK(BQ126),"No",BQ126))</f>
        <v>Followed Up</v>
      </c>
    </row>
    <row r="127" customFormat="false" ht="15" hidden="false" customHeight="false" outlineLevel="0" collapsed="false">
      <c r="A127" s="0" t="s">
        <v>448</v>
      </c>
      <c r="B127" s="2" t="n">
        <v>45700</v>
      </c>
      <c r="C127" s="2" t="str">
        <f aca="false">TEXT(B127,"dd/mm/yyyy")</f>
        <v>12/02/2025</v>
      </c>
      <c r="D127" s="0" t="s">
        <v>163</v>
      </c>
      <c r="E127" s="0" t="n">
        <v>8059976005</v>
      </c>
      <c r="F127" s="0" t="s">
        <v>122</v>
      </c>
      <c r="G127" s="0" t="s">
        <v>2316</v>
      </c>
      <c r="H127" s="0" t="s">
        <v>123</v>
      </c>
      <c r="I127" s="0" t="s">
        <v>107</v>
      </c>
      <c r="J127" s="0" t="s">
        <v>2317</v>
      </c>
      <c r="K127" s="3" t="str">
        <f aca="false" t="array" ref="K127:K127">IFERROR(IF(J127&lt;&gt;"",J127,INDEX(J127:J1126,MATCH(1,(F127:F1126=F127)*(I127:I1126=I127)*(L127:L1126=L127)*(J127:J1126&lt;&gt;""),0))),"Not Found")</f>
        <v>Suspension Noise</v>
      </c>
      <c r="L127" s="3" t="s">
        <v>142</v>
      </c>
      <c r="M127" s="0" t="str">
        <f aca="false">PROPER(L127)</f>
        <v>Oil Filter, Brake Pads</v>
      </c>
      <c r="N127" s="3" t="s">
        <v>48</v>
      </c>
      <c r="O127" s="0" t="str">
        <f aca="false" t="array" ref="O127:O127">IF(N127&lt;&gt;"",N127,_xlfn.xlookup(1,(L127:L1126=L127)*(N127:N1126&lt;&gt;""),N127:N1126,"Not Found"))</f>
        <v>Uche</v>
      </c>
      <c r="P127" s="4" t="n">
        <v>12563</v>
      </c>
      <c r="Q127" s="0" t="s">
        <v>72</v>
      </c>
      <c r="R127" s="0" t="str">
        <f aca="false">PROPER(Q127)</f>
        <v>Pos</v>
      </c>
      <c r="S127" s="0" t="s">
        <v>63</v>
      </c>
      <c r="T127" s="0" t="n">
        <v>5</v>
      </c>
      <c r="U127" s="5" t="n">
        <f aca="false">IF(ISBLANK(T127),AVERAGE(T127:T1126),T127)</f>
        <v>5</v>
      </c>
      <c r="V127" s="0" t="n">
        <v>4.9</v>
      </c>
      <c r="W127" s="0" t="s">
        <v>111</v>
      </c>
      <c r="X127" s="0" t="str">
        <f aca="false">IF(ISBLANK(W127),"No remarks",W127)</f>
        <v>Changed all filters</v>
      </c>
      <c r="Y127" s="0" t="s">
        <v>52</v>
      </c>
      <c r="AA127" s="0" t="str">
        <f aca="false">PROPER(IF(ISBLANK(Z127),"Location Unavailable",Z127))</f>
        <v>Location Unavailable</v>
      </c>
      <c r="AB127" s="0" t="s">
        <v>95</v>
      </c>
      <c r="AC127" s="6" t="str">
        <f aca="false">PROPER(AB127)</f>
        <v>Road Sign</v>
      </c>
      <c r="AD127" s="6" t="n">
        <v>30</v>
      </c>
      <c r="AE127" s="5" t="n">
        <f aca="false">IF(ISBLANK(AD127),AVERAGEIF(L127:L1126,L127,AD127:AD1126),AD127)</f>
        <v>30</v>
      </c>
      <c r="AF127" s="0" t="s">
        <v>55</v>
      </c>
      <c r="AG127" s="0" t="str">
        <f aca="false">PROPER(AF127)</f>
        <v>Available</v>
      </c>
      <c r="AH127" s="0" t="s">
        <v>77</v>
      </c>
      <c r="AI127" s="0" t="s">
        <v>78</v>
      </c>
      <c r="AJ127" s="0" t="str">
        <f aca="false">PROPER(AI127)</f>
        <v>Booking</v>
      </c>
      <c r="AK127" s="0" t="s">
        <v>99</v>
      </c>
      <c r="AL127" s="0" t="str">
        <f aca="false">PROPER(AK127)</f>
        <v>Uber Driver</v>
      </c>
      <c r="AM127" s="0" t="s">
        <v>59</v>
      </c>
      <c r="AN127" s="0" t="str">
        <f aca="false">IF(ISBLANK(AM127),"Unknown",AM127)</f>
        <v>Bolt Driver</v>
      </c>
      <c r="AO127" s="0" t="s">
        <v>143</v>
      </c>
      <c r="AP127" s="0" t="str">
        <f aca="false">IF(ISBLANK(AO127),"Unknown",AO127)</f>
        <v>Senior</v>
      </c>
      <c r="AQ127" s="0" t="n">
        <v>30000</v>
      </c>
      <c r="AR127" s="5" t="n">
        <f aca="false">IF(ISBLANK(AQ127),AVERAGEIF(M127:M1126,M127,AQ127:AQ1126),AQ127)</f>
        <v>30000</v>
      </c>
      <c r="AS127" s="0" t="n">
        <v>40000</v>
      </c>
      <c r="AT127" s="5" t="n">
        <f aca="false">IF(ISBLANK(AS127),AVERAGE(AS127:AS1126),AS127)</f>
        <v>40000</v>
      </c>
      <c r="AU127" s="0" t="s">
        <v>82</v>
      </c>
      <c r="AV127" s="0" t="str">
        <f aca="false">PROPER(IF(ISBLANK(AU127),"No",AU127))</f>
        <v>Yes</v>
      </c>
      <c r="AW127" s="0" t="n">
        <v>5000</v>
      </c>
      <c r="AX127" s="5" t="n">
        <f aca="false">IF(ISBLANK(AW127),0,AW127)</f>
        <v>5000</v>
      </c>
      <c r="AZ127" s="0" t="str">
        <f aca="false">UPPER(IF(ISBLANK(AY127),"NONE",AY127))</f>
        <v>NONE</v>
      </c>
      <c r="BA127" s="7" t="n">
        <v>45829</v>
      </c>
      <c r="BB127" s="7" t="n">
        <f aca="false">IF(ISBLANK(BA127),"No Follow Up Needed",BA127)</f>
        <v>45829</v>
      </c>
      <c r="BC127" s="0" t="s">
        <v>63</v>
      </c>
      <c r="BD127" s="0" t="str">
        <f aca="false">PROPER(IF(ISBLANK(BC127),"Unknown",BC127))</f>
        <v>Yes</v>
      </c>
      <c r="BF127" s="0" t="str">
        <f aca="false">IF(ISBLANK(BE127),"No comments",BE127)</f>
        <v>No comments</v>
      </c>
      <c r="BG127" s="0" t="s">
        <v>2320</v>
      </c>
      <c r="BH127" s="0" t="str">
        <f aca="false">IF(ISBLANK(BG127),"No comments",BG127)</f>
        <v>No complaints</v>
      </c>
      <c r="BI127" s="0" t="s">
        <v>63</v>
      </c>
      <c r="BJ127" s="0" t="str">
        <f aca="false">IF(ISBLANK(BI127),"Not Mentioned",BI127)</f>
        <v>Yes</v>
      </c>
      <c r="BK127" s="0" t="s">
        <v>82</v>
      </c>
      <c r="BL127" s="0" t="str">
        <f aca="false">PROPER(IF(ISBLANK(BK127),"Not Mentioned",BK127))</f>
        <v>Yes</v>
      </c>
      <c r="BN127" s="0" t="str">
        <f aca="false">PROPER(IF(ISBLANK(BM127),"Not Mentioned",BM127))</f>
        <v>Not Mentioned</v>
      </c>
      <c r="BO127" s="0" t="s">
        <v>2321</v>
      </c>
      <c r="BP127" s="0" t="str">
        <f aca="false">IF(ISBLANK(BO127),"One-Time Plan",BO127)</f>
        <v>One-Time Plan</v>
      </c>
      <c r="BQ127" s="0" t="s">
        <v>63</v>
      </c>
      <c r="BR127" s="0" t="str">
        <f aca="false">PROPER(IF(ISBLANK(BQ127),"No",BQ127))</f>
        <v>Yes</v>
      </c>
    </row>
    <row r="128" customFormat="false" ht="15" hidden="false" customHeight="false" outlineLevel="0" collapsed="false">
      <c r="A128" s="0" t="s">
        <v>449</v>
      </c>
      <c r="B128" s="2" t="n">
        <v>45810</v>
      </c>
      <c r="C128" s="2" t="str">
        <f aca="false">TEXT(B128,"dd/mm/yyyy")</f>
        <v>02/06/2025</v>
      </c>
      <c r="D128" s="0" t="s">
        <v>105</v>
      </c>
      <c r="E128" s="0" t="n">
        <v>8098705666</v>
      </c>
      <c r="F128" s="0" t="s">
        <v>43</v>
      </c>
      <c r="G128" s="0" t="s">
        <v>2315</v>
      </c>
      <c r="H128" s="0" t="s">
        <v>450</v>
      </c>
      <c r="I128" s="0" t="s">
        <v>107</v>
      </c>
      <c r="K128" s="3" t="str">
        <f aca="false" t="array" ref="K128:K128">IFERROR(IF(J128&lt;&gt;"",J128,INDEX(J128:J1127,MATCH(1,(F128:F1127=F128)*(I128:I1127=I128)*(L128:L1127=L128)*(J128:J1127&lt;&gt;""),0))),"Not Found")</f>
        <v>Suspension Noise</v>
      </c>
      <c r="L128" s="3" t="s">
        <v>142</v>
      </c>
      <c r="M128" s="0" t="str">
        <f aca="false">PROPER(L128)</f>
        <v>Oil Filter, Brake Pads</v>
      </c>
      <c r="N128" s="3" t="s">
        <v>71</v>
      </c>
      <c r="O128" s="0" t="str">
        <f aca="false" t="array" ref="O128:O128">IF(N128&lt;&gt;"",N128,_xlfn.xlookup(1,(L128:L1127=L128)*(N128:N1127&lt;&gt;""),N128:N1127,"Not Found"))</f>
        <v>Isaac Bobo</v>
      </c>
      <c r="P128" s="4" t="n">
        <v>84847</v>
      </c>
      <c r="Q128" s="0" t="s">
        <v>49</v>
      </c>
      <c r="R128" s="0" t="str">
        <f aca="false">PROPER(Q128)</f>
        <v>Transfer</v>
      </c>
      <c r="S128" s="0" t="s">
        <v>63</v>
      </c>
      <c r="T128" s="0" t="n">
        <v>2</v>
      </c>
      <c r="U128" s="5" t="n">
        <f aca="false">IF(ISBLANK(T128),AVERAGE(T128:T1127),T128)</f>
        <v>2</v>
      </c>
      <c r="V128" s="0" t="n">
        <v>1.6</v>
      </c>
      <c r="W128" s="0" t="s">
        <v>92</v>
      </c>
      <c r="X128" s="0" t="str">
        <f aca="false">IF(ISBLANK(W128),"No remarks",W128)</f>
        <v>Urgent service</v>
      </c>
      <c r="Y128" s="0" t="s">
        <v>52</v>
      </c>
      <c r="Z128" s="0" t="s">
        <v>94</v>
      </c>
      <c r="AA128" s="0" t="str">
        <f aca="false">PROPER(IF(ISBLANK(Z128),"Location Unavailable",Z128))</f>
        <v>Vip Section</v>
      </c>
      <c r="AB128" s="0" t="s">
        <v>75</v>
      </c>
      <c r="AC128" s="6" t="str">
        <f aca="false">PROPER(AB128)</f>
        <v>Mechanik Referal</v>
      </c>
      <c r="AD128" s="6" t="n">
        <v>30</v>
      </c>
      <c r="AE128" s="5" t="n">
        <f aca="false">IF(ISBLANK(AD128),AVERAGEIF(L128:L1127,L128,AD128:AD1127),AD128)</f>
        <v>30</v>
      </c>
      <c r="AF128" s="0" t="s">
        <v>55</v>
      </c>
      <c r="AG128" s="0" t="str">
        <f aca="false">PROPER(AF128)</f>
        <v>Available</v>
      </c>
      <c r="AH128" s="0" t="s">
        <v>148</v>
      </c>
      <c r="AI128" s="0" t="s">
        <v>98</v>
      </c>
      <c r="AJ128" s="0" t="str">
        <f aca="false">PROPER(AI128)</f>
        <v>Emergency</v>
      </c>
      <c r="AK128" s="0" t="s">
        <v>196</v>
      </c>
      <c r="AL128" s="0" t="str">
        <f aca="false">PROPER(AK128)</f>
        <v>First Time</v>
      </c>
      <c r="AN128" s="0" t="str">
        <f aca="false">IF(ISBLANK(AM128),"Unknown",AM128)</f>
        <v>Unknown</v>
      </c>
      <c r="AO128" s="0" t="s">
        <v>79</v>
      </c>
      <c r="AP128" s="0" t="str">
        <f aca="false">IF(ISBLANK(AO128),"Unknown",AO128)</f>
        <v>Specialist</v>
      </c>
      <c r="AQ128" s="0" t="n">
        <v>15000</v>
      </c>
      <c r="AR128" s="5" t="n">
        <f aca="false">IF(ISBLANK(AQ128),AVERAGEIF(M128:M1127,M128,AQ128:AQ1127),AQ128)</f>
        <v>15000</v>
      </c>
      <c r="AS128" s="0" t="n">
        <v>30000</v>
      </c>
      <c r="AT128" s="5" t="n">
        <f aca="false">IF(ISBLANK(AS128),AVERAGE(AS128:AS1127),AS128)</f>
        <v>30000</v>
      </c>
      <c r="AU128" s="0" t="s">
        <v>82</v>
      </c>
      <c r="AV128" s="0" t="str">
        <f aca="false">PROPER(IF(ISBLANK(AU128),"No",AU128))</f>
        <v>Yes</v>
      </c>
      <c r="AX128" s="5" t="n">
        <f aca="false">IF(ISBLANK(AW128),0,AW128)</f>
        <v>0</v>
      </c>
      <c r="AZ128" s="0" t="str">
        <f aca="false">UPPER(IF(ISBLANK(AY128),"NONE",AY128))</f>
        <v>NONE</v>
      </c>
      <c r="BA128" s="7" t="s">
        <v>451</v>
      </c>
      <c r="BB128" s="7" t="str">
        <f aca="false">IF(ISBLANK(BA128),"No Follow Up Needed",BA128)</f>
        <v>30/11/2025</v>
      </c>
      <c r="BD128" s="0" t="str">
        <f aca="false">PROPER(IF(ISBLANK(BC128),"Unknown",BC128))</f>
        <v>Unknown</v>
      </c>
      <c r="BE128" s="0" t="s">
        <v>116</v>
      </c>
      <c r="BF128" s="0" t="str">
        <f aca="false">IF(ISBLANK(BE128),"No comments",BE128)</f>
        <v>Needs tire alignment</v>
      </c>
      <c r="BG128" s="0" t="s">
        <v>172</v>
      </c>
      <c r="BH128" s="0" t="str">
        <f aca="false">IF(ISBLANK(BG128),"No comments",BG128)</f>
        <v>Always late</v>
      </c>
      <c r="BI128" s="0" t="s">
        <v>50</v>
      </c>
      <c r="BJ128" s="0" t="str">
        <f aca="false">IF(ISBLANK(BI128),"Not Mentioned",BI128)</f>
        <v>No</v>
      </c>
      <c r="BK128" s="0" t="s">
        <v>63</v>
      </c>
      <c r="BL128" s="0" t="str">
        <f aca="false">PROPER(IF(ISBLANK(BK128),"Not Mentioned",BK128))</f>
        <v>Yes</v>
      </c>
      <c r="BM128" s="0" t="s">
        <v>63</v>
      </c>
      <c r="BN128" s="0" t="str">
        <f aca="false">PROPER(IF(ISBLANK(BM128),"Not Mentioned",BM128))</f>
        <v>Yes</v>
      </c>
      <c r="BO128" s="0" t="s">
        <v>2321</v>
      </c>
      <c r="BP128" s="0" t="str">
        <f aca="false">IF(ISBLANK(BO128),"One-Time Plan",BO128)</f>
        <v>One-Time Plan</v>
      </c>
      <c r="BR128" s="0" t="str">
        <f aca="false">PROPER(IF(ISBLANK(BQ128),"No",BQ128))</f>
        <v>No</v>
      </c>
    </row>
    <row r="129" customFormat="false" ht="15" hidden="false" customHeight="false" outlineLevel="0" collapsed="false">
      <c r="A129" s="0" t="s">
        <v>452</v>
      </c>
      <c r="B129" s="2" t="s">
        <v>416</v>
      </c>
      <c r="C129" s="2" t="str">
        <f aca="false">TEXT(B129,"dd/mm/yyyy")</f>
        <v>28/02/2025</v>
      </c>
      <c r="D129" s="0" t="s">
        <v>121</v>
      </c>
      <c r="E129" s="0" t="n">
        <v>8032999523</v>
      </c>
      <c r="F129" s="0" t="s">
        <v>139</v>
      </c>
      <c r="G129" s="0" t="s">
        <v>2323</v>
      </c>
      <c r="H129" s="0" t="s">
        <v>453</v>
      </c>
      <c r="I129" s="0" t="s">
        <v>134</v>
      </c>
      <c r="J129" s="0" t="s">
        <v>87</v>
      </c>
      <c r="K129" s="3" t="str">
        <f aca="false" t="array" ref="K129:K129">IFERROR(IF(J129&lt;&gt;"",J129,INDEX(J129:J1128,MATCH(1,(F129:F1128=F129)*(I129:I1128=I129)*(L129:L1128=L129)*(J129:J1128&lt;&gt;""),0))),"Not Found")</f>
        <v>Oil Change</v>
      </c>
      <c r="L129" s="3" t="s">
        <v>47</v>
      </c>
      <c r="M129" s="0" t="str">
        <f aca="false">PROPER(L129)</f>
        <v>None</v>
      </c>
      <c r="N129" s="3" t="s">
        <v>48</v>
      </c>
      <c r="O129" s="0" t="str">
        <f aca="false" t="array" ref="O129:O129">IF(N129&lt;&gt;"",N129,_xlfn.xlookup(1,(L129:L1128=L129)*(N129:N1128&lt;&gt;""),N129:N1128,"Not Found"))</f>
        <v>Uche</v>
      </c>
      <c r="P129" s="4" t="n">
        <v>53597</v>
      </c>
      <c r="Q129" s="0" t="s">
        <v>110</v>
      </c>
      <c r="R129" s="0" t="str">
        <f aca="false">PROPER(Q129)</f>
        <v>Cash</v>
      </c>
      <c r="S129" s="0" t="s">
        <v>50</v>
      </c>
      <c r="T129" s="0" t="n">
        <v>5</v>
      </c>
      <c r="U129" s="5" t="n">
        <f aca="false">IF(ISBLANK(T129),AVERAGE(T129:T1128),T129)</f>
        <v>5</v>
      </c>
      <c r="V129" s="0" t="n">
        <v>5.6</v>
      </c>
      <c r="W129" s="0" t="s">
        <v>125</v>
      </c>
      <c r="X129" s="0" t="str">
        <f aca="false">IF(ISBLANK(W129),"No remarks",W129)</f>
        <v>Customer waited</v>
      </c>
      <c r="Y129" s="0" t="s">
        <v>93</v>
      </c>
      <c r="Z129" s="0" t="s">
        <v>159</v>
      </c>
      <c r="AA129" s="0" t="str">
        <f aca="false">PROPER(IF(ISBLANK(Z129),"Location Unavailable",Z129))</f>
        <v>Main Bay</v>
      </c>
      <c r="AB129" s="0" t="s">
        <v>147</v>
      </c>
      <c r="AC129" s="6" t="str">
        <f aca="false">PROPER(AB129)</f>
        <v>Instagram</v>
      </c>
      <c r="AD129" s="6" t="n">
        <v>60</v>
      </c>
      <c r="AE129" s="5" t="n">
        <f aca="false">IF(ISBLANK(AD129),AVERAGEIF(L129:L1128,L129,AD129:AD1128),AD129)</f>
        <v>60</v>
      </c>
      <c r="AF129" s="0" t="s">
        <v>55</v>
      </c>
      <c r="AG129" s="0" t="str">
        <f aca="false">PROPER(AF129)</f>
        <v>Available</v>
      </c>
      <c r="AH129" s="0" t="s">
        <v>155</v>
      </c>
      <c r="AI129" s="0" t="s">
        <v>98</v>
      </c>
      <c r="AJ129" s="0" t="str">
        <f aca="false">PROPER(AI129)</f>
        <v>Emergency</v>
      </c>
      <c r="AK129" s="0" t="s">
        <v>196</v>
      </c>
      <c r="AL129" s="0" t="str">
        <f aca="false">PROPER(AK129)</f>
        <v>First Time</v>
      </c>
      <c r="AM129" s="0" t="s">
        <v>177</v>
      </c>
      <c r="AN129" s="0" t="str">
        <f aca="false">IF(ISBLANK(AM129),"Unknown",AM129)</f>
        <v>Private</v>
      </c>
      <c r="AO129" s="0" t="s">
        <v>149</v>
      </c>
      <c r="AP129" s="0" t="str">
        <f aca="false">IF(ISBLANK(AO129),"Unknown",AO129)</f>
        <v>Senior </v>
      </c>
      <c r="AQ129" s="0" t="n">
        <v>25000</v>
      </c>
      <c r="AR129" s="5" t="n">
        <f aca="false">IF(ISBLANK(AQ129),AVERAGEIF(M129:M1128,M129,AQ129:AQ1128),AQ129)</f>
        <v>25000</v>
      </c>
      <c r="AT129" s="5" t="n">
        <f aca="false">IF(ISBLANK(AS129),AVERAGE(AS129:AS1128),AS129)</f>
        <v>31477.1151178918</v>
      </c>
      <c r="AU129" s="0" t="s">
        <v>82</v>
      </c>
      <c r="AV129" s="0" t="str">
        <f aca="false">PROPER(IF(ISBLANK(AU129),"No",AU129))</f>
        <v>Yes</v>
      </c>
      <c r="AW129" s="0" t="n">
        <v>0</v>
      </c>
      <c r="AX129" s="5" t="n">
        <f aca="false">IF(ISBLANK(AW129),0,AW129)</f>
        <v>0</v>
      </c>
      <c r="AY129" s="0" t="s">
        <v>80</v>
      </c>
      <c r="AZ129" s="0" t="str">
        <f aca="false">UPPER(IF(ISBLANK(AY129),"NONE",AY129))</f>
        <v>PROMO10</v>
      </c>
      <c r="BA129" s="7" t="n">
        <v>46012</v>
      </c>
      <c r="BB129" s="7" t="n">
        <f aca="false">IF(ISBLANK(BA129),"No Follow Up Needed",BA129)</f>
        <v>46012</v>
      </c>
      <c r="BC129" s="0" t="s">
        <v>50</v>
      </c>
      <c r="BD129" s="0" t="str">
        <f aca="false">PROPER(IF(ISBLANK(BC129),"Unknown",BC129))</f>
        <v>No</v>
      </c>
      <c r="BF129" s="0" t="str">
        <f aca="false">IF(ISBLANK(BE129),"No comments",BE129)</f>
        <v>No comments</v>
      </c>
      <c r="BH129" s="0" t="str">
        <f aca="false">IF(ISBLANK(BG129),"No comments",BG129)</f>
        <v>No comments</v>
      </c>
      <c r="BI129" s="0" t="s">
        <v>63</v>
      </c>
      <c r="BJ129" s="0" t="str">
        <f aca="false">IF(ISBLANK(BI129),"Not Mentioned",BI129)</f>
        <v>Yes</v>
      </c>
      <c r="BL129" s="0" t="str">
        <f aca="false">PROPER(IF(ISBLANK(BK129),"Not Mentioned",BK129))</f>
        <v>Not Mentioned</v>
      </c>
      <c r="BM129" s="0" t="s">
        <v>63</v>
      </c>
      <c r="BN129" s="0" t="str">
        <f aca="false">PROPER(IF(ISBLANK(BM129),"Not Mentioned",BM129))</f>
        <v>Yes</v>
      </c>
      <c r="BO129" s="0" t="s">
        <v>2318</v>
      </c>
      <c r="BP129" s="0" t="str">
        <f aca="false">IF(ISBLANK(BO129),"One-Time Plan",BO129)</f>
        <v>Gold</v>
      </c>
      <c r="BQ129" s="0" t="s">
        <v>190</v>
      </c>
      <c r="BR129" s="0" t="str">
        <f aca="false">PROPER(IF(ISBLANK(BQ129),"No",BQ129))</f>
        <v>Yes</v>
      </c>
    </row>
    <row r="130" customFormat="false" ht="15" hidden="false" customHeight="false" outlineLevel="0" collapsed="false">
      <c r="A130" s="0" t="s">
        <v>454</v>
      </c>
      <c r="B130" s="2" t="n">
        <v>45691</v>
      </c>
      <c r="C130" s="2" t="str">
        <f aca="false">TEXT(B130,"dd/mm/yyyy")</f>
        <v>03/02/2025</v>
      </c>
      <c r="D130" s="0" t="s">
        <v>121</v>
      </c>
      <c r="E130" s="0" t="n">
        <v>8080722909</v>
      </c>
      <c r="F130" s="0" t="s">
        <v>67</v>
      </c>
      <c r="G130" s="0" t="s">
        <v>2316</v>
      </c>
      <c r="H130" s="0" t="s">
        <v>455</v>
      </c>
      <c r="I130" s="0" t="s">
        <v>107</v>
      </c>
      <c r="J130" s="0" t="s">
        <v>2325</v>
      </c>
      <c r="K130" s="3" t="str">
        <f aca="false" t="array" ref="K130:K130">IFERROR(IF(J130&lt;&gt;"",J130,INDEX(J130:J1129,MATCH(1,(F130:F1129=F130)*(I130:I1129=I130)*(L130:L1129=L130)*(J130:J1129&lt;&gt;""),0))),"Not Found")</f>
        <v>Engine Knocking</v>
      </c>
      <c r="L130" s="3" t="s">
        <v>108</v>
      </c>
      <c r="M130" s="0" t="str">
        <f aca="false">PROPER(L130)</f>
        <v>Timing Belt</v>
      </c>
      <c r="N130" s="3" t="s">
        <v>109</v>
      </c>
      <c r="O130" s="0" t="str">
        <f aca="false" t="array" ref="O130:O130">IF(N130&lt;&gt;"",N130,_xlfn.xlookup(1,(L130:L1129=L130)*(N130:N1129&lt;&gt;""),N130:N1129,"Not Found"))</f>
        <v>Tijani</v>
      </c>
      <c r="P130" s="4" t="n">
        <v>44214</v>
      </c>
      <c r="Q130" s="0" t="s">
        <v>91</v>
      </c>
      <c r="R130" s="0" t="str">
        <f aca="false">PROPER(Q130)</f>
        <v>Pos</v>
      </c>
      <c r="S130" s="0" t="s">
        <v>63</v>
      </c>
      <c r="T130" s="0" t="n">
        <v>1</v>
      </c>
      <c r="U130" s="5" t="n">
        <f aca="false">IF(ISBLANK(T130),AVERAGE(T130:T1129),T130)</f>
        <v>1</v>
      </c>
      <c r="V130" s="0" t="n">
        <v>4.1</v>
      </c>
      <c r="W130" s="0" t="s">
        <v>125</v>
      </c>
      <c r="X130" s="0" t="str">
        <f aca="false">IF(ISBLANK(W130),"No remarks",W130)</f>
        <v>Customer waited</v>
      </c>
      <c r="Y130" s="0" t="s">
        <v>52</v>
      </c>
      <c r="Z130" s="0" t="s">
        <v>53</v>
      </c>
      <c r="AA130" s="0" t="str">
        <f aca="false">PROPER(IF(ISBLANK(Z130),"Location Unavailable",Z130))</f>
        <v>Main Bay</v>
      </c>
      <c r="AB130" s="0" t="s">
        <v>167</v>
      </c>
      <c r="AC130" s="6" t="str">
        <f aca="false">PROPER(AB130)</f>
        <v>Word Of Mouth</v>
      </c>
      <c r="AD130" s="6" t="n">
        <v>15</v>
      </c>
      <c r="AE130" s="5" t="n">
        <f aca="false">IF(ISBLANK(AD130),AVERAGEIF(L130:L1129,L130,AD130:AD1129),AD130)</f>
        <v>15</v>
      </c>
      <c r="AF130" s="0" t="s">
        <v>96</v>
      </c>
      <c r="AG130" s="0" t="str">
        <f aca="false">PROPER(AF130)</f>
        <v>Ordered</v>
      </c>
      <c r="AH130" s="0" t="s">
        <v>155</v>
      </c>
      <c r="AI130" s="0" t="s">
        <v>78</v>
      </c>
      <c r="AJ130" s="0" t="str">
        <f aca="false">PROPER(AI130)</f>
        <v>Booking</v>
      </c>
      <c r="AK130" s="0" t="s">
        <v>196</v>
      </c>
      <c r="AL130" s="0" t="str">
        <f aca="false">PROPER(AK130)</f>
        <v>First Time</v>
      </c>
      <c r="AM130" s="0" t="s">
        <v>59</v>
      </c>
      <c r="AN130" s="0" t="str">
        <f aca="false">IF(ISBLANK(AM130),"Unknown",AM130)</f>
        <v>Bolt Driver</v>
      </c>
      <c r="AO130" s="0" t="s">
        <v>161</v>
      </c>
      <c r="AP130" s="0" t="str">
        <f aca="false">IF(ISBLANK(AO130),"Unknown",AO130)</f>
        <v>Apprentice</v>
      </c>
      <c r="AQ130" s="0" t="n">
        <v>40000</v>
      </c>
      <c r="AR130" s="5" t="n">
        <f aca="false">IF(ISBLANK(AQ130),AVERAGEIF(M130:M1129,M130,AQ130:AQ1129),AQ130)</f>
        <v>40000</v>
      </c>
      <c r="AS130" s="0" t="n">
        <v>30000</v>
      </c>
      <c r="AT130" s="5" t="n">
        <f aca="false">IF(ISBLANK(AS130),AVERAGE(AS130:AS1129),AS130)</f>
        <v>30000</v>
      </c>
      <c r="AU130" s="0" t="s">
        <v>63</v>
      </c>
      <c r="AV130" s="0" t="str">
        <f aca="false">PROPER(IF(ISBLANK(AU130),"No",AU130))</f>
        <v>Yes</v>
      </c>
      <c r="AW130" s="0" t="n">
        <v>0</v>
      </c>
      <c r="AX130" s="5" t="n">
        <f aca="false">IF(ISBLANK(AW130),0,AW130)</f>
        <v>0</v>
      </c>
      <c r="AY130" s="0" t="s">
        <v>184</v>
      </c>
      <c r="AZ130" s="0" t="str">
        <f aca="false">UPPER(IF(ISBLANK(AY130),"NONE",AY130))</f>
        <v>N/A</v>
      </c>
      <c r="BB130" s="7" t="str">
        <f aca="false">IF(ISBLANK(BA130),"No Follow Up Needed",BA130)</f>
        <v>No Follow Up Needed</v>
      </c>
      <c r="BC130" s="0" t="s">
        <v>50</v>
      </c>
      <c r="BD130" s="0" t="str">
        <f aca="false">PROPER(IF(ISBLANK(BC130),"Unknown",BC130))</f>
        <v>No</v>
      </c>
      <c r="BF130" s="0" t="str">
        <f aca="false">IF(ISBLANK(BE130),"No comments",BE130)</f>
        <v>No comments</v>
      </c>
      <c r="BG130" s="0" t="s">
        <v>172</v>
      </c>
      <c r="BH130" s="0" t="str">
        <f aca="false">IF(ISBLANK(BG130),"No comments",BG130)</f>
        <v>Always late</v>
      </c>
      <c r="BI130" s="0" t="s">
        <v>63</v>
      </c>
      <c r="BJ130" s="0" t="str">
        <f aca="false">IF(ISBLANK(BI130),"Not Mentioned",BI130)</f>
        <v>Yes</v>
      </c>
      <c r="BL130" s="0" t="str">
        <f aca="false">PROPER(IF(ISBLANK(BK130),"Not Mentioned",BK130))</f>
        <v>Not Mentioned</v>
      </c>
      <c r="BM130" s="0" t="s">
        <v>50</v>
      </c>
      <c r="BN130" s="0" t="str">
        <f aca="false">PROPER(IF(ISBLANK(BM130),"Not Mentioned",BM130))</f>
        <v>No</v>
      </c>
      <c r="BO130" s="0" t="s">
        <v>2318</v>
      </c>
      <c r="BP130" s="0" t="str">
        <f aca="false">IF(ISBLANK(BO130),"One-Time Plan",BO130)</f>
        <v>Gold</v>
      </c>
      <c r="BR130" s="0" t="str">
        <f aca="false">PROPER(IF(ISBLANK(BQ130),"No",BQ130))</f>
        <v>No</v>
      </c>
    </row>
    <row r="131" customFormat="false" ht="15" hidden="false" customHeight="false" outlineLevel="0" collapsed="false">
      <c r="A131" s="0" t="s">
        <v>456</v>
      </c>
      <c r="B131" s="2" t="n">
        <v>45791</v>
      </c>
      <c r="C131" s="2" t="str">
        <f aca="false">TEXT(B131,"dd/mm/yyyy")</f>
        <v>14/05/2025</v>
      </c>
      <c r="D131" s="0" t="s">
        <v>121</v>
      </c>
      <c r="E131" s="0" t="n">
        <v>8093644995</v>
      </c>
      <c r="F131" s="0" t="s">
        <v>122</v>
      </c>
      <c r="G131" s="0" t="s">
        <v>2316</v>
      </c>
      <c r="H131" s="0" t="s">
        <v>457</v>
      </c>
      <c r="I131" s="0" t="s">
        <v>45</v>
      </c>
      <c r="J131" s="0" t="s">
        <v>87</v>
      </c>
      <c r="K131" s="3" t="str">
        <f aca="false" t="array" ref="K131:K131">IFERROR(IF(J131&lt;&gt;"",J131,INDEX(J131:J1130,MATCH(1,(F131:F1130=F131)*(I131:I1130=I131)*(L131:L1130=L131)*(J131:J1130&lt;&gt;""),0))),"Not Found")</f>
        <v>Oil Change</v>
      </c>
      <c r="L131" s="3" t="s">
        <v>154</v>
      </c>
      <c r="M131" s="0" t="str">
        <f aca="false">PROPER(L131)</f>
        <v>Air Filter</v>
      </c>
      <c r="N131" s="3" t="s">
        <v>90</v>
      </c>
      <c r="O131" s="0" t="str">
        <f aca="false" t="array" ref="O131:O131">IF(N131&lt;&gt;"",N131,_xlfn.xlookup(1,(L131:L1130=L131)*(N131:N1130&lt;&gt;""),N131:N1130,"Not Found"))</f>
        <v>Musa</v>
      </c>
      <c r="P131" s="4" t="n">
        <v>43278</v>
      </c>
      <c r="Q131" s="0" t="s">
        <v>110</v>
      </c>
      <c r="R131" s="0" t="str">
        <f aca="false">PROPER(Q131)</f>
        <v>Cash</v>
      </c>
      <c r="S131" s="0" t="s">
        <v>63</v>
      </c>
      <c r="T131" s="0" t="n">
        <v>1</v>
      </c>
      <c r="U131" s="5" t="n">
        <f aca="false">IF(ISBLANK(T131),AVERAGE(T131:T1130),T131)</f>
        <v>1</v>
      </c>
      <c r="V131" s="0" t="n">
        <v>3.2</v>
      </c>
      <c r="W131" s="0" t="s">
        <v>111</v>
      </c>
      <c r="X131" s="0" t="str">
        <f aca="false">IF(ISBLANK(W131),"No remarks",W131)</f>
        <v>Changed all filters</v>
      </c>
      <c r="Y131" s="0" t="s">
        <v>93</v>
      </c>
      <c r="Z131" s="0" t="s">
        <v>53</v>
      </c>
      <c r="AA131" s="0" t="str">
        <f aca="false">PROPER(IF(ISBLANK(Z131),"Location Unavailable",Z131))</f>
        <v>Main Bay</v>
      </c>
      <c r="AB131" s="0" t="s">
        <v>54</v>
      </c>
      <c r="AC131" s="6" t="str">
        <f aca="false">PROPER(AB131)</f>
        <v>Mechanic Referral</v>
      </c>
      <c r="AD131" s="6" t="n">
        <v>30</v>
      </c>
      <c r="AE131" s="5" t="n">
        <f aca="false">IF(ISBLANK(AD131),AVERAGEIF(L131:L1130,L131,AD131:AD1130),AD131)</f>
        <v>30</v>
      </c>
      <c r="AF131" s="0" t="s">
        <v>160</v>
      </c>
      <c r="AG131" s="0" t="str">
        <f aca="false">PROPER(AF131)</f>
        <v>Availaible</v>
      </c>
      <c r="AH131" s="0" t="s">
        <v>56</v>
      </c>
      <c r="AI131" s="0" t="s">
        <v>98</v>
      </c>
      <c r="AJ131" s="0" t="str">
        <f aca="false">PROPER(AI131)</f>
        <v>Emergency</v>
      </c>
      <c r="AK131" s="0" t="s">
        <v>99</v>
      </c>
      <c r="AL131" s="0" t="str">
        <f aca="false">PROPER(AK131)</f>
        <v>Uber Driver</v>
      </c>
      <c r="AN131" s="0" t="str">
        <f aca="false">IF(ISBLANK(AM131),"Unknown",AM131)</f>
        <v>Unknown</v>
      </c>
      <c r="AO131" s="0" t="s">
        <v>149</v>
      </c>
      <c r="AP131" s="0" t="str">
        <f aca="false">IF(ISBLANK(AO131),"Unknown",AO131)</f>
        <v>Senior </v>
      </c>
      <c r="AQ131" s="0" t="n">
        <v>40000</v>
      </c>
      <c r="AR131" s="5" t="n">
        <f aca="false">IF(ISBLANK(AQ131),AVERAGEIF(M131:M1130,M131,AQ131:AQ1130),AQ131)</f>
        <v>40000</v>
      </c>
      <c r="AS131" s="0" t="n">
        <v>35000</v>
      </c>
      <c r="AT131" s="5" t="n">
        <f aca="false">IF(ISBLANK(AS131),AVERAGE(AS131:AS1130),AS131)</f>
        <v>35000</v>
      </c>
      <c r="AU131" s="0" t="s">
        <v>63</v>
      </c>
      <c r="AV131" s="0" t="str">
        <f aca="false">PROPER(IF(ISBLANK(AU131),"No",AU131))</f>
        <v>Yes</v>
      </c>
      <c r="AW131" s="0" t="n">
        <v>5000</v>
      </c>
      <c r="AX131" s="5" t="n">
        <f aca="false">IF(ISBLANK(AW131),0,AW131)</f>
        <v>5000</v>
      </c>
      <c r="AY131" s="0" t="s">
        <v>60</v>
      </c>
      <c r="AZ131" s="0" t="str">
        <f aca="false">UPPER(IF(ISBLANK(AY131),"NONE",AY131))</f>
        <v>NONE</v>
      </c>
      <c r="BA131" s="7" t="n">
        <v>45828</v>
      </c>
      <c r="BB131" s="7" t="n">
        <f aca="false">IF(ISBLANK(BA131),"No Follow Up Needed",BA131)</f>
        <v>45828</v>
      </c>
      <c r="BC131" s="0" t="s">
        <v>82</v>
      </c>
      <c r="BD131" s="0" t="str">
        <f aca="false">PROPER(IF(ISBLANK(BC131),"Unknown",BC131))</f>
        <v>Yes</v>
      </c>
      <c r="BE131" s="0" t="s">
        <v>116</v>
      </c>
      <c r="BF131" s="0" t="str">
        <f aca="false">IF(ISBLANK(BE131),"No comments",BE131)</f>
        <v>Needs tire alignment</v>
      </c>
      <c r="BG131" s="0" t="s">
        <v>117</v>
      </c>
      <c r="BH131" s="0" t="str">
        <f aca="false">IF(ISBLANK(BG131),"No comments",BG131)</f>
        <v>Prefers morning</v>
      </c>
      <c r="BI131" s="0" t="s">
        <v>50</v>
      </c>
      <c r="BJ131" s="0" t="str">
        <f aca="false">IF(ISBLANK(BI131),"Not Mentioned",BI131)</f>
        <v>No</v>
      </c>
      <c r="BK131" s="0" t="s">
        <v>63</v>
      </c>
      <c r="BL131" s="0" t="str">
        <f aca="false">PROPER(IF(ISBLANK(BK131),"Not Mentioned",BK131))</f>
        <v>Yes</v>
      </c>
      <c r="BN131" s="0" t="str">
        <f aca="false">PROPER(IF(ISBLANK(BM131),"Not Mentioned",BM131))</f>
        <v>Not Mentioned</v>
      </c>
      <c r="BO131" s="0" t="s">
        <v>64</v>
      </c>
      <c r="BP131" s="0" t="str">
        <f aca="false">IF(ISBLANK(BO131),"One-Time Plan",BO131)</f>
        <v>Gold Maintenance Plan</v>
      </c>
      <c r="BQ131" s="0" t="s">
        <v>198</v>
      </c>
      <c r="BR131" s="0" t="str">
        <f aca="false">PROPER(IF(ISBLANK(BQ131),"No",BQ131))</f>
        <v>Followed Up</v>
      </c>
    </row>
    <row r="132" customFormat="false" ht="15" hidden="false" customHeight="false" outlineLevel="0" collapsed="false">
      <c r="A132" s="0" t="s">
        <v>459</v>
      </c>
      <c r="B132" s="2" t="s">
        <v>458</v>
      </c>
      <c r="C132" s="2" t="str">
        <f aca="false">TEXT(B132,"dd/mm/yyyy")</f>
        <v>25/01/2025</v>
      </c>
      <c r="D132" s="0" t="s">
        <v>121</v>
      </c>
      <c r="E132" s="0" t="n">
        <v>8068212652</v>
      </c>
      <c r="F132" s="0" t="s">
        <v>122</v>
      </c>
      <c r="G132" s="0" t="s">
        <v>2316</v>
      </c>
      <c r="H132" s="0" t="s">
        <v>460</v>
      </c>
      <c r="I132" s="0" t="s">
        <v>45</v>
      </c>
      <c r="J132" s="0" t="s">
        <v>2317</v>
      </c>
      <c r="K132" s="3" t="str">
        <f aca="false" t="array" ref="K132:K132">IFERROR(IF(J132&lt;&gt;"",J132,INDEX(J132:J1131,MATCH(1,(F132:F1131=F132)*(I132:I1131=I132)*(L132:L1131=L132)*(J132:J1131&lt;&gt;""),0))),"Not Found")</f>
        <v>Suspension Noise</v>
      </c>
      <c r="L132" s="3" t="s">
        <v>108</v>
      </c>
      <c r="M132" s="0" t="str">
        <f aca="false">PROPER(L132)</f>
        <v>Timing Belt</v>
      </c>
      <c r="N132" s="3" t="s">
        <v>90</v>
      </c>
      <c r="O132" s="0" t="str">
        <f aca="false" t="array" ref="O132:O132">IF(N132&lt;&gt;"",N132,_xlfn.xlookup(1,(L132:L1131=L132)*(N132:N1131&lt;&gt;""),N132:N1131,"Not Found"))</f>
        <v>Musa</v>
      </c>
      <c r="P132" s="4" t="n">
        <v>85708</v>
      </c>
      <c r="Q132" s="0" t="s">
        <v>124</v>
      </c>
      <c r="R132" s="0" t="str">
        <f aca="false">PROPER(Q132)</f>
        <v>Cash</v>
      </c>
      <c r="S132" s="0" t="s">
        <v>50</v>
      </c>
      <c r="T132" s="0" t="n">
        <v>2</v>
      </c>
      <c r="U132" s="5" t="n">
        <f aca="false">IF(ISBLANK(T132),AVERAGE(T132:T1131),T132)</f>
        <v>2</v>
      </c>
      <c r="V132" s="0" t="n">
        <v>3.4</v>
      </c>
      <c r="W132" s="0" t="s">
        <v>111</v>
      </c>
      <c r="X132" s="0" t="str">
        <f aca="false">IF(ISBLANK(W132),"No remarks",W132)</f>
        <v>Changed all filters</v>
      </c>
      <c r="Y132" s="0" t="s">
        <v>52</v>
      </c>
      <c r="Z132" s="0" t="s">
        <v>136</v>
      </c>
      <c r="AA132" s="0" t="str">
        <f aca="false">PROPER(IF(ISBLANK(Z132),"Location Unavailable",Z132))</f>
        <v>Vip Section</v>
      </c>
      <c r="AB132" s="0" t="s">
        <v>95</v>
      </c>
      <c r="AC132" s="6" t="str">
        <f aca="false">PROPER(AB132)</f>
        <v>Road Sign</v>
      </c>
      <c r="AD132" s="6" t="n">
        <v>30</v>
      </c>
      <c r="AE132" s="5" t="n">
        <f aca="false">IF(ISBLANK(AD132),AVERAGEIF(L132:L1131,L132,AD132:AD1131),AD132)</f>
        <v>30</v>
      </c>
      <c r="AF132" s="0" t="s">
        <v>112</v>
      </c>
      <c r="AG132" s="0" t="str">
        <f aca="false">PROPER(AF132)</f>
        <v>Unavailable</v>
      </c>
      <c r="AH132" s="0" t="s">
        <v>155</v>
      </c>
      <c r="AI132" s="0" t="s">
        <v>98</v>
      </c>
      <c r="AJ132" s="0" t="str">
        <f aca="false">PROPER(AI132)</f>
        <v>Emergency</v>
      </c>
      <c r="AK132" s="0" t="s">
        <v>58</v>
      </c>
      <c r="AL132" s="0" t="str">
        <f aca="false">PROPER(AK132)</f>
        <v>Fleet Owner</v>
      </c>
      <c r="AN132" s="0" t="str">
        <f aca="false">IF(ISBLANK(AM132),"Unknown",AM132)</f>
        <v>Unknown</v>
      </c>
      <c r="AO132" s="0" t="s">
        <v>143</v>
      </c>
      <c r="AP132" s="0" t="str">
        <f aca="false">IF(ISBLANK(AO132),"Unknown",AO132)</f>
        <v>Senior</v>
      </c>
      <c r="AQ132" s="0" t="n">
        <v>20000</v>
      </c>
      <c r="AR132" s="5" t="n">
        <f aca="false">IF(ISBLANK(AQ132),AVERAGEIF(M132:M1131,M132,AQ132:AQ1131),AQ132)</f>
        <v>20000</v>
      </c>
      <c r="AT132" s="5" t="n">
        <f aca="false">IF(ISBLANK(AS132),AVERAGE(AS132:AS1131),AS132)</f>
        <v>31474.2698191933</v>
      </c>
      <c r="AU132" s="0" t="s">
        <v>61</v>
      </c>
      <c r="AV132" s="0" t="str">
        <f aca="false">PROPER(IF(ISBLANK(AU132),"No",AU132))</f>
        <v>No</v>
      </c>
      <c r="AW132" s="0" t="n">
        <v>0</v>
      </c>
      <c r="AX132" s="5" t="n">
        <f aca="false">IF(ISBLANK(AW132),0,AW132)</f>
        <v>0</v>
      </c>
      <c r="AZ132" s="0" t="str">
        <f aca="false">UPPER(IF(ISBLANK(AY132),"NONE",AY132))</f>
        <v>NONE</v>
      </c>
      <c r="BA132" s="7" t="n">
        <v>45829</v>
      </c>
      <c r="BB132" s="7" t="n">
        <f aca="false">IF(ISBLANK(BA132),"No Follow Up Needed",BA132)</f>
        <v>45829</v>
      </c>
      <c r="BC132" s="0" t="s">
        <v>50</v>
      </c>
      <c r="BD132" s="0" t="str">
        <f aca="false">PROPER(IF(ISBLANK(BC132),"Unknown",BC132))</f>
        <v>No</v>
      </c>
      <c r="BF132" s="0" t="str">
        <f aca="false">IF(ISBLANK(BE132),"No comments",BE132)</f>
        <v>No comments</v>
      </c>
      <c r="BG132" s="0" t="s">
        <v>2320</v>
      </c>
      <c r="BH132" s="0" t="str">
        <f aca="false">IF(ISBLANK(BG132),"No comments",BG132)</f>
        <v>No complaints</v>
      </c>
      <c r="BI132" s="0" t="s">
        <v>63</v>
      </c>
      <c r="BJ132" s="0" t="str">
        <f aca="false">IF(ISBLANK(BI132),"Not Mentioned",BI132)</f>
        <v>Yes</v>
      </c>
      <c r="BL132" s="0" t="str">
        <f aca="false">PROPER(IF(ISBLANK(BK132),"Not Mentioned",BK132))</f>
        <v>Not Mentioned</v>
      </c>
      <c r="BM132" s="0" t="s">
        <v>63</v>
      </c>
      <c r="BN132" s="0" t="str">
        <f aca="false">PROPER(IF(ISBLANK(BM132),"Not Mentioned",BM132))</f>
        <v>Yes</v>
      </c>
      <c r="BO132" s="0" t="s">
        <v>64</v>
      </c>
      <c r="BP132" s="0" t="str">
        <f aca="false">IF(ISBLANK(BO132),"One-Time Plan",BO132)</f>
        <v>Gold Maintenance Plan</v>
      </c>
      <c r="BQ132" s="0" t="s">
        <v>50</v>
      </c>
      <c r="BR132" s="0" t="str">
        <f aca="false">PROPER(IF(ISBLANK(BQ132),"No",BQ132))</f>
        <v>No</v>
      </c>
    </row>
    <row r="133" customFormat="false" ht="15" hidden="false" customHeight="false" outlineLevel="0" collapsed="false">
      <c r="A133" s="0" t="s">
        <v>461</v>
      </c>
      <c r="B133" s="2" t="n">
        <v>45667</v>
      </c>
      <c r="C133" s="2" t="str">
        <f aca="false">TEXT(B133,"dd/mm/yyyy")</f>
        <v>10/01/2025</v>
      </c>
      <c r="D133" s="0" t="s">
        <v>66</v>
      </c>
      <c r="E133" s="0" t="n">
        <v>8018774822</v>
      </c>
      <c r="F133" s="0" t="s">
        <v>85</v>
      </c>
      <c r="G133" s="0" t="s">
        <v>2319</v>
      </c>
      <c r="H133" s="0" t="s">
        <v>462</v>
      </c>
      <c r="I133" s="0" t="s">
        <v>107</v>
      </c>
      <c r="J133" s="0" t="s">
        <v>2317</v>
      </c>
      <c r="K133" s="3" t="str">
        <f aca="false" t="array" ref="K133:K133">IFERROR(IF(J133&lt;&gt;"",J133,INDEX(J133:J1132,MATCH(1,(F133:F1132=F133)*(I133:I1132=I133)*(L133:L1132=L133)*(J133:J1132&lt;&gt;""),0))),"Not Found")</f>
        <v>Suspension Noise</v>
      </c>
      <c r="L133" s="3" t="s">
        <v>47</v>
      </c>
      <c r="M133" s="0" t="str">
        <f aca="false">PROPER(L133)</f>
        <v>None</v>
      </c>
      <c r="N133" s="3" t="s">
        <v>90</v>
      </c>
      <c r="O133" s="0" t="str">
        <f aca="false" t="array" ref="O133:O133">IF(N133&lt;&gt;"",N133,_xlfn.xlookup(1,(L133:L1132=L133)*(N133:N1132&lt;&gt;""),N133:N1132,"Not Found"))</f>
        <v>Musa</v>
      </c>
      <c r="P133" s="4" t="n">
        <v>116268</v>
      </c>
      <c r="Q133" s="0" t="s">
        <v>91</v>
      </c>
      <c r="R133" s="0" t="str">
        <f aca="false">PROPER(Q133)</f>
        <v>Pos</v>
      </c>
      <c r="S133" s="0" t="s">
        <v>63</v>
      </c>
      <c r="U133" s="5" t="n">
        <f aca="false">IF(ISBLANK(T133),AVERAGE(T133:T1132),T133)</f>
        <v>2.99722991689751</v>
      </c>
      <c r="V133" s="0" t="n">
        <v>2.6</v>
      </c>
      <c r="W133" s="0" t="s">
        <v>111</v>
      </c>
      <c r="X133" s="0" t="str">
        <f aca="false">IF(ISBLANK(W133),"No remarks",W133)</f>
        <v>Changed all filters</v>
      </c>
      <c r="Y133" s="0" t="s">
        <v>52</v>
      </c>
      <c r="Z133" s="0" t="s">
        <v>74</v>
      </c>
      <c r="AA133" s="0" t="str">
        <f aca="false">PROPER(IF(ISBLANK(Z133),"Location Unavailable",Z133))</f>
        <v>Under Tree</v>
      </c>
      <c r="AB133" s="0" t="s">
        <v>126</v>
      </c>
      <c r="AC133" s="6" t="str">
        <f aca="false">PROPER(AB133)</f>
        <v>Whatsapp</v>
      </c>
      <c r="AD133" s="6" t="n">
        <v>45</v>
      </c>
      <c r="AE133" s="5" t="n">
        <f aca="false">IF(ISBLANK(AD133),AVERAGEIF(L133:L1132,L133,AD133:AD1132),AD133)</f>
        <v>45</v>
      </c>
      <c r="AF133" s="0" t="s">
        <v>76</v>
      </c>
      <c r="AG133" s="0" t="str">
        <f aca="false">PROPER(AF133)</f>
        <v>Orderd</v>
      </c>
      <c r="AH133" s="0" t="s">
        <v>155</v>
      </c>
      <c r="AI133" s="0" t="s">
        <v>113</v>
      </c>
      <c r="AJ133" s="0" t="str">
        <f aca="false">PROPER(AI133)</f>
        <v>Normal</v>
      </c>
      <c r="AK133" s="0" t="s">
        <v>58</v>
      </c>
      <c r="AL133" s="0" t="str">
        <f aca="false">PROPER(AK133)</f>
        <v>Fleet Owner</v>
      </c>
      <c r="AM133" s="0" t="s">
        <v>2324</v>
      </c>
      <c r="AN133" s="0" t="str">
        <f aca="false">IF(ISBLANK(AM133),"Unknown",AM133)</f>
        <v>Logistics Convoy</v>
      </c>
      <c r="AO133" s="0" t="s">
        <v>161</v>
      </c>
      <c r="AP133" s="0" t="str">
        <f aca="false">IF(ISBLANK(AO133),"Unknown",AO133)</f>
        <v>Apprentice</v>
      </c>
      <c r="AQ133" s="0" t="n">
        <v>25000</v>
      </c>
      <c r="AR133" s="5" t="n">
        <f aca="false">IF(ISBLANK(AQ133),AVERAGEIF(M133:M1132,M133,AQ133:AQ1132),AQ133)</f>
        <v>25000</v>
      </c>
      <c r="AS133" s="0" t="n">
        <v>40000</v>
      </c>
      <c r="AT133" s="5" t="n">
        <f aca="false">IF(ISBLANK(AS133),AVERAGE(AS133:AS1132),AS133)</f>
        <v>40000</v>
      </c>
      <c r="AV133" s="0" t="str">
        <f aca="false">PROPER(IF(ISBLANK(AU133),"No",AU133))</f>
        <v>No</v>
      </c>
      <c r="AW133" s="0" t="n">
        <v>5000</v>
      </c>
      <c r="AX133" s="5" t="n">
        <f aca="false">IF(ISBLANK(AW133),0,AW133)</f>
        <v>5000</v>
      </c>
      <c r="AY133" s="0" t="s">
        <v>184</v>
      </c>
      <c r="AZ133" s="0" t="str">
        <f aca="false">UPPER(IF(ISBLANK(AY133),"NONE",AY133))</f>
        <v>N/A</v>
      </c>
      <c r="BB133" s="7" t="str">
        <f aca="false">IF(ISBLANK(BA133),"No Follow Up Needed",BA133)</f>
        <v>No Follow Up Needed</v>
      </c>
      <c r="BC133" s="0" t="s">
        <v>50</v>
      </c>
      <c r="BD133" s="0" t="str">
        <f aca="false">PROPER(IF(ISBLANK(BC133),"Unknown",BC133))</f>
        <v>No</v>
      </c>
      <c r="BE133" s="0" t="s">
        <v>116</v>
      </c>
      <c r="BF133" s="0" t="str">
        <f aca="false">IF(ISBLANK(BE133),"No comments",BE133)</f>
        <v>Needs tire alignment</v>
      </c>
      <c r="BG133" s="0" t="s">
        <v>117</v>
      </c>
      <c r="BH133" s="0" t="str">
        <f aca="false">IF(ISBLANK(BG133),"No comments",BG133)</f>
        <v>Prefers morning</v>
      </c>
      <c r="BI133" s="0" t="s">
        <v>50</v>
      </c>
      <c r="BJ133" s="0" t="str">
        <f aca="false">IF(ISBLANK(BI133),"Not Mentioned",BI133)</f>
        <v>No</v>
      </c>
      <c r="BK133" s="0" t="s">
        <v>61</v>
      </c>
      <c r="BL133" s="0" t="str">
        <f aca="false">PROPER(IF(ISBLANK(BK133),"Not Mentioned",BK133))</f>
        <v>No</v>
      </c>
      <c r="BM133" s="0" t="s">
        <v>50</v>
      </c>
      <c r="BN133" s="0" t="str">
        <f aca="false">PROPER(IF(ISBLANK(BM133),"Not Mentioned",BM133))</f>
        <v>No</v>
      </c>
      <c r="BO133" s="0" t="s">
        <v>2321</v>
      </c>
      <c r="BP133" s="0" t="str">
        <f aca="false">IF(ISBLANK(BO133),"One-Time Plan",BO133)</f>
        <v>One-Time Plan</v>
      </c>
      <c r="BQ133" s="0" t="s">
        <v>63</v>
      </c>
      <c r="BR133" s="0" t="str">
        <f aca="false">PROPER(IF(ISBLANK(BQ133),"No",BQ133))</f>
        <v>Yes</v>
      </c>
    </row>
    <row r="134" customFormat="false" ht="15" hidden="false" customHeight="false" outlineLevel="0" collapsed="false">
      <c r="A134" s="0" t="s">
        <v>464</v>
      </c>
      <c r="B134" s="2" t="s">
        <v>463</v>
      </c>
      <c r="C134" s="2" t="str">
        <f aca="false">TEXT(B134,"dd/mm/yyyy")</f>
        <v>31/01/2025</v>
      </c>
      <c r="D134" s="0" t="s">
        <v>163</v>
      </c>
      <c r="E134" s="0" t="n">
        <v>8025903904</v>
      </c>
      <c r="F134" s="0" t="s">
        <v>43</v>
      </c>
      <c r="G134" s="0" t="s">
        <v>2315</v>
      </c>
      <c r="H134" s="0" t="s">
        <v>465</v>
      </c>
      <c r="I134" s="0" t="s">
        <v>87</v>
      </c>
      <c r="J134" s="0" t="s">
        <v>2325</v>
      </c>
      <c r="K134" s="3" t="str">
        <f aca="false" t="array" ref="K134:K134">IFERROR(IF(J134&lt;&gt;"",J134,INDEX(J134:J1133,MATCH(1,(F134:F1133=F134)*(I134:I1133=I134)*(L134:L1133=L134)*(J134:J1133&lt;&gt;""),0))),"Not Found")</f>
        <v>Engine Knocking</v>
      </c>
      <c r="L134" s="3" t="s">
        <v>189</v>
      </c>
      <c r="M134" s="0" t="str">
        <f aca="false">PROPER(L134)</f>
        <v>Battery</v>
      </c>
      <c r="N134" s="3" t="s">
        <v>90</v>
      </c>
      <c r="O134" s="0" t="str">
        <f aca="false" t="array" ref="O134:O134">IF(N134&lt;&gt;"",N134,_xlfn.xlookup(1,(L134:L1133=L134)*(N134:N1133&lt;&gt;""),N134:N1133,"Not Found"))</f>
        <v>Musa</v>
      </c>
      <c r="P134" s="4" t="n">
        <v>111571</v>
      </c>
      <c r="Q134" s="0" t="s">
        <v>124</v>
      </c>
      <c r="R134" s="0" t="str">
        <f aca="false">PROPER(Q134)</f>
        <v>Cash</v>
      </c>
      <c r="S134" s="0" t="s">
        <v>50</v>
      </c>
      <c r="T134" s="0" t="n">
        <v>3</v>
      </c>
      <c r="U134" s="5" t="n">
        <f aca="false">IF(ISBLANK(T134),AVERAGE(T134:T1133),T134)</f>
        <v>3</v>
      </c>
      <c r="V134" s="0" t="n">
        <v>3.1</v>
      </c>
      <c r="X134" s="0" t="str">
        <f aca="false">IF(ISBLANK(W134),"No remarks",W134)</f>
        <v>No remarks</v>
      </c>
      <c r="Y134" s="0" t="s">
        <v>73</v>
      </c>
      <c r="Z134" s="0" t="s">
        <v>74</v>
      </c>
      <c r="AA134" s="0" t="str">
        <f aca="false">PROPER(IF(ISBLANK(Z134),"Location Unavailable",Z134))</f>
        <v>Under Tree</v>
      </c>
      <c r="AB134" s="0" t="s">
        <v>95</v>
      </c>
      <c r="AC134" s="6" t="str">
        <f aca="false">PROPER(AB134)</f>
        <v>Road Sign</v>
      </c>
      <c r="AD134" s="6" t="n">
        <v>30</v>
      </c>
      <c r="AE134" s="5" t="n">
        <f aca="false">IF(ISBLANK(AD134),AVERAGEIF(L134:L1133,L134,AD134:AD1133),AD134)</f>
        <v>30</v>
      </c>
      <c r="AF134" s="0" t="s">
        <v>55</v>
      </c>
      <c r="AG134" s="0" t="str">
        <f aca="false">PROPER(AF134)</f>
        <v>Available</v>
      </c>
      <c r="AH134" s="0" t="s">
        <v>155</v>
      </c>
      <c r="AI134" s="0" t="s">
        <v>98</v>
      </c>
      <c r="AJ134" s="0" t="str">
        <f aca="false">PROPER(AI134)</f>
        <v>Emergency</v>
      </c>
      <c r="AK134" s="0" t="s">
        <v>196</v>
      </c>
      <c r="AL134" s="0" t="str">
        <f aca="false">PROPER(AK134)</f>
        <v>First Time</v>
      </c>
      <c r="AM134" s="0" t="s">
        <v>177</v>
      </c>
      <c r="AN134" s="0" t="str">
        <f aca="false">IF(ISBLANK(AM134),"Unknown",AM134)</f>
        <v>Private</v>
      </c>
      <c r="AO134" s="0" t="s">
        <v>143</v>
      </c>
      <c r="AP134" s="0" t="str">
        <f aca="false">IF(ISBLANK(AO134),"Unknown",AO134)</f>
        <v>Senior</v>
      </c>
      <c r="AQ134" s="0" t="n">
        <v>15000</v>
      </c>
      <c r="AR134" s="5" t="n">
        <f aca="false">IF(ISBLANK(AQ134),AVERAGEIF(M134:M1133,M134,AQ134:AQ1133),AQ134)</f>
        <v>15000</v>
      </c>
      <c r="AS134" s="0" t="n">
        <v>30000</v>
      </c>
      <c r="AT134" s="5" t="n">
        <f aca="false">IF(ISBLANK(AS134),AVERAGE(AS134:AS1133),AS134)</f>
        <v>30000</v>
      </c>
      <c r="AV134" s="0" t="str">
        <f aca="false">PROPER(IF(ISBLANK(AU134),"No",AU134))</f>
        <v>No</v>
      </c>
      <c r="AW134" s="0" t="n">
        <v>5000</v>
      </c>
      <c r="AX134" s="5" t="n">
        <f aca="false">IF(ISBLANK(AW134),0,AW134)</f>
        <v>5000</v>
      </c>
      <c r="AY134" s="0" t="s">
        <v>184</v>
      </c>
      <c r="AZ134" s="0" t="str">
        <f aca="false">UPPER(IF(ISBLANK(AY134),"NONE",AY134))</f>
        <v>N/A</v>
      </c>
      <c r="BB134" s="7" t="str">
        <f aca="false">IF(ISBLANK(BA134),"No Follow Up Needed",BA134)</f>
        <v>No Follow Up Needed</v>
      </c>
      <c r="BC134" s="0" t="s">
        <v>61</v>
      </c>
      <c r="BD134" s="0" t="str">
        <f aca="false">PROPER(IF(ISBLANK(BC134),"Unknown",BC134))</f>
        <v>No</v>
      </c>
      <c r="BE134" s="0" t="s">
        <v>171</v>
      </c>
      <c r="BF134" s="0" t="str">
        <f aca="false">IF(ISBLANK(BE134),"No comments",BE134)</f>
        <v>Shock absorber weakening</v>
      </c>
      <c r="BH134" s="0" t="str">
        <f aca="false">IF(ISBLANK(BG134),"No comments",BG134)</f>
        <v>No comments</v>
      </c>
      <c r="BI134" s="0" t="s">
        <v>50</v>
      </c>
      <c r="BJ134" s="0" t="str">
        <f aca="false">IF(ISBLANK(BI134),"Not Mentioned",BI134)</f>
        <v>No</v>
      </c>
      <c r="BK134" s="0" t="s">
        <v>82</v>
      </c>
      <c r="BL134" s="0" t="str">
        <f aca="false">PROPER(IF(ISBLANK(BK134),"Not Mentioned",BK134))</f>
        <v>Yes</v>
      </c>
      <c r="BN134" s="0" t="str">
        <f aca="false">PROPER(IF(ISBLANK(BM134),"Not Mentioned",BM134))</f>
        <v>Not Mentioned</v>
      </c>
      <c r="BP134" s="0" t="str">
        <f aca="false">IF(ISBLANK(BO134),"One-Time Plan",BO134)</f>
        <v>One-Time Plan</v>
      </c>
      <c r="BQ134" s="0" t="s">
        <v>190</v>
      </c>
      <c r="BR134" s="0" t="str">
        <f aca="false">PROPER(IF(ISBLANK(BQ134),"No",BQ134))</f>
        <v>Yes</v>
      </c>
    </row>
    <row r="135" customFormat="false" ht="15" hidden="false" customHeight="false" outlineLevel="0" collapsed="false">
      <c r="A135" s="0" t="s">
        <v>466</v>
      </c>
      <c r="B135" s="2" t="n">
        <v>45691</v>
      </c>
      <c r="C135" s="2" t="str">
        <f aca="false">TEXT(B135,"dd/mm/yyyy")</f>
        <v>03/02/2025</v>
      </c>
      <c r="D135" s="0" t="s">
        <v>163</v>
      </c>
      <c r="E135" s="0" t="n">
        <v>8029385367</v>
      </c>
      <c r="F135" s="0" t="s">
        <v>85</v>
      </c>
      <c r="G135" s="0" t="s">
        <v>2319</v>
      </c>
      <c r="H135" s="0" t="s">
        <v>467</v>
      </c>
      <c r="I135" s="0" t="s">
        <v>69</v>
      </c>
      <c r="J135" s="0" t="s">
        <v>87</v>
      </c>
      <c r="K135" s="3" t="str">
        <f aca="false" t="array" ref="K135:K135">IFERROR(IF(J135&lt;&gt;"",J135,INDEX(J135:J1134,MATCH(1,(F135:F1134=F135)*(I135:I1134=I135)*(L135:L1134=L135)*(J135:J1134&lt;&gt;""),0))),"Not Found")</f>
        <v>Oil Change</v>
      </c>
      <c r="L135" s="3" t="s">
        <v>154</v>
      </c>
      <c r="M135" s="0" t="str">
        <f aca="false">PROPER(L135)</f>
        <v>Air Filter</v>
      </c>
      <c r="N135" s="3" t="s">
        <v>71</v>
      </c>
      <c r="O135" s="0" t="str">
        <f aca="false" t="array" ref="O135:O135">IF(N135&lt;&gt;"",N135,_xlfn.xlookup(1,(L135:L1134=L135)*(N135:N1134&lt;&gt;""),N135:N1134,"Not Found"))</f>
        <v>Isaac Bobo</v>
      </c>
      <c r="P135" s="4" t="n">
        <v>75289</v>
      </c>
      <c r="Q135" s="0" t="s">
        <v>72</v>
      </c>
      <c r="R135" s="0" t="str">
        <f aca="false">PROPER(Q135)</f>
        <v>Pos</v>
      </c>
      <c r="S135" s="0" t="s">
        <v>63</v>
      </c>
      <c r="T135" s="0" t="n">
        <v>1</v>
      </c>
      <c r="U135" s="5" t="n">
        <f aca="false">IF(ISBLANK(T135),AVERAGE(T135:T1134),T135)</f>
        <v>1</v>
      </c>
      <c r="V135" s="0" t="n">
        <v>1.9</v>
      </c>
      <c r="W135" s="0" t="s">
        <v>92</v>
      </c>
      <c r="X135" s="0" t="str">
        <f aca="false">IF(ISBLANK(W135),"No remarks",W135)</f>
        <v>Urgent service</v>
      </c>
      <c r="Y135" s="0" t="s">
        <v>52</v>
      </c>
      <c r="AA135" s="0" t="str">
        <f aca="false">PROPER(IF(ISBLANK(Z135),"Location Unavailable",Z135))</f>
        <v>Location Unavailable</v>
      </c>
      <c r="AB135" s="0" t="s">
        <v>54</v>
      </c>
      <c r="AC135" s="6" t="str">
        <f aca="false">PROPER(AB135)</f>
        <v>Mechanic Referral</v>
      </c>
      <c r="AD135" s="6" t="n">
        <v>45</v>
      </c>
      <c r="AE135" s="5" t="n">
        <f aca="false">IF(ISBLANK(AD135),AVERAGEIF(L135:L1134,L135,AD135:AD1134),AD135)</f>
        <v>45</v>
      </c>
      <c r="AF135" s="0" t="s">
        <v>76</v>
      </c>
      <c r="AG135" s="0" t="str">
        <f aca="false">PROPER(AF135)</f>
        <v>Orderd</v>
      </c>
      <c r="AH135" s="0" t="s">
        <v>148</v>
      </c>
      <c r="AI135" s="0" t="s">
        <v>98</v>
      </c>
      <c r="AJ135" s="0" t="str">
        <f aca="false">PROPER(AI135)</f>
        <v>Emergency</v>
      </c>
      <c r="AK135" s="0" t="s">
        <v>114</v>
      </c>
      <c r="AL135" s="0" t="str">
        <f aca="false">PROPER(AK135)</f>
        <v>Returning</v>
      </c>
      <c r="AM135" s="0" t="s">
        <v>2326</v>
      </c>
      <c r="AN135" s="0" t="str">
        <f aca="false">IF(ISBLANK(AM135),"Unknown",AM135)</f>
        <v>Government Convoy</v>
      </c>
      <c r="AO135" s="0" t="s">
        <v>79</v>
      </c>
      <c r="AP135" s="0" t="str">
        <f aca="false">IF(ISBLANK(AO135),"Unknown",AO135)</f>
        <v>Specialist</v>
      </c>
      <c r="AQ135" s="0" t="n">
        <v>40000</v>
      </c>
      <c r="AR135" s="5" t="n">
        <f aca="false">IF(ISBLANK(AQ135),AVERAGEIF(M135:M1134,M135,AQ135:AQ1134),AQ135)</f>
        <v>40000</v>
      </c>
      <c r="AS135" s="0" t="n">
        <v>40000</v>
      </c>
      <c r="AT135" s="5" t="n">
        <f aca="false">IF(ISBLANK(AS135),AVERAGE(AS135:AS1134),AS135)</f>
        <v>40000</v>
      </c>
      <c r="AU135" s="0" t="s">
        <v>61</v>
      </c>
      <c r="AV135" s="0" t="str">
        <f aca="false">PROPER(IF(ISBLANK(AU135),"No",AU135))</f>
        <v>No</v>
      </c>
      <c r="AW135" s="0" t="n">
        <v>0</v>
      </c>
      <c r="AX135" s="5" t="n">
        <f aca="false">IF(ISBLANK(AW135),0,AW135)</f>
        <v>0</v>
      </c>
      <c r="AY135" s="0" t="s">
        <v>130</v>
      </c>
      <c r="AZ135" s="0" t="str">
        <f aca="false">UPPER(IF(ISBLANK(AY135),"NONE",AY135))</f>
        <v>LOYALTY10</v>
      </c>
      <c r="BA135" s="7" t="n">
        <v>45894</v>
      </c>
      <c r="BB135" s="7" t="n">
        <f aca="false">IF(ISBLANK(BA135),"No Follow Up Needed",BA135)</f>
        <v>45894</v>
      </c>
      <c r="BC135" s="0" t="s">
        <v>61</v>
      </c>
      <c r="BD135" s="0" t="str">
        <f aca="false">PROPER(IF(ISBLANK(BC135),"Unknown",BC135))</f>
        <v>No</v>
      </c>
      <c r="BE135" s="0" t="s">
        <v>171</v>
      </c>
      <c r="BF135" s="0" t="str">
        <f aca="false">IF(ISBLANK(BE135),"No comments",BE135)</f>
        <v>Shock absorber weakening</v>
      </c>
      <c r="BH135" s="0" t="str">
        <f aca="false">IF(ISBLANK(BG135),"No comments",BG135)</f>
        <v>No comments</v>
      </c>
      <c r="BJ135" s="0" t="str">
        <f aca="false">IF(ISBLANK(BI135),"Not Mentioned",BI135)</f>
        <v>Not Mentioned</v>
      </c>
      <c r="BK135" s="0" t="s">
        <v>61</v>
      </c>
      <c r="BL135" s="0" t="str">
        <f aca="false">PROPER(IF(ISBLANK(BK135),"Not Mentioned",BK135))</f>
        <v>No</v>
      </c>
      <c r="BM135" s="0" t="s">
        <v>63</v>
      </c>
      <c r="BN135" s="0" t="str">
        <f aca="false">PROPER(IF(ISBLANK(BM135),"Not Mentioned",BM135))</f>
        <v>Yes</v>
      </c>
      <c r="BO135" s="0" t="s">
        <v>64</v>
      </c>
      <c r="BP135" s="0" t="str">
        <f aca="false">IF(ISBLANK(BO135),"One-Time Plan",BO135)</f>
        <v>Gold Maintenance Plan</v>
      </c>
      <c r="BQ135" s="0" t="s">
        <v>50</v>
      </c>
      <c r="BR135" s="0" t="str">
        <f aca="false">PROPER(IF(ISBLANK(BQ135),"No",BQ135))</f>
        <v>No</v>
      </c>
    </row>
    <row r="136" customFormat="false" ht="15" hidden="false" customHeight="false" outlineLevel="0" collapsed="false">
      <c r="A136" s="0" t="s">
        <v>469</v>
      </c>
      <c r="B136" s="2" t="s">
        <v>468</v>
      </c>
      <c r="C136" s="2" t="str">
        <f aca="false">TEXT(B136,"dd/mm/yyyy")</f>
        <v>14/05/2025</v>
      </c>
      <c r="D136" s="0" t="s">
        <v>121</v>
      </c>
      <c r="E136" s="0" t="n">
        <v>8027554964</v>
      </c>
      <c r="F136" s="0" t="s">
        <v>139</v>
      </c>
      <c r="G136" s="0" t="s">
        <v>2323</v>
      </c>
      <c r="H136" s="0" t="s">
        <v>470</v>
      </c>
      <c r="I136" s="0" t="s">
        <v>134</v>
      </c>
      <c r="J136" s="0" t="s">
        <v>2317</v>
      </c>
      <c r="K136" s="3" t="str">
        <f aca="false" t="array" ref="K136:K136">IFERROR(IF(J136&lt;&gt;"",J136,INDEX(J136:J1135,MATCH(1,(F136:F1135=F136)*(I136:I1135=I136)*(L136:L1135=L136)*(J136:J1135&lt;&gt;""),0))),"Not Found")</f>
        <v>Suspension Noise</v>
      </c>
      <c r="L136" s="3" t="s">
        <v>47</v>
      </c>
      <c r="M136" s="0" t="str">
        <f aca="false">PROPER(L136)</f>
        <v>None</v>
      </c>
      <c r="O136" s="0" t="e">
        <f aca="false" t="array" ref="O136:O136">IF(N136&lt;&gt;"",N136,_xlfn.xlookup(1,(L136:L1135=L136)*(N136:N1135&lt;&gt;""),N136:N1135,"Not Found"))</f>
        <v>#NAME?</v>
      </c>
      <c r="P136" s="4" t="n">
        <v>90112</v>
      </c>
      <c r="Q136" s="0" t="s">
        <v>110</v>
      </c>
      <c r="R136" s="0" t="str">
        <f aca="false">PROPER(Q136)</f>
        <v>Cash</v>
      </c>
      <c r="S136" s="0" t="s">
        <v>63</v>
      </c>
      <c r="T136" s="0" t="n">
        <v>2</v>
      </c>
      <c r="U136" s="5" t="n">
        <f aca="false">IF(ISBLANK(T136),AVERAGE(T136:T1135),T136)</f>
        <v>2</v>
      </c>
      <c r="V136" s="0" t="n">
        <v>5.7</v>
      </c>
      <c r="W136" s="0" t="s">
        <v>51</v>
      </c>
      <c r="X136" s="0" t="str">
        <f aca="false">IF(ISBLANK(W136),"No remarks",W136)</f>
        <v>Recommended further checks</v>
      </c>
      <c r="Y136" s="0" t="s">
        <v>93</v>
      </c>
      <c r="Z136" s="0" t="s">
        <v>159</v>
      </c>
      <c r="AA136" s="0" t="str">
        <f aca="false">PROPER(IF(ISBLANK(Z136),"Location Unavailable",Z136))</f>
        <v>Main Bay</v>
      </c>
      <c r="AB136" s="0" t="s">
        <v>95</v>
      </c>
      <c r="AC136" s="6" t="str">
        <f aca="false">PROPER(AB136)</f>
        <v>Road Sign</v>
      </c>
      <c r="AD136" s="6" t="n">
        <v>30</v>
      </c>
      <c r="AE136" s="5" t="n">
        <f aca="false">IF(ISBLANK(AD136),AVERAGEIF(L136:L1135,L136,AD136:AD1135),AD136)</f>
        <v>30</v>
      </c>
      <c r="AF136" s="0" t="s">
        <v>96</v>
      </c>
      <c r="AG136" s="0" t="str">
        <f aca="false">PROPER(AF136)</f>
        <v>Ordered</v>
      </c>
      <c r="AH136" s="0" t="s">
        <v>77</v>
      </c>
      <c r="AI136" s="0" t="s">
        <v>78</v>
      </c>
      <c r="AJ136" s="0" t="str">
        <f aca="false">PROPER(AI136)</f>
        <v>Booking</v>
      </c>
      <c r="AK136" s="0" t="s">
        <v>99</v>
      </c>
      <c r="AL136" s="0" t="str">
        <f aca="false">PROPER(AK136)</f>
        <v>Uber Driver</v>
      </c>
      <c r="AM136" s="0" t="s">
        <v>177</v>
      </c>
      <c r="AN136" s="0" t="str">
        <f aca="false">IF(ISBLANK(AM136),"Unknown",AM136)</f>
        <v>Private</v>
      </c>
      <c r="AO136" s="0" t="s">
        <v>143</v>
      </c>
      <c r="AP136" s="0" t="str">
        <f aca="false">IF(ISBLANK(AO136),"Unknown",AO136)</f>
        <v>Senior</v>
      </c>
      <c r="AQ136" s="0" t="n">
        <v>25000</v>
      </c>
      <c r="AR136" s="5" t="n">
        <f aca="false">IF(ISBLANK(AQ136),AVERAGEIF(M136:M1135,M136,AQ136:AQ1135),AQ136)</f>
        <v>25000</v>
      </c>
      <c r="AS136" s="0" t="n">
        <v>35000</v>
      </c>
      <c r="AT136" s="5" t="n">
        <f aca="false">IF(ISBLANK(AS136),AVERAGE(AS136:AS1135),AS136)</f>
        <v>35000</v>
      </c>
      <c r="AU136" s="0" t="s">
        <v>82</v>
      </c>
      <c r="AV136" s="0" t="str">
        <f aca="false">PROPER(IF(ISBLANK(AU136),"No",AU136))</f>
        <v>Yes</v>
      </c>
      <c r="AW136" s="0" t="n">
        <v>10000</v>
      </c>
      <c r="AX136" s="5" t="n">
        <f aca="false">IF(ISBLANK(AW136),0,AW136)</f>
        <v>10000</v>
      </c>
      <c r="AY136" s="0" t="s">
        <v>60</v>
      </c>
      <c r="AZ136" s="0" t="str">
        <f aca="false">UPPER(IF(ISBLANK(AY136),"NONE",AY136))</f>
        <v>NONE</v>
      </c>
      <c r="BB136" s="7" t="str">
        <f aca="false">IF(ISBLANK(BA136),"No Follow Up Needed",BA136)</f>
        <v>No Follow Up Needed</v>
      </c>
      <c r="BC136" s="0" t="s">
        <v>50</v>
      </c>
      <c r="BD136" s="0" t="str">
        <f aca="false">PROPER(IF(ISBLANK(BC136),"Unknown",BC136))</f>
        <v>No</v>
      </c>
      <c r="BF136" s="0" t="str">
        <f aca="false">IF(ISBLANK(BE136),"No comments",BE136)</f>
        <v>No comments</v>
      </c>
      <c r="BH136" s="0" t="str">
        <f aca="false">IF(ISBLANK(BG136),"No comments",BG136)</f>
        <v>No comments</v>
      </c>
      <c r="BI136" s="0" t="s">
        <v>63</v>
      </c>
      <c r="BJ136" s="0" t="str">
        <f aca="false">IF(ISBLANK(BI136),"Not Mentioned",BI136)</f>
        <v>Yes</v>
      </c>
      <c r="BK136" s="0" t="s">
        <v>82</v>
      </c>
      <c r="BL136" s="0" t="str">
        <f aca="false">PROPER(IF(ISBLANK(BK136),"Not Mentioned",BK136))</f>
        <v>Yes</v>
      </c>
      <c r="BN136" s="0" t="str">
        <f aca="false">PROPER(IF(ISBLANK(BM136),"Not Mentioned",BM136))</f>
        <v>Not Mentioned</v>
      </c>
      <c r="BO136" s="0" t="s">
        <v>2318</v>
      </c>
      <c r="BP136" s="0" t="str">
        <f aca="false">IF(ISBLANK(BO136),"One-Time Plan",BO136)</f>
        <v>Gold</v>
      </c>
      <c r="BQ136" s="0" t="s">
        <v>63</v>
      </c>
      <c r="BR136" s="0" t="str">
        <f aca="false">PROPER(IF(ISBLANK(BQ136),"No",BQ136))</f>
        <v>Yes</v>
      </c>
    </row>
    <row r="137" customFormat="false" ht="15" hidden="false" customHeight="false" outlineLevel="0" collapsed="false">
      <c r="A137" s="0" t="s">
        <v>471</v>
      </c>
      <c r="B137" s="2" t="n">
        <v>45669</v>
      </c>
      <c r="C137" s="2" t="str">
        <f aca="false">TEXT(B137,"dd/mm/yyyy")</f>
        <v>12/01/2025</v>
      </c>
      <c r="D137" s="0" t="s">
        <v>42</v>
      </c>
      <c r="E137" s="0" t="n">
        <v>8035453201</v>
      </c>
      <c r="F137" s="0" t="s">
        <v>67</v>
      </c>
      <c r="G137" s="0" t="s">
        <v>2316</v>
      </c>
      <c r="H137" s="0" t="s">
        <v>472</v>
      </c>
      <c r="I137" s="0" t="s">
        <v>87</v>
      </c>
      <c r="J137" s="0" t="s">
        <v>2317</v>
      </c>
      <c r="K137" s="3" t="str">
        <f aca="false" t="array" ref="K137:K137">IFERROR(IF(J137&lt;&gt;"",J137,INDEX(J137:J1136,MATCH(1,(F137:F1136=F137)*(I137:I1136=I137)*(L137:L1136=L137)*(J137:J1136&lt;&gt;""),0))),"Not Found")</f>
        <v>Suspension Noise</v>
      </c>
      <c r="L137" s="3" t="s">
        <v>47</v>
      </c>
      <c r="M137" s="0" t="str">
        <f aca="false">PROPER(L137)</f>
        <v>None</v>
      </c>
      <c r="N137" s="3" t="s">
        <v>71</v>
      </c>
      <c r="O137" s="0" t="str">
        <f aca="false" t="array" ref="O137:O137">IF(N137&lt;&gt;"",N137,_xlfn.xlookup(1,(L137:L1136=L137)*(N137:N1136&lt;&gt;""),N137:N1136,"Not Found"))</f>
        <v>Isaac Bobo</v>
      </c>
      <c r="P137" s="4" t="n">
        <v>103780</v>
      </c>
      <c r="Q137" s="0" t="s">
        <v>49</v>
      </c>
      <c r="R137" s="0" t="str">
        <f aca="false">PROPER(Q137)</f>
        <v>Transfer</v>
      </c>
      <c r="S137" s="0" t="s">
        <v>50</v>
      </c>
      <c r="T137" s="0" t="n">
        <v>1</v>
      </c>
      <c r="U137" s="5" t="n">
        <f aca="false">IF(ISBLANK(T137),AVERAGE(T137:T1136),T137)</f>
        <v>1</v>
      </c>
      <c r="V137" s="0" t="n">
        <v>1.9</v>
      </c>
      <c r="X137" s="0" t="str">
        <f aca="false">IF(ISBLANK(W137),"No remarks",W137)</f>
        <v>No remarks</v>
      </c>
      <c r="Y137" s="0" t="s">
        <v>93</v>
      </c>
      <c r="Z137" s="0" t="s">
        <v>159</v>
      </c>
      <c r="AA137" s="0" t="str">
        <f aca="false">PROPER(IF(ISBLANK(Z137),"Location Unavailable",Z137))</f>
        <v>Main Bay</v>
      </c>
      <c r="AB137" s="0" t="s">
        <v>147</v>
      </c>
      <c r="AC137" s="6" t="str">
        <f aca="false">PROPER(AB137)</f>
        <v>Instagram</v>
      </c>
      <c r="AD137" s="6" t="n">
        <v>60</v>
      </c>
      <c r="AE137" s="5" t="n">
        <f aca="false">IF(ISBLANK(AD137),AVERAGEIF(L137:L1136,L137,AD137:AD1136),AD137)</f>
        <v>60</v>
      </c>
      <c r="AF137" s="0" t="s">
        <v>96</v>
      </c>
      <c r="AG137" s="0" t="str">
        <f aca="false">PROPER(AF137)</f>
        <v>Ordered</v>
      </c>
      <c r="AH137" s="0" t="s">
        <v>56</v>
      </c>
      <c r="AI137" s="0" t="s">
        <v>98</v>
      </c>
      <c r="AJ137" s="0" t="str">
        <f aca="false">PROPER(AI137)</f>
        <v>Emergency</v>
      </c>
      <c r="AK137" s="0" t="s">
        <v>58</v>
      </c>
      <c r="AL137" s="0" t="str">
        <f aca="false">PROPER(AK137)</f>
        <v>Fleet Owner</v>
      </c>
      <c r="AM137" s="0" t="s">
        <v>59</v>
      </c>
      <c r="AN137" s="0" t="str">
        <f aca="false">IF(ISBLANK(AM137),"Unknown",AM137)</f>
        <v>Bolt Driver</v>
      </c>
      <c r="AO137" s="0" t="s">
        <v>79</v>
      </c>
      <c r="AP137" s="0" t="str">
        <f aca="false">IF(ISBLANK(AO137),"Unknown",AO137)</f>
        <v>Specialist</v>
      </c>
      <c r="AQ137" s="0" t="n">
        <v>40000</v>
      </c>
      <c r="AR137" s="5" t="n">
        <f aca="false">IF(ISBLANK(AQ137),AVERAGEIF(M137:M1136,M137,AQ137:AQ1136),AQ137)</f>
        <v>40000</v>
      </c>
      <c r="AS137" s="0" t="n">
        <v>35000</v>
      </c>
      <c r="AT137" s="5" t="n">
        <f aca="false">IF(ISBLANK(AS137),AVERAGE(AS137:AS1136),AS137)</f>
        <v>35000</v>
      </c>
      <c r="AV137" s="0" t="str">
        <f aca="false">PROPER(IF(ISBLANK(AU137),"No",AU137))</f>
        <v>No</v>
      </c>
      <c r="AW137" s="0" t="n">
        <v>0</v>
      </c>
      <c r="AX137" s="5" t="n">
        <f aca="false">IF(ISBLANK(AW137),0,AW137)</f>
        <v>0</v>
      </c>
      <c r="AY137" s="0" t="s">
        <v>80</v>
      </c>
      <c r="AZ137" s="0" t="str">
        <f aca="false">UPPER(IF(ISBLANK(AY137),"NONE",AY137))</f>
        <v>PROMO10</v>
      </c>
      <c r="BA137" s="7" t="n">
        <v>45942</v>
      </c>
      <c r="BB137" s="7" t="n">
        <f aca="false">IF(ISBLANK(BA137),"No Follow Up Needed",BA137)</f>
        <v>45942</v>
      </c>
      <c r="BC137" s="0" t="s">
        <v>61</v>
      </c>
      <c r="BD137" s="0" t="str">
        <f aca="false">PROPER(IF(ISBLANK(BC137),"Unknown",BC137))</f>
        <v>No</v>
      </c>
      <c r="BF137" s="0" t="str">
        <f aca="false">IF(ISBLANK(BE137),"No comments",BE137)</f>
        <v>No comments</v>
      </c>
      <c r="BG137" s="0" t="s">
        <v>117</v>
      </c>
      <c r="BH137" s="0" t="str">
        <f aca="false">IF(ISBLANK(BG137),"No comments",BG137)</f>
        <v>Prefers morning</v>
      </c>
      <c r="BI137" s="0" t="s">
        <v>63</v>
      </c>
      <c r="BJ137" s="0" t="str">
        <f aca="false">IF(ISBLANK(BI137),"Not Mentioned",BI137)</f>
        <v>Yes</v>
      </c>
      <c r="BK137" s="0" t="s">
        <v>82</v>
      </c>
      <c r="BL137" s="0" t="str">
        <f aca="false">PROPER(IF(ISBLANK(BK137),"Not Mentioned",BK137))</f>
        <v>Yes</v>
      </c>
      <c r="BM137" s="0" t="s">
        <v>50</v>
      </c>
      <c r="BN137" s="0" t="str">
        <f aca="false">PROPER(IF(ISBLANK(BM137),"Not Mentioned",BM137))</f>
        <v>No</v>
      </c>
      <c r="BP137" s="0" t="str">
        <f aca="false">IF(ISBLANK(BO137),"One-Time Plan",BO137)</f>
        <v>One-Time Plan</v>
      </c>
      <c r="BQ137" s="0" t="s">
        <v>50</v>
      </c>
      <c r="BR137" s="0" t="str">
        <f aca="false">PROPER(IF(ISBLANK(BQ137),"No",BQ137))</f>
        <v>No</v>
      </c>
    </row>
    <row r="138" customFormat="false" ht="15" hidden="false" customHeight="false" outlineLevel="0" collapsed="false">
      <c r="A138" s="0" t="s">
        <v>473</v>
      </c>
      <c r="B138" s="2" t="n">
        <v>45747</v>
      </c>
      <c r="C138" s="2" t="str">
        <f aca="false">TEXT(B138,"dd/mm/yyyy")</f>
        <v>31/03/2025</v>
      </c>
      <c r="D138" s="0" t="s">
        <v>121</v>
      </c>
      <c r="E138" s="0" t="n">
        <v>8035727027</v>
      </c>
      <c r="F138" s="0" t="s">
        <v>139</v>
      </c>
      <c r="G138" s="0" t="s">
        <v>2323</v>
      </c>
      <c r="H138" s="0" t="s">
        <v>312</v>
      </c>
      <c r="I138" s="0" t="s">
        <v>45</v>
      </c>
      <c r="J138" s="0" t="s">
        <v>87</v>
      </c>
      <c r="K138" s="3" t="str">
        <f aca="false" t="array" ref="K138:K138">IFERROR(IF(J138&lt;&gt;"",J138,INDEX(J138:J1137,MATCH(1,(F138:F1137=F138)*(I138:I1137=I138)*(L138:L1137=L138)*(J138:J1137&lt;&gt;""),0))),"Not Found")</f>
        <v>Oil Change</v>
      </c>
      <c r="L138" s="3" t="s">
        <v>189</v>
      </c>
      <c r="M138" s="0" t="str">
        <f aca="false">PROPER(L138)</f>
        <v>Battery</v>
      </c>
      <c r="N138" s="3" t="s">
        <v>71</v>
      </c>
      <c r="O138" s="0" t="str">
        <f aca="false" t="array" ref="O138:O138">IF(N138&lt;&gt;"",N138,_xlfn.xlookup(1,(L138:L1137=L138)*(N138:N1137&lt;&gt;""),N138:N1137,"Not Found"))</f>
        <v>Isaac Bobo</v>
      </c>
      <c r="P138" s="4" t="n">
        <v>105031</v>
      </c>
      <c r="Q138" s="0" t="s">
        <v>91</v>
      </c>
      <c r="R138" s="0" t="str">
        <f aca="false">PROPER(Q138)</f>
        <v>Pos</v>
      </c>
      <c r="S138" s="0" t="s">
        <v>50</v>
      </c>
      <c r="T138" s="0" t="n">
        <v>2</v>
      </c>
      <c r="U138" s="5" t="n">
        <f aca="false">IF(ISBLANK(T138),AVERAGE(T138:T1137),T138)</f>
        <v>2</v>
      </c>
      <c r="V138" s="0" t="n">
        <v>4</v>
      </c>
      <c r="X138" s="0" t="str">
        <f aca="false">IF(ISBLANK(W138),"No remarks",W138)</f>
        <v>No remarks</v>
      </c>
      <c r="Y138" s="0" t="s">
        <v>52</v>
      </c>
      <c r="Z138" s="0" t="s">
        <v>136</v>
      </c>
      <c r="AA138" s="0" t="str">
        <f aca="false">PROPER(IF(ISBLANK(Z138),"Location Unavailable",Z138))</f>
        <v>Vip Section</v>
      </c>
      <c r="AB138" s="0" t="s">
        <v>54</v>
      </c>
      <c r="AC138" s="6" t="str">
        <f aca="false">PROPER(AB138)</f>
        <v>Mechanic Referral</v>
      </c>
      <c r="AE138" s="5" t="n">
        <f aca="false">IF(ISBLANK(AD138),AVERAGEIF(L138:L1137,L138,AD138:AD1137),AD138)</f>
        <v>40.0990099009901</v>
      </c>
      <c r="AF138" s="0" t="s">
        <v>112</v>
      </c>
      <c r="AG138" s="0" t="str">
        <f aca="false">PROPER(AF138)</f>
        <v>Unavailable</v>
      </c>
      <c r="AH138" s="0" t="s">
        <v>155</v>
      </c>
      <c r="AI138" s="0" t="s">
        <v>78</v>
      </c>
      <c r="AJ138" s="0" t="str">
        <f aca="false">PROPER(AI138)</f>
        <v>Booking</v>
      </c>
      <c r="AK138" s="0" t="s">
        <v>58</v>
      </c>
      <c r="AL138" s="0" t="str">
        <f aca="false">PROPER(AK138)</f>
        <v>Fleet Owner</v>
      </c>
      <c r="AN138" s="0" t="str">
        <f aca="false">IF(ISBLANK(AM138),"Unknown",AM138)</f>
        <v>Unknown</v>
      </c>
      <c r="AO138" s="0" t="s">
        <v>143</v>
      </c>
      <c r="AP138" s="0" t="str">
        <f aca="false">IF(ISBLANK(AO138),"Unknown",AO138)</f>
        <v>Senior</v>
      </c>
      <c r="AQ138" s="0" t="n">
        <v>30000</v>
      </c>
      <c r="AR138" s="5" t="n">
        <f aca="false">IF(ISBLANK(AQ138),AVERAGEIF(M138:M1137,M138,AQ138:AQ1137),AQ138)</f>
        <v>30000</v>
      </c>
      <c r="AS138" s="0" t="n">
        <v>30000</v>
      </c>
      <c r="AT138" s="5" t="n">
        <f aca="false">IF(ISBLANK(AS138),AVERAGE(AS138:AS1137),AS138)</f>
        <v>30000</v>
      </c>
      <c r="AU138" s="0" t="s">
        <v>82</v>
      </c>
      <c r="AV138" s="0" t="str">
        <f aca="false">PROPER(IF(ISBLANK(AU138),"No",AU138))</f>
        <v>Yes</v>
      </c>
      <c r="AW138" s="0" t="n">
        <v>5000</v>
      </c>
      <c r="AX138" s="5" t="n">
        <f aca="false">IF(ISBLANK(AW138),0,AW138)</f>
        <v>5000</v>
      </c>
      <c r="AY138" s="0" t="s">
        <v>184</v>
      </c>
      <c r="AZ138" s="0" t="str">
        <f aca="false">UPPER(IF(ISBLANK(AY138),"NONE",AY138))</f>
        <v>N/A</v>
      </c>
      <c r="BA138" s="7" t="s">
        <v>474</v>
      </c>
      <c r="BB138" s="7" t="str">
        <f aca="false">IF(ISBLANK(BA138),"No Follow Up Needed",BA138)</f>
        <v>19/07/2025</v>
      </c>
      <c r="BC138" s="0" t="s">
        <v>61</v>
      </c>
      <c r="BD138" s="0" t="str">
        <f aca="false">PROPER(IF(ISBLANK(BC138),"Unknown",BC138))</f>
        <v>No</v>
      </c>
      <c r="BE138" s="0" t="s">
        <v>171</v>
      </c>
      <c r="BF138" s="0" t="str">
        <f aca="false">IF(ISBLANK(BE138),"No comments",BE138)</f>
        <v>Shock absorber weakening</v>
      </c>
      <c r="BH138" s="0" t="str">
        <f aca="false">IF(ISBLANK(BG138),"No comments",BG138)</f>
        <v>No comments</v>
      </c>
      <c r="BJ138" s="0" t="str">
        <f aca="false">IF(ISBLANK(BI138),"Not Mentioned",BI138)</f>
        <v>Not Mentioned</v>
      </c>
      <c r="BK138" s="0" t="s">
        <v>63</v>
      </c>
      <c r="BL138" s="0" t="str">
        <f aca="false">PROPER(IF(ISBLANK(BK138),"Not Mentioned",BK138))</f>
        <v>Yes</v>
      </c>
      <c r="BM138" s="0" t="s">
        <v>63</v>
      </c>
      <c r="BN138" s="0" t="str">
        <f aca="false">PROPER(IF(ISBLANK(BM138),"Not Mentioned",BM138))</f>
        <v>Yes</v>
      </c>
      <c r="BO138" s="0" t="s">
        <v>2321</v>
      </c>
      <c r="BP138" s="0" t="str">
        <f aca="false">IF(ISBLANK(BO138),"One-Time Plan",BO138)</f>
        <v>One-Time Plan</v>
      </c>
      <c r="BQ138" s="0" t="s">
        <v>50</v>
      </c>
      <c r="BR138" s="0" t="str">
        <f aca="false">PROPER(IF(ISBLANK(BQ138),"No",BQ138))</f>
        <v>No</v>
      </c>
    </row>
    <row r="139" customFormat="false" ht="15" hidden="false" customHeight="false" outlineLevel="0" collapsed="false">
      <c r="A139" s="0" t="s">
        <v>475</v>
      </c>
      <c r="B139" s="2" t="n">
        <v>45805</v>
      </c>
      <c r="C139" s="2" t="str">
        <f aca="false">TEXT(B139,"dd/mm/yyyy")</f>
        <v>28/05/2025</v>
      </c>
      <c r="D139" s="0" t="s">
        <v>66</v>
      </c>
      <c r="E139" s="0" t="n">
        <v>8081478283</v>
      </c>
      <c r="F139" s="0" t="s">
        <v>67</v>
      </c>
      <c r="G139" s="0" t="s">
        <v>2316</v>
      </c>
      <c r="H139" s="0" t="s">
        <v>476</v>
      </c>
      <c r="I139" s="0" t="s">
        <v>45</v>
      </c>
      <c r="J139" s="0" t="s">
        <v>87</v>
      </c>
      <c r="K139" s="3" t="str">
        <f aca="false" t="array" ref="K139:K139">IFERROR(IF(J139&lt;&gt;"",J139,INDEX(J139:J1138,MATCH(1,(F139:F1138=F139)*(I139:I1138=I139)*(L139:L1138=L139)*(J139:J1138&lt;&gt;""),0))),"Not Found")</f>
        <v>Oil Change</v>
      </c>
      <c r="L139" s="3" t="s">
        <v>142</v>
      </c>
      <c r="M139" s="0" t="str">
        <f aca="false">PROPER(L139)</f>
        <v>Oil Filter, Brake Pads</v>
      </c>
      <c r="N139" s="3" t="s">
        <v>109</v>
      </c>
      <c r="O139" s="0" t="str">
        <f aca="false" t="array" ref="O139:O139">IF(N139&lt;&gt;"",N139,_xlfn.xlookup(1,(L139:L1138=L139)*(N139:N1138&lt;&gt;""),N139:N1138,"Not Found"))</f>
        <v>Tijani</v>
      </c>
      <c r="P139" s="4" t="n">
        <v>25267</v>
      </c>
      <c r="Q139" s="0" t="s">
        <v>72</v>
      </c>
      <c r="R139" s="0" t="str">
        <f aca="false">PROPER(Q139)</f>
        <v>Pos</v>
      </c>
      <c r="S139" s="0" t="s">
        <v>50</v>
      </c>
      <c r="U139" s="5" t="n">
        <f aca="false">IF(ISBLANK(T139),AVERAGE(T139:T1138),T139)</f>
        <v>3.00557880055788</v>
      </c>
      <c r="V139" s="0" t="n">
        <v>2.7</v>
      </c>
      <c r="W139" s="0" t="s">
        <v>111</v>
      </c>
      <c r="X139" s="0" t="str">
        <f aca="false">IF(ISBLANK(W139),"No remarks",W139)</f>
        <v>Changed all filters</v>
      </c>
      <c r="Y139" s="0" t="s">
        <v>52</v>
      </c>
      <c r="Z139" s="0" t="s">
        <v>74</v>
      </c>
      <c r="AA139" s="0" t="str">
        <f aca="false">PROPER(IF(ISBLANK(Z139),"Location Unavailable",Z139))</f>
        <v>Under Tree</v>
      </c>
      <c r="AB139" s="0" t="s">
        <v>147</v>
      </c>
      <c r="AC139" s="6" t="str">
        <f aca="false">PROPER(AB139)</f>
        <v>Instagram</v>
      </c>
      <c r="AD139" s="6" t="n">
        <v>15</v>
      </c>
      <c r="AE139" s="5" t="n">
        <f aca="false">IF(ISBLANK(AD139),AVERAGEIF(L139:L1138,L139,AD139:AD1138),AD139)</f>
        <v>15</v>
      </c>
      <c r="AF139" s="0" t="s">
        <v>76</v>
      </c>
      <c r="AG139" s="0" t="str">
        <f aca="false">PROPER(AF139)</f>
        <v>Orderd</v>
      </c>
      <c r="AH139" s="0" t="s">
        <v>155</v>
      </c>
      <c r="AI139" s="0" t="s">
        <v>98</v>
      </c>
      <c r="AJ139" s="0" t="str">
        <f aca="false">PROPER(AI139)</f>
        <v>Emergency</v>
      </c>
      <c r="AK139" s="0" t="s">
        <v>196</v>
      </c>
      <c r="AL139" s="0" t="str">
        <f aca="false">PROPER(AK139)</f>
        <v>First Time</v>
      </c>
      <c r="AN139" s="0" t="str">
        <f aca="false">IF(ISBLANK(AM139),"Unknown",AM139)</f>
        <v>Unknown</v>
      </c>
      <c r="AP139" s="0" t="str">
        <f aca="false">IF(ISBLANK(AO139),"Unknown",AO139)</f>
        <v>Unknown</v>
      </c>
      <c r="AQ139" s="0" t="n">
        <v>40000</v>
      </c>
      <c r="AR139" s="5" t="n">
        <f aca="false">IF(ISBLANK(AQ139),AVERAGEIF(M139:M1138,M139,AQ139:AQ1138),AQ139)</f>
        <v>40000</v>
      </c>
      <c r="AS139" s="0" t="n">
        <v>35000</v>
      </c>
      <c r="AT139" s="5" t="n">
        <f aca="false">IF(ISBLANK(AS139),AVERAGE(AS139:AS1138),AS139)</f>
        <v>35000</v>
      </c>
      <c r="AU139" s="0" t="s">
        <v>82</v>
      </c>
      <c r="AV139" s="0" t="str">
        <f aca="false">PROPER(IF(ISBLANK(AU139),"No",AU139))</f>
        <v>Yes</v>
      </c>
      <c r="AX139" s="5" t="n">
        <f aca="false">IF(ISBLANK(AW139),0,AW139)</f>
        <v>0</v>
      </c>
      <c r="AY139" s="0" t="s">
        <v>184</v>
      </c>
      <c r="AZ139" s="0" t="str">
        <f aca="false">UPPER(IF(ISBLANK(AY139),"NONE",AY139))</f>
        <v>N/A</v>
      </c>
      <c r="BB139" s="7" t="str">
        <f aca="false">IF(ISBLANK(BA139),"No Follow Up Needed",BA139)</f>
        <v>No Follow Up Needed</v>
      </c>
      <c r="BC139" s="0" t="s">
        <v>82</v>
      </c>
      <c r="BD139" s="0" t="str">
        <f aca="false">PROPER(IF(ISBLANK(BC139),"Unknown",BC139))</f>
        <v>Yes</v>
      </c>
      <c r="BF139" s="0" t="str">
        <f aca="false">IF(ISBLANK(BE139),"No comments",BE139)</f>
        <v>No comments</v>
      </c>
      <c r="BH139" s="0" t="str">
        <f aca="false">IF(ISBLANK(BG139),"No comments",BG139)</f>
        <v>No comments</v>
      </c>
      <c r="BI139" s="0" t="s">
        <v>63</v>
      </c>
      <c r="BJ139" s="0" t="str">
        <f aca="false">IF(ISBLANK(BI139),"Not Mentioned",BI139)</f>
        <v>Yes</v>
      </c>
      <c r="BK139" s="0" t="s">
        <v>82</v>
      </c>
      <c r="BL139" s="0" t="str">
        <f aca="false">PROPER(IF(ISBLANK(BK139),"Not Mentioned",BK139))</f>
        <v>Yes</v>
      </c>
      <c r="BM139" s="0" t="s">
        <v>63</v>
      </c>
      <c r="BN139" s="0" t="str">
        <f aca="false">PROPER(IF(ISBLANK(BM139),"Not Mentioned",BM139))</f>
        <v>Yes</v>
      </c>
      <c r="BO139" s="0" t="s">
        <v>64</v>
      </c>
      <c r="BP139" s="0" t="str">
        <f aca="false">IF(ISBLANK(BO139),"One-Time Plan",BO139)</f>
        <v>Gold Maintenance Plan</v>
      </c>
      <c r="BR139" s="0" t="str">
        <f aca="false">PROPER(IF(ISBLANK(BQ139),"No",BQ139))</f>
        <v>No</v>
      </c>
    </row>
    <row r="140" customFormat="false" ht="15" hidden="false" customHeight="false" outlineLevel="0" collapsed="false">
      <c r="A140" s="0" t="s">
        <v>477</v>
      </c>
      <c r="B140" s="2" t="n">
        <v>45723</v>
      </c>
      <c r="C140" s="2" t="str">
        <f aca="false">TEXT(B140,"dd/mm/yyyy")</f>
        <v>07/03/2025</v>
      </c>
      <c r="D140" s="0" t="s">
        <v>163</v>
      </c>
      <c r="E140" s="0" t="n">
        <v>8060760544</v>
      </c>
      <c r="F140" s="0" t="s">
        <v>122</v>
      </c>
      <c r="G140" s="0" t="s">
        <v>2316</v>
      </c>
      <c r="H140" s="0" t="s">
        <v>478</v>
      </c>
      <c r="I140" s="0" t="s">
        <v>107</v>
      </c>
      <c r="J140" s="0" t="s">
        <v>2317</v>
      </c>
      <c r="K140" s="3" t="str">
        <f aca="false" t="array" ref="K140:K140">IFERROR(IF(J140&lt;&gt;"",J140,INDEX(J140:J1139,MATCH(1,(F140:F1139=F140)*(I140:I1139=I140)*(L140:L1139=L140)*(J140:J1139&lt;&gt;""),0))),"Not Found")</f>
        <v>Suspension Noise</v>
      </c>
      <c r="L140" s="3" t="s">
        <v>89</v>
      </c>
      <c r="M140" s="0" t="str">
        <f aca="false">PROPER(L140)</f>
        <v>Shock Absorbers</v>
      </c>
      <c r="N140" s="3" t="s">
        <v>90</v>
      </c>
      <c r="O140" s="0" t="str">
        <f aca="false" t="array" ref="O140:O140">IF(N140&lt;&gt;"",N140,_xlfn.xlookup(1,(L140:L1139=L140)*(N140:N1139&lt;&gt;""),N140:N1139,"Not Found"))</f>
        <v>Musa</v>
      </c>
      <c r="P140" s="4" t="n">
        <v>33653</v>
      </c>
      <c r="Q140" s="0" t="s">
        <v>49</v>
      </c>
      <c r="R140" s="0" t="str">
        <f aca="false">PROPER(Q140)</f>
        <v>Transfer</v>
      </c>
      <c r="S140" s="0" t="s">
        <v>50</v>
      </c>
      <c r="T140" s="0" t="n">
        <v>4</v>
      </c>
      <c r="U140" s="5" t="n">
        <f aca="false">IF(ISBLANK(T140),AVERAGE(T140:T1139),T140)</f>
        <v>4</v>
      </c>
      <c r="V140" s="0" t="n">
        <v>2.1</v>
      </c>
      <c r="X140" s="0" t="str">
        <f aca="false">IF(ISBLANK(W140),"No remarks",W140)</f>
        <v>No remarks</v>
      </c>
      <c r="Y140" s="0" t="s">
        <v>52</v>
      </c>
      <c r="Z140" s="0" t="s">
        <v>94</v>
      </c>
      <c r="AA140" s="0" t="str">
        <f aca="false">PROPER(IF(ISBLANK(Z140),"Location Unavailable",Z140))</f>
        <v>Vip Section</v>
      </c>
      <c r="AB140" s="0" t="s">
        <v>95</v>
      </c>
      <c r="AC140" s="6" t="str">
        <f aca="false">PROPER(AB140)</f>
        <v>Road Sign</v>
      </c>
      <c r="AD140" s="6" t="n">
        <v>30</v>
      </c>
      <c r="AE140" s="5" t="n">
        <f aca="false">IF(ISBLANK(AD140),AVERAGEIF(L140:L1139,L140,AD140:AD1139),AD140)</f>
        <v>30</v>
      </c>
      <c r="AF140" s="0" t="s">
        <v>112</v>
      </c>
      <c r="AG140" s="0" t="str">
        <f aca="false">PROPER(AF140)</f>
        <v>Unavailable</v>
      </c>
      <c r="AH140" s="0" t="s">
        <v>56</v>
      </c>
      <c r="AI140" s="0" t="s">
        <v>113</v>
      </c>
      <c r="AJ140" s="0" t="str">
        <f aca="false">PROPER(AI140)</f>
        <v>Normal</v>
      </c>
      <c r="AK140" s="0" t="s">
        <v>58</v>
      </c>
      <c r="AL140" s="0" t="str">
        <f aca="false">PROPER(AK140)</f>
        <v>Fleet Owner</v>
      </c>
      <c r="AM140" s="0" t="s">
        <v>2324</v>
      </c>
      <c r="AN140" s="0" t="str">
        <f aca="false">IF(ISBLANK(AM140),"Unknown",AM140)</f>
        <v>Logistics Convoy</v>
      </c>
      <c r="AO140" s="0" t="s">
        <v>161</v>
      </c>
      <c r="AP140" s="0" t="str">
        <f aca="false">IF(ISBLANK(AO140),"Unknown",AO140)</f>
        <v>Apprentice</v>
      </c>
      <c r="AQ140" s="0" t="n">
        <v>25000</v>
      </c>
      <c r="AR140" s="5" t="n">
        <f aca="false">IF(ISBLANK(AQ140),AVERAGEIF(M140:M1139,M140,AQ140:AQ1139),AQ140)</f>
        <v>25000</v>
      </c>
      <c r="AS140" s="0" t="n">
        <v>30000</v>
      </c>
      <c r="AT140" s="5" t="n">
        <f aca="false">IF(ISBLANK(AS140),AVERAGE(AS140:AS1139),AS140)</f>
        <v>30000</v>
      </c>
      <c r="AV140" s="0" t="str">
        <f aca="false">PROPER(IF(ISBLANK(AU140),"No",AU140))</f>
        <v>No</v>
      </c>
      <c r="AW140" s="0" t="n">
        <v>5000</v>
      </c>
      <c r="AX140" s="5" t="n">
        <f aca="false">IF(ISBLANK(AW140),0,AW140)</f>
        <v>5000</v>
      </c>
      <c r="AZ140" s="0" t="str">
        <f aca="false">UPPER(IF(ISBLANK(AY140),"NONE",AY140))</f>
        <v>NONE</v>
      </c>
      <c r="BA140" s="7" t="n">
        <v>45866</v>
      </c>
      <c r="BB140" s="7" t="n">
        <f aca="false">IF(ISBLANK(BA140),"No Follow Up Needed",BA140)</f>
        <v>45866</v>
      </c>
      <c r="BC140" s="0" t="s">
        <v>82</v>
      </c>
      <c r="BD140" s="0" t="str">
        <f aca="false">PROPER(IF(ISBLANK(BC140),"Unknown",BC140))</f>
        <v>Yes</v>
      </c>
      <c r="BF140" s="0" t="str">
        <f aca="false">IF(ISBLANK(BE140),"No comments",BE140)</f>
        <v>No comments</v>
      </c>
      <c r="BG140" s="0" t="s">
        <v>117</v>
      </c>
      <c r="BH140" s="0" t="str">
        <f aca="false">IF(ISBLANK(BG140),"No comments",BG140)</f>
        <v>Prefers morning</v>
      </c>
      <c r="BI140" s="0" t="s">
        <v>50</v>
      </c>
      <c r="BJ140" s="0" t="str">
        <f aca="false">IF(ISBLANK(BI140),"Not Mentioned",BI140)</f>
        <v>No</v>
      </c>
      <c r="BL140" s="0" t="str">
        <f aca="false">PROPER(IF(ISBLANK(BK140),"Not Mentioned",BK140))</f>
        <v>Not Mentioned</v>
      </c>
      <c r="BM140" s="0" t="s">
        <v>63</v>
      </c>
      <c r="BN140" s="0" t="str">
        <f aca="false">PROPER(IF(ISBLANK(BM140),"Not Mentioned",BM140))</f>
        <v>Yes</v>
      </c>
      <c r="BO140" s="0" t="s">
        <v>64</v>
      </c>
      <c r="BP140" s="0" t="str">
        <f aca="false">IF(ISBLANK(BO140),"One-Time Plan",BO140)</f>
        <v>Gold Maintenance Plan</v>
      </c>
      <c r="BQ140" s="0" t="s">
        <v>198</v>
      </c>
      <c r="BR140" s="0" t="str">
        <f aca="false">PROPER(IF(ISBLANK(BQ140),"No",BQ140))</f>
        <v>Followed Up</v>
      </c>
    </row>
    <row r="141" customFormat="false" ht="15" hidden="false" customHeight="false" outlineLevel="0" collapsed="false">
      <c r="A141" s="0" t="s">
        <v>479</v>
      </c>
      <c r="B141" s="2" t="n">
        <v>45722</v>
      </c>
      <c r="C141" s="2" t="str">
        <f aca="false">TEXT(B141,"dd/mm/yyyy")</f>
        <v>06/03/2025</v>
      </c>
      <c r="D141" s="0" t="s">
        <v>105</v>
      </c>
      <c r="E141" s="0" t="n">
        <v>8060231696</v>
      </c>
      <c r="F141" s="0" t="s">
        <v>122</v>
      </c>
      <c r="G141" s="0" t="s">
        <v>2316</v>
      </c>
      <c r="H141" s="0" t="s">
        <v>480</v>
      </c>
      <c r="I141" s="0" t="s">
        <v>134</v>
      </c>
      <c r="J141" s="0" t="s">
        <v>87</v>
      </c>
      <c r="K141" s="3" t="str">
        <f aca="false" t="array" ref="K141:K141">IFERROR(IF(J141&lt;&gt;"",J141,INDEX(J141:J1140,MATCH(1,(F141:F1140=F141)*(I141:I1140=I141)*(L141:L1140=L141)*(J141:J1140&lt;&gt;""),0))),"Not Found")</f>
        <v>Oil Change</v>
      </c>
      <c r="L141" s="3" t="s">
        <v>47</v>
      </c>
      <c r="M141" s="0" t="str">
        <f aca="false">PROPER(L141)</f>
        <v>None</v>
      </c>
      <c r="N141" s="3" t="s">
        <v>71</v>
      </c>
      <c r="O141" s="0" t="str">
        <f aca="false" t="array" ref="O141:O141">IF(N141&lt;&gt;"",N141,_xlfn.xlookup(1,(L141:L1140=L141)*(N141:N1140&lt;&gt;""),N141:N1140,"Not Found"))</f>
        <v>Isaac Bobo</v>
      </c>
      <c r="P141" s="4" t="n">
        <v>68566</v>
      </c>
      <c r="Q141" s="0" t="s">
        <v>124</v>
      </c>
      <c r="R141" s="0" t="str">
        <f aca="false">PROPER(Q141)</f>
        <v>Cash</v>
      </c>
      <c r="S141" s="0" t="s">
        <v>63</v>
      </c>
      <c r="T141" s="0" t="n">
        <v>3</v>
      </c>
      <c r="U141" s="5" t="n">
        <f aca="false">IF(ISBLANK(T141),AVERAGE(T141:T1140),T141)</f>
        <v>3</v>
      </c>
      <c r="V141" s="0" t="n">
        <v>4.2</v>
      </c>
      <c r="W141" s="0" t="s">
        <v>51</v>
      </c>
      <c r="X141" s="0" t="str">
        <f aca="false">IF(ISBLANK(W141),"No remarks",W141)</f>
        <v>Recommended further checks</v>
      </c>
      <c r="Y141" s="0" t="s">
        <v>73</v>
      </c>
      <c r="Z141" s="0" t="s">
        <v>74</v>
      </c>
      <c r="AA141" s="0" t="str">
        <f aca="false">PROPER(IF(ISBLANK(Z141),"Location Unavailable",Z141))</f>
        <v>Under Tree</v>
      </c>
      <c r="AB141" s="0" t="s">
        <v>75</v>
      </c>
      <c r="AC141" s="6" t="str">
        <f aca="false">PROPER(AB141)</f>
        <v>Mechanik Referal</v>
      </c>
      <c r="AD141" s="6" t="n">
        <v>30</v>
      </c>
      <c r="AE141" s="5" t="n">
        <f aca="false">IF(ISBLANK(AD141),AVERAGEIF(L141:L1140,L141,AD141:AD1140),AD141)</f>
        <v>30</v>
      </c>
      <c r="AF141" s="0" t="s">
        <v>76</v>
      </c>
      <c r="AG141" s="0" t="str">
        <f aca="false">PROPER(AF141)</f>
        <v>Orderd</v>
      </c>
      <c r="AH141" s="0" t="s">
        <v>148</v>
      </c>
      <c r="AI141" s="0" t="s">
        <v>113</v>
      </c>
      <c r="AJ141" s="0" t="str">
        <f aca="false">PROPER(AI141)</f>
        <v>Normal</v>
      </c>
      <c r="AK141" s="0" t="s">
        <v>196</v>
      </c>
      <c r="AL141" s="0" t="str">
        <f aca="false">PROPER(AK141)</f>
        <v>First Time</v>
      </c>
      <c r="AM141" s="0" t="s">
        <v>177</v>
      </c>
      <c r="AN141" s="0" t="str">
        <f aca="false">IF(ISBLANK(AM141),"Unknown",AM141)</f>
        <v>Private</v>
      </c>
      <c r="AO141" s="0" t="s">
        <v>161</v>
      </c>
      <c r="AP141" s="0" t="str">
        <f aca="false">IF(ISBLANK(AO141),"Unknown",AO141)</f>
        <v>Apprentice</v>
      </c>
      <c r="AQ141" s="0" t="n">
        <v>40000</v>
      </c>
      <c r="AR141" s="5" t="n">
        <f aca="false">IF(ISBLANK(AQ141),AVERAGEIF(M141:M1140,M141,AQ141:AQ1140),AQ141)</f>
        <v>40000</v>
      </c>
      <c r="AS141" s="0" t="n">
        <v>30000</v>
      </c>
      <c r="AT141" s="5" t="n">
        <f aca="false">IF(ISBLANK(AS141),AVERAGE(AS141:AS1140),AS141)</f>
        <v>30000</v>
      </c>
      <c r="AU141" s="0" t="s">
        <v>50</v>
      </c>
      <c r="AV141" s="0" t="str">
        <f aca="false">PROPER(IF(ISBLANK(AU141),"No",AU141))</f>
        <v>No</v>
      </c>
      <c r="AW141" s="0" t="n">
        <v>10000</v>
      </c>
      <c r="AX141" s="5" t="n">
        <f aca="false">IF(ISBLANK(AW141),0,AW141)</f>
        <v>10000</v>
      </c>
      <c r="AY141" s="0" t="s">
        <v>130</v>
      </c>
      <c r="AZ141" s="0" t="str">
        <f aca="false">UPPER(IF(ISBLANK(AY141),"NONE",AY141))</f>
        <v>LOYALTY10</v>
      </c>
      <c r="BB141" s="7" t="str">
        <f aca="false">IF(ISBLANK(BA141),"No Follow Up Needed",BA141)</f>
        <v>No Follow Up Needed</v>
      </c>
      <c r="BC141" s="0" t="s">
        <v>82</v>
      </c>
      <c r="BD141" s="0" t="str">
        <f aca="false">PROPER(IF(ISBLANK(BC141),"Unknown",BC141))</f>
        <v>Yes</v>
      </c>
      <c r="BF141" s="0" t="str">
        <f aca="false">IF(ISBLANK(BE141),"No comments",BE141)</f>
        <v>No comments</v>
      </c>
      <c r="BG141" s="0" t="s">
        <v>172</v>
      </c>
      <c r="BH141" s="0" t="str">
        <f aca="false">IF(ISBLANK(BG141),"No comments",BG141)</f>
        <v>Always late</v>
      </c>
      <c r="BI141" s="0" t="s">
        <v>63</v>
      </c>
      <c r="BJ141" s="0" t="str">
        <f aca="false">IF(ISBLANK(BI141),"Not Mentioned",BI141)</f>
        <v>Yes</v>
      </c>
      <c r="BK141" s="0" t="s">
        <v>63</v>
      </c>
      <c r="BL141" s="0" t="str">
        <f aca="false">PROPER(IF(ISBLANK(BK141),"Not Mentioned",BK141))</f>
        <v>Yes</v>
      </c>
      <c r="BN141" s="0" t="str">
        <f aca="false">PROPER(IF(ISBLANK(BM141),"Not Mentioned",BM141))</f>
        <v>Not Mentioned</v>
      </c>
      <c r="BP141" s="0" t="str">
        <f aca="false">IF(ISBLANK(BO141),"One-Time Plan",BO141)</f>
        <v>One-Time Plan</v>
      </c>
      <c r="BQ141" s="0" t="s">
        <v>198</v>
      </c>
      <c r="BR141" s="0" t="str">
        <f aca="false">PROPER(IF(ISBLANK(BQ141),"No",BQ141))</f>
        <v>Followed Up</v>
      </c>
    </row>
    <row r="142" customFormat="false" ht="15" hidden="false" customHeight="false" outlineLevel="0" collapsed="false">
      <c r="A142" s="0" t="s">
        <v>481</v>
      </c>
      <c r="B142" s="2" t="n">
        <v>45659</v>
      </c>
      <c r="C142" s="2" t="str">
        <f aca="false">TEXT(B142,"dd/mm/yyyy")</f>
        <v>02/01/2025</v>
      </c>
      <c r="D142" s="0" t="s">
        <v>121</v>
      </c>
      <c r="E142" s="0" t="n">
        <v>8052674742</v>
      </c>
      <c r="F142" s="0" t="s">
        <v>67</v>
      </c>
      <c r="G142" s="0" t="s">
        <v>2316</v>
      </c>
      <c r="H142" s="0" t="s">
        <v>482</v>
      </c>
      <c r="I142" s="0" t="s">
        <v>45</v>
      </c>
      <c r="K142" s="3" t="str">
        <f aca="false" t="array" ref="K142:K142">IFERROR(IF(J142&lt;&gt;"",J142,INDEX(J142:J1141,MATCH(1,(F142:F1141=F142)*(I142:I1141=I142)*(L142:L1141=L142)*(J142:J1141&lt;&gt;""),0))),"Not Found")</f>
        <v>Brake Failure</v>
      </c>
      <c r="L142" s="3" t="s">
        <v>142</v>
      </c>
      <c r="M142" s="0" t="str">
        <f aca="false">PROPER(L142)</f>
        <v>Oil Filter, Brake Pads</v>
      </c>
      <c r="N142" s="3" t="s">
        <v>71</v>
      </c>
      <c r="O142" s="0" t="str">
        <f aca="false" t="array" ref="O142:O142">IF(N142&lt;&gt;"",N142,_xlfn.xlookup(1,(L142:L1141=L142)*(N142:N1141&lt;&gt;""),N142:N1141,"Not Found"))</f>
        <v>Isaac Bobo</v>
      </c>
      <c r="P142" s="4" t="n">
        <v>89116</v>
      </c>
      <c r="Q142" s="0" t="s">
        <v>166</v>
      </c>
      <c r="R142" s="0" t="str">
        <f aca="false">PROPER(Q142)</f>
        <v>Transfer</v>
      </c>
      <c r="S142" s="0" t="s">
        <v>50</v>
      </c>
      <c r="T142" s="0" t="n">
        <v>4</v>
      </c>
      <c r="U142" s="5" t="n">
        <f aca="false">IF(ISBLANK(T142),AVERAGE(T142:T1141),T142)</f>
        <v>4</v>
      </c>
      <c r="V142" s="0" t="n">
        <v>4.3</v>
      </c>
      <c r="W142" s="0" t="s">
        <v>92</v>
      </c>
      <c r="X142" s="0" t="str">
        <f aca="false">IF(ISBLANK(W142),"No remarks",W142)</f>
        <v>Urgent service</v>
      </c>
      <c r="Y142" s="0" t="s">
        <v>73</v>
      </c>
      <c r="Z142" s="0" t="s">
        <v>159</v>
      </c>
      <c r="AA142" s="0" t="str">
        <f aca="false">PROPER(IF(ISBLANK(Z142),"Location Unavailable",Z142))</f>
        <v>Main Bay</v>
      </c>
      <c r="AB142" s="0" t="s">
        <v>167</v>
      </c>
      <c r="AC142" s="6" t="str">
        <f aca="false">PROPER(AB142)</f>
        <v>Word Of Mouth</v>
      </c>
      <c r="AD142" s="6" t="n">
        <v>30</v>
      </c>
      <c r="AE142" s="5" t="n">
        <f aca="false">IF(ISBLANK(AD142),AVERAGEIF(L142:L1141,L142,AD142:AD1141),AD142)</f>
        <v>30</v>
      </c>
      <c r="AF142" s="0" t="s">
        <v>55</v>
      </c>
      <c r="AG142" s="0" t="str">
        <f aca="false">PROPER(AF142)</f>
        <v>Available</v>
      </c>
      <c r="AH142" s="0" t="s">
        <v>77</v>
      </c>
      <c r="AI142" s="0" t="s">
        <v>78</v>
      </c>
      <c r="AJ142" s="0" t="str">
        <f aca="false">PROPER(AI142)</f>
        <v>Booking</v>
      </c>
      <c r="AK142" s="0" t="s">
        <v>99</v>
      </c>
      <c r="AL142" s="0" t="str">
        <f aca="false">PROPER(AK142)</f>
        <v>Uber Driver</v>
      </c>
      <c r="AM142" s="0" t="s">
        <v>2326</v>
      </c>
      <c r="AN142" s="0" t="str">
        <f aca="false">IF(ISBLANK(AM142),"Unknown",AM142)</f>
        <v>Government Convoy</v>
      </c>
      <c r="AO142" s="0" t="s">
        <v>161</v>
      </c>
      <c r="AP142" s="0" t="str">
        <f aca="false">IF(ISBLANK(AO142),"Unknown",AO142)</f>
        <v>Apprentice</v>
      </c>
      <c r="AQ142" s="0" t="n">
        <v>30000</v>
      </c>
      <c r="AR142" s="5" t="n">
        <f aca="false">IF(ISBLANK(AQ142),AVERAGEIF(M142:M1141,M142,AQ142:AQ1141),AQ142)</f>
        <v>30000</v>
      </c>
      <c r="AS142" s="0" t="n">
        <v>40000</v>
      </c>
      <c r="AT142" s="5" t="n">
        <f aca="false">IF(ISBLANK(AS142),AVERAGE(AS142:AS1141),AS142)</f>
        <v>40000</v>
      </c>
      <c r="AU142" s="0" t="s">
        <v>50</v>
      </c>
      <c r="AV142" s="0" t="str">
        <f aca="false">PROPER(IF(ISBLANK(AU142),"No",AU142))</f>
        <v>No</v>
      </c>
      <c r="AW142" s="0" t="n">
        <v>10000</v>
      </c>
      <c r="AX142" s="5" t="n">
        <f aca="false">IF(ISBLANK(AW142),0,AW142)</f>
        <v>10000</v>
      </c>
      <c r="AY142" s="0" t="s">
        <v>80</v>
      </c>
      <c r="AZ142" s="0" t="str">
        <f aca="false">UPPER(IF(ISBLANK(AY142),"NONE",AY142))</f>
        <v>PROMO10</v>
      </c>
      <c r="BA142" s="7" t="s">
        <v>483</v>
      </c>
      <c r="BB142" s="7" t="str">
        <f aca="false">IF(ISBLANK(BA142),"No Follow Up Needed",BA142)</f>
        <v>27/10/2025</v>
      </c>
      <c r="BC142" s="0" t="s">
        <v>61</v>
      </c>
      <c r="BD142" s="0" t="str">
        <f aca="false">PROPER(IF(ISBLANK(BC142),"Unknown",BC142))</f>
        <v>No</v>
      </c>
      <c r="BE142" s="0" t="s">
        <v>171</v>
      </c>
      <c r="BF142" s="0" t="str">
        <f aca="false">IF(ISBLANK(BE142),"No comments",BE142)</f>
        <v>Shock absorber weakening</v>
      </c>
      <c r="BG142" s="0" t="s">
        <v>172</v>
      </c>
      <c r="BH142" s="0" t="str">
        <f aca="false">IF(ISBLANK(BG142),"No comments",BG142)</f>
        <v>Always late</v>
      </c>
      <c r="BI142" s="0" t="s">
        <v>50</v>
      </c>
      <c r="BJ142" s="0" t="str">
        <f aca="false">IF(ISBLANK(BI142),"Not Mentioned",BI142)</f>
        <v>No</v>
      </c>
      <c r="BK142" s="0" t="s">
        <v>63</v>
      </c>
      <c r="BL142" s="0" t="str">
        <f aca="false">PROPER(IF(ISBLANK(BK142),"Not Mentioned",BK142))</f>
        <v>Yes</v>
      </c>
      <c r="BM142" s="0" t="s">
        <v>50</v>
      </c>
      <c r="BN142" s="0" t="str">
        <f aca="false">PROPER(IF(ISBLANK(BM142),"Not Mentioned",BM142))</f>
        <v>No</v>
      </c>
      <c r="BO142" s="0" t="s">
        <v>64</v>
      </c>
      <c r="BP142" s="0" t="str">
        <f aca="false">IF(ISBLANK(BO142),"One-Time Plan",BO142)</f>
        <v>Gold Maintenance Plan</v>
      </c>
      <c r="BQ142" s="0" t="s">
        <v>63</v>
      </c>
      <c r="BR142" s="0" t="str">
        <f aca="false">PROPER(IF(ISBLANK(BQ142),"No",BQ142))</f>
        <v>Yes</v>
      </c>
    </row>
    <row r="143" customFormat="false" ht="15" hidden="false" customHeight="false" outlineLevel="0" collapsed="false">
      <c r="A143" s="0" t="s">
        <v>484</v>
      </c>
      <c r="B143" s="2" t="n">
        <v>45659</v>
      </c>
      <c r="C143" s="2" t="str">
        <f aca="false">TEXT(B143,"dd/mm/yyyy")</f>
        <v>02/01/2025</v>
      </c>
      <c r="D143" s="0" t="s">
        <v>121</v>
      </c>
      <c r="E143" s="0" t="n">
        <v>8090470126</v>
      </c>
      <c r="F143" s="0" t="s">
        <v>139</v>
      </c>
      <c r="G143" s="0" t="s">
        <v>2323</v>
      </c>
      <c r="H143" s="0" t="s">
        <v>485</v>
      </c>
      <c r="I143" s="0" t="s">
        <v>134</v>
      </c>
      <c r="J143" s="0" t="s">
        <v>2317</v>
      </c>
      <c r="K143" s="3" t="str">
        <f aca="false" t="array" ref="K143:K143">IFERROR(IF(J143&lt;&gt;"",J143,INDEX(J143:J1142,MATCH(1,(F143:F1142=F143)*(I143:I1142=I143)*(L143:L1142=L143)*(J143:J1142&lt;&gt;""),0))),"Not Found")</f>
        <v>Suspension Noise</v>
      </c>
      <c r="L143" s="3" t="s">
        <v>189</v>
      </c>
      <c r="M143" s="0" t="str">
        <f aca="false">PROPER(L143)</f>
        <v>Battery</v>
      </c>
      <c r="N143" s="3" t="s">
        <v>109</v>
      </c>
      <c r="O143" s="0" t="str">
        <f aca="false" t="array" ref="O143:O143">IF(N143&lt;&gt;"",N143,_xlfn.xlookup(1,(L143:L1142=L143)*(N143:N1142&lt;&gt;""),N143:N1142,"Not Found"))</f>
        <v>Tijani</v>
      </c>
      <c r="P143" s="4" t="n">
        <v>118117</v>
      </c>
      <c r="Q143" s="0" t="s">
        <v>124</v>
      </c>
      <c r="R143" s="0" t="str">
        <f aca="false">PROPER(Q143)</f>
        <v>Cash</v>
      </c>
      <c r="S143" s="0" t="s">
        <v>50</v>
      </c>
      <c r="T143" s="0" t="n">
        <v>3</v>
      </c>
      <c r="U143" s="5" t="n">
        <f aca="false">IF(ISBLANK(T143),AVERAGE(T143:T1142),T143)</f>
        <v>3</v>
      </c>
      <c r="V143" s="0" t="n">
        <v>3.2</v>
      </c>
      <c r="W143" s="0" t="s">
        <v>51</v>
      </c>
      <c r="X143" s="0" t="str">
        <f aca="false">IF(ISBLANK(W143),"No remarks",W143)</f>
        <v>Recommended further checks</v>
      </c>
      <c r="Y143" s="0" t="s">
        <v>52</v>
      </c>
      <c r="AA143" s="0" t="str">
        <f aca="false">PROPER(IF(ISBLANK(Z143),"Location Unavailable",Z143))</f>
        <v>Location Unavailable</v>
      </c>
      <c r="AB143" s="0" t="s">
        <v>167</v>
      </c>
      <c r="AC143" s="6" t="str">
        <f aca="false">PROPER(AB143)</f>
        <v>Word Of Mouth</v>
      </c>
      <c r="AD143" s="6" t="n">
        <v>45</v>
      </c>
      <c r="AE143" s="5" t="n">
        <f aca="false">IF(ISBLANK(AD143),AVERAGEIF(L143:L1142,L143,AD143:AD1142),AD143)</f>
        <v>45</v>
      </c>
      <c r="AF143" s="0" t="s">
        <v>160</v>
      </c>
      <c r="AG143" s="0" t="str">
        <f aca="false">PROPER(AF143)</f>
        <v>Availaible</v>
      </c>
      <c r="AH143" s="0" t="s">
        <v>77</v>
      </c>
      <c r="AI143" s="0" t="s">
        <v>98</v>
      </c>
      <c r="AJ143" s="0" t="str">
        <f aca="false">PROPER(AI143)</f>
        <v>Emergency</v>
      </c>
      <c r="AK143" s="0" t="s">
        <v>58</v>
      </c>
      <c r="AL143" s="0" t="str">
        <f aca="false">PROPER(AK143)</f>
        <v>Fleet Owner</v>
      </c>
      <c r="AM143" s="0" t="s">
        <v>2326</v>
      </c>
      <c r="AN143" s="0" t="str">
        <f aca="false">IF(ISBLANK(AM143),"Unknown",AM143)</f>
        <v>Government Convoy</v>
      </c>
      <c r="AO143" s="0" t="s">
        <v>79</v>
      </c>
      <c r="AP143" s="0" t="str">
        <f aca="false">IF(ISBLANK(AO143),"Unknown",AO143)</f>
        <v>Specialist</v>
      </c>
      <c r="AQ143" s="0" t="n">
        <v>25000</v>
      </c>
      <c r="AR143" s="5" t="n">
        <f aca="false">IF(ISBLANK(AQ143),AVERAGEIF(M143:M1142,M143,AQ143:AQ1142),AQ143)</f>
        <v>25000</v>
      </c>
      <c r="AS143" s="0" t="n">
        <v>40000</v>
      </c>
      <c r="AT143" s="5" t="n">
        <f aca="false">IF(ISBLANK(AS143),AVERAGE(AS143:AS1142),AS143)</f>
        <v>40000</v>
      </c>
      <c r="AU143" s="0" t="s">
        <v>50</v>
      </c>
      <c r="AV143" s="0" t="str">
        <f aca="false">PROPER(IF(ISBLANK(AU143),"No",AU143))</f>
        <v>No</v>
      </c>
      <c r="AX143" s="5" t="n">
        <f aca="false">IF(ISBLANK(AW143),0,AW143)</f>
        <v>0</v>
      </c>
      <c r="AZ143" s="0" t="str">
        <f aca="false">UPPER(IF(ISBLANK(AY143),"NONE",AY143))</f>
        <v>NONE</v>
      </c>
      <c r="BA143" s="7" t="s">
        <v>486</v>
      </c>
      <c r="BB143" s="7" t="str">
        <f aca="false">IF(ISBLANK(BA143),"No Follow Up Needed",BA143)</f>
        <v>18/10/2025</v>
      </c>
      <c r="BC143" s="0" t="s">
        <v>61</v>
      </c>
      <c r="BD143" s="0" t="str">
        <f aca="false">PROPER(IF(ISBLANK(BC143),"Unknown",BC143))</f>
        <v>No</v>
      </c>
      <c r="BE143" s="0" t="s">
        <v>171</v>
      </c>
      <c r="BF143" s="0" t="str">
        <f aca="false">IF(ISBLANK(BE143),"No comments",BE143)</f>
        <v>Shock absorber weakening</v>
      </c>
      <c r="BG143" s="0" t="s">
        <v>117</v>
      </c>
      <c r="BH143" s="0" t="str">
        <f aca="false">IF(ISBLANK(BG143),"No comments",BG143)</f>
        <v>Prefers morning</v>
      </c>
      <c r="BI143" s="0" t="s">
        <v>50</v>
      </c>
      <c r="BJ143" s="0" t="str">
        <f aca="false">IF(ISBLANK(BI143),"Not Mentioned",BI143)</f>
        <v>No</v>
      </c>
      <c r="BK143" s="0" t="s">
        <v>82</v>
      </c>
      <c r="BL143" s="0" t="str">
        <f aca="false">PROPER(IF(ISBLANK(BK143),"Not Mentioned",BK143))</f>
        <v>Yes</v>
      </c>
      <c r="BN143" s="0" t="str">
        <f aca="false">PROPER(IF(ISBLANK(BM143),"Not Mentioned",BM143))</f>
        <v>Not Mentioned</v>
      </c>
      <c r="BO143" s="0" t="s">
        <v>2321</v>
      </c>
      <c r="BP143" s="0" t="str">
        <f aca="false">IF(ISBLANK(BO143),"One-Time Plan",BO143)</f>
        <v>One-Time Plan</v>
      </c>
      <c r="BQ143" s="0" t="s">
        <v>50</v>
      </c>
      <c r="BR143" s="0" t="str">
        <f aca="false">PROPER(IF(ISBLANK(BQ143),"No",BQ143))</f>
        <v>No</v>
      </c>
    </row>
    <row r="144" customFormat="false" ht="15" hidden="false" customHeight="false" outlineLevel="0" collapsed="false">
      <c r="A144" s="0" t="s">
        <v>487</v>
      </c>
      <c r="B144" s="2" t="n">
        <v>45754</v>
      </c>
      <c r="C144" s="2" t="str">
        <f aca="false">TEXT(B144,"dd/mm/yyyy")</f>
        <v>07/04/2025</v>
      </c>
      <c r="D144" s="0" t="s">
        <v>42</v>
      </c>
      <c r="E144" s="0" t="n">
        <v>8067651904</v>
      </c>
      <c r="F144" s="0" t="s">
        <v>139</v>
      </c>
      <c r="G144" s="0" t="s">
        <v>2323</v>
      </c>
      <c r="H144" s="0" t="s">
        <v>488</v>
      </c>
      <c r="I144" s="0" t="s">
        <v>87</v>
      </c>
      <c r="J144" s="0" t="s">
        <v>2322</v>
      </c>
      <c r="K144" s="3" t="str">
        <f aca="false" t="array" ref="K144:K144">IFERROR(IF(J144&lt;&gt;"",J144,INDEX(J144:J1143,MATCH(1,(F144:F1143=F144)*(I144:I1143=I144)*(L144:L1143=L144)*(J144:J1143&lt;&gt;""),0))),"Not Found")</f>
        <v>Brake Failure</v>
      </c>
      <c r="L144" s="3" t="s">
        <v>47</v>
      </c>
      <c r="M144" s="0" t="str">
        <f aca="false">PROPER(L144)</f>
        <v>None</v>
      </c>
      <c r="N144" s="3" t="s">
        <v>71</v>
      </c>
      <c r="O144" s="0" t="str">
        <f aca="false" t="array" ref="O144:O144">IF(N144&lt;&gt;"",N144,_xlfn.xlookup(1,(L144:L1143=L144)*(N144:N1143&lt;&gt;""),N144:N1143,"Not Found"))</f>
        <v>Isaac Bobo</v>
      </c>
      <c r="P144" s="4" t="n">
        <v>86318</v>
      </c>
      <c r="Q144" s="0" t="s">
        <v>91</v>
      </c>
      <c r="R144" s="0" t="str">
        <f aca="false">PROPER(Q144)</f>
        <v>Pos</v>
      </c>
      <c r="S144" s="0" t="s">
        <v>63</v>
      </c>
      <c r="T144" s="0" t="n">
        <v>5</v>
      </c>
      <c r="U144" s="5" t="n">
        <f aca="false">IF(ISBLANK(T144),AVERAGE(T144:T1143),T144)</f>
        <v>5</v>
      </c>
      <c r="V144" s="0" t="n">
        <v>1.1</v>
      </c>
      <c r="W144" s="0" t="s">
        <v>111</v>
      </c>
      <c r="X144" s="0" t="str">
        <f aca="false">IF(ISBLANK(W144),"No remarks",W144)</f>
        <v>Changed all filters</v>
      </c>
      <c r="Y144" s="0" t="s">
        <v>52</v>
      </c>
      <c r="Z144" s="0" t="s">
        <v>74</v>
      </c>
      <c r="AA144" s="0" t="str">
        <f aca="false">PROPER(IF(ISBLANK(Z144),"Location Unavailable",Z144))</f>
        <v>Under Tree</v>
      </c>
      <c r="AB144" s="0" t="s">
        <v>147</v>
      </c>
      <c r="AC144" s="6" t="str">
        <f aca="false">PROPER(AB144)</f>
        <v>Instagram</v>
      </c>
      <c r="AD144" s="6" t="n">
        <v>60</v>
      </c>
      <c r="AE144" s="5" t="n">
        <f aca="false">IF(ISBLANK(AD144),AVERAGEIF(L144:L1143,L144,AD144:AD1143),AD144)</f>
        <v>60</v>
      </c>
      <c r="AF144" s="0" t="s">
        <v>112</v>
      </c>
      <c r="AG144" s="0" t="str">
        <f aca="false">PROPER(AF144)</f>
        <v>Unavailable</v>
      </c>
      <c r="AH144" s="0" t="s">
        <v>77</v>
      </c>
      <c r="AI144" s="0" t="s">
        <v>78</v>
      </c>
      <c r="AJ144" s="0" t="str">
        <f aca="false">PROPER(AI144)</f>
        <v>Booking</v>
      </c>
      <c r="AK144" s="0" t="s">
        <v>114</v>
      </c>
      <c r="AL144" s="0" t="str">
        <f aca="false">PROPER(AK144)</f>
        <v>Returning</v>
      </c>
      <c r="AM144" s="0" t="s">
        <v>2324</v>
      </c>
      <c r="AN144" s="0" t="str">
        <f aca="false">IF(ISBLANK(AM144),"Unknown",AM144)</f>
        <v>Logistics Convoy</v>
      </c>
      <c r="AO144" s="0" t="s">
        <v>161</v>
      </c>
      <c r="AP144" s="0" t="str">
        <f aca="false">IF(ISBLANK(AO144),"Unknown",AO144)</f>
        <v>Apprentice</v>
      </c>
      <c r="AR144" s="5" t="n">
        <f aca="false">IF(ISBLANK(AQ144),AVERAGEIF(M144:M1143,M144,AQ144:AQ1143),AQ144)</f>
        <v>25848.2142857143</v>
      </c>
      <c r="AS144" s="0" t="n">
        <v>40000</v>
      </c>
      <c r="AT144" s="5" t="n">
        <f aca="false">IF(ISBLANK(AS144),AVERAGE(AS144:AS1143),AS144)</f>
        <v>40000</v>
      </c>
      <c r="AU144" s="0" t="s">
        <v>50</v>
      </c>
      <c r="AV144" s="0" t="str">
        <f aca="false">PROPER(IF(ISBLANK(AU144),"No",AU144))</f>
        <v>No</v>
      </c>
      <c r="AW144" s="0" t="n">
        <v>5000</v>
      </c>
      <c r="AX144" s="5" t="n">
        <f aca="false">IF(ISBLANK(AW144),0,AW144)</f>
        <v>5000</v>
      </c>
      <c r="AY144" s="0" t="s">
        <v>130</v>
      </c>
      <c r="AZ144" s="0" t="str">
        <f aca="false">UPPER(IF(ISBLANK(AY144),"NONE",AY144))</f>
        <v>LOYALTY10</v>
      </c>
      <c r="BA144" s="7" t="n">
        <v>45815</v>
      </c>
      <c r="BB144" s="7" t="n">
        <f aca="false">IF(ISBLANK(BA144),"No Follow Up Needed",BA144)</f>
        <v>45815</v>
      </c>
      <c r="BC144" s="0" t="s">
        <v>63</v>
      </c>
      <c r="BD144" s="0" t="str">
        <f aca="false">PROPER(IF(ISBLANK(BC144),"Unknown",BC144))</f>
        <v>Yes</v>
      </c>
      <c r="BF144" s="0" t="str">
        <f aca="false">IF(ISBLANK(BE144),"No comments",BE144)</f>
        <v>No comments</v>
      </c>
      <c r="BG144" s="0" t="s">
        <v>117</v>
      </c>
      <c r="BH144" s="0" t="str">
        <f aca="false">IF(ISBLANK(BG144),"No comments",BG144)</f>
        <v>Prefers morning</v>
      </c>
      <c r="BI144" s="0" t="s">
        <v>63</v>
      </c>
      <c r="BJ144" s="0" t="str">
        <f aca="false">IF(ISBLANK(BI144),"Not Mentioned",BI144)</f>
        <v>Yes</v>
      </c>
      <c r="BL144" s="0" t="str">
        <f aca="false">PROPER(IF(ISBLANK(BK144),"Not Mentioned",BK144))</f>
        <v>Not Mentioned</v>
      </c>
      <c r="BM144" s="0" t="s">
        <v>63</v>
      </c>
      <c r="BN144" s="0" t="str">
        <f aca="false">PROPER(IF(ISBLANK(BM144),"Not Mentioned",BM144))</f>
        <v>Yes</v>
      </c>
      <c r="BO144" s="0" t="s">
        <v>64</v>
      </c>
      <c r="BP144" s="0" t="str">
        <f aca="false">IF(ISBLANK(BO144),"One-Time Plan",BO144)</f>
        <v>Gold Maintenance Plan</v>
      </c>
      <c r="BQ144" s="0" t="s">
        <v>50</v>
      </c>
      <c r="BR144" s="0" t="str">
        <f aca="false">PROPER(IF(ISBLANK(BQ144),"No",BQ144))</f>
        <v>No</v>
      </c>
    </row>
    <row r="145" customFormat="false" ht="15" hidden="false" customHeight="false" outlineLevel="0" collapsed="false">
      <c r="A145" s="0" t="s">
        <v>490</v>
      </c>
      <c r="B145" s="2" t="s">
        <v>489</v>
      </c>
      <c r="C145" s="2" t="str">
        <f aca="false">TEXT(B145,"dd/mm/yyyy")</f>
        <v>22/03/2025</v>
      </c>
      <c r="D145" s="0" t="s">
        <v>42</v>
      </c>
      <c r="E145" s="0" t="n">
        <v>8095381661</v>
      </c>
      <c r="F145" s="0" t="s">
        <v>43</v>
      </c>
      <c r="G145" s="0" t="s">
        <v>2315</v>
      </c>
      <c r="H145" s="0" t="s">
        <v>491</v>
      </c>
      <c r="I145" s="0" t="s">
        <v>69</v>
      </c>
      <c r="J145" s="0" t="s">
        <v>87</v>
      </c>
      <c r="K145" s="3" t="str">
        <f aca="false" t="array" ref="K145:K145">IFERROR(IF(J145&lt;&gt;"",J145,INDEX(J145:J1144,MATCH(1,(F145:F1144=F145)*(I145:I1144=I145)*(L145:L1144=L145)*(J145:J1144&lt;&gt;""),0))),"Not Found")</f>
        <v>Oil Change</v>
      </c>
      <c r="L145" s="3" t="s">
        <v>108</v>
      </c>
      <c r="M145" s="0" t="str">
        <f aca="false">PROPER(L145)</f>
        <v>Timing Belt</v>
      </c>
      <c r="O145" s="0" t="e">
        <f aca="false" t="array" ref="O145:O145">IF(N145&lt;&gt;"",N145,_xlfn.xlookup(1,(L145:L1144=L145)*(N145:N1144&lt;&gt;""),N145:N1144,"Not Found"))</f>
        <v>#NAME?</v>
      </c>
      <c r="P145" s="4" t="n">
        <v>67513</v>
      </c>
      <c r="Q145" s="0" t="s">
        <v>72</v>
      </c>
      <c r="R145" s="0" t="str">
        <f aca="false">PROPER(Q145)</f>
        <v>Pos</v>
      </c>
      <c r="S145" s="0" t="s">
        <v>50</v>
      </c>
      <c r="U145" s="5" t="n">
        <f aca="false">IF(ISBLANK(T145),AVERAGE(T145:T1144),T145)</f>
        <v>3</v>
      </c>
      <c r="V145" s="0" t="n">
        <v>3.5</v>
      </c>
      <c r="W145" s="0" t="s">
        <v>92</v>
      </c>
      <c r="X145" s="0" t="str">
        <f aca="false">IF(ISBLANK(W145),"No remarks",W145)</f>
        <v>Urgent service</v>
      </c>
      <c r="Y145" s="0" t="s">
        <v>93</v>
      </c>
      <c r="AA145" s="0" t="str">
        <f aca="false">PROPER(IF(ISBLANK(Z145),"Location Unavailable",Z145))</f>
        <v>Location Unavailable</v>
      </c>
      <c r="AB145" s="0" t="s">
        <v>147</v>
      </c>
      <c r="AC145" s="6" t="str">
        <f aca="false">PROPER(AB145)</f>
        <v>Instagram</v>
      </c>
      <c r="AD145" s="6" t="n">
        <v>45</v>
      </c>
      <c r="AE145" s="5" t="n">
        <f aca="false">IF(ISBLANK(AD145),AVERAGEIF(L145:L1144,L145,AD145:AD1144),AD145)</f>
        <v>45</v>
      </c>
      <c r="AF145" s="0" t="s">
        <v>112</v>
      </c>
      <c r="AG145" s="0" t="str">
        <f aca="false">PROPER(AF145)</f>
        <v>Unavailable</v>
      </c>
      <c r="AH145" s="0" t="s">
        <v>77</v>
      </c>
      <c r="AI145" s="0" t="s">
        <v>98</v>
      </c>
      <c r="AJ145" s="0" t="str">
        <f aca="false">PROPER(AI145)</f>
        <v>Emergency</v>
      </c>
      <c r="AK145" s="0" t="s">
        <v>196</v>
      </c>
      <c r="AL145" s="0" t="str">
        <f aca="false">PROPER(AK145)</f>
        <v>First Time</v>
      </c>
      <c r="AN145" s="0" t="str">
        <f aca="false">IF(ISBLANK(AM145),"Unknown",AM145)</f>
        <v>Unknown</v>
      </c>
      <c r="AO145" s="0" t="s">
        <v>79</v>
      </c>
      <c r="AP145" s="0" t="str">
        <f aca="false">IF(ISBLANK(AO145),"Unknown",AO145)</f>
        <v>Specialist</v>
      </c>
      <c r="AQ145" s="0" t="n">
        <v>30000</v>
      </c>
      <c r="AR145" s="5" t="n">
        <f aca="false">IF(ISBLANK(AQ145),AVERAGEIF(M145:M1144,M145,AQ145:AQ1144),AQ145)</f>
        <v>30000</v>
      </c>
      <c r="AT145" s="5" t="n">
        <f aca="false">IF(ISBLANK(AS145),AVERAGE(AS145:AS1144),AS145)</f>
        <v>31407.3550212164</v>
      </c>
      <c r="AU145" s="0" t="s">
        <v>82</v>
      </c>
      <c r="AV145" s="0" t="str">
        <f aca="false">PROPER(IF(ISBLANK(AU145),"No",AU145))</f>
        <v>Yes</v>
      </c>
      <c r="AX145" s="5" t="n">
        <f aca="false">IF(ISBLANK(AW145),0,AW145)</f>
        <v>0</v>
      </c>
      <c r="AY145" s="0" t="s">
        <v>184</v>
      </c>
      <c r="AZ145" s="0" t="str">
        <f aca="false">UPPER(IF(ISBLANK(AY145),"NONE",AY145))</f>
        <v>N/A</v>
      </c>
      <c r="BA145" s="7" t="n">
        <v>46002</v>
      </c>
      <c r="BB145" s="7" t="n">
        <f aca="false">IF(ISBLANK(BA145),"No Follow Up Needed",BA145)</f>
        <v>46002</v>
      </c>
      <c r="BC145" s="0" t="s">
        <v>61</v>
      </c>
      <c r="BD145" s="0" t="str">
        <f aca="false">PROPER(IF(ISBLANK(BC145),"Unknown",BC145))</f>
        <v>No</v>
      </c>
      <c r="BF145" s="0" t="str">
        <f aca="false">IF(ISBLANK(BE145),"No comments",BE145)</f>
        <v>No comments</v>
      </c>
      <c r="BG145" s="0" t="s">
        <v>2320</v>
      </c>
      <c r="BH145" s="0" t="str">
        <f aca="false">IF(ISBLANK(BG145),"No comments",BG145)</f>
        <v>No complaints</v>
      </c>
      <c r="BI145" s="0" t="s">
        <v>50</v>
      </c>
      <c r="BJ145" s="0" t="str">
        <f aca="false">IF(ISBLANK(BI145),"Not Mentioned",BI145)</f>
        <v>No</v>
      </c>
      <c r="BK145" s="0" t="s">
        <v>63</v>
      </c>
      <c r="BL145" s="0" t="str">
        <f aca="false">PROPER(IF(ISBLANK(BK145),"Not Mentioned",BK145))</f>
        <v>Yes</v>
      </c>
      <c r="BN145" s="0" t="str">
        <f aca="false">PROPER(IF(ISBLANK(BM145),"Not Mentioned",BM145))</f>
        <v>Not Mentioned</v>
      </c>
      <c r="BO145" s="0" t="s">
        <v>2318</v>
      </c>
      <c r="BP145" s="0" t="str">
        <f aca="false">IF(ISBLANK(BO145),"One-Time Plan",BO145)</f>
        <v>Gold</v>
      </c>
      <c r="BQ145" s="0" t="s">
        <v>50</v>
      </c>
      <c r="BR145" s="0" t="str">
        <f aca="false">PROPER(IF(ISBLANK(BQ145),"No",BQ145))</f>
        <v>No</v>
      </c>
    </row>
    <row r="146" customFormat="false" ht="15" hidden="false" customHeight="false" outlineLevel="0" collapsed="false">
      <c r="A146" s="0" t="s">
        <v>492</v>
      </c>
      <c r="B146" s="2" t="n">
        <v>45767</v>
      </c>
      <c r="C146" s="2" t="str">
        <f aca="false">TEXT(B146,"dd/mm/yyyy")</f>
        <v>20/04/2025</v>
      </c>
      <c r="D146" s="0" t="s">
        <v>163</v>
      </c>
      <c r="E146" s="0" t="n">
        <v>8042822896</v>
      </c>
      <c r="F146" s="0" t="s">
        <v>85</v>
      </c>
      <c r="G146" s="0" t="s">
        <v>2319</v>
      </c>
      <c r="H146" s="0" t="s">
        <v>493</v>
      </c>
      <c r="I146" s="0" t="s">
        <v>134</v>
      </c>
      <c r="J146" s="0" t="s">
        <v>2317</v>
      </c>
      <c r="K146" s="3" t="str">
        <f aca="false" t="array" ref="K146:K146">IFERROR(IF(J146&lt;&gt;"",J146,INDEX(J146:J1145,MATCH(1,(F146:F1145=F146)*(I146:I1145=I146)*(L146:L1145=L146)*(J146:J1145&lt;&gt;""),0))),"Not Found")</f>
        <v>Suspension Noise</v>
      </c>
      <c r="L146" s="3" t="s">
        <v>47</v>
      </c>
      <c r="M146" s="0" t="str">
        <f aca="false">PROPER(L146)</f>
        <v>None</v>
      </c>
      <c r="N146" s="3" t="s">
        <v>109</v>
      </c>
      <c r="O146" s="0" t="str">
        <f aca="false" t="array" ref="O146:O146">IF(N146&lt;&gt;"",N146,_xlfn.xlookup(1,(L146:L1145=L146)*(N146:N1145&lt;&gt;""),N146:N1145,"Not Found"))</f>
        <v>Tijani</v>
      </c>
      <c r="P146" s="4" t="n">
        <v>10352</v>
      </c>
      <c r="Q146" s="0" t="s">
        <v>124</v>
      </c>
      <c r="R146" s="0" t="str">
        <f aca="false">PROPER(Q146)</f>
        <v>Cash</v>
      </c>
      <c r="S146" s="0" t="s">
        <v>63</v>
      </c>
      <c r="T146" s="0" t="n">
        <v>5</v>
      </c>
      <c r="U146" s="5" t="n">
        <f aca="false">IF(ISBLANK(T146),AVERAGE(T146:T1145),T146)</f>
        <v>5</v>
      </c>
      <c r="V146" s="0" t="n">
        <v>3.4</v>
      </c>
      <c r="W146" s="0" t="s">
        <v>51</v>
      </c>
      <c r="X146" s="0" t="str">
        <f aca="false">IF(ISBLANK(W146),"No remarks",W146)</f>
        <v>Recommended further checks</v>
      </c>
      <c r="Y146" s="0" t="s">
        <v>52</v>
      </c>
      <c r="Z146" s="0" t="s">
        <v>94</v>
      </c>
      <c r="AA146" s="0" t="str">
        <f aca="false">PROPER(IF(ISBLANK(Z146),"Location Unavailable",Z146))</f>
        <v>Vip Section</v>
      </c>
      <c r="AB146" s="0" t="s">
        <v>75</v>
      </c>
      <c r="AC146" s="6" t="str">
        <f aca="false">PROPER(AB146)</f>
        <v>Mechanik Referal</v>
      </c>
      <c r="AD146" s="6" t="n">
        <v>45</v>
      </c>
      <c r="AE146" s="5" t="n">
        <f aca="false">IF(ISBLANK(AD146),AVERAGEIF(L146:L1145,L146,AD146:AD1145),AD146)</f>
        <v>45</v>
      </c>
      <c r="AF146" s="0" t="s">
        <v>160</v>
      </c>
      <c r="AG146" s="0" t="str">
        <f aca="false">PROPER(AF146)</f>
        <v>Availaible</v>
      </c>
      <c r="AH146" s="0" t="s">
        <v>77</v>
      </c>
      <c r="AI146" s="0" t="s">
        <v>78</v>
      </c>
      <c r="AJ146" s="0" t="str">
        <f aca="false">PROPER(AI146)</f>
        <v>Booking</v>
      </c>
      <c r="AK146" s="0" t="s">
        <v>114</v>
      </c>
      <c r="AL146" s="0" t="str">
        <f aca="false">PROPER(AK146)</f>
        <v>Returning</v>
      </c>
      <c r="AN146" s="0" t="str">
        <f aca="false">IF(ISBLANK(AM146),"Unknown",AM146)</f>
        <v>Unknown</v>
      </c>
      <c r="AO146" s="0" t="s">
        <v>143</v>
      </c>
      <c r="AP146" s="0" t="str">
        <f aca="false">IF(ISBLANK(AO146),"Unknown",AO146)</f>
        <v>Senior</v>
      </c>
      <c r="AQ146" s="0" t="n">
        <v>25000</v>
      </c>
      <c r="AR146" s="5" t="n">
        <f aca="false">IF(ISBLANK(AQ146),AVERAGEIF(M146:M1145,M146,AQ146:AQ1145),AQ146)</f>
        <v>25000</v>
      </c>
      <c r="AS146" s="0" t="n">
        <v>40000</v>
      </c>
      <c r="AT146" s="5" t="n">
        <f aca="false">IF(ISBLANK(AS146),AVERAGE(AS146:AS1145),AS146)</f>
        <v>40000</v>
      </c>
      <c r="AU146" s="0" t="s">
        <v>63</v>
      </c>
      <c r="AV146" s="0" t="str">
        <f aca="false">PROPER(IF(ISBLANK(AU146),"No",AU146))</f>
        <v>Yes</v>
      </c>
      <c r="AW146" s="0" t="n">
        <v>0</v>
      </c>
      <c r="AX146" s="5" t="n">
        <f aca="false">IF(ISBLANK(AW146),0,AW146)</f>
        <v>0</v>
      </c>
      <c r="AY146" s="0" t="s">
        <v>60</v>
      </c>
      <c r="AZ146" s="0" t="str">
        <f aca="false">UPPER(IF(ISBLANK(AY146),"NONE",AY146))</f>
        <v>NONE</v>
      </c>
      <c r="BA146" s="7" t="n">
        <v>45942</v>
      </c>
      <c r="BB146" s="7" t="n">
        <f aca="false">IF(ISBLANK(BA146),"No Follow Up Needed",BA146)</f>
        <v>45942</v>
      </c>
      <c r="BC146" s="0" t="s">
        <v>50</v>
      </c>
      <c r="BD146" s="0" t="str">
        <f aca="false">PROPER(IF(ISBLANK(BC146),"Unknown",BC146))</f>
        <v>No</v>
      </c>
      <c r="BE146" s="0" t="s">
        <v>116</v>
      </c>
      <c r="BF146" s="0" t="str">
        <f aca="false">IF(ISBLANK(BE146),"No comments",BE146)</f>
        <v>Needs tire alignment</v>
      </c>
      <c r="BH146" s="0" t="str">
        <f aca="false">IF(ISBLANK(BG146),"No comments",BG146)</f>
        <v>No comments</v>
      </c>
      <c r="BI146" s="0" t="s">
        <v>63</v>
      </c>
      <c r="BJ146" s="0" t="str">
        <f aca="false">IF(ISBLANK(BI146),"Not Mentioned",BI146)</f>
        <v>Yes</v>
      </c>
      <c r="BK146" s="0" t="s">
        <v>63</v>
      </c>
      <c r="BL146" s="0" t="str">
        <f aca="false">PROPER(IF(ISBLANK(BK146),"Not Mentioned",BK146))</f>
        <v>Yes</v>
      </c>
      <c r="BM146" s="0" t="s">
        <v>63</v>
      </c>
      <c r="BN146" s="0" t="str">
        <f aca="false">PROPER(IF(ISBLANK(BM146),"Not Mentioned",BM146))</f>
        <v>Yes</v>
      </c>
      <c r="BO146" s="0" t="s">
        <v>2321</v>
      </c>
      <c r="BP146" s="0" t="str">
        <f aca="false">IF(ISBLANK(BO146),"One-Time Plan",BO146)</f>
        <v>One-Time Plan</v>
      </c>
      <c r="BQ146" s="0" t="s">
        <v>190</v>
      </c>
      <c r="BR146" s="0" t="str">
        <f aca="false">PROPER(IF(ISBLANK(BQ146),"No",BQ146))</f>
        <v>Yes</v>
      </c>
    </row>
    <row r="147" customFormat="false" ht="15" hidden="false" customHeight="false" outlineLevel="0" collapsed="false">
      <c r="A147" s="0" t="s">
        <v>494</v>
      </c>
      <c r="B147" s="2" t="n">
        <v>45724</v>
      </c>
      <c r="C147" s="2" t="str">
        <f aca="false">TEXT(B147,"dd/mm/yyyy")</f>
        <v>08/03/2025</v>
      </c>
      <c r="D147" s="0" t="s">
        <v>66</v>
      </c>
      <c r="E147" s="0" t="n">
        <v>8016200213</v>
      </c>
      <c r="F147" s="0" t="s">
        <v>67</v>
      </c>
      <c r="G147" s="0" t="s">
        <v>2316</v>
      </c>
      <c r="H147" s="0" t="s">
        <v>495</v>
      </c>
      <c r="I147" s="0" t="s">
        <v>69</v>
      </c>
      <c r="J147" s="0" t="s">
        <v>2317</v>
      </c>
      <c r="K147" s="3" t="str">
        <f aca="false" t="array" ref="K147:K147">IFERROR(IF(J147&lt;&gt;"",J147,INDEX(J147:J1146,MATCH(1,(F147:F1146=F147)*(I147:I1146=I147)*(L147:L1146=L147)*(J147:J1146&lt;&gt;""),0))),"Not Found")</f>
        <v>Suspension Noise</v>
      </c>
      <c r="L147" s="3" t="s">
        <v>189</v>
      </c>
      <c r="M147" s="0" t="str">
        <f aca="false">PROPER(L147)</f>
        <v>Battery</v>
      </c>
      <c r="N147" s="3" t="s">
        <v>48</v>
      </c>
      <c r="O147" s="0" t="str">
        <f aca="false" t="array" ref="O147:O147">IF(N147&lt;&gt;"",N147,_xlfn.xlookup(1,(L147:L1146=L147)*(N147:N1146&lt;&gt;""),N147:N1146,"Not Found"))</f>
        <v>Uche</v>
      </c>
      <c r="P147" s="4" t="n">
        <v>34483</v>
      </c>
      <c r="Q147" s="0" t="s">
        <v>72</v>
      </c>
      <c r="R147" s="0" t="str">
        <f aca="false">PROPER(Q147)</f>
        <v>Pos</v>
      </c>
      <c r="S147" s="0" t="s">
        <v>50</v>
      </c>
      <c r="T147" s="0" t="n">
        <v>4</v>
      </c>
      <c r="U147" s="5" t="n">
        <f aca="false">IF(ISBLANK(T147),AVERAGE(T147:T1146),T147)</f>
        <v>4</v>
      </c>
      <c r="V147" s="0" t="n">
        <v>2.9</v>
      </c>
      <c r="W147" s="0" t="s">
        <v>125</v>
      </c>
      <c r="X147" s="0" t="str">
        <f aca="false">IF(ISBLANK(W147),"No remarks",W147)</f>
        <v>Customer waited</v>
      </c>
      <c r="Y147" s="0" t="s">
        <v>73</v>
      </c>
      <c r="Z147" s="0" t="s">
        <v>136</v>
      </c>
      <c r="AA147" s="0" t="str">
        <f aca="false">PROPER(IF(ISBLANK(Z147),"Location Unavailable",Z147))</f>
        <v>Vip Section</v>
      </c>
      <c r="AB147" s="0" t="s">
        <v>126</v>
      </c>
      <c r="AC147" s="6" t="str">
        <f aca="false">PROPER(AB147)</f>
        <v>Whatsapp</v>
      </c>
      <c r="AE147" s="5" t="n">
        <f aca="false">IF(ISBLANK(AD147),AVERAGEIF(L147:L1146,L147,AD147:AD1146),AD147)</f>
        <v>40.05</v>
      </c>
      <c r="AF147" s="0" t="s">
        <v>112</v>
      </c>
      <c r="AG147" s="0" t="str">
        <f aca="false">PROPER(AF147)</f>
        <v>Unavailable</v>
      </c>
      <c r="AH147" s="0" t="s">
        <v>155</v>
      </c>
      <c r="AI147" s="0" t="s">
        <v>128</v>
      </c>
      <c r="AJ147" s="0" t="str">
        <f aca="false">PROPER(AI147)</f>
        <v>Normal</v>
      </c>
      <c r="AK147" s="0" t="s">
        <v>58</v>
      </c>
      <c r="AL147" s="0" t="str">
        <f aca="false">PROPER(AK147)</f>
        <v>Fleet Owner</v>
      </c>
      <c r="AN147" s="0" t="str">
        <f aca="false">IF(ISBLANK(AM147),"Unknown",AM147)</f>
        <v>Unknown</v>
      </c>
      <c r="AO147" s="0" t="s">
        <v>79</v>
      </c>
      <c r="AP147" s="0" t="str">
        <f aca="false">IF(ISBLANK(AO147),"Unknown",AO147)</f>
        <v>Specialist</v>
      </c>
      <c r="AQ147" s="0" t="n">
        <v>20000</v>
      </c>
      <c r="AR147" s="5" t="n">
        <f aca="false">IF(ISBLANK(AQ147),AVERAGEIF(M147:M1146,M147,AQ147:AQ1146),AQ147)</f>
        <v>20000</v>
      </c>
      <c r="AS147" s="0" t="n">
        <v>35000</v>
      </c>
      <c r="AT147" s="5" t="n">
        <f aca="false">IF(ISBLANK(AS147),AVERAGE(AS147:AS1146),AS147)</f>
        <v>35000</v>
      </c>
      <c r="AU147" s="0" t="s">
        <v>63</v>
      </c>
      <c r="AV147" s="0" t="str">
        <f aca="false">PROPER(IF(ISBLANK(AU147),"No",AU147))</f>
        <v>Yes</v>
      </c>
      <c r="AX147" s="5" t="n">
        <f aca="false">IF(ISBLANK(AW147),0,AW147)</f>
        <v>0</v>
      </c>
      <c r="AZ147" s="0" t="str">
        <f aca="false">UPPER(IF(ISBLANK(AY147),"NONE",AY147))</f>
        <v>NONE</v>
      </c>
      <c r="BA147" s="7" t="n">
        <v>45952</v>
      </c>
      <c r="BB147" s="7" t="n">
        <f aca="false">IF(ISBLANK(BA147),"No Follow Up Needed",BA147)</f>
        <v>45952</v>
      </c>
      <c r="BC147" s="0" t="s">
        <v>61</v>
      </c>
      <c r="BD147" s="0" t="str">
        <f aca="false">PROPER(IF(ISBLANK(BC147),"Unknown",BC147))</f>
        <v>No</v>
      </c>
      <c r="BF147" s="0" t="str">
        <f aca="false">IF(ISBLANK(BE147),"No comments",BE147)</f>
        <v>No comments</v>
      </c>
      <c r="BG147" s="0" t="s">
        <v>2320</v>
      </c>
      <c r="BH147" s="0" t="str">
        <f aca="false">IF(ISBLANK(BG147),"No comments",BG147)</f>
        <v>No complaints</v>
      </c>
      <c r="BI147" s="0" t="s">
        <v>63</v>
      </c>
      <c r="BJ147" s="0" t="str">
        <f aca="false">IF(ISBLANK(BI147),"Not Mentioned",BI147)</f>
        <v>Yes</v>
      </c>
      <c r="BK147" s="0" t="s">
        <v>63</v>
      </c>
      <c r="BL147" s="0" t="str">
        <f aca="false">PROPER(IF(ISBLANK(BK147),"Not Mentioned",BK147))</f>
        <v>Yes</v>
      </c>
      <c r="BM147" s="0" t="s">
        <v>50</v>
      </c>
      <c r="BN147" s="0" t="str">
        <f aca="false">PROPER(IF(ISBLANK(BM147),"Not Mentioned",BM147))</f>
        <v>No</v>
      </c>
      <c r="BO147" s="0" t="s">
        <v>2321</v>
      </c>
      <c r="BP147" s="0" t="str">
        <f aca="false">IF(ISBLANK(BO147),"One-Time Plan",BO147)</f>
        <v>One-Time Plan</v>
      </c>
      <c r="BQ147" s="0" t="s">
        <v>190</v>
      </c>
      <c r="BR147" s="0" t="str">
        <f aca="false">PROPER(IF(ISBLANK(BQ147),"No",BQ147))</f>
        <v>Yes</v>
      </c>
    </row>
    <row r="148" customFormat="false" ht="15" hidden="false" customHeight="false" outlineLevel="0" collapsed="false">
      <c r="A148" s="0" t="s">
        <v>496</v>
      </c>
      <c r="B148" s="2" t="n">
        <v>45751</v>
      </c>
      <c r="C148" s="2" t="str">
        <f aca="false">TEXT(B148,"dd/mm/yyyy")</f>
        <v>04/04/2025</v>
      </c>
      <c r="D148" s="0" t="s">
        <v>121</v>
      </c>
      <c r="E148" s="0" t="n">
        <v>8092681879</v>
      </c>
      <c r="F148" s="0" t="s">
        <v>139</v>
      </c>
      <c r="G148" s="0" t="s">
        <v>2323</v>
      </c>
      <c r="H148" s="0" t="s">
        <v>497</v>
      </c>
      <c r="I148" s="0" t="s">
        <v>107</v>
      </c>
      <c r="J148" s="0" t="s">
        <v>2317</v>
      </c>
      <c r="K148" s="3" t="str">
        <f aca="false" t="array" ref="K148:K148">IFERROR(IF(J148&lt;&gt;"",J148,INDEX(J148:J1147,MATCH(1,(F148:F1147=F148)*(I148:I1147=I148)*(L148:L1147=L148)*(J148:J1147&lt;&gt;""),0))),"Not Found")</f>
        <v>Suspension Noise</v>
      </c>
      <c r="L148" s="3" t="s">
        <v>142</v>
      </c>
      <c r="M148" s="0" t="str">
        <f aca="false">PROPER(L148)</f>
        <v>Oil Filter, Brake Pads</v>
      </c>
      <c r="N148" s="3" t="s">
        <v>90</v>
      </c>
      <c r="O148" s="0" t="str">
        <f aca="false" t="array" ref="O148:O148">IF(N148&lt;&gt;"",N148,_xlfn.xlookup(1,(L148:L1147=L148)*(N148:N1147&lt;&gt;""),N148:N1147,"Not Found"))</f>
        <v>Musa</v>
      </c>
      <c r="P148" s="4" t="n">
        <v>84847</v>
      </c>
      <c r="Q148" s="0" t="s">
        <v>166</v>
      </c>
      <c r="R148" s="0" t="str">
        <f aca="false">PROPER(Q148)</f>
        <v>Transfer</v>
      </c>
      <c r="S148" s="0" t="s">
        <v>63</v>
      </c>
      <c r="T148" s="0" t="n">
        <v>2</v>
      </c>
      <c r="U148" s="5" t="n">
        <f aca="false">IF(ISBLANK(T148),AVERAGE(T148:T1147),T148)</f>
        <v>2</v>
      </c>
      <c r="V148" s="0" t="n">
        <v>3.7</v>
      </c>
      <c r="W148" s="0" t="s">
        <v>51</v>
      </c>
      <c r="X148" s="0" t="str">
        <f aca="false">IF(ISBLANK(W148),"No remarks",W148)</f>
        <v>Recommended further checks</v>
      </c>
      <c r="Y148" s="0" t="s">
        <v>52</v>
      </c>
      <c r="Z148" s="0" t="s">
        <v>74</v>
      </c>
      <c r="AA148" s="0" t="str">
        <f aca="false">PROPER(IF(ISBLANK(Z148),"Location Unavailable",Z148))</f>
        <v>Under Tree</v>
      </c>
      <c r="AB148" s="0" t="s">
        <v>54</v>
      </c>
      <c r="AC148" s="6" t="str">
        <f aca="false">PROPER(AB148)</f>
        <v>Mechanic Referral</v>
      </c>
      <c r="AD148" s="6" t="n">
        <v>45</v>
      </c>
      <c r="AE148" s="5" t="n">
        <f aca="false">IF(ISBLANK(AD148),AVERAGEIF(L148:L1147,L148,AD148:AD1147),AD148)</f>
        <v>45</v>
      </c>
      <c r="AF148" s="0" t="s">
        <v>55</v>
      </c>
      <c r="AG148" s="0" t="str">
        <f aca="false">PROPER(AF148)</f>
        <v>Available</v>
      </c>
      <c r="AH148" s="0" t="s">
        <v>56</v>
      </c>
      <c r="AI148" s="0" t="s">
        <v>113</v>
      </c>
      <c r="AJ148" s="0" t="str">
        <f aca="false">PROPER(AI148)</f>
        <v>Normal</v>
      </c>
      <c r="AK148" s="0" t="s">
        <v>114</v>
      </c>
      <c r="AL148" s="0" t="str">
        <f aca="false">PROPER(AK148)</f>
        <v>Returning</v>
      </c>
      <c r="AM148" s="0" t="s">
        <v>2324</v>
      </c>
      <c r="AN148" s="0" t="str">
        <f aca="false">IF(ISBLANK(AM148),"Unknown",AM148)</f>
        <v>Logistics Convoy</v>
      </c>
      <c r="AO148" s="0" t="s">
        <v>143</v>
      </c>
      <c r="AP148" s="0" t="str">
        <f aca="false">IF(ISBLANK(AO148),"Unknown",AO148)</f>
        <v>Senior</v>
      </c>
      <c r="AQ148" s="0" t="n">
        <v>15000</v>
      </c>
      <c r="AR148" s="5" t="n">
        <f aca="false">IF(ISBLANK(AQ148),AVERAGEIF(M148:M1147,M148,AQ148:AQ1147),AQ148)</f>
        <v>15000</v>
      </c>
      <c r="AS148" s="0" t="n">
        <v>40000</v>
      </c>
      <c r="AT148" s="5" t="n">
        <f aca="false">IF(ISBLANK(AS148),AVERAGE(AS148:AS1147),AS148)</f>
        <v>40000</v>
      </c>
      <c r="AU148" s="0" t="s">
        <v>82</v>
      </c>
      <c r="AV148" s="0" t="str">
        <f aca="false">PROPER(IF(ISBLANK(AU148),"No",AU148))</f>
        <v>Yes</v>
      </c>
      <c r="AW148" s="0" t="n">
        <v>0</v>
      </c>
      <c r="AX148" s="5" t="n">
        <f aca="false">IF(ISBLANK(AW148),0,AW148)</f>
        <v>0</v>
      </c>
      <c r="AY148" s="0" t="s">
        <v>60</v>
      </c>
      <c r="AZ148" s="0" t="str">
        <f aca="false">UPPER(IF(ISBLANK(AY148),"NONE",AY148))</f>
        <v>NONE</v>
      </c>
      <c r="BA148" s="7" t="n">
        <v>45819</v>
      </c>
      <c r="BB148" s="7" t="n">
        <f aca="false">IF(ISBLANK(BA148),"No Follow Up Needed",BA148)</f>
        <v>45819</v>
      </c>
      <c r="BC148" s="0" t="s">
        <v>82</v>
      </c>
      <c r="BD148" s="0" t="str">
        <f aca="false">PROPER(IF(ISBLANK(BC148),"Unknown",BC148))</f>
        <v>Yes</v>
      </c>
      <c r="BF148" s="0" t="str">
        <f aca="false">IF(ISBLANK(BE148),"No comments",BE148)</f>
        <v>No comments</v>
      </c>
      <c r="BG148" s="0" t="s">
        <v>117</v>
      </c>
      <c r="BH148" s="0" t="str">
        <f aca="false">IF(ISBLANK(BG148),"No comments",BG148)</f>
        <v>Prefers morning</v>
      </c>
      <c r="BI148" s="0" t="s">
        <v>50</v>
      </c>
      <c r="BJ148" s="0" t="str">
        <f aca="false">IF(ISBLANK(BI148),"Not Mentioned",BI148)</f>
        <v>No</v>
      </c>
      <c r="BL148" s="0" t="str">
        <f aca="false">PROPER(IF(ISBLANK(BK148),"Not Mentioned",BK148))</f>
        <v>Not Mentioned</v>
      </c>
      <c r="BM148" s="0" t="s">
        <v>63</v>
      </c>
      <c r="BN148" s="0" t="str">
        <f aca="false">PROPER(IF(ISBLANK(BM148),"Not Mentioned",BM148))</f>
        <v>Yes</v>
      </c>
      <c r="BO148" s="0" t="s">
        <v>2321</v>
      </c>
      <c r="BP148" s="0" t="str">
        <f aca="false">IF(ISBLANK(BO148),"One-Time Plan",BO148)</f>
        <v>One-Time Plan</v>
      </c>
      <c r="BQ148" s="0" t="s">
        <v>63</v>
      </c>
      <c r="BR148" s="0" t="str">
        <f aca="false">PROPER(IF(ISBLANK(BQ148),"No",BQ148))</f>
        <v>Yes</v>
      </c>
    </row>
    <row r="149" customFormat="false" ht="15" hidden="false" customHeight="false" outlineLevel="0" collapsed="false">
      <c r="A149" s="0" t="s">
        <v>498</v>
      </c>
      <c r="B149" s="2" t="n">
        <v>45995</v>
      </c>
      <c r="C149" s="2" t="str">
        <f aca="false">TEXT(B149,"dd/mm/yyyy")</f>
        <v>04/12/2025</v>
      </c>
      <c r="D149" s="0" t="s">
        <v>105</v>
      </c>
      <c r="E149" s="0" t="n">
        <v>8088829544</v>
      </c>
      <c r="F149" s="0" t="s">
        <v>122</v>
      </c>
      <c r="G149" s="0" t="s">
        <v>2316</v>
      </c>
      <c r="H149" s="0" t="s">
        <v>499</v>
      </c>
      <c r="I149" s="0" t="s">
        <v>134</v>
      </c>
      <c r="J149" s="0" t="s">
        <v>2325</v>
      </c>
      <c r="K149" s="3" t="str">
        <f aca="false" t="array" ref="K149:K149">IFERROR(IF(J149&lt;&gt;"",J149,INDEX(J149:J1148,MATCH(1,(F149:F1148=F149)*(I149:I1148=I149)*(L149:L1148=L149)*(J149:J1148&lt;&gt;""),0))),"Not Found")</f>
        <v>Engine Knocking</v>
      </c>
      <c r="L149" s="3" t="s">
        <v>142</v>
      </c>
      <c r="M149" s="0" t="str">
        <f aca="false">PROPER(L149)</f>
        <v>Oil Filter, Brake Pads</v>
      </c>
      <c r="N149" s="3" t="s">
        <v>90</v>
      </c>
      <c r="O149" s="0" t="str">
        <f aca="false" t="array" ref="O149:O149">IF(N149&lt;&gt;"",N149,_xlfn.xlookup(1,(L149:L1148=L149)*(N149:N1148&lt;&gt;""),N149:N1148,"Not Found"))</f>
        <v>Musa</v>
      </c>
      <c r="P149" s="4" t="n">
        <v>32849</v>
      </c>
      <c r="Q149" s="0" t="s">
        <v>72</v>
      </c>
      <c r="R149" s="0" t="str">
        <f aca="false">PROPER(Q149)</f>
        <v>Pos</v>
      </c>
      <c r="S149" s="0" t="s">
        <v>63</v>
      </c>
      <c r="T149" s="0" t="n">
        <v>3</v>
      </c>
      <c r="U149" s="5" t="n">
        <f aca="false">IF(ISBLANK(T149),AVERAGE(T149:T1148),T149)</f>
        <v>3</v>
      </c>
      <c r="V149" s="0" t="n">
        <v>4.4</v>
      </c>
      <c r="W149" s="0" t="s">
        <v>125</v>
      </c>
      <c r="X149" s="0" t="str">
        <f aca="false">IF(ISBLANK(W149),"No remarks",W149)</f>
        <v>Customer waited</v>
      </c>
      <c r="Y149" s="0" t="s">
        <v>93</v>
      </c>
      <c r="Z149" s="0" t="s">
        <v>159</v>
      </c>
      <c r="AA149" s="0" t="str">
        <f aca="false">PROPER(IF(ISBLANK(Z149),"Location Unavailable",Z149))</f>
        <v>Main Bay</v>
      </c>
      <c r="AB149" s="0" t="s">
        <v>95</v>
      </c>
      <c r="AC149" s="6" t="str">
        <f aca="false">PROPER(AB149)</f>
        <v>Road Sign</v>
      </c>
      <c r="AD149" s="6" t="n">
        <v>45</v>
      </c>
      <c r="AE149" s="5" t="n">
        <f aca="false">IF(ISBLANK(AD149),AVERAGEIF(L149:L1148,L149,AD149:AD1148),AD149)</f>
        <v>45</v>
      </c>
      <c r="AF149" s="0" t="s">
        <v>76</v>
      </c>
      <c r="AG149" s="0" t="str">
        <f aca="false">PROPER(AF149)</f>
        <v>Orderd</v>
      </c>
      <c r="AH149" s="0" t="s">
        <v>77</v>
      </c>
      <c r="AI149" s="0" t="s">
        <v>113</v>
      </c>
      <c r="AJ149" s="0" t="str">
        <f aca="false">PROPER(AI149)</f>
        <v>Normal</v>
      </c>
      <c r="AK149" s="0" t="s">
        <v>196</v>
      </c>
      <c r="AL149" s="0" t="str">
        <f aca="false">PROPER(AK149)</f>
        <v>First Time</v>
      </c>
      <c r="AM149" s="0" t="s">
        <v>2326</v>
      </c>
      <c r="AN149" s="0" t="str">
        <f aca="false">IF(ISBLANK(AM149),"Unknown",AM149)</f>
        <v>Government Convoy</v>
      </c>
      <c r="AO149" s="0" t="s">
        <v>79</v>
      </c>
      <c r="AP149" s="0" t="str">
        <f aca="false">IF(ISBLANK(AO149),"Unknown",AO149)</f>
        <v>Specialist</v>
      </c>
      <c r="AR149" s="5" t="n">
        <f aca="false">IF(ISBLANK(AQ149),AVERAGEIF(M149:M1148,M149,AQ149:AQ1148),AQ149)</f>
        <v>26363.6363636364</v>
      </c>
      <c r="AS149" s="0" t="n">
        <v>40000</v>
      </c>
      <c r="AT149" s="5" t="n">
        <f aca="false">IF(ISBLANK(AS149),AVERAGE(AS149:AS1148),AS149)</f>
        <v>40000</v>
      </c>
      <c r="AU149" s="0" t="s">
        <v>63</v>
      </c>
      <c r="AV149" s="0" t="str">
        <f aca="false">PROPER(IF(ISBLANK(AU149),"No",AU149))</f>
        <v>Yes</v>
      </c>
      <c r="AW149" s="0" t="n">
        <v>0</v>
      </c>
      <c r="AX149" s="5" t="n">
        <f aca="false">IF(ISBLANK(AW149),0,AW149)</f>
        <v>0</v>
      </c>
      <c r="AY149" s="0" t="s">
        <v>60</v>
      </c>
      <c r="AZ149" s="0" t="str">
        <f aca="false">UPPER(IF(ISBLANK(AY149),"NONE",AY149))</f>
        <v>NONE</v>
      </c>
      <c r="BB149" s="7" t="str">
        <f aca="false">IF(ISBLANK(BA149),"No Follow Up Needed",BA149)</f>
        <v>No Follow Up Needed</v>
      </c>
      <c r="BC149" s="0" t="s">
        <v>61</v>
      </c>
      <c r="BD149" s="0" t="str">
        <f aca="false">PROPER(IF(ISBLANK(BC149),"Unknown",BC149))</f>
        <v>No</v>
      </c>
      <c r="BE149" s="0" t="s">
        <v>171</v>
      </c>
      <c r="BF149" s="0" t="str">
        <f aca="false">IF(ISBLANK(BE149),"No comments",BE149)</f>
        <v>Shock absorber weakening</v>
      </c>
      <c r="BH149" s="0" t="str">
        <f aca="false">IF(ISBLANK(BG149),"No comments",BG149)</f>
        <v>No comments</v>
      </c>
      <c r="BI149" s="0" t="s">
        <v>50</v>
      </c>
      <c r="BJ149" s="0" t="str">
        <f aca="false">IF(ISBLANK(BI149),"Not Mentioned",BI149)</f>
        <v>No</v>
      </c>
      <c r="BL149" s="0" t="str">
        <f aca="false">PROPER(IF(ISBLANK(BK149),"Not Mentioned",BK149))</f>
        <v>Not Mentioned</v>
      </c>
      <c r="BN149" s="0" t="str">
        <f aca="false">PROPER(IF(ISBLANK(BM149),"Not Mentioned",BM149))</f>
        <v>Not Mentioned</v>
      </c>
      <c r="BO149" s="0" t="s">
        <v>64</v>
      </c>
      <c r="BP149" s="0" t="str">
        <f aca="false">IF(ISBLANK(BO149),"One-Time Plan",BO149)</f>
        <v>Gold Maintenance Plan</v>
      </c>
      <c r="BQ149" s="0" t="s">
        <v>50</v>
      </c>
      <c r="BR149" s="0" t="str">
        <f aca="false">PROPER(IF(ISBLANK(BQ149),"No",BQ149))</f>
        <v>No</v>
      </c>
    </row>
    <row r="150" customFormat="false" ht="15" hidden="false" customHeight="false" outlineLevel="0" collapsed="false">
      <c r="A150" s="0" t="s">
        <v>500</v>
      </c>
      <c r="B150" s="2" t="n">
        <v>45799</v>
      </c>
      <c r="C150" s="2" t="str">
        <f aca="false">TEXT(B150,"dd/mm/yyyy")</f>
        <v>22/05/2025</v>
      </c>
      <c r="D150" s="0" t="s">
        <v>105</v>
      </c>
      <c r="E150" s="0" t="n">
        <v>8035380862</v>
      </c>
      <c r="F150" s="0" t="s">
        <v>139</v>
      </c>
      <c r="G150" s="0" t="s">
        <v>2323</v>
      </c>
      <c r="H150" s="0" t="s">
        <v>501</v>
      </c>
      <c r="I150" s="0" t="s">
        <v>134</v>
      </c>
      <c r="K150" s="3" t="str">
        <f aca="false" t="array" ref="K150:K150">IFERROR(IF(J150&lt;&gt;"",J150,INDEX(J150:J1149,MATCH(1,(F150:F1149=F150)*(I150:I1149=I150)*(L150:L1149=L150)*(J150:J1149&lt;&gt;""),0))),"Not Found")</f>
        <v>Suspension Noise</v>
      </c>
      <c r="L150" s="3" t="s">
        <v>47</v>
      </c>
      <c r="M150" s="0" t="str">
        <f aca="false">PROPER(L150)</f>
        <v>None</v>
      </c>
      <c r="O150" s="0" t="e">
        <f aca="false" t="array" ref="O150:O150">IF(N150&lt;&gt;"",N150,_xlfn.xlookup(1,(L150:L1149=L150)*(N150:N1149&lt;&gt;""),N150:N1149,"Not Found"))</f>
        <v>#NAME?</v>
      </c>
      <c r="P150" s="4" t="n">
        <v>67690</v>
      </c>
      <c r="Q150" s="0" t="s">
        <v>72</v>
      </c>
      <c r="R150" s="0" t="str">
        <f aca="false">PROPER(Q150)</f>
        <v>Pos</v>
      </c>
      <c r="S150" s="0" t="s">
        <v>50</v>
      </c>
      <c r="T150" s="0" t="n">
        <v>5</v>
      </c>
      <c r="U150" s="5" t="n">
        <f aca="false">IF(ISBLANK(T150),AVERAGE(T150:T1149),T150)</f>
        <v>5</v>
      </c>
      <c r="V150" s="0" t="n">
        <v>2.6</v>
      </c>
      <c r="X150" s="0" t="str">
        <f aca="false">IF(ISBLANK(W150),"No remarks",W150)</f>
        <v>No remarks</v>
      </c>
      <c r="Y150" s="0" t="s">
        <v>52</v>
      </c>
      <c r="AA150" s="0" t="str">
        <f aca="false">PROPER(IF(ISBLANK(Z150),"Location Unavailable",Z150))</f>
        <v>Location Unavailable</v>
      </c>
      <c r="AB150" s="0" t="s">
        <v>147</v>
      </c>
      <c r="AC150" s="6" t="str">
        <f aca="false">PROPER(AB150)</f>
        <v>Instagram</v>
      </c>
      <c r="AD150" s="6" t="n">
        <v>45</v>
      </c>
      <c r="AE150" s="5" t="n">
        <f aca="false">IF(ISBLANK(AD150),AVERAGEIF(L150:L1149,L150,AD150:AD1149),AD150)</f>
        <v>45</v>
      </c>
      <c r="AF150" s="0" t="s">
        <v>160</v>
      </c>
      <c r="AG150" s="0" t="str">
        <f aca="false">PROPER(AF150)</f>
        <v>Availaible</v>
      </c>
      <c r="AH150" s="0" t="s">
        <v>155</v>
      </c>
      <c r="AI150" s="0" t="s">
        <v>113</v>
      </c>
      <c r="AJ150" s="0" t="str">
        <f aca="false">PROPER(AI150)</f>
        <v>Normal</v>
      </c>
      <c r="AK150" s="0" t="s">
        <v>99</v>
      </c>
      <c r="AL150" s="0" t="str">
        <f aca="false">PROPER(AK150)</f>
        <v>Uber Driver</v>
      </c>
      <c r="AN150" s="0" t="str">
        <f aca="false">IF(ISBLANK(AM150),"Unknown",AM150)</f>
        <v>Unknown</v>
      </c>
      <c r="AO150" s="0" t="s">
        <v>79</v>
      </c>
      <c r="AP150" s="0" t="str">
        <f aca="false">IF(ISBLANK(AO150),"Unknown",AO150)</f>
        <v>Specialist</v>
      </c>
      <c r="AQ150" s="0" t="n">
        <v>20000</v>
      </c>
      <c r="AR150" s="5" t="n">
        <f aca="false">IF(ISBLANK(AQ150),AVERAGEIF(M150:M1149,M150,AQ150:AQ1149),AQ150)</f>
        <v>20000</v>
      </c>
      <c r="AS150" s="0" t="n">
        <v>30000</v>
      </c>
      <c r="AT150" s="5" t="n">
        <f aca="false">IF(ISBLANK(AS150),AVERAGE(AS150:AS1149),AS150)</f>
        <v>30000</v>
      </c>
      <c r="AU150" s="0" t="s">
        <v>61</v>
      </c>
      <c r="AV150" s="0" t="str">
        <f aca="false">PROPER(IF(ISBLANK(AU150),"No",AU150))</f>
        <v>No</v>
      </c>
      <c r="AW150" s="0" t="n">
        <v>10000</v>
      </c>
      <c r="AX150" s="5" t="n">
        <f aca="false">IF(ISBLANK(AW150),0,AW150)</f>
        <v>10000</v>
      </c>
      <c r="AZ150" s="0" t="str">
        <f aca="false">UPPER(IF(ISBLANK(AY150),"NONE",AY150))</f>
        <v>NONE</v>
      </c>
      <c r="BB150" s="7" t="str">
        <f aca="false">IF(ISBLANK(BA150),"No Follow Up Needed",BA150)</f>
        <v>No Follow Up Needed</v>
      </c>
      <c r="BC150" s="0" t="s">
        <v>50</v>
      </c>
      <c r="BD150" s="0" t="str">
        <f aca="false">PROPER(IF(ISBLANK(BC150),"Unknown",BC150))</f>
        <v>No</v>
      </c>
      <c r="BE150" s="0" t="s">
        <v>116</v>
      </c>
      <c r="BF150" s="0" t="str">
        <f aca="false">IF(ISBLANK(BE150),"No comments",BE150)</f>
        <v>Needs tire alignment</v>
      </c>
      <c r="BG150" s="0" t="s">
        <v>2320</v>
      </c>
      <c r="BH150" s="0" t="str">
        <f aca="false">IF(ISBLANK(BG150),"No comments",BG150)</f>
        <v>No complaints</v>
      </c>
      <c r="BJ150" s="0" t="str">
        <f aca="false">IF(ISBLANK(BI150),"Not Mentioned",BI150)</f>
        <v>Not Mentioned</v>
      </c>
      <c r="BK150" s="0" t="s">
        <v>61</v>
      </c>
      <c r="BL150" s="0" t="str">
        <f aca="false">PROPER(IF(ISBLANK(BK150),"Not Mentioned",BK150))</f>
        <v>No</v>
      </c>
      <c r="BM150" s="0" t="s">
        <v>63</v>
      </c>
      <c r="BN150" s="0" t="str">
        <f aca="false">PROPER(IF(ISBLANK(BM150),"Not Mentioned",BM150))</f>
        <v>Yes</v>
      </c>
      <c r="BP150" s="0" t="str">
        <f aca="false">IF(ISBLANK(BO150),"One-Time Plan",BO150)</f>
        <v>One-Time Plan</v>
      </c>
      <c r="BQ150" s="0" t="s">
        <v>63</v>
      </c>
      <c r="BR150" s="0" t="str">
        <f aca="false">PROPER(IF(ISBLANK(BQ150),"No",BQ150))</f>
        <v>Yes</v>
      </c>
    </row>
    <row r="151" customFormat="false" ht="15" hidden="false" customHeight="false" outlineLevel="0" collapsed="false">
      <c r="A151" s="0" t="s">
        <v>503</v>
      </c>
      <c r="B151" s="2" t="s">
        <v>502</v>
      </c>
      <c r="C151" s="2" t="str">
        <f aca="false">TEXT(B151,"dd/mm/yyyy")</f>
        <v>24/05/2025</v>
      </c>
      <c r="D151" s="0" t="s">
        <v>121</v>
      </c>
      <c r="E151" s="0" t="n">
        <v>8081869344</v>
      </c>
      <c r="F151" s="0" t="s">
        <v>139</v>
      </c>
      <c r="G151" s="0" t="s">
        <v>2323</v>
      </c>
      <c r="H151" s="0" t="s">
        <v>504</v>
      </c>
      <c r="I151" s="0" t="s">
        <v>69</v>
      </c>
      <c r="J151" s="0" t="s">
        <v>2322</v>
      </c>
      <c r="K151" s="3" t="str">
        <f aca="false" t="array" ref="K151:K151">IFERROR(IF(J151&lt;&gt;"",J151,INDEX(J151:J1150,MATCH(1,(F151:F1150=F151)*(I151:I1150=I151)*(L151:L1150=L151)*(J151:J1150&lt;&gt;""),0))),"Not Found")</f>
        <v>Brake Failure</v>
      </c>
      <c r="L151" s="3" t="s">
        <v>47</v>
      </c>
      <c r="M151" s="0" t="str">
        <f aca="false">PROPER(L151)</f>
        <v>None</v>
      </c>
      <c r="N151" s="3" t="s">
        <v>71</v>
      </c>
      <c r="O151" s="0" t="str">
        <f aca="false" t="array" ref="O151:O151">IF(N151&lt;&gt;"",N151,_xlfn.xlookup(1,(L151:L1150=L151)*(N151:N1150&lt;&gt;""),N151:N1150,"Not Found"))</f>
        <v>Isaac Bobo</v>
      </c>
      <c r="P151" s="4" t="n">
        <v>19159</v>
      </c>
      <c r="Q151" s="0" t="s">
        <v>49</v>
      </c>
      <c r="R151" s="0" t="str">
        <f aca="false">PROPER(Q151)</f>
        <v>Transfer</v>
      </c>
      <c r="S151" s="0" t="s">
        <v>63</v>
      </c>
      <c r="T151" s="0" t="n">
        <v>3</v>
      </c>
      <c r="U151" s="5" t="n">
        <f aca="false">IF(ISBLANK(T151),AVERAGE(T151:T1150),T151)</f>
        <v>3</v>
      </c>
      <c r="V151" s="0" t="n">
        <v>4</v>
      </c>
      <c r="W151" s="0" t="s">
        <v>125</v>
      </c>
      <c r="X151" s="0" t="str">
        <f aca="false">IF(ISBLANK(W151),"No remarks",W151)</f>
        <v>Customer waited</v>
      </c>
      <c r="Y151" s="0" t="s">
        <v>73</v>
      </c>
      <c r="Z151" s="0" t="s">
        <v>53</v>
      </c>
      <c r="AA151" s="0" t="str">
        <f aca="false">PROPER(IF(ISBLANK(Z151),"Location Unavailable",Z151))</f>
        <v>Main Bay</v>
      </c>
      <c r="AB151" s="0" t="s">
        <v>95</v>
      </c>
      <c r="AC151" s="6" t="str">
        <f aca="false">PROPER(AB151)</f>
        <v>Road Sign</v>
      </c>
      <c r="AD151" s="6" t="n">
        <v>30</v>
      </c>
      <c r="AE151" s="5" t="n">
        <f aca="false">IF(ISBLANK(AD151),AVERAGEIF(L151:L1150,L151,AD151:AD1150),AD151)</f>
        <v>30</v>
      </c>
      <c r="AF151" s="0" t="s">
        <v>160</v>
      </c>
      <c r="AG151" s="0" t="str">
        <f aca="false">PROPER(AF151)</f>
        <v>Availaible</v>
      </c>
      <c r="AH151" s="0" t="s">
        <v>56</v>
      </c>
      <c r="AI151" s="0" t="s">
        <v>98</v>
      </c>
      <c r="AJ151" s="0" t="str">
        <f aca="false">PROPER(AI151)</f>
        <v>Emergency</v>
      </c>
      <c r="AK151" s="0" t="s">
        <v>58</v>
      </c>
      <c r="AL151" s="0" t="str">
        <f aca="false">PROPER(AK151)</f>
        <v>Fleet Owner</v>
      </c>
      <c r="AM151" s="0" t="s">
        <v>2324</v>
      </c>
      <c r="AN151" s="0" t="str">
        <f aca="false">IF(ISBLANK(AM151),"Unknown",AM151)</f>
        <v>Logistics Convoy</v>
      </c>
      <c r="AO151" s="0" t="s">
        <v>79</v>
      </c>
      <c r="AP151" s="0" t="str">
        <f aca="false">IF(ISBLANK(AO151),"Unknown",AO151)</f>
        <v>Specialist</v>
      </c>
      <c r="AQ151" s="0" t="n">
        <v>25000</v>
      </c>
      <c r="AR151" s="5" t="n">
        <f aca="false">IF(ISBLANK(AQ151),AVERAGEIF(M151:M1150,M151,AQ151:AQ1150),AQ151)</f>
        <v>25000</v>
      </c>
      <c r="AS151" s="0" t="n">
        <v>20000</v>
      </c>
      <c r="AT151" s="5" t="n">
        <f aca="false">IF(ISBLANK(AS151),AVERAGE(AS151:AS1150),AS151)</f>
        <v>20000</v>
      </c>
      <c r="AV151" s="0" t="str">
        <f aca="false">PROPER(IF(ISBLANK(AU151),"No",AU151))</f>
        <v>No</v>
      </c>
      <c r="AW151" s="0" t="n">
        <v>0</v>
      </c>
      <c r="AX151" s="5" t="n">
        <f aca="false">IF(ISBLANK(AW151),0,AW151)</f>
        <v>0</v>
      </c>
      <c r="AY151" s="0" t="s">
        <v>184</v>
      </c>
      <c r="AZ151" s="0" t="str">
        <f aca="false">UPPER(IF(ISBLANK(AY151),"NONE",AY151))</f>
        <v>N/A</v>
      </c>
      <c r="BA151" s="7" t="n">
        <v>45666</v>
      </c>
      <c r="BB151" s="7" t="n">
        <f aca="false">IF(ISBLANK(BA151),"No Follow Up Needed",BA151)</f>
        <v>45666</v>
      </c>
      <c r="BC151" s="0" t="s">
        <v>82</v>
      </c>
      <c r="BD151" s="0" t="str">
        <f aca="false">PROPER(IF(ISBLANK(BC151),"Unknown",BC151))</f>
        <v>Yes</v>
      </c>
      <c r="BE151" s="0" t="s">
        <v>171</v>
      </c>
      <c r="BF151" s="0" t="str">
        <f aca="false">IF(ISBLANK(BE151),"No comments",BE151)</f>
        <v>Shock absorber weakening</v>
      </c>
      <c r="BG151" s="0" t="s">
        <v>2320</v>
      </c>
      <c r="BH151" s="0" t="str">
        <f aca="false">IF(ISBLANK(BG151),"No comments",BG151)</f>
        <v>No complaints</v>
      </c>
      <c r="BI151" s="0" t="s">
        <v>50</v>
      </c>
      <c r="BJ151" s="0" t="str">
        <f aca="false">IF(ISBLANK(BI151),"Not Mentioned",BI151)</f>
        <v>No</v>
      </c>
      <c r="BK151" s="0" t="s">
        <v>61</v>
      </c>
      <c r="BL151" s="0" t="str">
        <f aca="false">PROPER(IF(ISBLANK(BK151),"Not Mentioned",BK151))</f>
        <v>No</v>
      </c>
      <c r="BN151" s="0" t="str">
        <f aca="false">PROPER(IF(ISBLANK(BM151),"Not Mentioned",BM151))</f>
        <v>Not Mentioned</v>
      </c>
      <c r="BO151" s="0" t="s">
        <v>64</v>
      </c>
      <c r="BP151" s="0" t="str">
        <f aca="false">IF(ISBLANK(BO151),"One-Time Plan",BO151)</f>
        <v>Gold Maintenance Plan</v>
      </c>
      <c r="BR151" s="0" t="str">
        <f aca="false">PROPER(IF(ISBLANK(BQ151),"No",BQ151))</f>
        <v>No</v>
      </c>
    </row>
    <row r="152" customFormat="false" ht="15" hidden="false" customHeight="false" outlineLevel="0" collapsed="false">
      <c r="A152" s="0" t="s">
        <v>506</v>
      </c>
      <c r="B152" s="2" t="s">
        <v>505</v>
      </c>
      <c r="C152" s="2" t="str">
        <f aca="false">TEXT(B152,"dd/mm/yyyy")</f>
        <v>20/03/2025</v>
      </c>
      <c r="D152" s="0" t="s">
        <v>163</v>
      </c>
      <c r="E152" s="0" t="n">
        <v>8049484539</v>
      </c>
      <c r="F152" s="0" t="s">
        <v>43</v>
      </c>
      <c r="G152" s="0" t="s">
        <v>2315</v>
      </c>
      <c r="H152" s="0" t="s">
        <v>507</v>
      </c>
      <c r="I152" s="0" t="s">
        <v>134</v>
      </c>
      <c r="J152" s="0" t="s">
        <v>2317</v>
      </c>
      <c r="K152" s="3" t="str">
        <f aca="false" t="array" ref="K152:K152">IFERROR(IF(J152&lt;&gt;"",J152,INDEX(J152:J1151,MATCH(1,(F152:F1151=F152)*(I152:I1151=I152)*(L152:L1151=L152)*(J152:J1151&lt;&gt;""),0))),"Not Found")</f>
        <v>Suspension Noise</v>
      </c>
      <c r="L152" s="3" t="s">
        <v>154</v>
      </c>
      <c r="M152" s="0" t="str">
        <f aca="false">PROPER(L152)</f>
        <v>Air Filter</v>
      </c>
      <c r="N152" s="3" t="s">
        <v>71</v>
      </c>
      <c r="O152" s="0" t="str">
        <f aca="false" t="array" ref="O152:O152">IF(N152&lt;&gt;"",N152,_xlfn.xlookup(1,(L152:L1151=L152)*(N152:N1151&lt;&gt;""),N152:N1151,"Not Found"))</f>
        <v>Isaac Bobo</v>
      </c>
      <c r="P152" s="4" t="n">
        <v>31245</v>
      </c>
      <c r="Q152" s="0" t="s">
        <v>166</v>
      </c>
      <c r="R152" s="0" t="str">
        <f aca="false">PROPER(Q152)</f>
        <v>Transfer</v>
      </c>
      <c r="S152" s="0" t="s">
        <v>50</v>
      </c>
      <c r="U152" s="5" t="n">
        <f aca="false">IF(ISBLANK(T152),AVERAGE(T152:T1151),T152)</f>
        <v>2.9943342776204</v>
      </c>
      <c r="V152" s="0" t="n">
        <v>4</v>
      </c>
      <c r="X152" s="0" t="str">
        <f aca="false">IF(ISBLANK(W152),"No remarks",W152)</f>
        <v>No remarks</v>
      </c>
      <c r="Y152" s="0" t="s">
        <v>52</v>
      </c>
      <c r="AA152" s="0" t="str">
        <f aca="false">PROPER(IF(ISBLANK(Z152),"Location Unavailable",Z152))</f>
        <v>Location Unavailable</v>
      </c>
      <c r="AB152" s="0" t="s">
        <v>126</v>
      </c>
      <c r="AC152" s="6" t="str">
        <f aca="false">PROPER(AB152)</f>
        <v>Whatsapp</v>
      </c>
      <c r="AD152" s="6" t="n">
        <v>30</v>
      </c>
      <c r="AE152" s="5" t="n">
        <f aca="false">IF(ISBLANK(AD152),AVERAGEIF(L152:L1151,L152,AD152:AD1151),AD152)</f>
        <v>30</v>
      </c>
      <c r="AF152" s="0" t="s">
        <v>96</v>
      </c>
      <c r="AG152" s="0" t="str">
        <f aca="false">PROPER(AF152)</f>
        <v>Ordered</v>
      </c>
      <c r="AH152" s="0" t="s">
        <v>155</v>
      </c>
      <c r="AI152" s="0" t="s">
        <v>128</v>
      </c>
      <c r="AJ152" s="0" t="str">
        <f aca="false">PROPER(AI152)</f>
        <v>Normal</v>
      </c>
      <c r="AK152" s="0" t="s">
        <v>58</v>
      </c>
      <c r="AL152" s="0" t="str">
        <f aca="false">PROPER(AK152)</f>
        <v>Fleet Owner</v>
      </c>
      <c r="AM152" s="0" t="s">
        <v>59</v>
      </c>
      <c r="AN152" s="0" t="str">
        <f aca="false">IF(ISBLANK(AM152),"Unknown",AM152)</f>
        <v>Bolt Driver</v>
      </c>
      <c r="AO152" s="0" t="s">
        <v>143</v>
      </c>
      <c r="AP152" s="0" t="str">
        <f aca="false">IF(ISBLANK(AO152),"Unknown",AO152)</f>
        <v>Senior</v>
      </c>
      <c r="AQ152" s="0" t="n">
        <v>20000</v>
      </c>
      <c r="AR152" s="5" t="n">
        <f aca="false">IF(ISBLANK(AQ152),AVERAGEIF(M152:M1151,M152,AQ152:AQ1151),AQ152)</f>
        <v>20000</v>
      </c>
      <c r="AS152" s="0" t="n">
        <v>35000</v>
      </c>
      <c r="AT152" s="5" t="n">
        <f aca="false">IF(ISBLANK(AS152),AVERAGE(AS152:AS1151),AS152)</f>
        <v>35000</v>
      </c>
      <c r="AU152" s="0" t="s">
        <v>63</v>
      </c>
      <c r="AV152" s="0" t="str">
        <f aca="false">PROPER(IF(ISBLANK(AU152),"No",AU152))</f>
        <v>Yes</v>
      </c>
      <c r="AW152" s="0" t="n">
        <v>10000</v>
      </c>
      <c r="AX152" s="5" t="n">
        <f aca="false">IF(ISBLANK(AW152),0,AW152)</f>
        <v>10000</v>
      </c>
      <c r="AY152" s="0" t="s">
        <v>80</v>
      </c>
      <c r="AZ152" s="0" t="str">
        <f aca="false">UPPER(IF(ISBLANK(AY152),"NONE",AY152))</f>
        <v>PROMO10</v>
      </c>
      <c r="BA152" s="7" t="s">
        <v>486</v>
      </c>
      <c r="BB152" s="7" t="str">
        <f aca="false">IF(ISBLANK(BA152),"No Follow Up Needed",BA152)</f>
        <v>18/10/2025</v>
      </c>
      <c r="BC152" s="0" t="s">
        <v>82</v>
      </c>
      <c r="BD152" s="0" t="str">
        <f aca="false">PROPER(IF(ISBLANK(BC152),"Unknown",BC152))</f>
        <v>Yes</v>
      </c>
      <c r="BF152" s="0" t="str">
        <f aca="false">IF(ISBLANK(BE152),"No comments",BE152)</f>
        <v>No comments</v>
      </c>
      <c r="BG152" s="0" t="s">
        <v>2320</v>
      </c>
      <c r="BH152" s="0" t="str">
        <f aca="false">IF(ISBLANK(BG152),"No comments",BG152)</f>
        <v>No complaints</v>
      </c>
      <c r="BI152" s="0" t="s">
        <v>63</v>
      </c>
      <c r="BJ152" s="0" t="str">
        <f aca="false">IF(ISBLANK(BI152),"Not Mentioned",BI152)</f>
        <v>Yes</v>
      </c>
      <c r="BL152" s="0" t="str">
        <f aca="false">PROPER(IF(ISBLANK(BK152),"Not Mentioned",BK152))</f>
        <v>Not Mentioned</v>
      </c>
      <c r="BM152" s="0" t="s">
        <v>63</v>
      </c>
      <c r="BN152" s="0" t="str">
        <f aca="false">PROPER(IF(ISBLANK(BM152),"Not Mentioned",BM152))</f>
        <v>Yes</v>
      </c>
      <c r="BO152" s="0" t="s">
        <v>2321</v>
      </c>
      <c r="BP152" s="0" t="str">
        <f aca="false">IF(ISBLANK(BO152),"One-Time Plan",BO152)</f>
        <v>One-Time Plan</v>
      </c>
      <c r="BQ152" s="0" t="s">
        <v>63</v>
      </c>
      <c r="BR152" s="0" t="str">
        <f aca="false">PROPER(IF(ISBLANK(BQ152),"No",BQ152))</f>
        <v>Yes</v>
      </c>
    </row>
    <row r="153" customFormat="false" ht="15" hidden="false" customHeight="false" outlineLevel="0" collapsed="false">
      <c r="A153" s="0" t="s">
        <v>508</v>
      </c>
      <c r="B153" s="2" t="n">
        <v>45688</v>
      </c>
      <c r="C153" s="2" t="str">
        <f aca="false">TEXT(B153,"dd/mm/yyyy")</f>
        <v>31/01/2025</v>
      </c>
      <c r="D153" s="0" t="s">
        <v>163</v>
      </c>
      <c r="E153" s="0" t="n">
        <v>8029940314</v>
      </c>
      <c r="F153" s="0" t="s">
        <v>139</v>
      </c>
      <c r="G153" s="0" t="s">
        <v>2323</v>
      </c>
      <c r="H153" s="0" t="s">
        <v>509</v>
      </c>
      <c r="I153" s="0" t="s">
        <v>69</v>
      </c>
      <c r="J153" s="0" t="s">
        <v>2325</v>
      </c>
      <c r="K153" s="3" t="str">
        <f aca="false" t="array" ref="K153:K153">IFERROR(IF(J153&lt;&gt;"",J153,INDEX(J153:J1152,MATCH(1,(F153:F1152=F153)*(I153:I1152=I153)*(L153:L1152=L153)*(J153:J1152&lt;&gt;""),0))),"Not Found")</f>
        <v>Engine Knocking</v>
      </c>
      <c r="L153" s="3" t="s">
        <v>108</v>
      </c>
      <c r="M153" s="0" t="str">
        <f aca="false">PROPER(L153)</f>
        <v>Timing Belt</v>
      </c>
      <c r="N153" s="3" t="s">
        <v>90</v>
      </c>
      <c r="O153" s="0" t="str">
        <f aca="false" t="array" ref="O153:O153">IF(N153&lt;&gt;"",N153,_xlfn.xlookup(1,(L153:L1152=L153)*(N153:N1152&lt;&gt;""),N153:N1152,"Not Found"))</f>
        <v>Musa</v>
      </c>
      <c r="P153" s="4" t="n">
        <v>17266</v>
      </c>
      <c r="Q153" s="0" t="s">
        <v>72</v>
      </c>
      <c r="R153" s="0" t="str">
        <f aca="false">PROPER(Q153)</f>
        <v>Pos</v>
      </c>
      <c r="S153" s="0" t="s">
        <v>50</v>
      </c>
      <c r="U153" s="5" t="n">
        <f aca="false">IF(ISBLANK(T153),AVERAGE(T153:T1152),T153)</f>
        <v>2.9943342776204</v>
      </c>
      <c r="V153" s="0" t="n">
        <v>2.6</v>
      </c>
      <c r="X153" s="0" t="str">
        <f aca="false">IF(ISBLANK(W153),"No remarks",W153)</f>
        <v>No remarks</v>
      </c>
      <c r="Y153" s="0" t="s">
        <v>93</v>
      </c>
      <c r="Z153" s="0" t="s">
        <v>53</v>
      </c>
      <c r="AA153" s="0" t="str">
        <f aca="false">PROPER(IF(ISBLANK(Z153),"Location Unavailable",Z153))</f>
        <v>Main Bay</v>
      </c>
      <c r="AB153" s="0" t="s">
        <v>167</v>
      </c>
      <c r="AC153" s="6" t="str">
        <f aca="false">PROPER(AB153)</f>
        <v>Word Of Mouth</v>
      </c>
      <c r="AD153" s="6" t="n">
        <v>45</v>
      </c>
      <c r="AE153" s="5" t="n">
        <f aca="false">IF(ISBLANK(AD153),AVERAGEIF(L153:L1152,L153,AD153:AD1152),AD153)</f>
        <v>45</v>
      </c>
      <c r="AF153" s="0" t="s">
        <v>96</v>
      </c>
      <c r="AG153" s="0" t="str">
        <f aca="false">PROPER(AF153)</f>
        <v>Ordered</v>
      </c>
      <c r="AH153" s="0" t="s">
        <v>155</v>
      </c>
      <c r="AI153" s="0" t="s">
        <v>98</v>
      </c>
      <c r="AJ153" s="0" t="str">
        <f aca="false">PROPER(AI153)</f>
        <v>Emergency</v>
      </c>
      <c r="AK153" s="0" t="s">
        <v>58</v>
      </c>
      <c r="AL153" s="0" t="str">
        <f aca="false">PROPER(AK153)</f>
        <v>Fleet Owner</v>
      </c>
      <c r="AM153" s="0" t="s">
        <v>2326</v>
      </c>
      <c r="AN153" s="0" t="str">
        <f aca="false">IF(ISBLANK(AM153),"Unknown",AM153)</f>
        <v>Government Convoy</v>
      </c>
      <c r="AO153" s="0" t="s">
        <v>161</v>
      </c>
      <c r="AP153" s="0" t="str">
        <f aca="false">IF(ISBLANK(AO153),"Unknown",AO153)</f>
        <v>Apprentice</v>
      </c>
      <c r="AQ153" s="0" t="n">
        <v>15000</v>
      </c>
      <c r="AR153" s="5" t="n">
        <f aca="false">IF(ISBLANK(AQ153),AVERAGEIF(M153:M1152,M153,AQ153:AQ1152),AQ153)</f>
        <v>15000</v>
      </c>
      <c r="AS153" s="0" t="n">
        <v>20000</v>
      </c>
      <c r="AT153" s="5" t="n">
        <f aca="false">IF(ISBLANK(AS153),AVERAGE(AS153:AS1152),AS153)</f>
        <v>20000</v>
      </c>
      <c r="AU153" s="0" t="s">
        <v>63</v>
      </c>
      <c r="AV153" s="0" t="str">
        <f aca="false">PROPER(IF(ISBLANK(AU153),"No",AU153))</f>
        <v>Yes</v>
      </c>
      <c r="AX153" s="5" t="n">
        <f aca="false">IF(ISBLANK(AW153),0,AW153)</f>
        <v>0</v>
      </c>
      <c r="AZ153" s="0" t="str">
        <f aca="false">UPPER(IF(ISBLANK(AY153),"NONE",AY153))</f>
        <v>NONE</v>
      </c>
      <c r="BA153" s="7" t="s">
        <v>510</v>
      </c>
      <c r="BB153" s="7" t="str">
        <f aca="false">IF(ISBLANK(BA153),"No Follow Up Needed",BA153)</f>
        <v>24/11/2025</v>
      </c>
      <c r="BC153" s="0" t="s">
        <v>82</v>
      </c>
      <c r="BD153" s="0" t="str">
        <f aca="false">PROPER(IF(ISBLANK(BC153),"Unknown",BC153))</f>
        <v>Yes</v>
      </c>
      <c r="BE153" s="0" t="s">
        <v>171</v>
      </c>
      <c r="BF153" s="0" t="str">
        <f aca="false">IF(ISBLANK(BE153),"No comments",BE153)</f>
        <v>Shock absorber weakening</v>
      </c>
      <c r="BG153" s="0" t="s">
        <v>2320</v>
      </c>
      <c r="BH153" s="0" t="str">
        <f aca="false">IF(ISBLANK(BG153),"No comments",BG153)</f>
        <v>No complaints</v>
      </c>
      <c r="BI153" s="0" t="s">
        <v>50</v>
      </c>
      <c r="BJ153" s="0" t="str">
        <f aca="false">IF(ISBLANK(BI153),"Not Mentioned",BI153)</f>
        <v>No</v>
      </c>
      <c r="BK153" s="0" t="s">
        <v>61</v>
      </c>
      <c r="BL153" s="0" t="str">
        <f aca="false">PROPER(IF(ISBLANK(BK153),"Not Mentioned",BK153))</f>
        <v>No</v>
      </c>
      <c r="BN153" s="0" t="str">
        <f aca="false">PROPER(IF(ISBLANK(BM153),"Not Mentioned",BM153))</f>
        <v>Not Mentioned</v>
      </c>
      <c r="BP153" s="0" t="str">
        <f aca="false">IF(ISBLANK(BO153),"One-Time Plan",BO153)</f>
        <v>One-Time Plan</v>
      </c>
      <c r="BQ153" s="0" t="s">
        <v>190</v>
      </c>
      <c r="BR153" s="0" t="str">
        <f aca="false">PROPER(IF(ISBLANK(BQ153),"No",BQ153))</f>
        <v>Yes</v>
      </c>
    </row>
    <row r="154" customFormat="false" ht="15" hidden="false" customHeight="false" outlineLevel="0" collapsed="false">
      <c r="A154" s="0" t="s">
        <v>511</v>
      </c>
      <c r="B154" s="2" t="n">
        <v>45716</v>
      </c>
      <c r="C154" s="2" t="str">
        <f aca="false">TEXT(B154,"dd/mm/yyyy")</f>
        <v>28/02/2025</v>
      </c>
      <c r="D154" s="0" t="s">
        <v>42</v>
      </c>
      <c r="E154" s="0" t="n">
        <v>8053980546</v>
      </c>
      <c r="F154" s="0" t="s">
        <v>43</v>
      </c>
      <c r="G154" s="0" t="s">
        <v>2315</v>
      </c>
      <c r="H154" s="0" t="s">
        <v>512</v>
      </c>
      <c r="I154" s="0" t="s">
        <v>69</v>
      </c>
      <c r="J154" s="0" t="s">
        <v>2317</v>
      </c>
      <c r="K154" s="3" t="str">
        <f aca="false" t="array" ref="K154:K154">IFERROR(IF(J154&lt;&gt;"",J154,INDEX(J154:J1153,MATCH(1,(F154:F1153=F154)*(I154:I1153=I154)*(L154:L1153=L154)*(J154:J1153&lt;&gt;""),0))),"Not Found")</f>
        <v>Suspension Noise</v>
      </c>
      <c r="L154" s="3" t="s">
        <v>142</v>
      </c>
      <c r="M154" s="0" t="str">
        <f aca="false">PROPER(L154)</f>
        <v>Oil Filter, Brake Pads</v>
      </c>
      <c r="N154" s="3" t="s">
        <v>109</v>
      </c>
      <c r="O154" s="0" t="str">
        <f aca="false" t="array" ref="O154:O154">IF(N154&lt;&gt;"",N154,_xlfn.xlookup(1,(L154:L1153=L154)*(N154:N1153&lt;&gt;""),N154:N1153,"Not Found"))</f>
        <v>Tijani</v>
      </c>
      <c r="P154" s="4" t="n">
        <v>53399</v>
      </c>
      <c r="Q154" s="0" t="s">
        <v>124</v>
      </c>
      <c r="R154" s="0" t="str">
        <f aca="false">PROPER(Q154)</f>
        <v>Cash</v>
      </c>
      <c r="S154" s="0" t="s">
        <v>63</v>
      </c>
      <c r="T154" s="0" t="n">
        <v>4</v>
      </c>
      <c r="U154" s="5" t="n">
        <f aca="false">IF(ISBLANK(T154),AVERAGE(T154:T1153),T154)</f>
        <v>4</v>
      </c>
      <c r="V154" s="0" t="n">
        <v>1.5</v>
      </c>
      <c r="W154" s="0" t="s">
        <v>51</v>
      </c>
      <c r="X154" s="0" t="str">
        <f aca="false">IF(ISBLANK(W154),"No remarks",W154)</f>
        <v>Recommended further checks</v>
      </c>
      <c r="Y154" s="0" t="s">
        <v>52</v>
      </c>
      <c r="Z154" s="0" t="s">
        <v>94</v>
      </c>
      <c r="AA154" s="0" t="str">
        <f aca="false">PROPER(IF(ISBLANK(Z154),"Location Unavailable",Z154))</f>
        <v>Vip Section</v>
      </c>
      <c r="AB154" s="0" t="s">
        <v>126</v>
      </c>
      <c r="AC154" s="6" t="str">
        <f aca="false">PROPER(AB154)</f>
        <v>Whatsapp</v>
      </c>
      <c r="AD154" s="6" t="n">
        <v>30</v>
      </c>
      <c r="AE154" s="5" t="n">
        <f aca="false">IF(ISBLANK(AD154),AVERAGEIF(L154:L1153,L154,AD154:AD1153),AD154)</f>
        <v>30</v>
      </c>
      <c r="AF154" s="0" t="s">
        <v>55</v>
      </c>
      <c r="AG154" s="0" t="str">
        <f aca="false">PROPER(AF154)</f>
        <v>Available</v>
      </c>
      <c r="AH154" s="0" t="s">
        <v>77</v>
      </c>
      <c r="AI154" s="0" t="s">
        <v>98</v>
      </c>
      <c r="AJ154" s="0" t="str">
        <f aca="false">PROPER(AI154)</f>
        <v>Emergency</v>
      </c>
      <c r="AK154" s="0" t="s">
        <v>196</v>
      </c>
      <c r="AL154" s="0" t="str">
        <f aca="false">PROPER(AK154)</f>
        <v>First Time</v>
      </c>
      <c r="AN154" s="0" t="str">
        <f aca="false">IF(ISBLANK(AM154),"Unknown",AM154)</f>
        <v>Unknown</v>
      </c>
      <c r="AO154" s="0" t="s">
        <v>149</v>
      </c>
      <c r="AP154" s="0" t="str">
        <f aca="false">IF(ISBLANK(AO154),"Unknown",AO154)</f>
        <v>Senior </v>
      </c>
      <c r="AQ154" s="0" t="n">
        <v>20000</v>
      </c>
      <c r="AR154" s="5" t="n">
        <f aca="false">IF(ISBLANK(AQ154),AVERAGEIF(M154:M1153,M154,AQ154:AQ1153),AQ154)</f>
        <v>20000</v>
      </c>
      <c r="AS154" s="0" t="n">
        <v>30000</v>
      </c>
      <c r="AT154" s="5" t="n">
        <f aca="false">IF(ISBLANK(AS154),AVERAGE(AS154:AS1153),AS154)</f>
        <v>30000</v>
      </c>
      <c r="AV154" s="0" t="str">
        <f aca="false">PROPER(IF(ISBLANK(AU154),"No",AU154))</f>
        <v>No</v>
      </c>
      <c r="AX154" s="5" t="n">
        <f aca="false">IF(ISBLANK(AW154),0,AW154)</f>
        <v>0</v>
      </c>
      <c r="AY154" s="0" t="s">
        <v>60</v>
      </c>
      <c r="AZ154" s="0" t="str">
        <f aca="false">UPPER(IF(ISBLANK(AY154),"NONE",AY154))</f>
        <v>NONE</v>
      </c>
      <c r="BA154" s="7" t="s">
        <v>513</v>
      </c>
      <c r="BB154" s="7" t="str">
        <f aca="false">IF(ISBLANK(BA154),"No Follow Up Needed",BA154)</f>
        <v>15/09/2025</v>
      </c>
      <c r="BD154" s="0" t="str">
        <f aca="false">PROPER(IF(ISBLANK(BC154),"Unknown",BC154))</f>
        <v>Unknown</v>
      </c>
      <c r="BF154" s="0" t="str">
        <f aca="false">IF(ISBLANK(BE154),"No comments",BE154)</f>
        <v>No comments</v>
      </c>
      <c r="BG154" s="0" t="s">
        <v>2320</v>
      </c>
      <c r="BH154" s="0" t="str">
        <f aca="false">IF(ISBLANK(BG154),"No comments",BG154)</f>
        <v>No complaints</v>
      </c>
      <c r="BI154" s="0" t="s">
        <v>50</v>
      </c>
      <c r="BJ154" s="0" t="str">
        <f aca="false">IF(ISBLANK(BI154),"Not Mentioned",BI154)</f>
        <v>No</v>
      </c>
      <c r="BK154" s="0" t="s">
        <v>82</v>
      </c>
      <c r="BL154" s="0" t="str">
        <f aca="false">PROPER(IF(ISBLANK(BK154),"Not Mentioned",BK154))</f>
        <v>Yes</v>
      </c>
      <c r="BN154" s="0" t="str">
        <f aca="false">PROPER(IF(ISBLANK(BM154),"Not Mentioned",BM154))</f>
        <v>Not Mentioned</v>
      </c>
      <c r="BO154" s="0" t="s">
        <v>2321</v>
      </c>
      <c r="BP154" s="0" t="str">
        <f aca="false">IF(ISBLANK(BO154),"One-Time Plan",BO154)</f>
        <v>One-Time Plan</v>
      </c>
      <c r="BR154" s="0" t="str">
        <f aca="false">PROPER(IF(ISBLANK(BQ154),"No",BQ154))</f>
        <v>No</v>
      </c>
    </row>
    <row r="155" customFormat="false" ht="15" hidden="false" customHeight="false" outlineLevel="0" collapsed="false">
      <c r="A155" s="0" t="s">
        <v>514</v>
      </c>
      <c r="B155" s="2" t="n">
        <v>45966</v>
      </c>
      <c r="C155" s="2" t="str">
        <f aca="false">TEXT(B155,"dd/mm/yyyy")</f>
        <v>05/11/2025</v>
      </c>
      <c r="D155" s="0" t="s">
        <v>66</v>
      </c>
      <c r="E155" s="0" t="n">
        <v>8043174817</v>
      </c>
      <c r="F155" s="0" t="s">
        <v>122</v>
      </c>
      <c r="G155" s="0" t="s">
        <v>2316</v>
      </c>
      <c r="H155" s="0" t="s">
        <v>515</v>
      </c>
      <c r="I155" s="0" t="s">
        <v>107</v>
      </c>
      <c r="J155" s="0" t="s">
        <v>2325</v>
      </c>
      <c r="K155" s="3" t="str">
        <f aca="false" t="array" ref="K155:K155">IFERROR(IF(J155&lt;&gt;"",J155,INDEX(J155:J1154,MATCH(1,(F155:F1154=F155)*(I155:I1154=I155)*(L155:L1154=L155)*(J155:J1154&lt;&gt;""),0))),"Not Found")</f>
        <v>Engine Knocking</v>
      </c>
      <c r="L155" s="3" t="s">
        <v>154</v>
      </c>
      <c r="M155" s="0" t="str">
        <f aca="false">PROPER(L155)</f>
        <v>Air Filter</v>
      </c>
      <c r="N155" s="3" t="s">
        <v>90</v>
      </c>
      <c r="O155" s="0" t="str">
        <f aca="false" t="array" ref="O155:O155">IF(N155&lt;&gt;"",N155,_xlfn.xlookup(1,(L155:L1154=L155)*(N155:N1154&lt;&gt;""),N155:N1154,"Not Found"))</f>
        <v>Musa</v>
      </c>
      <c r="P155" s="4" t="n">
        <v>42307</v>
      </c>
      <c r="Q155" s="0" t="s">
        <v>166</v>
      </c>
      <c r="R155" s="0" t="str">
        <f aca="false">PROPER(Q155)</f>
        <v>Transfer</v>
      </c>
      <c r="S155" s="0" t="s">
        <v>63</v>
      </c>
      <c r="T155" s="0" t="n">
        <v>1</v>
      </c>
      <c r="U155" s="5" t="n">
        <f aca="false">IF(ISBLANK(T155),AVERAGE(T155:T1154),T155)</f>
        <v>1</v>
      </c>
      <c r="V155" s="0" t="n">
        <v>5.1</v>
      </c>
      <c r="W155" s="0" t="s">
        <v>111</v>
      </c>
      <c r="X155" s="0" t="str">
        <f aca="false">IF(ISBLANK(W155),"No remarks",W155)</f>
        <v>Changed all filters</v>
      </c>
      <c r="Y155" s="0" t="s">
        <v>73</v>
      </c>
      <c r="Z155" s="0" t="s">
        <v>94</v>
      </c>
      <c r="AA155" s="0" t="str">
        <f aca="false">PROPER(IF(ISBLANK(Z155),"Location Unavailable",Z155))</f>
        <v>Vip Section</v>
      </c>
      <c r="AB155" s="0" t="s">
        <v>95</v>
      </c>
      <c r="AC155" s="6" t="str">
        <f aca="false">PROPER(AB155)</f>
        <v>Road Sign</v>
      </c>
      <c r="AD155" s="6" t="n">
        <v>60</v>
      </c>
      <c r="AE155" s="5" t="n">
        <f aca="false">IF(ISBLANK(AD155),AVERAGEIF(L155:L1154,L155,AD155:AD1154),AD155)</f>
        <v>60</v>
      </c>
      <c r="AF155" s="0" t="s">
        <v>112</v>
      </c>
      <c r="AG155" s="0" t="str">
        <f aca="false">PROPER(AF155)</f>
        <v>Unavailable</v>
      </c>
      <c r="AH155" s="0" t="s">
        <v>155</v>
      </c>
      <c r="AI155" s="0" t="s">
        <v>78</v>
      </c>
      <c r="AJ155" s="0" t="str">
        <f aca="false">PROPER(AI155)</f>
        <v>Booking</v>
      </c>
      <c r="AK155" s="0" t="s">
        <v>114</v>
      </c>
      <c r="AL155" s="0" t="str">
        <f aca="false">PROPER(AK155)</f>
        <v>Returning</v>
      </c>
      <c r="AM155" s="0" t="s">
        <v>2324</v>
      </c>
      <c r="AN155" s="0" t="str">
        <f aca="false">IF(ISBLANK(AM155),"Unknown",AM155)</f>
        <v>Logistics Convoy</v>
      </c>
      <c r="AP155" s="0" t="str">
        <f aca="false">IF(ISBLANK(AO155),"Unknown",AO155)</f>
        <v>Unknown</v>
      </c>
      <c r="AQ155" s="0" t="n">
        <v>15000</v>
      </c>
      <c r="AR155" s="5" t="n">
        <f aca="false">IF(ISBLANK(AQ155),AVERAGEIF(M155:M1154,M155,AQ155:AQ1154),AQ155)</f>
        <v>15000</v>
      </c>
      <c r="AS155" s="0" t="n">
        <v>35000</v>
      </c>
      <c r="AT155" s="5" t="n">
        <f aca="false">IF(ISBLANK(AS155),AVERAGE(AS155:AS1154),AS155)</f>
        <v>35000</v>
      </c>
      <c r="AU155" s="0" t="s">
        <v>82</v>
      </c>
      <c r="AV155" s="0" t="str">
        <f aca="false">PROPER(IF(ISBLANK(AU155),"No",AU155))</f>
        <v>Yes</v>
      </c>
      <c r="AW155" s="0" t="n">
        <v>5000</v>
      </c>
      <c r="AX155" s="5" t="n">
        <f aca="false">IF(ISBLANK(AW155),0,AW155)</f>
        <v>5000</v>
      </c>
      <c r="AY155" s="0" t="s">
        <v>60</v>
      </c>
      <c r="AZ155" s="0" t="str">
        <f aca="false">UPPER(IF(ISBLANK(AY155),"NONE",AY155))</f>
        <v>NONE</v>
      </c>
      <c r="BB155" s="7" t="str">
        <f aca="false">IF(ISBLANK(BA155),"No Follow Up Needed",BA155)</f>
        <v>No Follow Up Needed</v>
      </c>
      <c r="BC155" s="0" t="s">
        <v>63</v>
      </c>
      <c r="BD155" s="0" t="str">
        <f aca="false">PROPER(IF(ISBLANK(BC155),"Unknown",BC155))</f>
        <v>Yes</v>
      </c>
      <c r="BF155" s="0" t="str">
        <f aca="false">IF(ISBLANK(BE155),"No comments",BE155)</f>
        <v>No comments</v>
      </c>
      <c r="BG155" s="0" t="s">
        <v>117</v>
      </c>
      <c r="BH155" s="0" t="str">
        <f aca="false">IF(ISBLANK(BG155),"No comments",BG155)</f>
        <v>Prefers morning</v>
      </c>
      <c r="BJ155" s="0" t="str">
        <f aca="false">IF(ISBLANK(BI155),"Not Mentioned",BI155)</f>
        <v>Not Mentioned</v>
      </c>
      <c r="BK155" s="0" t="s">
        <v>82</v>
      </c>
      <c r="BL155" s="0" t="str">
        <f aca="false">PROPER(IF(ISBLANK(BK155),"Not Mentioned",BK155))</f>
        <v>Yes</v>
      </c>
      <c r="BN155" s="0" t="str">
        <f aca="false">PROPER(IF(ISBLANK(BM155),"Not Mentioned",BM155))</f>
        <v>Not Mentioned</v>
      </c>
      <c r="BP155" s="0" t="str">
        <f aca="false">IF(ISBLANK(BO155),"One-Time Plan",BO155)</f>
        <v>One-Time Plan</v>
      </c>
      <c r="BQ155" s="0" t="s">
        <v>63</v>
      </c>
      <c r="BR155" s="0" t="str">
        <f aca="false">PROPER(IF(ISBLANK(BQ155),"No",BQ155))</f>
        <v>Yes</v>
      </c>
    </row>
    <row r="156" customFormat="false" ht="15" hidden="false" customHeight="false" outlineLevel="0" collapsed="false">
      <c r="A156" s="0" t="s">
        <v>516</v>
      </c>
      <c r="B156" s="2" t="n">
        <v>45798</v>
      </c>
      <c r="C156" s="2" t="str">
        <f aca="false">TEXT(B156,"dd/mm/yyyy")</f>
        <v>21/05/2025</v>
      </c>
      <c r="D156" s="0" t="s">
        <v>121</v>
      </c>
      <c r="E156" s="0" t="n">
        <v>8017148298</v>
      </c>
      <c r="F156" s="0" t="s">
        <v>122</v>
      </c>
      <c r="G156" s="0" t="s">
        <v>2316</v>
      </c>
      <c r="H156" s="0" t="s">
        <v>517</v>
      </c>
      <c r="I156" s="0" t="s">
        <v>87</v>
      </c>
      <c r="J156" s="0" t="s">
        <v>2317</v>
      </c>
      <c r="K156" s="3" t="str">
        <f aca="false" t="array" ref="K156:K156">IFERROR(IF(J156&lt;&gt;"",J156,INDEX(J156:J1155,MATCH(1,(F156:F1155=F156)*(I156:I1155=I156)*(L156:L1155=L156)*(J156:J1155&lt;&gt;""),0))),"Not Found")</f>
        <v>Suspension Noise</v>
      </c>
      <c r="L156" s="3" t="s">
        <v>89</v>
      </c>
      <c r="M156" s="0" t="str">
        <f aca="false">PROPER(L156)</f>
        <v>Shock Absorbers</v>
      </c>
      <c r="N156" s="3" t="s">
        <v>71</v>
      </c>
      <c r="O156" s="0" t="str">
        <f aca="false" t="array" ref="O156:O156">IF(N156&lt;&gt;"",N156,_xlfn.xlookup(1,(L156:L1155=L156)*(N156:N1155&lt;&gt;""),N156:N1155,"Not Found"))</f>
        <v>Isaac Bobo</v>
      </c>
      <c r="P156" s="4" t="n">
        <v>97388</v>
      </c>
      <c r="Q156" s="0" t="s">
        <v>72</v>
      </c>
      <c r="R156" s="0" t="str">
        <f aca="false">PROPER(Q156)</f>
        <v>Pos</v>
      </c>
      <c r="S156" s="0" t="s">
        <v>63</v>
      </c>
      <c r="T156" s="0" t="n">
        <v>5</v>
      </c>
      <c r="U156" s="5" t="n">
        <f aca="false">IF(ISBLANK(T156),AVERAGE(T156:T1155),T156)</f>
        <v>5</v>
      </c>
      <c r="V156" s="0" t="n">
        <v>2.2</v>
      </c>
      <c r="X156" s="0" t="str">
        <f aca="false">IF(ISBLANK(W156),"No remarks",W156)</f>
        <v>No remarks</v>
      </c>
      <c r="Y156" s="0" t="s">
        <v>73</v>
      </c>
      <c r="Z156" s="0" t="s">
        <v>136</v>
      </c>
      <c r="AA156" s="0" t="str">
        <f aca="false">PROPER(IF(ISBLANK(Z156),"Location Unavailable",Z156))</f>
        <v>Vip Section</v>
      </c>
      <c r="AB156" s="0" t="s">
        <v>75</v>
      </c>
      <c r="AC156" s="6" t="str">
        <f aca="false">PROPER(AB156)</f>
        <v>Mechanik Referal</v>
      </c>
      <c r="AE156" s="5" t="n">
        <f aca="false">IF(ISBLANK(AD156),AVERAGEIF(L156:L1155,L156,AD156:AD1155),AD156)</f>
        <v>40.44</v>
      </c>
      <c r="AF156" s="0" t="s">
        <v>112</v>
      </c>
      <c r="AG156" s="0" t="str">
        <f aca="false">PROPER(AF156)</f>
        <v>Unavailable</v>
      </c>
      <c r="AH156" s="0" t="s">
        <v>155</v>
      </c>
      <c r="AI156" s="0" t="s">
        <v>78</v>
      </c>
      <c r="AJ156" s="0" t="str">
        <f aca="false">PROPER(AI156)</f>
        <v>Booking</v>
      </c>
      <c r="AK156" s="0" t="s">
        <v>196</v>
      </c>
      <c r="AL156" s="0" t="str">
        <f aca="false">PROPER(AK156)</f>
        <v>First Time</v>
      </c>
      <c r="AM156" s="0" t="s">
        <v>2326</v>
      </c>
      <c r="AN156" s="0" t="str">
        <f aca="false">IF(ISBLANK(AM156),"Unknown",AM156)</f>
        <v>Government Convoy</v>
      </c>
      <c r="AP156" s="0" t="str">
        <f aca="false">IF(ISBLANK(AO156),"Unknown",AO156)</f>
        <v>Unknown</v>
      </c>
      <c r="AR156" s="5" t="n">
        <f aca="false">IF(ISBLANK(AQ156),AVERAGEIF(M156:M1155,M156,AQ156:AQ1155),AQ156)</f>
        <v>26163.7931034483</v>
      </c>
      <c r="AS156" s="0" t="n">
        <v>20000</v>
      </c>
      <c r="AT156" s="5" t="n">
        <f aca="false">IF(ISBLANK(AS156),AVERAGE(AS156:AS1155),AS156)</f>
        <v>20000</v>
      </c>
      <c r="AU156" s="0" t="s">
        <v>63</v>
      </c>
      <c r="AV156" s="0" t="str">
        <f aca="false">PROPER(IF(ISBLANK(AU156),"No",AU156))</f>
        <v>Yes</v>
      </c>
      <c r="AW156" s="0" t="n">
        <v>5000</v>
      </c>
      <c r="AX156" s="5" t="n">
        <f aca="false">IF(ISBLANK(AW156),0,AW156)</f>
        <v>5000</v>
      </c>
      <c r="AZ156" s="0" t="str">
        <f aca="false">UPPER(IF(ISBLANK(AY156),"NONE",AY156))</f>
        <v>NONE</v>
      </c>
      <c r="BA156" s="7" t="n">
        <v>45851</v>
      </c>
      <c r="BB156" s="7" t="n">
        <f aca="false">IF(ISBLANK(BA156),"No Follow Up Needed",BA156)</f>
        <v>45851</v>
      </c>
      <c r="BC156" s="0" t="s">
        <v>82</v>
      </c>
      <c r="BD156" s="0" t="str">
        <f aca="false">PROPER(IF(ISBLANK(BC156),"Unknown",BC156))</f>
        <v>Yes</v>
      </c>
      <c r="BE156" s="0" t="s">
        <v>171</v>
      </c>
      <c r="BF156" s="0" t="str">
        <f aca="false">IF(ISBLANK(BE156),"No comments",BE156)</f>
        <v>Shock absorber weakening</v>
      </c>
      <c r="BH156" s="0" t="str">
        <f aca="false">IF(ISBLANK(BG156),"No comments",BG156)</f>
        <v>No comments</v>
      </c>
      <c r="BI156" s="0" t="s">
        <v>63</v>
      </c>
      <c r="BJ156" s="0" t="str">
        <f aca="false">IF(ISBLANK(BI156),"Not Mentioned",BI156)</f>
        <v>Yes</v>
      </c>
      <c r="BK156" s="0" t="s">
        <v>61</v>
      </c>
      <c r="BL156" s="0" t="str">
        <f aca="false">PROPER(IF(ISBLANK(BK156),"Not Mentioned",BK156))</f>
        <v>No</v>
      </c>
      <c r="BN156" s="0" t="str">
        <f aca="false">PROPER(IF(ISBLANK(BM156),"Not Mentioned",BM156))</f>
        <v>Not Mentioned</v>
      </c>
      <c r="BO156" s="0" t="s">
        <v>64</v>
      </c>
      <c r="BP156" s="0" t="str">
        <f aca="false">IF(ISBLANK(BO156),"One-Time Plan",BO156)</f>
        <v>Gold Maintenance Plan</v>
      </c>
      <c r="BQ156" s="0" t="s">
        <v>63</v>
      </c>
      <c r="BR156" s="0" t="str">
        <f aca="false">PROPER(IF(ISBLANK(BQ156),"No",BQ156))</f>
        <v>Yes</v>
      </c>
    </row>
    <row r="157" customFormat="false" ht="15" hidden="false" customHeight="false" outlineLevel="0" collapsed="false">
      <c r="A157" s="0" t="s">
        <v>518</v>
      </c>
      <c r="B157" s="2" t="n">
        <v>45757</v>
      </c>
      <c r="C157" s="2" t="str">
        <f aca="false">TEXT(B157,"dd/mm/yyyy")</f>
        <v>10/04/2025</v>
      </c>
      <c r="D157" s="0" t="s">
        <v>121</v>
      </c>
      <c r="E157" s="0" t="n">
        <v>8094484575</v>
      </c>
      <c r="F157" s="0" t="s">
        <v>122</v>
      </c>
      <c r="G157" s="0" t="s">
        <v>2316</v>
      </c>
      <c r="H157" s="0" t="s">
        <v>519</v>
      </c>
      <c r="I157" s="0" t="s">
        <v>87</v>
      </c>
      <c r="J157" s="0" t="s">
        <v>2322</v>
      </c>
      <c r="K157" s="3" t="str">
        <f aca="false" t="array" ref="K157:K157">IFERROR(IF(J157&lt;&gt;"",J157,INDEX(J157:J1156,MATCH(1,(F157:F1156=F157)*(I157:I1156=I157)*(L157:L1156=L157)*(J157:J1156&lt;&gt;""),0))),"Not Found")</f>
        <v>Brake Failure</v>
      </c>
      <c r="L157" s="3" t="s">
        <v>89</v>
      </c>
      <c r="M157" s="0" t="str">
        <f aca="false">PROPER(L157)</f>
        <v>Shock Absorbers</v>
      </c>
      <c r="N157" s="3" t="s">
        <v>48</v>
      </c>
      <c r="O157" s="0" t="str">
        <f aca="false" t="array" ref="O157:O157">IF(N157&lt;&gt;"",N157,_xlfn.xlookup(1,(L157:L1156=L157)*(N157:N1156&lt;&gt;""),N157:N1156,"Not Found"))</f>
        <v>Uche</v>
      </c>
      <c r="P157" s="4" t="n">
        <v>88105</v>
      </c>
      <c r="Q157" s="0" t="s">
        <v>72</v>
      </c>
      <c r="R157" s="0" t="str">
        <f aca="false">PROPER(Q157)</f>
        <v>Pos</v>
      </c>
      <c r="S157" s="0" t="s">
        <v>63</v>
      </c>
      <c r="T157" s="0" t="n">
        <v>4</v>
      </c>
      <c r="U157" s="5" t="n">
        <f aca="false">IF(ISBLANK(T157),AVERAGE(T157:T1156),T157)</f>
        <v>4</v>
      </c>
      <c r="V157" s="0" t="n">
        <v>2.1</v>
      </c>
      <c r="X157" s="0" t="str">
        <f aca="false">IF(ISBLANK(W157),"No remarks",W157)</f>
        <v>No remarks</v>
      </c>
      <c r="Y157" s="0" t="s">
        <v>93</v>
      </c>
      <c r="Z157" s="0" t="s">
        <v>74</v>
      </c>
      <c r="AA157" s="0" t="str">
        <f aca="false">PROPER(IF(ISBLANK(Z157),"Location Unavailable",Z157))</f>
        <v>Under Tree</v>
      </c>
      <c r="AB157" s="0" t="s">
        <v>75</v>
      </c>
      <c r="AC157" s="6" t="str">
        <f aca="false">PROPER(AB157)</f>
        <v>Mechanik Referal</v>
      </c>
      <c r="AD157" s="6" t="n">
        <v>45</v>
      </c>
      <c r="AE157" s="5" t="n">
        <f aca="false">IF(ISBLANK(AD157),AVERAGEIF(L157:L1156,L157,AD157:AD1156),AD157)</f>
        <v>45</v>
      </c>
      <c r="AF157" s="0" t="s">
        <v>96</v>
      </c>
      <c r="AG157" s="0" t="str">
        <f aca="false">PROPER(AF157)</f>
        <v>Ordered</v>
      </c>
      <c r="AH157" s="0" t="s">
        <v>155</v>
      </c>
      <c r="AI157" s="0" t="s">
        <v>128</v>
      </c>
      <c r="AJ157" s="0" t="str">
        <f aca="false">PROPER(AI157)</f>
        <v>Normal</v>
      </c>
      <c r="AK157" s="0" t="s">
        <v>196</v>
      </c>
      <c r="AL157" s="0" t="str">
        <f aca="false">PROPER(AK157)</f>
        <v>First Time</v>
      </c>
      <c r="AN157" s="0" t="str">
        <f aca="false">IF(ISBLANK(AM157),"Unknown",AM157)</f>
        <v>Unknown</v>
      </c>
      <c r="AO157" s="0" t="s">
        <v>79</v>
      </c>
      <c r="AP157" s="0" t="str">
        <f aca="false">IF(ISBLANK(AO157),"Unknown",AO157)</f>
        <v>Specialist</v>
      </c>
      <c r="AQ157" s="0" t="n">
        <v>40000</v>
      </c>
      <c r="AR157" s="5" t="n">
        <f aca="false">IF(ISBLANK(AQ157),AVERAGEIF(M157:M1156,M157,AQ157:AQ1156),AQ157)</f>
        <v>40000</v>
      </c>
      <c r="AS157" s="0" t="n">
        <v>35000</v>
      </c>
      <c r="AT157" s="5" t="n">
        <f aca="false">IF(ISBLANK(AS157),AVERAGE(AS157:AS1156),AS157)</f>
        <v>35000</v>
      </c>
      <c r="AU157" s="0" t="s">
        <v>61</v>
      </c>
      <c r="AV157" s="0" t="str">
        <f aca="false">PROPER(IF(ISBLANK(AU157),"No",AU157))</f>
        <v>No</v>
      </c>
      <c r="AW157" s="0" t="n">
        <v>5000</v>
      </c>
      <c r="AX157" s="5" t="n">
        <f aca="false">IF(ISBLANK(AW157),0,AW157)</f>
        <v>5000</v>
      </c>
      <c r="AY157" s="0" t="s">
        <v>130</v>
      </c>
      <c r="AZ157" s="0" t="str">
        <f aca="false">UPPER(IF(ISBLANK(AY157),"NONE",AY157))</f>
        <v>LOYALTY10</v>
      </c>
      <c r="BA157" s="7" t="s">
        <v>520</v>
      </c>
      <c r="BB157" s="7" t="str">
        <f aca="false">IF(ISBLANK(BA157),"No Follow Up Needed",BA157)</f>
        <v>24/06/2025</v>
      </c>
      <c r="BC157" s="0" t="s">
        <v>61</v>
      </c>
      <c r="BD157" s="0" t="str">
        <f aca="false">PROPER(IF(ISBLANK(BC157),"Unknown",BC157))</f>
        <v>No</v>
      </c>
      <c r="BF157" s="0" t="str">
        <f aca="false">IF(ISBLANK(BE157),"No comments",BE157)</f>
        <v>No comments</v>
      </c>
      <c r="BG157" s="0" t="s">
        <v>172</v>
      </c>
      <c r="BH157" s="0" t="str">
        <f aca="false">IF(ISBLANK(BG157),"No comments",BG157)</f>
        <v>Always late</v>
      </c>
      <c r="BI157" s="0" t="s">
        <v>50</v>
      </c>
      <c r="BJ157" s="0" t="str">
        <f aca="false">IF(ISBLANK(BI157),"Not Mentioned",BI157)</f>
        <v>No</v>
      </c>
      <c r="BK157" s="0" t="s">
        <v>61</v>
      </c>
      <c r="BL157" s="0" t="str">
        <f aca="false">PROPER(IF(ISBLANK(BK157),"Not Mentioned",BK157))</f>
        <v>No</v>
      </c>
      <c r="BN157" s="0" t="str">
        <f aca="false">PROPER(IF(ISBLANK(BM157),"Not Mentioned",BM157))</f>
        <v>Not Mentioned</v>
      </c>
      <c r="BO157" s="0" t="s">
        <v>2321</v>
      </c>
      <c r="BP157" s="0" t="str">
        <f aca="false">IF(ISBLANK(BO157),"One-Time Plan",BO157)</f>
        <v>One-Time Plan</v>
      </c>
      <c r="BQ157" s="0" t="s">
        <v>198</v>
      </c>
      <c r="BR157" s="0" t="str">
        <f aca="false">PROPER(IF(ISBLANK(BQ157),"No",BQ157))</f>
        <v>Followed Up</v>
      </c>
    </row>
    <row r="158" customFormat="false" ht="15" hidden="false" customHeight="false" outlineLevel="0" collapsed="false">
      <c r="A158" s="0" t="s">
        <v>521</v>
      </c>
      <c r="B158" s="2" t="n">
        <v>45662</v>
      </c>
      <c r="C158" s="2" t="str">
        <f aca="false">TEXT(B158,"dd/mm/yyyy")</f>
        <v>05/01/2025</v>
      </c>
      <c r="D158" s="0" t="s">
        <v>42</v>
      </c>
      <c r="E158" s="0" t="n">
        <v>8047590802</v>
      </c>
      <c r="F158" s="0" t="s">
        <v>122</v>
      </c>
      <c r="G158" s="0" t="s">
        <v>2316</v>
      </c>
      <c r="H158" s="0" t="s">
        <v>522</v>
      </c>
      <c r="I158" s="0" t="s">
        <v>107</v>
      </c>
      <c r="J158" s="0" t="s">
        <v>87</v>
      </c>
      <c r="K158" s="3" t="str">
        <f aca="false" t="array" ref="K158:K158">IFERROR(IF(J158&lt;&gt;"",J158,INDEX(J158:J1157,MATCH(1,(F158:F1157=F158)*(I158:I1157=I158)*(L158:L1157=L158)*(J158:J1157&lt;&gt;""),0))),"Not Found")</f>
        <v>Oil Change</v>
      </c>
      <c r="L158" s="3" t="s">
        <v>89</v>
      </c>
      <c r="M158" s="0" t="str">
        <f aca="false">PROPER(L158)</f>
        <v>Shock Absorbers</v>
      </c>
      <c r="N158" s="3" t="s">
        <v>109</v>
      </c>
      <c r="O158" s="0" t="str">
        <f aca="false" t="array" ref="O158:O158">IF(N158&lt;&gt;"",N158,_xlfn.xlookup(1,(L158:L1157=L158)*(N158:N1157&lt;&gt;""),N158:N1157,"Not Found"))</f>
        <v>Tijani</v>
      </c>
      <c r="P158" s="4" t="n">
        <v>71408</v>
      </c>
      <c r="Q158" s="0" t="s">
        <v>124</v>
      </c>
      <c r="R158" s="0" t="str">
        <f aca="false">PROPER(Q158)</f>
        <v>Cash</v>
      </c>
      <c r="S158" s="0" t="s">
        <v>63</v>
      </c>
      <c r="T158" s="0" t="n">
        <v>1</v>
      </c>
      <c r="U158" s="5" t="n">
        <f aca="false">IF(ISBLANK(T158),AVERAGE(T158:T1157),T158)</f>
        <v>1</v>
      </c>
      <c r="V158" s="0" t="n">
        <v>1</v>
      </c>
      <c r="W158" s="0" t="s">
        <v>125</v>
      </c>
      <c r="X158" s="0" t="str">
        <f aca="false">IF(ISBLANK(W158),"No remarks",W158)</f>
        <v>Customer waited</v>
      </c>
      <c r="Y158" s="0" t="s">
        <v>52</v>
      </c>
      <c r="Z158" s="0" t="s">
        <v>136</v>
      </c>
      <c r="AA158" s="0" t="str">
        <f aca="false">PROPER(IF(ISBLANK(Z158),"Location Unavailable",Z158))</f>
        <v>Vip Section</v>
      </c>
      <c r="AB158" s="0" t="s">
        <v>126</v>
      </c>
      <c r="AC158" s="6" t="str">
        <f aca="false">PROPER(AB158)</f>
        <v>Whatsapp</v>
      </c>
      <c r="AD158" s="6" t="n">
        <v>45</v>
      </c>
      <c r="AE158" s="5" t="n">
        <f aca="false">IF(ISBLANK(AD158),AVERAGEIF(L158:L1157,L158,AD158:AD1157),AD158)</f>
        <v>45</v>
      </c>
      <c r="AF158" s="0" t="s">
        <v>96</v>
      </c>
      <c r="AG158" s="0" t="str">
        <f aca="false">PROPER(AF158)</f>
        <v>Ordered</v>
      </c>
      <c r="AH158" s="0" t="s">
        <v>77</v>
      </c>
      <c r="AI158" s="0" t="s">
        <v>78</v>
      </c>
      <c r="AJ158" s="0" t="str">
        <f aca="false">PROPER(AI158)</f>
        <v>Booking</v>
      </c>
      <c r="AK158" s="0" t="s">
        <v>99</v>
      </c>
      <c r="AL158" s="0" t="str">
        <f aca="false">PROPER(AK158)</f>
        <v>Uber Driver</v>
      </c>
      <c r="AM158" s="0" t="s">
        <v>177</v>
      </c>
      <c r="AN158" s="0" t="str">
        <f aca="false">IF(ISBLANK(AM158),"Unknown",AM158)</f>
        <v>Private</v>
      </c>
      <c r="AO158" s="0" t="s">
        <v>161</v>
      </c>
      <c r="AP158" s="0" t="str">
        <f aca="false">IF(ISBLANK(AO158),"Unknown",AO158)</f>
        <v>Apprentice</v>
      </c>
      <c r="AR158" s="5" t="n">
        <f aca="false">IF(ISBLANK(AQ158),AVERAGEIF(M158:M1157,M158,AQ158:AQ1157),AQ158)</f>
        <v>26043.4782608696</v>
      </c>
      <c r="AS158" s="0" t="n">
        <v>40000</v>
      </c>
      <c r="AT158" s="5" t="n">
        <f aca="false">IF(ISBLANK(AS158),AVERAGE(AS158:AS1157),AS158)</f>
        <v>40000</v>
      </c>
      <c r="AU158" s="0" t="s">
        <v>63</v>
      </c>
      <c r="AV158" s="0" t="str">
        <f aca="false">PROPER(IF(ISBLANK(AU158),"No",AU158))</f>
        <v>Yes</v>
      </c>
      <c r="AW158" s="0" t="n">
        <v>10000</v>
      </c>
      <c r="AX158" s="5" t="n">
        <f aca="false">IF(ISBLANK(AW158),0,AW158)</f>
        <v>10000</v>
      </c>
      <c r="AY158" s="0" t="s">
        <v>60</v>
      </c>
      <c r="AZ158" s="0" t="str">
        <f aca="false">UPPER(IF(ISBLANK(AY158),"NONE",AY158))</f>
        <v>NONE</v>
      </c>
      <c r="BA158" s="7" t="n">
        <v>45816</v>
      </c>
      <c r="BB158" s="7" t="n">
        <f aca="false">IF(ISBLANK(BA158),"No Follow Up Needed",BA158)</f>
        <v>45816</v>
      </c>
      <c r="BC158" s="0" t="s">
        <v>63</v>
      </c>
      <c r="BD158" s="0" t="str">
        <f aca="false">PROPER(IF(ISBLANK(BC158),"Unknown",BC158))</f>
        <v>Yes</v>
      </c>
      <c r="BE158" s="0" t="s">
        <v>171</v>
      </c>
      <c r="BF158" s="0" t="str">
        <f aca="false">IF(ISBLANK(BE158),"No comments",BE158)</f>
        <v>Shock absorber weakening</v>
      </c>
      <c r="BH158" s="0" t="str">
        <f aca="false">IF(ISBLANK(BG158),"No comments",BG158)</f>
        <v>No comments</v>
      </c>
      <c r="BI158" s="0" t="s">
        <v>63</v>
      </c>
      <c r="BJ158" s="0" t="str">
        <f aca="false">IF(ISBLANK(BI158),"Not Mentioned",BI158)</f>
        <v>Yes</v>
      </c>
      <c r="BK158" s="0" t="s">
        <v>63</v>
      </c>
      <c r="BL158" s="0" t="str">
        <f aca="false">PROPER(IF(ISBLANK(BK158),"Not Mentioned",BK158))</f>
        <v>Yes</v>
      </c>
      <c r="BN158" s="0" t="str">
        <f aca="false">PROPER(IF(ISBLANK(BM158),"Not Mentioned",BM158))</f>
        <v>Not Mentioned</v>
      </c>
      <c r="BO158" s="0" t="s">
        <v>2321</v>
      </c>
      <c r="BP158" s="0" t="str">
        <f aca="false">IF(ISBLANK(BO158),"One-Time Plan",BO158)</f>
        <v>One-Time Plan</v>
      </c>
      <c r="BQ158" s="0" t="s">
        <v>198</v>
      </c>
      <c r="BR158" s="0" t="str">
        <f aca="false">PROPER(IF(ISBLANK(BQ158),"No",BQ158))</f>
        <v>Followed Up</v>
      </c>
    </row>
    <row r="159" customFormat="false" ht="15" hidden="false" customHeight="false" outlineLevel="0" collapsed="false">
      <c r="A159" s="0" t="s">
        <v>523</v>
      </c>
      <c r="B159" s="2" t="n">
        <v>45680</v>
      </c>
      <c r="C159" s="2" t="str">
        <f aca="false">TEXT(B159,"dd/mm/yyyy")</f>
        <v>23/01/2025</v>
      </c>
      <c r="D159" s="0" t="s">
        <v>121</v>
      </c>
      <c r="E159" s="0" t="n">
        <v>8026972976</v>
      </c>
      <c r="F159" s="0" t="s">
        <v>122</v>
      </c>
      <c r="G159" s="0" t="s">
        <v>2316</v>
      </c>
      <c r="H159" s="0" t="s">
        <v>524</v>
      </c>
      <c r="I159" s="0" t="s">
        <v>69</v>
      </c>
      <c r="J159" s="0" t="s">
        <v>2317</v>
      </c>
      <c r="K159" s="3" t="str">
        <f aca="false" t="array" ref="K159:K159">IFERROR(IF(J159&lt;&gt;"",J159,INDEX(J159:J1158,MATCH(1,(F159:F1158=F159)*(I159:I1158=I159)*(L159:L1158=L159)*(J159:J1158&lt;&gt;""),0))),"Not Found")</f>
        <v>Suspension Noise</v>
      </c>
      <c r="L159" s="3" t="s">
        <v>142</v>
      </c>
      <c r="M159" s="0" t="str">
        <f aca="false">PROPER(L159)</f>
        <v>Oil Filter, Brake Pads</v>
      </c>
      <c r="N159" s="3" t="s">
        <v>71</v>
      </c>
      <c r="O159" s="0" t="str">
        <f aca="false" t="array" ref="O159:O159">IF(N159&lt;&gt;"",N159,_xlfn.xlookup(1,(L159:L1158=L159)*(N159:N1158&lt;&gt;""),N159:N1158,"Not Found"))</f>
        <v>Isaac Bobo</v>
      </c>
      <c r="P159" s="4" t="n">
        <v>109581</v>
      </c>
      <c r="Q159" s="0" t="s">
        <v>91</v>
      </c>
      <c r="R159" s="0" t="str">
        <f aca="false">PROPER(Q159)</f>
        <v>Pos</v>
      </c>
      <c r="S159" s="0" t="s">
        <v>50</v>
      </c>
      <c r="T159" s="0" t="n">
        <v>5</v>
      </c>
      <c r="U159" s="5" t="n">
        <f aca="false">IF(ISBLANK(T159),AVERAGE(T159:T1158),T159)</f>
        <v>5</v>
      </c>
      <c r="V159" s="0" t="n">
        <v>5.2</v>
      </c>
      <c r="X159" s="0" t="str">
        <f aca="false">IF(ISBLANK(W159),"No remarks",W159)</f>
        <v>No remarks</v>
      </c>
      <c r="Y159" s="0" t="s">
        <v>73</v>
      </c>
      <c r="Z159" s="0" t="s">
        <v>136</v>
      </c>
      <c r="AA159" s="0" t="str">
        <f aca="false">PROPER(IF(ISBLANK(Z159),"Location Unavailable",Z159))</f>
        <v>Vip Section</v>
      </c>
      <c r="AB159" s="0" t="s">
        <v>75</v>
      </c>
      <c r="AC159" s="6" t="str">
        <f aca="false">PROPER(AB159)</f>
        <v>Mechanik Referal</v>
      </c>
      <c r="AD159" s="6" t="n">
        <v>60</v>
      </c>
      <c r="AE159" s="5" t="n">
        <f aca="false">IF(ISBLANK(AD159),AVERAGEIF(L159:L1158,L159,AD159:AD1158),AD159)</f>
        <v>60</v>
      </c>
      <c r="AF159" s="0" t="s">
        <v>96</v>
      </c>
      <c r="AG159" s="0" t="str">
        <f aca="false">PROPER(AF159)</f>
        <v>Ordered</v>
      </c>
      <c r="AH159" s="0" t="s">
        <v>155</v>
      </c>
      <c r="AI159" s="0" t="s">
        <v>78</v>
      </c>
      <c r="AJ159" s="0" t="str">
        <f aca="false">PROPER(AI159)</f>
        <v>Booking</v>
      </c>
      <c r="AK159" s="0" t="s">
        <v>58</v>
      </c>
      <c r="AL159" s="0" t="str">
        <f aca="false">PROPER(AK159)</f>
        <v>Fleet Owner</v>
      </c>
      <c r="AM159" s="0" t="s">
        <v>59</v>
      </c>
      <c r="AN159" s="0" t="str">
        <f aca="false">IF(ISBLANK(AM159),"Unknown",AM159)</f>
        <v>Bolt Driver</v>
      </c>
      <c r="AO159" s="0" t="s">
        <v>149</v>
      </c>
      <c r="AP159" s="0" t="str">
        <f aca="false">IF(ISBLANK(AO159),"Unknown",AO159)</f>
        <v>Senior </v>
      </c>
      <c r="AQ159" s="0" t="n">
        <v>25000</v>
      </c>
      <c r="AR159" s="5" t="n">
        <f aca="false">IF(ISBLANK(AQ159),AVERAGEIF(M159:M1158,M159,AQ159:AQ1158),AQ159)</f>
        <v>25000</v>
      </c>
      <c r="AS159" s="0" t="n">
        <v>30000</v>
      </c>
      <c r="AT159" s="5" t="n">
        <f aca="false">IF(ISBLANK(AS159),AVERAGE(AS159:AS1158),AS159)</f>
        <v>30000</v>
      </c>
      <c r="AV159" s="0" t="str">
        <f aca="false">PROPER(IF(ISBLANK(AU159),"No",AU159))</f>
        <v>No</v>
      </c>
      <c r="AW159" s="0" t="n">
        <v>5000</v>
      </c>
      <c r="AX159" s="5" t="n">
        <f aca="false">IF(ISBLANK(AW159),0,AW159)</f>
        <v>5000</v>
      </c>
      <c r="AY159" s="0" t="s">
        <v>80</v>
      </c>
      <c r="AZ159" s="0" t="str">
        <f aca="false">UPPER(IF(ISBLANK(AY159),"NONE",AY159))</f>
        <v>PROMO10</v>
      </c>
      <c r="BB159" s="7" t="str">
        <f aca="false">IF(ISBLANK(BA159),"No Follow Up Needed",BA159)</f>
        <v>No Follow Up Needed</v>
      </c>
      <c r="BC159" s="0" t="s">
        <v>50</v>
      </c>
      <c r="BD159" s="0" t="str">
        <f aca="false">PROPER(IF(ISBLANK(BC159),"Unknown",BC159))</f>
        <v>No</v>
      </c>
      <c r="BF159" s="0" t="str">
        <f aca="false">IF(ISBLANK(BE159),"No comments",BE159)</f>
        <v>No comments</v>
      </c>
      <c r="BH159" s="0" t="str">
        <f aca="false">IF(ISBLANK(BG159),"No comments",BG159)</f>
        <v>No comments</v>
      </c>
      <c r="BI159" s="0" t="s">
        <v>63</v>
      </c>
      <c r="BJ159" s="0" t="str">
        <f aca="false">IF(ISBLANK(BI159),"Not Mentioned",BI159)</f>
        <v>Yes</v>
      </c>
      <c r="BL159" s="0" t="str">
        <f aca="false">PROPER(IF(ISBLANK(BK159),"Not Mentioned",BK159))</f>
        <v>Not Mentioned</v>
      </c>
      <c r="BM159" s="0" t="s">
        <v>50</v>
      </c>
      <c r="BN159" s="0" t="str">
        <f aca="false">PROPER(IF(ISBLANK(BM159),"Not Mentioned",BM159))</f>
        <v>No</v>
      </c>
      <c r="BO159" s="0" t="s">
        <v>64</v>
      </c>
      <c r="BP159" s="0" t="str">
        <f aca="false">IF(ISBLANK(BO159),"One-Time Plan",BO159)</f>
        <v>Gold Maintenance Plan</v>
      </c>
      <c r="BQ159" s="0" t="s">
        <v>190</v>
      </c>
      <c r="BR159" s="0" t="str">
        <f aca="false">PROPER(IF(ISBLANK(BQ159),"No",BQ159))</f>
        <v>Yes</v>
      </c>
    </row>
    <row r="160" customFormat="false" ht="15" hidden="false" customHeight="false" outlineLevel="0" collapsed="false">
      <c r="A160" s="0" t="s">
        <v>525</v>
      </c>
      <c r="B160" s="2" t="n">
        <v>45752</v>
      </c>
      <c r="C160" s="2" t="str">
        <f aca="false">TEXT(B160,"dd/mm/yyyy")</f>
        <v>05/04/2025</v>
      </c>
      <c r="D160" s="0" t="s">
        <v>66</v>
      </c>
      <c r="E160" s="0" t="n">
        <v>8078218774</v>
      </c>
      <c r="F160" s="0" t="s">
        <v>139</v>
      </c>
      <c r="G160" s="0" t="s">
        <v>2323</v>
      </c>
      <c r="H160" s="0" t="s">
        <v>526</v>
      </c>
      <c r="I160" s="0" t="s">
        <v>107</v>
      </c>
      <c r="J160" s="0" t="s">
        <v>87</v>
      </c>
      <c r="K160" s="3" t="str">
        <f aca="false" t="array" ref="K160:K160">IFERROR(IF(J160&lt;&gt;"",J160,INDEX(J160:J1159,MATCH(1,(F160:F1159=F160)*(I160:I1159=I160)*(L160:L1159=L160)*(J160:J1159&lt;&gt;""),0))),"Not Found")</f>
        <v>Oil Change</v>
      </c>
      <c r="L160" s="3" t="s">
        <v>47</v>
      </c>
      <c r="M160" s="0" t="str">
        <f aca="false">PROPER(L160)</f>
        <v>None</v>
      </c>
      <c r="N160" s="3" t="s">
        <v>109</v>
      </c>
      <c r="O160" s="0" t="str">
        <f aca="false" t="array" ref="O160:O160">IF(N160&lt;&gt;"",N160,_xlfn.xlookup(1,(L160:L1159=L160)*(N160:N1159&lt;&gt;""),N160:N1159,"Not Found"))</f>
        <v>Tijani</v>
      </c>
      <c r="P160" s="4" t="n">
        <v>79074</v>
      </c>
      <c r="Q160" s="0" t="s">
        <v>72</v>
      </c>
      <c r="R160" s="0" t="str">
        <f aca="false">PROPER(Q160)</f>
        <v>Pos</v>
      </c>
      <c r="S160" s="0" t="s">
        <v>50</v>
      </c>
      <c r="T160" s="0" t="n">
        <v>5</v>
      </c>
      <c r="U160" s="5" t="n">
        <f aca="false">IF(ISBLANK(T160),AVERAGE(T160:T1159),T160)</f>
        <v>5</v>
      </c>
      <c r="V160" s="0" t="n">
        <v>5.8</v>
      </c>
      <c r="W160" s="0" t="s">
        <v>92</v>
      </c>
      <c r="X160" s="0" t="str">
        <f aca="false">IF(ISBLANK(W160),"No remarks",W160)</f>
        <v>Urgent service</v>
      </c>
      <c r="Y160" s="0" t="s">
        <v>73</v>
      </c>
      <c r="Z160" s="0" t="s">
        <v>159</v>
      </c>
      <c r="AA160" s="0" t="str">
        <f aca="false">PROPER(IF(ISBLANK(Z160),"Location Unavailable",Z160))</f>
        <v>Main Bay</v>
      </c>
      <c r="AB160" s="0" t="s">
        <v>147</v>
      </c>
      <c r="AC160" s="6" t="str">
        <f aca="false">PROPER(AB160)</f>
        <v>Instagram</v>
      </c>
      <c r="AE160" s="5" t="n">
        <f aca="false">IF(ISBLANK(AD160),AVERAGEIF(L160:L1159,L160,AD160:AD1159),AD160)</f>
        <v>37.0673076923077</v>
      </c>
      <c r="AF160" s="0" t="s">
        <v>55</v>
      </c>
      <c r="AG160" s="0" t="str">
        <f aca="false">PROPER(AF160)</f>
        <v>Available</v>
      </c>
      <c r="AH160" s="0" t="s">
        <v>77</v>
      </c>
      <c r="AI160" s="0" t="s">
        <v>98</v>
      </c>
      <c r="AJ160" s="0" t="str">
        <f aca="false">PROPER(AI160)</f>
        <v>Emergency</v>
      </c>
      <c r="AK160" s="0" t="s">
        <v>196</v>
      </c>
      <c r="AL160" s="0" t="str">
        <f aca="false">PROPER(AK160)</f>
        <v>First Time</v>
      </c>
      <c r="AM160" s="0" t="s">
        <v>59</v>
      </c>
      <c r="AN160" s="0" t="str">
        <f aca="false">IF(ISBLANK(AM160),"Unknown",AM160)</f>
        <v>Bolt Driver</v>
      </c>
      <c r="AO160" s="0" t="s">
        <v>79</v>
      </c>
      <c r="AP160" s="0" t="str">
        <f aca="false">IF(ISBLANK(AO160),"Unknown",AO160)</f>
        <v>Specialist</v>
      </c>
      <c r="AQ160" s="0" t="n">
        <v>15000</v>
      </c>
      <c r="AR160" s="5" t="n">
        <f aca="false">IF(ISBLANK(AQ160),AVERAGEIF(M160:M1159,M160,AQ160:AQ1159),AQ160)</f>
        <v>15000</v>
      </c>
      <c r="AS160" s="0" t="n">
        <v>30000</v>
      </c>
      <c r="AT160" s="5" t="n">
        <f aca="false">IF(ISBLANK(AS160),AVERAGE(AS160:AS1159),AS160)</f>
        <v>30000</v>
      </c>
      <c r="AU160" s="0" t="s">
        <v>82</v>
      </c>
      <c r="AV160" s="0" t="str">
        <f aca="false">PROPER(IF(ISBLANK(AU160),"No",AU160))</f>
        <v>Yes</v>
      </c>
      <c r="AX160" s="5" t="n">
        <f aca="false">IF(ISBLANK(AW160),0,AW160)</f>
        <v>0</v>
      </c>
      <c r="AZ160" s="0" t="str">
        <f aca="false">UPPER(IF(ISBLANK(AY160),"NONE",AY160))</f>
        <v>NONE</v>
      </c>
      <c r="BB160" s="7" t="str">
        <f aca="false">IF(ISBLANK(BA160),"No Follow Up Needed",BA160)</f>
        <v>No Follow Up Needed</v>
      </c>
      <c r="BC160" s="0" t="s">
        <v>61</v>
      </c>
      <c r="BD160" s="0" t="str">
        <f aca="false">PROPER(IF(ISBLANK(BC160),"Unknown",BC160))</f>
        <v>No</v>
      </c>
      <c r="BF160" s="0" t="str">
        <f aca="false">IF(ISBLANK(BE160),"No comments",BE160)</f>
        <v>No comments</v>
      </c>
      <c r="BH160" s="0" t="str">
        <f aca="false">IF(ISBLANK(BG160),"No comments",BG160)</f>
        <v>No comments</v>
      </c>
      <c r="BI160" s="0" t="s">
        <v>63</v>
      </c>
      <c r="BJ160" s="0" t="str">
        <f aca="false">IF(ISBLANK(BI160),"Not Mentioned",BI160)</f>
        <v>Yes</v>
      </c>
      <c r="BK160" s="0" t="s">
        <v>50</v>
      </c>
      <c r="BL160" s="0" t="str">
        <f aca="false">PROPER(IF(ISBLANK(BK160),"Not Mentioned",BK160))</f>
        <v>No</v>
      </c>
      <c r="BM160" s="0" t="s">
        <v>63</v>
      </c>
      <c r="BN160" s="0" t="str">
        <f aca="false">PROPER(IF(ISBLANK(BM160),"Not Mentioned",BM160))</f>
        <v>Yes</v>
      </c>
      <c r="BO160" s="0" t="s">
        <v>2321</v>
      </c>
      <c r="BP160" s="0" t="str">
        <f aca="false">IF(ISBLANK(BO160),"One-Time Plan",BO160)</f>
        <v>One-Time Plan</v>
      </c>
      <c r="BQ160" s="0" t="s">
        <v>50</v>
      </c>
      <c r="BR160" s="0" t="str">
        <f aca="false">PROPER(IF(ISBLANK(BQ160),"No",BQ160))</f>
        <v>No</v>
      </c>
    </row>
    <row r="161" customFormat="false" ht="15" hidden="false" customHeight="false" outlineLevel="0" collapsed="false">
      <c r="A161" s="0" t="s">
        <v>527</v>
      </c>
      <c r="B161" s="2" t="n">
        <v>45815</v>
      </c>
      <c r="C161" s="2" t="str">
        <f aca="false">TEXT(B161,"dd/mm/yyyy")</f>
        <v>07/06/2025</v>
      </c>
      <c r="D161" s="0" t="s">
        <v>105</v>
      </c>
      <c r="E161" s="0" t="n">
        <v>8088394188</v>
      </c>
      <c r="F161" s="0" t="s">
        <v>85</v>
      </c>
      <c r="G161" s="0" t="s">
        <v>2319</v>
      </c>
      <c r="H161" s="0" t="s">
        <v>528</v>
      </c>
      <c r="I161" s="0" t="s">
        <v>45</v>
      </c>
      <c r="J161" s="0" t="s">
        <v>87</v>
      </c>
      <c r="K161" s="3" t="str">
        <f aca="false" t="array" ref="K161:K161">IFERROR(IF(J161&lt;&gt;"",J161,INDEX(J161:J1160,MATCH(1,(F161:F1160=F161)*(I161:I1160=I161)*(L161:L1160=L161)*(J161:J1160&lt;&gt;""),0))),"Not Found")</f>
        <v>Oil Change</v>
      </c>
      <c r="L161" s="3" t="s">
        <v>142</v>
      </c>
      <c r="M161" s="0" t="str">
        <f aca="false">PROPER(L161)</f>
        <v>Oil Filter, Brake Pads</v>
      </c>
      <c r="N161" s="3" t="s">
        <v>109</v>
      </c>
      <c r="O161" s="0" t="str">
        <f aca="false" t="array" ref="O161:O161">IF(N161&lt;&gt;"",N161,_xlfn.xlookup(1,(L161:L1160=L161)*(N161:N1160&lt;&gt;""),N161:N1160,"Not Found"))</f>
        <v>Tijani</v>
      </c>
      <c r="P161" s="4" t="n">
        <v>75234</v>
      </c>
      <c r="Q161" s="0" t="s">
        <v>124</v>
      </c>
      <c r="R161" s="0" t="str">
        <f aca="false">PROPER(Q161)</f>
        <v>Cash</v>
      </c>
      <c r="S161" s="0" t="s">
        <v>63</v>
      </c>
      <c r="T161" s="0" t="n">
        <v>2</v>
      </c>
      <c r="U161" s="5" t="n">
        <f aca="false">IF(ISBLANK(T161),AVERAGE(T161:T1160),T161)</f>
        <v>2</v>
      </c>
      <c r="V161" s="0" t="n">
        <v>2.4</v>
      </c>
      <c r="X161" s="0" t="str">
        <f aca="false">IF(ISBLANK(W161),"No remarks",W161)</f>
        <v>No remarks</v>
      </c>
      <c r="Y161" s="0" t="s">
        <v>73</v>
      </c>
      <c r="Z161" s="0" t="s">
        <v>53</v>
      </c>
      <c r="AA161" s="0" t="str">
        <f aca="false">PROPER(IF(ISBLANK(Z161),"Location Unavailable",Z161))</f>
        <v>Main Bay</v>
      </c>
      <c r="AB161" s="0" t="s">
        <v>95</v>
      </c>
      <c r="AC161" s="6" t="str">
        <f aca="false">PROPER(AB161)</f>
        <v>Road Sign</v>
      </c>
      <c r="AE161" s="5" t="n">
        <f aca="false">IF(ISBLANK(AD161),AVERAGEIF(L161:L1160,L161,AD161:AD1160),AD161)</f>
        <v>39.24</v>
      </c>
      <c r="AF161" s="0" t="s">
        <v>76</v>
      </c>
      <c r="AG161" s="0" t="str">
        <f aca="false">PROPER(AF161)</f>
        <v>Orderd</v>
      </c>
      <c r="AH161" s="0" t="s">
        <v>148</v>
      </c>
      <c r="AI161" s="0" t="s">
        <v>113</v>
      </c>
      <c r="AJ161" s="0" t="str">
        <f aca="false">PROPER(AI161)</f>
        <v>Normal</v>
      </c>
      <c r="AK161" s="0" t="s">
        <v>99</v>
      </c>
      <c r="AL161" s="0" t="str">
        <f aca="false">PROPER(AK161)</f>
        <v>Uber Driver</v>
      </c>
      <c r="AN161" s="0" t="str">
        <f aca="false">IF(ISBLANK(AM161),"Unknown",AM161)</f>
        <v>Unknown</v>
      </c>
      <c r="AO161" s="0" t="s">
        <v>79</v>
      </c>
      <c r="AP161" s="0" t="str">
        <f aca="false">IF(ISBLANK(AO161),"Unknown",AO161)</f>
        <v>Specialist</v>
      </c>
      <c r="AR161" s="5" t="n">
        <f aca="false">IF(ISBLANK(AQ161),AVERAGEIF(M161:M1160,M161,AQ161:AQ1160),AQ161)</f>
        <v>26428.5714285714</v>
      </c>
      <c r="AS161" s="0" t="n">
        <v>35000</v>
      </c>
      <c r="AT161" s="5" t="n">
        <f aca="false">IF(ISBLANK(AS161),AVERAGE(AS161:AS1160),AS161)</f>
        <v>35000</v>
      </c>
      <c r="AU161" s="0" t="s">
        <v>50</v>
      </c>
      <c r="AV161" s="0" t="str">
        <f aca="false">PROPER(IF(ISBLANK(AU161),"No",AU161))</f>
        <v>No</v>
      </c>
      <c r="AW161" s="0" t="n">
        <v>5000</v>
      </c>
      <c r="AX161" s="5" t="n">
        <f aca="false">IF(ISBLANK(AW161),0,AW161)</f>
        <v>5000</v>
      </c>
      <c r="AY161" s="0" t="s">
        <v>80</v>
      </c>
      <c r="AZ161" s="0" t="str">
        <f aca="false">UPPER(IF(ISBLANK(AY161),"NONE",AY161))</f>
        <v>PROMO10</v>
      </c>
      <c r="BB161" s="7" t="str">
        <f aca="false">IF(ISBLANK(BA161),"No Follow Up Needed",BA161)</f>
        <v>No Follow Up Needed</v>
      </c>
      <c r="BC161" s="0" t="s">
        <v>61</v>
      </c>
      <c r="BD161" s="0" t="str">
        <f aca="false">PROPER(IF(ISBLANK(BC161),"Unknown",BC161))</f>
        <v>No</v>
      </c>
      <c r="BE161" s="0" t="s">
        <v>171</v>
      </c>
      <c r="BF161" s="0" t="str">
        <f aca="false">IF(ISBLANK(BE161),"No comments",BE161)</f>
        <v>Shock absorber weakening</v>
      </c>
      <c r="BG161" s="0" t="s">
        <v>172</v>
      </c>
      <c r="BH161" s="0" t="str">
        <f aca="false">IF(ISBLANK(BG161),"No comments",BG161)</f>
        <v>Always late</v>
      </c>
      <c r="BI161" s="0" t="s">
        <v>63</v>
      </c>
      <c r="BJ161" s="0" t="str">
        <f aca="false">IF(ISBLANK(BI161),"Not Mentioned",BI161)</f>
        <v>Yes</v>
      </c>
      <c r="BK161" s="0" t="s">
        <v>61</v>
      </c>
      <c r="BL161" s="0" t="str">
        <f aca="false">PROPER(IF(ISBLANK(BK161),"Not Mentioned",BK161))</f>
        <v>No</v>
      </c>
      <c r="BM161" s="0" t="s">
        <v>50</v>
      </c>
      <c r="BN161" s="0" t="str">
        <f aca="false">PROPER(IF(ISBLANK(BM161),"Not Mentioned",BM161))</f>
        <v>No</v>
      </c>
      <c r="BO161" s="0" t="s">
        <v>64</v>
      </c>
      <c r="BP161" s="0" t="str">
        <f aca="false">IF(ISBLANK(BO161),"One-Time Plan",BO161)</f>
        <v>Gold Maintenance Plan</v>
      </c>
      <c r="BQ161" s="0" t="s">
        <v>190</v>
      </c>
      <c r="BR161" s="0" t="str">
        <f aca="false">PROPER(IF(ISBLANK(BQ161),"No",BQ161))</f>
        <v>Yes</v>
      </c>
    </row>
    <row r="162" customFormat="false" ht="15" hidden="false" customHeight="false" outlineLevel="0" collapsed="false">
      <c r="A162" s="0" t="s">
        <v>529</v>
      </c>
      <c r="B162" s="2" t="n">
        <v>45791</v>
      </c>
      <c r="C162" s="2" t="str">
        <f aca="false">TEXT(B162,"dd/mm/yyyy")</f>
        <v>14/05/2025</v>
      </c>
      <c r="D162" s="0" t="s">
        <v>105</v>
      </c>
      <c r="E162" s="0" t="n">
        <v>8075631212</v>
      </c>
      <c r="F162" s="0" t="s">
        <v>67</v>
      </c>
      <c r="G162" s="0" t="s">
        <v>2316</v>
      </c>
      <c r="H162" s="0" t="s">
        <v>530</v>
      </c>
      <c r="I162" s="0" t="s">
        <v>45</v>
      </c>
      <c r="J162" s="0" t="s">
        <v>2322</v>
      </c>
      <c r="K162" s="3" t="str">
        <f aca="false" t="array" ref="K162:K162">IFERROR(IF(J162&lt;&gt;"",J162,INDEX(J162:J1161,MATCH(1,(F162:F1161=F162)*(I162:I1161=I162)*(L162:L1161=L162)*(J162:J1161&lt;&gt;""),0))),"Not Found")</f>
        <v>Brake Failure</v>
      </c>
      <c r="L162" s="3" t="s">
        <v>142</v>
      </c>
      <c r="M162" s="0" t="str">
        <f aca="false">PROPER(L162)</f>
        <v>Oil Filter, Brake Pads</v>
      </c>
      <c r="N162" s="3" t="s">
        <v>48</v>
      </c>
      <c r="O162" s="0" t="str">
        <f aca="false" t="array" ref="O162:O162">IF(N162&lt;&gt;"",N162,_xlfn.xlookup(1,(L162:L1161=L162)*(N162:N1161&lt;&gt;""),N162:N1161,"Not Found"))</f>
        <v>Uche</v>
      </c>
      <c r="P162" s="4" t="n">
        <v>104209</v>
      </c>
      <c r="Q162" s="0" t="s">
        <v>72</v>
      </c>
      <c r="R162" s="0" t="str">
        <f aca="false">PROPER(Q162)</f>
        <v>Pos</v>
      </c>
      <c r="S162" s="0" t="s">
        <v>50</v>
      </c>
      <c r="T162" s="0" t="n">
        <v>1</v>
      </c>
      <c r="U162" s="5" t="n">
        <f aca="false">IF(ISBLANK(T162),AVERAGE(T162:T1161),T162)</f>
        <v>1</v>
      </c>
      <c r="V162" s="0" t="n">
        <v>4.6</v>
      </c>
      <c r="W162" s="0" t="s">
        <v>111</v>
      </c>
      <c r="X162" s="0" t="str">
        <f aca="false">IF(ISBLANK(W162),"No remarks",W162)</f>
        <v>Changed all filters</v>
      </c>
      <c r="Y162" s="0" t="s">
        <v>73</v>
      </c>
      <c r="Z162" s="0" t="s">
        <v>136</v>
      </c>
      <c r="AA162" s="0" t="str">
        <f aca="false">PROPER(IF(ISBLANK(Z162),"Location Unavailable",Z162))</f>
        <v>Vip Section</v>
      </c>
      <c r="AB162" s="0" t="s">
        <v>75</v>
      </c>
      <c r="AC162" s="6" t="str">
        <f aca="false">PROPER(AB162)</f>
        <v>Mechanik Referal</v>
      </c>
      <c r="AD162" s="6" t="n">
        <v>15</v>
      </c>
      <c r="AE162" s="5" t="n">
        <f aca="false">IF(ISBLANK(AD162),AVERAGEIF(L162:L1161,L162,AD162:AD1161),AD162)</f>
        <v>15</v>
      </c>
      <c r="AF162" s="0" t="s">
        <v>76</v>
      </c>
      <c r="AG162" s="0" t="str">
        <f aca="false">PROPER(AF162)</f>
        <v>Orderd</v>
      </c>
      <c r="AH162" s="0" t="s">
        <v>77</v>
      </c>
      <c r="AI162" s="0" t="s">
        <v>98</v>
      </c>
      <c r="AJ162" s="0" t="str">
        <f aca="false">PROPER(AI162)</f>
        <v>Emergency</v>
      </c>
      <c r="AK162" s="0" t="s">
        <v>58</v>
      </c>
      <c r="AL162" s="0" t="str">
        <f aca="false">PROPER(AK162)</f>
        <v>Fleet Owner</v>
      </c>
      <c r="AM162" s="0" t="s">
        <v>2324</v>
      </c>
      <c r="AN162" s="0" t="str">
        <f aca="false">IF(ISBLANK(AM162),"Unknown",AM162)</f>
        <v>Logistics Convoy</v>
      </c>
      <c r="AP162" s="0" t="str">
        <f aca="false">IF(ISBLANK(AO162),"Unknown",AO162)</f>
        <v>Unknown</v>
      </c>
      <c r="AR162" s="5" t="n">
        <f aca="false">IF(ISBLANK(AQ162),AVERAGEIF(M162:M1161,M162,AQ162:AQ1161),AQ162)</f>
        <v>26428.5714285714</v>
      </c>
      <c r="AS162" s="0" t="n">
        <v>20000</v>
      </c>
      <c r="AT162" s="5" t="n">
        <f aca="false">IF(ISBLANK(AS162),AVERAGE(AS162:AS1161),AS162)</f>
        <v>20000</v>
      </c>
      <c r="AU162" s="0" t="s">
        <v>50</v>
      </c>
      <c r="AV162" s="0" t="str">
        <f aca="false">PROPER(IF(ISBLANK(AU162),"No",AU162))</f>
        <v>No</v>
      </c>
      <c r="AW162" s="0" t="n">
        <v>5000</v>
      </c>
      <c r="AX162" s="5" t="n">
        <f aca="false">IF(ISBLANK(AW162),0,AW162)</f>
        <v>5000</v>
      </c>
      <c r="AY162" s="0" t="s">
        <v>184</v>
      </c>
      <c r="AZ162" s="0" t="str">
        <f aca="false">UPPER(IF(ISBLANK(AY162),"NONE",AY162))</f>
        <v>N/A</v>
      </c>
      <c r="BB162" s="7" t="str">
        <f aca="false">IF(ISBLANK(BA162),"No Follow Up Needed",BA162)</f>
        <v>No Follow Up Needed</v>
      </c>
      <c r="BC162" s="0" t="s">
        <v>61</v>
      </c>
      <c r="BD162" s="0" t="str">
        <f aca="false">PROPER(IF(ISBLANK(BC162),"Unknown",BC162))</f>
        <v>No</v>
      </c>
      <c r="BF162" s="0" t="str">
        <f aca="false">IF(ISBLANK(BE162),"No comments",BE162)</f>
        <v>No comments</v>
      </c>
      <c r="BG162" s="0" t="s">
        <v>117</v>
      </c>
      <c r="BH162" s="0" t="str">
        <f aca="false">IF(ISBLANK(BG162),"No comments",BG162)</f>
        <v>Prefers morning</v>
      </c>
      <c r="BI162" s="0" t="s">
        <v>50</v>
      </c>
      <c r="BJ162" s="0" t="str">
        <f aca="false">IF(ISBLANK(BI162),"Not Mentioned",BI162)</f>
        <v>No</v>
      </c>
      <c r="BL162" s="0" t="str">
        <f aca="false">PROPER(IF(ISBLANK(BK162),"Not Mentioned",BK162))</f>
        <v>Not Mentioned</v>
      </c>
      <c r="BM162" s="0" t="s">
        <v>50</v>
      </c>
      <c r="BN162" s="0" t="str">
        <f aca="false">PROPER(IF(ISBLANK(BM162),"Not Mentioned",BM162))</f>
        <v>No</v>
      </c>
      <c r="BO162" s="0" t="s">
        <v>2318</v>
      </c>
      <c r="BP162" s="0" t="str">
        <f aca="false">IF(ISBLANK(BO162),"One-Time Plan",BO162)</f>
        <v>Gold</v>
      </c>
      <c r="BQ162" s="0" t="s">
        <v>190</v>
      </c>
      <c r="BR162" s="0" t="str">
        <f aca="false">PROPER(IF(ISBLANK(BQ162),"No",BQ162))</f>
        <v>Yes</v>
      </c>
    </row>
    <row r="163" customFormat="false" ht="15" hidden="false" customHeight="false" outlineLevel="0" collapsed="false">
      <c r="A163" s="0" t="s">
        <v>532</v>
      </c>
      <c r="B163" s="2" t="s">
        <v>531</v>
      </c>
      <c r="C163" s="2" t="str">
        <f aca="false">TEXT(B163,"dd/mm/yyyy")</f>
        <v>13/06/2025</v>
      </c>
      <c r="D163" s="0" t="s">
        <v>66</v>
      </c>
      <c r="E163" s="0" t="n">
        <v>8038083391</v>
      </c>
      <c r="F163" s="0" t="s">
        <v>122</v>
      </c>
      <c r="G163" s="0" t="s">
        <v>2316</v>
      </c>
      <c r="H163" s="0" t="s">
        <v>533</v>
      </c>
      <c r="I163" s="0" t="s">
        <v>69</v>
      </c>
      <c r="J163" s="0" t="s">
        <v>2325</v>
      </c>
      <c r="K163" s="3" t="str">
        <f aca="false" t="array" ref="K163:K163">IFERROR(IF(J163&lt;&gt;"",J163,INDEX(J163:J1162,MATCH(1,(F163:F1162=F163)*(I163:I1162=I163)*(L163:L1162=L163)*(J163:J1162&lt;&gt;""),0))),"Not Found")</f>
        <v>Engine Knocking</v>
      </c>
      <c r="L163" s="3" t="s">
        <v>47</v>
      </c>
      <c r="M163" s="0" t="str">
        <f aca="false">PROPER(L163)</f>
        <v>None</v>
      </c>
      <c r="N163" s="3" t="s">
        <v>48</v>
      </c>
      <c r="O163" s="0" t="str">
        <f aca="false" t="array" ref="O163:O163">IF(N163&lt;&gt;"",N163,_xlfn.xlookup(1,(L163:L1162=L163)*(N163:N1162&lt;&gt;""),N163:N1162,"Not Found"))</f>
        <v>Uche</v>
      </c>
      <c r="P163" s="4" t="n">
        <v>24747</v>
      </c>
      <c r="Q163" s="0" t="s">
        <v>91</v>
      </c>
      <c r="R163" s="0" t="str">
        <f aca="false">PROPER(Q163)</f>
        <v>Pos</v>
      </c>
      <c r="S163" s="0" t="s">
        <v>63</v>
      </c>
      <c r="T163" s="0" t="n">
        <v>3</v>
      </c>
      <c r="U163" s="5" t="n">
        <f aca="false">IF(ISBLANK(T163),AVERAGE(T163:T1162),T163)</f>
        <v>3</v>
      </c>
      <c r="V163" s="0" t="n">
        <v>2.1</v>
      </c>
      <c r="W163" s="0" t="s">
        <v>92</v>
      </c>
      <c r="X163" s="0" t="str">
        <f aca="false">IF(ISBLANK(W163),"No remarks",W163)</f>
        <v>Urgent service</v>
      </c>
      <c r="Y163" s="0" t="s">
        <v>52</v>
      </c>
      <c r="Z163" s="0" t="s">
        <v>74</v>
      </c>
      <c r="AA163" s="0" t="str">
        <f aca="false">PROPER(IF(ISBLANK(Z163),"Location Unavailable",Z163))</f>
        <v>Under Tree</v>
      </c>
      <c r="AB163" s="0" t="s">
        <v>167</v>
      </c>
      <c r="AC163" s="6" t="str">
        <f aca="false">PROPER(AB163)</f>
        <v>Word Of Mouth</v>
      </c>
      <c r="AD163" s="6" t="n">
        <v>30</v>
      </c>
      <c r="AE163" s="5" t="n">
        <f aca="false">IF(ISBLANK(AD163),AVERAGEIF(L163:L1162,L163,AD163:AD1162),AD163)</f>
        <v>30</v>
      </c>
      <c r="AF163" s="0" t="s">
        <v>76</v>
      </c>
      <c r="AG163" s="0" t="str">
        <f aca="false">PROPER(AF163)</f>
        <v>Orderd</v>
      </c>
      <c r="AH163" s="0" t="s">
        <v>155</v>
      </c>
      <c r="AI163" s="0" t="s">
        <v>113</v>
      </c>
      <c r="AJ163" s="0" t="str">
        <f aca="false">PROPER(AI163)</f>
        <v>Normal</v>
      </c>
      <c r="AK163" s="0" t="s">
        <v>196</v>
      </c>
      <c r="AL163" s="0" t="str">
        <f aca="false">PROPER(AK163)</f>
        <v>First Time</v>
      </c>
      <c r="AM163" s="0" t="s">
        <v>2324</v>
      </c>
      <c r="AN163" s="0" t="str">
        <f aca="false">IF(ISBLANK(AM163),"Unknown",AM163)</f>
        <v>Logistics Convoy</v>
      </c>
      <c r="AO163" s="0" t="s">
        <v>149</v>
      </c>
      <c r="AP163" s="0" t="str">
        <f aca="false">IF(ISBLANK(AO163),"Unknown",AO163)</f>
        <v>Senior </v>
      </c>
      <c r="AQ163" s="0" t="n">
        <v>20000</v>
      </c>
      <c r="AR163" s="5" t="n">
        <f aca="false">IF(ISBLANK(AQ163),AVERAGEIF(M163:M1162,M163,AQ163:AQ1162),AQ163)</f>
        <v>20000</v>
      </c>
      <c r="AS163" s="0" t="n">
        <v>40000</v>
      </c>
      <c r="AT163" s="5" t="n">
        <f aca="false">IF(ISBLANK(AS163),AVERAGE(AS163:AS1162),AS163)</f>
        <v>40000</v>
      </c>
      <c r="AU163" s="0" t="s">
        <v>50</v>
      </c>
      <c r="AV163" s="0" t="str">
        <f aca="false">PROPER(IF(ISBLANK(AU163),"No",AU163))</f>
        <v>No</v>
      </c>
      <c r="AW163" s="0" t="n">
        <v>0</v>
      </c>
      <c r="AX163" s="5" t="n">
        <f aca="false">IF(ISBLANK(AW163),0,AW163)</f>
        <v>0</v>
      </c>
      <c r="AZ163" s="0" t="str">
        <f aca="false">UPPER(IF(ISBLANK(AY163),"NONE",AY163))</f>
        <v>NONE</v>
      </c>
      <c r="BA163" s="7" t="n">
        <v>45867</v>
      </c>
      <c r="BB163" s="7" t="n">
        <f aca="false">IF(ISBLANK(BA163),"No Follow Up Needed",BA163)</f>
        <v>45867</v>
      </c>
      <c r="BC163" s="0" t="s">
        <v>63</v>
      </c>
      <c r="BD163" s="0" t="str">
        <f aca="false">PROPER(IF(ISBLANK(BC163),"Unknown",BC163))</f>
        <v>Yes</v>
      </c>
      <c r="BE163" s="0" t="s">
        <v>171</v>
      </c>
      <c r="BF163" s="0" t="str">
        <f aca="false">IF(ISBLANK(BE163),"No comments",BE163)</f>
        <v>Shock absorber weakening</v>
      </c>
      <c r="BG163" s="0" t="s">
        <v>172</v>
      </c>
      <c r="BH163" s="0" t="str">
        <f aca="false">IF(ISBLANK(BG163),"No comments",BG163)</f>
        <v>Always late</v>
      </c>
      <c r="BI163" s="0" t="s">
        <v>50</v>
      </c>
      <c r="BJ163" s="0" t="str">
        <f aca="false">IF(ISBLANK(BI163),"Not Mentioned",BI163)</f>
        <v>No</v>
      </c>
      <c r="BL163" s="0" t="str">
        <f aca="false">PROPER(IF(ISBLANK(BK163),"Not Mentioned",BK163))</f>
        <v>Not Mentioned</v>
      </c>
      <c r="BN163" s="0" t="str">
        <f aca="false">PROPER(IF(ISBLANK(BM163),"Not Mentioned",BM163))</f>
        <v>Not Mentioned</v>
      </c>
      <c r="BO163" s="0" t="s">
        <v>64</v>
      </c>
      <c r="BP163" s="0" t="str">
        <f aca="false">IF(ISBLANK(BO163),"One-Time Plan",BO163)</f>
        <v>Gold Maintenance Plan</v>
      </c>
      <c r="BQ163" s="0" t="s">
        <v>50</v>
      </c>
      <c r="BR163" s="0" t="str">
        <f aca="false">PROPER(IF(ISBLANK(BQ163),"No",BQ163))</f>
        <v>No</v>
      </c>
    </row>
    <row r="164" customFormat="false" ht="15" hidden="false" customHeight="false" outlineLevel="0" collapsed="false">
      <c r="A164" s="0" t="s">
        <v>535</v>
      </c>
      <c r="B164" s="2" t="s">
        <v>534</v>
      </c>
      <c r="C164" s="2" t="str">
        <f aca="false">TEXT(B164,"dd/mm/yyyy")</f>
        <v>21/02/2025</v>
      </c>
      <c r="D164" s="0" t="s">
        <v>105</v>
      </c>
      <c r="E164" s="0" t="n">
        <v>8020926356</v>
      </c>
      <c r="F164" s="0" t="s">
        <v>85</v>
      </c>
      <c r="G164" s="0" t="s">
        <v>2319</v>
      </c>
      <c r="H164" s="0" t="s">
        <v>536</v>
      </c>
      <c r="I164" s="0" t="s">
        <v>45</v>
      </c>
      <c r="J164" s="0" t="s">
        <v>87</v>
      </c>
      <c r="K164" s="3" t="str">
        <f aca="false" t="array" ref="K164:K164">IFERROR(IF(J164&lt;&gt;"",J164,INDEX(J164:J1163,MATCH(1,(F164:F1163=F164)*(I164:I1163=I164)*(L164:L1163=L164)*(J164:J1163&lt;&gt;""),0))),"Not Found")</f>
        <v>Oil Change</v>
      </c>
      <c r="L164" s="3" t="s">
        <v>47</v>
      </c>
      <c r="M164" s="0" t="str">
        <f aca="false">PROPER(L164)</f>
        <v>None</v>
      </c>
      <c r="N164" s="3" t="s">
        <v>48</v>
      </c>
      <c r="O164" s="0" t="str">
        <f aca="false" t="array" ref="O164:O164">IF(N164&lt;&gt;"",N164,_xlfn.xlookup(1,(L164:L1163=L164)*(N164:N1163&lt;&gt;""),N164:N1163,"Not Found"))</f>
        <v>Uche</v>
      </c>
      <c r="P164" s="4" t="n">
        <v>38080</v>
      </c>
      <c r="Q164" s="0" t="s">
        <v>166</v>
      </c>
      <c r="R164" s="0" t="str">
        <f aca="false">PROPER(Q164)</f>
        <v>Transfer</v>
      </c>
      <c r="S164" s="0" t="s">
        <v>63</v>
      </c>
      <c r="U164" s="5" t="n">
        <f aca="false">IF(ISBLANK(T164),AVERAGE(T164:T1163),T164)</f>
        <v>2.99281609195402</v>
      </c>
      <c r="V164" s="0" t="n">
        <v>1.8</v>
      </c>
      <c r="W164" s="0" t="s">
        <v>92</v>
      </c>
      <c r="X164" s="0" t="str">
        <f aca="false">IF(ISBLANK(W164),"No remarks",W164)</f>
        <v>Urgent service</v>
      </c>
      <c r="Y164" s="0" t="s">
        <v>93</v>
      </c>
      <c r="Z164" s="0" t="s">
        <v>94</v>
      </c>
      <c r="AA164" s="0" t="str">
        <f aca="false">PROPER(IF(ISBLANK(Z164),"Location Unavailable",Z164))</f>
        <v>Vip Section</v>
      </c>
      <c r="AB164" s="0" t="s">
        <v>126</v>
      </c>
      <c r="AC164" s="6" t="str">
        <f aca="false">PROPER(AB164)</f>
        <v>Whatsapp</v>
      </c>
      <c r="AD164" s="6" t="n">
        <v>45</v>
      </c>
      <c r="AE164" s="5" t="n">
        <f aca="false">IF(ISBLANK(AD164),AVERAGEIF(L164:L1163,L164,AD164:AD1163),AD164)</f>
        <v>45</v>
      </c>
      <c r="AF164" s="0" t="s">
        <v>160</v>
      </c>
      <c r="AG164" s="0" t="str">
        <f aca="false">PROPER(AF164)</f>
        <v>Availaible</v>
      </c>
      <c r="AH164" s="0" t="s">
        <v>155</v>
      </c>
      <c r="AI164" s="0" t="s">
        <v>128</v>
      </c>
      <c r="AJ164" s="0" t="str">
        <f aca="false">PROPER(AI164)</f>
        <v>Normal</v>
      </c>
      <c r="AK164" s="0" t="s">
        <v>196</v>
      </c>
      <c r="AL164" s="0" t="str">
        <f aca="false">PROPER(AK164)</f>
        <v>First Time</v>
      </c>
      <c r="AN164" s="0" t="str">
        <f aca="false">IF(ISBLANK(AM164),"Unknown",AM164)</f>
        <v>Unknown</v>
      </c>
      <c r="AO164" s="0" t="s">
        <v>79</v>
      </c>
      <c r="AP164" s="0" t="str">
        <f aca="false">IF(ISBLANK(AO164),"Unknown",AO164)</f>
        <v>Specialist</v>
      </c>
      <c r="AR164" s="5" t="n">
        <f aca="false">IF(ISBLANK(AQ164),AVERAGEIF(M164:M1163,M164,AQ164:AQ1163),AQ164)</f>
        <v>26074.7663551402</v>
      </c>
      <c r="AS164" s="0" t="n">
        <v>35000</v>
      </c>
      <c r="AT164" s="5" t="n">
        <f aca="false">IF(ISBLANK(AS164),AVERAGE(AS164:AS1163),AS164)</f>
        <v>35000</v>
      </c>
      <c r="AU164" s="0" t="s">
        <v>50</v>
      </c>
      <c r="AV164" s="0" t="str">
        <f aca="false">PROPER(IF(ISBLANK(AU164),"No",AU164))</f>
        <v>No</v>
      </c>
      <c r="AW164" s="0" t="n">
        <v>0</v>
      </c>
      <c r="AX164" s="5" t="n">
        <f aca="false">IF(ISBLANK(AW164),0,AW164)</f>
        <v>0</v>
      </c>
      <c r="AY164" s="0" t="s">
        <v>130</v>
      </c>
      <c r="AZ164" s="0" t="str">
        <f aca="false">UPPER(IF(ISBLANK(AY164),"NONE",AY164))</f>
        <v>LOYALTY10</v>
      </c>
      <c r="BA164" s="7" t="s">
        <v>537</v>
      </c>
      <c r="BB164" s="7" t="str">
        <f aca="false">IF(ISBLANK(BA164),"No Follow Up Needed",BA164)</f>
        <v>19/10/2025</v>
      </c>
      <c r="BC164" s="0" t="s">
        <v>82</v>
      </c>
      <c r="BD164" s="0" t="str">
        <f aca="false">PROPER(IF(ISBLANK(BC164),"Unknown",BC164))</f>
        <v>Yes</v>
      </c>
      <c r="BE164" s="0" t="s">
        <v>171</v>
      </c>
      <c r="BF164" s="0" t="str">
        <f aca="false">IF(ISBLANK(BE164),"No comments",BE164)</f>
        <v>Shock absorber weakening</v>
      </c>
      <c r="BG164" s="0" t="s">
        <v>117</v>
      </c>
      <c r="BH164" s="0" t="str">
        <f aca="false">IF(ISBLANK(BG164),"No comments",BG164)</f>
        <v>Prefers morning</v>
      </c>
      <c r="BI164" s="0" t="s">
        <v>63</v>
      </c>
      <c r="BJ164" s="0" t="str">
        <f aca="false">IF(ISBLANK(BI164),"Not Mentioned",BI164)</f>
        <v>Yes</v>
      </c>
      <c r="BK164" s="0" t="s">
        <v>61</v>
      </c>
      <c r="BL164" s="0" t="str">
        <f aca="false">PROPER(IF(ISBLANK(BK164),"Not Mentioned",BK164))</f>
        <v>No</v>
      </c>
      <c r="BM164" s="0" t="s">
        <v>50</v>
      </c>
      <c r="BN164" s="0" t="str">
        <f aca="false">PROPER(IF(ISBLANK(BM164),"Not Mentioned",BM164))</f>
        <v>No</v>
      </c>
      <c r="BO164" s="0" t="s">
        <v>2318</v>
      </c>
      <c r="BP164" s="0" t="str">
        <f aca="false">IF(ISBLANK(BO164),"One-Time Plan",BO164)</f>
        <v>Gold</v>
      </c>
      <c r="BQ164" s="0" t="s">
        <v>50</v>
      </c>
      <c r="BR164" s="0" t="str">
        <f aca="false">PROPER(IF(ISBLANK(BQ164),"No",BQ164))</f>
        <v>No</v>
      </c>
    </row>
    <row r="165" customFormat="false" ht="15" hidden="false" customHeight="false" outlineLevel="0" collapsed="false">
      <c r="A165" s="0" t="s">
        <v>538</v>
      </c>
      <c r="B165" s="2" t="n">
        <v>45811</v>
      </c>
      <c r="C165" s="2" t="str">
        <f aca="false">TEXT(B165,"dd/mm/yyyy")</f>
        <v>03/06/2025</v>
      </c>
      <c r="D165" s="0" t="s">
        <v>163</v>
      </c>
      <c r="E165" s="0" t="n">
        <v>8073171894</v>
      </c>
      <c r="F165" s="0" t="s">
        <v>85</v>
      </c>
      <c r="G165" s="0" t="s">
        <v>2319</v>
      </c>
      <c r="H165" s="0" t="s">
        <v>539</v>
      </c>
      <c r="I165" s="0" t="s">
        <v>87</v>
      </c>
      <c r="J165" s="0" t="s">
        <v>87</v>
      </c>
      <c r="K165" s="3" t="str">
        <f aca="false" t="array" ref="K165:K165">IFERROR(IF(J165&lt;&gt;"",J165,INDEX(J165:J1164,MATCH(1,(F165:F1164=F165)*(I165:I1164=I165)*(L165:L1164=L165)*(J165:J1164&lt;&gt;""),0))),"Not Found")</f>
        <v>Oil Change</v>
      </c>
      <c r="L165" s="3" t="s">
        <v>47</v>
      </c>
      <c r="M165" s="0" t="str">
        <f aca="false">PROPER(L165)</f>
        <v>None</v>
      </c>
      <c r="N165" s="3" t="s">
        <v>71</v>
      </c>
      <c r="O165" s="0" t="str">
        <f aca="false" t="array" ref="O165:O165">IF(N165&lt;&gt;"",N165,_xlfn.xlookup(1,(L165:L1164=L165)*(N165:N1164&lt;&gt;""),N165:N1164,"Not Found"))</f>
        <v>Isaac Bobo</v>
      </c>
      <c r="P165" s="4" t="n">
        <v>74268</v>
      </c>
      <c r="Q165" s="0" t="s">
        <v>110</v>
      </c>
      <c r="R165" s="0" t="str">
        <f aca="false">PROPER(Q165)</f>
        <v>Cash</v>
      </c>
      <c r="S165" s="0" t="s">
        <v>63</v>
      </c>
      <c r="T165" s="0" t="n">
        <v>3</v>
      </c>
      <c r="U165" s="5" t="n">
        <f aca="false">IF(ISBLANK(T165),AVERAGE(T165:T1164),T165)</f>
        <v>3</v>
      </c>
      <c r="V165" s="0" t="n">
        <v>5.1</v>
      </c>
      <c r="W165" s="0" t="s">
        <v>125</v>
      </c>
      <c r="X165" s="0" t="str">
        <f aca="false">IF(ISBLANK(W165),"No remarks",W165)</f>
        <v>Customer waited</v>
      </c>
      <c r="Y165" s="0" t="s">
        <v>93</v>
      </c>
      <c r="Z165" s="0" t="s">
        <v>74</v>
      </c>
      <c r="AA165" s="0" t="str">
        <f aca="false">PROPER(IF(ISBLANK(Z165),"Location Unavailable",Z165))</f>
        <v>Under Tree</v>
      </c>
      <c r="AB165" s="0" t="s">
        <v>95</v>
      </c>
      <c r="AC165" s="6" t="str">
        <f aca="false">PROPER(AB165)</f>
        <v>Road Sign</v>
      </c>
      <c r="AD165" s="6" t="n">
        <v>60</v>
      </c>
      <c r="AE165" s="5" t="n">
        <f aca="false">IF(ISBLANK(AD165),AVERAGEIF(L165:L1164,L165,AD165:AD1164),AD165)</f>
        <v>60</v>
      </c>
      <c r="AF165" s="0" t="s">
        <v>55</v>
      </c>
      <c r="AG165" s="0" t="str">
        <f aca="false">PROPER(AF165)</f>
        <v>Available</v>
      </c>
      <c r="AH165" s="0" t="s">
        <v>77</v>
      </c>
      <c r="AI165" s="0" t="s">
        <v>98</v>
      </c>
      <c r="AJ165" s="0" t="str">
        <f aca="false">PROPER(AI165)</f>
        <v>Emergency</v>
      </c>
      <c r="AK165" s="0" t="s">
        <v>58</v>
      </c>
      <c r="AL165" s="0" t="str">
        <f aca="false">PROPER(AK165)</f>
        <v>Fleet Owner</v>
      </c>
      <c r="AN165" s="0" t="str">
        <f aca="false">IF(ISBLANK(AM165),"Unknown",AM165)</f>
        <v>Unknown</v>
      </c>
      <c r="AO165" s="0" t="s">
        <v>79</v>
      </c>
      <c r="AP165" s="0" t="str">
        <f aca="false">IF(ISBLANK(AO165),"Unknown",AO165)</f>
        <v>Specialist</v>
      </c>
      <c r="AQ165" s="0" t="n">
        <v>20000</v>
      </c>
      <c r="AR165" s="5" t="n">
        <f aca="false">IF(ISBLANK(AQ165),AVERAGEIF(M165:M1164,M165,AQ165:AQ1164),AQ165)</f>
        <v>20000</v>
      </c>
      <c r="AS165" s="0" t="n">
        <v>20000</v>
      </c>
      <c r="AT165" s="5" t="n">
        <f aca="false">IF(ISBLANK(AS165),AVERAGE(AS165:AS1164),AS165)</f>
        <v>20000</v>
      </c>
      <c r="AU165" s="0" t="s">
        <v>61</v>
      </c>
      <c r="AV165" s="0" t="str">
        <f aca="false">PROPER(IF(ISBLANK(AU165),"No",AU165))</f>
        <v>No</v>
      </c>
      <c r="AW165" s="0" t="n">
        <v>5000</v>
      </c>
      <c r="AX165" s="5" t="n">
        <f aca="false">IF(ISBLANK(AW165),0,AW165)</f>
        <v>5000</v>
      </c>
      <c r="AY165" s="0" t="s">
        <v>184</v>
      </c>
      <c r="AZ165" s="0" t="str">
        <f aca="false">UPPER(IF(ISBLANK(AY165),"NONE",AY165))</f>
        <v>N/A</v>
      </c>
      <c r="BA165" s="7" t="n">
        <v>45667</v>
      </c>
      <c r="BB165" s="7" t="n">
        <f aca="false">IF(ISBLANK(BA165),"No Follow Up Needed",BA165)</f>
        <v>45667</v>
      </c>
      <c r="BC165" s="0" t="s">
        <v>50</v>
      </c>
      <c r="BD165" s="0" t="str">
        <f aca="false">PROPER(IF(ISBLANK(BC165),"Unknown",BC165))</f>
        <v>No</v>
      </c>
      <c r="BE165" s="0" t="s">
        <v>171</v>
      </c>
      <c r="BF165" s="0" t="str">
        <f aca="false">IF(ISBLANK(BE165),"No comments",BE165)</f>
        <v>Shock absorber weakening</v>
      </c>
      <c r="BG165" s="0" t="s">
        <v>172</v>
      </c>
      <c r="BH165" s="0" t="str">
        <f aca="false">IF(ISBLANK(BG165),"No comments",BG165)</f>
        <v>Always late</v>
      </c>
      <c r="BI165" s="0" t="s">
        <v>50</v>
      </c>
      <c r="BJ165" s="0" t="str">
        <f aca="false">IF(ISBLANK(BI165),"Not Mentioned",BI165)</f>
        <v>No</v>
      </c>
      <c r="BK165" s="0" t="s">
        <v>61</v>
      </c>
      <c r="BL165" s="0" t="str">
        <f aca="false">PROPER(IF(ISBLANK(BK165),"Not Mentioned",BK165))</f>
        <v>No</v>
      </c>
      <c r="BN165" s="0" t="str">
        <f aca="false">PROPER(IF(ISBLANK(BM165),"Not Mentioned",BM165))</f>
        <v>Not Mentioned</v>
      </c>
      <c r="BO165" s="0" t="s">
        <v>2321</v>
      </c>
      <c r="BP165" s="0" t="str">
        <f aca="false">IF(ISBLANK(BO165),"One-Time Plan",BO165)</f>
        <v>One-Time Plan</v>
      </c>
      <c r="BQ165" s="0" t="s">
        <v>198</v>
      </c>
      <c r="BR165" s="0" t="str">
        <f aca="false">PROPER(IF(ISBLANK(BQ165),"No",BQ165))</f>
        <v>Followed Up</v>
      </c>
    </row>
    <row r="166" customFormat="false" ht="15" hidden="false" customHeight="false" outlineLevel="0" collapsed="false">
      <c r="A166" s="0" t="s">
        <v>540</v>
      </c>
      <c r="B166" s="2" t="n">
        <v>45790</v>
      </c>
      <c r="C166" s="2" t="str">
        <f aca="false">TEXT(B166,"dd/mm/yyyy")</f>
        <v>13/05/2025</v>
      </c>
      <c r="D166" s="0" t="s">
        <v>121</v>
      </c>
      <c r="E166" s="0" t="n">
        <v>8099053757</v>
      </c>
      <c r="F166" s="0" t="s">
        <v>85</v>
      </c>
      <c r="G166" s="0" t="s">
        <v>2319</v>
      </c>
      <c r="H166" s="0" t="s">
        <v>541</v>
      </c>
      <c r="I166" s="0" t="s">
        <v>69</v>
      </c>
      <c r="J166" s="0" t="s">
        <v>87</v>
      </c>
      <c r="K166" s="3" t="str">
        <f aca="false" t="array" ref="K166:K166">IFERROR(IF(J166&lt;&gt;"",J166,INDEX(J166:J1165,MATCH(1,(F166:F1165=F166)*(I166:I1165=I166)*(L166:L1165=L166)*(J166:J1165&lt;&gt;""),0))),"Not Found")</f>
        <v>Oil Change</v>
      </c>
      <c r="L166" s="3" t="s">
        <v>142</v>
      </c>
      <c r="M166" s="0" t="str">
        <f aca="false">PROPER(L166)</f>
        <v>Oil Filter, Brake Pads</v>
      </c>
      <c r="N166" s="3" t="s">
        <v>90</v>
      </c>
      <c r="O166" s="0" t="str">
        <f aca="false" t="array" ref="O166:O166">IF(N166&lt;&gt;"",N166,_xlfn.xlookup(1,(L166:L1165=L166)*(N166:N1165&lt;&gt;""),N166:N1165,"Not Found"))</f>
        <v>Musa</v>
      </c>
      <c r="P166" s="4" t="n">
        <v>102788</v>
      </c>
      <c r="Q166" s="0" t="s">
        <v>91</v>
      </c>
      <c r="R166" s="0" t="str">
        <f aca="false">PROPER(Q166)</f>
        <v>Pos</v>
      </c>
      <c r="S166" s="0" t="s">
        <v>63</v>
      </c>
      <c r="T166" s="0" t="n">
        <v>5</v>
      </c>
      <c r="U166" s="5" t="n">
        <f aca="false">IF(ISBLANK(T166),AVERAGE(T166:T1165),T166)</f>
        <v>5</v>
      </c>
      <c r="V166" s="0" t="n">
        <v>5.5</v>
      </c>
      <c r="W166" s="0" t="s">
        <v>111</v>
      </c>
      <c r="X166" s="0" t="str">
        <f aca="false">IF(ISBLANK(W166),"No remarks",W166)</f>
        <v>Changed all filters</v>
      </c>
      <c r="Y166" s="0" t="s">
        <v>73</v>
      </c>
      <c r="Z166" s="0" t="s">
        <v>94</v>
      </c>
      <c r="AA166" s="0" t="str">
        <f aca="false">PROPER(IF(ISBLANK(Z166),"Location Unavailable",Z166))</f>
        <v>Vip Section</v>
      </c>
      <c r="AB166" s="0" t="s">
        <v>147</v>
      </c>
      <c r="AC166" s="6" t="str">
        <f aca="false">PROPER(AB166)</f>
        <v>Instagram</v>
      </c>
      <c r="AD166" s="6" t="n">
        <v>60</v>
      </c>
      <c r="AE166" s="5" t="n">
        <f aca="false">IF(ISBLANK(AD166),AVERAGEIF(L166:L1165,L166,AD166:AD1165),AD166)</f>
        <v>60</v>
      </c>
      <c r="AF166" s="0" t="s">
        <v>112</v>
      </c>
      <c r="AG166" s="0" t="str">
        <f aca="false">PROPER(AF166)</f>
        <v>Unavailable</v>
      </c>
      <c r="AH166" s="0" t="s">
        <v>148</v>
      </c>
      <c r="AI166" s="0" t="s">
        <v>98</v>
      </c>
      <c r="AJ166" s="0" t="str">
        <f aca="false">PROPER(AI166)</f>
        <v>Emergency</v>
      </c>
      <c r="AK166" s="0" t="s">
        <v>196</v>
      </c>
      <c r="AL166" s="0" t="str">
        <f aca="false">PROPER(AK166)</f>
        <v>First Time</v>
      </c>
      <c r="AM166" s="0" t="s">
        <v>2324</v>
      </c>
      <c r="AN166" s="0" t="str">
        <f aca="false">IF(ISBLANK(AM166),"Unknown",AM166)</f>
        <v>Logistics Convoy</v>
      </c>
      <c r="AO166" s="0" t="s">
        <v>149</v>
      </c>
      <c r="AP166" s="0" t="str">
        <f aca="false">IF(ISBLANK(AO166),"Unknown",AO166)</f>
        <v>Senior </v>
      </c>
      <c r="AR166" s="5" t="n">
        <f aca="false">IF(ISBLANK(AQ166),AVERAGEIF(M166:M1165,M166,AQ166:AQ1165),AQ166)</f>
        <v>26428.5714285714</v>
      </c>
      <c r="AS166" s="0" t="n">
        <v>30000</v>
      </c>
      <c r="AT166" s="5" t="n">
        <f aca="false">IF(ISBLANK(AS166),AVERAGE(AS166:AS1165),AS166)</f>
        <v>30000</v>
      </c>
      <c r="AU166" s="0" t="s">
        <v>50</v>
      </c>
      <c r="AV166" s="0" t="str">
        <f aca="false">PROPER(IF(ISBLANK(AU166),"No",AU166))</f>
        <v>No</v>
      </c>
      <c r="AX166" s="5" t="n">
        <f aca="false">IF(ISBLANK(AW166),0,AW166)</f>
        <v>0</v>
      </c>
      <c r="AY166" s="0" t="s">
        <v>130</v>
      </c>
      <c r="AZ166" s="0" t="str">
        <f aca="false">UPPER(IF(ISBLANK(AY166),"NONE",AY166))</f>
        <v>LOYALTY10</v>
      </c>
      <c r="BB166" s="7" t="str">
        <f aca="false">IF(ISBLANK(BA166),"No Follow Up Needed",BA166)</f>
        <v>No Follow Up Needed</v>
      </c>
      <c r="BD166" s="0" t="str">
        <f aca="false">PROPER(IF(ISBLANK(BC166),"Unknown",BC166))</f>
        <v>Unknown</v>
      </c>
      <c r="BE166" s="0" t="s">
        <v>116</v>
      </c>
      <c r="BF166" s="0" t="str">
        <f aca="false">IF(ISBLANK(BE166),"No comments",BE166)</f>
        <v>Needs tire alignment</v>
      </c>
      <c r="BH166" s="0" t="str">
        <f aca="false">IF(ISBLANK(BG166),"No comments",BG166)</f>
        <v>No comments</v>
      </c>
      <c r="BI166" s="0" t="s">
        <v>63</v>
      </c>
      <c r="BJ166" s="0" t="str">
        <f aca="false">IF(ISBLANK(BI166),"Not Mentioned",BI166)</f>
        <v>Yes</v>
      </c>
      <c r="BK166" s="0" t="s">
        <v>50</v>
      </c>
      <c r="BL166" s="0" t="str">
        <f aca="false">PROPER(IF(ISBLANK(BK166),"Not Mentioned",BK166))</f>
        <v>No</v>
      </c>
      <c r="BM166" s="0" t="s">
        <v>63</v>
      </c>
      <c r="BN166" s="0" t="str">
        <f aca="false">PROPER(IF(ISBLANK(BM166),"Not Mentioned",BM166))</f>
        <v>Yes</v>
      </c>
      <c r="BO166" s="0" t="s">
        <v>64</v>
      </c>
      <c r="BP166" s="0" t="str">
        <f aca="false">IF(ISBLANK(BO166),"One-Time Plan",BO166)</f>
        <v>Gold Maintenance Plan</v>
      </c>
      <c r="BQ166" s="0" t="s">
        <v>198</v>
      </c>
      <c r="BR166" s="0" t="str">
        <f aca="false">PROPER(IF(ISBLANK(BQ166),"No",BQ166))</f>
        <v>Followed Up</v>
      </c>
    </row>
    <row r="167" customFormat="false" ht="15" hidden="false" customHeight="false" outlineLevel="0" collapsed="false">
      <c r="A167" s="0" t="s">
        <v>542</v>
      </c>
      <c r="B167" s="2" t="n">
        <v>45719</v>
      </c>
      <c r="C167" s="2" t="str">
        <f aca="false">TEXT(B167,"dd/mm/yyyy")</f>
        <v>03/03/2025</v>
      </c>
      <c r="D167" s="0" t="s">
        <v>66</v>
      </c>
      <c r="E167" s="0" t="n">
        <v>8092528662</v>
      </c>
      <c r="F167" s="0" t="s">
        <v>139</v>
      </c>
      <c r="G167" s="0" t="s">
        <v>2323</v>
      </c>
      <c r="H167" s="0" t="s">
        <v>543</v>
      </c>
      <c r="I167" s="0" t="s">
        <v>69</v>
      </c>
      <c r="J167" s="0" t="s">
        <v>2325</v>
      </c>
      <c r="K167" s="3" t="str">
        <f aca="false" t="array" ref="K167:K167">IFERROR(IF(J167&lt;&gt;"",J167,INDEX(J167:J1166,MATCH(1,(F167:F1166=F167)*(I167:I1166=I167)*(L167:L1166=L167)*(J167:J1166&lt;&gt;""),0))),"Not Found")</f>
        <v>Engine Knocking</v>
      </c>
      <c r="L167" s="3" t="s">
        <v>154</v>
      </c>
      <c r="M167" s="0" t="str">
        <f aca="false">PROPER(L167)</f>
        <v>Air Filter</v>
      </c>
      <c r="O167" s="0" t="e">
        <f aca="false" t="array" ref="O167:O167">IF(N167&lt;&gt;"",N167,_xlfn.xlookup(1,(L167:L1166=L167)*(N167:N1166&lt;&gt;""),N167:N1166,"Not Found"))</f>
        <v>#NAME?</v>
      </c>
      <c r="P167" s="4" t="n">
        <v>117151</v>
      </c>
      <c r="Q167" s="0" t="s">
        <v>91</v>
      </c>
      <c r="R167" s="0" t="str">
        <f aca="false">PROPER(Q167)</f>
        <v>Pos</v>
      </c>
      <c r="S167" s="0" t="s">
        <v>50</v>
      </c>
      <c r="T167" s="0" t="n">
        <v>3</v>
      </c>
      <c r="U167" s="5" t="n">
        <f aca="false">IF(ISBLANK(T167),AVERAGE(T167:T1166),T167)</f>
        <v>3</v>
      </c>
      <c r="V167" s="0" t="n">
        <v>1.3</v>
      </c>
      <c r="W167" s="0" t="s">
        <v>125</v>
      </c>
      <c r="X167" s="0" t="str">
        <f aca="false">IF(ISBLANK(W167),"No remarks",W167)</f>
        <v>Customer waited</v>
      </c>
      <c r="Y167" s="0" t="s">
        <v>52</v>
      </c>
      <c r="Z167" s="0" t="s">
        <v>136</v>
      </c>
      <c r="AA167" s="0" t="str">
        <f aca="false">PROPER(IF(ISBLANK(Z167),"Location Unavailable",Z167))</f>
        <v>Vip Section</v>
      </c>
      <c r="AB167" s="0" t="s">
        <v>167</v>
      </c>
      <c r="AC167" s="6" t="str">
        <f aca="false">PROPER(AB167)</f>
        <v>Word Of Mouth</v>
      </c>
      <c r="AE167" s="5" t="n">
        <f aca="false">IF(ISBLANK(AD167),AVERAGEIF(L167:L1166,L167,AD167:AD1166),AD167)</f>
        <v>37.8947368421053</v>
      </c>
      <c r="AF167" s="0" t="s">
        <v>112</v>
      </c>
      <c r="AG167" s="0" t="str">
        <f aca="false">PROPER(AF167)</f>
        <v>Unavailable</v>
      </c>
      <c r="AH167" s="0" t="s">
        <v>56</v>
      </c>
      <c r="AI167" s="0" t="s">
        <v>98</v>
      </c>
      <c r="AJ167" s="0" t="str">
        <f aca="false">PROPER(AI167)</f>
        <v>Emergency</v>
      </c>
      <c r="AK167" s="0" t="s">
        <v>99</v>
      </c>
      <c r="AL167" s="0" t="str">
        <f aca="false">PROPER(AK167)</f>
        <v>Uber Driver</v>
      </c>
      <c r="AM167" s="0" t="s">
        <v>2324</v>
      </c>
      <c r="AN167" s="0" t="str">
        <f aca="false">IF(ISBLANK(AM167),"Unknown",AM167)</f>
        <v>Logistics Convoy</v>
      </c>
      <c r="AO167" s="0" t="s">
        <v>149</v>
      </c>
      <c r="AP167" s="0" t="str">
        <f aca="false">IF(ISBLANK(AO167),"Unknown",AO167)</f>
        <v>Senior </v>
      </c>
      <c r="AQ167" s="0" t="n">
        <v>40000</v>
      </c>
      <c r="AR167" s="5" t="n">
        <f aca="false">IF(ISBLANK(AQ167),AVERAGEIF(M167:M1166,M167,AQ167:AQ1166),AQ167)</f>
        <v>40000</v>
      </c>
      <c r="AS167" s="0" t="n">
        <v>30000</v>
      </c>
      <c r="AT167" s="5" t="n">
        <f aca="false">IF(ISBLANK(AS167),AVERAGE(AS167:AS1166),AS167)</f>
        <v>30000</v>
      </c>
      <c r="AU167" s="0" t="s">
        <v>63</v>
      </c>
      <c r="AV167" s="0" t="str">
        <f aca="false">PROPER(IF(ISBLANK(AU167),"No",AU167))</f>
        <v>Yes</v>
      </c>
      <c r="AW167" s="0" t="n">
        <v>10000</v>
      </c>
      <c r="AX167" s="5" t="n">
        <f aca="false">IF(ISBLANK(AW167),0,AW167)</f>
        <v>10000</v>
      </c>
      <c r="AY167" s="0" t="s">
        <v>80</v>
      </c>
      <c r="AZ167" s="0" t="str">
        <f aca="false">UPPER(IF(ISBLANK(AY167),"NONE",AY167))</f>
        <v>PROMO10</v>
      </c>
      <c r="BB167" s="7" t="str">
        <f aca="false">IF(ISBLANK(BA167),"No Follow Up Needed",BA167)</f>
        <v>No Follow Up Needed</v>
      </c>
      <c r="BC167" s="0" t="s">
        <v>50</v>
      </c>
      <c r="BD167" s="0" t="str">
        <f aca="false">PROPER(IF(ISBLANK(BC167),"Unknown",BC167))</f>
        <v>No</v>
      </c>
      <c r="BF167" s="0" t="str">
        <f aca="false">IF(ISBLANK(BE167),"No comments",BE167)</f>
        <v>No comments</v>
      </c>
      <c r="BG167" s="0" t="s">
        <v>2320</v>
      </c>
      <c r="BH167" s="0" t="str">
        <f aca="false">IF(ISBLANK(BG167),"No comments",BG167)</f>
        <v>No complaints</v>
      </c>
      <c r="BI167" s="0" t="s">
        <v>63</v>
      </c>
      <c r="BJ167" s="0" t="str">
        <f aca="false">IF(ISBLANK(BI167),"Not Mentioned",BI167)</f>
        <v>Yes</v>
      </c>
      <c r="BK167" s="0" t="s">
        <v>61</v>
      </c>
      <c r="BL167" s="0" t="str">
        <f aca="false">PROPER(IF(ISBLANK(BK167),"Not Mentioned",BK167))</f>
        <v>No</v>
      </c>
      <c r="BM167" s="0" t="s">
        <v>63</v>
      </c>
      <c r="BN167" s="0" t="str">
        <f aca="false">PROPER(IF(ISBLANK(BM167),"Not Mentioned",BM167))</f>
        <v>Yes</v>
      </c>
      <c r="BO167" s="0" t="s">
        <v>2318</v>
      </c>
      <c r="BP167" s="0" t="str">
        <f aca="false">IF(ISBLANK(BO167),"One-Time Plan",BO167)</f>
        <v>Gold</v>
      </c>
      <c r="BQ167" s="0" t="s">
        <v>63</v>
      </c>
      <c r="BR167" s="0" t="str">
        <f aca="false">PROPER(IF(ISBLANK(BQ167),"No",BQ167))</f>
        <v>Yes</v>
      </c>
    </row>
    <row r="168" customFormat="false" ht="15" hidden="false" customHeight="false" outlineLevel="0" collapsed="false">
      <c r="A168" s="0" t="s">
        <v>544</v>
      </c>
      <c r="B168" s="2" t="n">
        <v>45932</v>
      </c>
      <c r="C168" s="2" t="str">
        <f aca="false">TEXT(B168,"dd/mm/yyyy")</f>
        <v>02/10/2025</v>
      </c>
      <c r="D168" s="0" t="s">
        <v>163</v>
      </c>
      <c r="E168" s="0" t="n">
        <v>8018707112</v>
      </c>
      <c r="F168" s="0" t="s">
        <v>43</v>
      </c>
      <c r="G168" s="0" t="s">
        <v>2315</v>
      </c>
      <c r="H168" s="0" t="s">
        <v>545</v>
      </c>
      <c r="I168" s="0" t="s">
        <v>69</v>
      </c>
      <c r="J168" s="0" t="s">
        <v>2322</v>
      </c>
      <c r="K168" s="3" t="str">
        <f aca="false" t="array" ref="K168:K168">IFERROR(IF(J168&lt;&gt;"",J168,INDEX(J168:J1167,MATCH(1,(F168:F1167=F168)*(I168:I1167=I168)*(L168:L1167=L168)*(J168:J1167&lt;&gt;""),0))),"Not Found")</f>
        <v>Brake Failure</v>
      </c>
      <c r="L168" s="3" t="s">
        <v>89</v>
      </c>
      <c r="M168" s="0" t="str">
        <f aca="false">PROPER(L168)</f>
        <v>Shock Absorbers</v>
      </c>
      <c r="O168" s="0" t="e">
        <f aca="false" t="array" ref="O168:O168">IF(N168&lt;&gt;"",N168,_xlfn.xlookup(1,(L168:L1167=L168)*(N168:N1167&lt;&gt;""),N168:N1167,"Not Found"))</f>
        <v>#NAME?</v>
      </c>
      <c r="P168" s="4" t="n">
        <v>52844</v>
      </c>
      <c r="Q168" s="0" t="s">
        <v>72</v>
      </c>
      <c r="R168" s="0" t="str">
        <f aca="false">PROPER(Q168)</f>
        <v>Pos</v>
      </c>
      <c r="S168" s="0" t="s">
        <v>50</v>
      </c>
      <c r="T168" s="0" t="n">
        <v>2</v>
      </c>
      <c r="U168" s="5" t="n">
        <f aca="false">IF(ISBLANK(T168),AVERAGE(T168:T1167),T168)</f>
        <v>2</v>
      </c>
      <c r="V168" s="0" t="n">
        <v>4.7</v>
      </c>
      <c r="W168" s="0" t="s">
        <v>111</v>
      </c>
      <c r="X168" s="0" t="str">
        <f aca="false">IF(ISBLANK(W168),"No remarks",W168)</f>
        <v>Changed all filters</v>
      </c>
      <c r="Y168" s="0" t="s">
        <v>73</v>
      </c>
      <c r="Z168" s="0" t="s">
        <v>94</v>
      </c>
      <c r="AA168" s="0" t="str">
        <f aca="false">PROPER(IF(ISBLANK(Z168),"Location Unavailable",Z168))</f>
        <v>Vip Section</v>
      </c>
      <c r="AB168" s="0" t="s">
        <v>126</v>
      </c>
      <c r="AC168" s="6" t="str">
        <f aca="false">PROPER(AB168)</f>
        <v>Whatsapp</v>
      </c>
      <c r="AE168" s="5" t="n">
        <f aca="false">IF(ISBLANK(AD168),AVERAGEIF(L168:L1167,L168,AD168:AD1167),AD168)</f>
        <v>40.3658536585366</v>
      </c>
      <c r="AF168" s="0" t="s">
        <v>76</v>
      </c>
      <c r="AG168" s="0" t="str">
        <f aca="false">PROPER(AF168)</f>
        <v>Orderd</v>
      </c>
      <c r="AH168" s="0" t="s">
        <v>155</v>
      </c>
      <c r="AI168" s="0" t="s">
        <v>98</v>
      </c>
      <c r="AJ168" s="0" t="str">
        <f aca="false">PROPER(AI168)</f>
        <v>Emergency</v>
      </c>
      <c r="AK168" s="0" t="s">
        <v>114</v>
      </c>
      <c r="AL168" s="0" t="str">
        <f aca="false">PROPER(AK168)</f>
        <v>Returning</v>
      </c>
      <c r="AN168" s="0" t="str">
        <f aca="false">IF(ISBLANK(AM168),"Unknown",AM168)</f>
        <v>Unknown</v>
      </c>
      <c r="AO168" s="0" t="s">
        <v>143</v>
      </c>
      <c r="AP168" s="0" t="str">
        <f aca="false">IF(ISBLANK(AO168),"Unknown",AO168)</f>
        <v>Senior</v>
      </c>
      <c r="AQ168" s="0" t="n">
        <v>40000</v>
      </c>
      <c r="AR168" s="5" t="n">
        <f aca="false">IF(ISBLANK(AQ168),AVERAGEIF(M168:M1167,M168,AQ168:AQ1167),AQ168)</f>
        <v>40000</v>
      </c>
      <c r="AS168" s="0" t="n">
        <v>30000</v>
      </c>
      <c r="AT168" s="5" t="n">
        <f aca="false">IF(ISBLANK(AS168),AVERAGE(AS168:AS1167),AS168)</f>
        <v>30000</v>
      </c>
      <c r="AU168" s="0" t="s">
        <v>82</v>
      </c>
      <c r="AV168" s="0" t="str">
        <f aca="false">PROPER(IF(ISBLANK(AU168),"No",AU168))</f>
        <v>Yes</v>
      </c>
      <c r="AW168" s="0" t="n">
        <v>10000</v>
      </c>
      <c r="AX168" s="5" t="n">
        <f aca="false">IF(ISBLANK(AW168),0,AW168)</f>
        <v>10000</v>
      </c>
      <c r="AY168" s="0" t="s">
        <v>60</v>
      </c>
      <c r="AZ168" s="0" t="str">
        <f aca="false">UPPER(IF(ISBLANK(AY168),"NONE",AY168))</f>
        <v>NONE</v>
      </c>
      <c r="BA168" s="7" t="n">
        <v>45696</v>
      </c>
      <c r="BB168" s="7" t="n">
        <f aca="false">IF(ISBLANK(BA168),"No Follow Up Needed",BA168)</f>
        <v>45696</v>
      </c>
      <c r="BD168" s="0" t="str">
        <f aca="false">PROPER(IF(ISBLANK(BC168),"Unknown",BC168))</f>
        <v>Unknown</v>
      </c>
      <c r="BE168" s="0" t="s">
        <v>171</v>
      </c>
      <c r="BF168" s="0" t="str">
        <f aca="false">IF(ISBLANK(BE168),"No comments",BE168)</f>
        <v>Shock absorber weakening</v>
      </c>
      <c r="BH168" s="0" t="str">
        <f aca="false">IF(ISBLANK(BG168),"No comments",BG168)</f>
        <v>No comments</v>
      </c>
      <c r="BJ168" s="0" t="str">
        <f aca="false">IF(ISBLANK(BI168),"Not Mentioned",BI168)</f>
        <v>Not Mentioned</v>
      </c>
      <c r="BK168" s="0" t="s">
        <v>82</v>
      </c>
      <c r="BL168" s="0" t="str">
        <f aca="false">PROPER(IF(ISBLANK(BK168),"Not Mentioned",BK168))</f>
        <v>Yes</v>
      </c>
      <c r="BM168" s="0" t="s">
        <v>50</v>
      </c>
      <c r="BN168" s="0" t="str">
        <f aca="false">PROPER(IF(ISBLANK(BM168),"Not Mentioned",BM168))</f>
        <v>No</v>
      </c>
      <c r="BO168" s="0" t="s">
        <v>2321</v>
      </c>
      <c r="BP168" s="0" t="str">
        <f aca="false">IF(ISBLANK(BO168),"One-Time Plan",BO168)</f>
        <v>One-Time Plan</v>
      </c>
      <c r="BQ168" s="0" t="s">
        <v>198</v>
      </c>
      <c r="BR168" s="0" t="str">
        <f aca="false">PROPER(IF(ISBLANK(BQ168),"No",BQ168))</f>
        <v>Followed Up</v>
      </c>
    </row>
    <row r="169" customFormat="false" ht="15" hidden="false" customHeight="false" outlineLevel="0" collapsed="false">
      <c r="A169" s="0" t="s">
        <v>546</v>
      </c>
      <c r="B169" s="2" t="n">
        <v>45661</v>
      </c>
      <c r="C169" s="2" t="str">
        <f aca="false">TEXT(B169,"dd/mm/yyyy")</f>
        <v>04/01/2025</v>
      </c>
      <c r="D169" s="0" t="s">
        <v>42</v>
      </c>
      <c r="E169" s="0" t="n">
        <v>8032472549</v>
      </c>
      <c r="F169" s="0" t="s">
        <v>122</v>
      </c>
      <c r="G169" s="0" t="s">
        <v>2316</v>
      </c>
      <c r="H169" s="0" t="s">
        <v>547</v>
      </c>
      <c r="I169" s="0" t="s">
        <v>107</v>
      </c>
      <c r="J169" s="0" t="s">
        <v>2325</v>
      </c>
      <c r="K169" s="3" t="str">
        <f aca="false" t="array" ref="K169:K169">IFERROR(IF(J169&lt;&gt;"",J169,INDEX(J169:J1168,MATCH(1,(F169:F1168=F169)*(I169:I1168=I169)*(L169:L1168=L169)*(J169:J1168&lt;&gt;""),0))),"Not Found")</f>
        <v>Engine Knocking</v>
      </c>
      <c r="L169" s="3" t="s">
        <v>154</v>
      </c>
      <c r="M169" s="0" t="str">
        <f aca="false">PROPER(L169)</f>
        <v>Air Filter</v>
      </c>
      <c r="N169" s="3" t="s">
        <v>109</v>
      </c>
      <c r="O169" s="0" t="str">
        <f aca="false" t="array" ref="O169:O169">IF(N169&lt;&gt;"",N169,_xlfn.xlookup(1,(L169:L1168=L169)*(N169:N1168&lt;&gt;""),N169:N1168,"Not Found"))</f>
        <v>Tijani</v>
      </c>
      <c r="P169" s="4" t="n">
        <v>28124</v>
      </c>
      <c r="Q169" s="0" t="s">
        <v>91</v>
      </c>
      <c r="R169" s="0" t="str">
        <f aca="false">PROPER(Q169)</f>
        <v>Pos</v>
      </c>
      <c r="S169" s="0" t="s">
        <v>63</v>
      </c>
      <c r="T169" s="0" t="n">
        <v>3</v>
      </c>
      <c r="U169" s="5" t="n">
        <f aca="false">IF(ISBLANK(T169),AVERAGE(T169:T1168),T169)</f>
        <v>3</v>
      </c>
      <c r="V169" s="0" t="n">
        <v>3</v>
      </c>
      <c r="W169" s="0" t="s">
        <v>111</v>
      </c>
      <c r="X169" s="0" t="str">
        <f aca="false">IF(ISBLANK(W169),"No remarks",W169)</f>
        <v>Changed all filters</v>
      </c>
      <c r="Y169" s="0" t="s">
        <v>73</v>
      </c>
      <c r="Z169" s="0" t="s">
        <v>74</v>
      </c>
      <c r="AA169" s="0" t="str">
        <f aca="false">PROPER(IF(ISBLANK(Z169),"Location Unavailable",Z169))</f>
        <v>Under Tree</v>
      </c>
      <c r="AB169" s="0" t="s">
        <v>75</v>
      </c>
      <c r="AC169" s="6" t="str">
        <f aca="false">PROPER(AB169)</f>
        <v>Mechanik Referal</v>
      </c>
      <c r="AD169" s="6" t="n">
        <v>30</v>
      </c>
      <c r="AE169" s="5" t="n">
        <f aca="false">IF(ISBLANK(AD169),AVERAGEIF(L169:L1168,L169,AD169:AD1168),AD169)</f>
        <v>30</v>
      </c>
      <c r="AF169" s="0" t="s">
        <v>112</v>
      </c>
      <c r="AG169" s="0" t="str">
        <f aca="false">PROPER(AF169)</f>
        <v>Unavailable</v>
      </c>
      <c r="AH169" s="0" t="s">
        <v>148</v>
      </c>
      <c r="AI169" s="0" t="s">
        <v>128</v>
      </c>
      <c r="AJ169" s="0" t="str">
        <f aca="false">PROPER(AI169)</f>
        <v>Normal</v>
      </c>
      <c r="AK169" s="0" t="s">
        <v>99</v>
      </c>
      <c r="AL169" s="0" t="str">
        <f aca="false">PROPER(AK169)</f>
        <v>Uber Driver</v>
      </c>
      <c r="AN169" s="0" t="str">
        <f aca="false">IF(ISBLANK(AM169),"Unknown",AM169)</f>
        <v>Unknown</v>
      </c>
      <c r="AO169" s="0" t="s">
        <v>79</v>
      </c>
      <c r="AP169" s="0" t="str">
        <f aca="false">IF(ISBLANK(AO169),"Unknown",AO169)</f>
        <v>Specialist</v>
      </c>
      <c r="AQ169" s="0" t="n">
        <v>30000</v>
      </c>
      <c r="AR169" s="5" t="n">
        <f aca="false">IF(ISBLANK(AQ169),AVERAGEIF(M169:M1168,M169,AQ169:AQ1168),AQ169)</f>
        <v>30000</v>
      </c>
      <c r="AT169" s="5" t="n">
        <f aca="false">IF(ISBLANK(AS169),AVERAGE(AS169:AS1168),AS169)</f>
        <v>31410.8187134503</v>
      </c>
      <c r="AU169" s="0" t="s">
        <v>61</v>
      </c>
      <c r="AV169" s="0" t="str">
        <f aca="false">PROPER(IF(ISBLANK(AU169),"No",AU169))</f>
        <v>No</v>
      </c>
      <c r="AW169" s="0" t="n">
        <v>0</v>
      </c>
      <c r="AX169" s="5" t="n">
        <f aca="false">IF(ISBLANK(AW169),0,AW169)</f>
        <v>0</v>
      </c>
      <c r="AY169" s="0" t="s">
        <v>80</v>
      </c>
      <c r="AZ169" s="0" t="str">
        <f aca="false">UPPER(IF(ISBLANK(AY169),"NONE",AY169))</f>
        <v>PROMO10</v>
      </c>
      <c r="BB169" s="7" t="str">
        <f aca="false">IF(ISBLANK(BA169),"No Follow Up Needed",BA169)</f>
        <v>No Follow Up Needed</v>
      </c>
      <c r="BC169" s="0" t="s">
        <v>50</v>
      </c>
      <c r="BD169" s="0" t="str">
        <f aca="false">PROPER(IF(ISBLANK(BC169),"Unknown",BC169))</f>
        <v>No</v>
      </c>
      <c r="BE169" s="0" t="s">
        <v>116</v>
      </c>
      <c r="BF169" s="0" t="str">
        <f aca="false">IF(ISBLANK(BE169),"No comments",BE169)</f>
        <v>Needs tire alignment</v>
      </c>
      <c r="BG169" s="0" t="s">
        <v>2320</v>
      </c>
      <c r="BH169" s="0" t="str">
        <f aca="false">IF(ISBLANK(BG169),"No comments",BG169)</f>
        <v>No complaints</v>
      </c>
      <c r="BI169" s="0" t="s">
        <v>50</v>
      </c>
      <c r="BJ169" s="0" t="str">
        <f aca="false">IF(ISBLANK(BI169),"Not Mentioned",BI169)</f>
        <v>No</v>
      </c>
      <c r="BK169" s="0" t="s">
        <v>61</v>
      </c>
      <c r="BL169" s="0" t="str">
        <f aca="false">PROPER(IF(ISBLANK(BK169),"Not Mentioned",BK169))</f>
        <v>No</v>
      </c>
      <c r="BM169" s="0" t="s">
        <v>50</v>
      </c>
      <c r="BN169" s="0" t="str">
        <f aca="false">PROPER(IF(ISBLANK(BM169),"Not Mentioned",BM169))</f>
        <v>No</v>
      </c>
      <c r="BO169" s="0" t="s">
        <v>2318</v>
      </c>
      <c r="BP169" s="0" t="str">
        <f aca="false">IF(ISBLANK(BO169),"One-Time Plan",BO169)</f>
        <v>Gold</v>
      </c>
      <c r="BQ169" s="0" t="s">
        <v>190</v>
      </c>
      <c r="BR169" s="0" t="str">
        <f aca="false">PROPER(IF(ISBLANK(BQ169),"No",BQ169))</f>
        <v>Yes</v>
      </c>
    </row>
    <row r="170" customFormat="false" ht="15" hidden="false" customHeight="false" outlineLevel="0" collapsed="false">
      <c r="A170" s="0" t="s">
        <v>548</v>
      </c>
      <c r="B170" s="2" t="n">
        <v>45808</v>
      </c>
      <c r="C170" s="2" t="str">
        <f aca="false">TEXT(B170,"dd/mm/yyyy")</f>
        <v>31/05/2025</v>
      </c>
      <c r="D170" s="0" t="s">
        <v>163</v>
      </c>
      <c r="E170" s="0" t="n">
        <v>8078264989</v>
      </c>
      <c r="F170" s="0" t="s">
        <v>85</v>
      </c>
      <c r="G170" s="0" t="s">
        <v>2319</v>
      </c>
      <c r="H170" s="0" t="s">
        <v>549</v>
      </c>
      <c r="I170" s="0" t="s">
        <v>107</v>
      </c>
      <c r="K170" s="3" t="str">
        <f aca="false" t="array" ref="K170:K170">IFERROR(IF(J170&lt;&gt;"",J170,INDEX(J170:J1169,MATCH(1,(F170:F1169=F170)*(I170:I1169=I170)*(L170:L1169=L170)*(J170:J1169&lt;&gt;""),0))),"Not Found")</f>
        <v>Oil Change</v>
      </c>
      <c r="L170" s="3" t="s">
        <v>89</v>
      </c>
      <c r="M170" s="0" t="str">
        <f aca="false">PROPER(L170)</f>
        <v>Shock Absorbers</v>
      </c>
      <c r="N170" s="3" t="s">
        <v>90</v>
      </c>
      <c r="O170" s="0" t="str">
        <f aca="false" t="array" ref="O170:O170">IF(N170&lt;&gt;"",N170,_xlfn.xlookup(1,(L170:L1169=L170)*(N170:N1169&lt;&gt;""),N170:N1169,"Not Found"))</f>
        <v>Musa</v>
      </c>
      <c r="P170" s="4" t="n">
        <v>85966</v>
      </c>
      <c r="Q170" s="0" t="s">
        <v>91</v>
      </c>
      <c r="R170" s="0" t="str">
        <f aca="false">PROPER(Q170)</f>
        <v>Pos</v>
      </c>
      <c r="S170" s="0" t="s">
        <v>63</v>
      </c>
      <c r="U170" s="5" t="n">
        <f aca="false">IF(ISBLANK(T170),AVERAGE(T170:T1169),T170)</f>
        <v>2.99131693198263</v>
      </c>
      <c r="V170" s="0" t="n">
        <v>4.3</v>
      </c>
      <c r="W170" s="0" t="s">
        <v>111</v>
      </c>
      <c r="X170" s="0" t="str">
        <f aca="false">IF(ISBLANK(W170),"No remarks",W170)</f>
        <v>Changed all filters</v>
      </c>
      <c r="Y170" s="0" t="s">
        <v>52</v>
      </c>
      <c r="Z170" s="0" t="s">
        <v>136</v>
      </c>
      <c r="AA170" s="0" t="str">
        <f aca="false">PROPER(IF(ISBLANK(Z170),"Location Unavailable",Z170))</f>
        <v>Vip Section</v>
      </c>
      <c r="AB170" s="0" t="s">
        <v>95</v>
      </c>
      <c r="AC170" s="6" t="str">
        <f aca="false">PROPER(AB170)</f>
        <v>Road Sign</v>
      </c>
      <c r="AD170" s="6" t="n">
        <v>45</v>
      </c>
      <c r="AE170" s="5" t="n">
        <f aca="false">IF(ISBLANK(AD170),AVERAGEIF(L170:L1169,L170,AD170:AD1169),AD170)</f>
        <v>45</v>
      </c>
      <c r="AF170" s="0" t="s">
        <v>76</v>
      </c>
      <c r="AG170" s="0" t="str">
        <f aca="false">PROPER(AF170)</f>
        <v>Orderd</v>
      </c>
      <c r="AH170" s="0" t="s">
        <v>77</v>
      </c>
      <c r="AI170" s="0" t="s">
        <v>78</v>
      </c>
      <c r="AJ170" s="0" t="str">
        <f aca="false">PROPER(AI170)</f>
        <v>Booking</v>
      </c>
      <c r="AK170" s="0" t="s">
        <v>99</v>
      </c>
      <c r="AL170" s="0" t="str">
        <f aca="false">PROPER(AK170)</f>
        <v>Uber Driver</v>
      </c>
      <c r="AM170" s="0" t="s">
        <v>2324</v>
      </c>
      <c r="AN170" s="0" t="str">
        <f aca="false">IF(ISBLANK(AM170),"Unknown",AM170)</f>
        <v>Logistics Convoy</v>
      </c>
      <c r="AO170" s="0" t="s">
        <v>79</v>
      </c>
      <c r="AP170" s="0" t="str">
        <f aca="false">IF(ISBLANK(AO170),"Unknown",AO170)</f>
        <v>Specialist</v>
      </c>
      <c r="AQ170" s="0" t="n">
        <v>15000</v>
      </c>
      <c r="AR170" s="5" t="n">
        <f aca="false">IF(ISBLANK(AQ170),AVERAGEIF(M170:M1169,M170,AQ170:AQ1169),AQ170)</f>
        <v>15000</v>
      </c>
      <c r="AS170" s="0" t="n">
        <v>30000</v>
      </c>
      <c r="AT170" s="5" t="n">
        <f aca="false">IF(ISBLANK(AS170),AVERAGE(AS170:AS1169),AS170)</f>
        <v>30000</v>
      </c>
      <c r="AV170" s="0" t="str">
        <f aca="false">PROPER(IF(ISBLANK(AU170),"No",AU170))</f>
        <v>No</v>
      </c>
      <c r="AW170" s="0" t="n">
        <v>0</v>
      </c>
      <c r="AX170" s="5" t="n">
        <f aca="false">IF(ISBLANK(AW170),0,AW170)</f>
        <v>0</v>
      </c>
      <c r="AY170" s="0" t="s">
        <v>60</v>
      </c>
      <c r="AZ170" s="0" t="str">
        <f aca="false">UPPER(IF(ISBLANK(AY170),"NONE",AY170))</f>
        <v>NONE</v>
      </c>
      <c r="BA170" s="7" t="n">
        <v>45856</v>
      </c>
      <c r="BB170" s="7" t="n">
        <f aca="false">IF(ISBLANK(BA170),"No Follow Up Needed",BA170)</f>
        <v>45856</v>
      </c>
      <c r="BD170" s="0" t="str">
        <f aca="false">PROPER(IF(ISBLANK(BC170),"Unknown",BC170))</f>
        <v>Unknown</v>
      </c>
      <c r="BE170" s="0" t="s">
        <v>116</v>
      </c>
      <c r="BF170" s="0" t="str">
        <f aca="false">IF(ISBLANK(BE170),"No comments",BE170)</f>
        <v>Needs tire alignment</v>
      </c>
      <c r="BH170" s="0" t="str">
        <f aca="false">IF(ISBLANK(BG170),"No comments",BG170)</f>
        <v>No comments</v>
      </c>
      <c r="BI170" s="0" t="s">
        <v>50</v>
      </c>
      <c r="BJ170" s="0" t="str">
        <f aca="false">IF(ISBLANK(BI170),"Not Mentioned",BI170)</f>
        <v>No</v>
      </c>
      <c r="BK170" s="0" t="s">
        <v>82</v>
      </c>
      <c r="BL170" s="0" t="str">
        <f aca="false">PROPER(IF(ISBLANK(BK170),"Not Mentioned",BK170))</f>
        <v>Yes</v>
      </c>
      <c r="BN170" s="0" t="str">
        <f aca="false">PROPER(IF(ISBLANK(BM170),"Not Mentioned",BM170))</f>
        <v>Not Mentioned</v>
      </c>
      <c r="BO170" s="0" t="s">
        <v>2318</v>
      </c>
      <c r="BP170" s="0" t="str">
        <f aca="false">IF(ISBLANK(BO170),"One-Time Plan",BO170)</f>
        <v>Gold</v>
      </c>
      <c r="BQ170" s="0" t="s">
        <v>50</v>
      </c>
      <c r="BR170" s="0" t="str">
        <f aca="false">PROPER(IF(ISBLANK(BQ170),"No",BQ170))</f>
        <v>No</v>
      </c>
    </row>
    <row r="171" customFormat="false" ht="15" hidden="false" customHeight="false" outlineLevel="0" collapsed="false">
      <c r="A171" s="0" t="s">
        <v>550</v>
      </c>
      <c r="B171" s="2" t="s">
        <v>371</v>
      </c>
      <c r="C171" s="2" t="str">
        <f aca="false">TEXT(B171,"dd/mm/yyyy")</f>
        <v>24/01/2025</v>
      </c>
      <c r="D171" s="0" t="s">
        <v>42</v>
      </c>
      <c r="E171" s="0" t="n">
        <v>8062092026</v>
      </c>
      <c r="F171" s="0" t="s">
        <v>67</v>
      </c>
      <c r="G171" s="0" t="s">
        <v>2316</v>
      </c>
      <c r="H171" s="0" t="s">
        <v>551</v>
      </c>
      <c r="I171" s="0" t="s">
        <v>87</v>
      </c>
      <c r="J171" s="0" t="s">
        <v>2317</v>
      </c>
      <c r="K171" s="3" t="str">
        <f aca="false" t="array" ref="K171:K171">IFERROR(IF(J171&lt;&gt;"",J171,INDEX(J171:J1170,MATCH(1,(F171:F1170=F171)*(I171:I1170=I171)*(L171:L1170=L171)*(J171:J1170&lt;&gt;""),0))),"Not Found")</f>
        <v>Suspension Noise</v>
      </c>
      <c r="L171" s="3" t="s">
        <v>142</v>
      </c>
      <c r="M171" s="0" t="str">
        <f aca="false">PROPER(L171)</f>
        <v>Oil Filter, Brake Pads</v>
      </c>
      <c r="O171" s="0" t="e">
        <f aca="false" t="array" ref="O171:O171">IF(N171&lt;&gt;"",N171,_xlfn.xlookup(1,(L171:L1170=L171)*(N171:N1170&lt;&gt;""),N171:N1170,"Not Found"))</f>
        <v>#NAME?</v>
      </c>
      <c r="P171" s="4" t="n">
        <v>83179</v>
      </c>
      <c r="Q171" s="0" t="s">
        <v>166</v>
      </c>
      <c r="R171" s="0" t="str">
        <f aca="false">PROPER(Q171)</f>
        <v>Transfer</v>
      </c>
      <c r="S171" s="0" t="s">
        <v>63</v>
      </c>
      <c r="T171" s="0" t="n">
        <v>3</v>
      </c>
      <c r="U171" s="5" t="n">
        <f aca="false">IF(ISBLANK(T171),AVERAGE(T171:T1170),T171)</f>
        <v>3</v>
      </c>
      <c r="V171" s="0" t="n">
        <v>5.7</v>
      </c>
      <c r="W171" s="0" t="s">
        <v>51</v>
      </c>
      <c r="X171" s="0" t="str">
        <f aca="false">IF(ISBLANK(W171),"No remarks",W171)</f>
        <v>Recommended further checks</v>
      </c>
      <c r="Y171" s="0" t="s">
        <v>73</v>
      </c>
      <c r="Z171" s="0" t="s">
        <v>136</v>
      </c>
      <c r="AA171" s="0" t="str">
        <f aca="false">PROPER(IF(ISBLANK(Z171),"Location Unavailable",Z171))</f>
        <v>Vip Section</v>
      </c>
      <c r="AB171" s="0" t="s">
        <v>75</v>
      </c>
      <c r="AC171" s="6" t="str">
        <f aca="false">PROPER(AB171)</f>
        <v>Mechanik Referal</v>
      </c>
      <c r="AD171" s="6" t="n">
        <v>30</v>
      </c>
      <c r="AE171" s="5" t="n">
        <f aca="false">IF(ISBLANK(AD171),AVERAGEIF(L171:L1170,L171,AD171:AD1170),AD171)</f>
        <v>30</v>
      </c>
      <c r="AF171" s="0" t="s">
        <v>112</v>
      </c>
      <c r="AG171" s="0" t="str">
        <f aca="false">PROPER(AF171)</f>
        <v>Unavailable</v>
      </c>
      <c r="AH171" s="0" t="s">
        <v>155</v>
      </c>
      <c r="AI171" s="0" t="s">
        <v>98</v>
      </c>
      <c r="AJ171" s="0" t="str">
        <f aca="false">PROPER(AI171)</f>
        <v>Emergency</v>
      </c>
      <c r="AK171" s="0" t="s">
        <v>58</v>
      </c>
      <c r="AL171" s="0" t="str">
        <f aca="false">PROPER(AK171)</f>
        <v>Fleet Owner</v>
      </c>
      <c r="AM171" s="0" t="s">
        <v>2326</v>
      </c>
      <c r="AN171" s="0" t="str">
        <f aca="false">IF(ISBLANK(AM171),"Unknown",AM171)</f>
        <v>Government Convoy</v>
      </c>
      <c r="AO171" s="0" t="s">
        <v>149</v>
      </c>
      <c r="AP171" s="0" t="str">
        <f aca="false">IF(ISBLANK(AO171),"Unknown",AO171)</f>
        <v>Senior </v>
      </c>
      <c r="AQ171" s="0" t="n">
        <v>25000</v>
      </c>
      <c r="AR171" s="5" t="n">
        <f aca="false">IF(ISBLANK(AQ171),AVERAGEIF(M171:M1170,M171,AQ171:AQ1170),AQ171)</f>
        <v>25000</v>
      </c>
      <c r="AS171" s="0" t="n">
        <v>30000</v>
      </c>
      <c r="AT171" s="5" t="n">
        <f aca="false">IF(ISBLANK(AS171),AVERAGE(AS171:AS1170),AS171)</f>
        <v>30000</v>
      </c>
      <c r="AU171" s="0" t="s">
        <v>82</v>
      </c>
      <c r="AV171" s="0" t="str">
        <f aca="false">PROPER(IF(ISBLANK(AU171),"No",AU171))</f>
        <v>Yes</v>
      </c>
      <c r="AW171" s="0" t="n">
        <v>5000</v>
      </c>
      <c r="AX171" s="5" t="n">
        <f aca="false">IF(ISBLANK(AW171),0,AW171)</f>
        <v>5000</v>
      </c>
      <c r="AY171" s="0" t="s">
        <v>130</v>
      </c>
      <c r="AZ171" s="0" t="str">
        <f aca="false">UPPER(IF(ISBLANK(AY171),"NONE",AY171))</f>
        <v>LOYALTY10</v>
      </c>
      <c r="BA171" s="7" t="s">
        <v>552</v>
      </c>
      <c r="BB171" s="7" t="str">
        <f aca="false">IF(ISBLANK(BA171),"No Follow Up Needed",BA171)</f>
        <v>18/12/2025</v>
      </c>
      <c r="BC171" s="0" t="s">
        <v>82</v>
      </c>
      <c r="BD171" s="0" t="str">
        <f aca="false">PROPER(IF(ISBLANK(BC171),"Unknown",BC171))</f>
        <v>Yes</v>
      </c>
      <c r="BE171" s="0" t="s">
        <v>171</v>
      </c>
      <c r="BF171" s="0" t="str">
        <f aca="false">IF(ISBLANK(BE171),"No comments",BE171)</f>
        <v>Shock absorber weakening</v>
      </c>
      <c r="BG171" s="0" t="s">
        <v>117</v>
      </c>
      <c r="BH171" s="0" t="str">
        <f aca="false">IF(ISBLANK(BG171),"No comments",BG171)</f>
        <v>Prefers morning</v>
      </c>
      <c r="BI171" s="0" t="s">
        <v>63</v>
      </c>
      <c r="BJ171" s="0" t="str">
        <f aca="false">IF(ISBLANK(BI171),"Not Mentioned",BI171)</f>
        <v>Yes</v>
      </c>
      <c r="BK171" s="0" t="s">
        <v>50</v>
      </c>
      <c r="BL171" s="0" t="str">
        <f aca="false">PROPER(IF(ISBLANK(BK171),"Not Mentioned",BK171))</f>
        <v>No</v>
      </c>
      <c r="BM171" s="0" t="s">
        <v>50</v>
      </c>
      <c r="BN171" s="0" t="str">
        <f aca="false">PROPER(IF(ISBLANK(BM171),"Not Mentioned",BM171))</f>
        <v>No</v>
      </c>
      <c r="BO171" s="0" t="s">
        <v>2318</v>
      </c>
      <c r="BP171" s="0" t="str">
        <f aca="false">IF(ISBLANK(BO171),"One-Time Plan",BO171)</f>
        <v>Gold</v>
      </c>
      <c r="BQ171" s="0" t="s">
        <v>50</v>
      </c>
      <c r="BR171" s="0" t="str">
        <f aca="false">PROPER(IF(ISBLANK(BQ171),"No",BQ171))</f>
        <v>No</v>
      </c>
    </row>
    <row r="172" customFormat="false" ht="15" hidden="false" customHeight="false" outlineLevel="0" collapsed="false">
      <c r="A172" s="0" t="s">
        <v>554</v>
      </c>
      <c r="B172" s="2" t="s">
        <v>553</v>
      </c>
      <c r="C172" s="2" t="str">
        <f aca="false">TEXT(B172,"dd/mm/yyyy")</f>
        <v>30/05/2025</v>
      </c>
      <c r="D172" s="0" t="s">
        <v>42</v>
      </c>
      <c r="E172" s="0" t="n">
        <v>8096580039</v>
      </c>
      <c r="F172" s="0" t="s">
        <v>139</v>
      </c>
      <c r="G172" s="0" t="s">
        <v>2323</v>
      </c>
      <c r="H172" s="0" t="s">
        <v>555</v>
      </c>
      <c r="I172" s="0" t="s">
        <v>69</v>
      </c>
      <c r="J172" s="0" t="s">
        <v>2317</v>
      </c>
      <c r="K172" s="3" t="str">
        <f aca="false" t="array" ref="K172:K172">IFERROR(IF(J172&lt;&gt;"",J172,INDEX(J172:J1171,MATCH(1,(F172:F1171=F172)*(I172:I1171=I172)*(L172:L1171=L172)*(J172:J1171&lt;&gt;""),0))),"Not Found")</f>
        <v>Suspension Noise</v>
      </c>
      <c r="L172" s="3" t="s">
        <v>154</v>
      </c>
      <c r="M172" s="0" t="str">
        <f aca="false">PROPER(L172)</f>
        <v>Air Filter</v>
      </c>
      <c r="N172" s="3" t="s">
        <v>71</v>
      </c>
      <c r="O172" s="0" t="str">
        <f aca="false" t="array" ref="O172:O172">IF(N172&lt;&gt;"",N172,_xlfn.xlookup(1,(L172:L1171=L172)*(N172:N1171&lt;&gt;""),N172:N1171,"Not Found"))</f>
        <v>Isaac Bobo</v>
      </c>
      <c r="P172" s="4" t="n">
        <v>78019</v>
      </c>
      <c r="Q172" s="0" t="s">
        <v>110</v>
      </c>
      <c r="R172" s="0" t="str">
        <f aca="false">PROPER(Q172)</f>
        <v>Cash</v>
      </c>
      <c r="S172" s="0" t="s">
        <v>50</v>
      </c>
      <c r="T172" s="0" t="n">
        <v>4</v>
      </c>
      <c r="U172" s="5" t="n">
        <f aca="false">IF(ISBLANK(T172),AVERAGE(T172:T1171),T172)</f>
        <v>4</v>
      </c>
      <c r="V172" s="0" t="n">
        <v>5.7</v>
      </c>
      <c r="W172" s="0" t="s">
        <v>111</v>
      </c>
      <c r="X172" s="0" t="str">
        <f aca="false">IF(ISBLANK(W172),"No remarks",W172)</f>
        <v>Changed all filters</v>
      </c>
      <c r="Y172" s="0" t="s">
        <v>73</v>
      </c>
      <c r="Z172" s="0" t="s">
        <v>94</v>
      </c>
      <c r="AA172" s="0" t="str">
        <f aca="false">PROPER(IF(ISBLANK(Z172),"Location Unavailable",Z172))</f>
        <v>Vip Section</v>
      </c>
      <c r="AB172" s="0" t="s">
        <v>54</v>
      </c>
      <c r="AC172" s="6" t="str">
        <f aca="false">PROPER(AB172)</f>
        <v>Mechanic Referral</v>
      </c>
      <c r="AD172" s="6" t="n">
        <v>45</v>
      </c>
      <c r="AE172" s="5" t="n">
        <f aca="false">IF(ISBLANK(AD172),AVERAGEIF(L172:L1171,L172,AD172:AD1171),AD172)</f>
        <v>45</v>
      </c>
      <c r="AF172" s="0" t="s">
        <v>96</v>
      </c>
      <c r="AG172" s="0" t="str">
        <f aca="false">PROPER(AF172)</f>
        <v>Ordered</v>
      </c>
      <c r="AH172" s="0" t="s">
        <v>148</v>
      </c>
      <c r="AI172" s="0" t="s">
        <v>78</v>
      </c>
      <c r="AJ172" s="0" t="str">
        <f aca="false">PROPER(AI172)</f>
        <v>Booking</v>
      </c>
      <c r="AK172" s="0" t="s">
        <v>196</v>
      </c>
      <c r="AL172" s="0" t="str">
        <f aca="false">PROPER(AK172)</f>
        <v>First Time</v>
      </c>
      <c r="AM172" s="0" t="s">
        <v>59</v>
      </c>
      <c r="AN172" s="0" t="str">
        <f aca="false">IF(ISBLANK(AM172),"Unknown",AM172)</f>
        <v>Bolt Driver</v>
      </c>
      <c r="AP172" s="0" t="str">
        <f aca="false">IF(ISBLANK(AO172),"Unknown",AO172)</f>
        <v>Unknown</v>
      </c>
      <c r="AQ172" s="0" t="n">
        <v>25000</v>
      </c>
      <c r="AR172" s="5" t="n">
        <f aca="false">IF(ISBLANK(AQ172),AVERAGEIF(M172:M1171,M172,AQ172:AQ1171),AQ172)</f>
        <v>25000</v>
      </c>
      <c r="AS172" s="0" t="n">
        <v>30000</v>
      </c>
      <c r="AT172" s="5" t="n">
        <f aca="false">IF(ISBLANK(AS172),AVERAGE(AS172:AS1171),AS172)</f>
        <v>30000</v>
      </c>
      <c r="AU172" s="0" t="s">
        <v>61</v>
      </c>
      <c r="AV172" s="0" t="str">
        <f aca="false">PROPER(IF(ISBLANK(AU172),"No",AU172))</f>
        <v>No</v>
      </c>
      <c r="AX172" s="5" t="n">
        <f aca="false">IF(ISBLANK(AW172),0,AW172)</f>
        <v>0</v>
      </c>
      <c r="AY172" s="0" t="s">
        <v>184</v>
      </c>
      <c r="AZ172" s="0" t="str">
        <f aca="false">UPPER(IF(ISBLANK(AY172),"NONE",AY172))</f>
        <v>N/A</v>
      </c>
      <c r="BA172" s="7" t="s">
        <v>556</v>
      </c>
      <c r="BB172" s="7" t="str">
        <f aca="false">IF(ISBLANK(BA172),"No Follow Up Needed",BA172)</f>
        <v>23/10/2025</v>
      </c>
      <c r="BC172" s="0" t="s">
        <v>50</v>
      </c>
      <c r="BD172" s="0" t="str">
        <f aca="false">PROPER(IF(ISBLANK(BC172),"Unknown",BC172))</f>
        <v>No</v>
      </c>
      <c r="BF172" s="0" t="str">
        <f aca="false">IF(ISBLANK(BE172),"No comments",BE172)</f>
        <v>No comments</v>
      </c>
      <c r="BH172" s="0" t="str">
        <f aca="false">IF(ISBLANK(BG172),"No comments",BG172)</f>
        <v>No comments</v>
      </c>
      <c r="BI172" s="0" t="s">
        <v>50</v>
      </c>
      <c r="BJ172" s="0" t="str">
        <f aca="false">IF(ISBLANK(BI172),"Not Mentioned",BI172)</f>
        <v>No</v>
      </c>
      <c r="BK172" s="0" t="s">
        <v>50</v>
      </c>
      <c r="BL172" s="0" t="str">
        <f aca="false">PROPER(IF(ISBLANK(BK172),"Not Mentioned",BK172))</f>
        <v>No</v>
      </c>
      <c r="BM172" s="0" t="s">
        <v>50</v>
      </c>
      <c r="BN172" s="0" t="str">
        <f aca="false">PROPER(IF(ISBLANK(BM172),"Not Mentioned",BM172))</f>
        <v>No</v>
      </c>
      <c r="BO172" s="0" t="s">
        <v>2321</v>
      </c>
      <c r="BP172" s="0" t="str">
        <f aca="false">IF(ISBLANK(BO172),"One-Time Plan",BO172)</f>
        <v>One-Time Plan</v>
      </c>
      <c r="BQ172" s="0" t="s">
        <v>190</v>
      </c>
      <c r="BR172" s="0" t="str">
        <f aca="false">PROPER(IF(ISBLANK(BQ172),"No",BQ172))</f>
        <v>Yes</v>
      </c>
    </row>
    <row r="173" customFormat="false" ht="15" hidden="false" customHeight="false" outlineLevel="0" collapsed="false">
      <c r="A173" s="0" t="s">
        <v>557</v>
      </c>
      <c r="B173" s="2" t="n">
        <v>45728</v>
      </c>
      <c r="C173" s="2" t="str">
        <f aca="false">TEXT(B173,"dd/mm/yyyy")</f>
        <v>12/03/2025</v>
      </c>
      <c r="D173" s="0" t="s">
        <v>163</v>
      </c>
      <c r="E173" s="0" t="n">
        <v>8078338099</v>
      </c>
      <c r="F173" s="0" t="s">
        <v>139</v>
      </c>
      <c r="G173" s="0" t="s">
        <v>2323</v>
      </c>
      <c r="H173" s="0" t="s">
        <v>558</v>
      </c>
      <c r="I173" s="0" t="s">
        <v>69</v>
      </c>
      <c r="J173" s="0" t="s">
        <v>2317</v>
      </c>
      <c r="K173" s="3" t="str">
        <f aca="false" t="array" ref="K173:K173">IFERROR(IF(J173&lt;&gt;"",J173,INDEX(J173:J1172,MATCH(1,(F173:F1172=F173)*(I173:I1172=I173)*(L173:L1172=L173)*(J173:J1172&lt;&gt;""),0))),"Not Found")</f>
        <v>Suspension Noise</v>
      </c>
      <c r="L173" s="3" t="s">
        <v>142</v>
      </c>
      <c r="M173" s="0" t="str">
        <f aca="false">PROPER(L173)</f>
        <v>Oil Filter, Brake Pads</v>
      </c>
      <c r="N173" s="3" t="s">
        <v>90</v>
      </c>
      <c r="O173" s="0" t="str">
        <f aca="false" t="array" ref="O173:O173">IF(N173&lt;&gt;"",N173,_xlfn.xlookup(1,(L173:L1172=L173)*(N173:N1172&lt;&gt;""),N173:N1172,"Not Found"))</f>
        <v>Musa</v>
      </c>
      <c r="P173" s="4" t="n">
        <v>41854</v>
      </c>
      <c r="Q173" s="0" t="s">
        <v>110</v>
      </c>
      <c r="R173" s="0" t="str">
        <f aca="false">PROPER(Q173)</f>
        <v>Cash</v>
      </c>
      <c r="S173" s="0" t="s">
        <v>63</v>
      </c>
      <c r="T173" s="0" t="n">
        <v>4</v>
      </c>
      <c r="U173" s="5" t="n">
        <f aca="false">IF(ISBLANK(T173),AVERAGE(T173:T1172),T173)</f>
        <v>4</v>
      </c>
      <c r="V173" s="0" t="n">
        <v>1.3</v>
      </c>
      <c r="W173" s="0" t="s">
        <v>51</v>
      </c>
      <c r="X173" s="0" t="str">
        <f aca="false">IF(ISBLANK(W173),"No remarks",W173)</f>
        <v>Recommended further checks</v>
      </c>
      <c r="Y173" s="0" t="s">
        <v>52</v>
      </c>
      <c r="AA173" s="0" t="str">
        <f aca="false">PROPER(IF(ISBLANK(Z173),"Location Unavailable",Z173))</f>
        <v>Location Unavailable</v>
      </c>
      <c r="AB173" s="0" t="s">
        <v>126</v>
      </c>
      <c r="AC173" s="6" t="str">
        <f aca="false">PROPER(AB173)</f>
        <v>Whatsapp</v>
      </c>
      <c r="AD173" s="6" t="n">
        <v>15</v>
      </c>
      <c r="AE173" s="5" t="n">
        <f aca="false">IF(ISBLANK(AD173),AVERAGEIF(L173:L1172,L173,AD173:AD1172),AD173)</f>
        <v>15</v>
      </c>
      <c r="AF173" s="0" t="s">
        <v>76</v>
      </c>
      <c r="AG173" s="0" t="str">
        <f aca="false">PROPER(AF173)</f>
        <v>Orderd</v>
      </c>
      <c r="AH173" s="0" t="s">
        <v>155</v>
      </c>
      <c r="AI173" s="0" t="s">
        <v>113</v>
      </c>
      <c r="AJ173" s="0" t="str">
        <f aca="false">PROPER(AI173)</f>
        <v>Normal</v>
      </c>
      <c r="AK173" s="0" t="s">
        <v>196</v>
      </c>
      <c r="AL173" s="0" t="str">
        <f aca="false">PROPER(AK173)</f>
        <v>First Time</v>
      </c>
      <c r="AM173" s="0" t="s">
        <v>59</v>
      </c>
      <c r="AN173" s="0" t="str">
        <f aca="false">IF(ISBLANK(AM173),"Unknown",AM173)</f>
        <v>Bolt Driver</v>
      </c>
      <c r="AO173" s="0" t="s">
        <v>143</v>
      </c>
      <c r="AP173" s="0" t="str">
        <f aca="false">IF(ISBLANK(AO173),"Unknown",AO173)</f>
        <v>Senior</v>
      </c>
      <c r="AQ173" s="0" t="n">
        <v>15000</v>
      </c>
      <c r="AR173" s="5" t="n">
        <f aca="false">IF(ISBLANK(AQ173),AVERAGEIF(M173:M1172,M173,AQ173:AQ1172),AQ173)</f>
        <v>15000</v>
      </c>
      <c r="AS173" s="0" t="n">
        <v>30000</v>
      </c>
      <c r="AT173" s="5" t="n">
        <f aca="false">IF(ISBLANK(AS173),AVERAGE(AS173:AS1172),AS173)</f>
        <v>30000</v>
      </c>
      <c r="AU173" s="0" t="s">
        <v>61</v>
      </c>
      <c r="AV173" s="0" t="str">
        <f aca="false">PROPER(IF(ISBLANK(AU173),"No",AU173))</f>
        <v>No</v>
      </c>
      <c r="AW173" s="0" t="n">
        <v>10000</v>
      </c>
      <c r="AX173" s="5" t="n">
        <f aca="false">IF(ISBLANK(AW173),0,AW173)</f>
        <v>10000</v>
      </c>
      <c r="AY173" s="0" t="s">
        <v>130</v>
      </c>
      <c r="AZ173" s="0" t="str">
        <f aca="false">UPPER(IF(ISBLANK(AY173),"NONE",AY173))</f>
        <v>LOYALTY10</v>
      </c>
      <c r="BA173" s="7" t="s">
        <v>559</v>
      </c>
      <c r="BB173" s="7" t="str">
        <f aca="false">IF(ISBLANK(BA173),"No Follow Up Needed",BA173)</f>
        <v>20/10/2025</v>
      </c>
      <c r="BC173" s="0" t="s">
        <v>61</v>
      </c>
      <c r="BD173" s="0" t="str">
        <f aca="false">PROPER(IF(ISBLANK(BC173),"Unknown",BC173))</f>
        <v>No</v>
      </c>
      <c r="BE173" s="0" t="s">
        <v>171</v>
      </c>
      <c r="BF173" s="0" t="str">
        <f aca="false">IF(ISBLANK(BE173),"No comments",BE173)</f>
        <v>Shock absorber weakening</v>
      </c>
      <c r="BH173" s="0" t="str">
        <f aca="false">IF(ISBLANK(BG173),"No comments",BG173)</f>
        <v>No comments</v>
      </c>
      <c r="BI173" s="0" t="s">
        <v>50</v>
      </c>
      <c r="BJ173" s="0" t="str">
        <f aca="false">IF(ISBLANK(BI173),"Not Mentioned",BI173)</f>
        <v>No</v>
      </c>
      <c r="BK173" s="0" t="s">
        <v>50</v>
      </c>
      <c r="BL173" s="0" t="str">
        <f aca="false">PROPER(IF(ISBLANK(BK173),"Not Mentioned",BK173))</f>
        <v>No</v>
      </c>
      <c r="BM173" s="0" t="s">
        <v>50</v>
      </c>
      <c r="BN173" s="0" t="str">
        <f aca="false">PROPER(IF(ISBLANK(BM173),"Not Mentioned",BM173))</f>
        <v>No</v>
      </c>
      <c r="BO173" s="0" t="s">
        <v>64</v>
      </c>
      <c r="BP173" s="0" t="str">
        <f aca="false">IF(ISBLANK(BO173),"One-Time Plan",BO173)</f>
        <v>Gold Maintenance Plan</v>
      </c>
      <c r="BQ173" s="0" t="s">
        <v>63</v>
      </c>
      <c r="BR173" s="0" t="str">
        <f aca="false">PROPER(IF(ISBLANK(BQ173),"No",BQ173))</f>
        <v>Yes</v>
      </c>
    </row>
    <row r="174" customFormat="false" ht="15" hidden="false" customHeight="false" outlineLevel="0" collapsed="false">
      <c r="A174" s="0" t="s">
        <v>560</v>
      </c>
      <c r="B174" s="2" t="n">
        <v>45774</v>
      </c>
      <c r="C174" s="2" t="str">
        <f aca="false">TEXT(B174,"dd/mm/yyyy")</f>
        <v>27/04/2025</v>
      </c>
      <c r="D174" s="0" t="s">
        <v>42</v>
      </c>
      <c r="E174" s="0" t="n">
        <v>8060233144</v>
      </c>
      <c r="F174" s="0" t="s">
        <v>139</v>
      </c>
      <c r="G174" s="0" t="s">
        <v>2323</v>
      </c>
      <c r="H174" s="0" t="s">
        <v>561</v>
      </c>
      <c r="I174" s="0" t="s">
        <v>69</v>
      </c>
      <c r="J174" s="0" t="s">
        <v>2317</v>
      </c>
      <c r="K174" s="3" t="str">
        <f aca="false" t="array" ref="K174:K174">IFERROR(IF(J174&lt;&gt;"",J174,INDEX(J174:J1173,MATCH(1,(F174:F1173=F174)*(I174:I1173=I174)*(L174:L1173=L174)*(J174:J1173&lt;&gt;""),0))),"Not Found")</f>
        <v>Suspension Noise</v>
      </c>
      <c r="L174" s="3" t="s">
        <v>47</v>
      </c>
      <c r="M174" s="0" t="str">
        <f aca="false">PROPER(L174)</f>
        <v>None</v>
      </c>
      <c r="N174" s="3" t="s">
        <v>90</v>
      </c>
      <c r="O174" s="0" t="str">
        <f aca="false" t="array" ref="O174:O174">IF(N174&lt;&gt;"",N174,_xlfn.xlookup(1,(L174:L1173=L174)*(N174:N1173&lt;&gt;""),N174:N1173,"Not Found"))</f>
        <v>Musa</v>
      </c>
      <c r="P174" s="4" t="n">
        <v>27126</v>
      </c>
      <c r="Q174" s="0" t="s">
        <v>110</v>
      </c>
      <c r="R174" s="0" t="str">
        <f aca="false">PROPER(Q174)</f>
        <v>Cash</v>
      </c>
      <c r="S174" s="0" t="s">
        <v>50</v>
      </c>
      <c r="T174" s="0" t="n">
        <v>2</v>
      </c>
      <c r="U174" s="5" t="n">
        <f aca="false">IF(ISBLANK(T174),AVERAGE(T174:T1173),T174)</f>
        <v>2</v>
      </c>
      <c r="V174" s="0" t="n">
        <v>4.6</v>
      </c>
      <c r="W174" s="0" t="s">
        <v>125</v>
      </c>
      <c r="X174" s="0" t="str">
        <f aca="false">IF(ISBLANK(W174),"No remarks",W174)</f>
        <v>Customer waited</v>
      </c>
      <c r="Y174" s="0" t="s">
        <v>93</v>
      </c>
      <c r="Z174" s="0" t="s">
        <v>74</v>
      </c>
      <c r="AA174" s="0" t="str">
        <f aca="false">PROPER(IF(ISBLANK(Z174),"Location Unavailable",Z174))</f>
        <v>Under Tree</v>
      </c>
      <c r="AB174" s="0" t="s">
        <v>95</v>
      </c>
      <c r="AC174" s="6" t="str">
        <f aca="false">PROPER(AB174)</f>
        <v>Road Sign</v>
      </c>
      <c r="AD174" s="6" t="n">
        <v>45</v>
      </c>
      <c r="AE174" s="5" t="n">
        <f aca="false">IF(ISBLANK(AD174),AVERAGEIF(L174:L1173,L174,AD174:AD1173),AD174)</f>
        <v>45</v>
      </c>
      <c r="AF174" s="0" t="s">
        <v>55</v>
      </c>
      <c r="AG174" s="0" t="str">
        <f aca="false">PROPER(AF174)</f>
        <v>Available</v>
      </c>
      <c r="AH174" s="0" t="s">
        <v>148</v>
      </c>
      <c r="AI174" s="0" t="s">
        <v>78</v>
      </c>
      <c r="AJ174" s="0" t="str">
        <f aca="false">PROPER(AI174)</f>
        <v>Booking</v>
      </c>
      <c r="AK174" s="0" t="s">
        <v>196</v>
      </c>
      <c r="AL174" s="0" t="str">
        <f aca="false">PROPER(AK174)</f>
        <v>First Time</v>
      </c>
      <c r="AN174" s="0" t="str">
        <f aca="false">IF(ISBLANK(AM174),"Unknown",AM174)</f>
        <v>Unknown</v>
      </c>
      <c r="AO174" s="0" t="s">
        <v>79</v>
      </c>
      <c r="AP174" s="0" t="str">
        <f aca="false">IF(ISBLANK(AO174),"Unknown",AO174)</f>
        <v>Specialist</v>
      </c>
      <c r="AQ174" s="0" t="n">
        <v>30000</v>
      </c>
      <c r="AR174" s="5" t="n">
        <f aca="false">IF(ISBLANK(AQ174),AVERAGEIF(M174:M1173,M174,AQ174:AQ1173),AQ174)</f>
        <v>30000</v>
      </c>
      <c r="AS174" s="0" t="n">
        <v>40000</v>
      </c>
      <c r="AT174" s="5" t="n">
        <f aca="false">IF(ISBLANK(AS174),AVERAGE(AS174:AS1173),AS174)</f>
        <v>40000</v>
      </c>
      <c r="AV174" s="0" t="str">
        <f aca="false">PROPER(IF(ISBLANK(AU174),"No",AU174))</f>
        <v>No</v>
      </c>
      <c r="AW174" s="0" t="n">
        <v>5000</v>
      </c>
      <c r="AX174" s="5" t="n">
        <f aca="false">IF(ISBLANK(AW174),0,AW174)</f>
        <v>5000</v>
      </c>
      <c r="AY174" s="0" t="s">
        <v>184</v>
      </c>
      <c r="AZ174" s="0" t="str">
        <f aca="false">UPPER(IF(ISBLANK(AY174),"NONE",AY174))</f>
        <v>N/A</v>
      </c>
      <c r="BA174" s="7" t="s">
        <v>562</v>
      </c>
      <c r="BB174" s="7" t="str">
        <f aca="false">IF(ISBLANK(BA174),"No Follow Up Needed",BA174)</f>
        <v>15/08/2025</v>
      </c>
      <c r="BC174" s="0" t="s">
        <v>63</v>
      </c>
      <c r="BD174" s="0" t="str">
        <f aca="false">PROPER(IF(ISBLANK(BC174),"Unknown",BC174))</f>
        <v>Yes</v>
      </c>
      <c r="BE174" s="0" t="s">
        <v>171</v>
      </c>
      <c r="BF174" s="0" t="str">
        <f aca="false">IF(ISBLANK(BE174),"No comments",BE174)</f>
        <v>Shock absorber weakening</v>
      </c>
      <c r="BH174" s="0" t="str">
        <f aca="false">IF(ISBLANK(BG174),"No comments",BG174)</f>
        <v>No comments</v>
      </c>
      <c r="BI174" s="0" t="s">
        <v>63</v>
      </c>
      <c r="BJ174" s="0" t="str">
        <f aca="false">IF(ISBLANK(BI174),"Not Mentioned",BI174)</f>
        <v>Yes</v>
      </c>
      <c r="BK174" s="0" t="s">
        <v>82</v>
      </c>
      <c r="BL174" s="0" t="str">
        <f aca="false">PROPER(IF(ISBLANK(BK174),"Not Mentioned",BK174))</f>
        <v>Yes</v>
      </c>
      <c r="BN174" s="0" t="str">
        <f aca="false">PROPER(IF(ISBLANK(BM174),"Not Mentioned",BM174))</f>
        <v>Not Mentioned</v>
      </c>
      <c r="BO174" s="0" t="s">
        <v>64</v>
      </c>
      <c r="BP174" s="0" t="str">
        <f aca="false">IF(ISBLANK(BO174),"One-Time Plan",BO174)</f>
        <v>Gold Maintenance Plan</v>
      </c>
      <c r="BQ174" s="0" t="s">
        <v>50</v>
      </c>
      <c r="BR174" s="0" t="str">
        <f aca="false">PROPER(IF(ISBLANK(BQ174),"No",BQ174))</f>
        <v>No</v>
      </c>
    </row>
    <row r="175" customFormat="false" ht="15" hidden="false" customHeight="false" outlineLevel="0" collapsed="false">
      <c r="A175" s="0" t="s">
        <v>563</v>
      </c>
      <c r="B175" s="2" t="n">
        <v>45762</v>
      </c>
      <c r="C175" s="2" t="str">
        <f aca="false">TEXT(B175,"dd/mm/yyyy")</f>
        <v>15/04/2025</v>
      </c>
      <c r="D175" s="0" t="s">
        <v>163</v>
      </c>
      <c r="E175" s="0" t="n">
        <v>8076919318</v>
      </c>
      <c r="F175" s="0" t="s">
        <v>43</v>
      </c>
      <c r="G175" s="0" t="s">
        <v>2315</v>
      </c>
      <c r="H175" s="0" t="s">
        <v>564</v>
      </c>
      <c r="I175" s="0" t="s">
        <v>45</v>
      </c>
      <c r="J175" s="0" t="s">
        <v>2322</v>
      </c>
      <c r="K175" s="3" t="str">
        <f aca="false" t="array" ref="K175:K175">IFERROR(IF(J175&lt;&gt;"",J175,INDEX(J175:J1174,MATCH(1,(F175:F1174=F175)*(I175:I1174=I175)*(L175:L1174=L175)*(J175:J1174&lt;&gt;""),0))),"Not Found")</f>
        <v>Brake Failure</v>
      </c>
      <c r="L175" s="3" t="s">
        <v>47</v>
      </c>
      <c r="M175" s="0" t="str">
        <f aca="false">PROPER(L175)</f>
        <v>None</v>
      </c>
      <c r="N175" s="3" t="s">
        <v>90</v>
      </c>
      <c r="O175" s="0" t="str">
        <f aca="false" t="array" ref="O175:O175">IF(N175&lt;&gt;"",N175,_xlfn.xlookup(1,(L175:L1174=L175)*(N175:N1174&lt;&gt;""),N175:N1174,"Not Found"))</f>
        <v>Musa</v>
      </c>
      <c r="P175" s="4" t="n">
        <v>29561</v>
      </c>
      <c r="Q175" s="0" t="s">
        <v>72</v>
      </c>
      <c r="R175" s="0" t="str">
        <f aca="false">PROPER(Q175)</f>
        <v>Pos</v>
      </c>
      <c r="S175" s="0" t="s">
        <v>63</v>
      </c>
      <c r="T175" s="0" t="n">
        <v>1</v>
      </c>
      <c r="U175" s="5" t="n">
        <f aca="false">IF(ISBLANK(T175),AVERAGE(T175:T1174),T175)</f>
        <v>1</v>
      </c>
      <c r="V175" s="0" t="n">
        <v>3.4</v>
      </c>
      <c r="W175" s="0" t="s">
        <v>125</v>
      </c>
      <c r="X175" s="0" t="str">
        <f aca="false">IF(ISBLANK(W175),"No remarks",W175)</f>
        <v>Customer waited</v>
      </c>
      <c r="Y175" s="0" t="s">
        <v>93</v>
      </c>
      <c r="AA175" s="0" t="str">
        <f aca="false">PROPER(IF(ISBLANK(Z175),"Location Unavailable",Z175))</f>
        <v>Location Unavailable</v>
      </c>
      <c r="AB175" s="0" t="s">
        <v>75</v>
      </c>
      <c r="AC175" s="6" t="str">
        <f aca="false">PROPER(AB175)</f>
        <v>Mechanik Referal</v>
      </c>
      <c r="AD175" s="6" t="n">
        <v>60</v>
      </c>
      <c r="AE175" s="5" t="n">
        <f aca="false">IF(ISBLANK(AD175),AVERAGEIF(L175:L1174,L175,AD175:AD1174),AD175)</f>
        <v>60</v>
      </c>
      <c r="AF175" s="0" t="s">
        <v>55</v>
      </c>
      <c r="AG175" s="0" t="str">
        <f aca="false">PROPER(AF175)</f>
        <v>Available</v>
      </c>
      <c r="AH175" s="0" t="s">
        <v>155</v>
      </c>
      <c r="AI175" s="0" t="s">
        <v>128</v>
      </c>
      <c r="AJ175" s="0" t="str">
        <f aca="false">PROPER(AI175)</f>
        <v>Normal</v>
      </c>
      <c r="AK175" s="0" t="s">
        <v>196</v>
      </c>
      <c r="AL175" s="0" t="str">
        <f aca="false">PROPER(AK175)</f>
        <v>First Time</v>
      </c>
      <c r="AM175" s="0" t="s">
        <v>177</v>
      </c>
      <c r="AN175" s="0" t="str">
        <f aca="false">IF(ISBLANK(AM175),"Unknown",AM175)</f>
        <v>Private</v>
      </c>
      <c r="AO175" s="0" t="s">
        <v>161</v>
      </c>
      <c r="AP175" s="0" t="str">
        <f aca="false">IF(ISBLANK(AO175),"Unknown",AO175)</f>
        <v>Apprentice</v>
      </c>
      <c r="AQ175" s="0" t="n">
        <v>30000</v>
      </c>
      <c r="AR175" s="5" t="n">
        <f aca="false">IF(ISBLANK(AQ175),AVERAGEIF(M175:M1174,M175,AQ175:AQ1174),AQ175)</f>
        <v>30000</v>
      </c>
      <c r="AT175" s="5" t="n">
        <f aca="false">IF(ISBLANK(AS175),AVERAGE(AS175:AS1174),AS175)</f>
        <v>31406.4801178203</v>
      </c>
      <c r="AV175" s="0" t="str">
        <f aca="false">PROPER(IF(ISBLANK(AU175),"No",AU175))</f>
        <v>No</v>
      </c>
      <c r="AW175" s="0" t="n">
        <v>5000</v>
      </c>
      <c r="AX175" s="5" t="n">
        <f aca="false">IF(ISBLANK(AW175),0,AW175)</f>
        <v>5000</v>
      </c>
      <c r="AY175" s="0" t="s">
        <v>130</v>
      </c>
      <c r="AZ175" s="0" t="str">
        <f aca="false">UPPER(IF(ISBLANK(AY175),"NONE",AY175))</f>
        <v>LOYALTY10</v>
      </c>
      <c r="BB175" s="7" t="str">
        <f aca="false">IF(ISBLANK(BA175),"No Follow Up Needed",BA175)</f>
        <v>No Follow Up Needed</v>
      </c>
      <c r="BC175" s="0" t="s">
        <v>50</v>
      </c>
      <c r="BD175" s="0" t="str">
        <f aca="false">PROPER(IF(ISBLANK(BC175),"Unknown",BC175))</f>
        <v>No</v>
      </c>
      <c r="BF175" s="0" t="str">
        <f aca="false">IF(ISBLANK(BE175),"No comments",BE175)</f>
        <v>No comments</v>
      </c>
      <c r="BG175" s="0" t="s">
        <v>172</v>
      </c>
      <c r="BH175" s="0" t="str">
        <f aca="false">IF(ISBLANK(BG175),"No comments",BG175)</f>
        <v>Always late</v>
      </c>
      <c r="BI175" s="0" t="s">
        <v>50</v>
      </c>
      <c r="BJ175" s="0" t="str">
        <f aca="false">IF(ISBLANK(BI175),"Not Mentioned",BI175)</f>
        <v>No</v>
      </c>
      <c r="BK175" s="0" t="s">
        <v>61</v>
      </c>
      <c r="BL175" s="0" t="str">
        <f aca="false">PROPER(IF(ISBLANK(BK175),"Not Mentioned",BK175))</f>
        <v>No</v>
      </c>
      <c r="BN175" s="0" t="str">
        <f aca="false">PROPER(IF(ISBLANK(BM175),"Not Mentioned",BM175))</f>
        <v>Not Mentioned</v>
      </c>
      <c r="BO175" s="0" t="s">
        <v>2321</v>
      </c>
      <c r="BP175" s="0" t="str">
        <f aca="false">IF(ISBLANK(BO175),"One-Time Plan",BO175)</f>
        <v>One-Time Plan</v>
      </c>
      <c r="BQ175" s="0" t="s">
        <v>50</v>
      </c>
      <c r="BR175" s="0" t="str">
        <f aca="false">PROPER(IF(ISBLANK(BQ175),"No",BQ175))</f>
        <v>No</v>
      </c>
    </row>
    <row r="176" customFormat="false" ht="15" hidden="false" customHeight="false" outlineLevel="0" collapsed="false">
      <c r="A176" s="0" t="s">
        <v>565</v>
      </c>
      <c r="B176" s="2" t="n">
        <v>45676</v>
      </c>
      <c r="C176" s="2" t="str">
        <f aca="false">TEXT(B176,"dd/mm/yyyy")</f>
        <v>19/01/2025</v>
      </c>
      <c r="D176" s="0" t="s">
        <v>121</v>
      </c>
      <c r="E176" s="0" t="n">
        <v>8079644554</v>
      </c>
      <c r="F176" s="0" t="s">
        <v>85</v>
      </c>
      <c r="G176" s="0" t="s">
        <v>2319</v>
      </c>
      <c r="H176" s="0" t="s">
        <v>566</v>
      </c>
      <c r="I176" s="0" t="s">
        <v>87</v>
      </c>
      <c r="K176" s="3" t="str">
        <f aca="false" t="array" ref="K176:K176">IFERROR(IF(J176&lt;&gt;"",J176,INDEX(J176:J1175,MATCH(1,(F176:F1175=F176)*(I176:I1175=I176)*(L176:L1175=L176)*(J176:J1175&lt;&gt;""),0))),"Not Found")</f>
        <v>Oil Change</v>
      </c>
      <c r="L176" s="3" t="s">
        <v>89</v>
      </c>
      <c r="M176" s="0" t="str">
        <f aca="false">PROPER(L176)</f>
        <v>Shock Absorbers</v>
      </c>
      <c r="O176" s="0" t="e">
        <f aca="false" t="array" ref="O176:O176">IF(N176&lt;&gt;"",N176,_xlfn.xlookup(1,(L176:L1175=L176)*(N176:N1175&lt;&gt;""),N176:N1175,"Not Found"))</f>
        <v>#NAME?</v>
      </c>
      <c r="P176" s="4" t="n">
        <v>13680</v>
      </c>
      <c r="Q176" s="0" t="s">
        <v>49</v>
      </c>
      <c r="R176" s="0" t="str">
        <f aca="false">PROPER(Q176)</f>
        <v>Transfer</v>
      </c>
      <c r="S176" s="0" t="s">
        <v>63</v>
      </c>
      <c r="T176" s="0" t="n">
        <v>1</v>
      </c>
      <c r="U176" s="5" t="n">
        <f aca="false">IF(ISBLANK(T176),AVERAGE(T176:T1175),T176)</f>
        <v>1</v>
      </c>
      <c r="V176" s="0" t="n">
        <v>5.6</v>
      </c>
      <c r="W176" s="0" t="s">
        <v>51</v>
      </c>
      <c r="X176" s="0" t="str">
        <f aca="false">IF(ISBLANK(W176),"No remarks",W176)</f>
        <v>Recommended further checks</v>
      </c>
      <c r="Y176" s="0" t="s">
        <v>93</v>
      </c>
      <c r="AA176" s="0" t="str">
        <f aca="false">PROPER(IF(ISBLANK(Z176),"Location Unavailable",Z176))</f>
        <v>Location Unavailable</v>
      </c>
      <c r="AB176" s="0" t="s">
        <v>54</v>
      </c>
      <c r="AC176" s="6" t="str">
        <f aca="false">PROPER(AB176)</f>
        <v>Mechanic Referral</v>
      </c>
      <c r="AD176" s="6" t="n">
        <v>45</v>
      </c>
      <c r="AE176" s="5" t="n">
        <f aca="false">IF(ISBLANK(AD176),AVERAGEIF(L176:L1175,L176,AD176:AD1175),AD176)</f>
        <v>45</v>
      </c>
      <c r="AF176" s="0" t="s">
        <v>160</v>
      </c>
      <c r="AG176" s="0" t="str">
        <f aca="false">PROPER(AF176)</f>
        <v>Availaible</v>
      </c>
      <c r="AH176" s="0" t="s">
        <v>155</v>
      </c>
      <c r="AI176" s="0" t="s">
        <v>113</v>
      </c>
      <c r="AJ176" s="0" t="str">
        <f aca="false">PROPER(AI176)</f>
        <v>Normal</v>
      </c>
      <c r="AK176" s="0" t="s">
        <v>99</v>
      </c>
      <c r="AL176" s="0" t="str">
        <f aca="false">PROPER(AK176)</f>
        <v>Uber Driver</v>
      </c>
      <c r="AN176" s="0" t="str">
        <f aca="false">IF(ISBLANK(AM176),"Unknown",AM176)</f>
        <v>Unknown</v>
      </c>
      <c r="AO176" s="0" t="s">
        <v>79</v>
      </c>
      <c r="AP176" s="0" t="str">
        <f aca="false">IF(ISBLANK(AO176),"Unknown",AO176)</f>
        <v>Specialist</v>
      </c>
      <c r="AQ176" s="0" t="n">
        <v>30000</v>
      </c>
      <c r="AR176" s="5" t="n">
        <f aca="false">IF(ISBLANK(AQ176),AVERAGEIF(M176:M1175,M176,AQ176:AQ1175),AQ176)</f>
        <v>30000</v>
      </c>
      <c r="AS176" s="0" t="n">
        <v>40000</v>
      </c>
      <c r="AT176" s="5" t="n">
        <f aca="false">IF(ISBLANK(AS176),AVERAGE(AS176:AS1175),AS176)</f>
        <v>40000</v>
      </c>
      <c r="AV176" s="0" t="str">
        <f aca="false">PROPER(IF(ISBLANK(AU176),"No",AU176))</f>
        <v>No</v>
      </c>
      <c r="AX176" s="5" t="n">
        <f aca="false">IF(ISBLANK(AW176),0,AW176)</f>
        <v>0</v>
      </c>
      <c r="AY176" s="0" t="s">
        <v>80</v>
      </c>
      <c r="AZ176" s="0" t="str">
        <f aca="false">UPPER(IF(ISBLANK(AY176),"NONE",AY176))</f>
        <v>PROMO10</v>
      </c>
      <c r="BB176" s="7" t="str">
        <f aca="false">IF(ISBLANK(BA176),"No Follow Up Needed",BA176)</f>
        <v>No Follow Up Needed</v>
      </c>
      <c r="BC176" s="0" t="s">
        <v>63</v>
      </c>
      <c r="BD176" s="0" t="str">
        <f aca="false">PROPER(IF(ISBLANK(BC176),"Unknown",BC176))</f>
        <v>Yes</v>
      </c>
      <c r="BE176" s="0" t="s">
        <v>171</v>
      </c>
      <c r="BF176" s="0" t="str">
        <f aca="false">IF(ISBLANK(BE176),"No comments",BE176)</f>
        <v>Shock absorber weakening</v>
      </c>
      <c r="BG176" s="0" t="s">
        <v>172</v>
      </c>
      <c r="BH176" s="0" t="str">
        <f aca="false">IF(ISBLANK(BG176),"No comments",BG176)</f>
        <v>Always late</v>
      </c>
      <c r="BI176" s="0" t="s">
        <v>50</v>
      </c>
      <c r="BJ176" s="0" t="str">
        <f aca="false">IF(ISBLANK(BI176),"Not Mentioned",BI176)</f>
        <v>No</v>
      </c>
      <c r="BK176" s="0" t="s">
        <v>61</v>
      </c>
      <c r="BL176" s="0" t="str">
        <f aca="false">PROPER(IF(ISBLANK(BK176),"Not Mentioned",BK176))</f>
        <v>No</v>
      </c>
      <c r="BM176" s="0" t="s">
        <v>50</v>
      </c>
      <c r="BN176" s="0" t="str">
        <f aca="false">PROPER(IF(ISBLANK(BM176),"Not Mentioned",BM176))</f>
        <v>No</v>
      </c>
      <c r="BO176" s="0" t="s">
        <v>2321</v>
      </c>
      <c r="BP176" s="0" t="str">
        <f aca="false">IF(ISBLANK(BO176),"One-Time Plan",BO176)</f>
        <v>One-Time Plan</v>
      </c>
      <c r="BQ176" s="0" t="s">
        <v>198</v>
      </c>
      <c r="BR176" s="0" t="str">
        <f aca="false">PROPER(IF(ISBLANK(BQ176),"No",BQ176))</f>
        <v>Followed Up</v>
      </c>
    </row>
    <row r="177" customFormat="false" ht="15" hidden="false" customHeight="false" outlineLevel="0" collapsed="false">
      <c r="A177" s="0" t="s">
        <v>567</v>
      </c>
      <c r="B177" s="2" t="n">
        <v>45687</v>
      </c>
      <c r="C177" s="2" t="str">
        <f aca="false">TEXT(B177,"dd/mm/yyyy")</f>
        <v>30/01/2025</v>
      </c>
      <c r="D177" s="0" t="s">
        <v>121</v>
      </c>
      <c r="E177" s="0" t="n">
        <v>8072312899</v>
      </c>
      <c r="F177" s="0" t="s">
        <v>67</v>
      </c>
      <c r="G177" s="0" t="s">
        <v>2316</v>
      </c>
      <c r="H177" s="0" t="s">
        <v>568</v>
      </c>
      <c r="I177" s="0" t="s">
        <v>69</v>
      </c>
      <c r="J177" s="0" t="s">
        <v>87</v>
      </c>
      <c r="K177" s="3" t="str">
        <f aca="false" t="array" ref="K177:K177">IFERROR(IF(J177&lt;&gt;"",J177,INDEX(J177:J1176,MATCH(1,(F177:F1176=F177)*(I177:I1176=I177)*(L177:L1176=L177)*(J177:J1176&lt;&gt;""),0))),"Not Found")</f>
        <v>Oil Change</v>
      </c>
      <c r="L177" s="3" t="s">
        <v>89</v>
      </c>
      <c r="M177" s="0" t="str">
        <f aca="false">PROPER(L177)</f>
        <v>Shock Absorbers</v>
      </c>
      <c r="N177" s="3" t="s">
        <v>109</v>
      </c>
      <c r="O177" s="0" t="str">
        <f aca="false" t="array" ref="O177:O177">IF(N177&lt;&gt;"",N177,_xlfn.xlookup(1,(L177:L1176=L177)*(N177:N1176&lt;&gt;""),N177:N1176,"Not Found"))</f>
        <v>Tijani</v>
      </c>
      <c r="P177" s="4" t="n">
        <v>116472</v>
      </c>
      <c r="Q177" s="0" t="s">
        <v>166</v>
      </c>
      <c r="R177" s="0" t="str">
        <f aca="false">PROPER(Q177)</f>
        <v>Transfer</v>
      </c>
      <c r="S177" s="0" t="s">
        <v>50</v>
      </c>
      <c r="T177" s="0" t="n">
        <v>2</v>
      </c>
      <c r="U177" s="5" t="n">
        <f aca="false">IF(ISBLANK(T177),AVERAGE(T177:T1176),T177)</f>
        <v>2</v>
      </c>
      <c r="V177" s="0" t="n">
        <v>4.2</v>
      </c>
      <c r="W177" s="0" t="s">
        <v>125</v>
      </c>
      <c r="X177" s="0" t="str">
        <f aca="false">IF(ISBLANK(W177),"No remarks",W177)</f>
        <v>Customer waited</v>
      </c>
      <c r="Y177" s="0" t="s">
        <v>73</v>
      </c>
      <c r="Z177" s="0" t="s">
        <v>74</v>
      </c>
      <c r="AA177" s="0" t="str">
        <f aca="false">PROPER(IF(ISBLANK(Z177),"Location Unavailable",Z177))</f>
        <v>Under Tree</v>
      </c>
      <c r="AB177" s="0" t="s">
        <v>75</v>
      </c>
      <c r="AC177" s="6" t="str">
        <f aca="false">PROPER(AB177)</f>
        <v>Mechanik Referal</v>
      </c>
      <c r="AD177" s="6" t="n">
        <v>30</v>
      </c>
      <c r="AE177" s="5" t="n">
        <f aca="false">IF(ISBLANK(AD177),AVERAGEIF(L177:L1176,L177,AD177:AD1176),AD177)</f>
        <v>30</v>
      </c>
      <c r="AF177" s="0" t="s">
        <v>112</v>
      </c>
      <c r="AG177" s="0" t="str">
        <f aca="false">PROPER(AF177)</f>
        <v>Unavailable</v>
      </c>
      <c r="AH177" s="0" t="s">
        <v>148</v>
      </c>
      <c r="AI177" s="0" t="s">
        <v>113</v>
      </c>
      <c r="AJ177" s="0" t="str">
        <f aca="false">PROPER(AI177)</f>
        <v>Normal</v>
      </c>
      <c r="AK177" s="0" t="s">
        <v>99</v>
      </c>
      <c r="AL177" s="0" t="str">
        <f aca="false">PROPER(AK177)</f>
        <v>Uber Driver</v>
      </c>
      <c r="AM177" s="0" t="s">
        <v>59</v>
      </c>
      <c r="AN177" s="0" t="str">
        <f aca="false">IF(ISBLANK(AM177),"Unknown",AM177)</f>
        <v>Bolt Driver</v>
      </c>
      <c r="AO177" s="0" t="s">
        <v>79</v>
      </c>
      <c r="AP177" s="0" t="str">
        <f aca="false">IF(ISBLANK(AO177),"Unknown",AO177)</f>
        <v>Specialist</v>
      </c>
      <c r="AQ177" s="0" t="n">
        <v>30000</v>
      </c>
      <c r="AR177" s="5" t="n">
        <f aca="false">IF(ISBLANK(AQ177),AVERAGEIF(M177:M1176,M177,AQ177:AQ1176),AQ177)</f>
        <v>30000</v>
      </c>
      <c r="AT177" s="5" t="n">
        <f aca="false">IF(ISBLANK(AS177),AVERAGE(AS177:AS1176),AS177)</f>
        <v>31393.8053097345</v>
      </c>
      <c r="AU177" s="0" t="s">
        <v>50</v>
      </c>
      <c r="AV177" s="0" t="str">
        <f aca="false">PROPER(IF(ISBLANK(AU177),"No",AU177))</f>
        <v>No</v>
      </c>
      <c r="AW177" s="0" t="n">
        <v>0</v>
      </c>
      <c r="AX177" s="5" t="n">
        <f aca="false">IF(ISBLANK(AW177),0,AW177)</f>
        <v>0</v>
      </c>
      <c r="AY177" s="0" t="s">
        <v>60</v>
      </c>
      <c r="AZ177" s="0" t="str">
        <f aca="false">UPPER(IF(ISBLANK(AY177),"NONE",AY177))</f>
        <v>NONE</v>
      </c>
      <c r="BA177" s="7" t="n">
        <v>45963</v>
      </c>
      <c r="BB177" s="7" t="n">
        <f aca="false">IF(ISBLANK(BA177),"No Follow Up Needed",BA177)</f>
        <v>45963</v>
      </c>
      <c r="BC177" s="0" t="s">
        <v>82</v>
      </c>
      <c r="BD177" s="0" t="str">
        <f aca="false">PROPER(IF(ISBLANK(BC177),"Unknown",BC177))</f>
        <v>Yes</v>
      </c>
      <c r="BE177" s="0" t="s">
        <v>116</v>
      </c>
      <c r="BF177" s="0" t="str">
        <f aca="false">IF(ISBLANK(BE177),"No comments",BE177)</f>
        <v>Needs tire alignment</v>
      </c>
      <c r="BG177" s="0" t="s">
        <v>117</v>
      </c>
      <c r="BH177" s="0" t="str">
        <f aca="false">IF(ISBLANK(BG177),"No comments",BG177)</f>
        <v>Prefers morning</v>
      </c>
      <c r="BI177" s="0" t="s">
        <v>50</v>
      </c>
      <c r="BJ177" s="0" t="str">
        <f aca="false">IF(ISBLANK(BI177),"Not Mentioned",BI177)</f>
        <v>No</v>
      </c>
      <c r="BK177" s="0" t="s">
        <v>82</v>
      </c>
      <c r="BL177" s="0" t="str">
        <f aca="false">PROPER(IF(ISBLANK(BK177),"Not Mentioned",BK177))</f>
        <v>Yes</v>
      </c>
      <c r="BM177" s="0" t="s">
        <v>63</v>
      </c>
      <c r="BN177" s="0" t="str">
        <f aca="false">PROPER(IF(ISBLANK(BM177),"Not Mentioned",BM177))</f>
        <v>Yes</v>
      </c>
      <c r="BO177" s="0" t="s">
        <v>2321</v>
      </c>
      <c r="BP177" s="0" t="str">
        <f aca="false">IF(ISBLANK(BO177),"One-Time Plan",BO177)</f>
        <v>One-Time Plan</v>
      </c>
      <c r="BQ177" s="0" t="s">
        <v>50</v>
      </c>
      <c r="BR177" s="0" t="str">
        <f aca="false">PROPER(IF(ISBLANK(BQ177),"No",BQ177))</f>
        <v>No</v>
      </c>
    </row>
    <row r="178" customFormat="false" ht="15" hidden="false" customHeight="false" outlineLevel="0" collapsed="false">
      <c r="A178" s="0" t="s">
        <v>569</v>
      </c>
      <c r="B178" s="2" t="s">
        <v>353</v>
      </c>
      <c r="C178" s="2" t="str">
        <f aca="false">TEXT(B178,"dd/mm/yyyy")</f>
        <v>18/05/2025</v>
      </c>
      <c r="D178" s="0" t="s">
        <v>42</v>
      </c>
      <c r="E178" s="0" t="n">
        <v>8034024774</v>
      </c>
      <c r="F178" s="0" t="s">
        <v>122</v>
      </c>
      <c r="G178" s="0" t="s">
        <v>2316</v>
      </c>
      <c r="H178" s="0" t="s">
        <v>570</v>
      </c>
      <c r="I178" s="0" t="s">
        <v>69</v>
      </c>
      <c r="J178" s="0" t="s">
        <v>87</v>
      </c>
      <c r="K178" s="3" t="str">
        <f aca="false" t="array" ref="K178:K178">IFERROR(IF(J178&lt;&gt;"",J178,INDEX(J178:J1177,MATCH(1,(F178:F1177=F178)*(I178:I1177=I178)*(L178:L1177=L178)*(J178:J1177&lt;&gt;""),0))),"Not Found")</f>
        <v>Oil Change</v>
      </c>
      <c r="L178" s="3" t="s">
        <v>142</v>
      </c>
      <c r="M178" s="0" t="str">
        <f aca="false">PROPER(L178)</f>
        <v>Oil Filter, Brake Pads</v>
      </c>
      <c r="O178" s="0" t="e">
        <f aca="false" t="array" ref="O178:O178">IF(N178&lt;&gt;"",N178,_xlfn.xlookup(1,(L178:L1177=L178)*(N178:N1177&lt;&gt;""),N178:N1177,"Not Found"))</f>
        <v>#NAME?</v>
      </c>
      <c r="P178" s="4" t="n">
        <v>98502</v>
      </c>
      <c r="Q178" s="0" t="s">
        <v>72</v>
      </c>
      <c r="R178" s="0" t="str">
        <f aca="false">PROPER(Q178)</f>
        <v>Pos</v>
      </c>
      <c r="S178" s="0" t="s">
        <v>63</v>
      </c>
      <c r="T178" s="0" t="n">
        <v>5</v>
      </c>
      <c r="U178" s="5" t="n">
        <f aca="false">IF(ISBLANK(T178),AVERAGE(T178:T1177),T178)</f>
        <v>5</v>
      </c>
      <c r="V178" s="0" t="n">
        <v>4.2</v>
      </c>
      <c r="W178" s="0" t="s">
        <v>111</v>
      </c>
      <c r="X178" s="0" t="str">
        <f aca="false">IF(ISBLANK(W178),"No remarks",W178)</f>
        <v>Changed all filters</v>
      </c>
      <c r="Y178" s="0" t="s">
        <v>52</v>
      </c>
      <c r="Z178" s="0" t="s">
        <v>136</v>
      </c>
      <c r="AA178" s="0" t="str">
        <f aca="false">PROPER(IF(ISBLANK(Z178),"Location Unavailable",Z178))</f>
        <v>Vip Section</v>
      </c>
      <c r="AB178" s="0" t="s">
        <v>54</v>
      </c>
      <c r="AC178" s="6" t="str">
        <f aca="false">PROPER(AB178)</f>
        <v>Mechanic Referral</v>
      </c>
      <c r="AE178" s="5" t="n">
        <f aca="false">IF(ISBLANK(AD178),AVERAGEIF(L178:L1177,L178,AD178:AD1177),AD178)</f>
        <v>39.5454545454546</v>
      </c>
      <c r="AF178" s="0" t="s">
        <v>112</v>
      </c>
      <c r="AG178" s="0" t="str">
        <f aca="false">PROPER(AF178)</f>
        <v>Unavailable</v>
      </c>
      <c r="AH178" s="0" t="s">
        <v>148</v>
      </c>
      <c r="AI178" s="0" t="s">
        <v>128</v>
      </c>
      <c r="AJ178" s="0" t="str">
        <f aca="false">PROPER(AI178)</f>
        <v>Normal</v>
      </c>
      <c r="AK178" s="0" t="s">
        <v>58</v>
      </c>
      <c r="AL178" s="0" t="str">
        <f aca="false">PROPER(AK178)</f>
        <v>Fleet Owner</v>
      </c>
      <c r="AM178" s="0" t="s">
        <v>2324</v>
      </c>
      <c r="AN178" s="0" t="str">
        <f aca="false">IF(ISBLANK(AM178),"Unknown",AM178)</f>
        <v>Logistics Convoy</v>
      </c>
      <c r="AO178" s="0" t="s">
        <v>149</v>
      </c>
      <c r="AP178" s="0" t="str">
        <f aca="false">IF(ISBLANK(AO178),"Unknown",AO178)</f>
        <v>Senior </v>
      </c>
      <c r="AQ178" s="0" t="n">
        <v>15000</v>
      </c>
      <c r="AR178" s="5" t="n">
        <f aca="false">IF(ISBLANK(AQ178),AVERAGEIF(M178:M1177,M178,AQ178:AQ1177),AQ178)</f>
        <v>15000</v>
      </c>
      <c r="AS178" s="0" t="n">
        <v>30000</v>
      </c>
      <c r="AT178" s="5" t="n">
        <f aca="false">IF(ISBLANK(AS178),AVERAGE(AS178:AS1177),AS178)</f>
        <v>30000</v>
      </c>
      <c r="AV178" s="0" t="str">
        <f aca="false">PROPER(IF(ISBLANK(AU178),"No",AU178))</f>
        <v>No</v>
      </c>
      <c r="AW178" s="0" t="n">
        <v>0</v>
      </c>
      <c r="AX178" s="5" t="n">
        <f aca="false">IF(ISBLANK(AW178),0,AW178)</f>
        <v>0</v>
      </c>
      <c r="AY178" s="0" t="s">
        <v>60</v>
      </c>
      <c r="AZ178" s="0" t="str">
        <f aca="false">UPPER(IF(ISBLANK(AY178),"NONE",AY178))</f>
        <v>NONE</v>
      </c>
      <c r="BA178" s="7" t="s">
        <v>571</v>
      </c>
      <c r="BB178" s="7" t="str">
        <f aca="false">IF(ISBLANK(BA178),"No Follow Up Needed",BA178)</f>
        <v>14/08/2025</v>
      </c>
      <c r="BC178" s="0" t="s">
        <v>63</v>
      </c>
      <c r="BD178" s="0" t="str">
        <f aca="false">PROPER(IF(ISBLANK(BC178),"Unknown",BC178))</f>
        <v>Yes</v>
      </c>
      <c r="BF178" s="0" t="str">
        <f aca="false">IF(ISBLANK(BE178),"No comments",BE178)</f>
        <v>No comments</v>
      </c>
      <c r="BG178" s="0" t="s">
        <v>172</v>
      </c>
      <c r="BH178" s="0" t="str">
        <f aca="false">IF(ISBLANK(BG178),"No comments",BG178)</f>
        <v>Always late</v>
      </c>
      <c r="BI178" s="0" t="s">
        <v>50</v>
      </c>
      <c r="BJ178" s="0" t="str">
        <f aca="false">IF(ISBLANK(BI178),"Not Mentioned",BI178)</f>
        <v>No</v>
      </c>
      <c r="BL178" s="0" t="str">
        <f aca="false">PROPER(IF(ISBLANK(BK178),"Not Mentioned",BK178))</f>
        <v>Not Mentioned</v>
      </c>
      <c r="BM178" s="0" t="s">
        <v>63</v>
      </c>
      <c r="BN178" s="0" t="str">
        <f aca="false">PROPER(IF(ISBLANK(BM178),"Not Mentioned",BM178))</f>
        <v>Yes</v>
      </c>
      <c r="BO178" s="0" t="s">
        <v>64</v>
      </c>
      <c r="BP178" s="0" t="str">
        <f aca="false">IF(ISBLANK(BO178),"One-Time Plan",BO178)</f>
        <v>Gold Maintenance Plan</v>
      </c>
      <c r="BQ178" s="0" t="s">
        <v>198</v>
      </c>
      <c r="BR178" s="0" t="str">
        <f aca="false">PROPER(IF(ISBLANK(BQ178),"No",BQ178))</f>
        <v>Followed Up</v>
      </c>
    </row>
    <row r="179" customFormat="false" ht="15" hidden="false" customHeight="false" outlineLevel="0" collapsed="false">
      <c r="A179" s="0" t="s">
        <v>572</v>
      </c>
      <c r="B179" s="2" t="n">
        <v>45842</v>
      </c>
      <c r="C179" s="2" t="str">
        <f aca="false">TEXT(B179,"dd/mm/yyyy")</f>
        <v>04/07/2025</v>
      </c>
      <c r="D179" s="0" t="s">
        <v>121</v>
      </c>
      <c r="E179" s="0" t="n">
        <v>8053194369</v>
      </c>
      <c r="F179" s="0" t="s">
        <v>43</v>
      </c>
      <c r="G179" s="0" t="s">
        <v>2315</v>
      </c>
      <c r="H179" s="0" t="s">
        <v>573</v>
      </c>
      <c r="I179" s="0" t="s">
        <v>134</v>
      </c>
      <c r="J179" s="0" t="s">
        <v>2317</v>
      </c>
      <c r="K179" s="3" t="str">
        <f aca="false" t="array" ref="K179:K179">IFERROR(IF(J179&lt;&gt;"",J179,INDEX(J179:J1178,MATCH(1,(F179:F1178=F179)*(I179:I1178=I179)*(L179:L1178=L179)*(J179:J1178&lt;&gt;""),0))),"Not Found")</f>
        <v>Suspension Noise</v>
      </c>
      <c r="L179" s="3" t="s">
        <v>108</v>
      </c>
      <c r="M179" s="0" t="str">
        <f aca="false">PROPER(L179)</f>
        <v>Timing Belt</v>
      </c>
      <c r="N179" s="3" t="s">
        <v>109</v>
      </c>
      <c r="O179" s="0" t="str">
        <f aca="false" t="array" ref="O179:O179">IF(N179&lt;&gt;"",N179,_xlfn.xlookup(1,(L179:L1178=L179)*(N179:N1178&lt;&gt;""),N179:N1178,"Not Found"))</f>
        <v>Tijani</v>
      </c>
      <c r="P179" s="4" t="n">
        <v>108664</v>
      </c>
      <c r="Q179" s="0" t="s">
        <v>166</v>
      </c>
      <c r="R179" s="0" t="str">
        <f aca="false">PROPER(Q179)</f>
        <v>Transfer</v>
      </c>
      <c r="S179" s="0" t="s">
        <v>63</v>
      </c>
      <c r="T179" s="0" t="n">
        <v>5</v>
      </c>
      <c r="U179" s="5" t="n">
        <f aca="false">IF(ISBLANK(T179),AVERAGE(T179:T1178),T179)</f>
        <v>5</v>
      </c>
      <c r="V179" s="0" t="n">
        <v>3.3</v>
      </c>
      <c r="W179" s="0" t="s">
        <v>51</v>
      </c>
      <c r="X179" s="0" t="str">
        <f aca="false">IF(ISBLANK(W179),"No remarks",W179)</f>
        <v>Recommended further checks</v>
      </c>
      <c r="Y179" s="0" t="s">
        <v>52</v>
      </c>
      <c r="Z179" s="0" t="s">
        <v>159</v>
      </c>
      <c r="AA179" s="0" t="str">
        <f aca="false">PROPER(IF(ISBLANK(Z179),"Location Unavailable",Z179))</f>
        <v>Main Bay</v>
      </c>
      <c r="AB179" s="0" t="s">
        <v>75</v>
      </c>
      <c r="AC179" s="6" t="str">
        <f aca="false">PROPER(AB179)</f>
        <v>Mechanik Referal</v>
      </c>
      <c r="AE179" s="5" t="n">
        <f aca="false">IF(ISBLANK(AD179),AVERAGEIF(L179:L1178,L179,AD179:AD1178),AD179)</f>
        <v>37.7586206896552</v>
      </c>
      <c r="AF179" s="0" t="s">
        <v>96</v>
      </c>
      <c r="AG179" s="0" t="str">
        <f aca="false">PROPER(AF179)</f>
        <v>Ordered</v>
      </c>
      <c r="AH179" s="0" t="s">
        <v>155</v>
      </c>
      <c r="AI179" s="0" t="s">
        <v>98</v>
      </c>
      <c r="AJ179" s="0" t="str">
        <f aca="false">PROPER(AI179)</f>
        <v>Emergency</v>
      </c>
      <c r="AK179" s="0" t="s">
        <v>58</v>
      </c>
      <c r="AL179" s="0" t="str">
        <f aca="false">PROPER(AK179)</f>
        <v>Fleet Owner</v>
      </c>
      <c r="AM179" s="0" t="s">
        <v>2326</v>
      </c>
      <c r="AN179" s="0" t="str">
        <f aca="false">IF(ISBLANK(AM179),"Unknown",AM179)</f>
        <v>Government Convoy</v>
      </c>
      <c r="AO179" s="0" t="s">
        <v>143</v>
      </c>
      <c r="AP179" s="0" t="str">
        <f aca="false">IF(ISBLANK(AO179),"Unknown",AO179)</f>
        <v>Senior</v>
      </c>
      <c r="AQ179" s="0" t="n">
        <v>15000</v>
      </c>
      <c r="AR179" s="5" t="n">
        <f aca="false">IF(ISBLANK(AQ179),AVERAGEIF(M179:M1178,M179,AQ179:AQ1178),AQ179)</f>
        <v>15000</v>
      </c>
      <c r="AS179" s="0" t="n">
        <v>30000</v>
      </c>
      <c r="AT179" s="5" t="n">
        <f aca="false">IF(ISBLANK(AS179),AVERAGE(AS179:AS1178),AS179)</f>
        <v>30000</v>
      </c>
      <c r="AU179" s="0" t="s">
        <v>50</v>
      </c>
      <c r="AV179" s="0" t="str">
        <f aca="false">PROPER(IF(ISBLANK(AU179),"No",AU179))</f>
        <v>No</v>
      </c>
      <c r="AW179" s="0" t="n">
        <v>0</v>
      </c>
      <c r="AX179" s="5" t="n">
        <f aca="false">IF(ISBLANK(AW179),0,AW179)</f>
        <v>0</v>
      </c>
      <c r="AY179" s="0" t="s">
        <v>184</v>
      </c>
      <c r="AZ179" s="0" t="str">
        <f aca="false">UPPER(IF(ISBLANK(AY179),"NONE",AY179))</f>
        <v>N/A</v>
      </c>
      <c r="BB179" s="7" t="str">
        <f aca="false">IF(ISBLANK(BA179),"No Follow Up Needed",BA179)</f>
        <v>No Follow Up Needed</v>
      </c>
      <c r="BC179" s="0" t="s">
        <v>63</v>
      </c>
      <c r="BD179" s="0" t="str">
        <f aca="false">PROPER(IF(ISBLANK(BC179),"Unknown",BC179))</f>
        <v>Yes</v>
      </c>
      <c r="BE179" s="0" t="s">
        <v>116</v>
      </c>
      <c r="BF179" s="0" t="str">
        <f aca="false">IF(ISBLANK(BE179),"No comments",BE179)</f>
        <v>Needs tire alignment</v>
      </c>
      <c r="BG179" s="0" t="s">
        <v>2320</v>
      </c>
      <c r="BH179" s="0" t="str">
        <f aca="false">IF(ISBLANK(BG179),"No comments",BG179)</f>
        <v>No complaints</v>
      </c>
      <c r="BI179" s="0" t="s">
        <v>50</v>
      </c>
      <c r="BJ179" s="0" t="str">
        <f aca="false">IF(ISBLANK(BI179),"Not Mentioned",BI179)</f>
        <v>No</v>
      </c>
      <c r="BK179" s="0" t="s">
        <v>61</v>
      </c>
      <c r="BL179" s="0" t="str">
        <f aca="false">PROPER(IF(ISBLANK(BK179),"Not Mentioned",BK179))</f>
        <v>No</v>
      </c>
      <c r="BM179" s="0" t="s">
        <v>63</v>
      </c>
      <c r="BN179" s="0" t="str">
        <f aca="false">PROPER(IF(ISBLANK(BM179),"Not Mentioned",BM179))</f>
        <v>Yes</v>
      </c>
      <c r="BP179" s="0" t="str">
        <f aca="false">IF(ISBLANK(BO179),"One-Time Plan",BO179)</f>
        <v>One-Time Plan</v>
      </c>
      <c r="BQ179" s="0" t="s">
        <v>190</v>
      </c>
      <c r="BR179" s="0" t="str">
        <f aca="false">PROPER(IF(ISBLANK(BQ179),"No",BQ179))</f>
        <v>Yes</v>
      </c>
    </row>
    <row r="180" customFormat="false" ht="15" hidden="false" customHeight="false" outlineLevel="0" collapsed="false">
      <c r="A180" s="0" t="s">
        <v>574</v>
      </c>
      <c r="B180" s="2" t="n">
        <v>45775</v>
      </c>
      <c r="C180" s="2" t="str">
        <f aca="false">TEXT(B180,"dd/mm/yyyy")</f>
        <v>28/04/2025</v>
      </c>
      <c r="D180" s="0" t="s">
        <v>163</v>
      </c>
      <c r="E180" s="0" t="n">
        <v>8060181152</v>
      </c>
      <c r="F180" s="0" t="s">
        <v>122</v>
      </c>
      <c r="G180" s="0" t="s">
        <v>2316</v>
      </c>
      <c r="H180" s="0" t="s">
        <v>575</v>
      </c>
      <c r="I180" s="0" t="s">
        <v>107</v>
      </c>
      <c r="J180" s="0" t="s">
        <v>2322</v>
      </c>
      <c r="K180" s="3" t="str">
        <f aca="false" t="array" ref="K180:K180">IFERROR(IF(J180&lt;&gt;"",J180,INDEX(J180:J1179,MATCH(1,(F180:F1179=F180)*(I180:I1179=I180)*(L180:L1179=L180)*(J180:J1179&lt;&gt;""),0))),"Not Found")</f>
        <v>Brake Failure</v>
      </c>
      <c r="L180" s="3" t="s">
        <v>89</v>
      </c>
      <c r="M180" s="0" t="str">
        <f aca="false">PROPER(L180)</f>
        <v>Shock Absorbers</v>
      </c>
      <c r="O180" s="0" t="e">
        <f aca="false" t="array" ref="O180:O180">IF(N180&lt;&gt;"",N180,_xlfn.xlookup(1,(L180:L1179=L180)*(N180:N1179&lt;&gt;""),N180:N1179,"Not Found"))</f>
        <v>#NAME?</v>
      </c>
      <c r="P180" s="4" t="n">
        <v>22917</v>
      </c>
      <c r="Q180" s="0" t="s">
        <v>49</v>
      </c>
      <c r="R180" s="0" t="str">
        <f aca="false">PROPER(Q180)</f>
        <v>Transfer</v>
      </c>
      <c r="S180" s="0" t="s">
        <v>50</v>
      </c>
      <c r="T180" s="0" t="n">
        <v>3</v>
      </c>
      <c r="U180" s="5" t="n">
        <f aca="false">IF(ISBLANK(T180),AVERAGE(T180:T1179),T180)</f>
        <v>3</v>
      </c>
      <c r="V180" s="0" t="n">
        <v>1.8</v>
      </c>
      <c r="W180" s="0" t="s">
        <v>51</v>
      </c>
      <c r="X180" s="0" t="str">
        <f aca="false">IF(ISBLANK(W180),"No remarks",W180)</f>
        <v>Recommended further checks</v>
      </c>
      <c r="Y180" s="0" t="s">
        <v>93</v>
      </c>
      <c r="Z180" s="0" t="s">
        <v>136</v>
      </c>
      <c r="AA180" s="0" t="str">
        <f aca="false">PROPER(IF(ISBLANK(Z180),"Location Unavailable",Z180))</f>
        <v>Vip Section</v>
      </c>
      <c r="AB180" s="0" t="s">
        <v>54</v>
      </c>
      <c r="AC180" s="6" t="str">
        <f aca="false">PROPER(AB180)</f>
        <v>Mechanic Referral</v>
      </c>
      <c r="AD180" s="6" t="n">
        <v>45</v>
      </c>
      <c r="AE180" s="5" t="n">
        <f aca="false">IF(ISBLANK(AD180),AVERAGEIF(L180:L1179,L180,AD180:AD1179),AD180)</f>
        <v>45</v>
      </c>
      <c r="AF180" s="0" t="s">
        <v>160</v>
      </c>
      <c r="AG180" s="0" t="str">
        <f aca="false">PROPER(AF180)</f>
        <v>Availaible</v>
      </c>
      <c r="AH180" s="0" t="s">
        <v>56</v>
      </c>
      <c r="AI180" s="0" t="s">
        <v>128</v>
      </c>
      <c r="AJ180" s="0" t="str">
        <f aca="false">PROPER(AI180)</f>
        <v>Normal</v>
      </c>
      <c r="AK180" s="0" t="s">
        <v>114</v>
      </c>
      <c r="AL180" s="0" t="str">
        <f aca="false">PROPER(AK180)</f>
        <v>Returning</v>
      </c>
      <c r="AM180" s="0" t="s">
        <v>2324</v>
      </c>
      <c r="AN180" s="0" t="str">
        <f aca="false">IF(ISBLANK(AM180),"Unknown",AM180)</f>
        <v>Logistics Convoy</v>
      </c>
      <c r="AO180" s="0" t="s">
        <v>143</v>
      </c>
      <c r="AP180" s="0" t="str">
        <f aca="false">IF(ISBLANK(AO180),"Unknown",AO180)</f>
        <v>Senior</v>
      </c>
      <c r="AR180" s="5" t="n">
        <f aca="false">IF(ISBLANK(AQ180),AVERAGEIF(M180:M1179,M180,AQ180:AQ1179),AQ180)</f>
        <v>25945.9459459459</v>
      </c>
      <c r="AT180" s="5" t="n">
        <f aca="false">IF(ISBLANK(AS180),AVERAGE(AS180:AS1179),AS180)</f>
        <v>31397.9289940828</v>
      </c>
      <c r="AU180" s="0" t="s">
        <v>50</v>
      </c>
      <c r="AV180" s="0" t="str">
        <f aca="false">PROPER(IF(ISBLANK(AU180),"No",AU180))</f>
        <v>No</v>
      </c>
      <c r="AW180" s="0" t="n">
        <v>0</v>
      </c>
      <c r="AX180" s="5" t="n">
        <f aca="false">IF(ISBLANK(AW180),0,AW180)</f>
        <v>0</v>
      </c>
      <c r="AY180" s="0" t="s">
        <v>130</v>
      </c>
      <c r="AZ180" s="0" t="str">
        <f aca="false">UPPER(IF(ISBLANK(AY180),"NONE",AY180))</f>
        <v>LOYALTY10</v>
      </c>
      <c r="BA180" s="7" t="n">
        <v>45974</v>
      </c>
      <c r="BB180" s="7" t="n">
        <f aca="false">IF(ISBLANK(BA180),"No Follow Up Needed",BA180)</f>
        <v>45974</v>
      </c>
      <c r="BC180" s="0" t="s">
        <v>50</v>
      </c>
      <c r="BD180" s="0" t="str">
        <f aca="false">PROPER(IF(ISBLANK(BC180),"Unknown",BC180))</f>
        <v>No</v>
      </c>
      <c r="BF180" s="0" t="str">
        <f aca="false">IF(ISBLANK(BE180),"No comments",BE180)</f>
        <v>No comments</v>
      </c>
      <c r="BG180" s="0" t="s">
        <v>117</v>
      </c>
      <c r="BH180" s="0" t="str">
        <f aca="false">IF(ISBLANK(BG180),"No comments",BG180)</f>
        <v>Prefers morning</v>
      </c>
      <c r="BI180" s="0" t="s">
        <v>63</v>
      </c>
      <c r="BJ180" s="0" t="str">
        <f aca="false">IF(ISBLANK(BI180),"Not Mentioned",BI180)</f>
        <v>Yes</v>
      </c>
      <c r="BK180" s="0" t="s">
        <v>50</v>
      </c>
      <c r="BL180" s="0" t="str">
        <f aca="false">PROPER(IF(ISBLANK(BK180),"Not Mentioned",BK180))</f>
        <v>No</v>
      </c>
      <c r="BM180" s="0" t="s">
        <v>63</v>
      </c>
      <c r="BN180" s="0" t="str">
        <f aca="false">PROPER(IF(ISBLANK(BM180),"Not Mentioned",BM180))</f>
        <v>Yes</v>
      </c>
      <c r="BO180" s="0" t="s">
        <v>2318</v>
      </c>
      <c r="BP180" s="0" t="str">
        <f aca="false">IF(ISBLANK(BO180),"One-Time Plan",BO180)</f>
        <v>Gold</v>
      </c>
      <c r="BQ180" s="0" t="s">
        <v>63</v>
      </c>
      <c r="BR180" s="0" t="str">
        <f aca="false">PROPER(IF(ISBLANK(BQ180),"No",BQ180))</f>
        <v>Yes</v>
      </c>
    </row>
    <row r="181" customFormat="false" ht="15" hidden="false" customHeight="false" outlineLevel="0" collapsed="false">
      <c r="A181" s="0" t="s">
        <v>577</v>
      </c>
      <c r="B181" s="2" t="s">
        <v>576</v>
      </c>
      <c r="C181" s="2" t="str">
        <f aca="false">TEXT(B181,"dd/mm/yyyy")</f>
        <v>31/05/2025</v>
      </c>
      <c r="D181" s="0" t="s">
        <v>66</v>
      </c>
      <c r="E181" s="0" t="n">
        <v>8080528150</v>
      </c>
      <c r="F181" s="0" t="s">
        <v>85</v>
      </c>
      <c r="G181" s="0" t="s">
        <v>2319</v>
      </c>
      <c r="H181" s="0" t="s">
        <v>578</v>
      </c>
      <c r="I181" s="0" t="s">
        <v>87</v>
      </c>
      <c r="K181" s="3" t="str">
        <f aca="false" t="array" ref="K181:K181">IFERROR(IF(J181&lt;&gt;"",J181,INDEX(J181:J1180,MATCH(1,(F181:F1180=F181)*(I181:I1180=I181)*(L181:L1180=L181)*(J181:J1180&lt;&gt;""),0))),"Not Found")</f>
        <v>Oil Change</v>
      </c>
      <c r="L181" s="3" t="s">
        <v>89</v>
      </c>
      <c r="M181" s="0" t="str">
        <f aca="false">PROPER(L181)</f>
        <v>Shock Absorbers</v>
      </c>
      <c r="N181" s="3" t="s">
        <v>48</v>
      </c>
      <c r="O181" s="0" t="str">
        <f aca="false" t="array" ref="O181:O181">IF(N181&lt;&gt;"",N181,_xlfn.xlookup(1,(L181:L1180=L181)*(N181:N1180&lt;&gt;""),N181:N1180,"Not Found"))</f>
        <v>Uche</v>
      </c>
      <c r="P181" s="4" t="n">
        <v>27657</v>
      </c>
      <c r="Q181" s="0" t="s">
        <v>110</v>
      </c>
      <c r="R181" s="0" t="str">
        <f aca="false">PROPER(Q181)</f>
        <v>Cash</v>
      </c>
      <c r="S181" s="0" t="s">
        <v>63</v>
      </c>
      <c r="T181" s="0" t="n">
        <v>1</v>
      </c>
      <c r="U181" s="5" t="n">
        <f aca="false">IF(ISBLANK(T181),AVERAGE(T181:T1180),T181)</f>
        <v>1</v>
      </c>
      <c r="V181" s="0" t="n">
        <v>4.9</v>
      </c>
      <c r="W181" s="0" t="s">
        <v>111</v>
      </c>
      <c r="X181" s="0" t="str">
        <f aca="false">IF(ISBLANK(W181),"No remarks",W181)</f>
        <v>Changed all filters</v>
      </c>
      <c r="Y181" s="0" t="s">
        <v>73</v>
      </c>
      <c r="Z181" s="0" t="s">
        <v>136</v>
      </c>
      <c r="AA181" s="0" t="str">
        <f aca="false">PROPER(IF(ISBLANK(Z181),"Location Unavailable",Z181))</f>
        <v>Vip Section</v>
      </c>
      <c r="AB181" s="0" t="s">
        <v>147</v>
      </c>
      <c r="AC181" s="6" t="str">
        <f aca="false">PROPER(AB181)</f>
        <v>Instagram</v>
      </c>
      <c r="AD181" s="6" t="n">
        <v>45</v>
      </c>
      <c r="AE181" s="5" t="n">
        <f aca="false">IF(ISBLANK(AD181),AVERAGEIF(L181:L1180,L181,AD181:AD1180),AD181)</f>
        <v>45</v>
      </c>
      <c r="AF181" s="0" t="s">
        <v>55</v>
      </c>
      <c r="AG181" s="0" t="str">
        <f aca="false">PROPER(AF181)</f>
        <v>Available</v>
      </c>
      <c r="AH181" s="0" t="s">
        <v>148</v>
      </c>
      <c r="AI181" s="0" t="s">
        <v>128</v>
      </c>
      <c r="AJ181" s="0" t="str">
        <f aca="false">PROPER(AI181)</f>
        <v>Normal</v>
      </c>
      <c r="AK181" s="0" t="s">
        <v>58</v>
      </c>
      <c r="AL181" s="0" t="str">
        <f aca="false">PROPER(AK181)</f>
        <v>Fleet Owner</v>
      </c>
      <c r="AM181" s="0" t="s">
        <v>2324</v>
      </c>
      <c r="AN181" s="0" t="str">
        <f aca="false">IF(ISBLANK(AM181),"Unknown",AM181)</f>
        <v>Logistics Convoy</v>
      </c>
      <c r="AO181" s="0" t="s">
        <v>79</v>
      </c>
      <c r="AP181" s="0" t="str">
        <f aca="false">IF(ISBLANK(AO181),"Unknown",AO181)</f>
        <v>Specialist</v>
      </c>
      <c r="AQ181" s="0" t="n">
        <v>15000</v>
      </c>
      <c r="AR181" s="5" t="n">
        <f aca="false">IF(ISBLANK(AQ181),AVERAGEIF(M181:M1180,M181,AQ181:AQ1180),AQ181)</f>
        <v>15000</v>
      </c>
      <c r="AS181" s="0" t="n">
        <v>20000</v>
      </c>
      <c r="AT181" s="5" t="n">
        <f aca="false">IF(ISBLANK(AS181),AVERAGE(AS181:AS1180),AS181)</f>
        <v>20000</v>
      </c>
      <c r="AU181" s="0" t="s">
        <v>82</v>
      </c>
      <c r="AV181" s="0" t="str">
        <f aca="false">PROPER(IF(ISBLANK(AU181),"No",AU181))</f>
        <v>Yes</v>
      </c>
      <c r="AW181" s="0" t="n">
        <v>5000</v>
      </c>
      <c r="AX181" s="5" t="n">
        <f aca="false">IF(ISBLANK(AW181),0,AW181)</f>
        <v>5000</v>
      </c>
      <c r="AY181" s="0" t="s">
        <v>184</v>
      </c>
      <c r="AZ181" s="0" t="str">
        <f aca="false">UPPER(IF(ISBLANK(AY181),"NONE",AY181))</f>
        <v>N/A</v>
      </c>
      <c r="BA181" s="7" t="n">
        <v>45868</v>
      </c>
      <c r="BB181" s="7" t="n">
        <f aca="false">IF(ISBLANK(BA181),"No Follow Up Needed",BA181)</f>
        <v>45868</v>
      </c>
      <c r="BC181" s="0" t="s">
        <v>82</v>
      </c>
      <c r="BD181" s="0" t="str">
        <f aca="false">PROPER(IF(ISBLANK(BC181),"Unknown",BC181))</f>
        <v>Yes</v>
      </c>
      <c r="BE181" s="0" t="s">
        <v>116</v>
      </c>
      <c r="BF181" s="0" t="str">
        <f aca="false">IF(ISBLANK(BE181),"No comments",BE181)</f>
        <v>Needs tire alignment</v>
      </c>
      <c r="BG181" s="0" t="s">
        <v>2320</v>
      </c>
      <c r="BH181" s="0" t="str">
        <f aca="false">IF(ISBLANK(BG181),"No comments",BG181)</f>
        <v>No complaints</v>
      </c>
      <c r="BI181" s="0" t="s">
        <v>63</v>
      </c>
      <c r="BJ181" s="0" t="str">
        <f aca="false">IF(ISBLANK(BI181),"Not Mentioned",BI181)</f>
        <v>Yes</v>
      </c>
      <c r="BK181" s="0" t="s">
        <v>50</v>
      </c>
      <c r="BL181" s="0" t="str">
        <f aca="false">PROPER(IF(ISBLANK(BK181),"Not Mentioned",BK181))</f>
        <v>No</v>
      </c>
      <c r="BM181" s="0" t="s">
        <v>63</v>
      </c>
      <c r="BN181" s="0" t="str">
        <f aca="false">PROPER(IF(ISBLANK(BM181),"Not Mentioned",BM181))</f>
        <v>Yes</v>
      </c>
      <c r="BO181" s="0" t="s">
        <v>2318</v>
      </c>
      <c r="BP181" s="0" t="str">
        <f aca="false">IF(ISBLANK(BO181),"One-Time Plan",BO181)</f>
        <v>Gold</v>
      </c>
      <c r="BQ181" s="0" t="s">
        <v>50</v>
      </c>
      <c r="BR181" s="0" t="str">
        <f aca="false">PROPER(IF(ISBLANK(BQ181),"No",BQ181))</f>
        <v>No</v>
      </c>
    </row>
    <row r="182" customFormat="false" ht="15" hidden="false" customHeight="false" outlineLevel="0" collapsed="false">
      <c r="A182" s="0" t="s">
        <v>579</v>
      </c>
      <c r="B182" s="2" t="n">
        <v>45872</v>
      </c>
      <c r="C182" s="2" t="str">
        <f aca="false">TEXT(B182,"dd/mm/yyyy")</f>
        <v>03/08/2025</v>
      </c>
      <c r="D182" s="0" t="s">
        <v>66</v>
      </c>
      <c r="E182" s="0" t="n">
        <v>8074867032</v>
      </c>
      <c r="F182" s="0" t="s">
        <v>67</v>
      </c>
      <c r="G182" s="0" t="s">
        <v>2316</v>
      </c>
      <c r="H182" s="0" t="s">
        <v>580</v>
      </c>
      <c r="I182" s="0" t="s">
        <v>45</v>
      </c>
      <c r="J182" s="0" t="s">
        <v>2317</v>
      </c>
      <c r="K182" s="3" t="str">
        <f aca="false" t="array" ref="K182:K182">IFERROR(IF(J182&lt;&gt;"",J182,INDEX(J182:J1181,MATCH(1,(F182:F1181=F182)*(I182:I1181=I182)*(L182:L1181=L182)*(J182:J1181&lt;&gt;""),0))),"Not Found")</f>
        <v>Suspension Noise</v>
      </c>
      <c r="L182" s="3" t="s">
        <v>108</v>
      </c>
      <c r="M182" s="0" t="str">
        <f aca="false">PROPER(L182)</f>
        <v>Timing Belt</v>
      </c>
      <c r="N182" s="3" t="s">
        <v>48</v>
      </c>
      <c r="O182" s="0" t="str">
        <f aca="false" t="array" ref="O182:O182">IF(N182&lt;&gt;"",N182,_xlfn.xlookup(1,(L182:L1181=L182)*(N182:N1181&lt;&gt;""),N182:N1181,"Not Found"))</f>
        <v>Uche</v>
      </c>
      <c r="P182" s="4" t="n">
        <v>113970</v>
      </c>
      <c r="Q182" s="0" t="s">
        <v>166</v>
      </c>
      <c r="R182" s="0" t="str">
        <f aca="false">PROPER(Q182)</f>
        <v>Transfer</v>
      </c>
      <c r="S182" s="0" t="s">
        <v>50</v>
      </c>
      <c r="T182" s="0" t="n">
        <v>2</v>
      </c>
      <c r="U182" s="5" t="n">
        <f aca="false">IF(ISBLANK(T182),AVERAGE(T182:T1181),T182)</f>
        <v>2</v>
      </c>
      <c r="V182" s="0" t="n">
        <v>3.7</v>
      </c>
      <c r="W182" s="0" t="s">
        <v>111</v>
      </c>
      <c r="X182" s="0" t="str">
        <f aca="false">IF(ISBLANK(W182),"No remarks",W182)</f>
        <v>Changed all filters</v>
      </c>
      <c r="Y182" s="0" t="s">
        <v>52</v>
      </c>
      <c r="AA182" s="0" t="str">
        <f aca="false">PROPER(IF(ISBLANK(Z182),"Location Unavailable",Z182))</f>
        <v>Location Unavailable</v>
      </c>
      <c r="AB182" s="0" t="s">
        <v>167</v>
      </c>
      <c r="AC182" s="6" t="str">
        <f aca="false">PROPER(AB182)</f>
        <v>Word Of Mouth</v>
      </c>
      <c r="AE182" s="5" t="n">
        <f aca="false">IF(ISBLANK(AD182),AVERAGEIF(L182:L1181,L182,AD182:AD1181),AD182)</f>
        <v>37.7586206896552</v>
      </c>
      <c r="AF182" s="0" t="s">
        <v>55</v>
      </c>
      <c r="AG182" s="0" t="str">
        <f aca="false">PROPER(AF182)</f>
        <v>Available</v>
      </c>
      <c r="AH182" s="0" t="s">
        <v>155</v>
      </c>
      <c r="AI182" s="0" t="s">
        <v>98</v>
      </c>
      <c r="AJ182" s="0" t="str">
        <f aca="false">PROPER(AI182)</f>
        <v>Emergency</v>
      </c>
      <c r="AK182" s="0" t="s">
        <v>196</v>
      </c>
      <c r="AL182" s="0" t="str">
        <f aca="false">PROPER(AK182)</f>
        <v>First Time</v>
      </c>
      <c r="AM182" s="0" t="s">
        <v>2324</v>
      </c>
      <c r="AN182" s="0" t="str">
        <f aca="false">IF(ISBLANK(AM182),"Unknown",AM182)</f>
        <v>Logistics Convoy</v>
      </c>
      <c r="AO182" s="0" t="s">
        <v>143</v>
      </c>
      <c r="AP182" s="0" t="str">
        <f aca="false">IF(ISBLANK(AO182),"Unknown",AO182)</f>
        <v>Senior</v>
      </c>
      <c r="AR182" s="5" t="n">
        <f aca="false">IF(ISBLANK(AQ182),AVERAGEIF(M182:M1181,M182,AQ182:AQ1181),AQ182)</f>
        <v>27620.9677419355</v>
      </c>
      <c r="AS182" s="0" t="n">
        <v>40000</v>
      </c>
      <c r="AT182" s="5" t="n">
        <f aca="false">IF(ISBLANK(AS182),AVERAGE(AS182:AS1181),AS182)</f>
        <v>40000</v>
      </c>
      <c r="AU182" s="0" t="s">
        <v>61</v>
      </c>
      <c r="AV182" s="0" t="str">
        <f aca="false">PROPER(IF(ISBLANK(AU182),"No",AU182))</f>
        <v>No</v>
      </c>
      <c r="AW182" s="0" t="n">
        <v>10000</v>
      </c>
      <c r="AX182" s="5" t="n">
        <f aca="false">IF(ISBLANK(AW182),0,AW182)</f>
        <v>10000</v>
      </c>
      <c r="AY182" s="0" t="s">
        <v>130</v>
      </c>
      <c r="AZ182" s="0" t="str">
        <f aca="false">UPPER(IF(ISBLANK(AY182),"NONE",AY182))</f>
        <v>LOYALTY10</v>
      </c>
      <c r="BA182" s="7" t="n">
        <v>46020</v>
      </c>
      <c r="BB182" s="7" t="n">
        <f aca="false">IF(ISBLANK(BA182),"No Follow Up Needed",BA182)</f>
        <v>46020</v>
      </c>
      <c r="BC182" s="0" t="s">
        <v>50</v>
      </c>
      <c r="BD182" s="0" t="str">
        <f aca="false">PROPER(IF(ISBLANK(BC182),"Unknown",BC182))</f>
        <v>No</v>
      </c>
      <c r="BE182" s="0" t="s">
        <v>116</v>
      </c>
      <c r="BF182" s="0" t="str">
        <f aca="false">IF(ISBLANK(BE182),"No comments",BE182)</f>
        <v>Needs tire alignment</v>
      </c>
      <c r="BG182" s="0" t="s">
        <v>2320</v>
      </c>
      <c r="BH182" s="0" t="str">
        <f aca="false">IF(ISBLANK(BG182),"No comments",BG182)</f>
        <v>No complaints</v>
      </c>
      <c r="BI182" s="0" t="s">
        <v>63</v>
      </c>
      <c r="BJ182" s="0" t="str">
        <f aca="false">IF(ISBLANK(BI182),"Not Mentioned",BI182)</f>
        <v>Yes</v>
      </c>
      <c r="BK182" s="0" t="s">
        <v>61</v>
      </c>
      <c r="BL182" s="0" t="str">
        <f aca="false">PROPER(IF(ISBLANK(BK182),"Not Mentioned",BK182))</f>
        <v>No</v>
      </c>
      <c r="BN182" s="0" t="str">
        <f aca="false">PROPER(IF(ISBLANK(BM182),"Not Mentioned",BM182))</f>
        <v>Not Mentioned</v>
      </c>
      <c r="BO182" s="0" t="s">
        <v>2318</v>
      </c>
      <c r="BP182" s="0" t="str">
        <f aca="false">IF(ISBLANK(BO182),"One-Time Plan",BO182)</f>
        <v>Gold</v>
      </c>
      <c r="BQ182" s="0" t="s">
        <v>50</v>
      </c>
      <c r="BR182" s="0" t="str">
        <f aca="false">PROPER(IF(ISBLANK(BQ182),"No",BQ182))</f>
        <v>No</v>
      </c>
    </row>
    <row r="183" customFormat="false" ht="15" hidden="false" customHeight="false" outlineLevel="0" collapsed="false">
      <c r="A183" s="0" t="s">
        <v>581</v>
      </c>
      <c r="B183" s="2" t="s">
        <v>310</v>
      </c>
      <c r="C183" s="2" t="str">
        <f aca="false">TEXT(B183,"dd/mm/yyyy")</f>
        <v>26/02/2025</v>
      </c>
      <c r="D183" s="0" t="s">
        <v>66</v>
      </c>
      <c r="E183" s="0" t="n">
        <v>8076409861</v>
      </c>
      <c r="F183" s="0" t="s">
        <v>139</v>
      </c>
      <c r="G183" s="0" t="s">
        <v>2323</v>
      </c>
      <c r="H183" s="0" t="s">
        <v>582</v>
      </c>
      <c r="I183" s="0" t="s">
        <v>69</v>
      </c>
      <c r="J183" s="0" t="s">
        <v>87</v>
      </c>
      <c r="K183" s="3" t="str">
        <f aca="false" t="array" ref="K183:K183">IFERROR(IF(J183&lt;&gt;"",J183,INDEX(J183:J1182,MATCH(1,(F183:F1182=F183)*(I183:I1182=I183)*(L183:L1182=L183)*(J183:J1182&lt;&gt;""),0))),"Not Found")</f>
        <v>Oil Change</v>
      </c>
      <c r="L183" s="3" t="s">
        <v>89</v>
      </c>
      <c r="M183" s="0" t="str">
        <f aca="false">PROPER(L183)</f>
        <v>Shock Absorbers</v>
      </c>
      <c r="N183" s="3" t="s">
        <v>71</v>
      </c>
      <c r="O183" s="0" t="str">
        <f aca="false" t="array" ref="O183:O183">IF(N183&lt;&gt;"",N183,_xlfn.xlookup(1,(L183:L1182=L183)*(N183:N1182&lt;&gt;""),N183:N1182,"Not Found"))</f>
        <v>Isaac Bobo</v>
      </c>
      <c r="P183" s="4" t="n">
        <v>57750</v>
      </c>
      <c r="Q183" s="0" t="s">
        <v>124</v>
      </c>
      <c r="R183" s="0" t="str">
        <f aca="false">PROPER(Q183)</f>
        <v>Cash</v>
      </c>
      <c r="S183" s="0" t="s">
        <v>50</v>
      </c>
      <c r="T183" s="0" t="n">
        <v>3</v>
      </c>
      <c r="U183" s="5" t="n">
        <f aca="false">IF(ISBLANK(T183),AVERAGE(T183:T1182),T183)</f>
        <v>3</v>
      </c>
      <c r="V183" s="0" t="n">
        <v>3.7</v>
      </c>
      <c r="W183" s="0" t="s">
        <v>92</v>
      </c>
      <c r="X183" s="0" t="str">
        <f aca="false">IF(ISBLANK(W183),"No remarks",W183)</f>
        <v>Urgent service</v>
      </c>
      <c r="Y183" s="0" t="s">
        <v>73</v>
      </c>
      <c r="Z183" s="0" t="s">
        <v>94</v>
      </c>
      <c r="AA183" s="0" t="str">
        <f aca="false">PROPER(IF(ISBLANK(Z183),"Location Unavailable",Z183))</f>
        <v>Vip Section</v>
      </c>
      <c r="AB183" s="0" t="s">
        <v>167</v>
      </c>
      <c r="AC183" s="6" t="str">
        <f aca="false">PROPER(AB183)</f>
        <v>Word Of Mouth</v>
      </c>
      <c r="AD183" s="6" t="n">
        <v>45</v>
      </c>
      <c r="AE183" s="5" t="n">
        <f aca="false">IF(ISBLANK(AD183),AVERAGEIF(L183:L1182,L183,AD183:AD1182),AD183)</f>
        <v>45</v>
      </c>
      <c r="AF183" s="0" t="s">
        <v>76</v>
      </c>
      <c r="AG183" s="0" t="str">
        <f aca="false">PROPER(AF183)</f>
        <v>Orderd</v>
      </c>
      <c r="AH183" s="0" t="s">
        <v>155</v>
      </c>
      <c r="AI183" s="0" t="s">
        <v>98</v>
      </c>
      <c r="AJ183" s="0" t="str">
        <f aca="false">PROPER(AI183)</f>
        <v>Emergency</v>
      </c>
      <c r="AK183" s="0" t="s">
        <v>99</v>
      </c>
      <c r="AL183" s="0" t="str">
        <f aca="false">PROPER(AK183)</f>
        <v>Uber Driver</v>
      </c>
      <c r="AM183" s="0" t="s">
        <v>2326</v>
      </c>
      <c r="AN183" s="0" t="str">
        <f aca="false">IF(ISBLANK(AM183),"Unknown",AM183)</f>
        <v>Government Convoy</v>
      </c>
      <c r="AO183" s="0" t="s">
        <v>149</v>
      </c>
      <c r="AP183" s="0" t="str">
        <f aca="false">IF(ISBLANK(AO183),"Unknown",AO183)</f>
        <v>Senior </v>
      </c>
      <c r="AR183" s="5" t="n">
        <f aca="false">IF(ISBLANK(AQ183),AVERAGEIF(M183:M1182,M183,AQ183:AQ1182),AQ183)</f>
        <v>26045.4545454545</v>
      </c>
      <c r="AS183" s="0" t="n">
        <v>40000</v>
      </c>
      <c r="AT183" s="5" t="n">
        <f aca="false">IF(ISBLANK(AS183),AVERAGE(AS183:AS1182),AS183)</f>
        <v>40000</v>
      </c>
      <c r="AV183" s="0" t="str">
        <f aca="false">PROPER(IF(ISBLANK(AU183),"No",AU183))</f>
        <v>No</v>
      </c>
      <c r="AW183" s="0" t="n">
        <v>10000</v>
      </c>
      <c r="AX183" s="5" t="n">
        <f aca="false">IF(ISBLANK(AW183),0,AW183)</f>
        <v>10000</v>
      </c>
      <c r="AY183" s="0" t="s">
        <v>130</v>
      </c>
      <c r="AZ183" s="0" t="str">
        <f aca="false">UPPER(IF(ISBLANK(AY183),"NONE",AY183))</f>
        <v>LOYALTY10</v>
      </c>
      <c r="BA183" s="7" t="n">
        <v>45979</v>
      </c>
      <c r="BB183" s="7" t="n">
        <f aca="false">IF(ISBLANK(BA183),"No Follow Up Needed",BA183)</f>
        <v>45979</v>
      </c>
      <c r="BC183" s="0" t="s">
        <v>50</v>
      </c>
      <c r="BD183" s="0" t="str">
        <f aca="false">PROPER(IF(ISBLANK(BC183),"Unknown",BC183))</f>
        <v>No</v>
      </c>
      <c r="BE183" s="0" t="s">
        <v>171</v>
      </c>
      <c r="BF183" s="0" t="str">
        <f aca="false">IF(ISBLANK(BE183),"No comments",BE183)</f>
        <v>Shock absorber weakening</v>
      </c>
      <c r="BG183" s="0" t="s">
        <v>2320</v>
      </c>
      <c r="BH183" s="0" t="str">
        <f aca="false">IF(ISBLANK(BG183),"No comments",BG183)</f>
        <v>No complaints</v>
      </c>
      <c r="BI183" s="0" t="s">
        <v>63</v>
      </c>
      <c r="BJ183" s="0" t="str">
        <f aca="false">IF(ISBLANK(BI183),"Not Mentioned",BI183)</f>
        <v>Yes</v>
      </c>
      <c r="BL183" s="0" t="str">
        <f aca="false">PROPER(IF(ISBLANK(BK183),"Not Mentioned",BK183))</f>
        <v>Not Mentioned</v>
      </c>
      <c r="BM183" s="0" t="s">
        <v>50</v>
      </c>
      <c r="BN183" s="0" t="str">
        <f aca="false">PROPER(IF(ISBLANK(BM183),"Not Mentioned",BM183))</f>
        <v>No</v>
      </c>
      <c r="BO183" s="0" t="s">
        <v>64</v>
      </c>
      <c r="BP183" s="0" t="str">
        <f aca="false">IF(ISBLANK(BO183),"One-Time Plan",BO183)</f>
        <v>Gold Maintenance Plan</v>
      </c>
      <c r="BQ183" s="0" t="s">
        <v>190</v>
      </c>
      <c r="BR183" s="0" t="str">
        <f aca="false">PROPER(IF(ISBLANK(BQ183),"No",BQ183))</f>
        <v>Yes</v>
      </c>
    </row>
    <row r="184" customFormat="false" ht="15" hidden="false" customHeight="false" outlineLevel="0" collapsed="false">
      <c r="A184" s="0" t="s">
        <v>583</v>
      </c>
      <c r="B184" s="2" t="n">
        <v>45790</v>
      </c>
      <c r="C184" s="2" t="str">
        <f aca="false">TEXT(B184,"dd/mm/yyyy")</f>
        <v>13/05/2025</v>
      </c>
      <c r="D184" s="0" t="s">
        <v>163</v>
      </c>
      <c r="E184" s="0" t="n">
        <v>8073586743</v>
      </c>
      <c r="F184" s="0" t="s">
        <v>122</v>
      </c>
      <c r="G184" s="0" t="s">
        <v>2316</v>
      </c>
      <c r="H184" s="0" t="s">
        <v>543</v>
      </c>
      <c r="I184" s="0" t="s">
        <v>107</v>
      </c>
      <c r="J184" s="0" t="s">
        <v>2322</v>
      </c>
      <c r="K184" s="3" t="str">
        <f aca="false" t="array" ref="K184:K184">IFERROR(IF(J184&lt;&gt;"",J184,INDEX(J184:J1183,MATCH(1,(F184:F1183=F184)*(I184:I1183=I184)*(L184:L1183=L184)*(J184:J1183&lt;&gt;""),0))),"Not Found")</f>
        <v>Brake Failure</v>
      </c>
      <c r="L184" s="3" t="s">
        <v>47</v>
      </c>
      <c r="M184" s="0" t="str">
        <f aca="false">PROPER(L184)</f>
        <v>None</v>
      </c>
      <c r="N184" s="3" t="s">
        <v>71</v>
      </c>
      <c r="O184" s="0" t="str">
        <f aca="false" t="array" ref="O184:O184">IF(N184&lt;&gt;"",N184,_xlfn.xlookup(1,(L184:L1183=L184)*(N184:N1183&lt;&gt;""),N184:N1183,"Not Found"))</f>
        <v>Isaac Bobo</v>
      </c>
      <c r="P184" s="4" t="n">
        <v>62052</v>
      </c>
      <c r="Q184" s="0" t="s">
        <v>91</v>
      </c>
      <c r="R184" s="0" t="str">
        <f aca="false">PROPER(Q184)</f>
        <v>Pos</v>
      </c>
      <c r="S184" s="0" t="s">
        <v>63</v>
      </c>
      <c r="T184" s="0" t="n">
        <v>2</v>
      </c>
      <c r="U184" s="5" t="n">
        <f aca="false">IF(ISBLANK(T184),AVERAGE(T184:T1183),T184)</f>
        <v>2</v>
      </c>
      <c r="V184" s="0" t="n">
        <v>2.2</v>
      </c>
      <c r="W184" s="0" t="s">
        <v>111</v>
      </c>
      <c r="X184" s="0" t="str">
        <f aca="false">IF(ISBLANK(W184),"No remarks",W184)</f>
        <v>Changed all filters</v>
      </c>
      <c r="Y184" s="0" t="s">
        <v>52</v>
      </c>
      <c r="Z184" s="0" t="s">
        <v>159</v>
      </c>
      <c r="AA184" s="0" t="str">
        <f aca="false">PROPER(IF(ISBLANK(Z184),"Location Unavailable",Z184))</f>
        <v>Main Bay</v>
      </c>
      <c r="AB184" s="0" t="s">
        <v>147</v>
      </c>
      <c r="AC184" s="6" t="str">
        <f aca="false">PROPER(AB184)</f>
        <v>Instagram</v>
      </c>
      <c r="AD184" s="6" t="n">
        <v>30</v>
      </c>
      <c r="AE184" s="5" t="n">
        <f aca="false">IF(ISBLANK(AD184),AVERAGEIF(L184:L1183,L184,AD184:AD1183),AD184)</f>
        <v>30</v>
      </c>
      <c r="AF184" s="0" t="s">
        <v>76</v>
      </c>
      <c r="AG184" s="0" t="str">
        <f aca="false">PROPER(AF184)</f>
        <v>Orderd</v>
      </c>
      <c r="AH184" s="0" t="s">
        <v>148</v>
      </c>
      <c r="AI184" s="0" t="s">
        <v>98</v>
      </c>
      <c r="AJ184" s="0" t="str">
        <f aca="false">PROPER(AI184)</f>
        <v>Emergency</v>
      </c>
      <c r="AK184" s="0" t="s">
        <v>58</v>
      </c>
      <c r="AL184" s="0" t="str">
        <f aca="false">PROPER(AK184)</f>
        <v>Fleet Owner</v>
      </c>
      <c r="AN184" s="0" t="str">
        <f aca="false">IF(ISBLANK(AM184),"Unknown",AM184)</f>
        <v>Unknown</v>
      </c>
      <c r="AO184" s="0" t="s">
        <v>79</v>
      </c>
      <c r="AP184" s="0" t="str">
        <f aca="false">IF(ISBLANK(AO184),"Unknown",AO184)</f>
        <v>Specialist</v>
      </c>
      <c r="AQ184" s="0" t="n">
        <v>30000</v>
      </c>
      <c r="AR184" s="5" t="n">
        <f aca="false">IF(ISBLANK(AQ184),AVERAGEIF(M184:M1183,M184,AQ184:AQ1183),AQ184)</f>
        <v>30000</v>
      </c>
      <c r="AS184" s="0" t="n">
        <v>30000</v>
      </c>
      <c r="AT184" s="5" t="n">
        <f aca="false">IF(ISBLANK(AS184),AVERAGE(AS184:AS1183),AS184)</f>
        <v>30000</v>
      </c>
      <c r="AU184" s="0" t="s">
        <v>63</v>
      </c>
      <c r="AV184" s="0" t="str">
        <f aca="false">PROPER(IF(ISBLANK(AU184),"No",AU184))</f>
        <v>Yes</v>
      </c>
      <c r="AW184" s="0" t="n">
        <v>5000</v>
      </c>
      <c r="AX184" s="5" t="n">
        <f aca="false">IF(ISBLANK(AW184),0,AW184)</f>
        <v>5000</v>
      </c>
      <c r="AY184" s="0" t="s">
        <v>60</v>
      </c>
      <c r="AZ184" s="0" t="str">
        <f aca="false">UPPER(IF(ISBLANK(AY184),"NONE",AY184))</f>
        <v>NONE</v>
      </c>
      <c r="BA184" s="7" t="s">
        <v>431</v>
      </c>
      <c r="BB184" s="7" t="str">
        <f aca="false">IF(ISBLANK(BA184),"No Follow Up Needed",BA184)</f>
        <v>20/09/2025</v>
      </c>
      <c r="BD184" s="0" t="str">
        <f aca="false">PROPER(IF(ISBLANK(BC184),"Unknown",BC184))</f>
        <v>Unknown</v>
      </c>
      <c r="BE184" s="0" t="s">
        <v>116</v>
      </c>
      <c r="BF184" s="0" t="str">
        <f aca="false">IF(ISBLANK(BE184),"No comments",BE184)</f>
        <v>Needs tire alignment</v>
      </c>
      <c r="BH184" s="0" t="str">
        <f aca="false">IF(ISBLANK(BG184),"No comments",BG184)</f>
        <v>No comments</v>
      </c>
      <c r="BI184" s="0" t="s">
        <v>50</v>
      </c>
      <c r="BJ184" s="0" t="str">
        <f aca="false">IF(ISBLANK(BI184),"Not Mentioned",BI184)</f>
        <v>No</v>
      </c>
      <c r="BK184" s="0" t="s">
        <v>50</v>
      </c>
      <c r="BL184" s="0" t="str">
        <f aca="false">PROPER(IF(ISBLANK(BK184),"Not Mentioned",BK184))</f>
        <v>No</v>
      </c>
      <c r="BN184" s="0" t="str">
        <f aca="false">PROPER(IF(ISBLANK(BM184),"Not Mentioned",BM184))</f>
        <v>Not Mentioned</v>
      </c>
      <c r="BO184" s="0" t="s">
        <v>2321</v>
      </c>
      <c r="BP184" s="0" t="str">
        <f aca="false">IF(ISBLANK(BO184),"One-Time Plan",BO184)</f>
        <v>One-Time Plan</v>
      </c>
      <c r="BQ184" s="0" t="s">
        <v>190</v>
      </c>
      <c r="BR184" s="0" t="str">
        <f aca="false">PROPER(IF(ISBLANK(BQ184),"No",BQ184))</f>
        <v>Yes</v>
      </c>
    </row>
    <row r="185" customFormat="false" ht="15" hidden="false" customHeight="false" outlineLevel="0" collapsed="false">
      <c r="A185" s="0" t="s">
        <v>584</v>
      </c>
      <c r="B185" s="2" t="n">
        <v>45903</v>
      </c>
      <c r="C185" s="2" t="str">
        <f aca="false">TEXT(B185,"dd/mm/yyyy")</f>
        <v>03/09/2025</v>
      </c>
      <c r="D185" s="0" t="s">
        <v>42</v>
      </c>
      <c r="E185" s="0" t="n">
        <v>8046015375</v>
      </c>
      <c r="F185" s="0" t="s">
        <v>139</v>
      </c>
      <c r="G185" s="0" t="s">
        <v>2323</v>
      </c>
      <c r="H185" s="0" t="s">
        <v>585</v>
      </c>
      <c r="I185" s="0" t="s">
        <v>87</v>
      </c>
      <c r="J185" s="0" t="s">
        <v>87</v>
      </c>
      <c r="K185" s="3" t="str">
        <f aca="false" t="array" ref="K185:K185">IFERROR(IF(J185&lt;&gt;"",J185,INDEX(J185:J1184,MATCH(1,(F185:F1184=F185)*(I185:I1184=I185)*(L185:L1184=L185)*(J185:J1184&lt;&gt;""),0))),"Not Found")</f>
        <v>Oil Change</v>
      </c>
      <c r="L185" s="3" t="s">
        <v>89</v>
      </c>
      <c r="M185" s="0" t="str">
        <f aca="false">PROPER(L185)</f>
        <v>Shock Absorbers</v>
      </c>
      <c r="N185" s="3" t="s">
        <v>109</v>
      </c>
      <c r="O185" s="0" t="str">
        <f aca="false" t="array" ref="O185:O185">IF(N185&lt;&gt;"",N185,_xlfn.xlookup(1,(L185:L1184=L185)*(N185:N1184&lt;&gt;""),N185:N1184,"Not Found"))</f>
        <v>Tijani</v>
      </c>
      <c r="P185" s="4" t="n">
        <v>105578</v>
      </c>
      <c r="Q185" s="0" t="s">
        <v>49</v>
      </c>
      <c r="R185" s="0" t="str">
        <f aca="false">PROPER(Q185)</f>
        <v>Transfer</v>
      </c>
      <c r="S185" s="0" t="s">
        <v>50</v>
      </c>
      <c r="T185" s="0" t="n">
        <v>2</v>
      </c>
      <c r="U185" s="5" t="n">
        <f aca="false">IF(ISBLANK(T185),AVERAGE(T185:T1184),T185)</f>
        <v>2</v>
      </c>
      <c r="V185" s="0" t="n">
        <v>2.7</v>
      </c>
      <c r="W185" s="0" t="s">
        <v>125</v>
      </c>
      <c r="X185" s="0" t="str">
        <f aca="false">IF(ISBLANK(W185),"No remarks",W185)</f>
        <v>Customer waited</v>
      </c>
      <c r="Y185" s="0" t="s">
        <v>52</v>
      </c>
      <c r="AA185" s="0" t="str">
        <f aca="false">PROPER(IF(ISBLANK(Z185),"Location Unavailable",Z185))</f>
        <v>Location Unavailable</v>
      </c>
      <c r="AB185" s="0" t="s">
        <v>75</v>
      </c>
      <c r="AC185" s="6" t="str">
        <f aca="false">PROPER(AB185)</f>
        <v>Mechanik Referal</v>
      </c>
      <c r="AD185" s="6" t="n">
        <v>45</v>
      </c>
      <c r="AE185" s="5" t="n">
        <f aca="false">IF(ISBLANK(AD185),AVERAGEIF(L185:L1184,L185,AD185:AD1184),AD185)</f>
        <v>45</v>
      </c>
      <c r="AF185" s="0" t="s">
        <v>76</v>
      </c>
      <c r="AG185" s="0" t="str">
        <f aca="false">PROPER(AF185)</f>
        <v>Orderd</v>
      </c>
      <c r="AH185" s="0" t="s">
        <v>155</v>
      </c>
      <c r="AI185" s="0" t="s">
        <v>98</v>
      </c>
      <c r="AJ185" s="0" t="str">
        <f aca="false">PROPER(AI185)</f>
        <v>Emergency</v>
      </c>
      <c r="AK185" s="0" t="s">
        <v>58</v>
      </c>
      <c r="AL185" s="0" t="str">
        <f aca="false">PROPER(AK185)</f>
        <v>Fleet Owner</v>
      </c>
      <c r="AM185" s="0" t="s">
        <v>59</v>
      </c>
      <c r="AN185" s="0" t="str">
        <f aca="false">IF(ISBLANK(AM185),"Unknown",AM185)</f>
        <v>Bolt Driver</v>
      </c>
      <c r="AP185" s="0" t="str">
        <f aca="false">IF(ISBLANK(AO185),"Unknown",AO185)</f>
        <v>Unknown</v>
      </c>
      <c r="AQ185" s="0" t="n">
        <v>20000</v>
      </c>
      <c r="AR185" s="5" t="n">
        <f aca="false">IF(ISBLANK(AQ185),AVERAGEIF(M185:M1184,M185,AQ185:AQ1184),AQ185)</f>
        <v>20000</v>
      </c>
      <c r="AS185" s="0" t="n">
        <v>20000</v>
      </c>
      <c r="AT185" s="5" t="n">
        <f aca="false">IF(ISBLANK(AS185),AVERAGE(AS185:AS1184),AS185)</f>
        <v>20000</v>
      </c>
      <c r="AV185" s="0" t="str">
        <f aca="false">PROPER(IF(ISBLANK(AU185),"No",AU185))</f>
        <v>No</v>
      </c>
      <c r="AW185" s="0" t="n">
        <v>0</v>
      </c>
      <c r="AX185" s="5" t="n">
        <f aca="false">IF(ISBLANK(AW185),0,AW185)</f>
        <v>0</v>
      </c>
      <c r="AY185" s="0" t="s">
        <v>80</v>
      </c>
      <c r="AZ185" s="0" t="str">
        <f aca="false">UPPER(IF(ISBLANK(AY185),"NONE",AY185))</f>
        <v>PROMO10</v>
      </c>
      <c r="BB185" s="7" t="str">
        <f aca="false">IF(ISBLANK(BA185),"No Follow Up Needed",BA185)</f>
        <v>No Follow Up Needed</v>
      </c>
      <c r="BC185" s="0" t="s">
        <v>63</v>
      </c>
      <c r="BD185" s="0" t="str">
        <f aca="false">PROPER(IF(ISBLANK(BC185),"Unknown",BC185))</f>
        <v>Yes</v>
      </c>
      <c r="BE185" s="0" t="s">
        <v>171</v>
      </c>
      <c r="BF185" s="0" t="str">
        <f aca="false">IF(ISBLANK(BE185),"No comments",BE185)</f>
        <v>Shock absorber weakening</v>
      </c>
      <c r="BG185" s="0" t="s">
        <v>2320</v>
      </c>
      <c r="BH185" s="0" t="str">
        <f aca="false">IF(ISBLANK(BG185),"No comments",BG185)</f>
        <v>No complaints</v>
      </c>
      <c r="BI185" s="0" t="s">
        <v>50</v>
      </c>
      <c r="BJ185" s="0" t="str">
        <f aca="false">IF(ISBLANK(BI185),"Not Mentioned",BI185)</f>
        <v>No</v>
      </c>
      <c r="BK185" s="0" t="s">
        <v>50</v>
      </c>
      <c r="BL185" s="0" t="str">
        <f aca="false">PROPER(IF(ISBLANK(BK185),"Not Mentioned",BK185))</f>
        <v>No</v>
      </c>
      <c r="BM185" s="0" t="s">
        <v>63</v>
      </c>
      <c r="BN185" s="0" t="str">
        <f aca="false">PROPER(IF(ISBLANK(BM185),"Not Mentioned",BM185))</f>
        <v>Yes</v>
      </c>
      <c r="BO185" s="0" t="s">
        <v>2321</v>
      </c>
      <c r="BP185" s="0" t="str">
        <f aca="false">IF(ISBLANK(BO185),"One-Time Plan",BO185)</f>
        <v>One-Time Plan</v>
      </c>
      <c r="BQ185" s="0" t="s">
        <v>50</v>
      </c>
      <c r="BR185" s="0" t="str">
        <f aca="false">PROPER(IF(ISBLANK(BQ185),"No",BQ185))</f>
        <v>No</v>
      </c>
    </row>
    <row r="186" customFormat="false" ht="15" hidden="false" customHeight="false" outlineLevel="0" collapsed="false">
      <c r="A186" s="0" t="s">
        <v>586</v>
      </c>
      <c r="B186" s="2" t="n">
        <v>45681</v>
      </c>
      <c r="C186" s="2" t="str">
        <f aca="false">TEXT(B186,"dd/mm/yyyy")</f>
        <v>24/01/2025</v>
      </c>
      <c r="D186" s="0" t="s">
        <v>163</v>
      </c>
      <c r="E186" s="0" t="n">
        <v>8088005556</v>
      </c>
      <c r="F186" s="0" t="s">
        <v>85</v>
      </c>
      <c r="G186" s="0" t="s">
        <v>2319</v>
      </c>
      <c r="H186" s="0" t="s">
        <v>587</v>
      </c>
      <c r="I186" s="0" t="s">
        <v>45</v>
      </c>
      <c r="J186" s="0" t="s">
        <v>2325</v>
      </c>
      <c r="K186" s="3" t="str">
        <f aca="false" t="array" ref="K186:K186">IFERROR(IF(J186&lt;&gt;"",J186,INDEX(J186:J1185,MATCH(1,(F186:F1185=F186)*(I186:I1185=I186)*(L186:L1185=L186)*(J186:J1185&lt;&gt;""),0))),"Not Found")</f>
        <v>Engine Knocking</v>
      </c>
      <c r="L186" s="3" t="s">
        <v>108</v>
      </c>
      <c r="M186" s="0" t="str">
        <f aca="false">PROPER(L186)</f>
        <v>Timing Belt</v>
      </c>
      <c r="N186" s="3" t="s">
        <v>48</v>
      </c>
      <c r="O186" s="0" t="str">
        <f aca="false" t="array" ref="O186:O186">IF(N186&lt;&gt;"",N186,_xlfn.xlookup(1,(L186:L1185=L186)*(N186:N1185&lt;&gt;""),N186:N1185,"Not Found"))</f>
        <v>Uche</v>
      </c>
      <c r="P186" s="4" t="n">
        <v>113623</v>
      </c>
      <c r="Q186" s="0" t="s">
        <v>166</v>
      </c>
      <c r="R186" s="0" t="str">
        <f aca="false">PROPER(Q186)</f>
        <v>Transfer</v>
      </c>
      <c r="S186" s="0" t="s">
        <v>50</v>
      </c>
      <c r="T186" s="0" t="n">
        <v>4</v>
      </c>
      <c r="U186" s="5" t="n">
        <f aca="false">IF(ISBLANK(T186),AVERAGE(T186:T1185),T186)</f>
        <v>4</v>
      </c>
      <c r="V186" s="0" t="n">
        <v>2.6</v>
      </c>
      <c r="X186" s="0" t="str">
        <f aca="false">IF(ISBLANK(W186),"No remarks",W186)</f>
        <v>No remarks</v>
      </c>
      <c r="Y186" s="0" t="s">
        <v>73</v>
      </c>
      <c r="Z186" s="0" t="s">
        <v>136</v>
      </c>
      <c r="AA186" s="0" t="str">
        <f aca="false">PROPER(IF(ISBLANK(Z186),"Location Unavailable",Z186))</f>
        <v>Vip Section</v>
      </c>
      <c r="AB186" s="0" t="s">
        <v>167</v>
      </c>
      <c r="AC186" s="6" t="str">
        <f aca="false">PROPER(AB186)</f>
        <v>Word Of Mouth</v>
      </c>
      <c r="AD186" s="6" t="n">
        <v>45</v>
      </c>
      <c r="AE186" s="5" t="n">
        <f aca="false">IF(ISBLANK(AD186),AVERAGEIF(L186:L1185,L186,AD186:AD1185),AD186)</f>
        <v>45</v>
      </c>
      <c r="AF186" s="0" t="s">
        <v>76</v>
      </c>
      <c r="AG186" s="0" t="str">
        <f aca="false">PROPER(AF186)</f>
        <v>Orderd</v>
      </c>
      <c r="AH186" s="0" t="s">
        <v>155</v>
      </c>
      <c r="AI186" s="0" t="s">
        <v>113</v>
      </c>
      <c r="AJ186" s="0" t="str">
        <f aca="false">PROPER(AI186)</f>
        <v>Normal</v>
      </c>
      <c r="AK186" s="0" t="s">
        <v>196</v>
      </c>
      <c r="AL186" s="0" t="str">
        <f aca="false">PROPER(AK186)</f>
        <v>First Time</v>
      </c>
      <c r="AM186" s="0" t="s">
        <v>2324</v>
      </c>
      <c r="AN186" s="0" t="str">
        <f aca="false">IF(ISBLANK(AM186),"Unknown",AM186)</f>
        <v>Logistics Convoy</v>
      </c>
      <c r="AO186" s="0" t="s">
        <v>149</v>
      </c>
      <c r="AP186" s="0" t="str">
        <f aca="false">IF(ISBLANK(AO186),"Unknown",AO186)</f>
        <v>Senior </v>
      </c>
      <c r="AR186" s="5" t="n">
        <f aca="false">IF(ISBLANK(AQ186),AVERAGEIF(M186:M1185,M186,AQ186:AQ1185),AQ186)</f>
        <v>27620.9677419355</v>
      </c>
      <c r="AT186" s="5" t="n">
        <f aca="false">IF(ISBLANK(AS186),AVERAGE(AS186:AS1185),AS186)</f>
        <v>31408.3457526081</v>
      </c>
      <c r="AU186" s="0" t="s">
        <v>82</v>
      </c>
      <c r="AV186" s="0" t="str">
        <f aca="false">PROPER(IF(ISBLANK(AU186),"No",AU186))</f>
        <v>Yes</v>
      </c>
      <c r="AX186" s="5" t="n">
        <f aca="false">IF(ISBLANK(AW186),0,AW186)</f>
        <v>0</v>
      </c>
      <c r="AY186" s="0" t="s">
        <v>184</v>
      </c>
      <c r="AZ186" s="0" t="str">
        <f aca="false">UPPER(IF(ISBLANK(AY186),"NONE",AY186))</f>
        <v>N/A</v>
      </c>
      <c r="BA186" s="7" t="s">
        <v>588</v>
      </c>
      <c r="BB186" s="7" t="str">
        <f aca="false">IF(ISBLANK(BA186),"No Follow Up Needed",BA186)</f>
        <v>23/07/2025</v>
      </c>
      <c r="BC186" s="0" t="s">
        <v>61</v>
      </c>
      <c r="BD186" s="0" t="str">
        <f aca="false">PROPER(IF(ISBLANK(BC186),"Unknown",BC186))</f>
        <v>No</v>
      </c>
      <c r="BF186" s="0" t="str">
        <f aca="false">IF(ISBLANK(BE186),"No comments",BE186)</f>
        <v>No comments</v>
      </c>
      <c r="BG186" s="0" t="s">
        <v>117</v>
      </c>
      <c r="BH186" s="0" t="str">
        <f aca="false">IF(ISBLANK(BG186),"No comments",BG186)</f>
        <v>Prefers morning</v>
      </c>
      <c r="BI186" s="0" t="s">
        <v>63</v>
      </c>
      <c r="BJ186" s="0" t="str">
        <f aca="false">IF(ISBLANK(BI186),"Not Mentioned",BI186)</f>
        <v>Yes</v>
      </c>
      <c r="BK186" s="0" t="s">
        <v>61</v>
      </c>
      <c r="BL186" s="0" t="str">
        <f aca="false">PROPER(IF(ISBLANK(BK186),"Not Mentioned",BK186))</f>
        <v>No</v>
      </c>
      <c r="BN186" s="0" t="str">
        <f aca="false">PROPER(IF(ISBLANK(BM186),"Not Mentioned",BM186))</f>
        <v>Not Mentioned</v>
      </c>
      <c r="BO186" s="0" t="s">
        <v>2321</v>
      </c>
      <c r="BP186" s="0" t="str">
        <f aca="false">IF(ISBLANK(BO186),"One-Time Plan",BO186)</f>
        <v>One-Time Plan</v>
      </c>
      <c r="BQ186" s="0" t="s">
        <v>50</v>
      </c>
      <c r="BR186" s="0" t="str">
        <f aca="false">PROPER(IF(ISBLANK(BQ186),"No",BQ186))</f>
        <v>No</v>
      </c>
    </row>
    <row r="187" customFormat="false" ht="15" hidden="false" customHeight="false" outlineLevel="0" collapsed="false">
      <c r="A187" s="0" t="s">
        <v>590</v>
      </c>
      <c r="B187" s="2" t="s">
        <v>589</v>
      </c>
      <c r="C187" s="2" t="str">
        <f aca="false">TEXT(B187,"dd/mm/yyyy")</f>
        <v>15/02/2025</v>
      </c>
      <c r="D187" s="0" t="s">
        <v>42</v>
      </c>
      <c r="E187" s="0" t="n">
        <v>8063814070</v>
      </c>
      <c r="F187" s="0" t="s">
        <v>85</v>
      </c>
      <c r="G187" s="0" t="s">
        <v>2319</v>
      </c>
      <c r="H187" s="0" t="s">
        <v>591</v>
      </c>
      <c r="I187" s="0" t="s">
        <v>134</v>
      </c>
      <c r="J187" s="0" t="s">
        <v>2317</v>
      </c>
      <c r="K187" s="3" t="str">
        <f aca="false" t="array" ref="K187:K187">IFERROR(IF(J187&lt;&gt;"",J187,INDEX(J187:J1186,MATCH(1,(F187:F1186=F187)*(I187:I1186=I187)*(L187:L1186=L187)*(J187:J1186&lt;&gt;""),0))),"Not Found")</f>
        <v>Suspension Noise</v>
      </c>
      <c r="L187" s="3" t="s">
        <v>47</v>
      </c>
      <c r="M187" s="0" t="str">
        <f aca="false">PROPER(L187)</f>
        <v>None</v>
      </c>
      <c r="O187" s="0" t="e">
        <f aca="false" t="array" ref="O187:O187">IF(N187&lt;&gt;"",N187,_xlfn.xlookup(1,(L187:L1186=L187)*(N187:N1186&lt;&gt;""),N187:N1186,"Not Found"))</f>
        <v>#NAME?</v>
      </c>
      <c r="P187" s="4" t="n">
        <v>105172</v>
      </c>
      <c r="Q187" s="0" t="s">
        <v>124</v>
      </c>
      <c r="R187" s="0" t="str">
        <f aca="false">PROPER(Q187)</f>
        <v>Cash</v>
      </c>
      <c r="S187" s="0" t="s">
        <v>63</v>
      </c>
      <c r="T187" s="0" t="n">
        <v>2</v>
      </c>
      <c r="U187" s="5" t="n">
        <f aca="false">IF(ISBLANK(T187),AVERAGE(T187:T1186),T187)</f>
        <v>2</v>
      </c>
      <c r="V187" s="0" t="n">
        <v>4.4</v>
      </c>
      <c r="X187" s="0" t="str">
        <f aca="false">IF(ISBLANK(W187),"No remarks",W187)</f>
        <v>No remarks</v>
      </c>
      <c r="Y187" s="0" t="s">
        <v>73</v>
      </c>
      <c r="Z187" s="0" t="s">
        <v>53</v>
      </c>
      <c r="AA187" s="0" t="str">
        <f aca="false">PROPER(IF(ISBLANK(Z187),"Location Unavailable",Z187))</f>
        <v>Main Bay</v>
      </c>
      <c r="AB187" s="0" t="s">
        <v>95</v>
      </c>
      <c r="AC187" s="6" t="str">
        <f aca="false">PROPER(AB187)</f>
        <v>Road Sign</v>
      </c>
      <c r="AD187" s="6" t="n">
        <v>60</v>
      </c>
      <c r="AE187" s="5" t="n">
        <f aca="false">IF(ISBLANK(AD187),AVERAGEIF(L187:L1186,L187,AD187:AD1186),AD187)</f>
        <v>60</v>
      </c>
      <c r="AF187" s="0" t="s">
        <v>76</v>
      </c>
      <c r="AG187" s="0" t="str">
        <f aca="false">PROPER(AF187)</f>
        <v>Orderd</v>
      </c>
      <c r="AH187" s="0" t="s">
        <v>56</v>
      </c>
      <c r="AI187" s="0" t="s">
        <v>98</v>
      </c>
      <c r="AJ187" s="0" t="str">
        <f aca="false">PROPER(AI187)</f>
        <v>Emergency</v>
      </c>
      <c r="AK187" s="0" t="s">
        <v>58</v>
      </c>
      <c r="AL187" s="0" t="str">
        <f aca="false">PROPER(AK187)</f>
        <v>Fleet Owner</v>
      </c>
      <c r="AM187" s="0" t="s">
        <v>2326</v>
      </c>
      <c r="AN187" s="0" t="str">
        <f aca="false">IF(ISBLANK(AM187),"Unknown",AM187)</f>
        <v>Government Convoy</v>
      </c>
      <c r="AO187" s="0" t="s">
        <v>161</v>
      </c>
      <c r="AP187" s="0" t="str">
        <f aca="false">IF(ISBLANK(AO187),"Unknown",AO187)</f>
        <v>Apprentice</v>
      </c>
      <c r="AQ187" s="0" t="n">
        <v>15000</v>
      </c>
      <c r="AR187" s="5" t="n">
        <f aca="false">IF(ISBLANK(AQ187),AVERAGEIF(M187:M1186,M187,AQ187:AQ1186),AQ187)</f>
        <v>15000</v>
      </c>
      <c r="AS187" s="0" t="n">
        <v>35000</v>
      </c>
      <c r="AT187" s="5" t="n">
        <f aca="false">IF(ISBLANK(AS187),AVERAGE(AS187:AS1186),AS187)</f>
        <v>35000</v>
      </c>
      <c r="AU187" s="0" t="s">
        <v>50</v>
      </c>
      <c r="AV187" s="0" t="str">
        <f aca="false">PROPER(IF(ISBLANK(AU187),"No",AU187))</f>
        <v>No</v>
      </c>
      <c r="AW187" s="0" t="n">
        <v>0</v>
      </c>
      <c r="AX187" s="5" t="n">
        <f aca="false">IF(ISBLANK(AW187),0,AW187)</f>
        <v>0</v>
      </c>
      <c r="AZ187" s="0" t="str">
        <f aca="false">UPPER(IF(ISBLANK(AY187),"NONE",AY187))</f>
        <v>NONE</v>
      </c>
      <c r="BB187" s="7" t="str">
        <f aca="false">IF(ISBLANK(BA187),"No Follow Up Needed",BA187)</f>
        <v>No Follow Up Needed</v>
      </c>
      <c r="BC187" s="0" t="s">
        <v>50</v>
      </c>
      <c r="BD187" s="0" t="str">
        <f aca="false">PROPER(IF(ISBLANK(BC187),"Unknown",BC187))</f>
        <v>No</v>
      </c>
      <c r="BE187" s="0" t="s">
        <v>171</v>
      </c>
      <c r="BF187" s="0" t="str">
        <f aca="false">IF(ISBLANK(BE187),"No comments",BE187)</f>
        <v>Shock absorber weakening</v>
      </c>
      <c r="BH187" s="0" t="str">
        <f aca="false">IF(ISBLANK(BG187),"No comments",BG187)</f>
        <v>No comments</v>
      </c>
      <c r="BI187" s="0" t="s">
        <v>50</v>
      </c>
      <c r="BJ187" s="0" t="str">
        <f aca="false">IF(ISBLANK(BI187),"Not Mentioned",BI187)</f>
        <v>No</v>
      </c>
      <c r="BK187" s="0" t="s">
        <v>50</v>
      </c>
      <c r="BL187" s="0" t="str">
        <f aca="false">PROPER(IF(ISBLANK(BK187),"Not Mentioned",BK187))</f>
        <v>No</v>
      </c>
      <c r="BM187" s="0" t="s">
        <v>63</v>
      </c>
      <c r="BN187" s="0" t="str">
        <f aca="false">PROPER(IF(ISBLANK(BM187),"Not Mentioned",BM187))</f>
        <v>Yes</v>
      </c>
      <c r="BO187" s="0" t="s">
        <v>2318</v>
      </c>
      <c r="BP187" s="0" t="str">
        <f aca="false">IF(ISBLANK(BO187),"One-Time Plan",BO187)</f>
        <v>Gold</v>
      </c>
      <c r="BQ187" s="0" t="s">
        <v>63</v>
      </c>
      <c r="BR187" s="0" t="str">
        <f aca="false">PROPER(IF(ISBLANK(BQ187),"No",BQ187))</f>
        <v>Yes</v>
      </c>
    </row>
    <row r="188" customFormat="false" ht="15" hidden="false" customHeight="false" outlineLevel="0" collapsed="false">
      <c r="A188" s="0" t="s">
        <v>593</v>
      </c>
      <c r="B188" s="2" t="s">
        <v>592</v>
      </c>
      <c r="C188" s="2" t="str">
        <f aca="false">TEXT(B188,"dd/mm/yyyy")</f>
        <v>25/02/2025</v>
      </c>
      <c r="D188" s="0" t="s">
        <v>42</v>
      </c>
      <c r="E188" s="0" t="n">
        <v>8095645083</v>
      </c>
      <c r="F188" s="0" t="s">
        <v>85</v>
      </c>
      <c r="G188" s="0" t="s">
        <v>2319</v>
      </c>
      <c r="H188" s="0" t="s">
        <v>594</v>
      </c>
      <c r="I188" s="0" t="s">
        <v>45</v>
      </c>
      <c r="J188" s="0" t="s">
        <v>2322</v>
      </c>
      <c r="K188" s="3" t="str">
        <f aca="false" t="array" ref="K188:K188">IFERROR(IF(J188&lt;&gt;"",J188,INDEX(J188:J1187,MATCH(1,(F188:F1187=F188)*(I188:I1187=I188)*(L188:L1187=L188)*(J188:J1187&lt;&gt;""),0))),"Not Found")</f>
        <v>Brake Failure</v>
      </c>
      <c r="L188" s="3" t="s">
        <v>142</v>
      </c>
      <c r="M188" s="0" t="str">
        <f aca="false">PROPER(L188)</f>
        <v>Oil Filter, Brake Pads</v>
      </c>
      <c r="N188" s="3" t="s">
        <v>71</v>
      </c>
      <c r="O188" s="0" t="str">
        <f aca="false" t="array" ref="O188:O188">IF(N188&lt;&gt;"",N188,_xlfn.xlookup(1,(L188:L1187=L188)*(N188:N1187&lt;&gt;""),N188:N1187,"Not Found"))</f>
        <v>Isaac Bobo</v>
      </c>
      <c r="P188" s="4" t="n">
        <v>17115</v>
      </c>
      <c r="Q188" s="0" t="s">
        <v>166</v>
      </c>
      <c r="R188" s="0" t="str">
        <f aca="false">PROPER(Q188)</f>
        <v>Transfer</v>
      </c>
      <c r="S188" s="0" t="s">
        <v>63</v>
      </c>
      <c r="U188" s="5" t="n">
        <f aca="false">IF(ISBLANK(T188),AVERAGE(T188:T1187),T188)</f>
        <v>2.99851632047478</v>
      </c>
      <c r="V188" s="0" t="n">
        <v>3.8</v>
      </c>
      <c r="W188" s="0" t="s">
        <v>92</v>
      </c>
      <c r="X188" s="0" t="str">
        <f aca="false">IF(ISBLANK(W188),"No remarks",W188)</f>
        <v>Urgent service</v>
      </c>
      <c r="Y188" s="0" t="s">
        <v>52</v>
      </c>
      <c r="Z188" s="0" t="s">
        <v>94</v>
      </c>
      <c r="AA188" s="0" t="str">
        <f aca="false">PROPER(IF(ISBLANK(Z188),"Location Unavailable",Z188))</f>
        <v>Vip Section</v>
      </c>
      <c r="AB188" s="0" t="s">
        <v>147</v>
      </c>
      <c r="AC188" s="6" t="str">
        <f aca="false">PROPER(AB188)</f>
        <v>Instagram</v>
      </c>
      <c r="AD188" s="6" t="n">
        <v>60</v>
      </c>
      <c r="AE188" s="5" t="n">
        <f aca="false">IF(ISBLANK(AD188),AVERAGEIF(L188:L1187,L188,AD188:AD1187),AD188)</f>
        <v>60</v>
      </c>
      <c r="AF188" s="0" t="s">
        <v>112</v>
      </c>
      <c r="AG188" s="0" t="str">
        <f aca="false">PROPER(AF188)</f>
        <v>Unavailable</v>
      </c>
      <c r="AH188" s="0" t="s">
        <v>155</v>
      </c>
      <c r="AI188" s="0" t="s">
        <v>113</v>
      </c>
      <c r="AJ188" s="0" t="str">
        <f aca="false">PROPER(AI188)</f>
        <v>Normal</v>
      </c>
      <c r="AK188" s="0" t="s">
        <v>99</v>
      </c>
      <c r="AL188" s="0" t="str">
        <f aca="false">PROPER(AK188)</f>
        <v>Uber Driver</v>
      </c>
      <c r="AN188" s="0" t="str">
        <f aca="false">IF(ISBLANK(AM188),"Unknown",AM188)</f>
        <v>Unknown</v>
      </c>
      <c r="AO188" s="0" t="s">
        <v>161</v>
      </c>
      <c r="AP188" s="0" t="str">
        <f aca="false">IF(ISBLANK(AO188),"Unknown",AO188)</f>
        <v>Apprentice</v>
      </c>
      <c r="AQ188" s="0" t="n">
        <v>15000</v>
      </c>
      <c r="AR188" s="5" t="n">
        <f aca="false">IF(ISBLANK(AQ188),AVERAGEIF(M188:M1187,M188,AQ188:AQ1187),AQ188)</f>
        <v>15000</v>
      </c>
      <c r="AS188" s="0" t="n">
        <v>35000</v>
      </c>
      <c r="AT188" s="5" t="n">
        <f aca="false">IF(ISBLANK(AS188),AVERAGE(AS188:AS1187),AS188)</f>
        <v>35000</v>
      </c>
      <c r="AU188" s="0" t="s">
        <v>50</v>
      </c>
      <c r="AV188" s="0" t="str">
        <f aca="false">PROPER(IF(ISBLANK(AU188),"No",AU188))</f>
        <v>No</v>
      </c>
      <c r="AW188" s="0" t="n">
        <v>10000</v>
      </c>
      <c r="AX188" s="5" t="n">
        <f aca="false">IF(ISBLANK(AW188),0,AW188)</f>
        <v>10000</v>
      </c>
      <c r="AY188" s="0" t="s">
        <v>60</v>
      </c>
      <c r="AZ188" s="0" t="str">
        <f aca="false">UPPER(IF(ISBLANK(AY188),"NONE",AY188))</f>
        <v>NONE</v>
      </c>
      <c r="BA188" s="7" t="n">
        <v>45849</v>
      </c>
      <c r="BB188" s="7" t="n">
        <f aca="false">IF(ISBLANK(BA188),"No Follow Up Needed",BA188)</f>
        <v>45849</v>
      </c>
      <c r="BC188" s="0" t="s">
        <v>61</v>
      </c>
      <c r="BD188" s="0" t="str">
        <f aca="false">PROPER(IF(ISBLANK(BC188),"Unknown",BC188))</f>
        <v>No</v>
      </c>
      <c r="BF188" s="0" t="str">
        <f aca="false">IF(ISBLANK(BE188),"No comments",BE188)</f>
        <v>No comments</v>
      </c>
      <c r="BG188" s="0" t="s">
        <v>172</v>
      </c>
      <c r="BH188" s="0" t="str">
        <f aca="false">IF(ISBLANK(BG188),"No comments",BG188)</f>
        <v>Always late</v>
      </c>
      <c r="BI188" s="0" t="s">
        <v>63</v>
      </c>
      <c r="BJ188" s="0" t="str">
        <f aca="false">IF(ISBLANK(BI188),"Not Mentioned",BI188)</f>
        <v>Yes</v>
      </c>
      <c r="BL188" s="0" t="str">
        <f aca="false">PROPER(IF(ISBLANK(BK188),"Not Mentioned",BK188))</f>
        <v>Not Mentioned</v>
      </c>
      <c r="BM188" s="0" t="s">
        <v>63</v>
      </c>
      <c r="BN188" s="0" t="str">
        <f aca="false">PROPER(IF(ISBLANK(BM188),"Not Mentioned",BM188))</f>
        <v>Yes</v>
      </c>
      <c r="BO188" s="0" t="s">
        <v>64</v>
      </c>
      <c r="BP188" s="0" t="str">
        <f aca="false">IF(ISBLANK(BO188),"One-Time Plan",BO188)</f>
        <v>Gold Maintenance Plan</v>
      </c>
      <c r="BQ188" s="0" t="s">
        <v>190</v>
      </c>
      <c r="BR188" s="0" t="str">
        <f aca="false">PROPER(IF(ISBLANK(BQ188),"No",BQ188))</f>
        <v>Yes</v>
      </c>
    </row>
    <row r="189" customFormat="false" ht="15" hidden="false" customHeight="false" outlineLevel="0" collapsed="false">
      <c r="A189" s="0" t="s">
        <v>595</v>
      </c>
      <c r="B189" s="2" t="n">
        <v>45785</v>
      </c>
      <c r="C189" s="2" t="str">
        <f aca="false">TEXT(B189,"dd/mm/yyyy")</f>
        <v>08/05/2025</v>
      </c>
      <c r="D189" s="0" t="s">
        <v>121</v>
      </c>
      <c r="E189" s="0" t="n">
        <v>8088380820</v>
      </c>
      <c r="F189" s="0" t="s">
        <v>139</v>
      </c>
      <c r="G189" s="0" t="s">
        <v>2323</v>
      </c>
      <c r="H189" s="0" t="s">
        <v>596</v>
      </c>
      <c r="I189" s="0" t="s">
        <v>69</v>
      </c>
      <c r="J189" s="0" t="s">
        <v>2325</v>
      </c>
      <c r="K189" s="3" t="str">
        <f aca="false" t="array" ref="K189:K189">IFERROR(IF(J189&lt;&gt;"",J189,INDEX(J189:J1188,MATCH(1,(F189:F1188=F189)*(I189:I1188=I189)*(L189:L1188=L189)*(J189:J1188&lt;&gt;""),0))),"Not Found")</f>
        <v>Engine Knocking</v>
      </c>
      <c r="L189" s="3" t="s">
        <v>189</v>
      </c>
      <c r="M189" s="0" t="str">
        <f aca="false">PROPER(L189)</f>
        <v>Battery</v>
      </c>
      <c r="O189" s="0" t="e">
        <f aca="false" t="array" ref="O189:O189">IF(N189&lt;&gt;"",N189,_xlfn.xlookup(1,(L189:L1188=L189)*(N189:N1188&lt;&gt;""),N189:N1188,"Not Found"))</f>
        <v>#NAME?</v>
      </c>
      <c r="P189" s="4" t="n">
        <v>81824</v>
      </c>
      <c r="Q189" s="0" t="s">
        <v>110</v>
      </c>
      <c r="R189" s="0" t="str">
        <f aca="false">PROPER(Q189)</f>
        <v>Cash</v>
      </c>
      <c r="S189" s="0" t="s">
        <v>50</v>
      </c>
      <c r="U189" s="5" t="n">
        <f aca="false">IF(ISBLANK(T189),AVERAGE(T189:T1188),T189)</f>
        <v>2.99851632047478</v>
      </c>
      <c r="V189" s="0" t="n">
        <v>1.9</v>
      </c>
      <c r="W189" s="0" t="s">
        <v>111</v>
      </c>
      <c r="X189" s="0" t="str">
        <f aca="false">IF(ISBLANK(W189),"No remarks",W189)</f>
        <v>Changed all filters</v>
      </c>
      <c r="Y189" s="0" t="s">
        <v>73</v>
      </c>
      <c r="AA189" s="0" t="str">
        <f aca="false">PROPER(IF(ISBLANK(Z189),"Location Unavailable",Z189))</f>
        <v>Location Unavailable</v>
      </c>
      <c r="AB189" s="0" t="s">
        <v>167</v>
      </c>
      <c r="AC189" s="6" t="str">
        <f aca="false">PROPER(AB189)</f>
        <v>Word Of Mouth</v>
      </c>
      <c r="AD189" s="6" t="n">
        <v>45</v>
      </c>
      <c r="AE189" s="5" t="n">
        <f aca="false">IF(ISBLANK(AD189),AVERAGEIF(L189:L1188,L189,AD189:AD1188),AD189)</f>
        <v>45</v>
      </c>
      <c r="AF189" s="0" t="s">
        <v>55</v>
      </c>
      <c r="AG189" s="0" t="str">
        <f aca="false">PROPER(AF189)</f>
        <v>Available</v>
      </c>
      <c r="AH189" s="0" t="s">
        <v>77</v>
      </c>
      <c r="AI189" s="0" t="s">
        <v>128</v>
      </c>
      <c r="AJ189" s="0" t="str">
        <f aca="false">PROPER(AI189)</f>
        <v>Normal</v>
      </c>
      <c r="AK189" s="0" t="s">
        <v>58</v>
      </c>
      <c r="AL189" s="0" t="str">
        <f aca="false">PROPER(AK189)</f>
        <v>Fleet Owner</v>
      </c>
      <c r="AN189" s="0" t="str">
        <f aca="false">IF(ISBLANK(AM189),"Unknown",AM189)</f>
        <v>Unknown</v>
      </c>
      <c r="AO189" s="0" t="s">
        <v>143</v>
      </c>
      <c r="AP189" s="0" t="str">
        <f aca="false">IF(ISBLANK(AO189),"Unknown",AO189)</f>
        <v>Senior</v>
      </c>
      <c r="AQ189" s="0" t="n">
        <v>40000</v>
      </c>
      <c r="AR189" s="5" t="n">
        <f aca="false">IF(ISBLANK(AQ189),AVERAGEIF(M189:M1188,M189,AQ189:AQ1188),AQ189)</f>
        <v>40000</v>
      </c>
      <c r="AS189" s="0" t="n">
        <v>30000</v>
      </c>
      <c r="AT189" s="5" t="n">
        <f aca="false">IF(ISBLANK(AS189),AVERAGE(AS189:AS1188),AS189)</f>
        <v>30000</v>
      </c>
      <c r="AV189" s="0" t="str">
        <f aca="false">PROPER(IF(ISBLANK(AU189),"No",AU189))</f>
        <v>No</v>
      </c>
      <c r="AX189" s="5" t="n">
        <f aca="false">IF(ISBLANK(AW189),0,AW189)</f>
        <v>0</v>
      </c>
      <c r="AZ189" s="0" t="str">
        <f aca="false">UPPER(IF(ISBLANK(AY189),"NONE",AY189))</f>
        <v>NONE</v>
      </c>
      <c r="BA189" s="7" t="n">
        <v>45972</v>
      </c>
      <c r="BB189" s="7" t="n">
        <f aca="false">IF(ISBLANK(BA189),"No Follow Up Needed",BA189)</f>
        <v>45972</v>
      </c>
      <c r="BD189" s="0" t="str">
        <f aca="false">PROPER(IF(ISBLANK(BC189),"Unknown",BC189))</f>
        <v>Unknown</v>
      </c>
      <c r="BF189" s="0" t="str">
        <f aca="false">IF(ISBLANK(BE189),"No comments",BE189)</f>
        <v>No comments</v>
      </c>
      <c r="BH189" s="0" t="str">
        <f aca="false">IF(ISBLANK(BG189),"No comments",BG189)</f>
        <v>No comments</v>
      </c>
      <c r="BI189" s="0" t="s">
        <v>50</v>
      </c>
      <c r="BJ189" s="0" t="str">
        <f aca="false">IF(ISBLANK(BI189),"Not Mentioned",BI189)</f>
        <v>No</v>
      </c>
      <c r="BK189" s="0" t="s">
        <v>63</v>
      </c>
      <c r="BL189" s="0" t="str">
        <f aca="false">PROPER(IF(ISBLANK(BK189),"Not Mentioned",BK189))</f>
        <v>Yes</v>
      </c>
      <c r="BM189" s="0" t="s">
        <v>50</v>
      </c>
      <c r="BN189" s="0" t="str">
        <f aca="false">PROPER(IF(ISBLANK(BM189),"Not Mentioned",BM189))</f>
        <v>No</v>
      </c>
      <c r="BO189" s="0" t="s">
        <v>2318</v>
      </c>
      <c r="BP189" s="0" t="str">
        <f aca="false">IF(ISBLANK(BO189),"One-Time Plan",BO189)</f>
        <v>Gold</v>
      </c>
      <c r="BR189" s="0" t="str">
        <f aca="false">PROPER(IF(ISBLANK(BQ189),"No",BQ189))</f>
        <v>No</v>
      </c>
    </row>
    <row r="190" customFormat="false" ht="15" hidden="false" customHeight="false" outlineLevel="0" collapsed="false">
      <c r="A190" s="0" t="s">
        <v>597</v>
      </c>
      <c r="B190" s="2" t="n">
        <v>45691</v>
      </c>
      <c r="C190" s="2" t="str">
        <f aca="false">TEXT(B190,"dd/mm/yyyy")</f>
        <v>03/02/2025</v>
      </c>
      <c r="D190" s="0" t="s">
        <v>105</v>
      </c>
      <c r="E190" s="0" t="n">
        <v>8097206259</v>
      </c>
      <c r="F190" s="0" t="s">
        <v>122</v>
      </c>
      <c r="G190" s="0" t="s">
        <v>2316</v>
      </c>
      <c r="H190" s="0" t="s">
        <v>598</v>
      </c>
      <c r="I190" s="0" t="s">
        <v>45</v>
      </c>
      <c r="J190" s="0" t="s">
        <v>2322</v>
      </c>
      <c r="K190" s="3" t="str">
        <f aca="false" t="array" ref="K190:K190">IFERROR(IF(J190&lt;&gt;"",J190,INDEX(J190:J1189,MATCH(1,(F190:F1189=F190)*(I190:I1189=I190)*(L190:L1189=L190)*(J190:J1189&lt;&gt;""),0))),"Not Found")</f>
        <v>Brake Failure</v>
      </c>
      <c r="L190" s="3" t="s">
        <v>142</v>
      </c>
      <c r="M190" s="0" t="str">
        <f aca="false">PROPER(L190)</f>
        <v>Oil Filter, Brake Pads</v>
      </c>
      <c r="N190" s="3" t="s">
        <v>90</v>
      </c>
      <c r="O190" s="0" t="str">
        <f aca="false" t="array" ref="O190:O190">IF(N190&lt;&gt;"",N190,_xlfn.xlookup(1,(L190:L1189=L190)*(N190:N1189&lt;&gt;""),N190:N1189,"Not Found"))</f>
        <v>Musa</v>
      </c>
      <c r="P190" s="4" t="n">
        <v>34699</v>
      </c>
      <c r="Q190" s="0" t="s">
        <v>91</v>
      </c>
      <c r="R190" s="0" t="str">
        <f aca="false">PROPER(Q190)</f>
        <v>Pos</v>
      </c>
      <c r="S190" s="0" t="s">
        <v>50</v>
      </c>
      <c r="T190" s="0" t="n">
        <v>2</v>
      </c>
      <c r="U190" s="5" t="n">
        <f aca="false">IF(ISBLANK(T190),AVERAGE(T190:T1189),T190)</f>
        <v>2</v>
      </c>
      <c r="V190" s="0" t="n">
        <v>3.9</v>
      </c>
      <c r="W190" s="0" t="s">
        <v>51</v>
      </c>
      <c r="X190" s="0" t="str">
        <f aca="false">IF(ISBLANK(W190),"No remarks",W190)</f>
        <v>Recommended further checks</v>
      </c>
      <c r="Y190" s="0" t="s">
        <v>73</v>
      </c>
      <c r="Z190" s="0" t="s">
        <v>74</v>
      </c>
      <c r="AA190" s="0" t="str">
        <f aca="false">PROPER(IF(ISBLANK(Z190),"Location Unavailable",Z190))</f>
        <v>Under Tree</v>
      </c>
      <c r="AB190" s="0" t="s">
        <v>54</v>
      </c>
      <c r="AC190" s="6" t="str">
        <f aca="false">PROPER(AB190)</f>
        <v>Mechanic Referral</v>
      </c>
      <c r="AD190" s="6" t="n">
        <v>45</v>
      </c>
      <c r="AE190" s="5" t="n">
        <f aca="false">IF(ISBLANK(AD190),AVERAGEIF(L190:L1189,L190,AD190:AD1189),AD190)</f>
        <v>45</v>
      </c>
      <c r="AF190" s="0" t="s">
        <v>112</v>
      </c>
      <c r="AG190" s="0" t="str">
        <f aca="false">PROPER(AF190)</f>
        <v>Unavailable</v>
      </c>
      <c r="AH190" s="0" t="s">
        <v>148</v>
      </c>
      <c r="AI190" s="0" t="s">
        <v>128</v>
      </c>
      <c r="AJ190" s="0" t="str">
        <f aca="false">PROPER(AI190)</f>
        <v>Normal</v>
      </c>
      <c r="AK190" s="0" t="s">
        <v>196</v>
      </c>
      <c r="AL190" s="0" t="str">
        <f aca="false">PROPER(AK190)</f>
        <v>First Time</v>
      </c>
      <c r="AM190" s="0" t="s">
        <v>2324</v>
      </c>
      <c r="AN190" s="0" t="str">
        <f aca="false">IF(ISBLANK(AM190),"Unknown",AM190)</f>
        <v>Logistics Convoy</v>
      </c>
      <c r="AO190" s="0" t="s">
        <v>143</v>
      </c>
      <c r="AP190" s="0" t="str">
        <f aca="false">IF(ISBLANK(AO190),"Unknown",AO190)</f>
        <v>Senior</v>
      </c>
      <c r="AQ190" s="0" t="n">
        <v>20000</v>
      </c>
      <c r="AR190" s="5" t="n">
        <f aca="false">IF(ISBLANK(AQ190),AVERAGEIF(M190:M1189,M190,AQ190:AQ1189),AQ190)</f>
        <v>20000</v>
      </c>
      <c r="AS190" s="0" t="n">
        <v>20000</v>
      </c>
      <c r="AT190" s="5" t="n">
        <f aca="false">IF(ISBLANK(AS190),AVERAGE(AS190:AS1189),AS190)</f>
        <v>20000</v>
      </c>
      <c r="AU190" s="0" t="s">
        <v>61</v>
      </c>
      <c r="AV190" s="0" t="str">
        <f aca="false">PROPER(IF(ISBLANK(AU190),"No",AU190))</f>
        <v>No</v>
      </c>
      <c r="AW190" s="0" t="n">
        <v>0</v>
      </c>
      <c r="AX190" s="5" t="n">
        <f aca="false">IF(ISBLANK(AW190),0,AW190)</f>
        <v>0</v>
      </c>
      <c r="AY190" s="0" t="s">
        <v>80</v>
      </c>
      <c r="AZ190" s="0" t="str">
        <f aca="false">UPPER(IF(ISBLANK(AY190),"NONE",AY190))</f>
        <v>PROMO10</v>
      </c>
      <c r="BA190" s="7" t="n">
        <v>45876</v>
      </c>
      <c r="BB190" s="7" t="n">
        <f aca="false">IF(ISBLANK(BA190),"No Follow Up Needed",BA190)</f>
        <v>45876</v>
      </c>
      <c r="BD190" s="0" t="str">
        <f aca="false">PROPER(IF(ISBLANK(BC190),"Unknown",BC190))</f>
        <v>Unknown</v>
      </c>
      <c r="BE190" s="0" t="s">
        <v>116</v>
      </c>
      <c r="BF190" s="0" t="str">
        <f aca="false">IF(ISBLANK(BE190),"No comments",BE190)</f>
        <v>Needs tire alignment</v>
      </c>
      <c r="BH190" s="0" t="str">
        <f aca="false">IF(ISBLANK(BG190),"No comments",BG190)</f>
        <v>No comments</v>
      </c>
      <c r="BJ190" s="0" t="str">
        <f aca="false">IF(ISBLANK(BI190),"Not Mentioned",BI190)</f>
        <v>Not Mentioned</v>
      </c>
      <c r="BL190" s="0" t="str">
        <f aca="false">PROPER(IF(ISBLANK(BK190),"Not Mentioned",BK190))</f>
        <v>Not Mentioned</v>
      </c>
      <c r="BM190" s="0" t="s">
        <v>63</v>
      </c>
      <c r="BN190" s="0" t="str">
        <f aca="false">PROPER(IF(ISBLANK(BM190),"Not Mentioned",BM190))</f>
        <v>Yes</v>
      </c>
      <c r="BP190" s="0" t="str">
        <f aca="false">IF(ISBLANK(BO190),"One-Time Plan",BO190)</f>
        <v>One-Time Plan</v>
      </c>
      <c r="BQ190" s="0" t="s">
        <v>50</v>
      </c>
      <c r="BR190" s="0" t="str">
        <f aca="false">PROPER(IF(ISBLANK(BQ190),"No",BQ190))</f>
        <v>No</v>
      </c>
    </row>
    <row r="191" customFormat="false" ht="15" hidden="false" customHeight="false" outlineLevel="0" collapsed="false">
      <c r="A191" s="0" t="s">
        <v>599</v>
      </c>
      <c r="B191" s="2" t="n">
        <v>45710</v>
      </c>
      <c r="C191" s="2" t="str">
        <f aca="false">TEXT(B191,"dd/mm/yyyy")</f>
        <v>22/02/2025</v>
      </c>
      <c r="D191" s="0" t="s">
        <v>105</v>
      </c>
      <c r="E191" s="0" t="n">
        <v>8014912971</v>
      </c>
      <c r="F191" s="0" t="s">
        <v>85</v>
      </c>
      <c r="G191" s="0" t="s">
        <v>2319</v>
      </c>
      <c r="H191" s="0" t="s">
        <v>600</v>
      </c>
      <c r="I191" s="0" t="s">
        <v>45</v>
      </c>
      <c r="J191" s="0" t="s">
        <v>2317</v>
      </c>
      <c r="K191" s="3" t="str">
        <f aca="false" t="array" ref="K191:K191">IFERROR(IF(J191&lt;&gt;"",J191,INDEX(J191:J1190,MATCH(1,(F191:F1190=F191)*(I191:I1190=I191)*(L191:L1190=L191)*(J191:J1190&lt;&gt;""),0))),"Not Found")</f>
        <v>Suspension Noise</v>
      </c>
      <c r="L191" s="3" t="s">
        <v>47</v>
      </c>
      <c r="M191" s="0" t="str">
        <f aca="false">PROPER(L191)</f>
        <v>None</v>
      </c>
      <c r="N191" s="3" t="s">
        <v>109</v>
      </c>
      <c r="O191" s="0" t="str">
        <f aca="false" t="array" ref="O191:O191">IF(N191&lt;&gt;"",N191,_xlfn.xlookup(1,(L191:L1190=L191)*(N191:N1190&lt;&gt;""),N191:N1190,"Not Found"))</f>
        <v>Tijani</v>
      </c>
      <c r="P191" s="4" t="n">
        <v>32710</v>
      </c>
      <c r="Q191" s="0" t="s">
        <v>110</v>
      </c>
      <c r="R191" s="0" t="str">
        <f aca="false">PROPER(Q191)</f>
        <v>Cash</v>
      </c>
      <c r="S191" s="0" t="s">
        <v>63</v>
      </c>
      <c r="T191" s="0" t="n">
        <v>1</v>
      </c>
      <c r="U191" s="5" t="n">
        <f aca="false">IF(ISBLANK(T191),AVERAGE(T191:T1190),T191)</f>
        <v>1</v>
      </c>
      <c r="V191" s="0" t="n">
        <v>2.5</v>
      </c>
      <c r="W191" s="0" t="s">
        <v>92</v>
      </c>
      <c r="X191" s="0" t="str">
        <f aca="false">IF(ISBLANK(W191),"No remarks",W191)</f>
        <v>Urgent service</v>
      </c>
      <c r="Y191" s="0" t="s">
        <v>93</v>
      </c>
      <c r="Z191" s="0" t="s">
        <v>159</v>
      </c>
      <c r="AA191" s="0" t="str">
        <f aca="false">PROPER(IF(ISBLANK(Z191),"Location Unavailable",Z191))</f>
        <v>Main Bay</v>
      </c>
      <c r="AB191" s="0" t="s">
        <v>75</v>
      </c>
      <c r="AC191" s="6" t="str">
        <f aca="false">PROPER(AB191)</f>
        <v>Mechanik Referal</v>
      </c>
      <c r="AD191" s="6" t="n">
        <v>45</v>
      </c>
      <c r="AE191" s="5" t="n">
        <f aca="false">IF(ISBLANK(AD191),AVERAGEIF(L191:L1190,L191,AD191:AD1190),AD191)</f>
        <v>45</v>
      </c>
      <c r="AF191" s="0" t="s">
        <v>96</v>
      </c>
      <c r="AG191" s="0" t="str">
        <f aca="false">PROPER(AF191)</f>
        <v>Ordered</v>
      </c>
      <c r="AH191" s="0" t="s">
        <v>148</v>
      </c>
      <c r="AI191" s="0" t="s">
        <v>113</v>
      </c>
      <c r="AJ191" s="0" t="str">
        <f aca="false">PROPER(AI191)</f>
        <v>Normal</v>
      </c>
      <c r="AK191" s="0" t="s">
        <v>196</v>
      </c>
      <c r="AL191" s="0" t="str">
        <f aca="false">PROPER(AK191)</f>
        <v>First Time</v>
      </c>
      <c r="AM191" s="0" t="s">
        <v>2326</v>
      </c>
      <c r="AN191" s="0" t="str">
        <f aca="false">IF(ISBLANK(AM191),"Unknown",AM191)</f>
        <v>Government Convoy</v>
      </c>
      <c r="AO191" s="0" t="s">
        <v>143</v>
      </c>
      <c r="AP191" s="0" t="str">
        <f aca="false">IF(ISBLANK(AO191),"Unknown",AO191)</f>
        <v>Senior</v>
      </c>
      <c r="AQ191" s="0" t="n">
        <v>30000</v>
      </c>
      <c r="AR191" s="5" t="n">
        <f aca="false">IF(ISBLANK(AQ191),AVERAGEIF(M191:M1190,M191,AQ191:AQ1190),AQ191)</f>
        <v>30000</v>
      </c>
      <c r="AS191" s="0" t="n">
        <v>30000</v>
      </c>
      <c r="AT191" s="5" t="n">
        <f aca="false">IF(ISBLANK(AS191),AVERAGE(AS191:AS1190),AS191)</f>
        <v>30000</v>
      </c>
      <c r="AV191" s="0" t="str">
        <f aca="false">PROPER(IF(ISBLANK(AU191),"No",AU191))</f>
        <v>No</v>
      </c>
      <c r="AW191" s="0" t="n">
        <v>5000</v>
      </c>
      <c r="AX191" s="5" t="n">
        <f aca="false">IF(ISBLANK(AW191),0,AW191)</f>
        <v>5000</v>
      </c>
      <c r="AZ191" s="0" t="str">
        <f aca="false">UPPER(IF(ISBLANK(AY191),"NONE",AY191))</f>
        <v>NONE</v>
      </c>
      <c r="BA191" s="7" t="n">
        <v>45996</v>
      </c>
      <c r="BB191" s="7" t="n">
        <f aca="false">IF(ISBLANK(BA191),"No Follow Up Needed",BA191)</f>
        <v>45996</v>
      </c>
      <c r="BD191" s="0" t="str">
        <f aca="false">PROPER(IF(ISBLANK(BC191),"Unknown",BC191))</f>
        <v>Unknown</v>
      </c>
      <c r="BF191" s="0" t="str">
        <f aca="false">IF(ISBLANK(BE191),"No comments",BE191)</f>
        <v>No comments</v>
      </c>
      <c r="BG191" s="0" t="s">
        <v>2320</v>
      </c>
      <c r="BH191" s="0" t="str">
        <f aca="false">IF(ISBLANK(BG191),"No comments",BG191)</f>
        <v>No complaints</v>
      </c>
      <c r="BI191" s="0" t="s">
        <v>63</v>
      </c>
      <c r="BJ191" s="0" t="str">
        <f aca="false">IF(ISBLANK(BI191),"Not Mentioned",BI191)</f>
        <v>Yes</v>
      </c>
      <c r="BK191" s="0" t="s">
        <v>63</v>
      </c>
      <c r="BL191" s="0" t="str">
        <f aca="false">PROPER(IF(ISBLANK(BK191),"Not Mentioned",BK191))</f>
        <v>Yes</v>
      </c>
      <c r="BN191" s="0" t="str">
        <f aca="false">PROPER(IF(ISBLANK(BM191),"Not Mentioned",BM191))</f>
        <v>Not Mentioned</v>
      </c>
      <c r="BO191" s="0" t="s">
        <v>2321</v>
      </c>
      <c r="BP191" s="0" t="str">
        <f aca="false">IF(ISBLANK(BO191),"One-Time Plan",BO191)</f>
        <v>One-Time Plan</v>
      </c>
      <c r="BQ191" s="0" t="s">
        <v>198</v>
      </c>
      <c r="BR191" s="0" t="str">
        <f aca="false">PROPER(IF(ISBLANK(BQ191),"No",BQ191))</f>
        <v>Followed Up</v>
      </c>
    </row>
    <row r="192" customFormat="false" ht="15" hidden="false" customHeight="false" outlineLevel="0" collapsed="false">
      <c r="A192" s="0" t="s">
        <v>601</v>
      </c>
      <c r="B192" s="2" t="n">
        <v>45816</v>
      </c>
      <c r="C192" s="2" t="str">
        <f aca="false">TEXT(B192,"dd/mm/yyyy")</f>
        <v>08/06/2025</v>
      </c>
      <c r="D192" s="0" t="s">
        <v>121</v>
      </c>
      <c r="E192" s="0" t="n">
        <v>8037809859</v>
      </c>
      <c r="F192" s="0" t="s">
        <v>85</v>
      </c>
      <c r="G192" s="0" t="s">
        <v>2319</v>
      </c>
      <c r="H192" s="0" t="s">
        <v>602</v>
      </c>
      <c r="I192" s="0" t="s">
        <v>45</v>
      </c>
      <c r="J192" s="0" t="s">
        <v>2322</v>
      </c>
      <c r="K192" s="3" t="str">
        <f aca="false" t="array" ref="K192:K192">IFERROR(IF(J192&lt;&gt;"",J192,INDEX(J192:J1191,MATCH(1,(F192:F1191=F192)*(I192:I1191=I192)*(L192:L1191=L192)*(J192:J1191&lt;&gt;""),0))),"Not Found")</f>
        <v>Brake Failure</v>
      </c>
      <c r="L192" s="3" t="s">
        <v>189</v>
      </c>
      <c r="M192" s="0" t="str">
        <f aca="false">PROPER(L192)</f>
        <v>Battery</v>
      </c>
      <c r="N192" s="3" t="s">
        <v>48</v>
      </c>
      <c r="O192" s="0" t="str">
        <f aca="false" t="array" ref="O192:O192">IF(N192&lt;&gt;"",N192,_xlfn.xlookup(1,(L192:L1191=L192)*(N192:N1191&lt;&gt;""),N192:N1191,"Not Found"))</f>
        <v>Uche</v>
      </c>
      <c r="P192" s="4" t="n">
        <v>14935</v>
      </c>
      <c r="Q192" s="0" t="s">
        <v>110</v>
      </c>
      <c r="R192" s="0" t="str">
        <f aca="false">PROPER(Q192)</f>
        <v>Cash</v>
      </c>
      <c r="S192" s="0" t="s">
        <v>63</v>
      </c>
      <c r="T192" s="0" t="n">
        <v>2</v>
      </c>
      <c r="U192" s="5" t="n">
        <f aca="false">IF(ISBLANK(T192),AVERAGE(T192:T1191),T192)</f>
        <v>2</v>
      </c>
      <c r="V192" s="0" t="n">
        <v>4.4</v>
      </c>
      <c r="W192" s="0" t="s">
        <v>51</v>
      </c>
      <c r="X192" s="0" t="str">
        <f aca="false">IF(ISBLANK(W192),"No remarks",W192)</f>
        <v>Recommended further checks</v>
      </c>
      <c r="Y192" s="0" t="s">
        <v>52</v>
      </c>
      <c r="Z192" s="0" t="s">
        <v>74</v>
      </c>
      <c r="AA192" s="0" t="str">
        <f aca="false">PROPER(IF(ISBLANK(Z192),"Location Unavailable",Z192))</f>
        <v>Under Tree</v>
      </c>
      <c r="AB192" s="0" t="s">
        <v>167</v>
      </c>
      <c r="AC192" s="6" t="str">
        <f aca="false">PROPER(AB192)</f>
        <v>Word Of Mouth</v>
      </c>
      <c r="AD192" s="6" t="n">
        <v>30</v>
      </c>
      <c r="AE192" s="5" t="n">
        <f aca="false">IF(ISBLANK(AD192),AVERAGEIF(L192:L1191,L192,AD192:AD1191),AD192)</f>
        <v>30</v>
      </c>
      <c r="AF192" s="0" t="s">
        <v>76</v>
      </c>
      <c r="AG192" s="0" t="str">
        <f aca="false">PROPER(AF192)</f>
        <v>Orderd</v>
      </c>
      <c r="AH192" s="0" t="s">
        <v>148</v>
      </c>
      <c r="AI192" s="0" t="s">
        <v>78</v>
      </c>
      <c r="AJ192" s="0" t="str">
        <f aca="false">PROPER(AI192)</f>
        <v>Booking</v>
      </c>
      <c r="AK192" s="0" t="s">
        <v>99</v>
      </c>
      <c r="AL192" s="0" t="str">
        <f aca="false">PROPER(AK192)</f>
        <v>Uber Driver</v>
      </c>
      <c r="AM192" s="0" t="s">
        <v>2324</v>
      </c>
      <c r="AN192" s="0" t="str">
        <f aca="false">IF(ISBLANK(AM192),"Unknown",AM192)</f>
        <v>Logistics Convoy</v>
      </c>
      <c r="AO192" s="0" t="s">
        <v>161</v>
      </c>
      <c r="AP192" s="0" t="str">
        <f aca="false">IF(ISBLANK(AO192),"Unknown",AO192)</f>
        <v>Apprentice</v>
      </c>
      <c r="AQ192" s="0" t="n">
        <v>30000</v>
      </c>
      <c r="AR192" s="5" t="n">
        <f aca="false">IF(ISBLANK(AQ192),AVERAGEIF(M192:M1191,M192,AQ192:AQ1191),AQ192)</f>
        <v>30000</v>
      </c>
      <c r="AS192" s="0" t="n">
        <v>35000</v>
      </c>
      <c r="AT192" s="5" t="n">
        <f aca="false">IF(ISBLANK(AS192),AVERAGE(AS192:AS1191),AS192)</f>
        <v>35000</v>
      </c>
      <c r="AU192" s="0" t="s">
        <v>50</v>
      </c>
      <c r="AV192" s="0" t="str">
        <f aca="false">PROPER(IF(ISBLANK(AU192),"No",AU192))</f>
        <v>No</v>
      </c>
      <c r="AW192" s="0" t="n">
        <v>0</v>
      </c>
      <c r="AX192" s="5" t="n">
        <f aca="false">IF(ISBLANK(AW192),0,AW192)</f>
        <v>0</v>
      </c>
      <c r="AY192" s="0" t="s">
        <v>80</v>
      </c>
      <c r="AZ192" s="0" t="str">
        <f aca="false">UPPER(IF(ISBLANK(AY192),"NONE",AY192))</f>
        <v>PROMO10</v>
      </c>
      <c r="BA192" s="7" t="n">
        <v>45983</v>
      </c>
      <c r="BB192" s="7" t="n">
        <f aca="false">IF(ISBLANK(BA192),"No Follow Up Needed",BA192)</f>
        <v>45983</v>
      </c>
      <c r="BC192" s="0" t="s">
        <v>82</v>
      </c>
      <c r="BD192" s="0" t="str">
        <f aca="false">PROPER(IF(ISBLANK(BC192),"Unknown",BC192))</f>
        <v>Yes</v>
      </c>
      <c r="BE192" s="0" t="s">
        <v>171</v>
      </c>
      <c r="BF192" s="0" t="str">
        <f aca="false">IF(ISBLANK(BE192),"No comments",BE192)</f>
        <v>Shock absorber weakening</v>
      </c>
      <c r="BG192" s="0" t="s">
        <v>172</v>
      </c>
      <c r="BH192" s="0" t="str">
        <f aca="false">IF(ISBLANK(BG192),"No comments",BG192)</f>
        <v>Always late</v>
      </c>
      <c r="BI192" s="0" t="s">
        <v>50</v>
      </c>
      <c r="BJ192" s="0" t="str">
        <f aca="false">IF(ISBLANK(BI192),"Not Mentioned",BI192)</f>
        <v>No</v>
      </c>
      <c r="BK192" s="0" t="s">
        <v>82</v>
      </c>
      <c r="BL192" s="0" t="str">
        <f aca="false">PROPER(IF(ISBLANK(BK192),"Not Mentioned",BK192))</f>
        <v>Yes</v>
      </c>
      <c r="BN192" s="0" t="str">
        <f aca="false">PROPER(IF(ISBLANK(BM192),"Not Mentioned",BM192))</f>
        <v>Not Mentioned</v>
      </c>
      <c r="BO192" s="0" t="s">
        <v>2321</v>
      </c>
      <c r="BP192" s="0" t="str">
        <f aca="false">IF(ISBLANK(BO192),"One-Time Plan",BO192)</f>
        <v>One-Time Plan</v>
      </c>
      <c r="BQ192" s="0" t="s">
        <v>190</v>
      </c>
      <c r="BR192" s="0" t="str">
        <f aca="false">PROPER(IF(ISBLANK(BQ192),"No",BQ192))</f>
        <v>Yes</v>
      </c>
    </row>
    <row r="193" customFormat="false" ht="15" hidden="false" customHeight="false" outlineLevel="0" collapsed="false">
      <c r="A193" s="0" t="s">
        <v>603</v>
      </c>
      <c r="B193" s="2" t="n">
        <v>45784</v>
      </c>
      <c r="C193" s="2" t="str">
        <f aca="false">TEXT(B193,"dd/mm/yyyy")</f>
        <v>07/05/2025</v>
      </c>
      <c r="D193" s="0" t="s">
        <v>42</v>
      </c>
      <c r="E193" s="0" t="n">
        <v>8039464318</v>
      </c>
      <c r="F193" s="0" t="s">
        <v>85</v>
      </c>
      <c r="G193" s="0" t="s">
        <v>2319</v>
      </c>
      <c r="H193" s="0" t="s">
        <v>604</v>
      </c>
      <c r="I193" s="0" t="s">
        <v>69</v>
      </c>
      <c r="J193" s="0" t="s">
        <v>2325</v>
      </c>
      <c r="K193" s="3" t="str">
        <f aca="false" t="array" ref="K193:K193">IFERROR(IF(J193&lt;&gt;"",J193,INDEX(J193:J1192,MATCH(1,(F193:F1192=F193)*(I193:I1192=I193)*(L193:L1192=L193)*(J193:J1192&lt;&gt;""),0))),"Not Found")</f>
        <v>Engine Knocking</v>
      </c>
      <c r="L193" s="3" t="s">
        <v>142</v>
      </c>
      <c r="M193" s="0" t="str">
        <f aca="false">PROPER(L193)</f>
        <v>Oil Filter, Brake Pads</v>
      </c>
      <c r="N193" s="3" t="s">
        <v>48</v>
      </c>
      <c r="O193" s="0" t="str">
        <f aca="false" t="array" ref="O193:O193">IF(N193&lt;&gt;"",N193,_xlfn.xlookup(1,(L193:L1192=L193)*(N193:N1192&lt;&gt;""),N193:N1192,"Not Found"))</f>
        <v>Uche</v>
      </c>
      <c r="P193" s="4" t="n">
        <v>15828</v>
      </c>
      <c r="Q193" s="0" t="s">
        <v>124</v>
      </c>
      <c r="R193" s="0" t="str">
        <f aca="false">PROPER(Q193)</f>
        <v>Cash</v>
      </c>
      <c r="S193" s="0" t="s">
        <v>63</v>
      </c>
      <c r="T193" s="0" t="n">
        <v>2</v>
      </c>
      <c r="U193" s="5" t="n">
        <f aca="false">IF(ISBLANK(T193),AVERAGE(T193:T1192),T193)</f>
        <v>2</v>
      </c>
      <c r="V193" s="0" t="n">
        <v>2.7</v>
      </c>
      <c r="W193" s="0" t="s">
        <v>111</v>
      </c>
      <c r="X193" s="0" t="str">
        <f aca="false">IF(ISBLANK(W193),"No remarks",W193)</f>
        <v>Changed all filters</v>
      </c>
      <c r="Y193" s="0" t="s">
        <v>52</v>
      </c>
      <c r="AA193" s="0" t="str">
        <f aca="false">PROPER(IF(ISBLANK(Z193),"Location Unavailable",Z193))</f>
        <v>Location Unavailable</v>
      </c>
      <c r="AB193" s="0" t="s">
        <v>75</v>
      </c>
      <c r="AC193" s="6" t="str">
        <f aca="false">PROPER(AB193)</f>
        <v>Mechanik Referal</v>
      </c>
      <c r="AD193" s="6" t="n">
        <v>60</v>
      </c>
      <c r="AE193" s="5" t="n">
        <f aca="false">IF(ISBLANK(AD193),AVERAGEIF(L193:L1192,L193,AD193:AD1192),AD193)</f>
        <v>60</v>
      </c>
      <c r="AF193" s="0" t="s">
        <v>76</v>
      </c>
      <c r="AG193" s="0" t="str">
        <f aca="false">PROPER(AF193)</f>
        <v>Orderd</v>
      </c>
      <c r="AH193" s="0" t="s">
        <v>148</v>
      </c>
      <c r="AI193" s="0" t="s">
        <v>128</v>
      </c>
      <c r="AJ193" s="0" t="str">
        <f aca="false">PROPER(AI193)</f>
        <v>Normal</v>
      </c>
      <c r="AK193" s="0" t="s">
        <v>99</v>
      </c>
      <c r="AL193" s="0" t="str">
        <f aca="false">PROPER(AK193)</f>
        <v>Uber Driver</v>
      </c>
      <c r="AM193" s="0" t="s">
        <v>2324</v>
      </c>
      <c r="AN193" s="0" t="str">
        <f aca="false">IF(ISBLANK(AM193),"Unknown",AM193)</f>
        <v>Logistics Convoy</v>
      </c>
      <c r="AO193" s="0" t="s">
        <v>143</v>
      </c>
      <c r="AP193" s="0" t="str">
        <f aca="false">IF(ISBLANK(AO193),"Unknown",AO193)</f>
        <v>Senior</v>
      </c>
      <c r="AQ193" s="0" t="n">
        <v>40000</v>
      </c>
      <c r="AR193" s="5" t="n">
        <f aca="false">IF(ISBLANK(AQ193),AVERAGEIF(M193:M1192,M193,AQ193:AQ1192),AQ193)</f>
        <v>40000</v>
      </c>
      <c r="AT193" s="5" t="n">
        <f aca="false">IF(ISBLANK(AS193),AVERAGE(AS193:AS1192),AS193)</f>
        <v>31413.5338345865</v>
      </c>
      <c r="AU193" s="0" t="s">
        <v>61</v>
      </c>
      <c r="AV193" s="0" t="str">
        <f aca="false">PROPER(IF(ISBLANK(AU193),"No",AU193))</f>
        <v>No</v>
      </c>
      <c r="AX193" s="5" t="n">
        <f aca="false">IF(ISBLANK(AW193),0,AW193)</f>
        <v>0</v>
      </c>
      <c r="AY193" s="0" t="s">
        <v>60</v>
      </c>
      <c r="AZ193" s="0" t="str">
        <f aca="false">UPPER(IF(ISBLANK(AY193),"NONE",AY193))</f>
        <v>NONE</v>
      </c>
      <c r="BA193" s="7" t="n">
        <v>45758</v>
      </c>
      <c r="BB193" s="7" t="n">
        <f aca="false">IF(ISBLANK(BA193),"No Follow Up Needed",BA193)</f>
        <v>45758</v>
      </c>
      <c r="BD193" s="0" t="str">
        <f aca="false">PROPER(IF(ISBLANK(BC193),"Unknown",BC193))</f>
        <v>Unknown</v>
      </c>
      <c r="BF193" s="0" t="str">
        <f aca="false">IF(ISBLANK(BE193),"No comments",BE193)</f>
        <v>No comments</v>
      </c>
      <c r="BG193" s="0" t="s">
        <v>2320</v>
      </c>
      <c r="BH193" s="0" t="str">
        <f aca="false">IF(ISBLANK(BG193),"No comments",BG193)</f>
        <v>No complaints</v>
      </c>
      <c r="BI193" s="0" t="s">
        <v>63</v>
      </c>
      <c r="BJ193" s="0" t="str">
        <f aca="false">IF(ISBLANK(BI193),"Not Mentioned",BI193)</f>
        <v>Yes</v>
      </c>
      <c r="BK193" s="0" t="s">
        <v>63</v>
      </c>
      <c r="BL193" s="0" t="str">
        <f aca="false">PROPER(IF(ISBLANK(BK193),"Not Mentioned",BK193))</f>
        <v>Yes</v>
      </c>
      <c r="BN193" s="0" t="str">
        <f aca="false">PROPER(IF(ISBLANK(BM193),"Not Mentioned",BM193))</f>
        <v>Not Mentioned</v>
      </c>
      <c r="BO193" s="0" t="s">
        <v>2321</v>
      </c>
      <c r="BP193" s="0" t="str">
        <f aca="false">IF(ISBLANK(BO193),"One-Time Plan",BO193)</f>
        <v>One-Time Plan</v>
      </c>
      <c r="BQ193" s="0" t="s">
        <v>63</v>
      </c>
      <c r="BR193" s="0" t="str">
        <f aca="false">PROPER(IF(ISBLANK(BQ193),"No",BQ193))</f>
        <v>Yes</v>
      </c>
    </row>
    <row r="194" customFormat="false" ht="15" hidden="false" customHeight="false" outlineLevel="0" collapsed="false">
      <c r="A194" s="0" t="s">
        <v>605</v>
      </c>
      <c r="B194" s="2" t="s">
        <v>40</v>
      </c>
      <c r="C194" s="2" t="str">
        <f aca="false">TEXT(B194,"dd/mm/yyyy")</f>
        <v>19/05/2025</v>
      </c>
      <c r="D194" s="0" t="s">
        <v>42</v>
      </c>
      <c r="E194" s="0" t="n">
        <v>8037246265</v>
      </c>
      <c r="F194" s="0" t="s">
        <v>122</v>
      </c>
      <c r="G194" s="0" t="s">
        <v>2316</v>
      </c>
      <c r="H194" s="0" t="s">
        <v>606</v>
      </c>
      <c r="I194" s="0" t="s">
        <v>87</v>
      </c>
      <c r="J194" s="0" t="s">
        <v>2317</v>
      </c>
      <c r="K194" s="3" t="str">
        <f aca="false" t="array" ref="K194:K194">IFERROR(IF(J194&lt;&gt;"",J194,INDEX(J194:J1193,MATCH(1,(F194:F1193=F194)*(I194:I1193=I194)*(L194:L1193=L194)*(J194:J1193&lt;&gt;""),0))),"Not Found")</f>
        <v>Suspension Noise</v>
      </c>
      <c r="L194" s="3" t="s">
        <v>108</v>
      </c>
      <c r="M194" s="0" t="str">
        <f aca="false">PROPER(L194)</f>
        <v>Timing Belt</v>
      </c>
      <c r="N194" s="3" t="s">
        <v>109</v>
      </c>
      <c r="O194" s="0" t="str">
        <f aca="false" t="array" ref="O194:O194">IF(N194&lt;&gt;"",N194,_xlfn.xlookup(1,(L194:L1193=L194)*(N194:N1193&lt;&gt;""),N194:N1193,"Not Found"))</f>
        <v>Tijani</v>
      </c>
      <c r="P194" s="4" t="n">
        <v>44774</v>
      </c>
      <c r="Q194" s="0" t="s">
        <v>110</v>
      </c>
      <c r="R194" s="0" t="str">
        <f aca="false">PROPER(Q194)</f>
        <v>Cash</v>
      </c>
      <c r="S194" s="0" t="s">
        <v>50</v>
      </c>
      <c r="T194" s="0" t="n">
        <v>3</v>
      </c>
      <c r="U194" s="5" t="n">
        <f aca="false">IF(ISBLANK(T194),AVERAGE(T194:T1193),T194)</f>
        <v>3</v>
      </c>
      <c r="V194" s="0" t="n">
        <v>4.6</v>
      </c>
      <c r="X194" s="0" t="str">
        <f aca="false">IF(ISBLANK(W194),"No remarks",W194)</f>
        <v>No remarks</v>
      </c>
      <c r="Y194" s="0" t="s">
        <v>93</v>
      </c>
      <c r="Z194" s="0" t="s">
        <v>159</v>
      </c>
      <c r="AA194" s="0" t="str">
        <f aca="false">PROPER(IF(ISBLANK(Z194),"Location Unavailable",Z194))</f>
        <v>Main Bay</v>
      </c>
      <c r="AB194" s="0" t="s">
        <v>95</v>
      </c>
      <c r="AC194" s="6" t="str">
        <f aca="false">PROPER(AB194)</f>
        <v>Road Sign</v>
      </c>
      <c r="AE194" s="5" t="n">
        <f aca="false">IF(ISBLANK(AD194),AVERAGEIF(L194:L1193,L194,AD194:AD1193),AD194)</f>
        <v>37.6956521739131</v>
      </c>
      <c r="AF194" s="0" t="s">
        <v>55</v>
      </c>
      <c r="AG194" s="0" t="str">
        <f aca="false">PROPER(AF194)</f>
        <v>Available</v>
      </c>
      <c r="AH194" s="0" t="s">
        <v>77</v>
      </c>
      <c r="AI194" s="0" t="s">
        <v>128</v>
      </c>
      <c r="AJ194" s="0" t="str">
        <f aca="false">PROPER(AI194)</f>
        <v>Normal</v>
      </c>
      <c r="AK194" s="0" t="s">
        <v>196</v>
      </c>
      <c r="AL194" s="0" t="str">
        <f aca="false">PROPER(AK194)</f>
        <v>First Time</v>
      </c>
      <c r="AM194" s="0" t="s">
        <v>59</v>
      </c>
      <c r="AN194" s="0" t="str">
        <f aca="false">IF(ISBLANK(AM194),"Unknown",AM194)</f>
        <v>Bolt Driver</v>
      </c>
      <c r="AO194" s="0" t="s">
        <v>143</v>
      </c>
      <c r="AP194" s="0" t="str">
        <f aca="false">IF(ISBLANK(AO194),"Unknown",AO194)</f>
        <v>Senior</v>
      </c>
      <c r="AQ194" s="0" t="n">
        <v>30000</v>
      </c>
      <c r="AR194" s="5" t="n">
        <f aca="false">IF(ISBLANK(AQ194),AVERAGEIF(M194:M1193,M194,AQ194:AQ1193),AQ194)</f>
        <v>30000</v>
      </c>
      <c r="AS194" s="0" t="n">
        <v>40000</v>
      </c>
      <c r="AT194" s="5" t="n">
        <f aca="false">IF(ISBLANK(AS194),AVERAGE(AS194:AS1193),AS194)</f>
        <v>40000</v>
      </c>
      <c r="AV194" s="0" t="str">
        <f aca="false">PROPER(IF(ISBLANK(AU194),"No",AU194))</f>
        <v>No</v>
      </c>
      <c r="AW194" s="0" t="n">
        <v>10000</v>
      </c>
      <c r="AX194" s="5" t="n">
        <f aca="false">IF(ISBLANK(AW194),0,AW194)</f>
        <v>10000</v>
      </c>
      <c r="AY194" s="0" t="s">
        <v>60</v>
      </c>
      <c r="AZ194" s="0" t="str">
        <f aca="false">UPPER(IF(ISBLANK(AY194),"NONE",AY194))</f>
        <v>NONE</v>
      </c>
      <c r="BA194" s="7" t="n">
        <v>45965</v>
      </c>
      <c r="BB194" s="7" t="n">
        <f aca="false">IF(ISBLANK(BA194),"No Follow Up Needed",BA194)</f>
        <v>45965</v>
      </c>
      <c r="BC194" s="0" t="s">
        <v>50</v>
      </c>
      <c r="BD194" s="0" t="str">
        <f aca="false">PROPER(IF(ISBLANK(BC194),"Unknown",BC194))</f>
        <v>No</v>
      </c>
      <c r="BF194" s="0" t="str">
        <f aca="false">IF(ISBLANK(BE194),"No comments",BE194)</f>
        <v>No comments</v>
      </c>
      <c r="BH194" s="0" t="str">
        <f aca="false">IF(ISBLANK(BG194),"No comments",BG194)</f>
        <v>No comments</v>
      </c>
      <c r="BI194" s="0" t="s">
        <v>50</v>
      </c>
      <c r="BJ194" s="0" t="str">
        <f aca="false">IF(ISBLANK(BI194),"Not Mentioned",BI194)</f>
        <v>No</v>
      </c>
      <c r="BK194" s="0" t="s">
        <v>50</v>
      </c>
      <c r="BL194" s="0" t="str">
        <f aca="false">PROPER(IF(ISBLANK(BK194),"Not Mentioned",BK194))</f>
        <v>No</v>
      </c>
      <c r="BM194" s="0" t="s">
        <v>63</v>
      </c>
      <c r="BN194" s="0" t="str">
        <f aca="false">PROPER(IF(ISBLANK(BM194),"Not Mentioned",BM194))</f>
        <v>Yes</v>
      </c>
      <c r="BO194" s="0" t="s">
        <v>2318</v>
      </c>
      <c r="BP194" s="0" t="str">
        <f aca="false">IF(ISBLANK(BO194),"One-Time Plan",BO194)</f>
        <v>Gold</v>
      </c>
      <c r="BQ194" s="0" t="s">
        <v>190</v>
      </c>
      <c r="BR194" s="0" t="str">
        <f aca="false">PROPER(IF(ISBLANK(BQ194),"No",BQ194))</f>
        <v>Yes</v>
      </c>
    </row>
    <row r="195" customFormat="false" ht="15" hidden="false" customHeight="false" outlineLevel="0" collapsed="false">
      <c r="A195" s="0" t="s">
        <v>607</v>
      </c>
      <c r="B195" s="2" t="n">
        <v>45875</v>
      </c>
      <c r="C195" s="2" t="str">
        <f aca="false">TEXT(B195,"dd/mm/yyyy")</f>
        <v>06/08/2025</v>
      </c>
      <c r="D195" s="0" t="s">
        <v>121</v>
      </c>
      <c r="E195" s="0" t="n">
        <v>8070677159</v>
      </c>
      <c r="F195" s="0" t="s">
        <v>67</v>
      </c>
      <c r="G195" s="0" t="s">
        <v>2316</v>
      </c>
      <c r="H195" s="0" t="s">
        <v>608</v>
      </c>
      <c r="I195" s="0" t="s">
        <v>45</v>
      </c>
      <c r="J195" s="0" t="s">
        <v>2322</v>
      </c>
      <c r="K195" s="3" t="str">
        <f aca="false" t="array" ref="K195:K195">IFERROR(IF(J195&lt;&gt;"",J195,INDEX(J195:J1194,MATCH(1,(F195:F1194=F195)*(I195:I1194=I195)*(L195:L1194=L195)*(J195:J1194&lt;&gt;""),0))),"Not Found")</f>
        <v>Brake Failure</v>
      </c>
      <c r="L195" s="3" t="s">
        <v>47</v>
      </c>
      <c r="M195" s="0" t="str">
        <f aca="false">PROPER(L195)</f>
        <v>None</v>
      </c>
      <c r="N195" s="3" t="s">
        <v>90</v>
      </c>
      <c r="O195" s="0" t="str">
        <f aca="false" t="array" ref="O195:O195">IF(N195&lt;&gt;"",N195,_xlfn.xlookup(1,(L195:L1194=L195)*(N195:N1194&lt;&gt;""),N195:N1194,"Not Found"))</f>
        <v>Musa</v>
      </c>
      <c r="P195" s="4" t="n">
        <v>109745</v>
      </c>
      <c r="Q195" s="0" t="s">
        <v>124</v>
      </c>
      <c r="R195" s="0" t="str">
        <f aca="false">PROPER(Q195)</f>
        <v>Cash</v>
      </c>
      <c r="S195" s="0" t="s">
        <v>50</v>
      </c>
      <c r="T195" s="0" t="n">
        <v>4</v>
      </c>
      <c r="U195" s="5" t="n">
        <f aca="false">IF(ISBLANK(T195),AVERAGE(T195:T1194),T195)</f>
        <v>4</v>
      </c>
      <c r="V195" s="0" t="n">
        <v>2.6</v>
      </c>
      <c r="W195" s="0" t="s">
        <v>92</v>
      </c>
      <c r="X195" s="0" t="str">
        <f aca="false">IF(ISBLANK(W195),"No remarks",W195)</f>
        <v>Urgent service</v>
      </c>
      <c r="Y195" s="0" t="s">
        <v>52</v>
      </c>
      <c r="Z195" s="0" t="s">
        <v>159</v>
      </c>
      <c r="AA195" s="0" t="str">
        <f aca="false">PROPER(IF(ISBLANK(Z195),"Location Unavailable",Z195))</f>
        <v>Main Bay</v>
      </c>
      <c r="AB195" s="0" t="s">
        <v>167</v>
      </c>
      <c r="AC195" s="6" t="str">
        <f aca="false">PROPER(AB195)</f>
        <v>Word Of Mouth</v>
      </c>
      <c r="AD195" s="6" t="n">
        <v>30</v>
      </c>
      <c r="AE195" s="5" t="n">
        <f aca="false">IF(ISBLANK(AD195),AVERAGEIF(L195:L1194,L195,AD195:AD1194),AD195)</f>
        <v>30</v>
      </c>
      <c r="AF195" s="0" t="s">
        <v>96</v>
      </c>
      <c r="AG195" s="0" t="str">
        <f aca="false">PROPER(AF195)</f>
        <v>Ordered</v>
      </c>
      <c r="AH195" s="0" t="s">
        <v>148</v>
      </c>
      <c r="AI195" s="0" t="s">
        <v>113</v>
      </c>
      <c r="AJ195" s="0" t="str">
        <f aca="false">PROPER(AI195)</f>
        <v>Normal</v>
      </c>
      <c r="AK195" s="0" t="s">
        <v>196</v>
      </c>
      <c r="AL195" s="0" t="str">
        <f aca="false">PROPER(AK195)</f>
        <v>First Time</v>
      </c>
      <c r="AN195" s="0" t="str">
        <f aca="false">IF(ISBLANK(AM195),"Unknown",AM195)</f>
        <v>Unknown</v>
      </c>
      <c r="AO195" s="0" t="s">
        <v>79</v>
      </c>
      <c r="AP195" s="0" t="str">
        <f aca="false">IF(ISBLANK(AO195),"Unknown",AO195)</f>
        <v>Specialist</v>
      </c>
      <c r="AQ195" s="0" t="n">
        <v>20000</v>
      </c>
      <c r="AR195" s="5" t="n">
        <f aca="false">IF(ISBLANK(AQ195),AVERAGEIF(M195:M1194,M195,AQ195:AQ1194),AQ195)</f>
        <v>20000</v>
      </c>
      <c r="AS195" s="0" t="n">
        <v>20000</v>
      </c>
      <c r="AT195" s="5" t="n">
        <f aca="false">IF(ISBLANK(AS195),AVERAGE(AS195:AS1194),AS195)</f>
        <v>20000</v>
      </c>
      <c r="AU195" s="0" t="s">
        <v>61</v>
      </c>
      <c r="AV195" s="0" t="str">
        <f aca="false">PROPER(IF(ISBLANK(AU195),"No",AU195))</f>
        <v>No</v>
      </c>
      <c r="AX195" s="5" t="n">
        <f aca="false">IF(ISBLANK(AW195),0,AW195)</f>
        <v>0</v>
      </c>
      <c r="AY195" s="0" t="s">
        <v>184</v>
      </c>
      <c r="AZ195" s="0" t="str">
        <f aca="false">UPPER(IF(ISBLANK(AY195),"NONE",AY195))</f>
        <v>N/A</v>
      </c>
      <c r="BA195" s="7" t="s">
        <v>408</v>
      </c>
      <c r="BB195" s="7" t="str">
        <f aca="false">IF(ISBLANK(BA195),"No Follow Up Needed",BA195)</f>
        <v>26/11/2025</v>
      </c>
      <c r="BC195" s="0" t="s">
        <v>82</v>
      </c>
      <c r="BD195" s="0" t="str">
        <f aca="false">PROPER(IF(ISBLANK(BC195),"Unknown",BC195))</f>
        <v>Yes</v>
      </c>
      <c r="BF195" s="0" t="str">
        <f aca="false">IF(ISBLANK(BE195),"No comments",BE195)</f>
        <v>No comments</v>
      </c>
      <c r="BH195" s="0" t="str">
        <f aca="false">IF(ISBLANK(BG195),"No comments",BG195)</f>
        <v>No comments</v>
      </c>
      <c r="BI195" s="0" t="s">
        <v>50</v>
      </c>
      <c r="BJ195" s="0" t="str">
        <f aca="false">IF(ISBLANK(BI195),"Not Mentioned",BI195)</f>
        <v>No</v>
      </c>
      <c r="BK195" s="0" t="s">
        <v>50</v>
      </c>
      <c r="BL195" s="0" t="str">
        <f aca="false">PROPER(IF(ISBLANK(BK195),"Not Mentioned",BK195))</f>
        <v>No</v>
      </c>
      <c r="BM195" s="0" t="s">
        <v>63</v>
      </c>
      <c r="BN195" s="0" t="str">
        <f aca="false">PROPER(IF(ISBLANK(BM195),"Not Mentioned",BM195))</f>
        <v>Yes</v>
      </c>
      <c r="BP195" s="0" t="str">
        <f aca="false">IF(ISBLANK(BO195),"One-Time Plan",BO195)</f>
        <v>One-Time Plan</v>
      </c>
      <c r="BQ195" s="0" t="s">
        <v>190</v>
      </c>
      <c r="BR195" s="0" t="str">
        <f aca="false">PROPER(IF(ISBLANK(BQ195),"No",BQ195))</f>
        <v>Yes</v>
      </c>
    </row>
    <row r="196" customFormat="false" ht="15" hidden="false" customHeight="false" outlineLevel="0" collapsed="false">
      <c r="A196" s="0" t="s">
        <v>609</v>
      </c>
      <c r="B196" s="2" t="n">
        <v>45805</v>
      </c>
      <c r="C196" s="2" t="str">
        <f aca="false">TEXT(B196,"dd/mm/yyyy")</f>
        <v>28/05/2025</v>
      </c>
      <c r="D196" s="0" t="s">
        <v>66</v>
      </c>
      <c r="E196" s="0" t="n">
        <v>8041458567</v>
      </c>
      <c r="F196" s="0" t="s">
        <v>122</v>
      </c>
      <c r="G196" s="0" t="s">
        <v>2316</v>
      </c>
      <c r="H196" s="0" t="s">
        <v>610</v>
      </c>
      <c r="I196" s="0" t="s">
        <v>69</v>
      </c>
      <c r="J196" s="0" t="s">
        <v>2317</v>
      </c>
      <c r="K196" s="3" t="str">
        <f aca="false" t="array" ref="K196:K196">IFERROR(IF(J196&lt;&gt;"",J196,INDEX(J196:J1195,MATCH(1,(F196:F1195=F196)*(I196:I1195=I196)*(L196:L1195=L196)*(J196:J1195&lt;&gt;""),0))),"Not Found")</f>
        <v>Suspension Noise</v>
      </c>
      <c r="L196" s="3" t="s">
        <v>47</v>
      </c>
      <c r="M196" s="0" t="str">
        <f aca="false">PROPER(L196)</f>
        <v>None</v>
      </c>
      <c r="O196" s="0" t="e">
        <f aca="false" t="array" ref="O196:O196">IF(N196&lt;&gt;"",N196,_xlfn.xlookup(1,(L196:L1195=L196)*(N196:N1195&lt;&gt;""),N196:N1195,"Not Found"))</f>
        <v>#NAME?</v>
      </c>
      <c r="P196" s="4" t="n">
        <v>82641</v>
      </c>
      <c r="Q196" s="0" t="s">
        <v>166</v>
      </c>
      <c r="R196" s="0" t="str">
        <f aca="false">PROPER(Q196)</f>
        <v>Transfer</v>
      </c>
      <c r="S196" s="0" t="s">
        <v>63</v>
      </c>
      <c r="T196" s="0" t="n">
        <v>3</v>
      </c>
      <c r="U196" s="5" t="n">
        <f aca="false">IF(ISBLANK(T196),AVERAGE(T196:T1195),T196)</f>
        <v>3</v>
      </c>
      <c r="V196" s="0" t="n">
        <v>3</v>
      </c>
      <c r="W196" s="0" t="s">
        <v>111</v>
      </c>
      <c r="X196" s="0" t="str">
        <f aca="false">IF(ISBLANK(W196),"No remarks",W196)</f>
        <v>Changed all filters</v>
      </c>
      <c r="Y196" s="0" t="s">
        <v>52</v>
      </c>
      <c r="Z196" s="0" t="s">
        <v>74</v>
      </c>
      <c r="AA196" s="0" t="str">
        <f aca="false">PROPER(IF(ISBLANK(Z196),"Location Unavailable",Z196))</f>
        <v>Under Tree</v>
      </c>
      <c r="AB196" s="0" t="s">
        <v>167</v>
      </c>
      <c r="AC196" s="6" t="str">
        <f aca="false">PROPER(AB196)</f>
        <v>Word Of Mouth</v>
      </c>
      <c r="AD196" s="6" t="n">
        <v>45</v>
      </c>
      <c r="AE196" s="5" t="n">
        <f aca="false">IF(ISBLANK(AD196),AVERAGEIF(L196:L1195,L196,AD196:AD1195),AD196)</f>
        <v>45</v>
      </c>
      <c r="AF196" s="0" t="s">
        <v>55</v>
      </c>
      <c r="AG196" s="0" t="str">
        <f aca="false">PROPER(AF196)</f>
        <v>Available</v>
      </c>
      <c r="AH196" s="0" t="s">
        <v>148</v>
      </c>
      <c r="AI196" s="0" t="s">
        <v>98</v>
      </c>
      <c r="AJ196" s="0" t="str">
        <f aca="false">PROPER(AI196)</f>
        <v>Emergency</v>
      </c>
      <c r="AK196" s="0" t="s">
        <v>99</v>
      </c>
      <c r="AL196" s="0" t="str">
        <f aca="false">PROPER(AK196)</f>
        <v>Uber Driver</v>
      </c>
      <c r="AN196" s="0" t="str">
        <f aca="false">IF(ISBLANK(AM196),"Unknown",AM196)</f>
        <v>Unknown</v>
      </c>
      <c r="AO196" s="0" t="s">
        <v>161</v>
      </c>
      <c r="AP196" s="0" t="str">
        <f aca="false">IF(ISBLANK(AO196),"Unknown",AO196)</f>
        <v>Apprentice</v>
      </c>
      <c r="AQ196" s="0" t="n">
        <v>15000</v>
      </c>
      <c r="AR196" s="5" t="n">
        <f aca="false">IF(ISBLANK(AQ196),AVERAGEIF(M196:M1195,M196,AQ196:AQ1195),AQ196)</f>
        <v>15000</v>
      </c>
      <c r="AS196" s="0" t="n">
        <v>35000</v>
      </c>
      <c r="AT196" s="5" t="n">
        <f aca="false">IF(ISBLANK(AS196),AVERAGE(AS196:AS1195),AS196)</f>
        <v>35000</v>
      </c>
      <c r="AU196" s="0" t="s">
        <v>61</v>
      </c>
      <c r="AV196" s="0" t="str">
        <f aca="false">PROPER(IF(ISBLANK(AU196),"No",AU196))</f>
        <v>No</v>
      </c>
      <c r="AX196" s="5" t="n">
        <f aca="false">IF(ISBLANK(AW196),0,AW196)</f>
        <v>0</v>
      </c>
      <c r="AY196" s="0" t="s">
        <v>80</v>
      </c>
      <c r="AZ196" s="0" t="str">
        <f aca="false">UPPER(IF(ISBLANK(AY196),"NONE",AY196))</f>
        <v>PROMO10</v>
      </c>
      <c r="BB196" s="7" t="str">
        <f aca="false">IF(ISBLANK(BA196),"No Follow Up Needed",BA196)</f>
        <v>No Follow Up Needed</v>
      </c>
      <c r="BC196" s="0" t="s">
        <v>61</v>
      </c>
      <c r="BD196" s="0" t="str">
        <f aca="false">PROPER(IF(ISBLANK(BC196),"Unknown",BC196))</f>
        <v>No</v>
      </c>
      <c r="BF196" s="0" t="str">
        <f aca="false">IF(ISBLANK(BE196),"No comments",BE196)</f>
        <v>No comments</v>
      </c>
      <c r="BG196" s="0" t="s">
        <v>2320</v>
      </c>
      <c r="BH196" s="0" t="str">
        <f aca="false">IF(ISBLANK(BG196),"No comments",BG196)</f>
        <v>No complaints</v>
      </c>
      <c r="BJ196" s="0" t="str">
        <f aca="false">IF(ISBLANK(BI196),"Not Mentioned",BI196)</f>
        <v>Not Mentioned</v>
      </c>
      <c r="BK196" s="0" t="s">
        <v>61</v>
      </c>
      <c r="BL196" s="0" t="str">
        <f aca="false">PROPER(IF(ISBLANK(BK196),"Not Mentioned",BK196))</f>
        <v>No</v>
      </c>
      <c r="BN196" s="0" t="str">
        <f aca="false">PROPER(IF(ISBLANK(BM196),"Not Mentioned",BM196))</f>
        <v>Not Mentioned</v>
      </c>
      <c r="BO196" s="0" t="s">
        <v>2318</v>
      </c>
      <c r="BP196" s="0" t="str">
        <f aca="false">IF(ISBLANK(BO196),"One-Time Plan",BO196)</f>
        <v>Gold</v>
      </c>
      <c r="BQ196" s="0" t="s">
        <v>63</v>
      </c>
      <c r="BR196" s="0" t="str">
        <f aca="false">PROPER(IF(ISBLANK(BQ196),"No",BQ196))</f>
        <v>Yes</v>
      </c>
    </row>
    <row r="197" customFormat="false" ht="15" hidden="false" customHeight="false" outlineLevel="0" collapsed="false">
      <c r="A197" s="0" t="s">
        <v>611</v>
      </c>
      <c r="B197" s="2" t="n">
        <v>45788</v>
      </c>
      <c r="C197" s="2" t="str">
        <f aca="false">TEXT(B197,"dd/mm/yyyy")</f>
        <v>11/05/2025</v>
      </c>
      <c r="D197" s="0" t="s">
        <v>66</v>
      </c>
      <c r="E197" s="0" t="n">
        <v>8063136795</v>
      </c>
      <c r="F197" s="0" t="s">
        <v>67</v>
      </c>
      <c r="G197" s="0" t="s">
        <v>2316</v>
      </c>
      <c r="H197" s="0" t="s">
        <v>612</v>
      </c>
      <c r="I197" s="0" t="s">
        <v>107</v>
      </c>
      <c r="J197" s="0" t="s">
        <v>2317</v>
      </c>
      <c r="K197" s="3" t="str">
        <f aca="false" t="array" ref="K197:K197">IFERROR(IF(J197&lt;&gt;"",J197,INDEX(J197:J1196,MATCH(1,(F197:F1196=F197)*(I197:I1196=I197)*(L197:L1196=L197)*(J197:J1196&lt;&gt;""),0))),"Not Found")</f>
        <v>Suspension Noise</v>
      </c>
      <c r="L197" s="3" t="s">
        <v>108</v>
      </c>
      <c r="M197" s="0" t="str">
        <f aca="false">PROPER(L197)</f>
        <v>Timing Belt</v>
      </c>
      <c r="O197" s="0" t="e">
        <f aca="false" t="array" ref="O197:O197">IF(N197&lt;&gt;"",N197,_xlfn.xlookup(1,(L197:L1196=L197)*(N197:N1196&lt;&gt;""),N197:N1196,"Not Found"))</f>
        <v>#NAME?</v>
      </c>
      <c r="P197" s="4" t="n">
        <v>74087</v>
      </c>
      <c r="Q197" s="0" t="s">
        <v>166</v>
      </c>
      <c r="R197" s="0" t="str">
        <f aca="false">PROPER(Q197)</f>
        <v>Transfer</v>
      </c>
      <c r="S197" s="0" t="s">
        <v>63</v>
      </c>
      <c r="T197" s="0" t="n">
        <v>2</v>
      </c>
      <c r="U197" s="5" t="n">
        <f aca="false">IF(ISBLANK(T197),AVERAGE(T197:T1196),T197)</f>
        <v>2</v>
      </c>
      <c r="V197" s="0" t="n">
        <v>5.9</v>
      </c>
      <c r="W197" s="0" t="s">
        <v>111</v>
      </c>
      <c r="X197" s="0" t="str">
        <f aca="false">IF(ISBLANK(W197),"No remarks",W197)</f>
        <v>Changed all filters</v>
      </c>
      <c r="Y197" s="0" t="s">
        <v>52</v>
      </c>
      <c r="Z197" s="0" t="s">
        <v>74</v>
      </c>
      <c r="AA197" s="0" t="str">
        <f aca="false">PROPER(IF(ISBLANK(Z197),"Location Unavailable",Z197))</f>
        <v>Under Tree</v>
      </c>
      <c r="AB197" s="0" t="s">
        <v>95</v>
      </c>
      <c r="AC197" s="6" t="str">
        <f aca="false">PROPER(AB197)</f>
        <v>Road Sign</v>
      </c>
      <c r="AE197" s="5" t="n">
        <f aca="false">IF(ISBLANK(AD197),AVERAGEIF(L197:L1196,L197,AD197:AD1196),AD197)</f>
        <v>37.6956521739131</v>
      </c>
      <c r="AF197" s="0" t="s">
        <v>160</v>
      </c>
      <c r="AG197" s="0" t="str">
        <f aca="false">PROPER(AF197)</f>
        <v>Availaible</v>
      </c>
      <c r="AH197" s="0" t="s">
        <v>155</v>
      </c>
      <c r="AI197" s="0" t="s">
        <v>98</v>
      </c>
      <c r="AJ197" s="0" t="str">
        <f aca="false">PROPER(AI197)</f>
        <v>Emergency</v>
      </c>
      <c r="AK197" s="0" t="s">
        <v>114</v>
      </c>
      <c r="AL197" s="0" t="str">
        <f aca="false">PROPER(AK197)</f>
        <v>Returning</v>
      </c>
      <c r="AN197" s="0" t="str">
        <f aca="false">IF(ISBLANK(AM197),"Unknown",AM197)</f>
        <v>Unknown</v>
      </c>
      <c r="AO197" s="0" t="s">
        <v>79</v>
      </c>
      <c r="AP197" s="0" t="str">
        <f aca="false">IF(ISBLANK(AO197),"Unknown",AO197)</f>
        <v>Specialist</v>
      </c>
      <c r="AQ197" s="0" t="n">
        <v>15000</v>
      </c>
      <c r="AR197" s="5" t="n">
        <f aca="false">IF(ISBLANK(AQ197),AVERAGEIF(M197:M1196,M197,AQ197:AQ1196),AQ197)</f>
        <v>15000</v>
      </c>
      <c r="AT197" s="5" t="n">
        <f aca="false">IF(ISBLANK(AS197),AVERAGE(AS197:AS1196),AS197)</f>
        <v>31412.3867069486</v>
      </c>
      <c r="AU197" s="0" t="s">
        <v>61</v>
      </c>
      <c r="AV197" s="0" t="str">
        <f aca="false">PROPER(IF(ISBLANK(AU197),"No",AU197))</f>
        <v>No</v>
      </c>
      <c r="AX197" s="5" t="n">
        <f aca="false">IF(ISBLANK(AW197),0,AW197)</f>
        <v>0</v>
      </c>
      <c r="AY197" s="0" t="s">
        <v>80</v>
      </c>
      <c r="AZ197" s="0" t="str">
        <f aca="false">UPPER(IF(ISBLANK(AY197),"NONE",AY197))</f>
        <v>PROMO10</v>
      </c>
      <c r="BA197" s="7" t="s">
        <v>245</v>
      </c>
      <c r="BB197" s="7" t="str">
        <f aca="false">IF(ISBLANK(BA197),"No Follow Up Needed",BA197)</f>
        <v>17/12/2025</v>
      </c>
      <c r="BC197" s="0" t="s">
        <v>61</v>
      </c>
      <c r="BD197" s="0" t="str">
        <f aca="false">PROPER(IF(ISBLANK(BC197),"Unknown",BC197))</f>
        <v>No</v>
      </c>
      <c r="BF197" s="0" t="str">
        <f aca="false">IF(ISBLANK(BE197),"No comments",BE197)</f>
        <v>No comments</v>
      </c>
      <c r="BG197" s="0" t="s">
        <v>117</v>
      </c>
      <c r="BH197" s="0" t="str">
        <f aca="false">IF(ISBLANK(BG197),"No comments",BG197)</f>
        <v>Prefers morning</v>
      </c>
      <c r="BI197" s="0" t="s">
        <v>50</v>
      </c>
      <c r="BJ197" s="0" t="str">
        <f aca="false">IF(ISBLANK(BI197),"Not Mentioned",BI197)</f>
        <v>No</v>
      </c>
      <c r="BK197" s="0" t="s">
        <v>82</v>
      </c>
      <c r="BL197" s="0" t="str">
        <f aca="false">PROPER(IF(ISBLANK(BK197),"Not Mentioned",BK197))</f>
        <v>Yes</v>
      </c>
      <c r="BM197" s="0" t="s">
        <v>63</v>
      </c>
      <c r="BN197" s="0" t="str">
        <f aca="false">PROPER(IF(ISBLANK(BM197),"Not Mentioned",BM197))</f>
        <v>Yes</v>
      </c>
      <c r="BO197" s="0" t="s">
        <v>2321</v>
      </c>
      <c r="BP197" s="0" t="str">
        <f aca="false">IF(ISBLANK(BO197),"One-Time Plan",BO197)</f>
        <v>One-Time Plan</v>
      </c>
      <c r="BQ197" s="0" t="s">
        <v>63</v>
      </c>
      <c r="BR197" s="0" t="str">
        <f aca="false">PROPER(IF(ISBLANK(BQ197),"No",BQ197))</f>
        <v>Yes</v>
      </c>
    </row>
    <row r="198" customFormat="false" ht="15" hidden="false" customHeight="false" outlineLevel="0" collapsed="false">
      <c r="A198" s="0" t="s">
        <v>613</v>
      </c>
      <c r="B198" s="2" t="n">
        <v>45671</v>
      </c>
      <c r="C198" s="2" t="str">
        <f aca="false">TEXT(B198,"dd/mm/yyyy")</f>
        <v>14/01/2025</v>
      </c>
      <c r="D198" s="0" t="s">
        <v>163</v>
      </c>
      <c r="E198" s="0" t="n">
        <v>8039339153</v>
      </c>
      <c r="F198" s="0" t="s">
        <v>85</v>
      </c>
      <c r="G198" s="0" t="s">
        <v>2319</v>
      </c>
      <c r="H198" s="0" t="s">
        <v>614</v>
      </c>
      <c r="I198" s="0" t="s">
        <v>69</v>
      </c>
      <c r="J198" s="0" t="s">
        <v>87</v>
      </c>
      <c r="K198" s="3" t="str">
        <f aca="false" t="array" ref="K198:K198">IFERROR(IF(J198&lt;&gt;"",J198,INDEX(J198:J1197,MATCH(1,(F198:F1197=F198)*(I198:I1197=I198)*(L198:L1197=L198)*(J198:J1197&lt;&gt;""),0))),"Not Found")</f>
        <v>Oil Change</v>
      </c>
      <c r="L198" s="3" t="s">
        <v>142</v>
      </c>
      <c r="M198" s="0" t="str">
        <f aca="false">PROPER(L198)</f>
        <v>Oil Filter, Brake Pads</v>
      </c>
      <c r="N198" s="3" t="s">
        <v>109</v>
      </c>
      <c r="O198" s="0" t="str">
        <f aca="false" t="array" ref="O198:O198">IF(N198&lt;&gt;"",N198,_xlfn.xlookup(1,(L198:L1197=L198)*(N198:N1197&lt;&gt;""),N198:N1197,"Not Found"))</f>
        <v>Tijani</v>
      </c>
      <c r="P198" s="4" t="n">
        <v>89505</v>
      </c>
      <c r="Q198" s="0" t="s">
        <v>110</v>
      </c>
      <c r="R198" s="0" t="str">
        <f aca="false">PROPER(Q198)</f>
        <v>Cash</v>
      </c>
      <c r="S198" s="0" t="s">
        <v>50</v>
      </c>
      <c r="T198" s="0" t="n">
        <v>3</v>
      </c>
      <c r="U198" s="5" t="n">
        <f aca="false">IF(ISBLANK(T198),AVERAGE(T198:T1197),T198)</f>
        <v>3</v>
      </c>
      <c r="V198" s="0" t="n">
        <v>2.6</v>
      </c>
      <c r="W198" s="0" t="s">
        <v>51</v>
      </c>
      <c r="X198" s="0" t="str">
        <f aca="false">IF(ISBLANK(W198),"No remarks",W198)</f>
        <v>Recommended further checks</v>
      </c>
      <c r="Y198" s="0" t="s">
        <v>73</v>
      </c>
      <c r="Z198" s="0" t="s">
        <v>136</v>
      </c>
      <c r="AA198" s="0" t="str">
        <f aca="false">PROPER(IF(ISBLANK(Z198),"Location Unavailable",Z198))</f>
        <v>Vip Section</v>
      </c>
      <c r="AB198" s="0" t="s">
        <v>54</v>
      </c>
      <c r="AC198" s="6" t="str">
        <f aca="false">PROPER(AB198)</f>
        <v>Mechanic Referral</v>
      </c>
      <c r="AD198" s="6" t="n">
        <v>15</v>
      </c>
      <c r="AE198" s="5" t="n">
        <f aca="false">IF(ISBLANK(AD198),AVERAGEIF(L198:L1197,L198,AD198:AD1197),AD198)</f>
        <v>15</v>
      </c>
      <c r="AF198" s="0" t="s">
        <v>96</v>
      </c>
      <c r="AG198" s="0" t="str">
        <f aca="false">PROPER(AF198)</f>
        <v>Ordered</v>
      </c>
      <c r="AH198" s="0" t="s">
        <v>148</v>
      </c>
      <c r="AI198" s="0" t="s">
        <v>113</v>
      </c>
      <c r="AJ198" s="0" t="str">
        <f aca="false">PROPER(AI198)</f>
        <v>Normal</v>
      </c>
      <c r="AK198" s="0" t="s">
        <v>196</v>
      </c>
      <c r="AL198" s="0" t="str">
        <f aca="false">PROPER(AK198)</f>
        <v>First Time</v>
      </c>
      <c r="AN198" s="0" t="str">
        <f aca="false">IF(ISBLANK(AM198),"Unknown",AM198)</f>
        <v>Unknown</v>
      </c>
      <c r="AO198" s="0" t="s">
        <v>149</v>
      </c>
      <c r="AP198" s="0" t="str">
        <f aca="false">IF(ISBLANK(AO198),"Unknown",AO198)</f>
        <v>Senior </v>
      </c>
      <c r="AQ198" s="0" t="n">
        <v>30000</v>
      </c>
      <c r="AR198" s="5" t="n">
        <f aca="false">IF(ISBLANK(AQ198),AVERAGEIF(M198:M1197,M198,AQ198:AQ1197),AQ198)</f>
        <v>30000</v>
      </c>
      <c r="AS198" s="0" t="n">
        <v>35000</v>
      </c>
      <c r="AT198" s="5" t="n">
        <f aca="false">IF(ISBLANK(AS198),AVERAGE(AS198:AS1197),AS198)</f>
        <v>35000</v>
      </c>
      <c r="AU198" s="0" t="s">
        <v>61</v>
      </c>
      <c r="AV198" s="0" t="str">
        <f aca="false">PROPER(IF(ISBLANK(AU198),"No",AU198))</f>
        <v>No</v>
      </c>
      <c r="AW198" s="0" t="n">
        <v>0</v>
      </c>
      <c r="AX198" s="5" t="n">
        <f aca="false">IF(ISBLANK(AW198),0,AW198)</f>
        <v>0</v>
      </c>
      <c r="AY198" s="0" t="s">
        <v>184</v>
      </c>
      <c r="AZ198" s="0" t="str">
        <f aca="false">UPPER(IF(ISBLANK(AY198),"NONE",AY198))</f>
        <v>N/A</v>
      </c>
      <c r="BA198" s="7" t="n">
        <v>45918</v>
      </c>
      <c r="BB198" s="7" t="n">
        <f aca="false">IF(ISBLANK(BA198),"No Follow Up Needed",BA198)</f>
        <v>45918</v>
      </c>
      <c r="BC198" s="0" t="s">
        <v>50</v>
      </c>
      <c r="BD198" s="0" t="str">
        <f aca="false">PROPER(IF(ISBLANK(BC198),"Unknown",BC198))</f>
        <v>No</v>
      </c>
      <c r="BE198" s="0" t="s">
        <v>116</v>
      </c>
      <c r="BF198" s="0" t="str">
        <f aca="false">IF(ISBLANK(BE198),"No comments",BE198)</f>
        <v>Needs tire alignment</v>
      </c>
      <c r="BG198" s="0" t="s">
        <v>172</v>
      </c>
      <c r="BH198" s="0" t="str">
        <f aca="false">IF(ISBLANK(BG198),"No comments",BG198)</f>
        <v>Always late</v>
      </c>
      <c r="BI198" s="0" t="s">
        <v>63</v>
      </c>
      <c r="BJ198" s="0" t="str">
        <f aca="false">IF(ISBLANK(BI198),"Not Mentioned",BI198)</f>
        <v>Yes</v>
      </c>
      <c r="BK198" s="0" t="s">
        <v>50</v>
      </c>
      <c r="BL198" s="0" t="str">
        <f aca="false">PROPER(IF(ISBLANK(BK198),"Not Mentioned",BK198))</f>
        <v>No</v>
      </c>
      <c r="BN198" s="0" t="str">
        <f aca="false">PROPER(IF(ISBLANK(BM198),"Not Mentioned",BM198))</f>
        <v>Not Mentioned</v>
      </c>
      <c r="BO198" s="0" t="s">
        <v>2321</v>
      </c>
      <c r="BP198" s="0" t="str">
        <f aca="false">IF(ISBLANK(BO198),"One-Time Plan",BO198)</f>
        <v>One-Time Plan</v>
      </c>
      <c r="BQ198" s="0" t="s">
        <v>50</v>
      </c>
      <c r="BR198" s="0" t="str">
        <f aca="false">PROPER(IF(ISBLANK(BQ198),"No",BQ198))</f>
        <v>No</v>
      </c>
    </row>
    <row r="199" customFormat="false" ht="15" hidden="false" customHeight="false" outlineLevel="0" collapsed="false">
      <c r="A199" s="0" t="s">
        <v>615</v>
      </c>
      <c r="B199" s="2" t="n">
        <v>45766</v>
      </c>
      <c r="C199" s="2" t="str">
        <f aca="false">TEXT(B199,"dd/mm/yyyy")</f>
        <v>19/04/2025</v>
      </c>
      <c r="D199" s="0" t="s">
        <v>121</v>
      </c>
      <c r="E199" s="0" t="n">
        <v>8051070495</v>
      </c>
      <c r="F199" s="0" t="s">
        <v>67</v>
      </c>
      <c r="G199" s="0" t="s">
        <v>2316</v>
      </c>
      <c r="H199" s="0" t="s">
        <v>616</v>
      </c>
      <c r="I199" s="0" t="s">
        <v>45</v>
      </c>
      <c r="J199" s="0" t="s">
        <v>87</v>
      </c>
      <c r="K199" s="3" t="str">
        <f aca="false" t="array" ref="K199:K199">IFERROR(IF(J199&lt;&gt;"",J199,INDEX(J199:J1198,MATCH(1,(F199:F1198=F199)*(I199:I1198=I199)*(L199:L1198=L199)*(J199:J1198&lt;&gt;""),0))),"Not Found")</f>
        <v>Oil Change</v>
      </c>
      <c r="L199" s="3" t="s">
        <v>154</v>
      </c>
      <c r="M199" s="0" t="str">
        <f aca="false">PROPER(L199)</f>
        <v>Air Filter</v>
      </c>
      <c r="N199" s="3" t="s">
        <v>90</v>
      </c>
      <c r="O199" s="0" t="str">
        <f aca="false" t="array" ref="O199:O199">IF(N199&lt;&gt;"",N199,_xlfn.xlookup(1,(L199:L1198=L199)*(N199:N1198&lt;&gt;""),N199:N1198,"Not Found"))</f>
        <v>Musa</v>
      </c>
      <c r="P199" s="4" t="n">
        <v>116277</v>
      </c>
      <c r="Q199" s="0" t="s">
        <v>49</v>
      </c>
      <c r="R199" s="0" t="str">
        <f aca="false">PROPER(Q199)</f>
        <v>Transfer</v>
      </c>
      <c r="S199" s="0" t="s">
        <v>50</v>
      </c>
      <c r="T199" s="0" t="n">
        <v>4</v>
      </c>
      <c r="U199" s="5" t="n">
        <f aca="false">IF(ISBLANK(T199),AVERAGE(T199:T1198),T199)</f>
        <v>4</v>
      </c>
      <c r="V199" s="0" t="n">
        <v>2.8</v>
      </c>
      <c r="W199" s="0" t="s">
        <v>51</v>
      </c>
      <c r="X199" s="0" t="str">
        <f aca="false">IF(ISBLANK(W199),"No remarks",W199)</f>
        <v>Recommended further checks</v>
      </c>
      <c r="Y199" s="0" t="s">
        <v>52</v>
      </c>
      <c r="Z199" s="0" t="s">
        <v>74</v>
      </c>
      <c r="AA199" s="0" t="str">
        <f aca="false">PROPER(IF(ISBLANK(Z199),"Location Unavailable",Z199))</f>
        <v>Under Tree</v>
      </c>
      <c r="AB199" s="0" t="s">
        <v>147</v>
      </c>
      <c r="AC199" s="6" t="str">
        <f aca="false">PROPER(AB199)</f>
        <v>Instagram</v>
      </c>
      <c r="AD199" s="6" t="n">
        <v>45</v>
      </c>
      <c r="AE199" s="5" t="n">
        <f aca="false">IF(ISBLANK(AD199),AVERAGEIF(L199:L1198,L199,AD199:AD1198),AD199)</f>
        <v>45</v>
      </c>
      <c r="AF199" s="0" t="s">
        <v>160</v>
      </c>
      <c r="AG199" s="0" t="str">
        <f aca="false">PROPER(AF199)</f>
        <v>Availaible</v>
      </c>
      <c r="AH199" s="0" t="s">
        <v>155</v>
      </c>
      <c r="AI199" s="0" t="s">
        <v>78</v>
      </c>
      <c r="AJ199" s="0" t="str">
        <f aca="false">PROPER(AI199)</f>
        <v>Booking</v>
      </c>
      <c r="AK199" s="0" t="s">
        <v>196</v>
      </c>
      <c r="AL199" s="0" t="str">
        <f aca="false">PROPER(AK199)</f>
        <v>First Time</v>
      </c>
      <c r="AN199" s="0" t="str">
        <f aca="false">IF(ISBLANK(AM199),"Unknown",AM199)</f>
        <v>Unknown</v>
      </c>
      <c r="AP199" s="0" t="str">
        <f aca="false">IF(ISBLANK(AO199),"Unknown",AO199)</f>
        <v>Unknown</v>
      </c>
      <c r="AQ199" s="0" t="n">
        <v>40000</v>
      </c>
      <c r="AR199" s="5" t="n">
        <f aca="false">IF(ISBLANK(AQ199),AVERAGEIF(M199:M1198,M199,AQ199:AQ1198),AQ199)</f>
        <v>40000</v>
      </c>
      <c r="AT199" s="5" t="n">
        <f aca="false">IF(ISBLANK(AS199),AVERAGE(AS199:AS1198),AS199)</f>
        <v>31406.9591527988</v>
      </c>
      <c r="AU199" s="0" t="s">
        <v>63</v>
      </c>
      <c r="AV199" s="0" t="str">
        <f aca="false">PROPER(IF(ISBLANK(AU199),"No",AU199))</f>
        <v>Yes</v>
      </c>
      <c r="AW199" s="0" t="n">
        <v>5000</v>
      </c>
      <c r="AX199" s="5" t="n">
        <f aca="false">IF(ISBLANK(AW199),0,AW199)</f>
        <v>5000</v>
      </c>
      <c r="AY199" s="0" t="s">
        <v>80</v>
      </c>
      <c r="AZ199" s="0" t="str">
        <f aca="false">UPPER(IF(ISBLANK(AY199),"NONE",AY199))</f>
        <v>PROMO10</v>
      </c>
      <c r="BA199" s="7" t="n">
        <v>45907</v>
      </c>
      <c r="BB199" s="7" t="n">
        <f aca="false">IF(ISBLANK(BA199),"No Follow Up Needed",BA199)</f>
        <v>45907</v>
      </c>
      <c r="BC199" s="0" t="s">
        <v>50</v>
      </c>
      <c r="BD199" s="0" t="str">
        <f aca="false">PROPER(IF(ISBLANK(BC199),"Unknown",BC199))</f>
        <v>No</v>
      </c>
      <c r="BE199" s="0" t="s">
        <v>171</v>
      </c>
      <c r="BF199" s="0" t="str">
        <f aca="false">IF(ISBLANK(BE199),"No comments",BE199)</f>
        <v>Shock absorber weakening</v>
      </c>
      <c r="BG199" s="0" t="s">
        <v>2320</v>
      </c>
      <c r="BH199" s="0" t="str">
        <f aca="false">IF(ISBLANK(BG199),"No comments",BG199)</f>
        <v>No complaints</v>
      </c>
      <c r="BI199" s="0" t="s">
        <v>50</v>
      </c>
      <c r="BJ199" s="0" t="str">
        <f aca="false">IF(ISBLANK(BI199),"Not Mentioned",BI199)</f>
        <v>No</v>
      </c>
      <c r="BL199" s="0" t="str">
        <f aca="false">PROPER(IF(ISBLANK(BK199),"Not Mentioned",BK199))</f>
        <v>Not Mentioned</v>
      </c>
      <c r="BN199" s="0" t="str">
        <f aca="false">PROPER(IF(ISBLANK(BM199),"Not Mentioned",BM199))</f>
        <v>Not Mentioned</v>
      </c>
      <c r="BP199" s="0" t="str">
        <f aca="false">IF(ISBLANK(BO199),"One-Time Plan",BO199)</f>
        <v>One-Time Plan</v>
      </c>
      <c r="BQ199" s="0" t="s">
        <v>190</v>
      </c>
      <c r="BR199" s="0" t="str">
        <f aca="false">PROPER(IF(ISBLANK(BQ199),"No",BQ199))</f>
        <v>Yes</v>
      </c>
    </row>
    <row r="200" customFormat="false" ht="15" hidden="false" customHeight="false" outlineLevel="0" collapsed="false">
      <c r="A200" s="0" t="s">
        <v>617</v>
      </c>
      <c r="B200" s="2" t="n">
        <v>45758</v>
      </c>
      <c r="C200" s="2" t="str">
        <f aca="false">TEXT(B200,"dd/mm/yyyy")</f>
        <v>11/04/2025</v>
      </c>
      <c r="D200" s="0" t="s">
        <v>121</v>
      </c>
      <c r="E200" s="0" t="n">
        <v>8067045601</v>
      </c>
      <c r="F200" s="0" t="s">
        <v>122</v>
      </c>
      <c r="G200" s="0" t="s">
        <v>2316</v>
      </c>
      <c r="H200" s="0" t="s">
        <v>618</v>
      </c>
      <c r="I200" s="0" t="s">
        <v>107</v>
      </c>
      <c r="J200" s="0" t="s">
        <v>87</v>
      </c>
      <c r="K200" s="3" t="str">
        <f aca="false" t="array" ref="K200:K200">IFERROR(IF(J200&lt;&gt;"",J200,INDEX(J200:J1199,MATCH(1,(F200:F1199=F200)*(I200:I1199=I200)*(L200:L1199=L200)*(J200:J1199&lt;&gt;""),0))),"Not Found")</f>
        <v>Oil Change</v>
      </c>
      <c r="L200" s="3" t="s">
        <v>142</v>
      </c>
      <c r="M200" s="0" t="str">
        <f aca="false">PROPER(L200)</f>
        <v>Oil Filter, Brake Pads</v>
      </c>
      <c r="N200" s="3" t="s">
        <v>71</v>
      </c>
      <c r="O200" s="0" t="str">
        <f aca="false" t="array" ref="O200:O200">IF(N200&lt;&gt;"",N200,_xlfn.xlookup(1,(L200:L1199=L200)*(N200:N1199&lt;&gt;""),N200:N1199,"Not Found"))</f>
        <v>Isaac Bobo</v>
      </c>
      <c r="P200" s="4" t="n">
        <v>99917</v>
      </c>
      <c r="Q200" s="0" t="s">
        <v>72</v>
      </c>
      <c r="R200" s="0" t="str">
        <f aca="false">PROPER(Q200)</f>
        <v>Pos</v>
      </c>
      <c r="S200" s="0" t="s">
        <v>63</v>
      </c>
      <c r="T200" s="0" t="n">
        <v>2</v>
      </c>
      <c r="U200" s="5" t="n">
        <f aca="false">IF(ISBLANK(T200),AVERAGE(T200:T1199),T200)</f>
        <v>2</v>
      </c>
      <c r="V200" s="0" t="n">
        <v>1.4</v>
      </c>
      <c r="W200" s="0" t="s">
        <v>111</v>
      </c>
      <c r="X200" s="0" t="str">
        <f aca="false">IF(ISBLANK(W200),"No remarks",W200)</f>
        <v>Changed all filters</v>
      </c>
      <c r="Y200" s="0" t="s">
        <v>52</v>
      </c>
      <c r="Z200" s="0" t="s">
        <v>94</v>
      </c>
      <c r="AA200" s="0" t="str">
        <f aca="false">PROPER(IF(ISBLANK(Z200),"Location Unavailable",Z200))</f>
        <v>Vip Section</v>
      </c>
      <c r="AB200" s="0" t="s">
        <v>167</v>
      </c>
      <c r="AC200" s="6" t="str">
        <f aca="false">PROPER(AB200)</f>
        <v>Word Of Mouth</v>
      </c>
      <c r="AD200" s="6" t="n">
        <v>45</v>
      </c>
      <c r="AE200" s="5" t="n">
        <f aca="false">IF(ISBLANK(AD200),AVERAGEIF(L200:L1199,L200,AD200:AD1199),AD200)</f>
        <v>45</v>
      </c>
      <c r="AF200" s="0" t="s">
        <v>55</v>
      </c>
      <c r="AG200" s="0" t="str">
        <f aca="false">PROPER(AF200)</f>
        <v>Available</v>
      </c>
      <c r="AH200" s="0" t="s">
        <v>155</v>
      </c>
      <c r="AI200" s="0" t="s">
        <v>98</v>
      </c>
      <c r="AJ200" s="0" t="str">
        <f aca="false">PROPER(AI200)</f>
        <v>Emergency</v>
      </c>
      <c r="AK200" s="0" t="s">
        <v>196</v>
      </c>
      <c r="AL200" s="0" t="str">
        <f aca="false">PROPER(AK200)</f>
        <v>First Time</v>
      </c>
      <c r="AM200" s="0" t="s">
        <v>177</v>
      </c>
      <c r="AN200" s="0" t="str">
        <f aca="false">IF(ISBLANK(AM200),"Unknown",AM200)</f>
        <v>Private</v>
      </c>
      <c r="AO200" s="0" t="s">
        <v>149</v>
      </c>
      <c r="AP200" s="0" t="str">
        <f aca="false">IF(ISBLANK(AO200),"Unknown",AO200)</f>
        <v>Senior </v>
      </c>
      <c r="AQ200" s="0" t="n">
        <v>40000</v>
      </c>
      <c r="AR200" s="5" t="n">
        <f aca="false">IF(ISBLANK(AQ200),AVERAGEIF(M200:M1199,M200,AQ200:AQ1199),AQ200)</f>
        <v>40000</v>
      </c>
      <c r="AS200" s="0" t="n">
        <v>40000</v>
      </c>
      <c r="AT200" s="5" t="n">
        <f aca="false">IF(ISBLANK(AS200),AVERAGE(AS200:AS1199),AS200)</f>
        <v>40000</v>
      </c>
      <c r="AU200" s="0" t="s">
        <v>50</v>
      </c>
      <c r="AV200" s="0" t="str">
        <f aca="false">PROPER(IF(ISBLANK(AU200),"No",AU200))</f>
        <v>No</v>
      </c>
      <c r="AW200" s="0" t="n">
        <v>5000</v>
      </c>
      <c r="AX200" s="5" t="n">
        <f aca="false">IF(ISBLANK(AW200),0,AW200)</f>
        <v>5000</v>
      </c>
      <c r="AY200" s="0" t="s">
        <v>184</v>
      </c>
      <c r="AZ200" s="0" t="str">
        <f aca="false">UPPER(IF(ISBLANK(AY200),"NONE",AY200))</f>
        <v>N/A</v>
      </c>
      <c r="BA200" s="7" t="n">
        <v>45931</v>
      </c>
      <c r="BB200" s="7" t="n">
        <f aca="false">IF(ISBLANK(BA200),"No Follow Up Needed",BA200)</f>
        <v>45931</v>
      </c>
      <c r="BD200" s="0" t="str">
        <f aca="false">PROPER(IF(ISBLANK(BC200),"Unknown",BC200))</f>
        <v>Unknown</v>
      </c>
      <c r="BE200" s="0" t="s">
        <v>171</v>
      </c>
      <c r="BF200" s="0" t="str">
        <f aca="false">IF(ISBLANK(BE200),"No comments",BE200)</f>
        <v>Shock absorber weakening</v>
      </c>
      <c r="BH200" s="0" t="str">
        <f aca="false">IF(ISBLANK(BG200),"No comments",BG200)</f>
        <v>No comments</v>
      </c>
      <c r="BJ200" s="0" t="str">
        <f aca="false">IF(ISBLANK(BI200),"Not Mentioned",BI200)</f>
        <v>Not Mentioned</v>
      </c>
      <c r="BK200" s="0" t="s">
        <v>61</v>
      </c>
      <c r="BL200" s="0" t="str">
        <f aca="false">PROPER(IF(ISBLANK(BK200),"Not Mentioned",BK200))</f>
        <v>No</v>
      </c>
      <c r="BM200" s="0" t="s">
        <v>63</v>
      </c>
      <c r="BN200" s="0" t="str">
        <f aca="false">PROPER(IF(ISBLANK(BM200),"Not Mentioned",BM200))</f>
        <v>Yes</v>
      </c>
      <c r="BP200" s="0" t="str">
        <f aca="false">IF(ISBLANK(BO200),"One-Time Plan",BO200)</f>
        <v>One-Time Plan</v>
      </c>
      <c r="BQ200" s="0" t="s">
        <v>50</v>
      </c>
      <c r="BR200" s="0" t="str">
        <f aca="false">PROPER(IF(ISBLANK(BQ200),"No",BQ200))</f>
        <v>No</v>
      </c>
    </row>
    <row r="201" customFormat="false" ht="15" hidden="false" customHeight="false" outlineLevel="0" collapsed="false">
      <c r="A201" s="0" t="s">
        <v>619</v>
      </c>
      <c r="B201" s="2" t="n">
        <v>45688</v>
      </c>
      <c r="C201" s="2" t="str">
        <f aca="false">TEXT(B201,"dd/mm/yyyy")</f>
        <v>31/01/2025</v>
      </c>
      <c r="D201" s="0" t="s">
        <v>163</v>
      </c>
      <c r="E201" s="0" t="n">
        <v>8060611218</v>
      </c>
      <c r="F201" s="0" t="s">
        <v>85</v>
      </c>
      <c r="G201" s="0" t="s">
        <v>2319</v>
      </c>
      <c r="H201" s="0" t="s">
        <v>620</v>
      </c>
      <c r="I201" s="0" t="s">
        <v>107</v>
      </c>
      <c r="J201" s="0" t="s">
        <v>2322</v>
      </c>
      <c r="K201" s="3" t="str">
        <f aca="false" t="array" ref="K201:K201">IFERROR(IF(J201&lt;&gt;"",J201,INDEX(J201:J1200,MATCH(1,(F201:F1200=F201)*(I201:I1200=I201)*(L201:L1200=L201)*(J201:J1200&lt;&gt;""),0))),"Not Found")</f>
        <v>Brake Failure</v>
      </c>
      <c r="L201" s="3" t="s">
        <v>142</v>
      </c>
      <c r="M201" s="0" t="str">
        <f aca="false">PROPER(L201)</f>
        <v>Oil Filter, Brake Pads</v>
      </c>
      <c r="N201" s="3" t="s">
        <v>109</v>
      </c>
      <c r="O201" s="0" t="str">
        <f aca="false" t="array" ref="O201:O201">IF(N201&lt;&gt;"",N201,_xlfn.xlookup(1,(L201:L1200=L201)*(N201:N1200&lt;&gt;""),N201:N1200,"Not Found"))</f>
        <v>Tijani</v>
      </c>
      <c r="P201" s="4" t="n">
        <v>71027</v>
      </c>
      <c r="Q201" s="0" t="s">
        <v>72</v>
      </c>
      <c r="R201" s="0" t="str">
        <f aca="false">PROPER(Q201)</f>
        <v>Pos</v>
      </c>
      <c r="S201" s="0" t="s">
        <v>63</v>
      </c>
      <c r="U201" s="5" t="n">
        <f aca="false">IF(ISBLANK(T201),AVERAGE(T201:T1200),T201)</f>
        <v>3.00603318250377</v>
      </c>
      <c r="V201" s="0" t="n">
        <v>1.3</v>
      </c>
      <c r="W201" s="0" t="s">
        <v>51</v>
      </c>
      <c r="X201" s="0" t="str">
        <f aca="false">IF(ISBLANK(W201),"No remarks",W201)</f>
        <v>Recommended further checks</v>
      </c>
      <c r="Y201" s="0" t="s">
        <v>93</v>
      </c>
      <c r="Z201" s="0" t="s">
        <v>53</v>
      </c>
      <c r="AA201" s="0" t="str">
        <f aca="false">PROPER(IF(ISBLANK(Z201),"Location Unavailable",Z201))</f>
        <v>Main Bay</v>
      </c>
      <c r="AB201" s="0" t="s">
        <v>54</v>
      </c>
      <c r="AC201" s="6" t="str">
        <f aca="false">PROPER(AB201)</f>
        <v>Mechanic Referral</v>
      </c>
      <c r="AD201" s="6" t="n">
        <v>30</v>
      </c>
      <c r="AE201" s="5" t="n">
        <f aca="false">IF(ISBLANK(AD201),AVERAGEIF(L201:L1200,L201,AD201:AD1200),AD201)</f>
        <v>30</v>
      </c>
      <c r="AF201" s="0" t="s">
        <v>112</v>
      </c>
      <c r="AG201" s="0" t="str">
        <f aca="false">PROPER(AF201)</f>
        <v>Unavailable</v>
      </c>
      <c r="AH201" s="0" t="s">
        <v>56</v>
      </c>
      <c r="AI201" s="0" t="s">
        <v>98</v>
      </c>
      <c r="AJ201" s="0" t="str">
        <f aca="false">PROPER(AI201)</f>
        <v>Emergency</v>
      </c>
      <c r="AK201" s="0" t="s">
        <v>114</v>
      </c>
      <c r="AL201" s="0" t="str">
        <f aca="false">PROPER(AK201)</f>
        <v>Returning</v>
      </c>
      <c r="AN201" s="0" t="str">
        <f aca="false">IF(ISBLANK(AM201),"Unknown",AM201)</f>
        <v>Unknown</v>
      </c>
      <c r="AO201" s="0" t="s">
        <v>149</v>
      </c>
      <c r="AP201" s="0" t="str">
        <f aca="false">IF(ISBLANK(AO201),"Unknown",AO201)</f>
        <v>Senior </v>
      </c>
      <c r="AQ201" s="0" t="n">
        <v>15000</v>
      </c>
      <c r="AR201" s="5" t="n">
        <f aca="false">IF(ISBLANK(AQ201),AVERAGEIF(M201:M1200,M201,AQ201:AQ1200),AQ201)</f>
        <v>15000</v>
      </c>
      <c r="AS201" s="0" t="n">
        <v>30000</v>
      </c>
      <c r="AT201" s="5" t="n">
        <f aca="false">IF(ISBLANK(AS201),AVERAGE(AS201:AS1200),AS201)</f>
        <v>30000</v>
      </c>
      <c r="AV201" s="0" t="str">
        <f aca="false">PROPER(IF(ISBLANK(AU201),"No",AU201))</f>
        <v>No</v>
      </c>
      <c r="AW201" s="0" t="n">
        <v>10000</v>
      </c>
      <c r="AX201" s="5" t="n">
        <f aca="false">IF(ISBLANK(AW201),0,AW201)</f>
        <v>10000</v>
      </c>
      <c r="AY201" s="0" t="s">
        <v>80</v>
      </c>
      <c r="AZ201" s="0" t="str">
        <f aca="false">UPPER(IF(ISBLANK(AY201),"NONE",AY201))</f>
        <v>PROMO10</v>
      </c>
      <c r="BB201" s="7" t="str">
        <f aca="false">IF(ISBLANK(BA201),"No Follow Up Needed",BA201)</f>
        <v>No Follow Up Needed</v>
      </c>
      <c r="BC201" s="0" t="s">
        <v>63</v>
      </c>
      <c r="BD201" s="0" t="str">
        <f aca="false">PROPER(IF(ISBLANK(BC201),"Unknown",BC201))</f>
        <v>Yes</v>
      </c>
      <c r="BE201" s="0" t="s">
        <v>171</v>
      </c>
      <c r="BF201" s="0" t="str">
        <f aca="false">IF(ISBLANK(BE201),"No comments",BE201)</f>
        <v>Shock absorber weakening</v>
      </c>
      <c r="BH201" s="0" t="str">
        <f aca="false">IF(ISBLANK(BG201),"No comments",BG201)</f>
        <v>No comments</v>
      </c>
      <c r="BI201" s="0" t="s">
        <v>63</v>
      </c>
      <c r="BJ201" s="0" t="str">
        <f aca="false">IF(ISBLANK(BI201),"Not Mentioned",BI201)</f>
        <v>Yes</v>
      </c>
      <c r="BK201" s="0" t="s">
        <v>50</v>
      </c>
      <c r="BL201" s="0" t="str">
        <f aca="false">PROPER(IF(ISBLANK(BK201),"Not Mentioned",BK201))</f>
        <v>No</v>
      </c>
      <c r="BM201" s="0" t="s">
        <v>63</v>
      </c>
      <c r="BN201" s="0" t="str">
        <f aca="false">PROPER(IF(ISBLANK(BM201),"Not Mentioned",BM201))</f>
        <v>Yes</v>
      </c>
      <c r="BO201" s="0" t="s">
        <v>2321</v>
      </c>
      <c r="BP201" s="0" t="str">
        <f aca="false">IF(ISBLANK(BO201),"One-Time Plan",BO201)</f>
        <v>One-Time Plan</v>
      </c>
      <c r="BQ201" s="0" t="s">
        <v>190</v>
      </c>
      <c r="BR201" s="0" t="str">
        <f aca="false">PROPER(IF(ISBLANK(BQ201),"No",BQ201))</f>
        <v>Yes</v>
      </c>
    </row>
    <row r="202" customFormat="false" ht="15" hidden="false" customHeight="false" outlineLevel="0" collapsed="false">
      <c r="A202" s="0" t="s">
        <v>621</v>
      </c>
      <c r="B202" s="2" t="n">
        <v>45738</v>
      </c>
      <c r="C202" s="2" t="str">
        <f aca="false">TEXT(B202,"dd/mm/yyyy")</f>
        <v>22/03/2025</v>
      </c>
      <c r="D202" s="0" t="s">
        <v>66</v>
      </c>
      <c r="E202" s="0" t="n">
        <v>8086688035</v>
      </c>
      <c r="F202" s="0" t="s">
        <v>139</v>
      </c>
      <c r="G202" s="0" t="s">
        <v>2323</v>
      </c>
      <c r="H202" s="0" t="s">
        <v>622</v>
      </c>
      <c r="I202" s="0" t="s">
        <v>45</v>
      </c>
      <c r="J202" s="0" t="s">
        <v>2322</v>
      </c>
      <c r="K202" s="3" t="str">
        <f aca="false" t="array" ref="K202:K202">IFERROR(IF(J202&lt;&gt;"",J202,INDEX(J202:J1201,MATCH(1,(F202:F1201=F202)*(I202:I1201=I202)*(L202:L1201=L202)*(J202:J1201&lt;&gt;""),0))),"Not Found")</f>
        <v>Brake Failure</v>
      </c>
      <c r="L202" s="3" t="s">
        <v>89</v>
      </c>
      <c r="M202" s="0" t="str">
        <f aca="false">PROPER(L202)</f>
        <v>Shock Absorbers</v>
      </c>
      <c r="N202" s="3" t="s">
        <v>109</v>
      </c>
      <c r="O202" s="0" t="str">
        <f aca="false" t="array" ref="O202:O202">IF(N202&lt;&gt;"",N202,_xlfn.xlookup(1,(L202:L1201=L202)*(N202:N1201&lt;&gt;""),N202:N1201,"Not Found"))</f>
        <v>Tijani</v>
      </c>
      <c r="P202" s="4" t="n">
        <v>77977</v>
      </c>
      <c r="Q202" s="0" t="s">
        <v>72</v>
      </c>
      <c r="R202" s="0" t="str">
        <f aca="false">PROPER(Q202)</f>
        <v>Pos</v>
      </c>
      <c r="S202" s="0" t="s">
        <v>50</v>
      </c>
      <c r="T202" s="0" t="n">
        <v>1</v>
      </c>
      <c r="U202" s="5" t="n">
        <f aca="false">IF(ISBLANK(T202),AVERAGE(T202:T1201),T202)</f>
        <v>1</v>
      </c>
      <c r="V202" s="0" t="n">
        <v>2.7</v>
      </c>
      <c r="W202" s="0" t="s">
        <v>111</v>
      </c>
      <c r="X202" s="0" t="str">
        <f aca="false">IF(ISBLANK(W202),"No remarks",W202)</f>
        <v>Changed all filters</v>
      </c>
      <c r="Y202" s="0" t="s">
        <v>93</v>
      </c>
      <c r="Z202" s="0" t="s">
        <v>74</v>
      </c>
      <c r="AA202" s="0" t="str">
        <f aca="false">PROPER(IF(ISBLANK(Z202),"Location Unavailable",Z202))</f>
        <v>Under Tree</v>
      </c>
      <c r="AB202" s="0" t="s">
        <v>126</v>
      </c>
      <c r="AC202" s="6" t="str">
        <f aca="false">PROPER(AB202)</f>
        <v>Whatsapp</v>
      </c>
      <c r="AE202" s="5" t="n">
        <f aca="false">IF(ISBLANK(AD202),AVERAGEIF(L202:L1201,L202,AD202:AD1201),AD202)</f>
        <v>40.2155172413793</v>
      </c>
      <c r="AF202" s="0" t="s">
        <v>76</v>
      </c>
      <c r="AG202" s="0" t="str">
        <f aca="false">PROPER(AF202)</f>
        <v>Orderd</v>
      </c>
      <c r="AH202" s="0" t="s">
        <v>56</v>
      </c>
      <c r="AI202" s="0" t="s">
        <v>113</v>
      </c>
      <c r="AJ202" s="0" t="str">
        <f aca="false">PROPER(AI202)</f>
        <v>Normal</v>
      </c>
      <c r="AK202" s="0" t="s">
        <v>58</v>
      </c>
      <c r="AL202" s="0" t="str">
        <f aca="false">PROPER(AK202)</f>
        <v>Fleet Owner</v>
      </c>
      <c r="AN202" s="0" t="str">
        <f aca="false">IF(ISBLANK(AM202),"Unknown",AM202)</f>
        <v>Unknown</v>
      </c>
      <c r="AO202" s="0" t="s">
        <v>161</v>
      </c>
      <c r="AP202" s="0" t="str">
        <f aca="false">IF(ISBLANK(AO202),"Unknown",AO202)</f>
        <v>Apprentice</v>
      </c>
      <c r="AR202" s="5" t="n">
        <f aca="false">IF(ISBLANK(AQ202),AVERAGEIF(M202:M1201,M202,AQ202:AQ1201),AQ202)</f>
        <v>26100.9174311927</v>
      </c>
      <c r="AT202" s="5" t="n">
        <f aca="false">IF(ISBLANK(AS202),AVERAGE(AS202:AS1201),AS202)</f>
        <v>31396.0546282246</v>
      </c>
      <c r="AU202" s="0" t="s">
        <v>63</v>
      </c>
      <c r="AV202" s="0" t="str">
        <f aca="false">PROPER(IF(ISBLANK(AU202),"No",AU202))</f>
        <v>Yes</v>
      </c>
      <c r="AW202" s="0" t="n">
        <v>0</v>
      </c>
      <c r="AX202" s="5" t="n">
        <f aca="false">IF(ISBLANK(AW202),0,AW202)</f>
        <v>0</v>
      </c>
      <c r="AY202" s="0" t="s">
        <v>80</v>
      </c>
      <c r="AZ202" s="0" t="str">
        <f aca="false">UPPER(IF(ISBLANK(AY202),"NONE",AY202))</f>
        <v>PROMO10</v>
      </c>
      <c r="BB202" s="7" t="str">
        <f aca="false">IF(ISBLANK(BA202),"No Follow Up Needed",BA202)</f>
        <v>No Follow Up Needed</v>
      </c>
      <c r="BC202" s="0" t="s">
        <v>50</v>
      </c>
      <c r="BD202" s="0" t="str">
        <f aca="false">PROPER(IF(ISBLANK(BC202),"Unknown",BC202))</f>
        <v>No</v>
      </c>
      <c r="BF202" s="0" t="str">
        <f aca="false">IF(ISBLANK(BE202),"No comments",BE202)</f>
        <v>No comments</v>
      </c>
      <c r="BG202" s="0" t="s">
        <v>2320</v>
      </c>
      <c r="BH202" s="0" t="str">
        <f aca="false">IF(ISBLANK(BG202),"No comments",BG202)</f>
        <v>No complaints</v>
      </c>
      <c r="BI202" s="0" t="s">
        <v>63</v>
      </c>
      <c r="BJ202" s="0" t="str">
        <f aca="false">IF(ISBLANK(BI202),"Not Mentioned",BI202)</f>
        <v>Yes</v>
      </c>
      <c r="BK202" s="0" t="s">
        <v>82</v>
      </c>
      <c r="BL202" s="0" t="str">
        <f aca="false">PROPER(IF(ISBLANK(BK202),"Not Mentioned",BK202))</f>
        <v>Yes</v>
      </c>
      <c r="BN202" s="0" t="str">
        <f aca="false">PROPER(IF(ISBLANK(BM202),"Not Mentioned",BM202))</f>
        <v>Not Mentioned</v>
      </c>
      <c r="BO202" s="0" t="s">
        <v>2321</v>
      </c>
      <c r="BP202" s="0" t="str">
        <f aca="false">IF(ISBLANK(BO202),"One-Time Plan",BO202)</f>
        <v>One-Time Plan</v>
      </c>
      <c r="BQ202" s="0" t="s">
        <v>50</v>
      </c>
      <c r="BR202" s="0" t="str">
        <f aca="false">PROPER(IF(ISBLANK(BQ202),"No",BQ202))</f>
        <v>No</v>
      </c>
    </row>
    <row r="203" customFormat="false" ht="15" hidden="false" customHeight="false" outlineLevel="0" collapsed="false">
      <c r="A203" s="0" t="s">
        <v>623</v>
      </c>
      <c r="B203" s="2" t="n">
        <v>45748</v>
      </c>
      <c r="C203" s="2" t="str">
        <f aca="false">TEXT(B203,"dd/mm/yyyy")</f>
        <v>01/04/2025</v>
      </c>
      <c r="D203" s="0" t="s">
        <v>66</v>
      </c>
      <c r="E203" s="0" t="n">
        <v>8031100279</v>
      </c>
      <c r="F203" s="0" t="s">
        <v>43</v>
      </c>
      <c r="G203" s="0" t="s">
        <v>2315</v>
      </c>
      <c r="H203" s="0" t="s">
        <v>624</v>
      </c>
      <c r="I203" s="0" t="s">
        <v>134</v>
      </c>
      <c r="J203" s="0" t="s">
        <v>2325</v>
      </c>
      <c r="K203" s="3" t="str">
        <f aca="false" t="array" ref="K203:K203">IFERROR(IF(J203&lt;&gt;"",J203,INDEX(J203:J1202,MATCH(1,(F203:F1202=F203)*(I203:I1202=I203)*(L203:L1202=L203)*(J203:J1202&lt;&gt;""),0))),"Not Found")</f>
        <v>Engine Knocking</v>
      </c>
      <c r="L203" s="3" t="s">
        <v>142</v>
      </c>
      <c r="M203" s="0" t="str">
        <f aca="false">PROPER(L203)</f>
        <v>Oil Filter, Brake Pads</v>
      </c>
      <c r="N203" s="3" t="s">
        <v>48</v>
      </c>
      <c r="O203" s="0" t="str">
        <f aca="false" t="array" ref="O203:O203">IF(N203&lt;&gt;"",N203,_xlfn.xlookup(1,(L203:L1202=L203)*(N203:N1202&lt;&gt;""),N203:N1202,"Not Found"))</f>
        <v>Uche</v>
      </c>
      <c r="P203" s="4" t="n">
        <v>75989</v>
      </c>
      <c r="Q203" s="0" t="s">
        <v>124</v>
      </c>
      <c r="R203" s="0" t="str">
        <f aca="false">PROPER(Q203)</f>
        <v>Cash</v>
      </c>
      <c r="S203" s="0" t="s">
        <v>50</v>
      </c>
      <c r="T203" s="0" t="n">
        <v>1</v>
      </c>
      <c r="U203" s="5" t="n">
        <f aca="false">IF(ISBLANK(T203),AVERAGE(T203:T1202),T203)</f>
        <v>1</v>
      </c>
      <c r="V203" s="0" t="n">
        <v>1.3</v>
      </c>
      <c r="X203" s="0" t="str">
        <f aca="false">IF(ISBLANK(W203),"No remarks",W203)</f>
        <v>No remarks</v>
      </c>
      <c r="Y203" s="0" t="s">
        <v>73</v>
      </c>
      <c r="AA203" s="0" t="str">
        <f aca="false">PROPER(IF(ISBLANK(Z203),"Location Unavailable",Z203))</f>
        <v>Location Unavailable</v>
      </c>
      <c r="AB203" s="0" t="s">
        <v>54</v>
      </c>
      <c r="AC203" s="6" t="str">
        <f aca="false">PROPER(AB203)</f>
        <v>Mechanic Referral</v>
      </c>
      <c r="AE203" s="5" t="n">
        <f aca="false">IF(ISBLANK(AD203),AVERAGEIF(L203:L1202,L203,AD203:AD1202),AD203)</f>
        <v>39.3913043478261</v>
      </c>
      <c r="AF203" s="0" t="s">
        <v>160</v>
      </c>
      <c r="AG203" s="0" t="str">
        <f aca="false">PROPER(AF203)</f>
        <v>Availaible</v>
      </c>
      <c r="AH203" s="0" t="s">
        <v>155</v>
      </c>
      <c r="AI203" s="0" t="s">
        <v>128</v>
      </c>
      <c r="AJ203" s="0" t="str">
        <f aca="false">PROPER(AI203)</f>
        <v>Normal</v>
      </c>
      <c r="AK203" s="0" t="s">
        <v>196</v>
      </c>
      <c r="AL203" s="0" t="str">
        <f aca="false">PROPER(AK203)</f>
        <v>First Time</v>
      </c>
      <c r="AN203" s="0" t="str">
        <f aca="false">IF(ISBLANK(AM203),"Unknown",AM203)</f>
        <v>Unknown</v>
      </c>
      <c r="AO203" s="0" t="s">
        <v>143</v>
      </c>
      <c r="AP203" s="0" t="str">
        <f aca="false">IF(ISBLANK(AO203),"Unknown",AO203)</f>
        <v>Senior</v>
      </c>
      <c r="AR203" s="5" t="n">
        <f aca="false">IF(ISBLANK(AQ203),AVERAGEIF(M203:M1202,M203,AQ203:AQ1202),AQ203)</f>
        <v>26636.3636363636</v>
      </c>
      <c r="AT203" s="5" t="n">
        <f aca="false">IF(ISBLANK(AS203),AVERAGE(AS203:AS1202),AS203)</f>
        <v>31396.0546282246</v>
      </c>
      <c r="AV203" s="0" t="str">
        <f aca="false">PROPER(IF(ISBLANK(AU203),"No",AU203))</f>
        <v>No</v>
      </c>
      <c r="AW203" s="0" t="n">
        <v>10000</v>
      </c>
      <c r="AX203" s="5" t="n">
        <f aca="false">IF(ISBLANK(AW203),0,AW203)</f>
        <v>10000</v>
      </c>
      <c r="AY203" s="0" t="s">
        <v>130</v>
      </c>
      <c r="AZ203" s="0" t="str">
        <f aca="false">UPPER(IF(ISBLANK(AY203),"NONE",AY203))</f>
        <v>LOYALTY10</v>
      </c>
      <c r="BA203" s="7" t="s">
        <v>625</v>
      </c>
      <c r="BB203" s="7" t="str">
        <f aca="false">IF(ISBLANK(BA203),"No Follow Up Needed",BA203)</f>
        <v>18/08/2025</v>
      </c>
      <c r="BD203" s="0" t="str">
        <f aca="false">PROPER(IF(ISBLANK(BC203),"Unknown",BC203))</f>
        <v>Unknown</v>
      </c>
      <c r="BE203" s="0" t="s">
        <v>171</v>
      </c>
      <c r="BF203" s="0" t="str">
        <f aca="false">IF(ISBLANK(BE203),"No comments",BE203)</f>
        <v>Shock absorber weakening</v>
      </c>
      <c r="BG203" s="0" t="s">
        <v>2320</v>
      </c>
      <c r="BH203" s="0" t="str">
        <f aca="false">IF(ISBLANK(BG203),"No comments",BG203)</f>
        <v>No complaints</v>
      </c>
      <c r="BJ203" s="0" t="str">
        <f aca="false">IF(ISBLANK(BI203),"Not Mentioned",BI203)</f>
        <v>Not Mentioned</v>
      </c>
      <c r="BK203" s="0" t="s">
        <v>82</v>
      </c>
      <c r="BL203" s="0" t="str">
        <f aca="false">PROPER(IF(ISBLANK(BK203),"Not Mentioned",BK203))</f>
        <v>Yes</v>
      </c>
      <c r="BN203" s="0" t="str">
        <f aca="false">PROPER(IF(ISBLANK(BM203),"Not Mentioned",BM203))</f>
        <v>Not Mentioned</v>
      </c>
      <c r="BO203" s="0" t="s">
        <v>2321</v>
      </c>
      <c r="BP203" s="0" t="str">
        <f aca="false">IF(ISBLANK(BO203),"One-Time Plan",BO203)</f>
        <v>One-Time Plan</v>
      </c>
      <c r="BQ203" s="0" t="s">
        <v>63</v>
      </c>
      <c r="BR203" s="0" t="str">
        <f aca="false">PROPER(IF(ISBLANK(BQ203),"No",BQ203))</f>
        <v>Yes</v>
      </c>
    </row>
    <row r="204" customFormat="false" ht="15" hidden="false" customHeight="false" outlineLevel="0" collapsed="false">
      <c r="A204" s="0" t="s">
        <v>627</v>
      </c>
      <c r="B204" s="2" t="s">
        <v>626</v>
      </c>
      <c r="C204" s="2" t="str">
        <f aca="false">TEXT(B204,"dd/mm/yyyy")</f>
        <v>26/01/2025</v>
      </c>
      <c r="D204" s="0" t="s">
        <v>105</v>
      </c>
      <c r="E204" s="0" t="n">
        <v>8060211839</v>
      </c>
      <c r="F204" s="0" t="s">
        <v>122</v>
      </c>
      <c r="G204" s="0" t="s">
        <v>2316</v>
      </c>
      <c r="H204" s="0" t="s">
        <v>628</v>
      </c>
      <c r="I204" s="0" t="s">
        <v>45</v>
      </c>
      <c r="J204" s="0" t="s">
        <v>87</v>
      </c>
      <c r="K204" s="3" t="str">
        <f aca="false" t="array" ref="K204:K204">IFERROR(IF(J204&lt;&gt;"",J204,INDEX(J204:J1203,MATCH(1,(F204:F1203=F204)*(I204:I1203=I204)*(L204:L1203=L204)*(J204:J1203&lt;&gt;""),0))),"Not Found")</f>
        <v>Oil Change</v>
      </c>
      <c r="L204" s="3" t="s">
        <v>142</v>
      </c>
      <c r="M204" s="0" t="str">
        <f aca="false">PROPER(L204)</f>
        <v>Oil Filter, Brake Pads</v>
      </c>
      <c r="O204" s="0" t="e">
        <f aca="false" t="array" ref="O204:O204">IF(N204&lt;&gt;"",N204,_xlfn.xlookup(1,(L204:L1203=L204)*(N204:N1203&lt;&gt;""),N204:N1203,"Not Found"))</f>
        <v>#NAME?</v>
      </c>
      <c r="P204" s="4" t="n">
        <v>76311</v>
      </c>
      <c r="Q204" s="0" t="s">
        <v>49</v>
      </c>
      <c r="R204" s="0" t="str">
        <f aca="false">PROPER(Q204)</f>
        <v>Transfer</v>
      </c>
      <c r="S204" s="0" t="s">
        <v>50</v>
      </c>
      <c r="T204" s="0" t="n">
        <v>3</v>
      </c>
      <c r="U204" s="5" t="n">
        <f aca="false">IF(ISBLANK(T204),AVERAGE(T204:T1203),T204)</f>
        <v>3</v>
      </c>
      <c r="V204" s="0" t="n">
        <v>5.3</v>
      </c>
      <c r="W204" s="0" t="s">
        <v>92</v>
      </c>
      <c r="X204" s="0" t="str">
        <f aca="false">IF(ISBLANK(W204),"No remarks",W204)</f>
        <v>Urgent service</v>
      </c>
      <c r="Y204" s="0" t="s">
        <v>73</v>
      </c>
      <c r="Z204" s="0" t="s">
        <v>136</v>
      </c>
      <c r="AA204" s="0" t="str">
        <f aca="false">PROPER(IF(ISBLANK(Z204),"Location Unavailable",Z204))</f>
        <v>Vip Section</v>
      </c>
      <c r="AB204" s="0" t="s">
        <v>167</v>
      </c>
      <c r="AC204" s="6" t="str">
        <f aca="false">PROPER(AB204)</f>
        <v>Word Of Mouth</v>
      </c>
      <c r="AD204" s="6" t="n">
        <v>45</v>
      </c>
      <c r="AE204" s="5" t="n">
        <f aca="false">IF(ISBLANK(AD204),AVERAGEIF(L204:L1203,L204,AD204:AD1203),AD204)</f>
        <v>45</v>
      </c>
      <c r="AF204" s="0" t="s">
        <v>55</v>
      </c>
      <c r="AG204" s="0" t="str">
        <f aca="false">PROPER(AF204)</f>
        <v>Available</v>
      </c>
      <c r="AH204" s="0" t="s">
        <v>148</v>
      </c>
      <c r="AI204" s="0" t="s">
        <v>113</v>
      </c>
      <c r="AJ204" s="0" t="str">
        <f aca="false">PROPER(AI204)</f>
        <v>Normal</v>
      </c>
      <c r="AK204" s="0" t="s">
        <v>114</v>
      </c>
      <c r="AL204" s="0" t="str">
        <f aca="false">PROPER(AK204)</f>
        <v>Returning</v>
      </c>
      <c r="AM204" s="0" t="s">
        <v>59</v>
      </c>
      <c r="AN204" s="0" t="str">
        <f aca="false">IF(ISBLANK(AM204),"Unknown",AM204)</f>
        <v>Bolt Driver</v>
      </c>
      <c r="AO204" s="0" t="s">
        <v>79</v>
      </c>
      <c r="AP204" s="0" t="str">
        <f aca="false">IF(ISBLANK(AO204),"Unknown",AO204)</f>
        <v>Specialist</v>
      </c>
      <c r="AQ204" s="0" t="n">
        <v>30000</v>
      </c>
      <c r="AR204" s="5" t="n">
        <f aca="false">IF(ISBLANK(AQ204),AVERAGEIF(M204:M1203,M204,AQ204:AQ1203),AQ204)</f>
        <v>30000</v>
      </c>
      <c r="AS204" s="0" t="n">
        <v>20000</v>
      </c>
      <c r="AT204" s="5" t="n">
        <f aca="false">IF(ISBLANK(AS204),AVERAGE(AS204:AS1203),AS204)</f>
        <v>20000</v>
      </c>
      <c r="AU204" s="0" t="s">
        <v>82</v>
      </c>
      <c r="AV204" s="0" t="str">
        <f aca="false">PROPER(IF(ISBLANK(AU204),"No",AU204))</f>
        <v>Yes</v>
      </c>
      <c r="AW204" s="0" t="n">
        <v>10000</v>
      </c>
      <c r="AX204" s="5" t="n">
        <f aca="false">IF(ISBLANK(AW204),0,AW204)</f>
        <v>10000</v>
      </c>
      <c r="AY204" s="0" t="s">
        <v>60</v>
      </c>
      <c r="AZ204" s="0" t="str">
        <f aca="false">UPPER(IF(ISBLANK(AY204),"NONE",AY204))</f>
        <v>NONE</v>
      </c>
      <c r="BA204" s="7" t="n">
        <v>45952</v>
      </c>
      <c r="BB204" s="7" t="n">
        <f aca="false">IF(ISBLANK(BA204),"No Follow Up Needed",BA204)</f>
        <v>45952</v>
      </c>
      <c r="BD204" s="0" t="str">
        <f aca="false">PROPER(IF(ISBLANK(BC204),"Unknown",BC204))</f>
        <v>Unknown</v>
      </c>
      <c r="BF204" s="0" t="str">
        <f aca="false">IF(ISBLANK(BE204),"No comments",BE204)</f>
        <v>No comments</v>
      </c>
      <c r="BH204" s="0" t="str">
        <f aca="false">IF(ISBLANK(BG204),"No comments",BG204)</f>
        <v>No comments</v>
      </c>
      <c r="BI204" s="0" t="s">
        <v>63</v>
      </c>
      <c r="BJ204" s="0" t="str">
        <f aca="false">IF(ISBLANK(BI204),"Not Mentioned",BI204)</f>
        <v>Yes</v>
      </c>
      <c r="BK204" s="0" t="s">
        <v>63</v>
      </c>
      <c r="BL204" s="0" t="str">
        <f aca="false">PROPER(IF(ISBLANK(BK204),"Not Mentioned",BK204))</f>
        <v>Yes</v>
      </c>
      <c r="BM204" s="0" t="s">
        <v>50</v>
      </c>
      <c r="BN204" s="0" t="str">
        <f aca="false">PROPER(IF(ISBLANK(BM204),"Not Mentioned",BM204))</f>
        <v>No</v>
      </c>
      <c r="BO204" s="0" t="s">
        <v>64</v>
      </c>
      <c r="BP204" s="0" t="str">
        <f aca="false">IF(ISBLANK(BO204),"One-Time Plan",BO204)</f>
        <v>Gold Maintenance Plan</v>
      </c>
      <c r="BQ204" s="0" t="s">
        <v>63</v>
      </c>
      <c r="BR204" s="0" t="str">
        <f aca="false">PROPER(IF(ISBLANK(BQ204),"No",BQ204))</f>
        <v>Yes</v>
      </c>
    </row>
    <row r="205" customFormat="false" ht="15" hidden="false" customHeight="false" outlineLevel="0" collapsed="false">
      <c r="A205" s="0" t="s">
        <v>629</v>
      </c>
      <c r="B205" s="2" t="n">
        <v>45705</v>
      </c>
      <c r="C205" s="2" t="str">
        <f aca="false">TEXT(B205,"dd/mm/yyyy")</f>
        <v>17/02/2025</v>
      </c>
      <c r="D205" s="0" t="s">
        <v>105</v>
      </c>
      <c r="E205" s="0" t="n">
        <v>8044162336</v>
      </c>
      <c r="F205" s="0" t="s">
        <v>122</v>
      </c>
      <c r="G205" s="0" t="s">
        <v>2316</v>
      </c>
      <c r="H205" s="0" t="s">
        <v>630</v>
      </c>
      <c r="I205" s="0" t="s">
        <v>134</v>
      </c>
      <c r="J205" s="0" t="s">
        <v>2322</v>
      </c>
      <c r="K205" s="3" t="str">
        <f aca="false" t="array" ref="K205:K205">IFERROR(IF(J205&lt;&gt;"",J205,INDEX(J205:J1204,MATCH(1,(F205:F1204=F205)*(I205:I1204=I205)*(L205:L1204=L205)*(J205:J1204&lt;&gt;""),0))),"Not Found")</f>
        <v>Brake Failure</v>
      </c>
      <c r="L205" s="3" t="s">
        <v>189</v>
      </c>
      <c r="M205" s="0" t="str">
        <f aca="false">PROPER(L205)</f>
        <v>Battery</v>
      </c>
      <c r="N205" s="3" t="s">
        <v>71</v>
      </c>
      <c r="O205" s="0" t="str">
        <f aca="false" t="array" ref="O205:O205">IF(N205&lt;&gt;"",N205,_xlfn.xlookup(1,(L205:L1204=L205)*(N205:N1204&lt;&gt;""),N205:N1204,"Not Found"))</f>
        <v>Isaac Bobo</v>
      </c>
      <c r="P205" s="4" t="n">
        <v>84569</v>
      </c>
      <c r="Q205" s="0" t="s">
        <v>124</v>
      </c>
      <c r="R205" s="0" t="str">
        <f aca="false">PROPER(Q205)</f>
        <v>Cash</v>
      </c>
      <c r="S205" s="0" t="s">
        <v>50</v>
      </c>
      <c r="T205" s="0" t="n">
        <v>2</v>
      </c>
      <c r="U205" s="5" t="n">
        <f aca="false">IF(ISBLANK(T205),AVERAGE(T205:T1204),T205)</f>
        <v>2</v>
      </c>
      <c r="V205" s="0" t="n">
        <v>1.2</v>
      </c>
      <c r="X205" s="0" t="str">
        <f aca="false">IF(ISBLANK(W205),"No remarks",W205)</f>
        <v>No remarks</v>
      </c>
      <c r="Y205" s="0" t="s">
        <v>93</v>
      </c>
      <c r="Z205" s="0" t="s">
        <v>136</v>
      </c>
      <c r="AA205" s="0" t="str">
        <f aca="false">PROPER(IF(ISBLANK(Z205),"Location Unavailable",Z205))</f>
        <v>Vip Section</v>
      </c>
      <c r="AB205" s="0" t="s">
        <v>75</v>
      </c>
      <c r="AC205" s="6" t="str">
        <f aca="false">PROPER(AB205)</f>
        <v>Mechanik Referal</v>
      </c>
      <c r="AD205" s="6" t="n">
        <v>45</v>
      </c>
      <c r="AE205" s="5" t="n">
        <f aca="false">IF(ISBLANK(AD205),AVERAGEIF(L205:L1204,L205,AD205:AD1204),AD205)</f>
        <v>45</v>
      </c>
      <c r="AF205" s="0" t="s">
        <v>76</v>
      </c>
      <c r="AG205" s="0" t="str">
        <f aca="false">PROPER(AF205)</f>
        <v>Orderd</v>
      </c>
      <c r="AH205" s="0" t="s">
        <v>56</v>
      </c>
      <c r="AI205" s="0" t="s">
        <v>98</v>
      </c>
      <c r="AJ205" s="0" t="str">
        <f aca="false">PROPER(AI205)</f>
        <v>Emergency</v>
      </c>
      <c r="AK205" s="0" t="s">
        <v>196</v>
      </c>
      <c r="AL205" s="0" t="str">
        <f aca="false">PROPER(AK205)</f>
        <v>First Time</v>
      </c>
      <c r="AM205" s="0" t="s">
        <v>177</v>
      </c>
      <c r="AN205" s="0" t="str">
        <f aca="false">IF(ISBLANK(AM205),"Unknown",AM205)</f>
        <v>Private</v>
      </c>
      <c r="AO205" s="0" t="s">
        <v>161</v>
      </c>
      <c r="AP205" s="0" t="str">
        <f aca="false">IF(ISBLANK(AO205),"Unknown",AO205)</f>
        <v>Apprentice</v>
      </c>
      <c r="AQ205" s="0" t="n">
        <v>25000</v>
      </c>
      <c r="AR205" s="5" t="n">
        <f aca="false">IF(ISBLANK(AQ205),AVERAGEIF(M205:M1204,M205,AQ205:AQ1204),AQ205)</f>
        <v>25000</v>
      </c>
      <c r="AS205" s="0" t="n">
        <v>35000</v>
      </c>
      <c r="AT205" s="5" t="n">
        <f aca="false">IF(ISBLANK(AS205),AVERAGE(AS205:AS1204),AS205)</f>
        <v>35000</v>
      </c>
      <c r="AU205" s="0" t="s">
        <v>63</v>
      </c>
      <c r="AV205" s="0" t="str">
        <f aca="false">PROPER(IF(ISBLANK(AU205),"No",AU205))</f>
        <v>Yes</v>
      </c>
      <c r="AW205" s="0" t="n">
        <v>0</v>
      </c>
      <c r="AX205" s="5" t="n">
        <f aca="false">IF(ISBLANK(AW205),0,AW205)</f>
        <v>0</v>
      </c>
      <c r="AY205" s="0" t="s">
        <v>60</v>
      </c>
      <c r="AZ205" s="0" t="str">
        <f aca="false">UPPER(IF(ISBLANK(AY205),"NONE",AY205))</f>
        <v>NONE</v>
      </c>
      <c r="BA205" s="7" t="n">
        <v>45870</v>
      </c>
      <c r="BB205" s="7" t="n">
        <f aca="false">IF(ISBLANK(BA205),"No Follow Up Needed",BA205)</f>
        <v>45870</v>
      </c>
      <c r="BC205" s="0" t="s">
        <v>63</v>
      </c>
      <c r="BD205" s="0" t="str">
        <f aca="false">PROPER(IF(ISBLANK(BC205),"Unknown",BC205))</f>
        <v>Yes</v>
      </c>
      <c r="BF205" s="0" t="str">
        <f aca="false">IF(ISBLANK(BE205),"No comments",BE205)</f>
        <v>No comments</v>
      </c>
      <c r="BH205" s="0" t="str">
        <f aca="false">IF(ISBLANK(BG205),"No comments",BG205)</f>
        <v>No comments</v>
      </c>
      <c r="BI205" s="0" t="s">
        <v>50</v>
      </c>
      <c r="BJ205" s="0" t="str">
        <f aca="false">IF(ISBLANK(BI205),"Not Mentioned",BI205)</f>
        <v>No</v>
      </c>
      <c r="BK205" s="0" t="s">
        <v>82</v>
      </c>
      <c r="BL205" s="0" t="str">
        <f aca="false">PROPER(IF(ISBLANK(BK205),"Not Mentioned",BK205))</f>
        <v>Yes</v>
      </c>
      <c r="BM205" s="0" t="s">
        <v>63</v>
      </c>
      <c r="BN205" s="0" t="str">
        <f aca="false">PROPER(IF(ISBLANK(BM205),"Not Mentioned",BM205))</f>
        <v>Yes</v>
      </c>
      <c r="BP205" s="0" t="str">
        <f aca="false">IF(ISBLANK(BO205),"One-Time Plan",BO205)</f>
        <v>One-Time Plan</v>
      </c>
      <c r="BQ205" s="0" t="s">
        <v>50</v>
      </c>
      <c r="BR205" s="0" t="str">
        <f aca="false">PROPER(IF(ISBLANK(BQ205),"No",BQ205))</f>
        <v>No</v>
      </c>
    </row>
    <row r="206" customFormat="false" ht="15" hidden="false" customHeight="false" outlineLevel="0" collapsed="false">
      <c r="A206" s="0" t="s">
        <v>631</v>
      </c>
      <c r="B206" s="2" t="n">
        <v>45691</v>
      </c>
      <c r="C206" s="2" t="str">
        <f aca="false">TEXT(B206,"dd/mm/yyyy")</f>
        <v>03/02/2025</v>
      </c>
      <c r="D206" s="0" t="s">
        <v>105</v>
      </c>
      <c r="E206" s="0" t="n">
        <v>8083893835</v>
      </c>
      <c r="F206" s="0" t="s">
        <v>67</v>
      </c>
      <c r="G206" s="0" t="s">
        <v>2316</v>
      </c>
      <c r="H206" s="0" t="s">
        <v>632</v>
      </c>
      <c r="I206" s="0" t="s">
        <v>87</v>
      </c>
      <c r="J206" s="0" t="s">
        <v>2322</v>
      </c>
      <c r="K206" s="3" t="str">
        <f aca="false" t="array" ref="K206:K206">IFERROR(IF(J206&lt;&gt;"",J206,INDEX(J206:J1205,MATCH(1,(F206:F1205=F206)*(I206:I1205=I206)*(L206:L1205=L206)*(J206:J1205&lt;&gt;""),0))),"Not Found")</f>
        <v>Brake Failure</v>
      </c>
      <c r="L206" s="3" t="s">
        <v>142</v>
      </c>
      <c r="M206" s="0" t="str">
        <f aca="false">PROPER(L206)</f>
        <v>Oil Filter, Brake Pads</v>
      </c>
      <c r="N206" s="3" t="s">
        <v>71</v>
      </c>
      <c r="O206" s="0" t="str">
        <f aca="false" t="array" ref="O206:O206">IF(N206&lt;&gt;"",N206,_xlfn.xlookup(1,(L206:L1205=L206)*(N206:N1205&lt;&gt;""),N206:N1205,"Not Found"))</f>
        <v>Isaac Bobo</v>
      </c>
      <c r="P206" s="4" t="n">
        <v>67458</v>
      </c>
      <c r="Q206" s="0" t="s">
        <v>91</v>
      </c>
      <c r="R206" s="0" t="str">
        <f aca="false">PROPER(Q206)</f>
        <v>Pos</v>
      </c>
      <c r="S206" s="0" t="s">
        <v>63</v>
      </c>
      <c r="U206" s="5" t="n">
        <f aca="false">IF(ISBLANK(T206),AVERAGE(T206:T1205),T206)</f>
        <v>3.01365705614568</v>
      </c>
      <c r="V206" s="0" t="n">
        <v>2.5</v>
      </c>
      <c r="X206" s="0" t="str">
        <f aca="false">IF(ISBLANK(W206),"No remarks",W206)</f>
        <v>No remarks</v>
      </c>
      <c r="Y206" s="0" t="s">
        <v>52</v>
      </c>
      <c r="Z206" s="0" t="s">
        <v>136</v>
      </c>
      <c r="AA206" s="0" t="str">
        <f aca="false">PROPER(IF(ISBLANK(Z206),"Location Unavailable",Z206))</f>
        <v>Vip Section</v>
      </c>
      <c r="AB206" s="0" t="s">
        <v>95</v>
      </c>
      <c r="AC206" s="6" t="str">
        <f aca="false">PROPER(AB206)</f>
        <v>Road Sign</v>
      </c>
      <c r="AD206" s="6" t="n">
        <v>60</v>
      </c>
      <c r="AE206" s="5" t="n">
        <f aca="false">IF(ISBLANK(AD206),AVERAGEIF(L206:L1205,L206,AD206:AD1205),AD206)</f>
        <v>60</v>
      </c>
      <c r="AF206" s="0" t="s">
        <v>55</v>
      </c>
      <c r="AG206" s="0" t="str">
        <f aca="false">PROPER(AF206)</f>
        <v>Available</v>
      </c>
      <c r="AH206" s="0" t="s">
        <v>77</v>
      </c>
      <c r="AI206" s="0" t="s">
        <v>113</v>
      </c>
      <c r="AJ206" s="0" t="str">
        <f aca="false">PROPER(AI206)</f>
        <v>Normal</v>
      </c>
      <c r="AK206" s="0" t="s">
        <v>196</v>
      </c>
      <c r="AL206" s="0" t="str">
        <f aca="false">PROPER(AK206)</f>
        <v>First Time</v>
      </c>
      <c r="AM206" s="0" t="s">
        <v>2326</v>
      </c>
      <c r="AN206" s="0" t="str">
        <f aca="false">IF(ISBLANK(AM206),"Unknown",AM206)</f>
        <v>Government Convoy</v>
      </c>
      <c r="AP206" s="0" t="str">
        <f aca="false">IF(ISBLANK(AO206),"Unknown",AO206)</f>
        <v>Unknown</v>
      </c>
      <c r="AQ206" s="0" t="n">
        <v>20000</v>
      </c>
      <c r="AR206" s="5" t="n">
        <f aca="false">IF(ISBLANK(AQ206),AVERAGEIF(M206:M1205,M206,AQ206:AQ1205),AQ206)</f>
        <v>20000</v>
      </c>
      <c r="AS206" s="0" t="n">
        <v>35000</v>
      </c>
      <c r="AT206" s="5" t="n">
        <f aca="false">IF(ISBLANK(AS206),AVERAGE(AS206:AS1205),AS206)</f>
        <v>35000</v>
      </c>
      <c r="AU206" s="0" t="s">
        <v>50</v>
      </c>
      <c r="AV206" s="0" t="str">
        <f aca="false">PROPER(IF(ISBLANK(AU206),"No",AU206))</f>
        <v>No</v>
      </c>
      <c r="AX206" s="5" t="n">
        <f aca="false">IF(ISBLANK(AW206),0,AW206)</f>
        <v>0</v>
      </c>
      <c r="AY206" s="0" t="s">
        <v>60</v>
      </c>
      <c r="AZ206" s="0" t="str">
        <f aca="false">UPPER(IF(ISBLANK(AY206),"NONE",AY206))</f>
        <v>NONE</v>
      </c>
      <c r="BB206" s="7" t="str">
        <f aca="false">IF(ISBLANK(BA206),"No Follow Up Needed",BA206)</f>
        <v>No Follow Up Needed</v>
      </c>
      <c r="BC206" s="0" t="s">
        <v>50</v>
      </c>
      <c r="BD206" s="0" t="str">
        <f aca="false">PROPER(IF(ISBLANK(BC206),"Unknown",BC206))</f>
        <v>No</v>
      </c>
      <c r="BE206" s="0" t="s">
        <v>116</v>
      </c>
      <c r="BF206" s="0" t="str">
        <f aca="false">IF(ISBLANK(BE206),"No comments",BE206)</f>
        <v>Needs tire alignment</v>
      </c>
      <c r="BG206" s="0" t="s">
        <v>117</v>
      </c>
      <c r="BH206" s="0" t="str">
        <f aca="false">IF(ISBLANK(BG206),"No comments",BG206)</f>
        <v>Prefers morning</v>
      </c>
      <c r="BJ206" s="0" t="str">
        <f aca="false">IF(ISBLANK(BI206),"Not Mentioned",BI206)</f>
        <v>Not Mentioned</v>
      </c>
      <c r="BK206" s="0" t="s">
        <v>50</v>
      </c>
      <c r="BL206" s="0" t="str">
        <f aca="false">PROPER(IF(ISBLANK(BK206),"Not Mentioned",BK206))</f>
        <v>No</v>
      </c>
      <c r="BN206" s="0" t="str">
        <f aca="false">PROPER(IF(ISBLANK(BM206),"Not Mentioned",BM206))</f>
        <v>Not Mentioned</v>
      </c>
      <c r="BO206" s="0" t="s">
        <v>2321</v>
      </c>
      <c r="BP206" s="0" t="str">
        <f aca="false">IF(ISBLANK(BO206),"One-Time Plan",BO206)</f>
        <v>One-Time Plan</v>
      </c>
      <c r="BQ206" s="0" t="s">
        <v>198</v>
      </c>
      <c r="BR206" s="0" t="str">
        <f aca="false">PROPER(IF(ISBLANK(BQ206),"No",BQ206))</f>
        <v>Followed Up</v>
      </c>
    </row>
    <row r="207" customFormat="false" ht="15" hidden="false" customHeight="false" outlineLevel="0" collapsed="false">
      <c r="A207" s="0" t="s">
        <v>633</v>
      </c>
      <c r="B207" s="2" t="n">
        <v>45814</v>
      </c>
      <c r="C207" s="2" t="str">
        <f aca="false">TEXT(B207,"dd/mm/yyyy")</f>
        <v>06/06/2025</v>
      </c>
      <c r="D207" s="0" t="s">
        <v>42</v>
      </c>
      <c r="E207" s="0" t="n">
        <v>8021376149</v>
      </c>
      <c r="F207" s="0" t="s">
        <v>85</v>
      </c>
      <c r="G207" s="0" t="s">
        <v>2319</v>
      </c>
      <c r="H207" s="0" t="s">
        <v>634</v>
      </c>
      <c r="I207" s="0" t="s">
        <v>107</v>
      </c>
      <c r="J207" s="0" t="s">
        <v>2325</v>
      </c>
      <c r="K207" s="3" t="str">
        <f aca="false" t="array" ref="K207:K207">IFERROR(IF(J207&lt;&gt;"",J207,INDEX(J207:J1206,MATCH(1,(F207:F1206=F207)*(I207:I1206=I207)*(L207:L1206=L207)*(J207:J1206&lt;&gt;""),0))),"Not Found")</f>
        <v>Engine Knocking</v>
      </c>
      <c r="L207" s="3" t="s">
        <v>189</v>
      </c>
      <c r="M207" s="0" t="str">
        <f aca="false">PROPER(L207)</f>
        <v>Battery</v>
      </c>
      <c r="N207" s="3" t="s">
        <v>71</v>
      </c>
      <c r="O207" s="0" t="str">
        <f aca="false" t="array" ref="O207:O207">IF(N207&lt;&gt;"",N207,_xlfn.xlookup(1,(L207:L1206=L207)*(N207:N1206&lt;&gt;""),N207:N1206,"Not Found"))</f>
        <v>Isaac Bobo</v>
      </c>
      <c r="P207" s="4" t="n">
        <v>55785</v>
      </c>
      <c r="Q207" s="0" t="s">
        <v>49</v>
      </c>
      <c r="R207" s="0" t="str">
        <f aca="false">PROPER(Q207)</f>
        <v>Transfer</v>
      </c>
      <c r="S207" s="0" t="s">
        <v>63</v>
      </c>
      <c r="T207" s="0" t="n">
        <v>4</v>
      </c>
      <c r="U207" s="5" t="n">
        <f aca="false">IF(ISBLANK(T207),AVERAGE(T207:T1206),T207)</f>
        <v>4</v>
      </c>
      <c r="V207" s="0" t="n">
        <v>1.5</v>
      </c>
      <c r="X207" s="0" t="str">
        <f aca="false">IF(ISBLANK(W207),"No remarks",W207)</f>
        <v>No remarks</v>
      </c>
      <c r="Y207" s="0" t="s">
        <v>73</v>
      </c>
      <c r="Z207" s="0" t="s">
        <v>74</v>
      </c>
      <c r="AA207" s="0" t="str">
        <f aca="false">PROPER(IF(ISBLANK(Z207),"Location Unavailable",Z207))</f>
        <v>Under Tree</v>
      </c>
      <c r="AB207" s="0" t="s">
        <v>75</v>
      </c>
      <c r="AC207" s="6" t="str">
        <f aca="false">PROPER(AB207)</f>
        <v>Mechanik Referal</v>
      </c>
      <c r="AD207" s="6" t="n">
        <v>15</v>
      </c>
      <c r="AE207" s="5" t="n">
        <f aca="false">IF(ISBLANK(AD207),AVERAGEIF(L207:L1206,L207,AD207:AD1206),AD207)</f>
        <v>15</v>
      </c>
      <c r="AF207" s="0" t="s">
        <v>160</v>
      </c>
      <c r="AG207" s="0" t="str">
        <f aca="false">PROPER(AF207)</f>
        <v>Availaible</v>
      </c>
      <c r="AH207" s="0" t="s">
        <v>148</v>
      </c>
      <c r="AI207" s="0" t="s">
        <v>128</v>
      </c>
      <c r="AJ207" s="0" t="str">
        <f aca="false">PROPER(AI207)</f>
        <v>Normal</v>
      </c>
      <c r="AK207" s="0" t="s">
        <v>99</v>
      </c>
      <c r="AL207" s="0" t="str">
        <f aca="false">PROPER(AK207)</f>
        <v>Uber Driver</v>
      </c>
      <c r="AM207" s="0" t="s">
        <v>59</v>
      </c>
      <c r="AN207" s="0" t="str">
        <f aca="false">IF(ISBLANK(AM207),"Unknown",AM207)</f>
        <v>Bolt Driver</v>
      </c>
      <c r="AO207" s="0" t="s">
        <v>79</v>
      </c>
      <c r="AP207" s="0" t="str">
        <f aca="false">IF(ISBLANK(AO207),"Unknown",AO207)</f>
        <v>Specialist</v>
      </c>
      <c r="AR207" s="5" t="n">
        <f aca="false">IF(ISBLANK(AQ207),AVERAGEIF(M207:M1206,M207,AQ207:AQ1206),AQ207)</f>
        <v>25520.8333333333</v>
      </c>
      <c r="AT207" s="5" t="n">
        <f aca="false">IF(ISBLANK(AS207),AVERAGE(AS207:AS1206),AS207)</f>
        <v>31402.4390243902</v>
      </c>
      <c r="AU207" s="0" t="s">
        <v>61</v>
      </c>
      <c r="AV207" s="0" t="str">
        <f aca="false">PROPER(IF(ISBLANK(AU207),"No",AU207))</f>
        <v>No</v>
      </c>
      <c r="AW207" s="0" t="n">
        <v>0</v>
      </c>
      <c r="AX207" s="5" t="n">
        <f aca="false">IF(ISBLANK(AW207),0,AW207)</f>
        <v>0</v>
      </c>
      <c r="AY207" s="0" t="s">
        <v>80</v>
      </c>
      <c r="AZ207" s="0" t="str">
        <f aca="false">UPPER(IF(ISBLANK(AY207),"NONE",AY207))</f>
        <v>PROMO10</v>
      </c>
      <c r="BA207" s="7" t="n">
        <v>45755</v>
      </c>
      <c r="BB207" s="7" t="n">
        <f aca="false">IF(ISBLANK(BA207),"No Follow Up Needed",BA207)</f>
        <v>45755</v>
      </c>
      <c r="BC207" s="0" t="s">
        <v>61</v>
      </c>
      <c r="BD207" s="0" t="str">
        <f aca="false">PROPER(IF(ISBLANK(BC207),"Unknown",BC207))</f>
        <v>No</v>
      </c>
      <c r="BF207" s="0" t="str">
        <f aca="false">IF(ISBLANK(BE207),"No comments",BE207)</f>
        <v>No comments</v>
      </c>
      <c r="BH207" s="0" t="str">
        <f aca="false">IF(ISBLANK(BG207),"No comments",BG207)</f>
        <v>No comments</v>
      </c>
      <c r="BI207" s="0" t="s">
        <v>63</v>
      </c>
      <c r="BJ207" s="0" t="str">
        <f aca="false">IF(ISBLANK(BI207),"Not Mentioned",BI207)</f>
        <v>Yes</v>
      </c>
      <c r="BK207" s="0" t="s">
        <v>63</v>
      </c>
      <c r="BL207" s="0" t="str">
        <f aca="false">PROPER(IF(ISBLANK(BK207),"Not Mentioned",BK207))</f>
        <v>Yes</v>
      </c>
      <c r="BM207" s="0" t="s">
        <v>50</v>
      </c>
      <c r="BN207" s="0" t="str">
        <f aca="false">PROPER(IF(ISBLANK(BM207),"Not Mentioned",BM207))</f>
        <v>No</v>
      </c>
      <c r="BO207" s="0" t="s">
        <v>2321</v>
      </c>
      <c r="BP207" s="0" t="str">
        <f aca="false">IF(ISBLANK(BO207),"One-Time Plan",BO207)</f>
        <v>One-Time Plan</v>
      </c>
      <c r="BQ207" s="0" t="s">
        <v>198</v>
      </c>
      <c r="BR207" s="0" t="str">
        <f aca="false">PROPER(IF(ISBLANK(BQ207),"No",BQ207))</f>
        <v>Followed Up</v>
      </c>
    </row>
    <row r="208" customFormat="false" ht="15" hidden="false" customHeight="false" outlineLevel="0" collapsed="false">
      <c r="A208" s="0" t="s">
        <v>636</v>
      </c>
      <c r="B208" s="2" t="s">
        <v>635</v>
      </c>
      <c r="C208" s="2" t="str">
        <f aca="false">TEXT(B208,"dd/mm/yyyy")</f>
        <v>19/04/2025</v>
      </c>
      <c r="D208" s="0" t="s">
        <v>163</v>
      </c>
      <c r="E208" s="0" t="n">
        <v>8028029509</v>
      </c>
      <c r="F208" s="0" t="s">
        <v>67</v>
      </c>
      <c r="G208" s="0" t="s">
        <v>2316</v>
      </c>
      <c r="H208" s="0" t="s">
        <v>637</v>
      </c>
      <c r="I208" s="0" t="s">
        <v>45</v>
      </c>
      <c r="J208" s="0" t="s">
        <v>2317</v>
      </c>
      <c r="K208" s="3" t="str">
        <f aca="false" t="array" ref="K208:K208">IFERROR(IF(J208&lt;&gt;"",J208,INDEX(J208:J1207,MATCH(1,(F208:F1207=F208)*(I208:I1207=I208)*(L208:L1207=L208)*(J208:J1207&lt;&gt;""),0))),"Not Found")</f>
        <v>Suspension Noise</v>
      </c>
      <c r="L208" s="3" t="s">
        <v>47</v>
      </c>
      <c r="M208" s="0" t="str">
        <f aca="false">PROPER(L208)</f>
        <v>None</v>
      </c>
      <c r="N208" s="3" t="s">
        <v>48</v>
      </c>
      <c r="O208" s="0" t="str">
        <f aca="false" t="array" ref="O208:O208">IF(N208&lt;&gt;"",N208,_xlfn.xlookup(1,(L208:L1207=L208)*(N208:N1207&lt;&gt;""),N208:N1207,"Not Found"))</f>
        <v>Uche</v>
      </c>
      <c r="P208" s="4" t="n">
        <v>99600</v>
      </c>
      <c r="Q208" s="0" t="s">
        <v>124</v>
      </c>
      <c r="R208" s="0" t="str">
        <f aca="false">PROPER(Q208)</f>
        <v>Cash</v>
      </c>
      <c r="S208" s="0" t="s">
        <v>50</v>
      </c>
      <c r="U208" s="5" t="n">
        <f aca="false">IF(ISBLANK(T208),AVERAGE(T208:T1207),T208)</f>
        <v>3.01215805471125</v>
      </c>
      <c r="V208" s="0" t="n">
        <v>3.2</v>
      </c>
      <c r="X208" s="0" t="str">
        <f aca="false">IF(ISBLANK(W208),"No remarks",W208)</f>
        <v>No remarks</v>
      </c>
      <c r="Y208" s="0" t="s">
        <v>73</v>
      </c>
      <c r="Z208" s="0" t="s">
        <v>94</v>
      </c>
      <c r="AA208" s="0" t="str">
        <f aca="false">PROPER(IF(ISBLANK(Z208),"Location Unavailable",Z208))</f>
        <v>Vip Section</v>
      </c>
      <c r="AB208" s="0" t="s">
        <v>167</v>
      </c>
      <c r="AC208" s="6" t="str">
        <f aca="false">PROPER(AB208)</f>
        <v>Word Of Mouth</v>
      </c>
      <c r="AD208" s="6" t="n">
        <v>45</v>
      </c>
      <c r="AE208" s="5" t="n">
        <f aca="false">IF(ISBLANK(AD208),AVERAGEIF(L208:L1207,L208,AD208:AD1207),AD208)</f>
        <v>45</v>
      </c>
      <c r="AF208" s="0" t="s">
        <v>55</v>
      </c>
      <c r="AG208" s="0" t="str">
        <f aca="false">PROPER(AF208)</f>
        <v>Available</v>
      </c>
      <c r="AH208" s="0" t="s">
        <v>56</v>
      </c>
      <c r="AI208" s="0" t="s">
        <v>78</v>
      </c>
      <c r="AJ208" s="0" t="str">
        <f aca="false">PROPER(AI208)</f>
        <v>Booking</v>
      </c>
      <c r="AK208" s="0" t="s">
        <v>114</v>
      </c>
      <c r="AL208" s="0" t="str">
        <f aca="false">PROPER(AK208)</f>
        <v>Returning</v>
      </c>
      <c r="AM208" s="0" t="s">
        <v>2326</v>
      </c>
      <c r="AN208" s="0" t="str">
        <f aca="false">IF(ISBLANK(AM208),"Unknown",AM208)</f>
        <v>Government Convoy</v>
      </c>
      <c r="AO208" s="0" t="s">
        <v>79</v>
      </c>
      <c r="AP208" s="0" t="str">
        <f aca="false">IF(ISBLANK(AO208),"Unknown",AO208)</f>
        <v>Specialist</v>
      </c>
      <c r="AQ208" s="0" t="n">
        <v>40000</v>
      </c>
      <c r="AR208" s="5" t="n">
        <f aca="false">IF(ISBLANK(AQ208),AVERAGEIF(M208:M1207,M208,AQ208:AQ1207),AQ208)</f>
        <v>40000</v>
      </c>
      <c r="AT208" s="5" t="n">
        <f aca="false">IF(ISBLANK(AS208),AVERAGE(AS208:AS1207),AS208)</f>
        <v>31402.4390243902</v>
      </c>
      <c r="AV208" s="0" t="str">
        <f aca="false">PROPER(IF(ISBLANK(AU208),"No",AU208))</f>
        <v>No</v>
      </c>
      <c r="AX208" s="5" t="n">
        <f aca="false">IF(ISBLANK(AW208),0,AW208)</f>
        <v>0</v>
      </c>
      <c r="AY208" s="0" t="s">
        <v>60</v>
      </c>
      <c r="AZ208" s="0" t="str">
        <f aca="false">UPPER(IF(ISBLANK(AY208),"NONE",AY208))</f>
        <v>NONE</v>
      </c>
      <c r="BA208" s="7" t="n">
        <v>46013</v>
      </c>
      <c r="BB208" s="7" t="n">
        <f aca="false">IF(ISBLANK(BA208),"No Follow Up Needed",BA208)</f>
        <v>46013</v>
      </c>
      <c r="BC208" s="0" t="s">
        <v>63</v>
      </c>
      <c r="BD208" s="0" t="str">
        <f aca="false">PROPER(IF(ISBLANK(BC208),"Unknown",BC208))</f>
        <v>Yes</v>
      </c>
      <c r="BF208" s="0" t="str">
        <f aca="false">IF(ISBLANK(BE208),"No comments",BE208)</f>
        <v>No comments</v>
      </c>
      <c r="BH208" s="0" t="str">
        <f aca="false">IF(ISBLANK(BG208),"No comments",BG208)</f>
        <v>No comments</v>
      </c>
      <c r="BI208" s="0" t="s">
        <v>63</v>
      </c>
      <c r="BJ208" s="0" t="str">
        <f aca="false">IF(ISBLANK(BI208),"Not Mentioned",BI208)</f>
        <v>Yes</v>
      </c>
      <c r="BL208" s="0" t="str">
        <f aca="false">PROPER(IF(ISBLANK(BK208),"Not Mentioned",BK208))</f>
        <v>Not Mentioned</v>
      </c>
      <c r="BN208" s="0" t="str">
        <f aca="false">PROPER(IF(ISBLANK(BM208),"Not Mentioned",BM208))</f>
        <v>Not Mentioned</v>
      </c>
      <c r="BP208" s="0" t="str">
        <f aca="false">IF(ISBLANK(BO208),"One-Time Plan",BO208)</f>
        <v>One-Time Plan</v>
      </c>
      <c r="BQ208" s="0" t="s">
        <v>50</v>
      </c>
      <c r="BR208" s="0" t="str">
        <f aca="false">PROPER(IF(ISBLANK(BQ208),"No",BQ208))</f>
        <v>No</v>
      </c>
    </row>
    <row r="209" customFormat="false" ht="15" hidden="false" customHeight="false" outlineLevel="0" collapsed="false">
      <c r="A209" s="0" t="s">
        <v>638</v>
      </c>
      <c r="B209" s="2" t="n">
        <v>45751</v>
      </c>
      <c r="C209" s="2" t="str">
        <f aca="false">TEXT(B209,"dd/mm/yyyy")</f>
        <v>04/04/2025</v>
      </c>
      <c r="D209" s="0" t="s">
        <v>66</v>
      </c>
      <c r="E209" s="0" t="n">
        <v>8021278067</v>
      </c>
      <c r="F209" s="0" t="s">
        <v>67</v>
      </c>
      <c r="G209" s="0" t="s">
        <v>2316</v>
      </c>
      <c r="H209" s="0" t="s">
        <v>269</v>
      </c>
      <c r="I209" s="0" t="s">
        <v>134</v>
      </c>
      <c r="J209" s="0" t="s">
        <v>2322</v>
      </c>
      <c r="K209" s="3" t="str">
        <f aca="false" t="array" ref="K209:K209">IFERROR(IF(J209&lt;&gt;"",J209,INDEX(J209:J1208,MATCH(1,(F209:F1208=F209)*(I209:I1208=I209)*(L209:L1208=L209)*(J209:J1208&lt;&gt;""),0))),"Not Found")</f>
        <v>Brake Failure</v>
      </c>
      <c r="L209" s="3" t="s">
        <v>189</v>
      </c>
      <c r="M209" s="0" t="str">
        <f aca="false">PROPER(L209)</f>
        <v>Battery</v>
      </c>
      <c r="N209" s="3" t="s">
        <v>90</v>
      </c>
      <c r="O209" s="0" t="str">
        <f aca="false" t="array" ref="O209:O209">IF(N209&lt;&gt;"",N209,_xlfn.xlookup(1,(L209:L1208=L209)*(N209:N1208&lt;&gt;""),N209:N1208,"Not Found"))</f>
        <v>Musa</v>
      </c>
      <c r="P209" s="4" t="n">
        <v>37601</v>
      </c>
      <c r="Q209" s="0" t="s">
        <v>166</v>
      </c>
      <c r="R209" s="0" t="str">
        <f aca="false">PROPER(Q209)</f>
        <v>Transfer</v>
      </c>
      <c r="S209" s="0" t="s">
        <v>50</v>
      </c>
      <c r="T209" s="0" t="n">
        <v>5</v>
      </c>
      <c r="U209" s="5" t="n">
        <f aca="false">IF(ISBLANK(T209),AVERAGE(T209:T1208),T209)</f>
        <v>5</v>
      </c>
      <c r="V209" s="0" t="n">
        <v>2.5</v>
      </c>
      <c r="W209" s="0" t="s">
        <v>111</v>
      </c>
      <c r="X209" s="0" t="str">
        <f aca="false">IF(ISBLANK(W209),"No remarks",W209)</f>
        <v>Changed all filters</v>
      </c>
      <c r="Y209" s="0" t="s">
        <v>52</v>
      </c>
      <c r="Z209" s="0" t="s">
        <v>136</v>
      </c>
      <c r="AA209" s="0" t="str">
        <f aca="false">PROPER(IF(ISBLANK(Z209),"Location Unavailable",Z209))</f>
        <v>Vip Section</v>
      </c>
      <c r="AB209" s="0" t="s">
        <v>54</v>
      </c>
      <c r="AC209" s="6" t="str">
        <f aca="false">PROPER(AB209)</f>
        <v>Mechanic Referral</v>
      </c>
      <c r="AE209" s="5" t="n">
        <f aca="false">IF(ISBLANK(AD209),AVERAGEIF(L209:L1208,L209,AD209:AD1208),AD209)</f>
        <v>40.3125</v>
      </c>
      <c r="AF209" s="0" t="s">
        <v>96</v>
      </c>
      <c r="AG209" s="0" t="str">
        <f aca="false">PROPER(AF209)</f>
        <v>Ordered</v>
      </c>
      <c r="AH209" s="0" t="s">
        <v>77</v>
      </c>
      <c r="AI209" s="0" t="s">
        <v>128</v>
      </c>
      <c r="AJ209" s="0" t="str">
        <f aca="false">PROPER(AI209)</f>
        <v>Normal</v>
      </c>
      <c r="AK209" s="0" t="s">
        <v>196</v>
      </c>
      <c r="AL209" s="0" t="str">
        <f aca="false">PROPER(AK209)</f>
        <v>First Time</v>
      </c>
      <c r="AM209" s="0" t="s">
        <v>177</v>
      </c>
      <c r="AN209" s="0" t="str">
        <f aca="false">IF(ISBLANK(AM209),"Unknown",AM209)</f>
        <v>Private</v>
      </c>
      <c r="AO209" s="0" t="s">
        <v>79</v>
      </c>
      <c r="AP209" s="0" t="str">
        <f aca="false">IF(ISBLANK(AO209),"Unknown",AO209)</f>
        <v>Specialist</v>
      </c>
      <c r="AQ209" s="0" t="n">
        <v>25000</v>
      </c>
      <c r="AR209" s="5" t="n">
        <f aca="false">IF(ISBLANK(AQ209),AVERAGEIF(M209:M1208,M209,AQ209:AQ1208),AQ209)</f>
        <v>25000</v>
      </c>
      <c r="AS209" s="0" t="n">
        <v>20000</v>
      </c>
      <c r="AT209" s="5" t="n">
        <f aca="false">IF(ISBLANK(AS209),AVERAGE(AS209:AS1208),AS209)</f>
        <v>20000</v>
      </c>
      <c r="AU209" s="0" t="s">
        <v>50</v>
      </c>
      <c r="AV209" s="0" t="str">
        <f aca="false">PROPER(IF(ISBLANK(AU209),"No",AU209))</f>
        <v>No</v>
      </c>
      <c r="AW209" s="0" t="n">
        <v>5000</v>
      </c>
      <c r="AX209" s="5" t="n">
        <f aca="false">IF(ISBLANK(AW209),0,AW209)</f>
        <v>5000</v>
      </c>
      <c r="AZ209" s="0" t="str">
        <f aca="false">UPPER(IF(ISBLANK(AY209),"NONE",AY209))</f>
        <v>NONE</v>
      </c>
      <c r="BB209" s="7" t="str">
        <f aca="false">IF(ISBLANK(BA209),"No Follow Up Needed",BA209)</f>
        <v>No Follow Up Needed</v>
      </c>
      <c r="BD209" s="0" t="str">
        <f aca="false">PROPER(IF(ISBLANK(BC209),"Unknown",BC209))</f>
        <v>Unknown</v>
      </c>
      <c r="BE209" s="0" t="s">
        <v>171</v>
      </c>
      <c r="BF209" s="0" t="str">
        <f aca="false">IF(ISBLANK(BE209),"No comments",BE209)</f>
        <v>Shock absorber weakening</v>
      </c>
      <c r="BG209" s="0" t="s">
        <v>172</v>
      </c>
      <c r="BH209" s="0" t="str">
        <f aca="false">IF(ISBLANK(BG209),"No comments",BG209)</f>
        <v>Always late</v>
      </c>
      <c r="BI209" s="0" t="s">
        <v>50</v>
      </c>
      <c r="BJ209" s="0" t="str">
        <f aca="false">IF(ISBLANK(BI209),"Not Mentioned",BI209)</f>
        <v>No</v>
      </c>
      <c r="BK209" s="0" t="s">
        <v>82</v>
      </c>
      <c r="BL209" s="0" t="str">
        <f aca="false">PROPER(IF(ISBLANK(BK209),"Not Mentioned",BK209))</f>
        <v>Yes</v>
      </c>
      <c r="BN209" s="0" t="str">
        <f aca="false">PROPER(IF(ISBLANK(BM209),"Not Mentioned",BM209))</f>
        <v>Not Mentioned</v>
      </c>
      <c r="BO209" s="0" t="s">
        <v>64</v>
      </c>
      <c r="BP209" s="0" t="str">
        <f aca="false">IF(ISBLANK(BO209),"One-Time Plan",BO209)</f>
        <v>Gold Maintenance Plan</v>
      </c>
      <c r="BR209" s="0" t="str">
        <f aca="false">PROPER(IF(ISBLANK(BQ209),"No",BQ209))</f>
        <v>No</v>
      </c>
    </row>
    <row r="210" customFormat="false" ht="15" hidden="false" customHeight="false" outlineLevel="0" collapsed="false">
      <c r="A210" s="0" t="s">
        <v>639</v>
      </c>
      <c r="B210" s="2" t="n">
        <v>45773</v>
      </c>
      <c r="C210" s="2" t="str">
        <f aca="false">TEXT(B210,"dd/mm/yyyy")</f>
        <v>26/04/2025</v>
      </c>
      <c r="D210" s="0" t="s">
        <v>42</v>
      </c>
      <c r="E210" s="0" t="n">
        <v>8049600674</v>
      </c>
      <c r="F210" s="0" t="s">
        <v>122</v>
      </c>
      <c r="G210" s="0" t="s">
        <v>2316</v>
      </c>
      <c r="H210" s="0" t="s">
        <v>640</v>
      </c>
      <c r="I210" s="0" t="s">
        <v>87</v>
      </c>
      <c r="J210" s="0" t="s">
        <v>2325</v>
      </c>
      <c r="K210" s="3" t="str">
        <f aca="false" t="array" ref="K210:K210">IFERROR(IF(J210&lt;&gt;"",J210,INDEX(J210:J1209,MATCH(1,(F210:F1209=F210)*(I210:I1209=I210)*(L210:L1209=L210)*(J210:J1209&lt;&gt;""),0))),"Not Found")</f>
        <v>Engine Knocking</v>
      </c>
      <c r="L210" s="3" t="s">
        <v>89</v>
      </c>
      <c r="M210" s="0" t="str">
        <f aca="false">PROPER(L210)</f>
        <v>Shock Absorbers</v>
      </c>
      <c r="N210" s="3" t="s">
        <v>71</v>
      </c>
      <c r="O210" s="0" t="str">
        <f aca="false" t="array" ref="O210:O210">IF(N210&lt;&gt;"",N210,_xlfn.xlookup(1,(L210:L1209=L210)*(N210:N1209&lt;&gt;""),N210:N1209,"Not Found"))</f>
        <v>Isaac Bobo</v>
      </c>
      <c r="P210" s="4" t="n">
        <v>100874</v>
      </c>
      <c r="Q210" s="0" t="s">
        <v>166</v>
      </c>
      <c r="R210" s="0" t="str">
        <f aca="false">PROPER(Q210)</f>
        <v>Transfer</v>
      </c>
      <c r="S210" s="0" t="s">
        <v>63</v>
      </c>
      <c r="T210" s="0" t="n">
        <v>4</v>
      </c>
      <c r="U210" s="5" t="n">
        <f aca="false">IF(ISBLANK(T210),AVERAGE(T210:T1209),T210)</f>
        <v>4</v>
      </c>
      <c r="V210" s="0" t="n">
        <v>3.4</v>
      </c>
      <c r="W210" s="0" t="s">
        <v>111</v>
      </c>
      <c r="X210" s="0" t="str">
        <f aca="false">IF(ISBLANK(W210),"No remarks",W210)</f>
        <v>Changed all filters</v>
      </c>
      <c r="Y210" s="0" t="s">
        <v>52</v>
      </c>
      <c r="Z210" s="0" t="s">
        <v>74</v>
      </c>
      <c r="AA210" s="0" t="str">
        <f aca="false">PROPER(IF(ISBLANK(Z210),"Location Unavailable",Z210))</f>
        <v>Under Tree</v>
      </c>
      <c r="AB210" s="0" t="s">
        <v>126</v>
      </c>
      <c r="AC210" s="6" t="str">
        <f aca="false">PROPER(AB210)</f>
        <v>Whatsapp</v>
      </c>
      <c r="AE210" s="5" t="n">
        <f aca="false">IF(ISBLANK(AD210),AVERAGEIF(L210:L1209,L210,AD210:AD1209),AD210)</f>
        <v>40.2155172413793</v>
      </c>
      <c r="AF210" s="0" t="s">
        <v>96</v>
      </c>
      <c r="AG210" s="0" t="str">
        <f aca="false">PROPER(AF210)</f>
        <v>Ordered</v>
      </c>
      <c r="AH210" s="0" t="s">
        <v>148</v>
      </c>
      <c r="AI210" s="0" t="s">
        <v>78</v>
      </c>
      <c r="AJ210" s="0" t="str">
        <f aca="false">PROPER(AI210)</f>
        <v>Booking</v>
      </c>
      <c r="AK210" s="0" t="s">
        <v>196</v>
      </c>
      <c r="AL210" s="0" t="str">
        <f aca="false">PROPER(AK210)</f>
        <v>First Time</v>
      </c>
      <c r="AN210" s="0" t="str">
        <f aca="false">IF(ISBLANK(AM210),"Unknown",AM210)</f>
        <v>Unknown</v>
      </c>
      <c r="AP210" s="0" t="str">
        <f aca="false">IF(ISBLANK(AO210),"Unknown",AO210)</f>
        <v>Unknown</v>
      </c>
      <c r="AQ210" s="0" t="n">
        <v>20000</v>
      </c>
      <c r="AR210" s="5" t="n">
        <f aca="false">IF(ISBLANK(AQ210),AVERAGEIF(M210:M1209,M210,AQ210:AQ1209),AQ210)</f>
        <v>20000</v>
      </c>
      <c r="AT210" s="5" t="n">
        <f aca="false">IF(ISBLANK(AS210),AVERAGE(AS210:AS1209),AS210)</f>
        <v>31419.8473282443</v>
      </c>
      <c r="AU210" s="0" t="s">
        <v>50</v>
      </c>
      <c r="AV210" s="0" t="str">
        <f aca="false">PROPER(IF(ISBLANK(AU210),"No",AU210))</f>
        <v>No</v>
      </c>
      <c r="AX210" s="5" t="n">
        <f aca="false">IF(ISBLANK(AW210),0,AW210)</f>
        <v>0</v>
      </c>
      <c r="AZ210" s="0" t="str">
        <f aca="false">UPPER(IF(ISBLANK(AY210),"NONE",AY210))</f>
        <v>NONE</v>
      </c>
      <c r="BA210" s="7" t="n">
        <v>45865</v>
      </c>
      <c r="BB210" s="7" t="n">
        <f aca="false">IF(ISBLANK(BA210),"No Follow Up Needed",BA210)</f>
        <v>45865</v>
      </c>
      <c r="BC210" s="0" t="s">
        <v>63</v>
      </c>
      <c r="BD210" s="0" t="str">
        <f aca="false">PROPER(IF(ISBLANK(BC210),"Unknown",BC210))</f>
        <v>Yes</v>
      </c>
      <c r="BF210" s="0" t="str">
        <f aca="false">IF(ISBLANK(BE210),"No comments",BE210)</f>
        <v>No comments</v>
      </c>
      <c r="BG210" s="0" t="s">
        <v>2320</v>
      </c>
      <c r="BH210" s="0" t="str">
        <f aca="false">IF(ISBLANK(BG210),"No comments",BG210)</f>
        <v>No complaints</v>
      </c>
      <c r="BI210" s="0" t="s">
        <v>50</v>
      </c>
      <c r="BJ210" s="0" t="str">
        <f aca="false">IF(ISBLANK(BI210),"Not Mentioned",BI210)</f>
        <v>No</v>
      </c>
      <c r="BK210" s="0" t="s">
        <v>63</v>
      </c>
      <c r="BL210" s="0" t="str">
        <f aca="false">PROPER(IF(ISBLANK(BK210),"Not Mentioned",BK210))</f>
        <v>Yes</v>
      </c>
      <c r="BN210" s="0" t="str">
        <f aca="false">PROPER(IF(ISBLANK(BM210),"Not Mentioned",BM210))</f>
        <v>Not Mentioned</v>
      </c>
      <c r="BO210" s="0" t="s">
        <v>64</v>
      </c>
      <c r="BP210" s="0" t="str">
        <f aca="false">IF(ISBLANK(BO210),"One-Time Plan",BO210)</f>
        <v>Gold Maintenance Plan</v>
      </c>
      <c r="BQ210" s="0" t="s">
        <v>190</v>
      </c>
      <c r="BR210" s="0" t="str">
        <f aca="false">PROPER(IF(ISBLANK(BQ210),"No",BQ210))</f>
        <v>Yes</v>
      </c>
    </row>
    <row r="211" customFormat="false" ht="15" hidden="false" customHeight="false" outlineLevel="0" collapsed="false">
      <c r="A211" s="0" t="s">
        <v>641</v>
      </c>
      <c r="B211" s="2" t="n">
        <v>45683</v>
      </c>
      <c r="C211" s="2" t="str">
        <f aca="false">TEXT(B211,"dd/mm/yyyy")</f>
        <v>26/01/2025</v>
      </c>
      <c r="D211" s="0" t="s">
        <v>121</v>
      </c>
      <c r="E211" s="0" t="n">
        <v>8069660493</v>
      </c>
      <c r="F211" s="0" t="s">
        <v>85</v>
      </c>
      <c r="G211" s="0" t="s">
        <v>2319</v>
      </c>
      <c r="H211" s="0" t="s">
        <v>642</v>
      </c>
      <c r="I211" s="0" t="s">
        <v>69</v>
      </c>
      <c r="J211" s="0" t="s">
        <v>2322</v>
      </c>
      <c r="K211" s="3" t="str">
        <f aca="false" t="array" ref="K211:K211">IFERROR(IF(J211&lt;&gt;"",J211,INDEX(J211:J1210,MATCH(1,(F211:F1210=F211)*(I211:I1210=I211)*(L211:L1210=L211)*(J211:J1210&lt;&gt;""),0))),"Not Found")</f>
        <v>Brake Failure</v>
      </c>
      <c r="L211" s="3" t="s">
        <v>142</v>
      </c>
      <c r="M211" s="0" t="str">
        <f aca="false">PROPER(L211)</f>
        <v>Oil Filter, Brake Pads</v>
      </c>
      <c r="O211" s="0" t="e">
        <f aca="false" t="array" ref="O211:O211">IF(N211&lt;&gt;"",N211,_xlfn.xlookup(1,(L211:L1210=L211)*(N211:N1210&lt;&gt;""),N211:N1210,"Not Found"))</f>
        <v>#NAME?</v>
      </c>
      <c r="P211" s="4" t="n">
        <v>106990</v>
      </c>
      <c r="Q211" s="0" t="s">
        <v>49</v>
      </c>
      <c r="R211" s="0" t="str">
        <f aca="false">PROPER(Q211)</f>
        <v>Transfer</v>
      </c>
      <c r="S211" s="0" t="s">
        <v>63</v>
      </c>
      <c r="T211" s="0" t="n">
        <v>5</v>
      </c>
      <c r="U211" s="5" t="n">
        <f aca="false">IF(ISBLANK(T211),AVERAGE(T211:T1210),T211)</f>
        <v>5</v>
      </c>
      <c r="V211" s="0" t="n">
        <v>4.8</v>
      </c>
      <c r="W211" s="0" t="s">
        <v>111</v>
      </c>
      <c r="X211" s="0" t="str">
        <f aca="false">IF(ISBLANK(W211),"No remarks",W211)</f>
        <v>Changed all filters</v>
      </c>
      <c r="Y211" s="0" t="s">
        <v>93</v>
      </c>
      <c r="Z211" s="0" t="s">
        <v>53</v>
      </c>
      <c r="AA211" s="0" t="str">
        <f aca="false">PROPER(IF(ISBLANK(Z211),"Location Unavailable",Z211))</f>
        <v>Main Bay</v>
      </c>
      <c r="AB211" s="0" t="s">
        <v>126</v>
      </c>
      <c r="AC211" s="6" t="str">
        <f aca="false">PROPER(AB211)</f>
        <v>Whatsapp</v>
      </c>
      <c r="AD211" s="6" t="n">
        <v>30</v>
      </c>
      <c r="AE211" s="5" t="n">
        <f aca="false">IF(ISBLANK(AD211),AVERAGEIF(L211:L1210,L211,AD211:AD1210),AD211)</f>
        <v>30</v>
      </c>
      <c r="AF211" s="0" t="s">
        <v>96</v>
      </c>
      <c r="AG211" s="0" t="str">
        <f aca="false">PROPER(AF211)</f>
        <v>Ordered</v>
      </c>
      <c r="AH211" s="0" t="s">
        <v>56</v>
      </c>
      <c r="AI211" s="0" t="s">
        <v>128</v>
      </c>
      <c r="AJ211" s="0" t="str">
        <f aca="false">PROPER(AI211)</f>
        <v>Normal</v>
      </c>
      <c r="AK211" s="0" t="s">
        <v>58</v>
      </c>
      <c r="AL211" s="0" t="str">
        <f aca="false">PROPER(AK211)</f>
        <v>Fleet Owner</v>
      </c>
      <c r="AM211" s="0" t="s">
        <v>2326</v>
      </c>
      <c r="AN211" s="0" t="str">
        <f aca="false">IF(ISBLANK(AM211),"Unknown",AM211)</f>
        <v>Government Convoy</v>
      </c>
      <c r="AO211" s="0" t="s">
        <v>161</v>
      </c>
      <c r="AP211" s="0" t="str">
        <f aca="false">IF(ISBLANK(AO211),"Unknown",AO211)</f>
        <v>Apprentice</v>
      </c>
      <c r="AQ211" s="0" t="n">
        <v>15000</v>
      </c>
      <c r="AR211" s="5" t="n">
        <f aca="false">IF(ISBLANK(AQ211),AVERAGEIF(M211:M1210,M211,AQ211:AQ1210),AQ211)</f>
        <v>15000</v>
      </c>
      <c r="AS211" s="0" t="n">
        <v>20000</v>
      </c>
      <c r="AT211" s="5" t="n">
        <f aca="false">IF(ISBLANK(AS211),AVERAGE(AS211:AS1210),AS211)</f>
        <v>20000</v>
      </c>
      <c r="AU211" s="0" t="s">
        <v>82</v>
      </c>
      <c r="AV211" s="0" t="str">
        <f aca="false">PROPER(IF(ISBLANK(AU211),"No",AU211))</f>
        <v>Yes</v>
      </c>
      <c r="AW211" s="0" t="n">
        <v>5000</v>
      </c>
      <c r="AX211" s="5" t="n">
        <f aca="false">IF(ISBLANK(AW211),0,AW211)</f>
        <v>5000</v>
      </c>
      <c r="AY211" s="0" t="s">
        <v>80</v>
      </c>
      <c r="AZ211" s="0" t="str">
        <f aca="false">UPPER(IF(ISBLANK(AY211),"NONE",AY211))</f>
        <v>PROMO10</v>
      </c>
      <c r="BA211" s="7" t="n">
        <v>45971</v>
      </c>
      <c r="BB211" s="7" t="n">
        <f aca="false">IF(ISBLANK(BA211),"No Follow Up Needed",BA211)</f>
        <v>45971</v>
      </c>
      <c r="BC211" s="0" t="s">
        <v>50</v>
      </c>
      <c r="BD211" s="0" t="str">
        <f aca="false">PROPER(IF(ISBLANK(BC211),"Unknown",BC211))</f>
        <v>No</v>
      </c>
      <c r="BE211" s="0" t="s">
        <v>116</v>
      </c>
      <c r="BF211" s="0" t="str">
        <f aca="false">IF(ISBLANK(BE211),"No comments",BE211)</f>
        <v>Needs tire alignment</v>
      </c>
      <c r="BH211" s="0" t="str">
        <f aca="false">IF(ISBLANK(BG211),"No comments",BG211)</f>
        <v>No comments</v>
      </c>
      <c r="BI211" s="0" t="s">
        <v>50</v>
      </c>
      <c r="BJ211" s="0" t="str">
        <f aca="false">IF(ISBLANK(BI211),"Not Mentioned",BI211)</f>
        <v>No</v>
      </c>
      <c r="BK211" s="0" t="s">
        <v>82</v>
      </c>
      <c r="BL211" s="0" t="str">
        <f aca="false">PROPER(IF(ISBLANK(BK211),"Not Mentioned",BK211))</f>
        <v>Yes</v>
      </c>
      <c r="BN211" s="0" t="str">
        <f aca="false">PROPER(IF(ISBLANK(BM211),"Not Mentioned",BM211))</f>
        <v>Not Mentioned</v>
      </c>
      <c r="BO211" s="0" t="s">
        <v>2321</v>
      </c>
      <c r="BP211" s="0" t="str">
        <f aca="false">IF(ISBLANK(BO211),"One-Time Plan",BO211)</f>
        <v>One-Time Plan</v>
      </c>
      <c r="BQ211" s="0" t="s">
        <v>63</v>
      </c>
      <c r="BR211" s="0" t="str">
        <f aca="false">PROPER(IF(ISBLANK(BQ211),"No",BQ211))</f>
        <v>Yes</v>
      </c>
    </row>
    <row r="212" customFormat="false" ht="15" hidden="false" customHeight="false" outlineLevel="0" collapsed="false">
      <c r="A212" s="0" t="s">
        <v>643</v>
      </c>
      <c r="B212" s="2" t="n">
        <v>45691</v>
      </c>
      <c r="C212" s="2" t="str">
        <f aca="false">TEXT(B212,"dd/mm/yyyy")</f>
        <v>03/02/2025</v>
      </c>
      <c r="D212" s="0" t="s">
        <v>163</v>
      </c>
      <c r="E212" s="0" t="n">
        <v>8079634938</v>
      </c>
      <c r="F212" s="0" t="s">
        <v>43</v>
      </c>
      <c r="G212" s="0" t="s">
        <v>2315</v>
      </c>
      <c r="H212" s="0" t="s">
        <v>644</v>
      </c>
      <c r="I212" s="0" t="s">
        <v>134</v>
      </c>
      <c r="J212" s="0" t="s">
        <v>2325</v>
      </c>
      <c r="K212" s="3" t="str">
        <f aca="false" t="array" ref="K212:K212">IFERROR(IF(J212&lt;&gt;"",J212,INDEX(J212:J1211,MATCH(1,(F212:F1211=F212)*(I212:I1211=I212)*(L212:L1211=L212)*(J212:J1211&lt;&gt;""),0))),"Not Found")</f>
        <v>Engine Knocking</v>
      </c>
      <c r="L212" s="3" t="s">
        <v>47</v>
      </c>
      <c r="M212" s="0" t="str">
        <f aca="false">PROPER(L212)</f>
        <v>None</v>
      </c>
      <c r="N212" s="3" t="s">
        <v>71</v>
      </c>
      <c r="O212" s="0" t="str">
        <f aca="false" t="array" ref="O212:O212">IF(N212&lt;&gt;"",N212,_xlfn.xlookup(1,(L212:L1211=L212)*(N212:N1211&lt;&gt;""),N212:N1211,"Not Found"))</f>
        <v>Isaac Bobo</v>
      </c>
      <c r="P212" s="4" t="n">
        <v>104639</v>
      </c>
      <c r="Q212" s="0" t="s">
        <v>110</v>
      </c>
      <c r="R212" s="0" t="str">
        <f aca="false">PROPER(Q212)</f>
        <v>Cash</v>
      </c>
      <c r="S212" s="0" t="s">
        <v>63</v>
      </c>
      <c r="U212" s="5" t="n">
        <f aca="false">IF(ISBLANK(T212),AVERAGE(T212:T1211),T212)</f>
        <v>3.00458015267176</v>
      </c>
      <c r="V212" s="0" t="n">
        <v>4.2</v>
      </c>
      <c r="W212" s="0" t="s">
        <v>125</v>
      </c>
      <c r="X212" s="0" t="str">
        <f aca="false">IF(ISBLANK(W212),"No remarks",W212)</f>
        <v>Customer waited</v>
      </c>
      <c r="Y212" s="0" t="s">
        <v>52</v>
      </c>
      <c r="Z212" s="0" t="s">
        <v>94</v>
      </c>
      <c r="AA212" s="0" t="str">
        <f aca="false">PROPER(IF(ISBLANK(Z212),"Location Unavailable",Z212))</f>
        <v>Vip Section</v>
      </c>
      <c r="AB212" s="0" t="s">
        <v>147</v>
      </c>
      <c r="AC212" s="6" t="str">
        <f aca="false">PROPER(AB212)</f>
        <v>Instagram</v>
      </c>
      <c r="AD212" s="6" t="n">
        <v>45</v>
      </c>
      <c r="AE212" s="5" t="n">
        <f aca="false">IF(ISBLANK(AD212),AVERAGEIF(L212:L1211,L212,AD212:AD1211),AD212)</f>
        <v>45</v>
      </c>
      <c r="AF212" s="0" t="s">
        <v>55</v>
      </c>
      <c r="AG212" s="0" t="str">
        <f aca="false">PROPER(AF212)</f>
        <v>Available</v>
      </c>
      <c r="AH212" s="0" t="s">
        <v>77</v>
      </c>
      <c r="AI212" s="0" t="s">
        <v>78</v>
      </c>
      <c r="AJ212" s="0" t="str">
        <f aca="false">PROPER(AI212)</f>
        <v>Booking</v>
      </c>
      <c r="AK212" s="0" t="s">
        <v>196</v>
      </c>
      <c r="AL212" s="0" t="str">
        <f aca="false">PROPER(AK212)</f>
        <v>First Time</v>
      </c>
      <c r="AM212" s="0" t="s">
        <v>2326</v>
      </c>
      <c r="AN212" s="0" t="str">
        <f aca="false">IF(ISBLANK(AM212),"Unknown",AM212)</f>
        <v>Government Convoy</v>
      </c>
      <c r="AO212" s="0" t="s">
        <v>79</v>
      </c>
      <c r="AP212" s="0" t="str">
        <f aca="false">IF(ISBLANK(AO212),"Unknown",AO212)</f>
        <v>Specialist</v>
      </c>
      <c r="AQ212" s="0" t="n">
        <v>20000</v>
      </c>
      <c r="AR212" s="5" t="n">
        <f aca="false">IF(ISBLANK(AQ212),AVERAGEIF(M212:M1211,M212,AQ212:AQ1211),AQ212)</f>
        <v>20000</v>
      </c>
      <c r="AS212" s="0" t="n">
        <v>30000</v>
      </c>
      <c r="AT212" s="5" t="n">
        <f aca="false">IF(ISBLANK(AS212),AVERAGE(AS212:AS1211),AS212)</f>
        <v>30000</v>
      </c>
      <c r="AU212" s="0" t="s">
        <v>82</v>
      </c>
      <c r="AV212" s="0" t="str">
        <f aca="false">PROPER(IF(ISBLANK(AU212),"No",AU212))</f>
        <v>Yes</v>
      </c>
      <c r="AX212" s="5" t="n">
        <f aca="false">IF(ISBLANK(AW212),0,AW212)</f>
        <v>0</v>
      </c>
      <c r="AY212" s="0" t="s">
        <v>184</v>
      </c>
      <c r="AZ212" s="0" t="str">
        <f aca="false">UPPER(IF(ISBLANK(AY212),"NONE",AY212))</f>
        <v>N/A</v>
      </c>
      <c r="BA212" s="7" t="s">
        <v>645</v>
      </c>
      <c r="BB212" s="7" t="str">
        <f aca="false">IF(ISBLANK(BA212),"No Follow Up Needed",BA212)</f>
        <v>27/11/2025</v>
      </c>
      <c r="BC212" s="0" t="s">
        <v>61</v>
      </c>
      <c r="BD212" s="0" t="str">
        <f aca="false">PROPER(IF(ISBLANK(BC212),"Unknown",BC212))</f>
        <v>No</v>
      </c>
      <c r="BF212" s="0" t="str">
        <f aca="false">IF(ISBLANK(BE212),"No comments",BE212)</f>
        <v>No comments</v>
      </c>
      <c r="BG212" s="0" t="s">
        <v>172</v>
      </c>
      <c r="BH212" s="0" t="str">
        <f aca="false">IF(ISBLANK(BG212),"No comments",BG212)</f>
        <v>Always late</v>
      </c>
      <c r="BI212" s="0" t="s">
        <v>63</v>
      </c>
      <c r="BJ212" s="0" t="str">
        <f aca="false">IF(ISBLANK(BI212),"Not Mentioned",BI212)</f>
        <v>Yes</v>
      </c>
      <c r="BK212" s="0" t="s">
        <v>63</v>
      </c>
      <c r="BL212" s="0" t="str">
        <f aca="false">PROPER(IF(ISBLANK(BK212),"Not Mentioned",BK212))</f>
        <v>Yes</v>
      </c>
      <c r="BM212" s="0" t="s">
        <v>50</v>
      </c>
      <c r="BN212" s="0" t="str">
        <f aca="false">PROPER(IF(ISBLANK(BM212),"Not Mentioned",BM212))</f>
        <v>No</v>
      </c>
      <c r="BO212" s="0" t="s">
        <v>2318</v>
      </c>
      <c r="BP212" s="0" t="str">
        <f aca="false">IF(ISBLANK(BO212),"One-Time Plan",BO212)</f>
        <v>Gold</v>
      </c>
      <c r="BR212" s="0" t="str">
        <f aca="false">PROPER(IF(ISBLANK(BQ212),"No",BQ212))</f>
        <v>No</v>
      </c>
    </row>
    <row r="213" customFormat="false" ht="15" hidden="false" customHeight="false" outlineLevel="0" collapsed="false">
      <c r="A213" s="0" t="s">
        <v>646</v>
      </c>
      <c r="B213" s="2" t="n">
        <v>45695</v>
      </c>
      <c r="C213" s="2" t="str">
        <f aca="false">TEXT(B213,"dd/mm/yyyy")</f>
        <v>07/02/2025</v>
      </c>
      <c r="D213" s="0" t="s">
        <v>42</v>
      </c>
      <c r="E213" s="0" t="n">
        <v>8057187591</v>
      </c>
      <c r="F213" s="0" t="s">
        <v>122</v>
      </c>
      <c r="G213" s="0" t="s">
        <v>2316</v>
      </c>
      <c r="H213" s="0" t="s">
        <v>647</v>
      </c>
      <c r="I213" s="0" t="s">
        <v>69</v>
      </c>
      <c r="J213" s="0" t="s">
        <v>87</v>
      </c>
      <c r="K213" s="3" t="str">
        <f aca="false" t="array" ref="K213:K213">IFERROR(IF(J213&lt;&gt;"",J213,INDEX(J213:J1212,MATCH(1,(F213:F1212=F213)*(I213:I1212=I213)*(L213:L1212=L213)*(J213:J1212&lt;&gt;""),0))),"Not Found")</f>
        <v>Oil Change</v>
      </c>
      <c r="L213" s="3" t="s">
        <v>154</v>
      </c>
      <c r="M213" s="0" t="str">
        <f aca="false">PROPER(L213)</f>
        <v>Air Filter</v>
      </c>
      <c r="O213" s="0" t="e">
        <f aca="false" t="array" ref="O213:O213">IF(N213&lt;&gt;"",N213,_xlfn.xlookup(1,(L213:L1212=L213)*(N213:N1212&lt;&gt;""),N213:N1212,"Not Found"))</f>
        <v>#NAME?</v>
      </c>
      <c r="P213" s="4" t="n">
        <v>102399</v>
      </c>
      <c r="Q213" s="0" t="s">
        <v>72</v>
      </c>
      <c r="R213" s="0" t="str">
        <f aca="false">PROPER(Q213)</f>
        <v>Pos</v>
      </c>
      <c r="S213" s="0" t="s">
        <v>50</v>
      </c>
      <c r="U213" s="5" t="n">
        <f aca="false">IF(ISBLANK(T213),AVERAGE(T213:T1212),T213)</f>
        <v>3.00458015267176</v>
      </c>
      <c r="V213" s="0" t="n">
        <v>2.8</v>
      </c>
      <c r="W213" s="0" t="s">
        <v>111</v>
      </c>
      <c r="X213" s="0" t="str">
        <f aca="false">IF(ISBLANK(W213),"No remarks",W213)</f>
        <v>Changed all filters</v>
      </c>
      <c r="Y213" s="0" t="s">
        <v>73</v>
      </c>
      <c r="AA213" s="0" t="str">
        <f aca="false">PROPER(IF(ISBLANK(Z213),"Location Unavailable",Z213))</f>
        <v>Location Unavailable</v>
      </c>
      <c r="AB213" s="0" t="s">
        <v>75</v>
      </c>
      <c r="AC213" s="6" t="str">
        <f aca="false">PROPER(AB213)</f>
        <v>Mechanik Referal</v>
      </c>
      <c r="AD213" s="6" t="n">
        <v>30</v>
      </c>
      <c r="AE213" s="5" t="n">
        <f aca="false">IF(ISBLANK(AD213),AVERAGEIF(L213:L1212,L213,AD213:AD1212),AD213)</f>
        <v>30</v>
      </c>
      <c r="AF213" s="0" t="s">
        <v>55</v>
      </c>
      <c r="AG213" s="0" t="str">
        <f aca="false">PROPER(AF213)</f>
        <v>Available</v>
      </c>
      <c r="AH213" s="0" t="s">
        <v>148</v>
      </c>
      <c r="AI213" s="0" t="s">
        <v>98</v>
      </c>
      <c r="AJ213" s="0" t="str">
        <f aca="false">PROPER(AI213)</f>
        <v>Emergency</v>
      </c>
      <c r="AK213" s="0" t="s">
        <v>99</v>
      </c>
      <c r="AL213" s="0" t="str">
        <f aca="false">PROPER(AK213)</f>
        <v>Uber Driver</v>
      </c>
      <c r="AM213" s="0" t="s">
        <v>59</v>
      </c>
      <c r="AN213" s="0" t="str">
        <f aca="false">IF(ISBLANK(AM213),"Unknown",AM213)</f>
        <v>Bolt Driver</v>
      </c>
      <c r="AO213" s="0" t="s">
        <v>161</v>
      </c>
      <c r="AP213" s="0" t="str">
        <f aca="false">IF(ISBLANK(AO213),"Unknown",AO213)</f>
        <v>Apprentice</v>
      </c>
      <c r="AQ213" s="0" t="n">
        <v>25000</v>
      </c>
      <c r="AR213" s="5" t="n">
        <f aca="false">IF(ISBLANK(AQ213),AVERAGEIF(M213:M1212,M213,AQ213:AQ1212),AQ213)</f>
        <v>25000</v>
      </c>
      <c r="AS213" s="0" t="n">
        <v>35000</v>
      </c>
      <c r="AT213" s="5" t="n">
        <f aca="false">IF(ISBLANK(AS213),AVERAGE(AS213:AS1212),AS213)</f>
        <v>35000</v>
      </c>
      <c r="AV213" s="0" t="str">
        <f aca="false">PROPER(IF(ISBLANK(AU213),"No",AU213))</f>
        <v>No</v>
      </c>
      <c r="AW213" s="0" t="n">
        <v>5000</v>
      </c>
      <c r="AX213" s="5" t="n">
        <f aca="false">IF(ISBLANK(AW213),0,AW213)</f>
        <v>5000</v>
      </c>
      <c r="AY213" s="0" t="s">
        <v>130</v>
      </c>
      <c r="AZ213" s="0" t="str">
        <f aca="false">UPPER(IF(ISBLANK(AY213),"NONE",AY213))</f>
        <v>LOYALTY10</v>
      </c>
      <c r="BA213" s="7" t="n">
        <v>45726</v>
      </c>
      <c r="BB213" s="7" t="n">
        <f aca="false">IF(ISBLANK(BA213),"No Follow Up Needed",BA213)</f>
        <v>45726</v>
      </c>
      <c r="BC213" s="0" t="s">
        <v>82</v>
      </c>
      <c r="BD213" s="0" t="str">
        <f aca="false">PROPER(IF(ISBLANK(BC213),"Unknown",BC213))</f>
        <v>Yes</v>
      </c>
      <c r="BE213" s="0" t="s">
        <v>116</v>
      </c>
      <c r="BF213" s="0" t="str">
        <f aca="false">IF(ISBLANK(BE213),"No comments",BE213)</f>
        <v>Needs tire alignment</v>
      </c>
      <c r="BH213" s="0" t="str">
        <f aca="false">IF(ISBLANK(BG213),"No comments",BG213)</f>
        <v>No comments</v>
      </c>
      <c r="BI213" s="0" t="s">
        <v>50</v>
      </c>
      <c r="BJ213" s="0" t="str">
        <f aca="false">IF(ISBLANK(BI213),"Not Mentioned",BI213)</f>
        <v>No</v>
      </c>
      <c r="BK213" s="0" t="s">
        <v>82</v>
      </c>
      <c r="BL213" s="0" t="str">
        <f aca="false">PROPER(IF(ISBLANK(BK213),"Not Mentioned",BK213))</f>
        <v>Yes</v>
      </c>
      <c r="BN213" s="0" t="str">
        <f aca="false">PROPER(IF(ISBLANK(BM213),"Not Mentioned",BM213))</f>
        <v>Not Mentioned</v>
      </c>
      <c r="BO213" s="0" t="s">
        <v>2321</v>
      </c>
      <c r="BP213" s="0" t="str">
        <f aca="false">IF(ISBLANK(BO213),"One-Time Plan",BO213)</f>
        <v>One-Time Plan</v>
      </c>
      <c r="BQ213" s="0" t="s">
        <v>190</v>
      </c>
      <c r="BR213" s="0" t="str">
        <f aca="false">PROPER(IF(ISBLANK(BQ213),"No",BQ213))</f>
        <v>Yes</v>
      </c>
    </row>
    <row r="214" customFormat="false" ht="15" hidden="false" customHeight="false" outlineLevel="0" collapsed="false">
      <c r="A214" s="0" t="s">
        <v>648</v>
      </c>
      <c r="B214" s="2" t="n">
        <v>45696</v>
      </c>
      <c r="C214" s="2" t="str">
        <f aca="false">TEXT(B214,"dd/mm/yyyy")</f>
        <v>08/02/2025</v>
      </c>
      <c r="D214" s="0" t="s">
        <v>42</v>
      </c>
      <c r="E214" s="0" t="n">
        <v>8040893911</v>
      </c>
      <c r="F214" s="0" t="s">
        <v>122</v>
      </c>
      <c r="G214" s="0" t="s">
        <v>2316</v>
      </c>
      <c r="H214" s="0" t="s">
        <v>649</v>
      </c>
      <c r="I214" s="0" t="s">
        <v>69</v>
      </c>
      <c r="K214" s="3" t="str">
        <f aca="false" t="array" ref="K214:K214">IFERROR(IF(J214&lt;&gt;"",J214,INDEX(J214:J1213,MATCH(1,(F214:F1213=F214)*(I214:I1213=I214)*(L214:L1213=L214)*(J214:J1213&lt;&gt;""),0))),"Not Found")</f>
        <v>Oil Change</v>
      </c>
      <c r="L214" s="3" t="s">
        <v>89</v>
      </c>
      <c r="M214" s="0" t="str">
        <f aca="false">PROPER(L214)</f>
        <v>Shock Absorbers</v>
      </c>
      <c r="N214" s="3" t="s">
        <v>48</v>
      </c>
      <c r="O214" s="0" t="str">
        <f aca="false" t="array" ref="O214:O214">IF(N214&lt;&gt;"",N214,_xlfn.xlookup(1,(L214:L1213=L214)*(N214:N1213&lt;&gt;""),N214:N1213,"Not Found"))</f>
        <v>Uche</v>
      </c>
      <c r="P214" s="4" t="n">
        <v>58784</v>
      </c>
      <c r="Q214" s="0" t="s">
        <v>72</v>
      </c>
      <c r="R214" s="0" t="str">
        <f aca="false">PROPER(Q214)</f>
        <v>Pos</v>
      </c>
      <c r="S214" s="0" t="s">
        <v>50</v>
      </c>
      <c r="U214" s="5" t="n">
        <f aca="false">IF(ISBLANK(T214),AVERAGE(T214:T1213),T214)</f>
        <v>3.00458015267176</v>
      </c>
      <c r="V214" s="0" t="n">
        <v>1.7</v>
      </c>
      <c r="W214" s="0" t="s">
        <v>111</v>
      </c>
      <c r="X214" s="0" t="str">
        <f aca="false">IF(ISBLANK(W214),"No remarks",W214)</f>
        <v>Changed all filters</v>
      </c>
      <c r="Y214" s="0" t="s">
        <v>73</v>
      </c>
      <c r="Z214" s="0" t="s">
        <v>94</v>
      </c>
      <c r="AA214" s="0" t="str">
        <f aca="false">PROPER(IF(ISBLANK(Z214),"Location Unavailable",Z214))</f>
        <v>Vip Section</v>
      </c>
      <c r="AB214" s="0" t="s">
        <v>167</v>
      </c>
      <c r="AC214" s="6" t="str">
        <f aca="false">PROPER(AB214)</f>
        <v>Word Of Mouth</v>
      </c>
      <c r="AD214" s="6" t="n">
        <v>45</v>
      </c>
      <c r="AE214" s="5" t="n">
        <f aca="false">IF(ISBLANK(AD214),AVERAGEIF(L214:L1213,L214,AD214:AD1213),AD214)</f>
        <v>45</v>
      </c>
      <c r="AF214" s="0" t="s">
        <v>76</v>
      </c>
      <c r="AG214" s="0" t="str">
        <f aca="false">PROPER(AF214)</f>
        <v>Orderd</v>
      </c>
      <c r="AH214" s="0" t="s">
        <v>56</v>
      </c>
      <c r="AI214" s="0" t="s">
        <v>98</v>
      </c>
      <c r="AJ214" s="0" t="str">
        <f aca="false">PROPER(AI214)</f>
        <v>Emergency</v>
      </c>
      <c r="AK214" s="0" t="s">
        <v>114</v>
      </c>
      <c r="AL214" s="0" t="str">
        <f aca="false">PROPER(AK214)</f>
        <v>Returning</v>
      </c>
      <c r="AM214" s="0" t="s">
        <v>2326</v>
      </c>
      <c r="AN214" s="0" t="str">
        <f aca="false">IF(ISBLANK(AM214),"Unknown",AM214)</f>
        <v>Government Convoy</v>
      </c>
      <c r="AO214" s="0" t="s">
        <v>79</v>
      </c>
      <c r="AP214" s="0" t="str">
        <f aca="false">IF(ISBLANK(AO214),"Unknown",AO214)</f>
        <v>Specialist</v>
      </c>
      <c r="AQ214" s="0" t="n">
        <v>30000</v>
      </c>
      <c r="AR214" s="5" t="n">
        <f aca="false">IF(ISBLANK(AQ214),AVERAGEIF(M214:M1213,M214,AQ214:AQ1213),AQ214)</f>
        <v>30000</v>
      </c>
      <c r="AT214" s="5" t="n">
        <f aca="false">IF(ISBLANK(AS214),AVERAGE(AS214:AS1213),AS214)</f>
        <v>31434.0490797546</v>
      </c>
      <c r="AV214" s="0" t="str">
        <f aca="false">PROPER(IF(ISBLANK(AU214),"No",AU214))</f>
        <v>No</v>
      </c>
      <c r="AW214" s="0" t="n">
        <v>0</v>
      </c>
      <c r="AX214" s="5" t="n">
        <f aca="false">IF(ISBLANK(AW214),0,AW214)</f>
        <v>0</v>
      </c>
      <c r="AY214" s="0" t="s">
        <v>184</v>
      </c>
      <c r="AZ214" s="0" t="str">
        <f aca="false">UPPER(IF(ISBLANK(AY214),"NONE",AY214))</f>
        <v>N/A</v>
      </c>
      <c r="BB214" s="7" t="str">
        <f aca="false">IF(ISBLANK(BA214),"No Follow Up Needed",BA214)</f>
        <v>No Follow Up Needed</v>
      </c>
      <c r="BD214" s="0" t="str">
        <f aca="false">PROPER(IF(ISBLANK(BC214),"Unknown",BC214))</f>
        <v>Unknown</v>
      </c>
      <c r="BE214" s="0" t="s">
        <v>116</v>
      </c>
      <c r="BF214" s="0" t="str">
        <f aca="false">IF(ISBLANK(BE214),"No comments",BE214)</f>
        <v>Needs tire alignment</v>
      </c>
      <c r="BG214" s="0" t="s">
        <v>2320</v>
      </c>
      <c r="BH214" s="0" t="str">
        <f aca="false">IF(ISBLANK(BG214),"No comments",BG214)</f>
        <v>No complaints</v>
      </c>
      <c r="BI214" s="0" t="s">
        <v>50</v>
      </c>
      <c r="BJ214" s="0" t="str">
        <f aca="false">IF(ISBLANK(BI214),"Not Mentioned",BI214)</f>
        <v>No</v>
      </c>
      <c r="BK214" s="0" t="s">
        <v>61</v>
      </c>
      <c r="BL214" s="0" t="str">
        <f aca="false">PROPER(IF(ISBLANK(BK214),"Not Mentioned",BK214))</f>
        <v>No</v>
      </c>
      <c r="BM214" s="0" t="s">
        <v>63</v>
      </c>
      <c r="BN214" s="0" t="str">
        <f aca="false">PROPER(IF(ISBLANK(BM214),"Not Mentioned",BM214))</f>
        <v>Yes</v>
      </c>
      <c r="BO214" s="0" t="s">
        <v>2321</v>
      </c>
      <c r="BP214" s="0" t="str">
        <f aca="false">IF(ISBLANK(BO214),"One-Time Plan",BO214)</f>
        <v>One-Time Plan</v>
      </c>
      <c r="BQ214" s="0" t="s">
        <v>63</v>
      </c>
      <c r="BR214" s="0" t="str">
        <f aca="false">PROPER(IF(ISBLANK(BQ214),"No",BQ214))</f>
        <v>Yes</v>
      </c>
    </row>
    <row r="215" customFormat="false" ht="15" hidden="false" customHeight="false" outlineLevel="0" collapsed="false">
      <c r="A215" s="0" t="s">
        <v>650</v>
      </c>
      <c r="B215" s="2" t="n">
        <v>45692</v>
      </c>
      <c r="C215" s="2" t="str">
        <f aca="false">TEXT(B215,"dd/mm/yyyy")</f>
        <v>04/02/2025</v>
      </c>
      <c r="D215" s="0" t="s">
        <v>121</v>
      </c>
      <c r="E215" s="0" t="n">
        <v>8088378083</v>
      </c>
      <c r="F215" s="0" t="s">
        <v>122</v>
      </c>
      <c r="G215" s="0" t="s">
        <v>2316</v>
      </c>
      <c r="H215" s="0" t="s">
        <v>651</v>
      </c>
      <c r="I215" s="0" t="s">
        <v>107</v>
      </c>
      <c r="J215" s="0" t="s">
        <v>2317</v>
      </c>
      <c r="K215" s="3" t="str">
        <f aca="false" t="array" ref="K215:K215">IFERROR(IF(J215&lt;&gt;"",J215,INDEX(J215:J1214,MATCH(1,(F215:F1214=F215)*(I215:I1214=I215)*(L215:L1214=L215)*(J215:J1214&lt;&gt;""),0))),"Not Found")</f>
        <v>Suspension Noise</v>
      </c>
      <c r="L215" s="3" t="s">
        <v>89</v>
      </c>
      <c r="M215" s="0" t="str">
        <f aca="false">PROPER(L215)</f>
        <v>Shock Absorbers</v>
      </c>
      <c r="O215" s="0" t="e">
        <f aca="false" t="array" ref="O215:O215">IF(N215&lt;&gt;"",N215,_xlfn.xlookup(1,(L215:L1214=L215)*(N215:N1214&lt;&gt;""),N215:N1214,"Not Found"))</f>
        <v>#NAME?</v>
      </c>
      <c r="P215" s="4" t="n">
        <v>97470</v>
      </c>
      <c r="Q215" s="0" t="s">
        <v>91</v>
      </c>
      <c r="R215" s="0" t="str">
        <f aca="false">PROPER(Q215)</f>
        <v>Pos</v>
      </c>
      <c r="S215" s="0" t="s">
        <v>50</v>
      </c>
      <c r="U215" s="5" t="n">
        <f aca="false">IF(ISBLANK(T215),AVERAGE(T215:T1214),T215)</f>
        <v>3.00458015267176</v>
      </c>
      <c r="V215" s="0" t="n">
        <v>3.2</v>
      </c>
      <c r="W215" s="0" t="s">
        <v>51</v>
      </c>
      <c r="X215" s="0" t="str">
        <f aca="false">IF(ISBLANK(W215),"No remarks",W215)</f>
        <v>Recommended further checks</v>
      </c>
      <c r="Y215" s="0" t="s">
        <v>73</v>
      </c>
      <c r="Z215" s="0" t="s">
        <v>53</v>
      </c>
      <c r="AA215" s="0" t="str">
        <f aca="false">PROPER(IF(ISBLANK(Z215),"Location Unavailable",Z215))</f>
        <v>Main Bay</v>
      </c>
      <c r="AB215" s="0" t="s">
        <v>126</v>
      </c>
      <c r="AC215" s="6" t="str">
        <f aca="false">PROPER(AB215)</f>
        <v>Whatsapp</v>
      </c>
      <c r="AD215" s="6" t="n">
        <v>60</v>
      </c>
      <c r="AE215" s="5" t="n">
        <f aca="false">IF(ISBLANK(AD215),AVERAGEIF(L215:L1214,L215,AD215:AD1214),AD215)</f>
        <v>60</v>
      </c>
      <c r="AF215" s="0" t="s">
        <v>76</v>
      </c>
      <c r="AG215" s="0" t="str">
        <f aca="false">PROPER(AF215)</f>
        <v>Orderd</v>
      </c>
      <c r="AH215" s="0" t="s">
        <v>155</v>
      </c>
      <c r="AI215" s="0" t="s">
        <v>98</v>
      </c>
      <c r="AJ215" s="0" t="str">
        <f aca="false">PROPER(AI215)</f>
        <v>Emergency</v>
      </c>
      <c r="AK215" s="0" t="s">
        <v>114</v>
      </c>
      <c r="AL215" s="0" t="str">
        <f aca="false">PROPER(AK215)</f>
        <v>Returning</v>
      </c>
      <c r="AM215" s="0" t="s">
        <v>59</v>
      </c>
      <c r="AN215" s="0" t="str">
        <f aca="false">IF(ISBLANK(AM215),"Unknown",AM215)</f>
        <v>Bolt Driver</v>
      </c>
      <c r="AP215" s="0" t="str">
        <f aca="false">IF(ISBLANK(AO215),"Unknown",AO215)</f>
        <v>Unknown</v>
      </c>
      <c r="AQ215" s="0" t="n">
        <v>15000</v>
      </c>
      <c r="AR215" s="5" t="n">
        <f aca="false">IF(ISBLANK(AQ215),AVERAGEIF(M215:M1214,M215,AQ215:AQ1214),AQ215)</f>
        <v>15000</v>
      </c>
      <c r="AS215" s="0" t="n">
        <v>30000</v>
      </c>
      <c r="AT215" s="5" t="n">
        <f aca="false">IF(ISBLANK(AS215),AVERAGE(AS215:AS1214),AS215)</f>
        <v>30000</v>
      </c>
      <c r="AU215" s="0" t="s">
        <v>50</v>
      </c>
      <c r="AV215" s="0" t="str">
        <f aca="false">PROPER(IF(ISBLANK(AU215),"No",AU215))</f>
        <v>No</v>
      </c>
      <c r="AX215" s="5" t="n">
        <f aca="false">IF(ISBLANK(AW215),0,AW215)</f>
        <v>0</v>
      </c>
      <c r="AZ215" s="0" t="str">
        <f aca="false">UPPER(IF(ISBLANK(AY215),"NONE",AY215))</f>
        <v>NONE</v>
      </c>
      <c r="BB215" s="7" t="str">
        <f aca="false">IF(ISBLANK(BA215),"No Follow Up Needed",BA215)</f>
        <v>No Follow Up Needed</v>
      </c>
      <c r="BC215" s="0" t="s">
        <v>50</v>
      </c>
      <c r="BD215" s="0" t="str">
        <f aca="false">PROPER(IF(ISBLANK(BC215),"Unknown",BC215))</f>
        <v>No</v>
      </c>
      <c r="BF215" s="0" t="str">
        <f aca="false">IF(ISBLANK(BE215),"No comments",BE215)</f>
        <v>No comments</v>
      </c>
      <c r="BH215" s="0" t="str">
        <f aca="false">IF(ISBLANK(BG215),"No comments",BG215)</f>
        <v>No comments</v>
      </c>
      <c r="BI215" s="0" t="s">
        <v>50</v>
      </c>
      <c r="BJ215" s="0" t="str">
        <f aca="false">IF(ISBLANK(BI215),"Not Mentioned",BI215)</f>
        <v>No</v>
      </c>
      <c r="BK215" s="0" t="s">
        <v>50</v>
      </c>
      <c r="BL215" s="0" t="str">
        <f aca="false">PROPER(IF(ISBLANK(BK215),"Not Mentioned",BK215))</f>
        <v>No</v>
      </c>
      <c r="BM215" s="0" t="s">
        <v>63</v>
      </c>
      <c r="BN215" s="0" t="str">
        <f aca="false">PROPER(IF(ISBLANK(BM215),"Not Mentioned",BM215))</f>
        <v>Yes</v>
      </c>
      <c r="BO215" s="0" t="s">
        <v>2321</v>
      </c>
      <c r="BP215" s="0" t="str">
        <f aca="false">IF(ISBLANK(BO215),"One-Time Plan",BO215)</f>
        <v>One-Time Plan</v>
      </c>
      <c r="BQ215" s="0" t="s">
        <v>50</v>
      </c>
      <c r="BR215" s="0" t="str">
        <f aca="false">PROPER(IF(ISBLANK(BQ215),"No",BQ215))</f>
        <v>No</v>
      </c>
    </row>
    <row r="216" customFormat="false" ht="15" hidden="false" customHeight="false" outlineLevel="0" collapsed="false">
      <c r="A216" s="0" t="s">
        <v>653</v>
      </c>
      <c r="B216" s="2" t="s">
        <v>652</v>
      </c>
      <c r="C216" s="2" t="str">
        <f aca="false">TEXT(B216,"dd/mm/yyyy")</f>
        <v>17/05/2025</v>
      </c>
      <c r="D216" s="0" t="s">
        <v>42</v>
      </c>
      <c r="E216" s="0" t="n">
        <v>8015522109</v>
      </c>
      <c r="F216" s="0" t="s">
        <v>85</v>
      </c>
      <c r="G216" s="0" t="s">
        <v>2319</v>
      </c>
      <c r="H216" s="0" t="s">
        <v>654</v>
      </c>
      <c r="I216" s="0" t="s">
        <v>107</v>
      </c>
      <c r="J216" s="0" t="s">
        <v>2322</v>
      </c>
      <c r="K216" s="3" t="str">
        <f aca="false" t="array" ref="K216:K216">IFERROR(IF(J216&lt;&gt;"",J216,INDEX(J216:J1215,MATCH(1,(F216:F1215=F216)*(I216:I1215=I216)*(L216:L1215=L216)*(J216:J1215&lt;&gt;""),0))),"Not Found")</f>
        <v>Brake Failure</v>
      </c>
      <c r="L216" s="3" t="s">
        <v>154</v>
      </c>
      <c r="M216" s="0" t="str">
        <f aca="false">PROPER(L216)</f>
        <v>Air Filter</v>
      </c>
      <c r="O216" s="0" t="e">
        <f aca="false" t="array" ref="O216:O216">IF(N216&lt;&gt;"",N216,_xlfn.xlookup(1,(L216:L1215=L216)*(N216:N1215&lt;&gt;""),N216:N1215,"Not Found"))</f>
        <v>#NAME?</v>
      </c>
      <c r="P216" s="4" t="n">
        <v>77414</v>
      </c>
      <c r="Q216" s="0" t="s">
        <v>91</v>
      </c>
      <c r="R216" s="0" t="str">
        <f aca="false">PROPER(Q216)</f>
        <v>Pos</v>
      </c>
      <c r="S216" s="0" t="s">
        <v>63</v>
      </c>
      <c r="T216" s="0" t="n">
        <v>4</v>
      </c>
      <c r="U216" s="5" t="n">
        <f aca="false">IF(ISBLANK(T216),AVERAGE(T216:T1215),T216)</f>
        <v>4</v>
      </c>
      <c r="V216" s="0" t="n">
        <v>3.6</v>
      </c>
      <c r="W216" s="0" t="s">
        <v>125</v>
      </c>
      <c r="X216" s="0" t="str">
        <f aca="false">IF(ISBLANK(W216),"No remarks",W216)</f>
        <v>Customer waited</v>
      </c>
      <c r="Y216" s="0" t="s">
        <v>73</v>
      </c>
      <c r="Z216" s="0" t="s">
        <v>53</v>
      </c>
      <c r="AA216" s="0" t="str">
        <f aca="false">PROPER(IF(ISBLANK(Z216),"Location Unavailable",Z216))</f>
        <v>Main Bay</v>
      </c>
      <c r="AB216" s="0" t="s">
        <v>95</v>
      </c>
      <c r="AC216" s="6" t="str">
        <f aca="false">PROPER(AB216)</f>
        <v>Road Sign</v>
      </c>
      <c r="AD216" s="6" t="n">
        <v>15</v>
      </c>
      <c r="AE216" s="5" t="n">
        <f aca="false">IF(ISBLANK(AD216),AVERAGEIF(L216:L1215,L216,AD216:AD1215),AD216)</f>
        <v>15</v>
      </c>
      <c r="AF216" s="0" t="s">
        <v>160</v>
      </c>
      <c r="AG216" s="0" t="str">
        <f aca="false">PROPER(AF216)</f>
        <v>Availaible</v>
      </c>
      <c r="AH216" s="0" t="s">
        <v>77</v>
      </c>
      <c r="AI216" s="0" t="s">
        <v>128</v>
      </c>
      <c r="AJ216" s="0" t="str">
        <f aca="false">PROPER(AI216)</f>
        <v>Normal</v>
      </c>
      <c r="AK216" s="0" t="s">
        <v>58</v>
      </c>
      <c r="AL216" s="0" t="str">
        <f aca="false">PROPER(AK216)</f>
        <v>Fleet Owner</v>
      </c>
      <c r="AN216" s="0" t="str">
        <f aca="false">IF(ISBLANK(AM216),"Unknown",AM216)</f>
        <v>Unknown</v>
      </c>
      <c r="AO216" s="0" t="s">
        <v>143</v>
      </c>
      <c r="AP216" s="0" t="str">
        <f aca="false">IF(ISBLANK(AO216),"Unknown",AO216)</f>
        <v>Senior</v>
      </c>
      <c r="AQ216" s="0" t="n">
        <v>15000</v>
      </c>
      <c r="AR216" s="5" t="n">
        <f aca="false">IF(ISBLANK(AQ216),AVERAGEIF(M216:M1215,M216,AQ216:AQ1215),AQ216)</f>
        <v>15000</v>
      </c>
      <c r="AS216" s="0" t="n">
        <v>30000</v>
      </c>
      <c r="AT216" s="5" t="n">
        <f aca="false">IF(ISBLANK(AS216),AVERAGE(AS216:AS1215),AS216)</f>
        <v>30000</v>
      </c>
      <c r="AV216" s="0" t="str">
        <f aca="false">PROPER(IF(ISBLANK(AU216),"No",AU216))</f>
        <v>No</v>
      </c>
      <c r="AW216" s="0" t="n">
        <v>5000</v>
      </c>
      <c r="AX216" s="5" t="n">
        <f aca="false">IF(ISBLANK(AW216),0,AW216)</f>
        <v>5000</v>
      </c>
      <c r="AY216" s="0" t="s">
        <v>60</v>
      </c>
      <c r="AZ216" s="0" t="str">
        <f aca="false">UPPER(IF(ISBLANK(AY216),"NONE",AY216))</f>
        <v>NONE</v>
      </c>
      <c r="BA216" s="7" t="n">
        <v>45787</v>
      </c>
      <c r="BB216" s="7" t="n">
        <f aca="false">IF(ISBLANK(BA216),"No Follow Up Needed",BA216)</f>
        <v>45787</v>
      </c>
      <c r="BD216" s="0" t="str">
        <f aca="false">PROPER(IF(ISBLANK(BC216),"Unknown",BC216))</f>
        <v>Unknown</v>
      </c>
      <c r="BE216" s="0" t="s">
        <v>171</v>
      </c>
      <c r="BF216" s="0" t="str">
        <f aca="false">IF(ISBLANK(BE216),"No comments",BE216)</f>
        <v>Shock absorber weakening</v>
      </c>
      <c r="BH216" s="0" t="str">
        <f aca="false">IF(ISBLANK(BG216),"No comments",BG216)</f>
        <v>No comments</v>
      </c>
      <c r="BJ216" s="0" t="str">
        <f aca="false">IF(ISBLANK(BI216),"Not Mentioned",BI216)</f>
        <v>Not Mentioned</v>
      </c>
      <c r="BK216" s="0" t="s">
        <v>61</v>
      </c>
      <c r="BL216" s="0" t="str">
        <f aca="false">PROPER(IF(ISBLANK(BK216),"Not Mentioned",BK216))</f>
        <v>No</v>
      </c>
      <c r="BM216" s="0" t="s">
        <v>63</v>
      </c>
      <c r="BN216" s="0" t="str">
        <f aca="false">PROPER(IF(ISBLANK(BM216),"Not Mentioned",BM216))</f>
        <v>Yes</v>
      </c>
      <c r="BO216" s="0" t="s">
        <v>2318</v>
      </c>
      <c r="BP216" s="0" t="str">
        <f aca="false">IF(ISBLANK(BO216),"One-Time Plan",BO216)</f>
        <v>Gold</v>
      </c>
      <c r="BQ216" s="0" t="s">
        <v>198</v>
      </c>
      <c r="BR216" s="0" t="str">
        <f aca="false">PROPER(IF(ISBLANK(BQ216),"No",BQ216))</f>
        <v>Followed Up</v>
      </c>
    </row>
    <row r="217" customFormat="false" ht="15" hidden="false" customHeight="false" outlineLevel="0" collapsed="false">
      <c r="A217" s="0" t="s">
        <v>655</v>
      </c>
      <c r="B217" s="2" t="n">
        <v>45801</v>
      </c>
      <c r="C217" s="2" t="str">
        <f aca="false">TEXT(B217,"dd/mm/yyyy")</f>
        <v>24/05/2025</v>
      </c>
      <c r="D217" s="0" t="s">
        <v>42</v>
      </c>
      <c r="E217" s="0" t="n">
        <v>8072445215</v>
      </c>
      <c r="F217" s="0" t="s">
        <v>43</v>
      </c>
      <c r="G217" s="0" t="s">
        <v>2315</v>
      </c>
      <c r="H217" s="0" t="s">
        <v>656</v>
      </c>
      <c r="I217" s="0" t="s">
        <v>107</v>
      </c>
      <c r="J217" s="0" t="s">
        <v>2317</v>
      </c>
      <c r="K217" s="3" t="str">
        <f aca="false" t="array" ref="K217:K217">IFERROR(IF(J217&lt;&gt;"",J217,INDEX(J217:J1216,MATCH(1,(F217:F1216=F217)*(I217:I1216=I217)*(L217:L1216=L217)*(J217:J1216&lt;&gt;""),0))),"Not Found")</f>
        <v>Suspension Noise</v>
      </c>
      <c r="L217" s="3" t="s">
        <v>142</v>
      </c>
      <c r="M217" s="0" t="str">
        <f aca="false">PROPER(L217)</f>
        <v>Oil Filter, Brake Pads</v>
      </c>
      <c r="N217" s="3" t="s">
        <v>71</v>
      </c>
      <c r="O217" s="0" t="str">
        <f aca="false" t="array" ref="O217:O217">IF(N217&lt;&gt;"",N217,_xlfn.xlookup(1,(L217:L1216=L217)*(N217:N1216&lt;&gt;""),N217:N1216,"Not Found"))</f>
        <v>Isaac Bobo</v>
      </c>
      <c r="P217" s="4" t="n">
        <v>56840</v>
      </c>
      <c r="Q217" s="0" t="s">
        <v>91</v>
      </c>
      <c r="R217" s="0" t="str">
        <f aca="false">PROPER(Q217)</f>
        <v>Pos</v>
      </c>
      <c r="S217" s="0" t="s">
        <v>63</v>
      </c>
      <c r="T217" s="0" t="n">
        <v>5</v>
      </c>
      <c r="U217" s="5" t="n">
        <f aca="false">IF(ISBLANK(T217),AVERAGE(T217:T1216),T217)</f>
        <v>5</v>
      </c>
      <c r="V217" s="0" t="n">
        <v>4.7</v>
      </c>
      <c r="W217" s="0" t="s">
        <v>92</v>
      </c>
      <c r="X217" s="0" t="str">
        <f aca="false">IF(ISBLANK(W217),"No remarks",W217)</f>
        <v>Urgent service</v>
      </c>
      <c r="Y217" s="0" t="s">
        <v>52</v>
      </c>
      <c r="Z217" s="0" t="s">
        <v>74</v>
      </c>
      <c r="AA217" s="0" t="str">
        <f aca="false">PROPER(IF(ISBLANK(Z217),"Location Unavailable",Z217))</f>
        <v>Under Tree</v>
      </c>
      <c r="AB217" s="0" t="s">
        <v>167</v>
      </c>
      <c r="AC217" s="6" t="str">
        <f aca="false">PROPER(AB217)</f>
        <v>Word Of Mouth</v>
      </c>
      <c r="AD217" s="6" t="n">
        <v>60</v>
      </c>
      <c r="AE217" s="5" t="n">
        <f aca="false">IF(ISBLANK(AD217),AVERAGEIF(L217:L1216,L217,AD217:AD1216),AD217)</f>
        <v>60</v>
      </c>
      <c r="AF217" s="0" t="s">
        <v>76</v>
      </c>
      <c r="AG217" s="0" t="str">
        <f aca="false">PROPER(AF217)</f>
        <v>Orderd</v>
      </c>
      <c r="AH217" s="0" t="s">
        <v>155</v>
      </c>
      <c r="AI217" s="0" t="s">
        <v>113</v>
      </c>
      <c r="AJ217" s="0" t="str">
        <f aca="false">PROPER(AI217)</f>
        <v>Normal</v>
      </c>
      <c r="AK217" s="0" t="s">
        <v>114</v>
      </c>
      <c r="AL217" s="0" t="str">
        <f aca="false">PROPER(AK217)</f>
        <v>Returning</v>
      </c>
      <c r="AM217" s="0" t="s">
        <v>59</v>
      </c>
      <c r="AN217" s="0" t="str">
        <f aca="false">IF(ISBLANK(AM217),"Unknown",AM217)</f>
        <v>Bolt Driver</v>
      </c>
      <c r="AO217" s="0" t="s">
        <v>79</v>
      </c>
      <c r="AP217" s="0" t="str">
        <f aca="false">IF(ISBLANK(AO217),"Unknown",AO217)</f>
        <v>Specialist</v>
      </c>
      <c r="AQ217" s="0" t="n">
        <v>30000</v>
      </c>
      <c r="AR217" s="5" t="n">
        <f aca="false">IF(ISBLANK(AQ217),AVERAGEIF(M217:M1216,M217,AQ217:AQ1216),AQ217)</f>
        <v>30000</v>
      </c>
      <c r="AS217" s="0" t="n">
        <v>35000</v>
      </c>
      <c r="AT217" s="5" t="n">
        <f aca="false">IF(ISBLANK(AS217),AVERAGE(AS217:AS1216),AS217)</f>
        <v>35000</v>
      </c>
      <c r="AU217" s="0" t="s">
        <v>82</v>
      </c>
      <c r="AV217" s="0" t="str">
        <f aca="false">PROPER(IF(ISBLANK(AU217),"No",AU217))</f>
        <v>Yes</v>
      </c>
      <c r="AW217" s="0" t="n">
        <v>5000</v>
      </c>
      <c r="AX217" s="5" t="n">
        <f aca="false">IF(ISBLANK(AW217),0,AW217)</f>
        <v>5000</v>
      </c>
      <c r="AY217" s="0" t="s">
        <v>130</v>
      </c>
      <c r="AZ217" s="0" t="str">
        <f aca="false">UPPER(IF(ISBLANK(AY217),"NONE",AY217))</f>
        <v>LOYALTY10</v>
      </c>
      <c r="BB217" s="7" t="str">
        <f aca="false">IF(ISBLANK(BA217),"No Follow Up Needed",BA217)</f>
        <v>No Follow Up Needed</v>
      </c>
      <c r="BC217" s="0" t="s">
        <v>82</v>
      </c>
      <c r="BD217" s="0" t="str">
        <f aca="false">PROPER(IF(ISBLANK(BC217),"Unknown",BC217))</f>
        <v>Yes</v>
      </c>
      <c r="BF217" s="0" t="str">
        <f aca="false">IF(ISBLANK(BE217),"No comments",BE217)</f>
        <v>No comments</v>
      </c>
      <c r="BH217" s="0" t="str">
        <f aca="false">IF(ISBLANK(BG217),"No comments",BG217)</f>
        <v>No comments</v>
      </c>
      <c r="BJ217" s="0" t="str">
        <f aca="false">IF(ISBLANK(BI217),"Not Mentioned",BI217)</f>
        <v>Not Mentioned</v>
      </c>
      <c r="BK217" s="0" t="s">
        <v>63</v>
      </c>
      <c r="BL217" s="0" t="str">
        <f aca="false">PROPER(IF(ISBLANK(BK217),"Not Mentioned",BK217))</f>
        <v>Yes</v>
      </c>
      <c r="BM217" s="0" t="s">
        <v>63</v>
      </c>
      <c r="BN217" s="0" t="str">
        <f aca="false">PROPER(IF(ISBLANK(BM217),"Not Mentioned",BM217))</f>
        <v>Yes</v>
      </c>
      <c r="BP217" s="0" t="str">
        <f aca="false">IF(ISBLANK(BO217),"One-Time Plan",BO217)</f>
        <v>One-Time Plan</v>
      </c>
      <c r="BR217" s="0" t="str">
        <f aca="false">PROPER(IF(ISBLANK(BQ217),"No",BQ217))</f>
        <v>No</v>
      </c>
    </row>
    <row r="218" customFormat="false" ht="15" hidden="false" customHeight="false" outlineLevel="0" collapsed="false">
      <c r="A218" s="0" t="s">
        <v>657</v>
      </c>
      <c r="B218" s="2" t="n">
        <v>45683</v>
      </c>
      <c r="C218" s="2" t="str">
        <f aca="false">TEXT(B218,"dd/mm/yyyy")</f>
        <v>26/01/2025</v>
      </c>
      <c r="D218" s="0" t="s">
        <v>105</v>
      </c>
      <c r="E218" s="0" t="n">
        <v>8078754653</v>
      </c>
      <c r="F218" s="0" t="s">
        <v>43</v>
      </c>
      <c r="G218" s="0" t="s">
        <v>2315</v>
      </c>
      <c r="H218" s="0" t="s">
        <v>658</v>
      </c>
      <c r="I218" s="0" t="s">
        <v>134</v>
      </c>
      <c r="J218" s="0" t="s">
        <v>87</v>
      </c>
      <c r="K218" s="3" t="str">
        <f aca="false" t="array" ref="K218:K218">IFERROR(IF(J218&lt;&gt;"",J218,INDEX(J218:J1217,MATCH(1,(F218:F1217=F218)*(I218:I1217=I218)*(L218:L1217=L218)*(J218:J1217&lt;&gt;""),0))),"Not Found")</f>
        <v>Oil Change</v>
      </c>
      <c r="L218" s="3" t="s">
        <v>47</v>
      </c>
      <c r="M218" s="0" t="str">
        <f aca="false">PROPER(L218)</f>
        <v>None</v>
      </c>
      <c r="N218" s="3" t="s">
        <v>48</v>
      </c>
      <c r="O218" s="0" t="str">
        <f aca="false" t="array" ref="O218:O218">IF(N218&lt;&gt;"",N218,_xlfn.xlookup(1,(L218:L1217=L218)*(N218:N1217&lt;&gt;""),N218:N1217,"Not Found"))</f>
        <v>Uche</v>
      </c>
      <c r="P218" s="4" t="n">
        <v>34203</v>
      </c>
      <c r="Q218" s="0" t="s">
        <v>72</v>
      </c>
      <c r="R218" s="0" t="str">
        <f aca="false">PROPER(Q218)</f>
        <v>Pos</v>
      </c>
      <c r="S218" s="0" t="s">
        <v>63</v>
      </c>
      <c r="T218" s="0" t="n">
        <v>1</v>
      </c>
      <c r="U218" s="5" t="n">
        <f aca="false">IF(ISBLANK(T218),AVERAGE(T218:T1217),T218)</f>
        <v>1</v>
      </c>
      <c r="V218" s="0" t="n">
        <v>4.7</v>
      </c>
      <c r="W218" s="0" t="s">
        <v>111</v>
      </c>
      <c r="X218" s="0" t="str">
        <f aca="false">IF(ISBLANK(W218),"No remarks",W218)</f>
        <v>Changed all filters</v>
      </c>
      <c r="Y218" s="0" t="s">
        <v>93</v>
      </c>
      <c r="Z218" s="0" t="s">
        <v>94</v>
      </c>
      <c r="AA218" s="0" t="str">
        <f aca="false">PROPER(IF(ISBLANK(Z218),"Location Unavailable",Z218))</f>
        <v>Vip Section</v>
      </c>
      <c r="AB218" s="0" t="s">
        <v>75</v>
      </c>
      <c r="AC218" s="6" t="str">
        <f aca="false">PROPER(AB218)</f>
        <v>Mechanik Referal</v>
      </c>
      <c r="AE218" s="5" t="n">
        <f aca="false">IF(ISBLANK(AD218),AVERAGEIF(L218:L1217,L218,AD218:AD1217),AD218)</f>
        <v>36.0326086956522</v>
      </c>
      <c r="AF218" s="0" t="s">
        <v>55</v>
      </c>
      <c r="AG218" s="0" t="str">
        <f aca="false">PROPER(AF218)</f>
        <v>Available</v>
      </c>
      <c r="AH218" s="0" t="s">
        <v>155</v>
      </c>
      <c r="AI218" s="0" t="s">
        <v>128</v>
      </c>
      <c r="AJ218" s="0" t="str">
        <f aca="false">PROPER(AI218)</f>
        <v>Normal</v>
      </c>
      <c r="AK218" s="0" t="s">
        <v>114</v>
      </c>
      <c r="AL218" s="0" t="str">
        <f aca="false">PROPER(AK218)</f>
        <v>Returning</v>
      </c>
      <c r="AM218" s="0" t="s">
        <v>59</v>
      </c>
      <c r="AN218" s="0" t="str">
        <f aca="false">IF(ISBLANK(AM218),"Unknown",AM218)</f>
        <v>Bolt Driver</v>
      </c>
      <c r="AO218" s="0" t="s">
        <v>161</v>
      </c>
      <c r="AP218" s="0" t="str">
        <f aca="false">IF(ISBLANK(AO218),"Unknown",AO218)</f>
        <v>Apprentice</v>
      </c>
      <c r="AQ218" s="0" t="n">
        <v>15000</v>
      </c>
      <c r="AR218" s="5" t="n">
        <f aca="false">IF(ISBLANK(AQ218),AVERAGEIF(M218:M1217,M218,AQ218:AQ1217),AQ218)</f>
        <v>15000</v>
      </c>
      <c r="AS218" s="0" t="n">
        <v>40000</v>
      </c>
      <c r="AT218" s="5" t="n">
        <f aca="false">IF(ISBLANK(AS218),AVERAGE(AS218:AS1217),AS218)</f>
        <v>40000</v>
      </c>
      <c r="AU218" s="0" t="s">
        <v>50</v>
      </c>
      <c r="AV218" s="0" t="str">
        <f aca="false">PROPER(IF(ISBLANK(AU218),"No",AU218))</f>
        <v>No</v>
      </c>
      <c r="AW218" s="0" t="n">
        <v>0</v>
      </c>
      <c r="AX218" s="5" t="n">
        <f aca="false">IF(ISBLANK(AW218),0,AW218)</f>
        <v>0</v>
      </c>
      <c r="AZ218" s="0" t="str">
        <f aca="false">UPPER(IF(ISBLANK(AY218),"NONE",AY218))</f>
        <v>NONE</v>
      </c>
      <c r="BA218" s="7" t="n">
        <v>45725</v>
      </c>
      <c r="BB218" s="7" t="n">
        <f aca="false">IF(ISBLANK(BA218),"No Follow Up Needed",BA218)</f>
        <v>45725</v>
      </c>
      <c r="BC218" s="0" t="s">
        <v>82</v>
      </c>
      <c r="BD218" s="0" t="str">
        <f aca="false">PROPER(IF(ISBLANK(BC218),"Unknown",BC218))</f>
        <v>Yes</v>
      </c>
      <c r="BF218" s="0" t="str">
        <f aca="false">IF(ISBLANK(BE218),"No comments",BE218)</f>
        <v>No comments</v>
      </c>
      <c r="BH218" s="0" t="str">
        <f aca="false">IF(ISBLANK(BG218),"No comments",BG218)</f>
        <v>No comments</v>
      </c>
      <c r="BI218" s="0" t="s">
        <v>50</v>
      </c>
      <c r="BJ218" s="0" t="str">
        <f aca="false">IF(ISBLANK(BI218),"Not Mentioned",BI218)</f>
        <v>No</v>
      </c>
      <c r="BL218" s="0" t="str">
        <f aca="false">PROPER(IF(ISBLANK(BK218),"Not Mentioned",BK218))</f>
        <v>Not Mentioned</v>
      </c>
      <c r="BM218" s="0" t="s">
        <v>63</v>
      </c>
      <c r="BN218" s="0" t="str">
        <f aca="false">PROPER(IF(ISBLANK(BM218),"Not Mentioned",BM218))</f>
        <v>Yes</v>
      </c>
      <c r="BO218" s="0" t="s">
        <v>2321</v>
      </c>
      <c r="BP218" s="0" t="str">
        <f aca="false">IF(ISBLANK(BO218),"One-Time Plan",BO218)</f>
        <v>One-Time Plan</v>
      </c>
      <c r="BR218" s="0" t="str">
        <f aca="false">PROPER(IF(ISBLANK(BQ218),"No",BQ218))</f>
        <v>No</v>
      </c>
    </row>
    <row r="219" customFormat="false" ht="15" hidden="false" customHeight="false" outlineLevel="0" collapsed="false">
      <c r="A219" s="0" t="s">
        <v>660</v>
      </c>
      <c r="B219" s="2" t="s">
        <v>659</v>
      </c>
      <c r="C219" s="2" t="str">
        <f aca="false">TEXT(B219,"dd/mm/yyyy")</f>
        <v>16/01/2025</v>
      </c>
      <c r="D219" s="0" t="s">
        <v>121</v>
      </c>
      <c r="E219" s="0" t="n">
        <v>8093366096</v>
      </c>
      <c r="F219" s="0" t="s">
        <v>85</v>
      </c>
      <c r="G219" s="0" t="s">
        <v>2319</v>
      </c>
      <c r="H219" s="0" t="s">
        <v>661</v>
      </c>
      <c r="I219" s="0" t="s">
        <v>87</v>
      </c>
      <c r="J219" s="0" t="s">
        <v>2317</v>
      </c>
      <c r="K219" s="3" t="str">
        <f aca="false" t="array" ref="K219:K219">IFERROR(IF(J219&lt;&gt;"",J219,INDEX(J219:J1218,MATCH(1,(F219:F1218=F219)*(I219:I1218=I219)*(L219:L1218=L219)*(J219:J1218&lt;&gt;""),0))),"Not Found")</f>
        <v>Suspension Noise</v>
      </c>
      <c r="L219" s="3" t="s">
        <v>154</v>
      </c>
      <c r="M219" s="0" t="str">
        <f aca="false">PROPER(L219)</f>
        <v>Air Filter</v>
      </c>
      <c r="N219" s="3" t="s">
        <v>48</v>
      </c>
      <c r="O219" s="0" t="str">
        <f aca="false" t="array" ref="O219:O219">IF(N219&lt;&gt;"",N219,_xlfn.xlookup(1,(L219:L1218=L219)*(N219:N1218&lt;&gt;""),N219:N1218,"Not Found"))</f>
        <v>Uche</v>
      </c>
      <c r="P219" s="4" t="n">
        <v>41037</v>
      </c>
      <c r="Q219" s="0" t="s">
        <v>110</v>
      </c>
      <c r="R219" s="0" t="str">
        <f aca="false">PROPER(Q219)</f>
        <v>Cash</v>
      </c>
      <c r="S219" s="0" t="s">
        <v>50</v>
      </c>
      <c r="T219" s="0" t="n">
        <v>1</v>
      </c>
      <c r="U219" s="5" t="n">
        <f aca="false">IF(ISBLANK(T219),AVERAGE(T219:T1218),T219)</f>
        <v>1</v>
      </c>
      <c r="V219" s="0" t="n">
        <v>1.6</v>
      </c>
      <c r="W219" s="0" t="s">
        <v>51</v>
      </c>
      <c r="X219" s="0" t="str">
        <f aca="false">IF(ISBLANK(W219),"No remarks",W219)</f>
        <v>Recommended further checks</v>
      </c>
      <c r="Y219" s="0" t="s">
        <v>52</v>
      </c>
      <c r="Z219" s="0" t="s">
        <v>74</v>
      </c>
      <c r="AA219" s="0" t="str">
        <f aca="false">PROPER(IF(ISBLANK(Z219),"Location Unavailable",Z219))</f>
        <v>Under Tree</v>
      </c>
      <c r="AB219" s="0" t="s">
        <v>126</v>
      </c>
      <c r="AC219" s="6" t="str">
        <f aca="false">PROPER(AB219)</f>
        <v>Whatsapp</v>
      </c>
      <c r="AE219" s="5" t="n">
        <f aca="false">IF(ISBLANK(AD219),AVERAGEIF(L219:L1218,L219,AD219:AD1218),AD219)</f>
        <v>38.0859375</v>
      </c>
      <c r="AF219" s="0" t="s">
        <v>76</v>
      </c>
      <c r="AG219" s="0" t="str">
        <f aca="false">PROPER(AF219)</f>
        <v>Orderd</v>
      </c>
      <c r="AH219" s="0" t="s">
        <v>77</v>
      </c>
      <c r="AI219" s="0" t="s">
        <v>78</v>
      </c>
      <c r="AJ219" s="0" t="str">
        <f aca="false">PROPER(AI219)</f>
        <v>Booking</v>
      </c>
      <c r="AK219" s="0" t="s">
        <v>196</v>
      </c>
      <c r="AL219" s="0" t="str">
        <f aca="false">PROPER(AK219)</f>
        <v>First Time</v>
      </c>
      <c r="AN219" s="0" t="str">
        <f aca="false">IF(ISBLANK(AM219),"Unknown",AM219)</f>
        <v>Unknown</v>
      </c>
      <c r="AO219" s="0" t="s">
        <v>79</v>
      </c>
      <c r="AP219" s="0" t="str">
        <f aca="false">IF(ISBLANK(AO219),"Unknown",AO219)</f>
        <v>Specialist</v>
      </c>
      <c r="AQ219" s="0" t="n">
        <v>30000</v>
      </c>
      <c r="AR219" s="5" t="n">
        <f aca="false">IF(ISBLANK(AQ219),AVERAGEIF(M219:M1218,M219,AQ219:AQ1218),AQ219)</f>
        <v>30000</v>
      </c>
      <c r="AS219" s="0" t="n">
        <v>20000</v>
      </c>
      <c r="AT219" s="5" t="n">
        <f aca="false">IF(ISBLANK(AS219),AVERAGE(AS219:AS1218),AS219)</f>
        <v>20000</v>
      </c>
      <c r="AU219" s="0" t="s">
        <v>82</v>
      </c>
      <c r="AV219" s="0" t="str">
        <f aca="false">PROPER(IF(ISBLANK(AU219),"No",AU219))</f>
        <v>Yes</v>
      </c>
      <c r="AW219" s="0" t="n">
        <v>5000</v>
      </c>
      <c r="AX219" s="5" t="n">
        <f aca="false">IF(ISBLANK(AW219),0,AW219)</f>
        <v>5000</v>
      </c>
      <c r="AY219" s="0" t="s">
        <v>184</v>
      </c>
      <c r="AZ219" s="0" t="str">
        <f aca="false">UPPER(IF(ISBLANK(AY219),"NONE",AY219))</f>
        <v>N/A</v>
      </c>
      <c r="BB219" s="7" t="str">
        <f aca="false">IF(ISBLANK(BA219),"No Follow Up Needed",BA219)</f>
        <v>No Follow Up Needed</v>
      </c>
      <c r="BC219" s="0" t="s">
        <v>61</v>
      </c>
      <c r="BD219" s="0" t="str">
        <f aca="false">PROPER(IF(ISBLANK(BC219),"Unknown",BC219))</f>
        <v>No</v>
      </c>
      <c r="BE219" s="0" t="s">
        <v>116</v>
      </c>
      <c r="BF219" s="0" t="str">
        <f aca="false">IF(ISBLANK(BE219),"No comments",BE219)</f>
        <v>Needs tire alignment</v>
      </c>
      <c r="BG219" s="0" t="s">
        <v>172</v>
      </c>
      <c r="BH219" s="0" t="str">
        <f aca="false">IF(ISBLANK(BG219),"No comments",BG219)</f>
        <v>Always late</v>
      </c>
      <c r="BI219" s="0" t="s">
        <v>63</v>
      </c>
      <c r="BJ219" s="0" t="str">
        <f aca="false">IF(ISBLANK(BI219),"Not Mentioned",BI219)</f>
        <v>Yes</v>
      </c>
      <c r="BK219" s="0" t="s">
        <v>61</v>
      </c>
      <c r="BL219" s="0" t="str">
        <f aca="false">PROPER(IF(ISBLANK(BK219),"Not Mentioned",BK219))</f>
        <v>No</v>
      </c>
      <c r="BM219" s="0" t="s">
        <v>63</v>
      </c>
      <c r="BN219" s="0" t="str">
        <f aca="false">PROPER(IF(ISBLANK(BM219),"Not Mentioned",BM219))</f>
        <v>Yes</v>
      </c>
      <c r="BP219" s="0" t="str">
        <f aca="false">IF(ISBLANK(BO219),"One-Time Plan",BO219)</f>
        <v>One-Time Plan</v>
      </c>
      <c r="BQ219" s="0" t="s">
        <v>63</v>
      </c>
      <c r="BR219" s="0" t="str">
        <f aca="false">PROPER(IF(ISBLANK(BQ219),"No",BQ219))</f>
        <v>Yes</v>
      </c>
    </row>
    <row r="220" customFormat="false" ht="15" hidden="false" customHeight="false" outlineLevel="0" collapsed="false">
      <c r="A220" s="0" t="s">
        <v>662</v>
      </c>
      <c r="B220" s="2" t="n">
        <v>45967</v>
      </c>
      <c r="C220" s="2" t="str">
        <f aca="false">TEXT(B220,"dd/mm/yyyy")</f>
        <v>06/11/2025</v>
      </c>
      <c r="D220" s="0" t="s">
        <v>121</v>
      </c>
      <c r="E220" s="0" t="n">
        <v>8055147351</v>
      </c>
      <c r="F220" s="0" t="s">
        <v>67</v>
      </c>
      <c r="G220" s="0" t="s">
        <v>2316</v>
      </c>
      <c r="H220" s="0" t="s">
        <v>663</v>
      </c>
      <c r="I220" s="0" t="s">
        <v>134</v>
      </c>
      <c r="J220" s="0" t="s">
        <v>87</v>
      </c>
      <c r="K220" s="3" t="str">
        <f aca="false" t="array" ref="K220:K220">IFERROR(IF(J220&lt;&gt;"",J220,INDEX(J220:J1219,MATCH(1,(F220:F1219=F220)*(I220:I1219=I220)*(L220:L1219=L220)*(J220:J1219&lt;&gt;""),0))),"Not Found")</f>
        <v>Oil Change</v>
      </c>
      <c r="L220" s="3" t="s">
        <v>154</v>
      </c>
      <c r="M220" s="0" t="str">
        <f aca="false">PROPER(L220)</f>
        <v>Air Filter</v>
      </c>
      <c r="O220" s="0" t="e">
        <f aca="false" t="array" ref="O220:O220">IF(N220&lt;&gt;"",N220,_xlfn.xlookup(1,(L220:L1219=L220)*(N220:N1219&lt;&gt;""),N220:N1219,"Not Found"))</f>
        <v>#NAME?</v>
      </c>
      <c r="P220" s="4" t="n">
        <v>93548</v>
      </c>
      <c r="Q220" s="0" t="s">
        <v>124</v>
      </c>
      <c r="R220" s="0" t="str">
        <f aca="false">PROPER(Q220)</f>
        <v>Cash</v>
      </c>
      <c r="S220" s="0" t="s">
        <v>50</v>
      </c>
      <c r="T220" s="0" t="n">
        <v>5</v>
      </c>
      <c r="U220" s="5" t="n">
        <f aca="false">IF(ISBLANK(T220),AVERAGE(T220:T1219),T220)</f>
        <v>5</v>
      </c>
      <c r="V220" s="0" t="n">
        <v>4.9</v>
      </c>
      <c r="W220" s="0" t="s">
        <v>111</v>
      </c>
      <c r="X220" s="0" t="str">
        <f aca="false">IF(ISBLANK(W220),"No remarks",W220)</f>
        <v>Changed all filters</v>
      </c>
      <c r="Y220" s="0" t="s">
        <v>73</v>
      </c>
      <c r="AA220" s="0" t="str">
        <f aca="false">PROPER(IF(ISBLANK(Z220),"Location Unavailable",Z220))</f>
        <v>Location Unavailable</v>
      </c>
      <c r="AB220" s="0" t="s">
        <v>75</v>
      </c>
      <c r="AC220" s="6" t="str">
        <f aca="false">PROPER(AB220)</f>
        <v>Mechanik Referal</v>
      </c>
      <c r="AD220" s="6" t="n">
        <v>45</v>
      </c>
      <c r="AE220" s="5" t="n">
        <f aca="false">IF(ISBLANK(AD220),AVERAGEIF(L220:L1219,L220,AD220:AD1219),AD220)</f>
        <v>45</v>
      </c>
      <c r="AF220" s="0" t="s">
        <v>76</v>
      </c>
      <c r="AG220" s="0" t="str">
        <f aca="false">PROPER(AF220)</f>
        <v>Orderd</v>
      </c>
      <c r="AH220" s="0" t="s">
        <v>155</v>
      </c>
      <c r="AI220" s="0" t="s">
        <v>98</v>
      </c>
      <c r="AJ220" s="0" t="str">
        <f aca="false">PROPER(AI220)</f>
        <v>Emergency</v>
      </c>
      <c r="AK220" s="0" t="s">
        <v>58</v>
      </c>
      <c r="AL220" s="0" t="str">
        <f aca="false">PROPER(AK220)</f>
        <v>Fleet Owner</v>
      </c>
      <c r="AM220" s="0" t="s">
        <v>177</v>
      </c>
      <c r="AN220" s="0" t="str">
        <f aca="false">IF(ISBLANK(AM220),"Unknown",AM220)</f>
        <v>Private</v>
      </c>
      <c r="AO220" s="0" t="s">
        <v>161</v>
      </c>
      <c r="AP220" s="0" t="str">
        <f aca="false">IF(ISBLANK(AO220),"Unknown",AO220)</f>
        <v>Apprentice</v>
      </c>
      <c r="AQ220" s="0" t="n">
        <v>15000</v>
      </c>
      <c r="AR220" s="5" t="n">
        <f aca="false">IF(ISBLANK(AQ220),AVERAGEIF(M220:M1219,M220,AQ220:AQ1219),AQ220)</f>
        <v>15000</v>
      </c>
      <c r="AS220" s="0" t="n">
        <v>40000</v>
      </c>
      <c r="AT220" s="5" t="n">
        <f aca="false">IF(ISBLANK(AS220),AVERAGE(AS220:AS1219),AS220)</f>
        <v>40000</v>
      </c>
      <c r="AV220" s="0" t="str">
        <f aca="false">PROPER(IF(ISBLANK(AU220),"No",AU220))</f>
        <v>No</v>
      </c>
      <c r="AW220" s="0" t="n">
        <v>0</v>
      </c>
      <c r="AX220" s="5" t="n">
        <f aca="false">IF(ISBLANK(AW220),0,AW220)</f>
        <v>0</v>
      </c>
      <c r="AY220" s="0" t="s">
        <v>130</v>
      </c>
      <c r="AZ220" s="0" t="str">
        <f aca="false">UPPER(IF(ISBLANK(AY220),"NONE",AY220))</f>
        <v>LOYALTY10</v>
      </c>
      <c r="BA220" s="7" t="s">
        <v>245</v>
      </c>
      <c r="BB220" s="7" t="str">
        <f aca="false">IF(ISBLANK(BA220),"No Follow Up Needed",BA220)</f>
        <v>17/12/2025</v>
      </c>
      <c r="BC220" s="0" t="s">
        <v>63</v>
      </c>
      <c r="BD220" s="0" t="str">
        <f aca="false">PROPER(IF(ISBLANK(BC220),"Unknown",BC220))</f>
        <v>Yes</v>
      </c>
      <c r="BF220" s="0" t="str">
        <f aca="false">IF(ISBLANK(BE220),"No comments",BE220)</f>
        <v>No comments</v>
      </c>
      <c r="BH220" s="0" t="str">
        <f aca="false">IF(ISBLANK(BG220),"No comments",BG220)</f>
        <v>No comments</v>
      </c>
      <c r="BI220" s="0" t="s">
        <v>63</v>
      </c>
      <c r="BJ220" s="0" t="str">
        <f aca="false">IF(ISBLANK(BI220),"Not Mentioned",BI220)</f>
        <v>Yes</v>
      </c>
      <c r="BL220" s="0" t="str">
        <f aca="false">PROPER(IF(ISBLANK(BK220),"Not Mentioned",BK220))</f>
        <v>Not Mentioned</v>
      </c>
      <c r="BN220" s="0" t="str">
        <f aca="false">PROPER(IF(ISBLANK(BM220),"Not Mentioned",BM220))</f>
        <v>Not Mentioned</v>
      </c>
      <c r="BO220" s="0" t="s">
        <v>2318</v>
      </c>
      <c r="BP220" s="0" t="str">
        <f aca="false">IF(ISBLANK(BO220),"One-Time Plan",BO220)</f>
        <v>Gold</v>
      </c>
      <c r="BQ220" s="0" t="s">
        <v>198</v>
      </c>
      <c r="BR220" s="0" t="str">
        <f aca="false">PROPER(IF(ISBLANK(BQ220),"No",BQ220))</f>
        <v>Followed Up</v>
      </c>
    </row>
    <row r="221" customFormat="false" ht="15" hidden="false" customHeight="false" outlineLevel="0" collapsed="false">
      <c r="A221" s="0" t="s">
        <v>664</v>
      </c>
      <c r="B221" s="2" t="n">
        <v>45872</v>
      </c>
      <c r="C221" s="2" t="str">
        <f aca="false">TEXT(B221,"dd/mm/yyyy")</f>
        <v>03/08/2025</v>
      </c>
      <c r="D221" s="0" t="s">
        <v>121</v>
      </c>
      <c r="E221" s="0" t="n">
        <v>8067190488</v>
      </c>
      <c r="F221" s="0" t="s">
        <v>139</v>
      </c>
      <c r="G221" s="0" t="s">
        <v>2323</v>
      </c>
      <c r="H221" s="0" t="s">
        <v>665</v>
      </c>
      <c r="I221" s="0" t="s">
        <v>134</v>
      </c>
      <c r="J221" s="0" t="s">
        <v>2325</v>
      </c>
      <c r="K221" s="3" t="str">
        <f aca="false" t="array" ref="K221:K221">IFERROR(IF(J221&lt;&gt;"",J221,INDEX(J221:J1220,MATCH(1,(F221:F1220=F221)*(I221:I1220=I221)*(L221:L1220=L221)*(J221:J1220&lt;&gt;""),0))),"Not Found")</f>
        <v>Engine Knocking</v>
      </c>
      <c r="L221" s="3" t="s">
        <v>108</v>
      </c>
      <c r="M221" s="0" t="str">
        <f aca="false">PROPER(L221)</f>
        <v>Timing Belt</v>
      </c>
      <c r="N221" s="3" t="s">
        <v>109</v>
      </c>
      <c r="O221" s="0" t="str">
        <f aca="false" t="array" ref="O221:O221">IF(N221&lt;&gt;"",N221,_xlfn.xlookup(1,(L221:L1220=L221)*(N221:N1220&lt;&gt;""),N221:N1220,"Not Found"))</f>
        <v>Tijani</v>
      </c>
      <c r="P221" s="4" t="n">
        <v>80122</v>
      </c>
      <c r="Q221" s="0" t="s">
        <v>124</v>
      </c>
      <c r="R221" s="0" t="str">
        <f aca="false">PROPER(Q221)</f>
        <v>Cash</v>
      </c>
      <c r="S221" s="0" t="s">
        <v>50</v>
      </c>
      <c r="U221" s="5" t="n">
        <f aca="false">IF(ISBLANK(T221),AVERAGE(T221:T1220),T221)</f>
        <v>3.00307692307692</v>
      </c>
      <c r="V221" s="0" t="n">
        <v>3.3</v>
      </c>
      <c r="W221" s="0" t="s">
        <v>92</v>
      </c>
      <c r="X221" s="0" t="str">
        <f aca="false">IF(ISBLANK(W221),"No remarks",W221)</f>
        <v>Urgent service</v>
      </c>
      <c r="Y221" s="0" t="s">
        <v>52</v>
      </c>
      <c r="Z221" s="0" t="s">
        <v>53</v>
      </c>
      <c r="AA221" s="0" t="str">
        <f aca="false">PROPER(IF(ISBLANK(Z221),"Location Unavailable",Z221))</f>
        <v>Main Bay</v>
      </c>
      <c r="AB221" s="0" t="s">
        <v>95</v>
      </c>
      <c r="AC221" s="6" t="str">
        <f aca="false">PROPER(AB221)</f>
        <v>Road Sign</v>
      </c>
      <c r="AD221" s="6" t="n">
        <v>15</v>
      </c>
      <c r="AE221" s="5" t="n">
        <f aca="false">IF(ISBLANK(AD221),AVERAGEIF(L221:L1220,L221,AD221:AD1220),AD221)</f>
        <v>15</v>
      </c>
      <c r="AF221" s="0" t="s">
        <v>76</v>
      </c>
      <c r="AG221" s="0" t="str">
        <f aca="false">PROPER(AF221)</f>
        <v>Orderd</v>
      </c>
      <c r="AH221" s="0" t="s">
        <v>155</v>
      </c>
      <c r="AI221" s="0" t="s">
        <v>128</v>
      </c>
      <c r="AJ221" s="0" t="str">
        <f aca="false">PROPER(AI221)</f>
        <v>Normal</v>
      </c>
      <c r="AK221" s="0" t="s">
        <v>196</v>
      </c>
      <c r="AL221" s="0" t="str">
        <f aca="false">PROPER(AK221)</f>
        <v>First Time</v>
      </c>
      <c r="AM221" s="0" t="s">
        <v>2324</v>
      </c>
      <c r="AN221" s="0" t="str">
        <f aca="false">IF(ISBLANK(AM221),"Unknown",AM221)</f>
        <v>Logistics Convoy</v>
      </c>
      <c r="AO221" s="0" t="s">
        <v>149</v>
      </c>
      <c r="AP221" s="0" t="str">
        <f aca="false">IF(ISBLANK(AO221),"Unknown",AO221)</f>
        <v>Senior </v>
      </c>
      <c r="AQ221" s="0" t="n">
        <v>40000</v>
      </c>
      <c r="AR221" s="5" t="n">
        <f aca="false">IF(ISBLANK(AQ221),AVERAGEIF(M221:M1220,M221,AQ221:AQ1220),AQ221)</f>
        <v>40000</v>
      </c>
      <c r="AS221" s="0" t="n">
        <v>35000</v>
      </c>
      <c r="AT221" s="5" t="n">
        <f aca="false">IF(ISBLANK(AS221),AVERAGE(AS221:AS1220),AS221)</f>
        <v>35000</v>
      </c>
      <c r="AU221" s="0" t="s">
        <v>50</v>
      </c>
      <c r="AV221" s="0" t="str">
        <f aca="false">PROPER(IF(ISBLANK(AU221),"No",AU221))</f>
        <v>No</v>
      </c>
      <c r="AX221" s="5" t="n">
        <f aca="false">IF(ISBLANK(AW221),0,AW221)</f>
        <v>0</v>
      </c>
      <c r="AY221" s="0" t="s">
        <v>130</v>
      </c>
      <c r="AZ221" s="0" t="str">
        <f aca="false">UPPER(IF(ISBLANK(AY221),"NONE",AY221))</f>
        <v>LOYALTY10</v>
      </c>
      <c r="BA221" s="7" t="n">
        <v>46022</v>
      </c>
      <c r="BB221" s="7" t="n">
        <f aca="false">IF(ISBLANK(BA221),"No Follow Up Needed",BA221)</f>
        <v>46022</v>
      </c>
      <c r="BC221" s="0" t="s">
        <v>82</v>
      </c>
      <c r="BD221" s="0" t="str">
        <f aca="false">PROPER(IF(ISBLANK(BC221),"Unknown",BC221))</f>
        <v>Yes</v>
      </c>
      <c r="BF221" s="0" t="str">
        <f aca="false">IF(ISBLANK(BE221),"No comments",BE221)</f>
        <v>No comments</v>
      </c>
      <c r="BG221" s="0" t="s">
        <v>172</v>
      </c>
      <c r="BH221" s="0" t="str">
        <f aca="false">IF(ISBLANK(BG221),"No comments",BG221)</f>
        <v>Always late</v>
      </c>
      <c r="BI221" s="0" t="s">
        <v>63</v>
      </c>
      <c r="BJ221" s="0" t="str">
        <f aca="false">IF(ISBLANK(BI221),"Not Mentioned",BI221)</f>
        <v>Yes</v>
      </c>
      <c r="BK221" s="0" t="s">
        <v>61</v>
      </c>
      <c r="BL221" s="0" t="str">
        <f aca="false">PROPER(IF(ISBLANK(BK221),"Not Mentioned",BK221))</f>
        <v>No</v>
      </c>
      <c r="BM221" s="0" t="s">
        <v>50</v>
      </c>
      <c r="BN221" s="0" t="str">
        <f aca="false">PROPER(IF(ISBLANK(BM221),"Not Mentioned",BM221))</f>
        <v>No</v>
      </c>
      <c r="BO221" s="0" t="s">
        <v>2321</v>
      </c>
      <c r="BP221" s="0" t="str">
        <f aca="false">IF(ISBLANK(BO221),"One-Time Plan",BO221)</f>
        <v>One-Time Plan</v>
      </c>
      <c r="BR221" s="0" t="str">
        <f aca="false">PROPER(IF(ISBLANK(BQ221),"No",BQ221))</f>
        <v>No</v>
      </c>
    </row>
    <row r="222" customFormat="false" ht="15" hidden="false" customHeight="false" outlineLevel="0" collapsed="false">
      <c r="A222" s="0" t="s">
        <v>667</v>
      </c>
      <c r="B222" s="2" t="s">
        <v>666</v>
      </c>
      <c r="C222" s="2" t="str">
        <f aca="false">TEXT(B222,"dd/mm/yyyy")</f>
        <v>23/05/2025</v>
      </c>
      <c r="D222" s="0" t="s">
        <v>163</v>
      </c>
      <c r="E222" s="0" t="n">
        <v>8070552489</v>
      </c>
      <c r="F222" s="0" t="s">
        <v>122</v>
      </c>
      <c r="G222" s="0" t="s">
        <v>2316</v>
      </c>
      <c r="H222" s="0" t="s">
        <v>668</v>
      </c>
      <c r="I222" s="0" t="s">
        <v>45</v>
      </c>
      <c r="J222" s="0" t="s">
        <v>2325</v>
      </c>
      <c r="K222" s="3" t="str">
        <f aca="false" t="array" ref="K222:K222">IFERROR(IF(J222&lt;&gt;"",J222,INDEX(J222:J1221,MATCH(1,(F222:F1221=F222)*(I222:I1221=I222)*(L222:L1221=L222)*(J222:J1221&lt;&gt;""),0))),"Not Found")</f>
        <v>Engine Knocking</v>
      </c>
      <c r="L222" s="3" t="s">
        <v>89</v>
      </c>
      <c r="M222" s="0" t="str">
        <f aca="false">PROPER(L222)</f>
        <v>Shock Absorbers</v>
      </c>
      <c r="N222" s="3" t="s">
        <v>71</v>
      </c>
      <c r="O222" s="0" t="str">
        <f aca="false" t="array" ref="O222:O222">IF(N222&lt;&gt;"",N222,_xlfn.xlookup(1,(L222:L1221=L222)*(N222:N1221&lt;&gt;""),N222:N1221,"Not Found"))</f>
        <v>Isaac Bobo</v>
      </c>
      <c r="P222" s="4" t="n">
        <v>61687</v>
      </c>
      <c r="Q222" s="0" t="s">
        <v>110</v>
      </c>
      <c r="R222" s="0" t="str">
        <f aca="false">PROPER(Q222)</f>
        <v>Cash</v>
      </c>
      <c r="S222" s="0" t="s">
        <v>50</v>
      </c>
      <c r="T222" s="0" t="n">
        <v>3</v>
      </c>
      <c r="U222" s="5" t="n">
        <f aca="false">IF(ISBLANK(T222),AVERAGE(T222:T1221),T222)</f>
        <v>3</v>
      </c>
      <c r="V222" s="0" t="n">
        <v>2.8</v>
      </c>
      <c r="W222" s="0" t="s">
        <v>111</v>
      </c>
      <c r="X222" s="0" t="str">
        <f aca="false">IF(ISBLANK(W222),"No remarks",W222)</f>
        <v>Changed all filters</v>
      </c>
      <c r="Y222" s="0" t="s">
        <v>73</v>
      </c>
      <c r="Z222" s="0" t="s">
        <v>94</v>
      </c>
      <c r="AA222" s="0" t="str">
        <f aca="false">PROPER(IF(ISBLANK(Z222),"Location Unavailable",Z222))</f>
        <v>Vip Section</v>
      </c>
      <c r="AB222" s="0" t="s">
        <v>147</v>
      </c>
      <c r="AC222" s="6" t="str">
        <f aca="false">PROPER(AB222)</f>
        <v>Instagram</v>
      </c>
      <c r="AD222" s="6" t="n">
        <v>45</v>
      </c>
      <c r="AE222" s="5" t="n">
        <f aca="false">IF(ISBLANK(AD222),AVERAGEIF(L222:L1221,L222,AD222:AD1221),AD222)</f>
        <v>45</v>
      </c>
      <c r="AF222" s="0" t="s">
        <v>96</v>
      </c>
      <c r="AG222" s="0" t="str">
        <f aca="false">PROPER(AF222)</f>
        <v>Ordered</v>
      </c>
      <c r="AH222" s="0" t="s">
        <v>148</v>
      </c>
      <c r="AI222" s="0" t="s">
        <v>128</v>
      </c>
      <c r="AJ222" s="0" t="str">
        <f aca="false">PROPER(AI222)</f>
        <v>Normal</v>
      </c>
      <c r="AK222" s="0" t="s">
        <v>114</v>
      </c>
      <c r="AL222" s="0" t="str">
        <f aca="false">PROPER(AK222)</f>
        <v>Returning</v>
      </c>
      <c r="AN222" s="0" t="str">
        <f aca="false">IF(ISBLANK(AM222),"Unknown",AM222)</f>
        <v>Unknown</v>
      </c>
      <c r="AO222" s="0" t="s">
        <v>149</v>
      </c>
      <c r="AP222" s="0" t="str">
        <f aca="false">IF(ISBLANK(AO222),"Unknown",AO222)</f>
        <v>Senior </v>
      </c>
      <c r="AQ222" s="0" t="n">
        <v>20000</v>
      </c>
      <c r="AR222" s="5" t="n">
        <f aca="false">IF(ISBLANK(AQ222),AVERAGEIF(M222:M1221,M222,AQ222:AQ1221),AQ222)</f>
        <v>20000</v>
      </c>
      <c r="AS222" s="0" t="n">
        <v>30000</v>
      </c>
      <c r="AT222" s="5" t="n">
        <f aca="false">IF(ISBLANK(AS222),AVERAGE(AS222:AS1221),AS222)</f>
        <v>30000</v>
      </c>
      <c r="AU222" s="0" t="s">
        <v>50</v>
      </c>
      <c r="AV222" s="0" t="str">
        <f aca="false">PROPER(IF(ISBLANK(AU222),"No",AU222))</f>
        <v>No</v>
      </c>
      <c r="AW222" s="0" t="n">
        <v>0</v>
      </c>
      <c r="AX222" s="5" t="n">
        <f aca="false">IF(ISBLANK(AW222),0,AW222)</f>
        <v>0</v>
      </c>
      <c r="AY222" s="0" t="s">
        <v>130</v>
      </c>
      <c r="AZ222" s="0" t="str">
        <f aca="false">UPPER(IF(ISBLANK(AY222),"NONE",AY222))</f>
        <v>LOYALTY10</v>
      </c>
      <c r="BA222" s="7" t="n">
        <v>45940</v>
      </c>
      <c r="BB222" s="7" t="n">
        <f aca="false">IF(ISBLANK(BA222),"No Follow Up Needed",BA222)</f>
        <v>45940</v>
      </c>
      <c r="BC222" s="0" t="s">
        <v>50</v>
      </c>
      <c r="BD222" s="0" t="str">
        <f aca="false">PROPER(IF(ISBLANK(BC222),"Unknown",BC222))</f>
        <v>No</v>
      </c>
      <c r="BF222" s="0" t="str">
        <f aca="false">IF(ISBLANK(BE222),"No comments",BE222)</f>
        <v>No comments</v>
      </c>
      <c r="BG222" s="0" t="s">
        <v>2320</v>
      </c>
      <c r="BH222" s="0" t="str">
        <f aca="false">IF(ISBLANK(BG222),"No comments",BG222)</f>
        <v>No complaints</v>
      </c>
      <c r="BI222" s="0" t="s">
        <v>63</v>
      </c>
      <c r="BJ222" s="0" t="str">
        <f aca="false">IF(ISBLANK(BI222),"Not Mentioned",BI222)</f>
        <v>Yes</v>
      </c>
      <c r="BK222" s="0" t="s">
        <v>50</v>
      </c>
      <c r="BL222" s="0" t="str">
        <f aca="false">PROPER(IF(ISBLANK(BK222),"Not Mentioned",BK222))</f>
        <v>No</v>
      </c>
      <c r="BN222" s="0" t="str">
        <f aca="false">PROPER(IF(ISBLANK(BM222),"Not Mentioned",BM222))</f>
        <v>Not Mentioned</v>
      </c>
      <c r="BP222" s="0" t="str">
        <f aca="false">IF(ISBLANK(BO222),"One-Time Plan",BO222)</f>
        <v>One-Time Plan</v>
      </c>
      <c r="BQ222" s="0" t="s">
        <v>190</v>
      </c>
      <c r="BR222" s="0" t="str">
        <f aca="false">PROPER(IF(ISBLANK(BQ222),"No",BQ222))</f>
        <v>Yes</v>
      </c>
    </row>
    <row r="223" customFormat="false" ht="15" hidden="false" customHeight="false" outlineLevel="0" collapsed="false">
      <c r="A223" s="0" t="s">
        <v>670</v>
      </c>
      <c r="B223" s="2" t="s">
        <v>669</v>
      </c>
      <c r="C223" s="2" t="str">
        <f aca="false">TEXT(B223,"dd/mm/yyyy")</f>
        <v>16/04/2025</v>
      </c>
      <c r="D223" s="0" t="s">
        <v>121</v>
      </c>
      <c r="E223" s="0" t="n">
        <v>8072753631</v>
      </c>
      <c r="F223" s="0" t="s">
        <v>67</v>
      </c>
      <c r="G223" s="0" t="s">
        <v>2316</v>
      </c>
      <c r="H223" s="0" t="s">
        <v>671</v>
      </c>
      <c r="I223" s="0" t="s">
        <v>87</v>
      </c>
      <c r="J223" s="0" t="s">
        <v>2317</v>
      </c>
      <c r="K223" s="3" t="str">
        <f aca="false" t="array" ref="K223:K223">IFERROR(IF(J223&lt;&gt;"",J223,INDEX(J223:J1222,MATCH(1,(F223:F1222=F223)*(I223:I1222=I223)*(L223:L1222=L223)*(J223:J1222&lt;&gt;""),0))),"Not Found")</f>
        <v>Suspension Noise</v>
      </c>
      <c r="L223" s="3" t="s">
        <v>108</v>
      </c>
      <c r="M223" s="0" t="str">
        <f aca="false">PROPER(L223)</f>
        <v>Timing Belt</v>
      </c>
      <c r="N223" s="3" t="s">
        <v>90</v>
      </c>
      <c r="O223" s="0" t="str">
        <f aca="false" t="array" ref="O223:O223">IF(N223&lt;&gt;"",N223,_xlfn.xlookup(1,(L223:L1222=L223)*(N223:N1222&lt;&gt;""),N223:N1222,"Not Found"))</f>
        <v>Musa</v>
      </c>
      <c r="P223" s="4" t="n">
        <v>17979</v>
      </c>
      <c r="Q223" s="0" t="s">
        <v>110</v>
      </c>
      <c r="R223" s="0" t="str">
        <f aca="false">PROPER(Q223)</f>
        <v>Cash</v>
      </c>
      <c r="S223" s="0" t="s">
        <v>63</v>
      </c>
      <c r="U223" s="5" t="n">
        <f aca="false">IF(ISBLANK(T223),AVERAGE(T223:T1222),T223)</f>
        <v>3.00308166409861</v>
      </c>
      <c r="V223" s="0" t="n">
        <v>2.5</v>
      </c>
      <c r="X223" s="0" t="str">
        <f aca="false">IF(ISBLANK(W223),"No remarks",W223)</f>
        <v>No remarks</v>
      </c>
      <c r="Y223" s="0" t="s">
        <v>73</v>
      </c>
      <c r="Z223" s="0" t="s">
        <v>159</v>
      </c>
      <c r="AA223" s="0" t="str">
        <f aca="false">PROPER(IF(ISBLANK(Z223),"Location Unavailable",Z223))</f>
        <v>Main Bay</v>
      </c>
      <c r="AB223" s="0" t="s">
        <v>126</v>
      </c>
      <c r="AC223" s="6" t="str">
        <f aca="false">PROPER(AB223)</f>
        <v>Whatsapp</v>
      </c>
      <c r="AE223" s="5" t="n">
        <f aca="false">IF(ISBLANK(AD223),AVERAGEIF(L223:L1222,L223,AD223:AD1222),AD223)</f>
        <v>37.8947368421053</v>
      </c>
      <c r="AF223" s="0" t="s">
        <v>112</v>
      </c>
      <c r="AG223" s="0" t="str">
        <f aca="false">PROPER(AF223)</f>
        <v>Unavailable</v>
      </c>
      <c r="AH223" s="0" t="s">
        <v>56</v>
      </c>
      <c r="AI223" s="0" t="s">
        <v>78</v>
      </c>
      <c r="AJ223" s="0" t="str">
        <f aca="false">PROPER(AI223)</f>
        <v>Booking</v>
      </c>
      <c r="AK223" s="0" t="s">
        <v>58</v>
      </c>
      <c r="AL223" s="0" t="str">
        <f aca="false">PROPER(AK223)</f>
        <v>Fleet Owner</v>
      </c>
      <c r="AN223" s="0" t="str">
        <f aca="false">IF(ISBLANK(AM223),"Unknown",AM223)</f>
        <v>Unknown</v>
      </c>
      <c r="AO223" s="0" t="s">
        <v>149</v>
      </c>
      <c r="AP223" s="0" t="str">
        <f aca="false">IF(ISBLANK(AO223),"Unknown",AO223)</f>
        <v>Senior </v>
      </c>
      <c r="AR223" s="5" t="n">
        <f aca="false">IF(ISBLANK(AQ223),AVERAGEIF(M223:M1222,M223,AQ223:AQ1222),AQ223)</f>
        <v>27603.305785124</v>
      </c>
      <c r="AS223" s="0" t="n">
        <v>35000</v>
      </c>
      <c r="AT223" s="5" t="n">
        <f aca="false">IF(ISBLANK(AS223),AVERAGE(AS223:AS1222),AS223)</f>
        <v>35000</v>
      </c>
      <c r="AU223" s="0" t="s">
        <v>50</v>
      </c>
      <c r="AV223" s="0" t="str">
        <f aca="false">PROPER(IF(ISBLANK(AU223),"No",AU223))</f>
        <v>No</v>
      </c>
      <c r="AW223" s="0" t="n">
        <v>10000</v>
      </c>
      <c r="AX223" s="5" t="n">
        <f aca="false">IF(ISBLANK(AW223),0,AW223)</f>
        <v>10000</v>
      </c>
      <c r="AY223" s="0" t="s">
        <v>130</v>
      </c>
      <c r="AZ223" s="0" t="str">
        <f aca="false">UPPER(IF(ISBLANK(AY223),"NONE",AY223))</f>
        <v>LOYALTY10</v>
      </c>
      <c r="BB223" s="7" t="str">
        <f aca="false">IF(ISBLANK(BA223),"No Follow Up Needed",BA223)</f>
        <v>No Follow Up Needed</v>
      </c>
      <c r="BC223" s="0" t="s">
        <v>63</v>
      </c>
      <c r="BD223" s="0" t="str">
        <f aca="false">PROPER(IF(ISBLANK(BC223),"Unknown",BC223))</f>
        <v>Yes</v>
      </c>
      <c r="BF223" s="0" t="str">
        <f aca="false">IF(ISBLANK(BE223),"No comments",BE223)</f>
        <v>No comments</v>
      </c>
      <c r="BH223" s="0" t="str">
        <f aca="false">IF(ISBLANK(BG223),"No comments",BG223)</f>
        <v>No comments</v>
      </c>
      <c r="BI223" s="0" t="s">
        <v>50</v>
      </c>
      <c r="BJ223" s="0" t="str">
        <f aca="false">IF(ISBLANK(BI223),"Not Mentioned",BI223)</f>
        <v>No</v>
      </c>
      <c r="BL223" s="0" t="str">
        <f aca="false">PROPER(IF(ISBLANK(BK223),"Not Mentioned",BK223))</f>
        <v>Not Mentioned</v>
      </c>
      <c r="BN223" s="0" t="str">
        <f aca="false">PROPER(IF(ISBLANK(BM223),"Not Mentioned",BM223))</f>
        <v>Not Mentioned</v>
      </c>
      <c r="BO223" s="0" t="s">
        <v>64</v>
      </c>
      <c r="BP223" s="0" t="str">
        <f aca="false">IF(ISBLANK(BO223),"One-Time Plan",BO223)</f>
        <v>Gold Maintenance Plan</v>
      </c>
      <c r="BQ223" s="0" t="s">
        <v>63</v>
      </c>
      <c r="BR223" s="0" t="str">
        <f aca="false">PROPER(IF(ISBLANK(BQ223),"No",BQ223))</f>
        <v>Yes</v>
      </c>
    </row>
    <row r="224" customFormat="false" ht="15" hidden="false" customHeight="false" outlineLevel="0" collapsed="false">
      <c r="A224" s="0" t="s">
        <v>672</v>
      </c>
      <c r="B224" s="2" t="n">
        <v>45805</v>
      </c>
      <c r="C224" s="2" t="str">
        <f aca="false">TEXT(B224,"dd/mm/yyyy")</f>
        <v>28/05/2025</v>
      </c>
      <c r="D224" s="0" t="s">
        <v>66</v>
      </c>
      <c r="E224" s="0" t="n">
        <v>8068049927</v>
      </c>
      <c r="F224" s="0" t="s">
        <v>43</v>
      </c>
      <c r="G224" s="0" t="s">
        <v>2315</v>
      </c>
      <c r="H224" s="0" t="s">
        <v>673</v>
      </c>
      <c r="I224" s="0" t="s">
        <v>69</v>
      </c>
      <c r="J224" s="0" t="s">
        <v>2322</v>
      </c>
      <c r="K224" s="3" t="str">
        <f aca="false" t="array" ref="K224:K224">IFERROR(IF(J224&lt;&gt;"",J224,INDEX(J224:J1223,MATCH(1,(F224:F1223=F224)*(I224:I1223=I224)*(L224:L1223=L224)*(J224:J1223&lt;&gt;""),0))),"Not Found")</f>
        <v>Brake Failure</v>
      </c>
      <c r="L224" s="3" t="s">
        <v>142</v>
      </c>
      <c r="M224" s="0" t="str">
        <f aca="false">PROPER(L224)</f>
        <v>Oil Filter, Brake Pads</v>
      </c>
      <c r="N224" s="3" t="s">
        <v>48</v>
      </c>
      <c r="O224" s="0" t="str">
        <f aca="false" t="array" ref="O224:O224">IF(N224&lt;&gt;"",N224,_xlfn.xlookup(1,(L224:L1223=L224)*(N224:N1223&lt;&gt;""),N224:N1223,"Not Found"))</f>
        <v>Uche</v>
      </c>
      <c r="P224" s="4" t="n">
        <v>114686</v>
      </c>
      <c r="Q224" s="0" t="s">
        <v>110</v>
      </c>
      <c r="R224" s="0" t="str">
        <f aca="false">PROPER(Q224)</f>
        <v>Cash</v>
      </c>
      <c r="S224" s="0" t="s">
        <v>50</v>
      </c>
      <c r="U224" s="5" t="n">
        <f aca="false">IF(ISBLANK(T224),AVERAGE(T224:T1223),T224)</f>
        <v>3.00308166409861</v>
      </c>
      <c r="V224" s="0" t="n">
        <v>5</v>
      </c>
      <c r="W224" s="0" t="s">
        <v>92</v>
      </c>
      <c r="X224" s="0" t="str">
        <f aca="false">IF(ISBLANK(W224),"No remarks",W224)</f>
        <v>Urgent service</v>
      </c>
      <c r="Y224" s="0" t="s">
        <v>93</v>
      </c>
      <c r="Z224" s="0" t="s">
        <v>159</v>
      </c>
      <c r="AA224" s="0" t="str">
        <f aca="false">PROPER(IF(ISBLANK(Z224),"Location Unavailable",Z224))</f>
        <v>Main Bay</v>
      </c>
      <c r="AB224" s="0" t="s">
        <v>54</v>
      </c>
      <c r="AC224" s="6" t="str">
        <f aca="false">PROPER(AB224)</f>
        <v>Mechanic Referral</v>
      </c>
      <c r="AD224" s="6" t="n">
        <v>45</v>
      </c>
      <c r="AE224" s="5" t="n">
        <f aca="false">IF(ISBLANK(AD224),AVERAGEIF(L224:L1223,L224,AD224:AD1223),AD224)</f>
        <v>45</v>
      </c>
      <c r="AF224" s="0" t="s">
        <v>96</v>
      </c>
      <c r="AG224" s="0" t="str">
        <f aca="false">PROPER(AF224)</f>
        <v>Ordered</v>
      </c>
      <c r="AH224" s="0" t="s">
        <v>148</v>
      </c>
      <c r="AI224" s="0" t="s">
        <v>113</v>
      </c>
      <c r="AJ224" s="0" t="str">
        <f aca="false">PROPER(AI224)</f>
        <v>Normal</v>
      </c>
      <c r="AK224" s="0" t="s">
        <v>196</v>
      </c>
      <c r="AL224" s="0" t="str">
        <f aca="false">PROPER(AK224)</f>
        <v>First Time</v>
      </c>
      <c r="AN224" s="0" t="str">
        <f aca="false">IF(ISBLANK(AM224),"Unknown",AM224)</f>
        <v>Unknown</v>
      </c>
      <c r="AO224" s="0" t="s">
        <v>161</v>
      </c>
      <c r="AP224" s="0" t="str">
        <f aca="false">IF(ISBLANK(AO224),"Unknown",AO224)</f>
        <v>Apprentice</v>
      </c>
      <c r="AQ224" s="0" t="n">
        <v>20000</v>
      </c>
      <c r="AR224" s="5" t="n">
        <f aca="false">IF(ISBLANK(AQ224),AVERAGEIF(M224:M1223,M224,AQ224:AQ1223),AQ224)</f>
        <v>20000</v>
      </c>
      <c r="AS224" s="0" t="n">
        <v>35000</v>
      </c>
      <c r="AT224" s="5" t="n">
        <f aca="false">IF(ISBLANK(AS224),AVERAGE(AS224:AS1223),AS224)</f>
        <v>35000</v>
      </c>
      <c r="AV224" s="0" t="str">
        <f aca="false">PROPER(IF(ISBLANK(AU224),"No",AU224))</f>
        <v>No</v>
      </c>
      <c r="AX224" s="5" t="n">
        <f aca="false">IF(ISBLANK(AW224),0,AW224)</f>
        <v>0</v>
      </c>
      <c r="AY224" s="0" t="s">
        <v>60</v>
      </c>
      <c r="AZ224" s="0" t="str">
        <f aca="false">UPPER(IF(ISBLANK(AY224),"NONE",AY224))</f>
        <v>NONE</v>
      </c>
      <c r="BA224" s="7" t="n">
        <v>45877</v>
      </c>
      <c r="BB224" s="7" t="n">
        <f aca="false">IF(ISBLANK(BA224),"No Follow Up Needed",BA224)</f>
        <v>45877</v>
      </c>
      <c r="BC224" s="0" t="s">
        <v>63</v>
      </c>
      <c r="BD224" s="0" t="str">
        <f aca="false">PROPER(IF(ISBLANK(BC224),"Unknown",BC224))</f>
        <v>Yes</v>
      </c>
      <c r="BF224" s="0" t="str">
        <f aca="false">IF(ISBLANK(BE224),"No comments",BE224)</f>
        <v>No comments</v>
      </c>
      <c r="BH224" s="0" t="str">
        <f aca="false">IF(ISBLANK(BG224),"No comments",BG224)</f>
        <v>No comments</v>
      </c>
      <c r="BI224" s="0" t="s">
        <v>50</v>
      </c>
      <c r="BJ224" s="0" t="str">
        <f aca="false">IF(ISBLANK(BI224),"Not Mentioned",BI224)</f>
        <v>No</v>
      </c>
      <c r="BK224" s="0" t="s">
        <v>63</v>
      </c>
      <c r="BL224" s="0" t="str">
        <f aca="false">PROPER(IF(ISBLANK(BK224),"Not Mentioned",BK224))</f>
        <v>Yes</v>
      </c>
      <c r="BM224" s="0" t="s">
        <v>63</v>
      </c>
      <c r="BN224" s="0" t="str">
        <f aca="false">PROPER(IF(ISBLANK(BM224),"Not Mentioned",BM224))</f>
        <v>Yes</v>
      </c>
      <c r="BO224" s="0" t="s">
        <v>2321</v>
      </c>
      <c r="BP224" s="0" t="str">
        <f aca="false">IF(ISBLANK(BO224),"One-Time Plan",BO224)</f>
        <v>One-Time Plan</v>
      </c>
      <c r="BQ224" s="0" t="s">
        <v>198</v>
      </c>
      <c r="BR224" s="0" t="str">
        <f aca="false">PROPER(IF(ISBLANK(BQ224),"No",BQ224))</f>
        <v>Followed Up</v>
      </c>
    </row>
    <row r="225" customFormat="false" ht="15" hidden="false" customHeight="false" outlineLevel="0" collapsed="false">
      <c r="A225" s="0" t="s">
        <v>675</v>
      </c>
      <c r="B225" s="2" t="s">
        <v>674</v>
      </c>
      <c r="C225" s="2" t="str">
        <f aca="false">TEXT(B225,"dd/mm/yyyy")</f>
        <v>14/02/2025</v>
      </c>
      <c r="D225" s="0" t="s">
        <v>163</v>
      </c>
      <c r="E225" s="0" t="n">
        <v>8064888712</v>
      </c>
      <c r="F225" s="0" t="s">
        <v>122</v>
      </c>
      <c r="G225" s="0" t="s">
        <v>2316</v>
      </c>
      <c r="H225" s="0" t="s">
        <v>676</v>
      </c>
      <c r="I225" s="0" t="s">
        <v>69</v>
      </c>
      <c r="J225" s="0" t="s">
        <v>2322</v>
      </c>
      <c r="K225" s="3" t="str">
        <f aca="false" t="array" ref="K225:K225">IFERROR(IF(J225&lt;&gt;"",J225,INDEX(J225:J1224,MATCH(1,(F225:F1224=F225)*(I225:I1224=I225)*(L225:L1224=L225)*(J225:J1224&lt;&gt;""),0))),"Not Found")</f>
        <v>Brake Failure</v>
      </c>
      <c r="L225" s="3" t="s">
        <v>108</v>
      </c>
      <c r="M225" s="0" t="str">
        <f aca="false">PROPER(L225)</f>
        <v>Timing Belt</v>
      </c>
      <c r="O225" s="0" t="e">
        <f aca="false" t="array" ref="O225:O225">IF(N225&lt;&gt;"",N225,_xlfn.xlookup(1,(L225:L1224=L225)*(N225:N1224&lt;&gt;""),N225:N1224,"Not Found"))</f>
        <v>#NAME?</v>
      </c>
      <c r="P225" s="4" t="n">
        <v>119819</v>
      </c>
      <c r="Q225" s="0" t="s">
        <v>72</v>
      </c>
      <c r="R225" s="0" t="str">
        <f aca="false">PROPER(Q225)</f>
        <v>Pos</v>
      </c>
      <c r="S225" s="0" t="s">
        <v>50</v>
      </c>
      <c r="T225" s="0" t="n">
        <v>2</v>
      </c>
      <c r="U225" s="5" t="n">
        <f aca="false">IF(ISBLANK(T225),AVERAGE(T225:T1224),T225)</f>
        <v>2</v>
      </c>
      <c r="V225" s="0" t="n">
        <v>3.9</v>
      </c>
      <c r="X225" s="0" t="str">
        <f aca="false">IF(ISBLANK(W225),"No remarks",W225)</f>
        <v>No remarks</v>
      </c>
      <c r="Y225" s="0" t="s">
        <v>73</v>
      </c>
      <c r="Z225" s="0" t="s">
        <v>53</v>
      </c>
      <c r="AA225" s="0" t="str">
        <f aca="false">PROPER(IF(ISBLANK(Z225),"Location Unavailable",Z225))</f>
        <v>Main Bay</v>
      </c>
      <c r="AB225" s="0" t="s">
        <v>95</v>
      </c>
      <c r="AC225" s="6" t="str">
        <f aca="false">PROPER(AB225)</f>
        <v>Road Sign</v>
      </c>
      <c r="AD225" s="6" t="n">
        <v>30</v>
      </c>
      <c r="AE225" s="5" t="n">
        <f aca="false">IF(ISBLANK(AD225),AVERAGEIF(L225:L1224,L225,AD225:AD1224),AD225)</f>
        <v>30</v>
      </c>
      <c r="AF225" s="0" t="s">
        <v>96</v>
      </c>
      <c r="AG225" s="0" t="str">
        <f aca="false">PROPER(AF225)</f>
        <v>Ordered</v>
      </c>
      <c r="AH225" s="0" t="s">
        <v>77</v>
      </c>
      <c r="AI225" s="0" t="s">
        <v>113</v>
      </c>
      <c r="AJ225" s="0" t="str">
        <f aca="false">PROPER(AI225)</f>
        <v>Normal</v>
      </c>
      <c r="AK225" s="0" t="s">
        <v>114</v>
      </c>
      <c r="AL225" s="0" t="str">
        <f aca="false">PROPER(AK225)</f>
        <v>Returning</v>
      </c>
      <c r="AM225" s="0" t="s">
        <v>2326</v>
      </c>
      <c r="AN225" s="0" t="str">
        <f aca="false">IF(ISBLANK(AM225),"Unknown",AM225)</f>
        <v>Government Convoy</v>
      </c>
      <c r="AP225" s="0" t="str">
        <f aca="false">IF(ISBLANK(AO225),"Unknown",AO225)</f>
        <v>Unknown</v>
      </c>
      <c r="AQ225" s="0" t="n">
        <v>20000</v>
      </c>
      <c r="AR225" s="5" t="n">
        <f aca="false">IF(ISBLANK(AQ225),AVERAGEIF(M225:M1224,M225,AQ225:AQ1224),AQ225)</f>
        <v>20000</v>
      </c>
      <c r="AS225" s="0" t="n">
        <v>35000</v>
      </c>
      <c r="AT225" s="5" t="n">
        <f aca="false">IF(ISBLANK(AS225),AVERAGE(AS225:AS1224),AS225)</f>
        <v>35000</v>
      </c>
      <c r="AU225" s="0" t="s">
        <v>63</v>
      </c>
      <c r="AV225" s="0" t="str">
        <f aca="false">PROPER(IF(ISBLANK(AU225),"No",AU225))</f>
        <v>Yes</v>
      </c>
      <c r="AW225" s="0" t="n">
        <v>5000</v>
      </c>
      <c r="AX225" s="5" t="n">
        <f aca="false">IF(ISBLANK(AW225),0,AW225)</f>
        <v>5000</v>
      </c>
      <c r="AY225" s="0" t="s">
        <v>80</v>
      </c>
      <c r="AZ225" s="0" t="str">
        <f aca="false">UPPER(IF(ISBLANK(AY225),"NONE",AY225))</f>
        <v>PROMO10</v>
      </c>
      <c r="BA225" s="7" t="n">
        <v>45987</v>
      </c>
      <c r="BB225" s="7" t="n">
        <f aca="false">IF(ISBLANK(BA225),"No Follow Up Needed",BA225)</f>
        <v>45987</v>
      </c>
      <c r="BC225" s="0" t="s">
        <v>61</v>
      </c>
      <c r="BD225" s="0" t="str">
        <f aca="false">PROPER(IF(ISBLANK(BC225),"Unknown",BC225))</f>
        <v>No</v>
      </c>
      <c r="BF225" s="0" t="str">
        <f aca="false">IF(ISBLANK(BE225),"No comments",BE225)</f>
        <v>No comments</v>
      </c>
      <c r="BG225" s="0" t="s">
        <v>117</v>
      </c>
      <c r="BH225" s="0" t="str">
        <f aca="false">IF(ISBLANK(BG225),"No comments",BG225)</f>
        <v>Prefers morning</v>
      </c>
      <c r="BI225" s="0" t="s">
        <v>63</v>
      </c>
      <c r="BJ225" s="0" t="str">
        <f aca="false">IF(ISBLANK(BI225),"Not Mentioned",BI225)</f>
        <v>Yes</v>
      </c>
      <c r="BK225" s="0" t="s">
        <v>82</v>
      </c>
      <c r="BL225" s="0" t="str">
        <f aca="false">PROPER(IF(ISBLANK(BK225),"Not Mentioned",BK225))</f>
        <v>Yes</v>
      </c>
      <c r="BM225" s="0" t="s">
        <v>63</v>
      </c>
      <c r="BN225" s="0" t="str">
        <f aca="false">PROPER(IF(ISBLANK(BM225),"Not Mentioned",BM225))</f>
        <v>Yes</v>
      </c>
      <c r="BO225" s="0" t="s">
        <v>2321</v>
      </c>
      <c r="BP225" s="0" t="str">
        <f aca="false">IF(ISBLANK(BO225),"One-Time Plan",BO225)</f>
        <v>One-Time Plan</v>
      </c>
      <c r="BQ225" s="0" t="s">
        <v>63</v>
      </c>
      <c r="BR225" s="0" t="str">
        <f aca="false">PROPER(IF(ISBLANK(BQ225),"No",BQ225))</f>
        <v>Yes</v>
      </c>
    </row>
    <row r="226" customFormat="false" ht="15" hidden="false" customHeight="false" outlineLevel="0" collapsed="false">
      <c r="A226" s="0" t="s">
        <v>677</v>
      </c>
      <c r="B226" s="2" t="n">
        <v>45782</v>
      </c>
      <c r="C226" s="2" t="str">
        <f aca="false">TEXT(B226,"dd/mm/yyyy")</f>
        <v>05/05/2025</v>
      </c>
      <c r="D226" s="0" t="s">
        <v>163</v>
      </c>
      <c r="E226" s="0" t="n">
        <v>8059326617</v>
      </c>
      <c r="F226" s="0" t="s">
        <v>85</v>
      </c>
      <c r="G226" s="0" t="s">
        <v>2319</v>
      </c>
      <c r="H226" s="0" t="s">
        <v>678</v>
      </c>
      <c r="I226" s="0" t="s">
        <v>45</v>
      </c>
      <c r="K226" s="3" t="str">
        <f aca="false" t="array" ref="K226:K226">IFERROR(IF(J226&lt;&gt;"",J226,INDEX(J226:J1225,MATCH(1,(F226:F1225=F226)*(I226:I1225=I226)*(L226:L1225=L226)*(J226:J1225&lt;&gt;""),0))),"Not Found")</f>
        <v>Suspension Noise</v>
      </c>
      <c r="L226" s="3" t="s">
        <v>142</v>
      </c>
      <c r="M226" s="0" t="str">
        <f aca="false">PROPER(L226)</f>
        <v>Oil Filter, Brake Pads</v>
      </c>
      <c r="N226" s="3" t="s">
        <v>109</v>
      </c>
      <c r="O226" s="0" t="str">
        <f aca="false" t="array" ref="O226:O226">IF(N226&lt;&gt;"",N226,_xlfn.xlookup(1,(L226:L1225=L226)*(N226:N1225&lt;&gt;""),N226:N1225,"Not Found"))</f>
        <v>Tijani</v>
      </c>
      <c r="P226" s="4" t="n">
        <v>108383</v>
      </c>
      <c r="Q226" s="0" t="s">
        <v>166</v>
      </c>
      <c r="R226" s="0" t="str">
        <f aca="false">PROPER(Q226)</f>
        <v>Transfer</v>
      </c>
      <c r="S226" s="0" t="s">
        <v>63</v>
      </c>
      <c r="T226" s="0" t="n">
        <v>5</v>
      </c>
      <c r="U226" s="5" t="n">
        <f aca="false">IF(ISBLANK(T226),AVERAGE(T226:T1225),T226)</f>
        <v>5</v>
      </c>
      <c r="V226" s="0" t="n">
        <v>2</v>
      </c>
      <c r="W226" s="0" t="s">
        <v>92</v>
      </c>
      <c r="X226" s="0" t="str">
        <f aca="false">IF(ISBLANK(W226),"No remarks",W226)</f>
        <v>Urgent service</v>
      </c>
      <c r="Y226" s="0" t="s">
        <v>93</v>
      </c>
      <c r="AA226" s="0" t="str">
        <f aca="false">PROPER(IF(ISBLANK(Z226),"Location Unavailable",Z226))</f>
        <v>Location Unavailable</v>
      </c>
      <c r="AB226" s="0" t="s">
        <v>147</v>
      </c>
      <c r="AC226" s="6" t="str">
        <f aca="false">PROPER(AB226)</f>
        <v>Instagram</v>
      </c>
      <c r="AD226" s="6" t="n">
        <v>30</v>
      </c>
      <c r="AE226" s="5" t="n">
        <f aca="false">IF(ISBLANK(AD226),AVERAGEIF(L226:L1225,L226,AD226:AD1225),AD226)</f>
        <v>30</v>
      </c>
      <c r="AF226" s="0" t="s">
        <v>96</v>
      </c>
      <c r="AG226" s="0" t="str">
        <f aca="false">PROPER(AF226)</f>
        <v>Ordered</v>
      </c>
      <c r="AH226" s="0" t="s">
        <v>77</v>
      </c>
      <c r="AI226" s="0" t="s">
        <v>113</v>
      </c>
      <c r="AJ226" s="0" t="str">
        <f aca="false">PROPER(AI226)</f>
        <v>Normal</v>
      </c>
      <c r="AK226" s="0" t="s">
        <v>99</v>
      </c>
      <c r="AL226" s="0" t="str">
        <f aca="false">PROPER(AK226)</f>
        <v>Uber Driver</v>
      </c>
      <c r="AN226" s="0" t="str">
        <f aca="false">IF(ISBLANK(AM226),"Unknown",AM226)</f>
        <v>Unknown</v>
      </c>
      <c r="AO226" s="0" t="s">
        <v>79</v>
      </c>
      <c r="AP226" s="0" t="str">
        <f aca="false">IF(ISBLANK(AO226),"Unknown",AO226)</f>
        <v>Specialist</v>
      </c>
      <c r="AQ226" s="0" t="n">
        <v>40000</v>
      </c>
      <c r="AR226" s="5" t="n">
        <f aca="false">IF(ISBLANK(AQ226),AVERAGEIF(M226:M1225,M226,AQ226:AQ1225),AQ226)</f>
        <v>40000</v>
      </c>
      <c r="AS226" s="0" t="n">
        <v>20000</v>
      </c>
      <c r="AT226" s="5" t="n">
        <f aca="false">IF(ISBLANK(AS226),AVERAGE(AS226:AS1225),AS226)</f>
        <v>20000</v>
      </c>
      <c r="AU226" s="0" t="s">
        <v>63</v>
      </c>
      <c r="AV226" s="0" t="str">
        <f aca="false">PROPER(IF(ISBLANK(AU226),"No",AU226))</f>
        <v>Yes</v>
      </c>
      <c r="AX226" s="5" t="n">
        <f aca="false">IF(ISBLANK(AW226),0,AW226)</f>
        <v>0</v>
      </c>
      <c r="AY226" s="0" t="s">
        <v>80</v>
      </c>
      <c r="AZ226" s="0" t="str">
        <f aca="false">UPPER(IF(ISBLANK(AY226),"NONE",AY226))</f>
        <v>PROMO10</v>
      </c>
      <c r="BB226" s="7" t="str">
        <f aca="false">IF(ISBLANK(BA226),"No Follow Up Needed",BA226)</f>
        <v>No Follow Up Needed</v>
      </c>
      <c r="BC226" s="0" t="s">
        <v>50</v>
      </c>
      <c r="BD226" s="0" t="str">
        <f aca="false">PROPER(IF(ISBLANK(BC226),"Unknown",BC226))</f>
        <v>No</v>
      </c>
      <c r="BE226" s="0" t="s">
        <v>116</v>
      </c>
      <c r="BF226" s="0" t="str">
        <f aca="false">IF(ISBLANK(BE226),"No comments",BE226)</f>
        <v>Needs tire alignment</v>
      </c>
      <c r="BG226" s="0" t="s">
        <v>117</v>
      </c>
      <c r="BH226" s="0" t="str">
        <f aca="false">IF(ISBLANK(BG226),"No comments",BG226)</f>
        <v>Prefers morning</v>
      </c>
      <c r="BI226" s="0" t="s">
        <v>63</v>
      </c>
      <c r="BJ226" s="0" t="str">
        <f aca="false">IF(ISBLANK(BI226),"Not Mentioned",BI226)</f>
        <v>Yes</v>
      </c>
      <c r="BK226" s="0" t="s">
        <v>82</v>
      </c>
      <c r="BL226" s="0" t="str">
        <f aca="false">PROPER(IF(ISBLANK(BK226),"Not Mentioned",BK226))</f>
        <v>Yes</v>
      </c>
      <c r="BM226" s="0" t="s">
        <v>63</v>
      </c>
      <c r="BN226" s="0" t="str">
        <f aca="false">PROPER(IF(ISBLANK(BM226),"Not Mentioned",BM226))</f>
        <v>Yes</v>
      </c>
      <c r="BP226" s="0" t="str">
        <f aca="false">IF(ISBLANK(BO226),"One-Time Plan",BO226)</f>
        <v>One-Time Plan</v>
      </c>
      <c r="BQ226" s="0" t="s">
        <v>190</v>
      </c>
      <c r="BR226" s="0" t="str">
        <f aca="false">PROPER(IF(ISBLANK(BQ226),"No",BQ226))</f>
        <v>Yes</v>
      </c>
    </row>
    <row r="227" customFormat="false" ht="15" hidden="false" customHeight="false" outlineLevel="0" collapsed="false">
      <c r="A227" s="0" t="s">
        <v>679</v>
      </c>
      <c r="B227" s="2" t="n">
        <v>45755</v>
      </c>
      <c r="C227" s="2" t="str">
        <f aca="false">TEXT(B227,"dd/mm/yyyy")</f>
        <v>08/04/2025</v>
      </c>
      <c r="D227" s="0" t="s">
        <v>66</v>
      </c>
      <c r="E227" s="0" t="n">
        <v>8076779099</v>
      </c>
      <c r="F227" s="0" t="s">
        <v>43</v>
      </c>
      <c r="G227" s="0" t="s">
        <v>2315</v>
      </c>
      <c r="H227" s="0" t="s">
        <v>680</v>
      </c>
      <c r="I227" s="0" t="s">
        <v>69</v>
      </c>
      <c r="J227" s="0" t="s">
        <v>2325</v>
      </c>
      <c r="K227" s="3" t="str">
        <f aca="false" t="array" ref="K227:K227">IFERROR(IF(J227&lt;&gt;"",J227,INDEX(J227:J1226,MATCH(1,(F227:F1226=F227)*(I227:I1226=I227)*(L227:L1226=L227)*(J227:J1226&lt;&gt;""),0))),"Not Found")</f>
        <v>Engine Knocking</v>
      </c>
      <c r="L227" s="3" t="s">
        <v>189</v>
      </c>
      <c r="M227" s="0" t="str">
        <f aca="false">PROPER(L227)</f>
        <v>Battery</v>
      </c>
      <c r="N227" s="3" t="s">
        <v>90</v>
      </c>
      <c r="O227" s="0" t="str">
        <f aca="false" t="array" ref="O227:O227">IF(N227&lt;&gt;"",N227,_xlfn.xlookup(1,(L227:L1226=L227)*(N227:N1226&lt;&gt;""),N227:N1226,"Not Found"))</f>
        <v>Musa</v>
      </c>
      <c r="P227" s="4" t="n">
        <v>113590</v>
      </c>
      <c r="Q227" s="0" t="s">
        <v>166</v>
      </c>
      <c r="R227" s="0" t="str">
        <f aca="false">PROPER(Q227)</f>
        <v>Transfer</v>
      </c>
      <c r="S227" s="0" t="s">
        <v>63</v>
      </c>
      <c r="T227" s="0" t="n">
        <v>3</v>
      </c>
      <c r="U227" s="5" t="n">
        <f aca="false">IF(ISBLANK(T227),AVERAGE(T227:T1226),T227)</f>
        <v>3</v>
      </c>
      <c r="V227" s="0" t="n">
        <v>2.4</v>
      </c>
      <c r="W227" s="0" t="s">
        <v>111</v>
      </c>
      <c r="X227" s="0" t="str">
        <f aca="false">IF(ISBLANK(W227),"No remarks",W227)</f>
        <v>Changed all filters</v>
      </c>
      <c r="Y227" s="0" t="s">
        <v>73</v>
      </c>
      <c r="AA227" s="0" t="str">
        <f aca="false">PROPER(IF(ISBLANK(Z227),"Location Unavailable",Z227))</f>
        <v>Location Unavailable</v>
      </c>
      <c r="AB227" s="0" t="s">
        <v>126</v>
      </c>
      <c r="AC227" s="6" t="str">
        <f aca="false">PROPER(AB227)</f>
        <v>Whatsapp</v>
      </c>
      <c r="AE227" s="5" t="n">
        <f aca="false">IF(ISBLANK(AD227),AVERAGEIF(L227:L1226,L227,AD227:AD1226),AD227)</f>
        <v>40.3125</v>
      </c>
      <c r="AF227" s="0" t="s">
        <v>96</v>
      </c>
      <c r="AG227" s="0" t="str">
        <f aca="false">PROPER(AF227)</f>
        <v>Ordered</v>
      </c>
      <c r="AH227" s="0" t="s">
        <v>155</v>
      </c>
      <c r="AI227" s="0" t="s">
        <v>128</v>
      </c>
      <c r="AJ227" s="0" t="str">
        <f aca="false">PROPER(AI227)</f>
        <v>Normal</v>
      </c>
      <c r="AK227" s="0" t="s">
        <v>99</v>
      </c>
      <c r="AL227" s="0" t="str">
        <f aca="false">PROPER(AK227)</f>
        <v>Uber Driver</v>
      </c>
      <c r="AN227" s="0" t="str">
        <f aca="false">IF(ISBLANK(AM227),"Unknown",AM227)</f>
        <v>Unknown</v>
      </c>
      <c r="AO227" s="0" t="s">
        <v>161</v>
      </c>
      <c r="AP227" s="0" t="str">
        <f aca="false">IF(ISBLANK(AO227),"Unknown",AO227)</f>
        <v>Apprentice</v>
      </c>
      <c r="AR227" s="5" t="n">
        <f aca="false">IF(ISBLANK(AQ227),AVERAGEIF(M227:M1226,M227,AQ227:AQ1226),AQ227)</f>
        <v>25526.3157894737</v>
      </c>
      <c r="AT227" s="5" t="n">
        <f aca="false">IF(ISBLANK(AS227),AVERAGE(AS227:AS1226),AS227)</f>
        <v>31421.875</v>
      </c>
      <c r="AU227" s="0" t="s">
        <v>61</v>
      </c>
      <c r="AV227" s="0" t="str">
        <f aca="false">PROPER(IF(ISBLANK(AU227),"No",AU227))</f>
        <v>No</v>
      </c>
      <c r="AW227" s="0" t="n">
        <v>5000</v>
      </c>
      <c r="AX227" s="5" t="n">
        <f aca="false">IF(ISBLANK(AW227),0,AW227)</f>
        <v>5000</v>
      </c>
      <c r="AY227" s="0" t="s">
        <v>130</v>
      </c>
      <c r="AZ227" s="0" t="str">
        <f aca="false">UPPER(IF(ISBLANK(AY227),"NONE",AY227))</f>
        <v>LOYALTY10</v>
      </c>
      <c r="BA227" s="7" t="n">
        <v>46001</v>
      </c>
      <c r="BB227" s="7" t="n">
        <f aca="false">IF(ISBLANK(BA227),"No Follow Up Needed",BA227)</f>
        <v>46001</v>
      </c>
      <c r="BC227" s="0" t="s">
        <v>50</v>
      </c>
      <c r="BD227" s="0" t="str">
        <f aca="false">PROPER(IF(ISBLANK(BC227),"Unknown",BC227))</f>
        <v>No</v>
      </c>
      <c r="BF227" s="0" t="str">
        <f aca="false">IF(ISBLANK(BE227),"No comments",BE227)</f>
        <v>No comments</v>
      </c>
      <c r="BH227" s="0" t="str">
        <f aca="false">IF(ISBLANK(BG227),"No comments",BG227)</f>
        <v>No comments</v>
      </c>
      <c r="BI227" s="0" t="s">
        <v>63</v>
      </c>
      <c r="BJ227" s="0" t="str">
        <f aca="false">IF(ISBLANK(BI227),"Not Mentioned",BI227)</f>
        <v>Yes</v>
      </c>
      <c r="BL227" s="0" t="str">
        <f aca="false">PROPER(IF(ISBLANK(BK227),"Not Mentioned",BK227))</f>
        <v>Not Mentioned</v>
      </c>
      <c r="BN227" s="0" t="str">
        <f aca="false">PROPER(IF(ISBLANK(BM227),"Not Mentioned",BM227))</f>
        <v>Not Mentioned</v>
      </c>
      <c r="BP227" s="0" t="str">
        <f aca="false">IF(ISBLANK(BO227),"One-Time Plan",BO227)</f>
        <v>One-Time Plan</v>
      </c>
      <c r="BR227" s="0" t="str">
        <f aca="false">PROPER(IF(ISBLANK(BQ227),"No",BQ227))</f>
        <v>No</v>
      </c>
    </row>
    <row r="228" customFormat="false" ht="15" hidden="false" customHeight="false" outlineLevel="0" collapsed="false">
      <c r="A228" s="0" t="s">
        <v>681</v>
      </c>
      <c r="B228" s="2" t="n">
        <v>45731</v>
      </c>
      <c r="C228" s="2" t="str">
        <f aca="false">TEXT(B228,"dd/mm/yyyy")</f>
        <v>15/03/2025</v>
      </c>
      <c r="D228" s="0" t="s">
        <v>121</v>
      </c>
      <c r="E228" s="0" t="n">
        <v>8052549761</v>
      </c>
      <c r="F228" s="0" t="s">
        <v>85</v>
      </c>
      <c r="G228" s="0" t="s">
        <v>2319</v>
      </c>
      <c r="H228" s="0" t="s">
        <v>682</v>
      </c>
      <c r="I228" s="0" t="s">
        <v>87</v>
      </c>
      <c r="K228" s="3" t="str">
        <f aca="false" t="array" ref="K228:K228">IFERROR(IF(J228&lt;&gt;"",J228,INDEX(J228:J1227,MATCH(1,(F228:F1227=F228)*(I228:I1227=I228)*(L228:L1227=L228)*(J228:J1227&lt;&gt;""),0))),"Not Found")</f>
        <v>Brake Failure</v>
      </c>
      <c r="L228" s="3" t="s">
        <v>154</v>
      </c>
      <c r="M228" s="0" t="str">
        <f aca="false">PROPER(L228)</f>
        <v>Air Filter</v>
      </c>
      <c r="O228" s="0" t="e">
        <f aca="false" t="array" ref="O228:O228">IF(N228&lt;&gt;"",N228,_xlfn.xlookup(1,(L228:L1227=L228)*(N228:N1227&lt;&gt;""),N228:N1227,"Not Found"))</f>
        <v>#NAME?</v>
      </c>
      <c r="P228" s="4" t="n">
        <v>116641</v>
      </c>
      <c r="Q228" s="0" t="s">
        <v>72</v>
      </c>
      <c r="R228" s="0" t="str">
        <f aca="false">PROPER(Q228)</f>
        <v>Pos</v>
      </c>
      <c r="S228" s="0" t="s">
        <v>63</v>
      </c>
      <c r="T228" s="0" t="n">
        <v>4</v>
      </c>
      <c r="U228" s="5" t="n">
        <f aca="false">IF(ISBLANK(T228),AVERAGE(T228:T1227),T228)</f>
        <v>4</v>
      </c>
      <c r="V228" s="0" t="n">
        <v>5.5</v>
      </c>
      <c r="W228" s="0" t="s">
        <v>111</v>
      </c>
      <c r="X228" s="0" t="str">
        <f aca="false">IF(ISBLANK(W228),"No remarks",W228)</f>
        <v>Changed all filters</v>
      </c>
      <c r="Y228" s="0" t="s">
        <v>73</v>
      </c>
      <c r="Z228" s="0" t="s">
        <v>74</v>
      </c>
      <c r="AA228" s="0" t="str">
        <f aca="false">PROPER(IF(ISBLANK(Z228),"Location Unavailable",Z228))</f>
        <v>Under Tree</v>
      </c>
      <c r="AB228" s="0" t="s">
        <v>75</v>
      </c>
      <c r="AC228" s="6" t="str">
        <f aca="false">PROPER(AB228)</f>
        <v>Mechanik Referal</v>
      </c>
      <c r="AD228" s="6" t="n">
        <v>60</v>
      </c>
      <c r="AE228" s="5" t="n">
        <f aca="false">IF(ISBLANK(AD228),AVERAGEIF(L228:L1227,L228,AD228:AD1227),AD228)</f>
        <v>60</v>
      </c>
      <c r="AF228" s="0" t="s">
        <v>76</v>
      </c>
      <c r="AG228" s="0" t="str">
        <f aca="false">PROPER(AF228)</f>
        <v>Orderd</v>
      </c>
      <c r="AH228" s="0" t="s">
        <v>155</v>
      </c>
      <c r="AI228" s="0" t="s">
        <v>128</v>
      </c>
      <c r="AJ228" s="0" t="str">
        <f aca="false">PROPER(AI228)</f>
        <v>Normal</v>
      </c>
      <c r="AK228" s="0" t="s">
        <v>99</v>
      </c>
      <c r="AL228" s="0" t="str">
        <f aca="false">PROPER(AK228)</f>
        <v>Uber Driver</v>
      </c>
      <c r="AM228" s="0" t="s">
        <v>177</v>
      </c>
      <c r="AN228" s="0" t="str">
        <f aca="false">IF(ISBLANK(AM228),"Unknown",AM228)</f>
        <v>Private</v>
      </c>
      <c r="AO228" s="0" t="s">
        <v>143</v>
      </c>
      <c r="AP228" s="0" t="str">
        <f aca="false">IF(ISBLANK(AO228),"Unknown",AO228)</f>
        <v>Senior</v>
      </c>
      <c r="AQ228" s="0" t="n">
        <v>15000</v>
      </c>
      <c r="AR228" s="5" t="n">
        <f aca="false">IF(ISBLANK(AQ228),AVERAGEIF(M228:M1227,M228,AQ228:AQ1227),AQ228)</f>
        <v>15000</v>
      </c>
      <c r="AT228" s="5" t="n">
        <f aca="false">IF(ISBLANK(AS228),AVERAGE(AS228:AS1227),AS228)</f>
        <v>31421.875</v>
      </c>
      <c r="AU228" s="0" t="s">
        <v>50</v>
      </c>
      <c r="AV228" s="0" t="str">
        <f aca="false">PROPER(IF(ISBLANK(AU228),"No",AU228))</f>
        <v>No</v>
      </c>
      <c r="AW228" s="0" t="n">
        <v>5000</v>
      </c>
      <c r="AX228" s="5" t="n">
        <f aca="false">IF(ISBLANK(AW228),0,AW228)</f>
        <v>5000</v>
      </c>
      <c r="AY228" s="0" t="s">
        <v>80</v>
      </c>
      <c r="AZ228" s="0" t="str">
        <f aca="false">UPPER(IF(ISBLANK(AY228),"NONE",AY228))</f>
        <v>PROMO10</v>
      </c>
      <c r="BA228" s="7" t="n">
        <v>45847</v>
      </c>
      <c r="BB228" s="7" t="n">
        <f aca="false">IF(ISBLANK(BA228),"No Follow Up Needed",BA228)</f>
        <v>45847</v>
      </c>
      <c r="BC228" s="0" t="s">
        <v>63</v>
      </c>
      <c r="BD228" s="0" t="str">
        <f aca="false">PROPER(IF(ISBLANK(BC228),"Unknown",BC228))</f>
        <v>Yes</v>
      </c>
      <c r="BE228" s="0" t="s">
        <v>116</v>
      </c>
      <c r="BF228" s="0" t="str">
        <f aca="false">IF(ISBLANK(BE228),"No comments",BE228)</f>
        <v>Needs tire alignment</v>
      </c>
      <c r="BH228" s="0" t="str">
        <f aca="false">IF(ISBLANK(BG228),"No comments",BG228)</f>
        <v>No comments</v>
      </c>
      <c r="BI228" s="0" t="s">
        <v>63</v>
      </c>
      <c r="BJ228" s="0" t="str">
        <f aca="false">IF(ISBLANK(BI228),"Not Mentioned",BI228)</f>
        <v>Yes</v>
      </c>
      <c r="BK228" s="0" t="s">
        <v>61</v>
      </c>
      <c r="BL228" s="0" t="str">
        <f aca="false">PROPER(IF(ISBLANK(BK228),"Not Mentioned",BK228))</f>
        <v>No</v>
      </c>
      <c r="BN228" s="0" t="str">
        <f aca="false">PROPER(IF(ISBLANK(BM228),"Not Mentioned",BM228))</f>
        <v>Not Mentioned</v>
      </c>
      <c r="BO228" s="0" t="s">
        <v>2321</v>
      </c>
      <c r="BP228" s="0" t="str">
        <f aca="false">IF(ISBLANK(BO228),"One-Time Plan",BO228)</f>
        <v>One-Time Plan</v>
      </c>
      <c r="BQ228" s="0" t="s">
        <v>63</v>
      </c>
      <c r="BR228" s="0" t="str">
        <f aca="false">PROPER(IF(ISBLANK(BQ228),"No",BQ228))</f>
        <v>Yes</v>
      </c>
    </row>
    <row r="229" customFormat="false" ht="15" hidden="false" customHeight="false" outlineLevel="0" collapsed="false">
      <c r="A229" s="0" t="s">
        <v>683</v>
      </c>
      <c r="B229" s="2" t="s">
        <v>531</v>
      </c>
      <c r="C229" s="2" t="str">
        <f aca="false">TEXT(B229,"dd/mm/yyyy")</f>
        <v>13/06/2025</v>
      </c>
      <c r="D229" s="0" t="s">
        <v>66</v>
      </c>
      <c r="E229" s="0" t="n">
        <v>8046644052</v>
      </c>
      <c r="F229" s="0" t="s">
        <v>139</v>
      </c>
      <c r="G229" s="0" t="s">
        <v>2323</v>
      </c>
      <c r="H229" s="0" t="s">
        <v>684</v>
      </c>
      <c r="I229" s="0" t="s">
        <v>69</v>
      </c>
      <c r="J229" s="0" t="s">
        <v>2317</v>
      </c>
      <c r="K229" s="3" t="str">
        <f aca="false" t="array" ref="K229:K229">IFERROR(IF(J229&lt;&gt;"",J229,INDEX(J229:J1228,MATCH(1,(F229:F1228=F229)*(I229:I1228=I229)*(L229:L1228=L229)*(J229:J1228&lt;&gt;""),0))),"Not Found")</f>
        <v>Suspension Noise</v>
      </c>
      <c r="L229" s="3" t="s">
        <v>108</v>
      </c>
      <c r="M229" s="0" t="str">
        <f aca="false">PROPER(L229)</f>
        <v>Timing Belt</v>
      </c>
      <c r="O229" s="0" t="e">
        <f aca="false" t="array" ref="O229:O229">IF(N229&lt;&gt;"",N229,_xlfn.xlookup(1,(L229:L1228=L229)*(N229:N1228&lt;&gt;""),N229:N1228,"Not Found"))</f>
        <v>#NAME?</v>
      </c>
      <c r="P229" s="4" t="n">
        <v>110737</v>
      </c>
      <c r="Q229" s="0" t="s">
        <v>91</v>
      </c>
      <c r="R229" s="0" t="str">
        <f aca="false">PROPER(Q229)</f>
        <v>Pos</v>
      </c>
      <c r="S229" s="0" t="s">
        <v>50</v>
      </c>
      <c r="T229" s="0" t="n">
        <v>5</v>
      </c>
      <c r="U229" s="5" t="n">
        <f aca="false">IF(ISBLANK(T229),AVERAGE(T229:T1228),T229)</f>
        <v>5</v>
      </c>
      <c r="V229" s="0" t="n">
        <v>2</v>
      </c>
      <c r="W229" s="0" t="s">
        <v>92</v>
      </c>
      <c r="X229" s="0" t="str">
        <f aca="false">IF(ISBLANK(W229),"No remarks",W229)</f>
        <v>Urgent service</v>
      </c>
      <c r="Y229" s="0" t="s">
        <v>73</v>
      </c>
      <c r="Z229" s="0" t="s">
        <v>53</v>
      </c>
      <c r="AA229" s="0" t="str">
        <f aca="false">PROPER(IF(ISBLANK(Z229),"Location Unavailable",Z229))</f>
        <v>Main Bay</v>
      </c>
      <c r="AB229" s="0" t="s">
        <v>167</v>
      </c>
      <c r="AC229" s="6" t="str">
        <f aca="false">PROPER(AB229)</f>
        <v>Word Of Mouth</v>
      </c>
      <c r="AD229" s="6" t="n">
        <v>45</v>
      </c>
      <c r="AE229" s="5" t="n">
        <f aca="false">IF(ISBLANK(AD229),AVERAGEIF(L229:L1228,L229,AD229:AD1228),AD229)</f>
        <v>45</v>
      </c>
      <c r="AF229" s="0" t="s">
        <v>55</v>
      </c>
      <c r="AG229" s="0" t="str">
        <f aca="false">PROPER(AF229)</f>
        <v>Available</v>
      </c>
      <c r="AH229" s="0" t="s">
        <v>155</v>
      </c>
      <c r="AI229" s="0" t="s">
        <v>78</v>
      </c>
      <c r="AJ229" s="0" t="str">
        <f aca="false">PROPER(AI229)</f>
        <v>Booking</v>
      </c>
      <c r="AK229" s="0" t="s">
        <v>196</v>
      </c>
      <c r="AL229" s="0" t="str">
        <f aca="false">PROPER(AK229)</f>
        <v>First Time</v>
      </c>
      <c r="AM229" s="0" t="s">
        <v>2326</v>
      </c>
      <c r="AN229" s="0" t="str">
        <f aca="false">IF(ISBLANK(AM229),"Unknown",AM229)</f>
        <v>Government Convoy</v>
      </c>
      <c r="AO229" s="0" t="s">
        <v>143</v>
      </c>
      <c r="AP229" s="0" t="str">
        <f aca="false">IF(ISBLANK(AO229),"Unknown",AO229)</f>
        <v>Senior</v>
      </c>
      <c r="AQ229" s="0" t="n">
        <v>40000</v>
      </c>
      <c r="AR229" s="5" t="n">
        <f aca="false">IF(ISBLANK(AQ229),AVERAGEIF(M229:M1228,M229,AQ229:AQ1228),AQ229)</f>
        <v>40000</v>
      </c>
      <c r="AT229" s="5" t="n">
        <f aca="false">IF(ISBLANK(AS229),AVERAGE(AS229:AS1228),AS229)</f>
        <v>31421.875</v>
      </c>
      <c r="AU229" s="0" t="s">
        <v>82</v>
      </c>
      <c r="AV229" s="0" t="str">
        <f aca="false">PROPER(IF(ISBLANK(AU229),"No",AU229))</f>
        <v>Yes</v>
      </c>
      <c r="AX229" s="5" t="n">
        <f aca="false">IF(ISBLANK(AW229),0,AW229)</f>
        <v>0</v>
      </c>
      <c r="AZ229" s="0" t="str">
        <f aca="false">UPPER(IF(ISBLANK(AY229),"NONE",AY229))</f>
        <v>NONE</v>
      </c>
      <c r="BB229" s="7" t="str">
        <f aca="false">IF(ISBLANK(BA229),"No Follow Up Needed",BA229)</f>
        <v>No Follow Up Needed</v>
      </c>
      <c r="BC229" s="0" t="s">
        <v>61</v>
      </c>
      <c r="BD229" s="0" t="str">
        <f aca="false">PROPER(IF(ISBLANK(BC229),"Unknown",BC229))</f>
        <v>No</v>
      </c>
      <c r="BE229" s="0" t="s">
        <v>116</v>
      </c>
      <c r="BF229" s="0" t="str">
        <f aca="false">IF(ISBLANK(BE229),"No comments",BE229)</f>
        <v>Needs tire alignment</v>
      </c>
      <c r="BG229" s="0" t="s">
        <v>117</v>
      </c>
      <c r="BH229" s="0" t="str">
        <f aca="false">IF(ISBLANK(BG229),"No comments",BG229)</f>
        <v>Prefers morning</v>
      </c>
      <c r="BI229" s="0" t="s">
        <v>50</v>
      </c>
      <c r="BJ229" s="0" t="str">
        <f aca="false">IF(ISBLANK(BI229),"Not Mentioned",BI229)</f>
        <v>No</v>
      </c>
      <c r="BK229" s="0" t="s">
        <v>61</v>
      </c>
      <c r="BL229" s="0" t="str">
        <f aca="false">PROPER(IF(ISBLANK(BK229),"Not Mentioned",BK229))</f>
        <v>No</v>
      </c>
      <c r="BM229" s="0" t="s">
        <v>63</v>
      </c>
      <c r="BN229" s="0" t="str">
        <f aca="false">PROPER(IF(ISBLANK(BM229),"Not Mentioned",BM229))</f>
        <v>Yes</v>
      </c>
      <c r="BO229" s="0" t="s">
        <v>64</v>
      </c>
      <c r="BP229" s="0" t="str">
        <f aca="false">IF(ISBLANK(BO229),"One-Time Plan",BO229)</f>
        <v>Gold Maintenance Plan</v>
      </c>
      <c r="BQ229" s="0" t="s">
        <v>190</v>
      </c>
      <c r="BR229" s="0" t="str">
        <f aca="false">PROPER(IF(ISBLANK(BQ229),"No",BQ229))</f>
        <v>Yes</v>
      </c>
    </row>
    <row r="230" customFormat="false" ht="15" hidden="false" customHeight="false" outlineLevel="0" collapsed="false">
      <c r="A230" s="0" t="s">
        <v>685</v>
      </c>
      <c r="B230" s="2" t="n">
        <v>45814</v>
      </c>
      <c r="C230" s="2" t="str">
        <f aca="false">TEXT(B230,"dd/mm/yyyy")</f>
        <v>06/06/2025</v>
      </c>
      <c r="D230" s="0" t="s">
        <v>42</v>
      </c>
      <c r="E230" s="0" t="n">
        <v>8061320957</v>
      </c>
      <c r="F230" s="0" t="s">
        <v>67</v>
      </c>
      <c r="G230" s="0" t="s">
        <v>2316</v>
      </c>
      <c r="H230" s="0" t="s">
        <v>686</v>
      </c>
      <c r="I230" s="0" t="s">
        <v>107</v>
      </c>
      <c r="J230" s="0" t="s">
        <v>2317</v>
      </c>
      <c r="K230" s="3" t="str">
        <f aca="false" t="array" ref="K230:K230">IFERROR(IF(J230&lt;&gt;"",J230,INDEX(J230:J1229,MATCH(1,(F230:F1229=F230)*(I230:I1229=I230)*(L230:L1229=L230)*(J230:J1229&lt;&gt;""),0))),"Not Found")</f>
        <v>Suspension Noise</v>
      </c>
      <c r="L230" s="3" t="s">
        <v>108</v>
      </c>
      <c r="M230" s="0" t="str">
        <f aca="false">PROPER(L230)</f>
        <v>Timing Belt</v>
      </c>
      <c r="O230" s="0" t="e">
        <f aca="false" t="array" ref="O230:O230">IF(N230&lt;&gt;"",N230,_xlfn.xlookup(1,(L230:L1229=L230)*(N230:N1229&lt;&gt;""),N230:N1229,"Not Found"))</f>
        <v>#NAME?</v>
      </c>
      <c r="P230" s="4" t="n">
        <v>15300</v>
      </c>
      <c r="Q230" s="0" t="s">
        <v>49</v>
      </c>
      <c r="R230" s="0" t="str">
        <f aca="false">PROPER(Q230)</f>
        <v>Transfer</v>
      </c>
      <c r="S230" s="0" t="s">
        <v>63</v>
      </c>
      <c r="T230" s="0" t="n">
        <v>1</v>
      </c>
      <c r="U230" s="5" t="n">
        <f aca="false">IF(ISBLANK(T230),AVERAGE(T230:T1229),T230)</f>
        <v>1</v>
      </c>
      <c r="V230" s="0" t="n">
        <v>2.7</v>
      </c>
      <c r="W230" s="0" t="s">
        <v>51</v>
      </c>
      <c r="X230" s="0" t="str">
        <f aca="false">IF(ISBLANK(W230),"No remarks",W230)</f>
        <v>Recommended further checks</v>
      </c>
      <c r="Y230" s="0" t="s">
        <v>52</v>
      </c>
      <c r="Z230" s="0" t="s">
        <v>94</v>
      </c>
      <c r="AA230" s="0" t="str">
        <f aca="false">PROPER(IF(ISBLANK(Z230),"Location Unavailable",Z230))</f>
        <v>Vip Section</v>
      </c>
      <c r="AB230" s="0" t="s">
        <v>167</v>
      </c>
      <c r="AC230" s="6" t="str">
        <f aca="false">PROPER(AB230)</f>
        <v>Word Of Mouth</v>
      </c>
      <c r="AD230" s="6" t="n">
        <v>45</v>
      </c>
      <c r="AE230" s="5" t="n">
        <f aca="false">IF(ISBLANK(AD230),AVERAGEIF(L230:L1229,L230,AD230:AD1229),AD230)</f>
        <v>45</v>
      </c>
      <c r="AF230" s="0" t="s">
        <v>160</v>
      </c>
      <c r="AG230" s="0" t="str">
        <f aca="false">PROPER(AF230)</f>
        <v>Availaible</v>
      </c>
      <c r="AH230" s="0" t="s">
        <v>148</v>
      </c>
      <c r="AI230" s="0" t="s">
        <v>128</v>
      </c>
      <c r="AJ230" s="0" t="str">
        <f aca="false">PROPER(AI230)</f>
        <v>Normal</v>
      </c>
      <c r="AK230" s="0" t="s">
        <v>196</v>
      </c>
      <c r="AL230" s="0" t="str">
        <f aca="false">PROPER(AK230)</f>
        <v>First Time</v>
      </c>
      <c r="AN230" s="0" t="str">
        <f aca="false">IF(ISBLANK(AM230),"Unknown",AM230)</f>
        <v>Unknown</v>
      </c>
      <c r="AO230" s="0" t="s">
        <v>79</v>
      </c>
      <c r="AP230" s="0" t="str">
        <f aca="false">IF(ISBLANK(AO230),"Unknown",AO230)</f>
        <v>Specialist</v>
      </c>
      <c r="AQ230" s="0" t="n">
        <v>40000</v>
      </c>
      <c r="AR230" s="5" t="n">
        <f aca="false">IF(ISBLANK(AQ230),AVERAGEIF(M230:M1229,M230,AQ230:AQ1229),AQ230)</f>
        <v>40000</v>
      </c>
      <c r="AT230" s="5" t="n">
        <f aca="false">IF(ISBLANK(AS230),AVERAGE(AS230:AS1229),AS230)</f>
        <v>31421.875</v>
      </c>
      <c r="AU230" s="0" t="s">
        <v>61</v>
      </c>
      <c r="AV230" s="0" t="str">
        <f aca="false">PROPER(IF(ISBLANK(AU230),"No",AU230))</f>
        <v>No</v>
      </c>
      <c r="AW230" s="0" t="n">
        <v>10000</v>
      </c>
      <c r="AX230" s="5" t="n">
        <f aca="false">IF(ISBLANK(AW230),0,AW230)</f>
        <v>10000</v>
      </c>
      <c r="AY230" s="0" t="s">
        <v>130</v>
      </c>
      <c r="AZ230" s="0" t="str">
        <f aca="false">UPPER(IF(ISBLANK(AY230),"NONE",AY230))</f>
        <v>LOYALTY10</v>
      </c>
      <c r="BA230" s="7" t="n">
        <v>45859</v>
      </c>
      <c r="BB230" s="7" t="n">
        <f aca="false">IF(ISBLANK(BA230),"No Follow Up Needed",BA230)</f>
        <v>45859</v>
      </c>
      <c r="BC230" s="0" t="s">
        <v>82</v>
      </c>
      <c r="BD230" s="0" t="str">
        <f aca="false">PROPER(IF(ISBLANK(BC230),"Unknown",BC230))</f>
        <v>Yes</v>
      </c>
      <c r="BE230" s="0" t="s">
        <v>171</v>
      </c>
      <c r="BF230" s="0" t="str">
        <f aca="false">IF(ISBLANK(BE230),"No comments",BE230)</f>
        <v>Shock absorber weakening</v>
      </c>
      <c r="BG230" s="0" t="s">
        <v>117</v>
      </c>
      <c r="BH230" s="0" t="str">
        <f aca="false">IF(ISBLANK(BG230),"No comments",BG230)</f>
        <v>Prefers morning</v>
      </c>
      <c r="BI230" s="0" t="s">
        <v>63</v>
      </c>
      <c r="BJ230" s="0" t="str">
        <f aca="false">IF(ISBLANK(BI230),"Not Mentioned",BI230)</f>
        <v>Yes</v>
      </c>
      <c r="BK230" s="0" t="s">
        <v>50</v>
      </c>
      <c r="BL230" s="0" t="str">
        <f aca="false">PROPER(IF(ISBLANK(BK230),"Not Mentioned",BK230))</f>
        <v>No</v>
      </c>
      <c r="BN230" s="0" t="str">
        <f aca="false">PROPER(IF(ISBLANK(BM230),"Not Mentioned",BM230))</f>
        <v>Not Mentioned</v>
      </c>
      <c r="BO230" s="0" t="s">
        <v>64</v>
      </c>
      <c r="BP230" s="0" t="str">
        <f aca="false">IF(ISBLANK(BO230),"One-Time Plan",BO230)</f>
        <v>Gold Maintenance Plan</v>
      </c>
      <c r="BQ230" s="0" t="s">
        <v>63</v>
      </c>
      <c r="BR230" s="0" t="str">
        <f aca="false">PROPER(IF(ISBLANK(BQ230),"No",BQ230))</f>
        <v>Yes</v>
      </c>
    </row>
    <row r="231" customFormat="false" ht="15" hidden="false" customHeight="false" outlineLevel="0" collapsed="false">
      <c r="A231" s="0" t="s">
        <v>688</v>
      </c>
      <c r="B231" s="2" t="s">
        <v>687</v>
      </c>
      <c r="C231" s="2" t="str">
        <f aca="false">TEXT(B231,"dd/mm/yyyy")</f>
        <v>21/01/2025</v>
      </c>
      <c r="D231" s="0" t="s">
        <v>105</v>
      </c>
      <c r="E231" s="0" t="n">
        <v>8013317620</v>
      </c>
      <c r="F231" s="0" t="s">
        <v>85</v>
      </c>
      <c r="G231" s="0" t="s">
        <v>2319</v>
      </c>
      <c r="H231" s="0" t="s">
        <v>689</v>
      </c>
      <c r="I231" s="0" t="s">
        <v>45</v>
      </c>
      <c r="J231" s="0" t="s">
        <v>2322</v>
      </c>
      <c r="K231" s="3" t="str">
        <f aca="false" t="array" ref="K231:K231">IFERROR(IF(J231&lt;&gt;"",J231,INDEX(J231:J1230,MATCH(1,(F231:F1230=F231)*(I231:I1230=I231)*(L231:L1230=L231)*(J231:J1230&lt;&gt;""),0))),"Not Found")</f>
        <v>Brake Failure</v>
      </c>
      <c r="L231" s="3" t="s">
        <v>154</v>
      </c>
      <c r="M231" s="0" t="str">
        <f aca="false">PROPER(L231)</f>
        <v>Air Filter</v>
      </c>
      <c r="N231" s="3" t="s">
        <v>90</v>
      </c>
      <c r="O231" s="0" t="str">
        <f aca="false" t="array" ref="O231:O231">IF(N231&lt;&gt;"",N231,_xlfn.xlookup(1,(L231:L1230=L231)*(N231:N1230&lt;&gt;""),N231:N1230,"Not Found"))</f>
        <v>Musa</v>
      </c>
      <c r="P231" s="4" t="n">
        <v>36475</v>
      </c>
      <c r="Q231" s="0" t="s">
        <v>91</v>
      </c>
      <c r="R231" s="0" t="str">
        <f aca="false">PROPER(Q231)</f>
        <v>Pos</v>
      </c>
      <c r="S231" s="0" t="s">
        <v>63</v>
      </c>
      <c r="T231" s="0" t="n">
        <v>2</v>
      </c>
      <c r="U231" s="5" t="n">
        <f aca="false">IF(ISBLANK(T231),AVERAGE(T231:T1230),T231)</f>
        <v>2</v>
      </c>
      <c r="V231" s="0" t="n">
        <v>3.4</v>
      </c>
      <c r="W231" s="0" t="s">
        <v>125</v>
      </c>
      <c r="X231" s="0" t="str">
        <f aca="false">IF(ISBLANK(W231),"No remarks",W231)</f>
        <v>Customer waited</v>
      </c>
      <c r="Y231" s="0" t="s">
        <v>73</v>
      </c>
      <c r="Z231" s="0" t="s">
        <v>136</v>
      </c>
      <c r="AA231" s="0" t="str">
        <f aca="false">PROPER(IF(ISBLANK(Z231),"Location Unavailable",Z231))</f>
        <v>Vip Section</v>
      </c>
      <c r="AB231" s="0" t="s">
        <v>147</v>
      </c>
      <c r="AC231" s="6" t="str">
        <f aca="false">PROPER(AB231)</f>
        <v>Instagram</v>
      </c>
      <c r="AD231" s="6" t="n">
        <v>30</v>
      </c>
      <c r="AE231" s="5" t="n">
        <f aca="false">IF(ISBLANK(AD231),AVERAGEIF(L231:L1230,L231,AD231:AD1230),AD231)</f>
        <v>30</v>
      </c>
      <c r="AF231" s="0" t="s">
        <v>112</v>
      </c>
      <c r="AG231" s="0" t="str">
        <f aca="false">PROPER(AF231)</f>
        <v>Unavailable</v>
      </c>
      <c r="AH231" s="0" t="s">
        <v>56</v>
      </c>
      <c r="AI231" s="0" t="s">
        <v>98</v>
      </c>
      <c r="AJ231" s="0" t="str">
        <f aca="false">PROPER(AI231)</f>
        <v>Emergency</v>
      </c>
      <c r="AK231" s="0" t="s">
        <v>196</v>
      </c>
      <c r="AL231" s="0" t="str">
        <f aca="false">PROPER(AK231)</f>
        <v>First Time</v>
      </c>
      <c r="AN231" s="0" t="str">
        <f aca="false">IF(ISBLANK(AM231),"Unknown",AM231)</f>
        <v>Unknown</v>
      </c>
      <c r="AO231" s="0" t="s">
        <v>143</v>
      </c>
      <c r="AP231" s="0" t="str">
        <f aca="false">IF(ISBLANK(AO231),"Unknown",AO231)</f>
        <v>Senior</v>
      </c>
      <c r="AQ231" s="0" t="n">
        <v>25000</v>
      </c>
      <c r="AR231" s="5" t="n">
        <f aca="false">IF(ISBLANK(AQ231),AVERAGEIF(M231:M1230,M231,AQ231:AQ1230),AQ231)</f>
        <v>25000</v>
      </c>
      <c r="AS231" s="0" t="n">
        <v>30000</v>
      </c>
      <c r="AT231" s="5" t="n">
        <f aca="false">IF(ISBLANK(AS231),AVERAGE(AS231:AS1230),AS231)</f>
        <v>30000</v>
      </c>
      <c r="AU231" s="0" t="s">
        <v>82</v>
      </c>
      <c r="AV231" s="0" t="str">
        <f aca="false">PROPER(IF(ISBLANK(AU231),"No",AU231))</f>
        <v>Yes</v>
      </c>
      <c r="AW231" s="0" t="n">
        <v>0</v>
      </c>
      <c r="AX231" s="5" t="n">
        <f aca="false">IF(ISBLANK(AW231),0,AW231)</f>
        <v>0</v>
      </c>
      <c r="AZ231" s="0" t="str">
        <f aca="false">UPPER(IF(ISBLANK(AY231),"NONE",AY231))</f>
        <v>NONE</v>
      </c>
      <c r="BA231" s="7" t="s">
        <v>690</v>
      </c>
      <c r="BB231" s="7" t="str">
        <f aca="false">IF(ISBLANK(BA231),"No Follow Up Needed",BA231)</f>
        <v>20/11/2025</v>
      </c>
      <c r="BD231" s="0" t="str">
        <f aca="false">PROPER(IF(ISBLANK(BC231),"Unknown",BC231))</f>
        <v>Unknown</v>
      </c>
      <c r="BF231" s="0" t="str">
        <f aca="false">IF(ISBLANK(BE231),"No comments",BE231)</f>
        <v>No comments</v>
      </c>
      <c r="BG231" s="0" t="s">
        <v>117</v>
      </c>
      <c r="BH231" s="0" t="str">
        <f aca="false">IF(ISBLANK(BG231),"No comments",BG231)</f>
        <v>Prefers morning</v>
      </c>
      <c r="BI231" s="0" t="s">
        <v>63</v>
      </c>
      <c r="BJ231" s="0" t="str">
        <f aca="false">IF(ISBLANK(BI231),"Not Mentioned",BI231)</f>
        <v>Yes</v>
      </c>
      <c r="BK231" s="0" t="s">
        <v>61</v>
      </c>
      <c r="BL231" s="0" t="str">
        <f aca="false">PROPER(IF(ISBLANK(BK231),"Not Mentioned",BK231))</f>
        <v>No</v>
      </c>
      <c r="BN231" s="0" t="str">
        <f aca="false">PROPER(IF(ISBLANK(BM231),"Not Mentioned",BM231))</f>
        <v>Not Mentioned</v>
      </c>
      <c r="BP231" s="0" t="str">
        <f aca="false">IF(ISBLANK(BO231),"One-Time Plan",BO231)</f>
        <v>One-Time Plan</v>
      </c>
      <c r="BQ231" s="0" t="s">
        <v>50</v>
      </c>
      <c r="BR231" s="0" t="str">
        <f aca="false">PROPER(IF(ISBLANK(BQ231),"No",BQ231))</f>
        <v>No</v>
      </c>
    </row>
    <row r="232" customFormat="false" ht="15" hidden="false" customHeight="false" outlineLevel="0" collapsed="false">
      <c r="A232" s="0" t="s">
        <v>691</v>
      </c>
      <c r="B232" s="2" t="n">
        <v>45739</v>
      </c>
      <c r="C232" s="2" t="str">
        <f aca="false">TEXT(B232,"dd/mm/yyyy")</f>
        <v>23/03/2025</v>
      </c>
      <c r="D232" s="0" t="s">
        <v>105</v>
      </c>
      <c r="E232" s="0" t="n">
        <v>8034100904</v>
      </c>
      <c r="F232" s="0" t="s">
        <v>139</v>
      </c>
      <c r="G232" s="0" t="s">
        <v>2323</v>
      </c>
      <c r="H232" s="0" t="s">
        <v>692</v>
      </c>
      <c r="I232" s="0" t="s">
        <v>87</v>
      </c>
      <c r="J232" s="0" t="s">
        <v>2322</v>
      </c>
      <c r="K232" s="3" t="str">
        <f aca="false" t="array" ref="K232:K232">IFERROR(IF(J232&lt;&gt;"",J232,INDEX(J232:J1231,MATCH(1,(F232:F1231=F232)*(I232:I1231=I232)*(L232:L1231=L232)*(J232:J1231&lt;&gt;""),0))),"Not Found")</f>
        <v>Brake Failure</v>
      </c>
      <c r="L232" s="3" t="s">
        <v>154</v>
      </c>
      <c r="M232" s="0" t="str">
        <f aca="false">PROPER(L232)</f>
        <v>Air Filter</v>
      </c>
      <c r="O232" s="0" t="e">
        <f aca="false" t="array" ref="O232:O232">IF(N232&lt;&gt;"",N232,_xlfn.xlookup(1,(L232:L1231=L232)*(N232:N1231&lt;&gt;""),N232:N1231,"Not Found"))</f>
        <v>#NAME?</v>
      </c>
      <c r="P232" s="4" t="n">
        <v>12272</v>
      </c>
      <c r="Q232" s="0" t="s">
        <v>72</v>
      </c>
      <c r="R232" s="0" t="str">
        <f aca="false">PROPER(Q232)</f>
        <v>Pos</v>
      </c>
      <c r="S232" s="0" t="s">
        <v>50</v>
      </c>
      <c r="U232" s="5" t="n">
        <f aca="false">IF(ISBLANK(T232),AVERAGE(T232:T1231),T232)</f>
        <v>3.00155763239875</v>
      </c>
      <c r="V232" s="0" t="n">
        <v>3.7</v>
      </c>
      <c r="X232" s="0" t="str">
        <f aca="false">IF(ISBLANK(W232),"No remarks",W232)</f>
        <v>No remarks</v>
      </c>
      <c r="Y232" s="0" t="s">
        <v>93</v>
      </c>
      <c r="Z232" s="0" t="s">
        <v>94</v>
      </c>
      <c r="AA232" s="0" t="str">
        <f aca="false">PROPER(IF(ISBLANK(Z232),"Location Unavailable",Z232))</f>
        <v>Vip Section</v>
      </c>
      <c r="AB232" s="0" t="s">
        <v>126</v>
      </c>
      <c r="AC232" s="6" t="str">
        <f aca="false">PROPER(AB232)</f>
        <v>Whatsapp</v>
      </c>
      <c r="AD232" s="6" t="n">
        <v>45</v>
      </c>
      <c r="AE232" s="5" t="n">
        <f aca="false">IF(ISBLANK(AD232),AVERAGEIF(L232:L1231,L232,AD232:AD1231),AD232)</f>
        <v>45</v>
      </c>
      <c r="AF232" s="0" t="s">
        <v>160</v>
      </c>
      <c r="AG232" s="0" t="str">
        <f aca="false">PROPER(AF232)</f>
        <v>Availaible</v>
      </c>
      <c r="AH232" s="0" t="s">
        <v>155</v>
      </c>
      <c r="AI232" s="0" t="s">
        <v>78</v>
      </c>
      <c r="AJ232" s="0" t="str">
        <f aca="false">PROPER(AI232)</f>
        <v>Booking</v>
      </c>
      <c r="AK232" s="0" t="s">
        <v>196</v>
      </c>
      <c r="AL232" s="0" t="str">
        <f aca="false">PROPER(AK232)</f>
        <v>First Time</v>
      </c>
      <c r="AN232" s="0" t="str">
        <f aca="false">IF(ISBLANK(AM232),"Unknown",AM232)</f>
        <v>Unknown</v>
      </c>
      <c r="AO232" s="0" t="s">
        <v>149</v>
      </c>
      <c r="AP232" s="0" t="str">
        <f aca="false">IF(ISBLANK(AO232),"Unknown",AO232)</f>
        <v>Senior </v>
      </c>
      <c r="AQ232" s="0" t="n">
        <v>15000</v>
      </c>
      <c r="AR232" s="5" t="n">
        <f aca="false">IF(ISBLANK(AQ232),AVERAGEIF(M232:M1231,M232,AQ232:AQ1231),AQ232)</f>
        <v>15000</v>
      </c>
      <c r="AS232" s="0" t="n">
        <v>30000</v>
      </c>
      <c r="AT232" s="5" t="n">
        <f aca="false">IF(ISBLANK(AS232),AVERAGE(AS232:AS1231),AS232)</f>
        <v>30000</v>
      </c>
      <c r="AU232" s="0" t="s">
        <v>61</v>
      </c>
      <c r="AV232" s="0" t="str">
        <f aca="false">PROPER(IF(ISBLANK(AU232),"No",AU232))</f>
        <v>No</v>
      </c>
      <c r="AW232" s="0" t="n">
        <v>5000</v>
      </c>
      <c r="AX232" s="5" t="n">
        <f aca="false">IF(ISBLANK(AW232),0,AW232)</f>
        <v>5000</v>
      </c>
      <c r="AY232" s="0" t="s">
        <v>184</v>
      </c>
      <c r="AZ232" s="0" t="str">
        <f aca="false">UPPER(IF(ISBLANK(AY232),"NONE",AY232))</f>
        <v>N/A</v>
      </c>
      <c r="BB232" s="7" t="str">
        <f aca="false">IF(ISBLANK(BA232),"No Follow Up Needed",BA232)</f>
        <v>No Follow Up Needed</v>
      </c>
      <c r="BC232" s="0" t="s">
        <v>63</v>
      </c>
      <c r="BD232" s="0" t="str">
        <f aca="false">PROPER(IF(ISBLANK(BC232),"Unknown",BC232))</f>
        <v>Yes</v>
      </c>
      <c r="BF232" s="0" t="str">
        <f aca="false">IF(ISBLANK(BE232),"No comments",BE232)</f>
        <v>No comments</v>
      </c>
      <c r="BH232" s="0" t="str">
        <f aca="false">IF(ISBLANK(BG232),"No comments",BG232)</f>
        <v>No comments</v>
      </c>
      <c r="BI232" s="0" t="s">
        <v>63</v>
      </c>
      <c r="BJ232" s="0" t="str">
        <f aca="false">IF(ISBLANK(BI232),"Not Mentioned",BI232)</f>
        <v>Yes</v>
      </c>
      <c r="BK232" s="0" t="s">
        <v>61</v>
      </c>
      <c r="BL232" s="0" t="str">
        <f aca="false">PROPER(IF(ISBLANK(BK232),"Not Mentioned",BK232))</f>
        <v>No</v>
      </c>
      <c r="BM232" s="0" t="s">
        <v>63</v>
      </c>
      <c r="BN232" s="0" t="str">
        <f aca="false">PROPER(IF(ISBLANK(BM232),"Not Mentioned",BM232))</f>
        <v>Yes</v>
      </c>
      <c r="BO232" s="0" t="s">
        <v>2321</v>
      </c>
      <c r="BP232" s="0" t="str">
        <f aca="false">IF(ISBLANK(BO232),"One-Time Plan",BO232)</f>
        <v>One-Time Plan</v>
      </c>
      <c r="BQ232" s="0" t="s">
        <v>63</v>
      </c>
      <c r="BR232" s="0" t="str">
        <f aca="false">PROPER(IF(ISBLANK(BQ232),"No",BQ232))</f>
        <v>Yes</v>
      </c>
    </row>
    <row r="233" customFormat="false" ht="15" hidden="false" customHeight="false" outlineLevel="0" collapsed="false">
      <c r="A233" s="0" t="s">
        <v>693</v>
      </c>
      <c r="B233" s="2" t="n">
        <v>45812</v>
      </c>
      <c r="C233" s="2" t="str">
        <f aca="false">TEXT(B233,"dd/mm/yyyy")</f>
        <v>04/06/2025</v>
      </c>
      <c r="D233" s="0" t="s">
        <v>42</v>
      </c>
      <c r="E233" s="0" t="n">
        <v>8069282426</v>
      </c>
      <c r="F233" s="0" t="s">
        <v>43</v>
      </c>
      <c r="G233" s="0" t="s">
        <v>2315</v>
      </c>
      <c r="H233" s="0" t="s">
        <v>694</v>
      </c>
      <c r="I233" s="0" t="s">
        <v>107</v>
      </c>
      <c r="J233" s="0" t="s">
        <v>87</v>
      </c>
      <c r="K233" s="3" t="str">
        <f aca="false" t="array" ref="K233:K233">IFERROR(IF(J233&lt;&gt;"",J233,INDEX(J233:J1232,MATCH(1,(F233:F1232=F233)*(I233:I1232=I233)*(L233:L1232=L233)*(J233:J1232&lt;&gt;""),0))),"Not Found")</f>
        <v>Oil Change</v>
      </c>
      <c r="L233" s="3" t="s">
        <v>108</v>
      </c>
      <c r="M233" s="0" t="str">
        <f aca="false">PROPER(L233)</f>
        <v>Timing Belt</v>
      </c>
      <c r="O233" s="0" t="e">
        <f aca="false" t="array" ref="O233:O233">IF(N233&lt;&gt;"",N233,_xlfn.xlookup(1,(L233:L1232=L233)*(N233:N1232&lt;&gt;""),N233:N1232,"Not Found"))</f>
        <v>#NAME?</v>
      </c>
      <c r="P233" s="4" t="n">
        <v>46455</v>
      </c>
      <c r="Q233" s="0" t="s">
        <v>72</v>
      </c>
      <c r="R233" s="0" t="str">
        <f aca="false">PROPER(Q233)</f>
        <v>Pos</v>
      </c>
      <c r="S233" s="0" t="s">
        <v>63</v>
      </c>
      <c r="T233" s="0" t="n">
        <v>1</v>
      </c>
      <c r="U233" s="5" t="n">
        <f aca="false">IF(ISBLANK(T233),AVERAGE(T233:T1232),T233)</f>
        <v>1</v>
      </c>
      <c r="V233" s="0" t="n">
        <v>2.1</v>
      </c>
      <c r="W233" s="0" t="s">
        <v>111</v>
      </c>
      <c r="X233" s="0" t="str">
        <f aca="false">IF(ISBLANK(W233),"No remarks",W233)</f>
        <v>Changed all filters</v>
      </c>
      <c r="Y233" s="0" t="s">
        <v>52</v>
      </c>
      <c r="Z233" s="0" t="s">
        <v>94</v>
      </c>
      <c r="AA233" s="0" t="str">
        <f aca="false">PROPER(IF(ISBLANK(Z233),"Location Unavailable",Z233))</f>
        <v>Vip Section</v>
      </c>
      <c r="AB233" s="0" t="s">
        <v>95</v>
      </c>
      <c r="AC233" s="6" t="str">
        <f aca="false">PROPER(AB233)</f>
        <v>Road Sign</v>
      </c>
      <c r="AE233" s="5" t="n">
        <f aca="false">IF(ISBLANK(AD233),AVERAGEIF(L233:L1232,L233,AD233:AD1232),AD233)</f>
        <v>37.8378378378378</v>
      </c>
      <c r="AF233" s="0" t="s">
        <v>96</v>
      </c>
      <c r="AG233" s="0" t="str">
        <f aca="false">PROPER(AF233)</f>
        <v>Ordered</v>
      </c>
      <c r="AH233" s="0" t="s">
        <v>155</v>
      </c>
      <c r="AI233" s="0" t="s">
        <v>98</v>
      </c>
      <c r="AJ233" s="0" t="str">
        <f aca="false">PROPER(AI233)</f>
        <v>Emergency</v>
      </c>
      <c r="AK233" s="0" t="s">
        <v>58</v>
      </c>
      <c r="AL233" s="0" t="str">
        <f aca="false">PROPER(AK233)</f>
        <v>Fleet Owner</v>
      </c>
      <c r="AN233" s="0" t="str">
        <f aca="false">IF(ISBLANK(AM233),"Unknown",AM233)</f>
        <v>Unknown</v>
      </c>
      <c r="AO233" s="0" t="s">
        <v>79</v>
      </c>
      <c r="AP233" s="0" t="str">
        <f aca="false">IF(ISBLANK(AO233),"Unknown",AO233)</f>
        <v>Specialist</v>
      </c>
      <c r="AQ233" s="0" t="n">
        <v>30000</v>
      </c>
      <c r="AR233" s="5" t="n">
        <f aca="false">IF(ISBLANK(AQ233),AVERAGEIF(M233:M1232,M233,AQ233:AQ1232),AQ233)</f>
        <v>30000</v>
      </c>
      <c r="AS233" s="0" t="n">
        <v>30000</v>
      </c>
      <c r="AT233" s="5" t="n">
        <f aca="false">IF(ISBLANK(AS233),AVERAGE(AS233:AS1232),AS233)</f>
        <v>30000</v>
      </c>
      <c r="AV233" s="0" t="str">
        <f aca="false">PROPER(IF(ISBLANK(AU233),"No",AU233))</f>
        <v>No</v>
      </c>
      <c r="AW233" s="0" t="n">
        <v>0</v>
      </c>
      <c r="AX233" s="5" t="n">
        <f aca="false">IF(ISBLANK(AW233),0,AW233)</f>
        <v>0</v>
      </c>
      <c r="AY233" s="0" t="s">
        <v>130</v>
      </c>
      <c r="AZ233" s="0" t="str">
        <f aca="false">UPPER(IF(ISBLANK(AY233),"NONE",AY233))</f>
        <v>LOYALTY10</v>
      </c>
      <c r="BB233" s="7" t="str">
        <f aca="false">IF(ISBLANK(BA233),"No Follow Up Needed",BA233)</f>
        <v>No Follow Up Needed</v>
      </c>
      <c r="BC233" s="0" t="s">
        <v>63</v>
      </c>
      <c r="BD233" s="0" t="str">
        <f aca="false">PROPER(IF(ISBLANK(BC233),"Unknown",BC233))</f>
        <v>Yes</v>
      </c>
      <c r="BF233" s="0" t="str">
        <f aca="false">IF(ISBLANK(BE233),"No comments",BE233)</f>
        <v>No comments</v>
      </c>
      <c r="BG233" s="0" t="s">
        <v>2320</v>
      </c>
      <c r="BH233" s="0" t="str">
        <f aca="false">IF(ISBLANK(BG233),"No comments",BG233)</f>
        <v>No complaints</v>
      </c>
      <c r="BI233" s="0" t="s">
        <v>50</v>
      </c>
      <c r="BJ233" s="0" t="str">
        <f aca="false">IF(ISBLANK(BI233),"Not Mentioned",BI233)</f>
        <v>No</v>
      </c>
      <c r="BK233" s="0" t="s">
        <v>63</v>
      </c>
      <c r="BL233" s="0" t="str">
        <f aca="false">PROPER(IF(ISBLANK(BK233),"Not Mentioned",BK233))</f>
        <v>Yes</v>
      </c>
      <c r="BM233" s="0" t="s">
        <v>50</v>
      </c>
      <c r="BN233" s="0" t="str">
        <f aca="false">PROPER(IF(ISBLANK(BM233),"Not Mentioned",BM233))</f>
        <v>No</v>
      </c>
      <c r="BO233" s="0" t="s">
        <v>2318</v>
      </c>
      <c r="BP233" s="0" t="str">
        <f aca="false">IF(ISBLANK(BO233),"One-Time Plan",BO233)</f>
        <v>Gold</v>
      </c>
      <c r="BR233" s="0" t="str">
        <f aca="false">PROPER(IF(ISBLANK(BQ233),"No",BQ233))</f>
        <v>No</v>
      </c>
    </row>
    <row r="234" customFormat="false" ht="15" hidden="false" customHeight="false" outlineLevel="0" collapsed="false">
      <c r="A234" s="0" t="s">
        <v>695</v>
      </c>
      <c r="B234" s="2" t="n">
        <v>45964</v>
      </c>
      <c r="C234" s="2" t="str">
        <f aca="false">TEXT(B234,"dd/mm/yyyy")</f>
        <v>03/11/2025</v>
      </c>
      <c r="D234" s="0" t="s">
        <v>105</v>
      </c>
      <c r="E234" s="0" t="n">
        <v>8041378816</v>
      </c>
      <c r="F234" s="0" t="s">
        <v>85</v>
      </c>
      <c r="G234" s="0" t="s">
        <v>2319</v>
      </c>
      <c r="H234" s="0" t="s">
        <v>696</v>
      </c>
      <c r="I234" s="0" t="s">
        <v>45</v>
      </c>
      <c r="K234" s="3" t="str">
        <f aca="false" t="array" ref="K234:K234">IFERROR(IF(J234&lt;&gt;"",J234,INDEX(J234:J1233,MATCH(1,(F234:F1233=F234)*(I234:I1233=I234)*(L234:L1233=L234)*(J234:J1233&lt;&gt;""),0))),"Not Found")</f>
        <v>Suspension Noise</v>
      </c>
      <c r="L234" s="3" t="s">
        <v>108</v>
      </c>
      <c r="M234" s="0" t="str">
        <f aca="false">PROPER(L234)</f>
        <v>Timing Belt</v>
      </c>
      <c r="N234" s="3" t="s">
        <v>90</v>
      </c>
      <c r="O234" s="0" t="str">
        <f aca="false" t="array" ref="O234:O234">IF(N234&lt;&gt;"",N234,_xlfn.xlookup(1,(L234:L1233=L234)*(N234:N1233&lt;&gt;""),N234:N1233,"Not Found"))</f>
        <v>Musa</v>
      </c>
      <c r="P234" s="4" t="n">
        <v>49597</v>
      </c>
      <c r="Q234" s="0" t="s">
        <v>91</v>
      </c>
      <c r="R234" s="0" t="str">
        <f aca="false">PROPER(Q234)</f>
        <v>Pos</v>
      </c>
      <c r="S234" s="0" t="s">
        <v>50</v>
      </c>
      <c r="U234" s="5" t="n">
        <f aca="false">IF(ISBLANK(T234),AVERAGE(T234:T1233),T234)</f>
        <v>3.00468018720749</v>
      </c>
      <c r="V234" s="0" t="n">
        <v>1.6</v>
      </c>
      <c r="X234" s="0" t="str">
        <f aca="false">IF(ISBLANK(W234),"No remarks",W234)</f>
        <v>No remarks</v>
      </c>
      <c r="Y234" s="0" t="s">
        <v>73</v>
      </c>
      <c r="Z234" s="0" t="s">
        <v>159</v>
      </c>
      <c r="AA234" s="0" t="str">
        <f aca="false">PROPER(IF(ISBLANK(Z234),"Location Unavailable",Z234))</f>
        <v>Main Bay</v>
      </c>
      <c r="AB234" s="0" t="s">
        <v>147</v>
      </c>
      <c r="AC234" s="6" t="str">
        <f aca="false">PROPER(AB234)</f>
        <v>Instagram</v>
      </c>
      <c r="AD234" s="6" t="n">
        <v>45</v>
      </c>
      <c r="AE234" s="5" t="n">
        <f aca="false">IF(ISBLANK(AD234),AVERAGEIF(L234:L1233,L234,AD234:AD1233),AD234)</f>
        <v>45</v>
      </c>
      <c r="AF234" s="0" t="s">
        <v>55</v>
      </c>
      <c r="AG234" s="0" t="str">
        <f aca="false">PROPER(AF234)</f>
        <v>Available</v>
      </c>
      <c r="AH234" s="0" t="s">
        <v>56</v>
      </c>
      <c r="AI234" s="0" t="s">
        <v>113</v>
      </c>
      <c r="AJ234" s="0" t="str">
        <f aca="false">PROPER(AI234)</f>
        <v>Normal</v>
      </c>
      <c r="AK234" s="0" t="s">
        <v>99</v>
      </c>
      <c r="AL234" s="0" t="str">
        <f aca="false">PROPER(AK234)</f>
        <v>Uber Driver</v>
      </c>
      <c r="AN234" s="0" t="str">
        <f aca="false">IF(ISBLANK(AM234),"Unknown",AM234)</f>
        <v>Unknown</v>
      </c>
      <c r="AO234" s="0" t="s">
        <v>79</v>
      </c>
      <c r="AP234" s="0" t="str">
        <f aca="false">IF(ISBLANK(AO234),"Unknown",AO234)</f>
        <v>Specialist</v>
      </c>
      <c r="AQ234" s="0" t="n">
        <v>25000</v>
      </c>
      <c r="AR234" s="5" t="n">
        <f aca="false">IF(ISBLANK(AQ234),AVERAGEIF(M234:M1233,M234,AQ234:AQ1233),AQ234)</f>
        <v>25000</v>
      </c>
      <c r="AS234" s="0" t="n">
        <v>35000</v>
      </c>
      <c r="AT234" s="5" t="n">
        <f aca="false">IF(ISBLANK(AS234),AVERAGE(AS234:AS1233),AS234)</f>
        <v>35000</v>
      </c>
      <c r="AU234" s="0" t="s">
        <v>61</v>
      </c>
      <c r="AV234" s="0" t="str">
        <f aca="false">PROPER(IF(ISBLANK(AU234),"No",AU234))</f>
        <v>No</v>
      </c>
      <c r="AX234" s="5" t="n">
        <f aca="false">IF(ISBLANK(AW234),0,AW234)</f>
        <v>0</v>
      </c>
      <c r="AY234" s="0" t="s">
        <v>80</v>
      </c>
      <c r="AZ234" s="0" t="str">
        <f aca="false">UPPER(IF(ISBLANK(AY234),"NONE",AY234))</f>
        <v>PROMO10</v>
      </c>
      <c r="BA234" s="7" t="s">
        <v>697</v>
      </c>
      <c r="BB234" s="7" t="str">
        <f aca="false">IF(ISBLANK(BA234),"No Follow Up Needed",BA234)</f>
        <v>18/09/2025</v>
      </c>
      <c r="BC234" s="0" t="s">
        <v>63</v>
      </c>
      <c r="BD234" s="0" t="str">
        <f aca="false">PROPER(IF(ISBLANK(BC234),"Unknown",BC234))</f>
        <v>Yes</v>
      </c>
      <c r="BF234" s="0" t="str">
        <f aca="false">IF(ISBLANK(BE234),"No comments",BE234)</f>
        <v>No comments</v>
      </c>
      <c r="BG234" s="0" t="s">
        <v>2320</v>
      </c>
      <c r="BH234" s="0" t="str">
        <f aca="false">IF(ISBLANK(BG234),"No comments",BG234)</f>
        <v>No complaints</v>
      </c>
      <c r="BI234" s="0" t="s">
        <v>63</v>
      </c>
      <c r="BJ234" s="0" t="str">
        <f aca="false">IF(ISBLANK(BI234),"Not Mentioned",BI234)</f>
        <v>Yes</v>
      </c>
      <c r="BL234" s="0" t="str">
        <f aca="false">PROPER(IF(ISBLANK(BK234),"Not Mentioned",BK234))</f>
        <v>Not Mentioned</v>
      </c>
      <c r="BM234" s="0" t="s">
        <v>63</v>
      </c>
      <c r="BN234" s="0" t="str">
        <f aca="false">PROPER(IF(ISBLANK(BM234),"Not Mentioned",BM234))</f>
        <v>Yes</v>
      </c>
      <c r="BO234" s="0" t="s">
        <v>2321</v>
      </c>
      <c r="BP234" s="0" t="str">
        <f aca="false">IF(ISBLANK(BO234),"One-Time Plan",BO234)</f>
        <v>One-Time Plan</v>
      </c>
      <c r="BQ234" s="0" t="s">
        <v>63</v>
      </c>
      <c r="BR234" s="0" t="str">
        <f aca="false">PROPER(IF(ISBLANK(BQ234),"No",BQ234))</f>
        <v>Yes</v>
      </c>
    </row>
    <row r="235" customFormat="false" ht="15" hidden="false" customHeight="false" outlineLevel="0" collapsed="false">
      <c r="A235" s="0" t="s">
        <v>698</v>
      </c>
      <c r="B235" s="2" t="s">
        <v>468</v>
      </c>
      <c r="C235" s="2" t="str">
        <f aca="false">TEXT(B235,"dd/mm/yyyy")</f>
        <v>14/05/2025</v>
      </c>
      <c r="D235" s="0" t="s">
        <v>42</v>
      </c>
      <c r="E235" s="0" t="n">
        <v>8045651567</v>
      </c>
      <c r="F235" s="0" t="s">
        <v>43</v>
      </c>
      <c r="G235" s="0" t="s">
        <v>2315</v>
      </c>
      <c r="H235" s="0" t="s">
        <v>699</v>
      </c>
      <c r="I235" s="0" t="s">
        <v>69</v>
      </c>
      <c r="J235" s="0" t="s">
        <v>2322</v>
      </c>
      <c r="K235" s="3" t="str">
        <f aca="false" t="array" ref="K235:K235">IFERROR(IF(J235&lt;&gt;"",J235,INDEX(J235:J1234,MATCH(1,(F235:F1234=F235)*(I235:I1234=I235)*(L235:L1234=L235)*(J235:J1234&lt;&gt;""),0))),"Not Found")</f>
        <v>Brake Failure</v>
      </c>
      <c r="L235" s="3" t="s">
        <v>89</v>
      </c>
      <c r="M235" s="0" t="str">
        <f aca="false">PROPER(L235)</f>
        <v>Shock Absorbers</v>
      </c>
      <c r="N235" s="3" t="s">
        <v>48</v>
      </c>
      <c r="O235" s="0" t="str">
        <f aca="false" t="array" ref="O235:O235">IF(N235&lt;&gt;"",N235,_xlfn.xlookup(1,(L235:L1234=L235)*(N235:N1234&lt;&gt;""),N235:N1234,"Not Found"))</f>
        <v>Uche</v>
      </c>
      <c r="P235" s="4" t="n">
        <v>40970</v>
      </c>
      <c r="Q235" s="0" t="s">
        <v>49</v>
      </c>
      <c r="R235" s="0" t="str">
        <f aca="false">PROPER(Q235)</f>
        <v>Transfer</v>
      </c>
      <c r="S235" s="0" t="s">
        <v>50</v>
      </c>
      <c r="U235" s="5" t="n">
        <f aca="false">IF(ISBLANK(T235),AVERAGE(T235:T1234),T235)</f>
        <v>3.00468018720749</v>
      </c>
      <c r="V235" s="0" t="n">
        <v>2.1</v>
      </c>
      <c r="W235" s="0" t="s">
        <v>125</v>
      </c>
      <c r="X235" s="0" t="str">
        <f aca="false">IF(ISBLANK(W235),"No remarks",W235)</f>
        <v>Customer waited</v>
      </c>
      <c r="Y235" s="0" t="s">
        <v>93</v>
      </c>
      <c r="AA235" s="0" t="str">
        <f aca="false">PROPER(IF(ISBLANK(Z235),"Location Unavailable",Z235))</f>
        <v>Location Unavailable</v>
      </c>
      <c r="AB235" s="0" t="s">
        <v>95</v>
      </c>
      <c r="AC235" s="6" t="str">
        <f aca="false">PROPER(AB235)</f>
        <v>Road Sign</v>
      </c>
      <c r="AE235" s="5" t="n">
        <f aca="false">IF(ISBLANK(AD235),AVERAGEIF(L235:L1234,L235,AD235:AD1234),AD235)</f>
        <v>39.9557522123894</v>
      </c>
      <c r="AF235" s="0" t="s">
        <v>96</v>
      </c>
      <c r="AG235" s="0" t="str">
        <f aca="false">PROPER(AF235)</f>
        <v>Ordered</v>
      </c>
      <c r="AH235" s="0" t="s">
        <v>56</v>
      </c>
      <c r="AI235" s="0" t="s">
        <v>98</v>
      </c>
      <c r="AJ235" s="0" t="str">
        <f aca="false">PROPER(AI235)</f>
        <v>Emergency</v>
      </c>
      <c r="AK235" s="0" t="s">
        <v>196</v>
      </c>
      <c r="AL235" s="0" t="str">
        <f aca="false">PROPER(AK235)</f>
        <v>First Time</v>
      </c>
      <c r="AM235" s="0" t="s">
        <v>2326</v>
      </c>
      <c r="AN235" s="0" t="str">
        <f aca="false">IF(ISBLANK(AM235),"Unknown",AM235)</f>
        <v>Government Convoy</v>
      </c>
      <c r="AO235" s="0" t="s">
        <v>79</v>
      </c>
      <c r="AP235" s="0" t="str">
        <f aca="false">IF(ISBLANK(AO235),"Unknown",AO235)</f>
        <v>Specialist</v>
      </c>
      <c r="AQ235" s="0" t="n">
        <v>40000</v>
      </c>
      <c r="AR235" s="5" t="n">
        <f aca="false">IF(ISBLANK(AQ235),AVERAGEIF(M235:M1234,M235,AQ235:AQ1234),AQ235)</f>
        <v>40000</v>
      </c>
      <c r="AS235" s="0" t="n">
        <v>35000</v>
      </c>
      <c r="AT235" s="5" t="n">
        <f aca="false">IF(ISBLANK(AS235),AVERAGE(AS235:AS1234),AS235)</f>
        <v>35000</v>
      </c>
      <c r="AU235" s="0" t="s">
        <v>82</v>
      </c>
      <c r="AV235" s="0" t="str">
        <f aca="false">PROPER(IF(ISBLANK(AU235),"No",AU235))</f>
        <v>Yes</v>
      </c>
      <c r="AW235" s="0" t="n">
        <v>5000</v>
      </c>
      <c r="AX235" s="5" t="n">
        <f aca="false">IF(ISBLANK(AW235),0,AW235)</f>
        <v>5000</v>
      </c>
      <c r="AY235" s="0" t="s">
        <v>184</v>
      </c>
      <c r="AZ235" s="0" t="str">
        <f aca="false">UPPER(IF(ISBLANK(AY235),"NONE",AY235))</f>
        <v>N/A</v>
      </c>
      <c r="BA235" s="7" t="s">
        <v>700</v>
      </c>
      <c r="BB235" s="7" t="str">
        <f aca="false">IF(ISBLANK(BA235),"No Follow Up Needed",BA235)</f>
        <v>13/09/2025</v>
      </c>
      <c r="BC235" s="0" t="s">
        <v>82</v>
      </c>
      <c r="BD235" s="0" t="str">
        <f aca="false">PROPER(IF(ISBLANK(BC235),"Unknown",BC235))</f>
        <v>Yes</v>
      </c>
      <c r="BF235" s="0" t="str">
        <f aca="false">IF(ISBLANK(BE235),"No comments",BE235)</f>
        <v>No comments</v>
      </c>
      <c r="BG235" s="0" t="s">
        <v>172</v>
      </c>
      <c r="BH235" s="0" t="str">
        <f aca="false">IF(ISBLANK(BG235),"No comments",BG235)</f>
        <v>Always late</v>
      </c>
      <c r="BI235" s="0" t="s">
        <v>63</v>
      </c>
      <c r="BJ235" s="0" t="str">
        <f aca="false">IF(ISBLANK(BI235),"Not Mentioned",BI235)</f>
        <v>Yes</v>
      </c>
      <c r="BL235" s="0" t="str">
        <f aca="false">PROPER(IF(ISBLANK(BK235),"Not Mentioned",BK235))</f>
        <v>Not Mentioned</v>
      </c>
      <c r="BN235" s="0" t="str">
        <f aca="false">PROPER(IF(ISBLANK(BM235),"Not Mentioned",BM235))</f>
        <v>Not Mentioned</v>
      </c>
      <c r="BP235" s="0" t="str">
        <f aca="false">IF(ISBLANK(BO235),"One-Time Plan",BO235)</f>
        <v>One-Time Plan</v>
      </c>
      <c r="BQ235" s="0" t="s">
        <v>50</v>
      </c>
      <c r="BR235" s="0" t="str">
        <f aca="false">PROPER(IF(ISBLANK(BQ235),"No",BQ235))</f>
        <v>No</v>
      </c>
    </row>
    <row r="236" customFormat="false" ht="15" hidden="false" customHeight="false" outlineLevel="0" collapsed="false">
      <c r="A236" s="0" t="s">
        <v>701</v>
      </c>
      <c r="B236" s="2" t="n">
        <v>45700</v>
      </c>
      <c r="C236" s="2" t="str">
        <f aca="false">TEXT(B236,"dd/mm/yyyy")</f>
        <v>12/02/2025</v>
      </c>
      <c r="D236" s="0" t="s">
        <v>42</v>
      </c>
      <c r="E236" s="0" t="n">
        <v>8096618062</v>
      </c>
      <c r="F236" s="0" t="s">
        <v>85</v>
      </c>
      <c r="G236" s="0" t="s">
        <v>2319</v>
      </c>
      <c r="H236" s="0" t="s">
        <v>702</v>
      </c>
      <c r="I236" s="0" t="s">
        <v>45</v>
      </c>
      <c r="J236" s="0" t="s">
        <v>2325</v>
      </c>
      <c r="K236" s="3" t="str">
        <f aca="false" t="array" ref="K236:K236">IFERROR(IF(J236&lt;&gt;"",J236,INDEX(J236:J1235,MATCH(1,(F236:F1235=F236)*(I236:I1235=I236)*(L236:L1235=L236)*(J236:J1235&lt;&gt;""),0))),"Not Found")</f>
        <v>Engine Knocking</v>
      </c>
      <c r="L236" s="3" t="s">
        <v>154</v>
      </c>
      <c r="M236" s="0" t="str">
        <f aca="false">PROPER(L236)</f>
        <v>Air Filter</v>
      </c>
      <c r="O236" s="0" t="e">
        <f aca="false" t="array" ref="O236:O236">IF(N236&lt;&gt;"",N236,_xlfn.xlookup(1,(L236:L1235=L236)*(N236:N1235&lt;&gt;""),N236:N1235,"Not Found"))</f>
        <v>#NAME?</v>
      </c>
      <c r="P236" s="4" t="n">
        <v>60836</v>
      </c>
      <c r="Q236" s="0" t="s">
        <v>110</v>
      </c>
      <c r="R236" s="0" t="str">
        <f aca="false">PROPER(Q236)</f>
        <v>Cash</v>
      </c>
      <c r="S236" s="0" t="s">
        <v>50</v>
      </c>
      <c r="T236" s="0" t="n">
        <v>4</v>
      </c>
      <c r="U236" s="5" t="n">
        <f aca="false">IF(ISBLANK(T236),AVERAGE(T236:T1235),T236)</f>
        <v>4</v>
      </c>
      <c r="V236" s="0" t="n">
        <v>1.4</v>
      </c>
      <c r="W236" s="0" t="s">
        <v>111</v>
      </c>
      <c r="X236" s="0" t="str">
        <f aca="false">IF(ISBLANK(W236),"No remarks",W236)</f>
        <v>Changed all filters</v>
      </c>
      <c r="Y236" s="0" t="s">
        <v>73</v>
      </c>
      <c r="Z236" s="0" t="s">
        <v>136</v>
      </c>
      <c r="AA236" s="0" t="str">
        <f aca="false">PROPER(IF(ISBLANK(Z236),"Location Unavailable",Z236))</f>
        <v>Vip Section</v>
      </c>
      <c r="AB236" s="0" t="s">
        <v>167</v>
      </c>
      <c r="AC236" s="6" t="str">
        <f aca="false">PROPER(AB236)</f>
        <v>Word Of Mouth</v>
      </c>
      <c r="AE236" s="5" t="n">
        <f aca="false">IF(ISBLANK(AD236),AVERAGEIF(L236:L1235,L236,AD236:AD1235),AD236)</f>
        <v>37.8629032258065</v>
      </c>
      <c r="AF236" s="0" t="s">
        <v>76</v>
      </c>
      <c r="AG236" s="0" t="str">
        <f aca="false">PROPER(AF236)</f>
        <v>Orderd</v>
      </c>
      <c r="AH236" s="0" t="s">
        <v>148</v>
      </c>
      <c r="AI236" s="0" t="s">
        <v>98</v>
      </c>
      <c r="AJ236" s="0" t="str">
        <f aca="false">PROPER(AI236)</f>
        <v>Emergency</v>
      </c>
      <c r="AK236" s="0" t="s">
        <v>196</v>
      </c>
      <c r="AL236" s="0" t="str">
        <f aca="false">PROPER(AK236)</f>
        <v>First Time</v>
      </c>
      <c r="AN236" s="0" t="str">
        <f aca="false">IF(ISBLANK(AM236),"Unknown",AM236)</f>
        <v>Unknown</v>
      </c>
      <c r="AO236" s="0" t="s">
        <v>79</v>
      </c>
      <c r="AP236" s="0" t="str">
        <f aca="false">IF(ISBLANK(AO236),"Unknown",AO236)</f>
        <v>Specialist</v>
      </c>
      <c r="AQ236" s="0" t="n">
        <v>30000</v>
      </c>
      <c r="AR236" s="5" t="n">
        <f aca="false">IF(ISBLANK(AQ236),AVERAGEIF(M236:M1235,M236,AQ236:AQ1235),AQ236)</f>
        <v>30000</v>
      </c>
      <c r="AS236" s="0" t="n">
        <v>30000</v>
      </c>
      <c r="AT236" s="5" t="n">
        <f aca="false">IF(ISBLANK(AS236),AVERAGE(AS236:AS1235),AS236)</f>
        <v>30000</v>
      </c>
      <c r="AU236" s="0" t="s">
        <v>82</v>
      </c>
      <c r="AV236" s="0" t="str">
        <f aca="false">PROPER(IF(ISBLANK(AU236),"No",AU236))</f>
        <v>Yes</v>
      </c>
      <c r="AW236" s="0" t="n">
        <v>0</v>
      </c>
      <c r="AX236" s="5" t="n">
        <f aca="false">IF(ISBLANK(AW236),0,AW236)</f>
        <v>0</v>
      </c>
      <c r="AZ236" s="0" t="str">
        <f aca="false">UPPER(IF(ISBLANK(AY236),"NONE",AY236))</f>
        <v>NONE</v>
      </c>
      <c r="BA236" s="7" t="s">
        <v>703</v>
      </c>
      <c r="BB236" s="7" t="str">
        <f aca="false">IF(ISBLANK(BA236),"No Follow Up Needed",BA236)</f>
        <v>18/11/2025</v>
      </c>
      <c r="BC236" s="0" t="s">
        <v>82</v>
      </c>
      <c r="BD236" s="0" t="str">
        <f aca="false">PROPER(IF(ISBLANK(BC236),"Unknown",BC236))</f>
        <v>Yes</v>
      </c>
      <c r="BE236" s="0" t="s">
        <v>116</v>
      </c>
      <c r="BF236" s="0" t="str">
        <f aca="false">IF(ISBLANK(BE236),"No comments",BE236)</f>
        <v>Needs tire alignment</v>
      </c>
      <c r="BG236" s="0" t="s">
        <v>172</v>
      </c>
      <c r="BH236" s="0" t="str">
        <f aca="false">IF(ISBLANK(BG236),"No comments",BG236)</f>
        <v>Always late</v>
      </c>
      <c r="BI236" s="0" t="s">
        <v>50</v>
      </c>
      <c r="BJ236" s="0" t="str">
        <f aca="false">IF(ISBLANK(BI236),"Not Mentioned",BI236)</f>
        <v>No</v>
      </c>
      <c r="BK236" s="0" t="s">
        <v>82</v>
      </c>
      <c r="BL236" s="0" t="str">
        <f aca="false">PROPER(IF(ISBLANK(BK236),"Not Mentioned",BK236))</f>
        <v>Yes</v>
      </c>
      <c r="BM236" s="0" t="s">
        <v>50</v>
      </c>
      <c r="BN236" s="0" t="str">
        <f aca="false">PROPER(IF(ISBLANK(BM236),"Not Mentioned",BM236))</f>
        <v>No</v>
      </c>
      <c r="BO236" s="0" t="s">
        <v>2321</v>
      </c>
      <c r="BP236" s="0" t="str">
        <f aca="false">IF(ISBLANK(BO236),"One-Time Plan",BO236)</f>
        <v>One-Time Plan</v>
      </c>
      <c r="BQ236" s="0" t="s">
        <v>190</v>
      </c>
      <c r="BR236" s="0" t="str">
        <f aca="false">PROPER(IF(ISBLANK(BQ236),"No",BQ236))</f>
        <v>Yes</v>
      </c>
    </row>
    <row r="237" customFormat="false" ht="15" hidden="false" customHeight="false" outlineLevel="0" collapsed="false">
      <c r="A237" s="0" t="s">
        <v>704</v>
      </c>
      <c r="B237" s="2" t="n">
        <v>45718</v>
      </c>
      <c r="C237" s="2" t="str">
        <f aca="false">TEXT(B237,"dd/mm/yyyy")</f>
        <v>02/03/2025</v>
      </c>
      <c r="D237" s="0" t="s">
        <v>105</v>
      </c>
      <c r="E237" s="0" t="n">
        <v>8020185574</v>
      </c>
      <c r="F237" s="0" t="s">
        <v>85</v>
      </c>
      <c r="G237" s="0" t="s">
        <v>2319</v>
      </c>
      <c r="H237" s="0" t="s">
        <v>705</v>
      </c>
      <c r="I237" s="0" t="s">
        <v>69</v>
      </c>
      <c r="J237" s="0" t="s">
        <v>2325</v>
      </c>
      <c r="K237" s="3" t="str">
        <f aca="false" t="array" ref="K237:K237">IFERROR(IF(J237&lt;&gt;"",J237,INDEX(J237:J1236,MATCH(1,(F237:F1236=F237)*(I237:I1236=I237)*(L237:L1236=L237)*(J237:J1236&lt;&gt;""),0))),"Not Found")</f>
        <v>Engine Knocking</v>
      </c>
      <c r="L237" s="3" t="s">
        <v>189</v>
      </c>
      <c r="M237" s="0" t="str">
        <f aca="false">PROPER(L237)</f>
        <v>Battery</v>
      </c>
      <c r="O237" s="0" t="e">
        <f aca="false" t="array" ref="O237:O237">IF(N237&lt;&gt;"",N237,_xlfn.xlookup(1,(L237:L1236=L237)*(N237:N1236&lt;&gt;""),N237:N1236,"Not Found"))</f>
        <v>#NAME?</v>
      </c>
      <c r="P237" s="4" t="n">
        <v>94594</v>
      </c>
      <c r="Q237" s="0" t="s">
        <v>91</v>
      </c>
      <c r="R237" s="0" t="str">
        <f aca="false">PROPER(Q237)</f>
        <v>Pos</v>
      </c>
      <c r="S237" s="0" t="s">
        <v>63</v>
      </c>
      <c r="T237" s="0" t="n">
        <v>4</v>
      </c>
      <c r="U237" s="5" t="n">
        <f aca="false">IF(ISBLANK(T237),AVERAGE(T237:T1236),T237)</f>
        <v>4</v>
      </c>
      <c r="V237" s="0" t="n">
        <v>4.9</v>
      </c>
      <c r="X237" s="0" t="str">
        <f aca="false">IF(ISBLANK(W237),"No remarks",W237)</f>
        <v>No remarks</v>
      </c>
      <c r="Y237" s="0" t="s">
        <v>52</v>
      </c>
      <c r="AA237" s="0" t="str">
        <f aca="false">PROPER(IF(ISBLANK(Z237),"Location Unavailable",Z237))</f>
        <v>Location Unavailable</v>
      </c>
      <c r="AB237" s="0" t="s">
        <v>75</v>
      </c>
      <c r="AC237" s="6" t="str">
        <f aca="false">PROPER(AB237)</f>
        <v>Mechanik Referal</v>
      </c>
      <c r="AD237" s="6" t="n">
        <v>45</v>
      </c>
      <c r="AE237" s="5" t="n">
        <f aca="false">IF(ISBLANK(AD237),AVERAGEIF(L237:L1236,L237,AD237:AD1236),AD237)</f>
        <v>45</v>
      </c>
      <c r="AF237" s="0" t="s">
        <v>160</v>
      </c>
      <c r="AG237" s="0" t="str">
        <f aca="false">PROPER(AF237)</f>
        <v>Availaible</v>
      </c>
      <c r="AH237" s="0" t="s">
        <v>77</v>
      </c>
      <c r="AI237" s="0" t="s">
        <v>113</v>
      </c>
      <c r="AJ237" s="0" t="str">
        <f aca="false">PROPER(AI237)</f>
        <v>Normal</v>
      </c>
      <c r="AK237" s="0" t="s">
        <v>196</v>
      </c>
      <c r="AL237" s="0" t="str">
        <f aca="false">PROPER(AK237)</f>
        <v>First Time</v>
      </c>
      <c r="AN237" s="0" t="str">
        <f aca="false">IF(ISBLANK(AM237),"Unknown",AM237)</f>
        <v>Unknown</v>
      </c>
      <c r="AO237" s="0" t="s">
        <v>149</v>
      </c>
      <c r="AP237" s="0" t="str">
        <f aca="false">IF(ISBLANK(AO237),"Unknown",AO237)</f>
        <v>Senior </v>
      </c>
      <c r="AQ237" s="0" t="n">
        <v>30000</v>
      </c>
      <c r="AR237" s="5" t="n">
        <f aca="false">IF(ISBLANK(AQ237),AVERAGEIF(M237:M1236,M237,AQ237:AQ1236),AQ237)</f>
        <v>30000</v>
      </c>
      <c r="AS237" s="0" t="n">
        <v>35000</v>
      </c>
      <c r="AT237" s="5" t="n">
        <f aca="false">IF(ISBLANK(AS237),AVERAGE(AS237:AS1236),AS237)</f>
        <v>35000</v>
      </c>
      <c r="AU237" s="0" t="s">
        <v>61</v>
      </c>
      <c r="AV237" s="0" t="str">
        <f aca="false">PROPER(IF(ISBLANK(AU237),"No",AU237))</f>
        <v>No</v>
      </c>
      <c r="AW237" s="0" t="n">
        <v>5000</v>
      </c>
      <c r="AX237" s="5" t="n">
        <f aca="false">IF(ISBLANK(AW237),0,AW237)</f>
        <v>5000</v>
      </c>
      <c r="AY237" s="0" t="s">
        <v>184</v>
      </c>
      <c r="AZ237" s="0" t="str">
        <f aca="false">UPPER(IF(ISBLANK(AY237),"NONE",AY237))</f>
        <v>N/A</v>
      </c>
      <c r="BB237" s="7" t="str">
        <f aca="false">IF(ISBLANK(BA237),"No Follow Up Needed",BA237)</f>
        <v>No Follow Up Needed</v>
      </c>
      <c r="BC237" s="0" t="s">
        <v>50</v>
      </c>
      <c r="BD237" s="0" t="str">
        <f aca="false">PROPER(IF(ISBLANK(BC237),"Unknown",BC237))</f>
        <v>No</v>
      </c>
      <c r="BF237" s="0" t="str">
        <f aca="false">IF(ISBLANK(BE237),"No comments",BE237)</f>
        <v>No comments</v>
      </c>
      <c r="BH237" s="0" t="str">
        <f aca="false">IF(ISBLANK(BG237),"No comments",BG237)</f>
        <v>No comments</v>
      </c>
      <c r="BJ237" s="0" t="str">
        <f aca="false">IF(ISBLANK(BI237),"Not Mentioned",BI237)</f>
        <v>Not Mentioned</v>
      </c>
      <c r="BL237" s="0" t="str">
        <f aca="false">PROPER(IF(ISBLANK(BK237),"Not Mentioned",BK237))</f>
        <v>Not Mentioned</v>
      </c>
      <c r="BM237" s="0" t="s">
        <v>63</v>
      </c>
      <c r="BN237" s="0" t="str">
        <f aca="false">PROPER(IF(ISBLANK(BM237),"Not Mentioned",BM237))</f>
        <v>Yes</v>
      </c>
      <c r="BO237" s="0" t="s">
        <v>2318</v>
      </c>
      <c r="BP237" s="0" t="str">
        <f aca="false">IF(ISBLANK(BO237),"One-Time Plan",BO237)</f>
        <v>Gold</v>
      </c>
      <c r="BR237" s="0" t="str">
        <f aca="false">PROPER(IF(ISBLANK(BQ237),"No",BQ237))</f>
        <v>No</v>
      </c>
    </row>
    <row r="238" customFormat="false" ht="15" hidden="false" customHeight="false" outlineLevel="0" collapsed="false">
      <c r="A238" s="0" t="s">
        <v>706</v>
      </c>
      <c r="B238" s="2" t="n">
        <v>45700</v>
      </c>
      <c r="C238" s="2" t="str">
        <f aca="false">TEXT(B238,"dd/mm/yyyy")</f>
        <v>12/02/2025</v>
      </c>
      <c r="D238" s="0" t="s">
        <v>42</v>
      </c>
      <c r="E238" s="0" t="n">
        <v>8058196637</v>
      </c>
      <c r="F238" s="0" t="s">
        <v>85</v>
      </c>
      <c r="G238" s="0" t="s">
        <v>2319</v>
      </c>
      <c r="H238" s="0" t="s">
        <v>707</v>
      </c>
      <c r="I238" s="0" t="s">
        <v>107</v>
      </c>
      <c r="J238" s="0" t="s">
        <v>2325</v>
      </c>
      <c r="K238" s="3" t="str">
        <f aca="false" t="array" ref="K238:K238">IFERROR(IF(J238&lt;&gt;"",J238,INDEX(J238:J1237,MATCH(1,(F238:F1237=F238)*(I238:I1237=I238)*(L238:L1237=L238)*(J238:J1237&lt;&gt;""),0))),"Not Found")</f>
        <v>Engine Knocking</v>
      </c>
      <c r="L238" s="3" t="s">
        <v>142</v>
      </c>
      <c r="M238" s="0" t="str">
        <f aca="false">PROPER(L238)</f>
        <v>Oil Filter, Brake Pads</v>
      </c>
      <c r="O238" s="0" t="e">
        <f aca="false" t="array" ref="O238:O238">IF(N238&lt;&gt;"",N238,_xlfn.xlookup(1,(L238:L1237=L238)*(N238:N1237&lt;&gt;""),N238:N1237,"Not Found"))</f>
        <v>#NAME?</v>
      </c>
      <c r="P238" s="4" t="n">
        <v>20749</v>
      </c>
      <c r="Q238" s="0" t="s">
        <v>124</v>
      </c>
      <c r="R238" s="0" t="str">
        <f aca="false">PROPER(Q238)</f>
        <v>Cash</v>
      </c>
      <c r="S238" s="0" t="s">
        <v>50</v>
      </c>
      <c r="T238" s="0" t="n">
        <v>3</v>
      </c>
      <c r="U238" s="5" t="n">
        <f aca="false">IF(ISBLANK(T238),AVERAGE(T238:T1237),T238)</f>
        <v>3</v>
      </c>
      <c r="V238" s="0" t="n">
        <v>4.4</v>
      </c>
      <c r="W238" s="0" t="s">
        <v>125</v>
      </c>
      <c r="X238" s="0" t="str">
        <f aca="false">IF(ISBLANK(W238),"No remarks",W238)</f>
        <v>Customer waited</v>
      </c>
      <c r="Y238" s="0" t="s">
        <v>93</v>
      </c>
      <c r="AA238" s="0" t="str">
        <f aca="false">PROPER(IF(ISBLANK(Z238),"Location Unavailable",Z238))</f>
        <v>Location Unavailable</v>
      </c>
      <c r="AB238" s="0" t="s">
        <v>75</v>
      </c>
      <c r="AC238" s="6" t="str">
        <f aca="false">PROPER(AB238)</f>
        <v>Mechanik Referal</v>
      </c>
      <c r="AD238" s="6" t="n">
        <v>45</v>
      </c>
      <c r="AE238" s="5" t="n">
        <f aca="false">IF(ISBLANK(AD238),AVERAGEIF(L238:L1237,L238,AD238:AD1237),AD238)</f>
        <v>45</v>
      </c>
      <c r="AF238" s="0" t="s">
        <v>112</v>
      </c>
      <c r="AG238" s="0" t="str">
        <f aca="false">PROPER(AF238)</f>
        <v>Unavailable</v>
      </c>
      <c r="AH238" s="0" t="s">
        <v>77</v>
      </c>
      <c r="AI238" s="0" t="s">
        <v>78</v>
      </c>
      <c r="AJ238" s="0" t="str">
        <f aca="false">PROPER(AI238)</f>
        <v>Booking</v>
      </c>
      <c r="AK238" s="0" t="s">
        <v>196</v>
      </c>
      <c r="AL238" s="0" t="str">
        <f aca="false">PROPER(AK238)</f>
        <v>First Time</v>
      </c>
      <c r="AM238" s="0" t="s">
        <v>2326</v>
      </c>
      <c r="AN238" s="0" t="str">
        <f aca="false">IF(ISBLANK(AM238),"Unknown",AM238)</f>
        <v>Government Convoy</v>
      </c>
      <c r="AP238" s="0" t="str">
        <f aca="false">IF(ISBLANK(AO238),"Unknown",AO238)</f>
        <v>Unknown</v>
      </c>
      <c r="AQ238" s="0" t="n">
        <v>25000</v>
      </c>
      <c r="AR238" s="5" t="n">
        <f aca="false">IF(ISBLANK(AQ238),AVERAGEIF(M238:M1237,M238,AQ238:AQ1237),AQ238)</f>
        <v>25000</v>
      </c>
      <c r="AS238" s="0" t="n">
        <v>30000</v>
      </c>
      <c r="AT238" s="5" t="n">
        <f aca="false">IF(ISBLANK(AS238),AVERAGE(AS238:AS1237),AS238)</f>
        <v>30000</v>
      </c>
      <c r="AV238" s="0" t="str">
        <f aca="false">PROPER(IF(ISBLANK(AU238),"No",AU238))</f>
        <v>No</v>
      </c>
      <c r="AX238" s="5" t="n">
        <f aca="false">IF(ISBLANK(AW238),0,AW238)</f>
        <v>0</v>
      </c>
      <c r="AZ238" s="0" t="str">
        <f aca="false">UPPER(IF(ISBLANK(AY238),"NONE",AY238))</f>
        <v>NONE</v>
      </c>
      <c r="BB238" s="7" t="str">
        <f aca="false">IF(ISBLANK(BA238),"No Follow Up Needed",BA238)</f>
        <v>No Follow Up Needed</v>
      </c>
      <c r="BC238" s="0" t="s">
        <v>61</v>
      </c>
      <c r="BD238" s="0" t="str">
        <f aca="false">PROPER(IF(ISBLANK(BC238),"Unknown",BC238))</f>
        <v>No</v>
      </c>
      <c r="BF238" s="0" t="str">
        <f aca="false">IF(ISBLANK(BE238),"No comments",BE238)</f>
        <v>No comments</v>
      </c>
      <c r="BH238" s="0" t="str">
        <f aca="false">IF(ISBLANK(BG238),"No comments",BG238)</f>
        <v>No comments</v>
      </c>
      <c r="BI238" s="0" t="s">
        <v>63</v>
      </c>
      <c r="BJ238" s="0" t="str">
        <f aca="false">IF(ISBLANK(BI238),"Not Mentioned",BI238)</f>
        <v>Yes</v>
      </c>
      <c r="BK238" s="0" t="s">
        <v>63</v>
      </c>
      <c r="BL238" s="0" t="str">
        <f aca="false">PROPER(IF(ISBLANK(BK238),"Not Mentioned",BK238))</f>
        <v>Yes</v>
      </c>
      <c r="BM238" s="0" t="s">
        <v>63</v>
      </c>
      <c r="BN238" s="0" t="str">
        <f aca="false">PROPER(IF(ISBLANK(BM238),"Not Mentioned",BM238))</f>
        <v>Yes</v>
      </c>
      <c r="BO238" s="0" t="s">
        <v>2321</v>
      </c>
      <c r="BP238" s="0" t="str">
        <f aca="false">IF(ISBLANK(BO238),"One-Time Plan",BO238)</f>
        <v>One-Time Plan</v>
      </c>
      <c r="BQ238" s="0" t="s">
        <v>63</v>
      </c>
      <c r="BR238" s="0" t="str">
        <f aca="false">PROPER(IF(ISBLANK(BQ238),"No",BQ238))</f>
        <v>Yes</v>
      </c>
    </row>
    <row r="239" customFormat="false" ht="15" hidden="false" customHeight="false" outlineLevel="0" collapsed="false">
      <c r="A239" s="0" t="s">
        <v>708</v>
      </c>
      <c r="B239" s="2" t="n">
        <v>45674</v>
      </c>
      <c r="C239" s="2" t="str">
        <f aca="false">TEXT(B239,"dd/mm/yyyy")</f>
        <v>17/01/2025</v>
      </c>
      <c r="D239" s="0" t="s">
        <v>105</v>
      </c>
      <c r="E239" s="0" t="n">
        <v>8021062025</v>
      </c>
      <c r="F239" s="0" t="s">
        <v>67</v>
      </c>
      <c r="G239" s="0" t="s">
        <v>2316</v>
      </c>
      <c r="H239" s="0" t="s">
        <v>709</v>
      </c>
      <c r="I239" s="0" t="s">
        <v>107</v>
      </c>
      <c r="K239" s="3" t="str">
        <f aca="false" t="array" ref="K239:K239">IFERROR(IF(J239&lt;&gt;"",J239,INDEX(J239:J1238,MATCH(1,(F239:F1238=F239)*(I239:I1238=I239)*(L239:L1238=L239)*(J239:J1238&lt;&gt;""),0))),"Not Found")</f>
        <v>Engine Knocking</v>
      </c>
      <c r="L239" s="3" t="s">
        <v>108</v>
      </c>
      <c r="M239" s="0" t="str">
        <f aca="false">PROPER(L239)</f>
        <v>Timing Belt</v>
      </c>
      <c r="N239" s="3" t="s">
        <v>90</v>
      </c>
      <c r="O239" s="0" t="str">
        <f aca="false" t="array" ref="O239:O239">IF(N239&lt;&gt;"",N239,_xlfn.xlookup(1,(L239:L1238=L239)*(N239:N1238&lt;&gt;""),N239:N1238,"Not Found"))</f>
        <v>Musa</v>
      </c>
      <c r="P239" s="4" t="n">
        <v>116780</v>
      </c>
      <c r="Q239" s="0" t="s">
        <v>124</v>
      </c>
      <c r="R239" s="0" t="str">
        <f aca="false">PROPER(Q239)</f>
        <v>Cash</v>
      </c>
      <c r="S239" s="0" t="s">
        <v>63</v>
      </c>
      <c r="T239" s="0" t="n">
        <v>1</v>
      </c>
      <c r="U239" s="5" t="n">
        <f aca="false">IF(ISBLANK(T239),AVERAGE(T239:T1238),T239)</f>
        <v>1</v>
      </c>
      <c r="V239" s="0" t="n">
        <v>2.2</v>
      </c>
      <c r="W239" s="0" t="s">
        <v>92</v>
      </c>
      <c r="X239" s="0" t="str">
        <f aca="false">IF(ISBLANK(W239),"No remarks",W239)</f>
        <v>Urgent service</v>
      </c>
      <c r="Y239" s="0" t="s">
        <v>52</v>
      </c>
      <c r="AA239" s="0" t="str">
        <f aca="false">PROPER(IF(ISBLANK(Z239),"Location Unavailable",Z239))</f>
        <v>Location Unavailable</v>
      </c>
      <c r="AB239" s="0" t="s">
        <v>147</v>
      </c>
      <c r="AC239" s="6" t="str">
        <f aca="false">PROPER(AB239)</f>
        <v>Instagram</v>
      </c>
      <c r="AD239" s="6" t="n">
        <v>45</v>
      </c>
      <c r="AE239" s="5" t="n">
        <f aca="false">IF(ISBLANK(AD239),AVERAGEIF(L239:L1238,L239,AD239:AD1238),AD239)</f>
        <v>45</v>
      </c>
      <c r="AF239" s="0" t="s">
        <v>160</v>
      </c>
      <c r="AG239" s="0" t="str">
        <f aca="false">PROPER(AF239)</f>
        <v>Availaible</v>
      </c>
      <c r="AH239" s="0" t="s">
        <v>155</v>
      </c>
      <c r="AI239" s="0" t="s">
        <v>98</v>
      </c>
      <c r="AJ239" s="0" t="str">
        <f aca="false">PROPER(AI239)</f>
        <v>Emergency</v>
      </c>
      <c r="AK239" s="0" t="s">
        <v>58</v>
      </c>
      <c r="AL239" s="0" t="str">
        <f aca="false">PROPER(AK239)</f>
        <v>Fleet Owner</v>
      </c>
      <c r="AM239" s="0" t="s">
        <v>177</v>
      </c>
      <c r="AN239" s="0" t="str">
        <f aca="false">IF(ISBLANK(AM239),"Unknown",AM239)</f>
        <v>Private</v>
      </c>
      <c r="AO239" s="0" t="s">
        <v>79</v>
      </c>
      <c r="AP239" s="0" t="str">
        <f aca="false">IF(ISBLANK(AO239),"Unknown",AO239)</f>
        <v>Specialist</v>
      </c>
      <c r="AQ239" s="0" t="n">
        <v>40000</v>
      </c>
      <c r="AR239" s="5" t="n">
        <f aca="false">IF(ISBLANK(AQ239),AVERAGEIF(M239:M1238,M239,AQ239:AQ1238),AQ239)</f>
        <v>40000</v>
      </c>
      <c r="AS239" s="0" t="n">
        <v>30000</v>
      </c>
      <c r="AT239" s="5" t="n">
        <f aca="false">IF(ISBLANK(AS239),AVERAGE(AS239:AS1238),AS239)</f>
        <v>30000</v>
      </c>
      <c r="AU239" s="0" t="s">
        <v>82</v>
      </c>
      <c r="AV239" s="0" t="str">
        <f aca="false">PROPER(IF(ISBLANK(AU239),"No",AU239))</f>
        <v>Yes</v>
      </c>
      <c r="AW239" s="0" t="n">
        <v>5000</v>
      </c>
      <c r="AX239" s="5" t="n">
        <f aca="false">IF(ISBLANK(AW239),0,AW239)</f>
        <v>5000</v>
      </c>
      <c r="AY239" s="0" t="s">
        <v>80</v>
      </c>
      <c r="AZ239" s="0" t="str">
        <f aca="false">UPPER(IF(ISBLANK(AY239),"NONE",AY239))</f>
        <v>PROMO10</v>
      </c>
      <c r="BA239" s="7" t="n">
        <v>45919</v>
      </c>
      <c r="BB239" s="7" t="n">
        <f aca="false">IF(ISBLANK(BA239),"No Follow Up Needed",BA239)</f>
        <v>45919</v>
      </c>
      <c r="BC239" s="0" t="s">
        <v>82</v>
      </c>
      <c r="BD239" s="0" t="str">
        <f aca="false">PROPER(IF(ISBLANK(BC239),"Unknown",BC239))</f>
        <v>Yes</v>
      </c>
      <c r="BF239" s="0" t="str">
        <f aca="false">IF(ISBLANK(BE239),"No comments",BE239)</f>
        <v>No comments</v>
      </c>
      <c r="BG239" s="0" t="s">
        <v>117</v>
      </c>
      <c r="BH239" s="0" t="str">
        <f aca="false">IF(ISBLANK(BG239),"No comments",BG239)</f>
        <v>Prefers morning</v>
      </c>
      <c r="BI239" s="0" t="s">
        <v>63</v>
      </c>
      <c r="BJ239" s="0" t="str">
        <f aca="false">IF(ISBLANK(BI239),"Not Mentioned",BI239)</f>
        <v>Yes</v>
      </c>
      <c r="BL239" s="0" t="str">
        <f aca="false">PROPER(IF(ISBLANK(BK239),"Not Mentioned",BK239))</f>
        <v>Not Mentioned</v>
      </c>
      <c r="BM239" s="0" t="s">
        <v>50</v>
      </c>
      <c r="BN239" s="0" t="str">
        <f aca="false">PROPER(IF(ISBLANK(BM239),"Not Mentioned",BM239))</f>
        <v>No</v>
      </c>
      <c r="BP239" s="0" t="str">
        <f aca="false">IF(ISBLANK(BO239),"One-Time Plan",BO239)</f>
        <v>One-Time Plan</v>
      </c>
      <c r="BQ239" s="0" t="s">
        <v>190</v>
      </c>
      <c r="BR239" s="0" t="str">
        <f aca="false">PROPER(IF(ISBLANK(BQ239),"No",BQ239))</f>
        <v>Yes</v>
      </c>
    </row>
    <row r="240" customFormat="false" ht="15" hidden="false" customHeight="false" outlineLevel="0" collapsed="false">
      <c r="A240" s="0" t="s">
        <v>710</v>
      </c>
      <c r="B240" s="2" t="n">
        <v>45664</v>
      </c>
      <c r="C240" s="2" t="str">
        <f aca="false">TEXT(B240,"dd/mm/yyyy")</f>
        <v>07/01/2025</v>
      </c>
      <c r="D240" s="0" t="s">
        <v>121</v>
      </c>
      <c r="E240" s="0" t="n">
        <v>8049529512</v>
      </c>
      <c r="F240" s="0" t="s">
        <v>122</v>
      </c>
      <c r="G240" s="0" t="s">
        <v>2316</v>
      </c>
      <c r="H240" s="0" t="s">
        <v>711</v>
      </c>
      <c r="I240" s="0" t="s">
        <v>45</v>
      </c>
      <c r="J240" s="0" t="s">
        <v>2322</v>
      </c>
      <c r="K240" s="3" t="str">
        <f aca="false" t="array" ref="K240:K240">IFERROR(IF(J240&lt;&gt;"",J240,INDEX(J240:J1239,MATCH(1,(F240:F1239=F240)*(I240:I1239=I240)*(L240:L1239=L240)*(J240:J1239&lt;&gt;""),0))),"Not Found")</f>
        <v>Brake Failure</v>
      </c>
      <c r="L240" s="3" t="s">
        <v>89</v>
      </c>
      <c r="M240" s="0" t="str">
        <f aca="false">PROPER(L240)</f>
        <v>Shock Absorbers</v>
      </c>
      <c r="N240" s="3" t="s">
        <v>71</v>
      </c>
      <c r="O240" s="0" t="str">
        <f aca="false" t="array" ref="O240:O240">IF(N240&lt;&gt;"",N240,_xlfn.xlookup(1,(L240:L1239=L240)*(N240:N1239&lt;&gt;""),N240:N1239,"Not Found"))</f>
        <v>Isaac Bobo</v>
      </c>
      <c r="P240" s="4" t="n">
        <v>85060</v>
      </c>
      <c r="Q240" s="0" t="s">
        <v>166</v>
      </c>
      <c r="R240" s="0" t="str">
        <f aca="false">PROPER(Q240)</f>
        <v>Transfer</v>
      </c>
      <c r="S240" s="0" t="s">
        <v>50</v>
      </c>
      <c r="T240" s="0" t="n">
        <v>4</v>
      </c>
      <c r="U240" s="5" t="n">
        <f aca="false">IF(ISBLANK(T240),AVERAGE(T240:T1239),T240)</f>
        <v>4</v>
      </c>
      <c r="V240" s="0" t="n">
        <v>4.2</v>
      </c>
      <c r="X240" s="0" t="str">
        <f aca="false">IF(ISBLANK(W240),"No remarks",W240)</f>
        <v>No remarks</v>
      </c>
      <c r="Y240" s="0" t="s">
        <v>73</v>
      </c>
      <c r="Z240" s="0" t="s">
        <v>74</v>
      </c>
      <c r="AA240" s="0" t="str">
        <f aca="false">PROPER(IF(ISBLANK(Z240),"Location Unavailable",Z240))</f>
        <v>Under Tree</v>
      </c>
      <c r="AB240" s="0" t="s">
        <v>167</v>
      </c>
      <c r="AC240" s="6" t="str">
        <f aca="false">PROPER(AB240)</f>
        <v>Word Of Mouth</v>
      </c>
      <c r="AD240" s="6" t="n">
        <v>30</v>
      </c>
      <c r="AE240" s="5" t="n">
        <f aca="false">IF(ISBLANK(AD240),AVERAGEIF(L240:L1239,L240,AD240:AD1239),AD240)</f>
        <v>30</v>
      </c>
      <c r="AF240" s="0" t="s">
        <v>112</v>
      </c>
      <c r="AG240" s="0" t="str">
        <f aca="false">PROPER(AF240)</f>
        <v>Unavailable</v>
      </c>
      <c r="AH240" s="0" t="s">
        <v>56</v>
      </c>
      <c r="AI240" s="0" t="s">
        <v>113</v>
      </c>
      <c r="AJ240" s="0" t="str">
        <f aca="false">PROPER(AI240)</f>
        <v>Normal</v>
      </c>
      <c r="AK240" s="0" t="s">
        <v>196</v>
      </c>
      <c r="AL240" s="0" t="str">
        <f aca="false">PROPER(AK240)</f>
        <v>First Time</v>
      </c>
      <c r="AM240" s="0" t="s">
        <v>59</v>
      </c>
      <c r="AN240" s="0" t="str">
        <f aca="false">IF(ISBLANK(AM240),"Unknown",AM240)</f>
        <v>Bolt Driver</v>
      </c>
      <c r="AO240" s="0" t="s">
        <v>161</v>
      </c>
      <c r="AP240" s="0" t="str">
        <f aca="false">IF(ISBLANK(AO240),"Unknown",AO240)</f>
        <v>Apprentice</v>
      </c>
      <c r="AQ240" s="0" t="n">
        <v>25000</v>
      </c>
      <c r="AR240" s="5" t="n">
        <f aca="false">IF(ISBLANK(AQ240),AVERAGEIF(M240:M1239,M240,AQ240:AQ1239),AQ240)</f>
        <v>25000</v>
      </c>
      <c r="AS240" s="0" t="n">
        <v>40000</v>
      </c>
      <c r="AT240" s="5" t="n">
        <f aca="false">IF(ISBLANK(AS240),AVERAGE(AS240:AS1239),AS240)</f>
        <v>40000</v>
      </c>
      <c r="AU240" s="0" t="s">
        <v>82</v>
      </c>
      <c r="AV240" s="0" t="str">
        <f aca="false">PROPER(IF(ISBLANK(AU240),"No",AU240))</f>
        <v>Yes</v>
      </c>
      <c r="AW240" s="0" t="n">
        <v>5000</v>
      </c>
      <c r="AX240" s="5" t="n">
        <f aca="false">IF(ISBLANK(AW240),0,AW240)</f>
        <v>5000</v>
      </c>
      <c r="AY240" s="0" t="s">
        <v>80</v>
      </c>
      <c r="AZ240" s="0" t="str">
        <f aca="false">UPPER(IF(ISBLANK(AY240),"NONE",AY240))</f>
        <v>PROMO10</v>
      </c>
      <c r="BA240" s="7" t="s">
        <v>712</v>
      </c>
      <c r="BB240" s="7" t="str">
        <f aca="false">IF(ISBLANK(BA240),"No Follow Up Needed",BA240)</f>
        <v>30/10/2025</v>
      </c>
      <c r="BC240" s="0" t="s">
        <v>50</v>
      </c>
      <c r="BD240" s="0" t="str">
        <f aca="false">PROPER(IF(ISBLANK(BC240),"Unknown",BC240))</f>
        <v>No</v>
      </c>
      <c r="BE240" s="0" t="s">
        <v>171</v>
      </c>
      <c r="BF240" s="0" t="str">
        <f aca="false">IF(ISBLANK(BE240),"No comments",BE240)</f>
        <v>Shock absorber weakening</v>
      </c>
      <c r="BH240" s="0" t="str">
        <f aca="false">IF(ISBLANK(BG240),"No comments",BG240)</f>
        <v>No comments</v>
      </c>
      <c r="BJ240" s="0" t="str">
        <f aca="false">IF(ISBLANK(BI240),"Not Mentioned",BI240)</f>
        <v>Not Mentioned</v>
      </c>
      <c r="BL240" s="0" t="str">
        <f aca="false">PROPER(IF(ISBLANK(BK240),"Not Mentioned",BK240))</f>
        <v>Not Mentioned</v>
      </c>
      <c r="BM240" s="0" t="s">
        <v>63</v>
      </c>
      <c r="BN240" s="0" t="str">
        <f aca="false">PROPER(IF(ISBLANK(BM240),"Not Mentioned",BM240))</f>
        <v>Yes</v>
      </c>
      <c r="BO240" s="0" t="s">
        <v>2321</v>
      </c>
      <c r="BP240" s="0" t="str">
        <f aca="false">IF(ISBLANK(BO240),"One-Time Plan",BO240)</f>
        <v>One-Time Plan</v>
      </c>
      <c r="BR240" s="0" t="str">
        <f aca="false">PROPER(IF(ISBLANK(BQ240),"No",BQ240))</f>
        <v>No</v>
      </c>
    </row>
    <row r="241" customFormat="false" ht="15" hidden="false" customHeight="false" outlineLevel="0" collapsed="false">
      <c r="A241" s="0" t="s">
        <v>713</v>
      </c>
      <c r="B241" s="2" t="n">
        <v>45684</v>
      </c>
      <c r="C241" s="2" t="str">
        <f aca="false">TEXT(B241,"dd/mm/yyyy")</f>
        <v>27/01/2025</v>
      </c>
      <c r="D241" s="0" t="s">
        <v>105</v>
      </c>
      <c r="E241" s="0" t="n">
        <v>8077345747</v>
      </c>
      <c r="F241" s="0" t="s">
        <v>122</v>
      </c>
      <c r="G241" s="0" t="s">
        <v>2316</v>
      </c>
      <c r="H241" s="0" t="s">
        <v>714</v>
      </c>
      <c r="I241" s="0" t="s">
        <v>45</v>
      </c>
      <c r="J241" s="0" t="s">
        <v>2325</v>
      </c>
      <c r="K241" s="3" t="str">
        <f aca="false" t="array" ref="K241:K241">IFERROR(IF(J241&lt;&gt;"",J241,INDEX(J241:J1240,MATCH(1,(F241:F1240=F241)*(I241:I1240=I241)*(L241:L1240=L241)*(J241:J1240&lt;&gt;""),0))),"Not Found")</f>
        <v>Engine Knocking</v>
      </c>
      <c r="L241" s="3" t="s">
        <v>47</v>
      </c>
      <c r="M241" s="0" t="str">
        <f aca="false">PROPER(L241)</f>
        <v>None</v>
      </c>
      <c r="O241" s="0" t="e">
        <f aca="false" t="array" ref="O241:O241">IF(N241&lt;&gt;"",N241,_xlfn.xlookup(1,(L241:L1240=L241)*(N241:N1240&lt;&gt;""),N241:N1240,"Not Found"))</f>
        <v>#NAME?</v>
      </c>
      <c r="P241" s="4" t="n">
        <v>114103</v>
      </c>
      <c r="Q241" s="0" t="s">
        <v>91</v>
      </c>
      <c r="R241" s="0" t="str">
        <f aca="false">PROPER(Q241)</f>
        <v>Pos</v>
      </c>
      <c r="S241" s="0" t="s">
        <v>63</v>
      </c>
      <c r="T241" s="0" t="n">
        <v>3</v>
      </c>
      <c r="U241" s="5" t="n">
        <f aca="false">IF(ISBLANK(T241),AVERAGE(T241:T1240),T241)</f>
        <v>3</v>
      </c>
      <c r="V241" s="0" t="n">
        <v>5.6</v>
      </c>
      <c r="W241" s="0" t="s">
        <v>125</v>
      </c>
      <c r="X241" s="0" t="str">
        <f aca="false">IF(ISBLANK(W241),"No remarks",W241)</f>
        <v>Customer waited</v>
      </c>
      <c r="Y241" s="0" t="s">
        <v>73</v>
      </c>
      <c r="AA241" s="0" t="str">
        <f aca="false">PROPER(IF(ISBLANK(Z241),"Location Unavailable",Z241))</f>
        <v>Location Unavailable</v>
      </c>
      <c r="AB241" s="0" t="s">
        <v>75</v>
      </c>
      <c r="AC241" s="6" t="str">
        <f aca="false">PROPER(AB241)</f>
        <v>Mechanik Referal</v>
      </c>
      <c r="AD241" s="6" t="n">
        <v>45</v>
      </c>
      <c r="AE241" s="5" t="n">
        <f aca="false">IF(ISBLANK(AD241),AVERAGEIF(L241:L1240,L241,AD241:AD1240),AD241)</f>
        <v>45</v>
      </c>
      <c r="AF241" s="0" t="s">
        <v>76</v>
      </c>
      <c r="AG241" s="0" t="str">
        <f aca="false">PROPER(AF241)</f>
        <v>Orderd</v>
      </c>
      <c r="AH241" s="0" t="s">
        <v>56</v>
      </c>
      <c r="AI241" s="0" t="s">
        <v>98</v>
      </c>
      <c r="AJ241" s="0" t="str">
        <f aca="false">PROPER(AI241)</f>
        <v>Emergency</v>
      </c>
      <c r="AK241" s="0" t="s">
        <v>114</v>
      </c>
      <c r="AL241" s="0" t="str">
        <f aca="false">PROPER(AK241)</f>
        <v>Returning</v>
      </c>
      <c r="AM241" s="0" t="s">
        <v>2324</v>
      </c>
      <c r="AN241" s="0" t="str">
        <f aca="false">IF(ISBLANK(AM241),"Unknown",AM241)</f>
        <v>Logistics Convoy</v>
      </c>
      <c r="AO241" s="0" t="s">
        <v>79</v>
      </c>
      <c r="AP241" s="0" t="str">
        <f aca="false">IF(ISBLANK(AO241),"Unknown",AO241)</f>
        <v>Specialist</v>
      </c>
      <c r="AQ241" s="0" t="n">
        <v>40000</v>
      </c>
      <c r="AR241" s="5" t="n">
        <f aca="false">IF(ISBLANK(AQ241),AVERAGEIF(M241:M1240,M241,AQ241:AQ1240),AQ241)</f>
        <v>40000</v>
      </c>
      <c r="AT241" s="5" t="n">
        <f aca="false">IF(ISBLANK(AS241),AVERAGE(AS241:AS1240),AS241)</f>
        <v>31404.7619047619</v>
      </c>
      <c r="AU241" s="0" t="s">
        <v>61</v>
      </c>
      <c r="AV241" s="0" t="str">
        <f aca="false">PROPER(IF(ISBLANK(AU241),"No",AU241))</f>
        <v>No</v>
      </c>
      <c r="AW241" s="0" t="n">
        <v>5000</v>
      </c>
      <c r="AX241" s="5" t="n">
        <f aca="false">IF(ISBLANK(AW241),0,AW241)</f>
        <v>5000</v>
      </c>
      <c r="AZ241" s="0" t="str">
        <f aca="false">UPPER(IF(ISBLANK(AY241),"NONE",AY241))</f>
        <v>NONE</v>
      </c>
      <c r="BA241" s="7" t="s">
        <v>715</v>
      </c>
      <c r="BB241" s="7" t="str">
        <f aca="false">IF(ISBLANK(BA241),"No Follow Up Needed",BA241)</f>
        <v>19/06/2025</v>
      </c>
      <c r="BC241" s="0" t="s">
        <v>61</v>
      </c>
      <c r="BD241" s="0" t="str">
        <f aca="false">PROPER(IF(ISBLANK(BC241),"Unknown",BC241))</f>
        <v>No</v>
      </c>
      <c r="BF241" s="0" t="str">
        <f aca="false">IF(ISBLANK(BE241),"No comments",BE241)</f>
        <v>No comments</v>
      </c>
      <c r="BG241" s="0" t="s">
        <v>2320</v>
      </c>
      <c r="BH241" s="0" t="str">
        <f aca="false">IF(ISBLANK(BG241),"No comments",BG241)</f>
        <v>No complaints</v>
      </c>
      <c r="BI241" s="0" t="s">
        <v>50</v>
      </c>
      <c r="BJ241" s="0" t="str">
        <f aca="false">IF(ISBLANK(BI241),"Not Mentioned",BI241)</f>
        <v>No</v>
      </c>
      <c r="BK241" s="0" t="s">
        <v>63</v>
      </c>
      <c r="BL241" s="0" t="str">
        <f aca="false">PROPER(IF(ISBLANK(BK241),"Not Mentioned",BK241))</f>
        <v>Yes</v>
      </c>
      <c r="BN241" s="0" t="str">
        <f aca="false">PROPER(IF(ISBLANK(BM241),"Not Mentioned",BM241))</f>
        <v>Not Mentioned</v>
      </c>
      <c r="BO241" s="0" t="s">
        <v>2321</v>
      </c>
      <c r="BP241" s="0" t="str">
        <f aca="false">IF(ISBLANK(BO241),"One-Time Plan",BO241)</f>
        <v>One-Time Plan</v>
      </c>
      <c r="BQ241" s="0" t="s">
        <v>190</v>
      </c>
      <c r="BR241" s="0" t="str">
        <f aca="false">PROPER(IF(ISBLANK(BQ241),"No",BQ241))</f>
        <v>Yes</v>
      </c>
    </row>
    <row r="242" customFormat="false" ht="15" hidden="false" customHeight="false" outlineLevel="0" collapsed="false">
      <c r="A242" s="0" t="s">
        <v>716</v>
      </c>
      <c r="B242" s="2" t="n">
        <v>45679</v>
      </c>
      <c r="C242" s="2" t="str">
        <f aca="false">TEXT(B242,"dd/mm/yyyy")</f>
        <v>22/01/2025</v>
      </c>
      <c r="D242" s="0" t="s">
        <v>105</v>
      </c>
      <c r="E242" s="0" t="n">
        <v>8078825641</v>
      </c>
      <c r="F242" s="0" t="s">
        <v>67</v>
      </c>
      <c r="G242" s="0" t="s">
        <v>2316</v>
      </c>
      <c r="H242" s="0" t="s">
        <v>717</v>
      </c>
      <c r="I242" s="0" t="s">
        <v>87</v>
      </c>
      <c r="J242" s="0" t="s">
        <v>87</v>
      </c>
      <c r="K242" s="3" t="str">
        <f aca="false" t="array" ref="K242:K242">IFERROR(IF(J242&lt;&gt;"",J242,INDEX(J242:J1241,MATCH(1,(F242:F1241=F242)*(I242:I1241=I242)*(L242:L1241=L242)*(J242:J1241&lt;&gt;""),0))),"Not Found")</f>
        <v>Oil Change</v>
      </c>
      <c r="L242" s="3" t="s">
        <v>89</v>
      </c>
      <c r="M242" s="0" t="str">
        <f aca="false">PROPER(L242)</f>
        <v>Shock Absorbers</v>
      </c>
      <c r="N242" s="3" t="s">
        <v>48</v>
      </c>
      <c r="O242" s="0" t="str">
        <f aca="false" t="array" ref="O242:O242">IF(N242&lt;&gt;"",N242,_xlfn.xlookup(1,(L242:L1241=L242)*(N242:N1241&lt;&gt;""),N242:N1241,"Not Found"))</f>
        <v>Uche</v>
      </c>
      <c r="P242" s="4" t="n">
        <v>85215</v>
      </c>
      <c r="Q242" s="0" t="s">
        <v>166</v>
      </c>
      <c r="R242" s="0" t="str">
        <f aca="false">PROPER(Q242)</f>
        <v>Transfer</v>
      </c>
      <c r="S242" s="0" t="s">
        <v>50</v>
      </c>
      <c r="T242" s="0" t="n">
        <v>2</v>
      </c>
      <c r="U242" s="5" t="n">
        <f aca="false">IF(ISBLANK(T242),AVERAGE(T242:T1241),T242)</f>
        <v>2</v>
      </c>
      <c r="V242" s="0" t="n">
        <v>5.9</v>
      </c>
      <c r="W242" s="0" t="s">
        <v>125</v>
      </c>
      <c r="X242" s="0" t="str">
        <f aca="false">IF(ISBLANK(W242),"No remarks",W242)</f>
        <v>Customer waited</v>
      </c>
      <c r="Y242" s="0" t="s">
        <v>52</v>
      </c>
      <c r="Z242" s="0" t="s">
        <v>159</v>
      </c>
      <c r="AA242" s="0" t="str">
        <f aca="false">PROPER(IF(ISBLANK(Z242),"Location Unavailable",Z242))</f>
        <v>Main Bay</v>
      </c>
      <c r="AB242" s="0" t="s">
        <v>167</v>
      </c>
      <c r="AC242" s="6" t="str">
        <f aca="false">PROPER(AB242)</f>
        <v>Word Of Mouth</v>
      </c>
      <c r="AD242" s="6" t="n">
        <v>30</v>
      </c>
      <c r="AE242" s="5" t="n">
        <f aca="false">IF(ISBLANK(AD242),AVERAGEIF(L242:L1241,L242,AD242:AD1241),AD242)</f>
        <v>30</v>
      </c>
      <c r="AF242" s="0" t="s">
        <v>96</v>
      </c>
      <c r="AG242" s="0" t="str">
        <f aca="false">PROPER(AF242)</f>
        <v>Ordered</v>
      </c>
      <c r="AH242" s="0" t="s">
        <v>77</v>
      </c>
      <c r="AI242" s="0" t="s">
        <v>78</v>
      </c>
      <c r="AJ242" s="0" t="str">
        <f aca="false">PROPER(AI242)</f>
        <v>Booking</v>
      </c>
      <c r="AK242" s="0" t="s">
        <v>114</v>
      </c>
      <c r="AL242" s="0" t="str">
        <f aca="false">PROPER(AK242)</f>
        <v>Returning</v>
      </c>
      <c r="AM242" s="0" t="s">
        <v>2326</v>
      </c>
      <c r="AN242" s="0" t="str">
        <f aca="false">IF(ISBLANK(AM242),"Unknown",AM242)</f>
        <v>Government Convoy</v>
      </c>
      <c r="AO242" s="0" t="s">
        <v>79</v>
      </c>
      <c r="AP242" s="0" t="str">
        <f aca="false">IF(ISBLANK(AO242),"Unknown",AO242)</f>
        <v>Specialist</v>
      </c>
      <c r="AQ242" s="0" t="n">
        <v>25000</v>
      </c>
      <c r="AR242" s="5" t="n">
        <f aca="false">IF(ISBLANK(AQ242),AVERAGEIF(M242:M1241,M242,AQ242:AQ1241),AQ242)</f>
        <v>25000</v>
      </c>
      <c r="AS242" s="0" t="n">
        <v>20000</v>
      </c>
      <c r="AT242" s="5" t="n">
        <f aca="false">IF(ISBLANK(AS242),AVERAGE(AS242:AS1241),AS242)</f>
        <v>20000</v>
      </c>
      <c r="AU242" s="0" t="s">
        <v>63</v>
      </c>
      <c r="AV242" s="0" t="str">
        <f aca="false">PROPER(IF(ISBLANK(AU242),"No",AU242))</f>
        <v>Yes</v>
      </c>
      <c r="AW242" s="0" t="n">
        <v>0</v>
      </c>
      <c r="AX242" s="5" t="n">
        <f aca="false">IF(ISBLANK(AW242),0,AW242)</f>
        <v>0</v>
      </c>
      <c r="AY242" s="0" t="s">
        <v>80</v>
      </c>
      <c r="AZ242" s="0" t="str">
        <f aca="false">UPPER(IF(ISBLANK(AY242),"NONE",AY242))</f>
        <v>PROMO10</v>
      </c>
      <c r="BA242" s="7" t="s">
        <v>718</v>
      </c>
      <c r="BB242" s="7" t="str">
        <f aca="false">IF(ISBLANK(BA242),"No Follow Up Needed",BA242)</f>
        <v>26/12/2025</v>
      </c>
      <c r="BC242" s="0" t="s">
        <v>82</v>
      </c>
      <c r="BD242" s="0" t="str">
        <f aca="false">PROPER(IF(ISBLANK(BC242),"Unknown",BC242))</f>
        <v>Yes</v>
      </c>
      <c r="BF242" s="0" t="str">
        <f aca="false">IF(ISBLANK(BE242),"No comments",BE242)</f>
        <v>No comments</v>
      </c>
      <c r="BG242" s="0" t="s">
        <v>2320</v>
      </c>
      <c r="BH242" s="0" t="str">
        <f aca="false">IF(ISBLANK(BG242),"No comments",BG242)</f>
        <v>No complaints</v>
      </c>
      <c r="BJ242" s="0" t="str">
        <f aca="false">IF(ISBLANK(BI242),"Not Mentioned",BI242)</f>
        <v>Not Mentioned</v>
      </c>
      <c r="BK242" s="0" t="s">
        <v>61</v>
      </c>
      <c r="BL242" s="0" t="str">
        <f aca="false">PROPER(IF(ISBLANK(BK242),"Not Mentioned",BK242))</f>
        <v>No</v>
      </c>
      <c r="BN242" s="0" t="str">
        <f aca="false">PROPER(IF(ISBLANK(BM242),"Not Mentioned",BM242))</f>
        <v>Not Mentioned</v>
      </c>
      <c r="BP242" s="0" t="str">
        <f aca="false">IF(ISBLANK(BO242),"One-Time Plan",BO242)</f>
        <v>One-Time Plan</v>
      </c>
      <c r="BQ242" s="0" t="s">
        <v>63</v>
      </c>
      <c r="BR242" s="0" t="str">
        <f aca="false">PROPER(IF(ISBLANK(BQ242),"No",BQ242))</f>
        <v>Yes</v>
      </c>
    </row>
    <row r="243" customFormat="false" ht="15" hidden="false" customHeight="false" outlineLevel="0" collapsed="false">
      <c r="A243" s="0" t="s">
        <v>719</v>
      </c>
      <c r="B243" s="2" t="n">
        <v>45771</v>
      </c>
      <c r="C243" s="2" t="str">
        <f aca="false">TEXT(B243,"dd/mm/yyyy")</f>
        <v>24/04/2025</v>
      </c>
      <c r="D243" s="0" t="s">
        <v>121</v>
      </c>
      <c r="E243" s="0" t="n">
        <v>8083370374</v>
      </c>
      <c r="F243" s="0" t="s">
        <v>122</v>
      </c>
      <c r="G243" s="0" t="s">
        <v>2316</v>
      </c>
      <c r="H243" s="0" t="s">
        <v>720</v>
      </c>
      <c r="I243" s="0" t="s">
        <v>107</v>
      </c>
      <c r="J243" s="0" t="s">
        <v>87</v>
      </c>
      <c r="K243" s="3" t="str">
        <f aca="false" t="array" ref="K243:K243">IFERROR(IF(J243&lt;&gt;"",J243,INDEX(J243:J1242,MATCH(1,(F243:F1242=F243)*(I243:I1242=I243)*(L243:L1242=L243)*(J243:J1242&lt;&gt;""),0))),"Not Found")</f>
        <v>Oil Change</v>
      </c>
      <c r="L243" s="3" t="s">
        <v>108</v>
      </c>
      <c r="M243" s="0" t="str">
        <f aca="false">PROPER(L243)</f>
        <v>Timing Belt</v>
      </c>
      <c r="N243" s="3" t="s">
        <v>109</v>
      </c>
      <c r="O243" s="0" t="str">
        <f aca="false" t="array" ref="O243:O243">IF(N243&lt;&gt;"",N243,_xlfn.xlookup(1,(L243:L1242=L243)*(N243:N1242&lt;&gt;""),N243:N1242,"Not Found"))</f>
        <v>Tijani</v>
      </c>
      <c r="P243" s="4" t="n">
        <v>52039</v>
      </c>
      <c r="Q243" s="0" t="s">
        <v>72</v>
      </c>
      <c r="R243" s="0" t="str">
        <f aca="false">PROPER(Q243)</f>
        <v>Pos</v>
      </c>
      <c r="S243" s="0" t="s">
        <v>50</v>
      </c>
      <c r="T243" s="0" t="n">
        <v>1</v>
      </c>
      <c r="U243" s="5" t="n">
        <f aca="false">IF(ISBLANK(T243),AVERAGE(T243:T1242),T243)</f>
        <v>1</v>
      </c>
      <c r="V243" s="0" t="n">
        <v>3.1</v>
      </c>
      <c r="W243" s="0" t="s">
        <v>111</v>
      </c>
      <c r="X243" s="0" t="str">
        <f aca="false">IF(ISBLANK(W243),"No remarks",W243)</f>
        <v>Changed all filters</v>
      </c>
      <c r="Y243" s="0" t="s">
        <v>73</v>
      </c>
      <c r="Z243" s="0" t="s">
        <v>94</v>
      </c>
      <c r="AA243" s="0" t="str">
        <f aca="false">PROPER(IF(ISBLANK(Z243),"Location Unavailable",Z243))</f>
        <v>Vip Section</v>
      </c>
      <c r="AB243" s="0" t="s">
        <v>75</v>
      </c>
      <c r="AC243" s="6" t="str">
        <f aca="false">PROPER(AB243)</f>
        <v>Mechanik Referal</v>
      </c>
      <c r="AD243" s="6" t="n">
        <v>60</v>
      </c>
      <c r="AE243" s="5" t="n">
        <f aca="false">IF(ISBLANK(AD243),AVERAGEIF(L243:L1242,L243,AD243:AD1242),AD243)</f>
        <v>60</v>
      </c>
      <c r="AF243" s="0" t="s">
        <v>76</v>
      </c>
      <c r="AG243" s="0" t="str">
        <f aca="false">PROPER(AF243)</f>
        <v>Orderd</v>
      </c>
      <c r="AH243" s="0" t="s">
        <v>148</v>
      </c>
      <c r="AI243" s="0" t="s">
        <v>78</v>
      </c>
      <c r="AJ243" s="0" t="str">
        <f aca="false">PROPER(AI243)</f>
        <v>Booking</v>
      </c>
      <c r="AK243" s="0" t="s">
        <v>58</v>
      </c>
      <c r="AL243" s="0" t="str">
        <f aca="false">PROPER(AK243)</f>
        <v>Fleet Owner</v>
      </c>
      <c r="AM243" s="0" t="s">
        <v>2324</v>
      </c>
      <c r="AN243" s="0" t="str">
        <f aca="false">IF(ISBLANK(AM243),"Unknown",AM243)</f>
        <v>Logistics Convoy</v>
      </c>
      <c r="AO243" s="0" t="s">
        <v>149</v>
      </c>
      <c r="AP243" s="0" t="str">
        <f aca="false">IF(ISBLANK(AO243),"Unknown",AO243)</f>
        <v>Senior </v>
      </c>
      <c r="AQ243" s="0" t="n">
        <v>25000</v>
      </c>
      <c r="AR243" s="5" t="n">
        <f aca="false">IF(ISBLANK(AQ243),AVERAGEIF(M243:M1242,M243,AQ243:AQ1242),AQ243)</f>
        <v>25000</v>
      </c>
      <c r="AS243" s="0" t="n">
        <v>20000</v>
      </c>
      <c r="AT243" s="5" t="n">
        <f aca="false">IF(ISBLANK(AS243),AVERAGE(AS243:AS1242),AS243)</f>
        <v>20000</v>
      </c>
      <c r="AU243" s="0" t="s">
        <v>82</v>
      </c>
      <c r="AV243" s="0" t="str">
        <f aca="false">PROPER(IF(ISBLANK(AU243),"No",AU243))</f>
        <v>Yes</v>
      </c>
      <c r="AW243" s="0" t="n">
        <v>5000</v>
      </c>
      <c r="AX243" s="5" t="n">
        <f aca="false">IF(ISBLANK(AW243),0,AW243)</f>
        <v>5000</v>
      </c>
      <c r="AY243" s="0" t="s">
        <v>60</v>
      </c>
      <c r="AZ243" s="0" t="str">
        <f aca="false">UPPER(IF(ISBLANK(AY243),"NONE",AY243))</f>
        <v>NONE</v>
      </c>
      <c r="BB243" s="7" t="str">
        <f aca="false">IF(ISBLANK(BA243),"No Follow Up Needed",BA243)</f>
        <v>No Follow Up Needed</v>
      </c>
      <c r="BC243" s="0" t="s">
        <v>82</v>
      </c>
      <c r="BD243" s="0" t="str">
        <f aca="false">PROPER(IF(ISBLANK(BC243),"Unknown",BC243))</f>
        <v>Yes</v>
      </c>
      <c r="BE243" s="0" t="s">
        <v>171</v>
      </c>
      <c r="BF243" s="0" t="str">
        <f aca="false">IF(ISBLANK(BE243),"No comments",BE243)</f>
        <v>Shock absorber weakening</v>
      </c>
      <c r="BH243" s="0" t="str">
        <f aca="false">IF(ISBLANK(BG243),"No comments",BG243)</f>
        <v>No comments</v>
      </c>
      <c r="BI243" s="0" t="s">
        <v>50</v>
      </c>
      <c r="BJ243" s="0" t="str">
        <f aca="false">IF(ISBLANK(BI243),"Not Mentioned",BI243)</f>
        <v>No</v>
      </c>
      <c r="BK243" s="0" t="s">
        <v>82</v>
      </c>
      <c r="BL243" s="0" t="str">
        <f aca="false">PROPER(IF(ISBLANK(BK243),"Not Mentioned",BK243))</f>
        <v>Yes</v>
      </c>
      <c r="BM243" s="0" t="s">
        <v>63</v>
      </c>
      <c r="BN243" s="0" t="str">
        <f aca="false">PROPER(IF(ISBLANK(BM243),"Not Mentioned",BM243))</f>
        <v>Yes</v>
      </c>
      <c r="BP243" s="0" t="str">
        <f aca="false">IF(ISBLANK(BO243),"One-Time Plan",BO243)</f>
        <v>One-Time Plan</v>
      </c>
      <c r="BQ243" s="0" t="s">
        <v>190</v>
      </c>
      <c r="BR243" s="0" t="str">
        <f aca="false">PROPER(IF(ISBLANK(BQ243),"No",BQ243))</f>
        <v>Yes</v>
      </c>
    </row>
    <row r="244" customFormat="false" ht="15" hidden="false" customHeight="false" outlineLevel="0" collapsed="false">
      <c r="A244" s="0" t="s">
        <v>721</v>
      </c>
      <c r="B244" s="2" t="n">
        <v>45690</v>
      </c>
      <c r="C244" s="2" t="str">
        <f aca="false">TEXT(B244,"dd/mm/yyyy")</f>
        <v>02/02/2025</v>
      </c>
      <c r="D244" s="0" t="s">
        <v>163</v>
      </c>
      <c r="E244" s="0" t="n">
        <v>8096389831</v>
      </c>
      <c r="F244" s="0" t="s">
        <v>67</v>
      </c>
      <c r="G244" s="0" t="s">
        <v>2316</v>
      </c>
      <c r="H244" s="0" t="s">
        <v>722</v>
      </c>
      <c r="I244" s="0" t="s">
        <v>45</v>
      </c>
      <c r="J244" s="0" t="s">
        <v>2322</v>
      </c>
      <c r="K244" s="3" t="str">
        <f aca="false" t="array" ref="K244:K244">IFERROR(IF(J244&lt;&gt;"",J244,INDEX(J244:J1243,MATCH(1,(F244:F1243=F244)*(I244:I1243=I244)*(L244:L1243=L244)*(J244:J1243&lt;&gt;""),0))),"Not Found")</f>
        <v>Brake Failure</v>
      </c>
      <c r="L244" s="3" t="s">
        <v>154</v>
      </c>
      <c r="M244" s="0" t="str">
        <f aca="false">PROPER(L244)</f>
        <v>Air Filter</v>
      </c>
      <c r="O244" s="0" t="e">
        <f aca="false" t="array" ref="O244:O244">IF(N244&lt;&gt;"",N244,_xlfn.xlookup(1,(L244:L1243=L244)*(N244:N1243&lt;&gt;""),N244:N1243,"Not Found"))</f>
        <v>#NAME?</v>
      </c>
      <c r="P244" s="4" t="n">
        <v>24349</v>
      </c>
      <c r="Q244" s="0" t="s">
        <v>72</v>
      </c>
      <c r="R244" s="0" t="str">
        <f aca="false">PROPER(Q244)</f>
        <v>Pos</v>
      </c>
      <c r="S244" s="0" t="s">
        <v>63</v>
      </c>
      <c r="T244" s="0" t="n">
        <v>3</v>
      </c>
      <c r="U244" s="5" t="n">
        <f aca="false">IF(ISBLANK(T244),AVERAGE(T244:T1243),T244)</f>
        <v>3</v>
      </c>
      <c r="V244" s="0" t="n">
        <v>1.2</v>
      </c>
      <c r="W244" s="0" t="s">
        <v>111</v>
      </c>
      <c r="X244" s="0" t="str">
        <f aca="false">IF(ISBLANK(W244),"No remarks",W244)</f>
        <v>Changed all filters</v>
      </c>
      <c r="Y244" s="0" t="s">
        <v>73</v>
      </c>
      <c r="Z244" s="0" t="s">
        <v>94</v>
      </c>
      <c r="AA244" s="0" t="str">
        <f aca="false">PROPER(IF(ISBLANK(Z244),"Location Unavailable",Z244))</f>
        <v>Vip Section</v>
      </c>
      <c r="AB244" s="0" t="s">
        <v>95</v>
      </c>
      <c r="AC244" s="6" t="str">
        <f aca="false">PROPER(AB244)</f>
        <v>Road Sign</v>
      </c>
      <c r="AD244" s="6" t="n">
        <v>60</v>
      </c>
      <c r="AE244" s="5" t="n">
        <f aca="false">IF(ISBLANK(AD244),AVERAGEIF(L244:L1243,L244,AD244:AD1243),AD244)</f>
        <v>60</v>
      </c>
      <c r="AF244" s="0" t="s">
        <v>55</v>
      </c>
      <c r="AG244" s="0" t="str">
        <f aca="false">PROPER(AF244)</f>
        <v>Available</v>
      </c>
      <c r="AH244" s="0" t="s">
        <v>148</v>
      </c>
      <c r="AI244" s="0" t="s">
        <v>128</v>
      </c>
      <c r="AJ244" s="0" t="str">
        <f aca="false">PROPER(AI244)</f>
        <v>Normal</v>
      </c>
      <c r="AK244" s="0" t="s">
        <v>196</v>
      </c>
      <c r="AL244" s="0" t="str">
        <f aca="false">PROPER(AK244)</f>
        <v>First Time</v>
      </c>
      <c r="AN244" s="0" t="str">
        <f aca="false">IF(ISBLANK(AM244),"Unknown",AM244)</f>
        <v>Unknown</v>
      </c>
      <c r="AO244" s="0" t="s">
        <v>143</v>
      </c>
      <c r="AP244" s="0" t="str">
        <f aca="false">IF(ISBLANK(AO244),"Unknown",AO244)</f>
        <v>Senior</v>
      </c>
      <c r="AQ244" s="0" t="n">
        <v>40000</v>
      </c>
      <c r="AR244" s="5" t="n">
        <f aca="false">IF(ISBLANK(AQ244),AVERAGEIF(M244:M1243,M244,AQ244:AQ1243),AQ244)</f>
        <v>40000</v>
      </c>
      <c r="AS244" s="0" t="n">
        <v>20000</v>
      </c>
      <c r="AT244" s="5" t="n">
        <f aca="false">IF(ISBLANK(AS244),AVERAGE(AS244:AS1243),AS244)</f>
        <v>20000</v>
      </c>
      <c r="AU244" s="0" t="s">
        <v>50</v>
      </c>
      <c r="AV244" s="0" t="str">
        <f aca="false">PROPER(IF(ISBLANK(AU244),"No",AU244))</f>
        <v>No</v>
      </c>
      <c r="AW244" s="0" t="n">
        <v>10000</v>
      </c>
      <c r="AX244" s="5" t="n">
        <f aca="false">IF(ISBLANK(AW244),0,AW244)</f>
        <v>10000</v>
      </c>
      <c r="AZ244" s="0" t="str">
        <f aca="false">UPPER(IF(ISBLANK(AY244),"NONE",AY244))</f>
        <v>NONE</v>
      </c>
      <c r="BA244" s="7" t="s">
        <v>360</v>
      </c>
      <c r="BB244" s="7" t="str">
        <f aca="false">IF(ISBLANK(BA244),"No Follow Up Needed",BA244)</f>
        <v>23/08/2025</v>
      </c>
      <c r="BC244" s="0" t="s">
        <v>82</v>
      </c>
      <c r="BD244" s="0" t="str">
        <f aca="false">PROPER(IF(ISBLANK(BC244),"Unknown",BC244))</f>
        <v>Yes</v>
      </c>
      <c r="BE244" s="0" t="s">
        <v>171</v>
      </c>
      <c r="BF244" s="0" t="str">
        <f aca="false">IF(ISBLANK(BE244),"No comments",BE244)</f>
        <v>Shock absorber weakening</v>
      </c>
      <c r="BG244" s="0" t="s">
        <v>2320</v>
      </c>
      <c r="BH244" s="0" t="str">
        <f aca="false">IF(ISBLANK(BG244),"No comments",BG244)</f>
        <v>No complaints</v>
      </c>
      <c r="BI244" s="0" t="s">
        <v>63</v>
      </c>
      <c r="BJ244" s="0" t="str">
        <f aca="false">IF(ISBLANK(BI244),"Not Mentioned",BI244)</f>
        <v>Yes</v>
      </c>
      <c r="BK244" s="0" t="s">
        <v>61</v>
      </c>
      <c r="BL244" s="0" t="str">
        <f aca="false">PROPER(IF(ISBLANK(BK244),"Not Mentioned",BK244))</f>
        <v>No</v>
      </c>
      <c r="BM244" s="0" t="s">
        <v>63</v>
      </c>
      <c r="BN244" s="0" t="str">
        <f aca="false">PROPER(IF(ISBLANK(BM244),"Not Mentioned",BM244))</f>
        <v>Yes</v>
      </c>
      <c r="BO244" s="0" t="s">
        <v>2318</v>
      </c>
      <c r="BP244" s="0" t="str">
        <f aca="false">IF(ISBLANK(BO244),"One-Time Plan",BO244)</f>
        <v>Gold</v>
      </c>
      <c r="BQ244" s="0" t="s">
        <v>50</v>
      </c>
      <c r="BR244" s="0" t="str">
        <f aca="false">PROPER(IF(ISBLANK(BQ244),"No",BQ244))</f>
        <v>No</v>
      </c>
    </row>
    <row r="245" customFormat="false" ht="15" hidden="false" customHeight="false" outlineLevel="0" collapsed="false">
      <c r="A245" s="0" t="s">
        <v>723</v>
      </c>
      <c r="B245" s="2" t="n">
        <v>45901</v>
      </c>
      <c r="C245" s="2" t="str">
        <f aca="false">TEXT(B245,"dd/mm/yyyy")</f>
        <v>01/09/2025</v>
      </c>
      <c r="D245" s="0" t="s">
        <v>105</v>
      </c>
      <c r="E245" s="0" t="n">
        <v>8020490324</v>
      </c>
      <c r="F245" s="0" t="s">
        <v>67</v>
      </c>
      <c r="G245" s="0" t="s">
        <v>2316</v>
      </c>
      <c r="H245" s="0" t="s">
        <v>724</v>
      </c>
      <c r="I245" s="0" t="s">
        <v>69</v>
      </c>
      <c r="J245" s="0" t="s">
        <v>2322</v>
      </c>
      <c r="K245" s="3" t="str">
        <f aca="false" t="array" ref="K245:K245">IFERROR(IF(J245&lt;&gt;"",J245,INDEX(J245:J1244,MATCH(1,(F245:F1244=F245)*(I245:I1244=I245)*(L245:L1244=L245)*(J245:J1244&lt;&gt;""),0))),"Not Found")</f>
        <v>Brake Failure</v>
      </c>
      <c r="L245" s="3" t="s">
        <v>189</v>
      </c>
      <c r="M245" s="0" t="str">
        <f aca="false">PROPER(L245)</f>
        <v>Battery</v>
      </c>
      <c r="N245" s="3" t="s">
        <v>48</v>
      </c>
      <c r="O245" s="0" t="str">
        <f aca="false" t="array" ref="O245:O245">IF(N245&lt;&gt;"",N245,_xlfn.xlookup(1,(L245:L1244=L245)*(N245:N1244&lt;&gt;""),N245:N1244,"Not Found"))</f>
        <v>Uche</v>
      </c>
      <c r="P245" s="4" t="n">
        <v>70321</v>
      </c>
      <c r="Q245" s="0" t="s">
        <v>124</v>
      </c>
      <c r="R245" s="0" t="str">
        <f aca="false">PROPER(Q245)</f>
        <v>Cash</v>
      </c>
      <c r="S245" s="0" t="s">
        <v>63</v>
      </c>
      <c r="T245" s="0" t="n">
        <v>2</v>
      </c>
      <c r="U245" s="5" t="n">
        <f aca="false">IF(ISBLANK(T245),AVERAGE(T245:T1244),T245)</f>
        <v>2</v>
      </c>
      <c r="V245" s="0" t="n">
        <v>3.4</v>
      </c>
      <c r="W245" s="0" t="s">
        <v>111</v>
      </c>
      <c r="X245" s="0" t="str">
        <f aca="false">IF(ISBLANK(W245),"No remarks",W245)</f>
        <v>Changed all filters</v>
      </c>
      <c r="Y245" s="0" t="s">
        <v>73</v>
      </c>
      <c r="Z245" s="0" t="s">
        <v>74</v>
      </c>
      <c r="AA245" s="0" t="str">
        <f aca="false">PROPER(IF(ISBLANK(Z245),"Location Unavailable",Z245))</f>
        <v>Under Tree</v>
      </c>
      <c r="AB245" s="0" t="s">
        <v>54</v>
      </c>
      <c r="AC245" s="6" t="str">
        <f aca="false">PROPER(AB245)</f>
        <v>Mechanic Referral</v>
      </c>
      <c r="AD245" s="6" t="n">
        <v>45</v>
      </c>
      <c r="AE245" s="5" t="n">
        <f aca="false">IF(ISBLANK(AD245),AVERAGEIF(L245:L1244,L245,AD245:AD1244),AD245)</f>
        <v>45</v>
      </c>
      <c r="AF245" s="0" t="s">
        <v>55</v>
      </c>
      <c r="AG245" s="0" t="str">
        <f aca="false">PROPER(AF245)</f>
        <v>Available</v>
      </c>
      <c r="AH245" s="0" t="s">
        <v>77</v>
      </c>
      <c r="AI245" s="0" t="s">
        <v>78</v>
      </c>
      <c r="AJ245" s="0" t="str">
        <f aca="false">PROPER(AI245)</f>
        <v>Booking</v>
      </c>
      <c r="AK245" s="0" t="s">
        <v>196</v>
      </c>
      <c r="AL245" s="0" t="str">
        <f aca="false">PROPER(AK245)</f>
        <v>First Time</v>
      </c>
      <c r="AM245" s="0" t="s">
        <v>2324</v>
      </c>
      <c r="AN245" s="0" t="str">
        <f aca="false">IF(ISBLANK(AM245),"Unknown",AM245)</f>
        <v>Logistics Convoy</v>
      </c>
      <c r="AO245" s="0" t="s">
        <v>149</v>
      </c>
      <c r="AP245" s="0" t="str">
        <f aca="false">IF(ISBLANK(AO245),"Unknown",AO245)</f>
        <v>Senior </v>
      </c>
      <c r="AQ245" s="0" t="n">
        <v>20000</v>
      </c>
      <c r="AR245" s="5" t="n">
        <f aca="false">IF(ISBLANK(AQ245),AVERAGEIF(M245:M1244,M245,AQ245:AQ1244),AQ245)</f>
        <v>20000</v>
      </c>
      <c r="AS245" s="0" t="n">
        <v>20000</v>
      </c>
      <c r="AT245" s="5" t="n">
        <f aca="false">IF(ISBLANK(AS245),AVERAGE(AS245:AS1244),AS245)</f>
        <v>20000</v>
      </c>
      <c r="AU245" s="0" t="s">
        <v>82</v>
      </c>
      <c r="AV245" s="0" t="str">
        <f aca="false">PROPER(IF(ISBLANK(AU245),"No",AU245))</f>
        <v>Yes</v>
      </c>
      <c r="AX245" s="5" t="n">
        <f aca="false">IF(ISBLANK(AW245),0,AW245)</f>
        <v>0</v>
      </c>
      <c r="AY245" s="0" t="s">
        <v>60</v>
      </c>
      <c r="AZ245" s="0" t="str">
        <f aca="false">UPPER(IF(ISBLANK(AY245),"NONE",AY245))</f>
        <v>NONE</v>
      </c>
      <c r="BB245" s="7" t="str">
        <f aca="false">IF(ISBLANK(BA245),"No Follow Up Needed",BA245)</f>
        <v>No Follow Up Needed</v>
      </c>
      <c r="BC245" s="0" t="s">
        <v>50</v>
      </c>
      <c r="BD245" s="0" t="str">
        <f aca="false">PROPER(IF(ISBLANK(BC245),"Unknown",BC245))</f>
        <v>No</v>
      </c>
      <c r="BF245" s="0" t="str">
        <f aca="false">IF(ISBLANK(BE245),"No comments",BE245)</f>
        <v>No comments</v>
      </c>
      <c r="BG245" s="0" t="s">
        <v>2320</v>
      </c>
      <c r="BH245" s="0" t="str">
        <f aca="false">IF(ISBLANK(BG245),"No comments",BG245)</f>
        <v>No complaints</v>
      </c>
      <c r="BI245" s="0" t="s">
        <v>63</v>
      </c>
      <c r="BJ245" s="0" t="str">
        <f aca="false">IF(ISBLANK(BI245),"Not Mentioned",BI245)</f>
        <v>Yes</v>
      </c>
      <c r="BK245" s="0" t="s">
        <v>50</v>
      </c>
      <c r="BL245" s="0" t="str">
        <f aca="false">PROPER(IF(ISBLANK(BK245),"Not Mentioned",BK245))</f>
        <v>No</v>
      </c>
      <c r="BM245" s="0" t="s">
        <v>50</v>
      </c>
      <c r="BN245" s="0" t="str">
        <f aca="false">PROPER(IF(ISBLANK(BM245),"Not Mentioned",BM245))</f>
        <v>No</v>
      </c>
      <c r="BP245" s="0" t="str">
        <f aca="false">IF(ISBLANK(BO245),"One-Time Plan",BO245)</f>
        <v>One-Time Plan</v>
      </c>
      <c r="BQ245" s="0" t="s">
        <v>198</v>
      </c>
      <c r="BR245" s="0" t="str">
        <f aca="false">PROPER(IF(ISBLANK(BQ245),"No",BQ245))</f>
        <v>Followed Up</v>
      </c>
    </row>
    <row r="246" customFormat="false" ht="15" hidden="false" customHeight="false" outlineLevel="0" collapsed="false">
      <c r="A246" s="0" t="s">
        <v>726</v>
      </c>
      <c r="B246" s="2" t="s">
        <v>725</v>
      </c>
      <c r="C246" s="2" t="str">
        <f aca="false">TEXT(B246,"dd/mm/yyyy")</f>
        <v>30/04/2025</v>
      </c>
      <c r="D246" s="0" t="s">
        <v>42</v>
      </c>
      <c r="E246" s="0" t="n">
        <v>8047101128</v>
      </c>
      <c r="F246" s="0" t="s">
        <v>43</v>
      </c>
      <c r="G246" s="0" t="s">
        <v>2315</v>
      </c>
      <c r="H246" s="0" t="s">
        <v>727</v>
      </c>
      <c r="I246" s="0" t="s">
        <v>69</v>
      </c>
      <c r="J246" s="0" t="s">
        <v>87</v>
      </c>
      <c r="K246" s="3" t="str">
        <f aca="false" t="array" ref="K246:K246">IFERROR(IF(J246&lt;&gt;"",J246,INDEX(J246:J1245,MATCH(1,(F246:F1245=F246)*(I246:I1245=I246)*(L246:L1245=L246)*(J246:J1245&lt;&gt;""),0))),"Not Found")</f>
        <v>Oil Change</v>
      </c>
      <c r="L246" s="3" t="s">
        <v>89</v>
      </c>
      <c r="M246" s="0" t="str">
        <f aca="false">PROPER(L246)</f>
        <v>Shock Absorbers</v>
      </c>
      <c r="O246" s="0" t="e">
        <f aca="false" t="array" ref="O246:O246">IF(N246&lt;&gt;"",N246,_xlfn.xlookup(1,(L246:L1245=L246)*(N246:N1245&lt;&gt;""),N246:N1245,"Not Found"))</f>
        <v>#NAME?</v>
      </c>
      <c r="P246" s="4" t="n">
        <v>18704</v>
      </c>
      <c r="Q246" s="0" t="s">
        <v>124</v>
      </c>
      <c r="R246" s="0" t="str">
        <f aca="false">PROPER(Q246)</f>
        <v>Cash</v>
      </c>
      <c r="S246" s="0" t="s">
        <v>63</v>
      </c>
      <c r="T246" s="0" t="n">
        <v>3</v>
      </c>
      <c r="U246" s="5" t="n">
        <f aca="false">IF(ISBLANK(T246),AVERAGE(T246:T1245),T246)</f>
        <v>3</v>
      </c>
      <c r="V246" s="0" t="n">
        <v>3.7</v>
      </c>
      <c r="W246" s="0" t="s">
        <v>51</v>
      </c>
      <c r="X246" s="0" t="str">
        <f aca="false">IF(ISBLANK(W246),"No remarks",W246)</f>
        <v>Recommended further checks</v>
      </c>
      <c r="Y246" s="0" t="s">
        <v>52</v>
      </c>
      <c r="Z246" s="0" t="s">
        <v>53</v>
      </c>
      <c r="AA246" s="0" t="str">
        <f aca="false">PROPER(IF(ISBLANK(Z246),"Location Unavailable",Z246))</f>
        <v>Main Bay</v>
      </c>
      <c r="AB246" s="0" t="s">
        <v>147</v>
      </c>
      <c r="AC246" s="6" t="str">
        <f aca="false">PROPER(AB246)</f>
        <v>Instagram</v>
      </c>
      <c r="AD246" s="6" t="n">
        <v>45</v>
      </c>
      <c r="AE246" s="5" t="n">
        <f aca="false">IF(ISBLANK(AD246),AVERAGEIF(L246:L1245,L246,AD246:AD1245),AD246)</f>
        <v>45</v>
      </c>
      <c r="AF246" s="0" t="s">
        <v>112</v>
      </c>
      <c r="AG246" s="0" t="str">
        <f aca="false">PROPER(AF246)</f>
        <v>Unavailable</v>
      </c>
      <c r="AH246" s="0" t="s">
        <v>155</v>
      </c>
      <c r="AI246" s="0" t="s">
        <v>128</v>
      </c>
      <c r="AJ246" s="0" t="str">
        <f aca="false">PROPER(AI246)</f>
        <v>Normal</v>
      </c>
      <c r="AK246" s="0" t="s">
        <v>196</v>
      </c>
      <c r="AL246" s="0" t="str">
        <f aca="false">PROPER(AK246)</f>
        <v>First Time</v>
      </c>
      <c r="AN246" s="0" t="str">
        <f aca="false">IF(ISBLANK(AM246),"Unknown",AM246)</f>
        <v>Unknown</v>
      </c>
      <c r="AO246" s="0" t="s">
        <v>161</v>
      </c>
      <c r="AP246" s="0" t="str">
        <f aca="false">IF(ISBLANK(AO246),"Unknown",AO246)</f>
        <v>Apprentice</v>
      </c>
      <c r="AQ246" s="0" t="n">
        <v>15000</v>
      </c>
      <c r="AR246" s="5" t="n">
        <f aca="false">IF(ISBLANK(AQ246),AVERAGEIF(M246:M1245,M246,AQ246:AQ1245),AQ246)</f>
        <v>15000</v>
      </c>
      <c r="AS246" s="0" t="n">
        <v>40000</v>
      </c>
      <c r="AT246" s="5" t="n">
        <f aca="false">IF(ISBLANK(AS246),AVERAGE(AS246:AS1245),AS246)</f>
        <v>40000</v>
      </c>
      <c r="AU246" s="0" t="s">
        <v>63</v>
      </c>
      <c r="AV246" s="0" t="str">
        <f aca="false">PROPER(IF(ISBLANK(AU246),"No",AU246))</f>
        <v>Yes</v>
      </c>
      <c r="AW246" s="0" t="n">
        <v>10000</v>
      </c>
      <c r="AX246" s="5" t="n">
        <f aca="false">IF(ISBLANK(AW246),0,AW246)</f>
        <v>10000</v>
      </c>
      <c r="AY246" s="0" t="s">
        <v>60</v>
      </c>
      <c r="AZ246" s="0" t="str">
        <f aca="false">UPPER(IF(ISBLANK(AY246),"NONE",AY246))</f>
        <v>NONE</v>
      </c>
      <c r="BA246" s="7" t="s">
        <v>715</v>
      </c>
      <c r="BB246" s="7" t="str">
        <f aca="false">IF(ISBLANK(BA246),"No Follow Up Needed",BA246)</f>
        <v>19/06/2025</v>
      </c>
      <c r="BC246" s="0" t="s">
        <v>50</v>
      </c>
      <c r="BD246" s="0" t="str">
        <f aca="false">PROPER(IF(ISBLANK(BC246),"Unknown",BC246))</f>
        <v>No</v>
      </c>
      <c r="BE246" s="0" t="s">
        <v>116</v>
      </c>
      <c r="BF246" s="0" t="str">
        <f aca="false">IF(ISBLANK(BE246),"No comments",BE246)</f>
        <v>Needs tire alignment</v>
      </c>
      <c r="BG246" s="0" t="s">
        <v>117</v>
      </c>
      <c r="BH246" s="0" t="str">
        <f aca="false">IF(ISBLANK(BG246),"No comments",BG246)</f>
        <v>Prefers morning</v>
      </c>
      <c r="BI246" s="0" t="s">
        <v>63</v>
      </c>
      <c r="BJ246" s="0" t="str">
        <f aca="false">IF(ISBLANK(BI246),"Not Mentioned",BI246)</f>
        <v>Yes</v>
      </c>
      <c r="BK246" s="0" t="s">
        <v>61</v>
      </c>
      <c r="BL246" s="0" t="str">
        <f aca="false">PROPER(IF(ISBLANK(BK246),"Not Mentioned",BK246))</f>
        <v>No</v>
      </c>
      <c r="BM246" s="0" t="s">
        <v>50</v>
      </c>
      <c r="BN246" s="0" t="str">
        <f aca="false">PROPER(IF(ISBLANK(BM246),"Not Mentioned",BM246))</f>
        <v>No</v>
      </c>
      <c r="BO246" s="0" t="s">
        <v>64</v>
      </c>
      <c r="BP246" s="0" t="str">
        <f aca="false">IF(ISBLANK(BO246),"One-Time Plan",BO246)</f>
        <v>Gold Maintenance Plan</v>
      </c>
      <c r="BQ246" s="0" t="s">
        <v>198</v>
      </c>
      <c r="BR246" s="0" t="str">
        <f aca="false">PROPER(IF(ISBLANK(BQ246),"No",BQ246))</f>
        <v>Followed Up</v>
      </c>
    </row>
    <row r="247" customFormat="false" ht="15" hidden="false" customHeight="false" outlineLevel="0" collapsed="false">
      <c r="A247" s="0" t="s">
        <v>728</v>
      </c>
      <c r="B247" s="2" t="n">
        <v>45692</v>
      </c>
      <c r="C247" s="2" t="str">
        <f aca="false">TEXT(B247,"dd/mm/yyyy")</f>
        <v>04/02/2025</v>
      </c>
      <c r="D247" s="0" t="s">
        <v>66</v>
      </c>
      <c r="E247" s="0" t="n">
        <v>8040566959</v>
      </c>
      <c r="F247" s="0" t="s">
        <v>67</v>
      </c>
      <c r="G247" s="0" t="s">
        <v>2316</v>
      </c>
      <c r="H247" s="0" t="s">
        <v>729</v>
      </c>
      <c r="I247" s="0" t="s">
        <v>45</v>
      </c>
      <c r="J247" s="0" t="s">
        <v>2322</v>
      </c>
      <c r="K247" s="3" t="str">
        <f aca="false" t="array" ref="K247:K247">IFERROR(IF(J247&lt;&gt;"",J247,INDEX(J247:J1246,MATCH(1,(F247:F1246=F247)*(I247:I1246=I247)*(L247:L1246=L247)*(J247:J1246&lt;&gt;""),0))),"Not Found")</f>
        <v>Brake Failure</v>
      </c>
      <c r="L247" s="3" t="s">
        <v>154</v>
      </c>
      <c r="M247" s="0" t="str">
        <f aca="false">PROPER(L247)</f>
        <v>Air Filter</v>
      </c>
      <c r="N247" s="3" t="s">
        <v>90</v>
      </c>
      <c r="O247" s="0" t="str">
        <f aca="false" t="array" ref="O247:O247">IF(N247&lt;&gt;"",N247,_xlfn.xlookup(1,(L247:L1246=L247)*(N247:N1246&lt;&gt;""),N247:N1246,"Not Found"))</f>
        <v>Musa</v>
      </c>
      <c r="P247" s="4" t="n">
        <v>55467</v>
      </c>
      <c r="Q247" s="0" t="s">
        <v>124</v>
      </c>
      <c r="R247" s="0" t="str">
        <f aca="false">PROPER(Q247)</f>
        <v>Cash</v>
      </c>
      <c r="S247" s="0" t="s">
        <v>63</v>
      </c>
      <c r="T247" s="0" t="n">
        <v>1</v>
      </c>
      <c r="U247" s="5" t="n">
        <f aca="false">IF(ISBLANK(T247),AVERAGE(T247:T1246),T247)</f>
        <v>1</v>
      </c>
      <c r="V247" s="0" t="n">
        <v>1.9</v>
      </c>
      <c r="W247" s="0" t="s">
        <v>92</v>
      </c>
      <c r="X247" s="0" t="str">
        <f aca="false">IF(ISBLANK(W247),"No remarks",W247)</f>
        <v>Urgent service</v>
      </c>
      <c r="Y247" s="0" t="s">
        <v>93</v>
      </c>
      <c r="Z247" s="0" t="s">
        <v>159</v>
      </c>
      <c r="AA247" s="0" t="str">
        <f aca="false">PROPER(IF(ISBLANK(Z247),"Location Unavailable",Z247))</f>
        <v>Main Bay</v>
      </c>
      <c r="AB247" s="0" t="s">
        <v>167</v>
      </c>
      <c r="AC247" s="6" t="str">
        <f aca="false">PROPER(AB247)</f>
        <v>Word Of Mouth</v>
      </c>
      <c r="AD247" s="6" t="n">
        <v>45</v>
      </c>
      <c r="AE247" s="5" t="n">
        <f aca="false">IF(ISBLANK(AD247),AVERAGEIF(L247:L1246,L247,AD247:AD1246),AD247)</f>
        <v>45</v>
      </c>
      <c r="AF247" s="0" t="s">
        <v>96</v>
      </c>
      <c r="AG247" s="0" t="str">
        <f aca="false">PROPER(AF247)</f>
        <v>Ordered</v>
      </c>
      <c r="AH247" s="0" t="s">
        <v>56</v>
      </c>
      <c r="AI247" s="0" t="s">
        <v>113</v>
      </c>
      <c r="AJ247" s="0" t="str">
        <f aca="false">PROPER(AI247)</f>
        <v>Normal</v>
      </c>
      <c r="AK247" s="0" t="s">
        <v>58</v>
      </c>
      <c r="AL247" s="0" t="str">
        <f aca="false">PROPER(AK247)</f>
        <v>Fleet Owner</v>
      </c>
      <c r="AM247" s="0" t="s">
        <v>2326</v>
      </c>
      <c r="AN247" s="0" t="str">
        <f aca="false">IF(ISBLANK(AM247),"Unknown",AM247)</f>
        <v>Government Convoy</v>
      </c>
      <c r="AO247" s="0" t="s">
        <v>79</v>
      </c>
      <c r="AP247" s="0" t="str">
        <f aca="false">IF(ISBLANK(AO247),"Unknown",AO247)</f>
        <v>Specialist</v>
      </c>
      <c r="AQ247" s="0" t="n">
        <v>30000</v>
      </c>
      <c r="AR247" s="5" t="n">
        <f aca="false">IF(ISBLANK(AQ247),AVERAGEIF(M247:M1246,M247,AQ247:AQ1246),AQ247)</f>
        <v>30000</v>
      </c>
      <c r="AS247" s="0" t="n">
        <v>20000</v>
      </c>
      <c r="AT247" s="5" t="n">
        <f aca="false">IF(ISBLANK(AS247),AVERAGE(AS247:AS1246),AS247)</f>
        <v>20000</v>
      </c>
      <c r="AU247" s="0" t="s">
        <v>50</v>
      </c>
      <c r="AV247" s="0" t="str">
        <f aca="false">PROPER(IF(ISBLANK(AU247),"No",AU247))</f>
        <v>No</v>
      </c>
      <c r="AW247" s="0" t="n">
        <v>5000</v>
      </c>
      <c r="AX247" s="5" t="n">
        <f aca="false">IF(ISBLANK(AW247),0,AW247)</f>
        <v>5000</v>
      </c>
      <c r="AY247" s="0" t="s">
        <v>130</v>
      </c>
      <c r="AZ247" s="0" t="str">
        <f aca="false">UPPER(IF(ISBLANK(AY247),"NONE",AY247))</f>
        <v>LOYALTY10</v>
      </c>
      <c r="BB247" s="7" t="str">
        <f aca="false">IF(ISBLANK(BA247),"No Follow Up Needed",BA247)</f>
        <v>No Follow Up Needed</v>
      </c>
      <c r="BD247" s="0" t="str">
        <f aca="false">PROPER(IF(ISBLANK(BC247),"Unknown",BC247))</f>
        <v>Unknown</v>
      </c>
      <c r="BF247" s="0" t="str">
        <f aca="false">IF(ISBLANK(BE247),"No comments",BE247)</f>
        <v>No comments</v>
      </c>
      <c r="BH247" s="0" t="str">
        <f aca="false">IF(ISBLANK(BG247),"No comments",BG247)</f>
        <v>No comments</v>
      </c>
      <c r="BI247" s="0" t="s">
        <v>50</v>
      </c>
      <c r="BJ247" s="0" t="str">
        <f aca="false">IF(ISBLANK(BI247),"Not Mentioned",BI247)</f>
        <v>No</v>
      </c>
      <c r="BK247" s="0" t="s">
        <v>61</v>
      </c>
      <c r="BL247" s="0" t="str">
        <f aca="false">PROPER(IF(ISBLANK(BK247),"Not Mentioned",BK247))</f>
        <v>No</v>
      </c>
      <c r="BM247" s="0" t="s">
        <v>50</v>
      </c>
      <c r="BN247" s="0" t="str">
        <f aca="false">PROPER(IF(ISBLANK(BM247),"Not Mentioned",BM247))</f>
        <v>No</v>
      </c>
      <c r="BO247" s="0" t="s">
        <v>2318</v>
      </c>
      <c r="BP247" s="0" t="str">
        <f aca="false">IF(ISBLANK(BO247),"One-Time Plan",BO247)</f>
        <v>Gold</v>
      </c>
      <c r="BQ247" s="0" t="s">
        <v>50</v>
      </c>
      <c r="BR247" s="0" t="str">
        <f aca="false">PROPER(IF(ISBLANK(BQ247),"No",BQ247))</f>
        <v>No</v>
      </c>
    </row>
    <row r="248" customFormat="false" ht="15" hidden="false" customHeight="false" outlineLevel="0" collapsed="false">
      <c r="A248" s="0" t="s">
        <v>730</v>
      </c>
      <c r="B248" s="2" t="n">
        <v>45809</v>
      </c>
      <c r="C248" s="2" t="str">
        <f aca="false">TEXT(B248,"dd/mm/yyyy")</f>
        <v>01/06/2025</v>
      </c>
      <c r="D248" s="0" t="s">
        <v>121</v>
      </c>
      <c r="E248" s="0" t="n">
        <v>8023208247</v>
      </c>
      <c r="F248" s="0" t="s">
        <v>67</v>
      </c>
      <c r="G248" s="0" t="s">
        <v>2316</v>
      </c>
      <c r="H248" s="0" t="s">
        <v>731</v>
      </c>
      <c r="I248" s="0" t="s">
        <v>134</v>
      </c>
      <c r="J248" s="0" t="s">
        <v>2322</v>
      </c>
      <c r="K248" s="3" t="str">
        <f aca="false" t="array" ref="K248:K248">IFERROR(IF(J248&lt;&gt;"",J248,INDEX(J248:J1247,MATCH(1,(F248:F1247=F248)*(I248:I1247=I248)*(L248:L1247=L248)*(J248:J1247&lt;&gt;""),0))),"Not Found")</f>
        <v>Brake Failure</v>
      </c>
      <c r="L248" s="3" t="s">
        <v>142</v>
      </c>
      <c r="M248" s="0" t="str">
        <f aca="false">PROPER(L248)</f>
        <v>Oil Filter, Brake Pads</v>
      </c>
      <c r="O248" s="0" t="e">
        <f aca="false" t="array" ref="O248:O248">IF(N248&lt;&gt;"",N248,_xlfn.xlookup(1,(L248:L1247=L248)*(N248:N1247&lt;&gt;""),N248:N1247,"Not Found"))</f>
        <v>#NAME?</v>
      </c>
      <c r="P248" s="4" t="n">
        <v>119469</v>
      </c>
      <c r="Q248" s="0" t="s">
        <v>124</v>
      </c>
      <c r="R248" s="0" t="str">
        <f aca="false">PROPER(Q248)</f>
        <v>Cash</v>
      </c>
      <c r="S248" s="0" t="s">
        <v>63</v>
      </c>
      <c r="T248" s="0" t="n">
        <v>2</v>
      </c>
      <c r="U248" s="5" t="n">
        <f aca="false">IF(ISBLANK(T248),AVERAGE(T248:T1247),T248)</f>
        <v>2</v>
      </c>
      <c r="V248" s="0" t="n">
        <v>5.6</v>
      </c>
      <c r="W248" s="0" t="s">
        <v>125</v>
      </c>
      <c r="X248" s="0" t="str">
        <f aca="false">IF(ISBLANK(W248),"No remarks",W248)</f>
        <v>Customer waited</v>
      </c>
      <c r="Y248" s="0" t="s">
        <v>93</v>
      </c>
      <c r="Z248" s="0" t="s">
        <v>136</v>
      </c>
      <c r="AA248" s="0" t="str">
        <f aca="false">PROPER(IF(ISBLANK(Z248),"Location Unavailable",Z248))</f>
        <v>Vip Section</v>
      </c>
      <c r="AB248" s="0" t="s">
        <v>147</v>
      </c>
      <c r="AC248" s="6" t="str">
        <f aca="false">PROPER(AB248)</f>
        <v>Instagram</v>
      </c>
      <c r="AE248" s="5" t="n">
        <f aca="false">IF(ISBLANK(AD248),AVERAGEIF(L248:L1247,L248,AD248:AD1247),AD248)</f>
        <v>39.0277777777778</v>
      </c>
      <c r="AF248" s="0" t="s">
        <v>160</v>
      </c>
      <c r="AG248" s="0" t="str">
        <f aca="false">PROPER(AF248)</f>
        <v>Availaible</v>
      </c>
      <c r="AH248" s="0" t="s">
        <v>148</v>
      </c>
      <c r="AI248" s="0" t="s">
        <v>128</v>
      </c>
      <c r="AJ248" s="0" t="str">
        <f aca="false">PROPER(AI248)</f>
        <v>Normal</v>
      </c>
      <c r="AK248" s="0" t="s">
        <v>114</v>
      </c>
      <c r="AL248" s="0" t="str">
        <f aca="false">PROPER(AK248)</f>
        <v>Returning</v>
      </c>
      <c r="AN248" s="0" t="str">
        <f aca="false">IF(ISBLANK(AM248),"Unknown",AM248)</f>
        <v>Unknown</v>
      </c>
      <c r="AO248" s="0" t="s">
        <v>143</v>
      </c>
      <c r="AP248" s="0" t="str">
        <f aca="false">IF(ISBLANK(AO248),"Unknown",AO248)</f>
        <v>Senior</v>
      </c>
      <c r="AQ248" s="0" t="n">
        <v>20000</v>
      </c>
      <c r="AR248" s="5" t="n">
        <f aca="false">IF(ISBLANK(AQ248),AVERAGEIF(M248:M1247,M248,AQ248:AQ1247),AQ248)</f>
        <v>20000</v>
      </c>
      <c r="AS248" s="0" t="n">
        <v>40000</v>
      </c>
      <c r="AT248" s="5" t="n">
        <f aca="false">IF(ISBLANK(AS248),AVERAGE(AS248:AS1247),AS248)</f>
        <v>40000</v>
      </c>
      <c r="AU248" s="0" t="s">
        <v>63</v>
      </c>
      <c r="AV248" s="0" t="str">
        <f aca="false">PROPER(IF(ISBLANK(AU248),"No",AU248))</f>
        <v>Yes</v>
      </c>
      <c r="AW248" s="0" t="n">
        <v>5000</v>
      </c>
      <c r="AX248" s="5" t="n">
        <f aca="false">IF(ISBLANK(AW248),0,AW248)</f>
        <v>5000</v>
      </c>
      <c r="AY248" s="0" t="s">
        <v>80</v>
      </c>
      <c r="AZ248" s="0" t="str">
        <f aca="false">UPPER(IF(ISBLANK(AY248),"NONE",AY248))</f>
        <v>PROMO10</v>
      </c>
      <c r="BA248" s="7" t="s">
        <v>732</v>
      </c>
      <c r="BB248" s="7" t="str">
        <f aca="false">IF(ISBLANK(BA248),"No Follow Up Needed",BA248)</f>
        <v>14/10/2025</v>
      </c>
      <c r="BC248" s="0" t="s">
        <v>61</v>
      </c>
      <c r="BD248" s="0" t="str">
        <f aca="false">PROPER(IF(ISBLANK(BC248),"Unknown",BC248))</f>
        <v>No</v>
      </c>
      <c r="BE248" s="0" t="s">
        <v>171</v>
      </c>
      <c r="BF248" s="0" t="str">
        <f aca="false">IF(ISBLANK(BE248),"No comments",BE248)</f>
        <v>Shock absorber weakening</v>
      </c>
      <c r="BG248" s="0" t="s">
        <v>117</v>
      </c>
      <c r="BH248" s="0" t="str">
        <f aca="false">IF(ISBLANK(BG248),"No comments",BG248)</f>
        <v>Prefers morning</v>
      </c>
      <c r="BI248" s="0" t="s">
        <v>50</v>
      </c>
      <c r="BJ248" s="0" t="str">
        <f aca="false">IF(ISBLANK(BI248),"Not Mentioned",BI248)</f>
        <v>No</v>
      </c>
      <c r="BK248" s="0" t="s">
        <v>82</v>
      </c>
      <c r="BL248" s="0" t="str">
        <f aca="false">PROPER(IF(ISBLANK(BK248),"Not Mentioned",BK248))</f>
        <v>Yes</v>
      </c>
      <c r="BM248" s="0" t="s">
        <v>63</v>
      </c>
      <c r="BN248" s="0" t="str">
        <f aca="false">PROPER(IF(ISBLANK(BM248),"Not Mentioned",BM248))</f>
        <v>Yes</v>
      </c>
      <c r="BO248" s="0" t="s">
        <v>2321</v>
      </c>
      <c r="BP248" s="0" t="str">
        <f aca="false">IF(ISBLANK(BO248),"One-Time Plan",BO248)</f>
        <v>One-Time Plan</v>
      </c>
      <c r="BQ248" s="0" t="s">
        <v>50</v>
      </c>
      <c r="BR248" s="0" t="str">
        <f aca="false">PROPER(IF(ISBLANK(BQ248),"No",BQ248))</f>
        <v>No</v>
      </c>
    </row>
    <row r="249" customFormat="false" ht="15" hidden="false" customHeight="false" outlineLevel="0" collapsed="false">
      <c r="A249" s="0" t="s">
        <v>733</v>
      </c>
      <c r="B249" s="2" t="n">
        <v>45820</v>
      </c>
      <c r="C249" s="2" t="str">
        <f aca="false">TEXT(B249,"dd/mm/yyyy")</f>
        <v>12/06/2025</v>
      </c>
      <c r="D249" s="0" t="s">
        <v>105</v>
      </c>
      <c r="E249" s="0" t="n">
        <v>8025916596</v>
      </c>
      <c r="F249" s="0" t="s">
        <v>85</v>
      </c>
      <c r="G249" s="0" t="s">
        <v>2319</v>
      </c>
      <c r="H249" s="0" t="s">
        <v>734</v>
      </c>
      <c r="I249" s="0" t="s">
        <v>87</v>
      </c>
      <c r="J249" s="0" t="s">
        <v>2322</v>
      </c>
      <c r="K249" s="3" t="str">
        <f aca="false" t="array" ref="K249:K249">IFERROR(IF(J249&lt;&gt;"",J249,INDEX(J249:J1248,MATCH(1,(F249:F1248=F249)*(I249:I1248=I249)*(L249:L1248=L249)*(J249:J1248&lt;&gt;""),0))),"Not Found")</f>
        <v>Brake Failure</v>
      </c>
      <c r="L249" s="3" t="s">
        <v>189</v>
      </c>
      <c r="M249" s="0" t="str">
        <f aca="false">PROPER(L249)</f>
        <v>Battery</v>
      </c>
      <c r="N249" s="3" t="s">
        <v>109</v>
      </c>
      <c r="O249" s="0" t="str">
        <f aca="false" t="array" ref="O249:O249">IF(N249&lt;&gt;"",N249,_xlfn.xlookup(1,(L249:L1248=L249)*(N249:N1248&lt;&gt;""),N249:N1248,"Not Found"))</f>
        <v>Tijani</v>
      </c>
      <c r="P249" s="4" t="n">
        <v>31365</v>
      </c>
      <c r="Q249" s="0" t="s">
        <v>110</v>
      </c>
      <c r="R249" s="0" t="str">
        <f aca="false">PROPER(Q249)</f>
        <v>Cash</v>
      </c>
      <c r="S249" s="0" t="s">
        <v>63</v>
      </c>
      <c r="T249" s="0" t="n">
        <v>2</v>
      </c>
      <c r="U249" s="5" t="n">
        <f aca="false">IF(ISBLANK(T249),AVERAGE(T249:T1248),T249)</f>
        <v>2</v>
      </c>
      <c r="V249" s="0" t="n">
        <v>1.3</v>
      </c>
      <c r="W249" s="0" t="s">
        <v>51</v>
      </c>
      <c r="X249" s="0" t="str">
        <f aca="false">IF(ISBLANK(W249),"No remarks",W249)</f>
        <v>Recommended further checks</v>
      </c>
      <c r="Y249" s="0" t="s">
        <v>73</v>
      </c>
      <c r="Z249" s="0" t="s">
        <v>53</v>
      </c>
      <c r="AA249" s="0" t="str">
        <f aca="false">PROPER(IF(ISBLANK(Z249),"Location Unavailable",Z249))</f>
        <v>Main Bay</v>
      </c>
      <c r="AB249" s="0" t="s">
        <v>95</v>
      </c>
      <c r="AC249" s="6" t="str">
        <f aca="false">PROPER(AB249)</f>
        <v>Road Sign</v>
      </c>
      <c r="AD249" s="6" t="n">
        <v>30</v>
      </c>
      <c r="AE249" s="5" t="n">
        <f aca="false">IF(ISBLANK(AD249),AVERAGEIF(L249:L1248,L249,AD249:AD1248),AD249)</f>
        <v>30</v>
      </c>
      <c r="AF249" s="0" t="s">
        <v>112</v>
      </c>
      <c r="AG249" s="0" t="str">
        <f aca="false">PROPER(AF249)</f>
        <v>Unavailable</v>
      </c>
      <c r="AH249" s="0" t="s">
        <v>56</v>
      </c>
      <c r="AI249" s="0" t="s">
        <v>98</v>
      </c>
      <c r="AJ249" s="0" t="str">
        <f aca="false">PROPER(AI249)</f>
        <v>Emergency</v>
      </c>
      <c r="AK249" s="0" t="s">
        <v>99</v>
      </c>
      <c r="AL249" s="0" t="str">
        <f aca="false">PROPER(AK249)</f>
        <v>Uber Driver</v>
      </c>
      <c r="AM249" s="0" t="s">
        <v>59</v>
      </c>
      <c r="AN249" s="0" t="str">
        <f aca="false">IF(ISBLANK(AM249),"Unknown",AM249)</f>
        <v>Bolt Driver</v>
      </c>
      <c r="AO249" s="0" t="s">
        <v>149</v>
      </c>
      <c r="AP249" s="0" t="str">
        <f aca="false">IF(ISBLANK(AO249),"Unknown",AO249)</f>
        <v>Senior </v>
      </c>
      <c r="AQ249" s="0" t="n">
        <v>20000</v>
      </c>
      <c r="AR249" s="5" t="n">
        <f aca="false">IF(ISBLANK(AQ249),AVERAGEIF(M249:M1248,M249,AQ249:AQ1248),AQ249)</f>
        <v>20000</v>
      </c>
      <c r="AT249" s="5" t="n">
        <f aca="false">IF(ISBLANK(AS249),AVERAGE(AS249:AS1248),AS249)</f>
        <v>31468.6998394864</v>
      </c>
      <c r="AU249" s="0" t="s">
        <v>82</v>
      </c>
      <c r="AV249" s="0" t="str">
        <f aca="false">PROPER(IF(ISBLANK(AU249),"No",AU249))</f>
        <v>Yes</v>
      </c>
      <c r="AW249" s="0" t="n">
        <v>0</v>
      </c>
      <c r="AX249" s="5" t="n">
        <f aca="false">IF(ISBLANK(AW249),0,AW249)</f>
        <v>0</v>
      </c>
      <c r="AY249" s="0" t="s">
        <v>130</v>
      </c>
      <c r="AZ249" s="0" t="str">
        <f aca="false">UPPER(IF(ISBLANK(AY249),"NONE",AY249))</f>
        <v>LOYALTY10</v>
      </c>
      <c r="BA249" s="7" t="n">
        <v>45724</v>
      </c>
      <c r="BB249" s="7" t="n">
        <f aca="false">IF(ISBLANK(BA249),"No Follow Up Needed",BA249)</f>
        <v>45724</v>
      </c>
      <c r="BD249" s="0" t="str">
        <f aca="false">PROPER(IF(ISBLANK(BC249),"Unknown",BC249))</f>
        <v>Unknown</v>
      </c>
      <c r="BF249" s="0" t="str">
        <f aca="false">IF(ISBLANK(BE249),"No comments",BE249)</f>
        <v>No comments</v>
      </c>
      <c r="BG249" s="0" t="s">
        <v>2320</v>
      </c>
      <c r="BH249" s="0" t="str">
        <f aca="false">IF(ISBLANK(BG249),"No comments",BG249)</f>
        <v>No complaints</v>
      </c>
      <c r="BI249" s="0" t="s">
        <v>63</v>
      </c>
      <c r="BJ249" s="0" t="str">
        <f aca="false">IF(ISBLANK(BI249),"Not Mentioned",BI249)</f>
        <v>Yes</v>
      </c>
      <c r="BK249" s="0" t="s">
        <v>50</v>
      </c>
      <c r="BL249" s="0" t="str">
        <f aca="false">PROPER(IF(ISBLANK(BK249),"Not Mentioned",BK249))</f>
        <v>No</v>
      </c>
      <c r="BM249" s="0" t="s">
        <v>63</v>
      </c>
      <c r="BN249" s="0" t="str">
        <f aca="false">PROPER(IF(ISBLANK(BM249),"Not Mentioned",BM249))</f>
        <v>Yes</v>
      </c>
      <c r="BO249" s="0" t="s">
        <v>2318</v>
      </c>
      <c r="BP249" s="0" t="str">
        <f aca="false">IF(ISBLANK(BO249),"One-Time Plan",BO249)</f>
        <v>Gold</v>
      </c>
      <c r="BQ249" s="0" t="s">
        <v>50</v>
      </c>
      <c r="BR249" s="0" t="str">
        <f aca="false">PROPER(IF(ISBLANK(BQ249),"No",BQ249))</f>
        <v>No</v>
      </c>
    </row>
    <row r="250" customFormat="false" ht="15" hidden="false" customHeight="false" outlineLevel="0" collapsed="false">
      <c r="A250" s="0" t="s">
        <v>735</v>
      </c>
      <c r="B250" s="2" t="n">
        <v>45821</v>
      </c>
      <c r="C250" s="2" t="str">
        <f aca="false">TEXT(B250,"dd/mm/yyyy")</f>
        <v>13/06/2025</v>
      </c>
      <c r="D250" s="0" t="s">
        <v>121</v>
      </c>
      <c r="E250" s="0" t="n">
        <v>8019576257</v>
      </c>
      <c r="F250" s="0" t="s">
        <v>85</v>
      </c>
      <c r="G250" s="0" t="s">
        <v>2319</v>
      </c>
      <c r="H250" s="0" t="s">
        <v>736</v>
      </c>
      <c r="I250" s="0" t="s">
        <v>45</v>
      </c>
      <c r="J250" s="0" t="s">
        <v>2317</v>
      </c>
      <c r="K250" s="3" t="str">
        <f aca="false" t="array" ref="K250:K250">IFERROR(IF(J250&lt;&gt;"",J250,INDEX(J250:J1249,MATCH(1,(F250:F1249=F250)*(I250:I1249=I250)*(L250:L1249=L250)*(J250:J1249&lt;&gt;""),0))),"Not Found")</f>
        <v>Suspension Noise</v>
      </c>
      <c r="L250" s="3" t="s">
        <v>154</v>
      </c>
      <c r="M250" s="0" t="str">
        <f aca="false">PROPER(L250)</f>
        <v>Air Filter</v>
      </c>
      <c r="N250" s="3" t="s">
        <v>109</v>
      </c>
      <c r="O250" s="0" t="str">
        <f aca="false" t="array" ref="O250:O250">IF(N250&lt;&gt;"",N250,_xlfn.xlookup(1,(L250:L1249=L250)*(N250:N1249&lt;&gt;""),N250:N1249,"Not Found"))</f>
        <v>Tijani</v>
      </c>
      <c r="P250" s="4" t="n">
        <v>37531</v>
      </c>
      <c r="Q250" s="0" t="s">
        <v>91</v>
      </c>
      <c r="R250" s="0" t="str">
        <f aca="false">PROPER(Q250)</f>
        <v>Pos</v>
      </c>
      <c r="S250" s="0" t="s">
        <v>50</v>
      </c>
      <c r="T250" s="0" t="n">
        <v>5</v>
      </c>
      <c r="U250" s="5" t="n">
        <f aca="false">IF(ISBLANK(T250),AVERAGE(T250:T1249),T250)</f>
        <v>5</v>
      </c>
      <c r="V250" s="0" t="n">
        <v>5</v>
      </c>
      <c r="W250" s="0" t="s">
        <v>125</v>
      </c>
      <c r="X250" s="0" t="str">
        <f aca="false">IF(ISBLANK(W250),"No remarks",W250)</f>
        <v>Customer waited</v>
      </c>
      <c r="Y250" s="0" t="s">
        <v>52</v>
      </c>
      <c r="Z250" s="0" t="s">
        <v>94</v>
      </c>
      <c r="AA250" s="0" t="str">
        <f aca="false">PROPER(IF(ISBLANK(Z250),"Location Unavailable",Z250))</f>
        <v>Vip Section</v>
      </c>
      <c r="AB250" s="0" t="s">
        <v>147</v>
      </c>
      <c r="AC250" s="6" t="str">
        <f aca="false">PROPER(AB250)</f>
        <v>Instagram</v>
      </c>
      <c r="AD250" s="6" t="n">
        <v>45</v>
      </c>
      <c r="AE250" s="5" t="n">
        <f aca="false">IF(ISBLANK(AD250),AVERAGEIF(L250:L1249,L250,AD250:AD1249),AD250)</f>
        <v>45</v>
      </c>
      <c r="AF250" s="0" t="s">
        <v>96</v>
      </c>
      <c r="AG250" s="0" t="str">
        <f aca="false">PROPER(AF250)</f>
        <v>Ordered</v>
      </c>
      <c r="AH250" s="0" t="s">
        <v>155</v>
      </c>
      <c r="AI250" s="0" t="s">
        <v>113</v>
      </c>
      <c r="AJ250" s="0" t="str">
        <f aca="false">PROPER(AI250)</f>
        <v>Normal</v>
      </c>
      <c r="AK250" s="0" t="s">
        <v>114</v>
      </c>
      <c r="AL250" s="0" t="str">
        <f aca="false">PROPER(AK250)</f>
        <v>Returning</v>
      </c>
      <c r="AN250" s="0" t="str">
        <f aca="false">IF(ISBLANK(AM250),"Unknown",AM250)</f>
        <v>Unknown</v>
      </c>
      <c r="AO250" s="0" t="s">
        <v>149</v>
      </c>
      <c r="AP250" s="0" t="str">
        <f aca="false">IF(ISBLANK(AO250),"Unknown",AO250)</f>
        <v>Senior </v>
      </c>
      <c r="AQ250" s="0" t="n">
        <v>25000</v>
      </c>
      <c r="AR250" s="5" t="n">
        <f aca="false">IF(ISBLANK(AQ250),AVERAGEIF(M250:M1249,M250,AQ250:AQ1249),AQ250)</f>
        <v>25000</v>
      </c>
      <c r="AS250" s="0" t="n">
        <v>35000</v>
      </c>
      <c r="AT250" s="5" t="n">
        <f aca="false">IF(ISBLANK(AS250),AVERAGE(AS250:AS1249),AS250)</f>
        <v>35000</v>
      </c>
      <c r="AU250" s="0" t="s">
        <v>50</v>
      </c>
      <c r="AV250" s="0" t="str">
        <f aca="false">PROPER(IF(ISBLANK(AU250),"No",AU250))</f>
        <v>No</v>
      </c>
      <c r="AX250" s="5" t="n">
        <f aca="false">IF(ISBLANK(AW250),0,AW250)</f>
        <v>0</v>
      </c>
      <c r="AY250" s="0" t="s">
        <v>184</v>
      </c>
      <c r="AZ250" s="0" t="str">
        <f aca="false">UPPER(IF(ISBLANK(AY250),"NONE",AY250))</f>
        <v>N/A</v>
      </c>
      <c r="BA250" s="7" t="n">
        <v>45894</v>
      </c>
      <c r="BB250" s="7" t="n">
        <f aca="false">IF(ISBLANK(BA250),"No Follow Up Needed",BA250)</f>
        <v>45894</v>
      </c>
      <c r="BC250" s="0" t="s">
        <v>63</v>
      </c>
      <c r="BD250" s="0" t="str">
        <f aca="false">PROPER(IF(ISBLANK(BC250),"Unknown",BC250))</f>
        <v>Yes</v>
      </c>
      <c r="BE250" s="0" t="s">
        <v>171</v>
      </c>
      <c r="BF250" s="0" t="str">
        <f aca="false">IF(ISBLANK(BE250),"No comments",BE250)</f>
        <v>Shock absorber weakening</v>
      </c>
      <c r="BH250" s="0" t="str">
        <f aca="false">IF(ISBLANK(BG250),"No comments",BG250)</f>
        <v>No comments</v>
      </c>
      <c r="BJ250" s="0" t="str">
        <f aca="false">IF(ISBLANK(BI250),"Not Mentioned",BI250)</f>
        <v>Not Mentioned</v>
      </c>
      <c r="BL250" s="0" t="str">
        <f aca="false">PROPER(IF(ISBLANK(BK250),"Not Mentioned",BK250))</f>
        <v>Not Mentioned</v>
      </c>
      <c r="BN250" s="0" t="str">
        <f aca="false">PROPER(IF(ISBLANK(BM250),"Not Mentioned",BM250))</f>
        <v>Not Mentioned</v>
      </c>
      <c r="BO250" s="0" t="s">
        <v>2318</v>
      </c>
      <c r="BP250" s="0" t="str">
        <f aca="false">IF(ISBLANK(BO250),"One-Time Plan",BO250)</f>
        <v>Gold</v>
      </c>
      <c r="BQ250" s="0" t="s">
        <v>50</v>
      </c>
      <c r="BR250" s="0" t="str">
        <f aca="false">PROPER(IF(ISBLANK(BQ250),"No",BQ250))</f>
        <v>No</v>
      </c>
    </row>
    <row r="251" customFormat="false" ht="15" hidden="false" customHeight="false" outlineLevel="0" collapsed="false">
      <c r="A251" s="0" t="s">
        <v>738</v>
      </c>
      <c r="B251" s="2" t="s">
        <v>737</v>
      </c>
      <c r="C251" s="2" t="str">
        <f aca="false">TEXT(B251,"dd/mm/yyyy")</f>
        <v>21/03/2025</v>
      </c>
      <c r="D251" s="0" t="s">
        <v>121</v>
      </c>
      <c r="E251" s="0" t="n">
        <v>8058350177</v>
      </c>
      <c r="F251" s="0" t="s">
        <v>67</v>
      </c>
      <c r="G251" s="0" t="s">
        <v>2316</v>
      </c>
      <c r="H251" s="0" t="s">
        <v>739</v>
      </c>
      <c r="I251" s="0" t="s">
        <v>87</v>
      </c>
      <c r="J251" s="0" t="s">
        <v>2325</v>
      </c>
      <c r="K251" s="3" t="str">
        <f aca="false" t="array" ref="K251:K251">IFERROR(IF(J251&lt;&gt;"",J251,INDEX(J251:J1250,MATCH(1,(F251:F1250=F251)*(I251:I1250=I251)*(L251:L1250=L251)*(J251:J1250&lt;&gt;""),0))),"Not Found")</f>
        <v>Engine Knocking</v>
      </c>
      <c r="L251" s="3" t="s">
        <v>89</v>
      </c>
      <c r="M251" s="0" t="str">
        <f aca="false">PROPER(L251)</f>
        <v>Shock Absorbers</v>
      </c>
      <c r="N251" s="3" t="s">
        <v>48</v>
      </c>
      <c r="O251" s="0" t="str">
        <f aca="false" t="array" ref="O251:O251">IF(N251&lt;&gt;"",N251,_xlfn.xlookup(1,(L251:L1250=L251)*(N251:N1250&lt;&gt;""),N251:N1250,"Not Found"))</f>
        <v>Uche</v>
      </c>
      <c r="P251" s="4" t="n">
        <v>105414</v>
      </c>
      <c r="Q251" s="0" t="s">
        <v>124</v>
      </c>
      <c r="R251" s="0" t="str">
        <f aca="false">PROPER(Q251)</f>
        <v>Cash</v>
      </c>
      <c r="S251" s="0" t="s">
        <v>50</v>
      </c>
      <c r="T251" s="0" t="n">
        <v>3</v>
      </c>
      <c r="U251" s="5" t="n">
        <f aca="false">IF(ISBLANK(T251),AVERAGE(T251:T1250),T251)</f>
        <v>3</v>
      </c>
      <c r="V251" s="0" t="n">
        <v>3.4</v>
      </c>
      <c r="X251" s="0" t="str">
        <f aca="false">IF(ISBLANK(W251),"No remarks",W251)</f>
        <v>No remarks</v>
      </c>
      <c r="Y251" s="0" t="s">
        <v>52</v>
      </c>
      <c r="AA251" s="0" t="str">
        <f aca="false">PROPER(IF(ISBLANK(Z251),"Location Unavailable",Z251))</f>
        <v>Location Unavailable</v>
      </c>
      <c r="AB251" s="0" t="s">
        <v>95</v>
      </c>
      <c r="AC251" s="6" t="str">
        <f aca="false">PROPER(AB251)</f>
        <v>Road Sign</v>
      </c>
      <c r="AD251" s="6" t="n">
        <v>60</v>
      </c>
      <c r="AE251" s="5" t="n">
        <f aca="false">IF(ISBLANK(AD251),AVERAGEIF(L251:L1250,L251,AD251:AD1250),AD251)</f>
        <v>60</v>
      </c>
      <c r="AF251" s="0" t="s">
        <v>55</v>
      </c>
      <c r="AG251" s="0" t="str">
        <f aca="false">PROPER(AF251)</f>
        <v>Available</v>
      </c>
      <c r="AH251" s="0" t="s">
        <v>148</v>
      </c>
      <c r="AI251" s="0" t="s">
        <v>128</v>
      </c>
      <c r="AJ251" s="0" t="str">
        <f aca="false">PROPER(AI251)</f>
        <v>Normal</v>
      </c>
      <c r="AK251" s="0" t="s">
        <v>58</v>
      </c>
      <c r="AL251" s="0" t="str">
        <f aca="false">PROPER(AK251)</f>
        <v>Fleet Owner</v>
      </c>
      <c r="AM251" s="0" t="s">
        <v>177</v>
      </c>
      <c r="AN251" s="0" t="str">
        <f aca="false">IF(ISBLANK(AM251),"Unknown",AM251)</f>
        <v>Private</v>
      </c>
      <c r="AO251" s="0" t="s">
        <v>79</v>
      </c>
      <c r="AP251" s="0" t="str">
        <f aca="false">IF(ISBLANK(AO251),"Unknown",AO251)</f>
        <v>Specialist</v>
      </c>
      <c r="AR251" s="5" t="n">
        <f aca="false">IF(ISBLANK(AQ251),AVERAGEIF(M251:M1250,M251,AQ251:AQ1250),AQ251)</f>
        <v>26287.1287128713</v>
      </c>
      <c r="AS251" s="0" t="n">
        <v>40000</v>
      </c>
      <c r="AT251" s="5" t="n">
        <f aca="false">IF(ISBLANK(AS251),AVERAGE(AS251:AS1250),AS251)</f>
        <v>40000</v>
      </c>
      <c r="AU251" s="0" t="s">
        <v>63</v>
      </c>
      <c r="AV251" s="0" t="str">
        <f aca="false">PROPER(IF(ISBLANK(AU251),"No",AU251))</f>
        <v>Yes</v>
      </c>
      <c r="AW251" s="0" t="n">
        <v>10000</v>
      </c>
      <c r="AX251" s="5" t="n">
        <f aca="false">IF(ISBLANK(AW251),0,AW251)</f>
        <v>10000</v>
      </c>
      <c r="AY251" s="0" t="s">
        <v>184</v>
      </c>
      <c r="AZ251" s="0" t="str">
        <f aca="false">UPPER(IF(ISBLANK(AY251),"NONE",AY251))</f>
        <v>N/A</v>
      </c>
      <c r="BA251" s="7" t="n">
        <v>45852</v>
      </c>
      <c r="BB251" s="7" t="n">
        <f aca="false">IF(ISBLANK(BA251),"No Follow Up Needed",BA251)</f>
        <v>45852</v>
      </c>
      <c r="BC251" s="0" t="s">
        <v>82</v>
      </c>
      <c r="BD251" s="0" t="str">
        <f aca="false">PROPER(IF(ISBLANK(BC251),"Unknown",BC251))</f>
        <v>Yes</v>
      </c>
      <c r="BF251" s="0" t="str">
        <f aca="false">IF(ISBLANK(BE251),"No comments",BE251)</f>
        <v>No comments</v>
      </c>
      <c r="BG251" s="0" t="s">
        <v>117</v>
      </c>
      <c r="BH251" s="0" t="str">
        <f aca="false">IF(ISBLANK(BG251),"No comments",BG251)</f>
        <v>Prefers morning</v>
      </c>
      <c r="BJ251" s="0" t="str">
        <f aca="false">IF(ISBLANK(BI251),"Not Mentioned",BI251)</f>
        <v>Not Mentioned</v>
      </c>
      <c r="BK251" s="0" t="s">
        <v>61</v>
      </c>
      <c r="BL251" s="0" t="str">
        <f aca="false">PROPER(IF(ISBLANK(BK251),"Not Mentioned",BK251))</f>
        <v>No</v>
      </c>
      <c r="BN251" s="0" t="str">
        <f aca="false">PROPER(IF(ISBLANK(BM251),"Not Mentioned",BM251))</f>
        <v>Not Mentioned</v>
      </c>
      <c r="BO251" s="0" t="s">
        <v>2318</v>
      </c>
      <c r="BP251" s="0" t="str">
        <f aca="false">IF(ISBLANK(BO251),"One-Time Plan",BO251)</f>
        <v>Gold</v>
      </c>
      <c r="BQ251" s="0" t="s">
        <v>50</v>
      </c>
      <c r="BR251" s="0" t="str">
        <f aca="false">PROPER(IF(ISBLANK(BQ251),"No",BQ251))</f>
        <v>No</v>
      </c>
    </row>
    <row r="252" customFormat="false" ht="15" hidden="false" customHeight="false" outlineLevel="0" collapsed="false">
      <c r="A252" s="0" t="s">
        <v>740</v>
      </c>
      <c r="B252" s="2" t="s">
        <v>416</v>
      </c>
      <c r="C252" s="2" t="str">
        <f aca="false">TEXT(B252,"dd/mm/yyyy")</f>
        <v>28/02/2025</v>
      </c>
      <c r="D252" s="0" t="s">
        <v>42</v>
      </c>
      <c r="E252" s="0" t="n">
        <v>8015138040</v>
      </c>
      <c r="F252" s="0" t="s">
        <v>85</v>
      </c>
      <c r="G252" s="0" t="s">
        <v>2319</v>
      </c>
      <c r="H252" s="0" t="s">
        <v>741</v>
      </c>
      <c r="I252" s="0" t="s">
        <v>107</v>
      </c>
      <c r="J252" s="0" t="s">
        <v>2325</v>
      </c>
      <c r="K252" s="3" t="str">
        <f aca="false" t="array" ref="K252:K252">IFERROR(IF(J252&lt;&gt;"",J252,INDEX(J252:J1251,MATCH(1,(F252:F1251=F252)*(I252:I1251=I252)*(L252:L1251=L252)*(J252:J1251&lt;&gt;""),0))),"Not Found")</f>
        <v>Engine Knocking</v>
      </c>
      <c r="L252" s="3" t="s">
        <v>108</v>
      </c>
      <c r="M252" s="0" t="str">
        <f aca="false">PROPER(L252)</f>
        <v>Timing Belt</v>
      </c>
      <c r="O252" s="0" t="e">
        <f aca="false" t="array" ref="O252:O252">IF(N252&lt;&gt;"",N252,_xlfn.xlookup(1,(L252:L1251=L252)*(N252:N1251&lt;&gt;""),N252:N1251,"Not Found"))</f>
        <v>#NAME?</v>
      </c>
      <c r="P252" s="4" t="n">
        <v>84778</v>
      </c>
      <c r="Q252" s="0" t="s">
        <v>91</v>
      </c>
      <c r="R252" s="0" t="str">
        <f aca="false">PROPER(Q252)</f>
        <v>Pos</v>
      </c>
      <c r="S252" s="0" t="s">
        <v>63</v>
      </c>
      <c r="T252" s="0" t="n">
        <v>1</v>
      </c>
      <c r="U252" s="5" t="n">
        <f aca="false">IF(ISBLANK(T252),AVERAGE(T252:T1251),T252)</f>
        <v>1</v>
      </c>
      <c r="V252" s="0" t="n">
        <v>3.4</v>
      </c>
      <c r="W252" s="0" t="s">
        <v>51</v>
      </c>
      <c r="X252" s="0" t="str">
        <f aca="false">IF(ISBLANK(W252),"No remarks",W252)</f>
        <v>Recommended further checks</v>
      </c>
      <c r="Y252" s="0" t="s">
        <v>73</v>
      </c>
      <c r="Z252" s="0" t="s">
        <v>136</v>
      </c>
      <c r="AA252" s="0" t="str">
        <f aca="false">PROPER(IF(ISBLANK(Z252),"Location Unavailable",Z252))</f>
        <v>Vip Section</v>
      </c>
      <c r="AB252" s="0" t="s">
        <v>75</v>
      </c>
      <c r="AC252" s="6" t="str">
        <f aca="false">PROPER(AB252)</f>
        <v>Mechanik Referal</v>
      </c>
      <c r="AD252" s="6" t="n">
        <v>60</v>
      </c>
      <c r="AE252" s="5" t="n">
        <f aca="false">IF(ISBLANK(AD252),AVERAGEIF(L252:L1251,L252,AD252:AD1251),AD252)</f>
        <v>60</v>
      </c>
      <c r="AF252" s="0" t="s">
        <v>55</v>
      </c>
      <c r="AG252" s="0" t="str">
        <f aca="false">PROPER(AF252)</f>
        <v>Available</v>
      </c>
      <c r="AH252" s="0" t="s">
        <v>155</v>
      </c>
      <c r="AI252" s="0" t="s">
        <v>113</v>
      </c>
      <c r="AJ252" s="0" t="str">
        <f aca="false">PROPER(AI252)</f>
        <v>Normal</v>
      </c>
      <c r="AK252" s="0" t="s">
        <v>196</v>
      </c>
      <c r="AL252" s="0" t="str">
        <f aca="false">PROPER(AK252)</f>
        <v>First Time</v>
      </c>
      <c r="AN252" s="0" t="str">
        <f aca="false">IF(ISBLANK(AM252),"Unknown",AM252)</f>
        <v>Unknown</v>
      </c>
      <c r="AO252" s="0" t="s">
        <v>79</v>
      </c>
      <c r="AP252" s="0" t="str">
        <f aca="false">IF(ISBLANK(AO252),"Unknown",AO252)</f>
        <v>Specialist</v>
      </c>
      <c r="AQ252" s="0" t="n">
        <v>40000</v>
      </c>
      <c r="AR252" s="5" t="n">
        <f aca="false">IF(ISBLANK(AQ252),AVERAGEIF(M252:M1251,M252,AQ252:AQ1251),AQ252)</f>
        <v>40000</v>
      </c>
      <c r="AS252" s="0" t="n">
        <v>20000</v>
      </c>
      <c r="AT252" s="5" t="n">
        <f aca="false">IF(ISBLANK(AS252),AVERAGE(AS252:AS1251),AS252)</f>
        <v>20000</v>
      </c>
      <c r="AU252" s="0" t="s">
        <v>82</v>
      </c>
      <c r="AV252" s="0" t="str">
        <f aca="false">PROPER(IF(ISBLANK(AU252),"No",AU252))</f>
        <v>Yes</v>
      </c>
      <c r="AW252" s="0" t="n">
        <v>0</v>
      </c>
      <c r="AX252" s="5" t="n">
        <f aca="false">IF(ISBLANK(AW252),0,AW252)</f>
        <v>0</v>
      </c>
      <c r="AY252" s="0" t="s">
        <v>60</v>
      </c>
      <c r="AZ252" s="0" t="str">
        <f aca="false">UPPER(IF(ISBLANK(AY252),"NONE",AY252))</f>
        <v>NONE</v>
      </c>
      <c r="BB252" s="7" t="str">
        <f aca="false">IF(ISBLANK(BA252),"No Follow Up Needed",BA252)</f>
        <v>No Follow Up Needed</v>
      </c>
      <c r="BC252" s="0" t="s">
        <v>50</v>
      </c>
      <c r="BD252" s="0" t="str">
        <f aca="false">PROPER(IF(ISBLANK(BC252),"Unknown",BC252))</f>
        <v>No</v>
      </c>
      <c r="BE252" s="0" t="s">
        <v>116</v>
      </c>
      <c r="BF252" s="0" t="str">
        <f aca="false">IF(ISBLANK(BE252),"No comments",BE252)</f>
        <v>Needs tire alignment</v>
      </c>
      <c r="BH252" s="0" t="str">
        <f aca="false">IF(ISBLANK(BG252),"No comments",BG252)</f>
        <v>No comments</v>
      </c>
      <c r="BJ252" s="0" t="str">
        <f aca="false">IF(ISBLANK(BI252),"Not Mentioned",BI252)</f>
        <v>Not Mentioned</v>
      </c>
      <c r="BL252" s="0" t="str">
        <f aca="false">PROPER(IF(ISBLANK(BK252),"Not Mentioned",BK252))</f>
        <v>Not Mentioned</v>
      </c>
      <c r="BN252" s="0" t="str">
        <f aca="false">PROPER(IF(ISBLANK(BM252),"Not Mentioned",BM252))</f>
        <v>Not Mentioned</v>
      </c>
      <c r="BO252" s="0" t="s">
        <v>2318</v>
      </c>
      <c r="BP252" s="0" t="str">
        <f aca="false">IF(ISBLANK(BO252),"One-Time Plan",BO252)</f>
        <v>Gold</v>
      </c>
      <c r="BR252" s="0" t="str">
        <f aca="false">PROPER(IF(ISBLANK(BQ252),"No",BQ252))</f>
        <v>No</v>
      </c>
    </row>
    <row r="253" customFormat="false" ht="15" hidden="false" customHeight="false" outlineLevel="0" collapsed="false">
      <c r="A253" s="0" t="s">
        <v>742</v>
      </c>
      <c r="B253" s="2" t="n">
        <v>45751</v>
      </c>
      <c r="C253" s="2" t="str">
        <f aca="false">TEXT(B253,"dd/mm/yyyy")</f>
        <v>04/04/2025</v>
      </c>
      <c r="D253" s="0" t="s">
        <v>42</v>
      </c>
      <c r="E253" s="0" t="n">
        <v>8083286377</v>
      </c>
      <c r="F253" s="0" t="s">
        <v>43</v>
      </c>
      <c r="G253" s="0" t="s">
        <v>2315</v>
      </c>
      <c r="H253" s="0" t="s">
        <v>743</v>
      </c>
      <c r="I253" s="0" t="s">
        <v>87</v>
      </c>
      <c r="J253" s="0" t="s">
        <v>2322</v>
      </c>
      <c r="K253" s="3" t="str">
        <f aca="false" t="array" ref="K253:K253">IFERROR(IF(J253&lt;&gt;"",J253,INDEX(J253:J1252,MATCH(1,(F253:F1252=F253)*(I253:I1252=I253)*(L253:L1252=L253)*(J253:J1252&lt;&gt;""),0))),"Not Found")</f>
        <v>Brake Failure</v>
      </c>
      <c r="L253" s="3" t="s">
        <v>189</v>
      </c>
      <c r="M253" s="0" t="str">
        <f aca="false">PROPER(L253)</f>
        <v>Battery</v>
      </c>
      <c r="N253" s="3" t="s">
        <v>71</v>
      </c>
      <c r="O253" s="0" t="str">
        <f aca="false" t="array" ref="O253:O253">IF(N253&lt;&gt;"",N253,_xlfn.xlookup(1,(L253:L1252=L253)*(N253:N1252&lt;&gt;""),N253:N1252,"Not Found"))</f>
        <v>Isaac Bobo</v>
      </c>
      <c r="P253" s="4" t="n">
        <v>22264</v>
      </c>
      <c r="Q253" s="0" t="s">
        <v>49</v>
      </c>
      <c r="R253" s="0" t="str">
        <f aca="false">PROPER(Q253)</f>
        <v>Transfer</v>
      </c>
      <c r="S253" s="0" t="s">
        <v>63</v>
      </c>
      <c r="T253" s="0" t="n">
        <v>2</v>
      </c>
      <c r="U253" s="5" t="n">
        <f aca="false">IF(ISBLANK(T253),AVERAGE(T253:T1252),T253)</f>
        <v>2</v>
      </c>
      <c r="V253" s="0" t="n">
        <v>1</v>
      </c>
      <c r="W253" s="0" t="s">
        <v>111</v>
      </c>
      <c r="X253" s="0" t="str">
        <f aca="false">IF(ISBLANK(W253),"No remarks",W253)</f>
        <v>Changed all filters</v>
      </c>
      <c r="Y253" s="0" t="s">
        <v>93</v>
      </c>
      <c r="Z253" s="0" t="s">
        <v>74</v>
      </c>
      <c r="AA253" s="0" t="str">
        <f aca="false">PROPER(IF(ISBLANK(Z253),"Location Unavailable",Z253))</f>
        <v>Under Tree</v>
      </c>
      <c r="AB253" s="0" t="s">
        <v>126</v>
      </c>
      <c r="AC253" s="6" t="str">
        <f aca="false">PROPER(AB253)</f>
        <v>Whatsapp</v>
      </c>
      <c r="AD253" s="6" t="n">
        <v>45</v>
      </c>
      <c r="AE253" s="5" t="n">
        <f aca="false">IF(ISBLANK(AD253),AVERAGEIF(L253:L1252,L253,AD253:AD1252),AD253)</f>
        <v>45</v>
      </c>
      <c r="AF253" s="0" t="s">
        <v>55</v>
      </c>
      <c r="AG253" s="0" t="str">
        <f aca="false">PROPER(AF253)</f>
        <v>Available</v>
      </c>
      <c r="AH253" s="0" t="s">
        <v>148</v>
      </c>
      <c r="AI253" s="0" t="s">
        <v>78</v>
      </c>
      <c r="AJ253" s="0" t="str">
        <f aca="false">PROPER(AI253)</f>
        <v>Booking</v>
      </c>
      <c r="AK253" s="0" t="s">
        <v>99</v>
      </c>
      <c r="AL253" s="0" t="str">
        <f aca="false">PROPER(AK253)</f>
        <v>Uber Driver</v>
      </c>
      <c r="AN253" s="0" t="str">
        <f aca="false">IF(ISBLANK(AM253),"Unknown",AM253)</f>
        <v>Unknown</v>
      </c>
      <c r="AO253" s="0" t="s">
        <v>79</v>
      </c>
      <c r="AP253" s="0" t="str">
        <f aca="false">IF(ISBLANK(AO253),"Unknown",AO253)</f>
        <v>Specialist</v>
      </c>
      <c r="AR253" s="5" t="n">
        <f aca="false">IF(ISBLANK(AQ253),AVERAGEIF(M253:M1252,M253,AQ253:AQ1252),AQ253)</f>
        <v>25597.8260869565</v>
      </c>
      <c r="AT253" s="5" t="n">
        <f aca="false">IF(ISBLANK(AS253),AVERAGE(AS253:AS1252),AS253)</f>
        <v>31467.7419354839</v>
      </c>
      <c r="AU253" s="0" t="s">
        <v>61</v>
      </c>
      <c r="AV253" s="0" t="str">
        <f aca="false">PROPER(IF(ISBLANK(AU253),"No",AU253))</f>
        <v>No</v>
      </c>
      <c r="AW253" s="0" t="n">
        <v>0</v>
      </c>
      <c r="AX253" s="5" t="n">
        <f aca="false">IF(ISBLANK(AW253),0,AW253)</f>
        <v>0</v>
      </c>
      <c r="AY253" s="0" t="s">
        <v>184</v>
      </c>
      <c r="AZ253" s="0" t="str">
        <f aca="false">UPPER(IF(ISBLANK(AY253),"NONE",AY253))</f>
        <v>N/A</v>
      </c>
      <c r="BB253" s="7" t="str">
        <f aca="false">IF(ISBLANK(BA253),"No Follow Up Needed",BA253)</f>
        <v>No Follow Up Needed</v>
      </c>
      <c r="BC253" s="0" t="s">
        <v>50</v>
      </c>
      <c r="BD253" s="0" t="str">
        <f aca="false">PROPER(IF(ISBLANK(BC253),"Unknown",BC253))</f>
        <v>No</v>
      </c>
      <c r="BE253" s="0" t="s">
        <v>171</v>
      </c>
      <c r="BF253" s="0" t="str">
        <f aca="false">IF(ISBLANK(BE253),"No comments",BE253)</f>
        <v>Shock absorber weakening</v>
      </c>
      <c r="BH253" s="0" t="str">
        <f aca="false">IF(ISBLANK(BG253),"No comments",BG253)</f>
        <v>No comments</v>
      </c>
      <c r="BJ253" s="0" t="str">
        <f aca="false">IF(ISBLANK(BI253),"Not Mentioned",BI253)</f>
        <v>Not Mentioned</v>
      </c>
      <c r="BL253" s="0" t="str">
        <f aca="false">PROPER(IF(ISBLANK(BK253),"Not Mentioned",BK253))</f>
        <v>Not Mentioned</v>
      </c>
      <c r="BM253" s="0" t="s">
        <v>63</v>
      </c>
      <c r="BN253" s="0" t="str">
        <f aca="false">PROPER(IF(ISBLANK(BM253),"Not Mentioned",BM253))</f>
        <v>Yes</v>
      </c>
      <c r="BO253" s="0" t="s">
        <v>2321</v>
      </c>
      <c r="BP253" s="0" t="str">
        <f aca="false">IF(ISBLANK(BO253),"One-Time Plan",BO253)</f>
        <v>One-Time Plan</v>
      </c>
      <c r="BQ253" s="0" t="s">
        <v>198</v>
      </c>
      <c r="BR253" s="0" t="str">
        <f aca="false">PROPER(IF(ISBLANK(BQ253),"No",BQ253))</f>
        <v>Followed Up</v>
      </c>
    </row>
    <row r="254" customFormat="false" ht="15" hidden="false" customHeight="false" outlineLevel="0" collapsed="false">
      <c r="A254" s="0" t="s">
        <v>744</v>
      </c>
      <c r="B254" s="2" t="n">
        <v>45697</v>
      </c>
      <c r="C254" s="2" t="str">
        <f aca="false">TEXT(B254,"dd/mm/yyyy")</f>
        <v>09/02/2025</v>
      </c>
      <c r="D254" s="0" t="s">
        <v>105</v>
      </c>
      <c r="E254" s="0" t="n">
        <v>8036884696</v>
      </c>
      <c r="F254" s="0" t="s">
        <v>43</v>
      </c>
      <c r="G254" s="0" t="s">
        <v>2315</v>
      </c>
      <c r="H254" s="0" t="s">
        <v>745</v>
      </c>
      <c r="I254" s="0" t="s">
        <v>45</v>
      </c>
      <c r="J254" s="0" t="s">
        <v>2322</v>
      </c>
      <c r="K254" s="3" t="str">
        <f aca="false" t="array" ref="K254:K254">IFERROR(IF(J254&lt;&gt;"",J254,INDEX(J254:J1253,MATCH(1,(F254:F1253=F254)*(I254:I1253=I254)*(L254:L1253=L254)*(J254:J1253&lt;&gt;""),0))),"Not Found")</f>
        <v>Brake Failure</v>
      </c>
      <c r="L254" s="3" t="s">
        <v>154</v>
      </c>
      <c r="M254" s="0" t="str">
        <f aca="false">PROPER(L254)</f>
        <v>Air Filter</v>
      </c>
      <c r="N254" s="3" t="s">
        <v>48</v>
      </c>
      <c r="O254" s="0" t="str">
        <f aca="false" t="array" ref="O254:O254">IF(N254&lt;&gt;"",N254,_xlfn.xlookup(1,(L254:L1253=L254)*(N254:N1253&lt;&gt;""),N254:N1253,"Not Found"))</f>
        <v>Uche</v>
      </c>
      <c r="P254" s="4" t="n">
        <v>12993</v>
      </c>
      <c r="Q254" s="0" t="s">
        <v>110</v>
      </c>
      <c r="R254" s="0" t="str">
        <f aca="false">PROPER(Q254)</f>
        <v>Cash</v>
      </c>
      <c r="S254" s="0" t="s">
        <v>63</v>
      </c>
      <c r="T254" s="0" t="n">
        <v>2</v>
      </c>
      <c r="U254" s="5" t="n">
        <f aca="false">IF(ISBLANK(T254),AVERAGE(T254:T1253),T254)</f>
        <v>2</v>
      </c>
      <c r="V254" s="0" t="n">
        <v>5.1</v>
      </c>
      <c r="W254" s="0" t="s">
        <v>111</v>
      </c>
      <c r="X254" s="0" t="str">
        <f aca="false">IF(ISBLANK(W254),"No remarks",W254)</f>
        <v>Changed all filters</v>
      </c>
      <c r="Y254" s="0" t="s">
        <v>93</v>
      </c>
      <c r="Z254" s="0" t="s">
        <v>159</v>
      </c>
      <c r="AA254" s="0" t="str">
        <f aca="false">PROPER(IF(ISBLANK(Z254),"Location Unavailable",Z254))</f>
        <v>Main Bay</v>
      </c>
      <c r="AB254" s="0" t="s">
        <v>54</v>
      </c>
      <c r="AC254" s="6" t="str">
        <f aca="false">PROPER(AB254)</f>
        <v>Mechanic Referral</v>
      </c>
      <c r="AD254" s="6" t="n">
        <v>45</v>
      </c>
      <c r="AE254" s="5" t="n">
        <f aca="false">IF(ISBLANK(AD254),AVERAGEIF(L254:L1253,L254,AD254:AD1253),AD254)</f>
        <v>45</v>
      </c>
      <c r="AF254" s="0" t="s">
        <v>96</v>
      </c>
      <c r="AG254" s="0" t="str">
        <f aca="false">PROPER(AF254)</f>
        <v>Ordered</v>
      </c>
      <c r="AH254" s="0" t="s">
        <v>148</v>
      </c>
      <c r="AI254" s="0" t="s">
        <v>78</v>
      </c>
      <c r="AJ254" s="0" t="str">
        <f aca="false">PROPER(AI254)</f>
        <v>Booking</v>
      </c>
      <c r="AK254" s="0" t="s">
        <v>99</v>
      </c>
      <c r="AL254" s="0" t="str">
        <f aca="false">PROPER(AK254)</f>
        <v>Uber Driver</v>
      </c>
      <c r="AM254" s="0" t="s">
        <v>2324</v>
      </c>
      <c r="AN254" s="0" t="str">
        <f aca="false">IF(ISBLANK(AM254),"Unknown",AM254)</f>
        <v>Logistics Convoy</v>
      </c>
      <c r="AO254" s="0" t="s">
        <v>79</v>
      </c>
      <c r="AP254" s="0" t="str">
        <f aca="false">IF(ISBLANK(AO254),"Unknown",AO254)</f>
        <v>Specialist</v>
      </c>
      <c r="AQ254" s="0" t="n">
        <v>40000</v>
      </c>
      <c r="AR254" s="5" t="n">
        <f aca="false">IF(ISBLANK(AQ254),AVERAGEIF(M254:M1253,M254,AQ254:AQ1253),AQ254)</f>
        <v>40000</v>
      </c>
      <c r="AS254" s="0" t="n">
        <v>35000</v>
      </c>
      <c r="AT254" s="5" t="n">
        <f aca="false">IF(ISBLANK(AS254),AVERAGE(AS254:AS1253),AS254)</f>
        <v>35000</v>
      </c>
      <c r="AU254" s="0" t="s">
        <v>61</v>
      </c>
      <c r="AV254" s="0" t="str">
        <f aca="false">PROPER(IF(ISBLANK(AU254),"No",AU254))</f>
        <v>No</v>
      </c>
      <c r="AW254" s="0" t="n">
        <v>5000</v>
      </c>
      <c r="AX254" s="5" t="n">
        <f aca="false">IF(ISBLANK(AW254),0,AW254)</f>
        <v>5000</v>
      </c>
      <c r="AY254" s="0" t="s">
        <v>80</v>
      </c>
      <c r="AZ254" s="0" t="str">
        <f aca="false">UPPER(IF(ISBLANK(AY254),"NONE",AY254))</f>
        <v>PROMO10</v>
      </c>
      <c r="BB254" s="7" t="str">
        <f aca="false">IF(ISBLANK(BA254),"No Follow Up Needed",BA254)</f>
        <v>No Follow Up Needed</v>
      </c>
      <c r="BC254" s="0" t="s">
        <v>63</v>
      </c>
      <c r="BD254" s="0" t="str">
        <f aca="false">PROPER(IF(ISBLANK(BC254),"Unknown",BC254))</f>
        <v>Yes</v>
      </c>
      <c r="BE254" s="0" t="s">
        <v>116</v>
      </c>
      <c r="BF254" s="0" t="str">
        <f aca="false">IF(ISBLANK(BE254),"No comments",BE254)</f>
        <v>Needs tire alignment</v>
      </c>
      <c r="BG254" s="0" t="s">
        <v>172</v>
      </c>
      <c r="BH254" s="0" t="str">
        <f aca="false">IF(ISBLANK(BG254),"No comments",BG254)</f>
        <v>Always late</v>
      </c>
      <c r="BI254" s="0" t="s">
        <v>50</v>
      </c>
      <c r="BJ254" s="0" t="str">
        <f aca="false">IF(ISBLANK(BI254),"Not Mentioned",BI254)</f>
        <v>No</v>
      </c>
      <c r="BK254" s="0" t="s">
        <v>82</v>
      </c>
      <c r="BL254" s="0" t="str">
        <f aca="false">PROPER(IF(ISBLANK(BK254),"Not Mentioned",BK254))</f>
        <v>Yes</v>
      </c>
      <c r="BM254" s="0" t="s">
        <v>63</v>
      </c>
      <c r="BN254" s="0" t="str">
        <f aca="false">PROPER(IF(ISBLANK(BM254),"Not Mentioned",BM254))</f>
        <v>Yes</v>
      </c>
      <c r="BP254" s="0" t="str">
        <f aca="false">IF(ISBLANK(BO254),"One-Time Plan",BO254)</f>
        <v>One-Time Plan</v>
      </c>
      <c r="BQ254" s="0" t="s">
        <v>50</v>
      </c>
      <c r="BR254" s="0" t="str">
        <f aca="false">PROPER(IF(ISBLANK(BQ254),"No",BQ254))</f>
        <v>No</v>
      </c>
    </row>
    <row r="255" customFormat="false" ht="15" hidden="false" customHeight="false" outlineLevel="0" collapsed="false">
      <c r="A255" s="0" t="s">
        <v>746</v>
      </c>
      <c r="B255" s="2" t="n">
        <v>45749</v>
      </c>
      <c r="C255" s="2" t="str">
        <f aca="false">TEXT(B255,"dd/mm/yyyy")</f>
        <v>02/04/2025</v>
      </c>
      <c r="D255" s="0" t="s">
        <v>105</v>
      </c>
      <c r="E255" s="0" t="n">
        <v>8054796219</v>
      </c>
      <c r="F255" s="0" t="s">
        <v>67</v>
      </c>
      <c r="G255" s="0" t="s">
        <v>2316</v>
      </c>
      <c r="H255" s="0" t="s">
        <v>747</v>
      </c>
      <c r="I255" s="0" t="s">
        <v>87</v>
      </c>
      <c r="J255" s="0" t="s">
        <v>2317</v>
      </c>
      <c r="K255" s="3" t="str">
        <f aca="false" t="array" ref="K255:K255">IFERROR(IF(J255&lt;&gt;"",J255,INDEX(J255:J1254,MATCH(1,(F255:F1254=F255)*(I255:I1254=I255)*(L255:L1254=L255)*(J255:J1254&lt;&gt;""),0))),"Not Found")</f>
        <v>Suspension Noise</v>
      </c>
      <c r="L255" s="3" t="s">
        <v>89</v>
      </c>
      <c r="M255" s="0" t="str">
        <f aca="false">PROPER(L255)</f>
        <v>Shock Absorbers</v>
      </c>
      <c r="N255" s="3" t="s">
        <v>71</v>
      </c>
      <c r="O255" s="0" t="str">
        <f aca="false" t="array" ref="O255:O255">IF(N255&lt;&gt;"",N255,_xlfn.xlookup(1,(L255:L1254=L255)*(N255:N1254&lt;&gt;""),N255:N1254,"Not Found"))</f>
        <v>Isaac Bobo</v>
      </c>
      <c r="P255" s="4" t="n">
        <v>112097</v>
      </c>
      <c r="Q255" s="0" t="s">
        <v>91</v>
      </c>
      <c r="R255" s="0" t="str">
        <f aca="false">PROPER(Q255)</f>
        <v>Pos</v>
      </c>
      <c r="S255" s="0" t="s">
        <v>63</v>
      </c>
      <c r="T255" s="0" t="n">
        <v>5</v>
      </c>
      <c r="U255" s="5" t="n">
        <f aca="false">IF(ISBLANK(T255),AVERAGE(T255:T1254),T255)</f>
        <v>5</v>
      </c>
      <c r="V255" s="0" t="n">
        <v>3.2</v>
      </c>
      <c r="W255" s="0" t="s">
        <v>92</v>
      </c>
      <c r="X255" s="0" t="str">
        <f aca="false">IF(ISBLANK(W255),"No remarks",W255)</f>
        <v>Urgent service</v>
      </c>
      <c r="Y255" s="0" t="s">
        <v>93</v>
      </c>
      <c r="Z255" s="0" t="s">
        <v>136</v>
      </c>
      <c r="AA255" s="0" t="str">
        <f aca="false">PROPER(IF(ISBLANK(Z255),"Location Unavailable",Z255))</f>
        <v>Vip Section</v>
      </c>
      <c r="AB255" s="0" t="s">
        <v>126</v>
      </c>
      <c r="AC255" s="6" t="str">
        <f aca="false">PROPER(AB255)</f>
        <v>Whatsapp</v>
      </c>
      <c r="AD255" s="6" t="n">
        <v>30</v>
      </c>
      <c r="AE255" s="5" t="n">
        <f aca="false">IF(ISBLANK(AD255),AVERAGEIF(L255:L1254,L255,AD255:AD1254),AD255)</f>
        <v>30</v>
      </c>
      <c r="AF255" s="0" t="s">
        <v>76</v>
      </c>
      <c r="AG255" s="0" t="str">
        <f aca="false">PROPER(AF255)</f>
        <v>Orderd</v>
      </c>
      <c r="AH255" s="0" t="s">
        <v>155</v>
      </c>
      <c r="AI255" s="0" t="s">
        <v>98</v>
      </c>
      <c r="AJ255" s="0" t="str">
        <f aca="false">PROPER(AI255)</f>
        <v>Emergency</v>
      </c>
      <c r="AK255" s="0" t="s">
        <v>99</v>
      </c>
      <c r="AL255" s="0" t="str">
        <f aca="false">PROPER(AK255)</f>
        <v>Uber Driver</v>
      </c>
      <c r="AM255" s="0" t="s">
        <v>2324</v>
      </c>
      <c r="AN255" s="0" t="str">
        <f aca="false">IF(ISBLANK(AM255),"Unknown",AM255)</f>
        <v>Logistics Convoy</v>
      </c>
      <c r="AO255" s="0" t="s">
        <v>79</v>
      </c>
      <c r="AP255" s="0" t="str">
        <f aca="false">IF(ISBLANK(AO255),"Unknown",AO255)</f>
        <v>Specialist</v>
      </c>
      <c r="AQ255" s="0" t="n">
        <v>30000</v>
      </c>
      <c r="AR255" s="5" t="n">
        <f aca="false">IF(ISBLANK(AQ255),AVERAGEIF(M255:M1254,M255,AQ255:AQ1254),AQ255)</f>
        <v>30000</v>
      </c>
      <c r="AS255" s="0" t="n">
        <v>30000</v>
      </c>
      <c r="AT255" s="5" t="n">
        <f aca="false">IF(ISBLANK(AS255),AVERAGE(AS255:AS1254),AS255)</f>
        <v>30000</v>
      </c>
      <c r="AU255" s="0" t="s">
        <v>50</v>
      </c>
      <c r="AV255" s="0" t="str">
        <f aca="false">PROPER(IF(ISBLANK(AU255),"No",AU255))</f>
        <v>No</v>
      </c>
      <c r="AW255" s="0" t="n">
        <v>5000</v>
      </c>
      <c r="AX255" s="5" t="n">
        <f aca="false">IF(ISBLANK(AW255),0,AW255)</f>
        <v>5000</v>
      </c>
      <c r="AY255" s="0" t="s">
        <v>184</v>
      </c>
      <c r="AZ255" s="0" t="str">
        <f aca="false">UPPER(IF(ISBLANK(AY255),"NONE",AY255))</f>
        <v>N/A</v>
      </c>
      <c r="BA255" s="7" t="n">
        <v>45987</v>
      </c>
      <c r="BB255" s="7" t="n">
        <f aca="false">IF(ISBLANK(BA255),"No Follow Up Needed",BA255)</f>
        <v>45987</v>
      </c>
      <c r="BC255" s="0" t="s">
        <v>63</v>
      </c>
      <c r="BD255" s="0" t="str">
        <f aca="false">PROPER(IF(ISBLANK(BC255),"Unknown",BC255))</f>
        <v>Yes</v>
      </c>
      <c r="BF255" s="0" t="str">
        <f aca="false">IF(ISBLANK(BE255),"No comments",BE255)</f>
        <v>No comments</v>
      </c>
      <c r="BH255" s="0" t="str">
        <f aca="false">IF(ISBLANK(BG255),"No comments",BG255)</f>
        <v>No comments</v>
      </c>
      <c r="BI255" s="0" t="s">
        <v>50</v>
      </c>
      <c r="BJ255" s="0" t="str">
        <f aca="false">IF(ISBLANK(BI255),"Not Mentioned",BI255)</f>
        <v>No</v>
      </c>
      <c r="BL255" s="0" t="str">
        <f aca="false">PROPER(IF(ISBLANK(BK255),"Not Mentioned",BK255))</f>
        <v>Not Mentioned</v>
      </c>
      <c r="BM255" s="0" t="s">
        <v>63</v>
      </c>
      <c r="BN255" s="0" t="str">
        <f aca="false">PROPER(IF(ISBLANK(BM255),"Not Mentioned",BM255))</f>
        <v>Yes</v>
      </c>
      <c r="BO255" s="0" t="s">
        <v>2318</v>
      </c>
      <c r="BP255" s="0" t="str">
        <f aca="false">IF(ISBLANK(BO255),"One-Time Plan",BO255)</f>
        <v>Gold</v>
      </c>
      <c r="BQ255" s="0" t="s">
        <v>50</v>
      </c>
      <c r="BR255" s="0" t="str">
        <f aca="false">PROPER(IF(ISBLANK(BQ255),"No",BQ255))</f>
        <v>No</v>
      </c>
    </row>
    <row r="256" customFormat="false" ht="15" hidden="false" customHeight="false" outlineLevel="0" collapsed="false">
      <c r="A256" s="0" t="s">
        <v>748</v>
      </c>
      <c r="B256" s="2" t="n">
        <v>45660</v>
      </c>
      <c r="C256" s="2" t="str">
        <f aca="false">TEXT(B256,"dd/mm/yyyy")</f>
        <v>03/01/2025</v>
      </c>
      <c r="D256" s="0" t="s">
        <v>121</v>
      </c>
      <c r="E256" s="0" t="n">
        <v>8036393422</v>
      </c>
      <c r="F256" s="0" t="s">
        <v>85</v>
      </c>
      <c r="G256" s="0" t="s">
        <v>2319</v>
      </c>
      <c r="H256" s="0" t="s">
        <v>749</v>
      </c>
      <c r="I256" s="0" t="s">
        <v>69</v>
      </c>
      <c r="J256" s="0" t="s">
        <v>2317</v>
      </c>
      <c r="K256" s="3" t="str">
        <f aca="false" t="array" ref="K256:K256">IFERROR(IF(J256&lt;&gt;"",J256,INDEX(J256:J1255,MATCH(1,(F256:F1255=F256)*(I256:I1255=I256)*(L256:L1255=L256)*(J256:J1255&lt;&gt;""),0))),"Not Found")</f>
        <v>Suspension Noise</v>
      </c>
      <c r="L256" s="3" t="s">
        <v>47</v>
      </c>
      <c r="M256" s="0" t="str">
        <f aca="false">PROPER(L256)</f>
        <v>None</v>
      </c>
      <c r="O256" s="0" t="e">
        <f aca="false" t="array" ref="O256:O256">IF(N256&lt;&gt;"",N256,_xlfn.xlookup(1,(L256:L1255=L256)*(N256:N1255&lt;&gt;""),N256:N1255,"Not Found"))</f>
        <v>#NAME?</v>
      </c>
      <c r="P256" s="4" t="n">
        <v>29557</v>
      </c>
      <c r="Q256" s="0" t="s">
        <v>91</v>
      </c>
      <c r="R256" s="0" t="str">
        <f aca="false">PROPER(Q256)</f>
        <v>Pos</v>
      </c>
      <c r="S256" s="0" t="s">
        <v>63</v>
      </c>
      <c r="T256" s="0" t="n">
        <v>5</v>
      </c>
      <c r="U256" s="5" t="n">
        <f aca="false">IF(ISBLANK(T256),AVERAGE(T256:T1255),T256)</f>
        <v>5</v>
      </c>
      <c r="V256" s="0" t="n">
        <v>2.6</v>
      </c>
      <c r="W256" s="0" t="s">
        <v>51</v>
      </c>
      <c r="X256" s="0" t="str">
        <f aca="false">IF(ISBLANK(W256),"No remarks",W256)</f>
        <v>Recommended further checks</v>
      </c>
      <c r="Y256" s="0" t="s">
        <v>52</v>
      </c>
      <c r="AA256" s="0" t="str">
        <f aca="false">PROPER(IF(ISBLANK(Z256),"Location Unavailable",Z256))</f>
        <v>Location Unavailable</v>
      </c>
      <c r="AB256" s="0" t="s">
        <v>54</v>
      </c>
      <c r="AC256" s="6" t="str">
        <f aca="false">PROPER(AB256)</f>
        <v>Mechanic Referral</v>
      </c>
      <c r="AD256" s="6" t="n">
        <v>30</v>
      </c>
      <c r="AE256" s="5" t="n">
        <f aca="false">IF(ISBLANK(AD256),AVERAGEIF(L256:L1255,L256,AD256:AD1255),AD256)</f>
        <v>30</v>
      </c>
      <c r="AF256" s="0" t="s">
        <v>112</v>
      </c>
      <c r="AG256" s="0" t="str">
        <f aca="false">PROPER(AF256)</f>
        <v>Unavailable</v>
      </c>
      <c r="AH256" s="0" t="s">
        <v>148</v>
      </c>
      <c r="AI256" s="0" t="s">
        <v>98</v>
      </c>
      <c r="AJ256" s="0" t="str">
        <f aca="false">PROPER(AI256)</f>
        <v>Emergency</v>
      </c>
      <c r="AK256" s="0" t="s">
        <v>196</v>
      </c>
      <c r="AL256" s="0" t="str">
        <f aca="false">PROPER(AK256)</f>
        <v>First Time</v>
      </c>
      <c r="AM256" s="0" t="s">
        <v>59</v>
      </c>
      <c r="AN256" s="0" t="str">
        <f aca="false">IF(ISBLANK(AM256),"Unknown",AM256)</f>
        <v>Bolt Driver</v>
      </c>
      <c r="AO256" s="0" t="s">
        <v>79</v>
      </c>
      <c r="AP256" s="0" t="str">
        <f aca="false">IF(ISBLANK(AO256),"Unknown",AO256)</f>
        <v>Specialist</v>
      </c>
      <c r="AQ256" s="0" t="n">
        <v>25000</v>
      </c>
      <c r="AR256" s="5" t="n">
        <f aca="false">IF(ISBLANK(AQ256),AVERAGEIF(M256:M1255,M256,AQ256:AQ1255),AQ256)</f>
        <v>25000</v>
      </c>
      <c r="AS256" s="0" t="n">
        <v>40000</v>
      </c>
      <c r="AT256" s="5" t="n">
        <f aca="false">IF(ISBLANK(AS256),AVERAGE(AS256:AS1255),AS256)</f>
        <v>40000</v>
      </c>
      <c r="AV256" s="0" t="str">
        <f aca="false">PROPER(IF(ISBLANK(AU256),"No",AU256))</f>
        <v>No</v>
      </c>
      <c r="AW256" s="0" t="n">
        <v>0</v>
      </c>
      <c r="AX256" s="5" t="n">
        <f aca="false">IF(ISBLANK(AW256),0,AW256)</f>
        <v>0</v>
      </c>
      <c r="AY256" s="0" t="s">
        <v>184</v>
      </c>
      <c r="AZ256" s="0" t="str">
        <f aca="false">UPPER(IF(ISBLANK(AY256),"NONE",AY256))</f>
        <v>N/A</v>
      </c>
      <c r="BB256" s="7" t="str">
        <f aca="false">IF(ISBLANK(BA256),"No Follow Up Needed",BA256)</f>
        <v>No Follow Up Needed</v>
      </c>
      <c r="BC256" s="0" t="s">
        <v>61</v>
      </c>
      <c r="BD256" s="0" t="str">
        <f aca="false">PROPER(IF(ISBLANK(BC256),"Unknown",BC256))</f>
        <v>No</v>
      </c>
      <c r="BF256" s="0" t="str">
        <f aca="false">IF(ISBLANK(BE256),"No comments",BE256)</f>
        <v>No comments</v>
      </c>
      <c r="BG256" s="0" t="s">
        <v>172</v>
      </c>
      <c r="BH256" s="0" t="str">
        <f aca="false">IF(ISBLANK(BG256),"No comments",BG256)</f>
        <v>Always late</v>
      </c>
      <c r="BI256" s="0" t="s">
        <v>63</v>
      </c>
      <c r="BJ256" s="0" t="str">
        <f aca="false">IF(ISBLANK(BI256),"Not Mentioned",BI256)</f>
        <v>Yes</v>
      </c>
      <c r="BK256" s="0" t="s">
        <v>61</v>
      </c>
      <c r="BL256" s="0" t="str">
        <f aca="false">PROPER(IF(ISBLANK(BK256),"Not Mentioned",BK256))</f>
        <v>No</v>
      </c>
      <c r="BM256" s="0" t="s">
        <v>63</v>
      </c>
      <c r="BN256" s="0" t="str">
        <f aca="false">PROPER(IF(ISBLANK(BM256),"Not Mentioned",BM256))</f>
        <v>Yes</v>
      </c>
      <c r="BO256" s="0" t="s">
        <v>2321</v>
      </c>
      <c r="BP256" s="0" t="str">
        <f aca="false">IF(ISBLANK(BO256),"One-Time Plan",BO256)</f>
        <v>One-Time Plan</v>
      </c>
      <c r="BQ256" s="0" t="s">
        <v>198</v>
      </c>
      <c r="BR256" s="0" t="str">
        <f aca="false">PROPER(IF(ISBLANK(BQ256),"No",BQ256))</f>
        <v>Followed Up</v>
      </c>
    </row>
    <row r="257" customFormat="false" ht="15" hidden="false" customHeight="false" outlineLevel="0" collapsed="false">
      <c r="A257" s="0" t="s">
        <v>750</v>
      </c>
      <c r="B257" s="2" t="n">
        <v>45783</v>
      </c>
      <c r="C257" s="2" t="str">
        <f aca="false">TEXT(B257,"dd/mm/yyyy")</f>
        <v>06/05/2025</v>
      </c>
      <c r="D257" s="0" t="s">
        <v>121</v>
      </c>
      <c r="E257" s="0" t="n">
        <v>8054190018</v>
      </c>
      <c r="F257" s="0" t="s">
        <v>139</v>
      </c>
      <c r="G257" s="0" t="s">
        <v>2323</v>
      </c>
      <c r="H257" s="0" t="s">
        <v>751</v>
      </c>
      <c r="I257" s="0" t="s">
        <v>107</v>
      </c>
      <c r="J257" s="0" t="s">
        <v>2325</v>
      </c>
      <c r="K257" s="3" t="str">
        <f aca="false" t="array" ref="K257:K257">IFERROR(IF(J257&lt;&gt;"",J257,INDEX(J257:J1256,MATCH(1,(F257:F1256=F257)*(I257:I1256=I257)*(L257:L1256=L257)*(J257:J1256&lt;&gt;""),0))),"Not Found")</f>
        <v>Engine Knocking</v>
      </c>
      <c r="L257" s="3" t="s">
        <v>47</v>
      </c>
      <c r="M257" s="0" t="str">
        <f aca="false">PROPER(L257)</f>
        <v>None</v>
      </c>
      <c r="N257" s="3" t="s">
        <v>48</v>
      </c>
      <c r="O257" s="0" t="str">
        <f aca="false" t="array" ref="O257:O257">IF(N257&lt;&gt;"",N257,_xlfn.xlookup(1,(L257:L1256=L257)*(N257:N1256&lt;&gt;""),N257:N1256,"Not Found"))</f>
        <v>Uche</v>
      </c>
      <c r="P257" s="4" t="n">
        <v>94267</v>
      </c>
      <c r="Q257" s="0" t="s">
        <v>124</v>
      </c>
      <c r="R257" s="0" t="str">
        <f aca="false">PROPER(Q257)</f>
        <v>Cash</v>
      </c>
      <c r="S257" s="0" t="s">
        <v>50</v>
      </c>
      <c r="T257" s="0" t="n">
        <v>3</v>
      </c>
      <c r="U257" s="5" t="n">
        <f aca="false">IF(ISBLANK(T257),AVERAGE(T257:T1256),T257)</f>
        <v>3</v>
      </c>
      <c r="V257" s="0" t="n">
        <v>1.3</v>
      </c>
      <c r="X257" s="0" t="str">
        <f aca="false">IF(ISBLANK(W257),"No remarks",W257)</f>
        <v>No remarks</v>
      </c>
      <c r="Y257" s="0" t="s">
        <v>52</v>
      </c>
      <c r="Z257" s="0" t="s">
        <v>159</v>
      </c>
      <c r="AA257" s="0" t="str">
        <f aca="false">PROPER(IF(ISBLANK(Z257),"Location Unavailable",Z257))</f>
        <v>Main Bay</v>
      </c>
      <c r="AB257" s="0" t="s">
        <v>54</v>
      </c>
      <c r="AC257" s="6" t="str">
        <f aca="false">PROPER(AB257)</f>
        <v>Mechanic Referral</v>
      </c>
      <c r="AD257" s="6" t="n">
        <v>45</v>
      </c>
      <c r="AE257" s="5" t="n">
        <f aca="false">IF(ISBLANK(AD257),AVERAGEIF(L257:L1256,L257,AD257:AD1256),AD257)</f>
        <v>45</v>
      </c>
      <c r="AF257" s="0" t="s">
        <v>96</v>
      </c>
      <c r="AG257" s="0" t="str">
        <f aca="false">PROPER(AF257)</f>
        <v>Ordered</v>
      </c>
      <c r="AH257" s="0" t="s">
        <v>155</v>
      </c>
      <c r="AI257" s="0" t="s">
        <v>78</v>
      </c>
      <c r="AJ257" s="0" t="str">
        <f aca="false">PROPER(AI257)</f>
        <v>Booking</v>
      </c>
      <c r="AK257" s="0" t="s">
        <v>58</v>
      </c>
      <c r="AL257" s="0" t="str">
        <f aca="false">PROPER(AK257)</f>
        <v>Fleet Owner</v>
      </c>
      <c r="AN257" s="0" t="str">
        <f aca="false">IF(ISBLANK(AM257),"Unknown",AM257)</f>
        <v>Unknown</v>
      </c>
      <c r="AO257" s="0" t="s">
        <v>143</v>
      </c>
      <c r="AP257" s="0" t="str">
        <f aca="false">IF(ISBLANK(AO257),"Unknown",AO257)</f>
        <v>Senior</v>
      </c>
      <c r="AQ257" s="0" t="n">
        <v>30000</v>
      </c>
      <c r="AR257" s="5" t="n">
        <f aca="false">IF(ISBLANK(AQ257),AVERAGEIF(M257:M1256,M257,AQ257:AQ1256),AQ257)</f>
        <v>30000</v>
      </c>
      <c r="AS257" s="0" t="n">
        <v>30000</v>
      </c>
      <c r="AT257" s="5" t="n">
        <f aca="false">IF(ISBLANK(AS257),AVERAGE(AS257:AS1256),AS257)</f>
        <v>30000</v>
      </c>
      <c r="AU257" s="0" t="s">
        <v>82</v>
      </c>
      <c r="AV257" s="0" t="str">
        <f aca="false">PROPER(IF(ISBLANK(AU257),"No",AU257))</f>
        <v>Yes</v>
      </c>
      <c r="AW257" s="0" t="n">
        <v>5000</v>
      </c>
      <c r="AX257" s="5" t="n">
        <f aca="false">IF(ISBLANK(AW257),0,AW257)</f>
        <v>5000</v>
      </c>
      <c r="AY257" s="0" t="s">
        <v>80</v>
      </c>
      <c r="AZ257" s="0" t="str">
        <f aca="false">UPPER(IF(ISBLANK(AY257),"NONE",AY257))</f>
        <v>PROMO10</v>
      </c>
      <c r="BA257" s="7" t="s">
        <v>752</v>
      </c>
      <c r="BB257" s="7" t="str">
        <f aca="false">IF(ISBLANK(BA257),"No Follow Up Needed",BA257)</f>
        <v>16/08/2025</v>
      </c>
      <c r="BC257" s="0" t="s">
        <v>50</v>
      </c>
      <c r="BD257" s="0" t="str">
        <f aca="false">PROPER(IF(ISBLANK(BC257),"Unknown",BC257))</f>
        <v>No</v>
      </c>
      <c r="BE257" s="0" t="s">
        <v>171</v>
      </c>
      <c r="BF257" s="0" t="str">
        <f aca="false">IF(ISBLANK(BE257),"No comments",BE257)</f>
        <v>Shock absorber weakening</v>
      </c>
      <c r="BG257" s="0" t="s">
        <v>117</v>
      </c>
      <c r="BH257" s="0" t="str">
        <f aca="false">IF(ISBLANK(BG257),"No comments",BG257)</f>
        <v>Prefers morning</v>
      </c>
      <c r="BJ257" s="0" t="str">
        <f aca="false">IF(ISBLANK(BI257),"Not Mentioned",BI257)</f>
        <v>Not Mentioned</v>
      </c>
      <c r="BK257" s="0" t="s">
        <v>82</v>
      </c>
      <c r="BL257" s="0" t="str">
        <f aca="false">PROPER(IF(ISBLANK(BK257),"Not Mentioned",BK257))</f>
        <v>Yes</v>
      </c>
      <c r="BM257" s="0" t="s">
        <v>63</v>
      </c>
      <c r="BN257" s="0" t="str">
        <f aca="false">PROPER(IF(ISBLANK(BM257),"Not Mentioned",BM257))</f>
        <v>Yes</v>
      </c>
      <c r="BO257" s="0" t="s">
        <v>2318</v>
      </c>
      <c r="BP257" s="0" t="str">
        <f aca="false">IF(ISBLANK(BO257),"One-Time Plan",BO257)</f>
        <v>Gold</v>
      </c>
      <c r="BQ257" s="0" t="s">
        <v>198</v>
      </c>
      <c r="BR257" s="0" t="str">
        <f aca="false">PROPER(IF(ISBLANK(BQ257),"No",BQ257))</f>
        <v>Followed Up</v>
      </c>
    </row>
    <row r="258" customFormat="false" ht="15" hidden="false" customHeight="false" outlineLevel="0" collapsed="false">
      <c r="A258" s="0" t="s">
        <v>753</v>
      </c>
      <c r="B258" s="2" t="n">
        <v>45768</v>
      </c>
      <c r="C258" s="2" t="str">
        <f aca="false">TEXT(B258,"dd/mm/yyyy")</f>
        <v>21/04/2025</v>
      </c>
      <c r="D258" s="0" t="s">
        <v>121</v>
      </c>
      <c r="E258" s="0" t="n">
        <v>8043557605</v>
      </c>
      <c r="F258" s="0" t="s">
        <v>122</v>
      </c>
      <c r="G258" s="0" t="s">
        <v>2316</v>
      </c>
      <c r="H258" s="0" t="s">
        <v>754</v>
      </c>
      <c r="I258" s="0" t="s">
        <v>69</v>
      </c>
      <c r="J258" s="0" t="s">
        <v>2322</v>
      </c>
      <c r="K258" s="3" t="str">
        <f aca="false" t="array" ref="K258:K258">IFERROR(IF(J258&lt;&gt;"",J258,INDEX(J258:J1257,MATCH(1,(F258:F1257=F258)*(I258:I1257=I258)*(L258:L1257=L258)*(J258:J1257&lt;&gt;""),0))),"Not Found")</f>
        <v>Brake Failure</v>
      </c>
      <c r="L258" s="3" t="s">
        <v>154</v>
      </c>
      <c r="M258" s="0" t="str">
        <f aca="false">PROPER(L258)</f>
        <v>Air Filter</v>
      </c>
      <c r="O258" s="0" t="e">
        <f aca="false" t="array" ref="O258:O258">IF(N258&lt;&gt;"",N258,_xlfn.xlookup(1,(L258:L1257=L258)*(N258:N1257&lt;&gt;""),N258:N1257,"Not Found"))</f>
        <v>#NAME?</v>
      </c>
      <c r="P258" s="4" t="n">
        <v>85653</v>
      </c>
      <c r="Q258" s="0" t="s">
        <v>91</v>
      </c>
      <c r="R258" s="0" t="str">
        <f aca="false">PROPER(Q258)</f>
        <v>Pos</v>
      </c>
      <c r="S258" s="0" t="s">
        <v>63</v>
      </c>
      <c r="T258" s="0" t="n">
        <v>4</v>
      </c>
      <c r="U258" s="5" t="n">
        <f aca="false">IF(ISBLANK(T258),AVERAGE(T258:T1257),T258)</f>
        <v>4</v>
      </c>
      <c r="V258" s="0" t="n">
        <v>1.9</v>
      </c>
      <c r="X258" s="0" t="str">
        <f aca="false">IF(ISBLANK(W258),"No remarks",W258)</f>
        <v>No remarks</v>
      </c>
      <c r="Y258" s="0" t="s">
        <v>73</v>
      </c>
      <c r="AA258" s="0" t="str">
        <f aca="false">PROPER(IF(ISBLANK(Z258),"Location Unavailable",Z258))</f>
        <v>Location Unavailable</v>
      </c>
      <c r="AB258" s="0" t="s">
        <v>167</v>
      </c>
      <c r="AC258" s="6" t="str">
        <f aca="false">PROPER(AB258)</f>
        <v>Word Of Mouth</v>
      </c>
      <c r="AD258" s="6" t="n">
        <v>30</v>
      </c>
      <c r="AE258" s="5" t="n">
        <f aca="false">IF(ISBLANK(AD258),AVERAGEIF(L258:L1257,L258,AD258:AD1257),AD258)</f>
        <v>30</v>
      </c>
      <c r="AF258" s="0" t="s">
        <v>160</v>
      </c>
      <c r="AG258" s="0" t="str">
        <f aca="false">PROPER(AF258)</f>
        <v>Availaible</v>
      </c>
      <c r="AH258" s="0" t="s">
        <v>56</v>
      </c>
      <c r="AI258" s="0" t="s">
        <v>128</v>
      </c>
      <c r="AJ258" s="0" t="str">
        <f aca="false">PROPER(AI258)</f>
        <v>Normal</v>
      </c>
      <c r="AK258" s="0" t="s">
        <v>58</v>
      </c>
      <c r="AL258" s="0" t="str">
        <f aca="false">PROPER(AK258)</f>
        <v>Fleet Owner</v>
      </c>
      <c r="AM258" s="0" t="s">
        <v>59</v>
      </c>
      <c r="AN258" s="0" t="str">
        <f aca="false">IF(ISBLANK(AM258),"Unknown",AM258)</f>
        <v>Bolt Driver</v>
      </c>
      <c r="AO258" s="0" t="s">
        <v>161</v>
      </c>
      <c r="AP258" s="0" t="str">
        <f aca="false">IF(ISBLANK(AO258),"Unknown",AO258)</f>
        <v>Apprentice</v>
      </c>
      <c r="AQ258" s="0" t="n">
        <v>30000</v>
      </c>
      <c r="AR258" s="5" t="n">
        <f aca="false">IF(ISBLANK(AQ258),AVERAGEIF(M258:M1257,M258,AQ258:AQ1257),AQ258)</f>
        <v>30000</v>
      </c>
      <c r="AT258" s="5" t="n">
        <f aca="false">IF(ISBLANK(AS258),AVERAGE(AS258:AS1257),AS258)</f>
        <v>31452.9220779221</v>
      </c>
      <c r="AU258" s="0" t="s">
        <v>82</v>
      </c>
      <c r="AV258" s="0" t="str">
        <f aca="false">PROPER(IF(ISBLANK(AU258),"No",AU258))</f>
        <v>Yes</v>
      </c>
      <c r="AW258" s="0" t="n">
        <v>5000</v>
      </c>
      <c r="AX258" s="5" t="n">
        <f aca="false">IF(ISBLANK(AW258),0,AW258)</f>
        <v>5000</v>
      </c>
      <c r="AZ258" s="0" t="str">
        <f aca="false">UPPER(IF(ISBLANK(AY258),"NONE",AY258))</f>
        <v>NONE</v>
      </c>
      <c r="BA258" s="7" t="n">
        <v>45937</v>
      </c>
      <c r="BB258" s="7" t="n">
        <f aca="false">IF(ISBLANK(BA258),"No Follow Up Needed",BA258)</f>
        <v>45937</v>
      </c>
      <c r="BC258" s="0" t="s">
        <v>50</v>
      </c>
      <c r="BD258" s="0" t="str">
        <f aca="false">PROPER(IF(ISBLANK(BC258),"Unknown",BC258))</f>
        <v>No</v>
      </c>
      <c r="BE258" s="0" t="s">
        <v>116</v>
      </c>
      <c r="BF258" s="0" t="str">
        <f aca="false">IF(ISBLANK(BE258),"No comments",BE258)</f>
        <v>Needs tire alignment</v>
      </c>
      <c r="BH258" s="0" t="str">
        <f aca="false">IF(ISBLANK(BG258),"No comments",BG258)</f>
        <v>No comments</v>
      </c>
      <c r="BI258" s="0" t="s">
        <v>50</v>
      </c>
      <c r="BJ258" s="0" t="str">
        <f aca="false">IF(ISBLANK(BI258),"Not Mentioned",BI258)</f>
        <v>No</v>
      </c>
      <c r="BL258" s="0" t="str">
        <f aca="false">PROPER(IF(ISBLANK(BK258),"Not Mentioned",BK258))</f>
        <v>Not Mentioned</v>
      </c>
      <c r="BM258" s="0" t="s">
        <v>63</v>
      </c>
      <c r="BN258" s="0" t="str">
        <f aca="false">PROPER(IF(ISBLANK(BM258),"Not Mentioned",BM258))</f>
        <v>Yes</v>
      </c>
      <c r="BP258" s="0" t="str">
        <f aca="false">IF(ISBLANK(BO258),"One-Time Plan",BO258)</f>
        <v>One-Time Plan</v>
      </c>
      <c r="BQ258" s="0" t="s">
        <v>198</v>
      </c>
      <c r="BR258" s="0" t="str">
        <f aca="false">PROPER(IF(ISBLANK(BQ258),"No",BQ258))</f>
        <v>Followed Up</v>
      </c>
    </row>
    <row r="259" customFormat="false" ht="15" hidden="false" customHeight="false" outlineLevel="0" collapsed="false">
      <c r="A259" s="0" t="s">
        <v>755</v>
      </c>
      <c r="B259" s="2" t="n">
        <v>45659</v>
      </c>
      <c r="C259" s="2" t="str">
        <f aca="false">TEXT(B259,"dd/mm/yyyy")</f>
        <v>02/01/2025</v>
      </c>
      <c r="D259" s="0" t="s">
        <v>42</v>
      </c>
      <c r="E259" s="0" t="n">
        <v>8050629797</v>
      </c>
      <c r="F259" s="0" t="s">
        <v>85</v>
      </c>
      <c r="G259" s="0" t="s">
        <v>2319</v>
      </c>
      <c r="H259" s="0" t="s">
        <v>756</v>
      </c>
      <c r="I259" s="0" t="s">
        <v>134</v>
      </c>
      <c r="J259" s="0" t="s">
        <v>2317</v>
      </c>
      <c r="K259" s="3" t="str">
        <f aca="false" t="array" ref="K259:K259">IFERROR(IF(J259&lt;&gt;"",J259,INDEX(J259:J1258,MATCH(1,(F259:F1258=F259)*(I259:I1258=I259)*(L259:L1258=L259)*(J259:J1258&lt;&gt;""),0))),"Not Found")</f>
        <v>Suspension Noise</v>
      </c>
      <c r="L259" s="3" t="s">
        <v>189</v>
      </c>
      <c r="M259" s="0" t="str">
        <f aca="false">PROPER(L259)</f>
        <v>Battery</v>
      </c>
      <c r="O259" s="0" t="e">
        <f aca="false" t="array" ref="O259:O259">IF(N259&lt;&gt;"",N259,_xlfn.xlookup(1,(L259:L1258=L259)*(N259:N1258&lt;&gt;""),N259:N1258,"Not Found"))</f>
        <v>#NAME?</v>
      </c>
      <c r="P259" s="4" t="n">
        <v>31951</v>
      </c>
      <c r="Q259" s="0" t="s">
        <v>124</v>
      </c>
      <c r="R259" s="0" t="str">
        <f aca="false">PROPER(Q259)</f>
        <v>Cash</v>
      </c>
      <c r="S259" s="0" t="s">
        <v>50</v>
      </c>
      <c r="T259" s="0" t="n">
        <v>4</v>
      </c>
      <c r="U259" s="5" t="n">
        <f aca="false">IF(ISBLANK(T259),AVERAGE(T259:T1258),T259)</f>
        <v>4</v>
      </c>
      <c r="V259" s="0" t="n">
        <v>3.2</v>
      </c>
      <c r="W259" s="0" t="s">
        <v>92</v>
      </c>
      <c r="X259" s="0" t="str">
        <f aca="false">IF(ISBLANK(W259),"No remarks",W259)</f>
        <v>Urgent service</v>
      </c>
      <c r="Y259" s="0" t="s">
        <v>93</v>
      </c>
      <c r="Z259" s="0" t="s">
        <v>94</v>
      </c>
      <c r="AA259" s="0" t="str">
        <f aca="false">PROPER(IF(ISBLANK(Z259),"Location Unavailable",Z259))</f>
        <v>Vip Section</v>
      </c>
      <c r="AB259" s="0" t="s">
        <v>75</v>
      </c>
      <c r="AC259" s="6" t="str">
        <f aca="false">PROPER(AB259)</f>
        <v>Mechanik Referal</v>
      </c>
      <c r="AD259" s="6" t="n">
        <v>45</v>
      </c>
      <c r="AE259" s="5" t="n">
        <f aca="false">IF(ISBLANK(AD259),AVERAGEIF(L259:L1258,L259,AD259:AD1258),AD259)</f>
        <v>45</v>
      </c>
      <c r="AF259" s="0" t="s">
        <v>160</v>
      </c>
      <c r="AG259" s="0" t="str">
        <f aca="false">PROPER(AF259)</f>
        <v>Availaible</v>
      </c>
      <c r="AH259" s="0" t="s">
        <v>77</v>
      </c>
      <c r="AI259" s="0" t="s">
        <v>78</v>
      </c>
      <c r="AJ259" s="0" t="str">
        <f aca="false">PROPER(AI259)</f>
        <v>Booking</v>
      </c>
      <c r="AK259" s="0" t="s">
        <v>58</v>
      </c>
      <c r="AL259" s="0" t="str">
        <f aca="false">PROPER(AK259)</f>
        <v>Fleet Owner</v>
      </c>
      <c r="AM259" s="0" t="s">
        <v>2326</v>
      </c>
      <c r="AN259" s="0" t="str">
        <f aca="false">IF(ISBLANK(AM259),"Unknown",AM259)</f>
        <v>Government Convoy</v>
      </c>
      <c r="AO259" s="0" t="s">
        <v>143</v>
      </c>
      <c r="AP259" s="0" t="str">
        <f aca="false">IF(ISBLANK(AO259),"Unknown",AO259)</f>
        <v>Senior</v>
      </c>
      <c r="AQ259" s="0" t="n">
        <v>40000</v>
      </c>
      <c r="AR259" s="5" t="n">
        <f aca="false">IF(ISBLANK(AQ259),AVERAGEIF(M259:M1258,M259,AQ259:AQ1258),AQ259)</f>
        <v>40000</v>
      </c>
      <c r="AT259" s="5" t="n">
        <f aca="false">IF(ISBLANK(AS259),AVERAGE(AS259:AS1258),AS259)</f>
        <v>31452.9220779221</v>
      </c>
      <c r="AU259" s="0" t="s">
        <v>82</v>
      </c>
      <c r="AV259" s="0" t="str">
        <f aca="false">PROPER(IF(ISBLANK(AU259),"No",AU259))</f>
        <v>Yes</v>
      </c>
      <c r="AW259" s="0" t="n">
        <v>10000</v>
      </c>
      <c r="AX259" s="5" t="n">
        <f aca="false">IF(ISBLANK(AW259),0,AW259)</f>
        <v>10000</v>
      </c>
      <c r="AZ259" s="0" t="str">
        <f aca="false">UPPER(IF(ISBLANK(AY259),"NONE",AY259))</f>
        <v>NONE</v>
      </c>
      <c r="BB259" s="7" t="str">
        <f aca="false">IF(ISBLANK(BA259),"No Follow Up Needed",BA259)</f>
        <v>No Follow Up Needed</v>
      </c>
      <c r="BC259" s="0" t="s">
        <v>61</v>
      </c>
      <c r="BD259" s="0" t="str">
        <f aca="false">PROPER(IF(ISBLANK(BC259),"Unknown",BC259))</f>
        <v>No</v>
      </c>
      <c r="BF259" s="0" t="str">
        <f aca="false">IF(ISBLANK(BE259),"No comments",BE259)</f>
        <v>No comments</v>
      </c>
      <c r="BG259" s="0" t="s">
        <v>172</v>
      </c>
      <c r="BH259" s="0" t="str">
        <f aca="false">IF(ISBLANK(BG259),"No comments",BG259)</f>
        <v>Always late</v>
      </c>
      <c r="BJ259" s="0" t="str">
        <f aca="false">IF(ISBLANK(BI259),"Not Mentioned",BI259)</f>
        <v>Not Mentioned</v>
      </c>
      <c r="BL259" s="0" t="str">
        <f aca="false">PROPER(IF(ISBLANK(BK259),"Not Mentioned",BK259))</f>
        <v>Not Mentioned</v>
      </c>
      <c r="BN259" s="0" t="str">
        <f aca="false">PROPER(IF(ISBLANK(BM259),"Not Mentioned",BM259))</f>
        <v>Not Mentioned</v>
      </c>
      <c r="BO259" s="0" t="s">
        <v>64</v>
      </c>
      <c r="BP259" s="0" t="str">
        <f aca="false">IF(ISBLANK(BO259),"One-Time Plan",BO259)</f>
        <v>Gold Maintenance Plan</v>
      </c>
      <c r="BQ259" s="0" t="s">
        <v>190</v>
      </c>
      <c r="BR259" s="0" t="str">
        <f aca="false">PROPER(IF(ISBLANK(BQ259),"No",BQ259))</f>
        <v>Yes</v>
      </c>
    </row>
    <row r="260" customFormat="false" ht="15" hidden="false" customHeight="false" outlineLevel="0" collapsed="false">
      <c r="A260" s="0" t="s">
        <v>757</v>
      </c>
      <c r="B260" s="2" t="s">
        <v>502</v>
      </c>
      <c r="C260" s="2" t="str">
        <f aca="false">TEXT(B260,"dd/mm/yyyy")</f>
        <v>24/05/2025</v>
      </c>
      <c r="D260" s="0" t="s">
        <v>121</v>
      </c>
      <c r="E260" s="0" t="n">
        <v>8046838009</v>
      </c>
      <c r="F260" s="0" t="s">
        <v>43</v>
      </c>
      <c r="G260" s="0" t="s">
        <v>2315</v>
      </c>
      <c r="H260" s="0" t="s">
        <v>758</v>
      </c>
      <c r="I260" s="0" t="s">
        <v>134</v>
      </c>
      <c r="J260" s="0" t="s">
        <v>2325</v>
      </c>
      <c r="K260" s="3" t="str">
        <f aca="false" t="array" ref="K260:K260">IFERROR(IF(J260&lt;&gt;"",J260,INDEX(J260:J1259,MATCH(1,(F260:F1259=F260)*(I260:I1259=I260)*(L260:L1259=L260)*(J260:J1259&lt;&gt;""),0))),"Not Found")</f>
        <v>Engine Knocking</v>
      </c>
      <c r="L260" s="3" t="s">
        <v>89</v>
      </c>
      <c r="M260" s="0" t="str">
        <f aca="false">PROPER(L260)</f>
        <v>Shock Absorbers</v>
      </c>
      <c r="N260" s="3" t="s">
        <v>109</v>
      </c>
      <c r="O260" s="0" t="str">
        <f aca="false" t="array" ref="O260:O260">IF(N260&lt;&gt;"",N260,_xlfn.xlookup(1,(L260:L1259=L260)*(N260:N1259&lt;&gt;""),N260:N1259,"Not Found"))</f>
        <v>Tijani</v>
      </c>
      <c r="P260" s="4" t="n">
        <v>112133</v>
      </c>
      <c r="Q260" s="0" t="s">
        <v>124</v>
      </c>
      <c r="R260" s="0" t="str">
        <f aca="false">PROPER(Q260)</f>
        <v>Cash</v>
      </c>
      <c r="S260" s="0" t="s">
        <v>63</v>
      </c>
      <c r="T260" s="0" t="n">
        <v>3</v>
      </c>
      <c r="U260" s="5" t="n">
        <f aca="false">IF(ISBLANK(T260),AVERAGE(T260:T1259),T260)</f>
        <v>3</v>
      </c>
      <c r="V260" s="0" t="n">
        <v>2.5</v>
      </c>
      <c r="X260" s="0" t="str">
        <f aca="false">IF(ISBLANK(W260),"No remarks",W260)</f>
        <v>No remarks</v>
      </c>
      <c r="Y260" s="0" t="s">
        <v>52</v>
      </c>
      <c r="Z260" s="0" t="s">
        <v>53</v>
      </c>
      <c r="AA260" s="0" t="str">
        <f aca="false">PROPER(IF(ISBLANK(Z260),"Location Unavailable",Z260))</f>
        <v>Main Bay</v>
      </c>
      <c r="AB260" s="0" t="s">
        <v>54</v>
      </c>
      <c r="AC260" s="6" t="str">
        <f aca="false">PROPER(AB260)</f>
        <v>Mechanic Referral</v>
      </c>
      <c r="AE260" s="5" t="n">
        <f aca="false">IF(ISBLANK(AD260),AVERAGEIF(L260:L1259,L260,AD260:AD1259),AD260)</f>
        <v>40</v>
      </c>
      <c r="AF260" s="0" t="s">
        <v>160</v>
      </c>
      <c r="AG260" s="0" t="str">
        <f aca="false">PROPER(AF260)</f>
        <v>Availaible</v>
      </c>
      <c r="AH260" s="0" t="s">
        <v>56</v>
      </c>
      <c r="AI260" s="0" t="s">
        <v>98</v>
      </c>
      <c r="AJ260" s="0" t="str">
        <f aca="false">PROPER(AI260)</f>
        <v>Emergency</v>
      </c>
      <c r="AK260" s="0" t="s">
        <v>58</v>
      </c>
      <c r="AL260" s="0" t="str">
        <f aca="false">PROPER(AK260)</f>
        <v>Fleet Owner</v>
      </c>
      <c r="AM260" s="0" t="s">
        <v>2326</v>
      </c>
      <c r="AN260" s="0" t="str">
        <f aca="false">IF(ISBLANK(AM260),"Unknown",AM260)</f>
        <v>Government Convoy</v>
      </c>
      <c r="AO260" s="0" t="s">
        <v>143</v>
      </c>
      <c r="AP260" s="0" t="str">
        <f aca="false">IF(ISBLANK(AO260),"Unknown",AO260)</f>
        <v>Senior</v>
      </c>
      <c r="AQ260" s="0" t="n">
        <v>15000</v>
      </c>
      <c r="AR260" s="5" t="n">
        <f aca="false">IF(ISBLANK(AQ260),AVERAGEIF(M260:M1259,M260,AQ260:AQ1259),AQ260)</f>
        <v>15000</v>
      </c>
      <c r="AT260" s="5" t="n">
        <f aca="false">IF(ISBLANK(AS260),AVERAGE(AS260:AS1259),AS260)</f>
        <v>31452.9220779221</v>
      </c>
      <c r="AU260" s="0" t="s">
        <v>63</v>
      </c>
      <c r="AV260" s="0" t="str">
        <f aca="false">PROPER(IF(ISBLANK(AU260),"No",AU260))</f>
        <v>Yes</v>
      </c>
      <c r="AX260" s="5" t="n">
        <f aca="false">IF(ISBLANK(AW260),0,AW260)</f>
        <v>0</v>
      </c>
      <c r="AY260" s="0" t="s">
        <v>60</v>
      </c>
      <c r="AZ260" s="0" t="str">
        <f aca="false">UPPER(IF(ISBLANK(AY260),"NONE",AY260))</f>
        <v>NONE</v>
      </c>
      <c r="BA260" s="7" t="n">
        <v>45985</v>
      </c>
      <c r="BB260" s="7" t="n">
        <f aca="false">IF(ISBLANK(BA260),"No Follow Up Needed",BA260)</f>
        <v>45985</v>
      </c>
      <c r="BC260" s="0" t="s">
        <v>61</v>
      </c>
      <c r="BD260" s="0" t="str">
        <f aca="false">PROPER(IF(ISBLANK(BC260),"Unknown",BC260))</f>
        <v>No</v>
      </c>
      <c r="BF260" s="0" t="str">
        <f aca="false">IF(ISBLANK(BE260),"No comments",BE260)</f>
        <v>No comments</v>
      </c>
      <c r="BH260" s="0" t="str">
        <f aca="false">IF(ISBLANK(BG260),"No comments",BG260)</f>
        <v>No comments</v>
      </c>
      <c r="BI260" s="0" t="s">
        <v>50</v>
      </c>
      <c r="BJ260" s="0" t="str">
        <f aca="false">IF(ISBLANK(BI260),"Not Mentioned",BI260)</f>
        <v>No</v>
      </c>
      <c r="BK260" s="0" t="s">
        <v>82</v>
      </c>
      <c r="BL260" s="0" t="str">
        <f aca="false">PROPER(IF(ISBLANK(BK260),"Not Mentioned",BK260))</f>
        <v>Yes</v>
      </c>
      <c r="BM260" s="0" t="s">
        <v>63</v>
      </c>
      <c r="BN260" s="0" t="str">
        <f aca="false">PROPER(IF(ISBLANK(BM260),"Not Mentioned",BM260))</f>
        <v>Yes</v>
      </c>
      <c r="BO260" s="0" t="s">
        <v>2321</v>
      </c>
      <c r="BP260" s="0" t="str">
        <f aca="false">IF(ISBLANK(BO260),"One-Time Plan",BO260)</f>
        <v>One-Time Plan</v>
      </c>
      <c r="BQ260" s="0" t="s">
        <v>50</v>
      </c>
      <c r="BR260" s="0" t="str">
        <f aca="false">PROPER(IF(ISBLANK(BQ260),"No",BQ260))</f>
        <v>No</v>
      </c>
    </row>
    <row r="261" customFormat="false" ht="15" hidden="false" customHeight="false" outlineLevel="0" collapsed="false">
      <c r="A261" s="0" t="s">
        <v>759</v>
      </c>
      <c r="B261" s="2" t="n">
        <v>45963</v>
      </c>
      <c r="C261" s="2" t="str">
        <f aca="false">TEXT(B261,"dd/mm/yyyy")</f>
        <v>02/11/2025</v>
      </c>
      <c r="D261" s="0" t="s">
        <v>163</v>
      </c>
      <c r="E261" s="0" t="n">
        <v>8035587594</v>
      </c>
      <c r="F261" s="0" t="s">
        <v>43</v>
      </c>
      <c r="G261" s="0" t="s">
        <v>2315</v>
      </c>
      <c r="H261" s="0" t="s">
        <v>760</v>
      </c>
      <c r="I261" s="0" t="s">
        <v>45</v>
      </c>
      <c r="K261" s="3" t="str">
        <f aca="false" t="array" ref="K261:K261">IFERROR(IF(J261&lt;&gt;"",J261,INDEX(J261:J1260,MATCH(1,(F261:F1260=F261)*(I261:I1260=I261)*(L261:L1260=L261)*(J261:J1260&lt;&gt;""),0))),"Not Found")</f>
        <v>Engine Knocking</v>
      </c>
      <c r="L261" s="3" t="s">
        <v>189</v>
      </c>
      <c r="M261" s="0" t="str">
        <f aca="false">PROPER(L261)</f>
        <v>Battery</v>
      </c>
      <c r="N261" s="3" t="s">
        <v>109</v>
      </c>
      <c r="O261" s="0" t="str">
        <f aca="false" t="array" ref="O261:O261">IF(N261&lt;&gt;"",N261,_xlfn.xlookup(1,(L261:L1260=L261)*(N261:N1260&lt;&gt;""),N261:N1260,"Not Found"))</f>
        <v>Tijani</v>
      </c>
      <c r="P261" s="4" t="n">
        <v>105651</v>
      </c>
      <c r="Q261" s="0" t="s">
        <v>91</v>
      </c>
      <c r="R261" s="0" t="str">
        <f aca="false">PROPER(Q261)</f>
        <v>Pos</v>
      </c>
      <c r="S261" s="0" t="s">
        <v>63</v>
      </c>
      <c r="T261" s="0" t="n">
        <v>2</v>
      </c>
      <c r="U261" s="5" t="n">
        <f aca="false">IF(ISBLANK(T261),AVERAGE(T261:T1260),T261)</f>
        <v>2</v>
      </c>
      <c r="V261" s="0" t="n">
        <v>2.6</v>
      </c>
      <c r="W261" s="0" t="s">
        <v>111</v>
      </c>
      <c r="X261" s="0" t="str">
        <f aca="false">IF(ISBLANK(W261),"No remarks",W261)</f>
        <v>Changed all filters</v>
      </c>
      <c r="Y261" s="0" t="s">
        <v>52</v>
      </c>
      <c r="Z261" s="0" t="s">
        <v>53</v>
      </c>
      <c r="AA261" s="0" t="str">
        <f aca="false">PROPER(IF(ISBLANK(Z261),"Location Unavailable",Z261))</f>
        <v>Main Bay</v>
      </c>
      <c r="AB261" s="0" t="s">
        <v>54</v>
      </c>
      <c r="AC261" s="6" t="str">
        <f aca="false">PROPER(AB261)</f>
        <v>Mechanic Referral</v>
      </c>
      <c r="AE261" s="5" t="n">
        <f aca="false">IF(ISBLANK(AD261),AVERAGEIF(L261:L1260,L261,AD261:AD1260),AD261)</f>
        <v>40.2197802197802</v>
      </c>
      <c r="AF261" s="0" t="s">
        <v>96</v>
      </c>
      <c r="AG261" s="0" t="str">
        <f aca="false">PROPER(AF261)</f>
        <v>Ordered</v>
      </c>
      <c r="AH261" s="0" t="s">
        <v>148</v>
      </c>
      <c r="AI261" s="0" t="s">
        <v>113</v>
      </c>
      <c r="AJ261" s="0" t="str">
        <f aca="false">PROPER(AI261)</f>
        <v>Normal</v>
      </c>
      <c r="AK261" s="0" t="s">
        <v>99</v>
      </c>
      <c r="AL261" s="0" t="str">
        <f aca="false">PROPER(AK261)</f>
        <v>Uber Driver</v>
      </c>
      <c r="AM261" s="0" t="s">
        <v>2326</v>
      </c>
      <c r="AN261" s="0" t="str">
        <f aca="false">IF(ISBLANK(AM261),"Unknown",AM261)</f>
        <v>Government Convoy</v>
      </c>
      <c r="AO261" s="0" t="s">
        <v>79</v>
      </c>
      <c r="AP261" s="0" t="str">
        <f aca="false">IF(ISBLANK(AO261),"Unknown",AO261)</f>
        <v>Specialist</v>
      </c>
      <c r="AQ261" s="0" t="n">
        <v>40000</v>
      </c>
      <c r="AR261" s="5" t="n">
        <f aca="false">IF(ISBLANK(AQ261),AVERAGEIF(M261:M1260,M261,AQ261:AQ1260),AQ261)</f>
        <v>40000</v>
      </c>
      <c r="AS261" s="0" t="n">
        <v>40000</v>
      </c>
      <c r="AT261" s="5" t="n">
        <f aca="false">IF(ISBLANK(AS261),AVERAGE(AS261:AS1260),AS261)</f>
        <v>40000</v>
      </c>
      <c r="AU261" s="0" t="s">
        <v>63</v>
      </c>
      <c r="AV261" s="0" t="str">
        <f aca="false">PROPER(IF(ISBLANK(AU261),"No",AU261))</f>
        <v>Yes</v>
      </c>
      <c r="AX261" s="5" t="n">
        <f aca="false">IF(ISBLANK(AW261),0,AW261)</f>
        <v>0</v>
      </c>
      <c r="AY261" s="0" t="s">
        <v>184</v>
      </c>
      <c r="AZ261" s="0" t="str">
        <f aca="false">UPPER(IF(ISBLANK(AY261),"NONE",AY261))</f>
        <v>N/A</v>
      </c>
      <c r="BB261" s="7" t="str">
        <f aca="false">IF(ISBLANK(BA261),"No Follow Up Needed",BA261)</f>
        <v>No Follow Up Needed</v>
      </c>
      <c r="BD261" s="0" t="str">
        <f aca="false">PROPER(IF(ISBLANK(BC261),"Unknown",BC261))</f>
        <v>Unknown</v>
      </c>
      <c r="BF261" s="0" t="str">
        <f aca="false">IF(ISBLANK(BE261),"No comments",BE261)</f>
        <v>No comments</v>
      </c>
      <c r="BG261" s="0" t="s">
        <v>2320</v>
      </c>
      <c r="BH261" s="0" t="str">
        <f aca="false">IF(ISBLANK(BG261),"No comments",BG261)</f>
        <v>No complaints</v>
      </c>
      <c r="BI261" s="0" t="s">
        <v>50</v>
      </c>
      <c r="BJ261" s="0" t="str">
        <f aca="false">IF(ISBLANK(BI261),"Not Mentioned",BI261)</f>
        <v>No</v>
      </c>
      <c r="BK261" s="0" t="s">
        <v>82</v>
      </c>
      <c r="BL261" s="0" t="str">
        <f aca="false">PROPER(IF(ISBLANK(BK261),"Not Mentioned",BK261))</f>
        <v>Yes</v>
      </c>
      <c r="BM261" s="0" t="s">
        <v>63</v>
      </c>
      <c r="BN261" s="0" t="str">
        <f aca="false">PROPER(IF(ISBLANK(BM261),"Not Mentioned",BM261))</f>
        <v>Yes</v>
      </c>
      <c r="BO261" s="0" t="s">
        <v>2321</v>
      </c>
      <c r="BP261" s="0" t="str">
        <f aca="false">IF(ISBLANK(BO261),"One-Time Plan",BO261)</f>
        <v>One-Time Plan</v>
      </c>
      <c r="BQ261" s="0" t="s">
        <v>50</v>
      </c>
      <c r="BR261" s="0" t="str">
        <f aca="false">PROPER(IF(ISBLANK(BQ261),"No",BQ261))</f>
        <v>No</v>
      </c>
    </row>
    <row r="262" customFormat="false" ht="15" hidden="false" customHeight="false" outlineLevel="0" collapsed="false">
      <c r="A262" s="0" t="s">
        <v>761</v>
      </c>
      <c r="B262" s="2" t="n">
        <v>45754</v>
      </c>
      <c r="C262" s="2" t="str">
        <f aca="false">TEXT(B262,"dd/mm/yyyy")</f>
        <v>07/04/2025</v>
      </c>
      <c r="D262" s="0" t="s">
        <v>105</v>
      </c>
      <c r="E262" s="0" t="n">
        <v>8091072076</v>
      </c>
      <c r="F262" s="0" t="s">
        <v>139</v>
      </c>
      <c r="G262" s="0" t="s">
        <v>2323</v>
      </c>
      <c r="H262" s="0" t="s">
        <v>762</v>
      </c>
      <c r="I262" s="0" t="s">
        <v>45</v>
      </c>
      <c r="J262" s="0" t="s">
        <v>2317</v>
      </c>
      <c r="K262" s="3" t="str">
        <f aca="false" t="array" ref="K262:K262">IFERROR(IF(J262&lt;&gt;"",J262,INDEX(J262:J1261,MATCH(1,(F262:F1261=F262)*(I262:I1261=I262)*(L262:L1261=L262)*(J262:J1261&lt;&gt;""),0))),"Not Found")</f>
        <v>Suspension Noise</v>
      </c>
      <c r="L262" s="3" t="s">
        <v>89</v>
      </c>
      <c r="M262" s="0" t="str">
        <f aca="false">PROPER(L262)</f>
        <v>Shock Absorbers</v>
      </c>
      <c r="N262" s="3" t="s">
        <v>109</v>
      </c>
      <c r="O262" s="0" t="str">
        <f aca="false" t="array" ref="O262:O262">IF(N262&lt;&gt;"",N262,_xlfn.xlookup(1,(L262:L1261=L262)*(N262:N1261&lt;&gt;""),N262:N1261,"Not Found"))</f>
        <v>Tijani</v>
      </c>
      <c r="P262" s="4" t="n">
        <v>86923</v>
      </c>
      <c r="Q262" s="0" t="s">
        <v>72</v>
      </c>
      <c r="R262" s="0" t="str">
        <f aca="false">PROPER(Q262)</f>
        <v>Pos</v>
      </c>
      <c r="S262" s="0" t="s">
        <v>50</v>
      </c>
      <c r="T262" s="0" t="n">
        <v>4</v>
      </c>
      <c r="U262" s="5" t="n">
        <f aca="false">IF(ISBLANK(T262),AVERAGE(T262:T1261),T262)</f>
        <v>4</v>
      </c>
      <c r="V262" s="0" t="n">
        <v>4.3</v>
      </c>
      <c r="W262" s="0" t="s">
        <v>92</v>
      </c>
      <c r="X262" s="0" t="str">
        <f aca="false">IF(ISBLANK(W262),"No remarks",W262)</f>
        <v>Urgent service</v>
      </c>
      <c r="Y262" s="0" t="s">
        <v>52</v>
      </c>
      <c r="AA262" s="0" t="str">
        <f aca="false">PROPER(IF(ISBLANK(Z262),"Location Unavailable",Z262))</f>
        <v>Location Unavailable</v>
      </c>
      <c r="AB262" s="0" t="s">
        <v>167</v>
      </c>
      <c r="AC262" s="6" t="str">
        <f aca="false">PROPER(AB262)</f>
        <v>Word Of Mouth</v>
      </c>
      <c r="AD262" s="6" t="n">
        <v>60</v>
      </c>
      <c r="AE262" s="5" t="n">
        <f aca="false">IF(ISBLANK(AD262),AVERAGEIF(L262:L1261,L262,AD262:AD1261),AD262)</f>
        <v>60</v>
      </c>
      <c r="AF262" s="0" t="s">
        <v>96</v>
      </c>
      <c r="AG262" s="0" t="str">
        <f aca="false">PROPER(AF262)</f>
        <v>Ordered</v>
      </c>
      <c r="AH262" s="0" t="s">
        <v>155</v>
      </c>
      <c r="AI262" s="0" t="s">
        <v>78</v>
      </c>
      <c r="AJ262" s="0" t="str">
        <f aca="false">PROPER(AI262)</f>
        <v>Booking</v>
      </c>
      <c r="AK262" s="0" t="s">
        <v>196</v>
      </c>
      <c r="AL262" s="0" t="str">
        <f aca="false">PROPER(AK262)</f>
        <v>First Time</v>
      </c>
      <c r="AN262" s="0" t="str">
        <f aca="false">IF(ISBLANK(AM262),"Unknown",AM262)</f>
        <v>Unknown</v>
      </c>
      <c r="AP262" s="0" t="str">
        <f aca="false">IF(ISBLANK(AO262),"Unknown",AO262)</f>
        <v>Unknown</v>
      </c>
      <c r="AQ262" s="0" t="n">
        <v>40000</v>
      </c>
      <c r="AR262" s="5" t="n">
        <f aca="false">IF(ISBLANK(AQ262),AVERAGEIF(M262:M1261,M262,AQ262:AQ1261),AQ262)</f>
        <v>40000</v>
      </c>
      <c r="AS262" s="0" t="n">
        <v>40000</v>
      </c>
      <c r="AT262" s="5" t="n">
        <f aca="false">IF(ISBLANK(AS262),AVERAGE(AS262:AS1261),AS262)</f>
        <v>40000</v>
      </c>
      <c r="AU262" s="0" t="s">
        <v>61</v>
      </c>
      <c r="AV262" s="0" t="str">
        <f aca="false">PROPER(IF(ISBLANK(AU262),"No",AU262))</f>
        <v>No</v>
      </c>
      <c r="AW262" s="0" t="n">
        <v>10000</v>
      </c>
      <c r="AX262" s="5" t="n">
        <f aca="false">IF(ISBLANK(AW262),0,AW262)</f>
        <v>10000</v>
      </c>
      <c r="AY262" s="0" t="s">
        <v>130</v>
      </c>
      <c r="AZ262" s="0" t="str">
        <f aca="false">UPPER(IF(ISBLANK(AY262),"NONE",AY262))</f>
        <v>LOYALTY10</v>
      </c>
      <c r="BA262" s="7" t="n">
        <v>45950</v>
      </c>
      <c r="BB262" s="7" t="n">
        <f aca="false">IF(ISBLANK(BA262),"No Follow Up Needed",BA262)</f>
        <v>45950</v>
      </c>
      <c r="BC262" s="0" t="s">
        <v>50</v>
      </c>
      <c r="BD262" s="0" t="str">
        <f aca="false">PROPER(IF(ISBLANK(BC262),"Unknown",BC262))</f>
        <v>No</v>
      </c>
      <c r="BF262" s="0" t="str">
        <f aca="false">IF(ISBLANK(BE262),"No comments",BE262)</f>
        <v>No comments</v>
      </c>
      <c r="BH262" s="0" t="str">
        <f aca="false">IF(ISBLANK(BG262),"No comments",BG262)</f>
        <v>No comments</v>
      </c>
      <c r="BI262" s="0" t="s">
        <v>50</v>
      </c>
      <c r="BJ262" s="0" t="str">
        <f aca="false">IF(ISBLANK(BI262),"Not Mentioned",BI262)</f>
        <v>No</v>
      </c>
      <c r="BK262" s="0" t="s">
        <v>61</v>
      </c>
      <c r="BL262" s="0" t="str">
        <f aca="false">PROPER(IF(ISBLANK(BK262),"Not Mentioned",BK262))</f>
        <v>No</v>
      </c>
      <c r="BN262" s="0" t="str">
        <f aca="false">PROPER(IF(ISBLANK(BM262),"Not Mentioned",BM262))</f>
        <v>Not Mentioned</v>
      </c>
      <c r="BO262" s="0" t="s">
        <v>2321</v>
      </c>
      <c r="BP262" s="0" t="str">
        <f aca="false">IF(ISBLANK(BO262),"One-Time Plan",BO262)</f>
        <v>One-Time Plan</v>
      </c>
      <c r="BQ262" s="0" t="s">
        <v>198</v>
      </c>
      <c r="BR262" s="0" t="str">
        <f aca="false">PROPER(IF(ISBLANK(BQ262),"No",BQ262))</f>
        <v>Followed Up</v>
      </c>
    </row>
    <row r="263" customFormat="false" ht="15" hidden="false" customHeight="false" outlineLevel="0" collapsed="false">
      <c r="A263" s="0" t="s">
        <v>763</v>
      </c>
      <c r="B263" s="2" t="n">
        <v>45719</v>
      </c>
      <c r="C263" s="2" t="str">
        <f aca="false">TEXT(B263,"dd/mm/yyyy")</f>
        <v>03/03/2025</v>
      </c>
      <c r="D263" s="0" t="s">
        <v>105</v>
      </c>
      <c r="E263" s="0" t="n">
        <v>8028503943</v>
      </c>
      <c r="F263" s="0" t="s">
        <v>67</v>
      </c>
      <c r="G263" s="0" t="s">
        <v>2316</v>
      </c>
      <c r="H263" s="0" t="s">
        <v>764</v>
      </c>
      <c r="I263" s="0" t="s">
        <v>87</v>
      </c>
      <c r="J263" s="0" t="s">
        <v>2325</v>
      </c>
      <c r="K263" s="3" t="str">
        <f aca="false" t="array" ref="K263:K263">IFERROR(IF(J263&lt;&gt;"",J263,INDEX(J263:J1262,MATCH(1,(F263:F1262=F263)*(I263:I1262=I263)*(L263:L1262=L263)*(J263:J1262&lt;&gt;""),0))),"Not Found")</f>
        <v>Engine Knocking</v>
      </c>
      <c r="L263" s="3" t="s">
        <v>47</v>
      </c>
      <c r="M263" s="0" t="str">
        <f aca="false">PROPER(L263)</f>
        <v>None</v>
      </c>
      <c r="N263" s="3" t="s">
        <v>71</v>
      </c>
      <c r="O263" s="0" t="str">
        <f aca="false" t="array" ref="O263:O263">IF(N263&lt;&gt;"",N263,_xlfn.xlookup(1,(L263:L1262=L263)*(N263:N1262&lt;&gt;""),N263:N1262,"Not Found"))</f>
        <v>Isaac Bobo</v>
      </c>
      <c r="P263" s="4" t="n">
        <v>108209</v>
      </c>
      <c r="Q263" s="0" t="s">
        <v>110</v>
      </c>
      <c r="R263" s="0" t="str">
        <f aca="false">PROPER(Q263)</f>
        <v>Cash</v>
      </c>
      <c r="S263" s="0" t="s">
        <v>50</v>
      </c>
      <c r="T263" s="0" t="n">
        <v>3</v>
      </c>
      <c r="U263" s="5" t="n">
        <f aca="false">IF(ISBLANK(T263),AVERAGE(T263:T1262),T263)</f>
        <v>3</v>
      </c>
      <c r="V263" s="0" t="n">
        <v>5.6</v>
      </c>
      <c r="W263" s="0" t="s">
        <v>51</v>
      </c>
      <c r="X263" s="0" t="str">
        <f aca="false">IF(ISBLANK(W263),"No remarks",W263)</f>
        <v>Recommended further checks</v>
      </c>
      <c r="Y263" s="0" t="s">
        <v>73</v>
      </c>
      <c r="Z263" s="0" t="s">
        <v>53</v>
      </c>
      <c r="AA263" s="0" t="str">
        <f aca="false">PROPER(IF(ISBLANK(Z263),"Location Unavailable",Z263))</f>
        <v>Main Bay</v>
      </c>
      <c r="AB263" s="0" t="s">
        <v>75</v>
      </c>
      <c r="AC263" s="6" t="str">
        <f aca="false">PROPER(AB263)</f>
        <v>Mechanik Referal</v>
      </c>
      <c r="AD263" s="6" t="n">
        <v>30</v>
      </c>
      <c r="AE263" s="5" t="n">
        <f aca="false">IF(ISBLANK(AD263),AVERAGEIF(L263:L1262,L263,AD263:AD1262),AD263)</f>
        <v>30</v>
      </c>
      <c r="AF263" s="0" t="s">
        <v>55</v>
      </c>
      <c r="AG263" s="0" t="str">
        <f aca="false">PROPER(AF263)</f>
        <v>Available</v>
      </c>
      <c r="AH263" s="0" t="s">
        <v>155</v>
      </c>
      <c r="AI263" s="0" t="s">
        <v>128</v>
      </c>
      <c r="AJ263" s="0" t="str">
        <f aca="false">PROPER(AI263)</f>
        <v>Normal</v>
      </c>
      <c r="AK263" s="0" t="s">
        <v>58</v>
      </c>
      <c r="AL263" s="0" t="str">
        <f aca="false">PROPER(AK263)</f>
        <v>Fleet Owner</v>
      </c>
      <c r="AN263" s="0" t="str">
        <f aca="false">IF(ISBLANK(AM263),"Unknown",AM263)</f>
        <v>Unknown</v>
      </c>
      <c r="AO263" s="0" t="s">
        <v>79</v>
      </c>
      <c r="AP263" s="0" t="str">
        <f aca="false">IF(ISBLANK(AO263),"Unknown",AO263)</f>
        <v>Specialist</v>
      </c>
      <c r="AQ263" s="0" t="n">
        <v>30000</v>
      </c>
      <c r="AR263" s="5" t="n">
        <f aca="false">IF(ISBLANK(AQ263),AVERAGEIF(M263:M1262,M263,AQ263:AQ1262),AQ263)</f>
        <v>30000</v>
      </c>
      <c r="AS263" s="0" t="n">
        <v>35000</v>
      </c>
      <c r="AT263" s="5" t="n">
        <f aca="false">IF(ISBLANK(AS263),AVERAGE(AS263:AS1262),AS263)</f>
        <v>35000</v>
      </c>
      <c r="AU263" s="0" t="s">
        <v>61</v>
      </c>
      <c r="AV263" s="0" t="str">
        <f aca="false">PROPER(IF(ISBLANK(AU263),"No",AU263))</f>
        <v>No</v>
      </c>
      <c r="AW263" s="0" t="n">
        <v>5000</v>
      </c>
      <c r="AX263" s="5" t="n">
        <f aca="false">IF(ISBLANK(AW263),0,AW263)</f>
        <v>5000</v>
      </c>
      <c r="AY263" s="0" t="s">
        <v>184</v>
      </c>
      <c r="AZ263" s="0" t="str">
        <f aca="false">UPPER(IF(ISBLANK(AY263),"NONE",AY263))</f>
        <v>N/A</v>
      </c>
      <c r="BA263" s="7" t="n">
        <v>45940</v>
      </c>
      <c r="BB263" s="7" t="n">
        <f aca="false">IF(ISBLANK(BA263),"No Follow Up Needed",BA263)</f>
        <v>45940</v>
      </c>
      <c r="BC263" s="0" t="s">
        <v>82</v>
      </c>
      <c r="BD263" s="0" t="str">
        <f aca="false">PROPER(IF(ISBLANK(BC263),"Unknown",BC263))</f>
        <v>Yes</v>
      </c>
      <c r="BE263" s="0" t="s">
        <v>171</v>
      </c>
      <c r="BF263" s="0" t="str">
        <f aca="false">IF(ISBLANK(BE263),"No comments",BE263)</f>
        <v>Shock absorber weakening</v>
      </c>
      <c r="BG263" s="0" t="s">
        <v>117</v>
      </c>
      <c r="BH263" s="0" t="str">
        <f aca="false">IF(ISBLANK(BG263),"No comments",BG263)</f>
        <v>Prefers morning</v>
      </c>
      <c r="BI263" s="0" t="s">
        <v>63</v>
      </c>
      <c r="BJ263" s="0" t="str">
        <f aca="false">IF(ISBLANK(BI263),"Not Mentioned",BI263)</f>
        <v>Yes</v>
      </c>
      <c r="BK263" s="0" t="s">
        <v>63</v>
      </c>
      <c r="BL263" s="0" t="str">
        <f aca="false">PROPER(IF(ISBLANK(BK263),"Not Mentioned",BK263))</f>
        <v>Yes</v>
      </c>
      <c r="BM263" s="0" t="s">
        <v>50</v>
      </c>
      <c r="BN263" s="0" t="str">
        <f aca="false">PROPER(IF(ISBLANK(BM263),"Not Mentioned",BM263))</f>
        <v>No</v>
      </c>
      <c r="BO263" s="0" t="s">
        <v>2321</v>
      </c>
      <c r="BP263" s="0" t="str">
        <f aca="false">IF(ISBLANK(BO263),"One-Time Plan",BO263)</f>
        <v>One-Time Plan</v>
      </c>
      <c r="BQ263" s="0" t="s">
        <v>50</v>
      </c>
      <c r="BR263" s="0" t="str">
        <f aca="false">PROPER(IF(ISBLANK(BQ263),"No",BQ263))</f>
        <v>No</v>
      </c>
    </row>
    <row r="264" customFormat="false" ht="15" hidden="false" customHeight="false" outlineLevel="0" collapsed="false">
      <c r="A264" s="0" t="s">
        <v>765</v>
      </c>
      <c r="B264" s="2" t="n">
        <v>45730</v>
      </c>
      <c r="C264" s="2" t="str">
        <f aca="false">TEXT(B264,"dd/mm/yyyy")</f>
        <v>14/03/2025</v>
      </c>
      <c r="D264" s="0" t="s">
        <v>66</v>
      </c>
      <c r="E264" s="0" t="n">
        <v>8082897088</v>
      </c>
      <c r="F264" s="0" t="s">
        <v>139</v>
      </c>
      <c r="G264" s="0" t="s">
        <v>2323</v>
      </c>
      <c r="H264" s="0" t="s">
        <v>766</v>
      </c>
      <c r="I264" s="0" t="s">
        <v>45</v>
      </c>
      <c r="K264" s="3" t="str">
        <f aca="false" t="array" ref="K264:K264">IFERROR(IF(J264&lt;&gt;"",J264,INDEX(J264:J1263,MATCH(1,(F264:F1263=F264)*(I264:I1263=I264)*(L264:L1263=L264)*(J264:J1263&lt;&gt;""),0))),"Not Found")</f>
        <v>Suspension Noise</v>
      </c>
      <c r="L264" s="3" t="s">
        <v>47</v>
      </c>
      <c r="M264" s="0" t="str">
        <f aca="false">PROPER(L264)</f>
        <v>None</v>
      </c>
      <c r="N264" s="3" t="s">
        <v>109</v>
      </c>
      <c r="O264" s="0" t="str">
        <f aca="false" t="array" ref="O264:O264">IF(N264&lt;&gt;"",N264,_xlfn.xlookup(1,(L264:L1263=L264)*(N264:N1263&lt;&gt;""),N264:N1263,"Not Found"))</f>
        <v>Tijani</v>
      </c>
      <c r="P264" s="4" t="n">
        <v>55645</v>
      </c>
      <c r="Q264" s="0" t="s">
        <v>72</v>
      </c>
      <c r="R264" s="0" t="str">
        <f aca="false">PROPER(Q264)</f>
        <v>Pos</v>
      </c>
      <c r="S264" s="0" t="s">
        <v>63</v>
      </c>
      <c r="U264" s="5" t="n">
        <f aca="false">IF(ISBLANK(T264),AVERAGE(T264:T1263),T264)</f>
        <v>3.00978792822186</v>
      </c>
      <c r="V264" s="0" t="n">
        <v>4.6</v>
      </c>
      <c r="W264" s="0" t="s">
        <v>92</v>
      </c>
      <c r="X264" s="0" t="str">
        <f aca="false">IF(ISBLANK(W264),"No remarks",W264)</f>
        <v>Urgent service</v>
      </c>
      <c r="Y264" s="0" t="s">
        <v>93</v>
      </c>
      <c r="Z264" s="0" t="s">
        <v>136</v>
      </c>
      <c r="AA264" s="0" t="str">
        <f aca="false">PROPER(IF(ISBLANK(Z264),"Location Unavailable",Z264))</f>
        <v>Vip Section</v>
      </c>
      <c r="AB264" s="0" t="s">
        <v>167</v>
      </c>
      <c r="AC264" s="6" t="str">
        <f aca="false">PROPER(AB264)</f>
        <v>Word Of Mouth</v>
      </c>
      <c r="AD264" s="6" t="n">
        <v>45</v>
      </c>
      <c r="AE264" s="5" t="n">
        <f aca="false">IF(ISBLANK(AD264),AVERAGEIF(L264:L1263,L264,AD264:AD1263),AD264)</f>
        <v>45</v>
      </c>
      <c r="AF264" s="0" t="s">
        <v>96</v>
      </c>
      <c r="AG264" s="0" t="str">
        <f aca="false">PROPER(AF264)</f>
        <v>Ordered</v>
      </c>
      <c r="AH264" s="0" t="s">
        <v>77</v>
      </c>
      <c r="AI264" s="0" t="s">
        <v>113</v>
      </c>
      <c r="AJ264" s="0" t="str">
        <f aca="false">PROPER(AI264)</f>
        <v>Normal</v>
      </c>
      <c r="AK264" s="0" t="s">
        <v>114</v>
      </c>
      <c r="AL264" s="0" t="str">
        <f aca="false">PROPER(AK264)</f>
        <v>Returning</v>
      </c>
      <c r="AN264" s="0" t="str">
        <f aca="false">IF(ISBLANK(AM264),"Unknown",AM264)</f>
        <v>Unknown</v>
      </c>
      <c r="AO264" s="0" t="s">
        <v>143</v>
      </c>
      <c r="AP264" s="0" t="str">
        <f aca="false">IF(ISBLANK(AO264),"Unknown",AO264)</f>
        <v>Senior</v>
      </c>
      <c r="AR264" s="5" t="n">
        <f aca="false">IF(ISBLANK(AQ264),AVERAGEIF(M264:M1263,M264,AQ264:AQ1263),AQ264)</f>
        <v>26086.9565217391</v>
      </c>
      <c r="AT264" s="5" t="n">
        <f aca="false">IF(ISBLANK(AS264),AVERAGE(AS264:AS1263),AS264)</f>
        <v>31419.2495921697</v>
      </c>
      <c r="AV264" s="0" t="str">
        <f aca="false">PROPER(IF(ISBLANK(AU264),"No",AU264))</f>
        <v>No</v>
      </c>
      <c r="AW264" s="0" t="n">
        <v>5000</v>
      </c>
      <c r="AX264" s="5" t="n">
        <f aca="false">IF(ISBLANK(AW264),0,AW264)</f>
        <v>5000</v>
      </c>
      <c r="AY264" s="0" t="s">
        <v>60</v>
      </c>
      <c r="AZ264" s="0" t="str">
        <f aca="false">UPPER(IF(ISBLANK(AY264),"NONE",AY264))</f>
        <v>NONE</v>
      </c>
      <c r="BB264" s="7" t="str">
        <f aca="false">IF(ISBLANK(BA264),"No Follow Up Needed",BA264)</f>
        <v>No Follow Up Needed</v>
      </c>
      <c r="BC264" s="0" t="s">
        <v>50</v>
      </c>
      <c r="BD264" s="0" t="str">
        <f aca="false">PROPER(IF(ISBLANK(BC264),"Unknown",BC264))</f>
        <v>No</v>
      </c>
      <c r="BF264" s="0" t="str">
        <f aca="false">IF(ISBLANK(BE264),"No comments",BE264)</f>
        <v>No comments</v>
      </c>
      <c r="BG264" s="0" t="s">
        <v>172</v>
      </c>
      <c r="BH264" s="0" t="str">
        <f aca="false">IF(ISBLANK(BG264),"No comments",BG264)</f>
        <v>Always late</v>
      </c>
      <c r="BI264" s="0" t="s">
        <v>50</v>
      </c>
      <c r="BJ264" s="0" t="str">
        <f aca="false">IF(ISBLANK(BI264),"Not Mentioned",BI264)</f>
        <v>No</v>
      </c>
      <c r="BK264" s="0" t="s">
        <v>50</v>
      </c>
      <c r="BL264" s="0" t="str">
        <f aca="false">PROPER(IF(ISBLANK(BK264),"Not Mentioned",BK264))</f>
        <v>No</v>
      </c>
      <c r="BM264" s="0" t="s">
        <v>50</v>
      </c>
      <c r="BN264" s="0" t="str">
        <f aca="false">PROPER(IF(ISBLANK(BM264),"Not Mentioned",BM264))</f>
        <v>No</v>
      </c>
      <c r="BO264" s="0" t="s">
        <v>2321</v>
      </c>
      <c r="BP264" s="0" t="str">
        <f aca="false">IF(ISBLANK(BO264),"One-Time Plan",BO264)</f>
        <v>One-Time Plan</v>
      </c>
      <c r="BQ264" s="0" t="s">
        <v>198</v>
      </c>
      <c r="BR264" s="0" t="str">
        <f aca="false">PROPER(IF(ISBLANK(BQ264),"No",BQ264))</f>
        <v>Followed Up</v>
      </c>
    </row>
    <row r="265" customFormat="false" ht="15" hidden="false" customHeight="false" outlineLevel="0" collapsed="false">
      <c r="A265" s="0" t="s">
        <v>767</v>
      </c>
      <c r="B265" s="2" t="n">
        <v>45794</v>
      </c>
      <c r="C265" s="2" t="str">
        <f aca="false">TEXT(B265,"dd/mm/yyyy")</f>
        <v>17/05/2025</v>
      </c>
      <c r="D265" s="0" t="s">
        <v>163</v>
      </c>
      <c r="E265" s="0" t="n">
        <v>8045049006</v>
      </c>
      <c r="F265" s="0" t="s">
        <v>139</v>
      </c>
      <c r="G265" s="0" t="s">
        <v>2323</v>
      </c>
      <c r="H265" s="0" t="s">
        <v>768</v>
      </c>
      <c r="I265" s="0" t="s">
        <v>45</v>
      </c>
      <c r="J265" s="0" t="s">
        <v>2317</v>
      </c>
      <c r="K265" s="3" t="str">
        <f aca="false" t="array" ref="K265:K265">IFERROR(IF(J265&lt;&gt;"",J265,INDEX(J265:J1264,MATCH(1,(F265:F1264=F265)*(I265:I1264=I265)*(L265:L1264=L265)*(J265:J1264&lt;&gt;""),0))),"Not Found")</f>
        <v>Suspension Noise</v>
      </c>
      <c r="L265" s="3" t="s">
        <v>154</v>
      </c>
      <c r="M265" s="0" t="str">
        <f aca="false">PROPER(L265)</f>
        <v>Air Filter</v>
      </c>
      <c r="N265" s="3" t="s">
        <v>109</v>
      </c>
      <c r="O265" s="0" t="str">
        <f aca="false" t="array" ref="O265:O265">IF(N265&lt;&gt;"",N265,_xlfn.xlookup(1,(L265:L1264=L265)*(N265:N1264&lt;&gt;""),N265:N1264,"Not Found"))</f>
        <v>Tijani</v>
      </c>
      <c r="P265" s="4" t="n">
        <v>97032</v>
      </c>
      <c r="Q265" s="0" t="s">
        <v>124</v>
      </c>
      <c r="R265" s="0" t="str">
        <f aca="false">PROPER(Q265)</f>
        <v>Cash</v>
      </c>
      <c r="S265" s="0" t="s">
        <v>63</v>
      </c>
      <c r="T265" s="0" t="n">
        <v>2</v>
      </c>
      <c r="U265" s="5" t="n">
        <f aca="false">IF(ISBLANK(T265),AVERAGE(T265:T1264),T265)</f>
        <v>2</v>
      </c>
      <c r="V265" s="0" t="n">
        <v>3.4</v>
      </c>
      <c r="X265" s="0" t="str">
        <f aca="false">IF(ISBLANK(W265),"No remarks",W265)</f>
        <v>No remarks</v>
      </c>
      <c r="Y265" s="0" t="s">
        <v>52</v>
      </c>
      <c r="AA265" s="0" t="str">
        <f aca="false">PROPER(IF(ISBLANK(Z265),"Location Unavailable",Z265))</f>
        <v>Location Unavailable</v>
      </c>
      <c r="AB265" s="0" t="s">
        <v>95</v>
      </c>
      <c r="AC265" s="6" t="str">
        <f aca="false">PROPER(AB265)</f>
        <v>Road Sign</v>
      </c>
      <c r="AD265" s="6" t="n">
        <v>15</v>
      </c>
      <c r="AE265" s="5" t="n">
        <f aca="false">IF(ISBLANK(AD265),AVERAGEIF(L265:L1264,L265,AD265:AD1264),AD265)</f>
        <v>15</v>
      </c>
      <c r="AF265" s="0" t="s">
        <v>96</v>
      </c>
      <c r="AG265" s="0" t="str">
        <f aca="false">PROPER(AF265)</f>
        <v>Ordered</v>
      </c>
      <c r="AH265" s="0" t="s">
        <v>155</v>
      </c>
      <c r="AI265" s="0" t="s">
        <v>113</v>
      </c>
      <c r="AJ265" s="0" t="str">
        <f aca="false">PROPER(AI265)</f>
        <v>Normal</v>
      </c>
      <c r="AK265" s="0" t="s">
        <v>196</v>
      </c>
      <c r="AL265" s="0" t="str">
        <f aca="false">PROPER(AK265)</f>
        <v>First Time</v>
      </c>
      <c r="AM265" s="0" t="s">
        <v>59</v>
      </c>
      <c r="AN265" s="0" t="str">
        <f aca="false">IF(ISBLANK(AM265),"Unknown",AM265)</f>
        <v>Bolt Driver</v>
      </c>
      <c r="AO265" s="0" t="s">
        <v>79</v>
      </c>
      <c r="AP265" s="0" t="str">
        <f aca="false">IF(ISBLANK(AO265),"Unknown",AO265)</f>
        <v>Specialist</v>
      </c>
      <c r="AR265" s="5" t="n">
        <f aca="false">IF(ISBLANK(AQ265),AVERAGEIF(M265:M1264,M265,AQ265:AQ1264),AQ265)</f>
        <v>26388.8888888889</v>
      </c>
      <c r="AS265" s="0" t="n">
        <v>30000</v>
      </c>
      <c r="AT265" s="5" t="n">
        <f aca="false">IF(ISBLANK(AS265),AVERAGE(AS265:AS1264),AS265)</f>
        <v>30000</v>
      </c>
      <c r="AU265" s="0" t="s">
        <v>61</v>
      </c>
      <c r="AV265" s="0" t="str">
        <f aca="false">PROPER(IF(ISBLANK(AU265),"No",AU265))</f>
        <v>No</v>
      </c>
      <c r="AW265" s="0" t="n">
        <v>5000</v>
      </c>
      <c r="AX265" s="5" t="n">
        <f aca="false">IF(ISBLANK(AW265),0,AW265)</f>
        <v>5000</v>
      </c>
      <c r="AY265" s="0" t="s">
        <v>80</v>
      </c>
      <c r="AZ265" s="0" t="str">
        <f aca="false">UPPER(IF(ISBLANK(AY265),"NONE",AY265))</f>
        <v>PROMO10</v>
      </c>
      <c r="BA265" s="7" t="s">
        <v>215</v>
      </c>
      <c r="BB265" s="7" t="str">
        <f aca="false">IF(ISBLANK(BA265),"No Follow Up Needed",BA265)</f>
        <v>28/09/2025</v>
      </c>
      <c r="BC265" s="0" t="s">
        <v>61</v>
      </c>
      <c r="BD265" s="0" t="str">
        <f aca="false">PROPER(IF(ISBLANK(BC265),"Unknown",BC265))</f>
        <v>No</v>
      </c>
      <c r="BE265" s="0" t="s">
        <v>116</v>
      </c>
      <c r="BF265" s="0" t="str">
        <f aca="false">IF(ISBLANK(BE265),"No comments",BE265)</f>
        <v>Needs tire alignment</v>
      </c>
      <c r="BG265" s="0" t="s">
        <v>2320</v>
      </c>
      <c r="BH265" s="0" t="str">
        <f aca="false">IF(ISBLANK(BG265),"No comments",BG265)</f>
        <v>No complaints</v>
      </c>
      <c r="BI265" s="0" t="s">
        <v>63</v>
      </c>
      <c r="BJ265" s="0" t="str">
        <f aca="false">IF(ISBLANK(BI265),"Not Mentioned",BI265)</f>
        <v>Yes</v>
      </c>
      <c r="BK265" s="0" t="s">
        <v>63</v>
      </c>
      <c r="BL265" s="0" t="str">
        <f aca="false">PROPER(IF(ISBLANK(BK265),"Not Mentioned",BK265))</f>
        <v>Yes</v>
      </c>
      <c r="BM265" s="0" t="s">
        <v>63</v>
      </c>
      <c r="BN265" s="0" t="str">
        <f aca="false">PROPER(IF(ISBLANK(BM265),"Not Mentioned",BM265))</f>
        <v>Yes</v>
      </c>
      <c r="BO265" s="0" t="s">
        <v>64</v>
      </c>
      <c r="BP265" s="0" t="str">
        <f aca="false">IF(ISBLANK(BO265),"One-Time Plan",BO265)</f>
        <v>Gold Maintenance Plan</v>
      </c>
      <c r="BQ265" s="0" t="s">
        <v>50</v>
      </c>
      <c r="BR265" s="0" t="str">
        <f aca="false">PROPER(IF(ISBLANK(BQ265),"No",BQ265))</f>
        <v>No</v>
      </c>
    </row>
    <row r="266" customFormat="false" ht="15" hidden="false" customHeight="false" outlineLevel="0" collapsed="false">
      <c r="A266" s="0" t="s">
        <v>769</v>
      </c>
      <c r="B266" s="2" t="s">
        <v>433</v>
      </c>
      <c r="C266" s="2" t="str">
        <f aca="false">TEXT(B266,"dd/mm/yyyy")</f>
        <v>16/02/2025</v>
      </c>
      <c r="D266" s="0" t="s">
        <v>121</v>
      </c>
      <c r="E266" s="0" t="n">
        <v>8011145397</v>
      </c>
      <c r="F266" s="0" t="s">
        <v>122</v>
      </c>
      <c r="G266" s="0" t="s">
        <v>2316</v>
      </c>
      <c r="H266" s="0" t="s">
        <v>770</v>
      </c>
      <c r="I266" s="0" t="s">
        <v>45</v>
      </c>
      <c r="J266" s="0" t="s">
        <v>87</v>
      </c>
      <c r="K266" s="3" t="str">
        <f aca="false" t="array" ref="K266:K266">IFERROR(IF(J266&lt;&gt;"",J266,INDEX(J266:J1265,MATCH(1,(F266:F1265=F266)*(I266:I1265=I266)*(L266:L1265=L266)*(J266:J1265&lt;&gt;""),0))),"Not Found")</f>
        <v>Oil Change</v>
      </c>
      <c r="L266" s="3" t="s">
        <v>89</v>
      </c>
      <c r="M266" s="0" t="str">
        <f aca="false">PROPER(L266)</f>
        <v>Shock Absorbers</v>
      </c>
      <c r="N266" s="3" t="s">
        <v>48</v>
      </c>
      <c r="O266" s="0" t="str">
        <f aca="false" t="array" ref="O266:O266">IF(N266&lt;&gt;"",N266,_xlfn.xlookup(1,(L266:L1265=L266)*(N266:N1265&lt;&gt;""),N266:N1265,"Not Found"))</f>
        <v>Uche</v>
      </c>
      <c r="P266" s="4" t="n">
        <v>13149</v>
      </c>
      <c r="Q266" s="0" t="s">
        <v>91</v>
      </c>
      <c r="R266" s="0" t="str">
        <f aca="false">PROPER(Q266)</f>
        <v>Pos</v>
      </c>
      <c r="S266" s="0" t="s">
        <v>63</v>
      </c>
      <c r="T266" s="0" t="n">
        <v>2</v>
      </c>
      <c r="U266" s="5" t="n">
        <f aca="false">IF(ISBLANK(T266),AVERAGE(T266:T1265),T266)</f>
        <v>2</v>
      </c>
      <c r="V266" s="0" t="n">
        <v>5</v>
      </c>
      <c r="W266" s="0" t="s">
        <v>111</v>
      </c>
      <c r="X266" s="0" t="str">
        <f aca="false">IF(ISBLANK(W266),"No remarks",W266)</f>
        <v>Changed all filters</v>
      </c>
      <c r="Y266" s="0" t="s">
        <v>73</v>
      </c>
      <c r="Z266" s="0" t="s">
        <v>159</v>
      </c>
      <c r="AA266" s="0" t="str">
        <f aca="false">PROPER(IF(ISBLANK(Z266),"Location Unavailable",Z266))</f>
        <v>Main Bay</v>
      </c>
      <c r="AB266" s="0" t="s">
        <v>126</v>
      </c>
      <c r="AC266" s="6" t="str">
        <f aca="false">PROPER(AB266)</f>
        <v>Whatsapp</v>
      </c>
      <c r="AD266" s="6" t="n">
        <v>45</v>
      </c>
      <c r="AE266" s="5" t="n">
        <f aca="false">IF(ISBLANK(AD266),AVERAGEIF(L266:L1265,L266,AD266:AD1265),AD266)</f>
        <v>45</v>
      </c>
      <c r="AF266" s="0" t="s">
        <v>112</v>
      </c>
      <c r="AG266" s="0" t="str">
        <f aca="false">PROPER(AF266)</f>
        <v>Unavailable</v>
      </c>
      <c r="AH266" s="0" t="s">
        <v>155</v>
      </c>
      <c r="AI266" s="0" t="s">
        <v>113</v>
      </c>
      <c r="AJ266" s="0" t="str">
        <f aca="false">PROPER(AI266)</f>
        <v>Normal</v>
      </c>
      <c r="AK266" s="0" t="s">
        <v>114</v>
      </c>
      <c r="AL266" s="0" t="str">
        <f aca="false">PROPER(AK266)</f>
        <v>Returning</v>
      </c>
      <c r="AN266" s="0" t="str">
        <f aca="false">IF(ISBLANK(AM266),"Unknown",AM266)</f>
        <v>Unknown</v>
      </c>
      <c r="AO266" s="0" t="s">
        <v>79</v>
      </c>
      <c r="AP266" s="0" t="str">
        <f aca="false">IF(ISBLANK(AO266),"Unknown",AO266)</f>
        <v>Specialist</v>
      </c>
      <c r="AQ266" s="0" t="n">
        <v>25000</v>
      </c>
      <c r="AR266" s="5" t="n">
        <f aca="false">IF(ISBLANK(AQ266),AVERAGEIF(M266:M1265,M266,AQ266:AQ1265),AQ266)</f>
        <v>25000</v>
      </c>
      <c r="AS266" s="0" t="n">
        <v>30000</v>
      </c>
      <c r="AT266" s="5" t="n">
        <f aca="false">IF(ISBLANK(AS266),AVERAGE(AS266:AS1265),AS266)</f>
        <v>30000</v>
      </c>
      <c r="AU266" s="0" t="s">
        <v>63</v>
      </c>
      <c r="AV266" s="0" t="str">
        <f aca="false">PROPER(IF(ISBLANK(AU266),"No",AU266))</f>
        <v>Yes</v>
      </c>
      <c r="AW266" s="0" t="n">
        <v>10000</v>
      </c>
      <c r="AX266" s="5" t="n">
        <f aca="false">IF(ISBLANK(AW266),0,AW266)</f>
        <v>10000</v>
      </c>
      <c r="AY266" s="0" t="s">
        <v>130</v>
      </c>
      <c r="AZ266" s="0" t="str">
        <f aca="false">UPPER(IF(ISBLANK(AY266),"NONE",AY266))</f>
        <v>LOYALTY10</v>
      </c>
      <c r="BA266" s="7" t="s">
        <v>771</v>
      </c>
      <c r="BB266" s="7" t="str">
        <f aca="false">IF(ISBLANK(BA266),"No Follow Up Needed",BA266)</f>
        <v>26/07/2025</v>
      </c>
      <c r="BD266" s="0" t="str">
        <f aca="false">PROPER(IF(ISBLANK(BC266),"Unknown",BC266))</f>
        <v>Unknown</v>
      </c>
      <c r="BF266" s="0" t="str">
        <f aca="false">IF(ISBLANK(BE266),"No comments",BE266)</f>
        <v>No comments</v>
      </c>
      <c r="BH266" s="0" t="str">
        <f aca="false">IF(ISBLANK(BG266),"No comments",BG266)</f>
        <v>No comments</v>
      </c>
      <c r="BI266" s="0" t="s">
        <v>63</v>
      </c>
      <c r="BJ266" s="0" t="str">
        <f aca="false">IF(ISBLANK(BI266),"Not Mentioned",BI266)</f>
        <v>Yes</v>
      </c>
      <c r="BL266" s="0" t="str">
        <f aca="false">PROPER(IF(ISBLANK(BK266),"Not Mentioned",BK266))</f>
        <v>Not Mentioned</v>
      </c>
      <c r="BM266" s="0" t="s">
        <v>50</v>
      </c>
      <c r="BN266" s="0" t="str">
        <f aca="false">PROPER(IF(ISBLANK(BM266),"Not Mentioned",BM266))</f>
        <v>No</v>
      </c>
      <c r="BP266" s="0" t="str">
        <f aca="false">IF(ISBLANK(BO266),"One-Time Plan",BO266)</f>
        <v>One-Time Plan</v>
      </c>
      <c r="BQ266" s="0" t="s">
        <v>63</v>
      </c>
      <c r="BR266" s="0" t="str">
        <f aca="false">PROPER(IF(ISBLANK(BQ266),"No",BQ266))</f>
        <v>Yes</v>
      </c>
    </row>
    <row r="267" customFormat="false" ht="15" hidden="false" customHeight="false" outlineLevel="0" collapsed="false">
      <c r="A267" s="0" t="s">
        <v>772</v>
      </c>
      <c r="B267" s="2" t="n">
        <v>45774</v>
      </c>
      <c r="C267" s="2" t="str">
        <f aca="false">TEXT(B267,"dd/mm/yyyy")</f>
        <v>27/04/2025</v>
      </c>
      <c r="D267" s="0" t="s">
        <v>42</v>
      </c>
      <c r="E267" s="0" t="n">
        <v>8050194740</v>
      </c>
      <c r="F267" s="0" t="s">
        <v>43</v>
      </c>
      <c r="G267" s="0" t="s">
        <v>2315</v>
      </c>
      <c r="H267" s="0" t="s">
        <v>773</v>
      </c>
      <c r="I267" s="0" t="s">
        <v>87</v>
      </c>
      <c r="J267" s="0" t="s">
        <v>2322</v>
      </c>
      <c r="K267" s="3" t="str">
        <f aca="false" t="array" ref="K267:K267">IFERROR(IF(J267&lt;&gt;"",J267,INDEX(J267:J1266,MATCH(1,(F267:F1266=F267)*(I267:I1266=I267)*(L267:L1266=L267)*(J267:J1266&lt;&gt;""),0))),"Not Found")</f>
        <v>Brake Failure</v>
      </c>
      <c r="L267" s="3" t="s">
        <v>142</v>
      </c>
      <c r="M267" s="0" t="str">
        <f aca="false">PROPER(L267)</f>
        <v>Oil Filter, Brake Pads</v>
      </c>
      <c r="N267" s="3" t="s">
        <v>109</v>
      </c>
      <c r="O267" s="0" t="str">
        <f aca="false" t="array" ref="O267:O267">IF(N267&lt;&gt;"",N267,_xlfn.xlookup(1,(L267:L1266=L267)*(N267:N1266&lt;&gt;""),N267:N1266,"Not Found"))</f>
        <v>Tijani</v>
      </c>
      <c r="P267" s="4" t="n">
        <v>22120</v>
      </c>
      <c r="Q267" s="0" t="s">
        <v>91</v>
      </c>
      <c r="R267" s="0" t="str">
        <f aca="false">PROPER(Q267)</f>
        <v>Pos</v>
      </c>
      <c r="S267" s="0" t="s">
        <v>63</v>
      </c>
      <c r="T267" s="0" t="n">
        <v>2</v>
      </c>
      <c r="U267" s="5" t="n">
        <f aca="false">IF(ISBLANK(T267),AVERAGE(T267:T1266),T267)</f>
        <v>2</v>
      </c>
      <c r="V267" s="0" t="n">
        <v>3.6</v>
      </c>
      <c r="W267" s="0" t="s">
        <v>51</v>
      </c>
      <c r="X267" s="0" t="str">
        <f aca="false">IF(ISBLANK(W267),"No remarks",W267)</f>
        <v>Recommended further checks</v>
      </c>
      <c r="Y267" s="0" t="s">
        <v>73</v>
      </c>
      <c r="Z267" s="0" t="s">
        <v>53</v>
      </c>
      <c r="AA267" s="0" t="str">
        <f aca="false">PROPER(IF(ISBLANK(Z267),"Location Unavailable",Z267))</f>
        <v>Main Bay</v>
      </c>
      <c r="AB267" s="0" t="s">
        <v>167</v>
      </c>
      <c r="AC267" s="6" t="str">
        <f aca="false">PROPER(AB267)</f>
        <v>Word Of Mouth</v>
      </c>
      <c r="AE267" s="5" t="n">
        <f aca="false">IF(ISBLANK(AD267),AVERAGEIF(L267:L1266,L267,AD267:AD1266),AD267)</f>
        <v>39.0277777777778</v>
      </c>
      <c r="AF267" s="0" t="s">
        <v>76</v>
      </c>
      <c r="AG267" s="0" t="str">
        <f aca="false">PROPER(AF267)</f>
        <v>Orderd</v>
      </c>
      <c r="AH267" s="0" t="s">
        <v>155</v>
      </c>
      <c r="AI267" s="0" t="s">
        <v>78</v>
      </c>
      <c r="AJ267" s="0" t="str">
        <f aca="false">PROPER(AI267)</f>
        <v>Booking</v>
      </c>
      <c r="AK267" s="0" t="s">
        <v>99</v>
      </c>
      <c r="AL267" s="0" t="str">
        <f aca="false">PROPER(AK267)</f>
        <v>Uber Driver</v>
      </c>
      <c r="AM267" s="0" t="s">
        <v>59</v>
      </c>
      <c r="AN267" s="0" t="str">
        <f aca="false">IF(ISBLANK(AM267),"Unknown",AM267)</f>
        <v>Bolt Driver</v>
      </c>
      <c r="AO267" s="0" t="s">
        <v>79</v>
      </c>
      <c r="AP267" s="0" t="str">
        <f aca="false">IF(ISBLANK(AO267),"Unknown",AO267)</f>
        <v>Specialist</v>
      </c>
      <c r="AQ267" s="0" t="n">
        <v>30000</v>
      </c>
      <c r="AR267" s="5" t="n">
        <f aca="false">IF(ISBLANK(AQ267),AVERAGEIF(M267:M1266,M267,AQ267:AQ1266),AQ267)</f>
        <v>30000</v>
      </c>
      <c r="AS267" s="0" t="n">
        <v>20000</v>
      </c>
      <c r="AT267" s="5" t="n">
        <f aca="false">IF(ISBLANK(AS267),AVERAGE(AS267:AS1266),AS267)</f>
        <v>20000</v>
      </c>
      <c r="AV267" s="0" t="str">
        <f aca="false">PROPER(IF(ISBLANK(AU267),"No",AU267))</f>
        <v>No</v>
      </c>
      <c r="AX267" s="5" t="n">
        <f aca="false">IF(ISBLANK(AW267),0,AW267)</f>
        <v>0</v>
      </c>
      <c r="AY267" s="0" t="s">
        <v>60</v>
      </c>
      <c r="AZ267" s="0" t="str">
        <f aca="false">UPPER(IF(ISBLANK(AY267),"NONE",AY267))</f>
        <v>NONE</v>
      </c>
      <c r="BA267" s="7" t="s">
        <v>774</v>
      </c>
      <c r="BB267" s="7" t="str">
        <f aca="false">IF(ISBLANK(BA267),"No Follow Up Needed",BA267)</f>
        <v>31/08/2025</v>
      </c>
      <c r="BC267" s="0" t="s">
        <v>63</v>
      </c>
      <c r="BD267" s="0" t="str">
        <f aca="false">PROPER(IF(ISBLANK(BC267),"Unknown",BC267))</f>
        <v>Yes</v>
      </c>
      <c r="BF267" s="0" t="str">
        <f aca="false">IF(ISBLANK(BE267),"No comments",BE267)</f>
        <v>No comments</v>
      </c>
      <c r="BH267" s="0" t="str">
        <f aca="false">IF(ISBLANK(BG267),"No comments",BG267)</f>
        <v>No comments</v>
      </c>
      <c r="BI267" s="0" t="s">
        <v>50</v>
      </c>
      <c r="BJ267" s="0" t="str">
        <f aca="false">IF(ISBLANK(BI267),"Not Mentioned",BI267)</f>
        <v>No</v>
      </c>
      <c r="BL267" s="0" t="str">
        <f aca="false">PROPER(IF(ISBLANK(BK267),"Not Mentioned",BK267))</f>
        <v>Not Mentioned</v>
      </c>
      <c r="BM267" s="0" t="s">
        <v>63</v>
      </c>
      <c r="BN267" s="0" t="str">
        <f aca="false">PROPER(IF(ISBLANK(BM267),"Not Mentioned",BM267))</f>
        <v>Yes</v>
      </c>
      <c r="BO267" s="0" t="s">
        <v>64</v>
      </c>
      <c r="BP267" s="0" t="str">
        <f aca="false">IF(ISBLANK(BO267),"One-Time Plan",BO267)</f>
        <v>Gold Maintenance Plan</v>
      </c>
      <c r="BQ267" s="0" t="s">
        <v>198</v>
      </c>
      <c r="BR267" s="0" t="str">
        <f aca="false">PROPER(IF(ISBLANK(BQ267),"No",BQ267))</f>
        <v>Followed Up</v>
      </c>
    </row>
    <row r="268" customFormat="false" ht="15" hidden="false" customHeight="false" outlineLevel="0" collapsed="false">
      <c r="A268" s="0" t="s">
        <v>775</v>
      </c>
      <c r="B268" s="2" t="n">
        <v>45964</v>
      </c>
      <c r="C268" s="2" t="str">
        <f aca="false">TEXT(B268,"dd/mm/yyyy")</f>
        <v>03/11/2025</v>
      </c>
      <c r="D268" s="0" t="s">
        <v>66</v>
      </c>
      <c r="E268" s="0" t="n">
        <v>8047828631</v>
      </c>
      <c r="F268" s="0" t="s">
        <v>139</v>
      </c>
      <c r="G268" s="0" t="s">
        <v>2323</v>
      </c>
      <c r="H268" s="0" t="s">
        <v>776</v>
      </c>
      <c r="I268" s="0" t="s">
        <v>107</v>
      </c>
      <c r="J268" s="0" t="s">
        <v>2317</v>
      </c>
      <c r="K268" s="3" t="str">
        <f aca="false" t="array" ref="K268:K268">IFERROR(IF(J268&lt;&gt;"",J268,INDEX(J268:J1267,MATCH(1,(F268:F1267=F268)*(I268:I1267=I268)*(L268:L1267=L268)*(J268:J1267&lt;&gt;""),0))),"Not Found")</f>
        <v>Suspension Noise</v>
      </c>
      <c r="L268" s="3" t="s">
        <v>108</v>
      </c>
      <c r="M268" s="0" t="str">
        <f aca="false">PROPER(L268)</f>
        <v>Timing Belt</v>
      </c>
      <c r="N268" s="3" t="s">
        <v>90</v>
      </c>
      <c r="O268" s="0" t="str">
        <f aca="false" t="array" ref="O268:O268">IF(N268&lt;&gt;"",N268,_xlfn.xlookup(1,(L268:L1267=L268)*(N268:N1267&lt;&gt;""),N268:N1267,"Not Found"))</f>
        <v>Musa</v>
      </c>
      <c r="P268" s="4" t="n">
        <v>49687</v>
      </c>
      <c r="Q268" s="0" t="s">
        <v>49</v>
      </c>
      <c r="R268" s="0" t="str">
        <f aca="false">PROPER(Q268)</f>
        <v>Transfer</v>
      </c>
      <c r="S268" s="0" t="s">
        <v>63</v>
      </c>
      <c r="T268" s="0" t="n">
        <v>2</v>
      </c>
      <c r="U268" s="5" t="n">
        <f aca="false">IF(ISBLANK(T268),AVERAGE(T268:T1267),T268)</f>
        <v>2</v>
      </c>
      <c r="V268" s="0" t="n">
        <v>1.5</v>
      </c>
      <c r="W268" s="0" t="s">
        <v>92</v>
      </c>
      <c r="X268" s="0" t="str">
        <f aca="false">IF(ISBLANK(W268),"No remarks",W268)</f>
        <v>Urgent service</v>
      </c>
      <c r="Y268" s="0" t="s">
        <v>73</v>
      </c>
      <c r="Z268" s="0" t="s">
        <v>53</v>
      </c>
      <c r="AA268" s="0" t="str">
        <f aca="false">PROPER(IF(ISBLANK(Z268),"Location Unavailable",Z268))</f>
        <v>Main Bay</v>
      </c>
      <c r="AB268" s="0" t="s">
        <v>95</v>
      </c>
      <c r="AC268" s="6" t="str">
        <f aca="false">PROPER(AB268)</f>
        <v>Road Sign</v>
      </c>
      <c r="AD268" s="6" t="n">
        <v>15</v>
      </c>
      <c r="AE268" s="5" t="n">
        <f aca="false">IF(ISBLANK(AD268),AVERAGEIF(L268:L1267,L268,AD268:AD1267),AD268)</f>
        <v>15</v>
      </c>
      <c r="AF268" s="0" t="s">
        <v>112</v>
      </c>
      <c r="AG268" s="0" t="str">
        <f aca="false">PROPER(AF268)</f>
        <v>Unavailable</v>
      </c>
      <c r="AH268" s="0" t="s">
        <v>77</v>
      </c>
      <c r="AI268" s="0" t="s">
        <v>113</v>
      </c>
      <c r="AJ268" s="0" t="str">
        <f aca="false">PROPER(AI268)</f>
        <v>Normal</v>
      </c>
      <c r="AK268" s="0" t="s">
        <v>196</v>
      </c>
      <c r="AL268" s="0" t="str">
        <f aca="false">PROPER(AK268)</f>
        <v>First Time</v>
      </c>
      <c r="AM268" s="0" t="s">
        <v>59</v>
      </c>
      <c r="AN268" s="0" t="str">
        <f aca="false">IF(ISBLANK(AM268),"Unknown",AM268)</f>
        <v>Bolt Driver</v>
      </c>
      <c r="AO268" s="0" t="s">
        <v>149</v>
      </c>
      <c r="AP268" s="0" t="str">
        <f aca="false">IF(ISBLANK(AO268),"Unknown",AO268)</f>
        <v>Senior </v>
      </c>
      <c r="AQ268" s="0" t="n">
        <v>40000</v>
      </c>
      <c r="AR268" s="5" t="n">
        <f aca="false">IF(ISBLANK(AQ268),AVERAGEIF(M268:M1267,M268,AQ268:AQ1267),AQ268)</f>
        <v>40000</v>
      </c>
      <c r="AS268" s="0" t="n">
        <v>30000</v>
      </c>
      <c r="AT268" s="5" t="n">
        <f aca="false">IF(ISBLANK(AS268),AVERAGE(AS268:AS1267),AS268)</f>
        <v>30000</v>
      </c>
      <c r="AU268" s="0" t="s">
        <v>63</v>
      </c>
      <c r="AV268" s="0" t="str">
        <f aca="false">PROPER(IF(ISBLANK(AU268),"No",AU268))</f>
        <v>Yes</v>
      </c>
      <c r="AW268" s="0" t="n">
        <v>0</v>
      </c>
      <c r="AX268" s="5" t="n">
        <f aca="false">IF(ISBLANK(AW268),0,AW268)</f>
        <v>0</v>
      </c>
      <c r="AY268" s="0" t="s">
        <v>80</v>
      </c>
      <c r="AZ268" s="0" t="str">
        <f aca="false">UPPER(IF(ISBLANK(AY268),"NONE",AY268))</f>
        <v>PROMO10</v>
      </c>
      <c r="BA268" s="7" t="s">
        <v>325</v>
      </c>
      <c r="BB268" s="7" t="str">
        <f aca="false">IF(ISBLANK(BA268),"No Follow Up Needed",BA268)</f>
        <v>26/08/2025</v>
      </c>
      <c r="BD268" s="0" t="str">
        <f aca="false">PROPER(IF(ISBLANK(BC268),"Unknown",BC268))</f>
        <v>Unknown</v>
      </c>
      <c r="BF268" s="0" t="str">
        <f aca="false">IF(ISBLANK(BE268),"No comments",BE268)</f>
        <v>No comments</v>
      </c>
      <c r="BG268" s="0" t="s">
        <v>2320</v>
      </c>
      <c r="BH268" s="0" t="str">
        <f aca="false">IF(ISBLANK(BG268),"No comments",BG268)</f>
        <v>No complaints</v>
      </c>
      <c r="BI268" s="0" t="s">
        <v>50</v>
      </c>
      <c r="BJ268" s="0" t="str">
        <f aca="false">IF(ISBLANK(BI268),"Not Mentioned",BI268)</f>
        <v>No</v>
      </c>
      <c r="BK268" s="0" t="s">
        <v>82</v>
      </c>
      <c r="BL268" s="0" t="str">
        <f aca="false">PROPER(IF(ISBLANK(BK268),"Not Mentioned",BK268))</f>
        <v>Yes</v>
      </c>
      <c r="BN268" s="0" t="str">
        <f aca="false">PROPER(IF(ISBLANK(BM268),"Not Mentioned",BM268))</f>
        <v>Not Mentioned</v>
      </c>
      <c r="BP268" s="0" t="str">
        <f aca="false">IF(ISBLANK(BO268),"One-Time Plan",BO268)</f>
        <v>One-Time Plan</v>
      </c>
      <c r="BQ268" s="0" t="s">
        <v>50</v>
      </c>
      <c r="BR268" s="0" t="str">
        <f aca="false">PROPER(IF(ISBLANK(BQ268),"No",BQ268))</f>
        <v>No</v>
      </c>
    </row>
    <row r="269" customFormat="false" ht="15" hidden="false" customHeight="false" outlineLevel="0" collapsed="false">
      <c r="A269" s="0" t="s">
        <v>777</v>
      </c>
      <c r="B269" s="2" t="n">
        <v>45706</v>
      </c>
      <c r="C269" s="2" t="str">
        <f aca="false">TEXT(B269,"dd/mm/yyyy")</f>
        <v>18/02/2025</v>
      </c>
      <c r="D269" s="0" t="s">
        <v>42</v>
      </c>
      <c r="E269" s="0" t="n">
        <v>8056524207</v>
      </c>
      <c r="F269" s="0" t="s">
        <v>67</v>
      </c>
      <c r="G269" s="0" t="s">
        <v>2316</v>
      </c>
      <c r="H269" s="0" t="s">
        <v>778</v>
      </c>
      <c r="I269" s="0" t="s">
        <v>45</v>
      </c>
      <c r="J269" s="0" t="s">
        <v>2325</v>
      </c>
      <c r="K269" s="3" t="str">
        <f aca="false" t="array" ref="K269:K269">IFERROR(IF(J269&lt;&gt;"",J269,INDEX(J269:J1268,MATCH(1,(F269:F1268=F269)*(I269:I1268=I269)*(L269:L1268=L269)*(J269:J1268&lt;&gt;""),0))),"Not Found")</f>
        <v>Engine Knocking</v>
      </c>
      <c r="L269" s="3" t="s">
        <v>189</v>
      </c>
      <c r="M269" s="0" t="str">
        <f aca="false">PROPER(L269)</f>
        <v>Battery</v>
      </c>
      <c r="N269" s="3" t="s">
        <v>90</v>
      </c>
      <c r="O269" s="0" t="str">
        <f aca="false" t="array" ref="O269:O269">IF(N269&lt;&gt;"",N269,_xlfn.xlookup(1,(L269:L1268=L269)*(N269:N1268&lt;&gt;""),N269:N1268,"Not Found"))</f>
        <v>Musa</v>
      </c>
      <c r="P269" s="4" t="n">
        <v>36062</v>
      </c>
      <c r="Q269" s="0" t="s">
        <v>49</v>
      </c>
      <c r="R269" s="0" t="str">
        <f aca="false">PROPER(Q269)</f>
        <v>Transfer</v>
      </c>
      <c r="S269" s="0" t="s">
        <v>50</v>
      </c>
      <c r="T269" s="0" t="n">
        <v>5</v>
      </c>
      <c r="U269" s="5" t="n">
        <f aca="false">IF(ISBLANK(T269),AVERAGE(T269:T1268),T269)</f>
        <v>5</v>
      </c>
      <c r="V269" s="0" t="n">
        <v>3.8</v>
      </c>
      <c r="W269" s="0" t="s">
        <v>111</v>
      </c>
      <c r="X269" s="0" t="str">
        <f aca="false">IF(ISBLANK(W269),"No remarks",W269)</f>
        <v>Changed all filters</v>
      </c>
      <c r="Y269" s="0" t="s">
        <v>73</v>
      </c>
      <c r="Z269" s="0" t="s">
        <v>74</v>
      </c>
      <c r="AA269" s="0" t="str">
        <f aca="false">PROPER(IF(ISBLANK(Z269),"Location Unavailable",Z269))</f>
        <v>Under Tree</v>
      </c>
      <c r="AB269" s="0" t="s">
        <v>75</v>
      </c>
      <c r="AC269" s="6" t="str">
        <f aca="false">PROPER(AB269)</f>
        <v>Mechanik Referal</v>
      </c>
      <c r="AD269" s="6" t="n">
        <v>30</v>
      </c>
      <c r="AE269" s="5" t="n">
        <f aca="false">IF(ISBLANK(AD269),AVERAGEIF(L269:L1268,L269,AD269:AD1268),AD269)</f>
        <v>30</v>
      </c>
      <c r="AF269" s="0" t="s">
        <v>160</v>
      </c>
      <c r="AG269" s="0" t="str">
        <f aca="false">PROPER(AF269)</f>
        <v>Availaible</v>
      </c>
      <c r="AH269" s="0" t="s">
        <v>148</v>
      </c>
      <c r="AI269" s="0" t="s">
        <v>78</v>
      </c>
      <c r="AJ269" s="0" t="str">
        <f aca="false">PROPER(AI269)</f>
        <v>Booking</v>
      </c>
      <c r="AK269" s="0" t="s">
        <v>196</v>
      </c>
      <c r="AL269" s="0" t="str">
        <f aca="false">PROPER(AK269)</f>
        <v>First Time</v>
      </c>
      <c r="AM269" s="0" t="s">
        <v>2324</v>
      </c>
      <c r="AN269" s="0" t="str">
        <f aca="false">IF(ISBLANK(AM269),"Unknown",AM269)</f>
        <v>Logistics Convoy</v>
      </c>
      <c r="AO269" s="0" t="s">
        <v>143</v>
      </c>
      <c r="AP269" s="0" t="str">
        <f aca="false">IF(ISBLANK(AO269),"Unknown",AO269)</f>
        <v>Senior</v>
      </c>
      <c r="AQ269" s="0" t="n">
        <v>40000</v>
      </c>
      <c r="AR269" s="5" t="n">
        <f aca="false">IF(ISBLANK(AQ269),AVERAGEIF(M269:M1268,M269,AQ269:AQ1268),AQ269)</f>
        <v>40000</v>
      </c>
      <c r="AS269" s="0" t="n">
        <v>35000</v>
      </c>
      <c r="AT269" s="5" t="n">
        <f aca="false">IF(ISBLANK(AS269),AVERAGE(AS269:AS1268),AS269)</f>
        <v>35000</v>
      </c>
      <c r="AU269" s="0" t="s">
        <v>63</v>
      </c>
      <c r="AV269" s="0" t="str">
        <f aca="false">PROPER(IF(ISBLANK(AU269),"No",AU269))</f>
        <v>Yes</v>
      </c>
      <c r="AW269" s="0" t="n">
        <v>5000</v>
      </c>
      <c r="AX269" s="5" t="n">
        <f aca="false">IF(ISBLANK(AW269),0,AW269)</f>
        <v>5000</v>
      </c>
      <c r="AY269" s="0" t="s">
        <v>130</v>
      </c>
      <c r="AZ269" s="0" t="str">
        <f aca="false">UPPER(IF(ISBLANK(AY269),"NONE",AY269))</f>
        <v>LOYALTY10</v>
      </c>
      <c r="BA269" s="7" t="n">
        <v>45864</v>
      </c>
      <c r="BB269" s="7" t="n">
        <f aca="false">IF(ISBLANK(BA269),"No Follow Up Needed",BA269)</f>
        <v>45864</v>
      </c>
      <c r="BC269" s="0" t="s">
        <v>61</v>
      </c>
      <c r="BD269" s="0" t="str">
        <f aca="false">PROPER(IF(ISBLANK(BC269),"Unknown",BC269))</f>
        <v>No</v>
      </c>
      <c r="BF269" s="0" t="str">
        <f aca="false">IF(ISBLANK(BE269),"No comments",BE269)</f>
        <v>No comments</v>
      </c>
      <c r="BG269" s="0" t="s">
        <v>117</v>
      </c>
      <c r="BH269" s="0" t="str">
        <f aca="false">IF(ISBLANK(BG269),"No comments",BG269)</f>
        <v>Prefers morning</v>
      </c>
      <c r="BI269" s="0" t="s">
        <v>63</v>
      </c>
      <c r="BJ269" s="0" t="str">
        <f aca="false">IF(ISBLANK(BI269),"Not Mentioned",BI269)</f>
        <v>Yes</v>
      </c>
      <c r="BK269" s="0" t="s">
        <v>82</v>
      </c>
      <c r="BL269" s="0" t="str">
        <f aca="false">PROPER(IF(ISBLANK(BK269),"Not Mentioned",BK269))</f>
        <v>Yes</v>
      </c>
      <c r="BM269" s="0" t="s">
        <v>50</v>
      </c>
      <c r="BN269" s="0" t="str">
        <f aca="false">PROPER(IF(ISBLANK(BM269),"Not Mentioned",BM269))</f>
        <v>No</v>
      </c>
      <c r="BO269" s="0" t="s">
        <v>2318</v>
      </c>
      <c r="BP269" s="0" t="str">
        <f aca="false">IF(ISBLANK(BO269),"One-Time Plan",BO269)</f>
        <v>Gold</v>
      </c>
      <c r="BR269" s="0" t="str">
        <f aca="false">PROPER(IF(ISBLANK(BQ269),"No",BQ269))</f>
        <v>No</v>
      </c>
    </row>
    <row r="270" customFormat="false" ht="15" hidden="false" customHeight="false" outlineLevel="0" collapsed="false">
      <c r="A270" s="0" t="s">
        <v>779</v>
      </c>
      <c r="B270" s="2" t="n">
        <v>45670</v>
      </c>
      <c r="C270" s="2" t="str">
        <f aca="false">TEXT(B270,"dd/mm/yyyy")</f>
        <v>13/01/2025</v>
      </c>
      <c r="D270" s="0" t="s">
        <v>42</v>
      </c>
      <c r="E270" s="0" t="n">
        <v>8064198613</v>
      </c>
      <c r="F270" s="0" t="s">
        <v>85</v>
      </c>
      <c r="G270" s="0" t="s">
        <v>2319</v>
      </c>
      <c r="H270" s="0" t="s">
        <v>780</v>
      </c>
      <c r="I270" s="0" t="s">
        <v>107</v>
      </c>
      <c r="K270" s="3" t="str">
        <f aca="false" t="array" ref="K270:K270">IFERROR(IF(J270&lt;&gt;"",J270,INDEX(J270:J1269,MATCH(1,(F270:F1269=F270)*(I270:I1269=I270)*(L270:L1269=L270)*(J270:J1269&lt;&gt;""),0))),"Not Found")</f>
        <v>Suspension Noise</v>
      </c>
      <c r="L270" s="3" t="s">
        <v>47</v>
      </c>
      <c r="M270" s="0" t="str">
        <f aca="false">PROPER(L270)</f>
        <v>None</v>
      </c>
      <c r="O270" s="0" t="e">
        <f aca="false" t="array" ref="O270:O270">IF(N270&lt;&gt;"",N270,_xlfn.xlookup(1,(L270:L1269=L270)*(N270:N1269&lt;&gt;""),N270:N1269,"Not Found"))</f>
        <v>#NAME?</v>
      </c>
      <c r="P270" s="4" t="n">
        <v>72648</v>
      </c>
      <c r="Q270" s="0" t="s">
        <v>72</v>
      </c>
      <c r="R270" s="0" t="str">
        <f aca="false">PROPER(Q270)</f>
        <v>Pos</v>
      </c>
      <c r="S270" s="0" t="s">
        <v>50</v>
      </c>
      <c r="T270" s="0" t="n">
        <v>2</v>
      </c>
      <c r="U270" s="5" t="n">
        <f aca="false">IF(ISBLANK(T270),AVERAGE(T270:T1269),T270)</f>
        <v>2</v>
      </c>
      <c r="V270" s="0" t="n">
        <v>1.5</v>
      </c>
      <c r="W270" s="0" t="s">
        <v>92</v>
      </c>
      <c r="X270" s="0" t="str">
        <f aca="false">IF(ISBLANK(W270),"No remarks",W270)</f>
        <v>Urgent service</v>
      </c>
      <c r="Y270" s="0" t="s">
        <v>52</v>
      </c>
      <c r="Z270" s="0" t="s">
        <v>53</v>
      </c>
      <c r="AA270" s="0" t="str">
        <f aca="false">PROPER(IF(ISBLANK(Z270),"Location Unavailable",Z270))</f>
        <v>Main Bay</v>
      </c>
      <c r="AB270" s="0" t="s">
        <v>54</v>
      </c>
      <c r="AC270" s="6" t="str">
        <f aca="false">PROPER(AB270)</f>
        <v>Mechanic Referral</v>
      </c>
      <c r="AD270" s="6" t="n">
        <v>45</v>
      </c>
      <c r="AE270" s="5" t="n">
        <f aca="false">IF(ISBLANK(AD270),AVERAGEIF(L270:L1269,L270,AD270:AD1269),AD270)</f>
        <v>45</v>
      </c>
      <c r="AF270" s="0" t="s">
        <v>160</v>
      </c>
      <c r="AG270" s="0" t="str">
        <f aca="false">PROPER(AF270)</f>
        <v>Availaible</v>
      </c>
      <c r="AH270" s="0" t="s">
        <v>77</v>
      </c>
      <c r="AI270" s="0" t="s">
        <v>98</v>
      </c>
      <c r="AJ270" s="0" t="str">
        <f aca="false">PROPER(AI270)</f>
        <v>Emergency</v>
      </c>
      <c r="AK270" s="0" t="s">
        <v>99</v>
      </c>
      <c r="AL270" s="0" t="str">
        <f aca="false">PROPER(AK270)</f>
        <v>Uber Driver</v>
      </c>
      <c r="AM270" s="0" t="s">
        <v>59</v>
      </c>
      <c r="AN270" s="0" t="str">
        <f aca="false">IF(ISBLANK(AM270),"Unknown",AM270)</f>
        <v>Bolt Driver</v>
      </c>
      <c r="AP270" s="0" t="str">
        <f aca="false">IF(ISBLANK(AO270),"Unknown",AO270)</f>
        <v>Unknown</v>
      </c>
      <c r="AQ270" s="0" t="n">
        <v>25000</v>
      </c>
      <c r="AR270" s="5" t="n">
        <f aca="false">IF(ISBLANK(AQ270),AVERAGEIF(M270:M1269,M270,AQ270:AQ1269),AQ270)</f>
        <v>25000</v>
      </c>
      <c r="AT270" s="5" t="n">
        <f aca="false">IF(ISBLANK(AS270),AVERAGE(AS270:AS1269),AS270)</f>
        <v>31439.1447368421</v>
      </c>
      <c r="AU270" s="0" t="s">
        <v>61</v>
      </c>
      <c r="AV270" s="0" t="str">
        <f aca="false">PROPER(IF(ISBLANK(AU270),"No",AU270))</f>
        <v>No</v>
      </c>
      <c r="AW270" s="0" t="n">
        <v>5000</v>
      </c>
      <c r="AX270" s="5" t="n">
        <f aca="false">IF(ISBLANK(AW270),0,AW270)</f>
        <v>5000</v>
      </c>
      <c r="AY270" s="0" t="s">
        <v>80</v>
      </c>
      <c r="AZ270" s="0" t="str">
        <f aca="false">UPPER(IF(ISBLANK(AY270),"NONE",AY270))</f>
        <v>PROMO10</v>
      </c>
      <c r="BA270" s="7" t="s">
        <v>781</v>
      </c>
      <c r="BB270" s="7" t="str">
        <f aca="false">IF(ISBLANK(BA270),"No Follow Up Needed",BA270)</f>
        <v>13/08/2025</v>
      </c>
      <c r="BD270" s="0" t="str">
        <f aca="false">PROPER(IF(ISBLANK(BC270),"Unknown",BC270))</f>
        <v>Unknown</v>
      </c>
      <c r="BE270" s="0" t="s">
        <v>171</v>
      </c>
      <c r="BF270" s="0" t="str">
        <f aca="false">IF(ISBLANK(BE270),"No comments",BE270)</f>
        <v>Shock absorber weakening</v>
      </c>
      <c r="BG270" s="0" t="s">
        <v>172</v>
      </c>
      <c r="BH270" s="0" t="str">
        <f aca="false">IF(ISBLANK(BG270),"No comments",BG270)</f>
        <v>Always late</v>
      </c>
      <c r="BI270" s="0" t="s">
        <v>63</v>
      </c>
      <c r="BJ270" s="0" t="str">
        <f aca="false">IF(ISBLANK(BI270),"Not Mentioned",BI270)</f>
        <v>Yes</v>
      </c>
      <c r="BK270" s="0" t="s">
        <v>82</v>
      </c>
      <c r="BL270" s="0" t="str">
        <f aca="false">PROPER(IF(ISBLANK(BK270),"Not Mentioned",BK270))</f>
        <v>Yes</v>
      </c>
      <c r="BM270" s="0" t="s">
        <v>50</v>
      </c>
      <c r="BN270" s="0" t="str">
        <f aca="false">PROPER(IF(ISBLANK(BM270),"Not Mentioned",BM270))</f>
        <v>No</v>
      </c>
      <c r="BO270" s="0" t="s">
        <v>64</v>
      </c>
      <c r="BP270" s="0" t="str">
        <f aca="false">IF(ISBLANK(BO270),"One-Time Plan",BO270)</f>
        <v>Gold Maintenance Plan</v>
      </c>
      <c r="BQ270" s="0" t="s">
        <v>190</v>
      </c>
      <c r="BR270" s="0" t="str">
        <f aca="false">PROPER(IF(ISBLANK(BQ270),"No",BQ270))</f>
        <v>Yes</v>
      </c>
    </row>
    <row r="271" customFormat="false" ht="15" hidden="false" customHeight="false" outlineLevel="0" collapsed="false">
      <c r="A271" s="0" t="s">
        <v>782</v>
      </c>
      <c r="B271" s="2" t="n">
        <v>45684</v>
      </c>
      <c r="C271" s="2" t="str">
        <f aca="false">TEXT(B271,"dd/mm/yyyy")</f>
        <v>27/01/2025</v>
      </c>
      <c r="D271" s="0" t="s">
        <v>121</v>
      </c>
      <c r="E271" s="0" t="n">
        <v>8064459981</v>
      </c>
      <c r="F271" s="0" t="s">
        <v>67</v>
      </c>
      <c r="G271" s="0" t="s">
        <v>2316</v>
      </c>
      <c r="H271" s="0" t="s">
        <v>783</v>
      </c>
      <c r="I271" s="0" t="s">
        <v>87</v>
      </c>
      <c r="J271" s="0" t="s">
        <v>2317</v>
      </c>
      <c r="K271" s="3" t="str">
        <f aca="false" t="array" ref="K271:K271">IFERROR(IF(J271&lt;&gt;"",J271,INDEX(J271:J1270,MATCH(1,(F271:F1270=F271)*(I271:I1270=I271)*(L271:L1270=L271)*(J271:J1270&lt;&gt;""),0))),"Not Found")</f>
        <v>Suspension Noise</v>
      </c>
      <c r="L271" s="3" t="s">
        <v>108</v>
      </c>
      <c r="M271" s="0" t="str">
        <f aca="false">PROPER(L271)</f>
        <v>Timing Belt</v>
      </c>
      <c r="O271" s="0" t="e">
        <f aca="false" t="array" ref="O271:O271">IF(N271&lt;&gt;"",N271,_xlfn.xlookup(1,(L271:L1270=L271)*(N271:N1270&lt;&gt;""),N271:N1270,"Not Found"))</f>
        <v>#NAME?</v>
      </c>
      <c r="P271" s="4" t="n">
        <v>46331</v>
      </c>
      <c r="Q271" s="0" t="s">
        <v>72</v>
      </c>
      <c r="R271" s="0" t="str">
        <f aca="false">PROPER(Q271)</f>
        <v>Pos</v>
      </c>
      <c r="S271" s="0" t="s">
        <v>50</v>
      </c>
      <c r="T271" s="0" t="n">
        <v>5</v>
      </c>
      <c r="U271" s="5" t="n">
        <f aca="false">IF(ISBLANK(T271),AVERAGE(T271:T1270),T271)</f>
        <v>5</v>
      </c>
      <c r="V271" s="0" t="n">
        <v>3.1</v>
      </c>
      <c r="W271" s="0" t="s">
        <v>111</v>
      </c>
      <c r="X271" s="0" t="str">
        <f aca="false">IF(ISBLANK(W271),"No remarks",W271)</f>
        <v>Changed all filters</v>
      </c>
      <c r="Y271" s="0" t="s">
        <v>73</v>
      </c>
      <c r="Z271" s="0" t="s">
        <v>94</v>
      </c>
      <c r="AA271" s="0" t="str">
        <f aca="false">PROPER(IF(ISBLANK(Z271),"Location Unavailable",Z271))</f>
        <v>Vip Section</v>
      </c>
      <c r="AB271" s="0" t="s">
        <v>126</v>
      </c>
      <c r="AC271" s="6" t="str">
        <f aca="false">PROPER(AB271)</f>
        <v>Whatsapp</v>
      </c>
      <c r="AE271" s="5" t="n">
        <f aca="false">IF(ISBLANK(AD271),AVERAGEIF(L271:L1270,L271,AD271:AD1270),AD271)</f>
        <v>37.5</v>
      </c>
      <c r="AF271" s="0" t="s">
        <v>76</v>
      </c>
      <c r="AG271" s="0" t="str">
        <f aca="false">PROPER(AF271)</f>
        <v>Orderd</v>
      </c>
      <c r="AH271" s="0" t="s">
        <v>56</v>
      </c>
      <c r="AI271" s="0" t="s">
        <v>98</v>
      </c>
      <c r="AJ271" s="0" t="str">
        <f aca="false">PROPER(AI271)</f>
        <v>Emergency</v>
      </c>
      <c r="AK271" s="0" t="s">
        <v>99</v>
      </c>
      <c r="AL271" s="0" t="str">
        <f aca="false">PROPER(AK271)</f>
        <v>Uber Driver</v>
      </c>
      <c r="AM271" s="0" t="s">
        <v>177</v>
      </c>
      <c r="AN271" s="0" t="str">
        <f aca="false">IF(ISBLANK(AM271),"Unknown",AM271)</f>
        <v>Private</v>
      </c>
      <c r="AO271" s="0" t="s">
        <v>161</v>
      </c>
      <c r="AP271" s="0" t="str">
        <f aca="false">IF(ISBLANK(AO271),"Unknown",AO271)</f>
        <v>Apprentice</v>
      </c>
      <c r="AQ271" s="0" t="n">
        <v>20000</v>
      </c>
      <c r="AR271" s="5" t="n">
        <f aca="false">IF(ISBLANK(AQ271),AVERAGEIF(M271:M1270,M271,AQ271:AQ1270),AQ271)</f>
        <v>20000</v>
      </c>
      <c r="AS271" s="0" t="n">
        <v>30000</v>
      </c>
      <c r="AT271" s="5" t="n">
        <f aca="false">IF(ISBLANK(AS271),AVERAGE(AS271:AS1270),AS271)</f>
        <v>30000</v>
      </c>
      <c r="AU271" s="0" t="s">
        <v>61</v>
      </c>
      <c r="AV271" s="0" t="str">
        <f aca="false">PROPER(IF(ISBLANK(AU271),"No",AU271))</f>
        <v>No</v>
      </c>
      <c r="AW271" s="0" t="n">
        <v>0</v>
      </c>
      <c r="AX271" s="5" t="n">
        <f aca="false">IF(ISBLANK(AW271),0,AW271)</f>
        <v>0</v>
      </c>
      <c r="AZ271" s="0" t="str">
        <f aca="false">UPPER(IF(ISBLANK(AY271),"NONE",AY271))</f>
        <v>NONE</v>
      </c>
      <c r="BA271" s="7" t="s">
        <v>625</v>
      </c>
      <c r="BB271" s="7" t="str">
        <f aca="false">IF(ISBLANK(BA271),"No Follow Up Needed",BA271)</f>
        <v>18/08/2025</v>
      </c>
      <c r="BC271" s="0" t="s">
        <v>82</v>
      </c>
      <c r="BD271" s="0" t="str">
        <f aca="false">PROPER(IF(ISBLANK(BC271),"Unknown",BC271))</f>
        <v>Yes</v>
      </c>
      <c r="BF271" s="0" t="str">
        <f aca="false">IF(ISBLANK(BE271),"No comments",BE271)</f>
        <v>No comments</v>
      </c>
      <c r="BH271" s="0" t="str">
        <f aca="false">IF(ISBLANK(BG271),"No comments",BG271)</f>
        <v>No comments</v>
      </c>
      <c r="BI271" s="0" t="s">
        <v>63</v>
      </c>
      <c r="BJ271" s="0" t="str">
        <f aca="false">IF(ISBLANK(BI271),"Not Mentioned",BI271)</f>
        <v>Yes</v>
      </c>
      <c r="BL271" s="0" t="str">
        <f aca="false">PROPER(IF(ISBLANK(BK271),"Not Mentioned",BK271))</f>
        <v>Not Mentioned</v>
      </c>
      <c r="BN271" s="0" t="str">
        <f aca="false">PROPER(IF(ISBLANK(BM271),"Not Mentioned",BM271))</f>
        <v>Not Mentioned</v>
      </c>
      <c r="BO271" s="0" t="s">
        <v>2318</v>
      </c>
      <c r="BP271" s="0" t="str">
        <f aca="false">IF(ISBLANK(BO271),"One-Time Plan",BO271)</f>
        <v>Gold</v>
      </c>
      <c r="BQ271" s="0" t="s">
        <v>50</v>
      </c>
      <c r="BR271" s="0" t="str">
        <f aca="false">PROPER(IF(ISBLANK(BQ271),"No",BQ271))</f>
        <v>No</v>
      </c>
    </row>
    <row r="272" customFormat="false" ht="15" hidden="false" customHeight="false" outlineLevel="0" collapsed="false">
      <c r="A272" s="0" t="s">
        <v>784</v>
      </c>
      <c r="B272" s="2" t="n">
        <v>45770</v>
      </c>
      <c r="C272" s="2" t="str">
        <f aca="false">TEXT(B272,"dd/mm/yyyy")</f>
        <v>23/04/2025</v>
      </c>
      <c r="D272" s="0" t="s">
        <v>121</v>
      </c>
      <c r="E272" s="0" t="n">
        <v>8087840078</v>
      </c>
      <c r="F272" s="0" t="s">
        <v>122</v>
      </c>
      <c r="G272" s="0" t="s">
        <v>2316</v>
      </c>
      <c r="H272" s="0" t="s">
        <v>785</v>
      </c>
      <c r="I272" s="0" t="s">
        <v>134</v>
      </c>
      <c r="J272" s="0" t="s">
        <v>2317</v>
      </c>
      <c r="K272" s="3" t="str">
        <f aca="false" t="array" ref="K272:K272">IFERROR(IF(J272&lt;&gt;"",J272,INDEX(J272:J1271,MATCH(1,(F272:F1271=F272)*(I272:I1271=I272)*(L272:L1271=L272)*(J272:J1271&lt;&gt;""),0))),"Not Found")</f>
        <v>Suspension Noise</v>
      </c>
      <c r="L272" s="3" t="s">
        <v>89</v>
      </c>
      <c r="M272" s="0" t="str">
        <f aca="false">PROPER(L272)</f>
        <v>Shock Absorbers</v>
      </c>
      <c r="N272" s="3" t="s">
        <v>71</v>
      </c>
      <c r="O272" s="0" t="str">
        <f aca="false" t="array" ref="O272:O272">IF(N272&lt;&gt;"",N272,_xlfn.xlookup(1,(L272:L1271=L272)*(N272:N1271&lt;&gt;""),N272:N1271,"Not Found"))</f>
        <v>Isaac Bobo</v>
      </c>
      <c r="P272" s="4" t="n">
        <v>95688</v>
      </c>
      <c r="Q272" s="0" t="s">
        <v>110</v>
      </c>
      <c r="R272" s="0" t="str">
        <f aca="false">PROPER(Q272)</f>
        <v>Cash</v>
      </c>
      <c r="S272" s="0" t="s">
        <v>63</v>
      </c>
      <c r="T272" s="0" t="n">
        <v>2</v>
      </c>
      <c r="U272" s="5" t="n">
        <f aca="false">IF(ISBLANK(T272),AVERAGE(T272:T1271),T272)</f>
        <v>2</v>
      </c>
      <c r="V272" s="0" t="n">
        <v>3.4</v>
      </c>
      <c r="W272" s="0" t="s">
        <v>92</v>
      </c>
      <c r="X272" s="0" t="str">
        <f aca="false">IF(ISBLANK(W272),"No remarks",W272)</f>
        <v>Urgent service</v>
      </c>
      <c r="Y272" s="0" t="s">
        <v>52</v>
      </c>
      <c r="Z272" s="0" t="s">
        <v>159</v>
      </c>
      <c r="AA272" s="0" t="str">
        <f aca="false">PROPER(IF(ISBLANK(Z272),"Location Unavailable",Z272))</f>
        <v>Main Bay</v>
      </c>
      <c r="AB272" s="0" t="s">
        <v>167</v>
      </c>
      <c r="AC272" s="6" t="str">
        <f aca="false">PROPER(AB272)</f>
        <v>Word Of Mouth</v>
      </c>
      <c r="AD272" s="6" t="n">
        <v>45</v>
      </c>
      <c r="AE272" s="5" t="n">
        <f aca="false">IF(ISBLANK(AD272),AVERAGEIF(L272:L1271,L272,AD272:AD1271),AD272)</f>
        <v>45</v>
      </c>
      <c r="AF272" s="0" t="s">
        <v>76</v>
      </c>
      <c r="AG272" s="0" t="str">
        <f aca="false">PROPER(AF272)</f>
        <v>Orderd</v>
      </c>
      <c r="AH272" s="0" t="s">
        <v>77</v>
      </c>
      <c r="AI272" s="0" t="s">
        <v>128</v>
      </c>
      <c r="AJ272" s="0" t="str">
        <f aca="false">PROPER(AI272)</f>
        <v>Normal</v>
      </c>
      <c r="AK272" s="0" t="s">
        <v>58</v>
      </c>
      <c r="AL272" s="0" t="str">
        <f aca="false">PROPER(AK272)</f>
        <v>Fleet Owner</v>
      </c>
      <c r="AM272" s="0" t="s">
        <v>59</v>
      </c>
      <c r="AN272" s="0" t="str">
        <f aca="false">IF(ISBLANK(AM272),"Unknown",AM272)</f>
        <v>Bolt Driver</v>
      </c>
      <c r="AO272" s="0" t="s">
        <v>143</v>
      </c>
      <c r="AP272" s="0" t="str">
        <f aca="false">IF(ISBLANK(AO272),"Unknown",AO272)</f>
        <v>Senior</v>
      </c>
      <c r="AQ272" s="0" t="n">
        <v>30000</v>
      </c>
      <c r="AR272" s="5" t="n">
        <f aca="false">IF(ISBLANK(AQ272),AVERAGEIF(M272:M1271,M272,AQ272:AQ1271),AQ272)</f>
        <v>30000</v>
      </c>
      <c r="AS272" s="0" t="n">
        <v>20000</v>
      </c>
      <c r="AT272" s="5" t="n">
        <f aca="false">IF(ISBLANK(AS272),AVERAGE(AS272:AS1271),AS272)</f>
        <v>20000</v>
      </c>
      <c r="AU272" s="0" t="s">
        <v>63</v>
      </c>
      <c r="AV272" s="0" t="str">
        <f aca="false">PROPER(IF(ISBLANK(AU272),"No",AU272))</f>
        <v>Yes</v>
      </c>
      <c r="AW272" s="0" t="n">
        <v>0</v>
      </c>
      <c r="AX272" s="5" t="n">
        <f aca="false">IF(ISBLANK(AW272),0,AW272)</f>
        <v>0</v>
      </c>
      <c r="AY272" s="0" t="s">
        <v>80</v>
      </c>
      <c r="AZ272" s="0" t="str">
        <f aca="false">UPPER(IF(ISBLANK(AY272),"NONE",AY272))</f>
        <v>PROMO10</v>
      </c>
      <c r="BB272" s="7" t="str">
        <f aca="false">IF(ISBLANK(BA272),"No Follow Up Needed",BA272)</f>
        <v>No Follow Up Needed</v>
      </c>
      <c r="BC272" s="0" t="s">
        <v>61</v>
      </c>
      <c r="BD272" s="0" t="str">
        <f aca="false">PROPER(IF(ISBLANK(BC272),"Unknown",BC272))</f>
        <v>No</v>
      </c>
      <c r="BF272" s="0" t="str">
        <f aca="false">IF(ISBLANK(BE272),"No comments",BE272)</f>
        <v>No comments</v>
      </c>
      <c r="BH272" s="0" t="str">
        <f aca="false">IF(ISBLANK(BG272),"No comments",BG272)</f>
        <v>No comments</v>
      </c>
      <c r="BI272" s="0" t="s">
        <v>63</v>
      </c>
      <c r="BJ272" s="0" t="str">
        <f aca="false">IF(ISBLANK(BI272),"Not Mentioned",BI272)</f>
        <v>Yes</v>
      </c>
      <c r="BK272" s="0" t="s">
        <v>61</v>
      </c>
      <c r="BL272" s="0" t="str">
        <f aca="false">PROPER(IF(ISBLANK(BK272),"Not Mentioned",BK272))</f>
        <v>No</v>
      </c>
      <c r="BM272" s="0" t="s">
        <v>63</v>
      </c>
      <c r="BN272" s="0" t="str">
        <f aca="false">PROPER(IF(ISBLANK(BM272),"Not Mentioned",BM272))</f>
        <v>Yes</v>
      </c>
      <c r="BO272" s="0" t="s">
        <v>2321</v>
      </c>
      <c r="BP272" s="0" t="str">
        <f aca="false">IF(ISBLANK(BO272),"One-Time Plan",BO272)</f>
        <v>One-Time Plan</v>
      </c>
      <c r="BQ272" s="0" t="s">
        <v>50</v>
      </c>
      <c r="BR272" s="0" t="str">
        <f aca="false">PROPER(IF(ISBLANK(BQ272),"No",BQ272))</f>
        <v>No</v>
      </c>
    </row>
    <row r="273" customFormat="false" ht="15" hidden="false" customHeight="false" outlineLevel="0" collapsed="false">
      <c r="A273" s="0" t="s">
        <v>786</v>
      </c>
      <c r="B273" s="2" t="n">
        <v>45696</v>
      </c>
      <c r="C273" s="2" t="str">
        <f aca="false">TEXT(B273,"dd/mm/yyyy")</f>
        <v>08/02/2025</v>
      </c>
      <c r="D273" s="0" t="s">
        <v>121</v>
      </c>
      <c r="E273" s="0" t="n">
        <v>8097954019</v>
      </c>
      <c r="F273" s="0" t="s">
        <v>43</v>
      </c>
      <c r="G273" s="0" t="s">
        <v>2315</v>
      </c>
      <c r="H273" s="0" t="s">
        <v>787</v>
      </c>
      <c r="I273" s="0" t="s">
        <v>45</v>
      </c>
      <c r="J273" s="0" t="s">
        <v>2325</v>
      </c>
      <c r="K273" s="3" t="str">
        <f aca="false" t="array" ref="K273:K273">IFERROR(IF(J273&lt;&gt;"",J273,INDEX(J273:J1272,MATCH(1,(F273:F1272=F273)*(I273:I1272=I273)*(L273:L1272=L273)*(J273:J1272&lt;&gt;""),0))),"Not Found")</f>
        <v>Engine Knocking</v>
      </c>
      <c r="L273" s="3" t="s">
        <v>189</v>
      </c>
      <c r="M273" s="0" t="str">
        <f aca="false">PROPER(L273)</f>
        <v>Battery</v>
      </c>
      <c r="N273" s="3" t="s">
        <v>90</v>
      </c>
      <c r="O273" s="0" t="str">
        <f aca="false" t="array" ref="O273:O273">IF(N273&lt;&gt;"",N273,_xlfn.xlookup(1,(L273:L1272=L273)*(N273:N1272&lt;&gt;""),N273:N1272,"Not Found"))</f>
        <v>Musa</v>
      </c>
      <c r="P273" s="4" t="n">
        <v>106327</v>
      </c>
      <c r="Q273" s="0" t="s">
        <v>124</v>
      </c>
      <c r="R273" s="0" t="str">
        <f aca="false">PROPER(Q273)</f>
        <v>Cash</v>
      </c>
      <c r="S273" s="0" t="s">
        <v>63</v>
      </c>
      <c r="T273" s="0" t="n">
        <v>1</v>
      </c>
      <c r="U273" s="5" t="n">
        <f aca="false">IF(ISBLANK(T273),AVERAGE(T273:T1272),T273)</f>
        <v>1</v>
      </c>
      <c r="V273" s="0" t="n">
        <v>2.5</v>
      </c>
      <c r="W273" s="0" t="s">
        <v>111</v>
      </c>
      <c r="X273" s="0" t="str">
        <f aca="false">IF(ISBLANK(W273),"No remarks",W273)</f>
        <v>Changed all filters</v>
      </c>
      <c r="Y273" s="0" t="s">
        <v>52</v>
      </c>
      <c r="Z273" s="0" t="s">
        <v>136</v>
      </c>
      <c r="AA273" s="0" t="str">
        <f aca="false">PROPER(IF(ISBLANK(Z273),"Location Unavailable",Z273))</f>
        <v>Vip Section</v>
      </c>
      <c r="AB273" s="0" t="s">
        <v>126</v>
      </c>
      <c r="AC273" s="6" t="str">
        <f aca="false">PROPER(AB273)</f>
        <v>Whatsapp</v>
      </c>
      <c r="AD273" s="6" t="n">
        <v>45</v>
      </c>
      <c r="AE273" s="5" t="n">
        <f aca="false">IF(ISBLANK(AD273),AVERAGEIF(L273:L1272,L273,AD273:AD1272),AD273)</f>
        <v>45</v>
      </c>
      <c r="AF273" s="0" t="s">
        <v>160</v>
      </c>
      <c r="AG273" s="0" t="str">
        <f aca="false">PROPER(AF273)</f>
        <v>Availaible</v>
      </c>
      <c r="AH273" s="0" t="s">
        <v>56</v>
      </c>
      <c r="AI273" s="0" t="s">
        <v>113</v>
      </c>
      <c r="AJ273" s="0" t="str">
        <f aca="false">PROPER(AI273)</f>
        <v>Normal</v>
      </c>
      <c r="AK273" s="0" t="s">
        <v>99</v>
      </c>
      <c r="AL273" s="0" t="str">
        <f aca="false">PROPER(AK273)</f>
        <v>Uber Driver</v>
      </c>
      <c r="AM273" s="0" t="s">
        <v>2326</v>
      </c>
      <c r="AN273" s="0" t="str">
        <f aca="false">IF(ISBLANK(AM273),"Unknown",AM273)</f>
        <v>Government Convoy</v>
      </c>
      <c r="AO273" s="0" t="s">
        <v>149</v>
      </c>
      <c r="AP273" s="0" t="str">
        <f aca="false">IF(ISBLANK(AO273),"Unknown",AO273)</f>
        <v>Senior </v>
      </c>
      <c r="AQ273" s="0" t="n">
        <v>15000</v>
      </c>
      <c r="AR273" s="5" t="n">
        <f aca="false">IF(ISBLANK(AQ273),AVERAGEIF(M273:M1272,M273,AQ273:AQ1272),AQ273)</f>
        <v>15000</v>
      </c>
      <c r="AT273" s="5" t="n">
        <f aca="false">IF(ISBLANK(AS273),AVERAGE(AS273:AS1272),AS273)</f>
        <v>31460.396039604</v>
      </c>
      <c r="AU273" s="0" t="s">
        <v>61</v>
      </c>
      <c r="AV273" s="0" t="str">
        <f aca="false">PROPER(IF(ISBLANK(AU273),"No",AU273))</f>
        <v>No</v>
      </c>
      <c r="AW273" s="0" t="n">
        <v>5000</v>
      </c>
      <c r="AX273" s="5" t="n">
        <f aca="false">IF(ISBLANK(AW273),0,AW273)</f>
        <v>5000</v>
      </c>
      <c r="AY273" s="0" t="s">
        <v>184</v>
      </c>
      <c r="AZ273" s="0" t="str">
        <f aca="false">UPPER(IF(ISBLANK(AY273),"NONE",AY273))</f>
        <v>N/A</v>
      </c>
      <c r="BB273" s="7" t="str">
        <f aca="false">IF(ISBLANK(BA273),"No Follow Up Needed",BA273)</f>
        <v>No Follow Up Needed</v>
      </c>
      <c r="BC273" s="0" t="s">
        <v>63</v>
      </c>
      <c r="BD273" s="0" t="str">
        <f aca="false">PROPER(IF(ISBLANK(BC273),"Unknown",BC273))</f>
        <v>Yes</v>
      </c>
      <c r="BE273" s="0" t="s">
        <v>171</v>
      </c>
      <c r="BF273" s="0" t="str">
        <f aca="false">IF(ISBLANK(BE273),"No comments",BE273)</f>
        <v>Shock absorber weakening</v>
      </c>
      <c r="BG273" s="0" t="s">
        <v>2320</v>
      </c>
      <c r="BH273" s="0" t="str">
        <f aca="false">IF(ISBLANK(BG273),"No comments",BG273)</f>
        <v>No complaints</v>
      </c>
      <c r="BI273" s="0" t="s">
        <v>63</v>
      </c>
      <c r="BJ273" s="0" t="str">
        <f aca="false">IF(ISBLANK(BI273),"Not Mentioned",BI273)</f>
        <v>Yes</v>
      </c>
      <c r="BK273" s="0" t="s">
        <v>63</v>
      </c>
      <c r="BL273" s="0" t="str">
        <f aca="false">PROPER(IF(ISBLANK(BK273),"Not Mentioned",BK273))</f>
        <v>Yes</v>
      </c>
      <c r="BN273" s="0" t="str">
        <f aca="false">PROPER(IF(ISBLANK(BM273),"Not Mentioned",BM273))</f>
        <v>Not Mentioned</v>
      </c>
      <c r="BP273" s="0" t="str">
        <f aca="false">IF(ISBLANK(BO273),"One-Time Plan",BO273)</f>
        <v>One-Time Plan</v>
      </c>
      <c r="BQ273" s="0" t="s">
        <v>198</v>
      </c>
      <c r="BR273" s="0" t="str">
        <f aca="false">PROPER(IF(ISBLANK(BQ273),"No",BQ273))</f>
        <v>Followed Up</v>
      </c>
    </row>
    <row r="274" customFormat="false" ht="15" hidden="false" customHeight="false" outlineLevel="0" collapsed="false">
      <c r="A274" s="0" t="s">
        <v>789</v>
      </c>
      <c r="B274" s="2" t="s">
        <v>788</v>
      </c>
      <c r="C274" s="2" t="str">
        <f aca="false">TEXT(B274,"dd/mm/yyyy")</f>
        <v>18/04/2025</v>
      </c>
      <c r="D274" s="0" t="s">
        <v>163</v>
      </c>
      <c r="E274" s="0" t="n">
        <v>8011595945</v>
      </c>
      <c r="F274" s="0" t="s">
        <v>67</v>
      </c>
      <c r="G274" s="0" t="s">
        <v>2316</v>
      </c>
      <c r="H274" s="0" t="s">
        <v>790</v>
      </c>
      <c r="I274" s="0" t="s">
        <v>134</v>
      </c>
      <c r="J274" s="0" t="s">
        <v>2322</v>
      </c>
      <c r="K274" s="3" t="str">
        <f aca="false" t="array" ref="K274:K274">IFERROR(IF(J274&lt;&gt;"",J274,INDEX(J274:J1273,MATCH(1,(F274:F1273=F274)*(I274:I1273=I274)*(L274:L1273=L274)*(J274:J1273&lt;&gt;""),0))),"Not Found")</f>
        <v>Brake Failure</v>
      </c>
      <c r="L274" s="3" t="s">
        <v>142</v>
      </c>
      <c r="M274" s="0" t="str">
        <f aca="false">PROPER(L274)</f>
        <v>Oil Filter, Brake Pads</v>
      </c>
      <c r="O274" s="0" t="e">
        <f aca="false" t="array" ref="O274:O274">IF(N274&lt;&gt;"",N274,_xlfn.xlookup(1,(L274:L1273=L274)*(N274:N1273&lt;&gt;""),N274:N1273,"Not Found"))</f>
        <v>#NAME?</v>
      </c>
      <c r="P274" s="4" t="n">
        <v>77027</v>
      </c>
      <c r="Q274" s="0" t="s">
        <v>49</v>
      </c>
      <c r="R274" s="0" t="str">
        <f aca="false">PROPER(Q274)</f>
        <v>Transfer</v>
      </c>
      <c r="S274" s="0" t="s">
        <v>63</v>
      </c>
      <c r="T274" s="0" t="n">
        <v>2</v>
      </c>
      <c r="U274" s="5" t="n">
        <f aca="false">IF(ISBLANK(T274),AVERAGE(T274:T1273),T274)</f>
        <v>2</v>
      </c>
      <c r="V274" s="0" t="n">
        <v>5.3</v>
      </c>
      <c r="X274" s="0" t="str">
        <f aca="false">IF(ISBLANK(W274),"No remarks",W274)</f>
        <v>No remarks</v>
      </c>
      <c r="Y274" s="0" t="s">
        <v>73</v>
      </c>
      <c r="Z274" s="0" t="s">
        <v>136</v>
      </c>
      <c r="AA274" s="0" t="str">
        <f aca="false">PROPER(IF(ISBLANK(Z274),"Location Unavailable",Z274))</f>
        <v>Vip Section</v>
      </c>
      <c r="AB274" s="0" t="s">
        <v>75</v>
      </c>
      <c r="AC274" s="6" t="str">
        <f aca="false">PROPER(AB274)</f>
        <v>Mechanik Referal</v>
      </c>
      <c r="AE274" s="5" t="n">
        <f aca="false">IF(ISBLANK(AD274),AVERAGEIF(L274:L1273,L274,AD274:AD1273),AD274)</f>
        <v>39.0277777777778</v>
      </c>
      <c r="AF274" s="0" t="s">
        <v>96</v>
      </c>
      <c r="AG274" s="0" t="str">
        <f aca="false">PROPER(AF274)</f>
        <v>Ordered</v>
      </c>
      <c r="AH274" s="0" t="s">
        <v>155</v>
      </c>
      <c r="AI274" s="0" t="s">
        <v>98</v>
      </c>
      <c r="AJ274" s="0" t="str">
        <f aca="false">PROPER(AI274)</f>
        <v>Emergency</v>
      </c>
      <c r="AK274" s="0" t="s">
        <v>114</v>
      </c>
      <c r="AL274" s="0" t="str">
        <f aca="false">PROPER(AK274)</f>
        <v>Returning</v>
      </c>
      <c r="AN274" s="0" t="str">
        <f aca="false">IF(ISBLANK(AM274),"Unknown",AM274)</f>
        <v>Unknown</v>
      </c>
      <c r="AO274" s="0" t="s">
        <v>143</v>
      </c>
      <c r="AP274" s="0" t="str">
        <f aca="false">IF(ISBLANK(AO274),"Unknown",AO274)</f>
        <v>Senior</v>
      </c>
      <c r="AQ274" s="0" t="n">
        <v>15000</v>
      </c>
      <c r="AR274" s="5" t="n">
        <f aca="false">IF(ISBLANK(AQ274),AVERAGEIF(M274:M1273,M274,AQ274:AQ1273),AQ274)</f>
        <v>15000</v>
      </c>
      <c r="AS274" s="0" t="n">
        <v>40000</v>
      </c>
      <c r="AT274" s="5" t="n">
        <f aca="false">IF(ISBLANK(AS274),AVERAGE(AS274:AS1273),AS274)</f>
        <v>40000</v>
      </c>
      <c r="AU274" s="0" t="s">
        <v>82</v>
      </c>
      <c r="AV274" s="0" t="str">
        <f aca="false">PROPER(IF(ISBLANK(AU274),"No",AU274))</f>
        <v>Yes</v>
      </c>
      <c r="AW274" s="0" t="n">
        <v>5000</v>
      </c>
      <c r="AX274" s="5" t="n">
        <f aca="false">IF(ISBLANK(AW274),0,AW274)</f>
        <v>5000</v>
      </c>
      <c r="AY274" s="0" t="s">
        <v>80</v>
      </c>
      <c r="AZ274" s="0" t="str">
        <f aca="false">UPPER(IF(ISBLANK(AY274),"NONE",AY274))</f>
        <v>PROMO10</v>
      </c>
      <c r="BA274" s="7" t="n">
        <v>45849</v>
      </c>
      <c r="BB274" s="7" t="n">
        <f aca="false">IF(ISBLANK(BA274),"No Follow Up Needed",BA274)</f>
        <v>45849</v>
      </c>
      <c r="BC274" s="0" t="s">
        <v>63</v>
      </c>
      <c r="BD274" s="0" t="str">
        <f aca="false">PROPER(IF(ISBLANK(BC274),"Unknown",BC274))</f>
        <v>Yes</v>
      </c>
      <c r="BE274" s="0" t="s">
        <v>116</v>
      </c>
      <c r="BF274" s="0" t="str">
        <f aca="false">IF(ISBLANK(BE274),"No comments",BE274)</f>
        <v>Needs tire alignment</v>
      </c>
      <c r="BG274" s="0" t="s">
        <v>172</v>
      </c>
      <c r="BH274" s="0" t="str">
        <f aca="false">IF(ISBLANK(BG274),"No comments",BG274)</f>
        <v>Always late</v>
      </c>
      <c r="BI274" s="0" t="s">
        <v>50</v>
      </c>
      <c r="BJ274" s="0" t="str">
        <f aca="false">IF(ISBLANK(BI274),"Not Mentioned",BI274)</f>
        <v>No</v>
      </c>
      <c r="BK274" s="0" t="s">
        <v>61</v>
      </c>
      <c r="BL274" s="0" t="str">
        <f aca="false">PROPER(IF(ISBLANK(BK274),"Not Mentioned",BK274))</f>
        <v>No</v>
      </c>
      <c r="BM274" s="0" t="s">
        <v>50</v>
      </c>
      <c r="BN274" s="0" t="str">
        <f aca="false">PROPER(IF(ISBLANK(BM274),"Not Mentioned",BM274))</f>
        <v>No</v>
      </c>
      <c r="BP274" s="0" t="str">
        <f aca="false">IF(ISBLANK(BO274),"One-Time Plan",BO274)</f>
        <v>One-Time Plan</v>
      </c>
      <c r="BQ274" s="0" t="s">
        <v>63</v>
      </c>
      <c r="BR274" s="0" t="str">
        <f aca="false">PROPER(IF(ISBLANK(BQ274),"No",BQ274))</f>
        <v>Yes</v>
      </c>
    </row>
    <row r="275" customFormat="false" ht="15" hidden="false" customHeight="false" outlineLevel="0" collapsed="false">
      <c r="A275" s="0" t="s">
        <v>792</v>
      </c>
      <c r="B275" s="2" t="s">
        <v>791</v>
      </c>
      <c r="C275" s="2" t="str">
        <f aca="false">TEXT(B275,"dd/mm/yyyy")</f>
        <v>29/04/2025</v>
      </c>
      <c r="D275" s="0" t="s">
        <v>163</v>
      </c>
      <c r="E275" s="0" t="n">
        <v>8073351303</v>
      </c>
      <c r="F275" s="0" t="s">
        <v>43</v>
      </c>
      <c r="G275" s="0" t="s">
        <v>2315</v>
      </c>
      <c r="H275" s="0" t="s">
        <v>793</v>
      </c>
      <c r="I275" s="0" t="s">
        <v>107</v>
      </c>
      <c r="J275" s="0" t="s">
        <v>2322</v>
      </c>
      <c r="K275" s="3" t="str">
        <f aca="false" t="array" ref="K275:K275">IFERROR(IF(J275&lt;&gt;"",J275,INDEX(J275:J1274,MATCH(1,(F275:F1274=F275)*(I275:I1274=I275)*(L275:L1274=L275)*(J275:J1274&lt;&gt;""),0))),"Not Found")</f>
        <v>Brake Failure</v>
      </c>
      <c r="L275" s="3" t="s">
        <v>142</v>
      </c>
      <c r="M275" s="0" t="str">
        <f aca="false">PROPER(L275)</f>
        <v>Oil Filter, Brake Pads</v>
      </c>
      <c r="N275" s="3" t="s">
        <v>71</v>
      </c>
      <c r="O275" s="0" t="str">
        <f aca="false" t="array" ref="O275:O275">IF(N275&lt;&gt;"",N275,_xlfn.xlookup(1,(L275:L1274=L275)*(N275:N1274&lt;&gt;""),N275:N1274,"Not Found"))</f>
        <v>Isaac Bobo</v>
      </c>
      <c r="P275" s="4" t="n">
        <v>35277</v>
      </c>
      <c r="Q275" s="0" t="s">
        <v>49</v>
      </c>
      <c r="R275" s="0" t="str">
        <f aca="false">PROPER(Q275)</f>
        <v>Transfer</v>
      </c>
      <c r="S275" s="0" t="s">
        <v>50</v>
      </c>
      <c r="T275" s="0" t="n">
        <v>1</v>
      </c>
      <c r="U275" s="5" t="n">
        <f aca="false">IF(ISBLANK(T275),AVERAGE(T275:T1274),T275)</f>
        <v>1</v>
      </c>
      <c r="V275" s="0" t="n">
        <v>3.5</v>
      </c>
      <c r="X275" s="0" t="str">
        <f aca="false">IF(ISBLANK(W275),"No remarks",W275)</f>
        <v>No remarks</v>
      </c>
      <c r="Y275" s="0" t="s">
        <v>73</v>
      </c>
      <c r="Z275" s="0" t="s">
        <v>74</v>
      </c>
      <c r="AA275" s="0" t="str">
        <f aca="false">PROPER(IF(ISBLANK(Z275),"Location Unavailable",Z275))</f>
        <v>Under Tree</v>
      </c>
      <c r="AB275" s="0" t="s">
        <v>126</v>
      </c>
      <c r="AC275" s="6" t="str">
        <f aca="false">PROPER(AB275)</f>
        <v>Whatsapp</v>
      </c>
      <c r="AD275" s="6" t="n">
        <v>30</v>
      </c>
      <c r="AE275" s="5" t="n">
        <f aca="false">IF(ISBLANK(AD275),AVERAGEIF(L275:L1274,L275,AD275:AD1274),AD275)</f>
        <v>30</v>
      </c>
      <c r="AF275" s="0" t="s">
        <v>96</v>
      </c>
      <c r="AG275" s="0" t="str">
        <f aca="false">PROPER(AF275)</f>
        <v>Ordered</v>
      </c>
      <c r="AH275" s="0" t="s">
        <v>155</v>
      </c>
      <c r="AI275" s="0" t="s">
        <v>113</v>
      </c>
      <c r="AJ275" s="0" t="str">
        <f aca="false">PROPER(AI275)</f>
        <v>Normal</v>
      </c>
      <c r="AK275" s="0" t="s">
        <v>99</v>
      </c>
      <c r="AL275" s="0" t="str">
        <f aca="false">PROPER(AK275)</f>
        <v>Uber Driver</v>
      </c>
      <c r="AN275" s="0" t="str">
        <f aca="false">IF(ISBLANK(AM275),"Unknown",AM275)</f>
        <v>Unknown</v>
      </c>
      <c r="AO275" s="0" t="s">
        <v>149</v>
      </c>
      <c r="AP275" s="0" t="str">
        <f aca="false">IF(ISBLANK(AO275),"Unknown",AO275)</f>
        <v>Senior </v>
      </c>
      <c r="AQ275" s="0" t="n">
        <v>15000</v>
      </c>
      <c r="AR275" s="5" t="n">
        <f aca="false">IF(ISBLANK(AQ275),AVERAGEIF(M275:M1274,M275,AQ275:AQ1274),AQ275)</f>
        <v>15000</v>
      </c>
      <c r="AS275" s="0" t="n">
        <v>30000</v>
      </c>
      <c r="AT275" s="5" t="n">
        <f aca="false">IF(ISBLANK(AS275),AVERAGE(AS275:AS1274),AS275)</f>
        <v>30000</v>
      </c>
      <c r="AU275" s="0" t="s">
        <v>50</v>
      </c>
      <c r="AV275" s="0" t="str">
        <f aca="false">PROPER(IF(ISBLANK(AU275),"No",AU275))</f>
        <v>No</v>
      </c>
      <c r="AW275" s="0" t="n">
        <v>5000</v>
      </c>
      <c r="AX275" s="5" t="n">
        <f aca="false">IF(ISBLANK(AW275),0,AW275)</f>
        <v>5000</v>
      </c>
      <c r="AY275" s="0" t="s">
        <v>80</v>
      </c>
      <c r="AZ275" s="0" t="str">
        <f aca="false">UPPER(IF(ISBLANK(AY275),"NONE",AY275))</f>
        <v>PROMO10</v>
      </c>
      <c r="BA275" s="7" t="n">
        <v>45824</v>
      </c>
      <c r="BB275" s="7" t="n">
        <f aca="false">IF(ISBLANK(BA275),"No Follow Up Needed",BA275)</f>
        <v>45824</v>
      </c>
      <c r="BD275" s="0" t="str">
        <f aca="false">PROPER(IF(ISBLANK(BC275),"Unknown",BC275))</f>
        <v>Unknown</v>
      </c>
      <c r="BE275" s="0" t="s">
        <v>171</v>
      </c>
      <c r="BF275" s="0" t="str">
        <f aca="false">IF(ISBLANK(BE275),"No comments",BE275)</f>
        <v>Shock absorber weakening</v>
      </c>
      <c r="BG275" s="0" t="s">
        <v>172</v>
      </c>
      <c r="BH275" s="0" t="str">
        <f aca="false">IF(ISBLANK(BG275),"No comments",BG275)</f>
        <v>Always late</v>
      </c>
      <c r="BJ275" s="0" t="str">
        <f aca="false">IF(ISBLANK(BI275),"Not Mentioned",BI275)</f>
        <v>Not Mentioned</v>
      </c>
      <c r="BK275" s="0" t="s">
        <v>50</v>
      </c>
      <c r="BL275" s="0" t="str">
        <f aca="false">PROPER(IF(ISBLANK(BK275),"Not Mentioned",BK275))</f>
        <v>No</v>
      </c>
      <c r="BM275" s="0" t="s">
        <v>63</v>
      </c>
      <c r="BN275" s="0" t="str">
        <f aca="false">PROPER(IF(ISBLANK(BM275),"Not Mentioned",BM275))</f>
        <v>Yes</v>
      </c>
      <c r="BO275" s="0" t="s">
        <v>2318</v>
      </c>
      <c r="BP275" s="0" t="str">
        <f aca="false">IF(ISBLANK(BO275),"One-Time Plan",BO275)</f>
        <v>Gold</v>
      </c>
      <c r="BQ275" s="0" t="s">
        <v>50</v>
      </c>
      <c r="BR275" s="0" t="str">
        <f aca="false">PROPER(IF(ISBLANK(BQ275),"No",BQ275))</f>
        <v>No</v>
      </c>
    </row>
    <row r="276" customFormat="false" ht="15" hidden="false" customHeight="false" outlineLevel="0" collapsed="false">
      <c r="A276" s="0" t="s">
        <v>794</v>
      </c>
      <c r="B276" s="2" t="n">
        <v>45840</v>
      </c>
      <c r="C276" s="2" t="str">
        <f aca="false">TEXT(B276,"dd/mm/yyyy")</f>
        <v>02/07/2025</v>
      </c>
      <c r="D276" s="0" t="s">
        <v>163</v>
      </c>
      <c r="E276" s="0" t="n">
        <v>8097790612</v>
      </c>
      <c r="F276" s="0" t="s">
        <v>85</v>
      </c>
      <c r="G276" s="0" t="s">
        <v>2319</v>
      </c>
      <c r="H276" s="0" t="s">
        <v>795</v>
      </c>
      <c r="I276" s="0" t="s">
        <v>45</v>
      </c>
      <c r="J276" s="0" t="s">
        <v>2325</v>
      </c>
      <c r="K276" s="3" t="str">
        <f aca="false" t="array" ref="K276:K276">IFERROR(IF(J276&lt;&gt;"",J276,INDEX(J276:J1275,MATCH(1,(F276:F1275=F276)*(I276:I1275=I276)*(L276:L1275=L276)*(J276:J1275&lt;&gt;""),0))),"Not Found")</f>
        <v>Engine Knocking</v>
      </c>
      <c r="L276" s="3" t="s">
        <v>189</v>
      </c>
      <c r="M276" s="0" t="str">
        <f aca="false">PROPER(L276)</f>
        <v>Battery</v>
      </c>
      <c r="O276" s="0" t="e">
        <f aca="false" t="array" ref="O276:O276">IF(N276&lt;&gt;"",N276,_xlfn.xlookup(1,(L276:L1275=L276)*(N276:N1275&lt;&gt;""),N276:N1275,"Not Found"))</f>
        <v>#NAME?</v>
      </c>
      <c r="P276" s="4" t="n">
        <v>17430</v>
      </c>
      <c r="Q276" s="0" t="s">
        <v>91</v>
      </c>
      <c r="R276" s="0" t="str">
        <f aca="false">PROPER(Q276)</f>
        <v>Pos</v>
      </c>
      <c r="S276" s="0" t="s">
        <v>50</v>
      </c>
      <c r="T276" s="0" t="n">
        <v>2</v>
      </c>
      <c r="U276" s="5" t="n">
        <f aca="false">IF(ISBLANK(T276),AVERAGE(T276:T1275),T276)</f>
        <v>2</v>
      </c>
      <c r="V276" s="0" t="n">
        <v>4.7</v>
      </c>
      <c r="W276" s="0" t="s">
        <v>111</v>
      </c>
      <c r="X276" s="0" t="str">
        <f aca="false">IF(ISBLANK(W276),"No remarks",W276)</f>
        <v>Changed all filters</v>
      </c>
      <c r="Y276" s="0" t="s">
        <v>73</v>
      </c>
      <c r="Z276" s="0" t="s">
        <v>94</v>
      </c>
      <c r="AA276" s="0" t="str">
        <f aca="false">PROPER(IF(ISBLANK(Z276),"Location Unavailable",Z276))</f>
        <v>Vip Section</v>
      </c>
      <c r="AB276" s="0" t="s">
        <v>147</v>
      </c>
      <c r="AC276" s="6" t="str">
        <f aca="false">PROPER(AB276)</f>
        <v>Instagram</v>
      </c>
      <c r="AD276" s="6" t="n">
        <v>45</v>
      </c>
      <c r="AE276" s="5" t="n">
        <f aca="false">IF(ISBLANK(AD276),AVERAGEIF(L276:L1275,L276,AD276:AD1275),AD276)</f>
        <v>45</v>
      </c>
      <c r="AF276" s="0" t="s">
        <v>76</v>
      </c>
      <c r="AG276" s="0" t="str">
        <f aca="false">PROPER(AF276)</f>
        <v>Orderd</v>
      </c>
      <c r="AH276" s="0" t="s">
        <v>155</v>
      </c>
      <c r="AI276" s="0" t="s">
        <v>98</v>
      </c>
      <c r="AJ276" s="0" t="str">
        <f aca="false">PROPER(AI276)</f>
        <v>Emergency</v>
      </c>
      <c r="AK276" s="0" t="s">
        <v>114</v>
      </c>
      <c r="AL276" s="0" t="str">
        <f aca="false">PROPER(AK276)</f>
        <v>Returning</v>
      </c>
      <c r="AM276" s="0" t="s">
        <v>2324</v>
      </c>
      <c r="AN276" s="0" t="str">
        <f aca="false">IF(ISBLANK(AM276),"Unknown",AM276)</f>
        <v>Logistics Convoy</v>
      </c>
      <c r="AO276" s="0" t="s">
        <v>161</v>
      </c>
      <c r="AP276" s="0" t="str">
        <f aca="false">IF(ISBLANK(AO276),"Unknown",AO276)</f>
        <v>Apprentice</v>
      </c>
      <c r="AQ276" s="0" t="n">
        <v>15000</v>
      </c>
      <c r="AR276" s="5" t="n">
        <f aca="false">IF(ISBLANK(AQ276),AVERAGEIF(M276:M1275,M276,AQ276:AQ1275),AQ276)</f>
        <v>15000</v>
      </c>
      <c r="AS276" s="0" t="n">
        <v>20000</v>
      </c>
      <c r="AT276" s="5" t="n">
        <f aca="false">IF(ISBLANK(AS276),AVERAGE(AS276:AS1275),AS276)</f>
        <v>20000</v>
      </c>
      <c r="AV276" s="0" t="str">
        <f aca="false">PROPER(IF(ISBLANK(AU276),"No",AU276))</f>
        <v>No</v>
      </c>
      <c r="AW276" s="0" t="n">
        <v>0</v>
      </c>
      <c r="AX276" s="5" t="n">
        <f aca="false">IF(ISBLANK(AW276),0,AW276)</f>
        <v>0</v>
      </c>
      <c r="AY276" s="0" t="s">
        <v>130</v>
      </c>
      <c r="AZ276" s="0" t="str">
        <f aca="false">UPPER(IF(ISBLANK(AY276),"NONE",AY276))</f>
        <v>LOYALTY10</v>
      </c>
      <c r="BA276" s="7" t="n">
        <v>46015</v>
      </c>
      <c r="BB276" s="7" t="n">
        <f aca="false">IF(ISBLANK(BA276),"No Follow Up Needed",BA276)</f>
        <v>46015</v>
      </c>
      <c r="BC276" s="0" t="s">
        <v>50</v>
      </c>
      <c r="BD276" s="0" t="str">
        <f aca="false">PROPER(IF(ISBLANK(BC276),"Unknown",BC276))</f>
        <v>No</v>
      </c>
      <c r="BE276" s="0" t="s">
        <v>171</v>
      </c>
      <c r="BF276" s="0" t="str">
        <f aca="false">IF(ISBLANK(BE276),"No comments",BE276)</f>
        <v>Shock absorber weakening</v>
      </c>
      <c r="BG276" s="0" t="s">
        <v>172</v>
      </c>
      <c r="BH276" s="0" t="str">
        <f aca="false">IF(ISBLANK(BG276),"No comments",BG276)</f>
        <v>Always late</v>
      </c>
      <c r="BI276" s="0" t="s">
        <v>50</v>
      </c>
      <c r="BJ276" s="0" t="str">
        <f aca="false">IF(ISBLANK(BI276),"Not Mentioned",BI276)</f>
        <v>No</v>
      </c>
      <c r="BL276" s="0" t="str">
        <f aca="false">PROPER(IF(ISBLANK(BK276),"Not Mentioned",BK276))</f>
        <v>Not Mentioned</v>
      </c>
      <c r="BN276" s="0" t="str">
        <f aca="false">PROPER(IF(ISBLANK(BM276),"Not Mentioned",BM276))</f>
        <v>Not Mentioned</v>
      </c>
      <c r="BO276" s="0" t="s">
        <v>2321</v>
      </c>
      <c r="BP276" s="0" t="str">
        <f aca="false">IF(ISBLANK(BO276),"One-Time Plan",BO276)</f>
        <v>One-Time Plan</v>
      </c>
      <c r="BQ276" s="0" t="s">
        <v>63</v>
      </c>
      <c r="BR276" s="0" t="str">
        <f aca="false">PROPER(IF(ISBLANK(BQ276),"No",BQ276))</f>
        <v>Yes</v>
      </c>
    </row>
    <row r="277" customFormat="false" ht="15" hidden="false" customHeight="false" outlineLevel="0" collapsed="false">
      <c r="A277" s="0" t="s">
        <v>797</v>
      </c>
      <c r="B277" s="2" t="s">
        <v>796</v>
      </c>
      <c r="C277" s="2" t="str">
        <f aca="false">TEXT(B277,"dd/mm/yyyy")</f>
        <v>19/01/2025</v>
      </c>
      <c r="D277" s="0" t="s">
        <v>66</v>
      </c>
      <c r="E277" s="0" t="n">
        <v>8078806311</v>
      </c>
      <c r="F277" s="0" t="s">
        <v>85</v>
      </c>
      <c r="G277" s="0" t="s">
        <v>2319</v>
      </c>
      <c r="H277" s="0" t="s">
        <v>798</v>
      </c>
      <c r="I277" s="0" t="s">
        <v>107</v>
      </c>
      <c r="K277" s="3" t="str">
        <f aca="false" t="array" ref="K277:K277">IFERROR(IF(J277&lt;&gt;"",J277,INDEX(J277:J1276,MATCH(1,(F277:F1276=F277)*(I277:I1276=I277)*(L277:L1276=L277)*(J277:J1276&lt;&gt;""),0))),"Not Found")</f>
        <v>Oil Change</v>
      </c>
      <c r="L277" s="3" t="s">
        <v>89</v>
      </c>
      <c r="M277" s="0" t="str">
        <f aca="false">PROPER(L277)</f>
        <v>Shock Absorbers</v>
      </c>
      <c r="N277" s="3" t="s">
        <v>90</v>
      </c>
      <c r="O277" s="0" t="str">
        <f aca="false" t="array" ref="O277:O277">IF(N277&lt;&gt;"",N277,_xlfn.xlookup(1,(L277:L1276=L277)*(N277:N1276&lt;&gt;""),N277:N1276,"Not Found"))</f>
        <v>Musa</v>
      </c>
      <c r="P277" s="4" t="n">
        <v>90226</v>
      </c>
      <c r="Q277" s="0" t="s">
        <v>91</v>
      </c>
      <c r="R277" s="0" t="str">
        <f aca="false">PROPER(Q277)</f>
        <v>Pos</v>
      </c>
      <c r="S277" s="0" t="s">
        <v>50</v>
      </c>
      <c r="T277" s="0" t="n">
        <v>3</v>
      </c>
      <c r="U277" s="5" t="n">
        <f aca="false">IF(ISBLANK(T277),AVERAGE(T277:T1276),T277)</f>
        <v>3</v>
      </c>
      <c r="V277" s="0" t="n">
        <v>3.2</v>
      </c>
      <c r="X277" s="0" t="str">
        <f aca="false">IF(ISBLANK(W277),"No remarks",W277)</f>
        <v>No remarks</v>
      </c>
      <c r="Y277" s="0" t="s">
        <v>73</v>
      </c>
      <c r="Z277" s="0" t="s">
        <v>94</v>
      </c>
      <c r="AA277" s="0" t="str">
        <f aca="false">PROPER(IF(ISBLANK(Z277),"Location Unavailable",Z277))</f>
        <v>Vip Section</v>
      </c>
      <c r="AB277" s="0" t="s">
        <v>147</v>
      </c>
      <c r="AC277" s="6" t="str">
        <f aca="false">PROPER(AB277)</f>
        <v>Instagram</v>
      </c>
      <c r="AD277" s="6" t="n">
        <v>45</v>
      </c>
      <c r="AE277" s="5" t="n">
        <f aca="false">IF(ISBLANK(AD277),AVERAGEIF(L277:L1276,L277,AD277:AD1276),AD277)</f>
        <v>45</v>
      </c>
      <c r="AF277" s="0" t="s">
        <v>160</v>
      </c>
      <c r="AG277" s="0" t="str">
        <f aca="false">PROPER(AF277)</f>
        <v>Availaible</v>
      </c>
      <c r="AH277" s="0" t="s">
        <v>77</v>
      </c>
      <c r="AI277" s="0" t="s">
        <v>78</v>
      </c>
      <c r="AJ277" s="0" t="str">
        <f aca="false">PROPER(AI277)</f>
        <v>Booking</v>
      </c>
      <c r="AK277" s="0" t="s">
        <v>196</v>
      </c>
      <c r="AL277" s="0" t="str">
        <f aca="false">PROPER(AK277)</f>
        <v>First Time</v>
      </c>
      <c r="AM277" s="0" t="s">
        <v>2324</v>
      </c>
      <c r="AN277" s="0" t="str">
        <f aca="false">IF(ISBLANK(AM277),"Unknown",AM277)</f>
        <v>Logistics Convoy</v>
      </c>
      <c r="AO277" s="0" t="s">
        <v>79</v>
      </c>
      <c r="AP277" s="0" t="str">
        <f aca="false">IF(ISBLANK(AO277),"Unknown",AO277)</f>
        <v>Specialist</v>
      </c>
      <c r="AQ277" s="0" t="n">
        <v>30000</v>
      </c>
      <c r="AR277" s="5" t="n">
        <f aca="false">IF(ISBLANK(AQ277),AVERAGEIF(M277:M1276,M277,AQ277:AQ1276),AQ277)</f>
        <v>30000</v>
      </c>
      <c r="AS277" s="0" t="n">
        <v>40000</v>
      </c>
      <c r="AT277" s="5" t="n">
        <f aca="false">IF(ISBLANK(AS277),AVERAGE(AS277:AS1276),AS277)</f>
        <v>40000</v>
      </c>
      <c r="AU277" s="0" t="s">
        <v>63</v>
      </c>
      <c r="AV277" s="0" t="str">
        <f aca="false">PROPER(IF(ISBLANK(AU277),"No",AU277))</f>
        <v>Yes</v>
      </c>
      <c r="AW277" s="0" t="n">
        <v>5000</v>
      </c>
      <c r="AX277" s="5" t="n">
        <f aca="false">IF(ISBLANK(AW277),0,AW277)</f>
        <v>5000</v>
      </c>
      <c r="AY277" s="0" t="s">
        <v>80</v>
      </c>
      <c r="AZ277" s="0" t="str">
        <f aca="false">UPPER(IF(ISBLANK(AY277),"NONE",AY277))</f>
        <v>PROMO10</v>
      </c>
      <c r="BA277" s="7" t="n">
        <v>45993</v>
      </c>
      <c r="BB277" s="7" t="n">
        <f aca="false">IF(ISBLANK(BA277),"No Follow Up Needed",BA277)</f>
        <v>45993</v>
      </c>
      <c r="BC277" s="0" t="s">
        <v>50</v>
      </c>
      <c r="BD277" s="0" t="str">
        <f aca="false">PROPER(IF(ISBLANK(BC277),"Unknown",BC277))</f>
        <v>No</v>
      </c>
      <c r="BE277" s="0" t="s">
        <v>171</v>
      </c>
      <c r="BF277" s="0" t="str">
        <f aca="false">IF(ISBLANK(BE277),"No comments",BE277)</f>
        <v>Shock absorber weakening</v>
      </c>
      <c r="BH277" s="0" t="str">
        <f aca="false">IF(ISBLANK(BG277),"No comments",BG277)</f>
        <v>No comments</v>
      </c>
      <c r="BI277" s="0" t="s">
        <v>63</v>
      </c>
      <c r="BJ277" s="0" t="str">
        <f aca="false">IF(ISBLANK(BI277),"Not Mentioned",BI277)</f>
        <v>Yes</v>
      </c>
      <c r="BK277" s="0" t="s">
        <v>82</v>
      </c>
      <c r="BL277" s="0" t="str">
        <f aca="false">PROPER(IF(ISBLANK(BK277),"Not Mentioned",BK277))</f>
        <v>Yes</v>
      </c>
      <c r="BM277" s="0" t="s">
        <v>63</v>
      </c>
      <c r="BN277" s="0" t="str">
        <f aca="false">PROPER(IF(ISBLANK(BM277),"Not Mentioned",BM277))</f>
        <v>Yes</v>
      </c>
      <c r="BO277" s="0" t="s">
        <v>2318</v>
      </c>
      <c r="BP277" s="0" t="str">
        <f aca="false">IF(ISBLANK(BO277),"One-Time Plan",BO277)</f>
        <v>Gold</v>
      </c>
      <c r="BQ277" s="0" t="s">
        <v>190</v>
      </c>
      <c r="BR277" s="0" t="str">
        <f aca="false">PROPER(IF(ISBLANK(BQ277),"No",BQ277))</f>
        <v>Yes</v>
      </c>
    </row>
    <row r="278" customFormat="false" ht="15" hidden="false" customHeight="false" outlineLevel="0" collapsed="false">
      <c r="A278" s="0" t="s">
        <v>800</v>
      </c>
      <c r="B278" s="2" t="s">
        <v>799</v>
      </c>
      <c r="C278" s="2" t="str">
        <f aca="false">TEXT(B278,"dd/mm/yyyy")</f>
        <v>19/02/2025</v>
      </c>
      <c r="D278" s="0" t="s">
        <v>42</v>
      </c>
      <c r="E278" s="0" t="n">
        <v>8030036175</v>
      </c>
      <c r="F278" s="0" t="s">
        <v>85</v>
      </c>
      <c r="G278" s="0" t="s">
        <v>2319</v>
      </c>
      <c r="H278" s="0" t="s">
        <v>801</v>
      </c>
      <c r="I278" s="0" t="s">
        <v>134</v>
      </c>
      <c r="J278" s="0" t="s">
        <v>2317</v>
      </c>
      <c r="K278" s="3" t="str">
        <f aca="false" t="array" ref="K278:K278">IFERROR(IF(J278&lt;&gt;"",J278,INDEX(J278:J1277,MATCH(1,(F278:F1277=F278)*(I278:I1277=I278)*(L278:L1277=L278)*(J278:J1277&lt;&gt;""),0))),"Not Found")</f>
        <v>Suspension Noise</v>
      </c>
      <c r="L278" s="3" t="s">
        <v>154</v>
      </c>
      <c r="M278" s="0" t="str">
        <f aca="false">PROPER(L278)</f>
        <v>Air Filter</v>
      </c>
      <c r="N278" s="3" t="s">
        <v>109</v>
      </c>
      <c r="O278" s="0" t="str">
        <f aca="false" t="array" ref="O278:O278">IF(N278&lt;&gt;"",N278,_xlfn.xlookup(1,(L278:L1277=L278)*(N278:N1277&lt;&gt;""),N278:N1277,"Not Found"))</f>
        <v>Tijani</v>
      </c>
      <c r="P278" s="4" t="n">
        <v>117904</v>
      </c>
      <c r="Q278" s="0" t="s">
        <v>124</v>
      </c>
      <c r="R278" s="0" t="str">
        <f aca="false">PROPER(Q278)</f>
        <v>Cash</v>
      </c>
      <c r="S278" s="0" t="s">
        <v>50</v>
      </c>
      <c r="T278" s="0" t="n">
        <v>4</v>
      </c>
      <c r="U278" s="5" t="n">
        <f aca="false">IF(ISBLANK(T278),AVERAGE(T278:T1277),T278)</f>
        <v>4</v>
      </c>
      <c r="V278" s="0" t="n">
        <v>2.9</v>
      </c>
      <c r="W278" s="0" t="s">
        <v>92</v>
      </c>
      <c r="X278" s="0" t="str">
        <f aca="false">IF(ISBLANK(W278),"No remarks",W278)</f>
        <v>Urgent service</v>
      </c>
      <c r="Y278" s="0" t="s">
        <v>52</v>
      </c>
      <c r="Z278" s="0" t="s">
        <v>74</v>
      </c>
      <c r="AA278" s="0" t="str">
        <f aca="false">PROPER(IF(ISBLANK(Z278),"Location Unavailable",Z278))</f>
        <v>Under Tree</v>
      </c>
      <c r="AB278" s="0" t="s">
        <v>95</v>
      </c>
      <c r="AC278" s="6" t="str">
        <f aca="false">PROPER(AB278)</f>
        <v>Road Sign</v>
      </c>
      <c r="AD278" s="6" t="n">
        <v>60</v>
      </c>
      <c r="AE278" s="5" t="n">
        <f aca="false">IF(ISBLANK(AD278),AVERAGEIF(L278:L1277,L278,AD278:AD1277),AD278)</f>
        <v>60</v>
      </c>
      <c r="AF278" s="0" t="s">
        <v>112</v>
      </c>
      <c r="AG278" s="0" t="str">
        <f aca="false">PROPER(AF278)</f>
        <v>Unavailable</v>
      </c>
      <c r="AH278" s="0" t="s">
        <v>155</v>
      </c>
      <c r="AI278" s="0" t="s">
        <v>78</v>
      </c>
      <c r="AJ278" s="0" t="str">
        <f aca="false">PROPER(AI278)</f>
        <v>Booking</v>
      </c>
      <c r="AK278" s="0" t="s">
        <v>58</v>
      </c>
      <c r="AL278" s="0" t="str">
        <f aca="false">PROPER(AK278)</f>
        <v>Fleet Owner</v>
      </c>
      <c r="AM278" s="0" t="s">
        <v>177</v>
      </c>
      <c r="AN278" s="0" t="str">
        <f aca="false">IF(ISBLANK(AM278),"Unknown",AM278)</f>
        <v>Private</v>
      </c>
      <c r="AO278" s="0" t="s">
        <v>79</v>
      </c>
      <c r="AP278" s="0" t="str">
        <f aca="false">IF(ISBLANK(AO278),"Unknown",AO278)</f>
        <v>Specialist</v>
      </c>
      <c r="AQ278" s="0" t="n">
        <v>25000</v>
      </c>
      <c r="AR278" s="5" t="n">
        <f aca="false">IF(ISBLANK(AQ278),AVERAGEIF(M278:M1277,M278,AQ278:AQ1277),AQ278)</f>
        <v>25000</v>
      </c>
      <c r="AS278" s="0" t="n">
        <v>30000</v>
      </c>
      <c r="AT278" s="5" t="n">
        <f aca="false">IF(ISBLANK(AS278),AVERAGE(AS278:AS1277),AS278)</f>
        <v>30000</v>
      </c>
      <c r="AU278" s="0" t="s">
        <v>61</v>
      </c>
      <c r="AV278" s="0" t="str">
        <f aca="false">PROPER(IF(ISBLANK(AU278),"No",AU278))</f>
        <v>No</v>
      </c>
      <c r="AW278" s="0" t="n">
        <v>0</v>
      </c>
      <c r="AX278" s="5" t="n">
        <f aca="false">IF(ISBLANK(AW278),0,AW278)</f>
        <v>0</v>
      </c>
      <c r="AY278" s="0" t="s">
        <v>130</v>
      </c>
      <c r="AZ278" s="0" t="str">
        <f aca="false">UPPER(IF(ISBLANK(AY278),"NONE",AY278))</f>
        <v>LOYALTY10</v>
      </c>
      <c r="BA278" s="7" t="s">
        <v>802</v>
      </c>
      <c r="BB278" s="7" t="str">
        <f aca="false">IF(ISBLANK(BA278),"No Follow Up Needed",BA278)</f>
        <v>21/09/2025</v>
      </c>
      <c r="BD278" s="0" t="str">
        <f aca="false">PROPER(IF(ISBLANK(BC278),"Unknown",BC278))</f>
        <v>Unknown</v>
      </c>
      <c r="BF278" s="0" t="str">
        <f aca="false">IF(ISBLANK(BE278),"No comments",BE278)</f>
        <v>No comments</v>
      </c>
      <c r="BH278" s="0" t="str">
        <f aca="false">IF(ISBLANK(BG278),"No comments",BG278)</f>
        <v>No comments</v>
      </c>
      <c r="BI278" s="0" t="s">
        <v>63</v>
      </c>
      <c r="BJ278" s="0" t="str">
        <f aca="false">IF(ISBLANK(BI278),"Not Mentioned",BI278)</f>
        <v>Yes</v>
      </c>
      <c r="BK278" s="0" t="s">
        <v>50</v>
      </c>
      <c r="BL278" s="0" t="str">
        <f aca="false">PROPER(IF(ISBLANK(BK278),"Not Mentioned",BK278))</f>
        <v>No</v>
      </c>
      <c r="BM278" s="0" t="s">
        <v>50</v>
      </c>
      <c r="BN278" s="0" t="str">
        <f aca="false">PROPER(IF(ISBLANK(BM278),"Not Mentioned",BM278))</f>
        <v>No</v>
      </c>
      <c r="BO278" s="0" t="s">
        <v>2318</v>
      </c>
      <c r="BP278" s="0" t="str">
        <f aca="false">IF(ISBLANK(BO278),"One-Time Plan",BO278)</f>
        <v>Gold</v>
      </c>
      <c r="BQ278" s="0" t="s">
        <v>50</v>
      </c>
      <c r="BR278" s="0" t="str">
        <f aca="false">PROPER(IF(ISBLANK(BQ278),"No",BQ278))</f>
        <v>No</v>
      </c>
    </row>
    <row r="279" customFormat="false" ht="15" hidden="false" customHeight="false" outlineLevel="0" collapsed="false">
      <c r="A279" s="0" t="s">
        <v>803</v>
      </c>
      <c r="B279" s="2" t="n">
        <v>45659</v>
      </c>
      <c r="C279" s="2" t="str">
        <f aca="false">TEXT(B279,"dd/mm/yyyy")</f>
        <v>02/01/2025</v>
      </c>
      <c r="D279" s="0" t="s">
        <v>121</v>
      </c>
      <c r="E279" s="0" t="n">
        <v>8063352256</v>
      </c>
      <c r="F279" s="0" t="s">
        <v>67</v>
      </c>
      <c r="G279" s="0" t="s">
        <v>2316</v>
      </c>
      <c r="H279" s="0" t="s">
        <v>804</v>
      </c>
      <c r="I279" s="0" t="s">
        <v>107</v>
      </c>
      <c r="J279" s="0" t="s">
        <v>2325</v>
      </c>
      <c r="K279" s="3" t="str">
        <f aca="false" t="array" ref="K279:K279">IFERROR(IF(J279&lt;&gt;"",J279,INDEX(J279:J1278,MATCH(1,(F279:F1278=F279)*(I279:I1278=I279)*(L279:L1278=L279)*(J279:J1278&lt;&gt;""),0))),"Not Found")</f>
        <v>Engine Knocking</v>
      </c>
      <c r="L279" s="3" t="s">
        <v>108</v>
      </c>
      <c r="M279" s="0" t="str">
        <f aca="false">PROPER(L279)</f>
        <v>Timing Belt</v>
      </c>
      <c r="N279" s="3" t="s">
        <v>90</v>
      </c>
      <c r="O279" s="0" t="str">
        <f aca="false" t="array" ref="O279:O279">IF(N279&lt;&gt;"",N279,_xlfn.xlookup(1,(L279:L1278=L279)*(N279:N1278&lt;&gt;""),N279:N1278,"Not Found"))</f>
        <v>Musa</v>
      </c>
      <c r="P279" s="4" t="n">
        <v>35733</v>
      </c>
      <c r="Q279" s="0" t="s">
        <v>124</v>
      </c>
      <c r="R279" s="0" t="str">
        <f aca="false">PROPER(Q279)</f>
        <v>Cash</v>
      </c>
      <c r="S279" s="0" t="s">
        <v>50</v>
      </c>
      <c r="T279" s="0" t="n">
        <v>5</v>
      </c>
      <c r="U279" s="5" t="n">
        <f aca="false">IF(ISBLANK(T279),AVERAGE(T279:T1278),T279)</f>
        <v>5</v>
      </c>
      <c r="V279" s="0" t="n">
        <v>1.8</v>
      </c>
      <c r="W279" s="0" t="s">
        <v>51</v>
      </c>
      <c r="X279" s="0" t="str">
        <f aca="false">IF(ISBLANK(W279),"No remarks",W279)</f>
        <v>Recommended further checks</v>
      </c>
      <c r="Y279" s="0" t="s">
        <v>93</v>
      </c>
      <c r="Z279" s="0" t="s">
        <v>159</v>
      </c>
      <c r="AA279" s="0" t="str">
        <f aca="false">PROPER(IF(ISBLANK(Z279),"Location Unavailable",Z279))</f>
        <v>Main Bay</v>
      </c>
      <c r="AB279" s="0" t="s">
        <v>75</v>
      </c>
      <c r="AC279" s="6" t="str">
        <f aca="false">PROPER(AB279)</f>
        <v>Mechanik Referal</v>
      </c>
      <c r="AD279" s="6" t="n">
        <v>30</v>
      </c>
      <c r="AE279" s="5" t="n">
        <f aca="false">IF(ISBLANK(AD279),AVERAGEIF(L279:L1278,L279,AD279:AD1278),AD279)</f>
        <v>30</v>
      </c>
      <c r="AF279" s="0" t="s">
        <v>55</v>
      </c>
      <c r="AG279" s="0" t="str">
        <f aca="false">PROPER(AF279)</f>
        <v>Available</v>
      </c>
      <c r="AH279" s="0" t="s">
        <v>77</v>
      </c>
      <c r="AI279" s="0" t="s">
        <v>128</v>
      </c>
      <c r="AJ279" s="0" t="str">
        <f aca="false">PROPER(AI279)</f>
        <v>Normal</v>
      </c>
      <c r="AK279" s="0" t="s">
        <v>114</v>
      </c>
      <c r="AL279" s="0" t="str">
        <f aca="false">PROPER(AK279)</f>
        <v>Returning</v>
      </c>
      <c r="AM279" s="0" t="s">
        <v>59</v>
      </c>
      <c r="AN279" s="0" t="str">
        <f aca="false">IF(ISBLANK(AM279),"Unknown",AM279)</f>
        <v>Bolt Driver</v>
      </c>
      <c r="AO279" s="0" t="s">
        <v>161</v>
      </c>
      <c r="AP279" s="0" t="str">
        <f aca="false">IF(ISBLANK(AO279),"Unknown",AO279)</f>
        <v>Apprentice</v>
      </c>
      <c r="AQ279" s="0" t="n">
        <v>30000</v>
      </c>
      <c r="AR279" s="5" t="n">
        <f aca="false">IF(ISBLANK(AQ279),AVERAGEIF(M279:M1278,M279,AQ279:AQ1278),AQ279)</f>
        <v>30000</v>
      </c>
      <c r="AS279" s="0" t="n">
        <v>40000</v>
      </c>
      <c r="AT279" s="5" t="n">
        <f aca="false">IF(ISBLANK(AS279),AVERAGE(AS279:AS1278),AS279)</f>
        <v>40000</v>
      </c>
      <c r="AU279" s="0" t="s">
        <v>50</v>
      </c>
      <c r="AV279" s="0" t="str">
        <f aca="false">PROPER(IF(ISBLANK(AU279),"No",AU279))</f>
        <v>No</v>
      </c>
      <c r="AW279" s="0" t="n">
        <v>5000</v>
      </c>
      <c r="AX279" s="5" t="n">
        <f aca="false">IF(ISBLANK(AW279),0,AW279)</f>
        <v>5000</v>
      </c>
      <c r="AZ279" s="0" t="str">
        <f aca="false">UPPER(IF(ISBLANK(AY279),"NONE",AY279))</f>
        <v>NONE</v>
      </c>
      <c r="BA279" s="7" t="s">
        <v>805</v>
      </c>
      <c r="BB279" s="7" t="str">
        <f aca="false">IF(ISBLANK(BA279),"No Follow Up Needed",BA279)</f>
        <v>21/11/2025</v>
      </c>
      <c r="BC279" s="0" t="s">
        <v>82</v>
      </c>
      <c r="BD279" s="0" t="str">
        <f aca="false">PROPER(IF(ISBLANK(BC279),"Unknown",BC279))</f>
        <v>Yes</v>
      </c>
      <c r="BE279" s="0" t="s">
        <v>116</v>
      </c>
      <c r="BF279" s="0" t="str">
        <f aca="false">IF(ISBLANK(BE279),"No comments",BE279)</f>
        <v>Needs tire alignment</v>
      </c>
      <c r="BG279" s="0" t="s">
        <v>172</v>
      </c>
      <c r="BH279" s="0" t="str">
        <f aca="false">IF(ISBLANK(BG279),"No comments",BG279)</f>
        <v>Always late</v>
      </c>
      <c r="BJ279" s="0" t="str">
        <f aca="false">IF(ISBLANK(BI279),"Not Mentioned",BI279)</f>
        <v>Not Mentioned</v>
      </c>
      <c r="BK279" s="0" t="s">
        <v>82</v>
      </c>
      <c r="BL279" s="0" t="str">
        <f aca="false">PROPER(IF(ISBLANK(BK279),"Not Mentioned",BK279))</f>
        <v>Yes</v>
      </c>
      <c r="BN279" s="0" t="str">
        <f aca="false">PROPER(IF(ISBLANK(BM279),"Not Mentioned",BM279))</f>
        <v>Not Mentioned</v>
      </c>
      <c r="BO279" s="0" t="s">
        <v>2318</v>
      </c>
      <c r="BP279" s="0" t="str">
        <f aca="false">IF(ISBLANK(BO279),"One-Time Plan",BO279)</f>
        <v>Gold</v>
      </c>
      <c r="BQ279" s="0" t="s">
        <v>50</v>
      </c>
      <c r="BR279" s="0" t="str">
        <f aca="false">PROPER(IF(ISBLANK(BQ279),"No",BQ279))</f>
        <v>No</v>
      </c>
    </row>
    <row r="280" customFormat="false" ht="15" hidden="false" customHeight="false" outlineLevel="0" collapsed="false">
      <c r="A280" s="0" t="s">
        <v>806</v>
      </c>
      <c r="B280" s="2" t="n">
        <v>45771</v>
      </c>
      <c r="C280" s="2" t="str">
        <f aca="false">TEXT(B280,"dd/mm/yyyy")</f>
        <v>24/04/2025</v>
      </c>
      <c r="D280" s="0" t="s">
        <v>121</v>
      </c>
      <c r="E280" s="0" t="n">
        <v>8040545068</v>
      </c>
      <c r="F280" s="0" t="s">
        <v>139</v>
      </c>
      <c r="G280" s="0" t="s">
        <v>2323</v>
      </c>
      <c r="H280" s="0" t="s">
        <v>807</v>
      </c>
      <c r="I280" s="0" t="s">
        <v>87</v>
      </c>
      <c r="J280" s="0" t="s">
        <v>2322</v>
      </c>
      <c r="K280" s="3" t="str">
        <f aca="false" t="array" ref="K280:K280">IFERROR(IF(J280&lt;&gt;"",J280,INDEX(J280:J1279,MATCH(1,(F280:F1279=F280)*(I280:I1279=I280)*(L280:L1279=L280)*(J280:J1279&lt;&gt;""),0))),"Not Found")</f>
        <v>Brake Failure</v>
      </c>
      <c r="L280" s="3" t="s">
        <v>47</v>
      </c>
      <c r="M280" s="0" t="str">
        <f aca="false">PROPER(L280)</f>
        <v>None</v>
      </c>
      <c r="N280" s="3" t="s">
        <v>71</v>
      </c>
      <c r="O280" s="0" t="str">
        <f aca="false" t="array" ref="O280:O280">IF(N280&lt;&gt;"",N280,_xlfn.xlookup(1,(L280:L1279=L280)*(N280:N1279&lt;&gt;""),N280:N1279,"Not Found"))</f>
        <v>Isaac Bobo</v>
      </c>
      <c r="P280" s="4" t="n">
        <v>10643</v>
      </c>
      <c r="Q280" s="0" t="s">
        <v>49</v>
      </c>
      <c r="R280" s="0" t="str">
        <f aca="false">PROPER(Q280)</f>
        <v>Transfer</v>
      </c>
      <c r="S280" s="0" t="s">
        <v>50</v>
      </c>
      <c r="T280" s="0" t="n">
        <v>1</v>
      </c>
      <c r="U280" s="5" t="n">
        <f aca="false">IF(ISBLANK(T280),AVERAGE(T280:T1279),T280)</f>
        <v>1</v>
      </c>
      <c r="V280" s="0" t="n">
        <v>5</v>
      </c>
      <c r="W280" s="0" t="s">
        <v>51</v>
      </c>
      <c r="X280" s="0" t="str">
        <f aca="false">IF(ISBLANK(W280),"No remarks",W280)</f>
        <v>Recommended further checks</v>
      </c>
      <c r="Y280" s="0" t="s">
        <v>73</v>
      </c>
      <c r="Z280" s="0" t="s">
        <v>159</v>
      </c>
      <c r="AA280" s="0" t="str">
        <f aca="false">PROPER(IF(ISBLANK(Z280),"Location Unavailable",Z280))</f>
        <v>Main Bay</v>
      </c>
      <c r="AB280" s="0" t="s">
        <v>75</v>
      </c>
      <c r="AC280" s="6" t="str">
        <f aca="false">PROPER(AB280)</f>
        <v>Mechanik Referal</v>
      </c>
      <c r="AD280" s="6" t="n">
        <v>45</v>
      </c>
      <c r="AE280" s="5" t="n">
        <f aca="false">IF(ISBLANK(AD280),AVERAGEIF(L280:L1279,L280,AD280:AD1279),AD280)</f>
        <v>45</v>
      </c>
      <c r="AF280" s="0" t="s">
        <v>76</v>
      </c>
      <c r="AG280" s="0" t="str">
        <f aca="false">PROPER(AF280)</f>
        <v>Orderd</v>
      </c>
      <c r="AH280" s="0" t="s">
        <v>56</v>
      </c>
      <c r="AI280" s="0" t="s">
        <v>78</v>
      </c>
      <c r="AJ280" s="0" t="str">
        <f aca="false">PROPER(AI280)</f>
        <v>Booking</v>
      </c>
      <c r="AK280" s="0" t="s">
        <v>99</v>
      </c>
      <c r="AL280" s="0" t="str">
        <f aca="false">PROPER(AK280)</f>
        <v>Uber Driver</v>
      </c>
      <c r="AM280" s="0" t="s">
        <v>2326</v>
      </c>
      <c r="AN280" s="0" t="str">
        <f aca="false">IF(ISBLANK(AM280),"Unknown",AM280)</f>
        <v>Government Convoy</v>
      </c>
      <c r="AO280" s="0" t="s">
        <v>143</v>
      </c>
      <c r="AP280" s="0" t="str">
        <f aca="false">IF(ISBLANK(AO280),"Unknown",AO280)</f>
        <v>Senior</v>
      </c>
      <c r="AQ280" s="0" t="n">
        <v>30000</v>
      </c>
      <c r="AR280" s="5" t="n">
        <f aca="false">IF(ISBLANK(AQ280),AVERAGEIF(M280:M1279,M280,AQ280:AQ1279),AQ280)</f>
        <v>30000</v>
      </c>
      <c r="AS280" s="0" t="n">
        <v>40000</v>
      </c>
      <c r="AT280" s="5" t="n">
        <f aca="false">IF(ISBLANK(AS280),AVERAGE(AS280:AS1279),AS280)</f>
        <v>40000</v>
      </c>
      <c r="AU280" s="0" t="s">
        <v>82</v>
      </c>
      <c r="AV280" s="0" t="str">
        <f aca="false">PROPER(IF(ISBLANK(AU280),"No",AU280))</f>
        <v>Yes</v>
      </c>
      <c r="AX280" s="5" t="n">
        <f aca="false">IF(ISBLANK(AW280),0,AW280)</f>
        <v>0</v>
      </c>
      <c r="AY280" s="0" t="s">
        <v>130</v>
      </c>
      <c r="AZ280" s="0" t="str">
        <f aca="false">UPPER(IF(ISBLANK(AY280),"NONE",AY280))</f>
        <v>LOYALTY10</v>
      </c>
      <c r="BB280" s="7" t="str">
        <f aca="false">IF(ISBLANK(BA280),"No Follow Up Needed",BA280)</f>
        <v>No Follow Up Needed</v>
      </c>
      <c r="BC280" s="0" t="s">
        <v>50</v>
      </c>
      <c r="BD280" s="0" t="str">
        <f aca="false">PROPER(IF(ISBLANK(BC280),"Unknown",BC280))</f>
        <v>No</v>
      </c>
      <c r="BF280" s="0" t="str">
        <f aca="false">IF(ISBLANK(BE280),"No comments",BE280)</f>
        <v>No comments</v>
      </c>
      <c r="BG280" s="0" t="s">
        <v>172</v>
      </c>
      <c r="BH280" s="0" t="str">
        <f aca="false">IF(ISBLANK(BG280),"No comments",BG280)</f>
        <v>Always late</v>
      </c>
      <c r="BI280" s="0" t="s">
        <v>50</v>
      </c>
      <c r="BJ280" s="0" t="str">
        <f aca="false">IF(ISBLANK(BI280),"Not Mentioned",BI280)</f>
        <v>No</v>
      </c>
      <c r="BK280" s="0" t="s">
        <v>61</v>
      </c>
      <c r="BL280" s="0" t="str">
        <f aca="false">PROPER(IF(ISBLANK(BK280),"Not Mentioned",BK280))</f>
        <v>No</v>
      </c>
      <c r="BN280" s="0" t="str">
        <f aca="false">PROPER(IF(ISBLANK(BM280),"Not Mentioned",BM280))</f>
        <v>Not Mentioned</v>
      </c>
      <c r="BO280" s="0" t="s">
        <v>2318</v>
      </c>
      <c r="BP280" s="0" t="str">
        <f aca="false">IF(ISBLANK(BO280),"One-Time Plan",BO280)</f>
        <v>Gold</v>
      </c>
      <c r="BQ280" s="0" t="s">
        <v>50</v>
      </c>
      <c r="BR280" s="0" t="str">
        <f aca="false">PROPER(IF(ISBLANK(BQ280),"No",BQ280))</f>
        <v>No</v>
      </c>
    </row>
    <row r="281" customFormat="false" ht="15" hidden="false" customHeight="false" outlineLevel="0" collapsed="false">
      <c r="A281" s="0" t="s">
        <v>808</v>
      </c>
      <c r="B281" s="2" t="n">
        <v>45791</v>
      </c>
      <c r="C281" s="2" t="str">
        <f aca="false">TEXT(B281,"dd/mm/yyyy")</f>
        <v>14/05/2025</v>
      </c>
      <c r="D281" s="0" t="s">
        <v>121</v>
      </c>
      <c r="E281" s="0" t="n">
        <v>8040457532</v>
      </c>
      <c r="F281" s="0" t="s">
        <v>67</v>
      </c>
      <c r="G281" s="0" t="s">
        <v>2316</v>
      </c>
      <c r="H281" s="0" t="s">
        <v>809</v>
      </c>
      <c r="I281" s="0" t="s">
        <v>69</v>
      </c>
      <c r="J281" s="0" t="s">
        <v>2325</v>
      </c>
      <c r="K281" s="3" t="str">
        <f aca="false" t="array" ref="K281:K281">IFERROR(IF(J281&lt;&gt;"",J281,INDEX(J281:J1280,MATCH(1,(F281:F1280=F281)*(I281:I1280=I281)*(L281:L1280=L281)*(J281:J1280&lt;&gt;""),0))),"Not Found")</f>
        <v>Engine Knocking</v>
      </c>
      <c r="L281" s="3" t="s">
        <v>108</v>
      </c>
      <c r="M281" s="0" t="str">
        <f aca="false">PROPER(L281)</f>
        <v>Timing Belt</v>
      </c>
      <c r="N281" s="3" t="s">
        <v>90</v>
      </c>
      <c r="O281" s="0" t="str">
        <f aca="false" t="array" ref="O281:O281">IF(N281&lt;&gt;"",N281,_xlfn.xlookup(1,(L281:L1280=L281)*(N281:N1280&lt;&gt;""),N281:N1280,"Not Found"))</f>
        <v>Musa</v>
      </c>
      <c r="P281" s="4" t="n">
        <v>85569</v>
      </c>
      <c r="Q281" s="0" t="s">
        <v>166</v>
      </c>
      <c r="R281" s="0" t="str">
        <f aca="false">PROPER(Q281)</f>
        <v>Transfer</v>
      </c>
      <c r="S281" s="0" t="s">
        <v>63</v>
      </c>
      <c r="T281" s="0" t="n">
        <v>2</v>
      </c>
      <c r="U281" s="5" t="n">
        <f aca="false">IF(ISBLANK(T281),AVERAGE(T281:T1280),T281)</f>
        <v>2</v>
      </c>
      <c r="V281" s="0" t="n">
        <v>3.9</v>
      </c>
      <c r="W281" s="0" t="s">
        <v>51</v>
      </c>
      <c r="X281" s="0" t="str">
        <f aca="false">IF(ISBLANK(W281),"No remarks",W281)</f>
        <v>Recommended further checks</v>
      </c>
      <c r="Y281" s="0" t="s">
        <v>93</v>
      </c>
      <c r="Z281" s="0" t="s">
        <v>74</v>
      </c>
      <c r="AA281" s="0" t="str">
        <f aca="false">PROPER(IF(ISBLANK(Z281),"Location Unavailable",Z281))</f>
        <v>Under Tree</v>
      </c>
      <c r="AB281" s="0" t="s">
        <v>126</v>
      </c>
      <c r="AC281" s="6" t="str">
        <f aca="false">PROPER(AB281)</f>
        <v>Whatsapp</v>
      </c>
      <c r="AD281" s="6" t="n">
        <v>45</v>
      </c>
      <c r="AE281" s="5" t="n">
        <f aca="false">IF(ISBLANK(AD281),AVERAGEIF(L281:L1280,L281,AD281:AD1280),AD281)</f>
        <v>45</v>
      </c>
      <c r="AF281" s="0" t="s">
        <v>160</v>
      </c>
      <c r="AG281" s="0" t="str">
        <f aca="false">PROPER(AF281)</f>
        <v>Availaible</v>
      </c>
      <c r="AH281" s="0" t="s">
        <v>148</v>
      </c>
      <c r="AI281" s="0" t="s">
        <v>113</v>
      </c>
      <c r="AJ281" s="0" t="str">
        <f aca="false">PROPER(AI281)</f>
        <v>Normal</v>
      </c>
      <c r="AK281" s="0" t="s">
        <v>58</v>
      </c>
      <c r="AL281" s="0" t="str">
        <f aca="false">PROPER(AK281)</f>
        <v>Fleet Owner</v>
      </c>
      <c r="AM281" s="0" t="s">
        <v>59</v>
      </c>
      <c r="AN281" s="0" t="str">
        <f aca="false">IF(ISBLANK(AM281),"Unknown",AM281)</f>
        <v>Bolt Driver</v>
      </c>
      <c r="AO281" s="0" t="s">
        <v>161</v>
      </c>
      <c r="AP281" s="0" t="str">
        <f aca="false">IF(ISBLANK(AO281),"Unknown",AO281)</f>
        <v>Apprentice</v>
      </c>
      <c r="AQ281" s="0" t="n">
        <v>20000</v>
      </c>
      <c r="AR281" s="5" t="n">
        <f aca="false">IF(ISBLANK(AQ281),AVERAGEIF(M281:M1280,M281,AQ281:AQ1280),AQ281)</f>
        <v>20000</v>
      </c>
      <c r="AS281" s="0" t="n">
        <v>30000</v>
      </c>
      <c r="AT281" s="5" t="n">
        <f aca="false">IF(ISBLANK(AS281),AVERAGE(AS281:AS1280),AS281)</f>
        <v>30000</v>
      </c>
      <c r="AU281" s="0" t="s">
        <v>63</v>
      </c>
      <c r="AV281" s="0" t="str">
        <f aca="false">PROPER(IF(ISBLANK(AU281),"No",AU281))</f>
        <v>Yes</v>
      </c>
      <c r="AW281" s="0" t="n">
        <v>10000</v>
      </c>
      <c r="AX281" s="5" t="n">
        <f aca="false">IF(ISBLANK(AW281),0,AW281)</f>
        <v>10000</v>
      </c>
      <c r="AY281" s="0" t="s">
        <v>60</v>
      </c>
      <c r="AZ281" s="0" t="str">
        <f aca="false">UPPER(IF(ISBLANK(AY281),"NONE",AY281))</f>
        <v>NONE</v>
      </c>
      <c r="BB281" s="7" t="str">
        <f aca="false">IF(ISBLANK(BA281),"No Follow Up Needed",BA281)</f>
        <v>No Follow Up Needed</v>
      </c>
      <c r="BC281" s="0" t="s">
        <v>63</v>
      </c>
      <c r="BD281" s="0" t="str">
        <f aca="false">PROPER(IF(ISBLANK(BC281),"Unknown",BC281))</f>
        <v>Yes</v>
      </c>
      <c r="BE281" s="0" t="s">
        <v>116</v>
      </c>
      <c r="BF281" s="0" t="str">
        <f aca="false">IF(ISBLANK(BE281),"No comments",BE281)</f>
        <v>Needs tire alignment</v>
      </c>
      <c r="BH281" s="0" t="str">
        <f aca="false">IF(ISBLANK(BG281),"No comments",BG281)</f>
        <v>No comments</v>
      </c>
      <c r="BI281" s="0" t="s">
        <v>50</v>
      </c>
      <c r="BJ281" s="0" t="str">
        <f aca="false">IF(ISBLANK(BI281),"Not Mentioned",BI281)</f>
        <v>No</v>
      </c>
      <c r="BK281" s="0" t="s">
        <v>82</v>
      </c>
      <c r="BL281" s="0" t="str">
        <f aca="false">PROPER(IF(ISBLANK(BK281),"Not Mentioned",BK281))</f>
        <v>Yes</v>
      </c>
      <c r="BM281" s="0" t="s">
        <v>50</v>
      </c>
      <c r="BN281" s="0" t="str">
        <f aca="false">PROPER(IF(ISBLANK(BM281),"Not Mentioned",BM281))</f>
        <v>No</v>
      </c>
      <c r="BO281" s="0" t="s">
        <v>2318</v>
      </c>
      <c r="BP281" s="0" t="str">
        <f aca="false">IF(ISBLANK(BO281),"One-Time Plan",BO281)</f>
        <v>Gold</v>
      </c>
      <c r="BQ281" s="0" t="s">
        <v>63</v>
      </c>
      <c r="BR281" s="0" t="str">
        <f aca="false">PROPER(IF(ISBLANK(BQ281),"No",BQ281))</f>
        <v>Yes</v>
      </c>
    </row>
    <row r="282" customFormat="false" ht="15" hidden="false" customHeight="false" outlineLevel="0" collapsed="false">
      <c r="A282" s="0" t="s">
        <v>810</v>
      </c>
      <c r="B282" s="2" t="n">
        <v>45757</v>
      </c>
      <c r="C282" s="2" t="str">
        <f aca="false">TEXT(B282,"dd/mm/yyyy")</f>
        <v>10/04/2025</v>
      </c>
      <c r="D282" s="0" t="s">
        <v>163</v>
      </c>
      <c r="E282" s="0" t="n">
        <v>8038168948</v>
      </c>
      <c r="F282" s="0" t="s">
        <v>43</v>
      </c>
      <c r="G282" s="0" t="s">
        <v>2315</v>
      </c>
      <c r="H282" s="0" t="s">
        <v>811</v>
      </c>
      <c r="I282" s="0" t="s">
        <v>45</v>
      </c>
      <c r="K282" s="3" t="str">
        <f aca="false" t="array" ref="K282:K282">IFERROR(IF(J282&lt;&gt;"",J282,INDEX(J282:J1281,MATCH(1,(F282:F1281=F282)*(I282:I1281=I282)*(L282:L1281=L282)*(J282:J1281&lt;&gt;""),0))),"Not Found")</f>
        <v>Brake Failure</v>
      </c>
      <c r="L282" s="3" t="s">
        <v>154</v>
      </c>
      <c r="M282" s="0" t="str">
        <f aca="false">PROPER(L282)</f>
        <v>Air Filter</v>
      </c>
      <c r="N282" s="3" t="s">
        <v>90</v>
      </c>
      <c r="O282" s="0" t="str">
        <f aca="false" t="array" ref="O282:O282">IF(N282&lt;&gt;"",N282,_xlfn.xlookup(1,(L282:L1281=L282)*(N282:N1281&lt;&gt;""),N282:N1281,"Not Found"))</f>
        <v>Musa</v>
      </c>
      <c r="P282" s="4" t="n">
        <v>64471</v>
      </c>
      <c r="Q282" s="0" t="s">
        <v>49</v>
      </c>
      <c r="R282" s="0" t="str">
        <f aca="false">PROPER(Q282)</f>
        <v>Transfer</v>
      </c>
      <c r="S282" s="0" t="s">
        <v>63</v>
      </c>
      <c r="T282" s="0" t="n">
        <v>2</v>
      </c>
      <c r="U282" s="5" t="n">
        <f aca="false">IF(ISBLANK(T282),AVERAGE(T282:T1281),T282)</f>
        <v>2</v>
      </c>
      <c r="V282" s="0" t="n">
        <v>1.3</v>
      </c>
      <c r="X282" s="0" t="str">
        <f aca="false">IF(ISBLANK(W282),"No remarks",W282)</f>
        <v>No remarks</v>
      </c>
      <c r="Y282" s="0" t="s">
        <v>73</v>
      </c>
      <c r="Z282" s="0" t="s">
        <v>94</v>
      </c>
      <c r="AA282" s="0" t="str">
        <f aca="false">PROPER(IF(ISBLANK(Z282),"Location Unavailable",Z282))</f>
        <v>Vip Section</v>
      </c>
      <c r="AB282" s="0" t="s">
        <v>147</v>
      </c>
      <c r="AC282" s="6" t="str">
        <f aca="false">PROPER(AB282)</f>
        <v>Instagram</v>
      </c>
      <c r="AD282" s="6" t="n">
        <v>30</v>
      </c>
      <c r="AE282" s="5" t="n">
        <f aca="false">IF(ISBLANK(AD282),AVERAGEIF(L282:L1281,L282,AD282:AD1281),AD282)</f>
        <v>30</v>
      </c>
      <c r="AF282" s="0" t="s">
        <v>96</v>
      </c>
      <c r="AG282" s="0" t="str">
        <f aca="false">PROPER(AF282)</f>
        <v>Ordered</v>
      </c>
      <c r="AH282" s="0" t="s">
        <v>148</v>
      </c>
      <c r="AI282" s="0" t="s">
        <v>98</v>
      </c>
      <c r="AJ282" s="0" t="str">
        <f aca="false">PROPER(AI282)</f>
        <v>Emergency</v>
      </c>
      <c r="AK282" s="0" t="s">
        <v>196</v>
      </c>
      <c r="AL282" s="0" t="str">
        <f aca="false">PROPER(AK282)</f>
        <v>First Time</v>
      </c>
      <c r="AM282" s="0" t="s">
        <v>2326</v>
      </c>
      <c r="AN282" s="0" t="str">
        <f aca="false">IF(ISBLANK(AM282),"Unknown",AM282)</f>
        <v>Government Convoy</v>
      </c>
      <c r="AO282" s="0" t="s">
        <v>161</v>
      </c>
      <c r="AP282" s="0" t="str">
        <f aca="false">IF(ISBLANK(AO282),"Unknown",AO282)</f>
        <v>Apprentice</v>
      </c>
      <c r="AQ282" s="0" t="n">
        <v>40000</v>
      </c>
      <c r="AR282" s="5" t="n">
        <f aca="false">IF(ISBLANK(AQ282),AVERAGEIF(M282:M1281,M282,AQ282:AQ1281),AQ282)</f>
        <v>40000</v>
      </c>
      <c r="AS282" s="0" t="n">
        <v>40000</v>
      </c>
      <c r="AT282" s="5" t="n">
        <f aca="false">IF(ISBLANK(AS282),AVERAGE(AS282:AS1281),AS282)</f>
        <v>40000</v>
      </c>
      <c r="AU282" s="0" t="s">
        <v>63</v>
      </c>
      <c r="AV282" s="0" t="str">
        <f aca="false">PROPER(IF(ISBLANK(AU282),"No",AU282))</f>
        <v>Yes</v>
      </c>
      <c r="AW282" s="0" t="n">
        <v>0</v>
      </c>
      <c r="AX282" s="5" t="n">
        <f aca="false">IF(ISBLANK(AW282),0,AW282)</f>
        <v>0</v>
      </c>
      <c r="AZ282" s="0" t="str">
        <f aca="false">UPPER(IF(ISBLANK(AY282),"NONE",AY282))</f>
        <v>NONE</v>
      </c>
      <c r="BA282" s="7" t="n">
        <v>45835</v>
      </c>
      <c r="BB282" s="7" t="n">
        <f aca="false">IF(ISBLANK(BA282),"No Follow Up Needed",BA282)</f>
        <v>45835</v>
      </c>
      <c r="BC282" s="0" t="s">
        <v>63</v>
      </c>
      <c r="BD282" s="0" t="str">
        <f aca="false">PROPER(IF(ISBLANK(BC282),"Unknown",BC282))</f>
        <v>Yes</v>
      </c>
      <c r="BE282" s="0" t="s">
        <v>116</v>
      </c>
      <c r="BF282" s="0" t="str">
        <f aca="false">IF(ISBLANK(BE282),"No comments",BE282)</f>
        <v>Needs tire alignment</v>
      </c>
      <c r="BH282" s="0" t="str">
        <f aca="false">IF(ISBLANK(BG282),"No comments",BG282)</f>
        <v>No comments</v>
      </c>
      <c r="BJ282" s="0" t="str">
        <f aca="false">IF(ISBLANK(BI282),"Not Mentioned",BI282)</f>
        <v>Not Mentioned</v>
      </c>
      <c r="BK282" s="0" t="s">
        <v>61</v>
      </c>
      <c r="BL282" s="0" t="str">
        <f aca="false">PROPER(IF(ISBLANK(BK282),"Not Mentioned",BK282))</f>
        <v>No</v>
      </c>
      <c r="BM282" s="0" t="s">
        <v>50</v>
      </c>
      <c r="BN282" s="0" t="str">
        <f aca="false">PROPER(IF(ISBLANK(BM282),"Not Mentioned",BM282))</f>
        <v>No</v>
      </c>
      <c r="BO282" s="0" t="s">
        <v>2318</v>
      </c>
      <c r="BP282" s="0" t="str">
        <f aca="false">IF(ISBLANK(BO282),"One-Time Plan",BO282)</f>
        <v>Gold</v>
      </c>
      <c r="BQ282" s="0" t="s">
        <v>50</v>
      </c>
      <c r="BR282" s="0" t="str">
        <f aca="false">PROPER(IF(ISBLANK(BQ282),"No",BQ282))</f>
        <v>No</v>
      </c>
    </row>
    <row r="283" customFormat="false" ht="15" hidden="false" customHeight="false" outlineLevel="0" collapsed="false">
      <c r="A283" s="0" t="s">
        <v>812</v>
      </c>
      <c r="B283" s="2" t="n">
        <v>45698</v>
      </c>
      <c r="C283" s="2" t="str">
        <f aca="false">TEXT(B283,"dd/mm/yyyy")</f>
        <v>10/02/2025</v>
      </c>
      <c r="D283" s="0" t="s">
        <v>163</v>
      </c>
      <c r="E283" s="0" t="n">
        <v>8073678024</v>
      </c>
      <c r="F283" s="0" t="s">
        <v>139</v>
      </c>
      <c r="G283" s="0" t="s">
        <v>2323</v>
      </c>
      <c r="H283" s="0" t="s">
        <v>813</v>
      </c>
      <c r="I283" s="0" t="s">
        <v>134</v>
      </c>
      <c r="J283" s="0" t="s">
        <v>2322</v>
      </c>
      <c r="K283" s="3" t="str">
        <f aca="false" t="array" ref="K283:K283">IFERROR(IF(J283&lt;&gt;"",J283,INDEX(J283:J1282,MATCH(1,(F283:F1282=F283)*(I283:I1282=I283)*(L283:L1282=L283)*(J283:J1282&lt;&gt;""),0))),"Not Found")</f>
        <v>Brake Failure</v>
      </c>
      <c r="L283" s="3" t="s">
        <v>89</v>
      </c>
      <c r="M283" s="0" t="str">
        <f aca="false">PROPER(L283)</f>
        <v>Shock Absorbers</v>
      </c>
      <c r="N283" s="3" t="s">
        <v>71</v>
      </c>
      <c r="O283" s="0" t="str">
        <f aca="false" t="array" ref="O283:O283">IF(N283&lt;&gt;"",N283,_xlfn.xlookup(1,(L283:L1282=L283)*(N283:N1282&lt;&gt;""),N283:N1282,"Not Found"))</f>
        <v>Isaac Bobo</v>
      </c>
      <c r="P283" s="4" t="n">
        <v>71616</v>
      </c>
      <c r="Q283" s="0" t="s">
        <v>124</v>
      </c>
      <c r="R283" s="0" t="str">
        <f aca="false">PROPER(Q283)</f>
        <v>Cash</v>
      </c>
      <c r="S283" s="0" t="s">
        <v>63</v>
      </c>
      <c r="T283" s="0" t="n">
        <v>1</v>
      </c>
      <c r="U283" s="5" t="n">
        <f aca="false">IF(ISBLANK(T283),AVERAGE(T283:T1282),T283)</f>
        <v>1</v>
      </c>
      <c r="V283" s="0" t="n">
        <v>2.6</v>
      </c>
      <c r="X283" s="0" t="str">
        <f aca="false">IF(ISBLANK(W283),"No remarks",W283)</f>
        <v>No remarks</v>
      </c>
      <c r="Y283" s="0" t="s">
        <v>73</v>
      </c>
      <c r="AA283" s="0" t="str">
        <f aca="false">PROPER(IF(ISBLANK(Z283),"Location Unavailable",Z283))</f>
        <v>Location Unavailable</v>
      </c>
      <c r="AB283" s="0" t="s">
        <v>75</v>
      </c>
      <c r="AC283" s="6" t="str">
        <f aca="false">PROPER(AB283)</f>
        <v>Mechanik Referal</v>
      </c>
      <c r="AD283" s="6" t="n">
        <v>45</v>
      </c>
      <c r="AE283" s="5" t="n">
        <f aca="false">IF(ISBLANK(AD283),AVERAGEIF(L283:L1282,L283,AD283:AD1282),AD283)</f>
        <v>45</v>
      </c>
      <c r="AF283" s="0" t="s">
        <v>76</v>
      </c>
      <c r="AG283" s="0" t="str">
        <f aca="false">PROPER(AF283)</f>
        <v>Orderd</v>
      </c>
      <c r="AH283" s="0" t="s">
        <v>148</v>
      </c>
      <c r="AI283" s="0" t="s">
        <v>98</v>
      </c>
      <c r="AJ283" s="0" t="str">
        <f aca="false">PROPER(AI283)</f>
        <v>Emergency</v>
      </c>
      <c r="AK283" s="0" t="s">
        <v>196</v>
      </c>
      <c r="AL283" s="0" t="str">
        <f aca="false">PROPER(AK283)</f>
        <v>First Time</v>
      </c>
      <c r="AM283" s="0" t="s">
        <v>177</v>
      </c>
      <c r="AN283" s="0" t="str">
        <f aca="false">IF(ISBLANK(AM283),"Unknown",AM283)</f>
        <v>Private</v>
      </c>
      <c r="AO283" s="0" t="s">
        <v>79</v>
      </c>
      <c r="AP283" s="0" t="str">
        <f aca="false">IF(ISBLANK(AO283),"Unknown",AO283)</f>
        <v>Specialist</v>
      </c>
      <c r="AR283" s="5" t="n">
        <f aca="false">IF(ISBLANK(AQ283),AVERAGEIF(M283:M1282,M283,AQ283:AQ1282),AQ283)</f>
        <v>26157.8947368421</v>
      </c>
      <c r="AS283" s="0" t="n">
        <v>35000</v>
      </c>
      <c r="AT283" s="5" t="n">
        <f aca="false">IF(ISBLANK(AS283),AVERAGE(AS283:AS1282),AS283)</f>
        <v>35000</v>
      </c>
      <c r="AU283" s="0" t="s">
        <v>82</v>
      </c>
      <c r="AV283" s="0" t="str">
        <f aca="false">PROPER(IF(ISBLANK(AU283),"No",AU283))</f>
        <v>Yes</v>
      </c>
      <c r="AW283" s="0" t="n">
        <v>5000</v>
      </c>
      <c r="AX283" s="5" t="n">
        <f aca="false">IF(ISBLANK(AW283),0,AW283)</f>
        <v>5000</v>
      </c>
      <c r="AY283" s="0" t="s">
        <v>60</v>
      </c>
      <c r="AZ283" s="0" t="str">
        <f aca="false">UPPER(IF(ISBLANK(AY283),"NONE",AY283))</f>
        <v>NONE</v>
      </c>
      <c r="BB283" s="7" t="str">
        <f aca="false">IF(ISBLANK(BA283),"No Follow Up Needed",BA283)</f>
        <v>No Follow Up Needed</v>
      </c>
      <c r="BC283" s="0" t="s">
        <v>63</v>
      </c>
      <c r="BD283" s="0" t="str">
        <f aca="false">PROPER(IF(ISBLANK(BC283),"Unknown",BC283))</f>
        <v>Yes</v>
      </c>
      <c r="BF283" s="0" t="str">
        <f aca="false">IF(ISBLANK(BE283),"No comments",BE283)</f>
        <v>No comments</v>
      </c>
      <c r="BH283" s="0" t="str">
        <f aca="false">IF(ISBLANK(BG283),"No comments",BG283)</f>
        <v>No comments</v>
      </c>
      <c r="BI283" s="0" t="s">
        <v>63</v>
      </c>
      <c r="BJ283" s="0" t="str">
        <f aca="false">IF(ISBLANK(BI283),"Not Mentioned",BI283)</f>
        <v>Yes</v>
      </c>
      <c r="BK283" s="0" t="s">
        <v>61</v>
      </c>
      <c r="BL283" s="0" t="str">
        <f aca="false">PROPER(IF(ISBLANK(BK283),"Not Mentioned",BK283))</f>
        <v>No</v>
      </c>
      <c r="BM283" s="0" t="s">
        <v>63</v>
      </c>
      <c r="BN283" s="0" t="str">
        <f aca="false">PROPER(IF(ISBLANK(BM283),"Not Mentioned",BM283))</f>
        <v>Yes</v>
      </c>
      <c r="BO283" s="0" t="s">
        <v>64</v>
      </c>
      <c r="BP283" s="0" t="str">
        <f aca="false">IF(ISBLANK(BO283),"One-Time Plan",BO283)</f>
        <v>Gold Maintenance Plan</v>
      </c>
      <c r="BQ283" s="0" t="s">
        <v>63</v>
      </c>
      <c r="BR283" s="0" t="str">
        <f aca="false">PROPER(IF(ISBLANK(BQ283),"No",BQ283))</f>
        <v>Yes</v>
      </c>
    </row>
    <row r="284" customFormat="false" ht="15" hidden="false" customHeight="false" outlineLevel="0" collapsed="false">
      <c r="A284" s="0" t="s">
        <v>814</v>
      </c>
      <c r="B284" s="2" t="n">
        <v>45668</v>
      </c>
      <c r="C284" s="2" t="str">
        <f aca="false">TEXT(B284,"dd/mm/yyyy")</f>
        <v>11/01/2025</v>
      </c>
      <c r="D284" s="0" t="s">
        <v>163</v>
      </c>
      <c r="E284" s="0" t="n">
        <v>8041369795</v>
      </c>
      <c r="F284" s="0" t="s">
        <v>139</v>
      </c>
      <c r="G284" s="0" t="s">
        <v>2323</v>
      </c>
      <c r="H284" s="0" t="s">
        <v>815</v>
      </c>
      <c r="I284" s="0" t="s">
        <v>45</v>
      </c>
      <c r="J284" s="0" t="s">
        <v>2322</v>
      </c>
      <c r="K284" s="3" t="str">
        <f aca="false" t="array" ref="K284:K284">IFERROR(IF(J284&lt;&gt;"",J284,INDEX(J284:J1283,MATCH(1,(F284:F1283=F284)*(I284:I1283=I284)*(L284:L1283=L284)*(J284:J1283&lt;&gt;""),0))),"Not Found")</f>
        <v>Brake Failure</v>
      </c>
      <c r="L284" s="3" t="s">
        <v>154</v>
      </c>
      <c r="M284" s="0" t="str">
        <f aca="false">PROPER(L284)</f>
        <v>Air Filter</v>
      </c>
      <c r="N284" s="3" t="s">
        <v>90</v>
      </c>
      <c r="O284" s="0" t="str">
        <f aca="false" t="array" ref="O284:O284">IF(N284&lt;&gt;"",N284,_xlfn.xlookup(1,(L284:L1283=L284)*(N284:N1283&lt;&gt;""),N284:N1283,"Not Found"))</f>
        <v>Musa</v>
      </c>
      <c r="P284" s="4" t="n">
        <v>20832</v>
      </c>
      <c r="Q284" s="0" t="s">
        <v>91</v>
      </c>
      <c r="R284" s="0" t="str">
        <f aca="false">PROPER(Q284)</f>
        <v>Pos</v>
      </c>
      <c r="S284" s="0" t="s">
        <v>50</v>
      </c>
      <c r="T284" s="0" t="n">
        <v>2</v>
      </c>
      <c r="U284" s="5" t="n">
        <f aca="false">IF(ISBLANK(T284),AVERAGE(T284:T1283),T284)</f>
        <v>2</v>
      </c>
      <c r="V284" s="0" t="n">
        <v>2</v>
      </c>
      <c r="W284" s="0" t="s">
        <v>92</v>
      </c>
      <c r="X284" s="0" t="str">
        <f aca="false">IF(ISBLANK(W284),"No remarks",W284)</f>
        <v>Urgent service</v>
      </c>
      <c r="Y284" s="0" t="s">
        <v>93</v>
      </c>
      <c r="Z284" s="0" t="s">
        <v>94</v>
      </c>
      <c r="AA284" s="0" t="str">
        <f aca="false">PROPER(IF(ISBLANK(Z284),"Location Unavailable",Z284))</f>
        <v>Vip Section</v>
      </c>
      <c r="AB284" s="0" t="s">
        <v>167</v>
      </c>
      <c r="AC284" s="6" t="str">
        <f aca="false">PROPER(AB284)</f>
        <v>Word Of Mouth</v>
      </c>
      <c r="AD284" s="6" t="n">
        <v>45</v>
      </c>
      <c r="AE284" s="5" t="n">
        <f aca="false">IF(ISBLANK(AD284),AVERAGEIF(L284:L1283,L284,AD284:AD1283),AD284)</f>
        <v>45</v>
      </c>
      <c r="AF284" s="0" t="s">
        <v>76</v>
      </c>
      <c r="AG284" s="0" t="str">
        <f aca="false">PROPER(AF284)</f>
        <v>Orderd</v>
      </c>
      <c r="AH284" s="0" t="s">
        <v>155</v>
      </c>
      <c r="AI284" s="0" t="s">
        <v>98</v>
      </c>
      <c r="AJ284" s="0" t="str">
        <f aca="false">PROPER(AI284)</f>
        <v>Emergency</v>
      </c>
      <c r="AK284" s="0" t="s">
        <v>196</v>
      </c>
      <c r="AL284" s="0" t="str">
        <f aca="false">PROPER(AK284)</f>
        <v>First Time</v>
      </c>
      <c r="AM284" s="0" t="s">
        <v>2326</v>
      </c>
      <c r="AN284" s="0" t="str">
        <f aca="false">IF(ISBLANK(AM284),"Unknown",AM284)</f>
        <v>Government Convoy</v>
      </c>
      <c r="AO284" s="0" t="s">
        <v>161</v>
      </c>
      <c r="AP284" s="0" t="str">
        <f aca="false">IF(ISBLANK(AO284),"Unknown",AO284)</f>
        <v>Apprentice</v>
      </c>
      <c r="AQ284" s="0" t="n">
        <v>25000</v>
      </c>
      <c r="AR284" s="5" t="n">
        <f aca="false">IF(ISBLANK(AQ284),AVERAGEIF(M284:M1283,M284,AQ284:AQ1283),AQ284)</f>
        <v>25000</v>
      </c>
      <c r="AS284" s="0" t="n">
        <v>40000</v>
      </c>
      <c r="AT284" s="5" t="n">
        <f aca="false">IF(ISBLANK(AS284),AVERAGE(AS284:AS1283),AS284)</f>
        <v>40000</v>
      </c>
      <c r="AV284" s="0" t="str">
        <f aca="false">PROPER(IF(ISBLANK(AU284),"No",AU284))</f>
        <v>No</v>
      </c>
      <c r="AW284" s="0" t="n">
        <v>10000</v>
      </c>
      <c r="AX284" s="5" t="n">
        <f aca="false">IF(ISBLANK(AW284),0,AW284)</f>
        <v>10000</v>
      </c>
      <c r="AY284" s="0" t="s">
        <v>60</v>
      </c>
      <c r="AZ284" s="0" t="str">
        <f aca="false">UPPER(IF(ISBLANK(AY284),"NONE",AY284))</f>
        <v>NONE</v>
      </c>
      <c r="BA284" s="7" t="s">
        <v>816</v>
      </c>
      <c r="BB284" s="7" t="str">
        <f aca="false">IF(ISBLANK(BA284),"No Follow Up Needed",BA284)</f>
        <v>28/06/2025</v>
      </c>
      <c r="BD284" s="0" t="str">
        <f aca="false">PROPER(IF(ISBLANK(BC284),"Unknown",BC284))</f>
        <v>Unknown</v>
      </c>
      <c r="BF284" s="0" t="str">
        <f aca="false">IF(ISBLANK(BE284),"No comments",BE284)</f>
        <v>No comments</v>
      </c>
      <c r="BG284" s="0" t="s">
        <v>172</v>
      </c>
      <c r="BH284" s="0" t="str">
        <f aca="false">IF(ISBLANK(BG284),"No comments",BG284)</f>
        <v>Always late</v>
      </c>
      <c r="BJ284" s="0" t="str">
        <f aca="false">IF(ISBLANK(BI284),"Not Mentioned",BI284)</f>
        <v>Not Mentioned</v>
      </c>
      <c r="BK284" s="0" t="s">
        <v>61</v>
      </c>
      <c r="BL284" s="0" t="str">
        <f aca="false">PROPER(IF(ISBLANK(BK284),"Not Mentioned",BK284))</f>
        <v>No</v>
      </c>
      <c r="BN284" s="0" t="str">
        <f aca="false">PROPER(IF(ISBLANK(BM284),"Not Mentioned",BM284))</f>
        <v>Not Mentioned</v>
      </c>
      <c r="BP284" s="0" t="str">
        <f aca="false">IF(ISBLANK(BO284),"One-Time Plan",BO284)</f>
        <v>One-Time Plan</v>
      </c>
      <c r="BQ284" s="0" t="s">
        <v>50</v>
      </c>
      <c r="BR284" s="0" t="str">
        <f aca="false">PROPER(IF(ISBLANK(BQ284),"No",BQ284))</f>
        <v>No</v>
      </c>
    </row>
    <row r="285" customFormat="false" ht="15" hidden="false" customHeight="false" outlineLevel="0" collapsed="false">
      <c r="A285" s="0" t="s">
        <v>817</v>
      </c>
      <c r="B285" s="2" t="n">
        <v>45752</v>
      </c>
      <c r="C285" s="2" t="str">
        <f aca="false">TEXT(B285,"dd/mm/yyyy")</f>
        <v>05/04/2025</v>
      </c>
      <c r="D285" s="0" t="s">
        <v>121</v>
      </c>
      <c r="E285" s="0" t="n">
        <v>8079232906</v>
      </c>
      <c r="F285" s="0" t="s">
        <v>122</v>
      </c>
      <c r="G285" s="0" t="s">
        <v>2316</v>
      </c>
      <c r="H285" s="0" t="s">
        <v>818</v>
      </c>
      <c r="I285" s="0" t="s">
        <v>87</v>
      </c>
      <c r="J285" s="0" t="s">
        <v>2325</v>
      </c>
      <c r="K285" s="3" t="str">
        <f aca="false" t="array" ref="K285:K285">IFERROR(IF(J285&lt;&gt;"",J285,INDEX(J285:J1284,MATCH(1,(F285:F1284=F285)*(I285:I1284=I285)*(L285:L1284=L285)*(J285:J1284&lt;&gt;""),0))),"Not Found")</f>
        <v>Engine Knocking</v>
      </c>
      <c r="L285" s="3" t="s">
        <v>108</v>
      </c>
      <c r="M285" s="0" t="str">
        <f aca="false">PROPER(L285)</f>
        <v>Timing Belt</v>
      </c>
      <c r="N285" s="3" t="s">
        <v>109</v>
      </c>
      <c r="O285" s="0" t="str">
        <f aca="false" t="array" ref="O285:O285">IF(N285&lt;&gt;"",N285,_xlfn.xlookup(1,(L285:L1284=L285)*(N285:N1284&lt;&gt;""),N285:N1284,"Not Found"))</f>
        <v>Tijani</v>
      </c>
      <c r="P285" s="4" t="n">
        <v>37579</v>
      </c>
      <c r="Q285" s="0" t="s">
        <v>166</v>
      </c>
      <c r="R285" s="0" t="str">
        <f aca="false">PROPER(Q285)</f>
        <v>Transfer</v>
      </c>
      <c r="S285" s="0" t="s">
        <v>50</v>
      </c>
      <c r="T285" s="0" t="n">
        <v>1</v>
      </c>
      <c r="U285" s="5" t="n">
        <f aca="false">IF(ISBLANK(T285),AVERAGE(T285:T1284),T285)</f>
        <v>1</v>
      </c>
      <c r="V285" s="0" t="n">
        <v>3</v>
      </c>
      <c r="W285" s="0" t="s">
        <v>125</v>
      </c>
      <c r="X285" s="0" t="str">
        <f aca="false">IF(ISBLANK(W285),"No remarks",W285)</f>
        <v>Customer waited</v>
      </c>
      <c r="Y285" s="0" t="s">
        <v>52</v>
      </c>
      <c r="Z285" s="0" t="s">
        <v>94</v>
      </c>
      <c r="AA285" s="0" t="str">
        <f aca="false">PROPER(IF(ISBLANK(Z285),"Location Unavailable",Z285))</f>
        <v>Vip Section</v>
      </c>
      <c r="AB285" s="0" t="s">
        <v>126</v>
      </c>
      <c r="AC285" s="6" t="str">
        <f aca="false">PROPER(AB285)</f>
        <v>Whatsapp</v>
      </c>
      <c r="AE285" s="5" t="n">
        <f aca="false">IF(ISBLANK(AD285),AVERAGEIF(L285:L1284,L285,AD285:AD1284),AD285)</f>
        <v>37.5</v>
      </c>
      <c r="AF285" s="0" t="s">
        <v>112</v>
      </c>
      <c r="AG285" s="0" t="str">
        <f aca="false">PROPER(AF285)</f>
        <v>Unavailable</v>
      </c>
      <c r="AH285" s="0" t="s">
        <v>77</v>
      </c>
      <c r="AI285" s="0" t="s">
        <v>78</v>
      </c>
      <c r="AJ285" s="0" t="str">
        <f aca="false">PROPER(AI285)</f>
        <v>Booking</v>
      </c>
      <c r="AK285" s="0" t="s">
        <v>196</v>
      </c>
      <c r="AL285" s="0" t="str">
        <f aca="false">PROPER(AK285)</f>
        <v>First Time</v>
      </c>
      <c r="AM285" s="0" t="s">
        <v>177</v>
      </c>
      <c r="AN285" s="0" t="str">
        <f aca="false">IF(ISBLANK(AM285),"Unknown",AM285)</f>
        <v>Private</v>
      </c>
      <c r="AP285" s="0" t="str">
        <f aca="false">IF(ISBLANK(AO285),"Unknown",AO285)</f>
        <v>Unknown</v>
      </c>
      <c r="AR285" s="5" t="n">
        <f aca="false">IF(ISBLANK(AQ285),AVERAGEIF(M285:M1284,M285,AQ285:AQ1284),AQ285)</f>
        <v>27247.7064220184</v>
      </c>
      <c r="AT285" s="5" t="n">
        <f aca="false">IF(ISBLANK(AS285),AVERAGE(AS285:AS1284),AS285)</f>
        <v>31394.9579831933</v>
      </c>
      <c r="AU285" s="0" t="s">
        <v>82</v>
      </c>
      <c r="AV285" s="0" t="str">
        <f aca="false">PROPER(IF(ISBLANK(AU285),"No",AU285))</f>
        <v>Yes</v>
      </c>
      <c r="AW285" s="0" t="n">
        <v>5000</v>
      </c>
      <c r="AX285" s="5" t="n">
        <f aca="false">IF(ISBLANK(AW285),0,AW285)</f>
        <v>5000</v>
      </c>
      <c r="AY285" s="0" t="s">
        <v>80</v>
      </c>
      <c r="AZ285" s="0" t="str">
        <f aca="false">UPPER(IF(ISBLANK(AY285),"NONE",AY285))</f>
        <v>PROMO10</v>
      </c>
      <c r="BA285" s="7" t="s">
        <v>819</v>
      </c>
      <c r="BB285" s="7" t="str">
        <f aca="false">IF(ISBLANK(BA285),"No Follow Up Needed",BA285)</f>
        <v>30/12/2025</v>
      </c>
      <c r="BC285" s="0" t="s">
        <v>63</v>
      </c>
      <c r="BD285" s="0" t="str">
        <f aca="false">PROPER(IF(ISBLANK(BC285),"Unknown",BC285))</f>
        <v>Yes</v>
      </c>
      <c r="BF285" s="0" t="str">
        <f aca="false">IF(ISBLANK(BE285),"No comments",BE285)</f>
        <v>No comments</v>
      </c>
      <c r="BH285" s="0" t="str">
        <f aca="false">IF(ISBLANK(BG285),"No comments",BG285)</f>
        <v>No comments</v>
      </c>
      <c r="BI285" s="0" t="s">
        <v>63</v>
      </c>
      <c r="BJ285" s="0" t="str">
        <f aca="false">IF(ISBLANK(BI285),"Not Mentioned",BI285)</f>
        <v>Yes</v>
      </c>
      <c r="BK285" s="0" t="s">
        <v>82</v>
      </c>
      <c r="BL285" s="0" t="str">
        <f aca="false">PROPER(IF(ISBLANK(BK285),"Not Mentioned",BK285))</f>
        <v>Yes</v>
      </c>
      <c r="BM285" s="0" t="s">
        <v>63</v>
      </c>
      <c r="BN285" s="0" t="str">
        <f aca="false">PROPER(IF(ISBLANK(BM285),"Not Mentioned",BM285))</f>
        <v>Yes</v>
      </c>
      <c r="BO285" s="0" t="s">
        <v>64</v>
      </c>
      <c r="BP285" s="0" t="str">
        <f aca="false">IF(ISBLANK(BO285),"One-Time Plan",BO285)</f>
        <v>Gold Maintenance Plan</v>
      </c>
      <c r="BQ285" s="0" t="s">
        <v>190</v>
      </c>
      <c r="BR285" s="0" t="str">
        <f aca="false">PROPER(IF(ISBLANK(BQ285),"No",BQ285))</f>
        <v>Yes</v>
      </c>
    </row>
    <row r="286" customFormat="false" ht="15" hidden="false" customHeight="false" outlineLevel="0" collapsed="false">
      <c r="A286" s="0" t="s">
        <v>820</v>
      </c>
      <c r="B286" s="2" t="n">
        <v>45671</v>
      </c>
      <c r="C286" s="2" t="str">
        <f aca="false">TEXT(B286,"dd/mm/yyyy")</f>
        <v>14/01/2025</v>
      </c>
      <c r="D286" s="0" t="s">
        <v>105</v>
      </c>
      <c r="E286" s="0" t="n">
        <v>8088786294</v>
      </c>
      <c r="F286" s="0" t="s">
        <v>85</v>
      </c>
      <c r="G286" s="0" t="s">
        <v>2319</v>
      </c>
      <c r="H286" s="0" t="s">
        <v>821</v>
      </c>
      <c r="I286" s="0" t="s">
        <v>69</v>
      </c>
      <c r="J286" s="0" t="s">
        <v>2322</v>
      </c>
      <c r="K286" s="3" t="str">
        <f aca="false" t="array" ref="K286:K286">IFERROR(IF(J286&lt;&gt;"",J286,INDEX(J286:J1285,MATCH(1,(F286:F1285=F286)*(I286:I1285=I286)*(L286:L1285=L286)*(J286:J1285&lt;&gt;""),0))),"Not Found")</f>
        <v>Brake Failure</v>
      </c>
      <c r="L286" s="3" t="s">
        <v>89</v>
      </c>
      <c r="M286" s="0" t="str">
        <f aca="false">PROPER(L286)</f>
        <v>Shock Absorbers</v>
      </c>
      <c r="N286" s="3" t="s">
        <v>109</v>
      </c>
      <c r="O286" s="0" t="str">
        <f aca="false" t="array" ref="O286:O286">IF(N286&lt;&gt;"",N286,_xlfn.xlookup(1,(L286:L1285=L286)*(N286:N1285&lt;&gt;""),N286:N1285,"Not Found"))</f>
        <v>Tijani</v>
      </c>
      <c r="P286" s="4" t="n">
        <v>100016</v>
      </c>
      <c r="Q286" s="0" t="s">
        <v>91</v>
      </c>
      <c r="R286" s="0" t="str">
        <f aca="false">PROPER(Q286)</f>
        <v>Pos</v>
      </c>
      <c r="S286" s="0" t="s">
        <v>63</v>
      </c>
      <c r="T286" s="0" t="n">
        <v>2</v>
      </c>
      <c r="U286" s="5" t="n">
        <f aca="false">IF(ISBLANK(T286),AVERAGE(T286:T1285),T286)</f>
        <v>2</v>
      </c>
      <c r="V286" s="0" t="n">
        <v>3.9</v>
      </c>
      <c r="W286" s="0" t="s">
        <v>92</v>
      </c>
      <c r="X286" s="0" t="str">
        <f aca="false">IF(ISBLANK(W286),"No remarks",W286)</f>
        <v>Urgent service</v>
      </c>
      <c r="Y286" s="0" t="s">
        <v>52</v>
      </c>
      <c r="Z286" s="0" t="s">
        <v>159</v>
      </c>
      <c r="AA286" s="0" t="str">
        <f aca="false">PROPER(IF(ISBLANK(Z286),"Location Unavailable",Z286))</f>
        <v>Main Bay</v>
      </c>
      <c r="AB286" s="0" t="s">
        <v>75</v>
      </c>
      <c r="AC286" s="6" t="str">
        <f aca="false">PROPER(AB286)</f>
        <v>Mechanik Referal</v>
      </c>
      <c r="AD286" s="6" t="n">
        <v>60</v>
      </c>
      <c r="AE286" s="5" t="n">
        <f aca="false">IF(ISBLANK(AD286),AVERAGEIF(L286:L1285,L286,AD286:AD1285),AD286)</f>
        <v>60</v>
      </c>
      <c r="AF286" s="0" t="s">
        <v>160</v>
      </c>
      <c r="AG286" s="0" t="str">
        <f aca="false">PROPER(AF286)</f>
        <v>Availaible</v>
      </c>
      <c r="AH286" s="0" t="s">
        <v>56</v>
      </c>
      <c r="AI286" s="0" t="s">
        <v>98</v>
      </c>
      <c r="AJ286" s="0" t="str">
        <f aca="false">PROPER(AI286)</f>
        <v>Emergency</v>
      </c>
      <c r="AK286" s="0" t="s">
        <v>196</v>
      </c>
      <c r="AL286" s="0" t="str">
        <f aca="false">PROPER(AK286)</f>
        <v>First Time</v>
      </c>
      <c r="AM286" s="0" t="s">
        <v>177</v>
      </c>
      <c r="AN286" s="0" t="str">
        <f aca="false">IF(ISBLANK(AM286),"Unknown",AM286)</f>
        <v>Private</v>
      </c>
      <c r="AO286" s="0" t="s">
        <v>143</v>
      </c>
      <c r="AP286" s="0" t="str">
        <f aca="false">IF(ISBLANK(AO286),"Unknown",AO286)</f>
        <v>Senior</v>
      </c>
      <c r="AR286" s="5" t="n">
        <f aca="false">IF(ISBLANK(AQ286),AVERAGEIF(M286:M1285,M286,AQ286:AQ1285),AQ286)</f>
        <v>26157.8947368421</v>
      </c>
      <c r="AS286" s="0" t="n">
        <v>20000</v>
      </c>
      <c r="AT286" s="5" t="n">
        <f aca="false">IF(ISBLANK(AS286),AVERAGE(AS286:AS1285),AS286)</f>
        <v>20000</v>
      </c>
      <c r="AU286" s="0" t="s">
        <v>63</v>
      </c>
      <c r="AV286" s="0" t="str">
        <f aca="false">PROPER(IF(ISBLANK(AU286),"No",AU286))</f>
        <v>Yes</v>
      </c>
      <c r="AW286" s="0" t="n">
        <v>0</v>
      </c>
      <c r="AX286" s="5" t="n">
        <f aca="false">IF(ISBLANK(AW286),0,AW286)</f>
        <v>0</v>
      </c>
      <c r="AY286" s="0" t="s">
        <v>130</v>
      </c>
      <c r="AZ286" s="0" t="str">
        <f aca="false">UPPER(IF(ISBLANK(AY286),"NONE",AY286))</f>
        <v>LOYALTY10</v>
      </c>
      <c r="BA286" s="7" t="n">
        <v>45850</v>
      </c>
      <c r="BB286" s="7" t="n">
        <f aca="false">IF(ISBLANK(BA286),"No Follow Up Needed",BA286)</f>
        <v>45850</v>
      </c>
      <c r="BC286" s="0" t="s">
        <v>63</v>
      </c>
      <c r="BD286" s="0" t="str">
        <f aca="false">PROPER(IF(ISBLANK(BC286),"Unknown",BC286))</f>
        <v>Yes</v>
      </c>
      <c r="BE286" s="0" t="s">
        <v>171</v>
      </c>
      <c r="BF286" s="0" t="str">
        <f aca="false">IF(ISBLANK(BE286),"No comments",BE286)</f>
        <v>Shock absorber weakening</v>
      </c>
      <c r="BH286" s="0" t="str">
        <f aca="false">IF(ISBLANK(BG286),"No comments",BG286)</f>
        <v>No comments</v>
      </c>
      <c r="BI286" s="0" t="s">
        <v>50</v>
      </c>
      <c r="BJ286" s="0" t="str">
        <f aca="false">IF(ISBLANK(BI286),"Not Mentioned",BI286)</f>
        <v>No</v>
      </c>
      <c r="BK286" s="0" t="s">
        <v>50</v>
      </c>
      <c r="BL286" s="0" t="str">
        <f aca="false">PROPER(IF(ISBLANK(BK286),"Not Mentioned",BK286))</f>
        <v>No</v>
      </c>
      <c r="BM286" s="0" t="s">
        <v>63</v>
      </c>
      <c r="BN286" s="0" t="str">
        <f aca="false">PROPER(IF(ISBLANK(BM286),"Not Mentioned",BM286))</f>
        <v>Yes</v>
      </c>
      <c r="BP286" s="0" t="str">
        <f aca="false">IF(ISBLANK(BO286),"One-Time Plan",BO286)</f>
        <v>One-Time Plan</v>
      </c>
      <c r="BQ286" s="0" t="s">
        <v>63</v>
      </c>
      <c r="BR286" s="0" t="str">
        <f aca="false">PROPER(IF(ISBLANK(BQ286),"No",BQ286))</f>
        <v>Yes</v>
      </c>
    </row>
    <row r="287" customFormat="false" ht="15" hidden="false" customHeight="false" outlineLevel="0" collapsed="false">
      <c r="A287" s="0" t="s">
        <v>822</v>
      </c>
      <c r="B287" s="2" t="n">
        <v>45718</v>
      </c>
      <c r="C287" s="2" t="str">
        <f aca="false">TEXT(B287,"dd/mm/yyyy")</f>
        <v>02/03/2025</v>
      </c>
      <c r="D287" s="0" t="s">
        <v>42</v>
      </c>
      <c r="E287" s="0" t="n">
        <v>8084170763</v>
      </c>
      <c r="F287" s="0" t="s">
        <v>67</v>
      </c>
      <c r="G287" s="0" t="s">
        <v>2316</v>
      </c>
      <c r="H287" s="0" t="s">
        <v>823</v>
      </c>
      <c r="I287" s="0" t="s">
        <v>87</v>
      </c>
      <c r="J287" s="0" t="s">
        <v>87</v>
      </c>
      <c r="K287" s="3" t="str">
        <f aca="false" t="array" ref="K287:K287">IFERROR(IF(J287&lt;&gt;"",J287,INDEX(J287:J1286,MATCH(1,(F287:F1286=F287)*(I287:I1286=I287)*(L287:L1286=L287)*(J287:J1286&lt;&gt;""),0))),"Not Found")</f>
        <v>Oil Change</v>
      </c>
      <c r="L287" s="3" t="s">
        <v>142</v>
      </c>
      <c r="M287" s="0" t="str">
        <f aca="false">PROPER(L287)</f>
        <v>Oil Filter, Brake Pads</v>
      </c>
      <c r="N287" s="3" t="s">
        <v>48</v>
      </c>
      <c r="O287" s="0" t="str">
        <f aca="false" t="array" ref="O287:O287">IF(N287&lt;&gt;"",N287,_xlfn.xlookup(1,(L287:L1286=L287)*(N287:N1286&lt;&gt;""),N287:N1286,"Not Found"))</f>
        <v>Uche</v>
      </c>
      <c r="P287" s="4" t="n">
        <v>87789</v>
      </c>
      <c r="Q287" s="0" t="s">
        <v>110</v>
      </c>
      <c r="R287" s="0" t="str">
        <f aca="false">PROPER(Q287)</f>
        <v>Cash</v>
      </c>
      <c r="S287" s="0" t="s">
        <v>50</v>
      </c>
      <c r="T287" s="0" t="n">
        <v>2</v>
      </c>
      <c r="U287" s="5" t="n">
        <f aca="false">IF(ISBLANK(T287),AVERAGE(T287:T1286),T287)</f>
        <v>2</v>
      </c>
      <c r="V287" s="0" t="n">
        <v>3.9</v>
      </c>
      <c r="W287" s="0" t="s">
        <v>92</v>
      </c>
      <c r="X287" s="0" t="str">
        <f aca="false">IF(ISBLANK(W287),"No remarks",W287)</f>
        <v>Urgent service</v>
      </c>
      <c r="Y287" s="0" t="s">
        <v>73</v>
      </c>
      <c r="Z287" s="0" t="s">
        <v>74</v>
      </c>
      <c r="AA287" s="0" t="str">
        <f aca="false">PROPER(IF(ISBLANK(Z287),"Location Unavailable",Z287))</f>
        <v>Under Tree</v>
      </c>
      <c r="AB287" s="0" t="s">
        <v>54</v>
      </c>
      <c r="AC287" s="6" t="str">
        <f aca="false">PROPER(AB287)</f>
        <v>Mechanic Referral</v>
      </c>
      <c r="AD287" s="6" t="n">
        <v>45</v>
      </c>
      <c r="AE287" s="5" t="n">
        <f aca="false">IF(ISBLANK(AD287),AVERAGEIF(L287:L1286,L287,AD287:AD1286),AD287)</f>
        <v>45</v>
      </c>
      <c r="AF287" s="0" t="s">
        <v>55</v>
      </c>
      <c r="AG287" s="0" t="str">
        <f aca="false">PROPER(AF287)</f>
        <v>Available</v>
      </c>
      <c r="AH287" s="0" t="s">
        <v>155</v>
      </c>
      <c r="AI287" s="0" t="s">
        <v>78</v>
      </c>
      <c r="AJ287" s="0" t="str">
        <f aca="false">PROPER(AI287)</f>
        <v>Booking</v>
      </c>
      <c r="AK287" s="0" t="s">
        <v>114</v>
      </c>
      <c r="AL287" s="0" t="str">
        <f aca="false">PROPER(AK287)</f>
        <v>Returning</v>
      </c>
      <c r="AM287" s="0" t="s">
        <v>177</v>
      </c>
      <c r="AN287" s="0" t="str">
        <f aca="false">IF(ISBLANK(AM287),"Unknown",AM287)</f>
        <v>Private</v>
      </c>
      <c r="AO287" s="0" t="s">
        <v>149</v>
      </c>
      <c r="AP287" s="0" t="str">
        <f aca="false">IF(ISBLANK(AO287),"Unknown",AO287)</f>
        <v>Senior </v>
      </c>
      <c r="AQ287" s="0" t="n">
        <v>40000</v>
      </c>
      <c r="AR287" s="5" t="n">
        <f aca="false">IF(ISBLANK(AQ287),AVERAGEIF(M287:M1286,M287,AQ287:AQ1286),AQ287)</f>
        <v>40000</v>
      </c>
      <c r="AS287" s="0" t="n">
        <v>20000</v>
      </c>
      <c r="AT287" s="5" t="n">
        <f aca="false">IF(ISBLANK(AS287),AVERAGE(AS287:AS1286),AS287)</f>
        <v>20000</v>
      </c>
      <c r="AU287" s="0" t="s">
        <v>63</v>
      </c>
      <c r="AV287" s="0" t="str">
        <f aca="false">PROPER(IF(ISBLANK(AU287),"No",AU287))</f>
        <v>Yes</v>
      </c>
      <c r="AW287" s="0" t="n">
        <v>5000</v>
      </c>
      <c r="AX287" s="5" t="n">
        <f aca="false">IF(ISBLANK(AW287),0,AW287)</f>
        <v>5000</v>
      </c>
      <c r="AY287" s="0" t="s">
        <v>60</v>
      </c>
      <c r="AZ287" s="0" t="str">
        <f aca="false">UPPER(IF(ISBLANK(AY287),"NONE",AY287))</f>
        <v>NONE</v>
      </c>
      <c r="BA287" s="7" t="n">
        <v>45909</v>
      </c>
      <c r="BB287" s="7" t="n">
        <f aca="false">IF(ISBLANK(BA287),"No Follow Up Needed",BA287)</f>
        <v>45909</v>
      </c>
      <c r="BC287" s="0" t="s">
        <v>61</v>
      </c>
      <c r="BD287" s="0" t="str">
        <f aca="false">PROPER(IF(ISBLANK(BC287),"Unknown",BC287))</f>
        <v>No</v>
      </c>
      <c r="BE287" s="0" t="s">
        <v>171</v>
      </c>
      <c r="BF287" s="0" t="str">
        <f aca="false">IF(ISBLANK(BE287),"No comments",BE287)</f>
        <v>Shock absorber weakening</v>
      </c>
      <c r="BG287" s="0" t="s">
        <v>2320</v>
      </c>
      <c r="BH287" s="0" t="str">
        <f aca="false">IF(ISBLANK(BG287),"No comments",BG287)</f>
        <v>No complaints</v>
      </c>
      <c r="BI287" s="0" t="s">
        <v>63</v>
      </c>
      <c r="BJ287" s="0" t="str">
        <f aca="false">IF(ISBLANK(BI287),"Not Mentioned",BI287)</f>
        <v>Yes</v>
      </c>
      <c r="BK287" s="0" t="s">
        <v>61</v>
      </c>
      <c r="BL287" s="0" t="str">
        <f aca="false">PROPER(IF(ISBLANK(BK287),"Not Mentioned",BK287))</f>
        <v>No</v>
      </c>
      <c r="BM287" s="0" t="s">
        <v>63</v>
      </c>
      <c r="BN287" s="0" t="str">
        <f aca="false">PROPER(IF(ISBLANK(BM287),"Not Mentioned",BM287))</f>
        <v>Yes</v>
      </c>
      <c r="BO287" s="0" t="s">
        <v>64</v>
      </c>
      <c r="BP287" s="0" t="str">
        <f aca="false">IF(ISBLANK(BO287),"One-Time Plan",BO287)</f>
        <v>Gold Maintenance Plan</v>
      </c>
      <c r="BQ287" s="0" t="s">
        <v>50</v>
      </c>
      <c r="BR287" s="0" t="str">
        <f aca="false">PROPER(IF(ISBLANK(BQ287),"No",BQ287))</f>
        <v>No</v>
      </c>
    </row>
    <row r="288" customFormat="false" ht="15" hidden="false" customHeight="false" outlineLevel="0" collapsed="false">
      <c r="A288" s="0" t="s">
        <v>824</v>
      </c>
      <c r="B288" s="2" t="n">
        <v>45769</v>
      </c>
      <c r="C288" s="2" t="str">
        <f aca="false">TEXT(B288,"dd/mm/yyyy")</f>
        <v>22/04/2025</v>
      </c>
      <c r="D288" s="0" t="s">
        <v>163</v>
      </c>
      <c r="E288" s="0" t="n">
        <v>8072912993</v>
      </c>
      <c r="F288" s="0" t="s">
        <v>122</v>
      </c>
      <c r="G288" s="0" t="s">
        <v>2316</v>
      </c>
      <c r="H288" s="0" t="s">
        <v>825</v>
      </c>
      <c r="I288" s="0" t="s">
        <v>107</v>
      </c>
      <c r="J288" s="0" t="s">
        <v>87</v>
      </c>
      <c r="K288" s="3" t="str">
        <f aca="false" t="array" ref="K288:K288">IFERROR(IF(J288&lt;&gt;"",J288,INDEX(J288:J1287,MATCH(1,(F288:F1287=F288)*(I288:I1287=I288)*(L288:L1287=L288)*(J288:J1287&lt;&gt;""),0))),"Not Found")</f>
        <v>Oil Change</v>
      </c>
      <c r="L288" s="3" t="s">
        <v>108</v>
      </c>
      <c r="M288" s="0" t="str">
        <f aca="false">PROPER(L288)</f>
        <v>Timing Belt</v>
      </c>
      <c r="O288" s="0" t="e">
        <f aca="false" t="array" ref="O288:O288">IF(N288&lt;&gt;"",N288,_xlfn.xlookup(1,(L288:L1287=L288)*(N288:N1287&lt;&gt;""),N288:N1287,"Not Found"))</f>
        <v>#NAME?</v>
      </c>
      <c r="P288" s="4" t="n">
        <v>75518</v>
      </c>
      <c r="Q288" s="0" t="s">
        <v>110</v>
      </c>
      <c r="R288" s="0" t="str">
        <f aca="false">PROPER(Q288)</f>
        <v>Cash</v>
      </c>
      <c r="S288" s="0" t="s">
        <v>63</v>
      </c>
      <c r="T288" s="0" t="n">
        <v>3</v>
      </c>
      <c r="U288" s="5" t="n">
        <f aca="false">IF(ISBLANK(T288),AVERAGE(T288:T1287),T288)</f>
        <v>3</v>
      </c>
      <c r="V288" s="0" t="n">
        <v>5.4</v>
      </c>
      <c r="W288" s="0" t="s">
        <v>111</v>
      </c>
      <c r="X288" s="0" t="str">
        <f aca="false">IF(ISBLANK(W288),"No remarks",W288)</f>
        <v>Changed all filters</v>
      </c>
      <c r="Y288" s="0" t="s">
        <v>73</v>
      </c>
      <c r="Z288" s="0" t="s">
        <v>94</v>
      </c>
      <c r="AA288" s="0" t="str">
        <f aca="false">PROPER(IF(ISBLANK(Z288),"Location Unavailable",Z288))</f>
        <v>Vip Section</v>
      </c>
      <c r="AB288" s="0" t="s">
        <v>126</v>
      </c>
      <c r="AC288" s="6" t="str">
        <f aca="false">PROPER(AB288)</f>
        <v>Whatsapp</v>
      </c>
      <c r="AD288" s="6" t="n">
        <v>60</v>
      </c>
      <c r="AE288" s="5" t="n">
        <f aca="false">IF(ISBLANK(AD288),AVERAGEIF(L288:L1287,L288,AD288:AD1287),AD288)</f>
        <v>60</v>
      </c>
      <c r="AF288" s="0" t="s">
        <v>112</v>
      </c>
      <c r="AG288" s="0" t="str">
        <f aca="false">PROPER(AF288)</f>
        <v>Unavailable</v>
      </c>
      <c r="AH288" s="0" t="s">
        <v>155</v>
      </c>
      <c r="AI288" s="0" t="s">
        <v>98</v>
      </c>
      <c r="AJ288" s="0" t="str">
        <f aca="false">PROPER(AI288)</f>
        <v>Emergency</v>
      </c>
      <c r="AK288" s="0" t="s">
        <v>196</v>
      </c>
      <c r="AL288" s="0" t="str">
        <f aca="false">PROPER(AK288)</f>
        <v>First Time</v>
      </c>
      <c r="AM288" s="0" t="s">
        <v>59</v>
      </c>
      <c r="AN288" s="0" t="str">
        <f aca="false">IF(ISBLANK(AM288),"Unknown",AM288)</f>
        <v>Bolt Driver</v>
      </c>
      <c r="AP288" s="0" t="str">
        <f aca="false">IF(ISBLANK(AO288),"Unknown",AO288)</f>
        <v>Unknown</v>
      </c>
      <c r="AQ288" s="0" t="n">
        <v>20000</v>
      </c>
      <c r="AR288" s="5" t="n">
        <f aca="false">IF(ISBLANK(AQ288),AVERAGEIF(M288:M1287,M288,AQ288:AQ1287),AQ288)</f>
        <v>20000</v>
      </c>
      <c r="AS288" s="0" t="n">
        <v>30000</v>
      </c>
      <c r="AT288" s="5" t="n">
        <f aca="false">IF(ISBLANK(AS288),AVERAGE(AS288:AS1287),AS288)</f>
        <v>30000</v>
      </c>
      <c r="AU288" s="0" t="s">
        <v>61</v>
      </c>
      <c r="AV288" s="0" t="str">
        <f aca="false">PROPER(IF(ISBLANK(AU288),"No",AU288))</f>
        <v>No</v>
      </c>
      <c r="AW288" s="0" t="n">
        <v>0</v>
      </c>
      <c r="AX288" s="5" t="n">
        <f aca="false">IF(ISBLANK(AW288),0,AW288)</f>
        <v>0</v>
      </c>
      <c r="AZ288" s="0" t="str">
        <f aca="false">UPPER(IF(ISBLANK(AY288),"NONE",AY288))</f>
        <v>NONE</v>
      </c>
      <c r="BB288" s="7" t="str">
        <f aca="false">IF(ISBLANK(BA288),"No Follow Up Needed",BA288)</f>
        <v>No Follow Up Needed</v>
      </c>
      <c r="BC288" s="0" t="s">
        <v>50</v>
      </c>
      <c r="BD288" s="0" t="str">
        <f aca="false">PROPER(IF(ISBLANK(BC288),"Unknown",BC288))</f>
        <v>No</v>
      </c>
      <c r="BE288" s="0" t="s">
        <v>116</v>
      </c>
      <c r="BF288" s="0" t="str">
        <f aca="false">IF(ISBLANK(BE288),"No comments",BE288)</f>
        <v>Needs tire alignment</v>
      </c>
      <c r="BG288" s="0" t="s">
        <v>117</v>
      </c>
      <c r="BH288" s="0" t="str">
        <f aca="false">IF(ISBLANK(BG288),"No comments",BG288)</f>
        <v>Prefers morning</v>
      </c>
      <c r="BI288" s="0" t="s">
        <v>50</v>
      </c>
      <c r="BJ288" s="0" t="str">
        <f aca="false">IF(ISBLANK(BI288),"Not Mentioned",BI288)</f>
        <v>No</v>
      </c>
      <c r="BK288" s="0" t="s">
        <v>50</v>
      </c>
      <c r="BL288" s="0" t="str">
        <f aca="false">PROPER(IF(ISBLANK(BK288),"Not Mentioned",BK288))</f>
        <v>No</v>
      </c>
      <c r="BN288" s="0" t="str">
        <f aca="false">PROPER(IF(ISBLANK(BM288),"Not Mentioned",BM288))</f>
        <v>Not Mentioned</v>
      </c>
      <c r="BP288" s="0" t="str">
        <f aca="false">IF(ISBLANK(BO288),"One-Time Plan",BO288)</f>
        <v>One-Time Plan</v>
      </c>
      <c r="BQ288" s="0" t="s">
        <v>50</v>
      </c>
      <c r="BR288" s="0" t="str">
        <f aca="false">PROPER(IF(ISBLANK(BQ288),"No",BQ288))</f>
        <v>No</v>
      </c>
    </row>
    <row r="289" customFormat="false" ht="15" hidden="false" customHeight="false" outlineLevel="0" collapsed="false">
      <c r="A289" s="0" t="s">
        <v>826</v>
      </c>
      <c r="B289" s="2" t="s">
        <v>553</v>
      </c>
      <c r="C289" s="2" t="str">
        <f aca="false">TEXT(B289,"dd/mm/yyyy")</f>
        <v>30/05/2025</v>
      </c>
      <c r="D289" s="0" t="s">
        <v>42</v>
      </c>
      <c r="E289" s="0" t="n">
        <v>8071928212</v>
      </c>
      <c r="F289" s="0" t="s">
        <v>43</v>
      </c>
      <c r="G289" s="0" t="s">
        <v>2315</v>
      </c>
      <c r="H289" s="0" t="s">
        <v>827</v>
      </c>
      <c r="I289" s="0" t="s">
        <v>134</v>
      </c>
      <c r="J289" s="0" t="s">
        <v>2322</v>
      </c>
      <c r="K289" s="3" t="str">
        <f aca="false" t="array" ref="K289:K289">IFERROR(IF(J289&lt;&gt;"",J289,INDEX(J289:J1288,MATCH(1,(F289:F1288=F289)*(I289:I1288=I289)*(L289:L1288=L289)*(J289:J1288&lt;&gt;""),0))),"Not Found")</f>
        <v>Brake Failure</v>
      </c>
      <c r="L289" s="3" t="s">
        <v>154</v>
      </c>
      <c r="M289" s="0" t="str">
        <f aca="false">PROPER(L289)</f>
        <v>Air Filter</v>
      </c>
      <c r="N289" s="3" t="s">
        <v>109</v>
      </c>
      <c r="O289" s="0" t="str">
        <f aca="false" t="array" ref="O289:O289">IF(N289&lt;&gt;"",N289,_xlfn.xlookup(1,(L289:L1288=L289)*(N289:N1288&lt;&gt;""),N289:N1288,"Not Found"))</f>
        <v>Tijani</v>
      </c>
      <c r="P289" s="4" t="n">
        <v>22180</v>
      </c>
      <c r="Q289" s="0" t="s">
        <v>124</v>
      </c>
      <c r="R289" s="0" t="str">
        <f aca="false">PROPER(Q289)</f>
        <v>Cash</v>
      </c>
      <c r="S289" s="0" t="s">
        <v>63</v>
      </c>
      <c r="T289" s="0" t="n">
        <v>4</v>
      </c>
      <c r="U289" s="5" t="n">
        <f aca="false">IF(ISBLANK(T289),AVERAGE(T289:T1288),T289)</f>
        <v>4</v>
      </c>
      <c r="V289" s="0" t="n">
        <v>4.1</v>
      </c>
      <c r="X289" s="0" t="str">
        <f aca="false">IF(ISBLANK(W289),"No remarks",W289)</f>
        <v>No remarks</v>
      </c>
      <c r="Y289" s="0" t="s">
        <v>93</v>
      </c>
      <c r="Z289" s="0" t="s">
        <v>53</v>
      </c>
      <c r="AA289" s="0" t="str">
        <f aca="false">PROPER(IF(ISBLANK(Z289),"Location Unavailable",Z289))</f>
        <v>Main Bay</v>
      </c>
      <c r="AB289" s="0" t="s">
        <v>75</v>
      </c>
      <c r="AC289" s="6" t="str">
        <f aca="false">PROPER(AB289)</f>
        <v>Mechanik Referal</v>
      </c>
      <c r="AD289" s="6" t="n">
        <v>45</v>
      </c>
      <c r="AE289" s="5" t="n">
        <f aca="false">IF(ISBLANK(AD289),AVERAGEIF(L289:L1288,L289,AD289:AD1288),AD289)</f>
        <v>45</v>
      </c>
      <c r="AF289" s="0" t="s">
        <v>96</v>
      </c>
      <c r="AG289" s="0" t="str">
        <f aca="false">PROPER(AF289)</f>
        <v>Ordered</v>
      </c>
      <c r="AH289" s="0" t="s">
        <v>155</v>
      </c>
      <c r="AI289" s="0" t="s">
        <v>98</v>
      </c>
      <c r="AJ289" s="0" t="str">
        <f aca="false">PROPER(AI289)</f>
        <v>Emergency</v>
      </c>
      <c r="AK289" s="0" t="s">
        <v>58</v>
      </c>
      <c r="AL289" s="0" t="str">
        <f aca="false">PROPER(AK289)</f>
        <v>Fleet Owner</v>
      </c>
      <c r="AM289" s="0" t="s">
        <v>59</v>
      </c>
      <c r="AN289" s="0" t="str">
        <f aca="false">IF(ISBLANK(AM289),"Unknown",AM289)</f>
        <v>Bolt Driver</v>
      </c>
      <c r="AO289" s="0" t="s">
        <v>149</v>
      </c>
      <c r="AP289" s="0" t="str">
        <f aca="false">IF(ISBLANK(AO289),"Unknown",AO289)</f>
        <v>Senior </v>
      </c>
      <c r="AQ289" s="0" t="n">
        <v>20000</v>
      </c>
      <c r="AR289" s="5" t="n">
        <f aca="false">IF(ISBLANK(AQ289),AVERAGEIF(M289:M1288,M289,AQ289:AQ1288),AQ289)</f>
        <v>20000</v>
      </c>
      <c r="AS289" s="0" t="n">
        <v>30000</v>
      </c>
      <c r="AT289" s="5" t="n">
        <f aca="false">IF(ISBLANK(AS289),AVERAGE(AS289:AS1288),AS289)</f>
        <v>30000</v>
      </c>
      <c r="AU289" s="0" t="s">
        <v>82</v>
      </c>
      <c r="AV289" s="0" t="str">
        <f aca="false">PROPER(IF(ISBLANK(AU289),"No",AU289))</f>
        <v>Yes</v>
      </c>
      <c r="AW289" s="0" t="n">
        <v>0</v>
      </c>
      <c r="AX289" s="5" t="n">
        <f aca="false">IF(ISBLANK(AW289),0,AW289)</f>
        <v>0</v>
      </c>
      <c r="AY289" s="0" t="s">
        <v>130</v>
      </c>
      <c r="AZ289" s="0" t="str">
        <f aca="false">UPPER(IF(ISBLANK(AY289),"NONE",AY289))</f>
        <v>LOYALTY10</v>
      </c>
      <c r="BA289" s="7" t="n">
        <v>45844</v>
      </c>
      <c r="BB289" s="7" t="n">
        <f aca="false">IF(ISBLANK(BA289),"No Follow Up Needed",BA289)</f>
        <v>45844</v>
      </c>
      <c r="BC289" s="0" t="s">
        <v>50</v>
      </c>
      <c r="BD289" s="0" t="str">
        <f aca="false">PROPER(IF(ISBLANK(BC289),"Unknown",BC289))</f>
        <v>No</v>
      </c>
      <c r="BF289" s="0" t="str">
        <f aca="false">IF(ISBLANK(BE289),"No comments",BE289)</f>
        <v>No comments</v>
      </c>
      <c r="BH289" s="0" t="str">
        <f aca="false">IF(ISBLANK(BG289),"No comments",BG289)</f>
        <v>No comments</v>
      </c>
      <c r="BI289" s="0" t="s">
        <v>50</v>
      </c>
      <c r="BJ289" s="0" t="str">
        <f aca="false">IF(ISBLANK(BI289),"Not Mentioned",BI289)</f>
        <v>No</v>
      </c>
      <c r="BK289" s="0" t="s">
        <v>63</v>
      </c>
      <c r="BL289" s="0" t="str">
        <f aca="false">PROPER(IF(ISBLANK(BK289),"Not Mentioned",BK289))</f>
        <v>Yes</v>
      </c>
      <c r="BM289" s="0" t="s">
        <v>50</v>
      </c>
      <c r="BN289" s="0" t="str">
        <f aca="false">PROPER(IF(ISBLANK(BM289),"Not Mentioned",BM289))</f>
        <v>No</v>
      </c>
      <c r="BO289" s="0" t="s">
        <v>2321</v>
      </c>
      <c r="BP289" s="0" t="str">
        <f aca="false">IF(ISBLANK(BO289),"One-Time Plan",BO289)</f>
        <v>One-Time Plan</v>
      </c>
      <c r="BQ289" s="0" t="s">
        <v>50</v>
      </c>
      <c r="BR289" s="0" t="str">
        <f aca="false">PROPER(IF(ISBLANK(BQ289),"No",BQ289))</f>
        <v>No</v>
      </c>
    </row>
    <row r="290" customFormat="false" ht="15" hidden="false" customHeight="false" outlineLevel="0" collapsed="false">
      <c r="A290" s="0" t="s">
        <v>828</v>
      </c>
      <c r="B290" s="2" t="n">
        <v>45668</v>
      </c>
      <c r="C290" s="2" t="str">
        <f aca="false">TEXT(B290,"dd/mm/yyyy")</f>
        <v>11/01/2025</v>
      </c>
      <c r="D290" s="0" t="s">
        <v>121</v>
      </c>
      <c r="E290" s="0" t="n">
        <v>8055722553</v>
      </c>
      <c r="F290" s="0" t="s">
        <v>122</v>
      </c>
      <c r="G290" s="0" t="s">
        <v>2316</v>
      </c>
      <c r="H290" s="0" t="s">
        <v>829</v>
      </c>
      <c r="I290" s="0" t="s">
        <v>107</v>
      </c>
      <c r="J290" s="0" t="s">
        <v>2317</v>
      </c>
      <c r="K290" s="3" t="str">
        <f aca="false" t="array" ref="K290:K290">IFERROR(IF(J290&lt;&gt;"",J290,INDEX(J290:J1289,MATCH(1,(F290:F1289=F290)*(I290:I1289=I290)*(L290:L1289=L290)*(J290:J1289&lt;&gt;""),0))),"Not Found")</f>
        <v>Suspension Noise</v>
      </c>
      <c r="L290" s="3" t="s">
        <v>154</v>
      </c>
      <c r="M290" s="0" t="str">
        <f aca="false">PROPER(L290)</f>
        <v>Air Filter</v>
      </c>
      <c r="O290" s="0" t="e">
        <f aca="false" t="array" ref="O290:O290">IF(N290&lt;&gt;"",N290,_xlfn.xlookup(1,(L290:L1289=L290)*(N290:N1289&lt;&gt;""),N290:N1289,"Not Found"))</f>
        <v>#NAME?</v>
      </c>
      <c r="P290" s="4" t="n">
        <v>89783</v>
      </c>
      <c r="Q290" s="0" t="s">
        <v>166</v>
      </c>
      <c r="R290" s="0" t="str">
        <f aca="false">PROPER(Q290)</f>
        <v>Transfer</v>
      </c>
      <c r="S290" s="0" t="s">
        <v>63</v>
      </c>
      <c r="T290" s="0" t="n">
        <v>4</v>
      </c>
      <c r="U290" s="5" t="n">
        <f aca="false">IF(ISBLANK(T290),AVERAGE(T290:T1289),T290)</f>
        <v>4</v>
      </c>
      <c r="V290" s="0" t="n">
        <v>3.2</v>
      </c>
      <c r="W290" s="0" t="s">
        <v>51</v>
      </c>
      <c r="X290" s="0" t="str">
        <f aca="false">IF(ISBLANK(W290),"No remarks",W290)</f>
        <v>Recommended further checks</v>
      </c>
      <c r="Y290" s="0" t="s">
        <v>73</v>
      </c>
      <c r="Z290" s="0" t="s">
        <v>74</v>
      </c>
      <c r="AA290" s="0" t="str">
        <f aca="false">PROPER(IF(ISBLANK(Z290),"Location Unavailable",Z290))</f>
        <v>Under Tree</v>
      </c>
      <c r="AB290" s="0" t="s">
        <v>167</v>
      </c>
      <c r="AC290" s="6" t="str">
        <f aca="false">PROPER(AB290)</f>
        <v>Word Of Mouth</v>
      </c>
      <c r="AE290" s="5" t="n">
        <f aca="false">IF(ISBLANK(AD290),AVERAGEIF(L290:L1289,L290,AD290:AD1289),AD290)</f>
        <v>37.5</v>
      </c>
      <c r="AF290" s="0" t="s">
        <v>160</v>
      </c>
      <c r="AG290" s="0" t="str">
        <f aca="false">PROPER(AF290)</f>
        <v>Availaible</v>
      </c>
      <c r="AH290" s="0" t="s">
        <v>77</v>
      </c>
      <c r="AI290" s="0" t="s">
        <v>113</v>
      </c>
      <c r="AJ290" s="0" t="str">
        <f aca="false">PROPER(AI290)</f>
        <v>Normal</v>
      </c>
      <c r="AK290" s="0" t="s">
        <v>99</v>
      </c>
      <c r="AL290" s="0" t="str">
        <f aca="false">PROPER(AK290)</f>
        <v>Uber Driver</v>
      </c>
      <c r="AM290" s="0" t="s">
        <v>177</v>
      </c>
      <c r="AN290" s="0" t="str">
        <f aca="false">IF(ISBLANK(AM290),"Unknown",AM290)</f>
        <v>Private</v>
      </c>
      <c r="AP290" s="0" t="str">
        <f aca="false">IF(ISBLANK(AO290),"Unknown",AO290)</f>
        <v>Unknown</v>
      </c>
      <c r="AQ290" s="0" t="n">
        <v>20000</v>
      </c>
      <c r="AR290" s="5" t="n">
        <f aca="false">IF(ISBLANK(AQ290),AVERAGEIF(M290:M1289,M290,AQ290:AQ1289),AQ290)</f>
        <v>20000</v>
      </c>
      <c r="AS290" s="0" t="n">
        <v>40000</v>
      </c>
      <c r="AT290" s="5" t="n">
        <f aca="false">IF(ISBLANK(AS290),AVERAGE(AS290:AS1289),AS290)</f>
        <v>40000</v>
      </c>
      <c r="AU290" s="0" t="s">
        <v>63</v>
      </c>
      <c r="AV290" s="0" t="str">
        <f aca="false">PROPER(IF(ISBLANK(AU290),"No",AU290))</f>
        <v>Yes</v>
      </c>
      <c r="AX290" s="5" t="n">
        <f aca="false">IF(ISBLANK(AW290),0,AW290)</f>
        <v>0</v>
      </c>
      <c r="AY290" s="0" t="s">
        <v>60</v>
      </c>
      <c r="AZ290" s="0" t="str">
        <f aca="false">UPPER(IF(ISBLANK(AY290),"NONE",AY290))</f>
        <v>NONE</v>
      </c>
      <c r="BA290" s="7" t="n">
        <v>45823</v>
      </c>
      <c r="BB290" s="7" t="n">
        <f aca="false">IF(ISBLANK(BA290),"No Follow Up Needed",BA290)</f>
        <v>45823</v>
      </c>
      <c r="BC290" s="0" t="s">
        <v>82</v>
      </c>
      <c r="BD290" s="0" t="str">
        <f aca="false">PROPER(IF(ISBLANK(BC290),"Unknown",BC290))</f>
        <v>Yes</v>
      </c>
      <c r="BF290" s="0" t="str">
        <f aca="false">IF(ISBLANK(BE290),"No comments",BE290)</f>
        <v>No comments</v>
      </c>
      <c r="BG290" s="0" t="s">
        <v>117</v>
      </c>
      <c r="BH290" s="0" t="str">
        <f aca="false">IF(ISBLANK(BG290),"No comments",BG290)</f>
        <v>Prefers morning</v>
      </c>
      <c r="BI290" s="0" t="s">
        <v>50</v>
      </c>
      <c r="BJ290" s="0" t="str">
        <f aca="false">IF(ISBLANK(BI290),"Not Mentioned",BI290)</f>
        <v>No</v>
      </c>
      <c r="BK290" s="0" t="s">
        <v>50</v>
      </c>
      <c r="BL290" s="0" t="str">
        <f aca="false">PROPER(IF(ISBLANK(BK290),"Not Mentioned",BK290))</f>
        <v>No</v>
      </c>
      <c r="BM290" s="0" t="s">
        <v>50</v>
      </c>
      <c r="BN290" s="0" t="str">
        <f aca="false">PROPER(IF(ISBLANK(BM290),"Not Mentioned",BM290))</f>
        <v>No</v>
      </c>
      <c r="BO290" s="0" t="s">
        <v>2321</v>
      </c>
      <c r="BP290" s="0" t="str">
        <f aca="false">IF(ISBLANK(BO290),"One-Time Plan",BO290)</f>
        <v>One-Time Plan</v>
      </c>
      <c r="BQ290" s="0" t="s">
        <v>198</v>
      </c>
      <c r="BR290" s="0" t="str">
        <f aca="false">PROPER(IF(ISBLANK(BQ290),"No",BQ290))</f>
        <v>Followed Up</v>
      </c>
    </row>
    <row r="291" customFormat="false" ht="15" hidden="false" customHeight="false" outlineLevel="0" collapsed="false">
      <c r="A291" s="0" t="s">
        <v>830</v>
      </c>
      <c r="B291" s="2" t="n">
        <v>45694</v>
      </c>
      <c r="C291" s="2" t="str">
        <f aca="false">TEXT(B291,"dd/mm/yyyy")</f>
        <v>06/02/2025</v>
      </c>
      <c r="D291" s="0" t="s">
        <v>163</v>
      </c>
      <c r="E291" s="0" t="n">
        <v>8021526062</v>
      </c>
      <c r="F291" s="0" t="s">
        <v>85</v>
      </c>
      <c r="G291" s="0" t="s">
        <v>2319</v>
      </c>
      <c r="H291" s="0" t="s">
        <v>831</v>
      </c>
      <c r="I291" s="0" t="s">
        <v>69</v>
      </c>
      <c r="J291" s="0" t="s">
        <v>2322</v>
      </c>
      <c r="K291" s="3" t="str">
        <f aca="false" t="array" ref="K291:K291">IFERROR(IF(J291&lt;&gt;"",J291,INDEX(J291:J1290,MATCH(1,(F291:F1290=F291)*(I291:I1290=I291)*(L291:L1290=L291)*(J291:J1290&lt;&gt;""),0))),"Not Found")</f>
        <v>Brake Failure</v>
      </c>
      <c r="L291" s="3" t="s">
        <v>108</v>
      </c>
      <c r="M291" s="0" t="str">
        <f aca="false">PROPER(L291)</f>
        <v>Timing Belt</v>
      </c>
      <c r="O291" s="0" t="e">
        <f aca="false" t="array" ref="O291:O291">IF(N291&lt;&gt;"",N291,_xlfn.xlookup(1,(L291:L1290=L291)*(N291:N1290&lt;&gt;""),N291:N1290,"Not Found"))</f>
        <v>#NAME?</v>
      </c>
      <c r="P291" s="4" t="n">
        <v>25095</v>
      </c>
      <c r="Q291" s="0" t="s">
        <v>91</v>
      </c>
      <c r="R291" s="0" t="str">
        <f aca="false">PROPER(Q291)</f>
        <v>Pos</v>
      </c>
      <c r="S291" s="0" t="s">
        <v>50</v>
      </c>
      <c r="T291" s="0" t="n">
        <v>4</v>
      </c>
      <c r="U291" s="5" t="n">
        <f aca="false">IF(ISBLANK(T291),AVERAGE(T291:T1290),T291)</f>
        <v>4</v>
      </c>
      <c r="V291" s="0" t="n">
        <v>5.9</v>
      </c>
      <c r="W291" s="0" t="s">
        <v>92</v>
      </c>
      <c r="X291" s="0" t="str">
        <f aca="false">IF(ISBLANK(W291),"No remarks",W291)</f>
        <v>Urgent service</v>
      </c>
      <c r="Y291" s="0" t="s">
        <v>93</v>
      </c>
      <c r="AA291" s="0" t="str">
        <f aca="false">PROPER(IF(ISBLANK(Z291),"Location Unavailable",Z291))</f>
        <v>Location Unavailable</v>
      </c>
      <c r="AB291" s="0" t="s">
        <v>95</v>
      </c>
      <c r="AC291" s="6" t="str">
        <f aca="false">PROPER(AB291)</f>
        <v>Road Sign</v>
      </c>
      <c r="AD291" s="6" t="n">
        <v>30</v>
      </c>
      <c r="AE291" s="5" t="n">
        <f aca="false">IF(ISBLANK(AD291),AVERAGEIF(L291:L1290,L291,AD291:AD1290),AD291)</f>
        <v>30</v>
      </c>
      <c r="AF291" s="0" t="s">
        <v>96</v>
      </c>
      <c r="AG291" s="0" t="str">
        <f aca="false">PROPER(AF291)</f>
        <v>Ordered</v>
      </c>
      <c r="AH291" s="0" t="s">
        <v>148</v>
      </c>
      <c r="AI291" s="0" t="s">
        <v>113</v>
      </c>
      <c r="AJ291" s="0" t="str">
        <f aca="false">PROPER(AI291)</f>
        <v>Normal</v>
      </c>
      <c r="AK291" s="0" t="s">
        <v>99</v>
      </c>
      <c r="AL291" s="0" t="str">
        <f aca="false">PROPER(AK291)</f>
        <v>Uber Driver</v>
      </c>
      <c r="AN291" s="0" t="str">
        <f aca="false">IF(ISBLANK(AM291),"Unknown",AM291)</f>
        <v>Unknown</v>
      </c>
      <c r="AO291" s="0" t="s">
        <v>79</v>
      </c>
      <c r="AP291" s="0" t="str">
        <f aca="false">IF(ISBLANK(AO291),"Unknown",AO291)</f>
        <v>Specialist</v>
      </c>
      <c r="AQ291" s="0" t="n">
        <v>25000</v>
      </c>
      <c r="AR291" s="5" t="n">
        <f aca="false">IF(ISBLANK(AQ291),AVERAGEIF(M291:M1290,M291,AQ291:AQ1290),AQ291)</f>
        <v>25000</v>
      </c>
      <c r="AS291" s="0" t="n">
        <v>30000</v>
      </c>
      <c r="AT291" s="5" t="n">
        <f aca="false">IF(ISBLANK(AS291),AVERAGE(AS291:AS1290),AS291)</f>
        <v>30000</v>
      </c>
      <c r="AU291" s="0" t="s">
        <v>50</v>
      </c>
      <c r="AV291" s="0" t="str">
        <f aca="false">PROPER(IF(ISBLANK(AU291),"No",AU291))</f>
        <v>No</v>
      </c>
      <c r="AW291" s="0" t="n">
        <v>5000</v>
      </c>
      <c r="AX291" s="5" t="n">
        <f aca="false">IF(ISBLANK(AW291),0,AW291)</f>
        <v>5000</v>
      </c>
      <c r="AY291" s="0" t="s">
        <v>60</v>
      </c>
      <c r="AZ291" s="0" t="str">
        <f aca="false">UPPER(IF(ISBLANK(AY291),"NONE",AY291))</f>
        <v>NONE</v>
      </c>
      <c r="BA291" s="7" t="n">
        <v>45897</v>
      </c>
      <c r="BB291" s="7" t="n">
        <f aca="false">IF(ISBLANK(BA291),"No Follow Up Needed",BA291)</f>
        <v>45897</v>
      </c>
      <c r="BD291" s="0" t="str">
        <f aca="false">PROPER(IF(ISBLANK(BC291),"Unknown",BC291))</f>
        <v>Unknown</v>
      </c>
      <c r="BF291" s="0" t="str">
        <f aca="false">IF(ISBLANK(BE291),"No comments",BE291)</f>
        <v>No comments</v>
      </c>
      <c r="BH291" s="0" t="str">
        <f aca="false">IF(ISBLANK(BG291),"No comments",BG291)</f>
        <v>No comments</v>
      </c>
      <c r="BI291" s="0" t="s">
        <v>63</v>
      </c>
      <c r="BJ291" s="0" t="str">
        <f aca="false">IF(ISBLANK(BI291),"Not Mentioned",BI291)</f>
        <v>Yes</v>
      </c>
      <c r="BK291" s="0" t="s">
        <v>50</v>
      </c>
      <c r="BL291" s="0" t="str">
        <f aca="false">PROPER(IF(ISBLANK(BK291),"Not Mentioned",BK291))</f>
        <v>No</v>
      </c>
      <c r="BM291" s="0" t="s">
        <v>63</v>
      </c>
      <c r="BN291" s="0" t="str">
        <f aca="false">PROPER(IF(ISBLANK(BM291),"Not Mentioned",BM291))</f>
        <v>Yes</v>
      </c>
      <c r="BO291" s="0" t="s">
        <v>2321</v>
      </c>
      <c r="BP291" s="0" t="str">
        <f aca="false">IF(ISBLANK(BO291),"One-Time Plan",BO291)</f>
        <v>One-Time Plan</v>
      </c>
      <c r="BQ291" s="0" t="s">
        <v>190</v>
      </c>
      <c r="BR291" s="0" t="str">
        <f aca="false">PROPER(IF(ISBLANK(BQ291),"No",BQ291))</f>
        <v>Yes</v>
      </c>
    </row>
    <row r="292" customFormat="false" ht="15" hidden="false" customHeight="false" outlineLevel="0" collapsed="false">
      <c r="A292" s="0" t="s">
        <v>832</v>
      </c>
      <c r="B292" s="2" t="n">
        <v>45780</v>
      </c>
      <c r="C292" s="2" t="str">
        <f aca="false">TEXT(B292,"dd/mm/yyyy")</f>
        <v>03/05/2025</v>
      </c>
      <c r="D292" s="0" t="s">
        <v>66</v>
      </c>
      <c r="E292" s="0" t="n">
        <v>8052020192</v>
      </c>
      <c r="F292" s="0" t="s">
        <v>122</v>
      </c>
      <c r="G292" s="0" t="s">
        <v>2316</v>
      </c>
      <c r="H292" s="0" t="s">
        <v>833</v>
      </c>
      <c r="I292" s="0" t="s">
        <v>134</v>
      </c>
      <c r="J292" s="0" t="s">
        <v>2317</v>
      </c>
      <c r="K292" s="3" t="str">
        <f aca="false" t="array" ref="K292:K292">IFERROR(IF(J292&lt;&gt;"",J292,INDEX(J292:J1291,MATCH(1,(F292:F1291=F292)*(I292:I1291=I292)*(L292:L1291=L292)*(J292:J1291&lt;&gt;""),0))),"Not Found")</f>
        <v>Suspension Noise</v>
      </c>
      <c r="L292" s="3" t="s">
        <v>142</v>
      </c>
      <c r="M292" s="0" t="str">
        <f aca="false">PROPER(L292)</f>
        <v>Oil Filter, Brake Pads</v>
      </c>
      <c r="N292" s="3" t="s">
        <v>109</v>
      </c>
      <c r="O292" s="0" t="str">
        <f aca="false" t="array" ref="O292:O292">IF(N292&lt;&gt;"",N292,_xlfn.xlookup(1,(L292:L1291=L292)*(N292:N1291&lt;&gt;""),N292:N1291,"Not Found"))</f>
        <v>Tijani</v>
      </c>
      <c r="P292" s="4" t="n">
        <v>29029</v>
      </c>
      <c r="Q292" s="0" t="s">
        <v>72</v>
      </c>
      <c r="R292" s="0" t="str">
        <f aca="false">PROPER(Q292)</f>
        <v>Pos</v>
      </c>
      <c r="S292" s="0" t="s">
        <v>63</v>
      </c>
      <c r="T292" s="0" t="n">
        <v>1</v>
      </c>
      <c r="U292" s="5" t="n">
        <f aca="false">IF(ISBLANK(T292),AVERAGE(T292:T1291),T292)</f>
        <v>1</v>
      </c>
      <c r="V292" s="0" t="n">
        <v>2.7</v>
      </c>
      <c r="W292" s="0" t="s">
        <v>125</v>
      </c>
      <c r="X292" s="0" t="str">
        <f aca="false">IF(ISBLANK(W292),"No remarks",W292)</f>
        <v>Customer waited</v>
      </c>
      <c r="Y292" s="0" t="s">
        <v>52</v>
      </c>
      <c r="AA292" s="0" t="str">
        <f aca="false">PROPER(IF(ISBLANK(Z292),"Location Unavailable",Z292))</f>
        <v>Location Unavailable</v>
      </c>
      <c r="AB292" s="0" t="s">
        <v>75</v>
      </c>
      <c r="AC292" s="6" t="str">
        <f aca="false">PROPER(AB292)</f>
        <v>Mechanik Referal</v>
      </c>
      <c r="AD292" s="6" t="n">
        <v>45</v>
      </c>
      <c r="AE292" s="5" t="n">
        <f aca="false">IF(ISBLANK(AD292),AVERAGEIF(L292:L1291,L292,AD292:AD1291),AD292)</f>
        <v>45</v>
      </c>
      <c r="AF292" s="0" t="s">
        <v>55</v>
      </c>
      <c r="AG292" s="0" t="str">
        <f aca="false">PROPER(AF292)</f>
        <v>Available</v>
      </c>
      <c r="AH292" s="0" t="s">
        <v>56</v>
      </c>
      <c r="AI292" s="0" t="s">
        <v>128</v>
      </c>
      <c r="AJ292" s="0" t="str">
        <f aca="false">PROPER(AI292)</f>
        <v>Normal</v>
      </c>
      <c r="AK292" s="0" t="s">
        <v>114</v>
      </c>
      <c r="AL292" s="0" t="str">
        <f aca="false">PROPER(AK292)</f>
        <v>Returning</v>
      </c>
      <c r="AM292" s="0" t="s">
        <v>2324</v>
      </c>
      <c r="AN292" s="0" t="str">
        <f aca="false">IF(ISBLANK(AM292),"Unknown",AM292)</f>
        <v>Logistics Convoy</v>
      </c>
      <c r="AO292" s="0" t="s">
        <v>161</v>
      </c>
      <c r="AP292" s="0" t="str">
        <f aca="false">IF(ISBLANK(AO292),"Unknown",AO292)</f>
        <v>Apprentice</v>
      </c>
      <c r="AR292" s="5" t="n">
        <f aca="false">IF(ISBLANK(AQ292),AVERAGEIF(M292:M1291,M292,AQ292:AQ1291),AQ292)</f>
        <v>26836.7346938776</v>
      </c>
      <c r="AS292" s="0" t="n">
        <v>35000</v>
      </c>
      <c r="AT292" s="5" t="n">
        <f aca="false">IF(ISBLANK(AS292),AVERAGE(AS292:AS1291),AS292)</f>
        <v>35000</v>
      </c>
      <c r="AU292" s="0" t="s">
        <v>82</v>
      </c>
      <c r="AV292" s="0" t="str">
        <f aca="false">PROPER(IF(ISBLANK(AU292),"No",AU292))</f>
        <v>Yes</v>
      </c>
      <c r="AW292" s="0" t="n">
        <v>0</v>
      </c>
      <c r="AX292" s="5" t="n">
        <f aca="false">IF(ISBLANK(AW292),0,AW292)</f>
        <v>0</v>
      </c>
      <c r="AY292" s="0" t="s">
        <v>80</v>
      </c>
      <c r="AZ292" s="0" t="str">
        <f aca="false">UPPER(IF(ISBLANK(AY292),"NONE",AY292))</f>
        <v>PROMO10</v>
      </c>
      <c r="BA292" s="7" t="n">
        <v>45909</v>
      </c>
      <c r="BB292" s="7" t="n">
        <f aca="false">IF(ISBLANK(BA292),"No Follow Up Needed",BA292)</f>
        <v>45909</v>
      </c>
      <c r="BC292" s="0" t="s">
        <v>61</v>
      </c>
      <c r="BD292" s="0" t="str">
        <f aca="false">PROPER(IF(ISBLANK(BC292),"Unknown",BC292))</f>
        <v>No</v>
      </c>
      <c r="BE292" s="0" t="s">
        <v>171</v>
      </c>
      <c r="BF292" s="0" t="str">
        <f aca="false">IF(ISBLANK(BE292),"No comments",BE292)</f>
        <v>Shock absorber weakening</v>
      </c>
      <c r="BH292" s="0" t="str">
        <f aca="false">IF(ISBLANK(BG292),"No comments",BG292)</f>
        <v>No comments</v>
      </c>
      <c r="BI292" s="0" t="s">
        <v>63</v>
      </c>
      <c r="BJ292" s="0" t="str">
        <f aca="false">IF(ISBLANK(BI292),"Not Mentioned",BI292)</f>
        <v>Yes</v>
      </c>
      <c r="BL292" s="0" t="str">
        <f aca="false">PROPER(IF(ISBLANK(BK292),"Not Mentioned",BK292))</f>
        <v>Not Mentioned</v>
      </c>
      <c r="BM292" s="0" t="s">
        <v>63</v>
      </c>
      <c r="BN292" s="0" t="str">
        <f aca="false">PROPER(IF(ISBLANK(BM292),"Not Mentioned",BM292))</f>
        <v>Yes</v>
      </c>
      <c r="BO292" s="0" t="s">
        <v>2318</v>
      </c>
      <c r="BP292" s="0" t="str">
        <f aca="false">IF(ISBLANK(BO292),"One-Time Plan",BO292)</f>
        <v>Gold</v>
      </c>
      <c r="BQ292" s="0" t="s">
        <v>198</v>
      </c>
      <c r="BR292" s="0" t="str">
        <f aca="false">PROPER(IF(ISBLANK(BQ292),"No",BQ292))</f>
        <v>Followed Up</v>
      </c>
    </row>
    <row r="293" customFormat="false" ht="15" hidden="false" customHeight="false" outlineLevel="0" collapsed="false">
      <c r="A293" s="0" t="s">
        <v>834</v>
      </c>
      <c r="B293" s="2" t="n">
        <v>45744</v>
      </c>
      <c r="C293" s="2" t="str">
        <f aca="false">TEXT(B293,"dd/mm/yyyy")</f>
        <v>28/03/2025</v>
      </c>
      <c r="D293" s="0" t="s">
        <v>163</v>
      </c>
      <c r="E293" s="0" t="n">
        <v>8035212337</v>
      </c>
      <c r="F293" s="0" t="s">
        <v>85</v>
      </c>
      <c r="G293" s="0" t="s">
        <v>2319</v>
      </c>
      <c r="H293" s="0" t="s">
        <v>835</v>
      </c>
      <c r="I293" s="0" t="s">
        <v>134</v>
      </c>
      <c r="J293" s="0" t="s">
        <v>87</v>
      </c>
      <c r="K293" s="3" t="str">
        <f aca="false" t="array" ref="K293:K293">IFERROR(IF(J293&lt;&gt;"",J293,INDEX(J293:J1292,MATCH(1,(F293:F1292=F293)*(I293:I1292=I293)*(L293:L1292=L293)*(J293:J1292&lt;&gt;""),0))),"Not Found")</f>
        <v>Oil Change</v>
      </c>
      <c r="L293" s="3" t="s">
        <v>154</v>
      </c>
      <c r="M293" s="0" t="str">
        <f aca="false">PROPER(L293)</f>
        <v>Air Filter</v>
      </c>
      <c r="N293" s="3" t="s">
        <v>48</v>
      </c>
      <c r="O293" s="0" t="str">
        <f aca="false" t="array" ref="O293:O293">IF(N293&lt;&gt;"",N293,_xlfn.xlookup(1,(L293:L1292=L293)*(N293:N1292&lt;&gt;""),N293:N1292,"Not Found"))</f>
        <v>Uche</v>
      </c>
      <c r="P293" s="4" t="n">
        <v>62142</v>
      </c>
      <c r="Q293" s="0" t="s">
        <v>72</v>
      </c>
      <c r="R293" s="0" t="str">
        <f aca="false">PROPER(Q293)</f>
        <v>Pos</v>
      </c>
      <c r="S293" s="0" t="s">
        <v>63</v>
      </c>
      <c r="U293" s="5" t="n">
        <f aca="false">IF(ISBLANK(T293),AVERAGE(T293:T1292),T293)</f>
        <v>3.03589743589744</v>
      </c>
      <c r="V293" s="0" t="n">
        <v>4</v>
      </c>
      <c r="W293" s="0" t="s">
        <v>51</v>
      </c>
      <c r="X293" s="0" t="str">
        <f aca="false">IF(ISBLANK(W293),"No remarks",W293)</f>
        <v>Recommended further checks</v>
      </c>
      <c r="Y293" s="0" t="s">
        <v>73</v>
      </c>
      <c r="Z293" s="0" t="s">
        <v>74</v>
      </c>
      <c r="AA293" s="0" t="str">
        <f aca="false">PROPER(IF(ISBLANK(Z293),"Location Unavailable",Z293))</f>
        <v>Under Tree</v>
      </c>
      <c r="AB293" s="0" t="s">
        <v>54</v>
      </c>
      <c r="AC293" s="6" t="str">
        <f aca="false">PROPER(AB293)</f>
        <v>Mechanic Referral</v>
      </c>
      <c r="AD293" s="6" t="n">
        <v>60</v>
      </c>
      <c r="AE293" s="5" t="n">
        <f aca="false">IF(ISBLANK(AD293),AVERAGEIF(L293:L1292,L293,AD293:AD1292),AD293)</f>
        <v>60</v>
      </c>
      <c r="AF293" s="0" t="s">
        <v>55</v>
      </c>
      <c r="AG293" s="0" t="str">
        <f aca="false">PROPER(AF293)</f>
        <v>Available</v>
      </c>
      <c r="AH293" s="0" t="s">
        <v>148</v>
      </c>
      <c r="AI293" s="0" t="s">
        <v>98</v>
      </c>
      <c r="AJ293" s="0" t="str">
        <f aca="false">PROPER(AI293)</f>
        <v>Emergency</v>
      </c>
      <c r="AK293" s="0" t="s">
        <v>196</v>
      </c>
      <c r="AL293" s="0" t="str">
        <f aca="false">PROPER(AK293)</f>
        <v>First Time</v>
      </c>
      <c r="AM293" s="0" t="s">
        <v>2324</v>
      </c>
      <c r="AN293" s="0" t="str">
        <f aca="false">IF(ISBLANK(AM293),"Unknown",AM293)</f>
        <v>Logistics Convoy</v>
      </c>
      <c r="AO293" s="0" t="s">
        <v>79</v>
      </c>
      <c r="AP293" s="0" t="str">
        <f aca="false">IF(ISBLANK(AO293),"Unknown",AO293)</f>
        <v>Specialist</v>
      </c>
      <c r="AQ293" s="0" t="n">
        <v>15000</v>
      </c>
      <c r="AR293" s="5" t="n">
        <f aca="false">IF(ISBLANK(AQ293),AVERAGEIF(M293:M1292,M293,AQ293:AQ1292),AQ293)</f>
        <v>15000</v>
      </c>
      <c r="AS293" s="0" t="n">
        <v>30000</v>
      </c>
      <c r="AT293" s="5" t="n">
        <f aca="false">IF(ISBLANK(AS293),AVERAGE(AS293:AS1292),AS293)</f>
        <v>30000</v>
      </c>
      <c r="AU293" s="0" t="s">
        <v>63</v>
      </c>
      <c r="AV293" s="0" t="str">
        <f aca="false">PROPER(IF(ISBLANK(AU293),"No",AU293))</f>
        <v>Yes</v>
      </c>
      <c r="AW293" s="0" t="n">
        <v>0</v>
      </c>
      <c r="AX293" s="5" t="n">
        <f aca="false">IF(ISBLANK(AW293),0,AW293)</f>
        <v>0</v>
      </c>
      <c r="AY293" s="0" t="s">
        <v>80</v>
      </c>
      <c r="AZ293" s="0" t="str">
        <f aca="false">UPPER(IF(ISBLANK(AY293),"NONE",AY293))</f>
        <v>PROMO10</v>
      </c>
      <c r="BB293" s="7" t="str">
        <f aca="false">IF(ISBLANK(BA293),"No Follow Up Needed",BA293)</f>
        <v>No Follow Up Needed</v>
      </c>
      <c r="BC293" s="0" t="s">
        <v>61</v>
      </c>
      <c r="BD293" s="0" t="str">
        <f aca="false">PROPER(IF(ISBLANK(BC293),"Unknown",BC293))</f>
        <v>No</v>
      </c>
      <c r="BF293" s="0" t="str">
        <f aca="false">IF(ISBLANK(BE293),"No comments",BE293)</f>
        <v>No comments</v>
      </c>
      <c r="BG293" s="0" t="s">
        <v>2320</v>
      </c>
      <c r="BH293" s="0" t="str">
        <f aca="false">IF(ISBLANK(BG293),"No comments",BG293)</f>
        <v>No complaints</v>
      </c>
      <c r="BI293" s="0" t="s">
        <v>63</v>
      </c>
      <c r="BJ293" s="0" t="str">
        <f aca="false">IF(ISBLANK(BI293),"Not Mentioned",BI293)</f>
        <v>Yes</v>
      </c>
      <c r="BK293" s="0" t="s">
        <v>82</v>
      </c>
      <c r="BL293" s="0" t="str">
        <f aca="false">PROPER(IF(ISBLANK(BK293),"Not Mentioned",BK293))</f>
        <v>Yes</v>
      </c>
      <c r="BM293" s="0" t="s">
        <v>63</v>
      </c>
      <c r="BN293" s="0" t="str">
        <f aca="false">PROPER(IF(ISBLANK(BM293),"Not Mentioned",BM293))</f>
        <v>Yes</v>
      </c>
      <c r="BO293" s="0" t="s">
        <v>2321</v>
      </c>
      <c r="BP293" s="0" t="str">
        <f aca="false">IF(ISBLANK(BO293),"One-Time Plan",BO293)</f>
        <v>One-Time Plan</v>
      </c>
      <c r="BQ293" s="0" t="s">
        <v>63</v>
      </c>
      <c r="BR293" s="0" t="str">
        <f aca="false">PROPER(IF(ISBLANK(BQ293),"No",BQ293))</f>
        <v>Yes</v>
      </c>
    </row>
    <row r="294" customFormat="false" ht="15" hidden="false" customHeight="false" outlineLevel="0" collapsed="false">
      <c r="A294" s="0" t="s">
        <v>836</v>
      </c>
      <c r="B294" s="2" t="n">
        <v>45749</v>
      </c>
      <c r="C294" s="2" t="str">
        <f aca="false">TEXT(B294,"dd/mm/yyyy")</f>
        <v>02/04/2025</v>
      </c>
      <c r="D294" s="0" t="s">
        <v>42</v>
      </c>
      <c r="E294" s="0" t="n">
        <v>8067551618</v>
      </c>
      <c r="F294" s="0" t="s">
        <v>139</v>
      </c>
      <c r="G294" s="0" t="s">
        <v>2323</v>
      </c>
      <c r="H294" s="0" t="s">
        <v>837</v>
      </c>
      <c r="I294" s="0" t="s">
        <v>45</v>
      </c>
      <c r="J294" s="0" t="s">
        <v>87</v>
      </c>
      <c r="K294" s="3" t="str">
        <f aca="false" t="array" ref="K294:K294">IFERROR(IF(J294&lt;&gt;"",J294,INDEX(J294:J1293,MATCH(1,(F294:F1293=F294)*(I294:I1293=I294)*(L294:L1293=L294)*(J294:J1293&lt;&gt;""),0))),"Not Found")</f>
        <v>Oil Change</v>
      </c>
      <c r="L294" s="3" t="s">
        <v>154</v>
      </c>
      <c r="M294" s="0" t="str">
        <f aca="false">PROPER(L294)</f>
        <v>Air Filter</v>
      </c>
      <c r="O294" s="0" t="e">
        <f aca="false" t="array" ref="O294:O294">IF(N294&lt;&gt;"",N294,_xlfn.xlookup(1,(L294:L1293=L294)*(N294:N1293&lt;&gt;""),N294:N1293,"Not Found"))</f>
        <v>#NAME?</v>
      </c>
      <c r="P294" s="4" t="n">
        <v>16346</v>
      </c>
      <c r="Q294" s="0" t="s">
        <v>91</v>
      </c>
      <c r="R294" s="0" t="str">
        <f aca="false">PROPER(Q294)</f>
        <v>Pos</v>
      </c>
      <c r="S294" s="0" t="s">
        <v>63</v>
      </c>
      <c r="U294" s="5" t="n">
        <f aca="false">IF(ISBLANK(T294),AVERAGE(T294:T1293),T294)</f>
        <v>3.03589743589744</v>
      </c>
      <c r="V294" s="0" t="n">
        <v>3.9</v>
      </c>
      <c r="W294" s="0" t="s">
        <v>111</v>
      </c>
      <c r="X294" s="0" t="str">
        <f aca="false">IF(ISBLANK(W294),"No remarks",W294)</f>
        <v>Changed all filters</v>
      </c>
      <c r="Y294" s="0" t="s">
        <v>52</v>
      </c>
      <c r="Z294" s="0" t="s">
        <v>94</v>
      </c>
      <c r="AA294" s="0" t="str">
        <f aca="false">PROPER(IF(ISBLANK(Z294),"Location Unavailable",Z294))</f>
        <v>Vip Section</v>
      </c>
      <c r="AB294" s="0" t="s">
        <v>147</v>
      </c>
      <c r="AC294" s="6" t="str">
        <f aca="false">PROPER(AB294)</f>
        <v>Instagram</v>
      </c>
      <c r="AD294" s="6" t="n">
        <v>15</v>
      </c>
      <c r="AE294" s="5" t="n">
        <f aca="false">IF(ISBLANK(AD294),AVERAGEIF(L294:L1293,L294,AD294:AD1293),AD294)</f>
        <v>15</v>
      </c>
      <c r="AF294" s="0" t="s">
        <v>55</v>
      </c>
      <c r="AG294" s="0" t="str">
        <f aca="false">PROPER(AF294)</f>
        <v>Available</v>
      </c>
      <c r="AH294" s="0" t="s">
        <v>155</v>
      </c>
      <c r="AI294" s="0" t="s">
        <v>98</v>
      </c>
      <c r="AJ294" s="0" t="str">
        <f aca="false">PROPER(AI294)</f>
        <v>Emergency</v>
      </c>
      <c r="AK294" s="0" t="s">
        <v>58</v>
      </c>
      <c r="AL294" s="0" t="str">
        <f aca="false">PROPER(AK294)</f>
        <v>Fleet Owner</v>
      </c>
      <c r="AM294" s="0" t="s">
        <v>2324</v>
      </c>
      <c r="AN294" s="0" t="str">
        <f aca="false">IF(ISBLANK(AM294),"Unknown",AM294)</f>
        <v>Logistics Convoy</v>
      </c>
      <c r="AO294" s="0" t="s">
        <v>161</v>
      </c>
      <c r="AP294" s="0" t="str">
        <f aca="false">IF(ISBLANK(AO294),"Unknown",AO294)</f>
        <v>Apprentice</v>
      </c>
      <c r="AQ294" s="0" t="n">
        <v>25000</v>
      </c>
      <c r="AR294" s="5" t="n">
        <f aca="false">IF(ISBLANK(AQ294),AVERAGEIF(M294:M1293,M294,AQ294:AQ1293),AQ294)</f>
        <v>25000</v>
      </c>
      <c r="AS294" s="0" t="n">
        <v>35000</v>
      </c>
      <c r="AT294" s="5" t="n">
        <f aca="false">IF(ISBLANK(AS294),AVERAGE(AS294:AS1293),AS294)</f>
        <v>35000</v>
      </c>
      <c r="AU294" s="0" t="s">
        <v>63</v>
      </c>
      <c r="AV294" s="0" t="str">
        <f aca="false">PROPER(IF(ISBLANK(AU294),"No",AU294))</f>
        <v>Yes</v>
      </c>
      <c r="AX294" s="5" t="n">
        <f aca="false">IF(ISBLANK(AW294),0,AW294)</f>
        <v>0</v>
      </c>
      <c r="AY294" s="0" t="s">
        <v>184</v>
      </c>
      <c r="AZ294" s="0" t="str">
        <f aca="false">UPPER(IF(ISBLANK(AY294),"NONE",AY294))</f>
        <v>N/A</v>
      </c>
      <c r="BA294" s="7" t="s">
        <v>838</v>
      </c>
      <c r="BB294" s="7" t="str">
        <f aca="false">IF(ISBLANK(BA294),"No Follow Up Needed",BA294)</f>
        <v>17/11/2025</v>
      </c>
      <c r="BC294" s="0" t="s">
        <v>61</v>
      </c>
      <c r="BD294" s="0" t="str">
        <f aca="false">PROPER(IF(ISBLANK(BC294),"Unknown",BC294))</f>
        <v>No</v>
      </c>
      <c r="BE294" s="0" t="s">
        <v>116</v>
      </c>
      <c r="BF294" s="0" t="str">
        <f aca="false">IF(ISBLANK(BE294),"No comments",BE294)</f>
        <v>Needs tire alignment</v>
      </c>
      <c r="BH294" s="0" t="str">
        <f aca="false">IF(ISBLANK(BG294),"No comments",BG294)</f>
        <v>No comments</v>
      </c>
      <c r="BJ294" s="0" t="str">
        <f aca="false">IF(ISBLANK(BI294),"Not Mentioned",BI294)</f>
        <v>Not Mentioned</v>
      </c>
      <c r="BL294" s="0" t="str">
        <f aca="false">PROPER(IF(ISBLANK(BK294),"Not Mentioned",BK294))</f>
        <v>Not Mentioned</v>
      </c>
      <c r="BN294" s="0" t="str">
        <f aca="false">PROPER(IF(ISBLANK(BM294),"Not Mentioned",BM294))</f>
        <v>Not Mentioned</v>
      </c>
      <c r="BO294" s="0" t="s">
        <v>2321</v>
      </c>
      <c r="BP294" s="0" t="str">
        <f aca="false">IF(ISBLANK(BO294),"One-Time Plan",BO294)</f>
        <v>One-Time Plan</v>
      </c>
      <c r="BQ294" s="0" t="s">
        <v>50</v>
      </c>
      <c r="BR294" s="0" t="str">
        <f aca="false">PROPER(IF(ISBLANK(BQ294),"No",BQ294))</f>
        <v>No</v>
      </c>
    </row>
    <row r="295" customFormat="false" ht="15" hidden="false" customHeight="false" outlineLevel="0" collapsed="false">
      <c r="A295" s="0" t="s">
        <v>839</v>
      </c>
      <c r="B295" s="2" t="n">
        <v>45697</v>
      </c>
      <c r="C295" s="2" t="str">
        <f aca="false">TEXT(B295,"dd/mm/yyyy")</f>
        <v>09/02/2025</v>
      </c>
      <c r="D295" s="0" t="s">
        <v>66</v>
      </c>
      <c r="E295" s="0" t="n">
        <v>8066061116</v>
      </c>
      <c r="F295" s="0" t="s">
        <v>122</v>
      </c>
      <c r="G295" s="0" t="s">
        <v>2316</v>
      </c>
      <c r="H295" s="0" t="s">
        <v>840</v>
      </c>
      <c r="I295" s="0" t="s">
        <v>45</v>
      </c>
      <c r="J295" s="0" t="s">
        <v>2317</v>
      </c>
      <c r="K295" s="3" t="str">
        <f aca="false" t="array" ref="K295:K295">IFERROR(IF(J295&lt;&gt;"",J295,INDEX(J295:J1294,MATCH(1,(F295:F1294=F295)*(I295:I1294=I295)*(L295:L1294=L295)*(J295:J1294&lt;&gt;""),0))),"Not Found")</f>
        <v>Suspension Noise</v>
      </c>
      <c r="L295" s="3" t="s">
        <v>108</v>
      </c>
      <c r="M295" s="0" t="str">
        <f aca="false">PROPER(L295)</f>
        <v>Timing Belt</v>
      </c>
      <c r="N295" s="3" t="s">
        <v>48</v>
      </c>
      <c r="O295" s="0" t="str">
        <f aca="false" t="array" ref="O295:O295">IF(N295&lt;&gt;"",N295,_xlfn.xlookup(1,(L295:L1294=L295)*(N295:N1294&lt;&gt;""),N295:N1294,"Not Found"))</f>
        <v>Uche</v>
      </c>
      <c r="P295" s="4" t="n">
        <v>93006</v>
      </c>
      <c r="Q295" s="0" t="s">
        <v>49</v>
      </c>
      <c r="R295" s="0" t="str">
        <f aca="false">PROPER(Q295)</f>
        <v>Transfer</v>
      </c>
      <c r="S295" s="0" t="s">
        <v>50</v>
      </c>
      <c r="T295" s="0" t="n">
        <v>1</v>
      </c>
      <c r="U295" s="5" t="n">
        <f aca="false">IF(ISBLANK(T295),AVERAGE(T295:T1294),T295)</f>
        <v>1</v>
      </c>
      <c r="V295" s="0" t="n">
        <v>5</v>
      </c>
      <c r="W295" s="0" t="s">
        <v>92</v>
      </c>
      <c r="X295" s="0" t="str">
        <f aca="false">IF(ISBLANK(W295),"No remarks",W295)</f>
        <v>Urgent service</v>
      </c>
      <c r="Y295" s="0" t="s">
        <v>73</v>
      </c>
      <c r="AA295" s="0" t="str">
        <f aca="false">PROPER(IF(ISBLANK(Z295),"Location Unavailable",Z295))</f>
        <v>Location Unavailable</v>
      </c>
      <c r="AB295" s="0" t="s">
        <v>147</v>
      </c>
      <c r="AC295" s="6" t="str">
        <f aca="false">PROPER(AB295)</f>
        <v>Instagram</v>
      </c>
      <c r="AE295" s="5" t="n">
        <f aca="false">IF(ISBLANK(AD295),AVERAGEIF(L295:L1294,L295,AD295:AD1294),AD295)</f>
        <v>37.3529411764706</v>
      </c>
      <c r="AF295" s="0" t="s">
        <v>112</v>
      </c>
      <c r="AG295" s="0" t="str">
        <f aca="false">PROPER(AF295)</f>
        <v>Unavailable</v>
      </c>
      <c r="AH295" s="0" t="s">
        <v>148</v>
      </c>
      <c r="AI295" s="0" t="s">
        <v>113</v>
      </c>
      <c r="AJ295" s="0" t="str">
        <f aca="false">PROPER(AI295)</f>
        <v>Normal</v>
      </c>
      <c r="AK295" s="0" t="s">
        <v>196</v>
      </c>
      <c r="AL295" s="0" t="str">
        <f aca="false">PROPER(AK295)</f>
        <v>First Time</v>
      </c>
      <c r="AM295" s="0" t="s">
        <v>2324</v>
      </c>
      <c r="AN295" s="0" t="str">
        <f aca="false">IF(ISBLANK(AM295),"Unknown",AM295)</f>
        <v>Logistics Convoy</v>
      </c>
      <c r="AO295" s="0" t="s">
        <v>79</v>
      </c>
      <c r="AP295" s="0" t="str">
        <f aca="false">IF(ISBLANK(AO295),"Unknown",AO295)</f>
        <v>Specialist</v>
      </c>
      <c r="AQ295" s="0" t="n">
        <v>15000</v>
      </c>
      <c r="AR295" s="5" t="n">
        <f aca="false">IF(ISBLANK(AQ295),AVERAGEIF(M295:M1294,M295,AQ295:AQ1294),AQ295)</f>
        <v>15000</v>
      </c>
      <c r="AT295" s="5" t="n">
        <f aca="false">IF(ISBLANK(AS295),AVERAGE(AS295:AS1294),AS295)</f>
        <v>31416.3822525597</v>
      </c>
      <c r="AV295" s="0" t="str">
        <f aca="false">PROPER(IF(ISBLANK(AU295),"No",AU295))</f>
        <v>No</v>
      </c>
      <c r="AW295" s="0" t="n">
        <v>0</v>
      </c>
      <c r="AX295" s="5" t="n">
        <f aca="false">IF(ISBLANK(AW295),0,AW295)</f>
        <v>0</v>
      </c>
      <c r="AY295" s="0" t="s">
        <v>184</v>
      </c>
      <c r="AZ295" s="0" t="str">
        <f aca="false">UPPER(IF(ISBLANK(AY295),"NONE",AY295))</f>
        <v>N/A</v>
      </c>
      <c r="BB295" s="7" t="str">
        <f aca="false">IF(ISBLANK(BA295),"No Follow Up Needed",BA295)</f>
        <v>No Follow Up Needed</v>
      </c>
      <c r="BC295" s="0" t="s">
        <v>82</v>
      </c>
      <c r="BD295" s="0" t="str">
        <f aca="false">PROPER(IF(ISBLANK(BC295),"Unknown",BC295))</f>
        <v>Yes</v>
      </c>
      <c r="BF295" s="0" t="str">
        <f aca="false">IF(ISBLANK(BE295),"No comments",BE295)</f>
        <v>No comments</v>
      </c>
      <c r="BG295" s="0" t="s">
        <v>172</v>
      </c>
      <c r="BH295" s="0" t="str">
        <f aca="false">IF(ISBLANK(BG295),"No comments",BG295)</f>
        <v>Always late</v>
      </c>
      <c r="BI295" s="0" t="s">
        <v>63</v>
      </c>
      <c r="BJ295" s="0" t="str">
        <f aca="false">IF(ISBLANK(BI295),"Not Mentioned",BI295)</f>
        <v>Yes</v>
      </c>
      <c r="BK295" s="0" t="s">
        <v>61</v>
      </c>
      <c r="BL295" s="0" t="str">
        <f aca="false">PROPER(IF(ISBLANK(BK295),"Not Mentioned",BK295))</f>
        <v>No</v>
      </c>
      <c r="BM295" s="0" t="s">
        <v>63</v>
      </c>
      <c r="BN295" s="0" t="str">
        <f aca="false">PROPER(IF(ISBLANK(BM295),"Not Mentioned",BM295))</f>
        <v>Yes</v>
      </c>
      <c r="BO295" s="0" t="s">
        <v>2321</v>
      </c>
      <c r="BP295" s="0" t="str">
        <f aca="false">IF(ISBLANK(BO295),"One-Time Plan",BO295)</f>
        <v>One-Time Plan</v>
      </c>
      <c r="BR295" s="0" t="str">
        <f aca="false">PROPER(IF(ISBLANK(BQ295),"No",BQ295))</f>
        <v>No</v>
      </c>
    </row>
    <row r="296" customFormat="false" ht="15" hidden="false" customHeight="false" outlineLevel="0" collapsed="false">
      <c r="A296" s="0" t="s">
        <v>841</v>
      </c>
      <c r="B296" s="2" t="n">
        <v>45739</v>
      </c>
      <c r="C296" s="2" t="str">
        <f aca="false">TEXT(B296,"dd/mm/yyyy")</f>
        <v>23/03/2025</v>
      </c>
      <c r="D296" s="0" t="s">
        <v>121</v>
      </c>
      <c r="E296" s="0" t="n">
        <v>8038129989</v>
      </c>
      <c r="F296" s="0" t="s">
        <v>43</v>
      </c>
      <c r="G296" s="0" t="s">
        <v>2315</v>
      </c>
      <c r="H296" s="0" t="s">
        <v>842</v>
      </c>
      <c r="I296" s="0" t="s">
        <v>87</v>
      </c>
      <c r="J296" s="0" t="s">
        <v>2322</v>
      </c>
      <c r="K296" s="3" t="str">
        <f aca="false" t="array" ref="K296:K296">IFERROR(IF(J296&lt;&gt;"",J296,INDEX(J296:J1295,MATCH(1,(F296:F1295=F296)*(I296:I1295=I296)*(L296:L1295=L296)*(J296:J1295&lt;&gt;""),0))),"Not Found")</f>
        <v>Brake Failure</v>
      </c>
      <c r="L296" s="3" t="s">
        <v>142</v>
      </c>
      <c r="M296" s="0" t="str">
        <f aca="false">PROPER(L296)</f>
        <v>Oil Filter, Brake Pads</v>
      </c>
      <c r="N296" s="3" t="s">
        <v>109</v>
      </c>
      <c r="O296" s="0" t="str">
        <f aca="false" t="array" ref="O296:O296">IF(N296&lt;&gt;"",N296,_xlfn.xlookup(1,(L296:L1295=L296)*(N296:N1295&lt;&gt;""),N296:N1295,"Not Found"))</f>
        <v>Tijani</v>
      </c>
      <c r="P296" s="4" t="n">
        <v>29782</v>
      </c>
      <c r="Q296" s="0" t="s">
        <v>110</v>
      </c>
      <c r="R296" s="0" t="str">
        <f aca="false">PROPER(Q296)</f>
        <v>Cash</v>
      </c>
      <c r="S296" s="0" t="s">
        <v>50</v>
      </c>
      <c r="U296" s="5" t="n">
        <f aca="false">IF(ISBLANK(T296),AVERAGE(T296:T1295),T296)</f>
        <v>3.03938356164384</v>
      </c>
      <c r="V296" s="0" t="n">
        <v>4.4</v>
      </c>
      <c r="W296" s="0" t="s">
        <v>92</v>
      </c>
      <c r="X296" s="0" t="str">
        <f aca="false">IF(ISBLANK(W296),"No remarks",W296)</f>
        <v>Urgent service</v>
      </c>
      <c r="Y296" s="0" t="s">
        <v>93</v>
      </c>
      <c r="Z296" s="0" t="s">
        <v>94</v>
      </c>
      <c r="AA296" s="0" t="str">
        <f aca="false">PROPER(IF(ISBLANK(Z296),"Location Unavailable",Z296))</f>
        <v>Vip Section</v>
      </c>
      <c r="AB296" s="0" t="s">
        <v>126</v>
      </c>
      <c r="AC296" s="6" t="str">
        <f aca="false">PROPER(AB296)</f>
        <v>Whatsapp</v>
      </c>
      <c r="AD296" s="6" t="n">
        <v>15</v>
      </c>
      <c r="AE296" s="5" t="n">
        <f aca="false">IF(ISBLANK(AD296),AVERAGEIF(L296:L1295,L296,AD296:AD1295),AD296)</f>
        <v>15</v>
      </c>
      <c r="AF296" s="0" t="s">
        <v>55</v>
      </c>
      <c r="AG296" s="0" t="str">
        <f aca="false">PROPER(AF296)</f>
        <v>Available</v>
      </c>
      <c r="AH296" s="0" t="s">
        <v>155</v>
      </c>
      <c r="AI296" s="0" t="s">
        <v>113</v>
      </c>
      <c r="AJ296" s="0" t="str">
        <f aca="false">PROPER(AI296)</f>
        <v>Normal</v>
      </c>
      <c r="AK296" s="0" t="s">
        <v>114</v>
      </c>
      <c r="AL296" s="0" t="str">
        <f aca="false">PROPER(AK296)</f>
        <v>Returning</v>
      </c>
      <c r="AM296" s="0" t="s">
        <v>59</v>
      </c>
      <c r="AN296" s="0" t="str">
        <f aca="false">IF(ISBLANK(AM296),"Unknown",AM296)</f>
        <v>Bolt Driver</v>
      </c>
      <c r="AO296" s="0" t="s">
        <v>143</v>
      </c>
      <c r="AP296" s="0" t="str">
        <f aca="false">IF(ISBLANK(AO296),"Unknown",AO296)</f>
        <v>Senior</v>
      </c>
      <c r="AR296" s="5" t="n">
        <f aca="false">IF(ISBLANK(AQ296),AVERAGEIF(M296:M1295,M296,AQ296:AQ1295),AQ296)</f>
        <v>26836.7346938776</v>
      </c>
      <c r="AS296" s="0" t="n">
        <v>30000</v>
      </c>
      <c r="AT296" s="5" t="n">
        <f aca="false">IF(ISBLANK(AS296),AVERAGE(AS296:AS1295),AS296)</f>
        <v>30000</v>
      </c>
      <c r="AV296" s="0" t="str">
        <f aca="false">PROPER(IF(ISBLANK(AU296),"No",AU296))</f>
        <v>No</v>
      </c>
      <c r="AW296" s="0" t="n">
        <v>0</v>
      </c>
      <c r="AX296" s="5" t="n">
        <f aca="false">IF(ISBLANK(AW296),0,AW296)</f>
        <v>0</v>
      </c>
      <c r="AZ296" s="0" t="str">
        <f aca="false">UPPER(IF(ISBLANK(AY296),"NONE",AY296))</f>
        <v>NONE</v>
      </c>
      <c r="BB296" s="7" t="str">
        <f aca="false">IF(ISBLANK(BA296),"No Follow Up Needed",BA296)</f>
        <v>No Follow Up Needed</v>
      </c>
      <c r="BC296" s="0" t="s">
        <v>82</v>
      </c>
      <c r="BD296" s="0" t="str">
        <f aca="false">PROPER(IF(ISBLANK(BC296),"Unknown",BC296))</f>
        <v>Yes</v>
      </c>
      <c r="BF296" s="0" t="str">
        <f aca="false">IF(ISBLANK(BE296),"No comments",BE296)</f>
        <v>No comments</v>
      </c>
      <c r="BG296" s="0" t="s">
        <v>2320</v>
      </c>
      <c r="BH296" s="0" t="str">
        <f aca="false">IF(ISBLANK(BG296),"No comments",BG296)</f>
        <v>No complaints</v>
      </c>
      <c r="BI296" s="0" t="s">
        <v>63</v>
      </c>
      <c r="BJ296" s="0" t="str">
        <f aca="false">IF(ISBLANK(BI296),"Not Mentioned",BI296)</f>
        <v>Yes</v>
      </c>
      <c r="BK296" s="0" t="s">
        <v>61</v>
      </c>
      <c r="BL296" s="0" t="str">
        <f aca="false">PROPER(IF(ISBLANK(BK296),"Not Mentioned",BK296))</f>
        <v>No</v>
      </c>
      <c r="BN296" s="0" t="str">
        <f aca="false">PROPER(IF(ISBLANK(BM296),"Not Mentioned",BM296))</f>
        <v>Not Mentioned</v>
      </c>
      <c r="BP296" s="0" t="str">
        <f aca="false">IF(ISBLANK(BO296),"One-Time Plan",BO296)</f>
        <v>One-Time Plan</v>
      </c>
      <c r="BQ296" s="0" t="s">
        <v>190</v>
      </c>
      <c r="BR296" s="0" t="str">
        <f aca="false">PROPER(IF(ISBLANK(BQ296),"No",BQ296))</f>
        <v>Yes</v>
      </c>
    </row>
    <row r="297" customFormat="false" ht="15" hidden="false" customHeight="false" outlineLevel="0" collapsed="false">
      <c r="A297" s="0" t="s">
        <v>843</v>
      </c>
      <c r="B297" s="2" t="n">
        <v>45770</v>
      </c>
      <c r="C297" s="2" t="str">
        <f aca="false">TEXT(B297,"dd/mm/yyyy")</f>
        <v>23/04/2025</v>
      </c>
      <c r="D297" s="0" t="s">
        <v>121</v>
      </c>
      <c r="E297" s="0" t="n">
        <v>8068878740</v>
      </c>
      <c r="F297" s="0" t="s">
        <v>122</v>
      </c>
      <c r="G297" s="0" t="s">
        <v>2316</v>
      </c>
      <c r="H297" s="0" t="s">
        <v>844</v>
      </c>
      <c r="I297" s="0" t="s">
        <v>45</v>
      </c>
      <c r="J297" s="0" t="s">
        <v>2325</v>
      </c>
      <c r="K297" s="3" t="str">
        <f aca="false" t="array" ref="K297:K297">IFERROR(IF(J297&lt;&gt;"",J297,INDEX(J297:J1296,MATCH(1,(F297:F1296=F297)*(I297:I1296=I297)*(L297:L1296=L297)*(J297:J1296&lt;&gt;""),0))),"Not Found")</f>
        <v>Engine Knocking</v>
      </c>
      <c r="L297" s="3" t="s">
        <v>108</v>
      </c>
      <c r="M297" s="0" t="str">
        <f aca="false">PROPER(L297)</f>
        <v>Timing Belt</v>
      </c>
      <c r="O297" s="0" t="e">
        <f aca="false" t="array" ref="O297:O297">IF(N297&lt;&gt;"",N297,_xlfn.xlookup(1,(L297:L1296=L297)*(N297:N1296&lt;&gt;""),N297:N1296,"Not Found"))</f>
        <v>#NAME?</v>
      </c>
      <c r="P297" s="4" t="n">
        <v>105912</v>
      </c>
      <c r="Q297" s="0" t="s">
        <v>110</v>
      </c>
      <c r="R297" s="0" t="str">
        <f aca="false">PROPER(Q297)</f>
        <v>Cash</v>
      </c>
      <c r="S297" s="0" t="s">
        <v>50</v>
      </c>
      <c r="T297" s="0" t="n">
        <v>4</v>
      </c>
      <c r="U297" s="5" t="n">
        <f aca="false">IF(ISBLANK(T297),AVERAGE(T297:T1296),T297)</f>
        <v>4</v>
      </c>
      <c r="V297" s="0" t="n">
        <v>1.6</v>
      </c>
      <c r="X297" s="0" t="str">
        <f aca="false">IF(ISBLANK(W297),"No remarks",W297)</f>
        <v>No remarks</v>
      </c>
      <c r="Y297" s="0" t="s">
        <v>93</v>
      </c>
      <c r="Z297" s="0" t="s">
        <v>74</v>
      </c>
      <c r="AA297" s="0" t="str">
        <f aca="false">PROPER(IF(ISBLANK(Z297),"Location Unavailable",Z297))</f>
        <v>Under Tree</v>
      </c>
      <c r="AB297" s="0" t="s">
        <v>147</v>
      </c>
      <c r="AC297" s="6" t="str">
        <f aca="false">PROPER(AB297)</f>
        <v>Instagram</v>
      </c>
      <c r="AE297" s="5" t="n">
        <f aca="false">IF(ISBLANK(AD297),AVERAGEIF(L297:L1296,L297,AD297:AD1296),AD297)</f>
        <v>37.3529411764706</v>
      </c>
      <c r="AF297" s="0" t="s">
        <v>76</v>
      </c>
      <c r="AG297" s="0" t="str">
        <f aca="false">PROPER(AF297)</f>
        <v>Orderd</v>
      </c>
      <c r="AH297" s="0" t="s">
        <v>77</v>
      </c>
      <c r="AI297" s="0" t="s">
        <v>78</v>
      </c>
      <c r="AJ297" s="0" t="str">
        <f aca="false">PROPER(AI297)</f>
        <v>Booking</v>
      </c>
      <c r="AK297" s="0" t="s">
        <v>196</v>
      </c>
      <c r="AL297" s="0" t="str">
        <f aca="false">PROPER(AK297)</f>
        <v>First Time</v>
      </c>
      <c r="AN297" s="0" t="str">
        <f aca="false">IF(ISBLANK(AM297),"Unknown",AM297)</f>
        <v>Unknown</v>
      </c>
      <c r="AP297" s="0" t="str">
        <f aca="false">IF(ISBLANK(AO297),"Unknown",AO297)</f>
        <v>Unknown</v>
      </c>
      <c r="AQ297" s="0" t="n">
        <v>30000</v>
      </c>
      <c r="AR297" s="5" t="n">
        <f aca="false">IF(ISBLANK(AQ297),AVERAGEIF(M297:M1296,M297,AQ297:AQ1296),AQ297)</f>
        <v>30000</v>
      </c>
      <c r="AS297" s="0" t="n">
        <v>40000</v>
      </c>
      <c r="AT297" s="5" t="n">
        <f aca="false">IF(ISBLANK(AS297),AVERAGE(AS297:AS1296),AS297)</f>
        <v>40000</v>
      </c>
      <c r="AU297" s="0" t="s">
        <v>50</v>
      </c>
      <c r="AV297" s="0" t="str">
        <f aca="false">PROPER(IF(ISBLANK(AU297),"No",AU297))</f>
        <v>No</v>
      </c>
      <c r="AW297" s="0" t="n">
        <v>5000</v>
      </c>
      <c r="AX297" s="5" t="n">
        <f aca="false">IF(ISBLANK(AW297),0,AW297)</f>
        <v>5000</v>
      </c>
      <c r="AZ297" s="0" t="str">
        <f aca="false">UPPER(IF(ISBLANK(AY297),"NONE",AY297))</f>
        <v>NONE</v>
      </c>
      <c r="BA297" s="7" t="n">
        <v>45908</v>
      </c>
      <c r="BB297" s="7" t="n">
        <f aca="false">IF(ISBLANK(BA297),"No Follow Up Needed",BA297)</f>
        <v>45908</v>
      </c>
      <c r="BC297" s="0" t="s">
        <v>61</v>
      </c>
      <c r="BD297" s="0" t="str">
        <f aca="false">PROPER(IF(ISBLANK(BC297),"Unknown",BC297))</f>
        <v>No</v>
      </c>
      <c r="BF297" s="0" t="str">
        <f aca="false">IF(ISBLANK(BE297),"No comments",BE297)</f>
        <v>No comments</v>
      </c>
      <c r="BG297" s="0" t="s">
        <v>172</v>
      </c>
      <c r="BH297" s="0" t="str">
        <f aca="false">IF(ISBLANK(BG297),"No comments",BG297)</f>
        <v>Always late</v>
      </c>
      <c r="BJ297" s="0" t="str">
        <f aca="false">IF(ISBLANK(BI297),"Not Mentioned",BI297)</f>
        <v>Not Mentioned</v>
      </c>
      <c r="BK297" s="0" t="s">
        <v>82</v>
      </c>
      <c r="BL297" s="0" t="str">
        <f aca="false">PROPER(IF(ISBLANK(BK297),"Not Mentioned",BK297))</f>
        <v>Yes</v>
      </c>
      <c r="BM297" s="0" t="s">
        <v>63</v>
      </c>
      <c r="BN297" s="0" t="str">
        <f aca="false">PROPER(IF(ISBLANK(BM297),"Not Mentioned",BM297))</f>
        <v>Yes</v>
      </c>
      <c r="BP297" s="0" t="str">
        <f aca="false">IF(ISBLANK(BO297),"One-Time Plan",BO297)</f>
        <v>One-Time Plan</v>
      </c>
      <c r="BQ297" s="0" t="s">
        <v>198</v>
      </c>
      <c r="BR297" s="0" t="str">
        <f aca="false">PROPER(IF(ISBLANK(BQ297),"No",BQ297))</f>
        <v>Followed Up</v>
      </c>
    </row>
    <row r="298" customFormat="false" ht="15" hidden="false" customHeight="false" outlineLevel="0" collapsed="false">
      <c r="A298" s="0" t="s">
        <v>845</v>
      </c>
      <c r="B298" s="2" t="n">
        <v>45809</v>
      </c>
      <c r="C298" s="2" t="str">
        <f aca="false">TEXT(B298,"dd/mm/yyyy")</f>
        <v>01/06/2025</v>
      </c>
      <c r="D298" s="0" t="s">
        <v>42</v>
      </c>
      <c r="E298" s="0" t="n">
        <v>8070394210</v>
      </c>
      <c r="F298" s="0" t="s">
        <v>43</v>
      </c>
      <c r="G298" s="0" t="s">
        <v>2315</v>
      </c>
      <c r="H298" s="0" t="s">
        <v>846</v>
      </c>
      <c r="I298" s="0" t="s">
        <v>107</v>
      </c>
      <c r="J298" s="0" t="s">
        <v>2325</v>
      </c>
      <c r="K298" s="3" t="str">
        <f aca="false" t="array" ref="K298:K298">IFERROR(IF(J298&lt;&gt;"",J298,INDEX(J298:J1297,MATCH(1,(F298:F1297=F298)*(I298:I1297=I298)*(L298:L1297=L298)*(J298:J1297&lt;&gt;""),0))),"Not Found")</f>
        <v>Engine Knocking</v>
      </c>
      <c r="L298" s="3" t="s">
        <v>142</v>
      </c>
      <c r="M298" s="0" t="str">
        <f aca="false">PROPER(L298)</f>
        <v>Oil Filter, Brake Pads</v>
      </c>
      <c r="N298" s="3" t="s">
        <v>109</v>
      </c>
      <c r="O298" s="0" t="str">
        <f aca="false" t="array" ref="O298:O298">IF(N298&lt;&gt;"",N298,_xlfn.xlookup(1,(L298:L1297=L298)*(N298:N1297&lt;&gt;""),N298:N1297,"Not Found"))</f>
        <v>Tijani</v>
      </c>
      <c r="P298" s="4" t="n">
        <v>29895</v>
      </c>
      <c r="Q298" s="0" t="s">
        <v>166</v>
      </c>
      <c r="R298" s="0" t="str">
        <f aca="false">PROPER(Q298)</f>
        <v>Transfer</v>
      </c>
      <c r="S298" s="0" t="s">
        <v>63</v>
      </c>
      <c r="T298" s="0" t="n">
        <v>4</v>
      </c>
      <c r="U298" s="5" t="n">
        <f aca="false">IF(ISBLANK(T298),AVERAGE(T298:T1297),T298)</f>
        <v>4</v>
      </c>
      <c r="V298" s="0" t="n">
        <v>3.7</v>
      </c>
      <c r="W298" s="0" t="s">
        <v>111</v>
      </c>
      <c r="X298" s="0" t="str">
        <f aca="false">IF(ISBLANK(W298),"No remarks",W298)</f>
        <v>Changed all filters</v>
      </c>
      <c r="Y298" s="0" t="s">
        <v>52</v>
      </c>
      <c r="Z298" s="0" t="s">
        <v>94</v>
      </c>
      <c r="AA298" s="0" t="str">
        <f aca="false">PROPER(IF(ISBLANK(Z298),"Location Unavailable",Z298))</f>
        <v>Vip Section</v>
      </c>
      <c r="AB298" s="0" t="s">
        <v>147</v>
      </c>
      <c r="AC298" s="6" t="str">
        <f aca="false">PROPER(AB298)</f>
        <v>Instagram</v>
      </c>
      <c r="AD298" s="6" t="n">
        <v>45</v>
      </c>
      <c r="AE298" s="5" t="n">
        <f aca="false">IF(ISBLANK(AD298),AVERAGEIF(L298:L1297,L298,AD298:AD1297),AD298)</f>
        <v>45</v>
      </c>
      <c r="AF298" s="0" t="s">
        <v>112</v>
      </c>
      <c r="AG298" s="0" t="str">
        <f aca="false">PROPER(AF298)</f>
        <v>Unavailable</v>
      </c>
      <c r="AH298" s="0" t="s">
        <v>155</v>
      </c>
      <c r="AI298" s="0" t="s">
        <v>78</v>
      </c>
      <c r="AJ298" s="0" t="str">
        <f aca="false">PROPER(AI298)</f>
        <v>Booking</v>
      </c>
      <c r="AK298" s="0" t="s">
        <v>58</v>
      </c>
      <c r="AL298" s="0" t="str">
        <f aca="false">PROPER(AK298)</f>
        <v>Fleet Owner</v>
      </c>
      <c r="AM298" s="0" t="s">
        <v>2324</v>
      </c>
      <c r="AN298" s="0" t="str">
        <f aca="false">IF(ISBLANK(AM298),"Unknown",AM298)</f>
        <v>Logistics Convoy</v>
      </c>
      <c r="AO298" s="0" t="s">
        <v>79</v>
      </c>
      <c r="AP298" s="0" t="str">
        <f aca="false">IF(ISBLANK(AO298),"Unknown",AO298)</f>
        <v>Specialist</v>
      </c>
      <c r="AQ298" s="0" t="n">
        <v>20000</v>
      </c>
      <c r="AR298" s="5" t="n">
        <f aca="false">IF(ISBLANK(AQ298),AVERAGEIF(M298:M1297,M298,AQ298:AQ1297),AQ298)</f>
        <v>20000</v>
      </c>
      <c r="AS298" s="0" t="n">
        <v>30000</v>
      </c>
      <c r="AT298" s="5" t="n">
        <f aca="false">IF(ISBLANK(AS298),AVERAGE(AS298:AS1297),AS298)</f>
        <v>30000</v>
      </c>
      <c r="AU298" s="0" t="s">
        <v>82</v>
      </c>
      <c r="AV298" s="0" t="str">
        <f aca="false">PROPER(IF(ISBLANK(AU298),"No",AU298))</f>
        <v>Yes</v>
      </c>
      <c r="AW298" s="0" t="n">
        <v>5000</v>
      </c>
      <c r="AX298" s="5" t="n">
        <f aca="false">IF(ISBLANK(AW298),0,AW298)</f>
        <v>5000</v>
      </c>
      <c r="AZ298" s="0" t="str">
        <f aca="false">UPPER(IF(ISBLANK(AY298),"NONE",AY298))</f>
        <v>NONE</v>
      </c>
      <c r="BB298" s="7" t="str">
        <f aca="false">IF(ISBLANK(BA298),"No Follow Up Needed",BA298)</f>
        <v>No Follow Up Needed</v>
      </c>
      <c r="BC298" s="0" t="s">
        <v>82</v>
      </c>
      <c r="BD298" s="0" t="str">
        <f aca="false">PROPER(IF(ISBLANK(BC298),"Unknown",BC298))</f>
        <v>Yes</v>
      </c>
      <c r="BE298" s="0" t="s">
        <v>116</v>
      </c>
      <c r="BF298" s="0" t="str">
        <f aca="false">IF(ISBLANK(BE298),"No comments",BE298)</f>
        <v>Needs tire alignment</v>
      </c>
      <c r="BH298" s="0" t="str">
        <f aca="false">IF(ISBLANK(BG298),"No comments",BG298)</f>
        <v>No comments</v>
      </c>
      <c r="BI298" s="0" t="s">
        <v>50</v>
      </c>
      <c r="BJ298" s="0" t="str">
        <f aca="false">IF(ISBLANK(BI298),"Not Mentioned",BI298)</f>
        <v>No</v>
      </c>
      <c r="BK298" s="0" t="s">
        <v>61</v>
      </c>
      <c r="BL298" s="0" t="str">
        <f aca="false">PROPER(IF(ISBLANK(BK298),"Not Mentioned",BK298))</f>
        <v>No</v>
      </c>
      <c r="BN298" s="0" t="str">
        <f aca="false">PROPER(IF(ISBLANK(BM298),"Not Mentioned",BM298))</f>
        <v>Not Mentioned</v>
      </c>
      <c r="BO298" s="0" t="s">
        <v>2321</v>
      </c>
      <c r="BP298" s="0" t="str">
        <f aca="false">IF(ISBLANK(BO298),"One-Time Plan",BO298)</f>
        <v>One-Time Plan</v>
      </c>
      <c r="BQ298" s="0" t="s">
        <v>63</v>
      </c>
      <c r="BR298" s="0" t="str">
        <f aca="false">PROPER(IF(ISBLANK(BQ298),"No",BQ298))</f>
        <v>Yes</v>
      </c>
    </row>
    <row r="299" customFormat="false" ht="15" hidden="false" customHeight="false" outlineLevel="0" collapsed="false">
      <c r="A299" s="0" t="s">
        <v>847</v>
      </c>
      <c r="B299" s="2" t="n">
        <v>45811</v>
      </c>
      <c r="C299" s="2" t="str">
        <f aca="false">TEXT(B299,"dd/mm/yyyy")</f>
        <v>03/06/2025</v>
      </c>
      <c r="D299" s="0" t="s">
        <v>121</v>
      </c>
      <c r="E299" s="0" t="n">
        <v>8084953463</v>
      </c>
      <c r="F299" s="0" t="s">
        <v>43</v>
      </c>
      <c r="G299" s="0" t="s">
        <v>2315</v>
      </c>
      <c r="H299" s="0" t="s">
        <v>848</v>
      </c>
      <c r="I299" s="0" t="s">
        <v>87</v>
      </c>
      <c r="J299" s="0" t="s">
        <v>2322</v>
      </c>
      <c r="K299" s="3" t="str">
        <f aca="false" t="array" ref="K299:K299">IFERROR(IF(J299&lt;&gt;"",J299,INDEX(J299:J1298,MATCH(1,(F299:F1298=F299)*(I299:I1298=I299)*(L299:L1298=L299)*(J299:J1298&lt;&gt;""),0))),"Not Found")</f>
        <v>Brake Failure</v>
      </c>
      <c r="L299" s="3" t="s">
        <v>108</v>
      </c>
      <c r="M299" s="0" t="str">
        <f aca="false">PROPER(L299)</f>
        <v>Timing Belt</v>
      </c>
      <c r="O299" s="0" t="e">
        <f aca="false" t="array" ref="O299:O299">IF(N299&lt;&gt;"",N299,_xlfn.xlookup(1,(L299:L1298=L299)*(N299:N1298&lt;&gt;""),N299:N1298,"Not Found"))</f>
        <v>#NAME?</v>
      </c>
      <c r="P299" s="4" t="n">
        <v>25146</v>
      </c>
      <c r="Q299" s="0" t="s">
        <v>166</v>
      </c>
      <c r="R299" s="0" t="str">
        <f aca="false">PROPER(Q299)</f>
        <v>Transfer</v>
      </c>
      <c r="S299" s="0" t="s">
        <v>63</v>
      </c>
      <c r="T299" s="0" t="n">
        <v>3</v>
      </c>
      <c r="U299" s="5" t="n">
        <f aca="false">IF(ISBLANK(T299),AVERAGE(T299:T1298),T299)</f>
        <v>3</v>
      </c>
      <c r="V299" s="0" t="n">
        <v>3.8</v>
      </c>
      <c r="W299" s="0" t="s">
        <v>111</v>
      </c>
      <c r="X299" s="0" t="str">
        <f aca="false">IF(ISBLANK(W299),"No remarks",W299)</f>
        <v>Changed all filters</v>
      </c>
      <c r="Y299" s="0" t="s">
        <v>73</v>
      </c>
      <c r="AA299" s="0" t="str">
        <f aca="false">PROPER(IF(ISBLANK(Z299),"Location Unavailable",Z299))</f>
        <v>Location Unavailable</v>
      </c>
      <c r="AB299" s="0" t="s">
        <v>54</v>
      </c>
      <c r="AC299" s="6" t="str">
        <f aca="false">PROPER(AB299)</f>
        <v>Mechanic Referral</v>
      </c>
      <c r="AD299" s="6" t="n">
        <v>60</v>
      </c>
      <c r="AE299" s="5" t="n">
        <f aca="false">IF(ISBLANK(AD299),AVERAGEIF(L299:L1298,L299,AD299:AD1298),AD299)</f>
        <v>60</v>
      </c>
      <c r="AF299" s="0" t="s">
        <v>96</v>
      </c>
      <c r="AG299" s="0" t="str">
        <f aca="false">PROPER(AF299)</f>
        <v>Ordered</v>
      </c>
      <c r="AH299" s="0" t="s">
        <v>148</v>
      </c>
      <c r="AI299" s="0" t="s">
        <v>128</v>
      </c>
      <c r="AJ299" s="0" t="str">
        <f aca="false">PROPER(AI299)</f>
        <v>Normal</v>
      </c>
      <c r="AK299" s="0" t="s">
        <v>58</v>
      </c>
      <c r="AL299" s="0" t="str">
        <f aca="false">PROPER(AK299)</f>
        <v>Fleet Owner</v>
      </c>
      <c r="AN299" s="0" t="str">
        <f aca="false">IF(ISBLANK(AM299),"Unknown",AM299)</f>
        <v>Unknown</v>
      </c>
      <c r="AO299" s="0" t="s">
        <v>149</v>
      </c>
      <c r="AP299" s="0" t="str">
        <f aca="false">IF(ISBLANK(AO299),"Unknown",AO299)</f>
        <v>Senior </v>
      </c>
      <c r="AQ299" s="0" t="n">
        <v>20000</v>
      </c>
      <c r="AR299" s="5" t="n">
        <f aca="false">IF(ISBLANK(AQ299),AVERAGEIF(M299:M1298,M299,AQ299:AQ1298),AQ299)</f>
        <v>20000</v>
      </c>
      <c r="AS299" s="0" t="n">
        <v>20000</v>
      </c>
      <c r="AT299" s="5" t="n">
        <f aca="false">IF(ISBLANK(AS299),AVERAGE(AS299:AS1298),AS299)</f>
        <v>20000</v>
      </c>
      <c r="AU299" s="0" t="s">
        <v>63</v>
      </c>
      <c r="AV299" s="0" t="str">
        <f aca="false">PROPER(IF(ISBLANK(AU299),"No",AU299))</f>
        <v>Yes</v>
      </c>
      <c r="AX299" s="5" t="n">
        <f aca="false">IF(ISBLANK(AW299),0,AW299)</f>
        <v>0</v>
      </c>
      <c r="AY299" s="0" t="s">
        <v>184</v>
      </c>
      <c r="AZ299" s="0" t="str">
        <f aca="false">UPPER(IF(ISBLANK(AY299),"NONE",AY299))</f>
        <v>N/A</v>
      </c>
      <c r="BA299" s="7" t="n">
        <v>45757</v>
      </c>
      <c r="BB299" s="7" t="n">
        <f aca="false">IF(ISBLANK(BA299),"No Follow Up Needed",BA299)</f>
        <v>45757</v>
      </c>
      <c r="BD299" s="0" t="str">
        <f aca="false">PROPER(IF(ISBLANK(BC299),"Unknown",BC299))</f>
        <v>Unknown</v>
      </c>
      <c r="BF299" s="0" t="str">
        <f aca="false">IF(ISBLANK(BE299),"No comments",BE299)</f>
        <v>No comments</v>
      </c>
      <c r="BH299" s="0" t="str">
        <f aca="false">IF(ISBLANK(BG299),"No comments",BG299)</f>
        <v>No comments</v>
      </c>
      <c r="BI299" s="0" t="s">
        <v>50</v>
      </c>
      <c r="BJ299" s="0" t="str">
        <f aca="false">IF(ISBLANK(BI299),"Not Mentioned",BI299)</f>
        <v>No</v>
      </c>
      <c r="BK299" s="0" t="s">
        <v>63</v>
      </c>
      <c r="BL299" s="0" t="str">
        <f aca="false">PROPER(IF(ISBLANK(BK299),"Not Mentioned",BK299))</f>
        <v>Yes</v>
      </c>
      <c r="BN299" s="0" t="str">
        <f aca="false">PROPER(IF(ISBLANK(BM299),"Not Mentioned",BM299))</f>
        <v>Not Mentioned</v>
      </c>
      <c r="BO299" s="0" t="s">
        <v>64</v>
      </c>
      <c r="BP299" s="0" t="str">
        <f aca="false">IF(ISBLANK(BO299),"One-Time Plan",BO299)</f>
        <v>Gold Maintenance Plan</v>
      </c>
      <c r="BQ299" s="0" t="s">
        <v>198</v>
      </c>
      <c r="BR299" s="0" t="str">
        <f aca="false">PROPER(IF(ISBLANK(BQ299),"No",BQ299))</f>
        <v>Followed Up</v>
      </c>
    </row>
    <row r="300" customFormat="false" ht="15" hidden="false" customHeight="false" outlineLevel="0" collapsed="false">
      <c r="A300" s="0" t="s">
        <v>849</v>
      </c>
      <c r="B300" s="2" t="n">
        <v>45733</v>
      </c>
      <c r="C300" s="2" t="str">
        <f aca="false">TEXT(B300,"dd/mm/yyyy")</f>
        <v>17/03/2025</v>
      </c>
      <c r="D300" s="0" t="s">
        <v>163</v>
      </c>
      <c r="E300" s="0" t="n">
        <v>8014040500</v>
      </c>
      <c r="F300" s="0" t="s">
        <v>43</v>
      </c>
      <c r="G300" s="0" t="s">
        <v>2315</v>
      </c>
      <c r="H300" s="0" t="s">
        <v>850</v>
      </c>
      <c r="I300" s="0" t="s">
        <v>87</v>
      </c>
      <c r="J300" s="0" t="s">
        <v>2325</v>
      </c>
      <c r="K300" s="3" t="str">
        <f aca="false" t="array" ref="K300:K300">IFERROR(IF(J300&lt;&gt;"",J300,INDEX(J300:J1299,MATCH(1,(F300:F1299=F300)*(I300:I1299=I300)*(L300:L1299=L300)*(J300:J1299&lt;&gt;""),0))),"Not Found")</f>
        <v>Engine Knocking</v>
      </c>
      <c r="L300" s="3" t="s">
        <v>189</v>
      </c>
      <c r="M300" s="0" t="str">
        <f aca="false">PROPER(L300)</f>
        <v>Battery</v>
      </c>
      <c r="N300" s="3" t="s">
        <v>71</v>
      </c>
      <c r="O300" s="0" t="str">
        <f aca="false" t="array" ref="O300:O300">IF(N300&lt;&gt;"",N300,_xlfn.xlookup(1,(L300:L1299=L300)*(N300:N1299&lt;&gt;""),N300:N1299,"Not Found"))</f>
        <v>Isaac Bobo</v>
      </c>
      <c r="P300" s="4" t="n">
        <v>37164</v>
      </c>
      <c r="Q300" s="0" t="s">
        <v>124</v>
      </c>
      <c r="R300" s="0" t="str">
        <f aca="false">PROPER(Q300)</f>
        <v>Cash</v>
      </c>
      <c r="S300" s="0" t="s">
        <v>50</v>
      </c>
      <c r="T300" s="0" t="n">
        <v>1</v>
      </c>
      <c r="U300" s="5" t="n">
        <f aca="false">IF(ISBLANK(T300),AVERAGE(T300:T1299),T300)</f>
        <v>1</v>
      </c>
      <c r="V300" s="0" t="n">
        <v>3.4</v>
      </c>
      <c r="W300" s="0" t="s">
        <v>51</v>
      </c>
      <c r="X300" s="0" t="str">
        <f aca="false">IF(ISBLANK(W300),"No remarks",W300)</f>
        <v>Recommended further checks</v>
      </c>
      <c r="Y300" s="0" t="s">
        <v>93</v>
      </c>
      <c r="AA300" s="0" t="str">
        <f aca="false">PROPER(IF(ISBLANK(Z300),"Location Unavailable",Z300))</f>
        <v>Location Unavailable</v>
      </c>
      <c r="AB300" s="0" t="s">
        <v>95</v>
      </c>
      <c r="AC300" s="6" t="str">
        <f aca="false">PROPER(AB300)</f>
        <v>Road Sign</v>
      </c>
      <c r="AD300" s="6" t="n">
        <v>30</v>
      </c>
      <c r="AE300" s="5" t="n">
        <f aca="false">IF(ISBLANK(AD300),AVERAGEIF(L300:L1299,L300,AD300:AD1299),AD300)</f>
        <v>30</v>
      </c>
      <c r="AF300" s="0" t="s">
        <v>76</v>
      </c>
      <c r="AG300" s="0" t="str">
        <f aca="false">PROPER(AF300)</f>
        <v>Orderd</v>
      </c>
      <c r="AH300" s="0" t="s">
        <v>148</v>
      </c>
      <c r="AI300" s="0" t="s">
        <v>113</v>
      </c>
      <c r="AJ300" s="0" t="str">
        <f aca="false">PROPER(AI300)</f>
        <v>Normal</v>
      </c>
      <c r="AK300" s="0" t="s">
        <v>114</v>
      </c>
      <c r="AL300" s="0" t="str">
        <f aca="false">PROPER(AK300)</f>
        <v>Returning</v>
      </c>
      <c r="AN300" s="0" t="str">
        <f aca="false">IF(ISBLANK(AM300),"Unknown",AM300)</f>
        <v>Unknown</v>
      </c>
      <c r="AO300" s="0" t="s">
        <v>161</v>
      </c>
      <c r="AP300" s="0" t="str">
        <f aca="false">IF(ISBLANK(AO300),"Unknown",AO300)</f>
        <v>Apprentice</v>
      </c>
      <c r="AQ300" s="0" t="n">
        <v>15000</v>
      </c>
      <c r="AR300" s="5" t="n">
        <f aca="false">IF(ISBLANK(AQ300),AVERAGEIF(M300:M1299,M300,AQ300:AQ1299),AQ300)</f>
        <v>15000</v>
      </c>
      <c r="AS300" s="0" t="n">
        <v>35000</v>
      </c>
      <c r="AT300" s="5" t="n">
        <f aca="false">IF(ISBLANK(AS300),AVERAGE(AS300:AS1299),AS300)</f>
        <v>35000</v>
      </c>
      <c r="AU300" s="0" t="s">
        <v>61</v>
      </c>
      <c r="AV300" s="0" t="str">
        <f aca="false">PROPER(IF(ISBLANK(AU300),"No",AU300))</f>
        <v>No</v>
      </c>
      <c r="AX300" s="5" t="n">
        <f aca="false">IF(ISBLANK(AW300),0,AW300)</f>
        <v>0</v>
      </c>
      <c r="AY300" s="0" t="s">
        <v>130</v>
      </c>
      <c r="AZ300" s="0" t="str">
        <f aca="false">UPPER(IF(ISBLANK(AY300),"NONE",AY300))</f>
        <v>LOYALTY10</v>
      </c>
      <c r="BA300" s="7" t="n">
        <v>45915</v>
      </c>
      <c r="BB300" s="7" t="n">
        <f aca="false">IF(ISBLANK(BA300),"No Follow Up Needed",BA300)</f>
        <v>45915</v>
      </c>
      <c r="BC300" s="0" t="s">
        <v>61</v>
      </c>
      <c r="BD300" s="0" t="str">
        <f aca="false">PROPER(IF(ISBLANK(BC300),"Unknown",BC300))</f>
        <v>No</v>
      </c>
      <c r="BE300" s="0" t="s">
        <v>116</v>
      </c>
      <c r="BF300" s="0" t="str">
        <f aca="false">IF(ISBLANK(BE300),"No comments",BE300)</f>
        <v>Needs tire alignment</v>
      </c>
      <c r="BG300" s="0" t="s">
        <v>117</v>
      </c>
      <c r="BH300" s="0" t="str">
        <f aca="false">IF(ISBLANK(BG300),"No comments",BG300)</f>
        <v>Prefers morning</v>
      </c>
      <c r="BI300" s="0" t="s">
        <v>50</v>
      </c>
      <c r="BJ300" s="0" t="str">
        <f aca="false">IF(ISBLANK(BI300),"Not Mentioned",BI300)</f>
        <v>No</v>
      </c>
      <c r="BL300" s="0" t="str">
        <f aca="false">PROPER(IF(ISBLANK(BK300),"Not Mentioned",BK300))</f>
        <v>Not Mentioned</v>
      </c>
      <c r="BM300" s="0" t="s">
        <v>63</v>
      </c>
      <c r="BN300" s="0" t="str">
        <f aca="false">PROPER(IF(ISBLANK(BM300),"Not Mentioned",BM300))</f>
        <v>Yes</v>
      </c>
      <c r="BO300" s="0" t="s">
        <v>2318</v>
      </c>
      <c r="BP300" s="0" t="str">
        <f aca="false">IF(ISBLANK(BO300),"One-Time Plan",BO300)</f>
        <v>Gold</v>
      </c>
      <c r="BQ300" s="0" t="s">
        <v>50</v>
      </c>
      <c r="BR300" s="0" t="str">
        <f aca="false">PROPER(IF(ISBLANK(BQ300),"No",BQ300))</f>
        <v>No</v>
      </c>
    </row>
    <row r="301" customFormat="false" ht="15" hidden="false" customHeight="false" outlineLevel="0" collapsed="false">
      <c r="A301" s="0" t="s">
        <v>851</v>
      </c>
      <c r="B301" s="2" t="n">
        <v>45783</v>
      </c>
      <c r="C301" s="2" t="str">
        <f aca="false">TEXT(B301,"dd/mm/yyyy")</f>
        <v>06/05/2025</v>
      </c>
      <c r="D301" s="0" t="s">
        <v>66</v>
      </c>
      <c r="E301" s="0" t="n">
        <v>8060291405</v>
      </c>
      <c r="F301" s="0" t="s">
        <v>67</v>
      </c>
      <c r="G301" s="0" t="s">
        <v>2316</v>
      </c>
      <c r="H301" s="0" t="s">
        <v>852</v>
      </c>
      <c r="I301" s="0" t="s">
        <v>45</v>
      </c>
      <c r="J301" s="0" t="s">
        <v>2322</v>
      </c>
      <c r="K301" s="3" t="str">
        <f aca="false" t="array" ref="K301:K301">IFERROR(IF(J301&lt;&gt;"",J301,INDEX(J301:J1300,MATCH(1,(F301:F1300=F301)*(I301:I1300=I301)*(L301:L1300=L301)*(J301:J1300&lt;&gt;""),0))),"Not Found")</f>
        <v>Brake Failure</v>
      </c>
      <c r="L301" s="3" t="s">
        <v>154</v>
      </c>
      <c r="M301" s="0" t="str">
        <f aca="false">PROPER(L301)</f>
        <v>Air Filter</v>
      </c>
      <c r="N301" s="3" t="s">
        <v>48</v>
      </c>
      <c r="O301" s="0" t="str">
        <f aca="false" t="array" ref="O301:O301">IF(N301&lt;&gt;"",N301,_xlfn.xlookup(1,(L301:L1300=L301)*(N301:N1300&lt;&gt;""),N301:N1300,"Not Found"))</f>
        <v>Uche</v>
      </c>
      <c r="P301" s="4" t="n">
        <v>30631</v>
      </c>
      <c r="Q301" s="0" t="s">
        <v>49</v>
      </c>
      <c r="R301" s="0" t="str">
        <f aca="false">PROPER(Q301)</f>
        <v>Transfer</v>
      </c>
      <c r="S301" s="0" t="s">
        <v>50</v>
      </c>
      <c r="T301" s="0" t="n">
        <v>4</v>
      </c>
      <c r="U301" s="5" t="n">
        <f aca="false">IF(ISBLANK(T301),AVERAGE(T301:T1300),T301)</f>
        <v>4</v>
      </c>
      <c r="V301" s="0" t="n">
        <v>3.9</v>
      </c>
      <c r="W301" s="0" t="s">
        <v>125</v>
      </c>
      <c r="X301" s="0" t="str">
        <f aca="false">IF(ISBLANK(W301),"No remarks",W301)</f>
        <v>Customer waited</v>
      </c>
      <c r="Y301" s="0" t="s">
        <v>73</v>
      </c>
      <c r="AA301" s="0" t="str">
        <f aca="false">PROPER(IF(ISBLANK(Z301),"Location Unavailable",Z301))</f>
        <v>Location Unavailable</v>
      </c>
      <c r="AB301" s="0" t="s">
        <v>126</v>
      </c>
      <c r="AC301" s="6" t="str">
        <f aca="false">PROPER(AB301)</f>
        <v>Whatsapp</v>
      </c>
      <c r="AD301" s="6" t="n">
        <v>45</v>
      </c>
      <c r="AE301" s="5" t="n">
        <f aca="false">IF(ISBLANK(AD301),AVERAGEIF(L301:L1300,L301,AD301:AD1300),AD301)</f>
        <v>45</v>
      </c>
      <c r="AF301" s="0" t="s">
        <v>76</v>
      </c>
      <c r="AG301" s="0" t="str">
        <f aca="false">PROPER(AF301)</f>
        <v>Orderd</v>
      </c>
      <c r="AH301" s="0" t="s">
        <v>155</v>
      </c>
      <c r="AI301" s="0" t="s">
        <v>113</v>
      </c>
      <c r="AJ301" s="0" t="str">
        <f aca="false">PROPER(AI301)</f>
        <v>Normal</v>
      </c>
      <c r="AK301" s="0" t="s">
        <v>196</v>
      </c>
      <c r="AL301" s="0" t="str">
        <f aca="false">PROPER(AK301)</f>
        <v>First Time</v>
      </c>
      <c r="AN301" s="0" t="str">
        <f aca="false">IF(ISBLANK(AM301),"Unknown",AM301)</f>
        <v>Unknown</v>
      </c>
      <c r="AO301" s="0" t="s">
        <v>149</v>
      </c>
      <c r="AP301" s="0" t="str">
        <f aca="false">IF(ISBLANK(AO301),"Unknown",AO301)</f>
        <v>Senior </v>
      </c>
      <c r="AQ301" s="0" t="n">
        <v>25000</v>
      </c>
      <c r="AR301" s="5" t="n">
        <f aca="false">IF(ISBLANK(AQ301),AVERAGEIF(M301:M1300,M301,AQ301:AQ1300),AQ301)</f>
        <v>25000</v>
      </c>
      <c r="AS301" s="0" t="n">
        <v>35000</v>
      </c>
      <c r="AT301" s="5" t="n">
        <f aca="false">IF(ISBLANK(AS301),AVERAGE(AS301:AS1300),AS301)</f>
        <v>35000</v>
      </c>
      <c r="AU301" s="0" t="s">
        <v>61</v>
      </c>
      <c r="AV301" s="0" t="str">
        <f aca="false">PROPER(IF(ISBLANK(AU301),"No",AU301))</f>
        <v>No</v>
      </c>
      <c r="AW301" s="0" t="n">
        <v>5000</v>
      </c>
      <c r="AX301" s="5" t="n">
        <f aca="false">IF(ISBLANK(AW301),0,AW301)</f>
        <v>5000</v>
      </c>
      <c r="AY301" s="0" t="s">
        <v>60</v>
      </c>
      <c r="AZ301" s="0" t="str">
        <f aca="false">UPPER(IF(ISBLANK(AY301),"NONE",AY301))</f>
        <v>NONE</v>
      </c>
      <c r="BA301" s="7" t="s">
        <v>853</v>
      </c>
      <c r="BB301" s="7" t="str">
        <f aca="false">IF(ISBLANK(BA301),"No Follow Up Needed",BA301)</f>
        <v>25/10/2025</v>
      </c>
      <c r="BC301" s="0" t="s">
        <v>63</v>
      </c>
      <c r="BD301" s="0" t="str">
        <f aca="false">PROPER(IF(ISBLANK(BC301),"Unknown",BC301))</f>
        <v>Yes</v>
      </c>
      <c r="BF301" s="0" t="str">
        <f aca="false">IF(ISBLANK(BE301),"No comments",BE301)</f>
        <v>No comments</v>
      </c>
      <c r="BG301" s="0" t="s">
        <v>172</v>
      </c>
      <c r="BH301" s="0" t="str">
        <f aca="false">IF(ISBLANK(BG301),"No comments",BG301)</f>
        <v>Always late</v>
      </c>
      <c r="BI301" s="0" t="s">
        <v>63</v>
      </c>
      <c r="BJ301" s="0" t="str">
        <f aca="false">IF(ISBLANK(BI301),"Not Mentioned",BI301)</f>
        <v>Yes</v>
      </c>
      <c r="BK301" s="0" t="s">
        <v>63</v>
      </c>
      <c r="BL301" s="0" t="str">
        <f aca="false">PROPER(IF(ISBLANK(BK301),"Not Mentioned",BK301))</f>
        <v>Yes</v>
      </c>
      <c r="BM301" s="0" t="s">
        <v>63</v>
      </c>
      <c r="BN301" s="0" t="str">
        <f aca="false">PROPER(IF(ISBLANK(BM301),"Not Mentioned",BM301))</f>
        <v>Yes</v>
      </c>
      <c r="BO301" s="0" t="s">
        <v>2318</v>
      </c>
      <c r="BP301" s="0" t="str">
        <f aca="false">IF(ISBLANK(BO301),"One-Time Plan",BO301)</f>
        <v>Gold</v>
      </c>
      <c r="BQ301" s="0" t="s">
        <v>50</v>
      </c>
      <c r="BR301" s="0" t="str">
        <f aca="false">PROPER(IF(ISBLANK(BQ301),"No",BQ301))</f>
        <v>No</v>
      </c>
    </row>
    <row r="302" customFormat="false" ht="15" hidden="false" customHeight="false" outlineLevel="0" collapsed="false">
      <c r="A302" s="0" t="s">
        <v>854</v>
      </c>
      <c r="B302" s="2" t="n">
        <v>45740</v>
      </c>
      <c r="C302" s="2" t="str">
        <f aca="false">TEXT(B302,"dd/mm/yyyy")</f>
        <v>24/03/2025</v>
      </c>
      <c r="D302" s="0" t="s">
        <v>121</v>
      </c>
      <c r="E302" s="0" t="n">
        <v>8028649583</v>
      </c>
      <c r="F302" s="0" t="s">
        <v>67</v>
      </c>
      <c r="G302" s="0" t="s">
        <v>2316</v>
      </c>
      <c r="H302" s="0" t="s">
        <v>855</v>
      </c>
      <c r="I302" s="0" t="s">
        <v>45</v>
      </c>
      <c r="K302" s="3" t="str">
        <f aca="false" t="array" ref="K302:K302">IFERROR(IF(J302&lt;&gt;"",J302,INDEX(J302:J1301,MATCH(1,(F302:F1301=F302)*(I302:I1301=I302)*(L302:L1301=L302)*(J302:J1301&lt;&gt;""),0))),"Not Found")</f>
        <v>Suspension Noise</v>
      </c>
      <c r="L302" s="3" t="s">
        <v>154</v>
      </c>
      <c r="M302" s="0" t="str">
        <f aca="false">PROPER(L302)</f>
        <v>Air Filter</v>
      </c>
      <c r="N302" s="3" t="s">
        <v>71</v>
      </c>
      <c r="O302" s="0" t="str">
        <f aca="false" t="array" ref="O302:O302">IF(N302&lt;&gt;"",N302,_xlfn.xlookup(1,(L302:L1301=L302)*(N302:N1301&lt;&gt;""),N302:N1301,"Not Found"))</f>
        <v>Isaac Bobo</v>
      </c>
      <c r="P302" s="4" t="n">
        <v>25476</v>
      </c>
      <c r="Q302" s="0" t="s">
        <v>49</v>
      </c>
      <c r="R302" s="0" t="str">
        <f aca="false">PROPER(Q302)</f>
        <v>Transfer</v>
      </c>
      <c r="S302" s="0" t="s">
        <v>50</v>
      </c>
      <c r="T302" s="0" t="n">
        <v>4</v>
      </c>
      <c r="U302" s="5" t="n">
        <f aca="false">IF(ISBLANK(T302),AVERAGE(T302:T1301),T302)</f>
        <v>4</v>
      </c>
      <c r="V302" s="0" t="n">
        <v>3.7</v>
      </c>
      <c r="X302" s="0" t="str">
        <f aca="false">IF(ISBLANK(W302),"No remarks",W302)</f>
        <v>No remarks</v>
      </c>
      <c r="Y302" s="0" t="s">
        <v>52</v>
      </c>
      <c r="Z302" s="0" t="s">
        <v>136</v>
      </c>
      <c r="AA302" s="0" t="str">
        <f aca="false">PROPER(IF(ISBLANK(Z302),"Location Unavailable",Z302))</f>
        <v>Vip Section</v>
      </c>
      <c r="AB302" s="0" t="s">
        <v>126</v>
      </c>
      <c r="AC302" s="6" t="str">
        <f aca="false">PROPER(AB302)</f>
        <v>Whatsapp</v>
      </c>
      <c r="AD302" s="6" t="n">
        <v>60</v>
      </c>
      <c r="AE302" s="5" t="n">
        <f aca="false">IF(ISBLANK(AD302),AVERAGEIF(L302:L1301,L302,AD302:AD1301),AD302)</f>
        <v>60</v>
      </c>
      <c r="AF302" s="0" t="s">
        <v>112</v>
      </c>
      <c r="AG302" s="0" t="str">
        <f aca="false">PROPER(AF302)</f>
        <v>Unavailable</v>
      </c>
      <c r="AH302" s="0" t="s">
        <v>77</v>
      </c>
      <c r="AI302" s="0" t="s">
        <v>98</v>
      </c>
      <c r="AJ302" s="0" t="str">
        <f aca="false">PROPER(AI302)</f>
        <v>Emergency</v>
      </c>
      <c r="AK302" s="0" t="s">
        <v>114</v>
      </c>
      <c r="AL302" s="0" t="str">
        <f aca="false">PROPER(AK302)</f>
        <v>Returning</v>
      </c>
      <c r="AM302" s="0" t="s">
        <v>2326</v>
      </c>
      <c r="AN302" s="0" t="str">
        <f aca="false">IF(ISBLANK(AM302),"Unknown",AM302)</f>
        <v>Government Convoy</v>
      </c>
      <c r="AO302" s="0" t="s">
        <v>161</v>
      </c>
      <c r="AP302" s="0" t="str">
        <f aca="false">IF(ISBLANK(AO302),"Unknown",AO302)</f>
        <v>Apprentice</v>
      </c>
      <c r="AQ302" s="0" t="n">
        <v>15000</v>
      </c>
      <c r="AR302" s="5" t="n">
        <f aca="false">IF(ISBLANK(AQ302),AVERAGEIF(M302:M1301,M302,AQ302:AQ1301),AQ302)</f>
        <v>15000</v>
      </c>
      <c r="AS302" s="0" t="n">
        <v>35000</v>
      </c>
      <c r="AT302" s="5" t="n">
        <f aca="false">IF(ISBLANK(AS302),AVERAGE(AS302:AS1301),AS302)</f>
        <v>35000</v>
      </c>
      <c r="AU302" s="0" t="s">
        <v>61</v>
      </c>
      <c r="AV302" s="0" t="str">
        <f aca="false">PROPER(IF(ISBLANK(AU302),"No",AU302))</f>
        <v>No</v>
      </c>
      <c r="AW302" s="0" t="n">
        <v>5000</v>
      </c>
      <c r="AX302" s="5" t="n">
        <f aca="false">IF(ISBLANK(AW302),0,AW302)</f>
        <v>5000</v>
      </c>
      <c r="AY302" s="0" t="s">
        <v>60</v>
      </c>
      <c r="AZ302" s="0" t="str">
        <f aca="false">UPPER(IF(ISBLANK(AY302),"NONE",AY302))</f>
        <v>NONE</v>
      </c>
      <c r="BA302" s="7" t="n">
        <v>45695</v>
      </c>
      <c r="BB302" s="7" t="n">
        <f aca="false">IF(ISBLANK(BA302),"No Follow Up Needed",BA302)</f>
        <v>45695</v>
      </c>
      <c r="BC302" s="0" t="s">
        <v>61</v>
      </c>
      <c r="BD302" s="0" t="str">
        <f aca="false">PROPER(IF(ISBLANK(BC302),"Unknown",BC302))</f>
        <v>No</v>
      </c>
      <c r="BE302" s="0" t="s">
        <v>116</v>
      </c>
      <c r="BF302" s="0" t="str">
        <f aca="false">IF(ISBLANK(BE302),"No comments",BE302)</f>
        <v>Needs tire alignment</v>
      </c>
      <c r="BG302" s="0" t="s">
        <v>172</v>
      </c>
      <c r="BH302" s="0" t="str">
        <f aca="false">IF(ISBLANK(BG302),"No comments",BG302)</f>
        <v>Always late</v>
      </c>
      <c r="BI302" s="0" t="s">
        <v>50</v>
      </c>
      <c r="BJ302" s="0" t="str">
        <f aca="false">IF(ISBLANK(BI302),"Not Mentioned",BI302)</f>
        <v>No</v>
      </c>
      <c r="BL302" s="0" t="str">
        <f aca="false">PROPER(IF(ISBLANK(BK302),"Not Mentioned",BK302))</f>
        <v>Not Mentioned</v>
      </c>
      <c r="BN302" s="0" t="str">
        <f aca="false">PROPER(IF(ISBLANK(BM302),"Not Mentioned",BM302))</f>
        <v>Not Mentioned</v>
      </c>
      <c r="BP302" s="0" t="str">
        <f aca="false">IF(ISBLANK(BO302),"One-Time Plan",BO302)</f>
        <v>One-Time Plan</v>
      </c>
      <c r="BQ302" s="0" t="s">
        <v>50</v>
      </c>
      <c r="BR302" s="0" t="str">
        <f aca="false">PROPER(IF(ISBLANK(BQ302),"No",BQ302))</f>
        <v>No</v>
      </c>
    </row>
    <row r="303" customFormat="false" ht="15" hidden="false" customHeight="false" outlineLevel="0" collapsed="false">
      <c r="A303" s="0" t="s">
        <v>856</v>
      </c>
      <c r="B303" s="2" t="n">
        <v>45811</v>
      </c>
      <c r="C303" s="2" t="str">
        <f aca="false">TEXT(B303,"dd/mm/yyyy")</f>
        <v>03/06/2025</v>
      </c>
      <c r="D303" s="0" t="s">
        <v>121</v>
      </c>
      <c r="E303" s="0" t="n">
        <v>8087511871</v>
      </c>
      <c r="F303" s="0" t="s">
        <v>43</v>
      </c>
      <c r="G303" s="0" t="s">
        <v>2315</v>
      </c>
      <c r="H303" s="0" t="s">
        <v>857</v>
      </c>
      <c r="I303" s="0" t="s">
        <v>107</v>
      </c>
      <c r="J303" s="0" t="s">
        <v>2322</v>
      </c>
      <c r="K303" s="3" t="str">
        <f aca="false" t="array" ref="K303:K303">IFERROR(IF(J303&lt;&gt;"",J303,INDEX(J303:J1302,MATCH(1,(F303:F1302=F303)*(I303:I1302=I303)*(L303:L1302=L303)*(J303:J1302&lt;&gt;""),0))),"Not Found")</f>
        <v>Brake Failure</v>
      </c>
      <c r="L303" s="3" t="s">
        <v>47</v>
      </c>
      <c r="M303" s="0" t="str">
        <f aca="false">PROPER(L303)</f>
        <v>None</v>
      </c>
      <c r="N303" s="3" t="s">
        <v>48</v>
      </c>
      <c r="O303" s="0" t="str">
        <f aca="false" t="array" ref="O303:O303">IF(N303&lt;&gt;"",N303,_xlfn.xlookup(1,(L303:L1302=L303)*(N303:N1302&lt;&gt;""),N303:N1302,"Not Found"))</f>
        <v>Uche</v>
      </c>
      <c r="P303" s="4" t="n">
        <v>100018</v>
      </c>
      <c r="Q303" s="0" t="s">
        <v>110</v>
      </c>
      <c r="R303" s="0" t="str">
        <f aca="false">PROPER(Q303)</f>
        <v>Cash</v>
      </c>
      <c r="S303" s="0" t="s">
        <v>63</v>
      </c>
      <c r="T303" s="0" t="n">
        <v>2</v>
      </c>
      <c r="U303" s="5" t="n">
        <f aca="false">IF(ISBLANK(T303),AVERAGE(T303:T1302),T303)</f>
        <v>2</v>
      </c>
      <c r="V303" s="0" t="n">
        <v>2.2</v>
      </c>
      <c r="W303" s="0" t="s">
        <v>111</v>
      </c>
      <c r="X303" s="0" t="str">
        <f aca="false">IF(ISBLANK(W303),"No remarks",W303)</f>
        <v>Changed all filters</v>
      </c>
      <c r="Y303" s="0" t="s">
        <v>52</v>
      </c>
      <c r="Z303" s="0" t="s">
        <v>53</v>
      </c>
      <c r="AA303" s="0" t="str">
        <f aca="false">PROPER(IF(ISBLANK(Z303),"Location Unavailable",Z303))</f>
        <v>Main Bay</v>
      </c>
      <c r="AB303" s="0" t="s">
        <v>167</v>
      </c>
      <c r="AC303" s="6" t="str">
        <f aca="false">PROPER(AB303)</f>
        <v>Word Of Mouth</v>
      </c>
      <c r="AE303" s="5" t="n">
        <f aca="false">IF(ISBLANK(AD303),AVERAGEIF(L303:L1302,L303,AD303:AD1302),AD303)</f>
        <v>35.6470588235294</v>
      </c>
      <c r="AF303" s="0" t="s">
        <v>96</v>
      </c>
      <c r="AG303" s="0" t="str">
        <f aca="false">PROPER(AF303)</f>
        <v>Ordered</v>
      </c>
      <c r="AH303" s="0" t="s">
        <v>56</v>
      </c>
      <c r="AI303" s="0" t="s">
        <v>128</v>
      </c>
      <c r="AJ303" s="0" t="str">
        <f aca="false">PROPER(AI303)</f>
        <v>Normal</v>
      </c>
      <c r="AK303" s="0" t="s">
        <v>196</v>
      </c>
      <c r="AL303" s="0" t="str">
        <f aca="false">PROPER(AK303)</f>
        <v>First Time</v>
      </c>
      <c r="AM303" s="0" t="s">
        <v>177</v>
      </c>
      <c r="AN303" s="0" t="str">
        <f aca="false">IF(ISBLANK(AM303),"Unknown",AM303)</f>
        <v>Private</v>
      </c>
      <c r="AO303" s="0" t="s">
        <v>161</v>
      </c>
      <c r="AP303" s="0" t="str">
        <f aca="false">IF(ISBLANK(AO303),"Unknown",AO303)</f>
        <v>Apprentice</v>
      </c>
      <c r="AQ303" s="0" t="n">
        <v>30000</v>
      </c>
      <c r="AR303" s="5" t="n">
        <f aca="false">IF(ISBLANK(AQ303),AVERAGEIF(M303:M1302,M303,AQ303:AQ1302),AQ303)</f>
        <v>30000</v>
      </c>
      <c r="AT303" s="5" t="n">
        <f aca="false">IF(ISBLANK(AS303),AVERAGE(AS303:AS1302),AS303)</f>
        <v>31407.5993091537</v>
      </c>
      <c r="AU303" s="0" t="s">
        <v>61</v>
      </c>
      <c r="AV303" s="0" t="str">
        <f aca="false">PROPER(IF(ISBLANK(AU303),"No",AU303))</f>
        <v>No</v>
      </c>
      <c r="AW303" s="0" t="n">
        <v>0</v>
      </c>
      <c r="AX303" s="5" t="n">
        <f aca="false">IF(ISBLANK(AW303),0,AW303)</f>
        <v>0</v>
      </c>
      <c r="AY303" s="0" t="s">
        <v>80</v>
      </c>
      <c r="AZ303" s="0" t="str">
        <f aca="false">UPPER(IF(ISBLANK(AY303),"NONE",AY303))</f>
        <v>PROMO10</v>
      </c>
      <c r="BA303" s="7" t="n">
        <v>45942</v>
      </c>
      <c r="BB303" s="7" t="n">
        <f aca="false">IF(ISBLANK(BA303),"No Follow Up Needed",BA303)</f>
        <v>45942</v>
      </c>
      <c r="BC303" s="0" t="s">
        <v>50</v>
      </c>
      <c r="BD303" s="0" t="str">
        <f aca="false">PROPER(IF(ISBLANK(BC303),"Unknown",BC303))</f>
        <v>No</v>
      </c>
      <c r="BF303" s="0" t="str">
        <f aca="false">IF(ISBLANK(BE303),"No comments",BE303)</f>
        <v>No comments</v>
      </c>
      <c r="BH303" s="0" t="str">
        <f aca="false">IF(ISBLANK(BG303),"No comments",BG303)</f>
        <v>No comments</v>
      </c>
      <c r="BI303" s="0" t="s">
        <v>63</v>
      </c>
      <c r="BJ303" s="0" t="str">
        <f aca="false">IF(ISBLANK(BI303),"Not Mentioned",BI303)</f>
        <v>Yes</v>
      </c>
      <c r="BL303" s="0" t="str">
        <f aca="false">PROPER(IF(ISBLANK(BK303),"Not Mentioned",BK303))</f>
        <v>Not Mentioned</v>
      </c>
      <c r="BM303" s="0" t="s">
        <v>63</v>
      </c>
      <c r="BN303" s="0" t="str">
        <f aca="false">PROPER(IF(ISBLANK(BM303),"Not Mentioned",BM303))</f>
        <v>Yes</v>
      </c>
      <c r="BO303" s="0" t="s">
        <v>2318</v>
      </c>
      <c r="BP303" s="0" t="str">
        <f aca="false">IF(ISBLANK(BO303),"One-Time Plan",BO303)</f>
        <v>Gold</v>
      </c>
      <c r="BQ303" s="0" t="s">
        <v>198</v>
      </c>
      <c r="BR303" s="0" t="str">
        <f aca="false">PROPER(IF(ISBLANK(BQ303),"No",BQ303))</f>
        <v>Followed Up</v>
      </c>
    </row>
    <row r="304" customFormat="false" ht="15" hidden="false" customHeight="false" outlineLevel="0" collapsed="false">
      <c r="A304" s="0" t="s">
        <v>858</v>
      </c>
      <c r="B304" s="2" t="n">
        <v>45699</v>
      </c>
      <c r="C304" s="2" t="str">
        <f aca="false">TEXT(B304,"dd/mm/yyyy")</f>
        <v>11/02/2025</v>
      </c>
      <c r="D304" s="0" t="s">
        <v>42</v>
      </c>
      <c r="E304" s="0" t="n">
        <v>8027226260</v>
      </c>
      <c r="F304" s="0" t="s">
        <v>122</v>
      </c>
      <c r="G304" s="0" t="s">
        <v>2316</v>
      </c>
      <c r="H304" s="0" t="s">
        <v>859</v>
      </c>
      <c r="I304" s="0" t="s">
        <v>87</v>
      </c>
      <c r="J304" s="0" t="s">
        <v>2317</v>
      </c>
      <c r="K304" s="3" t="str">
        <f aca="false" t="array" ref="K304:K304">IFERROR(IF(J304&lt;&gt;"",J304,INDEX(J304:J1303,MATCH(1,(F304:F1303=F304)*(I304:I1303=I304)*(L304:L1303=L304)*(J304:J1303&lt;&gt;""),0))),"Not Found")</f>
        <v>Suspension Noise</v>
      </c>
      <c r="L304" s="3" t="s">
        <v>142</v>
      </c>
      <c r="M304" s="0" t="str">
        <f aca="false">PROPER(L304)</f>
        <v>Oil Filter, Brake Pads</v>
      </c>
      <c r="N304" s="3" t="s">
        <v>90</v>
      </c>
      <c r="O304" s="0" t="str">
        <f aca="false" t="array" ref="O304:O304">IF(N304&lt;&gt;"",N304,_xlfn.xlookup(1,(L304:L1303=L304)*(N304:N1303&lt;&gt;""),N304:N1303,"Not Found"))</f>
        <v>Musa</v>
      </c>
      <c r="P304" s="4" t="n">
        <v>101803</v>
      </c>
      <c r="Q304" s="0" t="s">
        <v>49</v>
      </c>
      <c r="R304" s="0" t="str">
        <f aca="false">PROPER(Q304)</f>
        <v>Transfer</v>
      </c>
      <c r="S304" s="0" t="s">
        <v>63</v>
      </c>
      <c r="T304" s="0" t="n">
        <v>4</v>
      </c>
      <c r="U304" s="5" t="n">
        <f aca="false">IF(ISBLANK(T304),AVERAGE(T304:T1303),T304)</f>
        <v>4</v>
      </c>
      <c r="V304" s="0" t="n">
        <v>5.7</v>
      </c>
      <c r="X304" s="0" t="str">
        <f aca="false">IF(ISBLANK(W304),"No remarks",W304)</f>
        <v>No remarks</v>
      </c>
      <c r="Y304" s="0" t="s">
        <v>93</v>
      </c>
      <c r="Z304" s="0" t="s">
        <v>74</v>
      </c>
      <c r="AA304" s="0" t="str">
        <f aca="false">PROPER(IF(ISBLANK(Z304),"Location Unavailable",Z304))</f>
        <v>Under Tree</v>
      </c>
      <c r="AB304" s="0" t="s">
        <v>126</v>
      </c>
      <c r="AC304" s="6" t="str">
        <f aca="false">PROPER(AB304)</f>
        <v>Whatsapp</v>
      </c>
      <c r="AD304" s="6" t="n">
        <v>60</v>
      </c>
      <c r="AE304" s="5" t="n">
        <f aca="false">IF(ISBLANK(AD304),AVERAGEIF(L304:L1303,L304,AD304:AD1303),AD304)</f>
        <v>60</v>
      </c>
      <c r="AF304" s="0" t="s">
        <v>76</v>
      </c>
      <c r="AG304" s="0" t="str">
        <f aca="false">PROPER(AF304)</f>
        <v>Orderd</v>
      </c>
      <c r="AH304" s="0" t="s">
        <v>155</v>
      </c>
      <c r="AI304" s="0" t="s">
        <v>78</v>
      </c>
      <c r="AJ304" s="0" t="str">
        <f aca="false">PROPER(AI304)</f>
        <v>Booking</v>
      </c>
      <c r="AK304" s="0" t="s">
        <v>99</v>
      </c>
      <c r="AL304" s="0" t="str">
        <f aca="false">PROPER(AK304)</f>
        <v>Uber Driver</v>
      </c>
      <c r="AM304" s="0" t="s">
        <v>177</v>
      </c>
      <c r="AN304" s="0" t="str">
        <f aca="false">IF(ISBLANK(AM304),"Unknown",AM304)</f>
        <v>Private</v>
      </c>
      <c r="AO304" s="0" t="s">
        <v>79</v>
      </c>
      <c r="AP304" s="0" t="str">
        <f aca="false">IF(ISBLANK(AO304),"Unknown",AO304)</f>
        <v>Specialist</v>
      </c>
      <c r="AQ304" s="0" t="n">
        <v>30000</v>
      </c>
      <c r="AR304" s="5" t="n">
        <f aca="false">IF(ISBLANK(AQ304),AVERAGEIF(M304:M1303,M304,AQ304:AQ1303),AQ304)</f>
        <v>30000</v>
      </c>
      <c r="AS304" s="0" t="n">
        <v>30000</v>
      </c>
      <c r="AT304" s="5" t="n">
        <f aca="false">IF(ISBLANK(AS304),AVERAGE(AS304:AS1303),AS304)</f>
        <v>30000</v>
      </c>
      <c r="AU304" s="0" t="s">
        <v>82</v>
      </c>
      <c r="AV304" s="0" t="str">
        <f aca="false">PROPER(IF(ISBLANK(AU304),"No",AU304))</f>
        <v>Yes</v>
      </c>
      <c r="AW304" s="0" t="n">
        <v>5000</v>
      </c>
      <c r="AX304" s="5" t="n">
        <f aca="false">IF(ISBLANK(AW304),0,AW304)</f>
        <v>5000</v>
      </c>
      <c r="AY304" s="0" t="s">
        <v>80</v>
      </c>
      <c r="AZ304" s="0" t="str">
        <f aca="false">UPPER(IF(ISBLANK(AY304),"NONE",AY304))</f>
        <v>PROMO10</v>
      </c>
      <c r="BA304" s="7" t="s">
        <v>860</v>
      </c>
      <c r="BB304" s="7" t="str">
        <f aca="false">IF(ISBLANK(BA304),"No Follow Up Needed",BA304)</f>
        <v>14/07/2025</v>
      </c>
      <c r="BD304" s="0" t="str">
        <f aca="false">PROPER(IF(ISBLANK(BC304),"Unknown",BC304))</f>
        <v>Unknown</v>
      </c>
      <c r="BF304" s="0" t="str">
        <f aca="false">IF(ISBLANK(BE304),"No comments",BE304)</f>
        <v>No comments</v>
      </c>
      <c r="BG304" s="0" t="s">
        <v>172</v>
      </c>
      <c r="BH304" s="0" t="str">
        <f aca="false">IF(ISBLANK(BG304),"No comments",BG304)</f>
        <v>Always late</v>
      </c>
      <c r="BI304" s="0" t="s">
        <v>50</v>
      </c>
      <c r="BJ304" s="0" t="str">
        <f aca="false">IF(ISBLANK(BI304),"Not Mentioned",BI304)</f>
        <v>No</v>
      </c>
      <c r="BL304" s="0" t="str">
        <f aca="false">PROPER(IF(ISBLANK(BK304),"Not Mentioned",BK304))</f>
        <v>Not Mentioned</v>
      </c>
      <c r="BM304" s="0" t="s">
        <v>63</v>
      </c>
      <c r="BN304" s="0" t="str">
        <f aca="false">PROPER(IF(ISBLANK(BM304),"Not Mentioned",BM304))</f>
        <v>Yes</v>
      </c>
      <c r="BO304" s="0" t="s">
        <v>64</v>
      </c>
      <c r="BP304" s="0" t="str">
        <f aca="false">IF(ISBLANK(BO304),"One-Time Plan",BO304)</f>
        <v>Gold Maintenance Plan</v>
      </c>
      <c r="BQ304" s="0" t="s">
        <v>190</v>
      </c>
      <c r="BR304" s="0" t="str">
        <f aca="false">PROPER(IF(ISBLANK(BQ304),"No",BQ304))</f>
        <v>Yes</v>
      </c>
    </row>
    <row r="305" customFormat="false" ht="15" hidden="false" customHeight="false" outlineLevel="0" collapsed="false">
      <c r="A305" s="0" t="s">
        <v>861</v>
      </c>
      <c r="B305" s="2" t="n">
        <v>45725</v>
      </c>
      <c r="C305" s="2" t="str">
        <f aca="false">TEXT(B305,"dd/mm/yyyy")</f>
        <v>09/03/2025</v>
      </c>
      <c r="D305" s="0" t="s">
        <v>105</v>
      </c>
      <c r="E305" s="0" t="n">
        <v>8051013170</v>
      </c>
      <c r="F305" s="0" t="s">
        <v>122</v>
      </c>
      <c r="G305" s="0" t="s">
        <v>2316</v>
      </c>
      <c r="H305" s="0" t="s">
        <v>862</v>
      </c>
      <c r="I305" s="0" t="s">
        <v>134</v>
      </c>
      <c r="J305" s="0" t="s">
        <v>87</v>
      </c>
      <c r="K305" s="3" t="str">
        <f aca="false" t="array" ref="K305:K305">IFERROR(IF(J305&lt;&gt;"",J305,INDEX(J305:J1304,MATCH(1,(F305:F1304=F305)*(I305:I1304=I305)*(L305:L1304=L305)*(J305:J1304&lt;&gt;""),0))),"Not Found")</f>
        <v>Oil Change</v>
      </c>
      <c r="L305" s="3" t="s">
        <v>89</v>
      </c>
      <c r="M305" s="0" t="str">
        <f aca="false">PROPER(L305)</f>
        <v>Shock Absorbers</v>
      </c>
      <c r="N305" s="3" t="s">
        <v>71</v>
      </c>
      <c r="O305" s="0" t="str">
        <f aca="false" t="array" ref="O305:O305">IF(N305&lt;&gt;"",N305,_xlfn.xlookup(1,(L305:L1304=L305)*(N305:N1304&lt;&gt;""),N305:N1304,"Not Found"))</f>
        <v>Isaac Bobo</v>
      </c>
      <c r="P305" s="4" t="n">
        <v>70338</v>
      </c>
      <c r="Q305" s="0" t="s">
        <v>49</v>
      </c>
      <c r="R305" s="0" t="str">
        <f aca="false">PROPER(Q305)</f>
        <v>Transfer</v>
      </c>
      <c r="S305" s="0" t="s">
        <v>63</v>
      </c>
      <c r="T305" s="0" t="n">
        <v>5</v>
      </c>
      <c r="U305" s="5" t="n">
        <f aca="false">IF(ISBLANK(T305),AVERAGE(T305:T1304),T305)</f>
        <v>5</v>
      </c>
      <c r="V305" s="0" t="n">
        <v>4.5</v>
      </c>
      <c r="W305" s="0" t="s">
        <v>125</v>
      </c>
      <c r="X305" s="0" t="str">
        <f aca="false">IF(ISBLANK(W305),"No remarks",W305)</f>
        <v>Customer waited</v>
      </c>
      <c r="Y305" s="0" t="s">
        <v>73</v>
      </c>
      <c r="Z305" s="0" t="s">
        <v>74</v>
      </c>
      <c r="AA305" s="0" t="str">
        <f aca="false">PROPER(IF(ISBLANK(Z305),"Location Unavailable",Z305))</f>
        <v>Under Tree</v>
      </c>
      <c r="AB305" s="0" t="s">
        <v>75</v>
      </c>
      <c r="AC305" s="6" t="str">
        <f aca="false">PROPER(AB305)</f>
        <v>Mechanik Referal</v>
      </c>
      <c r="AD305" s="6" t="n">
        <v>45</v>
      </c>
      <c r="AE305" s="5" t="n">
        <f aca="false">IF(ISBLANK(AD305),AVERAGEIF(L305:L1304,L305,AD305:AD1304),AD305)</f>
        <v>45</v>
      </c>
      <c r="AF305" s="0" t="s">
        <v>76</v>
      </c>
      <c r="AG305" s="0" t="str">
        <f aca="false">PROPER(AF305)</f>
        <v>Orderd</v>
      </c>
      <c r="AH305" s="0" t="s">
        <v>148</v>
      </c>
      <c r="AI305" s="0" t="s">
        <v>78</v>
      </c>
      <c r="AJ305" s="0" t="str">
        <f aca="false">PROPER(AI305)</f>
        <v>Booking</v>
      </c>
      <c r="AK305" s="0" t="s">
        <v>99</v>
      </c>
      <c r="AL305" s="0" t="str">
        <f aca="false">PROPER(AK305)</f>
        <v>Uber Driver</v>
      </c>
      <c r="AM305" s="0" t="s">
        <v>59</v>
      </c>
      <c r="AN305" s="0" t="str">
        <f aca="false">IF(ISBLANK(AM305),"Unknown",AM305)</f>
        <v>Bolt Driver</v>
      </c>
      <c r="AO305" s="0" t="s">
        <v>149</v>
      </c>
      <c r="AP305" s="0" t="str">
        <f aca="false">IF(ISBLANK(AO305),"Unknown",AO305)</f>
        <v>Senior </v>
      </c>
      <c r="AQ305" s="0" t="n">
        <v>20000</v>
      </c>
      <c r="AR305" s="5" t="n">
        <f aca="false">IF(ISBLANK(AQ305),AVERAGEIF(M305:M1304,M305,AQ305:AQ1304),AQ305)</f>
        <v>20000</v>
      </c>
      <c r="AT305" s="5" t="n">
        <f aca="false">IF(ISBLANK(AS305),AVERAGE(AS305:AS1304),AS305)</f>
        <v>31410.0346020761</v>
      </c>
      <c r="AU305" s="0" t="s">
        <v>61</v>
      </c>
      <c r="AV305" s="0" t="str">
        <f aca="false">PROPER(IF(ISBLANK(AU305),"No",AU305))</f>
        <v>No</v>
      </c>
      <c r="AW305" s="0" t="n">
        <v>10000</v>
      </c>
      <c r="AX305" s="5" t="n">
        <f aca="false">IF(ISBLANK(AW305),0,AW305)</f>
        <v>10000</v>
      </c>
      <c r="AZ305" s="0" t="str">
        <f aca="false">UPPER(IF(ISBLANK(AY305),"NONE",AY305))</f>
        <v>NONE</v>
      </c>
      <c r="BA305" s="7" t="n">
        <v>45988</v>
      </c>
      <c r="BB305" s="7" t="n">
        <f aca="false">IF(ISBLANK(BA305),"No Follow Up Needed",BA305)</f>
        <v>45988</v>
      </c>
      <c r="BC305" s="0" t="s">
        <v>82</v>
      </c>
      <c r="BD305" s="0" t="str">
        <f aca="false">PROPER(IF(ISBLANK(BC305),"Unknown",BC305))</f>
        <v>Yes</v>
      </c>
      <c r="BF305" s="0" t="str">
        <f aca="false">IF(ISBLANK(BE305),"No comments",BE305)</f>
        <v>No comments</v>
      </c>
      <c r="BG305" s="0" t="s">
        <v>2320</v>
      </c>
      <c r="BH305" s="0" t="str">
        <f aca="false">IF(ISBLANK(BG305),"No comments",BG305)</f>
        <v>No complaints</v>
      </c>
      <c r="BI305" s="0" t="s">
        <v>63</v>
      </c>
      <c r="BJ305" s="0" t="str">
        <f aca="false">IF(ISBLANK(BI305),"Not Mentioned",BI305)</f>
        <v>Yes</v>
      </c>
      <c r="BK305" s="0" t="s">
        <v>61</v>
      </c>
      <c r="BL305" s="0" t="str">
        <f aca="false">PROPER(IF(ISBLANK(BK305),"Not Mentioned",BK305))</f>
        <v>No</v>
      </c>
      <c r="BM305" s="0" t="s">
        <v>63</v>
      </c>
      <c r="BN305" s="0" t="str">
        <f aca="false">PROPER(IF(ISBLANK(BM305),"Not Mentioned",BM305))</f>
        <v>Yes</v>
      </c>
      <c r="BP305" s="0" t="str">
        <f aca="false">IF(ISBLANK(BO305),"One-Time Plan",BO305)</f>
        <v>One-Time Plan</v>
      </c>
      <c r="BQ305" s="0" t="s">
        <v>50</v>
      </c>
      <c r="BR305" s="0" t="str">
        <f aca="false">PROPER(IF(ISBLANK(BQ305),"No",BQ305))</f>
        <v>No</v>
      </c>
    </row>
    <row r="306" customFormat="false" ht="15" hidden="false" customHeight="false" outlineLevel="0" collapsed="false">
      <c r="A306" s="0" t="s">
        <v>863</v>
      </c>
      <c r="B306" s="2" t="n">
        <v>45658</v>
      </c>
      <c r="C306" s="2" t="str">
        <f aca="false">TEXT(B306,"dd/mm/yyyy")</f>
        <v>01/01/2025</v>
      </c>
      <c r="D306" s="0" t="s">
        <v>66</v>
      </c>
      <c r="E306" s="0" t="n">
        <v>8011299382</v>
      </c>
      <c r="F306" s="0" t="s">
        <v>139</v>
      </c>
      <c r="G306" s="0" t="s">
        <v>2323</v>
      </c>
      <c r="H306" s="0" t="s">
        <v>864</v>
      </c>
      <c r="I306" s="0" t="s">
        <v>107</v>
      </c>
      <c r="J306" s="0" t="s">
        <v>2325</v>
      </c>
      <c r="K306" s="3" t="str">
        <f aca="false" t="array" ref="K306:K306">IFERROR(IF(J306&lt;&gt;"",J306,INDEX(J306:J1305,MATCH(1,(F306:F1305=F306)*(I306:I1305=I306)*(L306:L1305=L306)*(J306:J1305&lt;&gt;""),0))),"Not Found")</f>
        <v>Engine Knocking</v>
      </c>
      <c r="L306" s="3" t="s">
        <v>142</v>
      </c>
      <c r="M306" s="0" t="str">
        <f aca="false">PROPER(L306)</f>
        <v>Oil Filter, Brake Pads</v>
      </c>
      <c r="N306" s="3" t="s">
        <v>109</v>
      </c>
      <c r="O306" s="0" t="str">
        <f aca="false" t="array" ref="O306:O306">IF(N306&lt;&gt;"",N306,_xlfn.xlookup(1,(L306:L1305=L306)*(N306:N1305&lt;&gt;""),N306:N1305,"Not Found"))</f>
        <v>Tijani</v>
      </c>
      <c r="P306" s="4" t="n">
        <v>63754</v>
      </c>
      <c r="Q306" s="0" t="s">
        <v>91</v>
      </c>
      <c r="R306" s="0" t="str">
        <f aca="false">PROPER(Q306)</f>
        <v>Pos</v>
      </c>
      <c r="S306" s="0" t="s">
        <v>50</v>
      </c>
      <c r="T306" s="0" t="n">
        <v>5</v>
      </c>
      <c r="U306" s="5" t="n">
        <f aca="false">IF(ISBLANK(T306),AVERAGE(T306:T1305),T306)</f>
        <v>5</v>
      </c>
      <c r="V306" s="0" t="n">
        <v>1.8</v>
      </c>
      <c r="W306" s="0" t="s">
        <v>125</v>
      </c>
      <c r="X306" s="0" t="str">
        <f aca="false">IF(ISBLANK(W306),"No remarks",W306)</f>
        <v>Customer waited</v>
      </c>
      <c r="Y306" s="0" t="s">
        <v>93</v>
      </c>
      <c r="Z306" s="0" t="s">
        <v>53</v>
      </c>
      <c r="AA306" s="0" t="str">
        <f aca="false">PROPER(IF(ISBLANK(Z306),"Location Unavailable",Z306))</f>
        <v>Main Bay</v>
      </c>
      <c r="AB306" s="0" t="s">
        <v>54</v>
      </c>
      <c r="AC306" s="6" t="str">
        <f aca="false">PROPER(AB306)</f>
        <v>Mechanic Referral</v>
      </c>
      <c r="AD306" s="6" t="n">
        <v>30</v>
      </c>
      <c r="AE306" s="5" t="n">
        <f aca="false">IF(ISBLANK(AD306),AVERAGEIF(L306:L1305,L306,AD306:AD1305),AD306)</f>
        <v>30</v>
      </c>
      <c r="AF306" s="0" t="s">
        <v>96</v>
      </c>
      <c r="AG306" s="0" t="str">
        <f aca="false">PROPER(AF306)</f>
        <v>Ordered</v>
      </c>
      <c r="AH306" s="0" t="s">
        <v>77</v>
      </c>
      <c r="AI306" s="0" t="s">
        <v>113</v>
      </c>
      <c r="AJ306" s="0" t="str">
        <f aca="false">PROPER(AI306)</f>
        <v>Normal</v>
      </c>
      <c r="AK306" s="0" t="s">
        <v>58</v>
      </c>
      <c r="AL306" s="0" t="str">
        <f aca="false">PROPER(AK306)</f>
        <v>Fleet Owner</v>
      </c>
      <c r="AM306" s="0" t="s">
        <v>59</v>
      </c>
      <c r="AN306" s="0" t="str">
        <f aca="false">IF(ISBLANK(AM306),"Unknown",AM306)</f>
        <v>Bolt Driver</v>
      </c>
      <c r="AO306" s="0" t="s">
        <v>161</v>
      </c>
      <c r="AP306" s="0" t="str">
        <f aca="false">IF(ISBLANK(AO306),"Unknown",AO306)</f>
        <v>Apprentice</v>
      </c>
      <c r="AQ306" s="0" t="n">
        <v>20000</v>
      </c>
      <c r="AR306" s="5" t="n">
        <f aca="false">IF(ISBLANK(AQ306),AVERAGEIF(M306:M1305,M306,AQ306:AQ1305),AQ306)</f>
        <v>20000</v>
      </c>
      <c r="AT306" s="5" t="n">
        <f aca="false">IF(ISBLANK(AS306),AVERAGE(AS306:AS1305),AS306)</f>
        <v>31410.0346020761</v>
      </c>
      <c r="AU306" s="0" t="s">
        <v>61</v>
      </c>
      <c r="AV306" s="0" t="str">
        <f aca="false">PROPER(IF(ISBLANK(AU306),"No",AU306))</f>
        <v>No</v>
      </c>
      <c r="AW306" s="0" t="n">
        <v>10000</v>
      </c>
      <c r="AX306" s="5" t="n">
        <f aca="false">IF(ISBLANK(AW306),0,AW306)</f>
        <v>10000</v>
      </c>
      <c r="AY306" s="0" t="s">
        <v>80</v>
      </c>
      <c r="AZ306" s="0" t="str">
        <f aca="false">UPPER(IF(ISBLANK(AY306),"NONE",AY306))</f>
        <v>PROMO10</v>
      </c>
      <c r="BB306" s="7" t="str">
        <f aca="false">IF(ISBLANK(BA306),"No Follow Up Needed",BA306)</f>
        <v>No Follow Up Needed</v>
      </c>
      <c r="BC306" s="0" t="s">
        <v>61</v>
      </c>
      <c r="BD306" s="0" t="str">
        <f aca="false">PROPER(IF(ISBLANK(BC306),"Unknown",BC306))</f>
        <v>No</v>
      </c>
      <c r="BE306" s="0" t="s">
        <v>171</v>
      </c>
      <c r="BF306" s="0" t="str">
        <f aca="false">IF(ISBLANK(BE306),"No comments",BE306)</f>
        <v>Shock absorber weakening</v>
      </c>
      <c r="BG306" s="0" t="s">
        <v>117</v>
      </c>
      <c r="BH306" s="0" t="str">
        <f aca="false">IF(ISBLANK(BG306),"No comments",BG306)</f>
        <v>Prefers morning</v>
      </c>
      <c r="BI306" s="0" t="s">
        <v>50</v>
      </c>
      <c r="BJ306" s="0" t="str">
        <f aca="false">IF(ISBLANK(BI306),"Not Mentioned",BI306)</f>
        <v>No</v>
      </c>
      <c r="BK306" s="0" t="s">
        <v>82</v>
      </c>
      <c r="BL306" s="0" t="str">
        <f aca="false">PROPER(IF(ISBLANK(BK306),"Not Mentioned",BK306))</f>
        <v>Yes</v>
      </c>
      <c r="BM306" s="0" t="s">
        <v>63</v>
      </c>
      <c r="BN306" s="0" t="str">
        <f aca="false">PROPER(IF(ISBLANK(BM306),"Not Mentioned",BM306))</f>
        <v>Yes</v>
      </c>
      <c r="BO306" s="0" t="s">
        <v>2321</v>
      </c>
      <c r="BP306" s="0" t="str">
        <f aca="false">IF(ISBLANK(BO306),"One-Time Plan",BO306)</f>
        <v>One-Time Plan</v>
      </c>
      <c r="BQ306" s="0" t="s">
        <v>50</v>
      </c>
      <c r="BR306" s="0" t="str">
        <f aca="false">PROPER(IF(ISBLANK(BQ306),"No",BQ306))</f>
        <v>No</v>
      </c>
    </row>
    <row r="307" customFormat="false" ht="15" hidden="false" customHeight="false" outlineLevel="0" collapsed="false">
      <c r="A307" s="0" t="s">
        <v>865</v>
      </c>
      <c r="B307" s="2" t="n">
        <v>45787</v>
      </c>
      <c r="C307" s="2" t="str">
        <f aca="false">TEXT(B307,"dd/mm/yyyy")</f>
        <v>10/05/2025</v>
      </c>
      <c r="D307" s="0" t="s">
        <v>105</v>
      </c>
      <c r="E307" s="0" t="n">
        <v>8077082048</v>
      </c>
      <c r="F307" s="0" t="s">
        <v>67</v>
      </c>
      <c r="G307" s="0" t="s">
        <v>2316</v>
      </c>
      <c r="H307" s="0" t="s">
        <v>866</v>
      </c>
      <c r="I307" s="0" t="s">
        <v>107</v>
      </c>
      <c r="J307" s="0" t="s">
        <v>2322</v>
      </c>
      <c r="K307" s="3" t="str">
        <f aca="false" t="array" ref="K307:K307">IFERROR(IF(J307&lt;&gt;"",J307,INDEX(J307:J1306,MATCH(1,(F307:F1306=F307)*(I307:I1306=I307)*(L307:L1306=L307)*(J307:J1306&lt;&gt;""),0))),"Not Found")</f>
        <v>Brake Failure</v>
      </c>
      <c r="L307" s="3" t="s">
        <v>108</v>
      </c>
      <c r="M307" s="0" t="str">
        <f aca="false">PROPER(L307)</f>
        <v>Timing Belt</v>
      </c>
      <c r="O307" s="0" t="e">
        <f aca="false" t="array" ref="O307:O307">IF(N307&lt;&gt;"",N307,_xlfn.xlookup(1,(L307:L1306=L307)*(N307:N1306&lt;&gt;""),N307:N1306,"Not Found"))</f>
        <v>#NAME?</v>
      </c>
      <c r="P307" s="4" t="n">
        <v>71152</v>
      </c>
      <c r="Q307" s="0" t="s">
        <v>49</v>
      </c>
      <c r="R307" s="0" t="str">
        <f aca="false">PROPER(Q307)</f>
        <v>Transfer</v>
      </c>
      <c r="S307" s="0" t="s">
        <v>63</v>
      </c>
      <c r="T307" s="0" t="n">
        <v>3</v>
      </c>
      <c r="U307" s="5" t="n">
        <f aca="false">IF(ISBLANK(T307),AVERAGE(T307:T1306),T307)</f>
        <v>3</v>
      </c>
      <c r="V307" s="0" t="n">
        <v>4.5</v>
      </c>
      <c r="W307" s="0" t="s">
        <v>92</v>
      </c>
      <c r="X307" s="0" t="str">
        <f aca="false">IF(ISBLANK(W307),"No remarks",W307)</f>
        <v>Urgent service</v>
      </c>
      <c r="Y307" s="0" t="s">
        <v>93</v>
      </c>
      <c r="AA307" s="0" t="str">
        <f aca="false">PROPER(IF(ISBLANK(Z307),"Location Unavailable",Z307))</f>
        <v>Location Unavailable</v>
      </c>
      <c r="AB307" s="0" t="s">
        <v>126</v>
      </c>
      <c r="AC307" s="6" t="str">
        <f aca="false">PROPER(AB307)</f>
        <v>Whatsapp</v>
      </c>
      <c r="AD307" s="6" t="n">
        <v>60</v>
      </c>
      <c r="AE307" s="5" t="n">
        <f aca="false">IF(ISBLANK(AD307),AVERAGEIF(L307:L1306,L307,AD307:AD1306),AD307)</f>
        <v>60</v>
      </c>
      <c r="AF307" s="0" t="s">
        <v>112</v>
      </c>
      <c r="AG307" s="0" t="str">
        <f aca="false">PROPER(AF307)</f>
        <v>Unavailable</v>
      </c>
      <c r="AH307" s="0" t="s">
        <v>148</v>
      </c>
      <c r="AI307" s="0" t="s">
        <v>98</v>
      </c>
      <c r="AJ307" s="0" t="str">
        <f aca="false">PROPER(AI307)</f>
        <v>Emergency</v>
      </c>
      <c r="AK307" s="0" t="s">
        <v>58</v>
      </c>
      <c r="AL307" s="0" t="str">
        <f aca="false">PROPER(AK307)</f>
        <v>Fleet Owner</v>
      </c>
      <c r="AM307" s="0" t="s">
        <v>2324</v>
      </c>
      <c r="AN307" s="0" t="str">
        <f aca="false">IF(ISBLANK(AM307),"Unknown",AM307)</f>
        <v>Logistics Convoy</v>
      </c>
      <c r="AO307" s="0" t="s">
        <v>79</v>
      </c>
      <c r="AP307" s="0" t="str">
        <f aca="false">IF(ISBLANK(AO307),"Unknown",AO307)</f>
        <v>Specialist</v>
      </c>
      <c r="AQ307" s="0" t="n">
        <v>15000</v>
      </c>
      <c r="AR307" s="5" t="n">
        <f aca="false">IF(ISBLANK(AQ307),AVERAGEIF(M307:M1306,M307,AQ307:AQ1306),AQ307)</f>
        <v>15000</v>
      </c>
      <c r="AS307" s="0" t="n">
        <v>30000</v>
      </c>
      <c r="AT307" s="5" t="n">
        <f aca="false">IF(ISBLANK(AS307),AVERAGE(AS307:AS1306),AS307)</f>
        <v>30000</v>
      </c>
      <c r="AU307" s="0" t="s">
        <v>50</v>
      </c>
      <c r="AV307" s="0" t="str">
        <f aca="false">PROPER(IF(ISBLANK(AU307),"No",AU307))</f>
        <v>No</v>
      </c>
      <c r="AX307" s="5" t="n">
        <f aca="false">IF(ISBLANK(AW307),0,AW307)</f>
        <v>0</v>
      </c>
      <c r="AY307" s="0" t="s">
        <v>130</v>
      </c>
      <c r="AZ307" s="0" t="str">
        <f aca="false">UPPER(IF(ISBLANK(AY307),"NONE",AY307))</f>
        <v>LOYALTY10</v>
      </c>
      <c r="BA307" s="7" t="n">
        <v>45944</v>
      </c>
      <c r="BB307" s="7" t="n">
        <f aca="false">IF(ISBLANK(BA307),"No Follow Up Needed",BA307)</f>
        <v>45944</v>
      </c>
      <c r="BC307" s="0" t="s">
        <v>63</v>
      </c>
      <c r="BD307" s="0" t="str">
        <f aca="false">PROPER(IF(ISBLANK(BC307),"Unknown",BC307))</f>
        <v>Yes</v>
      </c>
      <c r="BF307" s="0" t="str">
        <f aca="false">IF(ISBLANK(BE307),"No comments",BE307)</f>
        <v>No comments</v>
      </c>
      <c r="BG307" s="0" t="s">
        <v>2320</v>
      </c>
      <c r="BH307" s="0" t="str">
        <f aca="false">IF(ISBLANK(BG307),"No comments",BG307)</f>
        <v>No complaints</v>
      </c>
      <c r="BI307" s="0" t="s">
        <v>63</v>
      </c>
      <c r="BJ307" s="0" t="str">
        <f aca="false">IF(ISBLANK(BI307),"Not Mentioned",BI307)</f>
        <v>Yes</v>
      </c>
      <c r="BK307" s="0" t="s">
        <v>82</v>
      </c>
      <c r="BL307" s="0" t="str">
        <f aca="false">PROPER(IF(ISBLANK(BK307),"Not Mentioned",BK307))</f>
        <v>Yes</v>
      </c>
      <c r="BN307" s="0" t="str">
        <f aca="false">PROPER(IF(ISBLANK(BM307),"Not Mentioned",BM307))</f>
        <v>Not Mentioned</v>
      </c>
      <c r="BO307" s="0" t="s">
        <v>2318</v>
      </c>
      <c r="BP307" s="0" t="str">
        <f aca="false">IF(ISBLANK(BO307),"One-Time Plan",BO307)</f>
        <v>Gold</v>
      </c>
      <c r="BQ307" s="0" t="s">
        <v>190</v>
      </c>
      <c r="BR307" s="0" t="str">
        <f aca="false">PROPER(IF(ISBLANK(BQ307),"No",BQ307))</f>
        <v>Yes</v>
      </c>
    </row>
    <row r="308" customFormat="false" ht="15" hidden="false" customHeight="false" outlineLevel="0" collapsed="false">
      <c r="A308" s="0" t="s">
        <v>867</v>
      </c>
      <c r="B308" s="2" t="n">
        <v>45816</v>
      </c>
      <c r="C308" s="2" t="str">
        <f aca="false">TEXT(B308,"dd/mm/yyyy")</f>
        <v>08/06/2025</v>
      </c>
      <c r="D308" s="0" t="s">
        <v>121</v>
      </c>
      <c r="E308" s="0" t="n">
        <v>8098429098</v>
      </c>
      <c r="F308" s="0" t="s">
        <v>139</v>
      </c>
      <c r="G308" s="0" t="s">
        <v>2323</v>
      </c>
      <c r="H308" s="0" t="s">
        <v>868</v>
      </c>
      <c r="I308" s="0" t="s">
        <v>45</v>
      </c>
      <c r="J308" s="0" t="s">
        <v>2317</v>
      </c>
      <c r="K308" s="3" t="str">
        <f aca="false" t="array" ref="K308:K308">IFERROR(IF(J308&lt;&gt;"",J308,INDEX(J308:J1307,MATCH(1,(F308:F1307=F308)*(I308:I1307=I308)*(L308:L1307=L308)*(J308:J1307&lt;&gt;""),0))),"Not Found")</f>
        <v>Suspension Noise</v>
      </c>
      <c r="L308" s="3" t="s">
        <v>154</v>
      </c>
      <c r="M308" s="0" t="str">
        <f aca="false">PROPER(L308)</f>
        <v>Air Filter</v>
      </c>
      <c r="O308" s="0" t="e">
        <f aca="false" t="array" ref="O308:O308">IF(N308&lt;&gt;"",N308,_xlfn.xlookup(1,(L308:L1307=L308)*(N308:N1307&lt;&gt;""),N308:N1307,"Not Found"))</f>
        <v>#NAME?</v>
      </c>
      <c r="P308" s="4" t="n">
        <v>108652</v>
      </c>
      <c r="Q308" s="0" t="s">
        <v>124</v>
      </c>
      <c r="R308" s="0" t="str">
        <f aca="false">PROPER(Q308)</f>
        <v>Cash</v>
      </c>
      <c r="S308" s="0" t="s">
        <v>63</v>
      </c>
      <c r="T308" s="0" t="n">
        <v>3</v>
      </c>
      <c r="U308" s="5" t="n">
        <f aca="false">IF(ISBLANK(T308),AVERAGE(T308:T1307),T308)</f>
        <v>3</v>
      </c>
      <c r="V308" s="0" t="n">
        <v>3.7</v>
      </c>
      <c r="X308" s="0" t="str">
        <f aca="false">IF(ISBLANK(W308),"No remarks",W308)</f>
        <v>No remarks</v>
      </c>
      <c r="Y308" s="0" t="s">
        <v>73</v>
      </c>
      <c r="Z308" s="0" t="s">
        <v>53</v>
      </c>
      <c r="AA308" s="0" t="str">
        <f aca="false">PROPER(IF(ISBLANK(Z308),"Location Unavailable",Z308))</f>
        <v>Main Bay</v>
      </c>
      <c r="AB308" s="0" t="s">
        <v>75</v>
      </c>
      <c r="AC308" s="6" t="str">
        <f aca="false">PROPER(AB308)</f>
        <v>Mechanik Referal</v>
      </c>
      <c r="AD308" s="6" t="n">
        <v>60</v>
      </c>
      <c r="AE308" s="5" t="n">
        <f aca="false">IF(ISBLANK(AD308),AVERAGEIF(L308:L1307,L308,AD308:AD1307),AD308)</f>
        <v>60</v>
      </c>
      <c r="AF308" s="0" t="s">
        <v>55</v>
      </c>
      <c r="AG308" s="0" t="str">
        <f aca="false">PROPER(AF308)</f>
        <v>Available</v>
      </c>
      <c r="AH308" s="0" t="s">
        <v>77</v>
      </c>
      <c r="AI308" s="0" t="s">
        <v>98</v>
      </c>
      <c r="AJ308" s="0" t="str">
        <f aca="false">PROPER(AI308)</f>
        <v>Emergency</v>
      </c>
      <c r="AK308" s="0" t="s">
        <v>196</v>
      </c>
      <c r="AL308" s="0" t="str">
        <f aca="false">PROPER(AK308)</f>
        <v>First Time</v>
      </c>
      <c r="AN308" s="0" t="str">
        <f aca="false">IF(ISBLANK(AM308),"Unknown",AM308)</f>
        <v>Unknown</v>
      </c>
      <c r="AO308" s="0" t="s">
        <v>79</v>
      </c>
      <c r="AP308" s="0" t="str">
        <f aca="false">IF(ISBLANK(AO308),"Unknown",AO308)</f>
        <v>Specialist</v>
      </c>
      <c r="AQ308" s="0" t="n">
        <v>40000</v>
      </c>
      <c r="AR308" s="5" t="n">
        <f aca="false">IF(ISBLANK(AQ308),AVERAGEIF(M308:M1307,M308,AQ308:AQ1307),AQ308)</f>
        <v>40000</v>
      </c>
      <c r="AT308" s="5" t="n">
        <f aca="false">IF(ISBLANK(AS308),AVERAGE(AS308:AS1307),AS308)</f>
        <v>31412.4783362218</v>
      </c>
      <c r="AU308" s="0" t="s">
        <v>82</v>
      </c>
      <c r="AV308" s="0" t="str">
        <f aca="false">PROPER(IF(ISBLANK(AU308),"No",AU308))</f>
        <v>Yes</v>
      </c>
      <c r="AX308" s="5" t="n">
        <f aca="false">IF(ISBLANK(AW308),0,AW308)</f>
        <v>0</v>
      </c>
      <c r="AY308" s="0" t="s">
        <v>184</v>
      </c>
      <c r="AZ308" s="0" t="str">
        <f aca="false">UPPER(IF(ISBLANK(AY308),"NONE",AY308))</f>
        <v>N/A</v>
      </c>
      <c r="BB308" s="7" t="str">
        <f aca="false">IF(ISBLANK(BA308),"No Follow Up Needed",BA308)</f>
        <v>No Follow Up Needed</v>
      </c>
      <c r="BC308" s="0" t="s">
        <v>50</v>
      </c>
      <c r="BD308" s="0" t="str">
        <f aca="false">PROPER(IF(ISBLANK(BC308),"Unknown",BC308))</f>
        <v>No</v>
      </c>
      <c r="BF308" s="0" t="str">
        <f aca="false">IF(ISBLANK(BE308),"No comments",BE308)</f>
        <v>No comments</v>
      </c>
      <c r="BG308" s="0" t="s">
        <v>117</v>
      </c>
      <c r="BH308" s="0" t="str">
        <f aca="false">IF(ISBLANK(BG308),"No comments",BG308)</f>
        <v>Prefers morning</v>
      </c>
      <c r="BI308" s="0" t="s">
        <v>50</v>
      </c>
      <c r="BJ308" s="0" t="str">
        <f aca="false">IF(ISBLANK(BI308),"Not Mentioned",BI308)</f>
        <v>No</v>
      </c>
      <c r="BK308" s="0" t="s">
        <v>61</v>
      </c>
      <c r="BL308" s="0" t="str">
        <f aca="false">PROPER(IF(ISBLANK(BK308),"Not Mentioned",BK308))</f>
        <v>No</v>
      </c>
      <c r="BN308" s="0" t="str">
        <f aca="false">PROPER(IF(ISBLANK(BM308),"Not Mentioned",BM308))</f>
        <v>Not Mentioned</v>
      </c>
      <c r="BO308" s="0" t="s">
        <v>2318</v>
      </c>
      <c r="BP308" s="0" t="str">
        <f aca="false">IF(ISBLANK(BO308),"One-Time Plan",BO308)</f>
        <v>Gold</v>
      </c>
      <c r="BQ308" s="0" t="s">
        <v>50</v>
      </c>
      <c r="BR308" s="0" t="str">
        <f aca="false">PROPER(IF(ISBLANK(BQ308),"No",BQ308))</f>
        <v>No</v>
      </c>
    </row>
    <row r="309" customFormat="false" ht="15" hidden="false" customHeight="false" outlineLevel="0" collapsed="false">
      <c r="A309" s="0" t="s">
        <v>870</v>
      </c>
      <c r="B309" s="2" t="s">
        <v>869</v>
      </c>
      <c r="C309" s="2" t="str">
        <f aca="false">TEXT(B309,"dd/mm/yyyy")</f>
        <v>17/01/2025</v>
      </c>
      <c r="D309" s="0" t="s">
        <v>66</v>
      </c>
      <c r="E309" s="0" t="n">
        <v>8057601987</v>
      </c>
      <c r="F309" s="0" t="s">
        <v>122</v>
      </c>
      <c r="G309" s="0" t="s">
        <v>2316</v>
      </c>
      <c r="H309" s="0" t="s">
        <v>871</v>
      </c>
      <c r="I309" s="0" t="s">
        <v>107</v>
      </c>
      <c r="J309" s="0" t="s">
        <v>2325</v>
      </c>
      <c r="K309" s="3" t="str">
        <f aca="false" t="array" ref="K309:K309">IFERROR(IF(J309&lt;&gt;"",J309,INDEX(J309:J1308,MATCH(1,(F309:F1308=F309)*(I309:I1308=I309)*(L309:L1308=L309)*(J309:J1308&lt;&gt;""),0))),"Not Found")</f>
        <v>Engine Knocking</v>
      </c>
      <c r="L309" s="3" t="s">
        <v>108</v>
      </c>
      <c r="M309" s="0" t="str">
        <f aca="false">PROPER(L309)</f>
        <v>Timing Belt</v>
      </c>
      <c r="N309" s="3" t="s">
        <v>90</v>
      </c>
      <c r="O309" s="0" t="str">
        <f aca="false" t="array" ref="O309:O309">IF(N309&lt;&gt;"",N309,_xlfn.xlookup(1,(L309:L1308=L309)*(N309:N1308&lt;&gt;""),N309:N1308,"Not Found"))</f>
        <v>Musa</v>
      </c>
      <c r="P309" s="4" t="n">
        <v>96531</v>
      </c>
      <c r="Q309" s="0" t="s">
        <v>124</v>
      </c>
      <c r="R309" s="0" t="str">
        <f aca="false">PROPER(Q309)</f>
        <v>Cash</v>
      </c>
      <c r="S309" s="0" t="s">
        <v>50</v>
      </c>
      <c r="T309" s="0" t="n">
        <v>2</v>
      </c>
      <c r="U309" s="5" t="n">
        <f aca="false">IF(ISBLANK(T309),AVERAGE(T309:T1308),T309)</f>
        <v>2</v>
      </c>
      <c r="V309" s="0" t="n">
        <v>3</v>
      </c>
      <c r="W309" s="0" t="s">
        <v>111</v>
      </c>
      <c r="X309" s="0" t="str">
        <f aca="false">IF(ISBLANK(W309),"No remarks",W309)</f>
        <v>Changed all filters</v>
      </c>
      <c r="Y309" s="0" t="s">
        <v>52</v>
      </c>
      <c r="Z309" s="0" t="s">
        <v>159</v>
      </c>
      <c r="AA309" s="0" t="str">
        <f aca="false">PROPER(IF(ISBLANK(Z309),"Location Unavailable",Z309))</f>
        <v>Main Bay</v>
      </c>
      <c r="AB309" s="0" t="s">
        <v>167</v>
      </c>
      <c r="AC309" s="6" t="str">
        <f aca="false">PROPER(AB309)</f>
        <v>Word Of Mouth</v>
      </c>
      <c r="AD309" s="6" t="n">
        <v>60</v>
      </c>
      <c r="AE309" s="5" t="n">
        <f aca="false">IF(ISBLANK(AD309),AVERAGEIF(L309:L1308,L309,AD309:AD1308),AD309)</f>
        <v>60</v>
      </c>
      <c r="AF309" s="0" t="s">
        <v>96</v>
      </c>
      <c r="AG309" s="0" t="str">
        <f aca="false">PROPER(AF309)</f>
        <v>Ordered</v>
      </c>
      <c r="AH309" s="0" t="s">
        <v>155</v>
      </c>
      <c r="AI309" s="0" t="s">
        <v>113</v>
      </c>
      <c r="AJ309" s="0" t="str">
        <f aca="false">PROPER(AI309)</f>
        <v>Normal</v>
      </c>
      <c r="AK309" s="0" t="s">
        <v>114</v>
      </c>
      <c r="AL309" s="0" t="str">
        <f aca="false">PROPER(AK309)</f>
        <v>Returning</v>
      </c>
      <c r="AN309" s="0" t="str">
        <f aca="false">IF(ISBLANK(AM309),"Unknown",AM309)</f>
        <v>Unknown</v>
      </c>
      <c r="AP309" s="0" t="str">
        <f aca="false">IF(ISBLANK(AO309),"Unknown",AO309)</f>
        <v>Unknown</v>
      </c>
      <c r="AQ309" s="0" t="n">
        <v>20000</v>
      </c>
      <c r="AR309" s="5" t="n">
        <f aca="false">IF(ISBLANK(AQ309),AVERAGEIF(M309:M1308,M309,AQ309:AQ1308),AQ309)</f>
        <v>20000</v>
      </c>
      <c r="AS309" s="0" t="n">
        <v>20000</v>
      </c>
      <c r="AT309" s="5" t="n">
        <f aca="false">IF(ISBLANK(AS309),AVERAGE(AS309:AS1308),AS309)</f>
        <v>20000</v>
      </c>
      <c r="AV309" s="0" t="str">
        <f aca="false">PROPER(IF(ISBLANK(AU309),"No",AU309))</f>
        <v>No</v>
      </c>
      <c r="AW309" s="0" t="n">
        <v>5000</v>
      </c>
      <c r="AX309" s="5" t="n">
        <f aca="false">IF(ISBLANK(AW309),0,AW309)</f>
        <v>5000</v>
      </c>
      <c r="AZ309" s="0" t="str">
        <f aca="false">UPPER(IF(ISBLANK(AY309),"NONE",AY309))</f>
        <v>NONE</v>
      </c>
      <c r="BB309" s="7" t="str">
        <f aca="false">IF(ISBLANK(BA309),"No Follow Up Needed",BA309)</f>
        <v>No Follow Up Needed</v>
      </c>
      <c r="BC309" s="0" t="s">
        <v>82</v>
      </c>
      <c r="BD309" s="0" t="str">
        <f aca="false">PROPER(IF(ISBLANK(BC309),"Unknown",BC309))</f>
        <v>Yes</v>
      </c>
      <c r="BF309" s="0" t="str">
        <f aca="false">IF(ISBLANK(BE309),"No comments",BE309)</f>
        <v>No comments</v>
      </c>
      <c r="BH309" s="0" t="str">
        <f aca="false">IF(ISBLANK(BG309),"No comments",BG309)</f>
        <v>No comments</v>
      </c>
      <c r="BI309" s="0" t="s">
        <v>63</v>
      </c>
      <c r="BJ309" s="0" t="str">
        <f aca="false">IF(ISBLANK(BI309),"Not Mentioned",BI309)</f>
        <v>Yes</v>
      </c>
      <c r="BL309" s="0" t="str">
        <f aca="false">PROPER(IF(ISBLANK(BK309),"Not Mentioned",BK309))</f>
        <v>Not Mentioned</v>
      </c>
      <c r="BM309" s="0" t="s">
        <v>63</v>
      </c>
      <c r="BN309" s="0" t="str">
        <f aca="false">PROPER(IF(ISBLANK(BM309),"Not Mentioned",BM309))</f>
        <v>Yes</v>
      </c>
      <c r="BO309" s="0" t="s">
        <v>2321</v>
      </c>
      <c r="BP309" s="0" t="str">
        <f aca="false">IF(ISBLANK(BO309),"One-Time Plan",BO309)</f>
        <v>One-Time Plan</v>
      </c>
      <c r="BQ309" s="0" t="s">
        <v>50</v>
      </c>
      <c r="BR309" s="0" t="str">
        <f aca="false">PROPER(IF(ISBLANK(BQ309),"No",BQ309))</f>
        <v>No</v>
      </c>
    </row>
    <row r="310" customFormat="false" ht="15" hidden="false" customHeight="false" outlineLevel="0" collapsed="false">
      <c r="A310" s="0" t="s">
        <v>872</v>
      </c>
      <c r="B310" s="2" t="n">
        <v>45785</v>
      </c>
      <c r="C310" s="2" t="str">
        <f aca="false">TEXT(B310,"dd/mm/yyyy")</f>
        <v>08/05/2025</v>
      </c>
      <c r="D310" s="0" t="s">
        <v>121</v>
      </c>
      <c r="E310" s="0" t="n">
        <v>8055610169</v>
      </c>
      <c r="F310" s="0" t="s">
        <v>122</v>
      </c>
      <c r="G310" s="0" t="s">
        <v>2316</v>
      </c>
      <c r="H310" s="0" t="s">
        <v>873</v>
      </c>
      <c r="I310" s="0" t="s">
        <v>107</v>
      </c>
      <c r="J310" s="0" t="s">
        <v>2325</v>
      </c>
      <c r="K310" s="3" t="str">
        <f aca="false" t="array" ref="K310:K310">IFERROR(IF(J310&lt;&gt;"",J310,INDEX(J310:J1309,MATCH(1,(F310:F1309=F310)*(I310:I1309=I310)*(L310:L1309=L310)*(J310:J1309&lt;&gt;""),0))),"Not Found")</f>
        <v>Engine Knocking</v>
      </c>
      <c r="L310" s="3" t="s">
        <v>142</v>
      </c>
      <c r="M310" s="0" t="str">
        <f aca="false">PROPER(L310)</f>
        <v>Oil Filter, Brake Pads</v>
      </c>
      <c r="N310" s="3" t="s">
        <v>48</v>
      </c>
      <c r="O310" s="0" t="str">
        <f aca="false" t="array" ref="O310:O310">IF(N310&lt;&gt;"",N310,_xlfn.xlookup(1,(L310:L1309=L310)*(N310:N1309&lt;&gt;""),N310:N1309,"Not Found"))</f>
        <v>Uche</v>
      </c>
      <c r="P310" s="4" t="n">
        <v>28302</v>
      </c>
      <c r="Q310" s="0" t="s">
        <v>124</v>
      </c>
      <c r="R310" s="0" t="str">
        <f aca="false">PROPER(Q310)</f>
        <v>Cash</v>
      </c>
      <c r="S310" s="0" t="s">
        <v>63</v>
      </c>
      <c r="U310" s="5" t="n">
        <f aca="false">IF(ISBLANK(T310),AVERAGE(T310:T1309),T310)</f>
        <v>3.03152364273205</v>
      </c>
      <c r="V310" s="0" t="n">
        <v>3.6</v>
      </c>
      <c r="W310" s="0" t="s">
        <v>111</v>
      </c>
      <c r="X310" s="0" t="str">
        <f aca="false">IF(ISBLANK(W310),"No remarks",W310)</f>
        <v>Changed all filters</v>
      </c>
      <c r="Y310" s="0" t="s">
        <v>93</v>
      </c>
      <c r="Z310" s="0" t="s">
        <v>159</v>
      </c>
      <c r="AA310" s="0" t="str">
        <f aca="false">PROPER(IF(ISBLANK(Z310),"Location Unavailable",Z310))</f>
        <v>Main Bay</v>
      </c>
      <c r="AB310" s="0" t="s">
        <v>147</v>
      </c>
      <c r="AC310" s="6" t="str">
        <f aca="false">PROPER(AB310)</f>
        <v>Instagram</v>
      </c>
      <c r="AD310" s="6" t="n">
        <v>45</v>
      </c>
      <c r="AE310" s="5" t="n">
        <f aca="false">IF(ISBLANK(AD310),AVERAGEIF(L310:L1309,L310,AD310:AD1309),AD310)</f>
        <v>45</v>
      </c>
      <c r="AF310" s="0" t="s">
        <v>76</v>
      </c>
      <c r="AG310" s="0" t="str">
        <f aca="false">PROPER(AF310)</f>
        <v>Orderd</v>
      </c>
      <c r="AH310" s="0" t="s">
        <v>77</v>
      </c>
      <c r="AI310" s="0" t="s">
        <v>98</v>
      </c>
      <c r="AJ310" s="0" t="str">
        <f aca="false">PROPER(AI310)</f>
        <v>Emergency</v>
      </c>
      <c r="AK310" s="0" t="s">
        <v>196</v>
      </c>
      <c r="AL310" s="0" t="str">
        <f aca="false">PROPER(AK310)</f>
        <v>First Time</v>
      </c>
      <c r="AM310" s="0" t="s">
        <v>2326</v>
      </c>
      <c r="AN310" s="0" t="str">
        <f aca="false">IF(ISBLANK(AM310),"Unknown",AM310)</f>
        <v>Government Convoy</v>
      </c>
      <c r="AO310" s="0" t="s">
        <v>161</v>
      </c>
      <c r="AP310" s="0" t="str">
        <f aca="false">IF(ISBLANK(AO310),"Unknown",AO310)</f>
        <v>Apprentice</v>
      </c>
      <c r="AR310" s="5" t="n">
        <f aca="false">IF(ISBLANK(AQ310),AVERAGEIF(M310:M1309,M310,AQ310:AQ1309),AQ310)</f>
        <v>26947.3684210526</v>
      </c>
      <c r="AS310" s="0" t="n">
        <v>40000</v>
      </c>
      <c r="AT310" s="5" t="n">
        <f aca="false">IF(ISBLANK(AS310),AVERAGE(AS310:AS1309),AS310)</f>
        <v>40000</v>
      </c>
      <c r="AU310" s="0" t="s">
        <v>50</v>
      </c>
      <c r="AV310" s="0" t="str">
        <f aca="false">PROPER(IF(ISBLANK(AU310),"No",AU310))</f>
        <v>No</v>
      </c>
      <c r="AX310" s="5" t="n">
        <f aca="false">IF(ISBLANK(AW310),0,AW310)</f>
        <v>0</v>
      </c>
      <c r="AY310" s="0" t="s">
        <v>130</v>
      </c>
      <c r="AZ310" s="0" t="str">
        <f aca="false">UPPER(IF(ISBLANK(AY310),"NONE",AY310))</f>
        <v>LOYALTY10</v>
      </c>
      <c r="BA310" s="7" t="n">
        <v>45900</v>
      </c>
      <c r="BB310" s="7" t="n">
        <f aca="false">IF(ISBLANK(BA310),"No Follow Up Needed",BA310)</f>
        <v>45900</v>
      </c>
      <c r="BC310" s="0" t="s">
        <v>82</v>
      </c>
      <c r="BD310" s="0" t="str">
        <f aca="false">PROPER(IF(ISBLANK(BC310),"Unknown",BC310))</f>
        <v>Yes</v>
      </c>
      <c r="BF310" s="0" t="str">
        <f aca="false">IF(ISBLANK(BE310),"No comments",BE310)</f>
        <v>No comments</v>
      </c>
      <c r="BG310" s="0" t="s">
        <v>2320</v>
      </c>
      <c r="BH310" s="0" t="str">
        <f aca="false">IF(ISBLANK(BG310),"No comments",BG310)</f>
        <v>No complaints</v>
      </c>
      <c r="BI310" s="0" t="s">
        <v>63</v>
      </c>
      <c r="BJ310" s="0" t="str">
        <f aca="false">IF(ISBLANK(BI310),"Not Mentioned",BI310)</f>
        <v>Yes</v>
      </c>
      <c r="BL310" s="0" t="str">
        <f aca="false">PROPER(IF(ISBLANK(BK310),"Not Mentioned",BK310))</f>
        <v>Not Mentioned</v>
      </c>
      <c r="BM310" s="0" t="s">
        <v>63</v>
      </c>
      <c r="BN310" s="0" t="str">
        <f aca="false">PROPER(IF(ISBLANK(BM310),"Not Mentioned",BM310))</f>
        <v>Yes</v>
      </c>
      <c r="BP310" s="0" t="str">
        <f aca="false">IF(ISBLANK(BO310),"One-Time Plan",BO310)</f>
        <v>One-Time Plan</v>
      </c>
      <c r="BQ310" s="0" t="s">
        <v>190</v>
      </c>
      <c r="BR310" s="0" t="str">
        <f aca="false">PROPER(IF(ISBLANK(BQ310),"No",BQ310))</f>
        <v>Yes</v>
      </c>
    </row>
    <row r="311" customFormat="false" ht="15" hidden="false" customHeight="false" outlineLevel="0" collapsed="false">
      <c r="A311" s="0" t="s">
        <v>874</v>
      </c>
      <c r="B311" s="2" t="n">
        <v>45814</v>
      </c>
      <c r="C311" s="2" t="str">
        <f aca="false">TEXT(B311,"dd/mm/yyyy")</f>
        <v>06/06/2025</v>
      </c>
      <c r="D311" s="0" t="s">
        <v>105</v>
      </c>
      <c r="E311" s="0" t="n">
        <v>8040264841</v>
      </c>
      <c r="F311" s="0" t="s">
        <v>67</v>
      </c>
      <c r="G311" s="0" t="s">
        <v>2316</v>
      </c>
      <c r="H311" s="0" t="s">
        <v>875</v>
      </c>
      <c r="I311" s="0" t="s">
        <v>87</v>
      </c>
      <c r="K311" s="3" t="str">
        <f aca="false" t="array" ref="K311:K311">IFERROR(IF(J311&lt;&gt;"",J311,INDEX(J311:J1310,MATCH(1,(F311:F1310=F311)*(I311:I1310=I311)*(L311:L1310=L311)*(J311:J1310&lt;&gt;""),0))),"Not Found")</f>
        <v>Brake Failure</v>
      </c>
      <c r="L311" s="3" t="s">
        <v>108</v>
      </c>
      <c r="M311" s="0" t="str">
        <f aca="false">PROPER(L311)</f>
        <v>Timing Belt</v>
      </c>
      <c r="N311" s="3" t="s">
        <v>71</v>
      </c>
      <c r="O311" s="0" t="str">
        <f aca="false" t="array" ref="O311:O311">IF(N311&lt;&gt;"",N311,_xlfn.xlookup(1,(L311:L1310=L311)*(N311:N1310&lt;&gt;""),N311:N1310,"Not Found"))</f>
        <v>Isaac Bobo</v>
      </c>
      <c r="P311" s="4" t="n">
        <v>17012</v>
      </c>
      <c r="Q311" s="0" t="s">
        <v>166</v>
      </c>
      <c r="R311" s="0" t="str">
        <f aca="false">PROPER(Q311)</f>
        <v>Transfer</v>
      </c>
      <c r="S311" s="0" t="s">
        <v>63</v>
      </c>
      <c r="T311" s="0" t="n">
        <v>1</v>
      </c>
      <c r="U311" s="5" t="n">
        <f aca="false">IF(ISBLANK(T311),AVERAGE(T311:T1310),T311)</f>
        <v>1</v>
      </c>
      <c r="V311" s="0" t="n">
        <v>5.5</v>
      </c>
      <c r="W311" s="0" t="s">
        <v>51</v>
      </c>
      <c r="X311" s="0" t="str">
        <f aca="false">IF(ISBLANK(W311),"No remarks",W311)</f>
        <v>Recommended further checks</v>
      </c>
      <c r="Y311" s="0" t="s">
        <v>52</v>
      </c>
      <c r="Z311" s="0" t="s">
        <v>74</v>
      </c>
      <c r="AA311" s="0" t="str">
        <f aca="false">PROPER(IF(ISBLANK(Z311),"Location Unavailable",Z311))</f>
        <v>Under Tree</v>
      </c>
      <c r="AB311" s="0" t="s">
        <v>54</v>
      </c>
      <c r="AC311" s="6" t="str">
        <f aca="false">PROPER(AB311)</f>
        <v>Mechanic Referral</v>
      </c>
      <c r="AD311" s="6" t="n">
        <v>15</v>
      </c>
      <c r="AE311" s="5" t="n">
        <f aca="false">IF(ISBLANK(AD311),AVERAGEIF(L311:L1310,L311,AD311:AD1310),AD311)</f>
        <v>15</v>
      </c>
      <c r="AF311" s="0" t="s">
        <v>96</v>
      </c>
      <c r="AG311" s="0" t="str">
        <f aca="false">PROPER(AF311)</f>
        <v>Ordered</v>
      </c>
      <c r="AH311" s="0" t="s">
        <v>155</v>
      </c>
      <c r="AI311" s="0" t="s">
        <v>98</v>
      </c>
      <c r="AJ311" s="0" t="str">
        <f aca="false">PROPER(AI311)</f>
        <v>Emergency</v>
      </c>
      <c r="AK311" s="0" t="s">
        <v>114</v>
      </c>
      <c r="AL311" s="0" t="str">
        <f aca="false">PROPER(AK311)</f>
        <v>Returning</v>
      </c>
      <c r="AN311" s="0" t="str">
        <f aca="false">IF(ISBLANK(AM311),"Unknown",AM311)</f>
        <v>Unknown</v>
      </c>
      <c r="AO311" s="0" t="s">
        <v>161</v>
      </c>
      <c r="AP311" s="0" t="str">
        <f aca="false">IF(ISBLANK(AO311),"Unknown",AO311)</f>
        <v>Apprentice</v>
      </c>
      <c r="AQ311" s="0" t="n">
        <v>15000</v>
      </c>
      <c r="AR311" s="5" t="n">
        <f aca="false">IF(ISBLANK(AQ311),AVERAGEIF(M311:M1310,M311,AQ311:AQ1310),AQ311)</f>
        <v>15000</v>
      </c>
      <c r="AT311" s="5" t="n">
        <f aca="false">IF(ISBLANK(AS311),AVERAGE(AS311:AS1310),AS311)</f>
        <v>31417.3913043478</v>
      </c>
      <c r="AU311" s="0" t="s">
        <v>82</v>
      </c>
      <c r="AV311" s="0" t="str">
        <f aca="false">PROPER(IF(ISBLANK(AU311),"No",AU311))</f>
        <v>Yes</v>
      </c>
      <c r="AW311" s="0" t="n">
        <v>5000</v>
      </c>
      <c r="AX311" s="5" t="n">
        <f aca="false">IF(ISBLANK(AW311),0,AW311)</f>
        <v>5000</v>
      </c>
      <c r="AY311" s="0" t="s">
        <v>80</v>
      </c>
      <c r="AZ311" s="0" t="str">
        <f aca="false">UPPER(IF(ISBLANK(AY311),"NONE",AY311))</f>
        <v>PROMO10</v>
      </c>
      <c r="BB311" s="7" t="str">
        <f aca="false">IF(ISBLANK(BA311),"No Follow Up Needed",BA311)</f>
        <v>No Follow Up Needed</v>
      </c>
      <c r="BC311" s="0" t="s">
        <v>61</v>
      </c>
      <c r="BD311" s="0" t="str">
        <f aca="false">PROPER(IF(ISBLANK(BC311),"Unknown",BC311))</f>
        <v>No</v>
      </c>
      <c r="BF311" s="0" t="str">
        <f aca="false">IF(ISBLANK(BE311),"No comments",BE311)</f>
        <v>No comments</v>
      </c>
      <c r="BG311" s="0" t="s">
        <v>172</v>
      </c>
      <c r="BH311" s="0" t="str">
        <f aca="false">IF(ISBLANK(BG311),"No comments",BG311)</f>
        <v>Always late</v>
      </c>
      <c r="BI311" s="0" t="s">
        <v>50</v>
      </c>
      <c r="BJ311" s="0" t="str">
        <f aca="false">IF(ISBLANK(BI311),"Not Mentioned",BI311)</f>
        <v>No</v>
      </c>
      <c r="BK311" s="0" t="s">
        <v>50</v>
      </c>
      <c r="BL311" s="0" t="str">
        <f aca="false">PROPER(IF(ISBLANK(BK311),"Not Mentioned",BK311))</f>
        <v>No</v>
      </c>
      <c r="BN311" s="0" t="str">
        <f aca="false">PROPER(IF(ISBLANK(BM311),"Not Mentioned",BM311))</f>
        <v>Not Mentioned</v>
      </c>
      <c r="BO311" s="0" t="s">
        <v>64</v>
      </c>
      <c r="BP311" s="0" t="str">
        <f aca="false">IF(ISBLANK(BO311),"One-Time Plan",BO311)</f>
        <v>Gold Maintenance Plan</v>
      </c>
      <c r="BR311" s="0" t="str">
        <f aca="false">PROPER(IF(ISBLANK(BQ311),"No",BQ311))</f>
        <v>No</v>
      </c>
    </row>
    <row r="312" customFormat="false" ht="15" hidden="false" customHeight="false" outlineLevel="0" collapsed="false">
      <c r="A312" s="0" t="s">
        <v>876</v>
      </c>
      <c r="B312" s="2" t="n">
        <v>45762</v>
      </c>
      <c r="C312" s="2" t="str">
        <f aca="false">TEXT(B312,"dd/mm/yyyy")</f>
        <v>15/04/2025</v>
      </c>
      <c r="D312" s="0" t="s">
        <v>163</v>
      </c>
      <c r="E312" s="0" t="n">
        <v>8066257000</v>
      </c>
      <c r="F312" s="0" t="s">
        <v>85</v>
      </c>
      <c r="G312" s="0" t="s">
        <v>2319</v>
      </c>
      <c r="H312" s="0" t="s">
        <v>877</v>
      </c>
      <c r="I312" s="0" t="s">
        <v>134</v>
      </c>
      <c r="J312" s="0" t="s">
        <v>2325</v>
      </c>
      <c r="K312" s="3" t="str">
        <f aca="false" t="array" ref="K312:K312">IFERROR(IF(J312&lt;&gt;"",J312,INDEX(J312:J1311,MATCH(1,(F312:F1311=F312)*(I312:I1311=I312)*(L312:L1311=L312)*(J312:J1311&lt;&gt;""),0))),"Not Found")</f>
        <v>Engine Knocking</v>
      </c>
      <c r="L312" s="3" t="s">
        <v>142</v>
      </c>
      <c r="M312" s="0" t="str">
        <f aca="false">PROPER(L312)</f>
        <v>Oil Filter, Brake Pads</v>
      </c>
      <c r="O312" s="0" t="e">
        <f aca="false" t="array" ref="O312:O312">IF(N312&lt;&gt;"",N312,_xlfn.xlookup(1,(L312:L1311=L312)*(N312:N1311&lt;&gt;""),N312:N1311,"Not Found"))</f>
        <v>#NAME?</v>
      </c>
      <c r="P312" s="4" t="n">
        <v>25095</v>
      </c>
      <c r="Q312" s="0" t="s">
        <v>166</v>
      </c>
      <c r="R312" s="0" t="str">
        <f aca="false">PROPER(Q312)</f>
        <v>Transfer</v>
      </c>
      <c r="S312" s="0" t="s">
        <v>63</v>
      </c>
      <c r="T312" s="0" t="n">
        <v>2</v>
      </c>
      <c r="U312" s="5" t="n">
        <f aca="false">IF(ISBLANK(T312),AVERAGE(T312:T1311),T312)</f>
        <v>2</v>
      </c>
      <c r="V312" s="0" t="n">
        <v>1.9</v>
      </c>
      <c r="W312" s="0" t="s">
        <v>125</v>
      </c>
      <c r="X312" s="0" t="str">
        <f aca="false">IF(ISBLANK(W312),"No remarks",W312)</f>
        <v>Customer waited</v>
      </c>
      <c r="Y312" s="0" t="s">
        <v>52</v>
      </c>
      <c r="Z312" s="0" t="s">
        <v>74</v>
      </c>
      <c r="AA312" s="0" t="str">
        <f aca="false">PROPER(IF(ISBLANK(Z312),"Location Unavailable",Z312))</f>
        <v>Under Tree</v>
      </c>
      <c r="AB312" s="0" t="s">
        <v>54</v>
      </c>
      <c r="AC312" s="6" t="str">
        <f aca="false">PROPER(AB312)</f>
        <v>Mechanic Referral</v>
      </c>
      <c r="AE312" s="5" t="n">
        <f aca="false">IF(ISBLANK(AD312),AVERAGEIF(L312:L1311,L312,AD312:AD1311),AD312)</f>
        <v>39</v>
      </c>
      <c r="AF312" s="0" t="s">
        <v>112</v>
      </c>
      <c r="AG312" s="0" t="str">
        <f aca="false">PROPER(AF312)</f>
        <v>Unavailable</v>
      </c>
      <c r="AH312" s="0" t="s">
        <v>56</v>
      </c>
      <c r="AI312" s="0" t="s">
        <v>98</v>
      </c>
      <c r="AJ312" s="0" t="str">
        <f aca="false">PROPER(AI312)</f>
        <v>Emergency</v>
      </c>
      <c r="AK312" s="0" t="s">
        <v>99</v>
      </c>
      <c r="AL312" s="0" t="str">
        <f aca="false">PROPER(AK312)</f>
        <v>Uber Driver</v>
      </c>
      <c r="AM312" s="0" t="s">
        <v>2324</v>
      </c>
      <c r="AN312" s="0" t="str">
        <f aca="false">IF(ISBLANK(AM312),"Unknown",AM312)</f>
        <v>Logistics Convoy</v>
      </c>
      <c r="AO312" s="0" t="s">
        <v>79</v>
      </c>
      <c r="AP312" s="0" t="str">
        <f aca="false">IF(ISBLANK(AO312),"Unknown",AO312)</f>
        <v>Specialist</v>
      </c>
      <c r="AQ312" s="0" t="n">
        <v>20000</v>
      </c>
      <c r="AR312" s="5" t="n">
        <f aca="false">IF(ISBLANK(AQ312),AVERAGEIF(M312:M1311,M312,AQ312:AQ1311),AQ312)</f>
        <v>20000</v>
      </c>
      <c r="AS312" s="0" t="n">
        <v>30000</v>
      </c>
      <c r="AT312" s="5" t="n">
        <f aca="false">IF(ISBLANK(AS312),AVERAGE(AS312:AS1311),AS312)</f>
        <v>30000</v>
      </c>
      <c r="AV312" s="0" t="str">
        <f aca="false">PROPER(IF(ISBLANK(AU312),"No",AU312))</f>
        <v>No</v>
      </c>
      <c r="AW312" s="0" t="n">
        <v>0</v>
      </c>
      <c r="AX312" s="5" t="n">
        <f aca="false">IF(ISBLANK(AW312),0,AW312)</f>
        <v>0</v>
      </c>
      <c r="AZ312" s="0" t="str">
        <f aca="false">UPPER(IF(ISBLANK(AY312),"NONE",AY312))</f>
        <v>NONE</v>
      </c>
      <c r="BB312" s="7" t="str">
        <f aca="false">IF(ISBLANK(BA312),"No Follow Up Needed",BA312)</f>
        <v>No Follow Up Needed</v>
      </c>
      <c r="BC312" s="0" t="s">
        <v>50</v>
      </c>
      <c r="BD312" s="0" t="str">
        <f aca="false">PROPER(IF(ISBLANK(BC312),"Unknown",BC312))</f>
        <v>No</v>
      </c>
      <c r="BE312" s="0" t="s">
        <v>116</v>
      </c>
      <c r="BF312" s="0" t="str">
        <f aca="false">IF(ISBLANK(BE312),"No comments",BE312)</f>
        <v>Needs tire alignment</v>
      </c>
      <c r="BH312" s="0" t="str">
        <f aca="false">IF(ISBLANK(BG312),"No comments",BG312)</f>
        <v>No comments</v>
      </c>
      <c r="BI312" s="0" t="s">
        <v>50</v>
      </c>
      <c r="BJ312" s="0" t="str">
        <f aca="false">IF(ISBLANK(BI312),"Not Mentioned",BI312)</f>
        <v>No</v>
      </c>
      <c r="BK312" s="0" t="s">
        <v>50</v>
      </c>
      <c r="BL312" s="0" t="str">
        <f aca="false">PROPER(IF(ISBLANK(BK312),"Not Mentioned",BK312))</f>
        <v>No</v>
      </c>
      <c r="BM312" s="0" t="s">
        <v>63</v>
      </c>
      <c r="BN312" s="0" t="str">
        <f aca="false">PROPER(IF(ISBLANK(BM312),"Not Mentioned",BM312))</f>
        <v>Yes</v>
      </c>
      <c r="BO312" s="0" t="s">
        <v>64</v>
      </c>
      <c r="BP312" s="0" t="str">
        <f aca="false">IF(ISBLANK(BO312),"One-Time Plan",BO312)</f>
        <v>Gold Maintenance Plan</v>
      </c>
      <c r="BR312" s="0" t="str">
        <f aca="false">PROPER(IF(ISBLANK(BQ312),"No",BQ312))</f>
        <v>No</v>
      </c>
    </row>
    <row r="313" customFormat="false" ht="15" hidden="false" customHeight="false" outlineLevel="0" collapsed="false">
      <c r="A313" s="0" t="s">
        <v>878</v>
      </c>
      <c r="B313" s="2" t="n">
        <v>45682</v>
      </c>
      <c r="C313" s="2" t="str">
        <f aca="false">TEXT(B313,"dd/mm/yyyy")</f>
        <v>25/01/2025</v>
      </c>
      <c r="D313" s="0" t="s">
        <v>105</v>
      </c>
      <c r="E313" s="0" t="n">
        <v>8067139083</v>
      </c>
      <c r="F313" s="0" t="s">
        <v>43</v>
      </c>
      <c r="G313" s="0" t="s">
        <v>2315</v>
      </c>
      <c r="H313" s="0" t="s">
        <v>879</v>
      </c>
      <c r="I313" s="0" t="s">
        <v>107</v>
      </c>
      <c r="J313" s="0" t="s">
        <v>2322</v>
      </c>
      <c r="K313" s="3" t="str">
        <f aca="false" t="array" ref="K313:K313">IFERROR(IF(J313&lt;&gt;"",J313,INDEX(J313:J1312,MATCH(1,(F313:F1312=F313)*(I313:I1312=I313)*(L313:L1312=L313)*(J313:J1312&lt;&gt;""),0))),"Not Found")</f>
        <v>Brake Failure</v>
      </c>
      <c r="L313" s="3" t="s">
        <v>189</v>
      </c>
      <c r="M313" s="0" t="str">
        <f aca="false">PROPER(L313)</f>
        <v>Battery</v>
      </c>
      <c r="N313" s="3" t="s">
        <v>109</v>
      </c>
      <c r="O313" s="0" t="str">
        <f aca="false" t="array" ref="O313:O313">IF(N313&lt;&gt;"",N313,_xlfn.xlookup(1,(L313:L1312=L313)*(N313:N1312&lt;&gt;""),N313:N1312,"Not Found"))</f>
        <v>Tijani</v>
      </c>
      <c r="P313" s="4" t="n">
        <v>89408</v>
      </c>
      <c r="Q313" s="0" t="s">
        <v>124</v>
      </c>
      <c r="R313" s="0" t="str">
        <f aca="false">PROPER(Q313)</f>
        <v>Cash</v>
      </c>
      <c r="S313" s="0" t="s">
        <v>63</v>
      </c>
      <c r="T313" s="0" t="n">
        <v>3</v>
      </c>
      <c r="U313" s="5" t="n">
        <f aca="false">IF(ISBLANK(T313),AVERAGE(T313:T1312),T313)</f>
        <v>3</v>
      </c>
      <c r="V313" s="0" t="n">
        <v>2.5</v>
      </c>
      <c r="W313" s="0" t="s">
        <v>125</v>
      </c>
      <c r="X313" s="0" t="str">
        <f aca="false">IF(ISBLANK(W313),"No remarks",W313)</f>
        <v>Customer waited</v>
      </c>
      <c r="Y313" s="0" t="s">
        <v>93</v>
      </c>
      <c r="Z313" s="0" t="s">
        <v>136</v>
      </c>
      <c r="AA313" s="0" t="str">
        <f aca="false">PROPER(IF(ISBLANK(Z313),"Location Unavailable",Z313))</f>
        <v>Vip Section</v>
      </c>
      <c r="AB313" s="0" t="s">
        <v>54</v>
      </c>
      <c r="AC313" s="6" t="str">
        <f aca="false">PROPER(AB313)</f>
        <v>Mechanic Referral</v>
      </c>
      <c r="AD313" s="6" t="n">
        <v>15</v>
      </c>
      <c r="AE313" s="5" t="n">
        <f aca="false">IF(ISBLANK(AD313),AVERAGEIF(L313:L1312,L313,AD313:AD1312),AD313)</f>
        <v>15</v>
      </c>
      <c r="AF313" s="0" t="s">
        <v>112</v>
      </c>
      <c r="AG313" s="0" t="str">
        <f aca="false">PROPER(AF313)</f>
        <v>Unavailable</v>
      </c>
      <c r="AH313" s="0" t="s">
        <v>148</v>
      </c>
      <c r="AI313" s="0" t="s">
        <v>113</v>
      </c>
      <c r="AJ313" s="0" t="str">
        <f aca="false">PROPER(AI313)</f>
        <v>Normal</v>
      </c>
      <c r="AK313" s="0" t="s">
        <v>114</v>
      </c>
      <c r="AL313" s="0" t="str">
        <f aca="false">PROPER(AK313)</f>
        <v>Returning</v>
      </c>
      <c r="AM313" s="0" t="s">
        <v>177</v>
      </c>
      <c r="AN313" s="0" t="str">
        <f aca="false">IF(ISBLANK(AM313),"Unknown",AM313)</f>
        <v>Private</v>
      </c>
      <c r="AO313" s="0" t="s">
        <v>79</v>
      </c>
      <c r="AP313" s="0" t="str">
        <f aca="false">IF(ISBLANK(AO313),"Unknown",AO313)</f>
        <v>Specialist</v>
      </c>
      <c r="AR313" s="5" t="n">
        <f aca="false">IF(ISBLANK(AQ313),AVERAGEIF(M313:M1312,M313,AQ313:AQ1312),AQ313)</f>
        <v>25465.1162790698</v>
      </c>
      <c r="AS313" s="0" t="n">
        <v>20000</v>
      </c>
      <c r="AT313" s="5" t="n">
        <f aca="false">IF(ISBLANK(AS313),AVERAGE(AS313:AS1312),AS313)</f>
        <v>20000</v>
      </c>
      <c r="AU313" s="0" t="s">
        <v>61</v>
      </c>
      <c r="AV313" s="0" t="str">
        <f aca="false">PROPER(IF(ISBLANK(AU313),"No",AU313))</f>
        <v>No</v>
      </c>
      <c r="AW313" s="0" t="n">
        <v>5000</v>
      </c>
      <c r="AX313" s="5" t="n">
        <f aca="false">IF(ISBLANK(AW313),0,AW313)</f>
        <v>5000</v>
      </c>
      <c r="AY313" s="0" t="s">
        <v>130</v>
      </c>
      <c r="AZ313" s="0" t="str">
        <f aca="false">UPPER(IF(ISBLANK(AY313),"NONE",AY313))</f>
        <v>LOYALTY10</v>
      </c>
      <c r="BA313" s="7" t="s">
        <v>880</v>
      </c>
      <c r="BB313" s="7" t="str">
        <f aca="false">IF(ISBLANK(BA313),"No Follow Up Needed",BA313)</f>
        <v>28/11/2025</v>
      </c>
      <c r="BC313" s="0" t="s">
        <v>50</v>
      </c>
      <c r="BD313" s="0" t="str">
        <f aca="false">PROPER(IF(ISBLANK(BC313),"Unknown",BC313))</f>
        <v>No</v>
      </c>
      <c r="BF313" s="0" t="str">
        <f aca="false">IF(ISBLANK(BE313),"No comments",BE313)</f>
        <v>No comments</v>
      </c>
      <c r="BG313" s="0" t="s">
        <v>2320</v>
      </c>
      <c r="BH313" s="0" t="str">
        <f aca="false">IF(ISBLANK(BG313),"No comments",BG313)</f>
        <v>No complaints</v>
      </c>
      <c r="BI313" s="0" t="s">
        <v>63</v>
      </c>
      <c r="BJ313" s="0" t="str">
        <f aca="false">IF(ISBLANK(BI313),"Not Mentioned",BI313)</f>
        <v>Yes</v>
      </c>
      <c r="BK313" s="0" t="s">
        <v>50</v>
      </c>
      <c r="BL313" s="0" t="str">
        <f aca="false">PROPER(IF(ISBLANK(BK313),"Not Mentioned",BK313))</f>
        <v>No</v>
      </c>
      <c r="BN313" s="0" t="str">
        <f aca="false">PROPER(IF(ISBLANK(BM313),"Not Mentioned",BM313))</f>
        <v>Not Mentioned</v>
      </c>
      <c r="BO313" s="0" t="s">
        <v>2321</v>
      </c>
      <c r="BP313" s="0" t="str">
        <f aca="false">IF(ISBLANK(BO313),"One-Time Plan",BO313)</f>
        <v>One-Time Plan</v>
      </c>
      <c r="BQ313" s="0" t="s">
        <v>50</v>
      </c>
      <c r="BR313" s="0" t="str">
        <f aca="false">PROPER(IF(ISBLANK(BQ313),"No",BQ313))</f>
        <v>No</v>
      </c>
    </row>
    <row r="314" customFormat="false" ht="15" hidden="false" customHeight="false" outlineLevel="0" collapsed="false">
      <c r="A314" s="0" t="s">
        <v>881</v>
      </c>
      <c r="B314" s="2" t="n">
        <v>45691</v>
      </c>
      <c r="C314" s="2" t="str">
        <f aca="false">TEXT(B314,"dd/mm/yyyy")</f>
        <v>03/02/2025</v>
      </c>
      <c r="D314" s="0" t="s">
        <v>163</v>
      </c>
      <c r="E314" s="0" t="n">
        <v>8064139232</v>
      </c>
      <c r="F314" s="0" t="s">
        <v>85</v>
      </c>
      <c r="G314" s="0" t="s">
        <v>2319</v>
      </c>
      <c r="H314" s="0" t="s">
        <v>882</v>
      </c>
      <c r="I314" s="0" t="s">
        <v>69</v>
      </c>
      <c r="J314" s="0" t="s">
        <v>2317</v>
      </c>
      <c r="K314" s="3" t="str">
        <f aca="false" t="array" ref="K314:K314">IFERROR(IF(J314&lt;&gt;"",J314,INDEX(J314:J1313,MATCH(1,(F314:F1313=F314)*(I314:I1313=I314)*(L314:L1313=L314)*(J314:J1313&lt;&gt;""),0))),"Not Found")</f>
        <v>Suspension Noise</v>
      </c>
      <c r="L314" s="3" t="s">
        <v>142</v>
      </c>
      <c r="M314" s="0" t="str">
        <f aca="false">PROPER(L314)</f>
        <v>Oil Filter, Brake Pads</v>
      </c>
      <c r="N314" s="3" t="s">
        <v>90</v>
      </c>
      <c r="O314" s="0" t="str">
        <f aca="false" t="array" ref="O314:O314">IF(N314&lt;&gt;"",N314,_xlfn.xlookup(1,(L314:L1313=L314)*(N314:N1313&lt;&gt;""),N314:N1313,"Not Found"))</f>
        <v>Musa</v>
      </c>
      <c r="P314" s="4" t="n">
        <v>111105</v>
      </c>
      <c r="Q314" s="0" t="s">
        <v>91</v>
      </c>
      <c r="R314" s="0" t="str">
        <f aca="false">PROPER(Q314)</f>
        <v>Pos</v>
      </c>
      <c r="S314" s="0" t="s">
        <v>63</v>
      </c>
      <c r="U314" s="5" t="n">
        <f aca="false">IF(ISBLANK(T314),AVERAGE(T314:T1313),T314)</f>
        <v>3.03697183098592</v>
      </c>
      <c r="V314" s="0" t="n">
        <v>2.4</v>
      </c>
      <c r="W314" s="0" t="s">
        <v>51</v>
      </c>
      <c r="X314" s="0" t="str">
        <f aca="false">IF(ISBLANK(W314),"No remarks",W314)</f>
        <v>Recommended further checks</v>
      </c>
      <c r="Y314" s="0" t="s">
        <v>73</v>
      </c>
      <c r="Z314" s="0" t="s">
        <v>94</v>
      </c>
      <c r="AA314" s="0" t="str">
        <f aca="false">PROPER(IF(ISBLANK(Z314),"Location Unavailable",Z314))</f>
        <v>Vip Section</v>
      </c>
      <c r="AB314" s="0" t="s">
        <v>167</v>
      </c>
      <c r="AC314" s="6" t="str">
        <f aca="false">PROPER(AB314)</f>
        <v>Word Of Mouth</v>
      </c>
      <c r="AD314" s="6" t="n">
        <v>45</v>
      </c>
      <c r="AE314" s="5" t="n">
        <f aca="false">IF(ISBLANK(AD314),AVERAGEIF(L314:L1313,L314,AD314:AD1313),AD314)</f>
        <v>45</v>
      </c>
      <c r="AF314" s="0" t="s">
        <v>112</v>
      </c>
      <c r="AG314" s="0" t="str">
        <f aca="false">PROPER(AF314)</f>
        <v>Unavailable</v>
      </c>
      <c r="AH314" s="0" t="s">
        <v>77</v>
      </c>
      <c r="AI314" s="0" t="s">
        <v>113</v>
      </c>
      <c r="AJ314" s="0" t="str">
        <f aca="false">PROPER(AI314)</f>
        <v>Normal</v>
      </c>
      <c r="AK314" s="0" t="s">
        <v>99</v>
      </c>
      <c r="AL314" s="0" t="str">
        <f aca="false">PROPER(AK314)</f>
        <v>Uber Driver</v>
      </c>
      <c r="AM314" s="0" t="s">
        <v>177</v>
      </c>
      <c r="AN314" s="0" t="str">
        <f aca="false">IF(ISBLANK(AM314),"Unknown",AM314)</f>
        <v>Private</v>
      </c>
      <c r="AO314" s="0" t="s">
        <v>143</v>
      </c>
      <c r="AP314" s="0" t="str">
        <f aca="false">IF(ISBLANK(AO314),"Unknown",AO314)</f>
        <v>Senior</v>
      </c>
      <c r="AQ314" s="0" t="n">
        <v>15000</v>
      </c>
      <c r="AR314" s="5" t="n">
        <f aca="false">IF(ISBLANK(AQ314),AVERAGEIF(M314:M1313,M314,AQ314:AQ1313),AQ314)</f>
        <v>15000</v>
      </c>
      <c r="AS314" s="0" t="n">
        <v>35000</v>
      </c>
      <c r="AT314" s="5" t="n">
        <f aca="false">IF(ISBLANK(AS314),AVERAGE(AS314:AS1313),AS314)</f>
        <v>35000</v>
      </c>
      <c r="AU314" s="0" t="s">
        <v>50</v>
      </c>
      <c r="AV314" s="0" t="str">
        <f aca="false">PROPER(IF(ISBLANK(AU314),"No",AU314))</f>
        <v>No</v>
      </c>
      <c r="AW314" s="0" t="n">
        <v>5000</v>
      </c>
      <c r="AX314" s="5" t="n">
        <f aca="false">IF(ISBLANK(AW314),0,AW314)</f>
        <v>5000</v>
      </c>
      <c r="AY314" s="0" t="s">
        <v>130</v>
      </c>
      <c r="AZ314" s="0" t="str">
        <f aca="false">UPPER(IF(ISBLANK(AY314),"NONE",AY314))</f>
        <v>LOYALTY10</v>
      </c>
      <c r="BB314" s="7" t="str">
        <f aca="false">IF(ISBLANK(BA314),"No Follow Up Needed",BA314)</f>
        <v>No Follow Up Needed</v>
      </c>
      <c r="BC314" s="0" t="s">
        <v>50</v>
      </c>
      <c r="BD314" s="0" t="str">
        <f aca="false">PROPER(IF(ISBLANK(BC314),"Unknown",BC314))</f>
        <v>No</v>
      </c>
      <c r="BF314" s="0" t="str">
        <f aca="false">IF(ISBLANK(BE314),"No comments",BE314)</f>
        <v>No comments</v>
      </c>
      <c r="BH314" s="0" t="str">
        <f aca="false">IF(ISBLANK(BG314),"No comments",BG314)</f>
        <v>No comments</v>
      </c>
      <c r="BI314" s="0" t="s">
        <v>50</v>
      </c>
      <c r="BJ314" s="0" t="str">
        <f aca="false">IF(ISBLANK(BI314),"Not Mentioned",BI314)</f>
        <v>No</v>
      </c>
      <c r="BL314" s="0" t="str">
        <f aca="false">PROPER(IF(ISBLANK(BK314),"Not Mentioned",BK314))</f>
        <v>Not Mentioned</v>
      </c>
      <c r="BM314" s="0" t="s">
        <v>63</v>
      </c>
      <c r="BN314" s="0" t="str">
        <f aca="false">PROPER(IF(ISBLANK(BM314),"Not Mentioned",BM314))</f>
        <v>Yes</v>
      </c>
      <c r="BO314" s="0" t="s">
        <v>2318</v>
      </c>
      <c r="BP314" s="0" t="str">
        <f aca="false">IF(ISBLANK(BO314),"One-Time Plan",BO314)</f>
        <v>Gold</v>
      </c>
      <c r="BQ314" s="0" t="s">
        <v>63</v>
      </c>
      <c r="BR314" s="0" t="str">
        <f aca="false">PROPER(IF(ISBLANK(BQ314),"No",BQ314))</f>
        <v>Yes</v>
      </c>
    </row>
    <row r="315" customFormat="false" ht="15" hidden="false" customHeight="false" outlineLevel="0" collapsed="false">
      <c r="A315" s="0" t="s">
        <v>883</v>
      </c>
      <c r="B315" s="2" t="n">
        <v>45685</v>
      </c>
      <c r="C315" s="2" t="str">
        <f aca="false">TEXT(B315,"dd/mm/yyyy")</f>
        <v>28/01/2025</v>
      </c>
      <c r="D315" s="0" t="s">
        <v>66</v>
      </c>
      <c r="E315" s="0" t="n">
        <v>8082155988</v>
      </c>
      <c r="F315" s="0" t="s">
        <v>139</v>
      </c>
      <c r="G315" s="0" t="s">
        <v>2323</v>
      </c>
      <c r="H315" s="0" t="s">
        <v>884</v>
      </c>
      <c r="I315" s="0" t="s">
        <v>107</v>
      </c>
      <c r="J315" s="0" t="s">
        <v>2325</v>
      </c>
      <c r="K315" s="3" t="str">
        <f aca="false" t="array" ref="K315:K315">IFERROR(IF(J315&lt;&gt;"",J315,INDEX(J315:J1314,MATCH(1,(F315:F1314=F315)*(I315:I1314=I315)*(L315:L1314=L315)*(J315:J1314&lt;&gt;""),0))),"Not Found")</f>
        <v>Engine Knocking</v>
      </c>
      <c r="L315" s="3" t="s">
        <v>47</v>
      </c>
      <c r="M315" s="0" t="str">
        <f aca="false">PROPER(L315)</f>
        <v>None</v>
      </c>
      <c r="O315" s="0" t="e">
        <f aca="false" t="array" ref="O315:O315">IF(N315&lt;&gt;"",N315,_xlfn.xlookup(1,(L315:L1314=L315)*(N315:N1314&lt;&gt;""),N315:N1314,"Not Found"))</f>
        <v>#NAME?</v>
      </c>
      <c r="P315" s="4" t="n">
        <v>107782</v>
      </c>
      <c r="Q315" s="0" t="s">
        <v>124</v>
      </c>
      <c r="R315" s="0" t="str">
        <f aca="false">PROPER(Q315)</f>
        <v>Cash</v>
      </c>
      <c r="S315" s="0" t="s">
        <v>50</v>
      </c>
      <c r="T315" s="0" t="n">
        <v>3</v>
      </c>
      <c r="U315" s="5" t="n">
        <f aca="false">IF(ISBLANK(T315),AVERAGE(T315:T1314),T315)</f>
        <v>3</v>
      </c>
      <c r="V315" s="0" t="n">
        <v>5.7</v>
      </c>
      <c r="W315" s="0" t="s">
        <v>51</v>
      </c>
      <c r="X315" s="0" t="str">
        <f aca="false">IF(ISBLANK(W315),"No remarks",W315)</f>
        <v>Recommended further checks</v>
      </c>
      <c r="Y315" s="0" t="s">
        <v>52</v>
      </c>
      <c r="Z315" s="0" t="s">
        <v>136</v>
      </c>
      <c r="AA315" s="0" t="str">
        <f aca="false">PROPER(IF(ISBLANK(Z315),"Location Unavailable",Z315))</f>
        <v>Vip Section</v>
      </c>
      <c r="AB315" s="0" t="s">
        <v>75</v>
      </c>
      <c r="AC315" s="6" t="str">
        <f aca="false">PROPER(AB315)</f>
        <v>Mechanik Referal</v>
      </c>
      <c r="AD315" s="6" t="n">
        <v>30</v>
      </c>
      <c r="AE315" s="5" t="n">
        <f aca="false">IF(ISBLANK(AD315),AVERAGEIF(L315:L1314,L315,AD315:AD1314),AD315)</f>
        <v>30</v>
      </c>
      <c r="AF315" s="0" t="s">
        <v>96</v>
      </c>
      <c r="AG315" s="0" t="str">
        <f aca="false">PROPER(AF315)</f>
        <v>Ordered</v>
      </c>
      <c r="AH315" s="0" t="s">
        <v>77</v>
      </c>
      <c r="AI315" s="0" t="s">
        <v>113</v>
      </c>
      <c r="AJ315" s="0" t="str">
        <f aca="false">PROPER(AI315)</f>
        <v>Normal</v>
      </c>
      <c r="AK315" s="0" t="s">
        <v>58</v>
      </c>
      <c r="AL315" s="0" t="str">
        <f aca="false">PROPER(AK315)</f>
        <v>Fleet Owner</v>
      </c>
      <c r="AM315" s="0" t="s">
        <v>59</v>
      </c>
      <c r="AN315" s="0" t="str">
        <f aca="false">IF(ISBLANK(AM315),"Unknown",AM315)</f>
        <v>Bolt Driver</v>
      </c>
      <c r="AP315" s="0" t="str">
        <f aca="false">IF(ISBLANK(AO315),"Unknown",AO315)</f>
        <v>Unknown</v>
      </c>
      <c r="AQ315" s="0" t="n">
        <v>30000</v>
      </c>
      <c r="AR315" s="5" t="n">
        <f aca="false">IF(ISBLANK(AQ315),AVERAGEIF(M315:M1314,M315,AQ315:AQ1314),AQ315)</f>
        <v>30000</v>
      </c>
      <c r="AS315" s="0" t="n">
        <v>30000</v>
      </c>
      <c r="AT315" s="5" t="n">
        <f aca="false">IF(ISBLANK(AS315),AVERAGE(AS315:AS1314),AS315)</f>
        <v>30000</v>
      </c>
      <c r="AU315" s="0" t="s">
        <v>82</v>
      </c>
      <c r="AV315" s="0" t="str">
        <f aca="false">PROPER(IF(ISBLANK(AU315),"No",AU315))</f>
        <v>Yes</v>
      </c>
      <c r="AW315" s="0" t="n">
        <v>5000</v>
      </c>
      <c r="AX315" s="5" t="n">
        <f aca="false">IF(ISBLANK(AW315),0,AW315)</f>
        <v>5000</v>
      </c>
      <c r="AY315" s="0" t="s">
        <v>80</v>
      </c>
      <c r="AZ315" s="0" t="str">
        <f aca="false">UPPER(IF(ISBLANK(AY315),"NONE",AY315))</f>
        <v>PROMO10</v>
      </c>
      <c r="BB315" s="7" t="str">
        <f aca="false">IF(ISBLANK(BA315),"No Follow Up Needed",BA315)</f>
        <v>No Follow Up Needed</v>
      </c>
      <c r="BC315" s="0" t="s">
        <v>82</v>
      </c>
      <c r="BD315" s="0" t="str">
        <f aca="false">PROPER(IF(ISBLANK(BC315),"Unknown",BC315))</f>
        <v>Yes</v>
      </c>
      <c r="BF315" s="0" t="str">
        <f aca="false">IF(ISBLANK(BE315),"No comments",BE315)</f>
        <v>No comments</v>
      </c>
      <c r="BG315" s="0" t="s">
        <v>2320</v>
      </c>
      <c r="BH315" s="0" t="str">
        <f aca="false">IF(ISBLANK(BG315),"No comments",BG315)</f>
        <v>No complaints</v>
      </c>
      <c r="BI315" s="0" t="s">
        <v>50</v>
      </c>
      <c r="BJ315" s="0" t="str">
        <f aca="false">IF(ISBLANK(BI315),"Not Mentioned",BI315)</f>
        <v>No</v>
      </c>
      <c r="BK315" s="0" t="s">
        <v>63</v>
      </c>
      <c r="BL315" s="0" t="str">
        <f aca="false">PROPER(IF(ISBLANK(BK315),"Not Mentioned",BK315))</f>
        <v>Yes</v>
      </c>
      <c r="BM315" s="0" t="s">
        <v>63</v>
      </c>
      <c r="BN315" s="0" t="str">
        <f aca="false">PROPER(IF(ISBLANK(BM315),"Not Mentioned",BM315))</f>
        <v>Yes</v>
      </c>
      <c r="BO315" s="0" t="s">
        <v>2321</v>
      </c>
      <c r="BP315" s="0" t="str">
        <f aca="false">IF(ISBLANK(BO315),"One-Time Plan",BO315)</f>
        <v>One-Time Plan</v>
      </c>
      <c r="BR315" s="0" t="str">
        <f aca="false">PROPER(IF(ISBLANK(BQ315),"No",BQ315))</f>
        <v>No</v>
      </c>
    </row>
    <row r="316" customFormat="false" ht="15" hidden="false" customHeight="false" outlineLevel="0" collapsed="false">
      <c r="A316" s="0" t="s">
        <v>885</v>
      </c>
      <c r="B316" s="2" t="s">
        <v>299</v>
      </c>
      <c r="C316" s="2" t="str">
        <f aca="false">TEXT(B316,"dd/mm/yyyy")</f>
        <v>27/05/2025</v>
      </c>
      <c r="D316" s="0" t="s">
        <v>163</v>
      </c>
      <c r="E316" s="0" t="n">
        <v>8050216625</v>
      </c>
      <c r="F316" s="0" t="s">
        <v>122</v>
      </c>
      <c r="G316" s="0" t="s">
        <v>2316</v>
      </c>
      <c r="H316" s="0" t="s">
        <v>886</v>
      </c>
      <c r="I316" s="0" t="s">
        <v>107</v>
      </c>
      <c r="J316" s="0" t="s">
        <v>2322</v>
      </c>
      <c r="K316" s="3" t="str">
        <f aca="false" t="array" ref="K316:K316">IFERROR(IF(J316&lt;&gt;"",J316,INDEX(J316:J1315,MATCH(1,(F316:F1315=F316)*(I316:I1315=I316)*(L316:L1315=L316)*(J316:J1315&lt;&gt;""),0))),"Not Found")</f>
        <v>Brake Failure</v>
      </c>
      <c r="L316" s="3" t="s">
        <v>154</v>
      </c>
      <c r="M316" s="0" t="str">
        <f aca="false">PROPER(L316)</f>
        <v>Air Filter</v>
      </c>
      <c r="N316" s="3" t="s">
        <v>48</v>
      </c>
      <c r="O316" s="0" t="str">
        <f aca="false" t="array" ref="O316:O316">IF(N316&lt;&gt;"",N316,_xlfn.xlookup(1,(L316:L1315=L316)*(N316:N1315&lt;&gt;""),N316:N1315,"Not Found"))</f>
        <v>Uche</v>
      </c>
      <c r="P316" s="4" t="n">
        <v>98268</v>
      </c>
      <c r="Q316" s="0" t="s">
        <v>49</v>
      </c>
      <c r="R316" s="0" t="str">
        <f aca="false">PROPER(Q316)</f>
        <v>Transfer</v>
      </c>
      <c r="S316" s="0" t="s">
        <v>63</v>
      </c>
      <c r="T316" s="0" t="n">
        <v>2</v>
      </c>
      <c r="U316" s="5" t="n">
        <f aca="false">IF(ISBLANK(T316),AVERAGE(T316:T1315),T316)</f>
        <v>2</v>
      </c>
      <c r="V316" s="0" t="n">
        <v>4.9</v>
      </c>
      <c r="W316" s="0" t="s">
        <v>51</v>
      </c>
      <c r="X316" s="0" t="str">
        <f aca="false">IF(ISBLANK(W316),"No remarks",W316)</f>
        <v>Recommended further checks</v>
      </c>
      <c r="Y316" s="0" t="s">
        <v>93</v>
      </c>
      <c r="Z316" s="0" t="s">
        <v>94</v>
      </c>
      <c r="AA316" s="0" t="str">
        <f aca="false">PROPER(IF(ISBLANK(Z316),"Location Unavailable",Z316))</f>
        <v>Vip Section</v>
      </c>
      <c r="AB316" s="0" t="s">
        <v>147</v>
      </c>
      <c r="AC316" s="6" t="str">
        <f aca="false">PROPER(AB316)</f>
        <v>Instagram</v>
      </c>
      <c r="AD316" s="6" t="n">
        <v>45</v>
      </c>
      <c r="AE316" s="5" t="n">
        <f aca="false">IF(ISBLANK(AD316),AVERAGEIF(L316:L1315,L316,AD316:AD1315),AD316)</f>
        <v>45</v>
      </c>
      <c r="AF316" s="0" t="s">
        <v>96</v>
      </c>
      <c r="AG316" s="0" t="str">
        <f aca="false">PROPER(AF316)</f>
        <v>Ordered</v>
      </c>
      <c r="AH316" s="0" t="s">
        <v>155</v>
      </c>
      <c r="AI316" s="0" t="s">
        <v>113</v>
      </c>
      <c r="AJ316" s="0" t="str">
        <f aca="false">PROPER(AI316)</f>
        <v>Normal</v>
      </c>
      <c r="AK316" s="0" t="s">
        <v>114</v>
      </c>
      <c r="AL316" s="0" t="str">
        <f aca="false">PROPER(AK316)</f>
        <v>Returning</v>
      </c>
      <c r="AM316" s="0" t="s">
        <v>59</v>
      </c>
      <c r="AN316" s="0" t="str">
        <f aca="false">IF(ISBLANK(AM316),"Unknown",AM316)</f>
        <v>Bolt Driver</v>
      </c>
      <c r="AO316" s="0" t="s">
        <v>79</v>
      </c>
      <c r="AP316" s="0" t="str">
        <f aca="false">IF(ISBLANK(AO316),"Unknown",AO316)</f>
        <v>Specialist</v>
      </c>
      <c r="AQ316" s="0" t="n">
        <v>25000</v>
      </c>
      <c r="AR316" s="5" t="n">
        <f aca="false">IF(ISBLANK(AQ316),AVERAGEIF(M316:M1315,M316,AQ316:AQ1315),AQ316)</f>
        <v>25000</v>
      </c>
      <c r="AS316" s="0" t="n">
        <v>40000</v>
      </c>
      <c r="AT316" s="5" t="n">
        <f aca="false">IF(ISBLANK(AS316),AVERAGE(AS316:AS1315),AS316)</f>
        <v>40000</v>
      </c>
      <c r="AU316" s="0" t="s">
        <v>82</v>
      </c>
      <c r="AV316" s="0" t="str">
        <f aca="false">PROPER(IF(ISBLANK(AU316),"No",AU316))</f>
        <v>Yes</v>
      </c>
      <c r="AW316" s="0" t="n">
        <v>0</v>
      </c>
      <c r="AX316" s="5" t="n">
        <f aca="false">IF(ISBLANK(AW316),0,AW316)</f>
        <v>0</v>
      </c>
      <c r="AY316" s="0" t="s">
        <v>184</v>
      </c>
      <c r="AZ316" s="0" t="str">
        <f aca="false">UPPER(IF(ISBLANK(AY316),"NONE",AY316))</f>
        <v>N/A</v>
      </c>
      <c r="BA316" s="7" t="n">
        <v>45851</v>
      </c>
      <c r="BB316" s="7" t="n">
        <f aca="false">IF(ISBLANK(BA316),"No Follow Up Needed",BA316)</f>
        <v>45851</v>
      </c>
      <c r="BC316" s="0" t="s">
        <v>61</v>
      </c>
      <c r="BD316" s="0" t="str">
        <f aca="false">PROPER(IF(ISBLANK(BC316),"Unknown",BC316))</f>
        <v>No</v>
      </c>
      <c r="BE316" s="0" t="s">
        <v>116</v>
      </c>
      <c r="BF316" s="0" t="str">
        <f aca="false">IF(ISBLANK(BE316),"No comments",BE316)</f>
        <v>Needs tire alignment</v>
      </c>
      <c r="BH316" s="0" t="str">
        <f aca="false">IF(ISBLANK(BG316),"No comments",BG316)</f>
        <v>No comments</v>
      </c>
      <c r="BI316" s="0" t="s">
        <v>50</v>
      </c>
      <c r="BJ316" s="0" t="str">
        <f aca="false">IF(ISBLANK(BI316),"Not Mentioned",BI316)</f>
        <v>No</v>
      </c>
      <c r="BK316" s="0" t="s">
        <v>63</v>
      </c>
      <c r="BL316" s="0" t="str">
        <f aca="false">PROPER(IF(ISBLANK(BK316),"Not Mentioned",BK316))</f>
        <v>Yes</v>
      </c>
      <c r="BM316" s="0" t="s">
        <v>63</v>
      </c>
      <c r="BN316" s="0" t="str">
        <f aca="false">PROPER(IF(ISBLANK(BM316),"Not Mentioned",BM316))</f>
        <v>Yes</v>
      </c>
      <c r="BP316" s="0" t="str">
        <f aca="false">IF(ISBLANK(BO316),"One-Time Plan",BO316)</f>
        <v>One-Time Plan</v>
      </c>
      <c r="BQ316" s="0" t="s">
        <v>190</v>
      </c>
      <c r="BR316" s="0" t="str">
        <f aca="false">PROPER(IF(ISBLANK(BQ316),"No",BQ316))</f>
        <v>Yes</v>
      </c>
    </row>
    <row r="317" customFormat="false" ht="15" hidden="false" customHeight="false" outlineLevel="0" collapsed="false">
      <c r="A317" s="0" t="s">
        <v>887</v>
      </c>
      <c r="B317" s="2" t="n">
        <v>45817</v>
      </c>
      <c r="C317" s="2" t="str">
        <f aca="false">TEXT(B317,"dd/mm/yyyy")</f>
        <v>09/06/2025</v>
      </c>
      <c r="D317" s="0" t="s">
        <v>121</v>
      </c>
      <c r="E317" s="0" t="n">
        <v>8053765651</v>
      </c>
      <c r="F317" s="0" t="s">
        <v>85</v>
      </c>
      <c r="G317" s="0" t="s">
        <v>2319</v>
      </c>
      <c r="H317" s="0" t="s">
        <v>888</v>
      </c>
      <c r="I317" s="0" t="s">
        <v>45</v>
      </c>
      <c r="J317" s="0" t="s">
        <v>2325</v>
      </c>
      <c r="K317" s="3" t="str">
        <f aca="false" t="array" ref="K317:K317">IFERROR(IF(J317&lt;&gt;"",J317,INDEX(J317:J1316,MATCH(1,(F317:F1316=F317)*(I317:I1316=I317)*(L317:L1316=L317)*(J317:J1316&lt;&gt;""),0))),"Not Found")</f>
        <v>Engine Knocking</v>
      </c>
      <c r="L317" s="3" t="s">
        <v>189</v>
      </c>
      <c r="M317" s="0" t="str">
        <f aca="false">PROPER(L317)</f>
        <v>Battery</v>
      </c>
      <c r="O317" s="0" t="e">
        <f aca="false" t="array" ref="O317:O317">IF(N317&lt;&gt;"",N317,_xlfn.xlookup(1,(L317:L1316=L317)*(N317:N1316&lt;&gt;""),N317:N1316,"Not Found"))</f>
        <v>#NAME?</v>
      </c>
      <c r="P317" s="4" t="n">
        <v>21696</v>
      </c>
      <c r="Q317" s="0" t="s">
        <v>91</v>
      </c>
      <c r="R317" s="0" t="str">
        <f aca="false">PROPER(Q317)</f>
        <v>Pos</v>
      </c>
      <c r="S317" s="0" t="s">
        <v>63</v>
      </c>
      <c r="T317" s="0" t="n">
        <v>1</v>
      </c>
      <c r="U317" s="5" t="n">
        <f aca="false">IF(ISBLANK(T317),AVERAGE(T317:T1316),T317)</f>
        <v>1</v>
      </c>
      <c r="V317" s="0" t="n">
        <v>2.5</v>
      </c>
      <c r="W317" s="0" t="s">
        <v>92</v>
      </c>
      <c r="X317" s="0" t="str">
        <f aca="false">IF(ISBLANK(W317),"No remarks",W317)</f>
        <v>Urgent service</v>
      </c>
      <c r="Y317" s="0" t="s">
        <v>73</v>
      </c>
      <c r="Z317" s="0" t="s">
        <v>136</v>
      </c>
      <c r="AA317" s="0" t="str">
        <f aca="false">PROPER(IF(ISBLANK(Z317),"Location Unavailable",Z317))</f>
        <v>Vip Section</v>
      </c>
      <c r="AB317" s="0" t="s">
        <v>95</v>
      </c>
      <c r="AC317" s="6" t="str">
        <f aca="false">PROPER(AB317)</f>
        <v>Road Sign</v>
      </c>
      <c r="AD317" s="6" t="n">
        <v>60</v>
      </c>
      <c r="AE317" s="5" t="n">
        <f aca="false">IF(ISBLANK(AD317),AVERAGEIF(L317:L1316,L317,AD317:AD1316),AD317)</f>
        <v>60</v>
      </c>
      <c r="AF317" s="0" t="s">
        <v>76</v>
      </c>
      <c r="AG317" s="0" t="str">
        <f aca="false">PROPER(AF317)</f>
        <v>Orderd</v>
      </c>
      <c r="AH317" s="0" t="s">
        <v>56</v>
      </c>
      <c r="AI317" s="0" t="s">
        <v>78</v>
      </c>
      <c r="AJ317" s="0" t="str">
        <f aca="false">PROPER(AI317)</f>
        <v>Booking</v>
      </c>
      <c r="AK317" s="0" t="s">
        <v>196</v>
      </c>
      <c r="AL317" s="0" t="str">
        <f aca="false">PROPER(AK317)</f>
        <v>First Time</v>
      </c>
      <c r="AM317" s="0" t="s">
        <v>2324</v>
      </c>
      <c r="AN317" s="0" t="str">
        <f aca="false">IF(ISBLANK(AM317),"Unknown",AM317)</f>
        <v>Logistics Convoy</v>
      </c>
      <c r="AO317" s="0" t="s">
        <v>149</v>
      </c>
      <c r="AP317" s="0" t="str">
        <f aca="false">IF(ISBLANK(AO317),"Unknown",AO317)</f>
        <v>Senior </v>
      </c>
      <c r="AQ317" s="0" t="n">
        <v>25000</v>
      </c>
      <c r="AR317" s="5" t="n">
        <f aca="false">IF(ISBLANK(AQ317),AVERAGEIF(M317:M1316,M317,AQ317:AQ1316),AQ317)</f>
        <v>25000</v>
      </c>
      <c r="AS317" s="0" t="n">
        <v>35000</v>
      </c>
      <c r="AT317" s="5" t="n">
        <f aca="false">IF(ISBLANK(AS317),AVERAGE(AS317:AS1316),AS317)</f>
        <v>35000</v>
      </c>
      <c r="AU317" s="0" t="s">
        <v>63</v>
      </c>
      <c r="AV317" s="0" t="str">
        <f aca="false">PROPER(IF(ISBLANK(AU317),"No",AU317))</f>
        <v>Yes</v>
      </c>
      <c r="AW317" s="0" t="n">
        <v>10000</v>
      </c>
      <c r="AX317" s="5" t="n">
        <f aca="false">IF(ISBLANK(AW317),0,AW317)</f>
        <v>10000</v>
      </c>
      <c r="AY317" s="0" t="s">
        <v>130</v>
      </c>
      <c r="AZ317" s="0" t="str">
        <f aca="false">UPPER(IF(ISBLANK(AY317),"NONE",AY317))</f>
        <v>LOYALTY10</v>
      </c>
      <c r="BA317" s="7" t="n">
        <v>45895</v>
      </c>
      <c r="BB317" s="7" t="n">
        <f aca="false">IF(ISBLANK(BA317),"No Follow Up Needed",BA317)</f>
        <v>45895</v>
      </c>
      <c r="BC317" s="0" t="s">
        <v>82</v>
      </c>
      <c r="BD317" s="0" t="str">
        <f aca="false">PROPER(IF(ISBLANK(BC317),"Unknown",BC317))</f>
        <v>Yes</v>
      </c>
      <c r="BF317" s="0" t="str">
        <f aca="false">IF(ISBLANK(BE317),"No comments",BE317)</f>
        <v>No comments</v>
      </c>
      <c r="BG317" s="0" t="s">
        <v>2320</v>
      </c>
      <c r="BH317" s="0" t="str">
        <f aca="false">IF(ISBLANK(BG317),"No comments",BG317)</f>
        <v>No complaints</v>
      </c>
      <c r="BI317" s="0" t="s">
        <v>50</v>
      </c>
      <c r="BJ317" s="0" t="str">
        <f aca="false">IF(ISBLANK(BI317),"Not Mentioned",BI317)</f>
        <v>No</v>
      </c>
      <c r="BK317" s="0" t="s">
        <v>63</v>
      </c>
      <c r="BL317" s="0" t="str">
        <f aca="false">PROPER(IF(ISBLANK(BK317),"Not Mentioned",BK317))</f>
        <v>Yes</v>
      </c>
      <c r="BN317" s="0" t="str">
        <f aca="false">PROPER(IF(ISBLANK(BM317),"Not Mentioned",BM317))</f>
        <v>Not Mentioned</v>
      </c>
      <c r="BO317" s="0" t="s">
        <v>2318</v>
      </c>
      <c r="BP317" s="0" t="str">
        <f aca="false">IF(ISBLANK(BO317),"One-Time Plan",BO317)</f>
        <v>Gold</v>
      </c>
      <c r="BR317" s="0" t="str">
        <f aca="false">PROPER(IF(ISBLANK(BQ317),"No",BQ317))</f>
        <v>No</v>
      </c>
    </row>
    <row r="318" customFormat="false" ht="15" hidden="false" customHeight="false" outlineLevel="0" collapsed="false">
      <c r="A318" s="0" t="s">
        <v>889</v>
      </c>
      <c r="B318" s="2" t="n">
        <v>45841</v>
      </c>
      <c r="C318" s="2" t="str">
        <f aca="false">TEXT(B318,"dd/mm/yyyy")</f>
        <v>03/07/2025</v>
      </c>
      <c r="D318" s="0" t="s">
        <v>105</v>
      </c>
      <c r="E318" s="0" t="n">
        <v>8088779778</v>
      </c>
      <c r="F318" s="0" t="s">
        <v>43</v>
      </c>
      <c r="G318" s="0" t="s">
        <v>2315</v>
      </c>
      <c r="H318" s="0" t="s">
        <v>890</v>
      </c>
      <c r="I318" s="0" t="s">
        <v>87</v>
      </c>
      <c r="K318" s="3" t="str">
        <f aca="false" t="array" ref="K318:K318">IFERROR(IF(J318&lt;&gt;"",J318,INDEX(J318:J1317,MATCH(1,(F318:F1317=F318)*(I318:I1317=I318)*(L318:L1317=L318)*(J318:J1317&lt;&gt;""),0))),"Not Found")</f>
        <v>Suspension Noise</v>
      </c>
      <c r="L318" s="3" t="s">
        <v>154</v>
      </c>
      <c r="M318" s="0" t="str">
        <f aca="false">PROPER(L318)</f>
        <v>Air Filter</v>
      </c>
      <c r="N318" s="3" t="s">
        <v>109</v>
      </c>
      <c r="O318" s="0" t="str">
        <f aca="false" t="array" ref="O318:O318">IF(N318&lt;&gt;"",N318,_xlfn.xlookup(1,(L318:L1317=L318)*(N318:N1317&lt;&gt;""),N318:N1317,"Not Found"))</f>
        <v>Tijani</v>
      </c>
      <c r="P318" s="4" t="n">
        <v>25195</v>
      </c>
      <c r="Q318" s="0" t="s">
        <v>72</v>
      </c>
      <c r="R318" s="0" t="str">
        <f aca="false">PROPER(Q318)</f>
        <v>Pos</v>
      </c>
      <c r="S318" s="0" t="s">
        <v>63</v>
      </c>
      <c r="T318" s="0" t="n">
        <v>1</v>
      </c>
      <c r="U318" s="5" t="n">
        <f aca="false">IF(ISBLANK(T318),AVERAGE(T318:T1317),T318)</f>
        <v>1</v>
      </c>
      <c r="V318" s="0" t="n">
        <v>4.8</v>
      </c>
      <c r="W318" s="0" t="s">
        <v>51</v>
      </c>
      <c r="X318" s="0" t="str">
        <f aca="false">IF(ISBLANK(W318),"No remarks",W318)</f>
        <v>Recommended further checks</v>
      </c>
      <c r="Y318" s="0" t="s">
        <v>93</v>
      </c>
      <c r="Z318" s="0" t="s">
        <v>94</v>
      </c>
      <c r="AA318" s="0" t="str">
        <f aca="false">PROPER(IF(ISBLANK(Z318),"Location Unavailable",Z318))</f>
        <v>Vip Section</v>
      </c>
      <c r="AB318" s="0" t="s">
        <v>54</v>
      </c>
      <c r="AC318" s="6" t="str">
        <f aca="false">PROPER(AB318)</f>
        <v>Mechanic Referral</v>
      </c>
      <c r="AD318" s="6" t="n">
        <v>15</v>
      </c>
      <c r="AE318" s="5" t="n">
        <f aca="false">IF(ISBLANK(AD318),AVERAGEIF(L318:L1317,L318,AD318:AD1317),AD318)</f>
        <v>15</v>
      </c>
      <c r="AF318" s="0" t="s">
        <v>112</v>
      </c>
      <c r="AG318" s="0" t="str">
        <f aca="false">PROPER(AF318)</f>
        <v>Unavailable</v>
      </c>
      <c r="AH318" s="0" t="s">
        <v>148</v>
      </c>
      <c r="AI318" s="0" t="s">
        <v>98</v>
      </c>
      <c r="AJ318" s="0" t="str">
        <f aca="false">PROPER(AI318)</f>
        <v>Emergency</v>
      </c>
      <c r="AK318" s="0" t="s">
        <v>58</v>
      </c>
      <c r="AL318" s="0" t="str">
        <f aca="false">PROPER(AK318)</f>
        <v>Fleet Owner</v>
      </c>
      <c r="AM318" s="0" t="s">
        <v>2326</v>
      </c>
      <c r="AN318" s="0" t="str">
        <f aca="false">IF(ISBLANK(AM318),"Unknown",AM318)</f>
        <v>Government Convoy</v>
      </c>
      <c r="AP318" s="0" t="str">
        <f aca="false">IF(ISBLANK(AO318),"Unknown",AO318)</f>
        <v>Unknown</v>
      </c>
      <c r="AQ318" s="0" t="n">
        <v>20000</v>
      </c>
      <c r="AR318" s="5" t="n">
        <f aca="false">IF(ISBLANK(AQ318),AVERAGEIF(M318:M1317,M318,AQ318:AQ1317),AQ318)</f>
        <v>20000</v>
      </c>
      <c r="AT318" s="5" t="n">
        <f aca="false">IF(ISBLANK(AS318),AVERAGE(AS318:AS1317),AS318)</f>
        <v>31414.762741652</v>
      </c>
      <c r="AU318" s="0" t="s">
        <v>61</v>
      </c>
      <c r="AV318" s="0" t="str">
        <f aca="false">PROPER(IF(ISBLANK(AU318),"No",AU318))</f>
        <v>No</v>
      </c>
      <c r="AW318" s="0" t="n">
        <v>10000</v>
      </c>
      <c r="AX318" s="5" t="n">
        <f aca="false">IF(ISBLANK(AW318),0,AW318)</f>
        <v>10000</v>
      </c>
      <c r="AY318" s="0" t="s">
        <v>130</v>
      </c>
      <c r="AZ318" s="0" t="str">
        <f aca="false">UPPER(IF(ISBLANK(AY318),"NONE",AY318))</f>
        <v>LOYALTY10</v>
      </c>
      <c r="BA318" s="7" t="s">
        <v>891</v>
      </c>
      <c r="BB318" s="7" t="str">
        <f aca="false">IF(ISBLANK(BA318),"No Follow Up Needed",BA318)</f>
        <v>24/10/2025</v>
      </c>
      <c r="BC318" s="0" t="s">
        <v>61</v>
      </c>
      <c r="BD318" s="0" t="str">
        <f aca="false">PROPER(IF(ISBLANK(BC318),"Unknown",BC318))</f>
        <v>No</v>
      </c>
      <c r="BE318" s="0" t="s">
        <v>171</v>
      </c>
      <c r="BF318" s="0" t="str">
        <f aca="false">IF(ISBLANK(BE318),"No comments",BE318)</f>
        <v>Shock absorber weakening</v>
      </c>
      <c r="BG318" s="0" t="s">
        <v>2320</v>
      </c>
      <c r="BH318" s="0" t="str">
        <f aca="false">IF(ISBLANK(BG318),"No comments",BG318)</f>
        <v>No complaints</v>
      </c>
      <c r="BI318" s="0" t="s">
        <v>63</v>
      </c>
      <c r="BJ318" s="0" t="str">
        <f aca="false">IF(ISBLANK(BI318),"Not Mentioned",BI318)</f>
        <v>Yes</v>
      </c>
      <c r="BK318" s="0" t="s">
        <v>82</v>
      </c>
      <c r="BL318" s="0" t="str">
        <f aca="false">PROPER(IF(ISBLANK(BK318),"Not Mentioned",BK318))</f>
        <v>Yes</v>
      </c>
      <c r="BN318" s="0" t="str">
        <f aca="false">PROPER(IF(ISBLANK(BM318),"Not Mentioned",BM318))</f>
        <v>Not Mentioned</v>
      </c>
      <c r="BO318" s="0" t="s">
        <v>2318</v>
      </c>
      <c r="BP318" s="0" t="str">
        <f aca="false">IF(ISBLANK(BO318),"One-Time Plan",BO318)</f>
        <v>Gold</v>
      </c>
      <c r="BQ318" s="0" t="s">
        <v>190</v>
      </c>
      <c r="BR318" s="0" t="str">
        <f aca="false">PROPER(IF(ISBLANK(BQ318),"No",BQ318))</f>
        <v>Yes</v>
      </c>
    </row>
    <row r="319" customFormat="false" ht="15" hidden="false" customHeight="false" outlineLevel="0" collapsed="false">
      <c r="A319" s="0" t="s">
        <v>892</v>
      </c>
      <c r="B319" s="2" t="n">
        <v>45714</v>
      </c>
      <c r="C319" s="2" t="str">
        <f aca="false">TEXT(B319,"dd/mm/yyyy")</f>
        <v>26/02/2025</v>
      </c>
      <c r="D319" s="0" t="s">
        <v>66</v>
      </c>
      <c r="E319" s="0" t="n">
        <v>8013119198</v>
      </c>
      <c r="F319" s="0" t="s">
        <v>85</v>
      </c>
      <c r="G319" s="0" t="s">
        <v>2319</v>
      </c>
      <c r="H319" s="0" t="s">
        <v>893</v>
      </c>
      <c r="I319" s="0" t="s">
        <v>45</v>
      </c>
      <c r="J319" s="0" t="s">
        <v>87</v>
      </c>
      <c r="K319" s="3" t="str">
        <f aca="false" t="array" ref="K319:K319">IFERROR(IF(J319&lt;&gt;"",J319,INDEX(J319:J1318,MATCH(1,(F319:F1318=F319)*(I319:I1318=I319)*(L319:L1318=L319)*(J319:J1318&lt;&gt;""),0))),"Not Found")</f>
        <v>Oil Change</v>
      </c>
      <c r="L319" s="3" t="s">
        <v>154</v>
      </c>
      <c r="M319" s="0" t="str">
        <f aca="false">PROPER(L319)</f>
        <v>Air Filter</v>
      </c>
      <c r="N319" s="3" t="s">
        <v>90</v>
      </c>
      <c r="O319" s="0" t="str">
        <f aca="false" t="array" ref="O319:O319">IF(N319&lt;&gt;"",N319,_xlfn.xlookup(1,(L319:L1318=L319)*(N319:N1318&lt;&gt;""),N319:N1318,"Not Found"))</f>
        <v>Musa</v>
      </c>
      <c r="P319" s="4" t="n">
        <v>24773</v>
      </c>
      <c r="Q319" s="0" t="s">
        <v>110</v>
      </c>
      <c r="R319" s="0" t="str">
        <f aca="false">PROPER(Q319)</f>
        <v>Cash</v>
      </c>
      <c r="S319" s="0" t="s">
        <v>63</v>
      </c>
      <c r="T319" s="0" t="n">
        <v>2</v>
      </c>
      <c r="U319" s="5" t="n">
        <f aca="false">IF(ISBLANK(T319),AVERAGE(T319:T1318),T319)</f>
        <v>2</v>
      </c>
      <c r="V319" s="0" t="n">
        <v>5.5</v>
      </c>
      <c r="W319" s="0" t="s">
        <v>51</v>
      </c>
      <c r="X319" s="0" t="str">
        <f aca="false">IF(ISBLANK(W319),"No remarks",W319)</f>
        <v>Recommended further checks</v>
      </c>
      <c r="Y319" s="0" t="s">
        <v>73</v>
      </c>
      <c r="Z319" s="0" t="s">
        <v>74</v>
      </c>
      <c r="AA319" s="0" t="str">
        <f aca="false">PROPER(IF(ISBLANK(Z319),"Location Unavailable",Z319))</f>
        <v>Under Tree</v>
      </c>
      <c r="AB319" s="0" t="s">
        <v>147</v>
      </c>
      <c r="AC319" s="6" t="str">
        <f aca="false">PROPER(AB319)</f>
        <v>Instagram</v>
      </c>
      <c r="AD319" s="6" t="n">
        <v>15</v>
      </c>
      <c r="AE319" s="5" t="n">
        <f aca="false">IF(ISBLANK(AD319),AVERAGEIF(L319:L1318,L319,AD319:AD1318),AD319)</f>
        <v>15</v>
      </c>
      <c r="AF319" s="0" t="s">
        <v>76</v>
      </c>
      <c r="AG319" s="0" t="str">
        <f aca="false">PROPER(AF319)</f>
        <v>Orderd</v>
      </c>
      <c r="AH319" s="0" t="s">
        <v>77</v>
      </c>
      <c r="AI319" s="0" t="s">
        <v>98</v>
      </c>
      <c r="AJ319" s="0" t="str">
        <f aca="false">PROPER(AI319)</f>
        <v>Emergency</v>
      </c>
      <c r="AK319" s="0" t="s">
        <v>99</v>
      </c>
      <c r="AL319" s="0" t="str">
        <f aca="false">PROPER(AK319)</f>
        <v>Uber Driver</v>
      </c>
      <c r="AN319" s="0" t="str">
        <f aca="false">IF(ISBLANK(AM319),"Unknown",AM319)</f>
        <v>Unknown</v>
      </c>
      <c r="AP319" s="0" t="str">
        <f aca="false">IF(ISBLANK(AO319),"Unknown",AO319)</f>
        <v>Unknown</v>
      </c>
      <c r="AQ319" s="0" t="n">
        <v>25000</v>
      </c>
      <c r="AR319" s="5" t="n">
        <f aca="false">IF(ISBLANK(AQ319),AVERAGEIF(M319:M1318,M319,AQ319:AQ1318),AQ319)</f>
        <v>25000</v>
      </c>
      <c r="AS319" s="0" t="n">
        <v>40000</v>
      </c>
      <c r="AT319" s="5" t="n">
        <f aca="false">IF(ISBLANK(AS319),AVERAGE(AS319:AS1318),AS319)</f>
        <v>40000</v>
      </c>
      <c r="AU319" s="0" t="s">
        <v>63</v>
      </c>
      <c r="AV319" s="0" t="str">
        <f aca="false">PROPER(IF(ISBLANK(AU319),"No",AU319))</f>
        <v>Yes</v>
      </c>
      <c r="AX319" s="5" t="n">
        <f aca="false">IF(ISBLANK(AW319),0,AW319)</f>
        <v>0</v>
      </c>
      <c r="AY319" s="0" t="s">
        <v>80</v>
      </c>
      <c r="AZ319" s="0" t="str">
        <f aca="false">UPPER(IF(ISBLANK(AY319),"NONE",AY319))</f>
        <v>PROMO10</v>
      </c>
      <c r="BA319" s="7" t="n">
        <v>46003</v>
      </c>
      <c r="BB319" s="7" t="n">
        <f aca="false">IF(ISBLANK(BA319),"No Follow Up Needed",BA319)</f>
        <v>46003</v>
      </c>
      <c r="BD319" s="0" t="str">
        <f aca="false">PROPER(IF(ISBLANK(BC319),"Unknown",BC319))</f>
        <v>Unknown</v>
      </c>
      <c r="BE319" s="0" t="s">
        <v>116</v>
      </c>
      <c r="BF319" s="0" t="str">
        <f aca="false">IF(ISBLANK(BE319),"No comments",BE319)</f>
        <v>Needs tire alignment</v>
      </c>
      <c r="BG319" s="0" t="s">
        <v>172</v>
      </c>
      <c r="BH319" s="0" t="str">
        <f aca="false">IF(ISBLANK(BG319),"No comments",BG319)</f>
        <v>Always late</v>
      </c>
      <c r="BI319" s="0" t="s">
        <v>50</v>
      </c>
      <c r="BJ319" s="0" t="str">
        <f aca="false">IF(ISBLANK(BI319),"Not Mentioned",BI319)</f>
        <v>No</v>
      </c>
      <c r="BL319" s="0" t="str">
        <f aca="false">PROPER(IF(ISBLANK(BK319),"Not Mentioned",BK319))</f>
        <v>Not Mentioned</v>
      </c>
      <c r="BM319" s="0" t="s">
        <v>50</v>
      </c>
      <c r="BN319" s="0" t="str">
        <f aca="false">PROPER(IF(ISBLANK(BM319),"Not Mentioned",BM319))</f>
        <v>No</v>
      </c>
      <c r="BO319" s="0" t="s">
        <v>64</v>
      </c>
      <c r="BP319" s="0" t="str">
        <f aca="false">IF(ISBLANK(BO319),"One-Time Plan",BO319)</f>
        <v>Gold Maintenance Plan</v>
      </c>
      <c r="BR319" s="0" t="str">
        <f aca="false">PROPER(IF(ISBLANK(BQ319),"No",BQ319))</f>
        <v>No</v>
      </c>
    </row>
    <row r="320" customFormat="false" ht="15" hidden="false" customHeight="false" outlineLevel="0" collapsed="false">
      <c r="A320" s="0" t="s">
        <v>894</v>
      </c>
      <c r="B320" s="2" t="n">
        <v>45813</v>
      </c>
      <c r="C320" s="2" t="str">
        <f aca="false">TEXT(B320,"dd/mm/yyyy")</f>
        <v>05/06/2025</v>
      </c>
      <c r="D320" s="0" t="s">
        <v>121</v>
      </c>
      <c r="E320" s="0" t="n">
        <v>8086178952</v>
      </c>
      <c r="F320" s="0" t="s">
        <v>43</v>
      </c>
      <c r="G320" s="0" t="s">
        <v>2315</v>
      </c>
      <c r="H320" s="0" t="s">
        <v>895</v>
      </c>
      <c r="I320" s="0" t="s">
        <v>107</v>
      </c>
      <c r="J320" s="0" t="s">
        <v>2322</v>
      </c>
      <c r="K320" s="3" t="str">
        <f aca="false" t="array" ref="K320:K320">IFERROR(IF(J320&lt;&gt;"",J320,INDEX(J320:J1319,MATCH(1,(F320:F1319=F320)*(I320:I1319=I320)*(L320:L1319=L320)*(J320:J1319&lt;&gt;""),0))),"Not Found")</f>
        <v>Brake Failure</v>
      </c>
      <c r="L320" s="3" t="s">
        <v>108</v>
      </c>
      <c r="M320" s="0" t="str">
        <f aca="false">PROPER(L320)</f>
        <v>Timing Belt</v>
      </c>
      <c r="N320" s="3" t="s">
        <v>48</v>
      </c>
      <c r="O320" s="0" t="str">
        <f aca="false" t="array" ref="O320:O320">IF(N320&lt;&gt;"",N320,_xlfn.xlookup(1,(L320:L1319=L320)*(N320:N1319&lt;&gt;""),N320:N1319,"Not Found"))</f>
        <v>Uche</v>
      </c>
      <c r="P320" s="4" t="n">
        <v>60145</v>
      </c>
      <c r="Q320" s="0" t="s">
        <v>124</v>
      </c>
      <c r="R320" s="0" t="str">
        <f aca="false">PROPER(Q320)</f>
        <v>Cash</v>
      </c>
      <c r="S320" s="0" t="s">
        <v>50</v>
      </c>
      <c r="T320" s="0" t="n">
        <v>2</v>
      </c>
      <c r="U320" s="5" t="n">
        <f aca="false">IF(ISBLANK(T320),AVERAGE(T320:T1319),T320)</f>
        <v>2</v>
      </c>
      <c r="V320" s="0" t="n">
        <v>4.3</v>
      </c>
      <c r="W320" s="0" t="s">
        <v>111</v>
      </c>
      <c r="X320" s="0" t="str">
        <f aca="false">IF(ISBLANK(W320),"No remarks",W320)</f>
        <v>Changed all filters</v>
      </c>
      <c r="Y320" s="0" t="s">
        <v>73</v>
      </c>
      <c r="Z320" s="0" t="s">
        <v>136</v>
      </c>
      <c r="AA320" s="0" t="str">
        <f aca="false">PROPER(IF(ISBLANK(Z320),"Location Unavailable",Z320))</f>
        <v>Vip Section</v>
      </c>
      <c r="AB320" s="0" t="s">
        <v>126</v>
      </c>
      <c r="AC320" s="6" t="str">
        <f aca="false">PROPER(AB320)</f>
        <v>Whatsapp</v>
      </c>
      <c r="AE320" s="5" t="n">
        <f aca="false">IF(ISBLANK(AD320),AVERAGEIF(L320:L1319,L320,AD320:AD1319),AD320)</f>
        <v>36.8877551020408</v>
      </c>
      <c r="AF320" s="0" t="s">
        <v>112</v>
      </c>
      <c r="AG320" s="0" t="str">
        <f aca="false">PROPER(AF320)</f>
        <v>Unavailable</v>
      </c>
      <c r="AH320" s="0" t="s">
        <v>155</v>
      </c>
      <c r="AI320" s="0" t="s">
        <v>98</v>
      </c>
      <c r="AJ320" s="0" t="str">
        <f aca="false">PROPER(AI320)</f>
        <v>Emergency</v>
      </c>
      <c r="AK320" s="0" t="s">
        <v>99</v>
      </c>
      <c r="AL320" s="0" t="str">
        <f aca="false">PROPER(AK320)</f>
        <v>Uber Driver</v>
      </c>
      <c r="AM320" s="0" t="s">
        <v>177</v>
      </c>
      <c r="AN320" s="0" t="str">
        <f aca="false">IF(ISBLANK(AM320),"Unknown",AM320)</f>
        <v>Private</v>
      </c>
      <c r="AO320" s="0" t="s">
        <v>79</v>
      </c>
      <c r="AP320" s="0" t="str">
        <f aca="false">IF(ISBLANK(AO320),"Unknown",AO320)</f>
        <v>Specialist</v>
      </c>
      <c r="AQ320" s="0" t="n">
        <v>30000</v>
      </c>
      <c r="AR320" s="5" t="n">
        <f aca="false">IF(ISBLANK(AQ320),AVERAGEIF(M320:M1319,M320,AQ320:AQ1319),AQ320)</f>
        <v>30000</v>
      </c>
      <c r="AT320" s="5" t="n">
        <f aca="false">IF(ISBLANK(AS320),AVERAGE(AS320:AS1319),AS320)</f>
        <v>31399.6478873239</v>
      </c>
      <c r="AU320" s="0" t="s">
        <v>50</v>
      </c>
      <c r="AV320" s="0" t="str">
        <f aca="false">PROPER(IF(ISBLANK(AU320),"No",AU320))</f>
        <v>No</v>
      </c>
      <c r="AW320" s="0" t="n">
        <v>5000</v>
      </c>
      <c r="AX320" s="5" t="n">
        <f aca="false">IF(ISBLANK(AW320),0,AW320)</f>
        <v>5000</v>
      </c>
      <c r="AY320" s="0" t="s">
        <v>184</v>
      </c>
      <c r="AZ320" s="0" t="str">
        <f aca="false">UPPER(IF(ISBLANK(AY320),"NONE",AY320))</f>
        <v>N/A</v>
      </c>
      <c r="BA320" s="7" t="n">
        <v>45970</v>
      </c>
      <c r="BB320" s="7" t="n">
        <f aca="false">IF(ISBLANK(BA320),"No Follow Up Needed",BA320)</f>
        <v>45970</v>
      </c>
      <c r="BC320" s="0" t="s">
        <v>82</v>
      </c>
      <c r="BD320" s="0" t="str">
        <f aca="false">PROPER(IF(ISBLANK(BC320),"Unknown",BC320))</f>
        <v>Yes</v>
      </c>
      <c r="BE320" s="0" t="s">
        <v>116</v>
      </c>
      <c r="BF320" s="0" t="str">
        <f aca="false">IF(ISBLANK(BE320),"No comments",BE320)</f>
        <v>Needs tire alignment</v>
      </c>
      <c r="BG320" s="0" t="s">
        <v>172</v>
      </c>
      <c r="BH320" s="0" t="str">
        <f aca="false">IF(ISBLANK(BG320),"No comments",BG320)</f>
        <v>Always late</v>
      </c>
      <c r="BI320" s="0" t="s">
        <v>63</v>
      </c>
      <c r="BJ320" s="0" t="str">
        <f aca="false">IF(ISBLANK(BI320),"Not Mentioned",BI320)</f>
        <v>Yes</v>
      </c>
      <c r="BK320" s="0" t="s">
        <v>63</v>
      </c>
      <c r="BL320" s="0" t="str">
        <f aca="false">PROPER(IF(ISBLANK(BK320),"Not Mentioned",BK320))</f>
        <v>Yes</v>
      </c>
      <c r="BM320" s="0" t="s">
        <v>63</v>
      </c>
      <c r="BN320" s="0" t="str">
        <f aca="false">PROPER(IF(ISBLANK(BM320),"Not Mentioned",BM320))</f>
        <v>Yes</v>
      </c>
      <c r="BO320" s="0" t="s">
        <v>2321</v>
      </c>
      <c r="BP320" s="0" t="str">
        <f aca="false">IF(ISBLANK(BO320),"One-Time Plan",BO320)</f>
        <v>One-Time Plan</v>
      </c>
      <c r="BQ320" s="0" t="s">
        <v>198</v>
      </c>
      <c r="BR320" s="0" t="str">
        <f aca="false">PROPER(IF(ISBLANK(BQ320),"No",BQ320))</f>
        <v>Followed Up</v>
      </c>
    </row>
    <row r="321" customFormat="false" ht="15" hidden="false" customHeight="false" outlineLevel="0" collapsed="false">
      <c r="A321" s="0" t="s">
        <v>896</v>
      </c>
      <c r="B321" s="2" t="n">
        <v>45750</v>
      </c>
      <c r="C321" s="2" t="str">
        <f aca="false">TEXT(B321,"dd/mm/yyyy")</f>
        <v>03/04/2025</v>
      </c>
      <c r="D321" s="0" t="s">
        <v>121</v>
      </c>
      <c r="E321" s="0" t="n">
        <v>8014323017</v>
      </c>
      <c r="F321" s="0" t="s">
        <v>85</v>
      </c>
      <c r="G321" s="0" t="s">
        <v>2319</v>
      </c>
      <c r="H321" s="0" t="s">
        <v>897</v>
      </c>
      <c r="I321" s="0" t="s">
        <v>107</v>
      </c>
      <c r="K321" s="3" t="str">
        <f aca="false" t="array" ref="K321:K321">IFERROR(IF(J321&lt;&gt;"",J321,INDEX(J321:J1320,MATCH(1,(F321:F1320=F321)*(I321:I1320=I321)*(L321:L1320=L321)*(J321:J1320&lt;&gt;""),0))),"Not Found")</f>
        <v>Brake Failure</v>
      </c>
      <c r="L321" s="3" t="s">
        <v>108</v>
      </c>
      <c r="M321" s="0" t="str">
        <f aca="false">PROPER(L321)</f>
        <v>Timing Belt</v>
      </c>
      <c r="N321" s="3" t="s">
        <v>71</v>
      </c>
      <c r="O321" s="0" t="str">
        <f aca="false" t="array" ref="O321:O321">IF(N321&lt;&gt;"",N321,_xlfn.xlookup(1,(L321:L1320=L321)*(N321:N1320&lt;&gt;""),N321:N1320,"Not Found"))</f>
        <v>Isaac Bobo</v>
      </c>
      <c r="P321" s="4" t="n">
        <v>62782</v>
      </c>
      <c r="Q321" s="0" t="s">
        <v>110</v>
      </c>
      <c r="R321" s="0" t="str">
        <f aca="false">PROPER(Q321)</f>
        <v>Cash</v>
      </c>
      <c r="S321" s="0" t="s">
        <v>63</v>
      </c>
      <c r="U321" s="5" t="n">
        <f aca="false">IF(ISBLANK(T321),AVERAGE(T321:T1320),T321)</f>
        <v>3.04982206405694</v>
      </c>
      <c r="V321" s="0" t="n">
        <v>4.6</v>
      </c>
      <c r="W321" s="0" t="s">
        <v>92</v>
      </c>
      <c r="X321" s="0" t="str">
        <f aca="false">IF(ISBLANK(W321),"No remarks",W321)</f>
        <v>Urgent service</v>
      </c>
      <c r="Y321" s="0" t="s">
        <v>93</v>
      </c>
      <c r="Z321" s="0" t="s">
        <v>53</v>
      </c>
      <c r="AA321" s="0" t="str">
        <f aca="false">PROPER(IF(ISBLANK(Z321),"Location Unavailable",Z321))</f>
        <v>Main Bay</v>
      </c>
      <c r="AB321" s="0" t="s">
        <v>95</v>
      </c>
      <c r="AC321" s="6" t="str">
        <f aca="false">PROPER(AB321)</f>
        <v>Road Sign</v>
      </c>
      <c r="AD321" s="6" t="n">
        <v>60</v>
      </c>
      <c r="AE321" s="5" t="n">
        <f aca="false">IF(ISBLANK(AD321),AVERAGEIF(L321:L1320,L321,AD321:AD1320),AD321)</f>
        <v>60</v>
      </c>
      <c r="AF321" s="0" t="s">
        <v>76</v>
      </c>
      <c r="AG321" s="0" t="str">
        <f aca="false">PROPER(AF321)</f>
        <v>Orderd</v>
      </c>
      <c r="AH321" s="0" t="s">
        <v>155</v>
      </c>
      <c r="AI321" s="0" t="s">
        <v>98</v>
      </c>
      <c r="AJ321" s="0" t="str">
        <f aca="false">PROPER(AI321)</f>
        <v>Emergency</v>
      </c>
      <c r="AK321" s="0" t="s">
        <v>196</v>
      </c>
      <c r="AL321" s="0" t="str">
        <f aca="false">PROPER(AK321)</f>
        <v>First Time</v>
      </c>
      <c r="AM321" s="0" t="s">
        <v>177</v>
      </c>
      <c r="AN321" s="0" t="str">
        <f aca="false">IF(ISBLANK(AM321),"Unknown",AM321)</f>
        <v>Private</v>
      </c>
      <c r="AO321" s="0" t="s">
        <v>143</v>
      </c>
      <c r="AP321" s="0" t="str">
        <f aca="false">IF(ISBLANK(AO321),"Unknown",AO321)</f>
        <v>Senior</v>
      </c>
      <c r="AQ321" s="0" t="n">
        <v>40000</v>
      </c>
      <c r="AR321" s="5" t="n">
        <f aca="false">IF(ISBLANK(AQ321),AVERAGEIF(M321:M1320,M321,AQ321:AQ1320),AQ321)</f>
        <v>40000</v>
      </c>
      <c r="AS321" s="0" t="n">
        <v>35000</v>
      </c>
      <c r="AT321" s="5" t="n">
        <f aca="false">IF(ISBLANK(AS321),AVERAGE(AS321:AS1320),AS321)</f>
        <v>35000</v>
      </c>
      <c r="AU321" s="0" t="s">
        <v>61</v>
      </c>
      <c r="AV321" s="0" t="str">
        <f aca="false">PROPER(IF(ISBLANK(AU321),"No",AU321))</f>
        <v>No</v>
      </c>
      <c r="AX321" s="5" t="n">
        <f aca="false">IF(ISBLANK(AW321),0,AW321)</f>
        <v>0</v>
      </c>
      <c r="AY321" s="0" t="s">
        <v>130</v>
      </c>
      <c r="AZ321" s="0" t="str">
        <f aca="false">UPPER(IF(ISBLANK(AY321),"NONE",AY321))</f>
        <v>LOYALTY10</v>
      </c>
      <c r="BA321" s="7" t="s">
        <v>348</v>
      </c>
      <c r="BB321" s="7" t="str">
        <f aca="false">IF(ISBLANK(BA321),"No Follow Up Needed",BA321)</f>
        <v>15/07/2025</v>
      </c>
      <c r="BC321" s="0" t="s">
        <v>63</v>
      </c>
      <c r="BD321" s="0" t="str">
        <f aca="false">PROPER(IF(ISBLANK(BC321),"Unknown",BC321))</f>
        <v>Yes</v>
      </c>
      <c r="BF321" s="0" t="str">
        <f aca="false">IF(ISBLANK(BE321),"No comments",BE321)</f>
        <v>No comments</v>
      </c>
      <c r="BG321" s="0" t="s">
        <v>2320</v>
      </c>
      <c r="BH321" s="0" t="str">
        <f aca="false">IF(ISBLANK(BG321),"No comments",BG321)</f>
        <v>No complaints</v>
      </c>
      <c r="BJ321" s="0" t="str">
        <f aca="false">IF(ISBLANK(BI321),"Not Mentioned",BI321)</f>
        <v>Not Mentioned</v>
      </c>
      <c r="BK321" s="0" t="s">
        <v>82</v>
      </c>
      <c r="BL321" s="0" t="str">
        <f aca="false">PROPER(IF(ISBLANK(BK321),"Not Mentioned",BK321))</f>
        <v>Yes</v>
      </c>
      <c r="BM321" s="0" t="s">
        <v>50</v>
      </c>
      <c r="BN321" s="0" t="str">
        <f aca="false">PROPER(IF(ISBLANK(BM321),"Not Mentioned",BM321))</f>
        <v>No</v>
      </c>
      <c r="BO321" s="0" t="s">
        <v>2321</v>
      </c>
      <c r="BP321" s="0" t="str">
        <f aca="false">IF(ISBLANK(BO321),"One-Time Plan",BO321)</f>
        <v>One-Time Plan</v>
      </c>
      <c r="BQ321" s="0" t="s">
        <v>190</v>
      </c>
      <c r="BR321" s="0" t="str">
        <f aca="false">PROPER(IF(ISBLANK(BQ321),"No",BQ321))</f>
        <v>Yes</v>
      </c>
    </row>
    <row r="322" customFormat="false" ht="15" hidden="false" customHeight="false" outlineLevel="0" collapsed="false">
      <c r="A322" s="0" t="s">
        <v>898</v>
      </c>
      <c r="B322" s="2" t="n">
        <v>45672</v>
      </c>
      <c r="C322" s="2" t="str">
        <f aca="false">TEXT(B322,"dd/mm/yyyy")</f>
        <v>15/01/2025</v>
      </c>
      <c r="D322" s="0" t="s">
        <v>66</v>
      </c>
      <c r="E322" s="0" t="n">
        <v>8028674348</v>
      </c>
      <c r="F322" s="0" t="s">
        <v>43</v>
      </c>
      <c r="G322" s="0" t="s">
        <v>2315</v>
      </c>
      <c r="H322" s="0" t="s">
        <v>899</v>
      </c>
      <c r="I322" s="0" t="s">
        <v>87</v>
      </c>
      <c r="J322" s="0" t="s">
        <v>87</v>
      </c>
      <c r="K322" s="3" t="str">
        <f aca="false" t="array" ref="K322:K322">IFERROR(IF(J322&lt;&gt;"",J322,INDEX(J322:J1321,MATCH(1,(F322:F1321=F322)*(I322:I1321=I322)*(L322:L1321=L322)*(J322:J1321&lt;&gt;""),0))),"Not Found")</f>
        <v>Oil Change</v>
      </c>
      <c r="L322" s="3" t="s">
        <v>142</v>
      </c>
      <c r="M322" s="0" t="str">
        <f aca="false">PROPER(L322)</f>
        <v>Oil Filter, Brake Pads</v>
      </c>
      <c r="O322" s="0" t="e">
        <f aca="false" t="array" ref="O322:O322">IF(N322&lt;&gt;"",N322,_xlfn.xlookup(1,(L322:L1321=L322)*(N322:N1321&lt;&gt;""),N322:N1321,"Not Found"))</f>
        <v>#NAME?</v>
      </c>
      <c r="P322" s="4" t="n">
        <v>23697</v>
      </c>
      <c r="Q322" s="0" t="s">
        <v>110</v>
      </c>
      <c r="R322" s="0" t="str">
        <f aca="false">PROPER(Q322)</f>
        <v>Cash</v>
      </c>
      <c r="S322" s="0" t="s">
        <v>50</v>
      </c>
      <c r="T322" s="0" t="n">
        <v>5</v>
      </c>
      <c r="U322" s="5" t="n">
        <f aca="false">IF(ISBLANK(T322),AVERAGE(T322:T1321),T322)</f>
        <v>5</v>
      </c>
      <c r="V322" s="0" t="n">
        <v>3.9</v>
      </c>
      <c r="X322" s="0" t="str">
        <f aca="false">IF(ISBLANK(W322),"No remarks",W322)</f>
        <v>No remarks</v>
      </c>
      <c r="Y322" s="0" t="s">
        <v>73</v>
      </c>
      <c r="Z322" s="0" t="s">
        <v>159</v>
      </c>
      <c r="AA322" s="0" t="str">
        <f aca="false">PROPER(IF(ISBLANK(Z322),"Location Unavailable",Z322))</f>
        <v>Main Bay</v>
      </c>
      <c r="AB322" s="0" t="s">
        <v>54</v>
      </c>
      <c r="AC322" s="6" t="str">
        <f aca="false">PROPER(AB322)</f>
        <v>Mechanic Referral</v>
      </c>
      <c r="AD322" s="6" t="n">
        <v>45</v>
      </c>
      <c r="AE322" s="5" t="n">
        <f aca="false">IF(ISBLANK(AD322),AVERAGEIF(L322:L1321,L322,AD322:AD1321),AD322)</f>
        <v>45</v>
      </c>
      <c r="AF322" s="0" t="s">
        <v>160</v>
      </c>
      <c r="AG322" s="0" t="str">
        <f aca="false">PROPER(AF322)</f>
        <v>Availaible</v>
      </c>
      <c r="AH322" s="0" t="s">
        <v>155</v>
      </c>
      <c r="AI322" s="0" t="s">
        <v>98</v>
      </c>
      <c r="AJ322" s="0" t="str">
        <f aca="false">PROPER(AI322)</f>
        <v>Emergency</v>
      </c>
      <c r="AK322" s="0" t="s">
        <v>58</v>
      </c>
      <c r="AL322" s="0" t="str">
        <f aca="false">PROPER(AK322)</f>
        <v>Fleet Owner</v>
      </c>
      <c r="AN322" s="0" t="str">
        <f aca="false">IF(ISBLANK(AM322),"Unknown",AM322)</f>
        <v>Unknown</v>
      </c>
      <c r="AO322" s="0" t="s">
        <v>79</v>
      </c>
      <c r="AP322" s="0" t="str">
        <f aca="false">IF(ISBLANK(AO322),"Unknown",AO322)</f>
        <v>Specialist</v>
      </c>
      <c r="AQ322" s="0" t="n">
        <v>30000</v>
      </c>
      <c r="AR322" s="5" t="n">
        <f aca="false">IF(ISBLANK(AQ322),AVERAGEIF(M322:M1321,M322,AQ322:AQ1321),AQ322)</f>
        <v>30000</v>
      </c>
      <c r="AS322" s="0" t="n">
        <v>30000</v>
      </c>
      <c r="AT322" s="5" t="n">
        <f aca="false">IF(ISBLANK(AS322),AVERAGE(AS322:AS1321),AS322)</f>
        <v>30000</v>
      </c>
      <c r="AU322" s="0" t="s">
        <v>61</v>
      </c>
      <c r="AV322" s="0" t="str">
        <f aca="false">PROPER(IF(ISBLANK(AU322),"No",AU322))</f>
        <v>No</v>
      </c>
      <c r="AX322" s="5" t="n">
        <f aca="false">IF(ISBLANK(AW322),0,AW322)</f>
        <v>0</v>
      </c>
      <c r="AY322" s="0" t="s">
        <v>80</v>
      </c>
      <c r="AZ322" s="0" t="str">
        <f aca="false">UPPER(IF(ISBLANK(AY322),"NONE",AY322))</f>
        <v>PROMO10</v>
      </c>
      <c r="BA322" s="7" t="s">
        <v>215</v>
      </c>
      <c r="BB322" s="7" t="str">
        <f aca="false">IF(ISBLANK(BA322),"No Follow Up Needed",BA322)</f>
        <v>28/09/2025</v>
      </c>
      <c r="BC322" s="0" t="s">
        <v>82</v>
      </c>
      <c r="BD322" s="0" t="str">
        <f aca="false">PROPER(IF(ISBLANK(BC322),"Unknown",BC322))</f>
        <v>Yes</v>
      </c>
      <c r="BF322" s="0" t="str">
        <f aca="false">IF(ISBLANK(BE322),"No comments",BE322)</f>
        <v>No comments</v>
      </c>
      <c r="BG322" s="0" t="s">
        <v>117</v>
      </c>
      <c r="BH322" s="0" t="str">
        <f aca="false">IF(ISBLANK(BG322),"No comments",BG322)</f>
        <v>Prefers morning</v>
      </c>
      <c r="BI322" s="0" t="s">
        <v>63</v>
      </c>
      <c r="BJ322" s="0" t="str">
        <f aca="false">IF(ISBLANK(BI322),"Not Mentioned",BI322)</f>
        <v>Yes</v>
      </c>
      <c r="BK322" s="0" t="s">
        <v>82</v>
      </c>
      <c r="BL322" s="0" t="str">
        <f aca="false">PROPER(IF(ISBLANK(BK322),"Not Mentioned",BK322))</f>
        <v>Yes</v>
      </c>
      <c r="BN322" s="0" t="str">
        <f aca="false">PROPER(IF(ISBLANK(BM322),"Not Mentioned",BM322))</f>
        <v>Not Mentioned</v>
      </c>
      <c r="BO322" s="0" t="s">
        <v>2318</v>
      </c>
      <c r="BP322" s="0" t="str">
        <f aca="false">IF(ISBLANK(BO322),"One-Time Plan",BO322)</f>
        <v>Gold</v>
      </c>
      <c r="BQ322" s="0" t="s">
        <v>190</v>
      </c>
      <c r="BR322" s="0" t="str">
        <f aca="false">PROPER(IF(ISBLANK(BQ322),"No",BQ322))</f>
        <v>Yes</v>
      </c>
    </row>
    <row r="323" customFormat="false" ht="15" hidden="false" customHeight="false" outlineLevel="0" collapsed="false">
      <c r="A323" s="0" t="s">
        <v>900</v>
      </c>
      <c r="B323" s="2" t="n">
        <v>45668</v>
      </c>
      <c r="C323" s="2" t="str">
        <f aca="false">TEXT(B323,"dd/mm/yyyy")</f>
        <v>11/01/2025</v>
      </c>
      <c r="D323" s="0" t="s">
        <v>121</v>
      </c>
      <c r="E323" s="0" t="n">
        <v>8030628088</v>
      </c>
      <c r="F323" s="0" t="s">
        <v>85</v>
      </c>
      <c r="G323" s="0" t="s">
        <v>2319</v>
      </c>
      <c r="H323" s="0" t="s">
        <v>901</v>
      </c>
      <c r="I323" s="0" t="s">
        <v>134</v>
      </c>
      <c r="K323" s="3" t="str">
        <f aca="false" t="array" ref="K323:K323">IFERROR(IF(J323&lt;&gt;"",J323,INDEX(J323:J1322,MATCH(1,(F323:F1322=F323)*(I323:I1322=I323)*(L323:L1322=L323)*(J323:J1322&lt;&gt;""),0))),"Not Found")</f>
        <v>Oil Change</v>
      </c>
      <c r="L323" s="3" t="s">
        <v>47</v>
      </c>
      <c r="M323" s="0" t="str">
        <f aca="false">PROPER(L323)</f>
        <v>None</v>
      </c>
      <c r="N323" s="3" t="s">
        <v>90</v>
      </c>
      <c r="O323" s="0" t="str">
        <f aca="false" t="array" ref="O323:O323">IF(N323&lt;&gt;"",N323,_xlfn.xlookup(1,(L323:L1322=L323)*(N323:N1322&lt;&gt;""),N323:N1322,"Not Found"))</f>
        <v>Musa</v>
      </c>
      <c r="P323" s="4" t="n">
        <v>26974</v>
      </c>
      <c r="Q323" s="0" t="s">
        <v>110</v>
      </c>
      <c r="R323" s="0" t="str">
        <f aca="false">PROPER(Q323)</f>
        <v>Cash</v>
      </c>
      <c r="S323" s="0" t="s">
        <v>63</v>
      </c>
      <c r="T323" s="0" t="n">
        <v>5</v>
      </c>
      <c r="U323" s="5" t="n">
        <f aca="false">IF(ISBLANK(T323),AVERAGE(T323:T1322),T323)</f>
        <v>5</v>
      </c>
      <c r="V323" s="0" t="n">
        <v>3.2</v>
      </c>
      <c r="W323" s="0" t="s">
        <v>111</v>
      </c>
      <c r="X323" s="0" t="str">
        <f aca="false">IF(ISBLANK(W323),"No remarks",W323)</f>
        <v>Changed all filters</v>
      </c>
      <c r="Y323" s="0" t="s">
        <v>52</v>
      </c>
      <c r="Z323" s="0" t="s">
        <v>53</v>
      </c>
      <c r="AA323" s="0" t="str">
        <f aca="false">PROPER(IF(ISBLANK(Z323),"Location Unavailable",Z323))</f>
        <v>Main Bay</v>
      </c>
      <c r="AB323" s="0" t="s">
        <v>54</v>
      </c>
      <c r="AC323" s="6" t="str">
        <f aca="false">PROPER(AB323)</f>
        <v>Mechanic Referral</v>
      </c>
      <c r="AD323" s="6" t="n">
        <v>30</v>
      </c>
      <c r="AE323" s="5" t="n">
        <f aca="false">IF(ISBLANK(AD323),AVERAGEIF(L323:L1322,L323,AD323:AD1322),AD323)</f>
        <v>30</v>
      </c>
      <c r="AF323" s="0" t="s">
        <v>76</v>
      </c>
      <c r="AG323" s="0" t="str">
        <f aca="false">PROPER(AF323)</f>
        <v>Orderd</v>
      </c>
      <c r="AH323" s="0" t="s">
        <v>77</v>
      </c>
      <c r="AI323" s="0" t="s">
        <v>98</v>
      </c>
      <c r="AJ323" s="0" t="str">
        <f aca="false">PROPER(AI323)</f>
        <v>Emergency</v>
      </c>
      <c r="AK323" s="0" t="s">
        <v>58</v>
      </c>
      <c r="AL323" s="0" t="str">
        <f aca="false">PROPER(AK323)</f>
        <v>Fleet Owner</v>
      </c>
      <c r="AN323" s="0" t="str">
        <f aca="false">IF(ISBLANK(AM323),"Unknown",AM323)</f>
        <v>Unknown</v>
      </c>
      <c r="AP323" s="0" t="str">
        <f aca="false">IF(ISBLANK(AO323),"Unknown",AO323)</f>
        <v>Unknown</v>
      </c>
      <c r="AQ323" s="0" t="n">
        <v>40000</v>
      </c>
      <c r="AR323" s="5" t="n">
        <f aca="false">IF(ISBLANK(AQ323),AVERAGEIF(M323:M1322,M323,AQ323:AQ1322),AQ323)</f>
        <v>40000</v>
      </c>
      <c r="AS323" s="0" t="n">
        <v>35000</v>
      </c>
      <c r="AT323" s="5" t="n">
        <f aca="false">IF(ISBLANK(AS323),AVERAGE(AS323:AS1322),AS323)</f>
        <v>35000</v>
      </c>
      <c r="AU323" s="0" t="s">
        <v>61</v>
      </c>
      <c r="AV323" s="0" t="str">
        <f aca="false">PROPER(IF(ISBLANK(AU323),"No",AU323))</f>
        <v>No</v>
      </c>
      <c r="AX323" s="5" t="n">
        <f aca="false">IF(ISBLANK(AW323),0,AW323)</f>
        <v>0</v>
      </c>
      <c r="AY323" s="0" t="s">
        <v>130</v>
      </c>
      <c r="AZ323" s="0" t="str">
        <f aca="false">UPPER(IF(ISBLANK(AY323),"NONE",AY323))</f>
        <v>LOYALTY10</v>
      </c>
      <c r="BA323" s="7" t="n">
        <v>45862</v>
      </c>
      <c r="BB323" s="7" t="n">
        <f aca="false">IF(ISBLANK(BA323),"No Follow Up Needed",BA323)</f>
        <v>45862</v>
      </c>
      <c r="BC323" s="0" t="s">
        <v>82</v>
      </c>
      <c r="BD323" s="0" t="str">
        <f aca="false">PROPER(IF(ISBLANK(BC323),"Unknown",BC323))</f>
        <v>Yes</v>
      </c>
      <c r="BF323" s="0" t="str">
        <f aca="false">IF(ISBLANK(BE323),"No comments",BE323)</f>
        <v>No comments</v>
      </c>
      <c r="BG323" s="0" t="s">
        <v>172</v>
      </c>
      <c r="BH323" s="0" t="str">
        <f aca="false">IF(ISBLANK(BG323),"No comments",BG323)</f>
        <v>Always late</v>
      </c>
      <c r="BI323" s="0" t="s">
        <v>63</v>
      </c>
      <c r="BJ323" s="0" t="str">
        <f aca="false">IF(ISBLANK(BI323),"Not Mentioned",BI323)</f>
        <v>Yes</v>
      </c>
      <c r="BK323" s="0" t="s">
        <v>82</v>
      </c>
      <c r="BL323" s="0" t="str">
        <f aca="false">PROPER(IF(ISBLANK(BK323),"Not Mentioned",BK323))</f>
        <v>Yes</v>
      </c>
      <c r="BM323" s="0" t="s">
        <v>50</v>
      </c>
      <c r="BN323" s="0" t="str">
        <f aca="false">PROPER(IF(ISBLANK(BM323),"Not Mentioned",BM323))</f>
        <v>No</v>
      </c>
      <c r="BO323" s="0" t="s">
        <v>2318</v>
      </c>
      <c r="BP323" s="0" t="str">
        <f aca="false">IF(ISBLANK(BO323),"One-Time Plan",BO323)</f>
        <v>Gold</v>
      </c>
      <c r="BQ323" s="0" t="s">
        <v>50</v>
      </c>
      <c r="BR323" s="0" t="str">
        <f aca="false">PROPER(IF(ISBLANK(BQ323),"No",BQ323))</f>
        <v>No</v>
      </c>
    </row>
    <row r="324" customFormat="false" ht="15" hidden="false" customHeight="false" outlineLevel="0" collapsed="false">
      <c r="A324" s="0" t="s">
        <v>902</v>
      </c>
      <c r="B324" s="2" t="n">
        <v>45676</v>
      </c>
      <c r="C324" s="2" t="str">
        <f aca="false">TEXT(B324,"dd/mm/yyyy")</f>
        <v>19/01/2025</v>
      </c>
      <c r="D324" s="0" t="s">
        <v>105</v>
      </c>
      <c r="E324" s="0" t="n">
        <v>8054325475</v>
      </c>
      <c r="F324" s="0" t="s">
        <v>122</v>
      </c>
      <c r="G324" s="0" t="s">
        <v>2316</v>
      </c>
      <c r="H324" s="0" t="s">
        <v>903</v>
      </c>
      <c r="I324" s="0" t="s">
        <v>87</v>
      </c>
      <c r="J324" s="0" t="s">
        <v>2322</v>
      </c>
      <c r="K324" s="3" t="str">
        <f aca="false" t="array" ref="K324:K324">IFERROR(IF(J324&lt;&gt;"",J324,INDEX(J324:J1323,MATCH(1,(F324:F1323=F324)*(I324:I1323=I324)*(L324:L1323=L324)*(J324:J1323&lt;&gt;""),0))),"Not Found")</f>
        <v>Brake Failure</v>
      </c>
      <c r="L324" s="3" t="s">
        <v>47</v>
      </c>
      <c r="M324" s="0" t="str">
        <f aca="false">PROPER(L324)</f>
        <v>None</v>
      </c>
      <c r="O324" s="0" t="e">
        <f aca="false" t="array" ref="O324:O324">IF(N324&lt;&gt;"",N324,_xlfn.xlookup(1,(L324:L1323=L324)*(N324:N1323&lt;&gt;""),N324:N1323,"Not Found"))</f>
        <v>#NAME?</v>
      </c>
      <c r="P324" s="4" t="n">
        <v>33685</v>
      </c>
      <c r="Q324" s="0" t="s">
        <v>49</v>
      </c>
      <c r="R324" s="0" t="str">
        <f aca="false">PROPER(Q324)</f>
        <v>Transfer</v>
      </c>
      <c r="S324" s="0" t="s">
        <v>50</v>
      </c>
      <c r="T324" s="0" t="n">
        <v>3</v>
      </c>
      <c r="U324" s="5" t="n">
        <f aca="false">IF(ISBLANK(T324),AVERAGE(T324:T1323),T324)</f>
        <v>3</v>
      </c>
      <c r="V324" s="0" t="n">
        <v>3.8</v>
      </c>
      <c r="W324" s="0" t="s">
        <v>92</v>
      </c>
      <c r="X324" s="0" t="str">
        <f aca="false">IF(ISBLANK(W324),"No remarks",W324)</f>
        <v>Urgent service</v>
      </c>
      <c r="Y324" s="0" t="s">
        <v>52</v>
      </c>
      <c r="Z324" s="0" t="s">
        <v>53</v>
      </c>
      <c r="AA324" s="0" t="str">
        <f aca="false">PROPER(IF(ISBLANK(Z324),"Location Unavailable",Z324))</f>
        <v>Main Bay</v>
      </c>
      <c r="AB324" s="0" t="s">
        <v>147</v>
      </c>
      <c r="AC324" s="6" t="str">
        <f aca="false">PROPER(AB324)</f>
        <v>Instagram</v>
      </c>
      <c r="AD324" s="6" t="n">
        <v>45</v>
      </c>
      <c r="AE324" s="5" t="n">
        <f aca="false">IF(ISBLANK(AD324),AVERAGEIF(L324:L1323,L324,AD324:AD1323),AD324)</f>
        <v>45</v>
      </c>
      <c r="AF324" s="0" t="s">
        <v>76</v>
      </c>
      <c r="AG324" s="0" t="str">
        <f aca="false">PROPER(AF324)</f>
        <v>Orderd</v>
      </c>
      <c r="AH324" s="0" t="s">
        <v>77</v>
      </c>
      <c r="AI324" s="0" t="s">
        <v>98</v>
      </c>
      <c r="AJ324" s="0" t="str">
        <f aca="false">PROPER(AI324)</f>
        <v>Emergency</v>
      </c>
      <c r="AK324" s="0" t="s">
        <v>99</v>
      </c>
      <c r="AL324" s="0" t="str">
        <f aca="false">PROPER(AK324)</f>
        <v>Uber Driver</v>
      </c>
      <c r="AM324" s="0" t="s">
        <v>2324</v>
      </c>
      <c r="AN324" s="0" t="str">
        <f aca="false">IF(ISBLANK(AM324),"Unknown",AM324)</f>
        <v>Logistics Convoy</v>
      </c>
      <c r="AO324" s="0" t="s">
        <v>149</v>
      </c>
      <c r="AP324" s="0" t="str">
        <f aca="false">IF(ISBLANK(AO324),"Unknown",AO324)</f>
        <v>Senior </v>
      </c>
      <c r="AQ324" s="0" t="n">
        <v>30000</v>
      </c>
      <c r="AR324" s="5" t="n">
        <f aca="false">IF(ISBLANK(AQ324),AVERAGEIF(M324:M1323,M324,AQ324:AQ1323),AQ324)</f>
        <v>30000</v>
      </c>
      <c r="AS324" s="0" t="n">
        <v>30000</v>
      </c>
      <c r="AT324" s="5" t="n">
        <f aca="false">IF(ISBLANK(AS324),AVERAGE(AS324:AS1323),AS324)</f>
        <v>30000</v>
      </c>
      <c r="AU324" s="0" t="s">
        <v>61</v>
      </c>
      <c r="AV324" s="0" t="str">
        <f aca="false">PROPER(IF(ISBLANK(AU324),"No",AU324))</f>
        <v>No</v>
      </c>
      <c r="AW324" s="0" t="n">
        <v>0</v>
      </c>
      <c r="AX324" s="5" t="n">
        <f aca="false">IF(ISBLANK(AW324),0,AW324)</f>
        <v>0</v>
      </c>
      <c r="AY324" s="0" t="s">
        <v>80</v>
      </c>
      <c r="AZ324" s="0" t="str">
        <f aca="false">UPPER(IF(ISBLANK(AY324),"NONE",AY324))</f>
        <v>PROMO10</v>
      </c>
      <c r="BA324" s="7" t="n">
        <v>45864</v>
      </c>
      <c r="BB324" s="7" t="n">
        <f aca="false">IF(ISBLANK(BA324),"No Follow Up Needed",BA324)</f>
        <v>45864</v>
      </c>
      <c r="BC324" s="0" t="s">
        <v>61</v>
      </c>
      <c r="BD324" s="0" t="str">
        <f aca="false">PROPER(IF(ISBLANK(BC324),"Unknown",BC324))</f>
        <v>No</v>
      </c>
      <c r="BF324" s="0" t="str">
        <f aca="false">IF(ISBLANK(BE324),"No comments",BE324)</f>
        <v>No comments</v>
      </c>
      <c r="BH324" s="0" t="str">
        <f aca="false">IF(ISBLANK(BG324),"No comments",BG324)</f>
        <v>No comments</v>
      </c>
      <c r="BI324" s="0" t="s">
        <v>63</v>
      </c>
      <c r="BJ324" s="0" t="str">
        <f aca="false">IF(ISBLANK(BI324),"Not Mentioned",BI324)</f>
        <v>Yes</v>
      </c>
      <c r="BK324" s="0" t="s">
        <v>63</v>
      </c>
      <c r="BL324" s="0" t="str">
        <f aca="false">PROPER(IF(ISBLANK(BK324),"Not Mentioned",BK324))</f>
        <v>Yes</v>
      </c>
      <c r="BM324" s="0" t="s">
        <v>63</v>
      </c>
      <c r="BN324" s="0" t="str">
        <f aca="false">PROPER(IF(ISBLANK(BM324),"Not Mentioned",BM324))</f>
        <v>Yes</v>
      </c>
      <c r="BO324" s="0" t="s">
        <v>2318</v>
      </c>
      <c r="BP324" s="0" t="str">
        <f aca="false">IF(ISBLANK(BO324),"One-Time Plan",BO324)</f>
        <v>Gold</v>
      </c>
      <c r="BQ324" s="0" t="s">
        <v>198</v>
      </c>
      <c r="BR324" s="0" t="str">
        <f aca="false">PROPER(IF(ISBLANK(BQ324),"No",BQ324))</f>
        <v>Followed Up</v>
      </c>
    </row>
    <row r="325" customFormat="false" ht="15" hidden="false" customHeight="false" outlineLevel="0" collapsed="false">
      <c r="A325" s="0" t="s">
        <v>904</v>
      </c>
      <c r="B325" s="2" t="n">
        <v>45683</v>
      </c>
      <c r="C325" s="2" t="str">
        <f aca="false">TEXT(B325,"dd/mm/yyyy")</f>
        <v>26/01/2025</v>
      </c>
      <c r="D325" s="0" t="s">
        <v>163</v>
      </c>
      <c r="E325" s="0" t="n">
        <v>8086261289</v>
      </c>
      <c r="F325" s="0" t="s">
        <v>122</v>
      </c>
      <c r="G325" s="0" t="s">
        <v>2316</v>
      </c>
      <c r="H325" s="0" t="s">
        <v>905</v>
      </c>
      <c r="I325" s="0" t="s">
        <v>107</v>
      </c>
      <c r="J325" s="0" t="s">
        <v>2317</v>
      </c>
      <c r="K325" s="3" t="str">
        <f aca="false" t="array" ref="K325:K325">IFERROR(IF(J325&lt;&gt;"",J325,INDEX(J325:J1324,MATCH(1,(F325:F1324=F325)*(I325:I1324=I325)*(L325:L1324=L325)*(J325:J1324&lt;&gt;""),0))),"Not Found")</f>
        <v>Suspension Noise</v>
      </c>
      <c r="L325" s="3" t="s">
        <v>189</v>
      </c>
      <c r="M325" s="0" t="str">
        <f aca="false">PROPER(L325)</f>
        <v>Battery</v>
      </c>
      <c r="N325" s="3" t="s">
        <v>90</v>
      </c>
      <c r="O325" s="0" t="str">
        <f aca="false" t="array" ref="O325:O325">IF(N325&lt;&gt;"",N325,_xlfn.xlookup(1,(L325:L1324=L325)*(N325:N1324&lt;&gt;""),N325:N1324,"Not Found"))</f>
        <v>Musa</v>
      </c>
      <c r="P325" s="4" t="n">
        <v>15485</v>
      </c>
      <c r="Q325" s="0" t="s">
        <v>91</v>
      </c>
      <c r="R325" s="0" t="str">
        <f aca="false">PROPER(Q325)</f>
        <v>Pos</v>
      </c>
      <c r="S325" s="0" t="s">
        <v>63</v>
      </c>
      <c r="T325" s="0" t="n">
        <v>4</v>
      </c>
      <c r="U325" s="5" t="n">
        <f aca="false">IF(ISBLANK(T325),AVERAGE(T325:T1324),T325)</f>
        <v>4</v>
      </c>
      <c r="V325" s="0" t="n">
        <v>5.4</v>
      </c>
      <c r="X325" s="0" t="str">
        <f aca="false">IF(ISBLANK(W325),"No remarks",W325)</f>
        <v>No remarks</v>
      </c>
      <c r="Y325" s="0" t="s">
        <v>73</v>
      </c>
      <c r="AA325" s="0" t="str">
        <f aca="false">PROPER(IF(ISBLANK(Z325),"Location Unavailable",Z325))</f>
        <v>Location Unavailable</v>
      </c>
      <c r="AB325" s="0" t="s">
        <v>75</v>
      </c>
      <c r="AC325" s="6" t="str">
        <f aca="false">PROPER(AB325)</f>
        <v>Mechanik Referal</v>
      </c>
      <c r="AE325" s="5" t="n">
        <f aca="false">IF(ISBLANK(AD325),AVERAGEIF(L325:L1324,L325,AD325:AD1324),AD325)</f>
        <v>40.4117647058824</v>
      </c>
      <c r="AF325" s="0" t="s">
        <v>112</v>
      </c>
      <c r="AG325" s="0" t="str">
        <f aca="false">PROPER(AF325)</f>
        <v>Unavailable</v>
      </c>
      <c r="AH325" s="0" t="s">
        <v>148</v>
      </c>
      <c r="AI325" s="0" t="s">
        <v>113</v>
      </c>
      <c r="AJ325" s="0" t="str">
        <f aca="false">PROPER(AI325)</f>
        <v>Normal</v>
      </c>
      <c r="AK325" s="0" t="s">
        <v>196</v>
      </c>
      <c r="AL325" s="0" t="str">
        <f aca="false">PROPER(AK325)</f>
        <v>First Time</v>
      </c>
      <c r="AM325" s="0" t="s">
        <v>2324</v>
      </c>
      <c r="AN325" s="0" t="str">
        <f aca="false">IF(ISBLANK(AM325),"Unknown",AM325)</f>
        <v>Logistics Convoy</v>
      </c>
      <c r="AO325" s="0" t="s">
        <v>149</v>
      </c>
      <c r="AP325" s="0" t="str">
        <f aca="false">IF(ISBLANK(AO325),"Unknown",AO325)</f>
        <v>Senior </v>
      </c>
      <c r="AQ325" s="0" t="n">
        <v>40000</v>
      </c>
      <c r="AR325" s="5" t="n">
        <f aca="false">IF(ISBLANK(AQ325),AVERAGEIF(M325:M1324,M325,AQ325:AQ1324),AQ325)</f>
        <v>40000</v>
      </c>
      <c r="AS325" s="0" t="n">
        <v>20000</v>
      </c>
      <c r="AT325" s="5" t="n">
        <f aca="false">IF(ISBLANK(AS325),AVERAGE(AS325:AS1324),AS325)</f>
        <v>20000</v>
      </c>
      <c r="AU325" s="0" t="s">
        <v>61</v>
      </c>
      <c r="AV325" s="0" t="str">
        <f aca="false">PROPER(IF(ISBLANK(AU325),"No",AU325))</f>
        <v>No</v>
      </c>
      <c r="AW325" s="0" t="n">
        <v>0</v>
      </c>
      <c r="AX325" s="5" t="n">
        <f aca="false">IF(ISBLANK(AW325),0,AW325)</f>
        <v>0</v>
      </c>
      <c r="AZ325" s="0" t="str">
        <f aca="false">UPPER(IF(ISBLANK(AY325),"NONE",AY325))</f>
        <v>NONE</v>
      </c>
      <c r="BA325" s="7" t="n">
        <v>45879</v>
      </c>
      <c r="BB325" s="7" t="n">
        <f aca="false">IF(ISBLANK(BA325),"No Follow Up Needed",BA325)</f>
        <v>45879</v>
      </c>
      <c r="BC325" s="0" t="s">
        <v>50</v>
      </c>
      <c r="BD325" s="0" t="str">
        <f aca="false">PROPER(IF(ISBLANK(BC325),"Unknown",BC325))</f>
        <v>No</v>
      </c>
      <c r="BE325" s="0" t="s">
        <v>171</v>
      </c>
      <c r="BF325" s="0" t="str">
        <f aca="false">IF(ISBLANK(BE325),"No comments",BE325)</f>
        <v>Shock absorber weakening</v>
      </c>
      <c r="BH325" s="0" t="str">
        <f aca="false">IF(ISBLANK(BG325),"No comments",BG325)</f>
        <v>No comments</v>
      </c>
      <c r="BI325" s="0" t="s">
        <v>63</v>
      </c>
      <c r="BJ325" s="0" t="str">
        <f aca="false">IF(ISBLANK(BI325),"Not Mentioned",BI325)</f>
        <v>Yes</v>
      </c>
      <c r="BK325" s="0" t="s">
        <v>61</v>
      </c>
      <c r="BL325" s="0" t="str">
        <f aca="false">PROPER(IF(ISBLANK(BK325),"Not Mentioned",BK325))</f>
        <v>No</v>
      </c>
      <c r="BN325" s="0" t="str">
        <f aca="false">PROPER(IF(ISBLANK(BM325),"Not Mentioned",BM325))</f>
        <v>Not Mentioned</v>
      </c>
      <c r="BO325" s="0" t="s">
        <v>64</v>
      </c>
      <c r="BP325" s="0" t="str">
        <f aca="false">IF(ISBLANK(BO325),"One-Time Plan",BO325)</f>
        <v>Gold Maintenance Plan</v>
      </c>
      <c r="BQ325" s="0" t="s">
        <v>63</v>
      </c>
      <c r="BR325" s="0" t="str">
        <f aca="false">PROPER(IF(ISBLANK(BQ325),"No",BQ325))</f>
        <v>Yes</v>
      </c>
    </row>
    <row r="326" customFormat="false" ht="15" hidden="false" customHeight="false" outlineLevel="0" collapsed="false">
      <c r="A326" s="0" t="s">
        <v>906</v>
      </c>
      <c r="B326" s="2" t="n">
        <v>45717</v>
      </c>
      <c r="C326" s="2" t="str">
        <f aca="false">TEXT(B326,"dd/mm/yyyy")</f>
        <v>01/03/2025</v>
      </c>
      <c r="D326" s="0" t="s">
        <v>105</v>
      </c>
      <c r="E326" s="0" t="n">
        <v>8094535600</v>
      </c>
      <c r="F326" s="0" t="s">
        <v>67</v>
      </c>
      <c r="G326" s="0" t="s">
        <v>2316</v>
      </c>
      <c r="H326" s="0" t="s">
        <v>907</v>
      </c>
      <c r="I326" s="0" t="s">
        <v>87</v>
      </c>
      <c r="J326" s="0" t="s">
        <v>2325</v>
      </c>
      <c r="K326" s="3" t="str">
        <f aca="false" t="array" ref="K326:K326">IFERROR(IF(J326&lt;&gt;"",J326,INDEX(J326:J1325,MATCH(1,(F326:F1325=F326)*(I326:I1325=I326)*(L326:L1325=L326)*(J326:J1325&lt;&gt;""),0))),"Not Found")</f>
        <v>Engine Knocking</v>
      </c>
      <c r="L326" s="3" t="s">
        <v>189</v>
      </c>
      <c r="M326" s="0" t="str">
        <f aca="false">PROPER(L326)</f>
        <v>Battery</v>
      </c>
      <c r="N326" s="3" t="s">
        <v>48</v>
      </c>
      <c r="O326" s="0" t="str">
        <f aca="false" t="array" ref="O326:O326">IF(N326&lt;&gt;"",N326,_xlfn.xlookup(1,(L326:L1325=L326)*(N326:N1325&lt;&gt;""),N326:N1325,"Not Found"))</f>
        <v>Uche</v>
      </c>
      <c r="P326" s="4" t="n">
        <v>25854</v>
      </c>
      <c r="Q326" s="0" t="s">
        <v>166</v>
      </c>
      <c r="R326" s="0" t="str">
        <f aca="false">PROPER(Q326)</f>
        <v>Transfer</v>
      </c>
      <c r="S326" s="0" t="s">
        <v>50</v>
      </c>
      <c r="T326" s="0" t="n">
        <v>2</v>
      </c>
      <c r="U326" s="5" t="n">
        <f aca="false">IF(ISBLANK(T326),AVERAGE(T326:T1325),T326)</f>
        <v>2</v>
      </c>
      <c r="V326" s="0" t="n">
        <v>5.1</v>
      </c>
      <c r="W326" s="0" t="s">
        <v>92</v>
      </c>
      <c r="X326" s="0" t="str">
        <f aca="false">IF(ISBLANK(W326),"No remarks",W326)</f>
        <v>Urgent service</v>
      </c>
      <c r="Y326" s="0" t="s">
        <v>93</v>
      </c>
      <c r="Z326" s="0" t="s">
        <v>74</v>
      </c>
      <c r="AA326" s="0" t="str">
        <f aca="false">PROPER(IF(ISBLANK(Z326),"Location Unavailable",Z326))</f>
        <v>Under Tree</v>
      </c>
      <c r="AB326" s="0" t="s">
        <v>147</v>
      </c>
      <c r="AC326" s="6" t="str">
        <f aca="false">PROPER(AB326)</f>
        <v>Instagram</v>
      </c>
      <c r="AD326" s="6" t="n">
        <v>15</v>
      </c>
      <c r="AE326" s="5" t="n">
        <f aca="false">IF(ISBLANK(AD326),AVERAGEIF(L326:L1325,L326,AD326:AD1325),AD326)</f>
        <v>15</v>
      </c>
      <c r="AF326" s="0" t="s">
        <v>160</v>
      </c>
      <c r="AG326" s="0" t="str">
        <f aca="false">PROPER(AF326)</f>
        <v>Availaible</v>
      </c>
      <c r="AH326" s="0" t="s">
        <v>56</v>
      </c>
      <c r="AI326" s="0" t="s">
        <v>98</v>
      </c>
      <c r="AJ326" s="0" t="str">
        <f aca="false">PROPER(AI326)</f>
        <v>Emergency</v>
      </c>
      <c r="AK326" s="0" t="s">
        <v>99</v>
      </c>
      <c r="AL326" s="0" t="str">
        <f aca="false">PROPER(AK326)</f>
        <v>Uber Driver</v>
      </c>
      <c r="AM326" s="0" t="s">
        <v>2326</v>
      </c>
      <c r="AN326" s="0" t="str">
        <f aca="false">IF(ISBLANK(AM326),"Unknown",AM326)</f>
        <v>Government Convoy</v>
      </c>
      <c r="AO326" s="0" t="s">
        <v>79</v>
      </c>
      <c r="AP326" s="0" t="str">
        <f aca="false">IF(ISBLANK(AO326),"Unknown",AO326)</f>
        <v>Specialist</v>
      </c>
      <c r="AQ326" s="0" t="n">
        <v>40000</v>
      </c>
      <c r="AR326" s="5" t="n">
        <f aca="false">IF(ISBLANK(AQ326),AVERAGEIF(M326:M1325,M326,AQ326:AQ1325),AQ326)</f>
        <v>40000</v>
      </c>
      <c r="AS326" s="0" t="n">
        <v>35000</v>
      </c>
      <c r="AT326" s="5" t="n">
        <f aca="false">IF(ISBLANK(AS326),AVERAGE(AS326:AS1325),AS326)</f>
        <v>35000</v>
      </c>
      <c r="AV326" s="0" t="str">
        <f aca="false">PROPER(IF(ISBLANK(AU326),"No",AU326))</f>
        <v>No</v>
      </c>
      <c r="AX326" s="5" t="n">
        <f aca="false">IF(ISBLANK(AW326),0,AW326)</f>
        <v>0</v>
      </c>
      <c r="AY326" s="0" t="s">
        <v>60</v>
      </c>
      <c r="AZ326" s="0" t="str">
        <f aca="false">UPPER(IF(ISBLANK(AY326),"NONE",AY326))</f>
        <v>NONE</v>
      </c>
      <c r="BA326" s="7" t="n">
        <v>45833</v>
      </c>
      <c r="BB326" s="7" t="n">
        <f aca="false">IF(ISBLANK(BA326),"No Follow Up Needed",BA326)</f>
        <v>45833</v>
      </c>
      <c r="BC326" s="0" t="s">
        <v>82</v>
      </c>
      <c r="BD326" s="0" t="str">
        <f aca="false">PROPER(IF(ISBLANK(BC326),"Unknown",BC326))</f>
        <v>Yes</v>
      </c>
      <c r="BE326" s="0" t="s">
        <v>171</v>
      </c>
      <c r="BF326" s="0" t="str">
        <f aca="false">IF(ISBLANK(BE326),"No comments",BE326)</f>
        <v>Shock absorber weakening</v>
      </c>
      <c r="BH326" s="0" t="str">
        <f aca="false">IF(ISBLANK(BG326),"No comments",BG326)</f>
        <v>No comments</v>
      </c>
      <c r="BJ326" s="0" t="str">
        <f aca="false">IF(ISBLANK(BI326),"Not Mentioned",BI326)</f>
        <v>Not Mentioned</v>
      </c>
      <c r="BK326" s="0" t="s">
        <v>50</v>
      </c>
      <c r="BL326" s="0" t="str">
        <f aca="false">PROPER(IF(ISBLANK(BK326),"Not Mentioned",BK326))</f>
        <v>No</v>
      </c>
      <c r="BM326" s="0" t="s">
        <v>63</v>
      </c>
      <c r="BN326" s="0" t="str">
        <f aca="false">PROPER(IF(ISBLANK(BM326),"Not Mentioned",BM326))</f>
        <v>Yes</v>
      </c>
      <c r="BO326" s="0" t="s">
        <v>2321</v>
      </c>
      <c r="BP326" s="0" t="str">
        <f aca="false">IF(ISBLANK(BO326),"One-Time Plan",BO326)</f>
        <v>One-Time Plan</v>
      </c>
      <c r="BQ326" s="0" t="s">
        <v>190</v>
      </c>
      <c r="BR326" s="0" t="str">
        <f aca="false">PROPER(IF(ISBLANK(BQ326),"No",BQ326))</f>
        <v>Yes</v>
      </c>
    </row>
    <row r="327" customFormat="false" ht="15" hidden="false" customHeight="false" outlineLevel="0" collapsed="false">
      <c r="A327" s="0" t="s">
        <v>908</v>
      </c>
      <c r="B327" s="2" t="n">
        <v>45721</v>
      </c>
      <c r="C327" s="2" t="str">
        <f aca="false">TEXT(B327,"dd/mm/yyyy")</f>
        <v>05/03/2025</v>
      </c>
      <c r="D327" s="0" t="s">
        <v>66</v>
      </c>
      <c r="E327" s="0" t="n">
        <v>8090933663</v>
      </c>
      <c r="F327" s="0" t="s">
        <v>43</v>
      </c>
      <c r="G327" s="0" t="s">
        <v>2315</v>
      </c>
      <c r="H327" s="0" t="s">
        <v>717</v>
      </c>
      <c r="I327" s="0" t="s">
        <v>134</v>
      </c>
      <c r="J327" s="0" t="s">
        <v>87</v>
      </c>
      <c r="K327" s="3" t="str">
        <f aca="false" t="array" ref="K327:K327">IFERROR(IF(J327&lt;&gt;"",J327,INDEX(J327:J1326,MATCH(1,(F327:F1326=F327)*(I327:I1326=I327)*(L327:L1326=L327)*(J327:J1326&lt;&gt;""),0))),"Not Found")</f>
        <v>Oil Change</v>
      </c>
      <c r="L327" s="3" t="s">
        <v>108</v>
      </c>
      <c r="M327" s="0" t="str">
        <f aca="false">PROPER(L327)</f>
        <v>Timing Belt</v>
      </c>
      <c r="N327" s="3" t="s">
        <v>90</v>
      </c>
      <c r="O327" s="0" t="str">
        <f aca="false" t="array" ref="O327:O327">IF(N327&lt;&gt;"",N327,_xlfn.xlookup(1,(L327:L1326=L327)*(N327:N1326&lt;&gt;""),N327:N1326,"Not Found"))</f>
        <v>Musa</v>
      </c>
      <c r="P327" s="4" t="n">
        <v>90938</v>
      </c>
      <c r="Q327" s="0" t="s">
        <v>110</v>
      </c>
      <c r="R327" s="0" t="str">
        <f aca="false">PROPER(Q327)</f>
        <v>Cash</v>
      </c>
      <c r="S327" s="0" t="s">
        <v>63</v>
      </c>
      <c r="T327" s="0" t="n">
        <v>2</v>
      </c>
      <c r="U327" s="5" t="n">
        <f aca="false">IF(ISBLANK(T327),AVERAGE(T327:T1326),T327)</f>
        <v>2</v>
      </c>
      <c r="V327" s="0" t="n">
        <v>5.4</v>
      </c>
      <c r="X327" s="0" t="str">
        <f aca="false">IF(ISBLANK(W327),"No remarks",W327)</f>
        <v>No remarks</v>
      </c>
      <c r="Y327" s="0" t="s">
        <v>73</v>
      </c>
      <c r="Z327" s="0" t="s">
        <v>74</v>
      </c>
      <c r="AA327" s="0" t="str">
        <f aca="false">PROPER(IF(ISBLANK(Z327),"Location Unavailable",Z327))</f>
        <v>Under Tree</v>
      </c>
      <c r="AB327" s="0" t="s">
        <v>126</v>
      </c>
      <c r="AC327" s="6" t="str">
        <f aca="false">PROPER(AB327)</f>
        <v>Whatsapp</v>
      </c>
      <c r="AD327" s="6" t="n">
        <v>15</v>
      </c>
      <c r="AE327" s="5" t="n">
        <f aca="false">IF(ISBLANK(AD327),AVERAGEIF(L327:L1326,L327,AD327:AD1326),AD327)</f>
        <v>15</v>
      </c>
      <c r="AF327" s="0" t="s">
        <v>76</v>
      </c>
      <c r="AG327" s="0" t="str">
        <f aca="false">PROPER(AF327)</f>
        <v>Orderd</v>
      </c>
      <c r="AH327" s="0" t="s">
        <v>155</v>
      </c>
      <c r="AI327" s="0" t="s">
        <v>98</v>
      </c>
      <c r="AJ327" s="0" t="str">
        <f aca="false">PROPER(AI327)</f>
        <v>Emergency</v>
      </c>
      <c r="AK327" s="0" t="s">
        <v>196</v>
      </c>
      <c r="AL327" s="0" t="str">
        <f aca="false">PROPER(AK327)</f>
        <v>First Time</v>
      </c>
      <c r="AM327" s="0" t="s">
        <v>59</v>
      </c>
      <c r="AN327" s="0" t="str">
        <f aca="false">IF(ISBLANK(AM327),"Unknown",AM327)</f>
        <v>Bolt Driver</v>
      </c>
      <c r="AO327" s="0" t="s">
        <v>79</v>
      </c>
      <c r="AP327" s="0" t="str">
        <f aca="false">IF(ISBLANK(AO327),"Unknown",AO327)</f>
        <v>Specialist</v>
      </c>
      <c r="AQ327" s="0" t="n">
        <v>30000</v>
      </c>
      <c r="AR327" s="5" t="n">
        <f aca="false">IF(ISBLANK(AQ327),AVERAGEIF(M327:M1326,M327,AQ327:AQ1326),AQ327)</f>
        <v>30000</v>
      </c>
      <c r="AS327" s="0" t="n">
        <v>30000</v>
      </c>
      <c r="AT327" s="5" t="n">
        <f aca="false">IF(ISBLANK(AS327),AVERAGE(AS327:AS1326),AS327)</f>
        <v>30000</v>
      </c>
      <c r="AU327" s="0" t="s">
        <v>61</v>
      </c>
      <c r="AV327" s="0" t="str">
        <f aca="false">PROPER(IF(ISBLANK(AU327),"No",AU327))</f>
        <v>No</v>
      </c>
      <c r="AW327" s="0" t="n">
        <v>5000</v>
      </c>
      <c r="AX327" s="5" t="n">
        <f aca="false">IF(ISBLANK(AW327),0,AW327)</f>
        <v>5000</v>
      </c>
      <c r="AZ327" s="0" t="str">
        <f aca="false">UPPER(IF(ISBLANK(AY327),"NONE",AY327))</f>
        <v>NONE</v>
      </c>
      <c r="BB327" s="7" t="str">
        <f aca="false">IF(ISBLANK(BA327),"No Follow Up Needed",BA327)</f>
        <v>No Follow Up Needed</v>
      </c>
      <c r="BC327" s="0" t="s">
        <v>63</v>
      </c>
      <c r="BD327" s="0" t="str">
        <f aca="false">PROPER(IF(ISBLANK(BC327),"Unknown",BC327))</f>
        <v>Yes</v>
      </c>
      <c r="BF327" s="0" t="str">
        <f aca="false">IF(ISBLANK(BE327),"No comments",BE327)</f>
        <v>No comments</v>
      </c>
      <c r="BG327" s="0" t="s">
        <v>2320</v>
      </c>
      <c r="BH327" s="0" t="str">
        <f aca="false">IF(ISBLANK(BG327),"No comments",BG327)</f>
        <v>No complaints</v>
      </c>
      <c r="BI327" s="0" t="s">
        <v>63</v>
      </c>
      <c r="BJ327" s="0" t="str">
        <f aca="false">IF(ISBLANK(BI327),"Not Mentioned",BI327)</f>
        <v>Yes</v>
      </c>
      <c r="BK327" s="0" t="s">
        <v>61</v>
      </c>
      <c r="BL327" s="0" t="str">
        <f aca="false">PROPER(IF(ISBLANK(BK327),"Not Mentioned",BK327))</f>
        <v>No</v>
      </c>
      <c r="BM327" s="0" t="s">
        <v>63</v>
      </c>
      <c r="BN327" s="0" t="str">
        <f aca="false">PROPER(IF(ISBLANK(BM327),"Not Mentioned",BM327))</f>
        <v>Yes</v>
      </c>
      <c r="BO327" s="0" t="s">
        <v>64</v>
      </c>
      <c r="BP327" s="0" t="str">
        <f aca="false">IF(ISBLANK(BO327),"One-Time Plan",BO327)</f>
        <v>Gold Maintenance Plan</v>
      </c>
      <c r="BQ327" s="0" t="s">
        <v>63</v>
      </c>
      <c r="BR327" s="0" t="str">
        <f aca="false">PROPER(IF(ISBLANK(BQ327),"No",BQ327))</f>
        <v>Yes</v>
      </c>
    </row>
    <row r="328" customFormat="false" ht="15" hidden="false" customHeight="false" outlineLevel="0" collapsed="false">
      <c r="A328" s="0" t="s">
        <v>909</v>
      </c>
      <c r="B328" s="2" t="n">
        <v>45800</v>
      </c>
      <c r="C328" s="2" t="str">
        <f aca="false">TEXT(B328,"dd/mm/yyyy")</f>
        <v>23/05/2025</v>
      </c>
      <c r="D328" s="0" t="s">
        <v>42</v>
      </c>
      <c r="E328" s="0" t="n">
        <v>8091582537</v>
      </c>
      <c r="F328" s="0" t="s">
        <v>139</v>
      </c>
      <c r="G328" s="0" t="s">
        <v>2323</v>
      </c>
      <c r="H328" s="0" t="s">
        <v>910</v>
      </c>
      <c r="I328" s="0" t="s">
        <v>45</v>
      </c>
      <c r="J328" s="0" t="s">
        <v>87</v>
      </c>
      <c r="K328" s="3" t="str">
        <f aca="false" t="array" ref="K328:K328">IFERROR(IF(J328&lt;&gt;"",J328,INDEX(J328:J1327,MATCH(1,(F328:F1327=F328)*(I328:I1327=I328)*(L328:L1327=L328)*(J328:J1327&lt;&gt;""),0))),"Not Found")</f>
        <v>Oil Change</v>
      </c>
      <c r="L328" s="3" t="s">
        <v>89</v>
      </c>
      <c r="M328" s="0" t="str">
        <f aca="false">PROPER(L328)</f>
        <v>Shock Absorbers</v>
      </c>
      <c r="N328" s="3" t="s">
        <v>71</v>
      </c>
      <c r="O328" s="0" t="str">
        <f aca="false" t="array" ref="O328:O328">IF(N328&lt;&gt;"",N328,_xlfn.xlookup(1,(L328:L1327=L328)*(N328:N1327&lt;&gt;""),N328:N1327,"Not Found"))</f>
        <v>Isaac Bobo</v>
      </c>
      <c r="P328" s="4" t="n">
        <v>104590</v>
      </c>
      <c r="Q328" s="0" t="s">
        <v>110</v>
      </c>
      <c r="R328" s="0" t="str">
        <f aca="false">PROPER(Q328)</f>
        <v>Cash</v>
      </c>
      <c r="S328" s="0" t="s">
        <v>63</v>
      </c>
      <c r="T328" s="0" t="n">
        <v>1</v>
      </c>
      <c r="U328" s="5" t="n">
        <f aca="false">IF(ISBLANK(T328),AVERAGE(T328:T1327),T328)</f>
        <v>1</v>
      </c>
      <c r="V328" s="0" t="n">
        <v>2.6</v>
      </c>
      <c r="W328" s="0" t="s">
        <v>125</v>
      </c>
      <c r="X328" s="0" t="str">
        <f aca="false">IF(ISBLANK(W328),"No remarks",W328)</f>
        <v>Customer waited</v>
      </c>
      <c r="Y328" s="0" t="s">
        <v>52</v>
      </c>
      <c r="Z328" s="0" t="s">
        <v>94</v>
      </c>
      <c r="AA328" s="0" t="str">
        <f aca="false">PROPER(IF(ISBLANK(Z328),"Location Unavailable",Z328))</f>
        <v>Vip Section</v>
      </c>
      <c r="AB328" s="0" t="s">
        <v>126</v>
      </c>
      <c r="AC328" s="6" t="str">
        <f aca="false">PROPER(AB328)</f>
        <v>Whatsapp</v>
      </c>
      <c r="AD328" s="6" t="n">
        <v>30</v>
      </c>
      <c r="AE328" s="5" t="n">
        <f aca="false">IF(ISBLANK(AD328),AVERAGEIF(L328:L1327,L328,AD328:AD1327),AD328)</f>
        <v>30</v>
      </c>
      <c r="AF328" s="0" t="s">
        <v>160</v>
      </c>
      <c r="AG328" s="0" t="str">
        <f aca="false">PROPER(AF328)</f>
        <v>Availaible</v>
      </c>
      <c r="AH328" s="0" t="s">
        <v>148</v>
      </c>
      <c r="AI328" s="0" t="s">
        <v>78</v>
      </c>
      <c r="AJ328" s="0" t="str">
        <f aca="false">PROPER(AI328)</f>
        <v>Booking</v>
      </c>
      <c r="AK328" s="0" t="s">
        <v>196</v>
      </c>
      <c r="AL328" s="0" t="str">
        <f aca="false">PROPER(AK328)</f>
        <v>First Time</v>
      </c>
      <c r="AM328" s="0" t="s">
        <v>2326</v>
      </c>
      <c r="AN328" s="0" t="str">
        <f aca="false">IF(ISBLANK(AM328),"Unknown",AM328)</f>
        <v>Government Convoy</v>
      </c>
      <c r="AP328" s="0" t="str">
        <f aca="false">IF(ISBLANK(AO328),"Unknown",AO328)</f>
        <v>Unknown</v>
      </c>
      <c r="AQ328" s="0" t="n">
        <v>20000</v>
      </c>
      <c r="AR328" s="5" t="n">
        <f aca="false">IF(ISBLANK(AQ328),AVERAGEIF(M328:M1327,M328,AQ328:AQ1327),AQ328)</f>
        <v>20000</v>
      </c>
      <c r="AT328" s="5" t="n">
        <f aca="false">IF(ISBLANK(AS328),AVERAGE(AS328:AS1327),AS328)</f>
        <v>31408.1996434938</v>
      </c>
      <c r="AU328" s="0" t="s">
        <v>82</v>
      </c>
      <c r="AV328" s="0" t="str">
        <f aca="false">PROPER(IF(ISBLANK(AU328),"No",AU328))</f>
        <v>Yes</v>
      </c>
      <c r="AW328" s="0" t="n">
        <v>0</v>
      </c>
      <c r="AX328" s="5" t="n">
        <f aca="false">IF(ISBLANK(AW328),0,AW328)</f>
        <v>0</v>
      </c>
      <c r="AY328" s="0" t="s">
        <v>184</v>
      </c>
      <c r="AZ328" s="0" t="str">
        <f aca="false">UPPER(IF(ISBLANK(AY328),"NONE",AY328))</f>
        <v>N/A</v>
      </c>
      <c r="BA328" s="7" t="n">
        <v>45973</v>
      </c>
      <c r="BB328" s="7" t="n">
        <f aca="false">IF(ISBLANK(BA328),"No Follow Up Needed",BA328)</f>
        <v>45973</v>
      </c>
      <c r="BC328" s="0" t="s">
        <v>61</v>
      </c>
      <c r="BD328" s="0" t="str">
        <f aca="false">PROPER(IF(ISBLANK(BC328),"Unknown",BC328))</f>
        <v>No</v>
      </c>
      <c r="BF328" s="0" t="str">
        <f aca="false">IF(ISBLANK(BE328),"No comments",BE328)</f>
        <v>No comments</v>
      </c>
      <c r="BH328" s="0" t="str">
        <f aca="false">IF(ISBLANK(BG328),"No comments",BG328)</f>
        <v>No comments</v>
      </c>
      <c r="BI328" s="0" t="s">
        <v>50</v>
      </c>
      <c r="BJ328" s="0" t="str">
        <f aca="false">IF(ISBLANK(BI328),"Not Mentioned",BI328)</f>
        <v>No</v>
      </c>
      <c r="BK328" s="0" t="s">
        <v>82</v>
      </c>
      <c r="BL328" s="0" t="str">
        <f aca="false">PROPER(IF(ISBLANK(BK328),"Not Mentioned",BK328))</f>
        <v>Yes</v>
      </c>
      <c r="BN328" s="0" t="str">
        <f aca="false">PROPER(IF(ISBLANK(BM328),"Not Mentioned",BM328))</f>
        <v>Not Mentioned</v>
      </c>
      <c r="BO328" s="0" t="s">
        <v>2321</v>
      </c>
      <c r="BP328" s="0" t="str">
        <f aca="false">IF(ISBLANK(BO328),"One-Time Plan",BO328)</f>
        <v>One-Time Plan</v>
      </c>
      <c r="BQ328" s="0" t="s">
        <v>198</v>
      </c>
      <c r="BR328" s="0" t="str">
        <f aca="false">PROPER(IF(ISBLANK(BQ328),"No",BQ328))</f>
        <v>Followed Up</v>
      </c>
    </row>
    <row r="329" customFormat="false" ht="15" hidden="false" customHeight="false" outlineLevel="0" collapsed="false">
      <c r="A329" s="0" t="s">
        <v>911</v>
      </c>
      <c r="B329" s="2" t="n">
        <v>45685</v>
      </c>
      <c r="C329" s="2" t="str">
        <f aca="false">TEXT(B329,"dd/mm/yyyy")</f>
        <v>28/01/2025</v>
      </c>
      <c r="D329" s="0" t="s">
        <v>121</v>
      </c>
      <c r="E329" s="0" t="n">
        <v>8087024699</v>
      </c>
      <c r="F329" s="0" t="s">
        <v>67</v>
      </c>
      <c r="G329" s="0" t="s">
        <v>2316</v>
      </c>
      <c r="H329" s="0" t="s">
        <v>912</v>
      </c>
      <c r="I329" s="0" t="s">
        <v>69</v>
      </c>
      <c r="J329" s="0" t="s">
        <v>2325</v>
      </c>
      <c r="K329" s="3" t="str">
        <f aca="false" t="array" ref="K329:K329">IFERROR(IF(J329&lt;&gt;"",J329,INDEX(J329:J1328,MATCH(1,(F329:F1328=F329)*(I329:I1328=I329)*(L329:L1328=L329)*(J329:J1328&lt;&gt;""),0))),"Not Found")</f>
        <v>Engine Knocking</v>
      </c>
      <c r="L329" s="3" t="s">
        <v>108</v>
      </c>
      <c r="M329" s="0" t="str">
        <f aca="false">PROPER(L329)</f>
        <v>Timing Belt</v>
      </c>
      <c r="N329" s="3" t="s">
        <v>109</v>
      </c>
      <c r="O329" s="0" t="str">
        <f aca="false" t="array" ref="O329:O329">IF(N329&lt;&gt;"",N329,_xlfn.xlookup(1,(L329:L1328=L329)*(N329:N1328&lt;&gt;""),N329:N1328,"Not Found"))</f>
        <v>Tijani</v>
      </c>
      <c r="P329" s="4" t="n">
        <v>14183</v>
      </c>
      <c r="Q329" s="0" t="s">
        <v>91</v>
      </c>
      <c r="R329" s="0" t="str">
        <f aca="false">PROPER(Q329)</f>
        <v>Pos</v>
      </c>
      <c r="S329" s="0" t="s">
        <v>50</v>
      </c>
      <c r="T329" s="0" t="n">
        <v>2</v>
      </c>
      <c r="U329" s="5" t="n">
        <f aca="false">IF(ISBLANK(T329),AVERAGE(T329:T1328),T329)</f>
        <v>2</v>
      </c>
      <c r="V329" s="0" t="n">
        <v>4.5</v>
      </c>
      <c r="W329" s="0" t="s">
        <v>92</v>
      </c>
      <c r="X329" s="0" t="str">
        <f aca="false">IF(ISBLANK(W329),"No remarks",W329)</f>
        <v>Urgent service</v>
      </c>
      <c r="Y329" s="0" t="s">
        <v>73</v>
      </c>
      <c r="AA329" s="0" t="str">
        <f aca="false">PROPER(IF(ISBLANK(Z329),"Location Unavailable",Z329))</f>
        <v>Location Unavailable</v>
      </c>
      <c r="AB329" s="0" t="s">
        <v>126</v>
      </c>
      <c r="AC329" s="6" t="str">
        <f aca="false">PROPER(AB329)</f>
        <v>Whatsapp</v>
      </c>
      <c r="AD329" s="6" t="n">
        <v>15</v>
      </c>
      <c r="AE329" s="5" t="n">
        <f aca="false">IF(ISBLANK(AD329),AVERAGEIF(L329:L1328,L329,AD329:AD1328),AD329)</f>
        <v>15</v>
      </c>
      <c r="AF329" s="0" t="s">
        <v>112</v>
      </c>
      <c r="AG329" s="0" t="str">
        <f aca="false">PROPER(AF329)</f>
        <v>Unavailable</v>
      </c>
      <c r="AH329" s="0" t="s">
        <v>77</v>
      </c>
      <c r="AI329" s="0" t="s">
        <v>113</v>
      </c>
      <c r="AJ329" s="0" t="str">
        <f aca="false">PROPER(AI329)</f>
        <v>Normal</v>
      </c>
      <c r="AK329" s="0" t="s">
        <v>196</v>
      </c>
      <c r="AL329" s="0" t="str">
        <f aca="false">PROPER(AK329)</f>
        <v>First Time</v>
      </c>
      <c r="AM329" s="0" t="s">
        <v>177</v>
      </c>
      <c r="AN329" s="0" t="str">
        <f aca="false">IF(ISBLANK(AM329),"Unknown",AM329)</f>
        <v>Private</v>
      </c>
      <c r="AO329" s="0" t="s">
        <v>143</v>
      </c>
      <c r="AP329" s="0" t="str">
        <f aca="false">IF(ISBLANK(AO329),"Unknown",AO329)</f>
        <v>Senior</v>
      </c>
      <c r="AQ329" s="0" t="n">
        <v>25000</v>
      </c>
      <c r="AR329" s="5" t="n">
        <f aca="false">IF(ISBLANK(AQ329),AVERAGEIF(M329:M1328,M329,AQ329:AQ1328),AQ329)</f>
        <v>25000</v>
      </c>
      <c r="AS329" s="0" t="n">
        <v>30000</v>
      </c>
      <c r="AT329" s="5" t="n">
        <f aca="false">IF(ISBLANK(AS329),AVERAGE(AS329:AS1328),AS329)</f>
        <v>30000</v>
      </c>
      <c r="AU329" s="0" t="s">
        <v>82</v>
      </c>
      <c r="AV329" s="0" t="str">
        <f aca="false">PROPER(IF(ISBLANK(AU329),"No",AU329))</f>
        <v>Yes</v>
      </c>
      <c r="AX329" s="5" t="n">
        <f aca="false">IF(ISBLANK(AW329),0,AW329)</f>
        <v>0</v>
      </c>
      <c r="AY329" s="0" t="s">
        <v>80</v>
      </c>
      <c r="AZ329" s="0" t="str">
        <f aca="false">UPPER(IF(ISBLANK(AY329),"NONE",AY329))</f>
        <v>PROMO10</v>
      </c>
      <c r="BB329" s="7" t="str">
        <f aca="false">IF(ISBLANK(BA329),"No Follow Up Needed",BA329)</f>
        <v>No Follow Up Needed</v>
      </c>
      <c r="BC329" s="0" t="s">
        <v>82</v>
      </c>
      <c r="BD329" s="0" t="str">
        <f aca="false">PROPER(IF(ISBLANK(BC329),"Unknown",BC329))</f>
        <v>Yes</v>
      </c>
      <c r="BE329" s="0" t="s">
        <v>116</v>
      </c>
      <c r="BF329" s="0" t="str">
        <f aca="false">IF(ISBLANK(BE329),"No comments",BE329)</f>
        <v>Needs tire alignment</v>
      </c>
      <c r="BG329" s="0" t="s">
        <v>2320</v>
      </c>
      <c r="BH329" s="0" t="str">
        <f aca="false">IF(ISBLANK(BG329),"No comments",BG329)</f>
        <v>No complaints</v>
      </c>
      <c r="BJ329" s="0" t="str">
        <f aca="false">IF(ISBLANK(BI329),"Not Mentioned",BI329)</f>
        <v>Not Mentioned</v>
      </c>
      <c r="BL329" s="0" t="str">
        <f aca="false">PROPER(IF(ISBLANK(BK329),"Not Mentioned",BK329))</f>
        <v>Not Mentioned</v>
      </c>
      <c r="BN329" s="0" t="str">
        <f aca="false">PROPER(IF(ISBLANK(BM329),"Not Mentioned",BM329))</f>
        <v>Not Mentioned</v>
      </c>
      <c r="BO329" s="0" t="s">
        <v>2318</v>
      </c>
      <c r="BP329" s="0" t="str">
        <f aca="false">IF(ISBLANK(BO329),"One-Time Plan",BO329)</f>
        <v>Gold</v>
      </c>
      <c r="BQ329" s="0" t="s">
        <v>198</v>
      </c>
      <c r="BR329" s="0" t="str">
        <f aca="false">PROPER(IF(ISBLANK(BQ329),"No",BQ329))</f>
        <v>Followed Up</v>
      </c>
    </row>
    <row r="330" customFormat="false" ht="15" hidden="false" customHeight="false" outlineLevel="0" collapsed="false">
      <c r="A330" s="0" t="s">
        <v>913</v>
      </c>
      <c r="B330" s="2" t="n">
        <v>45775</v>
      </c>
      <c r="C330" s="2" t="str">
        <f aca="false">TEXT(B330,"dd/mm/yyyy")</f>
        <v>28/04/2025</v>
      </c>
      <c r="D330" s="0" t="s">
        <v>105</v>
      </c>
      <c r="E330" s="0" t="n">
        <v>8062463815</v>
      </c>
      <c r="F330" s="0" t="s">
        <v>43</v>
      </c>
      <c r="G330" s="0" t="s">
        <v>2315</v>
      </c>
      <c r="H330" s="0" t="s">
        <v>914</v>
      </c>
      <c r="I330" s="0" t="s">
        <v>69</v>
      </c>
      <c r="J330" s="0" t="s">
        <v>2325</v>
      </c>
      <c r="K330" s="3" t="str">
        <f aca="false" t="array" ref="K330:K330">IFERROR(IF(J330&lt;&gt;"",J330,INDEX(J330:J1329,MATCH(1,(F330:F1329=F330)*(I330:I1329=I330)*(L330:L1329=L330)*(J330:J1329&lt;&gt;""),0))),"Not Found")</f>
        <v>Engine Knocking</v>
      </c>
      <c r="L330" s="3" t="s">
        <v>47</v>
      </c>
      <c r="M330" s="0" t="str">
        <f aca="false">PROPER(L330)</f>
        <v>None</v>
      </c>
      <c r="N330" s="3" t="s">
        <v>71</v>
      </c>
      <c r="O330" s="0" t="str">
        <f aca="false" t="array" ref="O330:O330">IF(N330&lt;&gt;"",N330,_xlfn.xlookup(1,(L330:L1329=L330)*(N330:N1329&lt;&gt;""),N330:N1329,"Not Found"))</f>
        <v>Isaac Bobo</v>
      </c>
      <c r="P330" s="4" t="n">
        <v>68522</v>
      </c>
      <c r="Q330" s="0" t="s">
        <v>72</v>
      </c>
      <c r="R330" s="0" t="str">
        <f aca="false">PROPER(Q330)</f>
        <v>Pos</v>
      </c>
      <c r="S330" s="0" t="s">
        <v>63</v>
      </c>
      <c r="T330" s="0" t="n">
        <v>3</v>
      </c>
      <c r="U330" s="5" t="n">
        <f aca="false">IF(ISBLANK(T330),AVERAGE(T330:T1329),T330)</f>
        <v>3</v>
      </c>
      <c r="V330" s="0" t="n">
        <v>2.7</v>
      </c>
      <c r="W330" s="0" t="s">
        <v>125</v>
      </c>
      <c r="X330" s="0" t="str">
        <f aca="false">IF(ISBLANK(W330),"No remarks",W330)</f>
        <v>Customer waited</v>
      </c>
      <c r="Y330" s="0" t="s">
        <v>93</v>
      </c>
      <c r="Z330" s="0" t="s">
        <v>159</v>
      </c>
      <c r="AA330" s="0" t="str">
        <f aca="false">PROPER(IF(ISBLANK(Z330),"Location Unavailable",Z330))</f>
        <v>Main Bay</v>
      </c>
      <c r="AB330" s="0" t="s">
        <v>95</v>
      </c>
      <c r="AC330" s="6" t="str">
        <f aca="false">PROPER(AB330)</f>
        <v>Road Sign</v>
      </c>
      <c r="AE330" s="5" t="n">
        <f aca="false">IF(ISBLANK(AD330),AVERAGEIF(L330:L1329,L330,AD330:AD1329),AD330)</f>
        <v>35.6707317073171</v>
      </c>
      <c r="AF330" s="0" t="s">
        <v>160</v>
      </c>
      <c r="AG330" s="0" t="str">
        <f aca="false">PROPER(AF330)</f>
        <v>Availaible</v>
      </c>
      <c r="AH330" s="0" t="s">
        <v>155</v>
      </c>
      <c r="AI330" s="0" t="s">
        <v>98</v>
      </c>
      <c r="AJ330" s="0" t="str">
        <f aca="false">PROPER(AI330)</f>
        <v>Emergency</v>
      </c>
      <c r="AK330" s="0" t="s">
        <v>99</v>
      </c>
      <c r="AL330" s="0" t="str">
        <f aca="false">PROPER(AK330)</f>
        <v>Uber Driver</v>
      </c>
      <c r="AN330" s="0" t="str">
        <f aca="false">IF(ISBLANK(AM330),"Unknown",AM330)</f>
        <v>Unknown</v>
      </c>
      <c r="AO330" s="0" t="s">
        <v>79</v>
      </c>
      <c r="AP330" s="0" t="str">
        <f aca="false">IF(ISBLANK(AO330),"Unknown",AO330)</f>
        <v>Specialist</v>
      </c>
      <c r="AQ330" s="0" t="n">
        <v>15000</v>
      </c>
      <c r="AR330" s="5" t="n">
        <f aca="false">IF(ISBLANK(AQ330),AVERAGEIF(M330:M1329,M330,AQ330:AQ1329),AQ330)</f>
        <v>15000</v>
      </c>
      <c r="AS330" s="0" t="n">
        <v>30000</v>
      </c>
      <c r="AT330" s="5" t="n">
        <f aca="false">IF(ISBLANK(AS330),AVERAGE(AS330:AS1329),AS330)</f>
        <v>30000</v>
      </c>
      <c r="AU330" s="0" t="s">
        <v>63</v>
      </c>
      <c r="AV330" s="0" t="str">
        <f aca="false">PROPER(IF(ISBLANK(AU330),"No",AU330))</f>
        <v>Yes</v>
      </c>
      <c r="AW330" s="0" t="n">
        <v>5000</v>
      </c>
      <c r="AX330" s="5" t="n">
        <f aca="false">IF(ISBLANK(AW330),0,AW330)</f>
        <v>5000</v>
      </c>
      <c r="AZ330" s="0" t="str">
        <f aca="false">UPPER(IF(ISBLANK(AY330),"NONE",AY330))</f>
        <v>NONE</v>
      </c>
      <c r="BA330" s="7" t="s">
        <v>915</v>
      </c>
      <c r="BB330" s="7" t="str">
        <f aca="false">IF(ISBLANK(BA330),"No Follow Up Needed",BA330)</f>
        <v>26/10/2025</v>
      </c>
      <c r="BC330" s="0" t="s">
        <v>61</v>
      </c>
      <c r="BD330" s="0" t="str">
        <f aca="false">PROPER(IF(ISBLANK(BC330),"Unknown",BC330))</f>
        <v>No</v>
      </c>
      <c r="BE330" s="0" t="s">
        <v>116</v>
      </c>
      <c r="BF330" s="0" t="str">
        <f aca="false">IF(ISBLANK(BE330),"No comments",BE330)</f>
        <v>Needs tire alignment</v>
      </c>
      <c r="BG330" s="0" t="s">
        <v>172</v>
      </c>
      <c r="BH330" s="0" t="str">
        <f aca="false">IF(ISBLANK(BG330),"No comments",BG330)</f>
        <v>Always late</v>
      </c>
      <c r="BI330" s="0" t="s">
        <v>50</v>
      </c>
      <c r="BJ330" s="0" t="str">
        <f aca="false">IF(ISBLANK(BI330),"Not Mentioned",BI330)</f>
        <v>No</v>
      </c>
      <c r="BK330" s="0" t="s">
        <v>82</v>
      </c>
      <c r="BL330" s="0" t="str">
        <f aca="false">PROPER(IF(ISBLANK(BK330),"Not Mentioned",BK330))</f>
        <v>Yes</v>
      </c>
      <c r="BM330" s="0" t="s">
        <v>50</v>
      </c>
      <c r="BN330" s="0" t="str">
        <f aca="false">PROPER(IF(ISBLANK(BM330),"Not Mentioned",BM330))</f>
        <v>No</v>
      </c>
      <c r="BO330" s="0" t="s">
        <v>2318</v>
      </c>
      <c r="BP330" s="0" t="str">
        <f aca="false">IF(ISBLANK(BO330),"One-Time Plan",BO330)</f>
        <v>Gold</v>
      </c>
      <c r="BQ330" s="0" t="s">
        <v>190</v>
      </c>
      <c r="BR330" s="0" t="str">
        <f aca="false">PROPER(IF(ISBLANK(BQ330),"No",BQ330))</f>
        <v>Yes</v>
      </c>
    </row>
    <row r="331" customFormat="false" ht="15" hidden="false" customHeight="false" outlineLevel="0" collapsed="false">
      <c r="A331" s="0" t="s">
        <v>916</v>
      </c>
      <c r="B331" s="2" t="n">
        <v>45767</v>
      </c>
      <c r="C331" s="2" t="str">
        <f aca="false">TEXT(B331,"dd/mm/yyyy")</f>
        <v>20/04/2025</v>
      </c>
      <c r="D331" s="0" t="s">
        <v>105</v>
      </c>
      <c r="E331" s="0" t="n">
        <v>8061179711</v>
      </c>
      <c r="F331" s="0" t="s">
        <v>85</v>
      </c>
      <c r="G331" s="0" t="s">
        <v>2319</v>
      </c>
      <c r="H331" s="0" t="s">
        <v>917</v>
      </c>
      <c r="I331" s="0" t="s">
        <v>87</v>
      </c>
      <c r="J331" s="0" t="s">
        <v>87</v>
      </c>
      <c r="K331" s="3" t="str">
        <f aca="false" t="array" ref="K331:K331">IFERROR(IF(J331&lt;&gt;"",J331,INDEX(J331:J1330,MATCH(1,(F331:F1330=F331)*(I331:I1330=I331)*(L331:L1330=L331)*(J331:J1330&lt;&gt;""),0))),"Not Found")</f>
        <v>Oil Change</v>
      </c>
      <c r="L331" s="3" t="s">
        <v>189</v>
      </c>
      <c r="M331" s="0" t="str">
        <f aca="false">PROPER(L331)</f>
        <v>Battery</v>
      </c>
      <c r="O331" s="0" t="e">
        <f aca="false" t="array" ref="O331:O331">IF(N331&lt;&gt;"",N331,_xlfn.xlookup(1,(L331:L1330=L331)*(N331:N1330&lt;&gt;""),N331:N1330,"Not Found"))</f>
        <v>#NAME?</v>
      </c>
      <c r="P331" s="4" t="n">
        <v>27824</v>
      </c>
      <c r="Q331" s="0" t="s">
        <v>91</v>
      </c>
      <c r="R331" s="0" t="str">
        <f aca="false">PROPER(Q331)</f>
        <v>Pos</v>
      </c>
      <c r="S331" s="0" t="s">
        <v>50</v>
      </c>
      <c r="U331" s="5" t="n">
        <f aca="false">IF(ISBLANK(T331),AVERAGE(T331:T1330),T331)</f>
        <v>3.05063291139241</v>
      </c>
      <c r="V331" s="0" t="n">
        <v>3.6</v>
      </c>
      <c r="W331" s="0" t="s">
        <v>92</v>
      </c>
      <c r="X331" s="0" t="str">
        <f aca="false">IF(ISBLANK(W331),"No remarks",W331)</f>
        <v>Urgent service</v>
      </c>
      <c r="Y331" s="0" t="s">
        <v>93</v>
      </c>
      <c r="Z331" s="0" t="s">
        <v>74</v>
      </c>
      <c r="AA331" s="0" t="str">
        <f aca="false">PROPER(IF(ISBLANK(Z331),"Location Unavailable",Z331))</f>
        <v>Under Tree</v>
      </c>
      <c r="AB331" s="0" t="s">
        <v>167</v>
      </c>
      <c r="AC331" s="6" t="str">
        <f aca="false">PROPER(AB331)</f>
        <v>Word Of Mouth</v>
      </c>
      <c r="AD331" s="6" t="n">
        <v>30</v>
      </c>
      <c r="AE331" s="5" t="n">
        <f aca="false">IF(ISBLANK(AD331),AVERAGEIF(L331:L1330,L331,AD331:AD1330),AD331)</f>
        <v>30</v>
      </c>
      <c r="AF331" s="0" t="s">
        <v>76</v>
      </c>
      <c r="AG331" s="0" t="str">
        <f aca="false">PROPER(AF331)</f>
        <v>Orderd</v>
      </c>
      <c r="AH331" s="0" t="s">
        <v>148</v>
      </c>
      <c r="AI331" s="0" t="s">
        <v>98</v>
      </c>
      <c r="AJ331" s="0" t="str">
        <f aca="false">PROPER(AI331)</f>
        <v>Emergency</v>
      </c>
      <c r="AK331" s="0" t="s">
        <v>58</v>
      </c>
      <c r="AL331" s="0" t="str">
        <f aca="false">PROPER(AK331)</f>
        <v>Fleet Owner</v>
      </c>
      <c r="AM331" s="0" t="s">
        <v>59</v>
      </c>
      <c r="AN331" s="0" t="str">
        <f aca="false">IF(ISBLANK(AM331),"Unknown",AM331)</f>
        <v>Bolt Driver</v>
      </c>
      <c r="AO331" s="0" t="s">
        <v>161</v>
      </c>
      <c r="AP331" s="0" t="str">
        <f aca="false">IF(ISBLANK(AO331),"Unknown",AO331)</f>
        <v>Apprentice</v>
      </c>
      <c r="AQ331" s="0" t="n">
        <v>30000</v>
      </c>
      <c r="AR331" s="5" t="n">
        <f aca="false">IF(ISBLANK(AQ331),AVERAGEIF(M331:M1330,M331,AQ331:AQ1330),AQ331)</f>
        <v>30000</v>
      </c>
      <c r="AS331" s="0" t="n">
        <v>20000</v>
      </c>
      <c r="AT331" s="5" t="n">
        <f aca="false">IF(ISBLANK(AS331),AVERAGE(AS331:AS1330),AS331)</f>
        <v>20000</v>
      </c>
      <c r="AU331" s="0" t="s">
        <v>63</v>
      </c>
      <c r="AV331" s="0" t="str">
        <f aca="false">PROPER(IF(ISBLANK(AU331),"No",AU331))</f>
        <v>Yes</v>
      </c>
      <c r="AX331" s="5" t="n">
        <f aca="false">IF(ISBLANK(AW331),0,AW331)</f>
        <v>0</v>
      </c>
      <c r="AY331" s="0" t="s">
        <v>184</v>
      </c>
      <c r="AZ331" s="0" t="str">
        <f aca="false">UPPER(IF(ISBLANK(AY331),"NONE",AY331))</f>
        <v>N/A</v>
      </c>
      <c r="BB331" s="7" t="str">
        <f aca="false">IF(ISBLANK(BA331),"No Follow Up Needed",BA331)</f>
        <v>No Follow Up Needed</v>
      </c>
      <c r="BC331" s="0" t="s">
        <v>50</v>
      </c>
      <c r="BD331" s="0" t="str">
        <f aca="false">PROPER(IF(ISBLANK(BC331),"Unknown",BC331))</f>
        <v>No</v>
      </c>
      <c r="BF331" s="0" t="str">
        <f aca="false">IF(ISBLANK(BE331),"No comments",BE331)</f>
        <v>No comments</v>
      </c>
      <c r="BG331" s="0" t="s">
        <v>2320</v>
      </c>
      <c r="BH331" s="0" t="str">
        <f aca="false">IF(ISBLANK(BG331),"No comments",BG331)</f>
        <v>No complaints</v>
      </c>
      <c r="BI331" s="0" t="s">
        <v>63</v>
      </c>
      <c r="BJ331" s="0" t="str">
        <f aca="false">IF(ISBLANK(BI331),"Not Mentioned",BI331)</f>
        <v>Yes</v>
      </c>
      <c r="BK331" s="0" t="s">
        <v>82</v>
      </c>
      <c r="BL331" s="0" t="str">
        <f aca="false">PROPER(IF(ISBLANK(BK331),"Not Mentioned",BK331))</f>
        <v>Yes</v>
      </c>
      <c r="BM331" s="0" t="s">
        <v>63</v>
      </c>
      <c r="BN331" s="0" t="str">
        <f aca="false">PROPER(IF(ISBLANK(BM331),"Not Mentioned",BM331))</f>
        <v>Yes</v>
      </c>
      <c r="BO331" s="0" t="s">
        <v>64</v>
      </c>
      <c r="BP331" s="0" t="str">
        <f aca="false">IF(ISBLANK(BO331),"One-Time Plan",BO331)</f>
        <v>Gold Maintenance Plan</v>
      </c>
      <c r="BQ331" s="0" t="s">
        <v>63</v>
      </c>
      <c r="BR331" s="0" t="str">
        <f aca="false">PROPER(IF(ISBLANK(BQ331),"No",BQ331))</f>
        <v>Yes</v>
      </c>
    </row>
    <row r="332" customFormat="false" ht="15" hidden="false" customHeight="false" outlineLevel="0" collapsed="false">
      <c r="A332" s="0" t="s">
        <v>919</v>
      </c>
      <c r="B332" s="2" t="s">
        <v>918</v>
      </c>
      <c r="C332" s="2" t="str">
        <f aca="false">TEXT(B332,"dd/mm/yyyy")</f>
        <v>13/04/2025</v>
      </c>
      <c r="D332" s="0" t="s">
        <v>105</v>
      </c>
      <c r="E332" s="0" t="n">
        <v>8037407879</v>
      </c>
      <c r="F332" s="0" t="s">
        <v>85</v>
      </c>
      <c r="G332" s="0" t="s">
        <v>2319</v>
      </c>
      <c r="H332" s="0" t="s">
        <v>920</v>
      </c>
      <c r="I332" s="0" t="s">
        <v>134</v>
      </c>
      <c r="K332" s="3" t="str">
        <f aca="false" t="array" ref="K332:K332">IFERROR(IF(J332&lt;&gt;"",J332,INDEX(J332:J1331,MATCH(1,(F332:F1331=F332)*(I332:I1331=I332)*(L332:L1331=L332)*(J332:J1331&lt;&gt;""),0))),"Not Found")</f>
        <v>Engine Knocking</v>
      </c>
      <c r="L332" s="3" t="s">
        <v>108</v>
      </c>
      <c r="M332" s="0" t="str">
        <f aca="false">PROPER(L332)</f>
        <v>Timing Belt</v>
      </c>
      <c r="N332" s="3" t="s">
        <v>90</v>
      </c>
      <c r="O332" s="0" t="str">
        <f aca="false" t="array" ref="O332:O332">IF(N332&lt;&gt;"",N332,_xlfn.xlookup(1,(L332:L1331=L332)*(N332:N1331&lt;&gt;""),N332:N1331,"Not Found"))</f>
        <v>Musa</v>
      </c>
      <c r="P332" s="4" t="n">
        <v>104764</v>
      </c>
      <c r="Q332" s="0" t="s">
        <v>72</v>
      </c>
      <c r="R332" s="0" t="str">
        <f aca="false">PROPER(Q332)</f>
        <v>Pos</v>
      </c>
      <c r="S332" s="0" t="s">
        <v>50</v>
      </c>
      <c r="T332" s="0" t="n">
        <v>2</v>
      </c>
      <c r="U332" s="5" t="n">
        <f aca="false">IF(ISBLANK(T332),AVERAGE(T332:T1331),T332)</f>
        <v>2</v>
      </c>
      <c r="V332" s="0" t="n">
        <v>5.7</v>
      </c>
      <c r="W332" s="0" t="s">
        <v>92</v>
      </c>
      <c r="X332" s="0" t="str">
        <f aca="false">IF(ISBLANK(W332),"No remarks",W332)</f>
        <v>Urgent service</v>
      </c>
      <c r="Y332" s="0" t="s">
        <v>52</v>
      </c>
      <c r="Z332" s="0" t="s">
        <v>136</v>
      </c>
      <c r="AA332" s="0" t="str">
        <f aca="false">PROPER(IF(ISBLANK(Z332),"Location Unavailable",Z332))</f>
        <v>Vip Section</v>
      </c>
      <c r="AB332" s="0" t="s">
        <v>95</v>
      </c>
      <c r="AC332" s="6" t="str">
        <f aca="false">PROPER(AB332)</f>
        <v>Road Sign</v>
      </c>
      <c r="AE332" s="5" t="n">
        <f aca="false">IF(ISBLANK(AD332),AVERAGEIF(L332:L1331,L332,AD332:AD1331),AD332)</f>
        <v>37.1052631578947</v>
      </c>
      <c r="AF332" s="0" t="s">
        <v>96</v>
      </c>
      <c r="AG332" s="0" t="str">
        <f aca="false">PROPER(AF332)</f>
        <v>Ordered</v>
      </c>
      <c r="AH332" s="0" t="s">
        <v>77</v>
      </c>
      <c r="AI332" s="0" t="s">
        <v>98</v>
      </c>
      <c r="AJ332" s="0" t="str">
        <f aca="false">PROPER(AI332)</f>
        <v>Emergency</v>
      </c>
      <c r="AK332" s="0" t="s">
        <v>196</v>
      </c>
      <c r="AL332" s="0" t="str">
        <f aca="false">PROPER(AK332)</f>
        <v>First Time</v>
      </c>
      <c r="AN332" s="0" t="str">
        <f aca="false">IF(ISBLANK(AM332),"Unknown",AM332)</f>
        <v>Unknown</v>
      </c>
      <c r="AO332" s="0" t="s">
        <v>161</v>
      </c>
      <c r="AP332" s="0" t="str">
        <f aca="false">IF(ISBLANK(AO332),"Unknown",AO332)</f>
        <v>Apprentice</v>
      </c>
      <c r="AQ332" s="0" t="n">
        <v>40000</v>
      </c>
      <c r="AR332" s="5" t="n">
        <f aca="false">IF(ISBLANK(AQ332),AVERAGEIF(M332:M1331,M332,AQ332:AQ1331),AQ332)</f>
        <v>40000</v>
      </c>
      <c r="AS332" s="0" t="n">
        <v>30000</v>
      </c>
      <c r="AT332" s="5" t="n">
        <f aca="false">IF(ISBLANK(AS332),AVERAGE(AS332:AS1331),AS332)</f>
        <v>30000</v>
      </c>
      <c r="AU332" s="0" t="s">
        <v>50</v>
      </c>
      <c r="AV332" s="0" t="str">
        <f aca="false">PROPER(IF(ISBLANK(AU332),"No",AU332))</f>
        <v>No</v>
      </c>
      <c r="AW332" s="0" t="n">
        <v>0</v>
      </c>
      <c r="AX332" s="5" t="n">
        <f aca="false">IF(ISBLANK(AW332),0,AW332)</f>
        <v>0</v>
      </c>
      <c r="AZ332" s="0" t="str">
        <f aca="false">UPPER(IF(ISBLANK(AY332),"NONE",AY332))</f>
        <v>NONE</v>
      </c>
      <c r="BA332" s="7" t="n">
        <v>45899</v>
      </c>
      <c r="BB332" s="7" t="n">
        <f aca="false">IF(ISBLANK(BA332),"No Follow Up Needed",BA332)</f>
        <v>45899</v>
      </c>
      <c r="BC332" s="0" t="s">
        <v>82</v>
      </c>
      <c r="BD332" s="0" t="str">
        <f aca="false">PROPER(IF(ISBLANK(BC332),"Unknown",BC332))</f>
        <v>Yes</v>
      </c>
      <c r="BE332" s="0" t="s">
        <v>116</v>
      </c>
      <c r="BF332" s="0" t="str">
        <f aca="false">IF(ISBLANK(BE332),"No comments",BE332)</f>
        <v>Needs tire alignment</v>
      </c>
      <c r="BH332" s="0" t="str">
        <f aca="false">IF(ISBLANK(BG332),"No comments",BG332)</f>
        <v>No comments</v>
      </c>
      <c r="BJ332" s="0" t="str">
        <f aca="false">IF(ISBLANK(BI332),"Not Mentioned",BI332)</f>
        <v>Not Mentioned</v>
      </c>
      <c r="BK332" s="0" t="s">
        <v>63</v>
      </c>
      <c r="BL332" s="0" t="str">
        <f aca="false">PROPER(IF(ISBLANK(BK332),"Not Mentioned",BK332))</f>
        <v>Yes</v>
      </c>
      <c r="BM332" s="0" t="s">
        <v>50</v>
      </c>
      <c r="BN332" s="0" t="str">
        <f aca="false">PROPER(IF(ISBLANK(BM332),"Not Mentioned",BM332))</f>
        <v>No</v>
      </c>
      <c r="BO332" s="0" t="s">
        <v>2321</v>
      </c>
      <c r="BP332" s="0" t="str">
        <f aca="false">IF(ISBLANK(BO332),"One-Time Plan",BO332)</f>
        <v>One-Time Plan</v>
      </c>
      <c r="BQ332" s="0" t="s">
        <v>190</v>
      </c>
      <c r="BR332" s="0" t="str">
        <f aca="false">PROPER(IF(ISBLANK(BQ332),"No",BQ332))</f>
        <v>Yes</v>
      </c>
    </row>
    <row r="333" customFormat="false" ht="15" hidden="false" customHeight="false" outlineLevel="0" collapsed="false">
      <c r="A333" s="0" t="s">
        <v>921</v>
      </c>
      <c r="B333" s="2" t="s">
        <v>652</v>
      </c>
      <c r="C333" s="2" t="str">
        <f aca="false">TEXT(B333,"dd/mm/yyyy")</f>
        <v>17/05/2025</v>
      </c>
      <c r="D333" s="0" t="s">
        <v>105</v>
      </c>
      <c r="E333" s="0" t="n">
        <v>8062430296</v>
      </c>
      <c r="F333" s="0" t="s">
        <v>85</v>
      </c>
      <c r="G333" s="0" t="s">
        <v>2319</v>
      </c>
      <c r="H333" s="0" t="s">
        <v>922</v>
      </c>
      <c r="I333" s="0" t="s">
        <v>87</v>
      </c>
      <c r="J333" s="0" t="s">
        <v>2322</v>
      </c>
      <c r="K333" s="3" t="str">
        <f aca="false" t="array" ref="K333:K333">IFERROR(IF(J333&lt;&gt;"",J333,INDEX(J333:J1332,MATCH(1,(F333:F1332=F333)*(I333:I1332=I333)*(L333:L1332=L333)*(J333:J1332&lt;&gt;""),0))),"Not Found")</f>
        <v>Brake Failure</v>
      </c>
      <c r="L333" s="3" t="s">
        <v>154</v>
      </c>
      <c r="M333" s="0" t="str">
        <f aca="false">PROPER(L333)</f>
        <v>Air Filter</v>
      </c>
      <c r="N333" s="3" t="s">
        <v>90</v>
      </c>
      <c r="O333" s="0" t="str">
        <f aca="false" t="array" ref="O333:O333">IF(N333&lt;&gt;"",N333,_xlfn.xlookup(1,(L333:L1332=L333)*(N333:N1332&lt;&gt;""),N333:N1332,"Not Found"))</f>
        <v>Musa</v>
      </c>
      <c r="P333" s="4" t="n">
        <v>54949</v>
      </c>
      <c r="Q333" s="0" t="s">
        <v>72</v>
      </c>
      <c r="R333" s="0" t="str">
        <f aca="false">PROPER(Q333)</f>
        <v>Pos</v>
      </c>
      <c r="S333" s="0" t="s">
        <v>63</v>
      </c>
      <c r="T333" s="0" t="n">
        <v>1</v>
      </c>
      <c r="U333" s="5" t="n">
        <f aca="false">IF(ISBLANK(T333),AVERAGE(T333:T1332),T333)</f>
        <v>1</v>
      </c>
      <c r="V333" s="0" t="n">
        <v>4.7</v>
      </c>
      <c r="W333" s="0" t="s">
        <v>111</v>
      </c>
      <c r="X333" s="0" t="str">
        <f aca="false">IF(ISBLANK(W333),"No remarks",W333)</f>
        <v>Changed all filters</v>
      </c>
      <c r="Y333" s="0" t="s">
        <v>52</v>
      </c>
      <c r="Z333" s="0" t="s">
        <v>159</v>
      </c>
      <c r="AA333" s="0" t="str">
        <f aca="false">PROPER(IF(ISBLANK(Z333),"Location Unavailable",Z333))</f>
        <v>Main Bay</v>
      </c>
      <c r="AB333" s="0" t="s">
        <v>75</v>
      </c>
      <c r="AC333" s="6" t="str">
        <f aca="false">PROPER(AB333)</f>
        <v>Mechanik Referal</v>
      </c>
      <c r="AD333" s="6" t="n">
        <v>30</v>
      </c>
      <c r="AE333" s="5" t="n">
        <f aca="false">IF(ISBLANK(AD333),AVERAGEIF(L333:L1332,L333,AD333:AD1332),AD333)</f>
        <v>30</v>
      </c>
      <c r="AF333" s="0" t="s">
        <v>96</v>
      </c>
      <c r="AG333" s="0" t="str">
        <f aca="false">PROPER(AF333)</f>
        <v>Ordered</v>
      </c>
      <c r="AH333" s="0" t="s">
        <v>155</v>
      </c>
      <c r="AI333" s="0" t="s">
        <v>98</v>
      </c>
      <c r="AJ333" s="0" t="str">
        <f aca="false">PROPER(AI333)</f>
        <v>Emergency</v>
      </c>
      <c r="AK333" s="0" t="s">
        <v>196</v>
      </c>
      <c r="AL333" s="0" t="str">
        <f aca="false">PROPER(AK333)</f>
        <v>First Time</v>
      </c>
      <c r="AN333" s="0" t="str">
        <f aca="false">IF(ISBLANK(AM333),"Unknown",AM333)</f>
        <v>Unknown</v>
      </c>
      <c r="AO333" s="0" t="s">
        <v>143</v>
      </c>
      <c r="AP333" s="0" t="str">
        <f aca="false">IF(ISBLANK(AO333),"Unknown",AO333)</f>
        <v>Senior</v>
      </c>
      <c r="AQ333" s="0" t="n">
        <v>30000</v>
      </c>
      <c r="AR333" s="5" t="n">
        <f aca="false">IF(ISBLANK(AQ333),AVERAGEIF(M333:M1332,M333,AQ333:AQ1332),AQ333)</f>
        <v>30000</v>
      </c>
      <c r="AS333" s="0" t="n">
        <v>40000</v>
      </c>
      <c r="AT333" s="5" t="n">
        <f aca="false">IF(ISBLANK(AS333),AVERAGE(AS333:AS1332),AS333)</f>
        <v>40000</v>
      </c>
      <c r="AU333" s="0" t="s">
        <v>63</v>
      </c>
      <c r="AV333" s="0" t="str">
        <f aca="false">PROPER(IF(ISBLANK(AU333),"No",AU333))</f>
        <v>Yes</v>
      </c>
      <c r="AW333" s="0" t="n">
        <v>10000</v>
      </c>
      <c r="AX333" s="5" t="n">
        <f aca="false">IF(ISBLANK(AW333),0,AW333)</f>
        <v>10000</v>
      </c>
      <c r="AY333" s="0" t="s">
        <v>60</v>
      </c>
      <c r="AZ333" s="0" t="str">
        <f aca="false">UPPER(IF(ISBLANK(AY333),"NONE",AY333))</f>
        <v>NONE</v>
      </c>
      <c r="BA333" s="7" t="n">
        <v>45999</v>
      </c>
      <c r="BB333" s="7" t="n">
        <f aca="false">IF(ISBLANK(BA333),"No Follow Up Needed",BA333)</f>
        <v>45999</v>
      </c>
      <c r="BC333" s="0" t="s">
        <v>63</v>
      </c>
      <c r="BD333" s="0" t="str">
        <f aca="false">PROPER(IF(ISBLANK(BC333),"Unknown",BC333))</f>
        <v>Yes</v>
      </c>
      <c r="BF333" s="0" t="str">
        <f aca="false">IF(ISBLANK(BE333),"No comments",BE333)</f>
        <v>No comments</v>
      </c>
      <c r="BG333" s="0" t="s">
        <v>117</v>
      </c>
      <c r="BH333" s="0" t="str">
        <f aca="false">IF(ISBLANK(BG333),"No comments",BG333)</f>
        <v>Prefers morning</v>
      </c>
      <c r="BJ333" s="0" t="str">
        <f aca="false">IF(ISBLANK(BI333),"Not Mentioned",BI333)</f>
        <v>Not Mentioned</v>
      </c>
      <c r="BK333" s="0" t="s">
        <v>82</v>
      </c>
      <c r="BL333" s="0" t="str">
        <f aca="false">PROPER(IF(ISBLANK(BK333),"Not Mentioned",BK333))</f>
        <v>Yes</v>
      </c>
      <c r="BM333" s="0" t="s">
        <v>63</v>
      </c>
      <c r="BN333" s="0" t="str">
        <f aca="false">PROPER(IF(ISBLANK(BM333),"Not Mentioned",BM333))</f>
        <v>Yes</v>
      </c>
      <c r="BO333" s="0" t="s">
        <v>2321</v>
      </c>
      <c r="BP333" s="0" t="str">
        <f aca="false">IF(ISBLANK(BO333),"One-Time Plan",BO333)</f>
        <v>One-Time Plan</v>
      </c>
      <c r="BQ333" s="0" t="s">
        <v>50</v>
      </c>
      <c r="BR333" s="0" t="str">
        <f aca="false">PROPER(IF(ISBLANK(BQ333),"No",BQ333))</f>
        <v>No</v>
      </c>
    </row>
    <row r="334" customFormat="false" ht="15" hidden="false" customHeight="false" outlineLevel="0" collapsed="false">
      <c r="A334" s="0" t="s">
        <v>923</v>
      </c>
      <c r="B334" s="2" t="s">
        <v>489</v>
      </c>
      <c r="C334" s="2" t="str">
        <f aca="false">TEXT(B334,"dd/mm/yyyy")</f>
        <v>22/03/2025</v>
      </c>
      <c r="D334" s="0" t="s">
        <v>163</v>
      </c>
      <c r="E334" s="0" t="n">
        <v>8018550910</v>
      </c>
      <c r="F334" s="0" t="s">
        <v>139</v>
      </c>
      <c r="G334" s="0" t="s">
        <v>2323</v>
      </c>
      <c r="H334" s="0" t="s">
        <v>924</v>
      </c>
      <c r="I334" s="0" t="s">
        <v>69</v>
      </c>
      <c r="J334" s="0" t="s">
        <v>2325</v>
      </c>
      <c r="K334" s="3" t="str">
        <f aca="false" t="array" ref="K334:K334">IFERROR(IF(J334&lt;&gt;"",J334,INDEX(J334:J1333,MATCH(1,(F334:F1333=F334)*(I334:I1333=I334)*(L334:L1333=L334)*(J334:J1333&lt;&gt;""),0))),"Not Found")</f>
        <v>Engine Knocking</v>
      </c>
      <c r="L334" s="3" t="s">
        <v>108</v>
      </c>
      <c r="M334" s="0" t="str">
        <f aca="false">PROPER(L334)</f>
        <v>Timing Belt</v>
      </c>
      <c r="N334" s="3" t="s">
        <v>71</v>
      </c>
      <c r="O334" s="0" t="str">
        <f aca="false" t="array" ref="O334:O334">IF(N334&lt;&gt;"",N334,_xlfn.xlookup(1,(L334:L1333=L334)*(N334:N1333&lt;&gt;""),N334:N1333,"Not Found"))</f>
        <v>Isaac Bobo</v>
      </c>
      <c r="P334" s="4" t="n">
        <v>96732</v>
      </c>
      <c r="Q334" s="0" t="s">
        <v>166</v>
      </c>
      <c r="R334" s="0" t="str">
        <f aca="false">PROPER(Q334)</f>
        <v>Transfer</v>
      </c>
      <c r="S334" s="0" t="s">
        <v>50</v>
      </c>
      <c r="T334" s="0" t="n">
        <v>2</v>
      </c>
      <c r="U334" s="5" t="n">
        <f aca="false">IF(ISBLANK(T334),AVERAGE(T334:T1333),T334)</f>
        <v>2</v>
      </c>
      <c r="V334" s="0" t="n">
        <v>5.2</v>
      </c>
      <c r="W334" s="0" t="s">
        <v>92</v>
      </c>
      <c r="X334" s="0" t="str">
        <f aca="false">IF(ISBLANK(W334),"No remarks",W334)</f>
        <v>Urgent service</v>
      </c>
      <c r="Y334" s="0" t="s">
        <v>93</v>
      </c>
      <c r="AA334" s="0" t="str">
        <f aca="false">PROPER(IF(ISBLANK(Z334),"Location Unavailable",Z334))</f>
        <v>Location Unavailable</v>
      </c>
      <c r="AB334" s="0" t="s">
        <v>95</v>
      </c>
      <c r="AC334" s="6" t="str">
        <f aca="false">PROPER(AB334)</f>
        <v>Road Sign</v>
      </c>
      <c r="AE334" s="5" t="n">
        <f aca="false">IF(ISBLANK(AD334),AVERAGEIF(L334:L1333,L334,AD334:AD1333),AD334)</f>
        <v>37.1052631578947</v>
      </c>
      <c r="AF334" s="0" t="s">
        <v>112</v>
      </c>
      <c r="AG334" s="0" t="str">
        <f aca="false">PROPER(AF334)</f>
        <v>Unavailable</v>
      </c>
      <c r="AH334" s="0" t="s">
        <v>148</v>
      </c>
      <c r="AI334" s="0" t="s">
        <v>128</v>
      </c>
      <c r="AJ334" s="0" t="str">
        <f aca="false">PROPER(AI334)</f>
        <v>Normal</v>
      </c>
      <c r="AK334" s="0" t="s">
        <v>196</v>
      </c>
      <c r="AL334" s="0" t="str">
        <f aca="false">PROPER(AK334)</f>
        <v>First Time</v>
      </c>
      <c r="AM334" s="0" t="s">
        <v>2324</v>
      </c>
      <c r="AN334" s="0" t="str">
        <f aca="false">IF(ISBLANK(AM334),"Unknown",AM334)</f>
        <v>Logistics Convoy</v>
      </c>
      <c r="AO334" s="0" t="s">
        <v>79</v>
      </c>
      <c r="AP334" s="0" t="str">
        <f aca="false">IF(ISBLANK(AO334),"Unknown",AO334)</f>
        <v>Specialist</v>
      </c>
      <c r="AQ334" s="0" t="n">
        <v>20000</v>
      </c>
      <c r="AR334" s="5" t="n">
        <f aca="false">IF(ISBLANK(AQ334),AVERAGEIF(M334:M1333,M334,AQ334:AQ1333),AQ334)</f>
        <v>20000</v>
      </c>
      <c r="AT334" s="5" t="n">
        <f aca="false">IF(ISBLANK(AS334),AVERAGE(AS334:AS1333),AS334)</f>
        <v>31420.8633093525</v>
      </c>
      <c r="AU334" s="0" t="s">
        <v>63</v>
      </c>
      <c r="AV334" s="0" t="str">
        <f aca="false">PROPER(IF(ISBLANK(AU334),"No",AU334))</f>
        <v>Yes</v>
      </c>
      <c r="AW334" s="0" t="n">
        <v>10000</v>
      </c>
      <c r="AX334" s="5" t="n">
        <f aca="false">IF(ISBLANK(AW334),0,AW334)</f>
        <v>10000</v>
      </c>
      <c r="AY334" s="0" t="s">
        <v>130</v>
      </c>
      <c r="AZ334" s="0" t="str">
        <f aca="false">UPPER(IF(ISBLANK(AY334),"NONE",AY334))</f>
        <v>LOYALTY10</v>
      </c>
      <c r="BB334" s="7" t="str">
        <f aca="false">IF(ISBLANK(BA334),"No Follow Up Needed",BA334)</f>
        <v>No Follow Up Needed</v>
      </c>
      <c r="BD334" s="0" t="str">
        <f aca="false">PROPER(IF(ISBLANK(BC334),"Unknown",BC334))</f>
        <v>Unknown</v>
      </c>
      <c r="BF334" s="0" t="str">
        <f aca="false">IF(ISBLANK(BE334),"No comments",BE334)</f>
        <v>No comments</v>
      </c>
      <c r="BH334" s="0" t="str">
        <f aca="false">IF(ISBLANK(BG334),"No comments",BG334)</f>
        <v>No comments</v>
      </c>
      <c r="BJ334" s="0" t="str">
        <f aca="false">IF(ISBLANK(BI334),"Not Mentioned",BI334)</f>
        <v>Not Mentioned</v>
      </c>
      <c r="BL334" s="0" t="str">
        <f aca="false">PROPER(IF(ISBLANK(BK334),"Not Mentioned",BK334))</f>
        <v>Not Mentioned</v>
      </c>
      <c r="BM334" s="0" t="s">
        <v>63</v>
      </c>
      <c r="BN334" s="0" t="str">
        <f aca="false">PROPER(IF(ISBLANK(BM334),"Not Mentioned",BM334))</f>
        <v>Yes</v>
      </c>
      <c r="BO334" s="0" t="s">
        <v>64</v>
      </c>
      <c r="BP334" s="0" t="str">
        <f aca="false">IF(ISBLANK(BO334),"One-Time Plan",BO334)</f>
        <v>Gold Maintenance Plan</v>
      </c>
      <c r="BR334" s="0" t="str">
        <f aca="false">PROPER(IF(ISBLANK(BQ334),"No",BQ334))</f>
        <v>No</v>
      </c>
    </row>
    <row r="335" customFormat="false" ht="15" hidden="false" customHeight="false" outlineLevel="0" collapsed="false">
      <c r="A335" s="0" t="s">
        <v>925</v>
      </c>
      <c r="B335" s="2" t="s">
        <v>669</v>
      </c>
      <c r="C335" s="2" t="str">
        <f aca="false">TEXT(B335,"dd/mm/yyyy")</f>
        <v>16/04/2025</v>
      </c>
      <c r="D335" s="0" t="s">
        <v>121</v>
      </c>
      <c r="E335" s="0" t="n">
        <v>8081738111</v>
      </c>
      <c r="F335" s="0" t="s">
        <v>139</v>
      </c>
      <c r="G335" s="0" t="s">
        <v>2323</v>
      </c>
      <c r="H335" s="0" t="s">
        <v>926</v>
      </c>
      <c r="I335" s="0" t="s">
        <v>69</v>
      </c>
      <c r="J335" s="0" t="s">
        <v>2325</v>
      </c>
      <c r="K335" s="3" t="str">
        <f aca="false" t="array" ref="K335:K335">IFERROR(IF(J335&lt;&gt;"",J335,INDEX(J335:J1334,MATCH(1,(F335:F1334=F335)*(I335:I1334=I335)*(L335:L1334=L335)*(J335:J1334&lt;&gt;""),0))),"Not Found")</f>
        <v>Engine Knocking</v>
      </c>
      <c r="L335" s="3" t="s">
        <v>154</v>
      </c>
      <c r="M335" s="0" t="str">
        <f aca="false">PROPER(L335)</f>
        <v>Air Filter</v>
      </c>
      <c r="N335" s="3" t="s">
        <v>109</v>
      </c>
      <c r="O335" s="0" t="str">
        <f aca="false" t="array" ref="O335:O335">IF(N335&lt;&gt;"",N335,_xlfn.xlookup(1,(L335:L1334=L335)*(N335:N1334&lt;&gt;""),N335:N1334,"Not Found"))</f>
        <v>Tijani</v>
      </c>
      <c r="P335" s="4" t="n">
        <v>107331</v>
      </c>
      <c r="Q335" s="0" t="s">
        <v>124</v>
      </c>
      <c r="R335" s="0" t="str">
        <f aca="false">PROPER(Q335)</f>
        <v>Cash</v>
      </c>
      <c r="S335" s="0" t="s">
        <v>50</v>
      </c>
      <c r="T335" s="0" t="n">
        <v>5</v>
      </c>
      <c r="U335" s="5" t="n">
        <f aca="false">IF(ISBLANK(T335),AVERAGE(T335:T1334),T335)</f>
        <v>5</v>
      </c>
      <c r="V335" s="0" t="n">
        <v>1.3</v>
      </c>
      <c r="W335" s="0" t="s">
        <v>92</v>
      </c>
      <c r="X335" s="0" t="str">
        <f aca="false">IF(ISBLANK(W335),"No remarks",W335)</f>
        <v>Urgent service</v>
      </c>
      <c r="Y335" s="0" t="s">
        <v>52</v>
      </c>
      <c r="AA335" s="0" t="str">
        <f aca="false">PROPER(IF(ISBLANK(Z335),"Location Unavailable",Z335))</f>
        <v>Location Unavailable</v>
      </c>
      <c r="AB335" s="0" t="s">
        <v>54</v>
      </c>
      <c r="AC335" s="6" t="str">
        <f aca="false">PROPER(AB335)</f>
        <v>Mechanic Referral</v>
      </c>
      <c r="AD335" s="6" t="n">
        <v>15</v>
      </c>
      <c r="AE335" s="5" t="n">
        <f aca="false">IF(ISBLANK(AD335),AVERAGEIF(L335:L1334,L335,AD335:AD1334),AD335)</f>
        <v>15</v>
      </c>
      <c r="AF335" s="0" t="s">
        <v>160</v>
      </c>
      <c r="AG335" s="0" t="str">
        <f aca="false">PROPER(AF335)</f>
        <v>Availaible</v>
      </c>
      <c r="AH335" s="0" t="s">
        <v>77</v>
      </c>
      <c r="AI335" s="0" t="s">
        <v>113</v>
      </c>
      <c r="AJ335" s="0" t="str">
        <f aca="false">PROPER(AI335)</f>
        <v>Normal</v>
      </c>
      <c r="AK335" s="0" t="s">
        <v>196</v>
      </c>
      <c r="AL335" s="0" t="str">
        <f aca="false">PROPER(AK335)</f>
        <v>First Time</v>
      </c>
      <c r="AM335" s="0" t="s">
        <v>2324</v>
      </c>
      <c r="AN335" s="0" t="str">
        <f aca="false">IF(ISBLANK(AM335),"Unknown",AM335)</f>
        <v>Logistics Convoy</v>
      </c>
      <c r="AO335" s="0" t="s">
        <v>161</v>
      </c>
      <c r="AP335" s="0" t="str">
        <f aca="false">IF(ISBLANK(AO335),"Unknown",AO335)</f>
        <v>Apprentice</v>
      </c>
      <c r="AR335" s="5" t="n">
        <f aca="false">IF(ISBLANK(AQ335),AVERAGEIF(M335:M1334,M335,AQ335:AQ1334),AQ335)</f>
        <v>26595.7446808511</v>
      </c>
      <c r="AS335" s="0" t="n">
        <v>35000</v>
      </c>
      <c r="AT335" s="5" t="n">
        <f aca="false">IF(ISBLANK(AS335),AVERAGE(AS335:AS1334),AS335)</f>
        <v>35000</v>
      </c>
      <c r="AU335" s="0" t="s">
        <v>63</v>
      </c>
      <c r="AV335" s="0" t="str">
        <f aca="false">PROPER(IF(ISBLANK(AU335),"No",AU335))</f>
        <v>Yes</v>
      </c>
      <c r="AW335" s="0" t="n">
        <v>0</v>
      </c>
      <c r="AX335" s="5" t="n">
        <f aca="false">IF(ISBLANK(AW335),0,AW335)</f>
        <v>0</v>
      </c>
      <c r="AY335" s="0" t="s">
        <v>60</v>
      </c>
      <c r="AZ335" s="0" t="str">
        <f aca="false">UPPER(IF(ISBLANK(AY335),"NONE",AY335))</f>
        <v>NONE</v>
      </c>
      <c r="BB335" s="7" t="str">
        <f aca="false">IF(ISBLANK(BA335),"No Follow Up Needed",BA335)</f>
        <v>No Follow Up Needed</v>
      </c>
      <c r="BC335" s="0" t="s">
        <v>82</v>
      </c>
      <c r="BD335" s="0" t="str">
        <f aca="false">PROPER(IF(ISBLANK(BC335),"Unknown",BC335))</f>
        <v>Yes</v>
      </c>
      <c r="BF335" s="0" t="str">
        <f aca="false">IF(ISBLANK(BE335),"No comments",BE335)</f>
        <v>No comments</v>
      </c>
      <c r="BG335" s="0" t="s">
        <v>172</v>
      </c>
      <c r="BH335" s="0" t="str">
        <f aca="false">IF(ISBLANK(BG335),"No comments",BG335)</f>
        <v>Always late</v>
      </c>
      <c r="BI335" s="0" t="s">
        <v>63</v>
      </c>
      <c r="BJ335" s="0" t="str">
        <f aca="false">IF(ISBLANK(BI335),"Not Mentioned",BI335)</f>
        <v>Yes</v>
      </c>
      <c r="BK335" s="0" t="s">
        <v>63</v>
      </c>
      <c r="BL335" s="0" t="str">
        <f aca="false">PROPER(IF(ISBLANK(BK335),"Not Mentioned",BK335))</f>
        <v>Yes</v>
      </c>
      <c r="BM335" s="0" t="s">
        <v>50</v>
      </c>
      <c r="BN335" s="0" t="str">
        <f aca="false">PROPER(IF(ISBLANK(BM335),"Not Mentioned",BM335))</f>
        <v>No</v>
      </c>
      <c r="BO335" s="0" t="s">
        <v>64</v>
      </c>
      <c r="BP335" s="0" t="str">
        <f aca="false">IF(ISBLANK(BO335),"One-Time Plan",BO335)</f>
        <v>Gold Maintenance Plan</v>
      </c>
      <c r="BQ335" s="0" t="s">
        <v>50</v>
      </c>
      <c r="BR335" s="0" t="str">
        <f aca="false">PROPER(IF(ISBLANK(BQ335),"No",BQ335))</f>
        <v>No</v>
      </c>
    </row>
    <row r="336" customFormat="false" ht="15" hidden="false" customHeight="false" outlineLevel="0" collapsed="false">
      <c r="A336" s="0" t="s">
        <v>927</v>
      </c>
      <c r="B336" s="2" t="n">
        <v>45719</v>
      </c>
      <c r="C336" s="2" t="str">
        <f aca="false">TEXT(B336,"dd/mm/yyyy")</f>
        <v>03/03/2025</v>
      </c>
      <c r="D336" s="0" t="s">
        <v>42</v>
      </c>
      <c r="E336" s="0" t="n">
        <v>8061866272</v>
      </c>
      <c r="F336" s="0" t="s">
        <v>85</v>
      </c>
      <c r="G336" s="0" t="s">
        <v>2319</v>
      </c>
      <c r="H336" s="0" t="s">
        <v>928</v>
      </c>
      <c r="I336" s="0" t="s">
        <v>45</v>
      </c>
      <c r="J336" s="0" t="s">
        <v>2325</v>
      </c>
      <c r="K336" s="3" t="str">
        <f aca="false" t="array" ref="K336:K336">IFERROR(IF(J336&lt;&gt;"",J336,INDEX(J336:J1335,MATCH(1,(F336:F1335=F336)*(I336:I1335=I336)*(L336:L1335=L336)*(J336:J1335&lt;&gt;""),0))),"Not Found")</f>
        <v>Engine Knocking</v>
      </c>
      <c r="L336" s="3" t="s">
        <v>154</v>
      </c>
      <c r="M336" s="0" t="str">
        <f aca="false">PROPER(L336)</f>
        <v>Air Filter</v>
      </c>
      <c r="N336" s="3" t="s">
        <v>109</v>
      </c>
      <c r="O336" s="0" t="str">
        <f aca="false" t="array" ref="O336:O336">IF(N336&lt;&gt;"",N336,_xlfn.xlookup(1,(L336:L1335=L336)*(N336:N1335&lt;&gt;""),N336:N1335,"Not Found"))</f>
        <v>Tijani</v>
      </c>
      <c r="P336" s="4" t="n">
        <v>79357</v>
      </c>
      <c r="Q336" s="0" t="s">
        <v>110</v>
      </c>
      <c r="R336" s="0" t="str">
        <f aca="false">PROPER(Q336)</f>
        <v>Cash</v>
      </c>
      <c r="S336" s="0" t="s">
        <v>50</v>
      </c>
      <c r="T336" s="0" t="n">
        <v>3</v>
      </c>
      <c r="U336" s="5" t="n">
        <f aca="false">IF(ISBLANK(T336),AVERAGE(T336:T1335),T336)</f>
        <v>3</v>
      </c>
      <c r="V336" s="0" t="n">
        <v>1.7</v>
      </c>
      <c r="W336" s="0" t="s">
        <v>125</v>
      </c>
      <c r="X336" s="0" t="str">
        <f aca="false">IF(ISBLANK(W336),"No remarks",W336)</f>
        <v>Customer waited</v>
      </c>
      <c r="Y336" s="0" t="s">
        <v>73</v>
      </c>
      <c r="Z336" s="0" t="s">
        <v>53</v>
      </c>
      <c r="AA336" s="0" t="str">
        <f aca="false">PROPER(IF(ISBLANK(Z336),"Location Unavailable",Z336))</f>
        <v>Main Bay</v>
      </c>
      <c r="AB336" s="0" t="s">
        <v>75</v>
      </c>
      <c r="AC336" s="6" t="str">
        <f aca="false">PROPER(AB336)</f>
        <v>Mechanik Referal</v>
      </c>
      <c r="AE336" s="5" t="n">
        <f aca="false">IF(ISBLANK(AD336),AVERAGEIF(L336:L1335,L336,AD336:AD1335),AD336)</f>
        <v>37.6442307692308</v>
      </c>
      <c r="AF336" s="0" t="s">
        <v>112</v>
      </c>
      <c r="AG336" s="0" t="str">
        <f aca="false">PROPER(AF336)</f>
        <v>Unavailable</v>
      </c>
      <c r="AH336" s="0" t="s">
        <v>56</v>
      </c>
      <c r="AI336" s="0" t="s">
        <v>78</v>
      </c>
      <c r="AJ336" s="0" t="str">
        <f aca="false">PROPER(AI336)</f>
        <v>Booking</v>
      </c>
      <c r="AK336" s="0" t="s">
        <v>196</v>
      </c>
      <c r="AL336" s="0" t="str">
        <f aca="false">PROPER(AK336)</f>
        <v>First Time</v>
      </c>
      <c r="AM336" s="0" t="s">
        <v>177</v>
      </c>
      <c r="AN336" s="0" t="str">
        <f aca="false">IF(ISBLANK(AM336),"Unknown",AM336)</f>
        <v>Private</v>
      </c>
      <c r="AO336" s="0" t="s">
        <v>79</v>
      </c>
      <c r="AP336" s="0" t="str">
        <f aca="false">IF(ISBLANK(AO336),"Unknown",AO336)</f>
        <v>Specialist</v>
      </c>
      <c r="AR336" s="5" t="n">
        <f aca="false">IF(ISBLANK(AQ336),AVERAGEIF(M336:M1335,M336,AQ336:AQ1335),AQ336)</f>
        <v>26595.7446808511</v>
      </c>
      <c r="AS336" s="0" t="n">
        <v>40000</v>
      </c>
      <c r="AT336" s="5" t="n">
        <f aca="false">IF(ISBLANK(AS336),AVERAGE(AS336:AS1335),AS336)</f>
        <v>40000</v>
      </c>
      <c r="AV336" s="0" t="str">
        <f aca="false">PROPER(IF(ISBLANK(AU336),"No",AU336))</f>
        <v>No</v>
      </c>
      <c r="AW336" s="0" t="n">
        <v>10000</v>
      </c>
      <c r="AX336" s="5" t="n">
        <f aca="false">IF(ISBLANK(AW336),0,AW336)</f>
        <v>10000</v>
      </c>
      <c r="AY336" s="0" t="s">
        <v>184</v>
      </c>
      <c r="AZ336" s="0" t="str">
        <f aca="false">UPPER(IF(ISBLANK(AY336),"NONE",AY336))</f>
        <v>N/A</v>
      </c>
      <c r="BB336" s="7" t="str">
        <f aca="false">IF(ISBLANK(BA336),"No Follow Up Needed",BA336)</f>
        <v>No Follow Up Needed</v>
      </c>
      <c r="BC336" s="0" t="s">
        <v>63</v>
      </c>
      <c r="BD336" s="0" t="str">
        <f aca="false">PROPER(IF(ISBLANK(BC336),"Unknown",BC336))</f>
        <v>Yes</v>
      </c>
      <c r="BE336" s="0" t="s">
        <v>116</v>
      </c>
      <c r="BF336" s="0" t="str">
        <f aca="false">IF(ISBLANK(BE336),"No comments",BE336)</f>
        <v>Needs tire alignment</v>
      </c>
      <c r="BG336" s="0" t="s">
        <v>117</v>
      </c>
      <c r="BH336" s="0" t="str">
        <f aca="false">IF(ISBLANK(BG336),"No comments",BG336)</f>
        <v>Prefers morning</v>
      </c>
      <c r="BI336" s="0" t="s">
        <v>63</v>
      </c>
      <c r="BJ336" s="0" t="str">
        <f aca="false">IF(ISBLANK(BI336),"Not Mentioned",BI336)</f>
        <v>Yes</v>
      </c>
      <c r="BL336" s="0" t="str">
        <f aca="false">PROPER(IF(ISBLANK(BK336),"Not Mentioned",BK336))</f>
        <v>Not Mentioned</v>
      </c>
      <c r="BM336" s="0" t="s">
        <v>63</v>
      </c>
      <c r="BN336" s="0" t="str">
        <f aca="false">PROPER(IF(ISBLANK(BM336),"Not Mentioned",BM336))</f>
        <v>Yes</v>
      </c>
      <c r="BO336" s="0" t="s">
        <v>2321</v>
      </c>
      <c r="BP336" s="0" t="str">
        <f aca="false">IF(ISBLANK(BO336),"One-Time Plan",BO336)</f>
        <v>One-Time Plan</v>
      </c>
      <c r="BR336" s="0" t="str">
        <f aca="false">PROPER(IF(ISBLANK(BQ336),"No",BQ336))</f>
        <v>No</v>
      </c>
    </row>
    <row r="337" customFormat="false" ht="15" hidden="false" customHeight="false" outlineLevel="0" collapsed="false">
      <c r="A337" s="0" t="s">
        <v>929</v>
      </c>
      <c r="B337" s="2" t="n">
        <v>45754</v>
      </c>
      <c r="C337" s="2" t="str">
        <f aca="false">TEXT(B337,"dd/mm/yyyy")</f>
        <v>07/04/2025</v>
      </c>
      <c r="D337" s="0" t="s">
        <v>121</v>
      </c>
      <c r="E337" s="0" t="n">
        <v>8035278389</v>
      </c>
      <c r="F337" s="0" t="s">
        <v>67</v>
      </c>
      <c r="G337" s="0" t="s">
        <v>2316</v>
      </c>
      <c r="H337" s="0" t="s">
        <v>930</v>
      </c>
      <c r="I337" s="0" t="s">
        <v>45</v>
      </c>
      <c r="J337" s="0" t="s">
        <v>2325</v>
      </c>
      <c r="K337" s="3" t="str">
        <f aca="false" t="array" ref="K337:K337">IFERROR(IF(J337&lt;&gt;"",J337,INDEX(J337:J1336,MATCH(1,(F337:F1336=F337)*(I337:I1336=I337)*(L337:L1336=L337)*(J337:J1336&lt;&gt;""),0))),"Not Found")</f>
        <v>Engine Knocking</v>
      </c>
      <c r="L337" s="3" t="s">
        <v>189</v>
      </c>
      <c r="M337" s="0" t="str">
        <f aca="false">PROPER(L337)</f>
        <v>Battery</v>
      </c>
      <c r="O337" s="0" t="e">
        <f aca="false" t="array" ref="O337:O337">IF(N337&lt;&gt;"",N337,_xlfn.xlookup(1,(L337:L1336=L337)*(N337:N1336&lt;&gt;""),N337:N1336,"Not Found"))</f>
        <v>#NAME?</v>
      </c>
      <c r="P337" s="4" t="n">
        <v>109608</v>
      </c>
      <c r="Q337" s="0" t="s">
        <v>110</v>
      </c>
      <c r="R337" s="0" t="str">
        <f aca="false">PROPER(Q337)</f>
        <v>Cash</v>
      </c>
      <c r="S337" s="0" t="s">
        <v>63</v>
      </c>
      <c r="T337" s="0" t="n">
        <v>4</v>
      </c>
      <c r="U337" s="5" t="n">
        <f aca="false">IF(ISBLANK(T337),AVERAGE(T337:T1336),T337)</f>
        <v>4</v>
      </c>
      <c r="V337" s="0" t="n">
        <v>3.2</v>
      </c>
      <c r="W337" s="0" t="s">
        <v>111</v>
      </c>
      <c r="X337" s="0" t="str">
        <f aca="false">IF(ISBLANK(W337),"No remarks",W337)</f>
        <v>Changed all filters</v>
      </c>
      <c r="Y337" s="0" t="s">
        <v>93</v>
      </c>
      <c r="Z337" s="0" t="s">
        <v>53</v>
      </c>
      <c r="AA337" s="0" t="str">
        <f aca="false">PROPER(IF(ISBLANK(Z337),"Location Unavailable",Z337))</f>
        <v>Main Bay</v>
      </c>
      <c r="AB337" s="0" t="s">
        <v>75</v>
      </c>
      <c r="AC337" s="6" t="str">
        <f aca="false">PROPER(AB337)</f>
        <v>Mechanik Referal</v>
      </c>
      <c r="AD337" s="6" t="n">
        <v>45</v>
      </c>
      <c r="AE337" s="5" t="n">
        <f aca="false">IF(ISBLANK(AD337),AVERAGEIF(L337:L1336,L337,AD337:AD1336),AD337)</f>
        <v>45</v>
      </c>
      <c r="AF337" s="0" t="s">
        <v>112</v>
      </c>
      <c r="AG337" s="0" t="str">
        <f aca="false">PROPER(AF337)</f>
        <v>Unavailable</v>
      </c>
      <c r="AH337" s="0" t="s">
        <v>155</v>
      </c>
      <c r="AI337" s="0" t="s">
        <v>98</v>
      </c>
      <c r="AJ337" s="0" t="str">
        <f aca="false">PROPER(AI337)</f>
        <v>Emergency</v>
      </c>
      <c r="AK337" s="0" t="s">
        <v>196</v>
      </c>
      <c r="AL337" s="0" t="str">
        <f aca="false">PROPER(AK337)</f>
        <v>First Time</v>
      </c>
      <c r="AN337" s="0" t="str">
        <f aca="false">IF(ISBLANK(AM337),"Unknown",AM337)</f>
        <v>Unknown</v>
      </c>
      <c r="AO337" s="0" t="s">
        <v>161</v>
      </c>
      <c r="AP337" s="0" t="str">
        <f aca="false">IF(ISBLANK(AO337),"Unknown",AO337)</f>
        <v>Apprentice</v>
      </c>
      <c r="AQ337" s="0" t="n">
        <v>30000</v>
      </c>
      <c r="AR337" s="5" t="n">
        <f aca="false">IF(ISBLANK(AQ337),AVERAGEIF(M337:M1336,M337,AQ337:AQ1336),AQ337)</f>
        <v>30000</v>
      </c>
      <c r="AS337" s="0" t="n">
        <v>30000</v>
      </c>
      <c r="AT337" s="5" t="n">
        <f aca="false">IF(ISBLANK(AS337),AVERAGE(AS337:AS1336),AS337)</f>
        <v>30000</v>
      </c>
      <c r="AU337" s="0" t="s">
        <v>82</v>
      </c>
      <c r="AV337" s="0" t="str">
        <f aca="false">PROPER(IF(ISBLANK(AU337),"No",AU337))</f>
        <v>Yes</v>
      </c>
      <c r="AW337" s="0" t="n">
        <v>5000</v>
      </c>
      <c r="AX337" s="5" t="n">
        <f aca="false">IF(ISBLANK(AW337),0,AW337)</f>
        <v>5000</v>
      </c>
      <c r="AZ337" s="0" t="str">
        <f aca="false">UPPER(IF(ISBLANK(AY337),"NONE",AY337))</f>
        <v>NONE</v>
      </c>
      <c r="BA337" s="7" t="n">
        <v>45906</v>
      </c>
      <c r="BB337" s="7" t="n">
        <f aca="false">IF(ISBLANK(BA337),"No Follow Up Needed",BA337)</f>
        <v>45906</v>
      </c>
      <c r="BC337" s="0" t="s">
        <v>61</v>
      </c>
      <c r="BD337" s="0" t="str">
        <f aca="false">PROPER(IF(ISBLANK(BC337),"Unknown",BC337))</f>
        <v>No</v>
      </c>
      <c r="BE337" s="0" t="s">
        <v>116</v>
      </c>
      <c r="BF337" s="0" t="str">
        <f aca="false">IF(ISBLANK(BE337),"No comments",BE337)</f>
        <v>Needs tire alignment</v>
      </c>
      <c r="BH337" s="0" t="str">
        <f aca="false">IF(ISBLANK(BG337),"No comments",BG337)</f>
        <v>No comments</v>
      </c>
      <c r="BJ337" s="0" t="str">
        <f aca="false">IF(ISBLANK(BI337),"Not Mentioned",BI337)</f>
        <v>Not Mentioned</v>
      </c>
      <c r="BK337" s="0" t="s">
        <v>50</v>
      </c>
      <c r="BL337" s="0" t="str">
        <f aca="false">PROPER(IF(ISBLANK(BK337),"Not Mentioned",BK337))</f>
        <v>No</v>
      </c>
      <c r="BM337" s="0" t="s">
        <v>50</v>
      </c>
      <c r="BN337" s="0" t="str">
        <f aca="false">PROPER(IF(ISBLANK(BM337),"Not Mentioned",BM337))</f>
        <v>No</v>
      </c>
      <c r="BO337" s="0" t="s">
        <v>2321</v>
      </c>
      <c r="BP337" s="0" t="str">
        <f aca="false">IF(ISBLANK(BO337),"One-Time Plan",BO337)</f>
        <v>One-Time Plan</v>
      </c>
      <c r="BQ337" s="0" t="s">
        <v>63</v>
      </c>
      <c r="BR337" s="0" t="str">
        <f aca="false">PROPER(IF(ISBLANK(BQ337),"No",BQ337))</f>
        <v>Yes</v>
      </c>
    </row>
    <row r="338" customFormat="false" ht="15" hidden="false" customHeight="false" outlineLevel="0" collapsed="false">
      <c r="A338" s="0" t="s">
        <v>931</v>
      </c>
      <c r="B338" s="2" t="n">
        <v>45720</v>
      </c>
      <c r="C338" s="2" t="str">
        <f aca="false">TEXT(B338,"dd/mm/yyyy")</f>
        <v>04/03/2025</v>
      </c>
      <c r="D338" s="0" t="s">
        <v>121</v>
      </c>
      <c r="E338" s="0" t="n">
        <v>8073723578</v>
      </c>
      <c r="F338" s="0" t="s">
        <v>43</v>
      </c>
      <c r="G338" s="0" t="s">
        <v>2315</v>
      </c>
      <c r="H338" s="0" t="s">
        <v>932</v>
      </c>
      <c r="I338" s="0" t="s">
        <v>107</v>
      </c>
      <c r="J338" s="0" t="s">
        <v>2317</v>
      </c>
      <c r="K338" s="3" t="str">
        <f aca="false" t="array" ref="K338:K338">IFERROR(IF(J338&lt;&gt;"",J338,INDEX(J338:J1337,MATCH(1,(F338:F1337=F338)*(I338:I1337=I338)*(L338:L1337=L338)*(J338:J1337&lt;&gt;""),0))),"Not Found")</f>
        <v>Suspension Noise</v>
      </c>
      <c r="L338" s="3" t="s">
        <v>47</v>
      </c>
      <c r="M338" s="0" t="str">
        <f aca="false">PROPER(L338)</f>
        <v>None</v>
      </c>
      <c r="N338" s="3" t="s">
        <v>48</v>
      </c>
      <c r="O338" s="0" t="str">
        <f aca="false" t="array" ref="O338:O338">IF(N338&lt;&gt;"",N338,_xlfn.xlookup(1,(L338:L1337=L338)*(N338:N1337&lt;&gt;""),N338:N1337,"Not Found"))</f>
        <v>Uche</v>
      </c>
      <c r="P338" s="4" t="n">
        <v>67361</v>
      </c>
      <c r="Q338" s="0" t="s">
        <v>72</v>
      </c>
      <c r="R338" s="0" t="str">
        <f aca="false">PROPER(Q338)</f>
        <v>Pos</v>
      </c>
      <c r="S338" s="0" t="s">
        <v>63</v>
      </c>
      <c r="T338" s="0" t="n">
        <v>1</v>
      </c>
      <c r="U338" s="5" t="n">
        <f aca="false">IF(ISBLANK(T338),AVERAGE(T338:T1337),T338)</f>
        <v>1</v>
      </c>
      <c r="V338" s="0" t="n">
        <v>3.9</v>
      </c>
      <c r="W338" s="0" t="s">
        <v>92</v>
      </c>
      <c r="X338" s="0" t="str">
        <f aca="false">IF(ISBLANK(W338),"No remarks",W338)</f>
        <v>Urgent service</v>
      </c>
      <c r="Y338" s="0" t="s">
        <v>52</v>
      </c>
      <c r="Z338" s="0" t="s">
        <v>74</v>
      </c>
      <c r="AA338" s="0" t="str">
        <f aca="false">PROPER(IF(ISBLANK(Z338),"Location Unavailable",Z338))</f>
        <v>Under Tree</v>
      </c>
      <c r="AB338" s="0" t="s">
        <v>147</v>
      </c>
      <c r="AC338" s="6" t="str">
        <f aca="false">PROPER(AB338)</f>
        <v>Instagram</v>
      </c>
      <c r="AD338" s="6" t="n">
        <v>30</v>
      </c>
      <c r="AE338" s="5" t="n">
        <f aca="false">IF(ISBLANK(AD338),AVERAGEIF(L338:L1337,L338,AD338:AD1337),AD338)</f>
        <v>30</v>
      </c>
      <c r="AF338" s="0" t="s">
        <v>55</v>
      </c>
      <c r="AG338" s="0" t="str">
        <f aca="false">PROPER(AF338)</f>
        <v>Available</v>
      </c>
      <c r="AH338" s="0" t="s">
        <v>155</v>
      </c>
      <c r="AI338" s="0" t="s">
        <v>98</v>
      </c>
      <c r="AJ338" s="0" t="str">
        <f aca="false">PROPER(AI338)</f>
        <v>Emergency</v>
      </c>
      <c r="AK338" s="0" t="s">
        <v>196</v>
      </c>
      <c r="AL338" s="0" t="str">
        <f aca="false">PROPER(AK338)</f>
        <v>First Time</v>
      </c>
      <c r="AM338" s="0" t="s">
        <v>2326</v>
      </c>
      <c r="AN338" s="0" t="str">
        <f aca="false">IF(ISBLANK(AM338),"Unknown",AM338)</f>
        <v>Government Convoy</v>
      </c>
      <c r="AO338" s="0" t="s">
        <v>143</v>
      </c>
      <c r="AP338" s="0" t="str">
        <f aca="false">IF(ISBLANK(AO338),"Unknown",AO338)</f>
        <v>Senior</v>
      </c>
      <c r="AR338" s="5" t="n">
        <f aca="false">IF(ISBLANK(AQ338),AVERAGEIF(M338:M1337,M338,AQ338:AQ1337),AQ338)</f>
        <v>25882.3529411765</v>
      </c>
      <c r="AS338" s="0" t="n">
        <v>30000</v>
      </c>
      <c r="AT338" s="5" t="n">
        <f aca="false">IF(ISBLANK(AS338),AVERAGE(AS338:AS1337),AS338)</f>
        <v>30000</v>
      </c>
      <c r="AU338" s="0" t="s">
        <v>50</v>
      </c>
      <c r="AV338" s="0" t="str">
        <f aca="false">PROPER(IF(ISBLANK(AU338),"No",AU338))</f>
        <v>No</v>
      </c>
      <c r="AW338" s="0" t="n">
        <v>0</v>
      </c>
      <c r="AX338" s="5" t="n">
        <f aca="false">IF(ISBLANK(AW338),0,AW338)</f>
        <v>0</v>
      </c>
      <c r="AY338" s="0" t="s">
        <v>184</v>
      </c>
      <c r="AZ338" s="0" t="str">
        <f aca="false">UPPER(IF(ISBLANK(AY338),"NONE",AY338))</f>
        <v>N/A</v>
      </c>
      <c r="BA338" s="7" t="n">
        <v>45697</v>
      </c>
      <c r="BB338" s="7" t="n">
        <f aca="false">IF(ISBLANK(BA338),"No Follow Up Needed",BA338)</f>
        <v>45697</v>
      </c>
      <c r="BC338" s="0" t="s">
        <v>61</v>
      </c>
      <c r="BD338" s="0" t="str">
        <f aca="false">PROPER(IF(ISBLANK(BC338),"Unknown",BC338))</f>
        <v>No</v>
      </c>
      <c r="BF338" s="0" t="str">
        <f aca="false">IF(ISBLANK(BE338),"No comments",BE338)</f>
        <v>No comments</v>
      </c>
      <c r="BG338" s="0" t="s">
        <v>172</v>
      </c>
      <c r="BH338" s="0" t="str">
        <f aca="false">IF(ISBLANK(BG338),"No comments",BG338)</f>
        <v>Always late</v>
      </c>
      <c r="BJ338" s="0" t="str">
        <f aca="false">IF(ISBLANK(BI338),"Not Mentioned",BI338)</f>
        <v>Not Mentioned</v>
      </c>
      <c r="BK338" s="0" t="s">
        <v>82</v>
      </c>
      <c r="BL338" s="0" t="str">
        <f aca="false">PROPER(IF(ISBLANK(BK338),"Not Mentioned",BK338))</f>
        <v>Yes</v>
      </c>
      <c r="BM338" s="0" t="s">
        <v>50</v>
      </c>
      <c r="BN338" s="0" t="str">
        <f aca="false">PROPER(IF(ISBLANK(BM338),"Not Mentioned",BM338))</f>
        <v>No</v>
      </c>
      <c r="BO338" s="0" t="s">
        <v>2321</v>
      </c>
      <c r="BP338" s="0" t="str">
        <f aca="false">IF(ISBLANK(BO338),"One-Time Plan",BO338)</f>
        <v>One-Time Plan</v>
      </c>
      <c r="BQ338" s="0" t="s">
        <v>198</v>
      </c>
      <c r="BR338" s="0" t="str">
        <f aca="false">PROPER(IF(ISBLANK(BQ338),"No",BQ338))</f>
        <v>Followed Up</v>
      </c>
    </row>
    <row r="339" customFormat="false" ht="15" hidden="false" customHeight="false" outlineLevel="0" collapsed="false">
      <c r="A339" s="0" t="s">
        <v>933</v>
      </c>
      <c r="B339" s="2" t="n">
        <v>45658</v>
      </c>
      <c r="C339" s="2" t="str">
        <f aca="false">TEXT(B339,"dd/mm/yyyy")</f>
        <v>01/01/2025</v>
      </c>
      <c r="D339" s="0" t="s">
        <v>66</v>
      </c>
      <c r="E339" s="0" t="n">
        <v>8024581193</v>
      </c>
      <c r="F339" s="0" t="s">
        <v>122</v>
      </c>
      <c r="G339" s="0" t="s">
        <v>2316</v>
      </c>
      <c r="H339" s="0" t="s">
        <v>934</v>
      </c>
      <c r="I339" s="0" t="s">
        <v>107</v>
      </c>
      <c r="J339" s="0" t="s">
        <v>87</v>
      </c>
      <c r="K339" s="3" t="str">
        <f aca="false" t="array" ref="K339:K339">IFERROR(IF(J339&lt;&gt;"",J339,INDEX(J339:J1338,MATCH(1,(F339:F1338=F339)*(I339:I1338=I339)*(L339:L1338=L339)*(J339:J1338&lt;&gt;""),0))),"Not Found")</f>
        <v>Oil Change</v>
      </c>
      <c r="L339" s="3" t="s">
        <v>154</v>
      </c>
      <c r="M339" s="0" t="str">
        <f aca="false">PROPER(L339)</f>
        <v>Air Filter</v>
      </c>
      <c r="O339" s="0" t="e">
        <f aca="false" t="array" ref="O339:O339">IF(N339&lt;&gt;"",N339,_xlfn.xlookup(1,(L339:L1338=L339)*(N339:N1338&lt;&gt;""),N339:N1338,"Not Found"))</f>
        <v>#NAME?</v>
      </c>
      <c r="P339" s="4" t="n">
        <v>42594</v>
      </c>
      <c r="Q339" s="0" t="s">
        <v>110</v>
      </c>
      <c r="R339" s="0" t="str">
        <f aca="false">PROPER(Q339)</f>
        <v>Cash</v>
      </c>
      <c r="S339" s="0" t="s">
        <v>50</v>
      </c>
      <c r="T339" s="0" t="n">
        <v>5</v>
      </c>
      <c r="U339" s="5" t="n">
        <f aca="false">IF(ISBLANK(T339),AVERAGE(T339:T1338),T339)</f>
        <v>5</v>
      </c>
      <c r="V339" s="0" t="n">
        <v>4.7</v>
      </c>
      <c r="X339" s="0" t="str">
        <f aca="false">IF(ISBLANK(W339),"No remarks",W339)</f>
        <v>No remarks</v>
      </c>
      <c r="Y339" s="0" t="s">
        <v>73</v>
      </c>
      <c r="Z339" s="0" t="s">
        <v>136</v>
      </c>
      <c r="AA339" s="0" t="str">
        <f aca="false">PROPER(IF(ISBLANK(Z339),"Location Unavailable",Z339))</f>
        <v>Vip Section</v>
      </c>
      <c r="AB339" s="0" t="s">
        <v>167</v>
      </c>
      <c r="AC339" s="6" t="str">
        <f aca="false">PROPER(AB339)</f>
        <v>Word Of Mouth</v>
      </c>
      <c r="AD339" s="6" t="n">
        <v>15</v>
      </c>
      <c r="AE339" s="5" t="n">
        <f aca="false">IF(ISBLANK(AD339),AVERAGEIF(L339:L1338,L339,AD339:AD1338),AD339)</f>
        <v>15</v>
      </c>
      <c r="AF339" s="0" t="s">
        <v>55</v>
      </c>
      <c r="AG339" s="0" t="str">
        <f aca="false">PROPER(AF339)</f>
        <v>Available</v>
      </c>
      <c r="AH339" s="0" t="s">
        <v>77</v>
      </c>
      <c r="AI339" s="0" t="s">
        <v>78</v>
      </c>
      <c r="AJ339" s="0" t="str">
        <f aca="false">PROPER(AI339)</f>
        <v>Booking</v>
      </c>
      <c r="AK339" s="0" t="s">
        <v>99</v>
      </c>
      <c r="AL339" s="0" t="str">
        <f aca="false">PROPER(AK339)</f>
        <v>Uber Driver</v>
      </c>
      <c r="AM339" s="0" t="s">
        <v>2326</v>
      </c>
      <c r="AN339" s="0" t="str">
        <f aca="false">IF(ISBLANK(AM339),"Unknown",AM339)</f>
        <v>Government Convoy</v>
      </c>
      <c r="AO339" s="0" t="s">
        <v>161</v>
      </c>
      <c r="AP339" s="0" t="str">
        <f aca="false">IF(ISBLANK(AO339),"Unknown",AO339)</f>
        <v>Apprentice</v>
      </c>
      <c r="AR339" s="5" t="n">
        <f aca="false">IF(ISBLANK(AQ339),AVERAGEIF(M339:M1338,M339,AQ339:AQ1338),AQ339)</f>
        <v>26595.7446808511</v>
      </c>
      <c r="AS339" s="0" t="n">
        <v>20000</v>
      </c>
      <c r="AT339" s="5" t="n">
        <f aca="false">IF(ISBLANK(AS339),AVERAGE(AS339:AS1338),AS339)</f>
        <v>20000</v>
      </c>
      <c r="AU339" s="0" t="s">
        <v>50</v>
      </c>
      <c r="AV339" s="0" t="str">
        <f aca="false">PROPER(IF(ISBLANK(AU339),"No",AU339))</f>
        <v>No</v>
      </c>
      <c r="AW339" s="0" t="n">
        <v>0</v>
      </c>
      <c r="AX339" s="5" t="n">
        <f aca="false">IF(ISBLANK(AW339),0,AW339)</f>
        <v>0</v>
      </c>
      <c r="AY339" s="0" t="s">
        <v>80</v>
      </c>
      <c r="AZ339" s="0" t="str">
        <f aca="false">UPPER(IF(ISBLANK(AY339),"NONE",AY339))</f>
        <v>PROMO10</v>
      </c>
      <c r="BB339" s="7" t="str">
        <f aca="false">IF(ISBLANK(BA339),"No Follow Up Needed",BA339)</f>
        <v>No Follow Up Needed</v>
      </c>
      <c r="BD339" s="0" t="str">
        <f aca="false">PROPER(IF(ISBLANK(BC339),"Unknown",BC339))</f>
        <v>Unknown</v>
      </c>
      <c r="BF339" s="0" t="str">
        <f aca="false">IF(ISBLANK(BE339),"No comments",BE339)</f>
        <v>No comments</v>
      </c>
      <c r="BG339" s="0" t="s">
        <v>172</v>
      </c>
      <c r="BH339" s="0" t="str">
        <f aca="false">IF(ISBLANK(BG339),"No comments",BG339)</f>
        <v>Always late</v>
      </c>
      <c r="BI339" s="0" t="s">
        <v>63</v>
      </c>
      <c r="BJ339" s="0" t="str">
        <f aca="false">IF(ISBLANK(BI339),"Not Mentioned",BI339)</f>
        <v>Yes</v>
      </c>
      <c r="BK339" s="0" t="s">
        <v>82</v>
      </c>
      <c r="BL339" s="0" t="str">
        <f aca="false">PROPER(IF(ISBLANK(BK339),"Not Mentioned",BK339))</f>
        <v>Yes</v>
      </c>
      <c r="BN339" s="0" t="str">
        <f aca="false">PROPER(IF(ISBLANK(BM339),"Not Mentioned",BM339))</f>
        <v>Not Mentioned</v>
      </c>
      <c r="BO339" s="0" t="s">
        <v>2321</v>
      </c>
      <c r="BP339" s="0" t="str">
        <f aca="false">IF(ISBLANK(BO339),"One-Time Plan",BO339)</f>
        <v>One-Time Plan</v>
      </c>
      <c r="BQ339" s="0" t="s">
        <v>50</v>
      </c>
      <c r="BR339" s="0" t="str">
        <f aca="false">PROPER(IF(ISBLANK(BQ339),"No",BQ339))</f>
        <v>No</v>
      </c>
    </row>
    <row r="340" customFormat="false" ht="15" hidden="false" customHeight="false" outlineLevel="0" collapsed="false">
      <c r="A340" s="0" t="s">
        <v>935</v>
      </c>
      <c r="B340" s="2" t="n">
        <v>45810</v>
      </c>
      <c r="C340" s="2" t="str">
        <f aca="false">TEXT(B340,"dd/mm/yyyy")</f>
        <v>02/06/2025</v>
      </c>
      <c r="D340" s="0" t="s">
        <v>105</v>
      </c>
      <c r="E340" s="0" t="n">
        <v>8054136340</v>
      </c>
      <c r="F340" s="0" t="s">
        <v>85</v>
      </c>
      <c r="G340" s="0" t="s">
        <v>2319</v>
      </c>
      <c r="H340" s="0" t="s">
        <v>936</v>
      </c>
      <c r="I340" s="0" t="s">
        <v>45</v>
      </c>
      <c r="J340" s="0" t="s">
        <v>2317</v>
      </c>
      <c r="K340" s="3" t="str">
        <f aca="false" t="array" ref="K340:K340">IFERROR(IF(J340&lt;&gt;"",J340,INDEX(J340:J1339,MATCH(1,(F340:F1339=F340)*(I340:I1339=I340)*(L340:L1339=L340)*(J340:J1339&lt;&gt;""),0))),"Not Found")</f>
        <v>Suspension Noise</v>
      </c>
      <c r="L340" s="3" t="s">
        <v>108</v>
      </c>
      <c r="M340" s="0" t="str">
        <f aca="false">PROPER(L340)</f>
        <v>Timing Belt</v>
      </c>
      <c r="N340" s="3" t="s">
        <v>48</v>
      </c>
      <c r="O340" s="0" t="str">
        <f aca="false" t="array" ref="O340:O340">IF(N340&lt;&gt;"",N340,_xlfn.xlookup(1,(L340:L1339=L340)*(N340:N1339&lt;&gt;""),N340:N1339,"Not Found"))</f>
        <v>Uche</v>
      </c>
      <c r="P340" s="4" t="n">
        <v>35945</v>
      </c>
      <c r="Q340" s="0" t="s">
        <v>110</v>
      </c>
      <c r="R340" s="0" t="str">
        <f aca="false">PROPER(Q340)</f>
        <v>Cash</v>
      </c>
      <c r="S340" s="0" t="s">
        <v>63</v>
      </c>
      <c r="U340" s="5" t="n">
        <f aca="false">IF(ISBLANK(T340),AVERAGE(T340:T1339),T340)</f>
        <v>3.05321100917431</v>
      </c>
      <c r="V340" s="0" t="n">
        <v>4</v>
      </c>
      <c r="W340" s="0" t="s">
        <v>111</v>
      </c>
      <c r="X340" s="0" t="str">
        <f aca="false">IF(ISBLANK(W340),"No remarks",W340)</f>
        <v>Changed all filters</v>
      </c>
      <c r="Y340" s="0" t="s">
        <v>93</v>
      </c>
      <c r="Z340" s="0" t="s">
        <v>53</v>
      </c>
      <c r="AA340" s="0" t="str">
        <f aca="false">PROPER(IF(ISBLANK(Z340),"Location Unavailable",Z340))</f>
        <v>Main Bay</v>
      </c>
      <c r="AB340" s="0" t="s">
        <v>147</v>
      </c>
      <c r="AC340" s="6" t="str">
        <f aca="false">PROPER(AB340)</f>
        <v>Instagram</v>
      </c>
      <c r="AD340" s="6" t="n">
        <v>15</v>
      </c>
      <c r="AE340" s="5" t="n">
        <f aca="false">IF(ISBLANK(AD340),AVERAGEIF(L340:L1339,L340,AD340:AD1339),AD340)</f>
        <v>15</v>
      </c>
      <c r="AF340" s="0" t="s">
        <v>112</v>
      </c>
      <c r="AG340" s="0" t="str">
        <f aca="false">PROPER(AF340)</f>
        <v>Unavailable</v>
      </c>
      <c r="AH340" s="0" t="s">
        <v>148</v>
      </c>
      <c r="AI340" s="0" t="s">
        <v>98</v>
      </c>
      <c r="AJ340" s="0" t="str">
        <f aca="false">PROPER(AI340)</f>
        <v>Emergency</v>
      </c>
      <c r="AK340" s="0" t="s">
        <v>99</v>
      </c>
      <c r="AL340" s="0" t="str">
        <f aca="false">PROPER(AK340)</f>
        <v>Uber Driver</v>
      </c>
      <c r="AM340" s="0" t="s">
        <v>59</v>
      </c>
      <c r="AN340" s="0" t="str">
        <f aca="false">IF(ISBLANK(AM340),"Unknown",AM340)</f>
        <v>Bolt Driver</v>
      </c>
      <c r="AO340" s="0" t="s">
        <v>79</v>
      </c>
      <c r="AP340" s="0" t="str">
        <f aca="false">IF(ISBLANK(AO340),"Unknown",AO340)</f>
        <v>Specialist</v>
      </c>
      <c r="AQ340" s="0" t="n">
        <v>20000</v>
      </c>
      <c r="AR340" s="5" t="n">
        <f aca="false">IF(ISBLANK(AQ340),AVERAGEIF(M340:M1339,M340,AQ340:AQ1339),AQ340)</f>
        <v>20000</v>
      </c>
      <c r="AS340" s="0" t="n">
        <v>35000</v>
      </c>
      <c r="AT340" s="5" t="n">
        <f aca="false">IF(ISBLANK(AS340),AVERAGE(AS340:AS1339),AS340)</f>
        <v>35000</v>
      </c>
      <c r="AU340" s="0" t="s">
        <v>82</v>
      </c>
      <c r="AV340" s="0" t="str">
        <f aca="false">PROPER(IF(ISBLANK(AU340),"No",AU340))</f>
        <v>Yes</v>
      </c>
      <c r="AW340" s="0" t="n">
        <v>5000</v>
      </c>
      <c r="AX340" s="5" t="n">
        <f aca="false">IF(ISBLANK(AW340),0,AW340)</f>
        <v>5000</v>
      </c>
      <c r="AY340" s="0" t="s">
        <v>60</v>
      </c>
      <c r="AZ340" s="0" t="str">
        <f aca="false">UPPER(IF(ISBLANK(AY340),"NONE",AY340))</f>
        <v>NONE</v>
      </c>
      <c r="BA340" s="7" t="n">
        <v>45854</v>
      </c>
      <c r="BB340" s="7" t="n">
        <f aca="false">IF(ISBLANK(BA340),"No Follow Up Needed",BA340)</f>
        <v>45854</v>
      </c>
      <c r="BC340" s="0" t="s">
        <v>61</v>
      </c>
      <c r="BD340" s="0" t="str">
        <f aca="false">PROPER(IF(ISBLANK(BC340),"Unknown",BC340))</f>
        <v>No</v>
      </c>
      <c r="BF340" s="0" t="str">
        <f aca="false">IF(ISBLANK(BE340),"No comments",BE340)</f>
        <v>No comments</v>
      </c>
      <c r="BH340" s="0" t="str">
        <f aca="false">IF(ISBLANK(BG340),"No comments",BG340)</f>
        <v>No comments</v>
      </c>
      <c r="BI340" s="0" t="s">
        <v>50</v>
      </c>
      <c r="BJ340" s="0" t="str">
        <f aca="false">IF(ISBLANK(BI340),"Not Mentioned",BI340)</f>
        <v>No</v>
      </c>
      <c r="BK340" s="0" t="s">
        <v>50</v>
      </c>
      <c r="BL340" s="0" t="str">
        <f aca="false">PROPER(IF(ISBLANK(BK340),"Not Mentioned",BK340))</f>
        <v>No</v>
      </c>
      <c r="BN340" s="0" t="str">
        <f aca="false">PROPER(IF(ISBLANK(BM340),"Not Mentioned",BM340))</f>
        <v>Not Mentioned</v>
      </c>
      <c r="BP340" s="0" t="str">
        <f aca="false">IF(ISBLANK(BO340),"One-Time Plan",BO340)</f>
        <v>One-Time Plan</v>
      </c>
      <c r="BQ340" s="0" t="s">
        <v>198</v>
      </c>
      <c r="BR340" s="0" t="str">
        <f aca="false">PROPER(IF(ISBLANK(BQ340),"No",BQ340))</f>
        <v>Followed Up</v>
      </c>
    </row>
    <row r="341" customFormat="false" ht="15" hidden="false" customHeight="false" outlineLevel="0" collapsed="false">
      <c r="A341" s="0" t="s">
        <v>937</v>
      </c>
      <c r="B341" s="2" t="n">
        <v>45735</v>
      </c>
      <c r="C341" s="2" t="str">
        <f aca="false">TEXT(B341,"dd/mm/yyyy")</f>
        <v>19/03/2025</v>
      </c>
      <c r="D341" s="0" t="s">
        <v>105</v>
      </c>
      <c r="E341" s="0" t="n">
        <v>8086439010</v>
      </c>
      <c r="F341" s="0" t="s">
        <v>67</v>
      </c>
      <c r="G341" s="0" t="s">
        <v>2316</v>
      </c>
      <c r="H341" s="0" t="s">
        <v>938</v>
      </c>
      <c r="I341" s="0" t="s">
        <v>134</v>
      </c>
      <c r="J341" s="0" t="s">
        <v>2317</v>
      </c>
      <c r="K341" s="3" t="str">
        <f aca="false" t="array" ref="K341:K341">IFERROR(IF(J341&lt;&gt;"",J341,INDEX(J341:J1340,MATCH(1,(F341:F1340=F341)*(I341:I1340=I341)*(L341:L1340=L341)*(J341:J1340&lt;&gt;""),0))),"Not Found")</f>
        <v>Suspension Noise</v>
      </c>
      <c r="L341" s="3" t="s">
        <v>108</v>
      </c>
      <c r="M341" s="0" t="str">
        <f aca="false">PROPER(L341)</f>
        <v>Timing Belt</v>
      </c>
      <c r="N341" s="3" t="s">
        <v>71</v>
      </c>
      <c r="O341" s="0" t="str">
        <f aca="false" t="array" ref="O341:O341">IF(N341&lt;&gt;"",N341,_xlfn.xlookup(1,(L341:L1340=L341)*(N341:N1340&lt;&gt;""),N341:N1340,"Not Found"))</f>
        <v>Isaac Bobo</v>
      </c>
      <c r="P341" s="4" t="n">
        <v>91654</v>
      </c>
      <c r="Q341" s="0" t="s">
        <v>124</v>
      </c>
      <c r="R341" s="0" t="str">
        <f aca="false">PROPER(Q341)</f>
        <v>Cash</v>
      </c>
      <c r="S341" s="0" t="s">
        <v>63</v>
      </c>
      <c r="T341" s="0" t="n">
        <v>1</v>
      </c>
      <c r="U341" s="5" t="n">
        <f aca="false">IF(ISBLANK(T341),AVERAGE(T341:T1340),T341)</f>
        <v>1</v>
      </c>
      <c r="V341" s="0" t="n">
        <v>5.5</v>
      </c>
      <c r="W341" s="0" t="s">
        <v>51</v>
      </c>
      <c r="X341" s="0" t="str">
        <f aca="false">IF(ISBLANK(W341),"No remarks",W341)</f>
        <v>Recommended further checks</v>
      </c>
      <c r="Y341" s="0" t="s">
        <v>73</v>
      </c>
      <c r="Z341" s="0" t="s">
        <v>94</v>
      </c>
      <c r="AA341" s="0" t="str">
        <f aca="false">PROPER(IF(ISBLANK(Z341),"Location Unavailable",Z341))</f>
        <v>Vip Section</v>
      </c>
      <c r="AB341" s="0" t="s">
        <v>54</v>
      </c>
      <c r="AC341" s="6" t="str">
        <f aca="false">PROPER(AB341)</f>
        <v>Mechanic Referral</v>
      </c>
      <c r="AD341" s="6" t="n">
        <v>45</v>
      </c>
      <c r="AE341" s="5" t="n">
        <f aca="false">IF(ISBLANK(AD341),AVERAGEIF(L341:L1340,L341,AD341:AD1340),AD341)</f>
        <v>45</v>
      </c>
      <c r="AF341" s="0" t="s">
        <v>76</v>
      </c>
      <c r="AG341" s="0" t="str">
        <f aca="false">PROPER(AF341)</f>
        <v>Orderd</v>
      </c>
      <c r="AH341" s="0" t="s">
        <v>155</v>
      </c>
      <c r="AI341" s="0" t="s">
        <v>98</v>
      </c>
      <c r="AJ341" s="0" t="str">
        <f aca="false">PROPER(AI341)</f>
        <v>Emergency</v>
      </c>
      <c r="AK341" s="0" t="s">
        <v>58</v>
      </c>
      <c r="AL341" s="0" t="str">
        <f aca="false">PROPER(AK341)</f>
        <v>Fleet Owner</v>
      </c>
      <c r="AN341" s="0" t="str">
        <f aca="false">IF(ISBLANK(AM341),"Unknown",AM341)</f>
        <v>Unknown</v>
      </c>
      <c r="AO341" s="0" t="s">
        <v>161</v>
      </c>
      <c r="AP341" s="0" t="str">
        <f aca="false">IF(ISBLANK(AO341),"Unknown",AO341)</f>
        <v>Apprentice</v>
      </c>
      <c r="AQ341" s="0" t="n">
        <v>20000</v>
      </c>
      <c r="AR341" s="5" t="n">
        <f aca="false">IF(ISBLANK(AQ341),AVERAGEIF(M341:M1340,M341,AQ341:AQ1340),AQ341)</f>
        <v>20000</v>
      </c>
      <c r="AS341" s="0" t="n">
        <v>30000</v>
      </c>
      <c r="AT341" s="5" t="n">
        <f aca="false">IF(ISBLANK(AS341),AVERAGE(AS341:AS1340),AS341)</f>
        <v>30000</v>
      </c>
      <c r="AU341" s="0" t="s">
        <v>50</v>
      </c>
      <c r="AV341" s="0" t="str">
        <f aca="false">PROPER(IF(ISBLANK(AU341),"No",AU341))</f>
        <v>No</v>
      </c>
      <c r="AW341" s="0" t="n">
        <v>0</v>
      </c>
      <c r="AX341" s="5" t="n">
        <f aca="false">IF(ISBLANK(AW341),0,AW341)</f>
        <v>0</v>
      </c>
      <c r="AY341" s="0" t="s">
        <v>80</v>
      </c>
      <c r="AZ341" s="0" t="str">
        <f aca="false">UPPER(IF(ISBLANK(AY341),"NONE",AY341))</f>
        <v>PROMO10</v>
      </c>
      <c r="BA341" s="7" t="n">
        <v>45861</v>
      </c>
      <c r="BB341" s="7" t="n">
        <f aca="false">IF(ISBLANK(BA341),"No Follow Up Needed",BA341)</f>
        <v>45861</v>
      </c>
      <c r="BC341" s="0" t="s">
        <v>82</v>
      </c>
      <c r="BD341" s="0" t="str">
        <f aca="false">PROPER(IF(ISBLANK(BC341),"Unknown",BC341))</f>
        <v>Yes</v>
      </c>
      <c r="BE341" s="0" t="s">
        <v>171</v>
      </c>
      <c r="BF341" s="0" t="str">
        <f aca="false">IF(ISBLANK(BE341),"No comments",BE341)</f>
        <v>Shock absorber weakening</v>
      </c>
      <c r="BH341" s="0" t="str">
        <f aca="false">IF(ISBLANK(BG341),"No comments",BG341)</f>
        <v>No comments</v>
      </c>
      <c r="BI341" s="0" t="s">
        <v>50</v>
      </c>
      <c r="BJ341" s="0" t="str">
        <f aca="false">IF(ISBLANK(BI341),"Not Mentioned",BI341)</f>
        <v>No</v>
      </c>
      <c r="BK341" s="0" t="s">
        <v>82</v>
      </c>
      <c r="BL341" s="0" t="str">
        <f aca="false">PROPER(IF(ISBLANK(BK341),"Not Mentioned",BK341))</f>
        <v>Yes</v>
      </c>
      <c r="BN341" s="0" t="str">
        <f aca="false">PROPER(IF(ISBLANK(BM341),"Not Mentioned",BM341))</f>
        <v>Not Mentioned</v>
      </c>
      <c r="BO341" s="0" t="s">
        <v>2321</v>
      </c>
      <c r="BP341" s="0" t="str">
        <f aca="false">IF(ISBLANK(BO341),"One-Time Plan",BO341)</f>
        <v>One-Time Plan</v>
      </c>
      <c r="BQ341" s="0" t="s">
        <v>198</v>
      </c>
      <c r="BR341" s="0" t="str">
        <f aca="false">PROPER(IF(ISBLANK(BQ341),"No",BQ341))</f>
        <v>Followed Up</v>
      </c>
    </row>
    <row r="342" customFormat="false" ht="15" hidden="false" customHeight="false" outlineLevel="0" collapsed="false">
      <c r="A342" s="0" t="s">
        <v>939</v>
      </c>
      <c r="B342" s="2" t="n">
        <v>45663</v>
      </c>
      <c r="C342" s="2" t="str">
        <f aca="false">TEXT(B342,"dd/mm/yyyy")</f>
        <v>06/01/2025</v>
      </c>
      <c r="D342" s="0" t="s">
        <v>163</v>
      </c>
      <c r="E342" s="0" t="n">
        <v>8070604045</v>
      </c>
      <c r="F342" s="0" t="s">
        <v>67</v>
      </c>
      <c r="G342" s="0" t="s">
        <v>2316</v>
      </c>
      <c r="H342" s="0" t="s">
        <v>940</v>
      </c>
      <c r="I342" s="0" t="s">
        <v>69</v>
      </c>
      <c r="J342" s="0" t="s">
        <v>2317</v>
      </c>
      <c r="K342" s="3" t="str">
        <f aca="false" t="array" ref="K342:K342">IFERROR(IF(J342&lt;&gt;"",J342,INDEX(J342:J1341,MATCH(1,(F342:F1341=F342)*(I342:I1341=I342)*(L342:L1341=L342)*(J342:J1341&lt;&gt;""),0))),"Not Found")</f>
        <v>Suspension Noise</v>
      </c>
      <c r="L342" s="3" t="s">
        <v>154</v>
      </c>
      <c r="M342" s="0" t="str">
        <f aca="false">PROPER(L342)</f>
        <v>Air Filter</v>
      </c>
      <c r="N342" s="3" t="s">
        <v>48</v>
      </c>
      <c r="O342" s="0" t="str">
        <f aca="false" t="array" ref="O342:O342">IF(N342&lt;&gt;"",N342,_xlfn.xlookup(1,(L342:L1341=L342)*(N342:N1341&lt;&gt;""),N342:N1341,"Not Found"))</f>
        <v>Uche</v>
      </c>
      <c r="P342" s="4" t="n">
        <v>107881</v>
      </c>
      <c r="Q342" s="0" t="s">
        <v>72</v>
      </c>
      <c r="R342" s="0" t="str">
        <f aca="false">PROPER(Q342)</f>
        <v>Pos</v>
      </c>
      <c r="S342" s="0" t="s">
        <v>50</v>
      </c>
      <c r="T342" s="0" t="n">
        <v>1</v>
      </c>
      <c r="U342" s="5" t="n">
        <f aca="false">IF(ISBLANK(T342),AVERAGE(T342:T1341),T342)</f>
        <v>1</v>
      </c>
      <c r="V342" s="0" t="n">
        <v>5.2</v>
      </c>
      <c r="X342" s="0" t="str">
        <f aca="false">IF(ISBLANK(W342),"No remarks",W342)</f>
        <v>No remarks</v>
      </c>
      <c r="Y342" s="0" t="s">
        <v>52</v>
      </c>
      <c r="Z342" s="0" t="s">
        <v>159</v>
      </c>
      <c r="AA342" s="0" t="str">
        <f aca="false">PROPER(IF(ISBLANK(Z342),"Location Unavailable",Z342))</f>
        <v>Main Bay</v>
      </c>
      <c r="AB342" s="0" t="s">
        <v>167</v>
      </c>
      <c r="AC342" s="6" t="str">
        <f aca="false">PROPER(AB342)</f>
        <v>Word Of Mouth</v>
      </c>
      <c r="AD342" s="6" t="n">
        <v>60</v>
      </c>
      <c r="AE342" s="5" t="n">
        <f aca="false">IF(ISBLANK(AD342),AVERAGEIF(L342:L1341,L342,AD342:AD1341),AD342)</f>
        <v>60</v>
      </c>
      <c r="AF342" s="0" t="s">
        <v>96</v>
      </c>
      <c r="AG342" s="0" t="str">
        <f aca="false">PROPER(AF342)</f>
        <v>Ordered</v>
      </c>
      <c r="AH342" s="0" t="s">
        <v>155</v>
      </c>
      <c r="AI342" s="0" t="s">
        <v>78</v>
      </c>
      <c r="AJ342" s="0" t="str">
        <f aca="false">PROPER(AI342)</f>
        <v>Booking</v>
      </c>
      <c r="AK342" s="0" t="s">
        <v>58</v>
      </c>
      <c r="AL342" s="0" t="str">
        <f aca="false">PROPER(AK342)</f>
        <v>Fleet Owner</v>
      </c>
      <c r="AM342" s="0" t="s">
        <v>2324</v>
      </c>
      <c r="AN342" s="0" t="str">
        <f aca="false">IF(ISBLANK(AM342),"Unknown",AM342)</f>
        <v>Logistics Convoy</v>
      </c>
      <c r="AO342" s="0" t="s">
        <v>161</v>
      </c>
      <c r="AP342" s="0" t="str">
        <f aca="false">IF(ISBLANK(AO342),"Unknown",AO342)</f>
        <v>Apprentice</v>
      </c>
      <c r="AQ342" s="0" t="n">
        <v>15000</v>
      </c>
      <c r="AR342" s="5" t="n">
        <f aca="false">IF(ISBLANK(AQ342),AVERAGEIF(M342:M1341,M342,AQ342:AQ1341),AQ342)</f>
        <v>15000</v>
      </c>
      <c r="AS342" s="0" t="n">
        <v>20000</v>
      </c>
      <c r="AT342" s="5" t="n">
        <f aca="false">IF(ISBLANK(AS342),AVERAGE(AS342:AS1341),AS342)</f>
        <v>20000</v>
      </c>
      <c r="AU342" s="0" t="s">
        <v>50</v>
      </c>
      <c r="AV342" s="0" t="str">
        <f aca="false">PROPER(IF(ISBLANK(AU342),"No",AU342))</f>
        <v>No</v>
      </c>
      <c r="AW342" s="0" t="n">
        <v>5000</v>
      </c>
      <c r="AX342" s="5" t="n">
        <f aca="false">IF(ISBLANK(AW342),0,AW342)</f>
        <v>5000</v>
      </c>
      <c r="AY342" s="0" t="s">
        <v>184</v>
      </c>
      <c r="AZ342" s="0" t="str">
        <f aca="false">UPPER(IF(ISBLANK(AY342),"NONE",AY342))</f>
        <v>N/A</v>
      </c>
      <c r="BA342" s="7" t="n">
        <v>45966</v>
      </c>
      <c r="BB342" s="7" t="n">
        <f aca="false">IF(ISBLANK(BA342),"No Follow Up Needed",BA342)</f>
        <v>45966</v>
      </c>
      <c r="BD342" s="0" t="str">
        <f aca="false">PROPER(IF(ISBLANK(BC342),"Unknown",BC342))</f>
        <v>Unknown</v>
      </c>
      <c r="BE342" s="0" t="s">
        <v>116</v>
      </c>
      <c r="BF342" s="0" t="str">
        <f aca="false">IF(ISBLANK(BE342),"No comments",BE342)</f>
        <v>Needs tire alignment</v>
      </c>
      <c r="BG342" s="0" t="s">
        <v>117</v>
      </c>
      <c r="BH342" s="0" t="str">
        <f aca="false">IF(ISBLANK(BG342),"No comments",BG342)</f>
        <v>Prefers morning</v>
      </c>
      <c r="BI342" s="0" t="s">
        <v>63</v>
      </c>
      <c r="BJ342" s="0" t="str">
        <f aca="false">IF(ISBLANK(BI342),"Not Mentioned",BI342)</f>
        <v>Yes</v>
      </c>
      <c r="BK342" s="0" t="s">
        <v>61</v>
      </c>
      <c r="BL342" s="0" t="str">
        <f aca="false">PROPER(IF(ISBLANK(BK342),"Not Mentioned",BK342))</f>
        <v>No</v>
      </c>
      <c r="BM342" s="0" t="s">
        <v>63</v>
      </c>
      <c r="BN342" s="0" t="str">
        <f aca="false">PROPER(IF(ISBLANK(BM342),"Not Mentioned",BM342))</f>
        <v>Yes</v>
      </c>
      <c r="BO342" s="0" t="s">
        <v>64</v>
      </c>
      <c r="BP342" s="0" t="str">
        <f aca="false">IF(ISBLANK(BO342),"One-Time Plan",BO342)</f>
        <v>Gold Maintenance Plan</v>
      </c>
      <c r="BQ342" s="0" t="s">
        <v>198</v>
      </c>
      <c r="BR342" s="0" t="str">
        <f aca="false">PROPER(IF(ISBLANK(BQ342),"No",BQ342))</f>
        <v>Followed Up</v>
      </c>
    </row>
    <row r="343" customFormat="false" ht="15" hidden="false" customHeight="false" outlineLevel="0" collapsed="false">
      <c r="A343" s="0" t="s">
        <v>941</v>
      </c>
      <c r="B343" s="2" t="n">
        <v>45788</v>
      </c>
      <c r="C343" s="2" t="str">
        <f aca="false">TEXT(B343,"dd/mm/yyyy")</f>
        <v>11/05/2025</v>
      </c>
      <c r="D343" s="0" t="s">
        <v>42</v>
      </c>
      <c r="E343" s="0" t="n">
        <v>8095765571</v>
      </c>
      <c r="F343" s="0" t="s">
        <v>67</v>
      </c>
      <c r="G343" s="0" t="s">
        <v>2316</v>
      </c>
      <c r="H343" s="0" t="s">
        <v>942</v>
      </c>
      <c r="I343" s="0" t="s">
        <v>134</v>
      </c>
      <c r="J343" s="0" t="s">
        <v>2322</v>
      </c>
      <c r="K343" s="3" t="str">
        <f aca="false" t="array" ref="K343:K343">IFERROR(IF(J343&lt;&gt;"",J343,INDEX(J343:J1342,MATCH(1,(F343:F1342=F343)*(I343:I1342=I343)*(L343:L1342=L343)*(J343:J1342&lt;&gt;""),0))),"Not Found")</f>
        <v>Brake Failure</v>
      </c>
      <c r="L343" s="3" t="s">
        <v>189</v>
      </c>
      <c r="M343" s="0" t="str">
        <f aca="false">PROPER(L343)</f>
        <v>Battery</v>
      </c>
      <c r="N343" s="3" t="s">
        <v>109</v>
      </c>
      <c r="O343" s="0" t="str">
        <f aca="false" t="array" ref="O343:O343">IF(N343&lt;&gt;"",N343,_xlfn.xlookup(1,(L343:L1342=L343)*(N343:N1342&lt;&gt;""),N343:N1342,"Not Found"))</f>
        <v>Tijani</v>
      </c>
      <c r="P343" s="4" t="n">
        <v>105640</v>
      </c>
      <c r="Q343" s="0" t="s">
        <v>72</v>
      </c>
      <c r="R343" s="0" t="str">
        <f aca="false">PROPER(Q343)</f>
        <v>Pos</v>
      </c>
      <c r="S343" s="0" t="s">
        <v>63</v>
      </c>
      <c r="T343" s="0" t="n">
        <v>4</v>
      </c>
      <c r="U343" s="5" t="n">
        <f aca="false">IF(ISBLANK(T343),AVERAGE(T343:T1342),T343)</f>
        <v>4</v>
      </c>
      <c r="V343" s="0" t="n">
        <v>5.2</v>
      </c>
      <c r="W343" s="0" t="s">
        <v>125</v>
      </c>
      <c r="X343" s="0" t="str">
        <f aca="false">IF(ISBLANK(W343),"No remarks",W343)</f>
        <v>Customer waited</v>
      </c>
      <c r="Y343" s="0" t="s">
        <v>73</v>
      </c>
      <c r="AA343" s="0" t="str">
        <f aca="false">PROPER(IF(ISBLANK(Z343),"Location Unavailable",Z343))</f>
        <v>Location Unavailable</v>
      </c>
      <c r="AB343" s="0" t="s">
        <v>167</v>
      </c>
      <c r="AC343" s="6" t="str">
        <f aca="false">PROPER(AB343)</f>
        <v>Word Of Mouth</v>
      </c>
      <c r="AD343" s="6" t="n">
        <v>60</v>
      </c>
      <c r="AE343" s="5" t="n">
        <f aca="false">IF(ISBLANK(AD343),AVERAGEIF(L343:L1342,L343,AD343:AD1342),AD343)</f>
        <v>60</v>
      </c>
      <c r="AF343" s="0" t="s">
        <v>112</v>
      </c>
      <c r="AG343" s="0" t="str">
        <f aca="false">PROPER(AF343)</f>
        <v>Unavailable</v>
      </c>
      <c r="AH343" s="0" t="s">
        <v>56</v>
      </c>
      <c r="AI343" s="0" t="s">
        <v>98</v>
      </c>
      <c r="AJ343" s="0" t="str">
        <f aca="false">PROPER(AI343)</f>
        <v>Emergency</v>
      </c>
      <c r="AK343" s="0" t="s">
        <v>196</v>
      </c>
      <c r="AL343" s="0" t="str">
        <f aca="false">PROPER(AK343)</f>
        <v>First Time</v>
      </c>
      <c r="AN343" s="0" t="str">
        <f aca="false">IF(ISBLANK(AM343),"Unknown",AM343)</f>
        <v>Unknown</v>
      </c>
      <c r="AO343" s="0" t="s">
        <v>79</v>
      </c>
      <c r="AP343" s="0" t="str">
        <f aca="false">IF(ISBLANK(AO343),"Unknown",AO343)</f>
        <v>Specialist</v>
      </c>
      <c r="AQ343" s="0" t="n">
        <v>15000</v>
      </c>
      <c r="AR343" s="5" t="n">
        <f aca="false">IF(ISBLANK(AQ343),AVERAGEIF(M343:M1342,M343,AQ343:AQ1342),AQ343)</f>
        <v>15000</v>
      </c>
      <c r="AS343" s="0" t="n">
        <v>30000</v>
      </c>
      <c r="AT343" s="5" t="n">
        <f aca="false">IF(ISBLANK(AS343),AVERAGE(AS343:AS1342),AS343)</f>
        <v>30000</v>
      </c>
      <c r="AV343" s="0" t="str">
        <f aca="false">PROPER(IF(ISBLANK(AU343),"No",AU343))</f>
        <v>No</v>
      </c>
      <c r="AW343" s="0" t="n">
        <v>5000</v>
      </c>
      <c r="AX343" s="5" t="n">
        <f aca="false">IF(ISBLANK(AW343),0,AW343)</f>
        <v>5000</v>
      </c>
      <c r="AY343" s="0" t="s">
        <v>184</v>
      </c>
      <c r="AZ343" s="0" t="str">
        <f aca="false">UPPER(IF(ISBLANK(AY343),"NONE",AY343))</f>
        <v>N/A</v>
      </c>
      <c r="BA343" s="7" t="n">
        <v>45847</v>
      </c>
      <c r="BB343" s="7" t="n">
        <f aca="false">IF(ISBLANK(BA343),"No Follow Up Needed",BA343)</f>
        <v>45847</v>
      </c>
      <c r="BC343" s="0" t="s">
        <v>82</v>
      </c>
      <c r="BD343" s="0" t="str">
        <f aca="false">PROPER(IF(ISBLANK(BC343),"Unknown",BC343))</f>
        <v>Yes</v>
      </c>
      <c r="BE343" s="0" t="s">
        <v>171</v>
      </c>
      <c r="BF343" s="0" t="str">
        <f aca="false">IF(ISBLANK(BE343),"No comments",BE343)</f>
        <v>Shock absorber weakening</v>
      </c>
      <c r="BG343" s="0" t="s">
        <v>172</v>
      </c>
      <c r="BH343" s="0" t="str">
        <f aca="false">IF(ISBLANK(BG343),"No comments",BG343)</f>
        <v>Always late</v>
      </c>
      <c r="BJ343" s="0" t="str">
        <f aca="false">IF(ISBLANK(BI343),"Not Mentioned",BI343)</f>
        <v>Not Mentioned</v>
      </c>
      <c r="BK343" s="0" t="s">
        <v>50</v>
      </c>
      <c r="BL343" s="0" t="str">
        <f aca="false">PROPER(IF(ISBLANK(BK343),"Not Mentioned",BK343))</f>
        <v>No</v>
      </c>
      <c r="BM343" s="0" t="s">
        <v>63</v>
      </c>
      <c r="BN343" s="0" t="str">
        <f aca="false">PROPER(IF(ISBLANK(BM343),"Not Mentioned",BM343))</f>
        <v>Yes</v>
      </c>
      <c r="BP343" s="0" t="str">
        <f aca="false">IF(ISBLANK(BO343),"One-Time Plan",BO343)</f>
        <v>One-Time Plan</v>
      </c>
      <c r="BQ343" s="0" t="s">
        <v>50</v>
      </c>
      <c r="BR343" s="0" t="str">
        <f aca="false">PROPER(IF(ISBLANK(BQ343),"No",BQ343))</f>
        <v>No</v>
      </c>
    </row>
    <row r="344" customFormat="false" ht="15" hidden="false" customHeight="false" outlineLevel="0" collapsed="false">
      <c r="A344" s="0" t="s">
        <v>943</v>
      </c>
      <c r="B344" s="2" t="n">
        <v>45804</v>
      </c>
      <c r="C344" s="2" t="str">
        <f aca="false">TEXT(B344,"dd/mm/yyyy")</f>
        <v>27/05/2025</v>
      </c>
      <c r="D344" s="0" t="s">
        <v>42</v>
      </c>
      <c r="E344" s="0" t="n">
        <v>8050888822</v>
      </c>
      <c r="F344" s="0" t="s">
        <v>139</v>
      </c>
      <c r="G344" s="0" t="s">
        <v>2323</v>
      </c>
      <c r="H344" s="0" t="s">
        <v>944</v>
      </c>
      <c r="I344" s="0" t="s">
        <v>134</v>
      </c>
      <c r="J344" s="0" t="s">
        <v>87</v>
      </c>
      <c r="K344" s="3" t="str">
        <f aca="false" t="array" ref="K344:K344">IFERROR(IF(J344&lt;&gt;"",J344,INDEX(J344:J1343,MATCH(1,(F344:F1343=F344)*(I344:I1343=I344)*(L344:L1343=L344)*(J344:J1343&lt;&gt;""),0))),"Not Found")</f>
        <v>Oil Change</v>
      </c>
      <c r="L344" s="3" t="s">
        <v>189</v>
      </c>
      <c r="M344" s="0" t="str">
        <f aca="false">PROPER(L344)</f>
        <v>Battery</v>
      </c>
      <c r="N344" s="3" t="s">
        <v>48</v>
      </c>
      <c r="O344" s="0" t="str">
        <f aca="false" t="array" ref="O344:O344">IF(N344&lt;&gt;"",N344,_xlfn.xlookup(1,(L344:L1343=L344)*(N344:N1343&lt;&gt;""),N344:N1343,"Not Found"))</f>
        <v>Uche</v>
      </c>
      <c r="P344" s="4" t="n">
        <v>38061</v>
      </c>
      <c r="Q344" s="0" t="s">
        <v>124</v>
      </c>
      <c r="R344" s="0" t="str">
        <f aca="false">PROPER(Q344)</f>
        <v>Cash</v>
      </c>
      <c r="S344" s="0" t="s">
        <v>50</v>
      </c>
      <c r="U344" s="5" t="n">
        <f aca="false">IF(ISBLANK(T344),AVERAGE(T344:T1343),T344)</f>
        <v>3.0590405904059</v>
      </c>
      <c r="V344" s="0" t="n">
        <v>5.1</v>
      </c>
      <c r="W344" s="0" t="s">
        <v>51</v>
      </c>
      <c r="X344" s="0" t="str">
        <f aca="false">IF(ISBLANK(W344),"No remarks",W344)</f>
        <v>Recommended further checks</v>
      </c>
      <c r="Y344" s="0" t="s">
        <v>73</v>
      </c>
      <c r="Z344" s="0" t="s">
        <v>74</v>
      </c>
      <c r="AA344" s="0" t="str">
        <f aca="false">PROPER(IF(ISBLANK(Z344),"Location Unavailable",Z344))</f>
        <v>Under Tree</v>
      </c>
      <c r="AB344" s="0" t="s">
        <v>75</v>
      </c>
      <c r="AC344" s="6" t="str">
        <f aca="false">PROPER(AB344)</f>
        <v>Mechanik Referal</v>
      </c>
      <c r="AE344" s="5" t="n">
        <f aca="false">IF(ISBLANK(AD344),AVERAGEIF(L344:L1343,L344,AD344:AD1343),AD344)</f>
        <v>40.5555555555556</v>
      </c>
      <c r="AF344" s="0" t="s">
        <v>55</v>
      </c>
      <c r="AG344" s="0" t="str">
        <f aca="false">PROPER(AF344)</f>
        <v>Available</v>
      </c>
      <c r="AH344" s="0" t="s">
        <v>148</v>
      </c>
      <c r="AI344" s="0" t="s">
        <v>98</v>
      </c>
      <c r="AJ344" s="0" t="str">
        <f aca="false">PROPER(AI344)</f>
        <v>Emergency</v>
      </c>
      <c r="AK344" s="0" t="s">
        <v>114</v>
      </c>
      <c r="AL344" s="0" t="str">
        <f aca="false">PROPER(AK344)</f>
        <v>Returning</v>
      </c>
      <c r="AN344" s="0" t="str">
        <f aca="false">IF(ISBLANK(AM344),"Unknown",AM344)</f>
        <v>Unknown</v>
      </c>
      <c r="AP344" s="0" t="str">
        <f aca="false">IF(ISBLANK(AO344),"Unknown",AO344)</f>
        <v>Unknown</v>
      </c>
      <c r="AQ344" s="0" t="n">
        <v>40000</v>
      </c>
      <c r="AR344" s="5" t="n">
        <f aca="false">IF(ISBLANK(AQ344),AVERAGEIF(M344:M1343,M344,AQ344:AQ1343),AQ344)</f>
        <v>40000</v>
      </c>
      <c r="AS344" s="0" t="n">
        <v>30000</v>
      </c>
      <c r="AT344" s="5" t="n">
        <f aca="false">IF(ISBLANK(AS344),AVERAGE(AS344:AS1343),AS344)</f>
        <v>30000</v>
      </c>
      <c r="AU344" s="0" t="s">
        <v>82</v>
      </c>
      <c r="AV344" s="0" t="str">
        <f aca="false">PROPER(IF(ISBLANK(AU344),"No",AU344))</f>
        <v>Yes</v>
      </c>
      <c r="AW344" s="0" t="n">
        <v>0</v>
      </c>
      <c r="AX344" s="5" t="n">
        <f aca="false">IF(ISBLANK(AW344),0,AW344)</f>
        <v>0</v>
      </c>
      <c r="AY344" s="0" t="s">
        <v>130</v>
      </c>
      <c r="AZ344" s="0" t="str">
        <f aca="false">UPPER(IF(ISBLANK(AY344),"NONE",AY344))</f>
        <v>LOYALTY10</v>
      </c>
      <c r="BA344" s="7" t="s">
        <v>853</v>
      </c>
      <c r="BB344" s="7" t="str">
        <f aca="false">IF(ISBLANK(BA344),"No Follow Up Needed",BA344)</f>
        <v>25/10/2025</v>
      </c>
      <c r="BD344" s="0" t="str">
        <f aca="false">PROPER(IF(ISBLANK(BC344),"Unknown",BC344))</f>
        <v>Unknown</v>
      </c>
      <c r="BE344" s="0" t="s">
        <v>116</v>
      </c>
      <c r="BF344" s="0" t="str">
        <f aca="false">IF(ISBLANK(BE344),"No comments",BE344)</f>
        <v>Needs tire alignment</v>
      </c>
      <c r="BG344" s="0" t="s">
        <v>172</v>
      </c>
      <c r="BH344" s="0" t="str">
        <f aca="false">IF(ISBLANK(BG344),"No comments",BG344)</f>
        <v>Always late</v>
      </c>
      <c r="BI344" s="0" t="s">
        <v>63</v>
      </c>
      <c r="BJ344" s="0" t="str">
        <f aca="false">IF(ISBLANK(BI344),"Not Mentioned",BI344)</f>
        <v>Yes</v>
      </c>
      <c r="BK344" s="0" t="s">
        <v>61</v>
      </c>
      <c r="BL344" s="0" t="str">
        <f aca="false">PROPER(IF(ISBLANK(BK344),"Not Mentioned",BK344))</f>
        <v>No</v>
      </c>
      <c r="BN344" s="0" t="str">
        <f aca="false">PROPER(IF(ISBLANK(BM344),"Not Mentioned",BM344))</f>
        <v>Not Mentioned</v>
      </c>
      <c r="BP344" s="0" t="str">
        <f aca="false">IF(ISBLANK(BO344),"One-Time Plan",BO344)</f>
        <v>One-Time Plan</v>
      </c>
      <c r="BQ344" s="0" t="s">
        <v>50</v>
      </c>
      <c r="BR344" s="0" t="str">
        <f aca="false">PROPER(IF(ISBLANK(BQ344),"No",BQ344))</f>
        <v>No</v>
      </c>
    </row>
    <row r="345" customFormat="false" ht="15" hidden="false" customHeight="false" outlineLevel="0" collapsed="false">
      <c r="A345" s="0" t="s">
        <v>945</v>
      </c>
      <c r="B345" s="2" t="n">
        <v>45667</v>
      </c>
      <c r="C345" s="2" t="str">
        <f aca="false">TEXT(B345,"dd/mm/yyyy")</f>
        <v>10/01/2025</v>
      </c>
      <c r="D345" s="0" t="s">
        <v>66</v>
      </c>
      <c r="E345" s="0" t="n">
        <v>8022514663</v>
      </c>
      <c r="F345" s="0" t="s">
        <v>85</v>
      </c>
      <c r="G345" s="0" t="s">
        <v>2319</v>
      </c>
      <c r="H345" s="0" t="s">
        <v>946</v>
      </c>
      <c r="I345" s="0" t="s">
        <v>45</v>
      </c>
      <c r="J345" s="0" t="s">
        <v>2322</v>
      </c>
      <c r="K345" s="3" t="str">
        <f aca="false" t="array" ref="K345:K345">IFERROR(IF(J345&lt;&gt;"",J345,INDEX(J345:J1344,MATCH(1,(F345:F1344=F345)*(I345:I1344=I345)*(L345:L1344=L345)*(J345:J1344&lt;&gt;""),0))),"Not Found")</f>
        <v>Brake Failure</v>
      </c>
      <c r="L345" s="3" t="s">
        <v>47</v>
      </c>
      <c r="M345" s="0" t="str">
        <f aca="false">PROPER(L345)</f>
        <v>None</v>
      </c>
      <c r="N345" s="3" t="s">
        <v>90</v>
      </c>
      <c r="O345" s="0" t="str">
        <f aca="false" t="array" ref="O345:O345">IF(N345&lt;&gt;"",N345,_xlfn.xlookup(1,(L345:L1344=L345)*(N345:N1344&lt;&gt;""),N345:N1344,"Not Found"))</f>
        <v>Musa</v>
      </c>
      <c r="P345" s="4" t="n">
        <v>14852</v>
      </c>
      <c r="Q345" s="0" t="s">
        <v>124</v>
      </c>
      <c r="R345" s="0" t="str">
        <f aca="false">PROPER(Q345)</f>
        <v>Cash</v>
      </c>
      <c r="S345" s="0" t="s">
        <v>63</v>
      </c>
      <c r="T345" s="0" t="n">
        <v>2</v>
      </c>
      <c r="U345" s="5" t="n">
        <f aca="false">IF(ISBLANK(T345),AVERAGE(T345:T1344),T345)</f>
        <v>2</v>
      </c>
      <c r="V345" s="0" t="n">
        <v>2.5</v>
      </c>
      <c r="W345" s="0" t="s">
        <v>111</v>
      </c>
      <c r="X345" s="0" t="str">
        <f aca="false">IF(ISBLANK(W345),"No remarks",W345)</f>
        <v>Changed all filters</v>
      </c>
      <c r="Y345" s="0" t="s">
        <v>93</v>
      </c>
      <c r="Z345" s="0" t="s">
        <v>159</v>
      </c>
      <c r="AA345" s="0" t="str">
        <f aca="false">PROPER(IF(ISBLANK(Z345),"Location Unavailable",Z345))</f>
        <v>Main Bay</v>
      </c>
      <c r="AB345" s="0" t="s">
        <v>167</v>
      </c>
      <c r="AC345" s="6" t="str">
        <f aca="false">PROPER(AB345)</f>
        <v>Word Of Mouth</v>
      </c>
      <c r="AE345" s="5" t="n">
        <f aca="false">IF(ISBLANK(AD345),AVERAGEIF(L345:L1344,L345,AD345:AD1344),AD345)</f>
        <v>35.7407407407407</v>
      </c>
      <c r="AF345" s="0" t="s">
        <v>76</v>
      </c>
      <c r="AG345" s="0" t="str">
        <f aca="false">PROPER(AF345)</f>
        <v>Orderd</v>
      </c>
      <c r="AH345" s="0" t="s">
        <v>155</v>
      </c>
      <c r="AI345" s="0" t="s">
        <v>78</v>
      </c>
      <c r="AJ345" s="0" t="str">
        <f aca="false">PROPER(AI345)</f>
        <v>Booking</v>
      </c>
      <c r="AK345" s="0" t="s">
        <v>196</v>
      </c>
      <c r="AL345" s="0" t="str">
        <f aca="false">PROPER(AK345)</f>
        <v>First Time</v>
      </c>
      <c r="AM345" s="0" t="s">
        <v>2326</v>
      </c>
      <c r="AN345" s="0" t="str">
        <f aca="false">IF(ISBLANK(AM345),"Unknown",AM345)</f>
        <v>Government Convoy</v>
      </c>
      <c r="AO345" s="0" t="s">
        <v>161</v>
      </c>
      <c r="AP345" s="0" t="str">
        <f aca="false">IF(ISBLANK(AO345),"Unknown",AO345)</f>
        <v>Apprentice</v>
      </c>
      <c r="AQ345" s="0" t="n">
        <v>25000</v>
      </c>
      <c r="AR345" s="5" t="n">
        <f aca="false">IF(ISBLANK(AQ345),AVERAGEIF(M345:M1344,M345,AQ345:AQ1344),AQ345)</f>
        <v>25000</v>
      </c>
      <c r="AS345" s="0" t="n">
        <v>30000</v>
      </c>
      <c r="AT345" s="5" t="n">
        <f aca="false">IF(ISBLANK(AS345),AVERAGE(AS345:AS1344),AS345)</f>
        <v>30000</v>
      </c>
      <c r="AV345" s="0" t="str">
        <f aca="false">PROPER(IF(ISBLANK(AU345),"No",AU345))</f>
        <v>No</v>
      </c>
      <c r="AX345" s="5" t="n">
        <f aca="false">IF(ISBLANK(AW345),0,AW345)</f>
        <v>0</v>
      </c>
      <c r="AY345" s="0" t="s">
        <v>184</v>
      </c>
      <c r="AZ345" s="0" t="str">
        <f aca="false">UPPER(IF(ISBLANK(AY345),"NONE",AY345))</f>
        <v>N/A</v>
      </c>
      <c r="BA345" s="7" t="n">
        <v>45858</v>
      </c>
      <c r="BB345" s="7" t="n">
        <f aca="false">IF(ISBLANK(BA345),"No Follow Up Needed",BA345)</f>
        <v>45858</v>
      </c>
      <c r="BC345" s="0" t="s">
        <v>61</v>
      </c>
      <c r="BD345" s="0" t="str">
        <f aca="false">PROPER(IF(ISBLANK(BC345),"Unknown",BC345))</f>
        <v>No</v>
      </c>
      <c r="BF345" s="0" t="str">
        <f aca="false">IF(ISBLANK(BE345),"No comments",BE345)</f>
        <v>No comments</v>
      </c>
      <c r="BG345" s="0" t="s">
        <v>172</v>
      </c>
      <c r="BH345" s="0" t="str">
        <f aca="false">IF(ISBLANK(BG345),"No comments",BG345)</f>
        <v>Always late</v>
      </c>
      <c r="BI345" s="0" t="s">
        <v>50</v>
      </c>
      <c r="BJ345" s="0" t="str">
        <f aca="false">IF(ISBLANK(BI345),"Not Mentioned",BI345)</f>
        <v>No</v>
      </c>
      <c r="BK345" s="0" t="s">
        <v>63</v>
      </c>
      <c r="BL345" s="0" t="str">
        <f aca="false">PROPER(IF(ISBLANK(BK345),"Not Mentioned",BK345))</f>
        <v>Yes</v>
      </c>
      <c r="BN345" s="0" t="str">
        <f aca="false">PROPER(IF(ISBLANK(BM345),"Not Mentioned",BM345))</f>
        <v>Not Mentioned</v>
      </c>
      <c r="BP345" s="0" t="str">
        <f aca="false">IF(ISBLANK(BO345),"One-Time Plan",BO345)</f>
        <v>One-Time Plan</v>
      </c>
      <c r="BQ345" s="0" t="s">
        <v>50</v>
      </c>
      <c r="BR345" s="0" t="str">
        <f aca="false">PROPER(IF(ISBLANK(BQ345),"No",BQ345))</f>
        <v>No</v>
      </c>
    </row>
    <row r="346" customFormat="false" ht="15" hidden="false" customHeight="false" outlineLevel="0" collapsed="false">
      <c r="A346" s="0" t="s">
        <v>947</v>
      </c>
      <c r="B346" s="2" t="n">
        <v>45751</v>
      </c>
      <c r="C346" s="2" t="str">
        <f aca="false">TEXT(B346,"dd/mm/yyyy")</f>
        <v>04/04/2025</v>
      </c>
      <c r="D346" s="0" t="s">
        <v>66</v>
      </c>
      <c r="E346" s="0" t="n">
        <v>8033008094</v>
      </c>
      <c r="F346" s="0" t="s">
        <v>43</v>
      </c>
      <c r="G346" s="0" t="s">
        <v>2315</v>
      </c>
      <c r="H346" s="0" t="s">
        <v>948</v>
      </c>
      <c r="I346" s="0" t="s">
        <v>87</v>
      </c>
      <c r="J346" s="0" t="s">
        <v>2322</v>
      </c>
      <c r="K346" s="3" t="str">
        <f aca="false" t="array" ref="K346:K346">IFERROR(IF(J346&lt;&gt;"",J346,INDEX(J346:J1345,MATCH(1,(F346:F1345=F346)*(I346:I1345=I346)*(L346:L1345=L346)*(J346:J1345&lt;&gt;""),0))),"Not Found")</f>
        <v>Brake Failure</v>
      </c>
      <c r="L346" s="3" t="s">
        <v>189</v>
      </c>
      <c r="M346" s="0" t="str">
        <f aca="false">PROPER(L346)</f>
        <v>Battery</v>
      </c>
      <c r="O346" s="0" t="e">
        <f aca="false" t="array" ref="O346:O346">IF(N346&lt;&gt;"",N346,_xlfn.xlookup(1,(L346:L1345=L346)*(N346:N1345&lt;&gt;""),N346:N1345,"Not Found"))</f>
        <v>#NAME?</v>
      </c>
      <c r="P346" s="4" t="n">
        <v>48484</v>
      </c>
      <c r="Q346" s="0" t="s">
        <v>166</v>
      </c>
      <c r="R346" s="0" t="str">
        <f aca="false">PROPER(Q346)</f>
        <v>Transfer</v>
      </c>
      <c r="S346" s="0" t="s">
        <v>63</v>
      </c>
      <c r="T346" s="0" t="n">
        <v>2</v>
      </c>
      <c r="U346" s="5" t="n">
        <f aca="false">IF(ISBLANK(T346),AVERAGE(T346:T1345),T346)</f>
        <v>2</v>
      </c>
      <c r="V346" s="0" t="n">
        <v>3.7</v>
      </c>
      <c r="W346" s="0" t="s">
        <v>125</v>
      </c>
      <c r="X346" s="0" t="str">
        <f aca="false">IF(ISBLANK(W346),"No remarks",W346)</f>
        <v>Customer waited</v>
      </c>
      <c r="Y346" s="0" t="s">
        <v>93</v>
      </c>
      <c r="Z346" s="0" t="s">
        <v>159</v>
      </c>
      <c r="AA346" s="0" t="str">
        <f aca="false">PROPER(IF(ISBLANK(Z346),"Location Unavailable",Z346))</f>
        <v>Main Bay</v>
      </c>
      <c r="AB346" s="0" t="s">
        <v>54</v>
      </c>
      <c r="AC346" s="6" t="str">
        <f aca="false">PROPER(AB346)</f>
        <v>Mechanic Referral</v>
      </c>
      <c r="AD346" s="6" t="n">
        <v>60</v>
      </c>
      <c r="AE346" s="5" t="n">
        <f aca="false">IF(ISBLANK(AD346),AVERAGEIF(L346:L1345,L346,AD346:AD1345),AD346)</f>
        <v>60</v>
      </c>
      <c r="AF346" s="0" t="s">
        <v>160</v>
      </c>
      <c r="AG346" s="0" t="str">
        <f aca="false">PROPER(AF346)</f>
        <v>Availaible</v>
      </c>
      <c r="AH346" s="0" t="s">
        <v>77</v>
      </c>
      <c r="AI346" s="0" t="s">
        <v>98</v>
      </c>
      <c r="AJ346" s="0" t="str">
        <f aca="false">PROPER(AI346)</f>
        <v>Emergency</v>
      </c>
      <c r="AK346" s="0" t="s">
        <v>58</v>
      </c>
      <c r="AL346" s="0" t="str">
        <f aca="false">PROPER(AK346)</f>
        <v>Fleet Owner</v>
      </c>
      <c r="AM346" s="0" t="s">
        <v>2326</v>
      </c>
      <c r="AN346" s="0" t="str">
        <f aca="false">IF(ISBLANK(AM346),"Unknown",AM346)</f>
        <v>Government Convoy</v>
      </c>
      <c r="AO346" s="0" t="s">
        <v>79</v>
      </c>
      <c r="AP346" s="0" t="str">
        <f aca="false">IF(ISBLANK(AO346),"Unknown",AO346)</f>
        <v>Specialist</v>
      </c>
      <c r="AR346" s="5" t="n">
        <f aca="false">IF(ISBLANK(AQ346),AVERAGEIF(M346:M1345,M346,AQ346:AQ1345),AQ346)</f>
        <v>24936.7088607595</v>
      </c>
      <c r="AS346" s="0" t="n">
        <v>35000</v>
      </c>
      <c r="AT346" s="5" t="n">
        <f aca="false">IF(ISBLANK(AS346),AVERAGE(AS346:AS1345),AS346)</f>
        <v>35000</v>
      </c>
      <c r="AU346" s="0" t="s">
        <v>82</v>
      </c>
      <c r="AV346" s="0" t="str">
        <f aca="false">PROPER(IF(ISBLANK(AU346),"No",AU346))</f>
        <v>Yes</v>
      </c>
      <c r="AW346" s="0" t="n">
        <v>0</v>
      </c>
      <c r="AX346" s="5" t="n">
        <f aca="false">IF(ISBLANK(AW346),0,AW346)</f>
        <v>0</v>
      </c>
      <c r="AY346" s="0" t="s">
        <v>184</v>
      </c>
      <c r="AZ346" s="0" t="str">
        <f aca="false">UPPER(IF(ISBLANK(AY346),"NONE",AY346))</f>
        <v>N/A</v>
      </c>
      <c r="BB346" s="7" t="str">
        <f aca="false">IF(ISBLANK(BA346),"No Follow Up Needed",BA346)</f>
        <v>No Follow Up Needed</v>
      </c>
      <c r="BC346" s="0" t="s">
        <v>82</v>
      </c>
      <c r="BD346" s="0" t="str">
        <f aca="false">PROPER(IF(ISBLANK(BC346),"Unknown",BC346))</f>
        <v>Yes</v>
      </c>
      <c r="BF346" s="0" t="str">
        <f aca="false">IF(ISBLANK(BE346),"No comments",BE346)</f>
        <v>No comments</v>
      </c>
      <c r="BH346" s="0" t="str">
        <f aca="false">IF(ISBLANK(BG346),"No comments",BG346)</f>
        <v>No comments</v>
      </c>
      <c r="BI346" s="0" t="s">
        <v>50</v>
      </c>
      <c r="BJ346" s="0" t="str">
        <f aca="false">IF(ISBLANK(BI346),"Not Mentioned",BI346)</f>
        <v>No</v>
      </c>
      <c r="BK346" s="0" t="s">
        <v>50</v>
      </c>
      <c r="BL346" s="0" t="str">
        <f aca="false">PROPER(IF(ISBLANK(BK346),"Not Mentioned",BK346))</f>
        <v>No</v>
      </c>
      <c r="BM346" s="0" t="s">
        <v>63</v>
      </c>
      <c r="BN346" s="0" t="str">
        <f aca="false">PROPER(IF(ISBLANK(BM346),"Not Mentioned",BM346))</f>
        <v>Yes</v>
      </c>
      <c r="BO346" s="0" t="s">
        <v>2321</v>
      </c>
      <c r="BP346" s="0" t="str">
        <f aca="false">IF(ISBLANK(BO346),"One-Time Plan",BO346)</f>
        <v>One-Time Plan</v>
      </c>
      <c r="BQ346" s="0" t="s">
        <v>50</v>
      </c>
      <c r="BR346" s="0" t="str">
        <f aca="false">PROPER(IF(ISBLANK(BQ346),"No",BQ346))</f>
        <v>No</v>
      </c>
    </row>
    <row r="347" customFormat="false" ht="15" hidden="false" customHeight="false" outlineLevel="0" collapsed="false">
      <c r="A347" s="0" t="s">
        <v>949</v>
      </c>
      <c r="B347" s="2" t="n">
        <v>45660</v>
      </c>
      <c r="C347" s="2" t="str">
        <f aca="false">TEXT(B347,"dd/mm/yyyy")</f>
        <v>03/01/2025</v>
      </c>
      <c r="D347" s="0" t="s">
        <v>66</v>
      </c>
      <c r="E347" s="0" t="n">
        <v>8024000677</v>
      </c>
      <c r="F347" s="0" t="s">
        <v>122</v>
      </c>
      <c r="G347" s="0" t="s">
        <v>2316</v>
      </c>
      <c r="H347" s="0" t="s">
        <v>950</v>
      </c>
      <c r="I347" s="0" t="s">
        <v>87</v>
      </c>
      <c r="J347" s="0" t="s">
        <v>2317</v>
      </c>
      <c r="K347" s="3" t="str">
        <f aca="false" t="array" ref="K347:K347">IFERROR(IF(J347&lt;&gt;"",J347,INDEX(J347:J1346,MATCH(1,(F347:F1346=F347)*(I347:I1346=I347)*(L347:L1346=L347)*(J347:J1346&lt;&gt;""),0))),"Not Found")</f>
        <v>Suspension Noise</v>
      </c>
      <c r="L347" s="3" t="s">
        <v>142</v>
      </c>
      <c r="M347" s="0" t="str">
        <f aca="false">PROPER(L347)</f>
        <v>Oil Filter, Brake Pads</v>
      </c>
      <c r="N347" s="3" t="s">
        <v>109</v>
      </c>
      <c r="O347" s="0" t="str">
        <f aca="false" t="array" ref="O347:O347">IF(N347&lt;&gt;"",N347,_xlfn.xlookup(1,(L347:L1346=L347)*(N347:N1346&lt;&gt;""),N347:N1346,"Not Found"))</f>
        <v>Tijani</v>
      </c>
      <c r="P347" s="4" t="n">
        <v>84957</v>
      </c>
      <c r="Q347" s="0" t="s">
        <v>124</v>
      </c>
      <c r="R347" s="0" t="str">
        <f aca="false">PROPER(Q347)</f>
        <v>Cash</v>
      </c>
      <c r="S347" s="0" t="s">
        <v>50</v>
      </c>
      <c r="U347" s="5" t="n">
        <f aca="false">IF(ISBLANK(T347),AVERAGE(T347:T1346),T347)</f>
        <v>3.06296296296296</v>
      </c>
      <c r="V347" s="0" t="n">
        <v>4.2</v>
      </c>
      <c r="W347" s="0" t="s">
        <v>111</v>
      </c>
      <c r="X347" s="0" t="str">
        <f aca="false">IF(ISBLANK(W347),"No remarks",W347)</f>
        <v>Changed all filters</v>
      </c>
      <c r="Y347" s="0" t="s">
        <v>73</v>
      </c>
      <c r="Z347" s="0" t="s">
        <v>136</v>
      </c>
      <c r="AA347" s="0" t="str">
        <f aca="false">PROPER(IF(ISBLANK(Z347),"Location Unavailable",Z347))</f>
        <v>Vip Section</v>
      </c>
      <c r="AB347" s="0" t="s">
        <v>75</v>
      </c>
      <c r="AC347" s="6" t="str">
        <f aca="false">PROPER(AB347)</f>
        <v>Mechanik Referal</v>
      </c>
      <c r="AD347" s="6" t="n">
        <v>45</v>
      </c>
      <c r="AE347" s="5" t="n">
        <f aca="false">IF(ISBLANK(AD347),AVERAGEIF(L347:L1346,L347,AD347:AD1346),AD347)</f>
        <v>45</v>
      </c>
      <c r="AF347" s="0" t="s">
        <v>96</v>
      </c>
      <c r="AG347" s="0" t="str">
        <f aca="false">PROPER(AF347)</f>
        <v>Ordered</v>
      </c>
      <c r="AH347" s="0" t="s">
        <v>56</v>
      </c>
      <c r="AI347" s="0" t="s">
        <v>78</v>
      </c>
      <c r="AJ347" s="0" t="str">
        <f aca="false">PROPER(AI347)</f>
        <v>Booking</v>
      </c>
      <c r="AK347" s="0" t="s">
        <v>58</v>
      </c>
      <c r="AL347" s="0" t="str">
        <f aca="false">PROPER(AK347)</f>
        <v>Fleet Owner</v>
      </c>
      <c r="AM347" s="0" t="s">
        <v>177</v>
      </c>
      <c r="AN347" s="0" t="str">
        <f aca="false">IF(ISBLANK(AM347),"Unknown",AM347)</f>
        <v>Private</v>
      </c>
      <c r="AO347" s="0" t="s">
        <v>161</v>
      </c>
      <c r="AP347" s="0" t="str">
        <f aca="false">IF(ISBLANK(AO347),"Unknown",AO347)</f>
        <v>Apprentice</v>
      </c>
      <c r="AQ347" s="0" t="n">
        <v>20000</v>
      </c>
      <c r="AR347" s="5" t="n">
        <f aca="false">IF(ISBLANK(AQ347),AVERAGEIF(M347:M1346,M347,AQ347:AQ1346),AQ347)</f>
        <v>20000</v>
      </c>
      <c r="AT347" s="5" t="n">
        <f aca="false">IF(ISBLANK(AS347),AVERAGE(AS347:AS1346),AS347)</f>
        <v>31443.0147058824</v>
      </c>
      <c r="AU347" s="0" t="s">
        <v>61</v>
      </c>
      <c r="AV347" s="0" t="str">
        <f aca="false">PROPER(IF(ISBLANK(AU347),"No",AU347))</f>
        <v>No</v>
      </c>
      <c r="AW347" s="0" t="n">
        <v>5000</v>
      </c>
      <c r="AX347" s="5" t="n">
        <f aca="false">IF(ISBLANK(AW347),0,AW347)</f>
        <v>5000</v>
      </c>
      <c r="AZ347" s="0" t="str">
        <f aca="false">UPPER(IF(ISBLANK(AY347),"NONE",AY347))</f>
        <v>NONE</v>
      </c>
      <c r="BA347" s="7" t="n">
        <v>46019</v>
      </c>
      <c r="BB347" s="7" t="n">
        <f aca="false">IF(ISBLANK(BA347),"No Follow Up Needed",BA347)</f>
        <v>46019</v>
      </c>
      <c r="BC347" s="0" t="s">
        <v>61</v>
      </c>
      <c r="BD347" s="0" t="str">
        <f aca="false">PROPER(IF(ISBLANK(BC347),"Unknown",BC347))</f>
        <v>No</v>
      </c>
      <c r="BE347" s="0" t="s">
        <v>171</v>
      </c>
      <c r="BF347" s="0" t="str">
        <f aca="false">IF(ISBLANK(BE347),"No comments",BE347)</f>
        <v>Shock absorber weakening</v>
      </c>
      <c r="BG347" s="0" t="s">
        <v>117</v>
      </c>
      <c r="BH347" s="0" t="str">
        <f aca="false">IF(ISBLANK(BG347),"No comments",BG347)</f>
        <v>Prefers morning</v>
      </c>
      <c r="BJ347" s="0" t="str">
        <f aca="false">IF(ISBLANK(BI347),"Not Mentioned",BI347)</f>
        <v>Not Mentioned</v>
      </c>
      <c r="BK347" s="0" t="s">
        <v>50</v>
      </c>
      <c r="BL347" s="0" t="str">
        <f aca="false">PROPER(IF(ISBLANK(BK347),"Not Mentioned",BK347))</f>
        <v>No</v>
      </c>
      <c r="BN347" s="0" t="str">
        <f aca="false">PROPER(IF(ISBLANK(BM347),"Not Mentioned",BM347))</f>
        <v>Not Mentioned</v>
      </c>
      <c r="BO347" s="0" t="s">
        <v>2318</v>
      </c>
      <c r="BP347" s="0" t="str">
        <f aca="false">IF(ISBLANK(BO347),"One-Time Plan",BO347)</f>
        <v>Gold</v>
      </c>
      <c r="BR347" s="0" t="str">
        <f aca="false">PROPER(IF(ISBLANK(BQ347),"No",BQ347))</f>
        <v>No</v>
      </c>
    </row>
    <row r="348" customFormat="false" ht="15" hidden="false" customHeight="false" outlineLevel="0" collapsed="false">
      <c r="A348" s="0" t="s">
        <v>951</v>
      </c>
      <c r="B348" s="2" t="n">
        <v>45760</v>
      </c>
      <c r="C348" s="2" t="str">
        <f aca="false">TEXT(B348,"dd/mm/yyyy")</f>
        <v>13/04/2025</v>
      </c>
      <c r="D348" s="0" t="s">
        <v>105</v>
      </c>
      <c r="E348" s="0" t="n">
        <v>8084209891</v>
      </c>
      <c r="F348" s="0" t="s">
        <v>43</v>
      </c>
      <c r="G348" s="0" t="s">
        <v>2315</v>
      </c>
      <c r="H348" s="0" t="s">
        <v>952</v>
      </c>
      <c r="I348" s="0" t="s">
        <v>107</v>
      </c>
      <c r="J348" s="0" t="s">
        <v>2317</v>
      </c>
      <c r="K348" s="3" t="str">
        <f aca="false" t="array" ref="K348:K348">IFERROR(IF(J348&lt;&gt;"",J348,INDEX(J348:J1347,MATCH(1,(F348:F1347=F348)*(I348:I1347=I348)*(L348:L1347=L348)*(J348:J1347&lt;&gt;""),0))),"Not Found")</f>
        <v>Suspension Noise</v>
      </c>
      <c r="L348" s="3" t="s">
        <v>47</v>
      </c>
      <c r="M348" s="0" t="str">
        <f aca="false">PROPER(L348)</f>
        <v>None</v>
      </c>
      <c r="N348" s="3" t="s">
        <v>109</v>
      </c>
      <c r="O348" s="0" t="str">
        <f aca="false" t="array" ref="O348:O348">IF(N348&lt;&gt;"",N348,_xlfn.xlookup(1,(L348:L1347=L348)*(N348:N1347&lt;&gt;""),N348:N1347,"Not Found"))</f>
        <v>Tijani</v>
      </c>
      <c r="P348" s="4" t="n">
        <v>35224</v>
      </c>
      <c r="Q348" s="0" t="s">
        <v>72</v>
      </c>
      <c r="R348" s="0" t="str">
        <f aca="false">PROPER(Q348)</f>
        <v>Pos</v>
      </c>
      <c r="S348" s="0" t="s">
        <v>63</v>
      </c>
      <c r="T348" s="0" t="n">
        <v>2</v>
      </c>
      <c r="U348" s="5" t="n">
        <f aca="false">IF(ISBLANK(T348),AVERAGE(T348:T1347),T348)</f>
        <v>2</v>
      </c>
      <c r="V348" s="0" t="n">
        <v>5.5</v>
      </c>
      <c r="W348" s="0" t="s">
        <v>111</v>
      </c>
      <c r="X348" s="0" t="str">
        <f aca="false">IF(ISBLANK(W348),"No remarks",W348)</f>
        <v>Changed all filters</v>
      </c>
      <c r="Y348" s="0" t="s">
        <v>93</v>
      </c>
      <c r="Z348" s="0" t="s">
        <v>136</v>
      </c>
      <c r="AA348" s="0" t="str">
        <f aca="false">PROPER(IF(ISBLANK(Z348),"Location Unavailable",Z348))</f>
        <v>Vip Section</v>
      </c>
      <c r="AB348" s="0" t="s">
        <v>75</v>
      </c>
      <c r="AC348" s="6" t="str">
        <f aca="false">PROPER(AB348)</f>
        <v>Mechanik Referal</v>
      </c>
      <c r="AD348" s="6" t="n">
        <v>15</v>
      </c>
      <c r="AE348" s="5" t="n">
        <f aca="false">IF(ISBLANK(AD348),AVERAGEIF(L348:L1347,L348,AD348:AD1347),AD348)</f>
        <v>15</v>
      </c>
      <c r="AF348" s="0" t="s">
        <v>160</v>
      </c>
      <c r="AG348" s="0" t="str">
        <f aca="false">PROPER(AF348)</f>
        <v>Availaible</v>
      </c>
      <c r="AH348" s="0" t="s">
        <v>77</v>
      </c>
      <c r="AI348" s="0" t="s">
        <v>98</v>
      </c>
      <c r="AJ348" s="0" t="str">
        <f aca="false">PROPER(AI348)</f>
        <v>Emergency</v>
      </c>
      <c r="AK348" s="0" t="s">
        <v>196</v>
      </c>
      <c r="AL348" s="0" t="str">
        <f aca="false">PROPER(AK348)</f>
        <v>First Time</v>
      </c>
      <c r="AN348" s="0" t="str">
        <f aca="false">IF(ISBLANK(AM348),"Unknown",AM348)</f>
        <v>Unknown</v>
      </c>
      <c r="AO348" s="0" t="s">
        <v>79</v>
      </c>
      <c r="AP348" s="0" t="str">
        <f aca="false">IF(ISBLANK(AO348),"Unknown",AO348)</f>
        <v>Specialist</v>
      </c>
      <c r="AQ348" s="0" t="n">
        <v>20000</v>
      </c>
      <c r="AR348" s="5" t="n">
        <f aca="false">IF(ISBLANK(AQ348),AVERAGEIF(M348:M1347,M348,AQ348:AQ1347),AQ348)</f>
        <v>20000</v>
      </c>
      <c r="AS348" s="0" t="n">
        <v>20000</v>
      </c>
      <c r="AT348" s="5" t="n">
        <f aca="false">IF(ISBLANK(AS348),AVERAGE(AS348:AS1347),AS348)</f>
        <v>20000</v>
      </c>
      <c r="AU348" s="0" t="s">
        <v>50</v>
      </c>
      <c r="AV348" s="0" t="str">
        <f aca="false">PROPER(IF(ISBLANK(AU348),"No",AU348))</f>
        <v>No</v>
      </c>
      <c r="AW348" s="0" t="n">
        <v>10000</v>
      </c>
      <c r="AX348" s="5" t="n">
        <f aca="false">IF(ISBLANK(AW348),0,AW348)</f>
        <v>10000</v>
      </c>
      <c r="AY348" s="0" t="s">
        <v>60</v>
      </c>
      <c r="AZ348" s="0" t="str">
        <f aca="false">UPPER(IF(ISBLANK(AY348),"NONE",AY348))</f>
        <v>NONE</v>
      </c>
      <c r="BB348" s="7" t="str">
        <f aca="false">IF(ISBLANK(BA348),"No Follow Up Needed",BA348)</f>
        <v>No Follow Up Needed</v>
      </c>
      <c r="BC348" s="0" t="s">
        <v>63</v>
      </c>
      <c r="BD348" s="0" t="str">
        <f aca="false">PROPER(IF(ISBLANK(BC348),"Unknown",BC348))</f>
        <v>Yes</v>
      </c>
      <c r="BF348" s="0" t="str">
        <f aca="false">IF(ISBLANK(BE348),"No comments",BE348)</f>
        <v>No comments</v>
      </c>
      <c r="BG348" s="0" t="s">
        <v>2320</v>
      </c>
      <c r="BH348" s="0" t="str">
        <f aca="false">IF(ISBLANK(BG348),"No comments",BG348)</f>
        <v>No complaints</v>
      </c>
      <c r="BI348" s="0" t="s">
        <v>63</v>
      </c>
      <c r="BJ348" s="0" t="str">
        <f aca="false">IF(ISBLANK(BI348),"Not Mentioned",BI348)</f>
        <v>Yes</v>
      </c>
      <c r="BL348" s="0" t="str">
        <f aca="false">PROPER(IF(ISBLANK(BK348),"Not Mentioned",BK348))</f>
        <v>Not Mentioned</v>
      </c>
      <c r="BM348" s="0" t="s">
        <v>63</v>
      </c>
      <c r="BN348" s="0" t="str">
        <f aca="false">PROPER(IF(ISBLANK(BM348),"Not Mentioned",BM348))</f>
        <v>Yes</v>
      </c>
      <c r="BO348" s="0" t="s">
        <v>2321</v>
      </c>
      <c r="BP348" s="0" t="str">
        <f aca="false">IF(ISBLANK(BO348),"One-Time Plan",BO348)</f>
        <v>One-Time Plan</v>
      </c>
      <c r="BQ348" s="0" t="s">
        <v>63</v>
      </c>
      <c r="BR348" s="0" t="str">
        <f aca="false">PROPER(IF(ISBLANK(BQ348),"No",BQ348))</f>
        <v>Yes</v>
      </c>
    </row>
    <row r="349" customFormat="false" ht="15" hidden="false" customHeight="false" outlineLevel="0" collapsed="false">
      <c r="A349" s="0" t="s">
        <v>954</v>
      </c>
      <c r="B349" s="2" t="s">
        <v>953</v>
      </c>
      <c r="C349" s="2" t="str">
        <f aca="false">TEXT(B349,"dd/mm/yyyy")</f>
        <v>20/01/2025</v>
      </c>
      <c r="D349" s="0" t="s">
        <v>105</v>
      </c>
      <c r="E349" s="0" t="n">
        <v>8033841913</v>
      </c>
      <c r="F349" s="0" t="s">
        <v>67</v>
      </c>
      <c r="G349" s="0" t="s">
        <v>2316</v>
      </c>
      <c r="H349" s="0" t="s">
        <v>955</v>
      </c>
      <c r="I349" s="0" t="s">
        <v>107</v>
      </c>
      <c r="J349" s="0" t="s">
        <v>2322</v>
      </c>
      <c r="K349" s="3" t="str">
        <f aca="false" t="array" ref="K349:K349">IFERROR(IF(J349&lt;&gt;"",J349,INDEX(J349:J1348,MATCH(1,(F349:F1348=F349)*(I349:I1348=I349)*(L349:L1348=L349)*(J349:J1348&lt;&gt;""),0))),"Not Found")</f>
        <v>Brake Failure</v>
      </c>
      <c r="L349" s="3" t="s">
        <v>142</v>
      </c>
      <c r="M349" s="0" t="str">
        <f aca="false">PROPER(L349)</f>
        <v>Oil Filter, Brake Pads</v>
      </c>
      <c r="O349" s="0" t="e">
        <f aca="false" t="array" ref="O349:O349">IF(N349&lt;&gt;"",N349,_xlfn.xlookup(1,(L349:L1348=L349)*(N349:N1348&lt;&gt;""),N349:N1348,"Not Found"))</f>
        <v>#NAME?</v>
      </c>
      <c r="P349" s="4" t="n">
        <v>66550</v>
      </c>
      <c r="Q349" s="0" t="s">
        <v>49</v>
      </c>
      <c r="R349" s="0" t="str">
        <f aca="false">PROPER(Q349)</f>
        <v>Transfer</v>
      </c>
      <c r="S349" s="0" t="s">
        <v>50</v>
      </c>
      <c r="T349" s="0" t="n">
        <v>3</v>
      </c>
      <c r="U349" s="5" t="n">
        <f aca="false">IF(ISBLANK(T349),AVERAGE(T349:T1348),T349)</f>
        <v>3</v>
      </c>
      <c r="V349" s="0" t="n">
        <v>3.3</v>
      </c>
      <c r="W349" s="0" t="s">
        <v>92</v>
      </c>
      <c r="X349" s="0" t="str">
        <f aca="false">IF(ISBLANK(W349),"No remarks",W349)</f>
        <v>Urgent service</v>
      </c>
      <c r="Y349" s="0" t="s">
        <v>52</v>
      </c>
      <c r="AA349" s="0" t="str">
        <f aca="false">PROPER(IF(ISBLANK(Z349),"Location Unavailable",Z349))</f>
        <v>Location Unavailable</v>
      </c>
      <c r="AB349" s="0" t="s">
        <v>75</v>
      </c>
      <c r="AC349" s="6" t="str">
        <f aca="false">PROPER(AB349)</f>
        <v>Mechanik Referal</v>
      </c>
      <c r="AD349" s="6" t="n">
        <v>60</v>
      </c>
      <c r="AE349" s="5" t="n">
        <f aca="false">IF(ISBLANK(AD349),AVERAGEIF(L349:L1348,L349,AD349:AD1348),AD349)</f>
        <v>60</v>
      </c>
      <c r="AF349" s="0" t="s">
        <v>76</v>
      </c>
      <c r="AG349" s="0" t="str">
        <f aca="false">PROPER(AF349)</f>
        <v>Orderd</v>
      </c>
      <c r="AH349" s="0" t="s">
        <v>56</v>
      </c>
      <c r="AI349" s="0" t="s">
        <v>113</v>
      </c>
      <c r="AJ349" s="0" t="str">
        <f aca="false">PROPER(AI349)</f>
        <v>Normal</v>
      </c>
      <c r="AK349" s="0" t="s">
        <v>58</v>
      </c>
      <c r="AL349" s="0" t="str">
        <f aca="false">PROPER(AK349)</f>
        <v>Fleet Owner</v>
      </c>
      <c r="AM349" s="0" t="s">
        <v>2326</v>
      </c>
      <c r="AN349" s="0" t="str">
        <f aca="false">IF(ISBLANK(AM349),"Unknown",AM349)</f>
        <v>Government Convoy</v>
      </c>
      <c r="AO349" s="0" t="s">
        <v>161</v>
      </c>
      <c r="AP349" s="0" t="str">
        <f aca="false">IF(ISBLANK(AO349),"Unknown",AO349)</f>
        <v>Apprentice</v>
      </c>
      <c r="AQ349" s="0" t="n">
        <v>25000</v>
      </c>
      <c r="AR349" s="5" t="n">
        <f aca="false">IF(ISBLANK(AQ349),AVERAGEIF(M349:M1348,M349,AQ349:AQ1348),AQ349)</f>
        <v>25000</v>
      </c>
      <c r="AS349" s="0" t="n">
        <v>35000</v>
      </c>
      <c r="AT349" s="5" t="n">
        <f aca="false">IF(ISBLANK(AS349),AVERAGE(AS349:AS1348),AS349)</f>
        <v>35000</v>
      </c>
      <c r="AU349" s="0" t="s">
        <v>63</v>
      </c>
      <c r="AV349" s="0" t="str">
        <f aca="false">PROPER(IF(ISBLANK(AU349),"No",AU349))</f>
        <v>Yes</v>
      </c>
      <c r="AW349" s="0" t="n">
        <v>0</v>
      </c>
      <c r="AX349" s="5" t="n">
        <f aca="false">IF(ISBLANK(AW349),0,AW349)</f>
        <v>0</v>
      </c>
      <c r="AY349" s="0" t="s">
        <v>80</v>
      </c>
      <c r="AZ349" s="0" t="str">
        <f aca="false">UPPER(IF(ISBLANK(AY349),"NONE",AY349))</f>
        <v>PROMO10</v>
      </c>
      <c r="BA349" s="7" t="n">
        <v>45887</v>
      </c>
      <c r="BB349" s="7" t="n">
        <f aca="false">IF(ISBLANK(BA349),"No Follow Up Needed",BA349)</f>
        <v>45887</v>
      </c>
      <c r="BC349" s="0" t="s">
        <v>63</v>
      </c>
      <c r="BD349" s="0" t="str">
        <f aca="false">PROPER(IF(ISBLANK(BC349),"Unknown",BC349))</f>
        <v>Yes</v>
      </c>
      <c r="BE349" s="0" t="s">
        <v>171</v>
      </c>
      <c r="BF349" s="0" t="str">
        <f aca="false">IF(ISBLANK(BE349),"No comments",BE349)</f>
        <v>Shock absorber weakening</v>
      </c>
      <c r="BG349" s="0" t="s">
        <v>172</v>
      </c>
      <c r="BH349" s="0" t="str">
        <f aca="false">IF(ISBLANK(BG349),"No comments",BG349)</f>
        <v>Always late</v>
      </c>
      <c r="BI349" s="0" t="s">
        <v>50</v>
      </c>
      <c r="BJ349" s="0" t="str">
        <f aca="false">IF(ISBLANK(BI349),"Not Mentioned",BI349)</f>
        <v>No</v>
      </c>
      <c r="BK349" s="0" t="s">
        <v>50</v>
      </c>
      <c r="BL349" s="0" t="str">
        <f aca="false">PROPER(IF(ISBLANK(BK349),"Not Mentioned",BK349))</f>
        <v>No</v>
      </c>
      <c r="BM349" s="0" t="s">
        <v>50</v>
      </c>
      <c r="BN349" s="0" t="str">
        <f aca="false">PROPER(IF(ISBLANK(BM349),"Not Mentioned",BM349))</f>
        <v>No</v>
      </c>
      <c r="BO349" s="0" t="s">
        <v>2321</v>
      </c>
      <c r="BP349" s="0" t="str">
        <f aca="false">IF(ISBLANK(BO349),"One-Time Plan",BO349)</f>
        <v>One-Time Plan</v>
      </c>
      <c r="BQ349" s="0" t="s">
        <v>50</v>
      </c>
      <c r="BR349" s="0" t="str">
        <f aca="false">PROPER(IF(ISBLANK(BQ349),"No",BQ349))</f>
        <v>No</v>
      </c>
    </row>
    <row r="350" customFormat="false" ht="15" hidden="false" customHeight="false" outlineLevel="0" collapsed="false">
      <c r="A350" s="0" t="s">
        <v>956</v>
      </c>
      <c r="B350" s="2" t="n">
        <v>45702</v>
      </c>
      <c r="C350" s="2" t="str">
        <f aca="false">TEXT(B350,"dd/mm/yyyy")</f>
        <v>14/02/2025</v>
      </c>
      <c r="D350" s="0" t="s">
        <v>163</v>
      </c>
      <c r="E350" s="0" t="n">
        <v>8014302906</v>
      </c>
      <c r="F350" s="0" t="s">
        <v>85</v>
      </c>
      <c r="G350" s="0" t="s">
        <v>2319</v>
      </c>
      <c r="H350" s="0" t="s">
        <v>957</v>
      </c>
      <c r="I350" s="0" t="s">
        <v>87</v>
      </c>
      <c r="J350" s="0" t="s">
        <v>87</v>
      </c>
      <c r="K350" s="3" t="str">
        <f aca="false" t="array" ref="K350:K350">IFERROR(IF(J350&lt;&gt;"",J350,INDEX(J350:J1349,MATCH(1,(F350:F1349=F350)*(I350:I1349=I350)*(L350:L1349=L350)*(J350:J1349&lt;&gt;""),0))),"Not Found")</f>
        <v>Oil Change</v>
      </c>
      <c r="L350" s="3" t="s">
        <v>189</v>
      </c>
      <c r="M350" s="0" t="str">
        <f aca="false">PROPER(L350)</f>
        <v>Battery</v>
      </c>
      <c r="N350" s="3" t="s">
        <v>48</v>
      </c>
      <c r="O350" s="0" t="str">
        <f aca="false" t="array" ref="O350:O350">IF(N350&lt;&gt;"",N350,_xlfn.xlookup(1,(L350:L1349=L350)*(N350:N1349&lt;&gt;""),N350:N1349,"Not Found"))</f>
        <v>Uche</v>
      </c>
      <c r="P350" s="4" t="n">
        <v>59844</v>
      </c>
      <c r="Q350" s="0" t="s">
        <v>49</v>
      </c>
      <c r="R350" s="0" t="str">
        <f aca="false">PROPER(Q350)</f>
        <v>Transfer</v>
      </c>
      <c r="S350" s="0" t="s">
        <v>63</v>
      </c>
      <c r="T350" s="0" t="n">
        <v>1</v>
      </c>
      <c r="U350" s="5" t="n">
        <f aca="false">IF(ISBLANK(T350),AVERAGE(T350:T1349),T350)</f>
        <v>1</v>
      </c>
      <c r="V350" s="0" t="n">
        <v>1.4</v>
      </c>
      <c r="W350" s="0" t="s">
        <v>125</v>
      </c>
      <c r="X350" s="0" t="str">
        <f aca="false">IF(ISBLANK(W350),"No remarks",W350)</f>
        <v>Customer waited</v>
      </c>
      <c r="Y350" s="0" t="s">
        <v>73</v>
      </c>
      <c r="Z350" s="0" t="s">
        <v>136</v>
      </c>
      <c r="AA350" s="0" t="str">
        <f aca="false">PROPER(IF(ISBLANK(Z350),"Location Unavailable",Z350))</f>
        <v>Vip Section</v>
      </c>
      <c r="AB350" s="0" t="s">
        <v>95</v>
      </c>
      <c r="AC350" s="6" t="str">
        <f aca="false">PROPER(AB350)</f>
        <v>Road Sign</v>
      </c>
      <c r="AD350" s="6" t="n">
        <v>30</v>
      </c>
      <c r="AE350" s="5" t="n">
        <f aca="false">IF(ISBLANK(AD350),AVERAGEIF(L350:L1349,L350,AD350:AD1349),AD350)</f>
        <v>30</v>
      </c>
      <c r="AF350" s="0" t="s">
        <v>112</v>
      </c>
      <c r="AG350" s="0" t="str">
        <f aca="false">PROPER(AF350)</f>
        <v>Unavailable</v>
      </c>
      <c r="AH350" s="0" t="s">
        <v>148</v>
      </c>
      <c r="AI350" s="0" t="s">
        <v>113</v>
      </c>
      <c r="AJ350" s="0" t="str">
        <f aca="false">PROPER(AI350)</f>
        <v>Normal</v>
      </c>
      <c r="AK350" s="0" t="s">
        <v>196</v>
      </c>
      <c r="AL350" s="0" t="str">
        <f aca="false">PROPER(AK350)</f>
        <v>First Time</v>
      </c>
      <c r="AN350" s="0" t="str">
        <f aca="false">IF(ISBLANK(AM350),"Unknown",AM350)</f>
        <v>Unknown</v>
      </c>
      <c r="AP350" s="0" t="str">
        <f aca="false">IF(ISBLANK(AO350),"Unknown",AO350)</f>
        <v>Unknown</v>
      </c>
      <c r="AQ350" s="0" t="n">
        <v>15000</v>
      </c>
      <c r="AR350" s="5" t="n">
        <f aca="false">IF(ISBLANK(AQ350),AVERAGEIF(M350:M1349,M350,AQ350:AQ1349),AQ350)</f>
        <v>15000</v>
      </c>
      <c r="AS350" s="0" t="n">
        <v>35000</v>
      </c>
      <c r="AT350" s="5" t="n">
        <f aca="false">IF(ISBLANK(AS350),AVERAGE(AS350:AS1349),AS350)</f>
        <v>35000</v>
      </c>
      <c r="AU350" s="0" t="s">
        <v>82</v>
      </c>
      <c r="AV350" s="0" t="str">
        <f aca="false">PROPER(IF(ISBLANK(AU350),"No",AU350))</f>
        <v>Yes</v>
      </c>
      <c r="AX350" s="5" t="n">
        <f aca="false">IF(ISBLANK(AW350),0,AW350)</f>
        <v>0</v>
      </c>
      <c r="AY350" s="0" t="s">
        <v>60</v>
      </c>
      <c r="AZ350" s="0" t="str">
        <f aca="false">UPPER(IF(ISBLANK(AY350),"NONE",AY350))</f>
        <v>NONE</v>
      </c>
      <c r="BA350" s="7" t="n">
        <v>46009</v>
      </c>
      <c r="BB350" s="7" t="n">
        <f aca="false">IF(ISBLANK(BA350),"No Follow Up Needed",BA350)</f>
        <v>46009</v>
      </c>
      <c r="BC350" s="0" t="s">
        <v>50</v>
      </c>
      <c r="BD350" s="0" t="str">
        <f aca="false">PROPER(IF(ISBLANK(BC350),"Unknown",BC350))</f>
        <v>No</v>
      </c>
      <c r="BE350" s="0" t="s">
        <v>171</v>
      </c>
      <c r="BF350" s="0" t="str">
        <f aca="false">IF(ISBLANK(BE350),"No comments",BE350)</f>
        <v>Shock absorber weakening</v>
      </c>
      <c r="BH350" s="0" t="str">
        <f aca="false">IF(ISBLANK(BG350),"No comments",BG350)</f>
        <v>No comments</v>
      </c>
      <c r="BJ350" s="0" t="str">
        <f aca="false">IF(ISBLANK(BI350),"Not Mentioned",BI350)</f>
        <v>Not Mentioned</v>
      </c>
      <c r="BK350" s="0" t="s">
        <v>50</v>
      </c>
      <c r="BL350" s="0" t="str">
        <f aca="false">PROPER(IF(ISBLANK(BK350),"Not Mentioned",BK350))</f>
        <v>No</v>
      </c>
      <c r="BM350" s="0" t="s">
        <v>63</v>
      </c>
      <c r="BN350" s="0" t="str">
        <f aca="false">PROPER(IF(ISBLANK(BM350),"Not Mentioned",BM350))</f>
        <v>Yes</v>
      </c>
      <c r="BO350" s="0" t="s">
        <v>2321</v>
      </c>
      <c r="BP350" s="0" t="str">
        <f aca="false">IF(ISBLANK(BO350),"One-Time Plan",BO350)</f>
        <v>One-Time Plan</v>
      </c>
      <c r="BQ350" s="0" t="s">
        <v>50</v>
      </c>
      <c r="BR350" s="0" t="str">
        <f aca="false">PROPER(IF(ISBLANK(BQ350),"No",BQ350))</f>
        <v>No</v>
      </c>
    </row>
    <row r="351" customFormat="false" ht="15" hidden="false" customHeight="false" outlineLevel="0" collapsed="false">
      <c r="A351" s="0" t="s">
        <v>958</v>
      </c>
      <c r="B351" s="2" t="n">
        <v>45810</v>
      </c>
      <c r="C351" s="2" t="str">
        <f aca="false">TEXT(B351,"dd/mm/yyyy")</f>
        <v>02/06/2025</v>
      </c>
      <c r="D351" s="0" t="s">
        <v>42</v>
      </c>
      <c r="E351" s="0" t="n">
        <v>8090982133</v>
      </c>
      <c r="F351" s="0" t="s">
        <v>139</v>
      </c>
      <c r="G351" s="0" t="s">
        <v>2323</v>
      </c>
      <c r="H351" s="0" t="s">
        <v>844</v>
      </c>
      <c r="I351" s="0" t="s">
        <v>69</v>
      </c>
      <c r="J351" s="0" t="s">
        <v>2317</v>
      </c>
      <c r="K351" s="3" t="str">
        <f aca="false" t="array" ref="K351:K351">IFERROR(IF(J351&lt;&gt;"",J351,INDEX(J351:J1350,MATCH(1,(F351:F1350=F351)*(I351:I1350=I351)*(L351:L1350=L351)*(J351:J1350&lt;&gt;""),0))),"Not Found")</f>
        <v>Suspension Noise</v>
      </c>
      <c r="L351" s="3" t="s">
        <v>189</v>
      </c>
      <c r="M351" s="0" t="str">
        <f aca="false">PROPER(L351)</f>
        <v>Battery</v>
      </c>
      <c r="O351" s="0" t="e">
        <f aca="false" t="array" ref="O351:O351">IF(N351&lt;&gt;"",N351,_xlfn.xlookup(1,(L351:L1350=L351)*(N351:N1350&lt;&gt;""),N351:N1350,"Not Found"))</f>
        <v>#NAME?</v>
      </c>
      <c r="P351" s="4" t="n">
        <v>54212</v>
      </c>
      <c r="Q351" s="0" t="s">
        <v>110</v>
      </c>
      <c r="R351" s="0" t="str">
        <f aca="false">PROPER(Q351)</f>
        <v>Cash</v>
      </c>
      <c r="S351" s="0" t="s">
        <v>50</v>
      </c>
      <c r="T351" s="0" t="n">
        <v>3</v>
      </c>
      <c r="U351" s="5" t="n">
        <f aca="false">IF(ISBLANK(T351),AVERAGE(T351:T1350),T351)</f>
        <v>3</v>
      </c>
      <c r="V351" s="0" t="n">
        <v>1.1</v>
      </c>
      <c r="W351" s="0" t="s">
        <v>51</v>
      </c>
      <c r="X351" s="0" t="str">
        <f aca="false">IF(ISBLANK(W351),"No remarks",W351)</f>
        <v>Recommended further checks</v>
      </c>
      <c r="Y351" s="0" t="s">
        <v>52</v>
      </c>
      <c r="Z351" s="0" t="s">
        <v>136</v>
      </c>
      <c r="AA351" s="0" t="str">
        <f aca="false">PROPER(IF(ISBLANK(Z351),"Location Unavailable",Z351))</f>
        <v>Vip Section</v>
      </c>
      <c r="AB351" s="0" t="s">
        <v>54</v>
      </c>
      <c r="AC351" s="6" t="str">
        <f aca="false">PROPER(AB351)</f>
        <v>Mechanic Referral</v>
      </c>
      <c r="AE351" s="5" t="n">
        <f aca="false">IF(ISBLANK(AD351),AVERAGEIF(L351:L1350,L351,AD351:AD1350),AD351)</f>
        <v>40.4430379746835</v>
      </c>
      <c r="AF351" s="0" t="s">
        <v>76</v>
      </c>
      <c r="AG351" s="0" t="str">
        <f aca="false">PROPER(AF351)</f>
        <v>Orderd</v>
      </c>
      <c r="AH351" s="0" t="s">
        <v>148</v>
      </c>
      <c r="AI351" s="0" t="s">
        <v>98</v>
      </c>
      <c r="AJ351" s="0" t="str">
        <f aca="false">PROPER(AI351)</f>
        <v>Emergency</v>
      </c>
      <c r="AK351" s="0" t="s">
        <v>114</v>
      </c>
      <c r="AL351" s="0" t="str">
        <f aca="false">PROPER(AK351)</f>
        <v>Returning</v>
      </c>
      <c r="AN351" s="0" t="str">
        <f aca="false">IF(ISBLANK(AM351),"Unknown",AM351)</f>
        <v>Unknown</v>
      </c>
      <c r="AP351" s="0" t="str">
        <f aca="false">IF(ISBLANK(AO351),"Unknown",AO351)</f>
        <v>Unknown</v>
      </c>
      <c r="AQ351" s="0" t="n">
        <v>40000</v>
      </c>
      <c r="AR351" s="5" t="n">
        <f aca="false">IF(ISBLANK(AQ351),AVERAGEIF(M351:M1350,M351,AQ351:AQ1350),AQ351)</f>
        <v>40000</v>
      </c>
      <c r="AS351" s="0" t="n">
        <v>30000</v>
      </c>
      <c r="AT351" s="5" t="n">
        <f aca="false">IF(ISBLANK(AS351),AVERAGE(AS351:AS1350),AS351)</f>
        <v>30000</v>
      </c>
      <c r="AU351" s="0" t="s">
        <v>50</v>
      </c>
      <c r="AV351" s="0" t="str">
        <f aca="false">PROPER(IF(ISBLANK(AU351),"No",AU351))</f>
        <v>No</v>
      </c>
      <c r="AW351" s="0" t="n">
        <v>0</v>
      </c>
      <c r="AX351" s="5" t="n">
        <f aca="false">IF(ISBLANK(AW351),0,AW351)</f>
        <v>0</v>
      </c>
      <c r="AZ351" s="0" t="str">
        <f aca="false">UPPER(IF(ISBLANK(AY351),"NONE",AY351))</f>
        <v>NONE</v>
      </c>
      <c r="BA351" s="7" t="s">
        <v>959</v>
      </c>
      <c r="BB351" s="7" t="str">
        <f aca="false">IF(ISBLANK(BA351),"No Follow Up Needed",BA351)</f>
        <v>20/12/2025</v>
      </c>
      <c r="BC351" s="0" t="s">
        <v>50</v>
      </c>
      <c r="BD351" s="0" t="str">
        <f aca="false">PROPER(IF(ISBLANK(BC351),"Unknown",BC351))</f>
        <v>No</v>
      </c>
      <c r="BF351" s="0" t="str">
        <f aca="false">IF(ISBLANK(BE351),"No comments",BE351)</f>
        <v>No comments</v>
      </c>
      <c r="BG351" s="0" t="s">
        <v>172</v>
      </c>
      <c r="BH351" s="0" t="str">
        <f aca="false">IF(ISBLANK(BG351),"No comments",BG351)</f>
        <v>Always late</v>
      </c>
      <c r="BI351" s="0" t="s">
        <v>50</v>
      </c>
      <c r="BJ351" s="0" t="str">
        <f aca="false">IF(ISBLANK(BI351),"Not Mentioned",BI351)</f>
        <v>No</v>
      </c>
      <c r="BK351" s="0" t="s">
        <v>63</v>
      </c>
      <c r="BL351" s="0" t="str">
        <f aca="false">PROPER(IF(ISBLANK(BK351),"Not Mentioned",BK351))</f>
        <v>Yes</v>
      </c>
      <c r="BN351" s="0" t="str">
        <f aca="false">PROPER(IF(ISBLANK(BM351),"Not Mentioned",BM351))</f>
        <v>Not Mentioned</v>
      </c>
      <c r="BO351" s="0" t="s">
        <v>2318</v>
      </c>
      <c r="BP351" s="0" t="str">
        <f aca="false">IF(ISBLANK(BO351),"One-Time Plan",BO351)</f>
        <v>Gold</v>
      </c>
      <c r="BQ351" s="0" t="s">
        <v>63</v>
      </c>
      <c r="BR351" s="0" t="str">
        <f aca="false">PROPER(IF(ISBLANK(BQ351),"No",BQ351))</f>
        <v>Yes</v>
      </c>
    </row>
    <row r="352" customFormat="false" ht="15" hidden="false" customHeight="false" outlineLevel="0" collapsed="false">
      <c r="A352" s="0" t="s">
        <v>960</v>
      </c>
      <c r="B352" s="2" t="n">
        <v>45805</v>
      </c>
      <c r="C352" s="2" t="str">
        <f aca="false">TEXT(B352,"dd/mm/yyyy")</f>
        <v>28/05/2025</v>
      </c>
      <c r="D352" s="0" t="s">
        <v>42</v>
      </c>
      <c r="E352" s="0" t="n">
        <v>8075580570</v>
      </c>
      <c r="F352" s="0" t="s">
        <v>139</v>
      </c>
      <c r="G352" s="0" t="s">
        <v>2323</v>
      </c>
      <c r="H352" s="0" t="s">
        <v>961</v>
      </c>
      <c r="I352" s="0" t="s">
        <v>134</v>
      </c>
      <c r="J352" s="0" t="s">
        <v>2317</v>
      </c>
      <c r="K352" s="3" t="str">
        <f aca="false" t="array" ref="K352:K352">IFERROR(IF(J352&lt;&gt;"",J352,INDEX(J352:J1351,MATCH(1,(F352:F1351=F352)*(I352:I1351=I352)*(L352:L1351=L352)*(J352:J1351&lt;&gt;""),0))),"Not Found")</f>
        <v>Suspension Noise</v>
      </c>
      <c r="L352" s="3" t="s">
        <v>154</v>
      </c>
      <c r="M352" s="0" t="str">
        <f aca="false">PROPER(L352)</f>
        <v>Air Filter</v>
      </c>
      <c r="N352" s="3" t="s">
        <v>48</v>
      </c>
      <c r="O352" s="0" t="str">
        <f aca="false" t="array" ref="O352:O352">IF(N352&lt;&gt;"",N352,_xlfn.xlookup(1,(L352:L1351=L352)*(N352:N1351&lt;&gt;""),N352:N1351,"Not Found"))</f>
        <v>Uche</v>
      </c>
      <c r="P352" s="4" t="n">
        <v>37315</v>
      </c>
      <c r="Q352" s="0" t="s">
        <v>49</v>
      </c>
      <c r="R352" s="0" t="str">
        <f aca="false">PROPER(Q352)</f>
        <v>Transfer</v>
      </c>
      <c r="S352" s="0" t="s">
        <v>50</v>
      </c>
      <c r="T352" s="0" t="n">
        <v>1</v>
      </c>
      <c r="U352" s="5" t="n">
        <f aca="false">IF(ISBLANK(T352),AVERAGE(T352:T1351),T352)</f>
        <v>1</v>
      </c>
      <c r="V352" s="0" t="n">
        <v>2.6</v>
      </c>
      <c r="W352" s="0" t="s">
        <v>92</v>
      </c>
      <c r="X352" s="0" t="str">
        <f aca="false">IF(ISBLANK(W352),"No remarks",W352)</f>
        <v>Urgent service</v>
      </c>
      <c r="Y352" s="0" t="s">
        <v>73</v>
      </c>
      <c r="Z352" s="0" t="s">
        <v>159</v>
      </c>
      <c r="AA352" s="0" t="str">
        <f aca="false">PROPER(IF(ISBLANK(Z352),"Location Unavailable",Z352))</f>
        <v>Main Bay</v>
      </c>
      <c r="AB352" s="0" t="s">
        <v>147</v>
      </c>
      <c r="AC352" s="6" t="str">
        <f aca="false">PROPER(AB352)</f>
        <v>Instagram</v>
      </c>
      <c r="AD352" s="6" t="n">
        <v>45</v>
      </c>
      <c r="AE352" s="5" t="n">
        <f aca="false">IF(ISBLANK(AD352),AVERAGEIF(L352:L1351,L352,AD352:AD1351),AD352)</f>
        <v>45</v>
      </c>
      <c r="AF352" s="0" t="s">
        <v>160</v>
      </c>
      <c r="AG352" s="0" t="str">
        <f aca="false">PROPER(AF352)</f>
        <v>Availaible</v>
      </c>
      <c r="AH352" s="0" t="s">
        <v>148</v>
      </c>
      <c r="AI352" s="0" t="s">
        <v>98</v>
      </c>
      <c r="AJ352" s="0" t="str">
        <f aca="false">PROPER(AI352)</f>
        <v>Emergency</v>
      </c>
      <c r="AK352" s="0" t="s">
        <v>58</v>
      </c>
      <c r="AL352" s="0" t="str">
        <f aca="false">PROPER(AK352)</f>
        <v>Fleet Owner</v>
      </c>
      <c r="AM352" s="0" t="s">
        <v>177</v>
      </c>
      <c r="AN352" s="0" t="str">
        <f aca="false">IF(ISBLANK(AM352),"Unknown",AM352)</f>
        <v>Private</v>
      </c>
      <c r="AO352" s="0" t="s">
        <v>143</v>
      </c>
      <c r="AP352" s="0" t="str">
        <f aca="false">IF(ISBLANK(AO352),"Unknown",AO352)</f>
        <v>Senior</v>
      </c>
      <c r="AQ352" s="0" t="n">
        <v>30000</v>
      </c>
      <c r="AR352" s="5" t="n">
        <f aca="false">IF(ISBLANK(AQ352),AVERAGEIF(M352:M1351,M352,AQ352:AQ1351),AQ352)</f>
        <v>30000</v>
      </c>
      <c r="AT352" s="5" t="n">
        <f aca="false">IF(ISBLANK(AS352),AVERAGE(AS352:AS1351),AS352)</f>
        <v>31453.7037037037</v>
      </c>
      <c r="AU352" s="0" t="s">
        <v>82</v>
      </c>
      <c r="AV352" s="0" t="str">
        <f aca="false">PROPER(IF(ISBLANK(AU352),"No",AU352))</f>
        <v>Yes</v>
      </c>
      <c r="AW352" s="0" t="n">
        <v>10000</v>
      </c>
      <c r="AX352" s="5" t="n">
        <f aca="false">IF(ISBLANK(AW352),0,AW352)</f>
        <v>10000</v>
      </c>
      <c r="AY352" s="0" t="s">
        <v>130</v>
      </c>
      <c r="AZ352" s="0" t="str">
        <f aca="false">UPPER(IF(ISBLANK(AY352),"NONE",AY352))</f>
        <v>LOYALTY10</v>
      </c>
      <c r="BA352" s="7" t="s">
        <v>962</v>
      </c>
      <c r="BB352" s="7" t="str">
        <f aca="false">IF(ISBLANK(BA352),"No Follow Up Needed",BA352)</f>
        <v>29/07/2025</v>
      </c>
      <c r="BC352" s="0" t="s">
        <v>61</v>
      </c>
      <c r="BD352" s="0" t="str">
        <f aca="false">PROPER(IF(ISBLANK(BC352),"Unknown",BC352))</f>
        <v>No</v>
      </c>
      <c r="BE352" s="0" t="s">
        <v>171</v>
      </c>
      <c r="BF352" s="0" t="str">
        <f aca="false">IF(ISBLANK(BE352),"No comments",BE352)</f>
        <v>Shock absorber weakening</v>
      </c>
      <c r="BH352" s="0" t="str">
        <f aca="false">IF(ISBLANK(BG352),"No comments",BG352)</f>
        <v>No comments</v>
      </c>
      <c r="BI352" s="0" t="s">
        <v>63</v>
      </c>
      <c r="BJ352" s="0" t="str">
        <f aca="false">IF(ISBLANK(BI352),"Not Mentioned",BI352)</f>
        <v>Yes</v>
      </c>
      <c r="BK352" s="0" t="s">
        <v>61</v>
      </c>
      <c r="BL352" s="0" t="str">
        <f aca="false">PROPER(IF(ISBLANK(BK352),"Not Mentioned",BK352))</f>
        <v>No</v>
      </c>
      <c r="BM352" s="0" t="s">
        <v>50</v>
      </c>
      <c r="BN352" s="0" t="str">
        <f aca="false">PROPER(IF(ISBLANK(BM352),"Not Mentioned",BM352))</f>
        <v>No</v>
      </c>
      <c r="BO352" s="0" t="s">
        <v>2321</v>
      </c>
      <c r="BP352" s="0" t="str">
        <f aca="false">IF(ISBLANK(BO352),"One-Time Plan",BO352)</f>
        <v>One-Time Plan</v>
      </c>
      <c r="BQ352" s="0" t="s">
        <v>190</v>
      </c>
      <c r="BR352" s="0" t="str">
        <f aca="false">PROPER(IF(ISBLANK(BQ352),"No",BQ352))</f>
        <v>Yes</v>
      </c>
    </row>
    <row r="353" customFormat="false" ht="15" hidden="false" customHeight="false" outlineLevel="0" collapsed="false">
      <c r="A353" s="0" t="s">
        <v>964</v>
      </c>
      <c r="B353" s="2" t="s">
        <v>963</v>
      </c>
      <c r="C353" s="2" t="str">
        <f aca="false">TEXT(B353,"dd/mm/yyyy")</f>
        <v>31/03/2025</v>
      </c>
      <c r="D353" s="0" t="s">
        <v>66</v>
      </c>
      <c r="E353" s="0" t="n">
        <v>8013602203</v>
      </c>
      <c r="F353" s="0" t="s">
        <v>67</v>
      </c>
      <c r="G353" s="0" t="s">
        <v>2316</v>
      </c>
      <c r="H353" s="0" t="s">
        <v>965</v>
      </c>
      <c r="I353" s="0" t="s">
        <v>87</v>
      </c>
      <c r="J353" s="0" t="s">
        <v>2317</v>
      </c>
      <c r="K353" s="3" t="str">
        <f aca="false" t="array" ref="K353:K353">IFERROR(IF(J353&lt;&gt;"",J353,INDEX(J353:J1352,MATCH(1,(F353:F1352=F353)*(I353:I1352=I353)*(L353:L1352=L353)*(J353:J1352&lt;&gt;""),0))),"Not Found")</f>
        <v>Suspension Noise</v>
      </c>
      <c r="L353" s="3" t="s">
        <v>142</v>
      </c>
      <c r="M353" s="0" t="str">
        <f aca="false">PROPER(L353)</f>
        <v>Oil Filter, Brake Pads</v>
      </c>
      <c r="N353" s="3" t="s">
        <v>71</v>
      </c>
      <c r="O353" s="0" t="str">
        <f aca="false" t="array" ref="O353:O353">IF(N353&lt;&gt;"",N353,_xlfn.xlookup(1,(L353:L1352=L353)*(N353:N1352&lt;&gt;""),N353:N1352,"Not Found"))</f>
        <v>Isaac Bobo</v>
      </c>
      <c r="P353" s="4" t="n">
        <v>80274</v>
      </c>
      <c r="Q353" s="0" t="s">
        <v>72</v>
      </c>
      <c r="R353" s="0" t="str">
        <f aca="false">PROPER(Q353)</f>
        <v>Pos</v>
      </c>
      <c r="S353" s="0" t="s">
        <v>50</v>
      </c>
      <c r="T353" s="0" t="n">
        <v>4</v>
      </c>
      <c r="U353" s="5" t="n">
        <f aca="false">IF(ISBLANK(T353),AVERAGE(T353:T1352),T353)</f>
        <v>4</v>
      </c>
      <c r="V353" s="0" t="n">
        <v>3.9</v>
      </c>
      <c r="W353" s="0" t="s">
        <v>111</v>
      </c>
      <c r="X353" s="0" t="str">
        <f aca="false">IF(ISBLANK(W353),"No remarks",W353)</f>
        <v>Changed all filters</v>
      </c>
      <c r="Y353" s="0" t="s">
        <v>93</v>
      </c>
      <c r="AA353" s="0" t="str">
        <f aca="false">PROPER(IF(ISBLANK(Z353),"Location Unavailable",Z353))</f>
        <v>Location Unavailable</v>
      </c>
      <c r="AB353" s="0" t="s">
        <v>147</v>
      </c>
      <c r="AC353" s="6" t="str">
        <f aca="false">PROPER(AB353)</f>
        <v>Instagram</v>
      </c>
      <c r="AD353" s="6" t="n">
        <v>45</v>
      </c>
      <c r="AE353" s="5" t="n">
        <f aca="false">IF(ISBLANK(AD353),AVERAGEIF(L353:L1352,L353,AD353:AD1352),AD353)</f>
        <v>45</v>
      </c>
      <c r="AF353" s="0" t="s">
        <v>112</v>
      </c>
      <c r="AG353" s="0" t="str">
        <f aca="false">PROPER(AF353)</f>
        <v>Unavailable</v>
      </c>
      <c r="AH353" s="0" t="s">
        <v>148</v>
      </c>
      <c r="AI353" s="0" t="s">
        <v>98</v>
      </c>
      <c r="AJ353" s="0" t="str">
        <f aca="false">PROPER(AI353)</f>
        <v>Emergency</v>
      </c>
      <c r="AK353" s="0" t="s">
        <v>114</v>
      </c>
      <c r="AL353" s="0" t="str">
        <f aca="false">PROPER(AK353)</f>
        <v>Returning</v>
      </c>
      <c r="AM353" s="0" t="s">
        <v>177</v>
      </c>
      <c r="AN353" s="0" t="str">
        <f aca="false">IF(ISBLANK(AM353),"Unknown",AM353)</f>
        <v>Private</v>
      </c>
      <c r="AO353" s="0" t="s">
        <v>143</v>
      </c>
      <c r="AP353" s="0" t="str">
        <f aca="false">IF(ISBLANK(AO353),"Unknown",AO353)</f>
        <v>Senior</v>
      </c>
      <c r="AQ353" s="0" t="n">
        <v>30000</v>
      </c>
      <c r="AR353" s="5" t="n">
        <f aca="false">IF(ISBLANK(AQ353),AVERAGEIF(M353:M1352,M353,AQ353:AQ1352),AQ353)</f>
        <v>30000</v>
      </c>
      <c r="AS353" s="0" t="n">
        <v>30000</v>
      </c>
      <c r="AT353" s="5" t="n">
        <f aca="false">IF(ISBLANK(AS353),AVERAGE(AS353:AS1352),AS353)</f>
        <v>30000</v>
      </c>
      <c r="AV353" s="0" t="str">
        <f aca="false">PROPER(IF(ISBLANK(AU353),"No",AU353))</f>
        <v>No</v>
      </c>
      <c r="AW353" s="0" t="n">
        <v>10000</v>
      </c>
      <c r="AX353" s="5" t="n">
        <f aca="false">IF(ISBLANK(AW353),0,AW353)</f>
        <v>10000</v>
      </c>
      <c r="AZ353" s="0" t="str">
        <f aca="false">UPPER(IF(ISBLANK(AY353),"NONE",AY353))</f>
        <v>NONE</v>
      </c>
      <c r="BB353" s="7" t="str">
        <f aca="false">IF(ISBLANK(BA353),"No Follow Up Needed",BA353)</f>
        <v>No Follow Up Needed</v>
      </c>
      <c r="BC353" s="0" t="s">
        <v>82</v>
      </c>
      <c r="BD353" s="0" t="str">
        <f aca="false">PROPER(IF(ISBLANK(BC353),"Unknown",BC353))</f>
        <v>Yes</v>
      </c>
      <c r="BF353" s="0" t="str">
        <f aca="false">IF(ISBLANK(BE353),"No comments",BE353)</f>
        <v>No comments</v>
      </c>
      <c r="BH353" s="0" t="str">
        <f aca="false">IF(ISBLANK(BG353),"No comments",BG353)</f>
        <v>No comments</v>
      </c>
      <c r="BI353" s="0" t="s">
        <v>63</v>
      </c>
      <c r="BJ353" s="0" t="str">
        <f aca="false">IF(ISBLANK(BI353),"Not Mentioned",BI353)</f>
        <v>Yes</v>
      </c>
      <c r="BK353" s="0" t="s">
        <v>82</v>
      </c>
      <c r="BL353" s="0" t="str">
        <f aca="false">PROPER(IF(ISBLANK(BK353),"Not Mentioned",BK353))</f>
        <v>Yes</v>
      </c>
      <c r="BM353" s="0" t="s">
        <v>50</v>
      </c>
      <c r="BN353" s="0" t="str">
        <f aca="false">PROPER(IF(ISBLANK(BM353),"Not Mentioned",BM353))</f>
        <v>No</v>
      </c>
      <c r="BO353" s="0" t="s">
        <v>2318</v>
      </c>
      <c r="BP353" s="0" t="str">
        <f aca="false">IF(ISBLANK(BO353),"One-Time Plan",BO353)</f>
        <v>Gold</v>
      </c>
      <c r="BQ353" s="0" t="s">
        <v>50</v>
      </c>
      <c r="BR353" s="0" t="str">
        <f aca="false">PROPER(IF(ISBLANK(BQ353),"No",BQ353))</f>
        <v>No</v>
      </c>
    </row>
    <row r="354" customFormat="false" ht="15" hidden="false" customHeight="false" outlineLevel="0" collapsed="false">
      <c r="A354" s="0" t="s">
        <v>966</v>
      </c>
      <c r="B354" s="2" t="n">
        <v>45688</v>
      </c>
      <c r="C354" s="2" t="str">
        <f aca="false">TEXT(B354,"dd/mm/yyyy")</f>
        <v>31/01/2025</v>
      </c>
      <c r="D354" s="0" t="s">
        <v>121</v>
      </c>
      <c r="E354" s="0" t="n">
        <v>8035057390</v>
      </c>
      <c r="F354" s="0" t="s">
        <v>139</v>
      </c>
      <c r="G354" s="0" t="s">
        <v>2323</v>
      </c>
      <c r="H354" s="0" t="s">
        <v>967</v>
      </c>
      <c r="I354" s="0" t="s">
        <v>45</v>
      </c>
      <c r="J354" s="0" t="s">
        <v>2317</v>
      </c>
      <c r="K354" s="3" t="str">
        <f aca="false" t="array" ref="K354:K354">IFERROR(IF(J354&lt;&gt;"",J354,INDEX(J354:J1353,MATCH(1,(F354:F1353=F354)*(I354:I1353=I354)*(L354:L1353=L354)*(J354:J1353&lt;&gt;""),0))),"Not Found")</f>
        <v>Suspension Noise</v>
      </c>
      <c r="L354" s="3" t="s">
        <v>142</v>
      </c>
      <c r="M354" s="0" t="str">
        <f aca="false">PROPER(L354)</f>
        <v>Oil Filter, Brake Pads</v>
      </c>
      <c r="N354" s="3" t="s">
        <v>71</v>
      </c>
      <c r="O354" s="0" t="str">
        <f aca="false" t="array" ref="O354:O354">IF(N354&lt;&gt;"",N354,_xlfn.xlookup(1,(L354:L1353=L354)*(N354:N1353&lt;&gt;""),N354:N1353,"Not Found"))</f>
        <v>Isaac Bobo</v>
      </c>
      <c r="P354" s="4" t="n">
        <v>11757</v>
      </c>
      <c r="Q354" s="0" t="s">
        <v>72</v>
      </c>
      <c r="R354" s="0" t="str">
        <f aca="false">PROPER(Q354)</f>
        <v>Pos</v>
      </c>
      <c r="S354" s="0" t="s">
        <v>63</v>
      </c>
      <c r="U354" s="5" t="n">
        <f aca="false">IF(ISBLANK(T354),AVERAGE(T354:T1353),T354)</f>
        <v>3.07116104868914</v>
      </c>
      <c r="V354" s="0" t="n">
        <v>2.5</v>
      </c>
      <c r="W354" s="0" t="s">
        <v>111</v>
      </c>
      <c r="X354" s="0" t="str">
        <f aca="false">IF(ISBLANK(W354),"No remarks",W354)</f>
        <v>Changed all filters</v>
      </c>
      <c r="Y354" s="0" t="s">
        <v>93</v>
      </c>
      <c r="AA354" s="0" t="str">
        <f aca="false">PROPER(IF(ISBLANK(Z354),"Location Unavailable",Z354))</f>
        <v>Location Unavailable</v>
      </c>
      <c r="AB354" s="0" t="s">
        <v>147</v>
      </c>
      <c r="AC354" s="6" t="str">
        <f aca="false">PROPER(AB354)</f>
        <v>Instagram</v>
      </c>
      <c r="AD354" s="6" t="n">
        <v>60</v>
      </c>
      <c r="AE354" s="5" t="n">
        <f aca="false">IF(ISBLANK(AD354),AVERAGEIF(L354:L1353,L354,AD354:AD1353),AD354)</f>
        <v>60</v>
      </c>
      <c r="AF354" s="0" t="s">
        <v>55</v>
      </c>
      <c r="AG354" s="0" t="str">
        <f aca="false">PROPER(AF354)</f>
        <v>Available</v>
      </c>
      <c r="AH354" s="0" t="s">
        <v>155</v>
      </c>
      <c r="AI354" s="0" t="s">
        <v>98</v>
      </c>
      <c r="AJ354" s="0" t="str">
        <f aca="false">PROPER(AI354)</f>
        <v>Emergency</v>
      </c>
      <c r="AK354" s="0" t="s">
        <v>196</v>
      </c>
      <c r="AL354" s="0" t="str">
        <f aca="false">PROPER(AK354)</f>
        <v>First Time</v>
      </c>
      <c r="AM354" s="0" t="s">
        <v>59</v>
      </c>
      <c r="AN354" s="0" t="str">
        <f aca="false">IF(ISBLANK(AM354),"Unknown",AM354)</f>
        <v>Bolt Driver</v>
      </c>
      <c r="AO354" s="0" t="s">
        <v>79</v>
      </c>
      <c r="AP354" s="0" t="str">
        <f aca="false">IF(ISBLANK(AO354),"Unknown",AO354)</f>
        <v>Specialist</v>
      </c>
      <c r="AR354" s="5" t="n">
        <f aca="false">IF(ISBLANK(AQ354),AVERAGEIF(M354:M1353,M354,AQ354:AQ1353),AQ354)</f>
        <v>27191.0112359551</v>
      </c>
      <c r="AS354" s="0" t="n">
        <v>30000</v>
      </c>
      <c r="AT354" s="5" t="n">
        <f aca="false">IF(ISBLANK(AS354),AVERAGE(AS354:AS1353),AS354)</f>
        <v>30000</v>
      </c>
      <c r="AU354" s="0" t="s">
        <v>50</v>
      </c>
      <c r="AV354" s="0" t="str">
        <f aca="false">PROPER(IF(ISBLANK(AU354),"No",AU354))</f>
        <v>No</v>
      </c>
      <c r="AW354" s="0" t="n">
        <v>5000</v>
      </c>
      <c r="AX354" s="5" t="n">
        <f aca="false">IF(ISBLANK(AW354),0,AW354)</f>
        <v>5000</v>
      </c>
      <c r="AY354" s="0" t="s">
        <v>130</v>
      </c>
      <c r="AZ354" s="0" t="str">
        <f aca="false">UPPER(IF(ISBLANK(AY354),"NONE",AY354))</f>
        <v>LOYALTY10</v>
      </c>
      <c r="BA354" s="7" t="n">
        <v>45885</v>
      </c>
      <c r="BB354" s="7" t="n">
        <f aca="false">IF(ISBLANK(BA354),"No Follow Up Needed",BA354)</f>
        <v>45885</v>
      </c>
      <c r="BC354" s="0" t="s">
        <v>50</v>
      </c>
      <c r="BD354" s="0" t="str">
        <f aca="false">PROPER(IF(ISBLANK(BC354),"Unknown",BC354))</f>
        <v>No</v>
      </c>
      <c r="BE354" s="0" t="s">
        <v>171</v>
      </c>
      <c r="BF354" s="0" t="str">
        <f aca="false">IF(ISBLANK(BE354),"No comments",BE354)</f>
        <v>Shock absorber weakening</v>
      </c>
      <c r="BG354" s="0" t="s">
        <v>117</v>
      </c>
      <c r="BH354" s="0" t="str">
        <f aca="false">IF(ISBLANK(BG354),"No comments",BG354)</f>
        <v>Prefers morning</v>
      </c>
      <c r="BJ354" s="0" t="str">
        <f aca="false">IF(ISBLANK(BI354),"Not Mentioned",BI354)</f>
        <v>Not Mentioned</v>
      </c>
      <c r="BK354" s="0" t="s">
        <v>50</v>
      </c>
      <c r="BL354" s="0" t="str">
        <f aca="false">PROPER(IF(ISBLANK(BK354),"Not Mentioned",BK354))</f>
        <v>No</v>
      </c>
      <c r="BM354" s="0" t="s">
        <v>63</v>
      </c>
      <c r="BN354" s="0" t="str">
        <f aca="false">PROPER(IF(ISBLANK(BM354),"Not Mentioned",BM354))</f>
        <v>Yes</v>
      </c>
      <c r="BO354" s="0" t="s">
        <v>2321</v>
      </c>
      <c r="BP354" s="0" t="str">
        <f aca="false">IF(ISBLANK(BO354),"One-Time Plan",BO354)</f>
        <v>One-Time Plan</v>
      </c>
      <c r="BQ354" s="0" t="s">
        <v>50</v>
      </c>
      <c r="BR354" s="0" t="str">
        <f aca="false">PROPER(IF(ISBLANK(BQ354),"No",BQ354))</f>
        <v>No</v>
      </c>
    </row>
    <row r="355" customFormat="false" ht="15" hidden="false" customHeight="false" outlineLevel="0" collapsed="false">
      <c r="A355" s="0" t="s">
        <v>968</v>
      </c>
      <c r="B355" s="2" t="n">
        <v>45820</v>
      </c>
      <c r="C355" s="2" t="str">
        <f aca="false">TEXT(B355,"dd/mm/yyyy")</f>
        <v>12/06/2025</v>
      </c>
      <c r="D355" s="0" t="s">
        <v>42</v>
      </c>
      <c r="E355" s="0" t="n">
        <v>8036709158</v>
      </c>
      <c r="F355" s="0" t="s">
        <v>43</v>
      </c>
      <c r="G355" s="0" t="s">
        <v>2315</v>
      </c>
      <c r="H355" s="0" t="s">
        <v>969</v>
      </c>
      <c r="I355" s="0" t="s">
        <v>134</v>
      </c>
      <c r="J355" s="0" t="s">
        <v>2322</v>
      </c>
      <c r="K355" s="3" t="str">
        <f aca="false" t="array" ref="K355:K355">IFERROR(IF(J355&lt;&gt;"",J355,INDEX(J355:J1354,MATCH(1,(F355:F1354=F355)*(I355:I1354=I355)*(L355:L1354=L355)*(J355:J1354&lt;&gt;""),0))),"Not Found")</f>
        <v>Brake Failure</v>
      </c>
      <c r="L355" s="3" t="s">
        <v>108</v>
      </c>
      <c r="M355" s="0" t="str">
        <f aca="false">PROPER(L355)</f>
        <v>Timing Belt</v>
      </c>
      <c r="N355" s="3" t="s">
        <v>109</v>
      </c>
      <c r="O355" s="0" t="str">
        <f aca="false" t="array" ref="O355:O355">IF(N355&lt;&gt;"",N355,_xlfn.xlookup(1,(L355:L1354=L355)*(N355:N1354&lt;&gt;""),N355:N1354,"Not Found"))</f>
        <v>Tijani</v>
      </c>
      <c r="P355" s="4" t="n">
        <v>96551</v>
      </c>
      <c r="Q355" s="0" t="s">
        <v>91</v>
      </c>
      <c r="R355" s="0" t="str">
        <f aca="false">PROPER(Q355)</f>
        <v>Pos</v>
      </c>
      <c r="S355" s="0" t="s">
        <v>63</v>
      </c>
      <c r="T355" s="0" t="n">
        <v>4</v>
      </c>
      <c r="U355" s="5" t="n">
        <f aca="false">IF(ISBLANK(T355),AVERAGE(T355:T1354),T355)</f>
        <v>4</v>
      </c>
      <c r="V355" s="0" t="n">
        <v>5.8</v>
      </c>
      <c r="W355" s="0" t="s">
        <v>92</v>
      </c>
      <c r="X355" s="0" t="str">
        <f aca="false">IF(ISBLANK(W355),"No remarks",W355)</f>
        <v>Urgent service</v>
      </c>
      <c r="Y355" s="0" t="s">
        <v>73</v>
      </c>
      <c r="Z355" s="0" t="s">
        <v>74</v>
      </c>
      <c r="AA355" s="0" t="str">
        <f aca="false">PROPER(IF(ISBLANK(Z355),"Location Unavailable",Z355))</f>
        <v>Under Tree</v>
      </c>
      <c r="AB355" s="0" t="s">
        <v>54</v>
      </c>
      <c r="AC355" s="6" t="str">
        <f aca="false">PROPER(AB355)</f>
        <v>Mechanic Referral</v>
      </c>
      <c r="AD355" s="6" t="n">
        <v>30</v>
      </c>
      <c r="AE355" s="5" t="n">
        <f aca="false">IF(ISBLANK(AD355),AVERAGEIF(L355:L1354,L355,AD355:AD1354),AD355)</f>
        <v>30</v>
      </c>
      <c r="AF355" s="0" t="s">
        <v>96</v>
      </c>
      <c r="AG355" s="0" t="str">
        <f aca="false">PROPER(AF355)</f>
        <v>Ordered</v>
      </c>
      <c r="AH355" s="0" t="s">
        <v>148</v>
      </c>
      <c r="AI355" s="0" t="s">
        <v>98</v>
      </c>
      <c r="AJ355" s="0" t="str">
        <f aca="false">PROPER(AI355)</f>
        <v>Emergency</v>
      </c>
      <c r="AK355" s="0" t="s">
        <v>99</v>
      </c>
      <c r="AL355" s="0" t="str">
        <f aca="false">PROPER(AK355)</f>
        <v>Uber Driver</v>
      </c>
      <c r="AN355" s="0" t="str">
        <f aca="false">IF(ISBLANK(AM355),"Unknown",AM355)</f>
        <v>Unknown</v>
      </c>
      <c r="AP355" s="0" t="str">
        <f aca="false">IF(ISBLANK(AO355),"Unknown",AO355)</f>
        <v>Unknown</v>
      </c>
      <c r="AR355" s="5" t="n">
        <f aca="false">IF(ISBLANK(AQ355),AVERAGEIF(M355:M1354,M355,AQ355:AQ1354),AQ355)</f>
        <v>27795.6989247312</v>
      </c>
      <c r="AS355" s="0" t="n">
        <v>30000</v>
      </c>
      <c r="AT355" s="5" t="n">
        <f aca="false">IF(ISBLANK(AS355),AVERAGE(AS355:AS1354),AS355)</f>
        <v>30000</v>
      </c>
      <c r="AV355" s="0" t="str">
        <f aca="false">PROPER(IF(ISBLANK(AU355),"No",AU355))</f>
        <v>No</v>
      </c>
      <c r="AW355" s="0" t="n">
        <v>0</v>
      </c>
      <c r="AX355" s="5" t="n">
        <f aca="false">IF(ISBLANK(AW355),0,AW355)</f>
        <v>0</v>
      </c>
      <c r="AY355" s="0" t="s">
        <v>60</v>
      </c>
      <c r="AZ355" s="0" t="str">
        <f aca="false">UPPER(IF(ISBLANK(AY355),"NONE",AY355))</f>
        <v>NONE</v>
      </c>
      <c r="BA355" s="7" t="s">
        <v>970</v>
      </c>
      <c r="BB355" s="7" t="str">
        <f aca="false">IF(ISBLANK(BA355),"No Follow Up Needed",BA355)</f>
        <v>20/07/2025</v>
      </c>
      <c r="BC355" s="0" t="s">
        <v>50</v>
      </c>
      <c r="BD355" s="0" t="str">
        <f aca="false">PROPER(IF(ISBLANK(BC355),"Unknown",BC355))</f>
        <v>No</v>
      </c>
      <c r="BE355" s="0" t="s">
        <v>116</v>
      </c>
      <c r="BF355" s="0" t="str">
        <f aca="false">IF(ISBLANK(BE355),"No comments",BE355)</f>
        <v>Needs tire alignment</v>
      </c>
      <c r="BH355" s="0" t="str">
        <f aca="false">IF(ISBLANK(BG355),"No comments",BG355)</f>
        <v>No comments</v>
      </c>
      <c r="BI355" s="0" t="s">
        <v>63</v>
      </c>
      <c r="BJ355" s="0" t="str">
        <f aca="false">IF(ISBLANK(BI355),"Not Mentioned",BI355)</f>
        <v>Yes</v>
      </c>
      <c r="BK355" s="0" t="s">
        <v>50</v>
      </c>
      <c r="BL355" s="0" t="str">
        <f aca="false">PROPER(IF(ISBLANK(BK355),"Not Mentioned",BK355))</f>
        <v>No</v>
      </c>
      <c r="BN355" s="0" t="str">
        <f aca="false">PROPER(IF(ISBLANK(BM355),"Not Mentioned",BM355))</f>
        <v>Not Mentioned</v>
      </c>
      <c r="BO355" s="0" t="s">
        <v>2321</v>
      </c>
      <c r="BP355" s="0" t="str">
        <f aca="false">IF(ISBLANK(BO355),"One-Time Plan",BO355)</f>
        <v>One-Time Plan</v>
      </c>
      <c r="BQ355" s="0" t="s">
        <v>50</v>
      </c>
      <c r="BR355" s="0" t="str">
        <f aca="false">PROPER(IF(ISBLANK(BQ355),"No",BQ355))</f>
        <v>No</v>
      </c>
    </row>
    <row r="356" customFormat="false" ht="15" hidden="false" customHeight="false" outlineLevel="0" collapsed="false">
      <c r="A356" s="0" t="s">
        <v>972</v>
      </c>
      <c r="B356" s="2" t="s">
        <v>971</v>
      </c>
      <c r="C356" s="2" t="str">
        <f aca="false">TEXT(B356,"dd/mm/yyyy")</f>
        <v>15/05/2025</v>
      </c>
      <c r="D356" s="0" t="s">
        <v>163</v>
      </c>
      <c r="E356" s="0" t="n">
        <v>8019326928</v>
      </c>
      <c r="F356" s="0" t="s">
        <v>139</v>
      </c>
      <c r="G356" s="0" t="s">
        <v>2323</v>
      </c>
      <c r="H356" s="0" t="s">
        <v>973</v>
      </c>
      <c r="I356" s="0" t="s">
        <v>87</v>
      </c>
      <c r="J356" s="0" t="s">
        <v>2322</v>
      </c>
      <c r="K356" s="3" t="str">
        <f aca="false" t="array" ref="K356:K356">IFERROR(IF(J356&lt;&gt;"",J356,INDEX(J356:J1355,MATCH(1,(F356:F1355=F356)*(I356:I1355=I356)*(L356:L1355=L356)*(J356:J1355&lt;&gt;""),0))),"Not Found")</f>
        <v>Brake Failure</v>
      </c>
      <c r="L356" s="3" t="s">
        <v>189</v>
      </c>
      <c r="M356" s="0" t="str">
        <f aca="false">PROPER(L356)</f>
        <v>Battery</v>
      </c>
      <c r="N356" s="3" t="s">
        <v>90</v>
      </c>
      <c r="O356" s="0" t="str">
        <f aca="false" t="array" ref="O356:O356">IF(N356&lt;&gt;"",N356,_xlfn.xlookup(1,(L356:L1355=L356)*(N356:N1355&lt;&gt;""),N356:N1355,"Not Found"))</f>
        <v>Musa</v>
      </c>
      <c r="P356" s="4" t="n">
        <v>33440</v>
      </c>
      <c r="Q356" s="0" t="s">
        <v>124</v>
      </c>
      <c r="R356" s="0" t="str">
        <f aca="false">PROPER(Q356)</f>
        <v>Cash</v>
      </c>
      <c r="S356" s="0" t="s">
        <v>63</v>
      </c>
      <c r="T356" s="0" t="n">
        <v>3</v>
      </c>
      <c r="U356" s="5" t="n">
        <f aca="false">IF(ISBLANK(T356),AVERAGE(T356:T1355),T356)</f>
        <v>3</v>
      </c>
      <c r="V356" s="0" t="n">
        <v>5.6</v>
      </c>
      <c r="W356" s="0" t="s">
        <v>111</v>
      </c>
      <c r="X356" s="0" t="str">
        <f aca="false">IF(ISBLANK(W356),"No remarks",W356)</f>
        <v>Changed all filters</v>
      </c>
      <c r="Y356" s="0" t="s">
        <v>73</v>
      </c>
      <c r="Z356" s="0" t="s">
        <v>94</v>
      </c>
      <c r="AA356" s="0" t="str">
        <f aca="false">PROPER(IF(ISBLANK(Z356),"Location Unavailable",Z356))</f>
        <v>Vip Section</v>
      </c>
      <c r="AB356" s="0" t="s">
        <v>126</v>
      </c>
      <c r="AC356" s="6" t="str">
        <f aca="false">PROPER(AB356)</f>
        <v>Whatsapp</v>
      </c>
      <c r="AD356" s="6" t="n">
        <v>15</v>
      </c>
      <c r="AE356" s="5" t="n">
        <f aca="false">IF(ISBLANK(AD356),AVERAGEIF(L356:L1355,L356,AD356:AD1355),AD356)</f>
        <v>15</v>
      </c>
      <c r="AF356" s="0" t="s">
        <v>55</v>
      </c>
      <c r="AG356" s="0" t="str">
        <f aca="false">PROPER(AF356)</f>
        <v>Available</v>
      </c>
      <c r="AH356" s="0" t="s">
        <v>155</v>
      </c>
      <c r="AI356" s="0" t="s">
        <v>78</v>
      </c>
      <c r="AJ356" s="0" t="str">
        <f aca="false">PROPER(AI356)</f>
        <v>Booking</v>
      </c>
      <c r="AK356" s="0" t="s">
        <v>58</v>
      </c>
      <c r="AL356" s="0" t="str">
        <f aca="false">PROPER(AK356)</f>
        <v>Fleet Owner</v>
      </c>
      <c r="AM356" s="0" t="s">
        <v>59</v>
      </c>
      <c r="AN356" s="0" t="str">
        <f aca="false">IF(ISBLANK(AM356),"Unknown",AM356)</f>
        <v>Bolt Driver</v>
      </c>
      <c r="AO356" s="0" t="s">
        <v>161</v>
      </c>
      <c r="AP356" s="0" t="str">
        <f aca="false">IF(ISBLANK(AO356),"Unknown",AO356)</f>
        <v>Apprentice</v>
      </c>
      <c r="AQ356" s="0" t="n">
        <v>25000</v>
      </c>
      <c r="AR356" s="5" t="n">
        <f aca="false">IF(ISBLANK(AQ356),AVERAGEIF(M356:M1355,M356,AQ356:AQ1355),AQ356)</f>
        <v>25000</v>
      </c>
      <c r="AS356" s="0" t="n">
        <v>30000</v>
      </c>
      <c r="AT356" s="5" t="n">
        <f aca="false">IF(ISBLANK(AS356),AVERAGE(AS356:AS1355),AS356)</f>
        <v>30000</v>
      </c>
      <c r="AU356" s="0" t="s">
        <v>61</v>
      </c>
      <c r="AV356" s="0" t="str">
        <f aca="false">PROPER(IF(ISBLANK(AU356),"No",AU356))</f>
        <v>No</v>
      </c>
      <c r="AX356" s="5" t="n">
        <f aca="false">IF(ISBLANK(AW356),0,AW356)</f>
        <v>0</v>
      </c>
      <c r="AY356" s="0" t="s">
        <v>130</v>
      </c>
      <c r="AZ356" s="0" t="str">
        <f aca="false">UPPER(IF(ISBLANK(AY356),"NONE",AY356))</f>
        <v>LOYALTY10</v>
      </c>
      <c r="BA356" s="7" t="s">
        <v>974</v>
      </c>
      <c r="BB356" s="7" t="str">
        <f aca="false">IF(ISBLANK(BA356),"No Follow Up Needed",BA356)</f>
        <v>25/12/2025</v>
      </c>
      <c r="BD356" s="0" t="str">
        <f aca="false">PROPER(IF(ISBLANK(BC356),"Unknown",BC356))</f>
        <v>Unknown</v>
      </c>
      <c r="BF356" s="0" t="str">
        <f aca="false">IF(ISBLANK(BE356),"No comments",BE356)</f>
        <v>No comments</v>
      </c>
      <c r="BH356" s="0" t="str">
        <f aca="false">IF(ISBLANK(BG356),"No comments",BG356)</f>
        <v>No comments</v>
      </c>
      <c r="BI356" s="0" t="s">
        <v>63</v>
      </c>
      <c r="BJ356" s="0" t="str">
        <f aca="false">IF(ISBLANK(BI356),"Not Mentioned",BI356)</f>
        <v>Yes</v>
      </c>
      <c r="BK356" s="0" t="s">
        <v>82</v>
      </c>
      <c r="BL356" s="0" t="str">
        <f aca="false">PROPER(IF(ISBLANK(BK356),"Not Mentioned",BK356))</f>
        <v>Yes</v>
      </c>
      <c r="BN356" s="0" t="str">
        <f aca="false">PROPER(IF(ISBLANK(BM356),"Not Mentioned",BM356))</f>
        <v>Not Mentioned</v>
      </c>
      <c r="BP356" s="0" t="str">
        <f aca="false">IF(ISBLANK(BO356),"One-Time Plan",BO356)</f>
        <v>One-Time Plan</v>
      </c>
      <c r="BQ356" s="0" t="s">
        <v>50</v>
      </c>
      <c r="BR356" s="0" t="str">
        <f aca="false">PROPER(IF(ISBLANK(BQ356),"No",BQ356))</f>
        <v>No</v>
      </c>
    </row>
    <row r="357" customFormat="false" ht="15" hidden="false" customHeight="false" outlineLevel="0" collapsed="false">
      <c r="A357" s="0" t="s">
        <v>976</v>
      </c>
      <c r="B357" s="2" t="s">
        <v>975</v>
      </c>
      <c r="C357" s="2" t="str">
        <f aca="false">TEXT(B357,"dd/mm/yyyy")</f>
        <v>25/05/2025</v>
      </c>
      <c r="D357" s="0" t="s">
        <v>105</v>
      </c>
      <c r="E357" s="0" t="n">
        <v>8061793831</v>
      </c>
      <c r="F357" s="0" t="s">
        <v>85</v>
      </c>
      <c r="G357" s="0" t="s">
        <v>2319</v>
      </c>
      <c r="H357" s="0" t="s">
        <v>977</v>
      </c>
      <c r="I357" s="0" t="s">
        <v>107</v>
      </c>
      <c r="J357" s="0" t="s">
        <v>87</v>
      </c>
      <c r="K357" s="3" t="str">
        <f aca="false" t="array" ref="K357:K357">IFERROR(IF(J357&lt;&gt;"",J357,INDEX(J357:J1356,MATCH(1,(F357:F1356=F357)*(I357:I1356=I357)*(L357:L1356=L357)*(J357:J1356&lt;&gt;""),0))),"Not Found")</f>
        <v>Oil Change</v>
      </c>
      <c r="L357" s="3" t="s">
        <v>89</v>
      </c>
      <c r="M357" s="0" t="str">
        <f aca="false">PROPER(L357)</f>
        <v>Shock Absorbers</v>
      </c>
      <c r="N357" s="3" t="s">
        <v>109</v>
      </c>
      <c r="O357" s="0" t="str">
        <f aca="false" t="array" ref="O357:O357">IF(N357&lt;&gt;"",N357,_xlfn.xlookup(1,(L357:L1356=L357)*(N357:N1356&lt;&gt;""),N357:N1356,"Not Found"))</f>
        <v>Tijani</v>
      </c>
      <c r="P357" s="4" t="n">
        <v>69682</v>
      </c>
      <c r="Q357" s="0" t="s">
        <v>110</v>
      </c>
      <c r="R357" s="0" t="str">
        <f aca="false">PROPER(Q357)</f>
        <v>Cash</v>
      </c>
      <c r="S357" s="0" t="s">
        <v>63</v>
      </c>
      <c r="U357" s="5" t="n">
        <f aca="false">IF(ISBLANK(T357),AVERAGE(T357:T1356),T357)</f>
        <v>3.06954887218045</v>
      </c>
      <c r="V357" s="0" t="n">
        <v>5.1</v>
      </c>
      <c r="W357" s="0" t="s">
        <v>51</v>
      </c>
      <c r="X357" s="0" t="str">
        <f aca="false">IF(ISBLANK(W357),"No remarks",W357)</f>
        <v>Recommended further checks</v>
      </c>
      <c r="Y357" s="0" t="s">
        <v>52</v>
      </c>
      <c r="AA357" s="0" t="str">
        <f aca="false">PROPER(IF(ISBLANK(Z357),"Location Unavailable",Z357))</f>
        <v>Location Unavailable</v>
      </c>
      <c r="AB357" s="0" t="s">
        <v>147</v>
      </c>
      <c r="AC357" s="6" t="str">
        <f aca="false">PROPER(AB357)</f>
        <v>Instagram</v>
      </c>
      <c r="AD357" s="6" t="n">
        <v>30</v>
      </c>
      <c r="AE357" s="5" t="n">
        <f aca="false">IF(ISBLANK(AD357),AVERAGEIF(L357:L1356,L357,AD357:AD1356),AD357)</f>
        <v>30</v>
      </c>
      <c r="AF357" s="0" t="s">
        <v>76</v>
      </c>
      <c r="AG357" s="0" t="str">
        <f aca="false">PROPER(AF357)</f>
        <v>Orderd</v>
      </c>
      <c r="AH357" s="0" t="s">
        <v>155</v>
      </c>
      <c r="AI357" s="0" t="s">
        <v>78</v>
      </c>
      <c r="AJ357" s="0" t="str">
        <f aca="false">PROPER(AI357)</f>
        <v>Booking</v>
      </c>
      <c r="AK357" s="0" t="s">
        <v>196</v>
      </c>
      <c r="AL357" s="0" t="str">
        <f aca="false">PROPER(AK357)</f>
        <v>First Time</v>
      </c>
      <c r="AM357" s="0" t="s">
        <v>59</v>
      </c>
      <c r="AN357" s="0" t="str">
        <f aca="false">IF(ISBLANK(AM357),"Unknown",AM357)</f>
        <v>Bolt Driver</v>
      </c>
      <c r="AO357" s="0" t="s">
        <v>149</v>
      </c>
      <c r="AP357" s="0" t="str">
        <f aca="false">IF(ISBLANK(AO357),"Unknown",AO357)</f>
        <v>Senior </v>
      </c>
      <c r="AR357" s="5" t="n">
        <f aca="false">IF(ISBLANK(AQ357),AVERAGEIF(M357:M1356,M357,AQ357:AQ1356),AQ357)</f>
        <v>26290.3225806452</v>
      </c>
      <c r="AT357" s="5" t="n">
        <f aca="false">IF(ISBLANK(AS357),AVERAGE(AS357:AS1356),AS357)</f>
        <v>31464.552238806</v>
      </c>
      <c r="AU357" s="0" t="s">
        <v>63</v>
      </c>
      <c r="AV357" s="0" t="str">
        <f aca="false">PROPER(IF(ISBLANK(AU357),"No",AU357))</f>
        <v>Yes</v>
      </c>
      <c r="AW357" s="0" t="n">
        <v>0</v>
      </c>
      <c r="AX357" s="5" t="n">
        <f aca="false">IF(ISBLANK(AW357),0,AW357)</f>
        <v>0</v>
      </c>
      <c r="AY357" s="0" t="s">
        <v>80</v>
      </c>
      <c r="AZ357" s="0" t="str">
        <f aca="false">UPPER(IF(ISBLANK(AY357),"NONE",AY357))</f>
        <v>PROMO10</v>
      </c>
      <c r="BB357" s="7" t="str">
        <f aca="false">IF(ISBLANK(BA357),"No Follow Up Needed",BA357)</f>
        <v>No Follow Up Needed</v>
      </c>
      <c r="BC357" s="0" t="s">
        <v>61</v>
      </c>
      <c r="BD357" s="0" t="str">
        <f aca="false">PROPER(IF(ISBLANK(BC357),"Unknown",BC357))</f>
        <v>No</v>
      </c>
      <c r="BE357" s="0" t="s">
        <v>116</v>
      </c>
      <c r="BF357" s="0" t="str">
        <f aca="false">IF(ISBLANK(BE357),"No comments",BE357)</f>
        <v>Needs tire alignment</v>
      </c>
      <c r="BH357" s="0" t="str">
        <f aca="false">IF(ISBLANK(BG357),"No comments",BG357)</f>
        <v>No comments</v>
      </c>
      <c r="BJ357" s="0" t="str">
        <f aca="false">IF(ISBLANK(BI357),"Not Mentioned",BI357)</f>
        <v>Not Mentioned</v>
      </c>
      <c r="BK357" s="0" t="s">
        <v>50</v>
      </c>
      <c r="BL357" s="0" t="str">
        <f aca="false">PROPER(IF(ISBLANK(BK357),"Not Mentioned",BK357))</f>
        <v>No</v>
      </c>
      <c r="BN357" s="0" t="str">
        <f aca="false">PROPER(IF(ISBLANK(BM357),"Not Mentioned",BM357))</f>
        <v>Not Mentioned</v>
      </c>
      <c r="BO357" s="0" t="s">
        <v>2321</v>
      </c>
      <c r="BP357" s="0" t="str">
        <f aca="false">IF(ISBLANK(BO357),"One-Time Plan",BO357)</f>
        <v>One-Time Plan</v>
      </c>
      <c r="BR357" s="0" t="str">
        <f aca="false">PROPER(IF(ISBLANK(BQ357),"No",BQ357))</f>
        <v>No</v>
      </c>
    </row>
    <row r="358" customFormat="false" ht="15" hidden="false" customHeight="false" outlineLevel="0" collapsed="false">
      <c r="A358" s="0" t="s">
        <v>978</v>
      </c>
      <c r="B358" s="2" t="n">
        <v>45786</v>
      </c>
      <c r="C358" s="2" t="str">
        <f aca="false">TEXT(B358,"dd/mm/yyyy")</f>
        <v>09/05/2025</v>
      </c>
      <c r="D358" s="0" t="s">
        <v>42</v>
      </c>
      <c r="E358" s="0" t="n">
        <v>8048093356</v>
      </c>
      <c r="F358" s="0" t="s">
        <v>43</v>
      </c>
      <c r="G358" s="0" t="s">
        <v>2315</v>
      </c>
      <c r="H358" s="0" t="s">
        <v>979</v>
      </c>
      <c r="I358" s="0" t="s">
        <v>107</v>
      </c>
      <c r="J358" s="0" t="s">
        <v>2317</v>
      </c>
      <c r="K358" s="3" t="str">
        <f aca="false" t="array" ref="K358:K358">IFERROR(IF(J358&lt;&gt;"",J358,INDEX(J358:J1357,MATCH(1,(F358:F1357=F358)*(I358:I1357=I358)*(L358:L1357=L358)*(J358:J1357&lt;&gt;""),0))),"Not Found")</f>
        <v>Suspension Noise</v>
      </c>
      <c r="L358" s="3" t="s">
        <v>47</v>
      </c>
      <c r="M358" s="0" t="str">
        <f aca="false">PROPER(L358)</f>
        <v>None</v>
      </c>
      <c r="N358" s="3" t="s">
        <v>71</v>
      </c>
      <c r="O358" s="0" t="str">
        <f aca="false" t="array" ref="O358:O358">IF(N358&lt;&gt;"",N358,_xlfn.xlookup(1,(L358:L1357=L358)*(N358:N1357&lt;&gt;""),N358:N1357,"Not Found"))</f>
        <v>Isaac Bobo</v>
      </c>
      <c r="P358" s="4" t="n">
        <v>95278</v>
      </c>
      <c r="Q358" s="0" t="s">
        <v>91</v>
      </c>
      <c r="R358" s="0" t="str">
        <f aca="false">PROPER(Q358)</f>
        <v>Pos</v>
      </c>
      <c r="S358" s="0" t="s">
        <v>50</v>
      </c>
      <c r="T358" s="0" t="n">
        <v>5</v>
      </c>
      <c r="U358" s="5" t="n">
        <f aca="false">IF(ISBLANK(T358),AVERAGE(T358:T1357),T358)</f>
        <v>5</v>
      </c>
      <c r="V358" s="0" t="n">
        <v>4.9</v>
      </c>
      <c r="W358" s="0" t="s">
        <v>51</v>
      </c>
      <c r="X358" s="0" t="str">
        <f aca="false">IF(ISBLANK(W358),"No remarks",W358)</f>
        <v>Recommended further checks</v>
      </c>
      <c r="Y358" s="0" t="s">
        <v>73</v>
      </c>
      <c r="AA358" s="0" t="str">
        <f aca="false">PROPER(IF(ISBLANK(Z358),"Location Unavailable",Z358))</f>
        <v>Location Unavailable</v>
      </c>
      <c r="AB358" s="0" t="s">
        <v>147</v>
      </c>
      <c r="AC358" s="6" t="str">
        <f aca="false">PROPER(AB358)</f>
        <v>Instagram</v>
      </c>
      <c r="AD358" s="6" t="n">
        <v>15</v>
      </c>
      <c r="AE358" s="5" t="n">
        <f aca="false">IF(ISBLANK(AD358),AVERAGEIF(L358:L1357,L358,AD358:AD1357),AD358)</f>
        <v>15</v>
      </c>
      <c r="AF358" s="0" t="s">
        <v>96</v>
      </c>
      <c r="AG358" s="0" t="str">
        <f aca="false">PROPER(AF358)</f>
        <v>Ordered</v>
      </c>
      <c r="AH358" s="0" t="s">
        <v>56</v>
      </c>
      <c r="AI358" s="0" t="s">
        <v>113</v>
      </c>
      <c r="AJ358" s="0" t="str">
        <f aca="false">PROPER(AI358)</f>
        <v>Normal</v>
      </c>
      <c r="AK358" s="0" t="s">
        <v>196</v>
      </c>
      <c r="AL358" s="0" t="str">
        <f aca="false">PROPER(AK358)</f>
        <v>First Time</v>
      </c>
      <c r="AM358" s="0" t="s">
        <v>2324</v>
      </c>
      <c r="AN358" s="0" t="str">
        <f aca="false">IF(ISBLANK(AM358),"Unknown",AM358)</f>
        <v>Logistics Convoy</v>
      </c>
      <c r="AO358" s="0" t="s">
        <v>79</v>
      </c>
      <c r="AP358" s="0" t="str">
        <f aca="false">IF(ISBLANK(AO358),"Unknown",AO358)</f>
        <v>Specialist</v>
      </c>
      <c r="AQ358" s="0" t="n">
        <v>30000</v>
      </c>
      <c r="AR358" s="5" t="n">
        <f aca="false">IF(ISBLANK(AQ358),AVERAGEIF(M358:M1357,M358,AQ358:AQ1357),AQ358)</f>
        <v>30000</v>
      </c>
      <c r="AT358" s="5" t="n">
        <f aca="false">IF(ISBLANK(AS358),AVERAGE(AS358:AS1357),AS358)</f>
        <v>31464.552238806</v>
      </c>
      <c r="AV358" s="0" t="str">
        <f aca="false">PROPER(IF(ISBLANK(AU358),"No",AU358))</f>
        <v>No</v>
      </c>
      <c r="AX358" s="5" t="n">
        <f aca="false">IF(ISBLANK(AW358),0,AW358)</f>
        <v>0</v>
      </c>
      <c r="AZ358" s="0" t="str">
        <f aca="false">UPPER(IF(ISBLANK(AY358),"NONE",AY358))</f>
        <v>NONE</v>
      </c>
      <c r="BA358" s="7" t="n">
        <v>45931</v>
      </c>
      <c r="BB358" s="7" t="n">
        <f aca="false">IF(ISBLANK(BA358),"No Follow Up Needed",BA358)</f>
        <v>45931</v>
      </c>
      <c r="BC358" s="0" t="s">
        <v>82</v>
      </c>
      <c r="BD358" s="0" t="str">
        <f aca="false">PROPER(IF(ISBLANK(BC358),"Unknown",BC358))</f>
        <v>Yes</v>
      </c>
      <c r="BF358" s="0" t="str">
        <f aca="false">IF(ISBLANK(BE358),"No comments",BE358)</f>
        <v>No comments</v>
      </c>
      <c r="BH358" s="0" t="str">
        <f aca="false">IF(ISBLANK(BG358),"No comments",BG358)</f>
        <v>No comments</v>
      </c>
      <c r="BJ358" s="0" t="str">
        <f aca="false">IF(ISBLANK(BI358),"Not Mentioned",BI358)</f>
        <v>Not Mentioned</v>
      </c>
      <c r="BK358" s="0" t="s">
        <v>82</v>
      </c>
      <c r="BL358" s="0" t="str">
        <f aca="false">PROPER(IF(ISBLANK(BK358),"Not Mentioned",BK358))</f>
        <v>Yes</v>
      </c>
      <c r="BM358" s="0" t="s">
        <v>63</v>
      </c>
      <c r="BN358" s="0" t="str">
        <f aca="false">PROPER(IF(ISBLANK(BM358),"Not Mentioned",BM358))</f>
        <v>Yes</v>
      </c>
      <c r="BO358" s="0" t="s">
        <v>2321</v>
      </c>
      <c r="BP358" s="0" t="str">
        <f aca="false">IF(ISBLANK(BO358),"One-Time Plan",BO358)</f>
        <v>One-Time Plan</v>
      </c>
      <c r="BQ358" s="0" t="s">
        <v>198</v>
      </c>
      <c r="BR358" s="0" t="str">
        <f aca="false">PROPER(IF(ISBLANK(BQ358),"No",BQ358))</f>
        <v>Followed Up</v>
      </c>
    </row>
    <row r="359" customFormat="false" ht="15" hidden="false" customHeight="false" outlineLevel="0" collapsed="false">
      <c r="A359" s="0" t="s">
        <v>980</v>
      </c>
      <c r="B359" s="2" t="n">
        <v>45810</v>
      </c>
      <c r="C359" s="2" t="str">
        <f aca="false">TEXT(B359,"dd/mm/yyyy")</f>
        <v>02/06/2025</v>
      </c>
      <c r="D359" s="0" t="s">
        <v>163</v>
      </c>
      <c r="E359" s="0" t="n">
        <v>8037634396</v>
      </c>
      <c r="F359" s="0" t="s">
        <v>43</v>
      </c>
      <c r="G359" s="0" t="s">
        <v>2315</v>
      </c>
      <c r="H359" s="0" t="s">
        <v>981</v>
      </c>
      <c r="I359" s="0" t="s">
        <v>45</v>
      </c>
      <c r="J359" s="0" t="s">
        <v>2322</v>
      </c>
      <c r="K359" s="3" t="str">
        <f aca="false" t="array" ref="K359:K359">IFERROR(IF(J359&lt;&gt;"",J359,INDEX(J359:J1358,MATCH(1,(F359:F1358=F359)*(I359:I1358=I359)*(L359:L1358=L359)*(J359:J1358&lt;&gt;""),0))),"Not Found")</f>
        <v>Brake Failure</v>
      </c>
      <c r="L359" s="3" t="s">
        <v>154</v>
      </c>
      <c r="M359" s="0" t="str">
        <f aca="false">PROPER(L359)</f>
        <v>Air Filter</v>
      </c>
      <c r="N359" s="3" t="s">
        <v>71</v>
      </c>
      <c r="O359" s="0" t="str">
        <f aca="false" t="array" ref="O359:O359">IF(N359&lt;&gt;"",N359,_xlfn.xlookup(1,(L359:L1358=L359)*(N359:N1358&lt;&gt;""),N359:N1358,"Not Found"))</f>
        <v>Isaac Bobo</v>
      </c>
      <c r="P359" s="4" t="n">
        <v>97181</v>
      </c>
      <c r="Q359" s="0" t="s">
        <v>124</v>
      </c>
      <c r="R359" s="0" t="str">
        <f aca="false">PROPER(Q359)</f>
        <v>Cash</v>
      </c>
      <c r="S359" s="0" t="s">
        <v>63</v>
      </c>
      <c r="T359" s="0" t="n">
        <v>4</v>
      </c>
      <c r="U359" s="5" t="n">
        <f aca="false">IF(ISBLANK(T359),AVERAGE(T359:T1358),T359)</f>
        <v>4</v>
      </c>
      <c r="V359" s="0" t="n">
        <v>5</v>
      </c>
      <c r="W359" s="0" t="s">
        <v>125</v>
      </c>
      <c r="X359" s="0" t="str">
        <f aca="false">IF(ISBLANK(W359),"No remarks",W359)</f>
        <v>Customer waited</v>
      </c>
      <c r="Y359" s="0" t="s">
        <v>52</v>
      </c>
      <c r="Z359" s="0" t="s">
        <v>53</v>
      </c>
      <c r="AA359" s="0" t="str">
        <f aca="false">PROPER(IF(ISBLANK(Z359),"Location Unavailable",Z359))</f>
        <v>Main Bay</v>
      </c>
      <c r="AB359" s="0" t="s">
        <v>126</v>
      </c>
      <c r="AC359" s="6" t="str">
        <f aca="false">PROPER(AB359)</f>
        <v>Whatsapp</v>
      </c>
      <c r="AD359" s="6" t="n">
        <v>45</v>
      </c>
      <c r="AE359" s="5" t="n">
        <f aca="false">IF(ISBLANK(AD359),AVERAGEIF(L359:L1358,L359,AD359:AD1358),AD359)</f>
        <v>45</v>
      </c>
      <c r="AF359" s="0" t="s">
        <v>76</v>
      </c>
      <c r="AG359" s="0" t="str">
        <f aca="false">PROPER(AF359)</f>
        <v>Orderd</v>
      </c>
      <c r="AH359" s="0" t="s">
        <v>155</v>
      </c>
      <c r="AI359" s="0" t="s">
        <v>128</v>
      </c>
      <c r="AJ359" s="0" t="str">
        <f aca="false">PROPER(AI359)</f>
        <v>Normal</v>
      </c>
      <c r="AK359" s="0" t="s">
        <v>114</v>
      </c>
      <c r="AL359" s="0" t="str">
        <f aca="false">PROPER(AK359)</f>
        <v>Returning</v>
      </c>
      <c r="AM359" s="0" t="s">
        <v>2324</v>
      </c>
      <c r="AN359" s="0" t="str">
        <f aca="false">IF(ISBLANK(AM359),"Unknown",AM359)</f>
        <v>Logistics Convoy</v>
      </c>
      <c r="AP359" s="0" t="str">
        <f aca="false">IF(ISBLANK(AO359),"Unknown",AO359)</f>
        <v>Unknown</v>
      </c>
      <c r="AQ359" s="0" t="n">
        <v>30000</v>
      </c>
      <c r="AR359" s="5" t="n">
        <f aca="false">IF(ISBLANK(AQ359),AVERAGEIF(M359:M1358,M359,AQ359:AQ1358),AQ359)</f>
        <v>30000</v>
      </c>
      <c r="AT359" s="5" t="n">
        <f aca="false">IF(ISBLANK(AS359),AVERAGE(AS359:AS1358),AS359)</f>
        <v>31464.552238806</v>
      </c>
      <c r="AU359" s="0" t="s">
        <v>61</v>
      </c>
      <c r="AV359" s="0" t="str">
        <f aca="false">PROPER(IF(ISBLANK(AU359),"No",AU359))</f>
        <v>No</v>
      </c>
      <c r="AW359" s="0" t="n">
        <v>5000</v>
      </c>
      <c r="AX359" s="5" t="n">
        <f aca="false">IF(ISBLANK(AW359),0,AW359)</f>
        <v>5000</v>
      </c>
      <c r="AZ359" s="0" t="str">
        <f aca="false">UPPER(IF(ISBLANK(AY359),"NONE",AY359))</f>
        <v>NONE</v>
      </c>
      <c r="BA359" s="7" t="s">
        <v>732</v>
      </c>
      <c r="BB359" s="7" t="str">
        <f aca="false">IF(ISBLANK(BA359),"No Follow Up Needed",BA359)</f>
        <v>14/10/2025</v>
      </c>
      <c r="BD359" s="0" t="str">
        <f aca="false">PROPER(IF(ISBLANK(BC359),"Unknown",BC359))</f>
        <v>Unknown</v>
      </c>
      <c r="BF359" s="0" t="str">
        <f aca="false">IF(ISBLANK(BE359),"No comments",BE359)</f>
        <v>No comments</v>
      </c>
      <c r="BH359" s="0" t="str">
        <f aca="false">IF(ISBLANK(BG359),"No comments",BG359)</f>
        <v>No comments</v>
      </c>
      <c r="BJ359" s="0" t="str">
        <f aca="false">IF(ISBLANK(BI359),"Not Mentioned",BI359)</f>
        <v>Not Mentioned</v>
      </c>
      <c r="BL359" s="0" t="str">
        <f aca="false">PROPER(IF(ISBLANK(BK359),"Not Mentioned",BK359))</f>
        <v>Not Mentioned</v>
      </c>
      <c r="BM359" s="0" t="s">
        <v>63</v>
      </c>
      <c r="BN359" s="0" t="str">
        <f aca="false">PROPER(IF(ISBLANK(BM359),"Not Mentioned",BM359))</f>
        <v>Yes</v>
      </c>
      <c r="BO359" s="0" t="s">
        <v>2321</v>
      </c>
      <c r="BP359" s="0" t="str">
        <f aca="false">IF(ISBLANK(BO359),"One-Time Plan",BO359)</f>
        <v>One-Time Plan</v>
      </c>
      <c r="BQ359" s="0" t="s">
        <v>198</v>
      </c>
      <c r="BR359" s="0" t="str">
        <f aca="false">PROPER(IF(ISBLANK(BQ359),"No",BQ359))</f>
        <v>Followed Up</v>
      </c>
    </row>
    <row r="360" customFormat="false" ht="15" hidden="false" customHeight="false" outlineLevel="0" collapsed="false">
      <c r="A360" s="0" t="s">
        <v>982</v>
      </c>
      <c r="B360" s="2" t="s">
        <v>371</v>
      </c>
      <c r="C360" s="2" t="str">
        <f aca="false">TEXT(B360,"dd/mm/yyyy")</f>
        <v>24/01/2025</v>
      </c>
      <c r="D360" s="0" t="s">
        <v>105</v>
      </c>
      <c r="E360" s="0" t="n">
        <v>8041278022</v>
      </c>
      <c r="F360" s="0" t="s">
        <v>139</v>
      </c>
      <c r="G360" s="0" t="s">
        <v>2323</v>
      </c>
      <c r="H360" s="0" t="s">
        <v>871</v>
      </c>
      <c r="I360" s="0" t="s">
        <v>45</v>
      </c>
      <c r="J360" s="0" t="s">
        <v>2325</v>
      </c>
      <c r="K360" s="3" t="str">
        <f aca="false" t="array" ref="K360:K360">IFERROR(IF(J360&lt;&gt;"",J360,INDEX(J360:J1359,MATCH(1,(F360:F1359=F360)*(I360:I1359=I360)*(L360:L1359=L360)*(J360:J1359&lt;&gt;""),0))),"Not Found")</f>
        <v>Engine Knocking</v>
      </c>
      <c r="L360" s="3" t="s">
        <v>189</v>
      </c>
      <c r="M360" s="0" t="str">
        <f aca="false">PROPER(L360)</f>
        <v>Battery</v>
      </c>
      <c r="O360" s="0" t="e">
        <f aca="false" t="array" ref="O360:O360">IF(N360&lt;&gt;"",N360,_xlfn.xlookup(1,(L360:L1359=L360)*(N360:N1359&lt;&gt;""),N360:N1359,"Not Found"))</f>
        <v>#NAME?</v>
      </c>
      <c r="P360" s="4" t="n">
        <v>116333</v>
      </c>
      <c r="Q360" s="0" t="s">
        <v>49</v>
      </c>
      <c r="R360" s="0" t="str">
        <f aca="false">PROPER(Q360)</f>
        <v>Transfer</v>
      </c>
      <c r="S360" s="0" t="s">
        <v>63</v>
      </c>
      <c r="U360" s="5" t="n">
        <f aca="false">IF(ISBLANK(T360),AVERAGE(T360:T1359),T360)</f>
        <v>3.06415094339623</v>
      </c>
      <c r="V360" s="0" t="n">
        <v>2</v>
      </c>
      <c r="W360" s="0" t="s">
        <v>111</v>
      </c>
      <c r="X360" s="0" t="str">
        <f aca="false">IF(ISBLANK(W360),"No remarks",W360)</f>
        <v>Changed all filters</v>
      </c>
      <c r="Y360" s="0" t="s">
        <v>73</v>
      </c>
      <c r="AA360" s="0" t="str">
        <f aca="false">PROPER(IF(ISBLANK(Z360),"Location Unavailable",Z360))</f>
        <v>Location Unavailable</v>
      </c>
      <c r="AB360" s="0" t="s">
        <v>54</v>
      </c>
      <c r="AC360" s="6" t="str">
        <f aca="false">PROPER(AB360)</f>
        <v>Mechanic Referral</v>
      </c>
      <c r="AE360" s="5" t="n">
        <f aca="false">IF(ISBLANK(AD360),AVERAGEIF(L360:L1359,L360,AD360:AD1359),AD360)</f>
        <v>40.7692307692308</v>
      </c>
      <c r="AF360" s="0" t="s">
        <v>76</v>
      </c>
      <c r="AG360" s="0" t="str">
        <f aca="false">PROPER(AF360)</f>
        <v>Orderd</v>
      </c>
      <c r="AH360" s="0" t="s">
        <v>56</v>
      </c>
      <c r="AI360" s="0" t="s">
        <v>128</v>
      </c>
      <c r="AJ360" s="0" t="str">
        <f aca="false">PROPER(AI360)</f>
        <v>Normal</v>
      </c>
      <c r="AK360" s="0" t="s">
        <v>196</v>
      </c>
      <c r="AL360" s="0" t="str">
        <f aca="false">PROPER(AK360)</f>
        <v>First Time</v>
      </c>
      <c r="AN360" s="0" t="str">
        <f aca="false">IF(ISBLANK(AM360),"Unknown",AM360)</f>
        <v>Unknown</v>
      </c>
      <c r="AO360" s="0" t="s">
        <v>161</v>
      </c>
      <c r="AP360" s="0" t="str">
        <f aca="false">IF(ISBLANK(AO360),"Unknown",AO360)</f>
        <v>Apprentice</v>
      </c>
      <c r="AQ360" s="0" t="n">
        <v>40000</v>
      </c>
      <c r="AR360" s="5" t="n">
        <f aca="false">IF(ISBLANK(AQ360),AVERAGEIF(M360:M1359,M360,AQ360:AQ1359),AQ360)</f>
        <v>40000</v>
      </c>
      <c r="AS360" s="0" t="n">
        <v>40000</v>
      </c>
      <c r="AT360" s="5" t="n">
        <f aca="false">IF(ISBLANK(AS360),AVERAGE(AS360:AS1359),AS360)</f>
        <v>40000</v>
      </c>
      <c r="AU360" s="0" t="s">
        <v>82</v>
      </c>
      <c r="AV360" s="0" t="str">
        <f aca="false">PROPER(IF(ISBLANK(AU360),"No",AU360))</f>
        <v>Yes</v>
      </c>
      <c r="AW360" s="0" t="n">
        <v>0</v>
      </c>
      <c r="AX360" s="5" t="n">
        <f aca="false">IF(ISBLANK(AW360),0,AW360)</f>
        <v>0</v>
      </c>
      <c r="AY360" s="0" t="s">
        <v>60</v>
      </c>
      <c r="AZ360" s="0" t="str">
        <f aca="false">UPPER(IF(ISBLANK(AY360),"NONE",AY360))</f>
        <v>NONE</v>
      </c>
      <c r="BA360" s="7" t="n">
        <v>45830</v>
      </c>
      <c r="BB360" s="7" t="n">
        <f aca="false">IF(ISBLANK(BA360),"No Follow Up Needed",BA360)</f>
        <v>45830</v>
      </c>
      <c r="BC360" s="0" t="s">
        <v>82</v>
      </c>
      <c r="BD360" s="0" t="str">
        <f aca="false">PROPER(IF(ISBLANK(BC360),"Unknown",BC360))</f>
        <v>Yes</v>
      </c>
      <c r="BF360" s="0" t="str">
        <f aca="false">IF(ISBLANK(BE360),"No comments",BE360)</f>
        <v>No comments</v>
      </c>
      <c r="BH360" s="0" t="str">
        <f aca="false">IF(ISBLANK(BG360),"No comments",BG360)</f>
        <v>No comments</v>
      </c>
      <c r="BJ360" s="0" t="str">
        <f aca="false">IF(ISBLANK(BI360),"Not Mentioned",BI360)</f>
        <v>Not Mentioned</v>
      </c>
      <c r="BK360" s="0" t="s">
        <v>61</v>
      </c>
      <c r="BL360" s="0" t="str">
        <f aca="false">PROPER(IF(ISBLANK(BK360),"Not Mentioned",BK360))</f>
        <v>No</v>
      </c>
      <c r="BM360" s="0" t="s">
        <v>63</v>
      </c>
      <c r="BN360" s="0" t="str">
        <f aca="false">PROPER(IF(ISBLANK(BM360),"Not Mentioned",BM360))</f>
        <v>Yes</v>
      </c>
      <c r="BO360" s="0" t="s">
        <v>2321</v>
      </c>
      <c r="BP360" s="0" t="str">
        <f aca="false">IF(ISBLANK(BO360),"One-Time Plan",BO360)</f>
        <v>One-Time Plan</v>
      </c>
      <c r="BR360" s="0" t="str">
        <f aca="false">PROPER(IF(ISBLANK(BQ360),"No",BQ360))</f>
        <v>No</v>
      </c>
    </row>
    <row r="361" customFormat="false" ht="15" hidden="false" customHeight="false" outlineLevel="0" collapsed="false">
      <c r="A361" s="0" t="s">
        <v>983</v>
      </c>
      <c r="B361" s="2" t="n">
        <v>45732</v>
      </c>
      <c r="C361" s="2" t="str">
        <f aca="false">TEXT(B361,"dd/mm/yyyy")</f>
        <v>16/03/2025</v>
      </c>
      <c r="D361" s="0" t="s">
        <v>121</v>
      </c>
      <c r="E361" s="0" t="n">
        <v>8049071522</v>
      </c>
      <c r="F361" s="0" t="s">
        <v>85</v>
      </c>
      <c r="G361" s="0" t="s">
        <v>2319</v>
      </c>
      <c r="H361" s="0" t="s">
        <v>984</v>
      </c>
      <c r="I361" s="0" t="s">
        <v>87</v>
      </c>
      <c r="J361" s="0" t="s">
        <v>87</v>
      </c>
      <c r="K361" s="3" t="str">
        <f aca="false" t="array" ref="K361:K361">IFERROR(IF(J361&lt;&gt;"",J361,INDEX(J361:J1360,MATCH(1,(F361:F1360=F361)*(I361:I1360=I361)*(L361:L1360=L361)*(J361:J1360&lt;&gt;""),0))),"Not Found")</f>
        <v>Oil Change</v>
      </c>
      <c r="L361" s="3" t="s">
        <v>142</v>
      </c>
      <c r="M361" s="0" t="str">
        <f aca="false">PROPER(L361)</f>
        <v>Oil Filter, Brake Pads</v>
      </c>
      <c r="N361" s="3" t="s">
        <v>90</v>
      </c>
      <c r="O361" s="0" t="str">
        <f aca="false" t="array" ref="O361:O361">IF(N361&lt;&gt;"",N361,_xlfn.xlookup(1,(L361:L1360=L361)*(N361:N1360&lt;&gt;""),N361:N1360,"Not Found"))</f>
        <v>Musa</v>
      </c>
      <c r="P361" s="4" t="n">
        <v>49513</v>
      </c>
      <c r="Q361" s="0" t="s">
        <v>166</v>
      </c>
      <c r="R361" s="0" t="str">
        <f aca="false">PROPER(Q361)</f>
        <v>Transfer</v>
      </c>
      <c r="S361" s="0" t="s">
        <v>63</v>
      </c>
      <c r="T361" s="0" t="n">
        <v>1</v>
      </c>
      <c r="U361" s="5" t="n">
        <f aca="false">IF(ISBLANK(T361),AVERAGE(T361:T1360),T361)</f>
        <v>1</v>
      </c>
      <c r="V361" s="0" t="n">
        <v>3.5</v>
      </c>
      <c r="X361" s="0" t="str">
        <f aca="false">IF(ISBLANK(W361),"No remarks",W361)</f>
        <v>No remarks</v>
      </c>
      <c r="Y361" s="0" t="s">
        <v>93</v>
      </c>
      <c r="Z361" s="0" t="s">
        <v>53</v>
      </c>
      <c r="AA361" s="0" t="str">
        <f aca="false">PROPER(IF(ISBLANK(Z361),"Location Unavailable",Z361))</f>
        <v>Main Bay</v>
      </c>
      <c r="AB361" s="0" t="s">
        <v>95</v>
      </c>
      <c r="AC361" s="6" t="str">
        <f aca="false">PROPER(AB361)</f>
        <v>Road Sign</v>
      </c>
      <c r="AD361" s="6" t="n">
        <v>30</v>
      </c>
      <c r="AE361" s="5" t="n">
        <f aca="false">IF(ISBLANK(AD361),AVERAGEIF(L361:L1360,L361,AD361:AD1360),AD361)</f>
        <v>30</v>
      </c>
      <c r="AF361" s="0" t="s">
        <v>76</v>
      </c>
      <c r="AG361" s="0" t="str">
        <f aca="false">PROPER(AF361)</f>
        <v>Orderd</v>
      </c>
      <c r="AH361" s="0" t="s">
        <v>77</v>
      </c>
      <c r="AI361" s="0" t="s">
        <v>78</v>
      </c>
      <c r="AJ361" s="0" t="str">
        <f aca="false">PROPER(AI361)</f>
        <v>Booking</v>
      </c>
      <c r="AK361" s="0" t="s">
        <v>114</v>
      </c>
      <c r="AL361" s="0" t="str">
        <f aca="false">PROPER(AK361)</f>
        <v>Returning</v>
      </c>
      <c r="AN361" s="0" t="str">
        <f aca="false">IF(ISBLANK(AM361),"Unknown",AM361)</f>
        <v>Unknown</v>
      </c>
      <c r="AO361" s="0" t="s">
        <v>79</v>
      </c>
      <c r="AP361" s="0" t="str">
        <f aca="false">IF(ISBLANK(AO361),"Unknown",AO361)</f>
        <v>Specialist</v>
      </c>
      <c r="AQ361" s="0" t="n">
        <v>15000</v>
      </c>
      <c r="AR361" s="5" t="n">
        <f aca="false">IF(ISBLANK(AQ361),AVERAGEIF(M361:M1360,M361,AQ361:AQ1360),AQ361)</f>
        <v>15000</v>
      </c>
      <c r="AT361" s="5" t="n">
        <f aca="false">IF(ISBLANK(AS361),AVERAGE(AS361:AS1360),AS361)</f>
        <v>31448.5981308411</v>
      </c>
      <c r="AU361" s="0" t="s">
        <v>63</v>
      </c>
      <c r="AV361" s="0" t="str">
        <f aca="false">PROPER(IF(ISBLANK(AU361),"No",AU361))</f>
        <v>Yes</v>
      </c>
      <c r="AW361" s="0" t="n">
        <v>10000</v>
      </c>
      <c r="AX361" s="5" t="n">
        <f aca="false">IF(ISBLANK(AW361),0,AW361)</f>
        <v>10000</v>
      </c>
      <c r="AY361" s="0" t="s">
        <v>80</v>
      </c>
      <c r="AZ361" s="0" t="str">
        <f aca="false">UPPER(IF(ISBLANK(AY361),"NONE",AY361))</f>
        <v>PROMO10</v>
      </c>
      <c r="BA361" s="7" t="n">
        <v>45981</v>
      </c>
      <c r="BB361" s="7" t="n">
        <f aca="false">IF(ISBLANK(BA361),"No Follow Up Needed",BA361)</f>
        <v>45981</v>
      </c>
      <c r="BC361" s="0" t="s">
        <v>50</v>
      </c>
      <c r="BD361" s="0" t="str">
        <f aca="false">PROPER(IF(ISBLANK(BC361),"Unknown",BC361))</f>
        <v>No</v>
      </c>
      <c r="BF361" s="0" t="str">
        <f aca="false">IF(ISBLANK(BE361),"No comments",BE361)</f>
        <v>No comments</v>
      </c>
      <c r="BG361" s="0" t="s">
        <v>117</v>
      </c>
      <c r="BH361" s="0" t="str">
        <f aca="false">IF(ISBLANK(BG361),"No comments",BG361)</f>
        <v>Prefers morning</v>
      </c>
      <c r="BI361" s="0" t="s">
        <v>63</v>
      </c>
      <c r="BJ361" s="0" t="str">
        <f aca="false">IF(ISBLANK(BI361),"Not Mentioned",BI361)</f>
        <v>Yes</v>
      </c>
      <c r="BK361" s="0" t="s">
        <v>82</v>
      </c>
      <c r="BL361" s="0" t="str">
        <f aca="false">PROPER(IF(ISBLANK(BK361),"Not Mentioned",BK361))</f>
        <v>Yes</v>
      </c>
      <c r="BN361" s="0" t="str">
        <f aca="false">PROPER(IF(ISBLANK(BM361),"Not Mentioned",BM361))</f>
        <v>Not Mentioned</v>
      </c>
      <c r="BO361" s="0" t="s">
        <v>2318</v>
      </c>
      <c r="BP361" s="0" t="str">
        <f aca="false">IF(ISBLANK(BO361),"One-Time Plan",BO361)</f>
        <v>Gold</v>
      </c>
      <c r="BQ361" s="0" t="s">
        <v>50</v>
      </c>
      <c r="BR361" s="0" t="str">
        <f aca="false">PROPER(IF(ISBLANK(BQ361),"No",BQ361))</f>
        <v>No</v>
      </c>
    </row>
    <row r="362" customFormat="false" ht="15" hidden="false" customHeight="false" outlineLevel="0" collapsed="false">
      <c r="A362" s="0" t="s">
        <v>985</v>
      </c>
      <c r="B362" s="2" t="n">
        <v>45779</v>
      </c>
      <c r="C362" s="2" t="str">
        <f aca="false">TEXT(B362,"dd/mm/yyyy")</f>
        <v>02/05/2025</v>
      </c>
      <c r="D362" s="0" t="s">
        <v>66</v>
      </c>
      <c r="E362" s="0" t="n">
        <v>8098525972</v>
      </c>
      <c r="F362" s="0" t="s">
        <v>67</v>
      </c>
      <c r="G362" s="0" t="s">
        <v>2316</v>
      </c>
      <c r="H362" s="0" t="s">
        <v>986</v>
      </c>
      <c r="I362" s="0" t="s">
        <v>69</v>
      </c>
      <c r="J362" s="0" t="s">
        <v>2322</v>
      </c>
      <c r="K362" s="3" t="str">
        <f aca="false" t="array" ref="K362:K362">IFERROR(IF(J362&lt;&gt;"",J362,INDEX(J362:J1361,MATCH(1,(F362:F1361=F362)*(I362:I1361=I362)*(L362:L1361=L362)*(J362:J1361&lt;&gt;""),0))),"Not Found")</f>
        <v>Brake Failure</v>
      </c>
      <c r="L362" s="3" t="s">
        <v>47</v>
      </c>
      <c r="M362" s="0" t="str">
        <f aca="false">PROPER(L362)</f>
        <v>None</v>
      </c>
      <c r="O362" s="0" t="e">
        <f aca="false" t="array" ref="O362:O362">IF(N362&lt;&gt;"",N362,_xlfn.xlookup(1,(L362:L1361=L362)*(N362:N1361&lt;&gt;""),N362:N1361,"Not Found"))</f>
        <v>#NAME?</v>
      </c>
      <c r="P362" s="4" t="n">
        <v>111796</v>
      </c>
      <c r="Q362" s="0" t="s">
        <v>124</v>
      </c>
      <c r="R362" s="0" t="str">
        <f aca="false">PROPER(Q362)</f>
        <v>Cash</v>
      </c>
      <c r="S362" s="0" t="s">
        <v>63</v>
      </c>
      <c r="T362" s="0" t="n">
        <v>4</v>
      </c>
      <c r="U362" s="5" t="n">
        <f aca="false">IF(ISBLANK(T362),AVERAGE(T362:T1361),T362)</f>
        <v>4</v>
      </c>
      <c r="V362" s="0" t="n">
        <v>5.4</v>
      </c>
      <c r="W362" s="0" t="s">
        <v>125</v>
      </c>
      <c r="X362" s="0" t="str">
        <f aca="false">IF(ISBLANK(W362),"No remarks",W362)</f>
        <v>Customer waited</v>
      </c>
      <c r="Y362" s="0" t="s">
        <v>73</v>
      </c>
      <c r="Z362" s="0" t="s">
        <v>74</v>
      </c>
      <c r="AA362" s="0" t="str">
        <f aca="false">PROPER(IF(ISBLANK(Z362),"Location Unavailable",Z362))</f>
        <v>Under Tree</v>
      </c>
      <c r="AB362" s="0" t="s">
        <v>54</v>
      </c>
      <c r="AC362" s="6" t="str">
        <f aca="false">PROPER(AB362)</f>
        <v>Mechanic Referral</v>
      </c>
      <c r="AD362" s="6" t="n">
        <v>60</v>
      </c>
      <c r="AE362" s="5" t="n">
        <f aca="false">IF(ISBLANK(AD362),AVERAGEIF(L362:L1361,L362,AD362:AD1361),AD362)</f>
        <v>60</v>
      </c>
      <c r="AF362" s="0" t="s">
        <v>96</v>
      </c>
      <c r="AG362" s="0" t="str">
        <f aca="false">PROPER(AF362)</f>
        <v>Ordered</v>
      </c>
      <c r="AH362" s="0" t="s">
        <v>148</v>
      </c>
      <c r="AI362" s="0" t="s">
        <v>128</v>
      </c>
      <c r="AJ362" s="0" t="str">
        <f aca="false">PROPER(AI362)</f>
        <v>Normal</v>
      </c>
      <c r="AK362" s="0" t="s">
        <v>196</v>
      </c>
      <c r="AL362" s="0" t="str">
        <f aca="false">PROPER(AK362)</f>
        <v>First Time</v>
      </c>
      <c r="AM362" s="0" t="s">
        <v>2326</v>
      </c>
      <c r="AN362" s="0" t="str">
        <f aca="false">IF(ISBLANK(AM362),"Unknown",AM362)</f>
        <v>Government Convoy</v>
      </c>
      <c r="AO362" s="0" t="s">
        <v>79</v>
      </c>
      <c r="AP362" s="0" t="str">
        <f aca="false">IF(ISBLANK(AO362),"Unknown",AO362)</f>
        <v>Specialist</v>
      </c>
      <c r="AQ362" s="0" t="n">
        <v>15000</v>
      </c>
      <c r="AR362" s="5" t="n">
        <f aca="false">IF(ISBLANK(AQ362),AVERAGEIF(M362:M1361,M362,AQ362:AQ1361),AQ362)</f>
        <v>15000</v>
      </c>
      <c r="AS362" s="0" t="n">
        <v>30000</v>
      </c>
      <c r="AT362" s="5" t="n">
        <f aca="false">IF(ISBLANK(AS362),AVERAGE(AS362:AS1361),AS362)</f>
        <v>30000</v>
      </c>
      <c r="AV362" s="0" t="str">
        <f aca="false">PROPER(IF(ISBLANK(AU362),"No",AU362))</f>
        <v>No</v>
      </c>
      <c r="AW362" s="0" t="n">
        <v>0</v>
      </c>
      <c r="AX362" s="5" t="n">
        <f aca="false">IF(ISBLANK(AW362),0,AW362)</f>
        <v>0</v>
      </c>
      <c r="AY362" s="0" t="s">
        <v>184</v>
      </c>
      <c r="AZ362" s="0" t="str">
        <f aca="false">UPPER(IF(ISBLANK(AY362),"NONE",AY362))</f>
        <v>N/A</v>
      </c>
      <c r="BB362" s="7" t="str">
        <f aca="false">IF(ISBLANK(BA362),"No Follow Up Needed",BA362)</f>
        <v>No Follow Up Needed</v>
      </c>
      <c r="BC362" s="0" t="s">
        <v>63</v>
      </c>
      <c r="BD362" s="0" t="str">
        <f aca="false">PROPER(IF(ISBLANK(BC362),"Unknown",BC362))</f>
        <v>Yes</v>
      </c>
      <c r="BE362" s="0" t="s">
        <v>116</v>
      </c>
      <c r="BF362" s="0" t="str">
        <f aca="false">IF(ISBLANK(BE362),"No comments",BE362)</f>
        <v>Needs tire alignment</v>
      </c>
      <c r="BH362" s="0" t="str">
        <f aca="false">IF(ISBLANK(BG362),"No comments",BG362)</f>
        <v>No comments</v>
      </c>
      <c r="BI362" s="0" t="s">
        <v>63</v>
      </c>
      <c r="BJ362" s="0" t="str">
        <f aca="false">IF(ISBLANK(BI362),"Not Mentioned",BI362)</f>
        <v>Yes</v>
      </c>
      <c r="BL362" s="0" t="str">
        <f aca="false">PROPER(IF(ISBLANK(BK362),"Not Mentioned",BK362))</f>
        <v>Not Mentioned</v>
      </c>
      <c r="BM362" s="0" t="s">
        <v>63</v>
      </c>
      <c r="BN362" s="0" t="str">
        <f aca="false">PROPER(IF(ISBLANK(BM362),"Not Mentioned",BM362))</f>
        <v>Yes</v>
      </c>
      <c r="BO362" s="0" t="s">
        <v>2318</v>
      </c>
      <c r="BP362" s="0" t="str">
        <f aca="false">IF(ISBLANK(BO362),"One-Time Plan",BO362)</f>
        <v>Gold</v>
      </c>
      <c r="BQ362" s="0" t="s">
        <v>63</v>
      </c>
      <c r="BR362" s="0" t="str">
        <f aca="false">PROPER(IF(ISBLANK(BQ362),"No",BQ362))</f>
        <v>Yes</v>
      </c>
    </row>
    <row r="363" customFormat="false" ht="15" hidden="false" customHeight="false" outlineLevel="0" collapsed="false">
      <c r="A363" s="0" t="s">
        <v>987</v>
      </c>
      <c r="B363" s="2" t="s">
        <v>302</v>
      </c>
      <c r="C363" s="2" t="str">
        <f aca="false">TEXT(B363,"dd/mm/yyyy")</f>
        <v>21/05/2025</v>
      </c>
      <c r="D363" s="0" t="s">
        <v>66</v>
      </c>
      <c r="E363" s="0" t="n">
        <v>8080383199</v>
      </c>
      <c r="F363" s="0" t="s">
        <v>43</v>
      </c>
      <c r="G363" s="0" t="s">
        <v>2315</v>
      </c>
      <c r="H363" s="0" t="s">
        <v>988</v>
      </c>
      <c r="I363" s="0" t="s">
        <v>107</v>
      </c>
      <c r="J363" s="0" t="s">
        <v>2322</v>
      </c>
      <c r="K363" s="3" t="str">
        <f aca="false" t="array" ref="K363:K363">IFERROR(IF(J363&lt;&gt;"",J363,INDEX(J363:J1362,MATCH(1,(F363:F1362=F363)*(I363:I1362=I363)*(L363:L1362=L363)*(J363:J1362&lt;&gt;""),0))),"Not Found")</f>
        <v>Brake Failure</v>
      </c>
      <c r="L363" s="3" t="s">
        <v>154</v>
      </c>
      <c r="M363" s="0" t="str">
        <f aca="false">PROPER(L363)</f>
        <v>Air Filter</v>
      </c>
      <c r="N363" s="3" t="s">
        <v>90</v>
      </c>
      <c r="O363" s="0" t="str">
        <f aca="false" t="array" ref="O363:O363">IF(N363&lt;&gt;"",N363,_xlfn.xlookup(1,(L363:L1362=L363)*(N363:N1362&lt;&gt;""),N363:N1362,"Not Found"))</f>
        <v>Musa</v>
      </c>
      <c r="P363" s="4" t="n">
        <v>78287</v>
      </c>
      <c r="Q363" s="0" t="s">
        <v>91</v>
      </c>
      <c r="R363" s="0" t="str">
        <f aca="false">PROPER(Q363)</f>
        <v>Pos</v>
      </c>
      <c r="S363" s="0" t="s">
        <v>63</v>
      </c>
      <c r="U363" s="5" t="n">
        <f aca="false">IF(ISBLANK(T363),AVERAGE(T363:T1362),T363)</f>
        <v>3.06628787878788</v>
      </c>
      <c r="V363" s="0" t="n">
        <v>3.6</v>
      </c>
      <c r="W363" s="0" t="s">
        <v>51</v>
      </c>
      <c r="X363" s="0" t="str">
        <f aca="false">IF(ISBLANK(W363),"No remarks",W363)</f>
        <v>Recommended further checks</v>
      </c>
      <c r="Y363" s="0" t="s">
        <v>52</v>
      </c>
      <c r="Z363" s="0" t="s">
        <v>159</v>
      </c>
      <c r="AA363" s="0" t="str">
        <f aca="false">PROPER(IF(ISBLANK(Z363),"Location Unavailable",Z363))</f>
        <v>Main Bay</v>
      </c>
      <c r="AB363" s="0" t="s">
        <v>75</v>
      </c>
      <c r="AC363" s="6" t="str">
        <f aca="false">PROPER(AB363)</f>
        <v>Mechanik Referal</v>
      </c>
      <c r="AD363" s="6" t="n">
        <v>45</v>
      </c>
      <c r="AE363" s="5" t="n">
        <f aca="false">IF(ISBLANK(AD363),AVERAGEIF(L363:L1362,L363,AD363:AD1362),AD363)</f>
        <v>45</v>
      </c>
      <c r="AF363" s="0" t="s">
        <v>160</v>
      </c>
      <c r="AG363" s="0" t="str">
        <f aca="false">PROPER(AF363)</f>
        <v>Availaible</v>
      </c>
      <c r="AH363" s="0" t="s">
        <v>155</v>
      </c>
      <c r="AI363" s="0" t="s">
        <v>78</v>
      </c>
      <c r="AJ363" s="0" t="str">
        <f aca="false">PROPER(AI363)</f>
        <v>Booking</v>
      </c>
      <c r="AK363" s="0" t="s">
        <v>58</v>
      </c>
      <c r="AL363" s="0" t="str">
        <f aca="false">PROPER(AK363)</f>
        <v>Fleet Owner</v>
      </c>
      <c r="AM363" s="0" t="s">
        <v>2326</v>
      </c>
      <c r="AN363" s="0" t="str">
        <f aca="false">IF(ISBLANK(AM363),"Unknown",AM363)</f>
        <v>Government Convoy</v>
      </c>
      <c r="AO363" s="0" t="s">
        <v>149</v>
      </c>
      <c r="AP363" s="0" t="str">
        <f aca="false">IF(ISBLANK(AO363),"Unknown",AO363)</f>
        <v>Senior </v>
      </c>
      <c r="AR363" s="5" t="n">
        <f aca="false">IF(ISBLANK(AQ363),AVERAGEIF(M363:M1362,M363,AQ363:AQ1362),AQ363)</f>
        <v>26648.3516483516</v>
      </c>
      <c r="AT363" s="5" t="n">
        <f aca="false">IF(ISBLANK(AS363),AVERAGE(AS363:AS1362),AS363)</f>
        <v>31451.3108614232</v>
      </c>
      <c r="AU363" s="0" t="s">
        <v>50</v>
      </c>
      <c r="AV363" s="0" t="str">
        <f aca="false">PROPER(IF(ISBLANK(AU363),"No",AU363))</f>
        <v>No</v>
      </c>
      <c r="AX363" s="5" t="n">
        <f aca="false">IF(ISBLANK(AW363),0,AW363)</f>
        <v>0</v>
      </c>
      <c r="AY363" s="0" t="s">
        <v>60</v>
      </c>
      <c r="AZ363" s="0" t="str">
        <f aca="false">UPPER(IF(ISBLANK(AY363),"NONE",AY363))</f>
        <v>NONE</v>
      </c>
      <c r="BB363" s="7" t="str">
        <f aca="false">IF(ISBLANK(BA363),"No Follow Up Needed",BA363)</f>
        <v>No Follow Up Needed</v>
      </c>
      <c r="BC363" s="0" t="s">
        <v>63</v>
      </c>
      <c r="BD363" s="0" t="str">
        <f aca="false">PROPER(IF(ISBLANK(BC363),"Unknown",BC363))</f>
        <v>Yes</v>
      </c>
      <c r="BF363" s="0" t="str">
        <f aca="false">IF(ISBLANK(BE363),"No comments",BE363)</f>
        <v>No comments</v>
      </c>
      <c r="BH363" s="0" t="str">
        <f aca="false">IF(ISBLANK(BG363),"No comments",BG363)</f>
        <v>No comments</v>
      </c>
      <c r="BJ363" s="0" t="str">
        <f aca="false">IF(ISBLANK(BI363),"Not Mentioned",BI363)</f>
        <v>Not Mentioned</v>
      </c>
      <c r="BL363" s="0" t="str">
        <f aca="false">PROPER(IF(ISBLANK(BK363),"Not Mentioned",BK363))</f>
        <v>Not Mentioned</v>
      </c>
      <c r="BM363" s="0" t="s">
        <v>63</v>
      </c>
      <c r="BN363" s="0" t="str">
        <f aca="false">PROPER(IF(ISBLANK(BM363),"Not Mentioned",BM363))</f>
        <v>Yes</v>
      </c>
      <c r="BO363" s="0" t="s">
        <v>2318</v>
      </c>
      <c r="BP363" s="0" t="str">
        <f aca="false">IF(ISBLANK(BO363),"One-Time Plan",BO363)</f>
        <v>Gold</v>
      </c>
      <c r="BR363" s="0" t="str">
        <f aca="false">PROPER(IF(ISBLANK(BQ363),"No",BQ363))</f>
        <v>No</v>
      </c>
    </row>
    <row r="364" customFormat="false" ht="15" hidden="false" customHeight="false" outlineLevel="0" collapsed="false">
      <c r="A364" s="0" t="s">
        <v>989</v>
      </c>
      <c r="B364" s="2" t="s">
        <v>918</v>
      </c>
      <c r="C364" s="2" t="str">
        <f aca="false">TEXT(B364,"dd/mm/yyyy")</f>
        <v>13/04/2025</v>
      </c>
      <c r="D364" s="0" t="s">
        <v>66</v>
      </c>
      <c r="E364" s="0" t="n">
        <v>8019392480</v>
      </c>
      <c r="F364" s="0" t="s">
        <v>122</v>
      </c>
      <c r="G364" s="0" t="s">
        <v>2316</v>
      </c>
      <c r="H364" s="0" t="s">
        <v>990</v>
      </c>
      <c r="I364" s="0" t="s">
        <v>87</v>
      </c>
      <c r="J364" s="0" t="s">
        <v>2317</v>
      </c>
      <c r="K364" s="3" t="str">
        <f aca="false" t="array" ref="K364:K364">IFERROR(IF(J364&lt;&gt;"",J364,INDEX(J364:J1363,MATCH(1,(F364:F1363=F364)*(I364:I1363=I364)*(L364:L1363=L364)*(J364:J1363&lt;&gt;""),0))),"Not Found")</f>
        <v>Suspension Noise</v>
      </c>
      <c r="L364" s="3" t="s">
        <v>47</v>
      </c>
      <c r="M364" s="0" t="str">
        <f aca="false">PROPER(L364)</f>
        <v>None</v>
      </c>
      <c r="N364" s="3" t="s">
        <v>90</v>
      </c>
      <c r="O364" s="0" t="str">
        <f aca="false" t="array" ref="O364:O364">IF(N364&lt;&gt;"",N364,_xlfn.xlookup(1,(L364:L1363=L364)*(N364:N1363&lt;&gt;""),N364:N1363,"Not Found"))</f>
        <v>Musa</v>
      </c>
      <c r="P364" s="4" t="n">
        <v>23582</v>
      </c>
      <c r="Q364" s="0" t="s">
        <v>49</v>
      </c>
      <c r="R364" s="0" t="str">
        <f aca="false">PROPER(Q364)</f>
        <v>Transfer</v>
      </c>
      <c r="S364" s="0" t="s">
        <v>50</v>
      </c>
      <c r="U364" s="5" t="n">
        <f aca="false">IF(ISBLANK(T364),AVERAGE(T364:T1363),T364)</f>
        <v>3.06628787878788</v>
      </c>
      <c r="V364" s="0" t="n">
        <v>3</v>
      </c>
      <c r="W364" s="0" t="s">
        <v>125</v>
      </c>
      <c r="X364" s="0" t="str">
        <f aca="false">IF(ISBLANK(W364),"No remarks",W364)</f>
        <v>Customer waited</v>
      </c>
      <c r="Y364" s="0" t="s">
        <v>93</v>
      </c>
      <c r="Z364" s="0" t="s">
        <v>74</v>
      </c>
      <c r="AA364" s="0" t="str">
        <f aca="false">PROPER(IF(ISBLANK(Z364),"Location Unavailable",Z364))</f>
        <v>Under Tree</v>
      </c>
      <c r="AB364" s="0" t="s">
        <v>75</v>
      </c>
      <c r="AC364" s="6" t="str">
        <f aca="false">PROPER(AB364)</f>
        <v>Mechanik Referal</v>
      </c>
      <c r="AE364" s="5" t="n">
        <f aca="false">IF(ISBLANK(AD364),AVERAGEIF(L364:L1363,L364,AD364:AD1363),AD364)</f>
        <v>35.9615384615385</v>
      </c>
      <c r="AF364" s="0" t="s">
        <v>96</v>
      </c>
      <c r="AG364" s="0" t="str">
        <f aca="false">PROPER(AF364)</f>
        <v>Ordered</v>
      </c>
      <c r="AH364" s="0" t="s">
        <v>155</v>
      </c>
      <c r="AI364" s="0" t="s">
        <v>113</v>
      </c>
      <c r="AJ364" s="0" t="str">
        <f aca="false">PROPER(AI364)</f>
        <v>Normal</v>
      </c>
      <c r="AK364" s="0" t="s">
        <v>196</v>
      </c>
      <c r="AL364" s="0" t="str">
        <f aca="false">PROPER(AK364)</f>
        <v>First Time</v>
      </c>
      <c r="AM364" s="0" t="s">
        <v>2326</v>
      </c>
      <c r="AN364" s="0" t="str">
        <f aca="false">IF(ISBLANK(AM364),"Unknown",AM364)</f>
        <v>Government Convoy</v>
      </c>
      <c r="AO364" s="0" t="s">
        <v>161</v>
      </c>
      <c r="AP364" s="0" t="str">
        <f aca="false">IF(ISBLANK(AO364),"Unknown",AO364)</f>
        <v>Apprentice</v>
      </c>
      <c r="AQ364" s="0" t="n">
        <v>15000</v>
      </c>
      <c r="AR364" s="5" t="n">
        <f aca="false">IF(ISBLANK(AQ364),AVERAGEIF(M364:M1363,M364,AQ364:AQ1363),AQ364)</f>
        <v>15000</v>
      </c>
      <c r="AT364" s="5" t="n">
        <f aca="false">IF(ISBLANK(AS364),AVERAGE(AS364:AS1363),AS364)</f>
        <v>31451.3108614232</v>
      </c>
      <c r="AU364" s="0" t="s">
        <v>61</v>
      </c>
      <c r="AV364" s="0" t="str">
        <f aca="false">PROPER(IF(ISBLANK(AU364),"No",AU364))</f>
        <v>No</v>
      </c>
      <c r="AW364" s="0" t="n">
        <v>5000</v>
      </c>
      <c r="AX364" s="5" t="n">
        <f aca="false">IF(ISBLANK(AW364),0,AW364)</f>
        <v>5000</v>
      </c>
      <c r="AY364" s="0" t="s">
        <v>130</v>
      </c>
      <c r="AZ364" s="0" t="str">
        <f aca="false">UPPER(IF(ISBLANK(AY364),"NONE",AY364))</f>
        <v>LOYALTY10</v>
      </c>
      <c r="BB364" s="7" t="str">
        <f aca="false">IF(ISBLANK(BA364),"No Follow Up Needed",BA364)</f>
        <v>No Follow Up Needed</v>
      </c>
      <c r="BD364" s="0" t="str">
        <f aca="false">PROPER(IF(ISBLANK(BC364),"Unknown",BC364))</f>
        <v>Unknown</v>
      </c>
      <c r="BE364" s="0" t="s">
        <v>171</v>
      </c>
      <c r="BF364" s="0" t="str">
        <f aca="false">IF(ISBLANK(BE364),"No comments",BE364)</f>
        <v>Shock absorber weakening</v>
      </c>
      <c r="BG364" s="0" t="s">
        <v>172</v>
      </c>
      <c r="BH364" s="0" t="str">
        <f aca="false">IF(ISBLANK(BG364),"No comments",BG364)</f>
        <v>Always late</v>
      </c>
      <c r="BI364" s="0" t="s">
        <v>63</v>
      </c>
      <c r="BJ364" s="0" t="str">
        <f aca="false">IF(ISBLANK(BI364),"Not Mentioned",BI364)</f>
        <v>Yes</v>
      </c>
      <c r="BK364" s="0" t="s">
        <v>63</v>
      </c>
      <c r="BL364" s="0" t="str">
        <f aca="false">PROPER(IF(ISBLANK(BK364),"Not Mentioned",BK364))</f>
        <v>Yes</v>
      </c>
      <c r="BN364" s="0" t="str">
        <f aca="false">PROPER(IF(ISBLANK(BM364),"Not Mentioned",BM364))</f>
        <v>Not Mentioned</v>
      </c>
      <c r="BO364" s="0" t="s">
        <v>2321</v>
      </c>
      <c r="BP364" s="0" t="str">
        <f aca="false">IF(ISBLANK(BO364),"One-Time Plan",BO364)</f>
        <v>One-Time Plan</v>
      </c>
      <c r="BQ364" s="0" t="s">
        <v>198</v>
      </c>
      <c r="BR364" s="0" t="str">
        <f aca="false">PROPER(IF(ISBLANK(BQ364),"No",BQ364))</f>
        <v>Followed Up</v>
      </c>
    </row>
    <row r="365" customFormat="false" ht="15" hidden="false" customHeight="false" outlineLevel="0" collapsed="false">
      <c r="A365" s="0" t="s">
        <v>991</v>
      </c>
      <c r="B365" s="2" t="n">
        <v>45781</v>
      </c>
      <c r="C365" s="2" t="str">
        <f aca="false">TEXT(B365,"dd/mm/yyyy")</f>
        <v>04/05/2025</v>
      </c>
      <c r="D365" s="0" t="s">
        <v>42</v>
      </c>
      <c r="E365" s="0" t="n">
        <v>8071023927</v>
      </c>
      <c r="F365" s="0" t="s">
        <v>43</v>
      </c>
      <c r="G365" s="0" t="s">
        <v>2315</v>
      </c>
      <c r="H365" s="0" t="s">
        <v>992</v>
      </c>
      <c r="I365" s="0" t="s">
        <v>45</v>
      </c>
      <c r="J365" s="0" t="s">
        <v>2325</v>
      </c>
      <c r="K365" s="3" t="str">
        <f aca="false" t="array" ref="K365:K365">IFERROR(IF(J365&lt;&gt;"",J365,INDEX(J365:J1364,MATCH(1,(F365:F1364=F365)*(I365:I1364=I365)*(L365:L1364=L365)*(J365:J1364&lt;&gt;""),0))),"Not Found")</f>
        <v>Engine Knocking</v>
      </c>
      <c r="L365" s="3" t="s">
        <v>47</v>
      </c>
      <c r="M365" s="0" t="str">
        <f aca="false">PROPER(L365)</f>
        <v>None</v>
      </c>
      <c r="N365" s="3" t="s">
        <v>71</v>
      </c>
      <c r="O365" s="0" t="str">
        <f aca="false" t="array" ref="O365:O365">IF(N365&lt;&gt;"",N365,_xlfn.xlookup(1,(L365:L1364=L365)*(N365:N1364&lt;&gt;""),N365:N1364,"Not Found"))</f>
        <v>Isaac Bobo</v>
      </c>
      <c r="P365" s="4" t="n">
        <v>29612</v>
      </c>
      <c r="Q365" s="0" t="s">
        <v>166</v>
      </c>
      <c r="R365" s="0" t="str">
        <f aca="false">PROPER(Q365)</f>
        <v>Transfer</v>
      </c>
      <c r="S365" s="0" t="s">
        <v>63</v>
      </c>
      <c r="U365" s="5" t="n">
        <f aca="false">IF(ISBLANK(T365),AVERAGE(T365:T1364),T365)</f>
        <v>3.06628787878788</v>
      </c>
      <c r="V365" s="0" t="n">
        <v>3.6</v>
      </c>
      <c r="W365" s="0" t="s">
        <v>51</v>
      </c>
      <c r="X365" s="0" t="str">
        <f aca="false">IF(ISBLANK(W365),"No remarks",W365)</f>
        <v>Recommended further checks</v>
      </c>
      <c r="Y365" s="0" t="s">
        <v>73</v>
      </c>
      <c r="Z365" s="0" t="s">
        <v>136</v>
      </c>
      <c r="AA365" s="0" t="str">
        <f aca="false">PROPER(IF(ISBLANK(Z365),"Location Unavailable",Z365))</f>
        <v>Vip Section</v>
      </c>
      <c r="AB365" s="0" t="s">
        <v>75</v>
      </c>
      <c r="AC365" s="6" t="str">
        <f aca="false">PROPER(AB365)</f>
        <v>Mechanik Referal</v>
      </c>
      <c r="AE365" s="5" t="n">
        <f aca="false">IF(ISBLANK(AD365),AVERAGEIF(L365:L1364,L365,AD365:AD1364),AD365)</f>
        <v>35.9615384615385</v>
      </c>
      <c r="AF365" s="0" t="s">
        <v>112</v>
      </c>
      <c r="AG365" s="0" t="str">
        <f aca="false">PROPER(AF365)</f>
        <v>Unavailable</v>
      </c>
      <c r="AH365" s="0" t="s">
        <v>155</v>
      </c>
      <c r="AI365" s="0" t="s">
        <v>98</v>
      </c>
      <c r="AJ365" s="0" t="str">
        <f aca="false">PROPER(AI365)</f>
        <v>Emergency</v>
      </c>
      <c r="AK365" s="0" t="s">
        <v>99</v>
      </c>
      <c r="AL365" s="0" t="str">
        <f aca="false">PROPER(AK365)</f>
        <v>Uber Driver</v>
      </c>
      <c r="AN365" s="0" t="str">
        <f aca="false">IF(ISBLANK(AM365),"Unknown",AM365)</f>
        <v>Unknown</v>
      </c>
      <c r="AO365" s="0" t="s">
        <v>79</v>
      </c>
      <c r="AP365" s="0" t="str">
        <f aca="false">IF(ISBLANK(AO365),"Unknown",AO365)</f>
        <v>Specialist</v>
      </c>
      <c r="AQ365" s="0" t="n">
        <v>20000</v>
      </c>
      <c r="AR365" s="5" t="n">
        <f aca="false">IF(ISBLANK(AQ365),AVERAGEIF(M365:M1364,M365,AQ365:AQ1364),AQ365)</f>
        <v>20000</v>
      </c>
      <c r="AT365" s="5" t="n">
        <f aca="false">IF(ISBLANK(AS365),AVERAGE(AS365:AS1364),AS365)</f>
        <v>31451.3108614232</v>
      </c>
      <c r="AU365" s="0" t="s">
        <v>63</v>
      </c>
      <c r="AV365" s="0" t="str">
        <f aca="false">PROPER(IF(ISBLANK(AU365),"No",AU365))</f>
        <v>Yes</v>
      </c>
      <c r="AW365" s="0" t="n">
        <v>10000</v>
      </c>
      <c r="AX365" s="5" t="n">
        <f aca="false">IF(ISBLANK(AW365),0,AW365)</f>
        <v>10000</v>
      </c>
      <c r="AY365" s="0" t="s">
        <v>80</v>
      </c>
      <c r="AZ365" s="0" t="str">
        <f aca="false">UPPER(IF(ISBLANK(AY365),"NONE",AY365))</f>
        <v>PROMO10</v>
      </c>
      <c r="BA365" s="7" t="s">
        <v>315</v>
      </c>
      <c r="BB365" s="7" t="str">
        <f aca="false">IF(ISBLANK(BA365),"No Follow Up Needed",BA365)</f>
        <v>13/12/2025</v>
      </c>
      <c r="BC365" s="0" t="s">
        <v>50</v>
      </c>
      <c r="BD365" s="0" t="str">
        <f aca="false">PROPER(IF(ISBLANK(BC365),"Unknown",BC365))</f>
        <v>No</v>
      </c>
      <c r="BE365" s="0" t="s">
        <v>116</v>
      </c>
      <c r="BF365" s="0" t="str">
        <f aca="false">IF(ISBLANK(BE365),"No comments",BE365)</f>
        <v>Needs tire alignment</v>
      </c>
      <c r="BH365" s="0" t="str">
        <f aca="false">IF(ISBLANK(BG365),"No comments",BG365)</f>
        <v>No comments</v>
      </c>
      <c r="BJ365" s="0" t="str">
        <f aca="false">IF(ISBLANK(BI365),"Not Mentioned",BI365)</f>
        <v>Not Mentioned</v>
      </c>
      <c r="BL365" s="0" t="str">
        <f aca="false">PROPER(IF(ISBLANK(BK365),"Not Mentioned",BK365))</f>
        <v>Not Mentioned</v>
      </c>
      <c r="BM365" s="0" t="s">
        <v>63</v>
      </c>
      <c r="BN365" s="0" t="str">
        <f aca="false">PROPER(IF(ISBLANK(BM365),"Not Mentioned",BM365))</f>
        <v>Yes</v>
      </c>
      <c r="BO365" s="0" t="s">
        <v>2321</v>
      </c>
      <c r="BP365" s="0" t="str">
        <f aca="false">IF(ISBLANK(BO365),"One-Time Plan",BO365)</f>
        <v>One-Time Plan</v>
      </c>
      <c r="BQ365" s="0" t="s">
        <v>50</v>
      </c>
      <c r="BR365" s="0" t="str">
        <f aca="false">PROPER(IF(ISBLANK(BQ365),"No",BQ365))</f>
        <v>No</v>
      </c>
    </row>
    <row r="366" customFormat="false" ht="15" hidden="false" customHeight="false" outlineLevel="0" collapsed="false">
      <c r="A366" s="0" t="s">
        <v>993</v>
      </c>
      <c r="B366" s="2" t="n">
        <v>45759</v>
      </c>
      <c r="C366" s="2" t="str">
        <f aca="false">TEXT(B366,"dd/mm/yyyy")</f>
        <v>12/04/2025</v>
      </c>
      <c r="D366" s="0" t="s">
        <v>163</v>
      </c>
      <c r="E366" s="0" t="n">
        <v>8017711235</v>
      </c>
      <c r="F366" s="0" t="s">
        <v>139</v>
      </c>
      <c r="G366" s="0" t="s">
        <v>2323</v>
      </c>
      <c r="H366" s="0" t="s">
        <v>994</v>
      </c>
      <c r="I366" s="0" t="s">
        <v>87</v>
      </c>
      <c r="J366" s="0" t="s">
        <v>2322</v>
      </c>
      <c r="K366" s="3" t="str">
        <f aca="false" t="array" ref="K366:K366">IFERROR(IF(J366&lt;&gt;"",J366,INDEX(J366:J1365,MATCH(1,(F366:F1365=F366)*(I366:I1365=I366)*(L366:L1365=L366)*(J366:J1365&lt;&gt;""),0))),"Not Found")</f>
        <v>Brake Failure</v>
      </c>
      <c r="L366" s="3" t="s">
        <v>154</v>
      </c>
      <c r="M366" s="0" t="str">
        <f aca="false">PROPER(L366)</f>
        <v>Air Filter</v>
      </c>
      <c r="N366" s="3" t="s">
        <v>71</v>
      </c>
      <c r="O366" s="0" t="str">
        <f aca="false" t="array" ref="O366:O366">IF(N366&lt;&gt;"",N366,_xlfn.xlookup(1,(L366:L1365=L366)*(N366:N1365&lt;&gt;""),N366:N1365,"Not Found"))</f>
        <v>Isaac Bobo</v>
      </c>
      <c r="P366" s="4" t="n">
        <v>110186</v>
      </c>
      <c r="Q366" s="0" t="s">
        <v>124</v>
      </c>
      <c r="R366" s="0" t="str">
        <f aca="false">PROPER(Q366)</f>
        <v>Cash</v>
      </c>
      <c r="S366" s="0" t="s">
        <v>63</v>
      </c>
      <c r="T366" s="0" t="n">
        <v>4</v>
      </c>
      <c r="U366" s="5" t="n">
        <f aca="false">IF(ISBLANK(T366),AVERAGE(T366:T1365),T366)</f>
        <v>4</v>
      </c>
      <c r="V366" s="0" t="n">
        <v>1.4</v>
      </c>
      <c r="W366" s="0" t="s">
        <v>111</v>
      </c>
      <c r="X366" s="0" t="str">
        <f aca="false">IF(ISBLANK(W366),"No remarks",W366)</f>
        <v>Changed all filters</v>
      </c>
      <c r="Y366" s="0" t="s">
        <v>93</v>
      </c>
      <c r="Z366" s="0" t="s">
        <v>159</v>
      </c>
      <c r="AA366" s="0" t="str">
        <f aca="false">PROPER(IF(ISBLANK(Z366),"Location Unavailable",Z366))</f>
        <v>Main Bay</v>
      </c>
      <c r="AB366" s="0" t="s">
        <v>95</v>
      </c>
      <c r="AC366" s="6" t="str">
        <f aca="false">PROPER(AB366)</f>
        <v>Road Sign</v>
      </c>
      <c r="AD366" s="6" t="n">
        <v>30</v>
      </c>
      <c r="AE366" s="5" t="n">
        <f aca="false">IF(ISBLANK(AD366),AVERAGEIF(L366:L1365,L366,AD366:AD1365),AD366)</f>
        <v>30</v>
      </c>
      <c r="AF366" s="0" t="s">
        <v>55</v>
      </c>
      <c r="AG366" s="0" t="str">
        <f aca="false">PROPER(AF366)</f>
        <v>Available</v>
      </c>
      <c r="AH366" s="0" t="s">
        <v>148</v>
      </c>
      <c r="AI366" s="0" t="s">
        <v>113</v>
      </c>
      <c r="AJ366" s="0" t="str">
        <f aca="false">PROPER(AI366)</f>
        <v>Normal</v>
      </c>
      <c r="AK366" s="0" t="s">
        <v>58</v>
      </c>
      <c r="AL366" s="0" t="str">
        <f aca="false">PROPER(AK366)</f>
        <v>Fleet Owner</v>
      </c>
      <c r="AN366" s="0" t="str">
        <f aca="false">IF(ISBLANK(AM366),"Unknown",AM366)</f>
        <v>Unknown</v>
      </c>
      <c r="AO366" s="0" t="s">
        <v>79</v>
      </c>
      <c r="AP366" s="0" t="str">
        <f aca="false">IF(ISBLANK(AO366),"Unknown",AO366)</f>
        <v>Specialist</v>
      </c>
      <c r="AQ366" s="0" t="n">
        <v>20000</v>
      </c>
      <c r="AR366" s="5" t="n">
        <f aca="false">IF(ISBLANK(AQ366),AVERAGEIF(M366:M1365,M366,AQ366:AQ1365),AQ366)</f>
        <v>20000</v>
      </c>
      <c r="AS366" s="0" t="n">
        <v>30000</v>
      </c>
      <c r="AT366" s="5" t="n">
        <f aca="false">IF(ISBLANK(AS366),AVERAGE(AS366:AS1365),AS366)</f>
        <v>30000</v>
      </c>
      <c r="AV366" s="0" t="str">
        <f aca="false">PROPER(IF(ISBLANK(AU366),"No",AU366))</f>
        <v>No</v>
      </c>
      <c r="AW366" s="0" t="n">
        <v>5000</v>
      </c>
      <c r="AX366" s="5" t="n">
        <f aca="false">IF(ISBLANK(AW366),0,AW366)</f>
        <v>5000</v>
      </c>
      <c r="AY366" s="0" t="s">
        <v>80</v>
      </c>
      <c r="AZ366" s="0" t="str">
        <f aca="false">UPPER(IF(ISBLANK(AY366),"NONE",AY366))</f>
        <v>PROMO10</v>
      </c>
      <c r="BA366" s="7" t="n">
        <v>45943</v>
      </c>
      <c r="BB366" s="7" t="n">
        <f aca="false">IF(ISBLANK(BA366),"No Follow Up Needed",BA366)</f>
        <v>45943</v>
      </c>
      <c r="BC366" s="0" t="s">
        <v>50</v>
      </c>
      <c r="BD366" s="0" t="str">
        <f aca="false">PROPER(IF(ISBLANK(BC366),"Unknown",BC366))</f>
        <v>No</v>
      </c>
      <c r="BF366" s="0" t="str">
        <f aca="false">IF(ISBLANK(BE366),"No comments",BE366)</f>
        <v>No comments</v>
      </c>
      <c r="BH366" s="0" t="str">
        <f aca="false">IF(ISBLANK(BG366),"No comments",BG366)</f>
        <v>No comments</v>
      </c>
      <c r="BI366" s="0" t="s">
        <v>63</v>
      </c>
      <c r="BJ366" s="0" t="str">
        <f aca="false">IF(ISBLANK(BI366),"Not Mentioned",BI366)</f>
        <v>Yes</v>
      </c>
      <c r="BK366" s="0" t="s">
        <v>61</v>
      </c>
      <c r="BL366" s="0" t="str">
        <f aca="false">PROPER(IF(ISBLANK(BK366),"Not Mentioned",BK366))</f>
        <v>No</v>
      </c>
      <c r="BN366" s="0" t="str">
        <f aca="false">PROPER(IF(ISBLANK(BM366),"Not Mentioned",BM366))</f>
        <v>Not Mentioned</v>
      </c>
      <c r="BO366" s="0" t="s">
        <v>2321</v>
      </c>
      <c r="BP366" s="0" t="str">
        <f aca="false">IF(ISBLANK(BO366),"One-Time Plan",BO366)</f>
        <v>One-Time Plan</v>
      </c>
      <c r="BQ366" s="0" t="s">
        <v>63</v>
      </c>
      <c r="BR366" s="0" t="str">
        <f aca="false">PROPER(IF(ISBLANK(BQ366),"No",BQ366))</f>
        <v>Yes</v>
      </c>
    </row>
    <row r="367" customFormat="false" ht="15" hidden="false" customHeight="false" outlineLevel="0" collapsed="false">
      <c r="A367" s="0" t="s">
        <v>995</v>
      </c>
      <c r="B367" s="2" t="n">
        <v>45801</v>
      </c>
      <c r="C367" s="2" t="str">
        <f aca="false">TEXT(B367,"dd/mm/yyyy")</f>
        <v>24/05/2025</v>
      </c>
      <c r="D367" s="0" t="s">
        <v>66</v>
      </c>
      <c r="E367" s="0" t="n">
        <v>8059479669</v>
      </c>
      <c r="F367" s="0" t="s">
        <v>43</v>
      </c>
      <c r="G367" s="0" t="s">
        <v>2315</v>
      </c>
      <c r="H367" s="0" t="s">
        <v>996</v>
      </c>
      <c r="I367" s="0" t="s">
        <v>69</v>
      </c>
      <c r="J367" s="0" t="s">
        <v>2322</v>
      </c>
      <c r="K367" s="3" t="str">
        <f aca="false" t="array" ref="K367:K367">IFERROR(IF(J367&lt;&gt;"",J367,INDEX(J367:J1366,MATCH(1,(F367:F1366=F367)*(I367:I1366=I367)*(L367:L1366=L367)*(J367:J1366&lt;&gt;""),0))),"Not Found")</f>
        <v>Brake Failure</v>
      </c>
      <c r="L367" s="3" t="s">
        <v>189</v>
      </c>
      <c r="M367" s="0" t="str">
        <f aca="false">PROPER(L367)</f>
        <v>Battery</v>
      </c>
      <c r="N367" s="3" t="s">
        <v>71</v>
      </c>
      <c r="O367" s="0" t="str">
        <f aca="false" t="array" ref="O367:O367">IF(N367&lt;&gt;"",N367,_xlfn.xlookup(1,(L367:L1366=L367)*(N367:N1366&lt;&gt;""),N367:N1366,"Not Found"))</f>
        <v>Isaac Bobo</v>
      </c>
      <c r="P367" s="4" t="n">
        <v>112891</v>
      </c>
      <c r="Q367" s="0" t="s">
        <v>110</v>
      </c>
      <c r="R367" s="0" t="str">
        <f aca="false">PROPER(Q367)</f>
        <v>Cash</v>
      </c>
      <c r="S367" s="0" t="s">
        <v>63</v>
      </c>
      <c r="T367" s="0" t="n">
        <v>3</v>
      </c>
      <c r="U367" s="5" t="n">
        <f aca="false">IF(ISBLANK(T367),AVERAGE(T367:T1366),T367)</f>
        <v>3</v>
      </c>
      <c r="V367" s="0" t="n">
        <v>4.6</v>
      </c>
      <c r="X367" s="0" t="str">
        <f aca="false">IF(ISBLANK(W367),"No remarks",W367)</f>
        <v>No remarks</v>
      </c>
      <c r="Y367" s="0" t="s">
        <v>73</v>
      </c>
      <c r="AA367" s="0" t="str">
        <f aca="false">PROPER(IF(ISBLANK(Z367),"Location Unavailable",Z367))</f>
        <v>Location Unavailable</v>
      </c>
      <c r="AB367" s="0" t="s">
        <v>147</v>
      </c>
      <c r="AC367" s="6" t="str">
        <f aca="false">PROPER(AB367)</f>
        <v>Instagram</v>
      </c>
      <c r="AD367" s="6" t="n">
        <v>45</v>
      </c>
      <c r="AE367" s="5" t="n">
        <f aca="false">IF(ISBLANK(AD367),AVERAGEIF(L367:L1366,L367,AD367:AD1366),AD367)</f>
        <v>45</v>
      </c>
      <c r="AF367" s="0" t="s">
        <v>160</v>
      </c>
      <c r="AG367" s="0" t="str">
        <f aca="false">PROPER(AF367)</f>
        <v>Availaible</v>
      </c>
      <c r="AH367" s="0" t="s">
        <v>148</v>
      </c>
      <c r="AI367" s="0" t="s">
        <v>113</v>
      </c>
      <c r="AJ367" s="0" t="str">
        <f aca="false">PROPER(AI367)</f>
        <v>Normal</v>
      </c>
      <c r="AK367" s="0" t="s">
        <v>99</v>
      </c>
      <c r="AL367" s="0" t="str">
        <f aca="false">PROPER(AK367)</f>
        <v>Uber Driver</v>
      </c>
      <c r="AM367" s="0" t="s">
        <v>59</v>
      </c>
      <c r="AN367" s="0" t="str">
        <f aca="false">IF(ISBLANK(AM367),"Unknown",AM367)</f>
        <v>Bolt Driver</v>
      </c>
      <c r="AO367" s="0" t="s">
        <v>149</v>
      </c>
      <c r="AP367" s="0" t="str">
        <f aca="false">IF(ISBLANK(AO367),"Unknown",AO367)</f>
        <v>Senior </v>
      </c>
      <c r="AQ367" s="0" t="n">
        <v>30000</v>
      </c>
      <c r="AR367" s="5" t="n">
        <f aca="false">IF(ISBLANK(AQ367),AVERAGEIF(M367:M1366,M367,AQ367:AQ1366),AQ367)</f>
        <v>30000</v>
      </c>
      <c r="AS367" s="0" t="n">
        <v>30000</v>
      </c>
      <c r="AT367" s="5" t="n">
        <f aca="false">IF(ISBLANK(AS367),AVERAGE(AS367:AS1366),AS367)</f>
        <v>30000</v>
      </c>
      <c r="AV367" s="0" t="str">
        <f aca="false">PROPER(IF(ISBLANK(AU367),"No",AU367))</f>
        <v>No</v>
      </c>
      <c r="AX367" s="5" t="n">
        <f aca="false">IF(ISBLANK(AW367),0,AW367)</f>
        <v>0</v>
      </c>
      <c r="AZ367" s="0" t="str">
        <f aca="false">UPPER(IF(ISBLANK(AY367),"NONE",AY367))</f>
        <v>NONE</v>
      </c>
      <c r="BA367" s="7" t="n">
        <v>45973</v>
      </c>
      <c r="BB367" s="7" t="n">
        <f aca="false">IF(ISBLANK(BA367),"No Follow Up Needed",BA367)</f>
        <v>45973</v>
      </c>
      <c r="BC367" s="0" t="s">
        <v>50</v>
      </c>
      <c r="BD367" s="0" t="str">
        <f aca="false">PROPER(IF(ISBLANK(BC367),"Unknown",BC367))</f>
        <v>No</v>
      </c>
      <c r="BF367" s="0" t="str">
        <f aca="false">IF(ISBLANK(BE367),"No comments",BE367)</f>
        <v>No comments</v>
      </c>
      <c r="BH367" s="0" t="str">
        <f aca="false">IF(ISBLANK(BG367),"No comments",BG367)</f>
        <v>No comments</v>
      </c>
      <c r="BI367" s="0" t="s">
        <v>63</v>
      </c>
      <c r="BJ367" s="0" t="str">
        <f aca="false">IF(ISBLANK(BI367),"Not Mentioned",BI367)</f>
        <v>Yes</v>
      </c>
      <c r="BK367" s="0" t="s">
        <v>50</v>
      </c>
      <c r="BL367" s="0" t="str">
        <f aca="false">PROPER(IF(ISBLANK(BK367),"Not Mentioned",BK367))</f>
        <v>No</v>
      </c>
      <c r="BM367" s="0" t="s">
        <v>63</v>
      </c>
      <c r="BN367" s="0" t="str">
        <f aca="false">PROPER(IF(ISBLANK(BM367),"Not Mentioned",BM367))</f>
        <v>Yes</v>
      </c>
      <c r="BO367" s="0" t="s">
        <v>2321</v>
      </c>
      <c r="BP367" s="0" t="str">
        <f aca="false">IF(ISBLANK(BO367),"One-Time Plan",BO367)</f>
        <v>One-Time Plan</v>
      </c>
      <c r="BQ367" s="0" t="s">
        <v>50</v>
      </c>
      <c r="BR367" s="0" t="str">
        <f aca="false">PROPER(IF(ISBLANK(BQ367),"No",BQ367))</f>
        <v>No</v>
      </c>
    </row>
    <row r="368" customFormat="false" ht="15" hidden="false" customHeight="false" outlineLevel="0" collapsed="false">
      <c r="A368" s="0" t="s">
        <v>997</v>
      </c>
      <c r="B368" s="2" t="n">
        <v>45792</v>
      </c>
      <c r="C368" s="2" t="str">
        <f aca="false">TEXT(B368,"dd/mm/yyyy")</f>
        <v>15/05/2025</v>
      </c>
      <c r="D368" s="0" t="s">
        <v>105</v>
      </c>
      <c r="E368" s="0" t="n">
        <v>8079596144</v>
      </c>
      <c r="F368" s="0" t="s">
        <v>122</v>
      </c>
      <c r="G368" s="0" t="s">
        <v>2316</v>
      </c>
      <c r="H368" s="0" t="s">
        <v>271</v>
      </c>
      <c r="I368" s="0" t="s">
        <v>134</v>
      </c>
      <c r="J368" s="0" t="s">
        <v>2322</v>
      </c>
      <c r="K368" s="3" t="str">
        <f aca="false" t="array" ref="K368:K368">IFERROR(IF(J368&lt;&gt;"",J368,INDEX(J368:J1367,MATCH(1,(F368:F1367=F368)*(I368:I1367=I368)*(L368:L1367=L368)*(J368:J1367&lt;&gt;""),0))),"Not Found")</f>
        <v>Brake Failure</v>
      </c>
      <c r="L368" s="3" t="s">
        <v>142</v>
      </c>
      <c r="M368" s="0" t="str">
        <f aca="false">PROPER(L368)</f>
        <v>Oil Filter, Brake Pads</v>
      </c>
      <c r="N368" s="3" t="s">
        <v>90</v>
      </c>
      <c r="O368" s="0" t="str">
        <f aca="false" t="array" ref="O368:O368">IF(N368&lt;&gt;"",N368,_xlfn.xlookup(1,(L368:L1367=L368)*(N368:N1367&lt;&gt;""),N368:N1367,"Not Found"))</f>
        <v>Musa</v>
      </c>
      <c r="P368" s="4" t="n">
        <v>46968</v>
      </c>
      <c r="Q368" s="0" t="s">
        <v>49</v>
      </c>
      <c r="R368" s="0" t="str">
        <f aca="false">PROPER(Q368)</f>
        <v>Transfer</v>
      </c>
      <c r="S368" s="0" t="s">
        <v>63</v>
      </c>
      <c r="T368" s="0" t="n">
        <v>3</v>
      </c>
      <c r="U368" s="5" t="n">
        <f aca="false">IF(ISBLANK(T368),AVERAGE(T368:T1367),T368)</f>
        <v>3</v>
      </c>
      <c r="V368" s="0" t="n">
        <v>4.2</v>
      </c>
      <c r="X368" s="0" t="str">
        <f aca="false">IF(ISBLANK(W368),"No remarks",W368)</f>
        <v>No remarks</v>
      </c>
      <c r="Y368" s="0" t="s">
        <v>73</v>
      </c>
      <c r="Z368" s="0" t="s">
        <v>74</v>
      </c>
      <c r="AA368" s="0" t="str">
        <f aca="false">PROPER(IF(ISBLANK(Z368),"Location Unavailable",Z368))</f>
        <v>Under Tree</v>
      </c>
      <c r="AB368" s="0" t="s">
        <v>147</v>
      </c>
      <c r="AC368" s="6" t="str">
        <f aca="false">PROPER(AB368)</f>
        <v>Instagram</v>
      </c>
      <c r="AD368" s="6" t="n">
        <v>45</v>
      </c>
      <c r="AE368" s="5" t="n">
        <f aca="false">IF(ISBLANK(AD368),AVERAGEIF(L368:L1367,L368,AD368:AD1367),AD368)</f>
        <v>45</v>
      </c>
      <c r="AF368" s="0" t="s">
        <v>76</v>
      </c>
      <c r="AG368" s="0" t="str">
        <f aca="false">PROPER(AF368)</f>
        <v>Orderd</v>
      </c>
      <c r="AH368" s="0" t="s">
        <v>148</v>
      </c>
      <c r="AI368" s="0" t="s">
        <v>78</v>
      </c>
      <c r="AJ368" s="0" t="str">
        <f aca="false">PROPER(AI368)</f>
        <v>Booking</v>
      </c>
      <c r="AK368" s="0" t="s">
        <v>99</v>
      </c>
      <c r="AL368" s="0" t="str">
        <f aca="false">PROPER(AK368)</f>
        <v>Uber Driver</v>
      </c>
      <c r="AM368" s="0" t="s">
        <v>2324</v>
      </c>
      <c r="AN368" s="0" t="str">
        <f aca="false">IF(ISBLANK(AM368),"Unknown",AM368)</f>
        <v>Logistics Convoy</v>
      </c>
      <c r="AO368" s="0" t="s">
        <v>161</v>
      </c>
      <c r="AP368" s="0" t="str">
        <f aca="false">IF(ISBLANK(AO368),"Unknown",AO368)</f>
        <v>Apprentice</v>
      </c>
      <c r="AQ368" s="0" t="n">
        <v>20000</v>
      </c>
      <c r="AR368" s="5" t="n">
        <f aca="false">IF(ISBLANK(AQ368),AVERAGEIF(M368:M1367,M368,AQ368:AQ1367),AQ368)</f>
        <v>20000</v>
      </c>
      <c r="AS368" s="0" t="n">
        <v>35000</v>
      </c>
      <c r="AT368" s="5" t="n">
        <f aca="false">IF(ISBLANK(AS368),AVERAGE(AS368:AS1367),AS368)</f>
        <v>35000</v>
      </c>
      <c r="AU368" s="0" t="s">
        <v>63</v>
      </c>
      <c r="AV368" s="0" t="str">
        <f aca="false">PROPER(IF(ISBLANK(AU368),"No",AU368))</f>
        <v>Yes</v>
      </c>
      <c r="AW368" s="0" t="n">
        <v>10000</v>
      </c>
      <c r="AX368" s="5" t="n">
        <f aca="false">IF(ISBLANK(AW368),0,AW368)</f>
        <v>10000</v>
      </c>
      <c r="AY368" s="0" t="s">
        <v>184</v>
      </c>
      <c r="AZ368" s="0" t="str">
        <f aca="false">UPPER(IF(ISBLANK(AY368),"NONE",AY368))</f>
        <v>N/A</v>
      </c>
      <c r="BA368" s="7" t="n">
        <v>45947</v>
      </c>
      <c r="BB368" s="7" t="n">
        <f aca="false">IF(ISBLANK(BA368),"No Follow Up Needed",BA368)</f>
        <v>45947</v>
      </c>
      <c r="BC368" s="0" t="s">
        <v>82</v>
      </c>
      <c r="BD368" s="0" t="str">
        <f aca="false">PROPER(IF(ISBLANK(BC368),"Unknown",BC368))</f>
        <v>Yes</v>
      </c>
      <c r="BE368" s="0" t="s">
        <v>116</v>
      </c>
      <c r="BF368" s="0" t="str">
        <f aca="false">IF(ISBLANK(BE368),"No comments",BE368)</f>
        <v>Needs tire alignment</v>
      </c>
      <c r="BG368" s="0" t="s">
        <v>172</v>
      </c>
      <c r="BH368" s="0" t="str">
        <f aca="false">IF(ISBLANK(BG368),"No comments",BG368)</f>
        <v>Always late</v>
      </c>
      <c r="BI368" s="0" t="s">
        <v>63</v>
      </c>
      <c r="BJ368" s="0" t="str">
        <f aca="false">IF(ISBLANK(BI368),"Not Mentioned",BI368)</f>
        <v>Yes</v>
      </c>
      <c r="BL368" s="0" t="str">
        <f aca="false">PROPER(IF(ISBLANK(BK368),"Not Mentioned",BK368))</f>
        <v>Not Mentioned</v>
      </c>
      <c r="BM368" s="0" t="s">
        <v>50</v>
      </c>
      <c r="BN368" s="0" t="str">
        <f aca="false">PROPER(IF(ISBLANK(BM368),"Not Mentioned",BM368))</f>
        <v>No</v>
      </c>
      <c r="BO368" s="0" t="s">
        <v>2321</v>
      </c>
      <c r="BP368" s="0" t="str">
        <f aca="false">IF(ISBLANK(BO368),"One-Time Plan",BO368)</f>
        <v>One-Time Plan</v>
      </c>
      <c r="BQ368" s="0" t="s">
        <v>190</v>
      </c>
      <c r="BR368" s="0" t="str">
        <f aca="false">PROPER(IF(ISBLANK(BQ368),"No",BQ368))</f>
        <v>Yes</v>
      </c>
    </row>
    <row r="369" customFormat="false" ht="15" hidden="false" customHeight="false" outlineLevel="0" collapsed="false">
      <c r="A369" s="0" t="s">
        <v>998</v>
      </c>
      <c r="B369" s="2" t="n">
        <v>45740</v>
      </c>
      <c r="C369" s="2" t="str">
        <f aca="false">TEXT(B369,"dd/mm/yyyy")</f>
        <v>24/03/2025</v>
      </c>
      <c r="D369" s="0" t="s">
        <v>163</v>
      </c>
      <c r="E369" s="0" t="n">
        <v>8011482715</v>
      </c>
      <c r="F369" s="0" t="s">
        <v>122</v>
      </c>
      <c r="G369" s="0" t="s">
        <v>2316</v>
      </c>
      <c r="H369" s="0" t="s">
        <v>999</v>
      </c>
      <c r="I369" s="0" t="s">
        <v>107</v>
      </c>
      <c r="J369" s="0" t="s">
        <v>2317</v>
      </c>
      <c r="K369" s="3" t="str">
        <f aca="false" t="array" ref="K369:K369">IFERROR(IF(J369&lt;&gt;"",J369,INDEX(J369:J1368,MATCH(1,(F369:F1368=F369)*(I369:I1368=I369)*(L369:L1368=L369)*(J369:J1368&lt;&gt;""),0))),"Not Found")</f>
        <v>Suspension Noise</v>
      </c>
      <c r="L369" s="3" t="s">
        <v>189</v>
      </c>
      <c r="M369" s="0" t="str">
        <f aca="false">PROPER(L369)</f>
        <v>Battery</v>
      </c>
      <c r="O369" s="0" t="e">
        <f aca="false" t="array" ref="O369:O369">IF(N369&lt;&gt;"",N369,_xlfn.xlookup(1,(L369:L1368=L369)*(N369:N1368&lt;&gt;""),N369:N1368,"Not Found"))</f>
        <v>#NAME?</v>
      </c>
      <c r="P369" s="4" t="n">
        <v>33086</v>
      </c>
      <c r="Q369" s="0" t="s">
        <v>166</v>
      </c>
      <c r="R369" s="0" t="str">
        <f aca="false">PROPER(Q369)</f>
        <v>Transfer</v>
      </c>
      <c r="S369" s="0" t="s">
        <v>63</v>
      </c>
      <c r="T369" s="0" t="n">
        <v>4</v>
      </c>
      <c r="U369" s="5" t="n">
        <f aca="false">IF(ISBLANK(T369),AVERAGE(T369:T1368),T369)</f>
        <v>4</v>
      </c>
      <c r="V369" s="0" t="n">
        <v>2</v>
      </c>
      <c r="W369" s="0" t="s">
        <v>51</v>
      </c>
      <c r="X369" s="0" t="str">
        <f aca="false">IF(ISBLANK(W369),"No remarks",W369)</f>
        <v>Recommended further checks</v>
      </c>
      <c r="Y369" s="0" t="s">
        <v>73</v>
      </c>
      <c r="Z369" s="0" t="s">
        <v>94</v>
      </c>
      <c r="AA369" s="0" t="str">
        <f aca="false">PROPER(IF(ISBLANK(Z369),"Location Unavailable",Z369))</f>
        <v>Vip Section</v>
      </c>
      <c r="AB369" s="0" t="s">
        <v>147</v>
      </c>
      <c r="AC369" s="6" t="str">
        <f aca="false">PROPER(AB369)</f>
        <v>Instagram</v>
      </c>
      <c r="AD369" s="6" t="n">
        <v>45</v>
      </c>
      <c r="AE369" s="5" t="n">
        <f aca="false">IF(ISBLANK(AD369),AVERAGEIF(L369:L1368,L369,AD369:AD1368),AD369)</f>
        <v>45</v>
      </c>
      <c r="AF369" s="0" t="s">
        <v>160</v>
      </c>
      <c r="AG369" s="0" t="str">
        <f aca="false">PROPER(AF369)</f>
        <v>Availaible</v>
      </c>
      <c r="AH369" s="0" t="s">
        <v>148</v>
      </c>
      <c r="AI369" s="0" t="s">
        <v>98</v>
      </c>
      <c r="AJ369" s="0" t="str">
        <f aca="false">PROPER(AI369)</f>
        <v>Emergency</v>
      </c>
      <c r="AK369" s="0" t="s">
        <v>99</v>
      </c>
      <c r="AL369" s="0" t="str">
        <f aca="false">PROPER(AK369)</f>
        <v>Uber Driver</v>
      </c>
      <c r="AM369" s="0" t="s">
        <v>177</v>
      </c>
      <c r="AN369" s="0" t="str">
        <f aca="false">IF(ISBLANK(AM369),"Unknown",AM369)</f>
        <v>Private</v>
      </c>
      <c r="AO369" s="0" t="s">
        <v>79</v>
      </c>
      <c r="AP369" s="0" t="str">
        <f aca="false">IF(ISBLANK(AO369),"Unknown",AO369)</f>
        <v>Specialist</v>
      </c>
      <c r="AQ369" s="0" t="n">
        <v>20000</v>
      </c>
      <c r="AR369" s="5" t="n">
        <f aca="false">IF(ISBLANK(AQ369),AVERAGEIF(M369:M1368,M369,AQ369:AQ1368),AQ369)</f>
        <v>20000</v>
      </c>
      <c r="AS369" s="0" t="n">
        <v>35000</v>
      </c>
      <c r="AT369" s="5" t="n">
        <f aca="false">IF(ISBLANK(AS369),AVERAGE(AS369:AS1368),AS369)</f>
        <v>35000</v>
      </c>
      <c r="AU369" s="0" t="s">
        <v>82</v>
      </c>
      <c r="AV369" s="0" t="str">
        <f aca="false">PROPER(IF(ISBLANK(AU369),"No",AU369))</f>
        <v>Yes</v>
      </c>
      <c r="AW369" s="0" t="n">
        <v>10000</v>
      </c>
      <c r="AX369" s="5" t="n">
        <f aca="false">IF(ISBLANK(AW369),0,AW369)</f>
        <v>10000</v>
      </c>
      <c r="AZ369" s="0" t="str">
        <f aca="false">UPPER(IF(ISBLANK(AY369),"NONE",AY369))</f>
        <v>NONE</v>
      </c>
      <c r="BB369" s="7" t="str">
        <f aca="false">IF(ISBLANK(BA369),"No Follow Up Needed",BA369)</f>
        <v>No Follow Up Needed</v>
      </c>
      <c r="BC369" s="0" t="s">
        <v>63</v>
      </c>
      <c r="BD369" s="0" t="str">
        <f aca="false">PROPER(IF(ISBLANK(BC369),"Unknown",BC369))</f>
        <v>Yes</v>
      </c>
      <c r="BF369" s="0" t="str">
        <f aca="false">IF(ISBLANK(BE369),"No comments",BE369)</f>
        <v>No comments</v>
      </c>
      <c r="BG369" s="0" t="s">
        <v>117</v>
      </c>
      <c r="BH369" s="0" t="str">
        <f aca="false">IF(ISBLANK(BG369),"No comments",BG369)</f>
        <v>Prefers morning</v>
      </c>
      <c r="BI369" s="0" t="s">
        <v>50</v>
      </c>
      <c r="BJ369" s="0" t="str">
        <f aca="false">IF(ISBLANK(BI369),"Not Mentioned",BI369)</f>
        <v>No</v>
      </c>
      <c r="BK369" s="0" t="s">
        <v>50</v>
      </c>
      <c r="BL369" s="0" t="str">
        <f aca="false">PROPER(IF(ISBLANK(BK369),"Not Mentioned",BK369))</f>
        <v>No</v>
      </c>
      <c r="BM369" s="0" t="s">
        <v>50</v>
      </c>
      <c r="BN369" s="0" t="str">
        <f aca="false">PROPER(IF(ISBLANK(BM369),"Not Mentioned",BM369))</f>
        <v>No</v>
      </c>
      <c r="BO369" s="0" t="s">
        <v>64</v>
      </c>
      <c r="BP369" s="0" t="str">
        <f aca="false">IF(ISBLANK(BO369),"One-Time Plan",BO369)</f>
        <v>Gold Maintenance Plan</v>
      </c>
      <c r="BQ369" s="0" t="s">
        <v>63</v>
      </c>
      <c r="BR369" s="0" t="str">
        <f aca="false">PROPER(IF(ISBLANK(BQ369),"No",BQ369))</f>
        <v>Yes</v>
      </c>
    </row>
    <row r="370" customFormat="false" ht="15" hidden="false" customHeight="false" outlineLevel="0" collapsed="false">
      <c r="A370" s="0" t="s">
        <v>1000</v>
      </c>
      <c r="B370" s="2" t="n">
        <v>45686</v>
      </c>
      <c r="C370" s="2" t="str">
        <f aca="false">TEXT(B370,"dd/mm/yyyy")</f>
        <v>29/01/2025</v>
      </c>
      <c r="D370" s="0" t="s">
        <v>163</v>
      </c>
      <c r="E370" s="0" t="n">
        <v>8033062057</v>
      </c>
      <c r="F370" s="0" t="s">
        <v>122</v>
      </c>
      <c r="G370" s="0" t="s">
        <v>2316</v>
      </c>
      <c r="H370" s="0" t="s">
        <v>1001</v>
      </c>
      <c r="I370" s="0" t="s">
        <v>107</v>
      </c>
      <c r="J370" s="0" t="s">
        <v>2322</v>
      </c>
      <c r="K370" s="3" t="str">
        <f aca="false" t="array" ref="K370:K370">IFERROR(IF(J370&lt;&gt;"",J370,INDEX(J370:J1369,MATCH(1,(F370:F1369=F370)*(I370:I1369=I370)*(L370:L1369=L370)*(J370:J1369&lt;&gt;""),0))),"Not Found")</f>
        <v>Brake Failure</v>
      </c>
      <c r="L370" s="3" t="s">
        <v>89</v>
      </c>
      <c r="M370" s="0" t="str">
        <f aca="false">PROPER(L370)</f>
        <v>Shock Absorbers</v>
      </c>
      <c r="N370" s="3" t="s">
        <v>109</v>
      </c>
      <c r="O370" s="0" t="str">
        <f aca="false" t="array" ref="O370:O370">IF(N370&lt;&gt;"",N370,_xlfn.xlookup(1,(L370:L1369=L370)*(N370:N1369&lt;&gt;""),N370:N1369,"Not Found"))</f>
        <v>Tijani</v>
      </c>
      <c r="P370" s="4" t="n">
        <v>23167</v>
      </c>
      <c r="Q370" s="0" t="s">
        <v>110</v>
      </c>
      <c r="R370" s="0" t="str">
        <f aca="false">PROPER(Q370)</f>
        <v>Cash</v>
      </c>
      <c r="S370" s="0" t="s">
        <v>50</v>
      </c>
      <c r="T370" s="0" t="n">
        <v>1</v>
      </c>
      <c r="U370" s="5" t="n">
        <f aca="false">IF(ISBLANK(T370),AVERAGE(T370:T1369),T370)</f>
        <v>1</v>
      </c>
      <c r="V370" s="0" t="n">
        <v>3.5</v>
      </c>
      <c r="X370" s="0" t="str">
        <f aca="false">IF(ISBLANK(W370),"No remarks",W370)</f>
        <v>No remarks</v>
      </c>
      <c r="Y370" s="0" t="s">
        <v>73</v>
      </c>
      <c r="Z370" s="0" t="s">
        <v>94</v>
      </c>
      <c r="AA370" s="0" t="str">
        <f aca="false">PROPER(IF(ISBLANK(Z370),"Location Unavailable",Z370))</f>
        <v>Vip Section</v>
      </c>
      <c r="AB370" s="0" t="s">
        <v>54</v>
      </c>
      <c r="AC370" s="6" t="str">
        <f aca="false">PROPER(AB370)</f>
        <v>Mechanic Referral</v>
      </c>
      <c r="AD370" s="6" t="n">
        <v>30</v>
      </c>
      <c r="AE370" s="5" t="n">
        <f aca="false">IF(ISBLANK(AD370),AVERAGEIF(L370:L1369,L370,AD370:AD1369),AD370)</f>
        <v>30</v>
      </c>
      <c r="AF370" s="0" t="s">
        <v>96</v>
      </c>
      <c r="AG370" s="0" t="str">
        <f aca="false">PROPER(AF370)</f>
        <v>Ordered</v>
      </c>
      <c r="AH370" s="0" t="s">
        <v>77</v>
      </c>
      <c r="AI370" s="0" t="s">
        <v>78</v>
      </c>
      <c r="AJ370" s="0" t="str">
        <f aca="false">PROPER(AI370)</f>
        <v>Booking</v>
      </c>
      <c r="AK370" s="0" t="s">
        <v>58</v>
      </c>
      <c r="AL370" s="0" t="str">
        <f aca="false">PROPER(AK370)</f>
        <v>Fleet Owner</v>
      </c>
      <c r="AM370" s="0" t="s">
        <v>177</v>
      </c>
      <c r="AN370" s="0" t="str">
        <f aca="false">IF(ISBLANK(AM370),"Unknown",AM370)</f>
        <v>Private</v>
      </c>
      <c r="AP370" s="0" t="str">
        <f aca="false">IF(ISBLANK(AO370),"Unknown",AO370)</f>
        <v>Unknown</v>
      </c>
      <c r="AR370" s="5" t="n">
        <f aca="false">IF(ISBLANK(AQ370),AVERAGEIF(M370:M1369,M370,AQ370:AQ1369),AQ370)</f>
        <v>26290.3225806452</v>
      </c>
      <c r="AS370" s="0" t="n">
        <v>35000</v>
      </c>
      <c r="AT370" s="5" t="n">
        <f aca="false">IF(ISBLANK(AS370),AVERAGE(AS370:AS1369),AS370)</f>
        <v>35000</v>
      </c>
      <c r="AU370" s="0" t="s">
        <v>61</v>
      </c>
      <c r="AV370" s="0" t="str">
        <f aca="false">PROPER(IF(ISBLANK(AU370),"No",AU370))</f>
        <v>No</v>
      </c>
      <c r="AW370" s="0" t="n">
        <v>10000</v>
      </c>
      <c r="AX370" s="5" t="n">
        <f aca="false">IF(ISBLANK(AW370),0,AW370)</f>
        <v>10000</v>
      </c>
      <c r="AZ370" s="0" t="str">
        <f aca="false">UPPER(IF(ISBLANK(AY370),"NONE",AY370))</f>
        <v>NONE</v>
      </c>
      <c r="BA370" s="7" t="s">
        <v>212</v>
      </c>
      <c r="BB370" s="7" t="str">
        <f aca="false">IF(ISBLANK(BA370),"No Follow Up Needed",BA370)</f>
        <v>30/07/2025</v>
      </c>
      <c r="BC370" s="0" t="s">
        <v>82</v>
      </c>
      <c r="BD370" s="0" t="str">
        <f aca="false">PROPER(IF(ISBLANK(BC370),"Unknown",BC370))</f>
        <v>Yes</v>
      </c>
      <c r="BE370" s="0" t="s">
        <v>116</v>
      </c>
      <c r="BF370" s="0" t="str">
        <f aca="false">IF(ISBLANK(BE370),"No comments",BE370)</f>
        <v>Needs tire alignment</v>
      </c>
      <c r="BH370" s="0" t="str">
        <f aca="false">IF(ISBLANK(BG370),"No comments",BG370)</f>
        <v>No comments</v>
      </c>
      <c r="BI370" s="0" t="s">
        <v>50</v>
      </c>
      <c r="BJ370" s="0" t="str">
        <f aca="false">IF(ISBLANK(BI370),"Not Mentioned",BI370)</f>
        <v>No</v>
      </c>
      <c r="BK370" s="0" t="s">
        <v>63</v>
      </c>
      <c r="BL370" s="0" t="str">
        <f aca="false">PROPER(IF(ISBLANK(BK370),"Not Mentioned",BK370))</f>
        <v>Yes</v>
      </c>
      <c r="BM370" s="0" t="s">
        <v>50</v>
      </c>
      <c r="BN370" s="0" t="str">
        <f aca="false">PROPER(IF(ISBLANK(BM370),"Not Mentioned",BM370))</f>
        <v>No</v>
      </c>
      <c r="BO370" s="0" t="s">
        <v>2321</v>
      </c>
      <c r="BP370" s="0" t="str">
        <f aca="false">IF(ISBLANK(BO370),"One-Time Plan",BO370)</f>
        <v>One-Time Plan</v>
      </c>
      <c r="BQ370" s="0" t="s">
        <v>198</v>
      </c>
      <c r="BR370" s="0" t="str">
        <f aca="false">PROPER(IF(ISBLANK(BQ370),"No",BQ370))</f>
        <v>Followed Up</v>
      </c>
    </row>
    <row r="371" customFormat="false" ht="15" hidden="false" customHeight="false" outlineLevel="0" collapsed="false">
      <c r="A371" s="0" t="s">
        <v>1002</v>
      </c>
      <c r="B371" s="2" t="s">
        <v>635</v>
      </c>
      <c r="C371" s="2" t="str">
        <f aca="false">TEXT(B371,"dd/mm/yyyy")</f>
        <v>19/04/2025</v>
      </c>
      <c r="D371" s="0" t="s">
        <v>42</v>
      </c>
      <c r="E371" s="0" t="n">
        <v>8053858604</v>
      </c>
      <c r="F371" s="0" t="s">
        <v>67</v>
      </c>
      <c r="G371" s="0" t="s">
        <v>2316</v>
      </c>
      <c r="H371" s="0" t="s">
        <v>1003</v>
      </c>
      <c r="I371" s="0" t="s">
        <v>134</v>
      </c>
      <c r="J371" s="0" t="s">
        <v>2325</v>
      </c>
      <c r="K371" s="3" t="str">
        <f aca="false" t="array" ref="K371:K371">IFERROR(IF(J371&lt;&gt;"",J371,INDEX(J371:J1370,MATCH(1,(F371:F1370=F371)*(I371:I1370=I371)*(L371:L1370=L371)*(J371:J1370&lt;&gt;""),0))),"Not Found")</f>
        <v>Engine Knocking</v>
      </c>
      <c r="L371" s="3" t="s">
        <v>142</v>
      </c>
      <c r="M371" s="0" t="str">
        <f aca="false">PROPER(L371)</f>
        <v>Oil Filter, Brake Pads</v>
      </c>
      <c r="N371" s="3" t="s">
        <v>71</v>
      </c>
      <c r="O371" s="0" t="str">
        <f aca="false" t="array" ref="O371:O371">IF(N371&lt;&gt;"",N371,_xlfn.xlookup(1,(L371:L1370=L371)*(N371:N1370&lt;&gt;""),N371:N1370,"Not Found"))</f>
        <v>Isaac Bobo</v>
      </c>
      <c r="P371" s="4" t="n">
        <v>21809</v>
      </c>
      <c r="Q371" s="0" t="s">
        <v>49</v>
      </c>
      <c r="R371" s="0" t="str">
        <f aca="false">PROPER(Q371)</f>
        <v>Transfer</v>
      </c>
      <c r="S371" s="0" t="s">
        <v>63</v>
      </c>
      <c r="T371" s="0" t="n">
        <v>5</v>
      </c>
      <c r="U371" s="5" t="n">
        <f aca="false">IF(ISBLANK(T371),AVERAGE(T371:T1370),T371)</f>
        <v>5</v>
      </c>
      <c r="V371" s="0" t="n">
        <v>4.8</v>
      </c>
      <c r="W371" s="0" t="s">
        <v>51</v>
      </c>
      <c r="X371" s="0" t="str">
        <f aca="false">IF(ISBLANK(W371),"No remarks",W371)</f>
        <v>Recommended further checks</v>
      </c>
      <c r="Y371" s="0" t="s">
        <v>73</v>
      </c>
      <c r="Z371" s="0" t="s">
        <v>136</v>
      </c>
      <c r="AA371" s="0" t="str">
        <f aca="false">PROPER(IF(ISBLANK(Z371),"Location Unavailable",Z371))</f>
        <v>Vip Section</v>
      </c>
      <c r="AB371" s="0" t="s">
        <v>126</v>
      </c>
      <c r="AC371" s="6" t="str">
        <f aca="false">PROPER(AB371)</f>
        <v>Whatsapp</v>
      </c>
      <c r="AD371" s="6" t="n">
        <v>45</v>
      </c>
      <c r="AE371" s="5" t="n">
        <f aca="false">IF(ISBLANK(AD371),AVERAGEIF(L371:L1370,L371,AD371:AD1370),AD371)</f>
        <v>45</v>
      </c>
      <c r="AF371" s="0" t="s">
        <v>112</v>
      </c>
      <c r="AG371" s="0" t="str">
        <f aca="false">PROPER(AF371)</f>
        <v>Unavailable</v>
      </c>
      <c r="AH371" s="0" t="s">
        <v>155</v>
      </c>
      <c r="AI371" s="0" t="s">
        <v>78</v>
      </c>
      <c r="AJ371" s="0" t="str">
        <f aca="false">PROPER(AI371)</f>
        <v>Booking</v>
      </c>
      <c r="AK371" s="0" t="s">
        <v>99</v>
      </c>
      <c r="AL371" s="0" t="str">
        <f aca="false">PROPER(AK371)</f>
        <v>Uber Driver</v>
      </c>
      <c r="AN371" s="0" t="str">
        <f aca="false">IF(ISBLANK(AM371),"Unknown",AM371)</f>
        <v>Unknown</v>
      </c>
      <c r="AO371" s="0" t="s">
        <v>79</v>
      </c>
      <c r="AP371" s="0" t="str">
        <f aca="false">IF(ISBLANK(AO371),"Unknown",AO371)</f>
        <v>Specialist</v>
      </c>
      <c r="AQ371" s="0" t="n">
        <v>15000</v>
      </c>
      <c r="AR371" s="5" t="n">
        <f aca="false">IF(ISBLANK(AQ371),AVERAGEIF(M371:M1370,M371,AQ371:AQ1370),AQ371)</f>
        <v>15000</v>
      </c>
      <c r="AS371" s="0" t="n">
        <v>35000</v>
      </c>
      <c r="AT371" s="5" t="n">
        <f aca="false">IF(ISBLANK(AS371),AVERAGE(AS371:AS1370),AS371)</f>
        <v>35000</v>
      </c>
      <c r="AU371" s="0" t="s">
        <v>63</v>
      </c>
      <c r="AV371" s="0" t="str">
        <f aca="false">PROPER(IF(ISBLANK(AU371),"No",AU371))</f>
        <v>Yes</v>
      </c>
      <c r="AX371" s="5" t="n">
        <f aca="false">IF(ISBLANK(AW371),0,AW371)</f>
        <v>0</v>
      </c>
      <c r="AY371" s="0" t="s">
        <v>184</v>
      </c>
      <c r="AZ371" s="0" t="str">
        <f aca="false">UPPER(IF(ISBLANK(AY371),"NONE",AY371))</f>
        <v>N/A</v>
      </c>
      <c r="BA371" s="7" t="n">
        <v>45999</v>
      </c>
      <c r="BB371" s="7" t="n">
        <f aca="false">IF(ISBLANK(BA371),"No Follow Up Needed",BA371)</f>
        <v>45999</v>
      </c>
      <c r="BC371" s="0" t="s">
        <v>82</v>
      </c>
      <c r="BD371" s="0" t="str">
        <f aca="false">PROPER(IF(ISBLANK(BC371),"Unknown",BC371))</f>
        <v>Yes</v>
      </c>
      <c r="BF371" s="0" t="str">
        <f aca="false">IF(ISBLANK(BE371),"No comments",BE371)</f>
        <v>No comments</v>
      </c>
      <c r="BG371" s="0" t="s">
        <v>117</v>
      </c>
      <c r="BH371" s="0" t="str">
        <f aca="false">IF(ISBLANK(BG371),"No comments",BG371)</f>
        <v>Prefers morning</v>
      </c>
      <c r="BI371" s="0" t="s">
        <v>63</v>
      </c>
      <c r="BJ371" s="0" t="str">
        <f aca="false">IF(ISBLANK(BI371),"Not Mentioned",BI371)</f>
        <v>Yes</v>
      </c>
      <c r="BL371" s="0" t="str">
        <f aca="false">PROPER(IF(ISBLANK(BK371),"Not Mentioned",BK371))</f>
        <v>Not Mentioned</v>
      </c>
      <c r="BN371" s="0" t="str">
        <f aca="false">PROPER(IF(ISBLANK(BM371),"Not Mentioned",BM371))</f>
        <v>Not Mentioned</v>
      </c>
      <c r="BO371" s="0" t="s">
        <v>64</v>
      </c>
      <c r="BP371" s="0" t="str">
        <f aca="false">IF(ISBLANK(BO371),"One-Time Plan",BO371)</f>
        <v>Gold Maintenance Plan</v>
      </c>
      <c r="BR371" s="0" t="str">
        <f aca="false">PROPER(IF(ISBLANK(BQ371),"No",BQ371))</f>
        <v>No</v>
      </c>
    </row>
    <row r="372" customFormat="false" ht="15" hidden="false" customHeight="false" outlineLevel="0" collapsed="false">
      <c r="A372" s="0" t="s">
        <v>1004</v>
      </c>
      <c r="B372" s="2" t="n">
        <v>45746</v>
      </c>
      <c r="C372" s="2" t="str">
        <f aca="false">TEXT(B372,"dd/mm/yyyy")</f>
        <v>30/03/2025</v>
      </c>
      <c r="D372" s="0" t="s">
        <v>42</v>
      </c>
      <c r="E372" s="0" t="n">
        <v>8065144861</v>
      </c>
      <c r="F372" s="0" t="s">
        <v>122</v>
      </c>
      <c r="G372" s="0" t="s">
        <v>2316</v>
      </c>
      <c r="H372" s="0" t="s">
        <v>1005</v>
      </c>
      <c r="I372" s="0" t="s">
        <v>134</v>
      </c>
      <c r="K372" s="3" t="str">
        <f aca="false" t="array" ref="K372:K372">IFERROR(IF(J372&lt;&gt;"",J372,INDEX(J372:J1371,MATCH(1,(F372:F1371=F372)*(I372:I1371=I372)*(L372:L1371=L372)*(J372:J1371&lt;&gt;""),0))),"Not Found")</f>
        <v>Engine Knocking</v>
      </c>
      <c r="L372" s="3" t="s">
        <v>89</v>
      </c>
      <c r="M372" s="0" t="str">
        <f aca="false">PROPER(L372)</f>
        <v>Shock Absorbers</v>
      </c>
      <c r="N372" s="3" t="s">
        <v>71</v>
      </c>
      <c r="O372" s="0" t="str">
        <f aca="false" t="array" ref="O372:O372">IF(N372&lt;&gt;"",N372,_xlfn.xlookup(1,(L372:L1371=L372)*(N372:N1371&lt;&gt;""),N372:N1371,"Not Found"))</f>
        <v>Isaac Bobo</v>
      </c>
      <c r="P372" s="4" t="n">
        <v>47283</v>
      </c>
      <c r="Q372" s="0" t="s">
        <v>110</v>
      </c>
      <c r="R372" s="0" t="str">
        <f aca="false">PROPER(Q372)</f>
        <v>Cash</v>
      </c>
      <c r="S372" s="0" t="s">
        <v>50</v>
      </c>
      <c r="T372" s="0" t="n">
        <v>5</v>
      </c>
      <c r="U372" s="5" t="n">
        <f aca="false">IF(ISBLANK(T372),AVERAGE(T372:T1371),T372)</f>
        <v>5</v>
      </c>
      <c r="V372" s="0" t="n">
        <v>5.2</v>
      </c>
      <c r="W372" s="0" t="s">
        <v>125</v>
      </c>
      <c r="X372" s="0" t="str">
        <f aca="false">IF(ISBLANK(W372),"No remarks",W372)</f>
        <v>Customer waited</v>
      </c>
      <c r="Y372" s="0" t="s">
        <v>52</v>
      </c>
      <c r="AA372" s="0" t="str">
        <f aca="false">PROPER(IF(ISBLANK(Z372),"Location Unavailable",Z372))</f>
        <v>Location Unavailable</v>
      </c>
      <c r="AB372" s="0" t="s">
        <v>75</v>
      </c>
      <c r="AC372" s="6" t="str">
        <f aca="false">PROPER(AB372)</f>
        <v>Mechanik Referal</v>
      </c>
      <c r="AD372" s="6" t="n">
        <v>60</v>
      </c>
      <c r="AE372" s="5" t="n">
        <f aca="false">IF(ISBLANK(AD372),AVERAGEIF(L372:L1371,L372,AD372:AD1371),AD372)</f>
        <v>60</v>
      </c>
      <c r="AF372" s="0" t="s">
        <v>112</v>
      </c>
      <c r="AG372" s="0" t="str">
        <f aca="false">PROPER(AF372)</f>
        <v>Unavailable</v>
      </c>
      <c r="AH372" s="0" t="s">
        <v>155</v>
      </c>
      <c r="AI372" s="0" t="s">
        <v>98</v>
      </c>
      <c r="AJ372" s="0" t="str">
        <f aca="false">PROPER(AI372)</f>
        <v>Emergency</v>
      </c>
      <c r="AK372" s="0" t="s">
        <v>58</v>
      </c>
      <c r="AL372" s="0" t="str">
        <f aca="false">PROPER(AK372)</f>
        <v>Fleet Owner</v>
      </c>
      <c r="AM372" s="0" t="s">
        <v>2324</v>
      </c>
      <c r="AN372" s="0" t="str">
        <f aca="false">IF(ISBLANK(AM372),"Unknown",AM372)</f>
        <v>Logistics Convoy</v>
      </c>
      <c r="AO372" s="0" t="s">
        <v>161</v>
      </c>
      <c r="AP372" s="0" t="str">
        <f aca="false">IF(ISBLANK(AO372),"Unknown",AO372)</f>
        <v>Apprentice</v>
      </c>
      <c r="AQ372" s="0" t="n">
        <v>15000</v>
      </c>
      <c r="AR372" s="5" t="n">
        <f aca="false">IF(ISBLANK(AQ372),AVERAGEIF(M372:M1371,M372,AQ372:AQ1371),AQ372)</f>
        <v>15000</v>
      </c>
      <c r="AT372" s="5" t="n">
        <f aca="false">IF(ISBLANK(AS372),AVERAGE(AS372:AS1371),AS372)</f>
        <v>31429.9242424242</v>
      </c>
      <c r="AV372" s="0" t="str">
        <f aca="false">PROPER(IF(ISBLANK(AU372),"No",AU372))</f>
        <v>No</v>
      </c>
      <c r="AW372" s="0" t="n">
        <v>10000</v>
      </c>
      <c r="AX372" s="5" t="n">
        <f aca="false">IF(ISBLANK(AW372),0,AW372)</f>
        <v>10000</v>
      </c>
      <c r="AY372" s="0" t="s">
        <v>184</v>
      </c>
      <c r="AZ372" s="0" t="str">
        <f aca="false">UPPER(IF(ISBLANK(AY372),"NONE",AY372))</f>
        <v>N/A</v>
      </c>
      <c r="BB372" s="7" t="str">
        <f aca="false">IF(ISBLANK(BA372),"No Follow Up Needed",BA372)</f>
        <v>No Follow Up Needed</v>
      </c>
      <c r="BC372" s="0" t="s">
        <v>82</v>
      </c>
      <c r="BD372" s="0" t="str">
        <f aca="false">PROPER(IF(ISBLANK(BC372),"Unknown",BC372))</f>
        <v>Yes</v>
      </c>
      <c r="BF372" s="0" t="str">
        <f aca="false">IF(ISBLANK(BE372),"No comments",BE372)</f>
        <v>No comments</v>
      </c>
      <c r="BG372" s="0" t="s">
        <v>117</v>
      </c>
      <c r="BH372" s="0" t="str">
        <f aca="false">IF(ISBLANK(BG372),"No comments",BG372)</f>
        <v>Prefers morning</v>
      </c>
      <c r="BI372" s="0" t="s">
        <v>63</v>
      </c>
      <c r="BJ372" s="0" t="str">
        <f aca="false">IF(ISBLANK(BI372),"Not Mentioned",BI372)</f>
        <v>Yes</v>
      </c>
      <c r="BK372" s="0" t="s">
        <v>61</v>
      </c>
      <c r="BL372" s="0" t="str">
        <f aca="false">PROPER(IF(ISBLANK(BK372),"Not Mentioned",BK372))</f>
        <v>No</v>
      </c>
      <c r="BN372" s="0" t="str">
        <f aca="false">PROPER(IF(ISBLANK(BM372),"Not Mentioned",BM372))</f>
        <v>Not Mentioned</v>
      </c>
      <c r="BP372" s="0" t="str">
        <f aca="false">IF(ISBLANK(BO372),"One-Time Plan",BO372)</f>
        <v>One-Time Plan</v>
      </c>
      <c r="BR372" s="0" t="str">
        <f aca="false">PROPER(IF(ISBLANK(BQ372),"No",BQ372))</f>
        <v>No</v>
      </c>
    </row>
    <row r="373" customFormat="false" ht="15" hidden="false" customHeight="false" outlineLevel="0" collapsed="false">
      <c r="A373" s="0" t="s">
        <v>1006</v>
      </c>
      <c r="B373" s="2" t="s">
        <v>505</v>
      </c>
      <c r="C373" s="2" t="str">
        <f aca="false">TEXT(B373,"dd/mm/yyyy")</f>
        <v>20/03/2025</v>
      </c>
      <c r="D373" s="0" t="s">
        <v>121</v>
      </c>
      <c r="E373" s="0" t="n">
        <v>8062493261</v>
      </c>
      <c r="F373" s="0" t="s">
        <v>67</v>
      </c>
      <c r="G373" s="0" t="s">
        <v>2316</v>
      </c>
      <c r="H373" s="0" t="s">
        <v>1007</v>
      </c>
      <c r="I373" s="0" t="s">
        <v>134</v>
      </c>
      <c r="K373" s="3" t="str">
        <f aca="false" t="array" ref="K373:K373">IFERROR(IF(J373&lt;&gt;"",J373,INDEX(J373:J1372,MATCH(1,(F373:F1372=F373)*(I373:I1372=I373)*(L373:L1372=L373)*(J373:J1372&lt;&gt;""),0))),"Not Found")</f>
        <v>Suspension Noise</v>
      </c>
      <c r="L373" s="3" t="s">
        <v>189</v>
      </c>
      <c r="M373" s="0" t="str">
        <f aca="false">PROPER(L373)</f>
        <v>Battery</v>
      </c>
      <c r="N373" s="3" t="s">
        <v>109</v>
      </c>
      <c r="O373" s="0" t="str">
        <f aca="false" t="array" ref="O373:O373">IF(N373&lt;&gt;"",N373,_xlfn.xlookup(1,(L373:L1372=L373)*(N373:N1372&lt;&gt;""),N373:N1372,"Not Found"))</f>
        <v>Tijani</v>
      </c>
      <c r="P373" s="4" t="n">
        <v>12976</v>
      </c>
      <c r="Q373" s="0" t="s">
        <v>49</v>
      </c>
      <c r="R373" s="0" t="str">
        <f aca="false">PROPER(Q373)</f>
        <v>Transfer</v>
      </c>
      <c r="S373" s="0" t="s">
        <v>50</v>
      </c>
      <c r="T373" s="0" t="n">
        <v>2</v>
      </c>
      <c r="U373" s="5" t="n">
        <f aca="false">IF(ISBLANK(T373),AVERAGE(T373:T1372),T373)</f>
        <v>2</v>
      </c>
      <c r="V373" s="0" t="n">
        <v>1.6</v>
      </c>
      <c r="X373" s="0" t="str">
        <f aca="false">IF(ISBLANK(W373),"No remarks",W373)</f>
        <v>No remarks</v>
      </c>
      <c r="Y373" s="0" t="s">
        <v>93</v>
      </c>
      <c r="Z373" s="0" t="s">
        <v>53</v>
      </c>
      <c r="AA373" s="0" t="str">
        <f aca="false">PROPER(IF(ISBLANK(Z373),"Location Unavailable",Z373))</f>
        <v>Main Bay</v>
      </c>
      <c r="AB373" s="0" t="s">
        <v>95</v>
      </c>
      <c r="AC373" s="6" t="str">
        <f aca="false">PROPER(AB373)</f>
        <v>Road Sign</v>
      </c>
      <c r="AD373" s="6" t="n">
        <v>45</v>
      </c>
      <c r="AE373" s="5" t="n">
        <f aca="false">IF(ISBLANK(AD373),AVERAGEIF(L373:L1372,L373,AD373:AD1372),AD373)</f>
        <v>45</v>
      </c>
      <c r="AF373" s="0" t="s">
        <v>96</v>
      </c>
      <c r="AG373" s="0" t="str">
        <f aca="false">PROPER(AF373)</f>
        <v>Ordered</v>
      </c>
      <c r="AH373" s="0" t="s">
        <v>155</v>
      </c>
      <c r="AI373" s="0" t="s">
        <v>78</v>
      </c>
      <c r="AJ373" s="0" t="str">
        <f aca="false">PROPER(AI373)</f>
        <v>Booking</v>
      </c>
      <c r="AK373" s="0" t="s">
        <v>196</v>
      </c>
      <c r="AL373" s="0" t="str">
        <f aca="false">PROPER(AK373)</f>
        <v>First Time</v>
      </c>
      <c r="AN373" s="0" t="str">
        <f aca="false">IF(ISBLANK(AM373),"Unknown",AM373)</f>
        <v>Unknown</v>
      </c>
      <c r="AO373" s="0" t="s">
        <v>149</v>
      </c>
      <c r="AP373" s="0" t="str">
        <f aca="false">IF(ISBLANK(AO373),"Unknown",AO373)</f>
        <v>Senior </v>
      </c>
      <c r="AQ373" s="0" t="n">
        <v>30000</v>
      </c>
      <c r="AR373" s="5" t="n">
        <f aca="false">IF(ISBLANK(AQ373),AVERAGEIF(M373:M1372,M373,AQ373:AQ1372),AQ373)</f>
        <v>30000</v>
      </c>
      <c r="AS373" s="0" t="n">
        <v>35000</v>
      </c>
      <c r="AT373" s="5" t="n">
        <f aca="false">IF(ISBLANK(AS373),AVERAGE(AS373:AS1372),AS373)</f>
        <v>35000</v>
      </c>
      <c r="AU373" s="0" t="s">
        <v>63</v>
      </c>
      <c r="AV373" s="0" t="str">
        <f aca="false">PROPER(IF(ISBLANK(AU373),"No",AU373))</f>
        <v>Yes</v>
      </c>
      <c r="AW373" s="0" t="n">
        <v>0</v>
      </c>
      <c r="AX373" s="5" t="n">
        <f aca="false">IF(ISBLANK(AW373),0,AW373)</f>
        <v>0</v>
      </c>
      <c r="AY373" s="0" t="s">
        <v>184</v>
      </c>
      <c r="AZ373" s="0" t="str">
        <f aca="false">UPPER(IF(ISBLANK(AY373),"NONE",AY373))</f>
        <v>N/A</v>
      </c>
      <c r="BA373" s="7" t="n">
        <v>45832</v>
      </c>
      <c r="BB373" s="7" t="n">
        <f aca="false">IF(ISBLANK(BA373),"No Follow Up Needed",BA373)</f>
        <v>45832</v>
      </c>
      <c r="BC373" s="0" t="s">
        <v>61</v>
      </c>
      <c r="BD373" s="0" t="str">
        <f aca="false">PROPER(IF(ISBLANK(BC373),"Unknown",BC373))</f>
        <v>No</v>
      </c>
      <c r="BE373" s="0" t="s">
        <v>171</v>
      </c>
      <c r="BF373" s="0" t="str">
        <f aca="false">IF(ISBLANK(BE373),"No comments",BE373)</f>
        <v>Shock absorber weakening</v>
      </c>
      <c r="BG373" s="0" t="s">
        <v>172</v>
      </c>
      <c r="BH373" s="0" t="str">
        <f aca="false">IF(ISBLANK(BG373),"No comments",BG373)</f>
        <v>Always late</v>
      </c>
      <c r="BI373" s="0" t="s">
        <v>63</v>
      </c>
      <c r="BJ373" s="0" t="str">
        <f aca="false">IF(ISBLANK(BI373),"Not Mentioned",BI373)</f>
        <v>Yes</v>
      </c>
      <c r="BK373" s="0" t="s">
        <v>63</v>
      </c>
      <c r="BL373" s="0" t="str">
        <f aca="false">PROPER(IF(ISBLANK(BK373),"Not Mentioned",BK373))</f>
        <v>Yes</v>
      </c>
      <c r="BN373" s="0" t="str">
        <f aca="false">PROPER(IF(ISBLANK(BM373),"Not Mentioned",BM373))</f>
        <v>Not Mentioned</v>
      </c>
      <c r="BO373" s="0" t="s">
        <v>2321</v>
      </c>
      <c r="BP373" s="0" t="str">
        <f aca="false">IF(ISBLANK(BO373),"One-Time Plan",BO373)</f>
        <v>One-Time Plan</v>
      </c>
      <c r="BR373" s="0" t="str">
        <f aca="false">PROPER(IF(ISBLANK(BQ373),"No",BQ373))</f>
        <v>No</v>
      </c>
    </row>
    <row r="374" customFormat="false" ht="15" hidden="false" customHeight="false" outlineLevel="0" collapsed="false">
      <c r="A374" s="0" t="s">
        <v>1008</v>
      </c>
      <c r="B374" s="2" t="n">
        <v>45815</v>
      </c>
      <c r="C374" s="2" t="str">
        <f aca="false">TEXT(B374,"dd/mm/yyyy")</f>
        <v>07/06/2025</v>
      </c>
      <c r="D374" s="0" t="s">
        <v>121</v>
      </c>
      <c r="E374" s="0" t="n">
        <v>8031076941</v>
      </c>
      <c r="F374" s="0" t="s">
        <v>85</v>
      </c>
      <c r="G374" s="0" t="s">
        <v>2319</v>
      </c>
      <c r="H374" s="0" t="s">
        <v>1009</v>
      </c>
      <c r="I374" s="0" t="s">
        <v>69</v>
      </c>
      <c r="K374" s="3" t="str">
        <f aca="false" t="array" ref="K374:K374">IFERROR(IF(J374&lt;&gt;"",J374,INDEX(J374:J1373,MATCH(1,(F374:F1373=F374)*(I374:I1373=I374)*(L374:L1373=L374)*(J374:J1373&lt;&gt;""),0))),"Not Found")</f>
        <v>Oil Change</v>
      </c>
      <c r="L374" s="3" t="s">
        <v>47</v>
      </c>
      <c r="M374" s="0" t="str">
        <f aca="false">PROPER(L374)</f>
        <v>None</v>
      </c>
      <c r="O374" s="0" t="e">
        <f aca="false" t="array" ref="O374:O374">IF(N374&lt;&gt;"",N374,_xlfn.xlookup(1,(L374:L1373=L374)*(N374:N1373&lt;&gt;""),N374:N1373,"Not Found"))</f>
        <v>#NAME?</v>
      </c>
      <c r="P374" s="4" t="n">
        <v>113525</v>
      </c>
      <c r="Q374" s="0" t="s">
        <v>72</v>
      </c>
      <c r="R374" s="0" t="str">
        <f aca="false">PROPER(Q374)</f>
        <v>Pos</v>
      </c>
      <c r="S374" s="0" t="s">
        <v>50</v>
      </c>
      <c r="T374" s="0" t="n">
        <v>3</v>
      </c>
      <c r="U374" s="5" t="n">
        <f aca="false">IF(ISBLANK(T374),AVERAGE(T374:T1373),T374)</f>
        <v>3</v>
      </c>
      <c r="V374" s="0" t="n">
        <v>1.4</v>
      </c>
      <c r="W374" s="0" t="s">
        <v>125</v>
      </c>
      <c r="X374" s="0" t="str">
        <f aca="false">IF(ISBLANK(W374),"No remarks",W374)</f>
        <v>Customer waited</v>
      </c>
      <c r="Y374" s="0" t="s">
        <v>73</v>
      </c>
      <c r="Z374" s="0" t="s">
        <v>94</v>
      </c>
      <c r="AA374" s="0" t="str">
        <f aca="false">PROPER(IF(ISBLANK(Z374),"Location Unavailable",Z374))</f>
        <v>Vip Section</v>
      </c>
      <c r="AB374" s="0" t="s">
        <v>95</v>
      </c>
      <c r="AC374" s="6" t="str">
        <f aca="false">PROPER(AB374)</f>
        <v>Road Sign</v>
      </c>
      <c r="AD374" s="6" t="n">
        <v>30</v>
      </c>
      <c r="AE374" s="5" t="n">
        <f aca="false">IF(ISBLANK(AD374),AVERAGEIF(L374:L1373,L374,AD374:AD1373),AD374)</f>
        <v>30</v>
      </c>
      <c r="AF374" s="0" t="s">
        <v>55</v>
      </c>
      <c r="AG374" s="0" t="str">
        <f aca="false">PROPER(AF374)</f>
        <v>Available</v>
      </c>
      <c r="AH374" s="0" t="s">
        <v>77</v>
      </c>
      <c r="AI374" s="0" t="s">
        <v>98</v>
      </c>
      <c r="AJ374" s="0" t="str">
        <f aca="false">PROPER(AI374)</f>
        <v>Emergency</v>
      </c>
      <c r="AK374" s="0" t="s">
        <v>196</v>
      </c>
      <c r="AL374" s="0" t="str">
        <f aca="false">PROPER(AK374)</f>
        <v>First Time</v>
      </c>
      <c r="AM374" s="0" t="s">
        <v>177</v>
      </c>
      <c r="AN374" s="0" t="str">
        <f aca="false">IF(ISBLANK(AM374),"Unknown",AM374)</f>
        <v>Private</v>
      </c>
      <c r="AO374" s="0" t="s">
        <v>149</v>
      </c>
      <c r="AP374" s="0" t="str">
        <f aca="false">IF(ISBLANK(AO374),"Unknown",AO374)</f>
        <v>Senior </v>
      </c>
      <c r="AQ374" s="0" t="n">
        <v>40000</v>
      </c>
      <c r="AR374" s="5" t="n">
        <f aca="false">IF(ISBLANK(AQ374),AVERAGEIF(M374:M1373,M374,AQ374:AQ1373),AQ374)</f>
        <v>40000</v>
      </c>
      <c r="AS374" s="0" t="n">
        <v>30000</v>
      </c>
      <c r="AT374" s="5" t="n">
        <f aca="false">IF(ISBLANK(AS374),AVERAGE(AS374:AS1373),AS374)</f>
        <v>30000</v>
      </c>
      <c r="AU374" s="0" t="s">
        <v>63</v>
      </c>
      <c r="AV374" s="0" t="str">
        <f aca="false">PROPER(IF(ISBLANK(AU374),"No",AU374))</f>
        <v>Yes</v>
      </c>
      <c r="AW374" s="0" t="n">
        <v>5000</v>
      </c>
      <c r="AX374" s="5" t="n">
        <f aca="false">IF(ISBLANK(AW374),0,AW374)</f>
        <v>5000</v>
      </c>
      <c r="AY374" s="0" t="s">
        <v>130</v>
      </c>
      <c r="AZ374" s="0" t="str">
        <f aca="false">UPPER(IF(ISBLANK(AY374),"NONE",AY374))</f>
        <v>LOYALTY10</v>
      </c>
      <c r="BB374" s="7" t="str">
        <f aca="false">IF(ISBLANK(BA374),"No Follow Up Needed",BA374)</f>
        <v>No Follow Up Needed</v>
      </c>
      <c r="BD374" s="0" t="str">
        <f aca="false">PROPER(IF(ISBLANK(BC374),"Unknown",BC374))</f>
        <v>Unknown</v>
      </c>
      <c r="BF374" s="0" t="str">
        <f aca="false">IF(ISBLANK(BE374),"No comments",BE374)</f>
        <v>No comments</v>
      </c>
      <c r="BH374" s="0" t="str">
        <f aca="false">IF(ISBLANK(BG374),"No comments",BG374)</f>
        <v>No comments</v>
      </c>
      <c r="BI374" s="0" t="s">
        <v>63</v>
      </c>
      <c r="BJ374" s="0" t="str">
        <f aca="false">IF(ISBLANK(BI374),"Not Mentioned",BI374)</f>
        <v>Yes</v>
      </c>
      <c r="BL374" s="0" t="str">
        <f aca="false">PROPER(IF(ISBLANK(BK374),"Not Mentioned",BK374))</f>
        <v>Not Mentioned</v>
      </c>
      <c r="BN374" s="0" t="str">
        <f aca="false">PROPER(IF(ISBLANK(BM374),"Not Mentioned",BM374))</f>
        <v>Not Mentioned</v>
      </c>
      <c r="BO374" s="0" t="s">
        <v>2321</v>
      </c>
      <c r="BP374" s="0" t="str">
        <f aca="false">IF(ISBLANK(BO374),"One-Time Plan",BO374)</f>
        <v>One-Time Plan</v>
      </c>
      <c r="BQ374" s="0" t="s">
        <v>50</v>
      </c>
      <c r="BR374" s="0" t="str">
        <f aca="false">PROPER(IF(ISBLANK(BQ374),"No",BQ374))</f>
        <v>No</v>
      </c>
    </row>
    <row r="375" customFormat="false" ht="15" hidden="false" customHeight="false" outlineLevel="0" collapsed="false">
      <c r="A375" s="0" t="s">
        <v>1010</v>
      </c>
      <c r="B375" s="2" t="n">
        <v>45770</v>
      </c>
      <c r="C375" s="2" t="str">
        <f aca="false">TEXT(B375,"dd/mm/yyyy")</f>
        <v>23/04/2025</v>
      </c>
      <c r="D375" s="0" t="s">
        <v>42</v>
      </c>
      <c r="E375" s="0" t="n">
        <v>8024863801</v>
      </c>
      <c r="F375" s="0" t="s">
        <v>122</v>
      </c>
      <c r="G375" s="0" t="s">
        <v>2316</v>
      </c>
      <c r="H375" s="0" t="s">
        <v>1011</v>
      </c>
      <c r="I375" s="0" t="s">
        <v>87</v>
      </c>
      <c r="J375" s="0" t="s">
        <v>2325</v>
      </c>
      <c r="K375" s="3" t="str">
        <f aca="false" t="array" ref="K375:K375">IFERROR(IF(J375&lt;&gt;"",J375,INDEX(J375:J1374,MATCH(1,(F375:F1374=F375)*(I375:I1374=I375)*(L375:L1374=L375)*(J375:J1374&lt;&gt;""),0))),"Not Found")</f>
        <v>Engine Knocking</v>
      </c>
      <c r="L375" s="3" t="s">
        <v>47</v>
      </c>
      <c r="M375" s="0" t="str">
        <f aca="false">PROPER(L375)</f>
        <v>None</v>
      </c>
      <c r="N375" s="3" t="s">
        <v>48</v>
      </c>
      <c r="O375" s="0" t="str">
        <f aca="false" t="array" ref="O375:O375">IF(N375&lt;&gt;"",N375,_xlfn.xlookup(1,(L375:L1374=L375)*(N375:N1374&lt;&gt;""),N375:N1374,"Not Found"))</f>
        <v>Uche</v>
      </c>
      <c r="P375" s="4" t="n">
        <v>83188</v>
      </c>
      <c r="Q375" s="0" t="s">
        <v>91</v>
      </c>
      <c r="R375" s="0" t="str">
        <f aca="false">PROPER(Q375)</f>
        <v>Pos</v>
      </c>
      <c r="S375" s="0" t="s">
        <v>50</v>
      </c>
      <c r="T375" s="0" t="n">
        <v>1</v>
      </c>
      <c r="U375" s="5" t="n">
        <f aca="false">IF(ISBLANK(T375),AVERAGE(T375:T1374),T375)</f>
        <v>1</v>
      </c>
      <c r="V375" s="0" t="n">
        <v>2.2</v>
      </c>
      <c r="X375" s="0" t="str">
        <f aca="false">IF(ISBLANK(W375),"No remarks",W375)</f>
        <v>No remarks</v>
      </c>
      <c r="Y375" s="0" t="s">
        <v>52</v>
      </c>
      <c r="Z375" s="0" t="s">
        <v>136</v>
      </c>
      <c r="AA375" s="0" t="str">
        <f aca="false">PROPER(IF(ISBLANK(Z375),"Location Unavailable",Z375))</f>
        <v>Vip Section</v>
      </c>
      <c r="AB375" s="0" t="s">
        <v>126</v>
      </c>
      <c r="AC375" s="6" t="str">
        <f aca="false">PROPER(AB375)</f>
        <v>Whatsapp</v>
      </c>
      <c r="AE375" s="5" t="n">
        <f aca="false">IF(ISBLANK(AD375),AVERAGEIF(L375:L1374,L375,AD375:AD1374),AD375)</f>
        <v>36.038961038961</v>
      </c>
      <c r="AF375" s="0" t="s">
        <v>96</v>
      </c>
      <c r="AG375" s="0" t="str">
        <f aca="false">PROPER(AF375)</f>
        <v>Ordered</v>
      </c>
      <c r="AH375" s="0" t="s">
        <v>155</v>
      </c>
      <c r="AI375" s="0" t="s">
        <v>98</v>
      </c>
      <c r="AJ375" s="0" t="str">
        <f aca="false">PROPER(AI375)</f>
        <v>Emergency</v>
      </c>
      <c r="AK375" s="0" t="s">
        <v>99</v>
      </c>
      <c r="AL375" s="0" t="str">
        <f aca="false">PROPER(AK375)</f>
        <v>Uber Driver</v>
      </c>
      <c r="AM375" s="0" t="s">
        <v>59</v>
      </c>
      <c r="AN375" s="0" t="str">
        <f aca="false">IF(ISBLANK(AM375),"Unknown",AM375)</f>
        <v>Bolt Driver</v>
      </c>
      <c r="AO375" s="0" t="s">
        <v>161</v>
      </c>
      <c r="AP375" s="0" t="str">
        <f aca="false">IF(ISBLANK(AO375),"Unknown",AO375)</f>
        <v>Apprentice</v>
      </c>
      <c r="AQ375" s="0" t="n">
        <v>25000</v>
      </c>
      <c r="AR375" s="5" t="n">
        <f aca="false">IF(ISBLANK(AQ375),AVERAGEIF(M375:M1374,M375,AQ375:AQ1374),AQ375)</f>
        <v>25000</v>
      </c>
      <c r="AS375" s="0" t="n">
        <v>35000</v>
      </c>
      <c r="AT375" s="5" t="n">
        <f aca="false">IF(ISBLANK(AS375),AVERAGE(AS375:AS1374),AS375)</f>
        <v>35000</v>
      </c>
      <c r="AU375" s="0" t="s">
        <v>50</v>
      </c>
      <c r="AV375" s="0" t="str">
        <f aca="false">PROPER(IF(ISBLANK(AU375),"No",AU375))</f>
        <v>No</v>
      </c>
      <c r="AW375" s="0" t="n">
        <v>0</v>
      </c>
      <c r="AX375" s="5" t="n">
        <f aca="false">IF(ISBLANK(AW375),0,AW375)</f>
        <v>0</v>
      </c>
      <c r="AZ375" s="0" t="str">
        <f aca="false">UPPER(IF(ISBLANK(AY375),"NONE",AY375))</f>
        <v>NONE</v>
      </c>
      <c r="BB375" s="7" t="str">
        <f aca="false">IF(ISBLANK(BA375),"No Follow Up Needed",BA375)</f>
        <v>No Follow Up Needed</v>
      </c>
      <c r="BC375" s="0" t="s">
        <v>82</v>
      </c>
      <c r="BD375" s="0" t="str">
        <f aca="false">PROPER(IF(ISBLANK(BC375),"Unknown",BC375))</f>
        <v>Yes</v>
      </c>
      <c r="BE375" s="0" t="s">
        <v>116</v>
      </c>
      <c r="BF375" s="0" t="str">
        <f aca="false">IF(ISBLANK(BE375),"No comments",BE375)</f>
        <v>Needs tire alignment</v>
      </c>
      <c r="BG375" s="0" t="s">
        <v>2320</v>
      </c>
      <c r="BH375" s="0" t="str">
        <f aca="false">IF(ISBLANK(BG375),"No comments",BG375)</f>
        <v>No complaints</v>
      </c>
      <c r="BJ375" s="0" t="str">
        <f aca="false">IF(ISBLANK(BI375),"Not Mentioned",BI375)</f>
        <v>Not Mentioned</v>
      </c>
      <c r="BK375" s="0" t="s">
        <v>61</v>
      </c>
      <c r="BL375" s="0" t="str">
        <f aca="false">PROPER(IF(ISBLANK(BK375),"Not Mentioned",BK375))</f>
        <v>No</v>
      </c>
      <c r="BM375" s="0" t="s">
        <v>63</v>
      </c>
      <c r="BN375" s="0" t="str">
        <f aca="false">PROPER(IF(ISBLANK(BM375),"Not Mentioned",BM375))</f>
        <v>Yes</v>
      </c>
      <c r="BO375" s="0" t="s">
        <v>64</v>
      </c>
      <c r="BP375" s="0" t="str">
        <f aca="false">IF(ISBLANK(BO375),"One-Time Plan",BO375)</f>
        <v>Gold Maintenance Plan</v>
      </c>
      <c r="BQ375" s="0" t="s">
        <v>50</v>
      </c>
      <c r="BR375" s="0" t="str">
        <f aca="false">PROPER(IF(ISBLANK(BQ375),"No",BQ375))</f>
        <v>No</v>
      </c>
    </row>
    <row r="376" customFormat="false" ht="15" hidden="false" customHeight="false" outlineLevel="0" collapsed="false">
      <c r="A376" s="0" t="s">
        <v>1012</v>
      </c>
      <c r="B376" s="2" t="n">
        <v>45753</v>
      </c>
      <c r="C376" s="2" t="str">
        <f aca="false">TEXT(B376,"dd/mm/yyyy")</f>
        <v>06/04/2025</v>
      </c>
      <c r="D376" s="0" t="s">
        <v>42</v>
      </c>
      <c r="E376" s="0" t="n">
        <v>8027332564</v>
      </c>
      <c r="F376" s="0" t="s">
        <v>122</v>
      </c>
      <c r="G376" s="0" t="s">
        <v>2316</v>
      </c>
      <c r="H376" s="0" t="s">
        <v>1013</v>
      </c>
      <c r="I376" s="0" t="s">
        <v>107</v>
      </c>
      <c r="J376" s="0" t="s">
        <v>87</v>
      </c>
      <c r="K376" s="3" t="str">
        <f aca="false" t="array" ref="K376:K376">IFERROR(IF(J376&lt;&gt;"",J376,INDEX(J376:J1375,MATCH(1,(F376:F1375=F376)*(I376:I1375=I376)*(L376:L1375=L376)*(J376:J1375&lt;&gt;""),0))),"Not Found")</f>
        <v>Oil Change</v>
      </c>
      <c r="L376" s="3" t="s">
        <v>108</v>
      </c>
      <c r="M376" s="0" t="str">
        <f aca="false">PROPER(L376)</f>
        <v>Timing Belt</v>
      </c>
      <c r="N376" s="3" t="s">
        <v>71</v>
      </c>
      <c r="O376" s="0" t="str">
        <f aca="false" t="array" ref="O376:O376">IF(N376&lt;&gt;"",N376,_xlfn.xlookup(1,(L376:L1375=L376)*(N376:N1375&lt;&gt;""),N376:N1375,"Not Found"))</f>
        <v>Isaac Bobo</v>
      </c>
      <c r="P376" s="4" t="n">
        <v>99527</v>
      </c>
      <c r="Q376" s="0" t="s">
        <v>49</v>
      </c>
      <c r="R376" s="0" t="str">
        <f aca="false">PROPER(Q376)</f>
        <v>Transfer</v>
      </c>
      <c r="S376" s="0" t="s">
        <v>63</v>
      </c>
      <c r="T376" s="0" t="n">
        <v>4</v>
      </c>
      <c r="U376" s="5" t="n">
        <f aca="false">IF(ISBLANK(T376),AVERAGE(T376:T1375),T376)</f>
        <v>4</v>
      </c>
      <c r="V376" s="0" t="n">
        <v>5.9</v>
      </c>
      <c r="W376" s="0" t="s">
        <v>111</v>
      </c>
      <c r="X376" s="0" t="str">
        <f aca="false">IF(ISBLANK(W376),"No remarks",W376)</f>
        <v>Changed all filters</v>
      </c>
      <c r="Y376" s="0" t="s">
        <v>73</v>
      </c>
      <c r="Z376" s="0" t="s">
        <v>159</v>
      </c>
      <c r="AA376" s="0" t="str">
        <f aca="false">PROPER(IF(ISBLANK(Z376),"Location Unavailable",Z376))</f>
        <v>Main Bay</v>
      </c>
      <c r="AB376" s="0" t="s">
        <v>54</v>
      </c>
      <c r="AC376" s="6" t="str">
        <f aca="false">PROPER(AB376)</f>
        <v>Mechanic Referral</v>
      </c>
      <c r="AD376" s="6" t="n">
        <v>45</v>
      </c>
      <c r="AE376" s="5" t="n">
        <f aca="false">IF(ISBLANK(AD376),AVERAGEIF(L376:L1375,L376,AD376:AD1375),AD376)</f>
        <v>45</v>
      </c>
      <c r="AF376" s="0" t="s">
        <v>160</v>
      </c>
      <c r="AG376" s="0" t="str">
        <f aca="false">PROPER(AF376)</f>
        <v>Availaible</v>
      </c>
      <c r="AH376" s="0" t="s">
        <v>77</v>
      </c>
      <c r="AI376" s="0" t="s">
        <v>113</v>
      </c>
      <c r="AJ376" s="0" t="str">
        <f aca="false">PROPER(AI376)</f>
        <v>Normal</v>
      </c>
      <c r="AK376" s="0" t="s">
        <v>196</v>
      </c>
      <c r="AL376" s="0" t="str">
        <f aca="false">PROPER(AK376)</f>
        <v>First Time</v>
      </c>
      <c r="AN376" s="0" t="str">
        <f aca="false">IF(ISBLANK(AM376),"Unknown",AM376)</f>
        <v>Unknown</v>
      </c>
      <c r="AO376" s="0" t="s">
        <v>79</v>
      </c>
      <c r="AP376" s="0" t="str">
        <f aca="false">IF(ISBLANK(AO376),"Unknown",AO376)</f>
        <v>Specialist</v>
      </c>
      <c r="AQ376" s="0" t="n">
        <v>25000</v>
      </c>
      <c r="AR376" s="5" t="n">
        <f aca="false">IF(ISBLANK(AQ376),AVERAGEIF(M376:M1375,M376,AQ376:AQ1375),AQ376)</f>
        <v>25000</v>
      </c>
      <c r="AS376" s="0" t="n">
        <v>20000</v>
      </c>
      <c r="AT376" s="5" t="n">
        <f aca="false">IF(ISBLANK(AS376),AVERAGE(AS376:AS1375),AS376)</f>
        <v>20000</v>
      </c>
      <c r="AU376" s="0" t="s">
        <v>82</v>
      </c>
      <c r="AV376" s="0" t="str">
        <f aca="false">PROPER(IF(ISBLANK(AU376),"No",AU376))</f>
        <v>Yes</v>
      </c>
      <c r="AX376" s="5" t="n">
        <f aca="false">IF(ISBLANK(AW376),0,AW376)</f>
        <v>0</v>
      </c>
      <c r="AZ376" s="0" t="str">
        <f aca="false">UPPER(IF(ISBLANK(AY376),"NONE",AY376))</f>
        <v>NONE</v>
      </c>
      <c r="BA376" s="7" t="s">
        <v>1014</v>
      </c>
      <c r="BB376" s="7" t="str">
        <f aca="false">IF(ISBLANK(BA376),"No Follow Up Needed",BA376)</f>
        <v>22/07/2025</v>
      </c>
      <c r="BC376" s="0" t="s">
        <v>50</v>
      </c>
      <c r="BD376" s="0" t="str">
        <f aca="false">PROPER(IF(ISBLANK(BC376),"Unknown",BC376))</f>
        <v>No</v>
      </c>
      <c r="BF376" s="0" t="str">
        <f aca="false">IF(ISBLANK(BE376),"No comments",BE376)</f>
        <v>No comments</v>
      </c>
      <c r="BG376" s="0" t="s">
        <v>172</v>
      </c>
      <c r="BH376" s="0" t="str">
        <f aca="false">IF(ISBLANK(BG376),"No comments",BG376)</f>
        <v>Always late</v>
      </c>
      <c r="BI376" s="0" t="s">
        <v>63</v>
      </c>
      <c r="BJ376" s="0" t="str">
        <f aca="false">IF(ISBLANK(BI376),"Not Mentioned",BI376)</f>
        <v>Yes</v>
      </c>
      <c r="BL376" s="0" t="str">
        <f aca="false">PROPER(IF(ISBLANK(BK376),"Not Mentioned",BK376))</f>
        <v>Not Mentioned</v>
      </c>
      <c r="BM376" s="0" t="s">
        <v>50</v>
      </c>
      <c r="BN376" s="0" t="str">
        <f aca="false">PROPER(IF(ISBLANK(BM376),"Not Mentioned",BM376))</f>
        <v>No</v>
      </c>
      <c r="BO376" s="0" t="s">
        <v>2318</v>
      </c>
      <c r="BP376" s="0" t="str">
        <f aca="false">IF(ISBLANK(BO376),"One-Time Plan",BO376)</f>
        <v>Gold</v>
      </c>
      <c r="BQ376" s="0" t="s">
        <v>63</v>
      </c>
      <c r="BR376" s="0" t="str">
        <f aca="false">PROPER(IF(ISBLANK(BQ376),"No",BQ376))</f>
        <v>Yes</v>
      </c>
    </row>
    <row r="377" customFormat="false" ht="15" hidden="false" customHeight="false" outlineLevel="0" collapsed="false">
      <c r="A377" s="0" t="s">
        <v>1015</v>
      </c>
      <c r="B377" s="2" t="n">
        <v>45671</v>
      </c>
      <c r="C377" s="2" t="str">
        <f aca="false">TEXT(B377,"dd/mm/yyyy")</f>
        <v>14/01/2025</v>
      </c>
      <c r="D377" s="0" t="s">
        <v>163</v>
      </c>
      <c r="E377" s="0" t="n">
        <v>8082001505</v>
      </c>
      <c r="F377" s="0" t="s">
        <v>43</v>
      </c>
      <c r="G377" s="0" t="s">
        <v>2315</v>
      </c>
      <c r="H377" s="0" t="s">
        <v>1016</v>
      </c>
      <c r="I377" s="0" t="s">
        <v>134</v>
      </c>
      <c r="J377" s="0" t="s">
        <v>2322</v>
      </c>
      <c r="K377" s="3" t="str">
        <f aca="false" t="array" ref="K377:K377">IFERROR(IF(J377&lt;&gt;"",J377,INDEX(J377:J1376,MATCH(1,(F377:F1376=F377)*(I377:I1376=I377)*(L377:L1376=L377)*(J377:J1376&lt;&gt;""),0))),"Not Found")</f>
        <v>Brake Failure</v>
      </c>
      <c r="L377" s="3" t="s">
        <v>154</v>
      </c>
      <c r="M377" s="0" t="str">
        <f aca="false">PROPER(L377)</f>
        <v>Air Filter</v>
      </c>
      <c r="N377" s="3" t="s">
        <v>71</v>
      </c>
      <c r="O377" s="0" t="str">
        <f aca="false" t="array" ref="O377:O377">IF(N377&lt;&gt;"",N377,_xlfn.xlookup(1,(L377:L1376=L377)*(N377:N1376&lt;&gt;""),N377:N1376,"Not Found"))</f>
        <v>Isaac Bobo</v>
      </c>
      <c r="P377" s="4" t="n">
        <v>61745</v>
      </c>
      <c r="Q377" s="0" t="s">
        <v>166</v>
      </c>
      <c r="R377" s="0" t="str">
        <f aca="false">PROPER(Q377)</f>
        <v>Transfer</v>
      </c>
      <c r="S377" s="0" t="s">
        <v>63</v>
      </c>
      <c r="T377" s="0" t="n">
        <v>3</v>
      </c>
      <c r="U377" s="5" t="n">
        <f aca="false">IF(ISBLANK(T377),AVERAGE(T377:T1376),T377)</f>
        <v>3</v>
      </c>
      <c r="V377" s="0" t="n">
        <v>3.5</v>
      </c>
      <c r="W377" s="0" t="s">
        <v>51</v>
      </c>
      <c r="X377" s="0" t="str">
        <f aca="false">IF(ISBLANK(W377),"No remarks",W377)</f>
        <v>Recommended further checks</v>
      </c>
      <c r="Y377" s="0" t="s">
        <v>93</v>
      </c>
      <c r="Z377" s="0" t="s">
        <v>159</v>
      </c>
      <c r="AA377" s="0" t="str">
        <f aca="false">PROPER(IF(ISBLANK(Z377),"Location Unavailable",Z377))</f>
        <v>Main Bay</v>
      </c>
      <c r="AB377" s="0" t="s">
        <v>167</v>
      </c>
      <c r="AC377" s="6" t="str">
        <f aca="false">PROPER(AB377)</f>
        <v>Word Of Mouth</v>
      </c>
      <c r="AD377" s="6" t="n">
        <v>45</v>
      </c>
      <c r="AE377" s="5" t="n">
        <f aca="false">IF(ISBLANK(AD377),AVERAGEIF(L377:L1376,L377,AD377:AD1376),AD377)</f>
        <v>45</v>
      </c>
      <c r="AF377" s="0" t="s">
        <v>55</v>
      </c>
      <c r="AG377" s="0" t="str">
        <f aca="false">PROPER(AF377)</f>
        <v>Available</v>
      </c>
      <c r="AH377" s="0" t="s">
        <v>56</v>
      </c>
      <c r="AI377" s="0" t="s">
        <v>128</v>
      </c>
      <c r="AJ377" s="0" t="str">
        <f aca="false">PROPER(AI377)</f>
        <v>Normal</v>
      </c>
      <c r="AK377" s="0" t="s">
        <v>58</v>
      </c>
      <c r="AL377" s="0" t="str">
        <f aca="false">PROPER(AK377)</f>
        <v>Fleet Owner</v>
      </c>
      <c r="AM377" s="0" t="s">
        <v>177</v>
      </c>
      <c r="AN377" s="0" t="str">
        <f aca="false">IF(ISBLANK(AM377),"Unknown",AM377)</f>
        <v>Private</v>
      </c>
      <c r="AP377" s="0" t="str">
        <f aca="false">IF(ISBLANK(AO377),"Unknown",AO377)</f>
        <v>Unknown</v>
      </c>
      <c r="AQ377" s="0" t="n">
        <v>15000</v>
      </c>
      <c r="AR377" s="5" t="n">
        <f aca="false">IF(ISBLANK(AQ377),AVERAGEIF(M377:M1376,M377,AQ377:AQ1376),AQ377)</f>
        <v>15000</v>
      </c>
      <c r="AS377" s="0" t="n">
        <v>30000</v>
      </c>
      <c r="AT377" s="5" t="n">
        <f aca="false">IF(ISBLANK(AS377),AVERAGE(AS377:AS1376),AS377)</f>
        <v>30000</v>
      </c>
      <c r="AU377" s="0" t="s">
        <v>61</v>
      </c>
      <c r="AV377" s="0" t="str">
        <f aca="false">PROPER(IF(ISBLANK(AU377),"No",AU377))</f>
        <v>No</v>
      </c>
      <c r="AW377" s="0" t="n">
        <v>10000</v>
      </c>
      <c r="AX377" s="5" t="n">
        <f aca="false">IF(ISBLANK(AW377),0,AW377)</f>
        <v>10000</v>
      </c>
      <c r="AZ377" s="0" t="str">
        <f aca="false">UPPER(IF(ISBLANK(AY377),"NONE",AY377))</f>
        <v>NONE</v>
      </c>
      <c r="BA377" s="7" t="s">
        <v>970</v>
      </c>
      <c r="BB377" s="7" t="str">
        <f aca="false">IF(ISBLANK(BA377),"No Follow Up Needed",BA377)</f>
        <v>20/07/2025</v>
      </c>
      <c r="BC377" s="0" t="s">
        <v>61</v>
      </c>
      <c r="BD377" s="0" t="str">
        <f aca="false">PROPER(IF(ISBLANK(BC377),"Unknown",BC377))</f>
        <v>No</v>
      </c>
      <c r="BE377" s="0" t="s">
        <v>116</v>
      </c>
      <c r="BF377" s="0" t="str">
        <f aca="false">IF(ISBLANK(BE377),"No comments",BE377)</f>
        <v>Needs tire alignment</v>
      </c>
      <c r="BG377" s="0" t="s">
        <v>117</v>
      </c>
      <c r="BH377" s="0" t="str">
        <f aca="false">IF(ISBLANK(BG377),"No comments",BG377)</f>
        <v>Prefers morning</v>
      </c>
      <c r="BI377" s="0" t="s">
        <v>63</v>
      </c>
      <c r="BJ377" s="0" t="str">
        <f aca="false">IF(ISBLANK(BI377),"Not Mentioned",BI377)</f>
        <v>Yes</v>
      </c>
      <c r="BK377" s="0" t="s">
        <v>61</v>
      </c>
      <c r="BL377" s="0" t="str">
        <f aca="false">PROPER(IF(ISBLANK(BK377),"Not Mentioned",BK377))</f>
        <v>No</v>
      </c>
      <c r="BN377" s="0" t="str">
        <f aca="false">PROPER(IF(ISBLANK(BM377),"Not Mentioned",BM377))</f>
        <v>Not Mentioned</v>
      </c>
      <c r="BO377" s="0" t="s">
        <v>2321</v>
      </c>
      <c r="BP377" s="0" t="str">
        <f aca="false">IF(ISBLANK(BO377),"One-Time Plan",BO377)</f>
        <v>One-Time Plan</v>
      </c>
      <c r="BQ377" s="0" t="s">
        <v>190</v>
      </c>
      <c r="BR377" s="0" t="str">
        <f aca="false">PROPER(IF(ISBLANK(BQ377),"No",BQ377))</f>
        <v>Yes</v>
      </c>
    </row>
    <row r="378" customFormat="false" ht="15" hidden="false" customHeight="false" outlineLevel="0" collapsed="false">
      <c r="A378" s="0" t="s">
        <v>1017</v>
      </c>
      <c r="B378" s="2" t="n">
        <v>45745</v>
      </c>
      <c r="C378" s="2" t="str">
        <f aca="false">TEXT(B378,"dd/mm/yyyy")</f>
        <v>29/03/2025</v>
      </c>
      <c r="D378" s="0" t="s">
        <v>163</v>
      </c>
      <c r="E378" s="0" t="n">
        <v>8066158469</v>
      </c>
      <c r="F378" s="0" t="s">
        <v>85</v>
      </c>
      <c r="G378" s="0" t="s">
        <v>2319</v>
      </c>
      <c r="H378" s="0" t="s">
        <v>1018</v>
      </c>
      <c r="I378" s="0" t="s">
        <v>45</v>
      </c>
      <c r="J378" s="0" t="s">
        <v>2325</v>
      </c>
      <c r="K378" s="3" t="str">
        <f aca="false" t="array" ref="K378:K378">IFERROR(IF(J378&lt;&gt;"",J378,INDEX(J378:J1377,MATCH(1,(F378:F1377=F378)*(I378:I1377=I378)*(L378:L1377=L378)*(J378:J1377&lt;&gt;""),0))),"Not Found")</f>
        <v>Engine Knocking</v>
      </c>
      <c r="L378" s="3" t="s">
        <v>189</v>
      </c>
      <c r="M378" s="0" t="str">
        <f aca="false">PROPER(L378)</f>
        <v>Battery</v>
      </c>
      <c r="N378" s="3" t="s">
        <v>71</v>
      </c>
      <c r="O378" s="0" t="str">
        <f aca="false" t="array" ref="O378:O378">IF(N378&lt;&gt;"",N378,_xlfn.xlookup(1,(L378:L1377=L378)*(N378:N1377&lt;&gt;""),N378:N1377,"Not Found"))</f>
        <v>Isaac Bobo</v>
      </c>
      <c r="P378" s="4" t="n">
        <v>91965</v>
      </c>
      <c r="Q378" s="0" t="s">
        <v>124</v>
      </c>
      <c r="R378" s="0" t="str">
        <f aca="false">PROPER(Q378)</f>
        <v>Cash</v>
      </c>
      <c r="S378" s="0" t="s">
        <v>63</v>
      </c>
      <c r="U378" s="5" t="n">
        <f aca="false">IF(ISBLANK(T378),AVERAGE(T378:T1377),T378)</f>
        <v>3.06395348837209</v>
      </c>
      <c r="V378" s="0" t="n">
        <v>3.7</v>
      </c>
      <c r="W378" s="0" t="s">
        <v>111</v>
      </c>
      <c r="X378" s="0" t="str">
        <f aca="false">IF(ISBLANK(W378),"No remarks",W378)</f>
        <v>Changed all filters</v>
      </c>
      <c r="Y378" s="0" t="s">
        <v>52</v>
      </c>
      <c r="Z378" s="0" t="s">
        <v>159</v>
      </c>
      <c r="AA378" s="0" t="str">
        <f aca="false">PROPER(IF(ISBLANK(Z378),"Location Unavailable",Z378))</f>
        <v>Main Bay</v>
      </c>
      <c r="AB378" s="0" t="s">
        <v>167</v>
      </c>
      <c r="AC378" s="6" t="str">
        <f aca="false">PROPER(AB378)</f>
        <v>Word Of Mouth</v>
      </c>
      <c r="AD378" s="6" t="n">
        <v>45</v>
      </c>
      <c r="AE378" s="5" t="n">
        <f aca="false">IF(ISBLANK(AD378),AVERAGEIF(L378:L1377,L378,AD378:AD1377),AD378)</f>
        <v>45</v>
      </c>
      <c r="AF378" s="0" t="s">
        <v>112</v>
      </c>
      <c r="AG378" s="0" t="str">
        <f aca="false">PROPER(AF378)</f>
        <v>Unavailable</v>
      </c>
      <c r="AH378" s="0" t="s">
        <v>155</v>
      </c>
      <c r="AI378" s="0" t="s">
        <v>98</v>
      </c>
      <c r="AJ378" s="0" t="str">
        <f aca="false">PROPER(AI378)</f>
        <v>Emergency</v>
      </c>
      <c r="AK378" s="0" t="s">
        <v>58</v>
      </c>
      <c r="AL378" s="0" t="str">
        <f aca="false">PROPER(AK378)</f>
        <v>Fleet Owner</v>
      </c>
      <c r="AN378" s="0" t="str">
        <f aca="false">IF(ISBLANK(AM378),"Unknown",AM378)</f>
        <v>Unknown</v>
      </c>
      <c r="AO378" s="0" t="s">
        <v>79</v>
      </c>
      <c r="AP378" s="0" t="str">
        <f aca="false">IF(ISBLANK(AO378),"Unknown",AO378)</f>
        <v>Specialist</v>
      </c>
      <c r="AQ378" s="0" t="n">
        <v>25000</v>
      </c>
      <c r="AR378" s="5" t="n">
        <f aca="false">IF(ISBLANK(AQ378),AVERAGEIF(M378:M1377,M378,AQ378:AQ1377),AQ378)</f>
        <v>25000</v>
      </c>
      <c r="AS378" s="0" t="n">
        <v>35000</v>
      </c>
      <c r="AT378" s="5" t="n">
        <f aca="false">IF(ISBLANK(AS378),AVERAGE(AS378:AS1377),AS378)</f>
        <v>35000</v>
      </c>
      <c r="AU378" s="0" t="s">
        <v>63</v>
      </c>
      <c r="AV378" s="0" t="str">
        <f aca="false">PROPER(IF(ISBLANK(AU378),"No",AU378))</f>
        <v>Yes</v>
      </c>
      <c r="AX378" s="5" t="n">
        <f aca="false">IF(ISBLANK(AW378),0,AW378)</f>
        <v>0</v>
      </c>
      <c r="AY378" s="0" t="s">
        <v>184</v>
      </c>
      <c r="AZ378" s="0" t="str">
        <f aca="false">UPPER(IF(ISBLANK(AY378),"NONE",AY378))</f>
        <v>N/A</v>
      </c>
      <c r="BA378" s="7" t="s">
        <v>1019</v>
      </c>
      <c r="BB378" s="7" t="str">
        <f aca="false">IF(ISBLANK(BA378),"No Follow Up Needed",BA378)</f>
        <v>31/07/2025</v>
      </c>
      <c r="BC378" s="0" t="s">
        <v>50</v>
      </c>
      <c r="BD378" s="0" t="str">
        <f aca="false">PROPER(IF(ISBLANK(BC378),"Unknown",BC378))</f>
        <v>No</v>
      </c>
      <c r="BE378" s="0" t="s">
        <v>171</v>
      </c>
      <c r="BF378" s="0" t="str">
        <f aca="false">IF(ISBLANK(BE378),"No comments",BE378)</f>
        <v>Shock absorber weakening</v>
      </c>
      <c r="BG378" s="0" t="s">
        <v>172</v>
      </c>
      <c r="BH378" s="0" t="str">
        <f aca="false">IF(ISBLANK(BG378),"No comments",BG378)</f>
        <v>Always late</v>
      </c>
      <c r="BI378" s="0" t="s">
        <v>63</v>
      </c>
      <c r="BJ378" s="0" t="str">
        <f aca="false">IF(ISBLANK(BI378),"Not Mentioned",BI378)</f>
        <v>Yes</v>
      </c>
      <c r="BK378" s="0" t="s">
        <v>82</v>
      </c>
      <c r="BL378" s="0" t="str">
        <f aca="false">PROPER(IF(ISBLANK(BK378),"Not Mentioned",BK378))</f>
        <v>Yes</v>
      </c>
      <c r="BM378" s="0" t="s">
        <v>63</v>
      </c>
      <c r="BN378" s="0" t="str">
        <f aca="false">PROPER(IF(ISBLANK(BM378),"Not Mentioned",BM378))</f>
        <v>Yes</v>
      </c>
      <c r="BO378" s="0" t="s">
        <v>2318</v>
      </c>
      <c r="BP378" s="0" t="str">
        <f aca="false">IF(ISBLANK(BO378),"One-Time Plan",BO378)</f>
        <v>Gold</v>
      </c>
      <c r="BQ378" s="0" t="s">
        <v>63</v>
      </c>
      <c r="BR378" s="0" t="str">
        <f aca="false">PROPER(IF(ISBLANK(BQ378),"No",BQ378))</f>
        <v>Yes</v>
      </c>
    </row>
    <row r="379" customFormat="false" ht="15" hidden="false" customHeight="false" outlineLevel="0" collapsed="false">
      <c r="A379" s="0" t="s">
        <v>1020</v>
      </c>
      <c r="B379" s="2" t="s">
        <v>505</v>
      </c>
      <c r="C379" s="2" t="str">
        <f aca="false">TEXT(B379,"dd/mm/yyyy")</f>
        <v>20/03/2025</v>
      </c>
      <c r="D379" s="0" t="s">
        <v>42</v>
      </c>
      <c r="E379" s="0" t="n">
        <v>8074189781</v>
      </c>
      <c r="F379" s="0" t="s">
        <v>139</v>
      </c>
      <c r="G379" s="0" t="s">
        <v>2323</v>
      </c>
      <c r="H379" s="0" t="s">
        <v>1021</v>
      </c>
      <c r="I379" s="0" t="s">
        <v>69</v>
      </c>
      <c r="J379" s="0" t="s">
        <v>87</v>
      </c>
      <c r="K379" s="3" t="str">
        <f aca="false" t="array" ref="K379:K379">IFERROR(IF(J379&lt;&gt;"",J379,INDEX(J379:J1378,MATCH(1,(F379:F1378=F379)*(I379:I1378=I379)*(L379:L1378=L379)*(J379:J1378&lt;&gt;""),0))),"Not Found")</f>
        <v>Oil Change</v>
      </c>
      <c r="L379" s="3" t="s">
        <v>154</v>
      </c>
      <c r="M379" s="0" t="str">
        <f aca="false">PROPER(L379)</f>
        <v>Air Filter</v>
      </c>
      <c r="N379" s="3" t="s">
        <v>90</v>
      </c>
      <c r="O379" s="0" t="str">
        <f aca="false" t="array" ref="O379:O379">IF(N379&lt;&gt;"",N379,_xlfn.xlookup(1,(L379:L1378=L379)*(N379:N1378&lt;&gt;""),N379:N1378,"Not Found"))</f>
        <v>Musa</v>
      </c>
      <c r="P379" s="4" t="n">
        <v>78788</v>
      </c>
      <c r="Q379" s="0" t="s">
        <v>91</v>
      </c>
      <c r="R379" s="0" t="str">
        <f aca="false">PROPER(Q379)</f>
        <v>Pos</v>
      </c>
      <c r="S379" s="0" t="s">
        <v>63</v>
      </c>
      <c r="T379" s="0" t="n">
        <v>5</v>
      </c>
      <c r="U379" s="5" t="n">
        <f aca="false">IF(ISBLANK(T379),AVERAGE(T379:T1378),T379)</f>
        <v>5</v>
      </c>
      <c r="V379" s="0" t="n">
        <v>2.4</v>
      </c>
      <c r="W379" s="0" t="s">
        <v>111</v>
      </c>
      <c r="X379" s="0" t="str">
        <f aca="false">IF(ISBLANK(W379),"No remarks",W379)</f>
        <v>Changed all filters</v>
      </c>
      <c r="Y379" s="0" t="s">
        <v>73</v>
      </c>
      <c r="Z379" s="0" t="s">
        <v>159</v>
      </c>
      <c r="AA379" s="0" t="str">
        <f aca="false">PROPER(IF(ISBLANK(Z379),"Location Unavailable",Z379))</f>
        <v>Main Bay</v>
      </c>
      <c r="AB379" s="0" t="s">
        <v>126</v>
      </c>
      <c r="AC379" s="6" t="str">
        <f aca="false">PROPER(AB379)</f>
        <v>Whatsapp</v>
      </c>
      <c r="AE379" s="5" t="n">
        <f aca="false">IF(ISBLANK(AD379),AVERAGEIF(L379:L1378,L379,AD379:AD1378),AD379)</f>
        <v>37.4226804123711</v>
      </c>
      <c r="AF379" s="0" t="s">
        <v>76</v>
      </c>
      <c r="AG379" s="0" t="str">
        <f aca="false">PROPER(AF379)</f>
        <v>Orderd</v>
      </c>
      <c r="AH379" s="0" t="s">
        <v>155</v>
      </c>
      <c r="AI379" s="0" t="s">
        <v>78</v>
      </c>
      <c r="AJ379" s="0" t="str">
        <f aca="false">PROPER(AI379)</f>
        <v>Booking</v>
      </c>
      <c r="AK379" s="0" t="s">
        <v>58</v>
      </c>
      <c r="AL379" s="0" t="str">
        <f aca="false">PROPER(AK379)</f>
        <v>Fleet Owner</v>
      </c>
      <c r="AM379" s="0" t="s">
        <v>59</v>
      </c>
      <c r="AN379" s="0" t="str">
        <f aca="false">IF(ISBLANK(AM379),"Unknown",AM379)</f>
        <v>Bolt Driver</v>
      </c>
      <c r="AO379" s="0" t="s">
        <v>149</v>
      </c>
      <c r="AP379" s="0" t="str">
        <f aca="false">IF(ISBLANK(AO379),"Unknown",AO379)</f>
        <v>Senior </v>
      </c>
      <c r="AQ379" s="0" t="n">
        <v>25000</v>
      </c>
      <c r="AR379" s="5" t="n">
        <f aca="false">IF(ISBLANK(AQ379),AVERAGEIF(M379:M1378,M379,AQ379:AQ1378),AQ379)</f>
        <v>25000</v>
      </c>
      <c r="AS379" s="0" t="n">
        <v>20000</v>
      </c>
      <c r="AT379" s="5" t="n">
        <f aca="false">IF(ISBLANK(AS379),AVERAGE(AS379:AS1378),AS379)</f>
        <v>20000</v>
      </c>
      <c r="AU379" s="0" t="s">
        <v>50</v>
      </c>
      <c r="AV379" s="0" t="str">
        <f aca="false">PROPER(IF(ISBLANK(AU379),"No",AU379))</f>
        <v>No</v>
      </c>
      <c r="AW379" s="0" t="n">
        <v>0</v>
      </c>
      <c r="AX379" s="5" t="n">
        <f aca="false">IF(ISBLANK(AW379),0,AW379)</f>
        <v>0</v>
      </c>
      <c r="AZ379" s="0" t="str">
        <f aca="false">UPPER(IF(ISBLANK(AY379),"NONE",AY379))</f>
        <v>NONE</v>
      </c>
      <c r="BA379" s="7" t="n">
        <v>45911</v>
      </c>
      <c r="BB379" s="7" t="n">
        <f aca="false">IF(ISBLANK(BA379),"No Follow Up Needed",BA379)</f>
        <v>45911</v>
      </c>
      <c r="BC379" s="0" t="s">
        <v>50</v>
      </c>
      <c r="BD379" s="0" t="str">
        <f aca="false">PROPER(IF(ISBLANK(BC379),"Unknown",BC379))</f>
        <v>No</v>
      </c>
      <c r="BF379" s="0" t="str">
        <f aca="false">IF(ISBLANK(BE379),"No comments",BE379)</f>
        <v>No comments</v>
      </c>
      <c r="BG379" s="0" t="s">
        <v>172</v>
      </c>
      <c r="BH379" s="0" t="str">
        <f aca="false">IF(ISBLANK(BG379),"No comments",BG379)</f>
        <v>Always late</v>
      </c>
      <c r="BI379" s="0" t="s">
        <v>50</v>
      </c>
      <c r="BJ379" s="0" t="str">
        <f aca="false">IF(ISBLANK(BI379),"Not Mentioned",BI379)</f>
        <v>No</v>
      </c>
      <c r="BK379" s="0" t="s">
        <v>61</v>
      </c>
      <c r="BL379" s="0" t="str">
        <f aca="false">PROPER(IF(ISBLANK(BK379),"Not Mentioned",BK379))</f>
        <v>No</v>
      </c>
      <c r="BM379" s="0" t="s">
        <v>63</v>
      </c>
      <c r="BN379" s="0" t="str">
        <f aca="false">PROPER(IF(ISBLANK(BM379),"Not Mentioned",BM379))</f>
        <v>Yes</v>
      </c>
      <c r="BO379" s="0" t="s">
        <v>2318</v>
      </c>
      <c r="BP379" s="0" t="str">
        <f aca="false">IF(ISBLANK(BO379),"One-Time Plan",BO379)</f>
        <v>Gold</v>
      </c>
      <c r="BQ379" s="0" t="s">
        <v>63</v>
      </c>
      <c r="BR379" s="0" t="str">
        <f aca="false">PROPER(IF(ISBLANK(BQ379),"No",BQ379))</f>
        <v>Yes</v>
      </c>
    </row>
    <row r="380" customFormat="false" ht="15" hidden="false" customHeight="false" outlineLevel="0" collapsed="false">
      <c r="A380" s="0" t="s">
        <v>1022</v>
      </c>
      <c r="B380" s="2" t="n">
        <v>45711</v>
      </c>
      <c r="C380" s="2" t="str">
        <f aca="false">TEXT(B380,"dd/mm/yyyy")</f>
        <v>23/02/2025</v>
      </c>
      <c r="D380" s="0" t="s">
        <v>163</v>
      </c>
      <c r="E380" s="0" t="n">
        <v>8019229212</v>
      </c>
      <c r="F380" s="0" t="s">
        <v>122</v>
      </c>
      <c r="G380" s="0" t="s">
        <v>2316</v>
      </c>
      <c r="H380" s="0" t="s">
        <v>1023</v>
      </c>
      <c r="I380" s="0" t="s">
        <v>45</v>
      </c>
      <c r="J380" s="0" t="s">
        <v>2317</v>
      </c>
      <c r="K380" s="3" t="str">
        <f aca="false" t="array" ref="K380:K380">IFERROR(IF(J380&lt;&gt;"",J380,INDEX(J380:J1379,MATCH(1,(F380:F1379=F380)*(I380:I1379=I380)*(L380:L1379=L380)*(J380:J1379&lt;&gt;""),0))),"Not Found")</f>
        <v>Suspension Noise</v>
      </c>
      <c r="L380" s="3" t="s">
        <v>108</v>
      </c>
      <c r="M380" s="0" t="str">
        <f aca="false">PROPER(L380)</f>
        <v>Timing Belt</v>
      </c>
      <c r="O380" s="0" t="e">
        <f aca="false" t="array" ref="O380:O380">IF(N380&lt;&gt;"",N380,_xlfn.xlookup(1,(L380:L1379=L380)*(N380:N1379&lt;&gt;""),N380:N1379,"Not Found"))</f>
        <v>#NAME?</v>
      </c>
      <c r="P380" s="4" t="n">
        <v>28430</v>
      </c>
      <c r="Q380" s="0" t="s">
        <v>49</v>
      </c>
      <c r="R380" s="0" t="str">
        <f aca="false">PROPER(Q380)</f>
        <v>Transfer</v>
      </c>
      <c r="S380" s="0" t="s">
        <v>50</v>
      </c>
      <c r="T380" s="0" t="n">
        <v>2</v>
      </c>
      <c r="U380" s="5" t="n">
        <f aca="false">IF(ISBLANK(T380),AVERAGE(T380:T1379),T380)</f>
        <v>2</v>
      </c>
      <c r="V380" s="0" t="n">
        <v>5.6</v>
      </c>
      <c r="W380" s="0" t="s">
        <v>125</v>
      </c>
      <c r="X380" s="0" t="str">
        <f aca="false">IF(ISBLANK(W380),"No remarks",W380)</f>
        <v>Customer waited</v>
      </c>
      <c r="Y380" s="0" t="s">
        <v>93</v>
      </c>
      <c r="Z380" s="0" t="s">
        <v>53</v>
      </c>
      <c r="AA380" s="0" t="str">
        <f aca="false">PROPER(IF(ISBLANK(Z380),"Location Unavailable",Z380))</f>
        <v>Main Bay</v>
      </c>
      <c r="AB380" s="0" t="s">
        <v>75</v>
      </c>
      <c r="AC380" s="6" t="str">
        <f aca="false">PROPER(AB380)</f>
        <v>Mechanik Referal</v>
      </c>
      <c r="AD380" s="6" t="n">
        <v>30</v>
      </c>
      <c r="AE380" s="5" t="n">
        <f aca="false">IF(ISBLANK(AD380),AVERAGEIF(L380:L1379,L380,AD380:AD1379),AD380)</f>
        <v>30</v>
      </c>
      <c r="AF380" s="0" t="s">
        <v>112</v>
      </c>
      <c r="AG380" s="0" t="str">
        <f aca="false">PROPER(AF380)</f>
        <v>Unavailable</v>
      </c>
      <c r="AH380" s="0" t="s">
        <v>155</v>
      </c>
      <c r="AI380" s="0" t="s">
        <v>78</v>
      </c>
      <c r="AJ380" s="0" t="str">
        <f aca="false">PROPER(AI380)</f>
        <v>Booking</v>
      </c>
      <c r="AK380" s="0" t="s">
        <v>196</v>
      </c>
      <c r="AL380" s="0" t="str">
        <f aca="false">PROPER(AK380)</f>
        <v>First Time</v>
      </c>
      <c r="AM380" s="0" t="s">
        <v>59</v>
      </c>
      <c r="AN380" s="0" t="str">
        <f aca="false">IF(ISBLANK(AM380),"Unknown",AM380)</f>
        <v>Bolt Driver</v>
      </c>
      <c r="AO380" s="0" t="s">
        <v>79</v>
      </c>
      <c r="AP380" s="0" t="str">
        <f aca="false">IF(ISBLANK(AO380),"Unknown",AO380)</f>
        <v>Specialist</v>
      </c>
      <c r="AR380" s="5" t="n">
        <f aca="false">IF(ISBLANK(AQ380),AVERAGEIF(M380:M1379,M380,AQ380:AQ1379),AQ380)</f>
        <v>27826.0869565217</v>
      </c>
      <c r="AS380" s="0" t="n">
        <v>20000</v>
      </c>
      <c r="AT380" s="5" t="n">
        <f aca="false">IF(ISBLANK(AS380),AVERAGE(AS380:AS1379),AS380)</f>
        <v>20000</v>
      </c>
      <c r="AU380" s="0" t="s">
        <v>61</v>
      </c>
      <c r="AV380" s="0" t="str">
        <f aca="false">PROPER(IF(ISBLANK(AU380),"No",AU380))</f>
        <v>No</v>
      </c>
      <c r="AW380" s="0" t="n">
        <v>5000</v>
      </c>
      <c r="AX380" s="5" t="n">
        <f aca="false">IF(ISBLANK(AW380),0,AW380)</f>
        <v>5000</v>
      </c>
      <c r="AY380" s="0" t="s">
        <v>60</v>
      </c>
      <c r="AZ380" s="0" t="str">
        <f aca="false">UPPER(IF(ISBLANK(AY380),"NONE",AY380))</f>
        <v>NONE</v>
      </c>
      <c r="BB380" s="7" t="str">
        <f aca="false">IF(ISBLANK(BA380),"No Follow Up Needed",BA380)</f>
        <v>No Follow Up Needed</v>
      </c>
      <c r="BC380" s="0" t="s">
        <v>61</v>
      </c>
      <c r="BD380" s="0" t="str">
        <f aca="false">PROPER(IF(ISBLANK(BC380),"Unknown",BC380))</f>
        <v>No</v>
      </c>
      <c r="BE380" s="0" t="s">
        <v>171</v>
      </c>
      <c r="BF380" s="0" t="str">
        <f aca="false">IF(ISBLANK(BE380),"No comments",BE380)</f>
        <v>Shock absorber weakening</v>
      </c>
      <c r="BH380" s="0" t="str">
        <f aca="false">IF(ISBLANK(BG380),"No comments",BG380)</f>
        <v>No comments</v>
      </c>
      <c r="BI380" s="0" t="s">
        <v>50</v>
      </c>
      <c r="BJ380" s="0" t="str">
        <f aca="false">IF(ISBLANK(BI380),"Not Mentioned",BI380)</f>
        <v>No</v>
      </c>
      <c r="BL380" s="0" t="str">
        <f aca="false">PROPER(IF(ISBLANK(BK380),"Not Mentioned",BK380))</f>
        <v>Not Mentioned</v>
      </c>
      <c r="BN380" s="0" t="str">
        <f aca="false">PROPER(IF(ISBLANK(BM380),"Not Mentioned",BM380))</f>
        <v>Not Mentioned</v>
      </c>
      <c r="BO380" s="0" t="s">
        <v>2321</v>
      </c>
      <c r="BP380" s="0" t="str">
        <f aca="false">IF(ISBLANK(BO380),"One-Time Plan",BO380)</f>
        <v>One-Time Plan</v>
      </c>
      <c r="BQ380" s="0" t="s">
        <v>190</v>
      </c>
      <c r="BR380" s="0" t="str">
        <f aca="false">PROPER(IF(ISBLANK(BQ380),"No",BQ380))</f>
        <v>Yes</v>
      </c>
    </row>
    <row r="381" customFormat="false" ht="15" hidden="false" customHeight="false" outlineLevel="0" collapsed="false">
      <c r="A381" s="0" t="s">
        <v>1024</v>
      </c>
      <c r="B381" s="2" t="n">
        <v>45710</v>
      </c>
      <c r="C381" s="2" t="str">
        <f aca="false">TEXT(B381,"dd/mm/yyyy")</f>
        <v>22/02/2025</v>
      </c>
      <c r="D381" s="0" t="s">
        <v>42</v>
      </c>
      <c r="E381" s="0" t="n">
        <v>8062209742</v>
      </c>
      <c r="F381" s="0" t="s">
        <v>139</v>
      </c>
      <c r="G381" s="0" t="s">
        <v>2323</v>
      </c>
      <c r="H381" s="0" t="s">
        <v>1025</v>
      </c>
      <c r="I381" s="0" t="s">
        <v>107</v>
      </c>
      <c r="J381" s="0" t="s">
        <v>2322</v>
      </c>
      <c r="K381" s="3" t="str">
        <f aca="false" t="array" ref="K381:K381">IFERROR(IF(J381&lt;&gt;"",J381,INDEX(J381:J1380,MATCH(1,(F381:F1380=F381)*(I381:I1380=I381)*(L381:L1380=L381)*(J381:J1380&lt;&gt;""),0))),"Not Found")</f>
        <v>Brake Failure</v>
      </c>
      <c r="L381" s="3" t="s">
        <v>47</v>
      </c>
      <c r="M381" s="0" t="str">
        <f aca="false">PROPER(L381)</f>
        <v>None</v>
      </c>
      <c r="N381" s="3" t="s">
        <v>71</v>
      </c>
      <c r="O381" s="0" t="str">
        <f aca="false" t="array" ref="O381:O381">IF(N381&lt;&gt;"",N381,_xlfn.xlookup(1,(L381:L1380=L381)*(N381:N1380&lt;&gt;""),N381:N1380,"Not Found"))</f>
        <v>Isaac Bobo</v>
      </c>
      <c r="P381" s="4" t="n">
        <v>54191</v>
      </c>
      <c r="Q381" s="0" t="s">
        <v>124</v>
      </c>
      <c r="R381" s="0" t="str">
        <f aca="false">PROPER(Q381)</f>
        <v>Cash</v>
      </c>
      <c r="S381" s="0" t="s">
        <v>50</v>
      </c>
      <c r="T381" s="0" t="n">
        <v>5</v>
      </c>
      <c r="U381" s="5" t="n">
        <f aca="false">IF(ISBLANK(T381),AVERAGE(T381:T1380),T381)</f>
        <v>5</v>
      </c>
      <c r="V381" s="0" t="n">
        <v>3.9</v>
      </c>
      <c r="W381" s="0" t="s">
        <v>111</v>
      </c>
      <c r="X381" s="0" t="str">
        <f aca="false">IF(ISBLANK(W381),"No remarks",W381)</f>
        <v>Changed all filters</v>
      </c>
      <c r="Y381" s="0" t="s">
        <v>73</v>
      </c>
      <c r="Z381" s="0" t="s">
        <v>159</v>
      </c>
      <c r="AA381" s="0" t="str">
        <f aca="false">PROPER(IF(ISBLANK(Z381),"Location Unavailable",Z381))</f>
        <v>Main Bay</v>
      </c>
      <c r="AB381" s="0" t="s">
        <v>126</v>
      </c>
      <c r="AC381" s="6" t="str">
        <f aca="false">PROPER(AB381)</f>
        <v>Whatsapp</v>
      </c>
      <c r="AD381" s="6" t="n">
        <v>30</v>
      </c>
      <c r="AE381" s="5" t="n">
        <f aca="false">IF(ISBLANK(AD381),AVERAGEIF(L381:L1380,L381,AD381:AD1380),AD381)</f>
        <v>30</v>
      </c>
      <c r="AF381" s="0" t="s">
        <v>55</v>
      </c>
      <c r="AG381" s="0" t="str">
        <f aca="false">PROPER(AF381)</f>
        <v>Available</v>
      </c>
      <c r="AH381" s="0" t="s">
        <v>77</v>
      </c>
      <c r="AI381" s="0" t="s">
        <v>98</v>
      </c>
      <c r="AJ381" s="0" t="str">
        <f aca="false">PROPER(AI381)</f>
        <v>Emergency</v>
      </c>
      <c r="AK381" s="0" t="s">
        <v>58</v>
      </c>
      <c r="AL381" s="0" t="str">
        <f aca="false">PROPER(AK381)</f>
        <v>Fleet Owner</v>
      </c>
      <c r="AM381" s="0" t="s">
        <v>2324</v>
      </c>
      <c r="AN381" s="0" t="str">
        <f aca="false">IF(ISBLANK(AM381),"Unknown",AM381)</f>
        <v>Logistics Convoy</v>
      </c>
      <c r="AO381" s="0" t="s">
        <v>143</v>
      </c>
      <c r="AP381" s="0" t="str">
        <f aca="false">IF(ISBLANK(AO381),"Unknown",AO381)</f>
        <v>Senior</v>
      </c>
      <c r="AQ381" s="0" t="n">
        <v>40000</v>
      </c>
      <c r="AR381" s="5" t="n">
        <f aca="false">IF(ISBLANK(AQ381),AVERAGEIF(M381:M1380,M381,AQ381:AQ1380),AQ381)</f>
        <v>40000</v>
      </c>
      <c r="AT381" s="5" t="n">
        <f aca="false">IF(ISBLANK(AS381),AVERAGE(AS381:AS1380),AS381)</f>
        <v>31480.7692307692</v>
      </c>
      <c r="AV381" s="0" t="str">
        <f aca="false">PROPER(IF(ISBLANK(AU381),"No",AU381))</f>
        <v>No</v>
      </c>
      <c r="AW381" s="0" t="n">
        <v>5000</v>
      </c>
      <c r="AX381" s="5" t="n">
        <f aca="false">IF(ISBLANK(AW381),0,AW381)</f>
        <v>5000</v>
      </c>
      <c r="AY381" s="0" t="s">
        <v>130</v>
      </c>
      <c r="AZ381" s="0" t="str">
        <f aca="false">UPPER(IF(ISBLANK(AY381),"NONE",AY381))</f>
        <v>LOYALTY10</v>
      </c>
      <c r="BB381" s="7" t="str">
        <f aca="false">IF(ISBLANK(BA381),"No Follow Up Needed",BA381)</f>
        <v>No Follow Up Needed</v>
      </c>
      <c r="BC381" s="0" t="s">
        <v>61</v>
      </c>
      <c r="BD381" s="0" t="str">
        <f aca="false">PROPER(IF(ISBLANK(BC381),"Unknown",BC381))</f>
        <v>No</v>
      </c>
      <c r="BF381" s="0" t="str">
        <f aca="false">IF(ISBLANK(BE381),"No comments",BE381)</f>
        <v>No comments</v>
      </c>
      <c r="BG381" s="0" t="s">
        <v>172</v>
      </c>
      <c r="BH381" s="0" t="str">
        <f aca="false">IF(ISBLANK(BG381),"No comments",BG381)</f>
        <v>Always late</v>
      </c>
      <c r="BI381" s="0" t="s">
        <v>63</v>
      </c>
      <c r="BJ381" s="0" t="str">
        <f aca="false">IF(ISBLANK(BI381),"Not Mentioned",BI381)</f>
        <v>Yes</v>
      </c>
      <c r="BL381" s="0" t="str">
        <f aca="false">PROPER(IF(ISBLANK(BK381),"Not Mentioned",BK381))</f>
        <v>Not Mentioned</v>
      </c>
      <c r="BN381" s="0" t="str">
        <f aca="false">PROPER(IF(ISBLANK(BM381),"Not Mentioned",BM381))</f>
        <v>Not Mentioned</v>
      </c>
      <c r="BP381" s="0" t="str">
        <f aca="false">IF(ISBLANK(BO381),"One-Time Plan",BO381)</f>
        <v>One-Time Plan</v>
      </c>
      <c r="BQ381" s="0" t="s">
        <v>50</v>
      </c>
      <c r="BR381" s="0" t="str">
        <f aca="false">PROPER(IF(ISBLANK(BQ381),"No",BQ381))</f>
        <v>No</v>
      </c>
    </row>
    <row r="382" customFormat="false" ht="15" hidden="false" customHeight="false" outlineLevel="0" collapsed="false">
      <c r="A382" s="0" t="s">
        <v>1026</v>
      </c>
      <c r="B382" s="2" t="n">
        <v>45872</v>
      </c>
      <c r="C382" s="2" t="str">
        <f aca="false">TEXT(B382,"dd/mm/yyyy")</f>
        <v>03/08/2025</v>
      </c>
      <c r="D382" s="0" t="s">
        <v>163</v>
      </c>
      <c r="E382" s="0" t="n">
        <v>8037713235</v>
      </c>
      <c r="F382" s="0" t="s">
        <v>85</v>
      </c>
      <c r="G382" s="0" t="s">
        <v>2319</v>
      </c>
      <c r="H382" s="0" t="s">
        <v>1027</v>
      </c>
      <c r="I382" s="0" t="s">
        <v>69</v>
      </c>
      <c r="J382" s="0" t="s">
        <v>2322</v>
      </c>
      <c r="K382" s="3" t="str">
        <f aca="false" t="array" ref="K382:K382">IFERROR(IF(J382&lt;&gt;"",J382,INDEX(J382:J1381,MATCH(1,(F382:F1381=F382)*(I382:I1381=I382)*(L382:L1381=L382)*(J382:J1381&lt;&gt;""),0))),"Not Found")</f>
        <v>Brake Failure</v>
      </c>
      <c r="L382" s="3" t="s">
        <v>189</v>
      </c>
      <c r="M382" s="0" t="str">
        <f aca="false">PROPER(L382)</f>
        <v>Battery</v>
      </c>
      <c r="O382" s="0" t="e">
        <f aca="false" t="array" ref="O382:O382">IF(N382&lt;&gt;"",N382,_xlfn.xlookup(1,(L382:L1381=L382)*(N382:N1381&lt;&gt;""),N382:N1381,"Not Found"))</f>
        <v>#NAME?</v>
      </c>
      <c r="P382" s="4" t="n">
        <v>11145</v>
      </c>
      <c r="Q382" s="0" t="s">
        <v>91</v>
      </c>
      <c r="R382" s="0" t="str">
        <f aca="false">PROPER(Q382)</f>
        <v>Pos</v>
      </c>
      <c r="S382" s="0" t="s">
        <v>63</v>
      </c>
      <c r="T382" s="0" t="n">
        <v>4</v>
      </c>
      <c r="U382" s="5" t="n">
        <f aca="false">IF(ISBLANK(T382),AVERAGE(T382:T1381),T382)</f>
        <v>4</v>
      </c>
      <c r="V382" s="0" t="n">
        <v>5.4</v>
      </c>
      <c r="W382" s="0" t="s">
        <v>92</v>
      </c>
      <c r="X382" s="0" t="str">
        <f aca="false">IF(ISBLANK(W382),"No remarks",W382)</f>
        <v>Urgent service</v>
      </c>
      <c r="Y382" s="0" t="s">
        <v>93</v>
      </c>
      <c r="Z382" s="0" t="s">
        <v>53</v>
      </c>
      <c r="AA382" s="0" t="str">
        <f aca="false">PROPER(IF(ISBLANK(Z382),"Location Unavailable",Z382))</f>
        <v>Main Bay</v>
      </c>
      <c r="AB382" s="0" t="s">
        <v>126</v>
      </c>
      <c r="AC382" s="6" t="str">
        <f aca="false">PROPER(AB382)</f>
        <v>Whatsapp</v>
      </c>
      <c r="AD382" s="6" t="n">
        <v>60</v>
      </c>
      <c r="AE382" s="5" t="n">
        <f aca="false">IF(ISBLANK(AD382),AVERAGEIF(L382:L1381,L382,AD382:AD1381),AD382)</f>
        <v>60</v>
      </c>
      <c r="AF382" s="0" t="s">
        <v>96</v>
      </c>
      <c r="AG382" s="0" t="str">
        <f aca="false">PROPER(AF382)</f>
        <v>Ordered</v>
      </c>
      <c r="AH382" s="0" t="s">
        <v>77</v>
      </c>
      <c r="AI382" s="0" t="s">
        <v>128</v>
      </c>
      <c r="AJ382" s="0" t="str">
        <f aca="false">PROPER(AI382)</f>
        <v>Normal</v>
      </c>
      <c r="AK382" s="0" t="s">
        <v>114</v>
      </c>
      <c r="AL382" s="0" t="str">
        <f aca="false">PROPER(AK382)</f>
        <v>Returning</v>
      </c>
      <c r="AM382" s="0" t="s">
        <v>59</v>
      </c>
      <c r="AN382" s="0" t="str">
        <f aca="false">IF(ISBLANK(AM382),"Unknown",AM382)</f>
        <v>Bolt Driver</v>
      </c>
      <c r="AO382" s="0" t="s">
        <v>161</v>
      </c>
      <c r="AP382" s="0" t="str">
        <f aca="false">IF(ISBLANK(AO382),"Unknown",AO382)</f>
        <v>Apprentice</v>
      </c>
      <c r="AQ382" s="0" t="n">
        <v>20000</v>
      </c>
      <c r="AR382" s="5" t="n">
        <f aca="false">IF(ISBLANK(AQ382),AVERAGEIF(M382:M1381,M382,AQ382:AQ1381),AQ382)</f>
        <v>20000</v>
      </c>
      <c r="AS382" s="0" t="n">
        <v>30000</v>
      </c>
      <c r="AT382" s="5" t="n">
        <f aca="false">IF(ISBLANK(AS382),AVERAGE(AS382:AS1381),AS382)</f>
        <v>30000</v>
      </c>
      <c r="AU382" s="0" t="s">
        <v>61</v>
      </c>
      <c r="AV382" s="0" t="str">
        <f aca="false">PROPER(IF(ISBLANK(AU382),"No",AU382))</f>
        <v>No</v>
      </c>
      <c r="AW382" s="0" t="n">
        <v>5000</v>
      </c>
      <c r="AX382" s="5" t="n">
        <f aca="false">IF(ISBLANK(AW382),0,AW382)</f>
        <v>5000</v>
      </c>
      <c r="AY382" s="0" t="s">
        <v>60</v>
      </c>
      <c r="AZ382" s="0" t="str">
        <f aca="false">UPPER(IF(ISBLANK(AY382),"NONE",AY382))</f>
        <v>NONE</v>
      </c>
      <c r="BA382" s="7" t="n">
        <v>45876</v>
      </c>
      <c r="BB382" s="7" t="n">
        <f aca="false">IF(ISBLANK(BA382),"No Follow Up Needed",BA382)</f>
        <v>45876</v>
      </c>
      <c r="BC382" s="0" t="s">
        <v>61</v>
      </c>
      <c r="BD382" s="0" t="str">
        <f aca="false">PROPER(IF(ISBLANK(BC382),"Unknown",BC382))</f>
        <v>No</v>
      </c>
      <c r="BE382" s="0" t="s">
        <v>116</v>
      </c>
      <c r="BF382" s="0" t="str">
        <f aca="false">IF(ISBLANK(BE382),"No comments",BE382)</f>
        <v>Needs tire alignment</v>
      </c>
      <c r="BG382" s="0" t="s">
        <v>2320</v>
      </c>
      <c r="BH382" s="0" t="str">
        <f aca="false">IF(ISBLANK(BG382),"No comments",BG382)</f>
        <v>No complaints</v>
      </c>
      <c r="BJ382" s="0" t="str">
        <f aca="false">IF(ISBLANK(BI382),"Not Mentioned",BI382)</f>
        <v>Not Mentioned</v>
      </c>
      <c r="BK382" s="0" t="s">
        <v>50</v>
      </c>
      <c r="BL382" s="0" t="str">
        <f aca="false">PROPER(IF(ISBLANK(BK382),"Not Mentioned",BK382))</f>
        <v>No</v>
      </c>
      <c r="BN382" s="0" t="str">
        <f aca="false">PROPER(IF(ISBLANK(BM382),"Not Mentioned",BM382))</f>
        <v>Not Mentioned</v>
      </c>
      <c r="BO382" s="0" t="s">
        <v>2321</v>
      </c>
      <c r="BP382" s="0" t="str">
        <f aca="false">IF(ISBLANK(BO382),"One-Time Plan",BO382)</f>
        <v>One-Time Plan</v>
      </c>
      <c r="BQ382" s="0" t="s">
        <v>198</v>
      </c>
      <c r="BR382" s="0" t="str">
        <f aca="false">PROPER(IF(ISBLANK(BQ382),"No",BQ382))</f>
        <v>Followed Up</v>
      </c>
    </row>
    <row r="383" customFormat="false" ht="15" hidden="false" customHeight="false" outlineLevel="0" collapsed="false">
      <c r="A383" s="0" t="s">
        <v>1028</v>
      </c>
      <c r="B383" s="2" t="n">
        <v>45810</v>
      </c>
      <c r="C383" s="2" t="str">
        <f aca="false">TEXT(B383,"dd/mm/yyyy")</f>
        <v>02/06/2025</v>
      </c>
      <c r="D383" s="0" t="s">
        <v>42</v>
      </c>
      <c r="E383" s="0" t="n">
        <v>8027439215</v>
      </c>
      <c r="F383" s="0" t="s">
        <v>67</v>
      </c>
      <c r="G383" s="0" t="s">
        <v>2316</v>
      </c>
      <c r="H383" s="0" t="s">
        <v>1029</v>
      </c>
      <c r="I383" s="0" t="s">
        <v>107</v>
      </c>
      <c r="J383" s="0" t="s">
        <v>2325</v>
      </c>
      <c r="K383" s="3" t="str">
        <f aca="false" t="array" ref="K383:K383">IFERROR(IF(J383&lt;&gt;"",J383,INDEX(J383:J1382,MATCH(1,(F383:F1382=F383)*(I383:I1382=I383)*(L383:L1382=L383)*(J383:J1382&lt;&gt;""),0))),"Not Found")</f>
        <v>Engine Knocking</v>
      </c>
      <c r="L383" s="3" t="s">
        <v>189</v>
      </c>
      <c r="M383" s="0" t="str">
        <f aca="false">PROPER(L383)</f>
        <v>Battery</v>
      </c>
      <c r="N383" s="3" t="s">
        <v>48</v>
      </c>
      <c r="O383" s="0" t="str">
        <f aca="false" t="array" ref="O383:O383">IF(N383&lt;&gt;"",N383,_xlfn.xlookup(1,(L383:L1382=L383)*(N383:N1382&lt;&gt;""),N383:N1382,"Not Found"))</f>
        <v>Uche</v>
      </c>
      <c r="P383" s="4" t="n">
        <v>85553</v>
      </c>
      <c r="Q383" s="0" t="s">
        <v>166</v>
      </c>
      <c r="R383" s="0" t="str">
        <f aca="false">PROPER(Q383)</f>
        <v>Transfer</v>
      </c>
      <c r="S383" s="0" t="s">
        <v>63</v>
      </c>
      <c r="T383" s="0" t="n">
        <v>2</v>
      </c>
      <c r="U383" s="5" t="n">
        <f aca="false">IF(ISBLANK(T383),AVERAGE(T383:T1382),T383)</f>
        <v>2</v>
      </c>
      <c r="V383" s="0" t="n">
        <v>1.1</v>
      </c>
      <c r="X383" s="0" t="str">
        <f aca="false">IF(ISBLANK(W383),"No remarks",W383)</f>
        <v>No remarks</v>
      </c>
      <c r="Y383" s="0" t="s">
        <v>52</v>
      </c>
      <c r="Z383" s="0" t="s">
        <v>53</v>
      </c>
      <c r="AA383" s="0" t="str">
        <f aca="false">PROPER(IF(ISBLANK(Z383),"Location Unavailable",Z383))</f>
        <v>Main Bay</v>
      </c>
      <c r="AB383" s="0" t="s">
        <v>54</v>
      </c>
      <c r="AC383" s="6" t="str">
        <f aca="false">PROPER(AB383)</f>
        <v>Mechanic Referral</v>
      </c>
      <c r="AD383" s="6" t="n">
        <v>15</v>
      </c>
      <c r="AE383" s="5" t="n">
        <f aca="false">IF(ISBLANK(AD383),AVERAGEIF(L383:L1382,L383,AD383:AD1382),AD383)</f>
        <v>15</v>
      </c>
      <c r="AF383" s="0" t="s">
        <v>96</v>
      </c>
      <c r="AG383" s="0" t="str">
        <f aca="false">PROPER(AF383)</f>
        <v>Ordered</v>
      </c>
      <c r="AH383" s="0" t="s">
        <v>155</v>
      </c>
      <c r="AI383" s="0" t="s">
        <v>78</v>
      </c>
      <c r="AJ383" s="0" t="str">
        <f aca="false">PROPER(AI383)</f>
        <v>Booking</v>
      </c>
      <c r="AK383" s="0" t="s">
        <v>58</v>
      </c>
      <c r="AL383" s="0" t="str">
        <f aca="false">PROPER(AK383)</f>
        <v>Fleet Owner</v>
      </c>
      <c r="AM383" s="0" t="s">
        <v>177</v>
      </c>
      <c r="AN383" s="0" t="str">
        <f aca="false">IF(ISBLANK(AM383),"Unknown",AM383)</f>
        <v>Private</v>
      </c>
      <c r="AO383" s="0" t="s">
        <v>161</v>
      </c>
      <c r="AP383" s="0" t="str">
        <f aca="false">IF(ISBLANK(AO383),"Unknown",AO383)</f>
        <v>Apprentice</v>
      </c>
      <c r="AQ383" s="0" t="n">
        <v>20000</v>
      </c>
      <c r="AR383" s="5" t="n">
        <f aca="false">IF(ISBLANK(AQ383),AVERAGEIF(M383:M1382,M383,AQ383:AQ1382),AQ383)</f>
        <v>20000</v>
      </c>
      <c r="AS383" s="0" t="n">
        <v>40000</v>
      </c>
      <c r="AT383" s="5" t="n">
        <f aca="false">IF(ISBLANK(AS383),AVERAGE(AS383:AS1382),AS383)</f>
        <v>40000</v>
      </c>
      <c r="AV383" s="0" t="str">
        <f aca="false">PROPER(IF(ISBLANK(AU383),"No",AU383))</f>
        <v>No</v>
      </c>
      <c r="AW383" s="0" t="n">
        <v>10000</v>
      </c>
      <c r="AX383" s="5" t="n">
        <f aca="false">IF(ISBLANK(AW383),0,AW383)</f>
        <v>10000</v>
      </c>
      <c r="AY383" s="0" t="s">
        <v>60</v>
      </c>
      <c r="AZ383" s="0" t="str">
        <f aca="false">UPPER(IF(ISBLANK(AY383),"NONE",AY383))</f>
        <v>NONE</v>
      </c>
      <c r="BB383" s="7" t="str">
        <f aca="false">IF(ISBLANK(BA383),"No Follow Up Needed",BA383)</f>
        <v>No Follow Up Needed</v>
      </c>
      <c r="BC383" s="0" t="s">
        <v>63</v>
      </c>
      <c r="BD383" s="0" t="str">
        <f aca="false">PROPER(IF(ISBLANK(BC383),"Unknown",BC383))</f>
        <v>Yes</v>
      </c>
      <c r="BE383" s="0" t="s">
        <v>171</v>
      </c>
      <c r="BF383" s="0" t="str">
        <f aca="false">IF(ISBLANK(BE383),"No comments",BE383)</f>
        <v>Shock absorber weakening</v>
      </c>
      <c r="BG383" s="0" t="s">
        <v>2320</v>
      </c>
      <c r="BH383" s="0" t="str">
        <f aca="false">IF(ISBLANK(BG383),"No comments",BG383)</f>
        <v>No complaints</v>
      </c>
      <c r="BI383" s="0" t="s">
        <v>50</v>
      </c>
      <c r="BJ383" s="0" t="str">
        <f aca="false">IF(ISBLANK(BI383),"Not Mentioned",BI383)</f>
        <v>No</v>
      </c>
      <c r="BK383" s="0" t="s">
        <v>61</v>
      </c>
      <c r="BL383" s="0" t="str">
        <f aca="false">PROPER(IF(ISBLANK(BK383),"Not Mentioned",BK383))</f>
        <v>No</v>
      </c>
      <c r="BN383" s="0" t="str">
        <f aca="false">PROPER(IF(ISBLANK(BM383),"Not Mentioned",BM383))</f>
        <v>Not Mentioned</v>
      </c>
      <c r="BO383" s="0" t="s">
        <v>2318</v>
      </c>
      <c r="BP383" s="0" t="str">
        <f aca="false">IF(ISBLANK(BO383),"One-Time Plan",BO383)</f>
        <v>Gold</v>
      </c>
      <c r="BQ383" s="0" t="s">
        <v>50</v>
      </c>
      <c r="BR383" s="0" t="str">
        <f aca="false">PROPER(IF(ISBLANK(BQ383),"No",BQ383))</f>
        <v>No</v>
      </c>
    </row>
    <row r="384" customFormat="false" ht="15" hidden="false" customHeight="false" outlineLevel="0" collapsed="false">
      <c r="A384" s="0" t="s">
        <v>1030</v>
      </c>
      <c r="B384" s="2" t="s">
        <v>971</v>
      </c>
      <c r="C384" s="2" t="str">
        <f aca="false">TEXT(B384,"dd/mm/yyyy")</f>
        <v>15/05/2025</v>
      </c>
      <c r="D384" s="0" t="s">
        <v>105</v>
      </c>
      <c r="E384" s="0" t="n">
        <v>8037605500</v>
      </c>
      <c r="F384" s="0" t="s">
        <v>139</v>
      </c>
      <c r="G384" s="0" t="s">
        <v>2323</v>
      </c>
      <c r="H384" s="0" t="s">
        <v>1031</v>
      </c>
      <c r="I384" s="0" t="s">
        <v>134</v>
      </c>
      <c r="J384" s="0" t="s">
        <v>2317</v>
      </c>
      <c r="K384" s="3" t="str">
        <f aca="false" t="array" ref="K384:K384">IFERROR(IF(J384&lt;&gt;"",J384,INDEX(J384:J1383,MATCH(1,(F384:F1383=F384)*(I384:I1383=I384)*(L384:L1383=L384)*(J384:J1383&lt;&gt;""),0))),"Not Found")</f>
        <v>Suspension Noise</v>
      </c>
      <c r="L384" s="3" t="s">
        <v>47</v>
      </c>
      <c r="M384" s="0" t="str">
        <f aca="false">PROPER(L384)</f>
        <v>None</v>
      </c>
      <c r="N384" s="3" t="s">
        <v>71</v>
      </c>
      <c r="O384" s="0" t="str">
        <f aca="false" t="array" ref="O384:O384">IF(N384&lt;&gt;"",N384,_xlfn.xlookup(1,(L384:L1383=L384)*(N384:N1383&lt;&gt;""),N384:N1383,"Not Found"))</f>
        <v>Isaac Bobo</v>
      </c>
      <c r="P384" s="4" t="n">
        <v>97152</v>
      </c>
      <c r="Q384" s="0" t="s">
        <v>72</v>
      </c>
      <c r="R384" s="0" t="str">
        <f aca="false">PROPER(Q384)</f>
        <v>Pos</v>
      </c>
      <c r="S384" s="0" t="s">
        <v>63</v>
      </c>
      <c r="U384" s="5" t="n">
        <f aca="false">IF(ISBLANK(T384),AVERAGE(T384:T1383),T384)</f>
        <v>3.0587084148728</v>
      </c>
      <c r="V384" s="0" t="n">
        <v>5</v>
      </c>
      <c r="W384" s="0" t="s">
        <v>111</v>
      </c>
      <c r="X384" s="0" t="str">
        <f aca="false">IF(ISBLANK(W384),"No remarks",W384)</f>
        <v>Changed all filters</v>
      </c>
      <c r="Y384" s="0" t="s">
        <v>93</v>
      </c>
      <c r="Z384" s="0" t="s">
        <v>136</v>
      </c>
      <c r="AA384" s="0" t="str">
        <f aca="false">PROPER(IF(ISBLANK(Z384),"Location Unavailable",Z384))</f>
        <v>Vip Section</v>
      </c>
      <c r="AB384" s="0" t="s">
        <v>95</v>
      </c>
      <c r="AC384" s="6" t="str">
        <f aca="false">PROPER(AB384)</f>
        <v>Road Sign</v>
      </c>
      <c r="AE384" s="5" t="n">
        <f aca="false">IF(ISBLANK(AD384),AVERAGEIF(L384:L1383,L384,AD384:AD1383),AD384)</f>
        <v>36.1184210526316</v>
      </c>
      <c r="AF384" s="0" t="s">
        <v>96</v>
      </c>
      <c r="AG384" s="0" t="str">
        <f aca="false">PROPER(AF384)</f>
        <v>Ordered</v>
      </c>
      <c r="AH384" s="0" t="s">
        <v>148</v>
      </c>
      <c r="AI384" s="0" t="s">
        <v>128</v>
      </c>
      <c r="AJ384" s="0" t="str">
        <f aca="false">PROPER(AI384)</f>
        <v>Normal</v>
      </c>
      <c r="AK384" s="0" t="s">
        <v>114</v>
      </c>
      <c r="AL384" s="0" t="str">
        <f aca="false">PROPER(AK384)</f>
        <v>Returning</v>
      </c>
      <c r="AM384" s="0" t="s">
        <v>59</v>
      </c>
      <c r="AN384" s="0" t="str">
        <f aca="false">IF(ISBLANK(AM384),"Unknown",AM384)</f>
        <v>Bolt Driver</v>
      </c>
      <c r="AO384" s="0" t="s">
        <v>143</v>
      </c>
      <c r="AP384" s="0" t="str">
        <f aca="false">IF(ISBLANK(AO384),"Unknown",AO384)</f>
        <v>Senior</v>
      </c>
      <c r="AR384" s="5" t="n">
        <f aca="false">IF(ISBLANK(AQ384),AVERAGEIF(M384:M1383,M384,AQ384:AQ1383),AQ384)</f>
        <v>25921.0526315789</v>
      </c>
      <c r="AT384" s="5" t="n">
        <f aca="false">IF(ISBLANK(AS384),AVERAGE(AS384:AS1383),AS384)</f>
        <v>31467.1814671815</v>
      </c>
      <c r="AU384" s="0" t="s">
        <v>61</v>
      </c>
      <c r="AV384" s="0" t="str">
        <f aca="false">PROPER(IF(ISBLANK(AU384),"No",AU384))</f>
        <v>No</v>
      </c>
      <c r="AW384" s="0" t="n">
        <v>10000</v>
      </c>
      <c r="AX384" s="5" t="n">
        <f aca="false">IF(ISBLANK(AW384),0,AW384)</f>
        <v>10000</v>
      </c>
      <c r="AY384" s="0" t="s">
        <v>130</v>
      </c>
      <c r="AZ384" s="0" t="str">
        <f aca="false">UPPER(IF(ISBLANK(AY384),"NONE",AY384))</f>
        <v>LOYALTY10</v>
      </c>
      <c r="BB384" s="7" t="str">
        <f aca="false">IF(ISBLANK(BA384),"No Follow Up Needed",BA384)</f>
        <v>No Follow Up Needed</v>
      </c>
      <c r="BC384" s="0" t="s">
        <v>82</v>
      </c>
      <c r="BD384" s="0" t="str">
        <f aca="false">PROPER(IF(ISBLANK(BC384),"Unknown",BC384))</f>
        <v>Yes</v>
      </c>
      <c r="BF384" s="0" t="str">
        <f aca="false">IF(ISBLANK(BE384),"No comments",BE384)</f>
        <v>No comments</v>
      </c>
      <c r="BG384" s="0" t="s">
        <v>172</v>
      </c>
      <c r="BH384" s="0" t="str">
        <f aca="false">IF(ISBLANK(BG384),"No comments",BG384)</f>
        <v>Always late</v>
      </c>
      <c r="BJ384" s="0" t="str">
        <f aca="false">IF(ISBLANK(BI384),"Not Mentioned",BI384)</f>
        <v>Not Mentioned</v>
      </c>
      <c r="BK384" s="0" t="s">
        <v>50</v>
      </c>
      <c r="BL384" s="0" t="str">
        <f aca="false">PROPER(IF(ISBLANK(BK384),"Not Mentioned",BK384))</f>
        <v>No</v>
      </c>
      <c r="BN384" s="0" t="str">
        <f aca="false">PROPER(IF(ISBLANK(BM384),"Not Mentioned",BM384))</f>
        <v>Not Mentioned</v>
      </c>
      <c r="BO384" s="0" t="s">
        <v>2318</v>
      </c>
      <c r="BP384" s="0" t="str">
        <f aca="false">IF(ISBLANK(BO384),"One-Time Plan",BO384)</f>
        <v>Gold</v>
      </c>
      <c r="BQ384" s="0" t="s">
        <v>50</v>
      </c>
      <c r="BR384" s="0" t="str">
        <f aca="false">PROPER(IF(ISBLANK(BQ384),"No",BQ384))</f>
        <v>No</v>
      </c>
    </row>
    <row r="385" customFormat="false" ht="15" hidden="false" customHeight="false" outlineLevel="0" collapsed="false">
      <c r="A385" s="0" t="s">
        <v>1032</v>
      </c>
      <c r="B385" s="2" t="n">
        <v>45701</v>
      </c>
      <c r="C385" s="2" t="str">
        <f aca="false">TEXT(B385,"dd/mm/yyyy")</f>
        <v>13/02/2025</v>
      </c>
      <c r="D385" s="0" t="s">
        <v>42</v>
      </c>
      <c r="E385" s="0" t="n">
        <v>8051574904</v>
      </c>
      <c r="F385" s="0" t="s">
        <v>139</v>
      </c>
      <c r="G385" s="0" t="s">
        <v>2323</v>
      </c>
      <c r="H385" s="0" t="s">
        <v>1033</v>
      </c>
      <c r="I385" s="0" t="s">
        <v>87</v>
      </c>
      <c r="J385" s="0" t="s">
        <v>2317</v>
      </c>
      <c r="K385" s="3" t="str">
        <f aca="false" t="array" ref="K385:K385">IFERROR(IF(J385&lt;&gt;"",J385,INDEX(J385:J1384,MATCH(1,(F385:F1384=F385)*(I385:I1384=I385)*(L385:L1384=L385)*(J385:J1384&lt;&gt;""),0))),"Not Found")</f>
        <v>Suspension Noise</v>
      </c>
      <c r="L385" s="3" t="s">
        <v>154</v>
      </c>
      <c r="M385" s="0" t="str">
        <f aca="false">PROPER(L385)</f>
        <v>Air Filter</v>
      </c>
      <c r="N385" s="3" t="s">
        <v>48</v>
      </c>
      <c r="O385" s="0" t="str">
        <f aca="false" t="array" ref="O385:O385">IF(N385&lt;&gt;"",N385,_xlfn.xlookup(1,(L385:L1384=L385)*(N385:N1384&lt;&gt;""),N385:N1384,"Not Found"))</f>
        <v>Uche</v>
      </c>
      <c r="P385" s="4" t="n">
        <v>52813</v>
      </c>
      <c r="Q385" s="0" t="s">
        <v>166</v>
      </c>
      <c r="R385" s="0" t="str">
        <f aca="false">PROPER(Q385)</f>
        <v>Transfer</v>
      </c>
      <c r="S385" s="0" t="s">
        <v>63</v>
      </c>
      <c r="T385" s="0" t="n">
        <v>4</v>
      </c>
      <c r="U385" s="5" t="n">
        <f aca="false">IF(ISBLANK(T385),AVERAGE(T385:T1384),T385)</f>
        <v>4</v>
      </c>
      <c r="V385" s="0" t="n">
        <v>4.3</v>
      </c>
      <c r="W385" s="0" t="s">
        <v>111</v>
      </c>
      <c r="X385" s="0" t="str">
        <f aca="false">IF(ISBLANK(W385),"No remarks",W385)</f>
        <v>Changed all filters</v>
      </c>
      <c r="Y385" s="0" t="s">
        <v>73</v>
      </c>
      <c r="AA385" s="0" t="str">
        <f aca="false">PROPER(IF(ISBLANK(Z385),"Location Unavailable",Z385))</f>
        <v>Location Unavailable</v>
      </c>
      <c r="AB385" s="0" t="s">
        <v>126</v>
      </c>
      <c r="AC385" s="6" t="str">
        <f aca="false">PROPER(AB385)</f>
        <v>Whatsapp</v>
      </c>
      <c r="AD385" s="6" t="n">
        <v>30</v>
      </c>
      <c r="AE385" s="5" t="n">
        <f aca="false">IF(ISBLANK(AD385),AVERAGEIF(L385:L1384,L385,AD385:AD1384),AD385)</f>
        <v>30</v>
      </c>
      <c r="AF385" s="0" t="s">
        <v>112</v>
      </c>
      <c r="AG385" s="0" t="str">
        <f aca="false">PROPER(AF385)</f>
        <v>Unavailable</v>
      </c>
      <c r="AH385" s="0" t="s">
        <v>155</v>
      </c>
      <c r="AI385" s="0" t="s">
        <v>113</v>
      </c>
      <c r="AJ385" s="0" t="str">
        <f aca="false">PROPER(AI385)</f>
        <v>Normal</v>
      </c>
      <c r="AK385" s="0" t="s">
        <v>99</v>
      </c>
      <c r="AL385" s="0" t="str">
        <f aca="false">PROPER(AK385)</f>
        <v>Uber Driver</v>
      </c>
      <c r="AN385" s="0" t="str">
        <f aca="false">IF(ISBLANK(AM385),"Unknown",AM385)</f>
        <v>Unknown</v>
      </c>
      <c r="AO385" s="0" t="s">
        <v>161</v>
      </c>
      <c r="AP385" s="0" t="str">
        <f aca="false">IF(ISBLANK(AO385),"Unknown",AO385)</f>
        <v>Apprentice</v>
      </c>
      <c r="AQ385" s="0" t="n">
        <v>15000</v>
      </c>
      <c r="AR385" s="5" t="n">
        <f aca="false">IF(ISBLANK(AQ385),AVERAGEIF(M385:M1384,M385,AQ385:AQ1384),AQ385)</f>
        <v>15000</v>
      </c>
      <c r="AS385" s="0" t="n">
        <v>40000</v>
      </c>
      <c r="AT385" s="5" t="n">
        <f aca="false">IF(ISBLANK(AS385),AVERAGE(AS385:AS1384),AS385)</f>
        <v>40000</v>
      </c>
      <c r="AU385" s="0" t="s">
        <v>50</v>
      </c>
      <c r="AV385" s="0" t="str">
        <f aca="false">PROPER(IF(ISBLANK(AU385),"No",AU385))</f>
        <v>No</v>
      </c>
      <c r="AW385" s="0" t="n">
        <v>5000</v>
      </c>
      <c r="AX385" s="5" t="n">
        <f aca="false">IF(ISBLANK(AW385),0,AW385)</f>
        <v>5000</v>
      </c>
      <c r="AY385" s="0" t="s">
        <v>80</v>
      </c>
      <c r="AZ385" s="0" t="str">
        <f aca="false">UPPER(IF(ISBLANK(AY385),"NONE",AY385))</f>
        <v>PROMO10</v>
      </c>
      <c r="BB385" s="7" t="str">
        <f aca="false">IF(ISBLANK(BA385),"No Follow Up Needed",BA385)</f>
        <v>No Follow Up Needed</v>
      </c>
      <c r="BC385" s="0" t="s">
        <v>63</v>
      </c>
      <c r="BD385" s="0" t="str">
        <f aca="false">PROPER(IF(ISBLANK(BC385),"Unknown",BC385))</f>
        <v>Yes</v>
      </c>
      <c r="BE385" s="0" t="s">
        <v>116</v>
      </c>
      <c r="BF385" s="0" t="str">
        <f aca="false">IF(ISBLANK(BE385),"No comments",BE385)</f>
        <v>Needs tire alignment</v>
      </c>
      <c r="BH385" s="0" t="str">
        <f aca="false">IF(ISBLANK(BG385),"No comments",BG385)</f>
        <v>No comments</v>
      </c>
      <c r="BJ385" s="0" t="str">
        <f aca="false">IF(ISBLANK(BI385),"Not Mentioned",BI385)</f>
        <v>Not Mentioned</v>
      </c>
      <c r="BK385" s="0" t="s">
        <v>61</v>
      </c>
      <c r="BL385" s="0" t="str">
        <f aca="false">PROPER(IF(ISBLANK(BK385),"Not Mentioned",BK385))</f>
        <v>No</v>
      </c>
      <c r="BN385" s="0" t="str">
        <f aca="false">PROPER(IF(ISBLANK(BM385),"Not Mentioned",BM385))</f>
        <v>Not Mentioned</v>
      </c>
      <c r="BP385" s="0" t="str">
        <f aca="false">IF(ISBLANK(BO385),"One-Time Plan",BO385)</f>
        <v>One-Time Plan</v>
      </c>
      <c r="BQ385" s="0" t="s">
        <v>50</v>
      </c>
      <c r="BR385" s="0" t="str">
        <f aca="false">PROPER(IF(ISBLANK(BQ385),"No",BQ385))</f>
        <v>No</v>
      </c>
    </row>
    <row r="386" customFormat="false" ht="15" hidden="false" customHeight="false" outlineLevel="0" collapsed="false">
      <c r="A386" s="0" t="s">
        <v>1034</v>
      </c>
      <c r="B386" s="2" t="n">
        <v>45964</v>
      </c>
      <c r="C386" s="2" t="str">
        <f aca="false">TEXT(B386,"dd/mm/yyyy")</f>
        <v>03/11/2025</v>
      </c>
      <c r="D386" s="0" t="s">
        <v>105</v>
      </c>
      <c r="E386" s="0" t="n">
        <v>8068008992</v>
      </c>
      <c r="F386" s="0" t="s">
        <v>85</v>
      </c>
      <c r="G386" s="0" t="s">
        <v>2319</v>
      </c>
      <c r="H386" s="0" t="s">
        <v>1035</v>
      </c>
      <c r="I386" s="0" t="s">
        <v>134</v>
      </c>
      <c r="J386" s="0" t="s">
        <v>2322</v>
      </c>
      <c r="K386" s="3" t="str">
        <f aca="false" t="array" ref="K386:K386">IFERROR(IF(J386&lt;&gt;"",J386,INDEX(J386:J1385,MATCH(1,(F386:F1385=F386)*(I386:I1385=I386)*(L386:L1385=L386)*(J386:J1385&lt;&gt;""),0))),"Not Found")</f>
        <v>Brake Failure</v>
      </c>
      <c r="L386" s="3" t="s">
        <v>189</v>
      </c>
      <c r="M386" s="0" t="str">
        <f aca="false">PROPER(L386)</f>
        <v>Battery</v>
      </c>
      <c r="O386" s="0" t="e">
        <f aca="false" t="array" ref="O386:O386">IF(N386&lt;&gt;"",N386,_xlfn.xlookup(1,(L386:L1385=L386)*(N386:N1385&lt;&gt;""),N386:N1385,"Not Found"))</f>
        <v>#NAME?</v>
      </c>
      <c r="P386" s="4" t="n">
        <v>27646</v>
      </c>
      <c r="Q386" s="0" t="s">
        <v>124</v>
      </c>
      <c r="R386" s="0" t="str">
        <f aca="false">PROPER(Q386)</f>
        <v>Cash</v>
      </c>
      <c r="S386" s="0" t="s">
        <v>63</v>
      </c>
      <c r="U386" s="5" t="n">
        <f aca="false">IF(ISBLANK(T386),AVERAGE(T386:T1385),T386)</f>
        <v>3.05686274509804</v>
      </c>
      <c r="V386" s="0" t="n">
        <v>5.3</v>
      </c>
      <c r="W386" s="0" t="s">
        <v>125</v>
      </c>
      <c r="X386" s="0" t="str">
        <f aca="false">IF(ISBLANK(W386),"No remarks",W386)</f>
        <v>Customer waited</v>
      </c>
      <c r="Y386" s="0" t="s">
        <v>93</v>
      </c>
      <c r="Z386" s="0" t="s">
        <v>94</v>
      </c>
      <c r="AA386" s="0" t="str">
        <f aca="false">PROPER(IF(ISBLANK(Z386),"Location Unavailable",Z386))</f>
        <v>Vip Section</v>
      </c>
      <c r="AB386" s="0" t="s">
        <v>75</v>
      </c>
      <c r="AC386" s="6" t="str">
        <f aca="false">PROPER(AB386)</f>
        <v>Mechanik Referal</v>
      </c>
      <c r="AD386" s="6" t="n">
        <v>45</v>
      </c>
      <c r="AE386" s="5" t="n">
        <f aca="false">IF(ISBLANK(AD386),AVERAGEIF(L386:L1385,L386,AD386:AD1385),AD386)</f>
        <v>45</v>
      </c>
      <c r="AF386" s="0" t="s">
        <v>76</v>
      </c>
      <c r="AG386" s="0" t="str">
        <f aca="false">PROPER(AF386)</f>
        <v>Orderd</v>
      </c>
      <c r="AH386" s="0" t="s">
        <v>155</v>
      </c>
      <c r="AI386" s="0" t="s">
        <v>98</v>
      </c>
      <c r="AJ386" s="0" t="str">
        <f aca="false">PROPER(AI386)</f>
        <v>Emergency</v>
      </c>
      <c r="AK386" s="0" t="s">
        <v>196</v>
      </c>
      <c r="AL386" s="0" t="str">
        <f aca="false">PROPER(AK386)</f>
        <v>First Time</v>
      </c>
      <c r="AN386" s="0" t="str">
        <f aca="false">IF(ISBLANK(AM386),"Unknown",AM386)</f>
        <v>Unknown</v>
      </c>
      <c r="AO386" s="0" t="s">
        <v>79</v>
      </c>
      <c r="AP386" s="0" t="str">
        <f aca="false">IF(ISBLANK(AO386),"Unknown",AO386)</f>
        <v>Specialist</v>
      </c>
      <c r="AQ386" s="0" t="n">
        <v>15000</v>
      </c>
      <c r="AR386" s="5" t="n">
        <f aca="false">IF(ISBLANK(AQ386),AVERAGEIF(M386:M1385,M386,AQ386:AQ1385),AQ386)</f>
        <v>15000</v>
      </c>
      <c r="AS386" s="0" t="n">
        <v>30000</v>
      </c>
      <c r="AT386" s="5" t="n">
        <f aca="false">IF(ISBLANK(AS386),AVERAGE(AS386:AS1385),AS386)</f>
        <v>30000</v>
      </c>
      <c r="AU386" s="0" t="s">
        <v>82</v>
      </c>
      <c r="AV386" s="0" t="str">
        <f aca="false">PROPER(IF(ISBLANK(AU386),"No",AU386))</f>
        <v>Yes</v>
      </c>
      <c r="AW386" s="0" t="n">
        <v>5000</v>
      </c>
      <c r="AX386" s="5" t="n">
        <f aca="false">IF(ISBLANK(AW386),0,AW386)</f>
        <v>5000</v>
      </c>
      <c r="AY386" s="0" t="s">
        <v>184</v>
      </c>
      <c r="AZ386" s="0" t="str">
        <f aca="false">UPPER(IF(ISBLANK(AY386),"NONE",AY386))</f>
        <v>N/A</v>
      </c>
      <c r="BA386" s="7" t="n">
        <v>45904</v>
      </c>
      <c r="BB386" s="7" t="n">
        <f aca="false">IF(ISBLANK(BA386),"No Follow Up Needed",BA386)</f>
        <v>45904</v>
      </c>
      <c r="BC386" s="0" t="s">
        <v>82</v>
      </c>
      <c r="BD386" s="0" t="str">
        <f aca="false">PROPER(IF(ISBLANK(BC386),"Unknown",BC386))</f>
        <v>Yes</v>
      </c>
      <c r="BE386" s="0" t="s">
        <v>116</v>
      </c>
      <c r="BF386" s="0" t="str">
        <f aca="false">IF(ISBLANK(BE386),"No comments",BE386)</f>
        <v>Needs tire alignment</v>
      </c>
      <c r="BH386" s="0" t="str">
        <f aca="false">IF(ISBLANK(BG386),"No comments",BG386)</f>
        <v>No comments</v>
      </c>
      <c r="BI386" s="0" t="s">
        <v>63</v>
      </c>
      <c r="BJ386" s="0" t="str">
        <f aca="false">IF(ISBLANK(BI386),"Not Mentioned",BI386)</f>
        <v>Yes</v>
      </c>
      <c r="BK386" s="0" t="s">
        <v>61</v>
      </c>
      <c r="BL386" s="0" t="str">
        <f aca="false">PROPER(IF(ISBLANK(BK386),"Not Mentioned",BK386))</f>
        <v>No</v>
      </c>
      <c r="BM386" s="0" t="s">
        <v>63</v>
      </c>
      <c r="BN386" s="0" t="str">
        <f aca="false">PROPER(IF(ISBLANK(BM386),"Not Mentioned",BM386))</f>
        <v>Yes</v>
      </c>
      <c r="BO386" s="0" t="s">
        <v>2321</v>
      </c>
      <c r="BP386" s="0" t="str">
        <f aca="false">IF(ISBLANK(BO386),"One-Time Plan",BO386)</f>
        <v>One-Time Plan</v>
      </c>
      <c r="BQ386" s="0" t="s">
        <v>198</v>
      </c>
      <c r="BR386" s="0" t="str">
        <f aca="false">PROPER(IF(ISBLANK(BQ386),"No",BQ386))</f>
        <v>Followed Up</v>
      </c>
    </row>
    <row r="387" customFormat="false" ht="15" hidden="false" customHeight="false" outlineLevel="0" collapsed="false">
      <c r="A387" s="0" t="s">
        <v>1036</v>
      </c>
      <c r="B387" s="2" t="n">
        <v>45757</v>
      </c>
      <c r="C387" s="2" t="str">
        <f aca="false">TEXT(B387,"dd/mm/yyyy")</f>
        <v>10/04/2025</v>
      </c>
      <c r="D387" s="0" t="s">
        <v>66</v>
      </c>
      <c r="E387" s="0" t="n">
        <v>8099226958</v>
      </c>
      <c r="F387" s="0" t="s">
        <v>85</v>
      </c>
      <c r="G387" s="0" t="s">
        <v>2319</v>
      </c>
      <c r="H387" s="0" t="s">
        <v>1037</v>
      </c>
      <c r="I387" s="0" t="s">
        <v>45</v>
      </c>
      <c r="J387" s="0" t="s">
        <v>2322</v>
      </c>
      <c r="K387" s="3" t="str">
        <f aca="false" t="array" ref="K387:K387">IFERROR(IF(J387&lt;&gt;"",J387,INDEX(J387:J1386,MATCH(1,(F387:F1386=F387)*(I387:I1386=I387)*(L387:L1386=L387)*(J387:J1386&lt;&gt;""),0))),"Not Found")</f>
        <v>Brake Failure</v>
      </c>
      <c r="L387" s="3" t="s">
        <v>154</v>
      </c>
      <c r="M387" s="0" t="str">
        <f aca="false">PROPER(L387)</f>
        <v>Air Filter</v>
      </c>
      <c r="N387" s="3" t="s">
        <v>71</v>
      </c>
      <c r="O387" s="0" t="str">
        <f aca="false" t="array" ref="O387:O387">IF(N387&lt;&gt;"",N387,_xlfn.xlookup(1,(L387:L1386=L387)*(N387:N1386&lt;&gt;""),N387:N1386,"Not Found"))</f>
        <v>Isaac Bobo</v>
      </c>
      <c r="P387" s="4" t="n">
        <v>29677</v>
      </c>
      <c r="Q387" s="0" t="s">
        <v>72</v>
      </c>
      <c r="R387" s="0" t="str">
        <f aca="false">PROPER(Q387)</f>
        <v>Pos</v>
      </c>
      <c r="S387" s="0" t="s">
        <v>63</v>
      </c>
      <c r="T387" s="0" t="n">
        <v>2</v>
      </c>
      <c r="U387" s="5" t="n">
        <f aca="false">IF(ISBLANK(T387),AVERAGE(T387:T1386),T387)</f>
        <v>2</v>
      </c>
      <c r="V387" s="0" t="n">
        <v>5.2</v>
      </c>
      <c r="W387" s="0" t="s">
        <v>51</v>
      </c>
      <c r="X387" s="0" t="str">
        <f aca="false">IF(ISBLANK(W387),"No remarks",W387)</f>
        <v>Recommended further checks</v>
      </c>
      <c r="Y387" s="0" t="s">
        <v>93</v>
      </c>
      <c r="Z387" s="0" t="s">
        <v>159</v>
      </c>
      <c r="AA387" s="0" t="str">
        <f aca="false">PROPER(IF(ISBLANK(Z387),"Location Unavailable",Z387))</f>
        <v>Main Bay</v>
      </c>
      <c r="AB387" s="0" t="s">
        <v>167</v>
      </c>
      <c r="AC387" s="6" t="str">
        <f aca="false">PROPER(AB387)</f>
        <v>Word Of Mouth</v>
      </c>
      <c r="AD387" s="6" t="n">
        <v>60</v>
      </c>
      <c r="AE387" s="5" t="n">
        <f aca="false">IF(ISBLANK(AD387),AVERAGEIF(L387:L1386,L387,AD387:AD1386),AD387)</f>
        <v>60</v>
      </c>
      <c r="AF387" s="0" t="s">
        <v>76</v>
      </c>
      <c r="AG387" s="0" t="str">
        <f aca="false">PROPER(AF387)</f>
        <v>Orderd</v>
      </c>
      <c r="AH387" s="0" t="s">
        <v>77</v>
      </c>
      <c r="AI387" s="0" t="s">
        <v>98</v>
      </c>
      <c r="AJ387" s="0" t="str">
        <f aca="false">PROPER(AI387)</f>
        <v>Emergency</v>
      </c>
      <c r="AK387" s="0" t="s">
        <v>99</v>
      </c>
      <c r="AL387" s="0" t="str">
        <f aca="false">PROPER(AK387)</f>
        <v>Uber Driver</v>
      </c>
      <c r="AN387" s="0" t="str">
        <f aca="false">IF(ISBLANK(AM387),"Unknown",AM387)</f>
        <v>Unknown</v>
      </c>
      <c r="AO387" s="0" t="s">
        <v>79</v>
      </c>
      <c r="AP387" s="0" t="str">
        <f aca="false">IF(ISBLANK(AO387),"Unknown",AO387)</f>
        <v>Specialist</v>
      </c>
      <c r="AQ387" s="0" t="n">
        <v>20000</v>
      </c>
      <c r="AR387" s="5" t="n">
        <f aca="false">IF(ISBLANK(AQ387),AVERAGEIF(M387:M1386,M387,AQ387:AQ1386),AQ387)</f>
        <v>20000</v>
      </c>
      <c r="AS387" s="0" t="n">
        <v>30000</v>
      </c>
      <c r="AT387" s="5" t="n">
        <f aca="false">IF(ISBLANK(AS387),AVERAGE(AS387:AS1386),AS387)</f>
        <v>30000</v>
      </c>
      <c r="AU387" s="0" t="s">
        <v>82</v>
      </c>
      <c r="AV387" s="0" t="str">
        <f aca="false">PROPER(IF(ISBLANK(AU387),"No",AU387))</f>
        <v>Yes</v>
      </c>
      <c r="AX387" s="5" t="n">
        <f aca="false">IF(ISBLANK(AW387),0,AW387)</f>
        <v>0</v>
      </c>
      <c r="AY387" s="0" t="s">
        <v>80</v>
      </c>
      <c r="AZ387" s="0" t="str">
        <f aca="false">UPPER(IF(ISBLANK(AY387),"NONE",AY387))</f>
        <v>PROMO10</v>
      </c>
      <c r="BB387" s="7" t="str">
        <f aca="false">IF(ISBLANK(BA387),"No Follow Up Needed",BA387)</f>
        <v>No Follow Up Needed</v>
      </c>
      <c r="BC387" s="0" t="s">
        <v>50</v>
      </c>
      <c r="BD387" s="0" t="str">
        <f aca="false">PROPER(IF(ISBLANK(BC387),"Unknown",BC387))</f>
        <v>No</v>
      </c>
      <c r="BF387" s="0" t="str">
        <f aca="false">IF(ISBLANK(BE387),"No comments",BE387)</f>
        <v>No comments</v>
      </c>
      <c r="BH387" s="0" t="str">
        <f aca="false">IF(ISBLANK(BG387),"No comments",BG387)</f>
        <v>No comments</v>
      </c>
      <c r="BI387" s="0" t="s">
        <v>50</v>
      </c>
      <c r="BJ387" s="0" t="str">
        <f aca="false">IF(ISBLANK(BI387),"Not Mentioned",BI387)</f>
        <v>No</v>
      </c>
      <c r="BK387" s="0" t="s">
        <v>50</v>
      </c>
      <c r="BL387" s="0" t="str">
        <f aca="false">PROPER(IF(ISBLANK(BK387),"Not Mentioned",BK387))</f>
        <v>No</v>
      </c>
      <c r="BN387" s="0" t="str">
        <f aca="false">PROPER(IF(ISBLANK(BM387),"Not Mentioned",BM387))</f>
        <v>Not Mentioned</v>
      </c>
      <c r="BP387" s="0" t="str">
        <f aca="false">IF(ISBLANK(BO387),"One-Time Plan",BO387)</f>
        <v>One-Time Plan</v>
      </c>
      <c r="BQ387" s="0" t="s">
        <v>190</v>
      </c>
      <c r="BR387" s="0" t="str">
        <f aca="false">PROPER(IF(ISBLANK(BQ387),"No",BQ387))</f>
        <v>Yes</v>
      </c>
    </row>
    <row r="388" customFormat="false" ht="15" hidden="false" customHeight="false" outlineLevel="0" collapsed="false">
      <c r="A388" s="0" t="s">
        <v>1038</v>
      </c>
      <c r="B388" s="2" t="n">
        <v>45727</v>
      </c>
      <c r="C388" s="2" t="str">
        <f aca="false">TEXT(B388,"dd/mm/yyyy")</f>
        <v>11/03/2025</v>
      </c>
      <c r="D388" s="0" t="s">
        <v>105</v>
      </c>
      <c r="E388" s="0" t="n">
        <v>8073723896</v>
      </c>
      <c r="F388" s="0" t="s">
        <v>122</v>
      </c>
      <c r="G388" s="0" t="s">
        <v>2316</v>
      </c>
      <c r="H388" s="0" t="s">
        <v>1039</v>
      </c>
      <c r="I388" s="0" t="s">
        <v>69</v>
      </c>
      <c r="K388" s="3" t="str">
        <f aca="false" t="array" ref="K388:K388">IFERROR(IF(J388&lt;&gt;"",J388,INDEX(J388:J1387,MATCH(1,(F388:F1387=F388)*(I388:I1387=I388)*(L388:L1387=L388)*(J388:J1387&lt;&gt;""),0))),"Not Found")</f>
        <v>Brake Failure</v>
      </c>
      <c r="L388" s="3" t="s">
        <v>189</v>
      </c>
      <c r="M388" s="0" t="str">
        <f aca="false">PROPER(L388)</f>
        <v>Battery</v>
      </c>
      <c r="N388" s="3" t="s">
        <v>48</v>
      </c>
      <c r="O388" s="0" t="str">
        <f aca="false" t="array" ref="O388:O388">IF(N388&lt;&gt;"",N388,_xlfn.xlookup(1,(L388:L1387=L388)*(N388:N1387&lt;&gt;""),N388:N1387,"Not Found"))</f>
        <v>Uche</v>
      </c>
      <c r="P388" s="4" t="n">
        <v>88161</v>
      </c>
      <c r="Q388" s="0" t="s">
        <v>110</v>
      </c>
      <c r="R388" s="0" t="str">
        <f aca="false">PROPER(Q388)</f>
        <v>Cash</v>
      </c>
      <c r="S388" s="0" t="s">
        <v>63</v>
      </c>
      <c r="T388" s="0" t="n">
        <v>3</v>
      </c>
      <c r="U388" s="5" t="n">
        <f aca="false">IF(ISBLANK(T388),AVERAGE(T388:T1387),T388)</f>
        <v>3</v>
      </c>
      <c r="V388" s="0" t="n">
        <v>3.9</v>
      </c>
      <c r="W388" s="0" t="s">
        <v>111</v>
      </c>
      <c r="X388" s="0" t="str">
        <f aca="false">IF(ISBLANK(W388),"No remarks",W388)</f>
        <v>Changed all filters</v>
      </c>
      <c r="Y388" s="0" t="s">
        <v>93</v>
      </c>
      <c r="Z388" s="0" t="s">
        <v>74</v>
      </c>
      <c r="AA388" s="0" t="str">
        <f aca="false">PROPER(IF(ISBLANK(Z388),"Location Unavailable",Z388))</f>
        <v>Under Tree</v>
      </c>
      <c r="AB388" s="0" t="s">
        <v>54</v>
      </c>
      <c r="AC388" s="6" t="str">
        <f aca="false">PROPER(AB388)</f>
        <v>Mechanic Referral</v>
      </c>
      <c r="AD388" s="6" t="n">
        <v>60</v>
      </c>
      <c r="AE388" s="5" t="n">
        <f aca="false">IF(ISBLANK(AD388),AVERAGEIF(L388:L1387,L388,AD388:AD1387),AD388)</f>
        <v>60</v>
      </c>
      <c r="AF388" s="0" t="s">
        <v>160</v>
      </c>
      <c r="AG388" s="0" t="str">
        <f aca="false">PROPER(AF388)</f>
        <v>Availaible</v>
      </c>
      <c r="AH388" s="0" t="s">
        <v>155</v>
      </c>
      <c r="AI388" s="0" t="s">
        <v>98</v>
      </c>
      <c r="AJ388" s="0" t="str">
        <f aca="false">PROPER(AI388)</f>
        <v>Emergency</v>
      </c>
      <c r="AK388" s="0" t="s">
        <v>99</v>
      </c>
      <c r="AL388" s="0" t="str">
        <f aca="false">PROPER(AK388)</f>
        <v>Uber Driver</v>
      </c>
      <c r="AN388" s="0" t="str">
        <f aca="false">IF(ISBLANK(AM388),"Unknown",AM388)</f>
        <v>Unknown</v>
      </c>
      <c r="AO388" s="0" t="s">
        <v>149</v>
      </c>
      <c r="AP388" s="0" t="str">
        <f aca="false">IF(ISBLANK(AO388),"Unknown",AO388)</f>
        <v>Senior </v>
      </c>
      <c r="AQ388" s="0" t="n">
        <v>25000</v>
      </c>
      <c r="AR388" s="5" t="n">
        <f aca="false">IF(ISBLANK(AQ388),AVERAGEIF(M388:M1387,M388,AQ388:AQ1387),AQ388)</f>
        <v>25000</v>
      </c>
      <c r="AS388" s="0" t="n">
        <v>20000</v>
      </c>
      <c r="AT388" s="5" t="n">
        <f aca="false">IF(ISBLANK(AS388),AVERAGE(AS388:AS1387),AS388)</f>
        <v>20000</v>
      </c>
      <c r="AU388" s="0" t="s">
        <v>63</v>
      </c>
      <c r="AV388" s="0" t="str">
        <f aca="false">PROPER(IF(ISBLANK(AU388),"No",AU388))</f>
        <v>Yes</v>
      </c>
      <c r="AX388" s="5" t="n">
        <f aca="false">IF(ISBLANK(AW388),0,AW388)</f>
        <v>0</v>
      </c>
      <c r="AY388" s="0" t="s">
        <v>130</v>
      </c>
      <c r="AZ388" s="0" t="str">
        <f aca="false">UPPER(IF(ISBLANK(AY388),"NONE",AY388))</f>
        <v>LOYALTY10</v>
      </c>
      <c r="BA388" s="7" t="n">
        <v>45849</v>
      </c>
      <c r="BB388" s="7" t="n">
        <f aca="false">IF(ISBLANK(BA388),"No Follow Up Needed",BA388)</f>
        <v>45849</v>
      </c>
      <c r="BC388" s="0" t="s">
        <v>61</v>
      </c>
      <c r="BD388" s="0" t="str">
        <f aca="false">PROPER(IF(ISBLANK(BC388),"Unknown",BC388))</f>
        <v>No</v>
      </c>
      <c r="BF388" s="0" t="str">
        <f aca="false">IF(ISBLANK(BE388),"No comments",BE388)</f>
        <v>No comments</v>
      </c>
      <c r="BG388" s="0" t="s">
        <v>117</v>
      </c>
      <c r="BH388" s="0" t="str">
        <f aca="false">IF(ISBLANK(BG388),"No comments",BG388)</f>
        <v>Prefers morning</v>
      </c>
      <c r="BI388" s="0" t="s">
        <v>63</v>
      </c>
      <c r="BJ388" s="0" t="str">
        <f aca="false">IF(ISBLANK(BI388),"Not Mentioned",BI388)</f>
        <v>Yes</v>
      </c>
      <c r="BK388" s="0" t="s">
        <v>63</v>
      </c>
      <c r="BL388" s="0" t="str">
        <f aca="false">PROPER(IF(ISBLANK(BK388),"Not Mentioned",BK388))</f>
        <v>Yes</v>
      </c>
      <c r="BN388" s="0" t="str">
        <f aca="false">PROPER(IF(ISBLANK(BM388),"Not Mentioned",BM388))</f>
        <v>Not Mentioned</v>
      </c>
      <c r="BP388" s="0" t="str">
        <f aca="false">IF(ISBLANK(BO388),"One-Time Plan",BO388)</f>
        <v>One-Time Plan</v>
      </c>
      <c r="BQ388" s="0" t="s">
        <v>50</v>
      </c>
      <c r="BR388" s="0" t="str">
        <f aca="false">PROPER(IF(ISBLANK(BQ388),"No",BQ388))</f>
        <v>No</v>
      </c>
    </row>
    <row r="389" customFormat="false" ht="15" hidden="false" customHeight="false" outlineLevel="0" collapsed="false">
      <c r="A389" s="0" t="s">
        <v>1040</v>
      </c>
      <c r="B389" s="2" t="n">
        <v>45904</v>
      </c>
      <c r="C389" s="2" t="str">
        <f aca="false">TEXT(B389,"dd/mm/yyyy")</f>
        <v>04/09/2025</v>
      </c>
      <c r="D389" s="0" t="s">
        <v>66</v>
      </c>
      <c r="E389" s="0" t="n">
        <v>8031311258</v>
      </c>
      <c r="F389" s="0" t="s">
        <v>139</v>
      </c>
      <c r="G389" s="0" t="s">
        <v>2323</v>
      </c>
      <c r="H389" s="0" t="s">
        <v>1041</v>
      </c>
      <c r="I389" s="0" t="s">
        <v>107</v>
      </c>
      <c r="K389" s="3" t="str">
        <f aca="false" t="array" ref="K389:K389">IFERROR(IF(J389&lt;&gt;"",J389,INDEX(J389:J1388,MATCH(1,(F389:F1388=F389)*(I389:I1388=I389)*(L389:L1388=L389)*(J389:J1388&lt;&gt;""),0))),"Not Found")</f>
        <v>Suspension Noise</v>
      </c>
      <c r="L389" s="3" t="s">
        <v>154</v>
      </c>
      <c r="M389" s="0" t="str">
        <f aca="false">PROPER(L389)</f>
        <v>Air Filter</v>
      </c>
      <c r="N389" s="3" t="s">
        <v>71</v>
      </c>
      <c r="O389" s="0" t="str">
        <f aca="false" t="array" ref="O389:O389">IF(N389&lt;&gt;"",N389,_xlfn.xlookup(1,(L389:L1388=L389)*(N389:N1388&lt;&gt;""),N389:N1388,"Not Found"))</f>
        <v>Isaac Bobo</v>
      </c>
      <c r="P389" s="4" t="n">
        <v>47580</v>
      </c>
      <c r="Q389" s="0" t="s">
        <v>124</v>
      </c>
      <c r="R389" s="0" t="str">
        <f aca="false">PROPER(Q389)</f>
        <v>Cash</v>
      </c>
      <c r="S389" s="0" t="s">
        <v>63</v>
      </c>
      <c r="T389" s="0" t="n">
        <v>5</v>
      </c>
      <c r="U389" s="5" t="n">
        <f aca="false">IF(ISBLANK(T389),AVERAGE(T389:T1388),T389)</f>
        <v>5</v>
      </c>
      <c r="V389" s="0" t="n">
        <v>5.2</v>
      </c>
      <c r="W389" s="0" t="s">
        <v>51</v>
      </c>
      <c r="X389" s="0" t="str">
        <f aca="false">IF(ISBLANK(W389),"No remarks",W389)</f>
        <v>Recommended further checks</v>
      </c>
      <c r="Y389" s="0" t="s">
        <v>93</v>
      </c>
      <c r="Z389" s="0" t="s">
        <v>136</v>
      </c>
      <c r="AA389" s="0" t="str">
        <f aca="false">PROPER(IF(ISBLANK(Z389),"Location Unavailable",Z389))</f>
        <v>Vip Section</v>
      </c>
      <c r="AB389" s="0" t="s">
        <v>54</v>
      </c>
      <c r="AC389" s="6" t="str">
        <f aca="false">PROPER(AB389)</f>
        <v>Mechanic Referral</v>
      </c>
      <c r="AD389" s="6" t="n">
        <v>45</v>
      </c>
      <c r="AE389" s="5" t="n">
        <f aca="false">IF(ISBLANK(AD389),AVERAGEIF(L389:L1388,L389,AD389:AD1388),AD389)</f>
        <v>45</v>
      </c>
      <c r="AF389" s="0" t="s">
        <v>55</v>
      </c>
      <c r="AG389" s="0" t="str">
        <f aca="false">PROPER(AF389)</f>
        <v>Available</v>
      </c>
      <c r="AH389" s="0" t="s">
        <v>148</v>
      </c>
      <c r="AI389" s="0" t="s">
        <v>113</v>
      </c>
      <c r="AJ389" s="0" t="str">
        <f aca="false">PROPER(AI389)</f>
        <v>Normal</v>
      </c>
      <c r="AK389" s="0" t="s">
        <v>196</v>
      </c>
      <c r="AL389" s="0" t="str">
        <f aca="false">PROPER(AK389)</f>
        <v>First Time</v>
      </c>
      <c r="AN389" s="0" t="str">
        <f aca="false">IF(ISBLANK(AM389),"Unknown",AM389)</f>
        <v>Unknown</v>
      </c>
      <c r="AO389" s="0" t="s">
        <v>79</v>
      </c>
      <c r="AP389" s="0" t="str">
        <f aca="false">IF(ISBLANK(AO389),"Unknown",AO389)</f>
        <v>Specialist</v>
      </c>
      <c r="AQ389" s="0" t="n">
        <v>30000</v>
      </c>
      <c r="AR389" s="5" t="n">
        <f aca="false">IF(ISBLANK(AQ389),AVERAGEIF(M389:M1388,M389,AQ389:AQ1388),AQ389)</f>
        <v>30000</v>
      </c>
      <c r="AS389" s="0" t="n">
        <v>40000</v>
      </c>
      <c r="AT389" s="5" t="n">
        <f aca="false">IF(ISBLANK(AS389),AVERAGE(AS389:AS1388),AS389)</f>
        <v>40000</v>
      </c>
      <c r="AU389" s="0" t="s">
        <v>63</v>
      </c>
      <c r="AV389" s="0" t="str">
        <f aca="false">PROPER(IF(ISBLANK(AU389),"No",AU389))</f>
        <v>Yes</v>
      </c>
      <c r="AW389" s="0" t="n">
        <v>5000</v>
      </c>
      <c r="AX389" s="5" t="n">
        <f aca="false">IF(ISBLANK(AW389),0,AW389)</f>
        <v>5000</v>
      </c>
      <c r="AY389" s="0" t="s">
        <v>184</v>
      </c>
      <c r="AZ389" s="0" t="str">
        <f aca="false">UPPER(IF(ISBLANK(AY389),"NONE",AY389))</f>
        <v>N/A</v>
      </c>
      <c r="BA389" s="7" t="n">
        <v>45953</v>
      </c>
      <c r="BB389" s="7" t="n">
        <f aca="false">IF(ISBLANK(BA389),"No Follow Up Needed",BA389)</f>
        <v>45953</v>
      </c>
      <c r="BC389" s="0" t="s">
        <v>82</v>
      </c>
      <c r="BD389" s="0" t="str">
        <f aca="false">PROPER(IF(ISBLANK(BC389),"Unknown",BC389))</f>
        <v>Yes</v>
      </c>
      <c r="BE389" s="0" t="s">
        <v>171</v>
      </c>
      <c r="BF389" s="0" t="str">
        <f aca="false">IF(ISBLANK(BE389),"No comments",BE389)</f>
        <v>Shock absorber weakening</v>
      </c>
      <c r="BH389" s="0" t="str">
        <f aca="false">IF(ISBLANK(BG389),"No comments",BG389)</f>
        <v>No comments</v>
      </c>
      <c r="BI389" s="0" t="s">
        <v>50</v>
      </c>
      <c r="BJ389" s="0" t="str">
        <f aca="false">IF(ISBLANK(BI389),"Not Mentioned",BI389)</f>
        <v>No</v>
      </c>
      <c r="BL389" s="0" t="str">
        <f aca="false">PROPER(IF(ISBLANK(BK389),"Not Mentioned",BK389))</f>
        <v>Not Mentioned</v>
      </c>
      <c r="BM389" s="0" t="s">
        <v>50</v>
      </c>
      <c r="BN389" s="0" t="str">
        <f aca="false">PROPER(IF(ISBLANK(BM389),"Not Mentioned",BM389))</f>
        <v>No</v>
      </c>
      <c r="BO389" s="0" t="s">
        <v>2318</v>
      </c>
      <c r="BP389" s="0" t="str">
        <f aca="false">IF(ISBLANK(BO389),"One-Time Plan",BO389)</f>
        <v>Gold</v>
      </c>
      <c r="BQ389" s="0" t="s">
        <v>63</v>
      </c>
      <c r="BR389" s="0" t="str">
        <f aca="false">PROPER(IF(ISBLANK(BQ389),"No",BQ389))</f>
        <v>Yes</v>
      </c>
    </row>
    <row r="390" customFormat="false" ht="15" hidden="false" customHeight="false" outlineLevel="0" collapsed="false">
      <c r="A390" s="0" t="s">
        <v>1042</v>
      </c>
      <c r="B390" s="2" t="s">
        <v>626</v>
      </c>
      <c r="C390" s="2" t="str">
        <f aca="false">TEXT(B390,"dd/mm/yyyy")</f>
        <v>26/01/2025</v>
      </c>
      <c r="D390" s="0" t="s">
        <v>121</v>
      </c>
      <c r="E390" s="0" t="n">
        <v>8091028510</v>
      </c>
      <c r="F390" s="0" t="s">
        <v>122</v>
      </c>
      <c r="G390" s="0" t="s">
        <v>2316</v>
      </c>
      <c r="H390" s="0" t="s">
        <v>1043</v>
      </c>
      <c r="I390" s="0" t="s">
        <v>107</v>
      </c>
      <c r="J390" s="0" t="s">
        <v>2317</v>
      </c>
      <c r="K390" s="3" t="str">
        <f aca="false" t="array" ref="K390:K390">IFERROR(IF(J390&lt;&gt;"",J390,INDEX(J390:J1389,MATCH(1,(F390:F1389=F390)*(I390:I1389=I390)*(L390:L1389=L390)*(J390:J1389&lt;&gt;""),0))),"Not Found")</f>
        <v>Suspension Noise</v>
      </c>
      <c r="L390" s="3" t="s">
        <v>142</v>
      </c>
      <c r="M390" s="0" t="str">
        <f aca="false">PROPER(L390)</f>
        <v>Oil Filter, Brake Pads</v>
      </c>
      <c r="N390" s="3" t="s">
        <v>90</v>
      </c>
      <c r="O390" s="0" t="str">
        <f aca="false" t="array" ref="O390:O390">IF(N390&lt;&gt;"",N390,_xlfn.xlookup(1,(L390:L1389=L390)*(N390:N1389&lt;&gt;""),N390:N1389,"Not Found"))</f>
        <v>Musa</v>
      </c>
      <c r="P390" s="4" t="n">
        <v>59227</v>
      </c>
      <c r="Q390" s="0" t="s">
        <v>72</v>
      </c>
      <c r="R390" s="0" t="str">
        <f aca="false">PROPER(Q390)</f>
        <v>Pos</v>
      </c>
      <c r="S390" s="0" t="s">
        <v>50</v>
      </c>
      <c r="T390" s="0" t="n">
        <v>1</v>
      </c>
      <c r="U390" s="5" t="n">
        <f aca="false">IF(ISBLANK(T390),AVERAGE(T390:T1389),T390)</f>
        <v>1</v>
      </c>
      <c r="V390" s="0" t="n">
        <v>5.2</v>
      </c>
      <c r="W390" s="0" t="s">
        <v>111</v>
      </c>
      <c r="X390" s="0" t="str">
        <f aca="false">IF(ISBLANK(W390),"No remarks",W390)</f>
        <v>Changed all filters</v>
      </c>
      <c r="Y390" s="0" t="s">
        <v>52</v>
      </c>
      <c r="Z390" s="0" t="s">
        <v>53</v>
      </c>
      <c r="AA390" s="0" t="str">
        <f aca="false">PROPER(IF(ISBLANK(Z390),"Location Unavailable",Z390))</f>
        <v>Main Bay</v>
      </c>
      <c r="AB390" s="0" t="s">
        <v>75</v>
      </c>
      <c r="AC390" s="6" t="str">
        <f aca="false">PROPER(AB390)</f>
        <v>Mechanik Referal</v>
      </c>
      <c r="AD390" s="6" t="n">
        <v>45</v>
      </c>
      <c r="AE390" s="5" t="n">
        <f aca="false">IF(ISBLANK(AD390),AVERAGEIF(L390:L1389,L390,AD390:AD1389),AD390)</f>
        <v>45</v>
      </c>
      <c r="AF390" s="0" t="s">
        <v>112</v>
      </c>
      <c r="AG390" s="0" t="str">
        <f aca="false">PROPER(AF390)</f>
        <v>Unavailable</v>
      </c>
      <c r="AH390" s="0" t="s">
        <v>155</v>
      </c>
      <c r="AI390" s="0" t="s">
        <v>113</v>
      </c>
      <c r="AJ390" s="0" t="str">
        <f aca="false">PROPER(AI390)</f>
        <v>Normal</v>
      </c>
      <c r="AK390" s="0" t="s">
        <v>58</v>
      </c>
      <c r="AL390" s="0" t="str">
        <f aca="false">PROPER(AK390)</f>
        <v>Fleet Owner</v>
      </c>
      <c r="AM390" s="0" t="s">
        <v>177</v>
      </c>
      <c r="AN390" s="0" t="str">
        <f aca="false">IF(ISBLANK(AM390),"Unknown",AM390)</f>
        <v>Private</v>
      </c>
      <c r="AO390" s="0" t="s">
        <v>79</v>
      </c>
      <c r="AP390" s="0" t="str">
        <f aca="false">IF(ISBLANK(AO390),"Unknown",AO390)</f>
        <v>Specialist</v>
      </c>
      <c r="AR390" s="5" t="n">
        <f aca="false">IF(ISBLANK(AQ390),AVERAGEIF(M390:M1389,M390,AQ390:AQ1389),AQ390)</f>
        <v>27558.1395348837</v>
      </c>
      <c r="AS390" s="0" t="n">
        <v>35000</v>
      </c>
      <c r="AT390" s="5" t="n">
        <f aca="false">IF(ISBLANK(AS390),AVERAGE(AS390:AS1389),AS390)</f>
        <v>35000</v>
      </c>
      <c r="AU390" s="0" t="s">
        <v>82</v>
      </c>
      <c r="AV390" s="0" t="str">
        <f aca="false">PROPER(IF(ISBLANK(AU390),"No",AU390))</f>
        <v>Yes</v>
      </c>
      <c r="AX390" s="5" t="n">
        <f aca="false">IF(ISBLANK(AW390),0,AW390)</f>
        <v>0</v>
      </c>
      <c r="AY390" s="0" t="s">
        <v>60</v>
      </c>
      <c r="AZ390" s="0" t="str">
        <f aca="false">UPPER(IF(ISBLANK(AY390),"NONE",AY390))</f>
        <v>NONE</v>
      </c>
      <c r="BA390" s="7" t="n">
        <v>45920</v>
      </c>
      <c r="BB390" s="7" t="n">
        <f aca="false">IF(ISBLANK(BA390),"No Follow Up Needed",BA390)</f>
        <v>45920</v>
      </c>
      <c r="BC390" s="0" t="s">
        <v>50</v>
      </c>
      <c r="BD390" s="0" t="str">
        <f aca="false">PROPER(IF(ISBLANK(BC390),"Unknown",BC390))</f>
        <v>No</v>
      </c>
      <c r="BE390" s="0" t="s">
        <v>171</v>
      </c>
      <c r="BF390" s="0" t="str">
        <f aca="false">IF(ISBLANK(BE390),"No comments",BE390)</f>
        <v>Shock absorber weakening</v>
      </c>
      <c r="BG390" s="0" t="s">
        <v>2320</v>
      </c>
      <c r="BH390" s="0" t="str">
        <f aca="false">IF(ISBLANK(BG390),"No comments",BG390)</f>
        <v>No complaints</v>
      </c>
      <c r="BI390" s="0" t="s">
        <v>63</v>
      </c>
      <c r="BJ390" s="0" t="str">
        <f aca="false">IF(ISBLANK(BI390),"Not Mentioned",BI390)</f>
        <v>Yes</v>
      </c>
      <c r="BK390" s="0" t="s">
        <v>61</v>
      </c>
      <c r="BL390" s="0" t="str">
        <f aca="false">PROPER(IF(ISBLANK(BK390),"Not Mentioned",BK390))</f>
        <v>No</v>
      </c>
      <c r="BM390" s="0" t="s">
        <v>63</v>
      </c>
      <c r="BN390" s="0" t="str">
        <f aca="false">PROPER(IF(ISBLANK(BM390),"Not Mentioned",BM390))</f>
        <v>Yes</v>
      </c>
      <c r="BO390" s="0" t="s">
        <v>64</v>
      </c>
      <c r="BP390" s="0" t="str">
        <f aca="false">IF(ISBLANK(BO390),"One-Time Plan",BO390)</f>
        <v>Gold Maintenance Plan</v>
      </c>
      <c r="BQ390" s="0" t="s">
        <v>50</v>
      </c>
      <c r="BR390" s="0" t="str">
        <f aca="false">PROPER(IF(ISBLANK(BQ390),"No",BQ390))</f>
        <v>No</v>
      </c>
    </row>
    <row r="391" customFormat="false" ht="15" hidden="false" customHeight="false" outlineLevel="0" collapsed="false">
      <c r="A391" s="0" t="s">
        <v>1044</v>
      </c>
      <c r="B391" s="2" t="n">
        <v>45810</v>
      </c>
      <c r="C391" s="2" t="str">
        <f aca="false">TEXT(B391,"dd/mm/yyyy")</f>
        <v>02/06/2025</v>
      </c>
      <c r="D391" s="0" t="s">
        <v>163</v>
      </c>
      <c r="E391" s="0" t="n">
        <v>8087187458</v>
      </c>
      <c r="F391" s="0" t="s">
        <v>85</v>
      </c>
      <c r="G391" s="0" t="s">
        <v>2319</v>
      </c>
      <c r="H391" s="0" t="s">
        <v>1045</v>
      </c>
      <c r="I391" s="0" t="s">
        <v>87</v>
      </c>
      <c r="J391" s="0" t="s">
        <v>2325</v>
      </c>
      <c r="K391" s="3" t="str">
        <f aca="false" t="array" ref="K391:K391">IFERROR(IF(J391&lt;&gt;"",J391,INDEX(J391:J1390,MATCH(1,(F391:F1390=F391)*(I391:I1390=I391)*(L391:L1390=L391)*(J391:J1390&lt;&gt;""),0))),"Not Found")</f>
        <v>Engine Knocking</v>
      </c>
      <c r="L391" s="3" t="s">
        <v>154</v>
      </c>
      <c r="M391" s="0" t="str">
        <f aca="false">PROPER(L391)</f>
        <v>Air Filter</v>
      </c>
      <c r="N391" s="3" t="s">
        <v>90</v>
      </c>
      <c r="O391" s="0" t="str">
        <f aca="false" t="array" ref="O391:O391">IF(N391&lt;&gt;"",N391,_xlfn.xlookup(1,(L391:L1390=L391)*(N391:N1390&lt;&gt;""),N391:N1390,"Not Found"))</f>
        <v>Musa</v>
      </c>
      <c r="P391" s="4" t="n">
        <v>26883</v>
      </c>
      <c r="Q391" s="0" t="s">
        <v>91</v>
      </c>
      <c r="R391" s="0" t="str">
        <f aca="false">PROPER(Q391)</f>
        <v>Pos</v>
      </c>
      <c r="S391" s="0" t="s">
        <v>63</v>
      </c>
      <c r="T391" s="0" t="n">
        <v>2</v>
      </c>
      <c r="U391" s="5" t="n">
        <f aca="false">IF(ISBLANK(T391),AVERAGE(T391:T1390),T391)</f>
        <v>2</v>
      </c>
      <c r="V391" s="0" t="n">
        <v>3.2</v>
      </c>
      <c r="W391" s="0" t="s">
        <v>125</v>
      </c>
      <c r="X391" s="0" t="str">
        <f aca="false">IF(ISBLANK(W391),"No remarks",W391)</f>
        <v>Customer waited</v>
      </c>
      <c r="Y391" s="0" t="s">
        <v>52</v>
      </c>
      <c r="Z391" s="0" t="s">
        <v>74</v>
      </c>
      <c r="AA391" s="0" t="str">
        <f aca="false">PROPER(IF(ISBLANK(Z391),"Location Unavailable",Z391))</f>
        <v>Under Tree</v>
      </c>
      <c r="AB391" s="0" t="s">
        <v>167</v>
      </c>
      <c r="AC391" s="6" t="str">
        <f aca="false">PROPER(AB391)</f>
        <v>Word Of Mouth</v>
      </c>
      <c r="AD391" s="6" t="n">
        <v>15</v>
      </c>
      <c r="AE391" s="5" t="n">
        <f aca="false">IF(ISBLANK(AD391),AVERAGEIF(L391:L1390,L391,AD391:AD1390),AD391)</f>
        <v>15</v>
      </c>
      <c r="AF391" s="0" t="s">
        <v>112</v>
      </c>
      <c r="AG391" s="0" t="str">
        <f aca="false">PROPER(AF391)</f>
        <v>Unavailable</v>
      </c>
      <c r="AH391" s="0" t="s">
        <v>148</v>
      </c>
      <c r="AI391" s="0" t="s">
        <v>128</v>
      </c>
      <c r="AJ391" s="0" t="str">
        <f aca="false">PROPER(AI391)</f>
        <v>Normal</v>
      </c>
      <c r="AK391" s="0" t="s">
        <v>99</v>
      </c>
      <c r="AL391" s="0" t="str">
        <f aca="false">PROPER(AK391)</f>
        <v>Uber Driver</v>
      </c>
      <c r="AM391" s="0" t="s">
        <v>2326</v>
      </c>
      <c r="AN391" s="0" t="str">
        <f aca="false">IF(ISBLANK(AM391),"Unknown",AM391)</f>
        <v>Government Convoy</v>
      </c>
      <c r="AO391" s="0" t="s">
        <v>149</v>
      </c>
      <c r="AP391" s="0" t="str">
        <f aca="false">IF(ISBLANK(AO391),"Unknown",AO391)</f>
        <v>Senior </v>
      </c>
      <c r="AR391" s="5" t="n">
        <f aca="false">IF(ISBLANK(AQ391),AVERAGEIF(M391:M1390,M391,AQ391:AQ1390),AQ391)</f>
        <v>27058.8235294118</v>
      </c>
      <c r="AT391" s="5" t="n">
        <f aca="false">IF(ISBLANK(AS391),AVERAGE(AS391:AS1390),AS391)</f>
        <v>31455.078125</v>
      </c>
      <c r="AU391" s="0" t="s">
        <v>50</v>
      </c>
      <c r="AV391" s="0" t="str">
        <f aca="false">PROPER(IF(ISBLANK(AU391),"No",AU391))</f>
        <v>No</v>
      </c>
      <c r="AX391" s="5" t="n">
        <f aca="false">IF(ISBLANK(AW391),0,AW391)</f>
        <v>0</v>
      </c>
      <c r="AY391" s="0" t="s">
        <v>80</v>
      </c>
      <c r="AZ391" s="0" t="str">
        <f aca="false">UPPER(IF(ISBLANK(AY391),"NONE",AY391))</f>
        <v>PROMO10</v>
      </c>
      <c r="BA391" s="7" t="n">
        <v>45994</v>
      </c>
      <c r="BB391" s="7" t="n">
        <f aca="false">IF(ISBLANK(BA391),"No Follow Up Needed",BA391)</f>
        <v>45994</v>
      </c>
      <c r="BC391" s="0" t="s">
        <v>63</v>
      </c>
      <c r="BD391" s="0" t="str">
        <f aca="false">PROPER(IF(ISBLANK(BC391),"Unknown",BC391))</f>
        <v>Yes</v>
      </c>
      <c r="BF391" s="0" t="str">
        <f aca="false">IF(ISBLANK(BE391),"No comments",BE391)</f>
        <v>No comments</v>
      </c>
      <c r="BH391" s="0" t="str">
        <f aca="false">IF(ISBLANK(BG391),"No comments",BG391)</f>
        <v>No comments</v>
      </c>
      <c r="BI391" s="0" t="s">
        <v>63</v>
      </c>
      <c r="BJ391" s="0" t="str">
        <f aca="false">IF(ISBLANK(BI391),"Not Mentioned",BI391)</f>
        <v>Yes</v>
      </c>
      <c r="BK391" s="0" t="s">
        <v>61</v>
      </c>
      <c r="BL391" s="0" t="str">
        <f aca="false">PROPER(IF(ISBLANK(BK391),"Not Mentioned",BK391))</f>
        <v>No</v>
      </c>
      <c r="BN391" s="0" t="str">
        <f aca="false">PROPER(IF(ISBLANK(BM391),"Not Mentioned",BM391))</f>
        <v>Not Mentioned</v>
      </c>
      <c r="BP391" s="0" t="str">
        <f aca="false">IF(ISBLANK(BO391),"One-Time Plan",BO391)</f>
        <v>One-Time Plan</v>
      </c>
      <c r="BR391" s="0" t="str">
        <f aca="false">PROPER(IF(ISBLANK(BQ391),"No",BQ391))</f>
        <v>No</v>
      </c>
    </row>
    <row r="392" customFormat="false" ht="15" hidden="false" customHeight="false" outlineLevel="0" collapsed="false">
      <c r="A392" s="0" t="s">
        <v>1046</v>
      </c>
      <c r="B392" s="2" t="n">
        <v>45775</v>
      </c>
      <c r="C392" s="2" t="str">
        <f aca="false">TEXT(B392,"dd/mm/yyyy")</f>
        <v>28/04/2025</v>
      </c>
      <c r="D392" s="0" t="s">
        <v>121</v>
      </c>
      <c r="E392" s="0" t="n">
        <v>8051649604</v>
      </c>
      <c r="F392" s="0" t="s">
        <v>67</v>
      </c>
      <c r="G392" s="0" t="s">
        <v>2316</v>
      </c>
      <c r="H392" s="0" t="s">
        <v>1047</v>
      </c>
      <c r="I392" s="0" t="s">
        <v>45</v>
      </c>
      <c r="J392" s="0" t="s">
        <v>87</v>
      </c>
      <c r="K392" s="3" t="str">
        <f aca="false" t="array" ref="K392:K392">IFERROR(IF(J392&lt;&gt;"",J392,INDEX(J392:J1391,MATCH(1,(F392:F1391=F392)*(I392:I1391=I392)*(L392:L1391=L392)*(J392:J1391&lt;&gt;""),0))),"Not Found")</f>
        <v>Oil Change</v>
      </c>
      <c r="L392" s="3" t="s">
        <v>108</v>
      </c>
      <c r="M392" s="0" t="str">
        <f aca="false">PROPER(L392)</f>
        <v>Timing Belt</v>
      </c>
      <c r="N392" s="3" t="s">
        <v>109</v>
      </c>
      <c r="O392" s="0" t="str">
        <f aca="false" t="array" ref="O392:O392">IF(N392&lt;&gt;"",N392,_xlfn.xlookup(1,(L392:L1391=L392)*(N392:N1391&lt;&gt;""),N392:N1391,"Not Found"))</f>
        <v>Tijani</v>
      </c>
      <c r="P392" s="4" t="n">
        <v>12243</v>
      </c>
      <c r="Q392" s="0" t="s">
        <v>166</v>
      </c>
      <c r="R392" s="0" t="str">
        <f aca="false">PROPER(Q392)</f>
        <v>Transfer</v>
      </c>
      <c r="S392" s="0" t="s">
        <v>63</v>
      </c>
      <c r="T392" s="0" t="n">
        <v>2</v>
      </c>
      <c r="U392" s="5" t="n">
        <f aca="false">IF(ISBLANK(T392),AVERAGE(T392:T1391),T392)</f>
        <v>2</v>
      </c>
      <c r="V392" s="0" t="n">
        <v>3.9</v>
      </c>
      <c r="W392" s="0" t="s">
        <v>111</v>
      </c>
      <c r="X392" s="0" t="str">
        <f aca="false">IF(ISBLANK(W392),"No remarks",W392)</f>
        <v>Changed all filters</v>
      </c>
      <c r="Y392" s="0" t="s">
        <v>52</v>
      </c>
      <c r="Z392" s="0" t="s">
        <v>53</v>
      </c>
      <c r="AA392" s="0" t="str">
        <f aca="false">PROPER(IF(ISBLANK(Z392),"Location Unavailable",Z392))</f>
        <v>Main Bay</v>
      </c>
      <c r="AB392" s="0" t="s">
        <v>126</v>
      </c>
      <c r="AC392" s="6" t="str">
        <f aca="false">PROPER(AB392)</f>
        <v>Whatsapp</v>
      </c>
      <c r="AD392" s="6" t="n">
        <v>30</v>
      </c>
      <c r="AE392" s="5" t="n">
        <f aca="false">IF(ISBLANK(AD392),AVERAGEIF(L392:L1391,L392,AD392:AD1391),AD392)</f>
        <v>30</v>
      </c>
      <c r="AF392" s="0" t="s">
        <v>76</v>
      </c>
      <c r="AG392" s="0" t="str">
        <f aca="false">PROPER(AF392)</f>
        <v>Orderd</v>
      </c>
      <c r="AH392" s="0" t="s">
        <v>155</v>
      </c>
      <c r="AI392" s="0" t="s">
        <v>78</v>
      </c>
      <c r="AJ392" s="0" t="str">
        <f aca="false">PROPER(AI392)</f>
        <v>Booking</v>
      </c>
      <c r="AK392" s="0" t="s">
        <v>196</v>
      </c>
      <c r="AL392" s="0" t="str">
        <f aca="false">PROPER(AK392)</f>
        <v>First Time</v>
      </c>
      <c r="AM392" s="0" t="s">
        <v>59</v>
      </c>
      <c r="AN392" s="0" t="str">
        <f aca="false">IF(ISBLANK(AM392),"Unknown",AM392)</f>
        <v>Bolt Driver</v>
      </c>
      <c r="AO392" s="0" t="s">
        <v>143</v>
      </c>
      <c r="AP392" s="0" t="str">
        <f aca="false">IF(ISBLANK(AO392),"Unknown",AO392)</f>
        <v>Senior</v>
      </c>
      <c r="AQ392" s="0" t="n">
        <v>40000</v>
      </c>
      <c r="AR392" s="5" t="n">
        <f aca="false">IF(ISBLANK(AQ392),AVERAGEIF(M392:M1391,M392,AQ392:AQ1391),AQ392)</f>
        <v>40000</v>
      </c>
      <c r="AS392" s="0" t="n">
        <v>30000</v>
      </c>
      <c r="AT392" s="5" t="n">
        <f aca="false">IF(ISBLANK(AS392),AVERAGE(AS392:AS1391),AS392)</f>
        <v>30000</v>
      </c>
      <c r="AU392" s="0" t="s">
        <v>82</v>
      </c>
      <c r="AV392" s="0" t="str">
        <f aca="false">PROPER(IF(ISBLANK(AU392),"No",AU392))</f>
        <v>Yes</v>
      </c>
      <c r="AW392" s="0" t="n">
        <v>10000</v>
      </c>
      <c r="AX392" s="5" t="n">
        <f aca="false">IF(ISBLANK(AW392),0,AW392)</f>
        <v>10000</v>
      </c>
      <c r="AZ392" s="0" t="str">
        <f aca="false">UPPER(IF(ISBLANK(AY392),"NONE",AY392))</f>
        <v>NONE</v>
      </c>
      <c r="BB392" s="7" t="str">
        <f aca="false">IF(ISBLANK(BA392),"No Follow Up Needed",BA392)</f>
        <v>No Follow Up Needed</v>
      </c>
      <c r="BC392" s="0" t="s">
        <v>50</v>
      </c>
      <c r="BD392" s="0" t="str">
        <f aca="false">PROPER(IF(ISBLANK(BC392),"Unknown",BC392))</f>
        <v>No</v>
      </c>
      <c r="BF392" s="0" t="str">
        <f aca="false">IF(ISBLANK(BE392),"No comments",BE392)</f>
        <v>No comments</v>
      </c>
      <c r="BH392" s="0" t="str">
        <f aca="false">IF(ISBLANK(BG392),"No comments",BG392)</f>
        <v>No comments</v>
      </c>
      <c r="BI392" s="0" t="s">
        <v>50</v>
      </c>
      <c r="BJ392" s="0" t="str">
        <f aca="false">IF(ISBLANK(BI392),"Not Mentioned",BI392)</f>
        <v>No</v>
      </c>
      <c r="BK392" s="0" t="s">
        <v>50</v>
      </c>
      <c r="BL392" s="0" t="str">
        <f aca="false">PROPER(IF(ISBLANK(BK392),"Not Mentioned",BK392))</f>
        <v>No</v>
      </c>
      <c r="BM392" s="0" t="s">
        <v>63</v>
      </c>
      <c r="BN392" s="0" t="str">
        <f aca="false">PROPER(IF(ISBLANK(BM392),"Not Mentioned",BM392))</f>
        <v>Yes</v>
      </c>
      <c r="BP392" s="0" t="str">
        <f aca="false">IF(ISBLANK(BO392),"One-Time Plan",BO392)</f>
        <v>One-Time Plan</v>
      </c>
      <c r="BQ392" s="0" t="s">
        <v>50</v>
      </c>
      <c r="BR392" s="0" t="str">
        <f aca="false">PROPER(IF(ISBLANK(BQ392),"No",BQ392))</f>
        <v>No</v>
      </c>
    </row>
    <row r="393" customFormat="false" ht="15" hidden="false" customHeight="false" outlineLevel="0" collapsed="false">
      <c r="A393" s="0" t="s">
        <v>1048</v>
      </c>
      <c r="B393" s="2" t="n">
        <v>45721</v>
      </c>
      <c r="C393" s="2" t="str">
        <f aca="false">TEXT(B393,"dd/mm/yyyy")</f>
        <v>05/03/2025</v>
      </c>
      <c r="D393" s="0" t="s">
        <v>42</v>
      </c>
      <c r="E393" s="0" t="n">
        <v>8088851835</v>
      </c>
      <c r="F393" s="0" t="s">
        <v>122</v>
      </c>
      <c r="G393" s="0" t="s">
        <v>2316</v>
      </c>
      <c r="H393" s="0" t="s">
        <v>1049</v>
      </c>
      <c r="I393" s="0" t="s">
        <v>69</v>
      </c>
      <c r="J393" s="0" t="s">
        <v>2322</v>
      </c>
      <c r="K393" s="3" t="str">
        <f aca="false" t="array" ref="K393:K393">IFERROR(IF(J393&lt;&gt;"",J393,INDEX(J393:J1392,MATCH(1,(F393:F1392=F393)*(I393:I1392=I393)*(L393:L1392=L393)*(J393:J1392&lt;&gt;""),0))),"Not Found")</f>
        <v>Brake Failure</v>
      </c>
      <c r="L393" s="3" t="s">
        <v>189</v>
      </c>
      <c r="M393" s="0" t="str">
        <f aca="false">PROPER(L393)</f>
        <v>Battery</v>
      </c>
      <c r="O393" s="0" t="e">
        <f aca="false" t="array" ref="O393:O393">IF(N393&lt;&gt;"",N393,_xlfn.xlookup(1,(L393:L1392=L393)*(N393:N1392&lt;&gt;""),N393:N1392,"Not Found"))</f>
        <v>#NAME?</v>
      </c>
      <c r="P393" s="4" t="n">
        <v>117903</v>
      </c>
      <c r="Q393" s="0" t="s">
        <v>49</v>
      </c>
      <c r="R393" s="0" t="str">
        <f aca="false">PROPER(Q393)</f>
        <v>Transfer</v>
      </c>
      <c r="S393" s="0" t="s">
        <v>63</v>
      </c>
      <c r="T393" s="0" t="n">
        <v>3</v>
      </c>
      <c r="U393" s="5" t="n">
        <f aca="false">IF(ISBLANK(T393),AVERAGE(T393:T1392),T393)</f>
        <v>3</v>
      </c>
      <c r="V393" s="0" t="n">
        <v>2.9</v>
      </c>
      <c r="W393" s="0" t="s">
        <v>92</v>
      </c>
      <c r="X393" s="0" t="str">
        <f aca="false">IF(ISBLANK(W393),"No remarks",W393)</f>
        <v>Urgent service</v>
      </c>
      <c r="Y393" s="0" t="s">
        <v>73</v>
      </c>
      <c r="AA393" s="0" t="str">
        <f aca="false">PROPER(IF(ISBLANK(Z393),"Location Unavailable",Z393))</f>
        <v>Location Unavailable</v>
      </c>
      <c r="AB393" s="0" t="s">
        <v>167</v>
      </c>
      <c r="AC393" s="6" t="str">
        <f aca="false">PROPER(AB393)</f>
        <v>Word Of Mouth</v>
      </c>
      <c r="AE393" s="5" t="n">
        <f aca="false">IF(ISBLANK(AD393),AVERAGEIF(L393:L1392,L393,AD393:AD1392),AD393)</f>
        <v>40.2857142857143</v>
      </c>
      <c r="AF393" s="0" t="s">
        <v>160</v>
      </c>
      <c r="AG393" s="0" t="str">
        <f aca="false">PROPER(AF393)</f>
        <v>Availaible</v>
      </c>
      <c r="AH393" s="0" t="s">
        <v>77</v>
      </c>
      <c r="AI393" s="0" t="s">
        <v>98</v>
      </c>
      <c r="AJ393" s="0" t="str">
        <f aca="false">PROPER(AI393)</f>
        <v>Emergency</v>
      </c>
      <c r="AK393" s="0" t="s">
        <v>114</v>
      </c>
      <c r="AL393" s="0" t="str">
        <f aca="false">PROPER(AK393)</f>
        <v>Returning</v>
      </c>
      <c r="AN393" s="0" t="str">
        <f aca="false">IF(ISBLANK(AM393),"Unknown",AM393)</f>
        <v>Unknown</v>
      </c>
      <c r="AO393" s="0" t="s">
        <v>143</v>
      </c>
      <c r="AP393" s="0" t="str">
        <f aca="false">IF(ISBLANK(AO393),"Unknown",AO393)</f>
        <v>Senior</v>
      </c>
      <c r="AQ393" s="0" t="n">
        <v>40000</v>
      </c>
      <c r="AR393" s="5" t="n">
        <f aca="false">IF(ISBLANK(AQ393),AVERAGEIF(M393:M1392,M393,AQ393:AQ1392),AQ393)</f>
        <v>40000</v>
      </c>
      <c r="AS393" s="0" t="n">
        <v>30000</v>
      </c>
      <c r="AT393" s="5" t="n">
        <f aca="false">IF(ISBLANK(AS393),AVERAGE(AS393:AS1392),AS393)</f>
        <v>30000</v>
      </c>
      <c r="AV393" s="0" t="str">
        <f aca="false">PROPER(IF(ISBLANK(AU393),"No",AU393))</f>
        <v>No</v>
      </c>
      <c r="AX393" s="5" t="n">
        <f aca="false">IF(ISBLANK(AW393),0,AW393)</f>
        <v>0</v>
      </c>
      <c r="AZ393" s="0" t="str">
        <f aca="false">UPPER(IF(ISBLANK(AY393),"NONE",AY393))</f>
        <v>NONE</v>
      </c>
      <c r="BB393" s="7" t="str">
        <f aca="false">IF(ISBLANK(BA393),"No Follow Up Needed",BA393)</f>
        <v>No Follow Up Needed</v>
      </c>
      <c r="BD393" s="0" t="str">
        <f aca="false">PROPER(IF(ISBLANK(BC393),"Unknown",BC393))</f>
        <v>Unknown</v>
      </c>
      <c r="BE393" s="0" t="s">
        <v>116</v>
      </c>
      <c r="BF393" s="0" t="str">
        <f aca="false">IF(ISBLANK(BE393),"No comments",BE393)</f>
        <v>Needs tire alignment</v>
      </c>
      <c r="BG393" s="0" t="s">
        <v>2320</v>
      </c>
      <c r="BH393" s="0" t="str">
        <f aca="false">IF(ISBLANK(BG393),"No comments",BG393)</f>
        <v>No complaints</v>
      </c>
      <c r="BI393" s="0" t="s">
        <v>50</v>
      </c>
      <c r="BJ393" s="0" t="str">
        <f aca="false">IF(ISBLANK(BI393),"Not Mentioned",BI393)</f>
        <v>No</v>
      </c>
      <c r="BL393" s="0" t="str">
        <f aca="false">PROPER(IF(ISBLANK(BK393),"Not Mentioned",BK393))</f>
        <v>Not Mentioned</v>
      </c>
      <c r="BM393" s="0" t="s">
        <v>63</v>
      </c>
      <c r="BN393" s="0" t="str">
        <f aca="false">PROPER(IF(ISBLANK(BM393),"Not Mentioned",BM393))</f>
        <v>Yes</v>
      </c>
      <c r="BO393" s="0" t="s">
        <v>2321</v>
      </c>
      <c r="BP393" s="0" t="str">
        <f aca="false">IF(ISBLANK(BO393),"One-Time Plan",BO393)</f>
        <v>One-Time Plan</v>
      </c>
      <c r="BQ393" s="0" t="s">
        <v>50</v>
      </c>
      <c r="BR393" s="0" t="str">
        <f aca="false">PROPER(IF(ISBLANK(BQ393),"No",BQ393))</f>
        <v>No</v>
      </c>
    </row>
    <row r="394" customFormat="false" ht="15" hidden="false" customHeight="false" outlineLevel="0" collapsed="false">
      <c r="A394" s="0" t="s">
        <v>1051</v>
      </c>
      <c r="B394" s="2" t="s">
        <v>1050</v>
      </c>
      <c r="C394" s="2" t="str">
        <f aca="false">TEXT(B394,"dd/mm/yyyy")</f>
        <v>27/03/2025</v>
      </c>
      <c r="D394" s="0" t="s">
        <v>105</v>
      </c>
      <c r="E394" s="0" t="n">
        <v>8037242553</v>
      </c>
      <c r="F394" s="0" t="s">
        <v>139</v>
      </c>
      <c r="G394" s="0" t="s">
        <v>2323</v>
      </c>
      <c r="H394" s="0" t="s">
        <v>1052</v>
      </c>
      <c r="I394" s="0" t="s">
        <v>87</v>
      </c>
      <c r="J394" s="0" t="s">
        <v>2317</v>
      </c>
      <c r="K394" s="3" t="str">
        <f aca="false" t="array" ref="K394:K394">IFERROR(IF(J394&lt;&gt;"",J394,INDEX(J394:J1393,MATCH(1,(F394:F1393=F394)*(I394:I1393=I394)*(L394:L1393=L394)*(J394:J1393&lt;&gt;""),0))),"Not Found")</f>
        <v>Suspension Noise</v>
      </c>
      <c r="L394" s="3" t="s">
        <v>189</v>
      </c>
      <c r="M394" s="0" t="str">
        <f aca="false">PROPER(L394)</f>
        <v>Battery</v>
      </c>
      <c r="N394" s="3" t="s">
        <v>109</v>
      </c>
      <c r="O394" s="0" t="str">
        <f aca="false" t="array" ref="O394:O394">IF(N394&lt;&gt;"",N394,_xlfn.xlookup(1,(L394:L1393=L394)*(N394:N1393&lt;&gt;""),N394:N1393,"Not Found"))</f>
        <v>Tijani</v>
      </c>
      <c r="P394" s="4" t="n">
        <v>87516</v>
      </c>
      <c r="Q394" s="0" t="s">
        <v>91</v>
      </c>
      <c r="R394" s="0" t="str">
        <f aca="false">PROPER(Q394)</f>
        <v>Pos</v>
      </c>
      <c r="S394" s="0" t="s">
        <v>63</v>
      </c>
      <c r="T394" s="0" t="n">
        <v>5</v>
      </c>
      <c r="U394" s="5" t="n">
        <f aca="false">IF(ISBLANK(T394),AVERAGE(T394:T1393),T394)</f>
        <v>5</v>
      </c>
      <c r="V394" s="0" t="n">
        <v>1.7</v>
      </c>
      <c r="W394" s="0" t="s">
        <v>92</v>
      </c>
      <c r="X394" s="0" t="str">
        <f aca="false">IF(ISBLANK(W394),"No remarks",W394)</f>
        <v>Urgent service</v>
      </c>
      <c r="Y394" s="0" t="s">
        <v>73</v>
      </c>
      <c r="Z394" s="0" t="s">
        <v>159</v>
      </c>
      <c r="AA394" s="0" t="str">
        <f aca="false">PROPER(IF(ISBLANK(Z394),"Location Unavailable",Z394))</f>
        <v>Main Bay</v>
      </c>
      <c r="AB394" s="0" t="s">
        <v>95</v>
      </c>
      <c r="AC394" s="6" t="str">
        <f aca="false">PROPER(AB394)</f>
        <v>Road Sign</v>
      </c>
      <c r="AD394" s="6" t="n">
        <v>60</v>
      </c>
      <c r="AE394" s="5" t="n">
        <f aca="false">IF(ISBLANK(AD394),AVERAGEIF(L394:L1393,L394,AD394:AD1393),AD394)</f>
        <v>60</v>
      </c>
      <c r="AF394" s="0" t="s">
        <v>76</v>
      </c>
      <c r="AG394" s="0" t="str">
        <f aca="false">PROPER(AF394)</f>
        <v>Orderd</v>
      </c>
      <c r="AH394" s="0" t="s">
        <v>155</v>
      </c>
      <c r="AI394" s="0" t="s">
        <v>98</v>
      </c>
      <c r="AJ394" s="0" t="str">
        <f aca="false">PROPER(AI394)</f>
        <v>Emergency</v>
      </c>
      <c r="AK394" s="0" t="s">
        <v>114</v>
      </c>
      <c r="AL394" s="0" t="str">
        <f aca="false">PROPER(AK394)</f>
        <v>Returning</v>
      </c>
      <c r="AM394" s="0" t="s">
        <v>2326</v>
      </c>
      <c r="AN394" s="0" t="str">
        <f aca="false">IF(ISBLANK(AM394),"Unknown",AM394)</f>
        <v>Government Convoy</v>
      </c>
      <c r="AO394" s="0" t="s">
        <v>149</v>
      </c>
      <c r="AP394" s="0" t="str">
        <f aca="false">IF(ISBLANK(AO394),"Unknown",AO394)</f>
        <v>Senior </v>
      </c>
      <c r="AQ394" s="0" t="n">
        <v>15000</v>
      </c>
      <c r="AR394" s="5" t="n">
        <f aca="false">IF(ISBLANK(AQ394),AVERAGEIF(M394:M1393,M394,AQ394:AQ1393),AQ394)</f>
        <v>15000</v>
      </c>
      <c r="AS394" s="0" t="n">
        <v>40000</v>
      </c>
      <c r="AT394" s="5" t="n">
        <f aca="false">IF(ISBLANK(AS394),AVERAGE(AS394:AS1393),AS394)</f>
        <v>40000</v>
      </c>
      <c r="AU394" s="0" t="s">
        <v>61</v>
      </c>
      <c r="AV394" s="0" t="str">
        <f aca="false">PROPER(IF(ISBLANK(AU394),"No",AU394))</f>
        <v>No</v>
      </c>
      <c r="AW394" s="0" t="n">
        <v>0</v>
      </c>
      <c r="AX394" s="5" t="n">
        <f aca="false">IF(ISBLANK(AW394),0,AW394)</f>
        <v>0</v>
      </c>
      <c r="AY394" s="0" t="s">
        <v>130</v>
      </c>
      <c r="AZ394" s="0" t="str">
        <f aca="false">UPPER(IF(ISBLANK(AY394),"NONE",AY394))</f>
        <v>LOYALTY10</v>
      </c>
      <c r="BB394" s="7" t="str">
        <f aca="false">IF(ISBLANK(BA394),"No Follow Up Needed",BA394)</f>
        <v>No Follow Up Needed</v>
      </c>
      <c r="BC394" s="0" t="s">
        <v>61</v>
      </c>
      <c r="BD394" s="0" t="str">
        <f aca="false">PROPER(IF(ISBLANK(BC394),"Unknown",BC394))</f>
        <v>No</v>
      </c>
      <c r="BF394" s="0" t="str">
        <f aca="false">IF(ISBLANK(BE394),"No comments",BE394)</f>
        <v>No comments</v>
      </c>
      <c r="BH394" s="0" t="str">
        <f aca="false">IF(ISBLANK(BG394),"No comments",BG394)</f>
        <v>No comments</v>
      </c>
      <c r="BJ394" s="0" t="str">
        <f aca="false">IF(ISBLANK(BI394),"Not Mentioned",BI394)</f>
        <v>Not Mentioned</v>
      </c>
      <c r="BL394" s="0" t="str">
        <f aca="false">PROPER(IF(ISBLANK(BK394),"Not Mentioned",BK394))</f>
        <v>Not Mentioned</v>
      </c>
      <c r="BM394" s="0" t="s">
        <v>63</v>
      </c>
      <c r="BN394" s="0" t="str">
        <f aca="false">PROPER(IF(ISBLANK(BM394),"Not Mentioned",BM394))</f>
        <v>Yes</v>
      </c>
      <c r="BO394" s="0" t="s">
        <v>2321</v>
      </c>
      <c r="BP394" s="0" t="str">
        <f aca="false">IF(ISBLANK(BO394),"One-Time Plan",BO394)</f>
        <v>One-Time Plan</v>
      </c>
      <c r="BQ394" s="0" t="s">
        <v>63</v>
      </c>
      <c r="BR394" s="0" t="str">
        <f aca="false">PROPER(IF(ISBLANK(BQ394),"No",BQ394))</f>
        <v>Yes</v>
      </c>
    </row>
    <row r="395" customFormat="false" ht="15" hidden="false" customHeight="false" outlineLevel="0" collapsed="false">
      <c r="A395" s="0" t="s">
        <v>1053</v>
      </c>
      <c r="B395" s="2" t="n">
        <v>45746</v>
      </c>
      <c r="C395" s="2" t="str">
        <f aca="false">TEXT(B395,"dd/mm/yyyy")</f>
        <v>30/03/2025</v>
      </c>
      <c r="D395" s="0" t="s">
        <v>66</v>
      </c>
      <c r="E395" s="0" t="n">
        <v>8077441055</v>
      </c>
      <c r="F395" s="0" t="s">
        <v>85</v>
      </c>
      <c r="G395" s="0" t="s">
        <v>2319</v>
      </c>
      <c r="H395" s="0" t="s">
        <v>1054</v>
      </c>
      <c r="I395" s="0" t="s">
        <v>45</v>
      </c>
      <c r="J395" s="0" t="s">
        <v>87</v>
      </c>
      <c r="K395" s="3" t="str">
        <f aca="false" t="array" ref="K395:K395">IFERROR(IF(J395&lt;&gt;"",J395,INDEX(J395:J1394,MATCH(1,(F395:F1394=F395)*(I395:I1394=I395)*(L395:L1394=L395)*(J395:J1394&lt;&gt;""),0))),"Not Found")</f>
        <v>Oil Change</v>
      </c>
      <c r="L395" s="3" t="s">
        <v>154</v>
      </c>
      <c r="M395" s="0" t="str">
        <f aca="false">PROPER(L395)</f>
        <v>Air Filter</v>
      </c>
      <c r="O395" s="0" t="e">
        <f aca="false" t="array" ref="O395:O395">IF(N395&lt;&gt;"",N395,_xlfn.xlookup(1,(L395:L1394=L395)*(N395:N1394&lt;&gt;""),N395:N1394,"Not Found"))</f>
        <v>#NAME?</v>
      </c>
      <c r="P395" s="4" t="n">
        <v>35382</v>
      </c>
      <c r="Q395" s="0" t="s">
        <v>91</v>
      </c>
      <c r="R395" s="0" t="str">
        <f aca="false">PROPER(Q395)</f>
        <v>Pos</v>
      </c>
      <c r="S395" s="0" t="s">
        <v>50</v>
      </c>
      <c r="T395" s="0" t="n">
        <v>1</v>
      </c>
      <c r="U395" s="5" t="n">
        <f aca="false">IF(ISBLANK(T395),AVERAGE(T395:T1394),T395)</f>
        <v>1</v>
      </c>
      <c r="V395" s="0" t="n">
        <v>5.3</v>
      </c>
      <c r="W395" s="0" t="s">
        <v>125</v>
      </c>
      <c r="X395" s="0" t="str">
        <f aca="false">IF(ISBLANK(W395),"No remarks",W395)</f>
        <v>Customer waited</v>
      </c>
      <c r="Y395" s="0" t="s">
        <v>93</v>
      </c>
      <c r="Z395" s="0" t="s">
        <v>74</v>
      </c>
      <c r="AA395" s="0" t="str">
        <f aca="false">PROPER(IF(ISBLANK(Z395),"Location Unavailable",Z395))</f>
        <v>Under Tree</v>
      </c>
      <c r="AB395" s="0" t="s">
        <v>126</v>
      </c>
      <c r="AC395" s="6" t="str">
        <f aca="false">PROPER(AB395)</f>
        <v>Whatsapp</v>
      </c>
      <c r="AD395" s="6" t="n">
        <v>45</v>
      </c>
      <c r="AE395" s="5" t="n">
        <f aca="false">IF(ISBLANK(AD395),AVERAGEIF(L395:L1394,L395,AD395:AD1394),AD395)</f>
        <v>45</v>
      </c>
      <c r="AF395" s="0" t="s">
        <v>96</v>
      </c>
      <c r="AG395" s="0" t="str">
        <f aca="false">PROPER(AF395)</f>
        <v>Ordered</v>
      </c>
      <c r="AH395" s="0" t="s">
        <v>148</v>
      </c>
      <c r="AI395" s="0" t="s">
        <v>78</v>
      </c>
      <c r="AJ395" s="0" t="str">
        <f aca="false">PROPER(AI395)</f>
        <v>Booking</v>
      </c>
      <c r="AK395" s="0" t="s">
        <v>196</v>
      </c>
      <c r="AL395" s="0" t="str">
        <f aca="false">PROPER(AK395)</f>
        <v>First Time</v>
      </c>
      <c r="AM395" s="0" t="s">
        <v>2324</v>
      </c>
      <c r="AN395" s="0" t="str">
        <f aca="false">IF(ISBLANK(AM395),"Unknown",AM395)</f>
        <v>Logistics Convoy</v>
      </c>
      <c r="AO395" s="0" t="s">
        <v>79</v>
      </c>
      <c r="AP395" s="0" t="str">
        <f aca="false">IF(ISBLANK(AO395),"Unknown",AO395)</f>
        <v>Specialist</v>
      </c>
      <c r="AQ395" s="0" t="n">
        <v>25000</v>
      </c>
      <c r="AR395" s="5" t="n">
        <f aca="false">IF(ISBLANK(AQ395),AVERAGEIF(M395:M1394,M395,AQ395:AQ1394),AQ395)</f>
        <v>25000</v>
      </c>
      <c r="AS395" s="0" t="n">
        <v>30000</v>
      </c>
      <c r="AT395" s="5" t="n">
        <f aca="false">IF(ISBLANK(AS395),AVERAGE(AS395:AS1394),AS395)</f>
        <v>30000</v>
      </c>
      <c r="AV395" s="0" t="str">
        <f aca="false">PROPER(IF(ISBLANK(AU395),"No",AU395))</f>
        <v>No</v>
      </c>
      <c r="AW395" s="0" t="n">
        <v>5000</v>
      </c>
      <c r="AX395" s="5" t="n">
        <f aca="false">IF(ISBLANK(AW395),0,AW395)</f>
        <v>5000</v>
      </c>
      <c r="AY395" s="0" t="s">
        <v>130</v>
      </c>
      <c r="AZ395" s="0" t="str">
        <f aca="false">UPPER(IF(ISBLANK(AY395),"NONE",AY395))</f>
        <v>LOYALTY10</v>
      </c>
      <c r="BA395" s="7" t="n">
        <v>45833</v>
      </c>
      <c r="BB395" s="7" t="n">
        <f aca="false">IF(ISBLANK(BA395),"No Follow Up Needed",BA395)</f>
        <v>45833</v>
      </c>
      <c r="BC395" s="0" t="s">
        <v>63</v>
      </c>
      <c r="BD395" s="0" t="str">
        <f aca="false">PROPER(IF(ISBLANK(BC395),"Unknown",BC395))</f>
        <v>Yes</v>
      </c>
      <c r="BE395" s="0" t="s">
        <v>116</v>
      </c>
      <c r="BF395" s="0" t="str">
        <f aca="false">IF(ISBLANK(BE395),"No comments",BE395)</f>
        <v>Needs tire alignment</v>
      </c>
      <c r="BG395" s="0" t="s">
        <v>2320</v>
      </c>
      <c r="BH395" s="0" t="str">
        <f aca="false">IF(ISBLANK(BG395),"No comments",BG395)</f>
        <v>No complaints</v>
      </c>
      <c r="BI395" s="0" t="s">
        <v>63</v>
      </c>
      <c r="BJ395" s="0" t="str">
        <f aca="false">IF(ISBLANK(BI395),"Not Mentioned",BI395)</f>
        <v>Yes</v>
      </c>
      <c r="BK395" s="0" t="s">
        <v>50</v>
      </c>
      <c r="BL395" s="0" t="str">
        <f aca="false">PROPER(IF(ISBLANK(BK395),"Not Mentioned",BK395))</f>
        <v>No</v>
      </c>
      <c r="BM395" s="0" t="s">
        <v>63</v>
      </c>
      <c r="BN395" s="0" t="str">
        <f aca="false">PROPER(IF(ISBLANK(BM395),"Not Mentioned",BM395))</f>
        <v>Yes</v>
      </c>
      <c r="BO395" s="0" t="s">
        <v>2318</v>
      </c>
      <c r="BP395" s="0" t="str">
        <f aca="false">IF(ISBLANK(BO395),"One-Time Plan",BO395)</f>
        <v>Gold</v>
      </c>
      <c r="BR395" s="0" t="str">
        <f aca="false">PROPER(IF(ISBLANK(BQ395),"No",BQ395))</f>
        <v>No</v>
      </c>
    </row>
    <row r="396" customFormat="false" ht="15" hidden="false" customHeight="false" outlineLevel="0" collapsed="false">
      <c r="A396" s="0" t="s">
        <v>1055</v>
      </c>
      <c r="B396" s="2" t="n">
        <v>45661</v>
      </c>
      <c r="C396" s="2" t="str">
        <f aca="false">TEXT(B396,"dd/mm/yyyy")</f>
        <v>04/01/2025</v>
      </c>
      <c r="D396" s="0" t="s">
        <v>66</v>
      </c>
      <c r="E396" s="0" t="n">
        <v>8071600090</v>
      </c>
      <c r="F396" s="0" t="s">
        <v>43</v>
      </c>
      <c r="G396" s="0" t="s">
        <v>2315</v>
      </c>
      <c r="H396" s="0" t="s">
        <v>1056</v>
      </c>
      <c r="I396" s="0" t="s">
        <v>69</v>
      </c>
      <c r="J396" s="0" t="s">
        <v>2325</v>
      </c>
      <c r="K396" s="3" t="str">
        <f aca="false" t="array" ref="K396:K396">IFERROR(IF(J396&lt;&gt;"",J396,INDEX(J396:J1395,MATCH(1,(F396:F1395=F396)*(I396:I1395=I396)*(L396:L1395=L396)*(J396:J1395&lt;&gt;""),0))),"Not Found")</f>
        <v>Engine Knocking</v>
      </c>
      <c r="L396" s="3" t="s">
        <v>89</v>
      </c>
      <c r="M396" s="0" t="str">
        <f aca="false">PROPER(L396)</f>
        <v>Shock Absorbers</v>
      </c>
      <c r="N396" s="3" t="s">
        <v>90</v>
      </c>
      <c r="O396" s="0" t="str">
        <f aca="false" t="array" ref="O396:O396">IF(N396&lt;&gt;"",N396,_xlfn.xlookup(1,(L396:L1395=L396)*(N396:N1395&lt;&gt;""),N396:N1395,"Not Found"))</f>
        <v>Musa</v>
      </c>
      <c r="P396" s="4" t="n">
        <v>101832</v>
      </c>
      <c r="Q396" s="0" t="s">
        <v>72</v>
      </c>
      <c r="R396" s="0" t="str">
        <f aca="false">PROPER(Q396)</f>
        <v>Pos</v>
      </c>
      <c r="S396" s="0" t="s">
        <v>50</v>
      </c>
      <c r="T396" s="0" t="n">
        <v>5</v>
      </c>
      <c r="U396" s="5" t="n">
        <f aca="false">IF(ISBLANK(T396),AVERAGE(T396:T1395),T396)</f>
        <v>5</v>
      </c>
      <c r="V396" s="0" t="n">
        <v>5.6</v>
      </c>
      <c r="X396" s="0" t="str">
        <f aca="false">IF(ISBLANK(W396),"No remarks",W396)</f>
        <v>No remarks</v>
      </c>
      <c r="Y396" s="0" t="s">
        <v>52</v>
      </c>
      <c r="AA396" s="0" t="str">
        <f aca="false">PROPER(IF(ISBLANK(Z396),"Location Unavailable",Z396))</f>
        <v>Location Unavailable</v>
      </c>
      <c r="AB396" s="0" t="s">
        <v>54</v>
      </c>
      <c r="AC396" s="6" t="str">
        <f aca="false">PROPER(AB396)</f>
        <v>Mechanic Referral</v>
      </c>
      <c r="AD396" s="6" t="n">
        <v>60</v>
      </c>
      <c r="AE396" s="5" t="n">
        <f aca="false">IF(ISBLANK(AD396),AVERAGEIF(L396:L1395,L396,AD396:AD1395),AD396)</f>
        <v>60</v>
      </c>
      <c r="AF396" s="0" t="s">
        <v>112</v>
      </c>
      <c r="AG396" s="0" t="str">
        <f aca="false">PROPER(AF396)</f>
        <v>Unavailable</v>
      </c>
      <c r="AH396" s="0" t="s">
        <v>155</v>
      </c>
      <c r="AI396" s="0" t="s">
        <v>98</v>
      </c>
      <c r="AJ396" s="0" t="str">
        <f aca="false">PROPER(AI396)</f>
        <v>Emergency</v>
      </c>
      <c r="AK396" s="0" t="s">
        <v>196</v>
      </c>
      <c r="AL396" s="0" t="str">
        <f aca="false">PROPER(AK396)</f>
        <v>First Time</v>
      </c>
      <c r="AM396" s="0" t="s">
        <v>59</v>
      </c>
      <c r="AN396" s="0" t="str">
        <f aca="false">IF(ISBLANK(AM396),"Unknown",AM396)</f>
        <v>Bolt Driver</v>
      </c>
      <c r="AP396" s="0" t="str">
        <f aca="false">IF(ISBLANK(AO396),"Unknown",AO396)</f>
        <v>Unknown</v>
      </c>
      <c r="AQ396" s="0" t="n">
        <v>40000</v>
      </c>
      <c r="AR396" s="5" t="n">
        <f aca="false">IF(ISBLANK(AQ396),AVERAGEIF(M396:M1395,M396,AQ396:AQ1395),AQ396)</f>
        <v>40000</v>
      </c>
      <c r="AS396" s="0" t="n">
        <v>35000</v>
      </c>
      <c r="AT396" s="5" t="n">
        <f aca="false">IF(ISBLANK(AS396),AVERAGE(AS396:AS1395),AS396)</f>
        <v>35000</v>
      </c>
      <c r="AU396" s="0" t="s">
        <v>61</v>
      </c>
      <c r="AV396" s="0" t="str">
        <f aca="false">PROPER(IF(ISBLANK(AU396),"No",AU396))</f>
        <v>No</v>
      </c>
      <c r="AW396" s="0" t="n">
        <v>10000</v>
      </c>
      <c r="AX396" s="5" t="n">
        <f aca="false">IF(ISBLANK(AW396),0,AW396)</f>
        <v>10000</v>
      </c>
      <c r="AY396" s="0" t="s">
        <v>184</v>
      </c>
      <c r="AZ396" s="0" t="str">
        <f aca="false">UPPER(IF(ISBLANK(AY396),"NONE",AY396))</f>
        <v>N/A</v>
      </c>
      <c r="BA396" s="7" t="s">
        <v>781</v>
      </c>
      <c r="BB396" s="7" t="str">
        <f aca="false">IF(ISBLANK(BA396),"No Follow Up Needed",BA396)</f>
        <v>13/08/2025</v>
      </c>
      <c r="BD396" s="0" t="str">
        <f aca="false">PROPER(IF(ISBLANK(BC396),"Unknown",BC396))</f>
        <v>Unknown</v>
      </c>
      <c r="BE396" s="0" t="s">
        <v>116</v>
      </c>
      <c r="BF396" s="0" t="str">
        <f aca="false">IF(ISBLANK(BE396),"No comments",BE396)</f>
        <v>Needs tire alignment</v>
      </c>
      <c r="BG396" s="0" t="s">
        <v>117</v>
      </c>
      <c r="BH396" s="0" t="str">
        <f aca="false">IF(ISBLANK(BG396),"No comments",BG396)</f>
        <v>Prefers morning</v>
      </c>
      <c r="BI396" s="0" t="s">
        <v>50</v>
      </c>
      <c r="BJ396" s="0" t="str">
        <f aca="false">IF(ISBLANK(BI396),"Not Mentioned",BI396)</f>
        <v>No</v>
      </c>
      <c r="BK396" s="0" t="s">
        <v>61</v>
      </c>
      <c r="BL396" s="0" t="str">
        <f aca="false">PROPER(IF(ISBLANK(BK396),"Not Mentioned",BK396))</f>
        <v>No</v>
      </c>
      <c r="BM396" s="0" t="s">
        <v>63</v>
      </c>
      <c r="BN396" s="0" t="str">
        <f aca="false">PROPER(IF(ISBLANK(BM396),"Not Mentioned",BM396))</f>
        <v>Yes</v>
      </c>
      <c r="BO396" s="0" t="s">
        <v>2318</v>
      </c>
      <c r="BP396" s="0" t="str">
        <f aca="false">IF(ISBLANK(BO396),"One-Time Plan",BO396)</f>
        <v>Gold</v>
      </c>
      <c r="BQ396" s="0" t="s">
        <v>50</v>
      </c>
      <c r="BR396" s="0" t="str">
        <f aca="false">PROPER(IF(ISBLANK(BQ396),"No",BQ396))</f>
        <v>No</v>
      </c>
    </row>
    <row r="397" customFormat="false" ht="15" hidden="false" customHeight="false" outlineLevel="0" collapsed="false">
      <c r="A397" s="0" t="s">
        <v>1057</v>
      </c>
      <c r="B397" s="2" t="n">
        <v>45718</v>
      </c>
      <c r="C397" s="2" t="str">
        <f aca="false">TEXT(B397,"dd/mm/yyyy")</f>
        <v>02/03/2025</v>
      </c>
      <c r="D397" s="0" t="s">
        <v>105</v>
      </c>
      <c r="E397" s="0" t="n">
        <v>8046969062</v>
      </c>
      <c r="F397" s="0" t="s">
        <v>67</v>
      </c>
      <c r="G397" s="0" t="s">
        <v>2316</v>
      </c>
      <c r="H397" s="0" t="s">
        <v>1058</v>
      </c>
      <c r="I397" s="0" t="s">
        <v>107</v>
      </c>
      <c r="J397" s="0" t="s">
        <v>87</v>
      </c>
      <c r="K397" s="3" t="str">
        <f aca="false" t="array" ref="K397:K397">IFERROR(IF(J397&lt;&gt;"",J397,INDEX(J397:J1396,MATCH(1,(F397:F1396=F397)*(I397:I1396=I397)*(L397:L1396=L397)*(J397:J1396&lt;&gt;""),0))),"Not Found")</f>
        <v>Oil Change</v>
      </c>
      <c r="L397" s="3" t="s">
        <v>89</v>
      </c>
      <c r="M397" s="0" t="str">
        <f aca="false">PROPER(L397)</f>
        <v>Shock Absorbers</v>
      </c>
      <c r="N397" s="3" t="s">
        <v>90</v>
      </c>
      <c r="O397" s="0" t="str">
        <f aca="false" t="array" ref="O397:O397">IF(N397&lt;&gt;"",N397,_xlfn.xlookup(1,(L397:L1396=L397)*(N397:N1396&lt;&gt;""),N397:N1396,"Not Found"))</f>
        <v>Musa</v>
      </c>
      <c r="P397" s="4" t="n">
        <v>58067</v>
      </c>
      <c r="Q397" s="0" t="s">
        <v>49</v>
      </c>
      <c r="R397" s="0" t="str">
        <f aca="false">PROPER(Q397)</f>
        <v>Transfer</v>
      </c>
      <c r="S397" s="0" t="s">
        <v>50</v>
      </c>
      <c r="U397" s="5" t="n">
        <f aca="false">IF(ISBLANK(T397),AVERAGE(T397:T1396),T397)</f>
        <v>3.06</v>
      </c>
      <c r="V397" s="0" t="n">
        <v>3.9</v>
      </c>
      <c r="W397" s="0" t="s">
        <v>92</v>
      </c>
      <c r="X397" s="0" t="str">
        <f aca="false">IF(ISBLANK(W397),"No remarks",W397)</f>
        <v>Urgent service</v>
      </c>
      <c r="Y397" s="0" t="s">
        <v>93</v>
      </c>
      <c r="Z397" s="0" t="s">
        <v>94</v>
      </c>
      <c r="AA397" s="0" t="str">
        <f aca="false">PROPER(IF(ISBLANK(Z397),"Location Unavailable",Z397))</f>
        <v>Vip Section</v>
      </c>
      <c r="AB397" s="0" t="s">
        <v>54</v>
      </c>
      <c r="AC397" s="6" t="str">
        <f aca="false">PROPER(AB397)</f>
        <v>Mechanic Referral</v>
      </c>
      <c r="AD397" s="6" t="n">
        <v>45</v>
      </c>
      <c r="AE397" s="5" t="n">
        <f aca="false">IF(ISBLANK(AD397),AVERAGEIF(L397:L1396,L397,AD397:AD1396),AD397)</f>
        <v>45</v>
      </c>
      <c r="AF397" s="0" t="s">
        <v>55</v>
      </c>
      <c r="AG397" s="0" t="str">
        <f aca="false">PROPER(AF397)</f>
        <v>Available</v>
      </c>
      <c r="AH397" s="0" t="s">
        <v>77</v>
      </c>
      <c r="AI397" s="0" t="s">
        <v>128</v>
      </c>
      <c r="AJ397" s="0" t="str">
        <f aca="false">PROPER(AI397)</f>
        <v>Normal</v>
      </c>
      <c r="AK397" s="0" t="s">
        <v>58</v>
      </c>
      <c r="AL397" s="0" t="str">
        <f aca="false">PROPER(AK397)</f>
        <v>Fleet Owner</v>
      </c>
      <c r="AN397" s="0" t="str">
        <f aca="false">IF(ISBLANK(AM397),"Unknown",AM397)</f>
        <v>Unknown</v>
      </c>
      <c r="AO397" s="0" t="s">
        <v>149</v>
      </c>
      <c r="AP397" s="0" t="str">
        <f aca="false">IF(ISBLANK(AO397),"Unknown",AO397)</f>
        <v>Senior </v>
      </c>
      <c r="AQ397" s="0" t="n">
        <v>20000</v>
      </c>
      <c r="AR397" s="5" t="n">
        <f aca="false">IF(ISBLANK(AQ397),AVERAGEIF(M397:M1396,M397,AQ397:AQ1396),AQ397)</f>
        <v>20000</v>
      </c>
      <c r="AS397" s="0" t="n">
        <v>40000</v>
      </c>
      <c r="AT397" s="5" t="n">
        <f aca="false">IF(ISBLANK(AS397),AVERAGE(AS397:AS1396),AS397)</f>
        <v>40000</v>
      </c>
      <c r="AU397" s="0" t="s">
        <v>63</v>
      </c>
      <c r="AV397" s="0" t="str">
        <f aca="false">PROPER(IF(ISBLANK(AU397),"No",AU397))</f>
        <v>Yes</v>
      </c>
      <c r="AW397" s="0" t="n">
        <v>5000</v>
      </c>
      <c r="AX397" s="5" t="n">
        <f aca="false">IF(ISBLANK(AW397),0,AW397)</f>
        <v>5000</v>
      </c>
      <c r="AY397" s="0" t="s">
        <v>60</v>
      </c>
      <c r="AZ397" s="0" t="str">
        <f aca="false">UPPER(IF(ISBLANK(AY397),"NONE",AY397))</f>
        <v>NONE</v>
      </c>
      <c r="BB397" s="7" t="str">
        <f aca="false">IF(ISBLANK(BA397),"No Follow Up Needed",BA397)</f>
        <v>No Follow Up Needed</v>
      </c>
      <c r="BC397" s="0" t="s">
        <v>63</v>
      </c>
      <c r="BD397" s="0" t="str">
        <f aca="false">PROPER(IF(ISBLANK(BC397),"Unknown",BC397))</f>
        <v>Yes</v>
      </c>
      <c r="BF397" s="0" t="str">
        <f aca="false">IF(ISBLANK(BE397),"No comments",BE397)</f>
        <v>No comments</v>
      </c>
      <c r="BG397" s="0" t="s">
        <v>2320</v>
      </c>
      <c r="BH397" s="0" t="str">
        <f aca="false">IF(ISBLANK(BG397),"No comments",BG397)</f>
        <v>No complaints</v>
      </c>
      <c r="BI397" s="0" t="s">
        <v>63</v>
      </c>
      <c r="BJ397" s="0" t="str">
        <f aca="false">IF(ISBLANK(BI397),"Not Mentioned",BI397)</f>
        <v>Yes</v>
      </c>
      <c r="BK397" s="0" t="s">
        <v>61</v>
      </c>
      <c r="BL397" s="0" t="str">
        <f aca="false">PROPER(IF(ISBLANK(BK397),"Not Mentioned",BK397))</f>
        <v>No</v>
      </c>
      <c r="BM397" s="0" t="s">
        <v>63</v>
      </c>
      <c r="BN397" s="0" t="str">
        <f aca="false">PROPER(IF(ISBLANK(BM397),"Not Mentioned",BM397))</f>
        <v>Yes</v>
      </c>
      <c r="BO397" s="0" t="s">
        <v>64</v>
      </c>
      <c r="BP397" s="0" t="str">
        <f aca="false">IF(ISBLANK(BO397),"One-Time Plan",BO397)</f>
        <v>Gold Maintenance Plan</v>
      </c>
      <c r="BQ397" s="0" t="s">
        <v>50</v>
      </c>
      <c r="BR397" s="0" t="str">
        <f aca="false">PROPER(IF(ISBLANK(BQ397),"No",BQ397))</f>
        <v>No</v>
      </c>
    </row>
    <row r="398" customFormat="false" ht="15" hidden="false" customHeight="false" outlineLevel="0" collapsed="false">
      <c r="A398" s="0" t="s">
        <v>1059</v>
      </c>
      <c r="B398" s="2" t="n">
        <v>45818</v>
      </c>
      <c r="C398" s="2" t="str">
        <f aca="false">TEXT(B398,"dd/mm/yyyy")</f>
        <v>10/06/2025</v>
      </c>
      <c r="D398" s="0" t="s">
        <v>42</v>
      </c>
      <c r="E398" s="0" t="n">
        <v>8037072082</v>
      </c>
      <c r="F398" s="0" t="s">
        <v>85</v>
      </c>
      <c r="G398" s="0" t="s">
        <v>2319</v>
      </c>
      <c r="H398" s="0" t="s">
        <v>1060</v>
      </c>
      <c r="I398" s="0" t="s">
        <v>107</v>
      </c>
      <c r="J398" s="0" t="s">
        <v>2322</v>
      </c>
      <c r="K398" s="3" t="str">
        <f aca="false" t="array" ref="K398:K398">IFERROR(IF(J398&lt;&gt;"",J398,INDEX(J398:J1397,MATCH(1,(F398:F1397=F398)*(I398:I1397=I398)*(L398:L1397=L398)*(J398:J1397&lt;&gt;""),0))),"Not Found")</f>
        <v>Brake Failure</v>
      </c>
      <c r="L398" s="3" t="s">
        <v>108</v>
      </c>
      <c r="M398" s="0" t="str">
        <f aca="false">PROPER(L398)</f>
        <v>Timing Belt</v>
      </c>
      <c r="N398" s="3" t="s">
        <v>109</v>
      </c>
      <c r="O398" s="0" t="str">
        <f aca="false" t="array" ref="O398:O398">IF(N398&lt;&gt;"",N398,_xlfn.xlookup(1,(L398:L1397=L398)*(N398:N1397&lt;&gt;""),N398:N1397,"Not Found"))</f>
        <v>Tijani</v>
      </c>
      <c r="P398" s="4" t="n">
        <v>55871</v>
      </c>
      <c r="Q398" s="0" t="s">
        <v>91</v>
      </c>
      <c r="R398" s="0" t="str">
        <f aca="false">PROPER(Q398)</f>
        <v>Pos</v>
      </c>
      <c r="S398" s="0" t="s">
        <v>63</v>
      </c>
      <c r="T398" s="0" t="n">
        <v>3</v>
      </c>
      <c r="U398" s="5" t="n">
        <f aca="false">IF(ISBLANK(T398),AVERAGE(T398:T1397),T398)</f>
        <v>3</v>
      </c>
      <c r="V398" s="0" t="n">
        <v>2.1</v>
      </c>
      <c r="W398" s="0" t="s">
        <v>125</v>
      </c>
      <c r="X398" s="0" t="str">
        <f aca="false">IF(ISBLANK(W398),"No remarks",W398)</f>
        <v>Customer waited</v>
      </c>
      <c r="Y398" s="0" t="s">
        <v>52</v>
      </c>
      <c r="Z398" s="0" t="s">
        <v>136</v>
      </c>
      <c r="AA398" s="0" t="str">
        <f aca="false">PROPER(IF(ISBLANK(Z398),"Location Unavailable",Z398))</f>
        <v>Vip Section</v>
      </c>
      <c r="AB398" s="0" t="s">
        <v>54</v>
      </c>
      <c r="AC398" s="6" t="str">
        <f aca="false">PROPER(AB398)</f>
        <v>Mechanic Referral</v>
      </c>
      <c r="AD398" s="6" t="n">
        <v>15</v>
      </c>
      <c r="AE398" s="5" t="n">
        <f aca="false">IF(ISBLANK(AD398),AVERAGEIF(L398:L1397,L398,AD398:AD1397),AD398)</f>
        <v>15</v>
      </c>
      <c r="AF398" s="0" t="s">
        <v>160</v>
      </c>
      <c r="AG398" s="0" t="str">
        <f aca="false">PROPER(AF398)</f>
        <v>Availaible</v>
      </c>
      <c r="AH398" s="0" t="s">
        <v>155</v>
      </c>
      <c r="AI398" s="0" t="s">
        <v>78</v>
      </c>
      <c r="AJ398" s="0" t="str">
        <f aca="false">PROPER(AI398)</f>
        <v>Booking</v>
      </c>
      <c r="AK398" s="0" t="s">
        <v>196</v>
      </c>
      <c r="AL398" s="0" t="str">
        <f aca="false">PROPER(AK398)</f>
        <v>First Time</v>
      </c>
      <c r="AM398" s="0" t="s">
        <v>2326</v>
      </c>
      <c r="AN398" s="0" t="str">
        <f aca="false">IF(ISBLANK(AM398),"Unknown",AM398)</f>
        <v>Government Convoy</v>
      </c>
      <c r="AO398" s="0" t="s">
        <v>79</v>
      </c>
      <c r="AP398" s="0" t="str">
        <f aca="false">IF(ISBLANK(AO398),"Unknown",AO398)</f>
        <v>Specialist</v>
      </c>
      <c r="AQ398" s="0" t="n">
        <v>40000</v>
      </c>
      <c r="AR398" s="5" t="n">
        <f aca="false">IF(ISBLANK(AQ398),AVERAGEIF(M398:M1397,M398,AQ398:AQ1397),AQ398)</f>
        <v>40000</v>
      </c>
      <c r="AS398" s="0" t="n">
        <v>20000</v>
      </c>
      <c r="AT398" s="5" t="n">
        <f aca="false">IF(ISBLANK(AS398),AVERAGE(AS398:AS1397),AS398)</f>
        <v>20000</v>
      </c>
      <c r="AU398" s="0" t="s">
        <v>61</v>
      </c>
      <c r="AV398" s="0" t="str">
        <f aca="false">PROPER(IF(ISBLANK(AU398),"No",AU398))</f>
        <v>No</v>
      </c>
      <c r="AX398" s="5" t="n">
        <f aca="false">IF(ISBLANK(AW398),0,AW398)</f>
        <v>0</v>
      </c>
      <c r="AY398" s="0" t="s">
        <v>60</v>
      </c>
      <c r="AZ398" s="0" t="str">
        <f aca="false">UPPER(IF(ISBLANK(AY398),"NONE",AY398))</f>
        <v>NONE</v>
      </c>
      <c r="BB398" s="7" t="str">
        <f aca="false">IF(ISBLANK(BA398),"No Follow Up Needed",BA398)</f>
        <v>No Follow Up Needed</v>
      </c>
      <c r="BC398" s="0" t="s">
        <v>50</v>
      </c>
      <c r="BD398" s="0" t="str">
        <f aca="false">PROPER(IF(ISBLANK(BC398),"Unknown",BC398))</f>
        <v>No</v>
      </c>
      <c r="BF398" s="0" t="str">
        <f aca="false">IF(ISBLANK(BE398),"No comments",BE398)</f>
        <v>No comments</v>
      </c>
      <c r="BH398" s="0" t="str">
        <f aca="false">IF(ISBLANK(BG398),"No comments",BG398)</f>
        <v>No comments</v>
      </c>
      <c r="BI398" s="0" t="s">
        <v>50</v>
      </c>
      <c r="BJ398" s="0" t="str">
        <f aca="false">IF(ISBLANK(BI398),"Not Mentioned",BI398)</f>
        <v>No</v>
      </c>
      <c r="BK398" s="0" t="s">
        <v>61</v>
      </c>
      <c r="BL398" s="0" t="str">
        <f aca="false">PROPER(IF(ISBLANK(BK398),"Not Mentioned",BK398))</f>
        <v>No</v>
      </c>
      <c r="BM398" s="0" t="s">
        <v>50</v>
      </c>
      <c r="BN398" s="0" t="str">
        <f aca="false">PROPER(IF(ISBLANK(BM398),"Not Mentioned",BM398))</f>
        <v>No</v>
      </c>
      <c r="BO398" s="0" t="s">
        <v>2321</v>
      </c>
      <c r="BP398" s="0" t="str">
        <f aca="false">IF(ISBLANK(BO398),"One-Time Plan",BO398)</f>
        <v>One-Time Plan</v>
      </c>
      <c r="BQ398" s="0" t="s">
        <v>190</v>
      </c>
      <c r="BR398" s="0" t="str">
        <f aca="false">PROPER(IF(ISBLANK(BQ398),"No",BQ398))</f>
        <v>Yes</v>
      </c>
    </row>
    <row r="399" customFormat="false" ht="15" hidden="false" customHeight="false" outlineLevel="0" collapsed="false">
      <c r="A399" s="0" t="s">
        <v>1061</v>
      </c>
      <c r="B399" s="2" t="n">
        <v>45800</v>
      </c>
      <c r="C399" s="2" t="str">
        <f aca="false">TEXT(B399,"dd/mm/yyyy")</f>
        <v>23/05/2025</v>
      </c>
      <c r="D399" s="0" t="s">
        <v>105</v>
      </c>
      <c r="E399" s="0" t="n">
        <v>8010999023</v>
      </c>
      <c r="F399" s="0" t="s">
        <v>85</v>
      </c>
      <c r="G399" s="0" t="s">
        <v>2319</v>
      </c>
      <c r="H399" s="0" t="s">
        <v>1062</v>
      </c>
      <c r="I399" s="0" t="s">
        <v>45</v>
      </c>
      <c r="J399" s="0" t="s">
        <v>2322</v>
      </c>
      <c r="K399" s="3" t="str">
        <f aca="false" t="array" ref="K399:K399">IFERROR(IF(J399&lt;&gt;"",J399,INDEX(J399:J1398,MATCH(1,(F399:F1398=F399)*(I399:I1398=I399)*(L399:L1398=L399)*(J399:J1398&lt;&gt;""),0))),"Not Found")</f>
        <v>Brake Failure</v>
      </c>
      <c r="L399" s="3" t="s">
        <v>154</v>
      </c>
      <c r="M399" s="0" t="str">
        <f aca="false">PROPER(L399)</f>
        <v>Air Filter</v>
      </c>
      <c r="N399" s="3" t="s">
        <v>71</v>
      </c>
      <c r="O399" s="0" t="str">
        <f aca="false" t="array" ref="O399:O399">IF(N399&lt;&gt;"",N399,_xlfn.xlookup(1,(L399:L1398=L399)*(N399:N1398&lt;&gt;""),N399:N1398,"Not Found"))</f>
        <v>Isaac Bobo</v>
      </c>
      <c r="P399" s="4" t="n">
        <v>104578</v>
      </c>
      <c r="Q399" s="0" t="s">
        <v>49</v>
      </c>
      <c r="R399" s="0" t="str">
        <f aca="false">PROPER(Q399)</f>
        <v>Transfer</v>
      </c>
      <c r="S399" s="0" t="s">
        <v>63</v>
      </c>
      <c r="T399" s="0" t="n">
        <v>4</v>
      </c>
      <c r="U399" s="5" t="n">
        <f aca="false">IF(ISBLANK(T399),AVERAGE(T399:T1398),T399)</f>
        <v>4</v>
      </c>
      <c r="V399" s="0" t="n">
        <v>4.9</v>
      </c>
      <c r="W399" s="0" t="s">
        <v>92</v>
      </c>
      <c r="X399" s="0" t="str">
        <f aca="false">IF(ISBLANK(W399),"No remarks",W399)</f>
        <v>Urgent service</v>
      </c>
      <c r="Y399" s="0" t="s">
        <v>52</v>
      </c>
      <c r="Z399" s="0" t="s">
        <v>74</v>
      </c>
      <c r="AA399" s="0" t="str">
        <f aca="false">PROPER(IF(ISBLANK(Z399),"Location Unavailable",Z399))</f>
        <v>Under Tree</v>
      </c>
      <c r="AB399" s="0" t="s">
        <v>167</v>
      </c>
      <c r="AC399" s="6" t="str">
        <f aca="false">PROPER(AB399)</f>
        <v>Word Of Mouth</v>
      </c>
      <c r="AD399" s="6" t="n">
        <v>45</v>
      </c>
      <c r="AE399" s="5" t="n">
        <f aca="false">IF(ISBLANK(AD399),AVERAGEIF(L399:L1398,L399,AD399:AD1398),AD399)</f>
        <v>45</v>
      </c>
      <c r="AF399" s="0" t="s">
        <v>112</v>
      </c>
      <c r="AG399" s="0" t="str">
        <f aca="false">PROPER(AF399)</f>
        <v>Unavailable</v>
      </c>
      <c r="AH399" s="0" t="s">
        <v>155</v>
      </c>
      <c r="AI399" s="0" t="s">
        <v>98</v>
      </c>
      <c r="AJ399" s="0" t="str">
        <f aca="false">PROPER(AI399)</f>
        <v>Emergency</v>
      </c>
      <c r="AK399" s="0" t="s">
        <v>196</v>
      </c>
      <c r="AL399" s="0" t="str">
        <f aca="false">PROPER(AK399)</f>
        <v>First Time</v>
      </c>
      <c r="AM399" s="0" t="s">
        <v>59</v>
      </c>
      <c r="AN399" s="0" t="str">
        <f aca="false">IF(ISBLANK(AM399),"Unknown",AM399)</f>
        <v>Bolt Driver</v>
      </c>
      <c r="AO399" s="0" t="s">
        <v>79</v>
      </c>
      <c r="AP399" s="0" t="str">
        <f aca="false">IF(ISBLANK(AO399),"Unknown",AO399)</f>
        <v>Specialist</v>
      </c>
      <c r="AQ399" s="0" t="n">
        <v>20000</v>
      </c>
      <c r="AR399" s="5" t="n">
        <f aca="false">IF(ISBLANK(AQ399),AVERAGEIF(M399:M1398,M399,AQ399:AQ1398),AQ399)</f>
        <v>20000</v>
      </c>
      <c r="AS399" s="0" t="n">
        <v>40000</v>
      </c>
      <c r="AT399" s="5" t="n">
        <f aca="false">IF(ISBLANK(AS399),AVERAGE(AS399:AS1398),AS399)</f>
        <v>40000</v>
      </c>
      <c r="AU399" s="0" t="s">
        <v>50</v>
      </c>
      <c r="AV399" s="0" t="str">
        <f aca="false">PROPER(IF(ISBLANK(AU399),"No",AU399))</f>
        <v>No</v>
      </c>
      <c r="AW399" s="0" t="n">
        <v>10000</v>
      </c>
      <c r="AX399" s="5" t="n">
        <f aca="false">IF(ISBLANK(AW399),0,AW399)</f>
        <v>10000</v>
      </c>
      <c r="AY399" s="0" t="s">
        <v>130</v>
      </c>
      <c r="AZ399" s="0" t="str">
        <f aca="false">UPPER(IF(ISBLANK(AY399),"NONE",AY399))</f>
        <v>LOYALTY10</v>
      </c>
      <c r="BA399" s="7" t="s">
        <v>1063</v>
      </c>
      <c r="BB399" s="7" t="str">
        <f aca="false">IF(ISBLANK(BA399),"No Follow Up Needed",BA399)</f>
        <v>16/11/2025</v>
      </c>
      <c r="BC399" s="0" t="s">
        <v>61</v>
      </c>
      <c r="BD399" s="0" t="str">
        <f aca="false">PROPER(IF(ISBLANK(BC399),"Unknown",BC399))</f>
        <v>No</v>
      </c>
      <c r="BE399" s="0" t="s">
        <v>116</v>
      </c>
      <c r="BF399" s="0" t="str">
        <f aca="false">IF(ISBLANK(BE399),"No comments",BE399)</f>
        <v>Needs tire alignment</v>
      </c>
      <c r="BH399" s="0" t="str">
        <f aca="false">IF(ISBLANK(BG399),"No comments",BG399)</f>
        <v>No comments</v>
      </c>
      <c r="BI399" s="0" t="s">
        <v>63</v>
      </c>
      <c r="BJ399" s="0" t="str">
        <f aca="false">IF(ISBLANK(BI399),"Not Mentioned",BI399)</f>
        <v>Yes</v>
      </c>
      <c r="BK399" s="0" t="s">
        <v>63</v>
      </c>
      <c r="BL399" s="0" t="str">
        <f aca="false">PROPER(IF(ISBLANK(BK399),"Not Mentioned",BK399))</f>
        <v>Yes</v>
      </c>
      <c r="BM399" s="0" t="s">
        <v>63</v>
      </c>
      <c r="BN399" s="0" t="str">
        <f aca="false">PROPER(IF(ISBLANK(BM399),"Not Mentioned",BM399))</f>
        <v>Yes</v>
      </c>
      <c r="BO399" s="0" t="s">
        <v>2318</v>
      </c>
      <c r="BP399" s="0" t="str">
        <f aca="false">IF(ISBLANK(BO399),"One-Time Plan",BO399)</f>
        <v>Gold</v>
      </c>
      <c r="BQ399" s="0" t="s">
        <v>50</v>
      </c>
      <c r="BR399" s="0" t="str">
        <f aca="false">PROPER(IF(ISBLANK(BQ399),"No",BQ399))</f>
        <v>No</v>
      </c>
    </row>
    <row r="400" customFormat="false" ht="15" hidden="false" customHeight="false" outlineLevel="0" collapsed="false">
      <c r="A400" s="0" t="s">
        <v>1064</v>
      </c>
      <c r="B400" s="2" t="n">
        <v>45745</v>
      </c>
      <c r="C400" s="2" t="str">
        <f aca="false">TEXT(B400,"dd/mm/yyyy")</f>
        <v>29/03/2025</v>
      </c>
      <c r="D400" s="0" t="s">
        <v>121</v>
      </c>
      <c r="E400" s="0" t="n">
        <v>8029151794</v>
      </c>
      <c r="F400" s="0" t="s">
        <v>122</v>
      </c>
      <c r="G400" s="0" t="s">
        <v>2316</v>
      </c>
      <c r="H400" s="0" t="s">
        <v>996</v>
      </c>
      <c r="I400" s="0" t="s">
        <v>134</v>
      </c>
      <c r="J400" s="0" t="s">
        <v>2325</v>
      </c>
      <c r="K400" s="3" t="str">
        <f aca="false" t="array" ref="K400:K400">IFERROR(IF(J400&lt;&gt;"",J400,INDEX(J400:J1399,MATCH(1,(F400:F1399=F400)*(I400:I1399=I400)*(L400:L1399=L400)*(J400:J1399&lt;&gt;""),0))),"Not Found")</f>
        <v>Engine Knocking</v>
      </c>
      <c r="L400" s="3" t="s">
        <v>142</v>
      </c>
      <c r="M400" s="0" t="str">
        <f aca="false">PROPER(L400)</f>
        <v>Oil Filter, Brake Pads</v>
      </c>
      <c r="N400" s="3" t="s">
        <v>48</v>
      </c>
      <c r="O400" s="0" t="str">
        <f aca="false" t="array" ref="O400:O400">IF(N400&lt;&gt;"",N400,_xlfn.xlookup(1,(L400:L1399=L400)*(N400:N1399&lt;&gt;""),N400:N1399,"Not Found"))</f>
        <v>Uche</v>
      </c>
      <c r="P400" s="4" t="n">
        <v>59872</v>
      </c>
      <c r="Q400" s="0" t="s">
        <v>110</v>
      </c>
      <c r="R400" s="0" t="str">
        <f aca="false">PROPER(Q400)</f>
        <v>Cash</v>
      </c>
      <c r="S400" s="0" t="s">
        <v>63</v>
      </c>
      <c r="T400" s="0" t="n">
        <v>4</v>
      </c>
      <c r="U400" s="5" t="n">
        <f aca="false">IF(ISBLANK(T400),AVERAGE(T400:T1399),T400)</f>
        <v>4</v>
      </c>
      <c r="V400" s="0" t="n">
        <v>1.4</v>
      </c>
      <c r="W400" s="0" t="s">
        <v>51</v>
      </c>
      <c r="X400" s="0" t="str">
        <f aca="false">IF(ISBLANK(W400),"No remarks",W400)</f>
        <v>Recommended further checks</v>
      </c>
      <c r="Y400" s="0" t="s">
        <v>93</v>
      </c>
      <c r="Z400" s="0" t="s">
        <v>53</v>
      </c>
      <c r="AA400" s="0" t="str">
        <f aca="false">PROPER(IF(ISBLANK(Z400),"Location Unavailable",Z400))</f>
        <v>Main Bay</v>
      </c>
      <c r="AB400" s="0" t="s">
        <v>167</v>
      </c>
      <c r="AC400" s="6" t="str">
        <f aca="false">PROPER(AB400)</f>
        <v>Word Of Mouth</v>
      </c>
      <c r="AD400" s="6" t="n">
        <v>15</v>
      </c>
      <c r="AE400" s="5" t="n">
        <f aca="false">IF(ISBLANK(AD400),AVERAGEIF(L400:L1399,L400,AD400:AD1399),AD400)</f>
        <v>15</v>
      </c>
      <c r="AF400" s="0" t="s">
        <v>55</v>
      </c>
      <c r="AG400" s="0" t="str">
        <f aca="false">PROPER(AF400)</f>
        <v>Available</v>
      </c>
      <c r="AH400" s="0" t="s">
        <v>56</v>
      </c>
      <c r="AI400" s="0" t="s">
        <v>128</v>
      </c>
      <c r="AJ400" s="0" t="str">
        <f aca="false">PROPER(AI400)</f>
        <v>Normal</v>
      </c>
      <c r="AK400" s="0" t="s">
        <v>99</v>
      </c>
      <c r="AL400" s="0" t="str">
        <f aca="false">PROPER(AK400)</f>
        <v>Uber Driver</v>
      </c>
      <c r="AM400" s="0" t="s">
        <v>59</v>
      </c>
      <c r="AN400" s="0" t="str">
        <f aca="false">IF(ISBLANK(AM400),"Unknown",AM400)</f>
        <v>Bolt Driver</v>
      </c>
      <c r="AO400" s="0" t="s">
        <v>161</v>
      </c>
      <c r="AP400" s="0" t="str">
        <f aca="false">IF(ISBLANK(AO400),"Unknown",AO400)</f>
        <v>Apprentice</v>
      </c>
      <c r="AQ400" s="0" t="n">
        <v>20000</v>
      </c>
      <c r="AR400" s="5" t="n">
        <f aca="false">IF(ISBLANK(AQ400),AVERAGEIF(M400:M1399,M400,AQ400:AQ1399),AQ400)</f>
        <v>20000</v>
      </c>
      <c r="AT400" s="5" t="n">
        <f aca="false">IF(ISBLANK(AS400),AVERAGE(AS400:AS1399),AS400)</f>
        <v>31428.5714285714</v>
      </c>
      <c r="AV400" s="0" t="str">
        <f aca="false">PROPER(IF(ISBLANK(AU400),"No",AU400))</f>
        <v>No</v>
      </c>
      <c r="AW400" s="0" t="n">
        <v>0</v>
      </c>
      <c r="AX400" s="5" t="n">
        <f aca="false">IF(ISBLANK(AW400),0,AW400)</f>
        <v>0</v>
      </c>
      <c r="AY400" s="0" t="s">
        <v>60</v>
      </c>
      <c r="AZ400" s="0" t="str">
        <f aca="false">UPPER(IF(ISBLANK(AY400),"NONE",AY400))</f>
        <v>NONE</v>
      </c>
      <c r="BA400" s="7" t="n">
        <v>45971</v>
      </c>
      <c r="BB400" s="7" t="n">
        <f aca="false">IF(ISBLANK(BA400),"No Follow Up Needed",BA400)</f>
        <v>45971</v>
      </c>
      <c r="BC400" s="0" t="s">
        <v>50</v>
      </c>
      <c r="BD400" s="0" t="str">
        <f aca="false">PROPER(IF(ISBLANK(BC400),"Unknown",BC400))</f>
        <v>No</v>
      </c>
      <c r="BE400" s="0" t="s">
        <v>116</v>
      </c>
      <c r="BF400" s="0" t="str">
        <f aca="false">IF(ISBLANK(BE400),"No comments",BE400)</f>
        <v>Needs tire alignment</v>
      </c>
      <c r="BG400" s="0" t="s">
        <v>2320</v>
      </c>
      <c r="BH400" s="0" t="str">
        <f aca="false">IF(ISBLANK(BG400),"No comments",BG400)</f>
        <v>No complaints</v>
      </c>
      <c r="BI400" s="0" t="s">
        <v>50</v>
      </c>
      <c r="BJ400" s="0" t="str">
        <f aca="false">IF(ISBLANK(BI400),"Not Mentioned",BI400)</f>
        <v>No</v>
      </c>
      <c r="BL400" s="0" t="str">
        <f aca="false">PROPER(IF(ISBLANK(BK400),"Not Mentioned",BK400))</f>
        <v>Not Mentioned</v>
      </c>
      <c r="BM400" s="0" t="s">
        <v>63</v>
      </c>
      <c r="BN400" s="0" t="str">
        <f aca="false">PROPER(IF(ISBLANK(BM400),"Not Mentioned",BM400))</f>
        <v>Yes</v>
      </c>
      <c r="BO400" s="0" t="s">
        <v>2318</v>
      </c>
      <c r="BP400" s="0" t="str">
        <f aca="false">IF(ISBLANK(BO400),"One-Time Plan",BO400)</f>
        <v>Gold</v>
      </c>
      <c r="BR400" s="0" t="str">
        <f aca="false">PROPER(IF(ISBLANK(BQ400),"No",BQ400))</f>
        <v>No</v>
      </c>
    </row>
    <row r="401" customFormat="false" ht="15" hidden="false" customHeight="false" outlineLevel="0" collapsed="false">
      <c r="A401" s="0" t="s">
        <v>1065</v>
      </c>
      <c r="B401" s="2" t="n">
        <v>45814</v>
      </c>
      <c r="C401" s="2" t="str">
        <f aca="false">TEXT(B401,"dd/mm/yyyy")</f>
        <v>06/06/2025</v>
      </c>
      <c r="D401" s="0" t="s">
        <v>121</v>
      </c>
      <c r="E401" s="0" t="n">
        <v>8069825080</v>
      </c>
      <c r="F401" s="0" t="s">
        <v>85</v>
      </c>
      <c r="G401" s="0" t="s">
        <v>2319</v>
      </c>
      <c r="H401" s="0" t="s">
        <v>1066</v>
      </c>
      <c r="I401" s="0" t="s">
        <v>107</v>
      </c>
      <c r="J401" s="0" t="s">
        <v>2317</v>
      </c>
      <c r="K401" s="3" t="str">
        <f aca="false" t="array" ref="K401:K401">IFERROR(IF(J401&lt;&gt;"",J401,INDEX(J401:J1400,MATCH(1,(F401:F1400=F401)*(I401:I1400=I401)*(L401:L1400=L401)*(J401:J1400&lt;&gt;""),0))),"Not Found")</f>
        <v>Suspension Noise</v>
      </c>
      <c r="L401" s="3" t="s">
        <v>47</v>
      </c>
      <c r="M401" s="0" t="str">
        <f aca="false">PROPER(L401)</f>
        <v>None</v>
      </c>
      <c r="N401" s="3" t="s">
        <v>109</v>
      </c>
      <c r="O401" s="0" t="str">
        <f aca="false" t="array" ref="O401:O401">IF(N401&lt;&gt;"",N401,_xlfn.xlookup(1,(L401:L1400=L401)*(N401:N1400&lt;&gt;""),N401:N1400,"Not Found"))</f>
        <v>Tijani</v>
      </c>
      <c r="P401" s="4" t="n">
        <v>113674</v>
      </c>
      <c r="Q401" s="0" t="s">
        <v>166</v>
      </c>
      <c r="R401" s="0" t="str">
        <f aca="false">PROPER(Q401)</f>
        <v>Transfer</v>
      </c>
      <c r="S401" s="0" t="s">
        <v>50</v>
      </c>
      <c r="T401" s="0" t="n">
        <v>5</v>
      </c>
      <c r="U401" s="5" t="n">
        <f aca="false">IF(ISBLANK(T401),AVERAGE(T401:T1400),T401)</f>
        <v>5</v>
      </c>
      <c r="V401" s="0" t="n">
        <v>5.1</v>
      </c>
      <c r="W401" s="0" t="s">
        <v>51</v>
      </c>
      <c r="X401" s="0" t="str">
        <f aca="false">IF(ISBLANK(W401),"No remarks",W401)</f>
        <v>Recommended further checks</v>
      </c>
      <c r="Y401" s="0" t="s">
        <v>73</v>
      </c>
      <c r="Z401" s="0" t="s">
        <v>136</v>
      </c>
      <c r="AA401" s="0" t="str">
        <f aca="false">PROPER(IF(ISBLANK(Z401),"Location Unavailable",Z401))</f>
        <v>Vip Section</v>
      </c>
      <c r="AB401" s="0" t="s">
        <v>147</v>
      </c>
      <c r="AC401" s="6" t="str">
        <f aca="false">PROPER(AB401)</f>
        <v>Instagram</v>
      </c>
      <c r="AD401" s="6" t="n">
        <v>30</v>
      </c>
      <c r="AE401" s="5" t="n">
        <f aca="false">IF(ISBLANK(AD401),AVERAGEIF(L401:L1400,L401,AD401:AD1400),AD401)</f>
        <v>30</v>
      </c>
      <c r="AF401" s="0" t="s">
        <v>76</v>
      </c>
      <c r="AG401" s="0" t="str">
        <f aca="false">PROPER(AF401)</f>
        <v>Orderd</v>
      </c>
      <c r="AH401" s="0" t="s">
        <v>148</v>
      </c>
      <c r="AI401" s="0" t="s">
        <v>113</v>
      </c>
      <c r="AJ401" s="0" t="str">
        <f aca="false">PROPER(AI401)</f>
        <v>Normal</v>
      </c>
      <c r="AK401" s="0" t="s">
        <v>99</v>
      </c>
      <c r="AL401" s="0" t="str">
        <f aca="false">PROPER(AK401)</f>
        <v>Uber Driver</v>
      </c>
      <c r="AN401" s="0" t="str">
        <f aca="false">IF(ISBLANK(AM401),"Unknown",AM401)</f>
        <v>Unknown</v>
      </c>
      <c r="AO401" s="0" t="s">
        <v>149</v>
      </c>
      <c r="AP401" s="0" t="str">
        <f aca="false">IF(ISBLANK(AO401),"Unknown",AO401)</f>
        <v>Senior </v>
      </c>
      <c r="AQ401" s="0" t="n">
        <v>20000</v>
      </c>
      <c r="AR401" s="5" t="n">
        <f aca="false">IF(ISBLANK(AQ401),AVERAGEIF(M401:M1400,M401,AQ401:AQ1400),AQ401)</f>
        <v>20000</v>
      </c>
      <c r="AS401" s="0" t="n">
        <v>30000</v>
      </c>
      <c r="AT401" s="5" t="n">
        <f aca="false">IF(ISBLANK(AS401),AVERAGE(AS401:AS1400),AS401)</f>
        <v>30000</v>
      </c>
      <c r="AU401" s="0" t="s">
        <v>61</v>
      </c>
      <c r="AV401" s="0" t="str">
        <f aca="false">PROPER(IF(ISBLANK(AU401),"No",AU401))</f>
        <v>No</v>
      </c>
      <c r="AW401" s="0" t="n">
        <v>10000</v>
      </c>
      <c r="AX401" s="5" t="n">
        <f aca="false">IF(ISBLANK(AW401),0,AW401)</f>
        <v>10000</v>
      </c>
      <c r="AZ401" s="0" t="str">
        <f aca="false">UPPER(IF(ISBLANK(AY401),"NONE",AY401))</f>
        <v>NONE</v>
      </c>
      <c r="BA401" s="7" t="s">
        <v>245</v>
      </c>
      <c r="BB401" s="7" t="str">
        <f aca="false">IF(ISBLANK(BA401),"No Follow Up Needed",BA401)</f>
        <v>17/12/2025</v>
      </c>
      <c r="BC401" s="0" t="s">
        <v>50</v>
      </c>
      <c r="BD401" s="0" t="str">
        <f aca="false">PROPER(IF(ISBLANK(BC401),"Unknown",BC401))</f>
        <v>No</v>
      </c>
      <c r="BE401" s="0" t="s">
        <v>171</v>
      </c>
      <c r="BF401" s="0" t="str">
        <f aca="false">IF(ISBLANK(BE401),"No comments",BE401)</f>
        <v>Shock absorber weakening</v>
      </c>
      <c r="BG401" s="0" t="s">
        <v>172</v>
      </c>
      <c r="BH401" s="0" t="str">
        <f aca="false">IF(ISBLANK(BG401),"No comments",BG401)</f>
        <v>Always late</v>
      </c>
      <c r="BI401" s="0" t="s">
        <v>63</v>
      </c>
      <c r="BJ401" s="0" t="str">
        <f aca="false">IF(ISBLANK(BI401),"Not Mentioned",BI401)</f>
        <v>Yes</v>
      </c>
      <c r="BK401" s="0" t="s">
        <v>61</v>
      </c>
      <c r="BL401" s="0" t="str">
        <f aca="false">PROPER(IF(ISBLANK(BK401),"Not Mentioned",BK401))</f>
        <v>No</v>
      </c>
      <c r="BM401" s="0" t="s">
        <v>50</v>
      </c>
      <c r="BN401" s="0" t="str">
        <f aca="false">PROPER(IF(ISBLANK(BM401),"Not Mentioned",BM401))</f>
        <v>No</v>
      </c>
      <c r="BP401" s="0" t="str">
        <f aca="false">IF(ISBLANK(BO401),"One-Time Plan",BO401)</f>
        <v>One-Time Plan</v>
      </c>
      <c r="BQ401" s="0" t="s">
        <v>198</v>
      </c>
      <c r="BR401" s="0" t="str">
        <f aca="false">PROPER(IF(ISBLANK(BQ401),"No",BQ401))</f>
        <v>Followed Up</v>
      </c>
    </row>
    <row r="402" customFormat="false" ht="15" hidden="false" customHeight="false" outlineLevel="0" collapsed="false">
      <c r="A402" s="0" t="s">
        <v>1067</v>
      </c>
      <c r="B402" s="2" t="n">
        <v>45719</v>
      </c>
      <c r="C402" s="2" t="str">
        <f aca="false">TEXT(B402,"dd/mm/yyyy")</f>
        <v>03/03/2025</v>
      </c>
      <c r="D402" s="0" t="s">
        <v>42</v>
      </c>
      <c r="E402" s="0" t="n">
        <v>8018585913</v>
      </c>
      <c r="F402" s="0" t="s">
        <v>139</v>
      </c>
      <c r="G402" s="0" t="s">
        <v>2323</v>
      </c>
      <c r="H402" s="0" t="s">
        <v>1068</v>
      </c>
      <c r="I402" s="0" t="s">
        <v>87</v>
      </c>
      <c r="J402" s="0" t="s">
        <v>2317</v>
      </c>
      <c r="K402" s="3" t="str">
        <f aca="false" t="array" ref="K402:K402">IFERROR(IF(J402&lt;&gt;"",J402,INDEX(J402:J1401,MATCH(1,(F402:F1401=F402)*(I402:I1401=I402)*(L402:L1401=L402)*(J402:J1401&lt;&gt;""),0))),"Not Found")</f>
        <v>Suspension Noise</v>
      </c>
      <c r="L402" s="3" t="s">
        <v>108</v>
      </c>
      <c r="M402" s="0" t="str">
        <f aca="false">PROPER(L402)</f>
        <v>Timing Belt</v>
      </c>
      <c r="N402" s="3" t="s">
        <v>48</v>
      </c>
      <c r="O402" s="0" t="str">
        <f aca="false" t="array" ref="O402:O402">IF(N402&lt;&gt;"",N402,_xlfn.xlookup(1,(L402:L1401=L402)*(N402:N1401&lt;&gt;""),N402:N1401,"Not Found"))</f>
        <v>Uche</v>
      </c>
      <c r="P402" s="4" t="n">
        <v>18653</v>
      </c>
      <c r="Q402" s="0" t="s">
        <v>72</v>
      </c>
      <c r="R402" s="0" t="str">
        <f aca="false">PROPER(Q402)</f>
        <v>Pos</v>
      </c>
      <c r="S402" s="0" t="s">
        <v>63</v>
      </c>
      <c r="T402" s="0" t="n">
        <v>3</v>
      </c>
      <c r="U402" s="5" t="n">
        <f aca="false">IF(ISBLANK(T402),AVERAGE(T402:T1401),T402)</f>
        <v>3</v>
      </c>
      <c r="V402" s="0" t="n">
        <v>2.6</v>
      </c>
      <c r="X402" s="0" t="str">
        <f aca="false">IF(ISBLANK(W402),"No remarks",W402)</f>
        <v>No remarks</v>
      </c>
      <c r="Y402" s="0" t="s">
        <v>73</v>
      </c>
      <c r="Z402" s="0" t="s">
        <v>159</v>
      </c>
      <c r="AA402" s="0" t="str">
        <f aca="false">PROPER(IF(ISBLANK(Z402),"Location Unavailable",Z402))</f>
        <v>Main Bay</v>
      </c>
      <c r="AB402" s="0" t="s">
        <v>75</v>
      </c>
      <c r="AC402" s="6" t="str">
        <f aca="false">PROPER(AB402)</f>
        <v>Mechanik Referal</v>
      </c>
      <c r="AD402" s="6" t="n">
        <v>45</v>
      </c>
      <c r="AE402" s="5" t="n">
        <f aca="false">IF(ISBLANK(AD402),AVERAGEIF(L402:L1401,L402,AD402:AD1401),AD402)</f>
        <v>45</v>
      </c>
      <c r="AF402" s="0" t="s">
        <v>55</v>
      </c>
      <c r="AG402" s="0" t="str">
        <f aca="false">PROPER(AF402)</f>
        <v>Available</v>
      </c>
      <c r="AH402" s="0" t="s">
        <v>56</v>
      </c>
      <c r="AI402" s="0" t="s">
        <v>78</v>
      </c>
      <c r="AJ402" s="0" t="str">
        <f aca="false">PROPER(AI402)</f>
        <v>Booking</v>
      </c>
      <c r="AK402" s="0" t="s">
        <v>114</v>
      </c>
      <c r="AL402" s="0" t="str">
        <f aca="false">PROPER(AK402)</f>
        <v>Returning</v>
      </c>
      <c r="AM402" s="0" t="s">
        <v>2326</v>
      </c>
      <c r="AN402" s="0" t="str">
        <f aca="false">IF(ISBLANK(AM402),"Unknown",AM402)</f>
        <v>Government Convoy</v>
      </c>
      <c r="AP402" s="0" t="str">
        <f aca="false">IF(ISBLANK(AO402),"Unknown",AO402)</f>
        <v>Unknown</v>
      </c>
      <c r="AQ402" s="0" t="n">
        <v>20000</v>
      </c>
      <c r="AR402" s="5" t="n">
        <f aca="false">IF(ISBLANK(AQ402),AVERAGEIF(M402:M1401,M402,AQ402:AQ1401),AQ402)</f>
        <v>20000</v>
      </c>
      <c r="AS402" s="0" t="n">
        <v>35000</v>
      </c>
      <c r="AT402" s="5" t="n">
        <f aca="false">IF(ISBLANK(AS402),AVERAGE(AS402:AS1401),AS402)</f>
        <v>35000</v>
      </c>
      <c r="AU402" s="0" t="s">
        <v>61</v>
      </c>
      <c r="AV402" s="0" t="str">
        <f aca="false">PROPER(IF(ISBLANK(AU402),"No",AU402))</f>
        <v>No</v>
      </c>
      <c r="AW402" s="0" t="n">
        <v>5000</v>
      </c>
      <c r="AX402" s="5" t="n">
        <f aca="false">IF(ISBLANK(AW402),0,AW402)</f>
        <v>5000</v>
      </c>
      <c r="AZ402" s="0" t="str">
        <f aca="false">UPPER(IF(ISBLANK(AY402),"NONE",AY402))</f>
        <v>NONE</v>
      </c>
      <c r="BB402" s="7" t="str">
        <f aca="false">IF(ISBLANK(BA402),"No Follow Up Needed",BA402)</f>
        <v>No Follow Up Needed</v>
      </c>
      <c r="BD402" s="0" t="str">
        <f aca="false">PROPER(IF(ISBLANK(BC402),"Unknown",BC402))</f>
        <v>Unknown</v>
      </c>
      <c r="BF402" s="0" t="str">
        <f aca="false">IF(ISBLANK(BE402),"No comments",BE402)</f>
        <v>No comments</v>
      </c>
      <c r="BG402" s="0" t="s">
        <v>117</v>
      </c>
      <c r="BH402" s="0" t="str">
        <f aca="false">IF(ISBLANK(BG402),"No comments",BG402)</f>
        <v>Prefers morning</v>
      </c>
      <c r="BI402" s="0" t="s">
        <v>50</v>
      </c>
      <c r="BJ402" s="0" t="str">
        <f aca="false">IF(ISBLANK(BI402),"Not Mentioned",BI402)</f>
        <v>No</v>
      </c>
      <c r="BL402" s="0" t="str">
        <f aca="false">PROPER(IF(ISBLANK(BK402),"Not Mentioned",BK402))</f>
        <v>Not Mentioned</v>
      </c>
      <c r="BM402" s="0" t="s">
        <v>63</v>
      </c>
      <c r="BN402" s="0" t="str">
        <f aca="false">PROPER(IF(ISBLANK(BM402),"Not Mentioned",BM402))</f>
        <v>Yes</v>
      </c>
      <c r="BP402" s="0" t="str">
        <f aca="false">IF(ISBLANK(BO402),"One-Time Plan",BO402)</f>
        <v>One-Time Plan</v>
      </c>
      <c r="BQ402" s="0" t="s">
        <v>198</v>
      </c>
      <c r="BR402" s="0" t="str">
        <f aca="false">PROPER(IF(ISBLANK(BQ402),"No",BQ402))</f>
        <v>Followed Up</v>
      </c>
    </row>
    <row r="403" customFormat="false" ht="15" hidden="false" customHeight="false" outlineLevel="0" collapsed="false">
      <c r="A403" s="0" t="s">
        <v>1069</v>
      </c>
      <c r="B403" s="2" t="n">
        <v>45737</v>
      </c>
      <c r="C403" s="2" t="str">
        <f aca="false">TEXT(B403,"dd/mm/yyyy")</f>
        <v>21/03/2025</v>
      </c>
      <c r="D403" s="0" t="s">
        <v>105</v>
      </c>
      <c r="E403" s="0" t="n">
        <v>8063584671</v>
      </c>
      <c r="F403" s="0" t="s">
        <v>67</v>
      </c>
      <c r="G403" s="0" t="s">
        <v>2316</v>
      </c>
      <c r="H403" s="0" t="s">
        <v>1070</v>
      </c>
      <c r="I403" s="0" t="s">
        <v>69</v>
      </c>
      <c r="J403" s="0" t="s">
        <v>87</v>
      </c>
      <c r="K403" s="3" t="str">
        <f aca="false" t="array" ref="K403:K403">IFERROR(IF(J403&lt;&gt;"",J403,INDEX(J403:J1402,MATCH(1,(F403:F1402=F403)*(I403:I1402=I403)*(L403:L1402=L403)*(J403:J1402&lt;&gt;""),0))),"Not Found")</f>
        <v>Oil Change</v>
      </c>
      <c r="L403" s="3" t="s">
        <v>47</v>
      </c>
      <c r="M403" s="0" t="str">
        <f aca="false">PROPER(L403)</f>
        <v>None</v>
      </c>
      <c r="N403" s="3" t="s">
        <v>48</v>
      </c>
      <c r="O403" s="0" t="str">
        <f aca="false" t="array" ref="O403:O403">IF(N403&lt;&gt;"",N403,_xlfn.xlookup(1,(L403:L1402=L403)*(N403:N1402&lt;&gt;""),N403:N1402,"Not Found"))</f>
        <v>Uche</v>
      </c>
      <c r="P403" s="4" t="n">
        <v>116229</v>
      </c>
      <c r="Q403" s="0" t="s">
        <v>166</v>
      </c>
      <c r="R403" s="0" t="str">
        <f aca="false">PROPER(Q403)</f>
        <v>Transfer</v>
      </c>
      <c r="S403" s="0" t="s">
        <v>63</v>
      </c>
      <c r="U403" s="5" t="n">
        <f aca="false">IF(ISBLANK(T403),AVERAGE(T403:T1402),T403)</f>
        <v>3.05252525252525</v>
      </c>
      <c r="V403" s="0" t="n">
        <v>3.5</v>
      </c>
      <c r="W403" s="0" t="s">
        <v>125</v>
      </c>
      <c r="X403" s="0" t="str">
        <f aca="false">IF(ISBLANK(W403),"No remarks",W403)</f>
        <v>Customer waited</v>
      </c>
      <c r="Y403" s="0" t="s">
        <v>52</v>
      </c>
      <c r="Z403" s="0" t="s">
        <v>94</v>
      </c>
      <c r="AA403" s="0" t="str">
        <f aca="false">PROPER(IF(ISBLANK(Z403),"Location Unavailable",Z403))</f>
        <v>Vip Section</v>
      </c>
      <c r="AB403" s="0" t="s">
        <v>75</v>
      </c>
      <c r="AC403" s="6" t="str">
        <f aca="false">PROPER(AB403)</f>
        <v>Mechanik Referal</v>
      </c>
      <c r="AE403" s="5" t="n">
        <f aca="false">IF(ISBLANK(AD403),AVERAGEIF(L403:L1402,L403,AD403:AD1402),AD403)</f>
        <v>36.2</v>
      </c>
      <c r="AF403" s="0" t="s">
        <v>96</v>
      </c>
      <c r="AG403" s="0" t="str">
        <f aca="false">PROPER(AF403)</f>
        <v>Ordered</v>
      </c>
      <c r="AH403" s="0" t="s">
        <v>155</v>
      </c>
      <c r="AI403" s="0" t="s">
        <v>98</v>
      </c>
      <c r="AJ403" s="0" t="str">
        <f aca="false">PROPER(AI403)</f>
        <v>Emergency</v>
      </c>
      <c r="AK403" s="0" t="s">
        <v>58</v>
      </c>
      <c r="AL403" s="0" t="str">
        <f aca="false">PROPER(AK403)</f>
        <v>Fleet Owner</v>
      </c>
      <c r="AN403" s="0" t="str">
        <f aca="false">IF(ISBLANK(AM403),"Unknown",AM403)</f>
        <v>Unknown</v>
      </c>
      <c r="AO403" s="0" t="s">
        <v>79</v>
      </c>
      <c r="AP403" s="0" t="str">
        <f aca="false">IF(ISBLANK(AO403),"Unknown",AO403)</f>
        <v>Specialist</v>
      </c>
      <c r="AQ403" s="0" t="n">
        <v>40000</v>
      </c>
      <c r="AR403" s="5" t="n">
        <f aca="false">IF(ISBLANK(AQ403),AVERAGEIF(M403:M1402,M403,AQ403:AQ1402),AQ403)</f>
        <v>40000</v>
      </c>
      <c r="AS403" s="0" t="n">
        <v>30000</v>
      </c>
      <c r="AT403" s="5" t="n">
        <f aca="false">IF(ISBLANK(AS403),AVERAGE(AS403:AS1402),AS403)</f>
        <v>30000</v>
      </c>
      <c r="AU403" s="0" t="s">
        <v>61</v>
      </c>
      <c r="AV403" s="0" t="str">
        <f aca="false">PROPER(IF(ISBLANK(AU403),"No",AU403))</f>
        <v>No</v>
      </c>
      <c r="AX403" s="5" t="n">
        <f aca="false">IF(ISBLANK(AW403),0,AW403)</f>
        <v>0</v>
      </c>
      <c r="AZ403" s="0" t="str">
        <f aca="false">UPPER(IF(ISBLANK(AY403),"NONE",AY403))</f>
        <v>NONE</v>
      </c>
      <c r="BA403" s="7" t="n">
        <v>45870</v>
      </c>
      <c r="BB403" s="7" t="n">
        <f aca="false">IF(ISBLANK(BA403),"No Follow Up Needed",BA403)</f>
        <v>45870</v>
      </c>
      <c r="BD403" s="0" t="str">
        <f aca="false">PROPER(IF(ISBLANK(BC403),"Unknown",BC403))</f>
        <v>Unknown</v>
      </c>
      <c r="BE403" s="0" t="s">
        <v>171</v>
      </c>
      <c r="BF403" s="0" t="str">
        <f aca="false">IF(ISBLANK(BE403),"No comments",BE403)</f>
        <v>Shock absorber weakening</v>
      </c>
      <c r="BG403" s="0" t="s">
        <v>172</v>
      </c>
      <c r="BH403" s="0" t="str">
        <f aca="false">IF(ISBLANK(BG403),"No comments",BG403)</f>
        <v>Always late</v>
      </c>
      <c r="BI403" s="0" t="s">
        <v>50</v>
      </c>
      <c r="BJ403" s="0" t="str">
        <f aca="false">IF(ISBLANK(BI403),"Not Mentioned",BI403)</f>
        <v>No</v>
      </c>
      <c r="BK403" s="0" t="s">
        <v>61</v>
      </c>
      <c r="BL403" s="0" t="str">
        <f aca="false">PROPER(IF(ISBLANK(BK403),"Not Mentioned",BK403))</f>
        <v>No</v>
      </c>
      <c r="BN403" s="0" t="str">
        <f aca="false">PROPER(IF(ISBLANK(BM403),"Not Mentioned",BM403))</f>
        <v>Not Mentioned</v>
      </c>
      <c r="BO403" s="0" t="s">
        <v>64</v>
      </c>
      <c r="BP403" s="0" t="str">
        <f aca="false">IF(ISBLANK(BO403),"One-Time Plan",BO403)</f>
        <v>Gold Maintenance Plan</v>
      </c>
      <c r="BQ403" s="0" t="s">
        <v>50</v>
      </c>
      <c r="BR403" s="0" t="str">
        <f aca="false">PROPER(IF(ISBLANK(BQ403),"No",BQ403))</f>
        <v>No</v>
      </c>
    </row>
    <row r="404" customFormat="false" ht="15" hidden="false" customHeight="false" outlineLevel="0" collapsed="false">
      <c r="A404" s="0" t="s">
        <v>1071</v>
      </c>
      <c r="B404" s="2" t="n">
        <v>45742</v>
      </c>
      <c r="C404" s="2" t="str">
        <f aca="false">TEXT(B404,"dd/mm/yyyy")</f>
        <v>26/03/2025</v>
      </c>
      <c r="D404" s="0" t="s">
        <v>121</v>
      </c>
      <c r="E404" s="0" t="n">
        <v>8091181404</v>
      </c>
      <c r="F404" s="0" t="s">
        <v>85</v>
      </c>
      <c r="G404" s="0" t="s">
        <v>2319</v>
      </c>
      <c r="H404" s="0" t="s">
        <v>1072</v>
      </c>
      <c r="I404" s="0" t="s">
        <v>69</v>
      </c>
      <c r="J404" s="0" t="s">
        <v>2325</v>
      </c>
      <c r="K404" s="3" t="str">
        <f aca="false" t="array" ref="K404:K404">IFERROR(IF(J404&lt;&gt;"",J404,INDEX(J404:J1403,MATCH(1,(F404:F1403=F404)*(I404:I1403=I404)*(L404:L1403=L404)*(J404:J1403&lt;&gt;""),0))),"Not Found")</f>
        <v>Engine Knocking</v>
      </c>
      <c r="L404" s="3" t="s">
        <v>89</v>
      </c>
      <c r="M404" s="0" t="str">
        <f aca="false">PROPER(L404)</f>
        <v>Shock Absorbers</v>
      </c>
      <c r="N404" s="3" t="s">
        <v>71</v>
      </c>
      <c r="O404" s="0" t="str">
        <f aca="false" t="array" ref="O404:O404">IF(N404&lt;&gt;"",N404,_xlfn.xlookup(1,(L404:L1403=L404)*(N404:N1403&lt;&gt;""),N404:N1403,"Not Found"))</f>
        <v>Isaac Bobo</v>
      </c>
      <c r="P404" s="4" t="n">
        <v>107270</v>
      </c>
      <c r="Q404" s="0" t="s">
        <v>49</v>
      </c>
      <c r="R404" s="0" t="str">
        <f aca="false">PROPER(Q404)</f>
        <v>Transfer</v>
      </c>
      <c r="S404" s="0" t="s">
        <v>63</v>
      </c>
      <c r="T404" s="0" t="n">
        <v>3</v>
      </c>
      <c r="U404" s="5" t="n">
        <f aca="false">IF(ISBLANK(T404),AVERAGE(T404:T1403),T404)</f>
        <v>3</v>
      </c>
      <c r="V404" s="0" t="n">
        <v>4.8</v>
      </c>
      <c r="W404" s="0" t="s">
        <v>51</v>
      </c>
      <c r="X404" s="0" t="str">
        <f aca="false">IF(ISBLANK(W404),"No remarks",W404)</f>
        <v>Recommended further checks</v>
      </c>
      <c r="Y404" s="0" t="s">
        <v>93</v>
      </c>
      <c r="Z404" s="0" t="s">
        <v>159</v>
      </c>
      <c r="AA404" s="0" t="str">
        <f aca="false">PROPER(IF(ISBLANK(Z404),"Location Unavailable",Z404))</f>
        <v>Main Bay</v>
      </c>
      <c r="AB404" s="0" t="s">
        <v>95</v>
      </c>
      <c r="AC404" s="6" t="str">
        <f aca="false">PROPER(AB404)</f>
        <v>Road Sign</v>
      </c>
      <c r="AD404" s="6" t="n">
        <v>45</v>
      </c>
      <c r="AE404" s="5" t="n">
        <f aca="false">IF(ISBLANK(AD404),AVERAGEIF(L404:L1403,L404,AD404:AD1403),AD404)</f>
        <v>45</v>
      </c>
      <c r="AF404" s="0" t="s">
        <v>96</v>
      </c>
      <c r="AG404" s="0" t="str">
        <f aca="false">PROPER(AF404)</f>
        <v>Ordered</v>
      </c>
      <c r="AH404" s="0" t="s">
        <v>56</v>
      </c>
      <c r="AI404" s="0" t="s">
        <v>98</v>
      </c>
      <c r="AJ404" s="0" t="str">
        <f aca="false">PROPER(AI404)</f>
        <v>Emergency</v>
      </c>
      <c r="AK404" s="0" t="s">
        <v>196</v>
      </c>
      <c r="AL404" s="0" t="str">
        <f aca="false">PROPER(AK404)</f>
        <v>First Time</v>
      </c>
      <c r="AM404" s="0" t="s">
        <v>177</v>
      </c>
      <c r="AN404" s="0" t="str">
        <f aca="false">IF(ISBLANK(AM404),"Unknown",AM404)</f>
        <v>Private</v>
      </c>
      <c r="AO404" s="0" t="s">
        <v>161</v>
      </c>
      <c r="AP404" s="0" t="str">
        <f aca="false">IF(ISBLANK(AO404),"Unknown",AO404)</f>
        <v>Apprentice</v>
      </c>
      <c r="AQ404" s="0" t="n">
        <v>25000</v>
      </c>
      <c r="AR404" s="5" t="n">
        <f aca="false">IF(ISBLANK(AQ404),AVERAGEIF(M404:M1403,M404,AQ404:AQ1403),AQ404)</f>
        <v>25000</v>
      </c>
      <c r="AS404" s="0" t="n">
        <v>30000</v>
      </c>
      <c r="AT404" s="5" t="n">
        <f aca="false">IF(ISBLANK(AS404),AVERAGE(AS404:AS1403),AS404)</f>
        <v>30000</v>
      </c>
      <c r="AV404" s="0" t="str">
        <f aca="false">PROPER(IF(ISBLANK(AU404),"No",AU404))</f>
        <v>No</v>
      </c>
      <c r="AW404" s="0" t="n">
        <v>0</v>
      </c>
      <c r="AX404" s="5" t="n">
        <f aca="false">IF(ISBLANK(AW404),0,AW404)</f>
        <v>0</v>
      </c>
      <c r="AY404" s="0" t="s">
        <v>80</v>
      </c>
      <c r="AZ404" s="0" t="str">
        <f aca="false">UPPER(IF(ISBLANK(AY404),"NONE",AY404))</f>
        <v>PROMO10</v>
      </c>
      <c r="BA404" s="7" t="n">
        <v>45696</v>
      </c>
      <c r="BB404" s="7" t="n">
        <f aca="false">IF(ISBLANK(BA404),"No Follow Up Needed",BA404)</f>
        <v>45696</v>
      </c>
      <c r="BC404" s="0" t="s">
        <v>50</v>
      </c>
      <c r="BD404" s="0" t="str">
        <f aca="false">PROPER(IF(ISBLANK(BC404),"Unknown",BC404))</f>
        <v>No</v>
      </c>
      <c r="BE404" s="0" t="s">
        <v>171</v>
      </c>
      <c r="BF404" s="0" t="str">
        <f aca="false">IF(ISBLANK(BE404),"No comments",BE404)</f>
        <v>Shock absorber weakening</v>
      </c>
      <c r="BG404" s="0" t="s">
        <v>172</v>
      </c>
      <c r="BH404" s="0" t="str">
        <f aca="false">IF(ISBLANK(BG404),"No comments",BG404)</f>
        <v>Always late</v>
      </c>
      <c r="BI404" s="0" t="s">
        <v>50</v>
      </c>
      <c r="BJ404" s="0" t="str">
        <f aca="false">IF(ISBLANK(BI404),"Not Mentioned",BI404)</f>
        <v>No</v>
      </c>
      <c r="BL404" s="0" t="str">
        <f aca="false">PROPER(IF(ISBLANK(BK404),"Not Mentioned",BK404))</f>
        <v>Not Mentioned</v>
      </c>
      <c r="BM404" s="0" t="s">
        <v>63</v>
      </c>
      <c r="BN404" s="0" t="str">
        <f aca="false">PROPER(IF(ISBLANK(BM404),"Not Mentioned",BM404))</f>
        <v>Yes</v>
      </c>
      <c r="BO404" s="0" t="s">
        <v>2321</v>
      </c>
      <c r="BP404" s="0" t="str">
        <f aca="false">IF(ISBLANK(BO404),"One-Time Plan",BO404)</f>
        <v>One-Time Plan</v>
      </c>
      <c r="BQ404" s="0" t="s">
        <v>50</v>
      </c>
      <c r="BR404" s="0" t="str">
        <f aca="false">PROPER(IF(ISBLANK(BQ404),"No",BQ404))</f>
        <v>No</v>
      </c>
    </row>
    <row r="405" customFormat="false" ht="15" hidden="false" customHeight="false" outlineLevel="0" collapsed="false">
      <c r="A405" s="0" t="s">
        <v>1073</v>
      </c>
      <c r="B405" s="2" t="n">
        <v>45806</v>
      </c>
      <c r="C405" s="2" t="str">
        <f aca="false">TEXT(B405,"dd/mm/yyyy")</f>
        <v>29/05/2025</v>
      </c>
      <c r="D405" s="0" t="s">
        <v>66</v>
      </c>
      <c r="E405" s="0" t="n">
        <v>8043130320</v>
      </c>
      <c r="F405" s="0" t="s">
        <v>67</v>
      </c>
      <c r="G405" s="0" t="s">
        <v>2316</v>
      </c>
      <c r="H405" s="0" t="s">
        <v>1074</v>
      </c>
      <c r="I405" s="0" t="s">
        <v>87</v>
      </c>
      <c r="J405" s="0" t="s">
        <v>2322</v>
      </c>
      <c r="K405" s="3" t="str">
        <f aca="false" t="array" ref="K405:K405">IFERROR(IF(J405&lt;&gt;"",J405,INDEX(J405:J1404,MATCH(1,(F405:F1404=F405)*(I405:I1404=I405)*(L405:L1404=L405)*(J405:J1404&lt;&gt;""),0))),"Not Found")</f>
        <v>Brake Failure</v>
      </c>
      <c r="L405" s="3" t="s">
        <v>47</v>
      </c>
      <c r="M405" s="0" t="str">
        <f aca="false">PROPER(L405)</f>
        <v>None</v>
      </c>
      <c r="N405" s="3" t="s">
        <v>90</v>
      </c>
      <c r="O405" s="0" t="str">
        <f aca="false" t="array" ref="O405:O405">IF(N405&lt;&gt;"",N405,_xlfn.xlookup(1,(L405:L1404=L405)*(N405:N1404&lt;&gt;""),N405:N1404,"Not Found"))</f>
        <v>Musa</v>
      </c>
      <c r="P405" s="4" t="n">
        <v>106466</v>
      </c>
      <c r="Q405" s="0" t="s">
        <v>72</v>
      </c>
      <c r="R405" s="0" t="str">
        <f aca="false">PROPER(Q405)</f>
        <v>Pos</v>
      </c>
      <c r="S405" s="0" t="s">
        <v>63</v>
      </c>
      <c r="T405" s="0" t="n">
        <v>5</v>
      </c>
      <c r="U405" s="5" t="n">
        <f aca="false">IF(ISBLANK(T405),AVERAGE(T405:T1404),T405)</f>
        <v>5</v>
      </c>
      <c r="V405" s="0" t="n">
        <v>4.8</v>
      </c>
      <c r="W405" s="0" t="s">
        <v>125</v>
      </c>
      <c r="X405" s="0" t="str">
        <f aca="false">IF(ISBLANK(W405),"No remarks",W405)</f>
        <v>Customer waited</v>
      </c>
      <c r="Y405" s="0" t="s">
        <v>73</v>
      </c>
      <c r="Z405" s="0" t="s">
        <v>74</v>
      </c>
      <c r="AA405" s="0" t="str">
        <f aca="false">PROPER(IF(ISBLANK(Z405),"Location Unavailable",Z405))</f>
        <v>Under Tree</v>
      </c>
      <c r="AB405" s="0" t="s">
        <v>75</v>
      </c>
      <c r="AC405" s="6" t="str">
        <f aca="false">PROPER(AB405)</f>
        <v>Mechanik Referal</v>
      </c>
      <c r="AE405" s="5" t="n">
        <f aca="false">IF(ISBLANK(AD405),AVERAGEIF(L405:L1404,L405,AD405:AD1404),AD405)</f>
        <v>36.2</v>
      </c>
      <c r="AF405" s="0" t="s">
        <v>160</v>
      </c>
      <c r="AG405" s="0" t="str">
        <f aca="false">PROPER(AF405)</f>
        <v>Availaible</v>
      </c>
      <c r="AH405" s="0" t="s">
        <v>155</v>
      </c>
      <c r="AI405" s="0" t="s">
        <v>128</v>
      </c>
      <c r="AJ405" s="0" t="str">
        <f aca="false">PROPER(AI405)</f>
        <v>Normal</v>
      </c>
      <c r="AK405" s="0" t="s">
        <v>58</v>
      </c>
      <c r="AL405" s="0" t="str">
        <f aca="false">PROPER(AK405)</f>
        <v>Fleet Owner</v>
      </c>
      <c r="AM405" s="0" t="s">
        <v>177</v>
      </c>
      <c r="AN405" s="0" t="str">
        <f aca="false">IF(ISBLANK(AM405),"Unknown",AM405)</f>
        <v>Private</v>
      </c>
      <c r="AO405" s="0" t="s">
        <v>143</v>
      </c>
      <c r="AP405" s="0" t="str">
        <f aca="false">IF(ISBLANK(AO405),"Unknown",AO405)</f>
        <v>Senior</v>
      </c>
      <c r="AQ405" s="0" t="n">
        <v>15000</v>
      </c>
      <c r="AR405" s="5" t="n">
        <f aca="false">IF(ISBLANK(AQ405),AVERAGEIF(M405:M1404,M405,AQ405:AQ1404),AQ405)</f>
        <v>15000</v>
      </c>
      <c r="AT405" s="5" t="n">
        <f aca="false">IF(ISBLANK(AS405),AVERAGE(AS405:AS1404),AS405)</f>
        <v>31430</v>
      </c>
      <c r="AU405" s="0" t="s">
        <v>82</v>
      </c>
      <c r="AV405" s="0" t="str">
        <f aca="false">PROPER(IF(ISBLANK(AU405),"No",AU405))</f>
        <v>Yes</v>
      </c>
      <c r="AW405" s="0" t="n">
        <v>10000</v>
      </c>
      <c r="AX405" s="5" t="n">
        <f aca="false">IF(ISBLANK(AW405),0,AW405)</f>
        <v>10000</v>
      </c>
      <c r="AY405" s="0" t="s">
        <v>80</v>
      </c>
      <c r="AZ405" s="0" t="str">
        <f aca="false">UPPER(IF(ISBLANK(AY405),"NONE",AY405))</f>
        <v>PROMO10</v>
      </c>
      <c r="BB405" s="7" t="str">
        <f aca="false">IF(ISBLANK(BA405),"No Follow Up Needed",BA405)</f>
        <v>No Follow Up Needed</v>
      </c>
      <c r="BC405" s="0" t="s">
        <v>63</v>
      </c>
      <c r="BD405" s="0" t="str">
        <f aca="false">PROPER(IF(ISBLANK(BC405),"Unknown",BC405))</f>
        <v>Yes</v>
      </c>
      <c r="BF405" s="0" t="str">
        <f aca="false">IF(ISBLANK(BE405),"No comments",BE405)</f>
        <v>No comments</v>
      </c>
      <c r="BH405" s="0" t="str">
        <f aca="false">IF(ISBLANK(BG405),"No comments",BG405)</f>
        <v>No comments</v>
      </c>
      <c r="BI405" s="0" t="s">
        <v>63</v>
      </c>
      <c r="BJ405" s="0" t="str">
        <f aca="false">IF(ISBLANK(BI405),"Not Mentioned",BI405)</f>
        <v>Yes</v>
      </c>
      <c r="BK405" s="0" t="s">
        <v>82</v>
      </c>
      <c r="BL405" s="0" t="str">
        <f aca="false">PROPER(IF(ISBLANK(BK405),"Not Mentioned",BK405))</f>
        <v>Yes</v>
      </c>
      <c r="BM405" s="0" t="s">
        <v>63</v>
      </c>
      <c r="BN405" s="0" t="str">
        <f aca="false">PROPER(IF(ISBLANK(BM405),"Not Mentioned",BM405))</f>
        <v>Yes</v>
      </c>
      <c r="BO405" s="0" t="s">
        <v>2318</v>
      </c>
      <c r="BP405" s="0" t="str">
        <f aca="false">IF(ISBLANK(BO405),"One-Time Plan",BO405)</f>
        <v>Gold</v>
      </c>
      <c r="BQ405" s="0" t="s">
        <v>50</v>
      </c>
      <c r="BR405" s="0" t="str">
        <f aca="false">PROPER(IF(ISBLANK(BQ405),"No",BQ405))</f>
        <v>No</v>
      </c>
    </row>
    <row r="406" customFormat="false" ht="15" hidden="false" customHeight="false" outlineLevel="0" collapsed="false">
      <c r="A406" s="0" t="s">
        <v>1075</v>
      </c>
      <c r="B406" s="2" t="n">
        <v>45737</v>
      </c>
      <c r="C406" s="2" t="str">
        <f aca="false">TEXT(B406,"dd/mm/yyyy")</f>
        <v>21/03/2025</v>
      </c>
      <c r="D406" s="0" t="s">
        <v>66</v>
      </c>
      <c r="E406" s="0" t="n">
        <v>8080579265</v>
      </c>
      <c r="F406" s="0" t="s">
        <v>67</v>
      </c>
      <c r="G406" s="0" t="s">
        <v>2316</v>
      </c>
      <c r="H406" s="0" t="s">
        <v>1076</v>
      </c>
      <c r="I406" s="0" t="s">
        <v>107</v>
      </c>
      <c r="J406" s="0" t="s">
        <v>87</v>
      </c>
      <c r="K406" s="3" t="str">
        <f aca="false" t="array" ref="K406:K406">IFERROR(IF(J406&lt;&gt;"",J406,INDEX(J406:J1405,MATCH(1,(F406:F1405=F406)*(I406:I1405=I406)*(L406:L1405=L406)*(J406:J1405&lt;&gt;""),0))),"Not Found")</f>
        <v>Oil Change</v>
      </c>
      <c r="L406" s="3" t="s">
        <v>108</v>
      </c>
      <c r="M406" s="0" t="str">
        <f aca="false">PROPER(L406)</f>
        <v>Timing Belt</v>
      </c>
      <c r="N406" s="3" t="s">
        <v>90</v>
      </c>
      <c r="O406" s="0" t="str">
        <f aca="false" t="array" ref="O406:O406">IF(N406&lt;&gt;"",N406,_xlfn.xlookup(1,(L406:L1405=L406)*(N406:N1405&lt;&gt;""),N406:N1405,"Not Found"))</f>
        <v>Musa</v>
      </c>
      <c r="P406" s="4" t="n">
        <v>95872</v>
      </c>
      <c r="Q406" s="0" t="s">
        <v>91</v>
      </c>
      <c r="R406" s="0" t="str">
        <f aca="false">PROPER(Q406)</f>
        <v>Pos</v>
      </c>
      <c r="S406" s="0" t="s">
        <v>50</v>
      </c>
      <c r="U406" s="5" t="n">
        <f aca="false">IF(ISBLANK(T406),AVERAGE(T406:T1405),T406)</f>
        <v>3.04868154158215</v>
      </c>
      <c r="V406" s="0" t="n">
        <v>3.3</v>
      </c>
      <c r="X406" s="0" t="str">
        <f aca="false">IF(ISBLANK(W406),"No remarks",W406)</f>
        <v>No remarks</v>
      </c>
      <c r="Y406" s="0" t="s">
        <v>93</v>
      </c>
      <c r="Z406" s="0" t="s">
        <v>53</v>
      </c>
      <c r="AA406" s="0" t="str">
        <f aca="false">PROPER(IF(ISBLANK(Z406),"Location Unavailable",Z406))</f>
        <v>Main Bay</v>
      </c>
      <c r="AB406" s="0" t="s">
        <v>75</v>
      </c>
      <c r="AC406" s="6" t="str">
        <f aca="false">PROPER(AB406)</f>
        <v>Mechanik Referal</v>
      </c>
      <c r="AD406" s="6" t="n">
        <v>45</v>
      </c>
      <c r="AE406" s="5" t="n">
        <f aca="false">IF(ISBLANK(AD406),AVERAGEIF(L406:L1405,L406,AD406:AD1405),AD406)</f>
        <v>45</v>
      </c>
      <c r="AF406" s="0" t="s">
        <v>160</v>
      </c>
      <c r="AG406" s="0" t="str">
        <f aca="false">PROPER(AF406)</f>
        <v>Availaible</v>
      </c>
      <c r="AH406" s="0" t="s">
        <v>155</v>
      </c>
      <c r="AI406" s="0" t="s">
        <v>98</v>
      </c>
      <c r="AJ406" s="0" t="str">
        <f aca="false">PROPER(AI406)</f>
        <v>Emergency</v>
      </c>
      <c r="AK406" s="0" t="s">
        <v>114</v>
      </c>
      <c r="AL406" s="0" t="str">
        <f aca="false">PROPER(AK406)</f>
        <v>Returning</v>
      </c>
      <c r="AM406" s="0" t="s">
        <v>2324</v>
      </c>
      <c r="AN406" s="0" t="str">
        <f aca="false">IF(ISBLANK(AM406),"Unknown",AM406)</f>
        <v>Logistics Convoy</v>
      </c>
      <c r="AO406" s="0" t="s">
        <v>143</v>
      </c>
      <c r="AP406" s="0" t="str">
        <f aca="false">IF(ISBLANK(AO406),"Unknown",AO406)</f>
        <v>Senior</v>
      </c>
      <c r="AQ406" s="0" t="n">
        <v>40000</v>
      </c>
      <c r="AR406" s="5" t="n">
        <f aca="false">IF(ISBLANK(AQ406),AVERAGEIF(M406:M1405,M406,AQ406:AQ1405),AQ406)</f>
        <v>40000</v>
      </c>
      <c r="AT406" s="5" t="n">
        <f aca="false">IF(ISBLANK(AS406),AVERAGE(AS406:AS1405),AS406)</f>
        <v>31430</v>
      </c>
      <c r="AU406" s="0" t="s">
        <v>82</v>
      </c>
      <c r="AV406" s="0" t="str">
        <f aca="false">PROPER(IF(ISBLANK(AU406),"No",AU406))</f>
        <v>Yes</v>
      </c>
      <c r="AX406" s="5" t="n">
        <f aca="false">IF(ISBLANK(AW406),0,AW406)</f>
        <v>0</v>
      </c>
      <c r="AY406" s="0" t="s">
        <v>60</v>
      </c>
      <c r="AZ406" s="0" t="str">
        <f aca="false">UPPER(IF(ISBLANK(AY406),"NONE",AY406))</f>
        <v>NONE</v>
      </c>
      <c r="BA406" s="7" t="n">
        <v>45942</v>
      </c>
      <c r="BB406" s="7" t="n">
        <f aca="false">IF(ISBLANK(BA406),"No Follow Up Needed",BA406)</f>
        <v>45942</v>
      </c>
      <c r="BC406" s="0" t="s">
        <v>63</v>
      </c>
      <c r="BD406" s="0" t="str">
        <f aca="false">PROPER(IF(ISBLANK(BC406),"Unknown",BC406))</f>
        <v>Yes</v>
      </c>
      <c r="BE406" s="0" t="s">
        <v>171</v>
      </c>
      <c r="BF406" s="0" t="str">
        <f aca="false">IF(ISBLANK(BE406),"No comments",BE406)</f>
        <v>Shock absorber weakening</v>
      </c>
      <c r="BG406" s="0" t="s">
        <v>117</v>
      </c>
      <c r="BH406" s="0" t="str">
        <f aca="false">IF(ISBLANK(BG406),"No comments",BG406)</f>
        <v>Prefers morning</v>
      </c>
      <c r="BI406" s="0" t="s">
        <v>50</v>
      </c>
      <c r="BJ406" s="0" t="str">
        <f aca="false">IF(ISBLANK(BI406),"Not Mentioned",BI406)</f>
        <v>No</v>
      </c>
      <c r="BK406" s="0" t="s">
        <v>82</v>
      </c>
      <c r="BL406" s="0" t="str">
        <f aca="false">PROPER(IF(ISBLANK(BK406),"Not Mentioned",BK406))</f>
        <v>Yes</v>
      </c>
      <c r="BM406" s="0" t="s">
        <v>63</v>
      </c>
      <c r="BN406" s="0" t="str">
        <f aca="false">PROPER(IF(ISBLANK(BM406),"Not Mentioned",BM406))</f>
        <v>Yes</v>
      </c>
      <c r="BO406" s="0" t="s">
        <v>2318</v>
      </c>
      <c r="BP406" s="0" t="str">
        <f aca="false">IF(ISBLANK(BO406),"One-Time Plan",BO406)</f>
        <v>Gold</v>
      </c>
      <c r="BQ406" s="0" t="s">
        <v>50</v>
      </c>
      <c r="BR406" s="0" t="str">
        <f aca="false">PROPER(IF(ISBLANK(BQ406),"No",BQ406))</f>
        <v>No</v>
      </c>
    </row>
    <row r="407" customFormat="false" ht="15" hidden="false" customHeight="false" outlineLevel="0" collapsed="false">
      <c r="A407" s="0" t="s">
        <v>1077</v>
      </c>
      <c r="B407" s="2" t="n">
        <v>45792</v>
      </c>
      <c r="C407" s="2" t="str">
        <f aca="false">TEXT(B407,"dd/mm/yyyy")</f>
        <v>15/05/2025</v>
      </c>
      <c r="D407" s="0" t="s">
        <v>163</v>
      </c>
      <c r="E407" s="0" t="n">
        <v>8054143064</v>
      </c>
      <c r="F407" s="0" t="s">
        <v>122</v>
      </c>
      <c r="G407" s="0" t="s">
        <v>2316</v>
      </c>
      <c r="H407" s="0" t="s">
        <v>1078</v>
      </c>
      <c r="I407" s="0" t="s">
        <v>69</v>
      </c>
      <c r="J407" s="0" t="s">
        <v>2317</v>
      </c>
      <c r="K407" s="3" t="str">
        <f aca="false" t="array" ref="K407:K407">IFERROR(IF(J407&lt;&gt;"",J407,INDEX(J407:J1406,MATCH(1,(F407:F1406=F407)*(I407:I1406=I407)*(L407:L1406=L407)*(J407:J1406&lt;&gt;""),0))),"Not Found")</f>
        <v>Suspension Noise</v>
      </c>
      <c r="L407" s="3" t="s">
        <v>142</v>
      </c>
      <c r="M407" s="0" t="str">
        <f aca="false">PROPER(L407)</f>
        <v>Oil Filter, Brake Pads</v>
      </c>
      <c r="N407" s="3" t="s">
        <v>90</v>
      </c>
      <c r="O407" s="0" t="str">
        <f aca="false" t="array" ref="O407:O407">IF(N407&lt;&gt;"",N407,_xlfn.xlookup(1,(L407:L1406=L407)*(N407:N1406&lt;&gt;""),N407:N1406,"Not Found"))</f>
        <v>Musa</v>
      </c>
      <c r="P407" s="4" t="n">
        <v>10162</v>
      </c>
      <c r="Q407" s="0" t="s">
        <v>91</v>
      </c>
      <c r="R407" s="0" t="str">
        <f aca="false">PROPER(Q407)</f>
        <v>Pos</v>
      </c>
      <c r="S407" s="0" t="s">
        <v>50</v>
      </c>
      <c r="U407" s="5" t="n">
        <f aca="false">IF(ISBLANK(T407),AVERAGE(T407:T1406),T407)</f>
        <v>3.04868154158215</v>
      </c>
      <c r="V407" s="0" t="n">
        <v>4.7</v>
      </c>
      <c r="W407" s="0" t="s">
        <v>111</v>
      </c>
      <c r="X407" s="0" t="str">
        <f aca="false">IF(ISBLANK(W407),"No remarks",W407)</f>
        <v>Changed all filters</v>
      </c>
      <c r="Y407" s="0" t="s">
        <v>93</v>
      </c>
      <c r="Z407" s="0" t="s">
        <v>159</v>
      </c>
      <c r="AA407" s="0" t="str">
        <f aca="false">PROPER(IF(ISBLANK(Z407),"Location Unavailable",Z407))</f>
        <v>Main Bay</v>
      </c>
      <c r="AB407" s="0" t="s">
        <v>75</v>
      </c>
      <c r="AC407" s="6" t="str">
        <f aca="false">PROPER(AB407)</f>
        <v>Mechanik Referal</v>
      </c>
      <c r="AD407" s="6" t="n">
        <v>45</v>
      </c>
      <c r="AE407" s="5" t="n">
        <f aca="false">IF(ISBLANK(AD407),AVERAGEIF(L407:L1406,L407,AD407:AD1406),AD407)</f>
        <v>45</v>
      </c>
      <c r="AF407" s="0" t="s">
        <v>96</v>
      </c>
      <c r="AG407" s="0" t="str">
        <f aca="false">PROPER(AF407)</f>
        <v>Ordered</v>
      </c>
      <c r="AH407" s="0" t="s">
        <v>77</v>
      </c>
      <c r="AI407" s="0" t="s">
        <v>78</v>
      </c>
      <c r="AJ407" s="0" t="str">
        <f aca="false">PROPER(AI407)</f>
        <v>Booking</v>
      </c>
      <c r="AK407" s="0" t="s">
        <v>58</v>
      </c>
      <c r="AL407" s="0" t="str">
        <f aca="false">PROPER(AK407)</f>
        <v>Fleet Owner</v>
      </c>
      <c r="AM407" s="0" t="s">
        <v>2326</v>
      </c>
      <c r="AN407" s="0" t="str">
        <f aca="false">IF(ISBLANK(AM407),"Unknown",AM407)</f>
        <v>Government Convoy</v>
      </c>
      <c r="AO407" s="0" t="s">
        <v>149</v>
      </c>
      <c r="AP407" s="0" t="str">
        <f aca="false">IF(ISBLANK(AO407),"Unknown",AO407)</f>
        <v>Senior </v>
      </c>
      <c r="AR407" s="5" t="n">
        <f aca="false">IF(ISBLANK(AQ407),AVERAGEIF(M407:M1406,M407,AQ407:AQ1406),AQ407)</f>
        <v>27647.0588235294</v>
      </c>
      <c r="AS407" s="0" t="n">
        <v>20000</v>
      </c>
      <c r="AT407" s="5" t="n">
        <f aca="false">IF(ISBLANK(AS407),AVERAGE(AS407:AS1406),AS407)</f>
        <v>20000</v>
      </c>
      <c r="AV407" s="0" t="str">
        <f aca="false">PROPER(IF(ISBLANK(AU407),"No",AU407))</f>
        <v>No</v>
      </c>
      <c r="AW407" s="0" t="n">
        <v>10000</v>
      </c>
      <c r="AX407" s="5" t="n">
        <f aca="false">IF(ISBLANK(AW407),0,AW407)</f>
        <v>10000</v>
      </c>
      <c r="AY407" s="0" t="s">
        <v>60</v>
      </c>
      <c r="AZ407" s="0" t="str">
        <f aca="false">UPPER(IF(ISBLANK(AY407),"NONE",AY407))</f>
        <v>NONE</v>
      </c>
      <c r="BA407" s="7" t="s">
        <v>1079</v>
      </c>
      <c r="BB407" s="7" t="str">
        <f aca="false">IF(ISBLANK(BA407),"No Follow Up Needed",BA407)</f>
        <v>16/06/2025</v>
      </c>
      <c r="BD407" s="0" t="str">
        <f aca="false">PROPER(IF(ISBLANK(BC407),"Unknown",BC407))</f>
        <v>Unknown</v>
      </c>
      <c r="BF407" s="0" t="str">
        <f aca="false">IF(ISBLANK(BE407),"No comments",BE407)</f>
        <v>No comments</v>
      </c>
      <c r="BH407" s="0" t="str">
        <f aca="false">IF(ISBLANK(BG407),"No comments",BG407)</f>
        <v>No comments</v>
      </c>
      <c r="BJ407" s="0" t="str">
        <f aca="false">IF(ISBLANK(BI407),"Not Mentioned",BI407)</f>
        <v>Not Mentioned</v>
      </c>
      <c r="BK407" s="0" t="s">
        <v>63</v>
      </c>
      <c r="BL407" s="0" t="str">
        <f aca="false">PROPER(IF(ISBLANK(BK407),"Not Mentioned",BK407))</f>
        <v>Yes</v>
      </c>
      <c r="BN407" s="0" t="str">
        <f aca="false">PROPER(IF(ISBLANK(BM407),"Not Mentioned",BM407))</f>
        <v>Not Mentioned</v>
      </c>
      <c r="BO407" s="0" t="s">
        <v>2321</v>
      </c>
      <c r="BP407" s="0" t="str">
        <f aca="false">IF(ISBLANK(BO407),"One-Time Plan",BO407)</f>
        <v>One-Time Plan</v>
      </c>
      <c r="BQ407" s="0" t="s">
        <v>198</v>
      </c>
      <c r="BR407" s="0" t="str">
        <f aca="false">PROPER(IF(ISBLANK(BQ407),"No",BQ407))</f>
        <v>Followed Up</v>
      </c>
    </row>
    <row r="408" customFormat="false" ht="15" hidden="false" customHeight="false" outlineLevel="0" collapsed="false">
      <c r="A408" s="0" t="s">
        <v>1080</v>
      </c>
      <c r="B408" s="2" t="n">
        <v>45802</v>
      </c>
      <c r="C408" s="2" t="str">
        <f aca="false">TEXT(B408,"dd/mm/yyyy")</f>
        <v>25/05/2025</v>
      </c>
      <c r="D408" s="0" t="s">
        <v>105</v>
      </c>
      <c r="E408" s="0" t="n">
        <v>8086400632</v>
      </c>
      <c r="F408" s="0" t="s">
        <v>43</v>
      </c>
      <c r="G408" s="0" t="s">
        <v>2315</v>
      </c>
      <c r="H408" s="0" t="s">
        <v>1081</v>
      </c>
      <c r="I408" s="0" t="s">
        <v>87</v>
      </c>
      <c r="K408" s="3" t="str">
        <f aca="false" t="array" ref="K408:K408">IFERROR(IF(J408&lt;&gt;"",J408,INDEX(J408:J1407,MATCH(1,(F408:F1407=F408)*(I408:I1407=I408)*(L408:L1407=L408)*(J408:J1407&lt;&gt;""),0))),"Not Found")</f>
        <v>Brake Failure</v>
      </c>
      <c r="L408" s="3" t="s">
        <v>47</v>
      </c>
      <c r="M408" s="0" t="str">
        <f aca="false">PROPER(L408)</f>
        <v>None</v>
      </c>
      <c r="O408" s="0" t="e">
        <f aca="false" t="array" ref="O408:O408">IF(N408&lt;&gt;"",N408,_xlfn.xlookup(1,(L408:L1407=L408)*(N408:N1407&lt;&gt;""),N408:N1407,"Not Found"))</f>
        <v>#NAME?</v>
      </c>
      <c r="P408" s="4" t="n">
        <v>115560</v>
      </c>
      <c r="Q408" s="0" t="s">
        <v>91</v>
      </c>
      <c r="R408" s="0" t="str">
        <f aca="false">PROPER(Q408)</f>
        <v>Pos</v>
      </c>
      <c r="S408" s="0" t="s">
        <v>63</v>
      </c>
      <c r="T408" s="0" t="n">
        <v>2</v>
      </c>
      <c r="U408" s="5" t="n">
        <f aca="false">IF(ISBLANK(T408),AVERAGE(T408:T1407),T408)</f>
        <v>2</v>
      </c>
      <c r="V408" s="0" t="n">
        <v>4.8</v>
      </c>
      <c r="W408" s="0" t="s">
        <v>111</v>
      </c>
      <c r="X408" s="0" t="str">
        <f aca="false">IF(ISBLANK(W408),"No remarks",W408)</f>
        <v>Changed all filters</v>
      </c>
      <c r="Y408" s="0" t="s">
        <v>73</v>
      </c>
      <c r="Z408" s="0" t="s">
        <v>94</v>
      </c>
      <c r="AA408" s="0" t="str">
        <f aca="false">PROPER(IF(ISBLANK(Z408),"Location Unavailable",Z408))</f>
        <v>Vip Section</v>
      </c>
      <c r="AB408" s="0" t="s">
        <v>126</v>
      </c>
      <c r="AC408" s="6" t="str">
        <f aca="false">PROPER(AB408)</f>
        <v>Whatsapp</v>
      </c>
      <c r="AD408" s="6" t="n">
        <v>60</v>
      </c>
      <c r="AE408" s="5" t="n">
        <f aca="false">IF(ISBLANK(AD408),AVERAGEIF(L408:L1407,L408,AD408:AD1407),AD408)</f>
        <v>60</v>
      </c>
      <c r="AF408" s="0" t="s">
        <v>55</v>
      </c>
      <c r="AG408" s="0" t="str">
        <f aca="false">PROPER(AF408)</f>
        <v>Available</v>
      </c>
      <c r="AH408" s="0" t="s">
        <v>155</v>
      </c>
      <c r="AI408" s="0" t="s">
        <v>113</v>
      </c>
      <c r="AJ408" s="0" t="str">
        <f aca="false">PROPER(AI408)</f>
        <v>Normal</v>
      </c>
      <c r="AK408" s="0" t="s">
        <v>196</v>
      </c>
      <c r="AL408" s="0" t="str">
        <f aca="false">PROPER(AK408)</f>
        <v>First Time</v>
      </c>
      <c r="AM408" s="0" t="s">
        <v>2326</v>
      </c>
      <c r="AN408" s="0" t="str">
        <f aca="false">IF(ISBLANK(AM408),"Unknown",AM408)</f>
        <v>Government Convoy</v>
      </c>
      <c r="AO408" s="0" t="s">
        <v>79</v>
      </c>
      <c r="AP408" s="0" t="str">
        <f aca="false">IF(ISBLANK(AO408),"Unknown",AO408)</f>
        <v>Specialist</v>
      </c>
      <c r="AQ408" s="0" t="n">
        <v>30000</v>
      </c>
      <c r="AR408" s="5" t="n">
        <f aca="false">IF(ISBLANK(AQ408),AVERAGEIF(M408:M1407,M408,AQ408:AQ1407),AQ408)</f>
        <v>30000</v>
      </c>
      <c r="AS408" s="0" t="n">
        <v>20000</v>
      </c>
      <c r="AT408" s="5" t="n">
        <f aca="false">IF(ISBLANK(AS408),AVERAGE(AS408:AS1407),AS408)</f>
        <v>20000</v>
      </c>
      <c r="AU408" s="0" t="s">
        <v>61</v>
      </c>
      <c r="AV408" s="0" t="str">
        <f aca="false">PROPER(IF(ISBLANK(AU408),"No",AU408))</f>
        <v>No</v>
      </c>
      <c r="AW408" s="0" t="n">
        <v>5000</v>
      </c>
      <c r="AX408" s="5" t="n">
        <f aca="false">IF(ISBLANK(AW408),0,AW408)</f>
        <v>5000</v>
      </c>
      <c r="AY408" s="0" t="s">
        <v>130</v>
      </c>
      <c r="AZ408" s="0" t="str">
        <f aca="false">UPPER(IF(ISBLANK(AY408),"NONE",AY408))</f>
        <v>LOYALTY10</v>
      </c>
      <c r="BA408" s="7" t="s">
        <v>1082</v>
      </c>
      <c r="BB408" s="7" t="str">
        <f aca="false">IF(ISBLANK(BA408),"No Follow Up Needed",BA408)</f>
        <v>15/06/2025</v>
      </c>
      <c r="BC408" s="0" t="s">
        <v>50</v>
      </c>
      <c r="BD408" s="0" t="str">
        <f aca="false">PROPER(IF(ISBLANK(BC408),"Unknown",BC408))</f>
        <v>No</v>
      </c>
      <c r="BE408" s="0" t="s">
        <v>171</v>
      </c>
      <c r="BF408" s="0" t="str">
        <f aca="false">IF(ISBLANK(BE408),"No comments",BE408)</f>
        <v>Shock absorber weakening</v>
      </c>
      <c r="BG408" s="0" t="s">
        <v>2320</v>
      </c>
      <c r="BH408" s="0" t="str">
        <f aca="false">IF(ISBLANK(BG408),"No comments",BG408)</f>
        <v>No complaints</v>
      </c>
      <c r="BI408" s="0" t="s">
        <v>63</v>
      </c>
      <c r="BJ408" s="0" t="str">
        <f aca="false">IF(ISBLANK(BI408),"Not Mentioned",BI408)</f>
        <v>Yes</v>
      </c>
      <c r="BK408" s="0" t="s">
        <v>63</v>
      </c>
      <c r="BL408" s="0" t="str">
        <f aca="false">PROPER(IF(ISBLANK(BK408),"Not Mentioned",BK408))</f>
        <v>Yes</v>
      </c>
      <c r="BN408" s="0" t="str">
        <f aca="false">PROPER(IF(ISBLANK(BM408),"Not Mentioned",BM408))</f>
        <v>Not Mentioned</v>
      </c>
      <c r="BO408" s="0" t="s">
        <v>2321</v>
      </c>
      <c r="BP408" s="0" t="str">
        <f aca="false">IF(ISBLANK(BO408),"One-Time Plan",BO408)</f>
        <v>One-Time Plan</v>
      </c>
      <c r="BQ408" s="0" t="s">
        <v>63</v>
      </c>
      <c r="BR408" s="0" t="str">
        <f aca="false">PROPER(IF(ISBLANK(BQ408),"No",BQ408))</f>
        <v>Yes</v>
      </c>
    </row>
    <row r="409" customFormat="false" ht="15" hidden="false" customHeight="false" outlineLevel="0" collapsed="false">
      <c r="A409" s="0" t="s">
        <v>1083</v>
      </c>
      <c r="B409" s="2" t="n">
        <v>45800</v>
      </c>
      <c r="C409" s="2" t="str">
        <f aca="false">TEXT(B409,"dd/mm/yyyy")</f>
        <v>23/05/2025</v>
      </c>
      <c r="D409" s="0" t="s">
        <v>42</v>
      </c>
      <c r="E409" s="0" t="n">
        <v>8075895351</v>
      </c>
      <c r="F409" s="0" t="s">
        <v>67</v>
      </c>
      <c r="G409" s="0" t="s">
        <v>2316</v>
      </c>
      <c r="H409" s="0" t="s">
        <v>1084</v>
      </c>
      <c r="I409" s="0" t="s">
        <v>134</v>
      </c>
      <c r="J409" s="0" t="s">
        <v>2317</v>
      </c>
      <c r="K409" s="3" t="str">
        <f aca="false" t="array" ref="K409:K409">IFERROR(IF(J409&lt;&gt;"",J409,INDEX(J409:J1408,MATCH(1,(F409:F1408=F409)*(I409:I1408=I409)*(L409:L1408=L409)*(J409:J1408&lt;&gt;""),0))),"Not Found")</f>
        <v>Suspension Noise</v>
      </c>
      <c r="L409" s="3" t="s">
        <v>108</v>
      </c>
      <c r="M409" s="0" t="str">
        <f aca="false">PROPER(L409)</f>
        <v>Timing Belt</v>
      </c>
      <c r="N409" s="3" t="s">
        <v>48</v>
      </c>
      <c r="O409" s="0" t="str">
        <f aca="false" t="array" ref="O409:O409">IF(N409&lt;&gt;"",N409,_xlfn.xlookup(1,(L409:L1408=L409)*(N409:N1408&lt;&gt;""),N409:N1408,"Not Found"))</f>
        <v>Uche</v>
      </c>
      <c r="P409" s="4" t="n">
        <v>38130</v>
      </c>
      <c r="Q409" s="0" t="s">
        <v>91</v>
      </c>
      <c r="R409" s="0" t="str">
        <f aca="false">PROPER(Q409)</f>
        <v>Pos</v>
      </c>
      <c r="S409" s="0" t="s">
        <v>50</v>
      </c>
      <c r="T409" s="0" t="n">
        <v>2</v>
      </c>
      <c r="U409" s="5" t="n">
        <f aca="false">IF(ISBLANK(T409),AVERAGE(T409:T1408),T409)</f>
        <v>2</v>
      </c>
      <c r="V409" s="0" t="n">
        <v>4.3</v>
      </c>
      <c r="W409" s="0" t="s">
        <v>111</v>
      </c>
      <c r="X409" s="0" t="str">
        <f aca="false">IF(ISBLANK(W409),"No remarks",W409)</f>
        <v>Changed all filters</v>
      </c>
      <c r="Y409" s="0" t="s">
        <v>52</v>
      </c>
      <c r="Z409" s="0" t="s">
        <v>159</v>
      </c>
      <c r="AA409" s="0" t="str">
        <f aca="false">PROPER(IF(ISBLANK(Z409),"Location Unavailable",Z409))</f>
        <v>Main Bay</v>
      </c>
      <c r="AB409" s="0" t="s">
        <v>95</v>
      </c>
      <c r="AC409" s="6" t="str">
        <f aca="false">PROPER(AB409)</f>
        <v>Road Sign</v>
      </c>
      <c r="AE409" s="5" t="n">
        <f aca="false">IF(ISBLANK(AD409),AVERAGEIF(L409:L1408,L409,AD409:AD1408),AD409)</f>
        <v>37.5</v>
      </c>
      <c r="AF409" s="0" t="s">
        <v>112</v>
      </c>
      <c r="AG409" s="0" t="str">
        <f aca="false">PROPER(AF409)</f>
        <v>Unavailable</v>
      </c>
      <c r="AH409" s="0" t="s">
        <v>56</v>
      </c>
      <c r="AI409" s="0" t="s">
        <v>98</v>
      </c>
      <c r="AJ409" s="0" t="str">
        <f aca="false">PROPER(AI409)</f>
        <v>Emergency</v>
      </c>
      <c r="AK409" s="0" t="s">
        <v>99</v>
      </c>
      <c r="AL409" s="0" t="str">
        <f aca="false">PROPER(AK409)</f>
        <v>Uber Driver</v>
      </c>
      <c r="AM409" s="0" t="s">
        <v>2326</v>
      </c>
      <c r="AN409" s="0" t="str">
        <f aca="false">IF(ISBLANK(AM409),"Unknown",AM409)</f>
        <v>Government Convoy</v>
      </c>
      <c r="AO409" s="0" t="s">
        <v>79</v>
      </c>
      <c r="AP409" s="0" t="str">
        <f aca="false">IF(ISBLANK(AO409),"Unknown",AO409)</f>
        <v>Specialist</v>
      </c>
      <c r="AR409" s="5" t="n">
        <f aca="false">IF(ISBLANK(AQ409),AVERAGEIF(M409:M1408,M409,AQ409:AQ1408),AQ409)</f>
        <v>27500</v>
      </c>
      <c r="AS409" s="0" t="n">
        <v>30000</v>
      </c>
      <c r="AT409" s="5" t="n">
        <f aca="false">IF(ISBLANK(AS409),AVERAGE(AS409:AS1408),AS409)</f>
        <v>30000</v>
      </c>
      <c r="AU409" s="0" t="s">
        <v>61</v>
      </c>
      <c r="AV409" s="0" t="str">
        <f aca="false">PROPER(IF(ISBLANK(AU409),"No",AU409))</f>
        <v>No</v>
      </c>
      <c r="AW409" s="0" t="n">
        <v>5000</v>
      </c>
      <c r="AX409" s="5" t="n">
        <f aca="false">IF(ISBLANK(AW409),0,AW409)</f>
        <v>5000</v>
      </c>
      <c r="AZ409" s="0" t="str">
        <f aca="false">UPPER(IF(ISBLANK(AY409),"NONE",AY409))</f>
        <v>NONE</v>
      </c>
      <c r="BA409" s="7" t="n">
        <v>45945</v>
      </c>
      <c r="BB409" s="7" t="n">
        <f aca="false">IF(ISBLANK(BA409),"No Follow Up Needed",BA409)</f>
        <v>45945</v>
      </c>
      <c r="BC409" s="0" t="s">
        <v>82</v>
      </c>
      <c r="BD409" s="0" t="str">
        <f aca="false">PROPER(IF(ISBLANK(BC409),"Unknown",BC409))</f>
        <v>Yes</v>
      </c>
      <c r="BE409" s="0" t="s">
        <v>116</v>
      </c>
      <c r="BF409" s="0" t="str">
        <f aca="false">IF(ISBLANK(BE409),"No comments",BE409)</f>
        <v>Needs tire alignment</v>
      </c>
      <c r="BG409" s="0" t="s">
        <v>172</v>
      </c>
      <c r="BH409" s="0" t="str">
        <f aca="false">IF(ISBLANK(BG409),"No comments",BG409)</f>
        <v>Always late</v>
      </c>
      <c r="BI409" s="0" t="s">
        <v>50</v>
      </c>
      <c r="BJ409" s="0" t="str">
        <f aca="false">IF(ISBLANK(BI409),"Not Mentioned",BI409)</f>
        <v>No</v>
      </c>
      <c r="BK409" s="0" t="s">
        <v>82</v>
      </c>
      <c r="BL409" s="0" t="str">
        <f aca="false">PROPER(IF(ISBLANK(BK409),"Not Mentioned",BK409))</f>
        <v>Yes</v>
      </c>
      <c r="BM409" s="0" t="s">
        <v>50</v>
      </c>
      <c r="BN409" s="0" t="str">
        <f aca="false">PROPER(IF(ISBLANK(BM409),"Not Mentioned",BM409))</f>
        <v>No</v>
      </c>
      <c r="BP409" s="0" t="str">
        <f aca="false">IF(ISBLANK(BO409),"One-Time Plan",BO409)</f>
        <v>One-Time Plan</v>
      </c>
      <c r="BQ409" s="0" t="s">
        <v>190</v>
      </c>
      <c r="BR409" s="0" t="str">
        <f aca="false">PROPER(IF(ISBLANK(BQ409),"No",BQ409))</f>
        <v>Yes</v>
      </c>
    </row>
    <row r="410" customFormat="false" ht="15" hidden="false" customHeight="false" outlineLevel="0" collapsed="false">
      <c r="A410" s="0" t="s">
        <v>1085</v>
      </c>
      <c r="B410" s="2" t="n">
        <v>45840</v>
      </c>
      <c r="C410" s="2" t="str">
        <f aca="false">TEXT(B410,"dd/mm/yyyy")</f>
        <v>02/07/2025</v>
      </c>
      <c r="D410" s="0" t="s">
        <v>66</v>
      </c>
      <c r="E410" s="0" t="n">
        <v>8071767610</v>
      </c>
      <c r="F410" s="0" t="s">
        <v>85</v>
      </c>
      <c r="G410" s="0" t="s">
        <v>2319</v>
      </c>
      <c r="H410" s="0" t="s">
        <v>1086</v>
      </c>
      <c r="I410" s="0" t="s">
        <v>107</v>
      </c>
      <c r="K410" s="3" t="str">
        <f aca="false" t="array" ref="K410:K410">IFERROR(IF(J410&lt;&gt;"",J410,INDEX(J410:J1409,MATCH(1,(F410:F1409=F410)*(I410:I1409=I410)*(L410:L1409=L410)*(J410:J1409&lt;&gt;""),0))),"Not Found")</f>
        <v>Suspension Noise</v>
      </c>
      <c r="L410" s="3" t="s">
        <v>89</v>
      </c>
      <c r="M410" s="0" t="str">
        <f aca="false">PROPER(L410)</f>
        <v>Shock Absorbers</v>
      </c>
      <c r="N410" s="3" t="s">
        <v>90</v>
      </c>
      <c r="O410" s="0" t="str">
        <f aca="false" t="array" ref="O410:O410">IF(N410&lt;&gt;"",N410,_xlfn.xlookup(1,(L410:L1409=L410)*(N410:N1409&lt;&gt;""),N410:N1409,"Not Found"))</f>
        <v>Musa</v>
      </c>
      <c r="P410" s="4" t="n">
        <v>103804</v>
      </c>
      <c r="Q410" s="0" t="s">
        <v>110</v>
      </c>
      <c r="R410" s="0" t="str">
        <f aca="false">PROPER(Q410)</f>
        <v>Cash</v>
      </c>
      <c r="S410" s="0" t="s">
        <v>50</v>
      </c>
      <c r="T410" s="0" t="n">
        <v>4</v>
      </c>
      <c r="U410" s="5" t="n">
        <f aca="false">IF(ISBLANK(T410),AVERAGE(T410:T1409),T410)</f>
        <v>4</v>
      </c>
      <c r="V410" s="0" t="n">
        <v>2</v>
      </c>
      <c r="W410" s="0" t="s">
        <v>125</v>
      </c>
      <c r="X410" s="0" t="str">
        <f aca="false">IF(ISBLANK(W410),"No remarks",W410)</f>
        <v>Customer waited</v>
      </c>
      <c r="Y410" s="0" t="s">
        <v>73</v>
      </c>
      <c r="Z410" s="0" t="s">
        <v>74</v>
      </c>
      <c r="AA410" s="0" t="str">
        <f aca="false">PROPER(IF(ISBLANK(Z410),"Location Unavailable",Z410))</f>
        <v>Under Tree</v>
      </c>
      <c r="AB410" s="0" t="s">
        <v>54</v>
      </c>
      <c r="AC410" s="6" t="str">
        <f aca="false">PROPER(AB410)</f>
        <v>Mechanic Referral</v>
      </c>
      <c r="AD410" s="6" t="n">
        <v>15</v>
      </c>
      <c r="AE410" s="5" t="n">
        <f aca="false">IF(ISBLANK(AD410),AVERAGEIF(L410:L1409,L410,AD410:AD1409),AD410)</f>
        <v>15</v>
      </c>
      <c r="AF410" s="0" t="s">
        <v>76</v>
      </c>
      <c r="AG410" s="0" t="str">
        <f aca="false">PROPER(AF410)</f>
        <v>Orderd</v>
      </c>
      <c r="AH410" s="0" t="s">
        <v>56</v>
      </c>
      <c r="AI410" s="0" t="s">
        <v>98</v>
      </c>
      <c r="AJ410" s="0" t="str">
        <f aca="false">PROPER(AI410)</f>
        <v>Emergency</v>
      </c>
      <c r="AK410" s="0" t="s">
        <v>99</v>
      </c>
      <c r="AL410" s="0" t="str">
        <f aca="false">PROPER(AK410)</f>
        <v>Uber Driver</v>
      </c>
      <c r="AM410" s="0" t="s">
        <v>177</v>
      </c>
      <c r="AN410" s="0" t="str">
        <f aca="false">IF(ISBLANK(AM410),"Unknown",AM410)</f>
        <v>Private</v>
      </c>
      <c r="AO410" s="0" t="s">
        <v>79</v>
      </c>
      <c r="AP410" s="0" t="str">
        <f aca="false">IF(ISBLANK(AO410),"Unknown",AO410)</f>
        <v>Specialist</v>
      </c>
      <c r="AQ410" s="0" t="n">
        <v>15000</v>
      </c>
      <c r="AR410" s="5" t="n">
        <f aca="false">IF(ISBLANK(AQ410),AVERAGEIF(M410:M1409,M410,AQ410:AQ1409),AQ410)</f>
        <v>15000</v>
      </c>
      <c r="AS410" s="0" t="n">
        <v>35000</v>
      </c>
      <c r="AT410" s="5" t="n">
        <f aca="false">IF(ISBLANK(AS410),AVERAGE(AS410:AS1409),AS410)</f>
        <v>35000</v>
      </c>
      <c r="AU410" s="0" t="s">
        <v>50</v>
      </c>
      <c r="AV410" s="0" t="str">
        <f aca="false">PROPER(IF(ISBLANK(AU410),"No",AU410))</f>
        <v>No</v>
      </c>
      <c r="AW410" s="0" t="n">
        <v>5000</v>
      </c>
      <c r="AX410" s="5" t="n">
        <f aca="false">IF(ISBLANK(AW410),0,AW410)</f>
        <v>5000</v>
      </c>
      <c r="AY410" s="0" t="s">
        <v>60</v>
      </c>
      <c r="AZ410" s="0" t="str">
        <f aca="false">UPPER(IF(ISBLANK(AY410),"NONE",AY410))</f>
        <v>NONE</v>
      </c>
      <c r="BB410" s="7" t="str">
        <f aca="false">IF(ISBLANK(BA410),"No Follow Up Needed",BA410)</f>
        <v>No Follow Up Needed</v>
      </c>
      <c r="BC410" s="0" t="s">
        <v>50</v>
      </c>
      <c r="BD410" s="0" t="str">
        <f aca="false">PROPER(IF(ISBLANK(BC410),"Unknown",BC410))</f>
        <v>No</v>
      </c>
      <c r="BE410" s="0" t="s">
        <v>116</v>
      </c>
      <c r="BF410" s="0" t="str">
        <f aca="false">IF(ISBLANK(BE410),"No comments",BE410)</f>
        <v>Needs tire alignment</v>
      </c>
      <c r="BH410" s="0" t="str">
        <f aca="false">IF(ISBLANK(BG410),"No comments",BG410)</f>
        <v>No comments</v>
      </c>
      <c r="BI410" s="0" t="s">
        <v>63</v>
      </c>
      <c r="BJ410" s="0" t="str">
        <f aca="false">IF(ISBLANK(BI410),"Not Mentioned",BI410)</f>
        <v>Yes</v>
      </c>
      <c r="BK410" s="0" t="s">
        <v>82</v>
      </c>
      <c r="BL410" s="0" t="str">
        <f aca="false">PROPER(IF(ISBLANK(BK410),"Not Mentioned",BK410))</f>
        <v>Yes</v>
      </c>
      <c r="BM410" s="0" t="s">
        <v>63</v>
      </c>
      <c r="BN410" s="0" t="str">
        <f aca="false">PROPER(IF(ISBLANK(BM410),"Not Mentioned",BM410))</f>
        <v>Yes</v>
      </c>
      <c r="BO410" s="0" t="s">
        <v>2321</v>
      </c>
      <c r="BP410" s="0" t="str">
        <f aca="false">IF(ISBLANK(BO410),"One-Time Plan",BO410)</f>
        <v>One-Time Plan</v>
      </c>
      <c r="BQ410" s="0" t="s">
        <v>50</v>
      </c>
      <c r="BR410" s="0" t="str">
        <f aca="false">PROPER(IF(ISBLANK(BQ410),"No",BQ410))</f>
        <v>No</v>
      </c>
    </row>
    <row r="411" customFormat="false" ht="15" hidden="false" customHeight="false" outlineLevel="0" collapsed="false">
      <c r="A411" s="0" t="s">
        <v>1087</v>
      </c>
      <c r="B411" s="2" t="s">
        <v>669</v>
      </c>
      <c r="C411" s="2" t="str">
        <f aca="false">TEXT(B411,"dd/mm/yyyy")</f>
        <v>16/04/2025</v>
      </c>
      <c r="D411" s="0" t="s">
        <v>66</v>
      </c>
      <c r="E411" s="0" t="n">
        <v>8072101932</v>
      </c>
      <c r="F411" s="0" t="s">
        <v>43</v>
      </c>
      <c r="G411" s="0" t="s">
        <v>2315</v>
      </c>
      <c r="H411" s="0" t="s">
        <v>1088</v>
      </c>
      <c r="I411" s="0" t="s">
        <v>134</v>
      </c>
      <c r="J411" s="0" t="s">
        <v>2322</v>
      </c>
      <c r="K411" s="3" t="str">
        <f aca="false" t="array" ref="K411:K411">IFERROR(IF(J411&lt;&gt;"",J411,INDEX(J411:J1410,MATCH(1,(F411:F1410=F411)*(I411:I1410=I411)*(L411:L1410=L411)*(J411:J1410&lt;&gt;""),0))),"Not Found")</f>
        <v>Brake Failure</v>
      </c>
      <c r="L411" s="3" t="s">
        <v>47</v>
      </c>
      <c r="M411" s="0" t="str">
        <f aca="false">PROPER(L411)</f>
        <v>None</v>
      </c>
      <c r="N411" s="3" t="s">
        <v>109</v>
      </c>
      <c r="O411" s="0" t="str">
        <f aca="false" t="array" ref="O411:O411">IF(N411&lt;&gt;"",N411,_xlfn.xlookup(1,(L411:L1410=L411)*(N411:N1410&lt;&gt;""),N411:N1410,"Not Found"))</f>
        <v>Tijani</v>
      </c>
      <c r="P411" s="4" t="n">
        <v>97418</v>
      </c>
      <c r="Q411" s="0" t="s">
        <v>110</v>
      </c>
      <c r="R411" s="0" t="str">
        <f aca="false">PROPER(Q411)</f>
        <v>Cash</v>
      </c>
      <c r="S411" s="0" t="s">
        <v>50</v>
      </c>
      <c r="T411" s="0" t="n">
        <v>2</v>
      </c>
      <c r="U411" s="5" t="n">
        <f aca="false">IF(ISBLANK(T411),AVERAGE(T411:T1410),T411)</f>
        <v>2</v>
      </c>
      <c r="V411" s="0" t="n">
        <v>4.4</v>
      </c>
      <c r="W411" s="0" t="s">
        <v>111</v>
      </c>
      <c r="X411" s="0" t="str">
        <f aca="false">IF(ISBLANK(W411),"No remarks",W411)</f>
        <v>Changed all filters</v>
      </c>
      <c r="Y411" s="0" t="s">
        <v>52</v>
      </c>
      <c r="Z411" s="0" t="s">
        <v>136</v>
      </c>
      <c r="AA411" s="0" t="str">
        <f aca="false">PROPER(IF(ISBLANK(Z411),"Location Unavailable",Z411))</f>
        <v>Vip Section</v>
      </c>
      <c r="AB411" s="0" t="s">
        <v>126</v>
      </c>
      <c r="AC411" s="6" t="str">
        <f aca="false">PROPER(AB411)</f>
        <v>Whatsapp</v>
      </c>
      <c r="AD411" s="6" t="n">
        <v>60</v>
      </c>
      <c r="AE411" s="5" t="n">
        <f aca="false">IF(ISBLANK(AD411),AVERAGEIF(L411:L1410,L411,AD411:AD1410),AD411)</f>
        <v>60</v>
      </c>
      <c r="AF411" s="0" t="s">
        <v>160</v>
      </c>
      <c r="AG411" s="0" t="str">
        <f aca="false">PROPER(AF411)</f>
        <v>Availaible</v>
      </c>
      <c r="AH411" s="0" t="s">
        <v>155</v>
      </c>
      <c r="AI411" s="0" t="s">
        <v>128</v>
      </c>
      <c r="AJ411" s="0" t="str">
        <f aca="false">PROPER(AI411)</f>
        <v>Normal</v>
      </c>
      <c r="AK411" s="0" t="s">
        <v>196</v>
      </c>
      <c r="AL411" s="0" t="str">
        <f aca="false">PROPER(AK411)</f>
        <v>First Time</v>
      </c>
      <c r="AM411" s="0" t="s">
        <v>2326</v>
      </c>
      <c r="AN411" s="0" t="str">
        <f aca="false">IF(ISBLANK(AM411),"Unknown",AM411)</f>
        <v>Government Convoy</v>
      </c>
      <c r="AP411" s="0" t="str">
        <f aca="false">IF(ISBLANK(AO411),"Unknown",AO411)</f>
        <v>Unknown</v>
      </c>
      <c r="AQ411" s="0" t="n">
        <v>40000</v>
      </c>
      <c r="AR411" s="5" t="n">
        <f aca="false">IF(ISBLANK(AQ411),AVERAGEIF(M411:M1410,M411,AQ411:AQ1410),AQ411)</f>
        <v>40000</v>
      </c>
      <c r="AT411" s="5" t="n">
        <f aca="false">IF(ISBLANK(AS411),AVERAGE(AS411:AS1410),AS411)</f>
        <v>31471.7741935484</v>
      </c>
      <c r="AU411" s="0" t="s">
        <v>63</v>
      </c>
      <c r="AV411" s="0" t="str">
        <f aca="false">PROPER(IF(ISBLANK(AU411),"No",AU411))</f>
        <v>Yes</v>
      </c>
      <c r="AW411" s="0" t="n">
        <v>5000</v>
      </c>
      <c r="AX411" s="5" t="n">
        <f aca="false">IF(ISBLANK(AW411),0,AW411)</f>
        <v>5000</v>
      </c>
      <c r="AY411" s="0" t="s">
        <v>60</v>
      </c>
      <c r="AZ411" s="0" t="str">
        <f aca="false">UPPER(IF(ISBLANK(AY411),"NONE",AY411))</f>
        <v>NONE</v>
      </c>
      <c r="BB411" s="7" t="str">
        <f aca="false">IF(ISBLANK(BA411),"No Follow Up Needed",BA411)</f>
        <v>No Follow Up Needed</v>
      </c>
      <c r="BC411" s="0" t="s">
        <v>82</v>
      </c>
      <c r="BD411" s="0" t="str">
        <f aca="false">PROPER(IF(ISBLANK(BC411),"Unknown",BC411))</f>
        <v>Yes</v>
      </c>
      <c r="BE411" s="0" t="s">
        <v>116</v>
      </c>
      <c r="BF411" s="0" t="str">
        <f aca="false">IF(ISBLANK(BE411),"No comments",BE411)</f>
        <v>Needs tire alignment</v>
      </c>
      <c r="BG411" s="0" t="s">
        <v>2320</v>
      </c>
      <c r="BH411" s="0" t="str">
        <f aca="false">IF(ISBLANK(BG411),"No comments",BG411)</f>
        <v>No complaints</v>
      </c>
      <c r="BJ411" s="0" t="str">
        <f aca="false">IF(ISBLANK(BI411),"Not Mentioned",BI411)</f>
        <v>Not Mentioned</v>
      </c>
      <c r="BK411" s="0" t="s">
        <v>82</v>
      </c>
      <c r="BL411" s="0" t="str">
        <f aca="false">PROPER(IF(ISBLANK(BK411),"Not Mentioned",BK411))</f>
        <v>Yes</v>
      </c>
      <c r="BM411" s="0" t="s">
        <v>50</v>
      </c>
      <c r="BN411" s="0" t="str">
        <f aca="false">PROPER(IF(ISBLANK(BM411),"Not Mentioned",BM411))</f>
        <v>No</v>
      </c>
      <c r="BP411" s="0" t="str">
        <f aca="false">IF(ISBLANK(BO411),"One-Time Plan",BO411)</f>
        <v>One-Time Plan</v>
      </c>
      <c r="BQ411" s="0" t="s">
        <v>50</v>
      </c>
      <c r="BR411" s="0" t="str">
        <f aca="false">PROPER(IF(ISBLANK(BQ411),"No",BQ411))</f>
        <v>No</v>
      </c>
    </row>
    <row r="412" customFormat="false" ht="15" hidden="false" customHeight="false" outlineLevel="0" collapsed="false">
      <c r="A412" s="0" t="s">
        <v>1089</v>
      </c>
      <c r="B412" s="2" t="n">
        <v>45821</v>
      </c>
      <c r="C412" s="2" t="str">
        <f aca="false">TEXT(B412,"dd/mm/yyyy")</f>
        <v>13/06/2025</v>
      </c>
      <c r="D412" s="0" t="s">
        <v>121</v>
      </c>
      <c r="E412" s="0" t="n">
        <v>8087327229</v>
      </c>
      <c r="F412" s="0" t="s">
        <v>122</v>
      </c>
      <c r="G412" s="0" t="s">
        <v>2316</v>
      </c>
      <c r="H412" s="0" t="s">
        <v>1090</v>
      </c>
      <c r="I412" s="0" t="s">
        <v>45</v>
      </c>
      <c r="K412" s="3" t="str">
        <f aca="false" t="array" ref="K412:K412">IFERROR(IF(J412&lt;&gt;"",J412,INDEX(J412:J1411,MATCH(1,(F412:F1411=F412)*(I412:I1411=I412)*(L412:L1411=L412)*(J412:J1411&lt;&gt;""),0))),"Not Found")</f>
        <v>Engine Knocking</v>
      </c>
      <c r="L412" s="3" t="s">
        <v>108</v>
      </c>
      <c r="M412" s="0" t="str">
        <f aca="false">PROPER(L412)</f>
        <v>Timing Belt</v>
      </c>
      <c r="N412" s="3" t="s">
        <v>71</v>
      </c>
      <c r="O412" s="0" t="str">
        <f aca="false" t="array" ref="O412:O412">IF(N412&lt;&gt;"",N412,_xlfn.xlookup(1,(L412:L1411=L412)*(N412:N1411&lt;&gt;""),N412:N1411,"Not Found"))</f>
        <v>Isaac Bobo</v>
      </c>
      <c r="P412" s="4" t="n">
        <v>84562</v>
      </c>
      <c r="Q412" s="0" t="s">
        <v>166</v>
      </c>
      <c r="R412" s="0" t="str">
        <f aca="false">PROPER(Q412)</f>
        <v>Transfer</v>
      </c>
      <c r="S412" s="0" t="s">
        <v>63</v>
      </c>
      <c r="U412" s="5" t="n">
        <f aca="false">IF(ISBLANK(T412),AVERAGE(T412:T1411),T412)</f>
        <v>3.05316973415133</v>
      </c>
      <c r="V412" s="0" t="n">
        <v>1.1</v>
      </c>
      <c r="W412" s="0" t="s">
        <v>111</v>
      </c>
      <c r="X412" s="0" t="str">
        <f aca="false">IF(ISBLANK(W412),"No remarks",W412)</f>
        <v>Changed all filters</v>
      </c>
      <c r="Y412" s="0" t="s">
        <v>73</v>
      </c>
      <c r="Z412" s="0" t="s">
        <v>74</v>
      </c>
      <c r="AA412" s="0" t="str">
        <f aca="false">PROPER(IF(ISBLANK(Z412),"Location Unavailable",Z412))</f>
        <v>Under Tree</v>
      </c>
      <c r="AB412" s="0" t="s">
        <v>147</v>
      </c>
      <c r="AC412" s="6" t="str">
        <f aca="false">PROPER(AB412)</f>
        <v>Instagram</v>
      </c>
      <c r="AE412" s="5" t="n">
        <f aca="false">IF(ISBLANK(AD412),AVERAGEIF(L412:L1411,L412,AD412:AD1411),AD412)</f>
        <v>37.5</v>
      </c>
      <c r="AF412" s="0" t="s">
        <v>96</v>
      </c>
      <c r="AG412" s="0" t="str">
        <f aca="false">PROPER(AF412)</f>
        <v>Ordered</v>
      </c>
      <c r="AH412" s="0" t="s">
        <v>155</v>
      </c>
      <c r="AI412" s="0" t="s">
        <v>113</v>
      </c>
      <c r="AJ412" s="0" t="str">
        <f aca="false">PROPER(AI412)</f>
        <v>Normal</v>
      </c>
      <c r="AK412" s="0" t="s">
        <v>196</v>
      </c>
      <c r="AL412" s="0" t="str">
        <f aca="false">PROPER(AK412)</f>
        <v>First Time</v>
      </c>
      <c r="AN412" s="0" t="str">
        <f aca="false">IF(ISBLANK(AM412),"Unknown",AM412)</f>
        <v>Unknown</v>
      </c>
      <c r="AO412" s="0" t="s">
        <v>79</v>
      </c>
      <c r="AP412" s="0" t="str">
        <f aca="false">IF(ISBLANK(AO412),"Unknown",AO412)</f>
        <v>Specialist</v>
      </c>
      <c r="AQ412" s="0" t="n">
        <v>15000</v>
      </c>
      <c r="AR412" s="5" t="n">
        <f aca="false">IF(ISBLANK(AQ412),AVERAGEIF(M412:M1411,M412,AQ412:AQ1411),AQ412)</f>
        <v>15000</v>
      </c>
      <c r="AS412" s="0" t="n">
        <v>35000</v>
      </c>
      <c r="AT412" s="5" t="n">
        <f aca="false">IF(ISBLANK(AS412),AVERAGE(AS412:AS1411),AS412)</f>
        <v>35000</v>
      </c>
      <c r="AU412" s="0" t="s">
        <v>82</v>
      </c>
      <c r="AV412" s="0" t="str">
        <f aca="false">PROPER(IF(ISBLANK(AU412),"No",AU412))</f>
        <v>Yes</v>
      </c>
      <c r="AW412" s="0" t="n">
        <v>10000</v>
      </c>
      <c r="AX412" s="5" t="n">
        <f aca="false">IF(ISBLANK(AW412),0,AW412)</f>
        <v>10000</v>
      </c>
      <c r="AY412" s="0" t="s">
        <v>184</v>
      </c>
      <c r="AZ412" s="0" t="str">
        <f aca="false">UPPER(IF(ISBLANK(AY412),"NONE",AY412))</f>
        <v>N/A</v>
      </c>
      <c r="BB412" s="7" t="str">
        <f aca="false">IF(ISBLANK(BA412),"No Follow Up Needed",BA412)</f>
        <v>No Follow Up Needed</v>
      </c>
      <c r="BC412" s="0" t="s">
        <v>50</v>
      </c>
      <c r="BD412" s="0" t="str">
        <f aca="false">PROPER(IF(ISBLANK(BC412),"Unknown",BC412))</f>
        <v>No</v>
      </c>
      <c r="BE412" s="0" t="s">
        <v>171</v>
      </c>
      <c r="BF412" s="0" t="str">
        <f aca="false">IF(ISBLANK(BE412),"No comments",BE412)</f>
        <v>Shock absorber weakening</v>
      </c>
      <c r="BH412" s="0" t="str">
        <f aca="false">IF(ISBLANK(BG412),"No comments",BG412)</f>
        <v>No comments</v>
      </c>
      <c r="BJ412" s="0" t="str">
        <f aca="false">IF(ISBLANK(BI412),"Not Mentioned",BI412)</f>
        <v>Not Mentioned</v>
      </c>
      <c r="BK412" s="0" t="s">
        <v>63</v>
      </c>
      <c r="BL412" s="0" t="str">
        <f aca="false">PROPER(IF(ISBLANK(BK412),"Not Mentioned",BK412))</f>
        <v>Yes</v>
      </c>
      <c r="BN412" s="0" t="str">
        <f aca="false">PROPER(IF(ISBLANK(BM412),"Not Mentioned",BM412))</f>
        <v>Not Mentioned</v>
      </c>
      <c r="BO412" s="0" t="s">
        <v>2321</v>
      </c>
      <c r="BP412" s="0" t="str">
        <f aca="false">IF(ISBLANK(BO412),"One-Time Plan",BO412)</f>
        <v>One-Time Plan</v>
      </c>
      <c r="BQ412" s="0" t="s">
        <v>50</v>
      </c>
      <c r="BR412" s="0" t="str">
        <f aca="false">PROPER(IF(ISBLANK(BQ412),"No",BQ412))</f>
        <v>No</v>
      </c>
    </row>
    <row r="413" customFormat="false" ht="15" hidden="false" customHeight="false" outlineLevel="0" collapsed="false">
      <c r="A413" s="0" t="s">
        <v>1091</v>
      </c>
      <c r="B413" s="2" t="n">
        <v>45685</v>
      </c>
      <c r="C413" s="2" t="str">
        <f aca="false">TEXT(B413,"dd/mm/yyyy")</f>
        <v>28/01/2025</v>
      </c>
      <c r="D413" s="0" t="s">
        <v>66</v>
      </c>
      <c r="E413" s="0" t="n">
        <v>8015245871</v>
      </c>
      <c r="F413" s="0" t="s">
        <v>139</v>
      </c>
      <c r="G413" s="0" t="s">
        <v>2323</v>
      </c>
      <c r="H413" s="0" t="s">
        <v>1092</v>
      </c>
      <c r="I413" s="0" t="s">
        <v>134</v>
      </c>
      <c r="J413" s="0" t="s">
        <v>87</v>
      </c>
      <c r="K413" s="3" t="str">
        <f aca="false" t="array" ref="K413:K413">IFERROR(IF(J413&lt;&gt;"",J413,INDEX(J413:J1412,MATCH(1,(F413:F1412=F413)*(I413:I1412=I413)*(L413:L1412=L413)*(J413:J1412&lt;&gt;""),0))),"Not Found")</f>
        <v>Oil Change</v>
      </c>
      <c r="L413" s="3" t="s">
        <v>189</v>
      </c>
      <c r="M413" s="0" t="str">
        <f aca="false">PROPER(L413)</f>
        <v>Battery</v>
      </c>
      <c r="N413" s="3" t="s">
        <v>90</v>
      </c>
      <c r="O413" s="0" t="str">
        <f aca="false" t="array" ref="O413:O413">IF(N413&lt;&gt;"",N413,_xlfn.xlookup(1,(L413:L1412=L413)*(N413:N1412&lt;&gt;""),N413:N1412,"Not Found"))</f>
        <v>Musa</v>
      </c>
      <c r="P413" s="4" t="n">
        <v>88145</v>
      </c>
      <c r="Q413" s="0" t="s">
        <v>124</v>
      </c>
      <c r="R413" s="0" t="str">
        <f aca="false">PROPER(Q413)</f>
        <v>Cash</v>
      </c>
      <c r="S413" s="0" t="s">
        <v>63</v>
      </c>
      <c r="T413" s="0" t="n">
        <v>2</v>
      </c>
      <c r="U413" s="5" t="n">
        <f aca="false">IF(ISBLANK(T413),AVERAGE(T413:T1412),T413)</f>
        <v>2</v>
      </c>
      <c r="V413" s="0" t="n">
        <v>4.7</v>
      </c>
      <c r="W413" s="0" t="s">
        <v>125</v>
      </c>
      <c r="X413" s="0" t="str">
        <f aca="false">IF(ISBLANK(W413),"No remarks",W413)</f>
        <v>Customer waited</v>
      </c>
      <c r="Y413" s="0" t="s">
        <v>73</v>
      </c>
      <c r="Z413" s="0" t="s">
        <v>159</v>
      </c>
      <c r="AA413" s="0" t="str">
        <f aca="false">PROPER(IF(ISBLANK(Z413),"Location Unavailable",Z413))</f>
        <v>Main Bay</v>
      </c>
      <c r="AB413" s="0" t="s">
        <v>54</v>
      </c>
      <c r="AC413" s="6" t="str">
        <f aca="false">PROPER(AB413)</f>
        <v>Mechanic Referral</v>
      </c>
      <c r="AE413" s="5" t="n">
        <f aca="false">IF(ISBLANK(AD413),AVERAGEIF(L413:L1412,L413,AD413:AD1412),AD413)</f>
        <v>40</v>
      </c>
      <c r="AF413" s="0" t="s">
        <v>96</v>
      </c>
      <c r="AG413" s="0" t="str">
        <f aca="false">PROPER(AF413)</f>
        <v>Ordered</v>
      </c>
      <c r="AH413" s="0" t="s">
        <v>56</v>
      </c>
      <c r="AI413" s="0" t="s">
        <v>78</v>
      </c>
      <c r="AJ413" s="0" t="str">
        <f aca="false">PROPER(AI413)</f>
        <v>Booking</v>
      </c>
      <c r="AK413" s="0" t="s">
        <v>196</v>
      </c>
      <c r="AL413" s="0" t="str">
        <f aca="false">PROPER(AK413)</f>
        <v>First Time</v>
      </c>
      <c r="AN413" s="0" t="str">
        <f aca="false">IF(ISBLANK(AM413),"Unknown",AM413)</f>
        <v>Unknown</v>
      </c>
      <c r="AO413" s="0" t="s">
        <v>79</v>
      </c>
      <c r="AP413" s="0" t="str">
        <f aca="false">IF(ISBLANK(AO413),"Unknown",AO413)</f>
        <v>Specialist</v>
      </c>
      <c r="AQ413" s="0" t="n">
        <v>40000</v>
      </c>
      <c r="AR413" s="5" t="n">
        <f aca="false">IF(ISBLANK(AQ413),AVERAGEIF(M413:M1412,M413,AQ413:AQ1412),AQ413)</f>
        <v>40000</v>
      </c>
      <c r="AS413" s="0" t="n">
        <v>35000</v>
      </c>
      <c r="AT413" s="5" t="n">
        <f aca="false">IF(ISBLANK(AS413),AVERAGE(AS413:AS1412),AS413)</f>
        <v>35000</v>
      </c>
      <c r="AU413" s="0" t="s">
        <v>61</v>
      </c>
      <c r="AV413" s="0" t="str">
        <f aca="false">PROPER(IF(ISBLANK(AU413),"No",AU413))</f>
        <v>No</v>
      </c>
      <c r="AW413" s="0" t="n">
        <v>5000</v>
      </c>
      <c r="AX413" s="5" t="n">
        <f aca="false">IF(ISBLANK(AW413),0,AW413)</f>
        <v>5000</v>
      </c>
      <c r="AY413" s="0" t="s">
        <v>80</v>
      </c>
      <c r="AZ413" s="0" t="str">
        <f aca="false">UPPER(IF(ISBLANK(AY413),"NONE",AY413))</f>
        <v>PROMO10</v>
      </c>
      <c r="BA413" s="7" t="s">
        <v>703</v>
      </c>
      <c r="BB413" s="7" t="str">
        <f aca="false">IF(ISBLANK(BA413),"No Follow Up Needed",BA413)</f>
        <v>18/11/2025</v>
      </c>
      <c r="BD413" s="0" t="str">
        <f aca="false">PROPER(IF(ISBLANK(BC413),"Unknown",BC413))</f>
        <v>Unknown</v>
      </c>
      <c r="BF413" s="0" t="str">
        <f aca="false">IF(ISBLANK(BE413),"No comments",BE413)</f>
        <v>No comments</v>
      </c>
      <c r="BH413" s="0" t="str">
        <f aca="false">IF(ISBLANK(BG413),"No comments",BG413)</f>
        <v>No comments</v>
      </c>
      <c r="BI413" s="0" t="s">
        <v>50</v>
      </c>
      <c r="BJ413" s="0" t="str">
        <f aca="false">IF(ISBLANK(BI413),"Not Mentioned",BI413)</f>
        <v>No</v>
      </c>
      <c r="BK413" s="0" t="s">
        <v>61</v>
      </c>
      <c r="BL413" s="0" t="str">
        <f aca="false">PROPER(IF(ISBLANK(BK413),"Not Mentioned",BK413))</f>
        <v>No</v>
      </c>
      <c r="BM413" s="0" t="s">
        <v>63</v>
      </c>
      <c r="BN413" s="0" t="str">
        <f aca="false">PROPER(IF(ISBLANK(BM413),"Not Mentioned",BM413))</f>
        <v>Yes</v>
      </c>
      <c r="BO413" s="0" t="s">
        <v>2321</v>
      </c>
      <c r="BP413" s="0" t="str">
        <f aca="false">IF(ISBLANK(BO413),"One-Time Plan",BO413)</f>
        <v>One-Time Plan</v>
      </c>
      <c r="BQ413" s="0" t="s">
        <v>198</v>
      </c>
      <c r="BR413" s="0" t="str">
        <f aca="false">PROPER(IF(ISBLANK(BQ413),"No",BQ413))</f>
        <v>Followed Up</v>
      </c>
    </row>
    <row r="414" customFormat="false" ht="15" hidden="false" customHeight="false" outlineLevel="0" collapsed="false">
      <c r="A414" s="0" t="s">
        <v>1093</v>
      </c>
      <c r="B414" s="2" t="n">
        <v>45726</v>
      </c>
      <c r="C414" s="2" t="str">
        <f aca="false">TEXT(B414,"dd/mm/yyyy")</f>
        <v>10/03/2025</v>
      </c>
      <c r="D414" s="0" t="s">
        <v>105</v>
      </c>
      <c r="E414" s="0" t="n">
        <v>8022227594</v>
      </c>
      <c r="F414" s="0" t="s">
        <v>139</v>
      </c>
      <c r="G414" s="0" t="s">
        <v>2323</v>
      </c>
      <c r="H414" s="0" t="s">
        <v>1094</v>
      </c>
      <c r="I414" s="0" t="s">
        <v>45</v>
      </c>
      <c r="J414" s="0" t="s">
        <v>2317</v>
      </c>
      <c r="K414" s="3" t="str">
        <f aca="false" t="array" ref="K414:K414">IFERROR(IF(J414&lt;&gt;"",J414,INDEX(J414:J1413,MATCH(1,(F414:F1413=F414)*(I414:I1413=I414)*(L414:L1413=L414)*(J414:J1413&lt;&gt;""),0))),"Not Found")</f>
        <v>Suspension Noise</v>
      </c>
      <c r="L414" s="3" t="s">
        <v>142</v>
      </c>
      <c r="M414" s="0" t="str">
        <f aca="false">PROPER(L414)</f>
        <v>Oil Filter, Brake Pads</v>
      </c>
      <c r="N414" s="3" t="s">
        <v>109</v>
      </c>
      <c r="O414" s="0" t="str">
        <f aca="false" t="array" ref="O414:O414">IF(N414&lt;&gt;"",N414,_xlfn.xlookup(1,(L414:L1413=L414)*(N414:N1413&lt;&gt;""),N414:N1413,"Not Found"))</f>
        <v>Tijani</v>
      </c>
      <c r="P414" s="4" t="n">
        <v>55251</v>
      </c>
      <c r="Q414" s="0" t="s">
        <v>91</v>
      </c>
      <c r="R414" s="0" t="str">
        <f aca="false">PROPER(Q414)</f>
        <v>Pos</v>
      </c>
      <c r="S414" s="0" t="s">
        <v>63</v>
      </c>
      <c r="T414" s="0" t="n">
        <v>4</v>
      </c>
      <c r="U414" s="5" t="n">
        <f aca="false">IF(ISBLANK(T414),AVERAGE(T414:T1413),T414)</f>
        <v>4</v>
      </c>
      <c r="V414" s="0" t="n">
        <v>1.6</v>
      </c>
      <c r="W414" s="0" t="s">
        <v>92</v>
      </c>
      <c r="X414" s="0" t="str">
        <f aca="false">IF(ISBLANK(W414),"No remarks",W414)</f>
        <v>Urgent service</v>
      </c>
      <c r="Y414" s="0" t="s">
        <v>73</v>
      </c>
      <c r="Z414" s="0" t="s">
        <v>53</v>
      </c>
      <c r="AA414" s="0" t="str">
        <f aca="false">PROPER(IF(ISBLANK(Z414),"Location Unavailable",Z414))</f>
        <v>Main Bay</v>
      </c>
      <c r="AB414" s="0" t="s">
        <v>75</v>
      </c>
      <c r="AC414" s="6" t="str">
        <f aca="false">PROPER(AB414)</f>
        <v>Mechanik Referal</v>
      </c>
      <c r="AD414" s="6" t="n">
        <v>45</v>
      </c>
      <c r="AE414" s="5" t="n">
        <f aca="false">IF(ISBLANK(AD414),AVERAGEIF(L414:L1413,L414,AD414:AD1413),AD414)</f>
        <v>45</v>
      </c>
      <c r="AF414" s="0" t="s">
        <v>96</v>
      </c>
      <c r="AG414" s="0" t="str">
        <f aca="false">PROPER(AF414)</f>
        <v>Ordered</v>
      </c>
      <c r="AH414" s="0" t="s">
        <v>77</v>
      </c>
      <c r="AI414" s="0" t="s">
        <v>113</v>
      </c>
      <c r="AJ414" s="0" t="str">
        <f aca="false">PROPER(AI414)</f>
        <v>Normal</v>
      </c>
      <c r="AK414" s="0" t="s">
        <v>196</v>
      </c>
      <c r="AL414" s="0" t="str">
        <f aca="false">PROPER(AK414)</f>
        <v>First Time</v>
      </c>
      <c r="AM414" s="0" t="s">
        <v>59</v>
      </c>
      <c r="AN414" s="0" t="str">
        <f aca="false">IF(ISBLANK(AM414),"Unknown",AM414)</f>
        <v>Bolt Driver</v>
      </c>
      <c r="AO414" s="0" t="s">
        <v>79</v>
      </c>
      <c r="AP414" s="0" t="str">
        <f aca="false">IF(ISBLANK(AO414),"Unknown",AO414)</f>
        <v>Specialist</v>
      </c>
      <c r="AQ414" s="0" t="n">
        <v>25000</v>
      </c>
      <c r="AR414" s="5" t="n">
        <f aca="false">IF(ISBLANK(AQ414),AVERAGEIF(M414:M1413,M414,AQ414:AQ1413),AQ414)</f>
        <v>25000</v>
      </c>
      <c r="AS414" s="0" t="n">
        <v>30000</v>
      </c>
      <c r="AT414" s="5" t="n">
        <f aca="false">IF(ISBLANK(AS414),AVERAGE(AS414:AS1413),AS414)</f>
        <v>30000</v>
      </c>
      <c r="AU414" s="0" t="s">
        <v>82</v>
      </c>
      <c r="AV414" s="0" t="str">
        <f aca="false">PROPER(IF(ISBLANK(AU414),"No",AU414))</f>
        <v>Yes</v>
      </c>
      <c r="AX414" s="5" t="n">
        <f aca="false">IF(ISBLANK(AW414),0,AW414)</f>
        <v>0</v>
      </c>
      <c r="AY414" s="0" t="s">
        <v>184</v>
      </c>
      <c r="AZ414" s="0" t="str">
        <f aca="false">UPPER(IF(ISBLANK(AY414),"NONE",AY414))</f>
        <v>N/A</v>
      </c>
      <c r="BA414" s="7" t="n">
        <v>45970</v>
      </c>
      <c r="BB414" s="7" t="n">
        <f aca="false">IF(ISBLANK(BA414),"No Follow Up Needed",BA414)</f>
        <v>45970</v>
      </c>
      <c r="BC414" s="0" t="s">
        <v>50</v>
      </c>
      <c r="BD414" s="0" t="str">
        <f aca="false">PROPER(IF(ISBLANK(BC414),"Unknown",BC414))</f>
        <v>No</v>
      </c>
      <c r="BF414" s="0" t="str">
        <f aca="false">IF(ISBLANK(BE414),"No comments",BE414)</f>
        <v>No comments</v>
      </c>
      <c r="BG414" s="0" t="s">
        <v>2320</v>
      </c>
      <c r="BH414" s="0" t="str">
        <f aca="false">IF(ISBLANK(BG414),"No comments",BG414)</f>
        <v>No complaints</v>
      </c>
      <c r="BI414" s="0" t="s">
        <v>50</v>
      </c>
      <c r="BJ414" s="0" t="str">
        <f aca="false">IF(ISBLANK(BI414),"Not Mentioned",BI414)</f>
        <v>No</v>
      </c>
      <c r="BK414" s="0" t="s">
        <v>50</v>
      </c>
      <c r="BL414" s="0" t="str">
        <f aca="false">PROPER(IF(ISBLANK(BK414),"Not Mentioned",BK414))</f>
        <v>No</v>
      </c>
      <c r="BN414" s="0" t="str">
        <f aca="false">PROPER(IF(ISBLANK(BM414),"Not Mentioned",BM414))</f>
        <v>Not Mentioned</v>
      </c>
      <c r="BO414" s="0" t="s">
        <v>2321</v>
      </c>
      <c r="BP414" s="0" t="str">
        <f aca="false">IF(ISBLANK(BO414),"One-Time Plan",BO414)</f>
        <v>One-Time Plan</v>
      </c>
      <c r="BQ414" s="0" t="s">
        <v>63</v>
      </c>
      <c r="BR414" s="0" t="str">
        <f aca="false">PROPER(IF(ISBLANK(BQ414),"No",BQ414))</f>
        <v>Yes</v>
      </c>
    </row>
    <row r="415" customFormat="false" ht="15" hidden="false" customHeight="false" outlineLevel="0" collapsed="false">
      <c r="A415" s="0" t="s">
        <v>1095</v>
      </c>
      <c r="B415" s="2" t="n">
        <v>45717</v>
      </c>
      <c r="C415" s="2" t="str">
        <f aca="false">TEXT(B415,"dd/mm/yyyy")</f>
        <v>01/03/2025</v>
      </c>
      <c r="D415" s="0" t="s">
        <v>105</v>
      </c>
      <c r="E415" s="0" t="n">
        <v>8048642865</v>
      </c>
      <c r="F415" s="0" t="s">
        <v>139</v>
      </c>
      <c r="G415" s="0" t="s">
        <v>2323</v>
      </c>
      <c r="H415" s="0" t="s">
        <v>1096</v>
      </c>
      <c r="I415" s="0" t="s">
        <v>134</v>
      </c>
      <c r="J415" s="0" t="s">
        <v>87</v>
      </c>
      <c r="K415" s="3" t="str">
        <f aca="false" t="array" ref="K415:K415">IFERROR(IF(J415&lt;&gt;"",J415,INDEX(J415:J1414,MATCH(1,(F415:F1414=F415)*(I415:I1414=I415)*(L415:L1414=L415)*(J415:J1414&lt;&gt;""),0))),"Not Found")</f>
        <v>Oil Change</v>
      </c>
      <c r="L415" s="3" t="s">
        <v>142</v>
      </c>
      <c r="M415" s="0" t="str">
        <f aca="false">PROPER(L415)</f>
        <v>Oil Filter, Brake Pads</v>
      </c>
      <c r="N415" s="3" t="s">
        <v>90</v>
      </c>
      <c r="O415" s="0" t="str">
        <f aca="false" t="array" ref="O415:O415">IF(N415&lt;&gt;"",N415,_xlfn.xlookup(1,(L415:L1414=L415)*(N415:N1414&lt;&gt;""),N415:N1414,"Not Found"))</f>
        <v>Musa</v>
      </c>
      <c r="P415" s="4" t="n">
        <v>26803</v>
      </c>
      <c r="Q415" s="0" t="s">
        <v>91</v>
      </c>
      <c r="R415" s="0" t="str">
        <f aca="false">PROPER(Q415)</f>
        <v>Pos</v>
      </c>
      <c r="S415" s="0" t="s">
        <v>50</v>
      </c>
      <c r="T415" s="0" t="n">
        <v>5</v>
      </c>
      <c r="U415" s="5" t="n">
        <f aca="false">IF(ISBLANK(T415),AVERAGE(T415:T1414),T415)</f>
        <v>5</v>
      </c>
      <c r="V415" s="0" t="n">
        <v>2.2</v>
      </c>
      <c r="W415" s="0" t="s">
        <v>92</v>
      </c>
      <c r="X415" s="0" t="str">
        <f aca="false">IF(ISBLANK(W415),"No remarks",W415)</f>
        <v>Urgent service</v>
      </c>
      <c r="Y415" s="0" t="s">
        <v>52</v>
      </c>
      <c r="Z415" s="0" t="s">
        <v>74</v>
      </c>
      <c r="AA415" s="0" t="str">
        <f aca="false">PROPER(IF(ISBLANK(Z415),"Location Unavailable",Z415))</f>
        <v>Under Tree</v>
      </c>
      <c r="AB415" s="0" t="s">
        <v>95</v>
      </c>
      <c r="AC415" s="6" t="str">
        <f aca="false">PROPER(AB415)</f>
        <v>Road Sign</v>
      </c>
      <c r="AD415" s="6" t="n">
        <v>15</v>
      </c>
      <c r="AE415" s="5" t="n">
        <f aca="false">IF(ISBLANK(AD415),AVERAGEIF(L415:L1414,L415,AD415:AD1414),AD415)</f>
        <v>15</v>
      </c>
      <c r="AF415" s="0" t="s">
        <v>76</v>
      </c>
      <c r="AG415" s="0" t="str">
        <f aca="false">PROPER(AF415)</f>
        <v>Orderd</v>
      </c>
      <c r="AH415" s="0" t="s">
        <v>155</v>
      </c>
      <c r="AI415" s="0" t="s">
        <v>128</v>
      </c>
      <c r="AJ415" s="0" t="str">
        <f aca="false">PROPER(AI415)</f>
        <v>Normal</v>
      </c>
      <c r="AK415" s="0" t="s">
        <v>196</v>
      </c>
      <c r="AL415" s="0" t="str">
        <f aca="false">PROPER(AK415)</f>
        <v>First Time</v>
      </c>
      <c r="AM415" s="0" t="s">
        <v>2324</v>
      </c>
      <c r="AN415" s="0" t="str">
        <f aca="false">IF(ISBLANK(AM415),"Unknown",AM415)</f>
        <v>Logistics Convoy</v>
      </c>
      <c r="AO415" s="0" t="s">
        <v>149</v>
      </c>
      <c r="AP415" s="0" t="str">
        <f aca="false">IF(ISBLANK(AO415),"Unknown",AO415)</f>
        <v>Senior </v>
      </c>
      <c r="AQ415" s="0" t="n">
        <v>40000</v>
      </c>
      <c r="AR415" s="5" t="n">
        <f aca="false">IF(ISBLANK(AQ415),AVERAGEIF(M415:M1414,M415,AQ415:AQ1414),AQ415)</f>
        <v>40000</v>
      </c>
      <c r="AT415" s="5" t="n">
        <f aca="false">IF(ISBLANK(AS415),AVERAGE(AS415:AS1414),AS415)</f>
        <v>31460.4462474645</v>
      </c>
      <c r="AU415" s="0" t="s">
        <v>50</v>
      </c>
      <c r="AV415" s="0" t="str">
        <f aca="false">PROPER(IF(ISBLANK(AU415),"No",AU415))</f>
        <v>No</v>
      </c>
      <c r="AW415" s="0" t="n">
        <v>10000</v>
      </c>
      <c r="AX415" s="5" t="n">
        <f aca="false">IF(ISBLANK(AW415),0,AW415)</f>
        <v>10000</v>
      </c>
      <c r="AY415" s="0" t="s">
        <v>184</v>
      </c>
      <c r="AZ415" s="0" t="str">
        <f aca="false">UPPER(IF(ISBLANK(AY415),"NONE",AY415))</f>
        <v>N/A</v>
      </c>
      <c r="BA415" s="7" t="s">
        <v>1097</v>
      </c>
      <c r="BB415" s="7" t="str">
        <f aca="false">IF(ISBLANK(BA415),"No Follow Up Needed",BA415)</f>
        <v>22/10/2025</v>
      </c>
      <c r="BC415" s="0" t="s">
        <v>50</v>
      </c>
      <c r="BD415" s="0" t="str">
        <f aca="false">PROPER(IF(ISBLANK(BC415),"Unknown",BC415))</f>
        <v>No</v>
      </c>
      <c r="BF415" s="0" t="str">
        <f aca="false">IF(ISBLANK(BE415),"No comments",BE415)</f>
        <v>No comments</v>
      </c>
      <c r="BH415" s="0" t="str">
        <f aca="false">IF(ISBLANK(BG415),"No comments",BG415)</f>
        <v>No comments</v>
      </c>
      <c r="BI415" s="0" t="s">
        <v>50</v>
      </c>
      <c r="BJ415" s="0" t="str">
        <f aca="false">IF(ISBLANK(BI415),"Not Mentioned",BI415)</f>
        <v>No</v>
      </c>
      <c r="BL415" s="0" t="str">
        <f aca="false">PROPER(IF(ISBLANK(BK415),"Not Mentioned",BK415))</f>
        <v>Not Mentioned</v>
      </c>
      <c r="BM415" s="0" t="s">
        <v>63</v>
      </c>
      <c r="BN415" s="0" t="str">
        <f aca="false">PROPER(IF(ISBLANK(BM415),"Not Mentioned",BM415))</f>
        <v>Yes</v>
      </c>
      <c r="BO415" s="0" t="s">
        <v>64</v>
      </c>
      <c r="BP415" s="0" t="str">
        <f aca="false">IF(ISBLANK(BO415),"One-Time Plan",BO415)</f>
        <v>Gold Maintenance Plan</v>
      </c>
      <c r="BQ415" s="0" t="s">
        <v>198</v>
      </c>
      <c r="BR415" s="0" t="str">
        <f aca="false">PROPER(IF(ISBLANK(BQ415),"No",BQ415))</f>
        <v>Followed Up</v>
      </c>
    </row>
    <row r="416" customFormat="false" ht="15" hidden="false" customHeight="false" outlineLevel="0" collapsed="false">
      <c r="A416" s="0" t="s">
        <v>1098</v>
      </c>
      <c r="B416" s="2" t="n">
        <v>45660</v>
      </c>
      <c r="C416" s="2" t="str">
        <f aca="false">TEXT(B416,"dd/mm/yyyy")</f>
        <v>03/01/2025</v>
      </c>
      <c r="D416" s="0" t="s">
        <v>163</v>
      </c>
      <c r="E416" s="0" t="n">
        <v>8096744801</v>
      </c>
      <c r="F416" s="0" t="s">
        <v>67</v>
      </c>
      <c r="G416" s="0" t="s">
        <v>2316</v>
      </c>
      <c r="H416" s="0" t="s">
        <v>1099</v>
      </c>
      <c r="I416" s="0" t="s">
        <v>107</v>
      </c>
      <c r="J416" s="0" t="s">
        <v>87</v>
      </c>
      <c r="K416" s="3" t="str">
        <f aca="false" t="array" ref="K416:K416">IFERROR(IF(J416&lt;&gt;"",J416,INDEX(J416:J1415,MATCH(1,(F416:F1415=F416)*(I416:I1415=I416)*(L416:L1415=L416)*(J416:J1415&lt;&gt;""),0))),"Not Found")</f>
        <v>Oil Change</v>
      </c>
      <c r="L416" s="3" t="s">
        <v>89</v>
      </c>
      <c r="M416" s="0" t="str">
        <f aca="false">PROPER(L416)</f>
        <v>Shock Absorbers</v>
      </c>
      <c r="N416" s="3" t="s">
        <v>90</v>
      </c>
      <c r="O416" s="0" t="str">
        <f aca="false" t="array" ref="O416:O416">IF(N416&lt;&gt;"",N416,_xlfn.xlookup(1,(L416:L1415=L416)*(N416:N1415&lt;&gt;""),N416:N1415,"Not Found"))</f>
        <v>Musa</v>
      </c>
      <c r="P416" s="4" t="n">
        <v>112133</v>
      </c>
      <c r="Q416" s="0" t="s">
        <v>166</v>
      </c>
      <c r="R416" s="0" t="str">
        <f aca="false">PROPER(Q416)</f>
        <v>Transfer</v>
      </c>
      <c r="S416" s="0" t="s">
        <v>63</v>
      </c>
      <c r="T416" s="0" t="n">
        <v>1</v>
      </c>
      <c r="U416" s="5" t="n">
        <f aca="false">IF(ISBLANK(T416),AVERAGE(T416:T1415),T416)</f>
        <v>1</v>
      </c>
      <c r="V416" s="0" t="n">
        <v>3.9</v>
      </c>
      <c r="W416" s="0" t="s">
        <v>125</v>
      </c>
      <c r="X416" s="0" t="str">
        <f aca="false">IF(ISBLANK(W416),"No remarks",W416)</f>
        <v>Customer waited</v>
      </c>
      <c r="Y416" s="0" t="s">
        <v>73</v>
      </c>
      <c r="Z416" s="0" t="s">
        <v>159</v>
      </c>
      <c r="AA416" s="0" t="str">
        <f aca="false">PROPER(IF(ISBLANK(Z416),"Location Unavailable",Z416))</f>
        <v>Main Bay</v>
      </c>
      <c r="AB416" s="0" t="s">
        <v>167</v>
      </c>
      <c r="AC416" s="6" t="str">
        <f aca="false">PROPER(AB416)</f>
        <v>Word Of Mouth</v>
      </c>
      <c r="AE416" s="5" t="n">
        <f aca="false">IF(ISBLANK(AD416),AVERAGEIF(L416:L1415,L416,AD416:AD1415),AD416)</f>
        <v>39.3548387096774</v>
      </c>
      <c r="AF416" s="0" t="s">
        <v>96</v>
      </c>
      <c r="AG416" s="0" t="str">
        <f aca="false">PROPER(AF416)</f>
        <v>Ordered</v>
      </c>
      <c r="AH416" s="0" t="s">
        <v>56</v>
      </c>
      <c r="AI416" s="0" t="s">
        <v>98</v>
      </c>
      <c r="AJ416" s="0" t="str">
        <f aca="false">PROPER(AI416)</f>
        <v>Emergency</v>
      </c>
      <c r="AK416" s="0" t="s">
        <v>58</v>
      </c>
      <c r="AL416" s="0" t="str">
        <f aca="false">PROPER(AK416)</f>
        <v>Fleet Owner</v>
      </c>
      <c r="AN416" s="0" t="str">
        <f aca="false">IF(ISBLANK(AM416),"Unknown",AM416)</f>
        <v>Unknown</v>
      </c>
      <c r="AO416" s="0" t="s">
        <v>161</v>
      </c>
      <c r="AP416" s="0" t="str">
        <f aca="false">IF(ISBLANK(AO416),"Unknown",AO416)</f>
        <v>Apprentice</v>
      </c>
      <c r="AQ416" s="0" t="n">
        <v>20000</v>
      </c>
      <c r="AR416" s="5" t="n">
        <f aca="false">IF(ISBLANK(AQ416),AVERAGEIF(M416:M1415,M416,AQ416:AQ1415),AQ416)</f>
        <v>20000</v>
      </c>
      <c r="AS416" s="0" t="n">
        <v>30000</v>
      </c>
      <c r="AT416" s="5" t="n">
        <f aca="false">IF(ISBLANK(AS416),AVERAGE(AS416:AS1415),AS416)</f>
        <v>30000</v>
      </c>
      <c r="AU416" s="0" t="s">
        <v>82</v>
      </c>
      <c r="AV416" s="0" t="str">
        <f aca="false">PROPER(IF(ISBLANK(AU416),"No",AU416))</f>
        <v>Yes</v>
      </c>
      <c r="AW416" s="0" t="n">
        <v>5000</v>
      </c>
      <c r="AX416" s="5" t="n">
        <f aca="false">IF(ISBLANK(AW416),0,AW416)</f>
        <v>5000</v>
      </c>
      <c r="AY416" s="0" t="s">
        <v>130</v>
      </c>
      <c r="AZ416" s="0" t="str">
        <f aca="false">UPPER(IF(ISBLANK(AY416),"NONE",AY416))</f>
        <v>LOYALTY10</v>
      </c>
      <c r="BA416" s="7" t="n">
        <v>46003</v>
      </c>
      <c r="BB416" s="7" t="n">
        <f aca="false">IF(ISBLANK(BA416),"No Follow Up Needed",BA416)</f>
        <v>46003</v>
      </c>
      <c r="BD416" s="0" t="str">
        <f aca="false">PROPER(IF(ISBLANK(BC416),"Unknown",BC416))</f>
        <v>Unknown</v>
      </c>
      <c r="BE416" s="0" t="s">
        <v>171</v>
      </c>
      <c r="BF416" s="0" t="str">
        <f aca="false">IF(ISBLANK(BE416),"No comments",BE416)</f>
        <v>Shock absorber weakening</v>
      </c>
      <c r="BG416" s="0" t="s">
        <v>172</v>
      </c>
      <c r="BH416" s="0" t="str">
        <f aca="false">IF(ISBLANK(BG416),"No comments",BG416)</f>
        <v>Always late</v>
      </c>
      <c r="BI416" s="0" t="s">
        <v>63</v>
      </c>
      <c r="BJ416" s="0" t="str">
        <f aca="false">IF(ISBLANK(BI416),"Not Mentioned",BI416)</f>
        <v>Yes</v>
      </c>
      <c r="BK416" s="0" t="s">
        <v>61</v>
      </c>
      <c r="BL416" s="0" t="str">
        <f aca="false">PROPER(IF(ISBLANK(BK416),"Not Mentioned",BK416))</f>
        <v>No</v>
      </c>
      <c r="BM416" s="0" t="s">
        <v>63</v>
      </c>
      <c r="BN416" s="0" t="str">
        <f aca="false">PROPER(IF(ISBLANK(BM416),"Not Mentioned",BM416))</f>
        <v>Yes</v>
      </c>
      <c r="BO416" s="0" t="s">
        <v>64</v>
      </c>
      <c r="BP416" s="0" t="str">
        <f aca="false">IF(ISBLANK(BO416),"One-Time Plan",BO416)</f>
        <v>Gold Maintenance Plan</v>
      </c>
      <c r="BQ416" s="0" t="s">
        <v>198</v>
      </c>
      <c r="BR416" s="0" t="str">
        <f aca="false">PROPER(IF(ISBLANK(BQ416),"No",BQ416))</f>
        <v>Followed Up</v>
      </c>
    </row>
    <row r="417" customFormat="false" ht="15" hidden="false" customHeight="false" outlineLevel="0" collapsed="false">
      <c r="A417" s="0" t="s">
        <v>1100</v>
      </c>
      <c r="B417" s="2" t="n">
        <v>45692</v>
      </c>
      <c r="C417" s="2" t="str">
        <f aca="false">TEXT(B417,"dd/mm/yyyy")</f>
        <v>04/02/2025</v>
      </c>
      <c r="D417" s="0" t="s">
        <v>121</v>
      </c>
      <c r="E417" s="0" t="n">
        <v>8071244438</v>
      </c>
      <c r="F417" s="0" t="s">
        <v>43</v>
      </c>
      <c r="G417" s="0" t="s">
        <v>2315</v>
      </c>
      <c r="H417" s="0" t="s">
        <v>1101</v>
      </c>
      <c r="I417" s="0" t="s">
        <v>134</v>
      </c>
      <c r="J417" s="0" t="s">
        <v>2317</v>
      </c>
      <c r="K417" s="3" t="str">
        <f aca="false" t="array" ref="K417:K417">IFERROR(IF(J417&lt;&gt;"",J417,INDEX(J417:J1416,MATCH(1,(F417:F1416=F417)*(I417:I1416=I417)*(L417:L1416=L417)*(J417:J1416&lt;&gt;""),0))),"Not Found")</f>
        <v>Suspension Noise</v>
      </c>
      <c r="L417" s="3" t="s">
        <v>142</v>
      </c>
      <c r="M417" s="0" t="str">
        <f aca="false">PROPER(L417)</f>
        <v>Oil Filter, Brake Pads</v>
      </c>
      <c r="N417" s="3" t="s">
        <v>109</v>
      </c>
      <c r="O417" s="0" t="str">
        <f aca="false" t="array" ref="O417:O417">IF(N417&lt;&gt;"",N417,_xlfn.xlookup(1,(L417:L1416=L417)*(N417:N1416&lt;&gt;""),N417:N1416,"Not Found"))</f>
        <v>Tijani</v>
      </c>
      <c r="P417" s="4" t="n">
        <v>101037</v>
      </c>
      <c r="Q417" s="0" t="s">
        <v>91</v>
      </c>
      <c r="R417" s="0" t="str">
        <f aca="false">PROPER(Q417)</f>
        <v>Pos</v>
      </c>
      <c r="S417" s="0" t="s">
        <v>50</v>
      </c>
      <c r="T417" s="0" t="n">
        <v>2</v>
      </c>
      <c r="U417" s="5" t="n">
        <f aca="false">IF(ISBLANK(T417),AVERAGE(T417:T1416),T417)</f>
        <v>2</v>
      </c>
      <c r="V417" s="0" t="n">
        <v>1.1</v>
      </c>
      <c r="W417" s="0" t="s">
        <v>51</v>
      </c>
      <c r="X417" s="0" t="str">
        <f aca="false">IF(ISBLANK(W417),"No remarks",W417)</f>
        <v>Recommended further checks</v>
      </c>
      <c r="Y417" s="0" t="s">
        <v>52</v>
      </c>
      <c r="Z417" s="0" t="s">
        <v>159</v>
      </c>
      <c r="AA417" s="0" t="str">
        <f aca="false">PROPER(IF(ISBLANK(Z417),"Location Unavailable",Z417))</f>
        <v>Main Bay</v>
      </c>
      <c r="AB417" s="0" t="s">
        <v>75</v>
      </c>
      <c r="AC417" s="6" t="str">
        <f aca="false">PROPER(AB417)</f>
        <v>Mechanik Referal</v>
      </c>
      <c r="AD417" s="6" t="n">
        <v>45</v>
      </c>
      <c r="AE417" s="5" t="n">
        <f aca="false">IF(ISBLANK(AD417),AVERAGEIF(L417:L1416,L417,AD417:AD1416),AD417)</f>
        <v>45</v>
      </c>
      <c r="AF417" s="0" t="s">
        <v>55</v>
      </c>
      <c r="AG417" s="0" t="str">
        <f aca="false">PROPER(AF417)</f>
        <v>Available</v>
      </c>
      <c r="AH417" s="0" t="s">
        <v>155</v>
      </c>
      <c r="AI417" s="0" t="s">
        <v>113</v>
      </c>
      <c r="AJ417" s="0" t="str">
        <f aca="false">PROPER(AI417)</f>
        <v>Normal</v>
      </c>
      <c r="AK417" s="0" t="s">
        <v>58</v>
      </c>
      <c r="AL417" s="0" t="str">
        <f aca="false">PROPER(AK417)</f>
        <v>Fleet Owner</v>
      </c>
      <c r="AM417" s="0" t="s">
        <v>177</v>
      </c>
      <c r="AN417" s="0" t="str">
        <f aca="false">IF(ISBLANK(AM417),"Unknown",AM417)</f>
        <v>Private</v>
      </c>
      <c r="AO417" s="0" t="s">
        <v>79</v>
      </c>
      <c r="AP417" s="0" t="str">
        <f aca="false">IF(ISBLANK(AO417),"Unknown",AO417)</f>
        <v>Specialist</v>
      </c>
      <c r="AQ417" s="0" t="n">
        <v>20000</v>
      </c>
      <c r="AR417" s="5" t="n">
        <f aca="false">IF(ISBLANK(AQ417),AVERAGEIF(M417:M1416,M417,AQ417:AQ1416),AQ417)</f>
        <v>20000</v>
      </c>
      <c r="AS417" s="0" t="n">
        <v>30000</v>
      </c>
      <c r="AT417" s="5" t="n">
        <f aca="false">IF(ISBLANK(AS417),AVERAGE(AS417:AS1416),AS417)</f>
        <v>30000</v>
      </c>
      <c r="AU417" s="0" t="s">
        <v>61</v>
      </c>
      <c r="AV417" s="0" t="str">
        <f aca="false">PROPER(IF(ISBLANK(AU417),"No",AU417))</f>
        <v>No</v>
      </c>
      <c r="AW417" s="0" t="n">
        <v>5000</v>
      </c>
      <c r="AX417" s="5" t="n">
        <f aca="false">IF(ISBLANK(AW417),0,AW417)</f>
        <v>5000</v>
      </c>
      <c r="AY417" s="0" t="s">
        <v>60</v>
      </c>
      <c r="AZ417" s="0" t="str">
        <f aca="false">UPPER(IF(ISBLANK(AY417),"NONE",AY417))</f>
        <v>NONE</v>
      </c>
      <c r="BA417" s="7" t="n">
        <v>46019</v>
      </c>
      <c r="BB417" s="7" t="n">
        <f aca="false">IF(ISBLANK(BA417),"No Follow Up Needed",BA417)</f>
        <v>46019</v>
      </c>
      <c r="BC417" s="0" t="s">
        <v>82</v>
      </c>
      <c r="BD417" s="0" t="str">
        <f aca="false">PROPER(IF(ISBLANK(BC417),"Unknown",BC417))</f>
        <v>Yes</v>
      </c>
      <c r="BF417" s="0" t="str">
        <f aca="false">IF(ISBLANK(BE417),"No comments",BE417)</f>
        <v>No comments</v>
      </c>
      <c r="BH417" s="0" t="str">
        <f aca="false">IF(ISBLANK(BG417),"No comments",BG417)</f>
        <v>No comments</v>
      </c>
      <c r="BI417" s="0" t="s">
        <v>50</v>
      </c>
      <c r="BJ417" s="0" t="str">
        <f aca="false">IF(ISBLANK(BI417),"Not Mentioned",BI417)</f>
        <v>No</v>
      </c>
      <c r="BK417" s="0" t="s">
        <v>50</v>
      </c>
      <c r="BL417" s="0" t="str">
        <f aca="false">PROPER(IF(ISBLANK(BK417),"Not Mentioned",BK417))</f>
        <v>No</v>
      </c>
      <c r="BN417" s="0" t="str">
        <f aca="false">PROPER(IF(ISBLANK(BM417),"Not Mentioned",BM417))</f>
        <v>Not Mentioned</v>
      </c>
      <c r="BO417" s="0" t="s">
        <v>2318</v>
      </c>
      <c r="BP417" s="0" t="str">
        <f aca="false">IF(ISBLANK(BO417),"One-Time Plan",BO417)</f>
        <v>Gold</v>
      </c>
      <c r="BQ417" s="0" t="s">
        <v>50</v>
      </c>
      <c r="BR417" s="0" t="str">
        <f aca="false">PROPER(IF(ISBLANK(BQ417),"No",BQ417))</f>
        <v>No</v>
      </c>
    </row>
    <row r="418" customFormat="false" ht="15" hidden="false" customHeight="false" outlineLevel="0" collapsed="false">
      <c r="A418" s="0" t="s">
        <v>1102</v>
      </c>
      <c r="B418" s="2" t="n">
        <v>45812</v>
      </c>
      <c r="C418" s="2" t="str">
        <f aca="false">TEXT(B418,"dd/mm/yyyy")</f>
        <v>04/06/2025</v>
      </c>
      <c r="D418" s="0" t="s">
        <v>105</v>
      </c>
      <c r="E418" s="0" t="n">
        <v>8056544270</v>
      </c>
      <c r="F418" s="0" t="s">
        <v>122</v>
      </c>
      <c r="G418" s="0" t="s">
        <v>2316</v>
      </c>
      <c r="H418" s="0" t="s">
        <v>238</v>
      </c>
      <c r="I418" s="0" t="s">
        <v>45</v>
      </c>
      <c r="J418" s="0" t="s">
        <v>2322</v>
      </c>
      <c r="K418" s="3" t="str">
        <f aca="false" t="array" ref="K418:K418">IFERROR(IF(J418&lt;&gt;"",J418,INDEX(J418:J1417,MATCH(1,(F418:F1417=F418)*(I418:I1417=I418)*(L418:L1417=L418)*(J418:J1417&lt;&gt;""),0))),"Not Found")</f>
        <v>Brake Failure</v>
      </c>
      <c r="L418" s="3" t="s">
        <v>154</v>
      </c>
      <c r="M418" s="0" t="str">
        <f aca="false">PROPER(L418)</f>
        <v>Air Filter</v>
      </c>
      <c r="O418" s="0" t="e">
        <f aca="false" t="array" ref="O418:O418">IF(N418&lt;&gt;"",N418,_xlfn.xlookup(1,(L418:L1417=L418)*(N418:N1417&lt;&gt;""),N418:N1417,"Not Found"))</f>
        <v>#NAME?</v>
      </c>
      <c r="P418" s="4" t="n">
        <v>86475</v>
      </c>
      <c r="Q418" s="0" t="s">
        <v>91</v>
      </c>
      <c r="R418" s="0" t="str">
        <f aca="false">PROPER(Q418)</f>
        <v>Pos</v>
      </c>
      <c r="S418" s="0" t="s">
        <v>50</v>
      </c>
      <c r="T418" s="0" t="n">
        <v>1</v>
      </c>
      <c r="U418" s="5" t="n">
        <f aca="false">IF(ISBLANK(T418),AVERAGE(T418:T1417),T418)</f>
        <v>1</v>
      </c>
      <c r="V418" s="0" t="n">
        <v>5.8</v>
      </c>
      <c r="W418" s="0" t="s">
        <v>92</v>
      </c>
      <c r="X418" s="0" t="str">
        <f aca="false">IF(ISBLANK(W418),"No remarks",W418)</f>
        <v>Urgent service</v>
      </c>
      <c r="Y418" s="0" t="s">
        <v>52</v>
      </c>
      <c r="Z418" s="0" t="s">
        <v>53</v>
      </c>
      <c r="AA418" s="0" t="str">
        <f aca="false">PROPER(IF(ISBLANK(Z418),"Location Unavailable",Z418))</f>
        <v>Main Bay</v>
      </c>
      <c r="AB418" s="0" t="s">
        <v>95</v>
      </c>
      <c r="AC418" s="6" t="str">
        <f aca="false">PROPER(AB418)</f>
        <v>Road Sign</v>
      </c>
      <c r="AD418" s="6" t="n">
        <v>60</v>
      </c>
      <c r="AE418" s="5" t="n">
        <f aca="false">IF(ISBLANK(AD418),AVERAGEIF(L418:L1417,L418,AD418:AD1417),AD418)</f>
        <v>60</v>
      </c>
      <c r="AF418" s="0" t="s">
        <v>160</v>
      </c>
      <c r="AG418" s="0" t="str">
        <f aca="false">PROPER(AF418)</f>
        <v>Availaible</v>
      </c>
      <c r="AH418" s="0" t="s">
        <v>77</v>
      </c>
      <c r="AI418" s="0" t="s">
        <v>98</v>
      </c>
      <c r="AJ418" s="0" t="str">
        <f aca="false">PROPER(AI418)</f>
        <v>Emergency</v>
      </c>
      <c r="AK418" s="0" t="s">
        <v>99</v>
      </c>
      <c r="AL418" s="0" t="str">
        <f aca="false">PROPER(AK418)</f>
        <v>Uber Driver</v>
      </c>
      <c r="AM418" s="0" t="s">
        <v>2326</v>
      </c>
      <c r="AN418" s="0" t="str">
        <f aca="false">IF(ISBLANK(AM418),"Unknown",AM418)</f>
        <v>Government Convoy</v>
      </c>
      <c r="AO418" s="0" t="s">
        <v>143</v>
      </c>
      <c r="AP418" s="0" t="str">
        <f aca="false">IF(ISBLANK(AO418),"Unknown",AO418)</f>
        <v>Senior</v>
      </c>
      <c r="AQ418" s="0" t="n">
        <v>40000</v>
      </c>
      <c r="AR418" s="5" t="n">
        <f aca="false">IF(ISBLANK(AQ418),AVERAGEIF(M418:M1417,M418,AQ418:AQ1417),AQ418)</f>
        <v>40000</v>
      </c>
      <c r="AS418" s="0" t="n">
        <v>40000</v>
      </c>
      <c r="AT418" s="5" t="n">
        <f aca="false">IF(ISBLANK(AS418),AVERAGE(AS418:AS1417),AS418)</f>
        <v>40000</v>
      </c>
      <c r="AU418" s="0" t="s">
        <v>50</v>
      </c>
      <c r="AV418" s="0" t="str">
        <f aca="false">PROPER(IF(ISBLANK(AU418),"No",AU418))</f>
        <v>No</v>
      </c>
      <c r="AW418" s="0" t="n">
        <v>5000</v>
      </c>
      <c r="AX418" s="5" t="n">
        <f aca="false">IF(ISBLANK(AW418),0,AW418)</f>
        <v>5000</v>
      </c>
      <c r="AY418" s="0" t="s">
        <v>130</v>
      </c>
      <c r="AZ418" s="0" t="str">
        <f aca="false">UPPER(IF(ISBLANK(AY418),"NONE",AY418))</f>
        <v>LOYALTY10</v>
      </c>
      <c r="BA418" s="7" t="s">
        <v>1103</v>
      </c>
      <c r="BB418" s="7" t="str">
        <f aca="false">IF(ISBLANK(BA418),"No Follow Up Needed",BA418)</f>
        <v>17/06/2025</v>
      </c>
      <c r="BC418" s="0" t="s">
        <v>63</v>
      </c>
      <c r="BD418" s="0" t="str">
        <f aca="false">PROPER(IF(ISBLANK(BC418),"Unknown",BC418))</f>
        <v>Yes</v>
      </c>
      <c r="BE418" s="0" t="s">
        <v>116</v>
      </c>
      <c r="BF418" s="0" t="str">
        <f aca="false">IF(ISBLANK(BE418),"No comments",BE418)</f>
        <v>Needs tire alignment</v>
      </c>
      <c r="BG418" s="0" t="s">
        <v>2320</v>
      </c>
      <c r="BH418" s="0" t="str">
        <f aca="false">IF(ISBLANK(BG418),"No comments",BG418)</f>
        <v>No complaints</v>
      </c>
      <c r="BI418" s="0" t="s">
        <v>63</v>
      </c>
      <c r="BJ418" s="0" t="str">
        <f aca="false">IF(ISBLANK(BI418),"Not Mentioned",BI418)</f>
        <v>Yes</v>
      </c>
      <c r="BL418" s="0" t="str">
        <f aca="false">PROPER(IF(ISBLANK(BK418),"Not Mentioned",BK418))</f>
        <v>Not Mentioned</v>
      </c>
      <c r="BM418" s="0" t="s">
        <v>63</v>
      </c>
      <c r="BN418" s="0" t="str">
        <f aca="false">PROPER(IF(ISBLANK(BM418),"Not Mentioned",BM418))</f>
        <v>Yes</v>
      </c>
      <c r="BP418" s="0" t="str">
        <f aca="false">IF(ISBLANK(BO418),"One-Time Plan",BO418)</f>
        <v>One-Time Plan</v>
      </c>
      <c r="BQ418" s="0" t="s">
        <v>50</v>
      </c>
      <c r="BR418" s="0" t="str">
        <f aca="false">PROPER(IF(ISBLANK(BQ418),"No",BQ418))</f>
        <v>No</v>
      </c>
    </row>
    <row r="419" customFormat="false" ht="15" hidden="false" customHeight="false" outlineLevel="0" collapsed="false">
      <c r="A419" s="0" t="s">
        <v>1104</v>
      </c>
      <c r="B419" s="2" t="n">
        <v>45757</v>
      </c>
      <c r="C419" s="2" t="str">
        <f aca="false">TEXT(B419,"dd/mm/yyyy")</f>
        <v>10/04/2025</v>
      </c>
      <c r="D419" s="0" t="s">
        <v>105</v>
      </c>
      <c r="E419" s="0" t="n">
        <v>8049922892</v>
      </c>
      <c r="F419" s="0" t="s">
        <v>43</v>
      </c>
      <c r="G419" s="0" t="s">
        <v>2315</v>
      </c>
      <c r="H419" s="0" t="s">
        <v>1105</v>
      </c>
      <c r="I419" s="0" t="s">
        <v>45</v>
      </c>
      <c r="J419" s="0" t="s">
        <v>2322</v>
      </c>
      <c r="K419" s="3" t="str">
        <f aca="false" t="array" ref="K419:K419">IFERROR(IF(J419&lt;&gt;"",J419,INDEX(J419:J1418,MATCH(1,(F419:F1418=F419)*(I419:I1418=I419)*(L419:L1418=L419)*(J419:J1418&lt;&gt;""),0))),"Not Found")</f>
        <v>Brake Failure</v>
      </c>
      <c r="L419" s="3" t="s">
        <v>47</v>
      </c>
      <c r="M419" s="0" t="str">
        <f aca="false">PROPER(L419)</f>
        <v>None</v>
      </c>
      <c r="N419" s="3" t="s">
        <v>109</v>
      </c>
      <c r="O419" s="0" t="str">
        <f aca="false" t="array" ref="O419:O419">IF(N419&lt;&gt;"",N419,_xlfn.xlookup(1,(L419:L1418=L419)*(N419:N1418&lt;&gt;""),N419:N1418,"Not Found"))</f>
        <v>Tijani</v>
      </c>
      <c r="P419" s="4" t="n">
        <v>75084</v>
      </c>
      <c r="Q419" s="0" t="s">
        <v>166</v>
      </c>
      <c r="R419" s="0" t="str">
        <f aca="false">PROPER(Q419)</f>
        <v>Transfer</v>
      </c>
      <c r="S419" s="0" t="s">
        <v>50</v>
      </c>
      <c r="T419" s="0" t="n">
        <v>2</v>
      </c>
      <c r="U419" s="5" t="n">
        <f aca="false">IF(ISBLANK(T419),AVERAGE(T419:T1418),T419)</f>
        <v>2</v>
      </c>
      <c r="V419" s="0" t="n">
        <v>3.7</v>
      </c>
      <c r="X419" s="0" t="str">
        <f aca="false">IF(ISBLANK(W419),"No remarks",W419)</f>
        <v>No remarks</v>
      </c>
      <c r="Y419" s="0" t="s">
        <v>93</v>
      </c>
      <c r="Z419" s="0" t="s">
        <v>159</v>
      </c>
      <c r="AA419" s="0" t="str">
        <f aca="false">PROPER(IF(ISBLANK(Z419),"Location Unavailable",Z419))</f>
        <v>Main Bay</v>
      </c>
      <c r="AB419" s="0" t="s">
        <v>167</v>
      </c>
      <c r="AC419" s="6" t="str">
        <f aca="false">PROPER(AB419)</f>
        <v>Word Of Mouth</v>
      </c>
      <c r="AD419" s="6" t="n">
        <v>30</v>
      </c>
      <c r="AE419" s="5" t="n">
        <f aca="false">IF(ISBLANK(AD419),AVERAGEIF(L419:L1418,L419,AD419:AD1418),AD419)</f>
        <v>30</v>
      </c>
      <c r="AF419" s="0" t="s">
        <v>112</v>
      </c>
      <c r="AG419" s="0" t="str">
        <f aca="false">PROPER(AF419)</f>
        <v>Unavailable</v>
      </c>
      <c r="AH419" s="0" t="s">
        <v>155</v>
      </c>
      <c r="AI419" s="0" t="s">
        <v>98</v>
      </c>
      <c r="AJ419" s="0" t="str">
        <f aca="false">PROPER(AI419)</f>
        <v>Emergency</v>
      </c>
      <c r="AK419" s="0" t="s">
        <v>99</v>
      </c>
      <c r="AL419" s="0" t="str">
        <f aca="false">PROPER(AK419)</f>
        <v>Uber Driver</v>
      </c>
      <c r="AN419" s="0" t="str">
        <f aca="false">IF(ISBLANK(AM419),"Unknown",AM419)</f>
        <v>Unknown</v>
      </c>
      <c r="AO419" s="0" t="s">
        <v>143</v>
      </c>
      <c r="AP419" s="0" t="str">
        <f aca="false">IF(ISBLANK(AO419),"Unknown",AO419)</f>
        <v>Senior</v>
      </c>
      <c r="AR419" s="5" t="n">
        <f aca="false">IF(ISBLANK(AQ419),AVERAGEIF(M419:M1418,M419,AQ419:AQ1418),AQ419)</f>
        <v>25704.2253521127</v>
      </c>
      <c r="AS419" s="0" t="n">
        <v>40000</v>
      </c>
      <c r="AT419" s="5" t="n">
        <f aca="false">IF(ISBLANK(AS419),AVERAGE(AS419:AS1418),AS419)</f>
        <v>40000</v>
      </c>
      <c r="AV419" s="0" t="str">
        <f aca="false">PROPER(IF(ISBLANK(AU419),"No",AU419))</f>
        <v>No</v>
      </c>
      <c r="AX419" s="5" t="n">
        <f aca="false">IF(ISBLANK(AW419),0,AW419)</f>
        <v>0</v>
      </c>
      <c r="AY419" s="0" t="s">
        <v>80</v>
      </c>
      <c r="AZ419" s="0" t="str">
        <f aca="false">UPPER(IF(ISBLANK(AY419),"NONE",AY419))</f>
        <v>PROMO10</v>
      </c>
      <c r="BA419" s="7" t="n">
        <v>45971</v>
      </c>
      <c r="BB419" s="7" t="n">
        <f aca="false">IF(ISBLANK(BA419),"No Follow Up Needed",BA419)</f>
        <v>45971</v>
      </c>
      <c r="BC419" s="0" t="s">
        <v>63</v>
      </c>
      <c r="BD419" s="0" t="str">
        <f aca="false">PROPER(IF(ISBLANK(BC419),"Unknown",BC419))</f>
        <v>Yes</v>
      </c>
      <c r="BF419" s="0" t="str">
        <f aca="false">IF(ISBLANK(BE419),"No comments",BE419)</f>
        <v>No comments</v>
      </c>
      <c r="BG419" s="0" t="s">
        <v>2320</v>
      </c>
      <c r="BH419" s="0" t="str">
        <f aca="false">IF(ISBLANK(BG419),"No comments",BG419)</f>
        <v>No complaints</v>
      </c>
      <c r="BJ419" s="0" t="str">
        <f aca="false">IF(ISBLANK(BI419),"Not Mentioned",BI419)</f>
        <v>Not Mentioned</v>
      </c>
      <c r="BK419" s="0" t="s">
        <v>63</v>
      </c>
      <c r="BL419" s="0" t="str">
        <f aca="false">PROPER(IF(ISBLANK(BK419),"Not Mentioned",BK419))</f>
        <v>Yes</v>
      </c>
      <c r="BN419" s="0" t="str">
        <f aca="false">PROPER(IF(ISBLANK(BM419),"Not Mentioned",BM419))</f>
        <v>Not Mentioned</v>
      </c>
      <c r="BO419" s="0" t="s">
        <v>2318</v>
      </c>
      <c r="BP419" s="0" t="str">
        <f aca="false">IF(ISBLANK(BO419),"One-Time Plan",BO419)</f>
        <v>Gold</v>
      </c>
      <c r="BQ419" s="0" t="s">
        <v>50</v>
      </c>
      <c r="BR419" s="0" t="str">
        <f aca="false">PROPER(IF(ISBLANK(BQ419),"No",BQ419))</f>
        <v>No</v>
      </c>
    </row>
    <row r="420" customFormat="false" ht="15" hidden="false" customHeight="false" outlineLevel="0" collapsed="false">
      <c r="A420" s="0" t="s">
        <v>1106</v>
      </c>
      <c r="B420" s="2" t="n">
        <v>45699</v>
      </c>
      <c r="C420" s="2" t="str">
        <f aca="false">TEXT(B420,"dd/mm/yyyy")</f>
        <v>11/02/2025</v>
      </c>
      <c r="D420" s="0" t="s">
        <v>121</v>
      </c>
      <c r="E420" s="0" t="n">
        <v>8062491260</v>
      </c>
      <c r="F420" s="0" t="s">
        <v>67</v>
      </c>
      <c r="G420" s="0" t="s">
        <v>2316</v>
      </c>
      <c r="H420" s="0" t="s">
        <v>1107</v>
      </c>
      <c r="I420" s="0" t="s">
        <v>134</v>
      </c>
      <c r="J420" s="0" t="s">
        <v>2325</v>
      </c>
      <c r="K420" s="3" t="str">
        <f aca="false" t="array" ref="K420:K420">IFERROR(IF(J420&lt;&gt;"",J420,INDEX(J420:J1419,MATCH(1,(F420:F1419=F420)*(I420:I1419=I420)*(L420:L1419=L420)*(J420:J1419&lt;&gt;""),0))),"Not Found")</f>
        <v>Engine Knocking</v>
      </c>
      <c r="L420" s="3" t="s">
        <v>47</v>
      </c>
      <c r="M420" s="0" t="str">
        <f aca="false">PROPER(L420)</f>
        <v>None</v>
      </c>
      <c r="N420" s="3" t="s">
        <v>48</v>
      </c>
      <c r="O420" s="0" t="str">
        <f aca="false" t="array" ref="O420:O420">IF(N420&lt;&gt;"",N420,_xlfn.xlookup(1,(L420:L1419=L420)*(N420:N1419&lt;&gt;""),N420:N1419,"Not Found"))</f>
        <v>Uche</v>
      </c>
      <c r="P420" s="4" t="n">
        <v>117936</v>
      </c>
      <c r="Q420" s="0" t="s">
        <v>124</v>
      </c>
      <c r="R420" s="0" t="str">
        <f aca="false">PROPER(Q420)</f>
        <v>Cash</v>
      </c>
      <c r="S420" s="0" t="s">
        <v>50</v>
      </c>
      <c r="T420" s="0" t="n">
        <v>1</v>
      </c>
      <c r="U420" s="5" t="n">
        <f aca="false">IF(ISBLANK(T420),AVERAGE(T420:T1419),T420)</f>
        <v>1</v>
      </c>
      <c r="V420" s="0" t="n">
        <v>5.3</v>
      </c>
      <c r="X420" s="0" t="str">
        <f aca="false">IF(ISBLANK(W420),"No remarks",W420)</f>
        <v>No remarks</v>
      </c>
      <c r="Y420" s="0" t="s">
        <v>52</v>
      </c>
      <c r="Z420" s="0" t="s">
        <v>74</v>
      </c>
      <c r="AA420" s="0" t="str">
        <f aca="false">PROPER(IF(ISBLANK(Z420),"Location Unavailable",Z420))</f>
        <v>Under Tree</v>
      </c>
      <c r="AB420" s="0" t="s">
        <v>54</v>
      </c>
      <c r="AC420" s="6" t="str">
        <f aca="false">PROPER(AB420)</f>
        <v>Mechanic Referral</v>
      </c>
      <c r="AD420" s="6" t="n">
        <v>30</v>
      </c>
      <c r="AE420" s="5" t="n">
        <f aca="false">IF(ISBLANK(AD420),AVERAGEIF(L420:L1419,L420,AD420:AD1419),AD420)</f>
        <v>30</v>
      </c>
      <c r="AF420" s="0" t="s">
        <v>112</v>
      </c>
      <c r="AG420" s="0" t="str">
        <f aca="false">PROPER(AF420)</f>
        <v>Unavailable</v>
      </c>
      <c r="AH420" s="0" t="s">
        <v>77</v>
      </c>
      <c r="AI420" s="0" t="s">
        <v>128</v>
      </c>
      <c r="AJ420" s="0" t="str">
        <f aca="false">PROPER(AI420)</f>
        <v>Normal</v>
      </c>
      <c r="AK420" s="0" t="s">
        <v>114</v>
      </c>
      <c r="AL420" s="0" t="str">
        <f aca="false">PROPER(AK420)</f>
        <v>Returning</v>
      </c>
      <c r="AN420" s="0" t="str">
        <f aca="false">IF(ISBLANK(AM420),"Unknown",AM420)</f>
        <v>Unknown</v>
      </c>
      <c r="AO420" s="0" t="s">
        <v>79</v>
      </c>
      <c r="AP420" s="0" t="str">
        <f aca="false">IF(ISBLANK(AO420),"Unknown",AO420)</f>
        <v>Specialist</v>
      </c>
      <c r="AQ420" s="0" t="n">
        <v>20000</v>
      </c>
      <c r="AR420" s="5" t="n">
        <f aca="false">IF(ISBLANK(AQ420),AVERAGEIF(M420:M1419,M420,AQ420:AQ1419),AQ420)</f>
        <v>20000</v>
      </c>
      <c r="AS420" s="0" t="n">
        <v>35000</v>
      </c>
      <c r="AT420" s="5" t="n">
        <f aca="false">IF(ISBLANK(AS420),AVERAGE(AS420:AS1419),AS420)</f>
        <v>35000</v>
      </c>
      <c r="AU420" s="0" t="s">
        <v>63</v>
      </c>
      <c r="AV420" s="0" t="str">
        <f aca="false">PROPER(IF(ISBLANK(AU420),"No",AU420))</f>
        <v>Yes</v>
      </c>
      <c r="AW420" s="0" t="n">
        <v>0</v>
      </c>
      <c r="AX420" s="5" t="n">
        <f aca="false">IF(ISBLANK(AW420),0,AW420)</f>
        <v>0</v>
      </c>
      <c r="AZ420" s="0" t="str">
        <f aca="false">UPPER(IF(ISBLANK(AY420),"NONE",AY420))</f>
        <v>NONE</v>
      </c>
      <c r="BA420" s="7" t="s">
        <v>1108</v>
      </c>
      <c r="BB420" s="7" t="str">
        <f aca="false">IF(ISBLANK(BA420),"No Follow Up Needed",BA420)</f>
        <v>31/12/2025</v>
      </c>
      <c r="BC420" s="0" t="s">
        <v>82</v>
      </c>
      <c r="BD420" s="0" t="str">
        <f aca="false">PROPER(IF(ISBLANK(BC420),"Unknown",BC420))</f>
        <v>Yes</v>
      </c>
      <c r="BF420" s="0" t="str">
        <f aca="false">IF(ISBLANK(BE420),"No comments",BE420)</f>
        <v>No comments</v>
      </c>
      <c r="BG420" s="0" t="s">
        <v>117</v>
      </c>
      <c r="BH420" s="0" t="str">
        <f aca="false">IF(ISBLANK(BG420),"No comments",BG420)</f>
        <v>Prefers morning</v>
      </c>
      <c r="BJ420" s="0" t="str">
        <f aca="false">IF(ISBLANK(BI420),"Not Mentioned",BI420)</f>
        <v>Not Mentioned</v>
      </c>
      <c r="BK420" s="0" t="s">
        <v>63</v>
      </c>
      <c r="BL420" s="0" t="str">
        <f aca="false">PROPER(IF(ISBLANK(BK420),"Not Mentioned",BK420))</f>
        <v>Yes</v>
      </c>
      <c r="BN420" s="0" t="str">
        <f aca="false">PROPER(IF(ISBLANK(BM420),"Not Mentioned",BM420))</f>
        <v>Not Mentioned</v>
      </c>
      <c r="BO420" s="0" t="s">
        <v>64</v>
      </c>
      <c r="BP420" s="0" t="str">
        <f aca="false">IF(ISBLANK(BO420),"One-Time Plan",BO420)</f>
        <v>Gold Maintenance Plan</v>
      </c>
      <c r="BQ420" s="0" t="s">
        <v>63</v>
      </c>
      <c r="BR420" s="0" t="str">
        <f aca="false">PROPER(IF(ISBLANK(BQ420),"No",BQ420))</f>
        <v>Yes</v>
      </c>
    </row>
    <row r="421" customFormat="false" ht="15" hidden="false" customHeight="false" outlineLevel="0" collapsed="false">
      <c r="A421" s="0" t="s">
        <v>1109</v>
      </c>
      <c r="B421" s="2" t="n">
        <v>45748</v>
      </c>
      <c r="C421" s="2" t="str">
        <f aca="false">TEXT(B421,"dd/mm/yyyy")</f>
        <v>01/04/2025</v>
      </c>
      <c r="D421" s="0" t="s">
        <v>121</v>
      </c>
      <c r="E421" s="0" t="n">
        <v>8092279159</v>
      </c>
      <c r="F421" s="0" t="s">
        <v>85</v>
      </c>
      <c r="G421" s="0" t="s">
        <v>2319</v>
      </c>
      <c r="H421" s="0" t="s">
        <v>1110</v>
      </c>
      <c r="I421" s="0" t="s">
        <v>87</v>
      </c>
      <c r="J421" s="0" t="s">
        <v>2325</v>
      </c>
      <c r="K421" s="3" t="str">
        <f aca="false" t="array" ref="K421:K421">IFERROR(IF(J421&lt;&gt;"",J421,INDEX(J421:J1420,MATCH(1,(F421:F1420=F421)*(I421:I1420=I421)*(L421:L1420=L421)*(J421:J1420&lt;&gt;""),0))),"Not Found")</f>
        <v>Engine Knocking</v>
      </c>
      <c r="L421" s="3" t="s">
        <v>154</v>
      </c>
      <c r="M421" s="0" t="str">
        <f aca="false">PROPER(L421)</f>
        <v>Air Filter</v>
      </c>
      <c r="N421" s="3" t="s">
        <v>71</v>
      </c>
      <c r="O421" s="0" t="str">
        <f aca="false" t="array" ref="O421:O421">IF(N421&lt;&gt;"",N421,_xlfn.xlookup(1,(L421:L1420=L421)*(N421:N1420&lt;&gt;""),N421:N1420,"Not Found"))</f>
        <v>Isaac Bobo</v>
      </c>
      <c r="P421" s="4" t="n">
        <v>12239</v>
      </c>
      <c r="Q421" s="0" t="s">
        <v>91</v>
      </c>
      <c r="R421" s="0" t="str">
        <f aca="false">PROPER(Q421)</f>
        <v>Pos</v>
      </c>
      <c r="S421" s="0" t="s">
        <v>50</v>
      </c>
      <c r="T421" s="0" t="n">
        <v>1</v>
      </c>
      <c r="U421" s="5" t="n">
        <f aca="false">IF(ISBLANK(T421),AVERAGE(T421:T1420),T421)</f>
        <v>1</v>
      </c>
      <c r="V421" s="0" t="n">
        <v>5.9</v>
      </c>
      <c r="W421" s="0" t="s">
        <v>92</v>
      </c>
      <c r="X421" s="0" t="str">
        <f aca="false">IF(ISBLANK(W421),"No remarks",W421)</f>
        <v>Urgent service</v>
      </c>
      <c r="Y421" s="0" t="s">
        <v>73</v>
      </c>
      <c r="Z421" s="0" t="s">
        <v>136</v>
      </c>
      <c r="AA421" s="0" t="str">
        <f aca="false">PROPER(IF(ISBLANK(Z421),"Location Unavailable",Z421))</f>
        <v>Vip Section</v>
      </c>
      <c r="AB421" s="0" t="s">
        <v>75</v>
      </c>
      <c r="AC421" s="6" t="str">
        <f aca="false">PROPER(AB421)</f>
        <v>Mechanik Referal</v>
      </c>
      <c r="AD421" s="6" t="n">
        <v>45</v>
      </c>
      <c r="AE421" s="5" t="n">
        <f aca="false">IF(ISBLANK(AD421),AVERAGEIF(L421:L1420,L421,AD421:AD1420),AD421)</f>
        <v>45</v>
      </c>
      <c r="AF421" s="0" t="s">
        <v>55</v>
      </c>
      <c r="AG421" s="0" t="str">
        <f aca="false">PROPER(AF421)</f>
        <v>Available</v>
      </c>
      <c r="AH421" s="0" t="s">
        <v>56</v>
      </c>
      <c r="AI421" s="0" t="s">
        <v>78</v>
      </c>
      <c r="AJ421" s="0" t="str">
        <f aca="false">PROPER(AI421)</f>
        <v>Booking</v>
      </c>
      <c r="AK421" s="0" t="s">
        <v>58</v>
      </c>
      <c r="AL421" s="0" t="str">
        <f aca="false">PROPER(AK421)</f>
        <v>Fleet Owner</v>
      </c>
      <c r="AM421" s="0" t="s">
        <v>2324</v>
      </c>
      <c r="AN421" s="0" t="str">
        <f aca="false">IF(ISBLANK(AM421),"Unknown",AM421)</f>
        <v>Logistics Convoy</v>
      </c>
      <c r="AO421" s="0" t="s">
        <v>161</v>
      </c>
      <c r="AP421" s="0" t="str">
        <f aca="false">IF(ISBLANK(AO421),"Unknown",AO421)</f>
        <v>Apprentice</v>
      </c>
      <c r="AQ421" s="0" t="n">
        <v>20000</v>
      </c>
      <c r="AR421" s="5" t="n">
        <f aca="false">IF(ISBLANK(AQ421),AVERAGEIF(M421:M1420,M421,AQ421:AQ1420),AQ421)</f>
        <v>20000</v>
      </c>
      <c r="AS421" s="0" t="n">
        <v>30000</v>
      </c>
      <c r="AT421" s="5" t="n">
        <f aca="false">IF(ISBLANK(AS421),AVERAGE(AS421:AS1420),AS421)</f>
        <v>30000</v>
      </c>
      <c r="AU421" s="0" t="s">
        <v>63</v>
      </c>
      <c r="AV421" s="0" t="str">
        <f aca="false">PROPER(IF(ISBLANK(AU421),"No",AU421))</f>
        <v>Yes</v>
      </c>
      <c r="AX421" s="5" t="n">
        <f aca="false">IF(ISBLANK(AW421),0,AW421)</f>
        <v>0</v>
      </c>
      <c r="AZ421" s="0" t="str">
        <f aca="false">UPPER(IF(ISBLANK(AY421),"NONE",AY421))</f>
        <v>NONE</v>
      </c>
      <c r="BB421" s="7" t="str">
        <f aca="false">IF(ISBLANK(BA421),"No Follow Up Needed",BA421)</f>
        <v>No Follow Up Needed</v>
      </c>
      <c r="BD421" s="0" t="str">
        <f aca="false">PROPER(IF(ISBLANK(BC421),"Unknown",BC421))</f>
        <v>Unknown</v>
      </c>
      <c r="BE421" s="0" t="s">
        <v>171</v>
      </c>
      <c r="BF421" s="0" t="str">
        <f aca="false">IF(ISBLANK(BE421),"No comments",BE421)</f>
        <v>Shock absorber weakening</v>
      </c>
      <c r="BH421" s="0" t="str">
        <f aca="false">IF(ISBLANK(BG421),"No comments",BG421)</f>
        <v>No comments</v>
      </c>
      <c r="BJ421" s="0" t="str">
        <f aca="false">IF(ISBLANK(BI421),"Not Mentioned",BI421)</f>
        <v>Not Mentioned</v>
      </c>
      <c r="BK421" s="0" t="s">
        <v>63</v>
      </c>
      <c r="BL421" s="0" t="str">
        <f aca="false">PROPER(IF(ISBLANK(BK421),"Not Mentioned",BK421))</f>
        <v>Yes</v>
      </c>
      <c r="BN421" s="0" t="str">
        <f aca="false">PROPER(IF(ISBLANK(BM421),"Not Mentioned",BM421))</f>
        <v>Not Mentioned</v>
      </c>
      <c r="BO421" s="0" t="s">
        <v>2318</v>
      </c>
      <c r="BP421" s="0" t="str">
        <f aca="false">IF(ISBLANK(BO421),"One-Time Plan",BO421)</f>
        <v>Gold</v>
      </c>
      <c r="BQ421" s="0" t="s">
        <v>198</v>
      </c>
      <c r="BR421" s="0" t="str">
        <f aca="false">PROPER(IF(ISBLANK(BQ421),"No",BQ421))</f>
        <v>Followed Up</v>
      </c>
    </row>
    <row r="422" customFormat="false" ht="15" hidden="false" customHeight="false" outlineLevel="0" collapsed="false">
      <c r="A422" s="0" t="s">
        <v>1111</v>
      </c>
      <c r="B422" s="2" t="n">
        <v>45714</v>
      </c>
      <c r="C422" s="2" t="str">
        <f aca="false">TEXT(B422,"dd/mm/yyyy")</f>
        <v>26/02/2025</v>
      </c>
      <c r="D422" s="0" t="s">
        <v>121</v>
      </c>
      <c r="E422" s="0" t="n">
        <v>8033505052</v>
      </c>
      <c r="F422" s="0" t="s">
        <v>122</v>
      </c>
      <c r="G422" s="0" t="s">
        <v>2316</v>
      </c>
      <c r="H422" s="0" t="s">
        <v>1112</v>
      </c>
      <c r="I422" s="0" t="s">
        <v>107</v>
      </c>
      <c r="J422" s="0" t="s">
        <v>2325</v>
      </c>
      <c r="K422" s="3" t="str">
        <f aca="false" t="array" ref="K422:K422">IFERROR(IF(J422&lt;&gt;"",J422,INDEX(J422:J1421,MATCH(1,(F422:F1421=F422)*(I422:I1421=I422)*(L422:L1421=L422)*(J422:J1421&lt;&gt;""),0))),"Not Found")</f>
        <v>Engine Knocking</v>
      </c>
      <c r="L422" s="3" t="s">
        <v>108</v>
      </c>
      <c r="M422" s="0" t="str">
        <f aca="false">PROPER(L422)</f>
        <v>Timing Belt</v>
      </c>
      <c r="O422" s="0" t="e">
        <f aca="false" t="array" ref="O422:O422">IF(N422&lt;&gt;"",N422,_xlfn.xlookup(1,(L422:L1421=L422)*(N422:N1421&lt;&gt;""),N422:N1421,"Not Found"))</f>
        <v>#NAME?</v>
      </c>
      <c r="P422" s="4" t="n">
        <v>111759</v>
      </c>
      <c r="Q422" s="0" t="s">
        <v>166</v>
      </c>
      <c r="R422" s="0" t="str">
        <f aca="false">PROPER(Q422)</f>
        <v>Transfer</v>
      </c>
      <c r="S422" s="0" t="s">
        <v>63</v>
      </c>
      <c r="T422" s="0" t="n">
        <v>1</v>
      </c>
      <c r="U422" s="5" t="n">
        <f aca="false">IF(ISBLANK(T422),AVERAGE(T422:T1421),T422)</f>
        <v>1</v>
      </c>
      <c r="V422" s="0" t="n">
        <v>2.5</v>
      </c>
      <c r="W422" s="0" t="s">
        <v>111</v>
      </c>
      <c r="X422" s="0" t="str">
        <f aca="false">IF(ISBLANK(W422),"No remarks",W422)</f>
        <v>Changed all filters</v>
      </c>
      <c r="Y422" s="0" t="s">
        <v>73</v>
      </c>
      <c r="Z422" s="0" t="s">
        <v>74</v>
      </c>
      <c r="AA422" s="0" t="str">
        <f aca="false">PROPER(IF(ISBLANK(Z422),"Location Unavailable",Z422))</f>
        <v>Under Tree</v>
      </c>
      <c r="AB422" s="0" t="s">
        <v>95</v>
      </c>
      <c r="AC422" s="6" t="str">
        <f aca="false">PROPER(AB422)</f>
        <v>Road Sign</v>
      </c>
      <c r="AD422" s="6" t="n">
        <v>30</v>
      </c>
      <c r="AE422" s="5" t="n">
        <f aca="false">IF(ISBLANK(AD422),AVERAGEIF(L422:L1421,L422,AD422:AD1421),AD422)</f>
        <v>30</v>
      </c>
      <c r="AF422" s="0" t="s">
        <v>76</v>
      </c>
      <c r="AG422" s="0" t="str">
        <f aca="false">PROPER(AF422)</f>
        <v>Orderd</v>
      </c>
      <c r="AH422" s="0" t="s">
        <v>56</v>
      </c>
      <c r="AI422" s="0" t="s">
        <v>113</v>
      </c>
      <c r="AJ422" s="0" t="str">
        <f aca="false">PROPER(AI422)</f>
        <v>Normal</v>
      </c>
      <c r="AK422" s="0" t="s">
        <v>196</v>
      </c>
      <c r="AL422" s="0" t="str">
        <f aca="false">PROPER(AK422)</f>
        <v>First Time</v>
      </c>
      <c r="AN422" s="0" t="str">
        <f aca="false">IF(ISBLANK(AM422),"Unknown",AM422)</f>
        <v>Unknown</v>
      </c>
      <c r="AP422" s="0" t="str">
        <f aca="false">IF(ISBLANK(AO422),"Unknown",AO422)</f>
        <v>Unknown</v>
      </c>
      <c r="AQ422" s="0" t="n">
        <v>25000</v>
      </c>
      <c r="AR422" s="5" t="n">
        <f aca="false">IF(ISBLANK(AQ422),AVERAGEIF(M422:M1421,M422,AQ422:AQ1421),AQ422)</f>
        <v>25000</v>
      </c>
      <c r="AS422" s="0" t="n">
        <v>20000</v>
      </c>
      <c r="AT422" s="5" t="n">
        <f aca="false">IF(ISBLANK(AS422),AVERAGE(AS422:AS1421),AS422)</f>
        <v>20000</v>
      </c>
      <c r="AU422" s="0" t="s">
        <v>63</v>
      </c>
      <c r="AV422" s="0" t="str">
        <f aca="false">PROPER(IF(ISBLANK(AU422),"No",AU422))</f>
        <v>Yes</v>
      </c>
      <c r="AW422" s="0" t="n">
        <v>10000</v>
      </c>
      <c r="AX422" s="5" t="n">
        <f aca="false">IF(ISBLANK(AW422),0,AW422)</f>
        <v>10000</v>
      </c>
      <c r="AY422" s="0" t="s">
        <v>130</v>
      </c>
      <c r="AZ422" s="0" t="str">
        <f aca="false">UPPER(IF(ISBLANK(AY422),"NONE",AY422))</f>
        <v>LOYALTY10</v>
      </c>
      <c r="BB422" s="7" t="str">
        <f aca="false">IF(ISBLANK(BA422),"No Follow Up Needed",BA422)</f>
        <v>No Follow Up Needed</v>
      </c>
      <c r="BC422" s="0" t="s">
        <v>61</v>
      </c>
      <c r="BD422" s="0" t="str">
        <f aca="false">PROPER(IF(ISBLANK(BC422),"Unknown",BC422))</f>
        <v>No</v>
      </c>
      <c r="BE422" s="0" t="s">
        <v>116</v>
      </c>
      <c r="BF422" s="0" t="str">
        <f aca="false">IF(ISBLANK(BE422),"No comments",BE422)</f>
        <v>Needs tire alignment</v>
      </c>
      <c r="BH422" s="0" t="str">
        <f aca="false">IF(ISBLANK(BG422),"No comments",BG422)</f>
        <v>No comments</v>
      </c>
      <c r="BI422" s="0" t="s">
        <v>63</v>
      </c>
      <c r="BJ422" s="0" t="str">
        <f aca="false">IF(ISBLANK(BI422),"Not Mentioned",BI422)</f>
        <v>Yes</v>
      </c>
      <c r="BK422" s="0" t="s">
        <v>61</v>
      </c>
      <c r="BL422" s="0" t="str">
        <f aca="false">PROPER(IF(ISBLANK(BK422),"Not Mentioned",BK422))</f>
        <v>No</v>
      </c>
      <c r="BM422" s="0" t="s">
        <v>63</v>
      </c>
      <c r="BN422" s="0" t="str">
        <f aca="false">PROPER(IF(ISBLANK(BM422),"Not Mentioned",BM422))</f>
        <v>Yes</v>
      </c>
      <c r="BO422" s="0" t="s">
        <v>2321</v>
      </c>
      <c r="BP422" s="0" t="str">
        <f aca="false">IF(ISBLANK(BO422),"One-Time Plan",BO422)</f>
        <v>One-Time Plan</v>
      </c>
      <c r="BQ422" s="0" t="s">
        <v>50</v>
      </c>
      <c r="BR422" s="0" t="str">
        <f aca="false">PROPER(IF(ISBLANK(BQ422),"No",BQ422))</f>
        <v>No</v>
      </c>
    </row>
    <row r="423" customFormat="false" ht="15" hidden="false" customHeight="false" outlineLevel="0" collapsed="false">
      <c r="A423" s="0" t="s">
        <v>1114</v>
      </c>
      <c r="B423" s="2" t="s">
        <v>1113</v>
      </c>
      <c r="C423" s="2" t="str">
        <f aca="false">TEXT(B423,"dd/mm/yyyy")</f>
        <v>23/04/2025</v>
      </c>
      <c r="D423" s="0" t="s">
        <v>121</v>
      </c>
      <c r="E423" s="0" t="n">
        <v>8065707438</v>
      </c>
      <c r="F423" s="0" t="s">
        <v>43</v>
      </c>
      <c r="G423" s="0" t="s">
        <v>2315</v>
      </c>
      <c r="H423" s="0" t="s">
        <v>1115</v>
      </c>
      <c r="I423" s="0" t="s">
        <v>107</v>
      </c>
      <c r="J423" s="0" t="s">
        <v>2325</v>
      </c>
      <c r="K423" s="3" t="str">
        <f aca="false" t="array" ref="K423:K423">IFERROR(IF(J423&lt;&gt;"",J423,INDEX(J423:J1422,MATCH(1,(F423:F1422=F423)*(I423:I1422=I423)*(L423:L1422=L423)*(J423:J1422&lt;&gt;""),0))),"Not Found")</f>
        <v>Engine Knocking</v>
      </c>
      <c r="L423" s="3" t="s">
        <v>89</v>
      </c>
      <c r="M423" s="0" t="str">
        <f aca="false">PROPER(L423)</f>
        <v>Shock Absorbers</v>
      </c>
      <c r="N423" s="3" t="s">
        <v>71</v>
      </c>
      <c r="O423" s="0" t="str">
        <f aca="false" t="array" ref="O423:O423">IF(N423&lt;&gt;"",N423,_xlfn.xlookup(1,(L423:L1422=L423)*(N423:N1422&lt;&gt;""),N423:N1422,"Not Found"))</f>
        <v>Isaac Bobo</v>
      </c>
      <c r="P423" s="4" t="n">
        <v>22736</v>
      </c>
      <c r="Q423" s="0" t="s">
        <v>49</v>
      </c>
      <c r="R423" s="0" t="str">
        <f aca="false">PROPER(Q423)</f>
        <v>Transfer</v>
      </c>
      <c r="S423" s="0" t="s">
        <v>63</v>
      </c>
      <c r="T423" s="0" t="n">
        <v>1</v>
      </c>
      <c r="U423" s="5" t="n">
        <f aca="false">IF(ISBLANK(T423),AVERAGE(T423:T1422),T423)</f>
        <v>1</v>
      </c>
      <c r="V423" s="0" t="n">
        <v>4.2</v>
      </c>
      <c r="W423" s="0" t="s">
        <v>125</v>
      </c>
      <c r="X423" s="0" t="str">
        <f aca="false">IF(ISBLANK(W423),"No remarks",W423)</f>
        <v>Customer waited</v>
      </c>
      <c r="Y423" s="0" t="s">
        <v>73</v>
      </c>
      <c r="Z423" s="0" t="s">
        <v>53</v>
      </c>
      <c r="AA423" s="0" t="str">
        <f aca="false">PROPER(IF(ISBLANK(Z423),"Location Unavailable",Z423))</f>
        <v>Main Bay</v>
      </c>
      <c r="AB423" s="0" t="s">
        <v>75</v>
      </c>
      <c r="AC423" s="6" t="str">
        <f aca="false">PROPER(AB423)</f>
        <v>Mechanik Referal</v>
      </c>
      <c r="AD423" s="6" t="n">
        <v>60</v>
      </c>
      <c r="AE423" s="5" t="n">
        <f aca="false">IF(ISBLANK(AD423),AVERAGEIF(L423:L1422,L423,AD423:AD1422),AD423)</f>
        <v>60</v>
      </c>
      <c r="AF423" s="0" t="s">
        <v>76</v>
      </c>
      <c r="AG423" s="0" t="str">
        <f aca="false">PROPER(AF423)</f>
        <v>Orderd</v>
      </c>
      <c r="AH423" s="0" t="s">
        <v>148</v>
      </c>
      <c r="AI423" s="0" t="s">
        <v>78</v>
      </c>
      <c r="AJ423" s="0" t="str">
        <f aca="false">PROPER(AI423)</f>
        <v>Booking</v>
      </c>
      <c r="AK423" s="0" t="s">
        <v>58</v>
      </c>
      <c r="AL423" s="0" t="str">
        <f aca="false">PROPER(AK423)</f>
        <v>Fleet Owner</v>
      </c>
      <c r="AM423" s="0" t="s">
        <v>2326</v>
      </c>
      <c r="AN423" s="0" t="str">
        <f aca="false">IF(ISBLANK(AM423),"Unknown",AM423)</f>
        <v>Government Convoy</v>
      </c>
      <c r="AO423" s="0" t="s">
        <v>143</v>
      </c>
      <c r="AP423" s="0" t="str">
        <f aca="false">IF(ISBLANK(AO423),"Unknown",AO423)</f>
        <v>Senior</v>
      </c>
      <c r="AR423" s="5" t="n">
        <f aca="false">IF(ISBLANK(AQ423),AVERAGEIF(M423:M1422,M423,AQ423:AQ1422),AQ423)</f>
        <v>26551.724137931</v>
      </c>
      <c r="AS423" s="0" t="n">
        <v>20000</v>
      </c>
      <c r="AT423" s="5" t="n">
        <f aca="false">IF(ISBLANK(AS423),AVERAGE(AS423:AS1422),AS423)</f>
        <v>20000</v>
      </c>
      <c r="AU423" s="0" t="s">
        <v>82</v>
      </c>
      <c r="AV423" s="0" t="str">
        <f aca="false">PROPER(IF(ISBLANK(AU423),"No",AU423))</f>
        <v>Yes</v>
      </c>
      <c r="AW423" s="0" t="n">
        <v>5000</v>
      </c>
      <c r="AX423" s="5" t="n">
        <f aca="false">IF(ISBLANK(AW423),0,AW423)</f>
        <v>5000</v>
      </c>
      <c r="AY423" s="0" t="s">
        <v>184</v>
      </c>
      <c r="AZ423" s="0" t="str">
        <f aca="false">UPPER(IF(ISBLANK(AY423),"NONE",AY423))</f>
        <v>N/A</v>
      </c>
      <c r="BA423" s="7" t="s">
        <v>771</v>
      </c>
      <c r="BB423" s="7" t="str">
        <f aca="false">IF(ISBLANK(BA423),"No Follow Up Needed",BA423)</f>
        <v>26/07/2025</v>
      </c>
      <c r="BC423" s="0" t="s">
        <v>50</v>
      </c>
      <c r="BD423" s="0" t="str">
        <f aca="false">PROPER(IF(ISBLANK(BC423),"Unknown",BC423))</f>
        <v>No</v>
      </c>
      <c r="BE423" s="0" t="s">
        <v>171</v>
      </c>
      <c r="BF423" s="0" t="str">
        <f aca="false">IF(ISBLANK(BE423),"No comments",BE423)</f>
        <v>Shock absorber weakening</v>
      </c>
      <c r="BG423" s="0" t="s">
        <v>172</v>
      </c>
      <c r="BH423" s="0" t="str">
        <f aca="false">IF(ISBLANK(BG423),"No comments",BG423)</f>
        <v>Always late</v>
      </c>
      <c r="BJ423" s="0" t="str">
        <f aca="false">IF(ISBLANK(BI423),"Not Mentioned",BI423)</f>
        <v>Not Mentioned</v>
      </c>
      <c r="BL423" s="0" t="str">
        <f aca="false">PROPER(IF(ISBLANK(BK423),"Not Mentioned",BK423))</f>
        <v>Not Mentioned</v>
      </c>
      <c r="BM423" s="0" t="s">
        <v>63</v>
      </c>
      <c r="BN423" s="0" t="str">
        <f aca="false">PROPER(IF(ISBLANK(BM423),"Not Mentioned",BM423))</f>
        <v>Yes</v>
      </c>
      <c r="BO423" s="0" t="s">
        <v>2321</v>
      </c>
      <c r="BP423" s="0" t="str">
        <f aca="false">IF(ISBLANK(BO423),"One-Time Plan",BO423)</f>
        <v>One-Time Plan</v>
      </c>
      <c r="BQ423" s="0" t="s">
        <v>63</v>
      </c>
      <c r="BR423" s="0" t="str">
        <f aca="false">PROPER(IF(ISBLANK(BQ423),"No",BQ423))</f>
        <v>Yes</v>
      </c>
    </row>
    <row r="424" customFormat="false" ht="15" hidden="false" customHeight="false" outlineLevel="0" collapsed="false">
      <c r="A424" s="0" t="s">
        <v>1117</v>
      </c>
      <c r="B424" s="2" t="s">
        <v>1116</v>
      </c>
      <c r="C424" s="2" t="str">
        <f aca="false">TEXT(B424,"dd/mm/yyyy")</f>
        <v>28/04/2025</v>
      </c>
      <c r="D424" s="0" t="s">
        <v>163</v>
      </c>
      <c r="E424" s="0" t="n">
        <v>8043438309</v>
      </c>
      <c r="F424" s="0" t="s">
        <v>43</v>
      </c>
      <c r="G424" s="0" t="s">
        <v>2315</v>
      </c>
      <c r="H424" s="0" t="s">
        <v>1118</v>
      </c>
      <c r="I424" s="0" t="s">
        <v>107</v>
      </c>
      <c r="K424" s="3" t="str">
        <f aca="false" t="array" ref="K424:K424">IFERROR(IF(J424&lt;&gt;"",J424,INDEX(J424:J1423,MATCH(1,(F424:F1423=F424)*(I424:I1423=I424)*(L424:L1423=L424)*(J424:J1423&lt;&gt;""),0))),"Not Found")</f>
        <v>Suspension Noise</v>
      </c>
      <c r="L424" s="3" t="s">
        <v>89</v>
      </c>
      <c r="M424" s="0" t="str">
        <f aca="false">PROPER(L424)</f>
        <v>Shock Absorbers</v>
      </c>
      <c r="N424" s="3" t="s">
        <v>90</v>
      </c>
      <c r="O424" s="0" t="str">
        <f aca="false" t="array" ref="O424:O424">IF(N424&lt;&gt;"",N424,_xlfn.xlookup(1,(L424:L1423=L424)*(N424:N1423&lt;&gt;""),N424:N1423,"Not Found"))</f>
        <v>Musa</v>
      </c>
      <c r="P424" s="4" t="n">
        <v>39997</v>
      </c>
      <c r="Q424" s="0" t="s">
        <v>49</v>
      </c>
      <c r="R424" s="0" t="str">
        <f aca="false">PROPER(Q424)</f>
        <v>Transfer</v>
      </c>
      <c r="S424" s="0" t="s">
        <v>63</v>
      </c>
      <c r="T424" s="0" t="n">
        <v>5</v>
      </c>
      <c r="U424" s="5" t="n">
        <f aca="false">IF(ISBLANK(T424),AVERAGE(T424:T1423),T424)</f>
        <v>5</v>
      </c>
      <c r="V424" s="0" t="n">
        <v>2.6</v>
      </c>
      <c r="W424" s="0" t="s">
        <v>92</v>
      </c>
      <c r="X424" s="0" t="str">
        <f aca="false">IF(ISBLANK(W424),"No remarks",W424)</f>
        <v>Urgent service</v>
      </c>
      <c r="Y424" s="0" t="s">
        <v>93</v>
      </c>
      <c r="AA424" s="0" t="str">
        <f aca="false">PROPER(IF(ISBLANK(Z424),"Location Unavailable",Z424))</f>
        <v>Location Unavailable</v>
      </c>
      <c r="AB424" s="0" t="s">
        <v>75</v>
      </c>
      <c r="AC424" s="6" t="str">
        <f aca="false">PROPER(AB424)</f>
        <v>Mechanik Referal</v>
      </c>
      <c r="AD424" s="6" t="n">
        <v>15</v>
      </c>
      <c r="AE424" s="5" t="n">
        <f aca="false">IF(ISBLANK(AD424),AVERAGEIF(L424:L1423,L424,AD424:AD1423),AD424)</f>
        <v>15</v>
      </c>
      <c r="AF424" s="0" t="s">
        <v>76</v>
      </c>
      <c r="AG424" s="0" t="str">
        <f aca="false">PROPER(AF424)</f>
        <v>Orderd</v>
      </c>
      <c r="AH424" s="0" t="s">
        <v>155</v>
      </c>
      <c r="AI424" s="0" t="s">
        <v>128</v>
      </c>
      <c r="AJ424" s="0" t="str">
        <f aca="false">PROPER(AI424)</f>
        <v>Normal</v>
      </c>
      <c r="AK424" s="0" t="s">
        <v>114</v>
      </c>
      <c r="AL424" s="0" t="str">
        <f aca="false">PROPER(AK424)</f>
        <v>Returning</v>
      </c>
      <c r="AN424" s="0" t="str">
        <f aca="false">IF(ISBLANK(AM424),"Unknown",AM424)</f>
        <v>Unknown</v>
      </c>
      <c r="AO424" s="0" t="s">
        <v>149</v>
      </c>
      <c r="AP424" s="0" t="str">
        <f aca="false">IF(ISBLANK(AO424),"Unknown",AO424)</f>
        <v>Senior </v>
      </c>
      <c r="AQ424" s="0" t="n">
        <v>15000</v>
      </c>
      <c r="AR424" s="5" t="n">
        <f aca="false">IF(ISBLANK(AQ424),AVERAGEIF(M424:M1423,M424,AQ424:AQ1423),AQ424)</f>
        <v>15000</v>
      </c>
      <c r="AS424" s="0" t="n">
        <v>35000</v>
      </c>
      <c r="AT424" s="5" t="n">
        <f aca="false">IF(ISBLANK(AS424),AVERAGE(AS424:AS1423),AS424)</f>
        <v>35000</v>
      </c>
      <c r="AU424" s="0" t="s">
        <v>63</v>
      </c>
      <c r="AV424" s="0" t="str">
        <f aca="false">PROPER(IF(ISBLANK(AU424),"No",AU424))</f>
        <v>Yes</v>
      </c>
      <c r="AW424" s="0" t="n">
        <v>0</v>
      </c>
      <c r="AX424" s="5" t="n">
        <f aca="false">IF(ISBLANK(AW424),0,AW424)</f>
        <v>0</v>
      </c>
      <c r="AY424" s="0" t="s">
        <v>184</v>
      </c>
      <c r="AZ424" s="0" t="str">
        <f aca="false">UPPER(IF(ISBLANK(AY424),"NONE",AY424))</f>
        <v>N/A</v>
      </c>
      <c r="BA424" s="7" t="n">
        <v>45878</v>
      </c>
      <c r="BB424" s="7" t="n">
        <f aca="false">IF(ISBLANK(BA424),"No Follow Up Needed",BA424)</f>
        <v>45878</v>
      </c>
      <c r="BD424" s="0" t="str">
        <f aca="false">PROPER(IF(ISBLANK(BC424),"Unknown",BC424))</f>
        <v>Unknown</v>
      </c>
      <c r="BE424" s="0" t="s">
        <v>116</v>
      </c>
      <c r="BF424" s="0" t="str">
        <f aca="false">IF(ISBLANK(BE424),"No comments",BE424)</f>
        <v>Needs tire alignment</v>
      </c>
      <c r="BG424" s="0" t="s">
        <v>172</v>
      </c>
      <c r="BH424" s="0" t="str">
        <f aca="false">IF(ISBLANK(BG424),"No comments",BG424)</f>
        <v>Always late</v>
      </c>
      <c r="BI424" s="0" t="s">
        <v>63</v>
      </c>
      <c r="BJ424" s="0" t="str">
        <f aca="false">IF(ISBLANK(BI424),"Not Mentioned",BI424)</f>
        <v>Yes</v>
      </c>
      <c r="BK424" s="0" t="s">
        <v>50</v>
      </c>
      <c r="BL424" s="0" t="str">
        <f aca="false">PROPER(IF(ISBLANK(BK424),"Not Mentioned",BK424))</f>
        <v>No</v>
      </c>
      <c r="BM424" s="0" t="s">
        <v>63</v>
      </c>
      <c r="BN424" s="0" t="str">
        <f aca="false">PROPER(IF(ISBLANK(BM424),"Not Mentioned",BM424))</f>
        <v>Yes</v>
      </c>
      <c r="BO424" s="0" t="s">
        <v>2318</v>
      </c>
      <c r="BP424" s="0" t="str">
        <f aca="false">IF(ISBLANK(BO424),"One-Time Plan",BO424)</f>
        <v>Gold</v>
      </c>
      <c r="BQ424" s="0" t="s">
        <v>63</v>
      </c>
      <c r="BR424" s="0" t="str">
        <f aca="false">PROPER(IF(ISBLANK(BQ424),"No",BQ424))</f>
        <v>Yes</v>
      </c>
    </row>
    <row r="425" customFormat="false" ht="15" hidden="false" customHeight="false" outlineLevel="0" collapsed="false">
      <c r="A425" s="0" t="s">
        <v>1119</v>
      </c>
      <c r="B425" s="2" t="n">
        <v>45813</v>
      </c>
      <c r="C425" s="2" t="str">
        <f aca="false">TEXT(B425,"dd/mm/yyyy")</f>
        <v>05/06/2025</v>
      </c>
      <c r="D425" s="0" t="s">
        <v>66</v>
      </c>
      <c r="E425" s="0" t="n">
        <v>8034102565</v>
      </c>
      <c r="F425" s="0" t="s">
        <v>139</v>
      </c>
      <c r="G425" s="0" t="s">
        <v>2323</v>
      </c>
      <c r="H425" s="0" t="s">
        <v>1120</v>
      </c>
      <c r="I425" s="0" t="s">
        <v>107</v>
      </c>
      <c r="J425" s="0" t="s">
        <v>2322</v>
      </c>
      <c r="K425" s="3" t="str">
        <f aca="false" t="array" ref="K425:K425">IFERROR(IF(J425&lt;&gt;"",J425,INDEX(J425:J1424,MATCH(1,(F425:F1424=F425)*(I425:I1424=I425)*(L425:L1424=L425)*(J425:J1424&lt;&gt;""),0))),"Not Found")</f>
        <v>Brake Failure</v>
      </c>
      <c r="L425" s="3" t="s">
        <v>89</v>
      </c>
      <c r="M425" s="0" t="str">
        <f aca="false">PROPER(L425)</f>
        <v>Shock Absorbers</v>
      </c>
      <c r="N425" s="3" t="s">
        <v>90</v>
      </c>
      <c r="O425" s="0" t="str">
        <f aca="false" t="array" ref="O425:O425">IF(N425&lt;&gt;"",N425,_xlfn.xlookup(1,(L425:L1424=L425)*(N425:N1424&lt;&gt;""),N425:N1424,"Not Found"))</f>
        <v>Musa</v>
      </c>
      <c r="P425" s="4" t="n">
        <v>69471</v>
      </c>
      <c r="Q425" s="0" t="s">
        <v>110</v>
      </c>
      <c r="R425" s="0" t="str">
        <f aca="false">PROPER(Q425)</f>
        <v>Cash</v>
      </c>
      <c r="S425" s="0" t="s">
        <v>63</v>
      </c>
      <c r="T425" s="0" t="n">
        <v>4</v>
      </c>
      <c r="U425" s="5" t="n">
        <f aca="false">IF(ISBLANK(T425),AVERAGE(T425:T1424),T425)</f>
        <v>4</v>
      </c>
      <c r="V425" s="0" t="n">
        <v>1.6</v>
      </c>
      <c r="W425" s="0" t="s">
        <v>51</v>
      </c>
      <c r="X425" s="0" t="str">
        <f aca="false">IF(ISBLANK(W425),"No remarks",W425)</f>
        <v>Recommended further checks</v>
      </c>
      <c r="Y425" s="0" t="s">
        <v>93</v>
      </c>
      <c r="Z425" s="0" t="s">
        <v>94</v>
      </c>
      <c r="AA425" s="0" t="str">
        <f aca="false">PROPER(IF(ISBLANK(Z425),"Location Unavailable",Z425))</f>
        <v>Vip Section</v>
      </c>
      <c r="AB425" s="0" t="s">
        <v>167</v>
      </c>
      <c r="AC425" s="6" t="str">
        <f aca="false">PROPER(AB425)</f>
        <v>Word Of Mouth</v>
      </c>
      <c r="AD425" s="6" t="n">
        <v>15</v>
      </c>
      <c r="AE425" s="5" t="n">
        <f aca="false">IF(ISBLANK(AD425),AVERAGEIF(L425:L1424,L425,AD425:AD1424),AD425)</f>
        <v>15</v>
      </c>
      <c r="AF425" s="0" t="s">
        <v>76</v>
      </c>
      <c r="AG425" s="0" t="str">
        <f aca="false">PROPER(AF425)</f>
        <v>Orderd</v>
      </c>
      <c r="AH425" s="0" t="s">
        <v>155</v>
      </c>
      <c r="AI425" s="0" t="s">
        <v>98</v>
      </c>
      <c r="AJ425" s="0" t="str">
        <f aca="false">PROPER(AI425)</f>
        <v>Emergency</v>
      </c>
      <c r="AK425" s="0" t="s">
        <v>196</v>
      </c>
      <c r="AL425" s="0" t="str">
        <f aca="false">PROPER(AK425)</f>
        <v>First Time</v>
      </c>
      <c r="AM425" s="0" t="s">
        <v>59</v>
      </c>
      <c r="AN425" s="0" t="str">
        <f aca="false">IF(ISBLANK(AM425),"Unknown",AM425)</f>
        <v>Bolt Driver</v>
      </c>
      <c r="AP425" s="0" t="str">
        <f aca="false">IF(ISBLANK(AO425),"Unknown",AO425)</f>
        <v>Unknown</v>
      </c>
      <c r="AQ425" s="0" t="n">
        <v>40000</v>
      </c>
      <c r="AR425" s="5" t="n">
        <f aca="false">IF(ISBLANK(AQ425),AVERAGEIF(M425:M1424,M425,AQ425:AQ1424),AQ425)</f>
        <v>40000</v>
      </c>
      <c r="AS425" s="0" t="n">
        <v>30000</v>
      </c>
      <c r="AT425" s="5" t="n">
        <f aca="false">IF(ISBLANK(AS425),AVERAGE(AS425:AS1424),AS425)</f>
        <v>30000</v>
      </c>
      <c r="AU425" s="0" t="s">
        <v>82</v>
      </c>
      <c r="AV425" s="0" t="str">
        <f aca="false">PROPER(IF(ISBLANK(AU425),"No",AU425))</f>
        <v>Yes</v>
      </c>
      <c r="AW425" s="0" t="n">
        <v>0</v>
      </c>
      <c r="AX425" s="5" t="n">
        <f aca="false">IF(ISBLANK(AW425),0,AW425)</f>
        <v>0</v>
      </c>
      <c r="AY425" s="0" t="s">
        <v>130</v>
      </c>
      <c r="AZ425" s="0" t="str">
        <f aca="false">UPPER(IF(ISBLANK(AY425),"NONE",AY425))</f>
        <v>LOYALTY10</v>
      </c>
      <c r="BA425" s="7" t="n">
        <v>45848</v>
      </c>
      <c r="BB425" s="7" t="n">
        <f aca="false">IF(ISBLANK(BA425),"No Follow Up Needed",BA425)</f>
        <v>45848</v>
      </c>
      <c r="BC425" s="0" t="s">
        <v>82</v>
      </c>
      <c r="BD425" s="0" t="str">
        <f aca="false">PROPER(IF(ISBLANK(BC425),"Unknown",BC425))</f>
        <v>Yes</v>
      </c>
      <c r="BE425" s="0" t="s">
        <v>171</v>
      </c>
      <c r="BF425" s="0" t="str">
        <f aca="false">IF(ISBLANK(BE425),"No comments",BE425)</f>
        <v>Shock absorber weakening</v>
      </c>
      <c r="BG425" s="0" t="s">
        <v>117</v>
      </c>
      <c r="BH425" s="0" t="str">
        <f aca="false">IF(ISBLANK(BG425),"No comments",BG425)</f>
        <v>Prefers morning</v>
      </c>
      <c r="BJ425" s="0" t="str">
        <f aca="false">IF(ISBLANK(BI425),"Not Mentioned",BI425)</f>
        <v>Not Mentioned</v>
      </c>
      <c r="BK425" s="0" t="s">
        <v>50</v>
      </c>
      <c r="BL425" s="0" t="str">
        <f aca="false">PROPER(IF(ISBLANK(BK425),"Not Mentioned",BK425))</f>
        <v>No</v>
      </c>
      <c r="BM425" s="0" t="s">
        <v>63</v>
      </c>
      <c r="BN425" s="0" t="str">
        <f aca="false">PROPER(IF(ISBLANK(BM425),"Not Mentioned",BM425))</f>
        <v>Yes</v>
      </c>
      <c r="BO425" s="0" t="s">
        <v>2318</v>
      </c>
      <c r="BP425" s="0" t="str">
        <f aca="false">IF(ISBLANK(BO425),"One-Time Plan",BO425)</f>
        <v>Gold</v>
      </c>
      <c r="BQ425" s="0" t="s">
        <v>198</v>
      </c>
      <c r="BR425" s="0" t="str">
        <f aca="false">PROPER(IF(ISBLANK(BQ425),"No",BQ425))</f>
        <v>Followed Up</v>
      </c>
    </row>
    <row r="426" customFormat="false" ht="15" hidden="false" customHeight="false" outlineLevel="0" collapsed="false">
      <c r="A426" s="0" t="s">
        <v>1121</v>
      </c>
      <c r="B426" s="2" t="n">
        <v>45758</v>
      </c>
      <c r="C426" s="2" t="str">
        <f aca="false">TEXT(B426,"dd/mm/yyyy")</f>
        <v>11/04/2025</v>
      </c>
      <c r="D426" s="0" t="s">
        <v>42</v>
      </c>
      <c r="E426" s="0" t="n">
        <v>8092911191</v>
      </c>
      <c r="F426" s="0" t="s">
        <v>43</v>
      </c>
      <c r="G426" s="0" t="s">
        <v>2315</v>
      </c>
      <c r="H426" s="0" t="s">
        <v>1122</v>
      </c>
      <c r="I426" s="0" t="s">
        <v>45</v>
      </c>
      <c r="J426" s="0" t="s">
        <v>2325</v>
      </c>
      <c r="K426" s="3" t="str">
        <f aca="false" t="array" ref="K426:K426">IFERROR(IF(J426&lt;&gt;"",J426,INDEX(J426:J1425,MATCH(1,(F426:F1425=F426)*(I426:I1425=I426)*(L426:L1425=L426)*(J426:J1425&lt;&gt;""),0))),"Not Found")</f>
        <v>Engine Knocking</v>
      </c>
      <c r="L426" s="3" t="s">
        <v>89</v>
      </c>
      <c r="M426" s="0" t="str">
        <f aca="false">PROPER(L426)</f>
        <v>Shock Absorbers</v>
      </c>
      <c r="N426" s="3" t="s">
        <v>90</v>
      </c>
      <c r="O426" s="0" t="str">
        <f aca="false" t="array" ref="O426:O426">IF(N426&lt;&gt;"",N426,_xlfn.xlookup(1,(L426:L1425=L426)*(N426:N1425&lt;&gt;""),N426:N1425,"Not Found"))</f>
        <v>Musa</v>
      </c>
      <c r="P426" s="4" t="n">
        <v>25551</v>
      </c>
      <c r="Q426" s="0" t="s">
        <v>110</v>
      </c>
      <c r="R426" s="0" t="str">
        <f aca="false">PROPER(Q426)</f>
        <v>Cash</v>
      </c>
      <c r="S426" s="0" t="s">
        <v>63</v>
      </c>
      <c r="T426" s="0" t="n">
        <v>5</v>
      </c>
      <c r="U426" s="5" t="n">
        <f aca="false">IF(ISBLANK(T426),AVERAGE(T426:T1425),T426)</f>
        <v>5</v>
      </c>
      <c r="V426" s="0" t="n">
        <v>4.6</v>
      </c>
      <c r="X426" s="0" t="str">
        <f aca="false">IF(ISBLANK(W426),"No remarks",W426)</f>
        <v>No remarks</v>
      </c>
      <c r="Y426" s="0" t="s">
        <v>52</v>
      </c>
      <c r="AA426" s="0" t="str">
        <f aca="false">PROPER(IF(ISBLANK(Z426),"Location Unavailable",Z426))</f>
        <v>Location Unavailable</v>
      </c>
      <c r="AB426" s="0" t="s">
        <v>167</v>
      </c>
      <c r="AC426" s="6" t="str">
        <f aca="false">PROPER(AB426)</f>
        <v>Word Of Mouth</v>
      </c>
      <c r="AD426" s="6" t="n">
        <v>15</v>
      </c>
      <c r="AE426" s="5" t="n">
        <f aca="false">IF(ISBLANK(AD426),AVERAGEIF(L426:L1425,L426,AD426:AD1425),AD426)</f>
        <v>15</v>
      </c>
      <c r="AF426" s="0" t="s">
        <v>55</v>
      </c>
      <c r="AG426" s="0" t="str">
        <f aca="false">PROPER(AF426)</f>
        <v>Available</v>
      </c>
      <c r="AH426" s="0" t="s">
        <v>155</v>
      </c>
      <c r="AI426" s="0" t="s">
        <v>98</v>
      </c>
      <c r="AJ426" s="0" t="str">
        <f aca="false">PROPER(AI426)</f>
        <v>Emergency</v>
      </c>
      <c r="AK426" s="0" t="s">
        <v>58</v>
      </c>
      <c r="AL426" s="0" t="str">
        <f aca="false">PROPER(AK426)</f>
        <v>Fleet Owner</v>
      </c>
      <c r="AM426" s="0" t="s">
        <v>2324</v>
      </c>
      <c r="AN426" s="0" t="str">
        <f aca="false">IF(ISBLANK(AM426),"Unknown",AM426)</f>
        <v>Logistics Convoy</v>
      </c>
      <c r="AO426" s="0" t="s">
        <v>79</v>
      </c>
      <c r="AP426" s="0" t="str">
        <f aca="false">IF(ISBLANK(AO426),"Unknown",AO426)</f>
        <v>Specialist</v>
      </c>
      <c r="AQ426" s="0" t="n">
        <v>30000</v>
      </c>
      <c r="AR426" s="5" t="n">
        <f aca="false">IF(ISBLANK(AQ426),AVERAGEIF(M426:M1425,M426,AQ426:AQ1425),AQ426)</f>
        <v>30000</v>
      </c>
      <c r="AT426" s="5" t="n">
        <f aca="false">IF(ISBLANK(AS426),AVERAGE(AS426:AS1425),AS426)</f>
        <v>31469.9792960663</v>
      </c>
      <c r="AU426" s="0" t="s">
        <v>50</v>
      </c>
      <c r="AV426" s="0" t="str">
        <f aca="false">PROPER(IF(ISBLANK(AU426),"No",AU426))</f>
        <v>No</v>
      </c>
      <c r="AW426" s="0" t="n">
        <v>5000</v>
      </c>
      <c r="AX426" s="5" t="n">
        <f aca="false">IF(ISBLANK(AW426),0,AW426)</f>
        <v>5000</v>
      </c>
      <c r="AY426" s="0" t="s">
        <v>60</v>
      </c>
      <c r="AZ426" s="0" t="str">
        <f aca="false">UPPER(IF(ISBLANK(AY426),"NONE",AY426))</f>
        <v>NONE</v>
      </c>
      <c r="BB426" s="7" t="str">
        <f aca="false">IF(ISBLANK(BA426),"No Follow Up Needed",BA426)</f>
        <v>No Follow Up Needed</v>
      </c>
      <c r="BC426" s="0" t="s">
        <v>63</v>
      </c>
      <c r="BD426" s="0" t="str">
        <f aca="false">PROPER(IF(ISBLANK(BC426),"Unknown",BC426))</f>
        <v>Yes</v>
      </c>
      <c r="BE426" s="0" t="s">
        <v>116</v>
      </c>
      <c r="BF426" s="0" t="str">
        <f aca="false">IF(ISBLANK(BE426),"No comments",BE426)</f>
        <v>Needs tire alignment</v>
      </c>
      <c r="BH426" s="0" t="str">
        <f aca="false">IF(ISBLANK(BG426),"No comments",BG426)</f>
        <v>No comments</v>
      </c>
      <c r="BI426" s="0" t="s">
        <v>63</v>
      </c>
      <c r="BJ426" s="0" t="str">
        <f aca="false">IF(ISBLANK(BI426),"Not Mentioned",BI426)</f>
        <v>Yes</v>
      </c>
      <c r="BK426" s="0" t="s">
        <v>50</v>
      </c>
      <c r="BL426" s="0" t="str">
        <f aca="false">PROPER(IF(ISBLANK(BK426),"Not Mentioned",BK426))</f>
        <v>No</v>
      </c>
      <c r="BN426" s="0" t="str">
        <f aca="false">PROPER(IF(ISBLANK(BM426),"Not Mentioned",BM426))</f>
        <v>Not Mentioned</v>
      </c>
      <c r="BO426" s="0" t="s">
        <v>2318</v>
      </c>
      <c r="BP426" s="0" t="str">
        <f aca="false">IF(ISBLANK(BO426),"One-Time Plan",BO426)</f>
        <v>Gold</v>
      </c>
      <c r="BQ426" s="0" t="s">
        <v>198</v>
      </c>
      <c r="BR426" s="0" t="str">
        <f aca="false">PROPER(IF(ISBLANK(BQ426),"No",BQ426))</f>
        <v>Followed Up</v>
      </c>
    </row>
    <row r="427" customFormat="false" ht="15" hidden="false" customHeight="false" outlineLevel="0" collapsed="false">
      <c r="A427" s="0" t="s">
        <v>1123</v>
      </c>
      <c r="B427" s="2" t="n">
        <v>45795</v>
      </c>
      <c r="C427" s="2" t="str">
        <f aca="false">TEXT(B427,"dd/mm/yyyy")</f>
        <v>18/05/2025</v>
      </c>
      <c r="D427" s="0" t="s">
        <v>121</v>
      </c>
      <c r="E427" s="0" t="n">
        <v>8067992341</v>
      </c>
      <c r="F427" s="0" t="s">
        <v>43</v>
      </c>
      <c r="G427" s="0" t="s">
        <v>2315</v>
      </c>
      <c r="H427" s="0" t="s">
        <v>680</v>
      </c>
      <c r="I427" s="0" t="s">
        <v>69</v>
      </c>
      <c r="K427" s="3" t="str">
        <f aca="false" t="array" ref="K427:K427">IFERROR(IF(J427&lt;&gt;"",J427,INDEX(J427:J1426,MATCH(1,(F427:F1426=F427)*(I427:I1426=I427)*(L427:L1426=L427)*(J427:J1426&lt;&gt;""),0))),"Not Found")</f>
        <v>Oil Change</v>
      </c>
      <c r="L427" s="3" t="s">
        <v>154</v>
      </c>
      <c r="M427" s="0" t="str">
        <f aca="false">PROPER(L427)</f>
        <v>Air Filter</v>
      </c>
      <c r="N427" s="3" t="s">
        <v>71</v>
      </c>
      <c r="O427" s="0" t="str">
        <f aca="false" t="array" ref="O427:O427">IF(N427&lt;&gt;"",N427,_xlfn.xlookup(1,(L427:L1426=L427)*(N427:N1426&lt;&gt;""),N427:N1426,"Not Found"))</f>
        <v>Isaac Bobo</v>
      </c>
      <c r="P427" s="4" t="n">
        <v>28596</v>
      </c>
      <c r="Q427" s="0" t="s">
        <v>49</v>
      </c>
      <c r="R427" s="0" t="str">
        <f aca="false">PROPER(Q427)</f>
        <v>Transfer</v>
      </c>
      <c r="S427" s="0" t="s">
        <v>63</v>
      </c>
      <c r="T427" s="0" t="n">
        <v>1</v>
      </c>
      <c r="U427" s="5" t="n">
        <f aca="false">IF(ISBLANK(T427),AVERAGE(T427:T1426),T427)</f>
        <v>1</v>
      </c>
      <c r="V427" s="0" t="n">
        <v>1.2</v>
      </c>
      <c r="W427" s="0" t="s">
        <v>125</v>
      </c>
      <c r="X427" s="0" t="str">
        <f aca="false">IF(ISBLANK(W427),"No remarks",W427)</f>
        <v>Customer waited</v>
      </c>
      <c r="Y427" s="0" t="s">
        <v>52</v>
      </c>
      <c r="Z427" s="0" t="s">
        <v>74</v>
      </c>
      <c r="AA427" s="0" t="str">
        <f aca="false">PROPER(IF(ISBLANK(Z427),"Location Unavailable",Z427))</f>
        <v>Under Tree</v>
      </c>
      <c r="AB427" s="0" t="s">
        <v>75</v>
      </c>
      <c r="AC427" s="6" t="str">
        <f aca="false">PROPER(AB427)</f>
        <v>Mechanik Referal</v>
      </c>
      <c r="AE427" s="5" t="n">
        <f aca="false">IF(ISBLANK(AD427),AVERAGEIF(L427:L1426,L427,AD427:AD1426),AD427)</f>
        <v>36.9101123595506</v>
      </c>
      <c r="AF427" s="0" t="s">
        <v>76</v>
      </c>
      <c r="AG427" s="0" t="str">
        <f aca="false">PROPER(AF427)</f>
        <v>Orderd</v>
      </c>
      <c r="AH427" s="0" t="s">
        <v>155</v>
      </c>
      <c r="AI427" s="0" t="s">
        <v>98</v>
      </c>
      <c r="AJ427" s="0" t="str">
        <f aca="false">PROPER(AI427)</f>
        <v>Emergency</v>
      </c>
      <c r="AK427" s="0" t="s">
        <v>196</v>
      </c>
      <c r="AL427" s="0" t="str">
        <f aca="false">PROPER(AK427)</f>
        <v>First Time</v>
      </c>
      <c r="AN427" s="0" t="str">
        <f aca="false">IF(ISBLANK(AM427),"Unknown",AM427)</f>
        <v>Unknown</v>
      </c>
      <c r="AO427" s="0" t="s">
        <v>79</v>
      </c>
      <c r="AP427" s="0" t="str">
        <f aca="false">IF(ISBLANK(AO427),"Unknown",AO427)</f>
        <v>Specialist</v>
      </c>
      <c r="AQ427" s="0" t="n">
        <v>40000</v>
      </c>
      <c r="AR427" s="5" t="n">
        <f aca="false">IF(ISBLANK(AQ427),AVERAGEIF(M427:M1426,M427,AQ427:AQ1426),AQ427)</f>
        <v>40000</v>
      </c>
      <c r="AS427" s="0" t="n">
        <v>30000</v>
      </c>
      <c r="AT427" s="5" t="n">
        <f aca="false">IF(ISBLANK(AS427),AVERAGE(AS427:AS1426),AS427)</f>
        <v>30000</v>
      </c>
      <c r="AU427" s="0" t="s">
        <v>61</v>
      </c>
      <c r="AV427" s="0" t="str">
        <f aca="false">PROPER(IF(ISBLANK(AU427),"No",AU427))</f>
        <v>No</v>
      </c>
      <c r="AW427" s="0" t="n">
        <v>10000</v>
      </c>
      <c r="AX427" s="5" t="n">
        <f aca="false">IF(ISBLANK(AW427),0,AW427)</f>
        <v>10000</v>
      </c>
      <c r="AY427" s="0" t="s">
        <v>80</v>
      </c>
      <c r="AZ427" s="0" t="str">
        <f aca="false">UPPER(IF(ISBLANK(AY427),"NONE",AY427))</f>
        <v>PROMO10</v>
      </c>
      <c r="BA427" s="7" t="n">
        <v>45906</v>
      </c>
      <c r="BB427" s="7" t="n">
        <f aca="false">IF(ISBLANK(BA427),"No Follow Up Needed",BA427)</f>
        <v>45906</v>
      </c>
      <c r="BC427" s="0" t="s">
        <v>61</v>
      </c>
      <c r="BD427" s="0" t="str">
        <f aca="false">PROPER(IF(ISBLANK(BC427),"Unknown",BC427))</f>
        <v>No</v>
      </c>
      <c r="BF427" s="0" t="str">
        <f aca="false">IF(ISBLANK(BE427),"No comments",BE427)</f>
        <v>No comments</v>
      </c>
      <c r="BG427" s="0" t="s">
        <v>172</v>
      </c>
      <c r="BH427" s="0" t="str">
        <f aca="false">IF(ISBLANK(BG427),"No comments",BG427)</f>
        <v>Always late</v>
      </c>
      <c r="BI427" s="0" t="s">
        <v>50</v>
      </c>
      <c r="BJ427" s="0" t="str">
        <f aca="false">IF(ISBLANK(BI427),"Not Mentioned",BI427)</f>
        <v>No</v>
      </c>
      <c r="BK427" s="0" t="s">
        <v>61</v>
      </c>
      <c r="BL427" s="0" t="str">
        <f aca="false">PROPER(IF(ISBLANK(BK427),"Not Mentioned",BK427))</f>
        <v>No</v>
      </c>
      <c r="BM427" s="0" t="s">
        <v>63</v>
      </c>
      <c r="BN427" s="0" t="str">
        <f aca="false">PROPER(IF(ISBLANK(BM427),"Not Mentioned",BM427))</f>
        <v>Yes</v>
      </c>
      <c r="BP427" s="0" t="str">
        <f aca="false">IF(ISBLANK(BO427),"One-Time Plan",BO427)</f>
        <v>One-Time Plan</v>
      </c>
      <c r="BQ427" s="0" t="s">
        <v>198</v>
      </c>
      <c r="BR427" s="0" t="str">
        <f aca="false">PROPER(IF(ISBLANK(BQ427),"No",BQ427))</f>
        <v>Followed Up</v>
      </c>
    </row>
    <row r="428" customFormat="false" ht="15" hidden="false" customHeight="false" outlineLevel="0" collapsed="false">
      <c r="A428" s="0" t="s">
        <v>1124</v>
      </c>
      <c r="B428" s="2" t="n">
        <v>45822</v>
      </c>
      <c r="C428" s="2" t="str">
        <f aca="false">TEXT(B428,"dd/mm/yyyy")</f>
        <v>14/06/2025</v>
      </c>
      <c r="D428" s="0" t="s">
        <v>105</v>
      </c>
      <c r="E428" s="0" t="n">
        <v>8071448654</v>
      </c>
      <c r="F428" s="0" t="s">
        <v>67</v>
      </c>
      <c r="G428" s="0" t="s">
        <v>2316</v>
      </c>
      <c r="H428" s="0" t="s">
        <v>1125</v>
      </c>
      <c r="I428" s="0" t="s">
        <v>45</v>
      </c>
      <c r="K428" s="3" t="str">
        <f aca="false" t="array" ref="K428:K428">IFERROR(IF(J428&lt;&gt;"",J428,INDEX(J428:J1427,MATCH(1,(F428:F1427=F428)*(I428:I1427=I428)*(L428:L1427=L428)*(J428:J1427&lt;&gt;""),0))),"Not Found")</f>
        <v>Oil Change</v>
      </c>
      <c r="L428" s="3" t="s">
        <v>108</v>
      </c>
      <c r="M428" s="0" t="str">
        <f aca="false">PROPER(L428)</f>
        <v>Timing Belt</v>
      </c>
      <c r="N428" s="3" t="s">
        <v>109</v>
      </c>
      <c r="O428" s="0" t="str">
        <f aca="false" t="array" ref="O428:O428">IF(N428&lt;&gt;"",N428,_xlfn.xlookup(1,(L428:L1427=L428)*(N428:N1427&lt;&gt;""),N428:N1427,"Not Found"))</f>
        <v>Tijani</v>
      </c>
      <c r="P428" s="4" t="n">
        <v>46105</v>
      </c>
      <c r="Q428" s="0" t="s">
        <v>49</v>
      </c>
      <c r="R428" s="0" t="str">
        <f aca="false">PROPER(Q428)</f>
        <v>Transfer</v>
      </c>
      <c r="S428" s="0" t="s">
        <v>63</v>
      </c>
      <c r="T428" s="0" t="n">
        <v>2</v>
      </c>
      <c r="U428" s="5" t="n">
        <f aca="false">IF(ISBLANK(T428),AVERAGE(T428:T1427),T428)</f>
        <v>2</v>
      </c>
      <c r="V428" s="0" t="n">
        <v>1.3</v>
      </c>
      <c r="W428" s="0" t="s">
        <v>125</v>
      </c>
      <c r="X428" s="0" t="str">
        <f aca="false">IF(ISBLANK(W428),"No remarks",W428)</f>
        <v>Customer waited</v>
      </c>
      <c r="Y428" s="0" t="s">
        <v>52</v>
      </c>
      <c r="AA428" s="0" t="str">
        <f aca="false">PROPER(IF(ISBLANK(Z428),"Location Unavailable",Z428))</f>
        <v>Location Unavailable</v>
      </c>
      <c r="AB428" s="0" t="s">
        <v>75</v>
      </c>
      <c r="AC428" s="6" t="str">
        <f aca="false">PROPER(AB428)</f>
        <v>Mechanik Referal</v>
      </c>
      <c r="AD428" s="6" t="n">
        <v>15</v>
      </c>
      <c r="AE428" s="5" t="n">
        <f aca="false">IF(ISBLANK(AD428),AVERAGEIF(L428:L1427,L428,AD428:AD1427),AD428)</f>
        <v>15</v>
      </c>
      <c r="AF428" s="0" t="s">
        <v>96</v>
      </c>
      <c r="AG428" s="0" t="str">
        <f aca="false">PROPER(AF428)</f>
        <v>Ordered</v>
      </c>
      <c r="AH428" s="0" t="s">
        <v>148</v>
      </c>
      <c r="AI428" s="0" t="s">
        <v>98</v>
      </c>
      <c r="AJ428" s="0" t="str">
        <f aca="false">PROPER(AI428)</f>
        <v>Emergency</v>
      </c>
      <c r="AK428" s="0" t="s">
        <v>99</v>
      </c>
      <c r="AL428" s="0" t="str">
        <f aca="false">PROPER(AK428)</f>
        <v>Uber Driver</v>
      </c>
      <c r="AM428" s="0" t="s">
        <v>177</v>
      </c>
      <c r="AN428" s="0" t="str">
        <f aca="false">IF(ISBLANK(AM428),"Unknown",AM428)</f>
        <v>Private</v>
      </c>
      <c r="AO428" s="0" t="s">
        <v>161</v>
      </c>
      <c r="AP428" s="0" t="str">
        <f aca="false">IF(ISBLANK(AO428),"Unknown",AO428)</f>
        <v>Apprentice</v>
      </c>
      <c r="AR428" s="5" t="n">
        <f aca="false">IF(ISBLANK(AQ428),AVERAGEIF(M428:M1427,M428,AQ428:AQ1427),AQ428)</f>
        <v>27674.4186046512</v>
      </c>
      <c r="AS428" s="0" t="n">
        <v>30000</v>
      </c>
      <c r="AT428" s="5" t="n">
        <f aca="false">IF(ISBLANK(AS428),AVERAGE(AS428:AS1427),AS428)</f>
        <v>30000</v>
      </c>
      <c r="AU428" s="0" t="s">
        <v>61</v>
      </c>
      <c r="AV428" s="0" t="str">
        <f aca="false">PROPER(IF(ISBLANK(AU428),"No",AU428))</f>
        <v>No</v>
      </c>
      <c r="AW428" s="0" t="n">
        <v>5000</v>
      </c>
      <c r="AX428" s="5" t="n">
        <f aca="false">IF(ISBLANK(AW428),0,AW428)</f>
        <v>5000</v>
      </c>
      <c r="AY428" s="0" t="s">
        <v>60</v>
      </c>
      <c r="AZ428" s="0" t="str">
        <f aca="false">UPPER(IF(ISBLANK(AY428),"NONE",AY428))</f>
        <v>NONE</v>
      </c>
      <c r="BA428" s="7" t="n">
        <v>45912</v>
      </c>
      <c r="BB428" s="7" t="n">
        <f aca="false">IF(ISBLANK(BA428),"No Follow Up Needed",BA428)</f>
        <v>45912</v>
      </c>
      <c r="BC428" s="0" t="s">
        <v>61</v>
      </c>
      <c r="BD428" s="0" t="str">
        <f aca="false">PROPER(IF(ISBLANK(BC428),"Unknown",BC428))</f>
        <v>No</v>
      </c>
      <c r="BE428" s="0" t="s">
        <v>171</v>
      </c>
      <c r="BF428" s="0" t="str">
        <f aca="false">IF(ISBLANK(BE428),"No comments",BE428)</f>
        <v>Shock absorber weakening</v>
      </c>
      <c r="BH428" s="0" t="str">
        <f aca="false">IF(ISBLANK(BG428),"No comments",BG428)</f>
        <v>No comments</v>
      </c>
      <c r="BI428" s="0" t="s">
        <v>50</v>
      </c>
      <c r="BJ428" s="0" t="str">
        <f aca="false">IF(ISBLANK(BI428),"Not Mentioned",BI428)</f>
        <v>No</v>
      </c>
      <c r="BK428" s="0" t="s">
        <v>82</v>
      </c>
      <c r="BL428" s="0" t="str">
        <f aca="false">PROPER(IF(ISBLANK(BK428),"Not Mentioned",BK428))</f>
        <v>Yes</v>
      </c>
      <c r="BN428" s="0" t="str">
        <f aca="false">PROPER(IF(ISBLANK(BM428),"Not Mentioned",BM428))</f>
        <v>Not Mentioned</v>
      </c>
      <c r="BO428" s="0" t="s">
        <v>2321</v>
      </c>
      <c r="BP428" s="0" t="str">
        <f aca="false">IF(ISBLANK(BO428),"One-Time Plan",BO428)</f>
        <v>One-Time Plan</v>
      </c>
      <c r="BQ428" s="0" t="s">
        <v>50</v>
      </c>
      <c r="BR428" s="0" t="str">
        <f aca="false">PROPER(IF(ISBLANK(BQ428),"No",BQ428))</f>
        <v>No</v>
      </c>
    </row>
    <row r="429" customFormat="false" ht="15" hidden="false" customHeight="false" outlineLevel="0" collapsed="false">
      <c r="A429" s="0" t="s">
        <v>1126</v>
      </c>
      <c r="B429" s="2" t="n">
        <v>45773</v>
      </c>
      <c r="C429" s="2" t="str">
        <f aca="false">TEXT(B429,"dd/mm/yyyy")</f>
        <v>26/04/2025</v>
      </c>
      <c r="D429" s="0" t="s">
        <v>42</v>
      </c>
      <c r="E429" s="0" t="n">
        <v>8061628861</v>
      </c>
      <c r="F429" s="0" t="s">
        <v>122</v>
      </c>
      <c r="G429" s="0" t="s">
        <v>2316</v>
      </c>
      <c r="H429" s="0" t="s">
        <v>1127</v>
      </c>
      <c r="I429" s="0" t="s">
        <v>45</v>
      </c>
      <c r="J429" s="0" t="s">
        <v>2325</v>
      </c>
      <c r="K429" s="3" t="str">
        <f aca="false" t="array" ref="K429:K429">IFERROR(IF(J429&lt;&gt;"",J429,INDEX(J429:J1428,MATCH(1,(F429:F1428=F429)*(I429:I1428=I429)*(L429:L1428=L429)*(J429:J1428&lt;&gt;""),0))),"Not Found")</f>
        <v>Engine Knocking</v>
      </c>
      <c r="L429" s="3" t="s">
        <v>189</v>
      </c>
      <c r="M429" s="0" t="str">
        <f aca="false">PROPER(L429)</f>
        <v>Battery</v>
      </c>
      <c r="O429" s="0" t="e">
        <f aca="false" t="array" ref="O429:O429">IF(N429&lt;&gt;"",N429,_xlfn.xlookup(1,(L429:L1428=L429)*(N429:N1428&lt;&gt;""),N429:N1428,"Not Found"))</f>
        <v>#NAME?</v>
      </c>
      <c r="P429" s="4" t="n">
        <v>35002</v>
      </c>
      <c r="Q429" s="0" t="s">
        <v>49</v>
      </c>
      <c r="R429" s="0" t="str">
        <f aca="false">PROPER(Q429)</f>
        <v>Transfer</v>
      </c>
      <c r="S429" s="0" t="s">
        <v>50</v>
      </c>
      <c r="U429" s="5" t="n">
        <f aca="false">IF(ISBLANK(T429),AVERAGE(T429:T1428),T429)</f>
        <v>3.07610993657505</v>
      </c>
      <c r="V429" s="0" t="n">
        <v>3.7</v>
      </c>
      <c r="W429" s="0" t="s">
        <v>111</v>
      </c>
      <c r="X429" s="0" t="str">
        <f aca="false">IF(ISBLANK(W429),"No remarks",W429)</f>
        <v>Changed all filters</v>
      </c>
      <c r="Y429" s="0" t="s">
        <v>73</v>
      </c>
      <c r="AA429" s="0" t="str">
        <f aca="false">PROPER(IF(ISBLANK(Z429),"Location Unavailable",Z429))</f>
        <v>Location Unavailable</v>
      </c>
      <c r="AB429" s="0" t="s">
        <v>126</v>
      </c>
      <c r="AC429" s="6" t="str">
        <f aca="false">PROPER(AB429)</f>
        <v>Whatsapp</v>
      </c>
      <c r="AD429" s="6" t="n">
        <v>30</v>
      </c>
      <c r="AE429" s="5" t="n">
        <f aca="false">IF(ISBLANK(AD429),AVERAGEIF(L429:L1428,L429,AD429:AD1428),AD429)</f>
        <v>30</v>
      </c>
      <c r="AF429" s="0" t="s">
        <v>76</v>
      </c>
      <c r="AG429" s="0" t="str">
        <f aca="false">PROPER(AF429)</f>
        <v>Orderd</v>
      </c>
      <c r="AH429" s="0" t="s">
        <v>148</v>
      </c>
      <c r="AI429" s="0" t="s">
        <v>128</v>
      </c>
      <c r="AJ429" s="0" t="str">
        <f aca="false">PROPER(AI429)</f>
        <v>Normal</v>
      </c>
      <c r="AK429" s="0" t="s">
        <v>114</v>
      </c>
      <c r="AL429" s="0" t="str">
        <f aca="false">PROPER(AK429)</f>
        <v>Returning</v>
      </c>
      <c r="AM429" s="0" t="s">
        <v>2324</v>
      </c>
      <c r="AN429" s="0" t="str">
        <f aca="false">IF(ISBLANK(AM429),"Unknown",AM429)</f>
        <v>Logistics Convoy</v>
      </c>
      <c r="AO429" s="0" t="s">
        <v>143</v>
      </c>
      <c r="AP429" s="0" t="str">
        <f aca="false">IF(ISBLANK(AO429),"Unknown",AO429)</f>
        <v>Senior</v>
      </c>
      <c r="AQ429" s="0" t="n">
        <v>15000</v>
      </c>
      <c r="AR429" s="5" t="n">
        <f aca="false">IF(ISBLANK(AQ429),AVERAGEIF(M429:M1428,M429,AQ429:AQ1428),AQ429)</f>
        <v>15000</v>
      </c>
      <c r="AS429" s="0" t="n">
        <v>40000</v>
      </c>
      <c r="AT429" s="5" t="n">
        <f aca="false">IF(ISBLANK(AS429),AVERAGE(AS429:AS1428),AS429)</f>
        <v>40000</v>
      </c>
      <c r="AU429" s="0" t="s">
        <v>82</v>
      </c>
      <c r="AV429" s="0" t="str">
        <f aca="false">PROPER(IF(ISBLANK(AU429),"No",AU429))</f>
        <v>Yes</v>
      </c>
      <c r="AW429" s="0" t="n">
        <v>5000</v>
      </c>
      <c r="AX429" s="5" t="n">
        <f aca="false">IF(ISBLANK(AW429),0,AW429)</f>
        <v>5000</v>
      </c>
      <c r="AY429" s="0" t="s">
        <v>60</v>
      </c>
      <c r="AZ429" s="0" t="str">
        <f aca="false">UPPER(IF(ISBLANK(AY429),"NONE",AY429))</f>
        <v>NONE</v>
      </c>
      <c r="BA429" s="7" t="n">
        <v>45971</v>
      </c>
      <c r="BB429" s="7" t="n">
        <f aca="false">IF(ISBLANK(BA429),"No Follow Up Needed",BA429)</f>
        <v>45971</v>
      </c>
      <c r="BD429" s="0" t="str">
        <f aca="false">PROPER(IF(ISBLANK(BC429),"Unknown",BC429))</f>
        <v>Unknown</v>
      </c>
      <c r="BE429" s="0" t="s">
        <v>116</v>
      </c>
      <c r="BF429" s="0" t="str">
        <f aca="false">IF(ISBLANK(BE429),"No comments",BE429)</f>
        <v>Needs tire alignment</v>
      </c>
      <c r="BH429" s="0" t="str">
        <f aca="false">IF(ISBLANK(BG429),"No comments",BG429)</f>
        <v>No comments</v>
      </c>
      <c r="BI429" s="0" t="s">
        <v>63</v>
      </c>
      <c r="BJ429" s="0" t="str">
        <f aca="false">IF(ISBLANK(BI429),"Not Mentioned",BI429)</f>
        <v>Yes</v>
      </c>
      <c r="BK429" s="0" t="s">
        <v>50</v>
      </c>
      <c r="BL429" s="0" t="str">
        <f aca="false">PROPER(IF(ISBLANK(BK429),"Not Mentioned",BK429))</f>
        <v>No</v>
      </c>
      <c r="BM429" s="0" t="s">
        <v>63</v>
      </c>
      <c r="BN429" s="0" t="str">
        <f aca="false">PROPER(IF(ISBLANK(BM429),"Not Mentioned",BM429))</f>
        <v>Yes</v>
      </c>
      <c r="BO429" s="0" t="s">
        <v>2321</v>
      </c>
      <c r="BP429" s="0" t="str">
        <f aca="false">IF(ISBLANK(BO429),"One-Time Plan",BO429)</f>
        <v>One-Time Plan</v>
      </c>
      <c r="BQ429" s="0" t="s">
        <v>190</v>
      </c>
      <c r="BR429" s="0" t="str">
        <f aca="false">PROPER(IF(ISBLANK(BQ429),"No",BQ429))</f>
        <v>Yes</v>
      </c>
    </row>
    <row r="430" customFormat="false" ht="15" hidden="false" customHeight="false" outlineLevel="0" collapsed="false">
      <c r="A430" s="0" t="s">
        <v>1128</v>
      </c>
      <c r="B430" s="2" t="n">
        <v>45759</v>
      </c>
      <c r="C430" s="2" t="str">
        <f aca="false">TEXT(B430,"dd/mm/yyyy")</f>
        <v>12/04/2025</v>
      </c>
      <c r="D430" s="0" t="s">
        <v>163</v>
      </c>
      <c r="E430" s="0" t="n">
        <v>8098460225</v>
      </c>
      <c r="F430" s="0" t="s">
        <v>85</v>
      </c>
      <c r="G430" s="0" t="s">
        <v>2319</v>
      </c>
      <c r="H430" s="0" t="s">
        <v>1129</v>
      </c>
      <c r="I430" s="0" t="s">
        <v>69</v>
      </c>
      <c r="J430" s="0" t="s">
        <v>2317</v>
      </c>
      <c r="K430" s="3" t="str">
        <f aca="false" t="array" ref="K430:K430">IFERROR(IF(J430&lt;&gt;"",J430,INDEX(J430:J1429,MATCH(1,(F430:F1429=F430)*(I430:I1429=I430)*(L430:L1429=L430)*(J430:J1429&lt;&gt;""),0))),"Not Found")</f>
        <v>Suspension Noise</v>
      </c>
      <c r="L430" s="3" t="s">
        <v>89</v>
      </c>
      <c r="M430" s="0" t="str">
        <f aca="false">PROPER(L430)</f>
        <v>Shock Absorbers</v>
      </c>
      <c r="O430" s="0" t="e">
        <f aca="false" t="array" ref="O430:O430">IF(N430&lt;&gt;"",N430,_xlfn.xlookup(1,(L430:L1429=L430)*(N430:N1429&lt;&gt;""),N430:N1429,"Not Found"))</f>
        <v>#NAME?</v>
      </c>
      <c r="P430" s="4" t="n">
        <v>65556</v>
      </c>
      <c r="Q430" s="0" t="s">
        <v>166</v>
      </c>
      <c r="R430" s="0" t="str">
        <f aca="false">PROPER(Q430)</f>
        <v>Transfer</v>
      </c>
      <c r="S430" s="0" t="s">
        <v>63</v>
      </c>
      <c r="T430" s="0" t="n">
        <v>3</v>
      </c>
      <c r="U430" s="5" t="n">
        <f aca="false">IF(ISBLANK(T430),AVERAGE(T430:T1429),T430)</f>
        <v>3</v>
      </c>
      <c r="V430" s="0" t="n">
        <v>5.1</v>
      </c>
      <c r="W430" s="0" t="s">
        <v>51</v>
      </c>
      <c r="X430" s="0" t="str">
        <f aca="false">IF(ISBLANK(W430),"No remarks",W430)</f>
        <v>Recommended further checks</v>
      </c>
      <c r="Y430" s="0" t="s">
        <v>73</v>
      </c>
      <c r="Z430" s="0" t="s">
        <v>159</v>
      </c>
      <c r="AA430" s="0" t="str">
        <f aca="false">PROPER(IF(ISBLANK(Z430),"Location Unavailable",Z430))</f>
        <v>Main Bay</v>
      </c>
      <c r="AB430" s="0" t="s">
        <v>126</v>
      </c>
      <c r="AC430" s="6" t="str">
        <f aca="false">PROPER(AB430)</f>
        <v>Whatsapp</v>
      </c>
      <c r="AD430" s="6" t="n">
        <v>45</v>
      </c>
      <c r="AE430" s="5" t="n">
        <f aca="false">IF(ISBLANK(AD430),AVERAGEIF(L430:L1429,L430,AD430:AD1429),AD430)</f>
        <v>45</v>
      </c>
      <c r="AF430" s="0" t="s">
        <v>96</v>
      </c>
      <c r="AG430" s="0" t="str">
        <f aca="false">PROPER(AF430)</f>
        <v>Ordered</v>
      </c>
      <c r="AH430" s="0" t="s">
        <v>155</v>
      </c>
      <c r="AI430" s="0" t="s">
        <v>98</v>
      </c>
      <c r="AJ430" s="0" t="str">
        <f aca="false">PROPER(AI430)</f>
        <v>Emergency</v>
      </c>
      <c r="AK430" s="0" t="s">
        <v>114</v>
      </c>
      <c r="AL430" s="0" t="str">
        <f aca="false">PROPER(AK430)</f>
        <v>Returning</v>
      </c>
      <c r="AM430" s="0" t="s">
        <v>2324</v>
      </c>
      <c r="AN430" s="0" t="str">
        <f aca="false">IF(ISBLANK(AM430),"Unknown",AM430)</f>
        <v>Logistics Convoy</v>
      </c>
      <c r="AP430" s="0" t="str">
        <f aca="false">IF(ISBLANK(AO430),"Unknown",AO430)</f>
        <v>Unknown</v>
      </c>
      <c r="AQ430" s="0" t="n">
        <v>25000</v>
      </c>
      <c r="AR430" s="5" t="n">
        <f aca="false">IF(ISBLANK(AQ430),AVERAGEIF(M430:M1429,M430,AQ430:AQ1429),AQ430)</f>
        <v>25000</v>
      </c>
      <c r="AS430" s="0" t="n">
        <v>30000</v>
      </c>
      <c r="AT430" s="5" t="n">
        <f aca="false">IF(ISBLANK(AS430),AVERAGE(AS430:AS1429),AS430)</f>
        <v>30000</v>
      </c>
      <c r="AV430" s="0" t="str">
        <f aca="false">PROPER(IF(ISBLANK(AU430),"No",AU430))</f>
        <v>No</v>
      </c>
      <c r="AX430" s="5" t="n">
        <f aca="false">IF(ISBLANK(AW430),0,AW430)</f>
        <v>0</v>
      </c>
      <c r="AY430" s="0" t="s">
        <v>130</v>
      </c>
      <c r="AZ430" s="0" t="str">
        <f aca="false">UPPER(IF(ISBLANK(AY430),"NONE",AY430))</f>
        <v>LOYALTY10</v>
      </c>
      <c r="BA430" s="7" t="n">
        <v>45881</v>
      </c>
      <c r="BB430" s="7" t="n">
        <f aca="false">IF(ISBLANK(BA430),"No Follow Up Needed",BA430)</f>
        <v>45881</v>
      </c>
      <c r="BC430" s="0" t="s">
        <v>82</v>
      </c>
      <c r="BD430" s="0" t="str">
        <f aca="false">PROPER(IF(ISBLANK(BC430),"Unknown",BC430))</f>
        <v>Yes</v>
      </c>
      <c r="BE430" s="0" t="s">
        <v>171</v>
      </c>
      <c r="BF430" s="0" t="str">
        <f aca="false">IF(ISBLANK(BE430),"No comments",BE430)</f>
        <v>Shock absorber weakening</v>
      </c>
      <c r="BG430" s="0" t="s">
        <v>2320</v>
      </c>
      <c r="BH430" s="0" t="str">
        <f aca="false">IF(ISBLANK(BG430),"No comments",BG430)</f>
        <v>No complaints</v>
      </c>
      <c r="BJ430" s="0" t="str">
        <f aca="false">IF(ISBLANK(BI430),"Not Mentioned",BI430)</f>
        <v>Not Mentioned</v>
      </c>
      <c r="BK430" s="0" t="s">
        <v>61</v>
      </c>
      <c r="BL430" s="0" t="str">
        <f aca="false">PROPER(IF(ISBLANK(BK430),"Not Mentioned",BK430))</f>
        <v>No</v>
      </c>
      <c r="BM430" s="0" t="s">
        <v>50</v>
      </c>
      <c r="BN430" s="0" t="str">
        <f aca="false">PROPER(IF(ISBLANK(BM430),"Not Mentioned",BM430))</f>
        <v>No</v>
      </c>
      <c r="BO430" s="0" t="s">
        <v>2321</v>
      </c>
      <c r="BP430" s="0" t="str">
        <f aca="false">IF(ISBLANK(BO430),"One-Time Plan",BO430)</f>
        <v>One-Time Plan</v>
      </c>
      <c r="BQ430" s="0" t="s">
        <v>50</v>
      </c>
      <c r="BR430" s="0" t="str">
        <f aca="false">PROPER(IF(ISBLANK(BQ430),"No",BQ430))</f>
        <v>No</v>
      </c>
    </row>
    <row r="431" customFormat="false" ht="15" hidden="false" customHeight="false" outlineLevel="0" collapsed="false">
      <c r="A431" s="0" t="s">
        <v>1130</v>
      </c>
      <c r="B431" s="2" t="n">
        <v>45757</v>
      </c>
      <c r="C431" s="2" t="str">
        <f aca="false">TEXT(B431,"dd/mm/yyyy")</f>
        <v>10/04/2025</v>
      </c>
      <c r="D431" s="0" t="s">
        <v>42</v>
      </c>
      <c r="E431" s="0" t="n">
        <v>8034621479</v>
      </c>
      <c r="F431" s="0" t="s">
        <v>139</v>
      </c>
      <c r="G431" s="0" t="s">
        <v>2323</v>
      </c>
      <c r="H431" s="0" t="s">
        <v>1131</v>
      </c>
      <c r="I431" s="0" t="s">
        <v>134</v>
      </c>
      <c r="J431" s="0" t="s">
        <v>2325</v>
      </c>
      <c r="K431" s="3" t="str">
        <f aca="false" t="array" ref="K431:K431">IFERROR(IF(J431&lt;&gt;"",J431,INDEX(J431:J1430,MATCH(1,(F431:F1430=F431)*(I431:I1430=I431)*(L431:L1430=L431)*(J431:J1430&lt;&gt;""),0))),"Not Found")</f>
        <v>Engine Knocking</v>
      </c>
      <c r="L431" s="3" t="s">
        <v>142</v>
      </c>
      <c r="M431" s="0" t="str">
        <f aca="false">PROPER(L431)</f>
        <v>Oil Filter, Brake Pads</v>
      </c>
      <c r="N431" s="3" t="s">
        <v>71</v>
      </c>
      <c r="O431" s="0" t="str">
        <f aca="false" t="array" ref="O431:O431">IF(N431&lt;&gt;"",N431,_xlfn.xlookup(1,(L431:L1430=L431)*(N431:N1430&lt;&gt;""),N431:N1430,"Not Found"))</f>
        <v>Isaac Bobo</v>
      </c>
      <c r="P431" s="4" t="n">
        <v>57056</v>
      </c>
      <c r="Q431" s="0" t="s">
        <v>124</v>
      </c>
      <c r="R431" s="0" t="str">
        <f aca="false">PROPER(Q431)</f>
        <v>Cash</v>
      </c>
      <c r="S431" s="0" t="s">
        <v>50</v>
      </c>
      <c r="U431" s="5" t="n">
        <f aca="false">IF(ISBLANK(T431),AVERAGE(T431:T1430),T431)</f>
        <v>3.07627118644068</v>
      </c>
      <c r="V431" s="0" t="n">
        <v>5</v>
      </c>
      <c r="X431" s="0" t="str">
        <f aca="false">IF(ISBLANK(W431),"No remarks",W431)</f>
        <v>No remarks</v>
      </c>
      <c r="Y431" s="0" t="s">
        <v>93</v>
      </c>
      <c r="Z431" s="0" t="s">
        <v>136</v>
      </c>
      <c r="AA431" s="0" t="str">
        <f aca="false">PROPER(IF(ISBLANK(Z431),"Location Unavailable",Z431))</f>
        <v>Vip Section</v>
      </c>
      <c r="AB431" s="0" t="s">
        <v>54</v>
      </c>
      <c r="AC431" s="6" t="str">
        <f aca="false">PROPER(AB431)</f>
        <v>Mechanic Referral</v>
      </c>
      <c r="AD431" s="6" t="n">
        <v>60</v>
      </c>
      <c r="AE431" s="5" t="n">
        <f aca="false">IF(ISBLANK(AD431),AVERAGEIF(L431:L1430,L431,AD431:AD1430),AD431)</f>
        <v>60</v>
      </c>
      <c r="AF431" s="0" t="s">
        <v>96</v>
      </c>
      <c r="AG431" s="0" t="str">
        <f aca="false">PROPER(AF431)</f>
        <v>Ordered</v>
      </c>
      <c r="AH431" s="0" t="s">
        <v>148</v>
      </c>
      <c r="AI431" s="0" t="s">
        <v>113</v>
      </c>
      <c r="AJ431" s="0" t="str">
        <f aca="false">PROPER(AI431)</f>
        <v>Normal</v>
      </c>
      <c r="AK431" s="0" t="s">
        <v>58</v>
      </c>
      <c r="AL431" s="0" t="str">
        <f aca="false">PROPER(AK431)</f>
        <v>Fleet Owner</v>
      </c>
      <c r="AM431" s="0" t="s">
        <v>59</v>
      </c>
      <c r="AN431" s="0" t="str">
        <f aca="false">IF(ISBLANK(AM431),"Unknown",AM431)</f>
        <v>Bolt Driver</v>
      </c>
      <c r="AO431" s="0" t="s">
        <v>149</v>
      </c>
      <c r="AP431" s="0" t="str">
        <f aca="false">IF(ISBLANK(AO431),"Unknown",AO431)</f>
        <v>Senior </v>
      </c>
      <c r="AQ431" s="0" t="n">
        <v>25000</v>
      </c>
      <c r="AR431" s="5" t="n">
        <f aca="false">IF(ISBLANK(AQ431),AVERAGEIF(M431:M1430,M431,AQ431:AQ1430),AQ431)</f>
        <v>25000</v>
      </c>
      <c r="AS431" s="0" t="n">
        <v>40000</v>
      </c>
      <c r="AT431" s="5" t="n">
        <f aca="false">IF(ISBLANK(AS431),AVERAGE(AS431:AS1430),AS431)</f>
        <v>40000</v>
      </c>
      <c r="AU431" s="0" t="s">
        <v>61</v>
      </c>
      <c r="AV431" s="0" t="str">
        <f aca="false">PROPER(IF(ISBLANK(AU431),"No",AU431))</f>
        <v>No</v>
      </c>
      <c r="AW431" s="0" t="n">
        <v>5000</v>
      </c>
      <c r="AX431" s="5" t="n">
        <f aca="false">IF(ISBLANK(AW431),0,AW431)</f>
        <v>5000</v>
      </c>
      <c r="AY431" s="0" t="s">
        <v>130</v>
      </c>
      <c r="AZ431" s="0" t="str">
        <f aca="false">UPPER(IF(ISBLANK(AY431),"NONE",AY431))</f>
        <v>LOYALTY10</v>
      </c>
      <c r="BB431" s="7" t="str">
        <f aca="false">IF(ISBLANK(BA431),"No Follow Up Needed",BA431)</f>
        <v>No Follow Up Needed</v>
      </c>
      <c r="BC431" s="0" t="s">
        <v>50</v>
      </c>
      <c r="BD431" s="0" t="str">
        <f aca="false">PROPER(IF(ISBLANK(BC431),"Unknown",BC431))</f>
        <v>No</v>
      </c>
      <c r="BE431" s="0" t="s">
        <v>171</v>
      </c>
      <c r="BF431" s="0" t="str">
        <f aca="false">IF(ISBLANK(BE431),"No comments",BE431)</f>
        <v>Shock absorber weakening</v>
      </c>
      <c r="BG431" s="0" t="s">
        <v>172</v>
      </c>
      <c r="BH431" s="0" t="str">
        <f aca="false">IF(ISBLANK(BG431),"No comments",BG431)</f>
        <v>Always late</v>
      </c>
      <c r="BI431" s="0" t="s">
        <v>50</v>
      </c>
      <c r="BJ431" s="0" t="str">
        <f aca="false">IF(ISBLANK(BI431),"Not Mentioned",BI431)</f>
        <v>No</v>
      </c>
      <c r="BL431" s="0" t="str">
        <f aca="false">PROPER(IF(ISBLANK(BK431),"Not Mentioned",BK431))</f>
        <v>Not Mentioned</v>
      </c>
      <c r="BM431" s="0" t="s">
        <v>63</v>
      </c>
      <c r="BN431" s="0" t="str">
        <f aca="false">PROPER(IF(ISBLANK(BM431),"Not Mentioned",BM431))</f>
        <v>Yes</v>
      </c>
      <c r="BO431" s="0" t="s">
        <v>2318</v>
      </c>
      <c r="BP431" s="0" t="str">
        <f aca="false">IF(ISBLANK(BO431),"One-Time Plan",BO431)</f>
        <v>Gold</v>
      </c>
      <c r="BQ431" s="0" t="s">
        <v>50</v>
      </c>
      <c r="BR431" s="0" t="str">
        <f aca="false">PROPER(IF(ISBLANK(BQ431),"No",BQ431))</f>
        <v>No</v>
      </c>
    </row>
    <row r="432" customFormat="false" ht="15" hidden="false" customHeight="false" outlineLevel="0" collapsed="false">
      <c r="A432" s="0" t="s">
        <v>1132</v>
      </c>
      <c r="B432" s="2" t="s">
        <v>173</v>
      </c>
      <c r="C432" s="2" t="str">
        <f aca="false">TEXT(B432,"dd/mm/yyyy")</f>
        <v>13/01/2025</v>
      </c>
      <c r="D432" s="0" t="s">
        <v>42</v>
      </c>
      <c r="E432" s="0" t="n">
        <v>8086318249</v>
      </c>
      <c r="F432" s="0" t="s">
        <v>67</v>
      </c>
      <c r="G432" s="0" t="s">
        <v>2316</v>
      </c>
      <c r="H432" s="0" t="s">
        <v>1133</v>
      </c>
      <c r="I432" s="0" t="s">
        <v>69</v>
      </c>
      <c r="J432" s="0" t="s">
        <v>2322</v>
      </c>
      <c r="K432" s="3" t="str">
        <f aca="false" t="array" ref="K432:K432">IFERROR(IF(J432&lt;&gt;"",J432,INDEX(J432:J1431,MATCH(1,(F432:F1431=F432)*(I432:I1431=I432)*(L432:L1431=L432)*(J432:J1431&lt;&gt;""),0))),"Not Found")</f>
        <v>Brake Failure</v>
      </c>
      <c r="L432" s="3" t="s">
        <v>154</v>
      </c>
      <c r="M432" s="0" t="str">
        <f aca="false">PROPER(L432)</f>
        <v>Air Filter</v>
      </c>
      <c r="N432" s="3" t="s">
        <v>48</v>
      </c>
      <c r="O432" s="0" t="str">
        <f aca="false" t="array" ref="O432:O432">IF(N432&lt;&gt;"",N432,_xlfn.xlookup(1,(L432:L1431=L432)*(N432:N1431&lt;&gt;""),N432:N1431,"Not Found"))</f>
        <v>Uche</v>
      </c>
      <c r="P432" s="4" t="n">
        <v>82049</v>
      </c>
      <c r="Q432" s="0" t="s">
        <v>91</v>
      </c>
      <c r="R432" s="0" t="str">
        <f aca="false">PROPER(Q432)</f>
        <v>Pos</v>
      </c>
      <c r="S432" s="0" t="s">
        <v>50</v>
      </c>
      <c r="T432" s="0" t="n">
        <v>5</v>
      </c>
      <c r="U432" s="5" t="n">
        <f aca="false">IF(ISBLANK(T432),AVERAGE(T432:T1431),T432)</f>
        <v>5</v>
      </c>
      <c r="V432" s="0" t="n">
        <v>5.3</v>
      </c>
      <c r="W432" s="0" t="s">
        <v>111</v>
      </c>
      <c r="X432" s="0" t="str">
        <f aca="false">IF(ISBLANK(W432),"No remarks",W432)</f>
        <v>Changed all filters</v>
      </c>
      <c r="Y432" s="0" t="s">
        <v>73</v>
      </c>
      <c r="Z432" s="0" t="s">
        <v>74</v>
      </c>
      <c r="AA432" s="0" t="str">
        <f aca="false">PROPER(IF(ISBLANK(Z432),"Location Unavailable",Z432))</f>
        <v>Under Tree</v>
      </c>
      <c r="AB432" s="0" t="s">
        <v>147</v>
      </c>
      <c r="AC432" s="6" t="str">
        <f aca="false">PROPER(AB432)</f>
        <v>Instagram</v>
      </c>
      <c r="AD432" s="6" t="n">
        <v>15</v>
      </c>
      <c r="AE432" s="5" t="n">
        <f aca="false">IF(ISBLANK(AD432),AVERAGEIF(L432:L1431,L432,AD432:AD1431),AD432)</f>
        <v>15</v>
      </c>
      <c r="AF432" s="0" t="s">
        <v>160</v>
      </c>
      <c r="AG432" s="0" t="str">
        <f aca="false">PROPER(AF432)</f>
        <v>Availaible</v>
      </c>
      <c r="AH432" s="0" t="s">
        <v>56</v>
      </c>
      <c r="AI432" s="0" t="s">
        <v>113</v>
      </c>
      <c r="AJ432" s="0" t="str">
        <f aca="false">PROPER(AI432)</f>
        <v>Normal</v>
      </c>
      <c r="AK432" s="0" t="s">
        <v>58</v>
      </c>
      <c r="AL432" s="0" t="str">
        <f aca="false">PROPER(AK432)</f>
        <v>Fleet Owner</v>
      </c>
      <c r="AM432" s="0" t="s">
        <v>59</v>
      </c>
      <c r="AN432" s="0" t="str">
        <f aca="false">IF(ISBLANK(AM432),"Unknown",AM432)</f>
        <v>Bolt Driver</v>
      </c>
      <c r="AO432" s="0" t="s">
        <v>79</v>
      </c>
      <c r="AP432" s="0" t="str">
        <f aca="false">IF(ISBLANK(AO432),"Unknown",AO432)</f>
        <v>Specialist</v>
      </c>
      <c r="AQ432" s="0" t="n">
        <v>20000</v>
      </c>
      <c r="AR432" s="5" t="n">
        <f aca="false">IF(ISBLANK(AQ432),AVERAGEIF(M432:M1431,M432,AQ432:AQ1431),AQ432)</f>
        <v>20000</v>
      </c>
      <c r="AS432" s="0" t="n">
        <v>30000</v>
      </c>
      <c r="AT432" s="5" t="n">
        <f aca="false">IF(ISBLANK(AS432),AVERAGE(AS432:AS1431),AS432)</f>
        <v>30000</v>
      </c>
      <c r="AU432" s="0" t="s">
        <v>61</v>
      </c>
      <c r="AV432" s="0" t="str">
        <f aca="false">PROPER(IF(ISBLANK(AU432),"No",AU432))</f>
        <v>No</v>
      </c>
      <c r="AW432" s="0" t="n">
        <v>0</v>
      </c>
      <c r="AX432" s="5" t="n">
        <f aca="false">IF(ISBLANK(AW432),0,AW432)</f>
        <v>0</v>
      </c>
      <c r="AY432" s="0" t="s">
        <v>60</v>
      </c>
      <c r="AZ432" s="0" t="str">
        <f aca="false">UPPER(IF(ISBLANK(AY432),"NONE",AY432))</f>
        <v>NONE</v>
      </c>
      <c r="BB432" s="7" t="str">
        <f aca="false">IF(ISBLANK(BA432),"No Follow Up Needed",BA432)</f>
        <v>No Follow Up Needed</v>
      </c>
      <c r="BD432" s="0" t="str">
        <f aca="false">PROPER(IF(ISBLANK(BC432),"Unknown",BC432))</f>
        <v>Unknown</v>
      </c>
      <c r="BE432" s="0" t="s">
        <v>116</v>
      </c>
      <c r="BF432" s="0" t="str">
        <f aca="false">IF(ISBLANK(BE432),"No comments",BE432)</f>
        <v>Needs tire alignment</v>
      </c>
      <c r="BH432" s="0" t="str">
        <f aca="false">IF(ISBLANK(BG432),"No comments",BG432)</f>
        <v>No comments</v>
      </c>
      <c r="BI432" s="0" t="s">
        <v>63</v>
      </c>
      <c r="BJ432" s="0" t="str">
        <f aca="false">IF(ISBLANK(BI432),"Not Mentioned",BI432)</f>
        <v>Yes</v>
      </c>
      <c r="BK432" s="0" t="s">
        <v>50</v>
      </c>
      <c r="BL432" s="0" t="str">
        <f aca="false">PROPER(IF(ISBLANK(BK432),"Not Mentioned",BK432))</f>
        <v>No</v>
      </c>
      <c r="BM432" s="0" t="s">
        <v>63</v>
      </c>
      <c r="BN432" s="0" t="str">
        <f aca="false">PROPER(IF(ISBLANK(BM432),"Not Mentioned",BM432))</f>
        <v>Yes</v>
      </c>
      <c r="BO432" s="0" t="s">
        <v>64</v>
      </c>
      <c r="BP432" s="0" t="str">
        <f aca="false">IF(ISBLANK(BO432),"One-Time Plan",BO432)</f>
        <v>Gold Maintenance Plan</v>
      </c>
      <c r="BQ432" s="0" t="s">
        <v>63</v>
      </c>
      <c r="BR432" s="0" t="str">
        <f aca="false">PROPER(IF(ISBLANK(BQ432),"No",BQ432))</f>
        <v>Yes</v>
      </c>
    </row>
    <row r="433" customFormat="false" ht="15" hidden="false" customHeight="false" outlineLevel="0" collapsed="false">
      <c r="A433" s="0" t="s">
        <v>1134</v>
      </c>
      <c r="B433" s="2" t="n">
        <v>45995</v>
      </c>
      <c r="C433" s="2" t="str">
        <f aca="false">TEXT(B433,"dd/mm/yyyy")</f>
        <v>04/12/2025</v>
      </c>
      <c r="D433" s="0" t="s">
        <v>66</v>
      </c>
      <c r="E433" s="0" t="n">
        <v>8022822379</v>
      </c>
      <c r="F433" s="0" t="s">
        <v>43</v>
      </c>
      <c r="G433" s="0" t="s">
        <v>2315</v>
      </c>
      <c r="H433" s="0" t="s">
        <v>1135</v>
      </c>
      <c r="I433" s="0" t="s">
        <v>45</v>
      </c>
      <c r="J433" s="0" t="s">
        <v>2325</v>
      </c>
      <c r="K433" s="3" t="str">
        <f aca="false" t="array" ref="K433:K433">IFERROR(IF(J433&lt;&gt;"",J433,INDEX(J433:J1432,MATCH(1,(F433:F1432=F433)*(I433:I1432=I433)*(L433:L1432=L433)*(J433:J1432&lt;&gt;""),0))),"Not Found")</f>
        <v>Engine Knocking</v>
      </c>
      <c r="L433" s="3" t="s">
        <v>142</v>
      </c>
      <c r="M433" s="0" t="str">
        <f aca="false">PROPER(L433)</f>
        <v>Oil Filter, Brake Pads</v>
      </c>
      <c r="N433" s="3" t="s">
        <v>71</v>
      </c>
      <c r="O433" s="0" t="str">
        <f aca="false" t="array" ref="O433:O433">IF(N433&lt;&gt;"",N433,_xlfn.xlookup(1,(L433:L1432=L433)*(N433:N1432&lt;&gt;""),N433:N1432,"Not Found"))</f>
        <v>Isaac Bobo</v>
      </c>
      <c r="P433" s="4" t="n">
        <v>52813</v>
      </c>
      <c r="Q433" s="0" t="s">
        <v>72</v>
      </c>
      <c r="R433" s="0" t="str">
        <f aca="false">PROPER(Q433)</f>
        <v>Pos</v>
      </c>
      <c r="S433" s="0" t="s">
        <v>50</v>
      </c>
      <c r="T433" s="0" t="n">
        <v>4</v>
      </c>
      <c r="U433" s="5" t="n">
        <f aca="false">IF(ISBLANK(T433),AVERAGE(T433:T1432),T433)</f>
        <v>4</v>
      </c>
      <c r="V433" s="0" t="n">
        <v>4.6</v>
      </c>
      <c r="W433" s="0" t="s">
        <v>92</v>
      </c>
      <c r="X433" s="0" t="str">
        <f aca="false">IF(ISBLANK(W433),"No remarks",W433)</f>
        <v>Urgent service</v>
      </c>
      <c r="Y433" s="0" t="s">
        <v>93</v>
      </c>
      <c r="Z433" s="0" t="s">
        <v>94</v>
      </c>
      <c r="AA433" s="0" t="str">
        <f aca="false">PROPER(IF(ISBLANK(Z433),"Location Unavailable",Z433))</f>
        <v>Vip Section</v>
      </c>
      <c r="AB433" s="0" t="s">
        <v>54</v>
      </c>
      <c r="AC433" s="6" t="str">
        <f aca="false">PROPER(AB433)</f>
        <v>Mechanic Referral</v>
      </c>
      <c r="AD433" s="6" t="n">
        <v>15</v>
      </c>
      <c r="AE433" s="5" t="n">
        <f aca="false">IF(ISBLANK(AD433),AVERAGEIF(L433:L1432,L433,AD433:AD1432),AD433)</f>
        <v>15</v>
      </c>
      <c r="AF433" s="0" t="s">
        <v>76</v>
      </c>
      <c r="AG433" s="0" t="str">
        <f aca="false">PROPER(AF433)</f>
        <v>Orderd</v>
      </c>
      <c r="AH433" s="0" t="s">
        <v>56</v>
      </c>
      <c r="AI433" s="0" t="s">
        <v>98</v>
      </c>
      <c r="AJ433" s="0" t="str">
        <f aca="false">PROPER(AI433)</f>
        <v>Emergency</v>
      </c>
      <c r="AK433" s="0" t="s">
        <v>99</v>
      </c>
      <c r="AL433" s="0" t="str">
        <f aca="false">PROPER(AK433)</f>
        <v>Uber Driver</v>
      </c>
      <c r="AN433" s="0" t="str">
        <f aca="false">IF(ISBLANK(AM433),"Unknown",AM433)</f>
        <v>Unknown</v>
      </c>
      <c r="AO433" s="0" t="s">
        <v>161</v>
      </c>
      <c r="AP433" s="0" t="str">
        <f aca="false">IF(ISBLANK(AO433),"Unknown",AO433)</f>
        <v>Apprentice</v>
      </c>
      <c r="AQ433" s="0" t="n">
        <v>40000</v>
      </c>
      <c r="AR433" s="5" t="n">
        <f aca="false">IF(ISBLANK(AQ433),AVERAGEIF(M433:M1432,M433,AQ433:AQ1432),AQ433)</f>
        <v>40000</v>
      </c>
      <c r="AS433" s="0" t="n">
        <v>20000</v>
      </c>
      <c r="AT433" s="5" t="n">
        <f aca="false">IF(ISBLANK(AS433),AVERAGE(AS433:AS1432),AS433)</f>
        <v>20000</v>
      </c>
      <c r="AV433" s="0" t="str">
        <f aca="false">PROPER(IF(ISBLANK(AU433),"No",AU433))</f>
        <v>No</v>
      </c>
      <c r="AW433" s="0" t="n">
        <v>5000</v>
      </c>
      <c r="AX433" s="5" t="n">
        <f aca="false">IF(ISBLANK(AW433),0,AW433)</f>
        <v>5000</v>
      </c>
      <c r="AZ433" s="0" t="str">
        <f aca="false">UPPER(IF(ISBLANK(AY433),"NONE",AY433))</f>
        <v>NONE</v>
      </c>
      <c r="BA433" s="7" t="s">
        <v>559</v>
      </c>
      <c r="BB433" s="7" t="str">
        <f aca="false">IF(ISBLANK(BA433),"No Follow Up Needed",BA433)</f>
        <v>20/10/2025</v>
      </c>
      <c r="BC433" s="0" t="s">
        <v>63</v>
      </c>
      <c r="BD433" s="0" t="str">
        <f aca="false">PROPER(IF(ISBLANK(BC433),"Unknown",BC433))</f>
        <v>Yes</v>
      </c>
      <c r="BF433" s="0" t="str">
        <f aca="false">IF(ISBLANK(BE433),"No comments",BE433)</f>
        <v>No comments</v>
      </c>
      <c r="BH433" s="0" t="str">
        <f aca="false">IF(ISBLANK(BG433),"No comments",BG433)</f>
        <v>No comments</v>
      </c>
      <c r="BI433" s="0" t="s">
        <v>50</v>
      </c>
      <c r="BJ433" s="0" t="str">
        <f aca="false">IF(ISBLANK(BI433),"Not Mentioned",BI433)</f>
        <v>No</v>
      </c>
      <c r="BK433" s="0" t="s">
        <v>82</v>
      </c>
      <c r="BL433" s="0" t="str">
        <f aca="false">PROPER(IF(ISBLANK(BK433),"Not Mentioned",BK433))</f>
        <v>Yes</v>
      </c>
      <c r="BM433" s="0" t="s">
        <v>63</v>
      </c>
      <c r="BN433" s="0" t="str">
        <f aca="false">PROPER(IF(ISBLANK(BM433),"Not Mentioned",BM433))</f>
        <v>Yes</v>
      </c>
      <c r="BO433" s="0" t="s">
        <v>2318</v>
      </c>
      <c r="BP433" s="0" t="str">
        <f aca="false">IF(ISBLANK(BO433),"One-Time Plan",BO433)</f>
        <v>Gold</v>
      </c>
      <c r="BR433" s="0" t="str">
        <f aca="false">PROPER(IF(ISBLANK(BQ433),"No",BQ433))</f>
        <v>No</v>
      </c>
    </row>
    <row r="434" customFormat="false" ht="15" hidden="false" customHeight="false" outlineLevel="0" collapsed="false">
      <c r="A434" s="0" t="s">
        <v>1136</v>
      </c>
      <c r="B434" s="2" t="n">
        <v>45993</v>
      </c>
      <c r="C434" s="2" t="str">
        <f aca="false">TEXT(B434,"dd/mm/yyyy")</f>
        <v>02/12/2025</v>
      </c>
      <c r="D434" s="0" t="s">
        <v>66</v>
      </c>
      <c r="E434" s="0" t="n">
        <v>8062821563</v>
      </c>
      <c r="F434" s="0" t="s">
        <v>85</v>
      </c>
      <c r="G434" s="0" t="s">
        <v>2319</v>
      </c>
      <c r="H434" s="0" t="s">
        <v>1137</v>
      </c>
      <c r="I434" s="0" t="s">
        <v>107</v>
      </c>
      <c r="K434" s="3" t="str">
        <f aca="false" t="array" ref="K434:K434">IFERROR(IF(J434&lt;&gt;"",J434,INDEX(J434:J1433,MATCH(1,(F434:F1433=F434)*(I434:I1433=I434)*(L434:L1433=L434)*(J434:J1433&lt;&gt;""),0))),"Not Found")</f>
        <v>Brake Failure</v>
      </c>
      <c r="L434" s="3" t="s">
        <v>47</v>
      </c>
      <c r="M434" s="0" t="str">
        <f aca="false">PROPER(L434)</f>
        <v>None</v>
      </c>
      <c r="N434" s="3" t="s">
        <v>90</v>
      </c>
      <c r="O434" s="0" t="str">
        <f aca="false" t="array" ref="O434:O434">IF(N434&lt;&gt;"",N434,_xlfn.xlookup(1,(L434:L1433=L434)*(N434:N1433&lt;&gt;""),N434:N1433,"Not Found"))</f>
        <v>Musa</v>
      </c>
      <c r="P434" s="4" t="n">
        <v>80731</v>
      </c>
      <c r="Q434" s="0" t="s">
        <v>72</v>
      </c>
      <c r="R434" s="0" t="str">
        <f aca="false">PROPER(Q434)</f>
        <v>Pos</v>
      </c>
      <c r="S434" s="0" t="s">
        <v>63</v>
      </c>
      <c r="U434" s="5" t="n">
        <f aca="false">IF(ISBLANK(T434),AVERAGE(T434:T1433),T434)</f>
        <v>3.07021276595745</v>
      </c>
      <c r="V434" s="0" t="n">
        <v>1.2</v>
      </c>
      <c r="W434" s="0" t="s">
        <v>92</v>
      </c>
      <c r="X434" s="0" t="str">
        <f aca="false">IF(ISBLANK(W434),"No remarks",W434)</f>
        <v>Urgent service</v>
      </c>
      <c r="Y434" s="0" t="s">
        <v>52</v>
      </c>
      <c r="Z434" s="0" t="s">
        <v>94</v>
      </c>
      <c r="AA434" s="0" t="str">
        <f aca="false">PROPER(IF(ISBLANK(Z434),"Location Unavailable",Z434))</f>
        <v>Vip Section</v>
      </c>
      <c r="AB434" s="0" t="s">
        <v>75</v>
      </c>
      <c r="AC434" s="6" t="str">
        <f aca="false">PROPER(AB434)</f>
        <v>Mechanik Referal</v>
      </c>
      <c r="AE434" s="5" t="n">
        <f aca="false">IF(ISBLANK(AD434),AVERAGEIF(L434:L1433,L434,AD434:AD1433),AD434)</f>
        <v>35.7042253521127</v>
      </c>
      <c r="AF434" s="0" t="s">
        <v>96</v>
      </c>
      <c r="AG434" s="0" t="str">
        <f aca="false">PROPER(AF434)</f>
        <v>Ordered</v>
      </c>
      <c r="AH434" s="0" t="s">
        <v>56</v>
      </c>
      <c r="AI434" s="0" t="s">
        <v>113</v>
      </c>
      <c r="AJ434" s="0" t="str">
        <f aca="false">PROPER(AI434)</f>
        <v>Normal</v>
      </c>
      <c r="AK434" s="0" t="s">
        <v>196</v>
      </c>
      <c r="AL434" s="0" t="str">
        <f aca="false">PROPER(AK434)</f>
        <v>First Time</v>
      </c>
      <c r="AM434" s="0" t="s">
        <v>2326</v>
      </c>
      <c r="AN434" s="0" t="str">
        <f aca="false">IF(ISBLANK(AM434),"Unknown",AM434)</f>
        <v>Government Convoy</v>
      </c>
      <c r="AO434" s="0" t="s">
        <v>161</v>
      </c>
      <c r="AP434" s="0" t="str">
        <f aca="false">IF(ISBLANK(AO434),"Unknown",AO434)</f>
        <v>Apprentice</v>
      </c>
      <c r="AR434" s="5" t="n">
        <f aca="false">IF(ISBLANK(AQ434),AVERAGEIF(M434:M1433,M434,AQ434:AQ1433),AQ434)</f>
        <v>25785.7142857143</v>
      </c>
      <c r="AS434" s="0" t="n">
        <v>30000</v>
      </c>
      <c r="AT434" s="5" t="n">
        <f aca="false">IF(ISBLANK(AS434),AVERAGE(AS434:AS1433),AS434)</f>
        <v>30000</v>
      </c>
      <c r="AU434" s="0" t="s">
        <v>50</v>
      </c>
      <c r="AV434" s="0" t="str">
        <f aca="false">PROPER(IF(ISBLANK(AU434),"No",AU434))</f>
        <v>No</v>
      </c>
      <c r="AW434" s="0" t="n">
        <v>10000</v>
      </c>
      <c r="AX434" s="5" t="n">
        <f aca="false">IF(ISBLANK(AW434),0,AW434)</f>
        <v>10000</v>
      </c>
      <c r="AY434" s="0" t="s">
        <v>184</v>
      </c>
      <c r="AZ434" s="0" t="str">
        <f aca="false">UPPER(IF(ISBLANK(AY434),"NONE",AY434))</f>
        <v>N/A</v>
      </c>
      <c r="BB434" s="7" t="str">
        <f aca="false">IF(ISBLANK(BA434),"No Follow Up Needed",BA434)</f>
        <v>No Follow Up Needed</v>
      </c>
      <c r="BD434" s="0" t="str">
        <f aca="false">PROPER(IF(ISBLANK(BC434),"Unknown",BC434))</f>
        <v>Unknown</v>
      </c>
      <c r="BF434" s="0" t="str">
        <f aca="false">IF(ISBLANK(BE434),"No comments",BE434)</f>
        <v>No comments</v>
      </c>
      <c r="BH434" s="0" t="str">
        <f aca="false">IF(ISBLANK(BG434),"No comments",BG434)</f>
        <v>No comments</v>
      </c>
      <c r="BI434" s="0" t="s">
        <v>50</v>
      </c>
      <c r="BJ434" s="0" t="str">
        <f aca="false">IF(ISBLANK(BI434),"Not Mentioned",BI434)</f>
        <v>No</v>
      </c>
      <c r="BK434" s="0" t="s">
        <v>82</v>
      </c>
      <c r="BL434" s="0" t="str">
        <f aca="false">PROPER(IF(ISBLANK(BK434),"Not Mentioned",BK434))</f>
        <v>Yes</v>
      </c>
      <c r="BM434" s="0" t="s">
        <v>63</v>
      </c>
      <c r="BN434" s="0" t="str">
        <f aca="false">PROPER(IF(ISBLANK(BM434),"Not Mentioned",BM434))</f>
        <v>Yes</v>
      </c>
      <c r="BO434" s="0" t="s">
        <v>2321</v>
      </c>
      <c r="BP434" s="0" t="str">
        <f aca="false">IF(ISBLANK(BO434),"One-Time Plan",BO434)</f>
        <v>One-Time Plan</v>
      </c>
      <c r="BR434" s="0" t="str">
        <f aca="false">PROPER(IF(ISBLANK(BQ434),"No",BQ434))</f>
        <v>No</v>
      </c>
    </row>
    <row r="435" customFormat="false" ht="15" hidden="false" customHeight="false" outlineLevel="0" collapsed="false">
      <c r="A435" s="0" t="s">
        <v>1138</v>
      </c>
      <c r="B435" s="2" t="n">
        <v>45814</v>
      </c>
      <c r="C435" s="2" t="str">
        <f aca="false">TEXT(B435,"dd/mm/yyyy")</f>
        <v>06/06/2025</v>
      </c>
      <c r="D435" s="0" t="s">
        <v>121</v>
      </c>
      <c r="E435" s="0" t="n">
        <v>8015860545</v>
      </c>
      <c r="F435" s="0" t="s">
        <v>122</v>
      </c>
      <c r="G435" s="0" t="s">
        <v>2316</v>
      </c>
      <c r="H435" s="0" t="s">
        <v>1139</v>
      </c>
      <c r="I435" s="0" t="s">
        <v>45</v>
      </c>
      <c r="J435" s="0" t="s">
        <v>2325</v>
      </c>
      <c r="K435" s="3" t="str">
        <f aca="false" t="array" ref="K435:K435">IFERROR(IF(J435&lt;&gt;"",J435,INDEX(J435:J1434,MATCH(1,(F435:F1434=F435)*(I435:I1434=I435)*(L435:L1434=L435)*(J435:J1434&lt;&gt;""),0))),"Not Found")</f>
        <v>Engine Knocking</v>
      </c>
      <c r="L435" s="3" t="s">
        <v>108</v>
      </c>
      <c r="M435" s="0" t="str">
        <f aca="false">PROPER(L435)</f>
        <v>Timing Belt</v>
      </c>
      <c r="O435" s="0" t="e">
        <f aca="false" t="array" ref="O435:O435">IF(N435&lt;&gt;"",N435,_xlfn.xlookup(1,(L435:L1434=L435)*(N435:N1434&lt;&gt;""),N435:N1434,"Not Found"))</f>
        <v>#NAME?</v>
      </c>
      <c r="P435" s="4" t="n">
        <v>58062</v>
      </c>
      <c r="Q435" s="0" t="s">
        <v>166</v>
      </c>
      <c r="R435" s="0" t="str">
        <f aca="false">PROPER(Q435)</f>
        <v>Transfer</v>
      </c>
      <c r="S435" s="0" t="s">
        <v>63</v>
      </c>
      <c r="T435" s="0" t="n">
        <v>5</v>
      </c>
      <c r="U435" s="5" t="n">
        <f aca="false">IF(ISBLANK(T435),AVERAGE(T435:T1434),T435)</f>
        <v>5</v>
      </c>
      <c r="V435" s="0" t="n">
        <v>2.6</v>
      </c>
      <c r="W435" s="0" t="s">
        <v>125</v>
      </c>
      <c r="X435" s="0" t="str">
        <f aca="false">IF(ISBLANK(W435),"No remarks",W435)</f>
        <v>Customer waited</v>
      </c>
      <c r="Y435" s="0" t="s">
        <v>52</v>
      </c>
      <c r="Z435" s="0" t="s">
        <v>94</v>
      </c>
      <c r="AA435" s="0" t="str">
        <f aca="false">PROPER(IF(ISBLANK(Z435),"Location Unavailable",Z435))</f>
        <v>Vip Section</v>
      </c>
      <c r="AB435" s="0" t="s">
        <v>147</v>
      </c>
      <c r="AC435" s="6" t="str">
        <f aca="false">PROPER(AB435)</f>
        <v>Instagram</v>
      </c>
      <c r="AD435" s="6" t="n">
        <v>45</v>
      </c>
      <c r="AE435" s="5" t="n">
        <f aca="false">IF(ISBLANK(AD435),AVERAGEIF(L435:L1434,L435,AD435:AD1434),AD435)</f>
        <v>45</v>
      </c>
      <c r="AF435" s="0" t="s">
        <v>55</v>
      </c>
      <c r="AG435" s="0" t="str">
        <f aca="false">PROPER(AF435)</f>
        <v>Available</v>
      </c>
      <c r="AH435" s="0" t="s">
        <v>77</v>
      </c>
      <c r="AI435" s="0" t="s">
        <v>78</v>
      </c>
      <c r="AJ435" s="0" t="str">
        <f aca="false">PROPER(AI435)</f>
        <v>Booking</v>
      </c>
      <c r="AK435" s="0" t="s">
        <v>58</v>
      </c>
      <c r="AL435" s="0" t="str">
        <f aca="false">PROPER(AK435)</f>
        <v>Fleet Owner</v>
      </c>
      <c r="AN435" s="0" t="str">
        <f aca="false">IF(ISBLANK(AM435),"Unknown",AM435)</f>
        <v>Unknown</v>
      </c>
      <c r="AO435" s="0" t="s">
        <v>149</v>
      </c>
      <c r="AP435" s="0" t="str">
        <f aca="false">IF(ISBLANK(AO435),"Unknown",AO435)</f>
        <v>Senior </v>
      </c>
      <c r="AQ435" s="0" t="n">
        <v>40000</v>
      </c>
      <c r="AR435" s="5" t="n">
        <f aca="false">IF(ISBLANK(AQ435),AVERAGEIF(M435:M1434,M435,AQ435:AQ1434),AQ435)</f>
        <v>40000</v>
      </c>
      <c r="AS435" s="0" t="n">
        <v>20000</v>
      </c>
      <c r="AT435" s="5" t="n">
        <f aca="false">IF(ISBLANK(AS435),AVERAGE(AS435:AS1434),AS435)</f>
        <v>20000</v>
      </c>
      <c r="AU435" s="0" t="s">
        <v>50</v>
      </c>
      <c r="AV435" s="0" t="str">
        <f aca="false">PROPER(IF(ISBLANK(AU435),"No",AU435))</f>
        <v>No</v>
      </c>
      <c r="AW435" s="0" t="n">
        <v>5000</v>
      </c>
      <c r="AX435" s="5" t="n">
        <f aca="false">IF(ISBLANK(AW435),0,AW435)</f>
        <v>5000</v>
      </c>
      <c r="AY435" s="0" t="s">
        <v>60</v>
      </c>
      <c r="AZ435" s="0" t="str">
        <f aca="false">UPPER(IF(ISBLANK(AY435),"NONE",AY435))</f>
        <v>NONE</v>
      </c>
      <c r="BA435" s="7" t="n">
        <v>45881</v>
      </c>
      <c r="BB435" s="7" t="n">
        <f aca="false">IF(ISBLANK(BA435),"No Follow Up Needed",BA435)</f>
        <v>45881</v>
      </c>
      <c r="BC435" s="0" t="s">
        <v>61</v>
      </c>
      <c r="BD435" s="0" t="str">
        <f aca="false">PROPER(IF(ISBLANK(BC435),"Unknown",BC435))</f>
        <v>No</v>
      </c>
      <c r="BF435" s="0" t="str">
        <f aca="false">IF(ISBLANK(BE435),"No comments",BE435)</f>
        <v>No comments</v>
      </c>
      <c r="BG435" s="0" t="s">
        <v>2320</v>
      </c>
      <c r="BH435" s="0" t="str">
        <f aca="false">IF(ISBLANK(BG435),"No comments",BG435)</f>
        <v>No complaints</v>
      </c>
      <c r="BI435" s="0" t="s">
        <v>63</v>
      </c>
      <c r="BJ435" s="0" t="str">
        <f aca="false">IF(ISBLANK(BI435),"Not Mentioned",BI435)</f>
        <v>Yes</v>
      </c>
      <c r="BK435" s="0" t="s">
        <v>61</v>
      </c>
      <c r="BL435" s="0" t="str">
        <f aca="false">PROPER(IF(ISBLANK(BK435),"Not Mentioned",BK435))</f>
        <v>No</v>
      </c>
      <c r="BN435" s="0" t="str">
        <f aca="false">PROPER(IF(ISBLANK(BM435),"Not Mentioned",BM435))</f>
        <v>Not Mentioned</v>
      </c>
      <c r="BP435" s="0" t="str">
        <f aca="false">IF(ISBLANK(BO435),"One-Time Plan",BO435)</f>
        <v>One-Time Plan</v>
      </c>
      <c r="BQ435" s="0" t="s">
        <v>50</v>
      </c>
      <c r="BR435" s="0" t="str">
        <f aca="false">PROPER(IF(ISBLANK(BQ435),"No",BQ435))</f>
        <v>No</v>
      </c>
    </row>
    <row r="436" customFormat="false" ht="15" hidden="false" customHeight="false" outlineLevel="0" collapsed="false">
      <c r="A436" s="0" t="s">
        <v>1140</v>
      </c>
      <c r="B436" s="2" t="n">
        <v>45776</v>
      </c>
      <c r="C436" s="2" t="str">
        <f aca="false">TEXT(B436,"dd/mm/yyyy")</f>
        <v>29/04/2025</v>
      </c>
      <c r="D436" s="0" t="s">
        <v>105</v>
      </c>
      <c r="E436" s="0" t="n">
        <v>8042171352</v>
      </c>
      <c r="F436" s="0" t="s">
        <v>139</v>
      </c>
      <c r="G436" s="0" t="s">
        <v>2323</v>
      </c>
      <c r="H436" s="0" t="s">
        <v>1141</v>
      </c>
      <c r="I436" s="0" t="s">
        <v>87</v>
      </c>
      <c r="J436" s="0" t="s">
        <v>2322</v>
      </c>
      <c r="K436" s="3" t="str">
        <f aca="false" t="array" ref="K436:K436">IFERROR(IF(J436&lt;&gt;"",J436,INDEX(J436:J1435,MATCH(1,(F436:F1435=F436)*(I436:I1435=I436)*(L436:L1435=L436)*(J436:J1435&lt;&gt;""),0))),"Not Found")</f>
        <v>Brake Failure</v>
      </c>
      <c r="L436" s="3" t="s">
        <v>89</v>
      </c>
      <c r="M436" s="0" t="str">
        <f aca="false">PROPER(L436)</f>
        <v>Shock Absorbers</v>
      </c>
      <c r="O436" s="0" t="e">
        <f aca="false" t="array" ref="O436:O436">IF(N436&lt;&gt;"",N436,_xlfn.xlookup(1,(L436:L1435=L436)*(N436:N1435&lt;&gt;""),N436:N1435,"Not Found"))</f>
        <v>#NAME?</v>
      </c>
      <c r="P436" s="4" t="n">
        <v>60773</v>
      </c>
      <c r="Q436" s="0" t="s">
        <v>166</v>
      </c>
      <c r="R436" s="0" t="str">
        <f aca="false">PROPER(Q436)</f>
        <v>Transfer</v>
      </c>
      <c r="S436" s="0" t="s">
        <v>63</v>
      </c>
      <c r="T436" s="0" t="n">
        <v>1</v>
      </c>
      <c r="U436" s="5" t="n">
        <f aca="false">IF(ISBLANK(T436),AVERAGE(T436:T1435),T436)</f>
        <v>1</v>
      </c>
      <c r="V436" s="0" t="n">
        <v>5.4</v>
      </c>
      <c r="W436" s="0" t="s">
        <v>111</v>
      </c>
      <c r="X436" s="0" t="str">
        <f aca="false">IF(ISBLANK(W436),"No remarks",W436)</f>
        <v>Changed all filters</v>
      </c>
      <c r="Y436" s="0" t="s">
        <v>73</v>
      </c>
      <c r="Z436" s="0" t="s">
        <v>74</v>
      </c>
      <c r="AA436" s="0" t="str">
        <f aca="false">PROPER(IF(ISBLANK(Z436),"Location Unavailable",Z436))</f>
        <v>Under Tree</v>
      </c>
      <c r="AB436" s="0" t="s">
        <v>75</v>
      </c>
      <c r="AC436" s="6" t="str">
        <f aca="false">PROPER(AB436)</f>
        <v>Mechanik Referal</v>
      </c>
      <c r="AD436" s="6" t="n">
        <v>30</v>
      </c>
      <c r="AE436" s="5" t="n">
        <f aca="false">IF(ISBLANK(AD436),AVERAGEIF(L436:L1435,L436,AD436:AD1435),AD436)</f>
        <v>30</v>
      </c>
      <c r="AF436" s="0" t="s">
        <v>55</v>
      </c>
      <c r="AG436" s="0" t="str">
        <f aca="false">PROPER(AF436)</f>
        <v>Available</v>
      </c>
      <c r="AH436" s="0" t="s">
        <v>77</v>
      </c>
      <c r="AI436" s="0" t="s">
        <v>98</v>
      </c>
      <c r="AJ436" s="0" t="str">
        <f aca="false">PROPER(AI436)</f>
        <v>Emergency</v>
      </c>
      <c r="AK436" s="0" t="s">
        <v>99</v>
      </c>
      <c r="AL436" s="0" t="str">
        <f aca="false">PROPER(AK436)</f>
        <v>Uber Driver</v>
      </c>
      <c r="AM436" s="0" t="s">
        <v>177</v>
      </c>
      <c r="AN436" s="0" t="str">
        <f aca="false">IF(ISBLANK(AM436),"Unknown",AM436)</f>
        <v>Private</v>
      </c>
      <c r="AO436" s="0" t="s">
        <v>161</v>
      </c>
      <c r="AP436" s="0" t="str">
        <f aca="false">IF(ISBLANK(AO436),"Unknown",AO436)</f>
        <v>Apprentice</v>
      </c>
      <c r="AQ436" s="0" t="n">
        <v>20000</v>
      </c>
      <c r="AR436" s="5" t="n">
        <f aca="false">IF(ISBLANK(AQ436),AVERAGEIF(M436:M1435,M436,AQ436:AQ1435),AQ436)</f>
        <v>20000</v>
      </c>
      <c r="AS436" s="0" t="n">
        <v>40000</v>
      </c>
      <c r="AT436" s="5" t="n">
        <f aca="false">IF(ISBLANK(AS436),AVERAGE(AS436:AS1435),AS436)</f>
        <v>40000</v>
      </c>
      <c r="AU436" s="0" t="s">
        <v>61</v>
      </c>
      <c r="AV436" s="0" t="str">
        <f aca="false">PROPER(IF(ISBLANK(AU436),"No",AU436))</f>
        <v>No</v>
      </c>
      <c r="AX436" s="5" t="n">
        <f aca="false">IF(ISBLANK(AW436),0,AW436)</f>
        <v>0</v>
      </c>
      <c r="AY436" s="0" t="s">
        <v>130</v>
      </c>
      <c r="AZ436" s="0" t="str">
        <f aca="false">UPPER(IF(ISBLANK(AY436),"NONE",AY436))</f>
        <v>LOYALTY10</v>
      </c>
      <c r="BA436" s="7" t="s">
        <v>974</v>
      </c>
      <c r="BB436" s="7" t="str">
        <f aca="false">IF(ISBLANK(BA436),"No Follow Up Needed",BA436)</f>
        <v>25/12/2025</v>
      </c>
      <c r="BD436" s="0" t="str">
        <f aca="false">PROPER(IF(ISBLANK(BC436),"Unknown",BC436))</f>
        <v>Unknown</v>
      </c>
      <c r="BF436" s="0" t="str">
        <f aca="false">IF(ISBLANK(BE436),"No comments",BE436)</f>
        <v>No comments</v>
      </c>
      <c r="BG436" s="0" t="s">
        <v>2320</v>
      </c>
      <c r="BH436" s="0" t="str">
        <f aca="false">IF(ISBLANK(BG436),"No comments",BG436)</f>
        <v>No complaints</v>
      </c>
      <c r="BI436" s="0" t="s">
        <v>63</v>
      </c>
      <c r="BJ436" s="0" t="str">
        <f aca="false">IF(ISBLANK(BI436),"Not Mentioned",BI436)</f>
        <v>Yes</v>
      </c>
      <c r="BK436" s="0" t="s">
        <v>50</v>
      </c>
      <c r="BL436" s="0" t="str">
        <f aca="false">PROPER(IF(ISBLANK(BK436),"Not Mentioned",BK436))</f>
        <v>No</v>
      </c>
      <c r="BN436" s="0" t="str">
        <f aca="false">PROPER(IF(ISBLANK(BM436),"Not Mentioned",BM436))</f>
        <v>Not Mentioned</v>
      </c>
      <c r="BO436" s="0" t="s">
        <v>64</v>
      </c>
      <c r="BP436" s="0" t="str">
        <f aca="false">IF(ISBLANK(BO436),"One-Time Plan",BO436)</f>
        <v>Gold Maintenance Plan</v>
      </c>
      <c r="BQ436" s="0" t="s">
        <v>190</v>
      </c>
      <c r="BR436" s="0" t="str">
        <f aca="false">PROPER(IF(ISBLANK(BQ436),"No",BQ436))</f>
        <v>Yes</v>
      </c>
    </row>
    <row r="437" customFormat="false" ht="15" hidden="false" customHeight="false" outlineLevel="0" collapsed="false">
      <c r="A437" s="0" t="s">
        <v>1142</v>
      </c>
      <c r="B437" s="2" t="n">
        <v>45704</v>
      </c>
      <c r="C437" s="2" t="str">
        <f aca="false">TEXT(B437,"dd/mm/yyyy")</f>
        <v>16/02/2025</v>
      </c>
      <c r="D437" s="0" t="s">
        <v>121</v>
      </c>
      <c r="E437" s="0" t="n">
        <v>8031197304</v>
      </c>
      <c r="F437" s="0" t="s">
        <v>85</v>
      </c>
      <c r="G437" s="0" t="s">
        <v>2319</v>
      </c>
      <c r="H437" s="0" t="s">
        <v>1143</v>
      </c>
      <c r="I437" s="0" t="s">
        <v>134</v>
      </c>
      <c r="K437" s="3" t="str">
        <f aca="false" t="array" ref="K437:K437">IFERROR(IF(J437&lt;&gt;"",J437,INDEX(J437:J1436,MATCH(1,(F437:F1436=F437)*(I437:I1436=I437)*(L437:L1436=L437)*(J437:J1436&lt;&gt;""),0))),"Not Found")</f>
        <v>Not Found</v>
      </c>
      <c r="L437" s="3" t="s">
        <v>189</v>
      </c>
      <c r="M437" s="0" t="str">
        <f aca="false">PROPER(L437)</f>
        <v>Battery</v>
      </c>
      <c r="N437" s="3" t="s">
        <v>48</v>
      </c>
      <c r="O437" s="0" t="str">
        <f aca="false" t="array" ref="O437:O437">IF(N437&lt;&gt;"",N437,_xlfn.xlookup(1,(L437:L1436=L437)*(N437:N1436&lt;&gt;""),N437:N1436,"Not Found"))</f>
        <v>Uche</v>
      </c>
      <c r="P437" s="4" t="n">
        <v>50231</v>
      </c>
      <c r="Q437" s="0" t="s">
        <v>124</v>
      </c>
      <c r="R437" s="0" t="str">
        <f aca="false">PROPER(Q437)</f>
        <v>Cash</v>
      </c>
      <c r="S437" s="0" t="s">
        <v>63</v>
      </c>
      <c r="U437" s="5" t="n">
        <f aca="false">IF(ISBLANK(T437),AVERAGE(T437:T1436),T437)</f>
        <v>3.07051282051282</v>
      </c>
      <c r="V437" s="0" t="n">
        <v>2.5</v>
      </c>
      <c r="W437" s="0" t="s">
        <v>51</v>
      </c>
      <c r="X437" s="0" t="str">
        <f aca="false">IF(ISBLANK(W437),"No remarks",W437)</f>
        <v>Recommended further checks</v>
      </c>
      <c r="Y437" s="0" t="s">
        <v>73</v>
      </c>
      <c r="Z437" s="0" t="s">
        <v>74</v>
      </c>
      <c r="AA437" s="0" t="str">
        <f aca="false">PROPER(IF(ISBLANK(Z437),"Location Unavailable",Z437))</f>
        <v>Under Tree</v>
      </c>
      <c r="AB437" s="0" t="s">
        <v>167</v>
      </c>
      <c r="AC437" s="6" t="str">
        <f aca="false">PROPER(AB437)</f>
        <v>Word Of Mouth</v>
      </c>
      <c r="AD437" s="6" t="n">
        <v>60</v>
      </c>
      <c r="AE437" s="5" t="n">
        <f aca="false">IF(ISBLANK(AD437),AVERAGEIF(L437:L1436,L437,AD437:AD1436),AD437)</f>
        <v>60</v>
      </c>
      <c r="AF437" s="0" t="s">
        <v>55</v>
      </c>
      <c r="AG437" s="0" t="str">
        <f aca="false">PROPER(AF437)</f>
        <v>Available</v>
      </c>
      <c r="AH437" s="0" t="s">
        <v>155</v>
      </c>
      <c r="AI437" s="0" t="s">
        <v>113</v>
      </c>
      <c r="AJ437" s="0" t="str">
        <f aca="false">PROPER(AI437)</f>
        <v>Normal</v>
      </c>
      <c r="AK437" s="0" t="s">
        <v>58</v>
      </c>
      <c r="AL437" s="0" t="str">
        <f aca="false">PROPER(AK437)</f>
        <v>Fleet Owner</v>
      </c>
      <c r="AN437" s="0" t="str">
        <f aca="false">IF(ISBLANK(AM437),"Unknown",AM437)</f>
        <v>Unknown</v>
      </c>
      <c r="AO437" s="0" t="s">
        <v>143</v>
      </c>
      <c r="AP437" s="0" t="str">
        <f aca="false">IF(ISBLANK(AO437),"Unknown",AO437)</f>
        <v>Senior</v>
      </c>
      <c r="AQ437" s="0" t="n">
        <v>20000</v>
      </c>
      <c r="AR437" s="5" t="n">
        <f aca="false">IF(ISBLANK(AQ437),AVERAGEIF(M437:M1436,M437,AQ437:AQ1436),AQ437)</f>
        <v>20000</v>
      </c>
      <c r="AS437" s="0" t="n">
        <v>30000</v>
      </c>
      <c r="AT437" s="5" t="n">
        <f aca="false">IF(ISBLANK(AS437),AVERAGE(AS437:AS1436),AS437)</f>
        <v>30000</v>
      </c>
      <c r="AU437" s="0" t="s">
        <v>63</v>
      </c>
      <c r="AV437" s="0" t="str">
        <f aca="false">PROPER(IF(ISBLANK(AU437),"No",AU437))</f>
        <v>Yes</v>
      </c>
      <c r="AW437" s="0" t="n">
        <v>10000</v>
      </c>
      <c r="AX437" s="5" t="n">
        <f aca="false">IF(ISBLANK(AW437),0,AW437)</f>
        <v>10000</v>
      </c>
      <c r="AZ437" s="0" t="str">
        <f aca="false">UPPER(IF(ISBLANK(AY437),"NONE",AY437))</f>
        <v>NONE</v>
      </c>
      <c r="BA437" s="7" t="n">
        <v>46010</v>
      </c>
      <c r="BB437" s="7" t="n">
        <f aca="false">IF(ISBLANK(BA437),"No Follow Up Needed",BA437)</f>
        <v>46010</v>
      </c>
      <c r="BC437" s="0" t="s">
        <v>50</v>
      </c>
      <c r="BD437" s="0" t="str">
        <f aca="false">PROPER(IF(ISBLANK(BC437),"Unknown",BC437))</f>
        <v>No</v>
      </c>
      <c r="BF437" s="0" t="str">
        <f aca="false">IF(ISBLANK(BE437),"No comments",BE437)</f>
        <v>No comments</v>
      </c>
      <c r="BG437" s="0" t="s">
        <v>172</v>
      </c>
      <c r="BH437" s="0" t="str">
        <f aca="false">IF(ISBLANK(BG437),"No comments",BG437)</f>
        <v>Always late</v>
      </c>
      <c r="BI437" s="0" t="s">
        <v>50</v>
      </c>
      <c r="BJ437" s="0" t="str">
        <f aca="false">IF(ISBLANK(BI437),"Not Mentioned",BI437)</f>
        <v>No</v>
      </c>
      <c r="BK437" s="0" t="s">
        <v>63</v>
      </c>
      <c r="BL437" s="0" t="str">
        <f aca="false">PROPER(IF(ISBLANK(BK437),"Not Mentioned",BK437))</f>
        <v>Yes</v>
      </c>
      <c r="BM437" s="0" t="s">
        <v>63</v>
      </c>
      <c r="BN437" s="0" t="str">
        <f aca="false">PROPER(IF(ISBLANK(BM437),"Not Mentioned",BM437))</f>
        <v>Yes</v>
      </c>
      <c r="BP437" s="0" t="str">
        <f aca="false">IF(ISBLANK(BO437),"One-Time Plan",BO437)</f>
        <v>One-Time Plan</v>
      </c>
      <c r="BQ437" s="0" t="s">
        <v>63</v>
      </c>
      <c r="BR437" s="0" t="str">
        <f aca="false">PROPER(IF(ISBLANK(BQ437),"No",BQ437))</f>
        <v>Yes</v>
      </c>
    </row>
    <row r="438" customFormat="false" ht="15" hidden="false" customHeight="false" outlineLevel="0" collapsed="false">
      <c r="A438" s="0" t="s">
        <v>1144</v>
      </c>
      <c r="B438" s="2" t="n">
        <v>45749</v>
      </c>
      <c r="C438" s="2" t="str">
        <f aca="false">TEXT(B438,"dd/mm/yyyy")</f>
        <v>02/04/2025</v>
      </c>
      <c r="D438" s="0" t="s">
        <v>42</v>
      </c>
      <c r="E438" s="0" t="n">
        <v>8046745629</v>
      </c>
      <c r="F438" s="0" t="s">
        <v>139</v>
      </c>
      <c r="G438" s="0" t="s">
        <v>2323</v>
      </c>
      <c r="H438" s="0" t="s">
        <v>1145</v>
      </c>
      <c r="I438" s="0" t="s">
        <v>87</v>
      </c>
      <c r="K438" s="3" t="str">
        <f aca="false" t="array" ref="K438:K438">IFERROR(IF(J438&lt;&gt;"",J438,INDEX(J438:J1437,MATCH(1,(F438:F1437=F438)*(I438:I1437=I438)*(L438:L1437=L438)*(J438:J1437&lt;&gt;""),0))),"Not Found")</f>
        <v>Engine Knocking</v>
      </c>
      <c r="L438" s="3" t="s">
        <v>89</v>
      </c>
      <c r="M438" s="0" t="str">
        <f aca="false">PROPER(L438)</f>
        <v>Shock Absorbers</v>
      </c>
      <c r="N438" s="3" t="s">
        <v>71</v>
      </c>
      <c r="O438" s="0" t="str">
        <f aca="false" t="array" ref="O438:O438">IF(N438&lt;&gt;"",N438,_xlfn.xlookup(1,(L438:L1437=L438)*(N438:N1437&lt;&gt;""),N438:N1437,"Not Found"))</f>
        <v>Isaac Bobo</v>
      </c>
      <c r="P438" s="4" t="n">
        <v>109951</v>
      </c>
      <c r="Q438" s="0" t="s">
        <v>166</v>
      </c>
      <c r="R438" s="0" t="str">
        <f aca="false">PROPER(Q438)</f>
        <v>Transfer</v>
      </c>
      <c r="S438" s="0" t="s">
        <v>63</v>
      </c>
      <c r="T438" s="0" t="n">
        <v>1</v>
      </c>
      <c r="U438" s="5" t="n">
        <f aca="false">IF(ISBLANK(T438),AVERAGE(T438:T1437),T438)</f>
        <v>1</v>
      </c>
      <c r="V438" s="0" t="n">
        <v>4.6</v>
      </c>
      <c r="W438" s="0" t="s">
        <v>51</v>
      </c>
      <c r="X438" s="0" t="str">
        <f aca="false">IF(ISBLANK(W438),"No remarks",W438)</f>
        <v>Recommended further checks</v>
      </c>
      <c r="Y438" s="0" t="s">
        <v>93</v>
      </c>
      <c r="Z438" s="0" t="s">
        <v>53</v>
      </c>
      <c r="AA438" s="0" t="str">
        <f aca="false">PROPER(IF(ISBLANK(Z438),"Location Unavailable",Z438))</f>
        <v>Main Bay</v>
      </c>
      <c r="AB438" s="0" t="s">
        <v>75</v>
      </c>
      <c r="AC438" s="6" t="str">
        <f aca="false">PROPER(AB438)</f>
        <v>Mechanik Referal</v>
      </c>
      <c r="AD438" s="6" t="n">
        <v>60</v>
      </c>
      <c r="AE438" s="5" t="n">
        <f aca="false">IF(ISBLANK(AD438),AVERAGEIF(L438:L1437,L438,AD438:AD1437),AD438)</f>
        <v>60</v>
      </c>
      <c r="AF438" s="0" t="s">
        <v>96</v>
      </c>
      <c r="AG438" s="0" t="str">
        <f aca="false">PROPER(AF438)</f>
        <v>Ordered</v>
      </c>
      <c r="AH438" s="0" t="s">
        <v>155</v>
      </c>
      <c r="AI438" s="0" t="s">
        <v>128</v>
      </c>
      <c r="AJ438" s="0" t="str">
        <f aca="false">PROPER(AI438)</f>
        <v>Normal</v>
      </c>
      <c r="AK438" s="0" t="s">
        <v>196</v>
      </c>
      <c r="AL438" s="0" t="str">
        <f aca="false">PROPER(AK438)</f>
        <v>First Time</v>
      </c>
      <c r="AM438" s="0" t="s">
        <v>59</v>
      </c>
      <c r="AN438" s="0" t="str">
        <f aca="false">IF(ISBLANK(AM438),"Unknown",AM438)</f>
        <v>Bolt Driver</v>
      </c>
      <c r="AO438" s="0" t="s">
        <v>143</v>
      </c>
      <c r="AP438" s="0" t="str">
        <f aca="false">IF(ISBLANK(AO438),"Unknown",AO438)</f>
        <v>Senior</v>
      </c>
      <c r="AQ438" s="0" t="n">
        <v>40000</v>
      </c>
      <c r="AR438" s="5" t="n">
        <f aca="false">IF(ISBLANK(AQ438),AVERAGEIF(M438:M1437,M438,AQ438:AQ1437),AQ438)</f>
        <v>40000</v>
      </c>
      <c r="AS438" s="0" t="n">
        <v>35000</v>
      </c>
      <c r="AT438" s="5" t="n">
        <f aca="false">IF(ISBLANK(AS438),AVERAGE(AS438:AS1437),AS438)</f>
        <v>35000</v>
      </c>
      <c r="AU438" s="0" t="s">
        <v>82</v>
      </c>
      <c r="AV438" s="0" t="str">
        <f aca="false">PROPER(IF(ISBLANK(AU438),"No",AU438))</f>
        <v>Yes</v>
      </c>
      <c r="AX438" s="5" t="n">
        <f aca="false">IF(ISBLANK(AW438),0,AW438)</f>
        <v>0</v>
      </c>
      <c r="AY438" s="0" t="s">
        <v>184</v>
      </c>
      <c r="AZ438" s="0" t="str">
        <f aca="false">UPPER(IF(ISBLANK(AY438),"NONE",AY438))</f>
        <v>N/A</v>
      </c>
      <c r="BA438" s="7" t="n">
        <v>45908</v>
      </c>
      <c r="BB438" s="7" t="n">
        <f aca="false">IF(ISBLANK(BA438),"No Follow Up Needed",BA438)</f>
        <v>45908</v>
      </c>
      <c r="BC438" s="0" t="s">
        <v>82</v>
      </c>
      <c r="BD438" s="0" t="str">
        <f aca="false">PROPER(IF(ISBLANK(BC438),"Unknown",BC438))</f>
        <v>Yes</v>
      </c>
      <c r="BF438" s="0" t="str">
        <f aca="false">IF(ISBLANK(BE438),"No comments",BE438)</f>
        <v>No comments</v>
      </c>
      <c r="BG438" s="0" t="s">
        <v>2320</v>
      </c>
      <c r="BH438" s="0" t="str">
        <f aca="false">IF(ISBLANK(BG438),"No comments",BG438)</f>
        <v>No complaints</v>
      </c>
      <c r="BI438" s="0" t="s">
        <v>63</v>
      </c>
      <c r="BJ438" s="0" t="str">
        <f aca="false">IF(ISBLANK(BI438),"Not Mentioned",BI438)</f>
        <v>Yes</v>
      </c>
      <c r="BK438" s="0" t="s">
        <v>82</v>
      </c>
      <c r="BL438" s="0" t="str">
        <f aca="false">PROPER(IF(ISBLANK(BK438),"Not Mentioned",BK438))</f>
        <v>Yes</v>
      </c>
      <c r="BN438" s="0" t="str">
        <f aca="false">PROPER(IF(ISBLANK(BM438),"Not Mentioned",BM438))</f>
        <v>Not Mentioned</v>
      </c>
      <c r="BO438" s="0" t="s">
        <v>64</v>
      </c>
      <c r="BP438" s="0" t="str">
        <f aca="false">IF(ISBLANK(BO438),"One-Time Plan",BO438)</f>
        <v>Gold Maintenance Plan</v>
      </c>
      <c r="BQ438" s="0" t="s">
        <v>198</v>
      </c>
      <c r="BR438" s="0" t="str">
        <f aca="false">PROPER(IF(ISBLANK(BQ438),"No",BQ438))</f>
        <v>Followed Up</v>
      </c>
    </row>
    <row r="439" customFormat="false" ht="15" hidden="false" customHeight="false" outlineLevel="0" collapsed="false">
      <c r="A439" s="0" t="s">
        <v>1146</v>
      </c>
      <c r="B439" s="2" t="n">
        <v>45740</v>
      </c>
      <c r="C439" s="2" t="str">
        <f aca="false">TEXT(B439,"dd/mm/yyyy")</f>
        <v>24/03/2025</v>
      </c>
      <c r="D439" s="0" t="s">
        <v>121</v>
      </c>
      <c r="E439" s="0" t="n">
        <v>8094299900</v>
      </c>
      <c r="F439" s="0" t="s">
        <v>122</v>
      </c>
      <c r="G439" s="0" t="s">
        <v>2316</v>
      </c>
      <c r="H439" s="0" t="s">
        <v>1147</v>
      </c>
      <c r="I439" s="0" t="s">
        <v>45</v>
      </c>
      <c r="J439" s="0" t="s">
        <v>2322</v>
      </c>
      <c r="K439" s="3" t="str">
        <f aca="false" t="array" ref="K439:K439">IFERROR(IF(J439&lt;&gt;"",J439,INDEX(J439:J1438,MATCH(1,(F439:F1438=F439)*(I439:I1438=I439)*(L439:L1438=L439)*(J439:J1438&lt;&gt;""),0))),"Not Found")</f>
        <v>Brake Failure</v>
      </c>
      <c r="L439" s="3" t="s">
        <v>47</v>
      </c>
      <c r="M439" s="0" t="str">
        <f aca="false">PROPER(L439)</f>
        <v>None</v>
      </c>
      <c r="N439" s="3" t="s">
        <v>109</v>
      </c>
      <c r="O439" s="0" t="str">
        <f aca="false" t="array" ref="O439:O439">IF(N439&lt;&gt;"",N439,_xlfn.xlookup(1,(L439:L1438=L439)*(N439:N1438&lt;&gt;""),N439:N1438,"Not Found"))</f>
        <v>Tijani</v>
      </c>
      <c r="P439" s="4" t="n">
        <v>27083</v>
      </c>
      <c r="Q439" s="0" t="s">
        <v>72</v>
      </c>
      <c r="R439" s="0" t="str">
        <f aca="false">PROPER(Q439)</f>
        <v>Pos</v>
      </c>
      <c r="S439" s="0" t="s">
        <v>50</v>
      </c>
      <c r="T439" s="0" t="n">
        <v>4</v>
      </c>
      <c r="U439" s="5" t="n">
        <f aca="false">IF(ISBLANK(T439),AVERAGE(T439:T1438),T439)</f>
        <v>4</v>
      </c>
      <c r="V439" s="0" t="n">
        <v>2</v>
      </c>
      <c r="X439" s="0" t="str">
        <f aca="false">IF(ISBLANK(W439),"No remarks",W439)</f>
        <v>No remarks</v>
      </c>
      <c r="Y439" s="0" t="s">
        <v>52</v>
      </c>
      <c r="Z439" s="0" t="s">
        <v>94</v>
      </c>
      <c r="AA439" s="0" t="str">
        <f aca="false">PROPER(IF(ISBLANK(Z439),"Location Unavailable",Z439))</f>
        <v>Vip Section</v>
      </c>
      <c r="AB439" s="0" t="s">
        <v>75</v>
      </c>
      <c r="AC439" s="6" t="str">
        <f aca="false">PROPER(AB439)</f>
        <v>Mechanik Referal</v>
      </c>
      <c r="AD439" s="6" t="n">
        <v>45</v>
      </c>
      <c r="AE439" s="5" t="n">
        <f aca="false">IF(ISBLANK(AD439),AVERAGEIF(L439:L1438,L439,AD439:AD1438),AD439)</f>
        <v>45</v>
      </c>
      <c r="AF439" s="0" t="s">
        <v>96</v>
      </c>
      <c r="AG439" s="0" t="str">
        <f aca="false">PROPER(AF439)</f>
        <v>Ordered</v>
      </c>
      <c r="AH439" s="0" t="s">
        <v>77</v>
      </c>
      <c r="AI439" s="0" t="s">
        <v>98</v>
      </c>
      <c r="AJ439" s="0" t="str">
        <f aca="false">PROPER(AI439)</f>
        <v>Emergency</v>
      </c>
      <c r="AK439" s="0" t="s">
        <v>114</v>
      </c>
      <c r="AL439" s="0" t="str">
        <f aca="false">PROPER(AK439)</f>
        <v>Returning</v>
      </c>
      <c r="AM439" s="0" t="s">
        <v>2324</v>
      </c>
      <c r="AN439" s="0" t="str">
        <f aca="false">IF(ISBLANK(AM439),"Unknown",AM439)</f>
        <v>Logistics Convoy</v>
      </c>
      <c r="AO439" s="0" t="s">
        <v>149</v>
      </c>
      <c r="AP439" s="0" t="str">
        <f aca="false">IF(ISBLANK(AO439),"Unknown",AO439)</f>
        <v>Senior </v>
      </c>
      <c r="AQ439" s="0" t="n">
        <v>30000</v>
      </c>
      <c r="AR439" s="5" t="n">
        <f aca="false">IF(ISBLANK(AQ439),AVERAGEIF(M439:M1438,M439,AQ439:AQ1438),AQ439)</f>
        <v>30000</v>
      </c>
      <c r="AT439" s="5" t="n">
        <f aca="false">IF(ISBLANK(AS439),AVERAGE(AS439:AS1438),AS439)</f>
        <v>31475.5838641189</v>
      </c>
      <c r="AU439" s="0" t="s">
        <v>50</v>
      </c>
      <c r="AV439" s="0" t="str">
        <f aca="false">PROPER(IF(ISBLANK(AU439),"No",AU439))</f>
        <v>No</v>
      </c>
      <c r="AW439" s="0" t="n">
        <v>0</v>
      </c>
      <c r="AX439" s="5" t="n">
        <f aca="false">IF(ISBLANK(AW439),0,AW439)</f>
        <v>0</v>
      </c>
      <c r="AY439" s="0" t="s">
        <v>130</v>
      </c>
      <c r="AZ439" s="0" t="str">
        <f aca="false">UPPER(IF(ISBLANK(AY439),"NONE",AY439))</f>
        <v>LOYALTY10</v>
      </c>
      <c r="BA439" s="7" t="n">
        <v>45664</v>
      </c>
      <c r="BB439" s="7" t="n">
        <f aca="false">IF(ISBLANK(BA439),"No Follow Up Needed",BA439)</f>
        <v>45664</v>
      </c>
      <c r="BC439" s="0" t="s">
        <v>61</v>
      </c>
      <c r="BD439" s="0" t="str">
        <f aca="false">PROPER(IF(ISBLANK(BC439),"Unknown",BC439))</f>
        <v>No</v>
      </c>
      <c r="BF439" s="0" t="str">
        <f aca="false">IF(ISBLANK(BE439),"No comments",BE439)</f>
        <v>No comments</v>
      </c>
      <c r="BG439" s="0" t="s">
        <v>172</v>
      </c>
      <c r="BH439" s="0" t="str">
        <f aca="false">IF(ISBLANK(BG439),"No comments",BG439)</f>
        <v>Always late</v>
      </c>
      <c r="BI439" s="0" t="s">
        <v>50</v>
      </c>
      <c r="BJ439" s="0" t="str">
        <f aca="false">IF(ISBLANK(BI439),"Not Mentioned",BI439)</f>
        <v>No</v>
      </c>
      <c r="BL439" s="0" t="str">
        <f aca="false">PROPER(IF(ISBLANK(BK439),"Not Mentioned",BK439))</f>
        <v>Not Mentioned</v>
      </c>
      <c r="BM439" s="0" t="s">
        <v>63</v>
      </c>
      <c r="BN439" s="0" t="str">
        <f aca="false">PROPER(IF(ISBLANK(BM439),"Not Mentioned",BM439))</f>
        <v>Yes</v>
      </c>
      <c r="BO439" s="0" t="s">
        <v>2318</v>
      </c>
      <c r="BP439" s="0" t="str">
        <f aca="false">IF(ISBLANK(BO439),"One-Time Plan",BO439)</f>
        <v>Gold</v>
      </c>
      <c r="BR439" s="0" t="str">
        <f aca="false">PROPER(IF(ISBLANK(BQ439),"No",BQ439))</f>
        <v>No</v>
      </c>
    </row>
    <row r="440" customFormat="false" ht="15" hidden="false" customHeight="false" outlineLevel="0" collapsed="false">
      <c r="A440" s="0" t="s">
        <v>1148</v>
      </c>
      <c r="B440" s="2" t="n">
        <v>45663</v>
      </c>
      <c r="C440" s="2" t="str">
        <f aca="false">TEXT(B440,"dd/mm/yyyy")</f>
        <v>06/01/2025</v>
      </c>
      <c r="D440" s="0" t="s">
        <v>42</v>
      </c>
      <c r="E440" s="0" t="n">
        <v>8082173911</v>
      </c>
      <c r="F440" s="0" t="s">
        <v>43</v>
      </c>
      <c r="G440" s="0" t="s">
        <v>2315</v>
      </c>
      <c r="H440" s="0" t="s">
        <v>1149</v>
      </c>
      <c r="I440" s="0" t="s">
        <v>134</v>
      </c>
      <c r="J440" s="0" t="s">
        <v>2317</v>
      </c>
      <c r="K440" s="3" t="str">
        <f aca="false" t="array" ref="K440:K440">IFERROR(IF(J440&lt;&gt;"",J440,INDEX(J440:J1439,MATCH(1,(F440:F1439=F440)*(I440:I1439=I440)*(L440:L1439=L440)*(J440:J1439&lt;&gt;""),0))),"Not Found")</f>
        <v>Suspension Noise</v>
      </c>
      <c r="L440" s="3" t="s">
        <v>142</v>
      </c>
      <c r="M440" s="0" t="str">
        <f aca="false">PROPER(L440)</f>
        <v>Oil Filter, Brake Pads</v>
      </c>
      <c r="N440" s="3" t="s">
        <v>109</v>
      </c>
      <c r="O440" s="0" t="str">
        <f aca="false" t="array" ref="O440:O440">IF(N440&lt;&gt;"",N440,_xlfn.xlookup(1,(L440:L1439=L440)*(N440:N1439&lt;&gt;""),N440:N1439,"Not Found"))</f>
        <v>Tijani</v>
      </c>
      <c r="P440" s="4" t="n">
        <v>37788</v>
      </c>
      <c r="Q440" s="0" t="s">
        <v>166</v>
      </c>
      <c r="R440" s="0" t="str">
        <f aca="false">PROPER(Q440)</f>
        <v>Transfer</v>
      </c>
      <c r="S440" s="0" t="s">
        <v>63</v>
      </c>
      <c r="T440" s="0" t="n">
        <v>1</v>
      </c>
      <c r="U440" s="5" t="n">
        <f aca="false">IF(ISBLANK(T440),AVERAGE(T440:T1439),T440)</f>
        <v>1</v>
      </c>
      <c r="V440" s="0" t="n">
        <v>1.3</v>
      </c>
      <c r="W440" s="0" t="s">
        <v>125</v>
      </c>
      <c r="X440" s="0" t="str">
        <f aca="false">IF(ISBLANK(W440),"No remarks",W440)</f>
        <v>Customer waited</v>
      </c>
      <c r="Y440" s="0" t="s">
        <v>93</v>
      </c>
      <c r="Z440" s="0" t="s">
        <v>74</v>
      </c>
      <c r="AA440" s="0" t="str">
        <f aca="false">PROPER(IF(ISBLANK(Z440),"Location Unavailable",Z440))</f>
        <v>Under Tree</v>
      </c>
      <c r="AB440" s="0" t="s">
        <v>54</v>
      </c>
      <c r="AC440" s="6" t="str">
        <f aca="false">PROPER(AB440)</f>
        <v>Mechanic Referral</v>
      </c>
      <c r="AD440" s="6" t="n">
        <v>45</v>
      </c>
      <c r="AE440" s="5" t="n">
        <f aca="false">IF(ISBLANK(AD440),AVERAGEIF(L440:L1439,L440,AD440:AD1439),AD440)</f>
        <v>45</v>
      </c>
      <c r="AF440" s="0" t="s">
        <v>55</v>
      </c>
      <c r="AG440" s="0" t="str">
        <f aca="false">PROPER(AF440)</f>
        <v>Available</v>
      </c>
      <c r="AH440" s="0" t="s">
        <v>155</v>
      </c>
      <c r="AI440" s="0" t="s">
        <v>78</v>
      </c>
      <c r="AJ440" s="0" t="str">
        <f aca="false">PROPER(AI440)</f>
        <v>Booking</v>
      </c>
      <c r="AK440" s="0" t="s">
        <v>58</v>
      </c>
      <c r="AL440" s="0" t="str">
        <f aca="false">PROPER(AK440)</f>
        <v>Fleet Owner</v>
      </c>
      <c r="AN440" s="0" t="str">
        <f aca="false">IF(ISBLANK(AM440),"Unknown",AM440)</f>
        <v>Unknown</v>
      </c>
      <c r="AO440" s="0" t="s">
        <v>149</v>
      </c>
      <c r="AP440" s="0" t="str">
        <f aca="false">IF(ISBLANK(AO440),"Unknown",AO440)</f>
        <v>Senior </v>
      </c>
      <c r="AQ440" s="0" t="n">
        <v>25000</v>
      </c>
      <c r="AR440" s="5" t="n">
        <f aca="false">IF(ISBLANK(AQ440),AVERAGEIF(M440:M1439,M440,AQ440:AQ1439),AQ440)</f>
        <v>25000</v>
      </c>
      <c r="AS440" s="0" t="n">
        <v>35000</v>
      </c>
      <c r="AT440" s="5" t="n">
        <f aca="false">IF(ISBLANK(AS440),AVERAGE(AS440:AS1439),AS440)</f>
        <v>35000</v>
      </c>
      <c r="AV440" s="0" t="str">
        <f aca="false">PROPER(IF(ISBLANK(AU440),"No",AU440))</f>
        <v>No</v>
      </c>
      <c r="AW440" s="0" t="n">
        <v>5000</v>
      </c>
      <c r="AX440" s="5" t="n">
        <f aca="false">IF(ISBLANK(AW440),0,AW440)</f>
        <v>5000</v>
      </c>
      <c r="AY440" s="0" t="s">
        <v>130</v>
      </c>
      <c r="AZ440" s="0" t="str">
        <f aca="false">UPPER(IF(ISBLANK(AY440),"NONE",AY440))</f>
        <v>LOYALTY10</v>
      </c>
      <c r="BA440" s="7" t="n">
        <v>45883</v>
      </c>
      <c r="BB440" s="7" t="n">
        <f aca="false">IF(ISBLANK(BA440),"No Follow Up Needed",BA440)</f>
        <v>45883</v>
      </c>
      <c r="BC440" s="0" t="s">
        <v>61</v>
      </c>
      <c r="BD440" s="0" t="str">
        <f aca="false">PROPER(IF(ISBLANK(BC440),"Unknown",BC440))</f>
        <v>No</v>
      </c>
      <c r="BE440" s="0" t="s">
        <v>116</v>
      </c>
      <c r="BF440" s="0" t="str">
        <f aca="false">IF(ISBLANK(BE440),"No comments",BE440)</f>
        <v>Needs tire alignment</v>
      </c>
      <c r="BG440" s="0" t="s">
        <v>117</v>
      </c>
      <c r="BH440" s="0" t="str">
        <f aca="false">IF(ISBLANK(BG440),"No comments",BG440)</f>
        <v>Prefers morning</v>
      </c>
      <c r="BI440" s="0" t="s">
        <v>63</v>
      </c>
      <c r="BJ440" s="0" t="str">
        <f aca="false">IF(ISBLANK(BI440),"Not Mentioned",BI440)</f>
        <v>Yes</v>
      </c>
      <c r="BK440" s="0" t="s">
        <v>82</v>
      </c>
      <c r="BL440" s="0" t="str">
        <f aca="false">PROPER(IF(ISBLANK(BK440),"Not Mentioned",BK440))</f>
        <v>Yes</v>
      </c>
      <c r="BN440" s="0" t="str">
        <f aca="false">PROPER(IF(ISBLANK(BM440),"Not Mentioned",BM440))</f>
        <v>Not Mentioned</v>
      </c>
      <c r="BO440" s="0" t="s">
        <v>2321</v>
      </c>
      <c r="BP440" s="0" t="str">
        <f aca="false">IF(ISBLANK(BO440),"One-Time Plan",BO440)</f>
        <v>One-Time Plan</v>
      </c>
      <c r="BQ440" s="0" t="s">
        <v>50</v>
      </c>
      <c r="BR440" s="0" t="str">
        <f aca="false">PROPER(IF(ISBLANK(BQ440),"No",BQ440))</f>
        <v>No</v>
      </c>
    </row>
    <row r="441" customFormat="false" ht="15" hidden="false" customHeight="false" outlineLevel="0" collapsed="false">
      <c r="A441" s="0" t="s">
        <v>1150</v>
      </c>
      <c r="B441" s="2" t="n">
        <v>45740</v>
      </c>
      <c r="C441" s="2" t="str">
        <f aca="false">TEXT(B441,"dd/mm/yyyy")</f>
        <v>24/03/2025</v>
      </c>
      <c r="D441" s="0" t="s">
        <v>105</v>
      </c>
      <c r="E441" s="0" t="n">
        <v>8049176757</v>
      </c>
      <c r="F441" s="0" t="s">
        <v>122</v>
      </c>
      <c r="G441" s="0" t="s">
        <v>2316</v>
      </c>
      <c r="H441" s="0" t="s">
        <v>1151</v>
      </c>
      <c r="I441" s="0" t="s">
        <v>107</v>
      </c>
      <c r="J441" s="0" t="s">
        <v>2317</v>
      </c>
      <c r="K441" s="3" t="str">
        <f aca="false" t="array" ref="K441:K441">IFERROR(IF(J441&lt;&gt;"",J441,INDEX(J441:J1440,MATCH(1,(F441:F1440=F441)*(I441:I1440=I441)*(L441:L1440=L441)*(J441:J1440&lt;&gt;""),0))),"Not Found")</f>
        <v>Suspension Noise</v>
      </c>
      <c r="L441" s="3" t="s">
        <v>189</v>
      </c>
      <c r="M441" s="0" t="str">
        <f aca="false">PROPER(L441)</f>
        <v>Battery</v>
      </c>
      <c r="N441" s="3" t="s">
        <v>109</v>
      </c>
      <c r="O441" s="0" t="str">
        <f aca="false" t="array" ref="O441:O441">IF(N441&lt;&gt;"",N441,_xlfn.xlookup(1,(L441:L1440=L441)*(N441:N1440&lt;&gt;""),N441:N1440,"Not Found"))</f>
        <v>Tijani</v>
      </c>
      <c r="P441" s="4" t="n">
        <v>13544</v>
      </c>
      <c r="Q441" s="0" t="s">
        <v>110</v>
      </c>
      <c r="R441" s="0" t="str">
        <f aca="false">PROPER(Q441)</f>
        <v>Cash</v>
      </c>
      <c r="S441" s="0" t="s">
        <v>50</v>
      </c>
      <c r="T441" s="0" t="n">
        <v>4</v>
      </c>
      <c r="U441" s="5" t="n">
        <f aca="false">IF(ISBLANK(T441),AVERAGE(T441:T1440),T441)</f>
        <v>4</v>
      </c>
      <c r="V441" s="0" t="n">
        <v>2.7</v>
      </c>
      <c r="X441" s="0" t="str">
        <f aca="false">IF(ISBLANK(W441),"No remarks",W441)</f>
        <v>No remarks</v>
      </c>
      <c r="Y441" s="0" t="s">
        <v>52</v>
      </c>
      <c r="Z441" s="0" t="s">
        <v>94</v>
      </c>
      <c r="AA441" s="0" t="str">
        <f aca="false">PROPER(IF(ISBLANK(Z441),"Location Unavailable",Z441))</f>
        <v>Vip Section</v>
      </c>
      <c r="AB441" s="0" t="s">
        <v>54</v>
      </c>
      <c r="AC441" s="6" t="str">
        <f aca="false">PROPER(AB441)</f>
        <v>Mechanic Referral</v>
      </c>
      <c r="AD441" s="6" t="n">
        <v>60</v>
      </c>
      <c r="AE441" s="5" t="n">
        <f aca="false">IF(ISBLANK(AD441),AVERAGEIF(L441:L1440,L441,AD441:AD1440),AD441)</f>
        <v>60</v>
      </c>
      <c r="AF441" s="0" t="s">
        <v>55</v>
      </c>
      <c r="AG441" s="0" t="str">
        <f aca="false">PROPER(AF441)</f>
        <v>Available</v>
      </c>
      <c r="AH441" s="0" t="s">
        <v>77</v>
      </c>
      <c r="AI441" s="0" t="s">
        <v>113</v>
      </c>
      <c r="AJ441" s="0" t="str">
        <f aca="false">PROPER(AI441)</f>
        <v>Normal</v>
      </c>
      <c r="AK441" s="0" t="s">
        <v>58</v>
      </c>
      <c r="AL441" s="0" t="str">
        <f aca="false">PROPER(AK441)</f>
        <v>Fleet Owner</v>
      </c>
      <c r="AM441" s="0" t="s">
        <v>2326</v>
      </c>
      <c r="AN441" s="0" t="str">
        <f aca="false">IF(ISBLANK(AM441),"Unknown",AM441)</f>
        <v>Government Convoy</v>
      </c>
      <c r="AO441" s="0" t="s">
        <v>79</v>
      </c>
      <c r="AP441" s="0" t="str">
        <f aca="false">IF(ISBLANK(AO441),"Unknown",AO441)</f>
        <v>Specialist</v>
      </c>
      <c r="AQ441" s="0" t="n">
        <v>20000</v>
      </c>
      <c r="AR441" s="5" t="n">
        <f aca="false">IF(ISBLANK(AQ441),AVERAGEIF(M441:M1440,M441,AQ441:AQ1440),AQ441)</f>
        <v>20000</v>
      </c>
      <c r="AT441" s="5" t="n">
        <f aca="false">IF(ISBLANK(AS441),AVERAGE(AS441:AS1440),AS441)</f>
        <v>31468.085106383</v>
      </c>
      <c r="AU441" s="0" t="s">
        <v>50</v>
      </c>
      <c r="AV441" s="0" t="str">
        <f aca="false">PROPER(IF(ISBLANK(AU441),"No",AU441))</f>
        <v>No</v>
      </c>
      <c r="AW441" s="0" t="n">
        <v>5000</v>
      </c>
      <c r="AX441" s="5" t="n">
        <f aca="false">IF(ISBLANK(AW441),0,AW441)</f>
        <v>5000</v>
      </c>
      <c r="AY441" s="0" t="s">
        <v>184</v>
      </c>
      <c r="AZ441" s="0" t="str">
        <f aca="false">UPPER(IF(ISBLANK(AY441),"NONE",AY441))</f>
        <v>N/A</v>
      </c>
      <c r="BA441" s="7" t="s">
        <v>571</v>
      </c>
      <c r="BB441" s="7" t="str">
        <f aca="false">IF(ISBLANK(BA441),"No Follow Up Needed",BA441)</f>
        <v>14/08/2025</v>
      </c>
      <c r="BC441" s="0" t="s">
        <v>61</v>
      </c>
      <c r="BD441" s="0" t="str">
        <f aca="false">PROPER(IF(ISBLANK(BC441),"Unknown",BC441))</f>
        <v>No</v>
      </c>
      <c r="BF441" s="0" t="str">
        <f aca="false">IF(ISBLANK(BE441),"No comments",BE441)</f>
        <v>No comments</v>
      </c>
      <c r="BG441" s="0" t="s">
        <v>2320</v>
      </c>
      <c r="BH441" s="0" t="str">
        <f aca="false">IF(ISBLANK(BG441),"No comments",BG441)</f>
        <v>No complaints</v>
      </c>
      <c r="BI441" s="0" t="s">
        <v>50</v>
      </c>
      <c r="BJ441" s="0" t="str">
        <f aca="false">IF(ISBLANK(BI441),"Not Mentioned",BI441)</f>
        <v>No</v>
      </c>
      <c r="BK441" s="0" t="s">
        <v>63</v>
      </c>
      <c r="BL441" s="0" t="str">
        <f aca="false">PROPER(IF(ISBLANK(BK441),"Not Mentioned",BK441))</f>
        <v>Yes</v>
      </c>
      <c r="BM441" s="0" t="s">
        <v>63</v>
      </c>
      <c r="BN441" s="0" t="str">
        <f aca="false">PROPER(IF(ISBLANK(BM441),"Not Mentioned",BM441))</f>
        <v>Yes</v>
      </c>
      <c r="BO441" s="0" t="s">
        <v>2318</v>
      </c>
      <c r="BP441" s="0" t="str">
        <f aca="false">IF(ISBLANK(BO441),"One-Time Plan",BO441)</f>
        <v>Gold</v>
      </c>
      <c r="BQ441" s="0" t="s">
        <v>50</v>
      </c>
      <c r="BR441" s="0" t="str">
        <f aca="false">PROPER(IF(ISBLANK(BQ441),"No",BQ441))</f>
        <v>No</v>
      </c>
    </row>
    <row r="442" customFormat="false" ht="15" hidden="false" customHeight="false" outlineLevel="0" collapsed="false">
      <c r="A442" s="0" t="s">
        <v>1152</v>
      </c>
      <c r="B442" s="2" t="n">
        <v>45699</v>
      </c>
      <c r="C442" s="2" t="str">
        <f aca="false">TEXT(B442,"dd/mm/yyyy")</f>
        <v>11/02/2025</v>
      </c>
      <c r="D442" s="0" t="s">
        <v>163</v>
      </c>
      <c r="E442" s="0" t="n">
        <v>8099477179</v>
      </c>
      <c r="F442" s="0" t="s">
        <v>85</v>
      </c>
      <c r="G442" s="0" t="s">
        <v>2319</v>
      </c>
      <c r="H442" s="0" t="s">
        <v>1153</v>
      </c>
      <c r="I442" s="0" t="s">
        <v>87</v>
      </c>
      <c r="J442" s="0" t="s">
        <v>2325</v>
      </c>
      <c r="K442" s="3" t="str">
        <f aca="false" t="array" ref="K442:K442">IFERROR(IF(J442&lt;&gt;"",J442,INDEX(J442:J1441,MATCH(1,(F442:F1441=F442)*(I442:I1441=I442)*(L442:L1441=L442)*(J442:J1441&lt;&gt;""),0))),"Not Found")</f>
        <v>Engine Knocking</v>
      </c>
      <c r="L442" s="3" t="s">
        <v>154</v>
      </c>
      <c r="M442" s="0" t="str">
        <f aca="false">PROPER(L442)</f>
        <v>Air Filter</v>
      </c>
      <c r="N442" s="3" t="s">
        <v>90</v>
      </c>
      <c r="O442" s="0" t="str">
        <f aca="false" t="array" ref="O442:O442">IF(N442&lt;&gt;"",N442,_xlfn.xlookup(1,(L442:L1441=L442)*(N442:N1441&lt;&gt;""),N442:N1441,"Not Found"))</f>
        <v>Musa</v>
      </c>
      <c r="P442" s="4" t="n">
        <v>43994</v>
      </c>
      <c r="Q442" s="0" t="s">
        <v>124</v>
      </c>
      <c r="R442" s="0" t="str">
        <f aca="false">PROPER(Q442)</f>
        <v>Cash</v>
      </c>
      <c r="S442" s="0" t="s">
        <v>63</v>
      </c>
      <c r="T442" s="0" t="n">
        <v>3</v>
      </c>
      <c r="U442" s="5" t="n">
        <f aca="false">IF(ISBLANK(T442),AVERAGE(T442:T1441),T442)</f>
        <v>3</v>
      </c>
      <c r="V442" s="0" t="n">
        <v>4.5</v>
      </c>
      <c r="W442" s="0" t="s">
        <v>92</v>
      </c>
      <c r="X442" s="0" t="str">
        <f aca="false">IF(ISBLANK(W442),"No remarks",W442)</f>
        <v>Urgent service</v>
      </c>
      <c r="Y442" s="0" t="s">
        <v>52</v>
      </c>
      <c r="Z442" s="0" t="s">
        <v>74</v>
      </c>
      <c r="AA442" s="0" t="str">
        <f aca="false">PROPER(IF(ISBLANK(Z442),"Location Unavailable",Z442))</f>
        <v>Under Tree</v>
      </c>
      <c r="AB442" s="0" t="s">
        <v>147</v>
      </c>
      <c r="AC442" s="6" t="str">
        <f aca="false">PROPER(AB442)</f>
        <v>Instagram</v>
      </c>
      <c r="AD442" s="6" t="n">
        <v>15</v>
      </c>
      <c r="AE442" s="5" t="n">
        <f aca="false">IF(ISBLANK(AD442),AVERAGEIF(L442:L1441,L442,AD442:AD1441),AD442)</f>
        <v>15</v>
      </c>
      <c r="AF442" s="0" t="s">
        <v>160</v>
      </c>
      <c r="AG442" s="0" t="str">
        <f aca="false">PROPER(AF442)</f>
        <v>Availaible</v>
      </c>
      <c r="AH442" s="0" t="s">
        <v>77</v>
      </c>
      <c r="AI442" s="0" t="s">
        <v>78</v>
      </c>
      <c r="AJ442" s="0" t="str">
        <f aca="false">PROPER(AI442)</f>
        <v>Booking</v>
      </c>
      <c r="AK442" s="0" t="s">
        <v>99</v>
      </c>
      <c r="AL442" s="0" t="str">
        <f aca="false">PROPER(AK442)</f>
        <v>Uber Driver</v>
      </c>
      <c r="AM442" s="0" t="s">
        <v>59</v>
      </c>
      <c r="AN442" s="0" t="str">
        <f aca="false">IF(ISBLANK(AM442),"Unknown",AM442)</f>
        <v>Bolt Driver</v>
      </c>
      <c r="AO442" s="0" t="s">
        <v>143</v>
      </c>
      <c r="AP442" s="0" t="str">
        <f aca="false">IF(ISBLANK(AO442),"Unknown",AO442)</f>
        <v>Senior</v>
      </c>
      <c r="AQ442" s="0" t="n">
        <v>30000</v>
      </c>
      <c r="AR442" s="5" t="n">
        <f aca="false">IF(ISBLANK(AQ442),AVERAGEIF(M442:M1441,M442,AQ442:AQ1441),AQ442)</f>
        <v>30000</v>
      </c>
      <c r="AS442" s="0" t="n">
        <v>20000</v>
      </c>
      <c r="AT442" s="5" t="n">
        <f aca="false">IF(ISBLANK(AS442),AVERAGE(AS442:AS1441),AS442)</f>
        <v>20000</v>
      </c>
      <c r="AU442" s="0" t="s">
        <v>50</v>
      </c>
      <c r="AV442" s="0" t="str">
        <f aca="false">PROPER(IF(ISBLANK(AU442),"No",AU442))</f>
        <v>No</v>
      </c>
      <c r="AW442" s="0" t="n">
        <v>5000</v>
      </c>
      <c r="AX442" s="5" t="n">
        <f aca="false">IF(ISBLANK(AW442),0,AW442)</f>
        <v>5000</v>
      </c>
      <c r="AY442" s="0" t="s">
        <v>60</v>
      </c>
      <c r="AZ442" s="0" t="str">
        <f aca="false">UPPER(IF(ISBLANK(AY442),"NONE",AY442))</f>
        <v>NONE</v>
      </c>
      <c r="BB442" s="7" t="str">
        <f aca="false">IF(ISBLANK(BA442),"No Follow Up Needed",BA442)</f>
        <v>No Follow Up Needed</v>
      </c>
      <c r="BD442" s="0" t="str">
        <f aca="false">PROPER(IF(ISBLANK(BC442),"Unknown",BC442))</f>
        <v>Unknown</v>
      </c>
      <c r="BF442" s="0" t="str">
        <f aca="false">IF(ISBLANK(BE442),"No comments",BE442)</f>
        <v>No comments</v>
      </c>
      <c r="BG442" s="0" t="s">
        <v>172</v>
      </c>
      <c r="BH442" s="0" t="str">
        <f aca="false">IF(ISBLANK(BG442),"No comments",BG442)</f>
        <v>Always late</v>
      </c>
      <c r="BI442" s="0" t="s">
        <v>63</v>
      </c>
      <c r="BJ442" s="0" t="str">
        <f aca="false">IF(ISBLANK(BI442),"Not Mentioned",BI442)</f>
        <v>Yes</v>
      </c>
      <c r="BK442" s="0" t="s">
        <v>82</v>
      </c>
      <c r="BL442" s="0" t="str">
        <f aca="false">PROPER(IF(ISBLANK(BK442),"Not Mentioned",BK442))</f>
        <v>Yes</v>
      </c>
      <c r="BM442" s="0" t="s">
        <v>50</v>
      </c>
      <c r="BN442" s="0" t="str">
        <f aca="false">PROPER(IF(ISBLANK(BM442),"Not Mentioned",BM442))</f>
        <v>No</v>
      </c>
      <c r="BP442" s="0" t="str">
        <f aca="false">IF(ISBLANK(BO442),"One-Time Plan",BO442)</f>
        <v>One-Time Plan</v>
      </c>
      <c r="BQ442" s="0" t="s">
        <v>63</v>
      </c>
      <c r="BR442" s="0" t="str">
        <f aca="false">PROPER(IF(ISBLANK(BQ442),"No",BQ442))</f>
        <v>Yes</v>
      </c>
    </row>
    <row r="443" customFormat="false" ht="15" hidden="false" customHeight="false" outlineLevel="0" collapsed="false">
      <c r="A443" s="0" t="s">
        <v>1154</v>
      </c>
      <c r="B443" s="2" t="n">
        <v>45773</v>
      </c>
      <c r="C443" s="2" t="str">
        <f aca="false">TEXT(B443,"dd/mm/yyyy")</f>
        <v>26/04/2025</v>
      </c>
      <c r="D443" s="0" t="s">
        <v>42</v>
      </c>
      <c r="E443" s="0" t="n">
        <v>8018958209</v>
      </c>
      <c r="F443" s="0" t="s">
        <v>139</v>
      </c>
      <c r="G443" s="0" t="s">
        <v>2323</v>
      </c>
      <c r="H443" s="0" t="s">
        <v>320</v>
      </c>
      <c r="I443" s="0" t="s">
        <v>69</v>
      </c>
      <c r="J443" s="0" t="s">
        <v>2325</v>
      </c>
      <c r="K443" s="3" t="str">
        <f aca="false" t="array" ref="K443:K443">IFERROR(IF(J443&lt;&gt;"",J443,INDEX(J443:J1442,MATCH(1,(F443:F1442=F443)*(I443:I1442=I443)*(L443:L1442=L443)*(J443:J1442&lt;&gt;""),0))),"Not Found")</f>
        <v>Engine Knocking</v>
      </c>
      <c r="L443" s="3" t="s">
        <v>154</v>
      </c>
      <c r="M443" s="0" t="str">
        <f aca="false">PROPER(L443)</f>
        <v>Air Filter</v>
      </c>
      <c r="N443" s="3" t="s">
        <v>109</v>
      </c>
      <c r="O443" s="0" t="str">
        <f aca="false" t="array" ref="O443:O443">IF(N443&lt;&gt;"",N443,_xlfn.xlookup(1,(L443:L1442=L443)*(N443:N1442&lt;&gt;""),N443:N1442,"Not Found"))</f>
        <v>Tijani</v>
      </c>
      <c r="P443" s="4" t="n">
        <v>19823</v>
      </c>
      <c r="Q443" s="0" t="s">
        <v>124</v>
      </c>
      <c r="R443" s="0" t="str">
        <f aca="false">PROPER(Q443)</f>
        <v>Cash</v>
      </c>
      <c r="S443" s="0" t="s">
        <v>50</v>
      </c>
      <c r="U443" s="5" t="n">
        <f aca="false">IF(ISBLANK(T443),AVERAGE(T443:T1442),T443)</f>
        <v>3.0755939524838</v>
      </c>
      <c r="V443" s="0" t="n">
        <v>4.9</v>
      </c>
      <c r="X443" s="0" t="str">
        <f aca="false">IF(ISBLANK(W443),"No remarks",W443)</f>
        <v>No remarks</v>
      </c>
      <c r="Y443" s="0" t="s">
        <v>93</v>
      </c>
      <c r="Z443" s="0" t="s">
        <v>53</v>
      </c>
      <c r="AA443" s="0" t="str">
        <f aca="false">PROPER(IF(ISBLANK(Z443),"Location Unavailable",Z443))</f>
        <v>Main Bay</v>
      </c>
      <c r="AB443" s="0" t="s">
        <v>75</v>
      </c>
      <c r="AC443" s="6" t="str">
        <f aca="false">PROPER(AB443)</f>
        <v>Mechanik Referal</v>
      </c>
      <c r="AD443" s="6" t="n">
        <v>15</v>
      </c>
      <c r="AE443" s="5" t="n">
        <f aca="false">IF(ISBLANK(AD443),AVERAGEIF(L443:L1442,L443,AD443:AD1442),AD443)</f>
        <v>15</v>
      </c>
      <c r="AF443" s="0" t="s">
        <v>112</v>
      </c>
      <c r="AG443" s="0" t="str">
        <f aca="false">PROPER(AF443)</f>
        <v>Unavailable</v>
      </c>
      <c r="AH443" s="0" t="s">
        <v>148</v>
      </c>
      <c r="AI443" s="0" t="s">
        <v>128</v>
      </c>
      <c r="AJ443" s="0" t="str">
        <f aca="false">PROPER(AI443)</f>
        <v>Normal</v>
      </c>
      <c r="AK443" s="0" t="s">
        <v>58</v>
      </c>
      <c r="AL443" s="0" t="str">
        <f aca="false">PROPER(AK443)</f>
        <v>Fleet Owner</v>
      </c>
      <c r="AN443" s="0" t="str">
        <f aca="false">IF(ISBLANK(AM443),"Unknown",AM443)</f>
        <v>Unknown</v>
      </c>
      <c r="AO443" s="0" t="s">
        <v>161</v>
      </c>
      <c r="AP443" s="0" t="str">
        <f aca="false">IF(ISBLANK(AO443),"Unknown",AO443)</f>
        <v>Apprentice</v>
      </c>
      <c r="AQ443" s="0" t="n">
        <v>40000</v>
      </c>
      <c r="AR443" s="5" t="n">
        <f aca="false">IF(ISBLANK(AQ443),AVERAGEIF(M443:M1442,M443,AQ443:AQ1442),AQ443)</f>
        <v>40000</v>
      </c>
      <c r="AS443" s="0" t="n">
        <v>35000</v>
      </c>
      <c r="AT443" s="5" t="n">
        <f aca="false">IF(ISBLANK(AS443),AVERAGE(AS443:AS1442),AS443)</f>
        <v>35000</v>
      </c>
      <c r="AU443" s="0" t="s">
        <v>82</v>
      </c>
      <c r="AV443" s="0" t="str">
        <f aca="false">PROPER(IF(ISBLANK(AU443),"No",AU443))</f>
        <v>Yes</v>
      </c>
      <c r="AX443" s="5" t="n">
        <f aca="false">IF(ISBLANK(AW443),0,AW443)</f>
        <v>0</v>
      </c>
      <c r="AY443" s="0" t="s">
        <v>60</v>
      </c>
      <c r="AZ443" s="0" t="str">
        <f aca="false">UPPER(IF(ISBLANK(AY443),"NONE",AY443))</f>
        <v>NONE</v>
      </c>
      <c r="BA443" s="7" t="s">
        <v>1155</v>
      </c>
      <c r="BB443" s="7" t="str">
        <f aca="false">IF(ISBLANK(BA443),"No Follow Up Needed",BA443)</f>
        <v>21/10/2025</v>
      </c>
      <c r="BC443" s="0" t="s">
        <v>63</v>
      </c>
      <c r="BD443" s="0" t="str">
        <f aca="false">PROPER(IF(ISBLANK(BC443),"Unknown",BC443))</f>
        <v>Yes</v>
      </c>
      <c r="BF443" s="0" t="str">
        <f aca="false">IF(ISBLANK(BE443),"No comments",BE443)</f>
        <v>No comments</v>
      </c>
      <c r="BG443" s="0" t="s">
        <v>172</v>
      </c>
      <c r="BH443" s="0" t="str">
        <f aca="false">IF(ISBLANK(BG443),"No comments",BG443)</f>
        <v>Always late</v>
      </c>
      <c r="BI443" s="0" t="s">
        <v>50</v>
      </c>
      <c r="BJ443" s="0" t="str">
        <f aca="false">IF(ISBLANK(BI443),"Not Mentioned",BI443)</f>
        <v>No</v>
      </c>
      <c r="BK443" s="0" t="s">
        <v>61</v>
      </c>
      <c r="BL443" s="0" t="str">
        <f aca="false">PROPER(IF(ISBLANK(BK443),"Not Mentioned",BK443))</f>
        <v>No</v>
      </c>
      <c r="BM443" s="0" t="s">
        <v>63</v>
      </c>
      <c r="BN443" s="0" t="str">
        <f aca="false">PROPER(IF(ISBLANK(BM443),"Not Mentioned",BM443))</f>
        <v>Yes</v>
      </c>
      <c r="BO443" s="0" t="s">
        <v>2321</v>
      </c>
      <c r="BP443" s="0" t="str">
        <f aca="false">IF(ISBLANK(BO443),"One-Time Plan",BO443)</f>
        <v>One-Time Plan</v>
      </c>
      <c r="BQ443" s="0" t="s">
        <v>63</v>
      </c>
      <c r="BR443" s="0" t="str">
        <f aca="false">PROPER(IF(ISBLANK(BQ443),"No",BQ443))</f>
        <v>Yes</v>
      </c>
    </row>
    <row r="444" customFormat="false" ht="15" hidden="false" customHeight="false" outlineLevel="0" collapsed="false">
      <c r="A444" s="0" t="s">
        <v>1156</v>
      </c>
      <c r="B444" s="2" t="n">
        <v>45788</v>
      </c>
      <c r="C444" s="2" t="str">
        <f aca="false">TEXT(B444,"dd/mm/yyyy")</f>
        <v>11/05/2025</v>
      </c>
      <c r="D444" s="0" t="s">
        <v>163</v>
      </c>
      <c r="E444" s="0" t="n">
        <v>8039159454</v>
      </c>
      <c r="F444" s="0" t="s">
        <v>43</v>
      </c>
      <c r="G444" s="0" t="s">
        <v>2315</v>
      </c>
      <c r="H444" s="0" t="s">
        <v>1157</v>
      </c>
      <c r="I444" s="0" t="s">
        <v>134</v>
      </c>
      <c r="J444" s="0" t="s">
        <v>2322</v>
      </c>
      <c r="K444" s="3" t="str">
        <f aca="false" t="array" ref="K444:K444">IFERROR(IF(J444&lt;&gt;"",J444,INDEX(J444:J1443,MATCH(1,(F444:F1443=F444)*(I444:I1443=I444)*(L444:L1443=L444)*(J444:J1443&lt;&gt;""),0))),"Not Found")</f>
        <v>Brake Failure</v>
      </c>
      <c r="L444" s="3" t="s">
        <v>142</v>
      </c>
      <c r="M444" s="0" t="str">
        <f aca="false">PROPER(L444)</f>
        <v>Oil Filter, Brake Pads</v>
      </c>
      <c r="N444" s="3" t="s">
        <v>71</v>
      </c>
      <c r="O444" s="0" t="str">
        <f aca="false" t="array" ref="O444:O444">IF(N444&lt;&gt;"",N444,_xlfn.xlookup(1,(L444:L1443=L444)*(N444:N1443&lt;&gt;""),N444:N1443,"Not Found"))</f>
        <v>Isaac Bobo</v>
      </c>
      <c r="P444" s="4" t="n">
        <v>107340</v>
      </c>
      <c r="Q444" s="0" t="s">
        <v>124</v>
      </c>
      <c r="R444" s="0" t="str">
        <f aca="false">PROPER(Q444)</f>
        <v>Cash</v>
      </c>
      <c r="S444" s="0" t="s">
        <v>50</v>
      </c>
      <c r="T444" s="0" t="n">
        <v>1</v>
      </c>
      <c r="U444" s="5" t="n">
        <f aca="false">IF(ISBLANK(T444),AVERAGE(T444:T1443),T444)</f>
        <v>1</v>
      </c>
      <c r="V444" s="0" t="n">
        <v>3.5</v>
      </c>
      <c r="W444" s="0" t="s">
        <v>111</v>
      </c>
      <c r="X444" s="0" t="str">
        <f aca="false">IF(ISBLANK(W444),"No remarks",W444)</f>
        <v>Changed all filters</v>
      </c>
      <c r="Y444" s="0" t="s">
        <v>52</v>
      </c>
      <c r="Z444" s="0" t="s">
        <v>74</v>
      </c>
      <c r="AA444" s="0" t="str">
        <f aca="false">PROPER(IF(ISBLANK(Z444),"Location Unavailable",Z444))</f>
        <v>Under Tree</v>
      </c>
      <c r="AB444" s="0" t="s">
        <v>95</v>
      </c>
      <c r="AC444" s="6" t="str">
        <f aca="false">PROPER(AB444)</f>
        <v>Road Sign</v>
      </c>
      <c r="AD444" s="6" t="n">
        <v>30</v>
      </c>
      <c r="AE444" s="5" t="n">
        <f aca="false">IF(ISBLANK(AD444),AVERAGEIF(L444:L1443,L444,AD444:AD1443),AD444)</f>
        <v>30</v>
      </c>
      <c r="AF444" s="0" t="s">
        <v>160</v>
      </c>
      <c r="AG444" s="0" t="str">
        <f aca="false">PROPER(AF444)</f>
        <v>Availaible</v>
      </c>
      <c r="AH444" s="0" t="s">
        <v>77</v>
      </c>
      <c r="AI444" s="0" t="s">
        <v>98</v>
      </c>
      <c r="AJ444" s="0" t="str">
        <f aca="false">PROPER(AI444)</f>
        <v>Emergency</v>
      </c>
      <c r="AK444" s="0" t="s">
        <v>196</v>
      </c>
      <c r="AL444" s="0" t="str">
        <f aca="false">PROPER(AK444)</f>
        <v>First Time</v>
      </c>
      <c r="AM444" s="0" t="s">
        <v>2324</v>
      </c>
      <c r="AN444" s="0" t="str">
        <f aca="false">IF(ISBLANK(AM444),"Unknown",AM444)</f>
        <v>Logistics Convoy</v>
      </c>
      <c r="AP444" s="0" t="str">
        <f aca="false">IF(ISBLANK(AO444),"Unknown",AO444)</f>
        <v>Unknown</v>
      </c>
      <c r="AQ444" s="0" t="n">
        <v>40000</v>
      </c>
      <c r="AR444" s="5" t="n">
        <f aca="false">IF(ISBLANK(AQ444),AVERAGEIF(M444:M1443,M444,AQ444:AQ1443),AQ444)</f>
        <v>40000</v>
      </c>
      <c r="AS444" s="0" t="n">
        <v>30000</v>
      </c>
      <c r="AT444" s="5" t="n">
        <f aca="false">IF(ISBLANK(AS444),AVERAGE(AS444:AS1443),AS444)</f>
        <v>30000</v>
      </c>
      <c r="AU444" s="0" t="s">
        <v>61</v>
      </c>
      <c r="AV444" s="0" t="str">
        <f aca="false">PROPER(IF(ISBLANK(AU444),"No",AU444))</f>
        <v>No</v>
      </c>
      <c r="AW444" s="0" t="n">
        <v>5000</v>
      </c>
      <c r="AX444" s="5" t="n">
        <f aca="false">IF(ISBLANK(AW444),0,AW444)</f>
        <v>5000</v>
      </c>
      <c r="AY444" s="0" t="s">
        <v>130</v>
      </c>
      <c r="AZ444" s="0" t="str">
        <f aca="false">UPPER(IF(ISBLANK(AY444),"NONE",AY444))</f>
        <v>LOYALTY10</v>
      </c>
      <c r="BA444" s="7" t="n">
        <v>45833</v>
      </c>
      <c r="BB444" s="7" t="n">
        <f aca="false">IF(ISBLANK(BA444),"No Follow Up Needed",BA444)</f>
        <v>45833</v>
      </c>
      <c r="BC444" s="0" t="s">
        <v>63</v>
      </c>
      <c r="BD444" s="0" t="str">
        <f aca="false">PROPER(IF(ISBLANK(BC444),"Unknown",BC444))</f>
        <v>Yes</v>
      </c>
      <c r="BF444" s="0" t="str">
        <f aca="false">IF(ISBLANK(BE444),"No comments",BE444)</f>
        <v>No comments</v>
      </c>
      <c r="BG444" s="0" t="s">
        <v>117</v>
      </c>
      <c r="BH444" s="0" t="str">
        <f aca="false">IF(ISBLANK(BG444),"No comments",BG444)</f>
        <v>Prefers morning</v>
      </c>
      <c r="BI444" s="0" t="s">
        <v>50</v>
      </c>
      <c r="BJ444" s="0" t="str">
        <f aca="false">IF(ISBLANK(BI444),"Not Mentioned",BI444)</f>
        <v>No</v>
      </c>
      <c r="BK444" s="0" t="s">
        <v>61</v>
      </c>
      <c r="BL444" s="0" t="str">
        <f aca="false">PROPER(IF(ISBLANK(BK444),"Not Mentioned",BK444))</f>
        <v>No</v>
      </c>
      <c r="BM444" s="0" t="s">
        <v>63</v>
      </c>
      <c r="BN444" s="0" t="str">
        <f aca="false">PROPER(IF(ISBLANK(BM444),"Not Mentioned",BM444))</f>
        <v>Yes</v>
      </c>
      <c r="BO444" s="0" t="s">
        <v>64</v>
      </c>
      <c r="BP444" s="0" t="str">
        <f aca="false">IF(ISBLANK(BO444),"One-Time Plan",BO444)</f>
        <v>Gold Maintenance Plan</v>
      </c>
      <c r="BQ444" s="0" t="s">
        <v>198</v>
      </c>
      <c r="BR444" s="0" t="str">
        <f aca="false">PROPER(IF(ISBLANK(BQ444),"No",BQ444))</f>
        <v>Followed Up</v>
      </c>
    </row>
    <row r="445" customFormat="false" ht="15" hidden="false" customHeight="false" outlineLevel="0" collapsed="false">
      <c r="A445" s="0" t="s">
        <v>1158</v>
      </c>
      <c r="B445" s="2" t="n">
        <v>45842</v>
      </c>
      <c r="C445" s="2" t="str">
        <f aca="false">TEXT(B445,"dd/mm/yyyy")</f>
        <v>04/07/2025</v>
      </c>
      <c r="D445" s="0" t="s">
        <v>66</v>
      </c>
      <c r="E445" s="0" t="n">
        <v>8076234781</v>
      </c>
      <c r="F445" s="0" t="s">
        <v>43</v>
      </c>
      <c r="G445" s="0" t="s">
        <v>2315</v>
      </c>
      <c r="H445" s="0" t="s">
        <v>1159</v>
      </c>
      <c r="I445" s="0" t="s">
        <v>107</v>
      </c>
      <c r="J445" s="0" t="s">
        <v>2322</v>
      </c>
      <c r="K445" s="3" t="str">
        <f aca="false" t="array" ref="K445:K445">IFERROR(IF(J445&lt;&gt;"",J445,INDEX(J445:J1444,MATCH(1,(F445:F1444=F445)*(I445:I1444=I445)*(L445:L1444=L445)*(J445:J1444&lt;&gt;""),0))),"Not Found")</f>
        <v>Brake Failure</v>
      </c>
      <c r="L445" s="3" t="s">
        <v>108</v>
      </c>
      <c r="M445" s="0" t="str">
        <f aca="false">PROPER(L445)</f>
        <v>Timing Belt</v>
      </c>
      <c r="N445" s="3" t="s">
        <v>109</v>
      </c>
      <c r="O445" s="0" t="str">
        <f aca="false" t="array" ref="O445:O445">IF(N445&lt;&gt;"",N445,_xlfn.xlookup(1,(L445:L1444=L445)*(N445:N1444&lt;&gt;""),N445:N1444,"Not Found"))</f>
        <v>Tijani</v>
      </c>
      <c r="P445" s="4" t="n">
        <v>112042</v>
      </c>
      <c r="Q445" s="0" t="s">
        <v>49</v>
      </c>
      <c r="R445" s="0" t="str">
        <f aca="false">PROPER(Q445)</f>
        <v>Transfer</v>
      </c>
      <c r="S445" s="0" t="s">
        <v>63</v>
      </c>
      <c r="U445" s="5" t="n">
        <f aca="false">IF(ISBLANK(T445),AVERAGE(T445:T1444),T445)</f>
        <v>3.08008658008658</v>
      </c>
      <c r="V445" s="0" t="n">
        <v>2.9</v>
      </c>
      <c r="W445" s="0" t="s">
        <v>125</v>
      </c>
      <c r="X445" s="0" t="str">
        <f aca="false">IF(ISBLANK(W445),"No remarks",W445)</f>
        <v>Customer waited</v>
      </c>
      <c r="Y445" s="0" t="s">
        <v>73</v>
      </c>
      <c r="AA445" s="0" t="str">
        <f aca="false">PROPER(IF(ISBLANK(Z445),"Location Unavailable",Z445))</f>
        <v>Location Unavailable</v>
      </c>
      <c r="AB445" s="0" t="s">
        <v>147</v>
      </c>
      <c r="AC445" s="6" t="str">
        <f aca="false">PROPER(AB445)</f>
        <v>Instagram</v>
      </c>
      <c r="AD445" s="6" t="n">
        <v>30</v>
      </c>
      <c r="AE445" s="5" t="n">
        <f aca="false">IF(ISBLANK(AD445),AVERAGEIF(L445:L1444,L445,AD445:AD1444),AD445)</f>
        <v>30</v>
      </c>
      <c r="AF445" s="0" t="s">
        <v>112</v>
      </c>
      <c r="AG445" s="0" t="str">
        <f aca="false">PROPER(AF445)</f>
        <v>Unavailable</v>
      </c>
      <c r="AH445" s="0" t="s">
        <v>56</v>
      </c>
      <c r="AI445" s="0" t="s">
        <v>98</v>
      </c>
      <c r="AJ445" s="0" t="str">
        <f aca="false">PROPER(AI445)</f>
        <v>Emergency</v>
      </c>
      <c r="AK445" s="0" t="s">
        <v>99</v>
      </c>
      <c r="AL445" s="0" t="str">
        <f aca="false">PROPER(AK445)</f>
        <v>Uber Driver</v>
      </c>
      <c r="AN445" s="0" t="str">
        <f aca="false">IF(ISBLANK(AM445),"Unknown",AM445)</f>
        <v>Unknown</v>
      </c>
      <c r="AP445" s="0" t="str">
        <f aca="false">IF(ISBLANK(AO445),"Unknown",AO445)</f>
        <v>Unknown</v>
      </c>
      <c r="AQ445" s="0" t="n">
        <v>20000</v>
      </c>
      <c r="AR445" s="5" t="n">
        <f aca="false">IF(ISBLANK(AQ445),AVERAGEIF(M445:M1444,M445,AQ445:AQ1444),AQ445)</f>
        <v>20000</v>
      </c>
      <c r="AS445" s="0" t="n">
        <v>20000</v>
      </c>
      <c r="AT445" s="5" t="n">
        <f aca="false">IF(ISBLANK(AS445),AVERAGE(AS445:AS1444),AS445)</f>
        <v>20000</v>
      </c>
      <c r="AV445" s="0" t="str">
        <f aca="false">PROPER(IF(ISBLANK(AU445),"No",AU445))</f>
        <v>No</v>
      </c>
      <c r="AW445" s="0" t="n">
        <v>5000</v>
      </c>
      <c r="AX445" s="5" t="n">
        <f aca="false">IF(ISBLANK(AW445),0,AW445)</f>
        <v>5000</v>
      </c>
      <c r="AZ445" s="0" t="str">
        <f aca="false">UPPER(IF(ISBLANK(AY445),"NONE",AY445))</f>
        <v>NONE</v>
      </c>
      <c r="BA445" s="7" t="n">
        <v>45996</v>
      </c>
      <c r="BB445" s="7" t="n">
        <f aca="false">IF(ISBLANK(BA445),"No Follow Up Needed",BA445)</f>
        <v>45996</v>
      </c>
      <c r="BC445" s="0" t="s">
        <v>61</v>
      </c>
      <c r="BD445" s="0" t="str">
        <f aca="false">PROPER(IF(ISBLANK(BC445),"Unknown",BC445))</f>
        <v>No</v>
      </c>
      <c r="BF445" s="0" t="str">
        <f aca="false">IF(ISBLANK(BE445),"No comments",BE445)</f>
        <v>No comments</v>
      </c>
      <c r="BH445" s="0" t="str">
        <f aca="false">IF(ISBLANK(BG445),"No comments",BG445)</f>
        <v>No comments</v>
      </c>
      <c r="BI445" s="0" t="s">
        <v>63</v>
      </c>
      <c r="BJ445" s="0" t="str">
        <f aca="false">IF(ISBLANK(BI445),"Not Mentioned",BI445)</f>
        <v>Yes</v>
      </c>
      <c r="BK445" s="0" t="s">
        <v>63</v>
      </c>
      <c r="BL445" s="0" t="str">
        <f aca="false">PROPER(IF(ISBLANK(BK445),"Not Mentioned",BK445))</f>
        <v>Yes</v>
      </c>
      <c r="BM445" s="0" t="s">
        <v>63</v>
      </c>
      <c r="BN445" s="0" t="str">
        <f aca="false">PROPER(IF(ISBLANK(BM445),"Not Mentioned",BM445))</f>
        <v>Yes</v>
      </c>
      <c r="BO445" s="0" t="s">
        <v>2318</v>
      </c>
      <c r="BP445" s="0" t="str">
        <f aca="false">IF(ISBLANK(BO445),"One-Time Plan",BO445)</f>
        <v>Gold</v>
      </c>
      <c r="BQ445" s="0" t="s">
        <v>198</v>
      </c>
      <c r="BR445" s="0" t="str">
        <f aca="false">PROPER(IF(ISBLANK(BQ445),"No",BQ445))</f>
        <v>Followed Up</v>
      </c>
    </row>
    <row r="446" customFormat="false" ht="15" hidden="false" customHeight="false" outlineLevel="0" collapsed="false">
      <c r="A446" s="0" t="s">
        <v>1160</v>
      </c>
      <c r="B446" s="2" t="n">
        <v>45743</v>
      </c>
      <c r="C446" s="2" t="str">
        <f aca="false">TEXT(B446,"dd/mm/yyyy")</f>
        <v>27/03/2025</v>
      </c>
      <c r="D446" s="0" t="s">
        <v>121</v>
      </c>
      <c r="E446" s="0" t="n">
        <v>8065200819</v>
      </c>
      <c r="F446" s="0" t="s">
        <v>43</v>
      </c>
      <c r="G446" s="0" t="s">
        <v>2315</v>
      </c>
      <c r="H446" s="0" t="s">
        <v>1161</v>
      </c>
      <c r="I446" s="0" t="s">
        <v>107</v>
      </c>
      <c r="J446" s="0" t="s">
        <v>2325</v>
      </c>
      <c r="K446" s="3" t="str">
        <f aca="false" t="array" ref="K446:K446">IFERROR(IF(J446&lt;&gt;"",J446,INDEX(J446:J1445,MATCH(1,(F446:F1445=F446)*(I446:I1445=I446)*(L446:L1445=L446)*(J446:J1445&lt;&gt;""),0))),"Not Found")</f>
        <v>Engine Knocking</v>
      </c>
      <c r="L446" s="3" t="s">
        <v>47</v>
      </c>
      <c r="M446" s="0" t="str">
        <f aca="false">PROPER(L446)</f>
        <v>None</v>
      </c>
      <c r="N446" s="3" t="s">
        <v>48</v>
      </c>
      <c r="O446" s="0" t="str">
        <f aca="false" t="array" ref="O446:O446">IF(N446&lt;&gt;"",N446,_xlfn.xlookup(1,(L446:L1445=L446)*(N446:N1445&lt;&gt;""),N446:N1445,"Not Found"))</f>
        <v>Uche</v>
      </c>
      <c r="P446" s="4" t="n">
        <v>30469</v>
      </c>
      <c r="Q446" s="0" t="s">
        <v>49</v>
      </c>
      <c r="R446" s="0" t="str">
        <f aca="false">PROPER(Q446)</f>
        <v>Transfer</v>
      </c>
      <c r="S446" s="0" t="s">
        <v>63</v>
      </c>
      <c r="T446" s="0" t="n">
        <v>2</v>
      </c>
      <c r="U446" s="5" t="n">
        <f aca="false">IF(ISBLANK(T446),AVERAGE(T446:T1445),T446)</f>
        <v>2</v>
      </c>
      <c r="V446" s="0" t="n">
        <v>3</v>
      </c>
      <c r="W446" s="0" t="s">
        <v>125</v>
      </c>
      <c r="X446" s="0" t="str">
        <f aca="false">IF(ISBLANK(W446),"No remarks",W446)</f>
        <v>Customer waited</v>
      </c>
      <c r="Y446" s="0" t="s">
        <v>73</v>
      </c>
      <c r="Z446" s="0" t="s">
        <v>53</v>
      </c>
      <c r="AA446" s="0" t="str">
        <f aca="false">PROPER(IF(ISBLANK(Z446),"Location Unavailable",Z446))</f>
        <v>Main Bay</v>
      </c>
      <c r="AB446" s="0" t="s">
        <v>95</v>
      </c>
      <c r="AC446" s="6" t="str">
        <f aca="false">PROPER(AB446)</f>
        <v>Road Sign</v>
      </c>
      <c r="AD446" s="6" t="n">
        <v>30</v>
      </c>
      <c r="AE446" s="5" t="n">
        <f aca="false">IF(ISBLANK(AD446),AVERAGEIF(L446:L1445,L446,AD446:AD1445),AD446)</f>
        <v>30</v>
      </c>
      <c r="AF446" s="0" t="s">
        <v>96</v>
      </c>
      <c r="AG446" s="0" t="str">
        <f aca="false">PROPER(AF446)</f>
        <v>Ordered</v>
      </c>
      <c r="AH446" s="0" t="s">
        <v>56</v>
      </c>
      <c r="AI446" s="0" t="s">
        <v>78</v>
      </c>
      <c r="AJ446" s="0" t="str">
        <f aca="false">PROPER(AI446)</f>
        <v>Booking</v>
      </c>
      <c r="AK446" s="0" t="s">
        <v>196</v>
      </c>
      <c r="AL446" s="0" t="str">
        <f aca="false">PROPER(AK446)</f>
        <v>First Time</v>
      </c>
      <c r="AM446" s="0" t="s">
        <v>2324</v>
      </c>
      <c r="AN446" s="0" t="str">
        <f aca="false">IF(ISBLANK(AM446),"Unknown",AM446)</f>
        <v>Logistics Convoy</v>
      </c>
      <c r="AO446" s="0" t="s">
        <v>79</v>
      </c>
      <c r="AP446" s="0" t="str">
        <f aca="false">IF(ISBLANK(AO446),"Unknown",AO446)</f>
        <v>Specialist</v>
      </c>
      <c r="AQ446" s="0" t="n">
        <v>20000</v>
      </c>
      <c r="AR446" s="5" t="n">
        <f aca="false">IF(ISBLANK(AQ446),AVERAGEIF(M446:M1445,M446,AQ446:AQ1445),AQ446)</f>
        <v>20000</v>
      </c>
      <c r="AS446" s="0" t="n">
        <v>30000</v>
      </c>
      <c r="AT446" s="5" t="n">
        <f aca="false">IF(ISBLANK(AS446),AVERAGE(AS446:AS1445),AS446)</f>
        <v>30000</v>
      </c>
      <c r="AV446" s="0" t="str">
        <f aca="false">PROPER(IF(ISBLANK(AU446),"No",AU446))</f>
        <v>No</v>
      </c>
      <c r="AW446" s="0" t="n">
        <v>0</v>
      </c>
      <c r="AX446" s="5" t="n">
        <f aca="false">IF(ISBLANK(AW446),0,AW446)</f>
        <v>0</v>
      </c>
      <c r="AY446" s="0" t="s">
        <v>60</v>
      </c>
      <c r="AZ446" s="0" t="str">
        <f aca="false">UPPER(IF(ISBLANK(AY446),"NONE",AY446))</f>
        <v>NONE</v>
      </c>
      <c r="BA446" s="7" t="n">
        <v>45985</v>
      </c>
      <c r="BB446" s="7" t="n">
        <f aca="false">IF(ISBLANK(BA446),"No Follow Up Needed",BA446)</f>
        <v>45985</v>
      </c>
      <c r="BD446" s="0" t="str">
        <f aca="false">PROPER(IF(ISBLANK(BC446),"Unknown",BC446))</f>
        <v>Unknown</v>
      </c>
      <c r="BF446" s="0" t="str">
        <f aca="false">IF(ISBLANK(BE446),"No comments",BE446)</f>
        <v>No comments</v>
      </c>
      <c r="BH446" s="0" t="str">
        <f aca="false">IF(ISBLANK(BG446),"No comments",BG446)</f>
        <v>No comments</v>
      </c>
      <c r="BI446" s="0" t="s">
        <v>50</v>
      </c>
      <c r="BJ446" s="0" t="str">
        <f aca="false">IF(ISBLANK(BI446),"Not Mentioned",BI446)</f>
        <v>No</v>
      </c>
      <c r="BK446" s="0" t="s">
        <v>63</v>
      </c>
      <c r="BL446" s="0" t="str">
        <f aca="false">PROPER(IF(ISBLANK(BK446),"Not Mentioned",BK446))</f>
        <v>Yes</v>
      </c>
      <c r="BM446" s="0" t="s">
        <v>50</v>
      </c>
      <c r="BN446" s="0" t="str">
        <f aca="false">PROPER(IF(ISBLANK(BM446),"Not Mentioned",BM446))</f>
        <v>No</v>
      </c>
      <c r="BO446" s="0" t="s">
        <v>2321</v>
      </c>
      <c r="BP446" s="0" t="str">
        <f aca="false">IF(ISBLANK(BO446),"One-Time Plan",BO446)</f>
        <v>One-Time Plan</v>
      </c>
      <c r="BR446" s="0" t="str">
        <f aca="false">PROPER(IF(ISBLANK(BQ446),"No",BQ446))</f>
        <v>No</v>
      </c>
    </row>
    <row r="447" customFormat="false" ht="15" hidden="false" customHeight="false" outlineLevel="0" collapsed="false">
      <c r="A447" s="0" t="s">
        <v>1162</v>
      </c>
      <c r="B447" s="2" t="n">
        <v>45696</v>
      </c>
      <c r="C447" s="2" t="str">
        <f aca="false">TEXT(B447,"dd/mm/yyyy")</f>
        <v>08/02/2025</v>
      </c>
      <c r="D447" s="0" t="s">
        <v>121</v>
      </c>
      <c r="E447" s="0" t="n">
        <v>8084198767</v>
      </c>
      <c r="F447" s="0" t="s">
        <v>122</v>
      </c>
      <c r="G447" s="0" t="s">
        <v>2316</v>
      </c>
      <c r="H447" s="0" t="s">
        <v>1163</v>
      </c>
      <c r="I447" s="0" t="s">
        <v>107</v>
      </c>
      <c r="J447" s="0" t="s">
        <v>87</v>
      </c>
      <c r="K447" s="3" t="str">
        <f aca="false" t="array" ref="K447:K447">IFERROR(IF(J447&lt;&gt;"",J447,INDEX(J447:J1446,MATCH(1,(F447:F1446=F447)*(I447:I1446=I447)*(L447:L1446=L447)*(J447:J1446&lt;&gt;""),0))),"Not Found")</f>
        <v>Oil Change</v>
      </c>
      <c r="L447" s="3" t="s">
        <v>108</v>
      </c>
      <c r="M447" s="0" t="str">
        <f aca="false">PROPER(L447)</f>
        <v>Timing Belt</v>
      </c>
      <c r="N447" s="3" t="s">
        <v>48</v>
      </c>
      <c r="O447" s="0" t="str">
        <f aca="false" t="array" ref="O447:O447">IF(N447&lt;&gt;"",N447,_xlfn.xlookup(1,(L447:L1446=L447)*(N447:N1446&lt;&gt;""),N447:N1446,"Not Found"))</f>
        <v>Uche</v>
      </c>
      <c r="P447" s="4" t="n">
        <v>13361</v>
      </c>
      <c r="Q447" s="0" t="s">
        <v>166</v>
      </c>
      <c r="R447" s="0" t="str">
        <f aca="false">PROPER(Q447)</f>
        <v>Transfer</v>
      </c>
      <c r="S447" s="0" t="s">
        <v>63</v>
      </c>
      <c r="T447" s="0" t="n">
        <v>5</v>
      </c>
      <c r="U447" s="5" t="n">
        <f aca="false">IF(ISBLANK(T447),AVERAGE(T447:T1446),T447)</f>
        <v>5</v>
      </c>
      <c r="V447" s="0" t="n">
        <v>5.6</v>
      </c>
      <c r="W447" s="0" t="s">
        <v>125</v>
      </c>
      <c r="X447" s="0" t="str">
        <f aca="false">IF(ISBLANK(W447),"No remarks",W447)</f>
        <v>Customer waited</v>
      </c>
      <c r="Y447" s="0" t="s">
        <v>73</v>
      </c>
      <c r="AA447" s="0" t="str">
        <f aca="false">PROPER(IF(ISBLANK(Z447),"Location Unavailable",Z447))</f>
        <v>Location Unavailable</v>
      </c>
      <c r="AB447" s="0" t="s">
        <v>126</v>
      </c>
      <c r="AC447" s="6" t="str">
        <f aca="false">PROPER(AB447)</f>
        <v>Whatsapp</v>
      </c>
      <c r="AD447" s="6" t="n">
        <v>45</v>
      </c>
      <c r="AE447" s="5" t="n">
        <f aca="false">IF(ISBLANK(AD447),AVERAGEIF(L447:L1446,L447,AD447:AD1446),AD447)</f>
        <v>45</v>
      </c>
      <c r="AF447" s="0" t="s">
        <v>76</v>
      </c>
      <c r="AG447" s="0" t="str">
        <f aca="false">PROPER(AF447)</f>
        <v>Orderd</v>
      </c>
      <c r="AH447" s="0" t="s">
        <v>56</v>
      </c>
      <c r="AI447" s="0" t="s">
        <v>113</v>
      </c>
      <c r="AJ447" s="0" t="str">
        <f aca="false">PROPER(AI447)</f>
        <v>Normal</v>
      </c>
      <c r="AK447" s="0" t="s">
        <v>58</v>
      </c>
      <c r="AL447" s="0" t="str">
        <f aca="false">PROPER(AK447)</f>
        <v>Fleet Owner</v>
      </c>
      <c r="AM447" s="0" t="s">
        <v>177</v>
      </c>
      <c r="AN447" s="0" t="str">
        <f aca="false">IF(ISBLANK(AM447),"Unknown",AM447)</f>
        <v>Private</v>
      </c>
      <c r="AO447" s="0" t="s">
        <v>161</v>
      </c>
      <c r="AP447" s="0" t="str">
        <f aca="false">IF(ISBLANK(AO447),"Unknown",AO447)</f>
        <v>Apprentice</v>
      </c>
      <c r="AQ447" s="0" t="n">
        <v>20000</v>
      </c>
      <c r="AR447" s="5" t="n">
        <f aca="false">IF(ISBLANK(AQ447),AVERAGEIF(M447:M1446,M447,AQ447:AQ1446),AQ447)</f>
        <v>20000</v>
      </c>
      <c r="AS447" s="0" t="n">
        <v>20000</v>
      </c>
      <c r="AT447" s="5" t="n">
        <f aca="false">IF(ISBLANK(AS447),AVERAGE(AS447:AS1446),AS447)</f>
        <v>20000</v>
      </c>
      <c r="AU447" s="0" t="s">
        <v>82</v>
      </c>
      <c r="AV447" s="0" t="str">
        <f aca="false">PROPER(IF(ISBLANK(AU447),"No",AU447))</f>
        <v>Yes</v>
      </c>
      <c r="AW447" s="0" t="n">
        <v>0</v>
      </c>
      <c r="AX447" s="5" t="n">
        <f aca="false">IF(ISBLANK(AW447),0,AW447)</f>
        <v>0</v>
      </c>
      <c r="AY447" s="0" t="s">
        <v>130</v>
      </c>
      <c r="AZ447" s="0" t="str">
        <f aca="false">UPPER(IF(ISBLANK(AY447),"NONE",AY447))</f>
        <v>LOYALTY10</v>
      </c>
      <c r="BA447" s="7" t="n">
        <v>45858</v>
      </c>
      <c r="BB447" s="7" t="n">
        <f aca="false">IF(ISBLANK(BA447),"No Follow Up Needed",BA447)</f>
        <v>45858</v>
      </c>
      <c r="BC447" s="0" t="s">
        <v>50</v>
      </c>
      <c r="BD447" s="0" t="str">
        <f aca="false">PROPER(IF(ISBLANK(BC447),"Unknown",BC447))</f>
        <v>No</v>
      </c>
      <c r="BF447" s="0" t="str">
        <f aca="false">IF(ISBLANK(BE447),"No comments",BE447)</f>
        <v>No comments</v>
      </c>
      <c r="BG447" s="0" t="s">
        <v>2320</v>
      </c>
      <c r="BH447" s="0" t="str">
        <f aca="false">IF(ISBLANK(BG447),"No comments",BG447)</f>
        <v>No complaints</v>
      </c>
      <c r="BJ447" s="0" t="str">
        <f aca="false">IF(ISBLANK(BI447),"Not Mentioned",BI447)</f>
        <v>Not Mentioned</v>
      </c>
      <c r="BK447" s="0" t="s">
        <v>61</v>
      </c>
      <c r="BL447" s="0" t="str">
        <f aca="false">PROPER(IF(ISBLANK(BK447),"Not Mentioned",BK447))</f>
        <v>No</v>
      </c>
      <c r="BN447" s="0" t="str">
        <f aca="false">PROPER(IF(ISBLANK(BM447),"Not Mentioned",BM447))</f>
        <v>Not Mentioned</v>
      </c>
      <c r="BO447" s="0" t="s">
        <v>2321</v>
      </c>
      <c r="BP447" s="0" t="str">
        <f aca="false">IF(ISBLANK(BO447),"One-Time Plan",BO447)</f>
        <v>One-Time Plan</v>
      </c>
      <c r="BR447" s="0" t="str">
        <f aca="false">PROPER(IF(ISBLANK(BQ447),"No",BQ447))</f>
        <v>No</v>
      </c>
    </row>
    <row r="448" customFormat="false" ht="15" hidden="false" customHeight="false" outlineLevel="0" collapsed="false">
      <c r="A448" s="0" t="s">
        <v>1164</v>
      </c>
      <c r="B448" s="2" t="s">
        <v>788</v>
      </c>
      <c r="C448" s="2" t="str">
        <f aca="false">TEXT(B448,"dd/mm/yyyy")</f>
        <v>18/04/2025</v>
      </c>
      <c r="D448" s="0" t="s">
        <v>163</v>
      </c>
      <c r="E448" s="0" t="n">
        <v>8026271298</v>
      </c>
      <c r="F448" s="0" t="s">
        <v>122</v>
      </c>
      <c r="G448" s="0" t="s">
        <v>2316</v>
      </c>
      <c r="H448" s="0" t="s">
        <v>1165</v>
      </c>
      <c r="I448" s="0" t="s">
        <v>107</v>
      </c>
      <c r="J448" s="0" t="s">
        <v>87</v>
      </c>
      <c r="K448" s="3" t="str">
        <f aca="false" t="array" ref="K448:K448">IFERROR(IF(J448&lt;&gt;"",J448,INDEX(J448:J1447,MATCH(1,(F448:F1447=F448)*(I448:I1447=I448)*(L448:L1447=L448)*(J448:J1447&lt;&gt;""),0))),"Not Found")</f>
        <v>Oil Change</v>
      </c>
      <c r="L448" s="3" t="s">
        <v>189</v>
      </c>
      <c r="M448" s="0" t="str">
        <f aca="false">PROPER(L448)</f>
        <v>Battery</v>
      </c>
      <c r="N448" s="3" t="s">
        <v>109</v>
      </c>
      <c r="O448" s="0" t="str">
        <f aca="false" t="array" ref="O448:O448">IF(N448&lt;&gt;"",N448,_xlfn.xlookup(1,(L448:L1447=L448)*(N448:N1447&lt;&gt;""),N448:N1447,"Not Found"))</f>
        <v>Tijani</v>
      </c>
      <c r="P448" s="4" t="n">
        <v>28460</v>
      </c>
      <c r="Q448" s="0" t="s">
        <v>91</v>
      </c>
      <c r="R448" s="0" t="str">
        <f aca="false">PROPER(Q448)</f>
        <v>Pos</v>
      </c>
      <c r="S448" s="0" t="s">
        <v>63</v>
      </c>
      <c r="T448" s="0" t="n">
        <v>2</v>
      </c>
      <c r="U448" s="5" t="n">
        <f aca="false">IF(ISBLANK(T448),AVERAGE(T448:T1447),T448)</f>
        <v>2</v>
      </c>
      <c r="V448" s="0" t="n">
        <v>1.4</v>
      </c>
      <c r="W448" s="0" t="s">
        <v>51</v>
      </c>
      <c r="X448" s="0" t="str">
        <f aca="false">IF(ISBLANK(W448),"No remarks",W448)</f>
        <v>Recommended further checks</v>
      </c>
      <c r="Y448" s="0" t="s">
        <v>93</v>
      </c>
      <c r="Z448" s="0" t="s">
        <v>74</v>
      </c>
      <c r="AA448" s="0" t="str">
        <f aca="false">PROPER(IF(ISBLANK(Z448),"Location Unavailable",Z448))</f>
        <v>Under Tree</v>
      </c>
      <c r="AB448" s="0" t="s">
        <v>54</v>
      </c>
      <c r="AC448" s="6" t="str">
        <f aca="false">PROPER(AB448)</f>
        <v>Mechanic Referral</v>
      </c>
      <c r="AD448" s="6" t="n">
        <v>45</v>
      </c>
      <c r="AE448" s="5" t="n">
        <f aca="false">IF(ISBLANK(AD448),AVERAGEIF(L448:L1447,L448,AD448:AD1447),AD448)</f>
        <v>45</v>
      </c>
      <c r="AF448" s="0" t="s">
        <v>112</v>
      </c>
      <c r="AG448" s="0" t="str">
        <f aca="false">PROPER(AF448)</f>
        <v>Unavailable</v>
      </c>
      <c r="AH448" s="0" t="s">
        <v>155</v>
      </c>
      <c r="AI448" s="0" t="s">
        <v>98</v>
      </c>
      <c r="AJ448" s="0" t="str">
        <f aca="false">PROPER(AI448)</f>
        <v>Emergency</v>
      </c>
      <c r="AK448" s="0" t="s">
        <v>58</v>
      </c>
      <c r="AL448" s="0" t="str">
        <f aca="false">PROPER(AK448)</f>
        <v>Fleet Owner</v>
      </c>
      <c r="AM448" s="0" t="s">
        <v>59</v>
      </c>
      <c r="AN448" s="0" t="str">
        <f aca="false">IF(ISBLANK(AM448),"Unknown",AM448)</f>
        <v>Bolt Driver</v>
      </c>
      <c r="AO448" s="0" t="s">
        <v>79</v>
      </c>
      <c r="AP448" s="0" t="str">
        <f aca="false">IF(ISBLANK(AO448),"Unknown",AO448)</f>
        <v>Specialist</v>
      </c>
      <c r="AR448" s="5" t="n">
        <f aca="false">IF(ISBLANK(AQ448),AVERAGEIF(M448:M1447,M448,AQ448:AQ1447),AQ448)</f>
        <v>24836.0655737705</v>
      </c>
      <c r="AS448" s="0" t="n">
        <v>30000</v>
      </c>
      <c r="AT448" s="5" t="n">
        <f aca="false">IF(ISBLANK(AS448),AVERAGE(AS448:AS1447),AS448)</f>
        <v>30000</v>
      </c>
      <c r="AU448" s="0" t="s">
        <v>63</v>
      </c>
      <c r="AV448" s="0" t="str">
        <f aca="false">PROPER(IF(ISBLANK(AU448),"No",AU448))</f>
        <v>Yes</v>
      </c>
      <c r="AW448" s="0" t="n">
        <v>5000</v>
      </c>
      <c r="AX448" s="5" t="n">
        <f aca="false">IF(ISBLANK(AW448),0,AW448)</f>
        <v>5000</v>
      </c>
      <c r="AY448" s="0" t="s">
        <v>80</v>
      </c>
      <c r="AZ448" s="0" t="str">
        <f aca="false">UPPER(IF(ISBLANK(AY448),"NONE",AY448))</f>
        <v>PROMO10</v>
      </c>
      <c r="BB448" s="7" t="str">
        <f aca="false">IF(ISBLANK(BA448),"No Follow Up Needed",BA448)</f>
        <v>No Follow Up Needed</v>
      </c>
      <c r="BC448" s="0" t="s">
        <v>82</v>
      </c>
      <c r="BD448" s="0" t="str">
        <f aca="false">PROPER(IF(ISBLANK(BC448),"Unknown",BC448))</f>
        <v>Yes</v>
      </c>
      <c r="BF448" s="0" t="str">
        <f aca="false">IF(ISBLANK(BE448),"No comments",BE448)</f>
        <v>No comments</v>
      </c>
      <c r="BG448" s="0" t="s">
        <v>117</v>
      </c>
      <c r="BH448" s="0" t="str">
        <f aca="false">IF(ISBLANK(BG448),"No comments",BG448)</f>
        <v>Prefers morning</v>
      </c>
      <c r="BI448" s="0" t="s">
        <v>63</v>
      </c>
      <c r="BJ448" s="0" t="str">
        <f aca="false">IF(ISBLANK(BI448),"Not Mentioned",BI448)</f>
        <v>Yes</v>
      </c>
      <c r="BK448" s="0" t="s">
        <v>61</v>
      </c>
      <c r="BL448" s="0" t="str">
        <f aca="false">PROPER(IF(ISBLANK(BK448),"Not Mentioned",BK448))</f>
        <v>No</v>
      </c>
      <c r="BM448" s="0" t="s">
        <v>50</v>
      </c>
      <c r="BN448" s="0" t="str">
        <f aca="false">PROPER(IF(ISBLANK(BM448),"Not Mentioned",BM448))</f>
        <v>No</v>
      </c>
      <c r="BP448" s="0" t="str">
        <f aca="false">IF(ISBLANK(BO448),"One-Time Plan",BO448)</f>
        <v>One-Time Plan</v>
      </c>
      <c r="BR448" s="0" t="str">
        <f aca="false">PROPER(IF(ISBLANK(BQ448),"No",BQ448))</f>
        <v>No</v>
      </c>
    </row>
    <row r="449" customFormat="false" ht="15" hidden="false" customHeight="false" outlineLevel="0" collapsed="false">
      <c r="A449" s="0" t="s">
        <v>1166</v>
      </c>
      <c r="B449" s="2" t="n">
        <v>45772</v>
      </c>
      <c r="C449" s="2" t="str">
        <f aca="false">TEXT(B449,"dd/mm/yyyy")</f>
        <v>25/04/2025</v>
      </c>
      <c r="D449" s="0" t="s">
        <v>66</v>
      </c>
      <c r="E449" s="0" t="n">
        <v>8059490380</v>
      </c>
      <c r="F449" s="0" t="s">
        <v>43</v>
      </c>
      <c r="G449" s="0" t="s">
        <v>2315</v>
      </c>
      <c r="H449" s="0" t="s">
        <v>1167</v>
      </c>
      <c r="I449" s="0" t="s">
        <v>45</v>
      </c>
      <c r="J449" s="0" t="s">
        <v>87</v>
      </c>
      <c r="K449" s="3" t="str">
        <f aca="false" t="array" ref="K449:K449">IFERROR(IF(J449&lt;&gt;"",J449,INDEX(J449:J1448,MATCH(1,(F449:F1448=F449)*(I449:I1448=I449)*(L449:L1448=L449)*(J449:J1448&lt;&gt;""),0))),"Not Found")</f>
        <v>Oil Change</v>
      </c>
      <c r="L449" s="3" t="s">
        <v>47</v>
      </c>
      <c r="M449" s="0" t="str">
        <f aca="false">PROPER(L449)</f>
        <v>None</v>
      </c>
      <c r="N449" s="3" t="s">
        <v>109</v>
      </c>
      <c r="O449" s="0" t="str">
        <f aca="false" t="array" ref="O449:O449">IF(N449&lt;&gt;"",N449,_xlfn.xlookup(1,(L449:L1448=L449)*(N449:N1448&lt;&gt;""),N449:N1448,"Not Found"))</f>
        <v>Tijani</v>
      </c>
      <c r="P449" s="4" t="n">
        <v>73157</v>
      </c>
      <c r="Q449" s="0" t="s">
        <v>166</v>
      </c>
      <c r="R449" s="0" t="str">
        <f aca="false">PROPER(Q449)</f>
        <v>Transfer</v>
      </c>
      <c r="S449" s="0" t="s">
        <v>63</v>
      </c>
      <c r="T449" s="0" t="n">
        <v>3</v>
      </c>
      <c r="U449" s="5" t="n">
        <f aca="false">IF(ISBLANK(T449),AVERAGE(T449:T1448),T449)</f>
        <v>3</v>
      </c>
      <c r="V449" s="0" t="n">
        <v>4.5</v>
      </c>
      <c r="W449" s="0" t="s">
        <v>92</v>
      </c>
      <c r="X449" s="0" t="str">
        <f aca="false">IF(ISBLANK(W449),"No remarks",W449)</f>
        <v>Urgent service</v>
      </c>
      <c r="Y449" s="0" t="s">
        <v>93</v>
      </c>
      <c r="Z449" s="0" t="s">
        <v>53</v>
      </c>
      <c r="AA449" s="0" t="str">
        <f aca="false">PROPER(IF(ISBLANK(Z449),"Location Unavailable",Z449))</f>
        <v>Main Bay</v>
      </c>
      <c r="AB449" s="0" t="s">
        <v>54</v>
      </c>
      <c r="AC449" s="6" t="str">
        <f aca="false">PROPER(AB449)</f>
        <v>Mechanic Referral</v>
      </c>
      <c r="AD449" s="6" t="n">
        <v>30</v>
      </c>
      <c r="AE449" s="5" t="n">
        <f aca="false">IF(ISBLANK(AD449),AVERAGEIF(L449:L1448,L449,AD449:AD1448),AD449)</f>
        <v>30</v>
      </c>
      <c r="AF449" s="0" t="s">
        <v>160</v>
      </c>
      <c r="AG449" s="0" t="str">
        <f aca="false">PROPER(AF449)</f>
        <v>Availaible</v>
      </c>
      <c r="AH449" s="0" t="s">
        <v>148</v>
      </c>
      <c r="AI449" s="0" t="s">
        <v>98</v>
      </c>
      <c r="AJ449" s="0" t="str">
        <f aca="false">PROPER(AI449)</f>
        <v>Emergency</v>
      </c>
      <c r="AK449" s="0" t="s">
        <v>99</v>
      </c>
      <c r="AL449" s="0" t="str">
        <f aca="false">PROPER(AK449)</f>
        <v>Uber Driver</v>
      </c>
      <c r="AM449" s="0" t="s">
        <v>2324</v>
      </c>
      <c r="AN449" s="0" t="str">
        <f aca="false">IF(ISBLANK(AM449),"Unknown",AM449)</f>
        <v>Logistics Convoy</v>
      </c>
      <c r="AO449" s="0" t="s">
        <v>149</v>
      </c>
      <c r="AP449" s="0" t="str">
        <f aca="false">IF(ISBLANK(AO449),"Unknown",AO449)</f>
        <v>Senior </v>
      </c>
      <c r="AQ449" s="0" t="n">
        <v>20000</v>
      </c>
      <c r="AR449" s="5" t="n">
        <f aca="false">IF(ISBLANK(AQ449),AVERAGEIF(M449:M1448,M449,AQ449:AQ1448),AQ449)</f>
        <v>20000</v>
      </c>
      <c r="AS449" s="0" t="n">
        <v>40000</v>
      </c>
      <c r="AT449" s="5" t="n">
        <f aca="false">IF(ISBLANK(AS449),AVERAGE(AS449:AS1448),AS449)</f>
        <v>40000</v>
      </c>
      <c r="AU449" s="0" t="s">
        <v>63</v>
      </c>
      <c r="AV449" s="0" t="str">
        <f aca="false">PROPER(IF(ISBLANK(AU449),"No",AU449))</f>
        <v>Yes</v>
      </c>
      <c r="AW449" s="0" t="n">
        <v>5000</v>
      </c>
      <c r="AX449" s="5" t="n">
        <f aca="false">IF(ISBLANK(AW449),0,AW449)</f>
        <v>5000</v>
      </c>
      <c r="AZ449" s="0" t="str">
        <f aca="false">UPPER(IF(ISBLANK(AY449),"NONE",AY449))</f>
        <v>NONE</v>
      </c>
      <c r="BB449" s="7" t="str">
        <f aca="false">IF(ISBLANK(BA449),"No Follow Up Needed",BA449)</f>
        <v>No Follow Up Needed</v>
      </c>
      <c r="BC449" s="0" t="s">
        <v>82</v>
      </c>
      <c r="BD449" s="0" t="str">
        <f aca="false">PROPER(IF(ISBLANK(BC449),"Unknown",BC449))</f>
        <v>Yes</v>
      </c>
      <c r="BF449" s="0" t="str">
        <f aca="false">IF(ISBLANK(BE449),"No comments",BE449)</f>
        <v>No comments</v>
      </c>
      <c r="BG449" s="0" t="s">
        <v>117</v>
      </c>
      <c r="BH449" s="0" t="str">
        <f aca="false">IF(ISBLANK(BG449),"No comments",BG449)</f>
        <v>Prefers morning</v>
      </c>
      <c r="BI449" s="0" t="s">
        <v>50</v>
      </c>
      <c r="BJ449" s="0" t="str">
        <f aca="false">IF(ISBLANK(BI449),"Not Mentioned",BI449)</f>
        <v>No</v>
      </c>
      <c r="BK449" s="0" t="s">
        <v>82</v>
      </c>
      <c r="BL449" s="0" t="str">
        <f aca="false">PROPER(IF(ISBLANK(BK449),"Not Mentioned",BK449))</f>
        <v>Yes</v>
      </c>
      <c r="BN449" s="0" t="str">
        <f aca="false">PROPER(IF(ISBLANK(BM449),"Not Mentioned",BM449))</f>
        <v>Not Mentioned</v>
      </c>
      <c r="BO449" s="0" t="s">
        <v>2321</v>
      </c>
      <c r="BP449" s="0" t="str">
        <f aca="false">IF(ISBLANK(BO449),"One-Time Plan",BO449)</f>
        <v>One-Time Plan</v>
      </c>
      <c r="BQ449" s="0" t="s">
        <v>50</v>
      </c>
      <c r="BR449" s="0" t="str">
        <f aca="false">PROPER(IF(ISBLANK(BQ449),"No",BQ449))</f>
        <v>No</v>
      </c>
    </row>
    <row r="450" customFormat="false" ht="15" hidden="false" customHeight="false" outlineLevel="0" collapsed="false">
      <c r="A450" s="0" t="s">
        <v>1168</v>
      </c>
      <c r="B450" s="2" t="n">
        <v>45688</v>
      </c>
      <c r="C450" s="2" t="str">
        <f aca="false">TEXT(B450,"dd/mm/yyyy")</f>
        <v>31/01/2025</v>
      </c>
      <c r="D450" s="0" t="s">
        <v>66</v>
      </c>
      <c r="E450" s="0" t="n">
        <v>8020272170</v>
      </c>
      <c r="F450" s="0" t="s">
        <v>67</v>
      </c>
      <c r="G450" s="0" t="s">
        <v>2316</v>
      </c>
      <c r="H450" s="0" t="s">
        <v>1169</v>
      </c>
      <c r="I450" s="0" t="s">
        <v>45</v>
      </c>
      <c r="J450" s="0" t="s">
        <v>87</v>
      </c>
      <c r="K450" s="3" t="str">
        <f aca="false" t="array" ref="K450:K450">IFERROR(IF(J450&lt;&gt;"",J450,INDEX(J450:J1449,MATCH(1,(F450:F1449=F450)*(I450:I1449=I450)*(L450:L1449=L450)*(J450:J1449&lt;&gt;""),0))),"Not Found")</f>
        <v>Oil Change</v>
      </c>
      <c r="L450" s="3" t="s">
        <v>108</v>
      </c>
      <c r="M450" s="0" t="str">
        <f aca="false">PROPER(L450)</f>
        <v>Timing Belt</v>
      </c>
      <c r="N450" s="3" t="s">
        <v>48</v>
      </c>
      <c r="O450" s="0" t="str">
        <f aca="false" t="array" ref="O450:O450">IF(N450&lt;&gt;"",N450,_xlfn.xlookup(1,(L450:L1449=L450)*(N450:N1449&lt;&gt;""),N450:N1449,"Not Found"))</f>
        <v>Uche</v>
      </c>
      <c r="P450" s="4" t="n">
        <v>17053</v>
      </c>
      <c r="Q450" s="0" t="s">
        <v>166</v>
      </c>
      <c r="R450" s="0" t="str">
        <f aca="false">PROPER(Q450)</f>
        <v>Transfer</v>
      </c>
      <c r="S450" s="0" t="s">
        <v>50</v>
      </c>
      <c r="T450" s="0" t="n">
        <v>1</v>
      </c>
      <c r="U450" s="5" t="n">
        <f aca="false">IF(ISBLANK(T450),AVERAGE(T450:T1449),T450)</f>
        <v>1</v>
      </c>
      <c r="V450" s="0" t="n">
        <v>3.5</v>
      </c>
      <c r="W450" s="0" t="s">
        <v>111</v>
      </c>
      <c r="X450" s="0" t="str">
        <f aca="false">IF(ISBLANK(W450),"No remarks",W450)</f>
        <v>Changed all filters</v>
      </c>
      <c r="Y450" s="0" t="s">
        <v>73</v>
      </c>
      <c r="Z450" s="0" t="s">
        <v>136</v>
      </c>
      <c r="AA450" s="0" t="str">
        <f aca="false">PROPER(IF(ISBLANK(Z450),"Location Unavailable",Z450))</f>
        <v>Vip Section</v>
      </c>
      <c r="AB450" s="0" t="s">
        <v>95</v>
      </c>
      <c r="AC450" s="6" t="str">
        <f aca="false">PROPER(AB450)</f>
        <v>Road Sign</v>
      </c>
      <c r="AE450" s="5" t="n">
        <f aca="false">IF(ISBLANK(AD450),AVERAGEIF(L450:L1449,L450,AD450:AD1449),AD450)</f>
        <v>37.7777777777778</v>
      </c>
      <c r="AF450" s="0" t="s">
        <v>96</v>
      </c>
      <c r="AG450" s="0" t="str">
        <f aca="false">PROPER(AF450)</f>
        <v>Ordered</v>
      </c>
      <c r="AH450" s="0" t="s">
        <v>56</v>
      </c>
      <c r="AI450" s="0" t="s">
        <v>98</v>
      </c>
      <c r="AJ450" s="0" t="str">
        <f aca="false">PROPER(AI450)</f>
        <v>Emergency</v>
      </c>
      <c r="AK450" s="0" t="s">
        <v>114</v>
      </c>
      <c r="AL450" s="0" t="str">
        <f aca="false">PROPER(AK450)</f>
        <v>Returning</v>
      </c>
      <c r="AM450" s="0" t="s">
        <v>2326</v>
      </c>
      <c r="AN450" s="0" t="str">
        <f aca="false">IF(ISBLANK(AM450),"Unknown",AM450)</f>
        <v>Government Convoy</v>
      </c>
      <c r="AO450" s="0" t="s">
        <v>149</v>
      </c>
      <c r="AP450" s="0" t="str">
        <f aca="false">IF(ISBLANK(AO450),"Unknown",AO450)</f>
        <v>Senior </v>
      </c>
      <c r="AQ450" s="0" t="n">
        <v>40000</v>
      </c>
      <c r="AR450" s="5" t="n">
        <f aca="false">IF(ISBLANK(AQ450),AVERAGEIF(M450:M1449,M450,AQ450:AQ1449),AQ450)</f>
        <v>40000</v>
      </c>
      <c r="AS450" s="0" t="n">
        <v>30000</v>
      </c>
      <c r="AT450" s="5" t="n">
        <f aca="false">IF(ISBLANK(AS450),AVERAGE(AS450:AS1449),AS450)</f>
        <v>30000</v>
      </c>
      <c r="AU450" s="0" t="s">
        <v>63</v>
      </c>
      <c r="AV450" s="0" t="str">
        <f aca="false">PROPER(IF(ISBLANK(AU450),"No",AU450))</f>
        <v>Yes</v>
      </c>
      <c r="AW450" s="0" t="n">
        <v>5000</v>
      </c>
      <c r="AX450" s="5" t="n">
        <f aca="false">IF(ISBLANK(AW450),0,AW450)</f>
        <v>5000</v>
      </c>
      <c r="AY450" s="0" t="s">
        <v>60</v>
      </c>
      <c r="AZ450" s="0" t="str">
        <f aca="false">UPPER(IF(ISBLANK(AY450),"NONE",AY450))</f>
        <v>NONE</v>
      </c>
      <c r="BA450" s="7" t="n">
        <v>45968</v>
      </c>
      <c r="BB450" s="7" t="n">
        <f aca="false">IF(ISBLANK(BA450),"No Follow Up Needed",BA450)</f>
        <v>45968</v>
      </c>
      <c r="BC450" s="0" t="s">
        <v>61</v>
      </c>
      <c r="BD450" s="0" t="str">
        <f aca="false">PROPER(IF(ISBLANK(BC450),"Unknown",BC450))</f>
        <v>No</v>
      </c>
      <c r="BE450" s="0" t="s">
        <v>171</v>
      </c>
      <c r="BF450" s="0" t="str">
        <f aca="false">IF(ISBLANK(BE450),"No comments",BE450)</f>
        <v>Shock absorber weakening</v>
      </c>
      <c r="BG450" s="0" t="s">
        <v>2320</v>
      </c>
      <c r="BH450" s="0" t="str">
        <f aca="false">IF(ISBLANK(BG450),"No comments",BG450)</f>
        <v>No complaints</v>
      </c>
      <c r="BI450" s="0" t="s">
        <v>63</v>
      </c>
      <c r="BJ450" s="0" t="str">
        <f aca="false">IF(ISBLANK(BI450),"Not Mentioned",BI450)</f>
        <v>Yes</v>
      </c>
      <c r="BK450" s="0" t="s">
        <v>50</v>
      </c>
      <c r="BL450" s="0" t="str">
        <f aca="false">PROPER(IF(ISBLANK(BK450),"Not Mentioned",BK450))</f>
        <v>No</v>
      </c>
      <c r="BM450" s="0" t="s">
        <v>50</v>
      </c>
      <c r="BN450" s="0" t="str">
        <f aca="false">PROPER(IF(ISBLANK(BM450),"Not Mentioned",BM450))</f>
        <v>No</v>
      </c>
      <c r="BO450" s="0" t="s">
        <v>2321</v>
      </c>
      <c r="BP450" s="0" t="str">
        <f aca="false">IF(ISBLANK(BO450),"One-Time Plan",BO450)</f>
        <v>One-Time Plan</v>
      </c>
      <c r="BQ450" s="0" t="s">
        <v>50</v>
      </c>
      <c r="BR450" s="0" t="str">
        <f aca="false">PROPER(IF(ISBLANK(BQ450),"No",BQ450))</f>
        <v>No</v>
      </c>
    </row>
    <row r="451" customFormat="false" ht="15" hidden="false" customHeight="false" outlineLevel="0" collapsed="false">
      <c r="A451" s="0" t="s">
        <v>1170</v>
      </c>
      <c r="B451" s="2" t="n">
        <v>45811</v>
      </c>
      <c r="C451" s="2" t="str">
        <f aca="false">TEXT(B451,"dd/mm/yyyy")</f>
        <v>03/06/2025</v>
      </c>
      <c r="D451" s="0" t="s">
        <v>66</v>
      </c>
      <c r="E451" s="0" t="n">
        <v>8024123001</v>
      </c>
      <c r="F451" s="0" t="s">
        <v>139</v>
      </c>
      <c r="G451" s="0" t="s">
        <v>2323</v>
      </c>
      <c r="H451" s="0" t="s">
        <v>1171</v>
      </c>
      <c r="I451" s="0" t="s">
        <v>87</v>
      </c>
      <c r="J451" s="0" t="s">
        <v>2325</v>
      </c>
      <c r="K451" s="3" t="str">
        <f aca="false" t="array" ref="K451:K451">IFERROR(IF(J451&lt;&gt;"",J451,INDEX(J451:J1450,MATCH(1,(F451:F1450=F451)*(I451:I1450=I451)*(L451:L1450=L451)*(J451:J1450&lt;&gt;""),0))),"Not Found")</f>
        <v>Engine Knocking</v>
      </c>
      <c r="L451" s="3" t="s">
        <v>47</v>
      </c>
      <c r="M451" s="0" t="str">
        <f aca="false">PROPER(L451)</f>
        <v>None</v>
      </c>
      <c r="N451" s="3" t="s">
        <v>90</v>
      </c>
      <c r="O451" s="0" t="str">
        <f aca="false" t="array" ref="O451:O451">IF(N451&lt;&gt;"",N451,_xlfn.xlookup(1,(L451:L1450=L451)*(N451:N1450&lt;&gt;""),N451:N1450,"Not Found"))</f>
        <v>Musa</v>
      </c>
      <c r="P451" s="4" t="n">
        <v>65372</v>
      </c>
      <c r="Q451" s="0" t="s">
        <v>166</v>
      </c>
      <c r="R451" s="0" t="str">
        <f aca="false">PROPER(Q451)</f>
        <v>Transfer</v>
      </c>
      <c r="S451" s="0" t="s">
        <v>50</v>
      </c>
      <c r="T451" s="0" t="n">
        <v>5</v>
      </c>
      <c r="U451" s="5" t="n">
        <f aca="false">IF(ISBLANK(T451),AVERAGE(T451:T1450),T451)</f>
        <v>5</v>
      </c>
      <c r="V451" s="0" t="n">
        <v>4</v>
      </c>
      <c r="X451" s="0" t="str">
        <f aca="false">IF(ISBLANK(W451),"No remarks",W451)</f>
        <v>No remarks</v>
      </c>
      <c r="Y451" s="0" t="s">
        <v>52</v>
      </c>
      <c r="Z451" s="0" t="s">
        <v>53</v>
      </c>
      <c r="AA451" s="0" t="str">
        <f aca="false">PROPER(IF(ISBLANK(Z451),"Location Unavailable",Z451))</f>
        <v>Main Bay</v>
      </c>
      <c r="AB451" s="0" t="s">
        <v>147</v>
      </c>
      <c r="AC451" s="6" t="str">
        <f aca="false">PROPER(AB451)</f>
        <v>Instagram</v>
      </c>
      <c r="AD451" s="6" t="n">
        <v>45</v>
      </c>
      <c r="AE451" s="5" t="n">
        <f aca="false">IF(ISBLANK(AD451),AVERAGEIF(L451:L1450,L451,AD451:AD1450),AD451)</f>
        <v>45</v>
      </c>
      <c r="AF451" s="0" t="s">
        <v>96</v>
      </c>
      <c r="AG451" s="0" t="str">
        <f aca="false">PROPER(AF451)</f>
        <v>Ordered</v>
      </c>
      <c r="AH451" s="0" t="s">
        <v>148</v>
      </c>
      <c r="AI451" s="0" t="s">
        <v>128</v>
      </c>
      <c r="AJ451" s="0" t="str">
        <f aca="false">PROPER(AI451)</f>
        <v>Normal</v>
      </c>
      <c r="AK451" s="0" t="s">
        <v>196</v>
      </c>
      <c r="AL451" s="0" t="str">
        <f aca="false">PROPER(AK451)</f>
        <v>First Time</v>
      </c>
      <c r="AM451" s="0" t="s">
        <v>2324</v>
      </c>
      <c r="AN451" s="0" t="str">
        <f aca="false">IF(ISBLANK(AM451),"Unknown",AM451)</f>
        <v>Logistics Convoy</v>
      </c>
      <c r="AO451" s="0" t="s">
        <v>143</v>
      </c>
      <c r="AP451" s="0" t="str">
        <f aca="false">IF(ISBLANK(AO451),"Unknown",AO451)</f>
        <v>Senior</v>
      </c>
      <c r="AQ451" s="0" t="n">
        <v>15000</v>
      </c>
      <c r="AR451" s="5" t="n">
        <f aca="false">IF(ISBLANK(AQ451),AVERAGEIF(M451:M1450,M451,AQ451:AQ1450),AQ451)</f>
        <v>15000</v>
      </c>
      <c r="AS451" s="0" t="n">
        <v>30000</v>
      </c>
      <c r="AT451" s="5" t="n">
        <f aca="false">IF(ISBLANK(AS451),AVERAGE(AS451:AS1450),AS451)</f>
        <v>30000</v>
      </c>
      <c r="AU451" s="0" t="s">
        <v>63</v>
      </c>
      <c r="AV451" s="0" t="str">
        <f aca="false">PROPER(IF(ISBLANK(AU451),"No",AU451))</f>
        <v>Yes</v>
      </c>
      <c r="AX451" s="5" t="n">
        <f aca="false">IF(ISBLANK(AW451),0,AW451)</f>
        <v>0</v>
      </c>
      <c r="AY451" s="0" t="s">
        <v>130</v>
      </c>
      <c r="AZ451" s="0" t="str">
        <f aca="false">UPPER(IF(ISBLANK(AY451),"NONE",AY451))</f>
        <v>LOYALTY10</v>
      </c>
      <c r="BB451" s="7" t="str">
        <f aca="false">IF(ISBLANK(BA451),"No Follow Up Needed",BA451)</f>
        <v>No Follow Up Needed</v>
      </c>
      <c r="BC451" s="0" t="s">
        <v>61</v>
      </c>
      <c r="BD451" s="0" t="str">
        <f aca="false">PROPER(IF(ISBLANK(BC451),"Unknown",BC451))</f>
        <v>No</v>
      </c>
      <c r="BE451" s="0" t="s">
        <v>116</v>
      </c>
      <c r="BF451" s="0" t="str">
        <f aca="false">IF(ISBLANK(BE451),"No comments",BE451)</f>
        <v>Needs tire alignment</v>
      </c>
      <c r="BG451" s="0" t="s">
        <v>172</v>
      </c>
      <c r="BH451" s="0" t="str">
        <f aca="false">IF(ISBLANK(BG451),"No comments",BG451)</f>
        <v>Always late</v>
      </c>
      <c r="BI451" s="0" t="s">
        <v>63</v>
      </c>
      <c r="BJ451" s="0" t="str">
        <f aca="false">IF(ISBLANK(BI451),"Not Mentioned",BI451)</f>
        <v>Yes</v>
      </c>
      <c r="BL451" s="0" t="str">
        <f aca="false">PROPER(IF(ISBLANK(BK451),"Not Mentioned",BK451))</f>
        <v>Not Mentioned</v>
      </c>
      <c r="BM451" s="0" t="s">
        <v>63</v>
      </c>
      <c r="BN451" s="0" t="str">
        <f aca="false">PROPER(IF(ISBLANK(BM451),"Not Mentioned",BM451))</f>
        <v>Yes</v>
      </c>
      <c r="BO451" s="0" t="s">
        <v>64</v>
      </c>
      <c r="BP451" s="0" t="str">
        <f aca="false">IF(ISBLANK(BO451),"One-Time Plan",BO451)</f>
        <v>Gold Maintenance Plan</v>
      </c>
      <c r="BQ451" s="0" t="s">
        <v>50</v>
      </c>
      <c r="BR451" s="0" t="str">
        <f aca="false">PROPER(IF(ISBLANK(BQ451),"No",BQ451))</f>
        <v>No</v>
      </c>
    </row>
    <row r="452" customFormat="false" ht="15" hidden="false" customHeight="false" outlineLevel="0" collapsed="false">
      <c r="A452" s="0" t="s">
        <v>1172</v>
      </c>
      <c r="B452" s="2" t="n">
        <v>45785</v>
      </c>
      <c r="C452" s="2" t="str">
        <f aca="false">TEXT(B452,"dd/mm/yyyy")</f>
        <v>08/05/2025</v>
      </c>
      <c r="D452" s="0" t="s">
        <v>42</v>
      </c>
      <c r="E452" s="0" t="n">
        <v>8077698729</v>
      </c>
      <c r="F452" s="0" t="s">
        <v>43</v>
      </c>
      <c r="G452" s="0" t="s">
        <v>2315</v>
      </c>
      <c r="H452" s="0" t="s">
        <v>1173</v>
      </c>
      <c r="I452" s="0" t="s">
        <v>69</v>
      </c>
      <c r="J452" s="0" t="s">
        <v>87</v>
      </c>
      <c r="K452" s="3" t="str">
        <f aca="false" t="array" ref="K452:K452">IFERROR(IF(J452&lt;&gt;"",J452,INDEX(J452:J1451,MATCH(1,(F452:F1451=F452)*(I452:I1451=I452)*(L452:L1451=L452)*(J452:J1451&lt;&gt;""),0))),"Not Found")</f>
        <v>Oil Change</v>
      </c>
      <c r="L452" s="3" t="s">
        <v>89</v>
      </c>
      <c r="M452" s="0" t="str">
        <f aca="false">PROPER(L452)</f>
        <v>Shock Absorbers</v>
      </c>
      <c r="N452" s="3" t="s">
        <v>71</v>
      </c>
      <c r="O452" s="0" t="str">
        <f aca="false" t="array" ref="O452:O452">IF(N452&lt;&gt;"",N452,_xlfn.xlookup(1,(L452:L1451=L452)*(N452:N1451&lt;&gt;""),N452:N1451,"Not Found"))</f>
        <v>Isaac Bobo</v>
      </c>
      <c r="P452" s="4" t="n">
        <v>26136</v>
      </c>
      <c r="Q452" s="0" t="s">
        <v>166</v>
      </c>
      <c r="R452" s="0" t="str">
        <f aca="false">PROPER(Q452)</f>
        <v>Transfer</v>
      </c>
      <c r="S452" s="0" t="s">
        <v>63</v>
      </c>
      <c r="T452" s="0" t="n">
        <v>5</v>
      </c>
      <c r="U452" s="5" t="n">
        <f aca="false">IF(ISBLANK(T452),AVERAGE(T452:T1451),T452)</f>
        <v>5</v>
      </c>
      <c r="V452" s="0" t="n">
        <v>3.8</v>
      </c>
      <c r="W452" s="0" t="s">
        <v>92</v>
      </c>
      <c r="X452" s="0" t="str">
        <f aca="false">IF(ISBLANK(W452),"No remarks",W452)</f>
        <v>Urgent service</v>
      </c>
      <c r="Y452" s="0" t="s">
        <v>93</v>
      </c>
      <c r="Z452" s="0" t="s">
        <v>74</v>
      </c>
      <c r="AA452" s="0" t="str">
        <f aca="false">PROPER(IF(ISBLANK(Z452),"Location Unavailable",Z452))</f>
        <v>Under Tree</v>
      </c>
      <c r="AB452" s="0" t="s">
        <v>147</v>
      </c>
      <c r="AC452" s="6" t="str">
        <f aca="false">PROPER(AB452)</f>
        <v>Instagram</v>
      </c>
      <c r="AE452" s="5" t="n">
        <f aca="false">IF(ISBLANK(AD452),AVERAGEIF(L452:L1451,L452,AD452:AD1451),AD452)</f>
        <v>39.7674418604651</v>
      </c>
      <c r="AF452" s="0" t="s">
        <v>96</v>
      </c>
      <c r="AG452" s="0" t="str">
        <f aca="false">PROPER(AF452)</f>
        <v>Ordered</v>
      </c>
      <c r="AH452" s="0" t="s">
        <v>155</v>
      </c>
      <c r="AI452" s="0" t="s">
        <v>98</v>
      </c>
      <c r="AJ452" s="0" t="str">
        <f aca="false">PROPER(AI452)</f>
        <v>Emergency</v>
      </c>
      <c r="AK452" s="0" t="s">
        <v>58</v>
      </c>
      <c r="AL452" s="0" t="str">
        <f aca="false">PROPER(AK452)</f>
        <v>Fleet Owner</v>
      </c>
      <c r="AN452" s="0" t="str">
        <f aca="false">IF(ISBLANK(AM452),"Unknown",AM452)</f>
        <v>Unknown</v>
      </c>
      <c r="AO452" s="0" t="s">
        <v>161</v>
      </c>
      <c r="AP452" s="0" t="str">
        <f aca="false">IF(ISBLANK(AO452),"Unknown",AO452)</f>
        <v>Apprentice</v>
      </c>
      <c r="AQ452" s="0" t="n">
        <v>20000</v>
      </c>
      <c r="AR452" s="5" t="n">
        <f aca="false">IF(ISBLANK(AQ452),AVERAGEIF(M452:M1451,M452,AQ452:AQ1451),AQ452)</f>
        <v>20000</v>
      </c>
      <c r="AS452" s="0" t="n">
        <v>40000</v>
      </c>
      <c r="AT452" s="5" t="n">
        <f aca="false">IF(ISBLANK(AS452),AVERAGE(AS452:AS1451),AS452)</f>
        <v>40000</v>
      </c>
      <c r="AU452" s="0" t="s">
        <v>82</v>
      </c>
      <c r="AV452" s="0" t="str">
        <f aca="false">PROPER(IF(ISBLANK(AU452),"No",AU452))</f>
        <v>Yes</v>
      </c>
      <c r="AW452" s="0" t="n">
        <v>5000</v>
      </c>
      <c r="AX452" s="5" t="n">
        <f aca="false">IF(ISBLANK(AW452),0,AW452)</f>
        <v>5000</v>
      </c>
      <c r="AY452" s="0" t="s">
        <v>184</v>
      </c>
      <c r="AZ452" s="0" t="str">
        <f aca="false">UPPER(IF(ISBLANK(AY452),"NONE",AY452))</f>
        <v>N/A</v>
      </c>
      <c r="BB452" s="7" t="str">
        <f aca="false">IF(ISBLANK(BA452),"No Follow Up Needed",BA452)</f>
        <v>No Follow Up Needed</v>
      </c>
      <c r="BC452" s="0" t="s">
        <v>61</v>
      </c>
      <c r="BD452" s="0" t="str">
        <f aca="false">PROPER(IF(ISBLANK(BC452),"Unknown",BC452))</f>
        <v>No</v>
      </c>
      <c r="BF452" s="0" t="str">
        <f aca="false">IF(ISBLANK(BE452),"No comments",BE452)</f>
        <v>No comments</v>
      </c>
      <c r="BG452" s="0" t="s">
        <v>2320</v>
      </c>
      <c r="BH452" s="0" t="str">
        <f aca="false">IF(ISBLANK(BG452),"No comments",BG452)</f>
        <v>No complaints</v>
      </c>
      <c r="BJ452" s="0" t="str">
        <f aca="false">IF(ISBLANK(BI452),"Not Mentioned",BI452)</f>
        <v>Not Mentioned</v>
      </c>
      <c r="BL452" s="0" t="str">
        <f aca="false">PROPER(IF(ISBLANK(BK452),"Not Mentioned",BK452))</f>
        <v>Not Mentioned</v>
      </c>
      <c r="BN452" s="0" t="str">
        <f aca="false">PROPER(IF(ISBLANK(BM452),"Not Mentioned",BM452))</f>
        <v>Not Mentioned</v>
      </c>
      <c r="BO452" s="0" t="s">
        <v>64</v>
      </c>
      <c r="BP452" s="0" t="str">
        <f aca="false">IF(ISBLANK(BO452),"One-Time Plan",BO452)</f>
        <v>Gold Maintenance Plan</v>
      </c>
      <c r="BQ452" s="0" t="s">
        <v>50</v>
      </c>
      <c r="BR452" s="0" t="str">
        <f aca="false">PROPER(IF(ISBLANK(BQ452),"No",BQ452))</f>
        <v>No</v>
      </c>
    </row>
    <row r="453" customFormat="false" ht="15" hidden="false" customHeight="false" outlineLevel="0" collapsed="false">
      <c r="A453" s="0" t="s">
        <v>1174</v>
      </c>
      <c r="B453" s="2" t="n">
        <v>45813</v>
      </c>
      <c r="C453" s="2" t="str">
        <f aca="false">TEXT(B453,"dd/mm/yyyy")</f>
        <v>05/06/2025</v>
      </c>
      <c r="D453" s="0" t="s">
        <v>66</v>
      </c>
      <c r="E453" s="0" t="n">
        <v>8053756742</v>
      </c>
      <c r="F453" s="0" t="s">
        <v>122</v>
      </c>
      <c r="G453" s="0" t="s">
        <v>2316</v>
      </c>
      <c r="H453" s="0" t="s">
        <v>1175</v>
      </c>
      <c r="I453" s="0" t="s">
        <v>134</v>
      </c>
      <c r="J453" s="0" t="s">
        <v>2325</v>
      </c>
      <c r="K453" s="3" t="str">
        <f aca="false" t="array" ref="K453:K453">IFERROR(IF(J453&lt;&gt;"",J453,INDEX(J453:J1452,MATCH(1,(F453:F1452=F453)*(I453:I1452=I453)*(L453:L1452=L453)*(J453:J1452&lt;&gt;""),0))),"Not Found")</f>
        <v>Engine Knocking</v>
      </c>
      <c r="L453" s="3" t="s">
        <v>154</v>
      </c>
      <c r="M453" s="0" t="str">
        <f aca="false">PROPER(L453)</f>
        <v>Air Filter</v>
      </c>
      <c r="N453" s="3" t="s">
        <v>90</v>
      </c>
      <c r="O453" s="0" t="str">
        <f aca="false" t="array" ref="O453:O453">IF(N453&lt;&gt;"",N453,_xlfn.xlookup(1,(L453:L1452=L453)*(N453:N1452&lt;&gt;""),N453:N1452,"Not Found"))</f>
        <v>Musa</v>
      </c>
      <c r="P453" s="4" t="n">
        <v>57424</v>
      </c>
      <c r="Q453" s="0" t="s">
        <v>49</v>
      </c>
      <c r="R453" s="0" t="str">
        <f aca="false">PROPER(Q453)</f>
        <v>Transfer</v>
      </c>
      <c r="S453" s="0" t="s">
        <v>63</v>
      </c>
      <c r="T453" s="0" t="n">
        <v>5</v>
      </c>
      <c r="U453" s="5" t="n">
        <f aca="false">IF(ISBLANK(T453),AVERAGE(T453:T1452),T453)</f>
        <v>5</v>
      </c>
      <c r="V453" s="0" t="n">
        <v>2</v>
      </c>
      <c r="W453" s="0" t="s">
        <v>51</v>
      </c>
      <c r="X453" s="0" t="str">
        <f aca="false">IF(ISBLANK(W453),"No remarks",W453)</f>
        <v>Recommended further checks</v>
      </c>
      <c r="Y453" s="0" t="s">
        <v>52</v>
      </c>
      <c r="Z453" s="0" t="s">
        <v>94</v>
      </c>
      <c r="AA453" s="0" t="str">
        <f aca="false">PROPER(IF(ISBLANK(Z453),"Location Unavailable",Z453))</f>
        <v>Vip Section</v>
      </c>
      <c r="AB453" s="0" t="s">
        <v>75</v>
      </c>
      <c r="AC453" s="6" t="str">
        <f aca="false">PROPER(AB453)</f>
        <v>Mechanik Referal</v>
      </c>
      <c r="AE453" s="5" t="n">
        <f aca="false">IF(ISBLANK(AD453),AVERAGEIF(L453:L1452,L453,AD453:AD1452),AD453)</f>
        <v>37.6744186046512</v>
      </c>
      <c r="AF453" s="0" t="s">
        <v>76</v>
      </c>
      <c r="AG453" s="0" t="str">
        <f aca="false">PROPER(AF453)</f>
        <v>Orderd</v>
      </c>
      <c r="AH453" s="0" t="s">
        <v>148</v>
      </c>
      <c r="AI453" s="0" t="s">
        <v>78</v>
      </c>
      <c r="AJ453" s="0" t="str">
        <f aca="false">PROPER(AI453)</f>
        <v>Booking</v>
      </c>
      <c r="AK453" s="0" t="s">
        <v>114</v>
      </c>
      <c r="AL453" s="0" t="str">
        <f aca="false">PROPER(AK453)</f>
        <v>Returning</v>
      </c>
      <c r="AN453" s="0" t="str">
        <f aca="false">IF(ISBLANK(AM453),"Unknown",AM453)</f>
        <v>Unknown</v>
      </c>
      <c r="AP453" s="0" t="str">
        <f aca="false">IF(ISBLANK(AO453),"Unknown",AO453)</f>
        <v>Unknown</v>
      </c>
      <c r="AQ453" s="0" t="n">
        <v>30000</v>
      </c>
      <c r="AR453" s="5" t="n">
        <f aca="false">IF(ISBLANK(AQ453),AVERAGEIF(M453:M1452,M453,AQ453:AQ1452),AQ453)</f>
        <v>30000</v>
      </c>
      <c r="AS453" s="0" t="n">
        <v>35000</v>
      </c>
      <c r="AT453" s="5" t="n">
        <f aca="false">IF(ISBLANK(AS453),AVERAGE(AS453:AS1452),AS453)</f>
        <v>35000</v>
      </c>
      <c r="AU453" s="0" t="s">
        <v>63</v>
      </c>
      <c r="AV453" s="0" t="str">
        <f aca="false">PROPER(IF(ISBLANK(AU453),"No",AU453))</f>
        <v>Yes</v>
      </c>
      <c r="AW453" s="0" t="n">
        <v>5000</v>
      </c>
      <c r="AX453" s="5" t="n">
        <f aca="false">IF(ISBLANK(AW453),0,AW453)</f>
        <v>5000</v>
      </c>
      <c r="AZ453" s="0" t="str">
        <f aca="false">UPPER(IF(ISBLANK(AY453),"NONE",AY453))</f>
        <v>NONE</v>
      </c>
      <c r="BA453" s="7" t="n">
        <v>46014</v>
      </c>
      <c r="BB453" s="7" t="n">
        <f aca="false">IF(ISBLANK(BA453),"No Follow Up Needed",BA453)</f>
        <v>46014</v>
      </c>
      <c r="BC453" s="0" t="s">
        <v>61</v>
      </c>
      <c r="BD453" s="0" t="str">
        <f aca="false">PROPER(IF(ISBLANK(BC453),"Unknown",BC453))</f>
        <v>No</v>
      </c>
      <c r="BE453" s="0" t="s">
        <v>171</v>
      </c>
      <c r="BF453" s="0" t="str">
        <f aca="false">IF(ISBLANK(BE453),"No comments",BE453)</f>
        <v>Shock absorber weakening</v>
      </c>
      <c r="BG453" s="0" t="s">
        <v>172</v>
      </c>
      <c r="BH453" s="0" t="str">
        <f aca="false">IF(ISBLANK(BG453),"No comments",BG453)</f>
        <v>Always late</v>
      </c>
      <c r="BJ453" s="0" t="str">
        <f aca="false">IF(ISBLANK(BI453),"Not Mentioned",BI453)</f>
        <v>Not Mentioned</v>
      </c>
      <c r="BK453" s="0" t="s">
        <v>61</v>
      </c>
      <c r="BL453" s="0" t="str">
        <f aca="false">PROPER(IF(ISBLANK(BK453),"Not Mentioned",BK453))</f>
        <v>No</v>
      </c>
      <c r="BM453" s="0" t="s">
        <v>63</v>
      </c>
      <c r="BN453" s="0" t="str">
        <f aca="false">PROPER(IF(ISBLANK(BM453),"Not Mentioned",BM453))</f>
        <v>Yes</v>
      </c>
      <c r="BO453" s="0" t="s">
        <v>2318</v>
      </c>
      <c r="BP453" s="0" t="str">
        <f aca="false">IF(ISBLANK(BO453),"One-Time Plan",BO453)</f>
        <v>Gold</v>
      </c>
      <c r="BQ453" s="0" t="s">
        <v>198</v>
      </c>
      <c r="BR453" s="0" t="str">
        <f aca="false">PROPER(IF(ISBLANK(BQ453),"No",BQ453))</f>
        <v>Followed Up</v>
      </c>
    </row>
    <row r="454" customFormat="false" ht="15" hidden="false" customHeight="false" outlineLevel="0" collapsed="false">
      <c r="A454" s="0" t="s">
        <v>1176</v>
      </c>
      <c r="B454" s="2" t="n">
        <v>45693</v>
      </c>
      <c r="C454" s="2" t="str">
        <f aca="false">TEXT(B454,"dd/mm/yyyy")</f>
        <v>05/02/2025</v>
      </c>
      <c r="D454" s="0" t="s">
        <v>163</v>
      </c>
      <c r="E454" s="0" t="n">
        <v>8065042162</v>
      </c>
      <c r="F454" s="0" t="s">
        <v>122</v>
      </c>
      <c r="G454" s="0" t="s">
        <v>2316</v>
      </c>
      <c r="H454" s="0" t="s">
        <v>1177</v>
      </c>
      <c r="I454" s="0" t="s">
        <v>134</v>
      </c>
      <c r="K454" s="3" t="str">
        <f aca="false" t="array" ref="K454:K454">IFERROR(IF(J454&lt;&gt;"",J454,INDEX(J454:J1453,MATCH(1,(F454:F1453=F454)*(I454:I1453=I454)*(L454:L1453=L454)*(J454:J1453&lt;&gt;""),0))),"Not Found")</f>
        <v>Suspension Noise</v>
      </c>
      <c r="L454" s="3" t="s">
        <v>108</v>
      </c>
      <c r="M454" s="0" t="str">
        <f aca="false">PROPER(L454)</f>
        <v>Timing Belt</v>
      </c>
      <c r="O454" s="0" t="e">
        <f aca="false" t="array" ref="O454:O454">IF(N454&lt;&gt;"",N454,_xlfn.xlookup(1,(L454:L1453=L454)*(N454:N1453&lt;&gt;""),N454:N1453,"Not Found"))</f>
        <v>#NAME?</v>
      </c>
      <c r="P454" s="4" t="n">
        <v>90511</v>
      </c>
      <c r="Q454" s="0" t="s">
        <v>124</v>
      </c>
      <c r="R454" s="0" t="str">
        <f aca="false">PROPER(Q454)</f>
        <v>Cash</v>
      </c>
      <c r="S454" s="0" t="s">
        <v>50</v>
      </c>
      <c r="T454" s="0" t="n">
        <v>3</v>
      </c>
      <c r="U454" s="5" t="n">
        <f aca="false">IF(ISBLANK(T454),AVERAGE(T454:T1453),T454)</f>
        <v>3</v>
      </c>
      <c r="V454" s="0" t="n">
        <v>2.2</v>
      </c>
      <c r="W454" s="0" t="s">
        <v>51</v>
      </c>
      <c r="X454" s="0" t="str">
        <f aca="false">IF(ISBLANK(W454),"No remarks",W454)</f>
        <v>Recommended further checks</v>
      </c>
      <c r="Y454" s="0" t="s">
        <v>93</v>
      </c>
      <c r="Z454" s="0" t="s">
        <v>136</v>
      </c>
      <c r="AA454" s="0" t="str">
        <f aca="false">PROPER(IF(ISBLANK(Z454),"Location Unavailable",Z454))</f>
        <v>Vip Section</v>
      </c>
      <c r="AB454" s="0" t="s">
        <v>54</v>
      </c>
      <c r="AC454" s="6" t="str">
        <f aca="false">PROPER(AB454)</f>
        <v>Mechanic Referral</v>
      </c>
      <c r="AD454" s="6" t="n">
        <v>45</v>
      </c>
      <c r="AE454" s="5" t="n">
        <f aca="false">IF(ISBLANK(AD454),AVERAGEIF(L454:L1453,L454,AD454:AD1453),AD454)</f>
        <v>45</v>
      </c>
      <c r="AF454" s="0" t="s">
        <v>76</v>
      </c>
      <c r="AG454" s="0" t="str">
        <f aca="false">PROPER(AF454)</f>
        <v>Orderd</v>
      </c>
      <c r="AH454" s="0" t="s">
        <v>77</v>
      </c>
      <c r="AI454" s="0" t="s">
        <v>98</v>
      </c>
      <c r="AJ454" s="0" t="str">
        <f aca="false">PROPER(AI454)</f>
        <v>Emergency</v>
      </c>
      <c r="AK454" s="0" t="s">
        <v>114</v>
      </c>
      <c r="AL454" s="0" t="str">
        <f aca="false">PROPER(AK454)</f>
        <v>Returning</v>
      </c>
      <c r="AM454" s="0" t="s">
        <v>2326</v>
      </c>
      <c r="AN454" s="0" t="str">
        <f aca="false">IF(ISBLANK(AM454),"Unknown",AM454)</f>
        <v>Government Convoy</v>
      </c>
      <c r="AO454" s="0" t="s">
        <v>161</v>
      </c>
      <c r="AP454" s="0" t="str">
        <f aca="false">IF(ISBLANK(AO454),"Unknown",AO454)</f>
        <v>Apprentice</v>
      </c>
      <c r="AQ454" s="0" t="n">
        <v>25000</v>
      </c>
      <c r="AR454" s="5" t="n">
        <f aca="false">IF(ISBLANK(AQ454),AVERAGEIF(M454:M1453,M454,AQ454:AQ1453),AQ454)</f>
        <v>25000</v>
      </c>
      <c r="AS454" s="0" t="n">
        <v>30000</v>
      </c>
      <c r="AT454" s="5" t="n">
        <f aca="false">IF(ISBLANK(AS454),AVERAGE(AS454:AS1453),AS454)</f>
        <v>30000</v>
      </c>
      <c r="AU454" s="0" t="s">
        <v>82</v>
      </c>
      <c r="AV454" s="0" t="str">
        <f aca="false">PROPER(IF(ISBLANK(AU454),"No",AU454))</f>
        <v>Yes</v>
      </c>
      <c r="AW454" s="0" t="n">
        <v>0</v>
      </c>
      <c r="AX454" s="5" t="n">
        <f aca="false">IF(ISBLANK(AW454),0,AW454)</f>
        <v>0</v>
      </c>
      <c r="AY454" s="0" t="s">
        <v>130</v>
      </c>
      <c r="AZ454" s="0" t="str">
        <f aca="false">UPPER(IF(ISBLANK(AY454),"NONE",AY454))</f>
        <v>LOYALTY10</v>
      </c>
      <c r="BA454" s="7" t="n">
        <v>45853</v>
      </c>
      <c r="BB454" s="7" t="n">
        <f aca="false">IF(ISBLANK(BA454),"No Follow Up Needed",BA454)</f>
        <v>45853</v>
      </c>
      <c r="BD454" s="0" t="str">
        <f aca="false">PROPER(IF(ISBLANK(BC454),"Unknown",BC454))</f>
        <v>Unknown</v>
      </c>
      <c r="BF454" s="0" t="str">
        <f aca="false">IF(ISBLANK(BE454),"No comments",BE454)</f>
        <v>No comments</v>
      </c>
      <c r="BH454" s="0" t="str">
        <f aca="false">IF(ISBLANK(BG454),"No comments",BG454)</f>
        <v>No comments</v>
      </c>
      <c r="BI454" s="0" t="s">
        <v>63</v>
      </c>
      <c r="BJ454" s="0" t="str">
        <f aca="false">IF(ISBLANK(BI454),"Not Mentioned",BI454)</f>
        <v>Yes</v>
      </c>
      <c r="BK454" s="0" t="s">
        <v>50</v>
      </c>
      <c r="BL454" s="0" t="str">
        <f aca="false">PROPER(IF(ISBLANK(BK454),"Not Mentioned",BK454))</f>
        <v>No</v>
      </c>
      <c r="BN454" s="0" t="str">
        <f aca="false">PROPER(IF(ISBLANK(BM454),"Not Mentioned",BM454))</f>
        <v>Not Mentioned</v>
      </c>
      <c r="BP454" s="0" t="str">
        <f aca="false">IF(ISBLANK(BO454),"One-Time Plan",BO454)</f>
        <v>One-Time Plan</v>
      </c>
      <c r="BR454" s="0" t="str">
        <f aca="false">PROPER(IF(ISBLANK(BQ454),"No",BQ454))</f>
        <v>No</v>
      </c>
    </row>
    <row r="455" customFormat="false" ht="15" hidden="false" customHeight="false" outlineLevel="0" collapsed="false">
      <c r="A455" s="0" t="s">
        <v>1178</v>
      </c>
      <c r="B455" s="2" t="n">
        <v>45811</v>
      </c>
      <c r="C455" s="2" t="str">
        <f aca="false">TEXT(B455,"dd/mm/yyyy")</f>
        <v>03/06/2025</v>
      </c>
      <c r="D455" s="0" t="s">
        <v>163</v>
      </c>
      <c r="E455" s="0" t="n">
        <v>8070523603</v>
      </c>
      <c r="F455" s="0" t="s">
        <v>139</v>
      </c>
      <c r="G455" s="0" t="s">
        <v>2323</v>
      </c>
      <c r="H455" s="0" t="s">
        <v>1179</v>
      </c>
      <c r="I455" s="0" t="s">
        <v>69</v>
      </c>
      <c r="J455" s="0" t="s">
        <v>2325</v>
      </c>
      <c r="K455" s="3" t="str">
        <f aca="false" t="array" ref="K455:K455">IFERROR(IF(J455&lt;&gt;"",J455,INDEX(J455:J1454,MATCH(1,(F455:F1454=F455)*(I455:I1454=I455)*(L455:L1454=L455)*(J455:J1454&lt;&gt;""),0))),"Not Found")</f>
        <v>Engine Knocking</v>
      </c>
      <c r="L455" s="3" t="s">
        <v>189</v>
      </c>
      <c r="M455" s="0" t="str">
        <f aca="false">PROPER(L455)</f>
        <v>Battery</v>
      </c>
      <c r="N455" s="3" t="s">
        <v>71</v>
      </c>
      <c r="O455" s="0" t="str">
        <f aca="false" t="array" ref="O455:O455">IF(N455&lt;&gt;"",N455,_xlfn.xlookup(1,(L455:L1454=L455)*(N455:N1454&lt;&gt;""),N455:N1454,"Not Found"))</f>
        <v>Isaac Bobo</v>
      </c>
      <c r="P455" s="4" t="n">
        <v>31227</v>
      </c>
      <c r="Q455" s="0" t="s">
        <v>49</v>
      </c>
      <c r="R455" s="0" t="str">
        <f aca="false">PROPER(Q455)</f>
        <v>Transfer</v>
      </c>
      <c r="S455" s="0" t="s">
        <v>50</v>
      </c>
      <c r="U455" s="5" t="n">
        <f aca="false">IF(ISBLANK(T455),AVERAGE(T455:T1454),T455)</f>
        <v>3.07284768211921</v>
      </c>
      <c r="V455" s="0" t="n">
        <v>4.1</v>
      </c>
      <c r="W455" s="0" t="s">
        <v>92</v>
      </c>
      <c r="X455" s="0" t="str">
        <f aca="false">IF(ISBLANK(W455),"No remarks",W455)</f>
        <v>Urgent service</v>
      </c>
      <c r="Y455" s="0" t="s">
        <v>73</v>
      </c>
      <c r="Z455" s="0" t="s">
        <v>136</v>
      </c>
      <c r="AA455" s="0" t="str">
        <f aca="false">PROPER(IF(ISBLANK(Z455),"Location Unavailable",Z455))</f>
        <v>Vip Section</v>
      </c>
      <c r="AB455" s="0" t="s">
        <v>126</v>
      </c>
      <c r="AC455" s="6" t="str">
        <f aca="false">PROPER(AB455)</f>
        <v>Whatsapp</v>
      </c>
      <c r="AD455" s="6" t="n">
        <v>30</v>
      </c>
      <c r="AE455" s="5" t="n">
        <f aca="false">IF(ISBLANK(AD455),AVERAGEIF(L455:L1454,L455,AD455:AD1454),AD455)</f>
        <v>30</v>
      </c>
      <c r="AF455" s="0" t="s">
        <v>160</v>
      </c>
      <c r="AG455" s="0" t="str">
        <f aca="false">PROPER(AF455)</f>
        <v>Availaible</v>
      </c>
      <c r="AH455" s="0" t="s">
        <v>155</v>
      </c>
      <c r="AI455" s="0" t="s">
        <v>128</v>
      </c>
      <c r="AJ455" s="0" t="str">
        <f aca="false">PROPER(AI455)</f>
        <v>Normal</v>
      </c>
      <c r="AK455" s="0" t="s">
        <v>114</v>
      </c>
      <c r="AL455" s="0" t="str">
        <f aca="false">PROPER(AK455)</f>
        <v>Returning</v>
      </c>
      <c r="AN455" s="0" t="str">
        <f aca="false">IF(ISBLANK(AM455),"Unknown",AM455)</f>
        <v>Unknown</v>
      </c>
      <c r="AO455" s="0" t="s">
        <v>161</v>
      </c>
      <c r="AP455" s="0" t="str">
        <f aca="false">IF(ISBLANK(AO455),"Unknown",AO455)</f>
        <v>Apprentice</v>
      </c>
      <c r="AQ455" s="0" t="n">
        <v>20000</v>
      </c>
      <c r="AR455" s="5" t="n">
        <f aca="false">IF(ISBLANK(AQ455),AVERAGEIF(M455:M1454,M455,AQ455:AQ1454),AQ455)</f>
        <v>20000</v>
      </c>
      <c r="AS455" s="0" t="n">
        <v>30000</v>
      </c>
      <c r="AT455" s="5" t="n">
        <f aca="false">IF(ISBLANK(AS455),AVERAGE(AS455:AS1454),AS455)</f>
        <v>30000</v>
      </c>
      <c r="AV455" s="0" t="str">
        <f aca="false">PROPER(IF(ISBLANK(AU455),"No",AU455))</f>
        <v>No</v>
      </c>
      <c r="AW455" s="0" t="n">
        <v>5000</v>
      </c>
      <c r="AX455" s="5" t="n">
        <f aca="false">IF(ISBLANK(AW455),0,AW455)</f>
        <v>5000</v>
      </c>
      <c r="AY455" s="0" t="s">
        <v>130</v>
      </c>
      <c r="AZ455" s="0" t="str">
        <f aca="false">UPPER(IF(ISBLANK(AY455),"NONE",AY455))</f>
        <v>LOYALTY10</v>
      </c>
      <c r="BA455" s="7" t="s">
        <v>1180</v>
      </c>
      <c r="BB455" s="7" t="str">
        <f aca="false">IF(ISBLANK(BA455),"No Follow Up Needed",BA455)</f>
        <v>23/12/2025</v>
      </c>
      <c r="BC455" s="0" t="s">
        <v>82</v>
      </c>
      <c r="BD455" s="0" t="str">
        <f aca="false">PROPER(IF(ISBLANK(BC455),"Unknown",BC455))</f>
        <v>Yes</v>
      </c>
      <c r="BF455" s="0" t="str">
        <f aca="false">IF(ISBLANK(BE455),"No comments",BE455)</f>
        <v>No comments</v>
      </c>
      <c r="BG455" s="0" t="s">
        <v>117</v>
      </c>
      <c r="BH455" s="0" t="str">
        <f aca="false">IF(ISBLANK(BG455),"No comments",BG455)</f>
        <v>Prefers morning</v>
      </c>
      <c r="BI455" s="0" t="s">
        <v>63</v>
      </c>
      <c r="BJ455" s="0" t="str">
        <f aca="false">IF(ISBLANK(BI455),"Not Mentioned",BI455)</f>
        <v>Yes</v>
      </c>
      <c r="BK455" s="0" t="s">
        <v>82</v>
      </c>
      <c r="BL455" s="0" t="str">
        <f aca="false">PROPER(IF(ISBLANK(BK455),"Not Mentioned",BK455))</f>
        <v>Yes</v>
      </c>
      <c r="BM455" s="0" t="s">
        <v>50</v>
      </c>
      <c r="BN455" s="0" t="str">
        <f aca="false">PROPER(IF(ISBLANK(BM455),"Not Mentioned",BM455))</f>
        <v>No</v>
      </c>
      <c r="BO455" s="0" t="s">
        <v>64</v>
      </c>
      <c r="BP455" s="0" t="str">
        <f aca="false">IF(ISBLANK(BO455),"One-Time Plan",BO455)</f>
        <v>Gold Maintenance Plan</v>
      </c>
      <c r="BQ455" s="0" t="s">
        <v>50</v>
      </c>
      <c r="BR455" s="0" t="str">
        <f aca="false">PROPER(IF(ISBLANK(BQ455),"No",BQ455))</f>
        <v>No</v>
      </c>
    </row>
    <row r="456" customFormat="false" ht="15" hidden="false" customHeight="false" outlineLevel="0" collapsed="false">
      <c r="A456" s="0" t="s">
        <v>1181</v>
      </c>
      <c r="B456" s="2" t="n">
        <v>45750</v>
      </c>
      <c r="C456" s="2" t="str">
        <f aca="false">TEXT(B456,"dd/mm/yyyy")</f>
        <v>03/04/2025</v>
      </c>
      <c r="D456" s="0" t="s">
        <v>105</v>
      </c>
      <c r="E456" s="0" t="n">
        <v>8032124330</v>
      </c>
      <c r="F456" s="0" t="s">
        <v>139</v>
      </c>
      <c r="G456" s="0" t="s">
        <v>2323</v>
      </c>
      <c r="H456" s="0" t="s">
        <v>1182</v>
      </c>
      <c r="I456" s="0" t="s">
        <v>134</v>
      </c>
      <c r="J456" s="0" t="s">
        <v>2317</v>
      </c>
      <c r="K456" s="3" t="str">
        <f aca="false" t="array" ref="K456:K456">IFERROR(IF(J456&lt;&gt;"",J456,INDEX(J456:J1455,MATCH(1,(F456:F1455=F456)*(I456:I1455=I456)*(L456:L1455=L456)*(J456:J1455&lt;&gt;""),0))),"Not Found")</f>
        <v>Suspension Noise</v>
      </c>
      <c r="L456" s="3" t="s">
        <v>108</v>
      </c>
      <c r="M456" s="0" t="str">
        <f aca="false">PROPER(L456)</f>
        <v>Timing Belt</v>
      </c>
      <c r="N456" s="3" t="s">
        <v>90</v>
      </c>
      <c r="O456" s="0" t="str">
        <f aca="false" t="array" ref="O456:O456">IF(N456&lt;&gt;"",N456,_xlfn.xlookup(1,(L456:L1455=L456)*(N456:N1455&lt;&gt;""),N456:N1455,"Not Found"))</f>
        <v>Musa</v>
      </c>
      <c r="P456" s="4" t="n">
        <v>72824</v>
      </c>
      <c r="Q456" s="0" t="s">
        <v>110</v>
      </c>
      <c r="R456" s="0" t="str">
        <f aca="false">PROPER(Q456)</f>
        <v>Cash</v>
      </c>
      <c r="S456" s="0" t="s">
        <v>50</v>
      </c>
      <c r="T456" s="0" t="n">
        <v>3</v>
      </c>
      <c r="U456" s="5" t="n">
        <f aca="false">IF(ISBLANK(T456),AVERAGE(T456:T1455),T456)</f>
        <v>3</v>
      </c>
      <c r="V456" s="0" t="n">
        <v>4.5</v>
      </c>
      <c r="W456" s="0" t="s">
        <v>111</v>
      </c>
      <c r="X456" s="0" t="str">
        <f aca="false">IF(ISBLANK(W456),"No remarks",W456)</f>
        <v>Changed all filters</v>
      </c>
      <c r="Y456" s="0" t="s">
        <v>93</v>
      </c>
      <c r="Z456" s="0" t="s">
        <v>53</v>
      </c>
      <c r="AA456" s="0" t="str">
        <f aca="false">PROPER(IF(ISBLANK(Z456),"Location Unavailable",Z456))</f>
        <v>Main Bay</v>
      </c>
      <c r="AB456" s="0" t="s">
        <v>95</v>
      </c>
      <c r="AC456" s="6" t="str">
        <f aca="false">PROPER(AB456)</f>
        <v>Road Sign</v>
      </c>
      <c r="AD456" s="6" t="n">
        <v>45</v>
      </c>
      <c r="AE456" s="5" t="n">
        <f aca="false">IF(ISBLANK(AD456),AVERAGEIF(L456:L1455,L456,AD456:AD1455),AD456)</f>
        <v>45</v>
      </c>
      <c r="AF456" s="0" t="s">
        <v>76</v>
      </c>
      <c r="AG456" s="0" t="str">
        <f aca="false">PROPER(AF456)</f>
        <v>Orderd</v>
      </c>
      <c r="AH456" s="0" t="s">
        <v>77</v>
      </c>
      <c r="AI456" s="0" t="s">
        <v>98</v>
      </c>
      <c r="AJ456" s="0" t="str">
        <f aca="false">PROPER(AI456)</f>
        <v>Emergency</v>
      </c>
      <c r="AK456" s="0" t="s">
        <v>196</v>
      </c>
      <c r="AL456" s="0" t="str">
        <f aca="false">PROPER(AK456)</f>
        <v>First Time</v>
      </c>
      <c r="AN456" s="0" t="str">
        <f aca="false">IF(ISBLANK(AM456),"Unknown",AM456)</f>
        <v>Unknown</v>
      </c>
      <c r="AO456" s="0" t="s">
        <v>161</v>
      </c>
      <c r="AP456" s="0" t="str">
        <f aca="false">IF(ISBLANK(AO456),"Unknown",AO456)</f>
        <v>Apprentice</v>
      </c>
      <c r="AR456" s="5" t="n">
        <f aca="false">IF(ISBLANK(AQ456),AVERAGEIF(M456:M1455,M456,AQ456:AQ1455),AQ456)</f>
        <v>27592.5925925926</v>
      </c>
      <c r="AS456" s="0" t="n">
        <v>20000</v>
      </c>
      <c r="AT456" s="5" t="n">
        <f aca="false">IF(ISBLANK(AS456),AVERAGE(AS456:AS1455),AS456)</f>
        <v>20000</v>
      </c>
      <c r="AU456" s="0" t="s">
        <v>63</v>
      </c>
      <c r="AV456" s="0" t="str">
        <f aca="false">PROPER(IF(ISBLANK(AU456),"No",AU456))</f>
        <v>Yes</v>
      </c>
      <c r="AW456" s="0" t="n">
        <v>10000</v>
      </c>
      <c r="AX456" s="5" t="n">
        <f aca="false">IF(ISBLANK(AW456),0,AW456)</f>
        <v>10000</v>
      </c>
      <c r="AZ456" s="0" t="str">
        <f aca="false">UPPER(IF(ISBLANK(AY456),"NONE",AY456))</f>
        <v>NONE</v>
      </c>
      <c r="BA456" s="7" t="n">
        <v>45971</v>
      </c>
      <c r="BB456" s="7" t="n">
        <f aca="false">IF(ISBLANK(BA456),"No Follow Up Needed",BA456)</f>
        <v>45971</v>
      </c>
      <c r="BD456" s="0" t="str">
        <f aca="false">PROPER(IF(ISBLANK(BC456),"Unknown",BC456))</f>
        <v>Unknown</v>
      </c>
      <c r="BE456" s="0" t="s">
        <v>116</v>
      </c>
      <c r="BF456" s="0" t="str">
        <f aca="false">IF(ISBLANK(BE456),"No comments",BE456)</f>
        <v>Needs tire alignment</v>
      </c>
      <c r="BG456" s="0" t="s">
        <v>172</v>
      </c>
      <c r="BH456" s="0" t="str">
        <f aca="false">IF(ISBLANK(BG456),"No comments",BG456)</f>
        <v>Always late</v>
      </c>
      <c r="BI456" s="0" t="s">
        <v>63</v>
      </c>
      <c r="BJ456" s="0" t="str">
        <f aca="false">IF(ISBLANK(BI456),"Not Mentioned",BI456)</f>
        <v>Yes</v>
      </c>
      <c r="BK456" s="0" t="s">
        <v>82</v>
      </c>
      <c r="BL456" s="0" t="str">
        <f aca="false">PROPER(IF(ISBLANK(BK456),"Not Mentioned",BK456))</f>
        <v>Yes</v>
      </c>
      <c r="BM456" s="0" t="s">
        <v>63</v>
      </c>
      <c r="BN456" s="0" t="str">
        <f aca="false">PROPER(IF(ISBLANK(BM456),"Not Mentioned",BM456))</f>
        <v>Yes</v>
      </c>
      <c r="BO456" s="0" t="s">
        <v>2321</v>
      </c>
      <c r="BP456" s="0" t="str">
        <f aca="false">IF(ISBLANK(BO456),"One-Time Plan",BO456)</f>
        <v>One-Time Plan</v>
      </c>
      <c r="BQ456" s="0" t="s">
        <v>198</v>
      </c>
      <c r="BR456" s="0" t="str">
        <f aca="false">PROPER(IF(ISBLANK(BQ456),"No",BQ456))</f>
        <v>Followed Up</v>
      </c>
    </row>
    <row r="457" customFormat="false" ht="15" hidden="false" customHeight="false" outlineLevel="0" collapsed="false">
      <c r="A457" s="0" t="s">
        <v>1183</v>
      </c>
      <c r="B457" s="2" t="n">
        <v>45816</v>
      </c>
      <c r="C457" s="2" t="str">
        <f aca="false">TEXT(B457,"dd/mm/yyyy")</f>
        <v>08/06/2025</v>
      </c>
      <c r="D457" s="0" t="s">
        <v>121</v>
      </c>
      <c r="E457" s="0" t="n">
        <v>8043925761</v>
      </c>
      <c r="F457" s="0" t="s">
        <v>67</v>
      </c>
      <c r="G457" s="0" t="s">
        <v>2316</v>
      </c>
      <c r="H457" s="0" t="s">
        <v>1184</v>
      </c>
      <c r="I457" s="0" t="s">
        <v>107</v>
      </c>
      <c r="J457" s="0" t="s">
        <v>2317</v>
      </c>
      <c r="K457" s="3" t="str">
        <f aca="false" t="array" ref="K457:K457">IFERROR(IF(J457&lt;&gt;"",J457,INDEX(J457:J1456,MATCH(1,(F457:F1456=F457)*(I457:I1456=I457)*(L457:L1456=L457)*(J457:J1456&lt;&gt;""),0))),"Not Found")</f>
        <v>Suspension Noise</v>
      </c>
      <c r="L457" s="3" t="s">
        <v>89</v>
      </c>
      <c r="M457" s="0" t="str">
        <f aca="false">PROPER(L457)</f>
        <v>Shock Absorbers</v>
      </c>
      <c r="N457" s="3" t="s">
        <v>71</v>
      </c>
      <c r="O457" s="0" t="str">
        <f aca="false" t="array" ref="O457:O457">IF(N457&lt;&gt;"",N457,_xlfn.xlookup(1,(L457:L1456=L457)*(N457:N1456&lt;&gt;""),N457:N1456,"Not Found"))</f>
        <v>Isaac Bobo</v>
      </c>
      <c r="P457" s="4" t="n">
        <v>40252</v>
      </c>
      <c r="Q457" s="0" t="s">
        <v>49</v>
      </c>
      <c r="R457" s="0" t="str">
        <f aca="false">PROPER(Q457)</f>
        <v>Transfer</v>
      </c>
      <c r="S457" s="0" t="s">
        <v>50</v>
      </c>
      <c r="T457" s="0" t="n">
        <v>2</v>
      </c>
      <c r="U457" s="5" t="n">
        <f aca="false">IF(ISBLANK(T457),AVERAGE(T457:T1456),T457)</f>
        <v>2</v>
      </c>
      <c r="V457" s="0" t="n">
        <v>4.1</v>
      </c>
      <c r="W457" s="0" t="s">
        <v>51</v>
      </c>
      <c r="X457" s="0" t="str">
        <f aca="false">IF(ISBLANK(W457),"No remarks",W457)</f>
        <v>Recommended further checks</v>
      </c>
      <c r="Y457" s="0" t="s">
        <v>93</v>
      </c>
      <c r="AA457" s="0" t="str">
        <f aca="false">PROPER(IF(ISBLANK(Z457),"Location Unavailable",Z457))</f>
        <v>Location Unavailable</v>
      </c>
      <c r="AB457" s="0" t="s">
        <v>147</v>
      </c>
      <c r="AC457" s="6" t="str">
        <f aca="false">PROPER(AB457)</f>
        <v>Instagram</v>
      </c>
      <c r="AD457" s="6" t="n">
        <v>45</v>
      </c>
      <c r="AE457" s="5" t="n">
        <f aca="false">IF(ISBLANK(AD457),AVERAGEIF(L457:L1456,L457,AD457:AD1456),AD457)</f>
        <v>45</v>
      </c>
      <c r="AF457" s="0" t="s">
        <v>55</v>
      </c>
      <c r="AG457" s="0" t="str">
        <f aca="false">PROPER(AF457)</f>
        <v>Available</v>
      </c>
      <c r="AH457" s="0" t="s">
        <v>148</v>
      </c>
      <c r="AI457" s="0" t="s">
        <v>128</v>
      </c>
      <c r="AJ457" s="0" t="str">
        <f aca="false">PROPER(AI457)</f>
        <v>Normal</v>
      </c>
      <c r="AK457" s="0" t="s">
        <v>58</v>
      </c>
      <c r="AL457" s="0" t="str">
        <f aca="false">PROPER(AK457)</f>
        <v>Fleet Owner</v>
      </c>
      <c r="AM457" s="0" t="s">
        <v>2326</v>
      </c>
      <c r="AN457" s="0" t="str">
        <f aca="false">IF(ISBLANK(AM457),"Unknown",AM457)</f>
        <v>Government Convoy</v>
      </c>
      <c r="AO457" s="0" t="s">
        <v>79</v>
      </c>
      <c r="AP457" s="0" t="str">
        <f aca="false">IF(ISBLANK(AO457),"Unknown",AO457)</f>
        <v>Specialist</v>
      </c>
      <c r="AR457" s="5" t="n">
        <f aca="false">IF(ISBLANK(AQ457),AVERAGEIF(M457:M1456,M457,AQ457:AQ1456),AQ457)</f>
        <v>26500</v>
      </c>
      <c r="AS457" s="0" t="n">
        <v>30000</v>
      </c>
      <c r="AT457" s="5" t="n">
        <f aca="false">IF(ISBLANK(AS457),AVERAGE(AS457:AS1456),AS457)</f>
        <v>30000</v>
      </c>
      <c r="AU457" s="0" t="s">
        <v>50</v>
      </c>
      <c r="AV457" s="0" t="str">
        <f aca="false">PROPER(IF(ISBLANK(AU457),"No",AU457))</f>
        <v>No</v>
      </c>
      <c r="AX457" s="5" t="n">
        <f aca="false">IF(ISBLANK(AW457),0,AW457)</f>
        <v>0</v>
      </c>
      <c r="AY457" s="0" t="s">
        <v>60</v>
      </c>
      <c r="AZ457" s="0" t="str">
        <f aca="false">UPPER(IF(ISBLANK(AY457),"NONE",AY457))</f>
        <v>NONE</v>
      </c>
      <c r="BA457" s="7" t="n">
        <v>46016</v>
      </c>
      <c r="BB457" s="7" t="n">
        <f aca="false">IF(ISBLANK(BA457),"No Follow Up Needed",BA457)</f>
        <v>46016</v>
      </c>
      <c r="BC457" s="0" t="s">
        <v>50</v>
      </c>
      <c r="BD457" s="0" t="str">
        <f aca="false">PROPER(IF(ISBLANK(BC457),"Unknown",BC457))</f>
        <v>No</v>
      </c>
      <c r="BF457" s="0" t="str">
        <f aca="false">IF(ISBLANK(BE457),"No comments",BE457)</f>
        <v>No comments</v>
      </c>
      <c r="BG457" s="0" t="s">
        <v>172</v>
      </c>
      <c r="BH457" s="0" t="str">
        <f aca="false">IF(ISBLANK(BG457),"No comments",BG457)</f>
        <v>Always late</v>
      </c>
      <c r="BI457" s="0" t="s">
        <v>50</v>
      </c>
      <c r="BJ457" s="0" t="str">
        <f aca="false">IF(ISBLANK(BI457),"Not Mentioned",BI457)</f>
        <v>No</v>
      </c>
      <c r="BL457" s="0" t="str">
        <f aca="false">PROPER(IF(ISBLANK(BK457),"Not Mentioned",BK457))</f>
        <v>Not Mentioned</v>
      </c>
      <c r="BM457" s="0" t="s">
        <v>50</v>
      </c>
      <c r="BN457" s="0" t="str">
        <f aca="false">PROPER(IF(ISBLANK(BM457),"Not Mentioned",BM457))</f>
        <v>No</v>
      </c>
      <c r="BO457" s="0" t="s">
        <v>2318</v>
      </c>
      <c r="BP457" s="0" t="str">
        <f aca="false">IF(ISBLANK(BO457),"One-Time Plan",BO457)</f>
        <v>Gold</v>
      </c>
      <c r="BR457" s="0" t="str">
        <f aca="false">PROPER(IF(ISBLANK(BQ457),"No",BQ457))</f>
        <v>No</v>
      </c>
    </row>
    <row r="458" customFormat="false" ht="15" hidden="false" customHeight="false" outlineLevel="0" collapsed="false">
      <c r="A458" s="0" t="s">
        <v>1185</v>
      </c>
      <c r="B458" s="2" t="n">
        <v>45670</v>
      </c>
      <c r="C458" s="2" t="str">
        <f aca="false">TEXT(B458,"dd/mm/yyyy")</f>
        <v>13/01/2025</v>
      </c>
      <c r="D458" s="0" t="s">
        <v>121</v>
      </c>
      <c r="E458" s="0" t="n">
        <v>8037833011</v>
      </c>
      <c r="F458" s="0" t="s">
        <v>122</v>
      </c>
      <c r="G458" s="0" t="s">
        <v>2316</v>
      </c>
      <c r="H458" s="0" t="s">
        <v>1186</v>
      </c>
      <c r="I458" s="0" t="s">
        <v>134</v>
      </c>
      <c r="J458" s="0" t="s">
        <v>2325</v>
      </c>
      <c r="K458" s="3" t="str">
        <f aca="false" t="array" ref="K458:K458">IFERROR(IF(J458&lt;&gt;"",J458,INDEX(J458:J1457,MATCH(1,(F458:F1457=F458)*(I458:I1457=I458)*(L458:L1457=L458)*(J458:J1457&lt;&gt;""),0))),"Not Found")</f>
        <v>Engine Knocking</v>
      </c>
      <c r="L458" s="3" t="s">
        <v>89</v>
      </c>
      <c r="M458" s="0" t="str">
        <f aca="false">PROPER(L458)</f>
        <v>Shock Absorbers</v>
      </c>
      <c r="N458" s="3" t="s">
        <v>109</v>
      </c>
      <c r="O458" s="0" t="str">
        <f aca="false" t="array" ref="O458:O458">IF(N458&lt;&gt;"",N458,_xlfn.xlookup(1,(L458:L1457=L458)*(N458:N1457&lt;&gt;""),N458:N1457,"Not Found"))</f>
        <v>Tijani</v>
      </c>
      <c r="P458" s="4" t="n">
        <v>83076</v>
      </c>
      <c r="Q458" s="0" t="s">
        <v>72</v>
      </c>
      <c r="R458" s="0" t="str">
        <f aca="false">PROPER(Q458)</f>
        <v>Pos</v>
      </c>
      <c r="S458" s="0" t="s">
        <v>50</v>
      </c>
      <c r="T458" s="0" t="n">
        <v>5</v>
      </c>
      <c r="U458" s="5" t="n">
        <f aca="false">IF(ISBLANK(T458),AVERAGE(T458:T1457),T458)</f>
        <v>5</v>
      </c>
      <c r="V458" s="0" t="n">
        <v>3.7</v>
      </c>
      <c r="W458" s="0" t="s">
        <v>125</v>
      </c>
      <c r="X458" s="0" t="str">
        <f aca="false">IF(ISBLANK(W458),"No remarks",W458)</f>
        <v>Customer waited</v>
      </c>
      <c r="Y458" s="0" t="s">
        <v>93</v>
      </c>
      <c r="Z458" s="0" t="s">
        <v>53</v>
      </c>
      <c r="AA458" s="0" t="str">
        <f aca="false">PROPER(IF(ISBLANK(Z458),"Location Unavailable",Z458))</f>
        <v>Main Bay</v>
      </c>
      <c r="AB458" s="0" t="s">
        <v>95</v>
      </c>
      <c r="AC458" s="6" t="str">
        <f aca="false">PROPER(AB458)</f>
        <v>Road Sign</v>
      </c>
      <c r="AD458" s="6" t="n">
        <v>60</v>
      </c>
      <c r="AE458" s="5" t="n">
        <f aca="false">IF(ISBLANK(AD458),AVERAGEIF(L458:L1457,L458,AD458:AD1457),AD458)</f>
        <v>60</v>
      </c>
      <c r="AF458" s="0" t="s">
        <v>160</v>
      </c>
      <c r="AG458" s="0" t="str">
        <f aca="false">PROPER(AF458)</f>
        <v>Availaible</v>
      </c>
      <c r="AH458" s="0" t="s">
        <v>56</v>
      </c>
      <c r="AI458" s="0" t="s">
        <v>98</v>
      </c>
      <c r="AJ458" s="0" t="str">
        <f aca="false">PROPER(AI458)</f>
        <v>Emergency</v>
      </c>
      <c r="AK458" s="0" t="s">
        <v>58</v>
      </c>
      <c r="AL458" s="0" t="str">
        <f aca="false">PROPER(AK458)</f>
        <v>Fleet Owner</v>
      </c>
      <c r="AN458" s="0" t="str">
        <f aca="false">IF(ISBLANK(AM458),"Unknown",AM458)</f>
        <v>Unknown</v>
      </c>
      <c r="AO458" s="0" t="s">
        <v>79</v>
      </c>
      <c r="AP458" s="0" t="str">
        <f aca="false">IF(ISBLANK(AO458),"Unknown",AO458)</f>
        <v>Specialist</v>
      </c>
      <c r="AQ458" s="0" t="n">
        <v>40000</v>
      </c>
      <c r="AR458" s="5" t="n">
        <f aca="false">IF(ISBLANK(AQ458),AVERAGEIF(M458:M1457,M458,AQ458:AQ1457),AQ458)</f>
        <v>40000</v>
      </c>
      <c r="AS458" s="0" t="n">
        <v>30000</v>
      </c>
      <c r="AT458" s="5" t="n">
        <f aca="false">IF(ISBLANK(AS458),AVERAGE(AS458:AS1457),AS458)</f>
        <v>30000</v>
      </c>
      <c r="AV458" s="0" t="str">
        <f aca="false">PROPER(IF(ISBLANK(AU458),"No",AU458))</f>
        <v>No</v>
      </c>
      <c r="AX458" s="5" t="n">
        <f aca="false">IF(ISBLANK(AW458),0,AW458)</f>
        <v>0</v>
      </c>
      <c r="AY458" s="0" t="s">
        <v>130</v>
      </c>
      <c r="AZ458" s="0" t="str">
        <f aca="false">UPPER(IF(ISBLANK(AY458),"NONE",AY458))</f>
        <v>LOYALTY10</v>
      </c>
      <c r="BA458" s="7" t="n">
        <v>45845</v>
      </c>
      <c r="BB458" s="7" t="n">
        <f aca="false">IF(ISBLANK(BA458),"No Follow Up Needed",BA458)</f>
        <v>45845</v>
      </c>
      <c r="BC458" s="0" t="s">
        <v>61</v>
      </c>
      <c r="BD458" s="0" t="str">
        <f aca="false">PROPER(IF(ISBLANK(BC458),"Unknown",BC458))</f>
        <v>No</v>
      </c>
      <c r="BE458" s="0" t="s">
        <v>171</v>
      </c>
      <c r="BF458" s="0" t="str">
        <f aca="false">IF(ISBLANK(BE458),"No comments",BE458)</f>
        <v>Shock absorber weakening</v>
      </c>
      <c r="BG458" s="0" t="s">
        <v>2320</v>
      </c>
      <c r="BH458" s="0" t="str">
        <f aca="false">IF(ISBLANK(BG458),"No comments",BG458)</f>
        <v>No complaints</v>
      </c>
      <c r="BJ458" s="0" t="str">
        <f aca="false">IF(ISBLANK(BI458),"Not Mentioned",BI458)</f>
        <v>Not Mentioned</v>
      </c>
      <c r="BK458" s="0" t="s">
        <v>63</v>
      </c>
      <c r="BL458" s="0" t="str">
        <f aca="false">PROPER(IF(ISBLANK(BK458),"Not Mentioned",BK458))</f>
        <v>Yes</v>
      </c>
      <c r="BM458" s="0" t="s">
        <v>63</v>
      </c>
      <c r="BN458" s="0" t="str">
        <f aca="false">PROPER(IF(ISBLANK(BM458),"Not Mentioned",BM458))</f>
        <v>Yes</v>
      </c>
      <c r="BP458" s="0" t="str">
        <f aca="false">IF(ISBLANK(BO458),"One-Time Plan",BO458)</f>
        <v>One-Time Plan</v>
      </c>
      <c r="BR458" s="0" t="str">
        <f aca="false">PROPER(IF(ISBLANK(BQ458),"No",BQ458))</f>
        <v>No</v>
      </c>
    </row>
    <row r="459" customFormat="false" ht="15" hidden="false" customHeight="false" outlineLevel="0" collapsed="false">
      <c r="A459" s="0" t="s">
        <v>1187</v>
      </c>
      <c r="B459" s="2" t="n">
        <v>45747</v>
      </c>
      <c r="C459" s="2" t="str">
        <f aca="false">TEXT(B459,"dd/mm/yyyy")</f>
        <v>31/03/2025</v>
      </c>
      <c r="D459" s="0" t="s">
        <v>105</v>
      </c>
      <c r="E459" s="0" t="n">
        <v>8077922837</v>
      </c>
      <c r="F459" s="0" t="s">
        <v>85</v>
      </c>
      <c r="G459" s="0" t="s">
        <v>2319</v>
      </c>
      <c r="H459" s="0" t="s">
        <v>1188</v>
      </c>
      <c r="I459" s="0" t="s">
        <v>45</v>
      </c>
      <c r="J459" s="0" t="s">
        <v>87</v>
      </c>
      <c r="K459" s="3" t="str">
        <f aca="false" t="array" ref="K459:K459">IFERROR(IF(J459&lt;&gt;"",J459,INDEX(J459:J1458,MATCH(1,(F459:F1458=F459)*(I459:I1458=I459)*(L459:L1458=L459)*(J459:J1458&lt;&gt;""),0))),"Not Found")</f>
        <v>Oil Change</v>
      </c>
      <c r="L459" s="3" t="s">
        <v>89</v>
      </c>
      <c r="M459" s="0" t="str">
        <f aca="false">PROPER(L459)</f>
        <v>Shock Absorbers</v>
      </c>
      <c r="N459" s="3" t="s">
        <v>109</v>
      </c>
      <c r="O459" s="0" t="str">
        <f aca="false" t="array" ref="O459:O459">IF(N459&lt;&gt;"",N459,_xlfn.xlookup(1,(L459:L1458=L459)*(N459:N1458&lt;&gt;""),N459:N1458,"Not Found"))</f>
        <v>Tijani</v>
      </c>
      <c r="P459" s="4" t="n">
        <v>74861</v>
      </c>
      <c r="Q459" s="0" t="s">
        <v>72</v>
      </c>
      <c r="R459" s="0" t="str">
        <f aca="false">PROPER(Q459)</f>
        <v>Pos</v>
      </c>
      <c r="S459" s="0" t="s">
        <v>50</v>
      </c>
      <c r="T459" s="0" t="n">
        <v>3</v>
      </c>
      <c r="U459" s="5" t="n">
        <f aca="false">IF(ISBLANK(T459),AVERAGE(T459:T1458),T459)</f>
        <v>3</v>
      </c>
      <c r="V459" s="0" t="n">
        <v>5.9</v>
      </c>
      <c r="W459" s="0" t="s">
        <v>125</v>
      </c>
      <c r="X459" s="0" t="str">
        <f aca="false">IF(ISBLANK(W459),"No remarks",W459)</f>
        <v>Customer waited</v>
      </c>
      <c r="Y459" s="0" t="s">
        <v>73</v>
      </c>
      <c r="Z459" s="0" t="s">
        <v>159</v>
      </c>
      <c r="AA459" s="0" t="str">
        <f aca="false">PROPER(IF(ISBLANK(Z459),"Location Unavailable",Z459))</f>
        <v>Main Bay</v>
      </c>
      <c r="AB459" s="0" t="s">
        <v>126</v>
      </c>
      <c r="AC459" s="6" t="str">
        <f aca="false">PROPER(AB459)</f>
        <v>Whatsapp</v>
      </c>
      <c r="AD459" s="6" t="n">
        <v>15</v>
      </c>
      <c r="AE459" s="5" t="n">
        <f aca="false">IF(ISBLANK(AD459),AVERAGEIF(L459:L1458,L459,AD459:AD1458),AD459)</f>
        <v>15</v>
      </c>
      <c r="AF459" s="0" t="s">
        <v>96</v>
      </c>
      <c r="AG459" s="0" t="str">
        <f aca="false">PROPER(AF459)</f>
        <v>Ordered</v>
      </c>
      <c r="AH459" s="0" t="s">
        <v>77</v>
      </c>
      <c r="AI459" s="0" t="s">
        <v>128</v>
      </c>
      <c r="AJ459" s="0" t="str">
        <f aca="false">PROPER(AI459)</f>
        <v>Normal</v>
      </c>
      <c r="AK459" s="0" t="s">
        <v>58</v>
      </c>
      <c r="AL459" s="0" t="str">
        <f aca="false">PROPER(AK459)</f>
        <v>Fleet Owner</v>
      </c>
      <c r="AM459" s="0" t="s">
        <v>2326</v>
      </c>
      <c r="AN459" s="0" t="str">
        <f aca="false">IF(ISBLANK(AM459),"Unknown",AM459)</f>
        <v>Government Convoy</v>
      </c>
      <c r="AO459" s="0" t="s">
        <v>149</v>
      </c>
      <c r="AP459" s="0" t="str">
        <f aca="false">IF(ISBLANK(AO459),"Unknown",AO459)</f>
        <v>Senior </v>
      </c>
      <c r="AQ459" s="0" t="n">
        <v>25000</v>
      </c>
      <c r="AR459" s="5" t="n">
        <f aca="false">IF(ISBLANK(AQ459),AVERAGEIF(M459:M1458,M459,AQ459:AQ1458),AQ459)</f>
        <v>25000</v>
      </c>
      <c r="AS459" s="0" t="n">
        <v>40000</v>
      </c>
      <c r="AT459" s="5" t="n">
        <f aca="false">IF(ISBLANK(AS459),AVERAGE(AS459:AS1458),AS459)</f>
        <v>40000</v>
      </c>
      <c r="AU459" s="0" t="s">
        <v>61</v>
      </c>
      <c r="AV459" s="0" t="str">
        <f aca="false">PROPER(IF(ISBLANK(AU459),"No",AU459))</f>
        <v>No</v>
      </c>
      <c r="AW459" s="0" t="n">
        <v>5000</v>
      </c>
      <c r="AX459" s="5" t="n">
        <f aca="false">IF(ISBLANK(AW459),0,AW459)</f>
        <v>5000</v>
      </c>
      <c r="AY459" s="0" t="s">
        <v>184</v>
      </c>
      <c r="AZ459" s="0" t="str">
        <f aca="false">UPPER(IF(ISBLANK(AY459),"NONE",AY459))</f>
        <v>N/A</v>
      </c>
      <c r="BA459" s="7" t="n">
        <v>45978</v>
      </c>
      <c r="BB459" s="7" t="n">
        <f aca="false">IF(ISBLANK(BA459),"No Follow Up Needed",BA459)</f>
        <v>45978</v>
      </c>
      <c r="BC459" s="0" t="s">
        <v>63</v>
      </c>
      <c r="BD459" s="0" t="str">
        <f aca="false">PROPER(IF(ISBLANK(BC459),"Unknown",BC459))</f>
        <v>Yes</v>
      </c>
      <c r="BE459" s="0" t="s">
        <v>171</v>
      </c>
      <c r="BF459" s="0" t="str">
        <f aca="false">IF(ISBLANK(BE459),"No comments",BE459)</f>
        <v>Shock absorber weakening</v>
      </c>
      <c r="BH459" s="0" t="str">
        <f aca="false">IF(ISBLANK(BG459),"No comments",BG459)</f>
        <v>No comments</v>
      </c>
      <c r="BJ459" s="0" t="str">
        <f aca="false">IF(ISBLANK(BI459),"Not Mentioned",BI459)</f>
        <v>Not Mentioned</v>
      </c>
      <c r="BL459" s="0" t="str">
        <f aca="false">PROPER(IF(ISBLANK(BK459),"Not Mentioned",BK459))</f>
        <v>Not Mentioned</v>
      </c>
      <c r="BN459" s="0" t="str">
        <f aca="false">PROPER(IF(ISBLANK(BM459),"Not Mentioned",BM459))</f>
        <v>Not Mentioned</v>
      </c>
      <c r="BO459" s="0" t="s">
        <v>2318</v>
      </c>
      <c r="BP459" s="0" t="str">
        <f aca="false">IF(ISBLANK(BO459),"One-Time Plan",BO459)</f>
        <v>Gold</v>
      </c>
      <c r="BQ459" s="0" t="s">
        <v>63</v>
      </c>
      <c r="BR459" s="0" t="str">
        <f aca="false">PROPER(IF(ISBLANK(BQ459),"No",BQ459))</f>
        <v>Yes</v>
      </c>
    </row>
    <row r="460" customFormat="false" ht="15" hidden="false" customHeight="false" outlineLevel="0" collapsed="false">
      <c r="A460" s="0" t="s">
        <v>1189</v>
      </c>
      <c r="B460" s="2" t="n">
        <v>45753</v>
      </c>
      <c r="C460" s="2" t="str">
        <f aca="false">TEXT(B460,"dd/mm/yyyy")</f>
        <v>06/04/2025</v>
      </c>
      <c r="D460" s="0" t="s">
        <v>163</v>
      </c>
      <c r="E460" s="0" t="n">
        <v>8015990830</v>
      </c>
      <c r="F460" s="0" t="s">
        <v>85</v>
      </c>
      <c r="G460" s="0" t="s">
        <v>2319</v>
      </c>
      <c r="H460" s="0" t="s">
        <v>1190</v>
      </c>
      <c r="I460" s="0" t="s">
        <v>45</v>
      </c>
      <c r="J460" s="0" t="s">
        <v>2325</v>
      </c>
      <c r="K460" s="3" t="str">
        <f aca="false" t="array" ref="K460:K460">IFERROR(IF(J460&lt;&gt;"",J460,INDEX(J460:J1459,MATCH(1,(F460:F1459=F460)*(I460:I1459=I460)*(L460:L1459=L460)*(J460:J1459&lt;&gt;""),0))),"Not Found")</f>
        <v>Engine Knocking</v>
      </c>
      <c r="L460" s="3" t="s">
        <v>47</v>
      </c>
      <c r="M460" s="0" t="str">
        <f aca="false">PROPER(L460)</f>
        <v>None</v>
      </c>
      <c r="N460" s="3" t="s">
        <v>71</v>
      </c>
      <c r="O460" s="0" t="str">
        <f aca="false" t="array" ref="O460:O460">IF(N460&lt;&gt;"",N460,_xlfn.xlookup(1,(L460:L1459=L460)*(N460:N1459&lt;&gt;""),N460:N1459,"Not Found"))</f>
        <v>Isaac Bobo</v>
      </c>
      <c r="P460" s="4" t="n">
        <v>46428</v>
      </c>
      <c r="Q460" s="0" t="s">
        <v>124</v>
      </c>
      <c r="R460" s="0" t="str">
        <f aca="false">PROPER(Q460)</f>
        <v>Cash</v>
      </c>
      <c r="S460" s="0" t="s">
        <v>63</v>
      </c>
      <c r="U460" s="5" t="n">
        <f aca="false">IF(ISBLANK(T460),AVERAGE(T460:T1459),T460)</f>
        <v>3.07126948775056</v>
      </c>
      <c r="V460" s="0" t="n">
        <v>5.9</v>
      </c>
      <c r="W460" s="0" t="s">
        <v>92</v>
      </c>
      <c r="X460" s="0" t="str">
        <f aca="false">IF(ISBLANK(W460),"No remarks",W460)</f>
        <v>Urgent service</v>
      </c>
      <c r="Y460" s="0" t="s">
        <v>73</v>
      </c>
      <c r="Z460" s="0" t="s">
        <v>136</v>
      </c>
      <c r="AA460" s="0" t="str">
        <f aca="false">PROPER(IF(ISBLANK(Z460),"Location Unavailable",Z460))</f>
        <v>Vip Section</v>
      </c>
      <c r="AB460" s="0" t="s">
        <v>126</v>
      </c>
      <c r="AC460" s="6" t="str">
        <f aca="false">PROPER(AB460)</f>
        <v>Whatsapp</v>
      </c>
      <c r="AD460" s="6" t="n">
        <v>45</v>
      </c>
      <c r="AE460" s="5" t="n">
        <f aca="false">IF(ISBLANK(AD460),AVERAGEIF(L460:L1459,L460,AD460:AD1459),AD460)</f>
        <v>45</v>
      </c>
      <c r="AF460" s="0" t="s">
        <v>160</v>
      </c>
      <c r="AG460" s="0" t="str">
        <f aca="false">PROPER(AF460)</f>
        <v>Availaible</v>
      </c>
      <c r="AH460" s="0" t="s">
        <v>155</v>
      </c>
      <c r="AI460" s="0" t="s">
        <v>78</v>
      </c>
      <c r="AJ460" s="0" t="str">
        <f aca="false">PROPER(AI460)</f>
        <v>Booking</v>
      </c>
      <c r="AK460" s="0" t="s">
        <v>196</v>
      </c>
      <c r="AL460" s="0" t="str">
        <f aca="false">PROPER(AK460)</f>
        <v>First Time</v>
      </c>
      <c r="AM460" s="0" t="s">
        <v>2324</v>
      </c>
      <c r="AN460" s="0" t="str">
        <f aca="false">IF(ISBLANK(AM460),"Unknown",AM460)</f>
        <v>Logistics Convoy</v>
      </c>
      <c r="AP460" s="0" t="str">
        <f aca="false">IF(ISBLANK(AO460),"Unknown",AO460)</f>
        <v>Unknown</v>
      </c>
      <c r="AQ460" s="0" t="n">
        <v>15000</v>
      </c>
      <c r="AR460" s="5" t="n">
        <f aca="false">IF(ISBLANK(AQ460),AVERAGEIF(M460:M1459,M460,AQ460:AQ1459),AQ460)</f>
        <v>15000</v>
      </c>
      <c r="AS460" s="0" t="n">
        <v>30000</v>
      </c>
      <c r="AT460" s="5" t="n">
        <f aca="false">IF(ISBLANK(AS460),AVERAGE(AS460:AS1459),AS460)</f>
        <v>30000</v>
      </c>
      <c r="AU460" s="0" t="s">
        <v>61</v>
      </c>
      <c r="AV460" s="0" t="str">
        <f aca="false">PROPER(IF(ISBLANK(AU460),"No",AU460))</f>
        <v>No</v>
      </c>
      <c r="AW460" s="0" t="n">
        <v>10000</v>
      </c>
      <c r="AX460" s="5" t="n">
        <f aca="false">IF(ISBLANK(AW460),0,AW460)</f>
        <v>10000</v>
      </c>
      <c r="AY460" s="0" t="s">
        <v>184</v>
      </c>
      <c r="AZ460" s="0" t="str">
        <f aca="false">UPPER(IF(ISBLANK(AY460),"NONE",AY460))</f>
        <v>N/A</v>
      </c>
      <c r="BB460" s="7" t="str">
        <f aca="false">IF(ISBLANK(BA460),"No Follow Up Needed",BA460)</f>
        <v>No Follow Up Needed</v>
      </c>
      <c r="BD460" s="0" t="str">
        <f aca="false">PROPER(IF(ISBLANK(BC460),"Unknown",BC460))</f>
        <v>Unknown</v>
      </c>
      <c r="BE460" s="0" t="s">
        <v>171</v>
      </c>
      <c r="BF460" s="0" t="str">
        <f aca="false">IF(ISBLANK(BE460),"No comments",BE460)</f>
        <v>Shock absorber weakening</v>
      </c>
      <c r="BH460" s="0" t="str">
        <f aca="false">IF(ISBLANK(BG460),"No comments",BG460)</f>
        <v>No comments</v>
      </c>
      <c r="BI460" s="0" t="s">
        <v>50</v>
      </c>
      <c r="BJ460" s="0" t="str">
        <f aca="false">IF(ISBLANK(BI460),"Not Mentioned",BI460)</f>
        <v>No</v>
      </c>
      <c r="BL460" s="0" t="str">
        <f aca="false">PROPER(IF(ISBLANK(BK460),"Not Mentioned",BK460))</f>
        <v>Not Mentioned</v>
      </c>
      <c r="BN460" s="0" t="str">
        <f aca="false">PROPER(IF(ISBLANK(BM460),"Not Mentioned",BM460))</f>
        <v>Not Mentioned</v>
      </c>
      <c r="BP460" s="0" t="str">
        <f aca="false">IF(ISBLANK(BO460),"One-Time Plan",BO460)</f>
        <v>One-Time Plan</v>
      </c>
      <c r="BQ460" s="0" t="s">
        <v>50</v>
      </c>
      <c r="BR460" s="0" t="str">
        <f aca="false">PROPER(IF(ISBLANK(BQ460),"No",BQ460))</f>
        <v>No</v>
      </c>
    </row>
    <row r="461" customFormat="false" ht="15" hidden="false" customHeight="false" outlineLevel="0" collapsed="false">
      <c r="A461" s="0" t="s">
        <v>1191</v>
      </c>
      <c r="B461" s="2" t="s">
        <v>173</v>
      </c>
      <c r="C461" s="2" t="str">
        <f aca="false">TEXT(B461,"dd/mm/yyyy")</f>
        <v>13/01/2025</v>
      </c>
      <c r="D461" s="0" t="s">
        <v>163</v>
      </c>
      <c r="E461" s="0" t="n">
        <v>8072031070</v>
      </c>
      <c r="F461" s="0" t="s">
        <v>67</v>
      </c>
      <c r="G461" s="0" t="s">
        <v>2316</v>
      </c>
      <c r="H461" s="0" t="s">
        <v>1192</v>
      </c>
      <c r="I461" s="0" t="s">
        <v>87</v>
      </c>
      <c r="J461" s="0" t="s">
        <v>87</v>
      </c>
      <c r="K461" s="3" t="str">
        <f aca="false" t="array" ref="K461:K461">IFERROR(IF(J461&lt;&gt;"",J461,INDEX(J461:J1460,MATCH(1,(F461:F1460=F461)*(I461:I1460=I461)*(L461:L1460=L461)*(J461:J1460&lt;&gt;""),0))),"Not Found")</f>
        <v>Oil Change</v>
      </c>
      <c r="L461" s="3" t="s">
        <v>142</v>
      </c>
      <c r="M461" s="0" t="str">
        <f aca="false">PROPER(L461)</f>
        <v>Oil Filter, Brake Pads</v>
      </c>
      <c r="N461" s="3" t="s">
        <v>71</v>
      </c>
      <c r="O461" s="0" t="str">
        <f aca="false" t="array" ref="O461:O461">IF(N461&lt;&gt;"",N461,_xlfn.xlookup(1,(L461:L1460=L461)*(N461:N1460&lt;&gt;""),N461:N1460,"Not Found"))</f>
        <v>Isaac Bobo</v>
      </c>
      <c r="P461" s="4" t="n">
        <v>17904</v>
      </c>
      <c r="Q461" s="0" t="s">
        <v>166</v>
      </c>
      <c r="R461" s="0" t="str">
        <f aca="false">PROPER(Q461)</f>
        <v>Transfer</v>
      </c>
      <c r="S461" s="0" t="s">
        <v>50</v>
      </c>
      <c r="T461" s="0" t="n">
        <v>1</v>
      </c>
      <c r="U461" s="5" t="n">
        <f aca="false">IF(ISBLANK(T461),AVERAGE(T461:T1460),T461)</f>
        <v>1</v>
      </c>
      <c r="V461" s="0" t="n">
        <v>5.2</v>
      </c>
      <c r="W461" s="0" t="s">
        <v>125</v>
      </c>
      <c r="X461" s="0" t="str">
        <f aca="false">IF(ISBLANK(W461),"No remarks",W461)</f>
        <v>Customer waited</v>
      </c>
      <c r="Y461" s="0" t="s">
        <v>52</v>
      </c>
      <c r="Z461" s="0" t="s">
        <v>94</v>
      </c>
      <c r="AA461" s="0" t="str">
        <f aca="false">PROPER(IF(ISBLANK(Z461),"Location Unavailable",Z461))</f>
        <v>Vip Section</v>
      </c>
      <c r="AB461" s="0" t="s">
        <v>75</v>
      </c>
      <c r="AC461" s="6" t="str">
        <f aca="false">PROPER(AB461)</f>
        <v>Mechanik Referal</v>
      </c>
      <c r="AD461" s="6" t="n">
        <v>15</v>
      </c>
      <c r="AE461" s="5" t="n">
        <f aca="false">IF(ISBLANK(AD461),AVERAGEIF(L461:L1460,L461,AD461:AD1460),AD461)</f>
        <v>15</v>
      </c>
      <c r="AF461" s="0" t="s">
        <v>160</v>
      </c>
      <c r="AG461" s="0" t="str">
        <f aca="false">PROPER(AF461)</f>
        <v>Availaible</v>
      </c>
      <c r="AH461" s="0" t="s">
        <v>148</v>
      </c>
      <c r="AI461" s="0" t="s">
        <v>78</v>
      </c>
      <c r="AJ461" s="0" t="str">
        <f aca="false">PROPER(AI461)</f>
        <v>Booking</v>
      </c>
      <c r="AK461" s="0" t="s">
        <v>196</v>
      </c>
      <c r="AL461" s="0" t="str">
        <f aca="false">PROPER(AK461)</f>
        <v>First Time</v>
      </c>
      <c r="AN461" s="0" t="str">
        <f aca="false">IF(ISBLANK(AM461),"Unknown",AM461)</f>
        <v>Unknown</v>
      </c>
      <c r="AO461" s="0" t="s">
        <v>79</v>
      </c>
      <c r="AP461" s="0" t="str">
        <f aca="false">IF(ISBLANK(AO461),"Unknown",AO461)</f>
        <v>Specialist</v>
      </c>
      <c r="AQ461" s="0" t="n">
        <v>40000</v>
      </c>
      <c r="AR461" s="5" t="n">
        <f aca="false">IF(ISBLANK(AQ461),AVERAGEIF(M461:M1460,M461,AQ461:AQ1460),AQ461)</f>
        <v>40000</v>
      </c>
      <c r="AS461" s="0" t="n">
        <v>40000</v>
      </c>
      <c r="AT461" s="5" t="n">
        <f aca="false">IF(ISBLANK(AS461),AVERAGE(AS461:AS1460),AS461)</f>
        <v>40000</v>
      </c>
      <c r="AU461" s="0" t="s">
        <v>82</v>
      </c>
      <c r="AV461" s="0" t="str">
        <f aca="false">PROPER(IF(ISBLANK(AU461),"No",AU461))</f>
        <v>Yes</v>
      </c>
      <c r="AW461" s="0" t="n">
        <v>5000</v>
      </c>
      <c r="AX461" s="5" t="n">
        <f aca="false">IF(ISBLANK(AW461),0,AW461)</f>
        <v>5000</v>
      </c>
      <c r="AZ461" s="0" t="str">
        <f aca="false">UPPER(IF(ISBLANK(AY461),"NONE",AY461))</f>
        <v>NONE</v>
      </c>
      <c r="BA461" s="7" t="n">
        <v>45951</v>
      </c>
      <c r="BB461" s="7" t="n">
        <f aca="false">IF(ISBLANK(BA461),"No Follow Up Needed",BA461)</f>
        <v>45951</v>
      </c>
      <c r="BC461" s="0" t="s">
        <v>82</v>
      </c>
      <c r="BD461" s="0" t="str">
        <f aca="false">PROPER(IF(ISBLANK(BC461),"Unknown",BC461))</f>
        <v>Yes</v>
      </c>
      <c r="BE461" s="0" t="s">
        <v>116</v>
      </c>
      <c r="BF461" s="0" t="str">
        <f aca="false">IF(ISBLANK(BE461),"No comments",BE461)</f>
        <v>Needs tire alignment</v>
      </c>
      <c r="BG461" s="0" t="s">
        <v>117</v>
      </c>
      <c r="BH461" s="0" t="str">
        <f aca="false">IF(ISBLANK(BG461),"No comments",BG461)</f>
        <v>Prefers morning</v>
      </c>
      <c r="BI461" s="0" t="s">
        <v>63</v>
      </c>
      <c r="BJ461" s="0" t="str">
        <f aca="false">IF(ISBLANK(BI461),"Not Mentioned",BI461)</f>
        <v>Yes</v>
      </c>
      <c r="BK461" s="0" t="s">
        <v>61</v>
      </c>
      <c r="BL461" s="0" t="str">
        <f aca="false">PROPER(IF(ISBLANK(BK461),"Not Mentioned",BK461))</f>
        <v>No</v>
      </c>
      <c r="BN461" s="0" t="str">
        <f aca="false">PROPER(IF(ISBLANK(BM461),"Not Mentioned",BM461))</f>
        <v>Not Mentioned</v>
      </c>
      <c r="BO461" s="0" t="s">
        <v>64</v>
      </c>
      <c r="BP461" s="0" t="str">
        <f aca="false">IF(ISBLANK(BO461),"One-Time Plan",BO461)</f>
        <v>Gold Maintenance Plan</v>
      </c>
      <c r="BQ461" s="0" t="s">
        <v>198</v>
      </c>
      <c r="BR461" s="0" t="str">
        <f aca="false">PROPER(IF(ISBLANK(BQ461),"No",BQ461))</f>
        <v>Followed Up</v>
      </c>
    </row>
    <row r="462" customFormat="false" ht="15" hidden="false" customHeight="false" outlineLevel="0" collapsed="false">
      <c r="A462" s="0" t="s">
        <v>1193</v>
      </c>
      <c r="B462" s="2" t="n">
        <v>45730</v>
      </c>
      <c r="C462" s="2" t="str">
        <f aca="false">TEXT(B462,"dd/mm/yyyy")</f>
        <v>14/03/2025</v>
      </c>
      <c r="D462" s="0" t="s">
        <v>163</v>
      </c>
      <c r="E462" s="0" t="n">
        <v>8013586013</v>
      </c>
      <c r="F462" s="0" t="s">
        <v>139</v>
      </c>
      <c r="G462" s="0" t="s">
        <v>2323</v>
      </c>
      <c r="H462" s="0" t="s">
        <v>1194</v>
      </c>
      <c r="I462" s="0" t="s">
        <v>107</v>
      </c>
      <c r="J462" s="0" t="s">
        <v>2317</v>
      </c>
      <c r="K462" s="3" t="str">
        <f aca="false" t="array" ref="K462:K462">IFERROR(IF(J462&lt;&gt;"",J462,INDEX(J462:J1461,MATCH(1,(F462:F1461=F462)*(I462:I1461=I462)*(L462:L1461=L462)*(J462:J1461&lt;&gt;""),0))),"Not Found")</f>
        <v>Suspension Noise</v>
      </c>
      <c r="L462" s="3" t="s">
        <v>189</v>
      </c>
      <c r="M462" s="0" t="str">
        <f aca="false">PROPER(L462)</f>
        <v>Battery</v>
      </c>
      <c r="O462" s="0" t="e">
        <f aca="false" t="array" ref="O462:O462">IF(N462&lt;&gt;"",N462,_xlfn.xlookup(1,(L462:L1461=L462)*(N462:N1461&lt;&gt;""),N462:N1461,"Not Found"))</f>
        <v>#NAME?</v>
      </c>
      <c r="P462" s="4" t="n">
        <v>31804</v>
      </c>
      <c r="Q462" s="0" t="s">
        <v>49</v>
      </c>
      <c r="R462" s="0" t="str">
        <f aca="false">PROPER(Q462)</f>
        <v>Transfer</v>
      </c>
      <c r="S462" s="0" t="s">
        <v>63</v>
      </c>
      <c r="T462" s="0" t="n">
        <v>4</v>
      </c>
      <c r="U462" s="5" t="n">
        <f aca="false">IF(ISBLANK(T462),AVERAGE(T462:T1461),T462)</f>
        <v>4</v>
      </c>
      <c r="V462" s="0" t="n">
        <v>3.2</v>
      </c>
      <c r="W462" s="0" t="s">
        <v>125</v>
      </c>
      <c r="X462" s="0" t="str">
        <f aca="false">IF(ISBLANK(W462),"No remarks",W462)</f>
        <v>Customer waited</v>
      </c>
      <c r="Y462" s="0" t="s">
        <v>93</v>
      </c>
      <c r="Z462" s="0" t="s">
        <v>159</v>
      </c>
      <c r="AA462" s="0" t="str">
        <f aca="false">PROPER(IF(ISBLANK(Z462),"Location Unavailable",Z462))</f>
        <v>Main Bay</v>
      </c>
      <c r="AB462" s="0" t="s">
        <v>95</v>
      </c>
      <c r="AC462" s="6" t="str">
        <f aca="false">PROPER(AB462)</f>
        <v>Road Sign</v>
      </c>
      <c r="AD462" s="6" t="n">
        <v>60</v>
      </c>
      <c r="AE462" s="5" t="n">
        <f aca="false">IF(ISBLANK(AD462),AVERAGEIF(L462:L1461,L462,AD462:AD1461),AD462)</f>
        <v>60</v>
      </c>
      <c r="AF462" s="0" t="s">
        <v>76</v>
      </c>
      <c r="AG462" s="0" t="str">
        <f aca="false">PROPER(AF462)</f>
        <v>Orderd</v>
      </c>
      <c r="AH462" s="0" t="s">
        <v>148</v>
      </c>
      <c r="AI462" s="0" t="s">
        <v>78</v>
      </c>
      <c r="AJ462" s="0" t="str">
        <f aca="false">PROPER(AI462)</f>
        <v>Booking</v>
      </c>
      <c r="AK462" s="0" t="s">
        <v>196</v>
      </c>
      <c r="AL462" s="0" t="str">
        <f aca="false">PROPER(AK462)</f>
        <v>First Time</v>
      </c>
      <c r="AM462" s="0" t="s">
        <v>59</v>
      </c>
      <c r="AN462" s="0" t="str">
        <f aca="false">IF(ISBLANK(AM462),"Unknown",AM462)</f>
        <v>Bolt Driver</v>
      </c>
      <c r="AO462" s="0" t="s">
        <v>79</v>
      </c>
      <c r="AP462" s="0" t="str">
        <f aca="false">IF(ISBLANK(AO462),"Unknown",AO462)</f>
        <v>Specialist</v>
      </c>
      <c r="AQ462" s="0" t="n">
        <v>20000</v>
      </c>
      <c r="AR462" s="5" t="n">
        <f aca="false">IF(ISBLANK(AQ462),AVERAGEIF(M462:M1461,M462,AQ462:AQ1461),AQ462)</f>
        <v>20000</v>
      </c>
      <c r="AS462" s="0" t="n">
        <v>40000</v>
      </c>
      <c r="AT462" s="5" t="n">
        <f aca="false">IF(ISBLANK(AS462),AVERAGE(AS462:AS1461),AS462)</f>
        <v>40000</v>
      </c>
      <c r="AU462" s="0" t="s">
        <v>82</v>
      </c>
      <c r="AV462" s="0" t="str">
        <f aca="false">PROPER(IF(ISBLANK(AU462),"No",AU462))</f>
        <v>Yes</v>
      </c>
      <c r="AX462" s="5" t="n">
        <f aca="false">IF(ISBLANK(AW462),0,AW462)</f>
        <v>0</v>
      </c>
      <c r="AY462" s="0" t="s">
        <v>184</v>
      </c>
      <c r="AZ462" s="0" t="str">
        <f aca="false">UPPER(IF(ISBLANK(AY462),"NONE",AY462))</f>
        <v>N/A</v>
      </c>
      <c r="BA462" s="7" t="s">
        <v>816</v>
      </c>
      <c r="BB462" s="7" t="str">
        <f aca="false">IF(ISBLANK(BA462),"No Follow Up Needed",BA462)</f>
        <v>28/06/2025</v>
      </c>
      <c r="BC462" s="0" t="s">
        <v>50</v>
      </c>
      <c r="BD462" s="0" t="str">
        <f aca="false">PROPER(IF(ISBLANK(BC462),"Unknown",BC462))</f>
        <v>No</v>
      </c>
      <c r="BF462" s="0" t="str">
        <f aca="false">IF(ISBLANK(BE462),"No comments",BE462)</f>
        <v>No comments</v>
      </c>
      <c r="BH462" s="0" t="str">
        <f aca="false">IF(ISBLANK(BG462),"No comments",BG462)</f>
        <v>No comments</v>
      </c>
      <c r="BI462" s="0" t="s">
        <v>63</v>
      </c>
      <c r="BJ462" s="0" t="str">
        <f aca="false">IF(ISBLANK(BI462),"Not Mentioned",BI462)</f>
        <v>Yes</v>
      </c>
      <c r="BK462" s="0" t="s">
        <v>63</v>
      </c>
      <c r="BL462" s="0" t="str">
        <f aca="false">PROPER(IF(ISBLANK(BK462),"Not Mentioned",BK462))</f>
        <v>Yes</v>
      </c>
      <c r="BM462" s="0" t="s">
        <v>63</v>
      </c>
      <c r="BN462" s="0" t="str">
        <f aca="false">PROPER(IF(ISBLANK(BM462),"Not Mentioned",BM462))</f>
        <v>Yes</v>
      </c>
      <c r="BO462" s="0" t="s">
        <v>2318</v>
      </c>
      <c r="BP462" s="0" t="str">
        <f aca="false">IF(ISBLANK(BO462),"One-Time Plan",BO462)</f>
        <v>Gold</v>
      </c>
      <c r="BQ462" s="0" t="s">
        <v>198</v>
      </c>
      <c r="BR462" s="0" t="str">
        <f aca="false">PROPER(IF(ISBLANK(BQ462),"No",BQ462))</f>
        <v>Followed Up</v>
      </c>
    </row>
    <row r="463" customFormat="false" ht="15" hidden="false" customHeight="false" outlineLevel="0" collapsed="false">
      <c r="A463" s="0" t="s">
        <v>1195</v>
      </c>
      <c r="B463" s="2" t="n">
        <v>45810</v>
      </c>
      <c r="C463" s="2" t="str">
        <f aca="false">TEXT(B463,"dd/mm/yyyy")</f>
        <v>02/06/2025</v>
      </c>
      <c r="D463" s="0" t="s">
        <v>121</v>
      </c>
      <c r="E463" s="0" t="n">
        <v>8019824132</v>
      </c>
      <c r="F463" s="0" t="s">
        <v>122</v>
      </c>
      <c r="G463" s="0" t="s">
        <v>2316</v>
      </c>
      <c r="H463" s="0" t="s">
        <v>1196</v>
      </c>
      <c r="I463" s="0" t="s">
        <v>134</v>
      </c>
      <c r="J463" s="0" t="s">
        <v>2317</v>
      </c>
      <c r="K463" s="3" t="str">
        <f aca="false" t="array" ref="K463:K463">IFERROR(IF(J463&lt;&gt;"",J463,INDEX(J463:J1462,MATCH(1,(F463:F1462=F463)*(I463:I1462=I463)*(L463:L1462=L463)*(J463:J1462&lt;&gt;""),0))),"Not Found")</f>
        <v>Suspension Noise</v>
      </c>
      <c r="L463" s="3" t="s">
        <v>189</v>
      </c>
      <c r="M463" s="0" t="str">
        <f aca="false">PROPER(L463)</f>
        <v>Battery</v>
      </c>
      <c r="N463" s="3" t="s">
        <v>109</v>
      </c>
      <c r="O463" s="0" t="str">
        <f aca="false" t="array" ref="O463:O463">IF(N463&lt;&gt;"",N463,_xlfn.xlookup(1,(L463:L1462=L463)*(N463:N1462&lt;&gt;""),N463:N1462,"Not Found"))</f>
        <v>Tijani</v>
      </c>
      <c r="P463" s="4" t="n">
        <v>88520</v>
      </c>
      <c r="Q463" s="0" t="s">
        <v>110</v>
      </c>
      <c r="R463" s="0" t="str">
        <f aca="false">PROPER(Q463)</f>
        <v>Cash</v>
      </c>
      <c r="S463" s="0" t="s">
        <v>50</v>
      </c>
      <c r="T463" s="0" t="n">
        <v>1</v>
      </c>
      <c r="U463" s="5" t="n">
        <f aca="false">IF(ISBLANK(T463),AVERAGE(T463:T1462),T463)</f>
        <v>1</v>
      </c>
      <c r="V463" s="0" t="n">
        <v>2.8</v>
      </c>
      <c r="W463" s="0" t="s">
        <v>92</v>
      </c>
      <c r="X463" s="0" t="str">
        <f aca="false">IF(ISBLANK(W463),"No remarks",W463)</f>
        <v>Urgent service</v>
      </c>
      <c r="Y463" s="0" t="s">
        <v>73</v>
      </c>
      <c r="AA463" s="0" t="str">
        <f aca="false">PROPER(IF(ISBLANK(Z463),"Location Unavailable",Z463))</f>
        <v>Location Unavailable</v>
      </c>
      <c r="AB463" s="0" t="s">
        <v>126</v>
      </c>
      <c r="AC463" s="6" t="str">
        <f aca="false">PROPER(AB463)</f>
        <v>Whatsapp</v>
      </c>
      <c r="AD463" s="6" t="n">
        <v>60</v>
      </c>
      <c r="AE463" s="5" t="n">
        <f aca="false">IF(ISBLANK(AD463),AVERAGEIF(L463:L1462,L463,AD463:AD1462),AD463)</f>
        <v>60</v>
      </c>
      <c r="AF463" s="0" t="s">
        <v>76</v>
      </c>
      <c r="AG463" s="0" t="str">
        <f aca="false">PROPER(AF463)</f>
        <v>Orderd</v>
      </c>
      <c r="AH463" s="0" t="s">
        <v>155</v>
      </c>
      <c r="AI463" s="0" t="s">
        <v>128</v>
      </c>
      <c r="AJ463" s="0" t="str">
        <f aca="false">PROPER(AI463)</f>
        <v>Normal</v>
      </c>
      <c r="AK463" s="0" t="s">
        <v>58</v>
      </c>
      <c r="AL463" s="0" t="str">
        <f aca="false">PROPER(AK463)</f>
        <v>Fleet Owner</v>
      </c>
      <c r="AN463" s="0" t="str">
        <f aca="false">IF(ISBLANK(AM463),"Unknown",AM463)</f>
        <v>Unknown</v>
      </c>
      <c r="AO463" s="0" t="s">
        <v>149</v>
      </c>
      <c r="AP463" s="0" t="str">
        <f aca="false">IF(ISBLANK(AO463),"Unknown",AO463)</f>
        <v>Senior </v>
      </c>
      <c r="AQ463" s="0" t="n">
        <v>15000</v>
      </c>
      <c r="AR463" s="5" t="n">
        <f aca="false">IF(ISBLANK(AQ463),AVERAGEIF(M463:M1462,M463,AQ463:AQ1462),AQ463)</f>
        <v>15000</v>
      </c>
      <c r="AS463" s="0" t="n">
        <v>30000</v>
      </c>
      <c r="AT463" s="5" t="n">
        <f aca="false">IF(ISBLANK(AS463),AVERAGE(AS463:AS1462),AS463)</f>
        <v>30000</v>
      </c>
      <c r="AU463" s="0" t="s">
        <v>63</v>
      </c>
      <c r="AV463" s="0" t="str">
        <f aca="false">PROPER(IF(ISBLANK(AU463),"No",AU463))</f>
        <v>Yes</v>
      </c>
      <c r="AX463" s="5" t="n">
        <f aca="false">IF(ISBLANK(AW463),0,AW463)</f>
        <v>0</v>
      </c>
      <c r="AY463" s="0" t="s">
        <v>80</v>
      </c>
      <c r="AZ463" s="0" t="str">
        <f aca="false">UPPER(IF(ISBLANK(AY463),"NONE",AY463))</f>
        <v>PROMO10</v>
      </c>
      <c r="BA463" s="7" t="s">
        <v>1197</v>
      </c>
      <c r="BB463" s="7" t="str">
        <f aca="false">IF(ISBLANK(BA463),"No Follow Up Needed",BA463)</f>
        <v>28/12/2025</v>
      </c>
      <c r="BD463" s="0" t="str">
        <f aca="false">PROPER(IF(ISBLANK(BC463),"Unknown",BC463))</f>
        <v>Unknown</v>
      </c>
      <c r="BE463" s="0" t="s">
        <v>116</v>
      </c>
      <c r="BF463" s="0" t="str">
        <f aca="false">IF(ISBLANK(BE463),"No comments",BE463)</f>
        <v>Needs tire alignment</v>
      </c>
      <c r="BH463" s="0" t="str">
        <f aca="false">IF(ISBLANK(BG463),"No comments",BG463)</f>
        <v>No comments</v>
      </c>
      <c r="BI463" s="0" t="s">
        <v>50</v>
      </c>
      <c r="BJ463" s="0" t="str">
        <f aca="false">IF(ISBLANK(BI463),"Not Mentioned",BI463)</f>
        <v>No</v>
      </c>
      <c r="BL463" s="0" t="str">
        <f aca="false">PROPER(IF(ISBLANK(BK463),"Not Mentioned",BK463))</f>
        <v>Not Mentioned</v>
      </c>
      <c r="BN463" s="0" t="str">
        <f aca="false">PROPER(IF(ISBLANK(BM463),"Not Mentioned",BM463))</f>
        <v>Not Mentioned</v>
      </c>
      <c r="BP463" s="0" t="str">
        <f aca="false">IF(ISBLANK(BO463),"One-Time Plan",BO463)</f>
        <v>One-Time Plan</v>
      </c>
      <c r="BQ463" s="0" t="s">
        <v>50</v>
      </c>
      <c r="BR463" s="0" t="str">
        <f aca="false">PROPER(IF(ISBLANK(BQ463),"No",BQ463))</f>
        <v>No</v>
      </c>
    </row>
    <row r="464" customFormat="false" ht="15" hidden="false" customHeight="false" outlineLevel="0" collapsed="false">
      <c r="A464" s="0" t="s">
        <v>1198</v>
      </c>
      <c r="B464" s="2" t="n">
        <v>45774</v>
      </c>
      <c r="C464" s="2" t="str">
        <f aca="false">TEXT(B464,"dd/mm/yyyy")</f>
        <v>27/04/2025</v>
      </c>
      <c r="D464" s="0" t="s">
        <v>66</v>
      </c>
      <c r="E464" s="0" t="n">
        <v>8095747226</v>
      </c>
      <c r="F464" s="0" t="s">
        <v>139</v>
      </c>
      <c r="G464" s="0" t="s">
        <v>2323</v>
      </c>
      <c r="H464" s="0" t="s">
        <v>1199</v>
      </c>
      <c r="I464" s="0" t="s">
        <v>45</v>
      </c>
      <c r="J464" s="0" t="s">
        <v>2322</v>
      </c>
      <c r="K464" s="3" t="str">
        <f aca="false" t="array" ref="K464:K464">IFERROR(IF(J464&lt;&gt;"",J464,INDEX(J464:J1463,MATCH(1,(F464:F1463=F464)*(I464:I1463=I464)*(L464:L1463=L464)*(J464:J1463&lt;&gt;""),0))),"Not Found")</f>
        <v>Brake Failure</v>
      </c>
      <c r="L464" s="3" t="s">
        <v>89</v>
      </c>
      <c r="M464" s="0" t="str">
        <f aca="false">PROPER(L464)</f>
        <v>Shock Absorbers</v>
      </c>
      <c r="N464" s="3" t="s">
        <v>71</v>
      </c>
      <c r="O464" s="0" t="str">
        <f aca="false" t="array" ref="O464:O464">IF(N464&lt;&gt;"",N464,_xlfn.xlookup(1,(L464:L1463=L464)*(N464:N1463&lt;&gt;""),N464:N1463,"Not Found"))</f>
        <v>Isaac Bobo</v>
      </c>
      <c r="P464" s="4" t="n">
        <v>91189</v>
      </c>
      <c r="Q464" s="0" t="s">
        <v>124</v>
      </c>
      <c r="R464" s="0" t="str">
        <f aca="false">PROPER(Q464)</f>
        <v>Cash</v>
      </c>
      <c r="S464" s="0" t="s">
        <v>63</v>
      </c>
      <c r="T464" s="0" t="n">
        <v>2</v>
      </c>
      <c r="U464" s="5" t="n">
        <f aca="false">IF(ISBLANK(T464),AVERAGE(T464:T1463),T464)</f>
        <v>2</v>
      </c>
      <c r="V464" s="0" t="n">
        <v>5.8</v>
      </c>
      <c r="W464" s="0" t="s">
        <v>92</v>
      </c>
      <c r="X464" s="0" t="str">
        <f aca="false">IF(ISBLANK(W464),"No remarks",W464)</f>
        <v>Urgent service</v>
      </c>
      <c r="Y464" s="0" t="s">
        <v>93</v>
      </c>
      <c r="Z464" s="0" t="s">
        <v>94</v>
      </c>
      <c r="AA464" s="0" t="str">
        <f aca="false">PROPER(IF(ISBLANK(Z464),"Location Unavailable",Z464))</f>
        <v>Vip Section</v>
      </c>
      <c r="AB464" s="0" t="s">
        <v>167</v>
      </c>
      <c r="AC464" s="6" t="str">
        <f aca="false">PROPER(AB464)</f>
        <v>Word Of Mouth</v>
      </c>
      <c r="AD464" s="6" t="n">
        <v>45</v>
      </c>
      <c r="AE464" s="5" t="n">
        <f aca="false">IF(ISBLANK(AD464),AVERAGEIF(L464:L1463,L464,AD464:AD1463),AD464)</f>
        <v>45</v>
      </c>
      <c r="AF464" s="0" t="s">
        <v>55</v>
      </c>
      <c r="AG464" s="0" t="str">
        <f aca="false">PROPER(AF464)</f>
        <v>Available</v>
      </c>
      <c r="AH464" s="0" t="s">
        <v>77</v>
      </c>
      <c r="AI464" s="0" t="s">
        <v>113</v>
      </c>
      <c r="AJ464" s="0" t="str">
        <f aca="false">PROPER(AI464)</f>
        <v>Normal</v>
      </c>
      <c r="AK464" s="0" t="s">
        <v>99</v>
      </c>
      <c r="AL464" s="0" t="str">
        <f aca="false">PROPER(AK464)</f>
        <v>Uber Driver</v>
      </c>
      <c r="AN464" s="0" t="str">
        <f aca="false">IF(ISBLANK(AM464),"Unknown",AM464)</f>
        <v>Unknown</v>
      </c>
      <c r="AO464" s="0" t="s">
        <v>161</v>
      </c>
      <c r="AP464" s="0" t="str">
        <f aca="false">IF(ISBLANK(AO464),"Unknown",AO464)</f>
        <v>Apprentice</v>
      </c>
      <c r="AQ464" s="0" t="n">
        <v>40000</v>
      </c>
      <c r="AR464" s="5" t="n">
        <f aca="false">IF(ISBLANK(AQ464),AVERAGEIF(M464:M1463,M464,AQ464:AQ1463),AQ464)</f>
        <v>40000</v>
      </c>
      <c r="AS464" s="0" t="n">
        <v>20000</v>
      </c>
      <c r="AT464" s="5" t="n">
        <f aca="false">IF(ISBLANK(AS464),AVERAGE(AS464:AS1463),AS464)</f>
        <v>20000</v>
      </c>
      <c r="AU464" s="0" t="s">
        <v>50</v>
      </c>
      <c r="AV464" s="0" t="str">
        <f aca="false">PROPER(IF(ISBLANK(AU464),"No",AU464))</f>
        <v>No</v>
      </c>
      <c r="AW464" s="0" t="n">
        <v>5000</v>
      </c>
      <c r="AX464" s="5" t="n">
        <f aca="false">IF(ISBLANK(AW464),0,AW464)</f>
        <v>5000</v>
      </c>
      <c r="AY464" s="0" t="s">
        <v>60</v>
      </c>
      <c r="AZ464" s="0" t="str">
        <f aca="false">UPPER(IF(ISBLANK(AY464),"NONE",AY464))</f>
        <v>NONE</v>
      </c>
      <c r="BB464" s="7" t="str">
        <f aca="false">IF(ISBLANK(BA464),"No Follow Up Needed",BA464)</f>
        <v>No Follow Up Needed</v>
      </c>
      <c r="BC464" s="0" t="s">
        <v>61</v>
      </c>
      <c r="BD464" s="0" t="str">
        <f aca="false">PROPER(IF(ISBLANK(BC464),"Unknown",BC464))</f>
        <v>No</v>
      </c>
      <c r="BF464" s="0" t="str">
        <f aca="false">IF(ISBLANK(BE464),"No comments",BE464)</f>
        <v>No comments</v>
      </c>
      <c r="BG464" s="0" t="s">
        <v>2320</v>
      </c>
      <c r="BH464" s="0" t="str">
        <f aca="false">IF(ISBLANK(BG464),"No comments",BG464)</f>
        <v>No complaints</v>
      </c>
      <c r="BI464" s="0" t="s">
        <v>63</v>
      </c>
      <c r="BJ464" s="0" t="str">
        <f aca="false">IF(ISBLANK(BI464),"Not Mentioned",BI464)</f>
        <v>Yes</v>
      </c>
      <c r="BL464" s="0" t="str">
        <f aca="false">PROPER(IF(ISBLANK(BK464),"Not Mentioned",BK464))</f>
        <v>Not Mentioned</v>
      </c>
      <c r="BM464" s="0" t="s">
        <v>63</v>
      </c>
      <c r="BN464" s="0" t="str">
        <f aca="false">PROPER(IF(ISBLANK(BM464),"Not Mentioned",BM464))</f>
        <v>Yes</v>
      </c>
      <c r="BP464" s="0" t="str">
        <f aca="false">IF(ISBLANK(BO464),"One-Time Plan",BO464)</f>
        <v>One-Time Plan</v>
      </c>
      <c r="BQ464" s="0" t="s">
        <v>63</v>
      </c>
      <c r="BR464" s="0" t="str">
        <f aca="false">PROPER(IF(ISBLANK(BQ464),"No",BQ464))</f>
        <v>Yes</v>
      </c>
    </row>
    <row r="465" customFormat="false" ht="15" hidden="false" customHeight="false" outlineLevel="0" collapsed="false">
      <c r="A465" s="0" t="s">
        <v>1201</v>
      </c>
      <c r="B465" s="2" t="s">
        <v>1200</v>
      </c>
      <c r="C465" s="2" t="str">
        <f aca="false">TEXT(B465,"dd/mm/yyyy")</f>
        <v>18/03/2025</v>
      </c>
      <c r="D465" s="0" t="s">
        <v>121</v>
      </c>
      <c r="E465" s="0" t="n">
        <v>8071995701</v>
      </c>
      <c r="F465" s="0" t="s">
        <v>122</v>
      </c>
      <c r="G465" s="0" t="s">
        <v>2316</v>
      </c>
      <c r="H465" s="0" t="s">
        <v>1202</v>
      </c>
      <c r="I465" s="0" t="s">
        <v>69</v>
      </c>
      <c r="J465" s="0" t="s">
        <v>2325</v>
      </c>
      <c r="K465" s="3" t="str">
        <f aca="false" t="array" ref="K465:K465">IFERROR(IF(J465&lt;&gt;"",J465,INDEX(J465:J1464,MATCH(1,(F465:F1464=F465)*(I465:I1464=I465)*(L465:L1464=L465)*(J465:J1464&lt;&gt;""),0))),"Not Found")</f>
        <v>Engine Knocking</v>
      </c>
      <c r="L465" s="3" t="s">
        <v>154</v>
      </c>
      <c r="M465" s="0" t="str">
        <f aca="false">PROPER(L465)</f>
        <v>Air Filter</v>
      </c>
      <c r="N465" s="3" t="s">
        <v>90</v>
      </c>
      <c r="O465" s="0" t="str">
        <f aca="false" t="array" ref="O465:O465">IF(N465&lt;&gt;"",N465,_xlfn.xlookup(1,(L465:L1464=L465)*(N465:N1464&lt;&gt;""),N465:N1464,"Not Found"))</f>
        <v>Musa</v>
      </c>
      <c r="P465" s="4" t="n">
        <v>18063</v>
      </c>
      <c r="Q465" s="0" t="s">
        <v>91</v>
      </c>
      <c r="R465" s="0" t="str">
        <f aca="false">PROPER(Q465)</f>
        <v>Pos</v>
      </c>
      <c r="S465" s="0" t="s">
        <v>63</v>
      </c>
      <c r="T465" s="0" t="n">
        <v>2</v>
      </c>
      <c r="U465" s="5" t="n">
        <f aca="false">IF(ISBLANK(T465),AVERAGE(T465:T1464),T465)</f>
        <v>2</v>
      </c>
      <c r="V465" s="0" t="n">
        <v>3.3</v>
      </c>
      <c r="W465" s="0" t="s">
        <v>92</v>
      </c>
      <c r="X465" s="0" t="str">
        <f aca="false">IF(ISBLANK(W465),"No remarks",W465)</f>
        <v>Urgent service</v>
      </c>
      <c r="Y465" s="0" t="s">
        <v>93</v>
      </c>
      <c r="Z465" s="0" t="s">
        <v>136</v>
      </c>
      <c r="AA465" s="0" t="str">
        <f aca="false">PROPER(IF(ISBLANK(Z465),"Location Unavailable",Z465))</f>
        <v>Vip Section</v>
      </c>
      <c r="AB465" s="0" t="s">
        <v>126</v>
      </c>
      <c r="AC465" s="6" t="str">
        <f aca="false">PROPER(AB465)</f>
        <v>Whatsapp</v>
      </c>
      <c r="AD465" s="6" t="n">
        <v>45</v>
      </c>
      <c r="AE465" s="5" t="n">
        <f aca="false">IF(ISBLANK(AD465),AVERAGEIF(L465:L1464,L465,AD465:AD1464),AD465)</f>
        <v>45</v>
      </c>
      <c r="AF465" s="0" t="s">
        <v>96</v>
      </c>
      <c r="AG465" s="0" t="str">
        <f aca="false">PROPER(AF465)</f>
        <v>Ordered</v>
      </c>
      <c r="AH465" s="0" t="s">
        <v>56</v>
      </c>
      <c r="AI465" s="0" t="s">
        <v>78</v>
      </c>
      <c r="AJ465" s="0" t="str">
        <f aca="false">PROPER(AI465)</f>
        <v>Booking</v>
      </c>
      <c r="AK465" s="0" t="s">
        <v>196</v>
      </c>
      <c r="AL465" s="0" t="str">
        <f aca="false">PROPER(AK465)</f>
        <v>First Time</v>
      </c>
      <c r="AM465" s="0" t="s">
        <v>2326</v>
      </c>
      <c r="AN465" s="0" t="str">
        <f aca="false">IF(ISBLANK(AM465),"Unknown",AM465)</f>
        <v>Government Convoy</v>
      </c>
      <c r="AO465" s="0" t="s">
        <v>143</v>
      </c>
      <c r="AP465" s="0" t="str">
        <f aca="false">IF(ISBLANK(AO465),"Unknown",AO465)</f>
        <v>Senior</v>
      </c>
      <c r="AQ465" s="0" t="n">
        <v>15000</v>
      </c>
      <c r="AR465" s="5" t="n">
        <f aca="false">IF(ISBLANK(AQ465),AVERAGEIF(M465:M1464,M465,AQ465:AQ1464),AQ465)</f>
        <v>15000</v>
      </c>
      <c r="AT465" s="5" t="n">
        <f aca="false">IF(ISBLANK(AS465),AVERAGE(AS465:AS1464),AS465)</f>
        <v>31521.2527964206</v>
      </c>
      <c r="AU465" s="0" t="s">
        <v>63</v>
      </c>
      <c r="AV465" s="0" t="str">
        <f aca="false">PROPER(IF(ISBLANK(AU465),"No",AU465))</f>
        <v>Yes</v>
      </c>
      <c r="AW465" s="0" t="n">
        <v>5000</v>
      </c>
      <c r="AX465" s="5" t="n">
        <f aca="false">IF(ISBLANK(AW465),0,AW465)</f>
        <v>5000</v>
      </c>
      <c r="AZ465" s="0" t="str">
        <f aca="false">UPPER(IF(ISBLANK(AY465),"NONE",AY465))</f>
        <v>NONE</v>
      </c>
      <c r="BA465" s="7" t="n">
        <v>45829</v>
      </c>
      <c r="BB465" s="7" t="n">
        <f aca="false">IF(ISBLANK(BA465),"No Follow Up Needed",BA465)</f>
        <v>45829</v>
      </c>
      <c r="BD465" s="0" t="str">
        <f aca="false">PROPER(IF(ISBLANK(BC465),"Unknown",BC465))</f>
        <v>Unknown</v>
      </c>
      <c r="BF465" s="0" t="str">
        <f aca="false">IF(ISBLANK(BE465),"No comments",BE465)</f>
        <v>No comments</v>
      </c>
      <c r="BH465" s="0" t="str">
        <f aca="false">IF(ISBLANK(BG465),"No comments",BG465)</f>
        <v>No comments</v>
      </c>
      <c r="BI465" s="0" t="s">
        <v>63</v>
      </c>
      <c r="BJ465" s="0" t="str">
        <f aca="false">IF(ISBLANK(BI465),"Not Mentioned",BI465)</f>
        <v>Yes</v>
      </c>
      <c r="BK465" s="0" t="s">
        <v>82</v>
      </c>
      <c r="BL465" s="0" t="str">
        <f aca="false">PROPER(IF(ISBLANK(BK465),"Not Mentioned",BK465))</f>
        <v>Yes</v>
      </c>
      <c r="BM465" s="0" t="s">
        <v>63</v>
      </c>
      <c r="BN465" s="0" t="str">
        <f aca="false">PROPER(IF(ISBLANK(BM465),"Not Mentioned",BM465))</f>
        <v>Yes</v>
      </c>
      <c r="BO465" s="0" t="s">
        <v>2321</v>
      </c>
      <c r="BP465" s="0" t="str">
        <f aca="false">IF(ISBLANK(BO465),"One-Time Plan",BO465)</f>
        <v>One-Time Plan</v>
      </c>
      <c r="BQ465" s="0" t="s">
        <v>63</v>
      </c>
      <c r="BR465" s="0" t="str">
        <f aca="false">PROPER(IF(ISBLANK(BQ465),"No",BQ465))</f>
        <v>Yes</v>
      </c>
    </row>
    <row r="466" customFormat="false" ht="15" hidden="false" customHeight="false" outlineLevel="0" collapsed="false">
      <c r="A466" s="0" t="s">
        <v>1203</v>
      </c>
      <c r="B466" s="2" t="n">
        <v>45767</v>
      </c>
      <c r="C466" s="2" t="str">
        <f aca="false">TEXT(B466,"dd/mm/yyyy")</f>
        <v>20/04/2025</v>
      </c>
      <c r="D466" s="0" t="s">
        <v>105</v>
      </c>
      <c r="E466" s="0" t="n">
        <v>8061157834</v>
      </c>
      <c r="F466" s="0" t="s">
        <v>67</v>
      </c>
      <c r="G466" s="0" t="s">
        <v>2316</v>
      </c>
      <c r="H466" s="0" t="s">
        <v>1204</v>
      </c>
      <c r="I466" s="0" t="s">
        <v>45</v>
      </c>
      <c r="J466" s="0" t="s">
        <v>2317</v>
      </c>
      <c r="K466" s="3" t="str">
        <f aca="false" t="array" ref="K466:K466">IFERROR(IF(J466&lt;&gt;"",J466,INDEX(J466:J1465,MATCH(1,(F466:F1465=F466)*(I466:I1465=I466)*(L466:L1465=L466)*(J466:J1465&lt;&gt;""),0))),"Not Found")</f>
        <v>Suspension Noise</v>
      </c>
      <c r="L466" s="3" t="s">
        <v>154</v>
      </c>
      <c r="M466" s="0" t="str">
        <f aca="false">PROPER(L466)</f>
        <v>Air Filter</v>
      </c>
      <c r="N466" s="3" t="s">
        <v>71</v>
      </c>
      <c r="O466" s="0" t="str">
        <f aca="false" t="array" ref="O466:O466">IF(N466&lt;&gt;"",N466,_xlfn.xlookup(1,(L466:L1465=L466)*(N466:N1465&lt;&gt;""),N466:N1465,"Not Found"))</f>
        <v>Isaac Bobo</v>
      </c>
      <c r="P466" s="4" t="n">
        <v>68079</v>
      </c>
      <c r="Q466" s="0" t="s">
        <v>166</v>
      </c>
      <c r="R466" s="0" t="str">
        <f aca="false">PROPER(Q466)</f>
        <v>Transfer</v>
      </c>
      <c r="S466" s="0" t="s">
        <v>50</v>
      </c>
      <c r="T466" s="0" t="n">
        <v>2</v>
      </c>
      <c r="U466" s="5" t="n">
        <f aca="false">IF(ISBLANK(T466),AVERAGE(T466:T1465),T466)</f>
        <v>2</v>
      </c>
      <c r="V466" s="0" t="n">
        <v>2.2</v>
      </c>
      <c r="W466" s="0" t="s">
        <v>51</v>
      </c>
      <c r="X466" s="0" t="str">
        <f aca="false">IF(ISBLANK(W466),"No remarks",W466)</f>
        <v>Recommended further checks</v>
      </c>
      <c r="Y466" s="0" t="s">
        <v>52</v>
      </c>
      <c r="Z466" s="0" t="s">
        <v>53</v>
      </c>
      <c r="AA466" s="0" t="str">
        <f aca="false">PROPER(IF(ISBLANK(Z466),"Location Unavailable",Z466))</f>
        <v>Main Bay</v>
      </c>
      <c r="AB466" s="0" t="s">
        <v>95</v>
      </c>
      <c r="AC466" s="6" t="str">
        <f aca="false">PROPER(AB466)</f>
        <v>Road Sign</v>
      </c>
      <c r="AD466" s="6" t="n">
        <v>15</v>
      </c>
      <c r="AE466" s="5" t="n">
        <f aca="false">IF(ISBLANK(AD466),AVERAGEIF(L466:L1465,L466,AD466:AD1465),AD466)</f>
        <v>15</v>
      </c>
      <c r="AF466" s="0" t="s">
        <v>76</v>
      </c>
      <c r="AG466" s="0" t="str">
        <f aca="false">PROPER(AF466)</f>
        <v>Orderd</v>
      </c>
      <c r="AH466" s="0" t="s">
        <v>77</v>
      </c>
      <c r="AI466" s="0" t="s">
        <v>98</v>
      </c>
      <c r="AJ466" s="0" t="str">
        <f aca="false">PROPER(AI466)</f>
        <v>Emergency</v>
      </c>
      <c r="AK466" s="0" t="s">
        <v>58</v>
      </c>
      <c r="AL466" s="0" t="str">
        <f aca="false">PROPER(AK466)</f>
        <v>Fleet Owner</v>
      </c>
      <c r="AM466" s="0" t="s">
        <v>177</v>
      </c>
      <c r="AN466" s="0" t="str">
        <f aca="false">IF(ISBLANK(AM466),"Unknown",AM466)</f>
        <v>Private</v>
      </c>
      <c r="AO466" s="0" t="s">
        <v>79</v>
      </c>
      <c r="AP466" s="0" t="str">
        <f aca="false">IF(ISBLANK(AO466),"Unknown",AO466)</f>
        <v>Specialist</v>
      </c>
      <c r="AR466" s="5" t="n">
        <f aca="false">IF(ISBLANK(AQ466),AVERAGEIF(M466:M1465,M466,AQ466:AQ1465),AQ466)</f>
        <v>26933.3333333333</v>
      </c>
      <c r="AS466" s="0" t="n">
        <v>30000</v>
      </c>
      <c r="AT466" s="5" t="n">
        <f aca="false">IF(ISBLANK(AS466),AVERAGE(AS466:AS1465),AS466)</f>
        <v>30000</v>
      </c>
      <c r="AU466" s="0" t="s">
        <v>61</v>
      </c>
      <c r="AV466" s="0" t="str">
        <f aca="false">PROPER(IF(ISBLANK(AU466),"No",AU466))</f>
        <v>No</v>
      </c>
      <c r="AW466" s="0" t="n">
        <v>0</v>
      </c>
      <c r="AX466" s="5" t="n">
        <f aca="false">IF(ISBLANK(AW466),0,AW466)</f>
        <v>0</v>
      </c>
      <c r="AY466" s="0" t="s">
        <v>184</v>
      </c>
      <c r="AZ466" s="0" t="str">
        <f aca="false">UPPER(IF(ISBLANK(AY466),"NONE",AY466))</f>
        <v>N/A</v>
      </c>
      <c r="BB466" s="7" t="str">
        <f aca="false">IF(ISBLANK(BA466),"No Follow Up Needed",BA466)</f>
        <v>No Follow Up Needed</v>
      </c>
      <c r="BC466" s="0" t="s">
        <v>50</v>
      </c>
      <c r="BD466" s="0" t="str">
        <f aca="false">PROPER(IF(ISBLANK(BC466),"Unknown",BC466))</f>
        <v>No</v>
      </c>
      <c r="BE466" s="0" t="s">
        <v>116</v>
      </c>
      <c r="BF466" s="0" t="str">
        <f aca="false">IF(ISBLANK(BE466),"No comments",BE466)</f>
        <v>Needs tire alignment</v>
      </c>
      <c r="BH466" s="0" t="str">
        <f aca="false">IF(ISBLANK(BG466),"No comments",BG466)</f>
        <v>No comments</v>
      </c>
      <c r="BI466" s="0" t="s">
        <v>63</v>
      </c>
      <c r="BJ466" s="0" t="str">
        <f aca="false">IF(ISBLANK(BI466),"Not Mentioned",BI466)</f>
        <v>Yes</v>
      </c>
      <c r="BK466" s="0" t="s">
        <v>63</v>
      </c>
      <c r="BL466" s="0" t="str">
        <f aca="false">PROPER(IF(ISBLANK(BK466),"Not Mentioned",BK466))</f>
        <v>Yes</v>
      </c>
      <c r="BM466" s="0" t="s">
        <v>63</v>
      </c>
      <c r="BN466" s="0" t="str">
        <f aca="false">PROPER(IF(ISBLANK(BM466),"Not Mentioned",BM466))</f>
        <v>Yes</v>
      </c>
      <c r="BO466" s="0" t="s">
        <v>2321</v>
      </c>
      <c r="BP466" s="0" t="str">
        <f aca="false">IF(ISBLANK(BO466),"One-Time Plan",BO466)</f>
        <v>One-Time Plan</v>
      </c>
      <c r="BQ466" s="0" t="s">
        <v>50</v>
      </c>
      <c r="BR466" s="0" t="str">
        <f aca="false">PROPER(IF(ISBLANK(BQ466),"No",BQ466))</f>
        <v>No</v>
      </c>
    </row>
    <row r="467" customFormat="false" ht="15" hidden="false" customHeight="false" outlineLevel="0" collapsed="false">
      <c r="A467" s="0" t="s">
        <v>1205</v>
      </c>
      <c r="B467" s="2" t="n">
        <v>45674</v>
      </c>
      <c r="C467" s="2" t="str">
        <f aca="false">TEXT(B467,"dd/mm/yyyy")</f>
        <v>17/01/2025</v>
      </c>
      <c r="D467" s="0" t="s">
        <v>66</v>
      </c>
      <c r="E467" s="0" t="n">
        <v>8056124957</v>
      </c>
      <c r="F467" s="0" t="s">
        <v>43</v>
      </c>
      <c r="G467" s="0" t="s">
        <v>2315</v>
      </c>
      <c r="H467" s="0" t="s">
        <v>1206</v>
      </c>
      <c r="I467" s="0" t="s">
        <v>134</v>
      </c>
      <c r="J467" s="0" t="s">
        <v>2317</v>
      </c>
      <c r="K467" s="3" t="str">
        <f aca="false" t="array" ref="K467:K467">IFERROR(IF(J467&lt;&gt;"",J467,INDEX(J467:J1466,MATCH(1,(F467:F1466=F467)*(I467:I1466=I467)*(L467:L1466=L467)*(J467:J1466&lt;&gt;""),0))),"Not Found")</f>
        <v>Suspension Noise</v>
      </c>
      <c r="L467" s="3" t="s">
        <v>47</v>
      </c>
      <c r="M467" s="0" t="str">
        <f aca="false">PROPER(L467)</f>
        <v>None</v>
      </c>
      <c r="N467" s="3" t="s">
        <v>109</v>
      </c>
      <c r="O467" s="0" t="str">
        <f aca="false" t="array" ref="O467:O467">IF(N467&lt;&gt;"",N467,_xlfn.xlookup(1,(L467:L1466=L467)*(N467:N1466&lt;&gt;""),N467:N1466,"Not Found"))</f>
        <v>Tijani</v>
      </c>
      <c r="P467" s="4" t="n">
        <v>104219</v>
      </c>
      <c r="Q467" s="0" t="s">
        <v>110</v>
      </c>
      <c r="R467" s="0" t="str">
        <f aca="false">PROPER(Q467)</f>
        <v>Cash</v>
      </c>
      <c r="S467" s="0" t="s">
        <v>50</v>
      </c>
      <c r="T467" s="0" t="n">
        <v>4</v>
      </c>
      <c r="U467" s="5" t="n">
        <f aca="false">IF(ISBLANK(T467),AVERAGE(T467:T1466),T467)</f>
        <v>4</v>
      </c>
      <c r="V467" s="0" t="n">
        <v>4.3</v>
      </c>
      <c r="W467" s="0" t="s">
        <v>111</v>
      </c>
      <c r="X467" s="0" t="str">
        <f aca="false">IF(ISBLANK(W467),"No remarks",W467)</f>
        <v>Changed all filters</v>
      </c>
      <c r="Y467" s="0" t="s">
        <v>73</v>
      </c>
      <c r="Z467" s="0" t="s">
        <v>74</v>
      </c>
      <c r="AA467" s="0" t="str">
        <f aca="false">PROPER(IF(ISBLANK(Z467),"Location Unavailable",Z467))</f>
        <v>Under Tree</v>
      </c>
      <c r="AB467" s="0" t="s">
        <v>75</v>
      </c>
      <c r="AC467" s="6" t="str">
        <f aca="false">PROPER(AB467)</f>
        <v>Mechanik Referal</v>
      </c>
      <c r="AD467" s="6" t="n">
        <v>45</v>
      </c>
      <c r="AE467" s="5" t="n">
        <f aca="false">IF(ISBLANK(AD467),AVERAGEIF(L467:L1466,L467,AD467:AD1466),AD467)</f>
        <v>45</v>
      </c>
      <c r="AF467" s="0" t="s">
        <v>55</v>
      </c>
      <c r="AG467" s="0" t="str">
        <f aca="false">PROPER(AF467)</f>
        <v>Available</v>
      </c>
      <c r="AH467" s="0" t="s">
        <v>77</v>
      </c>
      <c r="AI467" s="0" t="s">
        <v>113</v>
      </c>
      <c r="AJ467" s="0" t="str">
        <f aca="false">PROPER(AI467)</f>
        <v>Normal</v>
      </c>
      <c r="AK467" s="0" t="s">
        <v>99</v>
      </c>
      <c r="AL467" s="0" t="str">
        <f aca="false">PROPER(AK467)</f>
        <v>Uber Driver</v>
      </c>
      <c r="AM467" s="0" t="s">
        <v>59</v>
      </c>
      <c r="AN467" s="0" t="str">
        <f aca="false">IF(ISBLANK(AM467),"Unknown",AM467)</f>
        <v>Bolt Driver</v>
      </c>
      <c r="AO467" s="0" t="s">
        <v>143</v>
      </c>
      <c r="AP467" s="0" t="str">
        <f aca="false">IF(ISBLANK(AO467),"Unknown",AO467)</f>
        <v>Senior</v>
      </c>
      <c r="AQ467" s="0" t="n">
        <v>25000</v>
      </c>
      <c r="AR467" s="5" t="n">
        <f aca="false">IF(ISBLANK(AQ467),AVERAGEIF(M467:M1466,M467,AQ467:AQ1466),AQ467)</f>
        <v>25000</v>
      </c>
      <c r="AS467" s="0" t="n">
        <v>40000</v>
      </c>
      <c r="AT467" s="5" t="n">
        <f aca="false">IF(ISBLANK(AS467),AVERAGE(AS467:AS1466),AS467)</f>
        <v>40000</v>
      </c>
      <c r="AV467" s="0" t="str">
        <f aca="false">PROPER(IF(ISBLANK(AU467),"No",AU467))</f>
        <v>No</v>
      </c>
      <c r="AW467" s="0" t="n">
        <v>0</v>
      </c>
      <c r="AX467" s="5" t="n">
        <f aca="false">IF(ISBLANK(AW467),0,AW467)</f>
        <v>0</v>
      </c>
      <c r="AY467" s="0" t="s">
        <v>80</v>
      </c>
      <c r="AZ467" s="0" t="str">
        <f aca="false">UPPER(IF(ISBLANK(AY467),"NONE",AY467))</f>
        <v>PROMO10</v>
      </c>
      <c r="BB467" s="7" t="str">
        <f aca="false">IF(ISBLANK(BA467),"No Follow Up Needed",BA467)</f>
        <v>No Follow Up Needed</v>
      </c>
      <c r="BC467" s="0" t="s">
        <v>82</v>
      </c>
      <c r="BD467" s="0" t="str">
        <f aca="false">PROPER(IF(ISBLANK(BC467),"Unknown",BC467))</f>
        <v>Yes</v>
      </c>
      <c r="BE467" s="0" t="s">
        <v>116</v>
      </c>
      <c r="BF467" s="0" t="str">
        <f aca="false">IF(ISBLANK(BE467),"No comments",BE467)</f>
        <v>Needs tire alignment</v>
      </c>
      <c r="BG467" s="0" t="s">
        <v>117</v>
      </c>
      <c r="BH467" s="0" t="str">
        <f aca="false">IF(ISBLANK(BG467),"No comments",BG467)</f>
        <v>Prefers morning</v>
      </c>
      <c r="BJ467" s="0" t="str">
        <f aca="false">IF(ISBLANK(BI467),"Not Mentioned",BI467)</f>
        <v>Not Mentioned</v>
      </c>
      <c r="BK467" s="0" t="s">
        <v>61</v>
      </c>
      <c r="BL467" s="0" t="str">
        <f aca="false">PROPER(IF(ISBLANK(BK467),"Not Mentioned",BK467))</f>
        <v>No</v>
      </c>
      <c r="BM467" s="0" t="s">
        <v>63</v>
      </c>
      <c r="BN467" s="0" t="str">
        <f aca="false">PROPER(IF(ISBLANK(BM467),"Not Mentioned",BM467))</f>
        <v>Yes</v>
      </c>
      <c r="BO467" s="0" t="s">
        <v>64</v>
      </c>
      <c r="BP467" s="0" t="str">
        <f aca="false">IF(ISBLANK(BO467),"One-Time Plan",BO467)</f>
        <v>Gold Maintenance Plan</v>
      </c>
      <c r="BQ467" s="0" t="s">
        <v>50</v>
      </c>
      <c r="BR467" s="0" t="str">
        <f aca="false">PROPER(IF(ISBLANK(BQ467),"No",BQ467))</f>
        <v>No</v>
      </c>
    </row>
    <row r="468" customFormat="false" ht="15" hidden="false" customHeight="false" outlineLevel="0" collapsed="false">
      <c r="A468" s="0" t="s">
        <v>1207</v>
      </c>
      <c r="B468" s="2" t="n">
        <v>45742</v>
      </c>
      <c r="C468" s="2" t="str">
        <f aca="false">TEXT(B468,"dd/mm/yyyy")</f>
        <v>26/03/2025</v>
      </c>
      <c r="D468" s="0" t="s">
        <v>42</v>
      </c>
      <c r="E468" s="0" t="n">
        <v>8063598753</v>
      </c>
      <c r="F468" s="0" t="s">
        <v>67</v>
      </c>
      <c r="G468" s="0" t="s">
        <v>2316</v>
      </c>
      <c r="H468" s="0" t="s">
        <v>1208</v>
      </c>
      <c r="I468" s="0" t="s">
        <v>69</v>
      </c>
      <c r="J468" s="0" t="s">
        <v>2317</v>
      </c>
      <c r="K468" s="3" t="str">
        <f aca="false" t="array" ref="K468:K468">IFERROR(IF(J468&lt;&gt;"",J468,INDEX(J468:J1467,MATCH(1,(F468:F1467=F468)*(I468:I1467=I468)*(L468:L1467=L468)*(J468:J1467&lt;&gt;""),0))),"Not Found")</f>
        <v>Suspension Noise</v>
      </c>
      <c r="L468" s="3" t="s">
        <v>142</v>
      </c>
      <c r="M468" s="0" t="str">
        <f aca="false">PROPER(L468)</f>
        <v>Oil Filter, Brake Pads</v>
      </c>
      <c r="N468" s="3" t="s">
        <v>90</v>
      </c>
      <c r="O468" s="0" t="str">
        <f aca="false" t="array" ref="O468:O468">IF(N468&lt;&gt;"",N468,_xlfn.xlookup(1,(L468:L1467=L468)*(N468:N1467&lt;&gt;""),N468:N1467,"Not Found"))</f>
        <v>Musa</v>
      </c>
      <c r="P468" s="4" t="n">
        <v>104574</v>
      </c>
      <c r="Q468" s="0" t="s">
        <v>166</v>
      </c>
      <c r="R468" s="0" t="str">
        <f aca="false">PROPER(Q468)</f>
        <v>Transfer</v>
      </c>
      <c r="S468" s="0" t="s">
        <v>50</v>
      </c>
      <c r="T468" s="0" t="n">
        <v>4</v>
      </c>
      <c r="U468" s="5" t="n">
        <f aca="false">IF(ISBLANK(T468),AVERAGE(T468:T1467),T468)</f>
        <v>4</v>
      </c>
      <c r="V468" s="0" t="n">
        <v>5.3</v>
      </c>
      <c r="W468" s="0" t="s">
        <v>125</v>
      </c>
      <c r="X468" s="0" t="str">
        <f aca="false">IF(ISBLANK(W468),"No remarks",W468)</f>
        <v>Customer waited</v>
      </c>
      <c r="Y468" s="0" t="s">
        <v>73</v>
      </c>
      <c r="Z468" s="0" t="s">
        <v>94</v>
      </c>
      <c r="AA468" s="0" t="str">
        <f aca="false">PROPER(IF(ISBLANK(Z468),"Location Unavailable",Z468))</f>
        <v>Vip Section</v>
      </c>
      <c r="AB468" s="0" t="s">
        <v>75</v>
      </c>
      <c r="AC468" s="6" t="str">
        <f aca="false">PROPER(AB468)</f>
        <v>Mechanik Referal</v>
      </c>
      <c r="AD468" s="6" t="n">
        <v>15</v>
      </c>
      <c r="AE468" s="5" t="n">
        <f aca="false">IF(ISBLANK(AD468),AVERAGEIF(L468:L1467,L468,AD468:AD1467),AD468)</f>
        <v>15</v>
      </c>
      <c r="AF468" s="0" t="s">
        <v>112</v>
      </c>
      <c r="AG468" s="0" t="str">
        <f aca="false">PROPER(AF468)</f>
        <v>Unavailable</v>
      </c>
      <c r="AH468" s="0" t="s">
        <v>155</v>
      </c>
      <c r="AI468" s="0" t="s">
        <v>113</v>
      </c>
      <c r="AJ468" s="0" t="str">
        <f aca="false">PROPER(AI468)</f>
        <v>Normal</v>
      </c>
      <c r="AK468" s="0" t="s">
        <v>58</v>
      </c>
      <c r="AL468" s="0" t="str">
        <f aca="false">PROPER(AK468)</f>
        <v>Fleet Owner</v>
      </c>
      <c r="AM468" s="0" t="s">
        <v>2326</v>
      </c>
      <c r="AN468" s="0" t="str">
        <f aca="false">IF(ISBLANK(AM468),"Unknown",AM468)</f>
        <v>Government Convoy</v>
      </c>
      <c r="AO468" s="0" t="s">
        <v>149</v>
      </c>
      <c r="AP468" s="0" t="str">
        <f aca="false">IF(ISBLANK(AO468),"Unknown",AO468)</f>
        <v>Senior </v>
      </c>
      <c r="AR468" s="5" t="n">
        <f aca="false">IF(ISBLANK(AQ468),AVERAGEIF(M468:M1467,M468,AQ468:AQ1467),AQ468)</f>
        <v>27207.7922077922</v>
      </c>
      <c r="AS468" s="0" t="n">
        <v>40000</v>
      </c>
      <c r="AT468" s="5" t="n">
        <f aca="false">IF(ISBLANK(AS468),AVERAGE(AS468:AS1467),AS468)</f>
        <v>40000</v>
      </c>
      <c r="AU468" s="0" t="s">
        <v>61</v>
      </c>
      <c r="AV468" s="0" t="str">
        <f aca="false">PROPER(IF(ISBLANK(AU468),"No",AU468))</f>
        <v>No</v>
      </c>
      <c r="AW468" s="0" t="n">
        <v>5000</v>
      </c>
      <c r="AX468" s="5" t="n">
        <f aca="false">IF(ISBLANK(AW468),0,AW468)</f>
        <v>5000</v>
      </c>
      <c r="AY468" s="0" t="s">
        <v>80</v>
      </c>
      <c r="AZ468" s="0" t="str">
        <f aca="false">UPPER(IF(ISBLANK(AY468),"NONE",AY468))</f>
        <v>PROMO10</v>
      </c>
      <c r="BB468" s="7" t="str">
        <f aca="false">IF(ISBLANK(BA468),"No Follow Up Needed",BA468)</f>
        <v>No Follow Up Needed</v>
      </c>
      <c r="BC468" s="0" t="s">
        <v>63</v>
      </c>
      <c r="BD468" s="0" t="str">
        <f aca="false">PROPER(IF(ISBLANK(BC468),"Unknown",BC468))</f>
        <v>Yes</v>
      </c>
      <c r="BE468" s="0" t="s">
        <v>171</v>
      </c>
      <c r="BF468" s="0" t="str">
        <f aca="false">IF(ISBLANK(BE468),"No comments",BE468)</f>
        <v>Shock absorber weakening</v>
      </c>
      <c r="BG468" s="0" t="s">
        <v>117</v>
      </c>
      <c r="BH468" s="0" t="str">
        <f aca="false">IF(ISBLANK(BG468),"No comments",BG468)</f>
        <v>Prefers morning</v>
      </c>
      <c r="BI468" s="0" t="s">
        <v>50</v>
      </c>
      <c r="BJ468" s="0" t="str">
        <f aca="false">IF(ISBLANK(BI468),"Not Mentioned",BI468)</f>
        <v>No</v>
      </c>
      <c r="BK468" s="0" t="s">
        <v>82</v>
      </c>
      <c r="BL468" s="0" t="str">
        <f aca="false">PROPER(IF(ISBLANK(BK468),"Not Mentioned",BK468))</f>
        <v>Yes</v>
      </c>
      <c r="BN468" s="0" t="str">
        <f aca="false">PROPER(IF(ISBLANK(BM468),"Not Mentioned",BM468))</f>
        <v>Not Mentioned</v>
      </c>
      <c r="BO468" s="0" t="s">
        <v>2318</v>
      </c>
      <c r="BP468" s="0" t="str">
        <f aca="false">IF(ISBLANK(BO468),"One-Time Plan",BO468)</f>
        <v>Gold</v>
      </c>
      <c r="BQ468" s="0" t="s">
        <v>198</v>
      </c>
      <c r="BR468" s="0" t="str">
        <f aca="false">PROPER(IF(ISBLANK(BQ468),"No",BQ468))</f>
        <v>Followed Up</v>
      </c>
    </row>
    <row r="469" customFormat="false" ht="15" hidden="false" customHeight="false" outlineLevel="0" collapsed="false">
      <c r="A469" s="0" t="s">
        <v>1209</v>
      </c>
      <c r="B469" s="2" t="n">
        <v>45711</v>
      </c>
      <c r="C469" s="2" t="str">
        <f aca="false">TEXT(B469,"dd/mm/yyyy")</f>
        <v>23/02/2025</v>
      </c>
      <c r="D469" s="0" t="s">
        <v>42</v>
      </c>
      <c r="E469" s="0" t="n">
        <v>8036092407</v>
      </c>
      <c r="F469" s="0" t="s">
        <v>139</v>
      </c>
      <c r="G469" s="0" t="s">
        <v>2323</v>
      </c>
      <c r="H469" s="0" t="s">
        <v>1210</v>
      </c>
      <c r="I469" s="0" t="s">
        <v>45</v>
      </c>
      <c r="J469" s="0" t="s">
        <v>2317</v>
      </c>
      <c r="K469" s="3" t="str">
        <f aca="false" t="array" ref="K469:K469">IFERROR(IF(J469&lt;&gt;"",J469,INDEX(J469:J1468,MATCH(1,(F469:F1468=F469)*(I469:I1468=I469)*(L469:L1468=L469)*(J469:J1468&lt;&gt;""),0))),"Not Found")</f>
        <v>Suspension Noise</v>
      </c>
      <c r="L469" s="3" t="s">
        <v>47</v>
      </c>
      <c r="M469" s="0" t="str">
        <f aca="false">PROPER(L469)</f>
        <v>None</v>
      </c>
      <c r="N469" s="3" t="s">
        <v>109</v>
      </c>
      <c r="O469" s="0" t="str">
        <f aca="false" t="array" ref="O469:O469">IF(N469&lt;&gt;"",N469,_xlfn.xlookup(1,(L469:L1468=L469)*(N469:N1468&lt;&gt;""),N469:N1468,"Not Found"))</f>
        <v>Tijani</v>
      </c>
      <c r="P469" s="4" t="n">
        <v>21190</v>
      </c>
      <c r="Q469" s="0" t="s">
        <v>72</v>
      </c>
      <c r="R469" s="0" t="str">
        <f aca="false">PROPER(Q469)</f>
        <v>Pos</v>
      </c>
      <c r="S469" s="0" t="s">
        <v>63</v>
      </c>
      <c r="U469" s="5" t="n">
        <f aca="false">IF(ISBLANK(T469),AVERAGE(T469:T1468),T469)</f>
        <v>3.08163265306122</v>
      </c>
      <c r="V469" s="0" t="n">
        <v>5.1</v>
      </c>
      <c r="W469" s="0" t="s">
        <v>111</v>
      </c>
      <c r="X469" s="0" t="str">
        <f aca="false">IF(ISBLANK(W469),"No remarks",W469)</f>
        <v>Changed all filters</v>
      </c>
      <c r="Y469" s="0" t="s">
        <v>52</v>
      </c>
      <c r="AA469" s="0" t="str">
        <f aca="false">PROPER(IF(ISBLANK(Z469),"Location Unavailable",Z469))</f>
        <v>Location Unavailable</v>
      </c>
      <c r="AB469" s="0" t="s">
        <v>95</v>
      </c>
      <c r="AC469" s="6" t="str">
        <f aca="false">PROPER(AB469)</f>
        <v>Road Sign</v>
      </c>
      <c r="AD469" s="6" t="n">
        <v>15</v>
      </c>
      <c r="AE469" s="5" t="n">
        <f aca="false">IF(ISBLANK(AD469),AVERAGEIF(L469:L1468,L469,AD469:AD1468),AD469)</f>
        <v>15</v>
      </c>
      <c r="AF469" s="0" t="s">
        <v>112</v>
      </c>
      <c r="AG469" s="0" t="str">
        <f aca="false">PROPER(AF469)</f>
        <v>Unavailable</v>
      </c>
      <c r="AH469" s="0" t="s">
        <v>77</v>
      </c>
      <c r="AI469" s="0" t="s">
        <v>98</v>
      </c>
      <c r="AJ469" s="0" t="str">
        <f aca="false">PROPER(AI469)</f>
        <v>Emergency</v>
      </c>
      <c r="AK469" s="0" t="s">
        <v>196</v>
      </c>
      <c r="AL469" s="0" t="str">
        <f aca="false">PROPER(AK469)</f>
        <v>First Time</v>
      </c>
      <c r="AM469" s="0" t="s">
        <v>2324</v>
      </c>
      <c r="AN469" s="0" t="str">
        <f aca="false">IF(ISBLANK(AM469),"Unknown",AM469)</f>
        <v>Logistics Convoy</v>
      </c>
      <c r="AO469" s="0" t="s">
        <v>161</v>
      </c>
      <c r="AP469" s="0" t="str">
        <f aca="false">IF(ISBLANK(AO469),"Unknown",AO469)</f>
        <v>Apprentice</v>
      </c>
      <c r="AQ469" s="0" t="n">
        <v>20000</v>
      </c>
      <c r="AR469" s="5" t="n">
        <f aca="false">IF(ISBLANK(AQ469),AVERAGEIF(M469:M1468,M469,AQ469:AQ1468),AQ469)</f>
        <v>20000</v>
      </c>
      <c r="AS469" s="0" t="n">
        <v>30000</v>
      </c>
      <c r="AT469" s="5" t="n">
        <f aca="false">IF(ISBLANK(AS469),AVERAGE(AS469:AS1468),AS469)</f>
        <v>30000</v>
      </c>
      <c r="AV469" s="0" t="str">
        <f aca="false">PROPER(IF(ISBLANK(AU469),"No",AU469))</f>
        <v>No</v>
      </c>
      <c r="AW469" s="0" t="n">
        <v>10000</v>
      </c>
      <c r="AX469" s="5" t="n">
        <f aca="false">IF(ISBLANK(AW469),0,AW469)</f>
        <v>10000</v>
      </c>
      <c r="AZ469" s="0" t="str">
        <f aca="false">UPPER(IF(ISBLANK(AY469),"NONE",AY469))</f>
        <v>NONE</v>
      </c>
      <c r="BA469" s="7" t="n">
        <v>45918</v>
      </c>
      <c r="BB469" s="7" t="n">
        <f aca="false">IF(ISBLANK(BA469),"No Follow Up Needed",BA469)</f>
        <v>45918</v>
      </c>
      <c r="BD469" s="0" t="str">
        <f aca="false">PROPER(IF(ISBLANK(BC469),"Unknown",BC469))</f>
        <v>Unknown</v>
      </c>
      <c r="BE469" s="0" t="s">
        <v>116</v>
      </c>
      <c r="BF469" s="0" t="str">
        <f aca="false">IF(ISBLANK(BE469),"No comments",BE469)</f>
        <v>Needs tire alignment</v>
      </c>
      <c r="BG469" s="0" t="s">
        <v>2320</v>
      </c>
      <c r="BH469" s="0" t="str">
        <f aca="false">IF(ISBLANK(BG469),"No comments",BG469)</f>
        <v>No complaints</v>
      </c>
      <c r="BI469" s="0" t="s">
        <v>50</v>
      </c>
      <c r="BJ469" s="0" t="str">
        <f aca="false">IF(ISBLANK(BI469),"Not Mentioned",BI469)</f>
        <v>No</v>
      </c>
      <c r="BK469" s="0" t="s">
        <v>82</v>
      </c>
      <c r="BL469" s="0" t="str">
        <f aca="false">PROPER(IF(ISBLANK(BK469),"Not Mentioned",BK469))</f>
        <v>Yes</v>
      </c>
      <c r="BM469" s="0" t="s">
        <v>63</v>
      </c>
      <c r="BN469" s="0" t="str">
        <f aca="false">PROPER(IF(ISBLANK(BM469),"Not Mentioned",BM469))</f>
        <v>Yes</v>
      </c>
      <c r="BO469" s="0" t="s">
        <v>64</v>
      </c>
      <c r="BP469" s="0" t="str">
        <f aca="false">IF(ISBLANK(BO469),"One-Time Plan",BO469)</f>
        <v>Gold Maintenance Plan</v>
      </c>
      <c r="BR469" s="0" t="str">
        <f aca="false">PROPER(IF(ISBLANK(BQ469),"No",BQ469))</f>
        <v>No</v>
      </c>
    </row>
    <row r="470" customFormat="false" ht="15" hidden="false" customHeight="false" outlineLevel="0" collapsed="false">
      <c r="A470" s="0" t="s">
        <v>1211</v>
      </c>
      <c r="B470" s="2" t="n">
        <v>45711</v>
      </c>
      <c r="C470" s="2" t="str">
        <f aca="false">TEXT(B470,"dd/mm/yyyy")</f>
        <v>23/02/2025</v>
      </c>
      <c r="D470" s="0" t="s">
        <v>163</v>
      </c>
      <c r="E470" s="0" t="n">
        <v>8063240727</v>
      </c>
      <c r="F470" s="0" t="s">
        <v>139</v>
      </c>
      <c r="G470" s="0" t="s">
        <v>2323</v>
      </c>
      <c r="H470" s="0" t="s">
        <v>1212</v>
      </c>
      <c r="I470" s="0" t="s">
        <v>134</v>
      </c>
      <c r="J470" s="0" t="s">
        <v>2322</v>
      </c>
      <c r="K470" s="3" t="str">
        <f aca="false" t="array" ref="K470:K470">IFERROR(IF(J470&lt;&gt;"",J470,INDEX(J470:J1469,MATCH(1,(F470:F1469=F470)*(I470:I1469=I470)*(L470:L1469=L470)*(J470:J1469&lt;&gt;""),0))),"Not Found")</f>
        <v>Brake Failure</v>
      </c>
      <c r="L470" s="3" t="s">
        <v>47</v>
      </c>
      <c r="M470" s="0" t="str">
        <f aca="false">PROPER(L470)</f>
        <v>None</v>
      </c>
      <c r="O470" s="0" t="e">
        <f aca="false" t="array" ref="O470:O470">IF(N470&lt;&gt;"",N470,_xlfn.xlookup(1,(L470:L1469=L470)*(N470:N1469&lt;&gt;""),N470:N1469,"Not Found"))</f>
        <v>#NAME?</v>
      </c>
      <c r="P470" s="4" t="n">
        <v>66521</v>
      </c>
      <c r="Q470" s="0" t="s">
        <v>110</v>
      </c>
      <c r="R470" s="0" t="str">
        <f aca="false">PROPER(Q470)</f>
        <v>Cash</v>
      </c>
      <c r="S470" s="0" t="s">
        <v>50</v>
      </c>
      <c r="T470" s="0" t="n">
        <v>3</v>
      </c>
      <c r="U470" s="5" t="n">
        <f aca="false">IF(ISBLANK(T470),AVERAGE(T470:T1469),T470)</f>
        <v>3</v>
      </c>
      <c r="V470" s="0" t="n">
        <v>2.2</v>
      </c>
      <c r="W470" s="0" t="s">
        <v>92</v>
      </c>
      <c r="X470" s="0" t="str">
        <f aca="false">IF(ISBLANK(W470),"No remarks",W470)</f>
        <v>Urgent service</v>
      </c>
      <c r="Y470" s="0" t="s">
        <v>93</v>
      </c>
      <c r="Z470" s="0" t="s">
        <v>53</v>
      </c>
      <c r="AA470" s="0" t="str">
        <f aca="false">PROPER(IF(ISBLANK(Z470),"Location Unavailable",Z470))</f>
        <v>Main Bay</v>
      </c>
      <c r="AB470" s="0" t="s">
        <v>147</v>
      </c>
      <c r="AC470" s="6" t="str">
        <f aca="false">PROPER(AB470)</f>
        <v>Instagram</v>
      </c>
      <c r="AE470" s="5" t="n">
        <f aca="false">IF(ISBLANK(AD470),AVERAGEIF(L470:L1469,L470,AD470:AD1469),AD470)</f>
        <v>35.625</v>
      </c>
      <c r="AF470" s="0" t="s">
        <v>160</v>
      </c>
      <c r="AG470" s="0" t="str">
        <f aca="false">PROPER(AF470)</f>
        <v>Availaible</v>
      </c>
      <c r="AH470" s="0" t="s">
        <v>148</v>
      </c>
      <c r="AI470" s="0" t="s">
        <v>128</v>
      </c>
      <c r="AJ470" s="0" t="str">
        <f aca="false">PROPER(AI470)</f>
        <v>Normal</v>
      </c>
      <c r="AK470" s="0" t="s">
        <v>196</v>
      </c>
      <c r="AL470" s="0" t="str">
        <f aca="false">PROPER(AK470)</f>
        <v>First Time</v>
      </c>
      <c r="AM470" s="0" t="s">
        <v>177</v>
      </c>
      <c r="AN470" s="0" t="str">
        <f aca="false">IF(ISBLANK(AM470),"Unknown",AM470)</f>
        <v>Private</v>
      </c>
      <c r="AO470" s="0" t="s">
        <v>149</v>
      </c>
      <c r="AP470" s="0" t="str">
        <f aca="false">IF(ISBLANK(AO470),"Unknown",AO470)</f>
        <v>Senior </v>
      </c>
      <c r="AQ470" s="0" t="n">
        <v>30000</v>
      </c>
      <c r="AR470" s="5" t="n">
        <f aca="false">IF(ISBLANK(AQ470),AVERAGEIF(M470:M1469,M470,AQ470:AQ1469),AQ470)</f>
        <v>30000</v>
      </c>
      <c r="AS470" s="0" t="n">
        <v>35000</v>
      </c>
      <c r="AT470" s="5" t="n">
        <f aca="false">IF(ISBLANK(AS470),AVERAGE(AS470:AS1469),AS470)</f>
        <v>35000</v>
      </c>
      <c r="AU470" s="0" t="s">
        <v>61</v>
      </c>
      <c r="AV470" s="0" t="str">
        <f aca="false">PROPER(IF(ISBLANK(AU470),"No",AU470))</f>
        <v>No</v>
      </c>
      <c r="AW470" s="0" t="n">
        <v>5000</v>
      </c>
      <c r="AX470" s="5" t="n">
        <f aca="false">IF(ISBLANK(AW470),0,AW470)</f>
        <v>5000</v>
      </c>
      <c r="AY470" s="0" t="s">
        <v>80</v>
      </c>
      <c r="AZ470" s="0" t="str">
        <f aca="false">UPPER(IF(ISBLANK(AY470),"NONE",AY470))</f>
        <v>PROMO10</v>
      </c>
      <c r="BA470" s="7" t="n">
        <v>45996</v>
      </c>
      <c r="BB470" s="7" t="n">
        <f aca="false">IF(ISBLANK(BA470),"No Follow Up Needed",BA470)</f>
        <v>45996</v>
      </c>
      <c r="BC470" s="0" t="s">
        <v>82</v>
      </c>
      <c r="BD470" s="0" t="str">
        <f aca="false">PROPER(IF(ISBLANK(BC470),"Unknown",BC470))</f>
        <v>Yes</v>
      </c>
      <c r="BE470" s="0" t="s">
        <v>116</v>
      </c>
      <c r="BF470" s="0" t="str">
        <f aca="false">IF(ISBLANK(BE470),"No comments",BE470)</f>
        <v>Needs tire alignment</v>
      </c>
      <c r="BG470" s="0" t="s">
        <v>172</v>
      </c>
      <c r="BH470" s="0" t="str">
        <f aca="false">IF(ISBLANK(BG470),"No comments",BG470)</f>
        <v>Always late</v>
      </c>
      <c r="BJ470" s="0" t="str">
        <f aca="false">IF(ISBLANK(BI470),"Not Mentioned",BI470)</f>
        <v>Not Mentioned</v>
      </c>
      <c r="BK470" s="0" t="s">
        <v>50</v>
      </c>
      <c r="BL470" s="0" t="str">
        <f aca="false">PROPER(IF(ISBLANK(BK470),"Not Mentioned",BK470))</f>
        <v>No</v>
      </c>
      <c r="BM470" s="0" t="s">
        <v>63</v>
      </c>
      <c r="BN470" s="0" t="str">
        <f aca="false">PROPER(IF(ISBLANK(BM470),"Not Mentioned",BM470))</f>
        <v>Yes</v>
      </c>
      <c r="BO470" s="0" t="s">
        <v>64</v>
      </c>
      <c r="BP470" s="0" t="str">
        <f aca="false">IF(ISBLANK(BO470),"One-Time Plan",BO470)</f>
        <v>Gold Maintenance Plan</v>
      </c>
      <c r="BQ470" s="0" t="s">
        <v>198</v>
      </c>
      <c r="BR470" s="0" t="str">
        <f aca="false">PROPER(IF(ISBLANK(BQ470),"No",BQ470))</f>
        <v>Followed Up</v>
      </c>
    </row>
    <row r="471" customFormat="false" ht="15" hidden="false" customHeight="false" outlineLevel="0" collapsed="false">
      <c r="A471" s="0" t="s">
        <v>1213</v>
      </c>
      <c r="B471" s="2" t="n">
        <v>45804</v>
      </c>
      <c r="C471" s="2" t="str">
        <f aca="false">TEXT(B471,"dd/mm/yyyy")</f>
        <v>27/05/2025</v>
      </c>
      <c r="D471" s="0" t="s">
        <v>66</v>
      </c>
      <c r="E471" s="0" t="n">
        <v>8015070029</v>
      </c>
      <c r="F471" s="0" t="s">
        <v>43</v>
      </c>
      <c r="G471" s="0" t="s">
        <v>2315</v>
      </c>
      <c r="H471" s="0" t="s">
        <v>393</v>
      </c>
      <c r="I471" s="0" t="s">
        <v>87</v>
      </c>
      <c r="J471" s="0" t="s">
        <v>2322</v>
      </c>
      <c r="K471" s="3" t="str">
        <f aca="false" t="array" ref="K471:K471">IFERROR(IF(J471&lt;&gt;"",J471,INDEX(J471:J1470,MATCH(1,(F471:F1470=F471)*(I471:I1470=I471)*(L471:L1470=L471)*(J471:J1470&lt;&gt;""),0))),"Not Found")</f>
        <v>Brake Failure</v>
      </c>
      <c r="L471" s="3" t="s">
        <v>189</v>
      </c>
      <c r="M471" s="0" t="str">
        <f aca="false">PROPER(L471)</f>
        <v>Battery</v>
      </c>
      <c r="N471" s="3" t="s">
        <v>48</v>
      </c>
      <c r="O471" s="0" t="str">
        <f aca="false" t="array" ref="O471:O471">IF(N471&lt;&gt;"",N471,_xlfn.xlookup(1,(L471:L1470=L471)*(N471:N1470&lt;&gt;""),N471:N1470,"Not Found"))</f>
        <v>Uche</v>
      </c>
      <c r="P471" s="4" t="n">
        <v>65862</v>
      </c>
      <c r="Q471" s="0" t="s">
        <v>110</v>
      </c>
      <c r="R471" s="0" t="str">
        <f aca="false">PROPER(Q471)</f>
        <v>Cash</v>
      </c>
      <c r="S471" s="0" t="s">
        <v>50</v>
      </c>
      <c r="T471" s="0" t="n">
        <v>2</v>
      </c>
      <c r="U471" s="5" t="n">
        <f aca="false">IF(ISBLANK(T471),AVERAGE(T471:T1470),T471)</f>
        <v>2</v>
      </c>
      <c r="V471" s="0" t="n">
        <v>3.4</v>
      </c>
      <c r="W471" s="0" t="s">
        <v>111</v>
      </c>
      <c r="X471" s="0" t="str">
        <f aca="false">IF(ISBLANK(W471),"No remarks",W471)</f>
        <v>Changed all filters</v>
      </c>
      <c r="Y471" s="0" t="s">
        <v>73</v>
      </c>
      <c r="Z471" s="0" t="s">
        <v>159</v>
      </c>
      <c r="AA471" s="0" t="str">
        <f aca="false">PROPER(IF(ISBLANK(Z471),"Location Unavailable",Z471))</f>
        <v>Main Bay</v>
      </c>
      <c r="AB471" s="0" t="s">
        <v>75</v>
      </c>
      <c r="AC471" s="6" t="str">
        <f aca="false">PROPER(AB471)</f>
        <v>Mechanik Referal</v>
      </c>
      <c r="AE471" s="5" t="n">
        <f aca="false">IF(ISBLANK(AD471),AVERAGEIF(L471:L1470,L471,AD471:AD1470),AD471)</f>
        <v>38.9516129032258</v>
      </c>
      <c r="AF471" s="0" t="s">
        <v>112</v>
      </c>
      <c r="AG471" s="0" t="str">
        <f aca="false">PROPER(AF471)</f>
        <v>Unavailable</v>
      </c>
      <c r="AH471" s="0" t="s">
        <v>77</v>
      </c>
      <c r="AI471" s="0" t="s">
        <v>128</v>
      </c>
      <c r="AJ471" s="0" t="str">
        <f aca="false">PROPER(AI471)</f>
        <v>Normal</v>
      </c>
      <c r="AK471" s="0" t="s">
        <v>99</v>
      </c>
      <c r="AL471" s="0" t="str">
        <f aca="false">PROPER(AK471)</f>
        <v>Uber Driver</v>
      </c>
      <c r="AN471" s="0" t="str">
        <f aca="false">IF(ISBLANK(AM471),"Unknown",AM471)</f>
        <v>Unknown</v>
      </c>
      <c r="AO471" s="0" t="s">
        <v>79</v>
      </c>
      <c r="AP471" s="0" t="str">
        <f aca="false">IF(ISBLANK(AO471),"Unknown",AO471)</f>
        <v>Specialist</v>
      </c>
      <c r="AQ471" s="0" t="n">
        <v>20000</v>
      </c>
      <c r="AR471" s="5" t="n">
        <f aca="false">IF(ISBLANK(AQ471),AVERAGEIF(M471:M1470,M471,AQ471:AQ1470),AQ471)</f>
        <v>20000</v>
      </c>
      <c r="AS471" s="0" t="n">
        <v>35000</v>
      </c>
      <c r="AT471" s="5" t="n">
        <f aca="false">IF(ISBLANK(AS471),AVERAGE(AS471:AS1470),AS471)</f>
        <v>35000</v>
      </c>
      <c r="AU471" s="0" t="s">
        <v>63</v>
      </c>
      <c r="AV471" s="0" t="str">
        <f aca="false">PROPER(IF(ISBLANK(AU471),"No",AU471))</f>
        <v>Yes</v>
      </c>
      <c r="AW471" s="0" t="n">
        <v>5000</v>
      </c>
      <c r="AX471" s="5" t="n">
        <f aca="false">IF(ISBLANK(AW471),0,AW471)</f>
        <v>5000</v>
      </c>
      <c r="AY471" s="0" t="s">
        <v>60</v>
      </c>
      <c r="AZ471" s="0" t="str">
        <f aca="false">UPPER(IF(ISBLANK(AY471),"NONE",AY471))</f>
        <v>NONE</v>
      </c>
      <c r="BB471" s="7" t="str">
        <f aca="false">IF(ISBLANK(BA471),"No Follow Up Needed",BA471)</f>
        <v>No Follow Up Needed</v>
      </c>
      <c r="BC471" s="0" t="s">
        <v>82</v>
      </c>
      <c r="BD471" s="0" t="str">
        <f aca="false">PROPER(IF(ISBLANK(BC471),"Unknown",BC471))</f>
        <v>Yes</v>
      </c>
      <c r="BE471" s="0" t="s">
        <v>116</v>
      </c>
      <c r="BF471" s="0" t="str">
        <f aca="false">IF(ISBLANK(BE471),"No comments",BE471)</f>
        <v>Needs tire alignment</v>
      </c>
      <c r="BH471" s="0" t="str">
        <f aca="false">IF(ISBLANK(BG471),"No comments",BG471)</f>
        <v>No comments</v>
      </c>
      <c r="BI471" s="0" t="s">
        <v>63</v>
      </c>
      <c r="BJ471" s="0" t="str">
        <f aca="false">IF(ISBLANK(BI471),"Not Mentioned",BI471)</f>
        <v>Yes</v>
      </c>
      <c r="BL471" s="0" t="str">
        <f aca="false">PROPER(IF(ISBLANK(BK471),"Not Mentioned",BK471))</f>
        <v>Not Mentioned</v>
      </c>
      <c r="BM471" s="0" t="s">
        <v>63</v>
      </c>
      <c r="BN471" s="0" t="str">
        <f aca="false">PROPER(IF(ISBLANK(BM471),"Not Mentioned",BM471))</f>
        <v>Yes</v>
      </c>
      <c r="BP471" s="0" t="str">
        <f aca="false">IF(ISBLANK(BO471),"One-Time Plan",BO471)</f>
        <v>One-Time Plan</v>
      </c>
      <c r="BQ471" s="0" t="s">
        <v>63</v>
      </c>
      <c r="BR471" s="0" t="str">
        <f aca="false">PROPER(IF(ISBLANK(BQ471),"No",BQ471))</f>
        <v>Yes</v>
      </c>
    </row>
    <row r="472" customFormat="false" ht="15" hidden="false" customHeight="false" outlineLevel="0" collapsed="false">
      <c r="A472" s="0" t="s">
        <v>1214</v>
      </c>
      <c r="B472" s="2" t="n">
        <v>45753</v>
      </c>
      <c r="C472" s="2" t="str">
        <f aca="false">TEXT(B472,"dd/mm/yyyy")</f>
        <v>06/04/2025</v>
      </c>
      <c r="D472" s="0" t="s">
        <v>121</v>
      </c>
      <c r="E472" s="0" t="n">
        <v>8011441144</v>
      </c>
      <c r="F472" s="0" t="s">
        <v>43</v>
      </c>
      <c r="G472" s="0" t="s">
        <v>2315</v>
      </c>
      <c r="H472" s="0" t="s">
        <v>570</v>
      </c>
      <c r="I472" s="0" t="s">
        <v>87</v>
      </c>
      <c r="J472" s="0" t="s">
        <v>2317</v>
      </c>
      <c r="K472" s="3" t="str">
        <f aca="false" t="array" ref="K472:K472">IFERROR(IF(J472&lt;&gt;"",J472,INDEX(J472:J1471,MATCH(1,(F472:F1471=F472)*(I472:I1471=I472)*(L472:L1471=L472)*(J472:J1471&lt;&gt;""),0))),"Not Found")</f>
        <v>Suspension Noise</v>
      </c>
      <c r="L472" s="3" t="s">
        <v>154</v>
      </c>
      <c r="M472" s="0" t="str">
        <f aca="false">PROPER(L472)</f>
        <v>Air Filter</v>
      </c>
      <c r="N472" s="3" t="s">
        <v>109</v>
      </c>
      <c r="O472" s="0" t="str">
        <f aca="false" t="array" ref="O472:O472">IF(N472&lt;&gt;"",N472,_xlfn.xlookup(1,(L472:L1471=L472)*(N472:N1471&lt;&gt;""),N472:N1471,"Not Found"))</f>
        <v>Tijani</v>
      </c>
      <c r="P472" s="4" t="n">
        <v>87438</v>
      </c>
      <c r="Q472" s="0" t="s">
        <v>72</v>
      </c>
      <c r="R472" s="0" t="str">
        <f aca="false">PROPER(Q472)</f>
        <v>Pos</v>
      </c>
      <c r="S472" s="0" t="s">
        <v>50</v>
      </c>
      <c r="T472" s="0" t="n">
        <v>2</v>
      </c>
      <c r="U472" s="5" t="n">
        <f aca="false">IF(ISBLANK(T472),AVERAGE(T472:T1471),T472)</f>
        <v>2</v>
      </c>
      <c r="V472" s="0" t="n">
        <v>1.9</v>
      </c>
      <c r="W472" s="0" t="s">
        <v>111</v>
      </c>
      <c r="X472" s="0" t="str">
        <f aca="false">IF(ISBLANK(W472),"No remarks",W472)</f>
        <v>Changed all filters</v>
      </c>
      <c r="Y472" s="0" t="s">
        <v>52</v>
      </c>
      <c r="Z472" s="0" t="s">
        <v>74</v>
      </c>
      <c r="AA472" s="0" t="str">
        <f aca="false">PROPER(IF(ISBLANK(Z472),"Location Unavailable",Z472))</f>
        <v>Under Tree</v>
      </c>
      <c r="AB472" s="0" t="s">
        <v>126</v>
      </c>
      <c r="AC472" s="6" t="str">
        <f aca="false">PROPER(AB472)</f>
        <v>Whatsapp</v>
      </c>
      <c r="AD472" s="6" t="n">
        <v>60</v>
      </c>
      <c r="AE472" s="5" t="n">
        <f aca="false">IF(ISBLANK(AD472),AVERAGEIF(L472:L1471,L472,AD472:AD1471),AD472)</f>
        <v>60</v>
      </c>
      <c r="AF472" s="0" t="s">
        <v>76</v>
      </c>
      <c r="AG472" s="0" t="str">
        <f aca="false">PROPER(AF472)</f>
        <v>Orderd</v>
      </c>
      <c r="AH472" s="0" t="s">
        <v>155</v>
      </c>
      <c r="AI472" s="0" t="s">
        <v>98</v>
      </c>
      <c r="AJ472" s="0" t="str">
        <f aca="false">PROPER(AI472)</f>
        <v>Emergency</v>
      </c>
      <c r="AK472" s="0" t="s">
        <v>99</v>
      </c>
      <c r="AL472" s="0" t="str">
        <f aca="false">PROPER(AK472)</f>
        <v>Uber Driver</v>
      </c>
      <c r="AN472" s="0" t="str">
        <f aca="false">IF(ISBLANK(AM472),"Unknown",AM472)</f>
        <v>Unknown</v>
      </c>
      <c r="AO472" s="0" t="s">
        <v>161</v>
      </c>
      <c r="AP472" s="0" t="str">
        <f aca="false">IF(ISBLANK(AO472),"Unknown",AO472)</f>
        <v>Apprentice</v>
      </c>
      <c r="AQ472" s="0" t="n">
        <v>20000</v>
      </c>
      <c r="AR472" s="5" t="n">
        <f aca="false">IF(ISBLANK(AQ472),AVERAGEIF(M472:M1471,M472,AQ472:AQ1471),AQ472)</f>
        <v>20000</v>
      </c>
      <c r="AS472" s="0" t="n">
        <v>30000</v>
      </c>
      <c r="AT472" s="5" t="n">
        <f aca="false">IF(ISBLANK(AS472),AVERAGE(AS472:AS1471),AS472)</f>
        <v>30000</v>
      </c>
      <c r="AU472" s="0" t="s">
        <v>61</v>
      </c>
      <c r="AV472" s="0" t="str">
        <f aca="false">PROPER(IF(ISBLANK(AU472),"No",AU472))</f>
        <v>No</v>
      </c>
      <c r="AW472" s="0" t="n">
        <v>5000</v>
      </c>
      <c r="AX472" s="5" t="n">
        <f aca="false">IF(ISBLANK(AW472),0,AW472)</f>
        <v>5000</v>
      </c>
      <c r="AZ472" s="0" t="str">
        <f aca="false">UPPER(IF(ISBLANK(AY472),"NONE",AY472))</f>
        <v>NONE</v>
      </c>
      <c r="BA472" s="7" t="n">
        <v>45862</v>
      </c>
      <c r="BB472" s="7" t="n">
        <f aca="false">IF(ISBLANK(BA472),"No Follow Up Needed",BA472)</f>
        <v>45862</v>
      </c>
      <c r="BD472" s="0" t="str">
        <f aca="false">PROPER(IF(ISBLANK(BC472),"Unknown",BC472))</f>
        <v>Unknown</v>
      </c>
      <c r="BE472" s="0" t="s">
        <v>116</v>
      </c>
      <c r="BF472" s="0" t="str">
        <f aca="false">IF(ISBLANK(BE472),"No comments",BE472)</f>
        <v>Needs tire alignment</v>
      </c>
      <c r="BG472" s="0" t="s">
        <v>172</v>
      </c>
      <c r="BH472" s="0" t="str">
        <f aca="false">IF(ISBLANK(BG472),"No comments",BG472)</f>
        <v>Always late</v>
      </c>
      <c r="BI472" s="0" t="s">
        <v>50</v>
      </c>
      <c r="BJ472" s="0" t="str">
        <f aca="false">IF(ISBLANK(BI472),"Not Mentioned",BI472)</f>
        <v>No</v>
      </c>
      <c r="BK472" s="0" t="s">
        <v>63</v>
      </c>
      <c r="BL472" s="0" t="str">
        <f aca="false">PROPER(IF(ISBLANK(BK472),"Not Mentioned",BK472))</f>
        <v>Yes</v>
      </c>
      <c r="BM472" s="0" t="s">
        <v>50</v>
      </c>
      <c r="BN472" s="0" t="str">
        <f aca="false">PROPER(IF(ISBLANK(BM472),"Not Mentioned",BM472))</f>
        <v>No</v>
      </c>
      <c r="BO472" s="0" t="s">
        <v>64</v>
      </c>
      <c r="BP472" s="0" t="str">
        <f aca="false">IF(ISBLANK(BO472),"One-Time Plan",BO472)</f>
        <v>Gold Maintenance Plan</v>
      </c>
      <c r="BQ472" s="0" t="s">
        <v>50</v>
      </c>
      <c r="BR472" s="0" t="str">
        <f aca="false">PROPER(IF(ISBLANK(BQ472),"No",BQ472))</f>
        <v>No</v>
      </c>
    </row>
    <row r="473" customFormat="false" ht="15" hidden="false" customHeight="false" outlineLevel="0" collapsed="false">
      <c r="A473" s="0" t="s">
        <v>1215</v>
      </c>
      <c r="B473" s="2" t="n">
        <v>45724</v>
      </c>
      <c r="C473" s="2" t="str">
        <f aca="false">TEXT(B473,"dd/mm/yyyy")</f>
        <v>08/03/2025</v>
      </c>
      <c r="D473" s="0" t="s">
        <v>105</v>
      </c>
      <c r="E473" s="0" t="n">
        <v>8043635732</v>
      </c>
      <c r="F473" s="0" t="s">
        <v>43</v>
      </c>
      <c r="G473" s="0" t="s">
        <v>2315</v>
      </c>
      <c r="H473" s="0" t="s">
        <v>1216</v>
      </c>
      <c r="I473" s="0" t="s">
        <v>45</v>
      </c>
      <c r="J473" s="0" t="s">
        <v>2322</v>
      </c>
      <c r="K473" s="3" t="str">
        <f aca="false" t="array" ref="K473:K473">IFERROR(IF(J473&lt;&gt;"",J473,INDEX(J473:J1472,MATCH(1,(F473:F1472=F473)*(I473:I1472=I473)*(L473:L1472=L473)*(J473:J1472&lt;&gt;""),0))),"Not Found")</f>
        <v>Brake Failure</v>
      </c>
      <c r="L473" s="3" t="s">
        <v>89</v>
      </c>
      <c r="M473" s="0" t="str">
        <f aca="false">PROPER(L473)</f>
        <v>Shock Absorbers</v>
      </c>
      <c r="N473" s="3" t="s">
        <v>90</v>
      </c>
      <c r="O473" s="0" t="str">
        <f aca="false" t="array" ref="O473:O473">IF(N473&lt;&gt;"",N473,_xlfn.xlookup(1,(L473:L1472=L473)*(N473:N1472&lt;&gt;""),N473:N1472,"Not Found"))</f>
        <v>Musa</v>
      </c>
      <c r="P473" s="4" t="n">
        <v>12933</v>
      </c>
      <c r="Q473" s="0" t="s">
        <v>124</v>
      </c>
      <c r="R473" s="0" t="str">
        <f aca="false">PROPER(Q473)</f>
        <v>Cash</v>
      </c>
      <c r="S473" s="0" t="s">
        <v>50</v>
      </c>
      <c r="T473" s="0" t="n">
        <v>5</v>
      </c>
      <c r="U473" s="5" t="n">
        <f aca="false">IF(ISBLANK(T473),AVERAGE(T473:T1472),T473)</f>
        <v>5</v>
      </c>
      <c r="V473" s="0" t="n">
        <v>2.7</v>
      </c>
      <c r="W473" s="0" t="s">
        <v>92</v>
      </c>
      <c r="X473" s="0" t="str">
        <f aca="false">IF(ISBLANK(W473),"No remarks",W473)</f>
        <v>Urgent service</v>
      </c>
      <c r="Y473" s="0" t="s">
        <v>73</v>
      </c>
      <c r="Z473" s="0" t="s">
        <v>74</v>
      </c>
      <c r="AA473" s="0" t="str">
        <f aca="false">PROPER(IF(ISBLANK(Z473),"Location Unavailable",Z473))</f>
        <v>Under Tree</v>
      </c>
      <c r="AB473" s="0" t="s">
        <v>75</v>
      </c>
      <c r="AC473" s="6" t="str">
        <f aca="false">PROPER(AB473)</f>
        <v>Mechanik Referal</v>
      </c>
      <c r="AD473" s="6" t="n">
        <v>30</v>
      </c>
      <c r="AE473" s="5" t="n">
        <f aca="false">IF(ISBLANK(AD473),AVERAGEIF(L473:L1472,L473,AD473:AD1472),AD473)</f>
        <v>30</v>
      </c>
      <c r="AF473" s="0" t="s">
        <v>160</v>
      </c>
      <c r="AG473" s="0" t="str">
        <f aca="false">PROPER(AF473)</f>
        <v>Availaible</v>
      </c>
      <c r="AH473" s="0" t="s">
        <v>148</v>
      </c>
      <c r="AI473" s="0" t="s">
        <v>113</v>
      </c>
      <c r="AJ473" s="0" t="str">
        <f aca="false">PROPER(AI473)</f>
        <v>Normal</v>
      </c>
      <c r="AK473" s="0" t="s">
        <v>196</v>
      </c>
      <c r="AL473" s="0" t="str">
        <f aca="false">PROPER(AK473)</f>
        <v>First Time</v>
      </c>
      <c r="AM473" s="0" t="s">
        <v>177</v>
      </c>
      <c r="AN473" s="0" t="str">
        <f aca="false">IF(ISBLANK(AM473),"Unknown",AM473)</f>
        <v>Private</v>
      </c>
      <c r="AO473" s="0" t="s">
        <v>161</v>
      </c>
      <c r="AP473" s="0" t="str">
        <f aca="false">IF(ISBLANK(AO473),"Unknown",AO473)</f>
        <v>Apprentice</v>
      </c>
      <c r="AQ473" s="0" t="n">
        <v>20000</v>
      </c>
      <c r="AR473" s="5" t="n">
        <f aca="false">IF(ISBLANK(AQ473),AVERAGEIF(M473:M1472,M473,AQ473:AQ1472),AQ473)</f>
        <v>20000</v>
      </c>
      <c r="AS473" s="0" t="n">
        <v>35000</v>
      </c>
      <c r="AT473" s="5" t="n">
        <f aca="false">IF(ISBLANK(AS473),AVERAGE(AS473:AS1472),AS473)</f>
        <v>35000</v>
      </c>
      <c r="AU473" s="0" t="s">
        <v>50</v>
      </c>
      <c r="AV473" s="0" t="str">
        <f aca="false">PROPER(IF(ISBLANK(AU473),"No",AU473))</f>
        <v>No</v>
      </c>
      <c r="AW473" s="0" t="n">
        <v>5000</v>
      </c>
      <c r="AX473" s="5" t="n">
        <f aca="false">IF(ISBLANK(AW473),0,AW473)</f>
        <v>5000</v>
      </c>
      <c r="AZ473" s="0" t="str">
        <f aca="false">UPPER(IF(ISBLANK(AY473),"NONE",AY473))</f>
        <v>NONE</v>
      </c>
      <c r="BA473" s="7" t="n">
        <v>46003</v>
      </c>
      <c r="BB473" s="7" t="n">
        <f aca="false">IF(ISBLANK(BA473),"No Follow Up Needed",BA473)</f>
        <v>46003</v>
      </c>
      <c r="BC473" s="0" t="s">
        <v>50</v>
      </c>
      <c r="BD473" s="0" t="str">
        <f aca="false">PROPER(IF(ISBLANK(BC473),"Unknown",BC473))</f>
        <v>No</v>
      </c>
      <c r="BE473" s="0" t="s">
        <v>171</v>
      </c>
      <c r="BF473" s="0" t="str">
        <f aca="false">IF(ISBLANK(BE473),"No comments",BE473)</f>
        <v>Shock absorber weakening</v>
      </c>
      <c r="BG473" s="0" t="s">
        <v>117</v>
      </c>
      <c r="BH473" s="0" t="str">
        <f aca="false">IF(ISBLANK(BG473),"No comments",BG473)</f>
        <v>Prefers morning</v>
      </c>
      <c r="BI473" s="0" t="s">
        <v>50</v>
      </c>
      <c r="BJ473" s="0" t="str">
        <f aca="false">IF(ISBLANK(BI473),"Not Mentioned",BI473)</f>
        <v>No</v>
      </c>
      <c r="BK473" s="0" t="s">
        <v>82</v>
      </c>
      <c r="BL473" s="0" t="str">
        <f aca="false">PROPER(IF(ISBLANK(BK473),"Not Mentioned",BK473))</f>
        <v>Yes</v>
      </c>
      <c r="BN473" s="0" t="str">
        <f aca="false">PROPER(IF(ISBLANK(BM473),"Not Mentioned",BM473))</f>
        <v>Not Mentioned</v>
      </c>
      <c r="BO473" s="0" t="s">
        <v>2321</v>
      </c>
      <c r="BP473" s="0" t="str">
        <f aca="false">IF(ISBLANK(BO473),"One-Time Plan",BO473)</f>
        <v>One-Time Plan</v>
      </c>
      <c r="BQ473" s="0" t="s">
        <v>50</v>
      </c>
      <c r="BR473" s="0" t="str">
        <f aca="false">PROPER(IF(ISBLANK(BQ473),"No",BQ473))</f>
        <v>No</v>
      </c>
    </row>
    <row r="474" customFormat="false" ht="15" hidden="false" customHeight="false" outlineLevel="0" collapsed="false">
      <c r="A474" s="0" t="s">
        <v>1217</v>
      </c>
      <c r="B474" s="2" t="n">
        <v>45805</v>
      </c>
      <c r="C474" s="2" t="str">
        <f aca="false">TEXT(B474,"dd/mm/yyyy")</f>
        <v>28/05/2025</v>
      </c>
      <c r="D474" s="0" t="s">
        <v>163</v>
      </c>
      <c r="E474" s="0" t="n">
        <v>8025392453</v>
      </c>
      <c r="F474" s="0" t="s">
        <v>139</v>
      </c>
      <c r="G474" s="0" t="s">
        <v>2323</v>
      </c>
      <c r="H474" s="0" t="s">
        <v>1218</v>
      </c>
      <c r="I474" s="0" t="s">
        <v>69</v>
      </c>
      <c r="J474" s="0" t="s">
        <v>2322</v>
      </c>
      <c r="K474" s="3" t="str">
        <f aca="false" t="array" ref="K474:K474">IFERROR(IF(J474&lt;&gt;"",J474,INDEX(J474:J1473,MATCH(1,(F474:F1473=F474)*(I474:I1473=I474)*(L474:L1473=L474)*(J474:J1473&lt;&gt;""),0))),"Not Found")</f>
        <v>Brake Failure</v>
      </c>
      <c r="L474" s="3" t="s">
        <v>47</v>
      </c>
      <c r="M474" s="0" t="str">
        <f aca="false">PROPER(L474)</f>
        <v>None</v>
      </c>
      <c r="N474" s="3" t="s">
        <v>90</v>
      </c>
      <c r="O474" s="0" t="str">
        <f aca="false" t="array" ref="O474:O474">IF(N474&lt;&gt;"",N474,_xlfn.xlookup(1,(L474:L1473=L474)*(N474:N1473&lt;&gt;""),N474:N1473,"Not Found"))</f>
        <v>Musa</v>
      </c>
      <c r="P474" s="4" t="n">
        <v>64046</v>
      </c>
      <c r="Q474" s="0" t="s">
        <v>49</v>
      </c>
      <c r="R474" s="0" t="str">
        <f aca="false">PROPER(Q474)</f>
        <v>Transfer</v>
      </c>
      <c r="S474" s="0" t="s">
        <v>63</v>
      </c>
      <c r="T474" s="0" t="n">
        <v>4</v>
      </c>
      <c r="U474" s="5" t="n">
        <f aca="false">IF(ISBLANK(T474),AVERAGE(T474:T1473),T474)</f>
        <v>4</v>
      </c>
      <c r="V474" s="0" t="n">
        <v>5.4</v>
      </c>
      <c r="W474" s="0" t="s">
        <v>51</v>
      </c>
      <c r="X474" s="0" t="str">
        <f aca="false">IF(ISBLANK(W474),"No remarks",W474)</f>
        <v>Recommended further checks</v>
      </c>
      <c r="Y474" s="0" t="s">
        <v>93</v>
      </c>
      <c r="Z474" s="0" t="s">
        <v>94</v>
      </c>
      <c r="AA474" s="0" t="str">
        <f aca="false">PROPER(IF(ISBLANK(Z474),"Location Unavailable",Z474))</f>
        <v>Vip Section</v>
      </c>
      <c r="AB474" s="0" t="s">
        <v>75</v>
      </c>
      <c r="AC474" s="6" t="str">
        <f aca="false">PROPER(AB474)</f>
        <v>Mechanik Referal</v>
      </c>
      <c r="AD474" s="6" t="n">
        <v>15</v>
      </c>
      <c r="AE474" s="5" t="n">
        <f aca="false">IF(ISBLANK(AD474),AVERAGEIF(L474:L1473,L474,AD474:AD1473),AD474)</f>
        <v>15</v>
      </c>
      <c r="AF474" s="0" t="s">
        <v>96</v>
      </c>
      <c r="AG474" s="0" t="str">
        <f aca="false">PROPER(AF474)</f>
        <v>Ordered</v>
      </c>
      <c r="AH474" s="0" t="s">
        <v>148</v>
      </c>
      <c r="AI474" s="0" t="s">
        <v>98</v>
      </c>
      <c r="AJ474" s="0" t="str">
        <f aca="false">PROPER(AI474)</f>
        <v>Emergency</v>
      </c>
      <c r="AK474" s="0" t="s">
        <v>114</v>
      </c>
      <c r="AL474" s="0" t="str">
        <f aca="false">PROPER(AK474)</f>
        <v>Returning</v>
      </c>
      <c r="AN474" s="0" t="str">
        <f aca="false">IF(ISBLANK(AM474),"Unknown",AM474)</f>
        <v>Unknown</v>
      </c>
      <c r="AO474" s="0" t="s">
        <v>79</v>
      </c>
      <c r="AP474" s="0" t="str">
        <f aca="false">IF(ISBLANK(AO474),"Unknown",AO474)</f>
        <v>Specialist</v>
      </c>
      <c r="AQ474" s="0" t="n">
        <v>40000</v>
      </c>
      <c r="AR474" s="5" t="n">
        <f aca="false">IF(ISBLANK(AQ474),AVERAGEIF(M474:M1473,M474,AQ474:AQ1473),AQ474)</f>
        <v>40000</v>
      </c>
      <c r="AS474" s="0" t="n">
        <v>30000</v>
      </c>
      <c r="AT474" s="5" t="n">
        <f aca="false">IF(ISBLANK(AS474),AVERAGE(AS474:AS1473),AS474)</f>
        <v>30000</v>
      </c>
      <c r="AU474" s="0" t="s">
        <v>50</v>
      </c>
      <c r="AV474" s="0" t="str">
        <f aca="false">PROPER(IF(ISBLANK(AU474),"No",AU474))</f>
        <v>No</v>
      </c>
      <c r="AW474" s="0" t="n">
        <v>10000</v>
      </c>
      <c r="AX474" s="5" t="n">
        <f aca="false">IF(ISBLANK(AW474),0,AW474)</f>
        <v>10000</v>
      </c>
      <c r="AY474" s="0" t="s">
        <v>60</v>
      </c>
      <c r="AZ474" s="0" t="str">
        <f aca="false">UPPER(IF(ISBLANK(AY474),"NONE",AY474))</f>
        <v>NONE</v>
      </c>
      <c r="BA474" s="7" t="n">
        <v>45845</v>
      </c>
      <c r="BB474" s="7" t="n">
        <f aca="false">IF(ISBLANK(BA474),"No Follow Up Needed",BA474)</f>
        <v>45845</v>
      </c>
      <c r="BC474" s="0" t="s">
        <v>82</v>
      </c>
      <c r="BD474" s="0" t="str">
        <f aca="false">PROPER(IF(ISBLANK(BC474),"Unknown",BC474))</f>
        <v>Yes</v>
      </c>
      <c r="BE474" s="0" t="s">
        <v>116</v>
      </c>
      <c r="BF474" s="0" t="str">
        <f aca="false">IF(ISBLANK(BE474),"No comments",BE474)</f>
        <v>Needs tire alignment</v>
      </c>
      <c r="BG474" s="0" t="s">
        <v>172</v>
      </c>
      <c r="BH474" s="0" t="str">
        <f aca="false">IF(ISBLANK(BG474),"No comments",BG474)</f>
        <v>Always late</v>
      </c>
      <c r="BI474" s="0" t="s">
        <v>50</v>
      </c>
      <c r="BJ474" s="0" t="str">
        <f aca="false">IF(ISBLANK(BI474),"Not Mentioned",BI474)</f>
        <v>No</v>
      </c>
      <c r="BK474" s="0" t="s">
        <v>50</v>
      </c>
      <c r="BL474" s="0" t="str">
        <f aca="false">PROPER(IF(ISBLANK(BK474),"Not Mentioned",BK474))</f>
        <v>No</v>
      </c>
      <c r="BM474" s="0" t="s">
        <v>63</v>
      </c>
      <c r="BN474" s="0" t="str">
        <f aca="false">PROPER(IF(ISBLANK(BM474),"Not Mentioned",BM474))</f>
        <v>Yes</v>
      </c>
      <c r="BO474" s="0" t="s">
        <v>2321</v>
      </c>
      <c r="BP474" s="0" t="str">
        <f aca="false">IF(ISBLANK(BO474),"One-Time Plan",BO474)</f>
        <v>One-Time Plan</v>
      </c>
      <c r="BQ474" s="0" t="s">
        <v>198</v>
      </c>
      <c r="BR474" s="0" t="str">
        <f aca="false">PROPER(IF(ISBLANK(BQ474),"No",BQ474))</f>
        <v>Followed Up</v>
      </c>
    </row>
    <row r="475" customFormat="false" ht="15" hidden="false" customHeight="false" outlineLevel="0" collapsed="false">
      <c r="A475" s="0" t="s">
        <v>1219</v>
      </c>
      <c r="B475" s="2" t="n">
        <v>45785</v>
      </c>
      <c r="C475" s="2" t="str">
        <f aca="false">TEXT(B475,"dd/mm/yyyy")</f>
        <v>08/05/2025</v>
      </c>
      <c r="D475" s="0" t="s">
        <v>163</v>
      </c>
      <c r="E475" s="0" t="n">
        <v>8028318112</v>
      </c>
      <c r="F475" s="0" t="s">
        <v>67</v>
      </c>
      <c r="G475" s="0" t="s">
        <v>2316</v>
      </c>
      <c r="H475" s="0" t="s">
        <v>1220</v>
      </c>
      <c r="I475" s="0" t="s">
        <v>69</v>
      </c>
      <c r="K475" s="3" t="str">
        <f aca="false" t="array" ref="K475:K475">IFERROR(IF(J475&lt;&gt;"",J475,INDEX(J475:J1474,MATCH(1,(F475:F1474=F475)*(I475:I1474=I475)*(L475:L1474=L475)*(J475:J1474&lt;&gt;""),0))),"Not Found")</f>
        <v>Brake Failure</v>
      </c>
      <c r="L475" s="3" t="s">
        <v>189</v>
      </c>
      <c r="M475" s="0" t="str">
        <f aca="false">PROPER(L475)</f>
        <v>Battery</v>
      </c>
      <c r="O475" s="0" t="e">
        <f aca="false" t="array" ref="O475:O475">IF(N475&lt;&gt;"",N475,_xlfn.xlookup(1,(L475:L1474=L475)*(N475:N1474&lt;&gt;""),N475:N1474,"Not Found"))</f>
        <v>#NAME?</v>
      </c>
      <c r="P475" s="4" t="n">
        <v>39910</v>
      </c>
      <c r="Q475" s="0" t="s">
        <v>110</v>
      </c>
      <c r="R475" s="0" t="str">
        <f aca="false">PROPER(Q475)</f>
        <v>Cash</v>
      </c>
      <c r="S475" s="0" t="s">
        <v>50</v>
      </c>
      <c r="T475" s="0" t="n">
        <v>2</v>
      </c>
      <c r="U475" s="5" t="n">
        <f aca="false">IF(ISBLANK(T475),AVERAGE(T475:T1474),T475)</f>
        <v>2</v>
      </c>
      <c r="V475" s="0" t="n">
        <v>1.5</v>
      </c>
      <c r="W475" s="0" t="s">
        <v>111</v>
      </c>
      <c r="X475" s="0" t="str">
        <f aca="false">IF(ISBLANK(W475),"No remarks",W475)</f>
        <v>Changed all filters</v>
      </c>
      <c r="Y475" s="0" t="s">
        <v>52</v>
      </c>
      <c r="AA475" s="0" t="str">
        <f aca="false">PROPER(IF(ISBLANK(Z475),"Location Unavailable",Z475))</f>
        <v>Location Unavailable</v>
      </c>
      <c r="AB475" s="0" t="s">
        <v>126</v>
      </c>
      <c r="AC475" s="6" t="str">
        <f aca="false">PROPER(AB475)</f>
        <v>Whatsapp</v>
      </c>
      <c r="AD475" s="6" t="n">
        <v>15</v>
      </c>
      <c r="AE475" s="5" t="n">
        <f aca="false">IF(ISBLANK(AD475),AVERAGEIF(L475:L1474,L475,AD475:AD1474),AD475)</f>
        <v>15</v>
      </c>
      <c r="AF475" s="0" t="s">
        <v>55</v>
      </c>
      <c r="AG475" s="0" t="str">
        <f aca="false">PROPER(AF475)</f>
        <v>Available</v>
      </c>
      <c r="AH475" s="0" t="s">
        <v>155</v>
      </c>
      <c r="AI475" s="0" t="s">
        <v>128</v>
      </c>
      <c r="AJ475" s="0" t="str">
        <f aca="false">PROPER(AI475)</f>
        <v>Normal</v>
      </c>
      <c r="AK475" s="0" t="s">
        <v>196</v>
      </c>
      <c r="AL475" s="0" t="str">
        <f aca="false">PROPER(AK475)</f>
        <v>First Time</v>
      </c>
      <c r="AM475" s="0" t="s">
        <v>2326</v>
      </c>
      <c r="AN475" s="0" t="str">
        <f aca="false">IF(ISBLANK(AM475),"Unknown",AM475)</f>
        <v>Government Convoy</v>
      </c>
      <c r="AO475" s="0" t="s">
        <v>149</v>
      </c>
      <c r="AP475" s="0" t="str">
        <f aca="false">IF(ISBLANK(AO475),"Unknown",AO475)</f>
        <v>Senior </v>
      </c>
      <c r="AQ475" s="0" t="n">
        <v>40000</v>
      </c>
      <c r="AR475" s="5" t="n">
        <f aca="false">IF(ISBLANK(AQ475),AVERAGEIF(M475:M1474,M475,AQ475:AQ1474),AQ475)</f>
        <v>40000</v>
      </c>
      <c r="AS475" s="0" t="n">
        <v>30000</v>
      </c>
      <c r="AT475" s="5" t="n">
        <f aca="false">IF(ISBLANK(AS475),AVERAGE(AS475:AS1474),AS475)</f>
        <v>30000</v>
      </c>
      <c r="AU475" s="0" t="s">
        <v>61</v>
      </c>
      <c r="AV475" s="0" t="str">
        <f aca="false">PROPER(IF(ISBLANK(AU475),"No",AU475))</f>
        <v>No</v>
      </c>
      <c r="AW475" s="0" t="n">
        <v>0</v>
      </c>
      <c r="AX475" s="5" t="n">
        <f aca="false">IF(ISBLANK(AW475),0,AW475)</f>
        <v>0</v>
      </c>
      <c r="AY475" s="0" t="s">
        <v>184</v>
      </c>
      <c r="AZ475" s="0" t="str">
        <f aca="false">UPPER(IF(ISBLANK(AY475),"NONE",AY475))</f>
        <v>N/A</v>
      </c>
      <c r="BB475" s="7" t="str">
        <f aca="false">IF(ISBLANK(BA475),"No Follow Up Needed",BA475)</f>
        <v>No Follow Up Needed</v>
      </c>
      <c r="BC475" s="0" t="s">
        <v>61</v>
      </c>
      <c r="BD475" s="0" t="str">
        <f aca="false">PROPER(IF(ISBLANK(BC475),"Unknown",BC475))</f>
        <v>No</v>
      </c>
      <c r="BF475" s="0" t="str">
        <f aca="false">IF(ISBLANK(BE475),"No comments",BE475)</f>
        <v>No comments</v>
      </c>
      <c r="BG475" s="0" t="s">
        <v>117</v>
      </c>
      <c r="BH475" s="0" t="str">
        <f aca="false">IF(ISBLANK(BG475),"No comments",BG475)</f>
        <v>Prefers morning</v>
      </c>
      <c r="BI475" s="0" t="s">
        <v>50</v>
      </c>
      <c r="BJ475" s="0" t="str">
        <f aca="false">IF(ISBLANK(BI475),"Not Mentioned",BI475)</f>
        <v>No</v>
      </c>
      <c r="BK475" s="0" t="s">
        <v>61</v>
      </c>
      <c r="BL475" s="0" t="str">
        <f aca="false">PROPER(IF(ISBLANK(BK475),"Not Mentioned",BK475))</f>
        <v>No</v>
      </c>
      <c r="BN475" s="0" t="str">
        <f aca="false">PROPER(IF(ISBLANK(BM475),"Not Mentioned",BM475))</f>
        <v>Not Mentioned</v>
      </c>
      <c r="BO475" s="0" t="s">
        <v>2321</v>
      </c>
      <c r="BP475" s="0" t="str">
        <f aca="false">IF(ISBLANK(BO475),"One-Time Plan",BO475)</f>
        <v>One-Time Plan</v>
      </c>
      <c r="BQ475" s="0" t="s">
        <v>63</v>
      </c>
      <c r="BR475" s="0" t="str">
        <f aca="false">PROPER(IF(ISBLANK(BQ475),"No",BQ475))</f>
        <v>Yes</v>
      </c>
    </row>
    <row r="476" customFormat="false" ht="15" hidden="false" customHeight="false" outlineLevel="0" collapsed="false">
      <c r="A476" s="0" t="s">
        <v>1221</v>
      </c>
      <c r="B476" s="2" t="n">
        <v>45819</v>
      </c>
      <c r="C476" s="2" t="str">
        <f aca="false">TEXT(B476,"dd/mm/yyyy")</f>
        <v>11/06/2025</v>
      </c>
      <c r="D476" s="0" t="s">
        <v>66</v>
      </c>
      <c r="E476" s="0" t="n">
        <v>8053904009</v>
      </c>
      <c r="F476" s="0" t="s">
        <v>85</v>
      </c>
      <c r="G476" s="0" t="s">
        <v>2319</v>
      </c>
      <c r="H476" s="0" t="s">
        <v>1222</v>
      </c>
      <c r="I476" s="0" t="s">
        <v>87</v>
      </c>
      <c r="J476" s="0" t="s">
        <v>87</v>
      </c>
      <c r="K476" s="3" t="str">
        <f aca="false" t="array" ref="K476:K476">IFERROR(IF(J476&lt;&gt;"",J476,INDEX(J476:J1475,MATCH(1,(F476:F1475=F476)*(I476:I1475=I476)*(L476:L1475=L476)*(J476:J1475&lt;&gt;""),0))),"Not Found")</f>
        <v>Oil Change</v>
      </c>
      <c r="L476" s="3" t="s">
        <v>154</v>
      </c>
      <c r="M476" s="0" t="str">
        <f aca="false">PROPER(L476)</f>
        <v>Air Filter</v>
      </c>
      <c r="O476" s="0" t="e">
        <f aca="false" t="array" ref="O476:O476">IF(N476&lt;&gt;"",N476,_xlfn.xlookup(1,(L476:L1475=L476)*(N476:N1475&lt;&gt;""),N476:N1475,"Not Found"))</f>
        <v>#NAME?</v>
      </c>
      <c r="P476" s="4" t="n">
        <v>27037</v>
      </c>
      <c r="Q476" s="0" t="s">
        <v>91</v>
      </c>
      <c r="R476" s="0" t="str">
        <f aca="false">PROPER(Q476)</f>
        <v>Pos</v>
      </c>
      <c r="S476" s="0" t="s">
        <v>50</v>
      </c>
      <c r="T476" s="0" t="n">
        <v>2</v>
      </c>
      <c r="U476" s="5" t="n">
        <f aca="false">IF(ISBLANK(T476),AVERAGE(T476:T1475),T476)</f>
        <v>2</v>
      </c>
      <c r="V476" s="0" t="n">
        <v>2.5</v>
      </c>
      <c r="X476" s="0" t="str">
        <f aca="false">IF(ISBLANK(W476),"No remarks",W476)</f>
        <v>No remarks</v>
      </c>
      <c r="Y476" s="0" t="s">
        <v>93</v>
      </c>
      <c r="Z476" s="0" t="s">
        <v>94</v>
      </c>
      <c r="AA476" s="0" t="str">
        <f aca="false">PROPER(IF(ISBLANK(Z476),"Location Unavailable",Z476))</f>
        <v>Vip Section</v>
      </c>
      <c r="AB476" s="0" t="s">
        <v>54</v>
      </c>
      <c r="AC476" s="6" t="str">
        <f aca="false">PROPER(AB476)</f>
        <v>Mechanic Referral</v>
      </c>
      <c r="AD476" s="6" t="n">
        <v>45</v>
      </c>
      <c r="AE476" s="5" t="n">
        <f aca="false">IF(ISBLANK(AD476),AVERAGEIF(L476:L1475,L476,AD476:AD1475),AD476)</f>
        <v>45</v>
      </c>
      <c r="AF476" s="0" t="s">
        <v>160</v>
      </c>
      <c r="AG476" s="0" t="str">
        <f aca="false">PROPER(AF476)</f>
        <v>Availaible</v>
      </c>
      <c r="AH476" s="0" t="s">
        <v>155</v>
      </c>
      <c r="AI476" s="0" t="s">
        <v>128</v>
      </c>
      <c r="AJ476" s="0" t="str">
        <f aca="false">PROPER(AI476)</f>
        <v>Normal</v>
      </c>
      <c r="AK476" s="0" t="s">
        <v>58</v>
      </c>
      <c r="AL476" s="0" t="str">
        <f aca="false">PROPER(AK476)</f>
        <v>Fleet Owner</v>
      </c>
      <c r="AM476" s="0" t="s">
        <v>177</v>
      </c>
      <c r="AN476" s="0" t="str">
        <f aca="false">IF(ISBLANK(AM476),"Unknown",AM476)</f>
        <v>Private</v>
      </c>
      <c r="AO476" s="0" t="s">
        <v>79</v>
      </c>
      <c r="AP476" s="0" t="str">
        <f aca="false">IF(ISBLANK(AO476),"Unknown",AO476)</f>
        <v>Specialist</v>
      </c>
      <c r="AQ476" s="0" t="n">
        <v>30000</v>
      </c>
      <c r="AR476" s="5" t="n">
        <f aca="false">IF(ISBLANK(AQ476),AVERAGEIF(M476:M1475,M476,AQ476:AQ1475),AQ476)</f>
        <v>30000</v>
      </c>
      <c r="AS476" s="0" t="n">
        <v>20000</v>
      </c>
      <c r="AT476" s="5" t="n">
        <f aca="false">IF(ISBLANK(AS476),AVERAGE(AS476:AS1475),AS476)</f>
        <v>20000</v>
      </c>
      <c r="AU476" s="0" t="s">
        <v>61</v>
      </c>
      <c r="AV476" s="0" t="str">
        <f aca="false">PROPER(IF(ISBLANK(AU476),"No",AU476))</f>
        <v>No</v>
      </c>
      <c r="AW476" s="0" t="n">
        <v>5000</v>
      </c>
      <c r="AX476" s="5" t="n">
        <f aca="false">IF(ISBLANK(AW476),0,AW476)</f>
        <v>5000</v>
      </c>
      <c r="AY476" s="0" t="s">
        <v>184</v>
      </c>
      <c r="AZ476" s="0" t="str">
        <f aca="false">UPPER(IF(ISBLANK(AY476),"NONE",AY476))</f>
        <v>N/A</v>
      </c>
      <c r="BA476" s="7" t="n">
        <v>45890</v>
      </c>
      <c r="BB476" s="7" t="n">
        <f aca="false">IF(ISBLANK(BA476),"No Follow Up Needed",BA476)</f>
        <v>45890</v>
      </c>
      <c r="BC476" s="0" t="s">
        <v>50</v>
      </c>
      <c r="BD476" s="0" t="str">
        <f aca="false">PROPER(IF(ISBLANK(BC476),"Unknown",BC476))</f>
        <v>No</v>
      </c>
      <c r="BE476" s="0" t="s">
        <v>171</v>
      </c>
      <c r="BF476" s="0" t="str">
        <f aca="false">IF(ISBLANK(BE476),"No comments",BE476)</f>
        <v>Shock absorber weakening</v>
      </c>
      <c r="BG476" s="0" t="s">
        <v>117</v>
      </c>
      <c r="BH476" s="0" t="str">
        <f aca="false">IF(ISBLANK(BG476),"No comments",BG476)</f>
        <v>Prefers morning</v>
      </c>
      <c r="BI476" s="0" t="s">
        <v>63</v>
      </c>
      <c r="BJ476" s="0" t="str">
        <f aca="false">IF(ISBLANK(BI476),"Not Mentioned",BI476)</f>
        <v>Yes</v>
      </c>
      <c r="BK476" s="0" t="s">
        <v>82</v>
      </c>
      <c r="BL476" s="0" t="str">
        <f aca="false">PROPER(IF(ISBLANK(BK476),"Not Mentioned",BK476))</f>
        <v>Yes</v>
      </c>
      <c r="BN476" s="0" t="str">
        <f aca="false">PROPER(IF(ISBLANK(BM476),"Not Mentioned",BM476))</f>
        <v>Not Mentioned</v>
      </c>
      <c r="BP476" s="0" t="str">
        <f aca="false">IF(ISBLANK(BO476),"One-Time Plan",BO476)</f>
        <v>One-Time Plan</v>
      </c>
      <c r="BQ476" s="0" t="s">
        <v>190</v>
      </c>
      <c r="BR476" s="0" t="str">
        <f aca="false">PROPER(IF(ISBLANK(BQ476),"No",BQ476))</f>
        <v>Yes</v>
      </c>
    </row>
    <row r="477" customFormat="false" ht="15" hidden="false" customHeight="false" outlineLevel="0" collapsed="false">
      <c r="A477" s="0" t="s">
        <v>1223</v>
      </c>
      <c r="B477" s="2" t="n">
        <v>45814</v>
      </c>
      <c r="C477" s="2" t="str">
        <f aca="false">TEXT(B477,"dd/mm/yyyy")</f>
        <v>06/06/2025</v>
      </c>
      <c r="D477" s="0" t="s">
        <v>105</v>
      </c>
      <c r="E477" s="0" t="n">
        <v>8099965548</v>
      </c>
      <c r="F477" s="0" t="s">
        <v>43</v>
      </c>
      <c r="G477" s="0" t="s">
        <v>2315</v>
      </c>
      <c r="H477" s="0" t="s">
        <v>1224</v>
      </c>
      <c r="I477" s="0" t="s">
        <v>134</v>
      </c>
      <c r="J477" s="0" t="s">
        <v>2317</v>
      </c>
      <c r="K477" s="3" t="str">
        <f aca="false" t="array" ref="K477:K477">IFERROR(IF(J477&lt;&gt;"",J477,INDEX(J477:J1476,MATCH(1,(F477:F1476=F477)*(I477:I1476=I477)*(L477:L1476=L477)*(J477:J1476&lt;&gt;""),0))),"Not Found")</f>
        <v>Suspension Noise</v>
      </c>
      <c r="L477" s="3" t="s">
        <v>189</v>
      </c>
      <c r="M477" s="0" t="str">
        <f aca="false">PROPER(L477)</f>
        <v>Battery</v>
      </c>
      <c r="N477" s="3" t="s">
        <v>48</v>
      </c>
      <c r="O477" s="0" t="str">
        <f aca="false" t="array" ref="O477:O477">IF(N477&lt;&gt;"",N477,_xlfn.xlookup(1,(L477:L1476=L477)*(N477:N1476&lt;&gt;""),N477:N1476,"Not Found"))</f>
        <v>Uche</v>
      </c>
      <c r="P477" s="4" t="n">
        <v>26578</v>
      </c>
      <c r="Q477" s="0" t="s">
        <v>91</v>
      </c>
      <c r="R477" s="0" t="str">
        <f aca="false">PROPER(Q477)</f>
        <v>Pos</v>
      </c>
      <c r="S477" s="0" t="s">
        <v>50</v>
      </c>
      <c r="T477" s="0" t="n">
        <v>1</v>
      </c>
      <c r="U477" s="5" t="n">
        <f aca="false">IF(ISBLANK(T477),AVERAGE(T477:T1476),T477)</f>
        <v>1</v>
      </c>
      <c r="V477" s="0" t="n">
        <v>3</v>
      </c>
      <c r="W477" s="0" t="s">
        <v>92</v>
      </c>
      <c r="X477" s="0" t="str">
        <f aca="false">IF(ISBLANK(W477),"No remarks",W477)</f>
        <v>Urgent service</v>
      </c>
      <c r="Y477" s="0" t="s">
        <v>93</v>
      </c>
      <c r="Z477" s="0" t="s">
        <v>159</v>
      </c>
      <c r="AA477" s="0" t="str">
        <f aca="false">PROPER(IF(ISBLANK(Z477),"Location Unavailable",Z477))</f>
        <v>Main Bay</v>
      </c>
      <c r="AB477" s="0" t="s">
        <v>126</v>
      </c>
      <c r="AC477" s="6" t="str">
        <f aca="false">PROPER(AB477)</f>
        <v>Whatsapp</v>
      </c>
      <c r="AD477" s="6" t="n">
        <v>60</v>
      </c>
      <c r="AE477" s="5" t="n">
        <f aca="false">IF(ISBLANK(AD477),AVERAGEIF(L477:L1476,L477,AD477:AD1476),AD477)</f>
        <v>60</v>
      </c>
      <c r="AF477" s="0" t="s">
        <v>112</v>
      </c>
      <c r="AG477" s="0" t="str">
        <f aca="false">PROPER(AF477)</f>
        <v>Unavailable</v>
      </c>
      <c r="AH477" s="0" t="s">
        <v>155</v>
      </c>
      <c r="AI477" s="0" t="s">
        <v>128</v>
      </c>
      <c r="AJ477" s="0" t="str">
        <f aca="false">PROPER(AI477)</f>
        <v>Normal</v>
      </c>
      <c r="AK477" s="0" t="s">
        <v>196</v>
      </c>
      <c r="AL477" s="0" t="str">
        <f aca="false">PROPER(AK477)</f>
        <v>First Time</v>
      </c>
      <c r="AN477" s="0" t="str">
        <f aca="false">IF(ISBLANK(AM477),"Unknown",AM477)</f>
        <v>Unknown</v>
      </c>
      <c r="AO477" s="0" t="s">
        <v>79</v>
      </c>
      <c r="AP477" s="0" t="str">
        <f aca="false">IF(ISBLANK(AO477),"Unknown",AO477)</f>
        <v>Specialist</v>
      </c>
      <c r="AQ477" s="0" t="n">
        <v>30000</v>
      </c>
      <c r="AR477" s="5" t="n">
        <f aca="false">IF(ISBLANK(AQ477),AVERAGEIF(M477:M1476,M477,AQ477:AQ1476),AQ477)</f>
        <v>30000</v>
      </c>
      <c r="AS477" s="0" t="n">
        <v>20000</v>
      </c>
      <c r="AT477" s="5" t="n">
        <f aca="false">IF(ISBLANK(AS477),AVERAGE(AS477:AS1476),AS477)</f>
        <v>20000</v>
      </c>
      <c r="AU477" s="0" t="s">
        <v>50</v>
      </c>
      <c r="AV477" s="0" t="str">
        <f aca="false">PROPER(IF(ISBLANK(AU477),"No",AU477))</f>
        <v>No</v>
      </c>
      <c r="AW477" s="0" t="n">
        <v>0</v>
      </c>
      <c r="AX477" s="5" t="n">
        <f aca="false">IF(ISBLANK(AW477),0,AW477)</f>
        <v>0</v>
      </c>
      <c r="AY477" s="0" t="s">
        <v>184</v>
      </c>
      <c r="AZ477" s="0" t="str">
        <f aca="false">UPPER(IF(ISBLANK(AY477),"NONE",AY477))</f>
        <v>N/A</v>
      </c>
      <c r="BB477" s="7" t="str">
        <f aca="false">IF(ISBLANK(BA477),"No Follow Up Needed",BA477)</f>
        <v>No Follow Up Needed</v>
      </c>
      <c r="BD477" s="0" t="str">
        <f aca="false">PROPER(IF(ISBLANK(BC477),"Unknown",BC477))</f>
        <v>Unknown</v>
      </c>
      <c r="BF477" s="0" t="str">
        <f aca="false">IF(ISBLANK(BE477),"No comments",BE477)</f>
        <v>No comments</v>
      </c>
      <c r="BG477" s="0" t="s">
        <v>117</v>
      </c>
      <c r="BH477" s="0" t="str">
        <f aca="false">IF(ISBLANK(BG477),"No comments",BG477)</f>
        <v>Prefers morning</v>
      </c>
      <c r="BI477" s="0" t="s">
        <v>50</v>
      </c>
      <c r="BJ477" s="0" t="str">
        <f aca="false">IF(ISBLANK(BI477),"Not Mentioned",BI477)</f>
        <v>No</v>
      </c>
      <c r="BL477" s="0" t="str">
        <f aca="false">PROPER(IF(ISBLANK(BK477),"Not Mentioned",BK477))</f>
        <v>Not Mentioned</v>
      </c>
      <c r="BM477" s="0" t="s">
        <v>50</v>
      </c>
      <c r="BN477" s="0" t="str">
        <f aca="false">PROPER(IF(ISBLANK(BM477),"Not Mentioned",BM477))</f>
        <v>No</v>
      </c>
      <c r="BO477" s="0" t="s">
        <v>64</v>
      </c>
      <c r="BP477" s="0" t="str">
        <f aca="false">IF(ISBLANK(BO477),"One-Time Plan",BO477)</f>
        <v>Gold Maintenance Plan</v>
      </c>
      <c r="BR477" s="0" t="str">
        <f aca="false">PROPER(IF(ISBLANK(BQ477),"No",BQ477))</f>
        <v>No</v>
      </c>
    </row>
    <row r="478" customFormat="false" ht="15" hidden="false" customHeight="false" outlineLevel="0" collapsed="false">
      <c r="A478" s="0" t="s">
        <v>1225</v>
      </c>
      <c r="B478" s="2" t="s">
        <v>463</v>
      </c>
      <c r="C478" s="2" t="str">
        <f aca="false">TEXT(B478,"dd/mm/yyyy")</f>
        <v>31/01/2025</v>
      </c>
      <c r="D478" s="0" t="s">
        <v>42</v>
      </c>
      <c r="E478" s="0" t="n">
        <v>8072309982</v>
      </c>
      <c r="F478" s="0" t="s">
        <v>122</v>
      </c>
      <c r="G478" s="0" t="s">
        <v>2316</v>
      </c>
      <c r="H478" s="0" t="s">
        <v>1226</v>
      </c>
      <c r="I478" s="0" t="s">
        <v>107</v>
      </c>
      <c r="J478" s="0" t="s">
        <v>87</v>
      </c>
      <c r="K478" s="3" t="str">
        <f aca="false" t="array" ref="K478:K478">IFERROR(IF(J478&lt;&gt;"",J478,INDEX(J478:J1477,MATCH(1,(F478:F1477=F478)*(I478:I1477=I478)*(L478:L1477=L478)*(J478:J1477&lt;&gt;""),0))),"Not Found")</f>
        <v>Oil Change</v>
      </c>
      <c r="L478" s="3" t="s">
        <v>89</v>
      </c>
      <c r="M478" s="0" t="str">
        <f aca="false">PROPER(L478)</f>
        <v>Shock Absorbers</v>
      </c>
      <c r="N478" s="3" t="s">
        <v>90</v>
      </c>
      <c r="O478" s="0" t="str">
        <f aca="false" t="array" ref="O478:O478">IF(N478&lt;&gt;"",N478,_xlfn.xlookup(1,(L478:L1477=L478)*(N478:N1477&lt;&gt;""),N478:N1477,"Not Found"))</f>
        <v>Musa</v>
      </c>
      <c r="P478" s="4" t="n">
        <v>46883</v>
      </c>
      <c r="Q478" s="0" t="s">
        <v>166</v>
      </c>
      <c r="R478" s="0" t="str">
        <f aca="false">PROPER(Q478)</f>
        <v>Transfer</v>
      </c>
      <c r="S478" s="0" t="s">
        <v>63</v>
      </c>
      <c r="T478" s="0" t="n">
        <v>3</v>
      </c>
      <c r="U478" s="5" t="n">
        <f aca="false">IF(ISBLANK(T478),AVERAGE(T478:T1477),T478)</f>
        <v>3</v>
      </c>
      <c r="V478" s="0" t="n">
        <v>4.4</v>
      </c>
      <c r="W478" s="0" t="s">
        <v>111</v>
      </c>
      <c r="X478" s="0" t="str">
        <f aca="false">IF(ISBLANK(W478),"No remarks",W478)</f>
        <v>Changed all filters</v>
      </c>
      <c r="Y478" s="0" t="s">
        <v>93</v>
      </c>
      <c r="Z478" s="0" t="s">
        <v>74</v>
      </c>
      <c r="AA478" s="0" t="str">
        <f aca="false">PROPER(IF(ISBLANK(Z478),"Location Unavailable",Z478))</f>
        <v>Under Tree</v>
      </c>
      <c r="AB478" s="0" t="s">
        <v>95</v>
      </c>
      <c r="AC478" s="6" t="str">
        <f aca="false">PROPER(AB478)</f>
        <v>Road Sign</v>
      </c>
      <c r="AD478" s="6" t="n">
        <v>15</v>
      </c>
      <c r="AE478" s="5" t="n">
        <f aca="false">IF(ISBLANK(AD478),AVERAGEIF(L478:L1477,L478,AD478:AD1477),AD478)</f>
        <v>15</v>
      </c>
      <c r="AF478" s="0" t="s">
        <v>76</v>
      </c>
      <c r="AG478" s="0" t="str">
        <f aca="false">PROPER(AF478)</f>
        <v>Orderd</v>
      </c>
      <c r="AH478" s="0" t="s">
        <v>77</v>
      </c>
      <c r="AI478" s="0" t="s">
        <v>78</v>
      </c>
      <c r="AJ478" s="0" t="str">
        <f aca="false">PROPER(AI478)</f>
        <v>Booking</v>
      </c>
      <c r="AK478" s="0" t="s">
        <v>114</v>
      </c>
      <c r="AL478" s="0" t="str">
        <f aca="false">PROPER(AK478)</f>
        <v>Returning</v>
      </c>
      <c r="AM478" s="0" t="s">
        <v>177</v>
      </c>
      <c r="AN478" s="0" t="str">
        <f aca="false">IF(ISBLANK(AM478),"Unknown",AM478)</f>
        <v>Private</v>
      </c>
      <c r="AO478" s="0" t="s">
        <v>149</v>
      </c>
      <c r="AP478" s="0" t="str">
        <f aca="false">IF(ISBLANK(AO478),"Unknown",AO478)</f>
        <v>Senior </v>
      </c>
      <c r="AQ478" s="0" t="n">
        <v>30000</v>
      </c>
      <c r="AR478" s="5" t="n">
        <f aca="false">IF(ISBLANK(AQ478),AVERAGEIF(M478:M1477,M478,AQ478:AQ1477),AQ478)</f>
        <v>30000</v>
      </c>
      <c r="AS478" s="0" t="n">
        <v>30000</v>
      </c>
      <c r="AT478" s="5" t="n">
        <f aca="false">IF(ISBLANK(AS478),AVERAGE(AS478:AS1477),AS478)</f>
        <v>30000</v>
      </c>
      <c r="AV478" s="0" t="str">
        <f aca="false">PROPER(IF(ISBLANK(AU478),"No",AU478))</f>
        <v>No</v>
      </c>
      <c r="AW478" s="0" t="n">
        <v>10000</v>
      </c>
      <c r="AX478" s="5" t="n">
        <f aca="false">IF(ISBLANK(AW478),0,AW478)</f>
        <v>10000</v>
      </c>
      <c r="AY478" s="0" t="s">
        <v>60</v>
      </c>
      <c r="AZ478" s="0" t="str">
        <f aca="false">UPPER(IF(ISBLANK(AY478),"NONE",AY478))</f>
        <v>NONE</v>
      </c>
      <c r="BA478" s="7" t="s">
        <v>1227</v>
      </c>
      <c r="BB478" s="7" t="str">
        <f aca="false">IF(ISBLANK(BA478),"No Follow Up Needed",BA478)</f>
        <v>29/10/2025</v>
      </c>
      <c r="BC478" s="0" t="s">
        <v>61</v>
      </c>
      <c r="BD478" s="0" t="str">
        <f aca="false">PROPER(IF(ISBLANK(BC478),"Unknown",BC478))</f>
        <v>No</v>
      </c>
      <c r="BF478" s="0" t="str">
        <f aca="false">IF(ISBLANK(BE478),"No comments",BE478)</f>
        <v>No comments</v>
      </c>
      <c r="BG478" s="0" t="s">
        <v>2320</v>
      </c>
      <c r="BH478" s="0" t="str">
        <f aca="false">IF(ISBLANK(BG478),"No comments",BG478)</f>
        <v>No complaints</v>
      </c>
      <c r="BI478" s="0" t="s">
        <v>50</v>
      </c>
      <c r="BJ478" s="0" t="str">
        <f aca="false">IF(ISBLANK(BI478),"Not Mentioned",BI478)</f>
        <v>No</v>
      </c>
      <c r="BK478" s="0" t="s">
        <v>61</v>
      </c>
      <c r="BL478" s="0" t="str">
        <f aca="false">PROPER(IF(ISBLANK(BK478),"Not Mentioned",BK478))</f>
        <v>No</v>
      </c>
      <c r="BM478" s="0" t="s">
        <v>63</v>
      </c>
      <c r="BN478" s="0" t="str">
        <f aca="false">PROPER(IF(ISBLANK(BM478),"Not Mentioned",BM478))</f>
        <v>Yes</v>
      </c>
      <c r="BO478" s="0" t="s">
        <v>2321</v>
      </c>
      <c r="BP478" s="0" t="str">
        <f aca="false">IF(ISBLANK(BO478),"One-Time Plan",BO478)</f>
        <v>One-Time Plan</v>
      </c>
      <c r="BQ478" s="0" t="s">
        <v>50</v>
      </c>
      <c r="BR478" s="0" t="str">
        <f aca="false">PROPER(IF(ISBLANK(BQ478),"No",BQ478))</f>
        <v>No</v>
      </c>
    </row>
    <row r="479" customFormat="false" ht="15" hidden="false" customHeight="false" outlineLevel="0" collapsed="false">
      <c r="A479" s="0" t="s">
        <v>1228</v>
      </c>
      <c r="B479" s="2" t="n">
        <v>45711</v>
      </c>
      <c r="C479" s="2" t="str">
        <f aca="false">TEXT(B479,"dd/mm/yyyy")</f>
        <v>23/02/2025</v>
      </c>
      <c r="D479" s="0" t="s">
        <v>163</v>
      </c>
      <c r="E479" s="0" t="n">
        <v>8075063283</v>
      </c>
      <c r="F479" s="0" t="s">
        <v>139</v>
      </c>
      <c r="G479" s="0" t="s">
        <v>2323</v>
      </c>
      <c r="H479" s="0" t="s">
        <v>1229</v>
      </c>
      <c r="I479" s="0" t="s">
        <v>69</v>
      </c>
      <c r="J479" s="0" t="s">
        <v>2317</v>
      </c>
      <c r="K479" s="3" t="str">
        <f aca="false" t="array" ref="K479:K479">IFERROR(IF(J479&lt;&gt;"",J479,INDEX(J479:J1478,MATCH(1,(F479:F1478=F479)*(I479:I1478=I479)*(L479:L1478=L479)*(J479:J1478&lt;&gt;""),0))),"Not Found")</f>
        <v>Suspension Noise</v>
      </c>
      <c r="L479" s="3" t="s">
        <v>142</v>
      </c>
      <c r="M479" s="0" t="str">
        <f aca="false">PROPER(L479)</f>
        <v>Oil Filter, Brake Pads</v>
      </c>
      <c r="N479" s="3" t="s">
        <v>71</v>
      </c>
      <c r="O479" s="0" t="str">
        <f aca="false" t="array" ref="O479:O479">IF(N479&lt;&gt;"",N479,_xlfn.xlookup(1,(L479:L1478=L479)*(N479:N1478&lt;&gt;""),N479:N1478,"Not Found"))</f>
        <v>Isaac Bobo</v>
      </c>
      <c r="P479" s="4" t="n">
        <v>79605</v>
      </c>
      <c r="Q479" s="0" t="s">
        <v>166</v>
      </c>
      <c r="R479" s="0" t="str">
        <f aca="false">PROPER(Q479)</f>
        <v>Transfer</v>
      </c>
      <c r="S479" s="0" t="s">
        <v>50</v>
      </c>
      <c r="T479" s="0" t="n">
        <v>3</v>
      </c>
      <c r="U479" s="5" t="n">
        <f aca="false">IF(ISBLANK(T479),AVERAGE(T479:T1478),T479)</f>
        <v>3</v>
      </c>
      <c r="V479" s="0" t="n">
        <v>1.2</v>
      </c>
      <c r="W479" s="0" t="s">
        <v>125</v>
      </c>
      <c r="X479" s="0" t="str">
        <f aca="false">IF(ISBLANK(W479),"No remarks",W479)</f>
        <v>Customer waited</v>
      </c>
      <c r="Y479" s="0" t="s">
        <v>93</v>
      </c>
      <c r="Z479" s="0" t="s">
        <v>53</v>
      </c>
      <c r="AA479" s="0" t="str">
        <f aca="false">PROPER(IF(ISBLANK(Z479),"Location Unavailable",Z479))</f>
        <v>Main Bay</v>
      </c>
      <c r="AB479" s="0" t="s">
        <v>75</v>
      </c>
      <c r="AC479" s="6" t="str">
        <f aca="false">PROPER(AB479)</f>
        <v>Mechanik Referal</v>
      </c>
      <c r="AD479" s="6" t="n">
        <v>15</v>
      </c>
      <c r="AE479" s="5" t="n">
        <f aca="false">IF(ISBLANK(AD479),AVERAGEIF(L479:L1478,L479,AD479:AD1478),AD479)</f>
        <v>15</v>
      </c>
      <c r="AF479" s="0" t="s">
        <v>112</v>
      </c>
      <c r="AG479" s="0" t="str">
        <f aca="false">PROPER(AF479)</f>
        <v>Unavailable</v>
      </c>
      <c r="AH479" s="0" t="s">
        <v>56</v>
      </c>
      <c r="AI479" s="0" t="s">
        <v>98</v>
      </c>
      <c r="AJ479" s="0" t="str">
        <f aca="false">PROPER(AI479)</f>
        <v>Emergency</v>
      </c>
      <c r="AK479" s="0" t="s">
        <v>99</v>
      </c>
      <c r="AL479" s="0" t="str">
        <f aca="false">PROPER(AK479)</f>
        <v>Uber Driver</v>
      </c>
      <c r="AN479" s="0" t="str">
        <f aca="false">IF(ISBLANK(AM479),"Unknown",AM479)</f>
        <v>Unknown</v>
      </c>
      <c r="AO479" s="0" t="s">
        <v>149</v>
      </c>
      <c r="AP479" s="0" t="str">
        <f aca="false">IF(ISBLANK(AO479),"Unknown",AO479)</f>
        <v>Senior </v>
      </c>
      <c r="AR479" s="5" t="n">
        <f aca="false">IF(ISBLANK(AQ479),AVERAGEIF(M479:M1478,M479,AQ479:AQ1478),AQ479)</f>
        <v>27207.7922077922</v>
      </c>
      <c r="AS479" s="0" t="n">
        <v>40000</v>
      </c>
      <c r="AT479" s="5" t="n">
        <f aca="false">IF(ISBLANK(AS479),AVERAGE(AS479:AS1478),AS479)</f>
        <v>40000</v>
      </c>
      <c r="AU479" s="0" t="s">
        <v>50</v>
      </c>
      <c r="AV479" s="0" t="str">
        <f aca="false">PROPER(IF(ISBLANK(AU479),"No",AU479))</f>
        <v>No</v>
      </c>
      <c r="AW479" s="0" t="n">
        <v>5000</v>
      </c>
      <c r="AX479" s="5" t="n">
        <f aca="false">IF(ISBLANK(AW479),0,AW479)</f>
        <v>5000</v>
      </c>
      <c r="AZ479" s="0" t="str">
        <f aca="false">UPPER(IF(ISBLANK(AY479),"NONE",AY479))</f>
        <v>NONE</v>
      </c>
      <c r="BA479" s="7" t="n">
        <v>45987</v>
      </c>
      <c r="BB479" s="7" t="n">
        <f aca="false">IF(ISBLANK(BA479),"No Follow Up Needed",BA479)</f>
        <v>45987</v>
      </c>
      <c r="BC479" s="0" t="s">
        <v>50</v>
      </c>
      <c r="BD479" s="0" t="str">
        <f aca="false">PROPER(IF(ISBLANK(BC479),"Unknown",BC479))</f>
        <v>No</v>
      </c>
      <c r="BF479" s="0" t="str">
        <f aca="false">IF(ISBLANK(BE479),"No comments",BE479)</f>
        <v>No comments</v>
      </c>
      <c r="BG479" s="0" t="s">
        <v>2320</v>
      </c>
      <c r="BH479" s="0" t="str">
        <f aca="false">IF(ISBLANK(BG479),"No comments",BG479)</f>
        <v>No complaints</v>
      </c>
      <c r="BI479" s="0" t="s">
        <v>63</v>
      </c>
      <c r="BJ479" s="0" t="str">
        <f aca="false">IF(ISBLANK(BI479),"Not Mentioned",BI479)</f>
        <v>Yes</v>
      </c>
      <c r="BK479" s="0" t="s">
        <v>50</v>
      </c>
      <c r="BL479" s="0" t="str">
        <f aca="false">PROPER(IF(ISBLANK(BK479),"Not Mentioned",BK479))</f>
        <v>No</v>
      </c>
      <c r="BM479" s="0" t="s">
        <v>63</v>
      </c>
      <c r="BN479" s="0" t="str">
        <f aca="false">PROPER(IF(ISBLANK(BM479),"Not Mentioned",BM479))</f>
        <v>Yes</v>
      </c>
      <c r="BO479" s="0" t="s">
        <v>2321</v>
      </c>
      <c r="BP479" s="0" t="str">
        <f aca="false">IF(ISBLANK(BO479),"One-Time Plan",BO479)</f>
        <v>One-Time Plan</v>
      </c>
      <c r="BQ479" s="0" t="s">
        <v>190</v>
      </c>
      <c r="BR479" s="0" t="str">
        <f aca="false">PROPER(IF(ISBLANK(BQ479),"No",BQ479))</f>
        <v>Yes</v>
      </c>
    </row>
    <row r="480" customFormat="false" ht="15" hidden="false" customHeight="false" outlineLevel="0" collapsed="false">
      <c r="A480" s="0" t="s">
        <v>1230</v>
      </c>
      <c r="B480" s="2" t="s">
        <v>669</v>
      </c>
      <c r="C480" s="2" t="str">
        <f aca="false">TEXT(B480,"dd/mm/yyyy")</f>
        <v>16/04/2025</v>
      </c>
      <c r="D480" s="0" t="s">
        <v>163</v>
      </c>
      <c r="E480" s="0" t="n">
        <v>8071922288</v>
      </c>
      <c r="F480" s="0" t="s">
        <v>139</v>
      </c>
      <c r="G480" s="0" t="s">
        <v>2323</v>
      </c>
      <c r="H480" s="0" t="s">
        <v>1231</v>
      </c>
      <c r="I480" s="0" t="s">
        <v>69</v>
      </c>
      <c r="J480" s="0" t="s">
        <v>2322</v>
      </c>
      <c r="K480" s="3" t="str">
        <f aca="false" t="array" ref="K480:K480">IFERROR(IF(J480&lt;&gt;"",J480,INDEX(J480:J1479,MATCH(1,(F480:F1479=F480)*(I480:I1479=I480)*(L480:L1479=L480)*(J480:J1479&lt;&gt;""),0))),"Not Found")</f>
        <v>Brake Failure</v>
      </c>
      <c r="L480" s="3" t="s">
        <v>108</v>
      </c>
      <c r="M480" s="0" t="str">
        <f aca="false">PROPER(L480)</f>
        <v>Timing Belt</v>
      </c>
      <c r="N480" s="3" t="s">
        <v>109</v>
      </c>
      <c r="O480" s="0" t="str">
        <f aca="false" t="array" ref="O480:O480">IF(N480&lt;&gt;"",N480,_xlfn.xlookup(1,(L480:L1479=L480)*(N480:N1479&lt;&gt;""),N480:N1479,"Not Found"))</f>
        <v>Tijani</v>
      </c>
      <c r="P480" s="4" t="n">
        <v>95209</v>
      </c>
      <c r="Q480" s="0" t="s">
        <v>49</v>
      </c>
      <c r="R480" s="0" t="str">
        <f aca="false">PROPER(Q480)</f>
        <v>Transfer</v>
      </c>
      <c r="S480" s="0" t="s">
        <v>63</v>
      </c>
      <c r="T480" s="0" t="n">
        <v>2</v>
      </c>
      <c r="U480" s="5" t="n">
        <f aca="false">IF(ISBLANK(T480),AVERAGE(T480:T1479),T480)</f>
        <v>2</v>
      </c>
      <c r="V480" s="0" t="n">
        <v>1.7</v>
      </c>
      <c r="W480" s="0" t="s">
        <v>92</v>
      </c>
      <c r="X480" s="0" t="str">
        <f aca="false">IF(ISBLANK(W480),"No remarks",W480)</f>
        <v>Urgent service</v>
      </c>
      <c r="Y480" s="0" t="s">
        <v>93</v>
      </c>
      <c r="Z480" s="0" t="s">
        <v>159</v>
      </c>
      <c r="AA480" s="0" t="str">
        <f aca="false">PROPER(IF(ISBLANK(Z480),"Location Unavailable",Z480))</f>
        <v>Main Bay</v>
      </c>
      <c r="AB480" s="0" t="s">
        <v>147</v>
      </c>
      <c r="AC480" s="6" t="str">
        <f aca="false">PROPER(AB480)</f>
        <v>Instagram</v>
      </c>
      <c r="AE480" s="5" t="n">
        <f aca="false">IF(ISBLANK(AD480),AVERAGEIF(L480:L1479,L480,AD480:AD1479),AD480)</f>
        <v>37.5949367088608</v>
      </c>
      <c r="AF480" s="0" t="s">
        <v>160</v>
      </c>
      <c r="AG480" s="0" t="str">
        <f aca="false">PROPER(AF480)</f>
        <v>Availaible</v>
      </c>
      <c r="AH480" s="0" t="s">
        <v>56</v>
      </c>
      <c r="AI480" s="0" t="s">
        <v>98</v>
      </c>
      <c r="AJ480" s="0" t="str">
        <f aca="false">PROPER(AI480)</f>
        <v>Emergency</v>
      </c>
      <c r="AK480" s="0" t="s">
        <v>114</v>
      </c>
      <c r="AL480" s="0" t="str">
        <f aca="false">PROPER(AK480)</f>
        <v>Returning</v>
      </c>
      <c r="AN480" s="0" t="str">
        <f aca="false">IF(ISBLANK(AM480),"Unknown",AM480)</f>
        <v>Unknown</v>
      </c>
      <c r="AO480" s="0" t="s">
        <v>79</v>
      </c>
      <c r="AP480" s="0" t="str">
        <f aca="false">IF(ISBLANK(AO480),"Unknown",AO480)</f>
        <v>Specialist</v>
      </c>
      <c r="AQ480" s="0" t="n">
        <v>40000</v>
      </c>
      <c r="AR480" s="5" t="n">
        <f aca="false">IF(ISBLANK(AQ480),AVERAGEIF(M480:M1479,M480,AQ480:AQ1479),AQ480)</f>
        <v>40000</v>
      </c>
      <c r="AS480" s="0" t="n">
        <v>20000</v>
      </c>
      <c r="AT480" s="5" t="n">
        <f aca="false">IF(ISBLANK(AS480),AVERAGE(AS480:AS1479),AS480)</f>
        <v>20000</v>
      </c>
      <c r="AU480" s="0" t="s">
        <v>50</v>
      </c>
      <c r="AV480" s="0" t="str">
        <f aca="false">PROPER(IF(ISBLANK(AU480),"No",AU480))</f>
        <v>No</v>
      </c>
      <c r="AW480" s="0" t="n">
        <v>5000</v>
      </c>
      <c r="AX480" s="5" t="n">
        <f aca="false">IF(ISBLANK(AW480),0,AW480)</f>
        <v>5000</v>
      </c>
      <c r="AY480" s="0" t="s">
        <v>130</v>
      </c>
      <c r="AZ480" s="0" t="str">
        <f aca="false">UPPER(IF(ISBLANK(AY480),"NONE",AY480))</f>
        <v>LOYALTY10</v>
      </c>
      <c r="BA480" s="7" t="n">
        <v>45870</v>
      </c>
      <c r="BB480" s="7" t="n">
        <f aca="false">IF(ISBLANK(BA480),"No Follow Up Needed",BA480)</f>
        <v>45870</v>
      </c>
      <c r="BC480" s="0" t="s">
        <v>61</v>
      </c>
      <c r="BD480" s="0" t="str">
        <f aca="false">PROPER(IF(ISBLANK(BC480),"Unknown",BC480))</f>
        <v>No</v>
      </c>
      <c r="BE480" s="0" t="s">
        <v>171</v>
      </c>
      <c r="BF480" s="0" t="str">
        <f aca="false">IF(ISBLANK(BE480),"No comments",BE480)</f>
        <v>Shock absorber weakening</v>
      </c>
      <c r="BG480" s="0" t="s">
        <v>172</v>
      </c>
      <c r="BH480" s="0" t="str">
        <f aca="false">IF(ISBLANK(BG480),"No comments",BG480)</f>
        <v>Always late</v>
      </c>
      <c r="BJ480" s="0" t="str">
        <f aca="false">IF(ISBLANK(BI480),"Not Mentioned",BI480)</f>
        <v>Not Mentioned</v>
      </c>
      <c r="BK480" s="0" t="s">
        <v>61</v>
      </c>
      <c r="BL480" s="0" t="str">
        <f aca="false">PROPER(IF(ISBLANK(BK480),"Not Mentioned",BK480))</f>
        <v>No</v>
      </c>
      <c r="BM480" s="0" t="s">
        <v>63</v>
      </c>
      <c r="BN480" s="0" t="str">
        <f aca="false">PROPER(IF(ISBLANK(BM480),"Not Mentioned",BM480))</f>
        <v>Yes</v>
      </c>
      <c r="BO480" s="0" t="s">
        <v>2318</v>
      </c>
      <c r="BP480" s="0" t="str">
        <f aca="false">IF(ISBLANK(BO480),"One-Time Plan",BO480)</f>
        <v>Gold</v>
      </c>
      <c r="BQ480" s="0" t="s">
        <v>50</v>
      </c>
      <c r="BR480" s="0" t="str">
        <f aca="false">PROPER(IF(ISBLANK(BQ480),"No",BQ480))</f>
        <v>No</v>
      </c>
    </row>
    <row r="481" customFormat="false" ht="15" hidden="false" customHeight="false" outlineLevel="0" collapsed="false">
      <c r="A481" s="0" t="s">
        <v>1232</v>
      </c>
      <c r="B481" s="2" t="n">
        <v>45747</v>
      </c>
      <c r="C481" s="2" t="str">
        <f aca="false">TEXT(B481,"dd/mm/yyyy")</f>
        <v>31/03/2025</v>
      </c>
      <c r="D481" s="0" t="s">
        <v>66</v>
      </c>
      <c r="E481" s="0" t="n">
        <v>8019158638</v>
      </c>
      <c r="F481" s="0" t="s">
        <v>67</v>
      </c>
      <c r="G481" s="0" t="s">
        <v>2316</v>
      </c>
      <c r="H481" s="0" t="s">
        <v>499</v>
      </c>
      <c r="I481" s="0" t="s">
        <v>45</v>
      </c>
      <c r="J481" s="0" t="s">
        <v>2325</v>
      </c>
      <c r="K481" s="3" t="str">
        <f aca="false" t="array" ref="K481:K481">IFERROR(IF(J481&lt;&gt;"",J481,INDEX(J481:J1480,MATCH(1,(F481:F1480=F481)*(I481:I1480=I481)*(L481:L1480=L481)*(J481:J1480&lt;&gt;""),0))),"Not Found")</f>
        <v>Engine Knocking</v>
      </c>
      <c r="L481" s="3" t="s">
        <v>142</v>
      </c>
      <c r="M481" s="0" t="str">
        <f aca="false">PROPER(L481)</f>
        <v>Oil Filter, Brake Pads</v>
      </c>
      <c r="N481" s="3" t="s">
        <v>109</v>
      </c>
      <c r="O481" s="0" t="str">
        <f aca="false" t="array" ref="O481:O481">IF(N481&lt;&gt;"",N481,_xlfn.xlookup(1,(L481:L1480=L481)*(N481:N1480&lt;&gt;""),N481:N1480,"Not Found"))</f>
        <v>Tijani</v>
      </c>
      <c r="P481" s="4" t="n">
        <v>24029</v>
      </c>
      <c r="Q481" s="0" t="s">
        <v>110</v>
      </c>
      <c r="R481" s="0" t="str">
        <f aca="false">PROPER(Q481)</f>
        <v>Cash</v>
      </c>
      <c r="S481" s="0" t="s">
        <v>63</v>
      </c>
      <c r="T481" s="0" t="n">
        <v>2</v>
      </c>
      <c r="U481" s="5" t="n">
        <f aca="false">IF(ISBLANK(T481),AVERAGE(T481:T1480),T481)</f>
        <v>2</v>
      </c>
      <c r="V481" s="0" t="n">
        <v>3.5</v>
      </c>
      <c r="W481" s="0" t="s">
        <v>125</v>
      </c>
      <c r="X481" s="0" t="str">
        <f aca="false">IF(ISBLANK(W481),"No remarks",W481)</f>
        <v>Customer waited</v>
      </c>
      <c r="Y481" s="0" t="s">
        <v>73</v>
      </c>
      <c r="Z481" s="0" t="s">
        <v>136</v>
      </c>
      <c r="AA481" s="0" t="str">
        <f aca="false">PROPER(IF(ISBLANK(Z481),"Location Unavailable",Z481))</f>
        <v>Vip Section</v>
      </c>
      <c r="AB481" s="0" t="s">
        <v>95</v>
      </c>
      <c r="AC481" s="6" t="str">
        <f aca="false">PROPER(AB481)</f>
        <v>Road Sign</v>
      </c>
      <c r="AD481" s="6" t="n">
        <v>15</v>
      </c>
      <c r="AE481" s="5" t="n">
        <f aca="false">IF(ISBLANK(AD481),AVERAGEIF(L481:L1480,L481,AD481:AD1480),AD481)</f>
        <v>15</v>
      </c>
      <c r="AF481" s="0" t="s">
        <v>55</v>
      </c>
      <c r="AG481" s="0" t="str">
        <f aca="false">PROPER(AF481)</f>
        <v>Available</v>
      </c>
      <c r="AH481" s="0" t="s">
        <v>155</v>
      </c>
      <c r="AI481" s="0" t="s">
        <v>98</v>
      </c>
      <c r="AJ481" s="0" t="str">
        <f aca="false">PROPER(AI481)</f>
        <v>Emergency</v>
      </c>
      <c r="AK481" s="0" t="s">
        <v>114</v>
      </c>
      <c r="AL481" s="0" t="str">
        <f aca="false">PROPER(AK481)</f>
        <v>Returning</v>
      </c>
      <c r="AM481" s="0" t="s">
        <v>2326</v>
      </c>
      <c r="AN481" s="0" t="str">
        <f aca="false">IF(ISBLANK(AM481),"Unknown",AM481)</f>
        <v>Government Convoy</v>
      </c>
      <c r="AO481" s="0" t="s">
        <v>79</v>
      </c>
      <c r="AP481" s="0" t="str">
        <f aca="false">IF(ISBLANK(AO481),"Unknown",AO481)</f>
        <v>Specialist</v>
      </c>
      <c r="AQ481" s="0" t="n">
        <v>40000</v>
      </c>
      <c r="AR481" s="5" t="n">
        <f aca="false">IF(ISBLANK(AQ481),AVERAGEIF(M481:M1480,M481,AQ481:AQ1480),AQ481)</f>
        <v>40000</v>
      </c>
      <c r="AS481" s="0" t="n">
        <v>30000</v>
      </c>
      <c r="AT481" s="5" t="n">
        <f aca="false">IF(ISBLANK(AS481),AVERAGE(AS481:AS1480),AS481)</f>
        <v>30000</v>
      </c>
      <c r="AU481" s="0" t="s">
        <v>82</v>
      </c>
      <c r="AV481" s="0" t="str">
        <f aca="false">PROPER(IF(ISBLANK(AU481),"No",AU481))</f>
        <v>Yes</v>
      </c>
      <c r="AW481" s="0" t="n">
        <v>5000</v>
      </c>
      <c r="AX481" s="5" t="n">
        <f aca="false">IF(ISBLANK(AW481),0,AW481)</f>
        <v>5000</v>
      </c>
      <c r="AY481" s="0" t="s">
        <v>184</v>
      </c>
      <c r="AZ481" s="0" t="str">
        <f aca="false">UPPER(IF(ISBLANK(AY481),"NONE",AY481))</f>
        <v>N/A</v>
      </c>
      <c r="BB481" s="7" t="str">
        <f aca="false">IF(ISBLANK(BA481),"No Follow Up Needed",BA481)</f>
        <v>No Follow Up Needed</v>
      </c>
      <c r="BC481" s="0" t="s">
        <v>61</v>
      </c>
      <c r="BD481" s="0" t="str">
        <f aca="false">PROPER(IF(ISBLANK(BC481),"Unknown",BC481))</f>
        <v>No</v>
      </c>
      <c r="BF481" s="0" t="str">
        <f aca="false">IF(ISBLANK(BE481),"No comments",BE481)</f>
        <v>No comments</v>
      </c>
      <c r="BG481" s="0" t="s">
        <v>2320</v>
      </c>
      <c r="BH481" s="0" t="str">
        <f aca="false">IF(ISBLANK(BG481),"No comments",BG481)</f>
        <v>No complaints</v>
      </c>
      <c r="BI481" s="0" t="s">
        <v>50</v>
      </c>
      <c r="BJ481" s="0" t="str">
        <f aca="false">IF(ISBLANK(BI481),"Not Mentioned",BI481)</f>
        <v>No</v>
      </c>
      <c r="BL481" s="0" t="str">
        <f aca="false">PROPER(IF(ISBLANK(BK481),"Not Mentioned",BK481))</f>
        <v>Not Mentioned</v>
      </c>
      <c r="BN481" s="0" t="str">
        <f aca="false">PROPER(IF(ISBLANK(BM481),"Not Mentioned",BM481))</f>
        <v>Not Mentioned</v>
      </c>
      <c r="BO481" s="0" t="s">
        <v>2321</v>
      </c>
      <c r="BP481" s="0" t="str">
        <f aca="false">IF(ISBLANK(BO481),"One-Time Plan",BO481)</f>
        <v>One-Time Plan</v>
      </c>
      <c r="BQ481" s="0" t="s">
        <v>198</v>
      </c>
      <c r="BR481" s="0" t="str">
        <f aca="false">PROPER(IF(ISBLANK(BQ481),"No",BQ481))</f>
        <v>Followed Up</v>
      </c>
    </row>
    <row r="482" customFormat="false" ht="15" hidden="false" customHeight="false" outlineLevel="0" collapsed="false">
      <c r="A482" s="0" t="s">
        <v>1233</v>
      </c>
      <c r="B482" s="2" t="n">
        <v>45709</v>
      </c>
      <c r="C482" s="2" t="str">
        <f aca="false">TEXT(B482,"dd/mm/yyyy")</f>
        <v>21/02/2025</v>
      </c>
      <c r="D482" s="0" t="s">
        <v>163</v>
      </c>
      <c r="E482" s="0" t="n">
        <v>8021079489</v>
      </c>
      <c r="F482" s="0" t="s">
        <v>67</v>
      </c>
      <c r="G482" s="0" t="s">
        <v>2316</v>
      </c>
      <c r="H482" s="0" t="s">
        <v>1234</v>
      </c>
      <c r="I482" s="0" t="s">
        <v>134</v>
      </c>
      <c r="J482" s="0" t="s">
        <v>2325</v>
      </c>
      <c r="K482" s="3" t="str">
        <f aca="false" t="array" ref="K482:K482">IFERROR(IF(J482&lt;&gt;"",J482,INDEX(J482:J1481,MATCH(1,(F482:F1481=F482)*(I482:I1481=I482)*(L482:L1481=L482)*(J482:J1481&lt;&gt;""),0))),"Not Found")</f>
        <v>Engine Knocking</v>
      </c>
      <c r="L482" s="3" t="s">
        <v>142</v>
      </c>
      <c r="M482" s="0" t="str">
        <f aca="false">PROPER(L482)</f>
        <v>Oil Filter, Brake Pads</v>
      </c>
      <c r="N482" s="3" t="s">
        <v>90</v>
      </c>
      <c r="O482" s="0" t="str">
        <f aca="false" t="array" ref="O482:O482">IF(N482&lt;&gt;"",N482,_xlfn.xlookup(1,(L482:L1481=L482)*(N482:N1481&lt;&gt;""),N482:N1481,"Not Found"))</f>
        <v>Musa</v>
      </c>
      <c r="P482" s="4" t="n">
        <v>54877</v>
      </c>
      <c r="Q482" s="0" t="s">
        <v>124</v>
      </c>
      <c r="R482" s="0" t="str">
        <f aca="false">PROPER(Q482)</f>
        <v>Cash</v>
      </c>
      <c r="S482" s="0" t="s">
        <v>50</v>
      </c>
      <c r="T482" s="0" t="n">
        <v>1</v>
      </c>
      <c r="U482" s="5" t="n">
        <f aca="false">IF(ISBLANK(T482),AVERAGE(T482:T1481),T482)</f>
        <v>1</v>
      </c>
      <c r="V482" s="0" t="n">
        <v>2.2</v>
      </c>
      <c r="W482" s="0" t="s">
        <v>92</v>
      </c>
      <c r="X482" s="0" t="str">
        <f aca="false">IF(ISBLANK(W482),"No remarks",W482)</f>
        <v>Urgent service</v>
      </c>
      <c r="Y482" s="0" t="s">
        <v>73</v>
      </c>
      <c r="Z482" s="0" t="s">
        <v>159</v>
      </c>
      <c r="AA482" s="0" t="str">
        <f aca="false">PROPER(IF(ISBLANK(Z482),"Location Unavailable",Z482))</f>
        <v>Main Bay</v>
      </c>
      <c r="AB482" s="0" t="s">
        <v>126</v>
      </c>
      <c r="AC482" s="6" t="str">
        <f aca="false">PROPER(AB482)</f>
        <v>Whatsapp</v>
      </c>
      <c r="AD482" s="6" t="n">
        <v>45</v>
      </c>
      <c r="AE482" s="5" t="n">
        <f aca="false">IF(ISBLANK(AD482),AVERAGEIF(L482:L1481,L482,AD482:AD1481),AD482)</f>
        <v>45</v>
      </c>
      <c r="AF482" s="0" t="s">
        <v>55</v>
      </c>
      <c r="AG482" s="0" t="str">
        <f aca="false">PROPER(AF482)</f>
        <v>Available</v>
      </c>
      <c r="AH482" s="0" t="s">
        <v>155</v>
      </c>
      <c r="AI482" s="0" t="s">
        <v>98</v>
      </c>
      <c r="AJ482" s="0" t="str">
        <f aca="false">PROPER(AI482)</f>
        <v>Emergency</v>
      </c>
      <c r="AK482" s="0" t="s">
        <v>114</v>
      </c>
      <c r="AL482" s="0" t="str">
        <f aca="false">PROPER(AK482)</f>
        <v>Returning</v>
      </c>
      <c r="AM482" s="0" t="s">
        <v>2324</v>
      </c>
      <c r="AN482" s="0" t="str">
        <f aca="false">IF(ISBLANK(AM482),"Unknown",AM482)</f>
        <v>Logistics Convoy</v>
      </c>
      <c r="AO482" s="0" t="s">
        <v>79</v>
      </c>
      <c r="AP482" s="0" t="str">
        <f aca="false">IF(ISBLANK(AO482),"Unknown",AO482)</f>
        <v>Specialist</v>
      </c>
      <c r="AQ482" s="0" t="n">
        <v>40000</v>
      </c>
      <c r="AR482" s="5" t="n">
        <f aca="false">IF(ISBLANK(AQ482),AVERAGEIF(M482:M1481,M482,AQ482:AQ1481),AQ482)</f>
        <v>40000</v>
      </c>
      <c r="AT482" s="5" t="n">
        <f aca="false">IF(ISBLANK(AS482),AVERAGE(AS482:AS1481),AS482)</f>
        <v>31542.9234338747</v>
      </c>
      <c r="AU482" s="0" t="s">
        <v>50</v>
      </c>
      <c r="AV482" s="0" t="str">
        <f aca="false">PROPER(IF(ISBLANK(AU482),"No",AU482))</f>
        <v>No</v>
      </c>
      <c r="AW482" s="0" t="n">
        <v>0</v>
      </c>
      <c r="AX482" s="5" t="n">
        <f aca="false">IF(ISBLANK(AW482),0,AW482)</f>
        <v>0</v>
      </c>
      <c r="AY482" s="0" t="s">
        <v>130</v>
      </c>
      <c r="AZ482" s="0" t="str">
        <f aca="false">UPPER(IF(ISBLANK(AY482),"NONE",AY482))</f>
        <v>LOYALTY10</v>
      </c>
      <c r="BA482" s="7" t="n">
        <v>45969</v>
      </c>
      <c r="BB482" s="7" t="n">
        <f aca="false">IF(ISBLANK(BA482),"No Follow Up Needed",BA482)</f>
        <v>45969</v>
      </c>
      <c r="BD482" s="0" t="str">
        <f aca="false">PROPER(IF(ISBLANK(BC482),"Unknown",BC482))</f>
        <v>Unknown</v>
      </c>
      <c r="BE482" s="0" t="s">
        <v>171</v>
      </c>
      <c r="BF482" s="0" t="str">
        <f aca="false">IF(ISBLANK(BE482),"No comments",BE482)</f>
        <v>Shock absorber weakening</v>
      </c>
      <c r="BG482" s="0" t="s">
        <v>2320</v>
      </c>
      <c r="BH482" s="0" t="str">
        <f aca="false">IF(ISBLANK(BG482),"No comments",BG482)</f>
        <v>No complaints</v>
      </c>
      <c r="BI482" s="0" t="s">
        <v>50</v>
      </c>
      <c r="BJ482" s="0" t="str">
        <f aca="false">IF(ISBLANK(BI482),"Not Mentioned",BI482)</f>
        <v>No</v>
      </c>
      <c r="BK482" s="0" t="s">
        <v>50</v>
      </c>
      <c r="BL482" s="0" t="str">
        <f aca="false">PROPER(IF(ISBLANK(BK482),"Not Mentioned",BK482))</f>
        <v>No</v>
      </c>
      <c r="BM482" s="0" t="s">
        <v>63</v>
      </c>
      <c r="BN482" s="0" t="str">
        <f aca="false">PROPER(IF(ISBLANK(BM482),"Not Mentioned",BM482))</f>
        <v>Yes</v>
      </c>
      <c r="BO482" s="0" t="s">
        <v>2321</v>
      </c>
      <c r="BP482" s="0" t="str">
        <f aca="false">IF(ISBLANK(BO482),"One-Time Plan",BO482)</f>
        <v>One-Time Plan</v>
      </c>
      <c r="BR482" s="0" t="str">
        <f aca="false">PROPER(IF(ISBLANK(BQ482),"No",BQ482))</f>
        <v>No</v>
      </c>
    </row>
    <row r="483" customFormat="false" ht="15" hidden="false" customHeight="false" outlineLevel="0" collapsed="false">
      <c r="A483" s="0" t="s">
        <v>1235</v>
      </c>
      <c r="B483" s="2" t="n">
        <v>45841</v>
      </c>
      <c r="C483" s="2" t="str">
        <f aca="false">TEXT(B483,"dd/mm/yyyy")</f>
        <v>03/07/2025</v>
      </c>
      <c r="D483" s="0" t="s">
        <v>66</v>
      </c>
      <c r="E483" s="0" t="n">
        <v>8083608832</v>
      </c>
      <c r="F483" s="0" t="s">
        <v>43</v>
      </c>
      <c r="G483" s="0" t="s">
        <v>2315</v>
      </c>
      <c r="H483" s="0" t="s">
        <v>1236</v>
      </c>
      <c r="I483" s="0" t="s">
        <v>45</v>
      </c>
      <c r="J483" s="0" t="s">
        <v>87</v>
      </c>
      <c r="K483" s="3" t="str">
        <f aca="false" t="array" ref="K483:K483">IFERROR(IF(J483&lt;&gt;"",J483,INDEX(J483:J1482,MATCH(1,(F483:F1482=F483)*(I483:I1482=I483)*(L483:L1482=L483)*(J483:J1482&lt;&gt;""),0))),"Not Found")</f>
        <v>Oil Change</v>
      </c>
      <c r="L483" s="3" t="s">
        <v>89</v>
      </c>
      <c r="M483" s="0" t="str">
        <f aca="false">PROPER(L483)</f>
        <v>Shock Absorbers</v>
      </c>
      <c r="N483" s="3" t="s">
        <v>71</v>
      </c>
      <c r="O483" s="0" t="str">
        <f aca="false" t="array" ref="O483:O483">IF(N483&lt;&gt;"",N483,_xlfn.xlookup(1,(L483:L1482=L483)*(N483:N1482&lt;&gt;""),N483:N1482,"Not Found"))</f>
        <v>Isaac Bobo</v>
      </c>
      <c r="P483" s="4" t="n">
        <v>51869</v>
      </c>
      <c r="Q483" s="0" t="s">
        <v>72</v>
      </c>
      <c r="R483" s="0" t="str">
        <f aca="false">PROPER(Q483)</f>
        <v>Pos</v>
      </c>
      <c r="S483" s="0" t="s">
        <v>50</v>
      </c>
      <c r="T483" s="0" t="n">
        <v>4</v>
      </c>
      <c r="U483" s="5" t="n">
        <f aca="false">IF(ISBLANK(T483),AVERAGE(T483:T1482),T483)</f>
        <v>4</v>
      </c>
      <c r="V483" s="0" t="n">
        <v>3.4</v>
      </c>
      <c r="X483" s="0" t="str">
        <f aca="false">IF(ISBLANK(W483),"No remarks",W483)</f>
        <v>No remarks</v>
      </c>
      <c r="Y483" s="0" t="s">
        <v>52</v>
      </c>
      <c r="Z483" s="0" t="s">
        <v>136</v>
      </c>
      <c r="AA483" s="0" t="str">
        <f aca="false">PROPER(IF(ISBLANK(Z483),"Location Unavailable",Z483))</f>
        <v>Vip Section</v>
      </c>
      <c r="AB483" s="0" t="s">
        <v>54</v>
      </c>
      <c r="AC483" s="6" t="str">
        <f aca="false">PROPER(AB483)</f>
        <v>Mechanic Referral</v>
      </c>
      <c r="AD483" s="6" t="n">
        <v>60</v>
      </c>
      <c r="AE483" s="5" t="n">
        <f aca="false">IF(ISBLANK(AD483),AVERAGEIF(L483:L1482,L483,AD483:AD1482),AD483)</f>
        <v>60</v>
      </c>
      <c r="AF483" s="0" t="s">
        <v>96</v>
      </c>
      <c r="AG483" s="0" t="str">
        <f aca="false">PROPER(AF483)</f>
        <v>Ordered</v>
      </c>
      <c r="AH483" s="0" t="s">
        <v>148</v>
      </c>
      <c r="AI483" s="0" t="s">
        <v>98</v>
      </c>
      <c r="AJ483" s="0" t="str">
        <f aca="false">PROPER(AI483)</f>
        <v>Emergency</v>
      </c>
      <c r="AK483" s="0" t="s">
        <v>58</v>
      </c>
      <c r="AL483" s="0" t="str">
        <f aca="false">PROPER(AK483)</f>
        <v>Fleet Owner</v>
      </c>
      <c r="AM483" s="0" t="s">
        <v>2324</v>
      </c>
      <c r="AN483" s="0" t="str">
        <f aca="false">IF(ISBLANK(AM483),"Unknown",AM483)</f>
        <v>Logistics Convoy</v>
      </c>
      <c r="AO483" s="0" t="s">
        <v>149</v>
      </c>
      <c r="AP483" s="0" t="str">
        <f aca="false">IF(ISBLANK(AO483),"Unknown",AO483)</f>
        <v>Senior </v>
      </c>
      <c r="AQ483" s="0" t="n">
        <v>30000</v>
      </c>
      <c r="AR483" s="5" t="n">
        <f aca="false">IF(ISBLANK(AQ483),AVERAGEIF(M483:M1482,M483,AQ483:AQ1482),AQ483)</f>
        <v>30000</v>
      </c>
      <c r="AS483" s="0" t="n">
        <v>40000</v>
      </c>
      <c r="AT483" s="5" t="n">
        <f aca="false">IF(ISBLANK(AS483),AVERAGE(AS483:AS1482),AS483)</f>
        <v>40000</v>
      </c>
      <c r="AV483" s="0" t="str">
        <f aca="false">PROPER(IF(ISBLANK(AU483),"No",AU483))</f>
        <v>No</v>
      </c>
      <c r="AW483" s="0" t="n">
        <v>5000</v>
      </c>
      <c r="AX483" s="5" t="n">
        <f aca="false">IF(ISBLANK(AW483),0,AW483)</f>
        <v>5000</v>
      </c>
      <c r="AZ483" s="0" t="str">
        <f aca="false">UPPER(IF(ISBLANK(AY483),"NONE",AY483))</f>
        <v>NONE</v>
      </c>
      <c r="BA483" s="7" t="n">
        <v>45876</v>
      </c>
      <c r="BB483" s="7" t="n">
        <f aca="false">IF(ISBLANK(BA483),"No Follow Up Needed",BA483)</f>
        <v>45876</v>
      </c>
      <c r="BC483" s="0" t="s">
        <v>50</v>
      </c>
      <c r="BD483" s="0" t="str">
        <f aca="false">PROPER(IF(ISBLANK(BC483),"Unknown",BC483))</f>
        <v>No</v>
      </c>
      <c r="BE483" s="0" t="s">
        <v>116</v>
      </c>
      <c r="BF483" s="0" t="str">
        <f aca="false">IF(ISBLANK(BE483),"No comments",BE483)</f>
        <v>Needs tire alignment</v>
      </c>
      <c r="BG483" s="0" t="s">
        <v>172</v>
      </c>
      <c r="BH483" s="0" t="str">
        <f aca="false">IF(ISBLANK(BG483),"No comments",BG483)</f>
        <v>Always late</v>
      </c>
      <c r="BI483" s="0" t="s">
        <v>63</v>
      </c>
      <c r="BJ483" s="0" t="str">
        <f aca="false">IF(ISBLANK(BI483),"Not Mentioned",BI483)</f>
        <v>Yes</v>
      </c>
      <c r="BL483" s="0" t="str">
        <f aca="false">PROPER(IF(ISBLANK(BK483),"Not Mentioned",BK483))</f>
        <v>Not Mentioned</v>
      </c>
      <c r="BM483" s="0" t="s">
        <v>50</v>
      </c>
      <c r="BN483" s="0" t="str">
        <f aca="false">PROPER(IF(ISBLANK(BM483),"Not Mentioned",BM483))</f>
        <v>No</v>
      </c>
      <c r="BO483" s="0" t="s">
        <v>2321</v>
      </c>
      <c r="BP483" s="0" t="str">
        <f aca="false">IF(ISBLANK(BO483),"One-Time Plan",BO483)</f>
        <v>One-Time Plan</v>
      </c>
      <c r="BQ483" s="0" t="s">
        <v>190</v>
      </c>
      <c r="BR483" s="0" t="str">
        <f aca="false">PROPER(IF(ISBLANK(BQ483),"No",BQ483))</f>
        <v>Yes</v>
      </c>
    </row>
    <row r="484" customFormat="false" ht="15" hidden="false" customHeight="false" outlineLevel="0" collapsed="false">
      <c r="A484" s="0" t="s">
        <v>1237</v>
      </c>
      <c r="B484" s="2" t="n">
        <v>45935</v>
      </c>
      <c r="C484" s="2" t="str">
        <f aca="false">TEXT(B484,"dd/mm/yyyy")</f>
        <v>05/10/2025</v>
      </c>
      <c r="D484" s="0" t="s">
        <v>105</v>
      </c>
      <c r="E484" s="0" t="n">
        <v>8098184081</v>
      </c>
      <c r="F484" s="0" t="s">
        <v>139</v>
      </c>
      <c r="G484" s="0" t="s">
        <v>2323</v>
      </c>
      <c r="H484" s="0" t="s">
        <v>1238</v>
      </c>
      <c r="I484" s="0" t="s">
        <v>107</v>
      </c>
      <c r="J484" s="0" t="s">
        <v>2317</v>
      </c>
      <c r="K484" s="3" t="str">
        <f aca="false" t="array" ref="K484:K484">IFERROR(IF(J484&lt;&gt;"",J484,INDEX(J484:J1483,MATCH(1,(F484:F1483=F484)*(I484:I1483=I484)*(L484:L1483=L484)*(J484:J1483&lt;&gt;""),0))),"Not Found")</f>
        <v>Suspension Noise</v>
      </c>
      <c r="L484" s="3" t="s">
        <v>154</v>
      </c>
      <c r="M484" s="0" t="str">
        <f aca="false">PROPER(L484)</f>
        <v>Air Filter</v>
      </c>
      <c r="O484" s="0" t="e">
        <f aca="false" t="array" ref="O484:O484">IF(N484&lt;&gt;"",N484,_xlfn.xlookup(1,(L484:L1483=L484)*(N484:N1483&lt;&gt;""),N484:N1483,"Not Found"))</f>
        <v>#NAME?</v>
      </c>
      <c r="P484" s="4" t="n">
        <v>44217</v>
      </c>
      <c r="Q484" s="0" t="s">
        <v>49</v>
      </c>
      <c r="R484" s="0" t="str">
        <f aca="false">PROPER(Q484)</f>
        <v>Transfer</v>
      </c>
      <c r="S484" s="0" t="s">
        <v>63</v>
      </c>
      <c r="T484" s="0" t="n">
        <v>2</v>
      </c>
      <c r="U484" s="5" t="n">
        <f aca="false">IF(ISBLANK(T484),AVERAGE(T484:T1483),T484)</f>
        <v>2</v>
      </c>
      <c r="V484" s="0" t="n">
        <v>3.3</v>
      </c>
      <c r="W484" s="0" t="s">
        <v>51</v>
      </c>
      <c r="X484" s="0" t="str">
        <f aca="false">IF(ISBLANK(W484),"No remarks",W484)</f>
        <v>Recommended further checks</v>
      </c>
      <c r="Y484" s="0" t="s">
        <v>93</v>
      </c>
      <c r="AA484" s="0" t="str">
        <f aca="false">PROPER(IF(ISBLANK(Z484),"Location Unavailable",Z484))</f>
        <v>Location Unavailable</v>
      </c>
      <c r="AB484" s="0" t="s">
        <v>95</v>
      </c>
      <c r="AC484" s="6" t="str">
        <f aca="false">PROPER(AB484)</f>
        <v>Road Sign</v>
      </c>
      <c r="AD484" s="6" t="n">
        <v>45</v>
      </c>
      <c r="AE484" s="5" t="n">
        <f aca="false">IF(ISBLANK(AD484),AVERAGEIF(L484:L1483,L484,AD484:AD1483),AD484)</f>
        <v>45</v>
      </c>
      <c r="AF484" s="0" t="s">
        <v>96</v>
      </c>
      <c r="AG484" s="0" t="str">
        <f aca="false">PROPER(AF484)</f>
        <v>Ordered</v>
      </c>
      <c r="AH484" s="0" t="s">
        <v>148</v>
      </c>
      <c r="AI484" s="0" t="s">
        <v>98</v>
      </c>
      <c r="AJ484" s="0" t="str">
        <f aca="false">PROPER(AI484)</f>
        <v>Emergency</v>
      </c>
      <c r="AK484" s="0" t="s">
        <v>99</v>
      </c>
      <c r="AL484" s="0" t="str">
        <f aca="false">PROPER(AK484)</f>
        <v>Uber Driver</v>
      </c>
      <c r="AM484" s="0" t="s">
        <v>2326</v>
      </c>
      <c r="AN484" s="0" t="str">
        <f aca="false">IF(ISBLANK(AM484),"Unknown",AM484)</f>
        <v>Government Convoy</v>
      </c>
      <c r="AP484" s="0" t="str">
        <f aca="false">IF(ISBLANK(AO484),"Unknown",AO484)</f>
        <v>Unknown</v>
      </c>
      <c r="AQ484" s="0" t="n">
        <v>30000</v>
      </c>
      <c r="AR484" s="5" t="n">
        <f aca="false">IF(ISBLANK(AQ484),AVERAGEIF(M484:M1483,M484,AQ484:AQ1483),AQ484)</f>
        <v>30000</v>
      </c>
      <c r="AS484" s="0" t="n">
        <v>20000</v>
      </c>
      <c r="AT484" s="5" t="n">
        <f aca="false">IF(ISBLANK(AS484),AVERAGE(AS484:AS1483),AS484)</f>
        <v>20000</v>
      </c>
      <c r="AU484" s="0" t="s">
        <v>82</v>
      </c>
      <c r="AV484" s="0" t="str">
        <f aca="false">PROPER(IF(ISBLANK(AU484),"No",AU484))</f>
        <v>Yes</v>
      </c>
      <c r="AW484" s="0" t="n">
        <v>10000</v>
      </c>
      <c r="AX484" s="5" t="n">
        <f aca="false">IF(ISBLANK(AW484),0,AW484)</f>
        <v>10000</v>
      </c>
      <c r="AY484" s="0" t="s">
        <v>60</v>
      </c>
      <c r="AZ484" s="0" t="str">
        <f aca="false">UPPER(IF(ISBLANK(AY484),"NONE",AY484))</f>
        <v>NONE</v>
      </c>
      <c r="BA484" s="7" t="n">
        <v>45828</v>
      </c>
      <c r="BB484" s="7" t="n">
        <f aca="false">IF(ISBLANK(BA484),"No Follow Up Needed",BA484)</f>
        <v>45828</v>
      </c>
      <c r="BC484" s="0" t="s">
        <v>50</v>
      </c>
      <c r="BD484" s="0" t="str">
        <f aca="false">PROPER(IF(ISBLANK(BC484),"Unknown",BC484))</f>
        <v>No</v>
      </c>
      <c r="BF484" s="0" t="str">
        <f aca="false">IF(ISBLANK(BE484),"No comments",BE484)</f>
        <v>No comments</v>
      </c>
      <c r="BG484" s="0" t="s">
        <v>172</v>
      </c>
      <c r="BH484" s="0" t="str">
        <f aca="false">IF(ISBLANK(BG484),"No comments",BG484)</f>
        <v>Always late</v>
      </c>
      <c r="BI484" s="0" t="s">
        <v>63</v>
      </c>
      <c r="BJ484" s="0" t="str">
        <f aca="false">IF(ISBLANK(BI484),"Not Mentioned",BI484)</f>
        <v>Yes</v>
      </c>
      <c r="BK484" s="0" t="s">
        <v>82</v>
      </c>
      <c r="BL484" s="0" t="str">
        <f aca="false">PROPER(IF(ISBLANK(BK484),"Not Mentioned",BK484))</f>
        <v>Yes</v>
      </c>
      <c r="BM484" s="0" t="s">
        <v>63</v>
      </c>
      <c r="BN484" s="0" t="str">
        <f aca="false">PROPER(IF(ISBLANK(BM484),"Not Mentioned",BM484))</f>
        <v>Yes</v>
      </c>
      <c r="BO484" s="0" t="s">
        <v>2318</v>
      </c>
      <c r="BP484" s="0" t="str">
        <f aca="false">IF(ISBLANK(BO484),"One-Time Plan",BO484)</f>
        <v>Gold</v>
      </c>
      <c r="BQ484" s="0" t="s">
        <v>50</v>
      </c>
      <c r="BR484" s="0" t="str">
        <f aca="false">PROPER(IF(ISBLANK(BQ484),"No",BQ484))</f>
        <v>No</v>
      </c>
    </row>
    <row r="485" customFormat="false" ht="15" hidden="false" customHeight="false" outlineLevel="0" collapsed="false">
      <c r="A485" s="0" t="s">
        <v>1239</v>
      </c>
      <c r="B485" s="2" t="s">
        <v>232</v>
      </c>
      <c r="C485" s="2" t="str">
        <f aca="false">TEXT(B485,"dd/mm/yyyy")</f>
        <v>30/01/2025</v>
      </c>
      <c r="D485" s="0" t="s">
        <v>42</v>
      </c>
      <c r="E485" s="0" t="n">
        <v>8042520097</v>
      </c>
      <c r="F485" s="0" t="s">
        <v>122</v>
      </c>
      <c r="G485" s="0" t="s">
        <v>2316</v>
      </c>
      <c r="H485" s="0" t="s">
        <v>1240</v>
      </c>
      <c r="I485" s="0" t="s">
        <v>69</v>
      </c>
      <c r="J485" s="0" t="s">
        <v>2325</v>
      </c>
      <c r="K485" s="3" t="str">
        <f aca="false" t="array" ref="K485:K485">IFERROR(IF(J485&lt;&gt;"",J485,INDEX(J485:J1484,MATCH(1,(F485:F1484=F485)*(I485:I1484=I485)*(L485:L1484=L485)*(J485:J1484&lt;&gt;""),0))),"Not Found")</f>
        <v>Engine Knocking</v>
      </c>
      <c r="L485" s="3" t="s">
        <v>154</v>
      </c>
      <c r="M485" s="0" t="str">
        <f aca="false">PROPER(L485)</f>
        <v>Air Filter</v>
      </c>
      <c r="N485" s="3" t="s">
        <v>48</v>
      </c>
      <c r="O485" s="0" t="str">
        <f aca="false" t="array" ref="O485:O485">IF(N485&lt;&gt;"",N485,_xlfn.xlookup(1,(L485:L1484=L485)*(N485:N1484&lt;&gt;""),N485:N1484,"Not Found"))</f>
        <v>Uche</v>
      </c>
      <c r="P485" s="4" t="n">
        <v>30787</v>
      </c>
      <c r="Q485" s="0" t="s">
        <v>91</v>
      </c>
      <c r="R485" s="0" t="str">
        <f aca="false">PROPER(Q485)</f>
        <v>Pos</v>
      </c>
      <c r="S485" s="0" t="s">
        <v>50</v>
      </c>
      <c r="T485" s="0" t="n">
        <v>4</v>
      </c>
      <c r="U485" s="5" t="n">
        <f aca="false">IF(ISBLANK(T485),AVERAGE(T485:T1484),T485)</f>
        <v>4</v>
      </c>
      <c r="V485" s="0" t="n">
        <v>5.3</v>
      </c>
      <c r="W485" s="0" t="s">
        <v>92</v>
      </c>
      <c r="X485" s="0" t="str">
        <f aca="false">IF(ISBLANK(W485),"No remarks",W485)</f>
        <v>Urgent service</v>
      </c>
      <c r="Y485" s="0" t="s">
        <v>73</v>
      </c>
      <c r="Z485" s="0" t="s">
        <v>136</v>
      </c>
      <c r="AA485" s="0" t="str">
        <f aca="false">PROPER(IF(ISBLANK(Z485),"Location Unavailable",Z485))</f>
        <v>Vip Section</v>
      </c>
      <c r="AB485" s="0" t="s">
        <v>54</v>
      </c>
      <c r="AC485" s="6" t="str">
        <f aca="false">PROPER(AB485)</f>
        <v>Mechanic Referral</v>
      </c>
      <c r="AD485" s="6" t="n">
        <v>45</v>
      </c>
      <c r="AE485" s="5" t="n">
        <f aca="false">IF(ISBLANK(AD485),AVERAGEIF(L485:L1484,L485,AD485:AD1484),AD485)</f>
        <v>45</v>
      </c>
      <c r="AF485" s="0" t="s">
        <v>112</v>
      </c>
      <c r="AG485" s="0" t="str">
        <f aca="false">PROPER(AF485)</f>
        <v>Unavailable</v>
      </c>
      <c r="AH485" s="0" t="s">
        <v>56</v>
      </c>
      <c r="AI485" s="0" t="s">
        <v>128</v>
      </c>
      <c r="AJ485" s="0" t="str">
        <f aca="false">PROPER(AI485)</f>
        <v>Normal</v>
      </c>
      <c r="AK485" s="0" t="s">
        <v>196</v>
      </c>
      <c r="AL485" s="0" t="str">
        <f aca="false">PROPER(AK485)</f>
        <v>First Time</v>
      </c>
      <c r="AM485" s="0" t="s">
        <v>177</v>
      </c>
      <c r="AN485" s="0" t="str">
        <f aca="false">IF(ISBLANK(AM485),"Unknown",AM485)</f>
        <v>Private</v>
      </c>
      <c r="AP485" s="0" t="str">
        <f aca="false">IF(ISBLANK(AO485),"Unknown",AO485)</f>
        <v>Unknown</v>
      </c>
      <c r="AQ485" s="0" t="n">
        <v>30000</v>
      </c>
      <c r="AR485" s="5" t="n">
        <f aca="false">IF(ISBLANK(AQ485),AVERAGEIF(M485:M1484,M485,AQ485:AQ1484),AQ485)</f>
        <v>30000</v>
      </c>
      <c r="AS485" s="0" t="n">
        <v>30000</v>
      </c>
      <c r="AT485" s="5" t="n">
        <f aca="false">IF(ISBLANK(AS485),AVERAGE(AS485:AS1484),AS485)</f>
        <v>30000</v>
      </c>
      <c r="AU485" s="0" t="s">
        <v>61</v>
      </c>
      <c r="AV485" s="0" t="str">
        <f aca="false">PROPER(IF(ISBLANK(AU485),"No",AU485))</f>
        <v>No</v>
      </c>
      <c r="AW485" s="0" t="n">
        <v>5000</v>
      </c>
      <c r="AX485" s="5" t="n">
        <f aca="false">IF(ISBLANK(AW485),0,AW485)</f>
        <v>5000</v>
      </c>
      <c r="AY485" s="0" t="s">
        <v>80</v>
      </c>
      <c r="AZ485" s="0" t="str">
        <f aca="false">UPPER(IF(ISBLANK(AY485),"NONE",AY485))</f>
        <v>PROMO10</v>
      </c>
      <c r="BB485" s="7" t="str">
        <f aca="false">IF(ISBLANK(BA485),"No Follow Up Needed",BA485)</f>
        <v>No Follow Up Needed</v>
      </c>
      <c r="BC485" s="0" t="s">
        <v>50</v>
      </c>
      <c r="BD485" s="0" t="str">
        <f aca="false">PROPER(IF(ISBLANK(BC485),"Unknown",BC485))</f>
        <v>No</v>
      </c>
      <c r="BF485" s="0" t="str">
        <f aca="false">IF(ISBLANK(BE485),"No comments",BE485)</f>
        <v>No comments</v>
      </c>
      <c r="BH485" s="0" t="str">
        <f aca="false">IF(ISBLANK(BG485),"No comments",BG485)</f>
        <v>No comments</v>
      </c>
      <c r="BI485" s="0" t="s">
        <v>50</v>
      </c>
      <c r="BJ485" s="0" t="str">
        <f aca="false">IF(ISBLANK(BI485),"Not Mentioned",BI485)</f>
        <v>No</v>
      </c>
      <c r="BK485" s="0" t="s">
        <v>63</v>
      </c>
      <c r="BL485" s="0" t="str">
        <f aca="false">PROPER(IF(ISBLANK(BK485),"Not Mentioned",BK485))</f>
        <v>Yes</v>
      </c>
      <c r="BM485" s="0" t="s">
        <v>50</v>
      </c>
      <c r="BN485" s="0" t="str">
        <f aca="false">PROPER(IF(ISBLANK(BM485),"Not Mentioned",BM485))</f>
        <v>No</v>
      </c>
      <c r="BP485" s="0" t="str">
        <f aca="false">IF(ISBLANK(BO485),"One-Time Plan",BO485)</f>
        <v>One-Time Plan</v>
      </c>
      <c r="BQ485" s="0" t="s">
        <v>190</v>
      </c>
      <c r="BR485" s="0" t="str">
        <f aca="false">PROPER(IF(ISBLANK(BQ485),"No",BQ485))</f>
        <v>Yes</v>
      </c>
    </row>
    <row r="486" customFormat="false" ht="15" hidden="false" customHeight="false" outlineLevel="0" collapsed="false">
      <c r="A486" s="0" t="s">
        <v>1241</v>
      </c>
      <c r="B486" s="2" t="n">
        <v>45759</v>
      </c>
      <c r="C486" s="2" t="str">
        <f aca="false">TEXT(B486,"dd/mm/yyyy")</f>
        <v>12/04/2025</v>
      </c>
      <c r="D486" s="0" t="s">
        <v>42</v>
      </c>
      <c r="E486" s="0" t="n">
        <v>8068750274</v>
      </c>
      <c r="F486" s="0" t="s">
        <v>43</v>
      </c>
      <c r="G486" s="0" t="s">
        <v>2315</v>
      </c>
      <c r="H486" s="0" t="s">
        <v>1242</v>
      </c>
      <c r="I486" s="0" t="s">
        <v>45</v>
      </c>
      <c r="J486" s="0" t="s">
        <v>87</v>
      </c>
      <c r="K486" s="3" t="str">
        <f aca="false" t="array" ref="K486:K486">IFERROR(IF(J486&lt;&gt;"",J486,INDEX(J486:J1485,MATCH(1,(F486:F1485=F486)*(I486:I1485=I486)*(L486:L1485=L486)*(J486:J1485&lt;&gt;""),0))),"Not Found")</f>
        <v>Oil Change</v>
      </c>
      <c r="L486" s="3" t="s">
        <v>189</v>
      </c>
      <c r="M486" s="0" t="str">
        <f aca="false">PROPER(L486)</f>
        <v>Battery</v>
      </c>
      <c r="N486" s="3" t="s">
        <v>48</v>
      </c>
      <c r="O486" s="0" t="str">
        <f aca="false" t="array" ref="O486:O486">IF(N486&lt;&gt;"",N486,_xlfn.xlookup(1,(L486:L1485=L486)*(N486:N1485&lt;&gt;""),N486:N1485,"Not Found"))</f>
        <v>Uche</v>
      </c>
      <c r="P486" s="4" t="n">
        <v>118497</v>
      </c>
      <c r="Q486" s="0" t="s">
        <v>166</v>
      </c>
      <c r="R486" s="0" t="str">
        <f aca="false">PROPER(Q486)</f>
        <v>Transfer</v>
      </c>
      <c r="S486" s="0" t="s">
        <v>50</v>
      </c>
      <c r="U486" s="5" t="n">
        <f aca="false">IF(ISBLANK(T486),AVERAGE(T486:T1485),T486)</f>
        <v>3.09882352941176</v>
      </c>
      <c r="V486" s="0" t="n">
        <v>3.7</v>
      </c>
      <c r="W486" s="0" t="s">
        <v>111</v>
      </c>
      <c r="X486" s="0" t="str">
        <f aca="false">IF(ISBLANK(W486),"No remarks",W486)</f>
        <v>Changed all filters</v>
      </c>
      <c r="Y486" s="0" t="s">
        <v>93</v>
      </c>
      <c r="Z486" s="0" t="s">
        <v>136</v>
      </c>
      <c r="AA486" s="0" t="str">
        <f aca="false">PROPER(IF(ISBLANK(Z486),"Location Unavailable",Z486))</f>
        <v>Vip Section</v>
      </c>
      <c r="AB486" s="0" t="s">
        <v>54</v>
      </c>
      <c r="AC486" s="6" t="str">
        <f aca="false">PROPER(AB486)</f>
        <v>Mechanic Referral</v>
      </c>
      <c r="AD486" s="6" t="n">
        <v>60</v>
      </c>
      <c r="AE486" s="5" t="n">
        <f aca="false">IF(ISBLANK(AD486),AVERAGEIF(L486:L1485,L486,AD486:AD1485),AD486)</f>
        <v>60</v>
      </c>
      <c r="AF486" s="0" t="s">
        <v>160</v>
      </c>
      <c r="AG486" s="0" t="str">
        <f aca="false">PROPER(AF486)</f>
        <v>Availaible</v>
      </c>
      <c r="AH486" s="0" t="s">
        <v>155</v>
      </c>
      <c r="AI486" s="0" t="s">
        <v>98</v>
      </c>
      <c r="AJ486" s="0" t="str">
        <f aca="false">PROPER(AI486)</f>
        <v>Emergency</v>
      </c>
      <c r="AK486" s="0" t="s">
        <v>58</v>
      </c>
      <c r="AL486" s="0" t="str">
        <f aca="false">PROPER(AK486)</f>
        <v>Fleet Owner</v>
      </c>
      <c r="AM486" s="0" t="s">
        <v>2324</v>
      </c>
      <c r="AN486" s="0" t="str">
        <f aca="false">IF(ISBLANK(AM486),"Unknown",AM486)</f>
        <v>Logistics Convoy</v>
      </c>
      <c r="AO486" s="0" t="s">
        <v>79</v>
      </c>
      <c r="AP486" s="0" t="str">
        <f aca="false">IF(ISBLANK(AO486),"Unknown",AO486)</f>
        <v>Specialist</v>
      </c>
      <c r="AQ486" s="0" t="n">
        <v>15000</v>
      </c>
      <c r="AR486" s="5" t="n">
        <f aca="false">IF(ISBLANK(AQ486),AVERAGEIF(M486:M1485,M486,AQ486:AQ1485),AQ486)</f>
        <v>15000</v>
      </c>
      <c r="AT486" s="5" t="n">
        <f aca="false">IF(ISBLANK(AS486),AVERAGE(AS486:AS1485),AS486)</f>
        <v>31553.738317757</v>
      </c>
      <c r="AU486" s="0" t="s">
        <v>82</v>
      </c>
      <c r="AV486" s="0" t="str">
        <f aca="false">PROPER(IF(ISBLANK(AU486),"No",AU486))</f>
        <v>Yes</v>
      </c>
      <c r="AW486" s="0" t="n">
        <v>10000</v>
      </c>
      <c r="AX486" s="5" t="n">
        <f aca="false">IF(ISBLANK(AW486),0,AW486)</f>
        <v>10000</v>
      </c>
      <c r="AY486" s="0" t="s">
        <v>60</v>
      </c>
      <c r="AZ486" s="0" t="str">
        <f aca="false">UPPER(IF(ISBLANK(AY486),"NONE",AY486))</f>
        <v>NONE</v>
      </c>
      <c r="BA486" s="7" t="n">
        <v>45949</v>
      </c>
      <c r="BB486" s="7" t="n">
        <f aca="false">IF(ISBLANK(BA486),"No Follow Up Needed",BA486)</f>
        <v>45949</v>
      </c>
      <c r="BC486" s="0" t="s">
        <v>82</v>
      </c>
      <c r="BD486" s="0" t="str">
        <f aca="false">PROPER(IF(ISBLANK(BC486),"Unknown",BC486))</f>
        <v>Yes</v>
      </c>
      <c r="BE486" s="0" t="s">
        <v>171</v>
      </c>
      <c r="BF486" s="0" t="str">
        <f aca="false">IF(ISBLANK(BE486),"No comments",BE486)</f>
        <v>Shock absorber weakening</v>
      </c>
      <c r="BH486" s="0" t="str">
        <f aca="false">IF(ISBLANK(BG486),"No comments",BG486)</f>
        <v>No comments</v>
      </c>
      <c r="BI486" s="0" t="s">
        <v>50</v>
      </c>
      <c r="BJ486" s="0" t="str">
        <f aca="false">IF(ISBLANK(BI486),"Not Mentioned",BI486)</f>
        <v>No</v>
      </c>
      <c r="BK486" s="0" t="s">
        <v>61</v>
      </c>
      <c r="BL486" s="0" t="str">
        <f aca="false">PROPER(IF(ISBLANK(BK486),"Not Mentioned",BK486))</f>
        <v>No</v>
      </c>
      <c r="BM486" s="0" t="s">
        <v>63</v>
      </c>
      <c r="BN486" s="0" t="str">
        <f aca="false">PROPER(IF(ISBLANK(BM486),"Not Mentioned",BM486))</f>
        <v>Yes</v>
      </c>
      <c r="BO486" s="0" t="s">
        <v>2321</v>
      </c>
      <c r="BP486" s="0" t="str">
        <f aca="false">IF(ISBLANK(BO486),"One-Time Plan",BO486)</f>
        <v>One-Time Plan</v>
      </c>
      <c r="BQ486" s="0" t="s">
        <v>198</v>
      </c>
      <c r="BR486" s="0" t="str">
        <f aca="false">PROPER(IF(ISBLANK(BQ486),"No",BQ486))</f>
        <v>Followed Up</v>
      </c>
    </row>
    <row r="487" customFormat="false" ht="15" hidden="false" customHeight="false" outlineLevel="0" collapsed="false">
      <c r="A487" s="0" t="s">
        <v>1243</v>
      </c>
      <c r="B487" s="2" t="s">
        <v>799</v>
      </c>
      <c r="C487" s="2" t="str">
        <f aca="false">TEXT(B487,"dd/mm/yyyy")</f>
        <v>19/02/2025</v>
      </c>
      <c r="D487" s="0" t="s">
        <v>163</v>
      </c>
      <c r="E487" s="0" t="n">
        <v>8028824809</v>
      </c>
      <c r="F487" s="0" t="s">
        <v>67</v>
      </c>
      <c r="G487" s="0" t="s">
        <v>2316</v>
      </c>
      <c r="H487" s="0" t="s">
        <v>1244</v>
      </c>
      <c r="I487" s="0" t="s">
        <v>134</v>
      </c>
      <c r="J487" s="0" t="s">
        <v>2317</v>
      </c>
      <c r="K487" s="3" t="str">
        <f aca="false" t="array" ref="K487:K487">IFERROR(IF(J487&lt;&gt;"",J487,INDEX(J487:J1486,MATCH(1,(F487:F1486=F487)*(I487:I1486=I487)*(L487:L1486=L487)*(J487:J1486&lt;&gt;""),0))),"Not Found")</f>
        <v>Suspension Noise</v>
      </c>
      <c r="L487" s="3" t="s">
        <v>142</v>
      </c>
      <c r="M487" s="0" t="str">
        <f aca="false">PROPER(L487)</f>
        <v>Oil Filter, Brake Pads</v>
      </c>
      <c r="N487" s="3" t="s">
        <v>48</v>
      </c>
      <c r="O487" s="0" t="str">
        <f aca="false" t="array" ref="O487:O487">IF(N487&lt;&gt;"",N487,_xlfn.xlookup(1,(L487:L1486=L487)*(N487:N1486&lt;&gt;""),N487:N1486,"Not Found"))</f>
        <v>Uche</v>
      </c>
      <c r="P487" s="4" t="n">
        <v>99712</v>
      </c>
      <c r="Q487" s="0" t="s">
        <v>72</v>
      </c>
      <c r="R487" s="0" t="str">
        <f aca="false">PROPER(Q487)</f>
        <v>Pos</v>
      </c>
      <c r="S487" s="0" t="s">
        <v>63</v>
      </c>
      <c r="T487" s="0" t="n">
        <v>3</v>
      </c>
      <c r="U487" s="5" t="n">
        <f aca="false">IF(ISBLANK(T487),AVERAGE(T487:T1486),T487)</f>
        <v>3</v>
      </c>
      <c r="V487" s="0" t="n">
        <v>3.1</v>
      </c>
      <c r="W487" s="0" t="s">
        <v>51</v>
      </c>
      <c r="X487" s="0" t="str">
        <f aca="false">IF(ISBLANK(W487),"No remarks",W487)</f>
        <v>Recommended further checks</v>
      </c>
      <c r="Y487" s="0" t="s">
        <v>73</v>
      </c>
      <c r="Z487" s="0" t="s">
        <v>136</v>
      </c>
      <c r="AA487" s="0" t="str">
        <f aca="false">PROPER(IF(ISBLANK(Z487),"Location Unavailable",Z487))</f>
        <v>Vip Section</v>
      </c>
      <c r="AB487" s="0" t="s">
        <v>126</v>
      </c>
      <c r="AC487" s="6" t="str">
        <f aca="false">PROPER(AB487)</f>
        <v>Whatsapp</v>
      </c>
      <c r="AD487" s="6" t="n">
        <v>45</v>
      </c>
      <c r="AE487" s="5" t="n">
        <f aca="false">IF(ISBLANK(AD487),AVERAGEIF(L487:L1486,L487,AD487:AD1486),AD487)</f>
        <v>45</v>
      </c>
      <c r="AF487" s="0" t="s">
        <v>112</v>
      </c>
      <c r="AG487" s="0" t="str">
        <f aca="false">PROPER(AF487)</f>
        <v>Unavailable</v>
      </c>
      <c r="AH487" s="0" t="s">
        <v>148</v>
      </c>
      <c r="AI487" s="0" t="s">
        <v>98</v>
      </c>
      <c r="AJ487" s="0" t="str">
        <f aca="false">PROPER(AI487)</f>
        <v>Emergency</v>
      </c>
      <c r="AK487" s="0" t="s">
        <v>196</v>
      </c>
      <c r="AL487" s="0" t="str">
        <f aca="false">PROPER(AK487)</f>
        <v>First Time</v>
      </c>
      <c r="AM487" s="0" t="s">
        <v>2326</v>
      </c>
      <c r="AN487" s="0" t="str">
        <f aca="false">IF(ISBLANK(AM487),"Unknown",AM487)</f>
        <v>Government Convoy</v>
      </c>
      <c r="AO487" s="0" t="s">
        <v>79</v>
      </c>
      <c r="AP487" s="0" t="str">
        <f aca="false">IF(ISBLANK(AO487),"Unknown",AO487)</f>
        <v>Specialist</v>
      </c>
      <c r="AQ487" s="0" t="n">
        <v>15000</v>
      </c>
      <c r="AR487" s="5" t="n">
        <f aca="false">IF(ISBLANK(AQ487),AVERAGEIF(M487:M1486,M487,AQ487:AQ1486),AQ487)</f>
        <v>15000</v>
      </c>
      <c r="AS487" s="0" t="n">
        <v>30000</v>
      </c>
      <c r="AT487" s="5" t="n">
        <f aca="false">IF(ISBLANK(AS487),AVERAGE(AS487:AS1486),AS487)</f>
        <v>30000</v>
      </c>
      <c r="AU487" s="0" t="s">
        <v>82</v>
      </c>
      <c r="AV487" s="0" t="str">
        <f aca="false">PROPER(IF(ISBLANK(AU487),"No",AU487))</f>
        <v>Yes</v>
      </c>
      <c r="AW487" s="0" t="n">
        <v>5000</v>
      </c>
      <c r="AX487" s="5" t="n">
        <f aca="false">IF(ISBLANK(AW487),0,AW487)</f>
        <v>5000</v>
      </c>
      <c r="AY487" s="0" t="s">
        <v>60</v>
      </c>
      <c r="AZ487" s="0" t="str">
        <f aca="false">UPPER(IF(ISBLANK(AY487),"NONE",AY487))</f>
        <v>NONE</v>
      </c>
      <c r="BA487" s="7" t="n">
        <v>45816</v>
      </c>
      <c r="BB487" s="7" t="n">
        <f aca="false">IF(ISBLANK(BA487),"No Follow Up Needed",BA487)</f>
        <v>45816</v>
      </c>
      <c r="BC487" s="0" t="s">
        <v>61</v>
      </c>
      <c r="BD487" s="0" t="str">
        <f aca="false">PROPER(IF(ISBLANK(BC487),"Unknown",BC487))</f>
        <v>No</v>
      </c>
      <c r="BF487" s="0" t="str">
        <f aca="false">IF(ISBLANK(BE487),"No comments",BE487)</f>
        <v>No comments</v>
      </c>
      <c r="BH487" s="0" t="str">
        <f aca="false">IF(ISBLANK(BG487),"No comments",BG487)</f>
        <v>No comments</v>
      </c>
      <c r="BI487" s="0" t="s">
        <v>63</v>
      </c>
      <c r="BJ487" s="0" t="str">
        <f aca="false">IF(ISBLANK(BI487),"Not Mentioned",BI487)</f>
        <v>Yes</v>
      </c>
      <c r="BK487" s="0" t="s">
        <v>63</v>
      </c>
      <c r="BL487" s="0" t="str">
        <f aca="false">PROPER(IF(ISBLANK(BK487),"Not Mentioned",BK487))</f>
        <v>Yes</v>
      </c>
      <c r="BM487" s="0" t="s">
        <v>63</v>
      </c>
      <c r="BN487" s="0" t="str">
        <f aca="false">PROPER(IF(ISBLANK(BM487),"Not Mentioned",BM487))</f>
        <v>Yes</v>
      </c>
      <c r="BO487" s="0" t="s">
        <v>2321</v>
      </c>
      <c r="BP487" s="0" t="str">
        <f aca="false">IF(ISBLANK(BO487),"One-Time Plan",BO487)</f>
        <v>One-Time Plan</v>
      </c>
      <c r="BQ487" s="0" t="s">
        <v>63</v>
      </c>
      <c r="BR487" s="0" t="str">
        <f aca="false">PROPER(IF(ISBLANK(BQ487),"No",BQ487))</f>
        <v>Yes</v>
      </c>
    </row>
    <row r="488" customFormat="false" ht="15" hidden="false" customHeight="false" outlineLevel="0" collapsed="false">
      <c r="A488" s="0" t="s">
        <v>1245</v>
      </c>
      <c r="B488" s="2" t="n">
        <v>45667</v>
      </c>
      <c r="C488" s="2" t="str">
        <f aca="false">TEXT(B488,"dd/mm/yyyy")</f>
        <v>10/01/2025</v>
      </c>
      <c r="D488" s="0" t="s">
        <v>163</v>
      </c>
      <c r="E488" s="0" t="n">
        <v>8073188059</v>
      </c>
      <c r="F488" s="0" t="s">
        <v>122</v>
      </c>
      <c r="G488" s="0" t="s">
        <v>2316</v>
      </c>
      <c r="H488" s="0" t="s">
        <v>578</v>
      </c>
      <c r="I488" s="0" t="s">
        <v>107</v>
      </c>
      <c r="J488" s="0" t="s">
        <v>2322</v>
      </c>
      <c r="K488" s="3" t="str">
        <f aca="false" t="array" ref="K488:K488">IFERROR(IF(J488&lt;&gt;"",J488,INDEX(J488:J1487,MATCH(1,(F488:F1487=F488)*(I488:I1487=I488)*(L488:L1487=L488)*(J488:J1487&lt;&gt;""),0))),"Not Found")</f>
        <v>Brake Failure</v>
      </c>
      <c r="L488" s="3" t="s">
        <v>154</v>
      </c>
      <c r="M488" s="0" t="str">
        <f aca="false">PROPER(L488)</f>
        <v>Air Filter</v>
      </c>
      <c r="O488" s="0" t="e">
        <f aca="false" t="array" ref="O488:O488">IF(N488&lt;&gt;"",N488,_xlfn.xlookup(1,(L488:L1487=L488)*(N488:N1487&lt;&gt;""),N488:N1487,"Not Found"))</f>
        <v>#NAME?</v>
      </c>
      <c r="P488" s="4" t="n">
        <v>92802</v>
      </c>
      <c r="Q488" s="0" t="s">
        <v>72</v>
      </c>
      <c r="R488" s="0" t="str">
        <f aca="false">PROPER(Q488)</f>
        <v>Pos</v>
      </c>
      <c r="S488" s="0" t="s">
        <v>50</v>
      </c>
      <c r="U488" s="5" t="n">
        <f aca="false">IF(ISBLANK(T488),AVERAGE(T488:T1487),T488)</f>
        <v>3.09905660377359</v>
      </c>
      <c r="V488" s="0" t="n">
        <v>4.8</v>
      </c>
      <c r="W488" s="0" t="s">
        <v>111</v>
      </c>
      <c r="X488" s="0" t="str">
        <f aca="false">IF(ISBLANK(W488),"No remarks",W488)</f>
        <v>Changed all filters</v>
      </c>
      <c r="Y488" s="0" t="s">
        <v>52</v>
      </c>
      <c r="AA488" s="0" t="str">
        <f aca="false">PROPER(IF(ISBLANK(Z488),"Location Unavailable",Z488))</f>
        <v>Location Unavailable</v>
      </c>
      <c r="AB488" s="0" t="s">
        <v>75</v>
      </c>
      <c r="AC488" s="6" t="str">
        <f aca="false">PROPER(AB488)</f>
        <v>Mechanik Referal</v>
      </c>
      <c r="AD488" s="6" t="n">
        <v>45</v>
      </c>
      <c r="AE488" s="5" t="n">
        <f aca="false">IF(ISBLANK(AD488),AVERAGEIF(L488:L1487,L488,AD488:AD1487),AD488)</f>
        <v>45</v>
      </c>
      <c r="AF488" s="0" t="s">
        <v>55</v>
      </c>
      <c r="AG488" s="0" t="str">
        <f aca="false">PROPER(AF488)</f>
        <v>Available</v>
      </c>
      <c r="AH488" s="0" t="s">
        <v>148</v>
      </c>
      <c r="AI488" s="0" t="s">
        <v>78</v>
      </c>
      <c r="AJ488" s="0" t="str">
        <f aca="false">PROPER(AI488)</f>
        <v>Booking</v>
      </c>
      <c r="AK488" s="0" t="s">
        <v>99</v>
      </c>
      <c r="AL488" s="0" t="str">
        <f aca="false">PROPER(AK488)</f>
        <v>Uber Driver</v>
      </c>
      <c r="AM488" s="0" t="s">
        <v>177</v>
      </c>
      <c r="AN488" s="0" t="str">
        <f aca="false">IF(ISBLANK(AM488),"Unknown",AM488)</f>
        <v>Private</v>
      </c>
      <c r="AO488" s="0" t="s">
        <v>79</v>
      </c>
      <c r="AP488" s="0" t="str">
        <f aca="false">IF(ISBLANK(AO488),"Unknown",AO488)</f>
        <v>Specialist</v>
      </c>
      <c r="AR488" s="5" t="n">
        <f aca="false">IF(ISBLANK(AQ488),AVERAGEIF(M488:M1487,M488,AQ488:AQ1487),AQ488)</f>
        <v>26901.4084507042</v>
      </c>
      <c r="AT488" s="5" t="n">
        <f aca="false">IF(ISBLANK(AS488),AVERAGE(AS488:AS1487),AS488)</f>
        <v>31557.3770491803</v>
      </c>
      <c r="AV488" s="0" t="str">
        <f aca="false">PROPER(IF(ISBLANK(AU488),"No",AU488))</f>
        <v>No</v>
      </c>
      <c r="AW488" s="0" t="n">
        <v>5000</v>
      </c>
      <c r="AX488" s="5" t="n">
        <f aca="false">IF(ISBLANK(AW488),0,AW488)</f>
        <v>5000</v>
      </c>
      <c r="AZ488" s="0" t="str">
        <f aca="false">UPPER(IF(ISBLANK(AY488),"NONE",AY488))</f>
        <v>NONE</v>
      </c>
      <c r="BA488" s="7" t="n">
        <v>45901</v>
      </c>
      <c r="BB488" s="7" t="n">
        <f aca="false">IF(ISBLANK(BA488),"No Follow Up Needed",BA488)</f>
        <v>45901</v>
      </c>
      <c r="BC488" s="0" t="s">
        <v>50</v>
      </c>
      <c r="BD488" s="0" t="str">
        <f aca="false">PROPER(IF(ISBLANK(BC488),"Unknown",BC488))</f>
        <v>No</v>
      </c>
      <c r="BE488" s="0" t="s">
        <v>116</v>
      </c>
      <c r="BF488" s="0" t="str">
        <f aca="false">IF(ISBLANK(BE488),"No comments",BE488)</f>
        <v>Needs tire alignment</v>
      </c>
      <c r="BH488" s="0" t="str">
        <f aca="false">IF(ISBLANK(BG488),"No comments",BG488)</f>
        <v>No comments</v>
      </c>
      <c r="BI488" s="0" t="s">
        <v>50</v>
      </c>
      <c r="BJ488" s="0" t="str">
        <f aca="false">IF(ISBLANK(BI488),"Not Mentioned",BI488)</f>
        <v>No</v>
      </c>
      <c r="BK488" s="0" t="s">
        <v>82</v>
      </c>
      <c r="BL488" s="0" t="str">
        <f aca="false">PROPER(IF(ISBLANK(BK488),"Not Mentioned",BK488))</f>
        <v>Yes</v>
      </c>
      <c r="BM488" s="0" t="s">
        <v>63</v>
      </c>
      <c r="BN488" s="0" t="str">
        <f aca="false">PROPER(IF(ISBLANK(BM488),"Not Mentioned",BM488))</f>
        <v>Yes</v>
      </c>
      <c r="BP488" s="0" t="str">
        <f aca="false">IF(ISBLANK(BO488),"One-Time Plan",BO488)</f>
        <v>One-Time Plan</v>
      </c>
      <c r="BQ488" s="0" t="s">
        <v>50</v>
      </c>
      <c r="BR488" s="0" t="str">
        <f aca="false">PROPER(IF(ISBLANK(BQ488),"No",BQ488))</f>
        <v>No</v>
      </c>
    </row>
    <row r="489" customFormat="false" ht="15" hidden="false" customHeight="false" outlineLevel="0" collapsed="false">
      <c r="A489" s="0" t="s">
        <v>1246</v>
      </c>
      <c r="B489" s="2" t="n">
        <v>45697</v>
      </c>
      <c r="C489" s="2" t="str">
        <f aca="false">TEXT(B489,"dd/mm/yyyy")</f>
        <v>09/02/2025</v>
      </c>
      <c r="D489" s="0" t="s">
        <v>66</v>
      </c>
      <c r="E489" s="0" t="n">
        <v>8047465789</v>
      </c>
      <c r="F489" s="0" t="s">
        <v>67</v>
      </c>
      <c r="G489" s="0" t="s">
        <v>2316</v>
      </c>
      <c r="H489" s="0" t="s">
        <v>1247</v>
      </c>
      <c r="I489" s="0" t="s">
        <v>107</v>
      </c>
      <c r="J489" s="0" t="s">
        <v>87</v>
      </c>
      <c r="K489" s="3" t="str">
        <f aca="false" t="array" ref="K489:K489">IFERROR(IF(J489&lt;&gt;"",J489,INDEX(J489:J1488,MATCH(1,(F489:F1488=F489)*(I489:I1488=I489)*(L489:L1488=L489)*(J489:J1488&lt;&gt;""),0))),"Not Found")</f>
        <v>Oil Change</v>
      </c>
      <c r="L489" s="3" t="s">
        <v>189</v>
      </c>
      <c r="M489" s="0" t="str">
        <f aca="false">PROPER(L489)</f>
        <v>Battery</v>
      </c>
      <c r="N489" s="3" t="s">
        <v>71</v>
      </c>
      <c r="O489" s="0" t="str">
        <f aca="false" t="array" ref="O489:O489">IF(N489&lt;&gt;"",N489,_xlfn.xlookup(1,(L489:L1488=L489)*(N489:N1488&lt;&gt;""),N489:N1488,"Not Found"))</f>
        <v>Isaac Bobo</v>
      </c>
      <c r="P489" s="4" t="n">
        <v>94153</v>
      </c>
      <c r="Q489" s="0" t="s">
        <v>49</v>
      </c>
      <c r="R489" s="0" t="str">
        <f aca="false">PROPER(Q489)</f>
        <v>Transfer</v>
      </c>
      <c r="S489" s="0" t="s">
        <v>63</v>
      </c>
      <c r="T489" s="0" t="n">
        <v>3</v>
      </c>
      <c r="U489" s="5" t="n">
        <f aca="false">IF(ISBLANK(T489),AVERAGE(T489:T1488),T489)</f>
        <v>3</v>
      </c>
      <c r="V489" s="0" t="n">
        <v>2.9</v>
      </c>
      <c r="W489" s="0" t="s">
        <v>92</v>
      </c>
      <c r="X489" s="0" t="str">
        <f aca="false">IF(ISBLANK(W489),"No remarks",W489)</f>
        <v>Urgent service</v>
      </c>
      <c r="Y489" s="0" t="s">
        <v>93</v>
      </c>
      <c r="Z489" s="0" t="s">
        <v>94</v>
      </c>
      <c r="AA489" s="0" t="str">
        <f aca="false">PROPER(IF(ISBLANK(Z489),"Location Unavailable",Z489))</f>
        <v>Vip Section</v>
      </c>
      <c r="AB489" s="0" t="s">
        <v>95</v>
      </c>
      <c r="AC489" s="6" t="str">
        <f aca="false">PROPER(AB489)</f>
        <v>Road Sign</v>
      </c>
      <c r="AD489" s="6" t="n">
        <v>15</v>
      </c>
      <c r="AE489" s="5" t="n">
        <f aca="false">IF(ISBLANK(AD489),AVERAGEIF(L489:L1488,L489,AD489:AD1488),AD489)</f>
        <v>15</v>
      </c>
      <c r="AF489" s="0" t="s">
        <v>160</v>
      </c>
      <c r="AG489" s="0" t="str">
        <f aca="false">PROPER(AF489)</f>
        <v>Availaible</v>
      </c>
      <c r="AH489" s="0" t="s">
        <v>77</v>
      </c>
      <c r="AI489" s="0" t="s">
        <v>78</v>
      </c>
      <c r="AJ489" s="0" t="str">
        <f aca="false">PROPER(AI489)</f>
        <v>Booking</v>
      </c>
      <c r="AK489" s="0" t="s">
        <v>196</v>
      </c>
      <c r="AL489" s="0" t="str">
        <f aca="false">PROPER(AK489)</f>
        <v>First Time</v>
      </c>
      <c r="AM489" s="0" t="s">
        <v>2324</v>
      </c>
      <c r="AN489" s="0" t="str">
        <f aca="false">IF(ISBLANK(AM489),"Unknown",AM489)</f>
        <v>Logistics Convoy</v>
      </c>
      <c r="AO489" s="0" t="s">
        <v>79</v>
      </c>
      <c r="AP489" s="0" t="str">
        <f aca="false">IF(ISBLANK(AO489),"Unknown",AO489)</f>
        <v>Specialist</v>
      </c>
      <c r="AR489" s="5" t="n">
        <f aca="false">IF(ISBLANK(AQ489),AVERAGEIF(M489:M1488,M489,AQ489:AQ1488),AQ489)</f>
        <v>25092.5925925926</v>
      </c>
      <c r="AS489" s="0" t="n">
        <v>30000</v>
      </c>
      <c r="AT489" s="5" t="n">
        <f aca="false">IF(ISBLANK(AS489),AVERAGE(AS489:AS1488),AS489)</f>
        <v>30000</v>
      </c>
      <c r="AV489" s="0" t="str">
        <f aca="false">PROPER(IF(ISBLANK(AU489),"No",AU489))</f>
        <v>No</v>
      </c>
      <c r="AW489" s="0" t="n">
        <v>10000</v>
      </c>
      <c r="AX489" s="5" t="n">
        <f aca="false">IF(ISBLANK(AW489),0,AW489)</f>
        <v>10000</v>
      </c>
      <c r="AY489" s="0" t="s">
        <v>60</v>
      </c>
      <c r="AZ489" s="0" t="str">
        <f aca="false">UPPER(IF(ISBLANK(AY489),"NONE",AY489))</f>
        <v>NONE</v>
      </c>
      <c r="BA489" s="7" t="s">
        <v>215</v>
      </c>
      <c r="BB489" s="7" t="str">
        <f aca="false">IF(ISBLANK(BA489),"No Follow Up Needed",BA489)</f>
        <v>28/09/2025</v>
      </c>
      <c r="BC489" s="0" t="s">
        <v>61</v>
      </c>
      <c r="BD489" s="0" t="str">
        <f aca="false">PROPER(IF(ISBLANK(BC489),"Unknown",BC489))</f>
        <v>No</v>
      </c>
      <c r="BF489" s="0" t="str">
        <f aca="false">IF(ISBLANK(BE489),"No comments",BE489)</f>
        <v>No comments</v>
      </c>
      <c r="BH489" s="0" t="str">
        <f aca="false">IF(ISBLANK(BG489),"No comments",BG489)</f>
        <v>No comments</v>
      </c>
      <c r="BJ489" s="0" t="str">
        <f aca="false">IF(ISBLANK(BI489),"Not Mentioned",BI489)</f>
        <v>Not Mentioned</v>
      </c>
      <c r="BK489" s="0" t="s">
        <v>63</v>
      </c>
      <c r="BL489" s="0" t="str">
        <f aca="false">PROPER(IF(ISBLANK(BK489),"Not Mentioned",BK489))</f>
        <v>Yes</v>
      </c>
      <c r="BM489" s="0" t="s">
        <v>63</v>
      </c>
      <c r="BN489" s="0" t="str">
        <f aca="false">PROPER(IF(ISBLANK(BM489),"Not Mentioned",BM489))</f>
        <v>Yes</v>
      </c>
      <c r="BO489" s="0" t="s">
        <v>2321</v>
      </c>
      <c r="BP489" s="0" t="str">
        <f aca="false">IF(ISBLANK(BO489),"One-Time Plan",BO489)</f>
        <v>One-Time Plan</v>
      </c>
      <c r="BQ489" s="0" t="s">
        <v>198</v>
      </c>
      <c r="BR489" s="0" t="str">
        <f aca="false">PROPER(IF(ISBLANK(BQ489),"No",BQ489))</f>
        <v>Followed Up</v>
      </c>
    </row>
    <row r="490" customFormat="false" ht="15" hidden="false" customHeight="false" outlineLevel="0" collapsed="false">
      <c r="A490" s="0" t="s">
        <v>1248</v>
      </c>
      <c r="B490" s="2" t="s">
        <v>353</v>
      </c>
      <c r="C490" s="2" t="str">
        <f aca="false">TEXT(B490,"dd/mm/yyyy")</f>
        <v>18/05/2025</v>
      </c>
      <c r="D490" s="0" t="s">
        <v>105</v>
      </c>
      <c r="E490" s="0" t="n">
        <v>8031658249</v>
      </c>
      <c r="F490" s="0" t="s">
        <v>43</v>
      </c>
      <c r="G490" s="0" t="s">
        <v>2315</v>
      </c>
      <c r="H490" s="0" t="s">
        <v>1249</v>
      </c>
      <c r="I490" s="0" t="s">
        <v>107</v>
      </c>
      <c r="J490" s="0" t="s">
        <v>87</v>
      </c>
      <c r="K490" s="3" t="str">
        <f aca="false" t="array" ref="K490:K490">IFERROR(IF(J490&lt;&gt;"",J490,INDEX(J490:J1489,MATCH(1,(F490:F1489=F490)*(I490:I1489=I490)*(L490:L1489=L490)*(J490:J1489&lt;&gt;""),0))),"Not Found")</f>
        <v>Oil Change</v>
      </c>
      <c r="L490" s="3" t="s">
        <v>189</v>
      </c>
      <c r="M490" s="0" t="str">
        <f aca="false">PROPER(L490)</f>
        <v>Battery</v>
      </c>
      <c r="N490" s="3" t="s">
        <v>109</v>
      </c>
      <c r="O490" s="0" t="str">
        <f aca="false" t="array" ref="O490:O490">IF(N490&lt;&gt;"",N490,_xlfn.xlookup(1,(L490:L1489=L490)*(N490:N1489&lt;&gt;""),N490:N1489,"Not Found"))</f>
        <v>Tijani</v>
      </c>
      <c r="P490" s="4" t="n">
        <v>10993</v>
      </c>
      <c r="Q490" s="0" t="s">
        <v>91</v>
      </c>
      <c r="R490" s="0" t="str">
        <f aca="false">PROPER(Q490)</f>
        <v>Pos</v>
      </c>
      <c r="S490" s="0" t="s">
        <v>63</v>
      </c>
      <c r="T490" s="0" t="n">
        <v>5</v>
      </c>
      <c r="U490" s="5" t="n">
        <f aca="false">IF(ISBLANK(T490),AVERAGE(T490:T1489),T490)</f>
        <v>5</v>
      </c>
      <c r="V490" s="0" t="n">
        <v>1</v>
      </c>
      <c r="W490" s="0" t="s">
        <v>125</v>
      </c>
      <c r="X490" s="0" t="str">
        <f aca="false">IF(ISBLANK(W490),"No remarks",W490)</f>
        <v>Customer waited</v>
      </c>
      <c r="Y490" s="0" t="s">
        <v>93</v>
      </c>
      <c r="Z490" s="0" t="s">
        <v>53</v>
      </c>
      <c r="AA490" s="0" t="str">
        <f aca="false">PROPER(IF(ISBLANK(Z490),"Location Unavailable",Z490))</f>
        <v>Main Bay</v>
      </c>
      <c r="AB490" s="0" t="s">
        <v>95</v>
      </c>
      <c r="AC490" s="6" t="str">
        <f aca="false">PROPER(AB490)</f>
        <v>Road Sign</v>
      </c>
      <c r="AD490" s="6" t="n">
        <v>15</v>
      </c>
      <c r="AE490" s="5" t="n">
        <f aca="false">IF(ISBLANK(AD490),AVERAGEIF(L490:L1489,L490,AD490:AD1489),AD490)</f>
        <v>15</v>
      </c>
      <c r="AF490" s="0" t="s">
        <v>96</v>
      </c>
      <c r="AG490" s="0" t="str">
        <f aca="false">PROPER(AF490)</f>
        <v>Ordered</v>
      </c>
      <c r="AH490" s="0" t="s">
        <v>155</v>
      </c>
      <c r="AI490" s="0" t="s">
        <v>78</v>
      </c>
      <c r="AJ490" s="0" t="str">
        <f aca="false">PROPER(AI490)</f>
        <v>Booking</v>
      </c>
      <c r="AK490" s="0" t="s">
        <v>58</v>
      </c>
      <c r="AL490" s="0" t="str">
        <f aca="false">PROPER(AK490)</f>
        <v>Fleet Owner</v>
      </c>
      <c r="AM490" s="0" t="s">
        <v>2324</v>
      </c>
      <c r="AN490" s="0" t="str">
        <f aca="false">IF(ISBLANK(AM490),"Unknown",AM490)</f>
        <v>Logistics Convoy</v>
      </c>
      <c r="AO490" s="0" t="s">
        <v>79</v>
      </c>
      <c r="AP490" s="0" t="str">
        <f aca="false">IF(ISBLANK(AO490),"Unknown",AO490)</f>
        <v>Specialist</v>
      </c>
      <c r="AQ490" s="0" t="n">
        <v>20000</v>
      </c>
      <c r="AR490" s="5" t="n">
        <f aca="false">IF(ISBLANK(AQ490),AVERAGEIF(M490:M1489,M490,AQ490:AQ1489),AQ490)</f>
        <v>20000</v>
      </c>
      <c r="AT490" s="5" t="n">
        <f aca="false">IF(ISBLANK(AS490),AVERAGE(AS490:AS1489),AS490)</f>
        <v>31561.0328638498</v>
      </c>
      <c r="AU490" s="0" t="s">
        <v>63</v>
      </c>
      <c r="AV490" s="0" t="str">
        <f aca="false">PROPER(IF(ISBLANK(AU490),"No",AU490))</f>
        <v>Yes</v>
      </c>
      <c r="AW490" s="0" t="n">
        <v>5000</v>
      </c>
      <c r="AX490" s="5" t="n">
        <f aca="false">IF(ISBLANK(AW490),0,AW490)</f>
        <v>5000</v>
      </c>
      <c r="AY490" s="0" t="s">
        <v>80</v>
      </c>
      <c r="AZ490" s="0" t="str">
        <f aca="false">UPPER(IF(ISBLANK(AY490),"NONE",AY490))</f>
        <v>PROMO10</v>
      </c>
      <c r="BA490" s="7" t="n">
        <v>45839</v>
      </c>
      <c r="BB490" s="7" t="n">
        <f aca="false">IF(ISBLANK(BA490),"No Follow Up Needed",BA490)</f>
        <v>45839</v>
      </c>
      <c r="BC490" s="0" t="s">
        <v>50</v>
      </c>
      <c r="BD490" s="0" t="str">
        <f aca="false">PROPER(IF(ISBLANK(BC490),"Unknown",BC490))</f>
        <v>No</v>
      </c>
      <c r="BE490" s="0" t="s">
        <v>171</v>
      </c>
      <c r="BF490" s="0" t="str">
        <f aca="false">IF(ISBLANK(BE490),"No comments",BE490)</f>
        <v>Shock absorber weakening</v>
      </c>
      <c r="BG490" s="0" t="s">
        <v>117</v>
      </c>
      <c r="BH490" s="0" t="str">
        <f aca="false">IF(ISBLANK(BG490),"No comments",BG490)</f>
        <v>Prefers morning</v>
      </c>
      <c r="BI490" s="0" t="s">
        <v>63</v>
      </c>
      <c r="BJ490" s="0" t="str">
        <f aca="false">IF(ISBLANK(BI490),"Not Mentioned",BI490)</f>
        <v>Yes</v>
      </c>
      <c r="BK490" s="0" t="s">
        <v>50</v>
      </c>
      <c r="BL490" s="0" t="str">
        <f aca="false">PROPER(IF(ISBLANK(BK490),"Not Mentioned",BK490))</f>
        <v>No</v>
      </c>
      <c r="BN490" s="0" t="str">
        <f aca="false">PROPER(IF(ISBLANK(BM490),"Not Mentioned",BM490))</f>
        <v>Not Mentioned</v>
      </c>
      <c r="BO490" s="0" t="s">
        <v>64</v>
      </c>
      <c r="BP490" s="0" t="str">
        <f aca="false">IF(ISBLANK(BO490),"One-Time Plan",BO490)</f>
        <v>Gold Maintenance Plan</v>
      </c>
      <c r="BQ490" s="0" t="s">
        <v>63</v>
      </c>
      <c r="BR490" s="0" t="str">
        <f aca="false">PROPER(IF(ISBLANK(BQ490),"No",BQ490))</f>
        <v>Yes</v>
      </c>
    </row>
    <row r="491" customFormat="false" ht="15" hidden="false" customHeight="false" outlineLevel="0" collapsed="false">
      <c r="A491" s="0" t="s">
        <v>1251</v>
      </c>
      <c r="B491" s="2" t="s">
        <v>1250</v>
      </c>
      <c r="C491" s="2" t="str">
        <f aca="false">TEXT(B491,"dd/mm/yyyy")</f>
        <v>15/01/2025</v>
      </c>
      <c r="D491" s="0" t="s">
        <v>66</v>
      </c>
      <c r="E491" s="0" t="n">
        <v>8032896080</v>
      </c>
      <c r="F491" s="0" t="s">
        <v>122</v>
      </c>
      <c r="G491" s="0" t="s">
        <v>2316</v>
      </c>
      <c r="H491" s="0" t="s">
        <v>1252</v>
      </c>
      <c r="I491" s="0" t="s">
        <v>87</v>
      </c>
      <c r="J491" s="0" t="s">
        <v>2325</v>
      </c>
      <c r="K491" s="3" t="str">
        <f aca="false" t="array" ref="K491:K491">IFERROR(IF(J491&lt;&gt;"",J491,INDEX(J491:J1490,MATCH(1,(F491:F1490=F491)*(I491:I1490=I491)*(L491:L1490=L491)*(J491:J1490&lt;&gt;""),0))),"Not Found")</f>
        <v>Engine Knocking</v>
      </c>
      <c r="L491" s="3" t="s">
        <v>89</v>
      </c>
      <c r="M491" s="0" t="str">
        <f aca="false">PROPER(L491)</f>
        <v>Shock Absorbers</v>
      </c>
      <c r="O491" s="0" t="e">
        <f aca="false" t="array" ref="O491:O491">IF(N491&lt;&gt;"",N491,_xlfn.xlookup(1,(L491:L1490=L491)*(N491:N1490&lt;&gt;""),N491:N1490,"Not Found"))</f>
        <v>#NAME?</v>
      </c>
      <c r="P491" s="4" t="n">
        <v>39076</v>
      </c>
      <c r="Q491" s="0" t="s">
        <v>72</v>
      </c>
      <c r="R491" s="0" t="str">
        <f aca="false">PROPER(Q491)</f>
        <v>Pos</v>
      </c>
      <c r="S491" s="0" t="s">
        <v>63</v>
      </c>
      <c r="U491" s="5" t="n">
        <f aca="false">IF(ISBLANK(T491),AVERAGE(T491:T1490),T491)</f>
        <v>3.09478672985782</v>
      </c>
      <c r="V491" s="0" t="n">
        <v>5.6</v>
      </c>
      <c r="W491" s="0" t="s">
        <v>125</v>
      </c>
      <c r="X491" s="0" t="str">
        <f aca="false">IF(ISBLANK(W491),"No remarks",W491)</f>
        <v>Customer waited</v>
      </c>
      <c r="Y491" s="0" t="s">
        <v>73</v>
      </c>
      <c r="Z491" s="0" t="s">
        <v>74</v>
      </c>
      <c r="AA491" s="0" t="str">
        <f aca="false">PROPER(IF(ISBLANK(Z491),"Location Unavailable",Z491))</f>
        <v>Under Tree</v>
      </c>
      <c r="AB491" s="0" t="s">
        <v>95</v>
      </c>
      <c r="AC491" s="6" t="str">
        <f aca="false">PROPER(AB491)</f>
        <v>Road Sign</v>
      </c>
      <c r="AD491" s="6" t="n">
        <v>15</v>
      </c>
      <c r="AE491" s="5" t="n">
        <f aca="false">IF(ISBLANK(AD491),AVERAGEIF(L491:L1490,L491,AD491:AD1490),AD491)</f>
        <v>15</v>
      </c>
      <c r="AF491" s="0" t="s">
        <v>112</v>
      </c>
      <c r="AG491" s="0" t="str">
        <f aca="false">PROPER(AF491)</f>
        <v>Unavailable</v>
      </c>
      <c r="AH491" s="0" t="s">
        <v>56</v>
      </c>
      <c r="AI491" s="0" t="s">
        <v>98</v>
      </c>
      <c r="AJ491" s="0" t="str">
        <f aca="false">PROPER(AI491)</f>
        <v>Emergency</v>
      </c>
      <c r="AK491" s="0" t="s">
        <v>99</v>
      </c>
      <c r="AL491" s="0" t="str">
        <f aca="false">PROPER(AK491)</f>
        <v>Uber Driver</v>
      </c>
      <c r="AN491" s="0" t="str">
        <f aca="false">IF(ISBLANK(AM491),"Unknown",AM491)</f>
        <v>Unknown</v>
      </c>
      <c r="AO491" s="0" t="s">
        <v>79</v>
      </c>
      <c r="AP491" s="0" t="str">
        <f aca="false">IF(ISBLANK(AO491),"Unknown",AO491)</f>
        <v>Specialist</v>
      </c>
      <c r="AQ491" s="0" t="n">
        <v>25000</v>
      </c>
      <c r="AR491" s="5" t="n">
        <f aca="false">IF(ISBLANK(AQ491),AVERAGEIF(M491:M1490,M491,AQ491:AQ1490),AQ491)</f>
        <v>25000</v>
      </c>
      <c r="AS491" s="0" t="n">
        <v>20000</v>
      </c>
      <c r="AT491" s="5" t="n">
        <f aca="false">IF(ISBLANK(AS491),AVERAGE(AS491:AS1490),AS491)</f>
        <v>20000</v>
      </c>
      <c r="AU491" s="0" t="s">
        <v>50</v>
      </c>
      <c r="AV491" s="0" t="str">
        <f aca="false">PROPER(IF(ISBLANK(AU491),"No",AU491))</f>
        <v>No</v>
      </c>
      <c r="AW491" s="0" t="n">
        <v>10000</v>
      </c>
      <c r="AX491" s="5" t="n">
        <f aca="false">IF(ISBLANK(AW491),0,AW491)</f>
        <v>10000</v>
      </c>
      <c r="AY491" s="0" t="s">
        <v>184</v>
      </c>
      <c r="AZ491" s="0" t="str">
        <f aca="false">UPPER(IF(ISBLANK(AY491),"NONE",AY491))</f>
        <v>N/A</v>
      </c>
      <c r="BA491" s="7" t="n">
        <v>45898</v>
      </c>
      <c r="BB491" s="7" t="n">
        <f aca="false">IF(ISBLANK(BA491),"No Follow Up Needed",BA491)</f>
        <v>45898</v>
      </c>
      <c r="BC491" s="0" t="s">
        <v>82</v>
      </c>
      <c r="BD491" s="0" t="str">
        <f aca="false">PROPER(IF(ISBLANK(BC491),"Unknown",BC491))</f>
        <v>Yes</v>
      </c>
      <c r="BF491" s="0" t="str">
        <f aca="false">IF(ISBLANK(BE491),"No comments",BE491)</f>
        <v>No comments</v>
      </c>
      <c r="BH491" s="0" t="str">
        <f aca="false">IF(ISBLANK(BG491),"No comments",BG491)</f>
        <v>No comments</v>
      </c>
      <c r="BI491" s="0" t="s">
        <v>63</v>
      </c>
      <c r="BJ491" s="0" t="str">
        <f aca="false">IF(ISBLANK(BI491),"Not Mentioned",BI491)</f>
        <v>Yes</v>
      </c>
      <c r="BK491" s="0" t="s">
        <v>63</v>
      </c>
      <c r="BL491" s="0" t="str">
        <f aca="false">PROPER(IF(ISBLANK(BK491),"Not Mentioned",BK491))</f>
        <v>Yes</v>
      </c>
      <c r="BM491" s="0" t="s">
        <v>63</v>
      </c>
      <c r="BN491" s="0" t="str">
        <f aca="false">PROPER(IF(ISBLANK(BM491),"Not Mentioned",BM491))</f>
        <v>Yes</v>
      </c>
      <c r="BP491" s="0" t="str">
        <f aca="false">IF(ISBLANK(BO491),"One-Time Plan",BO491)</f>
        <v>One-Time Plan</v>
      </c>
      <c r="BR491" s="0" t="str">
        <f aca="false">PROPER(IF(ISBLANK(BQ491),"No",BQ491))</f>
        <v>No</v>
      </c>
    </row>
    <row r="492" customFormat="false" ht="15" hidden="false" customHeight="false" outlineLevel="0" collapsed="false">
      <c r="A492" s="0" t="s">
        <v>1253</v>
      </c>
      <c r="B492" s="2" t="n">
        <v>45800</v>
      </c>
      <c r="C492" s="2" t="str">
        <f aca="false">TEXT(B492,"dd/mm/yyyy")</f>
        <v>23/05/2025</v>
      </c>
      <c r="D492" s="0" t="s">
        <v>121</v>
      </c>
      <c r="E492" s="0" t="n">
        <v>8012424794</v>
      </c>
      <c r="F492" s="0" t="s">
        <v>67</v>
      </c>
      <c r="G492" s="0" t="s">
        <v>2316</v>
      </c>
      <c r="H492" s="0" t="s">
        <v>1254</v>
      </c>
      <c r="I492" s="0" t="s">
        <v>107</v>
      </c>
      <c r="J492" s="0" t="s">
        <v>2317</v>
      </c>
      <c r="K492" s="3" t="str">
        <f aca="false" t="array" ref="K492:K492">IFERROR(IF(J492&lt;&gt;"",J492,INDEX(J492:J1491,MATCH(1,(F492:F1491=F492)*(I492:I1491=I492)*(L492:L1491=L492)*(J492:J1491&lt;&gt;""),0))),"Not Found")</f>
        <v>Suspension Noise</v>
      </c>
      <c r="L492" s="3" t="s">
        <v>108</v>
      </c>
      <c r="M492" s="0" t="str">
        <f aca="false">PROPER(L492)</f>
        <v>Timing Belt</v>
      </c>
      <c r="N492" s="3" t="s">
        <v>48</v>
      </c>
      <c r="O492" s="0" t="str">
        <f aca="false" t="array" ref="O492:O492">IF(N492&lt;&gt;"",N492,_xlfn.xlookup(1,(L492:L1491=L492)*(N492:N1491&lt;&gt;""),N492:N1491,"Not Found"))</f>
        <v>Uche</v>
      </c>
      <c r="P492" s="4" t="n">
        <v>101907</v>
      </c>
      <c r="Q492" s="0" t="s">
        <v>49</v>
      </c>
      <c r="R492" s="0" t="str">
        <f aca="false">PROPER(Q492)</f>
        <v>Transfer</v>
      </c>
      <c r="S492" s="0" t="s">
        <v>50</v>
      </c>
      <c r="T492" s="0" t="n">
        <v>4</v>
      </c>
      <c r="U492" s="5" t="n">
        <f aca="false">IF(ISBLANK(T492),AVERAGE(T492:T1491),T492)</f>
        <v>4</v>
      </c>
      <c r="V492" s="0" t="n">
        <v>2.5</v>
      </c>
      <c r="W492" s="0" t="s">
        <v>51</v>
      </c>
      <c r="X492" s="0" t="str">
        <f aca="false">IF(ISBLANK(W492),"No remarks",W492)</f>
        <v>Recommended further checks</v>
      </c>
      <c r="Y492" s="0" t="s">
        <v>93</v>
      </c>
      <c r="Z492" s="0" t="s">
        <v>136</v>
      </c>
      <c r="AA492" s="0" t="str">
        <f aca="false">PROPER(IF(ISBLANK(Z492),"Location Unavailable",Z492))</f>
        <v>Vip Section</v>
      </c>
      <c r="AB492" s="0" t="s">
        <v>54</v>
      </c>
      <c r="AC492" s="6" t="str">
        <f aca="false">PROPER(AB492)</f>
        <v>Mechanic Referral</v>
      </c>
      <c r="AD492" s="6" t="n">
        <v>45</v>
      </c>
      <c r="AE492" s="5" t="n">
        <f aca="false">IF(ISBLANK(AD492),AVERAGEIF(L492:L1491,L492,AD492:AD1491),AD492)</f>
        <v>45</v>
      </c>
      <c r="AF492" s="0" t="s">
        <v>55</v>
      </c>
      <c r="AG492" s="0" t="str">
        <f aca="false">PROPER(AF492)</f>
        <v>Available</v>
      </c>
      <c r="AH492" s="0" t="s">
        <v>77</v>
      </c>
      <c r="AI492" s="0" t="s">
        <v>98</v>
      </c>
      <c r="AJ492" s="0" t="str">
        <f aca="false">PROPER(AI492)</f>
        <v>Emergency</v>
      </c>
      <c r="AK492" s="0" t="s">
        <v>196</v>
      </c>
      <c r="AL492" s="0" t="str">
        <f aca="false">PROPER(AK492)</f>
        <v>First Time</v>
      </c>
      <c r="AN492" s="0" t="str">
        <f aca="false">IF(ISBLANK(AM492),"Unknown",AM492)</f>
        <v>Unknown</v>
      </c>
      <c r="AO492" s="0" t="s">
        <v>79</v>
      </c>
      <c r="AP492" s="0" t="str">
        <f aca="false">IF(ISBLANK(AO492),"Unknown",AO492)</f>
        <v>Specialist</v>
      </c>
      <c r="AQ492" s="0" t="n">
        <v>40000</v>
      </c>
      <c r="AR492" s="5" t="n">
        <f aca="false">IF(ISBLANK(AQ492),AVERAGEIF(M492:M1491,M492,AQ492:AQ1491),AQ492)</f>
        <v>40000</v>
      </c>
      <c r="AS492" s="0" t="n">
        <v>30000</v>
      </c>
      <c r="AT492" s="5" t="n">
        <f aca="false">IF(ISBLANK(AS492),AVERAGE(AS492:AS1491),AS492)</f>
        <v>30000</v>
      </c>
      <c r="AU492" s="0" t="s">
        <v>63</v>
      </c>
      <c r="AV492" s="0" t="str">
        <f aca="false">PROPER(IF(ISBLANK(AU492),"No",AU492))</f>
        <v>Yes</v>
      </c>
      <c r="AW492" s="0" t="n">
        <v>5000</v>
      </c>
      <c r="AX492" s="5" t="n">
        <f aca="false">IF(ISBLANK(AW492),0,AW492)</f>
        <v>5000</v>
      </c>
      <c r="AY492" s="0" t="s">
        <v>60</v>
      </c>
      <c r="AZ492" s="0" t="str">
        <f aca="false">UPPER(IF(ISBLANK(AY492),"NONE",AY492))</f>
        <v>NONE</v>
      </c>
      <c r="BB492" s="7" t="str">
        <f aca="false">IF(ISBLANK(BA492),"No Follow Up Needed",BA492)</f>
        <v>No Follow Up Needed</v>
      </c>
      <c r="BC492" s="0" t="s">
        <v>61</v>
      </c>
      <c r="BD492" s="0" t="str">
        <f aca="false">PROPER(IF(ISBLANK(BC492),"Unknown",BC492))</f>
        <v>No</v>
      </c>
      <c r="BF492" s="0" t="str">
        <f aca="false">IF(ISBLANK(BE492),"No comments",BE492)</f>
        <v>No comments</v>
      </c>
      <c r="BG492" s="0" t="s">
        <v>117</v>
      </c>
      <c r="BH492" s="0" t="str">
        <f aca="false">IF(ISBLANK(BG492),"No comments",BG492)</f>
        <v>Prefers morning</v>
      </c>
      <c r="BI492" s="0" t="s">
        <v>50</v>
      </c>
      <c r="BJ492" s="0" t="str">
        <f aca="false">IF(ISBLANK(BI492),"Not Mentioned",BI492)</f>
        <v>No</v>
      </c>
      <c r="BK492" s="0" t="s">
        <v>61</v>
      </c>
      <c r="BL492" s="0" t="str">
        <f aca="false">PROPER(IF(ISBLANK(BK492),"Not Mentioned",BK492))</f>
        <v>No</v>
      </c>
      <c r="BM492" s="0" t="s">
        <v>63</v>
      </c>
      <c r="BN492" s="0" t="str">
        <f aca="false">PROPER(IF(ISBLANK(BM492),"Not Mentioned",BM492))</f>
        <v>Yes</v>
      </c>
      <c r="BO492" s="0" t="s">
        <v>64</v>
      </c>
      <c r="BP492" s="0" t="str">
        <f aca="false">IF(ISBLANK(BO492),"One-Time Plan",BO492)</f>
        <v>Gold Maintenance Plan</v>
      </c>
      <c r="BQ492" s="0" t="s">
        <v>50</v>
      </c>
      <c r="BR492" s="0" t="str">
        <f aca="false">PROPER(IF(ISBLANK(BQ492),"No",BQ492))</f>
        <v>No</v>
      </c>
    </row>
    <row r="493" customFormat="false" ht="15" hidden="false" customHeight="false" outlineLevel="0" collapsed="false">
      <c r="A493" s="0" t="s">
        <v>1255</v>
      </c>
      <c r="B493" s="2" t="n">
        <v>45805</v>
      </c>
      <c r="C493" s="2" t="str">
        <f aca="false">TEXT(B493,"dd/mm/yyyy")</f>
        <v>28/05/2025</v>
      </c>
      <c r="D493" s="0" t="s">
        <v>163</v>
      </c>
      <c r="E493" s="0" t="n">
        <v>8091468625</v>
      </c>
      <c r="F493" s="0" t="s">
        <v>139</v>
      </c>
      <c r="G493" s="0" t="s">
        <v>2323</v>
      </c>
      <c r="H493" s="0" t="s">
        <v>1256</v>
      </c>
      <c r="I493" s="0" t="s">
        <v>134</v>
      </c>
      <c r="J493" s="0" t="s">
        <v>87</v>
      </c>
      <c r="K493" s="3" t="str">
        <f aca="false" t="array" ref="K493:K493">IFERROR(IF(J493&lt;&gt;"",J493,INDEX(J493:J1492,MATCH(1,(F493:F1492=F493)*(I493:I1492=I493)*(L493:L1492=L493)*(J493:J1492&lt;&gt;""),0))),"Not Found")</f>
        <v>Oil Change</v>
      </c>
      <c r="L493" s="3" t="s">
        <v>142</v>
      </c>
      <c r="M493" s="0" t="str">
        <f aca="false">PROPER(L493)</f>
        <v>Oil Filter, Brake Pads</v>
      </c>
      <c r="N493" s="3" t="s">
        <v>71</v>
      </c>
      <c r="O493" s="0" t="str">
        <f aca="false" t="array" ref="O493:O493">IF(N493&lt;&gt;"",N493,_xlfn.xlookup(1,(L493:L1492=L493)*(N493:N1492&lt;&gt;""),N493:N1492,"Not Found"))</f>
        <v>Isaac Bobo</v>
      </c>
      <c r="P493" s="4" t="n">
        <v>103104</v>
      </c>
      <c r="Q493" s="0" t="s">
        <v>91</v>
      </c>
      <c r="R493" s="0" t="str">
        <f aca="false">PROPER(Q493)</f>
        <v>Pos</v>
      </c>
      <c r="S493" s="0" t="s">
        <v>63</v>
      </c>
      <c r="T493" s="0" t="n">
        <v>2</v>
      </c>
      <c r="U493" s="5" t="n">
        <f aca="false">IF(ISBLANK(T493),AVERAGE(T493:T1492),T493)</f>
        <v>2</v>
      </c>
      <c r="V493" s="0" t="n">
        <v>3.6</v>
      </c>
      <c r="X493" s="0" t="str">
        <f aca="false">IF(ISBLANK(W493),"No remarks",W493)</f>
        <v>No remarks</v>
      </c>
      <c r="Y493" s="0" t="s">
        <v>52</v>
      </c>
      <c r="Z493" s="0" t="s">
        <v>136</v>
      </c>
      <c r="AA493" s="0" t="str">
        <f aca="false">PROPER(IF(ISBLANK(Z493),"Location Unavailable",Z493))</f>
        <v>Vip Section</v>
      </c>
      <c r="AB493" s="0" t="s">
        <v>75</v>
      </c>
      <c r="AC493" s="6" t="str">
        <f aca="false">PROPER(AB493)</f>
        <v>Mechanik Referal</v>
      </c>
      <c r="AD493" s="6" t="n">
        <v>45</v>
      </c>
      <c r="AE493" s="5" t="n">
        <f aca="false">IF(ISBLANK(AD493),AVERAGEIF(L493:L1492,L493,AD493:AD1492),AD493)</f>
        <v>45</v>
      </c>
      <c r="AF493" s="0" t="s">
        <v>55</v>
      </c>
      <c r="AG493" s="0" t="str">
        <f aca="false">PROPER(AF493)</f>
        <v>Available</v>
      </c>
      <c r="AH493" s="0" t="s">
        <v>148</v>
      </c>
      <c r="AI493" s="0" t="s">
        <v>98</v>
      </c>
      <c r="AJ493" s="0" t="str">
        <f aca="false">PROPER(AI493)</f>
        <v>Emergency</v>
      </c>
      <c r="AK493" s="0" t="s">
        <v>99</v>
      </c>
      <c r="AL493" s="0" t="str">
        <f aca="false">PROPER(AK493)</f>
        <v>Uber Driver</v>
      </c>
      <c r="AN493" s="0" t="str">
        <f aca="false">IF(ISBLANK(AM493),"Unknown",AM493)</f>
        <v>Unknown</v>
      </c>
      <c r="AO493" s="0" t="s">
        <v>161</v>
      </c>
      <c r="AP493" s="0" t="str">
        <f aca="false">IF(ISBLANK(AO493),"Unknown",AO493)</f>
        <v>Apprentice</v>
      </c>
      <c r="AR493" s="5" t="n">
        <f aca="false">IF(ISBLANK(AQ493),AVERAGEIF(M493:M1492,M493,AQ493:AQ1492),AQ493)</f>
        <v>27027.027027027</v>
      </c>
      <c r="AS493" s="0" t="n">
        <v>30000</v>
      </c>
      <c r="AT493" s="5" t="n">
        <f aca="false">IF(ISBLANK(AS493),AVERAGE(AS493:AS1492),AS493)</f>
        <v>30000</v>
      </c>
      <c r="AU493" s="0" t="s">
        <v>50</v>
      </c>
      <c r="AV493" s="0" t="str">
        <f aca="false">PROPER(IF(ISBLANK(AU493),"No",AU493))</f>
        <v>No</v>
      </c>
      <c r="AW493" s="0" t="n">
        <v>0</v>
      </c>
      <c r="AX493" s="5" t="n">
        <f aca="false">IF(ISBLANK(AW493),0,AW493)</f>
        <v>0</v>
      </c>
      <c r="AZ493" s="0" t="str">
        <f aca="false">UPPER(IF(ISBLANK(AY493),"NONE",AY493))</f>
        <v>NONE</v>
      </c>
      <c r="BA493" s="7" t="n">
        <v>45897</v>
      </c>
      <c r="BB493" s="7" t="n">
        <f aca="false">IF(ISBLANK(BA493),"No Follow Up Needed",BA493)</f>
        <v>45897</v>
      </c>
      <c r="BD493" s="0" t="str">
        <f aca="false">PROPER(IF(ISBLANK(BC493),"Unknown",BC493))</f>
        <v>Unknown</v>
      </c>
      <c r="BF493" s="0" t="str">
        <f aca="false">IF(ISBLANK(BE493),"No comments",BE493)</f>
        <v>No comments</v>
      </c>
      <c r="BH493" s="0" t="str">
        <f aca="false">IF(ISBLANK(BG493),"No comments",BG493)</f>
        <v>No comments</v>
      </c>
      <c r="BI493" s="0" t="s">
        <v>63</v>
      </c>
      <c r="BJ493" s="0" t="str">
        <f aca="false">IF(ISBLANK(BI493),"Not Mentioned",BI493)</f>
        <v>Yes</v>
      </c>
      <c r="BL493" s="0" t="str">
        <f aca="false">PROPER(IF(ISBLANK(BK493),"Not Mentioned",BK493))</f>
        <v>Not Mentioned</v>
      </c>
      <c r="BN493" s="0" t="str">
        <f aca="false">PROPER(IF(ISBLANK(BM493),"Not Mentioned",BM493))</f>
        <v>Not Mentioned</v>
      </c>
      <c r="BO493" s="0" t="s">
        <v>64</v>
      </c>
      <c r="BP493" s="0" t="str">
        <f aca="false">IF(ISBLANK(BO493),"One-Time Plan",BO493)</f>
        <v>Gold Maintenance Plan</v>
      </c>
      <c r="BQ493" s="0" t="s">
        <v>198</v>
      </c>
      <c r="BR493" s="0" t="str">
        <f aca="false">PROPER(IF(ISBLANK(BQ493),"No",BQ493))</f>
        <v>Followed Up</v>
      </c>
    </row>
    <row r="494" customFormat="false" ht="15" hidden="false" customHeight="false" outlineLevel="0" collapsed="false">
      <c r="A494" s="0" t="s">
        <v>1257</v>
      </c>
      <c r="B494" s="2" t="n">
        <v>45742</v>
      </c>
      <c r="C494" s="2" t="str">
        <f aca="false">TEXT(B494,"dd/mm/yyyy")</f>
        <v>26/03/2025</v>
      </c>
      <c r="D494" s="0" t="s">
        <v>42</v>
      </c>
      <c r="E494" s="0" t="n">
        <v>8023490911</v>
      </c>
      <c r="F494" s="0" t="s">
        <v>139</v>
      </c>
      <c r="G494" s="0" t="s">
        <v>2323</v>
      </c>
      <c r="H494" s="0" t="s">
        <v>1258</v>
      </c>
      <c r="I494" s="0" t="s">
        <v>134</v>
      </c>
      <c r="J494" s="0" t="s">
        <v>87</v>
      </c>
      <c r="K494" s="3" t="str">
        <f aca="false" t="array" ref="K494:K494">IFERROR(IF(J494&lt;&gt;"",J494,INDEX(J494:J1493,MATCH(1,(F494:F1493=F494)*(I494:I1493=I494)*(L494:L1493=L494)*(J494:J1493&lt;&gt;""),0))),"Not Found")</f>
        <v>Oil Change</v>
      </c>
      <c r="L494" s="3" t="s">
        <v>142</v>
      </c>
      <c r="M494" s="0" t="str">
        <f aca="false">PROPER(L494)</f>
        <v>Oil Filter, Brake Pads</v>
      </c>
      <c r="N494" s="3" t="s">
        <v>109</v>
      </c>
      <c r="O494" s="0" t="str">
        <f aca="false" t="array" ref="O494:O494">IF(N494&lt;&gt;"",N494,_xlfn.xlookup(1,(L494:L1493=L494)*(N494:N1493&lt;&gt;""),N494:N1493,"Not Found"))</f>
        <v>Tijani</v>
      </c>
      <c r="P494" s="4" t="n">
        <v>47415</v>
      </c>
      <c r="Q494" s="0" t="s">
        <v>49</v>
      </c>
      <c r="R494" s="0" t="str">
        <f aca="false">PROPER(Q494)</f>
        <v>Transfer</v>
      </c>
      <c r="S494" s="0" t="s">
        <v>50</v>
      </c>
      <c r="T494" s="0" t="n">
        <v>2</v>
      </c>
      <c r="U494" s="5" t="n">
        <f aca="false">IF(ISBLANK(T494),AVERAGE(T494:T1493),T494)</f>
        <v>2</v>
      </c>
      <c r="V494" s="0" t="n">
        <v>2.9</v>
      </c>
      <c r="W494" s="0" t="s">
        <v>111</v>
      </c>
      <c r="X494" s="0" t="str">
        <f aca="false">IF(ISBLANK(W494),"No remarks",W494)</f>
        <v>Changed all filters</v>
      </c>
      <c r="Y494" s="0" t="s">
        <v>52</v>
      </c>
      <c r="AA494" s="0" t="str">
        <f aca="false">PROPER(IF(ISBLANK(Z494),"Location Unavailable",Z494))</f>
        <v>Location Unavailable</v>
      </c>
      <c r="AB494" s="0" t="s">
        <v>147</v>
      </c>
      <c r="AC494" s="6" t="str">
        <f aca="false">PROPER(AB494)</f>
        <v>Instagram</v>
      </c>
      <c r="AD494" s="6" t="n">
        <v>30</v>
      </c>
      <c r="AE494" s="5" t="n">
        <f aca="false">IF(ISBLANK(AD494),AVERAGEIF(L494:L1493,L494,AD494:AD1493),AD494)</f>
        <v>30</v>
      </c>
      <c r="AF494" s="0" t="s">
        <v>55</v>
      </c>
      <c r="AG494" s="0" t="str">
        <f aca="false">PROPER(AF494)</f>
        <v>Available</v>
      </c>
      <c r="AH494" s="0" t="s">
        <v>77</v>
      </c>
      <c r="AI494" s="0" t="s">
        <v>128</v>
      </c>
      <c r="AJ494" s="0" t="str">
        <f aca="false">PROPER(AI494)</f>
        <v>Normal</v>
      </c>
      <c r="AK494" s="0" t="s">
        <v>196</v>
      </c>
      <c r="AL494" s="0" t="str">
        <f aca="false">PROPER(AK494)</f>
        <v>First Time</v>
      </c>
      <c r="AN494" s="0" t="str">
        <f aca="false">IF(ISBLANK(AM494),"Unknown",AM494)</f>
        <v>Unknown</v>
      </c>
      <c r="AO494" s="0" t="s">
        <v>149</v>
      </c>
      <c r="AP494" s="0" t="str">
        <f aca="false">IF(ISBLANK(AO494),"Unknown",AO494)</f>
        <v>Senior </v>
      </c>
      <c r="AQ494" s="0" t="n">
        <v>25000</v>
      </c>
      <c r="AR494" s="5" t="n">
        <f aca="false">IF(ISBLANK(AQ494),AVERAGEIF(M494:M1493,M494,AQ494:AQ1493),AQ494)</f>
        <v>25000</v>
      </c>
      <c r="AS494" s="0" t="n">
        <v>20000</v>
      </c>
      <c r="AT494" s="5" t="n">
        <f aca="false">IF(ISBLANK(AS494),AVERAGE(AS494:AS1493),AS494)</f>
        <v>20000</v>
      </c>
      <c r="AU494" s="0" t="s">
        <v>82</v>
      </c>
      <c r="AV494" s="0" t="str">
        <f aca="false">PROPER(IF(ISBLANK(AU494),"No",AU494))</f>
        <v>Yes</v>
      </c>
      <c r="AW494" s="0" t="n">
        <v>0</v>
      </c>
      <c r="AX494" s="5" t="n">
        <f aca="false">IF(ISBLANK(AW494),0,AW494)</f>
        <v>0</v>
      </c>
      <c r="AY494" s="0" t="s">
        <v>184</v>
      </c>
      <c r="AZ494" s="0" t="str">
        <f aca="false">UPPER(IF(ISBLANK(AY494),"NONE",AY494))</f>
        <v>N/A</v>
      </c>
      <c r="BA494" s="7" t="s">
        <v>571</v>
      </c>
      <c r="BB494" s="7" t="str">
        <f aca="false">IF(ISBLANK(BA494),"No Follow Up Needed",BA494)</f>
        <v>14/08/2025</v>
      </c>
      <c r="BD494" s="0" t="str">
        <f aca="false">PROPER(IF(ISBLANK(BC494),"Unknown",BC494))</f>
        <v>Unknown</v>
      </c>
      <c r="BE494" s="0" t="s">
        <v>171</v>
      </c>
      <c r="BF494" s="0" t="str">
        <f aca="false">IF(ISBLANK(BE494),"No comments",BE494)</f>
        <v>Shock absorber weakening</v>
      </c>
      <c r="BH494" s="0" t="str">
        <f aca="false">IF(ISBLANK(BG494),"No comments",BG494)</f>
        <v>No comments</v>
      </c>
      <c r="BI494" s="0" t="s">
        <v>63</v>
      </c>
      <c r="BJ494" s="0" t="str">
        <f aca="false">IF(ISBLANK(BI494),"Not Mentioned",BI494)</f>
        <v>Yes</v>
      </c>
      <c r="BK494" s="0" t="s">
        <v>61</v>
      </c>
      <c r="BL494" s="0" t="str">
        <f aca="false">PROPER(IF(ISBLANK(BK494),"Not Mentioned",BK494))</f>
        <v>No</v>
      </c>
      <c r="BN494" s="0" t="str">
        <f aca="false">PROPER(IF(ISBLANK(BM494),"Not Mentioned",BM494))</f>
        <v>Not Mentioned</v>
      </c>
      <c r="BO494" s="0" t="s">
        <v>2318</v>
      </c>
      <c r="BP494" s="0" t="str">
        <f aca="false">IF(ISBLANK(BO494),"One-Time Plan",BO494)</f>
        <v>Gold</v>
      </c>
      <c r="BQ494" s="0" t="s">
        <v>50</v>
      </c>
      <c r="BR494" s="0" t="str">
        <f aca="false">PROPER(IF(ISBLANK(BQ494),"No",BQ494))</f>
        <v>No</v>
      </c>
    </row>
    <row r="495" customFormat="false" ht="15" hidden="false" customHeight="false" outlineLevel="0" collapsed="false">
      <c r="A495" s="0" t="s">
        <v>1259</v>
      </c>
      <c r="B495" s="2" t="n">
        <v>45870</v>
      </c>
      <c r="C495" s="2" t="str">
        <f aca="false">TEXT(B495,"dd/mm/yyyy")</f>
        <v>01/08/2025</v>
      </c>
      <c r="D495" s="0" t="s">
        <v>42</v>
      </c>
      <c r="E495" s="0" t="n">
        <v>8033788294</v>
      </c>
      <c r="F495" s="0" t="s">
        <v>43</v>
      </c>
      <c r="G495" s="0" t="s">
        <v>2315</v>
      </c>
      <c r="H495" s="0" t="s">
        <v>1260</v>
      </c>
      <c r="I495" s="0" t="s">
        <v>134</v>
      </c>
      <c r="J495" s="0" t="s">
        <v>2317</v>
      </c>
      <c r="K495" s="3" t="str">
        <f aca="false" t="array" ref="K495:K495">IFERROR(IF(J495&lt;&gt;"",J495,INDEX(J495:J1494,MATCH(1,(F495:F1494=F495)*(I495:I1494=I495)*(L495:L1494=L495)*(J495:J1494&lt;&gt;""),0))),"Not Found")</f>
        <v>Suspension Noise</v>
      </c>
      <c r="L495" s="3" t="s">
        <v>108</v>
      </c>
      <c r="M495" s="0" t="str">
        <f aca="false">PROPER(L495)</f>
        <v>Timing Belt</v>
      </c>
      <c r="N495" s="3" t="s">
        <v>90</v>
      </c>
      <c r="O495" s="0" t="str">
        <f aca="false" t="array" ref="O495:O495">IF(N495&lt;&gt;"",N495,_xlfn.xlookup(1,(L495:L1494=L495)*(N495:N1494&lt;&gt;""),N495:N1494,"Not Found"))</f>
        <v>Musa</v>
      </c>
      <c r="P495" s="4" t="n">
        <v>14244</v>
      </c>
      <c r="Q495" s="0" t="s">
        <v>91</v>
      </c>
      <c r="R495" s="0" t="str">
        <f aca="false">PROPER(Q495)</f>
        <v>Pos</v>
      </c>
      <c r="S495" s="0" t="s">
        <v>63</v>
      </c>
      <c r="U495" s="5" t="n">
        <f aca="false">IF(ISBLANK(T495),AVERAGE(T495:T1494),T495)</f>
        <v>3.09785202863962</v>
      </c>
      <c r="V495" s="0" t="n">
        <v>2.3</v>
      </c>
      <c r="W495" s="0" t="s">
        <v>51</v>
      </c>
      <c r="X495" s="0" t="str">
        <f aca="false">IF(ISBLANK(W495),"No remarks",W495)</f>
        <v>Recommended further checks</v>
      </c>
      <c r="Y495" s="0" t="s">
        <v>52</v>
      </c>
      <c r="Z495" s="0" t="s">
        <v>94</v>
      </c>
      <c r="AA495" s="0" t="str">
        <f aca="false">PROPER(IF(ISBLANK(Z495),"Location Unavailable",Z495))</f>
        <v>Vip Section</v>
      </c>
      <c r="AB495" s="0" t="s">
        <v>147</v>
      </c>
      <c r="AC495" s="6" t="str">
        <f aca="false">PROPER(AB495)</f>
        <v>Instagram</v>
      </c>
      <c r="AD495" s="6" t="n">
        <v>15</v>
      </c>
      <c r="AE495" s="5" t="n">
        <f aca="false">IF(ISBLANK(AD495),AVERAGEIF(L495:L1494,L495,AD495:AD1494),AD495)</f>
        <v>15</v>
      </c>
      <c r="AF495" s="0" t="s">
        <v>55</v>
      </c>
      <c r="AG495" s="0" t="str">
        <f aca="false">PROPER(AF495)</f>
        <v>Available</v>
      </c>
      <c r="AH495" s="0" t="s">
        <v>155</v>
      </c>
      <c r="AI495" s="0" t="s">
        <v>98</v>
      </c>
      <c r="AJ495" s="0" t="str">
        <f aca="false">PROPER(AI495)</f>
        <v>Emergency</v>
      </c>
      <c r="AK495" s="0" t="s">
        <v>58</v>
      </c>
      <c r="AL495" s="0" t="str">
        <f aca="false">PROPER(AK495)</f>
        <v>Fleet Owner</v>
      </c>
      <c r="AM495" s="0" t="s">
        <v>2326</v>
      </c>
      <c r="AN495" s="0" t="str">
        <f aca="false">IF(ISBLANK(AM495),"Unknown",AM495)</f>
        <v>Government Convoy</v>
      </c>
      <c r="AO495" s="0" t="s">
        <v>161</v>
      </c>
      <c r="AP495" s="0" t="str">
        <f aca="false">IF(ISBLANK(AO495),"Unknown",AO495)</f>
        <v>Apprentice</v>
      </c>
      <c r="AR495" s="5" t="n">
        <f aca="false">IF(ISBLANK(AQ495),AVERAGEIF(M495:M1494,M495,AQ495:AQ1494),AQ495)</f>
        <v>27278.4810126582</v>
      </c>
      <c r="AS495" s="0" t="n">
        <v>35000</v>
      </c>
      <c r="AT495" s="5" t="n">
        <f aca="false">IF(ISBLANK(AS495),AVERAGE(AS495:AS1494),AS495)</f>
        <v>35000</v>
      </c>
      <c r="AU495" s="0" t="s">
        <v>61</v>
      </c>
      <c r="AV495" s="0" t="str">
        <f aca="false">PROPER(IF(ISBLANK(AU495),"No",AU495))</f>
        <v>No</v>
      </c>
      <c r="AX495" s="5" t="n">
        <f aca="false">IF(ISBLANK(AW495),0,AW495)</f>
        <v>0</v>
      </c>
      <c r="AY495" s="0" t="s">
        <v>130</v>
      </c>
      <c r="AZ495" s="0" t="str">
        <f aca="false">UPPER(IF(ISBLANK(AY495),"NONE",AY495))</f>
        <v>LOYALTY10</v>
      </c>
      <c r="BB495" s="7" t="str">
        <f aca="false">IF(ISBLANK(BA495),"No Follow Up Needed",BA495)</f>
        <v>No Follow Up Needed</v>
      </c>
      <c r="BC495" s="0" t="s">
        <v>50</v>
      </c>
      <c r="BD495" s="0" t="str">
        <f aca="false">PROPER(IF(ISBLANK(BC495),"Unknown",BC495))</f>
        <v>No</v>
      </c>
      <c r="BF495" s="0" t="str">
        <f aca="false">IF(ISBLANK(BE495),"No comments",BE495)</f>
        <v>No comments</v>
      </c>
      <c r="BG495" s="0" t="s">
        <v>2320</v>
      </c>
      <c r="BH495" s="0" t="str">
        <f aca="false">IF(ISBLANK(BG495),"No comments",BG495)</f>
        <v>No complaints</v>
      </c>
      <c r="BJ495" s="0" t="str">
        <f aca="false">IF(ISBLANK(BI495),"Not Mentioned",BI495)</f>
        <v>Not Mentioned</v>
      </c>
      <c r="BK495" s="0" t="s">
        <v>61</v>
      </c>
      <c r="BL495" s="0" t="str">
        <f aca="false">PROPER(IF(ISBLANK(BK495),"Not Mentioned",BK495))</f>
        <v>No</v>
      </c>
      <c r="BM495" s="0" t="s">
        <v>50</v>
      </c>
      <c r="BN495" s="0" t="str">
        <f aca="false">PROPER(IF(ISBLANK(BM495),"Not Mentioned",BM495))</f>
        <v>No</v>
      </c>
      <c r="BP495" s="0" t="str">
        <f aca="false">IF(ISBLANK(BO495),"One-Time Plan",BO495)</f>
        <v>One-Time Plan</v>
      </c>
      <c r="BQ495" s="0" t="s">
        <v>50</v>
      </c>
      <c r="BR495" s="0" t="str">
        <f aca="false">PROPER(IF(ISBLANK(BQ495),"No",BQ495))</f>
        <v>No</v>
      </c>
    </row>
    <row r="496" customFormat="false" ht="15" hidden="false" customHeight="false" outlineLevel="0" collapsed="false">
      <c r="A496" s="0" t="s">
        <v>1261</v>
      </c>
      <c r="B496" s="2" t="n">
        <v>45700</v>
      </c>
      <c r="C496" s="2" t="str">
        <f aca="false">TEXT(B496,"dd/mm/yyyy")</f>
        <v>12/02/2025</v>
      </c>
      <c r="D496" s="0" t="s">
        <v>66</v>
      </c>
      <c r="E496" s="0" t="n">
        <v>8049479427</v>
      </c>
      <c r="F496" s="0" t="s">
        <v>122</v>
      </c>
      <c r="G496" s="0" t="s">
        <v>2316</v>
      </c>
      <c r="H496" s="0" t="s">
        <v>1262</v>
      </c>
      <c r="I496" s="0" t="s">
        <v>45</v>
      </c>
      <c r="J496" s="0" t="s">
        <v>87</v>
      </c>
      <c r="K496" s="3" t="str">
        <f aca="false" t="array" ref="K496:K496">IFERROR(IF(J496&lt;&gt;"",J496,INDEX(J496:J1495,MATCH(1,(F496:F1495=F496)*(I496:I1495=I496)*(L496:L1495=L496)*(J496:J1495&lt;&gt;""),0))),"Not Found")</f>
        <v>Oil Change</v>
      </c>
      <c r="L496" s="3" t="s">
        <v>89</v>
      </c>
      <c r="M496" s="0" t="str">
        <f aca="false">PROPER(L496)</f>
        <v>Shock Absorbers</v>
      </c>
      <c r="N496" s="3" t="s">
        <v>48</v>
      </c>
      <c r="O496" s="0" t="str">
        <f aca="false" t="array" ref="O496:O496">IF(N496&lt;&gt;"",N496,_xlfn.xlookup(1,(L496:L1495=L496)*(N496:N1495&lt;&gt;""),N496:N1495,"Not Found"))</f>
        <v>Uche</v>
      </c>
      <c r="P496" s="4" t="n">
        <v>42728</v>
      </c>
      <c r="Q496" s="0" t="s">
        <v>110</v>
      </c>
      <c r="R496" s="0" t="str">
        <f aca="false">PROPER(Q496)</f>
        <v>Cash</v>
      </c>
      <c r="S496" s="0" t="s">
        <v>63</v>
      </c>
      <c r="U496" s="5" t="n">
        <f aca="false">IF(ISBLANK(T496),AVERAGE(T496:T1495),T496)</f>
        <v>3.09785202863962</v>
      </c>
      <c r="V496" s="0" t="n">
        <v>1.3</v>
      </c>
      <c r="W496" s="0" t="s">
        <v>92</v>
      </c>
      <c r="X496" s="0" t="str">
        <f aca="false">IF(ISBLANK(W496),"No remarks",W496)</f>
        <v>Urgent service</v>
      </c>
      <c r="Y496" s="0" t="s">
        <v>93</v>
      </c>
      <c r="Z496" s="0" t="s">
        <v>94</v>
      </c>
      <c r="AA496" s="0" t="str">
        <f aca="false">PROPER(IF(ISBLANK(Z496),"Location Unavailable",Z496))</f>
        <v>Vip Section</v>
      </c>
      <c r="AB496" s="0" t="s">
        <v>54</v>
      </c>
      <c r="AC496" s="6" t="str">
        <f aca="false">PROPER(AB496)</f>
        <v>Mechanic Referral</v>
      </c>
      <c r="AD496" s="6" t="n">
        <v>30</v>
      </c>
      <c r="AE496" s="5" t="n">
        <f aca="false">IF(ISBLANK(AD496),AVERAGEIF(L496:L1495,L496,AD496:AD1495),AD496)</f>
        <v>30</v>
      </c>
      <c r="AF496" s="0" t="s">
        <v>112</v>
      </c>
      <c r="AG496" s="0" t="str">
        <f aca="false">PROPER(AF496)</f>
        <v>Unavailable</v>
      </c>
      <c r="AH496" s="0" t="s">
        <v>56</v>
      </c>
      <c r="AI496" s="0" t="s">
        <v>128</v>
      </c>
      <c r="AJ496" s="0" t="str">
        <f aca="false">PROPER(AI496)</f>
        <v>Normal</v>
      </c>
      <c r="AK496" s="0" t="s">
        <v>99</v>
      </c>
      <c r="AL496" s="0" t="str">
        <f aca="false">PROPER(AK496)</f>
        <v>Uber Driver</v>
      </c>
      <c r="AN496" s="0" t="str">
        <f aca="false">IF(ISBLANK(AM496),"Unknown",AM496)</f>
        <v>Unknown</v>
      </c>
      <c r="AP496" s="0" t="str">
        <f aca="false">IF(ISBLANK(AO496),"Unknown",AO496)</f>
        <v>Unknown</v>
      </c>
      <c r="AQ496" s="0" t="n">
        <v>40000</v>
      </c>
      <c r="AR496" s="5" t="n">
        <f aca="false">IF(ISBLANK(AQ496),AVERAGEIF(M496:M1495,M496,AQ496:AQ1495),AQ496)</f>
        <v>40000</v>
      </c>
      <c r="AS496" s="0" t="n">
        <v>40000</v>
      </c>
      <c r="AT496" s="5" t="n">
        <f aca="false">IF(ISBLANK(AS496),AVERAGE(AS496:AS1495),AS496)</f>
        <v>40000</v>
      </c>
      <c r="AU496" s="0" t="s">
        <v>82</v>
      </c>
      <c r="AV496" s="0" t="str">
        <f aca="false">PROPER(IF(ISBLANK(AU496),"No",AU496))</f>
        <v>Yes</v>
      </c>
      <c r="AW496" s="0" t="n">
        <v>10000</v>
      </c>
      <c r="AX496" s="5" t="n">
        <f aca="false">IF(ISBLANK(AW496),0,AW496)</f>
        <v>10000</v>
      </c>
      <c r="AZ496" s="0" t="str">
        <f aca="false">UPPER(IF(ISBLANK(AY496),"NONE",AY496))</f>
        <v>NONE</v>
      </c>
      <c r="BA496" s="7" t="n">
        <v>45880</v>
      </c>
      <c r="BB496" s="7" t="n">
        <f aca="false">IF(ISBLANK(BA496),"No Follow Up Needed",BA496)</f>
        <v>45880</v>
      </c>
      <c r="BC496" s="0" t="s">
        <v>61</v>
      </c>
      <c r="BD496" s="0" t="str">
        <f aca="false">PROPER(IF(ISBLANK(BC496),"Unknown",BC496))</f>
        <v>No</v>
      </c>
      <c r="BE496" s="0" t="s">
        <v>171</v>
      </c>
      <c r="BF496" s="0" t="str">
        <f aca="false">IF(ISBLANK(BE496),"No comments",BE496)</f>
        <v>Shock absorber weakening</v>
      </c>
      <c r="BH496" s="0" t="str">
        <f aca="false">IF(ISBLANK(BG496),"No comments",BG496)</f>
        <v>No comments</v>
      </c>
      <c r="BI496" s="0" t="s">
        <v>50</v>
      </c>
      <c r="BJ496" s="0" t="str">
        <f aca="false">IF(ISBLANK(BI496),"Not Mentioned",BI496)</f>
        <v>No</v>
      </c>
      <c r="BK496" s="0" t="s">
        <v>50</v>
      </c>
      <c r="BL496" s="0" t="str">
        <f aca="false">PROPER(IF(ISBLANK(BK496),"Not Mentioned",BK496))</f>
        <v>No</v>
      </c>
      <c r="BM496" s="0" t="s">
        <v>63</v>
      </c>
      <c r="BN496" s="0" t="str">
        <f aca="false">PROPER(IF(ISBLANK(BM496),"Not Mentioned",BM496))</f>
        <v>Yes</v>
      </c>
      <c r="BO496" s="0" t="s">
        <v>2321</v>
      </c>
      <c r="BP496" s="0" t="str">
        <f aca="false">IF(ISBLANK(BO496),"One-Time Plan",BO496)</f>
        <v>One-Time Plan</v>
      </c>
      <c r="BR496" s="0" t="str">
        <f aca="false">PROPER(IF(ISBLANK(BQ496),"No",BQ496))</f>
        <v>No</v>
      </c>
    </row>
    <row r="497" customFormat="false" ht="15" hidden="false" customHeight="false" outlineLevel="0" collapsed="false">
      <c r="A497" s="0" t="s">
        <v>1263</v>
      </c>
      <c r="B497" s="2" t="n">
        <v>45705</v>
      </c>
      <c r="C497" s="2" t="str">
        <f aca="false">TEXT(B497,"dd/mm/yyyy")</f>
        <v>17/02/2025</v>
      </c>
      <c r="D497" s="0" t="s">
        <v>66</v>
      </c>
      <c r="E497" s="0" t="n">
        <v>8026663316</v>
      </c>
      <c r="F497" s="0" t="s">
        <v>67</v>
      </c>
      <c r="G497" s="0" t="s">
        <v>2316</v>
      </c>
      <c r="H497" s="0" t="s">
        <v>1264</v>
      </c>
      <c r="I497" s="0" t="s">
        <v>69</v>
      </c>
      <c r="J497" s="0" t="s">
        <v>2322</v>
      </c>
      <c r="K497" s="3" t="str">
        <f aca="false" t="array" ref="K497:K497">IFERROR(IF(J497&lt;&gt;"",J497,INDEX(J497:J1496,MATCH(1,(F497:F1496=F497)*(I497:I1496=I497)*(L497:L1496=L497)*(J497:J1496&lt;&gt;""),0))),"Not Found")</f>
        <v>Brake Failure</v>
      </c>
      <c r="L497" s="3" t="s">
        <v>189</v>
      </c>
      <c r="M497" s="0" t="str">
        <f aca="false">PROPER(L497)</f>
        <v>Battery</v>
      </c>
      <c r="O497" s="0" t="e">
        <f aca="false" t="array" ref="O497:O497">IF(N497&lt;&gt;"",N497,_xlfn.xlookup(1,(L497:L1496=L497)*(N497:N1496&lt;&gt;""),N497:N1496,"Not Found"))</f>
        <v>#NAME?</v>
      </c>
      <c r="P497" s="4" t="n">
        <v>17687</v>
      </c>
      <c r="Q497" s="0" t="s">
        <v>110</v>
      </c>
      <c r="R497" s="0" t="str">
        <f aca="false">PROPER(Q497)</f>
        <v>Cash</v>
      </c>
      <c r="S497" s="0" t="s">
        <v>50</v>
      </c>
      <c r="T497" s="0" t="n">
        <v>1</v>
      </c>
      <c r="U497" s="5" t="n">
        <f aca="false">IF(ISBLANK(T497),AVERAGE(T497:T1496),T497)</f>
        <v>1</v>
      </c>
      <c r="V497" s="0" t="n">
        <v>4.5</v>
      </c>
      <c r="W497" s="0" t="s">
        <v>125</v>
      </c>
      <c r="X497" s="0" t="str">
        <f aca="false">IF(ISBLANK(W497),"No remarks",W497)</f>
        <v>Customer waited</v>
      </c>
      <c r="Y497" s="0" t="s">
        <v>73</v>
      </c>
      <c r="Z497" s="0" t="s">
        <v>136</v>
      </c>
      <c r="AA497" s="0" t="str">
        <f aca="false">PROPER(IF(ISBLANK(Z497),"Location Unavailable",Z497))</f>
        <v>Vip Section</v>
      </c>
      <c r="AB497" s="0" t="s">
        <v>147</v>
      </c>
      <c r="AC497" s="6" t="str">
        <f aca="false">PROPER(AB497)</f>
        <v>Instagram</v>
      </c>
      <c r="AD497" s="6" t="n">
        <v>60</v>
      </c>
      <c r="AE497" s="5" t="n">
        <f aca="false">IF(ISBLANK(AD497),AVERAGEIF(L497:L1496,L497,AD497:AD1496),AD497)</f>
        <v>60</v>
      </c>
      <c r="AF497" s="0" t="s">
        <v>112</v>
      </c>
      <c r="AG497" s="0" t="str">
        <f aca="false">PROPER(AF497)</f>
        <v>Unavailable</v>
      </c>
      <c r="AH497" s="0" t="s">
        <v>148</v>
      </c>
      <c r="AI497" s="0" t="s">
        <v>98</v>
      </c>
      <c r="AJ497" s="0" t="str">
        <f aca="false">PROPER(AI497)</f>
        <v>Emergency</v>
      </c>
      <c r="AK497" s="0" t="s">
        <v>196</v>
      </c>
      <c r="AL497" s="0" t="str">
        <f aca="false">PROPER(AK497)</f>
        <v>First Time</v>
      </c>
      <c r="AN497" s="0" t="str">
        <f aca="false">IF(ISBLANK(AM497),"Unknown",AM497)</f>
        <v>Unknown</v>
      </c>
      <c r="AO497" s="0" t="s">
        <v>143</v>
      </c>
      <c r="AP497" s="0" t="str">
        <f aca="false">IF(ISBLANK(AO497),"Unknown",AO497)</f>
        <v>Senior</v>
      </c>
      <c r="AQ497" s="0" t="n">
        <v>30000</v>
      </c>
      <c r="AR497" s="5" t="n">
        <f aca="false">IF(ISBLANK(AQ497),AVERAGEIF(M497:M1496,M497,AQ497:AQ1496),AQ497)</f>
        <v>30000</v>
      </c>
      <c r="AS497" s="0" t="n">
        <v>35000</v>
      </c>
      <c r="AT497" s="5" t="n">
        <f aca="false">IF(ISBLANK(AS497),AVERAGE(AS497:AS1496),AS497)</f>
        <v>35000</v>
      </c>
      <c r="AU497" s="0" t="s">
        <v>61</v>
      </c>
      <c r="AV497" s="0" t="str">
        <f aca="false">PROPER(IF(ISBLANK(AU497),"No",AU497))</f>
        <v>No</v>
      </c>
      <c r="AX497" s="5" t="n">
        <f aca="false">IF(ISBLANK(AW497),0,AW497)</f>
        <v>0</v>
      </c>
      <c r="AY497" s="0" t="s">
        <v>184</v>
      </c>
      <c r="AZ497" s="0" t="str">
        <f aca="false">UPPER(IF(ISBLANK(AY497),"NONE",AY497))</f>
        <v>N/A</v>
      </c>
      <c r="BB497" s="7" t="str">
        <f aca="false">IF(ISBLANK(BA497),"No Follow Up Needed",BA497)</f>
        <v>No Follow Up Needed</v>
      </c>
      <c r="BC497" s="0" t="s">
        <v>63</v>
      </c>
      <c r="BD497" s="0" t="str">
        <f aca="false">PROPER(IF(ISBLANK(BC497),"Unknown",BC497))</f>
        <v>Yes</v>
      </c>
      <c r="BF497" s="0" t="str">
        <f aca="false">IF(ISBLANK(BE497),"No comments",BE497)</f>
        <v>No comments</v>
      </c>
      <c r="BG497" s="0" t="s">
        <v>2320</v>
      </c>
      <c r="BH497" s="0" t="str">
        <f aca="false">IF(ISBLANK(BG497),"No comments",BG497)</f>
        <v>No complaints</v>
      </c>
      <c r="BI497" s="0" t="s">
        <v>63</v>
      </c>
      <c r="BJ497" s="0" t="str">
        <f aca="false">IF(ISBLANK(BI497),"Not Mentioned",BI497)</f>
        <v>Yes</v>
      </c>
      <c r="BK497" s="0" t="s">
        <v>63</v>
      </c>
      <c r="BL497" s="0" t="str">
        <f aca="false">PROPER(IF(ISBLANK(BK497),"Not Mentioned",BK497))</f>
        <v>Yes</v>
      </c>
      <c r="BN497" s="0" t="str">
        <f aca="false">PROPER(IF(ISBLANK(BM497),"Not Mentioned",BM497))</f>
        <v>Not Mentioned</v>
      </c>
      <c r="BP497" s="0" t="str">
        <f aca="false">IF(ISBLANK(BO497),"One-Time Plan",BO497)</f>
        <v>One-Time Plan</v>
      </c>
      <c r="BQ497" s="0" t="s">
        <v>190</v>
      </c>
      <c r="BR497" s="0" t="str">
        <f aca="false">PROPER(IF(ISBLANK(BQ497),"No",BQ497))</f>
        <v>Yes</v>
      </c>
    </row>
    <row r="498" customFormat="false" ht="15" hidden="false" customHeight="false" outlineLevel="0" collapsed="false">
      <c r="A498" s="0" t="s">
        <v>1265</v>
      </c>
      <c r="B498" s="2" t="n">
        <v>45738</v>
      </c>
      <c r="C498" s="2" t="str">
        <f aca="false">TEXT(B498,"dd/mm/yyyy")</f>
        <v>22/03/2025</v>
      </c>
      <c r="D498" s="0" t="s">
        <v>163</v>
      </c>
      <c r="E498" s="0" t="n">
        <v>8081760022</v>
      </c>
      <c r="F498" s="0" t="s">
        <v>67</v>
      </c>
      <c r="G498" s="0" t="s">
        <v>2316</v>
      </c>
      <c r="H498" s="0" t="s">
        <v>1266</v>
      </c>
      <c r="I498" s="0" t="s">
        <v>45</v>
      </c>
      <c r="J498" s="0" t="s">
        <v>2322</v>
      </c>
      <c r="K498" s="3" t="str">
        <f aca="false" t="array" ref="K498:K498">IFERROR(IF(J498&lt;&gt;"",J498,INDEX(J498:J1497,MATCH(1,(F498:F1497=F498)*(I498:I1497=I498)*(L498:L1497=L498)*(J498:J1497&lt;&gt;""),0))),"Not Found")</f>
        <v>Brake Failure</v>
      </c>
      <c r="L498" s="3" t="s">
        <v>108</v>
      </c>
      <c r="M498" s="0" t="str">
        <f aca="false">PROPER(L498)</f>
        <v>Timing Belt</v>
      </c>
      <c r="N498" s="3" t="s">
        <v>71</v>
      </c>
      <c r="O498" s="0" t="str">
        <f aca="false" t="array" ref="O498:O498">IF(N498&lt;&gt;"",N498,_xlfn.xlookup(1,(L498:L1497=L498)*(N498:N1497&lt;&gt;""),N498:N1497,"Not Found"))</f>
        <v>Isaac Bobo</v>
      </c>
      <c r="P498" s="4" t="n">
        <v>26343</v>
      </c>
      <c r="Q498" s="0" t="s">
        <v>166</v>
      </c>
      <c r="R498" s="0" t="str">
        <f aca="false">PROPER(Q498)</f>
        <v>Transfer</v>
      </c>
      <c r="S498" s="0" t="s">
        <v>63</v>
      </c>
      <c r="U498" s="5" t="n">
        <f aca="false">IF(ISBLANK(T498),AVERAGE(T498:T1497),T498)</f>
        <v>3.10287081339713</v>
      </c>
      <c r="V498" s="0" t="n">
        <v>3.1</v>
      </c>
      <c r="W498" s="0" t="s">
        <v>111</v>
      </c>
      <c r="X498" s="0" t="str">
        <f aca="false">IF(ISBLANK(W498),"No remarks",W498)</f>
        <v>Changed all filters</v>
      </c>
      <c r="Y498" s="0" t="s">
        <v>52</v>
      </c>
      <c r="AA498" s="0" t="str">
        <f aca="false">PROPER(IF(ISBLANK(Z498),"Location Unavailable",Z498))</f>
        <v>Location Unavailable</v>
      </c>
      <c r="AB498" s="0" t="s">
        <v>75</v>
      </c>
      <c r="AC498" s="6" t="str">
        <f aca="false">PROPER(AB498)</f>
        <v>Mechanik Referal</v>
      </c>
      <c r="AD498" s="6" t="n">
        <v>60</v>
      </c>
      <c r="AE498" s="5" t="n">
        <f aca="false">IF(ISBLANK(AD498),AVERAGEIF(L498:L1497,L498,AD498:AD1497),AD498)</f>
        <v>60</v>
      </c>
      <c r="AF498" s="0" t="s">
        <v>76</v>
      </c>
      <c r="AG498" s="0" t="str">
        <f aca="false">PROPER(AF498)</f>
        <v>Orderd</v>
      </c>
      <c r="AH498" s="0" t="s">
        <v>77</v>
      </c>
      <c r="AI498" s="0" t="s">
        <v>128</v>
      </c>
      <c r="AJ498" s="0" t="str">
        <f aca="false">PROPER(AI498)</f>
        <v>Normal</v>
      </c>
      <c r="AK498" s="0" t="s">
        <v>99</v>
      </c>
      <c r="AL498" s="0" t="str">
        <f aca="false">PROPER(AK498)</f>
        <v>Uber Driver</v>
      </c>
      <c r="AM498" s="0" t="s">
        <v>2324</v>
      </c>
      <c r="AN498" s="0" t="str">
        <f aca="false">IF(ISBLANK(AM498),"Unknown",AM498)</f>
        <v>Logistics Convoy</v>
      </c>
      <c r="AO498" s="0" t="s">
        <v>149</v>
      </c>
      <c r="AP498" s="0" t="str">
        <f aca="false">IF(ISBLANK(AO498),"Unknown",AO498)</f>
        <v>Senior </v>
      </c>
      <c r="AQ498" s="0" t="n">
        <v>30000</v>
      </c>
      <c r="AR498" s="5" t="n">
        <f aca="false">IF(ISBLANK(AQ498),AVERAGEIF(M498:M1497,M498,AQ498:AQ1497),AQ498)</f>
        <v>30000</v>
      </c>
      <c r="AS498" s="0" t="n">
        <v>35000</v>
      </c>
      <c r="AT498" s="5" t="n">
        <f aca="false">IF(ISBLANK(AS498),AVERAGE(AS498:AS1497),AS498)</f>
        <v>35000</v>
      </c>
      <c r="AU498" s="0" t="s">
        <v>82</v>
      </c>
      <c r="AV498" s="0" t="str">
        <f aca="false">PROPER(IF(ISBLANK(AU498),"No",AU498))</f>
        <v>Yes</v>
      </c>
      <c r="AX498" s="5" t="n">
        <f aca="false">IF(ISBLANK(AW498),0,AW498)</f>
        <v>0</v>
      </c>
      <c r="AY498" s="0" t="s">
        <v>60</v>
      </c>
      <c r="AZ498" s="0" t="str">
        <f aca="false">UPPER(IF(ISBLANK(AY498),"NONE",AY498))</f>
        <v>NONE</v>
      </c>
      <c r="BA498" s="7" t="n">
        <v>45943</v>
      </c>
      <c r="BB498" s="7" t="n">
        <f aca="false">IF(ISBLANK(BA498),"No Follow Up Needed",BA498)</f>
        <v>45943</v>
      </c>
      <c r="BC498" s="0" t="s">
        <v>82</v>
      </c>
      <c r="BD498" s="0" t="str">
        <f aca="false">PROPER(IF(ISBLANK(BC498),"Unknown",BC498))</f>
        <v>Yes</v>
      </c>
      <c r="BF498" s="0" t="str">
        <f aca="false">IF(ISBLANK(BE498),"No comments",BE498)</f>
        <v>No comments</v>
      </c>
      <c r="BG498" s="0" t="s">
        <v>172</v>
      </c>
      <c r="BH498" s="0" t="str">
        <f aca="false">IF(ISBLANK(BG498),"No comments",BG498)</f>
        <v>Always late</v>
      </c>
      <c r="BJ498" s="0" t="str">
        <f aca="false">IF(ISBLANK(BI498),"Not Mentioned",BI498)</f>
        <v>Not Mentioned</v>
      </c>
      <c r="BK498" s="0" t="s">
        <v>50</v>
      </c>
      <c r="BL498" s="0" t="str">
        <f aca="false">PROPER(IF(ISBLANK(BK498),"Not Mentioned",BK498))</f>
        <v>No</v>
      </c>
      <c r="BM498" s="0" t="s">
        <v>50</v>
      </c>
      <c r="BN498" s="0" t="str">
        <f aca="false">PROPER(IF(ISBLANK(BM498),"Not Mentioned",BM498))</f>
        <v>No</v>
      </c>
      <c r="BP498" s="0" t="str">
        <f aca="false">IF(ISBLANK(BO498),"One-Time Plan",BO498)</f>
        <v>One-Time Plan</v>
      </c>
      <c r="BQ498" s="0" t="s">
        <v>63</v>
      </c>
      <c r="BR498" s="0" t="str">
        <f aca="false">PROPER(IF(ISBLANK(BQ498),"No",BQ498))</f>
        <v>Yes</v>
      </c>
    </row>
    <row r="499" customFormat="false" ht="15" hidden="false" customHeight="false" outlineLevel="0" collapsed="false">
      <c r="A499" s="0" t="s">
        <v>1267</v>
      </c>
      <c r="B499" s="2" t="n">
        <v>45666</v>
      </c>
      <c r="C499" s="2" t="str">
        <f aca="false">TEXT(B499,"dd/mm/yyyy")</f>
        <v>09/01/2025</v>
      </c>
      <c r="D499" s="0" t="s">
        <v>66</v>
      </c>
      <c r="E499" s="0" t="n">
        <v>8062458932</v>
      </c>
      <c r="F499" s="0" t="s">
        <v>139</v>
      </c>
      <c r="G499" s="0" t="s">
        <v>2323</v>
      </c>
      <c r="H499" s="0" t="s">
        <v>1268</v>
      </c>
      <c r="I499" s="0" t="s">
        <v>45</v>
      </c>
      <c r="J499" s="0" t="s">
        <v>2322</v>
      </c>
      <c r="K499" s="3" t="str">
        <f aca="false" t="array" ref="K499:K499">IFERROR(IF(J499&lt;&gt;"",J499,INDEX(J499:J1498,MATCH(1,(F499:F1498=F499)*(I499:I1498=I499)*(L499:L1498=L499)*(J499:J1498&lt;&gt;""),0))),"Not Found")</f>
        <v>Brake Failure</v>
      </c>
      <c r="L499" s="3" t="s">
        <v>154</v>
      </c>
      <c r="M499" s="0" t="str">
        <f aca="false">PROPER(L499)</f>
        <v>Air Filter</v>
      </c>
      <c r="N499" s="3" t="s">
        <v>71</v>
      </c>
      <c r="O499" s="0" t="str">
        <f aca="false" t="array" ref="O499:O499">IF(N499&lt;&gt;"",N499,_xlfn.xlookup(1,(L499:L1498=L499)*(N499:N1498&lt;&gt;""),N499:N1498,"Not Found"))</f>
        <v>Isaac Bobo</v>
      </c>
      <c r="P499" s="4" t="n">
        <v>12209</v>
      </c>
      <c r="Q499" s="0" t="s">
        <v>166</v>
      </c>
      <c r="R499" s="0" t="str">
        <f aca="false">PROPER(Q499)</f>
        <v>Transfer</v>
      </c>
      <c r="S499" s="0" t="s">
        <v>50</v>
      </c>
      <c r="T499" s="0" t="n">
        <v>5</v>
      </c>
      <c r="U499" s="5" t="n">
        <f aca="false">IF(ISBLANK(T499),AVERAGE(T499:T1498),T499)</f>
        <v>5</v>
      </c>
      <c r="V499" s="0" t="n">
        <v>1.2</v>
      </c>
      <c r="W499" s="0" t="s">
        <v>125</v>
      </c>
      <c r="X499" s="0" t="str">
        <f aca="false">IF(ISBLANK(W499),"No remarks",W499)</f>
        <v>Customer waited</v>
      </c>
      <c r="Y499" s="0" t="s">
        <v>73</v>
      </c>
      <c r="Z499" s="0" t="s">
        <v>136</v>
      </c>
      <c r="AA499" s="0" t="str">
        <f aca="false">PROPER(IF(ISBLANK(Z499),"Location Unavailable",Z499))</f>
        <v>Vip Section</v>
      </c>
      <c r="AB499" s="0" t="s">
        <v>75</v>
      </c>
      <c r="AC499" s="6" t="str">
        <f aca="false">PROPER(AB499)</f>
        <v>Mechanik Referal</v>
      </c>
      <c r="AE499" s="5" t="n">
        <f aca="false">IF(ISBLANK(AD499),AVERAGEIF(L499:L1498,L499,AD499:AD1498),AD499)</f>
        <v>37.2151898734177</v>
      </c>
      <c r="AF499" s="0" t="s">
        <v>55</v>
      </c>
      <c r="AG499" s="0" t="str">
        <f aca="false">PROPER(AF499)</f>
        <v>Available</v>
      </c>
      <c r="AH499" s="0" t="s">
        <v>155</v>
      </c>
      <c r="AI499" s="0" t="s">
        <v>98</v>
      </c>
      <c r="AJ499" s="0" t="str">
        <f aca="false">PROPER(AI499)</f>
        <v>Emergency</v>
      </c>
      <c r="AK499" s="0" t="s">
        <v>114</v>
      </c>
      <c r="AL499" s="0" t="str">
        <f aca="false">PROPER(AK499)</f>
        <v>Returning</v>
      </c>
      <c r="AN499" s="0" t="str">
        <f aca="false">IF(ISBLANK(AM499),"Unknown",AM499)</f>
        <v>Unknown</v>
      </c>
      <c r="AO499" s="0" t="s">
        <v>161</v>
      </c>
      <c r="AP499" s="0" t="str">
        <f aca="false">IF(ISBLANK(AO499),"Unknown",AO499)</f>
        <v>Apprentice</v>
      </c>
      <c r="AQ499" s="0" t="n">
        <v>40000</v>
      </c>
      <c r="AR499" s="5" t="n">
        <f aca="false">IF(ISBLANK(AQ499),AVERAGEIF(M499:M1498,M499,AQ499:AQ1498),AQ499)</f>
        <v>40000</v>
      </c>
      <c r="AT499" s="5" t="n">
        <f aca="false">IF(ISBLANK(AS499),AVERAGE(AS499:AS1498),AS499)</f>
        <v>31578.9473684211</v>
      </c>
      <c r="AU499" s="0" t="s">
        <v>82</v>
      </c>
      <c r="AV499" s="0" t="str">
        <f aca="false">PROPER(IF(ISBLANK(AU499),"No",AU499))</f>
        <v>Yes</v>
      </c>
      <c r="AW499" s="0" t="n">
        <v>10000</v>
      </c>
      <c r="AX499" s="5" t="n">
        <f aca="false">IF(ISBLANK(AW499),0,AW499)</f>
        <v>10000</v>
      </c>
      <c r="AY499" s="0" t="s">
        <v>184</v>
      </c>
      <c r="AZ499" s="0" t="str">
        <f aca="false">UPPER(IF(ISBLANK(AY499),"NONE",AY499))</f>
        <v>N/A</v>
      </c>
      <c r="BA499" s="7" t="n">
        <v>45998</v>
      </c>
      <c r="BB499" s="7" t="n">
        <f aca="false">IF(ISBLANK(BA499),"No Follow Up Needed",BA499)</f>
        <v>45998</v>
      </c>
      <c r="BC499" s="0" t="s">
        <v>61</v>
      </c>
      <c r="BD499" s="0" t="str">
        <f aca="false">PROPER(IF(ISBLANK(BC499),"Unknown",BC499))</f>
        <v>No</v>
      </c>
      <c r="BF499" s="0" t="str">
        <f aca="false">IF(ISBLANK(BE499),"No comments",BE499)</f>
        <v>No comments</v>
      </c>
      <c r="BG499" s="0" t="s">
        <v>172</v>
      </c>
      <c r="BH499" s="0" t="str">
        <f aca="false">IF(ISBLANK(BG499),"No comments",BG499)</f>
        <v>Always late</v>
      </c>
      <c r="BI499" s="0" t="s">
        <v>63</v>
      </c>
      <c r="BJ499" s="0" t="str">
        <f aca="false">IF(ISBLANK(BI499),"Not Mentioned",BI499)</f>
        <v>Yes</v>
      </c>
      <c r="BL499" s="0" t="str">
        <f aca="false">PROPER(IF(ISBLANK(BK499),"Not Mentioned",BK499))</f>
        <v>Not Mentioned</v>
      </c>
      <c r="BM499" s="0" t="s">
        <v>50</v>
      </c>
      <c r="BN499" s="0" t="str">
        <f aca="false">PROPER(IF(ISBLANK(BM499),"Not Mentioned",BM499))</f>
        <v>No</v>
      </c>
      <c r="BO499" s="0" t="s">
        <v>64</v>
      </c>
      <c r="BP499" s="0" t="str">
        <f aca="false">IF(ISBLANK(BO499),"One-Time Plan",BO499)</f>
        <v>Gold Maintenance Plan</v>
      </c>
      <c r="BR499" s="0" t="str">
        <f aca="false">PROPER(IF(ISBLANK(BQ499),"No",BQ499))</f>
        <v>No</v>
      </c>
    </row>
    <row r="500" customFormat="false" ht="15" hidden="false" customHeight="false" outlineLevel="0" collapsed="false">
      <c r="A500" s="0" t="s">
        <v>1269</v>
      </c>
      <c r="B500" s="2" t="n">
        <v>45691</v>
      </c>
      <c r="C500" s="2" t="str">
        <f aca="false">TEXT(B500,"dd/mm/yyyy")</f>
        <v>03/02/2025</v>
      </c>
      <c r="D500" s="0" t="s">
        <v>42</v>
      </c>
      <c r="E500" s="0" t="n">
        <v>8032609429</v>
      </c>
      <c r="F500" s="0" t="s">
        <v>43</v>
      </c>
      <c r="G500" s="0" t="s">
        <v>2315</v>
      </c>
      <c r="H500" s="0" t="s">
        <v>1270</v>
      </c>
      <c r="I500" s="0" t="s">
        <v>45</v>
      </c>
      <c r="J500" s="0" t="s">
        <v>2317</v>
      </c>
      <c r="K500" s="3" t="str">
        <f aca="false" t="array" ref="K500:K500">IFERROR(IF(J500&lt;&gt;"",J500,INDEX(J500:J1499,MATCH(1,(F500:F1499=F500)*(I500:I1499=I500)*(L500:L1499=L500)*(J500:J1499&lt;&gt;""),0))),"Not Found")</f>
        <v>Suspension Noise</v>
      </c>
      <c r="L500" s="3" t="s">
        <v>154</v>
      </c>
      <c r="M500" s="0" t="str">
        <f aca="false">PROPER(L500)</f>
        <v>Air Filter</v>
      </c>
      <c r="N500" s="3" t="s">
        <v>90</v>
      </c>
      <c r="O500" s="0" t="str">
        <f aca="false" t="array" ref="O500:O500">IF(N500&lt;&gt;"",N500,_xlfn.xlookup(1,(L500:L1499=L500)*(N500:N1499&lt;&gt;""),N500:N1499,"Not Found"))</f>
        <v>Musa</v>
      </c>
      <c r="P500" s="4" t="n">
        <v>90758</v>
      </c>
      <c r="Q500" s="0" t="s">
        <v>166</v>
      </c>
      <c r="R500" s="0" t="str">
        <f aca="false">PROPER(Q500)</f>
        <v>Transfer</v>
      </c>
      <c r="S500" s="0" t="s">
        <v>63</v>
      </c>
      <c r="T500" s="0" t="n">
        <v>2</v>
      </c>
      <c r="U500" s="5" t="n">
        <f aca="false">IF(ISBLANK(T500),AVERAGE(T500:T1499),T500)</f>
        <v>2</v>
      </c>
      <c r="V500" s="0" t="n">
        <v>1.5</v>
      </c>
      <c r="X500" s="0" t="str">
        <f aca="false">IF(ISBLANK(W500),"No remarks",W500)</f>
        <v>No remarks</v>
      </c>
      <c r="Y500" s="0" t="s">
        <v>93</v>
      </c>
      <c r="Z500" s="0" t="s">
        <v>136</v>
      </c>
      <c r="AA500" s="0" t="str">
        <f aca="false">PROPER(IF(ISBLANK(Z500),"Location Unavailable",Z500))</f>
        <v>Vip Section</v>
      </c>
      <c r="AB500" s="0" t="s">
        <v>147</v>
      </c>
      <c r="AC500" s="6" t="str">
        <f aca="false">PROPER(AB500)</f>
        <v>Instagram</v>
      </c>
      <c r="AE500" s="5" t="n">
        <f aca="false">IF(ISBLANK(AD500),AVERAGEIF(L500:L1499,L500,AD500:AD1499),AD500)</f>
        <v>37.2151898734177</v>
      </c>
      <c r="AF500" s="0" t="s">
        <v>76</v>
      </c>
      <c r="AG500" s="0" t="str">
        <f aca="false">PROPER(AF500)</f>
        <v>Orderd</v>
      </c>
      <c r="AH500" s="0" t="s">
        <v>155</v>
      </c>
      <c r="AI500" s="0" t="s">
        <v>98</v>
      </c>
      <c r="AJ500" s="0" t="str">
        <f aca="false">PROPER(AI500)</f>
        <v>Emergency</v>
      </c>
      <c r="AK500" s="0" t="s">
        <v>58</v>
      </c>
      <c r="AL500" s="0" t="str">
        <f aca="false">PROPER(AK500)</f>
        <v>Fleet Owner</v>
      </c>
      <c r="AM500" s="0" t="s">
        <v>59</v>
      </c>
      <c r="AN500" s="0" t="str">
        <f aca="false">IF(ISBLANK(AM500),"Unknown",AM500)</f>
        <v>Bolt Driver</v>
      </c>
      <c r="AO500" s="0" t="s">
        <v>161</v>
      </c>
      <c r="AP500" s="0" t="str">
        <f aca="false">IF(ISBLANK(AO500),"Unknown",AO500)</f>
        <v>Apprentice</v>
      </c>
      <c r="AQ500" s="0" t="n">
        <v>25000</v>
      </c>
      <c r="AR500" s="5" t="n">
        <f aca="false">IF(ISBLANK(AQ500),AVERAGEIF(M500:M1499,M500,AQ500:AQ1499),AQ500)</f>
        <v>25000</v>
      </c>
      <c r="AT500" s="5" t="n">
        <f aca="false">IF(ISBLANK(AS500),AVERAGE(AS500:AS1499),AS500)</f>
        <v>31578.9473684211</v>
      </c>
      <c r="AU500" s="0" t="s">
        <v>63</v>
      </c>
      <c r="AV500" s="0" t="str">
        <f aca="false">PROPER(IF(ISBLANK(AU500),"No",AU500))</f>
        <v>Yes</v>
      </c>
      <c r="AX500" s="5" t="n">
        <f aca="false">IF(ISBLANK(AW500),0,AW500)</f>
        <v>0</v>
      </c>
      <c r="AY500" s="0" t="s">
        <v>184</v>
      </c>
      <c r="AZ500" s="0" t="str">
        <f aca="false">UPPER(IF(ISBLANK(AY500),"NONE",AY500))</f>
        <v>N/A</v>
      </c>
      <c r="BB500" s="7" t="str">
        <f aca="false">IF(ISBLANK(BA500),"No Follow Up Needed",BA500)</f>
        <v>No Follow Up Needed</v>
      </c>
      <c r="BC500" s="0" t="s">
        <v>50</v>
      </c>
      <c r="BD500" s="0" t="str">
        <f aca="false">PROPER(IF(ISBLANK(BC500),"Unknown",BC500))</f>
        <v>No</v>
      </c>
      <c r="BF500" s="0" t="str">
        <f aca="false">IF(ISBLANK(BE500),"No comments",BE500)</f>
        <v>No comments</v>
      </c>
      <c r="BH500" s="0" t="str">
        <f aca="false">IF(ISBLANK(BG500),"No comments",BG500)</f>
        <v>No comments</v>
      </c>
      <c r="BI500" s="0" t="s">
        <v>63</v>
      </c>
      <c r="BJ500" s="0" t="str">
        <f aca="false">IF(ISBLANK(BI500),"Not Mentioned",BI500)</f>
        <v>Yes</v>
      </c>
      <c r="BK500" s="0" t="s">
        <v>63</v>
      </c>
      <c r="BL500" s="0" t="str">
        <f aca="false">PROPER(IF(ISBLANK(BK500),"Not Mentioned",BK500))</f>
        <v>Yes</v>
      </c>
      <c r="BM500" s="0" t="s">
        <v>50</v>
      </c>
      <c r="BN500" s="0" t="str">
        <f aca="false">PROPER(IF(ISBLANK(BM500),"Not Mentioned",BM500))</f>
        <v>No</v>
      </c>
      <c r="BO500" s="0" t="s">
        <v>64</v>
      </c>
      <c r="BP500" s="0" t="str">
        <f aca="false">IF(ISBLANK(BO500),"One-Time Plan",BO500)</f>
        <v>Gold Maintenance Plan</v>
      </c>
      <c r="BQ500" s="0" t="s">
        <v>198</v>
      </c>
      <c r="BR500" s="0" t="str">
        <f aca="false">PROPER(IF(ISBLANK(BQ500),"No",BQ500))</f>
        <v>Followed Up</v>
      </c>
    </row>
    <row r="501" customFormat="false" ht="15" hidden="false" customHeight="false" outlineLevel="0" collapsed="false">
      <c r="A501" s="0" t="s">
        <v>1271</v>
      </c>
      <c r="B501" s="2" t="s">
        <v>592</v>
      </c>
      <c r="C501" s="2" t="str">
        <f aca="false">TEXT(B501,"dd/mm/yyyy")</f>
        <v>25/02/2025</v>
      </c>
      <c r="D501" s="0" t="s">
        <v>42</v>
      </c>
      <c r="E501" s="0" t="n">
        <v>8020413322</v>
      </c>
      <c r="F501" s="0" t="s">
        <v>122</v>
      </c>
      <c r="G501" s="0" t="s">
        <v>2316</v>
      </c>
      <c r="H501" s="0" t="s">
        <v>1272</v>
      </c>
      <c r="I501" s="0" t="s">
        <v>107</v>
      </c>
      <c r="J501" s="0" t="s">
        <v>2325</v>
      </c>
      <c r="K501" s="3" t="str">
        <f aca="false" t="array" ref="K501:K501">IFERROR(IF(J501&lt;&gt;"",J501,INDEX(J501:J1500,MATCH(1,(F501:F1500=F501)*(I501:I1500=I501)*(L501:L1500=L501)*(J501:J1500&lt;&gt;""),0))),"Not Found")</f>
        <v>Engine Knocking</v>
      </c>
      <c r="L501" s="3" t="s">
        <v>108</v>
      </c>
      <c r="M501" s="0" t="str">
        <f aca="false">PROPER(L501)</f>
        <v>Timing Belt</v>
      </c>
      <c r="N501" s="3" t="s">
        <v>48</v>
      </c>
      <c r="O501" s="0" t="str">
        <f aca="false" t="array" ref="O501:O501">IF(N501&lt;&gt;"",N501,_xlfn.xlookup(1,(L501:L1500=L501)*(N501:N1500&lt;&gt;""),N501:N1500,"Not Found"))</f>
        <v>Uche</v>
      </c>
      <c r="P501" s="4" t="n">
        <v>57603</v>
      </c>
      <c r="Q501" s="0" t="s">
        <v>110</v>
      </c>
      <c r="R501" s="0" t="str">
        <f aca="false">PROPER(Q501)</f>
        <v>Cash</v>
      </c>
      <c r="S501" s="0" t="s">
        <v>50</v>
      </c>
      <c r="T501" s="0" t="n">
        <v>2</v>
      </c>
      <c r="U501" s="5" t="n">
        <f aca="false">IF(ISBLANK(T501),AVERAGE(T501:T1500),T501)</f>
        <v>2</v>
      </c>
      <c r="V501" s="0" t="n">
        <v>6</v>
      </c>
      <c r="W501" s="0" t="s">
        <v>125</v>
      </c>
      <c r="X501" s="0" t="str">
        <f aca="false">IF(ISBLANK(W501),"No remarks",W501)</f>
        <v>Customer waited</v>
      </c>
      <c r="Y501" s="0" t="s">
        <v>93</v>
      </c>
      <c r="Z501" s="0" t="s">
        <v>53</v>
      </c>
      <c r="AA501" s="0" t="str">
        <f aca="false">PROPER(IF(ISBLANK(Z501),"Location Unavailable",Z501))</f>
        <v>Main Bay</v>
      </c>
      <c r="AB501" s="0" t="s">
        <v>54</v>
      </c>
      <c r="AC501" s="6" t="str">
        <f aca="false">PROPER(AB501)</f>
        <v>Mechanic Referral</v>
      </c>
      <c r="AD501" s="6" t="n">
        <v>15</v>
      </c>
      <c r="AE501" s="5" t="n">
        <f aca="false">IF(ISBLANK(AD501),AVERAGEIF(L501:L1500,L501,AD501:AD1500),AD501)</f>
        <v>15</v>
      </c>
      <c r="AF501" s="0" t="s">
        <v>112</v>
      </c>
      <c r="AG501" s="0" t="str">
        <f aca="false">PROPER(AF501)</f>
        <v>Unavailable</v>
      </c>
      <c r="AH501" s="0" t="s">
        <v>77</v>
      </c>
      <c r="AI501" s="0" t="s">
        <v>113</v>
      </c>
      <c r="AJ501" s="0" t="str">
        <f aca="false">PROPER(AI501)</f>
        <v>Normal</v>
      </c>
      <c r="AK501" s="0" t="s">
        <v>196</v>
      </c>
      <c r="AL501" s="0" t="str">
        <f aca="false">PROPER(AK501)</f>
        <v>First Time</v>
      </c>
      <c r="AM501" s="0" t="s">
        <v>2324</v>
      </c>
      <c r="AN501" s="0" t="str">
        <f aca="false">IF(ISBLANK(AM501),"Unknown",AM501)</f>
        <v>Logistics Convoy</v>
      </c>
      <c r="AO501" s="0" t="s">
        <v>161</v>
      </c>
      <c r="AP501" s="0" t="str">
        <f aca="false">IF(ISBLANK(AO501),"Unknown",AO501)</f>
        <v>Apprentice</v>
      </c>
      <c r="AQ501" s="0" t="n">
        <v>30000</v>
      </c>
      <c r="AR501" s="5" t="n">
        <f aca="false">IF(ISBLANK(AQ501),AVERAGEIF(M501:M1500,M501,AQ501:AQ1500),AQ501)</f>
        <v>30000</v>
      </c>
      <c r="AS501" s="0" t="n">
        <v>35000</v>
      </c>
      <c r="AT501" s="5" t="n">
        <f aca="false">IF(ISBLANK(AS501),AVERAGE(AS501:AS1500),AS501)</f>
        <v>35000</v>
      </c>
      <c r="AU501" s="0" t="s">
        <v>63</v>
      </c>
      <c r="AV501" s="0" t="str">
        <f aca="false">PROPER(IF(ISBLANK(AU501),"No",AU501))</f>
        <v>Yes</v>
      </c>
      <c r="AW501" s="0" t="n">
        <v>5000</v>
      </c>
      <c r="AX501" s="5" t="n">
        <f aca="false">IF(ISBLANK(AW501),0,AW501)</f>
        <v>5000</v>
      </c>
      <c r="AY501" s="0" t="s">
        <v>80</v>
      </c>
      <c r="AZ501" s="0" t="str">
        <f aca="false">UPPER(IF(ISBLANK(AY501),"NONE",AY501))</f>
        <v>PROMO10</v>
      </c>
      <c r="BB501" s="7" t="str">
        <f aca="false">IF(ISBLANK(BA501),"No Follow Up Needed",BA501)</f>
        <v>No Follow Up Needed</v>
      </c>
      <c r="BC501" s="0" t="s">
        <v>50</v>
      </c>
      <c r="BD501" s="0" t="str">
        <f aca="false">PROPER(IF(ISBLANK(BC501),"Unknown",BC501))</f>
        <v>No</v>
      </c>
      <c r="BE501" s="0" t="s">
        <v>116</v>
      </c>
      <c r="BF501" s="0" t="str">
        <f aca="false">IF(ISBLANK(BE501),"No comments",BE501)</f>
        <v>Needs tire alignment</v>
      </c>
      <c r="BH501" s="0" t="str">
        <f aca="false">IF(ISBLANK(BG501),"No comments",BG501)</f>
        <v>No comments</v>
      </c>
      <c r="BJ501" s="0" t="str">
        <f aca="false">IF(ISBLANK(BI501),"Not Mentioned",BI501)</f>
        <v>Not Mentioned</v>
      </c>
      <c r="BK501" s="0" t="s">
        <v>82</v>
      </c>
      <c r="BL501" s="0" t="str">
        <f aca="false">PROPER(IF(ISBLANK(BK501),"Not Mentioned",BK501))</f>
        <v>Yes</v>
      </c>
      <c r="BM501" s="0" t="s">
        <v>63</v>
      </c>
      <c r="BN501" s="0" t="str">
        <f aca="false">PROPER(IF(ISBLANK(BM501),"Not Mentioned",BM501))</f>
        <v>Yes</v>
      </c>
      <c r="BO501" s="0" t="s">
        <v>2321</v>
      </c>
      <c r="BP501" s="0" t="str">
        <f aca="false">IF(ISBLANK(BO501),"One-Time Plan",BO501)</f>
        <v>One-Time Plan</v>
      </c>
      <c r="BQ501" s="0" t="s">
        <v>198</v>
      </c>
      <c r="BR501" s="0" t="str">
        <f aca="false">PROPER(IF(ISBLANK(BQ501),"No",BQ501))</f>
        <v>Followed Up</v>
      </c>
    </row>
    <row r="502" customFormat="false" ht="15" hidden="false" customHeight="false" outlineLevel="0" collapsed="false">
      <c r="A502" s="0" t="s">
        <v>1273</v>
      </c>
      <c r="B502" s="2" t="n">
        <v>45702</v>
      </c>
      <c r="C502" s="2" t="str">
        <f aca="false">TEXT(B502,"dd/mm/yyyy")</f>
        <v>14/02/2025</v>
      </c>
      <c r="D502" s="0" t="s">
        <v>42</v>
      </c>
      <c r="E502" s="0" t="n">
        <v>8011504663</v>
      </c>
      <c r="F502" s="0" t="s">
        <v>139</v>
      </c>
      <c r="G502" s="0" t="s">
        <v>2323</v>
      </c>
      <c r="H502" s="0" t="s">
        <v>1274</v>
      </c>
      <c r="I502" s="0" t="s">
        <v>45</v>
      </c>
      <c r="J502" s="0" t="s">
        <v>87</v>
      </c>
      <c r="K502" s="3" t="str">
        <f aca="false" t="array" ref="K502:K502">IFERROR(IF(J502&lt;&gt;"",J502,INDEX(J502:J1501,MATCH(1,(F502:F1501=F502)*(I502:I1501=I502)*(L502:L1501=L502)*(J502:J1501&lt;&gt;""),0))),"Not Found")</f>
        <v>Oil Change</v>
      </c>
      <c r="L502" s="3" t="s">
        <v>154</v>
      </c>
      <c r="M502" s="0" t="str">
        <f aca="false">PROPER(L502)</f>
        <v>Air Filter</v>
      </c>
      <c r="N502" s="3" t="s">
        <v>48</v>
      </c>
      <c r="O502" s="0" t="str">
        <f aca="false" t="array" ref="O502:O502">IF(N502&lt;&gt;"",N502,_xlfn.xlookup(1,(L502:L1501=L502)*(N502:N1501&lt;&gt;""),N502:N1501,"Not Found"))</f>
        <v>Uche</v>
      </c>
      <c r="P502" s="4" t="n">
        <v>63154</v>
      </c>
      <c r="Q502" s="0" t="s">
        <v>72</v>
      </c>
      <c r="R502" s="0" t="str">
        <f aca="false">PROPER(Q502)</f>
        <v>Pos</v>
      </c>
      <c r="S502" s="0" t="s">
        <v>63</v>
      </c>
      <c r="T502" s="0" t="n">
        <v>3</v>
      </c>
      <c r="U502" s="5" t="n">
        <f aca="false">IF(ISBLANK(T502),AVERAGE(T502:T1501),T502)</f>
        <v>3</v>
      </c>
      <c r="V502" s="0" t="n">
        <v>3.3</v>
      </c>
      <c r="W502" s="0" t="s">
        <v>92</v>
      </c>
      <c r="X502" s="0" t="str">
        <f aca="false">IF(ISBLANK(W502),"No remarks",W502)</f>
        <v>Urgent service</v>
      </c>
      <c r="Y502" s="0" t="s">
        <v>73</v>
      </c>
      <c r="Z502" s="0" t="s">
        <v>94</v>
      </c>
      <c r="AA502" s="0" t="str">
        <f aca="false">PROPER(IF(ISBLANK(Z502),"Location Unavailable",Z502))</f>
        <v>Vip Section</v>
      </c>
      <c r="AB502" s="0" t="s">
        <v>75</v>
      </c>
      <c r="AC502" s="6" t="str">
        <f aca="false">PROPER(AB502)</f>
        <v>Mechanik Referal</v>
      </c>
      <c r="AE502" s="5" t="n">
        <f aca="false">IF(ISBLANK(AD502),AVERAGEIF(L502:L1501,L502,AD502:AD1501),AD502)</f>
        <v>37.2151898734177</v>
      </c>
      <c r="AF502" s="0" t="s">
        <v>160</v>
      </c>
      <c r="AG502" s="0" t="str">
        <f aca="false">PROPER(AF502)</f>
        <v>Availaible</v>
      </c>
      <c r="AH502" s="0" t="s">
        <v>56</v>
      </c>
      <c r="AI502" s="0" t="s">
        <v>78</v>
      </c>
      <c r="AJ502" s="0" t="str">
        <f aca="false">PROPER(AI502)</f>
        <v>Booking</v>
      </c>
      <c r="AK502" s="0" t="s">
        <v>196</v>
      </c>
      <c r="AL502" s="0" t="str">
        <f aca="false">PROPER(AK502)</f>
        <v>First Time</v>
      </c>
      <c r="AN502" s="0" t="str">
        <f aca="false">IF(ISBLANK(AM502),"Unknown",AM502)</f>
        <v>Unknown</v>
      </c>
      <c r="AO502" s="0" t="s">
        <v>149</v>
      </c>
      <c r="AP502" s="0" t="str">
        <f aca="false">IF(ISBLANK(AO502),"Unknown",AO502)</f>
        <v>Senior </v>
      </c>
      <c r="AR502" s="5" t="n">
        <f aca="false">IF(ISBLANK(AQ502),AVERAGEIF(M502:M1501,M502,AQ502:AQ1501),AQ502)</f>
        <v>26739.1304347826</v>
      </c>
      <c r="AT502" s="5" t="n">
        <f aca="false">IF(ISBLANK(AS502),AVERAGE(AS502:AS1501),AS502)</f>
        <v>31570.7434052758</v>
      </c>
      <c r="AU502" s="0" t="s">
        <v>61</v>
      </c>
      <c r="AV502" s="0" t="str">
        <f aca="false">PROPER(IF(ISBLANK(AU502),"No",AU502))</f>
        <v>No</v>
      </c>
      <c r="AW502" s="0" t="n">
        <v>0</v>
      </c>
      <c r="AX502" s="5" t="n">
        <f aca="false">IF(ISBLANK(AW502),0,AW502)</f>
        <v>0</v>
      </c>
      <c r="AY502" s="0" t="s">
        <v>80</v>
      </c>
      <c r="AZ502" s="0" t="str">
        <f aca="false">UPPER(IF(ISBLANK(AY502),"NONE",AY502))</f>
        <v>PROMO10</v>
      </c>
      <c r="BB502" s="7" t="str">
        <f aca="false">IF(ISBLANK(BA502),"No Follow Up Needed",BA502)</f>
        <v>No Follow Up Needed</v>
      </c>
      <c r="BC502" s="0" t="s">
        <v>50</v>
      </c>
      <c r="BD502" s="0" t="str">
        <f aca="false">PROPER(IF(ISBLANK(BC502),"Unknown",BC502))</f>
        <v>No</v>
      </c>
      <c r="BE502" s="0" t="s">
        <v>171</v>
      </c>
      <c r="BF502" s="0" t="str">
        <f aca="false">IF(ISBLANK(BE502),"No comments",BE502)</f>
        <v>Shock absorber weakening</v>
      </c>
      <c r="BG502" s="0" t="s">
        <v>117</v>
      </c>
      <c r="BH502" s="0" t="str">
        <f aca="false">IF(ISBLANK(BG502),"No comments",BG502)</f>
        <v>Prefers morning</v>
      </c>
      <c r="BI502" s="0" t="s">
        <v>50</v>
      </c>
      <c r="BJ502" s="0" t="str">
        <f aca="false">IF(ISBLANK(BI502),"Not Mentioned",BI502)</f>
        <v>No</v>
      </c>
      <c r="BK502" s="0" t="s">
        <v>61</v>
      </c>
      <c r="BL502" s="0" t="str">
        <f aca="false">PROPER(IF(ISBLANK(BK502),"Not Mentioned",BK502))</f>
        <v>No</v>
      </c>
      <c r="BN502" s="0" t="str">
        <f aca="false">PROPER(IF(ISBLANK(BM502),"Not Mentioned",BM502))</f>
        <v>Not Mentioned</v>
      </c>
      <c r="BP502" s="0" t="str">
        <f aca="false">IF(ISBLANK(BO502),"One-Time Plan",BO502)</f>
        <v>One-Time Plan</v>
      </c>
      <c r="BQ502" s="0" t="s">
        <v>50</v>
      </c>
      <c r="BR502" s="0" t="str">
        <f aca="false">PROPER(IF(ISBLANK(BQ502),"No",BQ502))</f>
        <v>No</v>
      </c>
    </row>
    <row r="503" customFormat="false" ht="15" hidden="false" customHeight="false" outlineLevel="0" collapsed="false">
      <c r="A503" s="0" t="s">
        <v>1275</v>
      </c>
      <c r="B503" s="2" t="n">
        <v>45771</v>
      </c>
      <c r="C503" s="2" t="str">
        <f aca="false">TEXT(B503,"dd/mm/yyyy")</f>
        <v>24/04/2025</v>
      </c>
      <c r="D503" s="0" t="s">
        <v>121</v>
      </c>
      <c r="E503" s="0" t="n">
        <v>8046675298</v>
      </c>
      <c r="F503" s="0" t="s">
        <v>139</v>
      </c>
      <c r="G503" s="0" t="s">
        <v>2323</v>
      </c>
      <c r="H503" s="0" t="s">
        <v>1276</v>
      </c>
      <c r="I503" s="0" t="s">
        <v>69</v>
      </c>
      <c r="J503" s="0" t="s">
        <v>2317</v>
      </c>
      <c r="K503" s="3" t="str">
        <f aca="false" t="array" ref="K503:K503">IFERROR(IF(J503&lt;&gt;"",J503,INDEX(J503:J1502,MATCH(1,(F503:F1502=F503)*(I503:I1502=I503)*(L503:L1502=L503)*(J503:J1502&lt;&gt;""),0))),"Not Found")</f>
        <v>Suspension Noise</v>
      </c>
      <c r="L503" s="3" t="s">
        <v>154</v>
      </c>
      <c r="M503" s="0" t="str">
        <f aca="false">PROPER(L503)</f>
        <v>Air Filter</v>
      </c>
      <c r="N503" s="3" t="s">
        <v>71</v>
      </c>
      <c r="O503" s="0" t="str">
        <f aca="false" t="array" ref="O503:O503">IF(N503&lt;&gt;"",N503,_xlfn.xlookup(1,(L503:L1502=L503)*(N503:N1502&lt;&gt;""),N503:N1502,"Not Found"))</f>
        <v>Isaac Bobo</v>
      </c>
      <c r="P503" s="4" t="n">
        <v>75062</v>
      </c>
      <c r="Q503" s="0" t="s">
        <v>110</v>
      </c>
      <c r="R503" s="0" t="str">
        <f aca="false">PROPER(Q503)</f>
        <v>Cash</v>
      </c>
      <c r="S503" s="0" t="s">
        <v>50</v>
      </c>
      <c r="T503" s="0" t="n">
        <v>3</v>
      </c>
      <c r="U503" s="5" t="n">
        <f aca="false">IF(ISBLANK(T503),AVERAGE(T503:T1502),T503)</f>
        <v>3</v>
      </c>
      <c r="V503" s="0" t="n">
        <v>5.7</v>
      </c>
      <c r="W503" s="0" t="s">
        <v>51</v>
      </c>
      <c r="X503" s="0" t="str">
        <f aca="false">IF(ISBLANK(W503),"No remarks",W503)</f>
        <v>Recommended further checks</v>
      </c>
      <c r="Y503" s="0" t="s">
        <v>93</v>
      </c>
      <c r="Z503" s="0" t="s">
        <v>74</v>
      </c>
      <c r="AA503" s="0" t="str">
        <f aca="false">PROPER(IF(ISBLANK(Z503),"Location Unavailable",Z503))</f>
        <v>Under Tree</v>
      </c>
      <c r="AB503" s="0" t="s">
        <v>75</v>
      </c>
      <c r="AC503" s="6" t="str">
        <f aca="false">PROPER(AB503)</f>
        <v>Mechanik Referal</v>
      </c>
      <c r="AD503" s="6" t="n">
        <v>60</v>
      </c>
      <c r="AE503" s="5" t="n">
        <f aca="false">IF(ISBLANK(AD503),AVERAGEIF(L503:L1502,L503,AD503:AD1502),AD503)</f>
        <v>60</v>
      </c>
      <c r="AF503" s="0" t="s">
        <v>55</v>
      </c>
      <c r="AG503" s="0" t="str">
        <f aca="false">PROPER(AF503)</f>
        <v>Available</v>
      </c>
      <c r="AH503" s="0" t="s">
        <v>155</v>
      </c>
      <c r="AI503" s="0" t="s">
        <v>98</v>
      </c>
      <c r="AJ503" s="0" t="str">
        <f aca="false">PROPER(AI503)</f>
        <v>Emergency</v>
      </c>
      <c r="AK503" s="0" t="s">
        <v>58</v>
      </c>
      <c r="AL503" s="0" t="str">
        <f aca="false">PROPER(AK503)</f>
        <v>Fleet Owner</v>
      </c>
      <c r="AM503" s="0" t="s">
        <v>177</v>
      </c>
      <c r="AN503" s="0" t="str">
        <f aca="false">IF(ISBLANK(AM503),"Unknown",AM503)</f>
        <v>Private</v>
      </c>
      <c r="AO503" s="0" t="s">
        <v>149</v>
      </c>
      <c r="AP503" s="0" t="str">
        <f aca="false">IF(ISBLANK(AO503),"Unknown",AO503)</f>
        <v>Senior </v>
      </c>
      <c r="AQ503" s="0" t="n">
        <v>30000</v>
      </c>
      <c r="AR503" s="5" t="n">
        <f aca="false">IF(ISBLANK(AQ503),AVERAGEIF(M503:M1502,M503,AQ503:AQ1502),AQ503)</f>
        <v>30000</v>
      </c>
      <c r="AS503" s="0" t="n">
        <v>30000</v>
      </c>
      <c r="AT503" s="5" t="n">
        <f aca="false">IF(ISBLANK(AS503),AVERAGE(AS503:AS1502),AS503)</f>
        <v>30000</v>
      </c>
      <c r="AV503" s="0" t="str">
        <f aca="false">PROPER(IF(ISBLANK(AU503),"No",AU503))</f>
        <v>No</v>
      </c>
      <c r="AW503" s="0" t="n">
        <v>5000</v>
      </c>
      <c r="AX503" s="5" t="n">
        <f aca="false">IF(ISBLANK(AW503),0,AW503)</f>
        <v>5000</v>
      </c>
      <c r="AZ503" s="0" t="str">
        <f aca="false">UPPER(IF(ISBLANK(AY503),"NONE",AY503))</f>
        <v>NONE</v>
      </c>
      <c r="BA503" s="7" t="s">
        <v>486</v>
      </c>
      <c r="BB503" s="7" t="str">
        <f aca="false">IF(ISBLANK(BA503),"No Follow Up Needed",BA503)</f>
        <v>18/10/2025</v>
      </c>
      <c r="BC503" s="0" t="s">
        <v>82</v>
      </c>
      <c r="BD503" s="0" t="str">
        <f aca="false">PROPER(IF(ISBLANK(BC503),"Unknown",BC503))</f>
        <v>Yes</v>
      </c>
      <c r="BF503" s="0" t="str">
        <f aca="false">IF(ISBLANK(BE503),"No comments",BE503)</f>
        <v>No comments</v>
      </c>
      <c r="BG503" s="0" t="s">
        <v>117</v>
      </c>
      <c r="BH503" s="0" t="str">
        <f aca="false">IF(ISBLANK(BG503),"No comments",BG503)</f>
        <v>Prefers morning</v>
      </c>
      <c r="BJ503" s="0" t="str">
        <f aca="false">IF(ISBLANK(BI503),"Not Mentioned",BI503)</f>
        <v>Not Mentioned</v>
      </c>
      <c r="BL503" s="0" t="str">
        <f aca="false">PROPER(IF(ISBLANK(BK503),"Not Mentioned",BK503))</f>
        <v>Not Mentioned</v>
      </c>
      <c r="BM503" s="0" t="s">
        <v>63</v>
      </c>
      <c r="BN503" s="0" t="str">
        <f aca="false">PROPER(IF(ISBLANK(BM503),"Not Mentioned",BM503))</f>
        <v>Yes</v>
      </c>
      <c r="BO503" s="0" t="s">
        <v>2321</v>
      </c>
      <c r="BP503" s="0" t="str">
        <f aca="false">IF(ISBLANK(BO503),"One-Time Plan",BO503)</f>
        <v>One-Time Plan</v>
      </c>
      <c r="BQ503" s="0" t="s">
        <v>198</v>
      </c>
      <c r="BR503" s="0" t="str">
        <f aca="false">PROPER(IF(ISBLANK(BQ503),"No",BQ503))</f>
        <v>Followed Up</v>
      </c>
    </row>
    <row r="504" customFormat="false" ht="15" hidden="false" customHeight="false" outlineLevel="0" collapsed="false">
      <c r="A504" s="0" t="s">
        <v>1277</v>
      </c>
      <c r="B504" s="2" t="n">
        <v>45664</v>
      </c>
      <c r="C504" s="2" t="str">
        <f aca="false">TEXT(B504,"dd/mm/yyyy")</f>
        <v>07/01/2025</v>
      </c>
      <c r="D504" s="0" t="s">
        <v>66</v>
      </c>
      <c r="E504" s="0" t="n">
        <v>8030601948</v>
      </c>
      <c r="F504" s="0" t="s">
        <v>85</v>
      </c>
      <c r="G504" s="0" t="s">
        <v>2319</v>
      </c>
      <c r="H504" s="0" t="s">
        <v>1278</v>
      </c>
      <c r="I504" s="0" t="s">
        <v>69</v>
      </c>
      <c r="J504" s="0" t="s">
        <v>87</v>
      </c>
      <c r="K504" s="3" t="str">
        <f aca="false" t="array" ref="K504:K504">IFERROR(IF(J504&lt;&gt;"",J504,INDEX(J504:J1503,MATCH(1,(F504:F1503=F504)*(I504:I1503=I504)*(L504:L1503=L504)*(J504:J1503&lt;&gt;""),0))),"Not Found")</f>
        <v>Oil Change</v>
      </c>
      <c r="L504" s="3" t="s">
        <v>47</v>
      </c>
      <c r="M504" s="0" t="str">
        <f aca="false">PROPER(L504)</f>
        <v>None</v>
      </c>
      <c r="N504" s="3" t="s">
        <v>109</v>
      </c>
      <c r="O504" s="0" t="str">
        <f aca="false" t="array" ref="O504:O504">IF(N504&lt;&gt;"",N504,_xlfn.xlookup(1,(L504:L1503=L504)*(N504:N1503&lt;&gt;""),N504:N1503,"Not Found"))</f>
        <v>Tijani</v>
      </c>
      <c r="P504" s="4" t="n">
        <v>83980</v>
      </c>
      <c r="Q504" s="0" t="s">
        <v>166</v>
      </c>
      <c r="R504" s="0" t="str">
        <f aca="false">PROPER(Q504)</f>
        <v>Transfer</v>
      </c>
      <c r="S504" s="0" t="s">
        <v>50</v>
      </c>
      <c r="T504" s="0" t="n">
        <v>3</v>
      </c>
      <c r="U504" s="5" t="n">
        <f aca="false">IF(ISBLANK(T504),AVERAGE(T504:T1503),T504)</f>
        <v>3</v>
      </c>
      <c r="V504" s="0" t="n">
        <v>4.2</v>
      </c>
      <c r="W504" s="0" t="s">
        <v>92</v>
      </c>
      <c r="X504" s="0" t="str">
        <f aca="false">IF(ISBLANK(W504),"No remarks",W504)</f>
        <v>Urgent service</v>
      </c>
      <c r="Y504" s="0" t="s">
        <v>52</v>
      </c>
      <c r="Z504" s="0" t="s">
        <v>74</v>
      </c>
      <c r="AA504" s="0" t="str">
        <f aca="false">PROPER(IF(ISBLANK(Z504),"Location Unavailable",Z504))</f>
        <v>Under Tree</v>
      </c>
      <c r="AB504" s="0" t="s">
        <v>147</v>
      </c>
      <c r="AC504" s="6" t="str">
        <f aca="false">PROPER(AB504)</f>
        <v>Instagram</v>
      </c>
      <c r="AD504" s="6" t="n">
        <v>15</v>
      </c>
      <c r="AE504" s="5" t="n">
        <f aca="false">IF(ISBLANK(AD504),AVERAGEIF(L504:L1503,L504,AD504:AD1503),AD504)</f>
        <v>15</v>
      </c>
      <c r="AF504" s="0" t="s">
        <v>160</v>
      </c>
      <c r="AG504" s="0" t="str">
        <f aca="false">PROPER(AF504)</f>
        <v>Availaible</v>
      </c>
      <c r="AH504" s="0" t="s">
        <v>155</v>
      </c>
      <c r="AI504" s="0" t="s">
        <v>113</v>
      </c>
      <c r="AJ504" s="0" t="str">
        <f aca="false">PROPER(AI504)</f>
        <v>Normal</v>
      </c>
      <c r="AK504" s="0" t="s">
        <v>58</v>
      </c>
      <c r="AL504" s="0" t="str">
        <f aca="false">PROPER(AK504)</f>
        <v>Fleet Owner</v>
      </c>
      <c r="AM504" s="0" t="s">
        <v>2324</v>
      </c>
      <c r="AN504" s="0" t="str">
        <f aca="false">IF(ISBLANK(AM504),"Unknown",AM504)</f>
        <v>Logistics Convoy</v>
      </c>
      <c r="AO504" s="0" t="s">
        <v>161</v>
      </c>
      <c r="AP504" s="0" t="str">
        <f aca="false">IF(ISBLANK(AO504),"Unknown",AO504)</f>
        <v>Apprentice</v>
      </c>
      <c r="AQ504" s="0" t="n">
        <v>20000</v>
      </c>
      <c r="AR504" s="5" t="n">
        <f aca="false">IF(ISBLANK(AQ504),AVERAGEIF(M504:M1503,M504,AQ504:AQ1503),AQ504)</f>
        <v>20000</v>
      </c>
      <c r="AS504" s="0" t="n">
        <v>30000</v>
      </c>
      <c r="AT504" s="5" t="n">
        <f aca="false">IF(ISBLANK(AS504),AVERAGE(AS504:AS1503),AS504)</f>
        <v>30000</v>
      </c>
      <c r="AV504" s="0" t="str">
        <f aca="false">PROPER(IF(ISBLANK(AU504),"No",AU504))</f>
        <v>No</v>
      </c>
      <c r="AW504" s="0" t="n">
        <v>5000</v>
      </c>
      <c r="AX504" s="5" t="n">
        <f aca="false">IF(ISBLANK(AW504),0,AW504)</f>
        <v>5000</v>
      </c>
      <c r="AZ504" s="0" t="str">
        <f aca="false">UPPER(IF(ISBLANK(AY504),"NONE",AY504))</f>
        <v>NONE</v>
      </c>
      <c r="BB504" s="7" t="str">
        <f aca="false">IF(ISBLANK(BA504),"No Follow Up Needed",BA504)</f>
        <v>No Follow Up Needed</v>
      </c>
      <c r="BC504" s="0" t="s">
        <v>82</v>
      </c>
      <c r="BD504" s="0" t="str">
        <f aca="false">PROPER(IF(ISBLANK(BC504),"Unknown",BC504))</f>
        <v>Yes</v>
      </c>
      <c r="BF504" s="0" t="str">
        <f aca="false">IF(ISBLANK(BE504),"No comments",BE504)</f>
        <v>No comments</v>
      </c>
      <c r="BG504" s="0" t="s">
        <v>117</v>
      </c>
      <c r="BH504" s="0" t="str">
        <f aca="false">IF(ISBLANK(BG504),"No comments",BG504)</f>
        <v>Prefers morning</v>
      </c>
      <c r="BI504" s="0" t="s">
        <v>50</v>
      </c>
      <c r="BJ504" s="0" t="str">
        <f aca="false">IF(ISBLANK(BI504),"Not Mentioned",BI504)</f>
        <v>No</v>
      </c>
      <c r="BK504" s="0" t="s">
        <v>50</v>
      </c>
      <c r="BL504" s="0" t="str">
        <f aca="false">PROPER(IF(ISBLANK(BK504),"Not Mentioned",BK504))</f>
        <v>No</v>
      </c>
      <c r="BM504" s="0" t="s">
        <v>50</v>
      </c>
      <c r="BN504" s="0" t="str">
        <f aca="false">PROPER(IF(ISBLANK(BM504),"Not Mentioned",BM504))</f>
        <v>No</v>
      </c>
      <c r="BO504" s="0" t="s">
        <v>2318</v>
      </c>
      <c r="BP504" s="0" t="str">
        <f aca="false">IF(ISBLANK(BO504),"One-Time Plan",BO504)</f>
        <v>Gold</v>
      </c>
      <c r="BQ504" s="0" t="s">
        <v>50</v>
      </c>
      <c r="BR504" s="0" t="str">
        <f aca="false">PROPER(IF(ISBLANK(BQ504),"No",BQ504))</f>
        <v>No</v>
      </c>
    </row>
    <row r="505" customFormat="false" ht="15" hidden="false" customHeight="false" outlineLevel="0" collapsed="false">
      <c r="A505" s="0" t="s">
        <v>1279</v>
      </c>
      <c r="B505" s="2" t="n">
        <v>45781</v>
      </c>
      <c r="C505" s="2" t="str">
        <f aca="false">TEXT(B505,"dd/mm/yyyy")</f>
        <v>04/05/2025</v>
      </c>
      <c r="D505" s="0" t="s">
        <v>163</v>
      </c>
      <c r="E505" s="0" t="n">
        <v>8069144114</v>
      </c>
      <c r="F505" s="0" t="s">
        <v>139</v>
      </c>
      <c r="G505" s="0" t="s">
        <v>2323</v>
      </c>
      <c r="H505" s="0" t="s">
        <v>1280</v>
      </c>
      <c r="I505" s="0" t="s">
        <v>45</v>
      </c>
      <c r="J505" s="0" t="s">
        <v>2322</v>
      </c>
      <c r="K505" s="3" t="str">
        <f aca="false" t="array" ref="K505:K505">IFERROR(IF(J505&lt;&gt;"",J505,INDEX(J505:J1504,MATCH(1,(F505:F1504=F505)*(I505:I1504=I505)*(L505:L1504=L505)*(J505:J1504&lt;&gt;""),0))),"Not Found")</f>
        <v>Brake Failure</v>
      </c>
      <c r="L505" s="3" t="s">
        <v>142</v>
      </c>
      <c r="M505" s="0" t="str">
        <f aca="false">PROPER(L505)</f>
        <v>Oil Filter, Brake Pads</v>
      </c>
      <c r="N505" s="3" t="s">
        <v>90</v>
      </c>
      <c r="O505" s="0" t="str">
        <f aca="false" t="array" ref="O505:O505">IF(N505&lt;&gt;"",N505,_xlfn.xlookup(1,(L505:L1504=L505)*(N505:N1504&lt;&gt;""),N505:N1504,"Not Found"))</f>
        <v>Musa</v>
      </c>
      <c r="P505" s="4" t="n">
        <v>110717</v>
      </c>
      <c r="Q505" s="0" t="s">
        <v>124</v>
      </c>
      <c r="R505" s="0" t="str">
        <f aca="false">PROPER(Q505)</f>
        <v>Cash</v>
      </c>
      <c r="S505" s="0" t="s">
        <v>50</v>
      </c>
      <c r="T505" s="0" t="n">
        <v>4</v>
      </c>
      <c r="U505" s="5" t="n">
        <f aca="false">IF(ISBLANK(T505),AVERAGE(T505:T1504),T505)</f>
        <v>4</v>
      </c>
      <c r="V505" s="0" t="n">
        <v>2</v>
      </c>
      <c r="W505" s="0" t="s">
        <v>111</v>
      </c>
      <c r="X505" s="0" t="str">
        <f aca="false">IF(ISBLANK(W505),"No remarks",W505)</f>
        <v>Changed all filters</v>
      </c>
      <c r="Y505" s="0" t="s">
        <v>93</v>
      </c>
      <c r="Z505" s="0" t="s">
        <v>94</v>
      </c>
      <c r="AA505" s="0" t="str">
        <f aca="false">PROPER(IF(ISBLANK(Z505),"Location Unavailable",Z505))</f>
        <v>Vip Section</v>
      </c>
      <c r="AB505" s="0" t="s">
        <v>147</v>
      </c>
      <c r="AC505" s="6" t="str">
        <f aca="false">PROPER(AB505)</f>
        <v>Instagram</v>
      </c>
      <c r="AD505" s="6" t="n">
        <v>45</v>
      </c>
      <c r="AE505" s="5" t="n">
        <f aca="false">IF(ISBLANK(AD505),AVERAGEIF(L505:L1504,L505,AD505:AD1504),AD505)</f>
        <v>45</v>
      </c>
      <c r="AF505" s="0" t="s">
        <v>55</v>
      </c>
      <c r="AG505" s="0" t="str">
        <f aca="false">PROPER(AF505)</f>
        <v>Available</v>
      </c>
      <c r="AH505" s="0" t="s">
        <v>155</v>
      </c>
      <c r="AI505" s="0" t="s">
        <v>113</v>
      </c>
      <c r="AJ505" s="0" t="str">
        <f aca="false">PROPER(AI505)</f>
        <v>Normal</v>
      </c>
      <c r="AK505" s="0" t="s">
        <v>196</v>
      </c>
      <c r="AL505" s="0" t="str">
        <f aca="false">PROPER(AK505)</f>
        <v>First Time</v>
      </c>
      <c r="AM505" s="0" t="s">
        <v>2326</v>
      </c>
      <c r="AN505" s="0" t="str">
        <f aca="false">IF(ISBLANK(AM505),"Unknown",AM505)</f>
        <v>Government Convoy</v>
      </c>
      <c r="AO505" s="0" t="s">
        <v>161</v>
      </c>
      <c r="AP505" s="0" t="str">
        <f aca="false">IF(ISBLANK(AO505),"Unknown",AO505)</f>
        <v>Apprentice</v>
      </c>
      <c r="AQ505" s="0" t="n">
        <v>15000</v>
      </c>
      <c r="AR505" s="5" t="n">
        <f aca="false">IF(ISBLANK(AQ505),AVERAGEIF(M505:M1504,M505,AQ505:AQ1504),AQ505)</f>
        <v>15000</v>
      </c>
      <c r="AS505" s="0" t="n">
        <v>30000</v>
      </c>
      <c r="AT505" s="5" t="n">
        <f aca="false">IF(ISBLANK(AS505),AVERAGE(AS505:AS1504),AS505)</f>
        <v>30000</v>
      </c>
      <c r="AU505" s="0" t="s">
        <v>50</v>
      </c>
      <c r="AV505" s="0" t="str">
        <f aca="false">PROPER(IF(ISBLANK(AU505),"No",AU505))</f>
        <v>No</v>
      </c>
      <c r="AW505" s="0" t="n">
        <v>0</v>
      </c>
      <c r="AX505" s="5" t="n">
        <f aca="false">IF(ISBLANK(AW505),0,AW505)</f>
        <v>0</v>
      </c>
      <c r="AY505" s="0" t="s">
        <v>130</v>
      </c>
      <c r="AZ505" s="0" t="str">
        <f aca="false">UPPER(IF(ISBLANK(AY505),"NONE",AY505))</f>
        <v>LOYALTY10</v>
      </c>
      <c r="BB505" s="7" t="str">
        <f aca="false">IF(ISBLANK(BA505),"No Follow Up Needed",BA505)</f>
        <v>No Follow Up Needed</v>
      </c>
      <c r="BC505" s="0" t="s">
        <v>61</v>
      </c>
      <c r="BD505" s="0" t="str">
        <f aca="false">PROPER(IF(ISBLANK(BC505),"Unknown",BC505))</f>
        <v>No</v>
      </c>
      <c r="BE505" s="0" t="s">
        <v>116</v>
      </c>
      <c r="BF505" s="0" t="str">
        <f aca="false">IF(ISBLANK(BE505),"No comments",BE505)</f>
        <v>Needs tire alignment</v>
      </c>
      <c r="BH505" s="0" t="str">
        <f aca="false">IF(ISBLANK(BG505),"No comments",BG505)</f>
        <v>No comments</v>
      </c>
      <c r="BI505" s="0" t="s">
        <v>63</v>
      </c>
      <c r="BJ505" s="0" t="str">
        <f aca="false">IF(ISBLANK(BI505),"Not Mentioned",BI505)</f>
        <v>Yes</v>
      </c>
      <c r="BL505" s="0" t="str">
        <f aca="false">PROPER(IF(ISBLANK(BK505),"Not Mentioned",BK505))</f>
        <v>Not Mentioned</v>
      </c>
      <c r="BM505" s="0" t="s">
        <v>63</v>
      </c>
      <c r="BN505" s="0" t="str">
        <f aca="false">PROPER(IF(ISBLANK(BM505),"Not Mentioned",BM505))</f>
        <v>Yes</v>
      </c>
      <c r="BO505" s="0" t="s">
        <v>2321</v>
      </c>
      <c r="BP505" s="0" t="str">
        <f aca="false">IF(ISBLANK(BO505),"One-Time Plan",BO505)</f>
        <v>One-Time Plan</v>
      </c>
      <c r="BQ505" s="0" t="s">
        <v>63</v>
      </c>
      <c r="BR505" s="0" t="str">
        <f aca="false">PROPER(IF(ISBLANK(BQ505),"No",BQ505))</f>
        <v>Yes</v>
      </c>
    </row>
    <row r="506" customFormat="false" ht="15" hidden="false" customHeight="false" outlineLevel="0" collapsed="false">
      <c r="A506" s="0" t="s">
        <v>1281</v>
      </c>
      <c r="B506" s="2" t="n">
        <v>45792</v>
      </c>
      <c r="C506" s="2" t="str">
        <f aca="false">TEXT(B506,"dd/mm/yyyy")</f>
        <v>15/05/2025</v>
      </c>
      <c r="D506" s="0" t="s">
        <v>42</v>
      </c>
      <c r="E506" s="0" t="n">
        <v>8058061622</v>
      </c>
      <c r="F506" s="0" t="s">
        <v>67</v>
      </c>
      <c r="G506" s="0" t="s">
        <v>2316</v>
      </c>
      <c r="H506" s="0" t="s">
        <v>1282</v>
      </c>
      <c r="I506" s="0" t="s">
        <v>107</v>
      </c>
      <c r="J506" s="0" t="s">
        <v>87</v>
      </c>
      <c r="K506" s="3" t="str">
        <f aca="false" t="array" ref="K506:K506">IFERROR(IF(J506&lt;&gt;"",J506,INDEX(J506:J1505,MATCH(1,(F506:F1505=F506)*(I506:I1505=I506)*(L506:L1505=L506)*(J506:J1505&lt;&gt;""),0))),"Not Found")</f>
        <v>Oil Change</v>
      </c>
      <c r="L506" s="3" t="s">
        <v>142</v>
      </c>
      <c r="M506" s="0" t="str">
        <f aca="false">PROPER(L506)</f>
        <v>Oil Filter, Brake Pads</v>
      </c>
      <c r="N506" s="3" t="s">
        <v>109</v>
      </c>
      <c r="O506" s="0" t="str">
        <f aca="false" t="array" ref="O506:O506">IF(N506&lt;&gt;"",N506,_xlfn.xlookup(1,(L506:L1505=L506)*(N506:N1505&lt;&gt;""),N506:N1505,"Not Found"))</f>
        <v>Tijani</v>
      </c>
      <c r="P506" s="4" t="n">
        <v>93864</v>
      </c>
      <c r="Q506" s="0" t="s">
        <v>124</v>
      </c>
      <c r="R506" s="0" t="str">
        <f aca="false">PROPER(Q506)</f>
        <v>Cash</v>
      </c>
      <c r="S506" s="0" t="s">
        <v>63</v>
      </c>
      <c r="T506" s="0" t="n">
        <v>1</v>
      </c>
      <c r="U506" s="5" t="n">
        <f aca="false">IF(ISBLANK(T506),AVERAGE(T506:T1505),T506)</f>
        <v>1</v>
      </c>
      <c r="V506" s="0" t="n">
        <v>3.7</v>
      </c>
      <c r="W506" s="0" t="s">
        <v>51</v>
      </c>
      <c r="X506" s="0" t="str">
        <f aca="false">IF(ISBLANK(W506),"No remarks",W506)</f>
        <v>Recommended further checks</v>
      </c>
      <c r="Y506" s="0" t="s">
        <v>73</v>
      </c>
      <c r="Z506" s="0" t="s">
        <v>74</v>
      </c>
      <c r="AA506" s="0" t="str">
        <f aca="false">PROPER(IF(ISBLANK(Z506),"Location Unavailable",Z506))</f>
        <v>Under Tree</v>
      </c>
      <c r="AB506" s="0" t="s">
        <v>167</v>
      </c>
      <c r="AC506" s="6" t="str">
        <f aca="false">PROPER(AB506)</f>
        <v>Word Of Mouth</v>
      </c>
      <c r="AD506" s="6" t="n">
        <v>15</v>
      </c>
      <c r="AE506" s="5" t="n">
        <f aca="false">IF(ISBLANK(AD506),AVERAGEIF(L506:L1505,L506,AD506:AD1505),AD506)</f>
        <v>15</v>
      </c>
      <c r="AF506" s="0" t="s">
        <v>96</v>
      </c>
      <c r="AG506" s="0" t="str">
        <f aca="false">PROPER(AF506)</f>
        <v>Ordered</v>
      </c>
      <c r="AH506" s="0" t="s">
        <v>155</v>
      </c>
      <c r="AI506" s="0" t="s">
        <v>113</v>
      </c>
      <c r="AJ506" s="0" t="str">
        <f aca="false">PROPER(AI506)</f>
        <v>Normal</v>
      </c>
      <c r="AK506" s="0" t="s">
        <v>58</v>
      </c>
      <c r="AL506" s="0" t="str">
        <f aca="false">PROPER(AK506)</f>
        <v>Fleet Owner</v>
      </c>
      <c r="AN506" s="0" t="str">
        <f aca="false">IF(ISBLANK(AM506),"Unknown",AM506)</f>
        <v>Unknown</v>
      </c>
      <c r="AO506" s="0" t="s">
        <v>149</v>
      </c>
      <c r="AP506" s="0" t="str">
        <f aca="false">IF(ISBLANK(AO506),"Unknown",AO506)</f>
        <v>Senior </v>
      </c>
      <c r="AQ506" s="0" t="n">
        <v>40000</v>
      </c>
      <c r="AR506" s="5" t="n">
        <f aca="false">IF(ISBLANK(AQ506),AVERAGEIF(M506:M1505,M506,AQ506:AQ1505),AQ506)</f>
        <v>40000</v>
      </c>
      <c r="AS506" s="0" t="n">
        <v>35000</v>
      </c>
      <c r="AT506" s="5" t="n">
        <f aca="false">IF(ISBLANK(AS506),AVERAGE(AS506:AS1505),AS506)</f>
        <v>35000</v>
      </c>
      <c r="AU506" s="0" t="s">
        <v>63</v>
      </c>
      <c r="AV506" s="0" t="str">
        <f aca="false">PROPER(IF(ISBLANK(AU506),"No",AU506))</f>
        <v>Yes</v>
      </c>
      <c r="AW506" s="0" t="n">
        <v>10000</v>
      </c>
      <c r="AX506" s="5" t="n">
        <f aca="false">IF(ISBLANK(AW506),0,AW506)</f>
        <v>10000</v>
      </c>
      <c r="AY506" s="0" t="s">
        <v>184</v>
      </c>
      <c r="AZ506" s="0" t="str">
        <f aca="false">UPPER(IF(ISBLANK(AY506),"NONE",AY506))</f>
        <v>N/A</v>
      </c>
      <c r="BB506" s="7" t="str">
        <f aca="false">IF(ISBLANK(BA506),"No Follow Up Needed",BA506)</f>
        <v>No Follow Up Needed</v>
      </c>
      <c r="BC506" s="0" t="s">
        <v>61</v>
      </c>
      <c r="BD506" s="0" t="str">
        <f aca="false">PROPER(IF(ISBLANK(BC506),"Unknown",BC506))</f>
        <v>No</v>
      </c>
      <c r="BF506" s="0" t="str">
        <f aca="false">IF(ISBLANK(BE506),"No comments",BE506)</f>
        <v>No comments</v>
      </c>
      <c r="BH506" s="0" t="str">
        <f aca="false">IF(ISBLANK(BG506),"No comments",BG506)</f>
        <v>No comments</v>
      </c>
      <c r="BI506" s="0" t="s">
        <v>63</v>
      </c>
      <c r="BJ506" s="0" t="str">
        <f aca="false">IF(ISBLANK(BI506),"Not Mentioned",BI506)</f>
        <v>Yes</v>
      </c>
      <c r="BK506" s="0" t="s">
        <v>61</v>
      </c>
      <c r="BL506" s="0" t="str">
        <f aca="false">PROPER(IF(ISBLANK(BK506),"Not Mentioned",BK506))</f>
        <v>No</v>
      </c>
      <c r="BM506" s="0" t="s">
        <v>63</v>
      </c>
      <c r="BN506" s="0" t="str">
        <f aca="false">PROPER(IF(ISBLANK(BM506),"Not Mentioned",BM506))</f>
        <v>Yes</v>
      </c>
      <c r="BO506" s="0" t="s">
        <v>64</v>
      </c>
      <c r="BP506" s="0" t="str">
        <f aca="false">IF(ISBLANK(BO506),"One-Time Plan",BO506)</f>
        <v>Gold Maintenance Plan</v>
      </c>
      <c r="BQ506" s="0" t="s">
        <v>50</v>
      </c>
      <c r="BR506" s="0" t="str">
        <f aca="false">PROPER(IF(ISBLANK(BQ506),"No",BQ506))</f>
        <v>No</v>
      </c>
    </row>
    <row r="507" customFormat="false" ht="15" hidden="false" customHeight="false" outlineLevel="0" collapsed="false">
      <c r="A507" s="0" t="s">
        <v>1283</v>
      </c>
      <c r="B507" s="2" t="n">
        <v>45683</v>
      </c>
      <c r="C507" s="2" t="str">
        <f aca="false">TEXT(B507,"dd/mm/yyyy")</f>
        <v>26/01/2025</v>
      </c>
      <c r="D507" s="0" t="s">
        <v>121</v>
      </c>
      <c r="E507" s="0" t="n">
        <v>8033882733</v>
      </c>
      <c r="F507" s="0" t="s">
        <v>43</v>
      </c>
      <c r="G507" s="0" t="s">
        <v>2315</v>
      </c>
      <c r="H507" s="0" t="s">
        <v>1284</v>
      </c>
      <c r="I507" s="0" t="s">
        <v>87</v>
      </c>
      <c r="J507" s="0" t="s">
        <v>2322</v>
      </c>
      <c r="K507" s="3" t="str">
        <f aca="false" t="array" ref="K507:K507">IFERROR(IF(J507&lt;&gt;"",J507,INDEX(J507:J1506,MATCH(1,(F507:F1506=F507)*(I507:I1506=I507)*(L507:L1506=L507)*(J507:J1506&lt;&gt;""),0))),"Not Found")</f>
        <v>Brake Failure</v>
      </c>
      <c r="L507" s="3" t="s">
        <v>47</v>
      </c>
      <c r="M507" s="0" t="str">
        <f aca="false">PROPER(L507)</f>
        <v>None</v>
      </c>
      <c r="N507" s="3" t="s">
        <v>48</v>
      </c>
      <c r="O507" s="0" t="str">
        <f aca="false" t="array" ref="O507:O507">IF(N507&lt;&gt;"",N507,_xlfn.xlookup(1,(L507:L1506=L507)*(N507:N1506&lt;&gt;""),N507:N1506,"Not Found"))</f>
        <v>Uche</v>
      </c>
      <c r="P507" s="4" t="n">
        <v>69175</v>
      </c>
      <c r="Q507" s="0" t="s">
        <v>124</v>
      </c>
      <c r="R507" s="0" t="str">
        <f aca="false">PROPER(Q507)</f>
        <v>Cash</v>
      </c>
      <c r="S507" s="0" t="s">
        <v>63</v>
      </c>
      <c r="T507" s="0" t="n">
        <v>3</v>
      </c>
      <c r="U507" s="5" t="n">
        <f aca="false">IF(ISBLANK(T507),AVERAGE(T507:T1506),T507)</f>
        <v>3</v>
      </c>
      <c r="V507" s="0" t="n">
        <v>5.1</v>
      </c>
      <c r="X507" s="0" t="str">
        <f aca="false">IF(ISBLANK(W507),"No remarks",W507)</f>
        <v>No remarks</v>
      </c>
      <c r="Y507" s="0" t="s">
        <v>93</v>
      </c>
      <c r="AA507" s="0" t="str">
        <f aca="false">PROPER(IF(ISBLANK(Z507),"Location Unavailable",Z507))</f>
        <v>Location Unavailable</v>
      </c>
      <c r="AB507" s="0" t="s">
        <v>126</v>
      </c>
      <c r="AC507" s="6" t="str">
        <f aca="false">PROPER(AB507)</f>
        <v>Whatsapp</v>
      </c>
      <c r="AD507" s="6" t="n">
        <v>60</v>
      </c>
      <c r="AE507" s="5" t="n">
        <f aca="false">IF(ISBLANK(AD507),AVERAGEIF(L507:L1506,L507,AD507:AD1506),AD507)</f>
        <v>60</v>
      </c>
      <c r="AF507" s="0" t="s">
        <v>160</v>
      </c>
      <c r="AG507" s="0" t="str">
        <f aca="false">PROPER(AF507)</f>
        <v>Availaible</v>
      </c>
      <c r="AH507" s="0" t="s">
        <v>148</v>
      </c>
      <c r="AI507" s="0" t="s">
        <v>113</v>
      </c>
      <c r="AJ507" s="0" t="str">
        <f aca="false">PROPER(AI507)</f>
        <v>Normal</v>
      </c>
      <c r="AK507" s="0" t="s">
        <v>196</v>
      </c>
      <c r="AL507" s="0" t="str">
        <f aca="false">PROPER(AK507)</f>
        <v>First Time</v>
      </c>
      <c r="AM507" s="0" t="s">
        <v>177</v>
      </c>
      <c r="AN507" s="0" t="str">
        <f aca="false">IF(ISBLANK(AM507),"Unknown",AM507)</f>
        <v>Private</v>
      </c>
      <c r="AO507" s="0" t="s">
        <v>149</v>
      </c>
      <c r="AP507" s="0" t="str">
        <f aca="false">IF(ISBLANK(AO507),"Unknown",AO507)</f>
        <v>Senior </v>
      </c>
      <c r="AR507" s="5" t="n">
        <f aca="false">IF(ISBLANK(AQ507),AVERAGEIF(M507:M1506,M507,AQ507:AQ1506),AQ507)</f>
        <v>26166.6666666667</v>
      </c>
      <c r="AS507" s="0" t="n">
        <v>30000</v>
      </c>
      <c r="AT507" s="5" t="n">
        <f aca="false">IF(ISBLANK(AS507),AVERAGE(AS507:AS1506),AS507)</f>
        <v>30000</v>
      </c>
      <c r="AV507" s="0" t="str">
        <f aca="false">PROPER(IF(ISBLANK(AU507),"No",AU507))</f>
        <v>No</v>
      </c>
      <c r="AW507" s="0" t="n">
        <v>0</v>
      </c>
      <c r="AX507" s="5" t="n">
        <f aca="false">IF(ISBLANK(AW507),0,AW507)</f>
        <v>0</v>
      </c>
      <c r="AY507" s="0" t="s">
        <v>184</v>
      </c>
      <c r="AZ507" s="0" t="str">
        <f aca="false">UPPER(IF(ISBLANK(AY507),"NONE",AY507))</f>
        <v>N/A</v>
      </c>
      <c r="BB507" s="7" t="str">
        <f aca="false">IF(ISBLANK(BA507),"No Follow Up Needed",BA507)</f>
        <v>No Follow Up Needed</v>
      </c>
      <c r="BC507" s="0" t="s">
        <v>61</v>
      </c>
      <c r="BD507" s="0" t="str">
        <f aca="false">PROPER(IF(ISBLANK(BC507),"Unknown",BC507))</f>
        <v>No</v>
      </c>
      <c r="BE507" s="0" t="s">
        <v>116</v>
      </c>
      <c r="BF507" s="0" t="str">
        <f aca="false">IF(ISBLANK(BE507),"No comments",BE507)</f>
        <v>Needs tire alignment</v>
      </c>
      <c r="BH507" s="0" t="str">
        <f aca="false">IF(ISBLANK(BG507),"No comments",BG507)</f>
        <v>No comments</v>
      </c>
      <c r="BJ507" s="0" t="str">
        <f aca="false">IF(ISBLANK(BI507),"Not Mentioned",BI507)</f>
        <v>Not Mentioned</v>
      </c>
      <c r="BK507" s="0" t="s">
        <v>63</v>
      </c>
      <c r="BL507" s="0" t="str">
        <f aca="false">PROPER(IF(ISBLANK(BK507),"Not Mentioned",BK507))</f>
        <v>Yes</v>
      </c>
      <c r="BN507" s="0" t="str">
        <f aca="false">PROPER(IF(ISBLANK(BM507),"Not Mentioned",BM507))</f>
        <v>Not Mentioned</v>
      </c>
      <c r="BO507" s="0" t="s">
        <v>2321</v>
      </c>
      <c r="BP507" s="0" t="str">
        <f aca="false">IF(ISBLANK(BO507),"One-Time Plan",BO507)</f>
        <v>One-Time Plan</v>
      </c>
      <c r="BQ507" s="0" t="s">
        <v>63</v>
      </c>
      <c r="BR507" s="0" t="str">
        <f aca="false">PROPER(IF(ISBLANK(BQ507),"No",BQ507))</f>
        <v>Yes</v>
      </c>
    </row>
    <row r="508" customFormat="false" ht="15" hidden="false" customHeight="false" outlineLevel="0" collapsed="false">
      <c r="A508" s="0" t="s">
        <v>1285</v>
      </c>
      <c r="B508" s="2" t="n">
        <v>45757</v>
      </c>
      <c r="C508" s="2" t="str">
        <f aca="false">TEXT(B508,"dd/mm/yyyy")</f>
        <v>10/04/2025</v>
      </c>
      <c r="D508" s="0" t="s">
        <v>66</v>
      </c>
      <c r="E508" s="0" t="n">
        <v>8039081281</v>
      </c>
      <c r="F508" s="0" t="s">
        <v>139</v>
      </c>
      <c r="G508" s="0" t="s">
        <v>2323</v>
      </c>
      <c r="H508" s="0" t="s">
        <v>1286</v>
      </c>
      <c r="I508" s="0" t="s">
        <v>134</v>
      </c>
      <c r="K508" s="3" t="str">
        <f aca="false" t="array" ref="K508:K508">IFERROR(IF(J508&lt;&gt;"",J508,INDEX(J508:J1507,MATCH(1,(F508:F1507=F508)*(I508:I1507=I508)*(L508:L1507=L508)*(J508:J1507&lt;&gt;""),0))),"Not Found")</f>
        <v>Brake Failure</v>
      </c>
      <c r="L508" s="3" t="s">
        <v>142</v>
      </c>
      <c r="M508" s="0" t="str">
        <f aca="false">PROPER(L508)</f>
        <v>Oil Filter, Brake Pads</v>
      </c>
      <c r="N508" s="3" t="s">
        <v>71</v>
      </c>
      <c r="O508" s="0" t="str">
        <f aca="false" t="array" ref="O508:O508">IF(N508&lt;&gt;"",N508,_xlfn.xlookup(1,(L508:L1507=L508)*(N508:N1507&lt;&gt;""),N508:N1507,"Not Found"))</f>
        <v>Isaac Bobo</v>
      </c>
      <c r="P508" s="4" t="n">
        <v>58308</v>
      </c>
      <c r="Q508" s="0" t="s">
        <v>72</v>
      </c>
      <c r="R508" s="0" t="str">
        <f aca="false">PROPER(Q508)</f>
        <v>Pos</v>
      </c>
      <c r="S508" s="0" t="s">
        <v>63</v>
      </c>
      <c r="T508" s="0" t="n">
        <v>5</v>
      </c>
      <c r="U508" s="5" t="n">
        <f aca="false">IF(ISBLANK(T508),AVERAGE(T508:T1507),T508)</f>
        <v>5</v>
      </c>
      <c r="V508" s="0" t="n">
        <v>5.6</v>
      </c>
      <c r="W508" s="0" t="s">
        <v>51</v>
      </c>
      <c r="X508" s="0" t="str">
        <f aca="false">IF(ISBLANK(W508),"No remarks",W508)</f>
        <v>Recommended further checks</v>
      </c>
      <c r="Y508" s="0" t="s">
        <v>93</v>
      </c>
      <c r="Z508" s="0" t="s">
        <v>94</v>
      </c>
      <c r="AA508" s="0" t="str">
        <f aca="false">PROPER(IF(ISBLANK(Z508),"Location Unavailable",Z508))</f>
        <v>Vip Section</v>
      </c>
      <c r="AB508" s="0" t="s">
        <v>75</v>
      </c>
      <c r="AC508" s="6" t="str">
        <f aca="false">PROPER(AB508)</f>
        <v>Mechanik Referal</v>
      </c>
      <c r="AD508" s="6" t="n">
        <v>60</v>
      </c>
      <c r="AE508" s="5" t="n">
        <f aca="false">IF(ISBLANK(AD508),AVERAGEIF(L508:L1507,L508,AD508:AD1507),AD508)</f>
        <v>60</v>
      </c>
      <c r="AF508" s="0" t="s">
        <v>160</v>
      </c>
      <c r="AG508" s="0" t="str">
        <f aca="false">PROPER(AF508)</f>
        <v>Availaible</v>
      </c>
      <c r="AH508" s="0" t="s">
        <v>155</v>
      </c>
      <c r="AI508" s="0" t="s">
        <v>98</v>
      </c>
      <c r="AJ508" s="0" t="str">
        <f aca="false">PROPER(AI508)</f>
        <v>Emergency</v>
      </c>
      <c r="AK508" s="0" t="s">
        <v>196</v>
      </c>
      <c r="AL508" s="0" t="str">
        <f aca="false">PROPER(AK508)</f>
        <v>First Time</v>
      </c>
      <c r="AM508" s="0" t="s">
        <v>177</v>
      </c>
      <c r="AN508" s="0" t="str">
        <f aca="false">IF(ISBLANK(AM508),"Unknown",AM508)</f>
        <v>Private</v>
      </c>
      <c r="AO508" s="0" t="s">
        <v>143</v>
      </c>
      <c r="AP508" s="0" t="str">
        <f aca="false">IF(ISBLANK(AO508),"Unknown",AO508)</f>
        <v>Senior</v>
      </c>
      <c r="AQ508" s="0" t="n">
        <v>15000</v>
      </c>
      <c r="AR508" s="5" t="n">
        <f aca="false">IF(ISBLANK(AQ508),AVERAGEIF(M508:M1507,M508,AQ508:AQ1507),AQ508)</f>
        <v>15000</v>
      </c>
      <c r="AS508" s="0" t="n">
        <v>35000</v>
      </c>
      <c r="AT508" s="5" t="n">
        <f aca="false">IF(ISBLANK(AS508),AVERAGE(AS508:AS1507),AS508)</f>
        <v>35000</v>
      </c>
      <c r="AU508" s="0" t="s">
        <v>82</v>
      </c>
      <c r="AV508" s="0" t="str">
        <f aca="false">PROPER(IF(ISBLANK(AU508),"No",AU508))</f>
        <v>Yes</v>
      </c>
      <c r="AW508" s="0" t="n">
        <v>10000</v>
      </c>
      <c r="AX508" s="5" t="n">
        <f aca="false">IF(ISBLANK(AW508),0,AW508)</f>
        <v>10000</v>
      </c>
      <c r="AZ508" s="0" t="str">
        <f aca="false">UPPER(IF(ISBLANK(AY508),"NONE",AY508))</f>
        <v>NONE</v>
      </c>
      <c r="BA508" s="7" t="n">
        <v>45910</v>
      </c>
      <c r="BB508" s="7" t="n">
        <f aca="false">IF(ISBLANK(BA508),"No Follow Up Needed",BA508)</f>
        <v>45910</v>
      </c>
      <c r="BC508" s="0" t="s">
        <v>63</v>
      </c>
      <c r="BD508" s="0" t="str">
        <f aca="false">PROPER(IF(ISBLANK(BC508),"Unknown",BC508))</f>
        <v>Yes</v>
      </c>
      <c r="BF508" s="0" t="str">
        <f aca="false">IF(ISBLANK(BE508),"No comments",BE508)</f>
        <v>No comments</v>
      </c>
      <c r="BG508" s="0" t="s">
        <v>2320</v>
      </c>
      <c r="BH508" s="0" t="str">
        <f aca="false">IF(ISBLANK(BG508),"No comments",BG508)</f>
        <v>No complaints</v>
      </c>
      <c r="BI508" s="0" t="s">
        <v>50</v>
      </c>
      <c r="BJ508" s="0" t="str">
        <f aca="false">IF(ISBLANK(BI508),"Not Mentioned",BI508)</f>
        <v>No</v>
      </c>
      <c r="BK508" s="0" t="s">
        <v>50</v>
      </c>
      <c r="BL508" s="0" t="str">
        <f aca="false">PROPER(IF(ISBLANK(BK508),"Not Mentioned",BK508))</f>
        <v>No</v>
      </c>
      <c r="BN508" s="0" t="str">
        <f aca="false">PROPER(IF(ISBLANK(BM508),"Not Mentioned",BM508))</f>
        <v>Not Mentioned</v>
      </c>
      <c r="BO508" s="0" t="s">
        <v>64</v>
      </c>
      <c r="BP508" s="0" t="str">
        <f aca="false">IF(ISBLANK(BO508),"One-Time Plan",BO508)</f>
        <v>Gold Maintenance Plan</v>
      </c>
      <c r="BQ508" s="0" t="s">
        <v>63</v>
      </c>
      <c r="BR508" s="0" t="str">
        <f aca="false">PROPER(IF(ISBLANK(BQ508),"No",BQ508))</f>
        <v>Yes</v>
      </c>
    </row>
    <row r="509" customFormat="false" ht="15" hidden="false" customHeight="false" outlineLevel="0" collapsed="false">
      <c r="A509" s="0" t="s">
        <v>1287</v>
      </c>
      <c r="B509" s="2" t="s">
        <v>232</v>
      </c>
      <c r="C509" s="2" t="str">
        <f aca="false">TEXT(B509,"dd/mm/yyyy")</f>
        <v>30/01/2025</v>
      </c>
      <c r="D509" s="0" t="s">
        <v>105</v>
      </c>
      <c r="E509" s="0" t="n">
        <v>8014623108</v>
      </c>
      <c r="F509" s="0" t="s">
        <v>85</v>
      </c>
      <c r="G509" s="0" t="s">
        <v>2319</v>
      </c>
      <c r="H509" s="0" t="s">
        <v>1288</v>
      </c>
      <c r="I509" s="0" t="s">
        <v>107</v>
      </c>
      <c r="J509" s="0" t="s">
        <v>2317</v>
      </c>
      <c r="K509" s="3" t="str">
        <f aca="false" t="array" ref="K509:K509">IFERROR(IF(J509&lt;&gt;"",J509,INDEX(J509:J1508,MATCH(1,(F509:F1508=F509)*(I509:I1508=I509)*(L509:L1508=L509)*(J509:J1508&lt;&gt;""),0))),"Not Found")</f>
        <v>Suspension Noise</v>
      </c>
      <c r="L509" s="3" t="s">
        <v>89</v>
      </c>
      <c r="M509" s="0" t="str">
        <f aca="false">PROPER(L509)</f>
        <v>Shock Absorbers</v>
      </c>
      <c r="N509" s="3" t="s">
        <v>90</v>
      </c>
      <c r="O509" s="0" t="str">
        <f aca="false" t="array" ref="O509:O509">IF(N509&lt;&gt;"",N509,_xlfn.xlookup(1,(L509:L1508=L509)*(N509:N1508&lt;&gt;""),N509:N1508,"Not Found"))</f>
        <v>Musa</v>
      </c>
      <c r="P509" s="4" t="n">
        <v>65468</v>
      </c>
      <c r="Q509" s="0" t="s">
        <v>91</v>
      </c>
      <c r="R509" s="0" t="str">
        <f aca="false">PROPER(Q509)</f>
        <v>Pos</v>
      </c>
      <c r="S509" s="0" t="s">
        <v>50</v>
      </c>
      <c r="T509" s="0" t="n">
        <v>5</v>
      </c>
      <c r="U509" s="5" t="n">
        <f aca="false">IF(ISBLANK(T509),AVERAGE(T509:T1508),T509)</f>
        <v>5</v>
      </c>
      <c r="V509" s="0" t="n">
        <v>3</v>
      </c>
      <c r="W509" s="0" t="s">
        <v>125</v>
      </c>
      <c r="X509" s="0" t="str">
        <f aca="false">IF(ISBLANK(W509),"No remarks",W509)</f>
        <v>Customer waited</v>
      </c>
      <c r="Y509" s="0" t="s">
        <v>73</v>
      </c>
      <c r="Z509" s="0" t="s">
        <v>74</v>
      </c>
      <c r="AA509" s="0" t="str">
        <f aca="false">PROPER(IF(ISBLANK(Z509),"Location Unavailable",Z509))</f>
        <v>Under Tree</v>
      </c>
      <c r="AB509" s="0" t="s">
        <v>126</v>
      </c>
      <c r="AC509" s="6" t="str">
        <f aca="false">PROPER(AB509)</f>
        <v>Whatsapp</v>
      </c>
      <c r="AD509" s="6" t="n">
        <v>15</v>
      </c>
      <c r="AE509" s="5" t="n">
        <f aca="false">IF(ISBLANK(AD509),AVERAGEIF(L509:L1508,L509,AD509:AD1508),AD509)</f>
        <v>15</v>
      </c>
      <c r="AF509" s="0" t="s">
        <v>160</v>
      </c>
      <c r="AG509" s="0" t="str">
        <f aca="false">PROPER(AF509)</f>
        <v>Availaible</v>
      </c>
      <c r="AH509" s="0" t="s">
        <v>155</v>
      </c>
      <c r="AI509" s="0" t="s">
        <v>98</v>
      </c>
      <c r="AJ509" s="0" t="str">
        <f aca="false">PROPER(AI509)</f>
        <v>Emergency</v>
      </c>
      <c r="AK509" s="0" t="s">
        <v>114</v>
      </c>
      <c r="AL509" s="0" t="str">
        <f aca="false">PROPER(AK509)</f>
        <v>Returning</v>
      </c>
      <c r="AM509" s="0" t="s">
        <v>59</v>
      </c>
      <c r="AN509" s="0" t="str">
        <f aca="false">IF(ISBLANK(AM509),"Unknown",AM509)</f>
        <v>Bolt Driver</v>
      </c>
      <c r="AP509" s="0" t="str">
        <f aca="false">IF(ISBLANK(AO509),"Unknown",AO509)</f>
        <v>Unknown</v>
      </c>
      <c r="AQ509" s="0" t="n">
        <v>40000</v>
      </c>
      <c r="AR509" s="5" t="n">
        <f aca="false">IF(ISBLANK(AQ509),AVERAGEIF(M509:M1508,M509,AQ509:AQ1508),AQ509)</f>
        <v>40000</v>
      </c>
      <c r="AS509" s="0" t="n">
        <v>40000</v>
      </c>
      <c r="AT509" s="5" t="n">
        <f aca="false">IF(ISBLANK(AS509),AVERAGE(AS509:AS1508),AS509)</f>
        <v>40000</v>
      </c>
      <c r="AU509" s="0" t="s">
        <v>63</v>
      </c>
      <c r="AV509" s="0" t="str">
        <f aca="false">PROPER(IF(ISBLANK(AU509),"No",AU509))</f>
        <v>Yes</v>
      </c>
      <c r="AW509" s="0" t="n">
        <v>5000</v>
      </c>
      <c r="AX509" s="5" t="n">
        <f aca="false">IF(ISBLANK(AW509),0,AW509)</f>
        <v>5000</v>
      </c>
      <c r="AY509" s="0" t="s">
        <v>130</v>
      </c>
      <c r="AZ509" s="0" t="str">
        <f aca="false">UPPER(IF(ISBLANK(AY509),"NONE",AY509))</f>
        <v>LOYALTY10</v>
      </c>
      <c r="BB509" s="7" t="str">
        <f aca="false">IF(ISBLANK(BA509),"No Follow Up Needed",BA509)</f>
        <v>No Follow Up Needed</v>
      </c>
      <c r="BC509" s="0" t="s">
        <v>63</v>
      </c>
      <c r="BD509" s="0" t="str">
        <f aca="false">PROPER(IF(ISBLANK(BC509),"Unknown",BC509))</f>
        <v>Yes</v>
      </c>
      <c r="BF509" s="0" t="str">
        <f aca="false">IF(ISBLANK(BE509),"No comments",BE509)</f>
        <v>No comments</v>
      </c>
      <c r="BG509" s="0" t="s">
        <v>117</v>
      </c>
      <c r="BH509" s="0" t="str">
        <f aca="false">IF(ISBLANK(BG509),"No comments",BG509)</f>
        <v>Prefers morning</v>
      </c>
      <c r="BI509" s="0" t="s">
        <v>63</v>
      </c>
      <c r="BJ509" s="0" t="str">
        <f aca="false">IF(ISBLANK(BI509),"Not Mentioned",BI509)</f>
        <v>Yes</v>
      </c>
      <c r="BK509" s="0" t="s">
        <v>61</v>
      </c>
      <c r="BL509" s="0" t="str">
        <f aca="false">PROPER(IF(ISBLANK(BK509),"Not Mentioned",BK509))</f>
        <v>No</v>
      </c>
      <c r="BM509" s="0" t="s">
        <v>63</v>
      </c>
      <c r="BN509" s="0" t="str">
        <f aca="false">PROPER(IF(ISBLANK(BM509),"Not Mentioned",BM509))</f>
        <v>Yes</v>
      </c>
      <c r="BO509" s="0" t="s">
        <v>64</v>
      </c>
      <c r="BP509" s="0" t="str">
        <f aca="false">IF(ISBLANK(BO509),"One-Time Plan",BO509)</f>
        <v>Gold Maintenance Plan</v>
      </c>
      <c r="BQ509" s="0" t="s">
        <v>198</v>
      </c>
      <c r="BR509" s="0" t="str">
        <f aca="false">PROPER(IF(ISBLANK(BQ509),"No",BQ509))</f>
        <v>Followed Up</v>
      </c>
    </row>
    <row r="510" customFormat="false" ht="15" hidden="false" customHeight="false" outlineLevel="0" collapsed="false">
      <c r="A510" s="0" t="s">
        <v>1289</v>
      </c>
      <c r="B510" s="2" t="n">
        <v>45694</v>
      </c>
      <c r="C510" s="2" t="str">
        <f aca="false">TEXT(B510,"dd/mm/yyyy")</f>
        <v>06/02/2025</v>
      </c>
      <c r="D510" s="0" t="s">
        <v>163</v>
      </c>
      <c r="E510" s="0" t="n">
        <v>8081443936</v>
      </c>
      <c r="F510" s="0" t="s">
        <v>139</v>
      </c>
      <c r="G510" s="0" t="s">
        <v>2323</v>
      </c>
      <c r="H510" s="0" t="s">
        <v>44</v>
      </c>
      <c r="I510" s="0" t="s">
        <v>45</v>
      </c>
      <c r="J510" s="0" t="s">
        <v>87</v>
      </c>
      <c r="K510" s="3" t="str">
        <f aca="false" t="array" ref="K510:K510">IFERROR(IF(J510&lt;&gt;"",J510,INDEX(J510:J1509,MATCH(1,(F510:F1509=F510)*(I510:I1509=I510)*(L510:L1509=L510)*(J510:J1509&lt;&gt;""),0))),"Not Found")</f>
        <v>Oil Change</v>
      </c>
      <c r="L510" s="3" t="s">
        <v>189</v>
      </c>
      <c r="M510" s="0" t="str">
        <f aca="false">PROPER(L510)</f>
        <v>Battery</v>
      </c>
      <c r="N510" s="3" t="s">
        <v>90</v>
      </c>
      <c r="O510" s="0" t="str">
        <f aca="false" t="array" ref="O510:O510">IF(N510&lt;&gt;"",N510,_xlfn.xlookup(1,(L510:L1509=L510)*(N510:N1509&lt;&gt;""),N510:N1509,"Not Found"))</f>
        <v>Musa</v>
      </c>
      <c r="P510" s="4" t="n">
        <v>113132</v>
      </c>
      <c r="Q510" s="0" t="s">
        <v>72</v>
      </c>
      <c r="R510" s="0" t="str">
        <f aca="false">PROPER(Q510)</f>
        <v>Pos</v>
      </c>
      <c r="S510" s="0" t="s">
        <v>63</v>
      </c>
      <c r="T510" s="0" t="n">
        <v>4</v>
      </c>
      <c r="U510" s="5" t="n">
        <f aca="false">IF(ISBLANK(T510),AVERAGE(T510:T1509),T510)</f>
        <v>4</v>
      </c>
      <c r="V510" s="0" t="n">
        <v>2.3</v>
      </c>
      <c r="W510" s="0" t="s">
        <v>125</v>
      </c>
      <c r="X510" s="0" t="str">
        <f aca="false">IF(ISBLANK(W510),"No remarks",W510)</f>
        <v>Customer waited</v>
      </c>
      <c r="Y510" s="0" t="s">
        <v>52</v>
      </c>
      <c r="AA510" s="0" t="str">
        <f aca="false">PROPER(IF(ISBLANK(Z510),"Location Unavailable",Z510))</f>
        <v>Location Unavailable</v>
      </c>
      <c r="AB510" s="0" t="s">
        <v>54</v>
      </c>
      <c r="AC510" s="6" t="str">
        <f aca="false">PROPER(AB510)</f>
        <v>Mechanic Referral</v>
      </c>
      <c r="AD510" s="6" t="n">
        <v>30</v>
      </c>
      <c r="AE510" s="5" t="n">
        <f aca="false">IF(ISBLANK(AD510),AVERAGEIF(L510:L1509,L510,AD510:AD1509),AD510)</f>
        <v>30</v>
      </c>
      <c r="AF510" s="0" t="s">
        <v>55</v>
      </c>
      <c r="AG510" s="0" t="str">
        <f aca="false">PROPER(AF510)</f>
        <v>Available</v>
      </c>
      <c r="AH510" s="0" t="s">
        <v>77</v>
      </c>
      <c r="AI510" s="0" t="s">
        <v>78</v>
      </c>
      <c r="AJ510" s="0" t="str">
        <f aca="false">PROPER(AI510)</f>
        <v>Booking</v>
      </c>
      <c r="AK510" s="0" t="s">
        <v>99</v>
      </c>
      <c r="AL510" s="0" t="str">
        <f aca="false">PROPER(AK510)</f>
        <v>Uber Driver</v>
      </c>
      <c r="AM510" s="0" t="s">
        <v>2326</v>
      </c>
      <c r="AN510" s="0" t="str">
        <f aca="false">IF(ISBLANK(AM510),"Unknown",AM510)</f>
        <v>Government Convoy</v>
      </c>
      <c r="AO510" s="0" t="s">
        <v>149</v>
      </c>
      <c r="AP510" s="0" t="str">
        <f aca="false">IF(ISBLANK(AO510),"Unknown",AO510)</f>
        <v>Senior </v>
      </c>
      <c r="AQ510" s="0" t="n">
        <v>30000</v>
      </c>
      <c r="AR510" s="5" t="n">
        <f aca="false">IF(ISBLANK(AQ510),AVERAGEIF(M510:M1509,M510,AQ510:AQ1509),AQ510)</f>
        <v>30000</v>
      </c>
      <c r="AS510" s="0" t="n">
        <v>35000</v>
      </c>
      <c r="AT510" s="5" t="n">
        <f aca="false">IF(ISBLANK(AS510),AVERAGE(AS510:AS1509),AS510)</f>
        <v>35000</v>
      </c>
      <c r="AV510" s="0" t="str">
        <f aca="false">PROPER(IF(ISBLANK(AU510),"No",AU510))</f>
        <v>No</v>
      </c>
      <c r="AW510" s="0" t="n">
        <v>0</v>
      </c>
      <c r="AX510" s="5" t="n">
        <f aca="false">IF(ISBLANK(AW510),0,AW510)</f>
        <v>0</v>
      </c>
      <c r="AY510" s="0" t="s">
        <v>60</v>
      </c>
      <c r="AZ510" s="0" t="str">
        <f aca="false">UPPER(IF(ISBLANK(AY510),"NONE",AY510))</f>
        <v>NONE</v>
      </c>
      <c r="BA510" s="7" t="n">
        <v>45935</v>
      </c>
      <c r="BB510" s="7" t="n">
        <f aca="false">IF(ISBLANK(BA510),"No Follow Up Needed",BA510)</f>
        <v>45935</v>
      </c>
      <c r="BC510" s="0" t="s">
        <v>82</v>
      </c>
      <c r="BD510" s="0" t="str">
        <f aca="false">PROPER(IF(ISBLANK(BC510),"Unknown",BC510))</f>
        <v>Yes</v>
      </c>
      <c r="BE510" s="0" t="s">
        <v>116</v>
      </c>
      <c r="BF510" s="0" t="str">
        <f aca="false">IF(ISBLANK(BE510),"No comments",BE510)</f>
        <v>Needs tire alignment</v>
      </c>
      <c r="BG510" s="0" t="s">
        <v>117</v>
      </c>
      <c r="BH510" s="0" t="str">
        <f aca="false">IF(ISBLANK(BG510),"No comments",BG510)</f>
        <v>Prefers morning</v>
      </c>
      <c r="BI510" s="0" t="s">
        <v>63</v>
      </c>
      <c r="BJ510" s="0" t="str">
        <f aca="false">IF(ISBLANK(BI510),"Not Mentioned",BI510)</f>
        <v>Yes</v>
      </c>
      <c r="BL510" s="0" t="str">
        <f aca="false">PROPER(IF(ISBLANK(BK510),"Not Mentioned",BK510))</f>
        <v>Not Mentioned</v>
      </c>
      <c r="BN510" s="0" t="str">
        <f aca="false">PROPER(IF(ISBLANK(BM510),"Not Mentioned",BM510))</f>
        <v>Not Mentioned</v>
      </c>
      <c r="BP510" s="0" t="str">
        <f aca="false">IF(ISBLANK(BO510),"One-Time Plan",BO510)</f>
        <v>One-Time Plan</v>
      </c>
      <c r="BQ510" s="0" t="s">
        <v>63</v>
      </c>
      <c r="BR510" s="0" t="str">
        <f aca="false">PROPER(IF(ISBLANK(BQ510),"No",BQ510))</f>
        <v>Yes</v>
      </c>
    </row>
    <row r="511" customFormat="false" ht="15" hidden="false" customHeight="false" outlineLevel="0" collapsed="false">
      <c r="A511" s="0" t="s">
        <v>1290</v>
      </c>
      <c r="B511" s="2" t="n">
        <v>45684</v>
      </c>
      <c r="C511" s="2" t="str">
        <f aca="false">TEXT(B511,"dd/mm/yyyy")</f>
        <v>27/01/2025</v>
      </c>
      <c r="D511" s="0" t="s">
        <v>163</v>
      </c>
      <c r="E511" s="0" t="n">
        <v>8039013376</v>
      </c>
      <c r="F511" s="0" t="s">
        <v>67</v>
      </c>
      <c r="G511" s="0" t="s">
        <v>2316</v>
      </c>
      <c r="H511" s="0" t="s">
        <v>1291</v>
      </c>
      <c r="I511" s="0" t="s">
        <v>69</v>
      </c>
      <c r="J511" s="0" t="s">
        <v>87</v>
      </c>
      <c r="K511" s="3" t="str">
        <f aca="false" t="array" ref="K511:K511">IFERROR(IF(J511&lt;&gt;"",J511,INDEX(J511:J1510,MATCH(1,(F511:F1510=F511)*(I511:I1510=I511)*(L511:L1510=L511)*(J511:J1510&lt;&gt;""),0))),"Not Found")</f>
        <v>Oil Change</v>
      </c>
      <c r="L511" s="3" t="s">
        <v>142</v>
      </c>
      <c r="M511" s="0" t="str">
        <f aca="false">PROPER(L511)</f>
        <v>Oil Filter, Brake Pads</v>
      </c>
      <c r="O511" s="0" t="e">
        <f aca="false" t="array" ref="O511:O511">IF(N511&lt;&gt;"",N511,_xlfn.xlookup(1,(L511:L1510=L511)*(N511:N1510&lt;&gt;""),N511:N1510,"Not Found"))</f>
        <v>#NAME?</v>
      </c>
      <c r="P511" s="4" t="n">
        <v>50404</v>
      </c>
      <c r="Q511" s="0" t="s">
        <v>110</v>
      </c>
      <c r="R511" s="0" t="str">
        <f aca="false">PROPER(Q511)</f>
        <v>Cash</v>
      </c>
      <c r="S511" s="0" t="s">
        <v>50</v>
      </c>
      <c r="T511" s="0" t="n">
        <v>5</v>
      </c>
      <c r="U511" s="5" t="n">
        <f aca="false">IF(ISBLANK(T511),AVERAGE(T511:T1510),T511)</f>
        <v>5</v>
      </c>
      <c r="V511" s="0" t="n">
        <v>5.9</v>
      </c>
      <c r="W511" s="0" t="s">
        <v>92</v>
      </c>
      <c r="X511" s="0" t="str">
        <f aca="false">IF(ISBLANK(W511),"No remarks",W511)</f>
        <v>Urgent service</v>
      </c>
      <c r="Y511" s="0" t="s">
        <v>73</v>
      </c>
      <c r="Z511" s="0" t="s">
        <v>94</v>
      </c>
      <c r="AA511" s="0" t="str">
        <f aca="false">PROPER(IF(ISBLANK(Z511),"Location Unavailable",Z511))</f>
        <v>Vip Section</v>
      </c>
      <c r="AB511" s="0" t="s">
        <v>126</v>
      </c>
      <c r="AC511" s="6" t="str">
        <f aca="false">PROPER(AB511)</f>
        <v>Whatsapp</v>
      </c>
      <c r="AD511" s="6" t="n">
        <v>45</v>
      </c>
      <c r="AE511" s="5" t="n">
        <f aca="false">IF(ISBLANK(AD511),AVERAGEIF(L511:L1510,L511,AD511:AD1510),AD511)</f>
        <v>45</v>
      </c>
      <c r="AF511" s="0" t="s">
        <v>112</v>
      </c>
      <c r="AG511" s="0" t="str">
        <f aca="false">PROPER(AF511)</f>
        <v>Unavailable</v>
      </c>
      <c r="AH511" s="0" t="s">
        <v>56</v>
      </c>
      <c r="AI511" s="0" t="s">
        <v>98</v>
      </c>
      <c r="AJ511" s="0" t="str">
        <f aca="false">PROPER(AI511)</f>
        <v>Emergency</v>
      </c>
      <c r="AK511" s="0" t="s">
        <v>58</v>
      </c>
      <c r="AL511" s="0" t="str">
        <f aca="false">PROPER(AK511)</f>
        <v>Fleet Owner</v>
      </c>
      <c r="AN511" s="0" t="str">
        <f aca="false">IF(ISBLANK(AM511),"Unknown",AM511)</f>
        <v>Unknown</v>
      </c>
      <c r="AO511" s="0" t="s">
        <v>79</v>
      </c>
      <c r="AP511" s="0" t="str">
        <f aca="false">IF(ISBLANK(AO511),"Unknown",AO511)</f>
        <v>Specialist</v>
      </c>
      <c r="AQ511" s="0" t="n">
        <v>25000</v>
      </c>
      <c r="AR511" s="5" t="n">
        <f aca="false">IF(ISBLANK(AQ511),AVERAGEIF(M511:M1510,M511,AQ511:AQ1510),AQ511)</f>
        <v>25000</v>
      </c>
      <c r="AS511" s="0" t="n">
        <v>20000</v>
      </c>
      <c r="AT511" s="5" t="n">
        <f aca="false">IF(ISBLANK(AS511),AVERAGE(AS511:AS1510),AS511)</f>
        <v>20000</v>
      </c>
      <c r="AV511" s="0" t="str">
        <f aca="false">PROPER(IF(ISBLANK(AU511),"No",AU511))</f>
        <v>No</v>
      </c>
      <c r="AW511" s="0" t="n">
        <v>10000</v>
      </c>
      <c r="AX511" s="5" t="n">
        <f aca="false">IF(ISBLANK(AW511),0,AW511)</f>
        <v>10000</v>
      </c>
      <c r="AY511" s="0" t="s">
        <v>130</v>
      </c>
      <c r="AZ511" s="0" t="str">
        <f aca="false">UPPER(IF(ISBLANK(AY511),"NONE",AY511))</f>
        <v>LOYALTY10</v>
      </c>
      <c r="BA511" s="7" t="s">
        <v>1155</v>
      </c>
      <c r="BB511" s="7" t="str">
        <f aca="false">IF(ISBLANK(BA511),"No Follow Up Needed",BA511)</f>
        <v>21/10/2025</v>
      </c>
      <c r="BC511" s="0" t="s">
        <v>63</v>
      </c>
      <c r="BD511" s="0" t="str">
        <f aca="false">PROPER(IF(ISBLANK(BC511),"Unknown",BC511))</f>
        <v>Yes</v>
      </c>
      <c r="BE511" s="0" t="s">
        <v>171</v>
      </c>
      <c r="BF511" s="0" t="str">
        <f aca="false">IF(ISBLANK(BE511),"No comments",BE511)</f>
        <v>Shock absorber weakening</v>
      </c>
      <c r="BG511" s="0" t="s">
        <v>2320</v>
      </c>
      <c r="BH511" s="0" t="str">
        <f aca="false">IF(ISBLANK(BG511),"No comments",BG511)</f>
        <v>No complaints</v>
      </c>
      <c r="BI511" s="0" t="s">
        <v>63</v>
      </c>
      <c r="BJ511" s="0" t="str">
        <f aca="false">IF(ISBLANK(BI511),"Not Mentioned",BI511)</f>
        <v>Yes</v>
      </c>
      <c r="BK511" s="0" t="s">
        <v>82</v>
      </c>
      <c r="BL511" s="0" t="str">
        <f aca="false">PROPER(IF(ISBLANK(BK511),"Not Mentioned",BK511))</f>
        <v>Yes</v>
      </c>
      <c r="BM511" s="0" t="s">
        <v>63</v>
      </c>
      <c r="BN511" s="0" t="str">
        <f aca="false">PROPER(IF(ISBLANK(BM511),"Not Mentioned",BM511))</f>
        <v>Yes</v>
      </c>
      <c r="BO511" s="0" t="s">
        <v>2321</v>
      </c>
      <c r="BP511" s="0" t="str">
        <f aca="false">IF(ISBLANK(BO511),"One-Time Plan",BO511)</f>
        <v>One-Time Plan</v>
      </c>
      <c r="BQ511" s="0" t="s">
        <v>198</v>
      </c>
      <c r="BR511" s="0" t="str">
        <f aca="false">PROPER(IF(ISBLANK(BQ511),"No",BQ511))</f>
        <v>Followed Up</v>
      </c>
    </row>
    <row r="512" customFormat="false" ht="15" hidden="false" customHeight="false" outlineLevel="0" collapsed="false">
      <c r="A512" s="0" t="s">
        <v>1292</v>
      </c>
      <c r="B512" s="2" t="n">
        <v>45809</v>
      </c>
      <c r="C512" s="2" t="str">
        <f aca="false">TEXT(B512,"dd/mm/yyyy")</f>
        <v>01/06/2025</v>
      </c>
      <c r="D512" s="0" t="s">
        <v>163</v>
      </c>
      <c r="E512" s="0" t="n">
        <v>8069332039</v>
      </c>
      <c r="F512" s="0" t="s">
        <v>122</v>
      </c>
      <c r="G512" s="0" t="s">
        <v>2316</v>
      </c>
      <c r="H512" s="0" t="s">
        <v>1293</v>
      </c>
      <c r="I512" s="0" t="s">
        <v>87</v>
      </c>
      <c r="J512" s="0" t="s">
        <v>2322</v>
      </c>
      <c r="K512" s="3" t="str">
        <f aca="false" t="array" ref="K512:K512">IFERROR(IF(J512&lt;&gt;"",J512,INDEX(J512:J1511,MATCH(1,(F512:F1511=F512)*(I512:I1511=I512)*(L512:L1511=L512)*(J512:J1511&lt;&gt;""),0))),"Not Found")</f>
        <v>Brake Failure</v>
      </c>
      <c r="L512" s="3" t="s">
        <v>47</v>
      </c>
      <c r="M512" s="0" t="str">
        <f aca="false">PROPER(L512)</f>
        <v>None</v>
      </c>
      <c r="N512" s="3" t="s">
        <v>71</v>
      </c>
      <c r="O512" s="0" t="str">
        <f aca="false" t="array" ref="O512:O512">IF(N512&lt;&gt;"",N512,_xlfn.xlookup(1,(L512:L1511=L512)*(N512:N1511&lt;&gt;""),N512:N1511,"Not Found"))</f>
        <v>Isaac Bobo</v>
      </c>
      <c r="P512" s="4" t="n">
        <v>91645</v>
      </c>
      <c r="Q512" s="0" t="s">
        <v>124</v>
      </c>
      <c r="R512" s="0" t="str">
        <f aca="false">PROPER(Q512)</f>
        <v>Cash</v>
      </c>
      <c r="S512" s="0" t="s">
        <v>63</v>
      </c>
      <c r="T512" s="0" t="n">
        <v>5</v>
      </c>
      <c r="U512" s="5" t="n">
        <f aca="false">IF(ISBLANK(T512),AVERAGE(T512:T1511),T512)</f>
        <v>5</v>
      </c>
      <c r="V512" s="0" t="n">
        <v>5.8</v>
      </c>
      <c r="X512" s="0" t="str">
        <f aca="false">IF(ISBLANK(W512),"No remarks",W512)</f>
        <v>No remarks</v>
      </c>
      <c r="Y512" s="0" t="s">
        <v>73</v>
      </c>
      <c r="Z512" s="0" t="s">
        <v>94</v>
      </c>
      <c r="AA512" s="0" t="str">
        <f aca="false">PROPER(IF(ISBLANK(Z512),"Location Unavailable",Z512))</f>
        <v>Vip Section</v>
      </c>
      <c r="AB512" s="0" t="s">
        <v>167</v>
      </c>
      <c r="AC512" s="6" t="str">
        <f aca="false">PROPER(AB512)</f>
        <v>Word Of Mouth</v>
      </c>
      <c r="AD512" s="6" t="n">
        <v>30</v>
      </c>
      <c r="AE512" s="5" t="n">
        <f aca="false">IF(ISBLANK(AD512),AVERAGEIF(L512:L1511,L512,AD512:AD1511),AD512)</f>
        <v>30</v>
      </c>
      <c r="AF512" s="0" t="s">
        <v>112</v>
      </c>
      <c r="AG512" s="0" t="str">
        <f aca="false">PROPER(AF512)</f>
        <v>Unavailable</v>
      </c>
      <c r="AH512" s="0" t="s">
        <v>155</v>
      </c>
      <c r="AI512" s="0" t="s">
        <v>78</v>
      </c>
      <c r="AJ512" s="0" t="str">
        <f aca="false">PROPER(AI512)</f>
        <v>Booking</v>
      </c>
      <c r="AK512" s="0" t="s">
        <v>58</v>
      </c>
      <c r="AL512" s="0" t="str">
        <f aca="false">PROPER(AK512)</f>
        <v>Fleet Owner</v>
      </c>
      <c r="AN512" s="0" t="str">
        <f aca="false">IF(ISBLANK(AM512),"Unknown",AM512)</f>
        <v>Unknown</v>
      </c>
      <c r="AO512" s="0" t="s">
        <v>79</v>
      </c>
      <c r="AP512" s="0" t="str">
        <f aca="false">IF(ISBLANK(AO512),"Unknown",AO512)</f>
        <v>Specialist</v>
      </c>
      <c r="AQ512" s="0" t="n">
        <v>30000</v>
      </c>
      <c r="AR512" s="5" t="n">
        <f aca="false">IF(ISBLANK(AQ512),AVERAGEIF(M512:M1511,M512,AQ512:AQ1511),AQ512)</f>
        <v>30000</v>
      </c>
      <c r="AT512" s="5" t="n">
        <f aca="false">IF(ISBLANK(AS512),AVERAGE(AS512:AS1511),AS512)</f>
        <v>31568.6274509804</v>
      </c>
      <c r="AU512" s="0" t="s">
        <v>61</v>
      </c>
      <c r="AV512" s="0" t="str">
        <f aca="false">PROPER(IF(ISBLANK(AU512),"No",AU512))</f>
        <v>No</v>
      </c>
      <c r="AW512" s="0" t="n">
        <v>5000</v>
      </c>
      <c r="AX512" s="5" t="n">
        <f aca="false">IF(ISBLANK(AW512),0,AW512)</f>
        <v>5000</v>
      </c>
      <c r="AZ512" s="0" t="str">
        <f aca="false">UPPER(IF(ISBLANK(AY512),"NONE",AY512))</f>
        <v>NONE</v>
      </c>
      <c r="BA512" s="7" t="n">
        <v>45941</v>
      </c>
      <c r="BB512" s="7" t="n">
        <f aca="false">IF(ISBLANK(BA512),"No Follow Up Needed",BA512)</f>
        <v>45941</v>
      </c>
      <c r="BC512" s="0" t="s">
        <v>82</v>
      </c>
      <c r="BD512" s="0" t="str">
        <f aca="false">PROPER(IF(ISBLANK(BC512),"Unknown",BC512))</f>
        <v>Yes</v>
      </c>
      <c r="BE512" s="0" t="s">
        <v>116</v>
      </c>
      <c r="BF512" s="0" t="str">
        <f aca="false">IF(ISBLANK(BE512),"No comments",BE512)</f>
        <v>Needs tire alignment</v>
      </c>
      <c r="BG512" s="0" t="s">
        <v>2320</v>
      </c>
      <c r="BH512" s="0" t="str">
        <f aca="false">IF(ISBLANK(BG512),"No comments",BG512)</f>
        <v>No complaints</v>
      </c>
      <c r="BI512" s="0" t="s">
        <v>50</v>
      </c>
      <c r="BJ512" s="0" t="str">
        <f aca="false">IF(ISBLANK(BI512),"Not Mentioned",BI512)</f>
        <v>No</v>
      </c>
      <c r="BK512" s="0" t="s">
        <v>50</v>
      </c>
      <c r="BL512" s="0" t="str">
        <f aca="false">PROPER(IF(ISBLANK(BK512),"Not Mentioned",BK512))</f>
        <v>No</v>
      </c>
      <c r="BM512" s="0" t="s">
        <v>50</v>
      </c>
      <c r="BN512" s="0" t="str">
        <f aca="false">PROPER(IF(ISBLANK(BM512),"Not Mentioned",BM512))</f>
        <v>No</v>
      </c>
      <c r="BP512" s="0" t="str">
        <f aca="false">IF(ISBLANK(BO512),"One-Time Plan",BO512)</f>
        <v>One-Time Plan</v>
      </c>
      <c r="BQ512" s="0" t="s">
        <v>50</v>
      </c>
      <c r="BR512" s="0" t="str">
        <f aca="false">PROPER(IF(ISBLANK(BQ512),"No",BQ512))</f>
        <v>No</v>
      </c>
    </row>
    <row r="513" customFormat="false" ht="15" hidden="false" customHeight="false" outlineLevel="0" collapsed="false">
      <c r="A513" s="0" t="s">
        <v>1294</v>
      </c>
      <c r="B513" s="2" t="n">
        <v>45821</v>
      </c>
      <c r="C513" s="2" t="str">
        <f aca="false">TEXT(B513,"dd/mm/yyyy")</f>
        <v>13/06/2025</v>
      </c>
      <c r="D513" s="0" t="s">
        <v>163</v>
      </c>
      <c r="E513" s="0" t="n">
        <v>8016409704</v>
      </c>
      <c r="F513" s="0" t="s">
        <v>122</v>
      </c>
      <c r="G513" s="0" t="s">
        <v>2316</v>
      </c>
      <c r="H513" s="0" t="s">
        <v>1295</v>
      </c>
      <c r="I513" s="0" t="s">
        <v>45</v>
      </c>
      <c r="J513" s="0" t="s">
        <v>2325</v>
      </c>
      <c r="K513" s="3" t="str">
        <f aca="false" t="array" ref="K513:K513">IFERROR(IF(J513&lt;&gt;"",J513,INDEX(J513:J1512,MATCH(1,(F513:F1512=F513)*(I513:I1512=I513)*(L513:L1512=L513)*(J513:J1512&lt;&gt;""),0))),"Not Found")</f>
        <v>Engine Knocking</v>
      </c>
      <c r="L513" s="3" t="s">
        <v>108</v>
      </c>
      <c r="M513" s="0" t="str">
        <f aca="false">PROPER(L513)</f>
        <v>Timing Belt</v>
      </c>
      <c r="N513" s="3" t="s">
        <v>109</v>
      </c>
      <c r="O513" s="0" t="str">
        <f aca="false" t="array" ref="O513:O513">IF(N513&lt;&gt;"",N513,_xlfn.xlookup(1,(L513:L1512=L513)*(N513:N1512&lt;&gt;""),N513:N1512,"Not Found"))</f>
        <v>Tijani</v>
      </c>
      <c r="P513" s="4" t="n">
        <v>18504</v>
      </c>
      <c r="Q513" s="0" t="s">
        <v>91</v>
      </c>
      <c r="R513" s="0" t="str">
        <f aca="false">PROPER(Q513)</f>
        <v>Pos</v>
      </c>
      <c r="S513" s="0" t="s">
        <v>63</v>
      </c>
      <c r="T513" s="0" t="n">
        <v>5</v>
      </c>
      <c r="U513" s="5" t="n">
        <f aca="false">IF(ISBLANK(T513),AVERAGE(T513:T1512),T513)</f>
        <v>5</v>
      </c>
      <c r="V513" s="0" t="n">
        <v>1.2</v>
      </c>
      <c r="W513" s="0" t="s">
        <v>92</v>
      </c>
      <c r="X513" s="0" t="str">
        <f aca="false">IF(ISBLANK(W513),"No remarks",W513)</f>
        <v>Urgent service</v>
      </c>
      <c r="Y513" s="0" t="s">
        <v>52</v>
      </c>
      <c r="Z513" s="0" t="s">
        <v>159</v>
      </c>
      <c r="AA513" s="0" t="str">
        <f aca="false">PROPER(IF(ISBLANK(Z513),"Location Unavailable",Z513))</f>
        <v>Main Bay</v>
      </c>
      <c r="AB513" s="0" t="s">
        <v>75</v>
      </c>
      <c r="AC513" s="6" t="str">
        <f aca="false">PROPER(AB513)</f>
        <v>Mechanik Referal</v>
      </c>
      <c r="AD513" s="6" t="n">
        <v>15</v>
      </c>
      <c r="AE513" s="5" t="n">
        <f aca="false">IF(ISBLANK(AD513),AVERAGEIF(L513:L1512,L513,AD513:AD1512),AD513)</f>
        <v>15</v>
      </c>
      <c r="AF513" s="0" t="s">
        <v>55</v>
      </c>
      <c r="AG513" s="0" t="str">
        <f aca="false">PROPER(AF513)</f>
        <v>Available</v>
      </c>
      <c r="AH513" s="0" t="s">
        <v>155</v>
      </c>
      <c r="AI513" s="0" t="s">
        <v>113</v>
      </c>
      <c r="AJ513" s="0" t="str">
        <f aca="false">PROPER(AI513)</f>
        <v>Normal</v>
      </c>
      <c r="AK513" s="0" t="s">
        <v>99</v>
      </c>
      <c r="AL513" s="0" t="str">
        <f aca="false">PROPER(AK513)</f>
        <v>Uber Driver</v>
      </c>
      <c r="AM513" s="0" t="s">
        <v>59</v>
      </c>
      <c r="AN513" s="0" t="str">
        <f aca="false">IF(ISBLANK(AM513),"Unknown",AM513)</f>
        <v>Bolt Driver</v>
      </c>
      <c r="AO513" s="0" t="s">
        <v>79</v>
      </c>
      <c r="AP513" s="0" t="str">
        <f aca="false">IF(ISBLANK(AO513),"Unknown",AO513)</f>
        <v>Specialist</v>
      </c>
      <c r="AQ513" s="0" t="n">
        <v>20000</v>
      </c>
      <c r="AR513" s="5" t="n">
        <f aca="false">IF(ISBLANK(AQ513),AVERAGEIF(M513:M1512,M513,AQ513:AQ1512),AQ513)</f>
        <v>20000</v>
      </c>
      <c r="AS513" s="0" t="n">
        <v>20000</v>
      </c>
      <c r="AT513" s="5" t="n">
        <f aca="false">IF(ISBLANK(AS513),AVERAGE(AS513:AS1512),AS513)</f>
        <v>20000</v>
      </c>
      <c r="AU513" s="0" t="s">
        <v>63</v>
      </c>
      <c r="AV513" s="0" t="str">
        <f aca="false">PROPER(IF(ISBLANK(AU513),"No",AU513))</f>
        <v>Yes</v>
      </c>
      <c r="AW513" s="0" t="n">
        <v>10000</v>
      </c>
      <c r="AX513" s="5" t="n">
        <f aca="false">IF(ISBLANK(AW513),0,AW513)</f>
        <v>10000</v>
      </c>
      <c r="AY513" s="0" t="s">
        <v>130</v>
      </c>
      <c r="AZ513" s="0" t="str">
        <f aca="false">UPPER(IF(ISBLANK(AY513),"NONE",AY513))</f>
        <v>LOYALTY10</v>
      </c>
      <c r="BB513" s="7" t="str">
        <f aca="false">IF(ISBLANK(BA513),"No Follow Up Needed",BA513)</f>
        <v>No Follow Up Needed</v>
      </c>
      <c r="BD513" s="0" t="str">
        <f aca="false">PROPER(IF(ISBLANK(BC513),"Unknown",BC513))</f>
        <v>Unknown</v>
      </c>
      <c r="BF513" s="0" t="str">
        <f aca="false">IF(ISBLANK(BE513),"No comments",BE513)</f>
        <v>No comments</v>
      </c>
      <c r="BG513" s="0" t="s">
        <v>117</v>
      </c>
      <c r="BH513" s="0" t="str">
        <f aca="false">IF(ISBLANK(BG513),"No comments",BG513)</f>
        <v>Prefers morning</v>
      </c>
      <c r="BI513" s="0" t="s">
        <v>50</v>
      </c>
      <c r="BJ513" s="0" t="str">
        <f aca="false">IF(ISBLANK(BI513),"Not Mentioned",BI513)</f>
        <v>No</v>
      </c>
      <c r="BK513" s="0" t="s">
        <v>61</v>
      </c>
      <c r="BL513" s="0" t="str">
        <f aca="false">PROPER(IF(ISBLANK(BK513),"Not Mentioned",BK513))</f>
        <v>No</v>
      </c>
      <c r="BN513" s="0" t="str">
        <f aca="false">PROPER(IF(ISBLANK(BM513),"Not Mentioned",BM513))</f>
        <v>Not Mentioned</v>
      </c>
      <c r="BO513" s="0" t="s">
        <v>2318</v>
      </c>
      <c r="BP513" s="0" t="str">
        <f aca="false">IF(ISBLANK(BO513),"One-Time Plan",BO513)</f>
        <v>Gold</v>
      </c>
      <c r="BQ513" s="0" t="s">
        <v>190</v>
      </c>
      <c r="BR513" s="0" t="str">
        <f aca="false">PROPER(IF(ISBLANK(BQ513),"No",BQ513))</f>
        <v>Yes</v>
      </c>
    </row>
    <row r="514" customFormat="false" ht="15" hidden="false" customHeight="false" outlineLevel="0" collapsed="false">
      <c r="A514" s="0" t="s">
        <v>1296</v>
      </c>
      <c r="B514" s="2" t="n">
        <v>45728</v>
      </c>
      <c r="C514" s="2" t="str">
        <f aca="false">TEXT(B514,"dd/mm/yyyy")</f>
        <v>12/03/2025</v>
      </c>
      <c r="D514" s="0" t="s">
        <v>105</v>
      </c>
      <c r="E514" s="0" t="n">
        <v>8095200126</v>
      </c>
      <c r="F514" s="0" t="s">
        <v>122</v>
      </c>
      <c r="G514" s="0" t="s">
        <v>2316</v>
      </c>
      <c r="H514" s="0" t="s">
        <v>1297</v>
      </c>
      <c r="I514" s="0" t="s">
        <v>134</v>
      </c>
      <c r="J514" s="0" t="s">
        <v>2322</v>
      </c>
      <c r="K514" s="3" t="str">
        <f aca="false" t="array" ref="K514:K514">IFERROR(IF(J514&lt;&gt;"",J514,INDEX(J514:J1513,MATCH(1,(F514:F1513=F514)*(I514:I1513=I514)*(L514:L1513=L514)*(J514:J1513&lt;&gt;""),0))),"Not Found")</f>
        <v>Brake Failure</v>
      </c>
      <c r="L514" s="3" t="s">
        <v>89</v>
      </c>
      <c r="M514" s="0" t="str">
        <f aca="false">PROPER(L514)</f>
        <v>Shock Absorbers</v>
      </c>
      <c r="N514" s="3" t="s">
        <v>90</v>
      </c>
      <c r="O514" s="0" t="str">
        <f aca="false" t="array" ref="O514:O514">IF(N514&lt;&gt;"",N514,_xlfn.xlookup(1,(L514:L1513=L514)*(N514:N1513&lt;&gt;""),N514:N1513,"Not Found"))</f>
        <v>Musa</v>
      </c>
      <c r="P514" s="4" t="n">
        <v>58613</v>
      </c>
      <c r="Q514" s="0" t="s">
        <v>49</v>
      </c>
      <c r="R514" s="0" t="str">
        <f aca="false">PROPER(Q514)</f>
        <v>Transfer</v>
      </c>
      <c r="S514" s="0" t="s">
        <v>50</v>
      </c>
      <c r="T514" s="0" t="n">
        <v>3</v>
      </c>
      <c r="U514" s="5" t="n">
        <f aca="false">IF(ISBLANK(T514),AVERAGE(T514:T1513),T514)</f>
        <v>3</v>
      </c>
      <c r="V514" s="0" t="n">
        <v>4.3</v>
      </c>
      <c r="W514" s="0" t="s">
        <v>51</v>
      </c>
      <c r="X514" s="0" t="str">
        <f aca="false">IF(ISBLANK(W514),"No remarks",W514)</f>
        <v>Recommended further checks</v>
      </c>
      <c r="Y514" s="0" t="s">
        <v>52</v>
      </c>
      <c r="Z514" s="0" t="s">
        <v>136</v>
      </c>
      <c r="AA514" s="0" t="str">
        <f aca="false">PROPER(IF(ISBLANK(Z514),"Location Unavailable",Z514))</f>
        <v>Vip Section</v>
      </c>
      <c r="AB514" s="0" t="s">
        <v>54</v>
      </c>
      <c r="AC514" s="6" t="str">
        <f aca="false">PROPER(AB514)</f>
        <v>Mechanic Referral</v>
      </c>
      <c r="AD514" s="6" t="n">
        <v>30</v>
      </c>
      <c r="AE514" s="5" t="n">
        <f aca="false">IF(ISBLANK(AD514),AVERAGEIF(L514:L1513,L514,AD514:AD1513),AD514)</f>
        <v>30</v>
      </c>
      <c r="AF514" s="0" t="s">
        <v>55</v>
      </c>
      <c r="AG514" s="0" t="str">
        <f aca="false">PROPER(AF514)</f>
        <v>Available</v>
      </c>
      <c r="AH514" s="0" t="s">
        <v>56</v>
      </c>
      <c r="AI514" s="0" t="s">
        <v>78</v>
      </c>
      <c r="AJ514" s="0" t="str">
        <f aca="false">PROPER(AI514)</f>
        <v>Booking</v>
      </c>
      <c r="AK514" s="0" t="s">
        <v>196</v>
      </c>
      <c r="AL514" s="0" t="str">
        <f aca="false">PROPER(AK514)</f>
        <v>First Time</v>
      </c>
      <c r="AM514" s="0" t="s">
        <v>2326</v>
      </c>
      <c r="AN514" s="0" t="str">
        <f aca="false">IF(ISBLANK(AM514),"Unknown",AM514)</f>
        <v>Government Convoy</v>
      </c>
      <c r="AO514" s="0" t="s">
        <v>79</v>
      </c>
      <c r="AP514" s="0" t="str">
        <f aca="false">IF(ISBLANK(AO514),"Unknown",AO514)</f>
        <v>Specialist</v>
      </c>
      <c r="AQ514" s="0" t="n">
        <v>40000</v>
      </c>
      <c r="AR514" s="5" t="n">
        <f aca="false">IF(ISBLANK(AQ514),AVERAGEIF(M514:M1513,M514,AQ514:AQ1513),AQ514)</f>
        <v>40000</v>
      </c>
      <c r="AS514" s="0" t="n">
        <v>30000</v>
      </c>
      <c r="AT514" s="5" t="n">
        <f aca="false">IF(ISBLANK(AS514),AVERAGE(AS514:AS1513),AS514)</f>
        <v>30000</v>
      </c>
      <c r="AU514" s="0" t="s">
        <v>63</v>
      </c>
      <c r="AV514" s="0" t="str">
        <f aca="false">PROPER(IF(ISBLANK(AU514),"No",AU514))</f>
        <v>Yes</v>
      </c>
      <c r="AW514" s="0" t="n">
        <v>5000</v>
      </c>
      <c r="AX514" s="5" t="n">
        <f aca="false">IF(ISBLANK(AW514),0,AW514)</f>
        <v>5000</v>
      </c>
      <c r="AZ514" s="0" t="str">
        <f aca="false">UPPER(IF(ISBLANK(AY514),"NONE",AY514))</f>
        <v>NONE</v>
      </c>
      <c r="BB514" s="7" t="str">
        <f aca="false">IF(ISBLANK(BA514),"No Follow Up Needed",BA514)</f>
        <v>No Follow Up Needed</v>
      </c>
      <c r="BC514" s="0" t="s">
        <v>61</v>
      </c>
      <c r="BD514" s="0" t="str">
        <f aca="false">PROPER(IF(ISBLANK(BC514),"Unknown",BC514))</f>
        <v>No</v>
      </c>
      <c r="BE514" s="0" t="s">
        <v>171</v>
      </c>
      <c r="BF514" s="0" t="str">
        <f aca="false">IF(ISBLANK(BE514),"No comments",BE514)</f>
        <v>Shock absorber weakening</v>
      </c>
      <c r="BG514" s="0" t="s">
        <v>117</v>
      </c>
      <c r="BH514" s="0" t="str">
        <f aca="false">IF(ISBLANK(BG514),"No comments",BG514)</f>
        <v>Prefers morning</v>
      </c>
      <c r="BJ514" s="0" t="str">
        <f aca="false">IF(ISBLANK(BI514),"Not Mentioned",BI514)</f>
        <v>Not Mentioned</v>
      </c>
      <c r="BL514" s="0" t="str">
        <f aca="false">PROPER(IF(ISBLANK(BK514),"Not Mentioned",BK514))</f>
        <v>Not Mentioned</v>
      </c>
      <c r="BN514" s="0" t="str">
        <f aca="false">PROPER(IF(ISBLANK(BM514),"Not Mentioned",BM514))</f>
        <v>Not Mentioned</v>
      </c>
      <c r="BP514" s="0" t="str">
        <f aca="false">IF(ISBLANK(BO514),"One-Time Plan",BO514)</f>
        <v>One-Time Plan</v>
      </c>
      <c r="BQ514" s="0" t="s">
        <v>198</v>
      </c>
      <c r="BR514" s="0" t="str">
        <f aca="false">PROPER(IF(ISBLANK(BQ514),"No",BQ514))</f>
        <v>Followed Up</v>
      </c>
    </row>
    <row r="515" customFormat="false" ht="15" hidden="false" customHeight="false" outlineLevel="0" collapsed="false">
      <c r="A515" s="0" t="s">
        <v>1298</v>
      </c>
      <c r="B515" s="2" t="s">
        <v>1113</v>
      </c>
      <c r="C515" s="2" t="str">
        <f aca="false">TEXT(B515,"dd/mm/yyyy")</f>
        <v>23/04/2025</v>
      </c>
      <c r="D515" s="0" t="s">
        <v>66</v>
      </c>
      <c r="E515" s="0" t="n">
        <v>8080179022</v>
      </c>
      <c r="F515" s="0" t="s">
        <v>67</v>
      </c>
      <c r="G515" s="0" t="s">
        <v>2316</v>
      </c>
      <c r="H515" s="0" t="s">
        <v>1299</v>
      </c>
      <c r="I515" s="0" t="s">
        <v>45</v>
      </c>
      <c r="J515" s="0" t="s">
        <v>87</v>
      </c>
      <c r="K515" s="3" t="str">
        <f aca="false" t="array" ref="K515:K515">IFERROR(IF(J515&lt;&gt;"",J515,INDEX(J515:J1514,MATCH(1,(F515:F1514=F515)*(I515:I1514=I515)*(L515:L1514=L515)*(J515:J1514&lt;&gt;""),0))),"Not Found")</f>
        <v>Oil Change</v>
      </c>
      <c r="L515" s="3" t="s">
        <v>189</v>
      </c>
      <c r="M515" s="0" t="str">
        <f aca="false">PROPER(L515)</f>
        <v>Battery</v>
      </c>
      <c r="N515" s="3" t="s">
        <v>90</v>
      </c>
      <c r="O515" s="0" t="str">
        <f aca="false" t="array" ref="O515:O515">IF(N515&lt;&gt;"",N515,_xlfn.xlookup(1,(L515:L1514=L515)*(N515:N1514&lt;&gt;""),N515:N1514,"Not Found"))</f>
        <v>Musa</v>
      </c>
      <c r="P515" s="4" t="n">
        <v>68040</v>
      </c>
      <c r="Q515" s="0" t="s">
        <v>91</v>
      </c>
      <c r="R515" s="0" t="str">
        <f aca="false">PROPER(Q515)</f>
        <v>Pos</v>
      </c>
      <c r="S515" s="0" t="s">
        <v>63</v>
      </c>
      <c r="T515" s="0" t="n">
        <v>1</v>
      </c>
      <c r="U515" s="5" t="n">
        <f aca="false">IF(ISBLANK(T515),AVERAGE(T515:T1514),T515)</f>
        <v>1</v>
      </c>
      <c r="V515" s="0" t="n">
        <v>3.7</v>
      </c>
      <c r="W515" s="0" t="s">
        <v>92</v>
      </c>
      <c r="X515" s="0" t="str">
        <f aca="false">IF(ISBLANK(W515),"No remarks",W515)</f>
        <v>Urgent service</v>
      </c>
      <c r="Y515" s="0" t="s">
        <v>52</v>
      </c>
      <c r="AA515" s="0" t="str">
        <f aca="false">PROPER(IF(ISBLANK(Z515),"Location Unavailable",Z515))</f>
        <v>Location Unavailable</v>
      </c>
      <c r="AB515" s="0" t="s">
        <v>95</v>
      </c>
      <c r="AC515" s="6" t="str">
        <f aca="false">PROPER(AB515)</f>
        <v>Road Sign</v>
      </c>
      <c r="AD515" s="6" t="n">
        <v>45</v>
      </c>
      <c r="AE515" s="5" t="n">
        <f aca="false">IF(ISBLANK(AD515),AVERAGEIF(L515:L1514,L515,AD515:AD1514),AD515)</f>
        <v>45</v>
      </c>
      <c r="AF515" s="0" t="s">
        <v>112</v>
      </c>
      <c r="AG515" s="0" t="str">
        <f aca="false">PROPER(AF515)</f>
        <v>Unavailable</v>
      </c>
      <c r="AH515" s="0" t="s">
        <v>77</v>
      </c>
      <c r="AI515" s="0" t="s">
        <v>78</v>
      </c>
      <c r="AJ515" s="0" t="str">
        <f aca="false">PROPER(AI515)</f>
        <v>Booking</v>
      </c>
      <c r="AK515" s="0" t="s">
        <v>196</v>
      </c>
      <c r="AL515" s="0" t="str">
        <f aca="false">PROPER(AK515)</f>
        <v>First Time</v>
      </c>
      <c r="AM515" s="0" t="s">
        <v>2324</v>
      </c>
      <c r="AN515" s="0" t="str">
        <f aca="false">IF(ISBLANK(AM515),"Unknown",AM515)</f>
        <v>Logistics Convoy</v>
      </c>
      <c r="AO515" s="0" t="s">
        <v>143</v>
      </c>
      <c r="AP515" s="0" t="str">
        <f aca="false">IF(ISBLANK(AO515),"Unknown",AO515)</f>
        <v>Senior</v>
      </c>
      <c r="AQ515" s="0" t="n">
        <v>20000</v>
      </c>
      <c r="AR515" s="5" t="n">
        <f aca="false">IF(ISBLANK(AQ515),AVERAGEIF(M515:M1514,M515,AQ515:AQ1514),AQ515)</f>
        <v>20000</v>
      </c>
      <c r="AS515" s="0" t="n">
        <v>40000</v>
      </c>
      <c r="AT515" s="5" t="n">
        <f aca="false">IF(ISBLANK(AS515),AVERAGE(AS515:AS1514),AS515)</f>
        <v>40000</v>
      </c>
      <c r="AU515" s="0" t="s">
        <v>82</v>
      </c>
      <c r="AV515" s="0" t="str">
        <f aca="false">PROPER(IF(ISBLANK(AU515),"No",AU515))</f>
        <v>Yes</v>
      </c>
      <c r="AW515" s="0" t="n">
        <v>0</v>
      </c>
      <c r="AX515" s="5" t="n">
        <f aca="false">IF(ISBLANK(AW515),0,AW515)</f>
        <v>0</v>
      </c>
      <c r="AY515" s="0" t="s">
        <v>80</v>
      </c>
      <c r="AZ515" s="0" t="str">
        <f aca="false">UPPER(IF(ISBLANK(AY515),"NONE",AY515))</f>
        <v>PROMO10</v>
      </c>
      <c r="BB515" s="7" t="str">
        <f aca="false">IF(ISBLANK(BA515),"No Follow Up Needed",BA515)</f>
        <v>No Follow Up Needed</v>
      </c>
      <c r="BC515" s="0" t="s">
        <v>63</v>
      </c>
      <c r="BD515" s="0" t="str">
        <f aca="false">PROPER(IF(ISBLANK(BC515),"Unknown",BC515))</f>
        <v>Yes</v>
      </c>
      <c r="BF515" s="0" t="str">
        <f aca="false">IF(ISBLANK(BE515),"No comments",BE515)</f>
        <v>No comments</v>
      </c>
      <c r="BG515" s="0" t="s">
        <v>172</v>
      </c>
      <c r="BH515" s="0" t="str">
        <f aca="false">IF(ISBLANK(BG515),"No comments",BG515)</f>
        <v>Always late</v>
      </c>
      <c r="BJ515" s="0" t="str">
        <f aca="false">IF(ISBLANK(BI515),"Not Mentioned",BI515)</f>
        <v>Not Mentioned</v>
      </c>
      <c r="BL515" s="0" t="str">
        <f aca="false">PROPER(IF(ISBLANK(BK515),"Not Mentioned",BK515))</f>
        <v>Not Mentioned</v>
      </c>
      <c r="BM515" s="0" t="s">
        <v>63</v>
      </c>
      <c r="BN515" s="0" t="str">
        <f aca="false">PROPER(IF(ISBLANK(BM515),"Not Mentioned",BM515))</f>
        <v>Yes</v>
      </c>
      <c r="BO515" s="0" t="s">
        <v>64</v>
      </c>
      <c r="BP515" s="0" t="str">
        <f aca="false">IF(ISBLANK(BO515),"One-Time Plan",BO515)</f>
        <v>Gold Maintenance Plan</v>
      </c>
      <c r="BR515" s="0" t="str">
        <f aca="false">PROPER(IF(ISBLANK(BQ515),"No",BQ515))</f>
        <v>No</v>
      </c>
    </row>
    <row r="516" customFormat="false" ht="15" hidden="false" customHeight="false" outlineLevel="0" collapsed="false">
      <c r="A516" s="0" t="s">
        <v>1300</v>
      </c>
      <c r="B516" s="2" t="n">
        <v>45696</v>
      </c>
      <c r="C516" s="2" t="str">
        <f aca="false">TEXT(B516,"dd/mm/yyyy")</f>
        <v>08/02/2025</v>
      </c>
      <c r="D516" s="0" t="s">
        <v>66</v>
      </c>
      <c r="E516" s="0" t="n">
        <v>8096035199</v>
      </c>
      <c r="F516" s="0" t="s">
        <v>67</v>
      </c>
      <c r="G516" s="0" t="s">
        <v>2316</v>
      </c>
      <c r="H516" s="0" t="s">
        <v>1301</v>
      </c>
      <c r="I516" s="0" t="s">
        <v>45</v>
      </c>
      <c r="J516" s="0" t="s">
        <v>2317</v>
      </c>
      <c r="K516" s="3" t="str">
        <f aca="false" t="array" ref="K516:K516">IFERROR(IF(J516&lt;&gt;"",J516,INDEX(J516:J1515,MATCH(1,(F516:F1515=F516)*(I516:I1515=I516)*(L516:L1515=L516)*(J516:J1515&lt;&gt;""),0))),"Not Found")</f>
        <v>Suspension Noise</v>
      </c>
      <c r="L516" s="3" t="s">
        <v>154</v>
      </c>
      <c r="M516" s="0" t="str">
        <f aca="false">PROPER(L516)</f>
        <v>Air Filter</v>
      </c>
      <c r="O516" s="0" t="e">
        <f aca="false" t="array" ref="O516:O516">IF(N516&lt;&gt;"",N516,_xlfn.xlookup(1,(L516:L1515=L516)*(N516:N1515&lt;&gt;""),N516:N1515,"Not Found"))</f>
        <v>#NAME?</v>
      </c>
      <c r="P516" s="4" t="n">
        <v>87348</v>
      </c>
      <c r="Q516" s="0" t="s">
        <v>91</v>
      </c>
      <c r="R516" s="0" t="str">
        <f aca="false">PROPER(Q516)</f>
        <v>Pos</v>
      </c>
      <c r="S516" s="0" t="s">
        <v>50</v>
      </c>
      <c r="T516" s="0" t="n">
        <v>3</v>
      </c>
      <c r="U516" s="5" t="n">
        <f aca="false">IF(ISBLANK(T516),AVERAGE(T516:T1515),T516)</f>
        <v>3</v>
      </c>
      <c r="V516" s="0" t="n">
        <v>1.7</v>
      </c>
      <c r="W516" s="0" t="s">
        <v>51</v>
      </c>
      <c r="X516" s="0" t="str">
        <f aca="false">IF(ISBLANK(W516),"No remarks",W516)</f>
        <v>Recommended further checks</v>
      </c>
      <c r="Y516" s="0" t="s">
        <v>52</v>
      </c>
      <c r="Z516" s="0" t="s">
        <v>136</v>
      </c>
      <c r="AA516" s="0" t="str">
        <f aca="false">PROPER(IF(ISBLANK(Z516),"Location Unavailable",Z516))</f>
        <v>Vip Section</v>
      </c>
      <c r="AB516" s="0" t="s">
        <v>147</v>
      </c>
      <c r="AC516" s="6" t="str">
        <f aca="false">PROPER(AB516)</f>
        <v>Instagram</v>
      </c>
      <c r="AD516" s="6" t="n">
        <v>60</v>
      </c>
      <c r="AE516" s="5" t="n">
        <f aca="false">IF(ISBLANK(AD516),AVERAGEIF(L516:L1515,L516,AD516:AD1515),AD516)</f>
        <v>60</v>
      </c>
      <c r="AF516" s="0" t="s">
        <v>55</v>
      </c>
      <c r="AG516" s="0" t="str">
        <f aca="false">PROPER(AF516)</f>
        <v>Available</v>
      </c>
      <c r="AH516" s="0" t="s">
        <v>155</v>
      </c>
      <c r="AI516" s="0" t="s">
        <v>128</v>
      </c>
      <c r="AJ516" s="0" t="str">
        <f aca="false">PROPER(AI516)</f>
        <v>Normal</v>
      </c>
      <c r="AK516" s="0" t="s">
        <v>99</v>
      </c>
      <c r="AL516" s="0" t="str">
        <f aca="false">PROPER(AK516)</f>
        <v>Uber Driver</v>
      </c>
      <c r="AN516" s="0" t="str">
        <f aca="false">IF(ISBLANK(AM516),"Unknown",AM516)</f>
        <v>Unknown</v>
      </c>
      <c r="AO516" s="0" t="s">
        <v>143</v>
      </c>
      <c r="AP516" s="0" t="str">
        <f aca="false">IF(ISBLANK(AO516),"Unknown",AO516)</f>
        <v>Senior</v>
      </c>
      <c r="AQ516" s="0" t="n">
        <v>25000</v>
      </c>
      <c r="AR516" s="5" t="n">
        <f aca="false">IF(ISBLANK(AQ516),AVERAGEIF(M516:M1515,M516,AQ516:AQ1515),AQ516)</f>
        <v>25000</v>
      </c>
      <c r="AT516" s="5" t="n">
        <f aca="false">IF(ISBLANK(AS516),AVERAGE(AS516:AS1515),AS516)</f>
        <v>31580.2469135802</v>
      </c>
      <c r="AV516" s="0" t="str">
        <f aca="false">PROPER(IF(ISBLANK(AU516),"No",AU516))</f>
        <v>No</v>
      </c>
      <c r="AW516" s="0" t="n">
        <v>5000</v>
      </c>
      <c r="AX516" s="5" t="n">
        <f aca="false">IF(ISBLANK(AW516),0,AW516)</f>
        <v>5000</v>
      </c>
      <c r="AZ516" s="0" t="str">
        <f aca="false">UPPER(IF(ISBLANK(AY516),"NONE",AY516))</f>
        <v>NONE</v>
      </c>
      <c r="BB516" s="7" t="str">
        <f aca="false">IF(ISBLANK(BA516),"No Follow Up Needed",BA516)</f>
        <v>No Follow Up Needed</v>
      </c>
      <c r="BD516" s="0" t="str">
        <f aca="false">PROPER(IF(ISBLANK(BC516),"Unknown",BC516))</f>
        <v>Unknown</v>
      </c>
      <c r="BF516" s="0" t="str">
        <f aca="false">IF(ISBLANK(BE516),"No comments",BE516)</f>
        <v>No comments</v>
      </c>
      <c r="BG516" s="0" t="s">
        <v>2320</v>
      </c>
      <c r="BH516" s="0" t="str">
        <f aca="false">IF(ISBLANK(BG516),"No comments",BG516)</f>
        <v>No complaints</v>
      </c>
      <c r="BI516" s="0" t="s">
        <v>63</v>
      </c>
      <c r="BJ516" s="0" t="str">
        <f aca="false">IF(ISBLANK(BI516),"Not Mentioned",BI516)</f>
        <v>Yes</v>
      </c>
      <c r="BK516" s="0" t="s">
        <v>50</v>
      </c>
      <c r="BL516" s="0" t="str">
        <f aca="false">PROPER(IF(ISBLANK(BK516),"Not Mentioned",BK516))</f>
        <v>No</v>
      </c>
      <c r="BM516" s="0" t="s">
        <v>63</v>
      </c>
      <c r="BN516" s="0" t="str">
        <f aca="false">PROPER(IF(ISBLANK(BM516),"Not Mentioned",BM516))</f>
        <v>Yes</v>
      </c>
      <c r="BO516" s="0" t="s">
        <v>2321</v>
      </c>
      <c r="BP516" s="0" t="str">
        <f aca="false">IF(ISBLANK(BO516),"One-Time Plan",BO516)</f>
        <v>One-Time Plan</v>
      </c>
      <c r="BQ516" s="0" t="s">
        <v>63</v>
      </c>
      <c r="BR516" s="0" t="str">
        <f aca="false">PROPER(IF(ISBLANK(BQ516),"No",BQ516))</f>
        <v>Yes</v>
      </c>
    </row>
    <row r="517" customFormat="false" ht="15" hidden="false" customHeight="false" outlineLevel="0" collapsed="false">
      <c r="A517" s="0" t="s">
        <v>1302</v>
      </c>
      <c r="B517" s="2" t="n">
        <v>45801</v>
      </c>
      <c r="C517" s="2" t="str">
        <f aca="false">TEXT(B517,"dd/mm/yyyy")</f>
        <v>24/05/2025</v>
      </c>
      <c r="D517" s="0" t="s">
        <v>66</v>
      </c>
      <c r="E517" s="0" t="n">
        <v>8098924605</v>
      </c>
      <c r="F517" s="0" t="s">
        <v>43</v>
      </c>
      <c r="G517" s="0" t="s">
        <v>2315</v>
      </c>
      <c r="H517" s="0" t="s">
        <v>1303</v>
      </c>
      <c r="I517" s="0" t="s">
        <v>45</v>
      </c>
      <c r="J517" s="0" t="s">
        <v>2325</v>
      </c>
      <c r="K517" s="3" t="str">
        <f aca="false" t="array" ref="K517:K517">IFERROR(IF(J517&lt;&gt;"",J517,INDEX(J517:J1516,MATCH(1,(F517:F1516=F517)*(I517:I1516=I517)*(L517:L1516=L517)*(J517:J1516&lt;&gt;""),0))),"Not Found")</f>
        <v>Engine Knocking</v>
      </c>
      <c r="L517" s="3" t="s">
        <v>142</v>
      </c>
      <c r="M517" s="0" t="str">
        <f aca="false">PROPER(L517)</f>
        <v>Oil Filter, Brake Pads</v>
      </c>
      <c r="N517" s="3" t="s">
        <v>109</v>
      </c>
      <c r="O517" s="0" t="str">
        <f aca="false" t="array" ref="O517:O517">IF(N517&lt;&gt;"",N517,_xlfn.xlookup(1,(L517:L1516=L517)*(N517:N1516&lt;&gt;""),N517:N1516,"Not Found"))</f>
        <v>Tijani</v>
      </c>
      <c r="P517" s="4" t="n">
        <v>98744</v>
      </c>
      <c r="Q517" s="0" t="s">
        <v>91</v>
      </c>
      <c r="R517" s="0" t="str">
        <f aca="false">PROPER(Q517)</f>
        <v>Pos</v>
      </c>
      <c r="S517" s="0" t="s">
        <v>50</v>
      </c>
      <c r="T517" s="0" t="n">
        <v>4</v>
      </c>
      <c r="U517" s="5" t="n">
        <f aca="false">IF(ISBLANK(T517),AVERAGE(T517:T1516),T517)</f>
        <v>4</v>
      </c>
      <c r="V517" s="0" t="n">
        <v>5.9</v>
      </c>
      <c r="X517" s="0" t="str">
        <f aca="false">IF(ISBLANK(W517),"No remarks",W517)</f>
        <v>No remarks</v>
      </c>
      <c r="Y517" s="0" t="s">
        <v>73</v>
      </c>
      <c r="Z517" s="0" t="s">
        <v>94</v>
      </c>
      <c r="AA517" s="0" t="str">
        <f aca="false">PROPER(IF(ISBLANK(Z517),"Location Unavailable",Z517))</f>
        <v>Vip Section</v>
      </c>
      <c r="AB517" s="0" t="s">
        <v>126</v>
      </c>
      <c r="AC517" s="6" t="str">
        <f aca="false">PROPER(AB517)</f>
        <v>Whatsapp</v>
      </c>
      <c r="AD517" s="6" t="n">
        <v>45</v>
      </c>
      <c r="AE517" s="5" t="n">
        <f aca="false">IF(ISBLANK(AD517),AVERAGEIF(L517:L1516,L517,AD517:AD1516),AD517)</f>
        <v>45</v>
      </c>
      <c r="AF517" s="0" t="s">
        <v>112</v>
      </c>
      <c r="AG517" s="0" t="str">
        <f aca="false">PROPER(AF517)</f>
        <v>Unavailable</v>
      </c>
      <c r="AH517" s="0" t="s">
        <v>148</v>
      </c>
      <c r="AI517" s="0" t="s">
        <v>78</v>
      </c>
      <c r="AJ517" s="0" t="str">
        <f aca="false">PROPER(AI517)</f>
        <v>Booking</v>
      </c>
      <c r="AK517" s="0" t="s">
        <v>196</v>
      </c>
      <c r="AL517" s="0" t="str">
        <f aca="false">PROPER(AK517)</f>
        <v>First Time</v>
      </c>
      <c r="AM517" s="0" t="s">
        <v>177</v>
      </c>
      <c r="AN517" s="0" t="str">
        <f aca="false">IF(ISBLANK(AM517),"Unknown",AM517)</f>
        <v>Private</v>
      </c>
      <c r="AO517" s="0" t="s">
        <v>161</v>
      </c>
      <c r="AP517" s="0" t="str">
        <f aca="false">IF(ISBLANK(AO517),"Unknown",AO517)</f>
        <v>Apprentice</v>
      </c>
      <c r="AQ517" s="0" t="n">
        <v>20000</v>
      </c>
      <c r="AR517" s="5" t="n">
        <f aca="false">IF(ISBLANK(AQ517),AVERAGEIF(M517:M1516,M517,AQ517:AQ1516),AQ517)</f>
        <v>20000</v>
      </c>
      <c r="AS517" s="0" t="n">
        <v>40000</v>
      </c>
      <c r="AT517" s="5" t="n">
        <f aca="false">IF(ISBLANK(AS517),AVERAGE(AS517:AS1516),AS517)</f>
        <v>40000</v>
      </c>
      <c r="AU517" s="0" t="s">
        <v>63</v>
      </c>
      <c r="AV517" s="0" t="str">
        <f aca="false">PROPER(IF(ISBLANK(AU517),"No",AU517))</f>
        <v>Yes</v>
      </c>
      <c r="AW517" s="0" t="n">
        <v>0</v>
      </c>
      <c r="AX517" s="5" t="n">
        <f aca="false">IF(ISBLANK(AW517),0,AW517)</f>
        <v>0</v>
      </c>
      <c r="AY517" s="0" t="s">
        <v>184</v>
      </c>
      <c r="AZ517" s="0" t="str">
        <f aca="false">UPPER(IF(ISBLANK(AY517),"NONE",AY517))</f>
        <v>N/A</v>
      </c>
      <c r="BA517" s="7" t="s">
        <v>1304</v>
      </c>
      <c r="BB517" s="7" t="str">
        <f aca="false">IF(ISBLANK(BA517),"No Follow Up Needed",BA517)</f>
        <v>25/06/2025</v>
      </c>
      <c r="BC517" s="0" t="s">
        <v>63</v>
      </c>
      <c r="BD517" s="0" t="str">
        <f aca="false">PROPER(IF(ISBLANK(BC517),"Unknown",BC517))</f>
        <v>Yes</v>
      </c>
      <c r="BF517" s="0" t="str">
        <f aca="false">IF(ISBLANK(BE517),"No comments",BE517)</f>
        <v>No comments</v>
      </c>
      <c r="BG517" s="0" t="s">
        <v>117</v>
      </c>
      <c r="BH517" s="0" t="str">
        <f aca="false">IF(ISBLANK(BG517),"No comments",BG517)</f>
        <v>Prefers morning</v>
      </c>
      <c r="BJ517" s="0" t="str">
        <f aca="false">IF(ISBLANK(BI517),"Not Mentioned",BI517)</f>
        <v>Not Mentioned</v>
      </c>
      <c r="BK517" s="0" t="s">
        <v>63</v>
      </c>
      <c r="BL517" s="0" t="str">
        <f aca="false">PROPER(IF(ISBLANK(BK517),"Not Mentioned",BK517))</f>
        <v>Yes</v>
      </c>
      <c r="BM517" s="0" t="s">
        <v>63</v>
      </c>
      <c r="BN517" s="0" t="str">
        <f aca="false">PROPER(IF(ISBLANK(BM517),"Not Mentioned",BM517))</f>
        <v>Yes</v>
      </c>
      <c r="BO517" s="0" t="s">
        <v>2318</v>
      </c>
      <c r="BP517" s="0" t="str">
        <f aca="false">IF(ISBLANK(BO517),"One-Time Plan",BO517)</f>
        <v>Gold</v>
      </c>
      <c r="BQ517" s="0" t="s">
        <v>198</v>
      </c>
      <c r="BR517" s="0" t="str">
        <f aca="false">PROPER(IF(ISBLANK(BQ517),"No",BQ517))</f>
        <v>Followed Up</v>
      </c>
    </row>
    <row r="518" customFormat="false" ht="15" hidden="false" customHeight="false" outlineLevel="0" collapsed="false">
      <c r="A518" s="0" t="s">
        <v>1306</v>
      </c>
      <c r="B518" s="2" t="s">
        <v>1305</v>
      </c>
      <c r="C518" s="2" t="str">
        <f aca="false">TEXT(B518,"dd/mm/yyyy")</f>
        <v>22/02/2025</v>
      </c>
      <c r="D518" s="0" t="s">
        <v>163</v>
      </c>
      <c r="E518" s="0" t="n">
        <v>8098589123</v>
      </c>
      <c r="F518" s="0" t="s">
        <v>85</v>
      </c>
      <c r="G518" s="0" t="s">
        <v>2319</v>
      </c>
      <c r="H518" s="0" t="s">
        <v>1307</v>
      </c>
      <c r="I518" s="0" t="s">
        <v>69</v>
      </c>
      <c r="J518" s="0" t="s">
        <v>2322</v>
      </c>
      <c r="K518" s="3" t="str">
        <f aca="false" t="array" ref="K518:K518">IFERROR(IF(J518&lt;&gt;"",J518,INDEX(J518:J1517,MATCH(1,(F518:F1517=F518)*(I518:I1517=I518)*(L518:L1517=L518)*(J518:J1517&lt;&gt;""),0))),"Not Found")</f>
        <v>Brake Failure</v>
      </c>
      <c r="L518" s="3" t="s">
        <v>47</v>
      </c>
      <c r="M518" s="0" t="str">
        <f aca="false">PROPER(L518)</f>
        <v>None</v>
      </c>
      <c r="N518" s="3" t="s">
        <v>109</v>
      </c>
      <c r="O518" s="0" t="str">
        <f aca="false" t="array" ref="O518:O518">IF(N518&lt;&gt;"",N518,_xlfn.xlookup(1,(L518:L1517=L518)*(N518:N1517&lt;&gt;""),N518:N1517,"Not Found"))</f>
        <v>Tijani</v>
      </c>
      <c r="P518" s="4" t="n">
        <v>112023</v>
      </c>
      <c r="Q518" s="0" t="s">
        <v>166</v>
      </c>
      <c r="R518" s="0" t="str">
        <f aca="false">PROPER(Q518)</f>
        <v>Transfer</v>
      </c>
      <c r="S518" s="0" t="s">
        <v>63</v>
      </c>
      <c r="T518" s="0" t="n">
        <v>1</v>
      </c>
      <c r="U518" s="5" t="n">
        <f aca="false">IF(ISBLANK(T518),AVERAGE(T518:T1517),T518)</f>
        <v>1</v>
      </c>
      <c r="V518" s="0" t="n">
        <v>1</v>
      </c>
      <c r="X518" s="0" t="str">
        <f aca="false">IF(ISBLANK(W518),"No remarks",W518)</f>
        <v>No remarks</v>
      </c>
      <c r="Y518" s="0" t="s">
        <v>52</v>
      </c>
      <c r="Z518" s="0" t="s">
        <v>53</v>
      </c>
      <c r="AA518" s="0" t="str">
        <f aca="false">PROPER(IF(ISBLANK(Z518),"Location Unavailable",Z518))</f>
        <v>Main Bay</v>
      </c>
      <c r="AB518" s="0" t="s">
        <v>167</v>
      </c>
      <c r="AC518" s="6" t="str">
        <f aca="false">PROPER(AB518)</f>
        <v>Word Of Mouth</v>
      </c>
      <c r="AD518" s="6" t="n">
        <v>45</v>
      </c>
      <c r="AE518" s="5" t="n">
        <f aca="false">IF(ISBLANK(AD518),AVERAGEIF(L518:L1517,L518,AD518:AD1517),AD518)</f>
        <v>45</v>
      </c>
      <c r="AF518" s="0" t="s">
        <v>96</v>
      </c>
      <c r="AG518" s="0" t="str">
        <f aca="false">PROPER(AF518)</f>
        <v>Ordered</v>
      </c>
      <c r="AH518" s="0" t="s">
        <v>155</v>
      </c>
      <c r="AI518" s="0" t="s">
        <v>113</v>
      </c>
      <c r="AJ518" s="0" t="str">
        <f aca="false">PROPER(AI518)</f>
        <v>Normal</v>
      </c>
      <c r="AK518" s="0" t="s">
        <v>114</v>
      </c>
      <c r="AL518" s="0" t="str">
        <f aca="false">PROPER(AK518)</f>
        <v>Returning</v>
      </c>
      <c r="AM518" s="0" t="s">
        <v>59</v>
      </c>
      <c r="AN518" s="0" t="str">
        <f aca="false">IF(ISBLANK(AM518),"Unknown",AM518)</f>
        <v>Bolt Driver</v>
      </c>
      <c r="AO518" s="0" t="s">
        <v>149</v>
      </c>
      <c r="AP518" s="0" t="str">
        <f aca="false">IF(ISBLANK(AO518),"Unknown",AO518)</f>
        <v>Senior </v>
      </c>
      <c r="AQ518" s="0" t="n">
        <v>20000</v>
      </c>
      <c r="AR518" s="5" t="n">
        <f aca="false">IF(ISBLANK(AQ518),AVERAGEIF(M518:M1517,M518,AQ518:AQ1517),AQ518)</f>
        <v>20000</v>
      </c>
      <c r="AT518" s="5" t="n">
        <f aca="false">IF(ISBLANK(AS518),AVERAGE(AS518:AS1517),AS518)</f>
        <v>31559.4059405941</v>
      </c>
      <c r="AU518" s="0" t="s">
        <v>63</v>
      </c>
      <c r="AV518" s="0" t="str">
        <f aca="false">PROPER(IF(ISBLANK(AU518),"No",AU518))</f>
        <v>Yes</v>
      </c>
      <c r="AX518" s="5" t="n">
        <f aca="false">IF(ISBLANK(AW518),0,AW518)</f>
        <v>0</v>
      </c>
      <c r="AY518" s="0" t="s">
        <v>184</v>
      </c>
      <c r="AZ518" s="0" t="str">
        <f aca="false">UPPER(IF(ISBLANK(AY518),"NONE",AY518))</f>
        <v>N/A</v>
      </c>
      <c r="BA518" s="7" t="n">
        <v>45952</v>
      </c>
      <c r="BB518" s="7" t="n">
        <f aca="false">IF(ISBLANK(BA518),"No Follow Up Needed",BA518)</f>
        <v>45952</v>
      </c>
      <c r="BC518" s="0" t="s">
        <v>61</v>
      </c>
      <c r="BD518" s="0" t="str">
        <f aca="false">PROPER(IF(ISBLANK(BC518),"Unknown",BC518))</f>
        <v>No</v>
      </c>
      <c r="BE518" s="0" t="s">
        <v>116</v>
      </c>
      <c r="BF518" s="0" t="str">
        <f aca="false">IF(ISBLANK(BE518),"No comments",BE518)</f>
        <v>Needs tire alignment</v>
      </c>
      <c r="BH518" s="0" t="str">
        <f aca="false">IF(ISBLANK(BG518),"No comments",BG518)</f>
        <v>No comments</v>
      </c>
      <c r="BJ518" s="0" t="str">
        <f aca="false">IF(ISBLANK(BI518),"Not Mentioned",BI518)</f>
        <v>Not Mentioned</v>
      </c>
      <c r="BK518" s="0" t="s">
        <v>82</v>
      </c>
      <c r="BL518" s="0" t="str">
        <f aca="false">PROPER(IF(ISBLANK(BK518),"Not Mentioned",BK518))</f>
        <v>Yes</v>
      </c>
      <c r="BN518" s="0" t="str">
        <f aca="false">PROPER(IF(ISBLANK(BM518),"Not Mentioned",BM518))</f>
        <v>Not Mentioned</v>
      </c>
      <c r="BO518" s="0" t="s">
        <v>2321</v>
      </c>
      <c r="BP518" s="0" t="str">
        <f aca="false">IF(ISBLANK(BO518),"One-Time Plan",BO518)</f>
        <v>One-Time Plan</v>
      </c>
      <c r="BQ518" s="0" t="s">
        <v>198</v>
      </c>
      <c r="BR518" s="0" t="str">
        <f aca="false">PROPER(IF(ISBLANK(BQ518),"No",BQ518))</f>
        <v>Followed Up</v>
      </c>
    </row>
    <row r="519" customFormat="false" ht="15" hidden="false" customHeight="false" outlineLevel="0" collapsed="false">
      <c r="A519" s="0" t="s">
        <v>1308</v>
      </c>
      <c r="B519" s="2" t="n">
        <v>45798</v>
      </c>
      <c r="C519" s="2" t="str">
        <f aca="false">TEXT(B519,"dd/mm/yyyy")</f>
        <v>21/05/2025</v>
      </c>
      <c r="D519" s="0" t="s">
        <v>105</v>
      </c>
      <c r="E519" s="0" t="n">
        <v>8023796681</v>
      </c>
      <c r="F519" s="0" t="s">
        <v>122</v>
      </c>
      <c r="G519" s="0" t="s">
        <v>2316</v>
      </c>
      <c r="H519" s="0" t="s">
        <v>1309</v>
      </c>
      <c r="I519" s="0" t="s">
        <v>87</v>
      </c>
      <c r="K519" s="3" t="str">
        <f aca="false" t="array" ref="K519:K519">IFERROR(IF(J519&lt;&gt;"",J519,INDEX(J519:J1518,MATCH(1,(F519:F1518=F519)*(I519:I1518=I519)*(L519:L1518=L519)*(J519:J1518&lt;&gt;""),0))),"Not Found")</f>
        <v>Suspension Noise</v>
      </c>
      <c r="L519" s="3" t="s">
        <v>154</v>
      </c>
      <c r="M519" s="0" t="str">
        <f aca="false">PROPER(L519)</f>
        <v>Air Filter</v>
      </c>
      <c r="N519" s="3" t="s">
        <v>71</v>
      </c>
      <c r="O519" s="0" t="str">
        <f aca="false" t="array" ref="O519:O519">IF(N519&lt;&gt;"",N519,_xlfn.xlookup(1,(L519:L1518=L519)*(N519:N1518&lt;&gt;""),N519:N1518,"Not Found"))</f>
        <v>Isaac Bobo</v>
      </c>
      <c r="P519" s="4" t="n">
        <v>55617</v>
      </c>
      <c r="Q519" s="0" t="s">
        <v>91</v>
      </c>
      <c r="R519" s="0" t="str">
        <f aca="false">PROPER(Q519)</f>
        <v>Pos</v>
      </c>
      <c r="S519" s="0" t="s">
        <v>63</v>
      </c>
      <c r="T519" s="0" t="n">
        <v>2</v>
      </c>
      <c r="U519" s="5" t="n">
        <f aca="false">IF(ISBLANK(T519),AVERAGE(T519:T1518),T519)</f>
        <v>2</v>
      </c>
      <c r="V519" s="0" t="n">
        <v>1.7</v>
      </c>
      <c r="W519" s="0" t="s">
        <v>125</v>
      </c>
      <c r="X519" s="0" t="str">
        <f aca="false">IF(ISBLANK(W519),"No remarks",W519)</f>
        <v>Customer waited</v>
      </c>
      <c r="Y519" s="0" t="s">
        <v>93</v>
      </c>
      <c r="Z519" s="0" t="s">
        <v>136</v>
      </c>
      <c r="AA519" s="0" t="str">
        <f aca="false">PROPER(IF(ISBLANK(Z519),"Location Unavailable",Z519))</f>
        <v>Vip Section</v>
      </c>
      <c r="AB519" s="0" t="s">
        <v>95</v>
      </c>
      <c r="AC519" s="6" t="str">
        <f aca="false">PROPER(AB519)</f>
        <v>Road Sign</v>
      </c>
      <c r="AD519" s="6" t="n">
        <v>45</v>
      </c>
      <c r="AE519" s="5" t="n">
        <f aca="false">IF(ISBLANK(AD519),AVERAGEIF(L519:L1518,L519,AD519:AD1518),AD519)</f>
        <v>45</v>
      </c>
      <c r="AF519" s="0" t="s">
        <v>55</v>
      </c>
      <c r="AG519" s="0" t="str">
        <f aca="false">PROPER(AF519)</f>
        <v>Available</v>
      </c>
      <c r="AH519" s="0" t="s">
        <v>155</v>
      </c>
      <c r="AI519" s="0" t="s">
        <v>78</v>
      </c>
      <c r="AJ519" s="0" t="str">
        <f aca="false">PROPER(AI519)</f>
        <v>Booking</v>
      </c>
      <c r="AK519" s="0" t="s">
        <v>196</v>
      </c>
      <c r="AL519" s="0" t="str">
        <f aca="false">PROPER(AK519)</f>
        <v>First Time</v>
      </c>
      <c r="AM519" s="0" t="s">
        <v>177</v>
      </c>
      <c r="AN519" s="0" t="str">
        <f aca="false">IF(ISBLANK(AM519),"Unknown",AM519)</f>
        <v>Private</v>
      </c>
      <c r="AO519" s="0" t="s">
        <v>79</v>
      </c>
      <c r="AP519" s="0" t="str">
        <f aca="false">IF(ISBLANK(AO519),"Unknown",AO519)</f>
        <v>Specialist</v>
      </c>
      <c r="AQ519" s="0" t="n">
        <v>30000</v>
      </c>
      <c r="AR519" s="5" t="n">
        <f aca="false">IF(ISBLANK(AQ519),AVERAGEIF(M519:M1518,M519,AQ519:AQ1518),AQ519)</f>
        <v>30000</v>
      </c>
      <c r="AS519" s="0" t="n">
        <v>30000</v>
      </c>
      <c r="AT519" s="5" t="n">
        <f aca="false">IF(ISBLANK(AS519),AVERAGE(AS519:AS1518),AS519)</f>
        <v>30000</v>
      </c>
      <c r="AU519" s="0" t="s">
        <v>82</v>
      </c>
      <c r="AV519" s="0" t="str">
        <f aca="false">PROPER(IF(ISBLANK(AU519),"No",AU519))</f>
        <v>Yes</v>
      </c>
      <c r="AW519" s="0" t="n">
        <v>10000</v>
      </c>
      <c r="AX519" s="5" t="n">
        <f aca="false">IF(ISBLANK(AW519),0,AW519)</f>
        <v>10000</v>
      </c>
      <c r="AY519" s="0" t="s">
        <v>184</v>
      </c>
      <c r="AZ519" s="0" t="str">
        <f aca="false">UPPER(IF(ISBLANK(AY519),"NONE",AY519))</f>
        <v>N/A</v>
      </c>
      <c r="BA519" s="7" t="s">
        <v>1310</v>
      </c>
      <c r="BB519" s="7" t="str">
        <f aca="false">IF(ISBLANK(BA519),"No Follow Up Needed",BA519)</f>
        <v>24/08/2025</v>
      </c>
      <c r="BD519" s="0" t="str">
        <f aca="false">PROPER(IF(ISBLANK(BC519),"Unknown",BC519))</f>
        <v>Unknown</v>
      </c>
      <c r="BF519" s="0" t="str">
        <f aca="false">IF(ISBLANK(BE519),"No comments",BE519)</f>
        <v>No comments</v>
      </c>
      <c r="BG519" s="0" t="s">
        <v>2320</v>
      </c>
      <c r="BH519" s="0" t="str">
        <f aca="false">IF(ISBLANK(BG519),"No comments",BG519)</f>
        <v>No complaints</v>
      </c>
      <c r="BJ519" s="0" t="str">
        <f aca="false">IF(ISBLANK(BI519),"Not Mentioned",BI519)</f>
        <v>Not Mentioned</v>
      </c>
      <c r="BL519" s="0" t="str">
        <f aca="false">PROPER(IF(ISBLANK(BK519),"Not Mentioned",BK519))</f>
        <v>Not Mentioned</v>
      </c>
      <c r="BM519" s="0" t="s">
        <v>50</v>
      </c>
      <c r="BN519" s="0" t="str">
        <f aca="false">PROPER(IF(ISBLANK(BM519),"Not Mentioned",BM519))</f>
        <v>No</v>
      </c>
      <c r="BP519" s="0" t="str">
        <f aca="false">IF(ISBLANK(BO519),"One-Time Plan",BO519)</f>
        <v>One-Time Plan</v>
      </c>
      <c r="BQ519" s="0" t="s">
        <v>190</v>
      </c>
      <c r="BR519" s="0" t="str">
        <f aca="false">PROPER(IF(ISBLANK(BQ519),"No",BQ519))</f>
        <v>Yes</v>
      </c>
    </row>
    <row r="520" customFormat="false" ht="15" hidden="false" customHeight="false" outlineLevel="0" collapsed="false">
      <c r="A520" s="0" t="s">
        <v>1311</v>
      </c>
      <c r="B520" s="2" t="n">
        <v>45730</v>
      </c>
      <c r="C520" s="2" t="str">
        <f aca="false">TEXT(B520,"dd/mm/yyyy")</f>
        <v>14/03/2025</v>
      </c>
      <c r="D520" s="0" t="s">
        <v>121</v>
      </c>
      <c r="E520" s="0" t="n">
        <v>8062427912</v>
      </c>
      <c r="F520" s="0" t="s">
        <v>67</v>
      </c>
      <c r="G520" s="0" t="s">
        <v>2316</v>
      </c>
      <c r="H520" s="0" t="s">
        <v>1312</v>
      </c>
      <c r="I520" s="0" t="s">
        <v>134</v>
      </c>
      <c r="J520" s="0" t="s">
        <v>2317</v>
      </c>
      <c r="K520" s="3" t="str">
        <f aca="false" t="array" ref="K520:K520">IFERROR(IF(J520&lt;&gt;"",J520,INDEX(J520:J1519,MATCH(1,(F520:F1519=F520)*(I520:I1519=I520)*(L520:L1519=L520)*(J520:J1519&lt;&gt;""),0))),"Not Found")</f>
        <v>Suspension Noise</v>
      </c>
      <c r="L520" s="3" t="s">
        <v>89</v>
      </c>
      <c r="M520" s="0" t="str">
        <f aca="false">PROPER(L520)</f>
        <v>Shock Absorbers</v>
      </c>
      <c r="N520" s="3" t="s">
        <v>71</v>
      </c>
      <c r="O520" s="0" t="str">
        <f aca="false" t="array" ref="O520:O520">IF(N520&lt;&gt;"",N520,_xlfn.xlookup(1,(L520:L1519=L520)*(N520:N1519&lt;&gt;""),N520:N1519,"Not Found"))</f>
        <v>Isaac Bobo</v>
      </c>
      <c r="P520" s="4" t="n">
        <v>58754</v>
      </c>
      <c r="Q520" s="0" t="s">
        <v>91</v>
      </c>
      <c r="R520" s="0" t="str">
        <f aca="false">PROPER(Q520)</f>
        <v>Pos</v>
      </c>
      <c r="S520" s="0" t="s">
        <v>50</v>
      </c>
      <c r="T520" s="0" t="n">
        <v>1</v>
      </c>
      <c r="U520" s="5" t="n">
        <f aca="false">IF(ISBLANK(T520),AVERAGE(T520:T1519),T520)</f>
        <v>1</v>
      </c>
      <c r="V520" s="0" t="n">
        <v>3.1</v>
      </c>
      <c r="W520" s="0" t="s">
        <v>111</v>
      </c>
      <c r="X520" s="0" t="str">
        <f aca="false">IF(ISBLANK(W520),"No remarks",W520)</f>
        <v>Changed all filters</v>
      </c>
      <c r="Y520" s="0" t="s">
        <v>93</v>
      </c>
      <c r="Z520" s="0" t="s">
        <v>136</v>
      </c>
      <c r="AA520" s="0" t="str">
        <f aca="false">PROPER(IF(ISBLANK(Z520),"Location Unavailable",Z520))</f>
        <v>Vip Section</v>
      </c>
      <c r="AB520" s="0" t="s">
        <v>54</v>
      </c>
      <c r="AC520" s="6" t="str">
        <f aca="false">PROPER(AB520)</f>
        <v>Mechanic Referral</v>
      </c>
      <c r="AD520" s="6" t="n">
        <v>60</v>
      </c>
      <c r="AE520" s="5" t="n">
        <f aca="false">IF(ISBLANK(AD520),AVERAGEIF(L520:L1519,L520,AD520:AD1519),AD520)</f>
        <v>60</v>
      </c>
      <c r="AF520" s="0" t="s">
        <v>112</v>
      </c>
      <c r="AG520" s="0" t="str">
        <f aca="false">PROPER(AF520)</f>
        <v>Unavailable</v>
      </c>
      <c r="AH520" s="0" t="s">
        <v>77</v>
      </c>
      <c r="AI520" s="0" t="s">
        <v>128</v>
      </c>
      <c r="AJ520" s="0" t="str">
        <f aca="false">PROPER(AI520)</f>
        <v>Normal</v>
      </c>
      <c r="AK520" s="0" t="s">
        <v>99</v>
      </c>
      <c r="AL520" s="0" t="str">
        <f aca="false">PROPER(AK520)</f>
        <v>Uber Driver</v>
      </c>
      <c r="AM520" s="0" t="s">
        <v>2324</v>
      </c>
      <c r="AN520" s="0" t="str">
        <f aca="false">IF(ISBLANK(AM520),"Unknown",AM520)</f>
        <v>Logistics Convoy</v>
      </c>
      <c r="AO520" s="0" t="s">
        <v>161</v>
      </c>
      <c r="AP520" s="0" t="str">
        <f aca="false">IF(ISBLANK(AO520),"Unknown",AO520)</f>
        <v>Apprentice</v>
      </c>
      <c r="AQ520" s="0" t="n">
        <v>40000</v>
      </c>
      <c r="AR520" s="5" t="n">
        <f aca="false">IF(ISBLANK(AQ520),AVERAGEIF(M520:M1519,M520,AQ520:AQ1519),AQ520)</f>
        <v>40000</v>
      </c>
      <c r="AS520" s="0" t="n">
        <v>35000</v>
      </c>
      <c r="AT520" s="5" t="n">
        <f aca="false">IF(ISBLANK(AS520),AVERAGE(AS520:AS1519),AS520)</f>
        <v>35000</v>
      </c>
      <c r="AU520" s="0" t="s">
        <v>63</v>
      </c>
      <c r="AV520" s="0" t="str">
        <f aca="false">PROPER(IF(ISBLANK(AU520),"No",AU520))</f>
        <v>Yes</v>
      </c>
      <c r="AW520" s="0" t="n">
        <v>10000</v>
      </c>
      <c r="AX520" s="5" t="n">
        <f aca="false">IF(ISBLANK(AW520),0,AW520)</f>
        <v>10000</v>
      </c>
      <c r="AZ520" s="0" t="str">
        <f aca="false">UPPER(IF(ISBLANK(AY520),"NONE",AY520))</f>
        <v>NONE</v>
      </c>
      <c r="BA520" s="7" t="n">
        <v>46002</v>
      </c>
      <c r="BB520" s="7" t="n">
        <f aca="false">IF(ISBLANK(BA520),"No Follow Up Needed",BA520)</f>
        <v>46002</v>
      </c>
      <c r="BC520" s="0" t="s">
        <v>61</v>
      </c>
      <c r="BD520" s="0" t="str">
        <f aca="false">PROPER(IF(ISBLANK(BC520),"Unknown",BC520))</f>
        <v>No</v>
      </c>
      <c r="BE520" s="0" t="s">
        <v>116</v>
      </c>
      <c r="BF520" s="0" t="str">
        <f aca="false">IF(ISBLANK(BE520),"No comments",BE520)</f>
        <v>Needs tire alignment</v>
      </c>
      <c r="BH520" s="0" t="str">
        <f aca="false">IF(ISBLANK(BG520),"No comments",BG520)</f>
        <v>No comments</v>
      </c>
      <c r="BI520" s="0" t="s">
        <v>63</v>
      </c>
      <c r="BJ520" s="0" t="str">
        <f aca="false">IF(ISBLANK(BI520),"Not Mentioned",BI520)</f>
        <v>Yes</v>
      </c>
      <c r="BK520" s="0" t="s">
        <v>50</v>
      </c>
      <c r="BL520" s="0" t="str">
        <f aca="false">PROPER(IF(ISBLANK(BK520),"Not Mentioned",BK520))</f>
        <v>No</v>
      </c>
      <c r="BM520" s="0" t="s">
        <v>50</v>
      </c>
      <c r="BN520" s="0" t="str">
        <f aca="false">PROPER(IF(ISBLANK(BM520),"Not Mentioned",BM520))</f>
        <v>No</v>
      </c>
      <c r="BO520" s="0" t="s">
        <v>2321</v>
      </c>
      <c r="BP520" s="0" t="str">
        <f aca="false">IF(ISBLANK(BO520),"One-Time Plan",BO520)</f>
        <v>One-Time Plan</v>
      </c>
      <c r="BR520" s="0" t="str">
        <f aca="false">PROPER(IF(ISBLANK(BQ520),"No",BQ520))</f>
        <v>No</v>
      </c>
    </row>
    <row r="521" customFormat="false" ht="15" hidden="false" customHeight="false" outlineLevel="0" collapsed="false">
      <c r="A521" s="0" t="s">
        <v>1313</v>
      </c>
      <c r="B521" s="2" t="s">
        <v>737</v>
      </c>
      <c r="C521" s="2" t="str">
        <f aca="false">TEXT(B521,"dd/mm/yyyy")</f>
        <v>21/03/2025</v>
      </c>
      <c r="D521" s="0" t="s">
        <v>163</v>
      </c>
      <c r="E521" s="0" t="n">
        <v>8051382580</v>
      </c>
      <c r="F521" s="0" t="s">
        <v>122</v>
      </c>
      <c r="G521" s="0" t="s">
        <v>2316</v>
      </c>
      <c r="H521" s="0" t="s">
        <v>1314</v>
      </c>
      <c r="I521" s="0" t="s">
        <v>69</v>
      </c>
      <c r="J521" s="0" t="s">
        <v>2322</v>
      </c>
      <c r="K521" s="3" t="str">
        <f aca="false" t="array" ref="K521:K521">IFERROR(IF(J521&lt;&gt;"",J521,INDEX(J521:J1520,MATCH(1,(F521:F1520=F521)*(I521:I1520=I521)*(L521:L1520=L521)*(J521:J1520&lt;&gt;""),0))),"Not Found")</f>
        <v>Brake Failure</v>
      </c>
      <c r="L521" s="3" t="s">
        <v>142</v>
      </c>
      <c r="M521" s="0" t="str">
        <f aca="false">PROPER(L521)</f>
        <v>Oil Filter, Brake Pads</v>
      </c>
      <c r="N521" s="3" t="s">
        <v>109</v>
      </c>
      <c r="O521" s="0" t="str">
        <f aca="false" t="array" ref="O521:O521">IF(N521&lt;&gt;"",N521,_xlfn.xlookup(1,(L521:L1520=L521)*(N521:N1520&lt;&gt;""),N521:N1520,"Not Found"))</f>
        <v>Tijani</v>
      </c>
      <c r="P521" s="4" t="n">
        <v>47361</v>
      </c>
      <c r="Q521" s="0" t="s">
        <v>91</v>
      </c>
      <c r="R521" s="0" t="str">
        <f aca="false">PROPER(Q521)</f>
        <v>Pos</v>
      </c>
      <c r="S521" s="0" t="s">
        <v>63</v>
      </c>
      <c r="T521" s="0" t="n">
        <v>3</v>
      </c>
      <c r="U521" s="5" t="n">
        <f aca="false">IF(ISBLANK(T521),AVERAGE(T521:T1520),T521)</f>
        <v>3</v>
      </c>
      <c r="V521" s="0" t="n">
        <v>3.1</v>
      </c>
      <c r="W521" s="0" t="s">
        <v>92</v>
      </c>
      <c r="X521" s="0" t="str">
        <f aca="false">IF(ISBLANK(W521),"No remarks",W521)</f>
        <v>Urgent service</v>
      </c>
      <c r="Y521" s="0" t="s">
        <v>52</v>
      </c>
      <c r="Z521" s="0" t="s">
        <v>136</v>
      </c>
      <c r="AA521" s="0" t="str">
        <f aca="false">PROPER(IF(ISBLANK(Z521),"Location Unavailable",Z521))</f>
        <v>Vip Section</v>
      </c>
      <c r="AB521" s="0" t="s">
        <v>54</v>
      </c>
      <c r="AC521" s="6" t="str">
        <f aca="false">PROPER(AB521)</f>
        <v>Mechanic Referral</v>
      </c>
      <c r="AD521" s="6" t="n">
        <v>45</v>
      </c>
      <c r="AE521" s="5" t="n">
        <f aca="false">IF(ISBLANK(AD521),AVERAGEIF(L521:L1520,L521,AD521:AD1520),AD521)</f>
        <v>45</v>
      </c>
      <c r="AF521" s="0" t="s">
        <v>76</v>
      </c>
      <c r="AG521" s="0" t="str">
        <f aca="false">PROPER(AF521)</f>
        <v>Orderd</v>
      </c>
      <c r="AH521" s="0" t="s">
        <v>77</v>
      </c>
      <c r="AI521" s="0" t="s">
        <v>113</v>
      </c>
      <c r="AJ521" s="0" t="str">
        <f aca="false">PROPER(AI521)</f>
        <v>Normal</v>
      </c>
      <c r="AK521" s="0" t="s">
        <v>196</v>
      </c>
      <c r="AL521" s="0" t="str">
        <f aca="false">PROPER(AK521)</f>
        <v>First Time</v>
      </c>
      <c r="AM521" s="0" t="s">
        <v>2326</v>
      </c>
      <c r="AN521" s="0" t="str">
        <f aca="false">IF(ISBLANK(AM521),"Unknown",AM521)</f>
        <v>Government Convoy</v>
      </c>
      <c r="AO521" s="0" t="s">
        <v>161</v>
      </c>
      <c r="AP521" s="0" t="str">
        <f aca="false">IF(ISBLANK(AO521),"Unknown",AO521)</f>
        <v>Apprentice</v>
      </c>
      <c r="AQ521" s="0" t="n">
        <v>40000</v>
      </c>
      <c r="AR521" s="5" t="n">
        <f aca="false">IF(ISBLANK(AQ521),AVERAGEIF(M521:M1520,M521,AQ521:AQ1520),AQ521)</f>
        <v>40000</v>
      </c>
      <c r="AS521" s="0" t="n">
        <v>30000</v>
      </c>
      <c r="AT521" s="5" t="n">
        <f aca="false">IF(ISBLANK(AS521),AVERAGE(AS521:AS1520),AS521)</f>
        <v>30000</v>
      </c>
      <c r="AU521" s="0" t="s">
        <v>63</v>
      </c>
      <c r="AV521" s="0" t="str">
        <f aca="false">PROPER(IF(ISBLANK(AU521),"No",AU521))</f>
        <v>Yes</v>
      </c>
      <c r="AW521" s="0" t="n">
        <v>5000</v>
      </c>
      <c r="AX521" s="5" t="n">
        <f aca="false">IF(ISBLANK(AW521),0,AW521)</f>
        <v>5000</v>
      </c>
      <c r="AY521" s="0" t="s">
        <v>80</v>
      </c>
      <c r="AZ521" s="0" t="str">
        <f aca="false">UPPER(IF(ISBLANK(AY521),"NONE",AY521))</f>
        <v>PROMO10</v>
      </c>
      <c r="BB521" s="7" t="str">
        <f aca="false">IF(ISBLANK(BA521),"No Follow Up Needed",BA521)</f>
        <v>No Follow Up Needed</v>
      </c>
      <c r="BC521" s="0" t="s">
        <v>50</v>
      </c>
      <c r="BD521" s="0" t="str">
        <f aca="false">PROPER(IF(ISBLANK(BC521),"Unknown",BC521))</f>
        <v>No</v>
      </c>
      <c r="BE521" s="0" t="s">
        <v>171</v>
      </c>
      <c r="BF521" s="0" t="str">
        <f aca="false">IF(ISBLANK(BE521),"No comments",BE521)</f>
        <v>Shock absorber weakening</v>
      </c>
      <c r="BG521" s="0" t="s">
        <v>117</v>
      </c>
      <c r="BH521" s="0" t="str">
        <f aca="false">IF(ISBLANK(BG521),"No comments",BG521)</f>
        <v>Prefers morning</v>
      </c>
      <c r="BJ521" s="0" t="str">
        <f aca="false">IF(ISBLANK(BI521),"Not Mentioned",BI521)</f>
        <v>Not Mentioned</v>
      </c>
      <c r="BK521" s="0" t="s">
        <v>82</v>
      </c>
      <c r="BL521" s="0" t="str">
        <f aca="false">PROPER(IF(ISBLANK(BK521),"Not Mentioned",BK521))</f>
        <v>Yes</v>
      </c>
      <c r="BM521" s="0" t="s">
        <v>63</v>
      </c>
      <c r="BN521" s="0" t="str">
        <f aca="false">PROPER(IF(ISBLANK(BM521),"Not Mentioned",BM521))</f>
        <v>Yes</v>
      </c>
      <c r="BO521" s="0" t="s">
        <v>64</v>
      </c>
      <c r="BP521" s="0" t="str">
        <f aca="false">IF(ISBLANK(BO521),"One-Time Plan",BO521)</f>
        <v>Gold Maintenance Plan</v>
      </c>
      <c r="BQ521" s="0" t="s">
        <v>190</v>
      </c>
      <c r="BR521" s="0" t="str">
        <f aca="false">PROPER(IF(ISBLANK(BQ521),"No",BQ521))</f>
        <v>Yes</v>
      </c>
    </row>
    <row r="522" customFormat="false" ht="15" hidden="false" customHeight="false" outlineLevel="0" collapsed="false">
      <c r="A522" s="0" t="s">
        <v>1315</v>
      </c>
      <c r="B522" s="2" t="n">
        <v>45796</v>
      </c>
      <c r="C522" s="2" t="str">
        <f aca="false">TEXT(B522,"dd/mm/yyyy")</f>
        <v>19/05/2025</v>
      </c>
      <c r="D522" s="0" t="s">
        <v>105</v>
      </c>
      <c r="E522" s="0" t="n">
        <v>8069590884</v>
      </c>
      <c r="F522" s="0" t="s">
        <v>43</v>
      </c>
      <c r="G522" s="0" t="s">
        <v>2315</v>
      </c>
      <c r="H522" s="0" t="s">
        <v>1316</v>
      </c>
      <c r="I522" s="0" t="s">
        <v>69</v>
      </c>
      <c r="J522" s="0" t="s">
        <v>2322</v>
      </c>
      <c r="K522" s="3" t="str">
        <f aca="false" t="array" ref="K522:K522">IFERROR(IF(J522&lt;&gt;"",J522,INDEX(J522:J1521,MATCH(1,(F522:F1521=F522)*(I522:I1521=I522)*(L522:L1521=L522)*(J522:J1521&lt;&gt;""),0))),"Not Found")</f>
        <v>Brake Failure</v>
      </c>
      <c r="L522" s="3" t="s">
        <v>142</v>
      </c>
      <c r="M522" s="0" t="str">
        <f aca="false">PROPER(L522)</f>
        <v>Oil Filter, Brake Pads</v>
      </c>
      <c r="N522" s="3" t="s">
        <v>71</v>
      </c>
      <c r="O522" s="0" t="str">
        <f aca="false" t="array" ref="O522:O522">IF(N522&lt;&gt;"",N522,_xlfn.xlookup(1,(L522:L1521=L522)*(N522:N1521&lt;&gt;""),N522:N1521,"Not Found"))</f>
        <v>Isaac Bobo</v>
      </c>
      <c r="P522" s="4" t="n">
        <v>65727</v>
      </c>
      <c r="Q522" s="0" t="s">
        <v>124</v>
      </c>
      <c r="R522" s="0" t="str">
        <f aca="false">PROPER(Q522)</f>
        <v>Cash</v>
      </c>
      <c r="S522" s="0" t="s">
        <v>63</v>
      </c>
      <c r="T522" s="0" t="n">
        <v>5</v>
      </c>
      <c r="U522" s="5" t="n">
        <f aca="false">IF(ISBLANK(T522),AVERAGE(T522:T1521),T522)</f>
        <v>5</v>
      </c>
      <c r="V522" s="0" t="n">
        <v>5.7</v>
      </c>
      <c r="W522" s="0" t="s">
        <v>92</v>
      </c>
      <c r="X522" s="0" t="str">
        <f aca="false">IF(ISBLANK(W522),"No remarks",W522)</f>
        <v>Urgent service</v>
      </c>
      <c r="Y522" s="0" t="s">
        <v>73</v>
      </c>
      <c r="Z522" s="0" t="s">
        <v>159</v>
      </c>
      <c r="AA522" s="0" t="str">
        <f aca="false">PROPER(IF(ISBLANK(Z522),"Location Unavailable",Z522))</f>
        <v>Main Bay</v>
      </c>
      <c r="AB522" s="0" t="s">
        <v>167</v>
      </c>
      <c r="AC522" s="6" t="str">
        <f aca="false">PROPER(AB522)</f>
        <v>Word Of Mouth</v>
      </c>
      <c r="AD522" s="6" t="n">
        <v>30</v>
      </c>
      <c r="AE522" s="5" t="n">
        <f aca="false">IF(ISBLANK(AD522),AVERAGEIF(L522:L1521,L522,AD522:AD1521),AD522)</f>
        <v>30</v>
      </c>
      <c r="AF522" s="0" t="s">
        <v>76</v>
      </c>
      <c r="AG522" s="0" t="str">
        <f aca="false">PROPER(AF522)</f>
        <v>Orderd</v>
      </c>
      <c r="AH522" s="0" t="s">
        <v>56</v>
      </c>
      <c r="AI522" s="0" t="s">
        <v>78</v>
      </c>
      <c r="AJ522" s="0" t="str">
        <f aca="false">PROPER(AI522)</f>
        <v>Booking</v>
      </c>
      <c r="AK522" s="0" t="s">
        <v>196</v>
      </c>
      <c r="AL522" s="0" t="str">
        <f aca="false">PROPER(AK522)</f>
        <v>First Time</v>
      </c>
      <c r="AM522" s="0" t="s">
        <v>2324</v>
      </c>
      <c r="AN522" s="0" t="str">
        <f aca="false">IF(ISBLANK(AM522),"Unknown",AM522)</f>
        <v>Logistics Convoy</v>
      </c>
      <c r="AO522" s="0" t="s">
        <v>161</v>
      </c>
      <c r="AP522" s="0" t="str">
        <f aca="false">IF(ISBLANK(AO522),"Unknown",AO522)</f>
        <v>Apprentice</v>
      </c>
      <c r="AQ522" s="0" t="n">
        <v>40000</v>
      </c>
      <c r="AR522" s="5" t="n">
        <f aca="false">IF(ISBLANK(AQ522),AVERAGEIF(M522:M1521,M522,AQ522:AQ1521),AQ522)</f>
        <v>40000</v>
      </c>
      <c r="AS522" s="0" t="n">
        <v>20000</v>
      </c>
      <c r="AT522" s="5" t="n">
        <f aca="false">IF(ISBLANK(AS522),AVERAGE(AS522:AS1521),AS522)</f>
        <v>20000</v>
      </c>
      <c r="AU522" s="0" t="s">
        <v>61</v>
      </c>
      <c r="AV522" s="0" t="str">
        <f aca="false">PROPER(IF(ISBLANK(AU522),"No",AU522))</f>
        <v>No</v>
      </c>
      <c r="AW522" s="0" t="n">
        <v>0</v>
      </c>
      <c r="AX522" s="5" t="n">
        <f aca="false">IF(ISBLANK(AW522),0,AW522)</f>
        <v>0</v>
      </c>
      <c r="AY522" s="0" t="s">
        <v>80</v>
      </c>
      <c r="AZ522" s="0" t="str">
        <f aca="false">UPPER(IF(ISBLANK(AY522),"NONE",AY522))</f>
        <v>PROMO10</v>
      </c>
      <c r="BB522" s="7" t="str">
        <f aca="false">IF(ISBLANK(BA522),"No Follow Up Needed",BA522)</f>
        <v>No Follow Up Needed</v>
      </c>
      <c r="BD522" s="0" t="str">
        <f aca="false">PROPER(IF(ISBLANK(BC522),"Unknown",BC522))</f>
        <v>Unknown</v>
      </c>
      <c r="BE522" s="0" t="s">
        <v>116</v>
      </c>
      <c r="BF522" s="0" t="str">
        <f aca="false">IF(ISBLANK(BE522),"No comments",BE522)</f>
        <v>Needs tire alignment</v>
      </c>
      <c r="BG522" s="0" t="s">
        <v>117</v>
      </c>
      <c r="BH522" s="0" t="str">
        <f aca="false">IF(ISBLANK(BG522),"No comments",BG522)</f>
        <v>Prefers morning</v>
      </c>
      <c r="BI522" s="0" t="s">
        <v>50</v>
      </c>
      <c r="BJ522" s="0" t="str">
        <f aca="false">IF(ISBLANK(BI522),"Not Mentioned",BI522)</f>
        <v>No</v>
      </c>
      <c r="BK522" s="0" t="s">
        <v>63</v>
      </c>
      <c r="BL522" s="0" t="str">
        <f aca="false">PROPER(IF(ISBLANK(BK522),"Not Mentioned",BK522))</f>
        <v>Yes</v>
      </c>
      <c r="BN522" s="0" t="str">
        <f aca="false">PROPER(IF(ISBLANK(BM522),"Not Mentioned",BM522))</f>
        <v>Not Mentioned</v>
      </c>
      <c r="BO522" s="0" t="s">
        <v>64</v>
      </c>
      <c r="BP522" s="0" t="str">
        <f aca="false">IF(ISBLANK(BO522),"One-Time Plan",BO522)</f>
        <v>Gold Maintenance Plan</v>
      </c>
      <c r="BQ522" s="0" t="s">
        <v>190</v>
      </c>
      <c r="BR522" s="0" t="str">
        <f aca="false">PROPER(IF(ISBLANK(BQ522),"No",BQ522))</f>
        <v>Yes</v>
      </c>
    </row>
    <row r="523" customFormat="false" ht="15" hidden="false" customHeight="false" outlineLevel="0" collapsed="false">
      <c r="A523" s="0" t="s">
        <v>1317</v>
      </c>
      <c r="B523" s="2" t="n">
        <v>45665</v>
      </c>
      <c r="C523" s="2" t="str">
        <f aca="false">TEXT(B523,"dd/mm/yyyy")</f>
        <v>08/01/2025</v>
      </c>
      <c r="D523" s="0" t="s">
        <v>42</v>
      </c>
      <c r="E523" s="0" t="n">
        <v>8017035056</v>
      </c>
      <c r="F523" s="0" t="s">
        <v>139</v>
      </c>
      <c r="G523" s="0" t="s">
        <v>2323</v>
      </c>
      <c r="H523" s="0" t="s">
        <v>1318</v>
      </c>
      <c r="I523" s="0" t="s">
        <v>134</v>
      </c>
      <c r="J523" s="0" t="s">
        <v>87</v>
      </c>
      <c r="K523" s="3" t="str">
        <f aca="false" t="array" ref="K523:K523">IFERROR(IF(J523&lt;&gt;"",J523,INDEX(J523:J1522,MATCH(1,(F523:F1522=F523)*(I523:I1522=I523)*(L523:L1522=L523)*(J523:J1522&lt;&gt;""),0))),"Not Found")</f>
        <v>Oil Change</v>
      </c>
      <c r="L523" s="3" t="s">
        <v>47</v>
      </c>
      <c r="M523" s="0" t="str">
        <f aca="false">PROPER(L523)</f>
        <v>None</v>
      </c>
      <c r="N523" s="3" t="s">
        <v>90</v>
      </c>
      <c r="O523" s="0" t="str">
        <f aca="false" t="array" ref="O523:O523">IF(N523&lt;&gt;"",N523,_xlfn.xlookup(1,(L523:L1522=L523)*(N523:N1522&lt;&gt;""),N523:N1522,"Not Found"))</f>
        <v>Musa</v>
      </c>
      <c r="P523" s="4" t="n">
        <v>32607</v>
      </c>
      <c r="Q523" s="0" t="s">
        <v>110</v>
      </c>
      <c r="R523" s="0" t="str">
        <f aca="false">PROPER(Q523)</f>
        <v>Cash</v>
      </c>
      <c r="S523" s="0" t="s">
        <v>50</v>
      </c>
      <c r="U523" s="5" t="n">
        <f aca="false">IF(ISBLANK(T523),AVERAGE(T523:T1522),T523)</f>
        <v>3.09390862944162</v>
      </c>
      <c r="V523" s="0" t="n">
        <v>3.5</v>
      </c>
      <c r="W523" s="0" t="s">
        <v>92</v>
      </c>
      <c r="X523" s="0" t="str">
        <f aca="false">IF(ISBLANK(W523),"No remarks",W523)</f>
        <v>Urgent service</v>
      </c>
      <c r="Y523" s="0" t="s">
        <v>52</v>
      </c>
      <c r="Z523" s="0" t="s">
        <v>159</v>
      </c>
      <c r="AA523" s="0" t="str">
        <f aca="false">PROPER(IF(ISBLANK(Z523),"Location Unavailable",Z523))</f>
        <v>Main Bay</v>
      </c>
      <c r="AB523" s="0" t="s">
        <v>54</v>
      </c>
      <c r="AC523" s="6" t="str">
        <f aca="false">PROPER(AB523)</f>
        <v>Mechanic Referral</v>
      </c>
      <c r="AD523" s="6" t="n">
        <v>15</v>
      </c>
      <c r="AE523" s="5" t="n">
        <f aca="false">IF(ISBLANK(AD523),AVERAGEIF(L523:L1522,L523,AD523:AD1522),AD523)</f>
        <v>15</v>
      </c>
      <c r="AF523" s="0" t="s">
        <v>160</v>
      </c>
      <c r="AG523" s="0" t="str">
        <f aca="false">PROPER(AF523)</f>
        <v>Availaible</v>
      </c>
      <c r="AH523" s="0" t="s">
        <v>155</v>
      </c>
      <c r="AI523" s="0" t="s">
        <v>128</v>
      </c>
      <c r="AJ523" s="0" t="str">
        <f aca="false">PROPER(AI523)</f>
        <v>Normal</v>
      </c>
      <c r="AK523" s="0" t="s">
        <v>196</v>
      </c>
      <c r="AL523" s="0" t="str">
        <f aca="false">PROPER(AK523)</f>
        <v>First Time</v>
      </c>
      <c r="AN523" s="0" t="str">
        <f aca="false">IF(ISBLANK(AM523),"Unknown",AM523)</f>
        <v>Unknown</v>
      </c>
      <c r="AO523" s="0" t="s">
        <v>149</v>
      </c>
      <c r="AP523" s="0" t="str">
        <f aca="false">IF(ISBLANK(AO523),"Unknown",AO523)</f>
        <v>Senior </v>
      </c>
      <c r="AQ523" s="0" t="n">
        <v>20000</v>
      </c>
      <c r="AR523" s="5" t="n">
        <f aca="false">IF(ISBLANK(AQ523),AVERAGEIF(M523:M1522,M523,AQ523:AQ1522),AQ523)</f>
        <v>20000</v>
      </c>
      <c r="AS523" s="0" t="n">
        <v>30000</v>
      </c>
      <c r="AT523" s="5" t="n">
        <f aca="false">IF(ISBLANK(AS523),AVERAGE(AS523:AS1522),AS523)</f>
        <v>30000</v>
      </c>
      <c r="AU523" s="0" t="s">
        <v>82</v>
      </c>
      <c r="AV523" s="0" t="str">
        <f aca="false">PROPER(IF(ISBLANK(AU523),"No",AU523))</f>
        <v>Yes</v>
      </c>
      <c r="AW523" s="0" t="n">
        <v>10000</v>
      </c>
      <c r="AX523" s="5" t="n">
        <f aca="false">IF(ISBLANK(AW523),0,AW523)</f>
        <v>10000</v>
      </c>
      <c r="AY523" s="0" t="s">
        <v>130</v>
      </c>
      <c r="AZ523" s="0" t="str">
        <f aca="false">UPPER(IF(ISBLANK(AY523),"NONE",AY523))</f>
        <v>LOYALTY10</v>
      </c>
      <c r="BB523" s="7" t="str">
        <f aca="false">IF(ISBLANK(BA523),"No Follow Up Needed",BA523)</f>
        <v>No Follow Up Needed</v>
      </c>
      <c r="BD523" s="0" t="str">
        <f aca="false">PROPER(IF(ISBLANK(BC523),"Unknown",BC523))</f>
        <v>Unknown</v>
      </c>
      <c r="BE523" s="0" t="s">
        <v>116</v>
      </c>
      <c r="BF523" s="0" t="str">
        <f aca="false">IF(ISBLANK(BE523),"No comments",BE523)</f>
        <v>Needs tire alignment</v>
      </c>
      <c r="BG523" s="0" t="s">
        <v>2320</v>
      </c>
      <c r="BH523" s="0" t="str">
        <f aca="false">IF(ISBLANK(BG523),"No comments",BG523)</f>
        <v>No complaints</v>
      </c>
      <c r="BI523" s="0" t="s">
        <v>63</v>
      </c>
      <c r="BJ523" s="0" t="str">
        <f aca="false">IF(ISBLANK(BI523),"Not Mentioned",BI523)</f>
        <v>Yes</v>
      </c>
      <c r="BK523" s="0" t="s">
        <v>50</v>
      </c>
      <c r="BL523" s="0" t="str">
        <f aca="false">PROPER(IF(ISBLANK(BK523),"Not Mentioned",BK523))</f>
        <v>No</v>
      </c>
      <c r="BN523" s="0" t="str">
        <f aca="false">PROPER(IF(ISBLANK(BM523),"Not Mentioned",BM523))</f>
        <v>Not Mentioned</v>
      </c>
      <c r="BO523" s="0" t="s">
        <v>2321</v>
      </c>
      <c r="BP523" s="0" t="str">
        <f aca="false">IF(ISBLANK(BO523),"One-Time Plan",BO523)</f>
        <v>One-Time Plan</v>
      </c>
      <c r="BQ523" s="0" t="s">
        <v>198</v>
      </c>
      <c r="BR523" s="0" t="str">
        <f aca="false">PROPER(IF(ISBLANK(BQ523),"No",BQ523))</f>
        <v>Followed Up</v>
      </c>
    </row>
    <row r="524" customFormat="false" ht="15" hidden="false" customHeight="false" outlineLevel="0" collapsed="false">
      <c r="A524" s="0" t="s">
        <v>1319</v>
      </c>
      <c r="B524" s="2" t="s">
        <v>316</v>
      </c>
      <c r="C524" s="2" t="str">
        <f aca="false">TEXT(B524,"dd/mm/yyyy")</f>
        <v>14/01/2025</v>
      </c>
      <c r="D524" s="0" t="s">
        <v>66</v>
      </c>
      <c r="E524" s="0" t="n">
        <v>8090289763</v>
      </c>
      <c r="F524" s="0" t="s">
        <v>85</v>
      </c>
      <c r="G524" s="0" t="s">
        <v>2319</v>
      </c>
      <c r="H524" s="0" t="s">
        <v>1320</v>
      </c>
      <c r="I524" s="0" t="s">
        <v>134</v>
      </c>
      <c r="J524" s="0" t="s">
        <v>2317</v>
      </c>
      <c r="K524" s="3" t="str">
        <f aca="false" t="array" ref="K524:K524">IFERROR(IF(J524&lt;&gt;"",J524,INDEX(J524:J1523,MATCH(1,(F524:F1523=F524)*(I524:I1523=I524)*(L524:L1523=L524)*(J524:J1523&lt;&gt;""),0))),"Not Found")</f>
        <v>Suspension Noise</v>
      </c>
      <c r="L524" s="3" t="s">
        <v>89</v>
      </c>
      <c r="M524" s="0" t="str">
        <f aca="false">PROPER(L524)</f>
        <v>Shock Absorbers</v>
      </c>
      <c r="O524" s="0" t="e">
        <f aca="false" t="array" ref="O524:O524">IF(N524&lt;&gt;"",N524,_xlfn.xlookup(1,(L524:L1523=L524)*(N524:N1523&lt;&gt;""),N524:N1523,"Not Found"))</f>
        <v>#NAME?</v>
      </c>
      <c r="P524" s="4" t="n">
        <v>42256</v>
      </c>
      <c r="Q524" s="0" t="s">
        <v>72</v>
      </c>
      <c r="R524" s="0" t="str">
        <f aca="false">PROPER(Q524)</f>
        <v>Pos</v>
      </c>
      <c r="S524" s="0" t="s">
        <v>50</v>
      </c>
      <c r="T524" s="0" t="n">
        <v>4</v>
      </c>
      <c r="U524" s="5" t="n">
        <f aca="false">IF(ISBLANK(T524),AVERAGE(T524:T1523),T524)</f>
        <v>4</v>
      </c>
      <c r="V524" s="0" t="n">
        <v>1.5</v>
      </c>
      <c r="W524" s="0" t="s">
        <v>125</v>
      </c>
      <c r="X524" s="0" t="str">
        <f aca="false">IF(ISBLANK(W524),"No remarks",W524)</f>
        <v>Customer waited</v>
      </c>
      <c r="Y524" s="0" t="s">
        <v>93</v>
      </c>
      <c r="Z524" s="0" t="s">
        <v>53</v>
      </c>
      <c r="AA524" s="0" t="str">
        <f aca="false">PROPER(IF(ISBLANK(Z524),"Location Unavailable",Z524))</f>
        <v>Main Bay</v>
      </c>
      <c r="AB524" s="0" t="s">
        <v>75</v>
      </c>
      <c r="AC524" s="6" t="str">
        <f aca="false">PROPER(AB524)</f>
        <v>Mechanik Referal</v>
      </c>
      <c r="AD524" s="6" t="n">
        <v>30</v>
      </c>
      <c r="AE524" s="5" t="n">
        <f aca="false">IF(ISBLANK(AD524),AVERAGEIF(L524:L1523,L524,AD524:AD1523),AD524)</f>
        <v>30</v>
      </c>
      <c r="AF524" s="0" t="s">
        <v>112</v>
      </c>
      <c r="AG524" s="0" t="str">
        <f aca="false">PROPER(AF524)</f>
        <v>Unavailable</v>
      </c>
      <c r="AH524" s="0" t="s">
        <v>155</v>
      </c>
      <c r="AI524" s="0" t="s">
        <v>98</v>
      </c>
      <c r="AJ524" s="0" t="str">
        <f aca="false">PROPER(AI524)</f>
        <v>Emergency</v>
      </c>
      <c r="AK524" s="0" t="s">
        <v>99</v>
      </c>
      <c r="AL524" s="0" t="str">
        <f aca="false">PROPER(AK524)</f>
        <v>Uber Driver</v>
      </c>
      <c r="AN524" s="0" t="str">
        <f aca="false">IF(ISBLANK(AM524),"Unknown",AM524)</f>
        <v>Unknown</v>
      </c>
      <c r="AO524" s="0" t="s">
        <v>161</v>
      </c>
      <c r="AP524" s="0" t="str">
        <f aca="false">IF(ISBLANK(AO524),"Unknown",AO524)</f>
        <v>Apprentice</v>
      </c>
      <c r="AQ524" s="0" t="n">
        <v>40000</v>
      </c>
      <c r="AR524" s="5" t="n">
        <f aca="false">IF(ISBLANK(AQ524),AVERAGEIF(M524:M1523,M524,AQ524:AQ1523),AQ524)</f>
        <v>40000</v>
      </c>
      <c r="AS524" s="0" t="n">
        <v>40000</v>
      </c>
      <c r="AT524" s="5" t="n">
        <f aca="false">IF(ISBLANK(AS524),AVERAGE(AS524:AS1523),AS524)</f>
        <v>40000</v>
      </c>
      <c r="AU524" s="0" t="s">
        <v>61</v>
      </c>
      <c r="AV524" s="0" t="str">
        <f aca="false">PROPER(IF(ISBLANK(AU524),"No",AU524))</f>
        <v>No</v>
      </c>
      <c r="AX524" s="5" t="n">
        <f aca="false">IF(ISBLANK(AW524),0,AW524)</f>
        <v>0</v>
      </c>
      <c r="AY524" s="0" t="s">
        <v>184</v>
      </c>
      <c r="AZ524" s="0" t="str">
        <f aca="false">UPPER(IF(ISBLANK(AY524),"NONE",AY524))</f>
        <v>N/A</v>
      </c>
      <c r="BA524" s="7" t="n">
        <v>45939</v>
      </c>
      <c r="BB524" s="7" t="n">
        <f aca="false">IF(ISBLANK(BA524),"No Follow Up Needed",BA524)</f>
        <v>45939</v>
      </c>
      <c r="BC524" s="0" t="s">
        <v>61</v>
      </c>
      <c r="BD524" s="0" t="str">
        <f aca="false">PROPER(IF(ISBLANK(BC524),"Unknown",BC524))</f>
        <v>No</v>
      </c>
      <c r="BF524" s="0" t="str">
        <f aca="false">IF(ISBLANK(BE524),"No comments",BE524)</f>
        <v>No comments</v>
      </c>
      <c r="BH524" s="0" t="str">
        <f aca="false">IF(ISBLANK(BG524),"No comments",BG524)</f>
        <v>No comments</v>
      </c>
      <c r="BI524" s="0" t="s">
        <v>50</v>
      </c>
      <c r="BJ524" s="0" t="str">
        <f aca="false">IF(ISBLANK(BI524),"Not Mentioned",BI524)</f>
        <v>No</v>
      </c>
      <c r="BK524" s="0" t="s">
        <v>61</v>
      </c>
      <c r="BL524" s="0" t="str">
        <f aca="false">PROPER(IF(ISBLANK(BK524),"Not Mentioned",BK524))</f>
        <v>No</v>
      </c>
      <c r="BM524" s="0" t="s">
        <v>63</v>
      </c>
      <c r="BN524" s="0" t="str">
        <f aca="false">PROPER(IF(ISBLANK(BM524),"Not Mentioned",BM524))</f>
        <v>Yes</v>
      </c>
      <c r="BO524" s="0" t="s">
        <v>64</v>
      </c>
      <c r="BP524" s="0" t="str">
        <f aca="false">IF(ISBLANK(BO524),"One-Time Plan",BO524)</f>
        <v>Gold Maintenance Plan</v>
      </c>
      <c r="BQ524" s="0" t="s">
        <v>50</v>
      </c>
      <c r="BR524" s="0" t="str">
        <f aca="false">PROPER(IF(ISBLANK(BQ524),"No",BQ524))</f>
        <v>No</v>
      </c>
    </row>
    <row r="525" customFormat="false" ht="15" hidden="false" customHeight="false" outlineLevel="0" collapsed="false">
      <c r="A525" s="0" t="s">
        <v>1321</v>
      </c>
      <c r="B525" s="2" t="n">
        <v>45810</v>
      </c>
      <c r="C525" s="2" t="str">
        <f aca="false">TEXT(B525,"dd/mm/yyyy")</f>
        <v>02/06/2025</v>
      </c>
      <c r="D525" s="0" t="s">
        <v>163</v>
      </c>
      <c r="E525" s="0" t="n">
        <v>8010626224</v>
      </c>
      <c r="F525" s="0" t="s">
        <v>122</v>
      </c>
      <c r="G525" s="0" t="s">
        <v>2316</v>
      </c>
      <c r="H525" s="0" t="s">
        <v>1322</v>
      </c>
      <c r="I525" s="0" t="s">
        <v>134</v>
      </c>
      <c r="J525" s="0" t="s">
        <v>2317</v>
      </c>
      <c r="K525" s="3" t="str">
        <f aca="false" t="array" ref="K525:K525">IFERROR(IF(J525&lt;&gt;"",J525,INDEX(J525:J1524,MATCH(1,(F525:F1524=F525)*(I525:I1524=I525)*(L525:L1524=L525)*(J525:J1524&lt;&gt;""),0))),"Not Found")</f>
        <v>Suspension Noise</v>
      </c>
      <c r="L525" s="3" t="s">
        <v>89</v>
      </c>
      <c r="M525" s="0" t="str">
        <f aca="false">PROPER(L525)</f>
        <v>Shock Absorbers</v>
      </c>
      <c r="O525" s="0" t="e">
        <f aca="false" t="array" ref="O525:O525">IF(N525&lt;&gt;"",N525,_xlfn.xlookup(1,(L525:L1524=L525)*(N525:N1524&lt;&gt;""),N525:N1524,"Not Found"))</f>
        <v>#NAME?</v>
      </c>
      <c r="P525" s="4" t="n">
        <v>42935</v>
      </c>
      <c r="Q525" s="0" t="s">
        <v>49</v>
      </c>
      <c r="R525" s="0" t="str">
        <f aca="false">PROPER(Q525)</f>
        <v>Transfer</v>
      </c>
      <c r="S525" s="0" t="s">
        <v>63</v>
      </c>
      <c r="T525" s="0" t="n">
        <v>5</v>
      </c>
      <c r="U525" s="5" t="n">
        <f aca="false">IF(ISBLANK(T525),AVERAGE(T525:T1524),T525)</f>
        <v>5</v>
      </c>
      <c r="V525" s="0" t="n">
        <v>4.2</v>
      </c>
      <c r="W525" s="0" t="s">
        <v>51</v>
      </c>
      <c r="X525" s="0" t="str">
        <f aca="false">IF(ISBLANK(W525),"No remarks",W525)</f>
        <v>Recommended further checks</v>
      </c>
      <c r="Y525" s="0" t="s">
        <v>93</v>
      </c>
      <c r="Z525" s="0" t="s">
        <v>53</v>
      </c>
      <c r="AA525" s="0" t="str">
        <f aca="false">PROPER(IF(ISBLANK(Z525),"Location Unavailable",Z525))</f>
        <v>Main Bay</v>
      </c>
      <c r="AB525" s="0" t="s">
        <v>75</v>
      </c>
      <c r="AC525" s="6" t="str">
        <f aca="false">PROPER(AB525)</f>
        <v>Mechanik Referal</v>
      </c>
      <c r="AD525" s="6" t="n">
        <v>45</v>
      </c>
      <c r="AE525" s="5" t="n">
        <f aca="false">IF(ISBLANK(AD525),AVERAGEIF(L525:L1524,L525,AD525:AD1524),AD525)</f>
        <v>45</v>
      </c>
      <c r="AF525" s="0" t="s">
        <v>55</v>
      </c>
      <c r="AG525" s="0" t="str">
        <f aca="false">PROPER(AF525)</f>
        <v>Available</v>
      </c>
      <c r="AH525" s="0" t="s">
        <v>77</v>
      </c>
      <c r="AI525" s="0" t="s">
        <v>98</v>
      </c>
      <c r="AJ525" s="0" t="str">
        <f aca="false">PROPER(AI525)</f>
        <v>Emergency</v>
      </c>
      <c r="AK525" s="0" t="s">
        <v>58</v>
      </c>
      <c r="AL525" s="0" t="str">
        <f aca="false">PROPER(AK525)</f>
        <v>Fleet Owner</v>
      </c>
      <c r="AN525" s="0" t="str">
        <f aca="false">IF(ISBLANK(AM525),"Unknown",AM525)</f>
        <v>Unknown</v>
      </c>
      <c r="AO525" s="0" t="s">
        <v>79</v>
      </c>
      <c r="AP525" s="0" t="str">
        <f aca="false">IF(ISBLANK(AO525),"Unknown",AO525)</f>
        <v>Specialist</v>
      </c>
      <c r="AQ525" s="0" t="n">
        <v>15000</v>
      </c>
      <c r="AR525" s="5" t="n">
        <f aca="false">IF(ISBLANK(AQ525),AVERAGEIF(M525:M1524,M525,AQ525:AQ1524),AQ525)</f>
        <v>15000</v>
      </c>
      <c r="AT525" s="5" t="n">
        <f aca="false">IF(ISBLANK(AS525),AVERAGE(AS525:AS1524),AS525)</f>
        <v>31570.351758794</v>
      </c>
      <c r="AU525" s="0" t="s">
        <v>61</v>
      </c>
      <c r="AV525" s="0" t="str">
        <f aca="false">PROPER(IF(ISBLANK(AU525),"No",AU525))</f>
        <v>No</v>
      </c>
      <c r="AX525" s="5" t="n">
        <f aca="false">IF(ISBLANK(AW525),0,AW525)</f>
        <v>0</v>
      </c>
      <c r="AY525" s="0" t="s">
        <v>130</v>
      </c>
      <c r="AZ525" s="0" t="str">
        <f aca="false">UPPER(IF(ISBLANK(AY525),"NONE",AY525))</f>
        <v>LOYALTY10</v>
      </c>
      <c r="BB525" s="7" t="str">
        <f aca="false">IF(ISBLANK(BA525),"No Follow Up Needed",BA525)</f>
        <v>No Follow Up Needed</v>
      </c>
      <c r="BD525" s="0" t="str">
        <f aca="false">PROPER(IF(ISBLANK(BC525),"Unknown",BC525))</f>
        <v>Unknown</v>
      </c>
      <c r="BE525" s="0" t="s">
        <v>116</v>
      </c>
      <c r="BF525" s="0" t="str">
        <f aca="false">IF(ISBLANK(BE525),"No comments",BE525)</f>
        <v>Needs tire alignment</v>
      </c>
      <c r="BH525" s="0" t="str">
        <f aca="false">IF(ISBLANK(BG525),"No comments",BG525)</f>
        <v>No comments</v>
      </c>
      <c r="BJ525" s="0" t="str">
        <f aca="false">IF(ISBLANK(BI525),"Not Mentioned",BI525)</f>
        <v>Not Mentioned</v>
      </c>
      <c r="BK525" s="0" t="s">
        <v>63</v>
      </c>
      <c r="BL525" s="0" t="str">
        <f aca="false">PROPER(IF(ISBLANK(BK525),"Not Mentioned",BK525))</f>
        <v>Yes</v>
      </c>
      <c r="BM525" s="0" t="s">
        <v>50</v>
      </c>
      <c r="BN525" s="0" t="str">
        <f aca="false">PROPER(IF(ISBLANK(BM525),"Not Mentioned",BM525))</f>
        <v>No</v>
      </c>
      <c r="BO525" s="0" t="s">
        <v>2321</v>
      </c>
      <c r="BP525" s="0" t="str">
        <f aca="false">IF(ISBLANK(BO525),"One-Time Plan",BO525)</f>
        <v>One-Time Plan</v>
      </c>
      <c r="BQ525" s="0" t="s">
        <v>198</v>
      </c>
      <c r="BR525" s="0" t="str">
        <f aca="false">PROPER(IF(ISBLANK(BQ525),"No",BQ525))</f>
        <v>Followed Up</v>
      </c>
    </row>
    <row r="526" customFormat="false" ht="15" hidden="false" customHeight="false" outlineLevel="0" collapsed="false">
      <c r="A526" s="0" t="s">
        <v>1323</v>
      </c>
      <c r="B526" s="2" t="s">
        <v>345</v>
      </c>
      <c r="C526" s="2" t="str">
        <f aca="false">TEXT(B526,"dd/mm/yyyy")</f>
        <v>25/04/2025</v>
      </c>
      <c r="D526" s="0" t="s">
        <v>163</v>
      </c>
      <c r="E526" s="0" t="n">
        <v>8016531664</v>
      </c>
      <c r="F526" s="0" t="s">
        <v>139</v>
      </c>
      <c r="G526" s="0" t="s">
        <v>2323</v>
      </c>
      <c r="H526" s="0" t="s">
        <v>1324</v>
      </c>
      <c r="I526" s="0" t="s">
        <v>87</v>
      </c>
      <c r="J526" s="0" t="s">
        <v>2322</v>
      </c>
      <c r="K526" s="3" t="str">
        <f aca="false" t="array" ref="K526:K526">IFERROR(IF(J526&lt;&gt;"",J526,INDEX(J526:J1525,MATCH(1,(F526:F1525=F526)*(I526:I1525=I526)*(L526:L1525=L526)*(J526:J1525&lt;&gt;""),0))),"Not Found")</f>
        <v>Brake Failure</v>
      </c>
      <c r="L526" s="3" t="s">
        <v>108</v>
      </c>
      <c r="M526" s="0" t="str">
        <f aca="false">PROPER(L526)</f>
        <v>Timing Belt</v>
      </c>
      <c r="N526" s="3" t="s">
        <v>109</v>
      </c>
      <c r="O526" s="0" t="str">
        <f aca="false" t="array" ref="O526:O526">IF(N526&lt;&gt;"",N526,_xlfn.xlookup(1,(L526:L1525=L526)*(N526:N1525&lt;&gt;""),N526:N1525,"Not Found"))</f>
        <v>Tijani</v>
      </c>
      <c r="P526" s="4" t="n">
        <v>72858</v>
      </c>
      <c r="Q526" s="0" t="s">
        <v>72</v>
      </c>
      <c r="R526" s="0" t="str">
        <f aca="false">PROPER(Q526)</f>
        <v>Pos</v>
      </c>
      <c r="S526" s="0" t="s">
        <v>50</v>
      </c>
      <c r="U526" s="5" t="n">
        <f aca="false">IF(ISBLANK(T526),AVERAGE(T526:T1525),T526)</f>
        <v>3.08673469387755</v>
      </c>
      <c r="V526" s="0" t="n">
        <v>4.4</v>
      </c>
      <c r="W526" s="0" t="s">
        <v>111</v>
      </c>
      <c r="X526" s="0" t="str">
        <f aca="false">IF(ISBLANK(W526),"No remarks",W526)</f>
        <v>Changed all filters</v>
      </c>
      <c r="Y526" s="0" t="s">
        <v>52</v>
      </c>
      <c r="Z526" s="0" t="s">
        <v>94</v>
      </c>
      <c r="AA526" s="0" t="str">
        <f aca="false">PROPER(IF(ISBLANK(Z526),"Location Unavailable",Z526))</f>
        <v>Vip Section</v>
      </c>
      <c r="AB526" s="0" t="s">
        <v>54</v>
      </c>
      <c r="AC526" s="6" t="str">
        <f aca="false">PROPER(AB526)</f>
        <v>Mechanic Referral</v>
      </c>
      <c r="AD526" s="6" t="n">
        <v>30</v>
      </c>
      <c r="AE526" s="5" t="n">
        <f aca="false">IF(ISBLANK(AD526),AVERAGEIF(L526:L1525,L526,AD526:AD1525),AD526)</f>
        <v>30</v>
      </c>
      <c r="AF526" s="0" t="s">
        <v>96</v>
      </c>
      <c r="AG526" s="0" t="str">
        <f aca="false">PROPER(AF526)</f>
        <v>Ordered</v>
      </c>
      <c r="AH526" s="0" t="s">
        <v>56</v>
      </c>
      <c r="AI526" s="0" t="s">
        <v>78</v>
      </c>
      <c r="AJ526" s="0" t="str">
        <f aca="false">PROPER(AI526)</f>
        <v>Booking</v>
      </c>
      <c r="AK526" s="0" t="s">
        <v>196</v>
      </c>
      <c r="AL526" s="0" t="str">
        <f aca="false">PROPER(AK526)</f>
        <v>First Time</v>
      </c>
      <c r="AM526" s="0" t="s">
        <v>59</v>
      </c>
      <c r="AN526" s="0" t="str">
        <f aca="false">IF(ISBLANK(AM526),"Unknown",AM526)</f>
        <v>Bolt Driver</v>
      </c>
      <c r="AP526" s="0" t="str">
        <f aca="false">IF(ISBLANK(AO526),"Unknown",AO526)</f>
        <v>Unknown</v>
      </c>
      <c r="AR526" s="5" t="n">
        <f aca="false">IF(ISBLANK(AQ526),AVERAGEIF(M526:M1525,M526,AQ526:AQ1525),AQ526)</f>
        <v>27302.6315789474</v>
      </c>
      <c r="AS526" s="0" t="n">
        <v>40000</v>
      </c>
      <c r="AT526" s="5" t="n">
        <f aca="false">IF(ISBLANK(AS526),AVERAGE(AS526:AS1525),AS526)</f>
        <v>40000</v>
      </c>
      <c r="AU526" s="0" t="s">
        <v>82</v>
      </c>
      <c r="AV526" s="0" t="str">
        <f aca="false">PROPER(IF(ISBLANK(AU526),"No",AU526))</f>
        <v>Yes</v>
      </c>
      <c r="AW526" s="0" t="n">
        <v>5000</v>
      </c>
      <c r="AX526" s="5" t="n">
        <f aca="false">IF(ISBLANK(AW526),0,AW526)</f>
        <v>5000</v>
      </c>
      <c r="AY526" s="0" t="s">
        <v>184</v>
      </c>
      <c r="AZ526" s="0" t="str">
        <f aca="false">UPPER(IF(ISBLANK(AY526),"NONE",AY526))</f>
        <v>N/A</v>
      </c>
      <c r="BA526" s="7" t="n">
        <v>45965</v>
      </c>
      <c r="BB526" s="7" t="n">
        <f aca="false">IF(ISBLANK(BA526),"No Follow Up Needed",BA526)</f>
        <v>45965</v>
      </c>
      <c r="BD526" s="0" t="str">
        <f aca="false">PROPER(IF(ISBLANK(BC526),"Unknown",BC526))</f>
        <v>Unknown</v>
      </c>
      <c r="BF526" s="0" t="str">
        <f aca="false">IF(ISBLANK(BE526),"No comments",BE526)</f>
        <v>No comments</v>
      </c>
      <c r="BH526" s="0" t="str">
        <f aca="false">IF(ISBLANK(BG526),"No comments",BG526)</f>
        <v>No comments</v>
      </c>
      <c r="BI526" s="0" t="s">
        <v>50</v>
      </c>
      <c r="BJ526" s="0" t="str">
        <f aca="false">IF(ISBLANK(BI526),"Not Mentioned",BI526)</f>
        <v>No</v>
      </c>
      <c r="BK526" s="0" t="s">
        <v>61</v>
      </c>
      <c r="BL526" s="0" t="str">
        <f aca="false">PROPER(IF(ISBLANK(BK526),"Not Mentioned",BK526))</f>
        <v>No</v>
      </c>
      <c r="BM526" s="0" t="s">
        <v>63</v>
      </c>
      <c r="BN526" s="0" t="str">
        <f aca="false">PROPER(IF(ISBLANK(BM526),"Not Mentioned",BM526))</f>
        <v>Yes</v>
      </c>
      <c r="BO526" s="0" t="s">
        <v>2321</v>
      </c>
      <c r="BP526" s="0" t="str">
        <f aca="false">IF(ISBLANK(BO526),"One-Time Plan",BO526)</f>
        <v>One-Time Plan</v>
      </c>
      <c r="BQ526" s="0" t="s">
        <v>198</v>
      </c>
      <c r="BR526" s="0" t="str">
        <f aca="false">PROPER(IF(ISBLANK(BQ526),"No",BQ526))</f>
        <v>Followed Up</v>
      </c>
    </row>
    <row r="527" customFormat="false" ht="15" hidden="false" customHeight="false" outlineLevel="0" collapsed="false">
      <c r="A527" s="0" t="s">
        <v>1325</v>
      </c>
      <c r="B527" s="2" t="n">
        <v>45708</v>
      </c>
      <c r="C527" s="2" t="str">
        <f aca="false">TEXT(B527,"dd/mm/yyyy")</f>
        <v>20/02/2025</v>
      </c>
      <c r="D527" s="0" t="s">
        <v>105</v>
      </c>
      <c r="E527" s="0" t="n">
        <v>8060653170</v>
      </c>
      <c r="F527" s="0" t="s">
        <v>139</v>
      </c>
      <c r="G527" s="0" t="s">
        <v>2323</v>
      </c>
      <c r="H527" s="0" t="s">
        <v>1326</v>
      </c>
      <c r="I527" s="0" t="s">
        <v>134</v>
      </c>
      <c r="J527" s="0" t="s">
        <v>2325</v>
      </c>
      <c r="K527" s="3" t="str">
        <f aca="false" t="array" ref="K527:K527">IFERROR(IF(J527&lt;&gt;"",J527,INDEX(J527:J1526,MATCH(1,(F527:F1526=F527)*(I527:I1526=I527)*(L527:L1526=L527)*(J527:J1526&lt;&gt;""),0))),"Not Found")</f>
        <v>Engine Knocking</v>
      </c>
      <c r="L527" s="3" t="s">
        <v>108</v>
      </c>
      <c r="M527" s="0" t="str">
        <f aca="false">PROPER(L527)</f>
        <v>Timing Belt</v>
      </c>
      <c r="N527" s="3" t="s">
        <v>71</v>
      </c>
      <c r="O527" s="0" t="str">
        <f aca="false" t="array" ref="O527:O527">IF(N527&lt;&gt;"",N527,_xlfn.xlookup(1,(L527:L1526=L527)*(N527:N1526&lt;&gt;""),N527:N1526,"Not Found"))</f>
        <v>Isaac Bobo</v>
      </c>
      <c r="P527" s="4" t="n">
        <v>23949</v>
      </c>
      <c r="Q527" s="0" t="s">
        <v>91</v>
      </c>
      <c r="R527" s="0" t="str">
        <f aca="false">PROPER(Q527)</f>
        <v>Pos</v>
      </c>
      <c r="S527" s="0" t="s">
        <v>63</v>
      </c>
      <c r="T527" s="0" t="n">
        <v>3</v>
      </c>
      <c r="U527" s="5" t="n">
        <f aca="false">IF(ISBLANK(T527),AVERAGE(T527:T1526),T527)</f>
        <v>3</v>
      </c>
      <c r="V527" s="0" t="n">
        <v>3.3</v>
      </c>
      <c r="W527" s="0" t="s">
        <v>92</v>
      </c>
      <c r="X527" s="0" t="str">
        <f aca="false">IF(ISBLANK(W527),"No remarks",W527)</f>
        <v>Urgent service</v>
      </c>
      <c r="Y527" s="0" t="s">
        <v>93</v>
      </c>
      <c r="AA527" s="0" t="str">
        <f aca="false">PROPER(IF(ISBLANK(Z527),"Location Unavailable",Z527))</f>
        <v>Location Unavailable</v>
      </c>
      <c r="AB527" s="0" t="s">
        <v>75</v>
      </c>
      <c r="AC527" s="6" t="str">
        <f aca="false">PROPER(AB527)</f>
        <v>Mechanik Referal</v>
      </c>
      <c r="AD527" s="6" t="n">
        <v>15</v>
      </c>
      <c r="AE527" s="5" t="n">
        <f aca="false">IF(ISBLANK(AD527),AVERAGEIF(L527:L1526,L527,AD527:AD1526),AD527)</f>
        <v>15</v>
      </c>
      <c r="AF527" s="0" t="s">
        <v>112</v>
      </c>
      <c r="AG527" s="0" t="str">
        <f aca="false">PROPER(AF527)</f>
        <v>Unavailable</v>
      </c>
      <c r="AH527" s="0" t="s">
        <v>155</v>
      </c>
      <c r="AI527" s="0" t="s">
        <v>98</v>
      </c>
      <c r="AJ527" s="0" t="str">
        <f aca="false">PROPER(AI527)</f>
        <v>Emergency</v>
      </c>
      <c r="AK527" s="0" t="s">
        <v>196</v>
      </c>
      <c r="AL527" s="0" t="str">
        <f aca="false">PROPER(AK527)</f>
        <v>First Time</v>
      </c>
      <c r="AM527" s="0" t="s">
        <v>177</v>
      </c>
      <c r="AN527" s="0" t="str">
        <f aca="false">IF(ISBLANK(AM527),"Unknown",AM527)</f>
        <v>Private</v>
      </c>
      <c r="AO527" s="0" t="s">
        <v>149</v>
      </c>
      <c r="AP527" s="0" t="str">
        <f aca="false">IF(ISBLANK(AO527),"Unknown",AO527)</f>
        <v>Senior </v>
      </c>
      <c r="AQ527" s="0" t="n">
        <v>20000</v>
      </c>
      <c r="AR527" s="5" t="n">
        <f aca="false">IF(ISBLANK(AQ527),AVERAGEIF(M527:M1526,M527,AQ527:AQ1526),AQ527)</f>
        <v>20000</v>
      </c>
      <c r="AT527" s="5" t="n">
        <f aca="false">IF(ISBLANK(AS527),AVERAGE(AS527:AS1526),AS527)</f>
        <v>31549.1183879093</v>
      </c>
      <c r="AU527" s="0" t="s">
        <v>63</v>
      </c>
      <c r="AV527" s="0" t="str">
        <f aca="false">PROPER(IF(ISBLANK(AU527),"No",AU527))</f>
        <v>Yes</v>
      </c>
      <c r="AW527" s="0" t="n">
        <v>10000</v>
      </c>
      <c r="AX527" s="5" t="n">
        <f aca="false">IF(ISBLANK(AW527),0,AW527)</f>
        <v>10000</v>
      </c>
      <c r="AZ527" s="0" t="str">
        <f aca="false">UPPER(IF(ISBLANK(AY527),"NONE",AY527))</f>
        <v>NONE</v>
      </c>
      <c r="BB527" s="7" t="str">
        <f aca="false">IF(ISBLANK(BA527),"No Follow Up Needed",BA527)</f>
        <v>No Follow Up Needed</v>
      </c>
      <c r="BC527" s="0" t="s">
        <v>61</v>
      </c>
      <c r="BD527" s="0" t="str">
        <f aca="false">PROPER(IF(ISBLANK(BC527),"Unknown",BC527))</f>
        <v>No</v>
      </c>
      <c r="BF527" s="0" t="str">
        <f aca="false">IF(ISBLANK(BE527),"No comments",BE527)</f>
        <v>No comments</v>
      </c>
      <c r="BG527" s="0" t="s">
        <v>172</v>
      </c>
      <c r="BH527" s="0" t="str">
        <f aca="false">IF(ISBLANK(BG527),"No comments",BG527)</f>
        <v>Always late</v>
      </c>
      <c r="BI527" s="0" t="s">
        <v>63</v>
      </c>
      <c r="BJ527" s="0" t="str">
        <f aca="false">IF(ISBLANK(BI527),"Not Mentioned",BI527)</f>
        <v>Yes</v>
      </c>
      <c r="BK527" s="0" t="s">
        <v>50</v>
      </c>
      <c r="BL527" s="0" t="str">
        <f aca="false">PROPER(IF(ISBLANK(BK527),"Not Mentioned",BK527))</f>
        <v>No</v>
      </c>
      <c r="BN527" s="0" t="str">
        <f aca="false">PROPER(IF(ISBLANK(BM527),"Not Mentioned",BM527))</f>
        <v>Not Mentioned</v>
      </c>
      <c r="BP527" s="0" t="str">
        <f aca="false">IF(ISBLANK(BO527),"One-Time Plan",BO527)</f>
        <v>One-Time Plan</v>
      </c>
      <c r="BQ527" s="0" t="s">
        <v>63</v>
      </c>
      <c r="BR527" s="0" t="str">
        <f aca="false">PROPER(IF(ISBLANK(BQ527),"No",BQ527))</f>
        <v>Yes</v>
      </c>
    </row>
    <row r="528" customFormat="false" ht="15" hidden="false" customHeight="false" outlineLevel="0" collapsed="false">
      <c r="A528" s="0" t="s">
        <v>1327</v>
      </c>
      <c r="B528" s="2" t="n">
        <v>45777</v>
      </c>
      <c r="C528" s="2" t="str">
        <f aca="false">TEXT(B528,"dd/mm/yyyy")</f>
        <v>30/04/2025</v>
      </c>
      <c r="D528" s="0" t="s">
        <v>66</v>
      </c>
      <c r="E528" s="0" t="n">
        <v>8037076822</v>
      </c>
      <c r="F528" s="0" t="s">
        <v>43</v>
      </c>
      <c r="G528" s="0" t="s">
        <v>2315</v>
      </c>
      <c r="H528" s="0" t="s">
        <v>1297</v>
      </c>
      <c r="I528" s="0" t="s">
        <v>134</v>
      </c>
      <c r="J528" s="0" t="s">
        <v>2317</v>
      </c>
      <c r="K528" s="3" t="str">
        <f aca="false" t="array" ref="K528:K528">IFERROR(IF(J528&lt;&gt;"",J528,INDEX(J528:J1527,MATCH(1,(F528:F1527=F528)*(I528:I1527=I528)*(L528:L1527=L528)*(J528:J1527&lt;&gt;""),0))),"Not Found")</f>
        <v>Suspension Noise</v>
      </c>
      <c r="L528" s="3" t="s">
        <v>154</v>
      </c>
      <c r="M528" s="0" t="str">
        <f aca="false">PROPER(L528)</f>
        <v>Air Filter</v>
      </c>
      <c r="N528" s="3" t="s">
        <v>109</v>
      </c>
      <c r="O528" s="0" t="str">
        <f aca="false" t="array" ref="O528:O528">IF(N528&lt;&gt;"",N528,_xlfn.xlookup(1,(L528:L1527=L528)*(N528:N1527&lt;&gt;""),N528:N1527,"Not Found"))</f>
        <v>Tijani</v>
      </c>
      <c r="P528" s="4" t="n">
        <v>27938</v>
      </c>
      <c r="Q528" s="0" t="s">
        <v>166</v>
      </c>
      <c r="R528" s="0" t="str">
        <f aca="false">PROPER(Q528)</f>
        <v>Transfer</v>
      </c>
      <c r="S528" s="0" t="s">
        <v>50</v>
      </c>
      <c r="T528" s="0" t="n">
        <v>1</v>
      </c>
      <c r="U528" s="5" t="n">
        <f aca="false">IF(ISBLANK(T528),AVERAGE(T528:T1527),T528)</f>
        <v>1</v>
      </c>
      <c r="V528" s="0" t="n">
        <v>3.6</v>
      </c>
      <c r="W528" s="0" t="s">
        <v>92</v>
      </c>
      <c r="X528" s="0" t="str">
        <f aca="false">IF(ISBLANK(W528),"No remarks",W528)</f>
        <v>Urgent service</v>
      </c>
      <c r="Y528" s="0" t="s">
        <v>93</v>
      </c>
      <c r="Z528" s="0" t="s">
        <v>136</v>
      </c>
      <c r="AA528" s="0" t="str">
        <f aca="false">PROPER(IF(ISBLANK(Z528),"Location Unavailable",Z528))</f>
        <v>Vip Section</v>
      </c>
      <c r="AB528" s="0" t="s">
        <v>126</v>
      </c>
      <c r="AC528" s="6" t="str">
        <f aca="false">PROPER(AB528)</f>
        <v>Whatsapp</v>
      </c>
      <c r="AE528" s="5" t="n">
        <f aca="false">IF(ISBLANK(AD528),AVERAGEIF(L528:L1527,L528,AD528:AD1527),AD528)</f>
        <v>36.5131578947368</v>
      </c>
      <c r="AF528" s="0" t="s">
        <v>96</v>
      </c>
      <c r="AG528" s="0" t="str">
        <f aca="false">PROPER(AF528)</f>
        <v>Ordered</v>
      </c>
      <c r="AH528" s="0" t="s">
        <v>155</v>
      </c>
      <c r="AI528" s="0" t="s">
        <v>128</v>
      </c>
      <c r="AJ528" s="0" t="str">
        <f aca="false">PROPER(AI528)</f>
        <v>Normal</v>
      </c>
      <c r="AK528" s="0" t="s">
        <v>196</v>
      </c>
      <c r="AL528" s="0" t="str">
        <f aca="false">PROPER(AK528)</f>
        <v>First Time</v>
      </c>
      <c r="AM528" s="0" t="s">
        <v>59</v>
      </c>
      <c r="AN528" s="0" t="str">
        <f aca="false">IF(ISBLANK(AM528),"Unknown",AM528)</f>
        <v>Bolt Driver</v>
      </c>
      <c r="AO528" s="0" t="s">
        <v>161</v>
      </c>
      <c r="AP528" s="0" t="str">
        <f aca="false">IF(ISBLANK(AO528),"Unknown",AO528)</f>
        <v>Apprentice</v>
      </c>
      <c r="AQ528" s="0" t="n">
        <v>40000</v>
      </c>
      <c r="AR528" s="5" t="n">
        <f aca="false">IF(ISBLANK(AQ528),AVERAGEIF(M528:M1527,M528,AQ528:AQ1527),AQ528)</f>
        <v>40000</v>
      </c>
      <c r="AS528" s="0" t="n">
        <v>30000</v>
      </c>
      <c r="AT528" s="5" t="n">
        <f aca="false">IF(ISBLANK(AS528),AVERAGE(AS528:AS1527),AS528)</f>
        <v>30000</v>
      </c>
      <c r="AU528" s="0" t="s">
        <v>63</v>
      </c>
      <c r="AV528" s="0" t="str">
        <f aca="false">PROPER(IF(ISBLANK(AU528),"No",AU528))</f>
        <v>Yes</v>
      </c>
      <c r="AW528" s="0" t="n">
        <v>5000</v>
      </c>
      <c r="AX528" s="5" t="n">
        <f aca="false">IF(ISBLANK(AW528),0,AW528)</f>
        <v>5000</v>
      </c>
      <c r="AZ528" s="0" t="str">
        <f aca="false">UPPER(IF(ISBLANK(AY528),"NONE",AY528))</f>
        <v>NONE</v>
      </c>
      <c r="BA528" s="7" t="s">
        <v>1108</v>
      </c>
      <c r="BB528" s="7" t="str">
        <f aca="false">IF(ISBLANK(BA528),"No Follow Up Needed",BA528)</f>
        <v>31/12/2025</v>
      </c>
      <c r="BD528" s="0" t="str">
        <f aca="false">PROPER(IF(ISBLANK(BC528),"Unknown",BC528))</f>
        <v>Unknown</v>
      </c>
      <c r="BE528" s="0" t="s">
        <v>171</v>
      </c>
      <c r="BF528" s="0" t="str">
        <f aca="false">IF(ISBLANK(BE528),"No comments",BE528)</f>
        <v>Shock absorber weakening</v>
      </c>
      <c r="BH528" s="0" t="str">
        <f aca="false">IF(ISBLANK(BG528),"No comments",BG528)</f>
        <v>No comments</v>
      </c>
      <c r="BI528" s="0" t="s">
        <v>50</v>
      </c>
      <c r="BJ528" s="0" t="str">
        <f aca="false">IF(ISBLANK(BI528),"Not Mentioned",BI528)</f>
        <v>No</v>
      </c>
      <c r="BK528" s="0" t="s">
        <v>63</v>
      </c>
      <c r="BL528" s="0" t="str">
        <f aca="false">PROPER(IF(ISBLANK(BK528),"Not Mentioned",BK528))</f>
        <v>Yes</v>
      </c>
      <c r="BM528" s="0" t="s">
        <v>63</v>
      </c>
      <c r="BN528" s="0" t="str">
        <f aca="false">PROPER(IF(ISBLANK(BM528),"Not Mentioned",BM528))</f>
        <v>Yes</v>
      </c>
      <c r="BO528" s="0" t="s">
        <v>64</v>
      </c>
      <c r="BP528" s="0" t="str">
        <f aca="false">IF(ISBLANK(BO528),"One-Time Plan",BO528)</f>
        <v>Gold Maintenance Plan</v>
      </c>
      <c r="BQ528" s="0" t="s">
        <v>190</v>
      </c>
      <c r="BR528" s="0" t="str">
        <f aca="false">PROPER(IF(ISBLANK(BQ528),"No",BQ528))</f>
        <v>Yes</v>
      </c>
    </row>
    <row r="529" customFormat="false" ht="15" hidden="false" customHeight="false" outlineLevel="0" collapsed="false">
      <c r="A529" s="0" t="s">
        <v>1328</v>
      </c>
      <c r="B529" s="2" t="n">
        <v>45691</v>
      </c>
      <c r="C529" s="2" t="str">
        <f aca="false">TEXT(B529,"dd/mm/yyyy")</f>
        <v>03/02/2025</v>
      </c>
      <c r="D529" s="0" t="s">
        <v>121</v>
      </c>
      <c r="E529" s="0" t="n">
        <v>8043514137</v>
      </c>
      <c r="F529" s="0" t="s">
        <v>43</v>
      </c>
      <c r="G529" s="0" t="s">
        <v>2315</v>
      </c>
      <c r="H529" s="0" t="s">
        <v>1329</v>
      </c>
      <c r="I529" s="0" t="s">
        <v>45</v>
      </c>
      <c r="J529" s="0" t="s">
        <v>2317</v>
      </c>
      <c r="K529" s="3" t="str">
        <f aca="false" t="array" ref="K529:K529">IFERROR(IF(J529&lt;&gt;"",J529,INDEX(J529:J1528,MATCH(1,(F529:F1528=F529)*(I529:I1528=I529)*(L529:L1528=L529)*(J529:J1528&lt;&gt;""),0))),"Not Found")</f>
        <v>Suspension Noise</v>
      </c>
      <c r="L529" s="3" t="s">
        <v>142</v>
      </c>
      <c r="M529" s="0" t="str">
        <f aca="false">PROPER(L529)</f>
        <v>Oil Filter, Brake Pads</v>
      </c>
      <c r="N529" s="3" t="s">
        <v>48</v>
      </c>
      <c r="O529" s="0" t="str">
        <f aca="false" t="array" ref="O529:O529">IF(N529&lt;&gt;"",N529,_xlfn.xlookup(1,(L529:L1528=L529)*(N529:N1528&lt;&gt;""),N529:N1528,"Not Found"))</f>
        <v>Uche</v>
      </c>
      <c r="P529" s="4" t="n">
        <v>119677</v>
      </c>
      <c r="Q529" s="0" t="s">
        <v>110</v>
      </c>
      <c r="R529" s="0" t="str">
        <f aca="false">PROPER(Q529)</f>
        <v>Cash</v>
      </c>
      <c r="S529" s="0" t="s">
        <v>63</v>
      </c>
      <c r="T529" s="0" t="n">
        <v>5</v>
      </c>
      <c r="U529" s="5" t="n">
        <f aca="false">IF(ISBLANK(T529),AVERAGE(T529:T1528),T529)</f>
        <v>5</v>
      </c>
      <c r="V529" s="0" t="n">
        <v>3.9</v>
      </c>
      <c r="W529" s="0" t="s">
        <v>51</v>
      </c>
      <c r="X529" s="0" t="str">
        <f aca="false">IF(ISBLANK(W529),"No remarks",W529)</f>
        <v>Recommended further checks</v>
      </c>
      <c r="Y529" s="0" t="s">
        <v>52</v>
      </c>
      <c r="Z529" s="0" t="s">
        <v>53</v>
      </c>
      <c r="AA529" s="0" t="str">
        <f aca="false">PROPER(IF(ISBLANK(Z529),"Location Unavailable",Z529))</f>
        <v>Main Bay</v>
      </c>
      <c r="AB529" s="0" t="s">
        <v>147</v>
      </c>
      <c r="AC529" s="6" t="str">
        <f aca="false">PROPER(AB529)</f>
        <v>Instagram</v>
      </c>
      <c r="AD529" s="6" t="n">
        <v>15</v>
      </c>
      <c r="AE529" s="5" t="n">
        <f aca="false">IF(ISBLANK(AD529),AVERAGEIF(L529:L1528,L529,AD529:AD1528),AD529)</f>
        <v>15</v>
      </c>
      <c r="AF529" s="0" t="s">
        <v>160</v>
      </c>
      <c r="AG529" s="0" t="str">
        <f aca="false">PROPER(AF529)</f>
        <v>Availaible</v>
      </c>
      <c r="AH529" s="0" t="s">
        <v>56</v>
      </c>
      <c r="AI529" s="0" t="s">
        <v>98</v>
      </c>
      <c r="AJ529" s="0" t="str">
        <f aca="false">PROPER(AI529)</f>
        <v>Emergency</v>
      </c>
      <c r="AK529" s="0" t="s">
        <v>196</v>
      </c>
      <c r="AL529" s="0" t="str">
        <f aca="false">PROPER(AK529)</f>
        <v>First Time</v>
      </c>
      <c r="AM529" s="0" t="s">
        <v>177</v>
      </c>
      <c r="AN529" s="0" t="str">
        <f aca="false">IF(ISBLANK(AM529),"Unknown",AM529)</f>
        <v>Private</v>
      </c>
      <c r="AO529" s="0" t="s">
        <v>161</v>
      </c>
      <c r="AP529" s="0" t="str">
        <f aca="false">IF(ISBLANK(AO529),"Unknown",AO529)</f>
        <v>Apprentice</v>
      </c>
      <c r="AQ529" s="0" t="n">
        <v>20000</v>
      </c>
      <c r="AR529" s="5" t="n">
        <f aca="false">IF(ISBLANK(AQ529),AVERAGEIF(M529:M1528,M529,AQ529:AQ1528),AQ529)</f>
        <v>20000</v>
      </c>
      <c r="AS529" s="0" t="n">
        <v>30000</v>
      </c>
      <c r="AT529" s="5" t="n">
        <f aca="false">IF(ISBLANK(AS529),AVERAGE(AS529:AS1528),AS529)</f>
        <v>30000</v>
      </c>
      <c r="AV529" s="0" t="str">
        <f aca="false">PROPER(IF(ISBLANK(AU529),"No",AU529))</f>
        <v>No</v>
      </c>
      <c r="AW529" s="0" t="n">
        <v>5000</v>
      </c>
      <c r="AX529" s="5" t="n">
        <f aca="false">IF(ISBLANK(AW529),0,AW529)</f>
        <v>5000</v>
      </c>
      <c r="AY529" s="0" t="s">
        <v>184</v>
      </c>
      <c r="AZ529" s="0" t="str">
        <f aca="false">UPPER(IF(ISBLANK(AY529),"NONE",AY529))</f>
        <v>N/A</v>
      </c>
      <c r="BA529" s="7" t="n">
        <v>46009</v>
      </c>
      <c r="BB529" s="7" t="n">
        <f aca="false">IF(ISBLANK(BA529),"No Follow Up Needed",BA529)</f>
        <v>46009</v>
      </c>
      <c r="BC529" s="0" t="s">
        <v>50</v>
      </c>
      <c r="BD529" s="0" t="str">
        <f aca="false">PROPER(IF(ISBLANK(BC529),"Unknown",BC529))</f>
        <v>No</v>
      </c>
      <c r="BE529" s="0" t="s">
        <v>116</v>
      </c>
      <c r="BF529" s="0" t="str">
        <f aca="false">IF(ISBLANK(BE529),"No comments",BE529)</f>
        <v>Needs tire alignment</v>
      </c>
      <c r="BH529" s="0" t="str">
        <f aca="false">IF(ISBLANK(BG529),"No comments",BG529)</f>
        <v>No comments</v>
      </c>
      <c r="BJ529" s="0" t="str">
        <f aca="false">IF(ISBLANK(BI529),"Not Mentioned",BI529)</f>
        <v>Not Mentioned</v>
      </c>
      <c r="BK529" s="0" t="s">
        <v>61</v>
      </c>
      <c r="BL529" s="0" t="str">
        <f aca="false">PROPER(IF(ISBLANK(BK529),"Not Mentioned",BK529))</f>
        <v>No</v>
      </c>
      <c r="BN529" s="0" t="str">
        <f aca="false">PROPER(IF(ISBLANK(BM529),"Not Mentioned",BM529))</f>
        <v>Not Mentioned</v>
      </c>
      <c r="BO529" s="0" t="s">
        <v>2321</v>
      </c>
      <c r="BP529" s="0" t="str">
        <f aca="false">IF(ISBLANK(BO529),"One-Time Plan",BO529)</f>
        <v>One-Time Plan</v>
      </c>
      <c r="BQ529" s="0" t="s">
        <v>198</v>
      </c>
      <c r="BR529" s="0" t="str">
        <f aca="false">PROPER(IF(ISBLANK(BQ529),"No",BQ529))</f>
        <v>Followed Up</v>
      </c>
    </row>
    <row r="530" customFormat="false" ht="15" hidden="false" customHeight="false" outlineLevel="0" collapsed="false">
      <c r="A530" s="0" t="s">
        <v>1330</v>
      </c>
      <c r="B530" s="2" t="n">
        <v>45822</v>
      </c>
      <c r="C530" s="2" t="str">
        <f aca="false">TEXT(B530,"dd/mm/yyyy")</f>
        <v>14/06/2025</v>
      </c>
      <c r="D530" s="0" t="s">
        <v>42</v>
      </c>
      <c r="E530" s="0" t="n">
        <v>8060283960</v>
      </c>
      <c r="F530" s="0" t="s">
        <v>139</v>
      </c>
      <c r="G530" s="0" t="s">
        <v>2323</v>
      </c>
      <c r="H530" s="0" t="s">
        <v>1331</v>
      </c>
      <c r="I530" s="0" t="s">
        <v>87</v>
      </c>
      <c r="K530" s="3" t="str">
        <f aca="false" t="array" ref="K530:K530">IFERROR(IF(J530&lt;&gt;"",J530,INDEX(J530:J1529,MATCH(1,(F530:F1529=F530)*(I530:I1529=I530)*(L530:L1529=L530)*(J530:J1529&lt;&gt;""),0))),"Not Found")</f>
        <v>Engine Knocking</v>
      </c>
      <c r="L530" s="3" t="s">
        <v>189</v>
      </c>
      <c r="M530" s="0" t="str">
        <f aca="false">PROPER(L530)</f>
        <v>Battery</v>
      </c>
      <c r="O530" s="0" t="e">
        <f aca="false" t="array" ref="O530:O530">IF(N530&lt;&gt;"",N530,_xlfn.xlookup(1,(L530:L1529=L530)*(N530:N1529&lt;&gt;""),N530:N1529,"Not Found"))</f>
        <v>#NAME?</v>
      </c>
      <c r="P530" s="4" t="n">
        <v>116179</v>
      </c>
      <c r="Q530" s="0" t="s">
        <v>124</v>
      </c>
      <c r="R530" s="0" t="str">
        <f aca="false">PROPER(Q530)</f>
        <v>Cash</v>
      </c>
      <c r="S530" s="0" t="s">
        <v>63</v>
      </c>
      <c r="T530" s="0" t="n">
        <v>3</v>
      </c>
      <c r="U530" s="5" t="n">
        <f aca="false">IF(ISBLANK(T530),AVERAGE(T530:T1529),T530)</f>
        <v>3</v>
      </c>
      <c r="V530" s="0" t="n">
        <v>4</v>
      </c>
      <c r="W530" s="0" t="s">
        <v>51</v>
      </c>
      <c r="X530" s="0" t="str">
        <f aca="false">IF(ISBLANK(W530),"No remarks",W530)</f>
        <v>Recommended further checks</v>
      </c>
      <c r="Y530" s="0" t="s">
        <v>93</v>
      </c>
      <c r="Z530" s="0" t="s">
        <v>74</v>
      </c>
      <c r="AA530" s="0" t="str">
        <f aca="false">PROPER(IF(ISBLANK(Z530),"Location Unavailable",Z530))</f>
        <v>Under Tree</v>
      </c>
      <c r="AB530" s="0" t="s">
        <v>147</v>
      </c>
      <c r="AC530" s="6" t="str">
        <f aca="false">PROPER(AB530)</f>
        <v>Instagram</v>
      </c>
      <c r="AD530" s="6" t="n">
        <v>45</v>
      </c>
      <c r="AE530" s="5" t="n">
        <f aca="false">IF(ISBLANK(AD530),AVERAGEIF(L530:L1529,L530,AD530:AD1529),AD530)</f>
        <v>45</v>
      </c>
      <c r="AF530" s="0" t="s">
        <v>55</v>
      </c>
      <c r="AG530" s="0" t="str">
        <f aca="false">PROPER(AF530)</f>
        <v>Available</v>
      </c>
      <c r="AH530" s="0" t="s">
        <v>155</v>
      </c>
      <c r="AI530" s="0" t="s">
        <v>98</v>
      </c>
      <c r="AJ530" s="0" t="str">
        <f aca="false">PROPER(AI530)</f>
        <v>Emergency</v>
      </c>
      <c r="AK530" s="0" t="s">
        <v>99</v>
      </c>
      <c r="AL530" s="0" t="str">
        <f aca="false">PROPER(AK530)</f>
        <v>Uber Driver</v>
      </c>
      <c r="AM530" s="0" t="s">
        <v>59</v>
      </c>
      <c r="AN530" s="0" t="str">
        <f aca="false">IF(ISBLANK(AM530),"Unknown",AM530)</f>
        <v>Bolt Driver</v>
      </c>
      <c r="AO530" s="0" t="s">
        <v>79</v>
      </c>
      <c r="AP530" s="0" t="str">
        <f aca="false">IF(ISBLANK(AO530),"Unknown",AO530)</f>
        <v>Specialist</v>
      </c>
      <c r="AR530" s="5" t="n">
        <f aca="false">IF(ISBLANK(AQ530),AVERAGEIF(M530:M1529,M530,AQ530:AQ1529),AQ530)</f>
        <v>25100</v>
      </c>
      <c r="AT530" s="5" t="n">
        <f aca="false">IF(ISBLANK(AS530),AVERAGE(AS530:AS1529),AS530)</f>
        <v>31556.9620253165</v>
      </c>
      <c r="AV530" s="0" t="str">
        <f aca="false">PROPER(IF(ISBLANK(AU530),"No",AU530))</f>
        <v>No</v>
      </c>
      <c r="AW530" s="0" t="n">
        <v>5000</v>
      </c>
      <c r="AX530" s="5" t="n">
        <f aca="false">IF(ISBLANK(AW530),0,AW530)</f>
        <v>5000</v>
      </c>
      <c r="AZ530" s="0" t="str">
        <f aca="false">UPPER(IF(ISBLANK(AY530),"NONE",AY530))</f>
        <v>NONE</v>
      </c>
      <c r="BB530" s="7" t="str">
        <f aca="false">IF(ISBLANK(BA530),"No Follow Up Needed",BA530)</f>
        <v>No Follow Up Needed</v>
      </c>
      <c r="BC530" s="0" t="s">
        <v>82</v>
      </c>
      <c r="BD530" s="0" t="str">
        <f aca="false">PROPER(IF(ISBLANK(BC530),"Unknown",BC530))</f>
        <v>Yes</v>
      </c>
      <c r="BF530" s="0" t="str">
        <f aca="false">IF(ISBLANK(BE530),"No comments",BE530)</f>
        <v>No comments</v>
      </c>
      <c r="BG530" s="0" t="s">
        <v>117</v>
      </c>
      <c r="BH530" s="0" t="str">
        <f aca="false">IF(ISBLANK(BG530),"No comments",BG530)</f>
        <v>Prefers morning</v>
      </c>
      <c r="BI530" s="0" t="s">
        <v>50</v>
      </c>
      <c r="BJ530" s="0" t="str">
        <f aca="false">IF(ISBLANK(BI530),"Not Mentioned",BI530)</f>
        <v>No</v>
      </c>
      <c r="BK530" s="0" t="s">
        <v>50</v>
      </c>
      <c r="BL530" s="0" t="str">
        <f aca="false">PROPER(IF(ISBLANK(BK530),"Not Mentioned",BK530))</f>
        <v>No</v>
      </c>
      <c r="BM530" s="0" t="s">
        <v>63</v>
      </c>
      <c r="BN530" s="0" t="str">
        <f aca="false">PROPER(IF(ISBLANK(BM530),"Not Mentioned",BM530))</f>
        <v>Yes</v>
      </c>
      <c r="BP530" s="0" t="str">
        <f aca="false">IF(ISBLANK(BO530),"One-Time Plan",BO530)</f>
        <v>One-Time Plan</v>
      </c>
      <c r="BQ530" s="0" t="s">
        <v>50</v>
      </c>
      <c r="BR530" s="0" t="str">
        <f aca="false">PROPER(IF(ISBLANK(BQ530),"No",BQ530))</f>
        <v>No</v>
      </c>
    </row>
    <row r="531" customFormat="false" ht="15" hidden="false" customHeight="false" outlineLevel="0" collapsed="false">
      <c r="A531" s="0" t="s">
        <v>1332</v>
      </c>
      <c r="B531" s="2" t="n">
        <v>45777</v>
      </c>
      <c r="C531" s="2" t="str">
        <f aca="false">TEXT(B531,"dd/mm/yyyy")</f>
        <v>30/04/2025</v>
      </c>
      <c r="D531" s="0" t="s">
        <v>105</v>
      </c>
      <c r="E531" s="0" t="n">
        <v>8042016340</v>
      </c>
      <c r="F531" s="0" t="s">
        <v>122</v>
      </c>
      <c r="G531" s="0" t="s">
        <v>2316</v>
      </c>
      <c r="H531" s="0" t="s">
        <v>1096</v>
      </c>
      <c r="I531" s="0" t="s">
        <v>107</v>
      </c>
      <c r="J531" s="0" t="s">
        <v>87</v>
      </c>
      <c r="K531" s="3" t="str">
        <f aca="false" t="array" ref="K531:K531">IFERROR(IF(J531&lt;&gt;"",J531,INDEX(J531:J1530,MATCH(1,(F531:F1530=F531)*(I531:I1530=I531)*(L531:L1530=L531)*(J531:J1530&lt;&gt;""),0))),"Not Found")</f>
        <v>Oil Change</v>
      </c>
      <c r="L531" s="3" t="s">
        <v>108</v>
      </c>
      <c r="M531" s="0" t="str">
        <f aca="false">PROPER(L531)</f>
        <v>Timing Belt</v>
      </c>
      <c r="N531" s="3" t="s">
        <v>90</v>
      </c>
      <c r="O531" s="0" t="str">
        <f aca="false" t="array" ref="O531:O531">IF(N531&lt;&gt;"",N531,_xlfn.xlookup(1,(L531:L1530=L531)*(N531:N1530&lt;&gt;""),N531:N1530,"Not Found"))</f>
        <v>Musa</v>
      </c>
      <c r="P531" s="4" t="n">
        <v>42912</v>
      </c>
      <c r="Q531" s="0" t="s">
        <v>72</v>
      </c>
      <c r="R531" s="0" t="str">
        <f aca="false">PROPER(Q531)</f>
        <v>Pos</v>
      </c>
      <c r="S531" s="0" t="s">
        <v>63</v>
      </c>
      <c r="T531" s="0" t="n">
        <v>2</v>
      </c>
      <c r="U531" s="5" t="n">
        <f aca="false">IF(ISBLANK(T531),AVERAGE(T531:T1530),T531)</f>
        <v>2</v>
      </c>
      <c r="V531" s="0" t="n">
        <v>5</v>
      </c>
      <c r="W531" s="0" t="s">
        <v>92</v>
      </c>
      <c r="X531" s="0" t="str">
        <f aca="false">IF(ISBLANK(W531),"No remarks",W531)</f>
        <v>Urgent service</v>
      </c>
      <c r="Y531" s="0" t="s">
        <v>93</v>
      </c>
      <c r="Z531" s="0" t="s">
        <v>159</v>
      </c>
      <c r="AA531" s="0" t="str">
        <f aca="false">PROPER(IF(ISBLANK(Z531),"Location Unavailable",Z531))</f>
        <v>Main Bay</v>
      </c>
      <c r="AB531" s="0" t="s">
        <v>167</v>
      </c>
      <c r="AC531" s="6" t="str">
        <f aca="false">PROPER(AB531)</f>
        <v>Word Of Mouth</v>
      </c>
      <c r="AE531" s="5" t="n">
        <f aca="false">IF(ISBLANK(AD531),AVERAGEIF(L531:L1530,L531,AD531:AD1530),AD531)</f>
        <v>38.5416666666667</v>
      </c>
      <c r="AF531" s="0" t="s">
        <v>112</v>
      </c>
      <c r="AG531" s="0" t="str">
        <f aca="false">PROPER(AF531)</f>
        <v>Unavailable</v>
      </c>
      <c r="AH531" s="0" t="s">
        <v>77</v>
      </c>
      <c r="AI531" s="0" t="s">
        <v>98</v>
      </c>
      <c r="AJ531" s="0" t="str">
        <f aca="false">PROPER(AI531)</f>
        <v>Emergency</v>
      </c>
      <c r="AK531" s="0" t="s">
        <v>196</v>
      </c>
      <c r="AL531" s="0" t="str">
        <f aca="false">PROPER(AK531)</f>
        <v>First Time</v>
      </c>
      <c r="AN531" s="0" t="str">
        <f aca="false">IF(ISBLANK(AM531),"Unknown",AM531)</f>
        <v>Unknown</v>
      </c>
      <c r="AO531" s="0" t="s">
        <v>79</v>
      </c>
      <c r="AP531" s="0" t="str">
        <f aca="false">IF(ISBLANK(AO531),"Unknown",AO531)</f>
        <v>Specialist</v>
      </c>
      <c r="AQ531" s="0" t="n">
        <v>30000</v>
      </c>
      <c r="AR531" s="5" t="n">
        <f aca="false">IF(ISBLANK(AQ531),AVERAGEIF(M531:M1530,M531,AQ531:AQ1530),AQ531)</f>
        <v>30000</v>
      </c>
      <c r="AS531" s="0" t="n">
        <v>20000</v>
      </c>
      <c r="AT531" s="5" t="n">
        <f aca="false">IF(ISBLANK(AS531),AVERAGE(AS531:AS1530),AS531)</f>
        <v>20000</v>
      </c>
      <c r="AU531" s="0" t="s">
        <v>50</v>
      </c>
      <c r="AV531" s="0" t="str">
        <f aca="false">PROPER(IF(ISBLANK(AU531),"No",AU531))</f>
        <v>No</v>
      </c>
      <c r="AW531" s="0" t="n">
        <v>5000</v>
      </c>
      <c r="AX531" s="5" t="n">
        <f aca="false">IF(ISBLANK(AW531),0,AW531)</f>
        <v>5000</v>
      </c>
      <c r="AY531" s="0" t="s">
        <v>130</v>
      </c>
      <c r="AZ531" s="0" t="str">
        <f aca="false">UPPER(IF(ISBLANK(AY531),"NONE",AY531))</f>
        <v>LOYALTY10</v>
      </c>
      <c r="BA531" s="7" t="n">
        <v>46000</v>
      </c>
      <c r="BB531" s="7" t="n">
        <f aca="false">IF(ISBLANK(BA531),"No Follow Up Needed",BA531)</f>
        <v>46000</v>
      </c>
      <c r="BC531" s="0" t="s">
        <v>82</v>
      </c>
      <c r="BD531" s="0" t="str">
        <f aca="false">PROPER(IF(ISBLANK(BC531),"Unknown",BC531))</f>
        <v>Yes</v>
      </c>
      <c r="BE531" s="0" t="s">
        <v>116</v>
      </c>
      <c r="BF531" s="0" t="str">
        <f aca="false">IF(ISBLANK(BE531),"No comments",BE531)</f>
        <v>Needs tire alignment</v>
      </c>
      <c r="BG531" s="0" t="s">
        <v>2320</v>
      </c>
      <c r="BH531" s="0" t="str">
        <f aca="false">IF(ISBLANK(BG531),"No comments",BG531)</f>
        <v>No complaints</v>
      </c>
      <c r="BI531" s="0" t="s">
        <v>50</v>
      </c>
      <c r="BJ531" s="0" t="str">
        <f aca="false">IF(ISBLANK(BI531),"Not Mentioned",BI531)</f>
        <v>No</v>
      </c>
      <c r="BL531" s="0" t="str">
        <f aca="false">PROPER(IF(ISBLANK(BK531),"Not Mentioned",BK531))</f>
        <v>Not Mentioned</v>
      </c>
      <c r="BM531" s="0" t="s">
        <v>63</v>
      </c>
      <c r="BN531" s="0" t="str">
        <f aca="false">PROPER(IF(ISBLANK(BM531),"Not Mentioned",BM531))</f>
        <v>Yes</v>
      </c>
      <c r="BO531" s="0" t="s">
        <v>2318</v>
      </c>
      <c r="BP531" s="0" t="str">
        <f aca="false">IF(ISBLANK(BO531),"One-Time Plan",BO531)</f>
        <v>Gold</v>
      </c>
      <c r="BQ531" s="0" t="s">
        <v>50</v>
      </c>
      <c r="BR531" s="0" t="str">
        <f aca="false">PROPER(IF(ISBLANK(BQ531),"No",BQ531))</f>
        <v>No</v>
      </c>
    </row>
    <row r="532" customFormat="false" ht="15" hidden="false" customHeight="false" outlineLevel="0" collapsed="false">
      <c r="A532" s="0" t="s">
        <v>1333</v>
      </c>
      <c r="B532" s="2" t="n">
        <v>45844</v>
      </c>
      <c r="C532" s="2" t="str">
        <f aca="false">TEXT(B532,"dd/mm/yyyy")</f>
        <v>06/07/2025</v>
      </c>
      <c r="D532" s="0" t="s">
        <v>121</v>
      </c>
      <c r="E532" s="0" t="n">
        <v>8036841625</v>
      </c>
      <c r="F532" s="0" t="s">
        <v>139</v>
      </c>
      <c r="G532" s="0" t="s">
        <v>2323</v>
      </c>
      <c r="H532" s="0" t="s">
        <v>1334</v>
      </c>
      <c r="I532" s="0" t="s">
        <v>134</v>
      </c>
      <c r="J532" s="0" t="s">
        <v>2325</v>
      </c>
      <c r="K532" s="3" t="str">
        <f aca="false" t="array" ref="K532:K532">IFERROR(IF(J532&lt;&gt;"",J532,INDEX(J532:J1531,MATCH(1,(F532:F1531=F532)*(I532:I1531=I532)*(L532:L1531=L532)*(J532:J1531&lt;&gt;""),0))),"Not Found")</f>
        <v>Engine Knocking</v>
      </c>
      <c r="L532" s="3" t="s">
        <v>47</v>
      </c>
      <c r="M532" s="0" t="str">
        <f aca="false">PROPER(L532)</f>
        <v>None</v>
      </c>
      <c r="N532" s="3" t="s">
        <v>109</v>
      </c>
      <c r="O532" s="0" t="str">
        <f aca="false" t="array" ref="O532:O532">IF(N532&lt;&gt;"",N532,_xlfn.xlookup(1,(L532:L1531=L532)*(N532:N1531&lt;&gt;""),N532:N1531,"Not Found"))</f>
        <v>Tijani</v>
      </c>
      <c r="P532" s="4" t="n">
        <v>70521</v>
      </c>
      <c r="Q532" s="0" t="s">
        <v>72</v>
      </c>
      <c r="R532" s="0" t="str">
        <f aca="false">PROPER(Q532)</f>
        <v>Pos</v>
      </c>
      <c r="S532" s="0" t="s">
        <v>50</v>
      </c>
      <c r="U532" s="5" t="n">
        <f aca="false">IF(ISBLANK(T532),AVERAGE(T532:T1531),T532)</f>
        <v>3.09043927648579</v>
      </c>
      <c r="V532" s="0" t="n">
        <v>5.6</v>
      </c>
      <c r="W532" s="0" t="s">
        <v>111</v>
      </c>
      <c r="X532" s="0" t="str">
        <f aca="false">IF(ISBLANK(W532),"No remarks",W532)</f>
        <v>Changed all filters</v>
      </c>
      <c r="Y532" s="0" t="s">
        <v>93</v>
      </c>
      <c r="Z532" s="0" t="s">
        <v>94</v>
      </c>
      <c r="AA532" s="0" t="str">
        <f aca="false">PROPER(IF(ISBLANK(Z532),"Location Unavailable",Z532))</f>
        <v>Vip Section</v>
      </c>
      <c r="AB532" s="0" t="s">
        <v>167</v>
      </c>
      <c r="AC532" s="6" t="str">
        <f aca="false">PROPER(AB532)</f>
        <v>Word Of Mouth</v>
      </c>
      <c r="AD532" s="6" t="n">
        <v>60</v>
      </c>
      <c r="AE532" s="5" t="n">
        <f aca="false">IF(ISBLANK(AD532),AVERAGEIF(L532:L1531,L532,AD532:AD1531),AD532)</f>
        <v>60</v>
      </c>
      <c r="AF532" s="0" t="s">
        <v>160</v>
      </c>
      <c r="AG532" s="0" t="str">
        <f aca="false">PROPER(AF532)</f>
        <v>Availaible</v>
      </c>
      <c r="AH532" s="0" t="s">
        <v>56</v>
      </c>
      <c r="AI532" s="0" t="s">
        <v>98</v>
      </c>
      <c r="AJ532" s="0" t="str">
        <f aca="false">PROPER(AI532)</f>
        <v>Emergency</v>
      </c>
      <c r="AK532" s="0" t="s">
        <v>99</v>
      </c>
      <c r="AL532" s="0" t="str">
        <f aca="false">PROPER(AK532)</f>
        <v>Uber Driver</v>
      </c>
      <c r="AM532" s="0" t="s">
        <v>2324</v>
      </c>
      <c r="AN532" s="0" t="str">
        <f aca="false">IF(ISBLANK(AM532),"Unknown",AM532)</f>
        <v>Logistics Convoy</v>
      </c>
      <c r="AO532" s="0" t="s">
        <v>161</v>
      </c>
      <c r="AP532" s="0" t="str">
        <f aca="false">IF(ISBLANK(AO532),"Unknown",AO532)</f>
        <v>Apprentice</v>
      </c>
      <c r="AQ532" s="0" t="n">
        <v>20000</v>
      </c>
      <c r="AR532" s="5" t="n">
        <f aca="false">IF(ISBLANK(AQ532),AVERAGEIF(M532:M1531,M532,AQ532:AQ1531),AQ532)</f>
        <v>20000</v>
      </c>
      <c r="AS532" s="0" t="n">
        <v>35000</v>
      </c>
      <c r="AT532" s="5" t="n">
        <f aca="false">IF(ISBLANK(AS532),AVERAGE(AS532:AS1531),AS532)</f>
        <v>35000</v>
      </c>
      <c r="AU532" s="0" t="s">
        <v>63</v>
      </c>
      <c r="AV532" s="0" t="str">
        <f aca="false">PROPER(IF(ISBLANK(AU532),"No",AU532))</f>
        <v>Yes</v>
      </c>
      <c r="AW532" s="0" t="n">
        <v>0</v>
      </c>
      <c r="AX532" s="5" t="n">
        <f aca="false">IF(ISBLANK(AW532),0,AW532)</f>
        <v>0</v>
      </c>
      <c r="AY532" s="0" t="s">
        <v>184</v>
      </c>
      <c r="AZ532" s="0" t="str">
        <f aca="false">UPPER(IF(ISBLANK(AY532),"NONE",AY532))</f>
        <v>N/A</v>
      </c>
      <c r="BA532" s="7" t="s">
        <v>556</v>
      </c>
      <c r="BB532" s="7" t="str">
        <f aca="false">IF(ISBLANK(BA532),"No Follow Up Needed",BA532)</f>
        <v>23/10/2025</v>
      </c>
      <c r="BD532" s="0" t="str">
        <f aca="false">PROPER(IF(ISBLANK(BC532),"Unknown",BC532))</f>
        <v>Unknown</v>
      </c>
      <c r="BF532" s="0" t="str">
        <f aca="false">IF(ISBLANK(BE532),"No comments",BE532)</f>
        <v>No comments</v>
      </c>
      <c r="BG532" s="0" t="s">
        <v>172</v>
      </c>
      <c r="BH532" s="0" t="str">
        <f aca="false">IF(ISBLANK(BG532),"No comments",BG532)</f>
        <v>Always late</v>
      </c>
      <c r="BI532" s="0" t="s">
        <v>63</v>
      </c>
      <c r="BJ532" s="0" t="str">
        <f aca="false">IF(ISBLANK(BI532),"Not Mentioned",BI532)</f>
        <v>Yes</v>
      </c>
      <c r="BK532" s="0" t="s">
        <v>63</v>
      </c>
      <c r="BL532" s="0" t="str">
        <f aca="false">PROPER(IF(ISBLANK(BK532),"Not Mentioned",BK532))</f>
        <v>Yes</v>
      </c>
      <c r="BM532" s="0" t="s">
        <v>50</v>
      </c>
      <c r="BN532" s="0" t="str">
        <f aca="false">PROPER(IF(ISBLANK(BM532),"Not Mentioned",BM532))</f>
        <v>No</v>
      </c>
      <c r="BO532" s="0" t="s">
        <v>2318</v>
      </c>
      <c r="BP532" s="0" t="str">
        <f aca="false">IF(ISBLANK(BO532),"One-Time Plan",BO532)</f>
        <v>Gold</v>
      </c>
      <c r="BQ532" s="0" t="s">
        <v>190</v>
      </c>
      <c r="BR532" s="0" t="str">
        <f aca="false">PROPER(IF(ISBLANK(BQ532),"No",BQ532))</f>
        <v>Yes</v>
      </c>
    </row>
    <row r="533" customFormat="false" ht="15" hidden="false" customHeight="false" outlineLevel="0" collapsed="false">
      <c r="A533" s="0" t="s">
        <v>1335</v>
      </c>
      <c r="B533" s="2" t="s">
        <v>433</v>
      </c>
      <c r="C533" s="2" t="str">
        <f aca="false">TEXT(B533,"dd/mm/yyyy")</f>
        <v>16/02/2025</v>
      </c>
      <c r="D533" s="0" t="s">
        <v>121</v>
      </c>
      <c r="E533" s="0" t="n">
        <v>8022265679</v>
      </c>
      <c r="F533" s="0" t="s">
        <v>67</v>
      </c>
      <c r="G533" s="0" t="s">
        <v>2316</v>
      </c>
      <c r="H533" s="0" t="s">
        <v>1336</v>
      </c>
      <c r="I533" s="0" t="s">
        <v>69</v>
      </c>
      <c r="J533" s="0" t="s">
        <v>2325</v>
      </c>
      <c r="K533" s="3" t="str">
        <f aca="false" t="array" ref="K533:K533">IFERROR(IF(J533&lt;&gt;"",J533,INDEX(J533:J1532,MATCH(1,(F533:F1532=F533)*(I533:I1532=I533)*(L533:L1532=L533)*(J533:J1532&lt;&gt;""),0))),"Not Found")</f>
        <v>Engine Knocking</v>
      </c>
      <c r="L533" s="3" t="s">
        <v>89</v>
      </c>
      <c r="M533" s="0" t="str">
        <f aca="false">PROPER(L533)</f>
        <v>Shock Absorbers</v>
      </c>
      <c r="O533" s="0" t="e">
        <f aca="false" t="array" ref="O533:O533">IF(N533&lt;&gt;"",N533,_xlfn.xlookup(1,(L533:L1532=L533)*(N533:N1532&lt;&gt;""),N533:N1532,"Not Found"))</f>
        <v>#NAME?</v>
      </c>
      <c r="P533" s="4" t="n">
        <v>66909</v>
      </c>
      <c r="Q533" s="0" t="s">
        <v>49</v>
      </c>
      <c r="R533" s="0" t="str">
        <f aca="false">PROPER(Q533)</f>
        <v>Transfer</v>
      </c>
      <c r="S533" s="0" t="s">
        <v>63</v>
      </c>
      <c r="T533" s="0" t="n">
        <v>4</v>
      </c>
      <c r="U533" s="5" t="n">
        <f aca="false">IF(ISBLANK(T533),AVERAGE(T533:T1532),T533)</f>
        <v>4</v>
      </c>
      <c r="V533" s="0" t="n">
        <v>3.9</v>
      </c>
      <c r="W533" s="0" t="s">
        <v>51</v>
      </c>
      <c r="X533" s="0" t="str">
        <f aca="false">IF(ISBLANK(W533),"No remarks",W533)</f>
        <v>Recommended further checks</v>
      </c>
      <c r="Y533" s="0" t="s">
        <v>52</v>
      </c>
      <c r="Z533" s="0" t="s">
        <v>159</v>
      </c>
      <c r="AA533" s="0" t="str">
        <f aca="false">PROPER(IF(ISBLANK(Z533),"Location Unavailable",Z533))</f>
        <v>Main Bay</v>
      </c>
      <c r="AB533" s="0" t="s">
        <v>126</v>
      </c>
      <c r="AC533" s="6" t="str">
        <f aca="false">PROPER(AB533)</f>
        <v>Whatsapp</v>
      </c>
      <c r="AD533" s="6" t="n">
        <v>45</v>
      </c>
      <c r="AE533" s="5" t="n">
        <f aca="false">IF(ISBLANK(AD533),AVERAGEIF(L533:L1532,L533,AD533:AD1532),AD533)</f>
        <v>45</v>
      </c>
      <c r="AF533" s="0" t="s">
        <v>96</v>
      </c>
      <c r="AG533" s="0" t="str">
        <f aca="false">PROPER(AF533)</f>
        <v>Ordered</v>
      </c>
      <c r="AH533" s="0" t="s">
        <v>77</v>
      </c>
      <c r="AI533" s="0" t="s">
        <v>113</v>
      </c>
      <c r="AJ533" s="0" t="str">
        <f aca="false">PROPER(AI533)</f>
        <v>Normal</v>
      </c>
      <c r="AK533" s="0" t="s">
        <v>99</v>
      </c>
      <c r="AL533" s="0" t="str">
        <f aca="false">PROPER(AK533)</f>
        <v>Uber Driver</v>
      </c>
      <c r="AM533" s="0" t="s">
        <v>59</v>
      </c>
      <c r="AN533" s="0" t="str">
        <f aca="false">IF(ISBLANK(AM533),"Unknown",AM533)</f>
        <v>Bolt Driver</v>
      </c>
      <c r="AO533" s="0" t="s">
        <v>143</v>
      </c>
      <c r="AP533" s="0" t="str">
        <f aca="false">IF(ISBLANK(AO533),"Unknown",AO533)</f>
        <v>Senior</v>
      </c>
      <c r="AQ533" s="0" t="n">
        <v>30000</v>
      </c>
      <c r="AR533" s="5" t="n">
        <f aca="false">IF(ISBLANK(AQ533),AVERAGEIF(M533:M1532,M533,AQ533:AQ1532),AQ533)</f>
        <v>30000</v>
      </c>
      <c r="AT533" s="5" t="n">
        <f aca="false">IF(ISBLANK(AS533),AVERAGE(AS533:AS1532),AS533)</f>
        <v>31577.6081424936</v>
      </c>
      <c r="AV533" s="0" t="str">
        <f aca="false">PROPER(IF(ISBLANK(AU533),"No",AU533))</f>
        <v>No</v>
      </c>
      <c r="AW533" s="0" t="n">
        <v>0</v>
      </c>
      <c r="AX533" s="5" t="n">
        <f aca="false">IF(ISBLANK(AW533),0,AW533)</f>
        <v>0</v>
      </c>
      <c r="AY533" s="0" t="s">
        <v>130</v>
      </c>
      <c r="AZ533" s="0" t="str">
        <f aca="false">UPPER(IF(ISBLANK(AY533),"NONE",AY533))</f>
        <v>LOYALTY10</v>
      </c>
      <c r="BB533" s="7" t="str">
        <f aca="false">IF(ISBLANK(BA533),"No Follow Up Needed",BA533)</f>
        <v>No Follow Up Needed</v>
      </c>
      <c r="BC533" s="0" t="s">
        <v>82</v>
      </c>
      <c r="BD533" s="0" t="str">
        <f aca="false">PROPER(IF(ISBLANK(BC533),"Unknown",BC533))</f>
        <v>Yes</v>
      </c>
      <c r="BE533" s="0" t="s">
        <v>171</v>
      </c>
      <c r="BF533" s="0" t="str">
        <f aca="false">IF(ISBLANK(BE533),"No comments",BE533)</f>
        <v>Shock absorber weakening</v>
      </c>
      <c r="BH533" s="0" t="str">
        <f aca="false">IF(ISBLANK(BG533),"No comments",BG533)</f>
        <v>No comments</v>
      </c>
      <c r="BJ533" s="0" t="str">
        <f aca="false">IF(ISBLANK(BI533),"Not Mentioned",BI533)</f>
        <v>Not Mentioned</v>
      </c>
      <c r="BL533" s="0" t="str">
        <f aca="false">PROPER(IF(ISBLANK(BK533),"Not Mentioned",BK533))</f>
        <v>Not Mentioned</v>
      </c>
      <c r="BM533" s="0" t="s">
        <v>50</v>
      </c>
      <c r="BN533" s="0" t="str">
        <f aca="false">PROPER(IF(ISBLANK(BM533),"Not Mentioned",BM533))</f>
        <v>No</v>
      </c>
      <c r="BO533" s="0" t="s">
        <v>2318</v>
      </c>
      <c r="BP533" s="0" t="str">
        <f aca="false">IF(ISBLANK(BO533),"One-Time Plan",BO533)</f>
        <v>Gold</v>
      </c>
      <c r="BQ533" s="0" t="s">
        <v>50</v>
      </c>
      <c r="BR533" s="0" t="str">
        <f aca="false">PROPER(IF(ISBLANK(BQ533),"No",BQ533))</f>
        <v>No</v>
      </c>
    </row>
    <row r="534" customFormat="false" ht="15" hidden="false" customHeight="false" outlineLevel="0" collapsed="false">
      <c r="A534" s="0" t="s">
        <v>1337</v>
      </c>
      <c r="B534" s="2" t="n">
        <v>45774</v>
      </c>
      <c r="C534" s="2" t="str">
        <f aca="false">TEXT(B534,"dd/mm/yyyy")</f>
        <v>27/04/2025</v>
      </c>
      <c r="D534" s="0" t="s">
        <v>42</v>
      </c>
      <c r="E534" s="0" t="n">
        <v>8012152643</v>
      </c>
      <c r="F534" s="0" t="s">
        <v>85</v>
      </c>
      <c r="G534" s="0" t="s">
        <v>2319</v>
      </c>
      <c r="H534" s="0" t="s">
        <v>1338</v>
      </c>
      <c r="I534" s="0" t="s">
        <v>69</v>
      </c>
      <c r="K534" s="3" t="str">
        <f aca="false" t="array" ref="K534:K534">IFERROR(IF(J534&lt;&gt;"",J534,INDEX(J534:J1533,MATCH(1,(F534:F1533=F534)*(I534:I1533=I534)*(L534:L1533=L534)*(J534:J1533&lt;&gt;""),0))),"Not Found")</f>
        <v>Oil Change</v>
      </c>
      <c r="L534" s="3" t="s">
        <v>154</v>
      </c>
      <c r="M534" s="0" t="str">
        <f aca="false">PROPER(L534)</f>
        <v>Air Filter</v>
      </c>
      <c r="O534" s="0" t="e">
        <f aca="false" t="array" ref="O534:O534">IF(N534&lt;&gt;"",N534,_xlfn.xlookup(1,(L534:L1533=L534)*(N534:N1533&lt;&gt;""),N534:N1533,"Not Found"))</f>
        <v>#NAME?</v>
      </c>
      <c r="P534" s="4" t="n">
        <v>10358</v>
      </c>
      <c r="Q534" s="0" t="s">
        <v>124</v>
      </c>
      <c r="R534" s="0" t="str">
        <f aca="false">PROPER(Q534)</f>
        <v>Cash</v>
      </c>
      <c r="S534" s="0" t="s">
        <v>63</v>
      </c>
      <c r="T534" s="0" t="n">
        <v>4</v>
      </c>
      <c r="U534" s="5" t="n">
        <f aca="false">IF(ISBLANK(T534),AVERAGE(T534:T1533),T534)</f>
        <v>4</v>
      </c>
      <c r="V534" s="0" t="n">
        <v>3.9</v>
      </c>
      <c r="W534" s="0" t="s">
        <v>125</v>
      </c>
      <c r="X534" s="0" t="str">
        <f aca="false">IF(ISBLANK(W534),"No remarks",W534)</f>
        <v>Customer waited</v>
      </c>
      <c r="Y534" s="0" t="s">
        <v>73</v>
      </c>
      <c r="Z534" s="0" t="s">
        <v>74</v>
      </c>
      <c r="AA534" s="0" t="str">
        <f aca="false">PROPER(IF(ISBLANK(Z534),"Location Unavailable",Z534))</f>
        <v>Under Tree</v>
      </c>
      <c r="AB534" s="0" t="s">
        <v>54</v>
      </c>
      <c r="AC534" s="6" t="str">
        <f aca="false">PROPER(AB534)</f>
        <v>Mechanic Referral</v>
      </c>
      <c r="AD534" s="6" t="n">
        <v>15</v>
      </c>
      <c r="AE534" s="5" t="n">
        <f aca="false">IF(ISBLANK(AD534),AVERAGEIF(L534:L1533,L534,AD534:AD1533),AD534)</f>
        <v>15</v>
      </c>
      <c r="AF534" s="0" t="s">
        <v>76</v>
      </c>
      <c r="AG534" s="0" t="str">
        <f aca="false">PROPER(AF534)</f>
        <v>Orderd</v>
      </c>
      <c r="AH534" s="0" t="s">
        <v>77</v>
      </c>
      <c r="AI534" s="0" t="s">
        <v>98</v>
      </c>
      <c r="AJ534" s="0" t="str">
        <f aca="false">PROPER(AI534)</f>
        <v>Emergency</v>
      </c>
      <c r="AK534" s="0" t="s">
        <v>196</v>
      </c>
      <c r="AL534" s="0" t="str">
        <f aca="false">PROPER(AK534)</f>
        <v>First Time</v>
      </c>
      <c r="AN534" s="0" t="str">
        <f aca="false">IF(ISBLANK(AM534),"Unknown",AM534)</f>
        <v>Unknown</v>
      </c>
      <c r="AO534" s="0" t="s">
        <v>161</v>
      </c>
      <c r="AP534" s="0" t="str">
        <f aca="false">IF(ISBLANK(AO534),"Unknown",AO534)</f>
        <v>Apprentice</v>
      </c>
      <c r="AR534" s="5" t="n">
        <f aca="false">IF(ISBLANK(AQ534),AVERAGEIF(M534:M1533,M534,AQ534:AQ1533),AQ534)</f>
        <v>26461.5384615385</v>
      </c>
      <c r="AS534" s="0" t="n">
        <v>35000</v>
      </c>
      <c r="AT534" s="5" t="n">
        <f aca="false">IF(ISBLANK(AS534),AVERAGE(AS534:AS1533),AS534)</f>
        <v>35000</v>
      </c>
      <c r="AU534" s="0" t="s">
        <v>82</v>
      </c>
      <c r="AV534" s="0" t="str">
        <f aca="false">PROPER(IF(ISBLANK(AU534),"No",AU534))</f>
        <v>Yes</v>
      </c>
      <c r="AX534" s="5" t="n">
        <f aca="false">IF(ISBLANK(AW534),0,AW534)</f>
        <v>0</v>
      </c>
      <c r="AZ534" s="0" t="str">
        <f aca="false">UPPER(IF(ISBLANK(AY534),"NONE",AY534))</f>
        <v>NONE</v>
      </c>
      <c r="BB534" s="7" t="str">
        <f aca="false">IF(ISBLANK(BA534),"No Follow Up Needed",BA534)</f>
        <v>No Follow Up Needed</v>
      </c>
      <c r="BC534" s="0" t="s">
        <v>63</v>
      </c>
      <c r="BD534" s="0" t="str">
        <f aca="false">PROPER(IF(ISBLANK(BC534),"Unknown",BC534))</f>
        <v>Yes</v>
      </c>
      <c r="BF534" s="0" t="str">
        <f aca="false">IF(ISBLANK(BE534),"No comments",BE534)</f>
        <v>No comments</v>
      </c>
      <c r="BH534" s="0" t="str">
        <f aca="false">IF(ISBLANK(BG534),"No comments",BG534)</f>
        <v>No comments</v>
      </c>
      <c r="BI534" s="0" t="s">
        <v>50</v>
      </c>
      <c r="BJ534" s="0" t="str">
        <f aca="false">IF(ISBLANK(BI534),"Not Mentioned",BI534)</f>
        <v>No</v>
      </c>
      <c r="BK534" s="0" t="s">
        <v>82</v>
      </c>
      <c r="BL534" s="0" t="str">
        <f aca="false">PROPER(IF(ISBLANK(BK534),"Not Mentioned",BK534))</f>
        <v>Yes</v>
      </c>
      <c r="BM534" s="0" t="s">
        <v>63</v>
      </c>
      <c r="BN534" s="0" t="str">
        <f aca="false">PROPER(IF(ISBLANK(BM534),"Not Mentioned",BM534))</f>
        <v>Yes</v>
      </c>
      <c r="BP534" s="0" t="str">
        <f aca="false">IF(ISBLANK(BO534),"One-Time Plan",BO534)</f>
        <v>One-Time Plan</v>
      </c>
      <c r="BQ534" s="0" t="s">
        <v>190</v>
      </c>
      <c r="BR534" s="0" t="str">
        <f aca="false">PROPER(IF(ISBLANK(BQ534),"No",BQ534))</f>
        <v>Yes</v>
      </c>
    </row>
    <row r="535" customFormat="false" ht="15" hidden="false" customHeight="false" outlineLevel="0" collapsed="false">
      <c r="A535" s="0" t="s">
        <v>1340</v>
      </c>
      <c r="B535" s="2" t="s">
        <v>1339</v>
      </c>
      <c r="C535" s="2" t="str">
        <f aca="false">TEXT(B535,"dd/mm/yyyy")</f>
        <v>29/01/2025</v>
      </c>
      <c r="D535" s="0" t="s">
        <v>42</v>
      </c>
      <c r="E535" s="0" t="n">
        <v>8066597298</v>
      </c>
      <c r="F535" s="0" t="s">
        <v>67</v>
      </c>
      <c r="G535" s="0" t="s">
        <v>2316</v>
      </c>
      <c r="H535" s="0" t="s">
        <v>1341</v>
      </c>
      <c r="I535" s="0" t="s">
        <v>134</v>
      </c>
      <c r="J535" s="0" t="s">
        <v>2322</v>
      </c>
      <c r="K535" s="3" t="str">
        <f aca="false" t="array" ref="K535:K535">IFERROR(IF(J535&lt;&gt;"",J535,INDEX(J535:J1534,MATCH(1,(F535:F1534=F535)*(I535:I1534=I535)*(L535:L1534=L535)*(J535:J1534&lt;&gt;""),0))),"Not Found")</f>
        <v>Brake Failure</v>
      </c>
      <c r="L535" s="3" t="s">
        <v>108</v>
      </c>
      <c r="M535" s="0" t="str">
        <f aca="false">PROPER(L535)</f>
        <v>Timing Belt</v>
      </c>
      <c r="N535" s="3" t="s">
        <v>48</v>
      </c>
      <c r="O535" s="0" t="str">
        <f aca="false" t="array" ref="O535:O535">IF(N535&lt;&gt;"",N535,_xlfn.xlookup(1,(L535:L1534=L535)*(N535:N1534&lt;&gt;""),N535:N1534,"Not Found"))</f>
        <v>Uche</v>
      </c>
      <c r="P535" s="4" t="n">
        <v>24491</v>
      </c>
      <c r="Q535" s="0" t="s">
        <v>166</v>
      </c>
      <c r="R535" s="0" t="str">
        <f aca="false">PROPER(Q535)</f>
        <v>Transfer</v>
      </c>
      <c r="S535" s="0" t="s">
        <v>63</v>
      </c>
      <c r="T535" s="0" t="n">
        <v>3</v>
      </c>
      <c r="U535" s="5" t="n">
        <f aca="false">IF(ISBLANK(T535),AVERAGE(T535:T1534),T535)</f>
        <v>3</v>
      </c>
      <c r="V535" s="0" t="n">
        <v>1.2</v>
      </c>
      <c r="W535" s="0" t="s">
        <v>51</v>
      </c>
      <c r="X535" s="0" t="str">
        <f aca="false">IF(ISBLANK(W535),"No remarks",W535)</f>
        <v>Recommended further checks</v>
      </c>
      <c r="Y535" s="0" t="s">
        <v>52</v>
      </c>
      <c r="Z535" s="0" t="s">
        <v>136</v>
      </c>
      <c r="AA535" s="0" t="str">
        <f aca="false">PROPER(IF(ISBLANK(Z535),"Location Unavailable",Z535))</f>
        <v>Vip Section</v>
      </c>
      <c r="AB535" s="0" t="s">
        <v>95</v>
      </c>
      <c r="AC535" s="6" t="str">
        <f aca="false">PROPER(AB535)</f>
        <v>Road Sign</v>
      </c>
      <c r="AE535" s="5" t="n">
        <f aca="false">IF(ISBLANK(AD535),AVERAGEIF(L535:L1534,L535,AD535:AD1534),AD535)</f>
        <v>38.5416666666667</v>
      </c>
      <c r="AF535" s="0" t="s">
        <v>112</v>
      </c>
      <c r="AG535" s="0" t="str">
        <f aca="false">PROPER(AF535)</f>
        <v>Unavailable</v>
      </c>
      <c r="AH535" s="0" t="s">
        <v>155</v>
      </c>
      <c r="AI535" s="0" t="s">
        <v>78</v>
      </c>
      <c r="AJ535" s="0" t="str">
        <f aca="false">PROPER(AI535)</f>
        <v>Booking</v>
      </c>
      <c r="AK535" s="0" t="s">
        <v>58</v>
      </c>
      <c r="AL535" s="0" t="str">
        <f aca="false">PROPER(AK535)</f>
        <v>Fleet Owner</v>
      </c>
      <c r="AM535" s="0" t="s">
        <v>59</v>
      </c>
      <c r="AN535" s="0" t="str">
        <f aca="false">IF(ISBLANK(AM535),"Unknown",AM535)</f>
        <v>Bolt Driver</v>
      </c>
      <c r="AO535" s="0" t="s">
        <v>79</v>
      </c>
      <c r="AP535" s="0" t="str">
        <f aca="false">IF(ISBLANK(AO535),"Unknown",AO535)</f>
        <v>Specialist</v>
      </c>
      <c r="AQ535" s="0" t="n">
        <v>20000</v>
      </c>
      <c r="AR535" s="5" t="n">
        <f aca="false">IF(ISBLANK(AQ535),AVERAGEIF(M535:M1534,M535,AQ535:AQ1534),AQ535)</f>
        <v>20000</v>
      </c>
      <c r="AS535" s="0" t="n">
        <v>30000</v>
      </c>
      <c r="AT535" s="5" t="n">
        <f aca="false">IF(ISBLANK(AS535),AVERAGE(AS535:AS1534),AS535)</f>
        <v>30000</v>
      </c>
      <c r="AU535" s="0" t="s">
        <v>61</v>
      </c>
      <c r="AV535" s="0" t="str">
        <f aca="false">PROPER(IF(ISBLANK(AU535),"No",AU535))</f>
        <v>No</v>
      </c>
      <c r="AW535" s="0" t="n">
        <v>0</v>
      </c>
      <c r="AX535" s="5" t="n">
        <f aca="false">IF(ISBLANK(AW535),0,AW535)</f>
        <v>0</v>
      </c>
      <c r="AZ535" s="0" t="str">
        <f aca="false">UPPER(IF(ISBLANK(AY535),"NONE",AY535))</f>
        <v>NONE</v>
      </c>
      <c r="BA535" s="7" t="n">
        <v>45986</v>
      </c>
      <c r="BB535" s="7" t="n">
        <f aca="false">IF(ISBLANK(BA535),"No Follow Up Needed",BA535)</f>
        <v>45986</v>
      </c>
      <c r="BC535" s="0" t="s">
        <v>50</v>
      </c>
      <c r="BD535" s="0" t="str">
        <f aca="false">PROPER(IF(ISBLANK(BC535),"Unknown",BC535))</f>
        <v>No</v>
      </c>
      <c r="BF535" s="0" t="str">
        <f aca="false">IF(ISBLANK(BE535),"No comments",BE535)</f>
        <v>No comments</v>
      </c>
      <c r="BG535" s="0" t="s">
        <v>117</v>
      </c>
      <c r="BH535" s="0" t="str">
        <f aca="false">IF(ISBLANK(BG535),"No comments",BG535)</f>
        <v>Prefers morning</v>
      </c>
      <c r="BI535" s="0" t="s">
        <v>50</v>
      </c>
      <c r="BJ535" s="0" t="str">
        <f aca="false">IF(ISBLANK(BI535),"Not Mentioned",BI535)</f>
        <v>No</v>
      </c>
      <c r="BL535" s="0" t="str">
        <f aca="false">PROPER(IF(ISBLANK(BK535),"Not Mentioned",BK535))</f>
        <v>Not Mentioned</v>
      </c>
      <c r="BN535" s="0" t="str">
        <f aca="false">PROPER(IF(ISBLANK(BM535),"Not Mentioned",BM535))</f>
        <v>Not Mentioned</v>
      </c>
      <c r="BO535" s="0" t="s">
        <v>2321</v>
      </c>
      <c r="BP535" s="0" t="str">
        <f aca="false">IF(ISBLANK(BO535),"One-Time Plan",BO535)</f>
        <v>One-Time Plan</v>
      </c>
      <c r="BQ535" s="0" t="s">
        <v>198</v>
      </c>
      <c r="BR535" s="0" t="str">
        <f aca="false">PROPER(IF(ISBLANK(BQ535),"No",BQ535))</f>
        <v>Followed Up</v>
      </c>
    </row>
    <row r="536" customFormat="false" ht="15" hidden="false" customHeight="false" outlineLevel="0" collapsed="false">
      <c r="A536" s="0" t="s">
        <v>1343</v>
      </c>
      <c r="B536" s="2" t="s">
        <v>1342</v>
      </c>
      <c r="C536" s="2" t="str">
        <f aca="false">TEXT(B536,"dd/mm/yyyy")</f>
        <v>13/02/2025</v>
      </c>
      <c r="D536" s="0" t="s">
        <v>42</v>
      </c>
      <c r="E536" s="0" t="n">
        <v>8013750602</v>
      </c>
      <c r="F536" s="0" t="s">
        <v>85</v>
      </c>
      <c r="G536" s="0" t="s">
        <v>2319</v>
      </c>
      <c r="H536" s="0" t="s">
        <v>1344</v>
      </c>
      <c r="I536" s="0" t="s">
        <v>45</v>
      </c>
      <c r="K536" s="3" t="str">
        <f aca="false" t="array" ref="K536:K536">IFERROR(IF(J536&lt;&gt;"",J536,INDEX(J536:J1535,MATCH(1,(F536:F1535=F536)*(I536:I1535=I536)*(L536:L1535=L536)*(J536:J1535&lt;&gt;""),0))),"Not Found")</f>
        <v>Not Found</v>
      </c>
      <c r="L536" s="3" t="s">
        <v>108</v>
      </c>
      <c r="M536" s="0" t="str">
        <f aca="false">PROPER(L536)</f>
        <v>Timing Belt</v>
      </c>
      <c r="N536" s="3" t="s">
        <v>90</v>
      </c>
      <c r="O536" s="0" t="str">
        <f aca="false" t="array" ref="O536:O536">IF(N536&lt;&gt;"",N536,_xlfn.xlookup(1,(L536:L1535=L536)*(N536:N1535&lt;&gt;""),N536:N1535,"Not Found"))</f>
        <v>Musa</v>
      </c>
      <c r="P536" s="4" t="n">
        <v>15783</v>
      </c>
      <c r="Q536" s="0" t="s">
        <v>72</v>
      </c>
      <c r="R536" s="0" t="str">
        <f aca="false">PROPER(Q536)</f>
        <v>Pos</v>
      </c>
      <c r="S536" s="0" t="s">
        <v>63</v>
      </c>
      <c r="T536" s="0" t="n">
        <v>5</v>
      </c>
      <c r="U536" s="5" t="n">
        <f aca="false">IF(ISBLANK(T536),AVERAGE(T536:T1535),T536)</f>
        <v>5</v>
      </c>
      <c r="V536" s="0" t="n">
        <v>3.5</v>
      </c>
      <c r="X536" s="0" t="str">
        <f aca="false">IF(ISBLANK(W536),"No remarks",W536)</f>
        <v>No remarks</v>
      </c>
      <c r="Y536" s="0" t="s">
        <v>93</v>
      </c>
      <c r="AA536" s="0" t="str">
        <f aca="false">PROPER(IF(ISBLANK(Z536),"Location Unavailable",Z536))</f>
        <v>Location Unavailable</v>
      </c>
      <c r="AB536" s="0" t="s">
        <v>54</v>
      </c>
      <c r="AC536" s="6" t="str">
        <f aca="false">PROPER(AB536)</f>
        <v>Mechanic Referral</v>
      </c>
      <c r="AD536" s="6" t="n">
        <v>60</v>
      </c>
      <c r="AE536" s="5" t="n">
        <f aca="false">IF(ISBLANK(AD536),AVERAGEIF(L536:L1535,L536,AD536:AD1535),AD536)</f>
        <v>60</v>
      </c>
      <c r="AF536" s="0" t="s">
        <v>76</v>
      </c>
      <c r="AG536" s="0" t="str">
        <f aca="false">PROPER(AF536)</f>
        <v>Orderd</v>
      </c>
      <c r="AH536" s="0" t="s">
        <v>56</v>
      </c>
      <c r="AI536" s="0" t="s">
        <v>98</v>
      </c>
      <c r="AJ536" s="0" t="str">
        <f aca="false">PROPER(AI536)</f>
        <v>Emergency</v>
      </c>
      <c r="AK536" s="0" t="s">
        <v>196</v>
      </c>
      <c r="AL536" s="0" t="str">
        <f aca="false">PROPER(AK536)</f>
        <v>First Time</v>
      </c>
      <c r="AN536" s="0" t="str">
        <f aca="false">IF(ISBLANK(AM536),"Unknown",AM536)</f>
        <v>Unknown</v>
      </c>
      <c r="AO536" s="0" t="s">
        <v>79</v>
      </c>
      <c r="AP536" s="0" t="str">
        <f aca="false">IF(ISBLANK(AO536),"Unknown",AO536)</f>
        <v>Specialist</v>
      </c>
      <c r="AQ536" s="0" t="n">
        <v>25000</v>
      </c>
      <c r="AR536" s="5" t="n">
        <f aca="false">IF(ISBLANK(AQ536),AVERAGEIF(M536:M1535,M536,AQ536:AQ1535),AQ536)</f>
        <v>25000</v>
      </c>
      <c r="AT536" s="5" t="n">
        <f aca="false">IF(ISBLANK(AS536),AVERAGE(AS536:AS1535),AS536)</f>
        <v>31572.8900255755</v>
      </c>
      <c r="AU536" s="0" t="s">
        <v>61</v>
      </c>
      <c r="AV536" s="0" t="str">
        <f aca="false">PROPER(IF(ISBLANK(AU536),"No",AU536))</f>
        <v>No</v>
      </c>
      <c r="AW536" s="0" t="n">
        <v>5000</v>
      </c>
      <c r="AX536" s="5" t="n">
        <f aca="false">IF(ISBLANK(AW536),0,AW536)</f>
        <v>5000</v>
      </c>
      <c r="AY536" s="0" t="s">
        <v>60</v>
      </c>
      <c r="AZ536" s="0" t="str">
        <f aca="false">UPPER(IF(ISBLANK(AY536),"NONE",AY536))</f>
        <v>NONE</v>
      </c>
      <c r="BB536" s="7" t="str">
        <f aca="false">IF(ISBLANK(BA536),"No Follow Up Needed",BA536)</f>
        <v>No Follow Up Needed</v>
      </c>
      <c r="BD536" s="0" t="str">
        <f aca="false">PROPER(IF(ISBLANK(BC536),"Unknown",BC536))</f>
        <v>Unknown</v>
      </c>
      <c r="BE536" s="0" t="s">
        <v>171</v>
      </c>
      <c r="BF536" s="0" t="str">
        <f aca="false">IF(ISBLANK(BE536),"No comments",BE536)</f>
        <v>Shock absorber weakening</v>
      </c>
      <c r="BG536" s="0" t="s">
        <v>117</v>
      </c>
      <c r="BH536" s="0" t="str">
        <f aca="false">IF(ISBLANK(BG536),"No comments",BG536)</f>
        <v>Prefers morning</v>
      </c>
      <c r="BI536" s="0" t="s">
        <v>50</v>
      </c>
      <c r="BJ536" s="0" t="str">
        <f aca="false">IF(ISBLANK(BI536),"Not Mentioned",BI536)</f>
        <v>No</v>
      </c>
      <c r="BK536" s="0" t="s">
        <v>50</v>
      </c>
      <c r="BL536" s="0" t="str">
        <f aca="false">PROPER(IF(ISBLANK(BK536),"Not Mentioned",BK536))</f>
        <v>No</v>
      </c>
      <c r="BM536" s="0" t="s">
        <v>63</v>
      </c>
      <c r="BN536" s="0" t="str">
        <f aca="false">PROPER(IF(ISBLANK(BM536),"Not Mentioned",BM536))</f>
        <v>Yes</v>
      </c>
      <c r="BO536" s="0" t="s">
        <v>2321</v>
      </c>
      <c r="BP536" s="0" t="str">
        <f aca="false">IF(ISBLANK(BO536),"One-Time Plan",BO536)</f>
        <v>One-Time Plan</v>
      </c>
      <c r="BQ536" s="0" t="s">
        <v>50</v>
      </c>
      <c r="BR536" s="0" t="str">
        <f aca="false">PROPER(IF(ISBLANK(BQ536),"No",BQ536))</f>
        <v>No</v>
      </c>
    </row>
    <row r="537" customFormat="false" ht="15" hidden="false" customHeight="false" outlineLevel="0" collapsed="false">
      <c r="A537" s="0" t="s">
        <v>1345</v>
      </c>
      <c r="B537" s="2" t="n">
        <v>45690</v>
      </c>
      <c r="C537" s="2" t="str">
        <f aca="false">TEXT(B537,"dd/mm/yyyy")</f>
        <v>02/02/2025</v>
      </c>
      <c r="D537" s="0" t="s">
        <v>121</v>
      </c>
      <c r="E537" s="0" t="n">
        <v>8011954205</v>
      </c>
      <c r="F537" s="0" t="s">
        <v>67</v>
      </c>
      <c r="G537" s="0" t="s">
        <v>2316</v>
      </c>
      <c r="H537" s="0" t="s">
        <v>1346</v>
      </c>
      <c r="I537" s="0" t="s">
        <v>87</v>
      </c>
      <c r="K537" s="3" t="str">
        <f aca="false" t="array" ref="K537:K537">IFERROR(IF(J537&lt;&gt;"",J537,INDEX(J537:J1536,MATCH(1,(F537:F1536=F537)*(I537:I1536=I537)*(L537:L1536=L537)*(J537:J1536&lt;&gt;""),0))),"Not Found")</f>
        <v>Brake Failure</v>
      </c>
      <c r="L537" s="3" t="s">
        <v>108</v>
      </c>
      <c r="M537" s="0" t="str">
        <f aca="false">PROPER(L537)</f>
        <v>Timing Belt</v>
      </c>
      <c r="O537" s="0" t="e">
        <f aca="false" t="array" ref="O537:O537">IF(N537&lt;&gt;"",N537,_xlfn.xlookup(1,(L537:L1536=L537)*(N537:N1536&lt;&gt;""),N537:N1536,"Not Found"))</f>
        <v>#NAME?</v>
      </c>
      <c r="P537" s="4" t="n">
        <v>82737</v>
      </c>
      <c r="Q537" s="0" t="s">
        <v>110</v>
      </c>
      <c r="R537" s="0" t="str">
        <f aca="false">PROPER(Q537)</f>
        <v>Cash</v>
      </c>
      <c r="S537" s="0" t="s">
        <v>63</v>
      </c>
      <c r="U537" s="5" t="n">
        <f aca="false">IF(ISBLANK(T537),AVERAGE(T537:T1536),T537)</f>
        <v>3.08093994778068</v>
      </c>
      <c r="V537" s="0" t="n">
        <v>2.3</v>
      </c>
      <c r="W537" s="0" t="s">
        <v>92</v>
      </c>
      <c r="X537" s="0" t="str">
        <f aca="false">IF(ISBLANK(W537),"No remarks",W537)</f>
        <v>Urgent service</v>
      </c>
      <c r="Y537" s="0" t="s">
        <v>52</v>
      </c>
      <c r="Z537" s="0" t="s">
        <v>159</v>
      </c>
      <c r="AA537" s="0" t="str">
        <f aca="false">PROPER(IF(ISBLANK(Z537),"Location Unavailable",Z537))</f>
        <v>Main Bay</v>
      </c>
      <c r="AB537" s="0" t="s">
        <v>54</v>
      </c>
      <c r="AC537" s="6" t="str">
        <f aca="false">PROPER(AB537)</f>
        <v>Mechanic Referral</v>
      </c>
      <c r="AD537" s="6" t="n">
        <v>15</v>
      </c>
      <c r="AE537" s="5" t="n">
        <f aca="false">IF(ISBLANK(AD537),AVERAGEIF(L537:L1536,L537,AD537:AD1536),AD537)</f>
        <v>15</v>
      </c>
      <c r="AF537" s="0" t="s">
        <v>112</v>
      </c>
      <c r="AG537" s="0" t="str">
        <f aca="false">PROPER(AF537)</f>
        <v>Unavailable</v>
      </c>
      <c r="AH537" s="0" t="s">
        <v>56</v>
      </c>
      <c r="AI537" s="0" t="s">
        <v>78</v>
      </c>
      <c r="AJ537" s="0" t="str">
        <f aca="false">PROPER(AI537)</f>
        <v>Booking</v>
      </c>
      <c r="AK537" s="0" t="s">
        <v>196</v>
      </c>
      <c r="AL537" s="0" t="str">
        <f aca="false">PROPER(AK537)</f>
        <v>First Time</v>
      </c>
      <c r="AM537" s="0" t="s">
        <v>177</v>
      </c>
      <c r="AN537" s="0" t="str">
        <f aca="false">IF(ISBLANK(AM537),"Unknown",AM537)</f>
        <v>Private</v>
      </c>
      <c r="AO537" s="0" t="s">
        <v>79</v>
      </c>
      <c r="AP537" s="0" t="str">
        <f aca="false">IF(ISBLANK(AO537),"Unknown",AO537)</f>
        <v>Specialist</v>
      </c>
      <c r="AQ537" s="0" t="n">
        <v>40000</v>
      </c>
      <c r="AR537" s="5" t="n">
        <f aca="false">IF(ISBLANK(AQ537),AVERAGEIF(M537:M1536,M537,AQ537:AQ1536),AQ537)</f>
        <v>40000</v>
      </c>
      <c r="AS537" s="0" t="n">
        <v>40000</v>
      </c>
      <c r="AT537" s="5" t="n">
        <f aca="false">IF(ISBLANK(AS537),AVERAGE(AS537:AS1536),AS537)</f>
        <v>40000</v>
      </c>
      <c r="AU537" s="0" t="s">
        <v>50</v>
      </c>
      <c r="AV537" s="0" t="str">
        <f aca="false">PROPER(IF(ISBLANK(AU537),"No",AU537))</f>
        <v>No</v>
      </c>
      <c r="AX537" s="5" t="n">
        <f aca="false">IF(ISBLANK(AW537),0,AW537)</f>
        <v>0</v>
      </c>
      <c r="AY537" s="0" t="s">
        <v>184</v>
      </c>
      <c r="AZ537" s="0" t="str">
        <f aca="false">UPPER(IF(ISBLANK(AY537),"NONE",AY537))</f>
        <v>N/A</v>
      </c>
      <c r="BA537" s="7" t="s">
        <v>1347</v>
      </c>
      <c r="BB537" s="7" t="str">
        <f aca="false">IF(ISBLANK(BA537),"No Follow Up Needed",BA537)</f>
        <v>23/06/2025</v>
      </c>
      <c r="BC537" s="0" t="s">
        <v>82</v>
      </c>
      <c r="BD537" s="0" t="str">
        <f aca="false">PROPER(IF(ISBLANK(BC537),"Unknown",BC537))</f>
        <v>Yes</v>
      </c>
      <c r="BF537" s="0" t="str">
        <f aca="false">IF(ISBLANK(BE537),"No comments",BE537)</f>
        <v>No comments</v>
      </c>
      <c r="BG537" s="0" t="s">
        <v>2320</v>
      </c>
      <c r="BH537" s="0" t="str">
        <f aca="false">IF(ISBLANK(BG537),"No comments",BG537)</f>
        <v>No complaints</v>
      </c>
      <c r="BI537" s="0" t="s">
        <v>50</v>
      </c>
      <c r="BJ537" s="0" t="str">
        <f aca="false">IF(ISBLANK(BI537),"Not Mentioned",BI537)</f>
        <v>No</v>
      </c>
      <c r="BK537" s="0" t="s">
        <v>63</v>
      </c>
      <c r="BL537" s="0" t="str">
        <f aca="false">PROPER(IF(ISBLANK(BK537),"Not Mentioned",BK537))</f>
        <v>Yes</v>
      </c>
      <c r="BN537" s="0" t="str">
        <f aca="false">PROPER(IF(ISBLANK(BM537),"Not Mentioned",BM537))</f>
        <v>Not Mentioned</v>
      </c>
      <c r="BO537" s="0" t="s">
        <v>2321</v>
      </c>
      <c r="BP537" s="0" t="str">
        <f aca="false">IF(ISBLANK(BO537),"One-Time Plan",BO537)</f>
        <v>One-Time Plan</v>
      </c>
      <c r="BR537" s="0" t="str">
        <f aca="false">PROPER(IF(ISBLANK(BQ537),"No",BQ537))</f>
        <v>No</v>
      </c>
    </row>
    <row r="538" customFormat="false" ht="15" hidden="false" customHeight="false" outlineLevel="0" collapsed="false">
      <c r="A538" s="0" t="s">
        <v>1348</v>
      </c>
      <c r="B538" s="2" t="s">
        <v>222</v>
      </c>
      <c r="C538" s="2" t="str">
        <f aca="false">TEXT(B538,"dd/mm/yyyy")</f>
        <v>14/04/2025</v>
      </c>
      <c r="D538" s="0" t="s">
        <v>105</v>
      </c>
      <c r="E538" s="0" t="n">
        <v>8055247029</v>
      </c>
      <c r="F538" s="0" t="s">
        <v>67</v>
      </c>
      <c r="G538" s="0" t="s">
        <v>2316</v>
      </c>
      <c r="H538" s="0" t="s">
        <v>1349</v>
      </c>
      <c r="I538" s="0" t="s">
        <v>107</v>
      </c>
      <c r="J538" s="0" t="s">
        <v>2322</v>
      </c>
      <c r="K538" s="3" t="str">
        <f aca="false" t="array" ref="K538:K538">IFERROR(IF(J538&lt;&gt;"",J538,INDEX(J538:J1537,MATCH(1,(F538:F1537=F538)*(I538:I1537=I538)*(L538:L1537=L538)*(J538:J1537&lt;&gt;""),0))),"Not Found")</f>
        <v>Brake Failure</v>
      </c>
      <c r="L538" s="3" t="s">
        <v>142</v>
      </c>
      <c r="M538" s="0" t="str">
        <f aca="false">PROPER(L538)</f>
        <v>Oil Filter, Brake Pads</v>
      </c>
      <c r="N538" s="3" t="s">
        <v>90</v>
      </c>
      <c r="O538" s="0" t="str">
        <f aca="false" t="array" ref="O538:O538">IF(N538&lt;&gt;"",N538,_xlfn.xlookup(1,(L538:L1537=L538)*(N538:N1537&lt;&gt;""),N538:N1537,"Not Found"))</f>
        <v>Musa</v>
      </c>
      <c r="P538" s="4" t="n">
        <v>17785</v>
      </c>
      <c r="Q538" s="0" t="s">
        <v>110</v>
      </c>
      <c r="R538" s="0" t="str">
        <f aca="false">PROPER(Q538)</f>
        <v>Cash</v>
      </c>
      <c r="S538" s="0" t="s">
        <v>50</v>
      </c>
      <c r="T538" s="0" t="n">
        <v>2</v>
      </c>
      <c r="U538" s="5" t="n">
        <f aca="false">IF(ISBLANK(T538),AVERAGE(T538:T1537),T538)</f>
        <v>2</v>
      </c>
      <c r="V538" s="0" t="n">
        <v>4.8</v>
      </c>
      <c r="W538" s="0" t="s">
        <v>92</v>
      </c>
      <c r="X538" s="0" t="str">
        <f aca="false">IF(ISBLANK(W538),"No remarks",W538)</f>
        <v>Urgent service</v>
      </c>
      <c r="Y538" s="0" t="s">
        <v>73</v>
      </c>
      <c r="Z538" s="0" t="s">
        <v>159</v>
      </c>
      <c r="AA538" s="0" t="str">
        <f aca="false">PROPER(IF(ISBLANK(Z538),"Location Unavailable",Z538))</f>
        <v>Main Bay</v>
      </c>
      <c r="AB538" s="0" t="s">
        <v>147</v>
      </c>
      <c r="AC538" s="6" t="str">
        <f aca="false">PROPER(AB538)</f>
        <v>Instagram</v>
      </c>
      <c r="AD538" s="6" t="n">
        <v>30</v>
      </c>
      <c r="AE538" s="5" t="n">
        <f aca="false">IF(ISBLANK(AD538),AVERAGEIF(L538:L1537,L538,AD538:AD1537),AD538)</f>
        <v>30</v>
      </c>
      <c r="AF538" s="0" t="s">
        <v>112</v>
      </c>
      <c r="AG538" s="0" t="str">
        <f aca="false">PROPER(AF538)</f>
        <v>Unavailable</v>
      </c>
      <c r="AH538" s="0" t="s">
        <v>77</v>
      </c>
      <c r="AI538" s="0" t="s">
        <v>128</v>
      </c>
      <c r="AJ538" s="0" t="str">
        <f aca="false">PROPER(AI538)</f>
        <v>Normal</v>
      </c>
      <c r="AK538" s="0" t="s">
        <v>99</v>
      </c>
      <c r="AL538" s="0" t="str">
        <f aca="false">PROPER(AK538)</f>
        <v>Uber Driver</v>
      </c>
      <c r="AM538" s="0" t="s">
        <v>2324</v>
      </c>
      <c r="AN538" s="0" t="str">
        <f aca="false">IF(ISBLANK(AM538),"Unknown",AM538)</f>
        <v>Logistics Convoy</v>
      </c>
      <c r="AO538" s="0" t="s">
        <v>161</v>
      </c>
      <c r="AP538" s="0" t="str">
        <f aca="false">IF(ISBLANK(AO538),"Unknown",AO538)</f>
        <v>Apprentice</v>
      </c>
      <c r="AR538" s="5" t="n">
        <f aca="false">IF(ISBLANK(AQ538),AVERAGEIF(M538:M1537,M538,AQ538:AQ1537),AQ538)</f>
        <v>27076.9230769231</v>
      </c>
      <c r="AT538" s="5" t="n">
        <f aca="false">IF(ISBLANK(AS538),AVERAGE(AS538:AS1537),AS538)</f>
        <v>31551.2820512821</v>
      </c>
      <c r="AU538" s="0" t="s">
        <v>61</v>
      </c>
      <c r="AV538" s="0" t="str">
        <f aca="false">PROPER(IF(ISBLANK(AU538),"No",AU538))</f>
        <v>No</v>
      </c>
      <c r="AW538" s="0" t="n">
        <v>10000</v>
      </c>
      <c r="AX538" s="5" t="n">
        <f aca="false">IF(ISBLANK(AW538),0,AW538)</f>
        <v>10000</v>
      </c>
      <c r="AY538" s="0" t="s">
        <v>184</v>
      </c>
      <c r="AZ538" s="0" t="str">
        <f aca="false">UPPER(IF(ISBLANK(AY538),"NONE",AY538))</f>
        <v>N/A</v>
      </c>
      <c r="BB538" s="7" t="str">
        <f aca="false">IF(ISBLANK(BA538),"No Follow Up Needed",BA538)</f>
        <v>No Follow Up Needed</v>
      </c>
      <c r="BC538" s="0" t="s">
        <v>63</v>
      </c>
      <c r="BD538" s="0" t="str">
        <f aca="false">PROPER(IF(ISBLANK(BC538),"Unknown",BC538))</f>
        <v>Yes</v>
      </c>
      <c r="BF538" s="0" t="str">
        <f aca="false">IF(ISBLANK(BE538),"No comments",BE538)</f>
        <v>No comments</v>
      </c>
      <c r="BG538" s="0" t="s">
        <v>2320</v>
      </c>
      <c r="BH538" s="0" t="str">
        <f aca="false">IF(ISBLANK(BG538),"No comments",BG538)</f>
        <v>No complaints</v>
      </c>
      <c r="BI538" s="0" t="s">
        <v>50</v>
      </c>
      <c r="BJ538" s="0" t="str">
        <f aca="false">IF(ISBLANK(BI538),"Not Mentioned",BI538)</f>
        <v>No</v>
      </c>
      <c r="BK538" s="0" t="s">
        <v>61</v>
      </c>
      <c r="BL538" s="0" t="str">
        <f aca="false">PROPER(IF(ISBLANK(BK538),"Not Mentioned",BK538))</f>
        <v>No</v>
      </c>
      <c r="BM538" s="0" t="s">
        <v>63</v>
      </c>
      <c r="BN538" s="0" t="str">
        <f aca="false">PROPER(IF(ISBLANK(BM538),"Not Mentioned",BM538))</f>
        <v>Yes</v>
      </c>
      <c r="BP538" s="0" t="str">
        <f aca="false">IF(ISBLANK(BO538),"One-Time Plan",BO538)</f>
        <v>One-Time Plan</v>
      </c>
      <c r="BQ538" s="0" t="s">
        <v>50</v>
      </c>
      <c r="BR538" s="0" t="str">
        <f aca="false">PROPER(IF(ISBLANK(BQ538),"No",BQ538))</f>
        <v>No</v>
      </c>
    </row>
    <row r="539" customFormat="false" ht="15" hidden="false" customHeight="false" outlineLevel="0" collapsed="false">
      <c r="A539" s="0" t="s">
        <v>1350</v>
      </c>
      <c r="B539" s="2" t="n">
        <v>45735</v>
      </c>
      <c r="C539" s="2" t="str">
        <f aca="false">TEXT(B539,"dd/mm/yyyy")</f>
        <v>19/03/2025</v>
      </c>
      <c r="D539" s="0" t="s">
        <v>121</v>
      </c>
      <c r="E539" s="0" t="n">
        <v>8035790180</v>
      </c>
      <c r="F539" s="0" t="s">
        <v>43</v>
      </c>
      <c r="G539" s="0" t="s">
        <v>2315</v>
      </c>
      <c r="H539" s="0" t="s">
        <v>1351</v>
      </c>
      <c r="I539" s="0" t="s">
        <v>87</v>
      </c>
      <c r="J539" s="0" t="s">
        <v>87</v>
      </c>
      <c r="K539" s="3" t="str">
        <f aca="false" t="array" ref="K539:K539">IFERROR(IF(J539&lt;&gt;"",J539,INDEX(J539:J1538,MATCH(1,(F539:F1538=F539)*(I539:I1538=I539)*(L539:L1538=L539)*(J539:J1538&lt;&gt;""),0))),"Not Found")</f>
        <v>Oil Change</v>
      </c>
      <c r="L539" s="3" t="s">
        <v>189</v>
      </c>
      <c r="M539" s="0" t="str">
        <f aca="false">PROPER(L539)</f>
        <v>Battery</v>
      </c>
      <c r="N539" s="3" t="s">
        <v>109</v>
      </c>
      <c r="O539" s="0" t="str">
        <f aca="false" t="array" ref="O539:O539">IF(N539&lt;&gt;"",N539,_xlfn.xlookup(1,(L539:L1538=L539)*(N539:N1538&lt;&gt;""),N539:N1538,"Not Found"))</f>
        <v>Tijani</v>
      </c>
      <c r="P539" s="4" t="n">
        <v>110814</v>
      </c>
      <c r="Q539" s="0" t="s">
        <v>166</v>
      </c>
      <c r="R539" s="0" t="str">
        <f aca="false">PROPER(Q539)</f>
        <v>Transfer</v>
      </c>
      <c r="S539" s="0" t="s">
        <v>50</v>
      </c>
      <c r="T539" s="0" t="n">
        <v>4</v>
      </c>
      <c r="U539" s="5" t="n">
        <f aca="false">IF(ISBLANK(T539),AVERAGE(T539:T1538),T539)</f>
        <v>4</v>
      </c>
      <c r="V539" s="0" t="n">
        <v>5.6</v>
      </c>
      <c r="W539" s="0" t="s">
        <v>92</v>
      </c>
      <c r="X539" s="0" t="str">
        <f aca="false">IF(ISBLANK(W539),"No remarks",W539)</f>
        <v>Urgent service</v>
      </c>
      <c r="Y539" s="0" t="s">
        <v>93</v>
      </c>
      <c r="Z539" s="0" t="s">
        <v>74</v>
      </c>
      <c r="AA539" s="0" t="str">
        <f aca="false">PROPER(IF(ISBLANK(Z539),"Location Unavailable",Z539))</f>
        <v>Under Tree</v>
      </c>
      <c r="AB539" s="0" t="s">
        <v>126</v>
      </c>
      <c r="AC539" s="6" t="str">
        <f aca="false">PROPER(AB539)</f>
        <v>Whatsapp</v>
      </c>
      <c r="AD539" s="6" t="n">
        <v>60</v>
      </c>
      <c r="AE539" s="5" t="n">
        <f aca="false">IF(ISBLANK(AD539),AVERAGEIF(L539:L1538,L539,AD539:AD1538),AD539)</f>
        <v>60</v>
      </c>
      <c r="AF539" s="0" t="s">
        <v>160</v>
      </c>
      <c r="AG539" s="0" t="str">
        <f aca="false">PROPER(AF539)</f>
        <v>Availaible</v>
      </c>
      <c r="AH539" s="0" t="s">
        <v>155</v>
      </c>
      <c r="AI539" s="0" t="s">
        <v>98</v>
      </c>
      <c r="AJ539" s="0" t="str">
        <f aca="false">PROPER(AI539)</f>
        <v>Emergency</v>
      </c>
      <c r="AK539" s="0" t="s">
        <v>196</v>
      </c>
      <c r="AL539" s="0" t="str">
        <f aca="false">PROPER(AK539)</f>
        <v>First Time</v>
      </c>
      <c r="AN539" s="0" t="str">
        <f aca="false">IF(ISBLANK(AM539),"Unknown",AM539)</f>
        <v>Unknown</v>
      </c>
      <c r="AO539" s="0" t="s">
        <v>79</v>
      </c>
      <c r="AP539" s="0" t="str">
        <f aca="false">IF(ISBLANK(AO539),"Unknown",AO539)</f>
        <v>Specialist</v>
      </c>
      <c r="AQ539" s="0" t="n">
        <v>30000</v>
      </c>
      <c r="AR539" s="5" t="n">
        <f aca="false">IF(ISBLANK(AQ539),AVERAGEIF(M539:M1538,M539,AQ539:AQ1538),AQ539)</f>
        <v>30000</v>
      </c>
      <c r="AT539" s="5" t="n">
        <f aca="false">IF(ISBLANK(AS539),AVERAGE(AS539:AS1538),AS539)</f>
        <v>31551.2820512821</v>
      </c>
      <c r="AU539" s="0" t="s">
        <v>82</v>
      </c>
      <c r="AV539" s="0" t="str">
        <f aca="false">PROPER(IF(ISBLANK(AU539),"No",AU539))</f>
        <v>Yes</v>
      </c>
      <c r="AW539" s="0" t="n">
        <v>10000</v>
      </c>
      <c r="AX539" s="5" t="n">
        <f aca="false">IF(ISBLANK(AW539),0,AW539)</f>
        <v>10000</v>
      </c>
      <c r="AY539" s="0" t="s">
        <v>80</v>
      </c>
      <c r="AZ539" s="0" t="str">
        <f aca="false">UPPER(IF(ISBLANK(AY539),"NONE",AY539))</f>
        <v>PROMO10</v>
      </c>
      <c r="BA539" s="7" t="n">
        <v>45871</v>
      </c>
      <c r="BB539" s="7" t="n">
        <f aca="false">IF(ISBLANK(BA539),"No Follow Up Needed",BA539)</f>
        <v>45871</v>
      </c>
      <c r="BD539" s="0" t="str">
        <f aca="false">PROPER(IF(ISBLANK(BC539),"Unknown",BC539))</f>
        <v>Unknown</v>
      </c>
      <c r="BE539" s="0" t="s">
        <v>171</v>
      </c>
      <c r="BF539" s="0" t="str">
        <f aca="false">IF(ISBLANK(BE539),"No comments",BE539)</f>
        <v>Shock absorber weakening</v>
      </c>
      <c r="BG539" s="0" t="s">
        <v>2320</v>
      </c>
      <c r="BH539" s="0" t="str">
        <f aca="false">IF(ISBLANK(BG539),"No comments",BG539)</f>
        <v>No complaints</v>
      </c>
      <c r="BI539" s="0" t="s">
        <v>50</v>
      </c>
      <c r="BJ539" s="0" t="str">
        <f aca="false">IF(ISBLANK(BI539),"Not Mentioned",BI539)</f>
        <v>No</v>
      </c>
      <c r="BL539" s="0" t="str">
        <f aca="false">PROPER(IF(ISBLANK(BK539),"Not Mentioned",BK539))</f>
        <v>Not Mentioned</v>
      </c>
      <c r="BM539" s="0" t="s">
        <v>63</v>
      </c>
      <c r="BN539" s="0" t="str">
        <f aca="false">PROPER(IF(ISBLANK(BM539),"Not Mentioned",BM539))</f>
        <v>Yes</v>
      </c>
      <c r="BO539" s="0" t="s">
        <v>2321</v>
      </c>
      <c r="BP539" s="0" t="str">
        <f aca="false">IF(ISBLANK(BO539),"One-Time Plan",BO539)</f>
        <v>One-Time Plan</v>
      </c>
      <c r="BR539" s="0" t="str">
        <f aca="false">PROPER(IF(ISBLANK(BQ539),"No",BQ539))</f>
        <v>No</v>
      </c>
    </row>
    <row r="540" customFormat="false" ht="15" hidden="false" customHeight="false" outlineLevel="0" collapsed="false">
      <c r="A540" s="0" t="s">
        <v>1352</v>
      </c>
      <c r="B540" s="2" t="s">
        <v>918</v>
      </c>
      <c r="C540" s="2" t="str">
        <f aca="false">TEXT(B540,"dd/mm/yyyy")</f>
        <v>13/04/2025</v>
      </c>
      <c r="D540" s="0" t="s">
        <v>105</v>
      </c>
      <c r="E540" s="0" t="n">
        <v>8099784876</v>
      </c>
      <c r="F540" s="0" t="s">
        <v>122</v>
      </c>
      <c r="G540" s="0" t="s">
        <v>2316</v>
      </c>
      <c r="H540" s="0" t="s">
        <v>1353</v>
      </c>
      <c r="I540" s="0" t="s">
        <v>134</v>
      </c>
      <c r="J540" s="0" t="s">
        <v>2317</v>
      </c>
      <c r="K540" s="3" t="str">
        <f aca="false" t="array" ref="K540:K540">IFERROR(IF(J540&lt;&gt;"",J540,INDEX(J540:J1539,MATCH(1,(F540:F1539=F540)*(I540:I1539=I540)*(L540:L1539=L540)*(J540:J1539&lt;&gt;""),0))),"Not Found")</f>
        <v>Suspension Noise</v>
      </c>
      <c r="L540" s="3" t="s">
        <v>154</v>
      </c>
      <c r="M540" s="0" t="str">
        <f aca="false">PROPER(L540)</f>
        <v>Air Filter</v>
      </c>
      <c r="N540" s="3" t="s">
        <v>90</v>
      </c>
      <c r="O540" s="0" t="str">
        <f aca="false" t="array" ref="O540:O540">IF(N540&lt;&gt;"",N540,_xlfn.xlookup(1,(L540:L1539=L540)*(N540:N1539&lt;&gt;""),N540:N1539,"Not Found"))</f>
        <v>Musa</v>
      </c>
      <c r="P540" s="4" t="n">
        <v>25533</v>
      </c>
      <c r="Q540" s="0" t="s">
        <v>166</v>
      </c>
      <c r="R540" s="0" t="str">
        <f aca="false">PROPER(Q540)</f>
        <v>Transfer</v>
      </c>
      <c r="S540" s="0" t="s">
        <v>50</v>
      </c>
      <c r="T540" s="0" t="n">
        <v>4</v>
      </c>
      <c r="U540" s="5" t="n">
        <f aca="false">IF(ISBLANK(T540),AVERAGE(T540:T1539),T540)</f>
        <v>4</v>
      </c>
      <c r="V540" s="0" t="n">
        <v>5.3</v>
      </c>
      <c r="W540" s="0" t="s">
        <v>51</v>
      </c>
      <c r="X540" s="0" t="str">
        <f aca="false">IF(ISBLANK(W540),"No remarks",W540)</f>
        <v>Recommended further checks</v>
      </c>
      <c r="Y540" s="0" t="s">
        <v>73</v>
      </c>
      <c r="Z540" s="0" t="s">
        <v>53</v>
      </c>
      <c r="AA540" s="0" t="str">
        <f aca="false">PROPER(IF(ISBLANK(Z540),"Location Unavailable",Z540))</f>
        <v>Main Bay</v>
      </c>
      <c r="AB540" s="0" t="s">
        <v>95</v>
      </c>
      <c r="AC540" s="6" t="str">
        <f aca="false">PROPER(AB540)</f>
        <v>Road Sign</v>
      </c>
      <c r="AE540" s="5" t="n">
        <f aca="false">IF(ISBLANK(AD540),AVERAGEIF(L540:L1539,L540,AD540:AD1539),AD540)</f>
        <v>36.8</v>
      </c>
      <c r="AF540" s="0" t="s">
        <v>55</v>
      </c>
      <c r="AG540" s="0" t="str">
        <f aca="false">PROPER(AF540)</f>
        <v>Available</v>
      </c>
      <c r="AH540" s="0" t="s">
        <v>56</v>
      </c>
      <c r="AI540" s="0" t="s">
        <v>98</v>
      </c>
      <c r="AJ540" s="0" t="str">
        <f aca="false">PROPER(AI540)</f>
        <v>Emergency</v>
      </c>
      <c r="AK540" s="0" t="s">
        <v>99</v>
      </c>
      <c r="AL540" s="0" t="str">
        <f aca="false">PROPER(AK540)</f>
        <v>Uber Driver</v>
      </c>
      <c r="AM540" s="0" t="s">
        <v>2326</v>
      </c>
      <c r="AN540" s="0" t="str">
        <f aca="false">IF(ISBLANK(AM540),"Unknown",AM540)</f>
        <v>Government Convoy</v>
      </c>
      <c r="AO540" s="0" t="s">
        <v>79</v>
      </c>
      <c r="AP540" s="0" t="str">
        <f aca="false">IF(ISBLANK(AO540),"Unknown",AO540)</f>
        <v>Specialist</v>
      </c>
      <c r="AR540" s="5" t="n">
        <f aca="false">IF(ISBLANK(AQ540),AVERAGEIF(M540:M1539,M540,AQ540:AQ1539),AQ540)</f>
        <v>26461.5384615385</v>
      </c>
      <c r="AS540" s="0" t="n">
        <v>35000</v>
      </c>
      <c r="AT540" s="5" t="n">
        <f aca="false">IF(ISBLANK(AS540),AVERAGE(AS540:AS1539),AS540)</f>
        <v>35000</v>
      </c>
      <c r="AU540" s="0" t="s">
        <v>50</v>
      </c>
      <c r="AV540" s="0" t="str">
        <f aca="false">PROPER(IF(ISBLANK(AU540),"No",AU540))</f>
        <v>No</v>
      </c>
      <c r="AW540" s="0" t="n">
        <v>5000</v>
      </c>
      <c r="AX540" s="5" t="n">
        <f aca="false">IF(ISBLANK(AW540),0,AW540)</f>
        <v>5000</v>
      </c>
      <c r="AY540" s="0" t="s">
        <v>184</v>
      </c>
      <c r="AZ540" s="0" t="str">
        <f aca="false">UPPER(IF(ISBLANK(AY540),"NONE",AY540))</f>
        <v>N/A</v>
      </c>
      <c r="BA540" s="7" t="s">
        <v>1019</v>
      </c>
      <c r="BB540" s="7" t="str">
        <f aca="false">IF(ISBLANK(BA540),"No Follow Up Needed",BA540)</f>
        <v>31/07/2025</v>
      </c>
      <c r="BC540" s="0" t="s">
        <v>61</v>
      </c>
      <c r="BD540" s="0" t="str">
        <f aca="false">PROPER(IF(ISBLANK(BC540),"Unknown",BC540))</f>
        <v>No</v>
      </c>
      <c r="BF540" s="0" t="str">
        <f aca="false">IF(ISBLANK(BE540),"No comments",BE540)</f>
        <v>No comments</v>
      </c>
      <c r="BH540" s="0" t="str">
        <f aca="false">IF(ISBLANK(BG540),"No comments",BG540)</f>
        <v>No comments</v>
      </c>
      <c r="BI540" s="0" t="s">
        <v>50</v>
      </c>
      <c r="BJ540" s="0" t="str">
        <f aca="false">IF(ISBLANK(BI540),"Not Mentioned",BI540)</f>
        <v>No</v>
      </c>
      <c r="BK540" s="0" t="s">
        <v>82</v>
      </c>
      <c r="BL540" s="0" t="str">
        <f aca="false">PROPER(IF(ISBLANK(BK540),"Not Mentioned",BK540))</f>
        <v>Yes</v>
      </c>
      <c r="BN540" s="0" t="str">
        <f aca="false">PROPER(IF(ISBLANK(BM540),"Not Mentioned",BM540))</f>
        <v>Not Mentioned</v>
      </c>
      <c r="BO540" s="0" t="s">
        <v>2321</v>
      </c>
      <c r="BP540" s="0" t="str">
        <f aca="false">IF(ISBLANK(BO540),"One-Time Plan",BO540)</f>
        <v>One-Time Plan</v>
      </c>
      <c r="BR540" s="0" t="str">
        <f aca="false">PROPER(IF(ISBLANK(BQ540),"No",BQ540))</f>
        <v>No</v>
      </c>
    </row>
    <row r="541" customFormat="false" ht="15" hidden="false" customHeight="false" outlineLevel="0" collapsed="false">
      <c r="A541" s="0" t="s">
        <v>1354</v>
      </c>
      <c r="B541" s="2" t="n">
        <v>45720</v>
      </c>
      <c r="C541" s="2" t="str">
        <f aca="false">TEXT(B541,"dd/mm/yyyy")</f>
        <v>04/03/2025</v>
      </c>
      <c r="D541" s="0" t="s">
        <v>121</v>
      </c>
      <c r="E541" s="0" t="n">
        <v>8018478733</v>
      </c>
      <c r="F541" s="0" t="s">
        <v>43</v>
      </c>
      <c r="G541" s="0" t="s">
        <v>2315</v>
      </c>
      <c r="H541" s="0" t="s">
        <v>1355</v>
      </c>
      <c r="I541" s="0" t="s">
        <v>45</v>
      </c>
      <c r="J541" s="0" t="s">
        <v>2317</v>
      </c>
      <c r="K541" s="3" t="str">
        <f aca="false" t="array" ref="K541:K541">IFERROR(IF(J541&lt;&gt;"",J541,INDEX(J541:J1540,MATCH(1,(F541:F1540=F541)*(I541:I1540=I541)*(L541:L1540=L541)*(J541:J1540&lt;&gt;""),0))),"Not Found")</f>
        <v>Suspension Noise</v>
      </c>
      <c r="L541" s="3" t="s">
        <v>189</v>
      </c>
      <c r="M541" s="0" t="str">
        <f aca="false">PROPER(L541)</f>
        <v>Battery</v>
      </c>
      <c r="N541" s="3" t="s">
        <v>109</v>
      </c>
      <c r="O541" s="0" t="str">
        <f aca="false" t="array" ref="O541:O541">IF(N541&lt;&gt;"",N541,_xlfn.xlookup(1,(L541:L1540=L541)*(N541:N1540&lt;&gt;""),N541:N1540,"Not Found"))</f>
        <v>Tijani</v>
      </c>
      <c r="P541" s="4" t="n">
        <v>114498</v>
      </c>
      <c r="Q541" s="0" t="s">
        <v>166</v>
      </c>
      <c r="R541" s="0" t="str">
        <f aca="false">PROPER(Q541)</f>
        <v>Transfer</v>
      </c>
      <c r="S541" s="0" t="s">
        <v>63</v>
      </c>
      <c r="U541" s="5" t="n">
        <f aca="false">IF(ISBLANK(T541),AVERAGE(T541:T1540),T541)</f>
        <v>3.07894736842105</v>
      </c>
      <c r="V541" s="0" t="n">
        <v>4.1</v>
      </c>
      <c r="W541" s="0" t="s">
        <v>125</v>
      </c>
      <c r="X541" s="0" t="str">
        <f aca="false">IF(ISBLANK(W541),"No remarks",W541)</f>
        <v>Customer waited</v>
      </c>
      <c r="Y541" s="0" t="s">
        <v>52</v>
      </c>
      <c r="Z541" s="0" t="s">
        <v>159</v>
      </c>
      <c r="AA541" s="0" t="str">
        <f aca="false">PROPER(IF(ISBLANK(Z541),"Location Unavailable",Z541))</f>
        <v>Main Bay</v>
      </c>
      <c r="AB541" s="0" t="s">
        <v>147</v>
      </c>
      <c r="AC541" s="6" t="str">
        <f aca="false">PROPER(AB541)</f>
        <v>Instagram</v>
      </c>
      <c r="AD541" s="6" t="n">
        <v>15</v>
      </c>
      <c r="AE541" s="5" t="n">
        <f aca="false">IF(ISBLANK(AD541),AVERAGEIF(L541:L1540,L541,AD541:AD1540),AD541)</f>
        <v>15</v>
      </c>
      <c r="AF541" s="0" t="s">
        <v>96</v>
      </c>
      <c r="AG541" s="0" t="str">
        <f aca="false">PROPER(AF541)</f>
        <v>Ordered</v>
      </c>
      <c r="AH541" s="0" t="s">
        <v>155</v>
      </c>
      <c r="AI541" s="0" t="s">
        <v>98</v>
      </c>
      <c r="AJ541" s="0" t="str">
        <f aca="false">PROPER(AI541)</f>
        <v>Emergency</v>
      </c>
      <c r="AK541" s="0" t="s">
        <v>196</v>
      </c>
      <c r="AL541" s="0" t="str">
        <f aca="false">PROPER(AK541)</f>
        <v>First Time</v>
      </c>
      <c r="AN541" s="0" t="str">
        <f aca="false">IF(ISBLANK(AM541),"Unknown",AM541)</f>
        <v>Unknown</v>
      </c>
      <c r="AO541" s="0" t="s">
        <v>79</v>
      </c>
      <c r="AP541" s="0" t="str">
        <f aca="false">IF(ISBLANK(AO541),"Unknown",AO541)</f>
        <v>Specialist</v>
      </c>
      <c r="AQ541" s="0" t="n">
        <v>40000</v>
      </c>
      <c r="AR541" s="5" t="n">
        <f aca="false">IF(ISBLANK(AQ541),AVERAGEIF(M541:M1540,M541,AQ541:AQ1540),AQ541)</f>
        <v>40000</v>
      </c>
      <c r="AS541" s="0" t="n">
        <v>30000</v>
      </c>
      <c r="AT541" s="5" t="n">
        <f aca="false">IF(ISBLANK(AS541),AVERAGE(AS541:AS1540),AS541)</f>
        <v>30000</v>
      </c>
      <c r="AV541" s="0" t="str">
        <f aca="false">PROPER(IF(ISBLANK(AU541),"No",AU541))</f>
        <v>No</v>
      </c>
      <c r="AW541" s="0" t="n">
        <v>0</v>
      </c>
      <c r="AX541" s="5" t="n">
        <f aca="false">IF(ISBLANK(AW541),0,AW541)</f>
        <v>0</v>
      </c>
      <c r="AY541" s="0" t="s">
        <v>130</v>
      </c>
      <c r="AZ541" s="0" t="str">
        <f aca="false">UPPER(IF(ISBLANK(AY541),"NONE",AY541))</f>
        <v>LOYALTY10</v>
      </c>
      <c r="BB541" s="7" t="str">
        <f aca="false">IF(ISBLANK(BA541),"No Follow Up Needed",BA541)</f>
        <v>No Follow Up Needed</v>
      </c>
      <c r="BD541" s="0" t="str">
        <f aca="false">PROPER(IF(ISBLANK(BC541),"Unknown",BC541))</f>
        <v>Unknown</v>
      </c>
      <c r="BF541" s="0" t="str">
        <f aca="false">IF(ISBLANK(BE541),"No comments",BE541)</f>
        <v>No comments</v>
      </c>
      <c r="BH541" s="0" t="str">
        <f aca="false">IF(ISBLANK(BG541),"No comments",BG541)</f>
        <v>No comments</v>
      </c>
      <c r="BI541" s="0" t="s">
        <v>50</v>
      </c>
      <c r="BJ541" s="0" t="str">
        <f aca="false">IF(ISBLANK(BI541),"Not Mentioned",BI541)</f>
        <v>No</v>
      </c>
      <c r="BL541" s="0" t="str">
        <f aca="false">PROPER(IF(ISBLANK(BK541),"Not Mentioned",BK541))</f>
        <v>Not Mentioned</v>
      </c>
      <c r="BM541" s="0" t="s">
        <v>63</v>
      </c>
      <c r="BN541" s="0" t="str">
        <f aca="false">PROPER(IF(ISBLANK(BM541),"Not Mentioned",BM541))</f>
        <v>Yes</v>
      </c>
      <c r="BP541" s="0" t="str">
        <f aca="false">IF(ISBLANK(BO541),"One-Time Plan",BO541)</f>
        <v>One-Time Plan</v>
      </c>
      <c r="BQ541" s="0" t="s">
        <v>50</v>
      </c>
      <c r="BR541" s="0" t="str">
        <f aca="false">PROPER(IF(ISBLANK(BQ541),"No",BQ541))</f>
        <v>No</v>
      </c>
    </row>
    <row r="542" customFormat="false" ht="15" hidden="false" customHeight="false" outlineLevel="0" collapsed="false">
      <c r="A542" s="0" t="s">
        <v>1356</v>
      </c>
      <c r="B542" s="2" t="n">
        <v>45698</v>
      </c>
      <c r="C542" s="2" t="str">
        <f aca="false">TEXT(B542,"dd/mm/yyyy")</f>
        <v>10/02/2025</v>
      </c>
      <c r="D542" s="0" t="s">
        <v>42</v>
      </c>
      <c r="E542" s="0" t="n">
        <v>8039604115</v>
      </c>
      <c r="F542" s="0" t="s">
        <v>67</v>
      </c>
      <c r="G542" s="0" t="s">
        <v>2316</v>
      </c>
      <c r="H542" s="0" t="s">
        <v>1357</v>
      </c>
      <c r="I542" s="0" t="s">
        <v>134</v>
      </c>
      <c r="J542" s="0" t="s">
        <v>2317</v>
      </c>
      <c r="K542" s="3" t="str">
        <f aca="false" t="array" ref="K542:K542">IFERROR(IF(J542&lt;&gt;"",J542,INDEX(J542:J1541,MATCH(1,(F542:F1541=F542)*(I542:I1541=I542)*(L542:L1541=L542)*(J542:J1541&lt;&gt;""),0))),"Not Found")</f>
        <v>Suspension Noise</v>
      </c>
      <c r="L542" s="3" t="s">
        <v>47</v>
      </c>
      <c r="M542" s="0" t="str">
        <f aca="false">PROPER(L542)</f>
        <v>None</v>
      </c>
      <c r="O542" s="0" t="e">
        <f aca="false" t="array" ref="O542:O542">IF(N542&lt;&gt;"",N542,_xlfn.xlookup(1,(L542:L1541=L542)*(N542:N1541&lt;&gt;""),N542:N1541,"Not Found"))</f>
        <v>#NAME?</v>
      </c>
      <c r="P542" s="4" t="n">
        <v>112708</v>
      </c>
      <c r="Q542" s="0" t="s">
        <v>166</v>
      </c>
      <c r="R542" s="0" t="str">
        <f aca="false">PROPER(Q542)</f>
        <v>Transfer</v>
      </c>
      <c r="S542" s="0" t="s">
        <v>50</v>
      </c>
      <c r="U542" s="5" t="n">
        <f aca="false">IF(ISBLANK(T542),AVERAGE(T542:T1541),T542)</f>
        <v>3.07894736842105</v>
      </c>
      <c r="V542" s="0" t="n">
        <v>4.5</v>
      </c>
      <c r="X542" s="0" t="str">
        <f aca="false">IF(ISBLANK(W542),"No remarks",W542)</f>
        <v>No remarks</v>
      </c>
      <c r="Y542" s="0" t="s">
        <v>52</v>
      </c>
      <c r="Z542" s="0" t="s">
        <v>74</v>
      </c>
      <c r="AA542" s="0" t="str">
        <f aca="false">PROPER(IF(ISBLANK(Z542),"Location Unavailable",Z542))</f>
        <v>Under Tree</v>
      </c>
      <c r="AB542" s="0" t="s">
        <v>126</v>
      </c>
      <c r="AC542" s="6" t="str">
        <f aca="false">PROPER(AB542)</f>
        <v>Whatsapp</v>
      </c>
      <c r="AD542" s="6" t="n">
        <v>15</v>
      </c>
      <c r="AE542" s="5" t="n">
        <f aca="false">IF(ISBLANK(AD542),AVERAGEIF(L542:L1541,L542,AD542:AD1541),AD542)</f>
        <v>15</v>
      </c>
      <c r="AF542" s="0" t="s">
        <v>55</v>
      </c>
      <c r="AG542" s="0" t="str">
        <f aca="false">PROPER(AF542)</f>
        <v>Available</v>
      </c>
      <c r="AH542" s="0" t="s">
        <v>148</v>
      </c>
      <c r="AI542" s="0" t="s">
        <v>98</v>
      </c>
      <c r="AJ542" s="0" t="str">
        <f aca="false">PROPER(AI542)</f>
        <v>Emergency</v>
      </c>
      <c r="AK542" s="0" t="s">
        <v>114</v>
      </c>
      <c r="AL542" s="0" t="str">
        <f aca="false">PROPER(AK542)</f>
        <v>Returning</v>
      </c>
      <c r="AN542" s="0" t="str">
        <f aca="false">IF(ISBLANK(AM542),"Unknown",AM542)</f>
        <v>Unknown</v>
      </c>
      <c r="AO542" s="0" t="s">
        <v>149</v>
      </c>
      <c r="AP542" s="0" t="str">
        <f aca="false">IF(ISBLANK(AO542),"Unknown",AO542)</f>
        <v>Senior </v>
      </c>
      <c r="AQ542" s="0" t="n">
        <v>20000</v>
      </c>
      <c r="AR542" s="5" t="n">
        <f aca="false">IF(ISBLANK(AQ542),AVERAGEIF(M542:M1541,M542,AQ542:AQ1541),AQ542)</f>
        <v>20000</v>
      </c>
      <c r="AT542" s="5" t="n">
        <f aca="false">IF(ISBLANK(AS542),AVERAGE(AS542:AS1541),AS542)</f>
        <v>31546.3917525773</v>
      </c>
      <c r="AV542" s="0" t="str">
        <f aca="false">PROPER(IF(ISBLANK(AU542),"No",AU542))</f>
        <v>No</v>
      </c>
      <c r="AW542" s="0" t="n">
        <v>10000</v>
      </c>
      <c r="AX542" s="5" t="n">
        <f aca="false">IF(ISBLANK(AW542),0,AW542)</f>
        <v>10000</v>
      </c>
      <c r="AY542" s="0" t="s">
        <v>60</v>
      </c>
      <c r="AZ542" s="0" t="str">
        <f aca="false">UPPER(IF(ISBLANK(AY542),"NONE",AY542))</f>
        <v>NONE</v>
      </c>
      <c r="BA542" s="7" t="n">
        <v>45903</v>
      </c>
      <c r="BB542" s="7" t="n">
        <f aca="false">IF(ISBLANK(BA542),"No Follow Up Needed",BA542)</f>
        <v>45903</v>
      </c>
      <c r="BC542" s="0" t="s">
        <v>82</v>
      </c>
      <c r="BD542" s="0" t="str">
        <f aca="false">PROPER(IF(ISBLANK(BC542),"Unknown",BC542))</f>
        <v>Yes</v>
      </c>
      <c r="BF542" s="0" t="str">
        <f aca="false">IF(ISBLANK(BE542),"No comments",BE542)</f>
        <v>No comments</v>
      </c>
      <c r="BH542" s="0" t="str">
        <f aca="false">IF(ISBLANK(BG542),"No comments",BG542)</f>
        <v>No comments</v>
      </c>
      <c r="BJ542" s="0" t="str">
        <f aca="false">IF(ISBLANK(BI542),"Not Mentioned",BI542)</f>
        <v>Not Mentioned</v>
      </c>
      <c r="BK542" s="0" t="s">
        <v>50</v>
      </c>
      <c r="BL542" s="0" t="str">
        <f aca="false">PROPER(IF(ISBLANK(BK542),"Not Mentioned",BK542))</f>
        <v>No</v>
      </c>
      <c r="BM542" s="0" t="s">
        <v>63</v>
      </c>
      <c r="BN542" s="0" t="str">
        <f aca="false">PROPER(IF(ISBLANK(BM542),"Not Mentioned",BM542))</f>
        <v>Yes</v>
      </c>
      <c r="BO542" s="0" t="s">
        <v>2321</v>
      </c>
      <c r="BP542" s="0" t="str">
        <f aca="false">IF(ISBLANK(BO542),"One-Time Plan",BO542)</f>
        <v>One-Time Plan</v>
      </c>
      <c r="BQ542" s="0" t="s">
        <v>50</v>
      </c>
      <c r="BR542" s="0" t="str">
        <f aca="false">PROPER(IF(ISBLANK(BQ542),"No",BQ542))</f>
        <v>No</v>
      </c>
    </row>
    <row r="543" customFormat="false" ht="15" hidden="false" customHeight="false" outlineLevel="0" collapsed="false">
      <c r="A543" s="0" t="s">
        <v>1359</v>
      </c>
      <c r="B543" s="2" t="s">
        <v>1358</v>
      </c>
      <c r="C543" s="2" t="str">
        <f aca="false">TEXT(B543,"dd/mm/yyyy")</f>
        <v>23/02/2025</v>
      </c>
      <c r="D543" s="0" t="s">
        <v>66</v>
      </c>
      <c r="E543" s="0" t="n">
        <v>8022965862</v>
      </c>
      <c r="F543" s="0" t="s">
        <v>139</v>
      </c>
      <c r="G543" s="0" t="s">
        <v>2323</v>
      </c>
      <c r="H543" s="0" t="s">
        <v>1360</v>
      </c>
      <c r="I543" s="0" t="s">
        <v>134</v>
      </c>
      <c r="J543" s="0" t="s">
        <v>2322</v>
      </c>
      <c r="K543" s="3" t="str">
        <f aca="false" t="array" ref="K543:K543">IFERROR(IF(J543&lt;&gt;"",J543,INDEX(J543:J1542,MATCH(1,(F543:F1542=F543)*(I543:I1542=I543)*(L543:L1542=L543)*(J543:J1542&lt;&gt;""),0))),"Not Found")</f>
        <v>Brake Failure</v>
      </c>
      <c r="L543" s="3" t="s">
        <v>142</v>
      </c>
      <c r="M543" s="0" t="str">
        <f aca="false">PROPER(L543)</f>
        <v>Oil Filter, Brake Pads</v>
      </c>
      <c r="N543" s="3" t="s">
        <v>109</v>
      </c>
      <c r="O543" s="0" t="str">
        <f aca="false" t="array" ref="O543:O543">IF(N543&lt;&gt;"",N543,_xlfn.xlookup(1,(L543:L1542=L543)*(N543:N1542&lt;&gt;""),N543:N1542,"Not Found"))</f>
        <v>Tijani</v>
      </c>
      <c r="P543" s="4" t="n">
        <v>77394</v>
      </c>
      <c r="Q543" s="0" t="s">
        <v>166</v>
      </c>
      <c r="R543" s="0" t="str">
        <f aca="false">PROPER(Q543)</f>
        <v>Transfer</v>
      </c>
      <c r="S543" s="0" t="s">
        <v>50</v>
      </c>
      <c r="T543" s="0" t="n">
        <v>2</v>
      </c>
      <c r="U543" s="5" t="n">
        <f aca="false">IF(ISBLANK(T543),AVERAGE(T543:T1542),T543)</f>
        <v>2</v>
      </c>
      <c r="V543" s="0" t="n">
        <v>1</v>
      </c>
      <c r="W543" s="0" t="s">
        <v>51</v>
      </c>
      <c r="X543" s="0" t="str">
        <f aca="false">IF(ISBLANK(W543),"No remarks",W543)</f>
        <v>Recommended further checks</v>
      </c>
      <c r="Y543" s="0" t="s">
        <v>73</v>
      </c>
      <c r="Z543" s="0" t="s">
        <v>159</v>
      </c>
      <c r="AA543" s="0" t="str">
        <f aca="false">PROPER(IF(ISBLANK(Z543),"Location Unavailable",Z543))</f>
        <v>Main Bay</v>
      </c>
      <c r="AB543" s="0" t="s">
        <v>147</v>
      </c>
      <c r="AC543" s="6" t="str">
        <f aca="false">PROPER(AB543)</f>
        <v>Instagram</v>
      </c>
      <c r="AD543" s="6" t="n">
        <v>45</v>
      </c>
      <c r="AE543" s="5" t="n">
        <f aca="false">IF(ISBLANK(AD543),AVERAGEIF(L543:L1542,L543,AD543:AD1542),AD543)</f>
        <v>45</v>
      </c>
      <c r="AF543" s="0" t="s">
        <v>160</v>
      </c>
      <c r="AG543" s="0" t="str">
        <f aca="false">PROPER(AF543)</f>
        <v>Availaible</v>
      </c>
      <c r="AH543" s="0" t="s">
        <v>155</v>
      </c>
      <c r="AI543" s="0" t="s">
        <v>78</v>
      </c>
      <c r="AJ543" s="0" t="str">
        <f aca="false">PROPER(AI543)</f>
        <v>Booking</v>
      </c>
      <c r="AK543" s="0" t="s">
        <v>196</v>
      </c>
      <c r="AL543" s="0" t="str">
        <f aca="false">PROPER(AK543)</f>
        <v>First Time</v>
      </c>
      <c r="AM543" s="0" t="s">
        <v>2326</v>
      </c>
      <c r="AN543" s="0" t="str">
        <f aca="false">IF(ISBLANK(AM543),"Unknown",AM543)</f>
        <v>Government Convoy</v>
      </c>
      <c r="AO543" s="0" t="s">
        <v>149</v>
      </c>
      <c r="AP543" s="0" t="str">
        <f aca="false">IF(ISBLANK(AO543),"Unknown",AO543)</f>
        <v>Senior </v>
      </c>
      <c r="AQ543" s="0" t="n">
        <v>15000</v>
      </c>
      <c r="AR543" s="5" t="n">
        <f aca="false">IF(ISBLANK(AQ543),AVERAGEIF(M543:M1542,M543,AQ543:AQ1542),AQ543)</f>
        <v>15000</v>
      </c>
      <c r="AT543" s="5" t="n">
        <f aca="false">IF(ISBLANK(AS543),AVERAGE(AS543:AS1542),AS543)</f>
        <v>31546.3917525773</v>
      </c>
      <c r="AU543" s="0" t="s">
        <v>61</v>
      </c>
      <c r="AV543" s="0" t="str">
        <f aca="false">PROPER(IF(ISBLANK(AU543),"No",AU543))</f>
        <v>No</v>
      </c>
      <c r="AW543" s="0" t="n">
        <v>0</v>
      </c>
      <c r="AX543" s="5" t="n">
        <f aca="false">IF(ISBLANK(AW543),0,AW543)</f>
        <v>0</v>
      </c>
      <c r="AY543" s="0" t="s">
        <v>184</v>
      </c>
      <c r="AZ543" s="0" t="str">
        <f aca="false">UPPER(IF(ISBLANK(AY543),"NONE",AY543))</f>
        <v>N/A</v>
      </c>
      <c r="BB543" s="7" t="str">
        <f aca="false">IF(ISBLANK(BA543),"No Follow Up Needed",BA543)</f>
        <v>No Follow Up Needed</v>
      </c>
      <c r="BC543" s="0" t="s">
        <v>61</v>
      </c>
      <c r="BD543" s="0" t="str">
        <f aca="false">PROPER(IF(ISBLANK(BC543),"Unknown",BC543))</f>
        <v>No</v>
      </c>
      <c r="BF543" s="0" t="str">
        <f aca="false">IF(ISBLANK(BE543),"No comments",BE543)</f>
        <v>No comments</v>
      </c>
      <c r="BH543" s="0" t="str">
        <f aca="false">IF(ISBLANK(BG543),"No comments",BG543)</f>
        <v>No comments</v>
      </c>
      <c r="BI543" s="0" t="s">
        <v>50</v>
      </c>
      <c r="BJ543" s="0" t="str">
        <f aca="false">IF(ISBLANK(BI543),"Not Mentioned",BI543)</f>
        <v>No</v>
      </c>
      <c r="BK543" s="0" t="s">
        <v>61</v>
      </c>
      <c r="BL543" s="0" t="str">
        <f aca="false">PROPER(IF(ISBLANK(BK543),"Not Mentioned",BK543))</f>
        <v>No</v>
      </c>
      <c r="BM543" s="0" t="s">
        <v>63</v>
      </c>
      <c r="BN543" s="0" t="str">
        <f aca="false">PROPER(IF(ISBLANK(BM543),"Not Mentioned",BM543))</f>
        <v>Yes</v>
      </c>
      <c r="BO543" s="0" t="s">
        <v>2318</v>
      </c>
      <c r="BP543" s="0" t="str">
        <f aca="false">IF(ISBLANK(BO543),"One-Time Plan",BO543)</f>
        <v>Gold</v>
      </c>
      <c r="BQ543" s="0" t="s">
        <v>63</v>
      </c>
      <c r="BR543" s="0" t="str">
        <f aca="false">PROPER(IF(ISBLANK(BQ543),"No",BQ543))</f>
        <v>Yes</v>
      </c>
    </row>
    <row r="544" customFormat="false" ht="15" hidden="false" customHeight="false" outlineLevel="0" collapsed="false">
      <c r="A544" s="0" t="s">
        <v>1361</v>
      </c>
      <c r="B544" s="2" t="n">
        <v>45745</v>
      </c>
      <c r="C544" s="2" t="str">
        <f aca="false">TEXT(B544,"dd/mm/yyyy")</f>
        <v>29/03/2025</v>
      </c>
      <c r="D544" s="0" t="s">
        <v>163</v>
      </c>
      <c r="E544" s="0" t="n">
        <v>8099135168</v>
      </c>
      <c r="F544" s="0" t="s">
        <v>67</v>
      </c>
      <c r="G544" s="0" t="s">
        <v>2316</v>
      </c>
      <c r="H544" s="0" t="s">
        <v>1362</v>
      </c>
      <c r="I544" s="0" t="s">
        <v>69</v>
      </c>
      <c r="J544" s="0" t="s">
        <v>2322</v>
      </c>
      <c r="K544" s="3" t="str">
        <f aca="false" t="array" ref="K544:K544">IFERROR(IF(J544&lt;&gt;"",J544,INDEX(J544:J1543,MATCH(1,(F544:F1543=F544)*(I544:I1543=I544)*(L544:L1543=L544)*(J544:J1543&lt;&gt;""),0))),"Not Found")</f>
        <v>Brake Failure</v>
      </c>
      <c r="L544" s="3" t="s">
        <v>142</v>
      </c>
      <c r="M544" s="0" t="str">
        <f aca="false">PROPER(L544)</f>
        <v>Oil Filter, Brake Pads</v>
      </c>
      <c r="N544" s="3" t="s">
        <v>71</v>
      </c>
      <c r="O544" s="0" t="str">
        <f aca="false" t="array" ref="O544:O544">IF(N544&lt;&gt;"",N544,_xlfn.xlookup(1,(L544:L1543=L544)*(N544:N1543&lt;&gt;""),N544:N1543,"Not Found"))</f>
        <v>Isaac Bobo</v>
      </c>
      <c r="P544" s="4" t="n">
        <v>26074</v>
      </c>
      <c r="Q544" s="0" t="s">
        <v>91</v>
      </c>
      <c r="R544" s="0" t="str">
        <f aca="false">PROPER(Q544)</f>
        <v>Pos</v>
      </c>
      <c r="S544" s="0" t="s">
        <v>50</v>
      </c>
      <c r="T544" s="0" t="n">
        <v>2</v>
      </c>
      <c r="U544" s="5" t="n">
        <f aca="false">IF(ISBLANK(T544),AVERAGE(T544:T1543),T544)</f>
        <v>2</v>
      </c>
      <c r="V544" s="0" t="n">
        <v>1.9</v>
      </c>
      <c r="W544" s="0" t="s">
        <v>51</v>
      </c>
      <c r="X544" s="0" t="str">
        <f aca="false">IF(ISBLANK(W544),"No remarks",W544)</f>
        <v>Recommended further checks</v>
      </c>
      <c r="Y544" s="0" t="s">
        <v>52</v>
      </c>
      <c r="Z544" s="0" t="s">
        <v>53</v>
      </c>
      <c r="AA544" s="0" t="str">
        <f aca="false">PROPER(IF(ISBLANK(Z544),"Location Unavailable",Z544))</f>
        <v>Main Bay</v>
      </c>
      <c r="AB544" s="0" t="s">
        <v>95</v>
      </c>
      <c r="AC544" s="6" t="str">
        <f aca="false">PROPER(AB544)</f>
        <v>Road Sign</v>
      </c>
      <c r="AE544" s="5" t="n">
        <f aca="false">IF(ISBLANK(AD544),AVERAGEIF(L544:L1543,L544,AD544:AD1543),AD544)</f>
        <v>40</v>
      </c>
      <c r="AF544" s="0" t="s">
        <v>55</v>
      </c>
      <c r="AG544" s="0" t="str">
        <f aca="false">PROPER(AF544)</f>
        <v>Available</v>
      </c>
      <c r="AH544" s="0" t="s">
        <v>77</v>
      </c>
      <c r="AI544" s="0" t="s">
        <v>98</v>
      </c>
      <c r="AJ544" s="0" t="str">
        <f aca="false">PROPER(AI544)</f>
        <v>Emergency</v>
      </c>
      <c r="AK544" s="0" t="s">
        <v>58</v>
      </c>
      <c r="AL544" s="0" t="str">
        <f aca="false">PROPER(AK544)</f>
        <v>Fleet Owner</v>
      </c>
      <c r="AM544" s="0" t="s">
        <v>2324</v>
      </c>
      <c r="AN544" s="0" t="str">
        <f aca="false">IF(ISBLANK(AM544),"Unknown",AM544)</f>
        <v>Logistics Convoy</v>
      </c>
      <c r="AO544" s="0" t="s">
        <v>79</v>
      </c>
      <c r="AP544" s="0" t="str">
        <f aca="false">IF(ISBLANK(AO544),"Unknown",AO544)</f>
        <v>Specialist</v>
      </c>
      <c r="AR544" s="5" t="n">
        <f aca="false">IF(ISBLANK(AQ544),AVERAGEIF(M544:M1543,M544,AQ544:AQ1543),AQ544)</f>
        <v>27265.625</v>
      </c>
      <c r="AS544" s="0" t="n">
        <v>30000</v>
      </c>
      <c r="AT544" s="5" t="n">
        <f aca="false">IF(ISBLANK(AS544),AVERAGE(AS544:AS1543),AS544)</f>
        <v>30000</v>
      </c>
      <c r="AU544" s="0" t="s">
        <v>50</v>
      </c>
      <c r="AV544" s="0" t="str">
        <f aca="false">PROPER(IF(ISBLANK(AU544),"No",AU544))</f>
        <v>No</v>
      </c>
      <c r="AW544" s="0" t="n">
        <v>10000</v>
      </c>
      <c r="AX544" s="5" t="n">
        <f aca="false">IF(ISBLANK(AW544),0,AW544)</f>
        <v>10000</v>
      </c>
      <c r="AY544" s="0" t="s">
        <v>130</v>
      </c>
      <c r="AZ544" s="0" t="str">
        <f aca="false">UPPER(IF(ISBLANK(AY544),"NONE",AY544))</f>
        <v>LOYALTY10</v>
      </c>
      <c r="BA544" s="7" t="s">
        <v>1363</v>
      </c>
      <c r="BB544" s="7" t="str">
        <f aca="false">IF(ISBLANK(BA544),"No Follow Up Needed",BA544)</f>
        <v>30/09/2025</v>
      </c>
      <c r="BC544" s="0" t="s">
        <v>63</v>
      </c>
      <c r="BD544" s="0" t="str">
        <f aca="false">PROPER(IF(ISBLANK(BC544),"Unknown",BC544))</f>
        <v>Yes</v>
      </c>
      <c r="BF544" s="0" t="str">
        <f aca="false">IF(ISBLANK(BE544),"No comments",BE544)</f>
        <v>No comments</v>
      </c>
      <c r="BG544" s="0" t="s">
        <v>2320</v>
      </c>
      <c r="BH544" s="0" t="str">
        <f aca="false">IF(ISBLANK(BG544),"No comments",BG544)</f>
        <v>No complaints</v>
      </c>
      <c r="BI544" s="0" t="s">
        <v>63</v>
      </c>
      <c r="BJ544" s="0" t="str">
        <f aca="false">IF(ISBLANK(BI544),"Not Mentioned",BI544)</f>
        <v>Yes</v>
      </c>
      <c r="BL544" s="0" t="str">
        <f aca="false">PROPER(IF(ISBLANK(BK544),"Not Mentioned",BK544))</f>
        <v>Not Mentioned</v>
      </c>
      <c r="BM544" s="0" t="s">
        <v>63</v>
      </c>
      <c r="BN544" s="0" t="str">
        <f aca="false">PROPER(IF(ISBLANK(BM544),"Not Mentioned",BM544))</f>
        <v>Yes</v>
      </c>
      <c r="BO544" s="0" t="s">
        <v>2321</v>
      </c>
      <c r="BP544" s="0" t="str">
        <f aca="false">IF(ISBLANK(BO544),"One-Time Plan",BO544)</f>
        <v>One-Time Plan</v>
      </c>
      <c r="BQ544" s="0" t="s">
        <v>50</v>
      </c>
      <c r="BR544" s="0" t="str">
        <f aca="false">PROPER(IF(ISBLANK(BQ544),"No",BQ544))</f>
        <v>No</v>
      </c>
    </row>
    <row r="545" customFormat="false" ht="15" hidden="false" customHeight="false" outlineLevel="0" collapsed="false">
      <c r="A545" s="0" t="s">
        <v>1364</v>
      </c>
      <c r="B545" s="2" t="n">
        <v>45677</v>
      </c>
      <c r="C545" s="2" t="str">
        <f aca="false">TEXT(B545,"dd/mm/yyyy")</f>
        <v>20/01/2025</v>
      </c>
      <c r="D545" s="0" t="s">
        <v>121</v>
      </c>
      <c r="E545" s="0" t="n">
        <v>8032532859</v>
      </c>
      <c r="F545" s="0" t="s">
        <v>139</v>
      </c>
      <c r="G545" s="0" t="s">
        <v>2323</v>
      </c>
      <c r="H545" s="0" t="s">
        <v>1365</v>
      </c>
      <c r="I545" s="0" t="s">
        <v>69</v>
      </c>
      <c r="J545" s="0" t="s">
        <v>87</v>
      </c>
      <c r="K545" s="3" t="str">
        <f aca="false" t="array" ref="K545:K545">IFERROR(IF(J545&lt;&gt;"",J545,INDEX(J545:J1544,MATCH(1,(F545:F1544=F545)*(I545:I1544=I545)*(L545:L1544=L545)*(J545:J1544&lt;&gt;""),0))),"Not Found")</f>
        <v>Oil Change</v>
      </c>
      <c r="L545" s="3" t="s">
        <v>89</v>
      </c>
      <c r="M545" s="0" t="str">
        <f aca="false">PROPER(L545)</f>
        <v>Shock Absorbers</v>
      </c>
      <c r="O545" s="0" t="e">
        <f aca="false" t="array" ref="O545:O545">IF(N545&lt;&gt;"",N545,_xlfn.xlookup(1,(L545:L1544=L545)*(N545:N1544&lt;&gt;""),N545:N1544,"Not Found"))</f>
        <v>#NAME?</v>
      </c>
      <c r="P545" s="4" t="n">
        <v>15076</v>
      </c>
      <c r="Q545" s="0" t="s">
        <v>49</v>
      </c>
      <c r="R545" s="0" t="str">
        <f aca="false">PROPER(Q545)</f>
        <v>Transfer</v>
      </c>
      <c r="S545" s="0" t="s">
        <v>50</v>
      </c>
      <c r="T545" s="0" t="n">
        <v>5</v>
      </c>
      <c r="U545" s="5" t="n">
        <f aca="false">IF(ISBLANK(T545),AVERAGE(T545:T1544),T545)</f>
        <v>5</v>
      </c>
      <c r="V545" s="0" t="n">
        <v>3.5</v>
      </c>
      <c r="X545" s="0" t="str">
        <f aca="false">IF(ISBLANK(W545),"No remarks",W545)</f>
        <v>No remarks</v>
      </c>
      <c r="Y545" s="0" t="s">
        <v>73</v>
      </c>
      <c r="Z545" s="0" t="s">
        <v>136</v>
      </c>
      <c r="AA545" s="0" t="str">
        <f aca="false">PROPER(IF(ISBLANK(Z545),"Location Unavailable",Z545))</f>
        <v>Vip Section</v>
      </c>
      <c r="AB545" s="0" t="s">
        <v>167</v>
      </c>
      <c r="AC545" s="6" t="str">
        <f aca="false">PROPER(AB545)</f>
        <v>Word Of Mouth</v>
      </c>
      <c r="AD545" s="6" t="n">
        <v>15</v>
      </c>
      <c r="AE545" s="5" t="n">
        <f aca="false">IF(ISBLANK(AD545),AVERAGEIF(L545:L1544,L545,AD545:AD1544),AD545)</f>
        <v>15</v>
      </c>
      <c r="AF545" s="0" t="s">
        <v>55</v>
      </c>
      <c r="AG545" s="0" t="str">
        <f aca="false">PROPER(AF545)</f>
        <v>Available</v>
      </c>
      <c r="AH545" s="0" t="s">
        <v>155</v>
      </c>
      <c r="AI545" s="0" t="s">
        <v>78</v>
      </c>
      <c r="AJ545" s="0" t="str">
        <f aca="false">PROPER(AI545)</f>
        <v>Booking</v>
      </c>
      <c r="AK545" s="0" t="s">
        <v>58</v>
      </c>
      <c r="AL545" s="0" t="str">
        <f aca="false">PROPER(AK545)</f>
        <v>Fleet Owner</v>
      </c>
      <c r="AM545" s="0" t="s">
        <v>2326</v>
      </c>
      <c r="AN545" s="0" t="str">
        <f aca="false">IF(ISBLANK(AM545),"Unknown",AM545)</f>
        <v>Government Convoy</v>
      </c>
      <c r="AO545" s="0" t="s">
        <v>143</v>
      </c>
      <c r="AP545" s="0" t="str">
        <f aca="false">IF(ISBLANK(AO545),"Unknown",AO545)</f>
        <v>Senior</v>
      </c>
      <c r="AR545" s="5" t="n">
        <f aca="false">IF(ISBLANK(AQ545),AVERAGEIF(M545:M1544,M545,AQ545:AQ1544),AQ545)</f>
        <v>25227.2727272727</v>
      </c>
      <c r="AS545" s="0" t="n">
        <v>40000</v>
      </c>
      <c r="AT545" s="5" t="n">
        <f aca="false">IF(ISBLANK(AS545),AVERAGE(AS545:AS1544),AS545)</f>
        <v>40000</v>
      </c>
      <c r="AU545" s="0" t="s">
        <v>50</v>
      </c>
      <c r="AV545" s="0" t="str">
        <f aca="false">PROPER(IF(ISBLANK(AU545),"No",AU545))</f>
        <v>No</v>
      </c>
      <c r="AW545" s="0" t="n">
        <v>0</v>
      </c>
      <c r="AX545" s="5" t="n">
        <f aca="false">IF(ISBLANK(AW545),0,AW545)</f>
        <v>0</v>
      </c>
      <c r="AY545" s="0" t="s">
        <v>80</v>
      </c>
      <c r="AZ545" s="0" t="str">
        <f aca="false">UPPER(IF(ISBLANK(AY545),"NONE",AY545))</f>
        <v>PROMO10</v>
      </c>
      <c r="BA545" s="7" t="n">
        <v>45825</v>
      </c>
      <c r="BB545" s="7" t="n">
        <f aca="false">IF(ISBLANK(BA545),"No Follow Up Needed",BA545)</f>
        <v>45825</v>
      </c>
      <c r="BC545" s="0" t="s">
        <v>50</v>
      </c>
      <c r="BD545" s="0" t="str">
        <f aca="false">PROPER(IF(ISBLANK(BC545),"Unknown",BC545))</f>
        <v>No</v>
      </c>
      <c r="BF545" s="0" t="str">
        <f aca="false">IF(ISBLANK(BE545),"No comments",BE545)</f>
        <v>No comments</v>
      </c>
      <c r="BG545" s="0" t="s">
        <v>172</v>
      </c>
      <c r="BH545" s="0" t="str">
        <f aca="false">IF(ISBLANK(BG545),"No comments",BG545)</f>
        <v>Always late</v>
      </c>
      <c r="BI545" s="0" t="s">
        <v>50</v>
      </c>
      <c r="BJ545" s="0" t="str">
        <f aca="false">IF(ISBLANK(BI545),"Not Mentioned",BI545)</f>
        <v>No</v>
      </c>
      <c r="BK545" s="0" t="s">
        <v>63</v>
      </c>
      <c r="BL545" s="0" t="str">
        <f aca="false">PROPER(IF(ISBLANK(BK545),"Not Mentioned",BK545))</f>
        <v>Yes</v>
      </c>
      <c r="BM545" s="0" t="s">
        <v>63</v>
      </c>
      <c r="BN545" s="0" t="str">
        <f aca="false">PROPER(IF(ISBLANK(BM545),"Not Mentioned",BM545))</f>
        <v>Yes</v>
      </c>
      <c r="BO545" s="0" t="s">
        <v>2321</v>
      </c>
      <c r="BP545" s="0" t="str">
        <f aca="false">IF(ISBLANK(BO545),"One-Time Plan",BO545)</f>
        <v>One-Time Plan</v>
      </c>
      <c r="BQ545" s="0" t="s">
        <v>63</v>
      </c>
      <c r="BR545" s="0" t="str">
        <f aca="false">PROPER(IF(ISBLANK(BQ545),"No",BQ545))</f>
        <v>Yes</v>
      </c>
    </row>
    <row r="546" customFormat="false" ht="15" hidden="false" customHeight="false" outlineLevel="0" collapsed="false">
      <c r="A546" s="0" t="s">
        <v>1366</v>
      </c>
      <c r="B546" s="2" t="n">
        <v>45687</v>
      </c>
      <c r="C546" s="2" t="str">
        <f aca="false">TEXT(B546,"dd/mm/yyyy")</f>
        <v>30/01/2025</v>
      </c>
      <c r="D546" s="0" t="s">
        <v>163</v>
      </c>
      <c r="E546" s="0" t="n">
        <v>8032420703</v>
      </c>
      <c r="F546" s="0" t="s">
        <v>122</v>
      </c>
      <c r="G546" s="0" t="s">
        <v>2316</v>
      </c>
      <c r="H546" s="0" t="s">
        <v>1367</v>
      </c>
      <c r="I546" s="0" t="s">
        <v>45</v>
      </c>
      <c r="J546" s="0" t="s">
        <v>2325</v>
      </c>
      <c r="K546" s="3" t="str">
        <f aca="false" t="array" ref="K546:K546">IFERROR(IF(J546&lt;&gt;"",J546,INDEX(J546:J1545,MATCH(1,(F546:F1545=F546)*(I546:I1545=I546)*(L546:L1545=L546)*(J546:J1545&lt;&gt;""),0))),"Not Found")</f>
        <v>Engine Knocking</v>
      </c>
      <c r="L546" s="3" t="s">
        <v>89</v>
      </c>
      <c r="M546" s="0" t="str">
        <f aca="false">PROPER(L546)</f>
        <v>Shock Absorbers</v>
      </c>
      <c r="N546" s="3" t="s">
        <v>109</v>
      </c>
      <c r="O546" s="0" t="str">
        <f aca="false" t="array" ref="O546:O546">IF(N546&lt;&gt;"",N546,_xlfn.xlookup(1,(L546:L1545=L546)*(N546:N1545&lt;&gt;""),N546:N1545,"Not Found"))</f>
        <v>Tijani</v>
      </c>
      <c r="P546" s="4" t="n">
        <v>37160</v>
      </c>
      <c r="Q546" s="0" t="s">
        <v>166</v>
      </c>
      <c r="R546" s="0" t="str">
        <f aca="false">PROPER(Q546)</f>
        <v>Transfer</v>
      </c>
      <c r="S546" s="0" t="s">
        <v>50</v>
      </c>
      <c r="U546" s="5" t="n">
        <f aca="false">IF(ISBLANK(T546),AVERAGE(T546:T1545),T546)</f>
        <v>3.07957559681698</v>
      </c>
      <c r="V546" s="0" t="n">
        <v>4.8</v>
      </c>
      <c r="W546" s="0" t="s">
        <v>92</v>
      </c>
      <c r="X546" s="0" t="str">
        <f aca="false">IF(ISBLANK(W546),"No remarks",W546)</f>
        <v>Urgent service</v>
      </c>
      <c r="Y546" s="0" t="s">
        <v>93</v>
      </c>
      <c r="Z546" s="0" t="s">
        <v>94</v>
      </c>
      <c r="AA546" s="0" t="str">
        <f aca="false">PROPER(IF(ISBLANK(Z546),"Location Unavailable",Z546))</f>
        <v>Vip Section</v>
      </c>
      <c r="AB546" s="0" t="s">
        <v>167</v>
      </c>
      <c r="AC546" s="6" t="str">
        <f aca="false">PROPER(AB546)</f>
        <v>Word Of Mouth</v>
      </c>
      <c r="AD546" s="6" t="n">
        <v>45</v>
      </c>
      <c r="AE546" s="5" t="n">
        <f aca="false">IF(ISBLANK(AD546),AVERAGEIF(L546:L1545,L546,AD546:AD1545),AD546)</f>
        <v>45</v>
      </c>
      <c r="AF546" s="0" t="s">
        <v>76</v>
      </c>
      <c r="AG546" s="0" t="str">
        <f aca="false">PROPER(AF546)</f>
        <v>Orderd</v>
      </c>
      <c r="AH546" s="0" t="s">
        <v>155</v>
      </c>
      <c r="AI546" s="0" t="s">
        <v>113</v>
      </c>
      <c r="AJ546" s="0" t="str">
        <f aca="false">PROPER(AI546)</f>
        <v>Normal</v>
      </c>
      <c r="AK546" s="0" t="s">
        <v>196</v>
      </c>
      <c r="AL546" s="0" t="str">
        <f aca="false">PROPER(AK546)</f>
        <v>First Time</v>
      </c>
      <c r="AN546" s="0" t="str">
        <f aca="false">IF(ISBLANK(AM546),"Unknown",AM546)</f>
        <v>Unknown</v>
      </c>
      <c r="AO546" s="0" t="s">
        <v>143</v>
      </c>
      <c r="AP546" s="0" t="str">
        <f aca="false">IF(ISBLANK(AO546),"Unknown",AO546)</f>
        <v>Senior</v>
      </c>
      <c r="AQ546" s="0" t="n">
        <v>20000</v>
      </c>
      <c r="AR546" s="5" t="n">
        <f aca="false">IF(ISBLANK(AQ546),AVERAGEIF(M546:M1545,M546,AQ546:AQ1545),AQ546)</f>
        <v>20000</v>
      </c>
      <c r="AT546" s="5" t="n">
        <f aca="false">IF(ISBLANK(AS546),AVERAGE(AS546:AS1545),AS546)</f>
        <v>31528.4974093264</v>
      </c>
      <c r="AU546" s="0" t="s">
        <v>82</v>
      </c>
      <c r="AV546" s="0" t="str">
        <f aca="false">PROPER(IF(ISBLANK(AU546),"No",AU546))</f>
        <v>Yes</v>
      </c>
      <c r="AX546" s="5" t="n">
        <f aca="false">IF(ISBLANK(AW546),0,AW546)</f>
        <v>0</v>
      </c>
      <c r="AY546" s="0" t="s">
        <v>80</v>
      </c>
      <c r="AZ546" s="0" t="str">
        <f aca="false">UPPER(IF(ISBLANK(AY546),"NONE",AY546))</f>
        <v>PROMO10</v>
      </c>
      <c r="BB546" s="7" t="str">
        <f aca="false">IF(ISBLANK(BA546),"No Follow Up Needed",BA546)</f>
        <v>No Follow Up Needed</v>
      </c>
      <c r="BC546" s="0" t="s">
        <v>82</v>
      </c>
      <c r="BD546" s="0" t="str">
        <f aca="false">PROPER(IF(ISBLANK(BC546),"Unknown",BC546))</f>
        <v>Yes</v>
      </c>
      <c r="BF546" s="0" t="str">
        <f aca="false">IF(ISBLANK(BE546),"No comments",BE546)</f>
        <v>No comments</v>
      </c>
      <c r="BG546" s="0" t="s">
        <v>172</v>
      </c>
      <c r="BH546" s="0" t="str">
        <f aca="false">IF(ISBLANK(BG546),"No comments",BG546)</f>
        <v>Always late</v>
      </c>
      <c r="BI546" s="0" t="s">
        <v>50</v>
      </c>
      <c r="BJ546" s="0" t="str">
        <f aca="false">IF(ISBLANK(BI546),"Not Mentioned",BI546)</f>
        <v>No</v>
      </c>
      <c r="BK546" s="0" t="s">
        <v>61</v>
      </c>
      <c r="BL546" s="0" t="str">
        <f aca="false">PROPER(IF(ISBLANK(BK546),"Not Mentioned",BK546))</f>
        <v>No</v>
      </c>
      <c r="BM546" s="0" t="s">
        <v>50</v>
      </c>
      <c r="BN546" s="0" t="str">
        <f aca="false">PROPER(IF(ISBLANK(BM546),"Not Mentioned",BM546))</f>
        <v>No</v>
      </c>
      <c r="BO546" s="0" t="s">
        <v>2321</v>
      </c>
      <c r="BP546" s="0" t="str">
        <f aca="false">IF(ISBLANK(BO546),"One-Time Plan",BO546)</f>
        <v>One-Time Plan</v>
      </c>
      <c r="BQ546" s="0" t="s">
        <v>50</v>
      </c>
      <c r="BR546" s="0" t="str">
        <f aca="false">PROPER(IF(ISBLANK(BQ546),"No",BQ546))</f>
        <v>No</v>
      </c>
    </row>
    <row r="547" customFormat="false" ht="15" hidden="false" customHeight="false" outlineLevel="0" collapsed="false">
      <c r="A547" s="0" t="s">
        <v>1368</v>
      </c>
      <c r="B547" s="2" t="n">
        <v>45741</v>
      </c>
      <c r="C547" s="2" t="str">
        <f aca="false">TEXT(B547,"dd/mm/yyyy")</f>
        <v>25/03/2025</v>
      </c>
      <c r="D547" s="0" t="s">
        <v>163</v>
      </c>
      <c r="E547" s="0" t="n">
        <v>8015907259</v>
      </c>
      <c r="F547" s="0" t="s">
        <v>85</v>
      </c>
      <c r="G547" s="0" t="s">
        <v>2319</v>
      </c>
      <c r="H547" s="0" t="s">
        <v>1369</v>
      </c>
      <c r="I547" s="0" t="s">
        <v>107</v>
      </c>
      <c r="J547" s="0" t="s">
        <v>2322</v>
      </c>
      <c r="K547" s="3" t="str">
        <f aca="false" t="array" ref="K547:K547">IFERROR(IF(J547&lt;&gt;"",J547,INDEX(J547:J1546,MATCH(1,(F547:F1546=F547)*(I547:I1546=I547)*(L547:L1546=L547)*(J547:J1546&lt;&gt;""),0))),"Not Found")</f>
        <v>Brake Failure</v>
      </c>
      <c r="L547" s="3" t="s">
        <v>154</v>
      </c>
      <c r="M547" s="0" t="str">
        <f aca="false">PROPER(L547)</f>
        <v>Air Filter</v>
      </c>
      <c r="O547" s="0" t="e">
        <f aca="false" t="array" ref="O547:O547">IF(N547&lt;&gt;"",N547,_xlfn.xlookup(1,(L547:L1546=L547)*(N547:N1546&lt;&gt;""),N547:N1546,"Not Found"))</f>
        <v>#NAME?</v>
      </c>
      <c r="P547" s="4" t="n">
        <v>13492</v>
      </c>
      <c r="Q547" s="0" t="s">
        <v>72</v>
      </c>
      <c r="R547" s="0" t="str">
        <f aca="false">PROPER(Q547)</f>
        <v>Pos</v>
      </c>
      <c r="S547" s="0" t="s">
        <v>50</v>
      </c>
      <c r="T547" s="0" t="n">
        <v>3</v>
      </c>
      <c r="U547" s="5" t="n">
        <f aca="false">IF(ISBLANK(T547),AVERAGE(T547:T1546),T547)</f>
        <v>3</v>
      </c>
      <c r="V547" s="0" t="n">
        <v>2.4</v>
      </c>
      <c r="X547" s="0" t="str">
        <f aca="false">IF(ISBLANK(W547),"No remarks",W547)</f>
        <v>No remarks</v>
      </c>
      <c r="Y547" s="0" t="s">
        <v>52</v>
      </c>
      <c r="Z547" s="0" t="s">
        <v>159</v>
      </c>
      <c r="AA547" s="0" t="str">
        <f aca="false">PROPER(IF(ISBLANK(Z547),"Location Unavailable",Z547))</f>
        <v>Main Bay</v>
      </c>
      <c r="AB547" s="0" t="s">
        <v>167</v>
      </c>
      <c r="AC547" s="6" t="str">
        <f aca="false">PROPER(AB547)</f>
        <v>Word Of Mouth</v>
      </c>
      <c r="AD547" s="6" t="n">
        <v>15</v>
      </c>
      <c r="AE547" s="5" t="n">
        <f aca="false">IF(ISBLANK(AD547),AVERAGEIF(L547:L1546,L547,AD547:AD1546),AD547)</f>
        <v>15</v>
      </c>
      <c r="AF547" s="0" t="s">
        <v>160</v>
      </c>
      <c r="AG547" s="0" t="str">
        <f aca="false">PROPER(AF547)</f>
        <v>Availaible</v>
      </c>
      <c r="AH547" s="0" t="s">
        <v>155</v>
      </c>
      <c r="AI547" s="0" t="s">
        <v>98</v>
      </c>
      <c r="AJ547" s="0" t="str">
        <f aca="false">PROPER(AI547)</f>
        <v>Emergency</v>
      </c>
      <c r="AK547" s="0" t="s">
        <v>99</v>
      </c>
      <c r="AL547" s="0" t="str">
        <f aca="false">PROPER(AK547)</f>
        <v>Uber Driver</v>
      </c>
      <c r="AN547" s="0" t="str">
        <f aca="false">IF(ISBLANK(AM547),"Unknown",AM547)</f>
        <v>Unknown</v>
      </c>
      <c r="AO547" s="0" t="s">
        <v>143</v>
      </c>
      <c r="AP547" s="0" t="str">
        <f aca="false">IF(ISBLANK(AO547),"Unknown",AO547)</f>
        <v>Senior</v>
      </c>
      <c r="AQ547" s="0" t="n">
        <v>30000</v>
      </c>
      <c r="AR547" s="5" t="n">
        <f aca="false">IF(ISBLANK(AQ547),AVERAGEIF(M547:M1546,M547,AQ547:AQ1546),AQ547)</f>
        <v>30000</v>
      </c>
      <c r="AS547" s="0" t="n">
        <v>35000</v>
      </c>
      <c r="AT547" s="5" t="n">
        <f aca="false">IF(ISBLANK(AS547),AVERAGE(AS547:AS1546),AS547)</f>
        <v>35000</v>
      </c>
      <c r="AU547" s="0" t="s">
        <v>82</v>
      </c>
      <c r="AV547" s="0" t="str">
        <f aca="false">PROPER(IF(ISBLANK(AU547),"No",AU547))</f>
        <v>Yes</v>
      </c>
      <c r="AW547" s="0" t="n">
        <v>5000</v>
      </c>
      <c r="AX547" s="5" t="n">
        <f aca="false">IF(ISBLANK(AW547),0,AW547)</f>
        <v>5000</v>
      </c>
      <c r="AZ547" s="0" t="str">
        <f aca="false">UPPER(IF(ISBLANK(AY547),"NONE",AY547))</f>
        <v>NONE</v>
      </c>
      <c r="BA547" s="7" t="s">
        <v>1197</v>
      </c>
      <c r="BB547" s="7" t="str">
        <f aca="false">IF(ISBLANK(BA547),"No Follow Up Needed",BA547)</f>
        <v>28/12/2025</v>
      </c>
      <c r="BC547" s="0" t="s">
        <v>82</v>
      </c>
      <c r="BD547" s="0" t="str">
        <f aca="false">PROPER(IF(ISBLANK(BC547),"Unknown",BC547))</f>
        <v>Yes</v>
      </c>
      <c r="BF547" s="0" t="str">
        <f aca="false">IF(ISBLANK(BE547),"No comments",BE547)</f>
        <v>No comments</v>
      </c>
      <c r="BG547" s="0" t="s">
        <v>117</v>
      </c>
      <c r="BH547" s="0" t="str">
        <f aca="false">IF(ISBLANK(BG547),"No comments",BG547)</f>
        <v>Prefers morning</v>
      </c>
      <c r="BI547" s="0" t="s">
        <v>63</v>
      </c>
      <c r="BJ547" s="0" t="str">
        <f aca="false">IF(ISBLANK(BI547),"Not Mentioned",BI547)</f>
        <v>Yes</v>
      </c>
      <c r="BK547" s="0" t="s">
        <v>61</v>
      </c>
      <c r="BL547" s="0" t="str">
        <f aca="false">PROPER(IF(ISBLANK(BK547),"Not Mentioned",BK547))</f>
        <v>No</v>
      </c>
      <c r="BN547" s="0" t="str">
        <f aca="false">PROPER(IF(ISBLANK(BM547),"Not Mentioned",BM547))</f>
        <v>Not Mentioned</v>
      </c>
      <c r="BP547" s="0" t="str">
        <f aca="false">IF(ISBLANK(BO547),"One-Time Plan",BO547)</f>
        <v>One-Time Plan</v>
      </c>
      <c r="BQ547" s="0" t="s">
        <v>63</v>
      </c>
      <c r="BR547" s="0" t="str">
        <f aca="false">PROPER(IF(ISBLANK(BQ547),"No",BQ547))</f>
        <v>Yes</v>
      </c>
    </row>
    <row r="548" customFormat="false" ht="15" hidden="false" customHeight="false" outlineLevel="0" collapsed="false">
      <c r="A548" s="0" t="s">
        <v>1371</v>
      </c>
      <c r="B548" s="2" t="s">
        <v>1370</v>
      </c>
      <c r="C548" s="2" t="str">
        <f aca="false">TEXT(B548,"dd/mm/yyyy")</f>
        <v>24/04/2025</v>
      </c>
      <c r="D548" s="0" t="s">
        <v>163</v>
      </c>
      <c r="E548" s="0" t="n">
        <v>8065791626</v>
      </c>
      <c r="F548" s="0" t="s">
        <v>85</v>
      </c>
      <c r="G548" s="0" t="s">
        <v>2319</v>
      </c>
      <c r="H548" s="0" t="s">
        <v>1372</v>
      </c>
      <c r="I548" s="0" t="s">
        <v>69</v>
      </c>
      <c r="K548" s="3" t="str">
        <f aca="false" t="array" ref="K548:K548">IFERROR(IF(J548&lt;&gt;"",J548,INDEX(J548:J1547,MATCH(1,(F548:F1547=F548)*(I548:I1547=I548)*(L548:L1547=L548)*(J548:J1547&lt;&gt;""),0))),"Not Found")</f>
        <v>Brake Failure</v>
      </c>
      <c r="L548" s="3" t="s">
        <v>89</v>
      </c>
      <c r="M548" s="0" t="str">
        <f aca="false">PROPER(L548)</f>
        <v>Shock Absorbers</v>
      </c>
      <c r="N548" s="3" t="s">
        <v>48</v>
      </c>
      <c r="O548" s="0" t="str">
        <f aca="false" t="array" ref="O548:O548">IF(N548&lt;&gt;"",N548,_xlfn.xlookup(1,(L548:L1547=L548)*(N548:N1547&lt;&gt;""),N548:N1547,"Not Found"))</f>
        <v>Uche</v>
      </c>
      <c r="P548" s="4" t="n">
        <v>115656</v>
      </c>
      <c r="Q548" s="0" t="s">
        <v>110</v>
      </c>
      <c r="R548" s="0" t="str">
        <f aca="false">PROPER(Q548)</f>
        <v>Cash</v>
      </c>
      <c r="S548" s="0" t="s">
        <v>50</v>
      </c>
      <c r="T548" s="0" t="n">
        <v>4</v>
      </c>
      <c r="U548" s="5" t="n">
        <f aca="false">IF(ISBLANK(T548),AVERAGE(T548:T1547),T548)</f>
        <v>4</v>
      </c>
      <c r="V548" s="0" t="n">
        <v>4.1</v>
      </c>
      <c r="W548" s="0" t="s">
        <v>92</v>
      </c>
      <c r="X548" s="0" t="str">
        <f aca="false">IF(ISBLANK(W548),"No remarks",W548)</f>
        <v>Urgent service</v>
      </c>
      <c r="Y548" s="0" t="s">
        <v>93</v>
      </c>
      <c r="Z548" s="0" t="s">
        <v>74</v>
      </c>
      <c r="AA548" s="0" t="str">
        <f aca="false">PROPER(IF(ISBLANK(Z548),"Location Unavailable",Z548))</f>
        <v>Under Tree</v>
      </c>
      <c r="AB548" s="0" t="s">
        <v>126</v>
      </c>
      <c r="AC548" s="6" t="str">
        <f aca="false">PROPER(AB548)</f>
        <v>Whatsapp</v>
      </c>
      <c r="AE548" s="5" t="n">
        <f aca="false">IF(ISBLANK(AD548),AVERAGEIF(L548:L1547,L548,AD548:AD1547),AD548)</f>
        <v>40.8695652173913</v>
      </c>
      <c r="AF548" s="0" t="s">
        <v>112</v>
      </c>
      <c r="AG548" s="0" t="str">
        <f aca="false">PROPER(AF548)</f>
        <v>Unavailable</v>
      </c>
      <c r="AH548" s="0" t="s">
        <v>155</v>
      </c>
      <c r="AI548" s="0" t="s">
        <v>78</v>
      </c>
      <c r="AJ548" s="0" t="str">
        <f aca="false">PROPER(AI548)</f>
        <v>Booking</v>
      </c>
      <c r="AK548" s="0" t="s">
        <v>114</v>
      </c>
      <c r="AL548" s="0" t="str">
        <f aca="false">PROPER(AK548)</f>
        <v>Returning</v>
      </c>
      <c r="AM548" s="0" t="s">
        <v>177</v>
      </c>
      <c r="AN548" s="0" t="str">
        <f aca="false">IF(ISBLANK(AM548),"Unknown",AM548)</f>
        <v>Private</v>
      </c>
      <c r="AP548" s="0" t="str">
        <f aca="false">IF(ISBLANK(AO548),"Unknown",AO548)</f>
        <v>Unknown</v>
      </c>
      <c r="AQ548" s="0" t="n">
        <v>25000</v>
      </c>
      <c r="AR548" s="5" t="n">
        <f aca="false">IF(ISBLANK(AQ548),AVERAGEIF(M548:M1547,M548,AQ548:AQ1547),AQ548)</f>
        <v>25000</v>
      </c>
      <c r="AS548" s="0" t="n">
        <v>30000</v>
      </c>
      <c r="AT548" s="5" t="n">
        <f aca="false">IF(ISBLANK(AS548),AVERAGE(AS548:AS1547),AS548)</f>
        <v>30000</v>
      </c>
      <c r="AU548" s="0" t="s">
        <v>61</v>
      </c>
      <c r="AV548" s="0" t="str">
        <f aca="false">PROPER(IF(ISBLANK(AU548),"No",AU548))</f>
        <v>No</v>
      </c>
      <c r="AX548" s="5" t="n">
        <f aca="false">IF(ISBLANK(AW548),0,AW548)</f>
        <v>0</v>
      </c>
      <c r="AY548" s="0" t="s">
        <v>184</v>
      </c>
      <c r="AZ548" s="0" t="str">
        <f aca="false">UPPER(IF(ISBLANK(AY548),"NONE",AY548))</f>
        <v>N/A</v>
      </c>
      <c r="BB548" s="7" t="str">
        <f aca="false">IF(ISBLANK(BA548),"No Follow Up Needed",BA548)</f>
        <v>No Follow Up Needed</v>
      </c>
      <c r="BC548" s="0" t="s">
        <v>63</v>
      </c>
      <c r="BD548" s="0" t="str">
        <f aca="false">PROPER(IF(ISBLANK(BC548),"Unknown",BC548))</f>
        <v>Yes</v>
      </c>
      <c r="BE548" s="0" t="s">
        <v>116</v>
      </c>
      <c r="BF548" s="0" t="str">
        <f aca="false">IF(ISBLANK(BE548),"No comments",BE548)</f>
        <v>Needs tire alignment</v>
      </c>
      <c r="BG548" s="0" t="s">
        <v>2320</v>
      </c>
      <c r="BH548" s="0" t="str">
        <f aca="false">IF(ISBLANK(BG548),"No comments",BG548)</f>
        <v>No complaints</v>
      </c>
      <c r="BI548" s="0" t="s">
        <v>50</v>
      </c>
      <c r="BJ548" s="0" t="str">
        <f aca="false">IF(ISBLANK(BI548),"Not Mentioned",BI548)</f>
        <v>No</v>
      </c>
      <c r="BK548" s="0" t="s">
        <v>50</v>
      </c>
      <c r="BL548" s="0" t="str">
        <f aca="false">PROPER(IF(ISBLANK(BK548),"Not Mentioned",BK548))</f>
        <v>No</v>
      </c>
      <c r="BM548" s="0" t="s">
        <v>63</v>
      </c>
      <c r="BN548" s="0" t="str">
        <f aca="false">PROPER(IF(ISBLANK(BM548),"Not Mentioned",BM548))</f>
        <v>Yes</v>
      </c>
      <c r="BP548" s="0" t="str">
        <f aca="false">IF(ISBLANK(BO548),"One-Time Plan",BO548)</f>
        <v>One-Time Plan</v>
      </c>
      <c r="BR548" s="0" t="str">
        <f aca="false">PROPER(IF(ISBLANK(BQ548),"No",BQ548))</f>
        <v>No</v>
      </c>
    </row>
    <row r="549" customFormat="false" ht="15" hidden="false" customHeight="false" outlineLevel="0" collapsed="false">
      <c r="A549" s="0" t="s">
        <v>1373</v>
      </c>
      <c r="B549" s="2" t="n">
        <v>45761</v>
      </c>
      <c r="C549" s="2" t="str">
        <f aca="false">TEXT(B549,"dd/mm/yyyy")</f>
        <v>14/04/2025</v>
      </c>
      <c r="D549" s="0" t="s">
        <v>121</v>
      </c>
      <c r="E549" s="0" t="n">
        <v>8078786599</v>
      </c>
      <c r="F549" s="0" t="s">
        <v>67</v>
      </c>
      <c r="G549" s="0" t="s">
        <v>2316</v>
      </c>
      <c r="H549" s="0" t="s">
        <v>1374</v>
      </c>
      <c r="I549" s="0" t="s">
        <v>69</v>
      </c>
      <c r="J549" s="0" t="s">
        <v>2322</v>
      </c>
      <c r="K549" s="3" t="str">
        <f aca="false" t="array" ref="K549:K549">IFERROR(IF(J549&lt;&gt;"",J549,INDEX(J549:J1548,MATCH(1,(F549:F1548=F549)*(I549:I1548=I549)*(L549:L1548=L549)*(J549:J1548&lt;&gt;""),0))),"Not Found")</f>
        <v>Brake Failure</v>
      </c>
      <c r="L549" s="3" t="s">
        <v>47</v>
      </c>
      <c r="M549" s="0" t="str">
        <f aca="false">PROPER(L549)</f>
        <v>None</v>
      </c>
      <c r="N549" s="3" t="s">
        <v>90</v>
      </c>
      <c r="O549" s="0" t="str">
        <f aca="false" t="array" ref="O549:O549">IF(N549&lt;&gt;"",N549,_xlfn.xlookup(1,(L549:L1548=L549)*(N549:N1548&lt;&gt;""),N549:N1548,"Not Found"))</f>
        <v>Musa</v>
      </c>
      <c r="P549" s="4" t="n">
        <v>106558</v>
      </c>
      <c r="Q549" s="0" t="s">
        <v>49</v>
      </c>
      <c r="R549" s="0" t="str">
        <f aca="false">PROPER(Q549)</f>
        <v>Transfer</v>
      </c>
      <c r="S549" s="0" t="s">
        <v>50</v>
      </c>
      <c r="T549" s="0" t="n">
        <v>2</v>
      </c>
      <c r="U549" s="5" t="n">
        <f aca="false">IF(ISBLANK(T549),AVERAGE(T549:T1548),T549)</f>
        <v>2</v>
      </c>
      <c r="V549" s="0" t="n">
        <v>3.3</v>
      </c>
      <c r="X549" s="0" t="str">
        <f aca="false">IF(ISBLANK(W549),"No remarks",W549)</f>
        <v>No remarks</v>
      </c>
      <c r="Y549" s="0" t="s">
        <v>73</v>
      </c>
      <c r="Z549" s="0" t="s">
        <v>159</v>
      </c>
      <c r="AA549" s="0" t="str">
        <f aca="false">PROPER(IF(ISBLANK(Z549),"Location Unavailable",Z549))</f>
        <v>Main Bay</v>
      </c>
      <c r="AB549" s="0" t="s">
        <v>95</v>
      </c>
      <c r="AC549" s="6" t="str">
        <f aca="false">PROPER(AB549)</f>
        <v>Road Sign</v>
      </c>
      <c r="AD549" s="6" t="n">
        <v>15</v>
      </c>
      <c r="AE549" s="5" t="n">
        <f aca="false">IF(ISBLANK(AD549),AVERAGEIF(L549:L1548,L549,AD549:AD1548),AD549)</f>
        <v>15</v>
      </c>
      <c r="AF549" s="0" t="s">
        <v>76</v>
      </c>
      <c r="AG549" s="0" t="str">
        <f aca="false">PROPER(AF549)</f>
        <v>Orderd</v>
      </c>
      <c r="AH549" s="0" t="s">
        <v>155</v>
      </c>
      <c r="AI549" s="0" t="s">
        <v>128</v>
      </c>
      <c r="AJ549" s="0" t="str">
        <f aca="false">PROPER(AI549)</f>
        <v>Normal</v>
      </c>
      <c r="AK549" s="0" t="s">
        <v>196</v>
      </c>
      <c r="AL549" s="0" t="str">
        <f aca="false">PROPER(AK549)</f>
        <v>First Time</v>
      </c>
      <c r="AM549" s="0" t="s">
        <v>177</v>
      </c>
      <c r="AN549" s="0" t="str">
        <f aca="false">IF(ISBLANK(AM549),"Unknown",AM549)</f>
        <v>Private</v>
      </c>
      <c r="AP549" s="0" t="str">
        <f aca="false">IF(ISBLANK(AO549),"Unknown",AO549)</f>
        <v>Unknown</v>
      </c>
      <c r="AQ549" s="0" t="n">
        <v>30000</v>
      </c>
      <c r="AR549" s="5" t="n">
        <f aca="false">IF(ISBLANK(AQ549),AVERAGEIF(M549:M1548,M549,AQ549:AQ1548),AQ549)</f>
        <v>30000</v>
      </c>
      <c r="AS549" s="0" t="n">
        <v>20000</v>
      </c>
      <c r="AT549" s="5" t="n">
        <f aca="false">IF(ISBLANK(AS549),AVERAGE(AS549:AS1548),AS549)</f>
        <v>20000</v>
      </c>
      <c r="AV549" s="0" t="str">
        <f aca="false">PROPER(IF(ISBLANK(AU549),"No",AU549))</f>
        <v>No</v>
      </c>
      <c r="AW549" s="0" t="n">
        <v>5000</v>
      </c>
      <c r="AX549" s="5" t="n">
        <f aca="false">IF(ISBLANK(AW549),0,AW549)</f>
        <v>5000</v>
      </c>
      <c r="AY549" s="0" t="s">
        <v>184</v>
      </c>
      <c r="AZ549" s="0" t="str">
        <f aca="false">UPPER(IF(ISBLANK(AY549),"NONE",AY549))</f>
        <v>N/A</v>
      </c>
      <c r="BA549" s="7" t="n">
        <v>45991</v>
      </c>
      <c r="BB549" s="7" t="n">
        <f aca="false">IF(ISBLANK(BA549),"No Follow Up Needed",BA549)</f>
        <v>45991</v>
      </c>
      <c r="BD549" s="0" t="str">
        <f aca="false">PROPER(IF(ISBLANK(BC549),"Unknown",BC549))</f>
        <v>Unknown</v>
      </c>
      <c r="BE549" s="0" t="s">
        <v>116</v>
      </c>
      <c r="BF549" s="0" t="str">
        <f aca="false">IF(ISBLANK(BE549),"No comments",BE549)</f>
        <v>Needs tire alignment</v>
      </c>
      <c r="BH549" s="0" t="str">
        <f aca="false">IF(ISBLANK(BG549),"No comments",BG549)</f>
        <v>No comments</v>
      </c>
      <c r="BI549" s="0" t="s">
        <v>63</v>
      </c>
      <c r="BJ549" s="0" t="str">
        <f aca="false">IF(ISBLANK(BI549),"Not Mentioned",BI549)</f>
        <v>Yes</v>
      </c>
      <c r="BK549" s="0" t="s">
        <v>50</v>
      </c>
      <c r="BL549" s="0" t="str">
        <f aca="false">PROPER(IF(ISBLANK(BK549),"Not Mentioned",BK549))</f>
        <v>No</v>
      </c>
      <c r="BM549" s="0" t="s">
        <v>50</v>
      </c>
      <c r="BN549" s="0" t="str">
        <f aca="false">PROPER(IF(ISBLANK(BM549),"Not Mentioned",BM549))</f>
        <v>No</v>
      </c>
      <c r="BO549" s="0" t="s">
        <v>2321</v>
      </c>
      <c r="BP549" s="0" t="str">
        <f aca="false">IF(ISBLANK(BO549),"One-Time Plan",BO549)</f>
        <v>One-Time Plan</v>
      </c>
      <c r="BQ549" s="0" t="s">
        <v>198</v>
      </c>
      <c r="BR549" s="0" t="str">
        <f aca="false">PROPER(IF(ISBLANK(BQ549),"No",BQ549))</f>
        <v>Followed Up</v>
      </c>
    </row>
    <row r="550" customFormat="false" ht="15" hidden="false" customHeight="false" outlineLevel="0" collapsed="false">
      <c r="A550" s="0" t="s">
        <v>1375</v>
      </c>
      <c r="B550" s="2" t="n">
        <v>45873</v>
      </c>
      <c r="C550" s="2" t="str">
        <f aca="false">TEXT(B550,"dd/mm/yyyy")</f>
        <v>04/08/2025</v>
      </c>
      <c r="D550" s="0" t="s">
        <v>66</v>
      </c>
      <c r="E550" s="0" t="n">
        <v>8024453078</v>
      </c>
      <c r="F550" s="0" t="s">
        <v>67</v>
      </c>
      <c r="G550" s="0" t="s">
        <v>2316</v>
      </c>
      <c r="H550" s="0" t="s">
        <v>1376</v>
      </c>
      <c r="I550" s="0" t="s">
        <v>45</v>
      </c>
      <c r="J550" s="0" t="s">
        <v>2322</v>
      </c>
      <c r="K550" s="3" t="str">
        <f aca="false" t="array" ref="K550:K550">IFERROR(IF(J550&lt;&gt;"",J550,INDEX(J550:J1549,MATCH(1,(F550:F1549=F550)*(I550:I1549=I550)*(L550:L1549=L550)*(J550:J1549&lt;&gt;""),0))),"Not Found")</f>
        <v>Brake Failure</v>
      </c>
      <c r="L550" s="3" t="s">
        <v>142</v>
      </c>
      <c r="M550" s="0" t="str">
        <f aca="false">PROPER(L550)</f>
        <v>Oil Filter, Brake Pads</v>
      </c>
      <c r="N550" s="3" t="s">
        <v>71</v>
      </c>
      <c r="O550" s="0" t="str">
        <f aca="false" t="array" ref="O550:O550">IF(N550&lt;&gt;"",N550,_xlfn.xlookup(1,(L550:L1549=L550)*(N550:N1549&lt;&gt;""),N550:N1549,"Not Found"))</f>
        <v>Isaac Bobo</v>
      </c>
      <c r="P550" s="4" t="n">
        <v>113878</v>
      </c>
      <c r="Q550" s="0" t="s">
        <v>72</v>
      </c>
      <c r="R550" s="0" t="str">
        <f aca="false">PROPER(Q550)</f>
        <v>Pos</v>
      </c>
      <c r="S550" s="0" t="s">
        <v>50</v>
      </c>
      <c r="T550" s="0" t="n">
        <v>3</v>
      </c>
      <c r="U550" s="5" t="n">
        <f aca="false">IF(ISBLANK(T550),AVERAGE(T550:T1549),T550)</f>
        <v>3</v>
      </c>
      <c r="V550" s="0" t="n">
        <v>2.3</v>
      </c>
      <c r="W550" s="0" t="s">
        <v>111</v>
      </c>
      <c r="X550" s="0" t="str">
        <f aca="false">IF(ISBLANK(W550),"No remarks",W550)</f>
        <v>Changed all filters</v>
      </c>
      <c r="Y550" s="0" t="s">
        <v>73</v>
      </c>
      <c r="Z550" s="0" t="s">
        <v>74</v>
      </c>
      <c r="AA550" s="0" t="str">
        <f aca="false">PROPER(IF(ISBLANK(Z550),"Location Unavailable",Z550))</f>
        <v>Under Tree</v>
      </c>
      <c r="AB550" s="0" t="s">
        <v>126</v>
      </c>
      <c r="AC550" s="6" t="str">
        <f aca="false">PROPER(AB550)</f>
        <v>Whatsapp</v>
      </c>
      <c r="AD550" s="6" t="n">
        <v>30</v>
      </c>
      <c r="AE550" s="5" t="n">
        <f aca="false">IF(ISBLANK(AD550),AVERAGEIF(L550:L1549,L550,AD550:AD1549),AD550)</f>
        <v>30</v>
      </c>
      <c r="AF550" s="0" t="s">
        <v>112</v>
      </c>
      <c r="AG550" s="0" t="str">
        <f aca="false">PROPER(AF550)</f>
        <v>Unavailable</v>
      </c>
      <c r="AH550" s="0" t="s">
        <v>148</v>
      </c>
      <c r="AI550" s="0" t="s">
        <v>78</v>
      </c>
      <c r="AJ550" s="0" t="str">
        <f aca="false">PROPER(AI550)</f>
        <v>Booking</v>
      </c>
      <c r="AK550" s="0" t="s">
        <v>58</v>
      </c>
      <c r="AL550" s="0" t="str">
        <f aca="false">PROPER(AK550)</f>
        <v>Fleet Owner</v>
      </c>
      <c r="AM550" s="0" t="s">
        <v>2326</v>
      </c>
      <c r="AN550" s="0" t="str">
        <f aca="false">IF(ISBLANK(AM550),"Unknown",AM550)</f>
        <v>Government Convoy</v>
      </c>
      <c r="AO550" s="0" t="s">
        <v>79</v>
      </c>
      <c r="AP550" s="0" t="str">
        <f aca="false">IF(ISBLANK(AO550),"Unknown",AO550)</f>
        <v>Specialist</v>
      </c>
      <c r="AQ550" s="0" t="n">
        <v>40000</v>
      </c>
      <c r="AR550" s="5" t="n">
        <f aca="false">IF(ISBLANK(AQ550),AVERAGEIF(M550:M1549,M550,AQ550:AQ1549),AQ550)</f>
        <v>40000</v>
      </c>
      <c r="AS550" s="0" t="n">
        <v>35000</v>
      </c>
      <c r="AT550" s="5" t="n">
        <f aca="false">IF(ISBLANK(AS550),AVERAGE(AS550:AS1549),AS550)</f>
        <v>35000</v>
      </c>
      <c r="AU550" s="0" t="s">
        <v>82</v>
      </c>
      <c r="AV550" s="0" t="str">
        <f aca="false">PROPER(IF(ISBLANK(AU550),"No",AU550))</f>
        <v>Yes</v>
      </c>
      <c r="AW550" s="0" t="n">
        <v>10000</v>
      </c>
      <c r="AX550" s="5" t="n">
        <f aca="false">IF(ISBLANK(AW550),0,AW550)</f>
        <v>10000</v>
      </c>
      <c r="AY550" s="0" t="s">
        <v>184</v>
      </c>
      <c r="AZ550" s="0" t="str">
        <f aca="false">UPPER(IF(ISBLANK(AY550),"NONE",AY550))</f>
        <v>N/A</v>
      </c>
      <c r="BA550" s="7" t="n">
        <v>45850</v>
      </c>
      <c r="BB550" s="7" t="n">
        <f aca="false">IF(ISBLANK(BA550),"No Follow Up Needed",BA550)</f>
        <v>45850</v>
      </c>
      <c r="BD550" s="0" t="str">
        <f aca="false">PROPER(IF(ISBLANK(BC550),"Unknown",BC550))</f>
        <v>Unknown</v>
      </c>
      <c r="BE550" s="0" t="s">
        <v>171</v>
      </c>
      <c r="BF550" s="0" t="str">
        <f aca="false">IF(ISBLANK(BE550),"No comments",BE550)</f>
        <v>Shock absorber weakening</v>
      </c>
      <c r="BG550" s="0" t="s">
        <v>117</v>
      </c>
      <c r="BH550" s="0" t="str">
        <f aca="false">IF(ISBLANK(BG550),"No comments",BG550)</f>
        <v>Prefers morning</v>
      </c>
      <c r="BI550" s="0" t="s">
        <v>63</v>
      </c>
      <c r="BJ550" s="0" t="str">
        <f aca="false">IF(ISBLANK(BI550),"Not Mentioned",BI550)</f>
        <v>Yes</v>
      </c>
      <c r="BL550" s="0" t="str">
        <f aca="false">PROPER(IF(ISBLANK(BK550),"Not Mentioned",BK550))</f>
        <v>Not Mentioned</v>
      </c>
      <c r="BM550" s="0" t="s">
        <v>63</v>
      </c>
      <c r="BN550" s="0" t="str">
        <f aca="false">PROPER(IF(ISBLANK(BM550),"Not Mentioned",BM550))</f>
        <v>Yes</v>
      </c>
      <c r="BO550" s="0" t="s">
        <v>2318</v>
      </c>
      <c r="BP550" s="0" t="str">
        <f aca="false">IF(ISBLANK(BO550),"One-Time Plan",BO550)</f>
        <v>Gold</v>
      </c>
      <c r="BR550" s="0" t="str">
        <f aca="false">PROPER(IF(ISBLANK(BQ550),"No",BQ550))</f>
        <v>No</v>
      </c>
    </row>
    <row r="551" customFormat="false" ht="15" hidden="false" customHeight="false" outlineLevel="0" collapsed="false">
      <c r="A551" s="0" t="s">
        <v>1377</v>
      </c>
      <c r="B551" s="2" t="n">
        <v>45823</v>
      </c>
      <c r="C551" s="2" t="str">
        <f aca="false">TEXT(B551,"dd/mm/yyyy")</f>
        <v>15/06/2025</v>
      </c>
      <c r="D551" s="0" t="s">
        <v>163</v>
      </c>
      <c r="E551" s="0" t="n">
        <v>8053908184</v>
      </c>
      <c r="F551" s="0" t="s">
        <v>85</v>
      </c>
      <c r="G551" s="0" t="s">
        <v>2319</v>
      </c>
      <c r="H551" s="0" t="s">
        <v>1378</v>
      </c>
      <c r="I551" s="0" t="s">
        <v>69</v>
      </c>
      <c r="J551" s="0" t="s">
        <v>2317</v>
      </c>
      <c r="K551" s="3" t="str">
        <f aca="false" t="array" ref="K551:K551">IFERROR(IF(J551&lt;&gt;"",J551,INDEX(J551:J1550,MATCH(1,(F551:F1550=F551)*(I551:I1550=I551)*(L551:L1550=L551)*(J551:J1550&lt;&gt;""),0))),"Not Found")</f>
        <v>Suspension Noise</v>
      </c>
      <c r="L551" s="3" t="s">
        <v>189</v>
      </c>
      <c r="M551" s="0" t="str">
        <f aca="false">PROPER(L551)</f>
        <v>Battery</v>
      </c>
      <c r="N551" s="3" t="s">
        <v>48</v>
      </c>
      <c r="O551" s="0" t="str">
        <f aca="false" t="array" ref="O551:O551">IF(N551&lt;&gt;"",N551,_xlfn.xlookup(1,(L551:L1550=L551)*(N551:N1550&lt;&gt;""),N551:N1550,"Not Found"))</f>
        <v>Uche</v>
      </c>
      <c r="P551" s="4" t="n">
        <v>64076</v>
      </c>
      <c r="Q551" s="0" t="s">
        <v>124</v>
      </c>
      <c r="R551" s="0" t="str">
        <f aca="false">PROPER(Q551)</f>
        <v>Cash</v>
      </c>
      <c r="S551" s="0" t="s">
        <v>50</v>
      </c>
      <c r="T551" s="0" t="n">
        <v>2</v>
      </c>
      <c r="U551" s="5" t="n">
        <f aca="false">IF(ISBLANK(T551),AVERAGE(T551:T1550),T551)</f>
        <v>2</v>
      </c>
      <c r="V551" s="0" t="n">
        <v>2.6</v>
      </c>
      <c r="W551" s="0" t="s">
        <v>92</v>
      </c>
      <c r="X551" s="0" t="str">
        <f aca="false">IF(ISBLANK(W551),"No remarks",W551)</f>
        <v>Urgent service</v>
      </c>
      <c r="Y551" s="0" t="s">
        <v>93</v>
      </c>
      <c r="Z551" s="0" t="s">
        <v>136</v>
      </c>
      <c r="AA551" s="0" t="str">
        <f aca="false">PROPER(IF(ISBLANK(Z551),"Location Unavailable",Z551))</f>
        <v>Vip Section</v>
      </c>
      <c r="AB551" s="0" t="s">
        <v>167</v>
      </c>
      <c r="AC551" s="6" t="str">
        <f aca="false">PROPER(AB551)</f>
        <v>Word Of Mouth</v>
      </c>
      <c r="AD551" s="6" t="n">
        <v>30</v>
      </c>
      <c r="AE551" s="5" t="n">
        <f aca="false">IF(ISBLANK(AD551),AVERAGEIF(L551:L1550,L551,AD551:AD1550),AD551)</f>
        <v>30</v>
      </c>
      <c r="AF551" s="0" t="s">
        <v>76</v>
      </c>
      <c r="AG551" s="0" t="str">
        <f aca="false">PROPER(AF551)</f>
        <v>Orderd</v>
      </c>
      <c r="AH551" s="0" t="s">
        <v>77</v>
      </c>
      <c r="AI551" s="0" t="s">
        <v>98</v>
      </c>
      <c r="AJ551" s="0" t="str">
        <f aca="false">PROPER(AI551)</f>
        <v>Emergency</v>
      </c>
      <c r="AK551" s="0" t="s">
        <v>196</v>
      </c>
      <c r="AL551" s="0" t="str">
        <f aca="false">PROPER(AK551)</f>
        <v>First Time</v>
      </c>
      <c r="AM551" s="0" t="s">
        <v>2326</v>
      </c>
      <c r="AN551" s="0" t="str">
        <f aca="false">IF(ISBLANK(AM551),"Unknown",AM551)</f>
        <v>Government Convoy</v>
      </c>
      <c r="AO551" s="0" t="s">
        <v>79</v>
      </c>
      <c r="AP551" s="0" t="str">
        <f aca="false">IF(ISBLANK(AO551),"Unknown",AO551)</f>
        <v>Specialist</v>
      </c>
      <c r="AQ551" s="0" t="n">
        <v>15000</v>
      </c>
      <c r="AR551" s="5" t="n">
        <f aca="false">IF(ISBLANK(AQ551),AVERAGEIF(M551:M1550,M551,AQ551:AQ1550),AQ551)</f>
        <v>15000</v>
      </c>
      <c r="AS551" s="0" t="n">
        <v>30000</v>
      </c>
      <c r="AT551" s="5" t="n">
        <f aca="false">IF(ISBLANK(AS551),AVERAGE(AS551:AS1550),AS551)</f>
        <v>30000</v>
      </c>
      <c r="AU551" s="0" t="s">
        <v>82</v>
      </c>
      <c r="AV551" s="0" t="str">
        <f aca="false">PROPER(IF(ISBLANK(AU551),"No",AU551))</f>
        <v>Yes</v>
      </c>
      <c r="AW551" s="0" t="n">
        <v>5000</v>
      </c>
      <c r="AX551" s="5" t="n">
        <f aca="false">IF(ISBLANK(AW551),0,AW551)</f>
        <v>5000</v>
      </c>
      <c r="AZ551" s="0" t="str">
        <f aca="false">UPPER(IF(ISBLANK(AY551),"NONE",AY551))</f>
        <v>NONE</v>
      </c>
      <c r="BB551" s="7" t="str">
        <f aca="false">IF(ISBLANK(BA551),"No Follow Up Needed",BA551)</f>
        <v>No Follow Up Needed</v>
      </c>
      <c r="BC551" s="0" t="s">
        <v>50</v>
      </c>
      <c r="BD551" s="0" t="str">
        <f aca="false">PROPER(IF(ISBLANK(BC551),"Unknown",BC551))</f>
        <v>No</v>
      </c>
      <c r="BE551" s="0" t="s">
        <v>171</v>
      </c>
      <c r="BF551" s="0" t="str">
        <f aca="false">IF(ISBLANK(BE551),"No comments",BE551)</f>
        <v>Shock absorber weakening</v>
      </c>
      <c r="BG551" s="0" t="s">
        <v>172</v>
      </c>
      <c r="BH551" s="0" t="str">
        <f aca="false">IF(ISBLANK(BG551),"No comments",BG551)</f>
        <v>Always late</v>
      </c>
      <c r="BJ551" s="0" t="str">
        <f aca="false">IF(ISBLANK(BI551),"Not Mentioned",BI551)</f>
        <v>Not Mentioned</v>
      </c>
      <c r="BK551" s="0" t="s">
        <v>61</v>
      </c>
      <c r="BL551" s="0" t="str">
        <f aca="false">PROPER(IF(ISBLANK(BK551),"Not Mentioned",BK551))</f>
        <v>No</v>
      </c>
      <c r="BN551" s="0" t="str">
        <f aca="false">PROPER(IF(ISBLANK(BM551),"Not Mentioned",BM551))</f>
        <v>Not Mentioned</v>
      </c>
      <c r="BO551" s="0" t="s">
        <v>2321</v>
      </c>
      <c r="BP551" s="0" t="str">
        <f aca="false">IF(ISBLANK(BO551),"One-Time Plan",BO551)</f>
        <v>One-Time Plan</v>
      </c>
      <c r="BQ551" s="0" t="s">
        <v>63</v>
      </c>
      <c r="BR551" s="0" t="str">
        <f aca="false">PROPER(IF(ISBLANK(BQ551),"No",BQ551))</f>
        <v>Yes</v>
      </c>
    </row>
    <row r="552" customFormat="false" ht="15" hidden="false" customHeight="false" outlineLevel="0" collapsed="false">
      <c r="A552" s="0" t="s">
        <v>1379</v>
      </c>
      <c r="B552" s="2" t="n">
        <v>45693</v>
      </c>
      <c r="C552" s="2" t="str">
        <f aca="false">TEXT(B552,"dd/mm/yyyy")</f>
        <v>05/02/2025</v>
      </c>
      <c r="D552" s="0" t="s">
        <v>121</v>
      </c>
      <c r="E552" s="0" t="n">
        <v>8053309319</v>
      </c>
      <c r="F552" s="0" t="s">
        <v>67</v>
      </c>
      <c r="G552" s="0" t="s">
        <v>2316</v>
      </c>
      <c r="H552" s="0" t="s">
        <v>1380</v>
      </c>
      <c r="I552" s="0" t="s">
        <v>107</v>
      </c>
      <c r="J552" s="0" t="s">
        <v>2325</v>
      </c>
      <c r="K552" s="3" t="str">
        <f aca="false" t="array" ref="K552:K552">IFERROR(IF(J552&lt;&gt;"",J552,INDEX(J552:J1551,MATCH(1,(F552:F1551=F552)*(I552:I1551=I552)*(L552:L1551=L552)*(J552:J1551&lt;&gt;""),0))),"Not Found")</f>
        <v>Engine Knocking</v>
      </c>
      <c r="L552" s="3" t="s">
        <v>108</v>
      </c>
      <c r="M552" s="0" t="str">
        <f aca="false">PROPER(L552)</f>
        <v>Timing Belt</v>
      </c>
      <c r="N552" s="3" t="s">
        <v>109</v>
      </c>
      <c r="O552" s="0" t="str">
        <f aca="false" t="array" ref="O552:O552">IF(N552&lt;&gt;"",N552,_xlfn.xlookup(1,(L552:L1551=L552)*(N552:N1551&lt;&gt;""),N552:N1551,"Not Found"))</f>
        <v>Tijani</v>
      </c>
      <c r="P552" s="4" t="n">
        <v>82593</v>
      </c>
      <c r="Q552" s="0" t="s">
        <v>72</v>
      </c>
      <c r="R552" s="0" t="str">
        <f aca="false">PROPER(Q552)</f>
        <v>Pos</v>
      </c>
      <c r="S552" s="0" t="s">
        <v>50</v>
      </c>
      <c r="T552" s="0" t="n">
        <v>4</v>
      </c>
      <c r="U552" s="5" t="n">
        <f aca="false">IF(ISBLANK(T552),AVERAGE(T552:T1551),T552)</f>
        <v>4</v>
      </c>
      <c r="V552" s="0" t="n">
        <v>5.8</v>
      </c>
      <c r="W552" s="0" t="s">
        <v>111</v>
      </c>
      <c r="X552" s="0" t="str">
        <f aca="false">IF(ISBLANK(W552),"No remarks",W552)</f>
        <v>Changed all filters</v>
      </c>
      <c r="Y552" s="0" t="s">
        <v>73</v>
      </c>
      <c r="Z552" s="0" t="s">
        <v>159</v>
      </c>
      <c r="AA552" s="0" t="str">
        <f aca="false">PROPER(IF(ISBLANK(Z552),"Location Unavailable",Z552))</f>
        <v>Main Bay</v>
      </c>
      <c r="AB552" s="0" t="s">
        <v>54</v>
      </c>
      <c r="AC552" s="6" t="str">
        <f aca="false">PROPER(AB552)</f>
        <v>Mechanic Referral</v>
      </c>
      <c r="AD552" s="6" t="n">
        <v>45</v>
      </c>
      <c r="AE552" s="5" t="n">
        <f aca="false">IF(ISBLANK(AD552),AVERAGEIF(L552:L1551,L552,AD552:AD1551),AD552)</f>
        <v>45</v>
      </c>
      <c r="AF552" s="0" t="s">
        <v>55</v>
      </c>
      <c r="AG552" s="0" t="str">
        <f aca="false">PROPER(AF552)</f>
        <v>Available</v>
      </c>
      <c r="AH552" s="0" t="s">
        <v>56</v>
      </c>
      <c r="AI552" s="0" t="s">
        <v>98</v>
      </c>
      <c r="AJ552" s="0" t="str">
        <f aca="false">PROPER(AI552)</f>
        <v>Emergency</v>
      </c>
      <c r="AK552" s="0" t="s">
        <v>114</v>
      </c>
      <c r="AL552" s="0" t="str">
        <f aca="false">PROPER(AK552)</f>
        <v>Returning</v>
      </c>
      <c r="AM552" s="0" t="s">
        <v>2324</v>
      </c>
      <c r="AN552" s="0" t="str">
        <f aca="false">IF(ISBLANK(AM552),"Unknown",AM552)</f>
        <v>Logistics Convoy</v>
      </c>
      <c r="AP552" s="0" t="str">
        <f aca="false">IF(ISBLANK(AO552),"Unknown",AO552)</f>
        <v>Unknown</v>
      </c>
      <c r="AR552" s="5" t="n">
        <f aca="false">IF(ISBLANK(AQ552),AVERAGEIF(M552:M1551,M552,AQ552:AQ1551),AQ552)</f>
        <v>27323.9436619718</v>
      </c>
      <c r="AS552" s="0" t="n">
        <v>20000</v>
      </c>
      <c r="AT552" s="5" t="n">
        <f aca="false">IF(ISBLANK(AS552),AVERAGE(AS552:AS1551),AS552)</f>
        <v>20000</v>
      </c>
      <c r="AU552" s="0" t="s">
        <v>63</v>
      </c>
      <c r="AV552" s="0" t="str">
        <f aca="false">PROPER(IF(ISBLANK(AU552),"No",AU552))</f>
        <v>Yes</v>
      </c>
      <c r="AW552" s="0" t="n">
        <v>5000</v>
      </c>
      <c r="AX552" s="5" t="n">
        <f aca="false">IF(ISBLANK(AW552),0,AW552)</f>
        <v>5000</v>
      </c>
      <c r="AY552" s="0" t="s">
        <v>60</v>
      </c>
      <c r="AZ552" s="0" t="str">
        <f aca="false">UPPER(IF(ISBLANK(AY552),"NONE",AY552))</f>
        <v>NONE</v>
      </c>
      <c r="BA552" s="7" t="s">
        <v>179</v>
      </c>
      <c r="BB552" s="7" t="str">
        <f aca="false">IF(ISBLANK(BA552),"No Follow Up Needed",BA552)</f>
        <v>16/12/2025</v>
      </c>
      <c r="BC552" s="0" t="s">
        <v>50</v>
      </c>
      <c r="BD552" s="0" t="str">
        <f aca="false">PROPER(IF(ISBLANK(BC552),"Unknown",BC552))</f>
        <v>No</v>
      </c>
      <c r="BF552" s="0" t="str">
        <f aca="false">IF(ISBLANK(BE552),"No comments",BE552)</f>
        <v>No comments</v>
      </c>
      <c r="BH552" s="0" t="str">
        <f aca="false">IF(ISBLANK(BG552),"No comments",BG552)</f>
        <v>No comments</v>
      </c>
      <c r="BI552" s="0" t="s">
        <v>50</v>
      </c>
      <c r="BJ552" s="0" t="str">
        <f aca="false">IF(ISBLANK(BI552),"Not Mentioned",BI552)</f>
        <v>No</v>
      </c>
      <c r="BK552" s="0" t="s">
        <v>61</v>
      </c>
      <c r="BL552" s="0" t="str">
        <f aca="false">PROPER(IF(ISBLANK(BK552),"Not Mentioned",BK552))</f>
        <v>No</v>
      </c>
      <c r="BM552" s="0" t="s">
        <v>50</v>
      </c>
      <c r="BN552" s="0" t="str">
        <f aca="false">PROPER(IF(ISBLANK(BM552),"Not Mentioned",BM552))</f>
        <v>No</v>
      </c>
      <c r="BO552" s="0" t="s">
        <v>2318</v>
      </c>
      <c r="BP552" s="0" t="str">
        <f aca="false">IF(ISBLANK(BO552),"One-Time Plan",BO552)</f>
        <v>Gold</v>
      </c>
      <c r="BQ552" s="0" t="s">
        <v>50</v>
      </c>
      <c r="BR552" s="0" t="str">
        <f aca="false">PROPER(IF(ISBLANK(BQ552),"No",BQ552))</f>
        <v>No</v>
      </c>
    </row>
    <row r="553" customFormat="false" ht="15" hidden="false" customHeight="false" outlineLevel="0" collapsed="false">
      <c r="A553" s="0" t="s">
        <v>1381</v>
      </c>
      <c r="B553" s="2" t="n">
        <v>45773</v>
      </c>
      <c r="C553" s="2" t="str">
        <f aca="false">TEXT(B553,"dd/mm/yyyy")</f>
        <v>26/04/2025</v>
      </c>
      <c r="D553" s="0" t="s">
        <v>121</v>
      </c>
      <c r="E553" s="0" t="n">
        <v>8085437626</v>
      </c>
      <c r="F553" s="0" t="s">
        <v>67</v>
      </c>
      <c r="G553" s="0" t="s">
        <v>2316</v>
      </c>
      <c r="H553" s="0" t="s">
        <v>1382</v>
      </c>
      <c r="I553" s="0" t="s">
        <v>69</v>
      </c>
      <c r="J553" s="0" t="s">
        <v>2317</v>
      </c>
      <c r="K553" s="3" t="str">
        <f aca="false" t="array" ref="K553:K553">IFERROR(IF(J553&lt;&gt;"",J553,INDEX(J553:J1552,MATCH(1,(F553:F1552=F553)*(I553:I1552=I553)*(L553:L1552=L553)*(J553:J1552&lt;&gt;""),0))),"Not Found")</f>
        <v>Suspension Noise</v>
      </c>
      <c r="L553" s="3" t="s">
        <v>47</v>
      </c>
      <c r="M553" s="0" t="str">
        <f aca="false">PROPER(L553)</f>
        <v>None</v>
      </c>
      <c r="O553" s="0" t="e">
        <f aca="false" t="array" ref="O553:O553">IF(N553&lt;&gt;"",N553,_xlfn.xlookup(1,(L553:L1552=L553)*(N553:N1552&lt;&gt;""),N553:N1552,"Not Found"))</f>
        <v>#NAME?</v>
      </c>
      <c r="P553" s="4" t="n">
        <v>40127</v>
      </c>
      <c r="Q553" s="0" t="s">
        <v>72</v>
      </c>
      <c r="R553" s="0" t="str">
        <f aca="false">PROPER(Q553)</f>
        <v>Pos</v>
      </c>
      <c r="S553" s="0" t="s">
        <v>50</v>
      </c>
      <c r="T553" s="0" t="n">
        <v>4</v>
      </c>
      <c r="U553" s="5" t="n">
        <f aca="false">IF(ISBLANK(T553),AVERAGE(T553:T1552),T553)</f>
        <v>4</v>
      </c>
      <c r="V553" s="0" t="n">
        <v>1.6</v>
      </c>
      <c r="W553" s="0" t="s">
        <v>125</v>
      </c>
      <c r="X553" s="0" t="str">
        <f aca="false">IF(ISBLANK(W553),"No remarks",W553)</f>
        <v>Customer waited</v>
      </c>
      <c r="Y553" s="0" t="s">
        <v>52</v>
      </c>
      <c r="AA553" s="0" t="str">
        <f aca="false">PROPER(IF(ISBLANK(Z553),"Location Unavailable",Z553))</f>
        <v>Location Unavailable</v>
      </c>
      <c r="AB553" s="0" t="s">
        <v>126</v>
      </c>
      <c r="AC553" s="6" t="str">
        <f aca="false">PROPER(AB553)</f>
        <v>Whatsapp</v>
      </c>
      <c r="AD553" s="6" t="n">
        <v>15</v>
      </c>
      <c r="AE553" s="5" t="n">
        <f aca="false">IF(ISBLANK(AD553),AVERAGEIF(L553:L1552,L553,AD553:AD1552),AD553)</f>
        <v>15</v>
      </c>
      <c r="AF553" s="0" t="s">
        <v>76</v>
      </c>
      <c r="AG553" s="0" t="str">
        <f aca="false">PROPER(AF553)</f>
        <v>Orderd</v>
      </c>
      <c r="AH553" s="0" t="s">
        <v>56</v>
      </c>
      <c r="AI553" s="0" t="s">
        <v>78</v>
      </c>
      <c r="AJ553" s="0" t="str">
        <f aca="false">PROPER(AI553)</f>
        <v>Booking</v>
      </c>
      <c r="AK553" s="0" t="s">
        <v>196</v>
      </c>
      <c r="AL553" s="0" t="str">
        <f aca="false">PROPER(AK553)</f>
        <v>First Time</v>
      </c>
      <c r="AM553" s="0" t="s">
        <v>2324</v>
      </c>
      <c r="AN553" s="0" t="str">
        <f aca="false">IF(ISBLANK(AM553),"Unknown",AM553)</f>
        <v>Logistics Convoy</v>
      </c>
      <c r="AO553" s="0" t="s">
        <v>79</v>
      </c>
      <c r="AP553" s="0" t="str">
        <f aca="false">IF(ISBLANK(AO553),"Unknown",AO553)</f>
        <v>Specialist</v>
      </c>
      <c r="AQ553" s="0" t="n">
        <v>40000</v>
      </c>
      <c r="AR553" s="5" t="n">
        <f aca="false">IF(ISBLANK(AQ553),AVERAGEIF(M553:M1552,M553,AQ553:AQ1552),AQ553)</f>
        <v>40000</v>
      </c>
      <c r="AS553" s="0" t="n">
        <v>30000</v>
      </c>
      <c r="AT553" s="5" t="n">
        <f aca="false">IF(ISBLANK(AS553),AVERAGE(AS553:AS1552),AS553)</f>
        <v>30000</v>
      </c>
      <c r="AU553" s="0" t="s">
        <v>63</v>
      </c>
      <c r="AV553" s="0" t="str">
        <f aca="false">PROPER(IF(ISBLANK(AU553),"No",AU553))</f>
        <v>Yes</v>
      </c>
      <c r="AW553" s="0" t="n">
        <v>5000</v>
      </c>
      <c r="AX553" s="5" t="n">
        <f aca="false">IF(ISBLANK(AW553),0,AW553)</f>
        <v>5000</v>
      </c>
      <c r="AY553" s="0" t="s">
        <v>184</v>
      </c>
      <c r="AZ553" s="0" t="str">
        <f aca="false">UPPER(IF(ISBLANK(AY553),"NONE",AY553))</f>
        <v>N/A</v>
      </c>
      <c r="BB553" s="7" t="str">
        <f aca="false">IF(ISBLANK(BA553),"No Follow Up Needed",BA553)</f>
        <v>No Follow Up Needed</v>
      </c>
      <c r="BC553" s="0" t="s">
        <v>63</v>
      </c>
      <c r="BD553" s="0" t="str">
        <f aca="false">PROPER(IF(ISBLANK(BC553),"Unknown",BC553))</f>
        <v>Yes</v>
      </c>
      <c r="BE553" s="0" t="s">
        <v>171</v>
      </c>
      <c r="BF553" s="0" t="str">
        <f aca="false">IF(ISBLANK(BE553),"No comments",BE553)</f>
        <v>Shock absorber weakening</v>
      </c>
      <c r="BG553" s="0" t="s">
        <v>172</v>
      </c>
      <c r="BH553" s="0" t="str">
        <f aca="false">IF(ISBLANK(BG553),"No comments",BG553)</f>
        <v>Always late</v>
      </c>
      <c r="BJ553" s="0" t="str">
        <f aca="false">IF(ISBLANK(BI553),"Not Mentioned",BI553)</f>
        <v>Not Mentioned</v>
      </c>
      <c r="BK553" s="0" t="s">
        <v>82</v>
      </c>
      <c r="BL553" s="0" t="str">
        <f aca="false">PROPER(IF(ISBLANK(BK553),"Not Mentioned",BK553))</f>
        <v>Yes</v>
      </c>
      <c r="BM553" s="0" t="s">
        <v>63</v>
      </c>
      <c r="BN553" s="0" t="str">
        <f aca="false">PROPER(IF(ISBLANK(BM553),"Not Mentioned",BM553))</f>
        <v>Yes</v>
      </c>
      <c r="BO553" s="0" t="s">
        <v>2318</v>
      </c>
      <c r="BP553" s="0" t="str">
        <f aca="false">IF(ISBLANK(BO553),"One-Time Plan",BO553)</f>
        <v>Gold</v>
      </c>
      <c r="BR553" s="0" t="str">
        <f aca="false">PROPER(IF(ISBLANK(BQ553),"No",BQ553))</f>
        <v>No</v>
      </c>
    </row>
    <row r="554" customFormat="false" ht="15" hidden="false" customHeight="false" outlineLevel="0" collapsed="false">
      <c r="A554" s="0" t="s">
        <v>1383</v>
      </c>
      <c r="B554" s="2" t="n">
        <v>45815</v>
      </c>
      <c r="C554" s="2" t="str">
        <f aca="false">TEXT(B554,"dd/mm/yyyy")</f>
        <v>07/06/2025</v>
      </c>
      <c r="D554" s="0" t="s">
        <v>121</v>
      </c>
      <c r="E554" s="0" t="n">
        <v>8094125851</v>
      </c>
      <c r="F554" s="0" t="s">
        <v>122</v>
      </c>
      <c r="G554" s="0" t="s">
        <v>2316</v>
      </c>
      <c r="H554" s="0" t="s">
        <v>1384</v>
      </c>
      <c r="I554" s="0" t="s">
        <v>107</v>
      </c>
      <c r="J554" s="0" t="s">
        <v>2317</v>
      </c>
      <c r="K554" s="3" t="str">
        <f aca="false" t="array" ref="K554:K554">IFERROR(IF(J554&lt;&gt;"",J554,INDEX(J554:J1553,MATCH(1,(F554:F1553=F554)*(I554:I1553=I554)*(L554:L1553=L554)*(J554:J1553&lt;&gt;""),0))),"Not Found")</f>
        <v>Suspension Noise</v>
      </c>
      <c r="L554" s="3" t="s">
        <v>47</v>
      </c>
      <c r="M554" s="0" t="str">
        <f aca="false">PROPER(L554)</f>
        <v>None</v>
      </c>
      <c r="N554" s="3" t="s">
        <v>90</v>
      </c>
      <c r="O554" s="0" t="str">
        <f aca="false" t="array" ref="O554:O554">IF(N554&lt;&gt;"",N554,_xlfn.xlookup(1,(L554:L1553=L554)*(N554:N1553&lt;&gt;""),N554:N1553,"Not Found"))</f>
        <v>Musa</v>
      </c>
      <c r="P554" s="4" t="n">
        <v>23156</v>
      </c>
      <c r="Q554" s="0" t="s">
        <v>166</v>
      </c>
      <c r="R554" s="0" t="str">
        <f aca="false">PROPER(Q554)</f>
        <v>Transfer</v>
      </c>
      <c r="S554" s="0" t="s">
        <v>63</v>
      </c>
      <c r="T554" s="0" t="n">
        <v>4</v>
      </c>
      <c r="U554" s="5" t="n">
        <f aca="false">IF(ISBLANK(T554),AVERAGE(T554:T1553),T554)</f>
        <v>4</v>
      </c>
      <c r="V554" s="0" t="n">
        <v>4.5</v>
      </c>
      <c r="X554" s="0" t="str">
        <f aca="false">IF(ISBLANK(W554),"No remarks",W554)</f>
        <v>No remarks</v>
      </c>
      <c r="Y554" s="0" t="s">
        <v>73</v>
      </c>
      <c r="Z554" s="0" t="s">
        <v>53</v>
      </c>
      <c r="AA554" s="0" t="str">
        <f aca="false">PROPER(IF(ISBLANK(Z554),"Location Unavailable",Z554))</f>
        <v>Main Bay</v>
      </c>
      <c r="AB554" s="0" t="s">
        <v>95</v>
      </c>
      <c r="AC554" s="6" t="str">
        <f aca="false">PROPER(AB554)</f>
        <v>Road Sign</v>
      </c>
      <c r="AD554" s="6" t="n">
        <v>60</v>
      </c>
      <c r="AE554" s="5" t="n">
        <f aca="false">IF(ISBLANK(AD554),AVERAGEIF(L554:L1553,L554,AD554:AD1553),AD554)</f>
        <v>60</v>
      </c>
      <c r="AF554" s="0" t="s">
        <v>76</v>
      </c>
      <c r="AG554" s="0" t="str">
        <f aca="false">PROPER(AF554)</f>
        <v>Orderd</v>
      </c>
      <c r="AH554" s="0" t="s">
        <v>155</v>
      </c>
      <c r="AI554" s="0" t="s">
        <v>98</v>
      </c>
      <c r="AJ554" s="0" t="str">
        <f aca="false">PROPER(AI554)</f>
        <v>Emergency</v>
      </c>
      <c r="AK554" s="0" t="s">
        <v>196</v>
      </c>
      <c r="AL554" s="0" t="str">
        <f aca="false">PROPER(AK554)</f>
        <v>First Time</v>
      </c>
      <c r="AN554" s="0" t="str">
        <f aca="false">IF(ISBLANK(AM554),"Unknown",AM554)</f>
        <v>Unknown</v>
      </c>
      <c r="AP554" s="0" t="str">
        <f aca="false">IF(ISBLANK(AO554),"Unknown",AO554)</f>
        <v>Unknown</v>
      </c>
      <c r="AQ554" s="0" t="n">
        <v>25000</v>
      </c>
      <c r="AR554" s="5" t="n">
        <f aca="false">IF(ISBLANK(AQ554),AVERAGEIF(M554:M1553,M554,AQ554:AQ1553),AQ554)</f>
        <v>25000</v>
      </c>
      <c r="AS554" s="0" t="n">
        <v>20000</v>
      </c>
      <c r="AT554" s="5" t="n">
        <f aca="false">IF(ISBLANK(AS554),AVERAGE(AS554:AS1553),AS554)</f>
        <v>20000</v>
      </c>
      <c r="AU554" s="0" t="s">
        <v>82</v>
      </c>
      <c r="AV554" s="0" t="str">
        <f aca="false">PROPER(IF(ISBLANK(AU554),"No",AU554))</f>
        <v>Yes</v>
      </c>
      <c r="AX554" s="5" t="n">
        <f aca="false">IF(ISBLANK(AW554),0,AW554)</f>
        <v>0</v>
      </c>
      <c r="AY554" s="0" t="s">
        <v>184</v>
      </c>
      <c r="AZ554" s="0" t="str">
        <f aca="false">UPPER(IF(ISBLANK(AY554),"NONE",AY554))</f>
        <v>N/A</v>
      </c>
      <c r="BA554" s="7" t="s">
        <v>1385</v>
      </c>
      <c r="BB554" s="7" t="str">
        <f aca="false">IF(ISBLANK(BA554),"No Follow Up Needed",BA554)</f>
        <v>22/08/2025</v>
      </c>
      <c r="BD554" s="0" t="str">
        <f aca="false">PROPER(IF(ISBLANK(BC554),"Unknown",BC554))</f>
        <v>Unknown</v>
      </c>
      <c r="BF554" s="0" t="str">
        <f aca="false">IF(ISBLANK(BE554),"No comments",BE554)</f>
        <v>No comments</v>
      </c>
      <c r="BG554" s="0" t="s">
        <v>172</v>
      </c>
      <c r="BH554" s="0" t="str">
        <f aca="false">IF(ISBLANK(BG554),"No comments",BG554)</f>
        <v>Always late</v>
      </c>
      <c r="BJ554" s="0" t="str">
        <f aca="false">IF(ISBLANK(BI554),"Not Mentioned",BI554)</f>
        <v>Not Mentioned</v>
      </c>
      <c r="BK554" s="0" t="s">
        <v>61</v>
      </c>
      <c r="BL554" s="0" t="str">
        <f aca="false">PROPER(IF(ISBLANK(BK554),"Not Mentioned",BK554))</f>
        <v>No</v>
      </c>
      <c r="BM554" s="0" t="s">
        <v>63</v>
      </c>
      <c r="BN554" s="0" t="str">
        <f aca="false">PROPER(IF(ISBLANK(BM554),"Not Mentioned",BM554))</f>
        <v>Yes</v>
      </c>
      <c r="BO554" s="0" t="s">
        <v>2321</v>
      </c>
      <c r="BP554" s="0" t="str">
        <f aca="false">IF(ISBLANK(BO554),"One-Time Plan",BO554)</f>
        <v>One-Time Plan</v>
      </c>
      <c r="BQ554" s="0" t="s">
        <v>50</v>
      </c>
      <c r="BR554" s="0" t="str">
        <f aca="false">PROPER(IF(ISBLANK(BQ554),"No",BQ554))</f>
        <v>No</v>
      </c>
    </row>
    <row r="555" customFormat="false" ht="15" hidden="false" customHeight="false" outlineLevel="0" collapsed="false">
      <c r="A555" s="0" t="s">
        <v>1386</v>
      </c>
      <c r="B555" s="2" t="n">
        <v>45710</v>
      </c>
      <c r="C555" s="2" t="str">
        <f aca="false">TEXT(B555,"dd/mm/yyyy")</f>
        <v>22/02/2025</v>
      </c>
      <c r="D555" s="0" t="s">
        <v>121</v>
      </c>
      <c r="E555" s="0" t="n">
        <v>8035440639</v>
      </c>
      <c r="F555" s="0" t="s">
        <v>67</v>
      </c>
      <c r="G555" s="0" t="s">
        <v>2316</v>
      </c>
      <c r="H555" s="0" t="s">
        <v>1387</v>
      </c>
      <c r="I555" s="0" t="s">
        <v>87</v>
      </c>
      <c r="K555" s="3" t="str">
        <f aca="false" t="array" ref="K555:K555">IFERROR(IF(J555&lt;&gt;"",J555,INDEX(J555:J1554,MATCH(1,(F555:F1554=F555)*(I555:I1554=I555)*(L555:L1554=L555)*(J555:J1554&lt;&gt;""),0))),"Not Found")</f>
        <v>Brake Failure</v>
      </c>
      <c r="L555" s="3" t="s">
        <v>189</v>
      </c>
      <c r="M555" s="0" t="str">
        <f aca="false">PROPER(L555)</f>
        <v>Battery</v>
      </c>
      <c r="N555" s="3" t="s">
        <v>71</v>
      </c>
      <c r="O555" s="0" t="str">
        <f aca="false" t="array" ref="O555:O555">IF(N555&lt;&gt;"",N555,_xlfn.xlookup(1,(L555:L1554=L555)*(N555:N1554&lt;&gt;""),N555:N1554,"Not Found"))</f>
        <v>Isaac Bobo</v>
      </c>
      <c r="P555" s="4" t="n">
        <v>68894</v>
      </c>
      <c r="Q555" s="0" t="s">
        <v>91</v>
      </c>
      <c r="R555" s="0" t="str">
        <f aca="false">PROPER(Q555)</f>
        <v>Pos</v>
      </c>
      <c r="S555" s="0" t="s">
        <v>50</v>
      </c>
      <c r="T555" s="0" t="n">
        <v>3</v>
      </c>
      <c r="U555" s="5" t="n">
        <f aca="false">IF(ISBLANK(T555),AVERAGE(T555:T1554),T555)</f>
        <v>3</v>
      </c>
      <c r="V555" s="0" t="n">
        <v>5.2</v>
      </c>
      <c r="X555" s="0" t="str">
        <f aca="false">IF(ISBLANK(W555),"No remarks",W555)</f>
        <v>No remarks</v>
      </c>
      <c r="Y555" s="0" t="s">
        <v>93</v>
      </c>
      <c r="Z555" s="0" t="s">
        <v>159</v>
      </c>
      <c r="AA555" s="0" t="str">
        <f aca="false">PROPER(IF(ISBLANK(Z555),"Location Unavailable",Z555))</f>
        <v>Main Bay</v>
      </c>
      <c r="AB555" s="0" t="s">
        <v>167</v>
      </c>
      <c r="AC555" s="6" t="str">
        <f aca="false">PROPER(AB555)</f>
        <v>Word Of Mouth</v>
      </c>
      <c r="AD555" s="6" t="n">
        <v>45</v>
      </c>
      <c r="AE555" s="5" t="n">
        <f aca="false">IF(ISBLANK(AD555),AVERAGEIF(L555:L1554,L555,AD555:AD1554),AD555)</f>
        <v>45</v>
      </c>
      <c r="AF555" s="0" t="s">
        <v>160</v>
      </c>
      <c r="AG555" s="0" t="str">
        <f aca="false">PROPER(AF555)</f>
        <v>Availaible</v>
      </c>
      <c r="AH555" s="0" t="s">
        <v>155</v>
      </c>
      <c r="AI555" s="0" t="s">
        <v>128</v>
      </c>
      <c r="AJ555" s="0" t="str">
        <f aca="false">PROPER(AI555)</f>
        <v>Normal</v>
      </c>
      <c r="AK555" s="0" t="s">
        <v>99</v>
      </c>
      <c r="AL555" s="0" t="str">
        <f aca="false">PROPER(AK555)</f>
        <v>Uber Driver</v>
      </c>
      <c r="AM555" s="0" t="s">
        <v>2326</v>
      </c>
      <c r="AN555" s="0" t="str">
        <f aca="false">IF(ISBLANK(AM555),"Unknown",AM555)</f>
        <v>Government Convoy</v>
      </c>
      <c r="AO555" s="0" t="s">
        <v>149</v>
      </c>
      <c r="AP555" s="0" t="str">
        <f aca="false">IF(ISBLANK(AO555),"Unknown",AO555)</f>
        <v>Senior </v>
      </c>
      <c r="AQ555" s="0" t="n">
        <v>15000</v>
      </c>
      <c r="AR555" s="5" t="n">
        <f aca="false">IF(ISBLANK(AQ555),AVERAGEIF(M555:M1554,M555,AQ555:AQ1554),AQ555)</f>
        <v>15000</v>
      </c>
      <c r="AS555" s="0" t="n">
        <v>40000</v>
      </c>
      <c r="AT555" s="5" t="n">
        <f aca="false">IF(ISBLANK(AS555),AVERAGE(AS555:AS1554),AS555)</f>
        <v>40000</v>
      </c>
      <c r="AV555" s="0" t="str">
        <f aca="false">PROPER(IF(ISBLANK(AU555),"No",AU555))</f>
        <v>No</v>
      </c>
      <c r="AX555" s="5" t="n">
        <f aca="false">IF(ISBLANK(AW555),0,AW555)</f>
        <v>0</v>
      </c>
      <c r="AZ555" s="0" t="str">
        <f aca="false">UPPER(IF(ISBLANK(AY555),"NONE",AY555))</f>
        <v>NONE</v>
      </c>
      <c r="BA555" s="7" t="s">
        <v>520</v>
      </c>
      <c r="BB555" s="7" t="str">
        <f aca="false">IF(ISBLANK(BA555),"No Follow Up Needed",BA555)</f>
        <v>24/06/2025</v>
      </c>
      <c r="BC555" s="0" t="s">
        <v>50</v>
      </c>
      <c r="BD555" s="0" t="str">
        <f aca="false">PROPER(IF(ISBLANK(BC555),"Unknown",BC555))</f>
        <v>No</v>
      </c>
      <c r="BE555" s="0" t="s">
        <v>116</v>
      </c>
      <c r="BF555" s="0" t="str">
        <f aca="false">IF(ISBLANK(BE555),"No comments",BE555)</f>
        <v>Needs tire alignment</v>
      </c>
      <c r="BH555" s="0" t="str">
        <f aca="false">IF(ISBLANK(BG555),"No comments",BG555)</f>
        <v>No comments</v>
      </c>
      <c r="BI555" s="0" t="s">
        <v>63</v>
      </c>
      <c r="BJ555" s="0" t="str">
        <f aca="false">IF(ISBLANK(BI555),"Not Mentioned",BI555)</f>
        <v>Yes</v>
      </c>
      <c r="BK555" s="0" t="s">
        <v>63</v>
      </c>
      <c r="BL555" s="0" t="str">
        <f aca="false">PROPER(IF(ISBLANK(BK555),"Not Mentioned",BK555))</f>
        <v>Yes</v>
      </c>
      <c r="BN555" s="0" t="str">
        <f aca="false">PROPER(IF(ISBLANK(BM555),"Not Mentioned",BM555))</f>
        <v>Not Mentioned</v>
      </c>
      <c r="BO555" s="0" t="s">
        <v>2321</v>
      </c>
      <c r="BP555" s="0" t="str">
        <f aca="false">IF(ISBLANK(BO555),"One-Time Plan",BO555)</f>
        <v>One-Time Plan</v>
      </c>
      <c r="BR555" s="0" t="str">
        <f aca="false">PROPER(IF(ISBLANK(BQ555),"No",BQ555))</f>
        <v>No</v>
      </c>
    </row>
    <row r="556" customFormat="false" ht="15" hidden="false" customHeight="false" outlineLevel="0" collapsed="false">
      <c r="A556" s="0" t="s">
        <v>1388</v>
      </c>
      <c r="B556" s="2" t="n">
        <v>45803</v>
      </c>
      <c r="C556" s="2" t="str">
        <f aca="false">TEXT(B556,"dd/mm/yyyy")</f>
        <v>26/05/2025</v>
      </c>
      <c r="D556" s="0" t="s">
        <v>121</v>
      </c>
      <c r="E556" s="0" t="n">
        <v>8093842238</v>
      </c>
      <c r="F556" s="0" t="s">
        <v>139</v>
      </c>
      <c r="G556" s="0" t="s">
        <v>2323</v>
      </c>
      <c r="H556" s="0" t="s">
        <v>1389</v>
      </c>
      <c r="I556" s="0" t="s">
        <v>87</v>
      </c>
      <c r="J556" s="0" t="s">
        <v>2325</v>
      </c>
      <c r="K556" s="3" t="str">
        <f aca="false" t="array" ref="K556:K556">IFERROR(IF(J556&lt;&gt;"",J556,INDEX(J556:J1555,MATCH(1,(F556:F1555=F556)*(I556:I1555=I556)*(L556:L1555=L556)*(J556:J1555&lt;&gt;""),0))),"Not Found")</f>
        <v>Engine Knocking</v>
      </c>
      <c r="L556" s="3" t="s">
        <v>89</v>
      </c>
      <c r="M556" s="0" t="str">
        <f aca="false">PROPER(L556)</f>
        <v>Shock Absorbers</v>
      </c>
      <c r="N556" s="3" t="s">
        <v>90</v>
      </c>
      <c r="O556" s="0" t="str">
        <f aca="false" t="array" ref="O556:O556">IF(N556&lt;&gt;"",N556,_xlfn.xlookup(1,(L556:L1555=L556)*(N556:N1555&lt;&gt;""),N556:N1555,"Not Found"))</f>
        <v>Musa</v>
      </c>
      <c r="P556" s="4" t="n">
        <v>62250</v>
      </c>
      <c r="Q556" s="0" t="s">
        <v>72</v>
      </c>
      <c r="R556" s="0" t="str">
        <f aca="false">PROPER(Q556)</f>
        <v>Pos</v>
      </c>
      <c r="S556" s="0" t="s">
        <v>63</v>
      </c>
      <c r="T556" s="0" t="n">
        <v>2</v>
      </c>
      <c r="U556" s="5" t="n">
        <f aca="false">IF(ISBLANK(T556),AVERAGE(T556:T1555),T556)</f>
        <v>2</v>
      </c>
      <c r="V556" s="0" t="n">
        <v>4.8</v>
      </c>
      <c r="W556" s="0" t="s">
        <v>92</v>
      </c>
      <c r="X556" s="0" t="str">
        <f aca="false">IF(ISBLANK(W556),"No remarks",W556)</f>
        <v>Urgent service</v>
      </c>
      <c r="Y556" s="0" t="s">
        <v>73</v>
      </c>
      <c r="Z556" s="0" t="s">
        <v>159</v>
      </c>
      <c r="AA556" s="0" t="str">
        <f aca="false">PROPER(IF(ISBLANK(Z556),"Location Unavailable",Z556))</f>
        <v>Main Bay</v>
      </c>
      <c r="AB556" s="0" t="s">
        <v>147</v>
      </c>
      <c r="AC556" s="6" t="str">
        <f aca="false">PROPER(AB556)</f>
        <v>Instagram</v>
      </c>
      <c r="AD556" s="6" t="n">
        <v>45</v>
      </c>
      <c r="AE556" s="5" t="n">
        <f aca="false">IF(ISBLANK(AD556),AVERAGEIF(L556:L1555,L556,AD556:AD1555),AD556)</f>
        <v>45</v>
      </c>
      <c r="AF556" s="0" t="s">
        <v>112</v>
      </c>
      <c r="AG556" s="0" t="str">
        <f aca="false">PROPER(AF556)</f>
        <v>Unavailable</v>
      </c>
      <c r="AH556" s="0" t="s">
        <v>155</v>
      </c>
      <c r="AI556" s="0" t="s">
        <v>128</v>
      </c>
      <c r="AJ556" s="0" t="str">
        <f aca="false">PROPER(AI556)</f>
        <v>Normal</v>
      </c>
      <c r="AK556" s="0" t="s">
        <v>99</v>
      </c>
      <c r="AL556" s="0" t="str">
        <f aca="false">PROPER(AK556)</f>
        <v>Uber Driver</v>
      </c>
      <c r="AM556" s="0" t="s">
        <v>59</v>
      </c>
      <c r="AN556" s="0" t="str">
        <f aca="false">IF(ISBLANK(AM556),"Unknown",AM556)</f>
        <v>Bolt Driver</v>
      </c>
      <c r="AP556" s="0" t="str">
        <f aca="false">IF(ISBLANK(AO556),"Unknown",AO556)</f>
        <v>Unknown</v>
      </c>
      <c r="AR556" s="5" t="n">
        <f aca="false">IF(ISBLANK(AQ556),AVERAGEIF(M556:M1555,M556,AQ556:AQ1555),AQ556)</f>
        <v>25312.5</v>
      </c>
      <c r="AS556" s="0" t="n">
        <v>30000</v>
      </c>
      <c r="AT556" s="5" t="n">
        <f aca="false">IF(ISBLANK(AS556),AVERAGE(AS556:AS1555),AS556)</f>
        <v>30000</v>
      </c>
      <c r="AV556" s="0" t="str">
        <f aca="false">PROPER(IF(ISBLANK(AU556),"No",AU556))</f>
        <v>No</v>
      </c>
      <c r="AW556" s="0" t="n">
        <v>5000</v>
      </c>
      <c r="AX556" s="5" t="n">
        <f aca="false">IF(ISBLANK(AW556),0,AW556)</f>
        <v>5000</v>
      </c>
      <c r="AZ556" s="0" t="str">
        <f aca="false">UPPER(IF(ISBLANK(AY556),"NONE",AY556))</f>
        <v>NONE</v>
      </c>
      <c r="BB556" s="7" t="str">
        <f aca="false">IF(ISBLANK(BA556),"No Follow Up Needed",BA556)</f>
        <v>No Follow Up Needed</v>
      </c>
      <c r="BD556" s="0" t="str">
        <f aca="false">PROPER(IF(ISBLANK(BC556),"Unknown",BC556))</f>
        <v>Unknown</v>
      </c>
      <c r="BF556" s="0" t="str">
        <f aca="false">IF(ISBLANK(BE556),"No comments",BE556)</f>
        <v>No comments</v>
      </c>
      <c r="BH556" s="0" t="str">
        <f aca="false">IF(ISBLANK(BG556),"No comments",BG556)</f>
        <v>No comments</v>
      </c>
      <c r="BI556" s="0" t="s">
        <v>63</v>
      </c>
      <c r="BJ556" s="0" t="str">
        <f aca="false">IF(ISBLANK(BI556),"Not Mentioned",BI556)</f>
        <v>Yes</v>
      </c>
      <c r="BK556" s="0" t="s">
        <v>61</v>
      </c>
      <c r="BL556" s="0" t="str">
        <f aca="false">PROPER(IF(ISBLANK(BK556),"Not Mentioned",BK556))</f>
        <v>No</v>
      </c>
      <c r="BN556" s="0" t="str">
        <f aca="false">PROPER(IF(ISBLANK(BM556),"Not Mentioned",BM556))</f>
        <v>Not Mentioned</v>
      </c>
      <c r="BP556" s="0" t="str">
        <f aca="false">IF(ISBLANK(BO556),"One-Time Plan",BO556)</f>
        <v>One-Time Plan</v>
      </c>
      <c r="BR556" s="0" t="str">
        <f aca="false">PROPER(IF(ISBLANK(BQ556),"No",BQ556))</f>
        <v>No</v>
      </c>
    </row>
    <row r="557" customFormat="false" ht="15" hidden="false" customHeight="false" outlineLevel="0" collapsed="false">
      <c r="A557" s="0" t="s">
        <v>1390</v>
      </c>
      <c r="B557" s="2" t="n">
        <v>45735</v>
      </c>
      <c r="C557" s="2" t="str">
        <f aca="false">TEXT(B557,"dd/mm/yyyy")</f>
        <v>19/03/2025</v>
      </c>
      <c r="D557" s="0" t="s">
        <v>105</v>
      </c>
      <c r="E557" s="0" t="n">
        <v>8037799083</v>
      </c>
      <c r="F557" s="0" t="s">
        <v>122</v>
      </c>
      <c r="G557" s="0" t="s">
        <v>2316</v>
      </c>
      <c r="H557" s="0" t="s">
        <v>1391</v>
      </c>
      <c r="I557" s="0" t="s">
        <v>69</v>
      </c>
      <c r="J557" s="0" t="s">
        <v>2317</v>
      </c>
      <c r="K557" s="3" t="str">
        <f aca="false" t="array" ref="K557:K557">IFERROR(IF(J557&lt;&gt;"",J557,INDEX(J557:J1556,MATCH(1,(F557:F1556=F557)*(I557:I1556=I557)*(L557:L1556=L557)*(J557:J1556&lt;&gt;""),0))),"Not Found")</f>
        <v>Suspension Noise</v>
      </c>
      <c r="L557" s="3" t="s">
        <v>108</v>
      </c>
      <c r="M557" s="0" t="str">
        <f aca="false">PROPER(L557)</f>
        <v>Timing Belt</v>
      </c>
      <c r="O557" s="0" t="e">
        <f aca="false" t="array" ref="O557:O557">IF(N557&lt;&gt;"",N557,_xlfn.xlookup(1,(L557:L1556=L557)*(N557:N1556&lt;&gt;""),N557:N1556,"Not Found"))</f>
        <v>#NAME?</v>
      </c>
      <c r="P557" s="4" t="n">
        <v>46198</v>
      </c>
      <c r="Q557" s="0" t="s">
        <v>166</v>
      </c>
      <c r="R557" s="0" t="str">
        <f aca="false">PROPER(Q557)</f>
        <v>Transfer</v>
      </c>
      <c r="S557" s="0" t="s">
        <v>50</v>
      </c>
      <c r="T557" s="0" t="n">
        <v>2</v>
      </c>
      <c r="U557" s="5" t="n">
        <f aca="false">IF(ISBLANK(T557),AVERAGE(T557:T1556),T557)</f>
        <v>2</v>
      </c>
      <c r="V557" s="0" t="n">
        <v>3.7</v>
      </c>
      <c r="X557" s="0" t="str">
        <f aca="false">IF(ISBLANK(W557),"No remarks",W557)</f>
        <v>No remarks</v>
      </c>
      <c r="Y557" s="0" t="s">
        <v>52</v>
      </c>
      <c r="Z557" s="0" t="s">
        <v>74</v>
      </c>
      <c r="AA557" s="0" t="str">
        <f aca="false">PROPER(IF(ISBLANK(Z557),"Location Unavailable",Z557))</f>
        <v>Under Tree</v>
      </c>
      <c r="AB557" s="0" t="s">
        <v>126</v>
      </c>
      <c r="AC557" s="6" t="str">
        <f aca="false">PROPER(AB557)</f>
        <v>Whatsapp</v>
      </c>
      <c r="AD557" s="6" t="n">
        <v>15</v>
      </c>
      <c r="AE557" s="5" t="n">
        <f aca="false">IF(ISBLANK(AD557),AVERAGEIF(L557:L1556,L557,AD557:AD1556),AD557)</f>
        <v>15</v>
      </c>
      <c r="AF557" s="0" t="s">
        <v>55</v>
      </c>
      <c r="AG557" s="0" t="str">
        <f aca="false">PROPER(AF557)</f>
        <v>Available</v>
      </c>
      <c r="AH557" s="0" t="s">
        <v>155</v>
      </c>
      <c r="AI557" s="0" t="s">
        <v>98</v>
      </c>
      <c r="AJ557" s="0" t="str">
        <f aca="false">PROPER(AI557)</f>
        <v>Emergency</v>
      </c>
      <c r="AK557" s="0" t="s">
        <v>99</v>
      </c>
      <c r="AL557" s="0" t="str">
        <f aca="false">PROPER(AK557)</f>
        <v>Uber Driver</v>
      </c>
      <c r="AM557" s="0" t="s">
        <v>2326</v>
      </c>
      <c r="AN557" s="0" t="str">
        <f aca="false">IF(ISBLANK(AM557),"Unknown",AM557)</f>
        <v>Government Convoy</v>
      </c>
      <c r="AO557" s="0" t="s">
        <v>79</v>
      </c>
      <c r="AP557" s="0" t="str">
        <f aca="false">IF(ISBLANK(AO557),"Unknown",AO557)</f>
        <v>Specialist</v>
      </c>
      <c r="AQ557" s="0" t="n">
        <v>40000</v>
      </c>
      <c r="AR557" s="5" t="n">
        <f aca="false">IF(ISBLANK(AQ557),AVERAGEIF(M557:M1556,M557,AQ557:AQ1556),AQ557)</f>
        <v>40000</v>
      </c>
      <c r="AS557" s="0" t="n">
        <v>40000</v>
      </c>
      <c r="AT557" s="5" t="n">
        <f aca="false">IF(ISBLANK(AS557),AVERAGE(AS557:AS1556),AS557)</f>
        <v>40000</v>
      </c>
      <c r="AU557" s="0" t="s">
        <v>63</v>
      </c>
      <c r="AV557" s="0" t="str">
        <f aca="false">PROPER(IF(ISBLANK(AU557),"No",AU557))</f>
        <v>Yes</v>
      </c>
      <c r="AW557" s="0" t="n">
        <v>10000</v>
      </c>
      <c r="AX557" s="5" t="n">
        <f aca="false">IF(ISBLANK(AW557),0,AW557)</f>
        <v>10000</v>
      </c>
      <c r="AY557" s="0" t="s">
        <v>130</v>
      </c>
      <c r="AZ557" s="0" t="str">
        <f aca="false">UPPER(IF(ISBLANK(AY557),"NONE",AY557))</f>
        <v>LOYALTY10</v>
      </c>
      <c r="BA557" s="7" t="n">
        <v>45789</v>
      </c>
      <c r="BB557" s="7" t="n">
        <f aca="false">IF(ISBLANK(BA557),"No Follow Up Needed",BA557)</f>
        <v>45789</v>
      </c>
      <c r="BC557" s="0" t="s">
        <v>63</v>
      </c>
      <c r="BD557" s="0" t="str">
        <f aca="false">PROPER(IF(ISBLANK(BC557),"Unknown",BC557))</f>
        <v>Yes</v>
      </c>
      <c r="BE557" s="0" t="s">
        <v>116</v>
      </c>
      <c r="BF557" s="0" t="str">
        <f aca="false">IF(ISBLANK(BE557),"No comments",BE557)</f>
        <v>Needs tire alignment</v>
      </c>
      <c r="BG557" s="0" t="s">
        <v>172</v>
      </c>
      <c r="BH557" s="0" t="str">
        <f aca="false">IF(ISBLANK(BG557),"No comments",BG557)</f>
        <v>Always late</v>
      </c>
      <c r="BI557" s="0" t="s">
        <v>50</v>
      </c>
      <c r="BJ557" s="0" t="str">
        <f aca="false">IF(ISBLANK(BI557),"Not Mentioned",BI557)</f>
        <v>No</v>
      </c>
      <c r="BK557" s="0" t="s">
        <v>61</v>
      </c>
      <c r="BL557" s="0" t="str">
        <f aca="false">PROPER(IF(ISBLANK(BK557),"Not Mentioned",BK557))</f>
        <v>No</v>
      </c>
      <c r="BN557" s="0" t="str">
        <f aca="false">PROPER(IF(ISBLANK(BM557),"Not Mentioned",BM557))</f>
        <v>Not Mentioned</v>
      </c>
      <c r="BO557" s="0" t="s">
        <v>2321</v>
      </c>
      <c r="BP557" s="0" t="str">
        <f aca="false">IF(ISBLANK(BO557),"One-Time Plan",BO557)</f>
        <v>One-Time Plan</v>
      </c>
      <c r="BQ557" s="0" t="s">
        <v>50</v>
      </c>
      <c r="BR557" s="0" t="str">
        <f aca="false">PROPER(IF(ISBLANK(BQ557),"No",BQ557))</f>
        <v>No</v>
      </c>
    </row>
    <row r="558" customFormat="false" ht="15" hidden="false" customHeight="false" outlineLevel="0" collapsed="false">
      <c r="A558" s="0" t="s">
        <v>1392</v>
      </c>
      <c r="B558" s="2" t="n">
        <v>45814</v>
      </c>
      <c r="C558" s="2" t="str">
        <f aca="false">TEXT(B558,"dd/mm/yyyy")</f>
        <v>06/06/2025</v>
      </c>
      <c r="D558" s="0" t="s">
        <v>105</v>
      </c>
      <c r="E558" s="0" t="n">
        <v>8082706099</v>
      </c>
      <c r="F558" s="0" t="s">
        <v>43</v>
      </c>
      <c r="G558" s="0" t="s">
        <v>2315</v>
      </c>
      <c r="H558" s="0" t="s">
        <v>1393</v>
      </c>
      <c r="I558" s="0" t="s">
        <v>134</v>
      </c>
      <c r="J558" s="0" t="s">
        <v>2325</v>
      </c>
      <c r="K558" s="3" t="str">
        <f aca="false" t="array" ref="K558:K558">IFERROR(IF(J558&lt;&gt;"",J558,INDEX(J558:J1557,MATCH(1,(F558:F1557=F558)*(I558:I1557=I558)*(L558:L1557=L558)*(J558:J1557&lt;&gt;""),0))),"Not Found")</f>
        <v>Engine Knocking</v>
      </c>
      <c r="L558" s="3" t="s">
        <v>154</v>
      </c>
      <c r="M558" s="0" t="str">
        <f aca="false">PROPER(L558)</f>
        <v>Air Filter</v>
      </c>
      <c r="O558" s="0" t="e">
        <f aca="false" t="array" ref="O558:O558">IF(N558&lt;&gt;"",N558,_xlfn.xlookup(1,(L558:L1557=L558)*(N558:N1557&lt;&gt;""),N558:N1557,"Not Found"))</f>
        <v>#NAME?</v>
      </c>
      <c r="P558" s="4" t="n">
        <v>110066</v>
      </c>
      <c r="Q558" s="0" t="s">
        <v>124</v>
      </c>
      <c r="R558" s="0" t="str">
        <f aca="false">PROPER(Q558)</f>
        <v>Cash</v>
      </c>
      <c r="S558" s="0" t="s">
        <v>50</v>
      </c>
      <c r="T558" s="0" t="n">
        <v>3</v>
      </c>
      <c r="U558" s="5" t="n">
        <f aca="false">IF(ISBLANK(T558),AVERAGE(T558:T1557),T558)</f>
        <v>3</v>
      </c>
      <c r="V558" s="0" t="n">
        <v>5.5</v>
      </c>
      <c r="W558" s="0" t="s">
        <v>51</v>
      </c>
      <c r="X558" s="0" t="str">
        <f aca="false">IF(ISBLANK(W558),"No remarks",W558)</f>
        <v>Recommended further checks</v>
      </c>
      <c r="Y558" s="0" t="s">
        <v>52</v>
      </c>
      <c r="Z558" s="0" t="s">
        <v>53</v>
      </c>
      <c r="AA558" s="0" t="str">
        <f aca="false">PROPER(IF(ISBLANK(Z558),"Location Unavailable",Z558))</f>
        <v>Main Bay</v>
      </c>
      <c r="AB558" s="0" t="s">
        <v>95</v>
      </c>
      <c r="AC558" s="6" t="str">
        <f aca="false">PROPER(AB558)</f>
        <v>Road Sign</v>
      </c>
      <c r="AD558" s="6" t="n">
        <v>30</v>
      </c>
      <c r="AE558" s="5" t="n">
        <f aca="false">IF(ISBLANK(AD558),AVERAGEIF(L558:L1557,L558,AD558:AD1557),AD558)</f>
        <v>30</v>
      </c>
      <c r="AF558" s="0" t="s">
        <v>55</v>
      </c>
      <c r="AG558" s="0" t="str">
        <f aca="false">PROPER(AF558)</f>
        <v>Available</v>
      </c>
      <c r="AH558" s="0" t="s">
        <v>148</v>
      </c>
      <c r="AI558" s="0" t="s">
        <v>113</v>
      </c>
      <c r="AJ558" s="0" t="str">
        <f aca="false">PROPER(AI558)</f>
        <v>Normal</v>
      </c>
      <c r="AK558" s="0" t="s">
        <v>114</v>
      </c>
      <c r="AL558" s="0" t="str">
        <f aca="false">PROPER(AK558)</f>
        <v>Returning</v>
      </c>
      <c r="AN558" s="0" t="str">
        <f aca="false">IF(ISBLANK(AM558),"Unknown",AM558)</f>
        <v>Unknown</v>
      </c>
      <c r="AO558" s="0" t="s">
        <v>79</v>
      </c>
      <c r="AP558" s="0" t="str">
        <f aca="false">IF(ISBLANK(AO558),"Unknown",AO558)</f>
        <v>Specialist</v>
      </c>
      <c r="AQ558" s="0" t="n">
        <v>40000</v>
      </c>
      <c r="AR558" s="5" t="n">
        <f aca="false">IF(ISBLANK(AQ558),AVERAGEIF(M558:M1557,M558,AQ558:AQ1557),AQ558)</f>
        <v>40000</v>
      </c>
      <c r="AS558" s="0" t="n">
        <v>30000</v>
      </c>
      <c r="AT558" s="5" t="n">
        <f aca="false">IF(ISBLANK(AS558),AVERAGE(AS558:AS1557),AS558)</f>
        <v>30000</v>
      </c>
      <c r="AU558" s="0" t="s">
        <v>50</v>
      </c>
      <c r="AV558" s="0" t="str">
        <f aca="false">PROPER(IF(ISBLANK(AU558),"No",AU558))</f>
        <v>No</v>
      </c>
      <c r="AW558" s="0" t="n">
        <v>0</v>
      </c>
      <c r="AX558" s="5" t="n">
        <f aca="false">IF(ISBLANK(AW558),0,AW558)</f>
        <v>0</v>
      </c>
      <c r="AY558" s="0" t="s">
        <v>130</v>
      </c>
      <c r="AZ558" s="0" t="str">
        <f aca="false">UPPER(IF(ISBLANK(AY558),"NONE",AY558))</f>
        <v>LOYALTY10</v>
      </c>
      <c r="BB558" s="7" t="str">
        <f aca="false">IF(ISBLANK(BA558),"No Follow Up Needed",BA558)</f>
        <v>No Follow Up Needed</v>
      </c>
      <c r="BC558" s="0" t="s">
        <v>63</v>
      </c>
      <c r="BD558" s="0" t="str">
        <f aca="false">PROPER(IF(ISBLANK(BC558),"Unknown",BC558))</f>
        <v>Yes</v>
      </c>
      <c r="BF558" s="0" t="str">
        <f aca="false">IF(ISBLANK(BE558),"No comments",BE558)</f>
        <v>No comments</v>
      </c>
      <c r="BH558" s="0" t="str">
        <f aca="false">IF(ISBLANK(BG558),"No comments",BG558)</f>
        <v>No comments</v>
      </c>
      <c r="BJ558" s="0" t="str">
        <f aca="false">IF(ISBLANK(BI558),"Not Mentioned",BI558)</f>
        <v>Not Mentioned</v>
      </c>
      <c r="BK558" s="0" t="s">
        <v>61</v>
      </c>
      <c r="BL558" s="0" t="str">
        <f aca="false">PROPER(IF(ISBLANK(BK558),"Not Mentioned",BK558))</f>
        <v>No</v>
      </c>
      <c r="BM558" s="0" t="s">
        <v>63</v>
      </c>
      <c r="BN558" s="0" t="str">
        <f aca="false">PROPER(IF(ISBLANK(BM558),"Not Mentioned",BM558))</f>
        <v>Yes</v>
      </c>
      <c r="BO558" s="0" t="s">
        <v>64</v>
      </c>
      <c r="BP558" s="0" t="str">
        <f aca="false">IF(ISBLANK(BO558),"One-Time Plan",BO558)</f>
        <v>Gold Maintenance Plan</v>
      </c>
      <c r="BQ558" s="0" t="s">
        <v>190</v>
      </c>
      <c r="BR558" s="0" t="str">
        <f aca="false">PROPER(IF(ISBLANK(BQ558),"No",BQ558))</f>
        <v>Yes</v>
      </c>
    </row>
    <row r="559" customFormat="false" ht="15" hidden="false" customHeight="false" outlineLevel="0" collapsed="false">
      <c r="A559" s="0" t="s">
        <v>1394</v>
      </c>
      <c r="B559" s="2" t="n">
        <v>45761</v>
      </c>
      <c r="C559" s="2" t="str">
        <f aca="false">TEXT(B559,"dd/mm/yyyy")</f>
        <v>14/04/2025</v>
      </c>
      <c r="D559" s="0" t="s">
        <v>163</v>
      </c>
      <c r="E559" s="0" t="n">
        <v>8063024581</v>
      </c>
      <c r="F559" s="0" t="s">
        <v>67</v>
      </c>
      <c r="G559" s="0" t="s">
        <v>2316</v>
      </c>
      <c r="H559" s="0" t="s">
        <v>1395</v>
      </c>
      <c r="I559" s="0" t="s">
        <v>45</v>
      </c>
      <c r="J559" s="0" t="s">
        <v>2322</v>
      </c>
      <c r="K559" s="3" t="str">
        <f aca="false" t="array" ref="K559:K559">IFERROR(IF(J559&lt;&gt;"",J559,INDEX(J559:J1558,MATCH(1,(F559:F1558=F559)*(I559:I1558=I559)*(L559:L1558=L559)*(J559:J1558&lt;&gt;""),0))),"Not Found")</f>
        <v>Brake Failure</v>
      </c>
      <c r="L559" s="3" t="s">
        <v>142</v>
      </c>
      <c r="M559" s="0" t="str">
        <f aca="false">PROPER(L559)</f>
        <v>Oil Filter, Brake Pads</v>
      </c>
      <c r="N559" s="3" t="s">
        <v>90</v>
      </c>
      <c r="O559" s="0" t="str">
        <f aca="false" t="array" ref="O559:O559">IF(N559&lt;&gt;"",N559,_xlfn.xlookup(1,(L559:L1558=L559)*(N559:N1558&lt;&gt;""),N559:N1558,"Not Found"))</f>
        <v>Musa</v>
      </c>
      <c r="P559" s="4" t="n">
        <v>21793</v>
      </c>
      <c r="Q559" s="0" t="s">
        <v>72</v>
      </c>
      <c r="R559" s="0" t="str">
        <f aca="false">PROPER(Q559)</f>
        <v>Pos</v>
      </c>
      <c r="S559" s="0" t="s">
        <v>50</v>
      </c>
      <c r="T559" s="0" t="n">
        <v>5</v>
      </c>
      <c r="U559" s="5" t="n">
        <f aca="false">IF(ISBLANK(T559),AVERAGE(T559:T1558),T559)</f>
        <v>5</v>
      </c>
      <c r="V559" s="0" t="n">
        <v>1.7</v>
      </c>
      <c r="W559" s="0" t="s">
        <v>51</v>
      </c>
      <c r="X559" s="0" t="str">
        <f aca="false">IF(ISBLANK(W559),"No remarks",W559)</f>
        <v>Recommended further checks</v>
      </c>
      <c r="Y559" s="0" t="s">
        <v>52</v>
      </c>
      <c r="Z559" s="0" t="s">
        <v>53</v>
      </c>
      <c r="AA559" s="0" t="str">
        <f aca="false">PROPER(IF(ISBLANK(Z559),"Location Unavailable",Z559))</f>
        <v>Main Bay</v>
      </c>
      <c r="AB559" s="0" t="s">
        <v>75</v>
      </c>
      <c r="AC559" s="6" t="str">
        <f aca="false">PROPER(AB559)</f>
        <v>Mechanik Referal</v>
      </c>
      <c r="AD559" s="6" t="n">
        <v>45</v>
      </c>
      <c r="AE559" s="5" t="n">
        <f aca="false">IF(ISBLANK(AD559),AVERAGEIF(L559:L1558,L559,AD559:AD1558),AD559)</f>
        <v>45</v>
      </c>
      <c r="AF559" s="0" t="s">
        <v>160</v>
      </c>
      <c r="AG559" s="0" t="str">
        <f aca="false">PROPER(AF559)</f>
        <v>Availaible</v>
      </c>
      <c r="AH559" s="0" t="s">
        <v>148</v>
      </c>
      <c r="AI559" s="0" t="s">
        <v>113</v>
      </c>
      <c r="AJ559" s="0" t="str">
        <f aca="false">PROPER(AI559)</f>
        <v>Normal</v>
      </c>
      <c r="AK559" s="0" t="s">
        <v>58</v>
      </c>
      <c r="AL559" s="0" t="str">
        <f aca="false">PROPER(AK559)</f>
        <v>Fleet Owner</v>
      </c>
      <c r="AN559" s="0" t="str">
        <f aca="false">IF(ISBLANK(AM559),"Unknown",AM559)</f>
        <v>Unknown</v>
      </c>
      <c r="AO559" s="0" t="s">
        <v>143</v>
      </c>
      <c r="AP559" s="0" t="str">
        <f aca="false">IF(ISBLANK(AO559),"Unknown",AO559)</f>
        <v>Senior</v>
      </c>
      <c r="AQ559" s="0" t="n">
        <v>15000</v>
      </c>
      <c r="AR559" s="5" t="n">
        <f aca="false">IF(ISBLANK(AQ559),AVERAGEIF(M559:M1558,M559,AQ559:AQ1558),AQ559)</f>
        <v>15000</v>
      </c>
      <c r="AT559" s="5" t="n">
        <f aca="false">IF(ISBLANK(AS559),AVERAGE(AS559:AS1558),AS559)</f>
        <v>31577.5401069519</v>
      </c>
      <c r="AU559" s="0" t="s">
        <v>61</v>
      </c>
      <c r="AV559" s="0" t="str">
        <f aca="false">PROPER(IF(ISBLANK(AU559),"No",AU559))</f>
        <v>No</v>
      </c>
      <c r="AW559" s="0" t="n">
        <v>5000</v>
      </c>
      <c r="AX559" s="5" t="n">
        <f aca="false">IF(ISBLANK(AW559),0,AW559)</f>
        <v>5000</v>
      </c>
      <c r="AZ559" s="0" t="str">
        <f aca="false">UPPER(IF(ISBLANK(AY559),"NONE",AY559))</f>
        <v>NONE</v>
      </c>
      <c r="BB559" s="7" t="str">
        <f aca="false">IF(ISBLANK(BA559),"No Follow Up Needed",BA559)</f>
        <v>No Follow Up Needed</v>
      </c>
      <c r="BC559" s="0" t="s">
        <v>61</v>
      </c>
      <c r="BD559" s="0" t="str">
        <f aca="false">PROPER(IF(ISBLANK(BC559),"Unknown",BC559))</f>
        <v>No</v>
      </c>
      <c r="BF559" s="0" t="str">
        <f aca="false">IF(ISBLANK(BE559),"No comments",BE559)</f>
        <v>No comments</v>
      </c>
      <c r="BH559" s="0" t="str">
        <f aca="false">IF(ISBLANK(BG559),"No comments",BG559)</f>
        <v>No comments</v>
      </c>
      <c r="BI559" s="0" t="s">
        <v>63</v>
      </c>
      <c r="BJ559" s="0" t="str">
        <f aca="false">IF(ISBLANK(BI559),"Not Mentioned",BI559)</f>
        <v>Yes</v>
      </c>
      <c r="BK559" s="0" t="s">
        <v>82</v>
      </c>
      <c r="BL559" s="0" t="str">
        <f aca="false">PROPER(IF(ISBLANK(BK559),"Not Mentioned",BK559))</f>
        <v>Yes</v>
      </c>
      <c r="BN559" s="0" t="str">
        <f aca="false">PROPER(IF(ISBLANK(BM559),"Not Mentioned",BM559))</f>
        <v>Not Mentioned</v>
      </c>
      <c r="BO559" s="0" t="s">
        <v>2321</v>
      </c>
      <c r="BP559" s="0" t="str">
        <f aca="false">IF(ISBLANK(BO559),"One-Time Plan",BO559)</f>
        <v>One-Time Plan</v>
      </c>
      <c r="BQ559" s="0" t="s">
        <v>63</v>
      </c>
      <c r="BR559" s="0" t="str">
        <f aca="false">PROPER(IF(ISBLANK(BQ559),"No",BQ559))</f>
        <v>Yes</v>
      </c>
    </row>
    <row r="560" customFormat="false" ht="15" hidden="false" customHeight="false" outlineLevel="0" collapsed="false">
      <c r="A560" s="0" t="s">
        <v>1396</v>
      </c>
      <c r="B560" s="2" t="n">
        <v>45752</v>
      </c>
      <c r="C560" s="2" t="str">
        <f aca="false">TEXT(B560,"dd/mm/yyyy")</f>
        <v>05/04/2025</v>
      </c>
      <c r="D560" s="0" t="s">
        <v>105</v>
      </c>
      <c r="E560" s="0" t="n">
        <v>8067429121</v>
      </c>
      <c r="F560" s="0" t="s">
        <v>67</v>
      </c>
      <c r="G560" s="0" t="s">
        <v>2316</v>
      </c>
      <c r="H560" s="0" t="s">
        <v>1397</v>
      </c>
      <c r="I560" s="0" t="s">
        <v>45</v>
      </c>
      <c r="J560" s="0" t="s">
        <v>2325</v>
      </c>
      <c r="K560" s="3" t="str">
        <f aca="false" t="array" ref="K560:K560">IFERROR(IF(J560&lt;&gt;"",J560,INDEX(J560:J1559,MATCH(1,(F560:F1559=F560)*(I560:I1559=I560)*(L560:L1559=L560)*(J560:J1559&lt;&gt;""),0))),"Not Found")</f>
        <v>Engine Knocking</v>
      </c>
      <c r="L560" s="3" t="s">
        <v>108</v>
      </c>
      <c r="M560" s="0" t="str">
        <f aca="false">PROPER(L560)</f>
        <v>Timing Belt</v>
      </c>
      <c r="N560" s="3" t="s">
        <v>90</v>
      </c>
      <c r="O560" s="0" t="str">
        <f aca="false" t="array" ref="O560:O560">IF(N560&lt;&gt;"",N560,_xlfn.xlookup(1,(L560:L1559=L560)*(N560:N1559&lt;&gt;""),N560:N1559,"Not Found"))</f>
        <v>Musa</v>
      </c>
      <c r="P560" s="4" t="n">
        <v>74092</v>
      </c>
      <c r="Q560" s="0" t="s">
        <v>72</v>
      </c>
      <c r="R560" s="0" t="str">
        <f aca="false">PROPER(Q560)</f>
        <v>Pos</v>
      </c>
      <c r="S560" s="0" t="s">
        <v>50</v>
      </c>
      <c r="T560" s="0" t="n">
        <v>2</v>
      </c>
      <c r="U560" s="5" t="n">
        <f aca="false">IF(ISBLANK(T560),AVERAGE(T560:T1559),T560)</f>
        <v>2</v>
      </c>
      <c r="V560" s="0" t="n">
        <v>3.5</v>
      </c>
      <c r="W560" s="0" t="s">
        <v>111</v>
      </c>
      <c r="X560" s="0" t="str">
        <f aca="false">IF(ISBLANK(W560),"No remarks",W560)</f>
        <v>Changed all filters</v>
      </c>
      <c r="Y560" s="0" t="s">
        <v>93</v>
      </c>
      <c r="Z560" s="0" t="s">
        <v>136</v>
      </c>
      <c r="AA560" s="0" t="str">
        <f aca="false">PROPER(IF(ISBLANK(Z560),"Location Unavailable",Z560))</f>
        <v>Vip Section</v>
      </c>
      <c r="AB560" s="0" t="s">
        <v>54</v>
      </c>
      <c r="AC560" s="6" t="str">
        <f aca="false">PROPER(AB560)</f>
        <v>Mechanic Referral</v>
      </c>
      <c r="AE560" s="5" t="n">
        <f aca="false">IF(ISBLANK(AD560),AVERAGEIF(L560:L1559,L560,AD560:AD1559),AD560)</f>
        <v>38.8235294117647</v>
      </c>
      <c r="AF560" s="0" t="s">
        <v>55</v>
      </c>
      <c r="AG560" s="0" t="str">
        <f aca="false">PROPER(AF560)</f>
        <v>Available</v>
      </c>
      <c r="AH560" s="0" t="s">
        <v>56</v>
      </c>
      <c r="AI560" s="0" t="s">
        <v>98</v>
      </c>
      <c r="AJ560" s="0" t="str">
        <f aca="false">PROPER(AI560)</f>
        <v>Emergency</v>
      </c>
      <c r="AK560" s="0" t="s">
        <v>114</v>
      </c>
      <c r="AL560" s="0" t="str">
        <f aca="false">PROPER(AK560)</f>
        <v>Returning</v>
      </c>
      <c r="AM560" s="0" t="s">
        <v>2326</v>
      </c>
      <c r="AN560" s="0" t="str">
        <f aca="false">IF(ISBLANK(AM560),"Unknown",AM560)</f>
        <v>Government Convoy</v>
      </c>
      <c r="AO560" s="0" t="s">
        <v>143</v>
      </c>
      <c r="AP560" s="0" t="str">
        <f aca="false">IF(ISBLANK(AO560),"Unknown",AO560)</f>
        <v>Senior</v>
      </c>
      <c r="AQ560" s="0" t="n">
        <v>40000</v>
      </c>
      <c r="AR560" s="5" t="n">
        <f aca="false">IF(ISBLANK(AQ560),AVERAGEIF(M560:M1559,M560,AQ560:AQ1559),AQ560)</f>
        <v>40000</v>
      </c>
      <c r="AT560" s="5" t="n">
        <f aca="false">IF(ISBLANK(AS560),AVERAGE(AS560:AS1559),AS560)</f>
        <v>31577.5401069519</v>
      </c>
      <c r="AU560" s="0" t="s">
        <v>50</v>
      </c>
      <c r="AV560" s="0" t="str">
        <f aca="false">PROPER(IF(ISBLANK(AU560),"No",AU560))</f>
        <v>No</v>
      </c>
      <c r="AW560" s="0" t="n">
        <v>0</v>
      </c>
      <c r="AX560" s="5" t="n">
        <f aca="false">IF(ISBLANK(AW560),0,AW560)</f>
        <v>0</v>
      </c>
      <c r="AY560" s="0" t="s">
        <v>60</v>
      </c>
      <c r="AZ560" s="0" t="str">
        <f aca="false">UPPER(IF(ISBLANK(AY560),"NONE",AY560))</f>
        <v>NONE</v>
      </c>
      <c r="BB560" s="7" t="str">
        <f aca="false">IF(ISBLANK(BA560),"No Follow Up Needed",BA560)</f>
        <v>No Follow Up Needed</v>
      </c>
      <c r="BD560" s="0" t="str">
        <f aca="false">PROPER(IF(ISBLANK(BC560),"Unknown",BC560))</f>
        <v>Unknown</v>
      </c>
      <c r="BF560" s="0" t="str">
        <f aca="false">IF(ISBLANK(BE560),"No comments",BE560)</f>
        <v>No comments</v>
      </c>
      <c r="BH560" s="0" t="str">
        <f aca="false">IF(ISBLANK(BG560),"No comments",BG560)</f>
        <v>No comments</v>
      </c>
      <c r="BI560" s="0" t="s">
        <v>50</v>
      </c>
      <c r="BJ560" s="0" t="str">
        <f aca="false">IF(ISBLANK(BI560),"Not Mentioned",BI560)</f>
        <v>No</v>
      </c>
      <c r="BK560" s="0" t="s">
        <v>82</v>
      </c>
      <c r="BL560" s="0" t="str">
        <f aca="false">PROPER(IF(ISBLANK(BK560),"Not Mentioned",BK560))</f>
        <v>Yes</v>
      </c>
      <c r="BN560" s="0" t="str">
        <f aca="false">PROPER(IF(ISBLANK(BM560),"Not Mentioned",BM560))</f>
        <v>Not Mentioned</v>
      </c>
      <c r="BO560" s="0" t="s">
        <v>64</v>
      </c>
      <c r="BP560" s="0" t="str">
        <f aca="false">IF(ISBLANK(BO560),"One-Time Plan",BO560)</f>
        <v>Gold Maintenance Plan</v>
      </c>
      <c r="BQ560" s="0" t="s">
        <v>190</v>
      </c>
      <c r="BR560" s="0" t="str">
        <f aca="false">PROPER(IF(ISBLANK(BQ560),"No",BQ560))</f>
        <v>Yes</v>
      </c>
    </row>
    <row r="561" customFormat="false" ht="15" hidden="false" customHeight="false" outlineLevel="0" collapsed="false">
      <c r="A561" s="0" t="s">
        <v>1398</v>
      </c>
      <c r="B561" s="2" t="n">
        <v>45692</v>
      </c>
      <c r="C561" s="2" t="str">
        <f aca="false">TEXT(B561,"dd/mm/yyyy")</f>
        <v>04/02/2025</v>
      </c>
      <c r="D561" s="0" t="s">
        <v>121</v>
      </c>
      <c r="E561" s="0" t="n">
        <v>8026214033</v>
      </c>
      <c r="F561" s="0" t="s">
        <v>139</v>
      </c>
      <c r="G561" s="0" t="s">
        <v>2323</v>
      </c>
      <c r="H561" s="0" t="s">
        <v>1399</v>
      </c>
      <c r="I561" s="0" t="s">
        <v>69</v>
      </c>
      <c r="J561" s="0" t="s">
        <v>87</v>
      </c>
      <c r="K561" s="3" t="str">
        <f aca="false" t="array" ref="K561:K561">IFERROR(IF(J561&lt;&gt;"",J561,INDEX(J561:J1560,MATCH(1,(F561:F1560=F561)*(I561:I1560=I561)*(L561:L1560=L561)*(J561:J1560&lt;&gt;""),0))),"Not Found")</f>
        <v>Oil Change</v>
      </c>
      <c r="L561" s="3" t="s">
        <v>142</v>
      </c>
      <c r="M561" s="0" t="str">
        <f aca="false">PROPER(L561)</f>
        <v>Oil Filter, Brake Pads</v>
      </c>
      <c r="N561" s="3" t="s">
        <v>71</v>
      </c>
      <c r="O561" s="0" t="str">
        <f aca="false" t="array" ref="O561:O561">IF(N561&lt;&gt;"",N561,_xlfn.xlookup(1,(L561:L1560=L561)*(N561:N1560&lt;&gt;""),N561:N1560,"Not Found"))</f>
        <v>Isaac Bobo</v>
      </c>
      <c r="P561" s="4" t="n">
        <v>31217</v>
      </c>
      <c r="Q561" s="0" t="s">
        <v>72</v>
      </c>
      <c r="R561" s="0" t="str">
        <f aca="false">PROPER(Q561)</f>
        <v>Pos</v>
      </c>
      <c r="S561" s="0" t="s">
        <v>50</v>
      </c>
      <c r="T561" s="0" t="n">
        <v>1</v>
      </c>
      <c r="U561" s="5" t="n">
        <f aca="false">IF(ISBLANK(T561),AVERAGE(T561:T1560),T561)</f>
        <v>1</v>
      </c>
      <c r="V561" s="0" t="n">
        <v>3.3</v>
      </c>
      <c r="W561" s="0" t="s">
        <v>125</v>
      </c>
      <c r="X561" s="0" t="str">
        <f aca="false">IF(ISBLANK(W561),"No remarks",W561)</f>
        <v>Customer waited</v>
      </c>
      <c r="Y561" s="0" t="s">
        <v>93</v>
      </c>
      <c r="Z561" s="0" t="s">
        <v>74</v>
      </c>
      <c r="AA561" s="0" t="str">
        <f aca="false">PROPER(IF(ISBLANK(Z561),"Location Unavailable",Z561))</f>
        <v>Under Tree</v>
      </c>
      <c r="AB561" s="0" t="s">
        <v>75</v>
      </c>
      <c r="AC561" s="6" t="str">
        <f aca="false">PROPER(AB561)</f>
        <v>Mechanik Referal</v>
      </c>
      <c r="AD561" s="6" t="n">
        <v>45</v>
      </c>
      <c r="AE561" s="5" t="n">
        <f aca="false">IF(ISBLANK(AD561),AVERAGEIF(L561:L1560,L561,AD561:AD1560),AD561)</f>
        <v>45</v>
      </c>
      <c r="AF561" s="0" t="s">
        <v>96</v>
      </c>
      <c r="AG561" s="0" t="str">
        <f aca="false">PROPER(AF561)</f>
        <v>Ordered</v>
      </c>
      <c r="AH561" s="0" t="s">
        <v>56</v>
      </c>
      <c r="AI561" s="0" t="s">
        <v>98</v>
      </c>
      <c r="AJ561" s="0" t="str">
        <f aca="false">PROPER(AI561)</f>
        <v>Emergency</v>
      </c>
      <c r="AK561" s="0" t="s">
        <v>99</v>
      </c>
      <c r="AL561" s="0" t="str">
        <f aca="false">PROPER(AK561)</f>
        <v>Uber Driver</v>
      </c>
      <c r="AM561" s="0" t="s">
        <v>59</v>
      </c>
      <c r="AN561" s="0" t="str">
        <f aca="false">IF(ISBLANK(AM561),"Unknown",AM561)</f>
        <v>Bolt Driver</v>
      </c>
      <c r="AO561" s="0" t="s">
        <v>79</v>
      </c>
      <c r="AP561" s="0" t="str">
        <f aca="false">IF(ISBLANK(AO561),"Unknown",AO561)</f>
        <v>Specialist</v>
      </c>
      <c r="AR561" s="5" t="n">
        <f aca="false">IF(ISBLANK(AQ561),AVERAGEIF(M561:M1560,M561,AQ561:AQ1560),AQ561)</f>
        <v>27258.064516129</v>
      </c>
      <c r="AT561" s="5" t="n">
        <f aca="false">IF(ISBLANK(AS561),AVERAGE(AS561:AS1560),AS561)</f>
        <v>31577.5401069519</v>
      </c>
      <c r="AU561" s="0" t="s">
        <v>50</v>
      </c>
      <c r="AV561" s="0" t="str">
        <f aca="false">PROPER(IF(ISBLANK(AU561),"No",AU561))</f>
        <v>No</v>
      </c>
      <c r="AW561" s="0" t="n">
        <v>0</v>
      </c>
      <c r="AX561" s="5" t="n">
        <f aca="false">IF(ISBLANK(AW561),0,AW561)</f>
        <v>0</v>
      </c>
      <c r="AY561" s="0" t="s">
        <v>60</v>
      </c>
      <c r="AZ561" s="0" t="str">
        <f aca="false">UPPER(IF(ISBLANK(AY561),"NONE",AY561))</f>
        <v>NONE</v>
      </c>
      <c r="BA561" s="7" t="n">
        <v>46006</v>
      </c>
      <c r="BB561" s="7" t="n">
        <f aca="false">IF(ISBLANK(BA561),"No Follow Up Needed",BA561)</f>
        <v>46006</v>
      </c>
      <c r="BC561" s="0" t="s">
        <v>50</v>
      </c>
      <c r="BD561" s="0" t="str">
        <f aca="false">PROPER(IF(ISBLANK(BC561),"Unknown",BC561))</f>
        <v>No</v>
      </c>
      <c r="BF561" s="0" t="str">
        <f aca="false">IF(ISBLANK(BE561),"No comments",BE561)</f>
        <v>No comments</v>
      </c>
      <c r="BG561" s="0" t="s">
        <v>117</v>
      </c>
      <c r="BH561" s="0" t="str">
        <f aca="false">IF(ISBLANK(BG561),"No comments",BG561)</f>
        <v>Prefers morning</v>
      </c>
      <c r="BI561" s="0" t="s">
        <v>50</v>
      </c>
      <c r="BJ561" s="0" t="str">
        <f aca="false">IF(ISBLANK(BI561),"Not Mentioned",BI561)</f>
        <v>No</v>
      </c>
      <c r="BL561" s="0" t="str">
        <f aca="false">PROPER(IF(ISBLANK(BK561),"Not Mentioned",BK561))</f>
        <v>Not Mentioned</v>
      </c>
      <c r="BN561" s="0" t="str">
        <f aca="false">PROPER(IF(ISBLANK(BM561),"Not Mentioned",BM561))</f>
        <v>Not Mentioned</v>
      </c>
      <c r="BO561" s="0" t="s">
        <v>2321</v>
      </c>
      <c r="BP561" s="0" t="str">
        <f aca="false">IF(ISBLANK(BO561),"One-Time Plan",BO561)</f>
        <v>One-Time Plan</v>
      </c>
      <c r="BR561" s="0" t="str">
        <f aca="false">PROPER(IF(ISBLANK(BQ561),"No",BQ561))</f>
        <v>No</v>
      </c>
    </row>
    <row r="562" customFormat="false" ht="15" hidden="false" customHeight="false" outlineLevel="0" collapsed="false">
      <c r="A562" s="0" t="s">
        <v>1400</v>
      </c>
      <c r="B562" s="2" t="n">
        <v>45768</v>
      </c>
      <c r="C562" s="2" t="str">
        <f aca="false">TEXT(B562,"dd/mm/yyyy")</f>
        <v>21/04/2025</v>
      </c>
      <c r="D562" s="0" t="s">
        <v>121</v>
      </c>
      <c r="E562" s="0" t="n">
        <v>8041193292</v>
      </c>
      <c r="F562" s="0" t="s">
        <v>122</v>
      </c>
      <c r="G562" s="0" t="s">
        <v>2316</v>
      </c>
      <c r="H562" s="0" t="s">
        <v>1401</v>
      </c>
      <c r="I562" s="0" t="s">
        <v>134</v>
      </c>
      <c r="J562" s="0" t="s">
        <v>2317</v>
      </c>
      <c r="K562" s="3" t="str">
        <f aca="false" t="array" ref="K562:K562">IFERROR(IF(J562&lt;&gt;"",J562,INDEX(J562:J1561,MATCH(1,(F562:F1561=F562)*(I562:I1561=I562)*(L562:L1561=L562)*(J562:J1561&lt;&gt;""),0))),"Not Found")</f>
        <v>Suspension Noise</v>
      </c>
      <c r="L562" s="3" t="s">
        <v>108</v>
      </c>
      <c r="M562" s="0" t="str">
        <f aca="false">PROPER(L562)</f>
        <v>Timing Belt</v>
      </c>
      <c r="N562" s="3" t="s">
        <v>90</v>
      </c>
      <c r="O562" s="0" t="str">
        <f aca="false" t="array" ref="O562:O562">IF(N562&lt;&gt;"",N562,_xlfn.xlookup(1,(L562:L1561=L562)*(N562:N1561&lt;&gt;""),N562:N1561,"Not Found"))</f>
        <v>Musa</v>
      </c>
      <c r="P562" s="4" t="n">
        <v>65549</v>
      </c>
      <c r="Q562" s="0" t="s">
        <v>124</v>
      </c>
      <c r="R562" s="0" t="str">
        <f aca="false">PROPER(Q562)</f>
        <v>Cash</v>
      </c>
      <c r="S562" s="0" t="s">
        <v>50</v>
      </c>
      <c r="T562" s="0" t="n">
        <v>4</v>
      </c>
      <c r="U562" s="5" t="n">
        <f aca="false">IF(ISBLANK(T562),AVERAGE(T562:T1561),T562)</f>
        <v>4</v>
      </c>
      <c r="V562" s="0" t="n">
        <v>5.4</v>
      </c>
      <c r="W562" s="0" t="s">
        <v>125</v>
      </c>
      <c r="X562" s="0" t="str">
        <f aca="false">IF(ISBLANK(W562),"No remarks",W562)</f>
        <v>Customer waited</v>
      </c>
      <c r="Y562" s="0" t="s">
        <v>93</v>
      </c>
      <c r="Z562" s="0" t="s">
        <v>136</v>
      </c>
      <c r="AA562" s="0" t="str">
        <f aca="false">PROPER(IF(ISBLANK(Z562),"Location Unavailable",Z562))</f>
        <v>Vip Section</v>
      </c>
      <c r="AB562" s="0" t="s">
        <v>75</v>
      </c>
      <c r="AC562" s="6" t="str">
        <f aca="false">PROPER(AB562)</f>
        <v>Mechanik Referal</v>
      </c>
      <c r="AD562" s="6" t="n">
        <v>15</v>
      </c>
      <c r="AE562" s="5" t="n">
        <f aca="false">IF(ISBLANK(AD562),AVERAGEIF(L562:L1561,L562,AD562:AD1561),AD562)</f>
        <v>15</v>
      </c>
      <c r="AF562" s="0" t="s">
        <v>76</v>
      </c>
      <c r="AG562" s="0" t="str">
        <f aca="false">PROPER(AF562)</f>
        <v>Orderd</v>
      </c>
      <c r="AH562" s="0" t="s">
        <v>155</v>
      </c>
      <c r="AI562" s="0" t="s">
        <v>98</v>
      </c>
      <c r="AJ562" s="0" t="str">
        <f aca="false">PROPER(AI562)</f>
        <v>Emergency</v>
      </c>
      <c r="AK562" s="0" t="s">
        <v>99</v>
      </c>
      <c r="AL562" s="0" t="str">
        <f aca="false">PROPER(AK562)</f>
        <v>Uber Driver</v>
      </c>
      <c r="AN562" s="0" t="str">
        <f aca="false">IF(ISBLANK(AM562),"Unknown",AM562)</f>
        <v>Unknown</v>
      </c>
      <c r="AO562" s="0" t="s">
        <v>161</v>
      </c>
      <c r="AP562" s="0" t="str">
        <f aca="false">IF(ISBLANK(AO562),"Unknown",AO562)</f>
        <v>Apprentice</v>
      </c>
      <c r="AR562" s="5" t="n">
        <f aca="false">IF(ISBLANK(AQ562),AVERAGEIF(M562:M1561,M562,AQ562:AQ1561),AQ562)</f>
        <v>26956.5217391304</v>
      </c>
      <c r="AS562" s="0" t="n">
        <v>30000</v>
      </c>
      <c r="AT562" s="5" t="n">
        <f aca="false">IF(ISBLANK(AS562),AVERAGE(AS562:AS1561),AS562)</f>
        <v>30000</v>
      </c>
      <c r="AU562" s="0" t="s">
        <v>61</v>
      </c>
      <c r="AV562" s="0" t="str">
        <f aca="false">PROPER(IF(ISBLANK(AU562),"No",AU562))</f>
        <v>No</v>
      </c>
      <c r="AW562" s="0" t="n">
        <v>5000</v>
      </c>
      <c r="AX562" s="5" t="n">
        <f aca="false">IF(ISBLANK(AW562),0,AW562)</f>
        <v>5000</v>
      </c>
      <c r="AY562" s="0" t="s">
        <v>80</v>
      </c>
      <c r="AZ562" s="0" t="str">
        <f aca="false">UPPER(IF(ISBLANK(AY562),"NONE",AY562))</f>
        <v>PROMO10</v>
      </c>
      <c r="BA562" s="7" t="n">
        <v>45850</v>
      </c>
      <c r="BB562" s="7" t="n">
        <f aca="false">IF(ISBLANK(BA562),"No Follow Up Needed",BA562)</f>
        <v>45850</v>
      </c>
      <c r="BC562" s="0" t="s">
        <v>82</v>
      </c>
      <c r="BD562" s="0" t="str">
        <f aca="false">PROPER(IF(ISBLANK(BC562),"Unknown",BC562))</f>
        <v>Yes</v>
      </c>
      <c r="BF562" s="0" t="str">
        <f aca="false">IF(ISBLANK(BE562),"No comments",BE562)</f>
        <v>No comments</v>
      </c>
      <c r="BG562" s="0" t="s">
        <v>2320</v>
      </c>
      <c r="BH562" s="0" t="str">
        <f aca="false">IF(ISBLANK(BG562),"No comments",BG562)</f>
        <v>No complaints</v>
      </c>
      <c r="BJ562" s="0" t="str">
        <f aca="false">IF(ISBLANK(BI562),"Not Mentioned",BI562)</f>
        <v>Not Mentioned</v>
      </c>
      <c r="BK562" s="0" t="s">
        <v>82</v>
      </c>
      <c r="BL562" s="0" t="str">
        <f aca="false">PROPER(IF(ISBLANK(BK562),"Not Mentioned",BK562))</f>
        <v>Yes</v>
      </c>
      <c r="BN562" s="0" t="str">
        <f aca="false">PROPER(IF(ISBLANK(BM562),"Not Mentioned",BM562))</f>
        <v>Not Mentioned</v>
      </c>
      <c r="BO562" s="0" t="s">
        <v>2318</v>
      </c>
      <c r="BP562" s="0" t="str">
        <f aca="false">IF(ISBLANK(BO562),"One-Time Plan",BO562)</f>
        <v>Gold</v>
      </c>
      <c r="BQ562" s="0" t="s">
        <v>198</v>
      </c>
      <c r="BR562" s="0" t="str">
        <f aca="false">PROPER(IF(ISBLANK(BQ562),"No",BQ562))</f>
        <v>Followed Up</v>
      </c>
    </row>
    <row r="563" customFormat="false" ht="15" hidden="false" customHeight="false" outlineLevel="0" collapsed="false">
      <c r="A563" s="0" t="s">
        <v>1402</v>
      </c>
      <c r="B563" s="2" t="n">
        <v>45965</v>
      </c>
      <c r="C563" s="2" t="str">
        <f aca="false">TEXT(B563,"dd/mm/yyyy")</f>
        <v>04/11/2025</v>
      </c>
      <c r="D563" s="0" t="s">
        <v>105</v>
      </c>
      <c r="E563" s="0" t="n">
        <v>8038693064</v>
      </c>
      <c r="F563" s="0" t="s">
        <v>85</v>
      </c>
      <c r="G563" s="0" t="s">
        <v>2319</v>
      </c>
      <c r="H563" s="0" t="s">
        <v>1403</v>
      </c>
      <c r="I563" s="0" t="s">
        <v>45</v>
      </c>
      <c r="J563" s="0" t="s">
        <v>87</v>
      </c>
      <c r="K563" s="3" t="str">
        <f aca="false" t="array" ref="K563:K563">IFERROR(IF(J563&lt;&gt;"",J563,INDEX(J563:J1562,MATCH(1,(F563:F1562=F563)*(I563:I1562=I563)*(L563:L1562=L563)*(J563:J1562&lt;&gt;""),0))),"Not Found")</f>
        <v>Oil Change</v>
      </c>
      <c r="L563" s="3" t="s">
        <v>89</v>
      </c>
      <c r="M563" s="0" t="str">
        <f aca="false">PROPER(L563)</f>
        <v>Shock Absorbers</v>
      </c>
      <c r="N563" s="3" t="s">
        <v>90</v>
      </c>
      <c r="O563" s="0" t="str">
        <f aca="false" t="array" ref="O563:O563">IF(N563&lt;&gt;"",N563,_xlfn.xlookup(1,(L563:L1562=L563)*(N563:N1562&lt;&gt;""),N563:N1562,"Not Found"))</f>
        <v>Musa</v>
      </c>
      <c r="P563" s="4" t="n">
        <v>77669</v>
      </c>
      <c r="Q563" s="0" t="s">
        <v>72</v>
      </c>
      <c r="R563" s="0" t="str">
        <f aca="false">PROPER(Q563)</f>
        <v>Pos</v>
      </c>
      <c r="S563" s="0" t="s">
        <v>50</v>
      </c>
      <c r="T563" s="0" t="n">
        <v>1</v>
      </c>
      <c r="U563" s="5" t="n">
        <f aca="false">IF(ISBLANK(T563),AVERAGE(T563:T1562),T563)</f>
        <v>1</v>
      </c>
      <c r="V563" s="0" t="n">
        <v>1.1</v>
      </c>
      <c r="W563" s="0" t="s">
        <v>51</v>
      </c>
      <c r="X563" s="0" t="str">
        <f aca="false">IF(ISBLANK(W563),"No remarks",W563)</f>
        <v>Recommended further checks</v>
      </c>
      <c r="Y563" s="0" t="s">
        <v>93</v>
      </c>
      <c r="Z563" s="0" t="s">
        <v>94</v>
      </c>
      <c r="AA563" s="0" t="str">
        <f aca="false">PROPER(IF(ISBLANK(Z563),"Location Unavailable",Z563))</f>
        <v>Vip Section</v>
      </c>
      <c r="AB563" s="0" t="s">
        <v>126</v>
      </c>
      <c r="AC563" s="6" t="str">
        <f aca="false">PROPER(AB563)</f>
        <v>Whatsapp</v>
      </c>
      <c r="AD563" s="6" t="n">
        <v>30</v>
      </c>
      <c r="AE563" s="5" t="n">
        <f aca="false">IF(ISBLANK(AD563),AVERAGEIF(L563:L1562,L563,AD563:AD1562),AD563)</f>
        <v>30</v>
      </c>
      <c r="AF563" s="0" t="s">
        <v>55</v>
      </c>
      <c r="AG563" s="0" t="str">
        <f aca="false">PROPER(AF563)</f>
        <v>Available</v>
      </c>
      <c r="AH563" s="0" t="s">
        <v>148</v>
      </c>
      <c r="AI563" s="0" t="s">
        <v>113</v>
      </c>
      <c r="AJ563" s="0" t="str">
        <f aca="false">PROPER(AI563)</f>
        <v>Normal</v>
      </c>
      <c r="AK563" s="0" t="s">
        <v>114</v>
      </c>
      <c r="AL563" s="0" t="str">
        <f aca="false">PROPER(AK563)</f>
        <v>Returning</v>
      </c>
      <c r="AM563" s="0" t="s">
        <v>59</v>
      </c>
      <c r="AN563" s="0" t="str">
        <f aca="false">IF(ISBLANK(AM563),"Unknown",AM563)</f>
        <v>Bolt Driver</v>
      </c>
      <c r="AO563" s="0" t="s">
        <v>149</v>
      </c>
      <c r="AP563" s="0" t="str">
        <f aca="false">IF(ISBLANK(AO563),"Unknown",AO563)</f>
        <v>Senior </v>
      </c>
      <c r="AR563" s="5" t="n">
        <f aca="false">IF(ISBLANK(AQ563),AVERAGEIF(M563:M1562,M563,AQ563:AQ1562),AQ563)</f>
        <v>25312.5</v>
      </c>
      <c r="AS563" s="0" t="n">
        <v>20000</v>
      </c>
      <c r="AT563" s="5" t="n">
        <f aca="false">IF(ISBLANK(AS563),AVERAGE(AS563:AS1562),AS563)</f>
        <v>20000</v>
      </c>
      <c r="AU563" s="0" t="s">
        <v>63</v>
      </c>
      <c r="AV563" s="0" t="str">
        <f aca="false">PROPER(IF(ISBLANK(AU563),"No",AU563))</f>
        <v>Yes</v>
      </c>
      <c r="AX563" s="5" t="n">
        <f aca="false">IF(ISBLANK(AW563),0,AW563)</f>
        <v>0</v>
      </c>
      <c r="AY563" s="0" t="s">
        <v>80</v>
      </c>
      <c r="AZ563" s="0" t="str">
        <f aca="false">UPPER(IF(ISBLANK(AY563),"NONE",AY563))</f>
        <v>PROMO10</v>
      </c>
      <c r="BA563" s="7" t="s">
        <v>520</v>
      </c>
      <c r="BB563" s="7" t="str">
        <f aca="false">IF(ISBLANK(BA563),"No Follow Up Needed",BA563)</f>
        <v>24/06/2025</v>
      </c>
      <c r="BC563" s="0" t="s">
        <v>61</v>
      </c>
      <c r="BD563" s="0" t="str">
        <f aca="false">PROPER(IF(ISBLANK(BC563),"Unknown",BC563))</f>
        <v>No</v>
      </c>
      <c r="BF563" s="0" t="str">
        <f aca="false">IF(ISBLANK(BE563),"No comments",BE563)</f>
        <v>No comments</v>
      </c>
      <c r="BG563" s="0" t="s">
        <v>117</v>
      </c>
      <c r="BH563" s="0" t="str">
        <f aca="false">IF(ISBLANK(BG563),"No comments",BG563)</f>
        <v>Prefers morning</v>
      </c>
      <c r="BI563" s="0" t="s">
        <v>63</v>
      </c>
      <c r="BJ563" s="0" t="str">
        <f aca="false">IF(ISBLANK(BI563),"Not Mentioned",BI563)</f>
        <v>Yes</v>
      </c>
      <c r="BK563" s="0" t="s">
        <v>61</v>
      </c>
      <c r="BL563" s="0" t="str">
        <f aca="false">PROPER(IF(ISBLANK(BK563),"Not Mentioned",BK563))</f>
        <v>No</v>
      </c>
      <c r="BM563" s="0" t="s">
        <v>63</v>
      </c>
      <c r="BN563" s="0" t="str">
        <f aca="false">PROPER(IF(ISBLANK(BM563),"Not Mentioned",BM563))</f>
        <v>Yes</v>
      </c>
      <c r="BO563" s="0" t="s">
        <v>2318</v>
      </c>
      <c r="BP563" s="0" t="str">
        <f aca="false">IF(ISBLANK(BO563),"One-Time Plan",BO563)</f>
        <v>Gold</v>
      </c>
      <c r="BQ563" s="0" t="s">
        <v>198</v>
      </c>
      <c r="BR563" s="0" t="str">
        <f aca="false">PROPER(IF(ISBLANK(BQ563),"No",BQ563))</f>
        <v>Followed Up</v>
      </c>
    </row>
    <row r="564" customFormat="false" ht="15" hidden="false" customHeight="false" outlineLevel="0" collapsed="false">
      <c r="A564" s="0" t="s">
        <v>1404</v>
      </c>
      <c r="B564" s="2" t="s">
        <v>222</v>
      </c>
      <c r="C564" s="2" t="str">
        <f aca="false">TEXT(B564,"dd/mm/yyyy")</f>
        <v>14/04/2025</v>
      </c>
      <c r="D564" s="0" t="s">
        <v>163</v>
      </c>
      <c r="E564" s="0" t="n">
        <v>8024211686</v>
      </c>
      <c r="F564" s="0" t="s">
        <v>67</v>
      </c>
      <c r="G564" s="0" t="s">
        <v>2316</v>
      </c>
      <c r="H564" s="0" t="s">
        <v>1405</v>
      </c>
      <c r="I564" s="0" t="s">
        <v>69</v>
      </c>
      <c r="J564" s="0" t="s">
        <v>87</v>
      </c>
      <c r="K564" s="3" t="str">
        <f aca="false" t="array" ref="K564:K564">IFERROR(IF(J564&lt;&gt;"",J564,INDEX(J564:J1563,MATCH(1,(F564:F1563=F564)*(I564:I1563=I564)*(L564:L1563=L564)*(J564:J1563&lt;&gt;""),0))),"Not Found")</f>
        <v>Oil Change</v>
      </c>
      <c r="L564" s="3" t="s">
        <v>142</v>
      </c>
      <c r="M564" s="0" t="str">
        <f aca="false">PROPER(L564)</f>
        <v>Oil Filter, Brake Pads</v>
      </c>
      <c r="N564" s="3" t="s">
        <v>71</v>
      </c>
      <c r="O564" s="0" t="str">
        <f aca="false" t="array" ref="O564:O564">IF(N564&lt;&gt;"",N564,_xlfn.xlookup(1,(L564:L1563=L564)*(N564:N1563&lt;&gt;""),N564:N1563,"Not Found"))</f>
        <v>Isaac Bobo</v>
      </c>
      <c r="P564" s="4" t="n">
        <v>15586</v>
      </c>
      <c r="Q564" s="0" t="s">
        <v>72</v>
      </c>
      <c r="R564" s="0" t="str">
        <f aca="false">PROPER(Q564)</f>
        <v>Pos</v>
      </c>
      <c r="S564" s="0" t="s">
        <v>63</v>
      </c>
      <c r="T564" s="0" t="n">
        <v>4</v>
      </c>
      <c r="U564" s="5" t="n">
        <f aca="false">IF(ISBLANK(T564),AVERAGE(T564:T1563),T564)</f>
        <v>4</v>
      </c>
      <c r="V564" s="0" t="n">
        <v>5.8</v>
      </c>
      <c r="W564" s="0" t="s">
        <v>125</v>
      </c>
      <c r="X564" s="0" t="str">
        <f aca="false">IF(ISBLANK(W564),"No remarks",W564)</f>
        <v>Customer waited</v>
      </c>
      <c r="Y564" s="0" t="s">
        <v>93</v>
      </c>
      <c r="Z564" s="0" t="s">
        <v>136</v>
      </c>
      <c r="AA564" s="0" t="str">
        <f aca="false">PROPER(IF(ISBLANK(Z564),"Location Unavailable",Z564))</f>
        <v>Vip Section</v>
      </c>
      <c r="AB564" s="0" t="s">
        <v>126</v>
      </c>
      <c r="AC564" s="6" t="str">
        <f aca="false">PROPER(AB564)</f>
        <v>Whatsapp</v>
      </c>
      <c r="AD564" s="6" t="n">
        <v>60</v>
      </c>
      <c r="AE564" s="5" t="n">
        <f aca="false">IF(ISBLANK(AD564),AVERAGEIF(L564:L1563,L564,AD564:AD1563),AD564)</f>
        <v>60</v>
      </c>
      <c r="AF564" s="0" t="s">
        <v>76</v>
      </c>
      <c r="AG564" s="0" t="str">
        <f aca="false">PROPER(AF564)</f>
        <v>Orderd</v>
      </c>
      <c r="AH564" s="0" t="s">
        <v>77</v>
      </c>
      <c r="AI564" s="0" t="s">
        <v>78</v>
      </c>
      <c r="AJ564" s="0" t="str">
        <f aca="false">PROPER(AI564)</f>
        <v>Booking</v>
      </c>
      <c r="AK564" s="0" t="s">
        <v>58</v>
      </c>
      <c r="AL564" s="0" t="str">
        <f aca="false">PROPER(AK564)</f>
        <v>Fleet Owner</v>
      </c>
      <c r="AM564" s="0" t="s">
        <v>177</v>
      </c>
      <c r="AN564" s="0" t="str">
        <f aca="false">IF(ISBLANK(AM564),"Unknown",AM564)</f>
        <v>Private</v>
      </c>
      <c r="AP564" s="0" t="str">
        <f aca="false">IF(ISBLANK(AO564),"Unknown",AO564)</f>
        <v>Unknown</v>
      </c>
      <c r="AQ564" s="0" t="n">
        <v>15000</v>
      </c>
      <c r="AR564" s="5" t="n">
        <f aca="false">IF(ISBLANK(AQ564),AVERAGEIF(M564:M1563,M564,AQ564:AQ1563),AQ564)</f>
        <v>15000</v>
      </c>
      <c r="AS564" s="0" t="n">
        <v>40000</v>
      </c>
      <c r="AT564" s="5" t="n">
        <f aca="false">IF(ISBLANK(AS564),AVERAGE(AS564:AS1563),AS564)</f>
        <v>40000</v>
      </c>
      <c r="AU564" s="0" t="s">
        <v>50</v>
      </c>
      <c r="AV564" s="0" t="str">
        <f aca="false">PROPER(IF(ISBLANK(AU564),"No",AU564))</f>
        <v>No</v>
      </c>
      <c r="AW564" s="0" t="n">
        <v>5000</v>
      </c>
      <c r="AX564" s="5" t="n">
        <f aca="false">IF(ISBLANK(AW564),0,AW564)</f>
        <v>5000</v>
      </c>
      <c r="AY564" s="0" t="s">
        <v>184</v>
      </c>
      <c r="AZ564" s="0" t="str">
        <f aca="false">UPPER(IF(ISBLANK(AY564),"NONE",AY564))</f>
        <v>N/A</v>
      </c>
      <c r="BB564" s="7" t="str">
        <f aca="false">IF(ISBLANK(BA564),"No Follow Up Needed",BA564)</f>
        <v>No Follow Up Needed</v>
      </c>
      <c r="BC564" s="0" t="s">
        <v>61</v>
      </c>
      <c r="BD564" s="0" t="str">
        <f aca="false">PROPER(IF(ISBLANK(BC564),"Unknown",BC564))</f>
        <v>No</v>
      </c>
      <c r="BE564" s="0" t="s">
        <v>171</v>
      </c>
      <c r="BF564" s="0" t="str">
        <f aca="false">IF(ISBLANK(BE564),"No comments",BE564)</f>
        <v>Shock absorber weakening</v>
      </c>
      <c r="BG564" s="0" t="s">
        <v>117</v>
      </c>
      <c r="BH564" s="0" t="str">
        <f aca="false">IF(ISBLANK(BG564),"No comments",BG564)</f>
        <v>Prefers morning</v>
      </c>
      <c r="BI564" s="0" t="s">
        <v>63</v>
      </c>
      <c r="BJ564" s="0" t="str">
        <f aca="false">IF(ISBLANK(BI564),"Not Mentioned",BI564)</f>
        <v>Yes</v>
      </c>
      <c r="BK564" s="0" t="s">
        <v>50</v>
      </c>
      <c r="BL564" s="0" t="str">
        <f aca="false">PROPER(IF(ISBLANK(BK564),"Not Mentioned",BK564))</f>
        <v>No</v>
      </c>
      <c r="BN564" s="0" t="str">
        <f aca="false">PROPER(IF(ISBLANK(BM564),"Not Mentioned",BM564))</f>
        <v>Not Mentioned</v>
      </c>
      <c r="BO564" s="0" t="s">
        <v>2321</v>
      </c>
      <c r="BP564" s="0" t="str">
        <f aca="false">IF(ISBLANK(BO564),"One-Time Plan",BO564)</f>
        <v>One-Time Plan</v>
      </c>
      <c r="BQ564" s="0" t="s">
        <v>50</v>
      </c>
      <c r="BR564" s="0" t="str">
        <f aca="false">PROPER(IF(ISBLANK(BQ564),"No",BQ564))</f>
        <v>No</v>
      </c>
    </row>
    <row r="565" customFormat="false" ht="15" hidden="false" customHeight="false" outlineLevel="0" collapsed="false">
      <c r="A565" s="0" t="s">
        <v>1406</v>
      </c>
      <c r="B565" s="2" t="s">
        <v>225</v>
      </c>
      <c r="C565" s="2" t="str">
        <f aca="false">TEXT(B565,"dd/mm/yyyy")</f>
        <v>24/02/2025</v>
      </c>
      <c r="D565" s="0" t="s">
        <v>163</v>
      </c>
      <c r="E565" s="0" t="n">
        <v>8057858864</v>
      </c>
      <c r="F565" s="0" t="s">
        <v>122</v>
      </c>
      <c r="G565" s="0" t="s">
        <v>2316</v>
      </c>
      <c r="H565" s="0" t="s">
        <v>1407</v>
      </c>
      <c r="I565" s="0" t="s">
        <v>69</v>
      </c>
      <c r="J565" s="0" t="s">
        <v>87</v>
      </c>
      <c r="K565" s="3" t="str">
        <f aca="false" t="array" ref="K565:K565">IFERROR(IF(J565&lt;&gt;"",J565,INDEX(J565:J1564,MATCH(1,(F565:F1564=F565)*(I565:I1564=I565)*(L565:L1564=L565)*(J565:J1564&lt;&gt;""),0))),"Not Found")</f>
        <v>Oil Change</v>
      </c>
      <c r="L565" s="3" t="s">
        <v>108</v>
      </c>
      <c r="M565" s="0" t="str">
        <f aca="false">PROPER(L565)</f>
        <v>Timing Belt</v>
      </c>
      <c r="N565" s="3" t="s">
        <v>90</v>
      </c>
      <c r="O565" s="0" t="str">
        <f aca="false" t="array" ref="O565:O565">IF(N565&lt;&gt;"",N565,_xlfn.xlookup(1,(L565:L1564=L565)*(N565:N1564&lt;&gt;""),N565:N1564,"Not Found"))</f>
        <v>Musa</v>
      </c>
      <c r="P565" s="4" t="n">
        <v>81352</v>
      </c>
      <c r="Q565" s="0" t="s">
        <v>72</v>
      </c>
      <c r="R565" s="0" t="str">
        <f aca="false">PROPER(Q565)</f>
        <v>Pos</v>
      </c>
      <c r="S565" s="0" t="s">
        <v>50</v>
      </c>
      <c r="T565" s="0" t="n">
        <v>3</v>
      </c>
      <c r="U565" s="5" t="n">
        <f aca="false">IF(ISBLANK(T565),AVERAGE(T565:T1564),T565)</f>
        <v>3</v>
      </c>
      <c r="V565" s="0" t="n">
        <v>5</v>
      </c>
      <c r="W565" s="0" t="s">
        <v>111</v>
      </c>
      <c r="X565" s="0" t="str">
        <f aca="false">IF(ISBLANK(W565),"No remarks",W565)</f>
        <v>Changed all filters</v>
      </c>
      <c r="Y565" s="0" t="s">
        <v>93</v>
      </c>
      <c r="Z565" s="0" t="s">
        <v>74</v>
      </c>
      <c r="AA565" s="0" t="str">
        <f aca="false">PROPER(IF(ISBLANK(Z565),"Location Unavailable",Z565))</f>
        <v>Under Tree</v>
      </c>
      <c r="AB565" s="0" t="s">
        <v>147</v>
      </c>
      <c r="AC565" s="6" t="str">
        <f aca="false">PROPER(AB565)</f>
        <v>Instagram</v>
      </c>
      <c r="AD565" s="6" t="n">
        <v>60</v>
      </c>
      <c r="AE565" s="5" t="n">
        <f aca="false">IF(ISBLANK(AD565),AVERAGEIF(L565:L1564,L565,AD565:AD1564),AD565)</f>
        <v>60</v>
      </c>
      <c r="AF565" s="0" t="s">
        <v>160</v>
      </c>
      <c r="AG565" s="0" t="str">
        <f aca="false">PROPER(AF565)</f>
        <v>Availaible</v>
      </c>
      <c r="AH565" s="0" t="s">
        <v>155</v>
      </c>
      <c r="AI565" s="0" t="s">
        <v>98</v>
      </c>
      <c r="AJ565" s="0" t="str">
        <f aca="false">PROPER(AI565)</f>
        <v>Emergency</v>
      </c>
      <c r="AK565" s="0" t="s">
        <v>58</v>
      </c>
      <c r="AL565" s="0" t="str">
        <f aca="false">PROPER(AK565)</f>
        <v>Fleet Owner</v>
      </c>
      <c r="AM565" s="0" t="s">
        <v>2324</v>
      </c>
      <c r="AN565" s="0" t="str">
        <f aca="false">IF(ISBLANK(AM565),"Unknown",AM565)</f>
        <v>Logistics Convoy</v>
      </c>
      <c r="AO565" s="0" t="s">
        <v>161</v>
      </c>
      <c r="AP565" s="0" t="str">
        <f aca="false">IF(ISBLANK(AO565),"Unknown",AO565)</f>
        <v>Apprentice</v>
      </c>
      <c r="AQ565" s="0" t="n">
        <v>40000</v>
      </c>
      <c r="AR565" s="5" t="n">
        <f aca="false">IF(ISBLANK(AQ565),AVERAGEIF(M565:M1564,M565,AQ565:AQ1564),AQ565)</f>
        <v>40000</v>
      </c>
      <c r="AS565" s="0" t="n">
        <v>30000</v>
      </c>
      <c r="AT565" s="5" t="n">
        <f aca="false">IF(ISBLANK(AS565),AVERAGE(AS565:AS1564),AS565)</f>
        <v>30000</v>
      </c>
      <c r="AU565" s="0" t="s">
        <v>63</v>
      </c>
      <c r="AV565" s="0" t="str">
        <f aca="false">PROPER(IF(ISBLANK(AU565),"No",AU565))</f>
        <v>Yes</v>
      </c>
      <c r="AW565" s="0" t="n">
        <v>5000</v>
      </c>
      <c r="AX565" s="5" t="n">
        <f aca="false">IF(ISBLANK(AW565),0,AW565)</f>
        <v>5000</v>
      </c>
      <c r="AY565" s="0" t="s">
        <v>184</v>
      </c>
      <c r="AZ565" s="0" t="str">
        <f aca="false">UPPER(IF(ISBLANK(AY565),"NONE",AY565))</f>
        <v>N/A</v>
      </c>
      <c r="BA565" s="7" t="s">
        <v>1103</v>
      </c>
      <c r="BB565" s="7" t="str">
        <f aca="false">IF(ISBLANK(BA565),"No Follow Up Needed",BA565)</f>
        <v>17/06/2025</v>
      </c>
      <c r="BD565" s="0" t="str">
        <f aca="false">PROPER(IF(ISBLANK(BC565),"Unknown",BC565))</f>
        <v>Unknown</v>
      </c>
      <c r="BE565" s="0" t="s">
        <v>171</v>
      </c>
      <c r="BF565" s="0" t="str">
        <f aca="false">IF(ISBLANK(BE565),"No comments",BE565)</f>
        <v>Shock absorber weakening</v>
      </c>
      <c r="BG565" s="0" t="s">
        <v>117</v>
      </c>
      <c r="BH565" s="0" t="str">
        <f aca="false">IF(ISBLANK(BG565),"No comments",BG565)</f>
        <v>Prefers morning</v>
      </c>
      <c r="BI565" s="0" t="s">
        <v>50</v>
      </c>
      <c r="BJ565" s="0" t="str">
        <f aca="false">IF(ISBLANK(BI565),"Not Mentioned",BI565)</f>
        <v>No</v>
      </c>
      <c r="BK565" s="0" t="s">
        <v>82</v>
      </c>
      <c r="BL565" s="0" t="str">
        <f aca="false">PROPER(IF(ISBLANK(BK565),"Not Mentioned",BK565))</f>
        <v>Yes</v>
      </c>
      <c r="BN565" s="0" t="str">
        <f aca="false">PROPER(IF(ISBLANK(BM565),"Not Mentioned",BM565))</f>
        <v>Not Mentioned</v>
      </c>
      <c r="BO565" s="0" t="s">
        <v>64</v>
      </c>
      <c r="BP565" s="0" t="str">
        <f aca="false">IF(ISBLANK(BO565),"One-Time Plan",BO565)</f>
        <v>Gold Maintenance Plan</v>
      </c>
      <c r="BR565" s="0" t="str">
        <f aca="false">PROPER(IF(ISBLANK(BQ565),"No",BQ565))</f>
        <v>No</v>
      </c>
    </row>
    <row r="566" customFormat="false" ht="15" hidden="false" customHeight="false" outlineLevel="0" collapsed="false">
      <c r="A566" s="0" t="s">
        <v>1409</v>
      </c>
      <c r="B566" s="2" t="s">
        <v>1408</v>
      </c>
      <c r="C566" s="2" t="str">
        <f aca="false">TEXT(B566,"dd/mm/yyyy")</f>
        <v>18/02/2025</v>
      </c>
      <c r="D566" s="0" t="s">
        <v>42</v>
      </c>
      <c r="E566" s="0" t="n">
        <v>8053401695</v>
      </c>
      <c r="F566" s="0" t="s">
        <v>122</v>
      </c>
      <c r="G566" s="0" t="s">
        <v>2316</v>
      </c>
      <c r="H566" s="0" t="s">
        <v>1410</v>
      </c>
      <c r="I566" s="0" t="s">
        <v>45</v>
      </c>
      <c r="K566" s="3" t="str">
        <f aca="false" t="array" ref="K566:K566">IFERROR(IF(J566&lt;&gt;"",J566,INDEX(J566:J1565,MATCH(1,(F566:F1565=F566)*(I566:I1565=I566)*(L566:L1565=L566)*(J566:J1565&lt;&gt;""),0))),"Not Found")</f>
        <v>Oil Change</v>
      </c>
      <c r="L566" s="3" t="s">
        <v>47</v>
      </c>
      <c r="M566" s="0" t="str">
        <f aca="false">PROPER(L566)</f>
        <v>None</v>
      </c>
      <c r="N566" s="3" t="s">
        <v>90</v>
      </c>
      <c r="O566" s="0" t="str">
        <f aca="false" t="array" ref="O566:O566">IF(N566&lt;&gt;"",N566,_xlfn.xlookup(1,(L566:L1565=L566)*(N566:N1565&lt;&gt;""),N566:N1565,"Not Found"))</f>
        <v>Musa</v>
      </c>
      <c r="P566" s="4" t="n">
        <v>11720</v>
      </c>
      <c r="Q566" s="0" t="s">
        <v>49</v>
      </c>
      <c r="R566" s="0" t="str">
        <f aca="false">PROPER(Q566)</f>
        <v>Transfer</v>
      </c>
      <c r="S566" s="0" t="s">
        <v>63</v>
      </c>
      <c r="T566" s="0" t="n">
        <v>5</v>
      </c>
      <c r="U566" s="5" t="n">
        <f aca="false">IF(ISBLANK(T566),AVERAGE(T566:T1565),T566)</f>
        <v>5</v>
      </c>
      <c r="V566" s="0" t="n">
        <v>5.8</v>
      </c>
      <c r="W566" s="0" t="s">
        <v>125</v>
      </c>
      <c r="X566" s="0" t="str">
        <f aca="false">IF(ISBLANK(W566),"No remarks",W566)</f>
        <v>Customer waited</v>
      </c>
      <c r="Y566" s="0" t="s">
        <v>52</v>
      </c>
      <c r="Z566" s="0" t="s">
        <v>74</v>
      </c>
      <c r="AA566" s="0" t="str">
        <f aca="false">PROPER(IF(ISBLANK(Z566),"Location Unavailable",Z566))</f>
        <v>Under Tree</v>
      </c>
      <c r="AB566" s="0" t="s">
        <v>75</v>
      </c>
      <c r="AC566" s="6" t="str">
        <f aca="false">PROPER(AB566)</f>
        <v>Mechanik Referal</v>
      </c>
      <c r="AD566" s="6" t="n">
        <v>45</v>
      </c>
      <c r="AE566" s="5" t="n">
        <f aca="false">IF(ISBLANK(AD566),AVERAGEIF(L566:L1565,L566,AD566:AD1565),AD566)</f>
        <v>45</v>
      </c>
      <c r="AF566" s="0" t="s">
        <v>160</v>
      </c>
      <c r="AG566" s="0" t="str">
        <f aca="false">PROPER(AF566)</f>
        <v>Availaible</v>
      </c>
      <c r="AH566" s="0" t="s">
        <v>148</v>
      </c>
      <c r="AI566" s="0" t="s">
        <v>98</v>
      </c>
      <c r="AJ566" s="0" t="str">
        <f aca="false">PROPER(AI566)</f>
        <v>Emergency</v>
      </c>
      <c r="AK566" s="0" t="s">
        <v>196</v>
      </c>
      <c r="AL566" s="0" t="str">
        <f aca="false">PROPER(AK566)</f>
        <v>First Time</v>
      </c>
      <c r="AM566" s="0" t="s">
        <v>177</v>
      </c>
      <c r="AN566" s="0" t="str">
        <f aca="false">IF(ISBLANK(AM566),"Unknown",AM566)</f>
        <v>Private</v>
      </c>
      <c r="AO566" s="0" t="s">
        <v>143</v>
      </c>
      <c r="AP566" s="0" t="str">
        <f aca="false">IF(ISBLANK(AO566),"Unknown",AO566)</f>
        <v>Senior</v>
      </c>
      <c r="AQ566" s="0" t="n">
        <v>40000</v>
      </c>
      <c r="AR566" s="5" t="n">
        <f aca="false">IF(ISBLANK(AQ566),AVERAGEIF(M566:M1565,M566,AQ566:AQ1565),AQ566)</f>
        <v>40000</v>
      </c>
      <c r="AS566" s="0" t="n">
        <v>30000</v>
      </c>
      <c r="AT566" s="5" t="n">
        <f aca="false">IF(ISBLANK(AS566),AVERAGE(AS566:AS1565),AS566)</f>
        <v>30000</v>
      </c>
      <c r="AV566" s="0" t="str">
        <f aca="false">PROPER(IF(ISBLANK(AU566),"No",AU566))</f>
        <v>No</v>
      </c>
      <c r="AW566" s="0" t="n">
        <v>0</v>
      </c>
      <c r="AX566" s="5" t="n">
        <f aca="false">IF(ISBLANK(AW566),0,AW566)</f>
        <v>0</v>
      </c>
      <c r="AY566" s="0" t="s">
        <v>80</v>
      </c>
      <c r="AZ566" s="0" t="str">
        <f aca="false">UPPER(IF(ISBLANK(AY566),"NONE",AY566))</f>
        <v>PROMO10</v>
      </c>
      <c r="BB566" s="7" t="str">
        <f aca="false">IF(ISBLANK(BA566),"No Follow Up Needed",BA566)</f>
        <v>No Follow Up Needed</v>
      </c>
      <c r="BC566" s="0" t="s">
        <v>63</v>
      </c>
      <c r="BD566" s="0" t="str">
        <f aca="false">PROPER(IF(ISBLANK(BC566),"Unknown",BC566))</f>
        <v>Yes</v>
      </c>
      <c r="BF566" s="0" t="str">
        <f aca="false">IF(ISBLANK(BE566),"No comments",BE566)</f>
        <v>No comments</v>
      </c>
      <c r="BG566" s="0" t="s">
        <v>2320</v>
      </c>
      <c r="BH566" s="0" t="str">
        <f aca="false">IF(ISBLANK(BG566),"No comments",BG566)</f>
        <v>No complaints</v>
      </c>
      <c r="BI566" s="0" t="s">
        <v>50</v>
      </c>
      <c r="BJ566" s="0" t="str">
        <f aca="false">IF(ISBLANK(BI566),"Not Mentioned",BI566)</f>
        <v>No</v>
      </c>
      <c r="BK566" s="0" t="s">
        <v>82</v>
      </c>
      <c r="BL566" s="0" t="str">
        <f aca="false">PROPER(IF(ISBLANK(BK566),"Not Mentioned",BK566))</f>
        <v>Yes</v>
      </c>
      <c r="BM566" s="0" t="s">
        <v>63</v>
      </c>
      <c r="BN566" s="0" t="str">
        <f aca="false">PROPER(IF(ISBLANK(BM566),"Not Mentioned",BM566))</f>
        <v>Yes</v>
      </c>
      <c r="BO566" s="0" t="s">
        <v>2318</v>
      </c>
      <c r="BP566" s="0" t="str">
        <f aca="false">IF(ISBLANK(BO566),"One-Time Plan",BO566)</f>
        <v>Gold</v>
      </c>
      <c r="BR566" s="0" t="str">
        <f aca="false">PROPER(IF(ISBLANK(BQ566),"No",BQ566))</f>
        <v>No</v>
      </c>
    </row>
    <row r="567" customFormat="false" ht="15" hidden="false" customHeight="false" outlineLevel="0" collapsed="false">
      <c r="A567" s="0" t="s">
        <v>1412</v>
      </c>
      <c r="B567" s="2" t="s">
        <v>1411</v>
      </c>
      <c r="C567" s="2" t="str">
        <f aca="false">TEXT(B567,"dd/mm/yyyy")</f>
        <v>17/04/2025</v>
      </c>
      <c r="D567" s="0" t="s">
        <v>105</v>
      </c>
      <c r="E567" s="0" t="n">
        <v>8033303091</v>
      </c>
      <c r="F567" s="0" t="s">
        <v>139</v>
      </c>
      <c r="G567" s="0" t="s">
        <v>2323</v>
      </c>
      <c r="H567" s="0" t="s">
        <v>1413</v>
      </c>
      <c r="I567" s="0" t="s">
        <v>134</v>
      </c>
      <c r="J567" s="0" t="s">
        <v>2317</v>
      </c>
      <c r="K567" s="3" t="str">
        <f aca="false" t="array" ref="K567:K567">IFERROR(IF(J567&lt;&gt;"",J567,INDEX(J567:J1566,MATCH(1,(F567:F1566=F567)*(I567:I1566=I567)*(L567:L1566=L567)*(J567:J1566&lt;&gt;""),0))),"Not Found")</f>
        <v>Suspension Noise</v>
      </c>
      <c r="L567" s="3" t="s">
        <v>154</v>
      </c>
      <c r="M567" s="0" t="str">
        <f aca="false">PROPER(L567)</f>
        <v>Air Filter</v>
      </c>
      <c r="N567" s="3" t="s">
        <v>109</v>
      </c>
      <c r="O567" s="0" t="str">
        <f aca="false" t="array" ref="O567:O567">IF(N567&lt;&gt;"",N567,_xlfn.xlookup(1,(L567:L1566=L567)*(N567:N1566&lt;&gt;""),N567:N1566,"Not Found"))</f>
        <v>Tijani</v>
      </c>
      <c r="P567" s="4" t="n">
        <v>77744</v>
      </c>
      <c r="Q567" s="0" t="s">
        <v>166</v>
      </c>
      <c r="R567" s="0" t="str">
        <f aca="false">PROPER(Q567)</f>
        <v>Transfer</v>
      </c>
      <c r="S567" s="0" t="s">
        <v>50</v>
      </c>
      <c r="T567" s="0" t="n">
        <v>1</v>
      </c>
      <c r="U567" s="5" t="n">
        <f aca="false">IF(ISBLANK(T567),AVERAGE(T567:T1566),T567)</f>
        <v>1</v>
      </c>
      <c r="V567" s="0" t="n">
        <v>5.9</v>
      </c>
      <c r="W567" s="0" t="s">
        <v>111</v>
      </c>
      <c r="X567" s="0" t="str">
        <f aca="false">IF(ISBLANK(W567),"No remarks",W567)</f>
        <v>Changed all filters</v>
      </c>
      <c r="Y567" s="0" t="s">
        <v>52</v>
      </c>
      <c r="Z567" s="0" t="s">
        <v>136</v>
      </c>
      <c r="AA567" s="0" t="str">
        <f aca="false">PROPER(IF(ISBLANK(Z567),"Location Unavailable",Z567))</f>
        <v>Vip Section</v>
      </c>
      <c r="AB567" s="0" t="s">
        <v>167</v>
      </c>
      <c r="AC567" s="6" t="str">
        <f aca="false">PROPER(AB567)</f>
        <v>Word Of Mouth</v>
      </c>
      <c r="AD567" s="6" t="n">
        <v>15</v>
      </c>
      <c r="AE567" s="5" t="n">
        <f aca="false">IF(ISBLANK(AD567),AVERAGEIF(L567:L1566,L567,AD567:AD1566),AD567)</f>
        <v>15</v>
      </c>
      <c r="AF567" s="0" t="s">
        <v>160</v>
      </c>
      <c r="AG567" s="0" t="str">
        <f aca="false">PROPER(AF567)</f>
        <v>Availaible</v>
      </c>
      <c r="AH567" s="0" t="s">
        <v>148</v>
      </c>
      <c r="AI567" s="0" t="s">
        <v>78</v>
      </c>
      <c r="AJ567" s="0" t="str">
        <f aca="false">PROPER(AI567)</f>
        <v>Booking</v>
      </c>
      <c r="AK567" s="0" t="s">
        <v>196</v>
      </c>
      <c r="AL567" s="0" t="str">
        <f aca="false">PROPER(AK567)</f>
        <v>First Time</v>
      </c>
      <c r="AM567" s="0" t="s">
        <v>59</v>
      </c>
      <c r="AN567" s="0" t="str">
        <f aca="false">IF(ISBLANK(AM567),"Unknown",AM567)</f>
        <v>Bolt Driver</v>
      </c>
      <c r="AP567" s="0" t="str">
        <f aca="false">IF(ISBLANK(AO567),"Unknown",AO567)</f>
        <v>Unknown</v>
      </c>
      <c r="AQ567" s="0" t="n">
        <v>25000</v>
      </c>
      <c r="AR567" s="5" t="n">
        <f aca="false">IF(ISBLANK(AQ567),AVERAGEIF(M567:M1566,M567,AQ567:AQ1566),AQ567)</f>
        <v>25000</v>
      </c>
      <c r="AS567" s="0" t="n">
        <v>40000</v>
      </c>
      <c r="AT567" s="5" t="n">
        <f aca="false">IF(ISBLANK(AS567),AVERAGE(AS567:AS1566),AS567)</f>
        <v>40000</v>
      </c>
      <c r="AU567" s="0" t="s">
        <v>63</v>
      </c>
      <c r="AV567" s="0" t="str">
        <f aca="false">PROPER(IF(ISBLANK(AU567),"No",AU567))</f>
        <v>Yes</v>
      </c>
      <c r="AW567" s="0" t="n">
        <v>5000</v>
      </c>
      <c r="AX567" s="5" t="n">
        <f aca="false">IF(ISBLANK(AW567),0,AW567)</f>
        <v>5000</v>
      </c>
      <c r="AY567" s="0" t="s">
        <v>80</v>
      </c>
      <c r="AZ567" s="0" t="str">
        <f aca="false">UPPER(IF(ISBLANK(AY567),"NONE",AY567))</f>
        <v>PROMO10</v>
      </c>
      <c r="BA567" s="7" t="n">
        <v>45902</v>
      </c>
      <c r="BB567" s="7" t="n">
        <f aca="false">IF(ISBLANK(BA567),"No Follow Up Needed",BA567)</f>
        <v>45902</v>
      </c>
      <c r="BC567" s="0" t="s">
        <v>50</v>
      </c>
      <c r="BD567" s="0" t="str">
        <f aca="false">PROPER(IF(ISBLANK(BC567),"Unknown",BC567))</f>
        <v>No</v>
      </c>
      <c r="BF567" s="0" t="str">
        <f aca="false">IF(ISBLANK(BE567),"No comments",BE567)</f>
        <v>No comments</v>
      </c>
      <c r="BG567" s="0" t="s">
        <v>172</v>
      </c>
      <c r="BH567" s="0" t="str">
        <f aca="false">IF(ISBLANK(BG567),"No comments",BG567)</f>
        <v>Always late</v>
      </c>
      <c r="BI567" s="0" t="s">
        <v>63</v>
      </c>
      <c r="BJ567" s="0" t="str">
        <f aca="false">IF(ISBLANK(BI567),"Not Mentioned",BI567)</f>
        <v>Yes</v>
      </c>
      <c r="BK567" s="0" t="s">
        <v>63</v>
      </c>
      <c r="BL567" s="0" t="str">
        <f aca="false">PROPER(IF(ISBLANK(BK567),"Not Mentioned",BK567))</f>
        <v>Yes</v>
      </c>
      <c r="BM567" s="0" t="s">
        <v>63</v>
      </c>
      <c r="BN567" s="0" t="str">
        <f aca="false">PROPER(IF(ISBLANK(BM567),"Not Mentioned",BM567))</f>
        <v>Yes</v>
      </c>
      <c r="BP567" s="0" t="str">
        <f aca="false">IF(ISBLANK(BO567),"One-Time Plan",BO567)</f>
        <v>One-Time Plan</v>
      </c>
      <c r="BQ567" s="0" t="s">
        <v>190</v>
      </c>
      <c r="BR567" s="0" t="str">
        <f aca="false">PROPER(IF(ISBLANK(BQ567),"No",BQ567))</f>
        <v>Yes</v>
      </c>
    </row>
    <row r="568" customFormat="false" ht="15" hidden="false" customHeight="false" outlineLevel="0" collapsed="false">
      <c r="A568" s="0" t="s">
        <v>1414</v>
      </c>
      <c r="B568" s="2" t="n">
        <v>45690</v>
      </c>
      <c r="C568" s="2" t="str">
        <f aca="false">TEXT(B568,"dd/mm/yyyy")</f>
        <v>02/02/2025</v>
      </c>
      <c r="D568" s="0" t="s">
        <v>121</v>
      </c>
      <c r="E568" s="0" t="n">
        <v>8012012537</v>
      </c>
      <c r="F568" s="0" t="s">
        <v>139</v>
      </c>
      <c r="G568" s="0" t="s">
        <v>2323</v>
      </c>
      <c r="H568" s="0" t="s">
        <v>1415</v>
      </c>
      <c r="I568" s="0" t="s">
        <v>87</v>
      </c>
      <c r="J568" s="0" t="s">
        <v>2325</v>
      </c>
      <c r="K568" s="3" t="str">
        <f aca="false" t="array" ref="K568:K568">IFERROR(IF(J568&lt;&gt;"",J568,INDEX(J568:J1567,MATCH(1,(F568:F1567=F568)*(I568:I1567=I568)*(L568:L1567=L568)*(J568:J1567&lt;&gt;""),0))),"Not Found")</f>
        <v>Engine Knocking</v>
      </c>
      <c r="L568" s="3" t="s">
        <v>154</v>
      </c>
      <c r="M568" s="0" t="str">
        <f aca="false">PROPER(L568)</f>
        <v>Air Filter</v>
      </c>
      <c r="N568" s="3" t="s">
        <v>90</v>
      </c>
      <c r="O568" s="0" t="str">
        <f aca="false" t="array" ref="O568:O568">IF(N568&lt;&gt;"",N568,_xlfn.xlookup(1,(L568:L1567=L568)*(N568:N1567&lt;&gt;""),N568:N1567,"Not Found"))</f>
        <v>Musa</v>
      </c>
      <c r="P568" s="4" t="n">
        <v>22770</v>
      </c>
      <c r="Q568" s="0" t="s">
        <v>72</v>
      </c>
      <c r="R568" s="0" t="str">
        <f aca="false">PROPER(Q568)</f>
        <v>Pos</v>
      </c>
      <c r="S568" s="0" t="s">
        <v>63</v>
      </c>
      <c r="T568" s="0" t="n">
        <v>2</v>
      </c>
      <c r="U568" s="5" t="n">
        <f aca="false">IF(ISBLANK(T568),AVERAGE(T568:T1567),T568)</f>
        <v>2</v>
      </c>
      <c r="V568" s="0" t="n">
        <v>4.9</v>
      </c>
      <c r="X568" s="0" t="str">
        <f aca="false">IF(ISBLANK(W568),"No remarks",W568)</f>
        <v>No remarks</v>
      </c>
      <c r="Y568" s="0" t="s">
        <v>93</v>
      </c>
      <c r="Z568" s="0" t="s">
        <v>53</v>
      </c>
      <c r="AA568" s="0" t="str">
        <f aca="false">PROPER(IF(ISBLANK(Z568),"Location Unavailable",Z568))</f>
        <v>Main Bay</v>
      </c>
      <c r="AB568" s="0" t="s">
        <v>126</v>
      </c>
      <c r="AC568" s="6" t="str">
        <f aca="false">PROPER(AB568)</f>
        <v>Whatsapp</v>
      </c>
      <c r="AD568" s="6" t="n">
        <v>45</v>
      </c>
      <c r="AE568" s="5" t="n">
        <f aca="false">IF(ISBLANK(AD568),AVERAGEIF(L568:L1567,L568,AD568:AD1567),AD568)</f>
        <v>45</v>
      </c>
      <c r="AF568" s="0" t="s">
        <v>96</v>
      </c>
      <c r="AG568" s="0" t="str">
        <f aca="false">PROPER(AF568)</f>
        <v>Ordered</v>
      </c>
      <c r="AH568" s="0" t="s">
        <v>148</v>
      </c>
      <c r="AI568" s="0" t="s">
        <v>98</v>
      </c>
      <c r="AJ568" s="0" t="str">
        <f aca="false">PROPER(AI568)</f>
        <v>Emergency</v>
      </c>
      <c r="AK568" s="0" t="s">
        <v>99</v>
      </c>
      <c r="AL568" s="0" t="str">
        <f aca="false">PROPER(AK568)</f>
        <v>Uber Driver</v>
      </c>
      <c r="AM568" s="0" t="s">
        <v>59</v>
      </c>
      <c r="AN568" s="0" t="str">
        <f aca="false">IF(ISBLANK(AM568),"Unknown",AM568)</f>
        <v>Bolt Driver</v>
      </c>
      <c r="AO568" s="0" t="s">
        <v>143</v>
      </c>
      <c r="AP568" s="0" t="str">
        <f aca="false">IF(ISBLANK(AO568),"Unknown",AO568)</f>
        <v>Senior</v>
      </c>
      <c r="AQ568" s="0" t="n">
        <v>30000</v>
      </c>
      <c r="AR568" s="5" t="n">
        <f aca="false">IF(ISBLANK(AQ568),AVERAGEIF(M568:M1567,M568,AQ568:AQ1567),AQ568)</f>
        <v>30000</v>
      </c>
      <c r="AS568" s="0" t="n">
        <v>30000</v>
      </c>
      <c r="AT568" s="5" t="n">
        <f aca="false">IF(ISBLANK(AS568),AVERAGE(AS568:AS1567),AS568)</f>
        <v>30000</v>
      </c>
      <c r="AV568" s="0" t="str">
        <f aca="false">PROPER(IF(ISBLANK(AU568),"No",AU568))</f>
        <v>No</v>
      </c>
      <c r="AW568" s="0" t="n">
        <v>5000</v>
      </c>
      <c r="AX568" s="5" t="n">
        <f aca="false">IF(ISBLANK(AW568),0,AW568)</f>
        <v>5000</v>
      </c>
      <c r="AY568" s="0" t="s">
        <v>80</v>
      </c>
      <c r="AZ568" s="0" t="str">
        <f aca="false">UPPER(IF(ISBLANK(AY568),"NONE",AY568))</f>
        <v>PROMO10</v>
      </c>
      <c r="BA568" s="7" t="s">
        <v>962</v>
      </c>
      <c r="BB568" s="7" t="str">
        <f aca="false">IF(ISBLANK(BA568),"No Follow Up Needed",BA568)</f>
        <v>29/07/2025</v>
      </c>
      <c r="BC568" s="0" t="s">
        <v>50</v>
      </c>
      <c r="BD568" s="0" t="str">
        <f aca="false">PROPER(IF(ISBLANK(BC568),"Unknown",BC568))</f>
        <v>No</v>
      </c>
      <c r="BF568" s="0" t="str">
        <f aca="false">IF(ISBLANK(BE568),"No comments",BE568)</f>
        <v>No comments</v>
      </c>
      <c r="BH568" s="0" t="str">
        <f aca="false">IF(ISBLANK(BG568),"No comments",BG568)</f>
        <v>No comments</v>
      </c>
      <c r="BI568" s="0" t="s">
        <v>63</v>
      </c>
      <c r="BJ568" s="0" t="str">
        <f aca="false">IF(ISBLANK(BI568),"Not Mentioned",BI568)</f>
        <v>Yes</v>
      </c>
      <c r="BK568" s="0" t="s">
        <v>63</v>
      </c>
      <c r="BL568" s="0" t="str">
        <f aca="false">PROPER(IF(ISBLANK(BK568),"Not Mentioned",BK568))</f>
        <v>Yes</v>
      </c>
      <c r="BN568" s="0" t="str">
        <f aca="false">PROPER(IF(ISBLANK(BM568),"Not Mentioned",BM568))</f>
        <v>Not Mentioned</v>
      </c>
      <c r="BO568" s="0" t="s">
        <v>2321</v>
      </c>
      <c r="BP568" s="0" t="str">
        <f aca="false">IF(ISBLANK(BO568),"One-Time Plan",BO568)</f>
        <v>One-Time Plan</v>
      </c>
      <c r="BQ568" s="0" t="s">
        <v>50</v>
      </c>
      <c r="BR568" s="0" t="str">
        <f aca="false">PROPER(IF(ISBLANK(BQ568),"No",BQ568))</f>
        <v>No</v>
      </c>
    </row>
    <row r="569" customFormat="false" ht="15" hidden="false" customHeight="false" outlineLevel="0" collapsed="false">
      <c r="A569" s="0" t="s">
        <v>1416</v>
      </c>
      <c r="B569" s="2" t="n">
        <v>45694</v>
      </c>
      <c r="C569" s="2" t="str">
        <f aca="false">TEXT(B569,"dd/mm/yyyy")</f>
        <v>06/02/2025</v>
      </c>
      <c r="D569" s="0" t="s">
        <v>121</v>
      </c>
      <c r="E569" s="0" t="n">
        <v>8063974248</v>
      </c>
      <c r="F569" s="0" t="s">
        <v>85</v>
      </c>
      <c r="G569" s="0" t="s">
        <v>2319</v>
      </c>
      <c r="H569" s="0" t="s">
        <v>1417</v>
      </c>
      <c r="I569" s="0" t="s">
        <v>134</v>
      </c>
      <c r="J569" s="0" t="s">
        <v>2322</v>
      </c>
      <c r="K569" s="3" t="str">
        <f aca="false" t="array" ref="K569:K569">IFERROR(IF(J569&lt;&gt;"",J569,INDEX(J569:J1568,MATCH(1,(F569:F1568=F569)*(I569:I1568=I569)*(L569:L1568=L569)*(J569:J1568&lt;&gt;""),0))),"Not Found")</f>
        <v>Brake Failure</v>
      </c>
      <c r="L569" s="3" t="s">
        <v>154</v>
      </c>
      <c r="M569" s="0" t="str">
        <f aca="false">PROPER(L569)</f>
        <v>Air Filter</v>
      </c>
      <c r="O569" s="0" t="e">
        <f aca="false" t="array" ref="O569:O569">IF(N569&lt;&gt;"",N569,_xlfn.xlookup(1,(L569:L1568=L569)*(N569:N1568&lt;&gt;""),N569:N1568,"Not Found"))</f>
        <v>#NAME?</v>
      </c>
      <c r="P569" s="4" t="n">
        <v>116474</v>
      </c>
      <c r="Q569" s="0" t="s">
        <v>110</v>
      </c>
      <c r="R569" s="0" t="str">
        <f aca="false">PROPER(Q569)</f>
        <v>Cash</v>
      </c>
      <c r="S569" s="0" t="s">
        <v>63</v>
      </c>
      <c r="T569" s="0" t="n">
        <v>5</v>
      </c>
      <c r="U569" s="5" t="n">
        <f aca="false">IF(ISBLANK(T569),AVERAGE(T569:T1568),T569)</f>
        <v>5</v>
      </c>
      <c r="V569" s="0" t="n">
        <v>4.8</v>
      </c>
      <c r="X569" s="0" t="str">
        <f aca="false">IF(ISBLANK(W569),"No remarks",W569)</f>
        <v>No remarks</v>
      </c>
      <c r="Y569" s="0" t="s">
        <v>52</v>
      </c>
      <c r="AA569" s="0" t="str">
        <f aca="false">PROPER(IF(ISBLANK(Z569),"Location Unavailable",Z569))</f>
        <v>Location Unavailable</v>
      </c>
      <c r="AB569" s="0" t="s">
        <v>167</v>
      </c>
      <c r="AC569" s="6" t="str">
        <f aca="false">PROPER(AB569)</f>
        <v>Word Of Mouth</v>
      </c>
      <c r="AD569" s="6" t="n">
        <v>15</v>
      </c>
      <c r="AE569" s="5" t="n">
        <f aca="false">IF(ISBLANK(AD569),AVERAGEIF(L569:L1568,L569,AD569:AD1568),AD569)</f>
        <v>15</v>
      </c>
      <c r="AF569" s="0" t="s">
        <v>76</v>
      </c>
      <c r="AG569" s="0" t="str">
        <f aca="false">PROPER(AF569)</f>
        <v>Orderd</v>
      </c>
      <c r="AH569" s="0" t="s">
        <v>155</v>
      </c>
      <c r="AI569" s="0" t="s">
        <v>78</v>
      </c>
      <c r="AJ569" s="0" t="str">
        <f aca="false">PROPER(AI569)</f>
        <v>Booking</v>
      </c>
      <c r="AK569" s="0" t="s">
        <v>196</v>
      </c>
      <c r="AL569" s="0" t="str">
        <f aca="false">PROPER(AK569)</f>
        <v>First Time</v>
      </c>
      <c r="AM569" s="0" t="s">
        <v>177</v>
      </c>
      <c r="AN569" s="0" t="str">
        <f aca="false">IF(ISBLANK(AM569),"Unknown",AM569)</f>
        <v>Private</v>
      </c>
      <c r="AO569" s="0" t="s">
        <v>79</v>
      </c>
      <c r="AP569" s="0" t="str">
        <f aca="false">IF(ISBLANK(AO569),"Unknown",AO569)</f>
        <v>Specialist</v>
      </c>
      <c r="AQ569" s="0" t="n">
        <v>40000</v>
      </c>
      <c r="AR569" s="5" t="n">
        <f aca="false">IF(ISBLANK(AQ569),AVERAGEIF(M569:M1568,M569,AQ569:AQ1568),AQ569)</f>
        <v>40000</v>
      </c>
      <c r="AS569" s="0" t="n">
        <v>20000</v>
      </c>
      <c r="AT569" s="5" t="n">
        <f aca="false">IF(ISBLANK(AS569),AVERAGE(AS569:AS1568),AS569)</f>
        <v>20000</v>
      </c>
      <c r="AU569" s="0" t="s">
        <v>50</v>
      </c>
      <c r="AV569" s="0" t="str">
        <f aca="false">PROPER(IF(ISBLANK(AU569),"No",AU569))</f>
        <v>No</v>
      </c>
      <c r="AX569" s="5" t="n">
        <f aca="false">IF(ISBLANK(AW569),0,AW569)</f>
        <v>0</v>
      </c>
      <c r="AY569" s="0" t="s">
        <v>80</v>
      </c>
      <c r="AZ569" s="0" t="str">
        <f aca="false">UPPER(IF(ISBLANK(AY569),"NONE",AY569))</f>
        <v>PROMO10</v>
      </c>
      <c r="BB569" s="7" t="str">
        <f aca="false">IF(ISBLANK(BA569),"No Follow Up Needed",BA569)</f>
        <v>No Follow Up Needed</v>
      </c>
      <c r="BC569" s="0" t="s">
        <v>61</v>
      </c>
      <c r="BD569" s="0" t="str">
        <f aca="false">PROPER(IF(ISBLANK(BC569),"Unknown",BC569))</f>
        <v>No</v>
      </c>
      <c r="BE569" s="0" t="s">
        <v>171</v>
      </c>
      <c r="BF569" s="0" t="str">
        <f aca="false">IF(ISBLANK(BE569),"No comments",BE569)</f>
        <v>Shock absorber weakening</v>
      </c>
      <c r="BH569" s="0" t="str">
        <f aca="false">IF(ISBLANK(BG569),"No comments",BG569)</f>
        <v>No comments</v>
      </c>
      <c r="BI569" s="0" t="s">
        <v>50</v>
      </c>
      <c r="BJ569" s="0" t="str">
        <f aca="false">IF(ISBLANK(BI569),"Not Mentioned",BI569)</f>
        <v>No</v>
      </c>
      <c r="BK569" s="0" t="s">
        <v>82</v>
      </c>
      <c r="BL569" s="0" t="str">
        <f aca="false">PROPER(IF(ISBLANK(BK569),"Not Mentioned",BK569))</f>
        <v>Yes</v>
      </c>
      <c r="BN569" s="0" t="str">
        <f aca="false">PROPER(IF(ISBLANK(BM569),"Not Mentioned",BM569))</f>
        <v>Not Mentioned</v>
      </c>
      <c r="BO569" s="0" t="s">
        <v>64</v>
      </c>
      <c r="BP569" s="0" t="str">
        <f aca="false">IF(ISBLANK(BO569),"One-Time Plan",BO569)</f>
        <v>Gold Maintenance Plan</v>
      </c>
      <c r="BR569" s="0" t="str">
        <f aca="false">PROPER(IF(ISBLANK(BQ569),"No",BQ569))</f>
        <v>No</v>
      </c>
    </row>
    <row r="570" customFormat="false" ht="15" hidden="false" customHeight="false" outlineLevel="0" collapsed="false">
      <c r="A570" s="0" t="s">
        <v>1418</v>
      </c>
      <c r="B570" s="2" t="n">
        <v>45782</v>
      </c>
      <c r="C570" s="2" t="str">
        <f aca="false">TEXT(B570,"dd/mm/yyyy")</f>
        <v>05/05/2025</v>
      </c>
      <c r="D570" s="0" t="s">
        <v>42</v>
      </c>
      <c r="E570" s="0" t="n">
        <v>8097777422</v>
      </c>
      <c r="F570" s="0" t="s">
        <v>43</v>
      </c>
      <c r="G570" s="0" t="s">
        <v>2315</v>
      </c>
      <c r="H570" s="0" t="s">
        <v>1419</v>
      </c>
      <c r="I570" s="0" t="s">
        <v>107</v>
      </c>
      <c r="J570" s="0" t="s">
        <v>87</v>
      </c>
      <c r="K570" s="3" t="str">
        <f aca="false" t="array" ref="K570:K570">IFERROR(IF(J570&lt;&gt;"",J570,INDEX(J570:J1569,MATCH(1,(F570:F1569=F570)*(I570:I1569=I570)*(L570:L1569=L570)*(J570:J1569&lt;&gt;""),0))),"Not Found")</f>
        <v>Oil Change</v>
      </c>
      <c r="L570" s="3" t="s">
        <v>154</v>
      </c>
      <c r="M570" s="0" t="str">
        <f aca="false">PROPER(L570)</f>
        <v>Air Filter</v>
      </c>
      <c r="N570" s="3" t="s">
        <v>109</v>
      </c>
      <c r="O570" s="0" t="str">
        <f aca="false" t="array" ref="O570:O570">IF(N570&lt;&gt;"",N570,_xlfn.xlookup(1,(L570:L1569=L570)*(N570:N1569&lt;&gt;""),N570:N1569,"Not Found"))</f>
        <v>Tijani</v>
      </c>
      <c r="P570" s="4" t="n">
        <v>105258</v>
      </c>
      <c r="Q570" s="0" t="s">
        <v>91</v>
      </c>
      <c r="R570" s="0" t="str">
        <f aca="false">PROPER(Q570)</f>
        <v>Pos</v>
      </c>
      <c r="S570" s="0" t="s">
        <v>63</v>
      </c>
      <c r="T570" s="0" t="n">
        <v>2</v>
      </c>
      <c r="U570" s="5" t="n">
        <f aca="false">IF(ISBLANK(T570),AVERAGE(T570:T1569),T570)</f>
        <v>2</v>
      </c>
      <c r="V570" s="0" t="n">
        <v>5.2</v>
      </c>
      <c r="W570" s="0" t="s">
        <v>51</v>
      </c>
      <c r="X570" s="0" t="str">
        <f aca="false">IF(ISBLANK(W570),"No remarks",W570)</f>
        <v>Recommended further checks</v>
      </c>
      <c r="Y570" s="0" t="s">
        <v>73</v>
      </c>
      <c r="Z570" s="0" t="s">
        <v>74</v>
      </c>
      <c r="AA570" s="0" t="str">
        <f aca="false">PROPER(IF(ISBLANK(Z570),"Location Unavailable",Z570))</f>
        <v>Under Tree</v>
      </c>
      <c r="AB570" s="0" t="s">
        <v>167</v>
      </c>
      <c r="AC570" s="6" t="str">
        <f aca="false">PROPER(AB570)</f>
        <v>Word Of Mouth</v>
      </c>
      <c r="AD570" s="6" t="n">
        <v>15</v>
      </c>
      <c r="AE570" s="5" t="n">
        <f aca="false">IF(ISBLANK(AD570),AVERAGEIF(L570:L1569,L570,AD570:AD1569),AD570)</f>
        <v>15</v>
      </c>
      <c r="AF570" s="0" t="s">
        <v>55</v>
      </c>
      <c r="AG570" s="0" t="str">
        <f aca="false">PROPER(AF570)</f>
        <v>Available</v>
      </c>
      <c r="AH570" s="0" t="s">
        <v>155</v>
      </c>
      <c r="AI570" s="0" t="s">
        <v>113</v>
      </c>
      <c r="AJ570" s="0" t="str">
        <f aca="false">PROPER(AI570)</f>
        <v>Normal</v>
      </c>
      <c r="AK570" s="0" t="s">
        <v>99</v>
      </c>
      <c r="AL570" s="0" t="str">
        <f aca="false">PROPER(AK570)</f>
        <v>Uber Driver</v>
      </c>
      <c r="AM570" s="0" t="s">
        <v>2324</v>
      </c>
      <c r="AN570" s="0" t="str">
        <f aca="false">IF(ISBLANK(AM570),"Unknown",AM570)</f>
        <v>Logistics Convoy</v>
      </c>
      <c r="AO570" s="0" t="s">
        <v>143</v>
      </c>
      <c r="AP570" s="0" t="str">
        <f aca="false">IF(ISBLANK(AO570),"Unknown",AO570)</f>
        <v>Senior</v>
      </c>
      <c r="AQ570" s="0" t="n">
        <v>15000</v>
      </c>
      <c r="AR570" s="5" t="n">
        <f aca="false">IF(ISBLANK(AQ570),AVERAGEIF(M570:M1569,M570,AQ570:AQ1569),AQ570)</f>
        <v>15000</v>
      </c>
      <c r="AS570" s="0" t="n">
        <v>30000</v>
      </c>
      <c r="AT570" s="5" t="n">
        <f aca="false">IF(ISBLANK(AS570),AVERAGE(AS570:AS1569),AS570)</f>
        <v>30000</v>
      </c>
      <c r="AU570" s="0" t="s">
        <v>50</v>
      </c>
      <c r="AV570" s="0" t="str">
        <f aca="false">PROPER(IF(ISBLANK(AU570),"No",AU570))</f>
        <v>No</v>
      </c>
      <c r="AX570" s="5" t="n">
        <f aca="false">IF(ISBLANK(AW570),0,AW570)</f>
        <v>0</v>
      </c>
      <c r="AY570" s="0" t="s">
        <v>184</v>
      </c>
      <c r="AZ570" s="0" t="str">
        <f aca="false">UPPER(IF(ISBLANK(AY570),"NONE",AY570))</f>
        <v>N/A</v>
      </c>
      <c r="BB570" s="7" t="str">
        <f aca="false">IF(ISBLANK(BA570),"No Follow Up Needed",BA570)</f>
        <v>No Follow Up Needed</v>
      </c>
      <c r="BC570" s="0" t="s">
        <v>61</v>
      </c>
      <c r="BD570" s="0" t="str">
        <f aca="false">PROPER(IF(ISBLANK(BC570),"Unknown",BC570))</f>
        <v>No</v>
      </c>
      <c r="BE570" s="0" t="s">
        <v>171</v>
      </c>
      <c r="BF570" s="0" t="str">
        <f aca="false">IF(ISBLANK(BE570),"No comments",BE570)</f>
        <v>Shock absorber weakening</v>
      </c>
      <c r="BH570" s="0" t="str">
        <f aca="false">IF(ISBLANK(BG570),"No comments",BG570)</f>
        <v>No comments</v>
      </c>
      <c r="BI570" s="0" t="s">
        <v>50</v>
      </c>
      <c r="BJ570" s="0" t="str">
        <f aca="false">IF(ISBLANK(BI570),"Not Mentioned",BI570)</f>
        <v>No</v>
      </c>
      <c r="BK570" s="0" t="s">
        <v>61</v>
      </c>
      <c r="BL570" s="0" t="str">
        <f aca="false">PROPER(IF(ISBLANK(BK570),"Not Mentioned",BK570))</f>
        <v>No</v>
      </c>
      <c r="BM570" s="0" t="s">
        <v>50</v>
      </c>
      <c r="BN570" s="0" t="str">
        <f aca="false">PROPER(IF(ISBLANK(BM570),"Not Mentioned",BM570))</f>
        <v>No</v>
      </c>
      <c r="BO570" s="0" t="s">
        <v>2318</v>
      </c>
      <c r="BP570" s="0" t="str">
        <f aca="false">IF(ISBLANK(BO570),"One-Time Plan",BO570)</f>
        <v>Gold</v>
      </c>
      <c r="BQ570" s="0" t="s">
        <v>63</v>
      </c>
      <c r="BR570" s="0" t="str">
        <f aca="false">PROPER(IF(ISBLANK(BQ570),"No",BQ570))</f>
        <v>Yes</v>
      </c>
    </row>
    <row r="571" customFormat="false" ht="15" hidden="false" customHeight="false" outlineLevel="0" collapsed="false">
      <c r="A571" s="0" t="s">
        <v>1420</v>
      </c>
      <c r="B571" s="2" t="s">
        <v>340</v>
      </c>
      <c r="C571" s="2" t="str">
        <f aca="false">TEXT(B571,"dd/mm/yyyy")</f>
        <v>14/06/2025</v>
      </c>
      <c r="D571" s="0" t="s">
        <v>105</v>
      </c>
      <c r="E571" s="0" t="n">
        <v>8052445044</v>
      </c>
      <c r="F571" s="0" t="s">
        <v>67</v>
      </c>
      <c r="G571" s="0" t="s">
        <v>2316</v>
      </c>
      <c r="H571" s="0" t="s">
        <v>1421</v>
      </c>
      <c r="I571" s="0" t="s">
        <v>69</v>
      </c>
      <c r="J571" s="0" t="s">
        <v>87</v>
      </c>
      <c r="K571" s="3" t="str">
        <f aca="false" t="array" ref="K571:K571">IFERROR(IF(J571&lt;&gt;"",J571,INDEX(J571:J1570,MATCH(1,(F571:F1570=F571)*(I571:I1570=I571)*(L571:L1570=L571)*(J571:J1570&lt;&gt;""),0))),"Not Found")</f>
        <v>Oil Change</v>
      </c>
      <c r="L571" s="3" t="s">
        <v>108</v>
      </c>
      <c r="M571" s="0" t="str">
        <f aca="false">PROPER(L571)</f>
        <v>Timing Belt</v>
      </c>
      <c r="N571" s="3" t="s">
        <v>71</v>
      </c>
      <c r="O571" s="0" t="str">
        <f aca="false" t="array" ref="O571:O571">IF(N571&lt;&gt;"",N571,_xlfn.xlookup(1,(L571:L1570=L571)*(N571:N1570&lt;&gt;""),N571:N1570,"Not Found"))</f>
        <v>Isaac Bobo</v>
      </c>
      <c r="P571" s="4" t="n">
        <v>97843</v>
      </c>
      <c r="Q571" s="0" t="s">
        <v>91</v>
      </c>
      <c r="R571" s="0" t="str">
        <f aca="false">PROPER(Q571)</f>
        <v>Pos</v>
      </c>
      <c r="S571" s="0" t="s">
        <v>50</v>
      </c>
      <c r="T571" s="0" t="n">
        <v>1</v>
      </c>
      <c r="U571" s="5" t="n">
        <f aca="false">IF(ISBLANK(T571),AVERAGE(T571:T1570),T571)</f>
        <v>1</v>
      </c>
      <c r="V571" s="0" t="n">
        <v>5.1</v>
      </c>
      <c r="W571" s="0" t="s">
        <v>92</v>
      </c>
      <c r="X571" s="0" t="str">
        <f aca="false">IF(ISBLANK(W571),"No remarks",W571)</f>
        <v>Urgent service</v>
      </c>
      <c r="Y571" s="0" t="s">
        <v>73</v>
      </c>
      <c r="Z571" s="0" t="s">
        <v>74</v>
      </c>
      <c r="AA571" s="0" t="str">
        <f aca="false">PROPER(IF(ISBLANK(Z571),"Location Unavailable",Z571))</f>
        <v>Under Tree</v>
      </c>
      <c r="AB571" s="0" t="s">
        <v>95</v>
      </c>
      <c r="AC571" s="6" t="str">
        <f aca="false">PROPER(AB571)</f>
        <v>Road Sign</v>
      </c>
      <c r="AD571" s="6" t="n">
        <v>30</v>
      </c>
      <c r="AE571" s="5" t="n">
        <f aca="false">IF(ISBLANK(AD571),AVERAGEIF(L571:L1570,L571,AD571:AD1570),AD571)</f>
        <v>30</v>
      </c>
      <c r="AF571" s="0" t="s">
        <v>76</v>
      </c>
      <c r="AG571" s="0" t="str">
        <f aca="false">PROPER(AF571)</f>
        <v>Orderd</v>
      </c>
      <c r="AH571" s="0" t="s">
        <v>77</v>
      </c>
      <c r="AI571" s="0" t="s">
        <v>128</v>
      </c>
      <c r="AJ571" s="0" t="str">
        <f aca="false">PROPER(AI571)</f>
        <v>Normal</v>
      </c>
      <c r="AK571" s="0" t="s">
        <v>196</v>
      </c>
      <c r="AL571" s="0" t="str">
        <f aca="false">PROPER(AK571)</f>
        <v>First Time</v>
      </c>
      <c r="AM571" s="0" t="s">
        <v>2326</v>
      </c>
      <c r="AN571" s="0" t="str">
        <f aca="false">IF(ISBLANK(AM571),"Unknown",AM571)</f>
        <v>Government Convoy</v>
      </c>
      <c r="AO571" s="0" t="s">
        <v>161</v>
      </c>
      <c r="AP571" s="0" t="str">
        <f aca="false">IF(ISBLANK(AO571),"Unknown",AO571)</f>
        <v>Apprentice</v>
      </c>
      <c r="AQ571" s="0" t="n">
        <v>40000</v>
      </c>
      <c r="AR571" s="5" t="n">
        <f aca="false">IF(ISBLANK(AQ571),AVERAGEIF(M571:M1570,M571,AQ571:AQ1570),AQ571)</f>
        <v>40000</v>
      </c>
      <c r="AS571" s="0" t="n">
        <v>30000</v>
      </c>
      <c r="AT571" s="5" t="n">
        <f aca="false">IF(ISBLANK(AS571),AVERAGE(AS571:AS1570),AS571)</f>
        <v>30000</v>
      </c>
      <c r="AU571" s="0" t="s">
        <v>82</v>
      </c>
      <c r="AV571" s="0" t="str">
        <f aca="false">PROPER(IF(ISBLANK(AU571),"No",AU571))</f>
        <v>Yes</v>
      </c>
      <c r="AX571" s="5" t="n">
        <f aca="false">IF(ISBLANK(AW571),0,AW571)</f>
        <v>0</v>
      </c>
      <c r="AY571" s="0" t="s">
        <v>184</v>
      </c>
      <c r="AZ571" s="0" t="str">
        <f aca="false">UPPER(IF(ISBLANK(AY571),"NONE",AY571))</f>
        <v>N/A</v>
      </c>
      <c r="BB571" s="7" t="str">
        <f aca="false">IF(ISBLANK(BA571),"No Follow Up Needed",BA571)</f>
        <v>No Follow Up Needed</v>
      </c>
      <c r="BD571" s="0" t="str">
        <f aca="false">PROPER(IF(ISBLANK(BC571),"Unknown",BC571))</f>
        <v>Unknown</v>
      </c>
      <c r="BF571" s="0" t="str">
        <f aca="false">IF(ISBLANK(BE571),"No comments",BE571)</f>
        <v>No comments</v>
      </c>
      <c r="BG571" s="0" t="s">
        <v>117</v>
      </c>
      <c r="BH571" s="0" t="str">
        <f aca="false">IF(ISBLANK(BG571),"No comments",BG571)</f>
        <v>Prefers morning</v>
      </c>
      <c r="BJ571" s="0" t="str">
        <f aca="false">IF(ISBLANK(BI571),"Not Mentioned",BI571)</f>
        <v>Not Mentioned</v>
      </c>
      <c r="BK571" s="0" t="s">
        <v>61</v>
      </c>
      <c r="BL571" s="0" t="str">
        <f aca="false">PROPER(IF(ISBLANK(BK571),"Not Mentioned",BK571))</f>
        <v>No</v>
      </c>
      <c r="BM571" s="0" t="s">
        <v>63</v>
      </c>
      <c r="BN571" s="0" t="str">
        <f aca="false">PROPER(IF(ISBLANK(BM571),"Not Mentioned",BM571))</f>
        <v>Yes</v>
      </c>
      <c r="BO571" s="0" t="s">
        <v>2321</v>
      </c>
      <c r="BP571" s="0" t="str">
        <f aca="false">IF(ISBLANK(BO571),"One-Time Plan",BO571)</f>
        <v>One-Time Plan</v>
      </c>
      <c r="BQ571" s="0" t="s">
        <v>198</v>
      </c>
      <c r="BR571" s="0" t="str">
        <f aca="false">PROPER(IF(ISBLANK(BQ571),"No",BQ571))</f>
        <v>Followed Up</v>
      </c>
    </row>
    <row r="572" customFormat="false" ht="15" hidden="false" customHeight="false" outlineLevel="0" collapsed="false">
      <c r="A572" s="0" t="s">
        <v>1422</v>
      </c>
      <c r="B572" s="2" t="n">
        <v>45812</v>
      </c>
      <c r="C572" s="2" t="str">
        <f aca="false">TEXT(B572,"dd/mm/yyyy")</f>
        <v>04/06/2025</v>
      </c>
      <c r="D572" s="0" t="s">
        <v>163</v>
      </c>
      <c r="E572" s="0" t="n">
        <v>8011608113</v>
      </c>
      <c r="F572" s="0" t="s">
        <v>67</v>
      </c>
      <c r="G572" s="0" t="s">
        <v>2316</v>
      </c>
      <c r="H572" s="0" t="s">
        <v>1423</v>
      </c>
      <c r="I572" s="0" t="s">
        <v>69</v>
      </c>
      <c r="J572" s="0" t="s">
        <v>2322</v>
      </c>
      <c r="K572" s="3" t="str">
        <f aca="false" t="array" ref="K572:K572">IFERROR(IF(J572&lt;&gt;"",J572,INDEX(J572:J1571,MATCH(1,(F572:F1571=F572)*(I572:I1571=I572)*(L572:L1571=L572)*(J572:J1571&lt;&gt;""),0))),"Not Found")</f>
        <v>Brake Failure</v>
      </c>
      <c r="L572" s="3" t="s">
        <v>142</v>
      </c>
      <c r="M572" s="0" t="str">
        <f aca="false">PROPER(L572)</f>
        <v>Oil Filter, Brake Pads</v>
      </c>
      <c r="N572" s="3" t="s">
        <v>48</v>
      </c>
      <c r="O572" s="0" t="str">
        <f aca="false" t="array" ref="O572:O572">IF(N572&lt;&gt;"",N572,_xlfn.xlookup(1,(L572:L1571=L572)*(N572:N1571&lt;&gt;""),N572:N1571,"Not Found"))</f>
        <v>Uche</v>
      </c>
      <c r="P572" s="4" t="n">
        <v>58004</v>
      </c>
      <c r="Q572" s="0" t="s">
        <v>124</v>
      </c>
      <c r="R572" s="0" t="str">
        <f aca="false">PROPER(Q572)</f>
        <v>Cash</v>
      </c>
      <c r="S572" s="0" t="s">
        <v>50</v>
      </c>
      <c r="U572" s="5" t="n">
        <f aca="false">IF(ISBLANK(T572),AVERAGE(T572:T1571),T572)</f>
        <v>3.09375</v>
      </c>
      <c r="V572" s="0" t="n">
        <v>4.9</v>
      </c>
      <c r="W572" s="0" t="s">
        <v>51</v>
      </c>
      <c r="X572" s="0" t="str">
        <f aca="false">IF(ISBLANK(W572),"No remarks",W572)</f>
        <v>Recommended further checks</v>
      </c>
      <c r="Y572" s="0" t="s">
        <v>93</v>
      </c>
      <c r="Z572" s="0" t="s">
        <v>159</v>
      </c>
      <c r="AA572" s="0" t="str">
        <f aca="false">PROPER(IF(ISBLANK(Z572),"Location Unavailable",Z572))</f>
        <v>Main Bay</v>
      </c>
      <c r="AB572" s="0" t="s">
        <v>167</v>
      </c>
      <c r="AC572" s="6" t="str">
        <f aca="false">PROPER(AB572)</f>
        <v>Word Of Mouth</v>
      </c>
      <c r="AD572" s="6" t="n">
        <v>60</v>
      </c>
      <c r="AE572" s="5" t="n">
        <f aca="false">IF(ISBLANK(AD572),AVERAGEIF(L572:L1571,L572,AD572:AD1571),AD572)</f>
        <v>60</v>
      </c>
      <c r="AF572" s="0" t="s">
        <v>55</v>
      </c>
      <c r="AG572" s="0" t="str">
        <f aca="false">PROPER(AF572)</f>
        <v>Available</v>
      </c>
      <c r="AH572" s="0" t="s">
        <v>155</v>
      </c>
      <c r="AI572" s="0" t="s">
        <v>128</v>
      </c>
      <c r="AJ572" s="0" t="str">
        <f aca="false">PROPER(AI572)</f>
        <v>Normal</v>
      </c>
      <c r="AK572" s="0" t="s">
        <v>99</v>
      </c>
      <c r="AL572" s="0" t="str">
        <f aca="false">PROPER(AK572)</f>
        <v>Uber Driver</v>
      </c>
      <c r="AN572" s="0" t="str">
        <f aca="false">IF(ISBLANK(AM572),"Unknown",AM572)</f>
        <v>Unknown</v>
      </c>
      <c r="AO572" s="0" t="s">
        <v>161</v>
      </c>
      <c r="AP572" s="0" t="str">
        <f aca="false">IF(ISBLANK(AO572),"Unknown",AO572)</f>
        <v>Apprentice</v>
      </c>
      <c r="AQ572" s="0" t="n">
        <v>40000</v>
      </c>
      <c r="AR572" s="5" t="n">
        <f aca="false">IF(ISBLANK(AQ572),AVERAGEIF(M572:M1571,M572,AQ572:AQ1571),AQ572)</f>
        <v>40000</v>
      </c>
      <c r="AS572" s="0" t="n">
        <v>30000</v>
      </c>
      <c r="AT572" s="5" t="n">
        <f aca="false">IF(ISBLANK(AS572),AVERAGE(AS572:AS1571),AS572)</f>
        <v>30000</v>
      </c>
      <c r="AU572" s="0" t="s">
        <v>82</v>
      </c>
      <c r="AV572" s="0" t="str">
        <f aca="false">PROPER(IF(ISBLANK(AU572),"No",AU572))</f>
        <v>Yes</v>
      </c>
      <c r="AW572" s="0" t="n">
        <v>0</v>
      </c>
      <c r="AX572" s="5" t="n">
        <f aca="false">IF(ISBLANK(AW572),0,AW572)</f>
        <v>0</v>
      </c>
      <c r="AZ572" s="0" t="str">
        <f aca="false">UPPER(IF(ISBLANK(AY572),"NONE",AY572))</f>
        <v>NONE</v>
      </c>
      <c r="BA572" s="7" t="n">
        <v>45826</v>
      </c>
      <c r="BB572" s="7" t="n">
        <f aca="false">IF(ISBLANK(BA572),"No Follow Up Needed",BA572)</f>
        <v>45826</v>
      </c>
      <c r="BC572" s="0" t="s">
        <v>50</v>
      </c>
      <c r="BD572" s="0" t="str">
        <f aca="false">PROPER(IF(ISBLANK(BC572),"Unknown",BC572))</f>
        <v>No</v>
      </c>
      <c r="BF572" s="0" t="str">
        <f aca="false">IF(ISBLANK(BE572),"No comments",BE572)</f>
        <v>No comments</v>
      </c>
      <c r="BG572" s="0" t="s">
        <v>172</v>
      </c>
      <c r="BH572" s="0" t="str">
        <f aca="false">IF(ISBLANK(BG572),"No comments",BG572)</f>
        <v>Always late</v>
      </c>
      <c r="BI572" s="0" t="s">
        <v>63</v>
      </c>
      <c r="BJ572" s="0" t="str">
        <f aca="false">IF(ISBLANK(BI572),"Not Mentioned",BI572)</f>
        <v>Yes</v>
      </c>
      <c r="BK572" s="0" t="s">
        <v>50</v>
      </c>
      <c r="BL572" s="0" t="str">
        <f aca="false">PROPER(IF(ISBLANK(BK572),"Not Mentioned",BK572))</f>
        <v>No</v>
      </c>
      <c r="BM572" s="0" t="s">
        <v>63</v>
      </c>
      <c r="BN572" s="0" t="str">
        <f aca="false">PROPER(IF(ISBLANK(BM572),"Not Mentioned",BM572))</f>
        <v>Yes</v>
      </c>
      <c r="BO572" s="0" t="s">
        <v>2321</v>
      </c>
      <c r="BP572" s="0" t="str">
        <f aca="false">IF(ISBLANK(BO572),"One-Time Plan",BO572)</f>
        <v>One-Time Plan</v>
      </c>
      <c r="BQ572" s="0" t="s">
        <v>50</v>
      </c>
      <c r="BR572" s="0" t="str">
        <f aca="false">PROPER(IF(ISBLANK(BQ572),"No",BQ572))</f>
        <v>No</v>
      </c>
    </row>
    <row r="573" customFormat="false" ht="15" hidden="false" customHeight="false" outlineLevel="0" collapsed="false">
      <c r="A573" s="0" t="s">
        <v>1424</v>
      </c>
      <c r="B573" s="2" t="n">
        <v>45766</v>
      </c>
      <c r="C573" s="2" t="str">
        <f aca="false">TEXT(B573,"dd/mm/yyyy")</f>
        <v>19/04/2025</v>
      </c>
      <c r="D573" s="0" t="s">
        <v>66</v>
      </c>
      <c r="E573" s="0" t="n">
        <v>8062235749</v>
      </c>
      <c r="F573" s="0" t="s">
        <v>43</v>
      </c>
      <c r="G573" s="0" t="s">
        <v>2315</v>
      </c>
      <c r="H573" s="0" t="s">
        <v>1425</v>
      </c>
      <c r="I573" s="0" t="s">
        <v>45</v>
      </c>
      <c r="J573" s="0" t="s">
        <v>87</v>
      </c>
      <c r="K573" s="3" t="str">
        <f aca="false" t="array" ref="K573:K573">IFERROR(IF(J573&lt;&gt;"",J573,INDEX(J573:J1572,MATCH(1,(F573:F1572=F573)*(I573:I1572=I573)*(L573:L1572=L573)*(J573:J1572&lt;&gt;""),0))),"Not Found")</f>
        <v>Oil Change</v>
      </c>
      <c r="L573" s="3" t="s">
        <v>108</v>
      </c>
      <c r="M573" s="0" t="str">
        <f aca="false">PROPER(L573)</f>
        <v>Timing Belt</v>
      </c>
      <c r="N573" s="3" t="s">
        <v>71</v>
      </c>
      <c r="O573" s="0" t="str">
        <f aca="false" t="array" ref="O573:O573">IF(N573&lt;&gt;"",N573,_xlfn.xlookup(1,(L573:L1572=L573)*(N573:N1572&lt;&gt;""),N573:N1572,"Not Found"))</f>
        <v>Isaac Bobo</v>
      </c>
      <c r="P573" s="4" t="n">
        <v>68688</v>
      </c>
      <c r="Q573" s="0" t="s">
        <v>72</v>
      </c>
      <c r="R573" s="0" t="str">
        <f aca="false">PROPER(Q573)</f>
        <v>Pos</v>
      </c>
      <c r="S573" s="0" t="s">
        <v>50</v>
      </c>
      <c r="T573" s="0" t="n">
        <v>3</v>
      </c>
      <c r="U573" s="5" t="n">
        <f aca="false">IF(ISBLANK(T573),AVERAGE(T573:T1572),T573)</f>
        <v>3</v>
      </c>
      <c r="V573" s="0" t="n">
        <v>4.8</v>
      </c>
      <c r="X573" s="0" t="str">
        <f aca="false">IF(ISBLANK(W573),"No remarks",W573)</f>
        <v>No remarks</v>
      </c>
      <c r="Y573" s="0" t="s">
        <v>93</v>
      </c>
      <c r="Z573" s="0" t="s">
        <v>53</v>
      </c>
      <c r="AA573" s="0" t="str">
        <f aca="false">PROPER(IF(ISBLANK(Z573),"Location Unavailable",Z573))</f>
        <v>Main Bay</v>
      </c>
      <c r="AB573" s="0" t="s">
        <v>167</v>
      </c>
      <c r="AC573" s="6" t="str">
        <f aca="false">PROPER(AB573)</f>
        <v>Word Of Mouth</v>
      </c>
      <c r="AE573" s="5" t="n">
        <f aca="false">IF(ISBLANK(AD573),AVERAGEIF(L573:L1572,L573,AD573:AD1572),AD573)</f>
        <v>39</v>
      </c>
      <c r="AF573" s="0" t="s">
        <v>55</v>
      </c>
      <c r="AG573" s="0" t="str">
        <f aca="false">PROPER(AF573)</f>
        <v>Available</v>
      </c>
      <c r="AH573" s="0" t="s">
        <v>77</v>
      </c>
      <c r="AI573" s="0" t="s">
        <v>78</v>
      </c>
      <c r="AJ573" s="0" t="str">
        <f aca="false">PROPER(AI573)</f>
        <v>Booking</v>
      </c>
      <c r="AK573" s="0" t="s">
        <v>114</v>
      </c>
      <c r="AL573" s="0" t="str">
        <f aca="false">PROPER(AK573)</f>
        <v>Returning</v>
      </c>
      <c r="AM573" s="0" t="s">
        <v>2326</v>
      </c>
      <c r="AN573" s="0" t="str">
        <f aca="false">IF(ISBLANK(AM573),"Unknown",AM573)</f>
        <v>Government Convoy</v>
      </c>
      <c r="AO573" s="0" t="s">
        <v>79</v>
      </c>
      <c r="AP573" s="0" t="str">
        <f aca="false">IF(ISBLANK(AO573),"Unknown",AO573)</f>
        <v>Specialist</v>
      </c>
      <c r="AQ573" s="0" t="n">
        <v>15000</v>
      </c>
      <c r="AR573" s="5" t="n">
        <f aca="false">IF(ISBLANK(AQ573),AVERAGEIF(M573:M1572,M573,AQ573:AQ1572),AQ573)</f>
        <v>15000</v>
      </c>
      <c r="AT573" s="5" t="n">
        <f aca="false">IF(ISBLANK(AS573),AVERAGE(AS573:AS1572),AS573)</f>
        <v>31625.3443526171</v>
      </c>
      <c r="AV573" s="0" t="str">
        <f aca="false">PROPER(IF(ISBLANK(AU573),"No",AU573))</f>
        <v>No</v>
      </c>
      <c r="AX573" s="5" t="n">
        <f aca="false">IF(ISBLANK(AW573),0,AW573)</f>
        <v>0</v>
      </c>
      <c r="AY573" s="0" t="s">
        <v>60</v>
      </c>
      <c r="AZ573" s="0" t="str">
        <f aca="false">UPPER(IF(ISBLANK(AY573),"NONE",AY573))</f>
        <v>NONE</v>
      </c>
      <c r="BA573" s="7" t="n">
        <v>45912</v>
      </c>
      <c r="BB573" s="7" t="n">
        <f aca="false">IF(ISBLANK(BA573),"No Follow Up Needed",BA573)</f>
        <v>45912</v>
      </c>
      <c r="BD573" s="0" t="str">
        <f aca="false">PROPER(IF(ISBLANK(BC573),"Unknown",BC573))</f>
        <v>Unknown</v>
      </c>
      <c r="BF573" s="0" t="str">
        <f aca="false">IF(ISBLANK(BE573),"No comments",BE573)</f>
        <v>No comments</v>
      </c>
      <c r="BG573" s="0" t="s">
        <v>172</v>
      </c>
      <c r="BH573" s="0" t="str">
        <f aca="false">IF(ISBLANK(BG573),"No comments",BG573)</f>
        <v>Always late</v>
      </c>
      <c r="BI573" s="0" t="s">
        <v>63</v>
      </c>
      <c r="BJ573" s="0" t="str">
        <f aca="false">IF(ISBLANK(BI573),"Not Mentioned",BI573)</f>
        <v>Yes</v>
      </c>
      <c r="BK573" s="0" t="s">
        <v>82</v>
      </c>
      <c r="BL573" s="0" t="str">
        <f aca="false">PROPER(IF(ISBLANK(BK573),"Not Mentioned",BK573))</f>
        <v>Yes</v>
      </c>
      <c r="BM573" s="0" t="s">
        <v>63</v>
      </c>
      <c r="BN573" s="0" t="str">
        <f aca="false">PROPER(IF(ISBLANK(BM573),"Not Mentioned",BM573))</f>
        <v>Yes</v>
      </c>
      <c r="BO573" s="0" t="s">
        <v>64</v>
      </c>
      <c r="BP573" s="0" t="str">
        <f aca="false">IF(ISBLANK(BO573),"One-Time Plan",BO573)</f>
        <v>Gold Maintenance Plan</v>
      </c>
      <c r="BR573" s="0" t="str">
        <f aca="false">PROPER(IF(ISBLANK(BQ573),"No",BQ573))</f>
        <v>No</v>
      </c>
    </row>
    <row r="574" customFormat="false" ht="15" hidden="false" customHeight="false" outlineLevel="0" collapsed="false">
      <c r="A574" s="0" t="s">
        <v>1426</v>
      </c>
      <c r="B574" s="2" t="n">
        <v>45773</v>
      </c>
      <c r="C574" s="2" t="str">
        <f aca="false">TEXT(B574,"dd/mm/yyyy")</f>
        <v>26/04/2025</v>
      </c>
      <c r="D574" s="0" t="s">
        <v>42</v>
      </c>
      <c r="E574" s="0" t="n">
        <v>8038557229</v>
      </c>
      <c r="F574" s="0" t="s">
        <v>139</v>
      </c>
      <c r="G574" s="0" t="s">
        <v>2323</v>
      </c>
      <c r="H574" s="0" t="s">
        <v>1427</v>
      </c>
      <c r="I574" s="0" t="s">
        <v>87</v>
      </c>
      <c r="J574" s="0" t="s">
        <v>87</v>
      </c>
      <c r="K574" s="3" t="str">
        <f aca="false" t="array" ref="K574:K574">IFERROR(IF(J574&lt;&gt;"",J574,INDEX(J574:J1573,MATCH(1,(F574:F1573=F574)*(I574:I1573=I574)*(L574:L1573=L574)*(J574:J1573&lt;&gt;""),0))),"Not Found")</f>
        <v>Oil Change</v>
      </c>
      <c r="L574" s="3" t="s">
        <v>154</v>
      </c>
      <c r="M574" s="0" t="str">
        <f aca="false">PROPER(L574)</f>
        <v>Air Filter</v>
      </c>
      <c r="N574" s="3" t="s">
        <v>90</v>
      </c>
      <c r="O574" s="0" t="str">
        <f aca="false" t="array" ref="O574:O574">IF(N574&lt;&gt;"",N574,_xlfn.xlookup(1,(L574:L1573=L574)*(N574:N1573&lt;&gt;""),N574:N1573,"Not Found"))</f>
        <v>Musa</v>
      </c>
      <c r="P574" s="4" t="n">
        <v>24077</v>
      </c>
      <c r="Q574" s="0" t="s">
        <v>166</v>
      </c>
      <c r="R574" s="0" t="str">
        <f aca="false">PROPER(Q574)</f>
        <v>Transfer</v>
      </c>
      <c r="S574" s="0" t="s">
        <v>63</v>
      </c>
      <c r="T574" s="0" t="n">
        <v>5</v>
      </c>
      <c r="U574" s="5" t="n">
        <f aca="false">IF(ISBLANK(T574),AVERAGE(T574:T1573),T574)</f>
        <v>5</v>
      </c>
      <c r="V574" s="0" t="n">
        <v>1.2</v>
      </c>
      <c r="W574" s="0" t="s">
        <v>92</v>
      </c>
      <c r="X574" s="0" t="str">
        <f aca="false">IF(ISBLANK(W574),"No remarks",W574)</f>
        <v>Urgent service</v>
      </c>
      <c r="Y574" s="0" t="s">
        <v>93</v>
      </c>
      <c r="AA574" s="0" t="str">
        <f aca="false">PROPER(IF(ISBLANK(Z574),"Location Unavailable",Z574))</f>
        <v>Location Unavailable</v>
      </c>
      <c r="AB574" s="0" t="s">
        <v>75</v>
      </c>
      <c r="AC574" s="6" t="str">
        <f aca="false">PROPER(AB574)</f>
        <v>Mechanik Referal</v>
      </c>
      <c r="AD574" s="6" t="n">
        <v>45</v>
      </c>
      <c r="AE574" s="5" t="n">
        <f aca="false">IF(ISBLANK(AD574),AVERAGEIF(L574:L1573,L574,AD574:AD1573),AD574)</f>
        <v>45</v>
      </c>
      <c r="AF574" s="0" t="s">
        <v>112</v>
      </c>
      <c r="AG574" s="0" t="str">
        <f aca="false">PROPER(AF574)</f>
        <v>Unavailable</v>
      </c>
      <c r="AH574" s="0" t="s">
        <v>155</v>
      </c>
      <c r="AI574" s="0" t="s">
        <v>78</v>
      </c>
      <c r="AJ574" s="0" t="str">
        <f aca="false">PROPER(AI574)</f>
        <v>Booking</v>
      </c>
      <c r="AK574" s="0" t="s">
        <v>114</v>
      </c>
      <c r="AL574" s="0" t="str">
        <f aca="false">PROPER(AK574)</f>
        <v>Returning</v>
      </c>
      <c r="AM574" s="0" t="s">
        <v>59</v>
      </c>
      <c r="AN574" s="0" t="str">
        <f aca="false">IF(ISBLANK(AM574),"Unknown",AM574)</f>
        <v>Bolt Driver</v>
      </c>
      <c r="AO574" s="0" t="s">
        <v>79</v>
      </c>
      <c r="AP574" s="0" t="str">
        <f aca="false">IF(ISBLANK(AO574),"Unknown",AO574)</f>
        <v>Specialist</v>
      </c>
      <c r="AR574" s="5" t="n">
        <f aca="false">IF(ISBLANK(AQ574),AVERAGEIF(M574:M1573,M574,AQ574:AQ1573),AQ574)</f>
        <v>26101.6949152542</v>
      </c>
      <c r="AS574" s="0" t="n">
        <v>30000</v>
      </c>
      <c r="AT574" s="5" t="n">
        <f aca="false">IF(ISBLANK(AS574),AVERAGE(AS574:AS1573),AS574)</f>
        <v>30000</v>
      </c>
      <c r="AV574" s="0" t="str">
        <f aca="false">PROPER(IF(ISBLANK(AU574),"No",AU574))</f>
        <v>No</v>
      </c>
      <c r="AW574" s="0" t="n">
        <v>0</v>
      </c>
      <c r="AX574" s="5" t="n">
        <f aca="false">IF(ISBLANK(AW574),0,AW574)</f>
        <v>0</v>
      </c>
      <c r="AY574" s="0" t="s">
        <v>184</v>
      </c>
      <c r="AZ574" s="0" t="str">
        <f aca="false">UPPER(IF(ISBLANK(AY574),"NONE",AY574))</f>
        <v>N/A</v>
      </c>
      <c r="BA574" s="7" t="n">
        <v>45698</v>
      </c>
      <c r="BB574" s="7" t="n">
        <f aca="false">IF(ISBLANK(BA574),"No Follow Up Needed",BA574)</f>
        <v>45698</v>
      </c>
      <c r="BD574" s="0" t="str">
        <f aca="false">PROPER(IF(ISBLANK(BC574),"Unknown",BC574))</f>
        <v>Unknown</v>
      </c>
      <c r="BE574" s="0" t="s">
        <v>171</v>
      </c>
      <c r="BF574" s="0" t="str">
        <f aca="false">IF(ISBLANK(BE574),"No comments",BE574)</f>
        <v>Shock absorber weakening</v>
      </c>
      <c r="BG574" s="0" t="s">
        <v>117</v>
      </c>
      <c r="BH574" s="0" t="str">
        <f aca="false">IF(ISBLANK(BG574),"No comments",BG574)</f>
        <v>Prefers morning</v>
      </c>
      <c r="BI574" s="0" t="s">
        <v>63</v>
      </c>
      <c r="BJ574" s="0" t="str">
        <f aca="false">IF(ISBLANK(BI574),"Not Mentioned",BI574)</f>
        <v>Yes</v>
      </c>
      <c r="BK574" s="0" t="s">
        <v>63</v>
      </c>
      <c r="BL574" s="0" t="str">
        <f aca="false">PROPER(IF(ISBLANK(BK574),"Not Mentioned",BK574))</f>
        <v>Yes</v>
      </c>
      <c r="BM574" s="0" t="s">
        <v>63</v>
      </c>
      <c r="BN574" s="0" t="str">
        <f aca="false">PROPER(IF(ISBLANK(BM574),"Not Mentioned",BM574))</f>
        <v>Yes</v>
      </c>
      <c r="BO574" s="0" t="s">
        <v>2321</v>
      </c>
      <c r="BP574" s="0" t="str">
        <f aca="false">IF(ISBLANK(BO574),"One-Time Plan",BO574)</f>
        <v>One-Time Plan</v>
      </c>
      <c r="BQ574" s="0" t="s">
        <v>198</v>
      </c>
      <c r="BR574" s="0" t="str">
        <f aca="false">PROPER(IF(ISBLANK(BQ574),"No",BQ574))</f>
        <v>Followed Up</v>
      </c>
    </row>
    <row r="575" customFormat="false" ht="15" hidden="false" customHeight="false" outlineLevel="0" collapsed="false">
      <c r="A575" s="0" t="s">
        <v>1428</v>
      </c>
      <c r="B575" s="2" t="n">
        <v>45705</v>
      </c>
      <c r="C575" s="2" t="str">
        <f aca="false">TEXT(B575,"dd/mm/yyyy")</f>
        <v>17/02/2025</v>
      </c>
      <c r="D575" s="0" t="s">
        <v>163</v>
      </c>
      <c r="E575" s="0" t="n">
        <v>8071575863</v>
      </c>
      <c r="F575" s="0" t="s">
        <v>139</v>
      </c>
      <c r="G575" s="0" t="s">
        <v>2323</v>
      </c>
      <c r="H575" s="0" t="s">
        <v>1429</v>
      </c>
      <c r="I575" s="0" t="s">
        <v>87</v>
      </c>
      <c r="J575" s="0" t="s">
        <v>2322</v>
      </c>
      <c r="K575" s="3" t="str">
        <f aca="false" t="array" ref="K575:K575">IFERROR(IF(J575&lt;&gt;"",J575,INDEX(J575:J1574,MATCH(1,(F575:F1574=F575)*(I575:I1574=I575)*(L575:L1574=L575)*(J575:J1574&lt;&gt;""),0))),"Not Found")</f>
        <v>Brake Failure</v>
      </c>
      <c r="L575" s="3" t="s">
        <v>154</v>
      </c>
      <c r="M575" s="0" t="str">
        <f aca="false">PROPER(L575)</f>
        <v>Air Filter</v>
      </c>
      <c r="O575" s="0" t="e">
        <f aca="false" t="array" ref="O575:O575">IF(N575&lt;&gt;"",N575,_xlfn.xlookup(1,(L575:L1574=L575)*(N575:N1574&lt;&gt;""),N575:N1574,"Not Found"))</f>
        <v>#NAME?</v>
      </c>
      <c r="P575" s="4" t="n">
        <v>29415</v>
      </c>
      <c r="Q575" s="0" t="s">
        <v>49</v>
      </c>
      <c r="R575" s="0" t="str">
        <f aca="false">PROPER(Q575)</f>
        <v>Transfer</v>
      </c>
      <c r="S575" s="0" t="s">
        <v>63</v>
      </c>
      <c r="U575" s="5" t="n">
        <f aca="false">IF(ISBLANK(T575),AVERAGE(T575:T1574),T575)</f>
        <v>3.08857142857143</v>
      </c>
      <c r="V575" s="0" t="n">
        <v>2.5</v>
      </c>
      <c r="W575" s="0" t="s">
        <v>111</v>
      </c>
      <c r="X575" s="0" t="str">
        <f aca="false">IF(ISBLANK(W575),"No remarks",W575)</f>
        <v>Changed all filters</v>
      </c>
      <c r="Y575" s="0" t="s">
        <v>93</v>
      </c>
      <c r="AA575" s="0" t="str">
        <f aca="false">PROPER(IF(ISBLANK(Z575),"Location Unavailable",Z575))</f>
        <v>Location Unavailable</v>
      </c>
      <c r="AB575" s="0" t="s">
        <v>75</v>
      </c>
      <c r="AC575" s="6" t="str">
        <f aca="false">PROPER(AB575)</f>
        <v>Mechanik Referal</v>
      </c>
      <c r="AD575" s="6" t="n">
        <v>45</v>
      </c>
      <c r="AE575" s="5" t="n">
        <f aca="false">IF(ISBLANK(AD575),AVERAGEIF(L575:L1574,L575,AD575:AD1574),AD575)</f>
        <v>45</v>
      </c>
      <c r="AF575" s="0" t="s">
        <v>160</v>
      </c>
      <c r="AG575" s="0" t="str">
        <f aca="false">PROPER(AF575)</f>
        <v>Availaible</v>
      </c>
      <c r="AH575" s="0" t="s">
        <v>56</v>
      </c>
      <c r="AI575" s="0" t="s">
        <v>78</v>
      </c>
      <c r="AJ575" s="0" t="str">
        <f aca="false">PROPER(AI575)</f>
        <v>Booking</v>
      </c>
      <c r="AK575" s="0" t="s">
        <v>196</v>
      </c>
      <c r="AL575" s="0" t="str">
        <f aca="false">PROPER(AK575)</f>
        <v>First Time</v>
      </c>
      <c r="AM575" s="0" t="s">
        <v>177</v>
      </c>
      <c r="AN575" s="0" t="str">
        <f aca="false">IF(ISBLANK(AM575),"Unknown",AM575)</f>
        <v>Private</v>
      </c>
      <c r="AP575" s="0" t="str">
        <f aca="false">IF(ISBLANK(AO575),"Unknown",AO575)</f>
        <v>Unknown</v>
      </c>
      <c r="AQ575" s="0" t="n">
        <v>20000</v>
      </c>
      <c r="AR575" s="5" t="n">
        <f aca="false">IF(ISBLANK(AQ575),AVERAGEIF(M575:M1574,M575,AQ575:AQ1574),AQ575)</f>
        <v>20000</v>
      </c>
      <c r="AS575" s="0" t="n">
        <v>35000</v>
      </c>
      <c r="AT575" s="5" t="n">
        <f aca="false">IF(ISBLANK(AS575),AVERAGE(AS575:AS1574),AS575)</f>
        <v>35000</v>
      </c>
      <c r="AU575" s="0" t="s">
        <v>63</v>
      </c>
      <c r="AV575" s="0" t="str">
        <f aca="false">PROPER(IF(ISBLANK(AU575),"No",AU575))</f>
        <v>Yes</v>
      </c>
      <c r="AW575" s="0" t="n">
        <v>0</v>
      </c>
      <c r="AX575" s="5" t="n">
        <f aca="false">IF(ISBLANK(AW575),0,AW575)</f>
        <v>0</v>
      </c>
      <c r="AY575" s="0" t="s">
        <v>184</v>
      </c>
      <c r="AZ575" s="0" t="str">
        <f aca="false">UPPER(IF(ISBLANK(AY575),"NONE",AY575))</f>
        <v>N/A</v>
      </c>
      <c r="BB575" s="7" t="str">
        <f aca="false">IF(ISBLANK(BA575),"No Follow Up Needed",BA575)</f>
        <v>No Follow Up Needed</v>
      </c>
      <c r="BC575" s="0" t="s">
        <v>63</v>
      </c>
      <c r="BD575" s="0" t="str">
        <f aca="false">PROPER(IF(ISBLANK(BC575),"Unknown",BC575))</f>
        <v>Yes</v>
      </c>
      <c r="BE575" s="0" t="s">
        <v>116</v>
      </c>
      <c r="BF575" s="0" t="str">
        <f aca="false">IF(ISBLANK(BE575),"No comments",BE575)</f>
        <v>Needs tire alignment</v>
      </c>
      <c r="BH575" s="0" t="str">
        <f aca="false">IF(ISBLANK(BG575),"No comments",BG575)</f>
        <v>No comments</v>
      </c>
      <c r="BI575" s="0" t="s">
        <v>50</v>
      </c>
      <c r="BJ575" s="0" t="str">
        <f aca="false">IF(ISBLANK(BI575),"Not Mentioned",BI575)</f>
        <v>No</v>
      </c>
      <c r="BK575" s="0" t="s">
        <v>82</v>
      </c>
      <c r="BL575" s="0" t="str">
        <f aca="false">PROPER(IF(ISBLANK(BK575),"Not Mentioned",BK575))</f>
        <v>Yes</v>
      </c>
      <c r="BM575" s="0" t="s">
        <v>63</v>
      </c>
      <c r="BN575" s="0" t="str">
        <f aca="false">PROPER(IF(ISBLANK(BM575),"Not Mentioned",BM575))</f>
        <v>Yes</v>
      </c>
      <c r="BO575" s="0" t="s">
        <v>2321</v>
      </c>
      <c r="BP575" s="0" t="str">
        <f aca="false">IF(ISBLANK(BO575),"One-Time Plan",BO575)</f>
        <v>One-Time Plan</v>
      </c>
      <c r="BQ575" s="0" t="s">
        <v>63</v>
      </c>
      <c r="BR575" s="0" t="str">
        <f aca="false">PROPER(IF(ISBLANK(BQ575),"No",BQ575))</f>
        <v>Yes</v>
      </c>
    </row>
    <row r="576" customFormat="false" ht="15" hidden="false" customHeight="false" outlineLevel="0" collapsed="false">
      <c r="A576" s="0" t="s">
        <v>1430</v>
      </c>
      <c r="B576" s="2" t="n">
        <v>45718</v>
      </c>
      <c r="C576" s="2" t="str">
        <f aca="false">TEXT(B576,"dd/mm/yyyy")</f>
        <v>02/03/2025</v>
      </c>
      <c r="D576" s="0" t="s">
        <v>121</v>
      </c>
      <c r="E576" s="0" t="n">
        <v>8039540811</v>
      </c>
      <c r="F576" s="0" t="s">
        <v>122</v>
      </c>
      <c r="G576" s="0" t="s">
        <v>2316</v>
      </c>
      <c r="H576" s="0" t="s">
        <v>1431</v>
      </c>
      <c r="I576" s="0" t="s">
        <v>87</v>
      </c>
      <c r="J576" s="0" t="s">
        <v>2317</v>
      </c>
      <c r="K576" s="3" t="str">
        <f aca="false" t="array" ref="K576:K576">IFERROR(IF(J576&lt;&gt;"",J576,INDEX(J576:J1575,MATCH(1,(F576:F1575=F576)*(I576:I1575=I576)*(L576:L1575=L576)*(J576:J1575&lt;&gt;""),0))),"Not Found")</f>
        <v>Suspension Noise</v>
      </c>
      <c r="L576" s="3" t="s">
        <v>154</v>
      </c>
      <c r="M576" s="0" t="str">
        <f aca="false">PROPER(L576)</f>
        <v>Air Filter</v>
      </c>
      <c r="N576" s="3" t="s">
        <v>109</v>
      </c>
      <c r="O576" s="0" t="str">
        <f aca="false" t="array" ref="O576:O576">IF(N576&lt;&gt;"",N576,_xlfn.xlookup(1,(L576:L1575=L576)*(N576:N1575&lt;&gt;""),N576:N1575,"Not Found"))</f>
        <v>Tijani</v>
      </c>
      <c r="P576" s="4" t="n">
        <v>87692</v>
      </c>
      <c r="Q576" s="0" t="s">
        <v>124</v>
      </c>
      <c r="R576" s="0" t="str">
        <f aca="false">PROPER(Q576)</f>
        <v>Cash</v>
      </c>
      <c r="S576" s="0" t="s">
        <v>50</v>
      </c>
      <c r="T576" s="0" t="n">
        <v>2</v>
      </c>
      <c r="U576" s="5" t="n">
        <f aca="false">IF(ISBLANK(T576),AVERAGE(T576:T1575),T576)</f>
        <v>2</v>
      </c>
      <c r="V576" s="0" t="n">
        <v>2</v>
      </c>
      <c r="W576" s="0" t="s">
        <v>125</v>
      </c>
      <c r="X576" s="0" t="str">
        <f aca="false">IF(ISBLANK(W576),"No remarks",W576)</f>
        <v>Customer waited</v>
      </c>
      <c r="Y576" s="0" t="s">
        <v>52</v>
      </c>
      <c r="AA576" s="0" t="str">
        <f aca="false">PROPER(IF(ISBLANK(Z576),"Location Unavailable",Z576))</f>
        <v>Location Unavailable</v>
      </c>
      <c r="AB576" s="0" t="s">
        <v>147</v>
      </c>
      <c r="AC576" s="6" t="str">
        <f aca="false">PROPER(AB576)</f>
        <v>Instagram</v>
      </c>
      <c r="AD576" s="6" t="n">
        <v>45</v>
      </c>
      <c r="AE576" s="5" t="n">
        <f aca="false">IF(ISBLANK(AD576),AVERAGEIF(L576:L1575,L576,AD576:AD1575),AD576)</f>
        <v>45</v>
      </c>
      <c r="AF576" s="0" t="s">
        <v>76</v>
      </c>
      <c r="AG576" s="0" t="str">
        <f aca="false">PROPER(AF576)</f>
        <v>Orderd</v>
      </c>
      <c r="AH576" s="0" t="s">
        <v>77</v>
      </c>
      <c r="AI576" s="0" t="s">
        <v>128</v>
      </c>
      <c r="AJ576" s="0" t="str">
        <f aca="false">PROPER(AI576)</f>
        <v>Normal</v>
      </c>
      <c r="AK576" s="0" t="s">
        <v>196</v>
      </c>
      <c r="AL576" s="0" t="str">
        <f aca="false">PROPER(AK576)</f>
        <v>First Time</v>
      </c>
      <c r="AM576" s="0" t="s">
        <v>59</v>
      </c>
      <c r="AN576" s="0" t="str">
        <f aca="false">IF(ISBLANK(AM576),"Unknown",AM576)</f>
        <v>Bolt Driver</v>
      </c>
      <c r="AO576" s="0" t="s">
        <v>79</v>
      </c>
      <c r="AP576" s="0" t="str">
        <f aca="false">IF(ISBLANK(AO576),"Unknown",AO576)</f>
        <v>Specialist</v>
      </c>
      <c r="AQ576" s="0" t="n">
        <v>20000</v>
      </c>
      <c r="AR576" s="5" t="n">
        <f aca="false">IF(ISBLANK(AQ576),AVERAGEIF(M576:M1575,M576,AQ576:AQ1575),AQ576)</f>
        <v>20000</v>
      </c>
      <c r="AS576" s="0" t="n">
        <v>30000</v>
      </c>
      <c r="AT576" s="5" t="n">
        <f aca="false">IF(ISBLANK(AS576),AVERAGE(AS576:AS1575),AS576)</f>
        <v>30000</v>
      </c>
      <c r="AV576" s="0" t="str">
        <f aca="false">PROPER(IF(ISBLANK(AU576),"No",AU576))</f>
        <v>No</v>
      </c>
      <c r="AW576" s="0" t="n">
        <v>0</v>
      </c>
      <c r="AX576" s="5" t="n">
        <f aca="false">IF(ISBLANK(AW576),0,AW576)</f>
        <v>0</v>
      </c>
      <c r="AY576" s="0" t="s">
        <v>130</v>
      </c>
      <c r="AZ576" s="0" t="str">
        <f aca="false">UPPER(IF(ISBLANK(AY576),"NONE",AY576))</f>
        <v>LOYALTY10</v>
      </c>
      <c r="BA576" s="7" t="s">
        <v>1432</v>
      </c>
      <c r="BB576" s="7" t="str">
        <f aca="false">IF(ISBLANK(BA576),"No Follow Up Needed",BA576)</f>
        <v>19/08/2025</v>
      </c>
      <c r="BC576" s="0" t="s">
        <v>63</v>
      </c>
      <c r="BD576" s="0" t="str">
        <f aca="false">PROPER(IF(ISBLANK(BC576),"Unknown",BC576))</f>
        <v>Yes</v>
      </c>
      <c r="BF576" s="0" t="str">
        <f aca="false">IF(ISBLANK(BE576),"No comments",BE576)</f>
        <v>No comments</v>
      </c>
      <c r="BG576" s="0" t="s">
        <v>117</v>
      </c>
      <c r="BH576" s="0" t="str">
        <f aca="false">IF(ISBLANK(BG576),"No comments",BG576)</f>
        <v>Prefers morning</v>
      </c>
      <c r="BI576" s="0" t="s">
        <v>50</v>
      </c>
      <c r="BJ576" s="0" t="str">
        <f aca="false">IF(ISBLANK(BI576),"Not Mentioned",BI576)</f>
        <v>No</v>
      </c>
      <c r="BK576" s="0" t="s">
        <v>63</v>
      </c>
      <c r="BL576" s="0" t="str">
        <f aca="false">PROPER(IF(ISBLANK(BK576),"Not Mentioned",BK576))</f>
        <v>Yes</v>
      </c>
      <c r="BM576" s="0" t="s">
        <v>63</v>
      </c>
      <c r="BN576" s="0" t="str">
        <f aca="false">PROPER(IF(ISBLANK(BM576),"Not Mentioned",BM576))</f>
        <v>Yes</v>
      </c>
      <c r="BO576" s="0" t="s">
        <v>2321</v>
      </c>
      <c r="BP576" s="0" t="str">
        <f aca="false">IF(ISBLANK(BO576),"One-Time Plan",BO576)</f>
        <v>One-Time Plan</v>
      </c>
      <c r="BR576" s="0" t="str">
        <f aca="false">PROPER(IF(ISBLANK(BQ576),"No",BQ576))</f>
        <v>No</v>
      </c>
    </row>
    <row r="577" customFormat="false" ht="15" hidden="false" customHeight="false" outlineLevel="0" collapsed="false">
      <c r="A577" s="0" t="s">
        <v>1433</v>
      </c>
      <c r="B577" s="2" t="n">
        <v>45763</v>
      </c>
      <c r="C577" s="2" t="str">
        <f aca="false">TEXT(B577,"dd/mm/yyyy")</f>
        <v>16/04/2025</v>
      </c>
      <c r="D577" s="0" t="s">
        <v>42</v>
      </c>
      <c r="E577" s="0" t="n">
        <v>8018860555</v>
      </c>
      <c r="F577" s="0" t="s">
        <v>85</v>
      </c>
      <c r="G577" s="0" t="s">
        <v>2319</v>
      </c>
      <c r="H577" s="0" t="s">
        <v>1434</v>
      </c>
      <c r="I577" s="0" t="s">
        <v>45</v>
      </c>
      <c r="J577" s="0" t="s">
        <v>2317</v>
      </c>
      <c r="K577" s="3" t="str">
        <f aca="false" t="array" ref="K577:K577">IFERROR(IF(J577&lt;&gt;"",J577,INDEX(J577:J1576,MATCH(1,(F577:F1576=F577)*(I577:I1576=I577)*(L577:L1576=L577)*(J577:J1576&lt;&gt;""),0))),"Not Found")</f>
        <v>Suspension Noise</v>
      </c>
      <c r="L577" s="3" t="s">
        <v>154</v>
      </c>
      <c r="M577" s="0" t="str">
        <f aca="false">PROPER(L577)</f>
        <v>Air Filter</v>
      </c>
      <c r="N577" s="3" t="s">
        <v>71</v>
      </c>
      <c r="O577" s="0" t="str">
        <f aca="false" t="array" ref="O577:O577">IF(N577&lt;&gt;"",N577,_xlfn.xlookup(1,(L577:L1576=L577)*(N577:N1576&lt;&gt;""),N577:N1576,"Not Found"))</f>
        <v>Isaac Bobo</v>
      </c>
      <c r="P577" s="4" t="n">
        <v>13995</v>
      </c>
      <c r="Q577" s="0" t="s">
        <v>110</v>
      </c>
      <c r="R577" s="0" t="str">
        <f aca="false">PROPER(Q577)</f>
        <v>Cash</v>
      </c>
      <c r="S577" s="0" t="s">
        <v>50</v>
      </c>
      <c r="T577" s="0" t="n">
        <v>2</v>
      </c>
      <c r="U577" s="5" t="n">
        <f aca="false">IF(ISBLANK(T577),AVERAGE(T577:T1576),T577)</f>
        <v>2</v>
      </c>
      <c r="V577" s="0" t="n">
        <v>3.5</v>
      </c>
      <c r="X577" s="0" t="str">
        <f aca="false">IF(ISBLANK(W577),"No remarks",W577)</f>
        <v>No remarks</v>
      </c>
      <c r="Y577" s="0" t="s">
        <v>52</v>
      </c>
      <c r="Z577" s="0" t="s">
        <v>74</v>
      </c>
      <c r="AA577" s="0" t="str">
        <f aca="false">PROPER(IF(ISBLANK(Z577),"Location Unavailable",Z577))</f>
        <v>Under Tree</v>
      </c>
      <c r="AB577" s="0" t="s">
        <v>95</v>
      </c>
      <c r="AC577" s="6" t="str">
        <f aca="false">PROPER(AB577)</f>
        <v>Road Sign</v>
      </c>
      <c r="AD577" s="6" t="n">
        <v>30</v>
      </c>
      <c r="AE577" s="5" t="n">
        <f aca="false">IF(ISBLANK(AD577),AVERAGEIF(L577:L1576,L577,AD577:AD1576),AD577)</f>
        <v>30</v>
      </c>
      <c r="AF577" s="0" t="s">
        <v>76</v>
      </c>
      <c r="AG577" s="0" t="str">
        <f aca="false">PROPER(AF577)</f>
        <v>Orderd</v>
      </c>
      <c r="AH577" s="0" t="s">
        <v>56</v>
      </c>
      <c r="AI577" s="0" t="s">
        <v>113</v>
      </c>
      <c r="AJ577" s="0" t="str">
        <f aca="false">PROPER(AI577)</f>
        <v>Normal</v>
      </c>
      <c r="AK577" s="0" t="s">
        <v>114</v>
      </c>
      <c r="AL577" s="0" t="str">
        <f aca="false">PROPER(AK577)</f>
        <v>Returning</v>
      </c>
      <c r="AN577" s="0" t="str">
        <f aca="false">IF(ISBLANK(AM577),"Unknown",AM577)</f>
        <v>Unknown</v>
      </c>
      <c r="AO577" s="0" t="s">
        <v>79</v>
      </c>
      <c r="AP577" s="0" t="str">
        <f aca="false">IF(ISBLANK(AO577),"Unknown",AO577)</f>
        <v>Specialist</v>
      </c>
      <c r="AQ577" s="0" t="n">
        <v>25000</v>
      </c>
      <c r="AR577" s="5" t="n">
        <f aca="false">IF(ISBLANK(AQ577),AVERAGEIF(M577:M1576,M577,AQ577:AQ1576),AQ577)</f>
        <v>25000</v>
      </c>
      <c r="AS577" s="0" t="n">
        <v>30000</v>
      </c>
      <c r="AT577" s="5" t="n">
        <f aca="false">IF(ISBLANK(AS577),AVERAGE(AS577:AS1576),AS577)</f>
        <v>30000</v>
      </c>
      <c r="AU577" s="0" t="s">
        <v>82</v>
      </c>
      <c r="AV577" s="0" t="str">
        <f aca="false">PROPER(IF(ISBLANK(AU577),"No",AU577))</f>
        <v>Yes</v>
      </c>
      <c r="AX577" s="5" t="n">
        <f aca="false">IF(ISBLANK(AW577),0,AW577)</f>
        <v>0</v>
      </c>
      <c r="AY577" s="0" t="s">
        <v>60</v>
      </c>
      <c r="AZ577" s="0" t="str">
        <f aca="false">UPPER(IF(ISBLANK(AY577),"NONE",AY577))</f>
        <v>NONE</v>
      </c>
      <c r="BA577" s="7" t="n">
        <v>45861</v>
      </c>
      <c r="BB577" s="7" t="n">
        <f aca="false">IF(ISBLANK(BA577),"No Follow Up Needed",BA577)</f>
        <v>45861</v>
      </c>
      <c r="BC577" s="0" t="s">
        <v>50</v>
      </c>
      <c r="BD577" s="0" t="str">
        <f aca="false">PROPER(IF(ISBLANK(BC577),"Unknown",BC577))</f>
        <v>No</v>
      </c>
      <c r="BF577" s="0" t="str">
        <f aca="false">IF(ISBLANK(BE577),"No comments",BE577)</f>
        <v>No comments</v>
      </c>
      <c r="BG577" s="0" t="s">
        <v>2320</v>
      </c>
      <c r="BH577" s="0" t="str">
        <f aca="false">IF(ISBLANK(BG577),"No comments",BG577)</f>
        <v>No complaints</v>
      </c>
      <c r="BJ577" s="0" t="str">
        <f aca="false">IF(ISBLANK(BI577),"Not Mentioned",BI577)</f>
        <v>Not Mentioned</v>
      </c>
      <c r="BK577" s="0" t="s">
        <v>50</v>
      </c>
      <c r="BL577" s="0" t="str">
        <f aca="false">PROPER(IF(ISBLANK(BK577),"Not Mentioned",BK577))</f>
        <v>No</v>
      </c>
      <c r="BN577" s="0" t="str">
        <f aca="false">PROPER(IF(ISBLANK(BM577),"Not Mentioned",BM577))</f>
        <v>Not Mentioned</v>
      </c>
      <c r="BO577" s="0" t="s">
        <v>2321</v>
      </c>
      <c r="BP577" s="0" t="str">
        <f aca="false">IF(ISBLANK(BO577),"One-Time Plan",BO577)</f>
        <v>One-Time Plan</v>
      </c>
      <c r="BQ577" s="0" t="s">
        <v>50</v>
      </c>
      <c r="BR577" s="0" t="str">
        <f aca="false">PROPER(IF(ISBLANK(BQ577),"No",BQ577))</f>
        <v>No</v>
      </c>
    </row>
    <row r="578" customFormat="false" ht="15" hidden="false" customHeight="false" outlineLevel="0" collapsed="false">
      <c r="A578" s="0" t="s">
        <v>1435</v>
      </c>
      <c r="B578" s="2" t="n">
        <v>45805</v>
      </c>
      <c r="C578" s="2" t="str">
        <f aca="false">TEXT(B578,"dd/mm/yyyy")</f>
        <v>28/05/2025</v>
      </c>
      <c r="D578" s="0" t="s">
        <v>42</v>
      </c>
      <c r="E578" s="0" t="n">
        <v>8098310124</v>
      </c>
      <c r="F578" s="0" t="s">
        <v>139</v>
      </c>
      <c r="G578" s="0" t="s">
        <v>2323</v>
      </c>
      <c r="H578" s="0" t="s">
        <v>1436</v>
      </c>
      <c r="I578" s="0" t="s">
        <v>134</v>
      </c>
      <c r="J578" s="0" t="s">
        <v>2317</v>
      </c>
      <c r="K578" s="3" t="str">
        <f aca="false" t="array" ref="K578:K578">IFERROR(IF(J578&lt;&gt;"",J578,INDEX(J578:J1577,MATCH(1,(F578:F1577=F578)*(I578:I1577=I578)*(L578:L1577=L578)*(J578:J1577&lt;&gt;""),0))),"Not Found")</f>
        <v>Suspension Noise</v>
      </c>
      <c r="L578" s="3" t="s">
        <v>154</v>
      </c>
      <c r="M578" s="0" t="str">
        <f aca="false">PROPER(L578)</f>
        <v>Air Filter</v>
      </c>
      <c r="N578" s="3" t="s">
        <v>109</v>
      </c>
      <c r="O578" s="0" t="str">
        <f aca="false" t="array" ref="O578:O578">IF(N578&lt;&gt;"",N578,_xlfn.xlookup(1,(L578:L1577=L578)*(N578:N1577&lt;&gt;""),N578:N1577,"Not Found"))</f>
        <v>Tijani</v>
      </c>
      <c r="P578" s="4" t="n">
        <v>104344</v>
      </c>
      <c r="Q578" s="0" t="s">
        <v>91</v>
      </c>
      <c r="R578" s="0" t="str">
        <f aca="false">PROPER(Q578)</f>
        <v>Pos</v>
      </c>
      <c r="S578" s="0" t="s">
        <v>63</v>
      </c>
      <c r="T578" s="0" t="n">
        <v>5</v>
      </c>
      <c r="U578" s="5" t="n">
        <f aca="false">IF(ISBLANK(T578),AVERAGE(T578:T1577),T578)</f>
        <v>5</v>
      </c>
      <c r="V578" s="0" t="n">
        <v>3.6</v>
      </c>
      <c r="W578" s="0" t="s">
        <v>92</v>
      </c>
      <c r="X578" s="0" t="str">
        <f aca="false">IF(ISBLANK(W578),"No remarks",W578)</f>
        <v>Urgent service</v>
      </c>
      <c r="Y578" s="0" t="s">
        <v>73</v>
      </c>
      <c r="Z578" s="0" t="s">
        <v>159</v>
      </c>
      <c r="AA578" s="0" t="str">
        <f aca="false">PROPER(IF(ISBLANK(Z578),"Location Unavailable",Z578))</f>
        <v>Main Bay</v>
      </c>
      <c r="AB578" s="0" t="s">
        <v>95</v>
      </c>
      <c r="AC578" s="6" t="str">
        <f aca="false">PROPER(AB578)</f>
        <v>Road Sign</v>
      </c>
      <c r="AE578" s="5" t="n">
        <f aca="false">IF(ISBLANK(AD578),AVERAGEIF(L578:L1577,L578,AD578:AD1577),AD578)</f>
        <v>37.8461538461539</v>
      </c>
      <c r="AF578" s="0" t="s">
        <v>160</v>
      </c>
      <c r="AG578" s="0" t="str">
        <f aca="false">PROPER(AF578)</f>
        <v>Availaible</v>
      </c>
      <c r="AH578" s="0" t="s">
        <v>155</v>
      </c>
      <c r="AI578" s="0" t="s">
        <v>78</v>
      </c>
      <c r="AJ578" s="0" t="str">
        <f aca="false">PROPER(AI578)</f>
        <v>Booking</v>
      </c>
      <c r="AK578" s="0" t="s">
        <v>58</v>
      </c>
      <c r="AL578" s="0" t="str">
        <f aca="false">PROPER(AK578)</f>
        <v>Fleet Owner</v>
      </c>
      <c r="AM578" s="0" t="s">
        <v>2326</v>
      </c>
      <c r="AN578" s="0" t="str">
        <f aca="false">IF(ISBLANK(AM578),"Unknown",AM578)</f>
        <v>Government Convoy</v>
      </c>
      <c r="AO578" s="0" t="s">
        <v>143</v>
      </c>
      <c r="AP578" s="0" t="str">
        <f aca="false">IF(ISBLANK(AO578),"Unknown",AO578)</f>
        <v>Senior</v>
      </c>
      <c r="AR578" s="5" t="n">
        <f aca="false">IF(ISBLANK(AQ578),AVERAGEIF(M578:M1577,M578,AQ578:AQ1577),AQ578)</f>
        <v>26339.2857142857</v>
      </c>
      <c r="AS578" s="0" t="n">
        <v>40000</v>
      </c>
      <c r="AT578" s="5" t="n">
        <f aca="false">IF(ISBLANK(AS578),AVERAGE(AS578:AS1577),AS578)</f>
        <v>40000</v>
      </c>
      <c r="AU578" s="0" t="s">
        <v>82</v>
      </c>
      <c r="AV578" s="0" t="str">
        <f aca="false">PROPER(IF(ISBLANK(AU578),"No",AU578))</f>
        <v>Yes</v>
      </c>
      <c r="AW578" s="0" t="n">
        <v>5000</v>
      </c>
      <c r="AX578" s="5" t="n">
        <f aca="false">IF(ISBLANK(AW578),0,AW578)</f>
        <v>5000</v>
      </c>
      <c r="AY578" s="0" t="s">
        <v>60</v>
      </c>
      <c r="AZ578" s="0" t="str">
        <f aca="false">UPPER(IF(ISBLANK(AY578),"NONE",AY578))</f>
        <v>NONE</v>
      </c>
      <c r="BA578" s="7" t="s">
        <v>1437</v>
      </c>
      <c r="BB578" s="7" t="str">
        <f aca="false">IF(ISBLANK(BA578),"No Follow Up Needed",BA578)</f>
        <v>28/08/2025</v>
      </c>
      <c r="BC578" s="0" t="s">
        <v>50</v>
      </c>
      <c r="BD578" s="0" t="str">
        <f aca="false">PROPER(IF(ISBLANK(BC578),"Unknown",BC578))</f>
        <v>No</v>
      </c>
      <c r="BE578" s="0" t="s">
        <v>116</v>
      </c>
      <c r="BF578" s="0" t="str">
        <f aca="false">IF(ISBLANK(BE578),"No comments",BE578)</f>
        <v>Needs tire alignment</v>
      </c>
      <c r="BG578" s="0" t="s">
        <v>2320</v>
      </c>
      <c r="BH578" s="0" t="str">
        <f aca="false">IF(ISBLANK(BG578),"No comments",BG578)</f>
        <v>No complaints</v>
      </c>
      <c r="BI578" s="0" t="s">
        <v>63</v>
      </c>
      <c r="BJ578" s="0" t="str">
        <f aca="false">IF(ISBLANK(BI578),"Not Mentioned",BI578)</f>
        <v>Yes</v>
      </c>
      <c r="BK578" s="0" t="s">
        <v>82</v>
      </c>
      <c r="BL578" s="0" t="str">
        <f aca="false">PROPER(IF(ISBLANK(BK578),"Not Mentioned",BK578))</f>
        <v>Yes</v>
      </c>
      <c r="BM578" s="0" t="s">
        <v>63</v>
      </c>
      <c r="BN578" s="0" t="str">
        <f aca="false">PROPER(IF(ISBLANK(BM578),"Not Mentioned",BM578))</f>
        <v>Yes</v>
      </c>
      <c r="BO578" s="0" t="s">
        <v>2318</v>
      </c>
      <c r="BP578" s="0" t="str">
        <f aca="false">IF(ISBLANK(BO578),"One-Time Plan",BO578)</f>
        <v>Gold</v>
      </c>
      <c r="BQ578" s="0" t="s">
        <v>50</v>
      </c>
      <c r="BR578" s="0" t="str">
        <f aca="false">PROPER(IF(ISBLANK(BQ578),"No",BQ578))</f>
        <v>No</v>
      </c>
    </row>
    <row r="579" customFormat="false" ht="15" hidden="false" customHeight="false" outlineLevel="0" collapsed="false">
      <c r="A579" s="0" t="s">
        <v>1438</v>
      </c>
      <c r="B579" s="2" t="n">
        <v>45803</v>
      </c>
      <c r="C579" s="2" t="str">
        <f aca="false">TEXT(B579,"dd/mm/yyyy")</f>
        <v>26/05/2025</v>
      </c>
      <c r="D579" s="0" t="s">
        <v>66</v>
      </c>
      <c r="E579" s="0" t="n">
        <v>8047373949</v>
      </c>
      <c r="F579" s="0" t="s">
        <v>122</v>
      </c>
      <c r="G579" s="0" t="s">
        <v>2316</v>
      </c>
      <c r="H579" s="0" t="s">
        <v>1439</v>
      </c>
      <c r="I579" s="0" t="s">
        <v>45</v>
      </c>
      <c r="J579" s="0" t="s">
        <v>87</v>
      </c>
      <c r="K579" s="3" t="str">
        <f aca="false" t="array" ref="K579:K579">IFERROR(IF(J579&lt;&gt;"",J579,INDEX(J579:J1578,MATCH(1,(F579:F1578=F579)*(I579:I1578=I579)*(L579:L1578=L579)*(J579:J1578&lt;&gt;""),0))),"Not Found")</f>
        <v>Oil Change</v>
      </c>
      <c r="L579" s="3" t="s">
        <v>47</v>
      </c>
      <c r="M579" s="0" t="str">
        <f aca="false">PROPER(L579)</f>
        <v>None</v>
      </c>
      <c r="N579" s="3" t="s">
        <v>109</v>
      </c>
      <c r="O579" s="0" t="str">
        <f aca="false" t="array" ref="O579:O579">IF(N579&lt;&gt;"",N579,_xlfn.xlookup(1,(L579:L1578=L579)*(N579:N1578&lt;&gt;""),N579:N1578,"Not Found"))</f>
        <v>Tijani</v>
      </c>
      <c r="P579" s="4" t="n">
        <v>24179</v>
      </c>
      <c r="Q579" s="0" t="s">
        <v>124</v>
      </c>
      <c r="R579" s="0" t="str">
        <f aca="false">PROPER(Q579)</f>
        <v>Cash</v>
      </c>
      <c r="S579" s="0" t="s">
        <v>50</v>
      </c>
      <c r="T579" s="0" t="n">
        <v>3</v>
      </c>
      <c r="U579" s="5" t="n">
        <f aca="false">IF(ISBLANK(T579),AVERAGE(T579:T1578),T579)</f>
        <v>3</v>
      </c>
      <c r="V579" s="0" t="n">
        <v>1.3</v>
      </c>
      <c r="W579" s="0" t="s">
        <v>92</v>
      </c>
      <c r="X579" s="0" t="str">
        <f aca="false">IF(ISBLANK(W579),"No remarks",W579)</f>
        <v>Urgent service</v>
      </c>
      <c r="Y579" s="0" t="s">
        <v>73</v>
      </c>
      <c r="Z579" s="0" t="s">
        <v>159</v>
      </c>
      <c r="AA579" s="0" t="str">
        <f aca="false">PROPER(IF(ISBLANK(Z579),"Location Unavailable",Z579))</f>
        <v>Main Bay</v>
      </c>
      <c r="AB579" s="0" t="s">
        <v>167</v>
      </c>
      <c r="AC579" s="6" t="str">
        <f aca="false">PROPER(AB579)</f>
        <v>Word Of Mouth</v>
      </c>
      <c r="AD579" s="6" t="n">
        <v>45</v>
      </c>
      <c r="AE579" s="5" t="n">
        <f aca="false">IF(ISBLANK(AD579),AVERAGEIF(L579:L1578,L579,AD579:AD1578),AD579)</f>
        <v>45</v>
      </c>
      <c r="AF579" s="0" t="s">
        <v>76</v>
      </c>
      <c r="AG579" s="0" t="str">
        <f aca="false">PROPER(AF579)</f>
        <v>Orderd</v>
      </c>
      <c r="AH579" s="0" t="s">
        <v>56</v>
      </c>
      <c r="AI579" s="0" t="s">
        <v>98</v>
      </c>
      <c r="AJ579" s="0" t="str">
        <f aca="false">PROPER(AI579)</f>
        <v>Emergency</v>
      </c>
      <c r="AK579" s="0" t="s">
        <v>196</v>
      </c>
      <c r="AL579" s="0" t="str">
        <f aca="false">PROPER(AK579)</f>
        <v>First Time</v>
      </c>
      <c r="AM579" s="0" t="s">
        <v>2326</v>
      </c>
      <c r="AN579" s="0" t="str">
        <f aca="false">IF(ISBLANK(AM579),"Unknown",AM579)</f>
        <v>Government Convoy</v>
      </c>
      <c r="AO579" s="0" t="s">
        <v>149</v>
      </c>
      <c r="AP579" s="0" t="str">
        <f aca="false">IF(ISBLANK(AO579),"Unknown",AO579)</f>
        <v>Senior </v>
      </c>
      <c r="AQ579" s="0" t="n">
        <v>20000</v>
      </c>
      <c r="AR579" s="5" t="n">
        <f aca="false">IF(ISBLANK(AQ579),AVERAGEIF(M579:M1578,M579,AQ579:AQ1578),AQ579)</f>
        <v>20000</v>
      </c>
      <c r="AS579" s="0" t="n">
        <v>30000</v>
      </c>
      <c r="AT579" s="5" t="n">
        <f aca="false">IF(ISBLANK(AS579),AVERAGE(AS579:AS1578),AS579)</f>
        <v>30000</v>
      </c>
      <c r="AU579" s="0" t="s">
        <v>82</v>
      </c>
      <c r="AV579" s="0" t="str">
        <f aca="false">PROPER(IF(ISBLANK(AU579),"No",AU579))</f>
        <v>Yes</v>
      </c>
      <c r="AW579" s="0" t="n">
        <v>5000</v>
      </c>
      <c r="AX579" s="5" t="n">
        <f aca="false">IF(ISBLANK(AW579),0,AW579)</f>
        <v>5000</v>
      </c>
      <c r="AZ579" s="0" t="str">
        <f aca="false">UPPER(IF(ISBLANK(AY579),"NONE",AY579))</f>
        <v>NONE</v>
      </c>
      <c r="BB579" s="7" t="str">
        <f aca="false">IF(ISBLANK(BA579),"No Follow Up Needed",BA579)</f>
        <v>No Follow Up Needed</v>
      </c>
      <c r="BC579" s="0" t="s">
        <v>63</v>
      </c>
      <c r="BD579" s="0" t="str">
        <f aca="false">PROPER(IF(ISBLANK(BC579),"Unknown",BC579))</f>
        <v>Yes</v>
      </c>
      <c r="BF579" s="0" t="str">
        <f aca="false">IF(ISBLANK(BE579),"No comments",BE579)</f>
        <v>No comments</v>
      </c>
      <c r="BG579" s="0" t="s">
        <v>2320</v>
      </c>
      <c r="BH579" s="0" t="str">
        <f aca="false">IF(ISBLANK(BG579),"No comments",BG579)</f>
        <v>No complaints</v>
      </c>
      <c r="BI579" s="0" t="s">
        <v>63</v>
      </c>
      <c r="BJ579" s="0" t="str">
        <f aca="false">IF(ISBLANK(BI579),"Not Mentioned",BI579)</f>
        <v>Yes</v>
      </c>
      <c r="BL579" s="0" t="str">
        <f aca="false">PROPER(IF(ISBLANK(BK579),"Not Mentioned",BK579))</f>
        <v>Not Mentioned</v>
      </c>
      <c r="BN579" s="0" t="str">
        <f aca="false">PROPER(IF(ISBLANK(BM579),"Not Mentioned",BM579))</f>
        <v>Not Mentioned</v>
      </c>
      <c r="BO579" s="0" t="s">
        <v>2318</v>
      </c>
      <c r="BP579" s="0" t="str">
        <f aca="false">IF(ISBLANK(BO579),"One-Time Plan",BO579)</f>
        <v>Gold</v>
      </c>
      <c r="BQ579" s="0" t="s">
        <v>198</v>
      </c>
      <c r="BR579" s="0" t="str">
        <f aca="false">PROPER(IF(ISBLANK(BQ579),"No",BQ579))</f>
        <v>Followed Up</v>
      </c>
    </row>
    <row r="580" customFormat="false" ht="15" hidden="false" customHeight="false" outlineLevel="0" collapsed="false">
      <c r="A580" s="0" t="s">
        <v>1440</v>
      </c>
      <c r="B580" s="2" t="n">
        <v>45806</v>
      </c>
      <c r="C580" s="2" t="str">
        <f aca="false">TEXT(B580,"dd/mm/yyyy")</f>
        <v>29/05/2025</v>
      </c>
      <c r="D580" s="0" t="s">
        <v>163</v>
      </c>
      <c r="E580" s="0" t="n">
        <v>8097234140</v>
      </c>
      <c r="F580" s="0" t="s">
        <v>43</v>
      </c>
      <c r="G580" s="0" t="s">
        <v>2315</v>
      </c>
      <c r="H580" s="0" t="s">
        <v>1441</v>
      </c>
      <c r="I580" s="0" t="s">
        <v>45</v>
      </c>
      <c r="J580" s="0" t="s">
        <v>2322</v>
      </c>
      <c r="K580" s="3" t="str">
        <f aca="false" t="array" ref="K580:K580">IFERROR(IF(J580&lt;&gt;"",J580,INDEX(J580:J1579,MATCH(1,(F580:F1579=F580)*(I580:I1579=I580)*(L580:L1579=L580)*(J580:J1579&lt;&gt;""),0))),"Not Found")</f>
        <v>Brake Failure</v>
      </c>
      <c r="L580" s="3" t="s">
        <v>189</v>
      </c>
      <c r="M580" s="0" t="str">
        <f aca="false">PROPER(L580)</f>
        <v>Battery</v>
      </c>
      <c r="N580" s="3" t="s">
        <v>109</v>
      </c>
      <c r="O580" s="0" t="str">
        <f aca="false" t="array" ref="O580:O580">IF(N580&lt;&gt;"",N580,_xlfn.xlookup(1,(L580:L1579=L580)*(N580:N1579&lt;&gt;""),N580:N1579,"Not Found"))</f>
        <v>Tijani</v>
      </c>
      <c r="P580" s="4" t="n">
        <v>54920</v>
      </c>
      <c r="Q580" s="0" t="s">
        <v>166</v>
      </c>
      <c r="R580" s="0" t="str">
        <f aca="false">PROPER(Q580)</f>
        <v>Transfer</v>
      </c>
      <c r="S580" s="0" t="s">
        <v>63</v>
      </c>
      <c r="T580" s="0" t="n">
        <v>1</v>
      </c>
      <c r="U580" s="5" t="n">
        <f aca="false">IF(ISBLANK(T580),AVERAGE(T580:T1579),T580)</f>
        <v>1</v>
      </c>
      <c r="V580" s="0" t="n">
        <v>3.5</v>
      </c>
      <c r="W580" s="0" t="s">
        <v>125</v>
      </c>
      <c r="X580" s="0" t="str">
        <f aca="false">IF(ISBLANK(W580),"No remarks",W580)</f>
        <v>Customer waited</v>
      </c>
      <c r="Y580" s="0" t="s">
        <v>93</v>
      </c>
      <c r="Z580" s="0" t="s">
        <v>74</v>
      </c>
      <c r="AA580" s="0" t="str">
        <f aca="false">PROPER(IF(ISBLANK(Z580),"Location Unavailable",Z580))</f>
        <v>Under Tree</v>
      </c>
      <c r="AB580" s="0" t="s">
        <v>95</v>
      </c>
      <c r="AC580" s="6" t="str">
        <f aca="false">PROPER(AB580)</f>
        <v>Road Sign</v>
      </c>
      <c r="AD580" s="6" t="n">
        <v>15</v>
      </c>
      <c r="AE580" s="5" t="n">
        <f aca="false">IF(ISBLANK(AD580),AVERAGEIF(L580:L1579,L580,AD580:AD1579),AD580)</f>
        <v>15</v>
      </c>
      <c r="AF580" s="0" t="s">
        <v>55</v>
      </c>
      <c r="AG580" s="0" t="str">
        <f aca="false">PROPER(AF580)</f>
        <v>Available</v>
      </c>
      <c r="AH580" s="0" t="s">
        <v>56</v>
      </c>
      <c r="AI580" s="0" t="s">
        <v>78</v>
      </c>
      <c r="AJ580" s="0" t="str">
        <f aca="false">PROPER(AI580)</f>
        <v>Booking</v>
      </c>
      <c r="AK580" s="0" t="s">
        <v>114</v>
      </c>
      <c r="AL580" s="0" t="str">
        <f aca="false">PROPER(AK580)</f>
        <v>Returning</v>
      </c>
      <c r="AN580" s="0" t="str">
        <f aca="false">IF(ISBLANK(AM580),"Unknown",AM580)</f>
        <v>Unknown</v>
      </c>
      <c r="AP580" s="0" t="str">
        <f aca="false">IF(ISBLANK(AO580),"Unknown",AO580)</f>
        <v>Unknown</v>
      </c>
      <c r="AQ580" s="0" t="n">
        <v>25000</v>
      </c>
      <c r="AR580" s="5" t="n">
        <f aca="false">IF(ISBLANK(AQ580),AVERAGEIF(M580:M1579,M580,AQ580:AQ1579),AQ580)</f>
        <v>25000</v>
      </c>
      <c r="AT580" s="5" t="n">
        <f aca="false">IF(ISBLANK(AS580),AVERAGE(AS580:AS1579),AS580)</f>
        <v>31610.6442577031</v>
      </c>
      <c r="AU580" s="0" t="s">
        <v>63</v>
      </c>
      <c r="AV580" s="0" t="str">
        <f aca="false">PROPER(IF(ISBLANK(AU580),"No",AU580))</f>
        <v>Yes</v>
      </c>
      <c r="AW580" s="0" t="n">
        <v>10000</v>
      </c>
      <c r="AX580" s="5" t="n">
        <f aca="false">IF(ISBLANK(AW580),0,AW580)</f>
        <v>10000</v>
      </c>
      <c r="AY580" s="0" t="s">
        <v>80</v>
      </c>
      <c r="AZ580" s="0" t="str">
        <f aca="false">UPPER(IF(ISBLANK(AY580),"NONE",AY580))</f>
        <v>PROMO10</v>
      </c>
      <c r="BB580" s="7" t="str">
        <f aca="false">IF(ISBLANK(BA580),"No Follow Up Needed",BA580)</f>
        <v>No Follow Up Needed</v>
      </c>
      <c r="BC580" s="0" t="s">
        <v>63</v>
      </c>
      <c r="BD580" s="0" t="str">
        <f aca="false">PROPER(IF(ISBLANK(BC580),"Unknown",BC580))</f>
        <v>Yes</v>
      </c>
      <c r="BE580" s="0" t="s">
        <v>171</v>
      </c>
      <c r="BF580" s="0" t="str">
        <f aca="false">IF(ISBLANK(BE580),"No comments",BE580)</f>
        <v>Shock absorber weakening</v>
      </c>
      <c r="BG580" s="0" t="s">
        <v>117</v>
      </c>
      <c r="BH580" s="0" t="str">
        <f aca="false">IF(ISBLANK(BG580),"No comments",BG580)</f>
        <v>Prefers morning</v>
      </c>
      <c r="BI580" s="0" t="s">
        <v>50</v>
      </c>
      <c r="BJ580" s="0" t="str">
        <f aca="false">IF(ISBLANK(BI580),"Not Mentioned",BI580)</f>
        <v>No</v>
      </c>
      <c r="BL580" s="0" t="str">
        <f aca="false">PROPER(IF(ISBLANK(BK580),"Not Mentioned",BK580))</f>
        <v>Not Mentioned</v>
      </c>
      <c r="BM580" s="0" t="s">
        <v>50</v>
      </c>
      <c r="BN580" s="0" t="str">
        <f aca="false">PROPER(IF(ISBLANK(BM580),"Not Mentioned",BM580))</f>
        <v>No</v>
      </c>
      <c r="BP580" s="0" t="str">
        <f aca="false">IF(ISBLANK(BO580),"One-Time Plan",BO580)</f>
        <v>One-Time Plan</v>
      </c>
      <c r="BQ580" s="0" t="s">
        <v>50</v>
      </c>
      <c r="BR580" s="0" t="str">
        <f aca="false">PROPER(IF(ISBLANK(BQ580),"No",BQ580))</f>
        <v>No</v>
      </c>
    </row>
    <row r="581" customFormat="false" ht="15" hidden="false" customHeight="false" outlineLevel="0" collapsed="false">
      <c r="A581" s="0" t="s">
        <v>1442</v>
      </c>
      <c r="B581" s="2" t="n">
        <v>45777</v>
      </c>
      <c r="C581" s="2" t="str">
        <f aca="false">TEXT(B581,"dd/mm/yyyy")</f>
        <v>30/04/2025</v>
      </c>
      <c r="D581" s="0" t="s">
        <v>66</v>
      </c>
      <c r="E581" s="0" t="n">
        <v>8093739701</v>
      </c>
      <c r="F581" s="0" t="s">
        <v>122</v>
      </c>
      <c r="G581" s="0" t="s">
        <v>2316</v>
      </c>
      <c r="H581" s="0" t="s">
        <v>1443</v>
      </c>
      <c r="I581" s="0" t="s">
        <v>87</v>
      </c>
      <c r="J581" s="0" t="s">
        <v>2325</v>
      </c>
      <c r="K581" s="3" t="str">
        <f aca="false" t="array" ref="K581:K581">IFERROR(IF(J581&lt;&gt;"",J581,INDEX(J581:J1580,MATCH(1,(F581:F1580=F581)*(I581:I1580=I581)*(L581:L1580=L581)*(J581:J1580&lt;&gt;""),0))),"Not Found")</f>
        <v>Engine Knocking</v>
      </c>
      <c r="L581" s="3" t="s">
        <v>142</v>
      </c>
      <c r="M581" s="0" t="str">
        <f aca="false">PROPER(L581)</f>
        <v>Oil Filter, Brake Pads</v>
      </c>
      <c r="N581" s="3" t="s">
        <v>48</v>
      </c>
      <c r="O581" s="0" t="str">
        <f aca="false" t="array" ref="O581:O581">IF(N581&lt;&gt;"",N581,_xlfn.xlookup(1,(L581:L1580=L581)*(N581:N1580&lt;&gt;""),N581:N1580,"Not Found"))</f>
        <v>Uche</v>
      </c>
      <c r="P581" s="4" t="n">
        <v>102314</v>
      </c>
      <c r="Q581" s="0" t="s">
        <v>49</v>
      </c>
      <c r="R581" s="0" t="str">
        <f aca="false">PROPER(Q581)</f>
        <v>Transfer</v>
      </c>
      <c r="S581" s="0" t="s">
        <v>50</v>
      </c>
      <c r="T581" s="0" t="n">
        <v>1</v>
      </c>
      <c r="U581" s="5" t="n">
        <f aca="false">IF(ISBLANK(T581),AVERAGE(T581:T1580),T581)</f>
        <v>1</v>
      </c>
      <c r="V581" s="0" t="n">
        <v>3.7</v>
      </c>
      <c r="W581" s="0" t="s">
        <v>111</v>
      </c>
      <c r="X581" s="0" t="str">
        <f aca="false">IF(ISBLANK(W581),"No remarks",W581)</f>
        <v>Changed all filters</v>
      </c>
      <c r="Y581" s="0" t="s">
        <v>93</v>
      </c>
      <c r="Z581" s="0" t="s">
        <v>136</v>
      </c>
      <c r="AA581" s="0" t="str">
        <f aca="false">PROPER(IF(ISBLANK(Z581),"Location Unavailable",Z581))</f>
        <v>Vip Section</v>
      </c>
      <c r="AB581" s="0" t="s">
        <v>167</v>
      </c>
      <c r="AC581" s="6" t="str">
        <f aca="false">PROPER(AB581)</f>
        <v>Word Of Mouth</v>
      </c>
      <c r="AD581" s="6" t="n">
        <v>60</v>
      </c>
      <c r="AE581" s="5" t="n">
        <f aca="false">IF(ISBLANK(AD581),AVERAGEIF(L581:L1580,L581,AD581:AD1580),AD581)</f>
        <v>60</v>
      </c>
      <c r="AF581" s="0" t="s">
        <v>55</v>
      </c>
      <c r="AG581" s="0" t="str">
        <f aca="false">PROPER(AF581)</f>
        <v>Available</v>
      </c>
      <c r="AH581" s="0" t="s">
        <v>155</v>
      </c>
      <c r="AI581" s="0" t="s">
        <v>128</v>
      </c>
      <c r="AJ581" s="0" t="str">
        <f aca="false">PROPER(AI581)</f>
        <v>Normal</v>
      </c>
      <c r="AK581" s="0" t="s">
        <v>114</v>
      </c>
      <c r="AL581" s="0" t="str">
        <f aca="false">PROPER(AK581)</f>
        <v>Returning</v>
      </c>
      <c r="AM581" s="0" t="s">
        <v>2324</v>
      </c>
      <c r="AN581" s="0" t="str">
        <f aca="false">IF(ISBLANK(AM581),"Unknown",AM581)</f>
        <v>Logistics Convoy</v>
      </c>
      <c r="AO581" s="0" t="s">
        <v>149</v>
      </c>
      <c r="AP581" s="0" t="str">
        <f aca="false">IF(ISBLANK(AO581),"Unknown",AO581)</f>
        <v>Senior </v>
      </c>
      <c r="AQ581" s="0" t="n">
        <v>25000</v>
      </c>
      <c r="AR581" s="5" t="n">
        <f aca="false">IF(ISBLANK(AQ581),AVERAGEIF(M581:M1580,M581,AQ581:AQ1580),AQ581)</f>
        <v>25000</v>
      </c>
      <c r="AS581" s="0" t="n">
        <v>30000</v>
      </c>
      <c r="AT581" s="5" t="n">
        <f aca="false">IF(ISBLANK(AS581),AVERAGE(AS581:AS1580),AS581)</f>
        <v>30000</v>
      </c>
      <c r="AU581" s="0" t="s">
        <v>50</v>
      </c>
      <c r="AV581" s="0" t="str">
        <f aca="false">PROPER(IF(ISBLANK(AU581),"No",AU581))</f>
        <v>No</v>
      </c>
      <c r="AW581" s="0" t="n">
        <v>5000</v>
      </c>
      <c r="AX581" s="5" t="n">
        <f aca="false">IF(ISBLANK(AW581),0,AW581)</f>
        <v>5000</v>
      </c>
      <c r="AY581" s="0" t="s">
        <v>60</v>
      </c>
      <c r="AZ581" s="0" t="str">
        <f aca="false">UPPER(IF(ISBLANK(AY581),"NONE",AY581))</f>
        <v>NONE</v>
      </c>
      <c r="BA581" s="7" t="n">
        <v>45929</v>
      </c>
      <c r="BB581" s="7" t="n">
        <f aca="false">IF(ISBLANK(BA581),"No Follow Up Needed",BA581)</f>
        <v>45929</v>
      </c>
      <c r="BC581" s="0" t="s">
        <v>61</v>
      </c>
      <c r="BD581" s="0" t="str">
        <f aca="false">PROPER(IF(ISBLANK(BC581),"Unknown",BC581))</f>
        <v>No</v>
      </c>
      <c r="BE581" s="0" t="s">
        <v>116</v>
      </c>
      <c r="BF581" s="0" t="str">
        <f aca="false">IF(ISBLANK(BE581),"No comments",BE581)</f>
        <v>Needs tire alignment</v>
      </c>
      <c r="BH581" s="0" t="str">
        <f aca="false">IF(ISBLANK(BG581),"No comments",BG581)</f>
        <v>No comments</v>
      </c>
      <c r="BI581" s="0" t="s">
        <v>50</v>
      </c>
      <c r="BJ581" s="0" t="str">
        <f aca="false">IF(ISBLANK(BI581),"Not Mentioned",BI581)</f>
        <v>No</v>
      </c>
      <c r="BL581" s="0" t="str">
        <f aca="false">PROPER(IF(ISBLANK(BK581),"Not Mentioned",BK581))</f>
        <v>Not Mentioned</v>
      </c>
      <c r="BM581" s="0" t="s">
        <v>50</v>
      </c>
      <c r="BN581" s="0" t="str">
        <f aca="false">PROPER(IF(ISBLANK(BM581),"Not Mentioned",BM581))</f>
        <v>No</v>
      </c>
      <c r="BP581" s="0" t="str">
        <f aca="false">IF(ISBLANK(BO581),"One-Time Plan",BO581)</f>
        <v>One-Time Plan</v>
      </c>
      <c r="BR581" s="0" t="str">
        <f aca="false">PROPER(IF(ISBLANK(BQ581),"No",BQ581))</f>
        <v>No</v>
      </c>
    </row>
    <row r="582" customFormat="false" ht="15" hidden="false" customHeight="false" outlineLevel="0" collapsed="false">
      <c r="A582" s="0" t="s">
        <v>1444</v>
      </c>
      <c r="B582" s="2" t="n">
        <v>45678</v>
      </c>
      <c r="C582" s="2" t="str">
        <f aca="false">TEXT(B582,"dd/mm/yyyy")</f>
        <v>21/01/2025</v>
      </c>
      <c r="D582" s="0" t="s">
        <v>42</v>
      </c>
      <c r="E582" s="0" t="n">
        <v>8059523652</v>
      </c>
      <c r="F582" s="0" t="s">
        <v>43</v>
      </c>
      <c r="G582" s="0" t="s">
        <v>2315</v>
      </c>
      <c r="H582" s="0" t="s">
        <v>1445</v>
      </c>
      <c r="I582" s="0" t="s">
        <v>45</v>
      </c>
      <c r="J582" s="0" t="s">
        <v>2325</v>
      </c>
      <c r="K582" s="3" t="str">
        <f aca="false" t="array" ref="K582:K582">IFERROR(IF(J582&lt;&gt;"",J582,INDEX(J582:J1581,MATCH(1,(F582:F1581=F582)*(I582:I1581=I582)*(L582:L1581=L582)*(J582:J1581&lt;&gt;""),0))),"Not Found")</f>
        <v>Engine Knocking</v>
      </c>
      <c r="L582" s="3" t="s">
        <v>108</v>
      </c>
      <c r="M582" s="0" t="str">
        <f aca="false">PROPER(L582)</f>
        <v>Timing Belt</v>
      </c>
      <c r="N582" s="3" t="s">
        <v>48</v>
      </c>
      <c r="O582" s="0" t="str">
        <f aca="false" t="array" ref="O582:O582">IF(N582&lt;&gt;"",N582,_xlfn.xlookup(1,(L582:L1581=L582)*(N582:N1581&lt;&gt;""),N582:N1581,"Not Found"))</f>
        <v>Uche</v>
      </c>
      <c r="P582" s="4" t="n">
        <v>17969</v>
      </c>
      <c r="Q582" s="0" t="s">
        <v>91</v>
      </c>
      <c r="R582" s="0" t="str">
        <f aca="false">PROPER(Q582)</f>
        <v>Pos</v>
      </c>
      <c r="S582" s="0" t="s">
        <v>63</v>
      </c>
      <c r="T582" s="0" t="n">
        <v>3</v>
      </c>
      <c r="U582" s="5" t="n">
        <f aca="false">IF(ISBLANK(T582),AVERAGE(T582:T1581),T582)</f>
        <v>3</v>
      </c>
      <c r="V582" s="0" t="n">
        <v>3.2</v>
      </c>
      <c r="W582" s="0" t="s">
        <v>125</v>
      </c>
      <c r="X582" s="0" t="str">
        <f aca="false">IF(ISBLANK(W582),"No remarks",W582)</f>
        <v>Customer waited</v>
      </c>
      <c r="Y582" s="0" t="s">
        <v>73</v>
      </c>
      <c r="Z582" s="0" t="s">
        <v>159</v>
      </c>
      <c r="AA582" s="0" t="str">
        <f aca="false">PROPER(IF(ISBLANK(Z582),"Location Unavailable",Z582))</f>
        <v>Main Bay</v>
      </c>
      <c r="AB582" s="0" t="s">
        <v>54</v>
      </c>
      <c r="AC582" s="6" t="str">
        <f aca="false">PROPER(AB582)</f>
        <v>Mechanic Referral</v>
      </c>
      <c r="AD582" s="6" t="n">
        <v>30</v>
      </c>
      <c r="AE582" s="5" t="n">
        <f aca="false">IF(ISBLANK(AD582),AVERAGEIF(L582:L1581,L582,AD582:AD1581),AD582)</f>
        <v>30</v>
      </c>
      <c r="AF582" s="0" t="s">
        <v>160</v>
      </c>
      <c r="AG582" s="0" t="str">
        <f aca="false">PROPER(AF582)</f>
        <v>Availaible</v>
      </c>
      <c r="AH582" s="0" t="s">
        <v>77</v>
      </c>
      <c r="AI582" s="0" t="s">
        <v>78</v>
      </c>
      <c r="AJ582" s="0" t="str">
        <f aca="false">PROPER(AI582)</f>
        <v>Booking</v>
      </c>
      <c r="AK582" s="0" t="s">
        <v>58</v>
      </c>
      <c r="AL582" s="0" t="str">
        <f aca="false">PROPER(AK582)</f>
        <v>Fleet Owner</v>
      </c>
      <c r="AM582" s="0" t="s">
        <v>59</v>
      </c>
      <c r="AN582" s="0" t="str">
        <f aca="false">IF(ISBLANK(AM582),"Unknown",AM582)</f>
        <v>Bolt Driver</v>
      </c>
      <c r="AO582" s="0" t="s">
        <v>79</v>
      </c>
      <c r="AP582" s="0" t="str">
        <f aca="false">IF(ISBLANK(AO582),"Unknown",AO582)</f>
        <v>Specialist</v>
      </c>
      <c r="AQ582" s="0" t="n">
        <v>25000</v>
      </c>
      <c r="AR582" s="5" t="n">
        <f aca="false">IF(ISBLANK(AQ582),AVERAGEIF(M582:M1581,M582,AQ582:AQ1581),AQ582)</f>
        <v>25000</v>
      </c>
      <c r="AS582" s="0" t="n">
        <v>30000</v>
      </c>
      <c r="AT582" s="5" t="n">
        <f aca="false">IF(ISBLANK(AS582),AVERAGE(AS582:AS1581),AS582)</f>
        <v>30000</v>
      </c>
      <c r="AV582" s="0" t="str">
        <f aca="false">PROPER(IF(ISBLANK(AU582),"No",AU582))</f>
        <v>No</v>
      </c>
      <c r="AW582" s="0" t="n">
        <v>5000</v>
      </c>
      <c r="AX582" s="5" t="n">
        <f aca="false">IF(ISBLANK(AW582),0,AW582)</f>
        <v>5000</v>
      </c>
      <c r="AY582" s="0" t="s">
        <v>184</v>
      </c>
      <c r="AZ582" s="0" t="str">
        <f aca="false">UPPER(IF(ISBLANK(AY582),"NONE",AY582))</f>
        <v>N/A</v>
      </c>
      <c r="BA582" s="7" t="n">
        <v>45852</v>
      </c>
      <c r="BB582" s="7" t="n">
        <f aca="false">IF(ISBLANK(BA582),"No Follow Up Needed",BA582)</f>
        <v>45852</v>
      </c>
      <c r="BC582" s="0" t="s">
        <v>50</v>
      </c>
      <c r="BD582" s="0" t="str">
        <f aca="false">PROPER(IF(ISBLANK(BC582),"Unknown",BC582))</f>
        <v>No</v>
      </c>
      <c r="BE582" s="0" t="s">
        <v>171</v>
      </c>
      <c r="BF582" s="0" t="str">
        <f aca="false">IF(ISBLANK(BE582),"No comments",BE582)</f>
        <v>Shock absorber weakening</v>
      </c>
      <c r="BH582" s="0" t="str">
        <f aca="false">IF(ISBLANK(BG582),"No comments",BG582)</f>
        <v>No comments</v>
      </c>
      <c r="BI582" s="0" t="s">
        <v>63</v>
      </c>
      <c r="BJ582" s="0" t="str">
        <f aca="false">IF(ISBLANK(BI582),"Not Mentioned",BI582)</f>
        <v>Yes</v>
      </c>
      <c r="BL582" s="0" t="str">
        <f aca="false">PROPER(IF(ISBLANK(BK582),"Not Mentioned",BK582))</f>
        <v>Not Mentioned</v>
      </c>
      <c r="BM582" s="0" t="s">
        <v>63</v>
      </c>
      <c r="BN582" s="0" t="str">
        <f aca="false">PROPER(IF(ISBLANK(BM582),"Not Mentioned",BM582))</f>
        <v>Yes</v>
      </c>
      <c r="BO582" s="0" t="s">
        <v>2321</v>
      </c>
      <c r="BP582" s="0" t="str">
        <f aca="false">IF(ISBLANK(BO582),"One-Time Plan",BO582)</f>
        <v>One-Time Plan</v>
      </c>
      <c r="BQ582" s="0" t="s">
        <v>190</v>
      </c>
      <c r="BR582" s="0" t="str">
        <f aca="false">PROPER(IF(ISBLANK(BQ582),"No",BQ582))</f>
        <v>Yes</v>
      </c>
    </row>
    <row r="583" customFormat="false" ht="15" hidden="false" customHeight="false" outlineLevel="0" collapsed="false">
      <c r="A583" s="0" t="s">
        <v>1446</v>
      </c>
      <c r="B583" s="2" t="n">
        <v>45819</v>
      </c>
      <c r="C583" s="2" t="str">
        <f aca="false">TEXT(B583,"dd/mm/yyyy")</f>
        <v>11/06/2025</v>
      </c>
      <c r="D583" s="0" t="s">
        <v>163</v>
      </c>
      <c r="E583" s="0" t="n">
        <v>8015897385</v>
      </c>
      <c r="F583" s="0" t="s">
        <v>43</v>
      </c>
      <c r="G583" s="0" t="s">
        <v>2315</v>
      </c>
      <c r="H583" s="0" t="s">
        <v>1447</v>
      </c>
      <c r="I583" s="0" t="s">
        <v>107</v>
      </c>
      <c r="J583" s="0" t="s">
        <v>87</v>
      </c>
      <c r="K583" s="3" t="str">
        <f aca="false" t="array" ref="K583:K583">IFERROR(IF(J583&lt;&gt;"",J583,INDEX(J583:J1582,MATCH(1,(F583:F1582=F583)*(I583:I1582=I583)*(L583:L1582=L583)*(J583:J1582&lt;&gt;""),0))),"Not Found")</f>
        <v>Oil Change</v>
      </c>
      <c r="L583" s="3" t="s">
        <v>189</v>
      </c>
      <c r="M583" s="0" t="str">
        <f aca="false">PROPER(L583)</f>
        <v>Battery</v>
      </c>
      <c r="N583" s="3" t="s">
        <v>109</v>
      </c>
      <c r="O583" s="0" t="str">
        <f aca="false" t="array" ref="O583:O583">IF(N583&lt;&gt;"",N583,_xlfn.xlookup(1,(L583:L1582=L583)*(N583:N1582&lt;&gt;""),N583:N1582,"Not Found"))</f>
        <v>Tijani</v>
      </c>
      <c r="P583" s="4" t="n">
        <v>70746</v>
      </c>
      <c r="Q583" s="0" t="s">
        <v>124</v>
      </c>
      <c r="R583" s="0" t="str">
        <f aca="false">PROPER(Q583)</f>
        <v>Cash</v>
      </c>
      <c r="S583" s="0" t="s">
        <v>50</v>
      </c>
      <c r="T583" s="0" t="n">
        <v>4</v>
      </c>
      <c r="U583" s="5" t="n">
        <f aca="false">IF(ISBLANK(T583),AVERAGE(T583:T1582),T583)</f>
        <v>4</v>
      </c>
      <c r="V583" s="0" t="n">
        <v>4.7</v>
      </c>
      <c r="W583" s="0" t="s">
        <v>51</v>
      </c>
      <c r="X583" s="0" t="str">
        <f aca="false">IF(ISBLANK(W583),"No remarks",W583)</f>
        <v>Recommended further checks</v>
      </c>
      <c r="Y583" s="0" t="s">
        <v>73</v>
      </c>
      <c r="Z583" s="0" t="s">
        <v>74</v>
      </c>
      <c r="AA583" s="0" t="str">
        <f aca="false">PROPER(IF(ISBLANK(Z583),"Location Unavailable",Z583))</f>
        <v>Under Tree</v>
      </c>
      <c r="AB583" s="0" t="s">
        <v>95</v>
      </c>
      <c r="AC583" s="6" t="str">
        <f aca="false">PROPER(AB583)</f>
        <v>Road Sign</v>
      </c>
      <c r="AE583" s="5" t="n">
        <f aca="false">IF(ISBLANK(AD583),AVERAGEIF(L583:L1582,L583,AD583:AD1582),AD583)</f>
        <v>39.6875</v>
      </c>
      <c r="AF583" s="0" t="s">
        <v>160</v>
      </c>
      <c r="AG583" s="0" t="str">
        <f aca="false">PROPER(AF583)</f>
        <v>Availaible</v>
      </c>
      <c r="AH583" s="0" t="s">
        <v>148</v>
      </c>
      <c r="AI583" s="0" t="s">
        <v>128</v>
      </c>
      <c r="AJ583" s="0" t="str">
        <f aca="false">PROPER(AI583)</f>
        <v>Normal</v>
      </c>
      <c r="AK583" s="0" t="s">
        <v>196</v>
      </c>
      <c r="AL583" s="0" t="str">
        <f aca="false">PROPER(AK583)</f>
        <v>First Time</v>
      </c>
      <c r="AM583" s="0" t="s">
        <v>2324</v>
      </c>
      <c r="AN583" s="0" t="str">
        <f aca="false">IF(ISBLANK(AM583),"Unknown",AM583)</f>
        <v>Logistics Convoy</v>
      </c>
      <c r="AO583" s="0" t="s">
        <v>143</v>
      </c>
      <c r="AP583" s="0" t="str">
        <f aca="false">IF(ISBLANK(AO583),"Unknown",AO583)</f>
        <v>Senior</v>
      </c>
      <c r="AQ583" s="0" t="n">
        <v>25000</v>
      </c>
      <c r="AR583" s="5" t="n">
        <f aca="false">IF(ISBLANK(AQ583),AVERAGEIF(M583:M1582,M583,AQ583:AQ1582),AQ583)</f>
        <v>25000</v>
      </c>
      <c r="AS583" s="0" t="n">
        <v>30000</v>
      </c>
      <c r="AT583" s="5" t="n">
        <f aca="false">IF(ISBLANK(AS583),AVERAGE(AS583:AS1582),AS583)</f>
        <v>30000</v>
      </c>
      <c r="AU583" s="0" t="s">
        <v>82</v>
      </c>
      <c r="AV583" s="0" t="str">
        <f aca="false">PROPER(IF(ISBLANK(AU583),"No",AU583))</f>
        <v>Yes</v>
      </c>
      <c r="AW583" s="0" t="n">
        <v>10000</v>
      </c>
      <c r="AX583" s="5" t="n">
        <f aca="false">IF(ISBLANK(AW583),0,AW583)</f>
        <v>10000</v>
      </c>
      <c r="AZ583" s="0" t="str">
        <f aca="false">UPPER(IF(ISBLANK(AY583),"NONE",AY583))</f>
        <v>NONE</v>
      </c>
      <c r="BA583" s="7" t="n">
        <v>45971</v>
      </c>
      <c r="BB583" s="7" t="n">
        <f aca="false">IF(ISBLANK(BA583),"No Follow Up Needed",BA583)</f>
        <v>45971</v>
      </c>
      <c r="BC583" s="0" t="s">
        <v>63</v>
      </c>
      <c r="BD583" s="0" t="str">
        <f aca="false">PROPER(IF(ISBLANK(BC583),"Unknown",BC583))</f>
        <v>Yes</v>
      </c>
      <c r="BE583" s="0" t="s">
        <v>171</v>
      </c>
      <c r="BF583" s="0" t="str">
        <f aca="false">IF(ISBLANK(BE583),"No comments",BE583)</f>
        <v>Shock absorber weakening</v>
      </c>
      <c r="BH583" s="0" t="str">
        <f aca="false">IF(ISBLANK(BG583),"No comments",BG583)</f>
        <v>No comments</v>
      </c>
      <c r="BI583" s="0" t="s">
        <v>50</v>
      </c>
      <c r="BJ583" s="0" t="str">
        <f aca="false">IF(ISBLANK(BI583),"Not Mentioned",BI583)</f>
        <v>No</v>
      </c>
      <c r="BK583" s="0" t="s">
        <v>63</v>
      </c>
      <c r="BL583" s="0" t="str">
        <f aca="false">PROPER(IF(ISBLANK(BK583),"Not Mentioned",BK583))</f>
        <v>Yes</v>
      </c>
      <c r="BM583" s="0" t="s">
        <v>50</v>
      </c>
      <c r="BN583" s="0" t="str">
        <f aca="false">PROPER(IF(ISBLANK(BM583),"Not Mentioned",BM583))</f>
        <v>No</v>
      </c>
      <c r="BO583" s="0" t="s">
        <v>2321</v>
      </c>
      <c r="BP583" s="0" t="str">
        <f aca="false">IF(ISBLANK(BO583),"One-Time Plan",BO583)</f>
        <v>One-Time Plan</v>
      </c>
      <c r="BR583" s="0" t="str">
        <f aca="false">PROPER(IF(ISBLANK(BQ583),"No",BQ583))</f>
        <v>No</v>
      </c>
    </row>
    <row r="584" customFormat="false" ht="15" hidden="false" customHeight="false" outlineLevel="0" collapsed="false">
      <c r="A584" s="0" t="s">
        <v>1448</v>
      </c>
      <c r="B584" s="2" t="n">
        <v>45796</v>
      </c>
      <c r="C584" s="2" t="str">
        <f aca="false">TEXT(B584,"dd/mm/yyyy")</f>
        <v>19/05/2025</v>
      </c>
      <c r="D584" s="0" t="s">
        <v>105</v>
      </c>
      <c r="E584" s="0" t="n">
        <v>8019037049</v>
      </c>
      <c r="F584" s="0" t="s">
        <v>43</v>
      </c>
      <c r="G584" s="0" t="s">
        <v>2315</v>
      </c>
      <c r="H584" s="0" t="s">
        <v>1449</v>
      </c>
      <c r="I584" s="0" t="s">
        <v>134</v>
      </c>
      <c r="J584" s="0" t="s">
        <v>2322</v>
      </c>
      <c r="K584" s="3" t="str">
        <f aca="false" t="array" ref="K584:K584">IFERROR(IF(J584&lt;&gt;"",J584,INDEX(J584:J1583,MATCH(1,(F584:F1583=F584)*(I584:I1583=I584)*(L584:L1583=L584)*(J584:J1583&lt;&gt;""),0))),"Not Found")</f>
        <v>Brake Failure</v>
      </c>
      <c r="L584" s="3" t="s">
        <v>154</v>
      </c>
      <c r="M584" s="0" t="str">
        <f aca="false">PROPER(L584)</f>
        <v>Air Filter</v>
      </c>
      <c r="N584" s="3" t="s">
        <v>71</v>
      </c>
      <c r="O584" s="0" t="str">
        <f aca="false" t="array" ref="O584:O584">IF(N584&lt;&gt;"",N584,_xlfn.xlookup(1,(L584:L1583=L584)*(N584:N1583&lt;&gt;""),N584:N1583,"Not Found"))</f>
        <v>Isaac Bobo</v>
      </c>
      <c r="P584" s="4" t="n">
        <v>21067</v>
      </c>
      <c r="Q584" s="0" t="s">
        <v>49</v>
      </c>
      <c r="R584" s="0" t="str">
        <f aca="false">PROPER(Q584)</f>
        <v>Transfer</v>
      </c>
      <c r="S584" s="0" t="s">
        <v>50</v>
      </c>
      <c r="T584" s="0" t="n">
        <v>2</v>
      </c>
      <c r="U584" s="5" t="n">
        <f aca="false">IF(ISBLANK(T584),AVERAGE(T584:T1583),T584)</f>
        <v>2</v>
      </c>
      <c r="V584" s="0" t="n">
        <v>5.8</v>
      </c>
      <c r="W584" s="0" t="s">
        <v>125</v>
      </c>
      <c r="X584" s="0" t="str">
        <f aca="false">IF(ISBLANK(W584),"No remarks",W584)</f>
        <v>Customer waited</v>
      </c>
      <c r="Y584" s="0" t="s">
        <v>52</v>
      </c>
      <c r="Z584" s="0" t="s">
        <v>136</v>
      </c>
      <c r="AA584" s="0" t="str">
        <f aca="false">PROPER(IF(ISBLANK(Z584),"Location Unavailable",Z584))</f>
        <v>Vip Section</v>
      </c>
      <c r="AB584" s="0" t="s">
        <v>126</v>
      </c>
      <c r="AC584" s="6" t="str">
        <f aca="false">PROPER(AB584)</f>
        <v>Whatsapp</v>
      </c>
      <c r="AE584" s="5" t="n">
        <f aca="false">IF(ISBLANK(AD584),AVERAGEIF(L584:L1583,L584,AD584:AD1583),AD584)</f>
        <v>37.8461538461539</v>
      </c>
      <c r="AF584" s="0" t="s">
        <v>76</v>
      </c>
      <c r="AG584" s="0" t="str">
        <f aca="false">PROPER(AF584)</f>
        <v>Orderd</v>
      </c>
      <c r="AH584" s="0" t="s">
        <v>148</v>
      </c>
      <c r="AI584" s="0" t="s">
        <v>128</v>
      </c>
      <c r="AJ584" s="0" t="str">
        <f aca="false">PROPER(AI584)</f>
        <v>Normal</v>
      </c>
      <c r="AK584" s="0" t="s">
        <v>114</v>
      </c>
      <c r="AL584" s="0" t="str">
        <f aca="false">PROPER(AK584)</f>
        <v>Returning</v>
      </c>
      <c r="AN584" s="0" t="str">
        <f aca="false">IF(ISBLANK(AM584),"Unknown",AM584)</f>
        <v>Unknown</v>
      </c>
      <c r="AP584" s="0" t="str">
        <f aca="false">IF(ISBLANK(AO584),"Unknown",AO584)</f>
        <v>Unknown</v>
      </c>
      <c r="AQ584" s="0" t="n">
        <v>40000</v>
      </c>
      <c r="AR584" s="5" t="n">
        <f aca="false">IF(ISBLANK(AQ584),AVERAGEIF(M584:M1583,M584,AQ584:AQ1583),AQ584)</f>
        <v>40000</v>
      </c>
      <c r="AT584" s="5" t="n">
        <f aca="false">IF(ISBLANK(AS584),AVERAGE(AS584:AS1583),AS584)</f>
        <v>31624.2937853107</v>
      </c>
      <c r="AU584" s="0" t="s">
        <v>61</v>
      </c>
      <c r="AV584" s="0" t="str">
        <f aca="false">PROPER(IF(ISBLANK(AU584),"No",AU584))</f>
        <v>No</v>
      </c>
      <c r="AW584" s="0" t="n">
        <v>5000</v>
      </c>
      <c r="AX584" s="5" t="n">
        <f aca="false">IF(ISBLANK(AW584),0,AW584)</f>
        <v>5000</v>
      </c>
      <c r="AY584" s="0" t="s">
        <v>60</v>
      </c>
      <c r="AZ584" s="0" t="str">
        <f aca="false">UPPER(IF(ISBLANK(AY584),"NONE",AY584))</f>
        <v>NONE</v>
      </c>
      <c r="BA584" s="7" t="n">
        <v>46022</v>
      </c>
      <c r="BB584" s="7" t="n">
        <f aca="false">IF(ISBLANK(BA584),"No Follow Up Needed",BA584)</f>
        <v>46022</v>
      </c>
      <c r="BD584" s="0" t="str">
        <f aca="false">PROPER(IF(ISBLANK(BC584),"Unknown",BC584))</f>
        <v>Unknown</v>
      </c>
      <c r="BF584" s="0" t="str">
        <f aca="false">IF(ISBLANK(BE584),"No comments",BE584)</f>
        <v>No comments</v>
      </c>
      <c r="BG584" s="0" t="s">
        <v>172</v>
      </c>
      <c r="BH584" s="0" t="str">
        <f aca="false">IF(ISBLANK(BG584),"No comments",BG584)</f>
        <v>Always late</v>
      </c>
      <c r="BI584" s="0" t="s">
        <v>63</v>
      </c>
      <c r="BJ584" s="0" t="str">
        <f aca="false">IF(ISBLANK(BI584),"Not Mentioned",BI584)</f>
        <v>Yes</v>
      </c>
      <c r="BK584" s="0" t="s">
        <v>63</v>
      </c>
      <c r="BL584" s="0" t="str">
        <f aca="false">PROPER(IF(ISBLANK(BK584),"Not Mentioned",BK584))</f>
        <v>Yes</v>
      </c>
      <c r="BM584" s="0" t="s">
        <v>63</v>
      </c>
      <c r="BN584" s="0" t="str">
        <f aca="false">PROPER(IF(ISBLANK(BM584),"Not Mentioned",BM584))</f>
        <v>Yes</v>
      </c>
      <c r="BO584" s="0" t="s">
        <v>2321</v>
      </c>
      <c r="BP584" s="0" t="str">
        <f aca="false">IF(ISBLANK(BO584),"One-Time Plan",BO584)</f>
        <v>One-Time Plan</v>
      </c>
      <c r="BQ584" s="0" t="s">
        <v>50</v>
      </c>
      <c r="BR584" s="0" t="str">
        <f aca="false">PROPER(IF(ISBLANK(BQ584),"No",BQ584))</f>
        <v>No</v>
      </c>
    </row>
    <row r="585" customFormat="false" ht="15" hidden="false" customHeight="false" outlineLevel="0" collapsed="false">
      <c r="A585" s="0" t="s">
        <v>1450</v>
      </c>
      <c r="B585" s="2" t="n">
        <v>45814</v>
      </c>
      <c r="C585" s="2" t="str">
        <f aca="false">TEXT(B585,"dd/mm/yyyy")</f>
        <v>06/06/2025</v>
      </c>
      <c r="D585" s="0" t="s">
        <v>42</v>
      </c>
      <c r="E585" s="0" t="n">
        <v>8039334741</v>
      </c>
      <c r="F585" s="0" t="s">
        <v>43</v>
      </c>
      <c r="G585" s="0" t="s">
        <v>2315</v>
      </c>
      <c r="H585" s="0" t="s">
        <v>1451</v>
      </c>
      <c r="I585" s="0" t="s">
        <v>87</v>
      </c>
      <c r="K585" s="3" t="str">
        <f aca="false" t="array" ref="K585:K585">IFERROR(IF(J585&lt;&gt;"",J585,INDEX(J585:J1584,MATCH(1,(F585:F1584=F585)*(I585:I1584=I585)*(L585:L1584=L585)*(J585:J1584&lt;&gt;""),0))),"Not Found")</f>
        <v>Not Found</v>
      </c>
      <c r="L585" s="3" t="s">
        <v>89</v>
      </c>
      <c r="M585" s="0" t="str">
        <f aca="false">PROPER(L585)</f>
        <v>Shock Absorbers</v>
      </c>
      <c r="N585" s="3" t="s">
        <v>90</v>
      </c>
      <c r="O585" s="0" t="str">
        <f aca="false" t="array" ref="O585:O585">IF(N585&lt;&gt;"",N585,_xlfn.xlookup(1,(L585:L1584=L585)*(N585:N1584&lt;&gt;""),N585:N1584,"Not Found"))</f>
        <v>Musa</v>
      </c>
      <c r="P585" s="4" t="n">
        <v>35622</v>
      </c>
      <c r="Q585" s="0" t="s">
        <v>110</v>
      </c>
      <c r="R585" s="0" t="str">
        <f aca="false">PROPER(Q585)</f>
        <v>Cash</v>
      </c>
      <c r="S585" s="0" t="s">
        <v>50</v>
      </c>
      <c r="T585" s="0" t="n">
        <v>1</v>
      </c>
      <c r="U585" s="5" t="n">
        <f aca="false">IF(ISBLANK(T585),AVERAGE(T585:T1584),T585)</f>
        <v>1</v>
      </c>
      <c r="V585" s="0" t="n">
        <v>2.1</v>
      </c>
      <c r="W585" s="0" t="s">
        <v>92</v>
      </c>
      <c r="X585" s="0" t="str">
        <f aca="false">IF(ISBLANK(W585),"No remarks",W585)</f>
        <v>Urgent service</v>
      </c>
      <c r="Y585" s="0" t="s">
        <v>73</v>
      </c>
      <c r="Z585" s="0" t="s">
        <v>94</v>
      </c>
      <c r="AA585" s="0" t="str">
        <f aca="false">PROPER(IF(ISBLANK(Z585),"Location Unavailable",Z585))</f>
        <v>Vip Section</v>
      </c>
      <c r="AB585" s="0" t="s">
        <v>126</v>
      </c>
      <c r="AC585" s="6" t="str">
        <f aca="false">PROPER(AB585)</f>
        <v>Whatsapp</v>
      </c>
      <c r="AD585" s="6" t="n">
        <v>60</v>
      </c>
      <c r="AE585" s="5" t="n">
        <f aca="false">IF(ISBLANK(AD585),AVERAGEIF(L585:L1584,L585,AD585:AD1584),AD585)</f>
        <v>60</v>
      </c>
      <c r="AF585" s="0" t="s">
        <v>76</v>
      </c>
      <c r="AG585" s="0" t="str">
        <f aca="false">PROPER(AF585)</f>
        <v>Orderd</v>
      </c>
      <c r="AH585" s="0" t="s">
        <v>155</v>
      </c>
      <c r="AI585" s="0" t="s">
        <v>128</v>
      </c>
      <c r="AJ585" s="0" t="str">
        <f aca="false">PROPER(AI585)</f>
        <v>Normal</v>
      </c>
      <c r="AK585" s="0" t="s">
        <v>196</v>
      </c>
      <c r="AL585" s="0" t="str">
        <f aca="false">PROPER(AK585)</f>
        <v>First Time</v>
      </c>
      <c r="AM585" s="0" t="s">
        <v>2324</v>
      </c>
      <c r="AN585" s="0" t="str">
        <f aca="false">IF(ISBLANK(AM585),"Unknown",AM585)</f>
        <v>Logistics Convoy</v>
      </c>
      <c r="AO585" s="0" t="s">
        <v>149</v>
      </c>
      <c r="AP585" s="0" t="str">
        <f aca="false">IF(ISBLANK(AO585),"Unknown",AO585)</f>
        <v>Senior </v>
      </c>
      <c r="AQ585" s="0" t="n">
        <v>40000</v>
      </c>
      <c r="AR585" s="5" t="n">
        <f aca="false">IF(ISBLANK(AQ585),AVERAGEIF(M585:M1584,M585,AQ585:AQ1584),AQ585)</f>
        <v>40000</v>
      </c>
      <c r="AS585" s="0" t="n">
        <v>40000</v>
      </c>
      <c r="AT585" s="5" t="n">
        <f aca="false">IF(ISBLANK(AS585),AVERAGE(AS585:AS1584),AS585)</f>
        <v>40000</v>
      </c>
      <c r="AU585" s="0" t="s">
        <v>50</v>
      </c>
      <c r="AV585" s="0" t="str">
        <f aca="false">PROPER(IF(ISBLANK(AU585),"No",AU585))</f>
        <v>No</v>
      </c>
      <c r="AX585" s="5" t="n">
        <f aca="false">IF(ISBLANK(AW585),0,AW585)</f>
        <v>0</v>
      </c>
      <c r="AY585" s="0" t="s">
        <v>80</v>
      </c>
      <c r="AZ585" s="0" t="str">
        <f aca="false">UPPER(IF(ISBLANK(AY585),"NONE",AY585))</f>
        <v>PROMO10</v>
      </c>
      <c r="BA585" s="7" t="s">
        <v>447</v>
      </c>
      <c r="BB585" s="7" t="str">
        <f aca="false">IF(ISBLANK(BA585),"No Follow Up Needed",BA585)</f>
        <v>25/07/2025</v>
      </c>
      <c r="BC585" s="0" t="s">
        <v>82</v>
      </c>
      <c r="BD585" s="0" t="str">
        <f aca="false">PROPER(IF(ISBLANK(BC585),"Unknown",BC585))</f>
        <v>Yes</v>
      </c>
      <c r="BE585" s="0" t="s">
        <v>171</v>
      </c>
      <c r="BF585" s="0" t="str">
        <f aca="false">IF(ISBLANK(BE585),"No comments",BE585)</f>
        <v>Shock absorber weakening</v>
      </c>
      <c r="BG585" s="0" t="s">
        <v>172</v>
      </c>
      <c r="BH585" s="0" t="str">
        <f aca="false">IF(ISBLANK(BG585),"No comments",BG585)</f>
        <v>Always late</v>
      </c>
      <c r="BI585" s="0" t="s">
        <v>63</v>
      </c>
      <c r="BJ585" s="0" t="str">
        <f aca="false">IF(ISBLANK(BI585),"Not Mentioned",BI585)</f>
        <v>Yes</v>
      </c>
      <c r="BL585" s="0" t="str">
        <f aca="false">PROPER(IF(ISBLANK(BK585),"Not Mentioned",BK585))</f>
        <v>Not Mentioned</v>
      </c>
      <c r="BN585" s="0" t="str">
        <f aca="false">PROPER(IF(ISBLANK(BM585),"Not Mentioned",BM585))</f>
        <v>Not Mentioned</v>
      </c>
      <c r="BP585" s="0" t="str">
        <f aca="false">IF(ISBLANK(BO585),"One-Time Plan",BO585)</f>
        <v>One-Time Plan</v>
      </c>
      <c r="BQ585" s="0" t="s">
        <v>50</v>
      </c>
      <c r="BR585" s="0" t="str">
        <f aca="false">PROPER(IF(ISBLANK(BQ585),"No",BQ585))</f>
        <v>No</v>
      </c>
    </row>
    <row r="586" customFormat="false" ht="15" hidden="false" customHeight="false" outlineLevel="0" collapsed="false">
      <c r="A586" s="0" t="s">
        <v>1452</v>
      </c>
      <c r="B586" s="2" t="n">
        <v>45717</v>
      </c>
      <c r="C586" s="2" t="str">
        <f aca="false">TEXT(B586,"dd/mm/yyyy")</f>
        <v>01/03/2025</v>
      </c>
      <c r="D586" s="0" t="s">
        <v>66</v>
      </c>
      <c r="E586" s="0" t="n">
        <v>8065176483</v>
      </c>
      <c r="F586" s="0" t="s">
        <v>139</v>
      </c>
      <c r="G586" s="0" t="s">
        <v>2323</v>
      </c>
      <c r="H586" s="0" t="s">
        <v>1453</v>
      </c>
      <c r="I586" s="0" t="s">
        <v>134</v>
      </c>
      <c r="J586" s="0" t="s">
        <v>2322</v>
      </c>
      <c r="K586" s="3" t="str">
        <f aca="false" t="array" ref="K586:K586">IFERROR(IF(J586&lt;&gt;"",J586,INDEX(J586:J1585,MATCH(1,(F586:F1585=F586)*(I586:I1585=I586)*(L586:L1585=L586)*(J586:J1585&lt;&gt;""),0))),"Not Found")</f>
        <v>Brake Failure</v>
      </c>
      <c r="L586" s="3" t="s">
        <v>154</v>
      </c>
      <c r="M586" s="0" t="str">
        <f aca="false">PROPER(L586)</f>
        <v>Air Filter</v>
      </c>
      <c r="N586" s="3" t="s">
        <v>48</v>
      </c>
      <c r="O586" s="0" t="str">
        <f aca="false" t="array" ref="O586:O586">IF(N586&lt;&gt;"",N586,_xlfn.xlookup(1,(L586:L1585=L586)*(N586:N1585&lt;&gt;""),N586:N1585,"Not Found"))</f>
        <v>Uche</v>
      </c>
      <c r="P586" s="4" t="n">
        <v>76632</v>
      </c>
      <c r="Q586" s="0" t="s">
        <v>110</v>
      </c>
      <c r="R586" s="0" t="str">
        <f aca="false">PROPER(Q586)</f>
        <v>Cash</v>
      </c>
      <c r="S586" s="0" t="s">
        <v>50</v>
      </c>
      <c r="T586" s="0" t="n">
        <v>2</v>
      </c>
      <c r="U586" s="5" t="n">
        <f aca="false">IF(ISBLANK(T586),AVERAGE(T586:T1585),T586)</f>
        <v>2</v>
      </c>
      <c r="V586" s="0" t="n">
        <v>2.2</v>
      </c>
      <c r="W586" s="0" t="s">
        <v>92</v>
      </c>
      <c r="X586" s="0" t="str">
        <f aca="false">IF(ISBLANK(W586),"No remarks",W586)</f>
        <v>Urgent service</v>
      </c>
      <c r="Y586" s="0" t="s">
        <v>93</v>
      </c>
      <c r="Z586" s="0" t="s">
        <v>159</v>
      </c>
      <c r="AA586" s="0" t="str">
        <f aca="false">PROPER(IF(ISBLANK(Z586),"Location Unavailable",Z586))</f>
        <v>Main Bay</v>
      </c>
      <c r="AB586" s="0" t="s">
        <v>95</v>
      </c>
      <c r="AC586" s="6" t="str">
        <f aca="false">PROPER(AB586)</f>
        <v>Road Sign</v>
      </c>
      <c r="AD586" s="6" t="n">
        <v>45</v>
      </c>
      <c r="AE586" s="5" t="n">
        <f aca="false">IF(ISBLANK(AD586),AVERAGEIF(L586:L1585,L586,AD586:AD1585),AD586)</f>
        <v>45</v>
      </c>
      <c r="AF586" s="0" t="s">
        <v>76</v>
      </c>
      <c r="AG586" s="0" t="str">
        <f aca="false">PROPER(AF586)</f>
        <v>Orderd</v>
      </c>
      <c r="AH586" s="0" t="s">
        <v>77</v>
      </c>
      <c r="AI586" s="0" t="s">
        <v>98</v>
      </c>
      <c r="AJ586" s="0" t="str">
        <f aca="false">PROPER(AI586)</f>
        <v>Emergency</v>
      </c>
      <c r="AK586" s="0" t="s">
        <v>196</v>
      </c>
      <c r="AL586" s="0" t="str">
        <f aca="false">PROPER(AK586)</f>
        <v>First Time</v>
      </c>
      <c r="AN586" s="0" t="str">
        <f aca="false">IF(ISBLANK(AM586),"Unknown",AM586)</f>
        <v>Unknown</v>
      </c>
      <c r="AP586" s="0" t="str">
        <f aca="false">IF(ISBLANK(AO586),"Unknown",AO586)</f>
        <v>Unknown</v>
      </c>
      <c r="AQ586" s="0" t="n">
        <v>20000</v>
      </c>
      <c r="AR586" s="5" t="n">
        <f aca="false">IF(ISBLANK(AQ586),AVERAGEIF(M586:M1585,M586,AQ586:AQ1585),AQ586)</f>
        <v>20000</v>
      </c>
      <c r="AS586" s="0" t="n">
        <v>40000</v>
      </c>
      <c r="AT586" s="5" t="n">
        <f aca="false">IF(ISBLANK(AS586),AVERAGE(AS586:AS1585),AS586)</f>
        <v>40000</v>
      </c>
      <c r="AV586" s="0" t="str">
        <f aca="false">PROPER(IF(ISBLANK(AU586),"No",AU586))</f>
        <v>No</v>
      </c>
      <c r="AX586" s="5" t="n">
        <f aca="false">IF(ISBLANK(AW586),0,AW586)</f>
        <v>0</v>
      </c>
      <c r="AZ586" s="0" t="str">
        <f aca="false">UPPER(IF(ISBLANK(AY586),"NONE",AY586))</f>
        <v>NONE</v>
      </c>
      <c r="BA586" s="7" t="n">
        <v>45941</v>
      </c>
      <c r="BB586" s="7" t="n">
        <f aca="false">IF(ISBLANK(BA586),"No Follow Up Needed",BA586)</f>
        <v>45941</v>
      </c>
      <c r="BC586" s="0" t="s">
        <v>50</v>
      </c>
      <c r="BD586" s="0" t="str">
        <f aca="false">PROPER(IF(ISBLANK(BC586),"Unknown",BC586))</f>
        <v>No</v>
      </c>
      <c r="BF586" s="0" t="str">
        <f aca="false">IF(ISBLANK(BE586),"No comments",BE586)</f>
        <v>No comments</v>
      </c>
      <c r="BG586" s="0" t="s">
        <v>172</v>
      </c>
      <c r="BH586" s="0" t="str">
        <f aca="false">IF(ISBLANK(BG586),"No comments",BG586)</f>
        <v>Always late</v>
      </c>
      <c r="BI586" s="0" t="s">
        <v>63</v>
      </c>
      <c r="BJ586" s="0" t="str">
        <f aca="false">IF(ISBLANK(BI586),"Not Mentioned",BI586)</f>
        <v>Yes</v>
      </c>
      <c r="BK586" s="0" t="s">
        <v>82</v>
      </c>
      <c r="BL586" s="0" t="str">
        <f aca="false">PROPER(IF(ISBLANK(BK586),"Not Mentioned",BK586))</f>
        <v>Yes</v>
      </c>
      <c r="BN586" s="0" t="str">
        <f aca="false">PROPER(IF(ISBLANK(BM586),"Not Mentioned",BM586))</f>
        <v>Not Mentioned</v>
      </c>
      <c r="BO586" s="0" t="s">
        <v>2321</v>
      </c>
      <c r="BP586" s="0" t="str">
        <f aca="false">IF(ISBLANK(BO586),"One-Time Plan",BO586)</f>
        <v>One-Time Plan</v>
      </c>
      <c r="BQ586" s="0" t="s">
        <v>63</v>
      </c>
      <c r="BR586" s="0" t="str">
        <f aca="false">PROPER(IF(ISBLANK(BQ586),"No",BQ586))</f>
        <v>Yes</v>
      </c>
    </row>
    <row r="587" customFormat="false" ht="15" hidden="false" customHeight="false" outlineLevel="0" collapsed="false">
      <c r="A587" s="0" t="s">
        <v>1454</v>
      </c>
      <c r="B587" s="2" t="n">
        <v>45804</v>
      </c>
      <c r="C587" s="2" t="str">
        <f aca="false">TEXT(B587,"dd/mm/yyyy")</f>
        <v>27/05/2025</v>
      </c>
      <c r="D587" s="0" t="s">
        <v>66</v>
      </c>
      <c r="E587" s="0" t="n">
        <v>8050471241</v>
      </c>
      <c r="F587" s="0" t="s">
        <v>67</v>
      </c>
      <c r="G587" s="0" t="s">
        <v>2316</v>
      </c>
      <c r="H587" s="0" t="s">
        <v>1455</v>
      </c>
      <c r="I587" s="0" t="s">
        <v>134</v>
      </c>
      <c r="J587" s="0" t="s">
        <v>87</v>
      </c>
      <c r="K587" s="3" t="str">
        <f aca="false" t="array" ref="K587:K587">IFERROR(IF(J587&lt;&gt;"",J587,INDEX(J587:J1586,MATCH(1,(F587:F1586=F587)*(I587:I1586=I587)*(L587:L1586=L587)*(J587:J1586&lt;&gt;""),0))),"Not Found")</f>
        <v>Oil Change</v>
      </c>
      <c r="L587" s="3" t="s">
        <v>142</v>
      </c>
      <c r="M587" s="0" t="str">
        <f aca="false">PROPER(L587)</f>
        <v>Oil Filter, Brake Pads</v>
      </c>
      <c r="N587" s="3" t="s">
        <v>71</v>
      </c>
      <c r="O587" s="0" t="str">
        <f aca="false" t="array" ref="O587:O587">IF(N587&lt;&gt;"",N587,_xlfn.xlookup(1,(L587:L1586=L587)*(N587:N1586&lt;&gt;""),N587:N1586,"Not Found"))</f>
        <v>Isaac Bobo</v>
      </c>
      <c r="P587" s="4" t="n">
        <v>15564</v>
      </c>
      <c r="Q587" s="0" t="s">
        <v>166</v>
      </c>
      <c r="R587" s="0" t="str">
        <f aca="false">PROPER(Q587)</f>
        <v>Transfer</v>
      </c>
      <c r="S587" s="0" t="s">
        <v>50</v>
      </c>
      <c r="T587" s="0" t="n">
        <v>5</v>
      </c>
      <c r="U587" s="5" t="n">
        <f aca="false">IF(ISBLANK(T587),AVERAGE(T587:T1586),T587)</f>
        <v>5</v>
      </c>
      <c r="V587" s="0" t="n">
        <v>3</v>
      </c>
      <c r="W587" s="0" t="s">
        <v>111</v>
      </c>
      <c r="X587" s="0" t="str">
        <f aca="false">IF(ISBLANK(W587),"No remarks",W587)</f>
        <v>Changed all filters</v>
      </c>
      <c r="Y587" s="0" t="s">
        <v>52</v>
      </c>
      <c r="Z587" s="0" t="s">
        <v>94</v>
      </c>
      <c r="AA587" s="0" t="str">
        <f aca="false">PROPER(IF(ISBLANK(Z587),"Location Unavailable",Z587))</f>
        <v>Vip Section</v>
      </c>
      <c r="AB587" s="0" t="s">
        <v>147</v>
      </c>
      <c r="AC587" s="6" t="str">
        <f aca="false">PROPER(AB587)</f>
        <v>Instagram</v>
      </c>
      <c r="AE587" s="5" t="n">
        <f aca="false">IF(ISBLANK(AD587),AVERAGEIF(L587:L1586,L587,AD587:AD1586),AD587)</f>
        <v>38.9473684210526</v>
      </c>
      <c r="AF587" s="0" t="s">
        <v>112</v>
      </c>
      <c r="AG587" s="0" t="str">
        <f aca="false">PROPER(AF587)</f>
        <v>Unavailable</v>
      </c>
      <c r="AH587" s="0" t="s">
        <v>56</v>
      </c>
      <c r="AI587" s="0" t="s">
        <v>98</v>
      </c>
      <c r="AJ587" s="0" t="str">
        <f aca="false">PROPER(AI587)</f>
        <v>Emergency</v>
      </c>
      <c r="AK587" s="0" t="s">
        <v>196</v>
      </c>
      <c r="AL587" s="0" t="str">
        <f aca="false">PROPER(AK587)</f>
        <v>First Time</v>
      </c>
      <c r="AN587" s="0" t="str">
        <f aca="false">IF(ISBLANK(AM587),"Unknown",AM587)</f>
        <v>Unknown</v>
      </c>
      <c r="AO587" s="0" t="s">
        <v>161</v>
      </c>
      <c r="AP587" s="0" t="str">
        <f aca="false">IF(ISBLANK(AO587),"Unknown",AO587)</f>
        <v>Apprentice</v>
      </c>
      <c r="AQ587" s="0" t="n">
        <v>30000</v>
      </c>
      <c r="AR587" s="5" t="n">
        <f aca="false">IF(ISBLANK(AQ587),AVERAGEIF(M587:M1586,M587,AQ587:AQ1586),AQ587)</f>
        <v>30000</v>
      </c>
      <c r="AS587" s="0" t="n">
        <v>35000</v>
      </c>
      <c r="AT587" s="5" t="n">
        <f aca="false">IF(ISBLANK(AS587),AVERAGE(AS587:AS1586),AS587)</f>
        <v>35000</v>
      </c>
      <c r="AU587" s="0" t="s">
        <v>50</v>
      </c>
      <c r="AV587" s="0" t="str">
        <f aca="false">PROPER(IF(ISBLANK(AU587),"No",AU587))</f>
        <v>No</v>
      </c>
      <c r="AW587" s="0" t="n">
        <v>5000</v>
      </c>
      <c r="AX587" s="5" t="n">
        <f aca="false">IF(ISBLANK(AW587),0,AW587)</f>
        <v>5000</v>
      </c>
      <c r="AY587" s="0" t="s">
        <v>80</v>
      </c>
      <c r="AZ587" s="0" t="str">
        <f aca="false">UPPER(IF(ISBLANK(AY587),"NONE",AY587))</f>
        <v>PROMO10</v>
      </c>
      <c r="BB587" s="7" t="str">
        <f aca="false">IF(ISBLANK(BA587),"No Follow Up Needed",BA587)</f>
        <v>No Follow Up Needed</v>
      </c>
      <c r="BC587" s="0" t="s">
        <v>63</v>
      </c>
      <c r="BD587" s="0" t="str">
        <f aca="false">PROPER(IF(ISBLANK(BC587),"Unknown",BC587))</f>
        <v>Yes</v>
      </c>
      <c r="BF587" s="0" t="str">
        <f aca="false">IF(ISBLANK(BE587),"No comments",BE587)</f>
        <v>No comments</v>
      </c>
      <c r="BG587" s="0" t="s">
        <v>117</v>
      </c>
      <c r="BH587" s="0" t="str">
        <f aca="false">IF(ISBLANK(BG587),"No comments",BG587)</f>
        <v>Prefers morning</v>
      </c>
      <c r="BI587" s="0" t="s">
        <v>50</v>
      </c>
      <c r="BJ587" s="0" t="str">
        <f aca="false">IF(ISBLANK(BI587),"Not Mentioned",BI587)</f>
        <v>No</v>
      </c>
      <c r="BK587" s="0" t="s">
        <v>82</v>
      </c>
      <c r="BL587" s="0" t="str">
        <f aca="false">PROPER(IF(ISBLANK(BK587),"Not Mentioned",BK587))</f>
        <v>Yes</v>
      </c>
      <c r="BM587" s="0" t="s">
        <v>50</v>
      </c>
      <c r="BN587" s="0" t="str">
        <f aca="false">PROPER(IF(ISBLANK(BM587),"Not Mentioned",BM587))</f>
        <v>No</v>
      </c>
      <c r="BO587" s="0" t="s">
        <v>2318</v>
      </c>
      <c r="BP587" s="0" t="str">
        <f aca="false">IF(ISBLANK(BO587),"One-Time Plan",BO587)</f>
        <v>Gold</v>
      </c>
      <c r="BQ587" s="0" t="s">
        <v>50</v>
      </c>
      <c r="BR587" s="0" t="str">
        <f aca="false">PROPER(IF(ISBLANK(BQ587),"No",BQ587))</f>
        <v>No</v>
      </c>
    </row>
    <row r="588" customFormat="false" ht="15" hidden="false" customHeight="false" outlineLevel="0" collapsed="false">
      <c r="A588" s="0" t="s">
        <v>1456</v>
      </c>
      <c r="B588" s="2" t="s">
        <v>788</v>
      </c>
      <c r="C588" s="2" t="str">
        <f aca="false">TEXT(B588,"dd/mm/yyyy")</f>
        <v>18/04/2025</v>
      </c>
      <c r="D588" s="0" t="s">
        <v>66</v>
      </c>
      <c r="E588" s="0" t="n">
        <v>8090378849</v>
      </c>
      <c r="F588" s="0" t="s">
        <v>43</v>
      </c>
      <c r="G588" s="0" t="s">
        <v>2315</v>
      </c>
      <c r="H588" s="0" t="s">
        <v>1457</v>
      </c>
      <c r="I588" s="0" t="s">
        <v>87</v>
      </c>
      <c r="J588" s="0" t="s">
        <v>2325</v>
      </c>
      <c r="K588" s="3" t="str">
        <f aca="false" t="array" ref="K588:K588">IFERROR(IF(J588&lt;&gt;"",J588,INDEX(J588:J1587,MATCH(1,(F588:F1587=F588)*(I588:I1587=I588)*(L588:L1587=L588)*(J588:J1587&lt;&gt;""),0))),"Not Found")</f>
        <v>Engine Knocking</v>
      </c>
      <c r="L588" s="3" t="s">
        <v>142</v>
      </c>
      <c r="M588" s="0" t="str">
        <f aca="false">PROPER(L588)</f>
        <v>Oil Filter, Brake Pads</v>
      </c>
      <c r="N588" s="3" t="s">
        <v>48</v>
      </c>
      <c r="O588" s="0" t="str">
        <f aca="false" t="array" ref="O588:O588">IF(N588&lt;&gt;"",N588,_xlfn.xlookup(1,(L588:L1587=L588)*(N588:N1587&lt;&gt;""),N588:N1587,"Not Found"))</f>
        <v>Uche</v>
      </c>
      <c r="P588" s="4" t="n">
        <v>63554</v>
      </c>
      <c r="Q588" s="0" t="s">
        <v>72</v>
      </c>
      <c r="R588" s="0" t="str">
        <f aca="false">PROPER(Q588)</f>
        <v>Pos</v>
      </c>
      <c r="S588" s="0" t="s">
        <v>50</v>
      </c>
      <c r="T588" s="0" t="n">
        <v>3</v>
      </c>
      <c r="U588" s="5" t="n">
        <f aca="false">IF(ISBLANK(T588),AVERAGE(T588:T1587),T588)</f>
        <v>3</v>
      </c>
      <c r="V588" s="0" t="n">
        <v>4.8</v>
      </c>
      <c r="W588" s="0" t="s">
        <v>92</v>
      </c>
      <c r="X588" s="0" t="str">
        <f aca="false">IF(ISBLANK(W588),"No remarks",W588)</f>
        <v>Urgent service</v>
      </c>
      <c r="Y588" s="0" t="s">
        <v>52</v>
      </c>
      <c r="Z588" s="0" t="s">
        <v>74</v>
      </c>
      <c r="AA588" s="0" t="str">
        <f aca="false">PROPER(IF(ISBLANK(Z588),"Location Unavailable",Z588))</f>
        <v>Under Tree</v>
      </c>
      <c r="AB588" s="0" t="s">
        <v>147</v>
      </c>
      <c r="AC588" s="6" t="str">
        <f aca="false">PROPER(AB588)</f>
        <v>Instagram</v>
      </c>
      <c r="AE588" s="5" t="n">
        <f aca="false">IF(ISBLANK(AD588),AVERAGEIF(L588:L1587,L588,AD588:AD1587),AD588)</f>
        <v>38.9473684210526</v>
      </c>
      <c r="AF588" s="0" t="s">
        <v>160</v>
      </c>
      <c r="AG588" s="0" t="str">
        <f aca="false">PROPER(AF588)</f>
        <v>Availaible</v>
      </c>
      <c r="AH588" s="0" t="s">
        <v>148</v>
      </c>
      <c r="AI588" s="0" t="s">
        <v>98</v>
      </c>
      <c r="AJ588" s="0" t="str">
        <f aca="false">PROPER(AI588)</f>
        <v>Emergency</v>
      </c>
      <c r="AK588" s="0" t="s">
        <v>58</v>
      </c>
      <c r="AL588" s="0" t="str">
        <f aca="false">PROPER(AK588)</f>
        <v>Fleet Owner</v>
      </c>
      <c r="AM588" s="0" t="s">
        <v>59</v>
      </c>
      <c r="AN588" s="0" t="str">
        <f aca="false">IF(ISBLANK(AM588),"Unknown",AM588)</f>
        <v>Bolt Driver</v>
      </c>
      <c r="AP588" s="0" t="str">
        <f aca="false">IF(ISBLANK(AO588),"Unknown",AO588)</f>
        <v>Unknown</v>
      </c>
      <c r="AQ588" s="0" t="n">
        <v>30000</v>
      </c>
      <c r="AR588" s="5" t="n">
        <f aca="false">IF(ISBLANK(AQ588),AVERAGEIF(M588:M1587,M588,AQ588:AQ1587),AQ588)</f>
        <v>30000</v>
      </c>
      <c r="AS588" s="0" t="n">
        <v>30000</v>
      </c>
      <c r="AT588" s="5" t="n">
        <f aca="false">IF(ISBLANK(AS588),AVERAGE(AS588:AS1587),AS588)</f>
        <v>30000</v>
      </c>
      <c r="AV588" s="0" t="str">
        <f aca="false">PROPER(IF(ISBLANK(AU588),"No",AU588))</f>
        <v>No</v>
      </c>
      <c r="AW588" s="0" t="n">
        <v>5000</v>
      </c>
      <c r="AX588" s="5" t="n">
        <f aca="false">IF(ISBLANK(AW588),0,AW588)</f>
        <v>5000</v>
      </c>
      <c r="AZ588" s="0" t="str">
        <f aca="false">UPPER(IF(ISBLANK(AY588),"NONE",AY588))</f>
        <v>NONE</v>
      </c>
      <c r="BA588" s="7" t="n">
        <v>45898</v>
      </c>
      <c r="BB588" s="7" t="n">
        <f aca="false">IF(ISBLANK(BA588),"No Follow Up Needed",BA588)</f>
        <v>45898</v>
      </c>
      <c r="BC588" s="0" t="s">
        <v>63</v>
      </c>
      <c r="BD588" s="0" t="str">
        <f aca="false">PROPER(IF(ISBLANK(BC588),"Unknown",BC588))</f>
        <v>Yes</v>
      </c>
      <c r="BE588" s="0" t="s">
        <v>171</v>
      </c>
      <c r="BF588" s="0" t="str">
        <f aca="false">IF(ISBLANK(BE588),"No comments",BE588)</f>
        <v>Shock absorber weakening</v>
      </c>
      <c r="BG588" s="0" t="s">
        <v>2320</v>
      </c>
      <c r="BH588" s="0" t="str">
        <f aca="false">IF(ISBLANK(BG588),"No comments",BG588)</f>
        <v>No complaints</v>
      </c>
      <c r="BJ588" s="0" t="str">
        <f aca="false">IF(ISBLANK(BI588),"Not Mentioned",BI588)</f>
        <v>Not Mentioned</v>
      </c>
      <c r="BL588" s="0" t="str">
        <f aca="false">PROPER(IF(ISBLANK(BK588),"Not Mentioned",BK588))</f>
        <v>Not Mentioned</v>
      </c>
      <c r="BN588" s="0" t="str">
        <f aca="false">PROPER(IF(ISBLANK(BM588),"Not Mentioned",BM588))</f>
        <v>Not Mentioned</v>
      </c>
      <c r="BO588" s="0" t="s">
        <v>2321</v>
      </c>
      <c r="BP588" s="0" t="str">
        <f aca="false">IF(ISBLANK(BO588),"One-Time Plan",BO588)</f>
        <v>One-Time Plan</v>
      </c>
      <c r="BQ588" s="0" t="s">
        <v>50</v>
      </c>
      <c r="BR588" s="0" t="str">
        <f aca="false">PROPER(IF(ISBLANK(BQ588),"No",BQ588))</f>
        <v>No</v>
      </c>
    </row>
    <row r="589" customFormat="false" ht="15" hidden="false" customHeight="false" outlineLevel="0" collapsed="false">
      <c r="A589" s="0" t="s">
        <v>1458</v>
      </c>
      <c r="B589" s="2" t="n">
        <v>45667</v>
      </c>
      <c r="C589" s="2" t="str">
        <f aca="false">TEXT(B589,"dd/mm/yyyy")</f>
        <v>10/01/2025</v>
      </c>
      <c r="D589" s="0" t="s">
        <v>66</v>
      </c>
      <c r="E589" s="0" t="n">
        <v>8077051958</v>
      </c>
      <c r="F589" s="0" t="s">
        <v>122</v>
      </c>
      <c r="G589" s="0" t="s">
        <v>2316</v>
      </c>
      <c r="H589" s="0" t="s">
        <v>1459</v>
      </c>
      <c r="I589" s="0" t="s">
        <v>45</v>
      </c>
      <c r="J589" s="0" t="s">
        <v>2325</v>
      </c>
      <c r="K589" s="3" t="str">
        <f aca="false" t="array" ref="K589:K589">IFERROR(IF(J589&lt;&gt;"",J589,INDEX(J589:J1588,MATCH(1,(F589:F1588=F589)*(I589:I1588=I589)*(L589:L1588=L589)*(J589:J1588&lt;&gt;""),0))),"Not Found")</f>
        <v>Engine Knocking</v>
      </c>
      <c r="L589" s="3" t="s">
        <v>108</v>
      </c>
      <c r="M589" s="0" t="str">
        <f aca="false">PROPER(L589)</f>
        <v>Timing Belt</v>
      </c>
      <c r="O589" s="0" t="e">
        <f aca="false" t="array" ref="O589:O589">IF(N589&lt;&gt;"",N589,_xlfn.xlookup(1,(L589:L1588=L589)*(N589:N1588&lt;&gt;""),N589:N1588,"Not Found"))</f>
        <v>#NAME?</v>
      </c>
      <c r="P589" s="4" t="n">
        <v>69370</v>
      </c>
      <c r="Q589" s="0" t="s">
        <v>72</v>
      </c>
      <c r="R589" s="0" t="str">
        <f aca="false">PROPER(Q589)</f>
        <v>Pos</v>
      </c>
      <c r="S589" s="0" t="s">
        <v>63</v>
      </c>
      <c r="T589" s="0" t="n">
        <v>3</v>
      </c>
      <c r="U589" s="5" t="n">
        <f aca="false">IF(ISBLANK(T589),AVERAGE(T589:T1588),T589)</f>
        <v>3</v>
      </c>
      <c r="V589" s="0" t="n">
        <v>3.2</v>
      </c>
      <c r="X589" s="0" t="str">
        <f aca="false">IF(ISBLANK(W589),"No remarks",W589)</f>
        <v>No remarks</v>
      </c>
      <c r="Y589" s="0" t="s">
        <v>93</v>
      </c>
      <c r="Z589" s="0" t="s">
        <v>136</v>
      </c>
      <c r="AA589" s="0" t="str">
        <f aca="false">PROPER(IF(ISBLANK(Z589),"Location Unavailable",Z589))</f>
        <v>Vip Section</v>
      </c>
      <c r="AB589" s="0" t="s">
        <v>126</v>
      </c>
      <c r="AC589" s="6" t="str">
        <f aca="false">PROPER(AB589)</f>
        <v>Whatsapp</v>
      </c>
      <c r="AD589" s="6" t="n">
        <v>45</v>
      </c>
      <c r="AE589" s="5" t="n">
        <f aca="false">IF(ISBLANK(AD589),AVERAGEIF(L589:L1588,L589,AD589:AD1588),AD589)</f>
        <v>45</v>
      </c>
      <c r="AF589" s="0" t="s">
        <v>160</v>
      </c>
      <c r="AG589" s="0" t="str">
        <f aca="false">PROPER(AF589)</f>
        <v>Availaible</v>
      </c>
      <c r="AH589" s="0" t="s">
        <v>56</v>
      </c>
      <c r="AI589" s="0" t="s">
        <v>98</v>
      </c>
      <c r="AJ589" s="0" t="str">
        <f aca="false">PROPER(AI589)</f>
        <v>Emergency</v>
      </c>
      <c r="AK589" s="0" t="s">
        <v>114</v>
      </c>
      <c r="AL589" s="0" t="str">
        <f aca="false">PROPER(AK589)</f>
        <v>Returning</v>
      </c>
      <c r="AM589" s="0" t="s">
        <v>59</v>
      </c>
      <c r="AN589" s="0" t="str">
        <f aca="false">IF(ISBLANK(AM589),"Unknown",AM589)</f>
        <v>Bolt Driver</v>
      </c>
      <c r="AO589" s="0" t="s">
        <v>79</v>
      </c>
      <c r="AP589" s="0" t="str">
        <f aca="false">IF(ISBLANK(AO589),"Unknown",AO589)</f>
        <v>Specialist</v>
      </c>
      <c r="AQ589" s="0" t="n">
        <v>15000</v>
      </c>
      <c r="AR589" s="5" t="n">
        <f aca="false">IF(ISBLANK(AQ589),AVERAGEIF(M589:M1588,M589,AQ589:AQ1588),AQ589)</f>
        <v>15000</v>
      </c>
      <c r="AS589" s="0" t="n">
        <v>30000</v>
      </c>
      <c r="AT589" s="5" t="n">
        <f aca="false">IF(ISBLANK(AS589),AVERAGE(AS589:AS1588),AS589)</f>
        <v>30000</v>
      </c>
      <c r="AU589" s="0" t="s">
        <v>61</v>
      </c>
      <c r="AV589" s="0" t="str">
        <f aca="false">PROPER(IF(ISBLANK(AU589),"No",AU589))</f>
        <v>No</v>
      </c>
      <c r="AW589" s="0" t="n">
        <v>10000</v>
      </c>
      <c r="AX589" s="5" t="n">
        <f aca="false">IF(ISBLANK(AW589),0,AW589)</f>
        <v>10000</v>
      </c>
      <c r="AY589" s="0" t="s">
        <v>130</v>
      </c>
      <c r="AZ589" s="0" t="str">
        <f aca="false">UPPER(IF(ISBLANK(AY589),"NONE",AY589))</f>
        <v>LOYALTY10</v>
      </c>
      <c r="BA589" s="7" t="n">
        <v>45941</v>
      </c>
      <c r="BB589" s="7" t="n">
        <f aca="false">IF(ISBLANK(BA589),"No Follow Up Needed",BA589)</f>
        <v>45941</v>
      </c>
      <c r="BC589" s="0" t="s">
        <v>50</v>
      </c>
      <c r="BD589" s="0" t="str">
        <f aca="false">PROPER(IF(ISBLANK(BC589),"Unknown",BC589))</f>
        <v>No</v>
      </c>
      <c r="BF589" s="0" t="str">
        <f aca="false">IF(ISBLANK(BE589),"No comments",BE589)</f>
        <v>No comments</v>
      </c>
      <c r="BG589" s="0" t="s">
        <v>117</v>
      </c>
      <c r="BH589" s="0" t="str">
        <f aca="false">IF(ISBLANK(BG589),"No comments",BG589)</f>
        <v>Prefers morning</v>
      </c>
      <c r="BI589" s="0" t="s">
        <v>63</v>
      </c>
      <c r="BJ589" s="0" t="str">
        <f aca="false">IF(ISBLANK(BI589),"Not Mentioned",BI589)</f>
        <v>Yes</v>
      </c>
      <c r="BK589" s="0" t="s">
        <v>61</v>
      </c>
      <c r="BL589" s="0" t="str">
        <f aca="false">PROPER(IF(ISBLANK(BK589),"Not Mentioned",BK589))</f>
        <v>No</v>
      </c>
      <c r="BN589" s="0" t="str">
        <f aca="false">PROPER(IF(ISBLANK(BM589),"Not Mentioned",BM589))</f>
        <v>Not Mentioned</v>
      </c>
      <c r="BO589" s="0" t="s">
        <v>2318</v>
      </c>
      <c r="BP589" s="0" t="str">
        <f aca="false">IF(ISBLANK(BO589),"One-Time Plan",BO589)</f>
        <v>Gold</v>
      </c>
      <c r="BR589" s="0" t="str">
        <f aca="false">PROPER(IF(ISBLANK(BQ589),"No",BQ589))</f>
        <v>No</v>
      </c>
    </row>
    <row r="590" customFormat="false" ht="15" hidden="false" customHeight="false" outlineLevel="0" collapsed="false">
      <c r="A590" s="0" t="s">
        <v>1461</v>
      </c>
      <c r="B590" s="2" t="s">
        <v>1460</v>
      </c>
      <c r="C590" s="2" t="str">
        <f aca="false">TEXT(B590,"dd/mm/yyyy")</f>
        <v>19/03/2025</v>
      </c>
      <c r="D590" s="0" t="s">
        <v>66</v>
      </c>
      <c r="E590" s="0" t="n">
        <v>8023665188</v>
      </c>
      <c r="F590" s="0" t="s">
        <v>67</v>
      </c>
      <c r="G590" s="0" t="s">
        <v>2316</v>
      </c>
      <c r="H590" s="0" t="s">
        <v>1462</v>
      </c>
      <c r="I590" s="0" t="s">
        <v>45</v>
      </c>
      <c r="J590" s="0" t="s">
        <v>2317</v>
      </c>
      <c r="K590" s="3" t="str">
        <f aca="false" t="array" ref="K590:K590">IFERROR(IF(J590&lt;&gt;"",J590,INDEX(J590:J1589,MATCH(1,(F590:F1589=F590)*(I590:I1589=I590)*(L590:L1589=L590)*(J590:J1589&lt;&gt;""),0))),"Not Found")</f>
        <v>Suspension Noise</v>
      </c>
      <c r="L590" s="3" t="s">
        <v>108</v>
      </c>
      <c r="M590" s="0" t="str">
        <f aca="false">PROPER(L590)</f>
        <v>Timing Belt</v>
      </c>
      <c r="N590" s="3" t="s">
        <v>90</v>
      </c>
      <c r="O590" s="0" t="str">
        <f aca="false" t="array" ref="O590:O590">IF(N590&lt;&gt;"",N590,_xlfn.xlookup(1,(L590:L1589=L590)*(N590:N1589&lt;&gt;""),N590:N1589,"Not Found"))</f>
        <v>Musa</v>
      </c>
      <c r="P590" s="4" t="n">
        <v>23325</v>
      </c>
      <c r="Q590" s="0" t="s">
        <v>166</v>
      </c>
      <c r="R590" s="0" t="str">
        <f aca="false">PROPER(Q590)</f>
        <v>Transfer</v>
      </c>
      <c r="S590" s="0" t="s">
        <v>63</v>
      </c>
      <c r="U590" s="5" t="n">
        <f aca="false">IF(ISBLANK(T590),AVERAGE(T590:T1589),T590)</f>
        <v>3.10714285714286</v>
      </c>
      <c r="V590" s="0" t="n">
        <v>5.1</v>
      </c>
      <c r="X590" s="0" t="str">
        <f aca="false">IF(ISBLANK(W590),"No remarks",W590)</f>
        <v>No remarks</v>
      </c>
      <c r="Y590" s="0" t="s">
        <v>73</v>
      </c>
      <c r="Z590" s="0" t="s">
        <v>53</v>
      </c>
      <c r="AA590" s="0" t="str">
        <f aca="false">PROPER(IF(ISBLANK(Z590),"Location Unavailable",Z590))</f>
        <v>Main Bay</v>
      </c>
      <c r="AB590" s="0" t="s">
        <v>167</v>
      </c>
      <c r="AC590" s="6" t="str">
        <f aca="false">PROPER(AB590)</f>
        <v>Word Of Mouth</v>
      </c>
      <c r="AE590" s="5" t="n">
        <f aca="false">IF(ISBLANK(AD590),AVERAGEIF(L590:L1589,L590,AD590:AD1589),AD590)</f>
        <v>39.0476190476191</v>
      </c>
      <c r="AF590" s="0" t="s">
        <v>96</v>
      </c>
      <c r="AG590" s="0" t="str">
        <f aca="false">PROPER(AF590)</f>
        <v>Ordered</v>
      </c>
      <c r="AH590" s="0" t="s">
        <v>155</v>
      </c>
      <c r="AI590" s="0" t="s">
        <v>98</v>
      </c>
      <c r="AJ590" s="0" t="str">
        <f aca="false">PROPER(AI590)</f>
        <v>Emergency</v>
      </c>
      <c r="AK590" s="0" t="s">
        <v>196</v>
      </c>
      <c r="AL590" s="0" t="str">
        <f aca="false">PROPER(AK590)</f>
        <v>First Time</v>
      </c>
      <c r="AM590" s="0" t="s">
        <v>177</v>
      </c>
      <c r="AN590" s="0" t="str">
        <f aca="false">IF(ISBLANK(AM590),"Unknown",AM590)</f>
        <v>Private</v>
      </c>
      <c r="AO590" s="0" t="s">
        <v>149</v>
      </c>
      <c r="AP590" s="0" t="str">
        <f aca="false">IF(ISBLANK(AO590),"Unknown",AO590)</f>
        <v>Senior </v>
      </c>
      <c r="AQ590" s="0" t="n">
        <v>25000</v>
      </c>
      <c r="AR590" s="5" t="n">
        <f aca="false">IF(ISBLANK(AQ590),AVERAGEIF(M590:M1589,M590,AQ590:AQ1589),AQ590)</f>
        <v>25000</v>
      </c>
      <c r="AS590" s="0" t="n">
        <v>30000</v>
      </c>
      <c r="AT590" s="5" t="n">
        <f aca="false">IF(ISBLANK(AS590),AVERAGE(AS590:AS1589),AS590)</f>
        <v>30000</v>
      </c>
      <c r="AU590" s="0" t="s">
        <v>82</v>
      </c>
      <c r="AV590" s="0" t="str">
        <f aca="false">PROPER(IF(ISBLANK(AU590),"No",AU590))</f>
        <v>Yes</v>
      </c>
      <c r="AW590" s="0" t="n">
        <v>10000</v>
      </c>
      <c r="AX590" s="5" t="n">
        <f aca="false">IF(ISBLANK(AW590),0,AW590)</f>
        <v>10000</v>
      </c>
      <c r="AY590" s="0" t="s">
        <v>130</v>
      </c>
      <c r="AZ590" s="0" t="str">
        <f aca="false">UPPER(IF(ISBLANK(AY590),"NONE",AY590))</f>
        <v>LOYALTY10</v>
      </c>
      <c r="BB590" s="7" t="str">
        <f aca="false">IF(ISBLANK(BA590),"No Follow Up Needed",BA590)</f>
        <v>No Follow Up Needed</v>
      </c>
      <c r="BC590" s="0" t="s">
        <v>50</v>
      </c>
      <c r="BD590" s="0" t="str">
        <f aca="false">PROPER(IF(ISBLANK(BC590),"Unknown",BC590))</f>
        <v>No</v>
      </c>
      <c r="BE590" s="0" t="s">
        <v>116</v>
      </c>
      <c r="BF590" s="0" t="str">
        <f aca="false">IF(ISBLANK(BE590),"No comments",BE590)</f>
        <v>Needs tire alignment</v>
      </c>
      <c r="BH590" s="0" t="str">
        <f aca="false">IF(ISBLANK(BG590),"No comments",BG590)</f>
        <v>No comments</v>
      </c>
      <c r="BI590" s="0" t="s">
        <v>63</v>
      </c>
      <c r="BJ590" s="0" t="str">
        <f aca="false">IF(ISBLANK(BI590),"Not Mentioned",BI590)</f>
        <v>Yes</v>
      </c>
      <c r="BK590" s="0" t="s">
        <v>50</v>
      </c>
      <c r="BL590" s="0" t="str">
        <f aca="false">PROPER(IF(ISBLANK(BK590),"Not Mentioned",BK590))</f>
        <v>No</v>
      </c>
      <c r="BN590" s="0" t="str">
        <f aca="false">PROPER(IF(ISBLANK(BM590),"Not Mentioned",BM590))</f>
        <v>Not Mentioned</v>
      </c>
      <c r="BP590" s="0" t="str">
        <f aca="false">IF(ISBLANK(BO590),"One-Time Plan",BO590)</f>
        <v>One-Time Plan</v>
      </c>
      <c r="BQ590" s="0" t="s">
        <v>198</v>
      </c>
      <c r="BR590" s="0" t="str">
        <f aca="false">PROPER(IF(ISBLANK(BQ590),"No",BQ590))</f>
        <v>Followed Up</v>
      </c>
    </row>
    <row r="591" customFormat="false" ht="15" hidden="false" customHeight="false" outlineLevel="0" collapsed="false">
      <c r="A591" s="0" t="s">
        <v>1463</v>
      </c>
      <c r="B591" s="2" t="n">
        <v>45779</v>
      </c>
      <c r="C591" s="2" t="str">
        <f aca="false">TEXT(B591,"dd/mm/yyyy")</f>
        <v>02/05/2025</v>
      </c>
      <c r="D591" s="0" t="s">
        <v>121</v>
      </c>
      <c r="E591" s="0" t="n">
        <v>8081965066</v>
      </c>
      <c r="F591" s="0" t="s">
        <v>122</v>
      </c>
      <c r="G591" s="0" t="s">
        <v>2316</v>
      </c>
      <c r="H591" s="0" t="s">
        <v>1464</v>
      </c>
      <c r="I591" s="0" t="s">
        <v>87</v>
      </c>
      <c r="J591" s="0" t="s">
        <v>2325</v>
      </c>
      <c r="K591" s="3" t="str">
        <f aca="false" t="array" ref="K591:K591">IFERROR(IF(J591&lt;&gt;"",J591,INDEX(J591:J1590,MATCH(1,(F591:F1590=F591)*(I591:I1590=I591)*(L591:L1590=L591)*(J591:J1590&lt;&gt;""),0))),"Not Found")</f>
        <v>Engine Knocking</v>
      </c>
      <c r="L591" s="3" t="s">
        <v>154</v>
      </c>
      <c r="M591" s="0" t="str">
        <f aca="false">PROPER(L591)</f>
        <v>Air Filter</v>
      </c>
      <c r="N591" s="3" t="s">
        <v>71</v>
      </c>
      <c r="O591" s="0" t="str">
        <f aca="false" t="array" ref="O591:O591">IF(N591&lt;&gt;"",N591,_xlfn.xlookup(1,(L591:L1590=L591)*(N591:N1590&lt;&gt;""),N591:N1590,"Not Found"))</f>
        <v>Isaac Bobo</v>
      </c>
      <c r="P591" s="4" t="n">
        <v>42309</v>
      </c>
      <c r="Q591" s="0" t="s">
        <v>124</v>
      </c>
      <c r="R591" s="0" t="str">
        <f aca="false">PROPER(Q591)</f>
        <v>Cash</v>
      </c>
      <c r="S591" s="0" t="s">
        <v>63</v>
      </c>
      <c r="U591" s="5" t="n">
        <f aca="false">IF(ISBLANK(T591),AVERAGE(T591:T1590),T591)</f>
        <v>3.10714285714286</v>
      </c>
      <c r="V591" s="0" t="n">
        <v>1.5</v>
      </c>
      <c r="W591" s="0" t="s">
        <v>92</v>
      </c>
      <c r="X591" s="0" t="str">
        <f aca="false">IF(ISBLANK(W591),"No remarks",W591)</f>
        <v>Urgent service</v>
      </c>
      <c r="Y591" s="0" t="s">
        <v>93</v>
      </c>
      <c r="Z591" s="0" t="s">
        <v>53</v>
      </c>
      <c r="AA591" s="0" t="str">
        <f aca="false">PROPER(IF(ISBLANK(Z591),"Location Unavailable",Z591))</f>
        <v>Main Bay</v>
      </c>
      <c r="AB591" s="0" t="s">
        <v>95</v>
      </c>
      <c r="AC591" s="6" t="str">
        <f aca="false">PROPER(AB591)</f>
        <v>Road Sign</v>
      </c>
      <c r="AD591" s="6" t="n">
        <v>30</v>
      </c>
      <c r="AE591" s="5" t="n">
        <f aca="false">IF(ISBLANK(AD591),AVERAGEIF(L591:L1590,L591,AD591:AD1590),AD591)</f>
        <v>30</v>
      </c>
      <c r="AF591" s="0" t="s">
        <v>96</v>
      </c>
      <c r="AG591" s="0" t="str">
        <f aca="false">PROPER(AF591)</f>
        <v>Ordered</v>
      </c>
      <c r="AH591" s="0" t="s">
        <v>155</v>
      </c>
      <c r="AI591" s="0" t="s">
        <v>78</v>
      </c>
      <c r="AJ591" s="0" t="str">
        <f aca="false">PROPER(AI591)</f>
        <v>Booking</v>
      </c>
      <c r="AK591" s="0" t="s">
        <v>196</v>
      </c>
      <c r="AL591" s="0" t="str">
        <f aca="false">PROPER(AK591)</f>
        <v>First Time</v>
      </c>
      <c r="AM591" s="0" t="s">
        <v>59</v>
      </c>
      <c r="AN591" s="0" t="str">
        <f aca="false">IF(ISBLANK(AM591),"Unknown",AM591)</f>
        <v>Bolt Driver</v>
      </c>
      <c r="AP591" s="0" t="str">
        <f aca="false">IF(ISBLANK(AO591),"Unknown",AO591)</f>
        <v>Unknown</v>
      </c>
      <c r="AQ591" s="0" t="n">
        <v>25000</v>
      </c>
      <c r="AR591" s="5" t="n">
        <f aca="false">IF(ISBLANK(AQ591),AVERAGEIF(M591:M1590,M591,AQ591:AQ1590),AQ591)</f>
        <v>25000</v>
      </c>
      <c r="AT591" s="5" t="n">
        <f aca="false">IF(ISBLANK(AS591),AVERAGE(AS591:AS1590),AS591)</f>
        <v>31580.4597701149</v>
      </c>
      <c r="AU591" s="0" t="s">
        <v>63</v>
      </c>
      <c r="AV591" s="0" t="str">
        <f aca="false">PROPER(IF(ISBLANK(AU591),"No",AU591))</f>
        <v>Yes</v>
      </c>
      <c r="AX591" s="5" t="n">
        <f aca="false">IF(ISBLANK(AW591),0,AW591)</f>
        <v>0</v>
      </c>
      <c r="AY591" s="0" t="s">
        <v>80</v>
      </c>
      <c r="AZ591" s="0" t="str">
        <f aca="false">UPPER(IF(ISBLANK(AY591),"NONE",AY591))</f>
        <v>PROMO10</v>
      </c>
      <c r="BB591" s="7" t="str">
        <f aca="false">IF(ISBLANK(BA591),"No Follow Up Needed",BA591)</f>
        <v>No Follow Up Needed</v>
      </c>
      <c r="BD591" s="0" t="str">
        <f aca="false">PROPER(IF(ISBLANK(BC591),"Unknown",BC591))</f>
        <v>Unknown</v>
      </c>
      <c r="BF591" s="0" t="str">
        <f aca="false">IF(ISBLANK(BE591),"No comments",BE591)</f>
        <v>No comments</v>
      </c>
      <c r="BG591" s="0" t="s">
        <v>2320</v>
      </c>
      <c r="BH591" s="0" t="str">
        <f aca="false">IF(ISBLANK(BG591),"No comments",BG591)</f>
        <v>No complaints</v>
      </c>
      <c r="BI591" s="0" t="s">
        <v>50</v>
      </c>
      <c r="BJ591" s="0" t="str">
        <f aca="false">IF(ISBLANK(BI591),"Not Mentioned",BI591)</f>
        <v>No</v>
      </c>
      <c r="BK591" s="0" t="s">
        <v>50</v>
      </c>
      <c r="BL591" s="0" t="str">
        <f aca="false">PROPER(IF(ISBLANK(BK591),"Not Mentioned",BK591))</f>
        <v>No</v>
      </c>
      <c r="BM591" s="0" t="s">
        <v>63</v>
      </c>
      <c r="BN591" s="0" t="str">
        <f aca="false">PROPER(IF(ISBLANK(BM591),"Not Mentioned",BM591))</f>
        <v>Yes</v>
      </c>
      <c r="BO591" s="0" t="s">
        <v>2318</v>
      </c>
      <c r="BP591" s="0" t="str">
        <f aca="false">IF(ISBLANK(BO591),"One-Time Plan",BO591)</f>
        <v>Gold</v>
      </c>
      <c r="BQ591" s="0" t="s">
        <v>198</v>
      </c>
      <c r="BR591" s="0" t="str">
        <f aca="false">PROPER(IF(ISBLANK(BQ591),"No",BQ591))</f>
        <v>Followed Up</v>
      </c>
    </row>
    <row r="592" customFormat="false" ht="15" hidden="false" customHeight="false" outlineLevel="0" collapsed="false">
      <c r="A592" s="0" t="s">
        <v>1465</v>
      </c>
      <c r="B592" s="2" t="n">
        <v>45671</v>
      </c>
      <c r="C592" s="2" t="str">
        <f aca="false">TEXT(B592,"dd/mm/yyyy")</f>
        <v>14/01/2025</v>
      </c>
      <c r="D592" s="0" t="s">
        <v>42</v>
      </c>
      <c r="E592" s="0" t="n">
        <v>8086397410</v>
      </c>
      <c r="F592" s="0" t="s">
        <v>122</v>
      </c>
      <c r="G592" s="0" t="s">
        <v>2316</v>
      </c>
      <c r="H592" s="0" t="s">
        <v>1466</v>
      </c>
      <c r="I592" s="0" t="s">
        <v>107</v>
      </c>
      <c r="J592" s="0" t="s">
        <v>2325</v>
      </c>
      <c r="K592" s="3" t="str">
        <f aca="false" t="array" ref="K592:K592">IFERROR(IF(J592&lt;&gt;"",J592,INDEX(J592:J1591,MATCH(1,(F592:F1591=F592)*(I592:I1591=I592)*(L592:L1591=L592)*(J592:J1591&lt;&gt;""),0))),"Not Found")</f>
        <v>Engine Knocking</v>
      </c>
      <c r="L592" s="3" t="s">
        <v>47</v>
      </c>
      <c r="M592" s="0" t="str">
        <f aca="false">PROPER(L592)</f>
        <v>None</v>
      </c>
      <c r="N592" s="3" t="s">
        <v>48</v>
      </c>
      <c r="O592" s="0" t="str">
        <f aca="false" t="array" ref="O592:O592">IF(N592&lt;&gt;"",N592,_xlfn.xlookup(1,(L592:L1591=L592)*(N592:N1591&lt;&gt;""),N592:N1591,"Not Found"))</f>
        <v>Uche</v>
      </c>
      <c r="P592" s="4" t="n">
        <v>17062</v>
      </c>
      <c r="Q592" s="0" t="s">
        <v>166</v>
      </c>
      <c r="R592" s="0" t="str">
        <f aca="false">PROPER(Q592)</f>
        <v>Transfer</v>
      </c>
      <c r="S592" s="0" t="s">
        <v>63</v>
      </c>
      <c r="T592" s="0" t="n">
        <v>5</v>
      </c>
      <c r="U592" s="5" t="n">
        <f aca="false">IF(ISBLANK(T592),AVERAGE(T592:T1591),T592)</f>
        <v>5</v>
      </c>
      <c r="V592" s="0" t="n">
        <v>4.6</v>
      </c>
      <c r="W592" s="0" t="s">
        <v>92</v>
      </c>
      <c r="X592" s="0" t="str">
        <f aca="false">IF(ISBLANK(W592),"No remarks",W592)</f>
        <v>Urgent service</v>
      </c>
      <c r="Y592" s="0" t="s">
        <v>73</v>
      </c>
      <c r="Z592" s="0" t="s">
        <v>136</v>
      </c>
      <c r="AA592" s="0" t="str">
        <f aca="false">PROPER(IF(ISBLANK(Z592),"Location Unavailable",Z592))</f>
        <v>Vip Section</v>
      </c>
      <c r="AB592" s="0" t="s">
        <v>147</v>
      </c>
      <c r="AC592" s="6" t="str">
        <f aca="false">PROPER(AB592)</f>
        <v>Instagram</v>
      </c>
      <c r="AD592" s="6" t="n">
        <v>60</v>
      </c>
      <c r="AE592" s="5" t="n">
        <f aca="false">IF(ISBLANK(AD592),AVERAGEIF(L592:L1591,L592,AD592:AD1591),AD592)</f>
        <v>60</v>
      </c>
      <c r="AF592" s="0" t="s">
        <v>96</v>
      </c>
      <c r="AG592" s="0" t="str">
        <f aca="false">PROPER(AF592)</f>
        <v>Ordered</v>
      </c>
      <c r="AH592" s="0" t="s">
        <v>155</v>
      </c>
      <c r="AI592" s="0" t="s">
        <v>98</v>
      </c>
      <c r="AJ592" s="0" t="str">
        <f aca="false">PROPER(AI592)</f>
        <v>Emergency</v>
      </c>
      <c r="AK592" s="0" t="s">
        <v>99</v>
      </c>
      <c r="AL592" s="0" t="str">
        <f aca="false">PROPER(AK592)</f>
        <v>Uber Driver</v>
      </c>
      <c r="AN592" s="0" t="str">
        <f aca="false">IF(ISBLANK(AM592),"Unknown",AM592)</f>
        <v>Unknown</v>
      </c>
      <c r="AO592" s="0" t="s">
        <v>149</v>
      </c>
      <c r="AP592" s="0" t="str">
        <f aca="false">IF(ISBLANK(AO592),"Unknown",AO592)</f>
        <v>Senior </v>
      </c>
      <c r="AR592" s="5" t="n">
        <f aca="false">IF(ISBLANK(AQ592),AVERAGEIF(M592:M1591,M592,AQ592:AQ1591),AQ592)</f>
        <v>26100</v>
      </c>
      <c r="AS592" s="0" t="n">
        <v>30000</v>
      </c>
      <c r="AT592" s="5" t="n">
        <f aca="false">IF(ISBLANK(AS592),AVERAGE(AS592:AS1591),AS592)</f>
        <v>30000</v>
      </c>
      <c r="AU592" s="0" t="s">
        <v>82</v>
      </c>
      <c r="AV592" s="0" t="str">
        <f aca="false">PROPER(IF(ISBLANK(AU592),"No",AU592))</f>
        <v>Yes</v>
      </c>
      <c r="AW592" s="0" t="n">
        <v>5000</v>
      </c>
      <c r="AX592" s="5" t="n">
        <f aca="false">IF(ISBLANK(AW592),0,AW592)</f>
        <v>5000</v>
      </c>
      <c r="AY592" s="0" t="s">
        <v>130</v>
      </c>
      <c r="AZ592" s="0" t="str">
        <f aca="false">UPPER(IF(ISBLANK(AY592),"NONE",AY592))</f>
        <v>LOYALTY10</v>
      </c>
      <c r="BA592" s="7" t="s">
        <v>1467</v>
      </c>
      <c r="BB592" s="7" t="str">
        <f aca="false">IF(ISBLANK(BA592),"No Follow Up Needed",BA592)</f>
        <v>19/11/2025</v>
      </c>
      <c r="BC592" s="0" t="s">
        <v>63</v>
      </c>
      <c r="BD592" s="0" t="str">
        <f aca="false">PROPER(IF(ISBLANK(BC592),"Unknown",BC592))</f>
        <v>Yes</v>
      </c>
      <c r="BF592" s="0" t="str">
        <f aca="false">IF(ISBLANK(BE592),"No comments",BE592)</f>
        <v>No comments</v>
      </c>
      <c r="BH592" s="0" t="str">
        <f aca="false">IF(ISBLANK(BG592),"No comments",BG592)</f>
        <v>No comments</v>
      </c>
      <c r="BI592" s="0" t="s">
        <v>50</v>
      </c>
      <c r="BJ592" s="0" t="str">
        <f aca="false">IF(ISBLANK(BI592),"Not Mentioned",BI592)</f>
        <v>No</v>
      </c>
      <c r="BK592" s="0" t="s">
        <v>82</v>
      </c>
      <c r="BL592" s="0" t="str">
        <f aca="false">PROPER(IF(ISBLANK(BK592),"Not Mentioned",BK592))</f>
        <v>Yes</v>
      </c>
      <c r="BM592" s="0" t="s">
        <v>63</v>
      </c>
      <c r="BN592" s="0" t="str">
        <f aca="false">PROPER(IF(ISBLANK(BM592),"Not Mentioned",BM592))</f>
        <v>Yes</v>
      </c>
      <c r="BO592" s="0" t="s">
        <v>2318</v>
      </c>
      <c r="BP592" s="0" t="str">
        <f aca="false">IF(ISBLANK(BO592),"One-Time Plan",BO592)</f>
        <v>Gold</v>
      </c>
      <c r="BQ592" s="0" t="s">
        <v>50</v>
      </c>
      <c r="BR592" s="0" t="str">
        <f aca="false">PROPER(IF(ISBLANK(BQ592),"No",BQ592))</f>
        <v>No</v>
      </c>
    </row>
    <row r="593" customFormat="false" ht="15" hidden="false" customHeight="false" outlineLevel="0" collapsed="false">
      <c r="A593" s="0" t="s">
        <v>1468</v>
      </c>
      <c r="B593" s="2" t="n">
        <v>45906</v>
      </c>
      <c r="C593" s="2" t="str">
        <f aca="false">TEXT(B593,"dd/mm/yyyy")</f>
        <v>06/09/2025</v>
      </c>
      <c r="D593" s="0" t="s">
        <v>105</v>
      </c>
      <c r="E593" s="0" t="n">
        <v>8033012852</v>
      </c>
      <c r="F593" s="0" t="s">
        <v>122</v>
      </c>
      <c r="G593" s="0" t="s">
        <v>2316</v>
      </c>
      <c r="H593" s="0" t="s">
        <v>1469</v>
      </c>
      <c r="I593" s="0" t="s">
        <v>45</v>
      </c>
      <c r="J593" s="0" t="s">
        <v>2317</v>
      </c>
      <c r="K593" s="3" t="str">
        <f aca="false" t="array" ref="K593:K593">IFERROR(IF(J593&lt;&gt;"",J593,INDEX(J593:J1592,MATCH(1,(F593:F1592=F593)*(I593:I1592=I593)*(L593:L1592=L593)*(J593:J1592&lt;&gt;""),0))),"Not Found")</f>
        <v>Suspension Noise</v>
      </c>
      <c r="L593" s="3" t="s">
        <v>108</v>
      </c>
      <c r="M593" s="0" t="str">
        <f aca="false">PROPER(L593)</f>
        <v>Timing Belt</v>
      </c>
      <c r="N593" s="3" t="s">
        <v>90</v>
      </c>
      <c r="O593" s="0" t="str">
        <f aca="false" t="array" ref="O593:O593">IF(N593&lt;&gt;"",N593,_xlfn.xlookup(1,(L593:L1592=L593)*(N593:N1592&lt;&gt;""),N593:N1592,"Not Found"))</f>
        <v>Musa</v>
      </c>
      <c r="P593" s="4" t="n">
        <v>70548</v>
      </c>
      <c r="Q593" s="0" t="s">
        <v>91</v>
      </c>
      <c r="R593" s="0" t="str">
        <f aca="false">PROPER(Q593)</f>
        <v>Pos</v>
      </c>
      <c r="S593" s="0" t="s">
        <v>50</v>
      </c>
      <c r="T593" s="0" t="n">
        <v>4</v>
      </c>
      <c r="U593" s="5" t="n">
        <f aca="false">IF(ISBLANK(T593),AVERAGE(T593:T1592),T593)</f>
        <v>4</v>
      </c>
      <c r="V593" s="0" t="n">
        <v>4</v>
      </c>
      <c r="W593" s="0" t="s">
        <v>125</v>
      </c>
      <c r="X593" s="0" t="str">
        <f aca="false">IF(ISBLANK(W593),"No remarks",W593)</f>
        <v>Customer waited</v>
      </c>
      <c r="Y593" s="0" t="s">
        <v>52</v>
      </c>
      <c r="Z593" s="0" t="s">
        <v>136</v>
      </c>
      <c r="AA593" s="0" t="str">
        <f aca="false">PROPER(IF(ISBLANK(Z593),"Location Unavailable",Z593))</f>
        <v>Vip Section</v>
      </c>
      <c r="AB593" s="0" t="s">
        <v>54</v>
      </c>
      <c r="AC593" s="6" t="str">
        <f aca="false">PROPER(AB593)</f>
        <v>Mechanic Referral</v>
      </c>
      <c r="AD593" s="6" t="n">
        <v>15</v>
      </c>
      <c r="AE593" s="5" t="n">
        <f aca="false">IF(ISBLANK(AD593),AVERAGEIF(L593:L1592,L593,AD593:AD1592),AD593)</f>
        <v>15</v>
      </c>
      <c r="AF593" s="0" t="s">
        <v>76</v>
      </c>
      <c r="AG593" s="0" t="str">
        <f aca="false">PROPER(AF593)</f>
        <v>Orderd</v>
      </c>
      <c r="AH593" s="0" t="s">
        <v>155</v>
      </c>
      <c r="AI593" s="0" t="s">
        <v>98</v>
      </c>
      <c r="AJ593" s="0" t="str">
        <f aca="false">PROPER(AI593)</f>
        <v>Emergency</v>
      </c>
      <c r="AK593" s="0" t="s">
        <v>58</v>
      </c>
      <c r="AL593" s="0" t="str">
        <f aca="false">PROPER(AK593)</f>
        <v>Fleet Owner</v>
      </c>
      <c r="AM593" s="0" t="s">
        <v>2324</v>
      </c>
      <c r="AN593" s="0" t="str">
        <f aca="false">IF(ISBLANK(AM593),"Unknown",AM593)</f>
        <v>Logistics Convoy</v>
      </c>
      <c r="AO593" s="0" t="s">
        <v>143</v>
      </c>
      <c r="AP593" s="0" t="str">
        <f aca="false">IF(ISBLANK(AO593),"Unknown",AO593)</f>
        <v>Senior</v>
      </c>
      <c r="AQ593" s="0" t="n">
        <v>20000</v>
      </c>
      <c r="AR593" s="5" t="n">
        <f aca="false">IF(ISBLANK(AQ593),AVERAGEIF(M593:M1592,M593,AQ593:AQ1592),AQ593)</f>
        <v>20000</v>
      </c>
      <c r="AS593" s="0" t="n">
        <v>40000</v>
      </c>
      <c r="AT593" s="5" t="n">
        <f aca="false">IF(ISBLANK(AS593),AVERAGE(AS593:AS1592),AS593)</f>
        <v>40000</v>
      </c>
      <c r="AU593" s="0" t="s">
        <v>61</v>
      </c>
      <c r="AV593" s="0" t="str">
        <f aca="false">PROPER(IF(ISBLANK(AU593),"No",AU593))</f>
        <v>No</v>
      </c>
      <c r="AW593" s="0" t="n">
        <v>5000</v>
      </c>
      <c r="AX593" s="5" t="n">
        <f aca="false">IF(ISBLANK(AW593),0,AW593)</f>
        <v>5000</v>
      </c>
      <c r="AY593" s="0" t="s">
        <v>184</v>
      </c>
      <c r="AZ593" s="0" t="str">
        <f aca="false">UPPER(IF(ISBLANK(AY593),"NONE",AY593))</f>
        <v>N/A</v>
      </c>
      <c r="BB593" s="7" t="str">
        <f aca="false">IF(ISBLANK(BA593),"No Follow Up Needed",BA593)</f>
        <v>No Follow Up Needed</v>
      </c>
      <c r="BC593" s="0" t="s">
        <v>82</v>
      </c>
      <c r="BD593" s="0" t="str">
        <f aca="false">PROPER(IF(ISBLANK(BC593),"Unknown",BC593))</f>
        <v>Yes</v>
      </c>
      <c r="BE593" s="0" t="s">
        <v>171</v>
      </c>
      <c r="BF593" s="0" t="str">
        <f aca="false">IF(ISBLANK(BE593),"No comments",BE593)</f>
        <v>Shock absorber weakening</v>
      </c>
      <c r="BH593" s="0" t="str">
        <f aca="false">IF(ISBLANK(BG593),"No comments",BG593)</f>
        <v>No comments</v>
      </c>
      <c r="BI593" s="0" t="s">
        <v>50</v>
      </c>
      <c r="BJ593" s="0" t="str">
        <f aca="false">IF(ISBLANK(BI593),"Not Mentioned",BI593)</f>
        <v>No</v>
      </c>
      <c r="BK593" s="0" t="s">
        <v>61</v>
      </c>
      <c r="BL593" s="0" t="str">
        <f aca="false">PROPER(IF(ISBLANK(BK593),"Not Mentioned",BK593))</f>
        <v>No</v>
      </c>
      <c r="BN593" s="0" t="str">
        <f aca="false">PROPER(IF(ISBLANK(BM593),"Not Mentioned",BM593))</f>
        <v>Not Mentioned</v>
      </c>
      <c r="BP593" s="0" t="str">
        <f aca="false">IF(ISBLANK(BO593),"One-Time Plan",BO593)</f>
        <v>One-Time Plan</v>
      </c>
      <c r="BQ593" s="0" t="s">
        <v>63</v>
      </c>
      <c r="BR593" s="0" t="str">
        <f aca="false">PROPER(IF(ISBLANK(BQ593),"No",BQ593))</f>
        <v>Yes</v>
      </c>
    </row>
    <row r="594" customFormat="false" ht="15" hidden="false" customHeight="false" outlineLevel="0" collapsed="false">
      <c r="A594" s="0" t="s">
        <v>1470</v>
      </c>
      <c r="B594" s="2" t="n">
        <v>45690</v>
      </c>
      <c r="C594" s="2" t="str">
        <f aca="false">TEXT(B594,"dd/mm/yyyy")</f>
        <v>02/02/2025</v>
      </c>
      <c r="D594" s="0" t="s">
        <v>105</v>
      </c>
      <c r="E594" s="0" t="n">
        <v>8043814834</v>
      </c>
      <c r="F594" s="0" t="s">
        <v>43</v>
      </c>
      <c r="G594" s="0" t="s">
        <v>2315</v>
      </c>
      <c r="H594" s="0" t="s">
        <v>1471</v>
      </c>
      <c r="I594" s="0" t="s">
        <v>87</v>
      </c>
      <c r="J594" s="0" t="s">
        <v>87</v>
      </c>
      <c r="K594" s="3" t="str">
        <f aca="false" t="array" ref="K594:K594">IFERROR(IF(J594&lt;&gt;"",J594,INDEX(J594:J1593,MATCH(1,(F594:F1593=F594)*(I594:I1593=I594)*(L594:L1593=L594)*(J594:J1593&lt;&gt;""),0))),"Not Found")</f>
        <v>Oil Change</v>
      </c>
      <c r="L594" s="3" t="s">
        <v>47</v>
      </c>
      <c r="M594" s="0" t="str">
        <f aca="false">PROPER(L594)</f>
        <v>None</v>
      </c>
      <c r="O594" s="0" t="e">
        <f aca="false" t="array" ref="O594:O594">IF(N594&lt;&gt;"",N594,_xlfn.xlookup(1,(L594:L1593=L594)*(N594:N1593&lt;&gt;""),N594:N1593,"Not Found"))</f>
        <v>#NAME?</v>
      </c>
      <c r="P594" s="4" t="n">
        <v>103404</v>
      </c>
      <c r="Q594" s="0" t="s">
        <v>49</v>
      </c>
      <c r="R594" s="0" t="str">
        <f aca="false">PROPER(Q594)</f>
        <v>Transfer</v>
      </c>
      <c r="S594" s="0" t="s">
        <v>50</v>
      </c>
      <c r="T594" s="0" t="n">
        <v>2</v>
      </c>
      <c r="U594" s="5" t="n">
        <f aca="false">IF(ISBLANK(T594),AVERAGE(T594:T1593),T594)</f>
        <v>2</v>
      </c>
      <c r="V594" s="0" t="n">
        <v>4.1</v>
      </c>
      <c r="W594" s="0" t="s">
        <v>125</v>
      </c>
      <c r="X594" s="0" t="str">
        <f aca="false">IF(ISBLANK(W594),"No remarks",W594)</f>
        <v>Customer waited</v>
      </c>
      <c r="Y594" s="0" t="s">
        <v>52</v>
      </c>
      <c r="Z594" s="0" t="s">
        <v>74</v>
      </c>
      <c r="AA594" s="0" t="str">
        <f aca="false">PROPER(IF(ISBLANK(Z594),"Location Unavailable",Z594))</f>
        <v>Under Tree</v>
      </c>
      <c r="AB594" s="0" t="s">
        <v>75</v>
      </c>
      <c r="AC594" s="6" t="str">
        <f aca="false">PROPER(AB594)</f>
        <v>Mechanik Referal</v>
      </c>
      <c r="AD594" s="6" t="n">
        <v>30</v>
      </c>
      <c r="AE594" s="5" t="n">
        <f aca="false">IF(ISBLANK(AD594),AVERAGEIF(L594:L1593,L594,AD594:AD1593),AD594)</f>
        <v>30</v>
      </c>
      <c r="AF594" s="0" t="s">
        <v>55</v>
      </c>
      <c r="AG594" s="0" t="str">
        <f aca="false">PROPER(AF594)</f>
        <v>Available</v>
      </c>
      <c r="AH594" s="0" t="s">
        <v>77</v>
      </c>
      <c r="AI594" s="0" t="s">
        <v>113</v>
      </c>
      <c r="AJ594" s="0" t="str">
        <f aca="false">PROPER(AI594)</f>
        <v>Normal</v>
      </c>
      <c r="AK594" s="0" t="s">
        <v>114</v>
      </c>
      <c r="AL594" s="0" t="str">
        <f aca="false">PROPER(AK594)</f>
        <v>Returning</v>
      </c>
      <c r="AM594" s="0" t="s">
        <v>2326</v>
      </c>
      <c r="AN594" s="0" t="str">
        <f aca="false">IF(ISBLANK(AM594),"Unknown",AM594)</f>
        <v>Government Convoy</v>
      </c>
      <c r="AO594" s="0" t="s">
        <v>161</v>
      </c>
      <c r="AP594" s="0" t="str">
        <f aca="false">IF(ISBLANK(AO594),"Unknown",AO594)</f>
        <v>Apprentice</v>
      </c>
      <c r="AQ594" s="0" t="n">
        <v>20000</v>
      </c>
      <c r="AR594" s="5" t="n">
        <f aca="false">IF(ISBLANK(AQ594),AVERAGEIF(M594:M1593,M594,AQ594:AQ1593),AQ594)</f>
        <v>20000</v>
      </c>
      <c r="AS594" s="0" t="n">
        <v>30000</v>
      </c>
      <c r="AT594" s="5" t="n">
        <f aca="false">IF(ISBLANK(AS594),AVERAGE(AS594:AS1593),AS594)</f>
        <v>30000</v>
      </c>
      <c r="AU594" s="0" t="s">
        <v>82</v>
      </c>
      <c r="AV594" s="0" t="str">
        <f aca="false">PROPER(IF(ISBLANK(AU594),"No",AU594))</f>
        <v>Yes</v>
      </c>
      <c r="AW594" s="0" t="n">
        <v>10000</v>
      </c>
      <c r="AX594" s="5" t="n">
        <f aca="false">IF(ISBLANK(AW594),0,AW594)</f>
        <v>10000</v>
      </c>
      <c r="AY594" s="0" t="s">
        <v>184</v>
      </c>
      <c r="AZ594" s="0" t="str">
        <f aca="false">UPPER(IF(ISBLANK(AY594),"NONE",AY594))</f>
        <v>N/A</v>
      </c>
      <c r="BA594" s="7" t="n">
        <v>45996</v>
      </c>
      <c r="BB594" s="7" t="n">
        <f aca="false">IF(ISBLANK(BA594),"No Follow Up Needed",BA594)</f>
        <v>45996</v>
      </c>
      <c r="BC594" s="0" t="s">
        <v>50</v>
      </c>
      <c r="BD594" s="0" t="str">
        <f aca="false">PROPER(IF(ISBLANK(BC594),"Unknown",BC594))</f>
        <v>No</v>
      </c>
      <c r="BE594" s="0" t="s">
        <v>116</v>
      </c>
      <c r="BF594" s="0" t="str">
        <f aca="false">IF(ISBLANK(BE594),"No comments",BE594)</f>
        <v>Needs tire alignment</v>
      </c>
      <c r="BH594" s="0" t="str">
        <f aca="false">IF(ISBLANK(BG594),"No comments",BG594)</f>
        <v>No comments</v>
      </c>
      <c r="BI594" s="0" t="s">
        <v>63</v>
      </c>
      <c r="BJ594" s="0" t="str">
        <f aca="false">IF(ISBLANK(BI594),"Not Mentioned",BI594)</f>
        <v>Yes</v>
      </c>
      <c r="BL594" s="0" t="str">
        <f aca="false">PROPER(IF(ISBLANK(BK594),"Not Mentioned",BK594))</f>
        <v>Not Mentioned</v>
      </c>
      <c r="BN594" s="0" t="str">
        <f aca="false">PROPER(IF(ISBLANK(BM594),"Not Mentioned",BM594))</f>
        <v>Not Mentioned</v>
      </c>
      <c r="BO594" s="0" t="s">
        <v>2321</v>
      </c>
      <c r="BP594" s="0" t="str">
        <f aca="false">IF(ISBLANK(BO594),"One-Time Plan",BO594)</f>
        <v>One-Time Plan</v>
      </c>
      <c r="BQ594" s="0" t="s">
        <v>190</v>
      </c>
      <c r="BR594" s="0" t="str">
        <f aca="false">PROPER(IF(ISBLANK(BQ594),"No",BQ594))</f>
        <v>Yes</v>
      </c>
    </row>
    <row r="595" customFormat="false" ht="15" hidden="false" customHeight="false" outlineLevel="0" collapsed="false">
      <c r="A595" s="0" t="s">
        <v>1472</v>
      </c>
      <c r="B595" s="2" t="n">
        <v>45677</v>
      </c>
      <c r="C595" s="2" t="str">
        <f aca="false">TEXT(B595,"dd/mm/yyyy")</f>
        <v>20/01/2025</v>
      </c>
      <c r="D595" s="0" t="s">
        <v>163</v>
      </c>
      <c r="E595" s="0" t="n">
        <v>8022716400</v>
      </c>
      <c r="F595" s="0" t="s">
        <v>67</v>
      </c>
      <c r="G595" s="0" t="s">
        <v>2316</v>
      </c>
      <c r="H595" s="0" t="s">
        <v>1473</v>
      </c>
      <c r="I595" s="0" t="s">
        <v>107</v>
      </c>
      <c r="K595" s="3" t="str">
        <f aca="false" t="array" ref="K595:K595">IFERROR(IF(J595&lt;&gt;"",J595,INDEX(J595:J1594,MATCH(1,(F595:F1594=F595)*(I595:I1594=I595)*(L595:L1594=L595)*(J595:J1594&lt;&gt;""),0))),"Not Found")</f>
        <v>Brake Failure</v>
      </c>
      <c r="L595" s="3" t="s">
        <v>108</v>
      </c>
      <c r="M595" s="0" t="str">
        <f aca="false">PROPER(L595)</f>
        <v>Timing Belt</v>
      </c>
      <c r="N595" s="3" t="s">
        <v>109</v>
      </c>
      <c r="O595" s="0" t="str">
        <f aca="false" t="array" ref="O595:O595">IF(N595&lt;&gt;"",N595,_xlfn.xlookup(1,(L595:L1594=L595)*(N595:N1594&lt;&gt;""),N595:N1594,"Not Found"))</f>
        <v>Tijani</v>
      </c>
      <c r="P595" s="4" t="n">
        <v>40040</v>
      </c>
      <c r="Q595" s="0" t="s">
        <v>91</v>
      </c>
      <c r="R595" s="0" t="str">
        <f aca="false">PROPER(Q595)</f>
        <v>Pos</v>
      </c>
      <c r="S595" s="0" t="s">
        <v>63</v>
      </c>
      <c r="T595" s="0" t="n">
        <v>4</v>
      </c>
      <c r="U595" s="5" t="n">
        <f aca="false">IF(ISBLANK(T595),AVERAGE(T595:T1594),T595)</f>
        <v>4</v>
      </c>
      <c r="V595" s="0" t="n">
        <v>1.6</v>
      </c>
      <c r="W595" s="0" t="s">
        <v>125</v>
      </c>
      <c r="X595" s="0" t="str">
        <f aca="false">IF(ISBLANK(W595),"No remarks",W595)</f>
        <v>Customer waited</v>
      </c>
      <c r="Y595" s="0" t="s">
        <v>73</v>
      </c>
      <c r="Z595" s="0" t="s">
        <v>53</v>
      </c>
      <c r="AA595" s="0" t="str">
        <f aca="false">PROPER(IF(ISBLANK(Z595),"Location Unavailable",Z595))</f>
        <v>Main Bay</v>
      </c>
      <c r="AB595" s="0" t="s">
        <v>54</v>
      </c>
      <c r="AC595" s="6" t="str">
        <f aca="false">PROPER(AB595)</f>
        <v>Mechanic Referral</v>
      </c>
      <c r="AD595" s="6" t="n">
        <v>60</v>
      </c>
      <c r="AE595" s="5" t="n">
        <f aca="false">IF(ISBLANK(AD595),AVERAGEIF(L595:L1594,L595,AD595:AD1594),AD595)</f>
        <v>60</v>
      </c>
      <c r="AF595" s="0" t="s">
        <v>76</v>
      </c>
      <c r="AG595" s="0" t="str">
        <f aca="false">PROPER(AF595)</f>
        <v>Orderd</v>
      </c>
      <c r="AH595" s="0" t="s">
        <v>155</v>
      </c>
      <c r="AI595" s="0" t="s">
        <v>98</v>
      </c>
      <c r="AJ595" s="0" t="str">
        <f aca="false">PROPER(AI595)</f>
        <v>Emergency</v>
      </c>
      <c r="AK595" s="0" t="s">
        <v>99</v>
      </c>
      <c r="AL595" s="0" t="str">
        <f aca="false">PROPER(AK595)</f>
        <v>Uber Driver</v>
      </c>
      <c r="AN595" s="0" t="str">
        <f aca="false">IF(ISBLANK(AM595),"Unknown",AM595)</f>
        <v>Unknown</v>
      </c>
      <c r="AO595" s="0" t="s">
        <v>149</v>
      </c>
      <c r="AP595" s="0" t="str">
        <f aca="false">IF(ISBLANK(AO595),"Unknown",AO595)</f>
        <v>Senior </v>
      </c>
      <c r="AQ595" s="0" t="n">
        <v>20000</v>
      </c>
      <c r="AR595" s="5" t="n">
        <f aca="false">IF(ISBLANK(AQ595),AVERAGEIF(M595:M1594,M595,AQ595:AQ1594),AQ595)</f>
        <v>20000</v>
      </c>
      <c r="AS595" s="0" t="n">
        <v>20000</v>
      </c>
      <c r="AT595" s="5" t="n">
        <f aca="false">IF(ISBLANK(AS595),AVERAGE(AS595:AS1594),AS595)</f>
        <v>20000</v>
      </c>
      <c r="AV595" s="0" t="str">
        <f aca="false">PROPER(IF(ISBLANK(AU595),"No",AU595))</f>
        <v>No</v>
      </c>
      <c r="AW595" s="0" t="n">
        <v>10000</v>
      </c>
      <c r="AX595" s="5" t="n">
        <f aca="false">IF(ISBLANK(AW595),0,AW595)</f>
        <v>10000</v>
      </c>
      <c r="AY595" s="0" t="s">
        <v>184</v>
      </c>
      <c r="AZ595" s="0" t="str">
        <f aca="false">UPPER(IF(ISBLANK(AY595),"NONE",AY595))</f>
        <v>N/A</v>
      </c>
      <c r="BA595" s="7" t="n">
        <v>45986</v>
      </c>
      <c r="BB595" s="7" t="n">
        <f aca="false">IF(ISBLANK(BA595),"No Follow Up Needed",BA595)</f>
        <v>45986</v>
      </c>
      <c r="BC595" s="0" t="s">
        <v>50</v>
      </c>
      <c r="BD595" s="0" t="str">
        <f aca="false">PROPER(IF(ISBLANK(BC595),"Unknown",BC595))</f>
        <v>No</v>
      </c>
      <c r="BE595" s="0" t="s">
        <v>171</v>
      </c>
      <c r="BF595" s="0" t="str">
        <f aca="false">IF(ISBLANK(BE595),"No comments",BE595)</f>
        <v>Shock absorber weakening</v>
      </c>
      <c r="BH595" s="0" t="str">
        <f aca="false">IF(ISBLANK(BG595),"No comments",BG595)</f>
        <v>No comments</v>
      </c>
      <c r="BJ595" s="0" t="str">
        <f aca="false">IF(ISBLANK(BI595),"Not Mentioned",BI595)</f>
        <v>Not Mentioned</v>
      </c>
      <c r="BK595" s="0" t="s">
        <v>82</v>
      </c>
      <c r="BL595" s="0" t="str">
        <f aca="false">PROPER(IF(ISBLANK(BK595),"Not Mentioned",BK595))</f>
        <v>Yes</v>
      </c>
      <c r="BM595" s="0" t="s">
        <v>63</v>
      </c>
      <c r="BN595" s="0" t="str">
        <f aca="false">PROPER(IF(ISBLANK(BM595),"Not Mentioned",BM595))</f>
        <v>Yes</v>
      </c>
      <c r="BP595" s="0" t="str">
        <f aca="false">IF(ISBLANK(BO595),"One-Time Plan",BO595)</f>
        <v>One-Time Plan</v>
      </c>
      <c r="BQ595" s="0" t="s">
        <v>63</v>
      </c>
      <c r="BR595" s="0" t="str">
        <f aca="false">PROPER(IF(ISBLANK(BQ595),"No",BQ595))</f>
        <v>Yes</v>
      </c>
    </row>
    <row r="596" customFormat="false" ht="15" hidden="false" customHeight="false" outlineLevel="0" collapsed="false">
      <c r="A596" s="0" t="s">
        <v>1475</v>
      </c>
      <c r="B596" s="2" t="s">
        <v>1474</v>
      </c>
      <c r="C596" s="2" t="str">
        <f aca="false">TEXT(B596,"dd/mm/yyyy")</f>
        <v>13/03/2025</v>
      </c>
      <c r="D596" s="0" t="s">
        <v>121</v>
      </c>
      <c r="E596" s="0" t="n">
        <v>8090512805</v>
      </c>
      <c r="F596" s="0" t="s">
        <v>43</v>
      </c>
      <c r="G596" s="0" t="s">
        <v>2315</v>
      </c>
      <c r="H596" s="0" t="s">
        <v>1476</v>
      </c>
      <c r="I596" s="0" t="s">
        <v>45</v>
      </c>
      <c r="J596" s="0" t="s">
        <v>2325</v>
      </c>
      <c r="K596" s="3" t="str">
        <f aca="false" t="array" ref="K596:K596">IFERROR(IF(J596&lt;&gt;"",J596,INDEX(J596:J1595,MATCH(1,(F596:F1595=F596)*(I596:I1595=I596)*(L596:L1595=L596)*(J596:J1595&lt;&gt;""),0))),"Not Found")</f>
        <v>Engine Knocking</v>
      </c>
      <c r="L596" s="3" t="s">
        <v>189</v>
      </c>
      <c r="M596" s="0" t="str">
        <f aca="false">PROPER(L596)</f>
        <v>Battery</v>
      </c>
      <c r="N596" s="3" t="s">
        <v>71</v>
      </c>
      <c r="O596" s="0" t="str">
        <f aca="false" t="array" ref="O596:O596">IF(N596&lt;&gt;"",N596,_xlfn.xlookup(1,(L596:L1595=L596)*(N596:N1595&lt;&gt;""),N596:N1595,"Not Found"))</f>
        <v>Isaac Bobo</v>
      </c>
      <c r="P596" s="4" t="n">
        <v>53534</v>
      </c>
      <c r="Q596" s="0" t="s">
        <v>49</v>
      </c>
      <c r="R596" s="0" t="str">
        <f aca="false">PROPER(Q596)</f>
        <v>Transfer</v>
      </c>
      <c r="S596" s="0" t="s">
        <v>63</v>
      </c>
      <c r="T596" s="0" t="n">
        <v>2</v>
      </c>
      <c r="U596" s="5" t="n">
        <f aca="false">IF(ISBLANK(T596),AVERAGE(T596:T1595),T596)</f>
        <v>2</v>
      </c>
      <c r="V596" s="0" t="n">
        <v>5.8</v>
      </c>
      <c r="W596" s="0" t="s">
        <v>51</v>
      </c>
      <c r="X596" s="0" t="str">
        <f aca="false">IF(ISBLANK(W596),"No remarks",W596)</f>
        <v>Recommended further checks</v>
      </c>
      <c r="Y596" s="0" t="s">
        <v>73</v>
      </c>
      <c r="Z596" s="0" t="s">
        <v>53</v>
      </c>
      <c r="AA596" s="0" t="str">
        <f aca="false">PROPER(IF(ISBLANK(Z596),"Location Unavailable",Z596))</f>
        <v>Main Bay</v>
      </c>
      <c r="AB596" s="0" t="s">
        <v>95</v>
      </c>
      <c r="AC596" s="6" t="str">
        <f aca="false">PROPER(AB596)</f>
        <v>Road Sign</v>
      </c>
      <c r="AD596" s="6" t="n">
        <v>15</v>
      </c>
      <c r="AE596" s="5" t="n">
        <f aca="false">IF(ISBLANK(AD596),AVERAGEIF(L596:L1595,L596,AD596:AD1595),AD596)</f>
        <v>15</v>
      </c>
      <c r="AF596" s="0" t="s">
        <v>55</v>
      </c>
      <c r="AG596" s="0" t="str">
        <f aca="false">PROPER(AF596)</f>
        <v>Available</v>
      </c>
      <c r="AH596" s="0" t="s">
        <v>148</v>
      </c>
      <c r="AI596" s="0" t="s">
        <v>98</v>
      </c>
      <c r="AJ596" s="0" t="str">
        <f aca="false">PROPER(AI596)</f>
        <v>Emergency</v>
      </c>
      <c r="AK596" s="0" t="s">
        <v>58</v>
      </c>
      <c r="AL596" s="0" t="str">
        <f aca="false">PROPER(AK596)</f>
        <v>Fleet Owner</v>
      </c>
      <c r="AM596" s="0" t="s">
        <v>2326</v>
      </c>
      <c r="AN596" s="0" t="str">
        <f aca="false">IF(ISBLANK(AM596),"Unknown",AM596)</f>
        <v>Government Convoy</v>
      </c>
      <c r="AO596" s="0" t="s">
        <v>143</v>
      </c>
      <c r="AP596" s="0" t="str">
        <f aca="false">IF(ISBLANK(AO596),"Unknown",AO596)</f>
        <v>Senior</v>
      </c>
      <c r="AQ596" s="0" t="n">
        <v>30000</v>
      </c>
      <c r="AR596" s="5" t="n">
        <f aca="false">IF(ISBLANK(AQ596),AVERAGEIF(M596:M1595,M596,AQ596:AQ1595),AQ596)</f>
        <v>30000</v>
      </c>
      <c r="AS596" s="0" t="n">
        <v>40000</v>
      </c>
      <c r="AT596" s="5" t="n">
        <f aca="false">IF(ISBLANK(AS596),AVERAGE(AS596:AS1595),AS596)</f>
        <v>40000</v>
      </c>
      <c r="AU596" s="0" t="s">
        <v>50</v>
      </c>
      <c r="AV596" s="0" t="str">
        <f aca="false">PROPER(IF(ISBLANK(AU596),"No",AU596))</f>
        <v>No</v>
      </c>
      <c r="AW596" s="0" t="n">
        <v>5000</v>
      </c>
      <c r="AX596" s="5" t="n">
        <f aca="false">IF(ISBLANK(AW596),0,AW596)</f>
        <v>5000</v>
      </c>
      <c r="AZ596" s="0" t="str">
        <f aca="false">UPPER(IF(ISBLANK(AY596),"NONE",AY596))</f>
        <v>NONE</v>
      </c>
      <c r="BB596" s="7" t="str">
        <f aca="false">IF(ISBLANK(BA596),"No Follow Up Needed",BA596)</f>
        <v>No Follow Up Needed</v>
      </c>
      <c r="BC596" s="0" t="s">
        <v>63</v>
      </c>
      <c r="BD596" s="0" t="str">
        <f aca="false">PROPER(IF(ISBLANK(BC596),"Unknown",BC596))</f>
        <v>Yes</v>
      </c>
      <c r="BF596" s="0" t="str">
        <f aca="false">IF(ISBLANK(BE596),"No comments",BE596)</f>
        <v>No comments</v>
      </c>
      <c r="BG596" s="0" t="s">
        <v>117</v>
      </c>
      <c r="BH596" s="0" t="str">
        <f aca="false">IF(ISBLANK(BG596),"No comments",BG596)</f>
        <v>Prefers morning</v>
      </c>
      <c r="BI596" s="0" t="s">
        <v>50</v>
      </c>
      <c r="BJ596" s="0" t="str">
        <f aca="false">IF(ISBLANK(BI596),"Not Mentioned",BI596)</f>
        <v>No</v>
      </c>
      <c r="BK596" s="0" t="s">
        <v>82</v>
      </c>
      <c r="BL596" s="0" t="str">
        <f aca="false">PROPER(IF(ISBLANK(BK596),"Not Mentioned",BK596))</f>
        <v>Yes</v>
      </c>
      <c r="BM596" s="0" t="s">
        <v>50</v>
      </c>
      <c r="BN596" s="0" t="str">
        <f aca="false">PROPER(IF(ISBLANK(BM596),"Not Mentioned",BM596))</f>
        <v>No</v>
      </c>
      <c r="BP596" s="0" t="str">
        <f aca="false">IF(ISBLANK(BO596),"One-Time Plan",BO596)</f>
        <v>One-Time Plan</v>
      </c>
      <c r="BQ596" s="0" t="s">
        <v>190</v>
      </c>
      <c r="BR596" s="0" t="str">
        <f aca="false">PROPER(IF(ISBLANK(BQ596),"No",BQ596))</f>
        <v>Yes</v>
      </c>
    </row>
    <row r="597" customFormat="false" ht="15" hidden="false" customHeight="false" outlineLevel="0" collapsed="false">
      <c r="A597" s="0" t="s">
        <v>1477</v>
      </c>
      <c r="B597" s="2" t="n">
        <v>45661</v>
      </c>
      <c r="C597" s="2" t="str">
        <f aca="false">TEXT(B597,"dd/mm/yyyy")</f>
        <v>04/01/2025</v>
      </c>
      <c r="D597" s="0" t="s">
        <v>42</v>
      </c>
      <c r="E597" s="0" t="n">
        <v>8053534095</v>
      </c>
      <c r="F597" s="0" t="s">
        <v>139</v>
      </c>
      <c r="G597" s="0" t="s">
        <v>2323</v>
      </c>
      <c r="H597" s="0" t="s">
        <v>1478</v>
      </c>
      <c r="I597" s="0" t="s">
        <v>134</v>
      </c>
      <c r="J597" s="0" t="s">
        <v>2322</v>
      </c>
      <c r="K597" s="3" t="str">
        <f aca="false" t="array" ref="K597:K597">IFERROR(IF(J597&lt;&gt;"",J597,INDEX(J597:J1596,MATCH(1,(F597:F1596=F597)*(I597:I1596=I597)*(L597:L1596=L597)*(J597:J1596&lt;&gt;""),0))),"Not Found")</f>
        <v>Brake Failure</v>
      </c>
      <c r="L597" s="3" t="s">
        <v>154</v>
      </c>
      <c r="M597" s="0" t="str">
        <f aca="false">PROPER(L597)</f>
        <v>Air Filter</v>
      </c>
      <c r="O597" s="0" t="e">
        <f aca="false" t="array" ref="O597:O597">IF(N597&lt;&gt;"",N597,_xlfn.xlookup(1,(L597:L1596=L597)*(N597:N1596&lt;&gt;""),N597:N1596,"Not Found"))</f>
        <v>#NAME?</v>
      </c>
      <c r="P597" s="4" t="n">
        <v>20447</v>
      </c>
      <c r="Q597" s="0" t="s">
        <v>49</v>
      </c>
      <c r="R597" s="0" t="str">
        <f aca="false">PROPER(Q597)</f>
        <v>Transfer</v>
      </c>
      <c r="S597" s="0" t="s">
        <v>50</v>
      </c>
      <c r="T597" s="0" t="n">
        <v>4</v>
      </c>
      <c r="U597" s="5" t="n">
        <f aca="false">IF(ISBLANK(T597),AVERAGE(T597:T1596),T597)</f>
        <v>4</v>
      </c>
      <c r="V597" s="0" t="n">
        <v>2</v>
      </c>
      <c r="W597" s="0" t="s">
        <v>92</v>
      </c>
      <c r="X597" s="0" t="str">
        <f aca="false">IF(ISBLANK(W597),"No remarks",W597)</f>
        <v>Urgent service</v>
      </c>
      <c r="Y597" s="0" t="s">
        <v>93</v>
      </c>
      <c r="Z597" s="0" t="s">
        <v>94</v>
      </c>
      <c r="AA597" s="0" t="str">
        <f aca="false">PROPER(IF(ISBLANK(Z597),"Location Unavailable",Z597))</f>
        <v>Vip Section</v>
      </c>
      <c r="AB597" s="0" t="s">
        <v>167</v>
      </c>
      <c r="AC597" s="6" t="str">
        <f aca="false">PROPER(AB597)</f>
        <v>Word Of Mouth</v>
      </c>
      <c r="AD597" s="6" t="n">
        <v>15</v>
      </c>
      <c r="AE597" s="5" t="n">
        <f aca="false">IF(ISBLANK(AD597),AVERAGEIF(L597:L1596,L597,AD597:AD1596),AD597)</f>
        <v>15</v>
      </c>
      <c r="AF597" s="0" t="s">
        <v>112</v>
      </c>
      <c r="AG597" s="0" t="str">
        <f aca="false">PROPER(AF597)</f>
        <v>Unavailable</v>
      </c>
      <c r="AH597" s="0" t="s">
        <v>155</v>
      </c>
      <c r="AI597" s="0" t="s">
        <v>98</v>
      </c>
      <c r="AJ597" s="0" t="str">
        <f aca="false">PROPER(AI597)</f>
        <v>Emergency</v>
      </c>
      <c r="AK597" s="0" t="s">
        <v>196</v>
      </c>
      <c r="AL597" s="0" t="str">
        <f aca="false">PROPER(AK597)</f>
        <v>First Time</v>
      </c>
      <c r="AM597" s="0" t="s">
        <v>2326</v>
      </c>
      <c r="AN597" s="0" t="str">
        <f aca="false">IF(ISBLANK(AM597),"Unknown",AM597)</f>
        <v>Government Convoy</v>
      </c>
      <c r="AO597" s="0" t="s">
        <v>79</v>
      </c>
      <c r="AP597" s="0" t="str">
        <f aca="false">IF(ISBLANK(AO597),"Unknown",AO597)</f>
        <v>Specialist</v>
      </c>
      <c r="AQ597" s="0" t="n">
        <v>25000</v>
      </c>
      <c r="AR597" s="5" t="n">
        <f aca="false">IF(ISBLANK(AQ597),AVERAGEIF(M597:M1596,M597,AQ597:AQ1596),AQ597)</f>
        <v>25000</v>
      </c>
      <c r="AS597" s="0" t="n">
        <v>30000</v>
      </c>
      <c r="AT597" s="5" t="n">
        <f aca="false">IF(ISBLANK(AS597),AVERAGE(AS597:AS1596),AS597)</f>
        <v>30000</v>
      </c>
      <c r="AU597" s="0" t="s">
        <v>63</v>
      </c>
      <c r="AV597" s="0" t="str">
        <f aca="false">PROPER(IF(ISBLANK(AU597),"No",AU597))</f>
        <v>Yes</v>
      </c>
      <c r="AW597" s="0" t="n">
        <v>5000</v>
      </c>
      <c r="AX597" s="5" t="n">
        <f aca="false">IF(ISBLANK(AW597),0,AW597)</f>
        <v>5000</v>
      </c>
      <c r="AY597" s="0" t="s">
        <v>184</v>
      </c>
      <c r="AZ597" s="0" t="str">
        <f aca="false">UPPER(IF(ISBLANK(AY597),"NONE",AY597))</f>
        <v>N/A</v>
      </c>
      <c r="BA597" s="7" t="n">
        <v>45971</v>
      </c>
      <c r="BB597" s="7" t="n">
        <f aca="false">IF(ISBLANK(BA597),"No Follow Up Needed",BA597)</f>
        <v>45971</v>
      </c>
      <c r="BC597" s="0" t="s">
        <v>50</v>
      </c>
      <c r="BD597" s="0" t="str">
        <f aca="false">PROPER(IF(ISBLANK(BC597),"Unknown",BC597))</f>
        <v>No</v>
      </c>
      <c r="BE597" s="0" t="s">
        <v>171</v>
      </c>
      <c r="BF597" s="0" t="str">
        <f aca="false">IF(ISBLANK(BE597),"No comments",BE597)</f>
        <v>Shock absorber weakening</v>
      </c>
      <c r="BG597" s="0" t="s">
        <v>172</v>
      </c>
      <c r="BH597" s="0" t="str">
        <f aca="false">IF(ISBLANK(BG597),"No comments",BG597)</f>
        <v>Always late</v>
      </c>
      <c r="BI597" s="0" t="s">
        <v>50</v>
      </c>
      <c r="BJ597" s="0" t="str">
        <f aca="false">IF(ISBLANK(BI597),"Not Mentioned",BI597)</f>
        <v>No</v>
      </c>
      <c r="BK597" s="0" t="s">
        <v>61</v>
      </c>
      <c r="BL597" s="0" t="str">
        <f aca="false">PROPER(IF(ISBLANK(BK597),"Not Mentioned",BK597))</f>
        <v>No</v>
      </c>
      <c r="BM597" s="0" t="s">
        <v>63</v>
      </c>
      <c r="BN597" s="0" t="str">
        <f aca="false">PROPER(IF(ISBLANK(BM597),"Not Mentioned",BM597))</f>
        <v>Yes</v>
      </c>
      <c r="BP597" s="0" t="str">
        <f aca="false">IF(ISBLANK(BO597),"One-Time Plan",BO597)</f>
        <v>One-Time Plan</v>
      </c>
      <c r="BQ597" s="0" t="s">
        <v>190</v>
      </c>
      <c r="BR597" s="0" t="str">
        <f aca="false">PROPER(IF(ISBLANK(BQ597),"No",BQ597))</f>
        <v>Yes</v>
      </c>
    </row>
    <row r="598" customFormat="false" ht="15" hidden="false" customHeight="false" outlineLevel="0" collapsed="false">
      <c r="A598" s="0" t="s">
        <v>1479</v>
      </c>
      <c r="B598" s="2" t="n">
        <v>45871</v>
      </c>
      <c r="C598" s="2" t="str">
        <f aca="false">TEXT(B598,"dd/mm/yyyy")</f>
        <v>02/08/2025</v>
      </c>
      <c r="D598" s="0" t="s">
        <v>66</v>
      </c>
      <c r="E598" s="0" t="n">
        <v>8094674464</v>
      </c>
      <c r="F598" s="0" t="s">
        <v>43</v>
      </c>
      <c r="G598" s="0" t="s">
        <v>2315</v>
      </c>
      <c r="H598" s="0" t="s">
        <v>1480</v>
      </c>
      <c r="I598" s="0" t="s">
        <v>45</v>
      </c>
      <c r="J598" s="0" t="s">
        <v>2317</v>
      </c>
      <c r="K598" s="3" t="str">
        <f aca="false" t="array" ref="K598:K598">IFERROR(IF(J598&lt;&gt;"",J598,INDEX(J598:J1597,MATCH(1,(F598:F1597=F598)*(I598:I1597=I598)*(L598:L1597=L598)*(J598:J1597&lt;&gt;""),0))),"Not Found")</f>
        <v>Suspension Noise</v>
      </c>
      <c r="L598" s="3" t="s">
        <v>108</v>
      </c>
      <c r="M598" s="0" t="str">
        <f aca="false">PROPER(L598)</f>
        <v>Timing Belt</v>
      </c>
      <c r="N598" s="3" t="s">
        <v>109</v>
      </c>
      <c r="O598" s="0" t="str">
        <f aca="false" t="array" ref="O598:O598">IF(N598&lt;&gt;"",N598,_xlfn.xlookup(1,(L598:L1597=L598)*(N598:N1597&lt;&gt;""),N598:N1597,"Not Found"))</f>
        <v>Tijani</v>
      </c>
      <c r="P598" s="4" t="n">
        <v>16265</v>
      </c>
      <c r="Q598" s="0" t="s">
        <v>72</v>
      </c>
      <c r="R598" s="0" t="str">
        <f aca="false">PROPER(Q598)</f>
        <v>Pos</v>
      </c>
      <c r="S598" s="0" t="s">
        <v>63</v>
      </c>
      <c r="U598" s="5" t="n">
        <f aca="false">IF(ISBLANK(T598),AVERAGE(T598:T1597),T598)</f>
        <v>3.1</v>
      </c>
      <c r="V598" s="0" t="n">
        <v>5.1</v>
      </c>
      <c r="W598" s="0" t="s">
        <v>111</v>
      </c>
      <c r="X598" s="0" t="str">
        <f aca="false">IF(ISBLANK(W598),"No remarks",W598)</f>
        <v>Changed all filters</v>
      </c>
      <c r="Y598" s="0" t="s">
        <v>93</v>
      </c>
      <c r="Z598" s="0" t="s">
        <v>136</v>
      </c>
      <c r="AA598" s="0" t="str">
        <f aca="false">PROPER(IF(ISBLANK(Z598),"Location Unavailable",Z598))</f>
        <v>Vip Section</v>
      </c>
      <c r="AB598" s="0" t="s">
        <v>126</v>
      </c>
      <c r="AC598" s="6" t="str">
        <f aca="false">PROPER(AB598)</f>
        <v>Whatsapp</v>
      </c>
      <c r="AD598" s="6" t="n">
        <v>45</v>
      </c>
      <c r="AE598" s="5" t="n">
        <f aca="false">IF(ISBLANK(AD598),AVERAGEIF(L598:L1597,L598,AD598:AD1597),AD598)</f>
        <v>45</v>
      </c>
      <c r="AF598" s="0" t="s">
        <v>55</v>
      </c>
      <c r="AG598" s="0" t="str">
        <f aca="false">PROPER(AF598)</f>
        <v>Available</v>
      </c>
      <c r="AH598" s="0" t="s">
        <v>56</v>
      </c>
      <c r="AI598" s="0" t="s">
        <v>128</v>
      </c>
      <c r="AJ598" s="0" t="str">
        <f aca="false">PROPER(AI598)</f>
        <v>Normal</v>
      </c>
      <c r="AK598" s="0" t="s">
        <v>114</v>
      </c>
      <c r="AL598" s="0" t="str">
        <f aca="false">PROPER(AK598)</f>
        <v>Returning</v>
      </c>
      <c r="AM598" s="0" t="s">
        <v>2324</v>
      </c>
      <c r="AN598" s="0" t="str">
        <f aca="false">IF(ISBLANK(AM598),"Unknown",AM598)</f>
        <v>Logistics Convoy</v>
      </c>
      <c r="AO598" s="0" t="s">
        <v>79</v>
      </c>
      <c r="AP598" s="0" t="str">
        <f aca="false">IF(ISBLANK(AO598),"Unknown",AO598)</f>
        <v>Specialist</v>
      </c>
      <c r="AQ598" s="0" t="n">
        <v>20000</v>
      </c>
      <c r="AR598" s="5" t="n">
        <f aca="false">IF(ISBLANK(AQ598),AVERAGEIF(M598:M1597,M598,AQ598:AQ1597),AQ598)</f>
        <v>20000</v>
      </c>
      <c r="AS598" s="0" t="n">
        <v>30000</v>
      </c>
      <c r="AT598" s="5" t="n">
        <f aca="false">IF(ISBLANK(AS598),AVERAGE(AS598:AS1597),AS598)</f>
        <v>30000</v>
      </c>
      <c r="AU598" s="0" t="s">
        <v>63</v>
      </c>
      <c r="AV598" s="0" t="str">
        <f aca="false">PROPER(IF(ISBLANK(AU598),"No",AU598))</f>
        <v>Yes</v>
      </c>
      <c r="AW598" s="0" t="n">
        <v>5000</v>
      </c>
      <c r="AX598" s="5" t="n">
        <f aca="false">IF(ISBLANK(AW598),0,AW598)</f>
        <v>5000</v>
      </c>
      <c r="AZ598" s="0" t="str">
        <f aca="false">UPPER(IF(ISBLANK(AY598),"NONE",AY598))</f>
        <v>NONE</v>
      </c>
      <c r="BB598" s="7" t="str">
        <f aca="false">IF(ISBLANK(BA598),"No Follow Up Needed",BA598)</f>
        <v>No Follow Up Needed</v>
      </c>
      <c r="BC598" s="0" t="s">
        <v>50</v>
      </c>
      <c r="BD598" s="0" t="str">
        <f aca="false">PROPER(IF(ISBLANK(BC598),"Unknown",BC598))</f>
        <v>No</v>
      </c>
      <c r="BE598" s="0" t="s">
        <v>116</v>
      </c>
      <c r="BF598" s="0" t="str">
        <f aca="false">IF(ISBLANK(BE598),"No comments",BE598)</f>
        <v>Needs tire alignment</v>
      </c>
      <c r="BH598" s="0" t="str">
        <f aca="false">IF(ISBLANK(BG598),"No comments",BG598)</f>
        <v>No comments</v>
      </c>
      <c r="BI598" s="0" t="s">
        <v>50</v>
      </c>
      <c r="BJ598" s="0" t="str">
        <f aca="false">IF(ISBLANK(BI598),"Not Mentioned",BI598)</f>
        <v>No</v>
      </c>
      <c r="BK598" s="0" t="s">
        <v>50</v>
      </c>
      <c r="BL598" s="0" t="str">
        <f aca="false">PROPER(IF(ISBLANK(BK598),"Not Mentioned",BK598))</f>
        <v>No</v>
      </c>
      <c r="BM598" s="0" t="s">
        <v>50</v>
      </c>
      <c r="BN598" s="0" t="str">
        <f aca="false">PROPER(IF(ISBLANK(BM598),"Not Mentioned",BM598))</f>
        <v>No</v>
      </c>
      <c r="BO598" s="0" t="s">
        <v>2321</v>
      </c>
      <c r="BP598" s="0" t="str">
        <f aca="false">IF(ISBLANK(BO598),"One-Time Plan",BO598)</f>
        <v>One-Time Plan</v>
      </c>
      <c r="BQ598" s="0" t="s">
        <v>50</v>
      </c>
      <c r="BR598" s="0" t="str">
        <f aca="false">PROPER(IF(ISBLANK(BQ598),"No",BQ598))</f>
        <v>No</v>
      </c>
    </row>
    <row r="599" customFormat="false" ht="15" hidden="false" customHeight="false" outlineLevel="0" collapsed="false">
      <c r="A599" s="0" t="s">
        <v>1481</v>
      </c>
      <c r="B599" s="2" t="n">
        <v>45872</v>
      </c>
      <c r="C599" s="2" t="str">
        <f aca="false">TEXT(B599,"dd/mm/yyyy")</f>
        <v>03/08/2025</v>
      </c>
      <c r="D599" s="0" t="s">
        <v>66</v>
      </c>
      <c r="E599" s="0" t="n">
        <v>8062152370</v>
      </c>
      <c r="F599" s="0" t="s">
        <v>85</v>
      </c>
      <c r="G599" s="0" t="s">
        <v>2319</v>
      </c>
      <c r="H599" s="0" t="s">
        <v>1482</v>
      </c>
      <c r="I599" s="0" t="s">
        <v>45</v>
      </c>
      <c r="K599" s="3" t="str">
        <f aca="false" t="array" ref="K599:K599">IFERROR(IF(J599&lt;&gt;"",J599,INDEX(J599:J1598,MATCH(1,(F599:F1598=F599)*(I599:I1598=I599)*(L599:L1598=L599)*(J599:J1598&lt;&gt;""),0))),"Not Found")</f>
        <v>Suspension Noise</v>
      </c>
      <c r="L599" s="3" t="s">
        <v>142</v>
      </c>
      <c r="M599" s="0" t="str">
        <f aca="false">PROPER(L599)</f>
        <v>Oil Filter, Brake Pads</v>
      </c>
      <c r="N599" s="3" t="s">
        <v>71</v>
      </c>
      <c r="O599" s="0" t="str">
        <f aca="false" t="array" ref="O599:O599">IF(N599&lt;&gt;"",N599,_xlfn.xlookup(1,(L599:L1598=L599)*(N599:N1598&lt;&gt;""),N599:N1598,"Not Found"))</f>
        <v>Isaac Bobo</v>
      </c>
      <c r="P599" s="4" t="n">
        <v>116561</v>
      </c>
      <c r="Q599" s="0" t="s">
        <v>166</v>
      </c>
      <c r="R599" s="0" t="str">
        <f aca="false">PROPER(Q599)</f>
        <v>Transfer</v>
      </c>
      <c r="S599" s="0" t="s">
        <v>50</v>
      </c>
      <c r="U599" s="5" t="n">
        <f aca="false">IF(ISBLANK(T599),AVERAGE(T599:T1598),T599)</f>
        <v>3.1</v>
      </c>
      <c r="V599" s="0" t="n">
        <v>5.4</v>
      </c>
      <c r="X599" s="0" t="str">
        <f aca="false">IF(ISBLANK(W599),"No remarks",W599)</f>
        <v>No remarks</v>
      </c>
      <c r="Y599" s="0" t="s">
        <v>52</v>
      </c>
      <c r="Z599" s="0" t="s">
        <v>136</v>
      </c>
      <c r="AA599" s="0" t="str">
        <f aca="false">PROPER(IF(ISBLANK(Z599),"Location Unavailable",Z599))</f>
        <v>Vip Section</v>
      </c>
      <c r="AB599" s="0" t="s">
        <v>54</v>
      </c>
      <c r="AC599" s="6" t="str">
        <f aca="false">PROPER(AB599)</f>
        <v>Mechanic Referral</v>
      </c>
      <c r="AE599" s="5" t="n">
        <f aca="false">IF(ISBLANK(AD599),AVERAGEIF(L599:L1598,L599,AD599:AD1598),AD599)</f>
        <v>38.9473684210526</v>
      </c>
      <c r="AF599" s="0" t="s">
        <v>112</v>
      </c>
      <c r="AG599" s="0" t="str">
        <f aca="false">PROPER(AF599)</f>
        <v>Unavailable</v>
      </c>
      <c r="AH599" s="0" t="s">
        <v>77</v>
      </c>
      <c r="AI599" s="0" t="s">
        <v>78</v>
      </c>
      <c r="AJ599" s="0" t="str">
        <f aca="false">PROPER(AI599)</f>
        <v>Booking</v>
      </c>
      <c r="AK599" s="0" t="s">
        <v>99</v>
      </c>
      <c r="AL599" s="0" t="str">
        <f aca="false">PROPER(AK599)</f>
        <v>Uber Driver</v>
      </c>
      <c r="AN599" s="0" t="str">
        <f aca="false">IF(ISBLANK(AM599),"Unknown",AM599)</f>
        <v>Unknown</v>
      </c>
      <c r="AO599" s="0" t="s">
        <v>149</v>
      </c>
      <c r="AP599" s="0" t="str">
        <f aca="false">IF(ISBLANK(AO599),"Unknown",AO599)</f>
        <v>Senior </v>
      </c>
      <c r="AQ599" s="0" t="n">
        <v>30000</v>
      </c>
      <c r="AR599" s="5" t="n">
        <f aca="false">IF(ISBLANK(AQ599),AVERAGEIF(M599:M1598,M599,AQ599:AQ1598),AQ599)</f>
        <v>30000</v>
      </c>
      <c r="AS599" s="0" t="n">
        <v>20000</v>
      </c>
      <c r="AT599" s="5" t="n">
        <f aca="false">IF(ISBLANK(AS599),AVERAGE(AS599:AS1598),AS599)</f>
        <v>20000</v>
      </c>
      <c r="AU599" s="0" t="s">
        <v>63</v>
      </c>
      <c r="AV599" s="0" t="str">
        <f aca="false">PROPER(IF(ISBLANK(AU599),"No",AU599))</f>
        <v>Yes</v>
      </c>
      <c r="AW599" s="0" t="n">
        <v>10000</v>
      </c>
      <c r="AX599" s="5" t="n">
        <f aca="false">IF(ISBLANK(AW599),0,AW599)</f>
        <v>10000</v>
      </c>
      <c r="AY599" s="0" t="s">
        <v>184</v>
      </c>
      <c r="AZ599" s="0" t="str">
        <f aca="false">UPPER(IF(ISBLANK(AY599),"NONE",AY599))</f>
        <v>N/A</v>
      </c>
      <c r="BB599" s="7" t="str">
        <f aca="false">IF(ISBLANK(BA599),"No Follow Up Needed",BA599)</f>
        <v>No Follow Up Needed</v>
      </c>
      <c r="BC599" s="0" t="s">
        <v>61</v>
      </c>
      <c r="BD599" s="0" t="str">
        <f aca="false">PROPER(IF(ISBLANK(BC599),"Unknown",BC599))</f>
        <v>No</v>
      </c>
      <c r="BF599" s="0" t="str">
        <f aca="false">IF(ISBLANK(BE599),"No comments",BE599)</f>
        <v>No comments</v>
      </c>
      <c r="BH599" s="0" t="str">
        <f aca="false">IF(ISBLANK(BG599),"No comments",BG599)</f>
        <v>No comments</v>
      </c>
      <c r="BJ599" s="0" t="str">
        <f aca="false">IF(ISBLANK(BI599),"Not Mentioned",BI599)</f>
        <v>Not Mentioned</v>
      </c>
      <c r="BK599" s="0" t="s">
        <v>63</v>
      </c>
      <c r="BL599" s="0" t="str">
        <f aca="false">PROPER(IF(ISBLANK(BK599),"Not Mentioned",BK599))</f>
        <v>Yes</v>
      </c>
      <c r="BM599" s="0" t="s">
        <v>63</v>
      </c>
      <c r="BN599" s="0" t="str">
        <f aca="false">PROPER(IF(ISBLANK(BM599),"Not Mentioned",BM599))</f>
        <v>Yes</v>
      </c>
      <c r="BP599" s="0" t="str">
        <f aca="false">IF(ISBLANK(BO599),"One-Time Plan",BO599)</f>
        <v>One-Time Plan</v>
      </c>
      <c r="BQ599" s="0" t="s">
        <v>198</v>
      </c>
      <c r="BR599" s="0" t="str">
        <f aca="false">PROPER(IF(ISBLANK(BQ599),"No",BQ599))</f>
        <v>Followed Up</v>
      </c>
    </row>
    <row r="600" customFormat="false" ht="15" hidden="false" customHeight="false" outlineLevel="0" collapsed="false">
      <c r="A600" s="0" t="s">
        <v>1484</v>
      </c>
      <c r="B600" s="2" t="s">
        <v>1483</v>
      </c>
      <c r="C600" s="2" t="str">
        <f aca="false">TEXT(B600,"dd/mm/yyyy")</f>
        <v>16/05/2025</v>
      </c>
      <c r="D600" s="0" t="s">
        <v>105</v>
      </c>
      <c r="E600" s="0" t="n">
        <v>8027841755</v>
      </c>
      <c r="F600" s="0" t="s">
        <v>122</v>
      </c>
      <c r="G600" s="0" t="s">
        <v>2316</v>
      </c>
      <c r="H600" s="0" t="s">
        <v>1485</v>
      </c>
      <c r="I600" s="0" t="s">
        <v>87</v>
      </c>
      <c r="J600" s="0" t="s">
        <v>2317</v>
      </c>
      <c r="K600" s="3" t="str">
        <f aca="false" t="array" ref="K600:K600">IFERROR(IF(J600&lt;&gt;"",J600,INDEX(J600:J1599,MATCH(1,(F600:F1599=F600)*(I600:I1599=I600)*(L600:L1599=L600)*(J600:J1599&lt;&gt;""),0))),"Not Found")</f>
        <v>Suspension Noise</v>
      </c>
      <c r="L600" s="3" t="s">
        <v>154</v>
      </c>
      <c r="M600" s="0" t="str">
        <f aca="false">PROPER(L600)</f>
        <v>Air Filter</v>
      </c>
      <c r="O600" s="0" t="e">
        <f aca="false" t="array" ref="O600:O600">IF(N600&lt;&gt;"",N600,_xlfn.xlookup(1,(L600:L1599=L600)*(N600:N1599&lt;&gt;""),N600:N1599,"Not Found"))</f>
        <v>#NAME?</v>
      </c>
      <c r="P600" s="4" t="n">
        <v>47712</v>
      </c>
      <c r="Q600" s="0" t="s">
        <v>49</v>
      </c>
      <c r="R600" s="0" t="str">
        <f aca="false">PROPER(Q600)</f>
        <v>Transfer</v>
      </c>
      <c r="S600" s="0" t="s">
        <v>63</v>
      </c>
      <c r="T600" s="0" t="n">
        <v>2</v>
      </c>
      <c r="U600" s="5" t="n">
        <f aca="false">IF(ISBLANK(T600),AVERAGE(T600:T1599),T600)</f>
        <v>2</v>
      </c>
      <c r="V600" s="0" t="n">
        <v>5.8</v>
      </c>
      <c r="W600" s="0" t="s">
        <v>111</v>
      </c>
      <c r="X600" s="0" t="str">
        <f aca="false">IF(ISBLANK(W600),"No remarks",W600)</f>
        <v>Changed all filters</v>
      </c>
      <c r="Y600" s="0" t="s">
        <v>73</v>
      </c>
      <c r="Z600" s="0" t="s">
        <v>159</v>
      </c>
      <c r="AA600" s="0" t="str">
        <f aca="false">PROPER(IF(ISBLANK(Z600),"Location Unavailable",Z600))</f>
        <v>Main Bay</v>
      </c>
      <c r="AB600" s="0" t="s">
        <v>75</v>
      </c>
      <c r="AC600" s="6" t="str">
        <f aca="false">PROPER(AB600)</f>
        <v>Mechanik Referal</v>
      </c>
      <c r="AD600" s="6" t="n">
        <v>45</v>
      </c>
      <c r="AE600" s="5" t="n">
        <f aca="false">IF(ISBLANK(AD600),AVERAGEIF(L600:L1599,L600,AD600:AD1599),AD600)</f>
        <v>45</v>
      </c>
      <c r="AF600" s="0" t="s">
        <v>160</v>
      </c>
      <c r="AG600" s="0" t="str">
        <f aca="false">PROPER(AF600)</f>
        <v>Availaible</v>
      </c>
      <c r="AH600" s="0" t="s">
        <v>148</v>
      </c>
      <c r="AI600" s="0" t="s">
        <v>113</v>
      </c>
      <c r="AJ600" s="0" t="str">
        <f aca="false">PROPER(AI600)</f>
        <v>Normal</v>
      </c>
      <c r="AK600" s="0" t="s">
        <v>99</v>
      </c>
      <c r="AL600" s="0" t="str">
        <f aca="false">PROPER(AK600)</f>
        <v>Uber Driver</v>
      </c>
      <c r="AN600" s="0" t="str">
        <f aca="false">IF(ISBLANK(AM600),"Unknown",AM600)</f>
        <v>Unknown</v>
      </c>
      <c r="AP600" s="0" t="str">
        <f aca="false">IF(ISBLANK(AO600),"Unknown",AO600)</f>
        <v>Unknown</v>
      </c>
      <c r="AQ600" s="0" t="n">
        <v>40000</v>
      </c>
      <c r="AR600" s="5" t="n">
        <f aca="false">IF(ISBLANK(AQ600),AVERAGEIF(M600:M1599,M600,AQ600:AQ1599),AQ600)</f>
        <v>40000</v>
      </c>
      <c r="AT600" s="5" t="n">
        <f aca="false">IF(ISBLANK(AS600),AVERAGE(AS600:AS1599),AS600)</f>
        <v>31617.6470588235</v>
      </c>
      <c r="AU600" s="0" t="s">
        <v>50</v>
      </c>
      <c r="AV600" s="0" t="str">
        <f aca="false">PROPER(IF(ISBLANK(AU600),"No",AU600))</f>
        <v>No</v>
      </c>
      <c r="AX600" s="5" t="n">
        <f aca="false">IF(ISBLANK(AW600),0,AW600)</f>
        <v>0</v>
      </c>
      <c r="AZ600" s="0" t="str">
        <f aca="false">UPPER(IF(ISBLANK(AY600),"NONE",AY600))</f>
        <v>NONE</v>
      </c>
      <c r="BA600" s="7" t="s">
        <v>1486</v>
      </c>
      <c r="BB600" s="7" t="str">
        <f aca="false">IF(ISBLANK(BA600),"No Follow Up Needed",BA600)</f>
        <v>20/08/2025</v>
      </c>
      <c r="BC600" s="0" t="s">
        <v>50</v>
      </c>
      <c r="BD600" s="0" t="str">
        <f aca="false">PROPER(IF(ISBLANK(BC600),"Unknown",BC600))</f>
        <v>No</v>
      </c>
      <c r="BE600" s="0" t="s">
        <v>171</v>
      </c>
      <c r="BF600" s="0" t="str">
        <f aca="false">IF(ISBLANK(BE600),"No comments",BE600)</f>
        <v>Shock absorber weakening</v>
      </c>
      <c r="BG600" s="0" t="s">
        <v>172</v>
      </c>
      <c r="BH600" s="0" t="str">
        <f aca="false">IF(ISBLANK(BG600),"No comments",BG600)</f>
        <v>Always late</v>
      </c>
      <c r="BI600" s="0" t="s">
        <v>63</v>
      </c>
      <c r="BJ600" s="0" t="str">
        <f aca="false">IF(ISBLANK(BI600),"Not Mentioned",BI600)</f>
        <v>Yes</v>
      </c>
      <c r="BL600" s="0" t="str">
        <f aca="false">PROPER(IF(ISBLANK(BK600),"Not Mentioned",BK600))</f>
        <v>Not Mentioned</v>
      </c>
      <c r="BN600" s="0" t="str">
        <f aca="false">PROPER(IF(ISBLANK(BM600),"Not Mentioned",BM600))</f>
        <v>Not Mentioned</v>
      </c>
      <c r="BO600" s="0" t="s">
        <v>64</v>
      </c>
      <c r="BP600" s="0" t="str">
        <f aca="false">IF(ISBLANK(BO600),"One-Time Plan",BO600)</f>
        <v>Gold Maintenance Plan</v>
      </c>
      <c r="BR600" s="0" t="str">
        <f aca="false">PROPER(IF(ISBLANK(BQ600),"No",BQ600))</f>
        <v>No</v>
      </c>
    </row>
    <row r="601" customFormat="false" ht="15" hidden="false" customHeight="false" outlineLevel="0" collapsed="false">
      <c r="A601" s="0" t="s">
        <v>1487</v>
      </c>
      <c r="B601" s="2" t="n">
        <v>45679</v>
      </c>
      <c r="C601" s="2" t="str">
        <f aca="false">TEXT(B601,"dd/mm/yyyy")</f>
        <v>22/01/2025</v>
      </c>
      <c r="D601" s="0" t="s">
        <v>105</v>
      </c>
      <c r="E601" s="0" t="n">
        <v>8054566533</v>
      </c>
      <c r="F601" s="0" t="s">
        <v>139</v>
      </c>
      <c r="G601" s="0" t="s">
        <v>2323</v>
      </c>
      <c r="H601" s="0" t="s">
        <v>1488</v>
      </c>
      <c r="I601" s="0" t="s">
        <v>87</v>
      </c>
      <c r="J601" s="0" t="s">
        <v>2325</v>
      </c>
      <c r="K601" s="3" t="str">
        <f aca="false" t="array" ref="K601:K601">IFERROR(IF(J601&lt;&gt;"",J601,INDEX(J601:J1600,MATCH(1,(F601:F1600=F601)*(I601:I1600=I601)*(L601:L1600=L601)*(J601:J1600&lt;&gt;""),0))),"Not Found")</f>
        <v>Engine Knocking</v>
      </c>
      <c r="L601" s="3" t="s">
        <v>189</v>
      </c>
      <c r="M601" s="0" t="str">
        <f aca="false">PROPER(L601)</f>
        <v>Battery</v>
      </c>
      <c r="N601" s="3" t="s">
        <v>109</v>
      </c>
      <c r="O601" s="0" t="str">
        <f aca="false" t="array" ref="O601:O601">IF(N601&lt;&gt;"",N601,_xlfn.xlookup(1,(L601:L1600=L601)*(N601:N1600&lt;&gt;""),N601:N1600,"Not Found"))</f>
        <v>Tijani</v>
      </c>
      <c r="P601" s="4" t="n">
        <v>57332</v>
      </c>
      <c r="Q601" s="0" t="s">
        <v>72</v>
      </c>
      <c r="R601" s="0" t="str">
        <f aca="false">PROPER(Q601)</f>
        <v>Pos</v>
      </c>
      <c r="S601" s="0" t="s">
        <v>50</v>
      </c>
      <c r="U601" s="5" t="n">
        <f aca="false">IF(ISBLANK(T601),AVERAGE(T601:T1600),T601)</f>
        <v>3.10334346504559</v>
      </c>
      <c r="V601" s="0" t="n">
        <v>1.9</v>
      </c>
      <c r="W601" s="0" t="s">
        <v>51</v>
      </c>
      <c r="X601" s="0" t="str">
        <f aca="false">IF(ISBLANK(W601),"No remarks",W601)</f>
        <v>Recommended further checks</v>
      </c>
      <c r="Y601" s="0" t="s">
        <v>52</v>
      </c>
      <c r="Z601" s="0" t="s">
        <v>94</v>
      </c>
      <c r="AA601" s="0" t="str">
        <f aca="false">PROPER(IF(ISBLANK(Z601),"Location Unavailable",Z601))</f>
        <v>Vip Section</v>
      </c>
      <c r="AB601" s="0" t="s">
        <v>75</v>
      </c>
      <c r="AC601" s="6" t="str">
        <f aca="false">PROPER(AB601)</f>
        <v>Mechanik Referal</v>
      </c>
      <c r="AD601" s="6" t="n">
        <v>60</v>
      </c>
      <c r="AE601" s="5" t="n">
        <f aca="false">IF(ISBLANK(AD601),AVERAGEIF(L601:L1600,L601,AD601:AD1600),AD601)</f>
        <v>60</v>
      </c>
      <c r="AF601" s="0" t="s">
        <v>96</v>
      </c>
      <c r="AG601" s="0" t="str">
        <f aca="false">PROPER(AF601)</f>
        <v>Ordered</v>
      </c>
      <c r="AH601" s="0" t="s">
        <v>155</v>
      </c>
      <c r="AI601" s="0" t="s">
        <v>78</v>
      </c>
      <c r="AJ601" s="0" t="str">
        <f aca="false">PROPER(AI601)</f>
        <v>Booking</v>
      </c>
      <c r="AK601" s="0" t="s">
        <v>114</v>
      </c>
      <c r="AL601" s="0" t="str">
        <f aca="false">PROPER(AK601)</f>
        <v>Returning</v>
      </c>
      <c r="AM601" s="0" t="s">
        <v>177</v>
      </c>
      <c r="AN601" s="0" t="str">
        <f aca="false">IF(ISBLANK(AM601),"Unknown",AM601)</f>
        <v>Private</v>
      </c>
      <c r="AO601" s="0" t="s">
        <v>143</v>
      </c>
      <c r="AP601" s="0" t="str">
        <f aca="false">IF(ISBLANK(AO601),"Unknown",AO601)</f>
        <v>Senior</v>
      </c>
      <c r="AQ601" s="0" t="n">
        <v>15000</v>
      </c>
      <c r="AR601" s="5" t="n">
        <f aca="false">IF(ISBLANK(AQ601),AVERAGEIF(M601:M1600,M601,AQ601:AQ1600),AQ601)</f>
        <v>15000</v>
      </c>
      <c r="AS601" s="0" t="n">
        <v>30000</v>
      </c>
      <c r="AT601" s="5" t="n">
        <f aca="false">IF(ISBLANK(AS601),AVERAGE(AS601:AS1600),AS601)</f>
        <v>30000</v>
      </c>
      <c r="AU601" s="0" t="s">
        <v>82</v>
      </c>
      <c r="AV601" s="0" t="str">
        <f aca="false">PROPER(IF(ISBLANK(AU601),"No",AU601))</f>
        <v>Yes</v>
      </c>
      <c r="AX601" s="5" t="n">
        <f aca="false">IF(ISBLANK(AW601),0,AW601)</f>
        <v>0</v>
      </c>
      <c r="AY601" s="0" t="s">
        <v>80</v>
      </c>
      <c r="AZ601" s="0" t="str">
        <f aca="false">UPPER(IF(ISBLANK(AY601),"NONE",AY601))</f>
        <v>PROMO10</v>
      </c>
      <c r="BA601" s="7" t="s">
        <v>771</v>
      </c>
      <c r="BB601" s="7" t="str">
        <f aca="false">IF(ISBLANK(BA601),"No Follow Up Needed",BA601)</f>
        <v>26/07/2025</v>
      </c>
      <c r="BC601" s="0" t="s">
        <v>63</v>
      </c>
      <c r="BD601" s="0" t="str">
        <f aca="false">PROPER(IF(ISBLANK(BC601),"Unknown",BC601))</f>
        <v>Yes</v>
      </c>
      <c r="BF601" s="0" t="str">
        <f aca="false">IF(ISBLANK(BE601),"No comments",BE601)</f>
        <v>No comments</v>
      </c>
      <c r="BH601" s="0" t="str">
        <f aca="false">IF(ISBLANK(BG601),"No comments",BG601)</f>
        <v>No comments</v>
      </c>
      <c r="BI601" s="0" t="s">
        <v>50</v>
      </c>
      <c r="BJ601" s="0" t="str">
        <f aca="false">IF(ISBLANK(BI601),"Not Mentioned",BI601)</f>
        <v>No</v>
      </c>
      <c r="BK601" s="0" t="s">
        <v>63</v>
      </c>
      <c r="BL601" s="0" t="str">
        <f aca="false">PROPER(IF(ISBLANK(BK601),"Not Mentioned",BK601))</f>
        <v>Yes</v>
      </c>
      <c r="BM601" s="0" t="s">
        <v>63</v>
      </c>
      <c r="BN601" s="0" t="str">
        <f aca="false">PROPER(IF(ISBLANK(BM601),"Not Mentioned",BM601))</f>
        <v>Yes</v>
      </c>
      <c r="BO601" s="0" t="s">
        <v>2321</v>
      </c>
      <c r="BP601" s="0" t="str">
        <f aca="false">IF(ISBLANK(BO601),"One-Time Plan",BO601)</f>
        <v>One-Time Plan</v>
      </c>
      <c r="BQ601" s="0" t="s">
        <v>63</v>
      </c>
      <c r="BR601" s="0" t="str">
        <f aca="false">PROPER(IF(ISBLANK(BQ601),"No",BQ601))</f>
        <v>Yes</v>
      </c>
    </row>
    <row r="602" customFormat="false" ht="15" hidden="false" customHeight="false" outlineLevel="0" collapsed="false">
      <c r="A602" s="0" t="s">
        <v>1489</v>
      </c>
      <c r="B602" s="2" t="n">
        <v>45784</v>
      </c>
      <c r="C602" s="2" t="str">
        <f aca="false">TEXT(B602,"dd/mm/yyyy")</f>
        <v>07/05/2025</v>
      </c>
      <c r="D602" s="0" t="s">
        <v>121</v>
      </c>
      <c r="E602" s="0" t="n">
        <v>8033532534</v>
      </c>
      <c r="F602" s="0" t="s">
        <v>67</v>
      </c>
      <c r="G602" s="0" t="s">
        <v>2316</v>
      </c>
      <c r="H602" s="0" t="s">
        <v>1490</v>
      </c>
      <c r="I602" s="0" t="s">
        <v>69</v>
      </c>
      <c r="J602" s="0" t="s">
        <v>2325</v>
      </c>
      <c r="K602" s="3" t="str">
        <f aca="false" t="array" ref="K602:K602">IFERROR(IF(J602&lt;&gt;"",J602,INDEX(J602:J1601,MATCH(1,(F602:F1601=F602)*(I602:I1601=I602)*(L602:L1601=L602)*(J602:J1601&lt;&gt;""),0))),"Not Found")</f>
        <v>Engine Knocking</v>
      </c>
      <c r="L602" s="3" t="s">
        <v>189</v>
      </c>
      <c r="M602" s="0" t="str">
        <f aca="false">PROPER(L602)</f>
        <v>Battery</v>
      </c>
      <c r="N602" s="3" t="s">
        <v>48</v>
      </c>
      <c r="O602" s="0" t="str">
        <f aca="false" t="array" ref="O602:O602">IF(N602&lt;&gt;"",N602,_xlfn.xlookup(1,(L602:L1601=L602)*(N602:N1601&lt;&gt;""),N602:N1601,"Not Found"))</f>
        <v>Uche</v>
      </c>
      <c r="P602" s="4" t="n">
        <v>79559</v>
      </c>
      <c r="Q602" s="0" t="s">
        <v>124</v>
      </c>
      <c r="R602" s="0" t="str">
        <f aca="false">PROPER(Q602)</f>
        <v>Cash</v>
      </c>
      <c r="S602" s="0" t="s">
        <v>63</v>
      </c>
      <c r="T602" s="0" t="n">
        <v>4</v>
      </c>
      <c r="U602" s="5" t="n">
        <f aca="false">IF(ISBLANK(T602),AVERAGE(T602:T1601),T602)</f>
        <v>4</v>
      </c>
      <c r="V602" s="0" t="n">
        <v>1.6</v>
      </c>
      <c r="X602" s="0" t="str">
        <f aca="false">IF(ISBLANK(W602),"No remarks",W602)</f>
        <v>No remarks</v>
      </c>
      <c r="Y602" s="0" t="s">
        <v>93</v>
      </c>
      <c r="Z602" s="0" t="s">
        <v>136</v>
      </c>
      <c r="AA602" s="0" t="str">
        <f aca="false">PROPER(IF(ISBLANK(Z602),"Location Unavailable",Z602))</f>
        <v>Vip Section</v>
      </c>
      <c r="AB602" s="0" t="s">
        <v>95</v>
      </c>
      <c r="AC602" s="6" t="str">
        <f aca="false">PROPER(AB602)</f>
        <v>Road Sign</v>
      </c>
      <c r="AD602" s="6" t="n">
        <v>15</v>
      </c>
      <c r="AE602" s="5" t="n">
        <f aca="false">IF(ISBLANK(AD602),AVERAGEIF(L602:L1601,L602,AD602:AD1601),AD602)</f>
        <v>15</v>
      </c>
      <c r="AF602" s="0" t="s">
        <v>112</v>
      </c>
      <c r="AG602" s="0" t="str">
        <f aca="false">PROPER(AF602)</f>
        <v>Unavailable</v>
      </c>
      <c r="AH602" s="0" t="s">
        <v>155</v>
      </c>
      <c r="AI602" s="0" t="s">
        <v>98</v>
      </c>
      <c r="AJ602" s="0" t="str">
        <f aca="false">PROPER(AI602)</f>
        <v>Emergency</v>
      </c>
      <c r="AK602" s="0" t="s">
        <v>58</v>
      </c>
      <c r="AL602" s="0" t="str">
        <f aca="false">PROPER(AK602)</f>
        <v>Fleet Owner</v>
      </c>
      <c r="AM602" s="0" t="s">
        <v>2324</v>
      </c>
      <c r="AN602" s="0" t="str">
        <f aca="false">IF(ISBLANK(AM602),"Unknown",AM602)</f>
        <v>Logistics Convoy</v>
      </c>
      <c r="AO602" s="0" t="s">
        <v>79</v>
      </c>
      <c r="AP602" s="0" t="str">
        <f aca="false">IF(ISBLANK(AO602),"Unknown",AO602)</f>
        <v>Specialist</v>
      </c>
      <c r="AQ602" s="0" t="n">
        <v>40000</v>
      </c>
      <c r="AR602" s="5" t="n">
        <f aca="false">IF(ISBLANK(AQ602),AVERAGEIF(M602:M1601,M602,AQ602:AQ1601),AQ602)</f>
        <v>40000</v>
      </c>
      <c r="AS602" s="0" t="n">
        <v>30000</v>
      </c>
      <c r="AT602" s="5" t="n">
        <f aca="false">IF(ISBLANK(AS602),AVERAGE(AS602:AS1601),AS602)</f>
        <v>30000</v>
      </c>
      <c r="AU602" s="0" t="s">
        <v>63</v>
      </c>
      <c r="AV602" s="0" t="str">
        <f aca="false">PROPER(IF(ISBLANK(AU602),"No",AU602))</f>
        <v>Yes</v>
      </c>
      <c r="AX602" s="5" t="n">
        <f aca="false">IF(ISBLANK(AW602),0,AW602)</f>
        <v>0</v>
      </c>
      <c r="AY602" s="0" t="s">
        <v>80</v>
      </c>
      <c r="AZ602" s="0" t="str">
        <f aca="false">UPPER(IF(ISBLANK(AY602),"NONE",AY602))</f>
        <v>PROMO10</v>
      </c>
      <c r="BA602" s="7" t="s">
        <v>1491</v>
      </c>
      <c r="BB602" s="7" t="str">
        <f aca="false">IF(ISBLANK(BA602),"No Follow Up Needed",BA602)</f>
        <v>20/06/2025</v>
      </c>
      <c r="BC602" s="0" t="s">
        <v>82</v>
      </c>
      <c r="BD602" s="0" t="str">
        <f aca="false">PROPER(IF(ISBLANK(BC602),"Unknown",BC602))</f>
        <v>Yes</v>
      </c>
      <c r="BE602" s="0" t="s">
        <v>116</v>
      </c>
      <c r="BF602" s="0" t="str">
        <f aca="false">IF(ISBLANK(BE602),"No comments",BE602)</f>
        <v>Needs tire alignment</v>
      </c>
      <c r="BH602" s="0" t="str">
        <f aca="false">IF(ISBLANK(BG602),"No comments",BG602)</f>
        <v>No comments</v>
      </c>
      <c r="BI602" s="0" t="s">
        <v>50</v>
      </c>
      <c r="BJ602" s="0" t="str">
        <f aca="false">IF(ISBLANK(BI602),"Not Mentioned",BI602)</f>
        <v>No</v>
      </c>
      <c r="BK602" s="0" t="s">
        <v>50</v>
      </c>
      <c r="BL602" s="0" t="str">
        <f aca="false">PROPER(IF(ISBLANK(BK602),"Not Mentioned",BK602))</f>
        <v>No</v>
      </c>
      <c r="BM602" s="0" t="s">
        <v>63</v>
      </c>
      <c r="BN602" s="0" t="str">
        <f aca="false">PROPER(IF(ISBLANK(BM602),"Not Mentioned",BM602))</f>
        <v>Yes</v>
      </c>
      <c r="BP602" s="0" t="str">
        <f aca="false">IF(ISBLANK(BO602),"One-Time Plan",BO602)</f>
        <v>One-Time Plan</v>
      </c>
      <c r="BQ602" s="0" t="s">
        <v>50</v>
      </c>
      <c r="BR602" s="0" t="str">
        <f aca="false">PROPER(IF(ISBLANK(BQ602),"No",BQ602))</f>
        <v>No</v>
      </c>
    </row>
    <row r="603" customFormat="false" ht="15" hidden="false" customHeight="false" outlineLevel="0" collapsed="false">
      <c r="A603" s="0" t="s">
        <v>1492</v>
      </c>
      <c r="B603" s="2" t="n">
        <v>45770</v>
      </c>
      <c r="C603" s="2" t="str">
        <f aca="false">TEXT(B603,"dd/mm/yyyy")</f>
        <v>23/04/2025</v>
      </c>
      <c r="D603" s="0" t="s">
        <v>42</v>
      </c>
      <c r="E603" s="0" t="n">
        <v>8095275696</v>
      </c>
      <c r="F603" s="0" t="s">
        <v>43</v>
      </c>
      <c r="G603" s="0" t="s">
        <v>2315</v>
      </c>
      <c r="H603" s="0" t="s">
        <v>1493</v>
      </c>
      <c r="I603" s="0" t="s">
        <v>107</v>
      </c>
      <c r="J603" s="0" t="s">
        <v>2317</v>
      </c>
      <c r="K603" s="3" t="str">
        <f aca="false" t="array" ref="K603:K603">IFERROR(IF(J603&lt;&gt;"",J603,INDEX(J603:J1602,MATCH(1,(F603:F1602=F603)*(I603:I1602=I603)*(L603:L1602=L603)*(J603:J1602&lt;&gt;""),0))),"Not Found")</f>
        <v>Suspension Noise</v>
      </c>
      <c r="L603" s="3" t="s">
        <v>142</v>
      </c>
      <c r="M603" s="0" t="str">
        <f aca="false">PROPER(L603)</f>
        <v>Oil Filter, Brake Pads</v>
      </c>
      <c r="O603" s="0" t="e">
        <f aca="false" t="array" ref="O603:O603">IF(N603&lt;&gt;"",N603,_xlfn.xlookup(1,(L603:L1602=L603)*(N603:N1602&lt;&gt;""),N603:N1602,"Not Found"))</f>
        <v>#NAME?</v>
      </c>
      <c r="P603" s="4" t="n">
        <v>46116</v>
      </c>
      <c r="Q603" s="0" t="s">
        <v>49</v>
      </c>
      <c r="R603" s="0" t="str">
        <f aca="false">PROPER(Q603)</f>
        <v>Transfer</v>
      </c>
      <c r="S603" s="0" t="s">
        <v>50</v>
      </c>
      <c r="T603" s="0" t="n">
        <v>2</v>
      </c>
      <c r="U603" s="5" t="n">
        <f aca="false">IF(ISBLANK(T603),AVERAGE(T603:T1602),T603)</f>
        <v>2</v>
      </c>
      <c r="V603" s="0" t="n">
        <v>1.7</v>
      </c>
      <c r="W603" s="0" t="s">
        <v>125</v>
      </c>
      <c r="X603" s="0" t="str">
        <f aca="false">IF(ISBLANK(W603),"No remarks",W603)</f>
        <v>Customer waited</v>
      </c>
      <c r="Y603" s="0" t="s">
        <v>93</v>
      </c>
      <c r="Z603" s="0" t="s">
        <v>74</v>
      </c>
      <c r="AA603" s="0" t="str">
        <f aca="false">PROPER(IF(ISBLANK(Z603),"Location Unavailable",Z603))</f>
        <v>Under Tree</v>
      </c>
      <c r="AB603" s="0" t="s">
        <v>126</v>
      </c>
      <c r="AC603" s="6" t="str">
        <f aca="false">PROPER(AB603)</f>
        <v>Whatsapp</v>
      </c>
      <c r="AD603" s="6" t="n">
        <v>45</v>
      </c>
      <c r="AE603" s="5" t="n">
        <f aca="false">IF(ISBLANK(AD603),AVERAGEIF(L603:L1602,L603,AD603:AD1602),AD603)</f>
        <v>45</v>
      </c>
      <c r="AF603" s="0" t="s">
        <v>96</v>
      </c>
      <c r="AG603" s="0" t="str">
        <f aca="false">PROPER(AF603)</f>
        <v>Ordered</v>
      </c>
      <c r="AH603" s="0" t="s">
        <v>148</v>
      </c>
      <c r="AI603" s="0" t="s">
        <v>98</v>
      </c>
      <c r="AJ603" s="0" t="str">
        <f aca="false">PROPER(AI603)</f>
        <v>Emergency</v>
      </c>
      <c r="AK603" s="0" t="s">
        <v>99</v>
      </c>
      <c r="AL603" s="0" t="str">
        <f aca="false">PROPER(AK603)</f>
        <v>Uber Driver</v>
      </c>
      <c r="AN603" s="0" t="str">
        <f aca="false">IF(ISBLANK(AM603),"Unknown",AM603)</f>
        <v>Unknown</v>
      </c>
      <c r="AO603" s="0" t="s">
        <v>79</v>
      </c>
      <c r="AP603" s="0" t="str">
        <f aca="false">IF(ISBLANK(AO603),"Unknown",AO603)</f>
        <v>Specialist</v>
      </c>
      <c r="AQ603" s="0" t="n">
        <v>25000</v>
      </c>
      <c r="AR603" s="5" t="n">
        <f aca="false">IF(ISBLANK(AQ603),AVERAGEIF(M603:M1602,M603,AQ603:AQ1602),AQ603)</f>
        <v>25000</v>
      </c>
      <c r="AT603" s="5" t="n">
        <f aca="false">IF(ISBLANK(AS603),AVERAGE(AS603:AS1602),AS603)</f>
        <v>31627.2189349112</v>
      </c>
      <c r="AV603" s="0" t="str">
        <f aca="false">PROPER(IF(ISBLANK(AU603),"No",AU603))</f>
        <v>No</v>
      </c>
      <c r="AW603" s="0" t="n">
        <v>5000</v>
      </c>
      <c r="AX603" s="5" t="n">
        <f aca="false">IF(ISBLANK(AW603),0,AW603)</f>
        <v>5000</v>
      </c>
      <c r="AY603" s="0" t="s">
        <v>184</v>
      </c>
      <c r="AZ603" s="0" t="str">
        <f aca="false">UPPER(IF(ISBLANK(AY603),"NONE",AY603))</f>
        <v>N/A</v>
      </c>
      <c r="BA603" s="7" t="n">
        <v>45958</v>
      </c>
      <c r="BB603" s="7" t="n">
        <f aca="false">IF(ISBLANK(BA603),"No Follow Up Needed",BA603)</f>
        <v>45958</v>
      </c>
      <c r="BC603" s="0" t="s">
        <v>63</v>
      </c>
      <c r="BD603" s="0" t="str">
        <f aca="false">PROPER(IF(ISBLANK(BC603),"Unknown",BC603))</f>
        <v>Yes</v>
      </c>
      <c r="BE603" s="0" t="s">
        <v>171</v>
      </c>
      <c r="BF603" s="0" t="str">
        <f aca="false">IF(ISBLANK(BE603),"No comments",BE603)</f>
        <v>Shock absorber weakening</v>
      </c>
      <c r="BG603" s="0" t="s">
        <v>172</v>
      </c>
      <c r="BH603" s="0" t="str">
        <f aca="false">IF(ISBLANK(BG603),"No comments",BG603)</f>
        <v>Always late</v>
      </c>
      <c r="BI603" s="0" t="s">
        <v>50</v>
      </c>
      <c r="BJ603" s="0" t="str">
        <f aca="false">IF(ISBLANK(BI603),"Not Mentioned",BI603)</f>
        <v>No</v>
      </c>
      <c r="BK603" s="0" t="s">
        <v>82</v>
      </c>
      <c r="BL603" s="0" t="str">
        <f aca="false">PROPER(IF(ISBLANK(BK603),"Not Mentioned",BK603))</f>
        <v>Yes</v>
      </c>
      <c r="BM603" s="0" t="s">
        <v>63</v>
      </c>
      <c r="BN603" s="0" t="str">
        <f aca="false">PROPER(IF(ISBLANK(BM603),"Not Mentioned",BM603))</f>
        <v>Yes</v>
      </c>
      <c r="BO603" s="0" t="s">
        <v>2318</v>
      </c>
      <c r="BP603" s="0" t="str">
        <f aca="false">IF(ISBLANK(BO603),"One-Time Plan",BO603)</f>
        <v>Gold</v>
      </c>
      <c r="BR603" s="0" t="str">
        <f aca="false">PROPER(IF(ISBLANK(BQ603),"No",BQ603))</f>
        <v>No</v>
      </c>
    </row>
    <row r="604" customFormat="false" ht="15" hidden="false" customHeight="false" outlineLevel="0" collapsed="false">
      <c r="A604" s="0" t="s">
        <v>1494</v>
      </c>
      <c r="B604" s="2" t="n">
        <v>45671</v>
      </c>
      <c r="C604" s="2" t="str">
        <f aca="false">TEXT(B604,"dd/mm/yyyy")</f>
        <v>14/01/2025</v>
      </c>
      <c r="D604" s="0" t="s">
        <v>42</v>
      </c>
      <c r="E604" s="0" t="n">
        <v>8052676804</v>
      </c>
      <c r="F604" s="0" t="s">
        <v>139</v>
      </c>
      <c r="G604" s="0" t="s">
        <v>2323</v>
      </c>
      <c r="H604" s="0" t="s">
        <v>1495</v>
      </c>
      <c r="I604" s="0" t="s">
        <v>134</v>
      </c>
      <c r="J604" s="0" t="s">
        <v>2325</v>
      </c>
      <c r="K604" s="3" t="str">
        <f aca="false" t="array" ref="K604:K604">IFERROR(IF(J604&lt;&gt;"",J604,INDEX(J604:J1603,MATCH(1,(F604:F1603=F604)*(I604:I1603=I604)*(L604:L1603=L604)*(J604:J1603&lt;&gt;""),0))),"Not Found")</f>
        <v>Engine Knocking</v>
      </c>
      <c r="L604" s="3" t="s">
        <v>154</v>
      </c>
      <c r="M604" s="0" t="str">
        <f aca="false">PROPER(L604)</f>
        <v>Air Filter</v>
      </c>
      <c r="N604" s="3" t="s">
        <v>90</v>
      </c>
      <c r="O604" s="0" t="str">
        <f aca="false" t="array" ref="O604:O604">IF(N604&lt;&gt;"",N604,_xlfn.xlookup(1,(L604:L1603=L604)*(N604:N1603&lt;&gt;""),N604:N1603,"Not Found"))</f>
        <v>Musa</v>
      </c>
      <c r="P604" s="4" t="n">
        <v>74491</v>
      </c>
      <c r="Q604" s="0" t="s">
        <v>72</v>
      </c>
      <c r="R604" s="0" t="str">
        <f aca="false">PROPER(Q604)</f>
        <v>Pos</v>
      </c>
      <c r="S604" s="0" t="s">
        <v>63</v>
      </c>
      <c r="T604" s="0" t="n">
        <v>5</v>
      </c>
      <c r="U604" s="5" t="n">
        <f aca="false">IF(ISBLANK(T604),AVERAGE(T604:T1603),T604)</f>
        <v>5</v>
      </c>
      <c r="V604" s="0" t="n">
        <v>2.3</v>
      </c>
      <c r="W604" s="0" t="s">
        <v>51</v>
      </c>
      <c r="X604" s="0" t="str">
        <f aca="false">IF(ISBLANK(W604),"No remarks",W604)</f>
        <v>Recommended further checks</v>
      </c>
      <c r="Y604" s="0" t="s">
        <v>93</v>
      </c>
      <c r="AA604" s="0" t="str">
        <f aca="false">PROPER(IF(ISBLANK(Z604),"Location Unavailable",Z604))</f>
        <v>Location Unavailable</v>
      </c>
      <c r="AB604" s="0" t="s">
        <v>95</v>
      </c>
      <c r="AC604" s="6" t="str">
        <f aca="false">PROPER(AB604)</f>
        <v>Road Sign</v>
      </c>
      <c r="AE604" s="5" t="n">
        <f aca="false">IF(ISBLANK(AD604),AVERAGEIF(L604:L1603,L604,AD604:AD1603),AD604)</f>
        <v>38.1147540983607</v>
      </c>
      <c r="AF604" s="0" t="s">
        <v>112</v>
      </c>
      <c r="AG604" s="0" t="str">
        <f aca="false">PROPER(AF604)</f>
        <v>Unavailable</v>
      </c>
      <c r="AH604" s="0" t="s">
        <v>148</v>
      </c>
      <c r="AI604" s="0" t="s">
        <v>98</v>
      </c>
      <c r="AJ604" s="0" t="str">
        <f aca="false">PROPER(AI604)</f>
        <v>Emergency</v>
      </c>
      <c r="AK604" s="0" t="s">
        <v>196</v>
      </c>
      <c r="AL604" s="0" t="str">
        <f aca="false">PROPER(AK604)</f>
        <v>First Time</v>
      </c>
      <c r="AM604" s="0" t="s">
        <v>2324</v>
      </c>
      <c r="AN604" s="0" t="str">
        <f aca="false">IF(ISBLANK(AM604),"Unknown",AM604)</f>
        <v>Logistics Convoy</v>
      </c>
      <c r="AO604" s="0" t="s">
        <v>149</v>
      </c>
      <c r="AP604" s="0" t="str">
        <f aca="false">IF(ISBLANK(AO604),"Unknown",AO604)</f>
        <v>Senior </v>
      </c>
      <c r="AQ604" s="0" t="n">
        <v>25000</v>
      </c>
      <c r="AR604" s="5" t="n">
        <f aca="false">IF(ISBLANK(AQ604),AVERAGEIF(M604:M1603,M604,AQ604:AQ1603),AQ604)</f>
        <v>25000</v>
      </c>
      <c r="AS604" s="0" t="n">
        <v>30000</v>
      </c>
      <c r="AT604" s="5" t="n">
        <f aca="false">IF(ISBLANK(AS604),AVERAGE(AS604:AS1603),AS604)</f>
        <v>30000</v>
      </c>
      <c r="AU604" s="0" t="s">
        <v>63</v>
      </c>
      <c r="AV604" s="0" t="str">
        <f aca="false">PROPER(IF(ISBLANK(AU604),"No",AU604))</f>
        <v>Yes</v>
      </c>
      <c r="AW604" s="0" t="n">
        <v>5000</v>
      </c>
      <c r="AX604" s="5" t="n">
        <f aca="false">IF(ISBLANK(AW604),0,AW604)</f>
        <v>5000</v>
      </c>
      <c r="AY604" s="0" t="s">
        <v>130</v>
      </c>
      <c r="AZ604" s="0" t="str">
        <f aca="false">UPPER(IF(ISBLANK(AY604),"NONE",AY604))</f>
        <v>LOYALTY10</v>
      </c>
      <c r="BA604" s="7" t="n">
        <v>45997</v>
      </c>
      <c r="BB604" s="7" t="n">
        <f aca="false">IF(ISBLANK(BA604),"No Follow Up Needed",BA604)</f>
        <v>45997</v>
      </c>
      <c r="BD604" s="0" t="str">
        <f aca="false">PROPER(IF(ISBLANK(BC604),"Unknown",BC604))</f>
        <v>Unknown</v>
      </c>
      <c r="BF604" s="0" t="str">
        <f aca="false">IF(ISBLANK(BE604),"No comments",BE604)</f>
        <v>No comments</v>
      </c>
      <c r="BG604" s="0" t="s">
        <v>172</v>
      </c>
      <c r="BH604" s="0" t="str">
        <f aca="false">IF(ISBLANK(BG604),"No comments",BG604)</f>
        <v>Always late</v>
      </c>
      <c r="BI604" s="0" t="s">
        <v>63</v>
      </c>
      <c r="BJ604" s="0" t="str">
        <f aca="false">IF(ISBLANK(BI604),"Not Mentioned",BI604)</f>
        <v>Yes</v>
      </c>
      <c r="BK604" s="0" t="s">
        <v>63</v>
      </c>
      <c r="BL604" s="0" t="str">
        <f aca="false">PROPER(IF(ISBLANK(BK604),"Not Mentioned",BK604))</f>
        <v>Yes</v>
      </c>
      <c r="BM604" s="0" t="s">
        <v>63</v>
      </c>
      <c r="BN604" s="0" t="str">
        <f aca="false">PROPER(IF(ISBLANK(BM604),"Not Mentioned",BM604))</f>
        <v>Yes</v>
      </c>
      <c r="BO604" s="0" t="s">
        <v>2318</v>
      </c>
      <c r="BP604" s="0" t="str">
        <f aca="false">IF(ISBLANK(BO604),"One-Time Plan",BO604)</f>
        <v>Gold</v>
      </c>
      <c r="BR604" s="0" t="str">
        <f aca="false">PROPER(IF(ISBLANK(BQ604),"No",BQ604))</f>
        <v>No</v>
      </c>
    </row>
    <row r="605" customFormat="false" ht="15" hidden="false" customHeight="false" outlineLevel="0" collapsed="false">
      <c r="A605" s="0" t="s">
        <v>1496</v>
      </c>
      <c r="B605" s="2" t="n">
        <v>45725</v>
      </c>
      <c r="C605" s="2" t="str">
        <f aca="false">TEXT(B605,"dd/mm/yyyy")</f>
        <v>09/03/2025</v>
      </c>
      <c r="D605" s="0" t="s">
        <v>163</v>
      </c>
      <c r="E605" s="0" t="n">
        <v>8099438746</v>
      </c>
      <c r="F605" s="0" t="s">
        <v>43</v>
      </c>
      <c r="G605" s="0" t="s">
        <v>2315</v>
      </c>
      <c r="H605" s="0" t="s">
        <v>1497</v>
      </c>
      <c r="I605" s="0" t="s">
        <v>87</v>
      </c>
      <c r="J605" s="0" t="s">
        <v>2322</v>
      </c>
      <c r="K605" s="3" t="str">
        <f aca="false" t="array" ref="K605:K605">IFERROR(IF(J605&lt;&gt;"",J605,INDEX(J605:J1604,MATCH(1,(F605:F1604=F605)*(I605:I1604=I605)*(L605:L1604=L605)*(J605:J1604&lt;&gt;""),0))),"Not Found")</f>
        <v>Brake Failure</v>
      </c>
      <c r="L605" s="3" t="s">
        <v>47</v>
      </c>
      <c r="M605" s="0" t="str">
        <f aca="false">PROPER(L605)</f>
        <v>None</v>
      </c>
      <c r="N605" s="3" t="s">
        <v>90</v>
      </c>
      <c r="O605" s="0" t="str">
        <f aca="false" t="array" ref="O605:O605">IF(N605&lt;&gt;"",N605,_xlfn.xlookup(1,(L605:L1604=L605)*(N605:N1604&lt;&gt;""),N605:N1604,"Not Found"))</f>
        <v>Musa</v>
      </c>
      <c r="P605" s="4" t="n">
        <v>49352</v>
      </c>
      <c r="Q605" s="0" t="s">
        <v>49</v>
      </c>
      <c r="R605" s="0" t="str">
        <f aca="false">PROPER(Q605)</f>
        <v>Transfer</v>
      </c>
      <c r="S605" s="0" t="s">
        <v>50</v>
      </c>
      <c r="U605" s="5" t="n">
        <f aca="false">IF(ISBLANK(T605),AVERAGE(T605:T1604),T605)</f>
        <v>3.09815950920245</v>
      </c>
      <c r="V605" s="0" t="n">
        <v>1.8</v>
      </c>
      <c r="W605" s="0" t="s">
        <v>51</v>
      </c>
      <c r="X605" s="0" t="str">
        <f aca="false">IF(ISBLANK(W605),"No remarks",W605)</f>
        <v>Recommended further checks</v>
      </c>
      <c r="Y605" s="0" t="s">
        <v>73</v>
      </c>
      <c r="Z605" s="0" t="s">
        <v>159</v>
      </c>
      <c r="AA605" s="0" t="str">
        <f aca="false">PROPER(IF(ISBLANK(Z605),"Location Unavailable",Z605))</f>
        <v>Main Bay</v>
      </c>
      <c r="AB605" s="0" t="s">
        <v>75</v>
      </c>
      <c r="AC605" s="6" t="str">
        <f aca="false">PROPER(AB605)</f>
        <v>Mechanik Referal</v>
      </c>
      <c r="AD605" s="6" t="n">
        <v>15</v>
      </c>
      <c r="AE605" s="5" t="n">
        <f aca="false">IF(ISBLANK(AD605),AVERAGEIF(L605:L1604,L605,AD605:AD1604),AD605)</f>
        <v>15</v>
      </c>
      <c r="AF605" s="0" t="s">
        <v>112</v>
      </c>
      <c r="AG605" s="0" t="str">
        <f aca="false">PROPER(AF605)</f>
        <v>Unavailable</v>
      </c>
      <c r="AH605" s="0" t="s">
        <v>155</v>
      </c>
      <c r="AI605" s="0" t="s">
        <v>113</v>
      </c>
      <c r="AJ605" s="0" t="str">
        <f aca="false">PROPER(AI605)</f>
        <v>Normal</v>
      </c>
      <c r="AK605" s="0" t="s">
        <v>99</v>
      </c>
      <c r="AL605" s="0" t="str">
        <f aca="false">PROPER(AK605)</f>
        <v>Uber Driver</v>
      </c>
      <c r="AM605" s="0" t="s">
        <v>2326</v>
      </c>
      <c r="AN605" s="0" t="str">
        <f aca="false">IF(ISBLANK(AM605),"Unknown",AM605)</f>
        <v>Government Convoy</v>
      </c>
      <c r="AP605" s="0" t="str">
        <f aca="false">IF(ISBLANK(AO605),"Unknown",AO605)</f>
        <v>Unknown</v>
      </c>
      <c r="AQ605" s="0" t="n">
        <v>15000</v>
      </c>
      <c r="AR605" s="5" t="n">
        <f aca="false">IF(ISBLANK(AQ605),AVERAGEIF(M605:M1604,M605,AQ605:AQ1604),AQ605)</f>
        <v>15000</v>
      </c>
      <c r="AS605" s="0" t="n">
        <v>35000</v>
      </c>
      <c r="AT605" s="5" t="n">
        <f aca="false">IF(ISBLANK(AS605),AVERAGE(AS605:AS1604),AS605)</f>
        <v>35000</v>
      </c>
      <c r="AU605" s="0" t="s">
        <v>82</v>
      </c>
      <c r="AV605" s="0" t="str">
        <f aca="false">PROPER(IF(ISBLANK(AU605),"No",AU605))</f>
        <v>Yes</v>
      </c>
      <c r="AW605" s="0" t="n">
        <v>5000</v>
      </c>
      <c r="AX605" s="5" t="n">
        <f aca="false">IF(ISBLANK(AW605),0,AW605)</f>
        <v>5000</v>
      </c>
      <c r="AY605" s="0" t="s">
        <v>80</v>
      </c>
      <c r="AZ605" s="0" t="str">
        <f aca="false">UPPER(IF(ISBLANK(AY605),"NONE",AY605))</f>
        <v>PROMO10</v>
      </c>
      <c r="BA605" s="7" t="s">
        <v>556</v>
      </c>
      <c r="BB605" s="7" t="str">
        <f aca="false">IF(ISBLANK(BA605),"No Follow Up Needed",BA605)</f>
        <v>23/10/2025</v>
      </c>
      <c r="BD605" s="0" t="str">
        <f aca="false">PROPER(IF(ISBLANK(BC605),"Unknown",BC605))</f>
        <v>Unknown</v>
      </c>
      <c r="BF605" s="0" t="str">
        <f aca="false">IF(ISBLANK(BE605),"No comments",BE605)</f>
        <v>No comments</v>
      </c>
      <c r="BG605" s="0" t="s">
        <v>117</v>
      </c>
      <c r="BH605" s="0" t="str">
        <f aca="false">IF(ISBLANK(BG605),"No comments",BG605)</f>
        <v>Prefers morning</v>
      </c>
      <c r="BI605" s="0" t="s">
        <v>50</v>
      </c>
      <c r="BJ605" s="0" t="str">
        <f aca="false">IF(ISBLANK(BI605),"Not Mentioned",BI605)</f>
        <v>No</v>
      </c>
      <c r="BK605" s="0" t="s">
        <v>63</v>
      </c>
      <c r="BL605" s="0" t="str">
        <f aca="false">PROPER(IF(ISBLANK(BK605),"Not Mentioned",BK605))</f>
        <v>Yes</v>
      </c>
      <c r="BN605" s="0" t="str">
        <f aca="false">PROPER(IF(ISBLANK(BM605),"Not Mentioned",BM605))</f>
        <v>Not Mentioned</v>
      </c>
      <c r="BO605" s="0" t="s">
        <v>2321</v>
      </c>
      <c r="BP605" s="0" t="str">
        <f aca="false">IF(ISBLANK(BO605),"One-Time Plan",BO605)</f>
        <v>One-Time Plan</v>
      </c>
      <c r="BQ605" s="0" t="s">
        <v>50</v>
      </c>
      <c r="BR605" s="0" t="str">
        <f aca="false">PROPER(IF(ISBLANK(BQ605),"No",BQ605))</f>
        <v>No</v>
      </c>
    </row>
    <row r="606" customFormat="false" ht="15" hidden="false" customHeight="false" outlineLevel="0" collapsed="false">
      <c r="A606" s="0" t="s">
        <v>1498</v>
      </c>
      <c r="B606" s="2" t="s">
        <v>918</v>
      </c>
      <c r="C606" s="2" t="str">
        <f aca="false">TEXT(B606,"dd/mm/yyyy")</f>
        <v>13/04/2025</v>
      </c>
      <c r="D606" s="0" t="s">
        <v>66</v>
      </c>
      <c r="E606" s="0" t="n">
        <v>8074710444</v>
      </c>
      <c r="F606" s="0" t="s">
        <v>43</v>
      </c>
      <c r="G606" s="0" t="s">
        <v>2315</v>
      </c>
      <c r="H606" s="0" t="s">
        <v>1499</v>
      </c>
      <c r="I606" s="0" t="s">
        <v>69</v>
      </c>
      <c r="J606" s="0" t="s">
        <v>2325</v>
      </c>
      <c r="K606" s="3" t="str">
        <f aca="false" t="array" ref="K606:K606">IFERROR(IF(J606&lt;&gt;"",J606,INDEX(J606:J1605,MATCH(1,(F606:F1605=F606)*(I606:I1605=I606)*(L606:L1605=L606)*(J606:J1605&lt;&gt;""),0))),"Not Found")</f>
        <v>Engine Knocking</v>
      </c>
      <c r="L606" s="3" t="s">
        <v>142</v>
      </c>
      <c r="M606" s="0" t="str">
        <f aca="false">PROPER(L606)</f>
        <v>Oil Filter, Brake Pads</v>
      </c>
      <c r="O606" s="0" t="e">
        <f aca="false" t="array" ref="O606:O606">IF(N606&lt;&gt;"",N606,_xlfn.xlookup(1,(L606:L1605=L606)*(N606:N1605&lt;&gt;""),N606:N1605,"Not Found"))</f>
        <v>#NAME?</v>
      </c>
      <c r="P606" s="4" t="n">
        <v>36148</v>
      </c>
      <c r="Q606" s="0" t="s">
        <v>49</v>
      </c>
      <c r="R606" s="0" t="str">
        <f aca="false">PROPER(Q606)</f>
        <v>Transfer</v>
      </c>
      <c r="S606" s="0" t="s">
        <v>63</v>
      </c>
      <c r="T606" s="0" t="n">
        <v>3</v>
      </c>
      <c r="U606" s="5" t="n">
        <f aca="false">IF(ISBLANK(T606),AVERAGE(T606:T1605),T606)</f>
        <v>3</v>
      </c>
      <c r="V606" s="0" t="n">
        <v>1.2</v>
      </c>
      <c r="W606" s="0" t="s">
        <v>92</v>
      </c>
      <c r="X606" s="0" t="str">
        <f aca="false">IF(ISBLANK(W606),"No remarks",W606)</f>
        <v>Urgent service</v>
      </c>
      <c r="Y606" s="0" t="s">
        <v>93</v>
      </c>
      <c r="Z606" s="0" t="s">
        <v>136</v>
      </c>
      <c r="AA606" s="0" t="str">
        <f aca="false">PROPER(IF(ISBLANK(Z606),"Location Unavailable",Z606))</f>
        <v>Vip Section</v>
      </c>
      <c r="AB606" s="0" t="s">
        <v>126</v>
      </c>
      <c r="AC606" s="6" t="str">
        <f aca="false">PROPER(AB606)</f>
        <v>Whatsapp</v>
      </c>
      <c r="AD606" s="6" t="n">
        <v>60</v>
      </c>
      <c r="AE606" s="5" t="n">
        <f aca="false">IF(ISBLANK(AD606),AVERAGEIF(L606:L1605,L606,AD606:AD1605),AD606)</f>
        <v>60</v>
      </c>
      <c r="AF606" s="0" t="s">
        <v>160</v>
      </c>
      <c r="AG606" s="0" t="str">
        <f aca="false">PROPER(AF606)</f>
        <v>Availaible</v>
      </c>
      <c r="AH606" s="0" t="s">
        <v>56</v>
      </c>
      <c r="AI606" s="0" t="s">
        <v>113</v>
      </c>
      <c r="AJ606" s="0" t="str">
        <f aca="false">PROPER(AI606)</f>
        <v>Normal</v>
      </c>
      <c r="AK606" s="0" t="s">
        <v>99</v>
      </c>
      <c r="AL606" s="0" t="str">
        <f aca="false">PROPER(AK606)</f>
        <v>Uber Driver</v>
      </c>
      <c r="AM606" s="0" t="s">
        <v>2326</v>
      </c>
      <c r="AN606" s="0" t="str">
        <f aca="false">IF(ISBLANK(AM606),"Unknown",AM606)</f>
        <v>Government Convoy</v>
      </c>
      <c r="AP606" s="0" t="str">
        <f aca="false">IF(ISBLANK(AO606),"Unknown",AO606)</f>
        <v>Unknown</v>
      </c>
      <c r="AQ606" s="0" t="n">
        <v>25000</v>
      </c>
      <c r="AR606" s="5" t="n">
        <f aca="false">IF(ISBLANK(AQ606),AVERAGEIF(M606:M1605,M606,AQ606:AQ1605),AQ606)</f>
        <v>25000</v>
      </c>
      <c r="AS606" s="0" t="n">
        <v>30000</v>
      </c>
      <c r="AT606" s="5" t="n">
        <f aca="false">IF(ISBLANK(AS606),AVERAGE(AS606:AS1605),AS606)</f>
        <v>30000</v>
      </c>
      <c r="AU606" s="0" t="s">
        <v>63</v>
      </c>
      <c r="AV606" s="0" t="str">
        <f aca="false">PROPER(IF(ISBLANK(AU606),"No",AU606))</f>
        <v>Yes</v>
      </c>
      <c r="AW606" s="0" t="n">
        <v>5000</v>
      </c>
      <c r="AX606" s="5" t="n">
        <f aca="false">IF(ISBLANK(AW606),0,AW606)</f>
        <v>5000</v>
      </c>
      <c r="AY606" s="0" t="s">
        <v>80</v>
      </c>
      <c r="AZ606" s="0" t="str">
        <f aca="false">UPPER(IF(ISBLANK(AY606),"NONE",AY606))</f>
        <v>PROMO10</v>
      </c>
      <c r="BA606" s="7" t="n">
        <v>46019</v>
      </c>
      <c r="BB606" s="7" t="n">
        <f aca="false">IF(ISBLANK(BA606),"No Follow Up Needed",BA606)</f>
        <v>46019</v>
      </c>
      <c r="BC606" s="0" t="s">
        <v>50</v>
      </c>
      <c r="BD606" s="0" t="str">
        <f aca="false">PROPER(IF(ISBLANK(BC606),"Unknown",BC606))</f>
        <v>No</v>
      </c>
      <c r="BF606" s="0" t="str">
        <f aca="false">IF(ISBLANK(BE606),"No comments",BE606)</f>
        <v>No comments</v>
      </c>
      <c r="BG606" s="0" t="s">
        <v>172</v>
      </c>
      <c r="BH606" s="0" t="str">
        <f aca="false">IF(ISBLANK(BG606),"No comments",BG606)</f>
        <v>Always late</v>
      </c>
      <c r="BI606" s="0" t="s">
        <v>50</v>
      </c>
      <c r="BJ606" s="0" t="str">
        <f aca="false">IF(ISBLANK(BI606),"Not Mentioned",BI606)</f>
        <v>No</v>
      </c>
      <c r="BK606" s="0" t="s">
        <v>82</v>
      </c>
      <c r="BL606" s="0" t="str">
        <f aca="false">PROPER(IF(ISBLANK(BK606),"Not Mentioned",BK606))</f>
        <v>Yes</v>
      </c>
      <c r="BM606" s="0" t="s">
        <v>50</v>
      </c>
      <c r="BN606" s="0" t="str">
        <f aca="false">PROPER(IF(ISBLANK(BM606),"Not Mentioned",BM606))</f>
        <v>No</v>
      </c>
      <c r="BP606" s="0" t="str">
        <f aca="false">IF(ISBLANK(BO606),"One-Time Plan",BO606)</f>
        <v>One-Time Plan</v>
      </c>
      <c r="BQ606" s="0" t="s">
        <v>50</v>
      </c>
      <c r="BR606" s="0" t="str">
        <f aca="false">PROPER(IF(ISBLANK(BQ606),"No",BQ606))</f>
        <v>No</v>
      </c>
    </row>
    <row r="607" customFormat="false" ht="15" hidden="false" customHeight="false" outlineLevel="0" collapsed="false">
      <c r="A607" s="0" t="s">
        <v>1500</v>
      </c>
      <c r="B607" s="2" t="s">
        <v>652</v>
      </c>
      <c r="C607" s="2" t="str">
        <f aca="false">TEXT(B607,"dd/mm/yyyy")</f>
        <v>17/05/2025</v>
      </c>
      <c r="D607" s="0" t="s">
        <v>42</v>
      </c>
      <c r="E607" s="0" t="n">
        <v>8019061506</v>
      </c>
      <c r="F607" s="0" t="s">
        <v>43</v>
      </c>
      <c r="G607" s="0" t="s">
        <v>2315</v>
      </c>
      <c r="H607" s="0" t="s">
        <v>1501</v>
      </c>
      <c r="I607" s="0" t="s">
        <v>107</v>
      </c>
      <c r="K607" s="3" t="str">
        <f aca="false" t="array" ref="K607:K607">IFERROR(IF(J607&lt;&gt;"",J607,INDEX(J607:J1606,MATCH(1,(F607:F1606=F607)*(I607:I1606=I607)*(L607:L1606=L607)*(J607:J1606&lt;&gt;""),0))),"Not Found")</f>
        <v>Suspension Noise</v>
      </c>
      <c r="L607" s="3" t="s">
        <v>89</v>
      </c>
      <c r="M607" s="0" t="str">
        <f aca="false">PROPER(L607)</f>
        <v>Shock Absorbers</v>
      </c>
      <c r="N607" s="3" t="s">
        <v>71</v>
      </c>
      <c r="O607" s="0" t="str">
        <f aca="false" t="array" ref="O607:O607">IF(N607&lt;&gt;"",N607,_xlfn.xlookup(1,(L607:L1606=L607)*(N607:N1606&lt;&gt;""),N607:N1606,"Not Found"))</f>
        <v>Isaac Bobo</v>
      </c>
      <c r="P607" s="4" t="n">
        <v>114992</v>
      </c>
      <c r="Q607" s="0" t="s">
        <v>72</v>
      </c>
      <c r="R607" s="0" t="str">
        <f aca="false">PROPER(Q607)</f>
        <v>Pos</v>
      </c>
      <c r="S607" s="0" t="s">
        <v>63</v>
      </c>
      <c r="U607" s="5" t="n">
        <f aca="false">IF(ISBLANK(T607),AVERAGE(T607:T1606),T607)</f>
        <v>3.09846153846154</v>
      </c>
      <c r="V607" s="0" t="n">
        <v>2.3</v>
      </c>
      <c r="W607" s="0" t="s">
        <v>51</v>
      </c>
      <c r="X607" s="0" t="str">
        <f aca="false">IF(ISBLANK(W607),"No remarks",W607)</f>
        <v>Recommended further checks</v>
      </c>
      <c r="Y607" s="0" t="s">
        <v>52</v>
      </c>
      <c r="AA607" s="0" t="str">
        <f aca="false">PROPER(IF(ISBLANK(Z607),"Location Unavailable",Z607))</f>
        <v>Location Unavailable</v>
      </c>
      <c r="AB607" s="0" t="s">
        <v>54</v>
      </c>
      <c r="AC607" s="6" t="str">
        <f aca="false">PROPER(AB607)</f>
        <v>Mechanic Referral</v>
      </c>
      <c r="AD607" s="6" t="n">
        <v>45</v>
      </c>
      <c r="AE607" s="5" t="n">
        <f aca="false">IF(ISBLANK(AD607),AVERAGEIF(L607:L1606,L607,AD607:AD1606),AD607)</f>
        <v>45</v>
      </c>
      <c r="AF607" s="0" t="s">
        <v>55</v>
      </c>
      <c r="AG607" s="0" t="str">
        <f aca="false">PROPER(AF607)</f>
        <v>Available</v>
      </c>
      <c r="AH607" s="0" t="s">
        <v>77</v>
      </c>
      <c r="AI607" s="0" t="s">
        <v>113</v>
      </c>
      <c r="AJ607" s="0" t="str">
        <f aca="false">PROPER(AI607)</f>
        <v>Normal</v>
      </c>
      <c r="AK607" s="0" t="s">
        <v>196</v>
      </c>
      <c r="AL607" s="0" t="str">
        <f aca="false">PROPER(AK607)</f>
        <v>First Time</v>
      </c>
      <c r="AN607" s="0" t="str">
        <f aca="false">IF(ISBLANK(AM607),"Unknown",AM607)</f>
        <v>Unknown</v>
      </c>
      <c r="AO607" s="0" t="s">
        <v>143</v>
      </c>
      <c r="AP607" s="0" t="str">
        <f aca="false">IF(ISBLANK(AO607),"Unknown",AO607)</f>
        <v>Senior</v>
      </c>
      <c r="AQ607" s="0" t="n">
        <v>40000</v>
      </c>
      <c r="AR607" s="5" t="n">
        <f aca="false">IF(ISBLANK(AQ607),AVERAGEIF(M607:M1606,M607,AQ607:AQ1606),AQ607)</f>
        <v>40000</v>
      </c>
      <c r="AS607" s="0" t="n">
        <v>20000</v>
      </c>
      <c r="AT607" s="5" t="n">
        <f aca="false">IF(ISBLANK(AS607),AVERAGE(AS607:AS1606),AS607)</f>
        <v>20000</v>
      </c>
      <c r="AU607" s="0" t="s">
        <v>50</v>
      </c>
      <c r="AV607" s="0" t="str">
        <f aca="false">PROPER(IF(ISBLANK(AU607),"No",AU607))</f>
        <v>No</v>
      </c>
      <c r="AW607" s="0" t="n">
        <v>10000</v>
      </c>
      <c r="AX607" s="5" t="n">
        <f aca="false">IF(ISBLANK(AW607),0,AW607)</f>
        <v>10000</v>
      </c>
      <c r="AY607" s="0" t="s">
        <v>60</v>
      </c>
      <c r="AZ607" s="0" t="str">
        <f aca="false">UPPER(IF(ISBLANK(AY607),"NONE",AY607))</f>
        <v>NONE</v>
      </c>
      <c r="BA607" s="7" t="n">
        <v>45857</v>
      </c>
      <c r="BB607" s="7" t="n">
        <f aca="false">IF(ISBLANK(BA607),"No Follow Up Needed",BA607)</f>
        <v>45857</v>
      </c>
      <c r="BC607" s="0" t="s">
        <v>63</v>
      </c>
      <c r="BD607" s="0" t="str">
        <f aca="false">PROPER(IF(ISBLANK(BC607),"Unknown",BC607))</f>
        <v>Yes</v>
      </c>
      <c r="BF607" s="0" t="str">
        <f aca="false">IF(ISBLANK(BE607),"No comments",BE607)</f>
        <v>No comments</v>
      </c>
      <c r="BH607" s="0" t="str">
        <f aca="false">IF(ISBLANK(BG607),"No comments",BG607)</f>
        <v>No comments</v>
      </c>
      <c r="BI607" s="0" t="s">
        <v>50</v>
      </c>
      <c r="BJ607" s="0" t="str">
        <f aca="false">IF(ISBLANK(BI607),"Not Mentioned",BI607)</f>
        <v>No</v>
      </c>
      <c r="BK607" s="0" t="s">
        <v>63</v>
      </c>
      <c r="BL607" s="0" t="str">
        <f aca="false">PROPER(IF(ISBLANK(BK607),"Not Mentioned",BK607))</f>
        <v>Yes</v>
      </c>
      <c r="BN607" s="0" t="str">
        <f aca="false">PROPER(IF(ISBLANK(BM607),"Not Mentioned",BM607))</f>
        <v>Not Mentioned</v>
      </c>
      <c r="BO607" s="0" t="s">
        <v>2318</v>
      </c>
      <c r="BP607" s="0" t="str">
        <f aca="false">IF(ISBLANK(BO607),"One-Time Plan",BO607)</f>
        <v>Gold</v>
      </c>
      <c r="BR607" s="0" t="str">
        <f aca="false">PROPER(IF(ISBLANK(BQ607),"No",BQ607))</f>
        <v>No</v>
      </c>
    </row>
    <row r="608" customFormat="false" ht="15" hidden="false" customHeight="false" outlineLevel="0" collapsed="false">
      <c r="A608" s="0" t="s">
        <v>1502</v>
      </c>
      <c r="B608" s="2" t="n">
        <v>45757</v>
      </c>
      <c r="C608" s="2" t="str">
        <f aca="false">TEXT(B608,"dd/mm/yyyy")</f>
        <v>10/04/2025</v>
      </c>
      <c r="D608" s="0" t="s">
        <v>42</v>
      </c>
      <c r="E608" s="0" t="n">
        <v>8054977061</v>
      </c>
      <c r="F608" s="0" t="s">
        <v>122</v>
      </c>
      <c r="G608" s="0" t="s">
        <v>2316</v>
      </c>
      <c r="H608" s="0" t="s">
        <v>1503</v>
      </c>
      <c r="I608" s="0" t="s">
        <v>45</v>
      </c>
      <c r="J608" s="0" t="s">
        <v>2317</v>
      </c>
      <c r="K608" s="3" t="str">
        <f aca="false" t="array" ref="K608:K608">IFERROR(IF(J608&lt;&gt;"",J608,INDEX(J608:J1607,MATCH(1,(F608:F1607=F608)*(I608:I1607=I608)*(L608:L1607=L608)*(J608:J1607&lt;&gt;""),0))),"Not Found")</f>
        <v>Suspension Noise</v>
      </c>
      <c r="L608" s="3" t="s">
        <v>154</v>
      </c>
      <c r="M608" s="0" t="str">
        <f aca="false">PROPER(L608)</f>
        <v>Air Filter</v>
      </c>
      <c r="O608" s="0" t="e">
        <f aca="false" t="array" ref="O608:O608">IF(N608&lt;&gt;"",N608,_xlfn.xlookup(1,(L608:L1607=L608)*(N608:N1607&lt;&gt;""),N608:N1607,"Not Found"))</f>
        <v>#NAME?</v>
      </c>
      <c r="P608" s="4" t="n">
        <v>62509</v>
      </c>
      <c r="Q608" s="0" t="s">
        <v>110</v>
      </c>
      <c r="R608" s="0" t="str">
        <f aca="false">PROPER(Q608)</f>
        <v>Cash</v>
      </c>
      <c r="S608" s="0" t="s">
        <v>63</v>
      </c>
      <c r="T608" s="0" t="n">
        <v>2</v>
      </c>
      <c r="U608" s="5" t="n">
        <f aca="false">IF(ISBLANK(T608),AVERAGE(T608:T1607),T608)</f>
        <v>2</v>
      </c>
      <c r="V608" s="0" t="n">
        <v>4.3</v>
      </c>
      <c r="W608" s="0" t="s">
        <v>92</v>
      </c>
      <c r="X608" s="0" t="str">
        <f aca="false">IF(ISBLANK(W608),"No remarks",W608)</f>
        <v>Urgent service</v>
      </c>
      <c r="Y608" s="0" t="s">
        <v>52</v>
      </c>
      <c r="AA608" s="0" t="str">
        <f aca="false">PROPER(IF(ISBLANK(Z608),"Location Unavailable",Z608))</f>
        <v>Location Unavailable</v>
      </c>
      <c r="AB608" s="0" t="s">
        <v>54</v>
      </c>
      <c r="AC608" s="6" t="str">
        <f aca="false">PROPER(AB608)</f>
        <v>Mechanic Referral</v>
      </c>
      <c r="AD608" s="6" t="n">
        <v>30</v>
      </c>
      <c r="AE608" s="5" t="n">
        <f aca="false">IF(ISBLANK(AD608),AVERAGEIF(L608:L1607,L608,AD608:AD1607),AD608)</f>
        <v>30</v>
      </c>
      <c r="AF608" s="0" t="s">
        <v>160</v>
      </c>
      <c r="AG608" s="0" t="str">
        <f aca="false">PROPER(AF608)</f>
        <v>Availaible</v>
      </c>
      <c r="AH608" s="0" t="s">
        <v>77</v>
      </c>
      <c r="AI608" s="0" t="s">
        <v>113</v>
      </c>
      <c r="AJ608" s="0" t="str">
        <f aca="false">PROPER(AI608)</f>
        <v>Normal</v>
      </c>
      <c r="AK608" s="0" t="s">
        <v>58</v>
      </c>
      <c r="AL608" s="0" t="str">
        <f aca="false">PROPER(AK608)</f>
        <v>Fleet Owner</v>
      </c>
      <c r="AN608" s="0" t="str">
        <f aca="false">IF(ISBLANK(AM608),"Unknown",AM608)</f>
        <v>Unknown</v>
      </c>
      <c r="AO608" s="0" t="s">
        <v>143</v>
      </c>
      <c r="AP608" s="0" t="str">
        <f aca="false">IF(ISBLANK(AO608),"Unknown",AO608)</f>
        <v>Senior</v>
      </c>
      <c r="AR608" s="5" t="n">
        <f aca="false">IF(ISBLANK(AQ608),AVERAGEIF(M608:M1607,M608,AQ608:AQ1607),AQ608)</f>
        <v>26000</v>
      </c>
      <c r="AS608" s="0" t="n">
        <v>40000</v>
      </c>
      <c r="AT608" s="5" t="n">
        <f aca="false">IF(ISBLANK(AS608),AVERAGE(AS608:AS1607),AS608)</f>
        <v>40000</v>
      </c>
      <c r="AU608" s="0" t="s">
        <v>82</v>
      </c>
      <c r="AV608" s="0" t="str">
        <f aca="false">PROPER(IF(ISBLANK(AU608),"No",AU608))</f>
        <v>Yes</v>
      </c>
      <c r="AW608" s="0" t="n">
        <v>10000</v>
      </c>
      <c r="AX608" s="5" t="n">
        <f aca="false">IF(ISBLANK(AW608),0,AW608)</f>
        <v>10000</v>
      </c>
      <c r="AY608" s="0" t="s">
        <v>60</v>
      </c>
      <c r="AZ608" s="0" t="str">
        <f aca="false">UPPER(IF(ISBLANK(AY608),"NONE",AY608))</f>
        <v>NONE</v>
      </c>
      <c r="BB608" s="7" t="str">
        <f aca="false">IF(ISBLANK(BA608),"No Follow Up Needed",BA608)</f>
        <v>No Follow Up Needed</v>
      </c>
      <c r="BC608" s="0" t="s">
        <v>50</v>
      </c>
      <c r="BD608" s="0" t="str">
        <f aca="false">PROPER(IF(ISBLANK(BC608),"Unknown",BC608))</f>
        <v>No</v>
      </c>
      <c r="BF608" s="0" t="str">
        <f aca="false">IF(ISBLANK(BE608),"No comments",BE608)</f>
        <v>No comments</v>
      </c>
      <c r="BH608" s="0" t="str">
        <f aca="false">IF(ISBLANK(BG608),"No comments",BG608)</f>
        <v>No comments</v>
      </c>
      <c r="BI608" s="0" t="s">
        <v>63</v>
      </c>
      <c r="BJ608" s="0" t="str">
        <f aca="false">IF(ISBLANK(BI608),"Not Mentioned",BI608)</f>
        <v>Yes</v>
      </c>
      <c r="BK608" s="0" t="s">
        <v>82</v>
      </c>
      <c r="BL608" s="0" t="str">
        <f aca="false">PROPER(IF(ISBLANK(BK608),"Not Mentioned",BK608))</f>
        <v>Yes</v>
      </c>
      <c r="BM608" s="0" t="s">
        <v>63</v>
      </c>
      <c r="BN608" s="0" t="str">
        <f aca="false">PROPER(IF(ISBLANK(BM608),"Not Mentioned",BM608))</f>
        <v>Yes</v>
      </c>
      <c r="BO608" s="0" t="s">
        <v>2318</v>
      </c>
      <c r="BP608" s="0" t="str">
        <f aca="false">IF(ISBLANK(BO608),"One-Time Plan",BO608)</f>
        <v>Gold</v>
      </c>
      <c r="BQ608" s="0" t="s">
        <v>63</v>
      </c>
      <c r="BR608" s="0" t="str">
        <f aca="false">PROPER(IF(ISBLANK(BQ608),"No",BQ608))</f>
        <v>Yes</v>
      </c>
    </row>
    <row r="609" customFormat="false" ht="15" hidden="false" customHeight="false" outlineLevel="0" collapsed="false">
      <c r="A609" s="0" t="s">
        <v>1505</v>
      </c>
      <c r="B609" s="2" t="s">
        <v>1504</v>
      </c>
      <c r="C609" s="2" t="str">
        <f aca="false">TEXT(B609,"dd/mm/yyyy")</f>
        <v>22/04/2025</v>
      </c>
      <c r="D609" s="0" t="s">
        <v>121</v>
      </c>
      <c r="E609" s="0" t="n">
        <v>8012368781</v>
      </c>
      <c r="F609" s="0" t="s">
        <v>122</v>
      </c>
      <c r="G609" s="0" t="s">
        <v>2316</v>
      </c>
      <c r="H609" s="0" t="s">
        <v>1336</v>
      </c>
      <c r="I609" s="0" t="s">
        <v>107</v>
      </c>
      <c r="J609" s="0" t="s">
        <v>2317</v>
      </c>
      <c r="K609" s="3" t="str">
        <f aca="false" t="array" ref="K609:K609">IFERROR(IF(J609&lt;&gt;"",J609,INDEX(J609:J1608,MATCH(1,(F609:F1608=F609)*(I609:I1608=I609)*(L609:L1608=L609)*(J609:J1608&lt;&gt;""),0))),"Not Found")</f>
        <v>Suspension Noise</v>
      </c>
      <c r="L609" s="3" t="s">
        <v>108</v>
      </c>
      <c r="M609" s="0" t="str">
        <f aca="false">PROPER(L609)</f>
        <v>Timing Belt</v>
      </c>
      <c r="O609" s="0" t="e">
        <f aca="false" t="array" ref="O609:O609">IF(N609&lt;&gt;"",N609,_xlfn.xlookup(1,(L609:L1608=L609)*(N609:N1608&lt;&gt;""),N609:N1608,"Not Found"))</f>
        <v>#NAME?</v>
      </c>
      <c r="P609" s="4" t="n">
        <v>32935</v>
      </c>
      <c r="Q609" s="0" t="s">
        <v>49</v>
      </c>
      <c r="R609" s="0" t="str">
        <f aca="false">PROPER(Q609)</f>
        <v>Transfer</v>
      </c>
      <c r="S609" s="0" t="s">
        <v>50</v>
      </c>
      <c r="T609" s="0" t="n">
        <v>1</v>
      </c>
      <c r="U609" s="5" t="n">
        <f aca="false">IF(ISBLANK(T609),AVERAGE(T609:T1608),T609)</f>
        <v>1</v>
      </c>
      <c r="V609" s="0" t="n">
        <v>1.9</v>
      </c>
      <c r="W609" s="0" t="s">
        <v>51</v>
      </c>
      <c r="X609" s="0" t="str">
        <f aca="false">IF(ISBLANK(W609),"No remarks",W609)</f>
        <v>Recommended further checks</v>
      </c>
      <c r="Y609" s="0" t="s">
        <v>93</v>
      </c>
      <c r="Z609" s="0" t="s">
        <v>136</v>
      </c>
      <c r="AA609" s="0" t="str">
        <f aca="false">PROPER(IF(ISBLANK(Z609),"Location Unavailable",Z609))</f>
        <v>Vip Section</v>
      </c>
      <c r="AB609" s="0" t="s">
        <v>75</v>
      </c>
      <c r="AC609" s="6" t="str">
        <f aca="false">PROPER(AB609)</f>
        <v>Mechanik Referal</v>
      </c>
      <c r="AD609" s="6" t="n">
        <v>30</v>
      </c>
      <c r="AE609" s="5" t="n">
        <f aca="false">IF(ISBLANK(AD609),AVERAGEIF(L609:L1608,L609,AD609:AD1608),AD609)</f>
        <v>30</v>
      </c>
      <c r="AF609" s="0" t="s">
        <v>112</v>
      </c>
      <c r="AG609" s="0" t="str">
        <f aca="false">PROPER(AF609)</f>
        <v>Unavailable</v>
      </c>
      <c r="AH609" s="0" t="s">
        <v>155</v>
      </c>
      <c r="AI609" s="0" t="s">
        <v>113</v>
      </c>
      <c r="AJ609" s="0" t="str">
        <f aca="false">PROPER(AI609)</f>
        <v>Normal</v>
      </c>
      <c r="AK609" s="0" t="s">
        <v>196</v>
      </c>
      <c r="AL609" s="0" t="str">
        <f aca="false">PROPER(AK609)</f>
        <v>First Time</v>
      </c>
      <c r="AM609" s="0" t="s">
        <v>177</v>
      </c>
      <c r="AN609" s="0" t="str">
        <f aca="false">IF(ISBLANK(AM609),"Unknown",AM609)</f>
        <v>Private</v>
      </c>
      <c r="AP609" s="0" t="str">
        <f aca="false">IF(ISBLANK(AO609),"Unknown",AO609)</f>
        <v>Unknown</v>
      </c>
      <c r="AQ609" s="0" t="n">
        <v>30000</v>
      </c>
      <c r="AR609" s="5" t="n">
        <f aca="false">IF(ISBLANK(AQ609),AVERAGEIF(M609:M1608,M609,AQ609:AQ1608),AQ609)</f>
        <v>30000</v>
      </c>
      <c r="AS609" s="0" t="n">
        <v>20000</v>
      </c>
      <c r="AT609" s="5" t="n">
        <f aca="false">IF(ISBLANK(AS609),AVERAGE(AS609:AS1608),AS609)</f>
        <v>20000</v>
      </c>
      <c r="AV609" s="0" t="str">
        <f aca="false">PROPER(IF(ISBLANK(AU609),"No",AU609))</f>
        <v>No</v>
      </c>
      <c r="AW609" s="0" t="n">
        <v>10000</v>
      </c>
      <c r="AX609" s="5" t="n">
        <f aca="false">IF(ISBLANK(AW609),0,AW609)</f>
        <v>10000</v>
      </c>
      <c r="AZ609" s="0" t="str">
        <f aca="false">UPPER(IF(ISBLANK(AY609),"NONE",AY609))</f>
        <v>NONE</v>
      </c>
      <c r="BA609" s="7" t="n">
        <v>45920</v>
      </c>
      <c r="BB609" s="7" t="n">
        <f aca="false">IF(ISBLANK(BA609),"No Follow Up Needed",BA609)</f>
        <v>45920</v>
      </c>
      <c r="BC609" s="0" t="s">
        <v>61</v>
      </c>
      <c r="BD609" s="0" t="str">
        <f aca="false">PROPER(IF(ISBLANK(BC609),"Unknown",BC609))</f>
        <v>No</v>
      </c>
      <c r="BE609" s="0" t="s">
        <v>116</v>
      </c>
      <c r="BF609" s="0" t="str">
        <f aca="false">IF(ISBLANK(BE609),"No comments",BE609)</f>
        <v>Needs tire alignment</v>
      </c>
      <c r="BG609" s="0" t="s">
        <v>117</v>
      </c>
      <c r="BH609" s="0" t="str">
        <f aca="false">IF(ISBLANK(BG609),"No comments",BG609)</f>
        <v>Prefers morning</v>
      </c>
      <c r="BI609" s="0" t="s">
        <v>63</v>
      </c>
      <c r="BJ609" s="0" t="str">
        <f aca="false">IF(ISBLANK(BI609),"Not Mentioned",BI609)</f>
        <v>Yes</v>
      </c>
      <c r="BK609" s="0" t="s">
        <v>63</v>
      </c>
      <c r="BL609" s="0" t="str">
        <f aca="false">PROPER(IF(ISBLANK(BK609),"Not Mentioned",BK609))</f>
        <v>Yes</v>
      </c>
      <c r="BM609" s="0" t="s">
        <v>63</v>
      </c>
      <c r="BN609" s="0" t="str">
        <f aca="false">PROPER(IF(ISBLANK(BM609),"Not Mentioned",BM609))</f>
        <v>Yes</v>
      </c>
      <c r="BO609" s="0" t="s">
        <v>2321</v>
      </c>
      <c r="BP609" s="0" t="str">
        <f aca="false">IF(ISBLANK(BO609),"One-Time Plan",BO609)</f>
        <v>One-Time Plan</v>
      </c>
      <c r="BQ609" s="0" t="s">
        <v>190</v>
      </c>
      <c r="BR609" s="0" t="str">
        <f aca="false">PROPER(IF(ISBLANK(BQ609),"No",BQ609))</f>
        <v>Yes</v>
      </c>
    </row>
    <row r="610" customFormat="false" ht="15" hidden="false" customHeight="false" outlineLevel="0" collapsed="false">
      <c r="A610" s="0" t="s">
        <v>1506</v>
      </c>
      <c r="B610" s="2" t="n">
        <v>45738</v>
      </c>
      <c r="C610" s="2" t="str">
        <f aca="false">TEXT(B610,"dd/mm/yyyy")</f>
        <v>22/03/2025</v>
      </c>
      <c r="D610" s="0" t="s">
        <v>121</v>
      </c>
      <c r="E610" s="0" t="n">
        <v>8091675959</v>
      </c>
      <c r="F610" s="0" t="s">
        <v>122</v>
      </c>
      <c r="G610" s="0" t="s">
        <v>2316</v>
      </c>
      <c r="H610" s="0" t="s">
        <v>1507</v>
      </c>
      <c r="I610" s="0" t="s">
        <v>69</v>
      </c>
      <c r="J610" s="0" t="s">
        <v>2325</v>
      </c>
      <c r="K610" s="3" t="str">
        <f aca="false" t="array" ref="K610:K610">IFERROR(IF(J610&lt;&gt;"",J610,INDEX(J610:J1609,MATCH(1,(F610:F1609=F610)*(I610:I1609=I610)*(L610:L1609=L610)*(J610:J1609&lt;&gt;""),0))),"Not Found")</f>
        <v>Engine Knocking</v>
      </c>
      <c r="L610" s="3" t="s">
        <v>189</v>
      </c>
      <c r="M610" s="0" t="str">
        <f aca="false">PROPER(L610)</f>
        <v>Battery</v>
      </c>
      <c r="O610" s="0" t="e">
        <f aca="false" t="array" ref="O610:O610">IF(N610&lt;&gt;"",N610,_xlfn.xlookup(1,(L610:L1609=L610)*(N610:N1609&lt;&gt;""),N610:N1609,"Not Found"))</f>
        <v>#NAME?</v>
      </c>
      <c r="P610" s="4" t="n">
        <v>24969</v>
      </c>
      <c r="Q610" s="0" t="s">
        <v>110</v>
      </c>
      <c r="R610" s="0" t="str">
        <f aca="false">PROPER(Q610)</f>
        <v>Cash</v>
      </c>
      <c r="S610" s="0" t="s">
        <v>63</v>
      </c>
      <c r="T610" s="0" t="n">
        <v>4</v>
      </c>
      <c r="U610" s="5" t="n">
        <f aca="false">IF(ISBLANK(T610),AVERAGE(T610:T1609),T610)</f>
        <v>4</v>
      </c>
      <c r="V610" s="0" t="n">
        <v>5.3</v>
      </c>
      <c r="W610" s="0" t="s">
        <v>92</v>
      </c>
      <c r="X610" s="0" t="str">
        <f aca="false">IF(ISBLANK(W610),"No remarks",W610)</f>
        <v>Urgent service</v>
      </c>
      <c r="Y610" s="0" t="s">
        <v>52</v>
      </c>
      <c r="Z610" s="0" t="s">
        <v>53</v>
      </c>
      <c r="AA610" s="0" t="str">
        <f aca="false">PROPER(IF(ISBLANK(Z610),"Location Unavailable",Z610))</f>
        <v>Main Bay</v>
      </c>
      <c r="AB610" s="0" t="s">
        <v>54</v>
      </c>
      <c r="AC610" s="6" t="str">
        <f aca="false">PROPER(AB610)</f>
        <v>Mechanic Referral</v>
      </c>
      <c r="AD610" s="6" t="n">
        <v>45</v>
      </c>
      <c r="AE610" s="5" t="n">
        <f aca="false">IF(ISBLANK(AD610),AVERAGEIF(L610:L1609,L610,AD610:AD1609),AD610)</f>
        <v>45</v>
      </c>
      <c r="AF610" s="0" t="s">
        <v>76</v>
      </c>
      <c r="AG610" s="0" t="str">
        <f aca="false">PROPER(AF610)</f>
        <v>Orderd</v>
      </c>
      <c r="AH610" s="0" t="s">
        <v>56</v>
      </c>
      <c r="AI610" s="0" t="s">
        <v>98</v>
      </c>
      <c r="AJ610" s="0" t="str">
        <f aca="false">PROPER(AI610)</f>
        <v>Emergency</v>
      </c>
      <c r="AK610" s="0" t="s">
        <v>196</v>
      </c>
      <c r="AL610" s="0" t="str">
        <f aca="false">PROPER(AK610)</f>
        <v>First Time</v>
      </c>
      <c r="AM610" s="0" t="s">
        <v>2326</v>
      </c>
      <c r="AN610" s="0" t="str">
        <f aca="false">IF(ISBLANK(AM610),"Unknown",AM610)</f>
        <v>Government Convoy</v>
      </c>
      <c r="AO610" s="0" t="s">
        <v>79</v>
      </c>
      <c r="AP610" s="0" t="str">
        <f aca="false">IF(ISBLANK(AO610),"Unknown",AO610)</f>
        <v>Specialist</v>
      </c>
      <c r="AQ610" s="0" t="n">
        <v>25000</v>
      </c>
      <c r="AR610" s="5" t="n">
        <f aca="false">IF(ISBLANK(AQ610),AVERAGEIF(M610:M1609,M610,AQ610:AQ1609),AQ610)</f>
        <v>25000</v>
      </c>
      <c r="AS610" s="0" t="n">
        <v>30000</v>
      </c>
      <c r="AT610" s="5" t="n">
        <f aca="false">IF(ISBLANK(AS610),AVERAGE(AS610:AS1609),AS610)</f>
        <v>30000</v>
      </c>
      <c r="AU610" s="0" t="s">
        <v>63</v>
      </c>
      <c r="AV610" s="0" t="str">
        <f aca="false">PROPER(IF(ISBLANK(AU610),"No",AU610))</f>
        <v>Yes</v>
      </c>
      <c r="AW610" s="0" t="n">
        <v>5000</v>
      </c>
      <c r="AX610" s="5" t="n">
        <f aca="false">IF(ISBLANK(AW610),0,AW610)</f>
        <v>5000</v>
      </c>
      <c r="AY610" s="0" t="s">
        <v>184</v>
      </c>
      <c r="AZ610" s="0" t="str">
        <f aca="false">UPPER(IF(ISBLANK(AY610),"NONE",AY610))</f>
        <v>N/A</v>
      </c>
      <c r="BA610" s="7" t="n">
        <v>45953</v>
      </c>
      <c r="BB610" s="7" t="n">
        <f aca="false">IF(ISBLANK(BA610),"No Follow Up Needed",BA610)</f>
        <v>45953</v>
      </c>
      <c r="BC610" s="0" t="s">
        <v>63</v>
      </c>
      <c r="BD610" s="0" t="str">
        <f aca="false">PROPER(IF(ISBLANK(BC610),"Unknown",BC610))</f>
        <v>Yes</v>
      </c>
      <c r="BF610" s="0" t="str">
        <f aca="false">IF(ISBLANK(BE610),"No comments",BE610)</f>
        <v>No comments</v>
      </c>
      <c r="BH610" s="0" t="str">
        <f aca="false">IF(ISBLANK(BG610),"No comments",BG610)</f>
        <v>No comments</v>
      </c>
      <c r="BI610" s="0" t="s">
        <v>63</v>
      </c>
      <c r="BJ610" s="0" t="str">
        <f aca="false">IF(ISBLANK(BI610),"Not Mentioned",BI610)</f>
        <v>Yes</v>
      </c>
      <c r="BK610" s="0" t="s">
        <v>61</v>
      </c>
      <c r="BL610" s="0" t="str">
        <f aca="false">PROPER(IF(ISBLANK(BK610),"Not Mentioned",BK610))</f>
        <v>No</v>
      </c>
      <c r="BM610" s="0" t="s">
        <v>63</v>
      </c>
      <c r="BN610" s="0" t="str">
        <f aca="false">PROPER(IF(ISBLANK(BM610),"Not Mentioned",BM610))</f>
        <v>Yes</v>
      </c>
      <c r="BO610" s="0" t="s">
        <v>2318</v>
      </c>
      <c r="BP610" s="0" t="str">
        <f aca="false">IF(ISBLANK(BO610),"One-Time Plan",BO610)</f>
        <v>Gold</v>
      </c>
      <c r="BQ610" s="0" t="s">
        <v>50</v>
      </c>
      <c r="BR610" s="0" t="str">
        <f aca="false">PROPER(IF(ISBLANK(BQ610),"No",BQ610))</f>
        <v>No</v>
      </c>
    </row>
    <row r="611" customFormat="false" ht="15" hidden="false" customHeight="false" outlineLevel="0" collapsed="false">
      <c r="A611" s="0" t="s">
        <v>1508</v>
      </c>
      <c r="B611" s="2" t="n">
        <v>45794</v>
      </c>
      <c r="C611" s="2" t="str">
        <f aca="false">TEXT(B611,"dd/mm/yyyy")</f>
        <v>17/05/2025</v>
      </c>
      <c r="D611" s="0" t="s">
        <v>163</v>
      </c>
      <c r="E611" s="0" t="n">
        <v>8088522325</v>
      </c>
      <c r="F611" s="0" t="s">
        <v>85</v>
      </c>
      <c r="G611" s="0" t="s">
        <v>2319</v>
      </c>
      <c r="H611" s="0" t="s">
        <v>1509</v>
      </c>
      <c r="I611" s="0" t="s">
        <v>69</v>
      </c>
      <c r="J611" s="0" t="s">
        <v>87</v>
      </c>
      <c r="K611" s="3" t="str">
        <f aca="false" t="array" ref="K611:K611">IFERROR(IF(J611&lt;&gt;"",J611,INDEX(J611:J1610,MATCH(1,(F611:F1610=F611)*(I611:I1610=I611)*(L611:L1610=L611)*(J611:J1610&lt;&gt;""),0))),"Not Found")</f>
        <v>Oil Change</v>
      </c>
      <c r="L611" s="3" t="s">
        <v>142</v>
      </c>
      <c r="M611" s="0" t="str">
        <f aca="false">PROPER(L611)</f>
        <v>Oil Filter, Brake Pads</v>
      </c>
      <c r="N611" s="3" t="s">
        <v>48</v>
      </c>
      <c r="O611" s="0" t="str">
        <f aca="false" t="array" ref="O611:O611">IF(N611&lt;&gt;"",N611,_xlfn.xlookup(1,(L611:L1610=L611)*(N611:N1610&lt;&gt;""),N611:N1610,"Not Found"))</f>
        <v>Uche</v>
      </c>
      <c r="P611" s="4" t="n">
        <v>102283</v>
      </c>
      <c r="Q611" s="0" t="s">
        <v>166</v>
      </c>
      <c r="R611" s="0" t="str">
        <f aca="false">PROPER(Q611)</f>
        <v>Transfer</v>
      </c>
      <c r="S611" s="0" t="s">
        <v>50</v>
      </c>
      <c r="T611" s="0" t="n">
        <v>4</v>
      </c>
      <c r="U611" s="5" t="n">
        <f aca="false">IF(ISBLANK(T611),AVERAGE(T611:T1610),T611)</f>
        <v>4</v>
      </c>
      <c r="V611" s="0" t="n">
        <v>5.5</v>
      </c>
      <c r="W611" s="0" t="s">
        <v>51</v>
      </c>
      <c r="X611" s="0" t="str">
        <f aca="false">IF(ISBLANK(W611),"No remarks",W611)</f>
        <v>Recommended further checks</v>
      </c>
      <c r="Y611" s="0" t="s">
        <v>93</v>
      </c>
      <c r="Z611" s="0" t="s">
        <v>74</v>
      </c>
      <c r="AA611" s="0" t="str">
        <f aca="false">PROPER(IF(ISBLANK(Z611),"Location Unavailable",Z611))</f>
        <v>Under Tree</v>
      </c>
      <c r="AB611" s="0" t="s">
        <v>75</v>
      </c>
      <c r="AC611" s="6" t="str">
        <f aca="false">PROPER(AB611)</f>
        <v>Mechanik Referal</v>
      </c>
      <c r="AD611" s="6" t="n">
        <v>30</v>
      </c>
      <c r="AE611" s="5" t="n">
        <f aca="false">IF(ISBLANK(AD611),AVERAGEIF(L611:L1610,L611,AD611:AD1610),AD611)</f>
        <v>30</v>
      </c>
      <c r="AF611" s="0" t="s">
        <v>112</v>
      </c>
      <c r="AG611" s="0" t="str">
        <f aca="false">PROPER(AF611)</f>
        <v>Unavailable</v>
      </c>
      <c r="AH611" s="0" t="s">
        <v>56</v>
      </c>
      <c r="AI611" s="0" t="s">
        <v>78</v>
      </c>
      <c r="AJ611" s="0" t="str">
        <f aca="false">PROPER(AI611)</f>
        <v>Booking</v>
      </c>
      <c r="AK611" s="0" t="s">
        <v>114</v>
      </c>
      <c r="AL611" s="0" t="str">
        <f aca="false">PROPER(AK611)</f>
        <v>Returning</v>
      </c>
      <c r="AM611" s="0" t="s">
        <v>177</v>
      </c>
      <c r="AN611" s="0" t="str">
        <f aca="false">IF(ISBLANK(AM611),"Unknown",AM611)</f>
        <v>Private</v>
      </c>
      <c r="AO611" s="0" t="s">
        <v>79</v>
      </c>
      <c r="AP611" s="0" t="str">
        <f aca="false">IF(ISBLANK(AO611),"Unknown",AO611)</f>
        <v>Specialist</v>
      </c>
      <c r="AQ611" s="0" t="n">
        <v>25000</v>
      </c>
      <c r="AR611" s="5" t="n">
        <f aca="false">IF(ISBLANK(AQ611),AVERAGEIF(M611:M1610,M611,AQ611:AQ1610),AQ611)</f>
        <v>25000</v>
      </c>
      <c r="AS611" s="0" t="n">
        <v>30000</v>
      </c>
      <c r="AT611" s="5" t="n">
        <f aca="false">IF(ISBLANK(AS611),AVERAGE(AS611:AS1610),AS611)</f>
        <v>30000</v>
      </c>
      <c r="AV611" s="0" t="str">
        <f aca="false">PROPER(IF(ISBLANK(AU611),"No",AU611))</f>
        <v>No</v>
      </c>
      <c r="AW611" s="0" t="n">
        <v>5000</v>
      </c>
      <c r="AX611" s="5" t="n">
        <f aca="false">IF(ISBLANK(AW611),0,AW611)</f>
        <v>5000</v>
      </c>
      <c r="AY611" s="0" t="s">
        <v>80</v>
      </c>
      <c r="AZ611" s="0" t="str">
        <f aca="false">UPPER(IF(ISBLANK(AY611),"NONE",AY611))</f>
        <v>PROMO10</v>
      </c>
      <c r="BB611" s="7" t="str">
        <f aca="false">IF(ISBLANK(BA611),"No Follow Up Needed",BA611)</f>
        <v>No Follow Up Needed</v>
      </c>
      <c r="BC611" s="0" t="s">
        <v>50</v>
      </c>
      <c r="BD611" s="0" t="str">
        <f aca="false">PROPER(IF(ISBLANK(BC611),"Unknown",BC611))</f>
        <v>No</v>
      </c>
      <c r="BF611" s="0" t="str">
        <f aca="false">IF(ISBLANK(BE611),"No comments",BE611)</f>
        <v>No comments</v>
      </c>
      <c r="BG611" s="0" t="s">
        <v>172</v>
      </c>
      <c r="BH611" s="0" t="str">
        <f aca="false">IF(ISBLANK(BG611),"No comments",BG611)</f>
        <v>Always late</v>
      </c>
      <c r="BI611" s="0" t="s">
        <v>63</v>
      </c>
      <c r="BJ611" s="0" t="str">
        <f aca="false">IF(ISBLANK(BI611),"Not Mentioned",BI611)</f>
        <v>Yes</v>
      </c>
      <c r="BK611" s="0" t="s">
        <v>82</v>
      </c>
      <c r="BL611" s="0" t="str">
        <f aca="false">PROPER(IF(ISBLANK(BK611),"Not Mentioned",BK611))</f>
        <v>Yes</v>
      </c>
      <c r="BN611" s="0" t="str">
        <f aca="false">PROPER(IF(ISBLANK(BM611),"Not Mentioned",BM611))</f>
        <v>Not Mentioned</v>
      </c>
      <c r="BP611" s="0" t="str">
        <f aca="false">IF(ISBLANK(BO611),"One-Time Plan",BO611)</f>
        <v>One-Time Plan</v>
      </c>
      <c r="BQ611" s="0" t="s">
        <v>63</v>
      </c>
      <c r="BR611" s="0" t="str">
        <f aca="false">PROPER(IF(ISBLANK(BQ611),"No",BQ611))</f>
        <v>Yes</v>
      </c>
    </row>
    <row r="612" customFormat="false" ht="15" hidden="false" customHeight="false" outlineLevel="0" collapsed="false">
      <c r="A612" s="0" t="s">
        <v>1510</v>
      </c>
      <c r="B612" s="2" t="n">
        <v>45814</v>
      </c>
      <c r="C612" s="2" t="str">
        <f aca="false">TEXT(B612,"dd/mm/yyyy")</f>
        <v>06/06/2025</v>
      </c>
      <c r="D612" s="0" t="s">
        <v>66</v>
      </c>
      <c r="E612" s="0" t="n">
        <v>8070251890</v>
      </c>
      <c r="F612" s="0" t="s">
        <v>67</v>
      </c>
      <c r="G612" s="0" t="s">
        <v>2316</v>
      </c>
      <c r="H612" s="0" t="s">
        <v>1511</v>
      </c>
      <c r="I612" s="0" t="s">
        <v>45</v>
      </c>
      <c r="J612" s="0" t="s">
        <v>2322</v>
      </c>
      <c r="K612" s="3" t="str">
        <f aca="false" t="array" ref="K612:K612">IFERROR(IF(J612&lt;&gt;"",J612,INDEX(J612:J1611,MATCH(1,(F612:F1611=F612)*(I612:I1611=I612)*(L612:L1611=L612)*(J612:J1611&lt;&gt;""),0))),"Not Found")</f>
        <v>Brake Failure</v>
      </c>
      <c r="L612" s="3" t="s">
        <v>142</v>
      </c>
      <c r="M612" s="0" t="str">
        <f aca="false">PROPER(L612)</f>
        <v>Oil Filter, Brake Pads</v>
      </c>
      <c r="N612" s="3" t="s">
        <v>109</v>
      </c>
      <c r="O612" s="0" t="str">
        <f aca="false" t="array" ref="O612:O612">IF(N612&lt;&gt;"",N612,_xlfn.xlookup(1,(L612:L1611=L612)*(N612:N1611&lt;&gt;""),N612:N1611,"Not Found"))</f>
        <v>Tijani</v>
      </c>
      <c r="P612" s="4" t="n">
        <v>35762</v>
      </c>
      <c r="Q612" s="0" t="s">
        <v>166</v>
      </c>
      <c r="R612" s="0" t="str">
        <f aca="false">PROPER(Q612)</f>
        <v>Transfer</v>
      </c>
      <c r="S612" s="0" t="s">
        <v>50</v>
      </c>
      <c r="T612" s="0" t="n">
        <v>1</v>
      </c>
      <c r="U612" s="5" t="n">
        <f aca="false">IF(ISBLANK(T612),AVERAGE(T612:T1611),T612)</f>
        <v>1</v>
      </c>
      <c r="V612" s="0" t="n">
        <v>4.1</v>
      </c>
      <c r="W612" s="0" t="s">
        <v>51</v>
      </c>
      <c r="X612" s="0" t="str">
        <f aca="false">IF(ISBLANK(W612),"No remarks",W612)</f>
        <v>Recommended further checks</v>
      </c>
      <c r="Y612" s="0" t="s">
        <v>93</v>
      </c>
      <c r="AA612" s="0" t="str">
        <f aca="false">PROPER(IF(ISBLANK(Z612),"Location Unavailable",Z612))</f>
        <v>Location Unavailable</v>
      </c>
      <c r="AB612" s="0" t="s">
        <v>95</v>
      </c>
      <c r="AC612" s="6" t="str">
        <f aca="false">PROPER(AB612)</f>
        <v>Road Sign</v>
      </c>
      <c r="AD612" s="6" t="n">
        <v>15</v>
      </c>
      <c r="AE612" s="5" t="n">
        <f aca="false">IF(ISBLANK(AD612),AVERAGEIF(L612:L1611,L612,AD612:AD1611),AD612)</f>
        <v>15</v>
      </c>
      <c r="AF612" s="0" t="s">
        <v>76</v>
      </c>
      <c r="AG612" s="0" t="str">
        <f aca="false">PROPER(AF612)</f>
        <v>Orderd</v>
      </c>
      <c r="AH612" s="0" t="s">
        <v>155</v>
      </c>
      <c r="AI612" s="0" t="s">
        <v>98</v>
      </c>
      <c r="AJ612" s="0" t="str">
        <f aca="false">PROPER(AI612)</f>
        <v>Emergency</v>
      </c>
      <c r="AK612" s="0" t="s">
        <v>196</v>
      </c>
      <c r="AL612" s="0" t="str">
        <f aca="false">PROPER(AK612)</f>
        <v>First Time</v>
      </c>
      <c r="AM612" s="0" t="s">
        <v>2324</v>
      </c>
      <c r="AN612" s="0" t="str">
        <f aca="false">IF(ISBLANK(AM612),"Unknown",AM612)</f>
        <v>Logistics Convoy</v>
      </c>
      <c r="AO612" s="0" t="s">
        <v>79</v>
      </c>
      <c r="AP612" s="0" t="str">
        <f aca="false">IF(ISBLANK(AO612),"Unknown",AO612)</f>
        <v>Specialist</v>
      </c>
      <c r="AR612" s="5" t="n">
        <f aca="false">IF(ISBLANK(AQ612),AVERAGEIF(M612:M1611,M612,AQ612:AQ1611),AQ612)</f>
        <v>27264.1509433962</v>
      </c>
      <c r="AS612" s="0" t="n">
        <v>40000</v>
      </c>
      <c r="AT612" s="5" t="n">
        <f aca="false">IF(ISBLANK(AS612),AVERAGE(AS612:AS1611),AS612)</f>
        <v>40000</v>
      </c>
      <c r="AV612" s="0" t="str">
        <f aca="false">PROPER(IF(ISBLANK(AU612),"No",AU612))</f>
        <v>No</v>
      </c>
      <c r="AW612" s="0" t="n">
        <v>10000</v>
      </c>
      <c r="AX612" s="5" t="n">
        <f aca="false">IF(ISBLANK(AW612),0,AW612)</f>
        <v>10000</v>
      </c>
      <c r="AY612" s="0" t="s">
        <v>80</v>
      </c>
      <c r="AZ612" s="0" t="str">
        <f aca="false">UPPER(IF(ISBLANK(AY612),"NONE",AY612))</f>
        <v>PROMO10</v>
      </c>
      <c r="BA612" s="7" t="n">
        <v>45843</v>
      </c>
      <c r="BB612" s="7" t="n">
        <f aca="false">IF(ISBLANK(BA612),"No Follow Up Needed",BA612)</f>
        <v>45843</v>
      </c>
      <c r="BC612" s="0" t="s">
        <v>50</v>
      </c>
      <c r="BD612" s="0" t="str">
        <f aca="false">PROPER(IF(ISBLANK(BC612),"Unknown",BC612))</f>
        <v>No</v>
      </c>
      <c r="BF612" s="0" t="str">
        <f aca="false">IF(ISBLANK(BE612),"No comments",BE612)</f>
        <v>No comments</v>
      </c>
      <c r="BG612" s="0" t="s">
        <v>117</v>
      </c>
      <c r="BH612" s="0" t="str">
        <f aca="false">IF(ISBLANK(BG612),"No comments",BG612)</f>
        <v>Prefers morning</v>
      </c>
      <c r="BI612" s="0" t="s">
        <v>63</v>
      </c>
      <c r="BJ612" s="0" t="str">
        <f aca="false">IF(ISBLANK(BI612),"Not Mentioned",BI612)</f>
        <v>Yes</v>
      </c>
      <c r="BL612" s="0" t="str">
        <f aca="false">PROPER(IF(ISBLANK(BK612),"Not Mentioned",BK612))</f>
        <v>Not Mentioned</v>
      </c>
      <c r="BM612" s="0" t="s">
        <v>63</v>
      </c>
      <c r="BN612" s="0" t="str">
        <f aca="false">PROPER(IF(ISBLANK(BM612),"Not Mentioned",BM612))</f>
        <v>Yes</v>
      </c>
      <c r="BO612" s="0" t="s">
        <v>2318</v>
      </c>
      <c r="BP612" s="0" t="str">
        <f aca="false">IF(ISBLANK(BO612),"One-Time Plan",BO612)</f>
        <v>Gold</v>
      </c>
      <c r="BQ612" s="0" t="s">
        <v>50</v>
      </c>
      <c r="BR612" s="0" t="str">
        <f aca="false">PROPER(IF(ISBLANK(BQ612),"No",BQ612))</f>
        <v>No</v>
      </c>
    </row>
    <row r="613" customFormat="false" ht="15" hidden="false" customHeight="false" outlineLevel="0" collapsed="false">
      <c r="A613" s="0" t="s">
        <v>1512</v>
      </c>
      <c r="B613" s="2" t="s">
        <v>1050</v>
      </c>
      <c r="C613" s="2" t="str">
        <f aca="false">TEXT(B613,"dd/mm/yyyy")</f>
        <v>27/03/2025</v>
      </c>
      <c r="D613" s="0" t="s">
        <v>163</v>
      </c>
      <c r="E613" s="0" t="n">
        <v>8061321020</v>
      </c>
      <c r="F613" s="0" t="s">
        <v>43</v>
      </c>
      <c r="G613" s="0" t="s">
        <v>2315</v>
      </c>
      <c r="H613" s="0" t="s">
        <v>1513</v>
      </c>
      <c r="I613" s="0" t="s">
        <v>69</v>
      </c>
      <c r="J613" s="0" t="s">
        <v>87</v>
      </c>
      <c r="K613" s="3" t="str">
        <f aca="false" t="array" ref="K613:K613">IFERROR(IF(J613&lt;&gt;"",J613,INDEX(J613:J1612,MATCH(1,(F613:F1612=F613)*(I613:I1612=I613)*(L613:L1612=L613)*(J613:J1612&lt;&gt;""),0))),"Not Found")</f>
        <v>Oil Change</v>
      </c>
      <c r="L613" s="3" t="s">
        <v>154</v>
      </c>
      <c r="M613" s="0" t="str">
        <f aca="false">PROPER(L613)</f>
        <v>Air Filter</v>
      </c>
      <c r="N613" s="3" t="s">
        <v>90</v>
      </c>
      <c r="O613" s="0" t="str">
        <f aca="false" t="array" ref="O613:O613">IF(N613&lt;&gt;"",N613,_xlfn.xlookup(1,(L613:L1612=L613)*(N613:N1612&lt;&gt;""),N613:N1612,"Not Found"))</f>
        <v>Musa</v>
      </c>
      <c r="P613" s="4" t="n">
        <v>13249</v>
      </c>
      <c r="Q613" s="0" t="s">
        <v>72</v>
      </c>
      <c r="R613" s="0" t="str">
        <f aca="false">PROPER(Q613)</f>
        <v>Pos</v>
      </c>
      <c r="S613" s="0" t="s">
        <v>50</v>
      </c>
      <c r="T613" s="0" t="n">
        <v>3</v>
      </c>
      <c r="U613" s="5" t="n">
        <f aca="false">IF(ISBLANK(T613),AVERAGE(T613:T1612),T613)</f>
        <v>3</v>
      </c>
      <c r="V613" s="0" t="n">
        <v>4.6</v>
      </c>
      <c r="W613" s="0" t="s">
        <v>111</v>
      </c>
      <c r="X613" s="0" t="str">
        <f aca="false">IF(ISBLANK(W613),"No remarks",W613)</f>
        <v>Changed all filters</v>
      </c>
      <c r="Y613" s="0" t="s">
        <v>93</v>
      </c>
      <c r="Z613" s="0" t="s">
        <v>136</v>
      </c>
      <c r="AA613" s="0" t="str">
        <f aca="false">PROPER(IF(ISBLANK(Z613),"Location Unavailable",Z613))</f>
        <v>Vip Section</v>
      </c>
      <c r="AB613" s="0" t="s">
        <v>147</v>
      </c>
      <c r="AC613" s="6" t="str">
        <f aca="false">PROPER(AB613)</f>
        <v>Instagram</v>
      </c>
      <c r="AD613" s="6" t="n">
        <v>45</v>
      </c>
      <c r="AE613" s="5" t="n">
        <f aca="false">IF(ISBLANK(AD613),AVERAGEIF(L613:L1612,L613,AD613:AD1612),AD613)</f>
        <v>45</v>
      </c>
      <c r="AF613" s="0" t="s">
        <v>96</v>
      </c>
      <c r="AG613" s="0" t="str">
        <f aca="false">PROPER(AF613)</f>
        <v>Ordered</v>
      </c>
      <c r="AH613" s="0" t="s">
        <v>155</v>
      </c>
      <c r="AI613" s="0" t="s">
        <v>98</v>
      </c>
      <c r="AJ613" s="0" t="str">
        <f aca="false">PROPER(AI613)</f>
        <v>Emergency</v>
      </c>
      <c r="AK613" s="0" t="s">
        <v>196</v>
      </c>
      <c r="AL613" s="0" t="str">
        <f aca="false">PROPER(AK613)</f>
        <v>First Time</v>
      </c>
      <c r="AN613" s="0" t="str">
        <f aca="false">IF(ISBLANK(AM613),"Unknown",AM613)</f>
        <v>Unknown</v>
      </c>
      <c r="AO613" s="0" t="s">
        <v>149</v>
      </c>
      <c r="AP613" s="0" t="str">
        <f aca="false">IF(ISBLANK(AO613),"Unknown",AO613)</f>
        <v>Senior </v>
      </c>
      <c r="AQ613" s="0" t="n">
        <v>25000</v>
      </c>
      <c r="AR613" s="5" t="n">
        <f aca="false">IF(ISBLANK(AQ613),AVERAGEIF(M613:M1612,M613,AQ613:AQ1612),AQ613)</f>
        <v>25000</v>
      </c>
      <c r="AT613" s="5" t="n">
        <f aca="false">IF(ISBLANK(AS613),AVERAGE(AS613:AS1612),AS613)</f>
        <v>31656.5349544073</v>
      </c>
      <c r="AU613" s="0" t="s">
        <v>82</v>
      </c>
      <c r="AV613" s="0" t="str">
        <f aca="false">PROPER(IF(ISBLANK(AU613),"No",AU613))</f>
        <v>Yes</v>
      </c>
      <c r="AW613" s="0" t="n">
        <v>5000</v>
      </c>
      <c r="AX613" s="5" t="n">
        <f aca="false">IF(ISBLANK(AW613),0,AW613)</f>
        <v>5000</v>
      </c>
      <c r="AY613" s="0" t="s">
        <v>130</v>
      </c>
      <c r="AZ613" s="0" t="str">
        <f aca="false">UPPER(IF(ISBLANK(AY613),"NONE",AY613))</f>
        <v>LOYALTY10</v>
      </c>
      <c r="BA613" s="7" t="s">
        <v>752</v>
      </c>
      <c r="BB613" s="7" t="str">
        <f aca="false">IF(ISBLANK(BA613),"No Follow Up Needed",BA613)</f>
        <v>16/08/2025</v>
      </c>
      <c r="BC613" s="0" t="s">
        <v>63</v>
      </c>
      <c r="BD613" s="0" t="str">
        <f aca="false">PROPER(IF(ISBLANK(BC613),"Unknown",BC613))</f>
        <v>Yes</v>
      </c>
      <c r="BE613" s="0" t="s">
        <v>116</v>
      </c>
      <c r="BF613" s="0" t="str">
        <f aca="false">IF(ISBLANK(BE613),"No comments",BE613)</f>
        <v>Needs tire alignment</v>
      </c>
      <c r="BH613" s="0" t="str">
        <f aca="false">IF(ISBLANK(BG613),"No comments",BG613)</f>
        <v>No comments</v>
      </c>
      <c r="BI613" s="0" t="s">
        <v>63</v>
      </c>
      <c r="BJ613" s="0" t="str">
        <f aca="false">IF(ISBLANK(BI613),"Not Mentioned",BI613)</f>
        <v>Yes</v>
      </c>
      <c r="BK613" s="0" t="s">
        <v>50</v>
      </c>
      <c r="BL613" s="0" t="str">
        <f aca="false">PROPER(IF(ISBLANK(BK613),"Not Mentioned",BK613))</f>
        <v>No</v>
      </c>
      <c r="BN613" s="0" t="str">
        <f aca="false">PROPER(IF(ISBLANK(BM613),"Not Mentioned",BM613))</f>
        <v>Not Mentioned</v>
      </c>
      <c r="BP613" s="0" t="str">
        <f aca="false">IF(ISBLANK(BO613),"One-Time Plan",BO613)</f>
        <v>One-Time Plan</v>
      </c>
      <c r="BR613" s="0" t="str">
        <f aca="false">PROPER(IF(ISBLANK(BQ613),"No",BQ613))</f>
        <v>No</v>
      </c>
    </row>
    <row r="614" customFormat="false" ht="15" hidden="false" customHeight="false" outlineLevel="0" collapsed="false">
      <c r="A614" s="0" t="s">
        <v>1514</v>
      </c>
      <c r="B614" s="2" t="n">
        <v>45841</v>
      </c>
      <c r="C614" s="2" t="str">
        <f aca="false">TEXT(B614,"dd/mm/yyyy")</f>
        <v>03/07/2025</v>
      </c>
      <c r="D614" s="0" t="s">
        <v>121</v>
      </c>
      <c r="E614" s="0" t="n">
        <v>8078588767</v>
      </c>
      <c r="F614" s="0" t="s">
        <v>43</v>
      </c>
      <c r="G614" s="0" t="s">
        <v>2315</v>
      </c>
      <c r="H614" s="0" t="s">
        <v>1515</v>
      </c>
      <c r="I614" s="0" t="s">
        <v>107</v>
      </c>
      <c r="J614" s="0" t="s">
        <v>2322</v>
      </c>
      <c r="K614" s="3" t="str">
        <f aca="false" t="array" ref="K614:K614">IFERROR(IF(J614&lt;&gt;"",J614,INDEX(J614:J1613,MATCH(1,(F614:F1613=F614)*(I614:I1613=I614)*(L614:L1613=L614)*(J614:J1613&lt;&gt;""),0))),"Not Found")</f>
        <v>Brake Failure</v>
      </c>
      <c r="L614" s="3" t="s">
        <v>154</v>
      </c>
      <c r="M614" s="0" t="str">
        <f aca="false">PROPER(L614)</f>
        <v>Air Filter</v>
      </c>
      <c r="O614" s="0" t="e">
        <f aca="false" t="array" ref="O614:O614">IF(N614&lt;&gt;"",N614,_xlfn.xlookup(1,(L614:L1613=L614)*(N614:N1613&lt;&gt;""),N614:N1613,"Not Found"))</f>
        <v>#NAME?</v>
      </c>
      <c r="P614" s="4" t="n">
        <v>12284</v>
      </c>
      <c r="Q614" s="0" t="s">
        <v>124</v>
      </c>
      <c r="R614" s="0" t="str">
        <f aca="false">PROPER(Q614)</f>
        <v>Cash</v>
      </c>
      <c r="S614" s="0" t="s">
        <v>63</v>
      </c>
      <c r="U614" s="5" t="n">
        <f aca="false">IF(ISBLANK(T614),AVERAGE(T614:T1613),T614)</f>
        <v>3.10971786833856</v>
      </c>
      <c r="V614" s="0" t="n">
        <v>2.8</v>
      </c>
      <c r="W614" s="0" t="s">
        <v>51</v>
      </c>
      <c r="X614" s="0" t="str">
        <f aca="false">IF(ISBLANK(W614),"No remarks",W614)</f>
        <v>Recommended further checks</v>
      </c>
      <c r="Y614" s="0" t="s">
        <v>52</v>
      </c>
      <c r="AA614" s="0" t="str">
        <f aca="false">PROPER(IF(ISBLANK(Z614),"Location Unavailable",Z614))</f>
        <v>Location Unavailable</v>
      </c>
      <c r="AB614" s="0" t="s">
        <v>147</v>
      </c>
      <c r="AC614" s="6" t="str">
        <f aca="false">PROPER(AB614)</f>
        <v>Instagram</v>
      </c>
      <c r="AD614" s="6" t="n">
        <v>45</v>
      </c>
      <c r="AE614" s="5" t="n">
        <f aca="false">IF(ISBLANK(AD614),AVERAGEIF(L614:L1613,L614,AD614:AD1613),AD614)</f>
        <v>45</v>
      </c>
      <c r="AF614" s="0" t="s">
        <v>160</v>
      </c>
      <c r="AG614" s="0" t="str">
        <f aca="false">PROPER(AF614)</f>
        <v>Availaible</v>
      </c>
      <c r="AH614" s="0" t="s">
        <v>155</v>
      </c>
      <c r="AI614" s="0" t="s">
        <v>113</v>
      </c>
      <c r="AJ614" s="0" t="str">
        <f aca="false">PROPER(AI614)</f>
        <v>Normal</v>
      </c>
      <c r="AK614" s="0" t="s">
        <v>99</v>
      </c>
      <c r="AL614" s="0" t="str">
        <f aca="false">PROPER(AK614)</f>
        <v>Uber Driver</v>
      </c>
      <c r="AN614" s="0" t="str">
        <f aca="false">IF(ISBLANK(AM614),"Unknown",AM614)</f>
        <v>Unknown</v>
      </c>
      <c r="AO614" s="0" t="s">
        <v>79</v>
      </c>
      <c r="AP614" s="0" t="str">
        <f aca="false">IF(ISBLANK(AO614),"Unknown",AO614)</f>
        <v>Specialist</v>
      </c>
      <c r="AQ614" s="0" t="n">
        <v>30000</v>
      </c>
      <c r="AR614" s="5" t="n">
        <f aca="false">IF(ISBLANK(AQ614),AVERAGEIF(M614:M1613,M614,AQ614:AQ1613),AQ614)</f>
        <v>30000</v>
      </c>
      <c r="AS614" s="0" t="n">
        <v>30000</v>
      </c>
      <c r="AT614" s="5" t="n">
        <f aca="false">IF(ISBLANK(AS614),AVERAGE(AS614:AS1613),AS614)</f>
        <v>30000</v>
      </c>
      <c r="AU614" s="0" t="s">
        <v>82</v>
      </c>
      <c r="AV614" s="0" t="str">
        <f aca="false">PROPER(IF(ISBLANK(AU614),"No",AU614))</f>
        <v>Yes</v>
      </c>
      <c r="AW614" s="0" t="n">
        <v>10000</v>
      </c>
      <c r="AX614" s="5" t="n">
        <f aca="false">IF(ISBLANK(AW614),0,AW614)</f>
        <v>10000</v>
      </c>
      <c r="AY614" s="0" t="s">
        <v>60</v>
      </c>
      <c r="AZ614" s="0" t="str">
        <f aca="false">UPPER(IF(ISBLANK(AY614),"NONE",AY614))</f>
        <v>NONE</v>
      </c>
      <c r="BA614" s="7" t="s">
        <v>718</v>
      </c>
      <c r="BB614" s="7" t="str">
        <f aca="false">IF(ISBLANK(BA614),"No Follow Up Needed",BA614)</f>
        <v>26/12/2025</v>
      </c>
      <c r="BD614" s="0" t="str">
        <f aca="false">PROPER(IF(ISBLANK(BC614),"Unknown",BC614))</f>
        <v>Unknown</v>
      </c>
      <c r="BE614" s="0" t="s">
        <v>116</v>
      </c>
      <c r="BF614" s="0" t="str">
        <f aca="false">IF(ISBLANK(BE614),"No comments",BE614)</f>
        <v>Needs tire alignment</v>
      </c>
      <c r="BH614" s="0" t="str">
        <f aca="false">IF(ISBLANK(BG614),"No comments",BG614)</f>
        <v>No comments</v>
      </c>
      <c r="BJ614" s="0" t="str">
        <f aca="false">IF(ISBLANK(BI614),"Not Mentioned",BI614)</f>
        <v>Not Mentioned</v>
      </c>
      <c r="BK614" s="0" t="s">
        <v>63</v>
      </c>
      <c r="BL614" s="0" t="str">
        <f aca="false">PROPER(IF(ISBLANK(BK614),"Not Mentioned",BK614))</f>
        <v>Yes</v>
      </c>
      <c r="BN614" s="0" t="str">
        <f aca="false">PROPER(IF(ISBLANK(BM614),"Not Mentioned",BM614))</f>
        <v>Not Mentioned</v>
      </c>
      <c r="BO614" s="0" t="s">
        <v>64</v>
      </c>
      <c r="BP614" s="0" t="str">
        <f aca="false">IF(ISBLANK(BO614),"One-Time Plan",BO614)</f>
        <v>Gold Maintenance Plan</v>
      </c>
      <c r="BQ614" s="0" t="s">
        <v>190</v>
      </c>
      <c r="BR614" s="0" t="str">
        <f aca="false">PROPER(IF(ISBLANK(BQ614),"No",BQ614))</f>
        <v>Yes</v>
      </c>
    </row>
    <row r="615" customFormat="false" ht="15" hidden="false" customHeight="false" outlineLevel="0" collapsed="false">
      <c r="A615" s="0" t="s">
        <v>1516</v>
      </c>
      <c r="B615" s="2" t="n">
        <v>45776</v>
      </c>
      <c r="C615" s="2" t="str">
        <f aca="false">TEXT(B615,"dd/mm/yyyy")</f>
        <v>29/04/2025</v>
      </c>
      <c r="D615" s="0" t="s">
        <v>66</v>
      </c>
      <c r="E615" s="0" t="n">
        <v>8095978796</v>
      </c>
      <c r="F615" s="0" t="s">
        <v>43</v>
      </c>
      <c r="G615" s="0" t="s">
        <v>2315</v>
      </c>
      <c r="H615" s="0" t="s">
        <v>1517</v>
      </c>
      <c r="I615" s="0" t="s">
        <v>87</v>
      </c>
      <c r="J615" s="0" t="s">
        <v>87</v>
      </c>
      <c r="K615" s="3" t="str">
        <f aca="false" t="array" ref="K615:K615">IFERROR(IF(J615&lt;&gt;"",J615,INDEX(J615:J1614,MATCH(1,(F615:F1614=F615)*(I615:I1614=I615)*(L615:L1614=L615)*(J615:J1614&lt;&gt;""),0))),"Not Found")</f>
        <v>Oil Change</v>
      </c>
      <c r="L615" s="3" t="s">
        <v>142</v>
      </c>
      <c r="M615" s="0" t="str">
        <f aca="false">PROPER(L615)</f>
        <v>Oil Filter, Brake Pads</v>
      </c>
      <c r="O615" s="0" t="e">
        <f aca="false" t="array" ref="O615:O615">IF(N615&lt;&gt;"",N615,_xlfn.xlookup(1,(L615:L1614=L615)*(N615:N1614&lt;&gt;""),N615:N1614,"Not Found"))</f>
        <v>#NAME?</v>
      </c>
      <c r="P615" s="4" t="n">
        <v>84072</v>
      </c>
      <c r="Q615" s="0" t="s">
        <v>110</v>
      </c>
      <c r="R615" s="0" t="str">
        <f aca="false">PROPER(Q615)</f>
        <v>Cash</v>
      </c>
      <c r="S615" s="0" t="s">
        <v>63</v>
      </c>
      <c r="T615" s="0" t="n">
        <v>3</v>
      </c>
      <c r="U615" s="5" t="n">
        <f aca="false">IF(ISBLANK(T615),AVERAGE(T615:T1614),T615)</f>
        <v>3</v>
      </c>
      <c r="V615" s="0" t="n">
        <v>3.3</v>
      </c>
      <c r="W615" s="0" t="s">
        <v>51</v>
      </c>
      <c r="X615" s="0" t="str">
        <f aca="false">IF(ISBLANK(W615),"No remarks",W615)</f>
        <v>Recommended further checks</v>
      </c>
      <c r="Y615" s="0" t="s">
        <v>73</v>
      </c>
      <c r="Z615" s="0" t="s">
        <v>159</v>
      </c>
      <c r="AA615" s="0" t="str">
        <f aca="false">PROPER(IF(ISBLANK(Z615),"Location Unavailable",Z615))</f>
        <v>Main Bay</v>
      </c>
      <c r="AB615" s="0" t="s">
        <v>126</v>
      </c>
      <c r="AC615" s="6" t="str">
        <f aca="false">PROPER(AB615)</f>
        <v>Whatsapp</v>
      </c>
      <c r="AD615" s="6" t="n">
        <v>15</v>
      </c>
      <c r="AE615" s="5" t="n">
        <f aca="false">IF(ISBLANK(AD615),AVERAGEIF(L615:L1614,L615,AD615:AD1614),AD615)</f>
        <v>15</v>
      </c>
      <c r="AF615" s="0" t="s">
        <v>112</v>
      </c>
      <c r="AG615" s="0" t="str">
        <f aca="false">PROPER(AF615)</f>
        <v>Unavailable</v>
      </c>
      <c r="AH615" s="0" t="s">
        <v>77</v>
      </c>
      <c r="AI615" s="0" t="s">
        <v>98</v>
      </c>
      <c r="AJ615" s="0" t="str">
        <f aca="false">PROPER(AI615)</f>
        <v>Emergency</v>
      </c>
      <c r="AK615" s="0" t="s">
        <v>114</v>
      </c>
      <c r="AL615" s="0" t="str">
        <f aca="false">PROPER(AK615)</f>
        <v>Returning</v>
      </c>
      <c r="AM615" s="0" t="s">
        <v>177</v>
      </c>
      <c r="AN615" s="0" t="str">
        <f aca="false">IF(ISBLANK(AM615),"Unknown",AM615)</f>
        <v>Private</v>
      </c>
      <c r="AP615" s="0" t="str">
        <f aca="false">IF(ISBLANK(AO615),"Unknown",AO615)</f>
        <v>Unknown</v>
      </c>
      <c r="AQ615" s="0" t="n">
        <v>40000</v>
      </c>
      <c r="AR615" s="5" t="n">
        <f aca="false">IF(ISBLANK(AQ615),AVERAGEIF(M615:M1614,M615,AQ615:AQ1614),AQ615)</f>
        <v>40000</v>
      </c>
      <c r="AS615" s="0" t="n">
        <v>30000</v>
      </c>
      <c r="AT615" s="5" t="n">
        <f aca="false">IF(ISBLANK(AS615),AVERAGE(AS615:AS1614),AS615)</f>
        <v>30000</v>
      </c>
      <c r="AV615" s="0" t="str">
        <f aca="false">PROPER(IF(ISBLANK(AU615),"No",AU615))</f>
        <v>No</v>
      </c>
      <c r="AW615" s="0" t="n">
        <v>0</v>
      </c>
      <c r="AX615" s="5" t="n">
        <f aca="false">IF(ISBLANK(AW615),0,AW615)</f>
        <v>0</v>
      </c>
      <c r="AY615" s="0" t="s">
        <v>184</v>
      </c>
      <c r="AZ615" s="0" t="str">
        <f aca="false">UPPER(IF(ISBLANK(AY615),"NONE",AY615))</f>
        <v>N/A</v>
      </c>
      <c r="BB615" s="7" t="str">
        <f aca="false">IF(ISBLANK(BA615),"No Follow Up Needed",BA615)</f>
        <v>No Follow Up Needed</v>
      </c>
      <c r="BD615" s="0" t="str">
        <f aca="false">PROPER(IF(ISBLANK(BC615),"Unknown",BC615))</f>
        <v>Unknown</v>
      </c>
      <c r="BE615" s="0" t="s">
        <v>116</v>
      </c>
      <c r="BF615" s="0" t="str">
        <f aca="false">IF(ISBLANK(BE615),"No comments",BE615)</f>
        <v>Needs tire alignment</v>
      </c>
      <c r="BH615" s="0" t="str">
        <f aca="false">IF(ISBLANK(BG615),"No comments",BG615)</f>
        <v>No comments</v>
      </c>
      <c r="BI615" s="0" t="s">
        <v>50</v>
      </c>
      <c r="BJ615" s="0" t="str">
        <f aca="false">IF(ISBLANK(BI615),"Not Mentioned",BI615)</f>
        <v>No</v>
      </c>
      <c r="BK615" s="0" t="s">
        <v>61</v>
      </c>
      <c r="BL615" s="0" t="str">
        <f aca="false">PROPER(IF(ISBLANK(BK615),"Not Mentioned",BK615))</f>
        <v>No</v>
      </c>
      <c r="BN615" s="0" t="str">
        <f aca="false">PROPER(IF(ISBLANK(BM615),"Not Mentioned",BM615))</f>
        <v>Not Mentioned</v>
      </c>
      <c r="BO615" s="0" t="s">
        <v>64</v>
      </c>
      <c r="BP615" s="0" t="str">
        <f aca="false">IF(ISBLANK(BO615),"One-Time Plan",BO615)</f>
        <v>Gold Maintenance Plan</v>
      </c>
      <c r="BQ615" s="0" t="s">
        <v>50</v>
      </c>
      <c r="BR615" s="0" t="str">
        <f aca="false">PROPER(IF(ISBLANK(BQ615),"No",BQ615))</f>
        <v>No</v>
      </c>
    </row>
    <row r="616" customFormat="false" ht="15" hidden="false" customHeight="false" outlineLevel="0" collapsed="false">
      <c r="A616" s="0" t="s">
        <v>1519</v>
      </c>
      <c r="B616" s="2" t="s">
        <v>1518</v>
      </c>
      <c r="C616" s="2" t="str">
        <f aca="false">TEXT(B616,"dd/mm/yyyy")</f>
        <v>28/03/2025</v>
      </c>
      <c r="D616" s="0" t="s">
        <v>121</v>
      </c>
      <c r="E616" s="0" t="n">
        <v>8041195619</v>
      </c>
      <c r="F616" s="0" t="s">
        <v>85</v>
      </c>
      <c r="G616" s="0" t="s">
        <v>2319</v>
      </c>
      <c r="H616" s="0" t="s">
        <v>1520</v>
      </c>
      <c r="I616" s="0" t="s">
        <v>107</v>
      </c>
      <c r="J616" s="0" t="s">
        <v>2317</v>
      </c>
      <c r="K616" s="3" t="str">
        <f aca="false" t="array" ref="K616:K616">IFERROR(IF(J616&lt;&gt;"",J616,INDEX(J616:J1615,MATCH(1,(F616:F1615=F616)*(I616:I1615=I616)*(L616:L1615=L616)*(J616:J1615&lt;&gt;""),0))),"Not Found")</f>
        <v>Suspension Noise</v>
      </c>
      <c r="L616" s="3" t="s">
        <v>154</v>
      </c>
      <c r="M616" s="0" t="str">
        <f aca="false">PROPER(L616)</f>
        <v>Air Filter</v>
      </c>
      <c r="O616" s="0" t="e">
        <f aca="false" t="array" ref="O616:O616">IF(N616&lt;&gt;"",N616,_xlfn.xlookup(1,(L616:L1615=L616)*(N616:N1615&lt;&gt;""),N616:N1615,"Not Found"))</f>
        <v>#NAME?</v>
      </c>
      <c r="P616" s="4" t="n">
        <v>67028</v>
      </c>
      <c r="Q616" s="0" t="s">
        <v>124</v>
      </c>
      <c r="R616" s="0" t="str">
        <f aca="false">PROPER(Q616)</f>
        <v>Cash</v>
      </c>
      <c r="S616" s="0" t="s">
        <v>50</v>
      </c>
      <c r="T616" s="0" t="n">
        <v>5</v>
      </c>
      <c r="U616" s="5" t="n">
        <f aca="false">IF(ISBLANK(T616),AVERAGE(T616:T1615),T616)</f>
        <v>5</v>
      </c>
      <c r="V616" s="0" t="n">
        <v>1</v>
      </c>
      <c r="W616" s="0" t="s">
        <v>51</v>
      </c>
      <c r="X616" s="0" t="str">
        <f aca="false">IF(ISBLANK(W616),"No remarks",W616)</f>
        <v>Recommended further checks</v>
      </c>
      <c r="Y616" s="0" t="s">
        <v>93</v>
      </c>
      <c r="Z616" s="0" t="s">
        <v>94</v>
      </c>
      <c r="AA616" s="0" t="str">
        <f aca="false">PROPER(IF(ISBLANK(Z616),"Location Unavailable",Z616))</f>
        <v>Vip Section</v>
      </c>
      <c r="AB616" s="0" t="s">
        <v>167</v>
      </c>
      <c r="AC616" s="6" t="str">
        <f aca="false">PROPER(AB616)</f>
        <v>Word Of Mouth</v>
      </c>
      <c r="AD616" s="6" t="n">
        <v>15</v>
      </c>
      <c r="AE616" s="5" t="n">
        <f aca="false">IF(ISBLANK(AD616),AVERAGEIF(L616:L1615,L616,AD616:AD1615),AD616)</f>
        <v>15</v>
      </c>
      <c r="AF616" s="0" t="s">
        <v>96</v>
      </c>
      <c r="AG616" s="0" t="str">
        <f aca="false">PROPER(AF616)</f>
        <v>Ordered</v>
      </c>
      <c r="AH616" s="0" t="s">
        <v>56</v>
      </c>
      <c r="AI616" s="0" t="s">
        <v>78</v>
      </c>
      <c r="AJ616" s="0" t="str">
        <f aca="false">PROPER(AI616)</f>
        <v>Booking</v>
      </c>
      <c r="AK616" s="0" t="s">
        <v>58</v>
      </c>
      <c r="AL616" s="0" t="str">
        <f aca="false">PROPER(AK616)</f>
        <v>Fleet Owner</v>
      </c>
      <c r="AN616" s="0" t="str">
        <f aca="false">IF(ISBLANK(AM616),"Unknown",AM616)</f>
        <v>Unknown</v>
      </c>
      <c r="AO616" s="0" t="s">
        <v>143</v>
      </c>
      <c r="AP616" s="0" t="str">
        <f aca="false">IF(ISBLANK(AO616),"Unknown",AO616)</f>
        <v>Senior</v>
      </c>
      <c r="AQ616" s="0" t="n">
        <v>40000</v>
      </c>
      <c r="AR616" s="5" t="n">
        <f aca="false">IF(ISBLANK(AQ616),AVERAGEIF(M616:M1615,M616,AQ616:AQ1615),AQ616)</f>
        <v>40000</v>
      </c>
      <c r="AS616" s="0" t="n">
        <v>35000</v>
      </c>
      <c r="AT616" s="5" t="n">
        <f aca="false">IF(ISBLANK(AS616),AVERAGE(AS616:AS1615),AS616)</f>
        <v>35000</v>
      </c>
      <c r="AU616" s="0" t="s">
        <v>50</v>
      </c>
      <c r="AV616" s="0" t="str">
        <f aca="false">PROPER(IF(ISBLANK(AU616),"No",AU616))</f>
        <v>No</v>
      </c>
      <c r="AW616" s="0" t="n">
        <v>0</v>
      </c>
      <c r="AX616" s="5" t="n">
        <f aca="false">IF(ISBLANK(AW616),0,AW616)</f>
        <v>0</v>
      </c>
      <c r="AY616" s="0" t="s">
        <v>184</v>
      </c>
      <c r="AZ616" s="0" t="str">
        <f aca="false">UPPER(IF(ISBLANK(AY616),"NONE",AY616))</f>
        <v>N/A</v>
      </c>
      <c r="BA616" s="7" t="s">
        <v>700</v>
      </c>
      <c r="BB616" s="7" t="str">
        <f aca="false">IF(ISBLANK(BA616),"No Follow Up Needed",BA616)</f>
        <v>13/09/2025</v>
      </c>
      <c r="BC616" s="0" t="s">
        <v>61</v>
      </c>
      <c r="BD616" s="0" t="str">
        <f aca="false">PROPER(IF(ISBLANK(BC616),"Unknown",BC616))</f>
        <v>No</v>
      </c>
      <c r="BF616" s="0" t="str">
        <f aca="false">IF(ISBLANK(BE616),"No comments",BE616)</f>
        <v>No comments</v>
      </c>
      <c r="BG616" s="0" t="s">
        <v>172</v>
      </c>
      <c r="BH616" s="0" t="str">
        <f aca="false">IF(ISBLANK(BG616),"No comments",BG616)</f>
        <v>Always late</v>
      </c>
      <c r="BJ616" s="0" t="str">
        <f aca="false">IF(ISBLANK(BI616),"Not Mentioned",BI616)</f>
        <v>Not Mentioned</v>
      </c>
      <c r="BK616" s="0" t="s">
        <v>61</v>
      </c>
      <c r="BL616" s="0" t="str">
        <f aca="false">PROPER(IF(ISBLANK(BK616),"Not Mentioned",BK616))</f>
        <v>No</v>
      </c>
      <c r="BN616" s="0" t="str">
        <f aca="false">PROPER(IF(ISBLANK(BM616),"Not Mentioned",BM616))</f>
        <v>Not Mentioned</v>
      </c>
      <c r="BO616" s="0" t="s">
        <v>2321</v>
      </c>
      <c r="BP616" s="0" t="str">
        <f aca="false">IF(ISBLANK(BO616),"One-Time Plan",BO616)</f>
        <v>One-Time Plan</v>
      </c>
      <c r="BQ616" s="0" t="s">
        <v>50</v>
      </c>
      <c r="BR616" s="0" t="str">
        <f aca="false">PROPER(IF(ISBLANK(BQ616),"No",BQ616))</f>
        <v>No</v>
      </c>
    </row>
    <row r="617" customFormat="false" ht="15" hidden="false" customHeight="false" outlineLevel="0" collapsed="false">
      <c r="A617" s="0" t="s">
        <v>1521</v>
      </c>
      <c r="B617" s="2" t="n">
        <v>45798</v>
      </c>
      <c r="C617" s="2" t="str">
        <f aca="false">TEXT(B617,"dd/mm/yyyy")</f>
        <v>21/05/2025</v>
      </c>
      <c r="D617" s="0" t="s">
        <v>121</v>
      </c>
      <c r="E617" s="0" t="n">
        <v>8077567894</v>
      </c>
      <c r="F617" s="0" t="s">
        <v>85</v>
      </c>
      <c r="G617" s="0" t="s">
        <v>2319</v>
      </c>
      <c r="H617" s="0" t="s">
        <v>1522</v>
      </c>
      <c r="I617" s="0" t="s">
        <v>87</v>
      </c>
      <c r="J617" s="0" t="s">
        <v>87</v>
      </c>
      <c r="K617" s="3" t="str">
        <f aca="false" t="array" ref="K617:K617">IFERROR(IF(J617&lt;&gt;"",J617,INDEX(J617:J1616,MATCH(1,(F617:F1616=F617)*(I617:I1616=I617)*(L617:L1616=L617)*(J617:J1616&lt;&gt;""),0))),"Not Found")</f>
        <v>Oil Change</v>
      </c>
      <c r="L617" s="3" t="s">
        <v>189</v>
      </c>
      <c r="M617" s="0" t="str">
        <f aca="false">PROPER(L617)</f>
        <v>Battery</v>
      </c>
      <c r="N617" s="3" t="s">
        <v>48</v>
      </c>
      <c r="O617" s="0" t="str">
        <f aca="false" t="array" ref="O617:O617">IF(N617&lt;&gt;"",N617,_xlfn.xlookup(1,(L617:L1616=L617)*(N617:N1616&lt;&gt;""),N617:N1616,"Not Found"))</f>
        <v>Uche</v>
      </c>
      <c r="P617" s="4" t="n">
        <v>33819</v>
      </c>
      <c r="Q617" s="0" t="s">
        <v>49</v>
      </c>
      <c r="R617" s="0" t="str">
        <f aca="false">PROPER(Q617)</f>
        <v>Transfer</v>
      </c>
      <c r="S617" s="0" t="s">
        <v>50</v>
      </c>
      <c r="T617" s="0" t="n">
        <v>5</v>
      </c>
      <c r="U617" s="5" t="n">
        <f aca="false">IF(ISBLANK(T617),AVERAGE(T617:T1616),T617)</f>
        <v>5</v>
      </c>
      <c r="V617" s="0" t="n">
        <v>4.8</v>
      </c>
      <c r="W617" s="0" t="s">
        <v>92</v>
      </c>
      <c r="X617" s="0" t="str">
        <f aca="false">IF(ISBLANK(W617),"No remarks",W617)</f>
        <v>Urgent service</v>
      </c>
      <c r="Y617" s="0" t="s">
        <v>93</v>
      </c>
      <c r="Z617" s="0" t="s">
        <v>74</v>
      </c>
      <c r="AA617" s="0" t="str">
        <f aca="false">PROPER(IF(ISBLANK(Z617),"Location Unavailable",Z617))</f>
        <v>Under Tree</v>
      </c>
      <c r="AB617" s="0" t="s">
        <v>126</v>
      </c>
      <c r="AC617" s="6" t="str">
        <f aca="false">PROPER(AB617)</f>
        <v>Whatsapp</v>
      </c>
      <c r="AD617" s="6" t="n">
        <v>45</v>
      </c>
      <c r="AE617" s="5" t="n">
        <f aca="false">IF(ISBLANK(AD617),AVERAGEIF(L617:L1616,L617,AD617:AD1616),AD617)</f>
        <v>45</v>
      </c>
      <c r="AF617" s="0" t="s">
        <v>112</v>
      </c>
      <c r="AG617" s="0" t="str">
        <f aca="false">PROPER(AF617)</f>
        <v>Unavailable</v>
      </c>
      <c r="AH617" s="0" t="s">
        <v>77</v>
      </c>
      <c r="AI617" s="0" t="s">
        <v>113</v>
      </c>
      <c r="AJ617" s="0" t="str">
        <f aca="false">PROPER(AI617)</f>
        <v>Normal</v>
      </c>
      <c r="AK617" s="0" t="s">
        <v>99</v>
      </c>
      <c r="AL617" s="0" t="str">
        <f aca="false">PROPER(AK617)</f>
        <v>Uber Driver</v>
      </c>
      <c r="AM617" s="0" t="s">
        <v>177</v>
      </c>
      <c r="AN617" s="0" t="str">
        <f aca="false">IF(ISBLANK(AM617),"Unknown",AM617)</f>
        <v>Private</v>
      </c>
      <c r="AO617" s="0" t="s">
        <v>79</v>
      </c>
      <c r="AP617" s="0" t="str">
        <f aca="false">IF(ISBLANK(AO617),"Unknown",AO617)</f>
        <v>Specialist</v>
      </c>
      <c r="AQ617" s="0" t="n">
        <v>40000</v>
      </c>
      <c r="AR617" s="5" t="n">
        <f aca="false">IF(ISBLANK(AQ617),AVERAGEIF(M617:M1616,M617,AQ617:AQ1616),AQ617)</f>
        <v>40000</v>
      </c>
      <c r="AS617" s="0" t="n">
        <v>40000</v>
      </c>
      <c r="AT617" s="5" t="n">
        <f aca="false">IF(ISBLANK(AS617),AVERAGE(AS617:AS1616),AS617)</f>
        <v>40000</v>
      </c>
      <c r="AU617" s="0" t="s">
        <v>50</v>
      </c>
      <c r="AV617" s="0" t="str">
        <f aca="false">PROPER(IF(ISBLANK(AU617),"No",AU617))</f>
        <v>No</v>
      </c>
      <c r="AW617" s="0" t="n">
        <v>5000</v>
      </c>
      <c r="AX617" s="5" t="n">
        <f aca="false">IF(ISBLANK(AW617),0,AW617)</f>
        <v>5000</v>
      </c>
      <c r="AZ617" s="0" t="str">
        <f aca="false">UPPER(IF(ISBLANK(AY617),"NONE",AY617))</f>
        <v>NONE</v>
      </c>
      <c r="BA617" s="7" t="s">
        <v>1523</v>
      </c>
      <c r="BB617" s="7" t="str">
        <f aca="false">IF(ISBLANK(BA617),"No Follow Up Needed",BA617)</f>
        <v>13/10/2025</v>
      </c>
      <c r="BC617" s="0" t="s">
        <v>61</v>
      </c>
      <c r="BD617" s="0" t="str">
        <f aca="false">PROPER(IF(ISBLANK(BC617),"Unknown",BC617))</f>
        <v>No</v>
      </c>
      <c r="BF617" s="0" t="str">
        <f aca="false">IF(ISBLANK(BE617),"No comments",BE617)</f>
        <v>No comments</v>
      </c>
      <c r="BG617" s="0" t="s">
        <v>117</v>
      </c>
      <c r="BH617" s="0" t="str">
        <f aca="false">IF(ISBLANK(BG617),"No comments",BG617)</f>
        <v>Prefers morning</v>
      </c>
      <c r="BI617" s="0" t="s">
        <v>63</v>
      </c>
      <c r="BJ617" s="0" t="str">
        <f aca="false">IF(ISBLANK(BI617),"Not Mentioned",BI617)</f>
        <v>Yes</v>
      </c>
      <c r="BK617" s="0" t="s">
        <v>63</v>
      </c>
      <c r="BL617" s="0" t="str">
        <f aca="false">PROPER(IF(ISBLANK(BK617),"Not Mentioned",BK617))</f>
        <v>Yes</v>
      </c>
      <c r="BN617" s="0" t="str">
        <f aca="false">PROPER(IF(ISBLANK(BM617),"Not Mentioned",BM617))</f>
        <v>Not Mentioned</v>
      </c>
      <c r="BO617" s="0" t="s">
        <v>64</v>
      </c>
      <c r="BP617" s="0" t="str">
        <f aca="false">IF(ISBLANK(BO617),"One-Time Plan",BO617)</f>
        <v>Gold Maintenance Plan</v>
      </c>
      <c r="BQ617" s="0" t="s">
        <v>190</v>
      </c>
      <c r="BR617" s="0" t="str">
        <f aca="false">PROPER(IF(ISBLANK(BQ617),"No",BQ617))</f>
        <v>Yes</v>
      </c>
    </row>
    <row r="618" customFormat="false" ht="15" hidden="false" customHeight="false" outlineLevel="0" collapsed="false">
      <c r="A618" s="0" t="s">
        <v>1524</v>
      </c>
      <c r="B618" s="2" t="n">
        <v>45683</v>
      </c>
      <c r="C618" s="2" t="str">
        <f aca="false">TEXT(B618,"dd/mm/yyyy")</f>
        <v>26/01/2025</v>
      </c>
      <c r="D618" s="0" t="s">
        <v>163</v>
      </c>
      <c r="E618" s="0" t="n">
        <v>8088848693</v>
      </c>
      <c r="F618" s="0" t="s">
        <v>85</v>
      </c>
      <c r="G618" s="0" t="s">
        <v>2319</v>
      </c>
      <c r="H618" s="0" t="s">
        <v>1525</v>
      </c>
      <c r="I618" s="0" t="s">
        <v>45</v>
      </c>
      <c r="J618" s="0" t="s">
        <v>2317</v>
      </c>
      <c r="K618" s="3" t="str">
        <f aca="false" t="array" ref="K618:K618">IFERROR(IF(J618&lt;&gt;"",J618,INDEX(J618:J1617,MATCH(1,(F618:F1617=F618)*(I618:I1617=I618)*(L618:L1617=L618)*(J618:J1617&lt;&gt;""),0))),"Not Found")</f>
        <v>Suspension Noise</v>
      </c>
      <c r="L618" s="3" t="s">
        <v>142</v>
      </c>
      <c r="M618" s="0" t="str">
        <f aca="false">PROPER(L618)</f>
        <v>Oil Filter, Brake Pads</v>
      </c>
      <c r="O618" s="0" t="e">
        <f aca="false" t="array" ref="O618:O618">IF(N618&lt;&gt;"",N618,_xlfn.xlookup(1,(L618:L1617=L618)*(N618:N1617&lt;&gt;""),N618:N1617,"Not Found"))</f>
        <v>#NAME?</v>
      </c>
      <c r="P618" s="4" t="n">
        <v>55735</v>
      </c>
      <c r="Q618" s="0" t="s">
        <v>72</v>
      </c>
      <c r="R618" s="0" t="str">
        <f aca="false">PROPER(Q618)</f>
        <v>Pos</v>
      </c>
      <c r="S618" s="0" t="s">
        <v>63</v>
      </c>
      <c r="T618" s="0" t="n">
        <v>1</v>
      </c>
      <c r="U618" s="5" t="n">
        <f aca="false">IF(ISBLANK(T618),AVERAGE(T618:T1617),T618)</f>
        <v>1</v>
      </c>
      <c r="V618" s="0" t="n">
        <v>1.3</v>
      </c>
      <c r="W618" s="0" t="s">
        <v>111</v>
      </c>
      <c r="X618" s="0" t="str">
        <f aca="false">IF(ISBLANK(W618),"No remarks",W618)</f>
        <v>Changed all filters</v>
      </c>
      <c r="Y618" s="0" t="s">
        <v>52</v>
      </c>
      <c r="Z618" s="0" t="s">
        <v>136</v>
      </c>
      <c r="AA618" s="0" t="str">
        <f aca="false">PROPER(IF(ISBLANK(Z618),"Location Unavailable",Z618))</f>
        <v>Vip Section</v>
      </c>
      <c r="AB618" s="0" t="s">
        <v>167</v>
      </c>
      <c r="AC618" s="6" t="str">
        <f aca="false">PROPER(AB618)</f>
        <v>Word Of Mouth</v>
      </c>
      <c r="AD618" s="6" t="n">
        <v>30</v>
      </c>
      <c r="AE618" s="5" t="n">
        <f aca="false">IF(ISBLANK(AD618),AVERAGEIF(L618:L1617,L618,AD618:AD1617),AD618)</f>
        <v>30</v>
      </c>
      <c r="AF618" s="0" t="s">
        <v>96</v>
      </c>
      <c r="AG618" s="0" t="str">
        <f aca="false">PROPER(AF618)</f>
        <v>Ordered</v>
      </c>
      <c r="AH618" s="0" t="s">
        <v>155</v>
      </c>
      <c r="AI618" s="0" t="s">
        <v>128</v>
      </c>
      <c r="AJ618" s="0" t="str">
        <f aca="false">PROPER(AI618)</f>
        <v>Normal</v>
      </c>
      <c r="AK618" s="0" t="s">
        <v>58</v>
      </c>
      <c r="AL618" s="0" t="str">
        <f aca="false">PROPER(AK618)</f>
        <v>Fleet Owner</v>
      </c>
      <c r="AN618" s="0" t="str">
        <f aca="false">IF(ISBLANK(AM618),"Unknown",AM618)</f>
        <v>Unknown</v>
      </c>
      <c r="AO618" s="0" t="s">
        <v>143</v>
      </c>
      <c r="AP618" s="0" t="str">
        <f aca="false">IF(ISBLANK(AO618),"Unknown",AO618)</f>
        <v>Senior</v>
      </c>
      <c r="AQ618" s="0" t="n">
        <v>30000</v>
      </c>
      <c r="AR618" s="5" t="n">
        <f aca="false">IF(ISBLANK(AQ618),AVERAGEIF(M618:M1617,M618,AQ618:AQ1617),AQ618)</f>
        <v>30000</v>
      </c>
      <c r="AS618" s="0" t="n">
        <v>40000</v>
      </c>
      <c r="AT618" s="5" t="n">
        <f aca="false">IF(ISBLANK(AS618),AVERAGE(AS618:AS1617),AS618)</f>
        <v>40000</v>
      </c>
      <c r="AU618" s="0" t="s">
        <v>63</v>
      </c>
      <c r="AV618" s="0" t="str">
        <f aca="false">PROPER(IF(ISBLANK(AU618),"No",AU618))</f>
        <v>Yes</v>
      </c>
      <c r="AX618" s="5" t="n">
        <f aca="false">IF(ISBLANK(AW618),0,AW618)</f>
        <v>0</v>
      </c>
      <c r="AY618" s="0" t="s">
        <v>60</v>
      </c>
      <c r="AZ618" s="0" t="str">
        <f aca="false">UPPER(IF(ISBLANK(AY618),"NONE",AY618))</f>
        <v>NONE</v>
      </c>
      <c r="BA618" s="7" t="n">
        <v>45881</v>
      </c>
      <c r="BB618" s="7" t="n">
        <f aca="false">IF(ISBLANK(BA618),"No Follow Up Needed",BA618)</f>
        <v>45881</v>
      </c>
      <c r="BC618" s="0" t="s">
        <v>50</v>
      </c>
      <c r="BD618" s="0" t="str">
        <f aca="false">PROPER(IF(ISBLANK(BC618),"Unknown",BC618))</f>
        <v>No</v>
      </c>
      <c r="BF618" s="0" t="str">
        <f aca="false">IF(ISBLANK(BE618),"No comments",BE618)</f>
        <v>No comments</v>
      </c>
      <c r="BG618" s="0" t="s">
        <v>2320</v>
      </c>
      <c r="BH618" s="0" t="str">
        <f aca="false">IF(ISBLANK(BG618),"No comments",BG618)</f>
        <v>No complaints</v>
      </c>
      <c r="BI618" s="0" t="s">
        <v>50</v>
      </c>
      <c r="BJ618" s="0" t="str">
        <f aca="false">IF(ISBLANK(BI618),"Not Mentioned",BI618)</f>
        <v>No</v>
      </c>
      <c r="BL618" s="0" t="str">
        <f aca="false">PROPER(IF(ISBLANK(BK618),"Not Mentioned",BK618))</f>
        <v>Not Mentioned</v>
      </c>
      <c r="BM618" s="0" t="s">
        <v>63</v>
      </c>
      <c r="BN618" s="0" t="str">
        <f aca="false">PROPER(IF(ISBLANK(BM618),"Not Mentioned",BM618))</f>
        <v>Yes</v>
      </c>
      <c r="BO618" s="0" t="s">
        <v>2318</v>
      </c>
      <c r="BP618" s="0" t="str">
        <f aca="false">IF(ISBLANK(BO618),"One-Time Plan",BO618)</f>
        <v>Gold</v>
      </c>
      <c r="BQ618" s="0" t="s">
        <v>50</v>
      </c>
      <c r="BR618" s="0" t="str">
        <f aca="false">PROPER(IF(ISBLANK(BQ618),"No",BQ618))</f>
        <v>No</v>
      </c>
    </row>
    <row r="619" customFormat="false" ht="15" hidden="false" customHeight="false" outlineLevel="0" collapsed="false">
      <c r="A619" s="0" t="s">
        <v>1526</v>
      </c>
      <c r="B619" s="2" t="n">
        <v>45684</v>
      </c>
      <c r="C619" s="2" t="str">
        <f aca="false">TEXT(B619,"dd/mm/yyyy")</f>
        <v>27/01/2025</v>
      </c>
      <c r="D619" s="0" t="s">
        <v>105</v>
      </c>
      <c r="E619" s="0" t="n">
        <v>8011783979</v>
      </c>
      <c r="F619" s="0" t="s">
        <v>43</v>
      </c>
      <c r="G619" s="0" t="s">
        <v>2315</v>
      </c>
      <c r="H619" s="0" t="s">
        <v>1272</v>
      </c>
      <c r="I619" s="0" t="s">
        <v>45</v>
      </c>
      <c r="J619" s="0" t="s">
        <v>87</v>
      </c>
      <c r="K619" s="3" t="str">
        <f aca="false" t="array" ref="K619:K619">IFERROR(IF(J619&lt;&gt;"",J619,INDEX(J619:J1618,MATCH(1,(F619:F1618=F619)*(I619:I1618=I619)*(L619:L1618=L619)*(J619:J1618&lt;&gt;""),0))),"Not Found")</f>
        <v>Oil Change</v>
      </c>
      <c r="L619" s="3" t="s">
        <v>189</v>
      </c>
      <c r="M619" s="0" t="str">
        <f aca="false">PROPER(L619)</f>
        <v>Battery</v>
      </c>
      <c r="N619" s="3" t="s">
        <v>71</v>
      </c>
      <c r="O619" s="0" t="str">
        <f aca="false" t="array" ref="O619:O619">IF(N619&lt;&gt;"",N619,_xlfn.xlookup(1,(L619:L1618=L619)*(N619:N1618&lt;&gt;""),N619:N1618,"Not Found"))</f>
        <v>Isaac Bobo</v>
      </c>
      <c r="P619" s="4" t="n">
        <v>79689</v>
      </c>
      <c r="Q619" s="0" t="s">
        <v>49</v>
      </c>
      <c r="R619" s="0" t="str">
        <f aca="false">PROPER(Q619)</f>
        <v>Transfer</v>
      </c>
      <c r="S619" s="0" t="s">
        <v>50</v>
      </c>
      <c r="U619" s="5" t="n">
        <f aca="false">IF(ISBLANK(T619),AVERAGE(T619:T1618),T619)</f>
        <v>3.10476190476191</v>
      </c>
      <c r="V619" s="0" t="n">
        <v>1.3</v>
      </c>
      <c r="W619" s="0" t="s">
        <v>111</v>
      </c>
      <c r="X619" s="0" t="str">
        <f aca="false">IF(ISBLANK(W619),"No remarks",W619)</f>
        <v>Changed all filters</v>
      </c>
      <c r="Y619" s="0" t="s">
        <v>73</v>
      </c>
      <c r="AA619" s="0" t="str">
        <f aca="false">PROPER(IF(ISBLANK(Z619),"Location Unavailable",Z619))</f>
        <v>Location Unavailable</v>
      </c>
      <c r="AB619" s="0" t="s">
        <v>167</v>
      </c>
      <c r="AC619" s="6" t="str">
        <f aca="false">PROPER(AB619)</f>
        <v>Word Of Mouth</v>
      </c>
      <c r="AD619" s="6" t="n">
        <v>15</v>
      </c>
      <c r="AE619" s="5" t="n">
        <f aca="false">IF(ISBLANK(AD619),AVERAGEIF(L619:L1618,L619,AD619:AD1618),AD619)</f>
        <v>15</v>
      </c>
      <c r="AF619" s="0" t="s">
        <v>96</v>
      </c>
      <c r="AG619" s="0" t="str">
        <f aca="false">PROPER(AF619)</f>
        <v>Ordered</v>
      </c>
      <c r="AH619" s="0" t="s">
        <v>77</v>
      </c>
      <c r="AI619" s="0" t="s">
        <v>98</v>
      </c>
      <c r="AJ619" s="0" t="str">
        <f aca="false">PROPER(AI619)</f>
        <v>Emergency</v>
      </c>
      <c r="AK619" s="0" t="s">
        <v>196</v>
      </c>
      <c r="AL619" s="0" t="str">
        <f aca="false">PROPER(AK619)</f>
        <v>First Time</v>
      </c>
      <c r="AN619" s="0" t="str">
        <f aca="false">IF(ISBLANK(AM619),"Unknown",AM619)</f>
        <v>Unknown</v>
      </c>
      <c r="AO619" s="0" t="s">
        <v>149</v>
      </c>
      <c r="AP619" s="0" t="str">
        <f aca="false">IF(ISBLANK(AO619),"Unknown",AO619)</f>
        <v>Senior </v>
      </c>
      <c r="AQ619" s="0" t="n">
        <v>15000</v>
      </c>
      <c r="AR619" s="5" t="n">
        <f aca="false">IF(ISBLANK(AQ619),AVERAGEIF(M619:M1618,M619,AQ619:AQ1618),AQ619)</f>
        <v>15000</v>
      </c>
      <c r="AS619" s="0" t="n">
        <v>35000</v>
      </c>
      <c r="AT619" s="5" t="n">
        <f aca="false">IF(ISBLANK(AS619),AVERAGE(AS619:AS1618),AS619)</f>
        <v>35000</v>
      </c>
      <c r="AU619" s="0" t="s">
        <v>82</v>
      </c>
      <c r="AV619" s="0" t="str">
        <f aca="false">PROPER(IF(ISBLANK(AU619),"No",AU619))</f>
        <v>Yes</v>
      </c>
      <c r="AX619" s="5" t="n">
        <f aca="false">IF(ISBLANK(AW619),0,AW619)</f>
        <v>0</v>
      </c>
      <c r="AY619" s="0" t="s">
        <v>184</v>
      </c>
      <c r="AZ619" s="0" t="str">
        <f aca="false">UPPER(IF(ISBLANK(AY619),"NONE",AY619))</f>
        <v>N/A</v>
      </c>
      <c r="BA619" s="7" t="n">
        <v>45876</v>
      </c>
      <c r="BB619" s="7" t="n">
        <f aca="false">IF(ISBLANK(BA619),"No Follow Up Needed",BA619)</f>
        <v>45876</v>
      </c>
      <c r="BC619" s="0" t="s">
        <v>63</v>
      </c>
      <c r="BD619" s="0" t="str">
        <f aca="false">PROPER(IF(ISBLANK(BC619),"Unknown",BC619))</f>
        <v>Yes</v>
      </c>
      <c r="BE619" s="0" t="s">
        <v>171</v>
      </c>
      <c r="BF619" s="0" t="str">
        <f aca="false">IF(ISBLANK(BE619),"No comments",BE619)</f>
        <v>Shock absorber weakening</v>
      </c>
      <c r="BG619" s="0" t="s">
        <v>2320</v>
      </c>
      <c r="BH619" s="0" t="str">
        <f aca="false">IF(ISBLANK(BG619),"No comments",BG619)</f>
        <v>No complaints</v>
      </c>
      <c r="BI619" s="0" t="s">
        <v>50</v>
      </c>
      <c r="BJ619" s="0" t="str">
        <f aca="false">IF(ISBLANK(BI619),"Not Mentioned",BI619)</f>
        <v>No</v>
      </c>
      <c r="BK619" s="0" t="s">
        <v>63</v>
      </c>
      <c r="BL619" s="0" t="str">
        <f aca="false">PROPER(IF(ISBLANK(BK619),"Not Mentioned",BK619))</f>
        <v>Yes</v>
      </c>
      <c r="BM619" s="0" t="s">
        <v>63</v>
      </c>
      <c r="BN619" s="0" t="str">
        <f aca="false">PROPER(IF(ISBLANK(BM619),"Not Mentioned",BM619))</f>
        <v>Yes</v>
      </c>
      <c r="BO619" s="0" t="s">
        <v>2318</v>
      </c>
      <c r="BP619" s="0" t="str">
        <f aca="false">IF(ISBLANK(BO619),"One-Time Plan",BO619)</f>
        <v>Gold</v>
      </c>
      <c r="BQ619" s="0" t="s">
        <v>198</v>
      </c>
      <c r="BR619" s="0" t="str">
        <f aca="false">PROPER(IF(ISBLANK(BQ619),"No",BQ619))</f>
        <v>Followed Up</v>
      </c>
    </row>
    <row r="620" customFormat="false" ht="15" hidden="false" customHeight="false" outlineLevel="0" collapsed="false">
      <c r="A620" s="0" t="s">
        <v>1527</v>
      </c>
      <c r="B620" s="2" t="n">
        <v>45730</v>
      </c>
      <c r="C620" s="2" t="str">
        <f aca="false">TEXT(B620,"dd/mm/yyyy")</f>
        <v>14/03/2025</v>
      </c>
      <c r="D620" s="0" t="s">
        <v>105</v>
      </c>
      <c r="E620" s="0" t="n">
        <v>8041219836</v>
      </c>
      <c r="F620" s="0" t="s">
        <v>67</v>
      </c>
      <c r="G620" s="0" t="s">
        <v>2316</v>
      </c>
      <c r="H620" s="0" t="s">
        <v>1528</v>
      </c>
      <c r="I620" s="0" t="s">
        <v>69</v>
      </c>
      <c r="K620" s="3" t="str">
        <f aca="false" t="array" ref="K620:K620">IFERROR(IF(J620&lt;&gt;"",J620,INDEX(J620:J1619,MATCH(1,(F620:F1619=F620)*(I620:I1619=I620)*(L620:L1619=L620)*(J620:J1619&lt;&gt;""),0))),"Not Found")</f>
        <v>Engine Knocking</v>
      </c>
      <c r="L620" s="3" t="s">
        <v>154</v>
      </c>
      <c r="M620" s="0" t="str">
        <f aca="false">PROPER(L620)</f>
        <v>Air Filter</v>
      </c>
      <c r="N620" s="3" t="s">
        <v>109</v>
      </c>
      <c r="O620" s="0" t="str">
        <f aca="false" t="array" ref="O620:O620">IF(N620&lt;&gt;"",N620,_xlfn.xlookup(1,(L620:L1619=L620)*(N620:N1619&lt;&gt;""),N620:N1619,"Not Found"))</f>
        <v>Tijani</v>
      </c>
      <c r="P620" s="4" t="n">
        <v>79222</v>
      </c>
      <c r="Q620" s="0" t="s">
        <v>49</v>
      </c>
      <c r="R620" s="0" t="str">
        <f aca="false">PROPER(Q620)</f>
        <v>Transfer</v>
      </c>
      <c r="S620" s="0" t="s">
        <v>63</v>
      </c>
      <c r="U620" s="5" t="n">
        <f aca="false">IF(ISBLANK(T620),AVERAGE(T620:T1619),T620)</f>
        <v>3.10476190476191</v>
      </c>
      <c r="V620" s="0" t="n">
        <v>4.5</v>
      </c>
      <c r="W620" s="0" t="s">
        <v>111</v>
      </c>
      <c r="X620" s="0" t="str">
        <f aca="false">IF(ISBLANK(W620),"No remarks",W620)</f>
        <v>Changed all filters</v>
      </c>
      <c r="Y620" s="0" t="s">
        <v>73</v>
      </c>
      <c r="Z620" s="0" t="s">
        <v>159</v>
      </c>
      <c r="AA620" s="0" t="str">
        <f aca="false">PROPER(IF(ISBLANK(Z620),"Location Unavailable",Z620))</f>
        <v>Main Bay</v>
      </c>
      <c r="AB620" s="0" t="s">
        <v>54</v>
      </c>
      <c r="AC620" s="6" t="str">
        <f aca="false">PROPER(AB620)</f>
        <v>Mechanic Referral</v>
      </c>
      <c r="AD620" s="6" t="n">
        <v>45</v>
      </c>
      <c r="AE620" s="5" t="n">
        <f aca="false">IF(ISBLANK(AD620),AVERAGEIF(L620:L1619,L620,AD620:AD1619),AD620)</f>
        <v>45</v>
      </c>
      <c r="AF620" s="0" t="s">
        <v>160</v>
      </c>
      <c r="AG620" s="0" t="str">
        <f aca="false">PROPER(AF620)</f>
        <v>Availaible</v>
      </c>
      <c r="AH620" s="0" t="s">
        <v>155</v>
      </c>
      <c r="AI620" s="0" t="s">
        <v>78</v>
      </c>
      <c r="AJ620" s="0" t="str">
        <f aca="false">PROPER(AI620)</f>
        <v>Booking</v>
      </c>
      <c r="AK620" s="0" t="s">
        <v>114</v>
      </c>
      <c r="AL620" s="0" t="str">
        <f aca="false">PROPER(AK620)</f>
        <v>Returning</v>
      </c>
      <c r="AM620" s="0" t="s">
        <v>59</v>
      </c>
      <c r="AN620" s="0" t="str">
        <f aca="false">IF(ISBLANK(AM620),"Unknown",AM620)</f>
        <v>Bolt Driver</v>
      </c>
      <c r="AP620" s="0" t="str">
        <f aca="false">IF(ISBLANK(AO620),"Unknown",AO620)</f>
        <v>Unknown</v>
      </c>
      <c r="AQ620" s="0" t="n">
        <v>30000</v>
      </c>
      <c r="AR620" s="5" t="n">
        <f aca="false">IF(ISBLANK(AQ620),AVERAGEIF(M620:M1619,M620,AQ620:AQ1619),AQ620)</f>
        <v>30000</v>
      </c>
      <c r="AS620" s="0" t="n">
        <v>40000</v>
      </c>
      <c r="AT620" s="5" t="n">
        <f aca="false">IF(ISBLANK(AS620),AVERAGE(AS620:AS1619),AS620)</f>
        <v>40000</v>
      </c>
      <c r="AU620" s="0" t="s">
        <v>63</v>
      </c>
      <c r="AV620" s="0" t="str">
        <f aca="false">PROPER(IF(ISBLANK(AU620),"No",AU620))</f>
        <v>Yes</v>
      </c>
      <c r="AW620" s="0" t="n">
        <v>5000</v>
      </c>
      <c r="AX620" s="5" t="n">
        <f aca="false">IF(ISBLANK(AW620),0,AW620)</f>
        <v>5000</v>
      </c>
      <c r="AY620" s="0" t="s">
        <v>130</v>
      </c>
      <c r="AZ620" s="0" t="str">
        <f aca="false">UPPER(IF(ISBLANK(AY620),"NONE",AY620))</f>
        <v>LOYALTY10</v>
      </c>
      <c r="BB620" s="7" t="str">
        <f aca="false">IF(ISBLANK(BA620),"No Follow Up Needed",BA620)</f>
        <v>No Follow Up Needed</v>
      </c>
      <c r="BC620" s="0" t="s">
        <v>63</v>
      </c>
      <c r="BD620" s="0" t="str">
        <f aca="false">PROPER(IF(ISBLANK(BC620),"Unknown",BC620))</f>
        <v>Yes</v>
      </c>
      <c r="BF620" s="0" t="str">
        <f aca="false">IF(ISBLANK(BE620),"No comments",BE620)</f>
        <v>No comments</v>
      </c>
      <c r="BH620" s="0" t="str">
        <f aca="false">IF(ISBLANK(BG620),"No comments",BG620)</f>
        <v>No comments</v>
      </c>
      <c r="BJ620" s="0" t="str">
        <f aca="false">IF(ISBLANK(BI620),"Not Mentioned",BI620)</f>
        <v>Not Mentioned</v>
      </c>
      <c r="BK620" s="0" t="s">
        <v>61</v>
      </c>
      <c r="BL620" s="0" t="str">
        <f aca="false">PROPER(IF(ISBLANK(BK620),"Not Mentioned",BK620))</f>
        <v>No</v>
      </c>
      <c r="BN620" s="0" t="str">
        <f aca="false">PROPER(IF(ISBLANK(BM620),"Not Mentioned",BM620))</f>
        <v>Not Mentioned</v>
      </c>
      <c r="BO620" s="0" t="s">
        <v>2321</v>
      </c>
      <c r="BP620" s="0" t="str">
        <f aca="false">IF(ISBLANK(BO620),"One-Time Plan",BO620)</f>
        <v>One-Time Plan</v>
      </c>
      <c r="BQ620" s="0" t="s">
        <v>198</v>
      </c>
      <c r="BR620" s="0" t="str">
        <f aca="false">PROPER(IF(ISBLANK(BQ620),"No",BQ620))</f>
        <v>Followed Up</v>
      </c>
    </row>
    <row r="621" customFormat="false" ht="15" hidden="false" customHeight="false" outlineLevel="0" collapsed="false">
      <c r="A621" s="0" t="s">
        <v>1529</v>
      </c>
      <c r="B621" s="2" t="n">
        <v>45664</v>
      </c>
      <c r="C621" s="2" t="str">
        <f aca="false">TEXT(B621,"dd/mm/yyyy")</f>
        <v>07/01/2025</v>
      </c>
      <c r="D621" s="0" t="s">
        <v>163</v>
      </c>
      <c r="E621" s="0" t="n">
        <v>8012847211</v>
      </c>
      <c r="F621" s="0" t="s">
        <v>43</v>
      </c>
      <c r="G621" s="0" t="s">
        <v>2315</v>
      </c>
      <c r="H621" s="0" t="s">
        <v>1530</v>
      </c>
      <c r="I621" s="0" t="s">
        <v>107</v>
      </c>
      <c r="J621" s="0" t="s">
        <v>2322</v>
      </c>
      <c r="K621" s="3" t="str">
        <f aca="false" t="array" ref="K621:K621">IFERROR(IF(J621&lt;&gt;"",J621,INDEX(J621:J1620,MATCH(1,(F621:F1620=F621)*(I621:I1620=I621)*(L621:L1620=L621)*(J621:J1620&lt;&gt;""),0))),"Not Found")</f>
        <v>Brake Failure</v>
      </c>
      <c r="L621" s="3" t="s">
        <v>108</v>
      </c>
      <c r="M621" s="0" t="str">
        <f aca="false">PROPER(L621)</f>
        <v>Timing Belt</v>
      </c>
      <c r="N621" s="3" t="s">
        <v>109</v>
      </c>
      <c r="O621" s="0" t="str">
        <f aca="false" t="array" ref="O621:O621">IF(N621&lt;&gt;"",N621,_xlfn.xlookup(1,(L621:L1620=L621)*(N621:N1620&lt;&gt;""),N621:N1620,"Not Found"))</f>
        <v>Tijani</v>
      </c>
      <c r="P621" s="4" t="n">
        <v>98652</v>
      </c>
      <c r="Q621" s="0" t="s">
        <v>72</v>
      </c>
      <c r="R621" s="0" t="str">
        <f aca="false">PROPER(Q621)</f>
        <v>Pos</v>
      </c>
      <c r="S621" s="0" t="s">
        <v>63</v>
      </c>
      <c r="T621" s="0" t="n">
        <v>5</v>
      </c>
      <c r="U621" s="5" t="n">
        <f aca="false">IF(ISBLANK(T621),AVERAGE(T621:T1620),T621)</f>
        <v>5</v>
      </c>
      <c r="V621" s="0" t="n">
        <v>4.4</v>
      </c>
      <c r="W621" s="0" t="s">
        <v>92</v>
      </c>
      <c r="X621" s="0" t="str">
        <f aca="false">IF(ISBLANK(W621),"No remarks",W621)</f>
        <v>Urgent service</v>
      </c>
      <c r="Y621" s="0" t="s">
        <v>93</v>
      </c>
      <c r="Z621" s="0" t="s">
        <v>74</v>
      </c>
      <c r="AA621" s="0" t="str">
        <f aca="false">PROPER(IF(ISBLANK(Z621),"Location Unavailable",Z621))</f>
        <v>Under Tree</v>
      </c>
      <c r="AB621" s="0" t="s">
        <v>75</v>
      </c>
      <c r="AC621" s="6" t="str">
        <f aca="false">PROPER(AB621)</f>
        <v>Mechanik Referal</v>
      </c>
      <c r="AD621" s="6" t="n">
        <v>30</v>
      </c>
      <c r="AE621" s="5" t="n">
        <f aca="false">IF(ISBLANK(AD621),AVERAGEIF(L621:L1620,L621,AD621:AD1620),AD621)</f>
        <v>30</v>
      </c>
      <c r="AF621" s="0" t="s">
        <v>160</v>
      </c>
      <c r="AG621" s="0" t="str">
        <f aca="false">PROPER(AF621)</f>
        <v>Availaible</v>
      </c>
      <c r="AH621" s="0" t="s">
        <v>155</v>
      </c>
      <c r="AI621" s="0" t="s">
        <v>98</v>
      </c>
      <c r="AJ621" s="0" t="str">
        <f aca="false">PROPER(AI621)</f>
        <v>Emergency</v>
      </c>
      <c r="AK621" s="0" t="s">
        <v>99</v>
      </c>
      <c r="AL621" s="0" t="str">
        <f aca="false">PROPER(AK621)</f>
        <v>Uber Driver</v>
      </c>
      <c r="AM621" s="0" t="s">
        <v>2324</v>
      </c>
      <c r="AN621" s="0" t="str">
        <f aca="false">IF(ISBLANK(AM621),"Unknown",AM621)</f>
        <v>Logistics Convoy</v>
      </c>
      <c r="AO621" s="0" t="s">
        <v>149</v>
      </c>
      <c r="AP621" s="0" t="str">
        <f aca="false">IF(ISBLANK(AO621),"Unknown",AO621)</f>
        <v>Senior </v>
      </c>
      <c r="AQ621" s="0" t="n">
        <v>20000</v>
      </c>
      <c r="AR621" s="5" t="n">
        <f aca="false">IF(ISBLANK(AQ621),AVERAGEIF(M621:M1620,M621,AQ621:AQ1620),AQ621)</f>
        <v>20000</v>
      </c>
      <c r="AS621" s="0" t="n">
        <v>40000</v>
      </c>
      <c r="AT621" s="5" t="n">
        <f aca="false">IF(ISBLANK(AS621),AVERAGE(AS621:AS1620),AS621)</f>
        <v>40000</v>
      </c>
      <c r="AV621" s="0" t="str">
        <f aca="false">PROPER(IF(ISBLANK(AU621),"No",AU621))</f>
        <v>No</v>
      </c>
      <c r="AX621" s="5" t="n">
        <f aca="false">IF(ISBLANK(AW621),0,AW621)</f>
        <v>0</v>
      </c>
      <c r="AY621" s="0" t="s">
        <v>60</v>
      </c>
      <c r="AZ621" s="0" t="str">
        <f aca="false">UPPER(IF(ISBLANK(AY621),"NONE",AY621))</f>
        <v>NONE</v>
      </c>
      <c r="BA621" s="7" t="n">
        <v>45994</v>
      </c>
      <c r="BB621" s="7" t="n">
        <f aca="false">IF(ISBLANK(BA621),"No Follow Up Needed",BA621)</f>
        <v>45994</v>
      </c>
      <c r="BC621" s="0" t="s">
        <v>50</v>
      </c>
      <c r="BD621" s="0" t="str">
        <f aca="false">PROPER(IF(ISBLANK(BC621),"Unknown",BC621))</f>
        <v>No</v>
      </c>
      <c r="BE621" s="0" t="s">
        <v>171</v>
      </c>
      <c r="BF621" s="0" t="str">
        <f aca="false">IF(ISBLANK(BE621),"No comments",BE621)</f>
        <v>Shock absorber weakening</v>
      </c>
      <c r="BG621" s="0" t="s">
        <v>117</v>
      </c>
      <c r="BH621" s="0" t="str">
        <f aca="false">IF(ISBLANK(BG621),"No comments",BG621)</f>
        <v>Prefers morning</v>
      </c>
      <c r="BI621" s="0" t="s">
        <v>50</v>
      </c>
      <c r="BJ621" s="0" t="str">
        <f aca="false">IF(ISBLANK(BI621),"Not Mentioned",BI621)</f>
        <v>No</v>
      </c>
      <c r="BK621" s="0" t="s">
        <v>63</v>
      </c>
      <c r="BL621" s="0" t="str">
        <f aca="false">PROPER(IF(ISBLANK(BK621),"Not Mentioned",BK621))</f>
        <v>Yes</v>
      </c>
      <c r="BM621" s="0" t="s">
        <v>63</v>
      </c>
      <c r="BN621" s="0" t="str">
        <f aca="false">PROPER(IF(ISBLANK(BM621),"Not Mentioned",BM621))</f>
        <v>Yes</v>
      </c>
      <c r="BP621" s="0" t="str">
        <f aca="false">IF(ISBLANK(BO621),"One-Time Plan",BO621)</f>
        <v>One-Time Plan</v>
      </c>
      <c r="BQ621" s="0" t="s">
        <v>190</v>
      </c>
      <c r="BR621" s="0" t="str">
        <f aca="false">PROPER(IF(ISBLANK(BQ621),"No",BQ621))</f>
        <v>Yes</v>
      </c>
    </row>
    <row r="622" customFormat="false" ht="15" hidden="false" customHeight="false" outlineLevel="0" collapsed="false">
      <c r="A622" s="0" t="s">
        <v>1531</v>
      </c>
      <c r="B622" s="2" t="n">
        <v>45811</v>
      </c>
      <c r="C622" s="2" t="str">
        <f aca="false">TEXT(B622,"dd/mm/yyyy")</f>
        <v>03/06/2025</v>
      </c>
      <c r="D622" s="0" t="s">
        <v>121</v>
      </c>
      <c r="E622" s="0" t="n">
        <v>8092724918</v>
      </c>
      <c r="F622" s="0" t="s">
        <v>67</v>
      </c>
      <c r="G622" s="0" t="s">
        <v>2316</v>
      </c>
      <c r="H622" s="0" t="s">
        <v>1532</v>
      </c>
      <c r="I622" s="0" t="s">
        <v>107</v>
      </c>
      <c r="J622" s="0" t="s">
        <v>2317</v>
      </c>
      <c r="K622" s="3" t="str">
        <f aca="false" t="array" ref="K622:K622">IFERROR(IF(J622&lt;&gt;"",J622,INDEX(J622:J1621,MATCH(1,(F622:F1621=F622)*(I622:I1621=I622)*(L622:L1621=L622)*(J622:J1621&lt;&gt;""),0))),"Not Found")</f>
        <v>Suspension Noise</v>
      </c>
      <c r="L622" s="3" t="s">
        <v>154</v>
      </c>
      <c r="M622" s="0" t="str">
        <f aca="false">PROPER(L622)</f>
        <v>Air Filter</v>
      </c>
      <c r="N622" s="3" t="s">
        <v>71</v>
      </c>
      <c r="O622" s="0" t="str">
        <f aca="false" t="array" ref="O622:O622">IF(N622&lt;&gt;"",N622,_xlfn.xlookup(1,(L622:L1621=L622)*(N622:N1621&lt;&gt;""),N622:N1621,"Not Found"))</f>
        <v>Isaac Bobo</v>
      </c>
      <c r="P622" s="4" t="n">
        <v>56574</v>
      </c>
      <c r="Q622" s="0" t="s">
        <v>72</v>
      </c>
      <c r="R622" s="0" t="str">
        <f aca="false">PROPER(Q622)</f>
        <v>Pos</v>
      </c>
      <c r="S622" s="0" t="s">
        <v>63</v>
      </c>
      <c r="T622" s="0" t="n">
        <v>3</v>
      </c>
      <c r="U622" s="5" t="n">
        <f aca="false">IF(ISBLANK(T622),AVERAGE(T622:T1621),T622)</f>
        <v>3</v>
      </c>
      <c r="V622" s="0" t="n">
        <v>5.2</v>
      </c>
      <c r="W622" s="0" t="s">
        <v>125</v>
      </c>
      <c r="X622" s="0" t="str">
        <f aca="false">IF(ISBLANK(W622),"No remarks",W622)</f>
        <v>Customer waited</v>
      </c>
      <c r="Y622" s="0" t="s">
        <v>52</v>
      </c>
      <c r="Z622" s="0" t="s">
        <v>94</v>
      </c>
      <c r="AA622" s="0" t="str">
        <f aca="false">PROPER(IF(ISBLANK(Z622),"Location Unavailable",Z622))</f>
        <v>Vip Section</v>
      </c>
      <c r="AB622" s="0" t="s">
        <v>167</v>
      </c>
      <c r="AC622" s="6" t="str">
        <f aca="false">PROPER(AB622)</f>
        <v>Word Of Mouth</v>
      </c>
      <c r="AD622" s="6" t="n">
        <v>45</v>
      </c>
      <c r="AE622" s="5" t="n">
        <f aca="false">IF(ISBLANK(AD622),AVERAGEIF(L622:L1621,L622,AD622:AD1621),AD622)</f>
        <v>45</v>
      </c>
      <c r="AF622" s="0" t="s">
        <v>160</v>
      </c>
      <c r="AG622" s="0" t="str">
        <f aca="false">PROPER(AF622)</f>
        <v>Availaible</v>
      </c>
      <c r="AH622" s="0" t="s">
        <v>148</v>
      </c>
      <c r="AI622" s="0" t="s">
        <v>98</v>
      </c>
      <c r="AJ622" s="0" t="str">
        <f aca="false">PROPER(AI622)</f>
        <v>Emergency</v>
      </c>
      <c r="AK622" s="0" t="s">
        <v>196</v>
      </c>
      <c r="AL622" s="0" t="str">
        <f aca="false">PROPER(AK622)</f>
        <v>First Time</v>
      </c>
      <c r="AM622" s="0" t="s">
        <v>2326</v>
      </c>
      <c r="AN622" s="0" t="str">
        <f aca="false">IF(ISBLANK(AM622),"Unknown",AM622)</f>
        <v>Government Convoy</v>
      </c>
      <c r="AO622" s="0" t="s">
        <v>79</v>
      </c>
      <c r="AP622" s="0" t="str">
        <f aca="false">IF(ISBLANK(AO622),"Unknown",AO622)</f>
        <v>Specialist</v>
      </c>
      <c r="AR622" s="5" t="n">
        <f aca="false">IF(ISBLANK(AQ622),AVERAGEIF(M622:M1621,M622,AQ622:AQ1621),AQ622)</f>
        <v>25543.4782608696</v>
      </c>
      <c r="AS622" s="0" t="n">
        <v>35000</v>
      </c>
      <c r="AT622" s="5" t="n">
        <f aca="false">IF(ISBLANK(AS622),AVERAGE(AS622:AS1621),AS622)</f>
        <v>35000</v>
      </c>
      <c r="AV622" s="0" t="str">
        <f aca="false">PROPER(IF(ISBLANK(AU622),"No",AU622))</f>
        <v>No</v>
      </c>
      <c r="AW622" s="0" t="n">
        <v>0</v>
      </c>
      <c r="AX622" s="5" t="n">
        <f aca="false">IF(ISBLANK(AW622),0,AW622)</f>
        <v>0</v>
      </c>
      <c r="AY622" s="0" t="s">
        <v>80</v>
      </c>
      <c r="AZ622" s="0" t="str">
        <f aca="false">UPPER(IF(ISBLANK(AY622),"NONE",AY622))</f>
        <v>PROMO10</v>
      </c>
      <c r="BA622" s="7" t="n">
        <v>45723</v>
      </c>
      <c r="BB622" s="7" t="n">
        <f aca="false">IF(ISBLANK(BA622),"No Follow Up Needed",BA622)</f>
        <v>45723</v>
      </c>
      <c r="BD622" s="0" t="str">
        <f aca="false">PROPER(IF(ISBLANK(BC622),"Unknown",BC622))</f>
        <v>Unknown</v>
      </c>
      <c r="BF622" s="0" t="str">
        <f aca="false">IF(ISBLANK(BE622),"No comments",BE622)</f>
        <v>No comments</v>
      </c>
      <c r="BG622" s="0" t="s">
        <v>117</v>
      </c>
      <c r="BH622" s="0" t="str">
        <f aca="false">IF(ISBLANK(BG622),"No comments",BG622)</f>
        <v>Prefers morning</v>
      </c>
      <c r="BI622" s="0" t="s">
        <v>50</v>
      </c>
      <c r="BJ622" s="0" t="str">
        <f aca="false">IF(ISBLANK(BI622),"Not Mentioned",BI622)</f>
        <v>No</v>
      </c>
      <c r="BK622" s="0" t="s">
        <v>63</v>
      </c>
      <c r="BL622" s="0" t="str">
        <f aca="false">PROPER(IF(ISBLANK(BK622),"Not Mentioned",BK622))</f>
        <v>Yes</v>
      </c>
      <c r="BM622" s="0" t="s">
        <v>50</v>
      </c>
      <c r="BN622" s="0" t="str">
        <f aca="false">PROPER(IF(ISBLANK(BM622),"Not Mentioned",BM622))</f>
        <v>No</v>
      </c>
      <c r="BO622" s="0" t="s">
        <v>2318</v>
      </c>
      <c r="BP622" s="0" t="str">
        <f aca="false">IF(ISBLANK(BO622),"One-Time Plan",BO622)</f>
        <v>Gold</v>
      </c>
      <c r="BR622" s="0" t="str">
        <f aca="false">PROPER(IF(ISBLANK(BQ622),"No",BQ622))</f>
        <v>No</v>
      </c>
    </row>
    <row r="623" customFormat="false" ht="15" hidden="false" customHeight="false" outlineLevel="0" collapsed="false">
      <c r="A623" s="0" t="s">
        <v>1533</v>
      </c>
      <c r="B623" s="2" t="n">
        <v>45680</v>
      </c>
      <c r="C623" s="2" t="str">
        <f aca="false">TEXT(B623,"dd/mm/yyyy")</f>
        <v>23/01/2025</v>
      </c>
      <c r="D623" s="0" t="s">
        <v>121</v>
      </c>
      <c r="E623" s="0" t="n">
        <v>8026650536</v>
      </c>
      <c r="F623" s="0" t="s">
        <v>85</v>
      </c>
      <c r="G623" s="0" t="s">
        <v>2319</v>
      </c>
      <c r="H623" s="0" t="s">
        <v>145</v>
      </c>
      <c r="I623" s="0" t="s">
        <v>107</v>
      </c>
      <c r="J623" s="0" t="s">
        <v>2322</v>
      </c>
      <c r="K623" s="3" t="str">
        <f aca="false" t="array" ref="K623:K623">IFERROR(IF(J623&lt;&gt;"",J623,INDEX(J623:J1622,MATCH(1,(F623:F1622=F623)*(I623:I1622=I623)*(L623:L1622=L623)*(J623:J1622&lt;&gt;""),0))),"Not Found")</f>
        <v>Brake Failure</v>
      </c>
      <c r="L623" s="3" t="s">
        <v>47</v>
      </c>
      <c r="M623" s="0" t="str">
        <f aca="false">PROPER(L623)</f>
        <v>None</v>
      </c>
      <c r="N623" s="3" t="s">
        <v>48</v>
      </c>
      <c r="O623" s="0" t="str">
        <f aca="false" t="array" ref="O623:O623">IF(N623&lt;&gt;"",N623,_xlfn.xlookup(1,(L623:L1622=L623)*(N623:N1622&lt;&gt;""),N623:N1622,"Not Found"))</f>
        <v>Uche</v>
      </c>
      <c r="P623" s="4" t="n">
        <v>68565</v>
      </c>
      <c r="Q623" s="0" t="s">
        <v>110</v>
      </c>
      <c r="R623" s="0" t="str">
        <f aca="false">PROPER(Q623)</f>
        <v>Cash</v>
      </c>
      <c r="S623" s="0" t="s">
        <v>63</v>
      </c>
      <c r="T623" s="0" t="n">
        <v>1</v>
      </c>
      <c r="U623" s="5" t="n">
        <f aca="false">IF(ISBLANK(T623),AVERAGE(T623:T1622),T623)</f>
        <v>1</v>
      </c>
      <c r="V623" s="0" t="n">
        <v>2.4</v>
      </c>
      <c r="W623" s="0" t="s">
        <v>92</v>
      </c>
      <c r="X623" s="0" t="str">
        <f aca="false">IF(ISBLANK(W623),"No remarks",W623)</f>
        <v>Urgent service</v>
      </c>
      <c r="Y623" s="0" t="s">
        <v>73</v>
      </c>
      <c r="AA623" s="0" t="str">
        <f aca="false">PROPER(IF(ISBLANK(Z623),"Location Unavailable",Z623))</f>
        <v>Location Unavailable</v>
      </c>
      <c r="AB623" s="0" t="s">
        <v>167</v>
      </c>
      <c r="AC623" s="6" t="str">
        <f aca="false">PROPER(AB623)</f>
        <v>Word Of Mouth</v>
      </c>
      <c r="AD623" s="6" t="n">
        <v>15</v>
      </c>
      <c r="AE623" s="5" t="n">
        <f aca="false">IF(ISBLANK(AD623),AVERAGEIF(L623:L1622,L623,AD623:AD1622),AD623)</f>
        <v>15</v>
      </c>
      <c r="AF623" s="0" t="s">
        <v>96</v>
      </c>
      <c r="AG623" s="0" t="str">
        <f aca="false">PROPER(AF623)</f>
        <v>Ordered</v>
      </c>
      <c r="AH623" s="0" t="s">
        <v>155</v>
      </c>
      <c r="AI623" s="0" t="s">
        <v>98</v>
      </c>
      <c r="AJ623" s="0" t="str">
        <f aca="false">PROPER(AI623)</f>
        <v>Emergency</v>
      </c>
      <c r="AK623" s="0" t="s">
        <v>196</v>
      </c>
      <c r="AL623" s="0" t="str">
        <f aca="false">PROPER(AK623)</f>
        <v>First Time</v>
      </c>
      <c r="AN623" s="0" t="str">
        <f aca="false">IF(ISBLANK(AM623),"Unknown",AM623)</f>
        <v>Unknown</v>
      </c>
      <c r="AO623" s="0" t="s">
        <v>149</v>
      </c>
      <c r="AP623" s="0" t="str">
        <f aca="false">IF(ISBLANK(AO623),"Unknown",AO623)</f>
        <v>Senior </v>
      </c>
      <c r="AQ623" s="0" t="n">
        <v>25000</v>
      </c>
      <c r="AR623" s="5" t="n">
        <f aca="false">IF(ISBLANK(AQ623),AVERAGEIF(M623:M1622,M623,AQ623:AQ1622),AQ623)</f>
        <v>25000</v>
      </c>
      <c r="AS623" s="0" t="n">
        <v>30000</v>
      </c>
      <c r="AT623" s="5" t="n">
        <f aca="false">IF(ISBLANK(AS623),AVERAGE(AS623:AS1622),AS623)</f>
        <v>30000</v>
      </c>
      <c r="AU623" s="0" t="s">
        <v>50</v>
      </c>
      <c r="AV623" s="0" t="str">
        <f aca="false">PROPER(IF(ISBLANK(AU623),"No",AU623))</f>
        <v>No</v>
      </c>
      <c r="AW623" s="0" t="n">
        <v>10000</v>
      </c>
      <c r="AX623" s="5" t="n">
        <f aca="false">IF(ISBLANK(AW623),0,AW623)</f>
        <v>10000</v>
      </c>
      <c r="AY623" s="0" t="s">
        <v>80</v>
      </c>
      <c r="AZ623" s="0" t="str">
        <f aca="false">UPPER(IF(ISBLANK(AY623),"NONE",AY623))</f>
        <v>PROMO10</v>
      </c>
      <c r="BB623" s="7" t="str">
        <f aca="false">IF(ISBLANK(BA623),"No Follow Up Needed",BA623)</f>
        <v>No Follow Up Needed</v>
      </c>
      <c r="BC623" s="0" t="s">
        <v>82</v>
      </c>
      <c r="BD623" s="0" t="str">
        <f aca="false">PROPER(IF(ISBLANK(BC623),"Unknown",BC623))</f>
        <v>Yes</v>
      </c>
      <c r="BF623" s="0" t="str">
        <f aca="false">IF(ISBLANK(BE623),"No comments",BE623)</f>
        <v>No comments</v>
      </c>
      <c r="BG623" s="0" t="s">
        <v>172</v>
      </c>
      <c r="BH623" s="0" t="str">
        <f aca="false">IF(ISBLANK(BG623),"No comments",BG623)</f>
        <v>Always late</v>
      </c>
      <c r="BI623" s="0" t="s">
        <v>63</v>
      </c>
      <c r="BJ623" s="0" t="str">
        <f aca="false">IF(ISBLANK(BI623),"Not Mentioned",BI623)</f>
        <v>Yes</v>
      </c>
      <c r="BK623" s="0" t="s">
        <v>82</v>
      </c>
      <c r="BL623" s="0" t="str">
        <f aca="false">PROPER(IF(ISBLANK(BK623),"Not Mentioned",BK623))</f>
        <v>Yes</v>
      </c>
      <c r="BN623" s="0" t="str">
        <f aca="false">PROPER(IF(ISBLANK(BM623),"Not Mentioned",BM623))</f>
        <v>Not Mentioned</v>
      </c>
      <c r="BP623" s="0" t="str">
        <f aca="false">IF(ISBLANK(BO623),"One-Time Plan",BO623)</f>
        <v>One-Time Plan</v>
      </c>
      <c r="BQ623" s="0" t="s">
        <v>190</v>
      </c>
      <c r="BR623" s="0" t="str">
        <f aca="false">PROPER(IF(ISBLANK(BQ623),"No",BQ623))</f>
        <v>Yes</v>
      </c>
    </row>
    <row r="624" customFormat="false" ht="15" hidden="false" customHeight="false" outlineLevel="0" collapsed="false">
      <c r="A624" s="0" t="s">
        <v>1534</v>
      </c>
      <c r="B624" s="2" t="n">
        <v>45823</v>
      </c>
      <c r="C624" s="2" t="str">
        <f aca="false">TEXT(B624,"dd/mm/yyyy")</f>
        <v>15/06/2025</v>
      </c>
      <c r="D624" s="0" t="s">
        <v>121</v>
      </c>
      <c r="E624" s="0" t="n">
        <v>8051452961</v>
      </c>
      <c r="F624" s="0" t="s">
        <v>139</v>
      </c>
      <c r="G624" s="0" t="s">
        <v>2323</v>
      </c>
      <c r="H624" s="0" t="s">
        <v>1535</v>
      </c>
      <c r="I624" s="0" t="s">
        <v>45</v>
      </c>
      <c r="J624" s="0" t="s">
        <v>2322</v>
      </c>
      <c r="K624" s="3" t="str">
        <f aca="false" t="array" ref="K624:K624">IFERROR(IF(J624&lt;&gt;"",J624,INDEX(J624:J1623,MATCH(1,(F624:F1623=F624)*(I624:I1623=I624)*(L624:L1623=L624)*(J624:J1623&lt;&gt;""),0))),"Not Found")</f>
        <v>Brake Failure</v>
      </c>
      <c r="L624" s="3" t="s">
        <v>108</v>
      </c>
      <c r="M624" s="0" t="str">
        <f aca="false">PROPER(L624)</f>
        <v>Timing Belt</v>
      </c>
      <c r="N624" s="3" t="s">
        <v>71</v>
      </c>
      <c r="O624" s="0" t="str">
        <f aca="false" t="array" ref="O624:O624">IF(N624&lt;&gt;"",N624,_xlfn.xlookup(1,(L624:L1623=L624)*(N624:N1623&lt;&gt;""),N624:N1623,"Not Found"))</f>
        <v>Isaac Bobo</v>
      </c>
      <c r="P624" s="4" t="n">
        <v>65824</v>
      </c>
      <c r="Q624" s="0" t="s">
        <v>166</v>
      </c>
      <c r="R624" s="0" t="str">
        <f aca="false">PROPER(Q624)</f>
        <v>Transfer</v>
      </c>
      <c r="S624" s="0" t="s">
        <v>63</v>
      </c>
      <c r="T624" s="0" t="n">
        <v>2</v>
      </c>
      <c r="U624" s="5" t="n">
        <f aca="false">IF(ISBLANK(T624),AVERAGE(T624:T1623),T624)</f>
        <v>2</v>
      </c>
      <c r="V624" s="0" t="n">
        <v>3.8</v>
      </c>
      <c r="W624" s="0" t="s">
        <v>92</v>
      </c>
      <c r="X624" s="0" t="str">
        <f aca="false">IF(ISBLANK(W624),"No remarks",W624)</f>
        <v>Urgent service</v>
      </c>
      <c r="Y624" s="0" t="s">
        <v>93</v>
      </c>
      <c r="Z624" s="0" t="s">
        <v>74</v>
      </c>
      <c r="AA624" s="0" t="str">
        <f aca="false">PROPER(IF(ISBLANK(Z624),"Location Unavailable",Z624))</f>
        <v>Under Tree</v>
      </c>
      <c r="AB624" s="0" t="s">
        <v>54</v>
      </c>
      <c r="AC624" s="6" t="str">
        <f aca="false">PROPER(AB624)</f>
        <v>Mechanic Referral</v>
      </c>
      <c r="AE624" s="5" t="n">
        <f aca="false">IF(ISBLANK(AD624),AVERAGEIF(L624:L1623,L624,AD624:AD1623),AD624)</f>
        <v>39.3103448275862</v>
      </c>
      <c r="AF624" s="0" t="s">
        <v>112</v>
      </c>
      <c r="AG624" s="0" t="str">
        <f aca="false">PROPER(AF624)</f>
        <v>Unavailable</v>
      </c>
      <c r="AH624" s="0" t="s">
        <v>77</v>
      </c>
      <c r="AI624" s="0" t="s">
        <v>78</v>
      </c>
      <c r="AJ624" s="0" t="str">
        <f aca="false">PROPER(AI624)</f>
        <v>Booking</v>
      </c>
      <c r="AK624" s="0" t="s">
        <v>114</v>
      </c>
      <c r="AL624" s="0" t="str">
        <f aca="false">PROPER(AK624)</f>
        <v>Returning</v>
      </c>
      <c r="AM624" s="0" t="s">
        <v>59</v>
      </c>
      <c r="AN624" s="0" t="str">
        <f aca="false">IF(ISBLANK(AM624),"Unknown",AM624)</f>
        <v>Bolt Driver</v>
      </c>
      <c r="AP624" s="0" t="str">
        <f aca="false">IF(ISBLANK(AO624),"Unknown",AO624)</f>
        <v>Unknown</v>
      </c>
      <c r="AQ624" s="0" t="n">
        <v>30000</v>
      </c>
      <c r="AR624" s="5" t="n">
        <f aca="false">IF(ISBLANK(AQ624),AVERAGEIF(M624:M1623,M624,AQ624:AQ1623),AQ624)</f>
        <v>30000</v>
      </c>
      <c r="AS624" s="0" t="n">
        <v>30000</v>
      </c>
      <c r="AT624" s="5" t="n">
        <f aca="false">IF(ISBLANK(AS624),AVERAGE(AS624:AS1623),AS624)</f>
        <v>30000</v>
      </c>
      <c r="AU624" s="0" t="s">
        <v>61</v>
      </c>
      <c r="AV624" s="0" t="str">
        <f aca="false">PROPER(IF(ISBLANK(AU624),"No",AU624))</f>
        <v>No</v>
      </c>
      <c r="AW624" s="0" t="n">
        <v>0</v>
      </c>
      <c r="AX624" s="5" t="n">
        <f aca="false">IF(ISBLANK(AW624),0,AW624)</f>
        <v>0</v>
      </c>
      <c r="AY624" s="0" t="s">
        <v>80</v>
      </c>
      <c r="AZ624" s="0" t="str">
        <f aca="false">UPPER(IF(ISBLANK(AY624),"NONE",AY624))</f>
        <v>PROMO10</v>
      </c>
      <c r="BB624" s="7" t="str">
        <f aca="false">IF(ISBLANK(BA624),"No Follow Up Needed",BA624)</f>
        <v>No Follow Up Needed</v>
      </c>
      <c r="BD624" s="0" t="str">
        <f aca="false">PROPER(IF(ISBLANK(BC624),"Unknown",BC624))</f>
        <v>Unknown</v>
      </c>
      <c r="BE624" s="0" t="s">
        <v>171</v>
      </c>
      <c r="BF624" s="0" t="str">
        <f aca="false">IF(ISBLANK(BE624),"No comments",BE624)</f>
        <v>Shock absorber weakening</v>
      </c>
      <c r="BG624" s="0" t="s">
        <v>2320</v>
      </c>
      <c r="BH624" s="0" t="str">
        <f aca="false">IF(ISBLANK(BG624),"No comments",BG624)</f>
        <v>No complaints</v>
      </c>
      <c r="BI624" s="0" t="s">
        <v>63</v>
      </c>
      <c r="BJ624" s="0" t="str">
        <f aca="false">IF(ISBLANK(BI624),"Not Mentioned",BI624)</f>
        <v>Yes</v>
      </c>
      <c r="BK624" s="0" t="s">
        <v>82</v>
      </c>
      <c r="BL624" s="0" t="str">
        <f aca="false">PROPER(IF(ISBLANK(BK624),"Not Mentioned",BK624))</f>
        <v>Yes</v>
      </c>
      <c r="BM624" s="0" t="s">
        <v>63</v>
      </c>
      <c r="BN624" s="0" t="str">
        <f aca="false">PROPER(IF(ISBLANK(BM624),"Not Mentioned",BM624))</f>
        <v>Yes</v>
      </c>
      <c r="BO624" s="0" t="s">
        <v>2318</v>
      </c>
      <c r="BP624" s="0" t="str">
        <f aca="false">IF(ISBLANK(BO624),"One-Time Plan",BO624)</f>
        <v>Gold</v>
      </c>
      <c r="BQ624" s="0" t="s">
        <v>50</v>
      </c>
      <c r="BR624" s="0" t="str">
        <f aca="false">PROPER(IF(ISBLANK(BQ624),"No",BQ624))</f>
        <v>No</v>
      </c>
    </row>
    <row r="625" customFormat="false" ht="15" hidden="false" customHeight="false" outlineLevel="0" collapsed="false">
      <c r="A625" s="0" t="s">
        <v>1536</v>
      </c>
      <c r="B625" s="2" t="s">
        <v>1339</v>
      </c>
      <c r="C625" s="2" t="str">
        <f aca="false">TEXT(B625,"dd/mm/yyyy")</f>
        <v>29/01/2025</v>
      </c>
      <c r="D625" s="0" t="s">
        <v>105</v>
      </c>
      <c r="E625" s="0" t="n">
        <v>8041728577</v>
      </c>
      <c r="F625" s="0" t="s">
        <v>122</v>
      </c>
      <c r="G625" s="0" t="s">
        <v>2316</v>
      </c>
      <c r="H625" s="0" t="s">
        <v>1537</v>
      </c>
      <c r="I625" s="0" t="s">
        <v>107</v>
      </c>
      <c r="J625" s="0" t="s">
        <v>2322</v>
      </c>
      <c r="K625" s="3" t="str">
        <f aca="false" t="array" ref="K625:K625">IFERROR(IF(J625&lt;&gt;"",J625,INDEX(J625:J1624,MATCH(1,(F625:F1624=F625)*(I625:I1624=I625)*(L625:L1624=L625)*(J625:J1624&lt;&gt;""),0))),"Not Found")</f>
        <v>Brake Failure</v>
      </c>
      <c r="L625" s="3" t="s">
        <v>89</v>
      </c>
      <c r="M625" s="0" t="str">
        <f aca="false">PROPER(L625)</f>
        <v>Shock Absorbers</v>
      </c>
      <c r="O625" s="0" t="e">
        <f aca="false" t="array" ref="O625:O625">IF(N625&lt;&gt;"",N625,_xlfn.xlookup(1,(L625:L1624=L625)*(N625:N1624&lt;&gt;""),N625:N1624,"Not Found"))</f>
        <v>#NAME?</v>
      </c>
      <c r="P625" s="4" t="n">
        <v>102197</v>
      </c>
      <c r="Q625" s="0" t="s">
        <v>72</v>
      </c>
      <c r="R625" s="0" t="str">
        <f aca="false">PROPER(Q625)</f>
        <v>Pos</v>
      </c>
      <c r="S625" s="0" t="s">
        <v>50</v>
      </c>
      <c r="T625" s="0" t="n">
        <v>2</v>
      </c>
      <c r="U625" s="5" t="n">
        <f aca="false">IF(ISBLANK(T625),AVERAGE(T625:T1624),T625)</f>
        <v>2</v>
      </c>
      <c r="V625" s="0" t="n">
        <v>1.8</v>
      </c>
      <c r="X625" s="0" t="str">
        <f aca="false">IF(ISBLANK(W625),"No remarks",W625)</f>
        <v>No remarks</v>
      </c>
      <c r="Y625" s="0" t="s">
        <v>73</v>
      </c>
      <c r="AA625" s="0" t="str">
        <f aca="false">PROPER(IF(ISBLANK(Z625),"Location Unavailable",Z625))</f>
        <v>Location Unavailable</v>
      </c>
      <c r="AB625" s="0" t="s">
        <v>54</v>
      </c>
      <c r="AC625" s="6" t="str">
        <f aca="false">PROPER(AB625)</f>
        <v>Mechanic Referral</v>
      </c>
      <c r="AD625" s="6" t="n">
        <v>60</v>
      </c>
      <c r="AE625" s="5" t="n">
        <f aca="false">IF(ISBLANK(AD625),AVERAGEIF(L625:L1624,L625,AD625:AD1624),AD625)</f>
        <v>60</v>
      </c>
      <c r="AF625" s="0" t="s">
        <v>96</v>
      </c>
      <c r="AG625" s="0" t="str">
        <f aca="false">PROPER(AF625)</f>
        <v>Ordered</v>
      </c>
      <c r="AH625" s="0" t="s">
        <v>77</v>
      </c>
      <c r="AI625" s="0" t="s">
        <v>78</v>
      </c>
      <c r="AJ625" s="0" t="str">
        <f aca="false">PROPER(AI625)</f>
        <v>Booking</v>
      </c>
      <c r="AK625" s="0" t="s">
        <v>58</v>
      </c>
      <c r="AL625" s="0" t="str">
        <f aca="false">PROPER(AK625)</f>
        <v>Fleet Owner</v>
      </c>
      <c r="AM625" s="0" t="s">
        <v>2326</v>
      </c>
      <c r="AN625" s="0" t="str">
        <f aca="false">IF(ISBLANK(AM625),"Unknown",AM625)</f>
        <v>Government Convoy</v>
      </c>
      <c r="AO625" s="0" t="s">
        <v>161</v>
      </c>
      <c r="AP625" s="0" t="str">
        <f aca="false">IF(ISBLANK(AO625),"Unknown",AO625)</f>
        <v>Apprentice</v>
      </c>
      <c r="AQ625" s="0" t="n">
        <v>20000</v>
      </c>
      <c r="AR625" s="5" t="n">
        <f aca="false">IF(ISBLANK(AQ625),AVERAGEIF(M625:M1624,M625,AQ625:AQ1624),AQ625)</f>
        <v>20000</v>
      </c>
      <c r="AS625" s="0" t="n">
        <v>35000</v>
      </c>
      <c r="AT625" s="5" t="n">
        <f aca="false">IF(ISBLANK(AS625),AVERAGE(AS625:AS1624),AS625)</f>
        <v>35000</v>
      </c>
      <c r="AV625" s="0" t="str">
        <f aca="false">PROPER(IF(ISBLANK(AU625),"No",AU625))</f>
        <v>No</v>
      </c>
      <c r="AW625" s="0" t="n">
        <v>5000</v>
      </c>
      <c r="AX625" s="5" t="n">
        <f aca="false">IF(ISBLANK(AW625),0,AW625)</f>
        <v>5000</v>
      </c>
      <c r="AY625" s="0" t="s">
        <v>184</v>
      </c>
      <c r="AZ625" s="0" t="str">
        <f aca="false">UPPER(IF(ISBLANK(AY625),"NONE",AY625))</f>
        <v>N/A</v>
      </c>
      <c r="BA625" s="7" t="n">
        <v>45829</v>
      </c>
      <c r="BB625" s="7" t="n">
        <f aca="false">IF(ISBLANK(BA625),"No Follow Up Needed",BA625)</f>
        <v>45829</v>
      </c>
      <c r="BC625" s="0" t="s">
        <v>63</v>
      </c>
      <c r="BD625" s="0" t="str">
        <f aca="false">PROPER(IF(ISBLANK(BC625),"Unknown",BC625))</f>
        <v>Yes</v>
      </c>
      <c r="BF625" s="0" t="str">
        <f aca="false">IF(ISBLANK(BE625),"No comments",BE625)</f>
        <v>No comments</v>
      </c>
      <c r="BH625" s="0" t="str">
        <f aca="false">IF(ISBLANK(BG625),"No comments",BG625)</f>
        <v>No comments</v>
      </c>
      <c r="BJ625" s="0" t="str">
        <f aca="false">IF(ISBLANK(BI625),"Not Mentioned",BI625)</f>
        <v>Not Mentioned</v>
      </c>
      <c r="BK625" s="0" t="s">
        <v>61</v>
      </c>
      <c r="BL625" s="0" t="str">
        <f aca="false">PROPER(IF(ISBLANK(BK625),"Not Mentioned",BK625))</f>
        <v>No</v>
      </c>
      <c r="BM625" s="0" t="s">
        <v>63</v>
      </c>
      <c r="BN625" s="0" t="str">
        <f aca="false">PROPER(IF(ISBLANK(BM625),"Not Mentioned",BM625))</f>
        <v>Yes</v>
      </c>
      <c r="BO625" s="0" t="s">
        <v>2321</v>
      </c>
      <c r="BP625" s="0" t="str">
        <f aca="false">IF(ISBLANK(BO625),"One-Time Plan",BO625)</f>
        <v>One-Time Plan</v>
      </c>
      <c r="BQ625" s="0" t="s">
        <v>50</v>
      </c>
      <c r="BR625" s="0" t="str">
        <f aca="false">PROPER(IF(ISBLANK(BQ625),"No",BQ625))</f>
        <v>No</v>
      </c>
    </row>
    <row r="626" customFormat="false" ht="15" hidden="false" customHeight="false" outlineLevel="0" collapsed="false">
      <c r="A626" s="0" t="s">
        <v>1538</v>
      </c>
      <c r="B626" s="2" t="n">
        <v>45677</v>
      </c>
      <c r="C626" s="2" t="str">
        <f aca="false">TEXT(B626,"dd/mm/yyyy")</f>
        <v>20/01/2025</v>
      </c>
      <c r="D626" s="0" t="s">
        <v>66</v>
      </c>
      <c r="E626" s="0" t="n">
        <v>8067512010</v>
      </c>
      <c r="F626" s="0" t="s">
        <v>122</v>
      </c>
      <c r="G626" s="0" t="s">
        <v>2316</v>
      </c>
      <c r="H626" s="0" t="s">
        <v>1539</v>
      </c>
      <c r="I626" s="0" t="s">
        <v>45</v>
      </c>
      <c r="J626" s="0" t="s">
        <v>2322</v>
      </c>
      <c r="K626" s="3" t="str">
        <f aca="false" t="array" ref="K626:K626">IFERROR(IF(J626&lt;&gt;"",J626,INDEX(J626:J1625,MATCH(1,(F626:F1625=F626)*(I626:I1625=I626)*(L626:L1625=L626)*(J626:J1625&lt;&gt;""),0))),"Not Found")</f>
        <v>Brake Failure</v>
      </c>
      <c r="L626" s="3" t="s">
        <v>108</v>
      </c>
      <c r="M626" s="0" t="str">
        <f aca="false">PROPER(L626)</f>
        <v>Timing Belt</v>
      </c>
      <c r="N626" s="3" t="s">
        <v>109</v>
      </c>
      <c r="O626" s="0" t="str">
        <f aca="false" t="array" ref="O626:O626">IF(N626&lt;&gt;"",N626,_xlfn.xlookup(1,(L626:L1625=L626)*(N626:N1625&lt;&gt;""),N626:N1625,"Not Found"))</f>
        <v>Tijani</v>
      </c>
      <c r="P626" s="4" t="n">
        <v>66293</v>
      </c>
      <c r="Q626" s="0" t="s">
        <v>72</v>
      </c>
      <c r="R626" s="0" t="str">
        <f aca="false">PROPER(Q626)</f>
        <v>Pos</v>
      </c>
      <c r="S626" s="0" t="s">
        <v>50</v>
      </c>
      <c r="U626" s="5" t="n">
        <f aca="false">IF(ISBLANK(T626),AVERAGE(T626:T1625),T626)</f>
        <v>3.11290322580645</v>
      </c>
      <c r="V626" s="0" t="n">
        <v>2.9</v>
      </c>
      <c r="W626" s="0" t="s">
        <v>111</v>
      </c>
      <c r="X626" s="0" t="str">
        <f aca="false">IF(ISBLANK(W626),"No remarks",W626)</f>
        <v>Changed all filters</v>
      </c>
      <c r="Y626" s="0" t="s">
        <v>93</v>
      </c>
      <c r="Z626" s="0" t="s">
        <v>94</v>
      </c>
      <c r="AA626" s="0" t="str">
        <f aca="false">PROPER(IF(ISBLANK(Z626),"Location Unavailable",Z626))</f>
        <v>Vip Section</v>
      </c>
      <c r="AB626" s="0" t="s">
        <v>75</v>
      </c>
      <c r="AC626" s="6" t="str">
        <f aca="false">PROPER(AB626)</f>
        <v>Mechanik Referal</v>
      </c>
      <c r="AD626" s="6" t="n">
        <v>45</v>
      </c>
      <c r="AE626" s="5" t="n">
        <f aca="false">IF(ISBLANK(AD626),AVERAGEIF(L626:L1625,L626,AD626:AD1625),AD626)</f>
        <v>45</v>
      </c>
      <c r="AF626" s="0" t="s">
        <v>76</v>
      </c>
      <c r="AG626" s="0" t="str">
        <f aca="false">PROPER(AF626)</f>
        <v>Orderd</v>
      </c>
      <c r="AH626" s="0" t="s">
        <v>148</v>
      </c>
      <c r="AI626" s="0" t="s">
        <v>98</v>
      </c>
      <c r="AJ626" s="0" t="str">
        <f aca="false">PROPER(AI626)</f>
        <v>Emergency</v>
      </c>
      <c r="AK626" s="0" t="s">
        <v>114</v>
      </c>
      <c r="AL626" s="0" t="str">
        <f aca="false">PROPER(AK626)</f>
        <v>Returning</v>
      </c>
      <c r="AM626" s="0" t="s">
        <v>2326</v>
      </c>
      <c r="AN626" s="0" t="str">
        <f aca="false">IF(ISBLANK(AM626),"Unknown",AM626)</f>
        <v>Government Convoy</v>
      </c>
      <c r="AO626" s="0" t="s">
        <v>79</v>
      </c>
      <c r="AP626" s="0" t="str">
        <f aca="false">IF(ISBLANK(AO626),"Unknown",AO626)</f>
        <v>Specialist</v>
      </c>
      <c r="AQ626" s="0" t="n">
        <v>40000</v>
      </c>
      <c r="AR626" s="5" t="n">
        <f aca="false">IF(ISBLANK(AQ626),AVERAGEIF(M626:M1625,M626,AQ626:AQ1625),AQ626)</f>
        <v>40000</v>
      </c>
      <c r="AS626" s="0" t="n">
        <v>30000</v>
      </c>
      <c r="AT626" s="5" t="n">
        <f aca="false">IF(ISBLANK(AS626),AVERAGE(AS626:AS1625),AS626)</f>
        <v>30000</v>
      </c>
      <c r="AU626" s="0" t="s">
        <v>61</v>
      </c>
      <c r="AV626" s="0" t="str">
        <f aca="false">PROPER(IF(ISBLANK(AU626),"No",AU626))</f>
        <v>No</v>
      </c>
      <c r="AW626" s="0" t="n">
        <v>10000</v>
      </c>
      <c r="AX626" s="5" t="n">
        <f aca="false">IF(ISBLANK(AW626),0,AW626)</f>
        <v>10000</v>
      </c>
      <c r="AZ626" s="0" t="str">
        <f aca="false">UPPER(IF(ISBLANK(AY626),"NONE",AY626))</f>
        <v>NONE</v>
      </c>
      <c r="BA626" s="7" t="n">
        <v>45830</v>
      </c>
      <c r="BB626" s="7" t="n">
        <f aca="false">IF(ISBLANK(BA626),"No Follow Up Needed",BA626)</f>
        <v>45830</v>
      </c>
      <c r="BC626" s="0" t="s">
        <v>50</v>
      </c>
      <c r="BD626" s="0" t="str">
        <f aca="false">PROPER(IF(ISBLANK(BC626),"Unknown",BC626))</f>
        <v>No</v>
      </c>
      <c r="BF626" s="0" t="str">
        <f aca="false">IF(ISBLANK(BE626),"No comments",BE626)</f>
        <v>No comments</v>
      </c>
      <c r="BG626" s="0" t="s">
        <v>2320</v>
      </c>
      <c r="BH626" s="0" t="str">
        <f aca="false">IF(ISBLANK(BG626),"No comments",BG626)</f>
        <v>No complaints</v>
      </c>
      <c r="BI626" s="0" t="s">
        <v>50</v>
      </c>
      <c r="BJ626" s="0" t="str">
        <f aca="false">IF(ISBLANK(BI626),"Not Mentioned",BI626)</f>
        <v>No</v>
      </c>
      <c r="BK626" s="0" t="s">
        <v>61</v>
      </c>
      <c r="BL626" s="0" t="str">
        <f aca="false">PROPER(IF(ISBLANK(BK626),"Not Mentioned",BK626))</f>
        <v>No</v>
      </c>
      <c r="BM626" s="0" t="s">
        <v>63</v>
      </c>
      <c r="BN626" s="0" t="str">
        <f aca="false">PROPER(IF(ISBLANK(BM626),"Not Mentioned",BM626))</f>
        <v>Yes</v>
      </c>
      <c r="BO626" s="0" t="s">
        <v>2321</v>
      </c>
      <c r="BP626" s="0" t="str">
        <f aca="false">IF(ISBLANK(BO626),"One-Time Plan",BO626)</f>
        <v>One-Time Plan</v>
      </c>
      <c r="BQ626" s="0" t="s">
        <v>63</v>
      </c>
      <c r="BR626" s="0" t="str">
        <f aca="false">PROPER(IF(ISBLANK(BQ626),"No",BQ626))</f>
        <v>Yes</v>
      </c>
    </row>
    <row r="627" customFormat="false" ht="15" hidden="false" customHeight="false" outlineLevel="0" collapsed="false">
      <c r="A627" s="0" t="s">
        <v>1540</v>
      </c>
      <c r="B627" s="2" t="n">
        <v>45767</v>
      </c>
      <c r="C627" s="2" t="str">
        <f aca="false">TEXT(B627,"dd/mm/yyyy")</f>
        <v>20/04/2025</v>
      </c>
      <c r="D627" s="0" t="s">
        <v>42</v>
      </c>
      <c r="E627" s="0" t="n">
        <v>8042688154</v>
      </c>
      <c r="F627" s="0" t="s">
        <v>67</v>
      </c>
      <c r="G627" s="0" t="s">
        <v>2316</v>
      </c>
      <c r="H627" s="0" t="s">
        <v>1541</v>
      </c>
      <c r="I627" s="0" t="s">
        <v>107</v>
      </c>
      <c r="J627" s="0" t="s">
        <v>2317</v>
      </c>
      <c r="K627" s="3" t="str">
        <f aca="false" t="array" ref="K627:K627">IFERROR(IF(J627&lt;&gt;"",J627,INDEX(J627:J1626,MATCH(1,(F627:F1626=F627)*(I627:I1626=I627)*(L627:L1626=L627)*(J627:J1626&lt;&gt;""),0))),"Not Found")</f>
        <v>Suspension Noise</v>
      </c>
      <c r="L627" s="3" t="s">
        <v>89</v>
      </c>
      <c r="M627" s="0" t="str">
        <f aca="false">PROPER(L627)</f>
        <v>Shock Absorbers</v>
      </c>
      <c r="O627" s="0" t="e">
        <f aca="false" t="array" ref="O627:O627">IF(N627&lt;&gt;"",N627,_xlfn.xlookup(1,(L627:L1626=L627)*(N627:N1626&lt;&gt;""),N627:N1626,"Not Found"))</f>
        <v>#NAME?</v>
      </c>
      <c r="P627" s="4" t="n">
        <v>88139</v>
      </c>
      <c r="Q627" s="0" t="s">
        <v>49</v>
      </c>
      <c r="R627" s="0" t="str">
        <f aca="false">PROPER(Q627)</f>
        <v>Transfer</v>
      </c>
      <c r="S627" s="0" t="s">
        <v>63</v>
      </c>
      <c r="T627" s="0" t="n">
        <v>1</v>
      </c>
      <c r="U627" s="5" t="n">
        <f aca="false">IF(ISBLANK(T627),AVERAGE(T627:T1626),T627)</f>
        <v>1</v>
      </c>
      <c r="V627" s="0" t="n">
        <v>4.9</v>
      </c>
      <c r="W627" s="0" t="s">
        <v>92</v>
      </c>
      <c r="X627" s="0" t="str">
        <f aca="false">IF(ISBLANK(W627),"No remarks",W627)</f>
        <v>Urgent service</v>
      </c>
      <c r="Y627" s="0" t="s">
        <v>73</v>
      </c>
      <c r="AA627" s="0" t="str">
        <f aca="false">PROPER(IF(ISBLANK(Z627),"Location Unavailable",Z627))</f>
        <v>Location Unavailable</v>
      </c>
      <c r="AB627" s="0" t="s">
        <v>167</v>
      </c>
      <c r="AC627" s="6" t="str">
        <f aca="false">PROPER(AB627)</f>
        <v>Word Of Mouth</v>
      </c>
      <c r="AE627" s="5" t="n">
        <f aca="false">IF(ISBLANK(AD627),AVERAGEIF(L627:L1626,L627,AD627:AD1626),AD627)</f>
        <v>40.3125</v>
      </c>
      <c r="AF627" s="0" t="s">
        <v>76</v>
      </c>
      <c r="AG627" s="0" t="str">
        <f aca="false">PROPER(AF627)</f>
        <v>Orderd</v>
      </c>
      <c r="AH627" s="0" t="s">
        <v>155</v>
      </c>
      <c r="AI627" s="0" t="s">
        <v>98</v>
      </c>
      <c r="AJ627" s="0" t="str">
        <f aca="false">PROPER(AI627)</f>
        <v>Emergency</v>
      </c>
      <c r="AK627" s="0" t="s">
        <v>99</v>
      </c>
      <c r="AL627" s="0" t="str">
        <f aca="false">PROPER(AK627)</f>
        <v>Uber Driver</v>
      </c>
      <c r="AN627" s="0" t="str">
        <f aca="false">IF(ISBLANK(AM627),"Unknown",AM627)</f>
        <v>Unknown</v>
      </c>
      <c r="AP627" s="0" t="str">
        <f aca="false">IF(ISBLANK(AO627),"Unknown",AO627)</f>
        <v>Unknown</v>
      </c>
      <c r="AQ627" s="0" t="n">
        <v>15000</v>
      </c>
      <c r="AR627" s="5" t="n">
        <f aca="false">IF(ISBLANK(AQ627),AVERAGEIF(M627:M1626,M627,AQ627:AQ1626),AQ627)</f>
        <v>15000</v>
      </c>
      <c r="AS627" s="0" t="n">
        <v>30000</v>
      </c>
      <c r="AT627" s="5" t="n">
        <f aca="false">IF(ISBLANK(AS627),AVERAGE(AS627:AS1626),AS627)</f>
        <v>30000</v>
      </c>
      <c r="AV627" s="0" t="str">
        <f aca="false">PROPER(IF(ISBLANK(AU627),"No",AU627))</f>
        <v>No</v>
      </c>
      <c r="AW627" s="0" t="n">
        <v>10000</v>
      </c>
      <c r="AX627" s="5" t="n">
        <f aca="false">IF(ISBLANK(AW627),0,AW627)</f>
        <v>10000</v>
      </c>
      <c r="AY627" s="0" t="s">
        <v>130</v>
      </c>
      <c r="AZ627" s="0" t="str">
        <f aca="false">UPPER(IF(ISBLANK(AY627),"NONE",AY627))</f>
        <v>LOYALTY10</v>
      </c>
      <c r="BA627" s="7" t="n">
        <v>45948</v>
      </c>
      <c r="BB627" s="7" t="n">
        <f aca="false">IF(ISBLANK(BA627),"No Follow Up Needed",BA627)</f>
        <v>45948</v>
      </c>
      <c r="BC627" s="0" t="s">
        <v>63</v>
      </c>
      <c r="BD627" s="0" t="str">
        <f aca="false">PROPER(IF(ISBLANK(BC627),"Unknown",BC627))</f>
        <v>Yes</v>
      </c>
      <c r="BF627" s="0" t="str">
        <f aca="false">IF(ISBLANK(BE627),"No comments",BE627)</f>
        <v>No comments</v>
      </c>
      <c r="BG627" s="0" t="s">
        <v>172</v>
      </c>
      <c r="BH627" s="0" t="str">
        <f aca="false">IF(ISBLANK(BG627),"No comments",BG627)</f>
        <v>Always late</v>
      </c>
      <c r="BI627" s="0" t="s">
        <v>50</v>
      </c>
      <c r="BJ627" s="0" t="str">
        <f aca="false">IF(ISBLANK(BI627),"Not Mentioned",BI627)</f>
        <v>No</v>
      </c>
      <c r="BK627" s="0" t="s">
        <v>63</v>
      </c>
      <c r="BL627" s="0" t="str">
        <f aca="false">PROPER(IF(ISBLANK(BK627),"Not Mentioned",BK627))</f>
        <v>Yes</v>
      </c>
      <c r="BM627" s="0" t="s">
        <v>63</v>
      </c>
      <c r="BN627" s="0" t="str">
        <f aca="false">PROPER(IF(ISBLANK(BM627),"Not Mentioned",BM627))</f>
        <v>Yes</v>
      </c>
      <c r="BO627" s="0" t="s">
        <v>2321</v>
      </c>
      <c r="BP627" s="0" t="str">
        <f aca="false">IF(ISBLANK(BO627),"One-Time Plan",BO627)</f>
        <v>One-Time Plan</v>
      </c>
      <c r="BQ627" s="0" t="s">
        <v>50</v>
      </c>
      <c r="BR627" s="0" t="str">
        <f aca="false">PROPER(IF(ISBLANK(BQ627),"No",BQ627))</f>
        <v>No</v>
      </c>
    </row>
    <row r="628" customFormat="false" ht="15" hidden="false" customHeight="false" outlineLevel="0" collapsed="false">
      <c r="A628" s="0" t="s">
        <v>1542</v>
      </c>
      <c r="B628" s="2" t="n">
        <v>45740</v>
      </c>
      <c r="C628" s="2" t="str">
        <f aca="false">TEXT(B628,"dd/mm/yyyy")</f>
        <v>24/03/2025</v>
      </c>
      <c r="D628" s="0" t="s">
        <v>163</v>
      </c>
      <c r="E628" s="0" t="n">
        <v>8093183615</v>
      </c>
      <c r="F628" s="0" t="s">
        <v>85</v>
      </c>
      <c r="G628" s="0" t="s">
        <v>2319</v>
      </c>
      <c r="H628" s="0" t="s">
        <v>1543</v>
      </c>
      <c r="I628" s="0" t="s">
        <v>134</v>
      </c>
      <c r="J628" s="0" t="s">
        <v>2325</v>
      </c>
      <c r="K628" s="3" t="str">
        <f aca="false" t="array" ref="K628:K628">IFERROR(IF(J628&lt;&gt;"",J628,INDEX(J628:J1627,MATCH(1,(F628:F1627=F628)*(I628:I1627=I628)*(L628:L1627=L628)*(J628:J1627&lt;&gt;""),0))),"Not Found")</f>
        <v>Engine Knocking</v>
      </c>
      <c r="L628" s="3" t="s">
        <v>108</v>
      </c>
      <c r="M628" s="0" t="str">
        <f aca="false">PROPER(L628)</f>
        <v>Timing Belt</v>
      </c>
      <c r="N628" s="3" t="s">
        <v>90</v>
      </c>
      <c r="O628" s="0" t="str">
        <f aca="false" t="array" ref="O628:O628">IF(N628&lt;&gt;"",N628,_xlfn.xlookup(1,(L628:L1627=L628)*(N628:N1627&lt;&gt;""),N628:N1627,"Not Found"))</f>
        <v>Musa</v>
      </c>
      <c r="P628" s="4" t="n">
        <v>43260</v>
      </c>
      <c r="Q628" s="0" t="s">
        <v>49</v>
      </c>
      <c r="R628" s="0" t="str">
        <f aca="false">PROPER(Q628)</f>
        <v>Transfer</v>
      </c>
      <c r="S628" s="0" t="s">
        <v>63</v>
      </c>
      <c r="T628" s="0" t="n">
        <v>2</v>
      </c>
      <c r="U628" s="5" t="n">
        <f aca="false">IF(ISBLANK(T628),AVERAGE(T628:T1627),T628)</f>
        <v>2</v>
      </c>
      <c r="V628" s="0" t="n">
        <v>5.2</v>
      </c>
      <c r="W628" s="0" t="s">
        <v>111</v>
      </c>
      <c r="X628" s="0" t="str">
        <f aca="false">IF(ISBLANK(W628),"No remarks",W628)</f>
        <v>Changed all filters</v>
      </c>
      <c r="Y628" s="0" t="s">
        <v>93</v>
      </c>
      <c r="Z628" s="0" t="s">
        <v>94</v>
      </c>
      <c r="AA628" s="0" t="str">
        <f aca="false">PROPER(IF(ISBLANK(Z628),"Location Unavailable",Z628))</f>
        <v>Vip Section</v>
      </c>
      <c r="AB628" s="0" t="s">
        <v>95</v>
      </c>
      <c r="AC628" s="6" t="str">
        <f aca="false">PROPER(AB628)</f>
        <v>Road Sign</v>
      </c>
      <c r="AD628" s="6" t="n">
        <v>45</v>
      </c>
      <c r="AE628" s="5" t="n">
        <f aca="false">IF(ISBLANK(AD628),AVERAGEIF(L628:L1627,L628,AD628:AD1627),AD628)</f>
        <v>45</v>
      </c>
      <c r="AF628" s="0" t="s">
        <v>96</v>
      </c>
      <c r="AG628" s="0" t="str">
        <f aca="false">PROPER(AF628)</f>
        <v>Ordered</v>
      </c>
      <c r="AH628" s="0" t="s">
        <v>155</v>
      </c>
      <c r="AI628" s="0" t="s">
        <v>98</v>
      </c>
      <c r="AJ628" s="0" t="str">
        <f aca="false">PROPER(AI628)</f>
        <v>Emergency</v>
      </c>
      <c r="AK628" s="0" t="s">
        <v>114</v>
      </c>
      <c r="AL628" s="0" t="str">
        <f aca="false">PROPER(AK628)</f>
        <v>Returning</v>
      </c>
      <c r="AM628" s="0" t="s">
        <v>2326</v>
      </c>
      <c r="AN628" s="0" t="str">
        <f aca="false">IF(ISBLANK(AM628),"Unknown",AM628)</f>
        <v>Government Convoy</v>
      </c>
      <c r="AO628" s="0" t="s">
        <v>161</v>
      </c>
      <c r="AP628" s="0" t="str">
        <f aca="false">IF(ISBLANK(AO628),"Unknown",AO628)</f>
        <v>Apprentice</v>
      </c>
      <c r="AQ628" s="0" t="n">
        <v>25000</v>
      </c>
      <c r="AR628" s="5" t="n">
        <f aca="false">IF(ISBLANK(AQ628),AVERAGEIF(M628:M1627,M628,AQ628:AQ1627),AQ628)</f>
        <v>25000</v>
      </c>
      <c r="AS628" s="0" t="n">
        <v>30000</v>
      </c>
      <c r="AT628" s="5" t="n">
        <f aca="false">IF(ISBLANK(AS628),AVERAGE(AS628:AS1627),AS628)</f>
        <v>30000</v>
      </c>
      <c r="AU628" s="0" t="s">
        <v>50</v>
      </c>
      <c r="AV628" s="0" t="str">
        <f aca="false">PROPER(IF(ISBLANK(AU628),"No",AU628))</f>
        <v>No</v>
      </c>
      <c r="AW628" s="0" t="n">
        <v>10000</v>
      </c>
      <c r="AX628" s="5" t="n">
        <f aca="false">IF(ISBLANK(AW628),0,AW628)</f>
        <v>10000</v>
      </c>
      <c r="AY628" s="0" t="s">
        <v>80</v>
      </c>
      <c r="AZ628" s="0" t="str">
        <f aca="false">UPPER(IF(ISBLANK(AY628),"NONE",AY628))</f>
        <v>PROMO10</v>
      </c>
      <c r="BB628" s="7" t="str">
        <f aca="false">IF(ISBLANK(BA628),"No Follow Up Needed",BA628)</f>
        <v>No Follow Up Needed</v>
      </c>
      <c r="BC628" s="0" t="s">
        <v>61</v>
      </c>
      <c r="BD628" s="0" t="str">
        <f aca="false">PROPER(IF(ISBLANK(BC628),"Unknown",BC628))</f>
        <v>No</v>
      </c>
      <c r="BE628" s="0" t="s">
        <v>171</v>
      </c>
      <c r="BF628" s="0" t="str">
        <f aca="false">IF(ISBLANK(BE628),"No comments",BE628)</f>
        <v>Shock absorber weakening</v>
      </c>
      <c r="BH628" s="0" t="str">
        <f aca="false">IF(ISBLANK(BG628),"No comments",BG628)</f>
        <v>No comments</v>
      </c>
      <c r="BI628" s="0" t="s">
        <v>50</v>
      </c>
      <c r="BJ628" s="0" t="str">
        <f aca="false">IF(ISBLANK(BI628),"Not Mentioned",BI628)</f>
        <v>No</v>
      </c>
      <c r="BK628" s="0" t="s">
        <v>50</v>
      </c>
      <c r="BL628" s="0" t="str">
        <f aca="false">PROPER(IF(ISBLANK(BK628),"Not Mentioned",BK628))</f>
        <v>No</v>
      </c>
      <c r="BN628" s="0" t="str">
        <f aca="false">PROPER(IF(ISBLANK(BM628),"Not Mentioned",BM628))</f>
        <v>Not Mentioned</v>
      </c>
      <c r="BO628" s="0" t="s">
        <v>64</v>
      </c>
      <c r="BP628" s="0" t="str">
        <f aca="false">IF(ISBLANK(BO628),"One-Time Plan",BO628)</f>
        <v>Gold Maintenance Plan</v>
      </c>
      <c r="BQ628" s="0" t="s">
        <v>198</v>
      </c>
      <c r="BR628" s="0" t="str">
        <f aca="false">PROPER(IF(ISBLANK(BQ628),"No",BQ628))</f>
        <v>Followed Up</v>
      </c>
    </row>
    <row r="629" customFormat="false" ht="15" hidden="false" customHeight="false" outlineLevel="0" collapsed="false">
      <c r="A629" s="0" t="s">
        <v>1544</v>
      </c>
      <c r="B629" s="2" t="s">
        <v>659</v>
      </c>
      <c r="C629" s="2" t="str">
        <f aca="false">TEXT(B629,"dd/mm/yyyy")</f>
        <v>16/01/2025</v>
      </c>
      <c r="D629" s="0" t="s">
        <v>163</v>
      </c>
      <c r="E629" s="0" t="n">
        <v>8020655497</v>
      </c>
      <c r="F629" s="0" t="s">
        <v>122</v>
      </c>
      <c r="G629" s="0" t="s">
        <v>2316</v>
      </c>
      <c r="H629" s="0" t="s">
        <v>1545</v>
      </c>
      <c r="I629" s="0" t="s">
        <v>107</v>
      </c>
      <c r="J629" s="0" t="s">
        <v>2325</v>
      </c>
      <c r="K629" s="3" t="str">
        <f aca="false" t="array" ref="K629:K629">IFERROR(IF(J629&lt;&gt;"",J629,INDEX(J629:J1628,MATCH(1,(F629:F1628=F629)*(I629:I1628=I629)*(L629:L1628=L629)*(J629:J1628&lt;&gt;""),0))),"Not Found")</f>
        <v>Engine Knocking</v>
      </c>
      <c r="L629" s="3" t="s">
        <v>89</v>
      </c>
      <c r="M629" s="0" t="str">
        <f aca="false">PROPER(L629)</f>
        <v>Shock Absorbers</v>
      </c>
      <c r="O629" s="0" t="e">
        <f aca="false" t="array" ref="O629:O629">IF(N629&lt;&gt;"",N629,_xlfn.xlookup(1,(L629:L1628=L629)*(N629:N1628&lt;&gt;""),N629:N1628,"Not Found"))</f>
        <v>#NAME?</v>
      </c>
      <c r="P629" s="4" t="n">
        <v>75034</v>
      </c>
      <c r="Q629" s="0" t="s">
        <v>49</v>
      </c>
      <c r="R629" s="0" t="str">
        <f aca="false">PROPER(Q629)</f>
        <v>Transfer</v>
      </c>
      <c r="S629" s="0" t="s">
        <v>63</v>
      </c>
      <c r="U629" s="5" t="n">
        <f aca="false">IF(ISBLANK(T629),AVERAGE(T629:T1628),T629)</f>
        <v>3.12337662337662</v>
      </c>
      <c r="V629" s="0" t="n">
        <v>4.2</v>
      </c>
      <c r="W629" s="0" t="s">
        <v>92</v>
      </c>
      <c r="X629" s="0" t="str">
        <f aca="false">IF(ISBLANK(W629),"No remarks",W629)</f>
        <v>Urgent service</v>
      </c>
      <c r="Y629" s="0" t="s">
        <v>52</v>
      </c>
      <c r="Z629" s="0" t="s">
        <v>94</v>
      </c>
      <c r="AA629" s="0" t="str">
        <f aca="false">PROPER(IF(ISBLANK(Z629),"Location Unavailable",Z629))</f>
        <v>Vip Section</v>
      </c>
      <c r="AB629" s="0" t="s">
        <v>147</v>
      </c>
      <c r="AC629" s="6" t="str">
        <f aca="false">PROPER(AB629)</f>
        <v>Instagram</v>
      </c>
      <c r="AD629" s="6" t="n">
        <v>30</v>
      </c>
      <c r="AE629" s="5" t="n">
        <f aca="false">IF(ISBLANK(AD629),AVERAGEIF(L629:L1628,L629,AD629:AD1628),AD629)</f>
        <v>30</v>
      </c>
      <c r="AF629" s="0" t="s">
        <v>55</v>
      </c>
      <c r="AG629" s="0" t="str">
        <f aca="false">PROPER(AF629)</f>
        <v>Available</v>
      </c>
      <c r="AH629" s="0" t="s">
        <v>155</v>
      </c>
      <c r="AI629" s="0" t="s">
        <v>98</v>
      </c>
      <c r="AJ629" s="0" t="str">
        <f aca="false">PROPER(AI629)</f>
        <v>Emergency</v>
      </c>
      <c r="AK629" s="0" t="s">
        <v>99</v>
      </c>
      <c r="AL629" s="0" t="str">
        <f aca="false">PROPER(AK629)</f>
        <v>Uber Driver</v>
      </c>
      <c r="AM629" s="0" t="s">
        <v>177</v>
      </c>
      <c r="AN629" s="0" t="str">
        <f aca="false">IF(ISBLANK(AM629),"Unknown",AM629)</f>
        <v>Private</v>
      </c>
      <c r="AO629" s="0" t="s">
        <v>143</v>
      </c>
      <c r="AP629" s="0" t="str">
        <f aca="false">IF(ISBLANK(AO629),"Unknown",AO629)</f>
        <v>Senior</v>
      </c>
      <c r="AQ629" s="0" t="n">
        <v>25000</v>
      </c>
      <c r="AR629" s="5" t="n">
        <f aca="false">IF(ISBLANK(AQ629),AVERAGEIF(M629:M1628,M629,AQ629:AQ1628),AQ629)</f>
        <v>25000</v>
      </c>
      <c r="AS629" s="0" t="n">
        <v>40000</v>
      </c>
      <c r="AT629" s="5" t="n">
        <f aca="false">IF(ISBLANK(AS629),AVERAGE(AS629:AS1628),AS629)</f>
        <v>40000</v>
      </c>
      <c r="AU629" s="0" t="s">
        <v>82</v>
      </c>
      <c r="AV629" s="0" t="str">
        <f aca="false">PROPER(IF(ISBLANK(AU629),"No",AU629))</f>
        <v>Yes</v>
      </c>
      <c r="AW629" s="0" t="n">
        <v>5000</v>
      </c>
      <c r="AX629" s="5" t="n">
        <f aca="false">IF(ISBLANK(AW629),0,AW629)</f>
        <v>5000</v>
      </c>
      <c r="AY629" s="0" t="s">
        <v>184</v>
      </c>
      <c r="AZ629" s="0" t="str">
        <f aca="false">UPPER(IF(ISBLANK(AY629),"NONE",AY629))</f>
        <v>N/A</v>
      </c>
      <c r="BA629" s="7" t="n">
        <v>45972</v>
      </c>
      <c r="BB629" s="7" t="n">
        <f aca="false">IF(ISBLANK(BA629),"No Follow Up Needed",BA629)</f>
        <v>45972</v>
      </c>
      <c r="BC629" s="0" t="s">
        <v>61</v>
      </c>
      <c r="BD629" s="0" t="str">
        <f aca="false">PROPER(IF(ISBLANK(BC629),"Unknown",BC629))</f>
        <v>No</v>
      </c>
      <c r="BF629" s="0" t="str">
        <f aca="false">IF(ISBLANK(BE629),"No comments",BE629)</f>
        <v>No comments</v>
      </c>
      <c r="BG629" s="0" t="s">
        <v>117</v>
      </c>
      <c r="BH629" s="0" t="str">
        <f aca="false">IF(ISBLANK(BG629),"No comments",BG629)</f>
        <v>Prefers morning</v>
      </c>
      <c r="BJ629" s="0" t="str">
        <f aca="false">IF(ISBLANK(BI629),"Not Mentioned",BI629)</f>
        <v>Not Mentioned</v>
      </c>
      <c r="BK629" s="0" t="s">
        <v>82</v>
      </c>
      <c r="BL629" s="0" t="str">
        <f aca="false">PROPER(IF(ISBLANK(BK629),"Not Mentioned",BK629))</f>
        <v>Yes</v>
      </c>
      <c r="BM629" s="0" t="s">
        <v>63</v>
      </c>
      <c r="BN629" s="0" t="str">
        <f aca="false">PROPER(IF(ISBLANK(BM629),"Not Mentioned",BM629))</f>
        <v>Yes</v>
      </c>
      <c r="BO629" s="0" t="s">
        <v>2321</v>
      </c>
      <c r="BP629" s="0" t="str">
        <f aca="false">IF(ISBLANK(BO629),"One-Time Plan",BO629)</f>
        <v>One-Time Plan</v>
      </c>
      <c r="BQ629" s="0" t="s">
        <v>50</v>
      </c>
      <c r="BR629" s="0" t="str">
        <f aca="false">PROPER(IF(ISBLANK(BQ629),"No",BQ629))</f>
        <v>No</v>
      </c>
    </row>
    <row r="630" customFormat="false" ht="15" hidden="false" customHeight="false" outlineLevel="0" collapsed="false">
      <c r="A630" s="0" t="s">
        <v>1546</v>
      </c>
      <c r="B630" s="2" t="s">
        <v>659</v>
      </c>
      <c r="C630" s="2" t="str">
        <f aca="false">TEXT(B630,"dd/mm/yyyy")</f>
        <v>16/01/2025</v>
      </c>
      <c r="D630" s="0" t="s">
        <v>121</v>
      </c>
      <c r="E630" s="0" t="n">
        <v>8018042731</v>
      </c>
      <c r="F630" s="0" t="s">
        <v>122</v>
      </c>
      <c r="G630" s="0" t="s">
        <v>2316</v>
      </c>
      <c r="H630" s="0" t="s">
        <v>1547</v>
      </c>
      <c r="I630" s="0" t="s">
        <v>134</v>
      </c>
      <c r="J630" s="0" t="s">
        <v>2322</v>
      </c>
      <c r="K630" s="3" t="str">
        <f aca="false" t="array" ref="K630:K630">IFERROR(IF(J630&lt;&gt;"",J630,INDEX(J630:J1629,MATCH(1,(F630:F1629=F630)*(I630:I1629=I630)*(L630:L1629=L630)*(J630:J1629&lt;&gt;""),0))),"Not Found")</f>
        <v>Brake Failure</v>
      </c>
      <c r="L630" s="3" t="s">
        <v>89</v>
      </c>
      <c r="M630" s="0" t="str">
        <f aca="false">PROPER(L630)</f>
        <v>Shock Absorbers</v>
      </c>
      <c r="N630" s="3" t="s">
        <v>48</v>
      </c>
      <c r="O630" s="0" t="str">
        <f aca="false" t="array" ref="O630:O630">IF(N630&lt;&gt;"",N630,_xlfn.xlookup(1,(L630:L1629=L630)*(N630:N1629&lt;&gt;""),N630:N1629,"Not Found"))</f>
        <v>Uche</v>
      </c>
      <c r="P630" s="4" t="n">
        <v>13890</v>
      </c>
      <c r="Q630" s="0" t="s">
        <v>110</v>
      </c>
      <c r="R630" s="0" t="str">
        <f aca="false">PROPER(Q630)</f>
        <v>Cash</v>
      </c>
      <c r="S630" s="0" t="s">
        <v>63</v>
      </c>
      <c r="T630" s="0" t="n">
        <v>5</v>
      </c>
      <c r="U630" s="5" t="n">
        <f aca="false">IF(ISBLANK(T630),AVERAGE(T630:T1629),T630)</f>
        <v>5</v>
      </c>
      <c r="V630" s="0" t="n">
        <v>1.3</v>
      </c>
      <c r="W630" s="0" t="s">
        <v>51</v>
      </c>
      <c r="X630" s="0" t="str">
        <f aca="false">IF(ISBLANK(W630),"No remarks",W630)</f>
        <v>Recommended further checks</v>
      </c>
      <c r="Y630" s="0" t="s">
        <v>93</v>
      </c>
      <c r="Z630" s="0" t="s">
        <v>159</v>
      </c>
      <c r="AA630" s="0" t="str">
        <f aca="false">PROPER(IF(ISBLANK(Z630),"Location Unavailable",Z630))</f>
        <v>Main Bay</v>
      </c>
      <c r="AB630" s="0" t="s">
        <v>54</v>
      </c>
      <c r="AC630" s="6" t="str">
        <f aca="false">PROPER(AB630)</f>
        <v>Mechanic Referral</v>
      </c>
      <c r="AE630" s="5" t="n">
        <f aca="false">IF(ISBLANK(AD630),AVERAGEIF(L630:L1629,L630,AD630:AD1629),AD630)</f>
        <v>40.4761904761905</v>
      </c>
      <c r="AF630" s="0" t="s">
        <v>76</v>
      </c>
      <c r="AG630" s="0" t="str">
        <f aca="false">PROPER(AF630)</f>
        <v>Orderd</v>
      </c>
      <c r="AH630" s="0" t="s">
        <v>56</v>
      </c>
      <c r="AI630" s="0" t="s">
        <v>113</v>
      </c>
      <c r="AJ630" s="0" t="str">
        <f aca="false">PROPER(AI630)</f>
        <v>Normal</v>
      </c>
      <c r="AK630" s="0" t="s">
        <v>196</v>
      </c>
      <c r="AL630" s="0" t="str">
        <f aca="false">PROPER(AK630)</f>
        <v>First Time</v>
      </c>
      <c r="AM630" s="0" t="s">
        <v>2324</v>
      </c>
      <c r="AN630" s="0" t="str">
        <f aca="false">IF(ISBLANK(AM630),"Unknown",AM630)</f>
        <v>Logistics Convoy</v>
      </c>
      <c r="AO630" s="0" t="s">
        <v>79</v>
      </c>
      <c r="AP630" s="0" t="str">
        <f aca="false">IF(ISBLANK(AO630),"Unknown",AO630)</f>
        <v>Specialist</v>
      </c>
      <c r="AQ630" s="0" t="n">
        <v>25000</v>
      </c>
      <c r="AR630" s="5" t="n">
        <f aca="false">IF(ISBLANK(AQ630),AVERAGEIF(M630:M1629,M630,AQ630:AQ1629),AQ630)</f>
        <v>25000</v>
      </c>
      <c r="AS630" s="0" t="n">
        <v>30000</v>
      </c>
      <c r="AT630" s="5" t="n">
        <f aca="false">IF(ISBLANK(AS630),AVERAGE(AS630:AS1629),AS630)</f>
        <v>30000</v>
      </c>
      <c r="AU630" s="0" t="s">
        <v>82</v>
      </c>
      <c r="AV630" s="0" t="str">
        <f aca="false">PROPER(IF(ISBLANK(AU630),"No",AU630))</f>
        <v>Yes</v>
      </c>
      <c r="AX630" s="5" t="n">
        <f aca="false">IF(ISBLANK(AW630),0,AW630)</f>
        <v>0</v>
      </c>
      <c r="AY630" s="0" t="s">
        <v>130</v>
      </c>
      <c r="AZ630" s="0" t="str">
        <f aca="false">UPPER(IF(ISBLANK(AY630),"NONE",AY630))</f>
        <v>LOYALTY10</v>
      </c>
      <c r="BA630" s="7" t="n">
        <v>45831</v>
      </c>
      <c r="BB630" s="7" t="n">
        <f aca="false">IF(ISBLANK(BA630),"No Follow Up Needed",BA630)</f>
        <v>45831</v>
      </c>
      <c r="BC630" s="0" t="s">
        <v>82</v>
      </c>
      <c r="BD630" s="0" t="str">
        <f aca="false">PROPER(IF(ISBLANK(BC630),"Unknown",BC630))</f>
        <v>Yes</v>
      </c>
      <c r="BF630" s="0" t="str">
        <f aca="false">IF(ISBLANK(BE630),"No comments",BE630)</f>
        <v>No comments</v>
      </c>
      <c r="BH630" s="0" t="str">
        <f aca="false">IF(ISBLANK(BG630),"No comments",BG630)</f>
        <v>No comments</v>
      </c>
      <c r="BI630" s="0" t="s">
        <v>63</v>
      </c>
      <c r="BJ630" s="0" t="str">
        <f aca="false">IF(ISBLANK(BI630),"Not Mentioned",BI630)</f>
        <v>Yes</v>
      </c>
      <c r="BK630" s="0" t="s">
        <v>63</v>
      </c>
      <c r="BL630" s="0" t="str">
        <f aca="false">PROPER(IF(ISBLANK(BK630),"Not Mentioned",BK630))</f>
        <v>Yes</v>
      </c>
      <c r="BN630" s="0" t="str">
        <f aca="false">PROPER(IF(ISBLANK(BM630),"Not Mentioned",BM630))</f>
        <v>Not Mentioned</v>
      </c>
      <c r="BO630" s="0" t="s">
        <v>2318</v>
      </c>
      <c r="BP630" s="0" t="str">
        <f aca="false">IF(ISBLANK(BO630),"One-Time Plan",BO630)</f>
        <v>Gold</v>
      </c>
      <c r="BQ630" s="0" t="s">
        <v>50</v>
      </c>
      <c r="BR630" s="0" t="str">
        <f aca="false">PROPER(IF(ISBLANK(BQ630),"No",BQ630))</f>
        <v>No</v>
      </c>
    </row>
    <row r="631" customFormat="false" ht="15" hidden="false" customHeight="false" outlineLevel="0" collapsed="false">
      <c r="A631" s="0" t="s">
        <v>1548</v>
      </c>
      <c r="B631" s="2" t="s">
        <v>1113</v>
      </c>
      <c r="C631" s="2" t="str">
        <f aca="false">TEXT(B631,"dd/mm/yyyy")</f>
        <v>23/04/2025</v>
      </c>
      <c r="D631" s="0" t="s">
        <v>121</v>
      </c>
      <c r="E631" s="0" t="n">
        <v>8028462384</v>
      </c>
      <c r="F631" s="0" t="s">
        <v>85</v>
      </c>
      <c r="G631" s="0" t="s">
        <v>2319</v>
      </c>
      <c r="H631" s="0" t="s">
        <v>1549</v>
      </c>
      <c r="I631" s="0" t="s">
        <v>87</v>
      </c>
      <c r="J631" s="0" t="s">
        <v>87</v>
      </c>
      <c r="K631" s="3" t="str">
        <f aca="false" t="array" ref="K631:K631">IFERROR(IF(J631&lt;&gt;"",J631,INDEX(J631:J1630,MATCH(1,(F631:F1630=F631)*(I631:I1630=I631)*(L631:L1630=L631)*(J631:J1630&lt;&gt;""),0))),"Not Found")</f>
        <v>Oil Change</v>
      </c>
      <c r="L631" s="3" t="s">
        <v>89</v>
      </c>
      <c r="M631" s="0" t="str">
        <f aca="false">PROPER(L631)</f>
        <v>Shock Absorbers</v>
      </c>
      <c r="O631" s="0" t="e">
        <f aca="false" t="array" ref="O631:O631">IF(N631&lt;&gt;"",N631,_xlfn.xlookup(1,(L631:L1630=L631)*(N631:N1630&lt;&gt;""),N631:N1630,"Not Found"))</f>
        <v>#NAME?</v>
      </c>
      <c r="P631" s="4" t="n">
        <v>36812</v>
      </c>
      <c r="Q631" s="0" t="s">
        <v>110</v>
      </c>
      <c r="R631" s="0" t="str">
        <f aca="false">PROPER(Q631)</f>
        <v>Cash</v>
      </c>
      <c r="S631" s="0" t="s">
        <v>50</v>
      </c>
      <c r="T631" s="0" t="n">
        <v>1</v>
      </c>
      <c r="U631" s="5" t="n">
        <f aca="false">IF(ISBLANK(T631),AVERAGE(T631:T1630),T631)</f>
        <v>1</v>
      </c>
      <c r="V631" s="0" t="n">
        <v>3.4</v>
      </c>
      <c r="W631" s="0" t="s">
        <v>111</v>
      </c>
      <c r="X631" s="0" t="str">
        <f aca="false">IF(ISBLANK(W631),"No remarks",W631)</f>
        <v>Changed all filters</v>
      </c>
      <c r="Y631" s="0" t="s">
        <v>52</v>
      </c>
      <c r="Z631" s="0" t="s">
        <v>159</v>
      </c>
      <c r="AA631" s="0" t="str">
        <f aca="false">PROPER(IF(ISBLANK(Z631),"Location Unavailable",Z631))</f>
        <v>Main Bay</v>
      </c>
      <c r="AB631" s="0" t="s">
        <v>126</v>
      </c>
      <c r="AC631" s="6" t="str">
        <f aca="false">PROPER(AB631)</f>
        <v>Whatsapp</v>
      </c>
      <c r="AD631" s="6" t="n">
        <v>15</v>
      </c>
      <c r="AE631" s="5" t="n">
        <f aca="false">IF(ISBLANK(AD631),AVERAGEIF(L631:L1630,L631,AD631:AD1630),AD631)</f>
        <v>15</v>
      </c>
      <c r="AF631" s="0" t="s">
        <v>76</v>
      </c>
      <c r="AG631" s="0" t="str">
        <f aca="false">PROPER(AF631)</f>
        <v>Orderd</v>
      </c>
      <c r="AH631" s="0" t="s">
        <v>148</v>
      </c>
      <c r="AI631" s="0" t="s">
        <v>98</v>
      </c>
      <c r="AJ631" s="0" t="str">
        <f aca="false">PROPER(AI631)</f>
        <v>Emergency</v>
      </c>
      <c r="AK631" s="0" t="s">
        <v>58</v>
      </c>
      <c r="AL631" s="0" t="str">
        <f aca="false">PROPER(AK631)</f>
        <v>Fleet Owner</v>
      </c>
      <c r="AN631" s="0" t="str">
        <f aca="false">IF(ISBLANK(AM631),"Unknown",AM631)</f>
        <v>Unknown</v>
      </c>
      <c r="AO631" s="0" t="s">
        <v>79</v>
      </c>
      <c r="AP631" s="0" t="str">
        <f aca="false">IF(ISBLANK(AO631),"Unknown",AO631)</f>
        <v>Specialist</v>
      </c>
      <c r="AQ631" s="0" t="n">
        <v>25000</v>
      </c>
      <c r="AR631" s="5" t="n">
        <f aca="false">IF(ISBLANK(AQ631),AVERAGEIF(M631:M1630,M631,AQ631:AQ1630),AQ631)</f>
        <v>25000</v>
      </c>
      <c r="AS631" s="0" t="n">
        <v>30000</v>
      </c>
      <c r="AT631" s="5" t="n">
        <f aca="false">IF(ISBLANK(AS631),AVERAGE(AS631:AS1630),AS631)</f>
        <v>30000</v>
      </c>
      <c r="AU631" s="0" t="s">
        <v>61</v>
      </c>
      <c r="AV631" s="0" t="str">
        <f aca="false">PROPER(IF(ISBLANK(AU631),"No",AU631))</f>
        <v>No</v>
      </c>
      <c r="AX631" s="5" t="n">
        <f aca="false">IF(ISBLANK(AW631),0,AW631)</f>
        <v>0</v>
      </c>
      <c r="AY631" s="0" t="s">
        <v>60</v>
      </c>
      <c r="AZ631" s="0" t="str">
        <f aca="false">UPPER(IF(ISBLANK(AY631),"NONE",AY631))</f>
        <v>NONE</v>
      </c>
      <c r="BB631" s="7" t="str">
        <f aca="false">IF(ISBLANK(BA631),"No Follow Up Needed",BA631)</f>
        <v>No Follow Up Needed</v>
      </c>
      <c r="BC631" s="0" t="s">
        <v>61</v>
      </c>
      <c r="BD631" s="0" t="str">
        <f aca="false">PROPER(IF(ISBLANK(BC631),"Unknown",BC631))</f>
        <v>No</v>
      </c>
      <c r="BF631" s="0" t="str">
        <f aca="false">IF(ISBLANK(BE631),"No comments",BE631)</f>
        <v>No comments</v>
      </c>
      <c r="BG631" s="0" t="s">
        <v>117</v>
      </c>
      <c r="BH631" s="0" t="str">
        <f aca="false">IF(ISBLANK(BG631),"No comments",BG631)</f>
        <v>Prefers morning</v>
      </c>
      <c r="BI631" s="0" t="s">
        <v>50</v>
      </c>
      <c r="BJ631" s="0" t="str">
        <f aca="false">IF(ISBLANK(BI631),"Not Mentioned",BI631)</f>
        <v>No</v>
      </c>
      <c r="BK631" s="0" t="s">
        <v>82</v>
      </c>
      <c r="BL631" s="0" t="str">
        <f aca="false">PROPER(IF(ISBLANK(BK631),"Not Mentioned",BK631))</f>
        <v>Yes</v>
      </c>
      <c r="BN631" s="0" t="str">
        <f aca="false">PROPER(IF(ISBLANK(BM631),"Not Mentioned",BM631))</f>
        <v>Not Mentioned</v>
      </c>
      <c r="BO631" s="0" t="s">
        <v>2321</v>
      </c>
      <c r="BP631" s="0" t="str">
        <f aca="false">IF(ISBLANK(BO631),"One-Time Plan",BO631)</f>
        <v>One-Time Plan</v>
      </c>
      <c r="BQ631" s="0" t="s">
        <v>50</v>
      </c>
      <c r="BR631" s="0" t="str">
        <f aca="false">PROPER(IF(ISBLANK(BQ631),"No",BQ631))</f>
        <v>No</v>
      </c>
    </row>
    <row r="632" customFormat="false" ht="15" hidden="false" customHeight="false" outlineLevel="0" collapsed="false">
      <c r="A632" s="0" t="s">
        <v>1550</v>
      </c>
      <c r="B632" s="2" t="n">
        <v>45709</v>
      </c>
      <c r="C632" s="2" t="str">
        <f aca="false">TEXT(B632,"dd/mm/yyyy")</f>
        <v>21/02/2025</v>
      </c>
      <c r="D632" s="0" t="s">
        <v>105</v>
      </c>
      <c r="E632" s="0" t="n">
        <v>8060267710</v>
      </c>
      <c r="F632" s="0" t="s">
        <v>67</v>
      </c>
      <c r="G632" s="0" t="s">
        <v>2316</v>
      </c>
      <c r="H632" s="0" t="s">
        <v>1551</v>
      </c>
      <c r="I632" s="0" t="s">
        <v>69</v>
      </c>
      <c r="J632" s="0" t="s">
        <v>87</v>
      </c>
      <c r="K632" s="3" t="str">
        <f aca="false" t="array" ref="K632:K632">IFERROR(IF(J632&lt;&gt;"",J632,INDEX(J632:J1631,MATCH(1,(F632:F1631=F632)*(I632:I1631=I632)*(L632:L1631=L632)*(J632:J1631&lt;&gt;""),0))),"Not Found")</f>
        <v>Oil Change</v>
      </c>
      <c r="L632" s="3" t="s">
        <v>47</v>
      </c>
      <c r="M632" s="0" t="str">
        <f aca="false">PROPER(L632)</f>
        <v>None</v>
      </c>
      <c r="N632" s="3" t="s">
        <v>48</v>
      </c>
      <c r="O632" s="0" t="str">
        <f aca="false" t="array" ref="O632:O632">IF(N632&lt;&gt;"",N632,_xlfn.xlookup(1,(L632:L1631=L632)*(N632:N1631&lt;&gt;""),N632:N1631,"Not Found"))</f>
        <v>Uche</v>
      </c>
      <c r="P632" s="4" t="n">
        <v>25793</v>
      </c>
      <c r="Q632" s="0" t="s">
        <v>110</v>
      </c>
      <c r="R632" s="0" t="str">
        <f aca="false">PROPER(Q632)</f>
        <v>Cash</v>
      </c>
      <c r="S632" s="0" t="s">
        <v>50</v>
      </c>
      <c r="T632" s="0" t="n">
        <v>1</v>
      </c>
      <c r="U632" s="5" t="n">
        <f aca="false">IF(ISBLANK(T632),AVERAGE(T632:T1631),T632)</f>
        <v>1</v>
      </c>
      <c r="V632" s="0" t="n">
        <v>4.1</v>
      </c>
      <c r="W632" s="0" t="s">
        <v>125</v>
      </c>
      <c r="X632" s="0" t="str">
        <f aca="false">IF(ISBLANK(W632),"No remarks",W632)</f>
        <v>Customer waited</v>
      </c>
      <c r="Y632" s="0" t="s">
        <v>73</v>
      </c>
      <c r="AA632" s="0" t="str">
        <f aca="false">PROPER(IF(ISBLANK(Z632),"Location Unavailable",Z632))</f>
        <v>Location Unavailable</v>
      </c>
      <c r="AB632" s="0" t="s">
        <v>54</v>
      </c>
      <c r="AC632" s="6" t="str">
        <f aca="false">PROPER(AB632)</f>
        <v>Mechanic Referral</v>
      </c>
      <c r="AE632" s="5" t="n">
        <f aca="false">IF(ISBLANK(AD632),AVERAGEIF(L632:L1631,L632,AD632:AD1631),AD632)</f>
        <v>36.7021276595745</v>
      </c>
      <c r="AF632" s="0" t="s">
        <v>112</v>
      </c>
      <c r="AG632" s="0" t="str">
        <f aca="false">PROPER(AF632)</f>
        <v>Unavailable</v>
      </c>
      <c r="AH632" s="0" t="s">
        <v>77</v>
      </c>
      <c r="AI632" s="0" t="s">
        <v>113</v>
      </c>
      <c r="AJ632" s="0" t="str">
        <f aca="false">PROPER(AI632)</f>
        <v>Normal</v>
      </c>
      <c r="AK632" s="0" t="s">
        <v>196</v>
      </c>
      <c r="AL632" s="0" t="str">
        <f aca="false">PROPER(AK632)</f>
        <v>First Time</v>
      </c>
      <c r="AM632" s="0" t="s">
        <v>177</v>
      </c>
      <c r="AN632" s="0" t="str">
        <f aca="false">IF(ISBLANK(AM632),"Unknown",AM632)</f>
        <v>Private</v>
      </c>
      <c r="AO632" s="0" t="s">
        <v>143</v>
      </c>
      <c r="AP632" s="0" t="str">
        <f aca="false">IF(ISBLANK(AO632),"Unknown",AO632)</f>
        <v>Senior</v>
      </c>
      <c r="AQ632" s="0" t="n">
        <v>30000</v>
      </c>
      <c r="AR632" s="5" t="n">
        <f aca="false">IF(ISBLANK(AQ632),AVERAGEIF(M632:M1631,M632,AQ632:AQ1631),AQ632)</f>
        <v>30000</v>
      </c>
      <c r="AS632" s="0" t="n">
        <v>30000</v>
      </c>
      <c r="AT632" s="5" t="n">
        <f aca="false">IF(ISBLANK(AS632),AVERAGE(AS632:AS1631),AS632)</f>
        <v>30000</v>
      </c>
      <c r="AV632" s="0" t="str">
        <f aca="false">PROPER(IF(ISBLANK(AU632),"No",AU632))</f>
        <v>No</v>
      </c>
      <c r="AW632" s="0" t="n">
        <v>5000</v>
      </c>
      <c r="AX632" s="5" t="n">
        <f aca="false">IF(ISBLANK(AW632),0,AW632)</f>
        <v>5000</v>
      </c>
      <c r="AY632" s="0" t="s">
        <v>60</v>
      </c>
      <c r="AZ632" s="0" t="str">
        <f aca="false">UPPER(IF(ISBLANK(AY632),"NONE",AY632))</f>
        <v>NONE</v>
      </c>
      <c r="BA632" s="7" t="n">
        <v>45902</v>
      </c>
      <c r="BB632" s="7" t="n">
        <f aca="false">IF(ISBLANK(BA632),"No Follow Up Needed",BA632)</f>
        <v>45902</v>
      </c>
      <c r="BD632" s="0" t="str">
        <f aca="false">PROPER(IF(ISBLANK(BC632),"Unknown",BC632))</f>
        <v>Unknown</v>
      </c>
      <c r="BF632" s="0" t="str">
        <f aca="false">IF(ISBLANK(BE632),"No comments",BE632)</f>
        <v>No comments</v>
      </c>
      <c r="BG632" s="0" t="s">
        <v>2320</v>
      </c>
      <c r="BH632" s="0" t="str">
        <f aca="false">IF(ISBLANK(BG632),"No comments",BG632)</f>
        <v>No complaints</v>
      </c>
      <c r="BI632" s="0" t="s">
        <v>50</v>
      </c>
      <c r="BJ632" s="0" t="str">
        <f aca="false">IF(ISBLANK(BI632),"Not Mentioned",BI632)</f>
        <v>No</v>
      </c>
      <c r="BK632" s="0" t="s">
        <v>61</v>
      </c>
      <c r="BL632" s="0" t="str">
        <f aca="false">PROPER(IF(ISBLANK(BK632),"Not Mentioned",BK632))</f>
        <v>No</v>
      </c>
      <c r="BM632" s="0" t="s">
        <v>50</v>
      </c>
      <c r="BN632" s="0" t="str">
        <f aca="false">PROPER(IF(ISBLANK(BM632),"Not Mentioned",BM632))</f>
        <v>No</v>
      </c>
      <c r="BO632" s="0" t="s">
        <v>64</v>
      </c>
      <c r="BP632" s="0" t="str">
        <f aca="false">IF(ISBLANK(BO632),"One-Time Plan",BO632)</f>
        <v>Gold Maintenance Plan</v>
      </c>
      <c r="BR632" s="0" t="str">
        <f aca="false">PROPER(IF(ISBLANK(BQ632),"No",BQ632))</f>
        <v>No</v>
      </c>
    </row>
    <row r="633" customFormat="false" ht="15" hidden="false" customHeight="false" outlineLevel="0" collapsed="false">
      <c r="A633" s="0" t="s">
        <v>1552</v>
      </c>
      <c r="B633" s="2" t="n">
        <v>45823</v>
      </c>
      <c r="C633" s="2" t="str">
        <f aca="false">TEXT(B633,"dd/mm/yyyy")</f>
        <v>15/06/2025</v>
      </c>
      <c r="D633" s="0" t="s">
        <v>121</v>
      </c>
      <c r="E633" s="0" t="n">
        <v>8076937935</v>
      </c>
      <c r="F633" s="0" t="s">
        <v>67</v>
      </c>
      <c r="G633" s="0" t="s">
        <v>2316</v>
      </c>
      <c r="H633" s="0" t="s">
        <v>1553</v>
      </c>
      <c r="I633" s="0" t="s">
        <v>69</v>
      </c>
      <c r="J633" s="0" t="s">
        <v>2317</v>
      </c>
      <c r="K633" s="3" t="str">
        <f aca="false" t="array" ref="K633:K633">IFERROR(IF(J633&lt;&gt;"",J633,INDEX(J633:J1632,MATCH(1,(F633:F1632=F633)*(I633:I1632=I633)*(L633:L1632=L633)*(J633:J1632&lt;&gt;""),0))),"Not Found")</f>
        <v>Suspension Noise</v>
      </c>
      <c r="L633" s="3" t="s">
        <v>189</v>
      </c>
      <c r="M633" s="0" t="str">
        <f aca="false">PROPER(L633)</f>
        <v>Battery</v>
      </c>
      <c r="N633" s="3" t="s">
        <v>109</v>
      </c>
      <c r="O633" s="0" t="str">
        <f aca="false" t="array" ref="O633:O633">IF(N633&lt;&gt;"",N633,_xlfn.xlookup(1,(L633:L1632=L633)*(N633:N1632&lt;&gt;""),N633:N1632,"Not Found"))</f>
        <v>Tijani</v>
      </c>
      <c r="P633" s="4" t="n">
        <v>83565</v>
      </c>
      <c r="Q633" s="0" t="s">
        <v>110</v>
      </c>
      <c r="R633" s="0" t="str">
        <f aca="false">PROPER(Q633)</f>
        <v>Cash</v>
      </c>
      <c r="S633" s="0" t="s">
        <v>63</v>
      </c>
      <c r="T633" s="0" t="n">
        <v>3</v>
      </c>
      <c r="U633" s="5" t="n">
        <f aca="false">IF(ISBLANK(T633),AVERAGE(T633:T1632),T633)</f>
        <v>3</v>
      </c>
      <c r="V633" s="0" t="n">
        <v>1.5</v>
      </c>
      <c r="W633" s="0" t="s">
        <v>51</v>
      </c>
      <c r="X633" s="0" t="str">
        <f aca="false">IF(ISBLANK(W633),"No remarks",W633)</f>
        <v>Recommended further checks</v>
      </c>
      <c r="Y633" s="0" t="s">
        <v>93</v>
      </c>
      <c r="Z633" s="0" t="s">
        <v>136</v>
      </c>
      <c r="AA633" s="0" t="str">
        <f aca="false">PROPER(IF(ISBLANK(Z633),"Location Unavailable",Z633))</f>
        <v>Vip Section</v>
      </c>
      <c r="AB633" s="0" t="s">
        <v>167</v>
      </c>
      <c r="AC633" s="6" t="str">
        <f aca="false">PROPER(AB633)</f>
        <v>Word Of Mouth</v>
      </c>
      <c r="AD633" s="6" t="n">
        <v>60</v>
      </c>
      <c r="AE633" s="5" t="n">
        <f aca="false">IF(ISBLANK(AD633),AVERAGEIF(L633:L1632,L633,AD633:AD1632),AD633)</f>
        <v>60</v>
      </c>
      <c r="AF633" s="0" t="s">
        <v>160</v>
      </c>
      <c r="AG633" s="0" t="str">
        <f aca="false">PROPER(AF633)</f>
        <v>Availaible</v>
      </c>
      <c r="AH633" s="0" t="s">
        <v>77</v>
      </c>
      <c r="AI633" s="0" t="s">
        <v>98</v>
      </c>
      <c r="AJ633" s="0" t="str">
        <f aca="false">PROPER(AI633)</f>
        <v>Emergency</v>
      </c>
      <c r="AK633" s="0" t="s">
        <v>114</v>
      </c>
      <c r="AL633" s="0" t="str">
        <f aca="false">PROPER(AK633)</f>
        <v>Returning</v>
      </c>
      <c r="AM633" s="0" t="s">
        <v>2326</v>
      </c>
      <c r="AN633" s="0" t="str">
        <f aca="false">IF(ISBLANK(AM633),"Unknown",AM633)</f>
        <v>Government Convoy</v>
      </c>
      <c r="AO633" s="0" t="s">
        <v>161</v>
      </c>
      <c r="AP633" s="0" t="str">
        <f aca="false">IF(ISBLANK(AO633),"Unknown",AO633)</f>
        <v>Apprentice</v>
      </c>
      <c r="AR633" s="5" t="n">
        <f aca="false">IF(ISBLANK(AQ633),AVERAGEIF(M633:M1632,M633,AQ633:AQ1632),AQ633)</f>
        <v>24736.8421052632</v>
      </c>
      <c r="AS633" s="0" t="n">
        <v>40000</v>
      </c>
      <c r="AT633" s="5" t="n">
        <f aca="false">IF(ISBLANK(AS633),AVERAGE(AS633:AS1632),AS633)</f>
        <v>40000</v>
      </c>
      <c r="AU633" s="0" t="s">
        <v>82</v>
      </c>
      <c r="AV633" s="0" t="str">
        <f aca="false">PROPER(IF(ISBLANK(AU633),"No",AU633))</f>
        <v>Yes</v>
      </c>
      <c r="AX633" s="5" t="n">
        <f aca="false">IF(ISBLANK(AW633),0,AW633)</f>
        <v>0</v>
      </c>
      <c r="AY633" s="0" t="s">
        <v>80</v>
      </c>
      <c r="AZ633" s="0" t="str">
        <f aca="false">UPPER(IF(ISBLANK(AY633),"NONE",AY633))</f>
        <v>PROMO10</v>
      </c>
      <c r="BA633" s="7" t="n">
        <v>45667</v>
      </c>
      <c r="BB633" s="7" t="n">
        <f aca="false">IF(ISBLANK(BA633),"No Follow Up Needed",BA633)</f>
        <v>45667</v>
      </c>
      <c r="BC633" s="0" t="s">
        <v>63</v>
      </c>
      <c r="BD633" s="0" t="str">
        <f aca="false">PROPER(IF(ISBLANK(BC633),"Unknown",BC633))</f>
        <v>Yes</v>
      </c>
      <c r="BE633" s="0" t="s">
        <v>171</v>
      </c>
      <c r="BF633" s="0" t="str">
        <f aca="false">IF(ISBLANK(BE633),"No comments",BE633)</f>
        <v>Shock absorber weakening</v>
      </c>
      <c r="BG633" s="0" t="s">
        <v>172</v>
      </c>
      <c r="BH633" s="0" t="str">
        <f aca="false">IF(ISBLANK(BG633),"No comments",BG633)</f>
        <v>Always late</v>
      </c>
      <c r="BI633" s="0" t="s">
        <v>63</v>
      </c>
      <c r="BJ633" s="0" t="str">
        <f aca="false">IF(ISBLANK(BI633),"Not Mentioned",BI633)</f>
        <v>Yes</v>
      </c>
      <c r="BK633" s="0" t="s">
        <v>82</v>
      </c>
      <c r="BL633" s="0" t="str">
        <f aca="false">PROPER(IF(ISBLANK(BK633),"Not Mentioned",BK633))</f>
        <v>Yes</v>
      </c>
      <c r="BN633" s="0" t="str">
        <f aca="false">PROPER(IF(ISBLANK(BM633),"Not Mentioned",BM633))</f>
        <v>Not Mentioned</v>
      </c>
      <c r="BP633" s="0" t="str">
        <f aca="false">IF(ISBLANK(BO633),"One-Time Plan",BO633)</f>
        <v>One-Time Plan</v>
      </c>
      <c r="BQ633" s="0" t="s">
        <v>63</v>
      </c>
      <c r="BR633" s="0" t="str">
        <f aca="false">PROPER(IF(ISBLANK(BQ633),"No",BQ633))</f>
        <v>Yes</v>
      </c>
    </row>
    <row r="634" customFormat="false" ht="15" hidden="false" customHeight="false" outlineLevel="0" collapsed="false">
      <c r="A634" s="0" t="s">
        <v>1554</v>
      </c>
      <c r="B634" s="2" t="n">
        <v>45713</v>
      </c>
      <c r="C634" s="2" t="str">
        <f aca="false">TEXT(B634,"dd/mm/yyyy")</f>
        <v>25/02/2025</v>
      </c>
      <c r="D634" s="0" t="s">
        <v>66</v>
      </c>
      <c r="E634" s="0" t="n">
        <v>8049810955</v>
      </c>
      <c r="F634" s="0" t="s">
        <v>139</v>
      </c>
      <c r="G634" s="0" t="s">
        <v>2323</v>
      </c>
      <c r="H634" s="0" t="s">
        <v>1555</v>
      </c>
      <c r="I634" s="0" t="s">
        <v>134</v>
      </c>
      <c r="J634" s="0" t="s">
        <v>2317</v>
      </c>
      <c r="K634" s="3" t="str">
        <f aca="false" t="array" ref="K634:K634">IFERROR(IF(J634&lt;&gt;"",J634,INDEX(J634:J1633,MATCH(1,(F634:F1633=F634)*(I634:I1633=I634)*(L634:L1633=L634)*(J634:J1633&lt;&gt;""),0))),"Not Found")</f>
        <v>Suspension Noise</v>
      </c>
      <c r="L634" s="3" t="s">
        <v>154</v>
      </c>
      <c r="M634" s="0" t="str">
        <f aca="false">PROPER(L634)</f>
        <v>Air Filter</v>
      </c>
      <c r="N634" s="3" t="s">
        <v>48</v>
      </c>
      <c r="O634" s="0" t="str">
        <f aca="false" t="array" ref="O634:O634">IF(N634&lt;&gt;"",N634,_xlfn.xlookup(1,(L634:L1633=L634)*(N634:N1633&lt;&gt;""),N634:N1633,"Not Found"))</f>
        <v>Uche</v>
      </c>
      <c r="P634" s="4" t="n">
        <v>10716</v>
      </c>
      <c r="Q634" s="0" t="s">
        <v>49</v>
      </c>
      <c r="R634" s="0" t="str">
        <f aca="false">PROPER(Q634)</f>
        <v>Transfer</v>
      </c>
      <c r="S634" s="0" t="s">
        <v>50</v>
      </c>
      <c r="T634" s="0" t="n">
        <v>5</v>
      </c>
      <c r="U634" s="5" t="n">
        <f aca="false">IF(ISBLANK(T634),AVERAGE(T634:T1633),T634)</f>
        <v>5</v>
      </c>
      <c r="V634" s="0" t="n">
        <v>4.2</v>
      </c>
      <c r="X634" s="0" t="str">
        <f aca="false">IF(ISBLANK(W634),"No remarks",W634)</f>
        <v>No remarks</v>
      </c>
      <c r="Y634" s="0" t="s">
        <v>93</v>
      </c>
      <c r="AA634" s="0" t="str">
        <f aca="false">PROPER(IF(ISBLANK(Z634),"Location Unavailable",Z634))</f>
        <v>Location Unavailable</v>
      </c>
      <c r="AB634" s="0" t="s">
        <v>95</v>
      </c>
      <c r="AC634" s="6" t="str">
        <f aca="false">PROPER(AB634)</f>
        <v>Road Sign</v>
      </c>
      <c r="AD634" s="6" t="n">
        <v>45</v>
      </c>
      <c r="AE634" s="5" t="n">
        <f aca="false">IF(ISBLANK(AD634),AVERAGEIF(L634:L1633,L634,AD634:AD1633),AD634)</f>
        <v>45</v>
      </c>
      <c r="AF634" s="0" t="s">
        <v>55</v>
      </c>
      <c r="AG634" s="0" t="str">
        <f aca="false">PROPER(AF634)</f>
        <v>Available</v>
      </c>
      <c r="AH634" s="0" t="s">
        <v>155</v>
      </c>
      <c r="AI634" s="0" t="s">
        <v>98</v>
      </c>
      <c r="AJ634" s="0" t="str">
        <f aca="false">PROPER(AI634)</f>
        <v>Emergency</v>
      </c>
      <c r="AK634" s="0" t="s">
        <v>196</v>
      </c>
      <c r="AL634" s="0" t="str">
        <f aca="false">PROPER(AK634)</f>
        <v>First Time</v>
      </c>
      <c r="AN634" s="0" t="str">
        <f aca="false">IF(ISBLANK(AM634),"Unknown",AM634)</f>
        <v>Unknown</v>
      </c>
      <c r="AO634" s="0" t="s">
        <v>149</v>
      </c>
      <c r="AP634" s="0" t="str">
        <f aca="false">IF(ISBLANK(AO634),"Unknown",AO634)</f>
        <v>Senior </v>
      </c>
      <c r="AR634" s="5" t="n">
        <f aca="false">IF(ISBLANK(AQ634),AVERAGEIF(M634:M1633,M634,AQ634:AQ1633),AQ634)</f>
        <v>25543.4782608696</v>
      </c>
      <c r="AS634" s="0" t="n">
        <v>40000</v>
      </c>
      <c r="AT634" s="5" t="n">
        <f aca="false">IF(ISBLANK(AS634),AVERAGE(AS634:AS1633),AS634)</f>
        <v>40000</v>
      </c>
      <c r="AU634" s="0" t="s">
        <v>82</v>
      </c>
      <c r="AV634" s="0" t="str">
        <f aca="false">PROPER(IF(ISBLANK(AU634),"No",AU634))</f>
        <v>Yes</v>
      </c>
      <c r="AW634" s="0" t="n">
        <v>5000</v>
      </c>
      <c r="AX634" s="5" t="n">
        <f aca="false">IF(ISBLANK(AW634),0,AW634)</f>
        <v>5000</v>
      </c>
      <c r="AY634" s="0" t="s">
        <v>60</v>
      </c>
      <c r="AZ634" s="0" t="str">
        <f aca="false">UPPER(IF(ISBLANK(AY634),"NONE",AY634))</f>
        <v>NONE</v>
      </c>
      <c r="BB634" s="7" t="str">
        <f aca="false">IF(ISBLANK(BA634),"No Follow Up Needed",BA634)</f>
        <v>No Follow Up Needed</v>
      </c>
      <c r="BC634" s="0" t="s">
        <v>63</v>
      </c>
      <c r="BD634" s="0" t="str">
        <f aca="false">PROPER(IF(ISBLANK(BC634),"Unknown",BC634))</f>
        <v>Yes</v>
      </c>
      <c r="BF634" s="0" t="str">
        <f aca="false">IF(ISBLANK(BE634),"No comments",BE634)</f>
        <v>No comments</v>
      </c>
      <c r="BG634" s="0" t="s">
        <v>172</v>
      </c>
      <c r="BH634" s="0" t="str">
        <f aca="false">IF(ISBLANK(BG634),"No comments",BG634)</f>
        <v>Always late</v>
      </c>
      <c r="BI634" s="0" t="s">
        <v>50</v>
      </c>
      <c r="BJ634" s="0" t="str">
        <f aca="false">IF(ISBLANK(BI634),"Not Mentioned",BI634)</f>
        <v>No</v>
      </c>
      <c r="BK634" s="0" t="s">
        <v>63</v>
      </c>
      <c r="BL634" s="0" t="str">
        <f aca="false">PROPER(IF(ISBLANK(BK634),"Not Mentioned",BK634))</f>
        <v>Yes</v>
      </c>
      <c r="BM634" s="0" t="s">
        <v>63</v>
      </c>
      <c r="BN634" s="0" t="str">
        <f aca="false">PROPER(IF(ISBLANK(BM634),"Not Mentioned",BM634))</f>
        <v>Yes</v>
      </c>
      <c r="BO634" s="0" t="s">
        <v>64</v>
      </c>
      <c r="BP634" s="0" t="str">
        <f aca="false">IF(ISBLANK(BO634),"One-Time Plan",BO634)</f>
        <v>Gold Maintenance Plan</v>
      </c>
      <c r="BQ634" s="0" t="s">
        <v>190</v>
      </c>
      <c r="BR634" s="0" t="str">
        <f aca="false">PROPER(IF(ISBLANK(BQ634),"No",BQ634))</f>
        <v>Yes</v>
      </c>
    </row>
    <row r="635" customFormat="false" ht="15" hidden="false" customHeight="false" outlineLevel="0" collapsed="false">
      <c r="A635" s="0" t="s">
        <v>1556</v>
      </c>
      <c r="B635" s="2" t="n">
        <v>45771</v>
      </c>
      <c r="C635" s="2" t="str">
        <f aca="false">TEXT(B635,"dd/mm/yyyy")</f>
        <v>24/04/2025</v>
      </c>
      <c r="D635" s="0" t="s">
        <v>163</v>
      </c>
      <c r="E635" s="0" t="n">
        <v>8037113563</v>
      </c>
      <c r="F635" s="0" t="s">
        <v>122</v>
      </c>
      <c r="G635" s="0" t="s">
        <v>2316</v>
      </c>
      <c r="H635" s="0" t="s">
        <v>1557</v>
      </c>
      <c r="I635" s="0" t="s">
        <v>107</v>
      </c>
      <c r="J635" s="0" t="s">
        <v>2325</v>
      </c>
      <c r="K635" s="3" t="str">
        <f aca="false" t="array" ref="K635:K635">IFERROR(IF(J635&lt;&gt;"",J635,INDEX(J635:J1634,MATCH(1,(F635:F1634=F635)*(I635:I1634=I635)*(L635:L1634=L635)*(J635:J1634&lt;&gt;""),0))),"Not Found")</f>
        <v>Engine Knocking</v>
      </c>
      <c r="L635" s="3" t="s">
        <v>89</v>
      </c>
      <c r="M635" s="0" t="str">
        <f aca="false">PROPER(L635)</f>
        <v>Shock Absorbers</v>
      </c>
      <c r="O635" s="0" t="e">
        <f aca="false" t="array" ref="O635:O635">IF(N635&lt;&gt;"",N635,_xlfn.xlookup(1,(L635:L1634=L635)*(N635:N1634&lt;&gt;""),N635:N1634,"Not Found"))</f>
        <v>#NAME?</v>
      </c>
      <c r="P635" s="4" t="n">
        <v>53746</v>
      </c>
      <c r="Q635" s="0" t="s">
        <v>49</v>
      </c>
      <c r="R635" s="0" t="str">
        <f aca="false">PROPER(Q635)</f>
        <v>Transfer</v>
      </c>
      <c r="S635" s="0" t="s">
        <v>50</v>
      </c>
      <c r="T635" s="0" t="n">
        <v>5</v>
      </c>
      <c r="U635" s="5" t="n">
        <f aca="false">IF(ISBLANK(T635),AVERAGE(T635:T1634),T635)</f>
        <v>5</v>
      </c>
      <c r="V635" s="0" t="n">
        <v>1.7</v>
      </c>
      <c r="X635" s="0" t="str">
        <f aca="false">IF(ISBLANK(W635),"No remarks",W635)</f>
        <v>No remarks</v>
      </c>
      <c r="Y635" s="0" t="s">
        <v>93</v>
      </c>
      <c r="Z635" s="0" t="s">
        <v>159</v>
      </c>
      <c r="AA635" s="0" t="str">
        <f aca="false">PROPER(IF(ISBLANK(Z635),"Location Unavailable",Z635))</f>
        <v>Main Bay</v>
      </c>
      <c r="AB635" s="0" t="s">
        <v>95</v>
      </c>
      <c r="AC635" s="6" t="str">
        <f aca="false">PROPER(AB635)</f>
        <v>Road Sign</v>
      </c>
      <c r="AD635" s="6" t="n">
        <v>45</v>
      </c>
      <c r="AE635" s="5" t="n">
        <f aca="false">IF(ISBLANK(AD635),AVERAGEIF(L635:L1634,L635,AD635:AD1634),AD635)</f>
        <v>45</v>
      </c>
      <c r="AF635" s="0" t="s">
        <v>55</v>
      </c>
      <c r="AG635" s="0" t="str">
        <f aca="false">PROPER(AF635)</f>
        <v>Available</v>
      </c>
      <c r="AH635" s="0" t="s">
        <v>155</v>
      </c>
      <c r="AI635" s="0" t="s">
        <v>78</v>
      </c>
      <c r="AJ635" s="0" t="str">
        <f aca="false">PROPER(AI635)</f>
        <v>Booking</v>
      </c>
      <c r="AK635" s="0" t="s">
        <v>196</v>
      </c>
      <c r="AL635" s="0" t="str">
        <f aca="false">PROPER(AK635)</f>
        <v>First Time</v>
      </c>
      <c r="AM635" s="0" t="s">
        <v>2324</v>
      </c>
      <c r="AN635" s="0" t="str">
        <f aca="false">IF(ISBLANK(AM635),"Unknown",AM635)</f>
        <v>Logistics Convoy</v>
      </c>
      <c r="AO635" s="0" t="s">
        <v>79</v>
      </c>
      <c r="AP635" s="0" t="str">
        <f aca="false">IF(ISBLANK(AO635),"Unknown",AO635)</f>
        <v>Specialist</v>
      </c>
      <c r="AQ635" s="0" t="n">
        <v>15000</v>
      </c>
      <c r="AR635" s="5" t="n">
        <f aca="false">IF(ISBLANK(AQ635),AVERAGEIF(M635:M1634,M635,AQ635:AQ1634),AQ635)</f>
        <v>15000</v>
      </c>
      <c r="AS635" s="0" t="n">
        <v>20000</v>
      </c>
      <c r="AT635" s="5" t="n">
        <f aca="false">IF(ISBLANK(AS635),AVERAGE(AS635:AS1634),AS635)</f>
        <v>20000</v>
      </c>
      <c r="AU635" s="0" t="s">
        <v>50</v>
      </c>
      <c r="AV635" s="0" t="str">
        <f aca="false">PROPER(IF(ISBLANK(AU635),"No",AU635))</f>
        <v>No</v>
      </c>
      <c r="AW635" s="0" t="n">
        <v>5000</v>
      </c>
      <c r="AX635" s="5" t="n">
        <f aca="false">IF(ISBLANK(AW635),0,AW635)</f>
        <v>5000</v>
      </c>
      <c r="AY635" s="0" t="s">
        <v>80</v>
      </c>
      <c r="AZ635" s="0" t="str">
        <f aca="false">UPPER(IF(ISBLANK(AY635),"NONE",AY635))</f>
        <v>PROMO10</v>
      </c>
      <c r="BA635" s="7" t="n">
        <v>46016</v>
      </c>
      <c r="BB635" s="7" t="n">
        <f aca="false">IF(ISBLANK(BA635),"No Follow Up Needed",BA635)</f>
        <v>46016</v>
      </c>
      <c r="BC635" s="0" t="s">
        <v>63</v>
      </c>
      <c r="BD635" s="0" t="str">
        <f aca="false">PROPER(IF(ISBLANK(BC635),"Unknown",BC635))</f>
        <v>Yes</v>
      </c>
      <c r="BF635" s="0" t="str">
        <f aca="false">IF(ISBLANK(BE635),"No comments",BE635)</f>
        <v>No comments</v>
      </c>
      <c r="BH635" s="0" t="str">
        <f aca="false">IF(ISBLANK(BG635),"No comments",BG635)</f>
        <v>No comments</v>
      </c>
      <c r="BI635" s="0" t="s">
        <v>50</v>
      </c>
      <c r="BJ635" s="0" t="str">
        <f aca="false">IF(ISBLANK(BI635),"Not Mentioned",BI635)</f>
        <v>No</v>
      </c>
      <c r="BK635" s="0" t="s">
        <v>63</v>
      </c>
      <c r="BL635" s="0" t="str">
        <f aca="false">PROPER(IF(ISBLANK(BK635),"Not Mentioned",BK635))</f>
        <v>Yes</v>
      </c>
      <c r="BN635" s="0" t="str">
        <f aca="false">PROPER(IF(ISBLANK(BM635),"Not Mentioned",BM635))</f>
        <v>Not Mentioned</v>
      </c>
      <c r="BO635" s="0" t="s">
        <v>2321</v>
      </c>
      <c r="BP635" s="0" t="str">
        <f aca="false">IF(ISBLANK(BO635),"One-Time Plan",BO635)</f>
        <v>One-Time Plan</v>
      </c>
      <c r="BR635" s="0" t="str">
        <f aca="false">PROPER(IF(ISBLANK(BQ635),"No",BQ635))</f>
        <v>No</v>
      </c>
    </row>
    <row r="636" customFormat="false" ht="15" hidden="false" customHeight="false" outlineLevel="0" collapsed="false">
      <c r="A636" s="0" t="s">
        <v>1558</v>
      </c>
      <c r="B636" s="2" t="n">
        <v>45724</v>
      </c>
      <c r="C636" s="2" t="str">
        <f aca="false">TEXT(B636,"dd/mm/yyyy")</f>
        <v>08/03/2025</v>
      </c>
      <c r="D636" s="0" t="s">
        <v>42</v>
      </c>
      <c r="E636" s="0" t="n">
        <v>8030356881</v>
      </c>
      <c r="F636" s="0" t="s">
        <v>122</v>
      </c>
      <c r="G636" s="0" t="s">
        <v>2316</v>
      </c>
      <c r="H636" s="0" t="s">
        <v>1268</v>
      </c>
      <c r="I636" s="0" t="s">
        <v>87</v>
      </c>
      <c r="J636" s="0" t="s">
        <v>2317</v>
      </c>
      <c r="K636" s="3" t="str">
        <f aca="false" t="array" ref="K636:K636">IFERROR(IF(J636&lt;&gt;"",J636,INDEX(J636:J1635,MATCH(1,(F636:F1635=F636)*(I636:I1635=I636)*(L636:L1635=L636)*(J636:J1635&lt;&gt;""),0))),"Not Found")</f>
        <v>Suspension Noise</v>
      </c>
      <c r="L636" s="3" t="s">
        <v>89</v>
      </c>
      <c r="M636" s="0" t="str">
        <f aca="false">PROPER(L636)</f>
        <v>Shock Absorbers</v>
      </c>
      <c r="N636" s="3" t="s">
        <v>48</v>
      </c>
      <c r="O636" s="0" t="str">
        <f aca="false" t="array" ref="O636:O636">IF(N636&lt;&gt;"",N636,_xlfn.xlookup(1,(L636:L1635=L636)*(N636:N1635&lt;&gt;""),N636:N1635,"Not Found"))</f>
        <v>Uche</v>
      </c>
      <c r="P636" s="4" t="n">
        <v>36078</v>
      </c>
      <c r="Q636" s="0" t="s">
        <v>49</v>
      </c>
      <c r="R636" s="0" t="str">
        <f aca="false">PROPER(Q636)</f>
        <v>Transfer</v>
      </c>
      <c r="S636" s="0" t="s">
        <v>63</v>
      </c>
      <c r="T636" s="0" t="n">
        <v>2</v>
      </c>
      <c r="U636" s="5" t="n">
        <f aca="false">IF(ISBLANK(T636),AVERAGE(T636:T1635),T636)</f>
        <v>2</v>
      </c>
      <c r="V636" s="0" t="n">
        <v>4.8</v>
      </c>
      <c r="W636" s="0" t="s">
        <v>125</v>
      </c>
      <c r="X636" s="0" t="str">
        <f aca="false">IF(ISBLANK(W636),"No remarks",W636)</f>
        <v>Customer waited</v>
      </c>
      <c r="Y636" s="0" t="s">
        <v>52</v>
      </c>
      <c r="Z636" s="0" t="s">
        <v>94</v>
      </c>
      <c r="AA636" s="0" t="str">
        <f aca="false">PROPER(IF(ISBLANK(Z636),"Location Unavailable",Z636))</f>
        <v>Vip Section</v>
      </c>
      <c r="AB636" s="0" t="s">
        <v>54</v>
      </c>
      <c r="AC636" s="6" t="str">
        <f aca="false">PROPER(AB636)</f>
        <v>Mechanic Referral</v>
      </c>
      <c r="AD636" s="6" t="n">
        <v>45</v>
      </c>
      <c r="AE636" s="5" t="n">
        <f aca="false">IF(ISBLANK(AD636),AVERAGEIF(L636:L1635,L636,AD636:AD1635),AD636)</f>
        <v>45</v>
      </c>
      <c r="AF636" s="0" t="s">
        <v>112</v>
      </c>
      <c r="AG636" s="0" t="str">
        <f aca="false">PROPER(AF636)</f>
        <v>Unavailable</v>
      </c>
      <c r="AH636" s="0" t="s">
        <v>77</v>
      </c>
      <c r="AI636" s="0" t="s">
        <v>98</v>
      </c>
      <c r="AJ636" s="0" t="str">
        <f aca="false">PROPER(AI636)</f>
        <v>Emergency</v>
      </c>
      <c r="AK636" s="0" t="s">
        <v>99</v>
      </c>
      <c r="AL636" s="0" t="str">
        <f aca="false">PROPER(AK636)</f>
        <v>Uber Driver</v>
      </c>
      <c r="AM636" s="0" t="s">
        <v>59</v>
      </c>
      <c r="AN636" s="0" t="str">
        <f aca="false">IF(ISBLANK(AM636),"Unknown",AM636)</f>
        <v>Bolt Driver</v>
      </c>
      <c r="AO636" s="0" t="s">
        <v>149</v>
      </c>
      <c r="AP636" s="0" t="str">
        <f aca="false">IF(ISBLANK(AO636),"Unknown",AO636)</f>
        <v>Senior </v>
      </c>
      <c r="AQ636" s="0" t="n">
        <v>30000</v>
      </c>
      <c r="AR636" s="5" t="n">
        <f aca="false">IF(ISBLANK(AQ636),AVERAGEIF(M636:M1635,M636,AQ636:AQ1635),AQ636)</f>
        <v>30000</v>
      </c>
      <c r="AS636" s="0" t="n">
        <v>20000</v>
      </c>
      <c r="AT636" s="5" t="n">
        <f aca="false">IF(ISBLANK(AS636),AVERAGE(AS636:AS1635),AS636)</f>
        <v>20000</v>
      </c>
      <c r="AV636" s="0" t="str">
        <f aca="false">PROPER(IF(ISBLANK(AU636),"No",AU636))</f>
        <v>No</v>
      </c>
      <c r="AW636" s="0" t="n">
        <v>0</v>
      </c>
      <c r="AX636" s="5" t="n">
        <f aca="false">IF(ISBLANK(AW636),0,AW636)</f>
        <v>0</v>
      </c>
      <c r="AY636" s="0" t="s">
        <v>80</v>
      </c>
      <c r="AZ636" s="0" t="str">
        <f aca="false">UPPER(IF(ISBLANK(AY636),"NONE",AY636))</f>
        <v>PROMO10</v>
      </c>
      <c r="BB636" s="7" t="str">
        <f aca="false">IF(ISBLANK(BA636),"No Follow Up Needed",BA636)</f>
        <v>No Follow Up Needed</v>
      </c>
      <c r="BC636" s="0" t="s">
        <v>63</v>
      </c>
      <c r="BD636" s="0" t="str">
        <f aca="false">PROPER(IF(ISBLANK(BC636),"Unknown",BC636))</f>
        <v>Yes</v>
      </c>
      <c r="BF636" s="0" t="str">
        <f aca="false">IF(ISBLANK(BE636),"No comments",BE636)</f>
        <v>No comments</v>
      </c>
      <c r="BH636" s="0" t="str">
        <f aca="false">IF(ISBLANK(BG636),"No comments",BG636)</f>
        <v>No comments</v>
      </c>
      <c r="BI636" s="0" t="s">
        <v>63</v>
      </c>
      <c r="BJ636" s="0" t="str">
        <f aca="false">IF(ISBLANK(BI636),"Not Mentioned",BI636)</f>
        <v>Yes</v>
      </c>
      <c r="BK636" s="0" t="s">
        <v>63</v>
      </c>
      <c r="BL636" s="0" t="str">
        <f aca="false">PROPER(IF(ISBLANK(BK636),"Not Mentioned",BK636))</f>
        <v>Yes</v>
      </c>
      <c r="BM636" s="0" t="s">
        <v>63</v>
      </c>
      <c r="BN636" s="0" t="str">
        <f aca="false">PROPER(IF(ISBLANK(BM636),"Not Mentioned",BM636))</f>
        <v>Yes</v>
      </c>
      <c r="BO636" s="0" t="s">
        <v>64</v>
      </c>
      <c r="BP636" s="0" t="str">
        <f aca="false">IF(ISBLANK(BO636),"One-Time Plan",BO636)</f>
        <v>Gold Maintenance Plan</v>
      </c>
      <c r="BQ636" s="0" t="s">
        <v>198</v>
      </c>
      <c r="BR636" s="0" t="str">
        <f aca="false">PROPER(IF(ISBLANK(BQ636),"No",BQ636))</f>
        <v>Followed Up</v>
      </c>
    </row>
    <row r="637" customFormat="false" ht="15" hidden="false" customHeight="false" outlineLevel="0" collapsed="false">
      <c r="A637" s="0" t="s">
        <v>1559</v>
      </c>
      <c r="B637" s="2" t="s">
        <v>299</v>
      </c>
      <c r="C637" s="2" t="str">
        <f aca="false">TEXT(B637,"dd/mm/yyyy")</f>
        <v>27/05/2025</v>
      </c>
      <c r="D637" s="0" t="s">
        <v>121</v>
      </c>
      <c r="E637" s="0" t="n">
        <v>8060432035</v>
      </c>
      <c r="F637" s="0" t="s">
        <v>85</v>
      </c>
      <c r="G637" s="0" t="s">
        <v>2319</v>
      </c>
      <c r="H637" s="0" t="s">
        <v>1560</v>
      </c>
      <c r="I637" s="0" t="s">
        <v>69</v>
      </c>
      <c r="J637" s="0" t="s">
        <v>2322</v>
      </c>
      <c r="K637" s="3" t="str">
        <f aca="false" t="array" ref="K637:K637">IFERROR(IF(J637&lt;&gt;"",J637,INDEX(J637:J1636,MATCH(1,(F637:F1636=F637)*(I637:I1636=I637)*(L637:L1636=L637)*(J637:J1636&lt;&gt;""),0))),"Not Found")</f>
        <v>Brake Failure</v>
      </c>
      <c r="L637" s="3" t="s">
        <v>108</v>
      </c>
      <c r="M637" s="0" t="str">
        <f aca="false">PROPER(L637)</f>
        <v>Timing Belt</v>
      </c>
      <c r="O637" s="0" t="e">
        <f aca="false" t="array" ref="O637:O637">IF(N637&lt;&gt;"",N637,_xlfn.xlookup(1,(L637:L1636=L637)*(N637:N1636&lt;&gt;""),N637:N1636,"Not Found"))</f>
        <v>#NAME?</v>
      </c>
      <c r="P637" s="4" t="n">
        <v>97955</v>
      </c>
      <c r="Q637" s="0" t="s">
        <v>110</v>
      </c>
      <c r="R637" s="0" t="str">
        <f aca="false">PROPER(Q637)</f>
        <v>Cash</v>
      </c>
      <c r="S637" s="0" t="s">
        <v>63</v>
      </c>
      <c r="U637" s="5" t="n">
        <f aca="false">IF(ISBLANK(T637),AVERAGE(T637:T1636),T637)</f>
        <v>3.12292358803987</v>
      </c>
      <c r="V637" s="0" t="n">
        <v>3.7</v>
      </c>
      <c r="W637" s="0" t="s">
        <v>111</v>
      </c>
      <c r="X637" s="0" t="str">
        <f aca="false">IF(ISBLANK(W637),"No remarks",W637)</f>
        <v>Changed all filters</v>
      </c>
      <c r="Y637" s="0" t="s">
        <v>52</v>
      </c>
      <c r="Z637" s="0" t="s">
        <v>53</v>
      </c>
      <c r="AA637" s="0" t="str">
        <f aca="false">PROPER(IF(ISBLANK(Z637),"Location Unavailable",Z637))</f>
        <v>Main Bay</v>
      </c>
      <c r="AB637" s="0" t="s">
        <v>147</v>
      </c>
      <c r="AC637" s="6" t="str">
        <f aca="false">PROPER(AB637)</f>
        <v>Instagram</v>
      </c>
      <c r="AD637" s="6" t="n">
        <v>30</v>
      </c>
      <c r="AE637" s="5" t="n">
        <f aca="false">IF(ISBLANK(AD637),AVERAGEIF(L637:L1636,L637,AD637:AD1636),AD637)</f>
        <v>30</v>
      </c>
      <c r="AF637" s="0" t="s">
        <v>160</v>
      </c>
      <c r="AG637" s="0" t="str">
        <f aca="false">PROPER(AF637)</f>
        <v>Availaible</v>
      </c>
      <c r="AH637" s="0" t="s">
        <v>56</v>
      </c>
      <c r="AI637" s="0" t="s">
        <v>113</v>
      </c>
      <c r="AJ637" s="0" t="str">
        <f aca="false">PROPER(AI637)</f>
        <v>Normal</v>
      </c>
      <c r="AK637" s="0" t="s">
        <v>99</v>
      </c>
      <c r="AL637" s="0" t="str">
        <f aca="false">PROPER(AK637)</f>
        <v>Uber Driver</v>
      </c>
      <c r="AM637" s="0" t="s">
        <v>59</v>
      </c>
      <c r="AN637" s="0" t="str">
        <f aca="false">IF(ISBLANK(AM637),"Unknown",AM637)</f>
        <v>Bolt Driver</v>
      </c>
      <c r="AO637" s="0" t="s">
        <v>149</v>
      </c>
      <c r="AP637" s="0" t="str">
        <f aca="false">IF(ISBLANK(AO637),"Unknown",AO637)</f>
        <v>Senior </v>
      </c>
      <c r="AR637" s="5" t="n">
        <f aca="false">IF(ISBLANK(AQ637),AVERAGEIF(M637:M1636,M637,AQ637:AQ1636),AQ637)</f>
        <v>27181.8181818182</v>
      </c>
      <c r="AS637" s="0" t="n">
        <v>35000</v>
      </c>
      <c r="AT637" s="5" t="n">
        <f aca="false">IF(ISBLANK(AS637),AVERAGE(AS637:AS1636),AS637)</f>
        <v>35000</v>
      </c>
      <c r="AU637" s="0" t="s">
        <v>82</v>
      </c>
      <c r="AV637" s="0" t="str">
        <f aca="false">PROPER(IF(ISBLANK(AU637),"No",AU637))</f>
        <v>Yes</v>
      </c>
      <c r="AW637" s="0" t="n">
        <v>10000</v>
      </c>
      <c r="AX637" s="5" t="n">
        <f aca="false">IF(ISBLANK(AW637),0,AW637)</f>
        <v>10000</v>
      </c>
      <c r="AY637" s="0" t="s">
        <v>184</v>
      </c>
      <c r="AZ637" s="0" t="str">
        <f aca="false">UPPER(IF(ISBLANK(AY637),"NONE",AY637))</f>
        <v>N/A</v>
      </c>
      <c r="BA637" s="7" t="n">
        <v>45725</v>
      </c>
      <c r="BB637" s="7" t="n">
        <f aca="false">IF(ISBLANK(BA637),"No Follow Up Needed",BA637)</f>
        <v>45725</v>
      </c>
      <c r="BD637" s="0" t="str">
        <f aca="false">PROPER(IF(ISBLANK(BC637),"Unknown",BC637))</f>
        <v>Unknown</v>
      </c>
      <c r="BE637" s="0" t="s">
        <v>171</v>
      </c>
      <c r="BF637" s="0" t="str">
        <f aca="false">IF(ISBLANK(BE637),"No comments",BE637)</f>
        <v>Shock absorber weakening</v>
      </c>
      <c r="BG637" s="0" t="s">
        <v>117</v>
      </c>
      <c r="BH637" s="0" t="str">
        <f aca="false">IF(ISBLANK(BG637),"No comments",BG637)</f>
        <v>Prefers morning</v>
      </c>
      <c r="BI637" s="0" t="s">
        <v>50</v>
      </c>
      <c r="BJ637" s="0" t="str">
        <f aca="false">IF(ISBLANK(BI637),"Not Mentioned",BI637)</f>
        <v>No</v>
      </c>
      <c r="BK637" s="0" t="s">
        <v>82</v>
      </c>
      <c r="BL637" s="0" t="str">
        <f aca="false">PROPER(IF(ISBLANK(BK637),"Not Mentioned",BK637))</f>
        <v>Yes</v>
      </c>
      <c r="BN637" s="0" t="str">
        <f aca="false">PROPER(IF(ISBLANK(BM637),"Not Mentioned",BM637))</f>
        <v>Not Mentioned</v>
      </c>
      <c r="BO637" s="0" t="s">
        <v>2321</v>
      </c>
      <c r="BP637" s="0" t="str">
        <f aca="false">IF(ISBLANK(BO637),"One-Time Plan",BO637)</f>
        <v>One-Time Plan</v>
      </c>
      <c r="BQ637" s="0" t="s">
        <v>50</v>
      </c>
      <c r="BR637" s="0" t="str">
        <f aca="false">PROPER(IF(ISBLANK(BQ637),"No",BQ637))</f>
        <v>No</v>
      </c>
    </row>
    <row r="638" customFormat="false" ht="15" hidden="false" customHeight="false" outlineLevel="0" collapsed="false">
      <c r="A638" s="0" t="s">
        <v>1561</v>
      </c>
      <c r="B638" s="2" t="n">
        <v>45696</v>
      </c>
      <c r="C638" s="2" t="str">
        <f aca="false">TEXT(B638,"dd/mm/yyyy")</f>
        <v>08/02/2025</v>
      </c>
      <c r="D638" s="0" t="s">
        <v>66</v>
      </c>
      <c r="E638" s="0" t="n">
        <v>8037432134</v>
      </c>
      <c r="F638" s="0" t="s">
        <v>85</v>
      </c>
      <c r="G638" s="0" t="s">
        <v>2319</v>
      </c>
      <c r="H638" s="0" t="s">
        <v>1562</v>
      </c>
      <c r="I638" s="0" t="s">
        <v>107</v>
      </c>
      <c r="K638" s="3" t="str">
        <f aca="false" t="array" ref="K638:K638">IFERROR(IF(J638&lt;&gt;"",J638,INDEX(J638:J1637,MATCH(1,(F638:F1637=F638)*(I638:I1637=I638)*(L638:L1637=L638)*(J638:J1637&lt;&gt;""),0))),"Not Found")</f>
        <v>Not Found</v>
      </c>
      <c r="L638" s="3" t="s">
        <v>89</v>
      </c>
      <c r="M638" s="0" t="str">
        <f aca="false">PROPER(L638)</f>
        <v>Shock Absorbers</v>
      </c>
      <c r="O638" s="0" t="e">
        <f aca="false" t="array" ref="O638:O638">IF(N638&lt;&gt;"",N638,_xlfn.xlookup(1,(L638:L1637=L638)*(N638:N1637&lt;&gt;""),N638:N1637,"Not Found"))</f>
        <v>#NAME?</v>
      </c>
      <c r="P638" s="4" t="n">
        <v>115336</v>
      </c>
      <c r="Q638" s="0" t="s">
        <v>110</v>
      </c>
      <c r="R638" s="0" t="str">
        <f aca="false">PROPER(Q638)</f>
        <v>Cash</v>
      </c>
      <c r="S638" s="0" t="s">
        <v>50</v>
      </c>
      <c r="T638" s="0" t="n">
        <v>2</v>
      </c>
      <c r="U638" s="5" t="n">
        <f aca="false">IF(ISBLANK(T638),AVERAGE(T638:T1637),T638)</f>
        <v>2</v>
      </c>
      <c r="V638" s="0" t="n">
        <v>3.3</v>
      </c>
      <c r="W638" s="0" t="s">
        <v>125</v>
      </c>
      <c r="X638" s="0" t="str">
        <f aca="false">IF(ISBLANK(W638),"No remarks",W638)</f>
        <v>Customer waited</v>
      </c>
      <c r="Y638" s="0" t="s">
        <v>73</v>
      </c>
      <c r="Z638" s="0" t="s">
        <v>159</v>
      </c>
      <c r="AA638" s="0" t="str">
        <f aca="false">PROPER(IF(ISBLANK(Z638),"Location Unavailable",Z638))</f>
        <v>Main Bay</v>
      </c>
      <c r="AB638" s="0" t="s">
        <v>147</v>
      </c>
      <c r="AC638" s="6" t="str">
        <f aca="false">PROPER(AB638)</f>
        <v>Instagram</v>
      </c>
      <c r="AD638" s="6" t="n">
        <v>45</v>
      </c>
      <c r="AE638" s="5" t="n">
        <f aca="false">IF(ISBLANK(AD638),AVERAGEIF(L638:L1637,L638,AD638:AD1637),AD638)</f>
        <v>45</v>
      </c>
      <c r="AF638" s="0" t="s">
        <v>112</v>
      </c>
      <c r="AG638" s="0" t="str">
        <f aca="false">PROPER(AF638)</f>
        <v>Unavailable</v>
      </c>
      <c r="AH638" s="0" t="s">
        <v>56</v>
      </c>
      <c r="AI638" s="0" t="s">
        <v>98</v>
      </c>
      <c r="AJ638" s="0" t="str">
        <f aca="false">PROPER(AI638)</f>
        <v>Emergency</v>
      </c>
      <c r="AK638" s="0" t="s">
        <v>196</v>
      </c>
      <c r="AL638" s="0" t="str">
        <f aca="false">PROPER(AK638)</f>
        <v>First Time</v>
      </c>
      <c r="AM638" s="0" t="s">
        <v>177</v>
      </c>
      <c r="AN638" s="0" t="str">
        <f aca="false">IF(ISBLANK(AM638),"Unknown",AM638)</f>
        <v>Private</v>
      </c>
      <c r="AO638" s="0" t="s">
        <v>161</v>
      </c>
      <c r="AP638" s="0" t="str">
        <f aca="false">IF(ISBLANK(AO638),"Unknown",AO638)</f>
        <v>Apprentice</v>
      </c>
      <c r="AQ638" s="0" t="n">
        <v>20000</v>
      </c>
      <c r="AR638" s="5" t="n">
        <f aca="false">IF(ISBLANK(AQ638),AVERAGEIF(M638:M1637,M638,AQ638:AQ1637),AQ638)</f>
        <v>20000</v>
      </c>
      <c r="AS638" s="0" t="n">
        <v>35000</v>
      </c>
      <c r="AT638" s="5" t="n">
        <f aca="false">IF(ISBLANK(AS638),AVERAGE(AS638:AS1637),AS638)</f>
        <v>35000</v>
      </c>
      <c r="AU638" s="0" t="s">
        <v>61</v>
      </c>
      <c r="AV638" s="0" t="str">
        <f aca="false">PROPER(IF(ISBLANK(AU638),"No",AU638))</f>
        <v>No</v>
      </c>
      <c r="AW638" s="0" t="n">
        <v>5000</v>
      </c>
      <c r="AX638" s="5" t="n">
        <f aca="false">IF(ISBLANK(AW638),0,AW638)</f>
        <v>5000</v>
      </c>
      <c r="AY638" s="0" t="s">
        <v>60</v>
      </c>
      <c r="AZ638" s="0" t="str">
        <f aca="false">UPPER(IF(ISBLANK(AY638),"NONE",AY638))</f>
        <v>NONE</v>
      </c>
      <c r="BA638" s="7" t="s">
        <v>1563</v>
      </c>
      <c r="BB638" s="7" t="str">
        <f aca="false">IF(ISBLANK(BA638),"No Follow Up Needed",BA638)</f>
        <v>16/07/2025</v>
      </c>
      <c r="BC638" s="0" t="s">
        <v>63</v>
      </c>
      <c r="BD638" s="0" t="str">
        <f aca="false">PROPER(IF(ISBLANK(BC638),"Unknown",BC638))</f>
        <v>Yes</v>
      </c>
      <c r="BE638" s="0" t="s">
        <v>116</v>
      </c>
      <c r="BF638" s="0" t="str">
        <f aca="false">IF(ISBLANK(BE638),"No comments",BE638)</f>
        <v>Needs tire alignment</v>
      </c>
      <c r="BG638" s="0" t="s">
        <v>172</v>
      </c>
      <c r="BH638" s="0" t="str">
        <f aca="false">IF(ISBLANK(BG638),"No comments",BG638)</f>
        <v>Always late</v>
      </c>
      <c r="BJ638" s="0" t="str">
        <f aca="false">IF(ISBLANK(BI638),"Not Mentioned",BI638)</f>
        <v>Not Mentioned</v>
      </c>
      <c r="BK638" s="0" t="s">
        <v>82</v>
      </c>
      <c r="BL638" s="0" t="str">
        <f aca="false">PROPER(IF(ISBLANK(BK638),"Not Mentioned",BK638))</f>
        <v>Yes</v>
      </c>
      <c r="BM638" s="0" t="s">
        <v>50</v>
      </c>
      <c r="BN638" s="0" t="str">
        <f aca="false">PROPER(IF(ISBLANK(BM638),"Not Mentioned",BM638))</f>
        <v>No</v>
      </c>
      <c r="BO638" s="0" t="s">
        <v>64</v>
      </c>
      <c r="BP638" s="0" t="str">
        <f aca="false">IF(ISBLANK(BO638),"One-Time Plan",BO638)</f>
        <v>Gold Maintenance Plan</v>
      </c>
      <c r="BQ638" s="0" t="s">
        <v>50</v>
      </c>
      <c r="BR638" s="0" t="str">
        <f aca="false">PROPER(IF(ISBLANK(BQ638),"No",BQ638))</f>
        <v>No</v>
      </c>
    </row>
    <row r="639" customFormat="false" ht="15" hidden="false" customHeight="false" outlineLevel="0" collapsed="false">
      <c r="A639" s="0" t="s">
        <v>1564</v>
      </c>
      <c r="B639" s="2" t="n">
        <v>45667</v>
      </c>
      <c r="C639" s="2" t="str">
        <f aca="false">TEXT(B639,"dd/mm/yyyy")</f>
        <v>10/01/2025</v>
      </c>
      <c r="D639" s="0" t="s">
        <v>42</v>
      </c>
      <c r="E639" s="0" t="n">
        <v>8096173002</v>
      </c>
      <c r="F639" s="0" t="s">
        <v>43</v>
      </c>
      <c r="G639" s="0" t="s">
        <v>2315</v>
      </c>
      <c r="H639" s="0" t="s">
        <v>1565</v>
      </c>
      <c r="I639" s="0" t="s">
        <v>134</v>
      </c>
      <c r="J639" s="0" t="s">
        <v>2325</v>
      </c>
      <c r="K639" s="3" t="str">
        <f aca="false" t="array" ref="K639:K639">IFERROR(IF(J639&lt;&gt;"",J639,INDEX(J639:J1638,MATCH(1,(F639:F1638=F639)*(I639:I1638=I639)*(L639:L1638=L639)*(J639:J1638&lt;&gt;""),0))),"Not Found")</f>
        <v>Engine Knocking</v>
      </c>
      <c r="L639" s="3" t="s">
        <v>154</v>
      </c>
      <c r="M639" s="0" t="str">
        <f aca="false">PROPER(L639)</f>
        <v>Air Filter</v>
      </c>
      <c r="O639" s="0" t="e">
        <f aca="false" t="array" ref="O639:O639">IF(N639&lt;&gt;"",N639,_xlfn.xlookup(1,(L639:L1638=L639)*(N639:N1638&lt;&gt;""),N639:N1638,"Not Found"))</f>
        <v>#NAME?</v>
      </c>
      <c r="P639" s="4" t="n">
        <v>111843</v>
      </c>
      <c r="Q639" s="0" t="s">
        <v>110</v>
      </c>
      <c r="R639" s="0" t="str">
        <f aca="false">PROPER(Q639)</f>
        <v>Cash</v>
      </c>
      <c r="S639" s="0" t="s">
        <v>50</v>
      </c>
      <c r="T639" s="0" t="n">
        <v>1</v>
      </c>
      <c r="U639" s="5" t="n">
        <f aca="false">IF(ISBLANK(T639),AVERAGE(T639:T1638),T639)</f>
        <v>1</v>
      </c>
      <c r="V639" s="0" t="n">
        <v>3.9</v>
      </c>
      <c r="W639" s="0" t="s">
        <v>125</v>
      </c>
      <c r="X639" s="0" t="str">
        <f aca="false">IF(ISBLANK(W639),"No remarks",W639)</f>
        <v>Customer waited</v>
      </c>
      <c r="Y639" s="0" t="s">
        <v>93</v>
      </c>
      <c r="Z639" s="0" t="s">
        <v>136</v>
      </c>
      <c r="AA639" s="0" t="str">
        <f aca="false">PROPER(IF(ISBLANK(Z639),"Location Unavailable",Z639))</f>
        <v>Vip Section</v>
      </c>
      <c r="AB639" s="0" t="s">
        <v>75</v>
      </c>
      <c r="AC639" s="6" t="str">
        <f aca="false">PROPER(AB639)</f>
        <v>Mechanik Referal</v>
      </c>
      <c r="AD639" s="6" t="n">
        <v>30</v>
      </c>
      <c r="AE639" s="5" t="n">
        <f aca="false">IF(ISBLANK(AD639),AVERAGEIF(L639:L1638,L639,AD639:AD1638),AD639)</f>
        <v>30</v>
      </c>
      <c r="AF639" s="0" t="s">
        <v>76</v>
      </c>
      <c r="AG639" s="0" t="str">
        <f aca="false">PROPER(AF639)</f>
        <v>Orderd</v>
      </c>
      <c r="AH639" s="0" t="s">
        <v>77</v>
      </c>
      <c r="AI639" s="0" t="s">
        <v>98</v>
      </c>
      <c r="AJ639" s="0" t="str">
        <f aca="false">PROPER(AI639)</f>
        <v>Emergency</v>
      </c>
      <c r="AK639" s="0" t="s">
        <v>196</v>
      </c>
      <c r="AL639" s="0" t="str">
        <f aca="false">PROPER(AK639)</f>
        <v>First Time</v>
      </c>
      <c r="AM639" s="0" t="s">
        <v>2326</v>
      </c>
      <c r="AN639" s="0" t="str">
        <f aca="false">IF(ISBLANK(AM639),"Unknown",AM639)</f>
        <v>Government Convoy</v>
      </c>
      <c r="AO639" s="0" t="s">
        <v>149</v>
      </c>
      <c r="AP639" s="0" t="str">
        <f aca="false">IF(ISBLANK(AO639),"Unknown",AO639)</f>
        <v>Senior </v>
      </c>
      <c r="AQ639" s="0" t="n">
        <v>30000</v>
      </c>
      <c r="AR639" s="5" t="n">
        <f aca="false">IF(ISBLANK(AQ639),AVERAGEIF(M639:M1638,M639,AQ639:AQ1638),AQ639)</f>
        <v>30000</v>
      </c>
      <c r="AS639" s="0" t="n">
        <v>30000</v>
      </c>
      <c r="AT639" s="5" t="n">
        <f aca="false">IF(ISBLANK(AS639),AVERAGE(AS639:AS1638),AS639)</f>
        <v>30000</v>
      </c>
      <c r="AU639" s="0" t="s">
        <v>63</v>
      </c>
      <c r="AV639" s="0" t="str">
        <f aca="false">PROPER(IF(ISBLANK(AU639),"No",AU639))</f>
        <v>Yes</v>
      </c>
      <c r="AW639" s="0" t="n">
        <v>5000</v>
      </c>
      <c r="AX639" s="5" t="n">
        <f aca="false">IF(ISBLANK(AW639),0,AW639)</f>
        <v>5000</v>
      </c>
      <c r="AY639" s="0" t="s">
        <v>130</v>
      </c>
      <c r="AZ639" s="0" t="str">
        <f aca="false">UPPER(IF(ISBLANK(AY639),"NONE",AY639))</f>
        <v>LOYALTY10</v>
      </c>
      <c r="BA639" s="7" t="n">
        <v>45850</v>
      </c>
      <c r="BB639" s="7" t="n">
        <f aca="false">IF(ISBLANK(BA639),"No Follow Up Needed",BA639)</f>
        <v>45850</v>
      </c>
      <c r="BC639" s="0" t="s">
        <v>61</v>
      </c>
      <c r="BD639" s="0" t="str">
        <f aca="false">PROPER(IF(ISBLANK(BC639),"Unknown",BC639))</f>
        <v>No</v>
      </c>
      <c r="BF639" s="0" t="str">
        <f aca="false">IF(ISBLANK(BE639),"No comments",BE639)</f>
        <v>No comments</v>
      </c>
      <c r="BH639" s="0" t="str">
        <f aca="false">IF(ISBLANK(BG639),"No comments",BG639)</f>
        <v>No comments</v>
      </c>
      <c r="BI639" s="0" t="s">
        <v>50</v>
      </c>
      <c r="BJ639" s="0" t="str">
        <f aca="false">IF(ISBLANK(BI639),"Not Mentioned",BI639)</f>
        <v>No</v>
      </c>
      <c r="BL639" s="0" t="str">
        <f aca="false">PROPER(IF(ISBLANK(BK639),"Not Mentioned",BK639))</f>
        <v>Not Mentioned</v>
      </c>
      <c r="BN639" s="0" t="str">
        <f aca="false">PROPER(IF(ISBLANK(BM639),"Not Mentioned",BM639))</f>
        <v>Not Mentioned</v>
      </c>
      <c r="BO639" s="0" t="s">
        <v>2321</v>
      </c>
      <c r="BP639" s="0" t="str">
        <f aca="false">IF(ISBLANK(BO639),"One-Time Plan",BO639)</f>
        <v>One-Time Plan</v>
      </c>
      <c r="BQ639" s="0" t="s">
        <v>50</v>
      </c>
      <c r="BR639" s="0" t="str">
        <f aca="false">PROPER(IF(ISBLANK(BQ639),"No",BQ639))</f>
        <v>No</v>
      </c>
    </row>
    <row r="640" customFormat="false" ht="15" hidden="false" customHeight="false" outlineLevel="0" collapsed="false">
      <c r="A640" s="0" t="s">
        <v>1566</v>
      </c>
      <c r="B640" s="2" t="n">
        <v>45696</v>
      </c>
      <c r="C640" s="2" t="str">
        <f aca="false">TEXT(B640,"dd/mm/yyyy")</f>
        <v>08/02/2025</v>
      </c>
      <c r="D640" s="0" t="s">
        <v>105</v>
      </c>
      <c r="E640" s="0" t="n">
        <v>8015087753</v>
      </c>
      <c r="F640" s="0" t="s">
        <v>43</v>
      </c>
      <c r="G640" s="0" t="s">
        <v>2315</v>
      </c>
      <c r="H640" s="0" t="s">
        <v>1567</v>
      </c>
      <c r="I640" s="0" t="s">
        <v>107</v>
      </c>
      <c r="J640" s="0" t="s">
        <v>2325</v>
      </c>
      <c r="K640" s="3" t="str">
        <f aca="false" t="array" ref="K640:K640">IFERROR(IF(J640&lt;&gt;"",J640,INDEX(J640:J1639,MATCH(1,(F640:F1639=F640)*(I640:I1639=I640)*(L640:L1639=L640)*(J640:J1639&lt;&gt;""),0))),"Not Found")</f>
        <v>Engine Knocking</v>
      </c>
      <c r="L640" s="3" t="s">
        <v>189</v>
      </c>
      <c r="M640" s="0" t="str">
        <f aca="false">PROPER(L640)</f>
        <v>Battery</v>
      </c>
      <c r="N640" s="3" t="s">
        <v>71</v>
      </c>
      <c r="O640" s="0" t="str">
        <f aca="false" t="array" ref="O640:O640">IF(N640&lt;&gt;"",N640,_xlfn.xlookup(1,(L640:L1639=L640)*(N640:N1639&lt;&gt;""),N640:N1639,"Not Found"))</f>
        <v>Isaac Bobo</v>
      </c>
      <c r="P640" s="4" t="n">
        <v>36262</v>
      </c>
      <c r="Q640" s="0" t="s">
        <v>166</v>
      </c>
      <c r="R640" s="0" t="str">
        <f aca="false">PROPER(Q640)</f>
        <v>Transfer</v>
      </c>
      <c r="S640" s="0" t="s">
        <v>63</v>
      </c>
      <c r="U640" s="5" t="n">
        <f aca="false">IF(ISBLANK(T640),AVERAGE(T640:T1639),T640)</f>
        <v>3.13377926421405</v>
      </c>
      <c r="V640" s="0" t="n">
        <v>4.7</v>
      </c>
      <c r="X640" s="0" t="str">
        <f aca="false">IF(ISBLANK(W640),"No remarks",W640)</f>
        <v>No remarks</v>
      </c>
      <c r="Y640" s="0" t="s">
        <v>73</v>
      </c>
      <c r="Z640" s="0" t="s">
        <v>159</v>
      </c>
      <c r="AA640" s="0" t="str">
        <f aca="false">PROPER(IF(ISBLANK(Z640),"Location Unavailable",Z640))</f>
        <v>Main Bay</v>
      </c>
      <c r="AB640" s="0" t="s">
        <v>167</v>
      </c>
      <c r="AC640" s="6" t="str">
        <f aca="false">PROPER(AB640)</f>
        <v>Word Of Mouth</v>
      </c>
      <c r="AD640" s="6" t="n">
        <v>45</v>
      </c>
      <c r="AE640" s="5" t="n">
        <f aca="false">IF(ISBLANK(AD640),AVERAGEIF(L640:L1639,L640,AD640:AD1639),AD640)</f>
        <v>45</v>
      </c>
      <c r="AF640" s="0" t="s">
        <v>76</v>
      </c>
      <c r="AG640" s="0" t="str">
        <f aca="false">PROPER(AF640)</f>
        <v>Orderd</v>
      </c>
      <c r="AH640" s="0" t="s">
        <v>148</v>
      </c>
      <c r="AI640" s="0" t="s">
        <v>98</v>
      </c>
      <c r="AJ640" s="0" t="str">
        <f aca="false">PROPER(AI640)</f>
        <v>Emergency</v>
      </c>
      <c r="AK640" s="0" t="s">
        <v>196</v>
      </c>
      <c r="AL640" s="0" t="str">
        <f aca="false">PROPER(AK640)</f>
        <v>First Time</v>
      </c>
      <c r="AM640" s="0" t="s">
        <v>2326</v>
      </c>
      <c r="AN640" s="0" t="str">
        <f aca="false">IF(ISBLANK(AM640),"Unknown",AM640)</f>
        <v>Government Convoy</v>
      </c>
      <c r="AO640" s="0" t="s">
        <v>161</v>
      </c>
      <c r="AP640" s="0" t="str">
        <f aca="false">IF(ISBLANK(AO640),"Unknown",AO640)</f>
        <v>Apprentice</v>
      </c>
      <c r="AQ640" s="0" t="n">
        <v>15000</v>
      </c>
      <c r="AR640" s="5" t="n">
        <f aca="false">IF(ISBLANK(AQ640),AVERAGEIF(M640:M1639,M640,AQ640:AQ1639),AQ640)</f>
        <v>15000</v>
      </c>
      <c r="AS640" s="0" t="n">
        <v>35000</v>
      </c>
      <c r="AT640" s="5" t="n">
        <f aca="false">IF(ISBLANK(AS640),AVERAGE(AS640:AS1639),AS640)</f>
        <v>35000</v>
      </c>
      <c r="AU640" s="0" t="s">
        <v>82</v>
      </c>
      <c r="AV640" s="0" t="str">
        <f aca="false">PROPER(IF(ISBLANK(AU640),"No",AU640))</f>
        <v>Yes</v>
      </c>
      <c r="AW640" s="0" t="n">
        <v>5000</v>
      </c>
      <c r="AX640" s="5" t="n">
        <f aca="false">IF(ISBLANK(AW640),0,AW640)</f>
        <v>5000</v>
      </c>
      <c r="AY640" s="0" t="s">
        <v>184</v>
      </c>
      <c r="AZ640" s="0" t="str">
        <f aca="false">UPPER(IF(ISBLANK(AY640),"NONE",AY640))</f>
        <v>N/A</v>
      </c>
      <c r="BB640" s="7" t="str">
        <f aca="false">IF(ISBLANK(BA640),"No Follow Up Needed",BA640)</f>
        <v>No Follow Up Needed</v>
      </c>
      <c r="BC640" s="0" t="s">
        <v>61</v>
      </c>
      <c r="BD640" s="0" t="str">
        <f aca="false">PROPER(IF(ISBLANK(BC640),"Unknown",BC640))</f>
        <v>No</v>
      </c>
      <c r="BE640" s="0" t="s">
        <v>116</v>
      </c>
      <c r="BF640" s="0" t="str">
        <f aca="false">IF(ISBLANK(BE640),"No comments",BE640)</f>
        <v>Needs tire alignment</v>
      </c>
      <c r="BH640" s="0" t="str">
        <f aca="false">IF(ISBLANK(BG640),"No comments",BG640)</f>
        <v>No comments</v>
      </c>
      <c r="BJ640" s="0" t="str">
        <f aca="false">IF(ISBLANK(BI640),"Not Mentioned",BI640)</f>
        <v>Not Mentioned</v>
      </c>
      <c r="BK640" s="0" t="s">
        <v>82</v>
      </c>
      <c r="BL640" s="0" t="str">
        <f aca="false">PROPER(IF(ISBLANK(BK640),"Not Mentioned",BK640))</f>
        <v>Yes</v>
      </c>
      <c r="BN640" s="0" t="str">
        <f aca="false">PROPER(IF(ISBLANK(BM640),"Not Mentioned",BM640))</f>
        <v>Not Mentioned</v>
      </c>
      <c r="BO640" s="0" t="s">
        <v>64</v>
      </c>
      <c r="BP640" s="0" t="str">
        <f aca="false">IF(ISBLANK(BO640),"One-Time Plan",BO640)</f>
        <v>Gold Maintenance Plan</v>
      </c>
      <c r="BQ640" s="0" t="s">
        <v>50</v>
      </c>
      <c r="BR640" s="0" t="str">
        <f aca="false">PROPER(IF(ISBLANK(BQ640),"No",BQ640))</f>
        <v>No</v>
      </c>
    </row>
    <row r="641" customFormat="false" ht="15" hidden="false" customHeight="false" outlineLevel="0" collapsed="false">
      <c r="A641" s="0" t="s">
        <v>1568</v>
      </c>
      <c r="B641" s="2" t="n">
        <v>45742</v>
      </c>
      <c r="C641" s="2" t="str">
        <f aca="false">TEXT(B641,"dd/mm/yyyy")</f>
        <v>26/03/2025</v>
      </c>
      <c r="D641" s="0" t="s">
        <v>42</v>
      </c>
      <c r="E641" s="0" t="n">
        <v>8041952404</v>
      </c>
      <c r="F641" s="0" t="s">
        <v>139</v>
      </c>
      <c r="G641" s="0" t="s">
        <v>2323</v>
      </c>
      <c r="H641" s="0" t="s">
        <v>1569</v>
      </c>
      <c r="I641" s="0" t="s">
        <v>107</v>
      </c>
      <c r="J641" s="0" t="s">
        <v>2322</v>
      </c>
      <c r="K641" s="3" t="str">
        <f aca="false" t="array" ref="K641:K641">IFERROR(IF(J641&lt;&gt;"",J641,INDEX(J641:J1640,MATCH(1,(F641:F1640=F641)*(I641:I1640=I641)*(L641:L1640=L641)*(J641:J1640&lt;&gt;""),0))),"Not Found")</f>
        <v>Brake Failure</v>
      </c>
      <c r="L641" s="3" t="s">
        <v>189</v>
      </c>
      <c r="M641" s="0" t="str">
        <f aca="false">PROPER(L641)</f>
        <v>Battery</v>
      </c>
      <c r="N641" s="3" t="s">
        <v>71</v>
      </c>
      <c r="O641" s="0" t="str">
        <f aca="false" t="array" ref="O641:O641">IF(N641&lt;&gt;"",N641,_xlfn.xlookup(1,(L641:L1640=L641)*(N641:N1640&lt;&gt;""),N641:N1640,"Not Found"))</f>
        <v>Isaac Bobo</v>
      </c>
      <c r="P641" s="4" t="n">
        <v>89555</v>
      </c>
      <c r="Q641" s="0" t="s">
        <v>72</v>
      </c>
      <c r="R641" s="0" t="str">
        <f aca="false">PROPER(Q641)</f>
        <v>Pos</v>
      </c>
      <c r="S641" s="0" t="s">
        <v>50</v>
      </c>
      <c r="T641" s="0" t="n">
        <v>1</v>
      </c>
      <c r="U641" s="5" t="n">
        <f aca="false">IF(ISBLANK(T641),AVERAGE(T641:T1640),T641)</f>
        <v>1</v>
      </c>
      <c r="V641" s="0" t="n">
        <v>3.4</v>
      </c>
      <c r="W641" s="0" t="s">
        <v>92</v>
      </c>
      <c r="X641" s="0" t="str">
        <f aca="false">IF(ISBLANK(W641),"No remarks",W641)</f>
        <v>Urgent service</v>
      </c>
      <c r="Y641" s="0" t="s">
        <v>93</v>
      </c>
      <c r="Z641" s="0" t="s">
        <v>74</v>
      </c>
      <c r="AA641" s="0" t="str">
        <f aca="false">PROPER(IF(ISBLANK(Z641),"Location Unavailable",Z641))</f>
        <v>Under Tree</v>
      </c>
      <c r="AB641" s="0" t="s">
        <v>54</v>
      </c>
      <c r="AC641" s="6" t="str">
        <f aca="false">PROPER(AB641)</f>
        <v>Mechanic Referral</v>
      </c>
      <c r="AE641" s="5" t="n">
        <f aca="false">IF(ISBLANK(AD641),AVERAGEIF(L641:L1640,L641,AD641:AD1640),AD641)</f>
        <v>40.125</v>
      </c>
      <c r="AF641" s="0" t="s">
        <v>160</v>
      </c>
      <c r="AG641" s="0" t="str">
        <f aca="false">PROPER(AF641)</f>
        <v>Availaible</v>
      </c>
      <c r="AH641" s="0" t="s">
        <v>77</v>
      </c>
      <c r="AI641" s="0" t="s">
        <v>113</v>
      </c>
      <c r="AJ641" s="0" t="str">
        <f aca="false">PROPER(AI641)</f>
        <v>Normal</v>
      </c>
      <c r="AK641" s="0" t="s">
        <v>114</v>
      </c>
      <c r="AL641" s="0" t="str">
        <f aca="false">PROPER(AK641)</f>
        <v>Returning</v>
      </c>
      <c r="AN641" s="0" t="str">
        <f aca="false">IF(ISBLANK(AM641),"Unknown",AM641)</f>
        <v>Unknown</v>
      </c>
      <c r="AO641" s="0" t="s">
        <v>79</v>
      </c>
      <c r="AP641" s="0" t="str">
        <f aca="false">IF(ISBLANK(AO641),"Unknown",AO641)</f>
        <v>Specialist</v>
      </c>
      <c r="AQ641" s="0" t="n">
        <v>20000</v>
      </c>
      <c r="AR641" s="5" t="n">
        <f aca="false">IF(ISBLANK(AQ641),AVERAGEIF(M641:M1640,M641,AQ641:AQ1640),AQ641)</f>
        <v>20000</v>
      </c>
      <c r="AT641" s="5" t="n">
        <f aca="false">IF(ISBLANK(AS641),AVERAGE(AS641:AS1640),AS641)</f>
        <v>31523.178807947</v>
      </c>
      <c r="AU641" s="0" t="s">
        <v>61</v>
      </c>
      <c r="AV641" s="0" t="str">
        <f aca="false">PROPER(IF(ISBLANK(AU641),"No",AU641))</f>
        <v>No</v>
      </c>
      <c r="AW641" s="0" t="n">
        <v>5000</v>
      </c>
      <c r="AX641" s="5" t="n">
        <f aca="false">IF(ISBLANK(AW641),0,AW641)</f>
        <v>5000</v>
      </c>
      <c r="AY641" s="0" t="s">
        <v>184</v>
      </c>
      <c r="AZ641" s="0" t="str">
        <f aca="false">UPPER(IF(ISBLANK(AY641),"NONE",AY641))</f>
        <v>N/A</v>
      </c>
      <c r="BB641" s="7" t="str">
        <f aca="false">IF(ISBLANK(BA641),"No Follow Up Needed",BA641)</f>
        <v>No Follow Up Needed</v>
      </c>
      <c r="BC641" s="0" t="s">
        <v>82</v>
      </c>
      <c r="BD641" s="0" t="str">
        <f aca="false">PROPER(IF(ISBLANK(BC641),"Unknown",BC641))</f>
        <v>Yes</v>
      </c>
      <c r="BF641" s="0" t="str">
        <f aca="false">IF(ISBLANK(BE641),"No comments",BE641)</f>
        <v>No comments</v>
      </c>
      <c r="BG641" s="0" t="s">
        <v>172</v>
      </c>
      <c r="BH641" s="0" t="str">
        <f aca="false">IF(ISBLANK(BG641),"No comments",BG641)</f>
        <v>Always late</v>
      </c>
      <c r="BI641" s="0" t="s">
        <v>50</v>
      </c>
      <c r="BJ641" s="0" t="str">
        <f aca="false">IF(ISBLANK(BI641),"Not Mentioned",BI641)</f>
        <v>No</v>
      </c>
      <c r="BK641" s="0" t="s">
        <v>63</v>
      </c>
      <c r="BL641" s="0" t="str">
        <f aca="false">PROPER(IF(ISBLANK(BK641),"Not Mentioned",BK641))</f>
        <v>Yes</v>
      </c>
      <c r="BN641" s="0" t="str">
        <f aca="false">PROPER(IF(ISBLANK(BM641),"Not Mentioned",BM641))</f>
        <v>Not Mentioned</v>
      </c>
      <c r="BO641" s="0" t="s">
        <v>64</v>
      </c>
      <c r="BP641" s="0" t="str">
        <f aca="false">IF(ISBLANK(BO641),"One-Time Plan",BO641)</f>
        <v>Gold Maintenance Plan</v>
      </c>
      <c r="BQ641" s="0" t="s">
        <v>63</v>
      </c>
      <c r="BR641" s="0" t="str">
        <f aca="false">PROPER(IF(ISBLANK(BQ641),"No",BQ641))</f>
        <v>Yes</v>
      </c>
    </row>
    <row r="642" customFormat="false" ht="15" hidden="false" customHeight="false" outlineLevel="0" collapsed="false">
      <c r="A642" s="0" t="s">
        <v>1570</v>
      </c>
      <c r="B642" s="2" t="n">
        <v>45813</v>
      </c>
      <c r="C642" s="2" t="str">
        <f aca="false">TEXT(B642,"dd/mm/yyyy")</f>
        <v>05/06/2025</v>
      </c>
      <c r="D642" s="0" t="s">
        <v>163</v>
      </c>
      <c r="E642" s="0" t="n">
        <v>8090272292</v>
      </c>
      <c r="F642" s="0" t="s">
        <v>67</v>
      </c>
      <c r="G642" s="0" t="s">
        <v>2316</v>
      </c>
      <c r="H642" s="0" t="s">
        <v>1571</v>
      </c>
      <c r="I642" s="0" t="s">
        <v>107</v>
      </c>
      <c r="J642" s="0" t="s">
        <v>2322</v>
      </c>
      <c r="K642" s="3" t="str">
        <f aca="false" t="array" ref="K642:K642">IFERROR(IF(J642&lt;&gt;"",J642,INDEX(J642:J1641,MATCH(1,(F642:F1641=F642)*(I642:I1641=I642)*(L642:L1641=L642)*(J642:J1641&lt;&gt;""),0))),"Not Found")</f>
        <v>Brake Failure</v>
      </c>
      <c r="L642" s="3" t="s">
        <v>154</v>
      </c>
      <c r="M642" s="0" t="str">
        <f aca="false">PROPER(L642)</f>
        <v>Air Filter</v>
      </c>
      <c r="N642" s="3" t="s">
        <v>48</v>
      </c>
      <c r="O642" s="0" t="str">
        <f aca="false" t="array" ref="O642:O642">IF(N642&lt;&gt;"",N642,_xlfn.xlookup(1,(L642:L1641=L642)*(N642:N1641&lt;&gt;""),N642:N1641,"Not Found"))</f>
        <v>Uche</v>
      </c>
      <c r="P642" s="4" t="n">
        <v>62766</v>
      </c>
      <c r="Q642" s="0" t="s">
        <v>124</v>
      </c>
      <c r="R642" s="0" t="str">
        <f aca="false">PROPER(Q642)</f>
        <v>Cash</v>
      </c>
      <c r="S642" s="0" t="s">
        <v>50</v>
      </c>
      <c r="T642" s="0" t="n">
        <v>2</v>
      </c>
      <c r="U642" s="5" t="n">
        <f aca="false">IF(ISBLANK(T642),AVERAGE(T642:T1641),T642)</f>
        <v>2</v>
      </c>
      <c r="V642" s="0" t="n">
        <v>4.7</v>
      </c>
      <c r="X642" s="0" t="str">
        <f aca="false">IF(ISBLANK(W642),"No remarks",W642)</f>
        <v>No remarks</v>
      </c>
      <c r="Y642" s="0" t="s">
        <v>93</v>
      </c>
      <c r="Z642" s="0" t="s">
        <v>94</v>
      </c>
      <c r="AA642" s="0" t="str">
        <f aca="false">PROPER(IF(ISBLANK(Z642),"Location Unavailable",Z642))</f>
        <v>Vip Section</v>
      </c>
      <c r="AB642" s="0" t="s">
        <v>147</v>
      </c>
      <c r="AC642" s="6" t="str">
        <f aca="false">PROPER(AB642)</f>
        <v>Instagram</v>
      </c>
      <c r="AD642" s="6" t="n">
        <v>45</v>
      </c>
      <c r="AE642" s="5" t="n">
        <f aca="false">IF(ISBLANK(AD642),AVERAGEIF(L642:L1641,L642,AD642:AD1641),AD642)</f>
        <v>45</v>
      </c>
      <c r="AF642" s="0" t="s">
        <v>76</v>
      </c>
      <c r="AG642" s="0" t="str">
        <f aca="false">PROPER(AF642)</f>
        <v>Orderd</v>
      </c>
      <c r="AH642" s="0" t="s">
        <v>77</v>
      </c>
      <c r="AI642" s="0" t="s">
        <v>128</v>
      </c>
      <c r="AJ642" s="0" t="str">
        <f aca="false">PROPER(AI642)</f>
        <v>Normal</v>
      </c>
      <c r="AK642" s="0" t="s">
        <v>114</v>
      </c>
      <c r="AL642" s="0" t="str">
        <f aca="false">PROPER(AK642)</f>
        <v>Returning</v>
      </c>
      <c r="AN642" s="0" t="str">
        <f aca="false">IF(ISBLANK(AM642),"Unknown",AM642)</f>
        <v>Unknown</v>
      </c>
      <c r="AO642" s="0" t="s">
        <v>79</v>
      </c>
      <c r="AP642" s="0" t="str">
        <f aca="false">IF(ISBLANK(AO642),"Unknown",AO642)</f>
        <v>Specialist</v>
      </c>
      <c r="AQ642" s="0" t="n">
        <v>25000</v>
      </c>
      <c r="AR642" s="5" t="n">
        <f aca="false">IF(ISBLANK(AQ642),AVERAGEIF(M642:M1641,M642,AQ642:AQ1641),AQ642)</f>
        <v>25000</v>
      </c>
      <c r="AS642" s="0" t="n">
        <v>35000</v>
      </c>
      <c r="AT642" s="5" t="n">
        <f aca="false">IF(ISBLANK(AS642),AVERAGE(AS642:AS1641),AS642)</f>
        <v>35000</v>
      </c>
      <c r="AU642" s="0" t="s">
        <v>61</v>
      </c>
      <c r="AV642" s="0" t="str">
        <f aca="false">PROPER(IF(ISBLANK(AU642),"No",AU642))</f>
        <v>No</v>
      </c>
      <c r="AW642" s="0" t="n">
        <v>5000</v>
      </c>
      <c r="AX642" s="5" t="n">
        <f aca="false">IF(ISBLANK(AW642),0,AW642)</f>
        <v>5000</v>
      </c>
      <c r="AY642" s="0" t="s">
        <v>130</v>
      </c>
      <c r="AZ642" s="0" t="str">
        <f aca="false">UPPER(IF(ISBLANK(AY642),"NONE",AY642))</f>
        <v>LOYALTY10</v>
      </c>
      <c r="BB642" s="7" t="str">
        <f aca="false">IF(ISBLANK(BA642),"No Follow Up Needed",BA642)</f>
        <v>No Follow Up Needed</v>
      </c>
      <c r="BC642" s="0" t="s">
        <v>50</v>
      </c>
      <c r="BD642" s="0" t="str">
        <f aca="false">PROPER(IF(ISBLANK(BC642),"Unknown",BC642))</f>
        <v>No</v>
      </c>
      <c r="BF642" s="0" t="str">
        <f aca="false">IF(ISBLANK(BE642),"No comments",BE642)</f>
        <v>No comments</v>
      </c>
      <c r="BG642" s="0" t="s">
        <v>117</v>
      </c>
      <c r="BH642" s="0" t="str">
        <f aca="false">IF(ISBLANK(BG642),"No comments",BG642)</f>
        <v>Prefers morning</v>
      </c>
      <c r="BI642" s="0" t="s">
        <v>50</v>
      </c>
      <c r="BJ642" s="0" t="str">
        <f aca="false">IF(ISBLANK(BI642),"Not Mentioned",BI642)</f>
        <v>No</v>
      </c>
      <c r="BL642" s="0" t="str">
        <f aca="false">PROPER(IF(ISBLANK(BK642),"Not Mentioned",BK642))</f>
        <v>Not Mentioned</v>
      </c>
      <c r="BM642" s="0" t="s">
        <v>63</v>
      </c>
      <c r="BN642" s="0" t="str">
        <f aca="false">PROPER(IF(ISBLANK(BM642),"Not Mentioned",BM642))</f>
        <v>Yes</v>
      </c>
      <c r="BO642" s="0" t="s">
        <v>2318</v>
      </c>
      <c r="BP642" s="0" t="str">
        <f aca="false">IF(ISBLANK(BO642),"One-Time Plan",BO642)</f>
        <v>Gold</v>
      </c>
      <c r="BQ642" s="0" t="s">
        <v>198</v>
      </c>
      <c r="BR642" s="0" t="str">
        <f aca="false">PROPER(IF(ISBLANK(BQ642),"No",BQ642))</f>
        <v>Followed Up</v>
      </c>
    </row>
    <row r="643" customFormat="false" ht="15" hidden="false" customHeight="false" outlineLevel="0" collapsed="false">
      <c r="A643" s="0" t="s">
        <v>1572</v>
      </c>
      <c r="B643" s="2" t="n">
        <v>45761</v>
      </c>
      <c r="C643" s="2" t="str">
        <f aca="false">TEXT(B643,"dd/mm/yyyy")</f>
        <v>14/04/2025</v>
      </c>
      <c r="D643" s="0" t="s">
        <v>66</v>
      </c>
      <c r="E643" s="0" t="n">
        <v>8069555922</v>
      </c>
      <c r="F643" s="0" t="s">
        <v>85</v>
      </c>
      <c r="G643" s="0" t="s">
        <v>2319</v>
      </c>
      <c r="H643" s="0" t="s">
        <v>1573</v>
      </c>
      <c r="I643" s="0" t="s">
        <v>69</v>
      </c>
      <c r="J643" s="0" t="s">
        <v>2322</v>
      </c>
      <c r="K643" s="3" t="str">
        <f aca="false" t="array" ref="K643:K643">IFERROR(IF(J643&lt;&gt;"",J643,INDEX(J643:J1642,MATCH(1,(F643:F1642=F643)*(I643:I1642=I643)*(L643:L1642=L643)*(J643:J1642&lt;&gt;""),0))),"Not Found")</f>
        <v>Brake Failure</v>
      </c>
      <c r="L643" s="3" t="s">
        <v>89</v>
      </c>
      <c r="M643" s="0" t="str">
        <f aca="false">PROPER(L643)</f>
        <v>Shock Absorbers</v>
      </c>
      <c r="N643" s="3" t="s">
        <v>48</v>
      </c>
      <c r="O643" s="0" t="str">
        <f aca="false" t="array" ref="O643:O643">IF(N643&lt;&gt;"",N643,_xlfn.xlookup(1,(L643:L1642=L643)*(N643:N1642&lt;&gt;""),N643:N1642,"Not Found"))</f>
        <v>Uche</v>
      </c>
      <c r="P643" s="4" t="n">
        <v>30523</v>
      </c>
      <c r="Q643" s="0" t="s">
        <v>124</v>
      </c>
      <c r="R643" s="0" t="str">
        <f aca="false">PROPER(Q643)</f>
        <v>Cash</v>
      </c>
      <c r="S643" s="0" t="s">
        <v>50</v>
      </c>
      <c r="T643" s="0" t="n">
        <v>2</v>
      </c>
      <c r="U643" s="5" t="n">
        <f aca="false">IF(ISBLANK(T643),AVERAGE(T643:T1642),T643)</f>
        <v>2</v>
      </c>
      <c r="V643" s="0" t="n">
        <v>5.9</v>
      </c>
      <c r="X643" s="0" t="str">
        <f aca="false">IF(ISBLANK(W643),"No remarks",W643)</f>
        <v>No remarks</v>
      </c>
      <c r="Y643" s="0" t="s">
        <v>93</v>
      </c>
      <c r="Z643" s="0" t="s">
        <v>53</v>
      </c>
      <c r="AA643" s="0" t="str">
        <f aca="false">PROPER(IF(ISBLANK(Z643),"Location Unavailable",Z643))</f>
        <v>Main Bay</v>
      </c>
      <c r="AB643" s="0" t="s">
        <v>54</v>
      </c>
      <c r="AC643" s="6" t="str">
        <f aca="false">PROPER(AB643)</f>
        <v>Mechanic Referral</v>
      </c>
      <c r="AD643" s="6" t="n">
        <v>45</v>
      </c>
      <c r="AE643" s="5" t="n">
        <f aca="false">IF(ISBLANK(AD643),AVERAGEIF(L643:L1642,L643,AD643:AD1642),AD643)</f>
        <v>45</v>
      </c>
      <c r="AF643" s="0" t="s">
        <v>160</v>
      </c>
      <c r="AG643" s="0" t="str">
        <f aca="false">PROPER(AF643)</f>
        <v>Availaible</v>
      </c>
      <c r="AH643" s="0" t="s">
        <v>155</v>
      </c>
      <c r="AI643" s="0" t="s">
        <v>113</v>
      </c>
      <c r="AJ643" s="0" t="str">
        <f aca="false">PROPER(AI643)</f>
        <v>Normal</v>
      </c>
      <c r="AK643" s="0" t="s">
        <v>114</v>
      </c>
      <c r="AL643" s="0" t="str">
        <f aca="false">PROPER(AK643)</f>
        <v>Returning</v>
      </c>
      <c r="AM643" s="0" t="s">
        <v>59</v>
      </c>
      <c r="AN643" s="0" t="str">
        <f aca="false">IF(ISBLANK(AM643),"Unknown",AM643)</f>
        <v>Bolt Driver</v>
      </c>
      <c r="AO643" s="0" t="s">
        <v>79</v>
      </c>
      <c r="AP643" s="0" t="str">
        <f aca="false">IF(ISBLANK(AO643),"Unknown",AO643)</f>
        <v>Specialist</v>
      </c>
      <c r="AQ643" s="0" t="n">
        <v>40000</v>
      </c>
      <c r="AR643" s="5" t="n">
        <f aca="false">IF(ISBLANK(AQ643),AVERAGEIF(M643:M1642,M643,AQ643:AQ1642),AQ643)</f>
        <v>40000</v>
      </c>
      <c r="AS643" s="0" t="n">
        <v>40000</v>
      </c>
      <c r="AT643" s="5" t="n">
        <f aca="false">IF(ISBLANK(AS643),AVERAGE(AS643:AS1642),AS643)</f>
        <v>40000</v>
      </c>
      <c r="AU643" s="0" t="s">
        <v>61</v>
      </c>
      <c r="AV643" s="0" t="str">
        <f aca="false">PROPER(IF(ISBLANK(AU643),"No",AU643))</f>
        <v>No</v>
      </c>
      <c r="AW643" s="0" t="n">
        <v>5000</v>
      </c>
      <c r="AX643" s="5" t="n">
        <f aca="false">IF(ISBLANK(AW643),0,AW643)</f>
        <v>5000</v>
      </c>
      <c r="AY643" s="0" t="s">
        <v>60</v>
      </c>
      <c r="AZ643" s="0" t="str">
        <f aca="false">UPPER(IF(ISBLANK(AY643),"NONE",AY643))</f>
        <v>NONE</v>
      </c>
      <c r="BB643" s="7" t="str">
        <f aca="false">IF(ISBLANK(BA643),"No Follow Up Needed",BA643)</f>
        <v>No Follow Up Needed</v>
      </c>
      <c r="BC643" s="0" t="s">
        <v>50</v>
      </c>
      <c r="BD643" s="0" t="str">
        <f aca="false">PROPER(IF(ISBLANK(BC643),"Unknown",BC643))</f>
        <v>No</v>
      </c>
      <c r="BF643" s="0" t="str">
        <f aca="false">IF(ISBLANK(BE643),"No comments",BE643)</f>
        <v>No comments</v>
      </c>
      <c r="BG643" s="0" t="s">
        <v>172</v>
      </c>
      <c r="BH643" s="0" t="str">
        <f aca="false">IF(ISBLANK(BG643),"No comments",BG643)</f>
        <v>Always late</v>
      </c>
      <c r="BI643" s="0" t="s">
        <v>63</v>
      </c>
      <c r="BJ643" s="0" t="str">
        <f aca="false">IF(ISBLANK(BI643),"Not Mentioned",BI643)</f>
        <v>Yes</v>
      </c>
      <c r="BL643" s="0" t="str">
        <f aca="false">PROPER(IF(ISBLANK(BK643),"Not Mentioned",BK643))</f>
        <v>Not Mentioned</v>
      </c>
      <c r="BN643" s="0" t="str">
        <f aca="false">PROPER(IF(ISBLANK(BM643),"Not Mentioned",BM643))</f>
        <v>Not Mentioned</v>
      </c>
      <c r="BO643" s="0" t="s">
        <v>64</v>
      </c>
      <c r="BP643" s="0" t="str">
        <f aca="false">IF(ISBLANK(BO643),"One-Time Plan",BO643)</f>
        <v>Gold Maintenance Plan</v>
      </c>
      <c r="BQ643" s="0" t="s">
        <v>190</v>
      </c>
      <c r="BR643" s="0" t="str">
        <f aca="false">PROPER(IF(ISBLANK(BQ643),"No",BQ643))</f>
        <v>Yes</v>
      </c>
    </row>
    <row r="644" customFormat="false" ht="15" hidden="false" customHeight="false" outlineLevel="0" collapsed="false">
      <c r="A644" s="0" t="s">
        <v>1574</v>
      </c>
      <c r="B644" s="2" t="n">
        <v>45658</v>
      </c>
      <c r="C644" s="2" t="str">
        <f aca="false">TEXT(B644,"dd/mm/yyyy")</f>
        <v>01/01/2025</v>
      </c>
      <c r="D644" s="0" t="s">
        <v>163</v>
      </c>
      <c r="E644" s="0" t="n">
        <v>8054116005</v>
      </c>
      <c r="F644" s="0" t="s">
        <v>67</v>
      </c>
      <c r="G644" s="0" t="s">
        <v>2316</v>
      </c>
      <c r="H644" s="0" t="s">
        <v>1575</v>
      </c>
      <c r="I644" s="0" t="s">
        <v>134</v>
      </c>
      <c r="K644" s="3" t="str">
        <f aca="false" t="array" ref="K644:K644">IFERROR(IF(J644&lt;&gt;"",J644,INDEX(J644:J1643,MATCH(1,(F644:F1643=F644)*(I644:I1643=I644)*(L644:L1643=L644)*(J644:J1643&lt;&gt;""),0))),"Not Found")</f>
        <v>Suspension Noise</v>
      </c>
      <c r="L644" s="3" t="s">
        <v>189</v>
      </c>
      <c r="M644" s="0" t="str">
        <f aca="false">PROPER(L644)</f>
        <v>Battery</v>
      </c>
      <c r="N644" s="3" t="s">
        <v>90</v>
      </c>
      <c r="O644" s="0" t="str">
        <f aca="false" t="array" ref="O644:O644">IF(N644&lt;&gt;"",N644,_xlfn.xlookup(1,(L644:L1643=L644)*(N644:N1643&lt;&gt;""),N644:N1643,"Not Found"))</f>
        <v>Musa</v>
      </c>
      <c r="P644" s="4" t="n">
        <v>117817</v>
      </c>
      <c r="Q644" s="0" t="s">
        <v>124</v>
      </c>
      <c r="R644" s="0" t="str">
        <f aca="false">PROPER(Q644)</f>
        <v>Cash</v>
      </c>
      <c r="S644" s="0" t="s">
        <v>50</v>
      </c>
      <c r="T644" s="0" t="n">
        <v>1</v>
      </c>
      <c r="U644" s="5" t="n">
        <f aca="false">IF(ISBLANK(T644),AVERAGE(T644:T1643),T644)</f>
        <v>1</v>
      </c>
      <c r="V644" s="0" t="n">
        <v>5.3</v>
      </c>
      <c r="W644" s="0" t="s">
        <v>51</v>
      </c>
      <c r="X644" s="0" t="str">
        <f aca="false">IF(ISBLANK(W644),"No remarks",W644)</f>
        <v>Recommended further checks</v>
      </c>
      <c r="Y644" s="0" t="s">
        <v>52</v>
      </c>
      <c r="Z644" s="0" t="s">
        <v>53</v>
      </c>
      <c r="AA644" s="0" t="str">
        <f aca="false">PROPER(IF(ISBLANK(Z644),"Location Unavailable",Z644))</f>
        <v>Main Bay</v>
      </c>
      <c r="AB644" s="0" t="s">
        <v>75</v>
      </c>
      <c r="AC644" s="6" t="str">
        <f aca="false">PROPER(AB644)</f>
        <v>Mechanik Referal</v>
      </c>
      <c r="AD644" s="6" t="n">
        <v>15</v>
      </c>
      <c r="AE644" s="5" t="n">
        <f aca="false">IF(ISBLANK(AD644),AVERAGEIF(L644:L1643,L644,AD644:AD1643),AD644)</f>
        <v>15</v>
      </c>
      <c r="AF644" s="0" t="s">
        <v>96</v>
      </c>
      <c r="AG644" s="0" t="str">
        <f aca="false">PROPER(AF644)</f>
        <v>Ordered</v>
      </c>
      <c r="AH644" s="0" t="s">
        <v>56</v>
      </c>
      <c r="AI644" s="0" t="s">
        <v>98</v>
      </c>
      <c r="AJ644" s="0" t="str">
        <f aca="false">PROPER(AI644)</f>
        <v>Emergency</v>
      </c>
      <c r="AK644" s="0" t="s">
        <v>114</v>
      </c>
      <c r="AL644" s="0" t="str">
        <f aca="false">PROPER(AK644)</f>
        <v>Returning</v>
      </c>
      <c r="AN644" s="0" t="str">
        <f aca="false">IF(ISBLANK(AM644),"Unknown",AM644)</f>
        <v>Unknown</v>
      </c>
      <c r="AP644" s="0" t="str">
        <f aca="false">IF(ISBLANK(AO644),"Unknown",AO644)</f>
        <v>Unknown</v>
      </c>
      <c r="AQ644" s="0" t="n">
        <v>30000</v>
      </c>
      <c r="AR644" s="5" t="n">
        <f aca="false">IF(ISBLANK(AQ644),AVERAGEIF(M644:M1643,M644,AQ644:AQ1643),AQ644)</f>
        <v>30000</v>
      </c>
      <c r="AT644" s="5" t="n">
        <f aca="false">IF(ISBLANK(AS644),AVERAGE(AS644:AS1643),AS644)</f>
        <v>31483.3333333333</v>
      </c>
      <c r="AU644" s="0" t="s">
        <v>82</v>
      </c>
      <c r="AV644" s="0" t="str">
        <f aca="false">PROPER(IF(ISBLANK(AU644),"No",AU644))</f>
        <v>Yes</v>
      </c>
      <c r="AW644" s="0" t="n">
        <v>0</v>
      </c>
      <c r="AX644" s="5" t="n">
        <f aca="false">IF(ISBLANK(AW644),0,AW644)</f>
        <v>0</v>
      </c>
      <c r="AY644" s="0" t="s">
        <v>184</v>
      </c>
      <c r="AZ644" s="0" t="str">
        <f aca="false">UPPER(IF(ISBLANK(AY644),"NONE",AY644))</f>
        <v>N/A</v>
      </c>
      <c r="BA644" s="7" t="s">
        <v>1227</v>
      </c>
      <c r="BB644" s="7" t="str">
        <f aca="false">IF(ISBLANK(BA644),"No Follow Up Needed",BA644)</f>
        <v>29/10/2025</v>
      </c>
      <c r="BC644" s="0" t="s">
        <v>82</v>
      </c>
      <c r="BD644" s="0" t="str">
        <f aca="false">PROPER(IF(ISBLANK(BC644),"Unknown",BC644))</f>
        <v>Yes</v>
      </c>
      <c r="BE644" s="0" t="s">
        <v>171</v>
      </c>
      <c r="BF644" s="0" t="str">
        <f aca="false">IF(ISBLANK(BE644),"No comments",BE644)</f>
        <v>Shock absorber weakening</v>
      </c>
      <c r="BG644" s="0" t="s">
        <v>172</v>
      </c>
      <c r="BH644" s="0" t="str">
        <f aca="false">IF(ISBLANK(BG644),"No comments",BG644)</f>
        <v>Always late</v>
      </c>
      <c r="BI644" s="0" t="s">
        <v>50</v>
      </c>
      <c r="BJ644" s="0" t="str">
        <f aca="false">IF(ISBLANK(BI644),"Not Mentioned",BI644)</f>
        <v>No</v>
      </c>
      <c r="BK644" s="0" t="s">
        <v>50</v>
      </c>
      <c r="BL644" s="0" t="str">
        <f aca="false">PROPER(IF(ISBLANK(BK644),"Not Mentioned",BK644))</f>
        <v>No</v>
      </c>
      <c r="BM644" s="0" t="s">
        <v>50</v>
      </c>
      <c r="BN644" s="0" t="str">
        <f aca="false">PROPER(IF(ISBLANK(BM644),"Not Mentioned",BM644))</f>
        <v>No</v>
      </c>
      <c r="BP644" s="0" t="str">
        <f aca="false">IF(ISBLANK(BO644),"One-Time Plan",BO644)</f>
        <v>One-Time Plan</v>
      </c>
      <c r="BQ644" s="0" t="s">
        <v>63</v>
      </c>
      <c r="BR644" s="0" t="str">
        <f aca="false">PROPER(IF(ISBLANK(BQ644),"No",BQ644))</f>
        <v>Yes</v>
      </c>
    </row>
    <row r="645" customFormat="false" ht="15" hidden="false" customHeight="false" outlineLevel="0" collapsed="false">
      <c r="A645" s="0" t="s">
        <v>1576</v>
      </c>
      <c r="B645" s="2" t="s">
        <v>353</v>
      </c>
      <c r="C645" s="2" t="str">
        <f aca="false">TEXT(B645,"dd/mm/yyyy")</f>
        <v>18/05/2025</v>
      </c>
      <c r="D645" s="0" t="s">
        <v>42</v>
      </c>
      <c r="E645" s="0" t="n">
        <v>8028021013</v>
      </c>
      <c r="F645" s="0" t="s">
        <v>122</v>
      </c>
      <c r="G645" s="0" t="s">
        <v>2316</v>
      </c>
      <c r="H645" s="0" t="s">
        <v>1577</v>
      </c>
      <c r="I645" s="0" t="s">
        <v>107</v>
      </c>
      <c r="J645" s="0" t="s">
        <v>2322</v>
      </c>
      <c r="K645" s="3" t="str">
        <f aca="false" t="array" ref="K645:K645">IFERROR(IF(J645&lt;&gt;"",J645,INDEX(J645:J1644,MATCH(1,(F645:F1644=F645)*(I645:I1644=I645)*(L645:L1644=L645)*(J645:J1644&lt;&gt;""),0))),"Not Found")</f>
        <v>Brake Failure</v>
      </c>
      <c r="L645" s="3" t="s">
        <v>47</v>
      </c>
      <c r="M645" s="0" t="str">
        <f aca="false">PROPER(L645)</f>
        <v>None</v>
      </c>
      <c r="O645" s="0" t="e">
        <f aca="false" t="array" ref="O645:O645">IF(N645&lt;&gt;"",N645,_xlfn.xlookup(1,(L645:L1644=L645)*(N645:N1644&lt;&gt;""),N645:N1644,"Not Found"))</f>
        <v>#NAME?</v>
      </c>
      <c r="P645" s="4" t="n">
        <v>116150</v>
      </c>
      <c r="Q645" s="0" t="s">
        <v>124</v>
      </c>
      <c r="R645" s="0" t="str">
        <f aca="false">PROPER(Q645)</f>
        <v>Cash</v>
      </c>
      <c r="S645" s="0" t="s">
        <v>50</v>
      </c>
      <c r="T645" s="0" t="n">
        <v>2</v>
      </c>
      <c r="U645" s="5" t="n">
        <f aca="false">IF(ISBLANK(T645),AVERAGE(T645:T1644),T645)</f>
        <v>2</v>
      </c>
      <c r="V645" s="0" t="n">
        <v>3.9</v>
      </c>
      <c r="W645" s="0" t="s">
        <v>111</v>
      </c>
      <c r="X645" s="0" t="str">
        <f aca="false">IF(ISBLANK(W645),"No remarks",W645)</f>
        <v>Changed all filters</v>
      </c>
      <c r="Y645" s="0" t="s">
        <v>93</v>
      </c>
      <c r="Z645" s="0" t="s">
        <v>136</v>
      </c>
      <c r="AA645" s="0" t="str">
        <f aca="false">PROPER(IF(ISBLANK(Z645),"Location Unavailable",Z645))</f>
        <v>Vip Section</v>
      </c>
      <c r="AB645" s="0" t="s">
        <v>126</v>
      </c>
      <c r="AC645" s="6" t="str">
        <f aca="false">PROPER(AB645)</f>
        <v>Whatsapp</v>
      </c>
      <c r="AD645" s="6" t="n">
        <v>15</v>
      </c>
      <c r="AE645" s="5" t="n">
        <f aca="false">IF(ISBLANK(AD645),AVERAGEIF(L645:L1644,L645,AD645:AD1644),AD645)</f>
        <v>15</v>
      </c>
      <c r="AF645" s="0" t="s">
        <v>55</v>
      </c>
      <c r="AG645" s="0" t="str">
        <f aca="false">PROPER(AF645)</f>
        <v>Available</v>
      </c>
      <c r="AH645" s="0" t="s">
        <v>77</v>
      </c>
      <c r="AI645" s="0" t="s">
        <v>78</v>
      </c>
      <c r="AJ645" s="0" t="str">
        <f aca="false">PROPER(AI645)</f>
        <v>Booking</v>
      </c>
      <c r="AK645" s="0" t="s">
        <v>196</v>
      </c>
      <c r="AL645" s="0" t="str">
        <f aca="false">PROPER(AK645)</f>
        <v>First Time</v>
      </c>
      <c r="AM645" s="0" t="s">
        <v>59</v>
      </c>
      <c r="AN645" s="0" t="str">
        <f aca="false">IF(ISBLANK(AM645),"Unknown",AM645)</f>
        <v>Bolt Driver</v>
      </c>
      <c r="AO645" s="0" t="s">
        <v>161</v>
      </c>
      <c r="AP645" s="0" t="str">
        <f aca="false">IF(ISBLANK(AO645),"Unknown",AO645)</f>
        <v>Apprentice</v>
      </c>
      <c r="AQ645" s="0" t="n">
        <v>30000</v>
      </c>
      <c r="AR645" s="5" t="n">
        <f aca="false">IF(ISBLANK(AQ645),AVERAGEIF(M645:M1644,M645,AQ645:AQ1644),AQ645)</f>
        <v>30000</v>
      </c>
      <c r="AS645" s="0" t="n">
        <v>30000</v>
      </c>
      <c r="AT645" s="5" t="n">
        <f aca="false">IF(ISBLANK(AS645),AVERAGE(AS645:AS1644),AS645)</f>
        <v>30000</v>
      </c>
      <c r="AU645" s="0" t="s">
        <v>61</v>
      </c>
      <c r="AV645" s="0" t="str">
        <f aca="false">PROPER(IF(ISBLANK(AU645),"No",AU645))</f>
        <v>No</v>
      </c>
      <c r="AX645" s="5" t="n">
        <f aca="false">IF(ISBLANK(AW645),0,AW645)</f>
        <v>0</v>
      </c>
      <c r="AY645" s="0" t="s">
        <v>130</v>
      </c>
      <c r="AZ645" s="0" t="str">
        <f aca="false">UPPER(IF(ISBLANK(AY645),"NONE",AY645))</f>
        <v>LOYALTY10</v>
      </c>
      <c r="BA645" s="7" t="n">
        <v>45907</v>
      </c>
      <c r="BB645" s="7" t="n">
        <f aca="false">IF(ISBLANK(BA645),"No Follow Up Needed",BA645)</f>
        <v>45907</v>
      </c>
      <c r="BC645" s="0" t="s">
        <v>82</v>
      </c>
      <c r="BD645" s="0" t="str">
        <f aca="false">PROPER(IF(ISBLANK(BC645),"Unknown",BC645))</f>
        <v>Yes</v>
      </c>
      <c r="BF645" s="0" t="str">
        <f aca="false">IF(ISBLANK(BE645),"No comments",BE645)</f>
        <v>No comments</v>
      </c>
      <c r="BH645" s="0" t="str">
        <f aca="false">IF(ISBLANK(BG645),"No comments",BG645)</f>
        <v>No comments</v>
      </c>
      <c r="BI645" s="0" t="s">
        <v>63</v>
      </c>
      <c r="BJ645" s="0" t="str">
        <f aca="false">IF(ISBLANK(BI645),"Not Mentioned",BI645)</f>
        <v>Yes</v>
      </c>
      <c r="BK645" s="0" t="s">
        <v>50</v>
      </c>
      <c r="BL645" s="0" t="str">
        <f aca="false">PROPER(IF(ISBLANK(BK645),"Not Mentioned",BK645))</f>
        <v>No</v>
      </c>
      <c r="BN645" s="0" t="str">
        <f aca="false">PROPER(IF(ISBLANK(BM645),"Not Mentioned",BM645))</f>
        <v>Not Mentioned</v>
      </c>
      <c r="BO645" s="0" t="s">
        <v>64</v>
      </c>
      <c r="BP645" s="0" t="str">
        <f aca="false">IF(ISBLANK(BO645),"One-Time Plan",BO645)</f>
        <v>Gold Maintenance Plan</v>
      </c>
      <c r="BQ645" s="0" t="s">
        <v>50</v>
      </c>
      <c r="BR645" s="0" t="str">
        <f aca="false">PROPER(IF(ISBLANK(BQ645),"No",BQ645))</f>
        <v>No</v>
      </c>
    </row>
    <row r="646" customFormat="false" ht="15" hidden="false" customHeight="false" outlineLevel="0" collapsed="false">
      <c r="A646" s="0" t="s">
        <v>1578</v>
      </c>
      <c r="B646" s="2" t="n">
        <v>45672</v>
      </c>
      <c r="C646" s="2" t="str">
        <f aca="false">TEXT(B646,"dd/mm/yyyy")</f>
        <v>15/01/2025</v>
      </c>
      <c r="D646" s="0" t="s">
        <v>163</v>
      </c>
      <c r="E646" s="0" t="n">
        <v>8047329499</v>
      </c>
      <c r="F646" s="0" t="s">
        <v>67</v>
      </c>
      <c r="G646" s="0" t="s">
        <v>2316</v>
      </c>
      <c r="H646" s="0" t="s">
        <v>1579</v>
      </c>
      <c r="I646" s="0" t="s">
        <v>45</v>
      </c>
      <c r="J646" s="0" t="s">
        <v>2325</v>
      </c>
      <c r="K646" s="3" t="str">
        <f aca="false" t="array" ref="K646:K646">IFERROR(IF(J646&lt;&gt;"",J646,INDEX(J646:J1645,MATCH(1,(F646:F1645=F646)*(I646:I1645=I646)*(L646:L1645=L646)*(J646:J1645&lt;&gt;""),0))),"Not Found")</f>
        <v>Engine Knocking</v>
      </c>
      <c r="L646" s="3" t="s">
        <v>47</v>
      </c>
      <c r="M646" s="0" t="str">
        <f aca="false">PROPER(L646)</f>
        <v>None</v>
      </c>
      <c r="O646" s="0" t="e">
        <f aca="false" t="array" ref="O646:O646">IF(N646&lt;&gt;"",N646,_xlfn.xlookup(1,(L646:L1645=L646)*(N646:N1645&lt;&gt;""),N646:N1645,"Not Found"))</f>
        <v>#NAME?</v>
      </c>
      <c r="P646" s="4" t="n">
        <v>67603</v>
      </c>
      <c r="Q646" s="0" t="s">
        <v>110</v>
      </c>
      <c r="R646" s="0" t="str">
        <f aca="false">PROPER(Q646)</f>
        <v>Cash</v>
      </c>
      <c r="S646" s="0" t="s">
        <v>63</v>
      </c>
      <c r="T646" s="0" t="n">
        <v>1</v>
      </c>
      <c r="U646" s="5" t="n">
        <f aca="false">IF(ISBLANK(T646),AVERAGE(T646:T1645),T646)</f>
        <v>1</v>
      </c>
      <c r="V646" s="0" t="n">
        <v>2</v>
      </c>
      <c r="W646" s="0" t="s">
        <v>125</v>
      </c>
      <c r="X646" s="0" t="str">
        <f aca="false">IF(ISBLANK(W646),"No remarks",W646)</f>
        <v>Customer waited</v>
      </c>
      <c r="Y646" s="0" t="s">
        <v>93</v>
      </c>
      <c r="AA646" s="0" t="str">
        <f aca="false">PROPER(IF(ISBLANK(Z646),"Location Unavailable",Z646))</f>
        <v>Location Unavailable</v>
      </c>
      <c r="AB646" s="0" t="s">
        <v>147</v>
      </c>
      <c r="AC646" s="6" t="str">
        <f aca="false">PROPER(AB646)</f>
        <v>Instagram</v>
      </c>
      <c r="AD646" s="6" t="n">
        <v>30</v>
      </c>
      <c r="AE646" s="5" t="n">
        <f aca="false">IF(ISBLANK(AD646),AVERAGEIF(L646:L1645,L646,AD646:AD1645),AD646)</f>
        <v>30</v>
      </c>
      <c r="AF646" s="0" t="s">
        <v>96</v>
      </c>
      <c r="AG646" s="0" t="str">
        <f aca="false">PROPER(AF646)</f>
        <v>Ordered</v>
      </c>
      <c r="AH646" s="0" t="s">
        <v>155</v>
      </c>
      <c r="AI646" s="0" t="s">
        <v>128</v>
      </c>
      <c r="AJ646" s="0" t="str">
        <f aca="false">PROPER(AI646)</f>
        <v>Normal</v>
      </c>
      <c r="AK646" s="0" t="s">
        <v>58</v>
      </c>
      <c r="AL646" s="0" t="str">
        <f aca="false">PROPER(AK646)</f>
        <v>Fleet Owner</v>
      </c>
      <c r="AM646" s="0" t="s">
        <v>177</v>
      </c>
      <c r="AN646" s="0" t="str">
        <f aca="false">IF(ISBLANK(AM646),"Unknown",AM646)</f>
        <v>Private</v>
      </c>
      <c r="AO646" s="0" t="s">
        <v>149</v>
      </c>
      <c r="AP646" s="0" t="str">
        <f aca="false">IF(ISBLANK(AO646),"Unknown",AO646)</f>
        <v>Senior </v>
      </c>
      <c r="AQ646" s="0" t="n">
        <v>30000</v>
      </c>
      <c r="AR646" s="5" t="n">
        <f aca="false">IF(ISBLANK(AQ646),AVERAGEIF(M646:M1645,M646,AQ646:AQ1645),AQ646)</f>
        <v>30000</v>
      </c>
      <c r="AS646" s="0" t="n">
        <v>30000</v>
      </c>
      <c r="AT646" s="5" t="n">
        <f aca="false">IF(ISBLANK(AS646),AVERAGE(AS646:AS1645),AS646)</f>
        <v>30000</v>
      </c>
      <c r="AU646" s="0" t="s">
        <v>82</v>
      </c>
      <c r="AV646" s="0" t="str">
        <f aca="false">PROPER(IF(ISBLANK(AU646),"No",AU646))</f>
        <v>Yes</v>
      </c>
      <c r="AW646" s="0" t="n">
        <v>5000</v>
      </c>
      <c r="AX646" s="5" t="n">
        <f aca="false">IF(ISBLANK(AW646),0,AW646)</f>
        <v>5000</v>
      </c>
      <c r="AY646" s="0" t="s">
        <v>80</v>
      </c>
      <c r="AZ646" s="0" t="str">
        <f aca="false">UPPER(IF(ISBLANK(AY646),"NONE",AY646))</f>
        <v>PROMO10</v>
      </c>
      <c r="BA646" s="7" t="s">
        <v>1580</v>
      </c>
      <c r="BB646" s="7" t="str">
        <f aca="false">IF(ISBLANK(BA646),"No Follow Up Needed",BA646)</f>
        <v>27/12/2025</v>
      </c>
      <c r="BD646" s="0" t="str">
        <f aca="false">PROPER(IF(ISBLANK(BC646),"Unknown",BC646))</f>
        <v>Unknown</v>
      </c>
      <c r="BF646" s="0" t="str">
        <f aca="false">IF(ISBLANK(BE646),"No comments",BE646)</f>
        <v>No comments</v>
      </c>
      <c r="BG646" s="0" t="s">
        <v>117</v>
      </c>
      <c r="BH646" s="0" t="str">
        <f aca="false">IF(ISBLANK(BG646),"No comments",BG646)</f>
        <v>Prefers morning</v>
      </c>
      <c r="BI646" s="0" t="s">
        <v>50</v>
      </c>
      <c r="BJ646" s="0" t="str">
        <f aca="false">IF(ISBLANK(BI646),"Not Mentioned",BI646)</f>
        <v>No</v>
      </c>
      <c r="BK646" s="0" t="s">
        <v>61</v>
      </c>
      <c r="BL646" s="0" t="str">
        <f aca="false">PROPER(IF(ISBLANK(BK646),"Not Mentioned",BK646))</f>
        <v>No</v>
      </c>
      <c r="BN646" s="0" t="str">
        <f aca="false">PROPER(IF(ISBLANK(BM646),"Not Mentioned",BM646))</f>
        <v>Not Mentioned</v>
      </c>
      <c r="BO646" s="0" t="s">
        <v>2321</v>
      </c>
      <c r="BP646" s="0" t="str">
        <f aca="false">IF(ISBLANK(BO646),"One-Time Plan",BO646)</f>
        <v>One-Time Plan</v>
      </c>
      <c r="BQ646" s="0" t="s">
        <v>198</v>
      </c>
      <c r="BR646" s="0" t="str">
        <f aca="false">PROPER(IF(ISBLANK(BQ646),"No",BQ646))</f>
        <v>Followed Up</v>
      </c>
    </row>
    <row r="647" customFormat="false" ht="15" hidden="false" customHeight="false" outlineLevel="0" collapsed="false">
      <c r="A647" s="0" t="s">
        <v>1581</v>
      </c>
      <c r="B647" s="2" t="n">
        <v>45751</v>
      </c>
      <c r="C647" s="2" t="str">
        <f aca="false">TEXT(B647,"dd/mm/yyyy")</f>
        <v>04/04/2025</v>
      </c>
      <c r="D647" s="0" t="s">
        <v>42</v>
      </c>
      <c r="E647" s="0" t="n">
        <v>8052619317</v>
      </c>
      <c r="F647" s="0" t="s">
        <v>67</v>
      </c>
      <c r="G647" s="0" t="s">
        <v>2316</v>
      </c>
      <c r="H647" s="0" t="s">
        <v>1582</v>
      </c>
      <c r="I647" s="0" t="s">
        <v>45</v>
      </c>
      <c r="J647" s="0" t="s">
        <v>2325</v>
      </c>
      <c r="K647" s="3" t="str">
        <f aca="false" t="array" ref="K647:K647">IFERROR(IF(J647&lt;&gt;"",J647,INDEX(J647:J1646,MATCH(1,(F647:F1646=F647)*(I647:I1646=I647)*(L647:L1646=L647)*(J647:J1646&lt;&gt;""),0))),"Not Found")</f>
        <v>Engine Knocking</v>
      </c>
      <c r="L647" s="3" t="s">
        <v>47</v>
      </c>
      <c r="M647" s="0" t="str">
        <f aca="false">PROPER(L647)</f>
        <v>None</v>
      </c>
      <c r="N647" s="3" t="s">
        <v>90</v>
      </c>
      <c r="O647" s="0" t="str">
        <f aca="false" t="array" ref="O647:O647">IF(N647&lt;&gt;"",N647,_xlfn.xlookup(1,(L647:L1646=L647)*(N647:N1646&lt;&gt;""),N647:N1646,"Not Found"))</f>
        <v>Musa</v>
      </c>
      <c r="P647" s="4" t="n">
        <v>43321</v>
      </c>
      <c r="Q647" s="0" t="s">
        <v>110</v>
      </c>
      <c r="R647" s="0" t="str">
        <f aca="false">PROPER(Q647)</f>
        <v>Cash</v>
      </c>
      <c r="S647" s="0" t="s">
        <v>63</v>
      </c>
      <c r="T647" s="0" t="n">
        <v>3</v>
      </c>
      <c r="U647" s="5" t="n">
        <f aca="false">IF(ISBLANK(T647),AVERAGE(T647:T1646),T647)</f>
        <v>3</v>
      </c>
      <c r="V647" s="0" t="n">
        <v>1.9</v>
      </c>
      <c r="W647" s="0" t="s">
        <v>51</v>
      </c>
      <c r="X647" s="0" t="str">
        <f aca="false">IF(ISBLANK(W647),"No remarks",W647)</f>
        <v>Recommended further checks</v>
      </c>
      <c r="Y647" s="0" t="s">
        <v>52</v>
      </c>
      <c r="Z647" s="0" t="s">
        <v>94</v>
      </c>
      <c r="AA647" s="0" t="str">
        <f aca="false">PROPER(IF(ISBLANK(Z647),"Location Unavailable",Z647))</f>
        <v>Vip Section</v>
      </c>
      <c r="AB647" s="0" t="s">
        <v>95</v>
      </c>
      <c r="AC647" s="6" t="str">
        <f aca="false">PROPER(AB647)</f>
        <v>Road Sign</v>
      </c>
      <c r="AD647" s="6" t="n">
        <v>45</v>
      </c>
      <c r="AE647" s="5" t="n">
        <f aca="false">IF(ISBLANK(AD647),AVERAGEIF(L647:L1646,L647,AD647:AD1646),AD647)</f>
        <v>45</v>
      </c>
      <c r="AF647" s="0" t="s">
        <v>55</v>
      </c>
      <c r="AG647" s="0" t="str">
        <f aca="false">PROPER(AF647)</f>
        <v>Available</v>
      </c>
      <c r="AH647" s="0" t="s">
        <v>155</v>
      </c>
      <c r="AI647" s="0" t="s">
        <v>78</v>
      </c>
      <c r="AJ647" s="0" t="str">
        <f aca="false">PROPER(AI647)</f>
        <v>Booking</v>
      </c>
      <c r="AK647" s="0" t="s">
        <v>114</v>
      </c>
      <c r="AL647" s="0" t="str">
        <f aca="false">PROPER(AK647)</f>
        <v>Returning</v>
      </c>
      <c r="AM647" s="0" t="s">
        <v>177</v>
      </c>
      <c r="AN647" s="0" t="str">
        <f aca="false">IF(ISBLANK(AM647),"Unknown",AM647)</f>
        <v>Private</v>
      </c>
      <c r="AO647" s="0" t="s">
        <v>143</v>
      </c>
      <c r="AP647" s="0" t="str">
        <f aca="false">IF(ISBLANK(AO647),"Unknown",AO647)</f>
        <v>Senior</v>
      </c>
      <c r="AQ647" s="0" t="n">
        <v>30000</v>
      </c>
      <c r="AR647" s="5" t="n">
        <f aca="false">IF(ISBLANK(AQ647),AVERAGEIF(M647:M1646,M647,AQ647:AQ1646),AQ647)</f>
        <v>30000</v>
      </c>
      <c r="AS647" s="0" t="n">
        <v>20000</v>
      </c>
      <c r="AT647" s="5" t="n">
        <f aca="false">IF(ISBLANK(AS647),AVERAGE(AS647:AS1646),AS647)</f>
        <v>20000</v>
      </c>
      <c r="AU647" s="0" t="s">
        <v>50</v>
      </c>
      <c r="AV647" s="0" t="str">
        <f aca="false">PROPER(IF(ISBLANK(AU647),"No",AU647))</f>
        <v>No</v>
      </c>
      <c r="AX647" s="5" t="n">
        <f aca="false">IF(ISBLANK(AW647),0,AW647)</f>
        <v>0</v>
      </c>
      <c r="AY647" s="0" t="s">
        <v>130</v>
      </c>
      <c r="AZ647" s="0" t="str">
        <f aca="false">UPPER(IF(ISBLANK(AY647),"NONE",AY647))</f>
        <v>LOYALTY10</v>
      </c>
      <c r="BA647" s="7" t="s">
        <v>1583</v>
      </c>
      <c r="BB647" s="7" t="str">
        <f aca="false">IF(ISBLANK(BA647),"No Follow Up Needed",BA647)</f>
        <v>24/07/2025</v>
      </c>
      <c r="BC647" s="0" t="s">
        <v>50</v>
      </c>
      <c r="BD647" s="0" t="str">
        <f aca="false">PROPER(IF(ISBLANK(BC647),"Unknown",BC647))</f>
        <v>No</v>
      </c>
      <c r="BF647" s="0" t="str">
        <f aca="false">IF(ISBLANK(BE647),"No comments",BE647)</f>
        <v>No comments</v>
      </c>
      <c r="BG647" s="0" t="s">
        <v>172</v>
      </c>
      <c r="BH647" s="0" t="str">
        <f aca="false">IF(ISBLANK(BG647),"No comments",BG647)</f>
        <v>Always late</v>
      </c>
      <c r="BI647" s="0" t="s">
        <v>50</v>
      </c>
      <c r="BJ647" s="0" t="str">
        <f aca="false">IF(ISBLANK(BI647),"Not Mentioned",BI647)</f>
        <v>No</v>
      </c>
      <c r="BK647" s="0" t="s">
        <v>63</v>
      </c>
      <c r="BL647" s="0" t="str">
        <f aca="false">PROPER(IF(ISBLANK(BK647),"Not Mentioned",BK647))</f>
        <v>Yes</v>
      </c>
      <c r="BM647" s="0" t="s">
        <v>50</v>
      </c>
      <c r="BN647" s="0" t="str">
        <f aca="false">PROPER(IF(ISBLANK(BM647),"Not Mentioned",BM647))</f>
        <v>No</v>
      </c>
      <c r="BP647" s="0" t="str">
        <f aca="false">IF(ISBLANK(BO647),"One-Time Plan",BO647)</f>
        <v>One-Time Plan</v>
      </c>
      <c r="BQ647" s="0" t="s">
        <v>190</v>
      </c>
      <c r="BR647" s="0" t="str">
        <f aca="false">PROPER(IF(ISBLANK(BQ647),"No",BQ647))</f>
        <v>Yes</v>
      </c>
    </row>
    <row r="648" customFormat="false" ht="15" hidden="false" customHeight="false" outlineLevel="0" collapsed="false">
      <c r="A648" s="0" t="s">
        <v>1584</v>
      </c>
      <c r="B648" s="2" t="s">
        <v>687</v>
      </c>
      <c r="C648" s="2" t="str">
        <f aca="false">TEXT(B648,"dd/mm/yyyy")</f>
        <v>21/01/2025</v>
      </c>
      <c r="D648" s="0" t="s">
        <v>105</v>
      </c>
      <c r="E648" s="0" t="n">
        <v>8096382807</v>
      </c>
      <c r="F648" s="0" t="s">
        <v>139</v>
      </c>
      <c r="G648" s="0" t="s">
        <v>2323</v>
      </c>
      <c r="H648" s="0" t="s">
        <v>1585</v>
      </c>
      <c r="I648" s="0" t="s">
        <v>107</v>
      </c>
      <c r="J648" s="0" t="s">
        <v>2317</v>
      </c>
      <c r="K648" s="3" t="str">
        <f aca="false" t="array" ref="K648:K648">IFERROR(IF(J648&lt;&gt;"",J648,INDEX(J648:J1647,MATCH(1,(F648:F1647=F648)*(I648:I1647=I648)*(L648:L1647=L648)*(J648:J1647&lt;&gt;""),0))),"Not Found")</f>
        <v>Suspension Noise</v>
      </c>
      <c r="L648" s="3" t="s">
        <v>89</v>
      </c>
      <c r="M648" s="0" t="str">
        <f aca="false">PROPER(L648)</f>
        <v>Shock Absorbers</v>
      </c>
      <c r="N648" s="3" t="s">
        <v>71</v>
      </c>
      <c r="O648" s="0" t="str">
        <f aca="false" t="array" ref="O648:O648">IF(N648&lt;&gt;"",N648,_xlfn.xlookup(1,(L648:L1647=L648)*(N648:N1647&lt;&gt;""),N648:N1647,"Not Found"))</f>
        <v>Isaac Bobo</v>
      </c>
      <c r="P648" s="4" t="n">
        <v>119881</v>
      </c>
      <c r="Q648" s="0" t="s">
        <v>110</v>
      </c>
      <c r="R648" s="0" t="str">
        <f aca="false">PROPER(Q648)</f>
        <v>Cash</v>
      </c>
      <c r="S648" s="0" t="s">
        <v>50</v>
      </c>
      <c r="U648" s="5" t="n">
        <f aca="false">IF(ISBLANK(T648),AVERAGE(T648:T1647),T648)</f>
        <v>3.16780821917808</v>
      </c>
      <c r="V648" s="0" t="n">
        <v>1.4</v>
      </c>
      <c r="W648" s="0" t="s">
        <v>111</v>
      </c>
      <c r="X648" s="0" t="str">
        <f aca="false">IF(ISBLANK(W648),"No remarks",W648)</f>
        <v>Changed all filters</v>
      </c>
      <c r="Y648" s="0" t="s">
        <v>73</v>
      </c>
      <c r="Z648" s="0" t="s">
        <v>159</v>
      </c>
      <c r="AA648" s="0" t="str">
        <f aca="false">PROPER(IF(ISBLANK(Z648),"Location Unavailable",Z648))</f>
        <v>Main Bay</v>
      </c>
      <c r="AB648" s="0" t="s">
        <v>167</v>
      </c>
      <c r="AC648" s="6" t="str">
        <f aca="false">PROPER(AB648)</f>
        <v>Word Of Mouth</v>
      </c>
      <c r="AD648" s="6" t="n">
        <v>45</v>
      </c>
      <c r="AE648" s="5" t="n">
        <f aca="false">IF(ISBLANK(AD648),AVERAGEIF(L648:L1647,L648,AD648:AD1647),AD648)</f>
        <v>45</v>
      </c>
      <c r="AF648" s="0" t="s">
        <v>96</v>
      </c>
      <c r="AG648" s="0" t="str">
        <f aca="false">PROPER(AF648)</f>
        <v>Ordered</v>
      </c>
      <c r="AH648" s="0" t="s">
        <v>56</v>
      </c>
      <c r="AI648" s="0" t="s">
        <v>98</v>
      </c>
      <c r="AJ648" s="0" t="str">
        <f aca="false">PROPER(AI648)</f>
        <v>Emergency</v>
      </c>
      <c r="AK648" s="0" t="s">
        <v>58</v>
      </c>
      <c r="AL648" s="0" t="str">
        <f aca="false">PROPER(AK648)</f>
        <v>Fleet Owner</v>
      </c>
      <c r="AM648" s="0" t="s">
        <v>59</v>
      </c>
      <c r="AN648" s="0" t="str">
        <f aca="false">IF(ISBLANK(AM648),"Unknown",AM648)</f>
        <v>Bolt Driver</v>
      </c>
      <c r="AO648" s="0" t="s">
        <v>79</v>
      </c>
      <c r="AP648" s="0" t="str">
        <f aca="false">IF(ISBLANK(AO648),"Unknown",AO648)</f>
        <v>Specialist</v>
      </c>
      <c r="AQ648" s="0" t="n">
        <v>40000</v>
      </c>
      <c r="AR648" s="5" t="n">
        <f aca="false">IF(ISBLANK(AQ648),AVERAGEIF(M648:M1647,M648,AQ648:AQ1647),AQ648)</f>
        <v>40000</v>
      </c>
      <c r="AS648" s="0" t="n">
        <v>30000</v>
      </c>
      <c r="AT648" s="5" t="n">
        <f aca="false">IF(ISBLANK(AS648),AVERAGE(AS648:AS1647),AS648)</f>
        <v>30000</v>
      </c>
      <c r="AU648" s="0" t="s">
        <v>82</v>
      </c>
      <c r="AV648" s="0" t="str">
        <f aca="false">PROPER(IF(ISBLANK(AU648),"No",AU648))</f>
        <v>Yes</v>
      </c>
      <c r="AX648" s="5" t="n">
        <f aca="false">IF(ISBLANK(AW648),0,AW648)</f>
        <v>0</v>
      </c>
      <c r="AY648" s="0" t="s">
        <v>130</v>
      </c>
      <c r="AZ648" s="0" t="str">
        <f aca="false">UPPER(IF(ISBLANK(AY648),"NONE",AY648))</f>
        <v>LOYALTY10</v>
      </c>
      <c r="BB648" s="7" t="str">
        <f aca="false">IF(ISBLANK(BA648),"No Follow Up Needed",BA648)</f>
        <v>No Follow Up Needed</v>
      </c>
      <c r="BC648" s="0" t="s">
        <v>82</v>
      </c>
      <c r="BD648" s="0" t="str">
        <f aca="false">PROPER(IF(ISBLANK(BC648),"Unknown",BC648))</f>
        <v>Yes</v>
      </c>
      <c r="BE648" s="0" t="s">
        <v>171</v>
      </c>
      <c r="BF648" s="0" t="str">
        <f aca="false">IF(ISBLANK(BE648),"No comments",BE648)</f>
        <v>Shock absorber weakening</v>
      </c>
      <c r="BG648" s="0" t="s">
        <v>2320</v>
      </c>
      <c r="BH648" s="0" t="str">
        <f aca="false">IF(ISBLANK(BG648),"No comments",BG648)</f>
        <v>No complaints</v>
      </c>
      <c r="BI648" s="0" t="s">
        <v>50</v>
      </c>
      <c r="BJ648" s="0" t="str">
        <f aca="false">IF(ISBLANK(BI648),"Not Mentioned",BI648)</f>
        <v>No</v>
      </c>
      <c r="BK648" s="0" t="s">
        <v>61</v>
      </c>
      <c r="BL648" s="0" t="str">
        <f aca="false">PROPER(IF(ISBLANK(BK648),"Not Mentioned",BK648))</f>
        <v>No</v>
      </c>
      <c r="BM648" s="0" t="s">
        <v>63</v>
      </c>
      <c r="BN648" s="0" t="str">
        <f aca="false">PROPER(IF(ISBLANK(BM648),"Not Mentioned",BM648))</f>
        <v>Yes</v>
      </c>
      <c r="BO648" s="0" t="s">
        <v>2321</v>
      </c>
      <c r="BP648" s="0" t="str">
        <f aca="false">IF(ISBLANK(BO648),"One-Time Plan",BO648)</f>
        <v>One-Time Plan</v>
      </c>
      <c r="BR648" s="0" t="str">
        <f aca="false">PROPER(IF(ISBLANK(BQ648),"No",BQ648))</f>
        <v>No</v>
      </c>
    </row>
    <row r="649" customFormat="false" ht="15" hidden="false" customHeight="false" outlineLevel="0" collapsed="false">
      <c r="A649" s="0" t="s">
        <v>1586</v>
      </c>
      <c r="B649" s="2" t="n">
        <v>45703</v>
      </c>
      <c r="C649" s="2" t="str">
        <f aca="false">TEXT(B649,"dd/mm/yyyy")</f>
        <v>15/02/2025</v>
      </c>
      <c r="D649" s="0" t="s">
        <v>163</v>
      </c>
      <c r="E649" s="0" t="n">
        <v>8015316025</v>
      </c>
      <c r="F649" s="0" t="s">
        <v>85</v>
      </c>
      <c r="G649" s="0" t="s">
        <v>2319</v>
      </c>
      <c r="H649" s="0" t="s">
        <v>1587</v>
      </c>
      <c r="I649" s="0" t="s">
        <v>69</v>
      </c>
      <c r="J649" s="0" t="s">
        <v>87</v>
      </c>
      <c r="K649" s="3" t="str">
        <f aca="false" t="array" ref="K649:K649">IFERROR(IF(J649&lt;&gt;"",J649,INDEX(J649:J1648,MATCH(1,(F649:F1648=F649)*(I649:I1648=I649)*(L649:L1648=L649)*(J649:J1648&lt;&gt;""),0))),"Not Found")</f>
        <v>Oil Change</v>
      </c>
      <c r="L649" s="3" t="s">
        <v>154</v>
      </c>
      <c r="M649" s="0" t="str">
        <f aca="false">PROPER(L649)</f>
        <v>Air Filter</v>
      </c>
      <c r="N649" s="3" t="s">
        <v>90</v>
      </c>
      <c r="O649" s="0" t="str">
        <f aca="false" t="array" ref="O649:O649">IF(N649&lt;&gt;"",N649,_xlfn.xlookup(1,(L649:L1648=L649)*(N649:N1648&lt;&gt;""),N649:N1648,"Not Found"))</f>
        <v>Musa</v>
      </c>
      <c r="P649" s="4" t="n">
        <v>67340</v>
      </c>
      <c r="Q649" s="0" t="s">
        <v>72</v>
      </c>
      <c r="R649" s="0" t="str">
        <f aca="false">PROPER(Q649)</f>
        <v>Pos</v>
      </c>
      <c r="S649" s="0" t="s">
        <v>63</v>
      </c>
      <c r="T649" s="0" t="n">
        <v>3</v>
      </c>
      <c r="U649" s="5" t="n">
        <f aca="false">IF(ISBLANK(T649),AVERAGE(T649:T1648),T649)</f>
        <v>3</v>
      </c>
      <c r="V649" s="0" t="n">
        <v>3.5</v>
      </c>
      <c r="W649" s="0" t="s">
        <v>92</v>
      </c>
      <c r="X649" s="0" t="str">
        <f aca="false">IF(ISBLANK(W649),"No remarks",W649)</f>
        <v>Urgent service</v>
      </c>
      <c r="Y649" s="0" t="s">
        <v>52</v>
      </c>
      <c r="Z649" s="0" t="s">
        <v>136</v>
      </c>
      <c r="AA649" s="0" t="str">
        <f aca="false">PROPER(IF(ISBLANK(Z649),"Location Unavailable",Z649))</f>
        <v>Vip Section</v>
      </c>
      <c r="AB649" s="0" t="s">
        <v>75</v>
      </c>
      <c r="AC649" s="6" t="str">
        <f aca="false">PROPER(AB649)</f>
        <v>Mechanik Referal</v>
      </c>
      <c r="AD649" s="6" t="n">
        <v>45</v>
      </c>
      <c r="AE649" s="5" t="n">
        <f aca="false">IF(ISBLANK(AD649),AVERAGEIF(L649:L1648,L649,AD649:AD1648),AD649)</f>
        <v>45</v>
      </c>
      <c r="AF649" s="0" t="s">
        <v>160</v>
      </c>
      <c r="AG649" s="0" t="str">
        <f aca="false">PROPER(AF649)</f>
        <v>Availaible</v>
      </c>
      <c r="AH649" s="0" t="s">
        <v>155</v>
      </c>
      <c r="AI649" s="0" t="s">
        <v>78</v>
      </c>
      <c r="AJ649" s="0" t="str">
        <f aca="false">PROPER(AI649)</f>
        <v>Booking</v>
      </c>
      <c r="AK649" s="0" t="s">
        <v>114</v>
      </c>
      <c r="AL649" s="0" t="str">
        <f aca="false">PROPER(AK649)</f>
        <v>Returning</v>
      </c>
      <c r="AN649" s="0" t="str">
        <f aca="false">IF(ISBLANK(AM649),"Unknown",AM649)</f>
        <v>Unknown</v>
      </c>
      <c r="AO649" s="0" t="s">
        <v>149</v>
      </c>
      <c r="AP649" s="0" t="str">
        <f aca="false">IF(ISBLANK(AO649),"Unknown",AO649)</f>
        <v>Senior </v>
      </c>
      <c r="AR649" s="5" t="n">
        <f aca="false">IF(ISBLANK(AQ649),AVERAGEIF(M649:M1648,M649,AQ649:AQ1648),AQ649)</f>
        <v>25454.5454545455</v>
      </c>
      <c r="AS649" s="0" t="n">
        <v>30000</v>
      </c>
      <c r="AT649" s="5" t="n">
        <f aca="false">IF(ISBLANK(AS649),AVERAGE(AS649:AS1648),AS649)</f>
        <v>30000</v>
      </c>
      <c r="AU649" s="0" t="s">
        <v>82</v>
      </c>
      <c r="AV649" s="0" t="str">
        <f aca="false">PROPER(IF(ISBLANK(AU649),"No",AU649))</f>
        <v>Yes</v>
      </c>
      <c r="AW649" s="0" t="n">
        <v>5000</v>
      </c>
      <c r="AX649" s="5" t="n">
        <f aca="false">IF(ISBLANK(AW649),0,AW649)</f>
        <v>5000</v>
      </c>
      <c r="AY649" s="0" t="s">
        <v>184</v>
      </c>
      <c r="AZ649" s="0" t="str">
        <f aca="false">UPPER(IF(ISBLANK(AY649),"NONE",AY649))</f>
        <v>N/A</v>
      </c>
      <c r="BA649" s="7" t="s">
        <v>805</v>
      </c>
      <c r="BB649" s="7" t="str">
        <f aca="false">IF(ISBLANK(BA649),"No Follow Up Needed",BA649)</f>
        <v>21/11/2025</v>
      </c>
      <c r="BC649" s="0" t="s">
        <v>50</v>
      </c>
      <c r="BD649" s="0" t="str">
        <f aca="false">PROPER(IF(ISBLANK(BC649),"Unknown",BC649))</f>
        <v>No</v>
      </c>
      <c r="BF649" s="0" t="str">
        <f aca="false">IF(ISBLANK(BE649),"No comments",BE649)</f>
        <v>No comments</v>
      </c>
      <c r="BH649" s="0" t="str">
        <f aca="false">IF(ISBLANK(BG649),"No comments",BG649)</f>
        <v>No comments</v>
      </c>
      <c r="BI649" s="0" t="s">
        <v>50</v>
      </c>
      <c r="BJ649" s="0" t="str">
        <f aca="false">IF(ISBLANK(BI649),"Not Mentioned",BI649)</f>
        <v>No</v>
      </c>
      <c r="BL649" s="0" t="str">
        <f aca="false">PROPER(IF(ISBLANK(BK649),"Not Mentioned",BK649))</f>
        <v>Not Mentioned</v>
      </c>
      <c r="BM649" s="0" t="s">
        <v>63</v>
      </c>
      <c r="BN649" s="0" t="str">
        <f aca="false">PROPER(IF(ISBLANK(BM649),"Not Mentioned",BM649))</f>
        <v>Yes</v>
      </c>
      <c r="BO649" s="0" t="s">
        <v>2321</v>
      </c>
      <c r="BP649" s="0" t="str">
        <f aca="false">IF(ISBLANK(BO649),"One-Time Plan",BO649)</f>
        <v>One-Time Plan</v>
      </c>
      <c r="BQ649" s="0" t="s">
        <v>50</v>
      </c>
      <c r="BR649" s="0" t="str">
        <f aca="false">PROPER(IF(ISBLANK(BQ649),"No",BQ649))</f>
        <v>No</v>
      </c>
    </row>
    <row r="650" customFormat="false" ht="15" hidden="false" customHeight="false" outlineLevel="0" collapsed="false">
      <c r="A650" s="0" t="s">
        <v>1588</v>
      </c>
      <c r="B650" s="2" t="n">
        <v>45904</v>
      </c>
      <c r="C650" s="2" t="str">
        <f aca="false">TEXT(B650,"dd/mm/yyyy")</f>
        <v>04/09/2025</v>
      </c>
      <c r="D650" s="0" t="s">
        <v>163</v>
      </c>
      <c r="E650" s="0" t="n">
        <v>8079910371</v>
      </c>
      <c r="F650" s="0" t="s">
        <v>43</v>
      </c>
      <c r="G650" s="0" t="s">
        <v>2315</v>
      </c>
      <c r="H650" s="0" t="s">
        <v>1589</v>
      </c>
      <c r="I650" s="0" t="s">
        <v>69</v>
      </c>
      <c r="J650" s="0" t="s">
        <v>2322</v>
      </c>
      <c r="K650" s="3" t="str">
        <f aca="false" t="array" ref="K650:K650">IFERROR(IF(J650&lt;&gt;"",J650,INDEX(J650:J1649,MATCH(1,(F650:F1649=F650)*(I650:I1649=I650)*(L650:L1649=L650)*(J650:J1649&lt;&gt;""),0))),"Not Found")</f>
        <v>Brake Failure</v>
      </c>
      <c r="L650" s="3" t="s">
        <v>108</v>
      </c>
      <c r="M650" s="0" t="str">
        <f aca="false">PROPER(L650)</f>
        <v>Timing Belt</v>
      </c>
      <c r="N650" s="3" t="s">
        <v>71</v>
      </c>
      <c r="O650" s="0" t="str">
        <f aca="false" t="array" ref="O650:O650">IF(N650&lt;&gt;"",N650,_xlfn.xlookup(1,(L650:L1649=L650)*(N650:N1649&lt;&gt;""),N650:N1649,"Not Found"))</f>
        <v>Isaac Bobo</v>
      </c>
      <c r="P650" s="4" t="n">
        <v>61593</v>
      </c>
      <c r="Q650" s="0" t="s">
        <v>166</v>
      </c>
      <c r="R650" s="0" t="str">
        <f aca="false">PROPER(Q650)</f>
        <v>Transfer</v>
      </c>
      <c r="S650" s="0" t="s">
        <v>63</v>
      </c>
      <c r="T650" s="0" t="n">
        <v>5</v>
      </c>
      <c r="U650" s="5" t="n">
        <f aca="false">IF(ISBLANK(T650),AVERAGE(T650:T1649),T650)</f>
        <v>5</v>
      </c>
      <c r="V650" s="0" t="n">
        <v>2.5</v>
      </c>
      <c r="X650" s="0" t="str">
        <f aca="false">IF(ISBLANK(W650),"No remarks",W650)</f>
        <v>No remarks</v>
      </c>
      <c r="Y650" s="0" t="s">
        <v>52</v>
      </c>
      <c r="AA650" s="0" t="str">
        <f aca="false">PROPER(IF(ISBLANK(Z650),"Location Unavailable",Z650))</f>
        <v>Location Unavailable</v>
      </c>
      <c r="AB650" s="0" t="s">
        <v>54</v>
      </c>
      <c r="AC650" s="6" t="str">
        <f aca="false">PROPER(AB650)</f>
        <v>Mechanic Referral</v>
      </c>
      <c r="AE650" s="5" t="n">
        <f aca="false">IF(ISBLANK(AD650),AVERAGEIF(L650:L1649,L650,AD650:AD1649),AD650)</f>
        <v>39.2727272727273</v>
      </c>
      <c r="AF650" s="0" t="s">
        <v>112</v>
      </c>
      <c r="AG650" s="0" t="str">
        <f aca="false">PROPER(AF650)</f>
        <v>Unavailable</v>
      </c>
      <c r="AH650" s="0" t="s">
        <v>155</v>
      </c>
      <c r="AI650" s="0" t="s">
        <v>113</v>
      </c>
      <c r="AJ650" s="0" t="str">
        <f aca="false">PROPER(AI650)</f>
        <v>Normal</v>
      </c>
      <c r="AK650" s="0" t="s">
        <v>99</v>
      </c>
      <c r="AL650" s="0" t="str">
        <f aca="false">PROPER(AK650)</f>
        <v>Uber Driver</v>
      </c>
      <c r="AM650" s="0" t="s">
        <v>2324</v>
      </c>
      <c r="AN650" s="0" t="str">
        <f aca="false">IF(ISBLANK(AM650),"Unknown",AM650)</f>
        <v>Logistics Convoy</v>
      </c>
      <c r="AO650" s="0" t="s">
        <v>79</v>
      </c>
      <c r="AP650" s="0" t="str">
        <f aca="false">IF(ISBLANK(AO650),"Unknown",AO650)</f>
        <v>Specialist</v>
      </c>
      <c r="AQ650" s="0" t="n">
        <v>15000</v>
      </c>
      <c r="AR650" s="5" t="n">
        <f aca="false">IF(ISBLANK(AQ650),AVERAGEIF(M650:M1649,M650,AQ650:AQ1649),AQ650)</f>
        <v>15000</v>
      </c>
      <c r="AS650" s="0" t="n">
        <v>30000</v>
      </c>
      <c r="AT650" s="5" t="n">
        <f aca="false">IF(ISBLANK(AS650),AVERAGE(AS650:AS1649),AS650)</f>
        <v>30000</v>
      </c>
      <c r="AU650" s="0" t="s">
        <v>82</v>
      </c>
      <c r="AV650" s="0" t="str">
        <f aca="false">PROPER(IF(ISBLANK(AU650),"No",AU650))</f>
        <v>Yes</v>
      </c>
      <c r="AW650" s="0" t="n">
        <v>10000</v>
      </c>
      <c r="AX650" s="5" t="n">
        <f aca="false">IF(ISBLANK(AW650),0,AW650)</f>
        <v>10000</v>
      </c>
      <c r="AY650" s="0" t="s">
        <v>184</v>
      </c>
      <c r="AZ650" s="0" t="str">
        <f aca="false">UPPER(IF(ISBLANK(AY650),"NONE",AY650))</f>
        <v>N/A</v>
      </c>
      <c r="BA650" s="7" t="n">
        <v>45838</v>
      </c>
      <c r="BB650" s="7" t="n">
        <f aca="false">IF(ISBLANK(BA650),"No Follow Up Needed",BA650)</f>
        <v>45838</v>
      </c>
      <c r="BD650" s="0" t="str">
        <f aca="false">PROPER(IF(ISBLANK(BC650),"Unknown",BC650))</f>
        <v>Unknown</v>
      </c>
      <c r="BE650" s="0" t="s">
        <v>171</v>
      </c>
      <c r="BF650" s="0" t="str">
        <f aca="false">IF(ISBLANK(BE650),"No comments",BE650)</f>
        <v>Shock absorber weakening</v>
      </c>
      <c r="BH650" s="0" t="str">
        <f aca="false">IF(ISBLANK(BG650),"No comments",BG650)</f>
        <v>No comments</v>
      </c>
      <c r="BI650" s="0" t="s">
        <v>50</v>
      </c>
      <c r="BJ650" s="0" t="str">
        <f aca="false">IF(ISBLANK(BI650),"Not Mentioned",BI650)</f>
        <v>No</v>
      </c>
      <c r="BL650" s="0" t="str">
        <f aca="false">PROPER(IF(ISBLANK(BK650),"Not Mentioned",BK650))</f>
        <v>Not Mentioned</v>
      </c>
      <c r="BN650" s="0" t="str">
        <f aca="false">PROPER(IF(ISBLANK(BM650),"Not Mentioned",BM650))</f>
        <v>Not Mentioned</v>
      </c>
      <c r="BO650" s="0" t="s">
        <v>2321</v>
      </c>
      <c r="BP650" s="0" t="str">
        <f aca="false">IF(ISBLANK(BO650),"One-Time Plan",BO650)</f>
        <v>One-Time Plan</v>
      </c>
      <c r="BQ650" s="0" t="s">
        <v>190</v>
      </c>
      <c r="BR650" s="0" t="str">
        <f aca="false">PROPER(IF(ISBLANK(BQ650),"No",BQ650))</f>
        <v>Yes</v>
      </c>
    </row>
    <row r="651" customFormat="false" ht="15" hidden="false" customHeight="false" outlineLevel="0" collapsed="false">
      <c r="A651" s="0" t="s">
        <v>1590</v>
      </c>
      <c r="B651" s="2" t="n">
        <v>45819</v>
      </c>
      <c r="C651" s="2" t="str">
        <f aca="false">TEXT(B651,"dd/mm/yyyy")</f>
        <v>11/06/2025</v>
      </c>
      <c r="D651" s="0" t="s">
        <v>163</v>
      </c>
      <c r="E651" s="0" t="n">
        <v>8065686049</v>
      </c>
      <c r="F651" s="0" t="s">
        <v>85</v>
      </c>
      <c r="G651" s="0" t="s">
        <v>2319</v>
      </c>
      <c r="H651" s="0" t="s">
        <v>1591</v>
      </c>
      <c r="I651" s="0" t="s">
        <v>69</v>
      </c>
      <c r="J651" s="0" t="s">
        <v>2317</v>
      </c>
      <c r="K651" s="3" t="str">
        <f aca="false" t="array" ref="K651:K651">IFERROR(IF(J651&lt;&gt;"",J651,INDEX(J651:J1650,MATCH(1,(F651:F1650=F651)*(I651:I1650=I651)*(L651:L1650=L651)*(J651:J1650&lt;&gt;""),0))),"Not Found")</f>
        <v>Suspension Noise</v>
      </c>
      <c r="L651" s="3" t="s">
        <v>142</v>
      </c>
      <c r="M651" s="0" t="str">
        <f aca="false">PROPER(L651)</f>
        <v>Oil Filter, Brake Pads</v>
      </c>
      <c r="N651" s="3" t="s">
        <v>48</v>
      </c>
      <c r="O651" s="0" t="str">
        <f aca="false" t="array" ref="O651:O651">IF(N651&lt;&gt;"",N651,_xlfn.xlookup(1,(L651:L1650=L651)*(N651:N1650&lt;&gt;""),N651:N1650,"Not Found"))</f>
        <v>Uche</v>
      </c>
      <c r="P651" s="4" t="n">
        <v>67253</v>
      </c>
      <c r="Q651" s="0" t="s">
        <v>72</v>
      </c>
      <c r="R651" s="0" t="str">
        <f aca="false">PROPER(Q651)</f>
        <v>Pos</v>
      </c>
      <c r="S651" s="0" t="s">
        <v>63</v>
      </c>
      <c r="U651" s="5" t="n">
        <f aca="false">IF(ISBLANK(T651),AVERAGE(T651:T1650),T651)</f>
        <v>3.16206896551724</v>
      </c>
      <c r="V651" s="0" t="n">
        <v>1.7</v>
      </c>
      <c r="W651" s="0" t="s">
        <v>111</v>
      </c>
      <c r="X651" s="0" t="str">
        <f aca="false">IF(ISBLANK(W651),"No remarks",W651)</f>
        <v>Changed all filters</v>
      </c>
      <c r="Y651" s="0" t="s">
        <v>73</v>
      </c>
      <c r="AA651" s="0" t="str">
        <f aca="false">PROPER(IF(ISBLANK(Z651),"Location Unavailable",Z651))</f>
        <v>Location Unavailable</v>
      </c>
      <c r="AB651" s="0" t="s">
        <v>167</v>
      </c>
      <c r="AC651" s="6" t="str">
        <f aca="false">PROPER(AB651)</f>
        <v>Word Of Mouth</v>
      </c>
      <c r="AD651" s="6" t="n">
        <v>45</v>
      </c>
      <c r="AE651" s="5" t="n">
        <f aca="false">IF(ISBLANK(AD651),AVERAGEIF(L651:L1650,L651,AD651:AD1650),AD651)</f>
        <v>45</v>
      </c>
      <c r="AF651" s="0" t="s">
        <v>96</v>
      </c>
      <c r="AG651" s="0" t="str">
        <f aca="false">PROPER(AF651)</f>
        <v>Ordered</v>
      </c>
      <c r="AH651" s="0" t="s">
        <v>77</v>
      </c>
      <c r="AI651" s="0" t="s">
        <v>113</v>
      </c>
      <c r="AJ651" s="0" t="str">
        <f aca="false">PROPER(AI651)</f>
        <v>Normal</v>
      </c>
      <c r="AK651" s="0" t="s">
        <v>196</v>
      </c>
      <c r="AL651" s="0" t="str">
        <f aca="false">PROPER(AK651)</f>
        <v>First Time</v>
      </c>
      <c r="AN651" s="0" t="str">
        <f aca="false">IF(ISBLANK(AM651),"Unknown",AM651)</f>
        <v>Unknown</v>
      </c>
      <c r="AO651" s="0" t="s">
        <v>143</v>
      </c>
      <c r="AP651" s="0" t="str">
        <f aca="false">IF(ISBLANK(AO651),"Unknown",AO651)</f>
        <v>Senior</v>
      </c>
      <c r="AQ651" s="0" t="n">
        <v>25000</v>
      </c>
      <c r="AR651" s="5" t="n">
        <f aca="false">IF(ISBLANK(AQ651),AVERAGEIF(M651:M1650,M651,AQ651:AQ1650),AQ651)</f>
        <v>25000</v>
      </c>
      <c r="AS651" s="0" t="n">
        <v>40000</v>
      </c>
      <c r="AT651" s="5" t="n">
        <f aca="false">IF(ISBLANK(AS651),AVERAGE(AS651:AS1650),AS651)</f>
        <v>40000</v>
      </c>
      <c r="AU651" s="0" t="s">
        <v>61</v>
      </c>
      <c r="AV651" s="0" t="str">
        <f aca="false">PROPER(IF(ISBLANK(AU651),"No",AU651))</f>
        <v>No</v>
      </c>
      <c r="AW651" s="0" t="n">
        <v>10000</v>
      </c>
      <c r="AX651" s="5" t="n">
        <f aca="false">IF(ISBLANK(AW651),0,AW651)</f>
        <v>10000</v>
      </c>
      <c r="AY651" s="0" t="s">
        <v>184</v>
      </c>
      <c r="AZ651" s="0" t="str">
        <f aca="false">UPPER(IF(ISBLANK(AY651),"NONE",AY651))</f>
        <v>N/A</v>
      </c>
      <c r="BB651" s="7" t="str">
        <f aca="false">IF(ISBLANK(BA651),"No Follow Up Needed",BA651)</f>
        <v>No Follow Up Needed</v>
      </c>
      <c r="BC651" s="0" t="s">
        <v>61</v>
      </c>
      <c r="BD651" s="0" t="str">
        <f aca="false">PROPER(IF(ISBLANK(BC651),"Unknown",BC651))</f>
        <v>No</v>
      </c>
      <c r="BE651" s="0" t="s">
        <v>171</v>
      </c>
      <c r="BF651" s="0" t="str">
        <f aca="false">IF(ISBLANK(BE651),"No comments",BE651)</f>
        <v>Shock absorber weakening</v>
      </c>
      <c r="BG651" s="0" t="s">
        <v>2320</v>
      </c>
      <c r="BH651" s="0" t="str">
        <f aca="false">IF(ISBLANK(BG651),"No comments",BG651)</f>
        <v>No complaints</v>
      </c>
      <c r="BI651" s="0" t="s">
        <v>50</v>
      </c>
      <c r="BJ651" s="0" t="str">
        <f aca="false">IF(ISBLANK(BI651),"Not Mentioned",BI651)</f>
        <v>No</v>
      </c>
      <c r="BK651" s="0" t="s">
        <v>63</v>
      </c>
      <c r="BL651" s="0" t="str">
        <f aca="false">PROPER(IF(ISBLANK(BK651),"Not Mentioned",BK651))</f>
        <v>Yes</v>
      </c>
      <c r="BM651" s="0" t="s">
        <v>63</v>
      </c>
      <c r="BN651" s="0" t="str">
        <f aca="false">PROPER(IF(ISBLANK(BM651),"Not Mentioned",BM651))</f>
        <v>Yes</v>
      </c>
      <c r="BO651" s="0" t="s">
        <v>2318</v>
      </c>
      <c r="BP651" s="0" t="str">
        <f aca="false">IF(ISBLANK(BO651),"One-Time Plan",BO651)</f>
        <v>Gold</v>
      </c>
      <c r="BQ651" s="0" t="s">
        <v>63</v>
      </c>
      <c r="BR651" s="0" t="str">
        <f aca="false">PROPER(IF(ISBLANK(BQ651),"No",BQ651))</f>
        <v>Yes</v>
      </c>
    </row>
    <row r="652" customFormat="false" ht="15" hidden="false" customHeight="false" outlineLevel="0" collapsed="false">
      <c r="A652" s="0" t="s">
        <v>1592</v>
      </c>
      <c r="B652" s="2" t="n">
        <v>45679</v>
      </c>
      <c r="C652" s="2" t="str">
        <f aca="false">TEXT(B652,"dd/mm/yyyy")</f>
        <v>22/01/2025</v>
      </c>
      <c r="D652" s="0" t="s">
        <v>42</v>
      </c>
      <c r="E652" s="0" t="n">
        <v>8096979318</v>
      </c>
      <c r="F652" s="0" t="s">
        <v>43</v>
      </c>
      <c r="G652" s="0" t="s">
        <v>2315</v>
      </c>
      <c r="H652" s="0" t="s">
        <v>1593</v>
      </c>
      <c r="I652" s="0" t="s">
        <v>134</v>
      </c>
      <c r="J652" s="0" t="s">
        <v>2325</v>
      </c>
      <c r="K652" s="3" t="str">
        <f aca="false" t="array" ref="K652:K652">IFERROR(IF(J652&lt;&gt;"",J652,INDEX(J652:J1651,MATCH(1,(F652:F1651=F652)*(I652:I1651=I652)*(L652:L1651=L652)*(J652:J1651&lt;&gt;""),0))),"Not Found")</f>
        <v>Engine Knocking</v>
      </c>
      <c r="L652" s="3" t="s">
        <v>154</v>
      </c>
      <c r="M652" s="0" t="str">
        <f aca="false">PROPER(L652)</f>
        <v>Air Filter</v>
      </c>
      <c r="N652" s="3" t="s">
        <v>109</v>
      </c>
      <c r="O652" s="0" t="str">
        <f aca="false" t="array" ref="O652:O652">IF(N652&lt;&gt;"",N652,_xlfn.xlookup(1,(L652:L1651=L652)*(N652:N1651&lt;&gt;""),N652:N1651,"Not Found"))</f>
        <v>Tijani</v>
      </c>
      <c r="P652" s="4" t="n">
        <v>117897</v>
      </c>
      <c r="Q652" s="0" t="s">
        <v>166</v>
      </c>
      <c r="R652" s="0" t="str">
        <f aca="false">PROPER(Q652)</f>
        <v>Transfer</v>
      </c>
      <c r="S652" s="0" t="s">
        <v>50</v>
      </c>
      <c r="T652" s="0" t="n">
        <v>1</v>
      </c>
      <c r="U652" s="5" t="n">
        <f aca="false">IF(ISBLANK(T652),AVERAGE(T652:T1651),T652)</f>
        <v>1</v>
      </c>
      <c r="V652" s="0" t="n">
        <v>2.4</v>
      </c>
      <c r="W652" s="0" t="s">
        <v>51</v>
      </c>
      <c r="X652" s="0" t="str">
        <f aca="false">IF(ISBLANK(W652),"No remarks",W652)</f>
        <v>Recommended further checks</v>
      </c>
      <c r="Y652" s="0" t="s">
        <v>52</v>
      </c>
      <c r="Z652" s="0" t="s">
        <v>94</v>
      </c>
      <c r="AA652" s="0" t="str">
        <f aca="false">PROPER(IF(ISBLANK(Z652),"Location Unavailable",Z652))</f>
        <v>Vip Section</v>
      </c>
      <c r="AB652" s="0" t="s">
        <v>54</v>
      </c>
      <c r="AC652" s="6" t="str">
        <f aca="false">PROPER(AB652)</f>
        <v>Mechanic Referral</v>
      </c>
      <c r="AD652" s="6" t="n">
        <v>15</v>
      </c>
      <c r="AE652" s="5" t="n">
        <f aca="false">IF(ISBLANK(AD652),AVERAGEIF(L652:L1651,L652,AD652:AD1651),AD652)</f>
        <v>15</v>
      </c>
      <c r="AF652" s="0" t="s">
        <v>96</v>
      </c>
      <c r="AG652" s="0" t="str">
        <f aca="false">PROPER(AF652)</f>
        <v>Ordered</v>
      </c>
      <c r="AH652" s="0" t="s">
        <v>155</v>
      </c>
      <c r="AI652" s="0" t="s">
        <v>78</v>
      </c>
      <c r="AJ652" s="0" t="str">
        <f aca="false">PROPER(AI652)</f>
        <v>Booking</v>
      </c>
      <c r="AK652" s="0" t="s">
        <v>196</v>
      </c>
      <c r="AL652" s="0" t="str">
        <f aca="false">PROPER(AK652)</f>
        <v>First Time</v>
      </c>
      <c r="AN652" s="0" t="str">
        <f aca="false">IF(ISBLANK(AM652),"Unknown",AM652)</f>
        <v>Unknown</v>
      </c>
      <c r="AO652" s="0" t="s">
        <v>161</v>
      </c>
      <c r="AP652" s="0" t="str">
        <f aca="false">IF(ISBLANK(AO652),"Unknown",AO652)</f>
        <v>Apprentice</v>
      </c>
      <c r="AQ652" s="0" t="n">
        <v>15000</v>
      </c>
      <c r="AR652" s="5" t="n">
        <f aca="false">IF(ISBLANK(AQ652),AVERAGEIF(M652:M1651,M652,AQ652:AQ1651),AQ652)</f>
        <v>15000</v>
      </c>
      <c r="AS652" s="0" t="n">
        <v>40000</v>
      </c>
      <c r="AT652" s="5" t="n">
        <f aca="false">IF(ISBLANK(AS652),AVERAGE(AS652:AS1651),AS652)</f>
        <v>40000</v>
      </c>
      <c r="AU652" s="0" t="s">
        <v>61</v>
      </c>
      <c r="AV652" s="0" t="str">
        <f aca="false">PROPER(IF(ISBLANK(AU652),"No",AU652))</f>
        <v>No</v>
      </c>
      <c r="AX652" s="5" t="n">
        <f aca="false">IF(ISBLANK(AW652),0,AW652)</f>
        <v>0</v>
      </c>
      <c r="AY652" s="0" t="s">
        <v>184</v>
      </c>
      <c r="AZ652" s="0" t="str">
        <f aca="false">UPPER(IF(ISBLANK(AY652),"NONE",AY652))</f>
        <v>N/A</v>
      </c>
      <c r="BA652" s="7" t="n">
        <v>45991</v>
      </c>
      <c r="BB652" s="7" t="n">
        <f aca="false">IF(ISBLANK(BA652),"No Follow Up Needed",BA652)</f>
        <v>45991</v>
      </c>
      <c r="BC652" s="0" t="s">
        <v>63</v>
      </c>
      <c r="BD652" s="0" t="str">
        <f aca="false">PROPER(IF(ISBLANK(BC652),"Unknown",BC652))</f>
        <v>Yes</v>
      </c>
      <c r="BE652" s="0" t="s">
        <v>116</v>
      </c>
      <c r="BF652" s="0" t="str">
        <f aca="false">IF(ISBLANK(BE652),"No comments",BE652)</f>
        <v>Needs tire alignment</v>
      </c>
      <c r="BG652" s="0" t="s">
        <v>172</v>
      </c>
      <c r="BH652" s="0" t="str">
        <f aca="false">IF(ISBLANK(BG652),"No comments",BG652)</f>
        <v>Always late</v>
      </c>
      <c r="BI652" s="0" t="s">
        <v>63</v>
      </c>
      <c r="BJ652" s="0" t="str">
        <f aca="false">IF(ISBLANK(BI652),"Not Mentioned",BI652)</f>
        <v>Yes</v>
      </c>
      <c r="BK652" s="0" t="s">
        <v>61</v>
      </c>
      <c r="BL652" s="0" t="str">
        <f aca="false">PROPER(IF(ISBLANK(BK652),"Not Mentioned",BK652))</f>
        <v>No</v>
      </c>
      <c r="BM652" s="0" t="s">
        <v>63</v>
      </c>
      <c r="BN652" s="0" t="str">
        <f aca="false">PROPER(IF(ISBLANK(BM652),"Not Mentioned",BM652))</f>
        <v>Yes</v>
      </c>
      <c r="BO652" s="0" t="s">
        <v>64</v>
      </c>
      <c r="BP652" s="0" t="str">
        <f aca="false">IF(ISBLANK(BO652),"One-Time Plan",BO652)</f>
        <v>Gold Maintenance Plan</v>
      </c>
      <c r="BQ652" s="0" t="s">
        <v>63</v>
      </c>
      <c r="BR652" s="0" t="str">
        <f aca="false">PROPER(IF(ISBLANK(BQ652),"No",BQ652))</f>
        <v>Yes</v>
      </c>
    </row>
    <row r="653" customFormat="false" ht="15" hidden="false" customHeight="false" outlineLevel="0" collapsed="false">
      <c r="A653" s="0" t="s">
        <v>1594</v>
      </c>
      <c r="B653" s="2" t="n">
        <v>45770</v>
      </c>
      <c r="C653" s="2" t="str">
        <f aca="false">TEXT(B653,"dd/mm/yyyy")</f>
        <v>23/04/2025</v>
      </c>
      <c r="D653" s="0" t="s">
        <v>163</v>
      </c>
      <c r="E653" s="0" t="n">
        <v>8048715788</v>
      </c>
      <c r="F653" s="0" t="s">
        <v>43</v>
      </c>
      <c r="G653" s="0" t="s">
        <v>2315</v>
      </c>
      <c r="H653" s="0" t="s">
        <v>1595</v>
      </c>
      <c r="I653" s="0" t="s">
        <v>107</v>
      </c>
      <c r="J653" s="0" t="s">
        <v>2325</v>
      </c>
      <c r="K653" s="3" t="str">
        <f aca="false" t="array" ref="K653:K653">IFERROR(IF(J653&lt;&gt;"",J653,INDEX(J653:J1652,MATCH(1,(F653:F1652=F653)*(I653:I1652=I653)*(L653:L1652=L653)*(J653:J1652&lt;&gt;""),0))),"Not Found")</f>
        <v>Engine Knocking</v>
      </c>
      <c r="L653" s="3" t="s">
        <v>189</v>
      </c>
      <c r="M653" s="0" t="str">
        <f aca="false">PROPER(L653)</f>
        <v>Battery</v>
      </c>
      <c r="N653" s="3" t="s">
        <v>109</v>
      </c>
      <c r="O653" s="0" t="str">
        <f aca="false" t="array" ref="O653:O653">IF(N653&lt;&gt;"",N653,_xlfn.xlookup(1,(L653:L1652=L653)*(N653:N1652&lt;&gt;""),N653:N1652,"Not Found"))</f>
        <v>Tijani</v>
      </c>
      <c r="P653" s="4" t="n">
        <v>29518</v>
      </c>
      <c r="Q653" s="0" t="s">
        <v>72</v>
      </c>
      <c r="R653" s="0" t="str">
        <f aca="false">PROPER(Q653)</f>
        <v>Pos</v>
      </c>
      <c r="S653" s="0" t="s">
        <v>50</v>
      </c>
      <c r="U653" s="5" t="n">
        <f aca="false">IF(ISBLANK(T653),AVERAGE(T653:T1652),T653)</f>
        <v>3.16955017301038</v>
      </c>
      <c r="V653" s="0" t="n">
        <v>2.3</v>
      </c>
      <c r="X653" s="0" t="str">
        <f aca="false">IF(ISBLANK(W653),"No remarks",W653)</f>
        <v>No remarks</v>
      </c>
      <c r="Y653" s="0" t="s">
        <v>52</v>
      </c>
      <c r="Z653" s="0" t="s">
        <v>159</v>
      </c>
      <c r="AA653" s="0" t="str">
        <f aca="false">PROPER(IF(ISBLANK(Z653),"Location Unavailable",Z653))</f>
        <v>Main Bay</v>
      </c>
      <c r="AB653" s="0" t="s">
        <v>126</v>
      </c>
      <c r="AC653" s="6" t="str">
        <f aca="false">PROPER(AB653)</f>
        <v>Whatsapp</v>
      </c>
      <c r="AD653" s="6" t="n">
        <v>45</v>
      </c>
      <c r="AE653" s="5" t="n">
        <f aca="false">IF(ISBLANK(AD653),AVERAGEIF(L653:L1652,L653,AD653:AD1652),AD653)</f>
        <v>45</v>
      </c>
      <c r="AF653" s="0" t="s">
        <v>76</v>
      </c>
      <c r="AG653" s="0" t="str">
        <f aca="false">PROPER(AF653)</f>
        <v>Orderd</v>
      </c>
      <c r="AH653" s="0" t="s">
        <v>155</v>
      </c>
      <c r="AI653" s="0" t="s">
        <v>98</v>
      </c>
      <c r="AJ653" s="0" t="str">
        <f aca="false">PROPER(AI653)</f>
        <v>Emergency</v>
      </c>
      <c r="AK653" s="0" t="s">
        <v>196</v>
      </c>
      <c r="AL653" s="0" t="str">
        <f aca="false">PROPER(AK653)</f>
        <v>First Time</v>
      </c>
      <c r="AM653" s="0" t="s">
        <v>59</v>
      </c>
      <c r="AN653" s="0" t="str">
        <f aca="false">IF(ISBLANK(AM653),"Unknown",AM653)</f>
        <v>Bolt Driver</v>
      </c>
      <c r="AP653" s="0" t="str">
        <f aca="false">IF(ISBLANK(AO653),"Unknown",AO653)</f>
        <v>Unknown</v>
      </c>
      <c r="AQ653" s="0" t="n">
        <v>15000</v>
      </c>
      <c r="AR653" s="5" t="n">
        <f aca="false">IF(ISBLANK(AQ653),AVERAGEIF(M653:M1652,M653,AQ653:AQ1652),AQ653)</f>
        <v>15000</v>
      </c>
      <c r="AS653" s="0" t="n">
        <v>40000</v>
      </c>
      <c r="AT653" s="5" t="n">
        <f aca="false">IF(ISBLANK(AS653),AVERAGE(AS653:AS1652),AS653)</f>
        <v>40000</v>
      </c>
      <c r="AU653" s="0" t="s">
        <v>63</v>
      </c>
      <c r="AV653" s="0" t="str">
        <f aca="false">PROPER(IF(ISBLANK(AU653),"No",AU653))</f>
        <v>Yes</v>
      </c>
      <c r="AW653" s="0" t="n">
        <v>5000</v>
      </c>
      <c r="AX653" s="5" t="n">
        <f aca="false">IF(ISBLANK(AW653),0,AW653)</f>
        <v>5000</v>
      </c>
      <c r="AZ653" s="0" t="str">
        <f aca="false">UPPER(IF(ISBLANK(AY653),"NONE",AY653))</f>
        <v>NONE</v>
      </c>
      <c r="BA653" s="7" t="n">
        <v>45869</v>
      </c>
      <c r="BB653" s="7" t="n">
        <f aca="false">IF(ISBLANK(BA653),"No Follow Up Needed",BA653)</f>
        <v>45869</v>
      </c>
      <c r="BC653" s="0" t="s">
        <v>82</v>
      </c>
      <c r="BD653" s="0" t="str">
        <f aca="false">PROPER(IF(ISBLANK(BC653),"Unknown",BC653))</f>
        <v>Yes</v>
      </c>
      <c r="BE653" s="0" t="s">
        <v>116</v>
      </c>
      <c r="BF653" s="0" t="str">
        <f aca="false">IF(ISBLANK(BE653),"No comments",BE653)</f>
        <v>Needs tire alignment</v>
      </c>
      <c r="BG653" s="0" t="s">
        <v>172</v>
      </c>
      <c r="BH653" s="0" t="str">
        <f aca="false">IF(ISBLANK(BG653),"No comments",BG653)</f>
        <v>Always late</v>
      </c>
      <c r="BI653" s="0" t="s">
        <v>63</v>
      </c>
      <c r="BJ653" s="0" t="str">
        <f aca="false">IF(ISBLANK(BI653),"Not Mentioned",BI653)</f>
        <v>Yes</v>
      </c>
      <c r="BK653" s="0" t="s">
        <v>82</v>
      </c>
      <c r="BL653" s="0" t="str">
        <f aca="false">PROPER(IF(ISBLANK(BK653),"Not Mentioned",BK653))</f>
        <v>Yes</v>
      </c>
      <c r="BN653" s="0" t="str">
        <f aca="false">PROPER(IF(ISBLANK(BM653),"Not Mentioned",BM653))</f>
        <v>Not Mentioned</v>
      </c>
      <c r="BO653" s="0" t="s">
        <v>2321</v>
      </c>
      <c r="BP653" s="0" t="str">
        <f aca="false">IF(ISBLANK(BO653),"One-Time Plan",BO653)</f>
        <v>One-Time Plan</v>
      </c>
      <c r="BQ653" s="0" t="s">
        <v>190</v>
      </c>
      <c r="BR653" s="0" t="str">
        <f aca="false">PROPER(IF(ISBLANK(BQ653),"No",BQ653))</f>
        <v>Yes</v>
      </c>
    </row>
    <row r="654" customFormat="false" ht="15" hidden="false" customHeight="false" outlineLevel="0" collapsed="false">
      <c r="A654" s="0" t="s">
        <v>1596</v>
      </c>
      <c r="B654" s="2" t="n">
        <v>45707</v>
      </c>
      <c r="C654" s="2" t="str">
        <f aca="false">TEXT(B654,"dd/mm/yyyy")</f>
        <v>19/02/2025</v>
      </c>
      <c r="D654" s="0" t="s">
        <v>163</v>
      </c>
      <c r="E654" s="0" t="n">
        <v>8013180065</v>
      </c>
      <c r="F654" s="0" t="s">
        <v>139</v>
      </c>
      <c r="G654" s="0" t="s">
        <v>2323</v>
      </c>
      <c r="H654" s="0" t="s">
        <v>1597</v>
      </c>
      <c r="I654" s="0" t="s">
        <v>45</v>
      </c>
      <c r="J654" s="0" t="s">
        <v>2325</v>
      </c>
      <c r="K654" s="3" t="str">
        <f aca="false" t="array" ref="K654:K654">IFERROR(IF(J654&lt;&gt;"",J654,INDEX(J654:J1653,MATCH(1,(F654:F1653=F654)*(I654:I1653=I654)*(L654:L1653=L654)*(J654:J1653&lt;&gt;""),0))),"Not Found")</f>
        <v>Engine Knocking</v>
      </c>
      <c r="L654" s="3" t="s">
        <v>47</v>
      </c>
      <c r="M654" s="0" t="str">
        <f aca="false">PROPER(L654)</f>
        <v>None</v>
      </c>
      <c r="O654" s="0" t="e">
        <f aca="false" t="array" ref="O654:O654">IF(N654&lt;&gt;"",N654,_xlfn.xlookup(1,(L654:L1653=L654)*(N654:N1653&lt;&gt;""),N654:N1653,"Not Found"))</f>
        <v>#NAME?</v>
      </c>
      <c r="P654" s="4" t="n">
        <v>20345</v>
      </c>
      <c r="Q654" s="0" t="s">
        <v>166</v>
      </c>
      <c r="R654" s="0" t="str">
        <f aca="false">PROPER(Q654)</f>
        <v>Transfer</v>
      </c>
      <c r="S654" s="0" t="s">
        <v>63</v>
      </c>
      <c r="T654" s="0" t="n">
        <v>3</v>
      </c>
      <c r="U654" s="5" t="n">
        <f aca="false">IF(ISBLANK(T654),AVERAGE(T654:T1653),T654)</f>
        <v>3</v>
      </c>
      <c r="V654" s="0" t="n">
        <v>5.5</v>
      </c>
      <c r="W654" s="0" t="s">
        <v>51</v>
      </c>
      <c r="X654" s="0" t="str">
        <f aca="false">IF(ISBLANK(W654),"No remarks",W654)</f>
        <v>Recommended further checks</v>
      </c>
      <c r="Y654" s="0" t="s">
        <v>73</v>
      </c>
      <c r="Z654" s="0" t="s">
        <v>159</v>
      </c>
      <c r="AA654" s="0" t="str">
        <f aca="false">PROPER(IF(ISBLANK(Z654),"Location Unavailable",Z654))</f>
        <v>Main Bay</v>
      </c>
      <c r="AB654" s="0" t="s">
        <v>147</v>
      </c>
      <c r="AC654" s="6" t="str">
        <f aca="false">PROPER(AB654)</f>
        <v>Instagram</v>
      </c>
      <c r="AE654" s="5" t="n">
        <f aca="false">IF(ISBLANK(AD654),AVERAGEIF(L654:L1653,L654,AD654:AD1653),AD654)</f>
        <v>37.1590909090909</v>
      </c>
      <c r="AF654" s="0" t="s">
        <v>96</v>
      </c>
      <c r="AG654" s="0" t="str">
        <f aca="false">PROPER(AF654)</f>
        <v>Ordered</v>
      </c>
      <c r="AH654" s="0" t="s">
        <v>77</v>
      </c>
      <c r="AI654" s="0" t="s">
        <v>113</v>
      </c>
      <c r="AJ654" s="0" t="str">
        <f aca="false">PROPER(AI654)</f>
        <v>Normal</v>
      </c>
      <c r="AK654" s="0" t="s">
        <v>99</v>
      </c>
      <c r="AL654" s="0" t="str">
        <f aca="false">PROPER(AK654)</f>
        <v>Uber Driver</v>
      </c>
      <c r="AM654" s="0" t="s">
        <v>177</v>
      </c>
      <c r="AN654" s="0" t="str">
        <f aca="false">IF(ISBLANK(AM654),"Unknown",AM654)</f>
        <v>Private</v>
      </c>
      <c r="AO654" s="0" t="s">
        <v>161</v>
      </c>
      <c r="AP654" s="0" t="str">
        <f aca="false">IF(ISBLANK(AO654),"Unknown",AO654)</f>
        <v>Apprentice</v>
      </c>
      <c r="AR654" s="5" t="n">
        <f aca="false">IF(ISBLANK(AQ654),AVERAGEIF(M654:M1653,M654,AQ654:AQ1653),AQ654)</f>
        <v>26162.7906976744</v>
      </c>
      <c r="AS654" s="0" t="n">
        <v>30000</v>
      </c>
      <c r="AT654" s="5" t="n">
        <f aca="false">IF(ISBLANK(AS654),AVERAGE(AS654:AS1653),AS654)</f>
        <v>30000</v>
      </c>
      <c r="AV654" s="0" t="str">
        <f aca="false">PROPER(IF(ISBLANK(AU654),"No",AU654))</f>
        <v>No</v>
      </c>
      <c r="AW654" s="0" t="n">
        <v>0</v>
      </c>
      <c r="AX654" s="5" t="n">
        <f aca="false">IF(ISBLANK(AW654),0,AW654)</f>
        <v>0</v>
      </c>
      <c r="AY654" s="0" t="s">
        <v>60</v>
      </c>
      <c r="AZ654" s="0" t="str">
        <f aca="false">UPPER(IF(ISBLANK(AY654),"NONE",AY654))</f>
        <v>NONE</v>
      </c>
      <c r="BB654" s="7" t="str">
        <f aca="false">IF(ISBLANK(BA654),"No Follow Up Needed",BA654)</f>
        <v>No Follow Up Needed</v>
      </c>
      <c r="BC654" s="0" t="s">
        <v>63</v>
      </c>
      <c r="BD654" s="0" t="str">
        <f aca="false">PROPER(IF(ISBLANK(BC654),"Unknown",BC654))</f>
        <v>Yes</v>
      </c>
      <c r="BF654" s="0" t="str">
        <f aca="false">IF(ISBLANK(BE654),"No comments",BE654)</f>
        <v>No comments</v>
      </c>
      <c r="BH654" s="0" t="str">
        <f aca="false">IF(ISBLANK(BG654),"No comments",BG654)</f>
        <v>No comments</v>
      </c>
      <c r="BI654" s="0" t="s">
        <v>50</v>
      </c>
      <c r="BJ654" s="0" t="str">
        <f aca="false">IF(ISBLANK(BI654),"Not Mentioned",BI654)</f>
        <v>No</v>
      </c>
      <c r="BL654" s="0" t="str">
        <f aca="false">PROPER(IF(ISBLANK(BK654),"Not Mentioned",BK654))</f>
        <v>Not Mentioned</v>
      </c>
      <c r="BM654" s="0" t="s">
        <v>63</v>
      </c>
      <c r="BN654" s="0" t="str">
        <f aca="false">PROPER(IF(ISBLANK(BM654),"Not Mentioned",BM654))</f>
        <v>Yes</v>
      </c>
      <c r="BO654" s="0" t="s">
        <v>2318</v>
      </c>
      <c r="BP654" s="0" t="str">
        <f aca="false">IF(ISBLANK(BO654),"One-Time Plan",BO654)</f>
        <v>Gold</v>
      </c>
      <c r="BQ654" s="0" t="s">
        <v>50</v>
      </c>
      <c r="BR654" s="0" t="str">
        <f aca="false">PROPER(IF(ISBLANK(BQ654),"No",BQ654))</f>
        <v>No</v>
      </c>
    </row>
    <row r="655" customFormat="false" ht="15" hidden="false" customHeight="false" outlineLevel="0" collapsed="false">
      <c r="A655" s="0" t="s">
        <v>1598</v>
      </c>
      <c r="B655" s="2" t="n">
        <v>45674</v>
      </c>
      <c r="C655" s="2" t="str">
        <f aca="false">TEXT(B655,"dd/mm/yyyy")</f>
        <v>17/01/2025</v>
      </c>
      <c r="D655" s="0" t="s">
        <v>105</v>
      </c>
      <c r="E655" s="0" t="n">
        <v>8040737204</v>
      </c>
      <c r="F655" s="0" t="s">
        <v>122</v>
      </c>
      <c r="G655" s="0" t="s">
        <v>2316</v>
      </c>
      <c r="H655" s="0" t="s">
        <v>1599</v>
      </c>
      <c r="I655" s="0" t="s">
        <v>107</v>
      </c>
      <c r="J655" s="0" t="s">
        <v>2317</v>
      </c>
      <c r="K655" s="3" t="str">
        <f aca="false" t="array" ref="K655:K655">IFERROR(IF(J655&lt;&gt;"",J655,INDEX(J655:J1654,MATCH(1,(F655:F1654=F655)*(I655:I1654=I655)*(L655:L1654=L655)*(J655:J1654&lt;&gt;""),0))),"Not Found")</f>
        <v>Suspension Noise</v>
      </c>
      <c r="L655" s="3" t="s">
        <v>189</v>
      </c>
      <c r="M655" s="0" t="str">
        <f aca="false">PROPER(L655)</f>
        <v>Battery</v>
      </c>
      <c r="N655" s="3" t="s">
        <v>90</v>
      </c>
      <c r="O655" s="0" t="str">
        <f aca="false" t="array" ref="O655:O655">IF(N655&lt;&gt;"",N655,_xlfn.xlookup(1,(L655:L1654=L655)*(N655:N1654&lt;&gt;""),N655:N1654,"Not Found"))</f>
        <v>Musa</v>
      </c>
      <c r="P655" s="4" t="n">
        <v>56299</v>
      </c>
      <c r="Q655" s="0" t="s">
        <v>124</v>
      </c>
      <c r="R655" s="0" t="str">
        <f aca="false">PROPER(Q655)</f>
        <v>Cash</v>
      </c>
      <c r="S655" s="0" t="s">
        <v>63</v>
      </c>
      <c r="T655" s="0" t="n">
        <v>5</v>
      </c>
      <c r="U655" s="5" t="n">
        <f aca="false">IF(ISBLANK(T655),AVERAGE(T655:T1654),T655)</f>
        <v>5</v>
      </c>
      <c r="V655" s="0" t="n">
        <v>4.2</v>
      </c>
      <c r="W655" s="0" t="s">
        <v>51</v>
      </c>
      <c r="X655" s="0" t="str">
        <f aca="false">IF(ISBLANK(W655),"No remarks",W655)</f>
        <v>Recommended further checks</v>
      </c>
      <c r="Y655" s="0" t="s">
        <v>52</v>
      </c>
      <c r="Z655" s="0" t="s">
        <v>94</v>
      </c>
      <c r="AA655" s="0" t="str">
        <f aca="false">PROPER(IF(ISBLANK(Z655),"Location Unavailable",Z655))</f>
        <v>Vip Section</v>
      </c>
      <c r="AB655" s="0" t="s">
        <v>75</v>
      </c>
      <c r="AC655" s="6" t="str">
        <f aca="false">PROPER(AB655)</f>
        <v>Mechanik Referal</v>
      </c>
      <c r="AD655" s="6" t="n">
        <v>60</v>
      </c>
      <c r="AE655" s="5" t="n">
        <f aca="false">IF(ISBLANK(AD655),AVERAGEIF(L655:L1654,L655,AD655:AD1654),AD655)</f>
        <v>60</v>
      </c>
      <c r="AF655" s="0" t="s">
        <v>76</v>
      </c>
      <c r="AG655" s="0" t="str">
        <f aca="false">PROPER(AF655)</f>
        <v>Orderd</v>
      </c>
      <c r="AH655" s="0" t="s">
        <v>56</v>
      </c>
      <c r="AI655" s="0" t="s">
        <v>113</v>
      </c>
      <c r="AJ655" s="0" t="str">
        <f aca="false">PROPER(AI655)</f>
        <v>Normal</v>
      </c>
      <c r="AK655" s="0" t="s">
        <v>196</v>
      </c>
      <c r="AL655" s="0" t="str">
        <f aca="false">PROPER(AK655)</f>
        <v>First Time</v>
      </c>
      <c r="AM655" s="0" t="s">
        <v>2324</v>
      </c>
      <c r="AN655" s="0" t="str">
        <f aca="false">IF(ISBLANK(AM655),"Unknown",AM655)</f>
        <v>Logistics Convoy</v>
      </c>
      <c r="AO655" s="0" t="s">
        <v>149</v>
      </c>
      <c r="AP655" s="0" t="str">
        <f aca="false">IF(ISBLANK(AO655),"Unknown",AO655)</f>
        <v>Senior </v>
      </c>
      <c r="AQ655" s="0" t="n">
        <v>15000</v>
      </c>
      <c r="AR655" s="5" t="n">
        <f aca="false">IF(ISBLANK(AQ655),AVERAGEIF(M655:M1654,M655,AQ655:AQ1654),AQ655)</f>
        <v>15000</v>
      </c>
      <c r="AS655" s="0" t="n">
        <v>30000</v>
      </c>
      <c r="AT655" s="5" t="n">
        <f aca="false">IF(ISBLANK(AS655),AVERAGE(AS655:AS1654),AS655)</f>
        <v>30000</v>
      </c>
      <c r="AV655" s="0" t="str">
        <f aca="false">PROPER(IF(ISBLANK(AU655),"No",AU655))</f>
        <v>No</v>
      </c>
      <c r="AW655" s="0" t="n">
        <v>5000</v>
      </c>
      <c r="AX655" s="5" t="n">
        <f aca="false">IF(ISBLANK(AW655),0,AW655)</f>
        <v>5000</v>
      </c>
      <c r="AY655" s="0" t="s">
        <v>184</v>
      </c>
      <c r="AZ655" s="0" t="str">
        <f aca="false">UPPER(IF(ISBLANK(AY655),"NONE",AY655))</f>
        <v>N/A</v>
      </c>
      <c r="BA655" s="7" t="n">
        <v>45917</v>
      </c>
      <c r="BB655" s="7" t="n">
        <f aca="false">IF(ISBLANK(BA655),"No Follow Up Needed",BA655)</f>
        <v>45917</v>
      </c>
      <c r="BC655" s="0" t="s">
        <v>82</v>
      </c>
      <c r="BD655" s="0" t="str">
        <f aca="false">PROPER(IF(ISBLANK(BC655),"Unknown",BC655))</f>
        <v>Yes</v>
      </c>
      <c r="BF655" s="0" t="str">
        <f aca="false">IF(ISBLANK(BE655),"No comments",BE655)</f>
        <v>No comments</v>
      </c>
      <c r="BG655" s="0" t="s">
        <v>172</v>
      </c>
      <c r="BH655" s="0" t="str">
        <f aca="false">IF(ISBLANK(BG655),"No comments",BG655)</f>
        <v>Always late</v>
      </c>
      <c r="BI655" s="0" t="s">
        <v>63</v>
      </c>
      <c r="BJ655" s="0" t="str">
        <f aca="false">IF(ISBLANK(BI655),"Not Mentioned",BI655)</f>
        <v>Yes</v>
      </c>
      <c r="BK655" s="0" t="s">
        <v>82</v>
      </c>
      <c r="BL655" s="0" t="str">
        <f aca="false">PROPER(IF(ISBLANK(BK655),"Not Mentioned",BK655))</f>
        <v>Yes</v>
      </c>
      <c r="BM655" s="0" t="s">
        <v>63</v>
      </c>
      <c r="BN655" s="0" t="str">
        <f aca="false">PROPER(IF(ISBLANK(BM655),"Not Mentioned",BM655))</f>
        <v>Yes</v>
      </c>
      <c r="BO655" s="0" t="s">
        <v>2321</v>
      </c>
      <c r="BP655" s="0" t="str">
        <f aca="false">IF(ISBLANK(BO655),"One-Time Plan",BO655)</f>
        <v>One-Time Plan</v>
      </c>
      <c r="BQ655" s="0" t="s">
        <v>50</v>
      </c>
      <c r="BR655" s="0" t="str">
        <f aca="false">PROPER(IF(ISBLANK(BQ655),"No",BQ655))</f>
        <v>No</v>
      </c>
    </row>
    <row r="656" customFormat="false" ht="15" hidden="false" customHeight="false" outlineLevel="0" collapsed="false">
      <c r="A656" s="0" t="s">
        <v>1600</v>
      </c>
      <c r="B656" s="2" t="n">
        <v>45785</v>
      </c>
      <c r="C656" s="2" t="str">
        <f aca="false">TEXT(B656,"dd/mm/yyyy")</f>
        <v>08/05/2025</v>
      </c>
      <c r="D656" s="0" t="s">
        <v>121</v>
      </c>
      <c r="E656" s="0" t="n">
        <v>8054462343</v>
      </c>
      <c r="F656" s="0" t="s">
        <v>139</v>
      </c>
      <c r="G656" s="0" t="s">
        <v>2323</v>
      </c>
      <c r="H656" s="0" t="s">
        <v>1601</v>
      </c>
      <c r="I656" s="0" t="s">
        <v>69</v>
      </c>
      <c r="J656" s="0" t="s">
        <v>2317</v>
      </c>
      <c r="K656" s="3" t="str">
        <f aca="false" t="array" ref="K656:K656">IFERROR(IF(J656&lt;&gt;"",J656,INDEX(J656:J1655,MATCH(1,(F656:F1655=F656)*(I656:I1655=I656)*(L656:L1655=L656)*(J656:J1655&lt;&gt;""),0))),"Not Found")</f>
        <v>Suspension Noise</v>
      </c>
      <c r="L656" s="3" t="s">
        <v>89</v>
      </c>
      <c r="M656" s="0" t="str">
        <f aca="false">PROPER(L656)</f>
        <v>Shock Absorbers</v>
      </c>
      <c r="N656" s="3" t="s">
        <v>90</v>
      </c>
      <c r="O656" s="0" t="str">
        <f aca="false" t="array" ref="O656:O656">IF(N656&lt;&gt;"",N656,_xlfn.xlookup(1,(L656:L1655=L656)*(N656:N1655&lt;&gt;""),N656:N1655,"Not Found"))</f>
        <v>Musa</v>
      </c>
      <c r="P656" s="4" t="n">
        <v>86696</v>
      </c>
      <c r="Q656" s="0" t="s">
        <v>166</v>
      </c>
      <c r="R656" s="0" t="str">
        <f aca="false">PROPER(Q656)</f>
        <v>Transfer</v>
      </c>
      <c r="S656" s="0" t="s">
        <v>50</v>
      </c>
      <c r="T656" s="0" t="n">
        <v>2</v>
      </c>
      <c r="U656" s="5" t="n">
        <f aca="false">IF(ISBLANK(T656),AVERAGE(T656:T1655),T656)</f>
        <v>2</v>
      </c>
      <c r="V656" s="0" t="n">
        <v>2.1</v>
      </c>
      <c r="W656" s="0" t="s">
        <v>111</v>
      </c>
      <c r="X656" s="0" t="str">
        <f aca="false">IF(ISBLANK(W656),"No remarks",W656)</f>
        <v>Changed all filters</v>
      </c>
      <c r="Y656" s="0" t="s">
        <v>93</v>
      </c>
      <c r="Z656" s="0" t="s">
        <v>74</v>
      </c>
      <c r="AA656" s="0" t="str">
        <f aca="false">PROPER(IF(ISBLANK(Z656),"Location Unavailable",Z656))</f>
        <v>Under Tree</v>
      </c>
      <c r="AB656" s="0" t="s">
        <v>126</v>
      </c>
      <c r="AC656" s="6" t="str">
        <f aca="false">PROPER(AB656)</f>
        <v>Whatsapp</v>
      </c>
      <c r="AD656" s="6" t="n">
        <v>60</v>
      </c>
      <c r="AE656" s="5" t="n">
        <f aca="false">IF(ISBLANK(AD656),AVERAGEIF(L656:L1655,L656,AD656:AD1655),AD656)</f>
        <v>60</v>
      </c>
      <c r="AF656" s="0" t="s">
        <v>76</v>
      </c>
      <c r="AG656" s="0" t="str">
        <f aca="false">PROPER(AF656)</f>
        <v>Orderd</v>
      </c>
      <c r="AH656" s="0" t="s">
        <v>56</v>
      </c>
      <c r="AI656" s="0" t="s">
        <v>98</v>
      </c>
      <c r="AJ656" s="0" t="str">
        <f aca="false">PROPER(AI656)</f>
        <v>Emergency</v>
      </c>
      <c r="AK656" s="0" t="s">
        <v>196</v>
      </c>
      <c r="AL656" s="0" t="str">
        <f aca="false">PROPER(AK656)</f>
        <v>First Time</v>
      </c>
      <c r="AM656" s="0" t="s">
        <v>2324</v>
      </c>
      <c r="AN656" s="0" t="str">
        <f aca="false">IF(ISBLANK(AM656),"Unknown",AM656)</f>
        <v>Logistics Convoy</v>
      </c>
      <c r="AO656" s="0" t="s">
        <v>143</v>
      </c>
      <c r="AP656" s="0" t="str">
        <f aca="false">IF(ISBLANK(AO656),"Unknown",AO656)</f>
        <v>Senior</v>
      </c>
      <c r="AR656" s="5" t="n">
        <f aca="false">IF(ISBLANK(AQ656),AVERAGEIF(M656:M1655,M656,AQ656:AQ1655),AQ656)</f>
        <v>24711.5384615385</v>
      </c>
      <c r="AT656" s="5" t="n">
        <f aca="false">IF(ISBLANK(AS656),AVERAGE(AS656:AS1655),AS656)</f>
        <v>31470.5882352941</v>
      </c>
      <c r="AU656" s="0" t="s">
        <v>50</v>
      </c>
      <c r="AV656" s="0" t="str">
        <f aca="false">PROPER(IF(ISBLANK(AU656),"No",AU656))</f>
        <v>No</v>
      </c>
      <c r="AW656" s="0" t="n">
        <v>0</v>
      </c>
      <c r="AX656" s="5" t="n">
        <f aca="false">IF(ISBLANK(AW656),0,AW656)</f>
        <v>0</v>
      </c>
      <c r="AY656" s="0" t="s">
        <v>184</v>
      </c>
      <c r="AZ656" s="0" t="str">
        <f aca="false">UPPER(IF(ISBLANK(AY656),"NONE",AY656))</f>
        <v>N/A</v>
      </c>
      <c r="BA656" s="7" t="n">
        <v>45912</v>
      </c>
      <c r="BB656" s="7" t="n">
        <f aca="false">IF(ISBLANK(BA656),"No Follow Up Needed",BA656)</f>
        <v>45912</v>
      </c>
      <c r="BC656" s="0" t="s">
        <v>82</v>
      </c>
      <c r="BD656" s="0" t="str">
        <f aca="false">PROPER(IF(ISBLANK(BC656),"Unknown",BC656))</f>
        <v>Yes</v>
      </c>
      <c r="BE656" s="0" t="s">
        <v>116</v>
      </c>
      <c r="BF656" s="0" t="str">
        <f aca="false">IF(ISBLANK(BE656),"No comments",BE656)</f>
        <v>Needs tire alignment</v>
      </c>
      <c r="BH656" s="0" t="str">
        <f aca="false">IF(ISBLANK(BG656),"No comments",BG656)</f>
        <v>No comments</v>
      </c>
      <c r="BI656" s="0" t="s">
        <v>63</v>
      </c>
      <c r="BJ656" s="0" t="str">
        <f aca="false">IF(ISBLANK(BI656),"Not Mentioned",BI656)</f>
        <v>Yes</v>
      </c>
      <c r="BL656" s="0" t="str">
        <f aca="false">PROPER(IF(ISBLANK(BK656),"Not Mentioned",BK656))</f>
        <v>Not Mentioned</v>
      </c>
      <c r="BM656" s="0" t="s">
        <v>63</v>
      </c>
      <c r="BN656" s="0" t="str">
        <f aca="false">PROPER(IF(ISBLANK(BM656),"Not Mentioned",BM656))</f>
        <v>Yes</v>
      </c>
      <c r="BO656" s="0" t="s">
        <v>2318</v>
      </c>
      <c r="BP656" s="0" t="str">
        <f aca="false">IF(ISBLANK(BO656),"One-Time Plan",BO656)</f>
        <v>Gold</v>
      </c>
      <c r="BQ656" s="0" t="s">
        <v>190</v>
      </c>
      <c r="BR656" s="0" t="str">
        <f aca="false">PROPER(IF(ISBLANK(BQ656),"No",BQ656))</f>
        <v>Yes</v>
      </c>
    </row>
    <row r="657" customFormat="false" ht="15" hidden="false" customHeight="false" outlineLevel="0" collapsed="false">
      <c r="A657" s="0" t="s">
        <v>1602</v>
      </c>
      <c r="B657" s="2" t="n">
        <v>45778</v>
      </c>
      <c r="C657" s="2" t="str">
        <f aca="false">TEXT(B657,"dd/mm/yyyy")</f>
        <v>01/05/2025</v>
      </c>
      <c r="D657" s="0" t="s">
        <v>163</v>
      </c>
      <c r="E657" s="0" t="n">
        <v>8056000229</v>
      </c>
      <c r="F657" s="0" t="s">
        <v>122</v>
      </c>
      <c r="G657" s="0" t="s">
        <v>2316</v>
      </c>
      <c r="H657" s="0" t="s">
        <v>1603</v>
      </c>
      <c r="I657" s="0" t="s">
        <v>87</v>
      </c>
      <c r="J657" s="0" t="s">
        <v>87</v>
      </c>
      <c r="K657" s="3" t="str">
        <f aca="false" t="array" ref="K657:K657">IFERROR(IF(J657&lt;&gt;"",J657,INDEX(J657:J1656,MATCH(1,(F657:F1656=F657)*(I657:I1656=I657)*(L657:L1656=L657)*(J657:J1656&lt;&gt;""),0))),"Not Found")</f>
        <v>Oil Change</v>
      </c>
      <c r="L657" s="3" t="s">
        <v>189</v>
      </c>
      <c r="M657" s="0" t="str">
        <f aca="false">PROPER(L657)</f>
        <v>Battery</v>
      </c>
      <c r="N657" s="3" t="s">
        <v>90</v>
      </c>
      <c r="O657" s="0" t="str">
        <f aca="false" t="array" ref="O657:O657">IF(N657&lt;&gt;"",N657,_xlfn.xlookup(1,(L657:L1656=L657)*(N657:N1656&lt;&gt;""),N657:N1656,"Not Found"))</f>
        <v>Musa</v>
      </c>
      <c r="P657" s="4" t="n">
        <v>18398</v>
      </c>
      <c r="Q657" s="0" t="s">
        <v>124</v>
      </c>
      <c r="R657" s="0" t="str">
        <f aca="false">PROPER(Q657)</f>
        <v>Cash</v>
      </c>
      <c r="S657" s="0" t="s">
        <v>50</v>
      </c>
      <c r="T657" s="0" t="n">
        <v>4</v>
      </c>
      <c r="U657" s="5" t="n">
        <f aca="false">IF(ISBLANK(T657),AVERAGE(T657:T1656),T657)</f>
        <v>4</v>
      </c>
      <c r="V657" s="0" t="n">
        <v>3.1</v>
      </c>
      <c r="W657" s="0" t="s">
        <v>51</v>
      </c>
      <c r="X657" s="0" t="str">
        <f aca="false">IF(ISBLANK(W657),"No remarks",W657)</f>
        <v>Recommended further checks</v>
      </c>
      <c r="Y657" s="0" t="s">
        <v>52</v>
      </c>
      <c r="Z657" s="0" t="s">
        <v>136</v>
      </c>
      <c r="AA657" s="0" t="str">
        <f aca="false">PROPER(IF(ISBLANK(Z657),"Location Unavailable",Z657))</f>
        <v>Vip Section</v>
      </c>
      <c r="AB657" s="0" t="s">
        <v>126</v>
      </c>
      <c r="AC657" s="6" t="str">
        <f aca="false">PROPER(AB657)</f>
        <v>Whatsapp</v>
      </c>
      <c r="AD657" s="6" t="n">
        <v>60</v>
      </c>
      <c r="AE657" s="5" t="n">
        <f aca="false">IF(ISBLANK(AD657),AVERAGEIF(L657:L1656,L657,AD657:AD1656),AD657)</f>
        <v>60</v>
      </c>
      <c r="AF657" s="0" t="s">
        <v>76</v>
      </c>
      <c r="AG657" s="0" t="str">
        <f aca="false">PROPER(AF657)</f>
        <v>Orderd</v>
      </c>
      <c r="AH657" s="0" t="s">
        <v>155</v>
      </c>
      <c r="AI657" s="0" t="s">
        <v>78</v>
      </c>
      <c r="AJ657" s="0" t="str">
        <f aca="false">PROPER(AI657)</f>
        <v>Booking</v>
      </c>
      <c r="AK657" s="0" t="s">
        <v>114</v>
      </c>
      <c r="AL657" s="0" t="str">
        <f aca="false">PROPER(AK657)</f>
        <v>Returning</v>
      </c>
      <c r="AM657" s="0" t="s">
        <v>2326</v>
      </c>
      <c r="AN657" s="0" t="str">
        <f aca="false">IF(ISBLANK(AM657),"Unknown",AM657)</f>
        <v>Government Convoy</v>
      </c>
      <c r="AO657" s="0" t="s">
        <v>79</v>
      </c>
      <c r="AP657" s="0" t="str">
        <f aca="false">IF(ISBLANK(AO657),"Unknown",AO657)</f>
        <v>Specialist</v>
      </c>
      <c r="AQ657" s="0" t="n">
        <v>30000</v>
      </c>
      <c r="AR657" s="5" t="n">
        <f aca="false">IF(ISBLANK(AQ657),AVERAGEIF(M657:M1656,M657,AQ657:AQ1656),AQ657)</f>
        <v>30000</v>
      </c>
      <c r="AS657" s="0" t="n">
        <v>35000</v>
      </c>
      <c r="AT657" s="5" t="n">
        <f aca="false">IF(ISBLANK(AS657),AVERAGE(AS657:AS1656),AS657)</f>
        <v>35000</v>
      </c>
      <c r="AV657" s="0" t="str">
        <f aca="false">PROPER(IF(ISBLANK(AU657),"No",AU657))</f>
        <v>No</v>
      </c>
      <c r="AW657" s="0" t="n">
        <v>5000</v>
      </c>
      <c r="AX657" s="5" t="n">
        <f aca="false">IF(ISBLANK(AW657),0,AW657)</f>
        <v>5000</v>
      </c>
      <c r="AY657" s="0" t="s">
        <v>184</v>
      </c>
      <c r="AZ657" s="0" t="str">
        <f aca="false">UPPER(IF(ISBLANK(AY657),"NONE",AY657))</f>
        <v>N/A</v>
      </c>
      <c r="BB657" s="7" t="str">
        <f aca="false">IF(ISBLANK(BA657),"No Follow Up Needed",BA657)</f>
        <v>No Follow Up Needed</v>
      </c>
      <c r="BC657" s="0" t="s">
        <v>61</v>
      </c>
      <c r="BD657" s="0" t="str">
        <f aca="false">PROPER(IF(ISBLANK(BC657),"Unknown",BC657))</f>
        <v>No</v>
      </c>
      <c r="BE657" s="0" t="s">
        <v>116</v>
      </c>
      <c r="BF657" s="0" t="str">
        <f aca="false">IF(ISBLANK(BE657),"No comments",BE657)</f>
        <v>Needs tire alignment</v>
      </c>
      <c r="BH657" s="0" t="str">
        <f aca="false">IF(ISBLANK(BG657),"No comments",BG657)</f>
        <v>No comments</v>
      </c>
      <c r="BI657" s="0" t="s">
        <v>50</v>
      </c>
      <c r="BJ657" s="0" t="str">
        <f aca="false">IF(ISBLANK(BI657),"Not Mentioned",BI657)</f>
        <v>No</v>
      </c>
      <c r="BK657" s="0" t="s">
        <v>50</v>
      </c>
      <c r="BL657" s="0" t="str">
        <f aca="false">PROPER(IF(ISBLANK(BK657),"Not Mentioned",BK657))</f>
        <v>No</v>
      </c>
      <c r="BN657" s="0" t="str">
        <f aca="false">PROPER(IF(ISBLANK(BM657),"Not Mentioned",BM657))</f>
        <v>Not Mentioned</v>
      </c>
      <c r="BP657" s="0" t="str">
        <f aca="false">IF(ISBLANK(BO657),"One-Time Plan",BO657)</f>
        <v>One-Time Plan</v>
      </c>
      <c r="BQ657" s="0" t="s">
        <v>50</v>
      </c>
      <c r="BR657" s="0" t="str">
        <f aca="false">PROPER(IF(ISBLANK(BQ657),"No",BQ657))</f>
        <v>No</v>
      </c>
    </row>
    <row r="658" customFormat="false" ht="15" hidden="false" customHeight="false" outlineLevel="0" collapsed="false">
      <c r="A658" s="0" t="s">
        <v>1604</v>
      </c>
      <c r="B658" s="2" t="s">
        <v>1518</v>
      </c>
      <c r="C658" s="2" t="str">
        <f aca="false">TEXT(B658,"dd/mm/yyyy")</f>
        <v>28/03/2025</v>
      </c>
      <c r="D658" s="0" t="s">
        <v>42</v>
      </c>
      <c r="E658" s="0" t="n">
        <v>8042514108</v>
      </c>
      <c r="F658" s="0" t="s">
        <v>139</v>
      </c>
      <c r="G658" s="0" t="s">
        <v>2323</v>
      </c>
      <c r="H658" s="0" t="s">
        <v>857</v>
      </c>
      <c r="I658" s="0" t="s">
        <v>69</v>
      </c>
      <c r="J658" s="0" t="s">
        <v>2325</v>
      </c>
      <c r="K658" s="3" t="str">
        <f aca="false" t="array" ref="K658:K658">IFERROR(IF(J658&lt;&gt;"",J658,INDEX(J658:J1657,MATCH(1,(F658:F1657=F658)*(I658:I1657=I658)*(L658:L1657=L658)*(J658:J1657&lt;&gt;""),0))),"Not Found")</f>
        <v>Engine Knocking</v>
      </c>
      <c r="L658" s="3" t="s">
        <v>142</v>
      </c>
      <c r="M658" s="0" t="str">
        <f aca="false">PROPER(L658)</f>
        <v>Oil Filter, Brake Pads</v>
      </c>
      <c r="N658" s="3" t="s">
        <v>90</v>
      </c>
      <c r="O658" s="0" t="str">
        <f aca="false" t="array" ref="O658:O658">IF(N658&lt;&gt;"",N658,_xlfn.xlookup(1,(L658:L1657=L658)*(N658:N1657&lt;&gt;""),N658:N1657,"Not Found"))</f>
        <v>Musa</v>
      </c>
      <c r="P658" s="4" t="n">
        <v>78762</v>
      </c>
      <c r="Q658" s="0" t="s">
        <v>110</v>
      </c>
      <c r="R658" s="0" t="str">
        <f aca="false">PROPER(Q658)</f>
        <v>Cash</v>
      </c>
      <c r="S658" s="0" t="s">
        <v>50</v>
      </c>
      <c r="T658" s="0" t="n">
        <v>5</v>
      </c>
      <c r="U658" s="5" t="n">
        <f aca="false">IF(ISBLANK(T658),AVERAGE(T658:T1657),T658)</f>
        <v>5</v>
      </c>
      <c r="V658" s="0" t="n">
        <v>1.5</v>
      </c>
      <c r="W658" s="0" t="s">
        <v>92</v>
      </c>
      <c r="X658" s="0" t="str">
        <f aca="false">IF(ISBLANK(W658),"No remarks",W658)</f>
        <v>Urgent service</v>
      </c>
      <c r="Y658" s="0" t="s">
        <v>73</v>
      </c>
      <c r="AA658" s="0" t="str">
        <f aca="false">PROPER(IF(ISBLANK(Z658),"Location Unavailable",Z658))</f>
        <v>Location Unavailable</v>
      </c>
      <c r="AB658" s="0" t="s">
        <v>147</v>
      </c>
      <c r="AC658" s="6" t="str">
        <f aca="false">PROPER(AB658)</f>
        <v>Instagram</v>
      </c>
      <c r="AD658" s="6" t="n">
        <v>45</v>
      </c>
      <c r="AE658" s="5" t="n">
        <f aca="false">IF(ISBLANK(AD658),AVERAGEIF(L658:L1657,L658,AD658:AD1657),AD658)</f>
        <v>45</v>
      </c>
      <c r="AF658" s="0" t="s">
        <v>160</v>
      </c>
      <c r="AG658" s="0" t="str">
        <f aca="false">PROPER(AF658)</f>
        <v>Availaible</v>
      </c>
      <c r="AH658" s="0" t="s">
        <v>155</v>
      </c>
      <c r="AI658" s="0" t="s">
        <v>128</v>
      </c>
      <c r="AJ658" s="0" t="str">
        <f aca="false">PROPER(AI658)</f>
        <v>Normal</v>
      </c>
      <c r="AK658" s="0" t="s">
        <v>58</v>
      </c>
      <c r="AL658" s="0" t="str">
        <f aca="false">PROPER(AK658)</f>
        <v>Fleet Owner</v>
      </c>
      <c r="AN658" s="0" t="str">
        <f aca="false">IF(ISBLANK(AM658),"Unknown",AM658)</f>
        <v>Unknown</v>
      </c>
      <c r="AO658" s="0" t="s">
        <v>161</v>
      </c>
      <c r="AP658" s="0" t="str">
        <f aca="false">IF(ISBLANK(AO658),"Unknown",AO658)</f>
        <v>Apprentice</v>
      </c>
      <c r="AQ658" s="0" t="n">
        <v>15000</v>
      </c>
      <c r="AR658" s="5" t="n">
        <f aca="false">IF(ISBLANK(AQ658),AVERAGEIF(M658:M1657,M658,AQ658:AQ1657),AQ658)</f>
        <v>15000</v>
      </c>
      <c r="AS658" s="0" t="n">
        <v>30000</v>
      </c>
      <c r="AT658" s="5" t="n">
        <f aca="false">IF(ISBLANK(AS658),AVERAGE(AS658:AS1657),AS658)</f>
        <v>30000</v>
      </c>
      <c r="AU658" s="0" t="s">
        <v>63</v>
      </c>
      <c r="AV658" s="0" t="str">
        <f aca="false">PROPER(IF(ISBLANK(AU658),"No",AU658))</f>
        <v>Yes</v>
      </c>
      <c r="AW658" s="0" t="n">
        <v>10000</v>
      </c>
      <c r="AX658" s="5" t="n">
        <f aca="false">IF(ISBLANK(AW658),0,AW658)</f>
        <v>10000</v>
      </c>
      <c r="AZ658" s="0" t="str">
        <f aca="false">UPPER(IF(ISBLANK(AY658),"NONE",AY658))</f>
        <v>NONE</v>
      </c>
      <c r="BA658" s="7" t="s">
        <v>1605</v>
      </c>
      <c r="BB658" s="7" t="str">
        <f aca="false">IF(ISBLANK(BA658),"No Follow Up Needed",BA658)</f>
        <v>22/11/2025</v>
      </c>
      <c r="BC658" s="0" t="s">
        <v>82</v>
      </c>
      <c r="BD658" s="0" t="str">
        <f aca="false">PROPER(IF(ISBLANK(BC658),"Unknown",BC658))</f>
        <v>Yes</v>
      </c>
      <c r="BE658" s="0" t="s">
        <v>116</v>
      </c>
      <c r="BF658" s="0" t="str">
        <f aca="false">IF(ISBLANK(BE658),"No comments",BE658)</f>
        <v>Needs tire alignment</v>
      </c>
      <c r="BH658" s="0" t="str">
        <f aca="false">IF(ISBLANK(BG658),"No comments",BG658)</f>
        <v>No comments</v>
      </c>
      <c r="BI658" s="0" t="s">
        <v>63</v>
      </c>
      <c r="BJ658" s="0" t="str">
        <f aca="false">IF(ISBLANK(BI658),"Not Mentioned",BI658)</f>
        <v>Yes</v>
      </c>
      <c r="BK658" s="0" t="s">
        <v>82</v>
      </c>
      <c r="BL658" s="0" t="str">
        <f aca="false">PROPER(IF(ISBLANK(BK658),"Not Mentioned",BK658))</f>
        <v>Yes</v>
      </c>
      <c r="BM658" s="0" t="s">
        <v>50</v>
      </c>
      <c r="BN658" s="0" t="str">
        <f aca="false">PROPER(IF(ISBLANK(BM658),"Not Mentioned",BM658))</f>
        <v>No</v>
      </c>
      <c r="BO658" s="0" t="s">
        <v>64</v>
      </c>
      <c r="BP658" s="0" t="str">
        <f aca="false">IF(ISBLANK(BO658),"One-Time Plan",BO658)</f>
        <v>Gold Maintenance Plan</v>
      </c>
      <c r="BQ658" s="0" t="s">
        <v>50</v>
      </c>
      <c r="BR658" s="0" t="str">
        <f aca="false">PROPER(IF(ISBLANK(BQ658),"No",BQ658))</f>
        <v>No</v>
      </c>
    </row>
    <row r="659" customFormat="false" ht="15" hidden="false" customHeight="false" outlineLevel="0" collapsed="false">
      <c r="A659" s="0" t="s">
        <v>1606</v>
      </c>
      <c r="B659" s="2" t="s">
        <v>225</v>
      </c>
      <c r="C659" s="2" t="str">
        <f aca="false">TEXT(B659,"dd/mm/yyyy")</f>
        <v>24/02/2025</v>
      </c>
      <c r="D659" s="0" t="s">
        <v>42</v>
      </c>
      <c r="E659" s="0" t="n">
        <v>8037624348</v>
      </c>
      <c r="F659" s="0" t="s">
        <v>139</v>
      </c>
      <c r="G659" s="0" t="s">
        <v>2323</v>
      </c>
      <c r="H659" s="0" t="s">
        <v>1607</v>
      </c>
      <c r="I659" s="0" t="s">
        <v>134</v>
      </c>
      <c r="K659" s="3" t="str">
        <f aca="false" t="array" ref="K659:K659">IFERROR(IF(J659&lt;&gt;"",J659,INDEX(J659:J1658,MATCH(1,(F659:F1658=F659)*(I659:I1658=I659)*(L659:L1658=L659)*(J659:J1658&lt;&gt;""),0))),"Not Found")</f>
        <v>Oil Change</v>
      </c>
      <c r="L659" s="3" t="s">
        <v>89</v>
      </c>
      <c r="M659" s="0" t="str">
        <f aca="false">PROPER(L659)</f>
        <v>Shock Absorbers</v>
      </c>
      <c r="N659" s="3" t="s">
        <v>109</v>
      </c>
      <c r="O659" s="0" t="str">
        <f aca="false" t="array" ref="O659:O659">IF(N659&lt;&gt;"",N659,_xlfn.xlookup(1,(L659:L1658=L659)*(N659:N1658&lt;&gt;""),N659:N1658,"Not Found"))</f>
        <v>Tijani</v>
      </c>
      <c r="P659" s="4" t="n">
        <v>41529</v>
      </c>
      <c r="Q659" s="0" t="s">
        <v>110</v>
      </c>
      <c r="R659" s="0" t="str">
        <f aca="false">PROPER(Q659)</f>
        <v>Cash</v>
      </c>
      <c r="S659" s="0" t="s">
        <v>63</v>
      </c>
      <c r="T659" s="0" t="n">
        <v>4</v>
      </c>
      <c r="U659" s="5" t="n">
        <f aca="false">IF(ISBLANK(T659),AVERAGE(T659:T1658),T659)</f>
        <v>4</v>
      </c>
      <c r="V659" s="0" t="n">
        <v>5.1</v>
      </c>
      <c r="X659" s="0" t="str">
        <f aca="false">IF(ISBLANK(W659),"No remarks",W659)</f>
        <v>No remarks</v>
      </c>
      <c r="Y659" s="0" t="s">
        <v>93</v>
      </c>
      <c r="Z659" s="0" t="s">
        <v>159</v>
      </c>
      <c r="AA659" s="0" t="str">
        <f aca="false">PROPER(IF(ISBLANK(Z659),"Location Unavailable",Z659))</f>
        <v>Main Bay</v>
      </c>
      <c r="AB659" s="0" t="s">
        <v>126</v>
      </c>
      <c r="AC659" s="6" t="str">
        <f aca="false">PROPER(AB659)</f>
        <v>Whatsapp</v>
      </c>
      <c r="AD659" s="6" t="n">
        <v>60</v>
      </c>
      <c r="AE659" s="5" t="n">
        <f aca="false">IF(ISBLANK(AD659),AVERAGEIF(L659:L1658,L659,AD659:AD1658),AD659)</f>
        <v>60</v>
      </c>
      <c r="AF659" s="0" t="s">
        <v>160</v>
      </c>
      <c r="AG659" s="0" t="str">
        <f aca="false">PROPER(AF659)</f>
        <v>Availaible</v>
      </c>
      <c r="AH659" s="0" t="s">
        <v>77</v>
      </c>
      <c r="AI659" s="0" t="s">
        <v>128</v>
      </c>
      <c r="AJ659" s="0" t="str">
        <f aca="false">PROPER(AI659)</f>
        <v>Normal</v>
      </c>
      <c r="AK659" s="0" t="s">
        <v>196</v>
      </c>
      <c r="AL659" s="0" t="str">
        <f aca="false">PROPER(AK659)</f>
        <v>First Time</v>
      </c>
      <c r="AN659" s="0" t="str">
        <f aca="false">IF(ISBLANK(AM659),"Unknown",AM659)</f>
        <v>Unknown</v>
      </c>
      <c r="AO659" s="0" t="s">
        <v>149</v>
      </c>
      <c r="AP659" s="0" t="str">
        <f aca="false">IF(ISBLANK(AO659),"Unknown",AO659)</f>
        <v>Senior </v>
      </c>
      <c r="AQ659" s="0" t="n">
        <v>25000</v>
      </c>
      <c r="AR659" s="5" t="n">
        <f aca="false">IF(ISBLANK(AQ659),AVERAGEIF(M659:M1658,M659,AQ659:AQ1658),AQ659)</f>
        <v>25000</v>
      </c>
      <c r="AS659" s="0" t="n">
        <v>20000</v>
      </c>
      <c r="AT659" s="5" t="n">
        <f aca="false">IF(ISBLANK(AS659),AVERAGE(AS659:AS1658),AS659)</f>
        <v>20000</v>
      </c>
      <c r="AU659" s="0" t="s">
        <v>82</v>
      </c>
      <c r="AV659" s="0" t="str">
        <f aca="false">PROPER(IF(ISBLANK(AU659),"No",AU659))</f>
        <v>Yes</v>
      </c>
      <c r="AW659" s="0" t="n">
        <v>5000</v>
      </c>
      <c r="AX659" s="5" t="n">
        <f aca="false">IF(ISBLANK(AW659),0,AW659)</f>
        <v>5000</v>
      </c>
      <c r="AY659" s="0" t="s">
        <v>184</v>
      </c>
      <c r="AZ659" s="0" t="str">
        <f aca="false">UPPER(IF(ISBLANK(AY659),"NONE",AY659))</f>
        <v>N/A</v>
      </c>
      <c r="BB659" s="7" t="str">
        <f aca="false">IF(ISBLANK(BA659),"No Follow Up Needed",BA659)</f>
        <v>No Follow Up Needed</v>
      </c>
      <c r="BC659" s="0" t="s">
        <v>61</v>
      </c>
      <c r="BD659" s="0" t="str">
        <f aca="false">PROPER(IF(ISBLANK(BC659),"Unknown",BC659))</f>
        <v>No</v>
      </c>
      <c r="BF659" s="0" t="str">
        <f aca="false">IF(ISBLANK(BE659),"No comments",BE659)</f>
        <v>No comments</v>
      </c>
      <c r="BG659" s="0" t="s">
        <v>117</v>
      </c>
      <c r="BH659" s="0" t="str">
        <f aca="false">IF(ISBLANK(BG659),"No comments",BG659)</f>
        <v>Prefers morning</v>
      </c>
      <c r="BJ659" s="0" t="str">
        <f aca="false">IF(ISBLANK(BI659),"Not Mentioned",BI659)</f>
        <v>Not Mentioned</v>
      </c>
      <c r="BK659" s="0" t="s">
        <v>61</v>
      </c>
      <c r="BL659" s="0" t="str">
        <f aca="false">PROPER(IF(ISBLANK(BK659),"Not Mentioned",BK659))</f>
        <v>No</v>
      </c>
      <c r="BN659" s="0" t="str">
        <f aca="false">PROPER(IF(ISBLANK(BM659),"Not Mentioned",BM659))</f>
        <v>Not Mentioned</v>
      </c>
      <c r="BO659" s="0" t="s">
        <v>2321</v>
      </c>
      <c r="BP659" s="0" t="str">
        <f aca="false">IF(ISBLANK(BO659),"One-Time Plan",BO659)</f>
        <v>One-Time Plan</v>
      </c>
      <c r="BQ659" s="0" t="s">
        <v>50</v>
      </c>
      <c r="BR659" s="0" t="str">
        <f aca="false">PROPER(IF(ISBLANK(BQ659),"No",BQ659))</f>
        <v>No</v>
      </c>
    </row>
    <row r="660" customFormat="false" ht="15" hidden="false" customHeight="false" outlineLevel="0" collapsed="false">
      <c r="A660" s="0" t="s">
        <v>1608</v>
      </c>
      <c r="B660" s="2" t="n">
        <v>45795</v>
      </c>
      <c r="C660" s="2" t="str">
        <f aca="false">TEXT(B660,"dd/mm/yyyy")</f>
        <v>18/05/2025</v>
      </c>
      <c r="D660" s="0" t="s">
        <v>163</v>
      </c>
      <c r="E660" s="0" t="n">
        <v>8082385198</v>
      </c>
      <c r="F660" s="0" t="s">
        <v>85</v>
      </c>
      <c r="G660" s="0" t="s">
        <v>2319</v>
      </c>
      <c r="H660" s="0" t="s">
        <v>1609</v>
      </c>
      <c r="I660" s="0" t="s">
        <v>107</v>
      </c>
      <c r="J660" s="0" t="s">
        <v>2325</v>
      </c>
      <c r="K660" s="3" t="str">
        <f aca="false" t="array" ref="K660:K660">IFERROR(IF(J660&lt;&gt;"",J660,INDEX(J660:J1659,MATCH(1,(F660:F1659=F660)*(I660:I1659=I660)*(L660:L1659=L660)*(J660:J1659&lt;&gt;""),0))),"Not Found")</f>
        <v>Engine Knocking</v>
      </c>
      <c r="L660" s="3" t="s">
        <v>142</v>
      </c>
      <c r="M660" s="0" t="str">
        <f aca="false">PROPER(L660)</f>
        <v>Oil Filter, Brake Pads</v>
      </c>
      <c r="O660" s="0" t="e">
        <f aca="false" t="array" ref="O660:O660">IF(N660&lt;&gt;"",N660,_xlfn.xlookup(1,(L660:L1659=L660)*(N660:N1659&lt;&gt;""),N660:N1659,"Not Found"))</f>
        <v>#NAME?</v>
      </c>
      <c r="P660" s="4" t="n">
        <v>118880</v>
      </c>
      <c r="Q660" s="0" t="s">
        <v>72</v>
      </c>
      <c r="R660" s="0" t="str">
        <f aca="false">PROPER(Q660)</f>
        <v>Pos</v>
      </c>
      <c r="S660" s="0" t="s">
        <v>50</v>
      </c>
      <c r="T660" s="0" t="n">
        <v>5</v>
      </c>
      <c r="U660" s="5" t="n">
        <f aca="false">IF(ISBLANK(T660),AVERAGE(T660:T1659),T660)</f>
        <v>5</v>
      </c>
      <c r="V660" s="0" t="n">
        <v>1.3</v>
      </c>
      <c r="X660" s="0" t="str">
        <f aca="false">IF(ISBLANK(W660),"No remarks",W660)</f>
        <v>No remarks</v>
      </c>
      <c r="Y660" s="0" t="s">
        <v>73</v>
      </c>
      <c r="Z660" s="0" t="s">
        <v>74</v>
      </c>
      <c r="AA660" s="0" t="str">
        <f aca="false">PROPER(IF(ISBLANK(Z660),"Location Unavailable",Z660))</f>
        <v>Under Tree</v>
      </c>
      <c r="AB660" s="0" t="s">
        <v>54</v>
      </c>
      <c r="AC660" s="6" t="str">
        <f aca="false">PROPER(AB660)</f>
        <v>Mechanic Referral</v>
      </c>
      <c r="AD660" s="6" t="n">
        <v>45</v>
      </c>
      <c r="AE660" s="5" t="n">
        <f aca="false">IF(ISBLANK(AD660),AVERAGEIF(L660:L1659,L660,AD660:AD1659),AD660)</f>
        <v>45</v>
      </c>
      <c r="AF660" s="0" t="s">
        <v>96</v>
      </c>
      <c r="AG660" s="0" t="str">
        <f aca="false">PROPER(AF660)</f>
        <v>Ordered</v>
      </c>
      <c r="AH660" s="0" t="s">
        <v>155</v>
      </c>
      <c r="AI660" s="0" t="s">
        <v>128</v>
      </c>
      <c r="AJ660" s="0" t="str">
        <f aca="false">PROPER(AI660)</f>
        <v>Normal</v>
      </c>
      <c r="AK660" s="0" t="s">
        <v>58</v>
      </c>
      <c r="AL660" s="0" t="str">
        <f aca="false">PROPER(AK660)</f>
        <v>Fleet Owner</v>
      </c>
      <c r="AN660" s="0" t="str">
        <f aca="false">IF(ISBLANK(AM660),"Unknown",AM660)</f>
        <v>Unknown</v>
      </c>
      <c r="AP660" s="0" t="str">
        <f aca="false">IF(ISBLANK(AO660),"Unknown",AO660)</f>
        <v>Unknown</v>
      </c>
      <c r="AR660" s="5" t="n">
        <f aca="false">IF(ISBLANK(AQ660),AVERAGEIF(M660:M1659,M660,AQ660:AQ1659),AQ660)</f>
        <v>27244.8979591837</v>
      </c>
      <c r="AS660" s="0" t="n">
        <v>35000</v>
      </c>
      <c r="AT660" s="5" t="n">
        <f aca="false">IF(ISBLANK(AS660),AVERAGE(AS660:AS1659),AS660)</f>
        <v>35000</v>
      </c>
      <c r="AV660" s="0" t="str">
        <f aca="false">PROPER(IF(ISBLANK(AU660),"No",AU660))</f>
        <v>No</v>
      </c>
      <c r="AW660" s="0" t="n">
        <v>0</v>
      </c>
      <c r="AX660" s="5" t="n">
        <f aca="false">IF(ISBLANK(AW660),0,AW660)</f>
        <v>0</v>
      </c>
      <c r="AY660" s="0" t="s">
        <v>184</v>
      </c>
      <c r="AZ660" s="0" t="str">
        <f aca="false">UPPER(IF(ISBLANK(AY660),"NONE",AY660))</f>
        <v>N/A</v>
      </c>
      <c r="BA660" s="7" t="s">
        <v>1610</v>
      </c>
      <c r="BB660" s="7" t="str">
        <f aca="false">IF(ISBLANK(BA660),"No Follow Up Needed",BA660)</f>
        <v>22/06/2025</v>
      </c>
      <c r="BD660" s="0" t="str">
        <f aca="false">PROPER(IF(ISBLANK(BC660),"Unknown",BC660))</f>
        <v>Unknown</v>
      </c>
      <c r="BF660" s="0" t="str">
        <f aca="false">IF(ISBLANK(BE660),"No comments",BE660)</f>
        <v>No comments</v>
      </c>
      <c r="BG660" s="0" t="s">
        <v>172</v>
      </c>
      <c r="BH660" s="0" t="str">
        <f aca="false">IF(ISBLANK(BG660),"No comments",BG660)</f>
        <v>Always late</v>
      </c>
      <c r="BJ660" s="0" t="str">
        <f aca="false">IF(ISBLANK(BI660),"Not Mentioned",BI660)</f>
        <v>Not Mentioned</v>
      </c>
      <c r="BK660" s="0" t="s">
        <v>82</v>
      </c>
      <c r="BL660" s="0" t="str">
        <f aca="false">PROPER(IF(ISBLANK(BK660),"Not Mentioned",BK660))</f>
        <v>Yes</v>
      </c>
      <c r="BN660" s="0" t="str">
        <f aca="false">PROPER(IF(ISBLANK(BM660),"Not Mentioned",BM660))</f>
        <v>Not Mentioned</v>
      </c>
      <c r="BP660" s="0" t="str">
        <f aca="false">IF(ISBLANK(BO660),"One-Time Plan",BO660)</f>
        <v>One-Time Plan</v>
      </c>
      <c r="BQ660" s="0" t="s">
        <v>63</v>
      </c>
      <c r="BR660" s="0" t="str">
        <f aca="false">PROPER(IF(ISBLANK(BQ660),"No",BQ660))</f>
        <v>Yes</v>
      </c>
    </row>
    <row r="661" customFormat="false" ht="15" hidden="false" customHeight="false" outlineLevel="0" collapsed="false">
      <c r="A661" s="0" t="s">
        <v>1611</v>
      </c>
      <c r="B661" s="2" t="n">
        <v>45931</v>
      </c>
      <c r="C661" s="2" t="str">
        <f aca="false">TEXT(B661,"dd/mm/yyyy")</f>
        <v>01/10/2025</v>
      </c>
      <c r="D661" s="0" t="s">
        <v>105</v>
      </c>
      <c r="E661" s="0" t="n">
        <v>8017257686</v>
      </c>
      <c r="F661" s="0" t="s">
        <v>85</v>
      </c>
      <c r="G661" s="0" t="s">
        <v>2319</v>
      </c>
      <c r="H661" s="0" t="s">
        <v>1612</v>
      </c>
      <c r="I661" s="0" t="s">
        <v>69</v>
      </c>
      <c r="J661" s="0" t="s">
        <v>2325</v>
      </c>
      <c r="K661" s="3" t="str">
        <f aca="false" t="array" ref="K661:K661">IFERROR(IF(J661&lt;&gt;"",J661,INDEX(J661:J1660,MATCH(1,(F661:F1660=F661)*(I661:I1660=I661)*(L661:L1660=L661)*(J661:J1660&lt;&gt;""),0))),"Not Found")</f>
        <v>Engine Knocking</v>
      </c>
      <c r="L661" s="3" t="s">
        <v>108</v>
      </c>
      <c r="M661" s="0" t="str">
        <f aca="false">PROPER(L661)</f>
        <v>Timing Belt</v>
      </c>
      <c r="N661" s="3" t="s">
        <v>109</v>
      </c>
      <c r="O661" s="0" t="str">
        <f aca="false" t="array" ref="O661:O661">IF(N661&lt;&gt;"",N661,_xlfn.xlookup(1,(L661:L1660=L661)*(N661:N1660&lt;&gt;""),N661:N1660,"Not Found"))</f>
        <v>Tijani</v>
      </c>
      <c r="P661" s="4" t="n">
        <v>28117</v>
      </c>
      <c r="Q661" s="0" t="s">
        <v>110</v>
      </c>
      <c r="R661" s="0" t="str">
        <f aca="false">PROPER(Q661)</f>
        <v>Cash</v>
      </c>
      <c r="S661" s="0" t="s">
        <v>50</v>
      </c>
      <c r="T661" s="0" t="n">
        <v>4</v>
      </c>
      <c r="U661" s="5" t="n">
        <f aca="false">IF(ISBLANK(T661),AVERAGE(T661:T1660),T661)</f>
        <v>4</v>
      </c>
      <c r="V661" s="0" t="n">
        <v>2</v>
      </c>
      <c r="W661" s="0" t="s">
        <v>111</v>
      </c>
      <c r="X661" s="0" t="str">
        <f aca="false">IF(ISBLANK(W661),"No remarks",W661)</f>
        <v>Changed all filters</v>
      </c>
      <c r="Y661" s="0" t="s">
        <v>52</v>
      </c>
      <c r="Z661" s="0" t="s">
        <v>53</v>
      </c>
      <c r="AA661" s="0" t="str">
        <f aca="false">PROPER(IF(ISBLANK(Z661),"Location Unavailable",Z661))</f>
        <v>Main Bay</v>
      </c>
      <c r="AB661" s="0" t="s">
        <v>147</v>
      </c>
      <c r="AC661" s="6" t="str">
        <f aca="false">PROPER(AB661)</f>
        <v>Instagram</v>
      </c>
      <c r="AD661" s="6" t="n">
        <v>60</v>
      </c>
      <c r="AE661" s="5" t="n">
        <f aca="false">IF(ISBLANK(AD661),AVERAGEIF(L661:L1660,L661,AD661:AD1660),AD661)</f>
        <v>60</v>
      </c>
      <c r="AF661" s="0" t="s">
        <v>112</v>
      </c>
      <c r="AG661" s="0" t="str">
        <f aca="false">PROPER(AF661)</f>
        <v>Unavailable</v>
      </c>
      <c r="AH661" s="0" t="s">
        <v>56</v>
      </c>
      <c r="AI661" s="0" t="s">
        <v>98</v>
      </c>
      <c r="AJ661" s="0" t="str">
        <f aca="false">PROPER(AI661)</f>
        <v>Emergency</v>
      </c>
      <c r="AK661" s="0" t="s">
        <v>99</v>
      </c>
      <c r="AL661" s="0" t="str">
        <f aca="false">PROPER(AK661)</f>
        <v>Uber Driver</v>
      </c>
      <c r="AM661" s="0" t="s">
        <v>2326</v>
      </c>
      <c r="AN661" s="0" t="str">
        <f aca="false">IF(ISBLANK(AM661),"Unknown",AM661)</f>
        <v>Government Convoy</v>
      </c>
      <c r="AO661" s="0" t="s">
        <v>79</v>
      </c>
      <c r="AP661" s="0" t="str">
        <f aca="false">IF(ISBLANK(AO661),"Unknown",AO661)</f>
        <v>Specialist</v>
      </c>
      <c r="AQ661" s="0" t="n">
        <v>30000</v>
      </c>
      <c r="AR661" s="5" t="n">
        <f aca="false">IF(ISBLANK(AQ661),AVERAGEIF(M661:M1660,M661,AQ661:AQ1660),AQ661)</f>
        <v>30000</v>
      </c>
      <c r="AS661" s="0" t="n">
        <v>40000</v>
      </c>
      <c r="AT661" s="5" t="n">
        <f aca="false">IF(ISBLANK(AS661),AVERAGE(AS661:AS1660),AS661)</f>
        <v>40000</v>
      </c>
      <c r="AU661" s="0" t="s">
        <v>61</v>
      </c>
      <c r="AV661" s="0" t="str">
        <f aca="false">PROPER(IF(ISBLANK(AU661),"No",AU661))</f>
        <v>No</v>
      </c>
      <c r="AW661" s="0" t="n">
        <v>5000</v>
      </c>
      <c r="AX661" s="5" t="n">
        <f aca="false">IF(ISBLANK(AW661),0,AW661)</f>
        <v>5000</v>
      </c>
      <c r="AY661" s="0" t="s">
        <v>80</v>
      </c>
      <c r="AZ661" s="0" t="str">
        <f aca="false">UPPER(IF(ISBLANK(AY661),"NONE",AY661))</f>
        <v>PROMO10</v>
      </c>
      <c r="BA661" s="7" t="s">
        <v>537</v>
      </c>
      <c r="BB661" s="7" t="str">
        <f aca="false">IF(ISBLANK(BA661),"No Follow Up Needed",BA661)</f>
        <v>19/10/2025</v>
      </c>
      <c r="BC661" s="0" t="s">
        <v>63</v>
      </c>
      <c r="BD661" s="0" t="str">
        <f aca="false">PROPER(IF(ISBLANK(BC661),"Unknown",BC661))</f>
        <v>Yes</v>
      </c>
      <c r="BE661" s="0" t="s">
        <v>171</v>
      </c>
      <c r="BF661" s="0" t="str">
        <f aca="false">IF(ISBLANK(BE661),"No comments",BE661)</f>
        <v>Shock absorber weakening</v>
      </c>
      <c r="BG661" s="0" t="s">
        <v>2320</v>
      </c>
      <c r="BH661" s="0" t="str">
        <f aca="false">IF(ISBLANK(BG661),"No comments",BG661)</f>
        <v>No complaints</v>
      </c>
      <c r="BI661" s="0" t="s">
        <v>63</v>
      </c>
      <c r="BJ661" s="0" t="str">
        <f aca="false">IF(ISBLANK(BI661),"Not Mentioned",BI661)</f>
        <v>Yes</v>
      </c>
      <c r="BL661" s="0" t="str">
        <f aca="false">PROPER(IF(ISBLANK(BK661),"Not Mentioned",BK661))</f>
        <v>Not Mentioned</v>
      </c>
      <c r="BN661" s="0" t="str">
        <f aca="false">PROPER(IF(ISBLANK(BM661),"Not Mentioned",BM661))</f>
        <v>Not Mentioned</v>
      </c>
      <c r="BO661" s="0" t="s">
        <v>2318</v>
      </c>
      <c r="BP661" s="0" t="str">
        <f aca="false">IF(ISBLANK(BO661),"One-Time Plan",BO661)</f>
        <v>Gold</v>
      </c>
      <c r="BQ661" s="0" t="s">
        <v>198</v>
      </c>
      <c r="BR661" s="0" t="str">
        <f aca="false">PROPER(IF(ISBLANK(BQ661),"No",BQ661))</f>
        <v>Followed Up</v>
      </c>
    </row>
    <row r="662" customFormat="false" ht="15" hidden="false" customHeight="false" outlineLevel="0" collapsed="false">
      <c r="A662" s="0" t="s">
        <v>1613</v>
      </c>
      <c r="B662" s="2" t="n">
        <v>45662</v>
      </c>
      <c r="C662" s="2" t="str">
        <f aca="false">TEXT(B662,"dd/mm/yyyy")</f>
        <v>05/01/2025</v>
      </c>
      <c r="D662" s="0" t="s">
        <v>42</v>
      </c>
      <c r="E662" s="0" t="n">
        <v>8099255596</v>
      </c>
      <c r="F662" s="0" t="s">
        <v>122</v>
      </c>
      <c r="G662" s="0" t="s">
        <v>2316</v>
      </c>
      <c r="H662" s="0" t="s">
        <v>1614</v>
      </c>
      <c r="I662" s="0" t="s">
        <v>134</v>
      </c>
      <c r="J662" s="0" t="s">
        <v>2325</v>
      </c>
      <c r="K662" s="3" t="str">
        <f aca="false" t="array" ref="K662:K662">IFERROR(IF(J662&lt;&gt;"",J662,INDEX(J662:J1661,MATCH(1,(F662:F1661=F662)*(I662:I1661=I662)*(L662:L1661=L662)*(J662:J1661&lt;&gt;""),0))),"Not Found")</f>
        <v>Engine Knocking</v>
      </c>
      <c r="L662" s="3" t="s">
        <v>154</v>
      </c>
      <c r="M662" s="0" t="str">
        <f aca="false">PROPER(L662)</f>
        <v>Air Filter</v>
      </c>
      <c r="N662" s="3" t="s">
        <v>71</v>
      </c>
      <c r="O662" s="0" t="str">
        <f aca="false" t="array" ref="O662:O662">IF(N662&lt;&gt;"",N662,_xlfn.xlookup(1,(L662:L1661=L662)*(N662:N1661&lt;&gt;""),N662:N1661,"Not Found"))</f>
        <v>Isaac Bobo</v>
      </c>
      <c r="P662" s="4" t="n">
        <v>101681</v>
      </c>
      <c r="Q662" s="0" t="s">
        <v>91</v>
      </c>
      <c r="R662" s="0" t="str">
        <f aca="false">PROPER(Q662)</f>
        <v>Pos</v>
      </c>
      <c r="S662" s="0" t="s">
        <v>50</v>
      </c>
      <c r="T662" s="0" t="n">
        <v>4</v>
      </c>
      <c r="U662" s="5" t="n">
        <f aca="false">IF(ISBLANK(T662),AVERAGE(T662:T1661),T662)</f>
        <v>4</v>
      </c>
      <c r="V662" s="0" t="n">
        <v>2.9</v>
      </c>
      <c r="W662" s="0" t="s">
        <v>111</v>
      </c>
      <c r="X662" s="0" t="str">
        <f aca="false">IF(ISBLANK(W662),"No remarks",W662)</f>
        <v>Changed all filters</v>
      </c>
      <c r="Y662" s="0" t="s">
        <v>73</v>
      </c>
      <c r="Z662" s="0" t="s">
        <v>53</v>
      </c>
      <c r="AA662" s="0" t="str">
        <f aca="false">PROPER(IF(ISBLANK(Z662),"Location Unavailable",Z662))</f>
        <v>Main Bay</v>
      </c>
      <c r="AB662" s="0" t="s">
        <v>95</v>
      </c>
      <c r="AC662" s="6" t="str">
        <f aca="false">PROPER(AB662)</f>
        <v>Road Sign</v>
      </c>
      <c r="AD662" s="6" t="n">
        <v>60</v>
      </c>
      <c r="AE662" s="5" t="n">
        <f aca="false">IF(ISBLANK(AD662),AVERAGEIF(L662:L1661,L662,AD662:AD1661),AD662)</f>
        <v>60</v>
      </c>
      <c r="AF662" s="0" t="s">
        <v>112</v>
      </c>
      <c r="AG662" s="0" t="str">
        <f aca="false">PROPER(AF662)</f>
        <v>Unavailable</v>
      </c>
      <c r="AH662" s="0" t="s">
        <v>155</v>
      </c>
      <c r="AI662" s="0" t="s">
        <v>128</v>
      </c>
      <c r="AJ662" s="0" t="str">
        <f aca="false">PROPER(AI662)</f>
        <v>Normal</v>
      </c>
      <c r="AK662" s="0" t="s">
        <v>58</v>
      </c>
      <c r="AL662" s="0" t="str">
        <f aca="false">PROPER(AK662)</f>
        <v>Fleet Owner</v>
      </c>
      <c r="AM662" s="0" t="s">
        <v>177</v>
      </c>
      <c r="AN662" s="0" t="str">
        <f aca="false">IF(ISBLANK(AM662),"Unknown",AM662)</f>
        <v>Private</v>
      </c>
      <c r="AO662" s="0" t="s">
        <v>79</v>
      </c>
      <c r="AP662" s="0" t="str">
        <f aca="false">IF(ISBLANK(AO662),"Unknown",AO662)</f>
        <v>Specialist</v>
      </c>
      <c r="AQ662" s="0" t="n">
        <v>30000</v>
      </c>
      <c r="AR662" s="5" t="n">
        <f aca="false">IF(ISBLANK(AQ662),AVERAGEIF(M662:M1661,M662,AQ662:AQ1661),AQ662)</f>
        <v>30000</v>
      </c>
      <c r="AS662" s="0" t="n">
        <v>30000</v>
      </c>
      <c r="AT662" s="5" t="n">
        <f aca="false">IF(ISBLANK(AS662),AVERAGE(AS662:AS1661),AS662)</f>
        <v>30000</v>
      </c>
      <c r="AU662" s="0" t="s">
        <v>82</v>
      </c>
      <c r="AV662" s="0" t="str">
        <f aca="false">PROPER(IF(ISBLANK(AU662),"No",AU662))</f>
        <v>Yes</v>
      </c>
      <c r="AW662" s="0" t="n">
        <v>5000</v>
      </c>
      <c r="AX662" s="5" t="n">
        <f aca="false">IF(ISBLANK(AW662),0,AW662)</f>
        <v>5000</v>
      </c>
      <c r="AY662" s="0" t="s">
        <v>60</v>
      </c>
      <c r="AZ662" s="0" t="str">
        <f aca="false">UPPER(IF(ISBLANK(AY662),"NONE",AY662))</f>
        <v>NONE</v>
      </c>
      <c r="BB662" s="7" t="str">
        <f aca="false">IF(ISBLANK(BA662),"No Follow Up Needed",BA662)</f>
        <v>No Follow Up Needed</v>
      </c>
      <c r="BC662" s="0" t="s">
        <v>63</v>
      </c>
      <c r="BD662" s="0" t="str">
        <f aca="false">PROPER(IF(ISBLANK(BC662),"Unknown",BC662))</f>
        <v>Yes</v>
      </c>
      <c r="BE662" s="0" t="s">
        <v>116</v>
      </c>
      <c r="BF662" s="0" t="str">
        <f aca="false">IF(ISBLANK(BE662),"No comments",BE662)</f>
        <v>Needs tire alignment</v>
      </c>
      <c r="BG662" s="0" t="s">
        <v>2320</v>
      </c>
      <c r="BH662" s="0" t="str">
        <f aca="false">IF(ISBLANK(BG662),"No comments",BG662)</f>
        <v>No complaints</v>
      </c>
      <c r="BI662" s="0" t="s">
        <v>50</v>
      </c>
      <c r="BJ662" s="0" t="str">
        <f aca="false">IF(ISBLANK(BI662),"Not Mentioned",BI662)</f>
        <v>No</v>
      </c>
      <c r="BK662" s="0" t="s">
        <v>63</v>
      </c>
      <c r="BL662" s="0" t="str">
        <f aca="false">PROPER(IF(ISBLANK(BK662),"Not Mentioned",BK662))</f>
        <v>Yes</v>
      </c>
      <c r="BM662" s="0" t="s">
        <v>63</v>
      </c>
      <c r="BN662" s="0" t="str">
        <f aca="false">PROPER(IF(ISBLANK(BM662),"Not Mentioned",BM662))</f>
        <v>Yes</v>
      </c>
      <c r="BO662" s="0" t="s">
        <v>2321</v>
      </c>
      <c r="BP662" s="0" t="str">
        <f aca="false">IF(ISBLANK(BO662),"One-Time Plan",BO662)</f>
        <v>One-Time Plan</v>
      </c>
      <c r="BQ662" s="0" t="s">
        <v>198</v>
      </c>
      <c r="BR662" s="0" t="str">
        <f aca="false">PROPER(IF(ISBLANK(BQ662),"No",BQ662))</f>
        <v>Followed Up</v>
      </c>
    </row>
    <row r="663" customFormat="false" ht="15" hidden="false" customHeight="false" outlineLevel="0" collapsed="false">
      <c r="A663" s="0" t="s">
        <v>1615</v>
      </c>
      <c r="B663" s="2" t="n">
        <v>45720</v>
      </c>
      <c r="C663" s="2" t="str">
        <f aca="false">TEXT(B663,"dd/mm/yyyy")</f>
        <v>04/03/2025</v>
      </c>
      <c r="D663" s="0" t="s">
        <v>66</v>
      </c>
      <c r="E663" s="0" t="n">
        <v>8043331368</v>
      </c>
      <c r="F663" s="0" t="s">
        <v>67</v>
      </c>
      <c r="G663" s="0" t="s">
        <v>2316</v>
      </c>
      <c r="H663" s="0" t="s">
        <v>1616</v>
      </c>
      <c r="I663" s="0" t="s">
        <v>87</v>
      </c>
      <c r="J663" s="0" t="s">
        <v>87</v>
      </c>
      <c r="K663" s="3" t="str">
        <f aca="false" t="array" ref="K663:K663">IFERROR(IF(J663&lt;&gt;"",J663,INDEX(J663:J1662,MATCH(1,(F663:F1662=F663)*(I663:I1662=I663)*(L663:L1662=L663)*(J663:J1662&lt;&gt;""),0))),"Not Found")</f>
        <v>Oil Change</v>
      </c>
      <c r="L663" s="3" t="s">
        <v>142</v>
      </c>
      <c r="M663" s="0" t="str">
        <f aca="false">PROPER(L663)</f>
        <v>Oil Filter, Brake Pads</v>
      </c>
      <c r="O663" s="0" t="e">
        <f aca="false" t="array" ref="O663:O663">IF(N663&lt;&gt;"",N663,_xlfn.xlookup(1,(L663:L1662=L663)*(N663:N1662&lt;&gt;""),N663:N1662,"Not Found"))</f>
        <v>#NAME?</v>
      </c>
      <c r="P663" s="4" t="n">
        <v>72259</v>
      </c>
      <c r="Q663" s="0" t="s">
        <v>49</v>
      </c>
      <c r="R663" s="0" t="str">
        <f aca="false">PROPER(Q663)</f>
        <v>Transfer</v>
      </c>
      <c r="S663" s="0" t="s">
        <v>50</v>
      </c>
      <c r="T663" s="0" t="n">
        <v>3</v>
      </c>
      <c r="U663" s="5" t="n">
        <f aca="false">IF(ISBLANK(T663),AVERAGE(T663:T1662),T663)</f>
        <v>3</v>
      </c>
      <c r="V663" s="0" t="n">
        <v>3.2</v>
      </c>
      <c r="W663" s="0" t="s">
        <v>125</v>
      </c>
      <c r="X663" s="0" t="str">
        <f aca="false">IF(ISBLANK(W663),"No remarks",W663)</f>
        <v>Customer waited</v>
      </c>
      <c r="Y663" s="0" t="s">
        <v>52</v>
      </c>
      <c r="AA663" s="0" t="str">
        <f aca="false">PROPER(IF(ISBLANK(Z663),"Location Unavailable",Z663))</f>
        <v>Location Unavailable</v>
      </c>
      <c r="AB663" s="0" t="s">
        <v>75</v>
      </c>
      <c r="AC663" s="6" t="str">
        <f aca="false">PROPER(AB663)</f>
        <v>Mechanik Referal</v>
      </c>
      <c r="AD663" s="6" t="n">
        <v>45</v>
      </c>
      <c r="AE663" s="5" t="n">
        <f aca="false">IF(ISBLANK(AD663),AVERAGEIF(L663:L1662,L663,AD663:AD1662),AD663)</f>
        <v>45</v>
      </c>
      <c r="AF663" s="0" t="s">
        <v>55</v>
      </c>
      <c r="AG663" s="0" t="str">
        <f aca="false">PROPER(AF663)</f>
        <v>Available</v>
      </c>
      <c r="AH663" s="0" t="s">
        <v>155</v>
      </c>
      <c r="AI663" s="0" t="s">
        <v>113</v>
      </c>
      <c r="AJ663" s="0" t="str">
        <f aca="false">PROPER(AI663)</f>
        <v>Normal</v>
      </c>
      <c r="AK663" s="0" t="s">
        <v>99</v>
      </c>
      <c r="AL663" s="0" t="str">
        <f aca="false">PROPER(AK663)</f>
        <v>Uber Driver</v>
      </c>
      <c r="AM663" s="0" t="s">
        <v>177</v>
      </c>
      <c r="AN663" s="0" t="str">
        <f aca="false">IF(ISBLANK(AM663),"Unknown",AM663)</f>
        <v>Private</v>
      </c>
      <c r="AO663" s="0" t="s">
        <v>79</v>
      </c>
      <c r="AP663" s="0" t="str">
        <f aca="false">IF(ISBLANK(AO663),"Unknown",AO663)</f>
        <v>Specialist</v>
      </c>
      <c r="AQ663" s="0" t="n">
        <v>30000</v>
      </c>
      <c r="AR663" s="5" t="n">
        <f aca="false">IF(ISBLANK(AQ663),AVERAGEIF(M663:M1662,M663,AQ663:AQ1662),AQ663)</f>
        <v>30000</v>
      </c>
      <c r="AS663" s="0" t="n">
        <v>35000</v>
      </c>
      <c r="AT663" s="5" t="n">
        <f aca="false">IF(ISBLANK(AS663),AVERAGE(AS663:AS1662),AS663)</f>
        <v>35000</v>
      </c>
      <c r="AU663" s="0" t="s">
        <v>82</v>
      </c>
      <c r="AV663" s="0" t="str">
        <f aca="false">PROPER(IF(ISBLANK(AU663),"No",AU663))</f>
        <v>Yes</v>
      </c>
      <c r="AX663" s="5" t="n">
        <f aca="false">IF(ISBLANK(AW663),0,AW663)</f>
        <v>0</v>
      </c>
      <c r="AY663" s="0" t="s">
        <v>130</v>
      </c>
      <c r="AZ663" s="0" t="str">
        <f aca="false">UPPER(IF(ISBLANK(AY663),"NONE",AY663))</f>
        <v>LOYALTY10</v>
      </c>
      <c r="BA663" s="7" t="n">
        <v>45993</v>
      </c>
      <c r="BB663" s="7" t="n">
        <f aca="false">IF(ISBLANK(BA663),"No Follow Up Needed",BA663)</f>
        <v>45993</v>
      </c>
      <c r="BC663" s="0" t="s">
        <v>61</v>
      </c>
      <c r="BD663" s="0" t="str">
        <f aca="false">PROPER(IF(ISBLANK(BC663),"Unknown",BC663))</f>
        <v>No</v>
      </c>
      <c r="BF663" s="0" t="str">
        <f aca="false">IF(ISBLANK(BE663),"No comments",BE663)</f>
        <v>No comments</v>
      </c>
      <c r="BH663" s="0" t="str">
        <f aca="false">IF(ISBLANK(BG663),"No comments",BG663)</f>
        <v>No comments</v>
      </c>
      <c r="BI663" s="0" t="s">
        <v>63</v>
      </c>
      <c r="BJ663" s="0" t="str">
        <f aca="false">IF(ISBLANK(BI663),"Not Mentioned",BI663)</f>
        <v>Yes</v>
      </c>
      <c r="BK663" s="0" t="s">
        <v>50</v>
      </c>
      <c r="BL663" s="0" t="str">
        <f aca="false">PROPER(IF(ISBLANK(BK663),"Not Mentioned",BK663))</f>
        <v>No</v>
      </c>
      <c r="BN663" s="0" t="str">
        <f aca="false">PROPER(IF(ISBLANK(BM663),"Not Mentioned",BM663))</f>
        <v>Not Mentioned</v>
      </c>
      <c r="BO663" s="0" t="s">
        <v>2321</v>
      </c>
      <c r="BP663" s="0" t="str">
        <f aca="false">IF(ISBLANK(BO663),"One-Time Plan",BO663)</f>
        <v>One-Time Plan</v>
      </c>
      <c r="BR663" s="0" t="str">
        <f aca="false">PROPER(IF(ISBLANK(BQ663),"No",BQ663))</f>
        <v>No</v>
      </c>
    </row>
    <row r="664" customFormat="false" ht="15" hidden="false" customHeight="false" outlineLevel="0" collapsed="false">
      <c r="A664" s="0" t="s">
        <v>1617</v>
      </c>
      <c r="B664" s="2" t="n">
        <v>45819</v>
      </c>
      <c r="C664" s="2" t="str">
        <f aca="false">TEXT(B664,"dd/mm/yyyy")</f>
        <v>11/06/2025</v>
      </c>
      <c r="D664" s="0" t="s">
        <v>105</v>
      </c>
      <c r="E664" s="0" t="n">
        <v>8039855935</v>
      </c>
      <c r="F664" s="0" t="s">
        <v>85</v>
      </c>
      <c r="G664" s="0" t="s">
        <v>2319</v>
      </c>
      <c r="H664" s="0" t="s">
        <v>1618</v>
      </c>
      <c r="I664" s="0" t="s">
        <v>107</v>
      </c>
      <c r="J664" s="0" t="s">
        <v>2317</v>
      </c>
      <c r="K664" s="3" t="str">
        <f aca="false" t="array" ref="K664:K664">IFERROR(IF(J664&lt;&gt;"",J664,INDEX(J664:J1663,MATCH(1,(F664:F1663=F664)*(I664:I1663=I664)*(L664:L1663=L664)*(J664:J1663&lt;&gt;""),0))),"Not Found")</f>
        <v>Suspension Noise</v>
      </c>
      <c r="L664" s="3" t="s">
        <v>154</v>
      </c>
      <c r="M664" s="0" t="str">
        <f aca="false">PROPER(L664)</f>
        <v>Air Filter</v>
      </c>
      <c r="N664" s="3" t="s">
        <v>90</v>
      </c>
      <c r="O664" s="0" t="str">
        <f aca="false" t="array" ref="O664:O664">IF(N664&lt;&gt;"",N664,_xlfn.xlookup(1,(L664:L1663=L664)*(N664:N1663&lt;&gt;""),N664:N1663,"Not Found"))</f>
        <v>Musa</v>
      </c>
      <c r="P664" s="4" t="n">
        <v>12487</v>
      </c>
      <c r="Q664" s="0" t="s">
        <v>91</v>
      </c>
      <c r="R664" s="0" t="str">
        <f aca="false">PROPER(Q664)</f>
        <v>Pos</v>
      </c>
      <c r="S664" s="0" t="s">
        <v>63</v>
      </c>
      <c r="T664" s="0" t="n">
        <v>1</v>
      </c>
      <c r="U664" s="5" t="n">
        <f aca="false">IF(ISBLANK(T664),AVERAGE(T664:T1663),T664)</f>
        <v>1</v>
      </c>
      <c r="V664" s="0" t="n">
        <v>4.4</v>
      </c>
      <c r="W664" s="0" t="s">
        <v>51</v>
      </c>
      <c r="X664" s="0" t="str">
        <f aca="false">IF(ISBLANK(W664),"No remarks",W664)</f>
        <v>Recommended further checks</v>
      </c>
      <c r="Y664" s="0" t="s">
        <v>52</v>
      </c>
      <c r="AA664" s="0" t="str">
        <f aca="false">PROPER(IF(ISBLANK(Z664),"Location Unavailable",Z664))</f>
        <v>Location Unavailable</v>
      </c>
      <c r="AB664" s="0" t="s">
        <v>54</v>
      </c>
      <c r="AC664" s="6" t="str">
        <f aca="false">PROPER(AB664)</f>
        <v>Mechanic Referral</v>
      </c>
      <c r="AE664" s="5" t="n">
        <f aca="false">IF(ISBLANK(AD664),AVERAGEIF(L664:L1663,L664,AD664:AD1663),AD664)</f>
        <v>37.9591836734694</v>
      </c>
      <c r="AF664" s="0" t="s">
        <v>112</v>
      </c>
      <c r="AG664" s="0" t="str">
        <f aca="false">PROPER(AF664)</f>
        <v>Unavailable</v>
      </c>
      <c r="AH664" s="0" t="s">
        <v>56</v>
      </c>
      <c r="AI664" s="0" t="s">
        <v>128</v>
      </c>
      <c r="AJ664" s="0" t="str">
        <f aca="false">PROPER(AI664)</f>
        <v>Normal</v>
      </c>
      <c r="AK664" s="0" t="s">
        <v>58</v>
      </c>
      <c r="AL664" s="0" t="str">
        <f aca="false">PROPER(AK664)</f>
        <v>Fleet Owner</v>
      </c>
      <c r="AM664" s="0" t="s">
        <v>2324</v>
      </c>
      <c r="AN664" s="0" t="str">
        <f aca="false">IF(ISBLANK(AM664),"Unknown",AM664)</f>
        <v>Logistics Convoy</v>
      </c>
      <c r="AO664" s="0" t="s">
        <v>143</v>
      </c>
      <c r="AP664" s="0" t="str">
        <f aca="false">IF(ISBLANK(AO664),"Unknown",AO664)</f>
        <v>Senior</v>
      </c>
      <c r="AQ664" s="0" t="n">
        <v>20000</v>
      </c>
      <c r="AR664" s="5" t="n">
        <f aca="false">IF(ISBLANK(AQ664),AVERAGEIF(M664:M1663,M664,AQ664:AQ1663),AQ664)</f>
        <v>20000</v>
      </c>
      <c r="AS664" s="0" t="n">
        <v>20000</v>
      </c>
      <c r="AT664" s="5" t="n">
        <f aca="false">IF(ISBLANK(AS664),AVERAGE(AS664:AS1663),AS664)</f>
        <v>20000</v>
      </c>
      <c r="AV664" s="0" t="str">
        <f aca="false">PROPER(IF(ISBLANK(AU664),"No",AU664))</f>
        <v>No</v>
      </c>
      <c r="AW664" s="0" t="n">
        <v>10000</v>
      </c>
      <c r="AX664" s="5" t="n">
        <f aca="false">IF(ISBLANK(AW664),0,AW664)</f>
        <v>10000</v>
      </c>
      <c r="AY664" s="0" t="s">
        <v>80</v>
      </c>
      <c r="AZ664" s="0" t="str">
        <f aca="false">UPPER(IF(ISBLANK(AY664),"NONE",AY664))</f>
        <v>PROMO10</v>
      </c>
      <c r="BB664" s="7" t="str">
        <f aca="false">IF(ISBLANK(BA664),"No Follow Up Needed",BA664)</f>
        <v>No Follow Up Needed</v>
      </c>
      <c r="BC664" s="0" t="s">
        <v>63</v>
      </c>
      <c r="BD664" s="0" t="str">
        <f aca="false">PROPER(IF(ISBLANK(BC664),"Unknown",BC664))</f>
        <v>Yes</v>
      </c>
      <c r="BF664" s="0" t="str">
        <f aca="false">IF(ISBLANK(BE664),"No comments",BE664)</f>
        <v>No comments</v>
      </c>
      <c r="BH664" s="0" t="str">
        <f aca="false">IF(ISBLANK(BG664),"No comments",BG664)</f>
        <v>No comments</v>
      </c>
      <c r="BI664" s="0" t="s">
        <v>63</v>
      </c>
      <c r="BJ664" s="0" t="str">
        <f aca="false">IF(ISBLANK(BI664),"Not Mentioned",BI664)</f>
        <v>Yes</v>
      </c>
      <c r="BK664" s="0" t="s">
        <v>61</v>
      </c>
      <c r="BL664" s="0" t="str">
        <f aca="false">PROPER(IF(ISBLANK(BK664),"Not Mentioned",BK664))</f>
        <v>No</v>
      </c>
      <c r="BN664" s="0" t="str">
        <f aca="false">PROPER(IF(ISBLANK(BM664),"Not Mentioned",BM664))</f>
        <v>Not Mentioned</v>
      </c>
      <c r="BO664" s="0" t="s">
        <v>2321</v>
      </c>
      <c r="BP664" s="0" t="str">
        <f aca="false">IF(ISBLANK(BO664),"One-Time Plan",BO664)</f>
        <v>One-Time Plan</v>
      </c>
      <c r="BQ664" s="0" t="s">
        <v>50</v>
      </c>
      <c r="BR664" s="0" t="str">
        <f aca="false">PROPER(IF(ISBLANK(BQ664),"No",BQ664))</f>
        <v>No</v>
      </c>
    </row>
    <row r="665" customFormat="false" ht="15" hidden="false" customHeight="false" outlineLevel="0" collapsed="false">
      <c r="A665" s="0" t="s">
        <v>1619</v>
      </c>
      <c r="B665" s="2" t="n">
        <v>45701</v>
      </c>
      <c r="C665" s="2" t="str">
        <f aca="false">TEXT(B665,"dd/mm/yyyy")</f>
        <v>13/02/2025</v>
      </c>
      <c r="D665" s="0" t="s">
        <v>105</v>
      </c>
      <c r="E665" s="0" t="n">
        <v>8091612860</v>
      </c>
      <c r="F665" s="0" t="s">
        <v>43</v>
      </c>
      <c r="G665" s="0" t="s">
        <v>2315</v>
      </c>
      <c r="H665" s="0" t="s">
        <v>1620</v>
      </c>
      <c r="I665" s="0" t="s">
        <v>107</v>
      </c>
      <c r="J665" s="0" t="s">
        <v>2317</v>
      </c>
      <c r="K665" s="3" t="str">
        <f aca="false" t="array" ref="K665:K665">IFERROR(IF(J665&lt;&gt;"",J665,INDEX(J665:J1664,MATCH(1,(F665:F1664=F665)*(I665:I1664=I665)*(L665:L1664=L665)*(J665:J1664&lt;&gt;""),0))),"Not Found")</f>
        <v>Suspension Noise</v>
      </c>
      <c r="L665" s="3" t="s">
        <v>108</v>
      </c>
      <c r="M665" s="0" t="str">
        <f aca="false">PROPER(L665)</f>
        <v>Timing Belt</v>
      </c>
      <c r="N665" s="3" t="s">
        <v>48</v>
      </c>
      <c r="O665" s="0" t="str">
        <f aca="false" t="array" ref="O665:O665">IF(N665&lt;&gt;"",N665,_xlfn.xlookup(1,(L665:L1664=L665)*(N665:N1664&lt;&gt;""),N665:N1664,"Not Found"))</f>
        <v>Uche</v>
      </c>
      <c r="P665" s="4" t="n">
        <v>14205</v>
      </c>
      <c r="Q665" s="0" t="s">
        <v>124</v>
      </c>
      <c r="R665" s="0" t="str">
        <f aca="false">PROPER(Q665)</f>
        <v>Cash</v>
      </c>
      <c r="S665" s="0" t="s">
        <v>63</v>
      </c>
      <c r="T665" s="0" t="n">
        <v>1</v>
      </c>
      <c r="U665" s="5" t="n">
        <f aca="false">IF(ISBLANK(T665),AVERAGE(T665:T1664),T665)</f>
        <v>1</v>
      </c>
      <c r="V665" s="0" t="n">
        <v>2.1</v>
      </c>
      <c r="W665" s="0" t="s">
        <v>92</v>
      </c>
      <c r="X665" s="0" t="str">
        <f aca="false">IF(ISBLANK(W665),"No remarks",W665)</f>
        <v>Urgent service</v>
      </c>
      <c r="Y665" s="0" t="s">
        <v>52</v>
      </c>
      <c r="Z665" s="0" t="s">
        <v>159</v>
      </c>
      <c r="AA665" s="0" t="str">
        <f aca="false">PROPER(IF(ISBLANK(Z665),"Location Unavailable",Z665))</f>
        <v>Main Bay</v>
      </c>
      <c r="AB665" s="0" t="s">
        <v>75</v>
      </c>
      <c r="AC665" s="6" t="str">
        <f aca="false">PROPER(AB665)</f>
        <v>Mechanik Referal</v>
      </c>
      <c r="AE665" s="5" t="n">
        <f aca="false">IF(ISBLANK(AD665),AVERAGEIF(L665:L1664,L665,AD665:AD1664),AD665)</f>
        <v>38.8888888888889</v>
      </c>
      <c r="AF665" s="0" t="s">
        <v>55</v>
      </c>
      <c r="AG665" s="0" t="str">
        <f aca="false">PROPER(AF665)</f>
        <v>Available</v>
      </c>
      <c r="AH665" s="0" t="s">
        <v>56</v>
      </c>
      <c r="AI665" s="0" t="s">
        <v>98</v>
      </c>
      <c r="AJ665" s="0" t="str">
        <f aca="false">PROPER(AI665)</f>
        <v>Emergency</v>
      </c>
      <c r="AK665" s="0" t="s">
        <v>58</v>
      </c>
      <c r="AL665" s="0" t="str">
        <f aca="false">PROPER(AK665)</f>
        <v>Fleet Owner</v>
      </c>
      <c r="AM665" s="0" t="s">
        <v>2324</v>
      </c>
      <c r="AN665" s="0" t="str">
        <f aca="false">IF(ISBLANK(AM665),"Unknown",AM665)</f>
        <v>Logistics Convoy</v>
      </c>
      <c r="AO665" s="0" t="s">
        <v>79</v>
      </c>
      <c r="AP665" s="0" t="str">
        <f aca="false">IF(ISBLANK(AO665),"Unknown",AO665)</f>
        <v>Specialist</v>
      </c>
      <c r="AQ665" s="0" t="n">
        <v>30000</v>
      </c>
      <c r="AR665" s="5" t="n">
        <f aca="false">IF(ISBLANK(AQ665),AVERAGEIF(M665:M1664,M665,AQ665:AQ1664),AQ665)</f>
        <v>30000</v>
      </c>
      <c r="AS665" s="0" t="n">
        <v>40000</v>
      </c>
      <c r="AT665" s="5" t="n">
        <f aca="false">IF(ISBLANK(AS665),AVERAGE(AS665:AS1664),AS665)</f>
        <v>40000</v>
      </c>
      <c r="AU665" s="0" t="s">
        <v>61</v>
      </c>
      <c r="AV665" s="0" t="str">
        <f aca="false">PROPER(IF(ISBLANK(AU665),"No",AU665))</f>
        <v>No</v>
      </c>
      <c r="AX665" s="5" t="n">
        <f aca="false">IF(ISBLANK(AW665),0,AW665)</f>
        <v>0</v>
      </c>
      <c r="AZ665" s="0" t="str">
        <f aca="false">UPPER(IF(ISBLANK(AY665),"NONE",AY665))</f>
        <v>NONE</v>
      </c>
      <c r="BA665" s="7" t="n">
        <v>45877</v>
      </c>
      <c r="BB665" s="7" t="n">
        <f aca="false">IF(ISBLANK(BA665),"No Follow Up Needed",BA665)</f>
        <v>45877</v>
      </c>
      <c r="BD665" s="0" t="str">
        <f aca="false">PROPER(IF(ISBLANK(BC665),"Unknown",BC665))</f>
        <v>Unknown</v>
      </c>
      <c r="BF665" s="0" t="str">
        <f aca="false">IF(ISBLANK(BE665),"No comments",BE665)</f>
        <v>No comments</v>
      </c>
      <c r="BG665" s="0" t="s">
        <v>172</v>
      </c>
      <c r="BH665" s="0" t="str">
        <f aca="false">IF(ISBLANK(BG665),"No comments",BG665)</f>
        <v>Always late</v>
      </c>
      <c r="BI665" s="0" t="s">
        <v>63</v>
      </c>
      <c r="BJ665" s="0" t="str">
        <f aca="false">IF(ISBLANK(BI665),"Not Mentioned",BI665)</f>
        <v>Yes</v>
      </c>
      <c r="BK665" s="0" t="s">
        <v>50</v>
      </c>
      <c r="BL665" s="0" t="str">
        <f aca="false">PROPER(IF(ISBLANK(BK665),"Not Mentioned",BK665))</f>
        <v>No</v>
      </c>
      <c r="BM665" s="0" t="s">
        <v>63</v>
      </c>
      <c r="BN665" s="0" t="str">
        <f aca="false">PROPER(IF(ISBLANK(BM665),"Not Mentioned",BM665))</f>
        <v>Yes</v>
      </c>
      <c r="BO665" s="0" t="s">
        <v>64</v>
      </c>
      <c r="BP665" s="0" t="str">
        <f aca="false">IF(ISBLANK(BO665),"One-Time Plan",BO665)</f>
        <v>Gold Maintenance Plan</v>
      </c>
      <c r="BQ665" s="0" t="s">
        <v>198</v>
      </c>
      <c r="BR665" s="0" t="str">
        <f aca="false">PROPER(IF(ISBLANK(BQ665),"No",BQ665))</f>
        <v>Followed Up</v>
      </c>
    </row>
    <row r="666" customFormat="false" ht="15" hidden="false" customHeight="false" outlineLevel="0" collapsed="false">
      <c r="A666" s="0" t="s">
        <v>1621</v>
      </c>
      <c r="B666" s="2" t="s">
        <v>119</v>
      </c>
      <c r="C666" s="2" t="str">
        <f aca="false">TEXT(B666,"dd/mm/yyyy")</f>
        <v>28/01/2025</v>
      </c>
      <c r="D666" s="0" t="s">
        <v>163</v>
      </c>
      <c r="E666" s="0" t="n">
        <v>8061202173</v>
      </c>
      <c r="F666" s="0" t="s">
        <v>67</v>
      </c>
      <c r="G666" s="0" t="s">
        <v>2316</v>
      </c>
      <c r="H666" s="0" t="s">
        <v>1622</v>
      </c>
      <c r="I666" s="0" t="s">
        <v>134</v>
      </c>
      <c r="J666" s="0" t="s">
        <v>2325</v>
      </c>
      <c r="K666" s="3" t="str">
        <f aca="false" t="array" ref="K666:K666">IFERROR(IF(J666&lt;&gt;"",J666,INDEX(J666:J1665,MATCH(1,(F666:F1665=F666)*(I666:I1665=I666)*(L666:L1665=L666)*(J666:J1665&lt;&gt;""),0))),"Not Found")</f>
        <v>Engine Knocking</v>
      </c>
      <c r="L666" s="3" t="s">
        <v>108</v>
      </c>
      <c r="M666" s="0" t="str">
        <f aca="false">PROPER(L666)</f>
        <v>Timing Belt</v>
      </c>
      <c r="N666" s="3" t="s">
        <v>90</v>
      </c>
      <c r="O666" s="0" t="str">
        <f aca="false" t="array" ref="O666:O666">IF(N666&lt;&gt;"",N666,_xlfn.xlookup(1,(L666:L1665=L666)*(N666:N1665&lt;&gt;""),N666:N1665,"Not Found"))</f>
        <v>Musa</v>
      </c>
      <c r="P666" s="4" t="n">
        <v>17547</v>
      </c>
      <c r="Q666" s="0" t="s">
        <v>110</v>
      </c>
      <c r="R666" s="0" t="str">
        <f aca="false">PROPER(Q666)</f>
        <v>Cash</v>
      </c>
      <c r="S666" s="0" t="s">
        <v>50</v>
      </c>
      <c r="T666" s="0" t="n">
        <v>5</v>
      </c>
      <c r="U666" s="5" t="n">
        <f aca="false">IF(ISBLANK(T666),AVERAGE(T666:T1665),T666)</f>
        <v>5</v>
      </c>
      <c r="V666" s="0" t="n">
        <v>3.4</v>
      </c>
      <c r="W666" s="0" t="s">
        <v>125</v>
      </c>
      <c r="X666" s="0" t="str">
        <f aca="false">IF(ISBLANK(W666),"No remarks",W666)</f>
        <v>Customer waited</v>
      </c>
      <c r="Y666" s="0" t="s">
        <v>93</v>
      </c>
      <c r="Z666" s="0" t="s">
        <v>159</v>
      </c>
      <c r="AA666" s="0" t="str">
        <f aca="false">PROPER(IF(ISBLANK(Z666),"Location Unavailable",Z666))</f>
        <v>Main Bay</v>
      </c>
      <c r="AB666" s="0" t="s">
        <v>126</v>
      </c>
      <c r="AC666" s="6" t="str">
        <f aca="false">PROPER(AB666)</f>
        <v>Whatsapp</v>
      </c>
      <c r="AD666" s="6" t="n">
        <v>60</v>
      </c>
      <c r="AE666" s="5" t="n">
        <f aca="false">IF(ISBLANK(AD666),AVERAGEIF(L666:L1665,L666,AD666:AD1665),AD666)</f>
        <v>60</v>
      </c>
      <c r="AF666" s="0" t="s">
        <v>96</v>
      </c>
      <c r="AG666" s="0" t="str">
        <f aca="false">PROPER(AF666)</f>
        <v>Ordered</v>
      </c>
      <c r="AH666" s="0" t="s">
        <v>148</v>
      </c>
      <c r="AI666" s="0" t="s">
        <v>98</v>
      </c>
      <c r="AJ666" s="0" t="str">
        <f aca="false">PROPER(AI666)</f>
        <v>Emergency</v>
      </c>
      <c r="AK666" s="0" t="s">
        <v>99</v>
      </c>
      <c r="AL666" s="0" t="str">
        <f aca="false">PROPER(AK666)</f>
        <v>Uber Driver</v>
      </c>
      <c r="AM666" s="0" t="s">
        <v>2324</v>
      </c>
      <c r="AN666" s="0" t="str">
        <f aca="false">IF(ISBLANK(AM666),"Unknown",AM666)</f>
        <v>Logistics Convoy</v>
      </c>
      <c r="AO666" s="0" t="s">
        <v>79</v>
      </c>
      <c r="AP666" s="0" t="str">
        <f aca="false">IF(ISBLANK(AO666),"Unknown",AO666)</f>
        <v>Specialist</v>
      </c>
      <c r="AR666" s="5" t="n">
        <f aca="false">IF(ISBLANK(AQ666),AVERAGEIF(M666:M1665,M666,AQ666:AQ1665),AQ666)</f>
        <v>27307.6923076923</v>
      </c>
      <c r="AS666" s="0" t="n">
        <v>30000</v>
      </c>
      <c r="AT666" s="5" t="n">
        <f aca="false">IF(ISBLANK(AS666),AVERAGE(AS666:AS1665),AS666)</f>
        <v>30000</v>
      </c>
      <c r="AU666" s="0" t="s">
        <v>63</v>
      </c>
      <c r="AV666" s="0" t="str">
        <f aca="false">PROPER(IF(ISBLANK(AU666),"No",AU666))</f>
        <v>Yes</v>
      </c>
      <c r="AW666" s="0" t="n">
        <v>5000</v>
      </c>
      <c r="AX666" s="5" t="n">
        <f aca="false">IF(ISBLANK(AW666),0,AW666)</f>
        <v>5000</v>
      </c>
      <c r="AY666" s="0" t="s">
        <v>60</v>
      </c>
      <c r="AZ666" s="0" t="str">
        <f aca="false">UPPER(IF(ISBLANK(AY666),"NONE",AY666))</f>
        <v>NONE</v>
      </c>
      <c r="BA666" s="7" t="n">
        <v>45889</v>
      </c>
      <c r="BB666" s="7" t="n">
        <f aca="false">IF(ISBLANK(BA666),"No Follow Up Needed",BA666)</f>
        <v>45889</v>
      </c>
      <c r="BC666" s="0" t="s">
        <v>61</v>
      </c>
      <c r="BD666" s="0" t="str">
        <f aca="false">PROPER(IF(ISBLANK(BC666),"Unknown",BC666))</f>
        <v>No</v>
      </c>
      <c r="BE666" s="0" t="s">
        <v>171</v>
      </c>
      <c r="BF666" s="0" t="str">
        <f aca="false">IF(ISBLANK(BE666),"No comments",BE666)</f>
        <v>Shock absorber weakening</v>
      </c>
      <c r="BH666" s="0" t="str">
        <f aca="false">IF(ISBLANK(BG666),"No comments",BG666)</f>
        <v>No comments</v>
      </c>
      <c r="BJ666" s="0" t="str">
        <f aca="false">IF(ISBLANK(BI666),"Not Mentioned",BI666)</f>
        <v>Not Mentioned</v>
      </c>
      <c r="BL666" s="0" t="str">
        <f aca="false">PROPER(IF(ISBLANK(BK666),"Not Mentioned",BK666))</f>
        <v>Not Mentioned</v>
      </c>
      <c r="BN666" s="0" t="str">
        <f aca="false">PROPER(IF(ISBLANK(BM666),"Not Mentioned",BM666))</f>
        <v>Not Mentioned</v>
      </c>
      <c r="BO666" s="0" t="s">
        <v>64</v>
      </c>
      <c r="BP666" s="0" t="str">
        <f aca="false">IF(ISBLANK(BO666),"One-Time Plan",BO666)</f>
        <v>Gold Maintenance Plan</v>
      </c>
      <c r="BR666" s="0" t="str">
        <f aca="false">PROPER(IF(ISBLANK(BQ666),"No",BQ666))</f>
        <v>No</v>
      </c>
    </row>
    <row r="667" customFormat="false" ht="15" hidden="false" customHeight="false" outlineLevel="0" collapsed="false">
      <c r="A667" s="0" t="s">
        <v>1623</v>
      </c>
      <c r="B667" s="2" t="n">
        <v>45810</v>
      </c>
      <c r="C667" s="2" t="str">
        <f aca="false">TEXT(B667,"dd/mm/yyyy")</f>
        <v>02/06/2025</v>
      </c>
      <c r="D667" s="0" t="s">
        <v>121</v>
      </c>
      <c r="E667" s="0" t="n">
        <v>8079990777</v>
      </c>
      <c r="F667" s="0" t="s">
        <v>43</v>
      </c>
      <c r="G667" s="0" t="s">
        <v>2315</v>
      </c>
      <c r="H667" s="0" t="s">
        <v>1624</v>
      </c>
      <c r="I667" s="0" t="s">
        <v>134</v>
      </c>
      <c r="J667" s="0" t="s">
        <v>2325</v>
      </c>
      <c r="K667" s="3" t="str">
        <f aca="false" t="array" ref="K667:K667">IFERROR(IF(J667&lt;&gt;"",J667,INDEX(J667:J1666,MATCH(1,(F667:F1666=F667)*(I667:I1666=I667)*(L667:L1666=L667)*(J667:J1666&lt;&gt;""),0))),"Not Found")</f>
        <v>Engine Knocking</v>
      </c>
      <c r="L667" s="3" t="s">
        <v>89</v>
      </c>
      <c r="M667" s="0" t="str">
        <f aca="false">PROPER(L667)</f>
        <v>Shock Absorbers</v>
      </c>
      <c r="N667" s="3" t="s">
        <v>71</v>
      </c>
      <c r="O667" s="0" t="str">
        <f aca="false" t="array" ref="O667:O667">IF(N667&lt;&gt;"",N667,_xlfn.xlookup(1,(L667:L1666=L667)*(N667:N1666&lt;&gt;""),N667:N1666,"Not Found"))</f>
        <v>Isaac Bobo</v>
      </c>
      <c r="P667" s="4" t="n">
        <v>44865</v>
      </c>
      <c r="Q667" s="0" t="s">
        <v>91</v>
      </c>
      <c r="R667" s="0" t="str">
        <f aca="false">PROPER(Q667)</f>
        <v>Pos</v>
      </c>
      <c r="S667" s="0" t="s">
        <v>63</v>
      </c>
      <c r="T667" s="0" t="n">
        <v>1</v>
      </c>
      <c r="U667" s="5" t="n">
        <f aca="false">IF(ISBLANK(T667),AVERAGE(T667:T1666),T667)</f>
        <v>1</v>
      </c>
      <c r="V667" s="0" t="n">
        <v>1.7</v>
      </c>
      <c r="W667" s="0" t="s">
        <v>92</v>
      </c>
      <c r="X667" s="0" t="str">
        <f aca="false">IF(ISBLANK(W667),"No remarks",W667)</f>
        <v>Urgent service</v>
      </c>
      <c r="Y667" s="0" t="s">
        <v>93</v>
      </c>
      <c r="AA667" s="0" t="str">
        <f aca="false">PROPER(IF(ISBLANK(Z667),"Location Unavailable",Z667))</f>
        <v>Location Unavailable</v>
      </c>
      <c r="AB667" s="0" t="s">
        <v>147</v>
      </c>
      <c r="AC667" s="6" t="str">
        <f aca="false">PROPER(AB667)</f>
        <v>Instagram</v>
      </c>
      <c r="AD667" s="6" t="n">
        <v>45</v>
      </c>
      <c r="AE667" s="5" t="n">
        <f aca="false">IF(ISBLANK(AD667),AVERAGEIF(L667:L1666,L667,AD667:AD1666),AD667)</f>
        <v>45</v>
      </c>
      <c r="AF667" s="0" t="s">
        <v>112</v>
      </c>
      <c r="AG667" s="0" t="str">
        <f aca="false">PROPER(AF667)</f>
        <v>Unavailable</v>
      </c>
      <c r="AH667" s="0" t="s">
        <v>155</v>
      </c>
      <c r="AI667" s="0" t="s">
        <v>78</v>
      </c>
      <c r="AJ667" s="0" t="str">
        <f aca="false">PROPER(AI667)</f>
        <v>Booking</v>
      </c>
      <c r="AK667" s="0" t="s">
        <v>58</v>
      </c>
      <c r="AL667" s="0" t="str">
        <f aca="false">PROPER(AK667)</f>
        <v>Fleet Owner</v>
      </c>
      <c r="AM667" s="0" t="s">
        <v>177</v>
      </c>
      <c r="AN667" s="0" t="str">
        <f aca="false">IF(ISBLANK(AM667),"Unknown",AM667)</f>
        <v>Private</v>
      </c>
      <c r="AO667" s="0" t="s">
        <v>149</v>
      </c>
      <c r="AP667" s="0" t="str">
        <f aca="false">IF(ISBLANK(AO667),"Unknown",AO667)</f>
        <v>Senior </v>
      </c>
      <c r="AR667" s="5" t="n">
        <f aca="false">IF(ISBLANK(AQ667),AVERAGEIF(M667:M1666,M667,AQ667:AQ1666),AQ667)</f>
        <v>24705.8823529412</v>
      </c>
      <c r="AS667" s="0" t="n">
        <v>35000</v>
      </c>
      <c r="AT667" s="5" t="n">
        <f aca="false">IF(ISBLANK(AS667),AVERAGE(AS667:AS1666),AS667)</f>
        <v>35000</v>
      </c>
      <c r="AU667" s="0" t="s">
        <v>63</v>
      </c>
      <c r="AV667" s="0" t="str">
        <f aca="false">PROPER(IF(ISBLANK(AU667),"No",AU667))</f>
        <v>Yes</v>
      </c>
      <c r="AW667" s="0" t="n">
        <v>0</v>
      </c>
      <c r="AX667" s="5" t="n">
        <f aca="false">IF(ISBLANK(AW667),0,AW667)</f>
        <v>0</v>
      </c>
      <c r="AY667" s="0" t="s">
        <v>60</v>
      </c>
      <c r="AZ667" s="0" t="str">
        <f aca="false">UPPER(IF(ISBLANK(AY667),"NONE",AY667))</f>
        <v>NONE</v>
      </c>
      <c r="BA667" s="7" t="s">
        <v>1019</v>
      </c>
      <c r="BB667" s="7" t="str">
        <f aca="false">IF(ISBLANK(BA667),"No Follow Up Needed",BA667)</f>
        <v>31/07/2025</v>
      </c>
      <c r="BC667" s="0" t="s">
        <v>63</v>
      </c>
      <c r="BD667" s="0" t="str">
        <f aca="false">PROPER(IF(ISBLANK(BC667),"Unknown",BC667))</f>
        <v>Yes</v>
      </c>
      <c r="BE667" s="0" t="s">
        <v>116</v>
      </c>
      <c r="BF667" s="0" t="str">
        <f aca="false">IF(ISBLANK(BE667),"No comments",BE667)</f>
        <v>Needs tire alignment</v>
      </c>
      <c r="BH667" s="0" t="str">
        <f aca="false">IF(ISBLANK(BG667),"No comments",BG667)</f>
        <v>No comments</v>
      </c>
      <c r="BI667" s="0" t="s">
        <v>63</v>
      </c>
      <c r="BJ667" s="0" t="str">
        <f aca="false">IF(ISBLANK(BI667),"Not Mentioned",BI667)</f>
        <v>Yes</v>
      </c>
      <c r="BK667" s="0" t="s">
        <v>50</v>
      </c>
      <c r="BL667" s="0" t="str">
        <f aca="false">PROPER(IF(ISBLANK(BK667),"Not Mentioned",BK667))</f>
        <v>No</v>
      </c>
      <c r="BN667" s="0" t="str">
        <f aca="false">PROPER(IF(ISBLANK(BM667),"Not Mentioned",BM667))</f>
        <v>Not Mentioned</v>
      </c>
      <c r="BP667" s="0" t="str">
        <f aca="false">IF(ISBLANK(BO667),"One-Time Plan",BO667)</f>
        <v>One-Time Plan</v>
      </c>
      <c r="BQ667" s="0" t="s">
        <v>190</v>
      </c>
      <c r="BR667" s="0" t="str">
        <f aca="false">PROPER(IF(ISBLANK(BQ667),"No",BQ667))</f>
        <v>Yes</v>
      </c>
    </row>
    <row r="668" customFormat="false" ht="15" hidden="false" customHeight="false" outlineLevel="0" collapsed="false">
      <c r="A668" s="0" t="s">
        <v>1625</v>
      </c>
      <c r="B668" s="2" t="n">
        <v>45744</v>
      </c>
      <c r="C668" s="2" t="str">
        <f aca="false">TEXT(B668,"dd/mm/yyyy")</f>
        <v>28/03/2025</v>
      </c>
      <c r="D668" s="0" t="s">
        <v>42</v>
      </c>
      <c r="E668" s="0" t="n">
        <v>8053169386</v>
      </c>
      <c r="F668" s="0" t="s">
        <v>122</v>
      </c>
      <c r="G668" s="0" t="s">
        <v>2316</v>
      </c>
      <c r="H668" s="0" t="s">
        <v>1626</v>
      </c>
      <c r="I668" s="0" t="s">
        <v>45</v>
      </c>
      <c r="J668" s="0" t="s">
        <v>2322</v>
      </c>
      <c r="K668" s="3" t="str">
        <f aca="false" t="array" ref="K668:K668">IFERROR(IF(J668&lt;&gt;"",J668,INDEX(J668:J1667,MATCH(1,(F668:F1667=F668)*(I668:I1667=I668)*(L668:L1667=L668)*(J668:J1667&lt;&gt;""),0))),"Not Found")</f>
        <v>Brake Failure</v>
      </c>
      <c r="L668" s="3" t="s">
        <v>142</v>
      </c>
      <c r="M668" s="0" t="str">
        <f aca="false">PROPER(L668)</f>
        <v>Oil Filter, Brake Pads</v>
      </c>
      <c r="O668" s="0" t="e">
        <f aca="false" t="array" ref="O668:O668">IF(N668&lt;&gt;"",N668,_xlfn.xlookup(1,(L668:L1667=L668)*(N668:N1667&lt;&gt;""),N668:N1667,"Not Found"))</f>
        <v>#NAME?</v>
      </c>
      <c r="P668" s="4" t="n">
        <v>62819</v>
      </c>
      <c r="Q668" s="0" t="s">
        <v>110</v>
      </c>
      <c r="R668" s="0" t="str">
        <f aca="false">PROPER(Q668)</f>
        <v>Cash</v>
      </c>
      <c r="S668" s="0" t="s">
        <v>63</v>
      </c>
      <c r="T668" s="0" t="n">
        <v>5</v>
      </c>
      <c r="U668" s="5" t="n">
        <f aca="false">IF(ISBLANK(T668),AVERAGE(T668:T1667),T668)</f>
        <v>5</v>
      </c>
      <c r="V668" s="0" t="n">
        <v>3</v>
      </c>
      <c r="W668" s="0" t="s">
        <v>111</v>
      </c>
      <c r="X668" s="0" t="str">
        <f aca="false">IF(ISBLANK(W668),"No remarks",W668)</f>
        <v>Changed all filters</v>
      </c>
      <c r="Y668" s="0" t="s">
        <v>93</v>
      </c>
      <c r="Z668" s="0" t="s">
        <v>74</v>
      </c>
      <c r="AA668" s="0" t="str">
        <f aca="false">PROPER(IF(ISBLANK(Z668),"Location Unavailable",Z668))</f>
        <v>Under Tree</v>
      </c>
      <c r="AB668" s="0" t="s">
        <v>126</v>
      </c>
      <c r="AC668" s="6" t="str">
        <f aca="false">PROPER(AB668)</f>
        <v>Whatsapp</v>
      </c>
      <c r="AD668" s="6" t="n">
        <v>60</v>
      </c>
      <c r="AE668" s="5" t="n">
        <f aca="false">IF(ISBLANK(AD668),AVERAGEIF(L668:L1667,L668,AD668:AD1667),AD668)</f>
        <v>60</v>
      </c>
      <c r="AF668" s="0" t="s">
        <v>96</v>
      </c>
      <c r="AG668" s="0" t="str">
        <f aca="false">PROPER(AF668)</f>
        <v>Ordered</v>
      </c>
      <c r="AH668" s="0" t="s">
        <v>155</v>
      </c>
      <c r="AI668" s="0" t="s">
        <v>98</v>
      </c>
      <c r="AJ668" s="0" t="str">
        <f aca="false">PROPER(AI668)</f>
        <v>Emergency</v>
      </c>
      <c r="AK668" s="0" t="s">
        <v>114</v>
      </c>
      <c r="AL668" s="0" t="str">
        <f aca="false">PROPER(AK668)</f>
        <v>Returning</v>
      </c>
      <c r="AM668" s="0" t="s">
        <v>59</v>
      </c>
      <c r="AN668" s="0" t="str">
        <f aca="false">IF(ISBLANK(AM668),"Unknown",AM668)</f>
        <v>Bolt Driver</v>
      </c>
      <c r="AO668" s="0" t="s">
        <v>79</v>
      </c>
      <c r="AP668" s="0" t="str">
        <f aca="false">IF(ISBLANK(AO668),"Unknown",AO668)</f>
        <v>Specialist</v>
      </c>
      <c r="AQ668" s="0" t="n">
        <v>15000</v>
      </c>
      <c r="AR668" s="5" t="n">
        <f aca="false">IF(ISBLANK(AQ668),AVERAGEIF(M668:M1667,M668,AQ668:AQ1667),AQ668)</f>
        <v>15000</v>
      </c>
      <c r="AS668" s="0" t="n">
        <v>35000</v>
      </c>
      <c r="AT668" s="5" t="n">
        <f aca="false">IF(ISBLANK(AS668),AVERAGE(AS668:AS1667),AS668)</f>
        <v>35000</v>
      </c>
      <c r="AU668" s="0" t="s">
        <v>50</v>
      </c>
      <c r="AV668" s="0" t="str">
        <f aca="false">PROPER(IF(ISBLANK(AU668),"No",AU668))</f>
        <v>No</v>
      </c>
      <c r="AW668" s="0" t="n">
        <v>10000</v>
      </c>
      <c r="AX668" s="5" t="n">
        <f aca="false">IF(ISBLANK(AW668),0,AW668)</f>
        <v>10000</v>
      </c>
      <c r="AY668" s="0" t="s">
        <v>184</v>
      </c>
      <c r="AZ668" s="0" t="str">
        <f aca="false">UPPER(IF(ISBLANK(AY668),"NONE",AY668))</f>
        <v>N/A</v>
      </c>
      <c r="BA668" s="7" t="n">
        <v>45973</v>
      </c>
      <c r="BB668" s="7" t="n">
        <f aca="false">IF(ISBLANK(BA668),"No Follow Up Needed",BA668)</f>
        <v>45973</v>
      </c>
      <c r="BC668" s="0" t="s">
        <v>50</v>
      </c>
      <c r="BD668" s="0" t="str">
        <f aca="false">PROPER(IF(ISBLANK(BC668),"Unknown",BC668))</f>
        <v>No</v>
      </c>
      <c r="BE668" s="0" t="s">
        <v>171</v>
      </c>
      <c r="BF668" s="0" t="str">
        <f aca="false">IF(ISBLANK(BE668),"No comments",BE668)</f>
        <v>Shock absorber weakening</v>
      </c>
      <c r="BH668" s="0" t="str">
        <f aca="false">IF(ISBLANK(BG668),"No comments",BG668)</f>
        <v>No comments</v>
      </c>
      <c r="BI668" s="0" t="s">
        <v>50</v>
      </c>
      <c r="BJ668" s="0" t="str">
        <f aca="false">IF(ISBLANK(BI668),"Not Mentioned",BI668)</f>
        <v>No</v>
      </c>
      <c r="BK668" s="0" t="s">
        <v>61</v>
      </c>
      <c r="BL668" s="0" t="str">
        <f aca="false">PROPER(IF(ISBLANK(BK668),"Not Mentioned",BK668))</f>
        <v>No</v>
      </c>
      <c r="BM668" s="0" t="s">
        <v>50</v>
      </c>
      <c r="BN668" s="0" t="str">
        <f aca="false">PROPER(IF(ISBLANK(BM668),"Not Mentioned",BM668))</f>
        <v>No</v>
      </c>
      <c r="BO668" s="0" t="s">
        <v>2321</v>
      </c>
      <c r="BP668" s="0" t="str">
        <f aca="false">IF(ISBLANK(BO668),"One-Time Plan",BO668)</f>
        <v>One-Time Plan</v>
      </c>
      <c r="BQ668" s="0" t="s">
        <v>50</v>
      </c>
      <c r="BR668" s="0" t="str">
        <f aca="false">PROPER(IF(ISBLANK(BQ668),"No",BQ668))</f>
        <v>No</v>
      </c>
    </row>
    <row r="669" customFormat="false" ht="15" hidden="false" customHeight="false" outlineLevel="0" collapsed="false">
      <c r="A669" s="0" t="s">
        <v>1627</v>
      </c>
      <c r="B669" s="2" t="n">
        <v>45688</v>
      </c>
      <c r="C669" s="2" t="str">
        <f aca="false">TEXT(B669,"dd/mm/yyyy")</f>
        <v>31/01/2025</v>
      </c>
      <c r="D669" s="0" t="s">
        <v>163</v>
      </c>
      <c r="E669" s="0" t="n">
        <v>8034635056</v>
      </c>
      <c r="F669" s="0" t="s">
        <v>85</v>
      </c>
      <c r="G669" s="0" t="s">
        <v>2319</v>
      </c>
      <c r="H669" s="0" t="s">
        <v>1628</v>
      </c>
      <c r="I669" s="0" t="s">
        <v>45</v>
      </c>
      <c r="J669" s="0" t="s">
        <v>2317</v>
      </c>
      <c r="K669" s="3" t="str">
        <f aca="false" t="array" ref="K669:K669">IFERROR(IF(J669&lt;&gt;"",J669,INDEX(J669:J1668,MATCH(1,(F669:F1668=F669)*(I669:I1668=I669)*(L669:L1668=L669)*(J669:J1668&lt;&gt;""),0))),"Not Found")</f>
        <v>Suspension Noise</v>
      </c>
      <c r="L669" s="3" t="s">
        <v>89</v>
      </c>
      <c r="M669" s="0" t="str">
        <f aca="false">PROPER(L669)</f>
        <v>Shock Absorbers</v>
      </c>
      <c r="N669" s="3" t="s">
        <v>71</v>
      </c>
      <c r="O669" s="0" t="str">
        <f aca="false" t="array" ref="O669:O669">IF(N669&lt;&gt;"",N669,_xlfn.xlookup(1,(L669:L1668=L669)*(N669:N1668&lt;&gt;""),N669:N1668,"Not Found"))</f>
        <v>Isaac Bobo</v>
      </c>
      <c r="P669" s="4" t="n">
        <v>64369</v>
      </c>
      <c r="Q669" s="0" t="s">
        <v>166</v>
      </c>
      <c r="R669" s="0" t="str">
        <f aca="false">PROPER(Q669)</f>
        <v>Transfer</v>
      </c>
      <c r="S669" s="0" t="s">
        <v>50</v>
      </c>
      <c r="T669" s="0" t="n">
        <v>3</v>
      </c>
      <c r="U669" s="5" t="n">
        <f aca="false">IF(ISBLANK(T669),AVERAGE(T669:T1668),T669)</f>
        <v>3</v>
      </c>
      <c r="V669" s="0" t="n">
        <v>4.5</v>
      </c>
      <c r="W669" s="0" t="s">
        <v>111</v>
      </c>
      <c r="X669" s="0" t="str">
        <f aca="false">IF(ISBLANK(W669),"No remarks",W669)</f>
        <v>Changed all filters</v>
      </c>
      <c r="Y669" s="0" t="s">
        <v>52</v>
      </c>
      <c r="Z669" s="0" t="s">
        <v>94</v>
      </c>
      <c r="AA669" s="0" t="str">
        <f aca="false">PROPER(IF(ISBLANK(Z669),"Location Unavailable",Z669))</f>
        <v>Vip Section</v>
      </c>
      <c r="AB669" s="0" t="s">
        <v>95</v>
      </c>
      <c r="AC669" s="6" t="str">
        <f aca="false">PROPER(AB669)</f>
        <v>Road Sign</v>
      </c>
      <c r="AD669" s="6" t="n">
        <v>60</v>
      </c>
      <c r="AE669" s="5" t="n">
        <f aca="false">IF(ISBLANK(AD669),AVERAGEIF(L669:L1668,L669,AD669:AD1668),AD669)</f>
        <v>60</v>
      </c>
      <c r="AF669" s="0" t="s">
        <v>160</v>
      </c>
      <c r="AG669" s="0" t="str">
        <f aca="false">PROPER(AF669)</f>
        <v>Availaible</v>
      </c>
      <c r="AH669" s="0" t="s">
        <v>155</v>
      </c>
      <c r="AI669" s="0" t="s">
        <v>78</v>
      </c>
      <c r="AJ669" s="0" t="str">
        <f aca="false">PROPER(AI669)</f>
        <v>Booking</v>
      </c>
      <c r="AK669" s="0" t="s">
        <v>114</v>
      </c>
      <c r="AL669" s="0" t="str">
        <f aca="false">PROPER(AK669)</f>
        <v>Returning</v>
      </c>
      <c r="AM669" s="0" t="s">
        <v>177</v>
      </c>
      <c r="AN669" s="0" t="str">
        <f aca="false">IF(ISBLANK(AM669),"Unknown",AM669)</f>
        <v>Private</v>
      </c>
      <c r="AO669" s="0" t="s">
        <v>149</v>
      </c>
      <c r="AP669" s="0" t="str">
        <f aca="false">IF(ISBLANK(AO669),"Unknown",AO669)</f>
        <v>Senior </v>
      </c>
      <c r="AQ669" s="0" t="n">
        <v>25000</v>
      </c>
      <c r="AR669" s="5" t="n">
        <f aca="false">IF(ISBLANK(AQ669),AVERAGEIF(M669:M1668,M669,AQ669:AQ1668),AQ669)</f>
        <v>25000</v>
      </c>
      <c r="AS669" s="0" t="n">
        <v>35000</v>
      </c>
      <c r="AT669" s="5" t="n">
        <f aca="false">IF(ISBLANK(AS669),AVERAGE(AS669:AS1668),AS669)</f>
        <v>35000</v>
      </c>
      <c r="AU669" s="0" t="s">
        <v>61</v>
      </c>
      <c r="AV669" s="0" t="str">
        <f aca="false">PROPER(IF(ISBLANK(AU669),"No",AU669))</f>
        <v>No</v>
      </c>
      <c r="AW669" s="0" t="n">
        <v>5000</v>
      </c>
      <c r="AX669" s="5" t="n">
        <f aca="false">IF(ISBLANK(AW669),0,AW669)</f>
        <v>5000</v>
      </c>
      <c r="AY669" s="0" t="s">
        <v>80</v>
      </c>
      <c r="AZ669" s="0" t="str">
        <f aca="false">UPPER(IF(ISBLANK(AY669),"NONE",AY669))</f>
        <v>PROMO10</v>
      </c>
      <c r="BA669" s="7" t="s">
        <v>486</v>
      </c>
      <c r="BB669" s="7" t="str">
        <f aca="false">IF(ISBLANK(BA669),"No Follow Up Needed",BA669)</f>
        <v>18/10/2025</v>
      </c>
      <c r="BC669" s="0" t="s">
        <v>61</v>
      </c>
      <c r="BD669" s="0" t="str">
        <f aca="false">PROPER(IF(ISBLANK(BC669),"Unknown",BC669))</f>
        <v>No</v>
      </c>
      <c r="BE669" s="0" t="s">
        <v>116</v>
      </c>
      <c r="BF669" s="0" t="str">
        <f aca="false">IF(ISBLANK(BE669),"No comments",BE669)</f>
        <v>Needs tire alignment</v>
      </c>
      <c r="BH669" s="0" t="str">
        <f aca="false">IF(ISBLANK(BG669),"No comments",BG669)</f>
        <v>No comments</v>
      </c>
      <c r="BI669" s="0" t="s">
        <v>63</v>
      </c>
      <c r="BJ669" s="0" t="str">
        <f aca="false">IF(ISBLANK(BI669),"Not Mentioned",BI669)</f>
        <v>Yes</v>
      </c>
      <c r="BK669" s="0" t="s">
        <v>82</v>
      </c>
      <c r="BL669" s="0" t="str">
        <f aca="false">PROPER(IF(ISBLANK(BK669),"Not Mentioned",BK669))</f>
        <v>Yes</v>
      </c>
      <c r="BM669" s="0" t="s">
        <v>63</v>
      </c>
      <c r="BN669" s="0" t="str">
        <f aca="false">PROPER(IF(ISBLANK(BM669),"Not Mentioned",BM669))</f>
        <v>Yes</v>
      </c>
      <c r="BO669" s="0" t="s">
        <v>2321</v>
      </c>
      <c r="BP669" s="0" t="str">
        <f aca="false">IF(ISBLANK(BO669),"One-Time Plan",BO669)</f>
        <v>One-Time Plan</v>
      </c>
      <c r="BQ669" s="0" t="s">
        <v>190</v>
      </c>
      <c r="BR669" s="0" t="str">
        <f aca="false">PROPER(IF(ISBLANK(BQ669),"No",BQ669))</f>
        <v>Yes</v>
      </c>
    </row>
    <row r="670" customFormat="false" ht="15" hidden="false" customHeight="false" outlineLevel="0" collapsed="false">
      <c r="A670" s="0" t="s">
        <v>1630</v>
      </c>
      <c r="B670" s="2" t="s">
        <v>1629</v>
      </c>
      <c r="C670" s="2" t="str">
        <f aca="false">TEXT(B670,"dd/mm/yyyy")</f>
        <v>20/05/2025</v>
      </c>
      <c r="D670" s="0" t="s">
        <v>163</v>
      </c>
      <c r="E670" s="0" t="n">
        <v>8069372673</v>
      </c>
      <c r="F670" s="0" t="s">
        <v>122</v>
      </c>
      <c r="G670" s="0" t="s">
        <v>2316</v>
      </c>
      <c r="H670" s="0" t="s">
        <v>1631</v>
      </c>
      <c r="I670" s="0" t="s">
        <v>134</v>
      </c>
      <c r="J670" s="0" t="s">
        <v>2325</v>
      </c>
      <c r="K670" s="3" t="str">
        <f aca="false" t="array" ref="K670:K670">IFERROR(IF(J670&lt;&gt;"",J670,INDEX(J670:J1669,MATCH(1,(F670:F1669=F670)*(I670:I1669=I670)*(L670:L1669=L670)*(J670:J1669&lt;&gt;""),0))),"Not Found")</f>
        <v>Engine Knocking</v>
      </c>
      <c r="L670" s="3" t="s">
        <v>189</v>
      </c>
      <c r="M670" s="0" t="str">
        <f aca="false">PROPER(L670)</f>
        <v>Battery</v>
      </c>
      <c r="N670" s="3" t="s">
        <v>90</v>
      </c>
      <c r="O670" s="0" t="str">
        <f aca="false" t="array" ref="O670:O670">IF(N670&lt;&gt;"",N670,_xlfn.xlookup(1,(L670:L1669=L670)*(N670:N1669&lt;&gt;""),N670:N1669,"Not Found"))</f>
        <v>Musa</v>
      </c>
      <c r="P670" s="4" t="n">
        <v>65779</v>
      </c>
      <c r="Q670" s="0" t="s">
        <v>49</v>
      </c>
      <c r="R670" s="0" t="str">
        <f aca="false">PROPER(Q670)</f>
        <v>Transfer</v>
      </c>
      <c r="S670" s="0" t="s">
        <v>63</v>
      </c>
      <c r="T670" s="0" t="n">
        <v>3</v>
      </c>
      <c r="U670" s="5" t="n">
        <f aca="false">IF(ISBLANK(T670),AVERAGE(T670:T1669),T670)</f>
        <v>3</v>
      </c>
      <c r="V670" s="0" t="n">
        <v>1.8</v>
      </c>
      <c r="W670" s="0" t="s">
        <v>92</v>
      </c>
      <c r="X670" s="0" t="str">
        <f aca="false">IF(ISBLANK(W670),"No remarks",W670)</f>
        <v>Urgent service</v>
      </c>
      <c r="Y670" s="0" t="s">
        <v>93</v>
      </c>
      <c r="Z670" s="0" t="s">
        <v>136</v>
      </c>
      <c r="AA670" s="0" t="str">
        <f aca="false">PROPER(IF(ISBLANK(Z670),"Location Unavailable",Z670))</f>
        <v>Vip Section</v>
      </c>
      <c r="AB670" s="0" t="s">
        <v>147</v>
      </c>
      <c r="AC670" s="6" t="str">
        <f aca="false">PROPER(AB670)</f>
        <v>Instagram</v>
      </c>
      <c r="AD670" s="6" t="n">
        <v>60</v>
      </c>
      <c r="AE670" s="5" t="n">
        <f aca="false">IF(ISBLANK(AD670),AVERAGEIF(L670:L1669,L670,AD670:AD1669),AD670)</f>
        <v>60</v>
      </c>
      <c r="AF670" s="0" t="s">
        <v>112</v>
      </c>
      <c r="AG670" s="0" t="str">
        <f aca="false">PROPER(AF670)</f>
        <v>Unavailable</v>
      </c>
      <c r="AH670" s="0" t="s">
        <v>77</v>
      </c>
      <c r="AI670" s="0" t="s">
        <v>78</v>
      </c>
      <c r="AJ670" s="0" t="str">
        <f aca="false">PROPER(AI670)</f>
        <v>Booking</v>
      </c>
      <c r="AK670" s="0" t="s">
        <v>58</v>
      </c>
      <c r="AL670" s="0" t="str">
        <f aca="false">PROPER(AK670)</f>
        <v>Fleet Owner</v>
      </c>
      <c r="AM670" s="0" t="s">
        <v>2324</v>
      </c>
      <c r="AN670" s="0" t="str">
        <f aca="false">IF(ISBLANK(AM670),"Unknown",AM670)</f>
        <v>Logistics Convoy</v>
      </c>
      <c r="AO670" s="0" t="s">
        <v>143</v>
      </c>
      <c r="AP670" s="0" t="str">
        <f aca="false">IF(ISBLANK(AO670),"Unknown",AO670)</f>
        <v>Senior</v>
      </c>
      <c r="AQ670" s="0" t="n">
        <v>15000</v>
      </c>
      <c r="AR670" s="5" t="n">
        <f aca="false">IF(ISBLANK(AQ670),AVERAGEIF(M670:M1669,M670,AQ670:AQ1669),AQ670)</f>
        <v>15000</v>
      </c>
      <c r="AS670" s="0" t="n">
        <v>35000</v>
      </c>
      <c r="AT670" s="5" t="n">
        <f aca="false">IF(ISBLANK(AS670),AVERAGE(AS670:AS1669),AS670)</f>
        <v>35000</v>
      </c>
      <c r="AU670" s="0" t="s">
        <v>61</v>
      </c>
      <c r="AV670" s="0" t="str">
        <f aca="false">PROPER(IF(ISBLANK(AU670),"No",AU670))</f>
        <v>No</v>
      </c>
      <c r="AW670" s="0" t="n">
        <v>5000</v>
      </c>
      <c r="AX670" s="5" t="n">
        <f aca="false">IF(ISBLANK(AW670),0,AW670)</f>
        <v>5000</v>
      </c>
      <c r="AY670" s="0" t="s">
        <v>80</v>
      </c>
      <c r="AZ670" s="0" t="str">
        <f aca="false">UPPER(IF(ISBLANK(AY670),"NONE",AY670))</f>
        <v>PROMO10</v>
      </c>
      <c r="BA670" s="7" t="s">
        <v>1632</v>
      </c>
      <c r="BB670" s="7" t="str">
        <f aca="false">IF(ISBLANK(BA670),"No Follow Up Needed",BA670)</f>
        <v>27/08/2025</v>
      </c>
      <c r="BC670" s="0" t="s">
        <v>50</v>
      </c>
      <c r="BD670" s="0" t="str">
        <f aca="false">PROPER(IF(ISBLANK(BC670),"Unknown",BC670))</f>
        <v>No</v>
      </c>
      <c r="BF670" s="0" t="str">
        <f aca="false">IF(ISBLANK(BE670),"No comments",BE670)</f>
        <v>No comments</v>
      </c>
      <c r="BG670" s="0" t="s">
        <v>172</v>
      </c>
      <c r="BH670" s="0" t="str">
        <f aca="false">IF(ISBLANK(BG670),"No comments",BG670)</f>
        <v>Always late</v>
      </c>
      <c r="BI670" s="0" t="s">
        <v>50</v>
      </c>
      <c r="BJ670" s="0" t="str">
        <f aca="false">IF(ISBLANK(BI670),"Not Mentioned",BI670)</f>
        <v>No</v>
      </c>
      <c r="BK670" s="0" t="s">
        <v>61</v>
      </c>
      <c r="BL670" s="0" t="str">
        <f aca="false">PROPER(IF(ISBLANK(BK670),"Not Mentioned",BK670))</f>
        <v>No</v>
      </c>
      <c r="BM670" s="0" t="s">
        <v>63</v>
      </c>
      <c r="BN670" s="0" t="str">
        <f aca="false">PROPER(IF(ISBLANK(BM670),"Not Mentioned",BM670))</f>
        <v>Yes</v>
      </c>
      <c r="BO670" s="0" t="s">
        <v>2321</v>
      </c>
      <c r="BP670" s="0" t="str">
        <f aca="false">IF(ISBLANK(BO670),"One-Time Plan",BO670)</f>
        <v>One-Time Plan</v>
      </c>
      <c r="BR670" s="0" t="str">
        <f aca="false">PROPER(IF(ISBLANK(BQ670),"No",BQ670))</f>
        <v>No</v>
      </c>
    </row>
    <row r="671" customFormat="false" ht="15" hidden="false" customHeight="false" outlineLevel="0" collapsed="false">
      <c r="A671" s="0" t="s">
        <v>1633</v>
      </c>
      <c r="B671" s="2" t="n">
        <v>45712</v>
      </c>
      <c r="C671" s="2" t="str">
        <f aca="false">TEXT(B671,"dd/mm/yyyy")</f>
        <v>24/02/2025</v>
      </c>
      <c r="D671" s="0" t="s">
        <v>66</v>
      </c>
      <c r="E671" s="0" t="n">
        <v>8094527978</v>
      </c>
      <c r="F671" s="0" t="s">
        <v>67</v>
      </c>
      <c r="G671" s="0" t="s">
        <v>2316</v>
      </c>
      <c r="H671" s="0" t="s">
        <v>1634</v>
      </c>
      <c r="I671" s="0" t="s">
        <v>69</v>
      </c>
      <c r="J671" s="0" t="s">
        <v>2317</v>
      </c>
      <c r="K671" s="3" t="str">
        <f aca="false" t="array" ref="K671:K671">IFERROR(IF(J671&lt;&gt;"",J671,INDEX(J671:J1670,MATCH(1,(F671:F1670=F671)*(I671:I1670=I671)*(L671:L1670=L671)*(J671:J1670&lt;&gt;""),0))),"Not Found")</f>
        <v>Suspension Noise</v>
      </c>
      <c r="L671" s="3" t="s">
        <v>189</v>
      </c>
      <c r="M671" s="0" t="str">
        <f aca="false">PROPER(L671)</f>
        <v>Battery</v>
      </c>
      <c r="N671" s="3" t="s">
        <v>90</v>
      </c>
      <c r="O671" s="0" t="str">
        <f aca="false" t="array" ref="O671:O671">IF(N671&lt;&gt;"",N671,_xlfn.xlookup(1,(L671:L1670=L671)*(N671:N1670&lt;&gt;""),N671:N1670,"Not Found"))</f>
        <v>Musa</v>
      </c>
      <c r="P671" s="4" t="n">
        <v>23129</v>
      </c>
      <c r="Q671" s="0" t="s">
        <v>72</v>
      </c>
      <c r="R671" s="0" t="str">
        <f aca="false">PROPER(Q671)</f>
        <v>Pos</v>
      </c>
      <c r="S671" s="0" t="s">
        <v>63</v>
      </c>
      <c r="T671" s="0" t="n">
        <v>5</v>
      </c>
      <c r="U671" s="5" t="n">
        <f aca="false">IF(ISBLANK(T671),AVERAGE(T671:T1670),T671)</f>
        <v>5</v>
      </c>
      <c r="V671" s="0" t="n">
        <v>5.7</v>
      </c>
      <c r="X671" s="0" t="str">
        <f aca="false">IF(ISBLANK(W671),"No remarks",W671)</f>
        <v>No remarks</v>
      </c>
      <c r="Y671" s="0" t="s">
        <v>93</v>
      </c>
      <c r="Z671" s="0" t="s">
        <v>53</v>
      </c>
      <c r="AA671" s="0" t="str">
        <f aca="false">PROPER(IF(ISBLANK(Z671),"Location Unavailable",Z671))</f>
        <v>Main Bay</v>
      </c>
      <c r="AB671" s="0" t="s">
        <v>75</v>
      </c>
      <c r="AC671" s="6" t="str">
        <f aca="false">PROPER(AB671)</f>
        <v>Mechanik Referal</v>
      </c>
      <c r="AD671" s="6" t="n">
        <v>30</v>
      </c>
      <c r="AE671" s="5" t="n">
        <f aca="false">IF(ISBLANK(AD671),AVERAGEIF(L671:L1670,L671,AD671:AD1670),AD671)</f>
        <v>30</v>
      </c>
      <c r="AF671" s="0" t="s">
        <v>112</v>
      </c>
      <c r="AG671" s="0" t="str">
        <f aca="false">PROPER(AF671)</f>
        <v>Unavailable</v>
      </c>
      <c r="AH671" s="0" t="s">
        <v>155</v>
      </c>
      <c r="AI671" s="0" t="s">
        <v>98</v>
      </c>
      <c r="AJ671" s="0" t="str">
        <f aca="false">PROPER(AI671)</f>
        <v>Emergency</v>
      </c>
      <c r="AK671" s="0" t="s">
        <v>58</v>
      </c>
      <c r="AL671" s="0" t="str">
        <f aca="false">PROPER(AK671)</f>
        <v>Fleet Owner</v>
      </c>
      <c r="AM671" s="0" t="s">
        <v>2326</v>
      </c>
      <c r="AN671" s="0" t="str">
        <f aca="false">IF(ISBLANK(AM671),"Unknown",AM671)</f>
        <v>Government Convoy</v>
      </c>
      <c r="AO671" s="0" t="s">
        <v>79</v>
      </c>
      <c r="AP671" s="0" t="str">
        <f aca="false">IF(ISBLANK(AO671),"Unknown",AO671)</f>
        <v>Specialist</v>
      </c>
      <c r="AQ671" s="0" t="n">
        <v>20000</v>
      </c>
      <c r="AR671" s="5" t="n">
        <f aca="false">IF(ISBLANK(AQ671),AVERAGEIF(M671:M1670,M671,AQ671:AQ1670),AQ671)</f>
        <v>20000</v>
      </c>
      <c r="AS671" s="0" t="n">
        <v>30000</v>
      </c>
      <c r="AT671" s="5" t="n">
        <f aca="false">IF(ISBLANK(AS671),AVERAGE(AS671:AS1670),AS671)</f>
        <v>30000</v>
      </c>
      <c r="AU671" s="0" t="s">
        <v>50</v>
      </c>
      <c r="AV671" s="0" t="str">
        <f aca="false">PROPER(IF(ISBLANK(AU671),"No",AU671))</f>
        <v>No</v>
      </c>
      <c r="AW671" s="0" t="n">
        <v>5000</v>
      </c>
      <c r="AX671" s="5" t="n">
        <f aca="false">IF(ISBLANK(AW671),0,AW671)</f>
        <v>5000</v>
      </c>
      <c r="AY671" s="0" t="s">
        <v>80</v>
      </c>
      <c r="AZ671" s="0" t="str">
        <f aca="false">UPPER(IF(ISBLANK(AY671),"NONE",AY671))</f>
        <v>PROMO10</v>
      </c>
      <c r="BA671" s="7" t="s">
        <v>1635</v>
      </c>
      <c r="BB671" s="7" t="str">
        <f aca="false">IF(ISBLANK(BA671),"No Follow Up Needed",BA671)</f>
        <v>22/09/2025</v>
      </c>
      <c r="BD671" s="0" t="str">
        <f aca="false">PROPER(IF(ISBLANK(BC671),"Unknown",BC671))</f>
        <v>Unknown</v>
      </c>
      <c r="BF671" s="0" t="str">
        <f aca="false">IF(ISBLANK(BE671),"No comments",BE671)</f>
        <v>No comments</v>
      </c>
      <c r="BH671" s="0" t="str">
        <f aca="false">IF(ISBLANK(BG671),"No comments",BG671)</f>
        <v>No comments</v>
      </c>
      <c r="BI671" s="0" t="s">
        <v>50</v>
      </c>
      <c r="BJ671" s="0" t="str">
        <f aca="false">IF(ISBLANK(BI671),"Not Mentioned",BI671)</f>
        <v>No</v>
      </c>
      <c r="BK671" s="0" t="s">
        <v>50</v>
      </c>
      <c r="BL671" s="0" t="str">
        <f aca="false">PROPER(IF(ISBLANK(BK671),"Not Mentioned",BK671))</f>
        <v>No</v>
      </c>
      <c r="BM671" s="0" t="s">
        <v>50</v>
      </c>
      <c r="BN671" s="0" t="str">
        <f aca="false">PROPER(IF(ISBLANK(BM671),"Not Mentioned",BM671))</f>
        <v>No</v>
      </c>
      <c r="BO671" s="0" t="s">
        <v>64</v>
      </c>
      <c r="BP671" s="0" t="str">
        <f aca="false">IF(ISBLANK(BO671),"One-Time Plan",BO671)</f>
        <v>Gold Maintenance Plan</v>
      </c>
      <c r="BQ671" s="0" t="s">
        <v>50</v>
      </c>
      <c r="BR671" s="0" t="str">
        <f aca="false">PROPER(IF(ISBLANK(BQ671),"No",BQ671))</f>
        <v>No</v>
      </c>
    </row>
    <row r="672" customFormat="false" ht="15" hidden="false" customHeight="false" outlineLevel="0" collapsed="false">
      <c r="A672" s="0" t="s">
        <v>1636</v>
      </c>
      <c r="B672" s="2" t="s">
        <v>869</v>
      </c>
      <c r="C672" s="2" t="str">
        <f aca="false">TEXT(B672,"dd/mm/yyyy")</f>
        <v>17/01/2025</v>
      </c>
      <c r="D672" s="0" t="s">
        <v>121</v>
      </c>
      <c r="E672" s="0" t="n">
        <v>8010811032</v>
      </c>
      <c r="F672" s="0" t="s">
        <v>139</v>
      </c>
      <c r="G672" s="0" t="s">
        <v>2323</v>
      </c>
      <c r="H672" s="0" t="s">
        <v>412</v>
      </c>
      <c r="I672" s="0" t="s">
        <v>107</v>
      </c>
      <c r="J672" s="0" t="s">
        <v>87</v>
      </c>
      <c r="K672" s="3" t="str">
        <f aca="false" t="array" ref="K672:K672">IFERROR(IF(J672&lt;&gt;"",J672,INDEX(J672:J1671,MATCH(1,(F672:F1671=F672)*(I672:I1671=I672)*(L672:L1671=L672)*(J672:J1671&lt;&gt;""),0))),"Not Found")</f>
        <v>Oil Change</v>
      </c>
      <c r="L672" s="3" t="s">
        <v>108</v>
      </c>
      <c r="M672" s="0" t="str">
        <f aca="false">PROPER(L672)</f>
        <v>Timing Belt</v>
      </c>
      <c r="O672" s="0" t="e">
        <f aca="false" t="array" ref="O672:O672">IF(N672&lt;&gt;"",N672,_xlfn.xlookup(1,(L672:L1671=L672)*(N672:N1671&lt;&gt;""),N672:N1671,"Not Found"))</f>
        <v>#NAME?</v>
      </c>
      <c r="P672" s="4" t="n">
        <v>50711</v>
      </c>
      <c r="Q672" s="0" t="s">
        <v>91</v>
      </c>
      <c r="R672" s="0" t="str">
        <f aca="false">PROPER(Q672)</f>
        <v>Pos</v>
      </c>
      <c r="S672" s="0" t="s">
        <v>50</v>
      </c>
      <c r="T672" s="0" t="n">
        <v>5</v>
      </c>
      <c r="U672" s="5" t="n">
        <f aca="false">IF(ISBLANK(T672),AVERAGE(T672:T1671),T672)</f>
        <v>5</v>
      </c>
      <c r="V672" s="0" t="n">
        <v>1.8</v>
      </c>
      <c r="W672" s="0" t="s">
        <v>111</v>
      </c>
      <c r="X672" s="0" t="str">
        <f aca="false">IF(ISBLANK(W672),"No remarks",W672)</f>
        <v>Changed all filters</v>
      </c>
      <c r="Y672" s="0" t="s">
        <v>52</v>
      </c>
      <c r="Z672" s="0" t="s">
        <v>74</v>
      </c>
      <c r="AA672" s="0" t="str">
        <f aca="false">PROPER(IF(ISBLANK(Z672),"Location Unavailable",Z672))</f>
        <v>Under Tree</v>
      </c>
      <c r="AB672" s="0" t="s">
        <v>95</v>
      </c>
      <c r="AC672" s="6" t="str">
        <f aca="false">PROPER(AB672)</f>
        <v>Road Sign</v>
      </c>
      <c r="AD672" s="6" t="n">
        <v>15</v>
      </c>
      <c r="AE672" s="5" t="n">
        <f aca="false">IF(ISBLANK(AD672),AVERAGEIF(L672:L1671,L672,AD672:AD1671),AD672)</f>
        <v>15</v>
      </c>
      <c r="AF672" s="0" t="s">
        <v>76</v>
      </c>
      <c r="AG672" s="0" t="str">
        <f aca="false">PROPER(AF672)</f>
        <v>Orderd</v>
      </c>
      <c r="AH672" s="0" t="s">
        <v>155</v>
      </c>
      <c r="AI672" s="0" t="s">
        <v>128</v>
      </c>
      <c r="AJ672" s="0" t="str">
        <f aca="false">PROPER(AI672)</f>
        <v>Normal</v>
      </c>
      <c r="AK672" s="0" t="s">
        <v>58</v>
      </c>
      <c r="AL672" s="0" t="str">
        <f aca="false">PROPER(AK672)</f>
        <v>Fleet Owner</v>
      </c>
      <c r="AM672" s="0" t="s">
        <v>177</v>
      </c>
      <c r="AN672" s="0" t="str">
        <f aca="false">IF(ISBLANK(AM672),"Unknown",AM672)</f>
        <v>Private</v>
      </c>
      <c r="AO672" s="0" t="s">
        <v>79</v>
      </c>
      <c r="AP672" s="0" t="str">
        <f aca="false">IF(ISBLANK(AO672),"Unknown",AO672)</f>
        <v>Specialist</v>
      </c>
      <c r="AQ672" s="0" t="n">
        <v>20000</v>
      </c>
      <c r="AR672" s="5" t="n">
        <f aca="false">IF(ISBLANK(AQ672),AVERAGEIF(M672:M1671,M672,AQ672:AQ1671),AQ672)</f>
        <v>20000</v>
      </c>
      <c r="AT672" s="5" t="n">
        <f aca="false">IF(ISBLANK(AS672),AVERAGE(AS672:AS1671),AS672)</f>
        <v>31423.3576642336</v>
      </c>
      <c r="AU672" s="0" t="s">
        <v>50</v>
      </c>
      <c r="AV672" s="0" t="str">
        <f aca="false">PROPER(IF(ISBLANK(AU672),"No",AU672))</f>
        <v>No</v>
      </c>
      <c r="AW672" s="0" t="n">
        <v>0</v>
      </c>
      <c r="AX672" s="5" t="n">
        <f aca="false">IF(ISBLANK(AW672),0,AW672)</f>
        <v>0</v>
      </c>
      <c r="AZ672" s="0" t="str">
        <f aca="false">UPPER(IF(ISBLANK(AY672),"NONE",AY672))</f>
        <v>NONE</v>
      </c>
      <c r="BA672" s="7" t="n">
        <v>45973</v>
      </c>
      <c r="BB672" s="7" t="n">
        <f aca="false">IF(ISBLANK(BA672),"No Follow Up Needed",BA672)</f>
        <v>45973</v>
      </c>
      <c r="BC672" s="0" t="s">
        <v>50</v>
      </c>
      <c r="BD672" s="0" t="str">
        <f aca="false">PROPER(IF(ISBLANK(BC672),"Unknown",BC672))</f>
        <v>No</v>
      </c>
      <c r="BF672" s="0" t="str">
        <f aca="false">IF(ISBLANK(BE672),"No comments",BE672)</f>
        <v>No comments</v>
      </c>
      <c r="BH672" s="0" t="str">
        <f aca="false">IF(ISBLANK(BG672),"No comments",BG672)</f>
        <v>No comments</v>
      </c>
      <c r="BI672" s="0" t="s">
        <v>50</v>
      </c>
      <c r="BJ672" s="0" t="str">
        <f aca="false">IF(ISBLANK(BI672),"Not Mentioned",BI672)</f>
        <v>No</v>
      </c>
      <c r="BK672" s="0" t="s">
        <v>50</v>
      </c>
      <c r="BL672" s="0" t="str">
        <f aca="false">PROPER(IF(ISBLANK(BK672),"Not Mentioned",BK672))</f>
        <v>No</v>
      </c>
      <c r="BM672" s="0" t="s">
        <v>63</v>
      </c>
      <c r="BN672" s="0" t="str">
        <f aca="false">PROPER(IF(ISBLANK(BM672),"Not Mentioned",BM672))</f>
        <v>Yes</v>
      </c>
      <c r="BO672" s="0" t="s">
        <v>64</v>
      </c>
      <c r="BP672" s="0" t="str">
        <f aca="false">IF(ISBLANK(BO672),"One-Time Plan",BO672)</f>
        <v>Gold Maintenance Plan</v>
      </c>
      <c r="BQ672" s="0" t="s">
        <v>190</v>
      </c>
      <c r="BR672" s="0" t="str">
        <f aca="false">PROPER(IF(ISBLANK(BQ672),"No",BQ672))</f>
        <v>Yes</v>
      </c>
    </row>
    <row r="673" customFormat="false" ht="15" hidden="false" customHeight="false" outlineLevel="0" collapsed="false">
      <c r="A673" s="0" t="s">
        <v>1637</v>
      </c>
      <c r="B673" s="2" t="n">
        <v>45701</v>
      </c>
      <c r="C673" s="2" t="str">
        <f aca="false">TEXT(B673,"dd/mm/yyyy")</f>
        <v>13/02/2025</v>
      </c>
      <c r="D673" s="0" t="s">
        <v>163</v>
      </c>
      <c r="E673" s="0" t="n">
        <v>8018672730</v>
      </c>
      <c r="F673" s="0" t="s">
        <v>139</v>
      </c>
      <c r="G673" s="0" t="s">
        <v>2323</v>
      </c>
      <c r="H673" s="0" t="s">
        <v>1638</v>
      </c>
      <c r="I673" s="0" t="s">
        <v>69</v>
      </c>
      <c r="K673" s="3" t="str">
        <f aca="false" t="array" ref="K673:K673">IFERROR(IF(J673&lt;&gt;"",J673,INDEX(J673:J1672,MATCH(1,(F673:F1672=F673)*(I673:I1672=I673)*(L673:L1672=L673)*(J673:J1672&lt;&gt;""),0))),"Not Found")</f>
        <v>Oil Change</v>
      </c>
      <c r="L673" s="3" t="s">
        <v>89</v>
      </c>
      <c r="M673" s="0" t="str">
        <f aca="false">PROPER(L673)</f>
        <v>Shock Absorbers</v>
      </c>
      <c r="O673" s="0" t="e">
        <f aca="false" t="array" ref="O673:O673">IF(N673&lt;&gt;"",N673,_xlfn.xlookup(1,(L673:L1672=L673)*(N673:N1672&lt;&gt;""),N673:N1672,"Not Found"))</f>
        <v>#NAME?</v>
      </c>
      <c r="P673" s="4" t="n">
        <v>53297</v>
      </c>
      <c r="Q673" s="0" t="s">
        <v>91</v>
      </c>
      <c r="R673" s="0" t="str">
        <f aca="false">PROPER(Q673)</f>
        <v>Pos</v>
      </c>
      <c r="S673" s="0" t="s">
        <v>63</v>
      </c>
      <c r="T673" s="0" t="n">
        <v>1</v>
      </c>
      <c r="U673" s="5" t="n">
        <f aca="false">IF(ISBLANK(T673),AVERAGE(T673:T1672),T673)</f>
        <v>1</v>
      </c>
      <c r="V673" s="0" t="n">
        <v>1.2</v>
      </c>
      <c r="W673" s="0" t="s">
        <v>111</v>
      </c>
      <c r="X673" s="0" t="str">
        <f aca="false">IF(ISBLANK(W673),"No remarks",W673)</f>
        <v>Changed all filters</v>
      </c>
      <c r="Y673" s="0" t="s">
        <v>73</v>
      </c>
      <c r="AA673" s="0" t="str">
        <f aca="false">PROPER(IF(ISBLANK(Z673),"Location Unavailable",Z673))</f>
        <v>Location Unavailable</v>
      </c>
      <c r="AB673" s="0" t="s">
        <v>167</v>
      </c>
      <c r="AC673" s="6" t="str">
        <f aca="false">PROPER(AB673)</f>
        <v>Word Of Mouth</v>
      </c>
      <c r="AD673" s="6" t="n">
        <v>15</v>
      </c>
      <c r="AE673" s="5" t="n">
        <f aca="false">IF(ISBLANK(AD673),AVERAGEIF(L673:L1672,L673,AD673:AD1672),AD673)</f>
        <v>15</v>
      </c>
      <c r="AF673" s="0" t="s">
        <v>55</v>
      </c>
      <c r="AG673" s="0" t="str">
        <f aca="false">PROPER(AF673)</f>
        <v>Available</v>
      </c>
      <c r="AH673" s="0" t="s">
        <v>155</v>
      </c>
      <c r="AI673" s="0" t="s">
        <v>113</v>
      </c>
      <c r="AJ673" s="0" t="str">
        <f aca="false">PROPER(AI673)</f>
        <v>Normal</v>
      </c>
      <c r="AK673" s="0" t="s">
        <v>58</v>
      </c>
      <c r="AL673" s="0" t="str">
        <f aca="false">PROPER(AK673)</f>
        <v>Fleet Owner</v>
      </c>
      <c r="AM673" s="0" t="s">
        <v>2326</v>
      </c>
      <c r="AN673" s="0" t="str">
        <f aca="false">IF(ISBLANK(AM673),"Unknown",AM673)</f>
        <v>Government Convoy</v>
      </c>
      <c r="AP673" s="0" t="str">
        <f aca="false">IF(ISBLANK(AO673),"Unknown",AO673)</f>
        <v>Unknown</v>
      </c>
      <c r="AQ673" s="0" t="n">
        <v>25000</v>
      </c>
      <c r="AR673" s="5" t="n">
        <f aca="false">IF(ISBLANK(AQ673),AVERAGEIF(M673:M1672,M673,AQ673:AQ1672),AQ673)</f>
        <v>25000</v>
      </c>
      <c r="AT673" s="5" t="n">
        <f aca="false">IF(ISBLANK(AS673),AVERAGE(AS673:AS1672),AS673)</f>
        <v>31423.3576642336</v>
      </c>
      <c r="AU673" s="0" t="s">
        <v>63</v>
      </c>
      <c r="AV673" s="0" t="str">
        <f aca="false">PROPER(IF(ISBLANK(AU673),"No",AU673))</f>
        <v>Yes</v>
      </c>
      <c r="AW673" s="0" t="n">
        <v>0</v>
      </c>
      <c r="AX673" s="5" t="n">
        <f aca="false">IF(ISBLANK(AW673),0,AW673)</f>
        <v>0</v>
      </c>
      <c r="AY673" s="0" t="s">
        <v>130</v>
      </c>
      <c r="AZ673" s="0" t="str">
        <f aca="false">UPPER(IF(ISBLANK(AY673),"NONE",AY673))</f>
        <v>LOYALTY10</v>
      </c>
      <c r="BA673" s="7" t="n">
        <v>45698</v>
      </c>
      <c r="BB673" s="7" t="n">
        <f aca="false">IF(ISBLANK(BA673),"No Follow Up Needed",BA673)</f>
        <v>45698</v>
      </c>
      <c r="BC673" s="0" t="s">
        <v>63</v>
      </c>
      <c r="BD673" s="0" t="str">
        <f aca="false">PROPER(IF(ISBLANK(BC673),"Unknown",BC673))</f>
        <v>Yes</v>
      </c>
      <c r="BF673" s="0" t="str">
        <f aca="false">IF(ISBLANK(BE673),"No comments",BE673)</f>
        <v>No comments</v>
      </c>
      <c r="BH673" s="0" t="str">
        <f aca="false">IF(ISBLANK(BG673),"No comments",BG673)</f>
        <v>No comments</v>
      </c>
      <c r="BJ673" s="0" t="str">
        <f aca="false">IF(ISBLANK(BI673),"Not Mentioned",BI673)</f>
        <v>Not Mentioned</v>
      </c>
      <c r="BK673" s="0" t="s">
        <v>82</v>
      </c>
      <c r="BL673" s="0" t="str">
        <f aca="false">PROPER(IF(ISBLANK(BK673),"Not Mentioned",BK673))</f>
        <v>Yes</v>
      </c>
      <c r="BN673" s="0" t="str">
        <f aca="false">PROPER(IF(ISBLANK(BM673),"Not Mentioned",BM673))</f>
        <v>Not Mentioned</v>
      </c>
      <c r="BO673" s="0" t="s">
        <v>64</v>
      </c>
      <c r="BP673" s="0" t="str">
        <f aca="false">IF(ISBLANK(BO673),"One-Time Plan",BO673)</f>
        <v>Gold Maintenance Plan</v>
      </c>
      <c r="BQ673" s="0" t="s">
        <v>190</v>
      </c>
      <c r="BR673" s="0" t="str">
        <f aca="false">PROPER(IF(ISBLANK(BQ673),"No",BQ673))</f>
        <v>Yes</v>
      </c>
    </row>
    <row r="674" customFormat="false" ht="15" hidden="false" customHeight="false" outlineLevel="0" collapsed="false">
      <c r="A674" s="0" t="s">
        <v>1640</v>
      </c>
      <c r="B674" s="2" t="s">
        <v>1639</v>
      </c>
      <c r="C674" s="2" t="str">
        <f aca="false">TEXT(B674,"dd/mm/yyyy")</f>
        <v>22/05/2025</v>
      </c>
      <c r="D674" s="0" t="s">
        <v>42</v>
      </c>
      <c r="E674" s="0" t="n">
        <v>8075987111</v>
      </c>
      <c r="F674" s="0" t="s">
        <v>85</v>
      </c>
      <c r="G674" s="0" t="s">
        <v>2319</v>
      </c>
      <c r="H674" s="0" t="s">
        <v>1641</v>
      </c>
      <c r="I674" s="0" t="s">
        <v>134</v>
      </c>
      <c r="J674" s="0" t="s">
        <v>2317</v>
      </c>
      <c r="K674" s="3" t="str">
        <f aca="false" t="array" ref="K674:K674">IFERROR(IF(J674&lt;&gt;"",J674,INDEX(J674:J1673,MATCH(1,(F674:F1673=F674)*(I674:I1673=I674)*(L674:L1673=L674)*(J674:J1673&lt;&gt;""),0))),"Not Found")</f>
        <v>Suspension Noise</v>
      </c>
      <c r="L674" s="3" t="s">
        <v>108</v>
      </c>
      <c r="M674" s="0" t="str">
        <f aca="false">PROPER(L674)</f>
        <v>Timing Belt</v>
      </c>
      <c r="N674" s="3" t="s">
        <v>90</v>
      </c>
      <c r="O674" s="0" t="str">
        <f aca="false" t="array" ref="O674:O674">IF(N674&lt;&gt;"",N674,_xlfn.xlookup(1,(L674:L1673=L674)*(N674:N1673&lt;&gt;""),N674:N1673,"Not Found"))</f>
        <v>Musa</v>
      </c>
      <c r="P674" s="4" t="n">
        <v>92160</v>
      </c>
      <c r="Q674" s="0" t="s">
        <v>166</v>
      </c>
      <c r="R674" s="0" t="str">
        <f aca="false">PROPER(Q674)</f>
        <v>Transfer</v>
      </c>
      <c r="S674" s="0" t="s">
        <v>50</v>
      </c>
      <c r="T674" s="0" t="n">
        <v>4</v>
      </c>
      <c r="U674" s="5" t="n">
        <f aca="false">IF(ISBLANK(T674),AVERAGE(T674:T1673),T674)</f>
        <v>4</v>
      </c>
      <c r="V674" s="0" t="n">
        <v>4</v>
      </c>
      <c r="W674" s="0" t="s">
        <v>92</v>
      </c>
      <c r="X674" s="0" t="str">
        <f aca="false">IF(ISBLANK(W674),"No remarks",W674)</f>
        <v>Urgent service</v>
      </c>
      <c r="Y674" s="0" t="s">
        <v>52</v>
      </c>
      <c r="Z674" s="0" t="s">
        <v>74</v>
      </c>
      <c r="AA674" s="0" t="str">
        <f aca="false">PROPER(IF(ISBLANK(Z674),"Location Unavailable",Z674))</f>
        <v>Under Tree</v>
      </c>
      <c r="AB674" s="0" t="s">
        <v>75</v>
      </c>
      <c r="AC674" s="6" t="str">
        <f aca="false">PROPER(AB674)</f>
        <v>Mechanik Referal</v>
      </c>
      <c r="AD674" s="6" t="n">
        <v>45</v>
      </c>
      <c r="AE674" s="5" t="n">
        <f aca="false">IF(ISBLANK(AD674),AVERAGEIF(L674:L1673,L674,AD674:AD1673),AD674)</f>
        <v>45</v>
      </c>
      <c r="AF674" s="0" t="s">
        <v>96</v>
      </c>
      <c r="AG674" s="0" t="str">
        <f aca="false">PROPER(AF674)</f>
        <v>Ordered</v>
      </c>
      <c r="AH674" s="0" t="s">
        <v>148</v>
      </c>
      <c r="AI674" s="0" t="s">
        <v>113</v>
      </c>
      <c r="AJ674" s="0" t="str">
        <f aca="false">PROPER(AI674)</f>
        <v>Normal</v>
      </c>
      <c r="AK674" s="0" t="s">
        <v>196</v>
      </c>
      <c r="AL674" s="0" t="str">
        <f aca="false">PROPER(AK674)</f>
        <v>First Time</v>
      </c>
      <c r="AM674" s="0" t="s">
        <v>59</v>
      </c>
      <c r="AN674" s="0" t="str">
        <f aca="false">IF(ISBLANK(AM674),"Unknown",AM674)</f>
        <v>Bolt Driver</v>
      </c>
      <c r="AO674" s="0" t="s">
        <v>79</v>
      </c>
      <c r="AP674" s="0" t="str">
        <f aca="false">IF(ISBLANK(AO674),"Unknown",AO674)</f>
        <v>Specialist</v>
      </c>
      <c r="AQ674" s="0" t="n">
        <v>40000</v>
      </c>
      <c r="AR674" s="5" t="n">
        <f aca="false">IF(ISBLANK(AQ674),AVERAGEIF(M674:M1673,M674,AQ674:AQ1673),AQ674)</f>
        <v>40000</v>
      </c>
      <c r="AS674" s="0" t="n">
        <v>40000</v>
      </c>
      <c r="AT674" s="5" t="n">
        <f aca="false">IF(ISBLANK(AS674),AVERAGE(AS674:AS1673),AS674)</f>
        <v>40000</v>
      </c>
      <c r="AU674" s="0" t="s">
        <v>50</v>
      </c>
      <c r="AV674" s="0" t="str">
        <f aca="false">PROPER(IF(ISBLANK(AU674),"No",AU674))</f>
        <v>No</v>
      </c>
      <c r="AW674" s="0" t="n">
        <v>5000</v>
      </c>
      <c r="AX674" s="5" t="n">
        <f aca="false">IF(ISBLANK(AW674),0,AW674)</f>
        <v>5000</v>
      </c>
      <c r="AZ674" s="0" t="str">
        <f aca="false">UPPER(IF(ISBLANK(AY674),"NONE",AY674))</f>
        <v>NONE</v>
      </c>
      <c r="BA674" s="7" t="s">
        <v>1642</v>
      </c>
      <c r="BB674" s="7" t="str">
        <f aca="false">IF(ISBLANK(BA674),"No Follow Up Needed",BA674)</f>
        <v>27/06/2025</v>
      </c>
      <c r="BC674" s="0" t="s">
        <v>82</v>
      </c>
      <c r="BD674" s="0" t="str">
        <f aca="false">PROPER(IF(ISBLANK(BC674),"Unknown",BC674))</f>
        <v>Yes</v>
      </c>
      <c r="BF674" s="0" t="str">
        <f aca="false">IF(ISBLANK(BE674),"No comments",BE674)</f>
        <v>No comments</v>
      </c>
      <c r="BG674" s="0" t="s">
        <v>117</v>
      </c>
      <c r="BH674" s="0" t="str">
        <f aca="false">IF(ISBLANK(BG674),"No comments",BG674)</f>
        <v>Prefers morning</v>
      </c>
      <c r="BI674" s="0" t="s">
        <v>50</v>
      </c>
      <c r="BJ674" s="0" t="str">
        <f aca="false">IF(ISBLANK(BI674),"Not Mentioned",BI674)</f>
        <v>No</v>
      </c>
      <c r="BK674" s="0" t="s">
        <v>82</v>
      </c>
      <c r="BL674" s="0" t="str">
        <f aca="false">PROPER(IF(ISBLANK(BK674),"Not Mentioned",BK674))</f>
        <v>Yes</v>
      </c>
      <c r="BN674" s="0" t="str">
        <f aca="false">PROPER(IF(ISBLANK(BM674),"Not Mentioned",BM674))</f>
        <v>Not Mentioned</v>
      </c>
      <c r="BO674" s="0" t="s">
        <v>64</v>
      </c>
      <c r="BP674" s="0" t="str">
        <f aca="false">IF(ISBLANK(BO674),"One-Time Plan",BO674)</f>
        <v>Gold Maintenance Plan</v>
      </c>
      <c r="BR674" s="0" t="str">
        <f aca="false">PROPER(IF(ISBLANK(BQ674),"No",BQ674))</f>
        <v>No</v>
      </c>
    </row>
    <row r="675" customFormat="false" ht="15" hidden="false" customHeight="false" outlineLevel="0" collapsed="false">
      <c r="A675" s="0" t="s">
        <v>1643</v>
      </c>
      <c r="B675" s="2" t="n">
        <v>45720</v>
      </c>
      <c r="C675" s="2" t="str">
        <f aca="false">TEXT(B675,"dd/mm/yyyy")</f>
        <v>04/03/2025</v>
      </c>
      <c r="D675" s="0" t="s">
        <v>121</v>
      </c>
      <c r="E675" s="0" t="n">
        <v>8019393216</v>
      </c>
      <c r="F675" s="0" t="s">
        <v>85</v>
      </c>
      <c r="G675" s="0" t="s">
        <v>2319</v>
      </c>
      <c r="H675" s="0" t="s">
        <v>1644</v>
      </c>
      <c r="I675" s="0" t="s">
        <v>134</v>
      </c>
      <c r="J675" s="0" t="s">
        <v>2325</v>
      </c>
      <c r="K675" s="3" t="str">
        <f aca="false" t="array" ref="K675:K675">IFERROR(IF(J675&lt;&gt;"",J675,INDEX(J675:J1674,MATCH(1,(F675:F1674=F675)*(I675:I1674=I675)*(L675:L1674=L675)*(J675:J1674&lt;&gt;""),0))),"Not Found")</f>
        <v>Engine Knocking</v>
      </c>
      <c r="L675" s="3" t="s">
        <v>108</v>
      </c>
      <c r="M675" s="0" t="str">
        <f aca="false">PROPER(L675)</f>
        <v>Timing Belt</v>
      </c>
      <c r="N675" s="3" t="s">
        <v>90</v>
      </c>
      <c r="O675" s="0" t="str">
        <f aca="false" t="array" ref="O675:O675">IF(N675&lt;&gt;"",N675,_xlfn.xlookup(1,(L675:L1674=L675)*(N675:N1674&lt;&gt;""),N675:N1674,"Not Found"))</f>
        <v>Musa</v>
      </c>
      <c r="P675" s="4" t="n">
        <v>87242</v>
      </c>
      <c r="Q675" s="0" t="s">
        <v>49</v>
      </c>
      <c r="R675" s="0" t="str">
        <f aca="false">PROPER(Q675)</f>
        <v>Transfer</v>
      </c>
      <c r="S675" s="0" t="s">
        <v>63</v>
      </c>
      <c r="T675" s="0" t="n">
        <v>3</v>
      </c>
      <c r="U675" s="5" t="n">
        <f aca="false">IF(ISBLANK(T675),AVERAGE(T675:T1674),T675)</f>
        <v>3</v>
      </c>
      <c r="V675" s="0" t="n">
        <v>4.9</v>
      </c>
      <c r="W675" s="0" t="s">
        <v>92</v>
      </c>
      <c r="X675" s="0" t="str">
        <f aca="false">IF(ISBLANK(W675),"No remarks",W675)</f>
        <v>Urgent service</v>
      </c>
      <c r="Y675" s="0" t="s">
        <v>73</v>
      </c>
      <c r="Z675" s="0" t="s">
        <v>94</v>
      </c>
      <c r="AA675" s="0" t="str">
        <f aca="false">PROPER(IF(ISBLANK(Z675),"Location Unavailable",Z675))</f>
        <v>Vip Section</v>
      </c>
      <c r="AB675" s="0" t="s">
        <v>167</v>
      </c>
      <c r="AC675" s="6" t="str">
        <f aca="false">PROPER(AB675)</f>
        <v>Word Of Mouth</v>
      </c>
      <c r="AD675" s="6" t="n">
        <v>15</v>
      </c>
      <c r="AE675" s="5" t="n">
        <f aca="false">IF(ISBLANK(AD675),AVERAGEIF(L675:L1674,L675,AD675:AD1674),AD675)</f>
        <v>15</v>
      </c>
      <c r="AF675" s="0" t="s">
        <v>55</v>
      </c>
      <c r="AG675" s="0" t="str">
        <f aca="false">PROPER(AF675)</f>
        <v>Available</v>
      </c>
      <c r="AH675" s="0" t="s">
        <v>77</v>
      </c>
      <c r="AI675" s="0" t="s">
        <v>98</v>
      </c>
      <c r="AJ675" s="0" t="str">
        <f aca="false">PROPER(AI675)</f>
        <v>Emergency</v>
      </c>
      <c r="AK675" s="0" t="s">
        <v>196</v>
      </c>
      <c r="AL675" s="0" t="str">
        <f aca="false">PROPER(AK675)</f>
        <v>First Time</v>
      </c>
      <c r="AN675" s="0" t="str">
        <f aca="false">IF(ISBLANK(AM675),"Unknown",AM675)</f>
        <v>Unknown</v>
      </c>
      <c r="AO675" s="0" t="s">
        <v>149</v>
      </c>
      <c r="AP675" s="0" t="str">
        <f aca="false">IF(ISBLANK(AO675),"Unknown",AO675)</f>
        <v>Senior </v>
      </c>
      <c r="AQ675" s="0" t="n">
        <v>20000</v>
      </c>
      <c r="AR675" s="5" t="n">
        <f aca="false">IF(ISBLANK(AQ675),AVERAGEIF(M675:M1674,M675,AQ675:AQ1674),AQ675)</f>
        <v>20000</v>
      </c>
      <c r="AS675" s="0" t="n">
        <v>40000</v>
      </c>
      <c r="AT675" s="5" t="n">
        <f aca="false">IF(ISBLANK(AS675),AVERAGE(AS675:AS1674),AS675)</f>
        <v>40000</v>
      </c>
      <c r="AU675" s="0" t="s">
        <v>82</v>
      </c>
      <c r="AV675" s="0" t="str">
        <f aca="false">PROPER(IF(ISBLANK(AU675),"No",AU675))</f>
        <v>Yes</v>
      </c>
      <c r="AW675" s="0" t="n">
        <v>10000</v>
      </c>
      <c r="AX675" s="5" t="n">
        <f aca="false">IF(ISBLANK(AW675),0,AW675)</f>
        <v>10000</v>
      </c>
      <c r="AZ675" s="0" t="str">
        <f aca="false">UPPER(IF(ISBLANK(AY675),"NONE",AY675))</f>
        <v>NONE</v>
      </c>
      <c r="BB675" s="7" t="str">
        <f aca="false">IF(ISBLANK(BA675),"No Follow Up Needed",BA675)</f>
        <v>No Follow Up Needed</v>
      </c>
      <c r="BC675" s="0" t="s">
        <v>63</v>
      </c>
      <c r="BD675" s="0" t="str">
        <f aca="false">PROPER(IF(ISBLANK(BC675),"Unknown",BC675))</f>
        <v>Yes</v>
      </c>
      <c r="BF675" s="0" t="str">
        <f aca="false">IF(ISBLANK(BE675),"No comments",BE675)</f>
        <v>No comments</v>
      </c>
      <c r="BG675" s="0" t="s">
        <v>172</v>
      </c>
      <c r="BH675" s="0" t="str">
        <f aca="false">IF(ISBLANK(BG675),"No comments",BG675)</f>
        <v>Always late</v>
      </c>
      <c r="BJ675" s="0" t="str">
        <f aca="false">IF(ISBLANK(BI675),"Not Mentioned",BI675)</f>
        <v>Not Mentioned</v>
      </c>
      <c r="BK675" s="0" t="s">
        <v>82</v>
      </c>
      <c r="BL675" s="0" t="str">
        <f aca="false">PROPER(IF(ISBLANK(BK675),"Not Mentioned",BK675))</f>
        <v>Yes</v>
      </c>
      <c r="BM675" s="0" t="s">
        <v>63</v>
      </c>
      <c r="BN675" s="0" t="str">
        <f aca="false">PROPER(IF(ISBLANK(BM675),"Not Mentioned",BM675))</f>
        <v>Yes</v>
      </c>
      <c r="BO675" s="0" t="s">
        <v>2321</v>
      </c>
      <c r="BP675" s="0" t="str">
        <f aca="false">IF(ISBLANK(BO675),"One-Time Plan",BO675)</f>
        <v>One-Time Plan</v>
      </c>
      <c r="BQ675" s="0" t="s">
        <v>190</v>
      </c>
      <c r="BR675" s="0" t="str">
        <f aca="false">PROPER(IF(ISBLANK(BQ675),"No",BQ675))</f>
        <v>Yes</v>
      </c>
    </row>
    <row r="676" customFormat="false" ht="15" hidden="false" customHeight="false" outlineLevel="0" collapsed="false">
      <c r="A676" s="0" t="s">
        <v>1645</v>
      </c>
      <c r="B676" s="2" t="n">
        <v>45967</v>
      </c>
      <c r="C676" s="2" t="str">
        <f aca="false">TEXT(B676,"dd/mm/yyyy")</f>
        <v>06/11/2025</v>
      </c>
      <c r="D676" s="0" t="s">
        <v>42</v>
      </c>
      <c r="E676" s="0" t="n">
        <v>8035832275</v>
      </c>
      <c r="F676" s="0" t="s">
        <v>122</v>
      </c>
      <c r="G676" s="0" t="s">
        <v>2316</v>
      </c>
      <c r="H676" s="0" t="s">
        <v>1646</v>
      </c>
      <c r="I676" s="0" t="s">
        <v>107</v>
      </c>
      <c r="J676" s="0" t="s">
        <v>2322</v>
      </c>
      <c r="K676" s="3" t="str">
        <f aca="false" t="array" ref="K676:K676">IFERROR(IF(J676&lt;&gt;"",J676,INDEX(J676:J1675,MATCH(1,(F676:F1675=F676)*(I676:I1675=I676)*(L676:L1675=L676)*(J676:J1675&lt;&gt;""),0))),"Not Found")</f>
        <v>Brake Failure</v>
      </c>
      <c r="L676" s="3" t="s">
        <v>154</v>
      </c>
      <c r="M676" s="0" t="str">
        <f aca="false">PROPER(L676)</f>
        <v>Air Filter</v>
      </c>
      <c r="O676" s="0" t="e">
        <f aca="false" t="array" ref="O676:O676">IF(N676&lt;&gt;"",N676,_xlfn.xlookup(1,(L676:L1675=L676)*(N676:N1675&lt;&gt;""),N676:N1675,"Not Found"))</f>
        <v>#NAME?</v>
      </c>
      <c r="P676" s="4" t="n">
        <v>13268</v>
      </c>
      <c r="Q676" s="0" t="s">
        <v>166</v>
      </c>
      <c r="R676" s="0" t="str">
        <f aca="false">PROPER(Q676)</f>
        <v>Transfer</v>
      </c>
      <c r="S676" s="0" t="s">
        <v>63</v>
      </c>
      <c r="T676" s="0" t="n">
        <v>3</v>
      </c>
      <c r="U676" s="5" t="n">
        <f aca="false">IF(ISBLANK(T676),AVERAGE(T676:T1675),T676)</f>
        <v>3</v>
      </c>
      <c r="V676" s="0" t="n">
        <v>2.2</v>
      </c>
      <c r="W676" s="0" t="s">
        <v>111</v>
      </c>
      <c r="X676" s="0" t="str">
        <f aca="false">IF(ISBLANK(W676),"No remarks",W676)</f>
        <v>Changed all filters</v>
      </c>
      <c r="Y676" s="0" t="s">
        <v>52</v>
      </c>
      <c r="Z676" s="0" t="s">
        <v>53</v>
      </c>
      <c r="AA676" s="0" t="str">
        <f aca="false">PROPER(IF(ISBLANK(Z676),"Location Unavailable",Z676))</f>
        <v>Main Bay</v>
      </c>
      <c r="AB676" s="0" t="s">
        <v>126</v>
      </c>
      <c r="AC676" s="6" t="str">
        <f aca="false">PROPER(AB676)</f>
        <v>Whatsapp</v>
      </c>
      <c r="AD676" s="6" t="n">
        <v>60</v>
      </c>
      <c r="AE676" s="5" t="n">
        <f aca="false">IF(ISBLANK(AD676),AVERAGEIF(L676:L1675,L676,AD676:AD1675),AD676)</f>
        <v>60</v>
      </c>
      <c r="AF676" s="0" t="s">
        <v>160</v>
      </c>
      <c r="AG676" s="0" t="str">
        <f aca="false">PROPER(AF676)</f>
        <v>Availaible</v>
      </c>
      <c r="AH676" s="0" t="s">
        <v>155</v>
      </c>
      <c r="AI676" s="0" t="s">
        <v>128</v>
      </c>
      <c r="AJ676" s="0" t="str">
        <f aca="false">PROPER(AI676)</f>
        <v>Normal</v>
      </c>
      <c r="AK676" s="0" t="s">
        <v>196</v>
      </c>
      <c r="AL676" s="0" t="str">
        <f aca="false">PROPER(AK676)</f>
        <v>First Time</v>
      </c>
      <c r="AN676" s="0" t="str">
        <f aca="false">IF(ISBLANK(AM676),"Unknown",AM676)</f>
        <v>Unknown</v>
      </c>
      <c r="AO676" s="0" t="s">
        <v>161</v>
      </c>
      <c r="AP676" s="0" t="str">
        <f aca="false">IF(ISBLANK(AO676),"Unknown",AO676)</f>
        <v>Apprentice</v>
      </c>
      <c r="AQ676" s="0" t="n">
        <v>15000</v>
      </c>
      <c r="AR676" s="5" t="n">
        <f aca="false">IF(ISBLANK(AQ676),AVERAGEIF(M676:M1675,M676,AQ676:AQ1675),AQ676)</f>
        <v>15000</v>
      </c>
      <c r="AS676" s="0" t="n">
        <v>40000</v>
      </c>
      <c r="AT676" s="5" t="n">
        <f aca="false">IF(ISBLANK(AS676),AVERAGE(AS676:AS1675),AS676)</f>
        <v>40000</v>
      </c>
      <c r="AU676" s="0" t="s">
        <v>50</v>
      </c>
      <c r="AV676" s="0" t="str">
        <f aca="false">PROPER(IF(ISBLANK(AU676),"No",AU676))</f>
        <v>No</v>
      </c>
      <c r="AW676" s="0" t="n">
        <v>0</v>
      </c>
      <c r="AX676" s="5" t="n">
        <f aca="false">IF(ISBLANK(AW676),0,AW676)</f>
        <v>0</v>
      </c>
      <c r="AY676" s="0" t="s">
        <v>184</v>
      </c>
      <c r="AZ676" s="0" t="str">
        <f aca="false">UPPER(IF(ISBLANK(AY676),"NONE",AY676))</f>
        <v>N/A</v>
      </c>
      <c r="BA676" s="7" t="n">
        <v>45959</v>
      </c>
      <c r="BB676" s="7" t="n">
        <f aca="false">IF(ISBLANK(BA676),"No Follow Up Needed",BA676)</f>
        <v>45959</v>
      </c>
      <c r="BC676" s="0" t="s">
        <v>63</v>
      </c>
      <c r="BD676" s="0" t="str">
        <f aca="false">PROPER(IF(ISBLANK(BC676),"Unknown",BC676))</f>
        <v>Yes</v>
      </c>
      <c r="BF676" s="0" t="str">
        <f aca="false">IF(ISBLANK(BE676),"No comments",BE676)</f>
        <v>No comments</v>
      </c>
      <c r="BG676" s="0" t="s">
        <v>172</v>
      </c>
      <c r="BH676" s="0" t="str">
        <f aca="false">IF(ISBLANK(BG676),"No comments",BG676)</f>
        <v>Always late</v>
      </c>
      <c r="BI676" s="0" t="s">
        <v>50</v>
      </c>
      <c r="BJ676" s="0" t="str">
        <f aca="false">IF(ISBLANK(BI676),"Not Mentioned",BI676)</f>
        <v>No</v>
      </c>
      <c r="BL676" s="0" t="str">
        <f aca="false">PROPER(IF(ISBLANK(BK676),"Not Mentioned",BK676))</f>
        <v>Not Mentioned</v>
      </c>
      <c r="BN676" s="0" t="str">
        <f aca="false">PROPER(IF(ISBLANK(BM676),"Not Mentioned",BM676))</f>
        <v>Not Mentioned</v>
      </c>
      <c r="BP676" s="0" t="str">
        <f aca="false">IF(ISBLANK(BO676),"One-Time Plan",BO676)</f>
        <v>One-Time Plan</v>
      </c>
      <c r="BQ676" s="0" t="s">
        <v>50</v>
      </c>
      <c r="BR676" s="0" t="str">
        <f aca="false">PROPER(IF(ISBLANK(BQ676),"No",BQ676))</f>
        <v>No</v>
      </c>
    </row>
    <row r="677" customFormat="false" ht="15" hidden="false" customHeight="false" outlineLevel="0" collapsed="false">
      <c r="A677" s="0" t="s">
        <v>1647</v>
      </c>
      <c r="B677" s="2" t="n">
        <v>45698</v>
      </c>
      <c r="C677" s="2" t="str">
        <f aca="false">TEXT(B677,"dd/mm/yyyy")</f>
        <v>10/02/2025</v>
      </c>
      <c r="D677" s="0" t="s">
        <v>66</v>
      </c>
      <c r="E677" s="0" t="n">
        <v>8016993664</v>
      </c>
      <c r="F677" s="0" t="s">
        <v>67</v>
      </c>
      <c r="G677" s="0" t="s">
        <v>2316</v>
      </c>
      <c r="H677" s="0" t="s">
        <v>1648</v>
      </c>
      <c r="I677" s="0" t="s">
        <v>134</v>
      </c>
      <c r="J677" s="0" t="s">
        <v>2322</v>
      </c>
      <c r="K677" s="3" t="str">
        <f aca="false" t="array" ref="K677:K677">IFERROR(IF(J677&lt;&gt;"",J677,INDEX(J677:J1676,MATCH(1,(F677:F1676=F677)*(I677:I1676=I677)*(L677:L1676=L677)*(J677:J1676&lt;&gt;""),0))),"Not Found")</f>
        <v>Brake Failure</v>
      </c>
      <c r="L677" s="3" t="s">
        <v>142</v>
      </c>
      <c r="M677" s="0" t="str">
        <f aca="false">PROPER(L677)</f>
        <v>Oil Filter, Brake Pads</v>
      </c>
      <c r="N677" s="3" t="s">
        <v>109</v>
      </c>
      <c r="O677" s="0" t="str">
        <f aca="false" t="array" ref="O677:O677">IF(N677&lt;&gt;"",N677,_xlfn.xlookup(1,(L677:L1676=L677)*(N677:N1676&lt;&gt;""),N677:N1676,"Not Found"))</f>
        <v>Tijani</v>
      </c>
      <c r="P677" s="4" t="n">
        <v>108971</v>
      </c>
      <c r="Q677" s="0" t="s">
        <v>110</v>
      </c>
      <c r="R677" s="0" t="str">
        <f aca="false">PROPER(Q677)</f>
        <v>Cash</v>
      </c>
      <c r="S677" s="0" t="s">
        <v>50</v>
      </c>
      <c r="T677" s="0" t="n">
        <v>2</v>
      </c>
      <c r="U677" s="5" t="n">
        <f aca="false">IF(ISBLANK(T677),AVERAGE(T677:T1676),T677)</f>
        <v>2</v>
      </c>
      <c r="V677" s="0" t="n">
        <v>5.5</v>
      </c>
      <c r="W677" s="0" t="s">
        <v>51</v>
      </c>
      <c r="X677" s="0" t="str">
        <f aca="false">IF(ISBLANK(W677),"No remarks",W677)</f>
        <v>Recommended further checks</v>
      </c>
      <c r="Y677" s="0" t="s">
        <v>93</v>
      </c>
      <c r="Z677" s="0" t="s">
        <v>53</v>
      </c>
      <c r="AA677" s="0" t="str">
        <f aca="false">PROPER(IF(ISBLANK(Z677),"Location Unavailable",Z677))</f>
        <v>Main Bay</v>
      </c>
      <c r="AB677" s="0" t="s">
        <v>126</v>
      </c>
      <c r="AC677" s="6" t="str">
        <f aca="false">PROPER(AB677)</f>
        <v>Whatsapp</v>
      </c>
      <c r="AD677" s="6" t="n">
        <v>45</v>
      </c>
      <c r="AE677" s="5" t="n">
        <f aca="false">IF(ISBLANK(AD677),AVERAGEIF(L677:L1676,L677,AD677:AD1676),AD677)</f>
        <v>45</v>
      </c>
      <c r="AF677" s="0" t="s">
        <v>76</v>
      </c>
      <c r="AG677" s="0" t="str">
        <f aca="false">PROPER(AF677)</f>
        <v>Orderd</v>
      </c>
      <c r="AH677" s="0" t="s">
        <v>148</v>
      </c>
      <c r="AI677" s="0" t="s">
        <v>128</v>
      </c>
      <c r="AJ677" s="0" t="str">
        <f aca="false">PROPER(AI677)</f>
        <v>Normal</v>
      </c>
      <c r="AK677" s="0" t="s">
        <v>196</v>
      </c>
      <c r="AL677" s="0" t="str">
        <f aca="false">PROPER(AK677)</f>
        <v>First Time</v>
      </c>
      <c r="AN677" s="0" t="str">
        <f aca="false">IF(ISBLANK(AM677),"Unknown",AM677)</f>
        <v>Unknown</v>
      </c>
      <c r="AO677" s="0" t="s">
        <v>161</v>
      </c>
      <c r="AP677" s="0" t="str">
        <f aca="false">IF(ISBLANK(AO677),"Unknown",AO677)</f>
        <v>Apprentice</v>
      </c>
      <c r="AQ677" s="0" t="n">
        <v>40000</v>
      </c>
      <c r="AR677" s="5" t="n">
        <f aca="false">IF(ISBLANK(AQ677),AVERAGEIF(M677:M1676,M677,AQ677:AQ1676),AQ677)</f>
        <v>40000</v>
      </c>
      <c r="AS677" s="0" t="n">
        <v>30000</v>
      </c>
      <c r="AT677" s="5" t="n">
        <f aca="false">IF(ISBLANK(AS677),AVERAGE(AS677:AS1676),AS677)</f>
        <v>30000</v>
      </c>
      <c r="AU677" s="0" t="s">
        <v>82</v>
      </c>
      <c r="AV677" s="0" t="str">
        <f aca="false">PROPER(IF(ISBLANK(AU677),"No",AU677))</f>
        <v>Yes</v>
      </c>
      <c r="AW677" s="0" t="n">
        <v>10000</v>
      </c>
      <c r="AX677" s="5" t="n">
        <f aca="false">IF(ISBLANK(AW677),0,AW677)</f>
        <v>10000</v>
      </c>
      <c r="AY677" s="0" t="s">
        <v>130</v>
      </c>
      <c r="AZ677" s="0" t="str">
        <f aca="false">UPPER(IF(ISBLANK(AY677),"NONE",AY677))</f>
        <v>LOYALTY10</v>
      </c>
      <c r="BB677" s="7" t="str">
        <f aca="false">IF(ISBLANK(BA677),"No Follow Up Needed",BA677)</f>
        <v>No Follow Up Needed</v>
      </c>
      <c r="BD677" s="0" t="str">
        <f aca="false">PROPER(IF(ISBLANK(BC677),"Unknown",BC677))</f>
        <v>Unknown</v>
      </c>
      <c r="BF677" s="0" t="str">
        <f aca="false">IF(ISBLANK(BE677),"No comments",BE677)</f>
        <v>No comments</v>
      </c>
      <c r="BG677" s="0" t="s">
        <v>117</v>
      </c>
      <c r="BH677" s="0" t="str">
        <f aca="false">IF(ISBLANK(BG677),"No comments",BG677)</f>
        <v>Prefers morning</v>
      </c>
      <c r="BJ677" s="0" t="str">
        <f aca="false">IF(ISBLANK(BI677),"Not Mentioned",BI677)</f>
        <v>Not Mentioned</v>
      </c>
      <c r="BK677" s="0" t="s">
        <v>63</v>
      </c>
      <c r="BL677" s="0" t="str">
        <f aca="false">PROPER(IF(ISBLANK(BK677),"Not Mentioned",BK677))</f>
        <v>Yes</v>
      </c>
      <c r="BM677" s="0" t="s">
        <v>50</v>
      </c>
      <c r="BN677" s="0" t="str">
        <f aca="false">PROPER(IF(ISBLANK(BM677),"Not Mentioned",BM677))</f>
        <v>No</v>
      </c>
      <c r="BO677" s="0" t="s">
        <v>2321</v>
      </c>
      <c r="BP677" s="0" t="str">
        <f aca="false">IF(ISBLANK(BO677),"One-Time Plan",BO677)</f>
        <v>One-Time Plan</v>
      </c>
      <c r="BQ677" s="0" t="s">
        <v>190</v>
      </c>
      <c r="BR677" s="0" t="str">
        <f aca="false">PROPER(IF(ISBLANK(BQ677),"No",BQ677))</f>
        <v>Yes</v>
      </c>
    </row>
    <row r="678" customFormat="false" ht="15" hidden="false" customHeight="false" outlineLevel="0" collapsed="false">
      <c r="A678" s="0" t="s">
        <v>1649</v>
      </c>
      <c r="B678" s="2" t="n">
        <v>45659</v>
      </c>
      <c r="C678" s="2" t="str">
        <f aca="false">TEXT(B678,"dd/mm/yyyy")</f>
        <v>02/01/2025</v>
      </c>
      <c r="D678" s="0" t="s">
        <v>121</v>
      </c>
      <c r="E678" s="0" t="n">
        <v>8095143291</v>
      </c>
      <c r="F678" s="0" t="s">
        <v>139</v>
      </c>
      <c r="G678" s="0" t="s">
        <v>2323</v>
      </c>
      <c r="H678" s="0" t="s">
        <v>1650</v>
      </c>
      <c r="I678" s="0" t="s">
        <v>107</v>
      </c>
      <c r="K678" s="3" t="str">
        <f aca="false" t="array" ref="K678:K678">IFERROR(IF(J678&lt;&gt;"",J678,INDEX(J678:J1677,MATCH(1,(F678:F1677=F678)*(I678:I1677=I678)*(L678:L1677=L678)*(J678:J1677&lt;&gt;""),0))),"Not Found")</f>
        <v>Engine Knocking</v>
      </c>
      <c r="L678" s="3" t="s">
        <v>89</v>
      </c>
      <c r="M678" s="0" t="str">
        <f aca="false">PROPER(L678)</f>
        <v>Shock Absorbers</v>
      </c>
      <c r="O678" s="0" t="e">
        <f aca="false" t="array" ref="O678:O678">IF(N678&lt;&gt;"",N678,_xlfn.xlookup(1,(L678:L1677=L678)*(N678:N1677&lt;&gt;""),N678:N1677,"Not Found"))</f>
        <v>#NAME?</v>
      </c>
      <c r="P678" s="4" t="n">
        <v>18888</v>
      </c>
      <c r="Q678" s="0" t="s">
        <v>72</v>
      </c>
      <c r="R678" s="0" t="str">
        <f aca="false">PROPER(Q678)</f>
        <v>Pos</v>
      </c>
      <c r="S678" s="0" t="s">
        <v>50</v>
      </c>
      <c r="U678" s="5" t="n">
        <f aca="false">IF(ISBLANK(T678),AVERAGE(T678:T1677),T678)</f>
        <v>3.15094339622642</v>
      </c>
      <c r="V678" s="0" t="n">
        <v>3.1</v>
      </c>
      <c r="W678" s="0" t="s">
        <v>111</v>
      </c>
      <c r="X678" s="0" t="str">
        <f aca="false">IF(ISBLANK(W678),"No remarks",W678)</f>
        <v>Changed all filters</v>
      </c>
      <c r="Y678" s="0" t="s">
        <v>52</v>
      </c>
      <c r="Z678" s="0" t="s">
        <v>74</v>
      </c>
      <c r="AA678" s="0" t="str">
        <f aca="false">PROPER(IF(ISBLANK(Z678),"Location Unavailable",Z678))</f>
        <v>Under Tree</v>
      </c>
      <c r="AB678" s="0" t="s">
        <v>167</v>
      </c>
      <c r="AC678" s="6" t="str">
        <f aca="false">PROPER(AB678)</f>
        <v>Word Of Mouth</v>
      </c>
      <c r="AD678" s="6" t="n">
        <v>45</v>
      </c>
      <c r="AE678" s="5" t="n">
        <f aca="false">IF(ISBLANK(AD678),AVERAGEIF(L678:L1677,L678,AD678:AD1677),AD678)</f>
        <v>45</v>
      </c>
      <c r="AF678" s="0" t="s">
        <v>96</v>
      </c>
      <c r="AG678" s="0" t="str">
        <f aca="false">PROPER(AF678)</f>
        <v>Ordered</v>
      </c>
      <c r="AH678" s="0" t="s">
        <v>155</v>
      </c>
      <c r="AI678" s="0" t="s">
        <v>98</v>
      </c>
      <c r="AJ678" s="0" t="str">
        <f aca="false">PROPER(AI678)</f>
        <v>Emergency</v>
      </c>
      <c r="AK678" s="0" t="s">
        <v>196</v>
      </c>
      <c r="AL678" s="0" t="str">
        <f aca="false">PROPER(AK678)</f>
        <v>First Time</v>
      </c>
      <c r="AN678" s="0" t="str">
        <f aca="false">IF(ISBLANK(AM678),"Unknown",AM678)</f>
        <v>Unknown</v>
      </c>
      <c r="AO678" s="0" t="s">
        <v>79</v>
      </c>
      <c r="AP678" s="0" t="str">
        <f aca="false">IF(ISBLANK(AO678),"Unknown",AO678)</f>
        <v>Specialist</v>
      </c>
      <c r="AQ678" s="0" t="n">
        <v>25000</v>
      </c>
      <c r="AR678" s="5" t="n">
        <f aca="false">IF(ISBLANK(AQ678),AVERAGEIF(M678:M1677,M678,AQ678:AQ1677),AQ678)</f>
        <v>25000</v>
      </c>
      <c r="AT678" s="5" t="n">
        <f aca="false">IF(ISBLANK(AS678),AVERAGE(AS678:AS1677),AS678)</f>
        <v>31333.3333333333</v>
      </c>
      <c r="AV678" s="0" t="str">
        <f aca="false">PROPER(IF(ISBLANK(AU678),"No",AU678))</f>
        <v>No</v>
      </c>
      <c r="AW678" s="0" t="n">
        <v>10000</v>
      </c>
      <c r="AX678" s="5" t="n">
        <f aca="false">IF(ISBLANK(AW678),0,AW678)</f>
        <v>10000</v>
      </c>
      <c r="AY678" s="0" t="s">
        <v>184</v>
      </c>
      <c r="AZ678" s="0" t="str">
        <f aca="false">UPPER(IF(ISBLANK(AY678),"NONE",AY678))</f>
        <v>N/A</v>
      </c>
      <c r="BB678" s="7" t="str">
        <f aca="false">IF(ISBLANK(BA678),"No Follow Up Needed",BA678)</f>
        <v>No Follow Up Needed</v>
      </c>
      <c r="BC678" s="0" t="s">
        <v>50</v>
      </c>
      <c r="BD678" s="0" t="str">
        <f aca="false">PROPER(IF(ISBLANK(BC678),"Unknown",BC678))</f>
        <v>No</v>
      </c>
      <c r="BE678" s="0" t="s">
        <v>116</v>
      </c>
      <c r="BF678" s="0" t="str">
        <f aca="false">IF(ISBLANK(BE678),"No comments",BE678)</f>
        <v>Needs tire alignment</v>
      </c>
      <c r="BH678" s="0" t="str">
        <f aca="false">IF(ISBLANK(BG678),"No comments",BG678)</f>
        <v>No comments</v>
      </c>
      <c r="BI678" s="0" t="s">
        <v>50</v>
      </c>
      <c r="BJ678" s="0" t="str">
        <f aca="false">IF(ISBLANK(BI678),"Not Mentioned",BI678)</f>
        <v>No</v>
      </c>
      <c r="BK678" s="0" t="s">
        <v>61</v>
      </c>
      <c r="BL678" s="0" t="str">
        <f aca="false">PROPER(IF(ISBLANK(BK678),"Not Mentioned",BK678))</f>
        <v>No</v>
      </c>
      <c r="BN678" s="0" t="str">
        <f aca="false">PROPER(IF(ISBLANK(BM678),"Not Mentioned",BM678))</f>
        <v>Not Mentioned</v>
      </c>
      <c r="BO678" s="0" t="s">
        <v>2321</v>
      </c>
      <c r="BP678" s="0" t="str">
        <f aca="false">IF(ISBLANK(BO678),"One-Time Plan",BO678)</f>
        <v>One-Time Plan</v>
      </c>
      <c r="BQ678" s="0" t="s">
        <v>190</v>
      </c>
      <c r="BR678" s="0" t="str">
        <f aca="false">PROPER(IF(ISBLANK(BQ678),"No",BQ678))</f>
        <v>Yes</v>
      </c>
    </row>
    <row r="679" customFormat="false" ht="15" hidden="false" customHeight="false" outlineLevel="0" collapsed="false">
      <c r="A679" s="0" t="s">
        <v>1651</v>
      </c>
      <c r="B679" s="2" t="n">
        <v>45764</v>
      </c>
      <c r="C679" s="2" t="str">
        <f aca="false">TEXT(B679,"dd/mm/yyyy")</f>
        <v>17/04/2025</v>
      </c>
      <c r="D679" s="0" t="s">
        <v>105</v>
      </c>
      <c r="E679" s="0" t="n">
        <v>8028996104</v>
      </c>
      <c r="F679" s="0" t="s">
        <v>85</v>
      </c>
      <c r="G679" s="0" t="s">
        <v>2319</v>
      </c>
      <c r="H679" s="0" t="s">
        <v>1652</v>
      </c>
      <c r="I679" s="0" t="s">
        <v>45</v>
      </c>
      <c r="J679" s="0" t="s">
        <v>87</v>
      </c>
      <c r="K679" s="3" t="str">
        <f aca="false" t="array" ref="K679:K679">IFERROR(IF(J679&lt;&gt;"",J679,INDEX(J679:J1678,MATCH(1,(F679:F1678=F679)*(I679:I1678=I679)*(L679:L1678=L679)*(J679:J1678&lt;&gt;""),0))),"Not Found")</f>
        <v>Oil Change</v>
      </c>
      <c r="L679" s="3" t="s">
        <v>154</v>
      </c>
      <c r="M679" s="0" t="str">
        <f aca="false">PROPER(L679)</f>
        <v>Air Filter</v>
      </c>
      <c r="O679" s="0" t="e">
        <f aca="false" t="array" ref="O679:O679">IF(N679&lt;&gt;"",N679,_xlfn.xlookup(1,(L679:L1678=L679)*(N679:N1678&lt;&gt;""),N679:N1678,"Not Found"))</f>
        <v>#NAME?</v>
      </c>
      <c r="P679" s="4" t="n">
        <v>114215</v>
      </c>
      <c r="Q679" s="0" t="s">
        <v>72</v>
      </c>
      <c r="R679" s="0" t="str">
        <f aca="false">PROPER(Q679)</f>
        <v>Pos</v>
      </c>
      <c r="S679" s="0" t="s">
        <v>63</v>
      </c>
      <c r="T679" s="0" t="n">
        <v>1</v>
      </c>
      <c r="U679" s="5" t="n">
        <f aca="false">IF(ISBLANK(T679),AVERAGE(T679:T1678),T679)</f>
        <v>1</v>
      </c>
      <c r="V679" s="0" t="n">
        <v>1.7</v>
      </c>
      <c r="W679" s="0" t="s">
        <v>92</v>
      </c>
      <c r="X679" s="0" t="str">
        <f aca="false">IF(ISBLANK(W679),"No remarks",W679)</f>
        <v>Urgent service</v>
      </c>
      <c r="Y679" s="0" t="s">
        <v>93</v>
      </c>
      <c r="Z679" s="0" t="s">
        <v>94</v>
      </c>
      <c r="AA679" s="0" t="str">
        <f aca="false">PROPER(IF(ISBLANK(Z679),"Location Unavailable",Z679))</f>
        <v>Vip Section</v>
      </c>
      <c r="AB679" s="0" t="s">
        <v>126</v>
      </c>
      <c r="AC679" s="6" t="str">
        <f aca="false">PROPER(AB679)</f>
        <v>Whatsapp</v>
      </c>
      <c r="AD679" s="6" t="n">
        <v>45</v>
      </c>
      <c r="AE679" s="5" t="n">
        <f aca="false">IF(ISBLANK(AD679),AVERAGEIF(L679:L1678,L679,AD679:AD1678),AD679)</f>
        <v>45</v>
      </c>
      <c r="AF679" s="0" t="s">
        <v>55</v>
      </c>
      <c r="AG679" s="0" t="str">
        <f aca="false">PROPER(AF679)</f>
        <v>Available</v>
      </c>
      <c r="AH679" s="0" t="s">
        <v>155</v>
      </c>
      <c r="AI679" s="0" t="s">
        <v>78</v>
      </c>
      <c r="AJ679" s="0" t="str">
        <f aca="false">PROPER(AI679)</f>
        <v>Booking</v>
      </c>
      <c r="AK679" s="0" t="s">
        <v>58</v>
      </c>
      <c r="AL679" s="0" t="str">
        <f aca="false">PROPER(AK679)</f>
        <v>Fleet Owner</v>
      </c>
      <c r="AM679" s="0" t="s">
        <v>2326</v>
      </c>
      <c r="AN679" s="0" t="str">
        <f aca="false">IF(ISBLANK(AM679),"Unknown",AM679)</f>
        <v>Government Convoy</v>
      </c>
      <c r="AP679" s="0" t="str">
        <f aca="false">IF(ISBLANK(AO679),"Unknown",AO679)</f>
        <v>Unknown</v>
      </c>
      <c r="AR679" s="5" t="n">
        <f aca="false">IF(ISBLANK(AQ679),AVERAGEIF(M679:M1678,M679,AQ679:AQ1678),AQ679)</f>
        <v>26000</v>
      </c>
      <c r="AS679" s="0" t="n">
        <v>30000</v>
      </c>
      <c r="AT679" s="5" t="n">
        <f aca="false">IF(ISBLANK(AS679),AVERAGE(AS679:AS1678),AS679)</f>
        <v>30000</v>
      </c>
      <c r="AU679" s="0" t="s">
        <v>50</v>
      </c>
      <c r="AV679" s="0" t="str">
        <f aca="false">PROPER(IF(ISBLANK(AU679),"No",AU679))</f>
        <v>No</v>
      </c>
      <c r="AW679" s="0" t="n">
        <v>5000</v>
      </c>
      <c r="AX679" s="5" t="n">
        <f aca="false">IF(ISBLANK(AW679),0,AW679)</f>
        <v>5000</v>
      </c>
      <c r="AZ679" s="0" t="str">
        <f aca="false">UPPER(IF(ISBLANK(AY679),"NONE",AY679))</f>
        <v>NONE</v>
      </c>
      <c r="BA679" s="7" t="n">
        <v>45940</v>
      </c>
      <c r="BB679" s="7" t="n">
        <f aca="false">IF(ISBLANK(BA679),"No Follow Up Needed",BA679)</f>
        <v>45940</v>
      </c>
      <c r="BD679" s="0" t="str">
        <f aca="false">PROPER(IF(ISBLANK(BC679),"Unknown",BC679))</f>
        <v>Unknown</v>
      </c>
      <c r="BE679" s="0" t="s">
        <v>171</v>
      </c>
      <c r="BF679" s="0" t="str">
        <f aca="false">IF(ISBLANK(BE679),"No comments",BE679)</f>
        <v>Shock absorber weakening</v>
      </c>
      <c r="BG679" s="0" t="s">
        <v>2320</v>
      </c>
      <c r="BH679" s="0" t="str">
        <f aca="false">IF(ISBLANK(BG679),"No comments",BG679)</f>
        <v>No complaints</v>
      </c>
      <c r="BJ679" s="0" t="str">
        <f aca="false">IF(ISBLANK(BI679),"Not Mentioned",BI679)</f>
        <v>Not Mentioned</v>
      </c>
      <c r="BK679" s="0" t="s">
        <v>63</v>
      </c>
      <c r="BL679" s="0" t="str">
        <f aca="false">PROPER(IF(ISBLANK(BK679),"Not Mentioned",BK679))</f>
        <v>Yes</v>
      </c>
      <c r="BM679" s="0" t="s">
        <v>50</v>
      </c>
      <c r="BN679" s="0" t="str">
        <f aca="false">PROPER(IF(ISBLANK(BM679),"Not Mentioned",BM679))</f>
        <v>No</v>
      </c>
      <c r="BO679" s="0" t="s">
        <v>2318</v>
      </c>
      <c r="BP679" s="0" t="str">
        <f aca="false">IF(ISBLANK(BO679),"One-Time Plan",BO679)</f>
        <v>Gold</v>
      </c>
      <c r="BQ679" s="0" t="s">
        <v>198</v>
      </c>
      <c r="BR679" s="0" t="str">
        <f aca="false">PROPER(IF(ISBLANK(BQ679),"No",BQ679))</f>
        <v>Followed Up</v>
      </c>
    </row>
    <row r="680" customFormat="false" ht="15" hidden="false" customHeight="false" outlineLevel="0" collapsed="false">
      <c r="A680" s="0" t="s">
        <v>1653</v>
      </c>
      <c r="B680" s="2" t="n">
        <v>45779</v>
      </c>
      <c r="C680" s="2" t="str">
        <f aca="false">TEXT(B680,"dd/mm/yyyy")</f>
        <v>02/05/2025</v>
      </c>
      <c r="D680" s="0" t="s">
        <v>121</v>
      </c>
      <c r="E680" s="0" t="n">
        <v>8037409946</v>
      </c>
      <c r="F680" s="0" t="s">
        <v>139</v>
      </c>
      <c r="G680" s="0" t="s">
        <v>2323</v>
      </c>
      <c r="H680" s="0" t="s">
        <v>229</v>
      </c>
      <c r="I680" s="0" t="s">
        <v>45</v>
      </c>
      <c r="J680" s="0" t="s">
        <v>2317</v>
      </c>
      <c r="K680" s="3" t="str">
        <f aca="false" t="array" ref="K680:K680">IFERROR(IF(J680&lt;&gt;"",J680,INDEX(J680:J1679,MATCH(1,(F680:F1679=F680)*(I680:I1679=I680)*(L680:L1679=L680)*(J680:J1679&lt;&gt;""),0))),"Not Found")</f>
        <v>Suspension Noise</v>
      </c>
      <c r="L680" s="3" t="s">
        <v>89</v>
      </c>
      <c r="M680" s="0" t="str">
        <f aca="false">PROPER(L680)</f>
        <v>Shock Absorbers</v>
      </c>
      <c r="N680" s="3" t="s">
        <v>90</v>
      </c>
      <c r="O680" s="0" t="str">
        <f aca="false" t="array" ref="O680:O680">IF(N680&lt;&gt;"",N680,_xlfn.xlookup(1,(L680:L1679=L680)*(N680:N1679&lt;&gt;""),N680:N1679,"Not Found"))</f>
        <v>Musa</v>
      </c>
      <c r="P680" s="4" t="n">
        <v>25267</v>
      </c>
      <c r="Q680" s="0" t="s">
        <v>110</v>
      </c>
      <c r="R680" s="0" t="str">
        <f aca="false">PROPER(Q680)</f>
        <v>Cash</v>
      </c>
      <c r="S680" s="0" t="s">
        <v>63</v>
      </c>
      <c r="T680" s="0" t="n">
        <v>1</v>
      </c>
      <c r="U680" s="5" t="n">
        <f aca="false">IF(ISBLANK(T680),AVERAGE(T680:T1679),T680)</f>
        <v>1</v>
      </c>
      <c r="V680" s="0" t="n">
        <v>3.9</v>
      </c>
      <c r="W680" s="0" t="s">
        <v>51</v>
      </c>
      <c r="X680" s="0" t="str">
        <f aca="false">IF(ISBLANK(W680),"No remarks",W680)</f>
        <v>Recommended further checks</v>
      </c>
      <c r="Y680" s="0" t="s">
        <v>73</v>
      </c>
      <c r="Z680" s="0" t="s">
        <v>136</v>
      </c>
      <c r="AA680" s="0" t="str">
        <f aca="false">PROPER(IF(ISBLANK(Z680),"Location Unavailable",Z680))</f>
        <v>Vip Section</v>
      </c>
      <c r="AB680" s="0" t="s">
        <v>147</v>
      </c>
      <c r="AC680" s="6" t="str">
        <f aca="false">PROPER(AB680)</f>
        <v>Instagram</v>
      </c>
      <c r="AD680" s="6" t="n">
        <v>45</v>
      </c>
      <c r="AE680" s="5" t="n">
        <f aca="false">IF(ISBLANK(AD680),AVERAGEIF(L680:L1679,L680,AD680:AD1679),AD680)</f>
        <v>45</v>
      </c>
      <c r="AF680" s="0" t="s">
        <v>160</v>
      </c>
      <c r="AG680" s="0" t="str">
        <f aca="false">PROPER(AF680)</f>
        <v>Availaible</v>
      </c>
      <c r="AH680" s="0" t="s">
        <v>155</v>
      </c>
      <c r="AI680" s="0" t="s">
        <v>98</v>
      </c>
      <c r="AJ680" s="0" t="str">
        <f aca="false">PROPER(AI680)</f>
        <v>Emergency</v>
      </c>
      <c r="AK680" s="0" t="s">
        <v>196</v>
      </c>
      <c r="AL680" s="0" t="str">
        <f aca="false">PROPER(AK680)</f>
        <v>First Time</v>
      </c>
      <c r="AM680" s="0" t="s">
        <v>177</v>
      </c>
      <c r="AN680" s="0" t="str">
        <f aca="false">IF(ISBLANK(AM680),"Unknown",AM680)</f>
        <v>Private</v>
      </c>
      <c r="AP680" s="0" t="str">
        <f aca="false">IF(ISBLANK(AO680),"Unknown",AO680)</f>
        <v>Unknown</v>
      </c>
      <c r="AQ680" s="0" t="n">
        <v>40000</v>
      </c>
      <c r="AR680" s="5" t="n">
        <f aca="false">IF(ISBLANK(AQ680),AVERAGEIF(M680:M1679,M680,AQ680:AQ1679),AQ680)</f>
        <v>40000</v>
      </c>
      <c r="AS680" s="0" t="n">
        <v>30000</v>
      </c>
      <c r="AT680" s="5" t="n">
        <f aca="false">IF(ISBLANK(AS680),AVERAGE(AS680:AS1679),AS680)</f>
        <v>30000</v>
      </c>
      <c r="AU680" s="0" t="s">
        <v>63</v>
      </c>
      <c r="AV680" s="0" t="str">
        <f aca="false">PROPER(IF(ISBLANK(AU680),"No",AU680))</f>
        <v>Yes</v>
      </c>
      <c r="AW680" s="0" t="n">
        <v>0</v>
      </c>
      <c r="AX680" s="5" t="n">
        <f aca="false">IF(ISBLANK(AW680),0,AW680)</f>
        <v>0</v>
      </c>
      <c r="AY680" s="0" t="s">
        <v>130</v>
      </c>
      <c r="AZ680" s="0" t="str">
        <f aca="false">UPPER(IF(ISBLANK(AY680),"NONE",AY680))</f>
        <v>LOYALTY10</v>
      </c>
      <c r="BA680" s="7" t="n">
        <v>45846</v>
      </c>
      <c r="BB680" s="7" t="n">
        <f aca="false">IF(ISBLANK(BA680),"No Follow Up Needed",BA680)</f>
        <v>45846</v>
      </c>
      <c r="BC680" s="0" t="s">
        <v>63</v>
      </c>
      <c r="BD680" s="0" t="str">
        <f aca="false">PROPER(IF(ISBLANK(BC680),"Unknown",BC680))</f>
        <v>Yes</v>
      </c>
      <c r="BF680" s="0" t="str">
        <f aca="false">IF(ISBLANK(BE680),"No comments",BE680)</f>
        <v>No comments</v>
      </c>
      <c r="BH680" s="0" t="str">
        <f aca="false">IF(ISBLANK(BG680),"No comments",BG680)</f>
        <v>No comments</v>
      </c>
      <c r="BJ680" s="0" t="str">
        <f aca="false">IF(ISBLANK(BI680),"Not Mentioned",BI680)</f>
        <v>Not Mentioned</v>
      </c>
      <c r="BL680" s="0" t="str">
        <f aca="false">PROPER(IF(ISBLANK(BK680),"Not Mentioned",BK680))</f>
        <v>Not Mentioned</v>
      </c>
      <c r="BM680" s="0" t="s">
        <v>50</v>
      </c>
      <c r="BN680" s="0" t="str">
        <f aca="false">PROPER(IF(ISBLANK(BM680),"Not Mentioned",BM680))</f>
        <v>No</v>
      </c>
      <c r="BO680" s="0" t="s">
        <v>2318</v>
      </c>
      <c r="BP680" s="0" t="str">
        <f aca="false">IF(ISBLANK(BO680),"One-Time Plan",BO680)</f>
        <v>Gold</v>
      </c>
      <c r="BQ680" s="0" t="s">
        <v>50</v>
      </c>
      <c r="BR680" s="0" t="str">
        <f aca="false">PROPER(IF(ISBLANK(BQ680),"No",BQ680))</f>
        <v>No</v>
      </c>
    </row>
    <row r="681" customFormat="false" ht="15" hidden="false" customHeight="false" outlineLevel="0" collapsed="false">
      <c r="A681" s="0" t="s">
        <v>1654</v>
      </c>
      <c r="B681" s="2" t="n">
        <v>45964</v>
      </c>
      <c r="C681" s="2" t="str">
        <f aca="false">TEXT(B681,"dd/mm/yyyy")</f>
        <v>03/11/2025</v>
      </c>
      <c r="D681" s="0" t="s">
        <v>42</v>
      </c>
      <c r="E681" s="0" t="n">
        <v>8026852512</v>
      </c>
      <c r="F681" s="0" t="s">
        <v>85</v>
      </c>
      <c r="G681" s="0" t="s">
        <v>2319</v>
      </c>
      <c r="H681" s="0" t="s">
        <v>1655</v>
      </c>
      <c r="I681" s="0" t="s">
        <v>69</v>
      </c>
      <c r="J681" s="0" t="s">
        <v>2325</v>
      </c>
      <c r="K681" s="3" t="str">
        <f aca="false" t="array" ref="K681:K681">IFERROR(IF(J681&lt;&gt;"",J681,INDEX(J681:J1680,MATCH(1,(F681:F1680=F681)*(I681:I1680=I681)*(L681:L1680=L681)*(J681:J1680&lt;&gt;""),0))),"Not Found")</f>
        <v>Engine Knocking</v>
      </c>
      <c r="L681" s="3" t="s">
        <v>154</v>
      </c>
      <c r="M681" s="0" t="str">
        <f aca="false">PROPER(L681)</f>
        <v>Air Filter</v>
      </c>
      <c r="O681" s="0" t="e">
        <f aca="false" t="array" ref="O681:O681">IF(N681&lt;&gt;"",N681,_xlfn.xlookup(1,(L681:L1680=L681)*(N681:N1680&lt;&gt;""),N681:N1680,"Not Found"))</f>
        <v>#NAME?</v>
      </c>
      <c r="P681" s="4" t="n">
        <v>16629</v>
      </c>
      <c r="Q681" s="0" t="s">
        <v>124</v>
      </c>
      <c r="R681" s="0" t="str">
        <f aca="false">PROPER(Q681)</f>
        <v>Cash</v>
      </c>
      <c r="S681" s="0" t="s">
        <v>63</v>
      </c>
      <c r="T681" s="0" t="n">
        <v>4</v>
      </c>
      <c r="U681" s="5" t="n">
        <f aca="false">IF(ISBLANK(T681),AVERAGE(T681:T1680),T681)</f>
        <v>4</v>
      </c>
      <c r="V681" s="0" t="n">
        <v>2</v>
      </c>
      <c r="W681" s="0" t="s">
        <v>92</v>
      </c>
      <c r="X681" s="0" t="str">
        <f aca="false">IF(ISBLANK(W681),"No remarks",W681)</f>
        <v>Urgent service</v>
      </c>
      <c r="Y681" s="0" t="s">
        <v>93</v>
      </c>
      <c r="Z681" s="0" t="s">
        <v>159</v>
      </c>
      <c r="AA681" s="0" t="str">
        <f aca="false">PROPER(IF(ISBLANK(Z681),"Location Unavailable",Z681))</f>
        <v>Main Bay</v>
      </c>
      <c r="AB681" s="0" t="s">
        <v>147</v>
      </c>
      <c r="AC681" s="6" t="str">
        <f aca="false">PROPER(AB681)</f>
        <v>Instagram</v>
      </c>
      <c r="AE681" s="5" t="n">
        <f aca="false">IF(ISBLANK(AD681),AVERAGEIF(L681:L1680,L681,AD681:AD1680),AD681)</f>
        <v>37.3404255319149</v>
      </c>
      <c r="AF681" s="0" t="s">
        <v>160</v>
      </c>
      <c r="AG681" s="0" t="str">
        <f aca="false">PROPER(AF681)</f>
        <v>Availaible</v>
      </c>
      <c r="AH681" s="0" t="s">
        <v>155</v>
      </c>
      <c r="AI681" s="0" t="s">
        <v>78</v>
      </c>
      <c r="AJ681" s="0" t="str">
        <f aca="false">PROPER(AI681)</f>
        <v>Booking</v>
      </c>
      <c r="AK681" s="0" t="s">
        <v>114</v>
      </c>
      <c r="AL681" s="0" t="str">
        <f aca="false">PROPER(AK681)</f>
        <v>Returning</v>
      </c>
      <c r="AM681" s="0" t="s">
        <v>177</v>
      </c>
      <c r="AN681" s="0" t="str">
        <f aca="false">IF(ISBLANK(AM681),"Unknown",AM681)</f>
        <v>Private</v>
      </c>
      <c r="AP681" s="0" t="str">
        <f aca="false">IF(ISBLANK(AO681),"Unknown",AO681)</f>
        <v>Unknown</v>
      </c>
      <c r="AQ681" s="0" t="n">
        <v>40000</v>
      </c>
      <c r="AR681" s="5" t="n">
        <f aca="false">IF(ISBLANK(AQ681),AVERAGEIF(M681:M1680,M681,AQ681:AQ1680),AQ681)</f>
        <v>40000</v>
      </c>
      <c r="AS681" s="0" t="n">
        <v>40000</v>
      </c>
      <c r="AT681" s="5" t="n">
        <f aca="false">IF(ISBLANK(AS681),AVERAGE(AS681:AS1680),AS681)</f>
        <v>40000</v>
      </c>
      <c r="AU681" s="0" t="s">
        <v>50</v>
      </c>
      <c r="AV681" s="0" t="str">
        <f aca="false">PROPER(IF(ISBLANK(AU681),"No",AU681))</f>
        <v>No</v>
      </c>
      <c r="AW681" s="0" t="n">
        <v>0</v>
      </c>
      <c r="AX681" s="5" t="n">
        <f aca="false">IF(ISBLANK(AW681),0,AW681)</f>
        <v>0</v>
      </c>
      <c r="AY681" s="0" t="s">
        <v>130</v>
      </c>
      <c r="AZ681" s="0" t="str">
        <f aca="false">UPPER(IF(ISBLANK(AY681),"NONE",AY681))</f>
        <v>LOYALTY10</v>
      </c>
      <c r="BA681" s="7" t="n">
        <v>45941</v>
      </c>
      <c r="BB681" s="7" t="n">
        <f aca="false">IF(ISBLANK(BA681),"No Follow Up Needed",BA681)</f>
        <v>45941</v>
      </c>
      <c r="BD681" s="0" t="str">
        <f aca="false">PROPER(IF(ISBLANK(BC681),"Unknown",BC681))</f>
        <v>Unknown</v>
      </c>
      <c r="BE681" s="0" t="s">
        <v>116</v>
      </c>
      <c r="BF681" s="0" t="str">
        <f aca="false">IF(ISBLANK(BE681),"No comments",BE681)</f>
        <v>Needs tire alignment</v>
      </c>
      <c r="BG681" s="0" t="s">
        <v>117</v>
      </c>
      <c r="BH681" s="0" t="str">
        <f aca="false">IF(ISBLANK(BG681),"No comments",BG681)</f>
        <v>Prefers morning</v>
      </c>
      <c r="BI681" s="0" t="s">
        <v>63</v>
      </c>
      <c r="BJ681" s="0" t="str">
        <f aca="false">IF(ISBLANK(BI681),"Not Mentioned",BI681)</f>
        <v>Yes</v>
      </c>
      <c r="BK681" s="0" t="s">
        <v>50</v>
      </c>
      <c r="BL681" s="0" t="str">
        <f aca="false">PROPER(IF(ISBLANK(BK681),"Not Mentioned",BK681))</f>
        <v>No</v>
      </c>
      <c r="BM681" s="0" t="s">
        <v>50</v>
      </c>
      <c r="BN681" s="0" t="str">
        <f aca="false">PROPER(IF(ISBLANK(BM681),"Not Mentioned",BM681))</f>
        <v>No</v>
      </c>
      <c r="BO681" s="0" t="s">
        <v>2321</v>
      </c>
      <c r="BP681" s="0" t="str">
        <f aca="false">IF(ISBLANK(BO681),"One-Time Plan",BO681)</f>
        <v>One-Time Plan</v>
      </c>
      <c r="BQ681" s="0" t="s">
        <v>50</v>
      </c>
      <c r="BR681" s="0" t="str">
        <f aca="false">PROPER(IF(ISBLANK(BQ681),"No",BQ681))</f>
        <v>No</v>
      </c>
    </row>
    <row r="682" customFormat="false" ht="15" hidden="false" customHeight="false" outlineLevel="0" collapsed="false">
      <c r="A682" s="0" t="s">
        <v>1656</v>
      </c>
      <c r="B682" s="2" t="n">
        <v>45702</v>
      </c>
      <c r="C682" s="2" t="str">
        <f aca="false">TEXT(B682,"dd/mm/yyyy")</f>
        <v>14/02/2025</v>
      </c>
      <c r="D682" s="0" t="s">
        <v>163</v>
      </c>
      <c r="E682" s="0" t="n">
        <v>8022315737</v>
      </c>
      <c r="F682" s="0" t="s">
        <v>139</v>
      </c>
      <c r="G682" s="0" t="s">
        <v>2323</v>
      </c>
      <c r="H682" s="0" t="s">
        <v>1657</v>
      </c>
      <c r="I682" s="0" t="s">
        <v>134</v>
      </c>
      <c r="J682" s="0" t="s">
        <v>2322</v>
      </c>
      <c r="K682" s="3" t="str">
        <f aca="false" t="array" ref="K682:K682">IFERROR(IF(J682&lt;&gt;"",J682,INDEX(J682:J1681,MATCH(1,(F682:F1681=F682)*(I682:I1681=I682)*(L682:L1681=L682)*(J682:J1681&lt;&gt;""),0))),"Not Found")</f>
        <v>Brake Failure</v>
      </c>
      <c r="L682" s="3" t="s">
        <v>154</v>
      </c>
      <c r="M682" s="0" t="str">
        <f aca="false">PROPER(L682)</f>
        <v>Air Filter</v>
      </c>
      <c r="N682" s="3" t="s">
        <v>90</v>
      </c>
      <c r="O682" s="0" t="str">
        <f aca="false" t="array" ref="O682:O682">IF(N682&lt;&gt;"",N682,_xlfn.xlookup(1,(L682:L1681=L682)*(N682:N1681&lt;&gt;""),N682:N1681,"Not Found"))</f>
        <v>Musa</v>
      </c>
      <c r="P682" s="4" t="n">
        <v>68580</v>
      </c>
      <c r="Q682" s="0" t="s">
        <v>91</v>
      </c>
      <c r="R682" s="0" t="str">
        <f aca="false">PROPER(Q682)</f>
        <v>Pos</v>
      </c>
      <c r="S682" s="0" t="s">
        <v>63</v>
      </c>
      <c r="T682" s="0" t="n">
        <v>2</v>
      </c>
      <c r="U682" s="5" t="n">
        <f aca="false">IF(ISBLANK(T682),AVERAGE(T682:T1681),T682)</f>
        <v>2</v>
      </c>
      <c r="V682" s="0" t="n">
        <v>5.8</v>
      </c>
      <c r="W682" s="0" t="s">
        <v>111</v>
      </c>
      <c r="X682" s="0" t="str">
        <f aca="false">IF(ISBLANK(W682),"No remarks",W682)</f>
        <v>Changed all filters</v>
      </c>
      <c r="Y682" s="0" t="s">
        <v>52</v>
      </c>
      <c r="Z682" s="0" t="s">
        <v>159</v>
      </c>
      <c r="AA682" s="0" t="str">
        <f aca="false">PROPER(IF(ISBLANK(Z682),"Location Unavailable",Z682))</f>
        <v>Main Bay</v>
      </c>
      <c r="AB682" s="0" t="s">
        <v>147</v>
      </c>
      <c r="AC682" s="6" t="str">
        <f aca="false">PROPER(AB682)</f>
        <v>Instagram</v>
      </c>
      <c r="AE682" s="5" t="n">
        <f aca="false">IF(ISBLANK(AD682),AVERAGEIF(L682:L1681,L682,AD682:AD1681),AD682)</f>
        <v>37.3404255319149</v>
      </c>
      <c r="AF682" s="0" t="s">
        <v>76</v>
      </c>
      <c r="AG682" s="0" t="str">
        <f aca="false">PROPER(AF682)</f>
        <v>Orderd</v>
      </c>
      <c r="AH682" s="0" t="s">
        <v>155</v>
      </c>
      <c r="AI682" s="0" t="s">
        <v>98</v>
      </c>
      <c r="AJ682" s="0" t="str">
        <f aca="false">PROPER(AI682)</f>
        <v>Emergency</v>
      </c>
      <c r="AK682" s="0" t="s">
        <v>99</v>
      </c>
      <c r="AL682" s="0" t="str">
        <f aca="false">PROPER(AK682)</f>
        <v>Uber Driver</v>
      </c>
      <c r="AM682" s="0" t="s">
        <v>177</v>
      </c>
      <c r="AN682" s="0" t="str">
        <f aca="false">IF(ISBLANK(AM682),"Unknown",AM682)</f>
        <v>Private</v>
      </c>
      <c r="AO682" s="0" t="s">
        <v>79</v>
      </c>
      <c r="AP682" s="0" t="str">
        <f aca="false">IF(ISBLANK(AO682),"Unknown",AO682)</f>
        <v>Specialist</v>
      </c>
      <c r="AQ682" s="0" t="n">
        <v>15000</v>
      </c>
      <c r="AR682" s="5" t="n">
        <f aca="false">IF(ISBLANK(AQ682),AVERAGEIF(M682:M1681,M682,AQ682:AQ1681),AQ682)</f>
        <v>15000</v>
      </c>
      <c r="AS682" s="0" t="n">
        <v>20000</v>
      </c>
      <c r="AT682" s="5" t="n">
        <f aca="false">IF(ISBLANK(AS682),AVERAGE(AS682:AS1681),AS682)</f>
        <v>20000</v>
      </c>
      <c r="AU682" s="0" t="s">
        <v>50</v>
      </c>
      <c r="AV682" s="0" t="str">
        <f aca="false">PROPER(IF(ISBLANK(AU682),"No",AU682))</f>
        <v>No</v>
      </c>
      <c r="AW682" s="0" t="n">
        <v>0</v>
      </c>
      <c r="AX682" s="5" t="n">
        <f aca="false">IF(ISBLANK(AW682),0,AW682)</f>
        <v>0</v>
      </c>
      <c r="AZ682" s="0" t="str">
        <f aca="false">UPPER(IF(ISBLANK(AY682),"NONE",AY682))</f>
        <v>NONE</v>
      </c>
      <c r="BB682" s="7" t="str">
        <f aca="false">IF(ISBLANK(BA682),"No Follow Up Needed",BA682)</f>
        <v>No Follow Up Needed</v>
      </c>
      <c r="BC682" s="0" t="s">
        <v>50</v>
      </c>
      <c r="BD682" s="0" t="str">
        <f aca="false">PROPER(IF(ISBLANK(BC682),"Unknown",BC682))</f>
        <v>No</v>
      </c>
      <c r="BE682" s="0" t="s">
        <v>171</v>
      </c>
      <c r="BF682" s="0" t="str">
        <f aca="false">IF(ISBLANK(BE682),"No comments",BE682)</f>
        <v>Shock absorber weakening</v>
      </c>
      <c r="BH682" s="0" t="str">
        <f aca="false">IF(ISBLANK(BG682),"No comments",BG682)</f>
        <v>No comments</v>
      </c>
      <c r="BI682" s="0" t="s">
        <v>50</v>
      </c>
      <c r="BJ682" s="0" t="str">
        <f aca="false">IF(ISBLANK(BI682),"Not Mentioned",BI682)</f>
        <v>No</v>
      </c>
      <c r="BK682" s="0" t="s">
        <v>50</v>
      </c>
      <c r="BL682" s="0" t="str">
        <f aca="false">PROPER(IF(ISBLANK(BK682),"Not Mentioned",BK682))</f>
        <v>No</v>
      </c>
      <c r="BM682" s="0" t="s">
        <v>50</v>
      </c>
      <c r="BN682" s="0" t="str">
        <f aca="false">PROPER(IF(ISBLANK(BM682),"Not Mentioned",BM682))</f>
        <v>No</v>
      </c>
      <c r="BO682" s="0" t="s">
        <v>64</v>
      </c>
      <c r="BP682" s="0" t="str">
        <f aca="false">IF(ISBLANK(BO682),"One-Time Plan",BO682)</f>
        <v>Gold Maintenance Plan</v>
      </c>
      <c r="BQ682" s="0" t="s">
        <v>50</v>
      </c>
      <c r="BR682" s="0" t="str">
        <f aca="false">PROPER(IF(ISBLANK(BQ682),"No",BQ682))</f>
        <v>No</v>
      </c>
    </row>
    <row r="683" customFormat="false" ht="15" hidden="false" customHeight="false" outlineLevel="0" collapsed="false">
      <c r="A683" s="0" t="s">
        <v>1658</v>
      </c>
      <c r="B683" s="2" t="n">
        <v>45704</v>
      </c>
      <c r="C683" s="2" t="str">
        <f aca="false">TEXT(B683,"dd/mm/yyyy")</f>
        <v>16/02/2025</v>
      </c>
      <c r="D683" s="0" t="s">
        <v>66</v>
      </c>
      <c r="E683" s="0" t="n">
        <v>8033310374</v>
      </c>
      <c r="F683" s="0" t="s">
        <v>139</v>
      </c>
      <c r="G683" s="0" t="s">
        <v>2323</v>
      </c>
      <c r="H683" s="0" t="s">
        <v>1659</v>
      </c>
      <c r="I683" s="0" t="s">
        <v>45</v>
      </c>
      <c r="J683" s="0" t="s">
        <v>2325</v>
      </c>
      <c r="K683" s="3" t="str">
        <f aca="false" t="array" ref="K683:K683">IFERROR(IF(J683&lt;&gt;"",J683,INDEX(J683:J1682,MATCH(1,(F683:F1682=F683)*(I683:I1682=I683)*(L683:L1682=L683)*(J683:J1682&lt;&gt;""),0))),"Not Found")</f>
        <v>Engine Knocking</v>
      </c>
      <c r="L683" s="3" t="s">
        <v>154</v>
      </c>
      <c r="M683" s="0" t="str">
        <f aca="false">PROPER(L683)</f>
        <v>Air Filter</v>
      </c>
      <c r="N683" s="3" t="s">
        <v>109</v>
      </c>
      <c r="O683" s="0" t="str">
        <f aca="false" t="array" ref="O683:O683">IF(N683&lt;&gt;"",N683,_xlfn.xlookup(1,(L683:L1682=L683)*(N683:N1682&lt;&gt;""),N683:N1682,"Not Found"))</f>
        <v>Tijani</v>
      </c>
      <c r="P683" s="4" t="n">
        <v>87137</v>
      </c>
      <c r="Q683" s="0" t="s">
        <v>124</v>
      </c>
      <c r="R683" s="0" t="str">
        <f aca="false">PROPER(Q683)</f>
        <v>Cash</v>
      </c>
      <c r="S683" s="0" t="s">
        <v>50</v>
      </c>
      <c r="T683" s="0" t="n">
        <v>5</v>
      </c>
      <c r="U683" s="5" t="n">
        <f aca="false">IF(ISBLANK(T683),AVERAGE(T683:T1682),T683)</f>
        <v>5</v>
      </c>
      <c r="V683" s="0" t="n">
        <v>3.9</v>
      </c>
      <c r="W683" s="0" t="s">
        <v>125</v>
      </c>
      <c r="X683" s="0" t="str">
        <f aca="false">IF(ISBLANK(W683),"No remarks",W683)</f>
        <v>Customer waited</v>
      </c>
      <c r="Y683" s="0" t="s">
        <v>93</v>
      </c>
      <c r="Z683" s="0" t="s">
        <v>53</v>
      </c>
      <c r="AA683" s="0" t="str">
        <f aca="false">PROPER(IF(ISBLANK(Z683),"Location Unavailable",Z683))</f>
        <v>Main Bay</v>
      </c>
      <c r="AB683" s="0" t="s">
        <v>147</v>
      </c>
      <c r="AC683" s="6" t="str">
        <f aca="false">PROPER(AB683)</f>
        <v>Instagram</v>
      </c>
      <c r="AD683" s="6" t="n">
        <v>45</v>
      </c>
      <c r="AE683" s="5" t="n">
        <f aca="false">IF(ISBLANK(AD683),AVERAGEIF(L683:L1682,L683,AD683:AD1682),AD683)</f>
        <v>45</v>
      </c>
      <c r="AF683" s="0" t="s">
        <v>96</v>
      </c>
      <c r="AG683" s="0" t="str">
        <f aca="false">PROPER(AF683)</f>
        <v>Ordered</v>
      </c>
      <c r="AH683" s="0" t="s">
        <v>155</v>
      </c>
      <c r="AI683" s="0" t="s">
        <v>128</v>
      </c>
      <c r="AJ683" s="0" t="str">
        <f aca="false">PROPER(AI683)</f>
        <v>Normal</v>
      </c>
      <c r="AK683" s="0" t="s">
        <v>99</v>
      </c>
      <c r="AL683" s="0" t="str">
        <f aca="false">PROPER(AK683)</f>
        <v>Uber Driver</v>
      </c>
      <c r="AM683" s="0" t="s">
        <v>59</v>
      </c>
      <c r="AN683" s="0" t="str">
        <f aca="false">IF(ISBLANK(AM683),"Unknown",AM683)</f>
        <v>Bolt Driver</v>
      </c>
      <c r="AO683" s="0" t="s">
        <v>79</v>
      </c>
      <c r="AP683" s="0" t="str">
        <f aca="false">IF(ISBLANK(AO683),"Unknown",AO683)</f>
        <v>Specialist</v>
      </c>
      <c r="AR683" s="5" t="n">
        <f aca="false">IF(ISBLANK(AQ683),AVERAGEIF(M683:M1682,M683,AQ683:AQ1682),AQ683)</f>
        <v>25921.0526315789</v>
      </c>
      <c r="AS683" s="0" t="n">
        <v>35000</v>
      </c>
      <c r="AT683" s="5" t="n">
        <f aca="false">IF(ISBLANK(AS683),AVERAGE(AS683:AS1682),AS683)</f>
        <v>35000</v>
      </c>
      <c r="AU683" s="0" t="s">
        <v>82</v>
      </c>
      <c r="AV683" s="0" t="str">
        <f aca="false">PROPER(IF(ISBLANK(AU683),"No",AU683))</f>
        <v>Yes</v>
      </c>
      <c r="AW683" s="0" t="n">
        <v>5000</v>
      </c>
      <c r="AX683" s="5" t="n">
        <f aca="false">IF(ISBLANK(AW683),0,AW683)</f>
        <v>5000</v>
      </c>
      <c r="AY683" s="0" t="s">
        <v>80</v>
      </c>
      <c r="AZ683" s="0" t="str">
        <f aca="false">UPPER(IF(ISBLANK(AY683),"NONE",AY683))</f>
        <v>PROMO10</v>
      </c>
      <c r="BA683" s="7" t="s">
        <v>1660</v>
      </c>
      <c r="BB683" s="7" t="str">
        <f aca="false">IF(ISBLANK(BA683),"No Follow Up Needed",BA683)</f>
        <v>29/11/2025</v>
      </c>
      <c r="BC683" s="0" t="s">
        <v>82</v>
      </c>
      <c r="BD683" s="0" t="str">
        <f aca="false">PROPER(IF(ISBLANK(BC683),"Unknown",BC683))</f>
        <v>Yes</v>
      </c>
      <c r="BF683" s="0" t="str">
        <f aca="false">IF(ISBLANK(BE683),"No comments",BE683)</f>
        <v>No comments</v>
      </c>
      <c r="BH683" s="0" t="str">
        <f aca="false">IF(ISBLANK(BG683),"No comments",BG683)</f>
        <v>No comments</v>
      </c>
      <c r="BI683" s="0" t="s">
        <v>63</v>
      </c>
      <c r="BJ683" s="0" t="str">
        <f aca="false">IF(ISBLANK(BI683),"Not Mentioned",BI683)</f>
        <v>Yes</v>
      </c>
      <c r="BK683" s="0" t="s">
        <v>82</v>
      </c>
      <c r="BL683" s="0" t="str">
        <f aca="false">PROPER(IF(ISBLANK(BK683),"Not Mentioned",BK683))</f>
        <v>Yes</v>
      </c>
      <c r="BM683" s="0" t="s">
        <v>63</v>
      </c>
      <c r="BN683" s="0" t="str">
        <f aca="false">PROPER(IF(ISBLANK(BM683),"Not Mentioned",BM683))</f>
        <v>Yes</v>
      </c>
      <c r="BO683" s="0" t="s">
        <v>2321</v>
      </c>
      <c r="BP683" s="0" t="str">
        <f aca="false">IF(ISBLANK(BO683),"One-Time Plan",BO683)</f>
        <v>One-Time Plan</v>
      </c>
      <c r="BQ683" s="0" t="s">
        <v>50</v>
      </c>
      <c r="BR683" s="0" t="str">
        <f aca="false">PROPER(IF(ISBLANK(BQ683),"No",BQ683))</f>
        <v>No</v>
      </c>
    </row>
    <row r="684" customFormat="false" ht="15" hidden="false" customHeight="false" outlineLevel="0" collapsed="false">
      <c r="A684" s="0" t="s">
        <v>1661</v>
      </c>
      <c r="B684" s="2" t="n">
        <v>45680</v>
      </c>
      <c r="C684" s="2" t="str">
        <f aca="false">TEXT(B684,"dd/mm/yyyy")</f>
        <v>23/01/2025</v>
      </c>
      <c r="D684" s="0" t="s">
        <v>121</v>
      </c>
      <c r="E684" s="0" t="n">
        <v>8089541539</v>
      </c>
      <c r="F684" s="0" t="s">
        <v>85</v>
      </c>
      <c r="G684" s="0" t="s">
        <v>2319</v>
      </c>
      <c r="H684" s="0" t="s">
        <v>1662</v>
      </c>
      <c r="I684" s="0" t="s">
        <v>69</v>
      </c>
      <c r="J684" s="0" t="s">
        <v>2317</v>
      </c>
      <c r="K684" s="3" t="str">
        <f aca="false" t="array" ref="K684:K684">IFERROR(IF(J684&lt;&gt;"",J684,INDEX(J684:J1683,MATCH(1,(F684:F1683=F684)*(I684:I1683=I684)*(L684:L1683=L684)*(J684:J1683&lt;&gt;""),0))),"Not Found")</f>
        <v>Suspension Noise</v>
      </c>
      <c r="L684" s="3" t="s">
        <v>142</v>
      </c>
      <c r="M684" s="0" t="str">
        <f aca="false">PROPER(L684)</f>
        <v>Oil Filter, Brake Pads</v>
      </c>
      <c r="N684" s="3" t="s">
        <v>109</v>
      </c>
      <c r="O684" s="0" t="str">
        <f aca="false" t="array" ref="O684:O684">IF(N684&lt;&gt;"",N684,_xlfn.xlookup(1,(L684:L1683=L684)*(N684:N1683&lt;&gt;""),N684:N1683,"Not Found"))</f>
        <v>Tijani</v>
      </c>
      <c r="P684" s="4" t="n">
        <v>73655</v>
      </c>
      <c r="Q684" s="0" t="s">
        <v>72</v>
      </c>
      <c r="R684" s="0" t="str">
        <f aca="false">PROPER(Q684)</f>
        <v>Pos</v>
      </c>
      <c r="S684" s="0" t="s">
        <v>63</v>
      </c>
      <c r="T684" s="0" t="n">
        <v>5</v>
      </c>
      <c r="U684" s="5" t="n">
        <f aca="false">IF(ISBLANK(T684),AVERAGE(T684:T1683),T684)</f>
        <v>5</v>
      </c>
      <c r="V684" s="0" t="n">
        <v>1</v>
      </c>
      <c r="W684" s="0" t="s">
        <v>111</v>
      </c>
      <c r="X684" s="0" t="str">
        <f aca="false">IF(ISBLANK(W684),"No remarks",W684)</f>
        <v>Changed all filters</v>
      </c>
      <c r="Y684" s="0" t="s">
        <v>73</v>
      </c>
      <c r="Z684" s="0" t="s">
        <v>53</v>
      </c>
      <c r="AA684" s="0" t="str">
        <f aca="false">PROPER(IF(ISBLANK(Z684),"Location Unavailable",Z684))</f>
        <v>Main Bay</v>
      </c>
      <c r="AB684" s="0" t="s">
        <v>167</v>
      </c>
      <c r="AC684" s="6" t="str">
        <f aca="false">PROPER(AB684)</f>
        <v>Word Of Mouth</v>
      </c>
      <c r="AD684" s="6" t="n">
        <v>45</v>
      </c>
      <c r="AE684" s="5" t="n">
        <f aca="false">IF(ISBLANK(AD684),AVERAGEIF(L684:L1683,L684,AD684:AD1683),AD684)</f>
        <v>45</v>
      </c>
      <c r="AF684" s="0" t="s">
        <v>55</v>
      </c>
      <c r="AG684" s="0" t="str">
        <f aca="false">PROPER(AF684)</f>
        <v>Available</v>
      </c>
      <c r="AH684" s="0" t="s">
        <v>155</v>
      </c>
      <c r="AI684" s="0" t="s">
        <v>98</v>
      </c>
      <c r="AJ684" s="0" t="str">
        <f aca="false">PROPER(AI684)</f>
        <v>Emergency</v>
      </c>
      <c r="AK684" s="0" t="s">
        <v>114</v>
      </c>
      <c r="AL684" s="0" t="str">
        <f aca="false">PROPER(AK684)</f>
        <v>Returning</v>
      </c>
      <c r="AM684" s="0" t="s">
        <v>177</v>
      </c>
      <c r="AN684" s="0" t="str">
        <f aca="false">IF(ISBLANK(AM684),"Unknown",AM684)</f>
        <v>Private</v>
      </c>
      <c r="AO684" s="0" t="s">
        <v>149</v>
      </c>
      <c r="AP684" s="0" t="str">
        <f aca="false">IF(ISBLANK(AO684),"Unknown",AO684)</f>
        <v>Senior </v>
      </c>
      <c r="AQ684" s="0" t="n">
        <v>30000</v>
      </c>
      <c r="AR684" s="5" t="n">
        <f aca="false">IF(ISBLANK(AQ684),AVERAGEIF(M684:M1683,M684,AQ684:AQ1683),AQ684)</f>
        <v>30000</v>
      </c>
      <c r="AS684" s="0" t="n">
        <v>20000</v>
      </c>
      <c r="AT684" s="5" t="n">
        <f aca="false">IF(ISBLANK(AS684),AVERAGE(AS684:AS1683),AS684)</f>
        <v>20000</v>
      </c>
      <c r="AU684" s="0" t="s">
        <v>61</v>
      </c>
      <c r="AV684" s="0" t="str">
        <f aca="false">PROPER(IF(ISBLANK(AU684),"No",AU684))</f>
        <v>No</v>
      </c>
      <c r="AW684" s="0" t="n">
        <v>0</v>
      </c>
      <c r="AX684" s="5" t="n">
        <f aca="false">IF(ISBLANK(AW684),0,AW684)</f>
        <v>0</v>
      </c>
      <c r="AY684" s="0" t="s">
        <v>130</v>
      </c>
      <c r="AZ684" s="0" t="str">
        <f aca="false">UPPER(IF(ISBLANK(AY684),"NONE",AY684))</f>
        <v>LOYALTY10</v>
      </c>
      <c r="BA684" s="7" t="n">
        <v>45828</v>
      </c>
      <c r="BB684" s="7" t="n">
        <f aca="false">IF(ISBLANK(BA684),"No Follow Up Needed",BA684)</f>
        <v>45828</v>
      </c>
      <c r="BD684" s="0" t="str">
        <f aca="false">PROPER(IF(ISBLANK(BC684),"Unknown",BC684))</f>
        <v>Unknown</v>
      </c>
      <c r="BE684" s="0" t="s">
        <v>116</v>
      </c>
      <c r="BF684" s="0" t="str">
        <f aca="false">IF(ISBLANK(BE684),"No comments",BE684)</f>
        <v>Needs tire alignment</v>
      </c>
      <c r="BG684" s="0" t="s">
        <v>2320</v>
      </c>
      <c r="BH684" s="0" t="str">
        <f aca="false">IF(ISBLANK(BG684),"No comments",BG684)</f>
        <v>No complaints</v>
      </c>
      <c r="BI684" s="0" t="s">
        <v>63</v>
      </c>
      <c r="BJ684" s="0" t="str">
        <f aca="false">IF(ISBLANK(BI684),"Not Mentioned",BI684)</f>
        <v>Yes</v>
      </c>
      <c r="BK684" s="0" t="s">
        <v>63</v>
      </c>
      <c r="BL684" s="0" t="str">
        <f aca="false">PROPER(IF(ISBLANK(BK684),"Not Mentioned",BK684))</f>
        <v>Yes</v>
      </c>
      <c r="BM684" s="0" t="s">
        <v>50</v>
      </c>
      <c r="BN684" s="0" t="str">
        <f aca="false">PROPER(IF(ISBLANK(BM684),"Not Mentioned",BM684))</f>
        <v>No</v>
      </c>
      <c r="BO684" s="0" t="s">
        <v>2318</v>
      </c>
      <c r="BP684" s="0" t="str">
        <f aca="false">IF(ISBLANK(BO684),"One-Time Plan",BO684)</f>
        <v>Gold</v>
      </c>
      <c r="BQ684" s="0" t="s">
        <v>198</v>
      </c>
      <c r="BR684" s="0" t="str">
        <f aca="false">PROPER(IF(ISBLANK(BQ684),"No",BQ684))</f>
        <v>Followed Up</v>
      </c>
    </row>
    <row r="685" customFormat="false" ht="15" hidden="false" customHeight="false" outlineLevel="0" collapsed="false">
      <c r="A685" s="0" t="s">
        <v>1663</v>
      </c>
      <c r="B685" s="2" t="n">
        <v>45735</v>
      </c>
      <c r="C685" s="2" t="str">
        <f aca="false">TEXT(B685,"dd/mm/yyyy")</f>
        <v>19/03/2025</v>
      </c>
      <c r="D685" s="0" t="s">
        <v>66</v>
      </c>
      <c r="E685" s="0" t="n">
        <v>8083665010</v>
      </c>
      <c r="F685" s="0" t="s">
        <v>43</v>
      </c>
      <c r="G685" s="0" t="s">
        <v>2315</v>
      </c>
      <c r="H685" s="0" t="s">
        <v>1664</v>
      </c>
      <c r="I685" s="0" t="s">
        <v>45</v>
      </c>
      <c r="J685" s="0" t="s">
        <v>87</v>
      </c>
      <c r="K685" s="3" t="str">
        <f aca="false" t="array" ref="K685:K685">IFERROR(IF(J685&lt;&gt;"",J685,INDEX(J685:J1684,MATCH(1,(F685:F1684=F685)*(I685:I1684=I685)*(L685:L1684=L685)*(J685:J1684&lt;&gt;""),0))),"Not Found")</f>
        <v>Oil Change</v>
      </c>
      <c r="L685" s="3" t="s">
        <v>89</v>
      </c>
      <c r="M685" s="0" t="str">
        <f aca="false">PROPER(L685)</f>
        <v>Shock Absorbers</v>
      </c>
      <c r="N685" s="3" t="s">
        <v>48</v>
      </c>
      <c r="O685" s="0" t="str">
        <f aca="false" t="array" ref="O685:O685">IF(N685&lt;&gt;"",N685,_xlfn.xlookup(1,(L685:L1684=L685)*(N685:N1684&lt;&gt;""),N685:N1684,"Not Found"))</f>
        <v>Uche</v>
      </c>
      <c r="P685" s="4" t="n">
        <v>97364</v>
      </c>
      <c r="Q685" s="0" t="s">
        <v>166</v>
      </c>
      <c r="R685" s="0" t="str">
        <f aca="false">PROPER(Q685)</f>
        <v>Transfer</v>
      </c>
      <c r="S685" s="0" t="s">
        <v>63</v>
      </c>
      <c r="T685" s="0" t="n">
        <v>4</v>
      </c>
      <c r="U685" s="5" t="n">
        <f aca="false">IF(ISBLANK(T685),AVERAGE(T685:T1684),T685)</f>
        <v>4</v>
      </c>
      <c r="V685" s="0" t="n">
        <v>3.3</v>
      </c>
      <c r="W685" s="0" t="s">
        <v>111</v>
      </c>
      <c r="X685" s="0" t="str">
        <f aca="false">IF(ISBLANK(W685),"No remarks",W685)</f>
        <v>Changed all filters</v>
      </c>
      <c r="Y685" s="0" t="s">
        <v>73</v>
      </c>
      <c r="Z685" s="0" t="s">
        <v>53</v>
      </c>
      <c r="AA685" s="0" t="str">
        <f aca="false">PROPER(IF(ISBLANK(Z685),"Location Unavailable",Z685))</f>
        <v>Main Bay</v>
      </c>
      <c r="AB685" s="0" t="s">
        <v>95</v>
      </c>
      <c r="AC685" s="6" t="str">
        <f aca="false">PROPER(AB685)</f>
        <v>Road Sign</v>
      </c>
      <c r="AE685" s="5" t="n">
        <f aca="false">IF(ISBLANK(AD685),AVERAGEIF(L685:L1684,L685,AD685:AD1684),AD685)</f>
        <v>39.6</v>
      </c>
      <c r="AF685" s="0" t="s">
        <v>76</v>
      </c>
      <c r="AG685" s="0" t="str">
        <f aca="false">PROPER(AF685)</f>
        <v>Orderd</v>
      </c>
      <c r="AH685" s="0" t="s">
        <v>77</v>
      </c>
      <c r="AI685" s="0" t="s">
        <v>113</v>
      </c>
      <c r="AJ685" s="0" t="str">
        <f aca="false">PROPER(AI685)</f>
        <v>Normal</v>
      </c>
      <c r="AK685" s="0" t="s">
        <v>196</v>
      </c>
      <c r="AL685" s="0" t="str">
        <f aca="false">PROPER(AK685)</f>
        <v>First Time</v>
      </c>
      <c r="AN685" s="0" t="str">
        <f aca="false">IF(ISBLANK(AM685),"Unknown",AM685)</f>
        <v>Unknown</v>
      </c>
      <c r="AO685" s="0" t="s">
        <v>161</v>
      </c>
      <c r="AP685" s="0" t="str">
        <f aca="false">IF(ISBLANK(AO685),"Unknown",AO685)</f>
        <v>Apprentice</v>
      </c>
      <c r="AQ685" s="0" t="n">
        <v>15000</v>
      </c>
      <c r="AR685" s="5" t="n">
        <f aca="false">IF(ISBLANK(AQ685),AVERAGEIF(M685:M1684,M685,AQ685:AQ1684),AQ685)</f>
        <v>15000</v>
      </c>
      <c r="AS685" s="0" t="n">
        <v>20000</v>
      </c>
      <c r="AT685" s="5" t="n">
        <f aca="false">IF(ISBLANK(AS685),AVERAGE(AS685:AS1684),AS685)</f>
        <v>20000</v>
      </c>
      <c r="AU685" s="0" t="s">
        <v>61</v>
      </c>
      <c r="AV685" s="0" t="str">
        <f aca="false">PROPER(IF(ISBLANK(AU685),"No",AU685))</f>
        <v>No</v>
      </c>
      <c r="AW685" s="0" t="n">
        <v>10000</v>
      </c>
      <c r="AX685" s="5" t="n">
        <f aca="false">IF(ISBLANK(AW685),0,AW685)</f>
        <v>10000</v>
      </c>
      <c r="AY685" s="0" t="s">
        <v>184</v>
      </c>
      <c r="AZ685" s="0" t="str">
        <f aca="false">UPPER(IF(ISBLANK(AY685),"NONE",AY685))</f>
        <v>N/A</v>
      </c>
      <c r="BA685" s="7" t="n">
        <v>45858</v>
      </c>
      <c r="BB685" s="7" t="n">
        <f aca="false">IF(ISBLANK(BA685),"No Follow Up Needed",BA685)</f>
        <v>45858</v>
      </c>
      <c r="BC685" s="0" t="s">
        <v>63</v>
      </c>
      <c r="BD685" s="0" t="str">
        <f aca="false">PROPER(IF(ISBLANK(BC685),"Unknown",BC685))</f>
        <v>Yes</v>
      </c>
      <c r="BF685" s="0" t="str">
        <f aca="false">IF(ISBLANK(BE685),"No comments",BE685)</f>
        <v>No comments</v>
      </c>
      <c r="BG685" s="0" t="s">
        <v>172</v>
      </c>
      <c r="BH685" s="0" t="str">
        <f aca="false">IF(ISBLANK(BG685),"No comments",BG685)</f>
        <v>Always late</v>
      </c>
      <c r="BI685" s="0" t="s">
        <v>50</v>
      </c>
      <c r="BJ685" s="0" t="str">
        <f aca="false">IF(ISBLANK(BI685),"Not Mentioned",BI685)</f>
        <v>No</v>
      </c>
      <c r="BK685" s="0" t="s">
        <v>82</v>
      </c>
      <c r="BL685" s="0" t="str">
        <f aca="false">PROPER(IF(ISBLANK(BK685),"Not Mentioned",BK685))</f>
        <v>Yes</v>
      </c>
      <c r="BM685" s="0" t="s">
        <v>63</v>
      </c>
      <c r="BN685" s="0" t="str">
        <f aca="false">PROPER(IF(ISBLANK(BM685),"Not Mentioned",BM685))</f>
        <v>Yes</v>
      </c>
      <c r="BO685" s="0" t="s">
        <v>64</v>
      </c>
      <c r="BP685" s="0" t="str">
        <f aca="false">IF(ISBLANK(BO685),"One-Time Plan",BO685)</f>
        <v>Gold Maintenance Plan</v>
      </c>
      <c r="BQ685" s="0" t="s">
        <v>50</v>
      </c>
      <c r="BR685" s="0" t="str">
        <f aca="false">PROPER(IF(ISBLANK(BQ685),"No",BQ685))</f>
        <v>No</v>
      </c>
    </row>
    <row r="686" customFormat="false" ht="15" hidden="false" customHeight="false" outlineLevel="0" collapsed="false">
      <c r="A686" s="0" t="s">
        <v>1665</v>
      </c>
      <c r="B686" s="2" t="n">
        <v>45800</v>
      </c>
      <c r="C686" s="2" t="str">
        <f aca="false">TEXT(B686,"dd/mm/yyyy")</f>
        <v>23/05/2025</v>
      </c>
      <c r="D686" s="0" t="s">
        <v>42</v>
      </c>
      <c r="E686" s="0" t="n">
        <v>8037430524</v>
      </c>
      <c r="F686" s="0" t="s">
        <v>67</v>
      </c>
      <c r="G686" s="0" t="s">
        <v>2316</v>
      </c>
      <c r="H686" s="0" t="s">
        <v>1666</v>
      </c>
      <c r="I686" s="0" t="s">
        <v>45</v>
      </c>
      <c r="J686" s="0" t="s">
        <v>2317</v>
      </c>
      <c r="K686" s="3" t="str">
        <f aca="false" t="array" ref="K686:K686">IFERROR(IF(J686&lt;&gt;"",J686,INDEX(J686:J1685,MATCH(1,(F686:F1685=F686)*(I686:I1685=I686)*(L686:L1685=L686)*(J686:J1685&lt;&gt;""),0))),"Not Found")</f>
        <v>Suspension Noise</v>
      </c>
      <c r="L686" s="3" t="s">
        <v>89</v>
      </c>
      <c r="M686" s="0" t="str">
        <f aca="false">PROPER(L686)</f>
        <v>Shock Absorbers</v>
      </c>
      <c r="O686" s="0" t="e">
        <f aca="false" t="array" ref="O686:O686">IF(N686&lt;&gt;"",N686,_xlfn.xlookup(1,(L686:L1685=L686)*(N686:N1685&lt;&gt;""),N686:N1685,"Not Found"))</f>
        <v>#NAME?</v>
      </c>
      <c r="P686" s="4" t="n">
        <v>71257</v>
      </c>
      <c r="Q686" s="0" t="s">
        <v>49</v>
      </c>
      <c r="R686" s="0" t="str">
        <f aca="false">PROPER(Q686)</f>
        <v>Transfer</v>
      </c>
      <c r="S686" s="0" t="s">
        <v>63</v>
      </c>
      <c r="T686" s="0" t="n">
        <v>4</v>
      </c>
      <c r="U686" s="5" t="n">
        <f aca="false">IF(ISBLANK(T686),AVERAGE(T686:T1685),T686)</f>
        <v>4</v>
      </c>
      <c r="V686" s="0" t="n">
        <v>4</v>
      </c>
      <c r="W686" s="0" t="s">
        <v>125</v>
      </c>
      <c r="X686" s="0" t="str">
        <f aca="false">IF(ISBLANK(W686),"No remarks",W686)</f>
        <v>Customer waited</v>
      </c>
      <c r="Y686" s="0" t="s">
        <v>93</v>
      </c>
      <c r="Z686" s="0" t="s">
        <v>53</v>
      </c>
      <c r="AA686" s="0" t="str">
        <f aca="false">PROPER(IF(ISBLANK(Z686),"Location Unavailable",Z686))</f>
        <v>Main Bay</v>
      </c>
      <c r="AB686" s="0" t="s">
        <v>54</v>
      </c>
      <c r="AC686" s="6" t="str">
        <f aca="false">PROPER(AB686)</f>
        <v>Mechanic Referral</v>
      </c>
      <c r="AD686" s="6" t="n">
        <v>30</v>
      </c>
      <c r="AE686" s="5" t="n">
        <f aca="false">IF(ISBLANK(AD686),AVERAGEIF(L686:L1685,L686,AD686:AD1685),AD686)</f>
        <v>30</v>
      </c>
      <c r="AF686" s="0" t="s">
        <v>96</v>
      </c>
      <c r="AG686" s="0" t="str">
        <f aca="false">PROPER(AF686)</f>
        <v>Ordered</v>
      </c>
      <c r="AH686" s="0" t="s">
        <v>148</v>
      </c>
      <c r="AI686" s="0" t="s">
        <v>98</v>
      </c>
      <c r="AJ686" s="0" t="str">
        <f aca="false">PROPER(AI686)</f>
        <v>Emergency</v>
      </c>
      <c r="AK686" s="0" t="s">
        <v>196</v>
      </c>
      <c r="AL686" s="0" t="str">
        <f aca="false">PROPER(AK686)</f>
        <v>First Time</v>
      </c>
      <c r="AN686" s="0" t="str">
        <f aca="false">IF(ISBLANK(AM686),"Unknown",AM686)</f>
        <v>Unknown</v>
      </c>
      <c r="AO686" s="0" t="s">
        <v>143</v>
      </c>
      <c r="AP686" s="0" t="str">
        <f aca="false">IF(ISBLANK(AO686),"Unknown",AO686)</f>
        <v>Senior</v>
      </c>
      <c r="AR686" s="5" t="n">
        <f aca="false">IF(ISBLANK(AQ686),AVERAGEIF(M686:M1685,M686,AQ686:AQ1685),AQ686)</f>
        <v>24565.2173913043</v>
      </c>
      <c r="AS686" s="0" t="n">
        <v>30000</v>
      </c>
      <c r="AT686" s="5" t="n">
        <f aca="false">IF(ISBLANK(AS686),AVERAGE(AS686:AS1685),AS686)</f>
        <v>30000</v>
      </c>
      <c r="AU686" s="0" t="s">
        <v>50</v>
      </c>
      <c r="AV686" s="0" t="str">
        <f aca="false">PROPER(IF(ISBLANK(AU686),"No",AU686))</f>
        <v>No</v>
      </c>
      <c r="AW686" s="0" t="n">
        <v>10000</v>
      </c>
      <c r="AX686" s="5" t="n">
        <f aca="false">IF(ISBLANK(AW686),0,AW686)</f>
        <v>10000</v>
      </c>
      <c r="AY686" s="0" t="s">
        <v>60</v>
      </c>
      <c r="AZ686" s="0" t="str">
        <f aca="false">UPPER(IF(ISBLANK(AY686),"NONE",AY686))</f>
        <v>NONE</v>
      </c>
      <c r="BA686" s="7" t="s">
        <v>1667</v>
      </c>
      <c r="BB686" s="7" t="str">
        <f aca="false">IF(ISBLANK(BA686),"No Follow Up Needed",BA686)</f>
        <v>21/06/2025</v>
      </c>
      <c r="BC686" s="0" t="s">
        <v>50</v>
      </c>
      <c r="BD686" s="0" t="str">
        <f aca="false">PROPER(IF(ISBLANK(BC686),"Unknown",BC686))</f>
        <v>No</v>
      </c>
      <c r="BE686" s="0" t="s">
        <v>171</v>
      </c>
      <c r="BF686" s="0" t="str">
        <f aca="false">IF(ISBLANK(BE686),"No comments",BE686)</f>
        <v>Shock absorber weakening</v>
      </c>
      <c r="BG686" s="0" t="s">
        <v>172</v>
      </c>
      <c r="BH686" s="0" t="str">
        <f aca="false">IF(ISBLANK(BG686),"No comments",BG686)</f>
        <v>Always late</v>
      </c>
      <c r="BI686" s="0" t="s">
        <v>63</v>
      </c>
      <c r="BJ686" s="0" t="str">
        <f aca="false">IF(ISBLANK(BI686),"Not Mentioned",BI686)</f>
        <v>Yes</v>
      </c>
      <c r="BK686" s="0" t="s">
        <v>50</v>
      </c>
      <c r="BL686" s="0" t="str">
        <f aca="false">PROPER(IF(ISBLANK(BK686),"Not Mentioned",BK686))</f>
        <v>No</v>
      </c>
      <c r="BN686" s="0" t="str">
        <f aca="false">PROPER(IF(ISBLANK(BM686),"Not Mentioned",BM686))</f>
        <v>Not Mentioned</v>
      </c>
      <c r="BO686" s="0" t="s">
        <v>64</v>
      </c>
      <c r="BP686" s="0" t="str">
        <f aca="false">IF(ISBLANK(BO686),"One-Time Plan",BO686)</f>
        <v>Gold Maintenance Plan</v>
      </c>
      <c r="BQ686" s="0" t="s">
        <v>198</v>
      </c>
      <c r="BR686" s="0" t="str">
        <f aca="false">PROPER(IF(ISBLANK(BQ686),"No",BQ686))</f>
        <v>Followed Up</v>
      </c>
    </row>
    <row r="687" customFormat="false" ht="15" hidden="false" customHeight="false" outlineLevel="0" collapsed="false">
      <c r="A687" s="0" t="s">
        <v>1668</v>
      </c>
      <c r="B687" s="2" t="s">
        <v>458</v>
      </c>
      <c r="C687" s="2" t="str">
        <f aca="false">TEXT(B687,"dd/mm/yyyy")</f>
        <v>25/01/2025</v>
      </c>
      <c r="D687" s="0" t="s">
        <v>42</v>
      </c>
      <c r="E687" s="0" t="n">
        <v>8041717008</v>
      </c>
      <c r="F687" s="0" t="s">
        <v>67</v>
      </c>
      <c r="G687" s="0" t="s">
        <v>2316</v>
      </c>
      <c r="H687" s="0" t="s">
        <v>1669</v>
      </c>
      <c r="I687" s="0" t="s">
        <v>87</v>
      </c>
      <c r="K687" s="3" t="str">
        <f aca="false" t="array" ref="K687:K687">IFERROR(IF(J687&lt;&gt;"",J687,INDEX(J687:J1686,MATCH(1,(F687:F1686=F687)*(I687:I1686=I687)*(L687:L1686=L687)*(J687:J1686&lt;&gt;""),0))),"Not Found")</f>
        <v>Suspension Noise</v>
      </c>
      <c r="L687" s="3" t="s">
        <v>89</v>
      </c>
      <c r="M687" s="0" t="str">
        <f aca="false">PROPER(L687)</f>
        <v>Shock Absorbers</v>
      </c>
      <c r="O687" s="0" t="e">
        <f aca="false" t="array" ref="O687:O687">IF(N687&lt;&gt;"",N687,_xlfn.xlookup(1,(L687:L1686=L687)*(N687:N1686&lt;&gt;""),N687:N1686,"Not Found"))</f>
        <v>#NAME?</v>
      </c>
      <c r="P687" s="4" t="n">
        <v>26295</v>
      </c>
      <c r="Q687" s="0" t="s">
        <v>49</v>
      </c>
      <c r="R687" s="0" t="str">
        <f aca="false">PROPER(Q687)</f>
        <v>Transfer</v>
      </c>
      <c r="S687" s="0" t="s">
        <v>50</v>
      </c>
      <c r="U687" s="5" t="n">
        <f aca="false">IF(ISBLANK(T687),AVERAGE(T687:T1686),T687)</f>
        <v>3.14785992217899</v>
      </c>
      <c r="V687" s="0" t="n">
        <v>1.2</v>
      </c>
      <c r="X687" s="0" t="str">
        <f aca="false">IF(ISBLANK(W687),"No remarks",W687)</f>
        <v>No remarks</v>
      </c>
      <c r="Y687" s="0" t="s">
        <v>73</v>
      </c>
      <c r="AA687" s="0" t="str">
        <f aca="false">PROPER(IF(ISBLANK(Z687),"Location Unavailable",Z687))</f>
        <v>Location Unavailable</v>
      </c>
      <c r="AB687" s="0" t="s">
        <v>126</v>
      </c>
      <c r="AC687" s="6" t="str">
        <f aca="false">PROPER(AB687)</f>
        <v>Whatsapp</v>
      </c>
      <c r="AD687" s="6" t="n">
        <v>45</v>
      </c>
      <c r="AE687" s="5" t="n">
        <f aca="false">IF(ISBLANK(AD687),AVERAGEIF(L687:L1686,L687,AD687:AD1686),AD687)</f>
        <v>45</v>
      </c>
      <c r="AF687" s="0" t="s">
        <v>160</v>
      </c>
      <c r="AG687" s="0" t="str">
        <f aca="false">PROPER(AF687)</f>
        <v>Availaible</v>
      </c>
      <c r="AH687" s="0" t="s">
        <v>56</v>
      </c>
      <c r="AI687" s="0" t="s">
        <v>98</v>
      </c>
      <c r="AJ687" s="0" t="str">
        <f aca="false">PROPER(AI687)</f>
        <v>Emergency</v>
      </c>
      <c r="AK687" s="0" t="s">
        <v>58</v>
      </c>
      <c r="AL687" s="0" t="str">
        <f aca="false">PROPER(AK687)</f>
        <v>Fleet Owner</v>
      </c>
      <c r="AM687" s="0" t="s">
        <v>2324</v>
      </c>
      <c r="AN687" s="0" t="str">
        <f aca="false">IF(ISBLANK(AM687),"Unknown",AM687)</f>
        <v>Logistics Convoy</v>
      </c>
      <c r="AO687" s="0" t="s">
        <v>79</v>
      </c>
      <c r="AP687" s="0" t="str">
        <f aca="false">IF(ISBLANK(AO687),"Unknown",AO687)</f>
        <v>Specialist</v>
      </c>
      <c r="AQ687" s="0" t="n">
        <v>40000</v>
      </c>
      <c r="AR687" s="5" t="n">
        <f aca="false">IF(ISBLANK(AQ687),AVERAGEIF(M687:M1686,M687,AQ687:AQ1686),AQ687)</f>
        <v>40000</v>
      </c>
      <c r="AS687" s="0" t="n">
        <v>30000</v>
      </c>
      <c r="AT687" s="5" t="n">
        <f aca="false">IF(ISBLANK(AS687),AVERAGE(AS687:AS1686),AS687)</f>
        <v>30000</v>
      </c>
      <c r="AU687" s="0" t="s">
        <v>61</v>
      </c>
      <c r="AV687" s="0" t="str">
        <f aca="false">PROPER(IF(ISBLANK(AU687),"No",AU687))</f>
        <v>No</v>
      </c>
      <c r="AW687" s="0" t="n">
        <v>10000</v>
      </c>
      <c r="AX687" s="5" t="n">
        <f aca="false">IF(ISBLANK(AW687),0,AW687)</f>
        <v>10000</v>
      </c>
      <c r="AY687" s="0" t="s">
        <v>130</v>
      </c>
      <c r="AZ687" s="0" t="str">
        <f aca="false">UPPER(IF(ISBLANK(AY687),"NONE",AY687))</f>
        <v>LOYALTY10</v>
      </c>
      <c r="BA687" s="7" t="s">
        <v>513</v>
      </c>
      <c r="BB687" s="7" t="str">
        <f aca="false">IF(ISBLANK(BA687),"No Follow Up Needed",BA687)</f>
        <v>15/09/2025</v>
      </c>
      <c r="BC687" s="0" t="s">
        <v>50</v>
      </c>
      <c r="BD687" s="0" t="str">
        <f aca="false">PROPER(IF(ISBLANK(BC687),"Unknown",BC687))</f>
        <v>No</v>
      </c>
      <c r="BF687" s="0" t="str">
        <f aca="false">IF(ISBLANK(BE687),"No comments",BE687)</f>
        <v>No comments</v>
      </c>
      <c r="BH687" s="0" t="str">
        <f aca="false">IF(ISBLANK(BG687),"No comments",BG687)</f>
        <v>No comments</v>
      </c>
      <c r="BJ687" s="0" t="str">
        <f aca="false">IF(ISBLANK(BI687),"Not Mentioned",BI687)</f>
        <v>Not Mentioned</v>
      </c>
      <c r="BK687" s="0" t="s">
        <v>82</v>
      </c>
      <c r="BL687" s="0" t="str">
        <f aca="false">PROPER(IF(ISBLANK(BK687),"Not Mentioned",BK687))</f>
        <v>Yes</v>
      </c>
      <c r="BN687" s="0" t="str">
        <f aca="false">PROPER(IF(ISBLANK(BM687),"Not Mentioned",BM687))</f>
        <v>Not Mentioned</v>
      </c>
      <c r="BO687" s="0" t="s">
        <v>64</v>
      </c>
      <c r="BP687" s="0" t="str">
        <f aca="false">IF(ISBLANK(BO687),"One-Time Plan",BO687)</f>
        <v>Gold Maintenance Plan</v>
      </c>
      <c r="BQ687" s="0" t="s">
        <v>198</v>
      </c>
      <c r="BR687" s="0" t="str">
        <f aca="false">PROPER(IF(ISBLANK(BQ687),"No",BQ687))</f>
        <v>Followed Up</v>
      </c>
    </row>
    <row r="688" customFormat="false" ht="15" hidden="false" customHeight="false" outlineLevel="0" collapsed="false">
      <c r="A688" s="0" t="s">
        <v>1670</v>
      </c>
      <c r="B688" s="2" t="n">
        <v>45935</v>
      </c>
      <c r="C688" s="2" t="str">
        <f aca="false">TEXT(B688,"dd/mm/yyyy")</f>
        <v>05/10/2025</v>
      </c>
      <c r="D688" s="0" t="s">
        <v>42</v>
      </c>
      <c r="E688" s="0" t="n">
        <v>8078105370</v>
      </c>
      <c r="F688" s="0" t="s">
        <v>122</v>
      </c>
      <c r="G688" s="0" t="s">
        <v>2316</v>
      </c>
      <c r="H688" s="0" t="s">
        <v>1671</v>
      </c>
      <c r="I688" s="0" t="s">
        <v>87</v>
      </c>
      <c r="J688" s="0" t="s">
        <v>2317</v>
      </c>
      <c r="K688" s="3" t="str">
        <f aca="false" t="array" ref="K688:K688">IFERROR(IF(J688&lt;&gt;"",J688,INDEX(J688:J1687,MATCH(1,(F688:F1687=F688)*(I688:I1687=I688)*(L688:L1687=L688)*(J688:J1687&lt;&gt;""),0))),"Not Found")</f>
        <v>Suspension Noise</v>
      </c>
      <c r="L688" s="3" t="s">
        <v>142</v>
      </c>
      <c r="M688" s="0" t="str">
        <f aca="false">PROPER(L688)</f>
        <v>Oil Filter, Brake Pads</v>
      </c>
      <c r="N688" s="3" t="s">
        <v>109</v>
      </c>
      <c r="O688" s="0" t="str">
        <f aca="false" t="array" ref="O688:O688">IF(N688&lt;&gt;"",N688,_xlfn.xlookup(1,(L688:L1687=L688)*(N688:N1687&lt;&gt;""),N688:N1687,"Not Found"))</f>
        <v>Tijani</v>
      </c>
      <c r="P688" s="4" t="n">
        <v>43071</v>
      </c>
      <c r="Q688" s="0" t="s">
        <v>91</v>
      </c>
      <c r="R688" s="0" t="str">
        <f aca="false">PROPER(Q688)</f>
        <v>Pos</v>
      </c>
      <c r="S688" s="0" t="s">
        <v>63</v>
      </c>
      <c r="T688" s="0" t="n">
        <v>5</v>
      </c>
      <c r="U688" s="5" t="n">
        <f aca="false">IF(ISBLANK(T688),AVERAGE(T688:T1687),T688)</f>
        <v>5</v>
      </c>
      <c r="V688" s="0" t="n">
        <v>1.5</v>
      </c>
      <c r="W688" s="0" t="s">
        <v>51</v>
      </c>
      <c r="X688" s="0" t="str">
        <f aca="false">IF(ISBLANK(W688),"No remarks",W688)</f>
        <v>Recommended further checks</v>
      </c>
      <c r="Y688" s="0" t="s">
        <v>52</v>
      </c>
      <c r="AA688" s="0" t="str">
        <f aca="false">PROPER(IF(ISBLANK(Z688),"Location Unavailable",Z688))</f>
        <v>Location Unavailable</v>
      </c>
      <c r="AB688" s="0" t="s">
        <v>167</v>
      </c>
      <c r="AC688" s="6" t="str">
        <f aca="false">PROPER(AB688)</f>
        <v>Word Of Mouth</v>
      </c>
      <c r="AD688" s="6" t="n">
        <v>45</v>
      </c>
      <c r="AE688" s="5" t="n">
        <f aca="false">IF(ISBLANK(AD688),AVERAGEIF(L688:L1687,L688,AD688:AD1687),AD688)</f>
        <v>45</v>
      </c>
      <c r="AF688" s="0" t="s">
        <v>96</v>
      </c>
      <c r="AG688" s="0" t="str">
        <f aca="false">PROPER(AF688)</f>
        <v>Ordered</v>
      </c>
      <c r="AH688" s="0" t="s">
        <v>148</v>
      </c>
      <c r="AI688" s="0" t="s">
        <v>98</v>
      </c>
      <c r="AJ688" s="0" t="str">
        <f aca="false">PROPER(AI688)</f>
        <v>Emergency</v>
      </c>
      <c r="AK688" s="0" t="s">
        <v>114</v>
      </c>
      <c r="AL688" s="0" t="str">
        <f aca="false">PROPER(AK688)</f>
        <v>Returning</v>
      </c>
      <c r="AM688" s="0" t="s">
        <v>2324</v>
      </c>
      <c r="AN688" s="0" t="str">
        <f aca="false">IF(ISBLANK(AM688),"Unknown",AM688)</f>
        <v>Logistics Convoy</v>
      </c>
      <c r="AP688" s="0" t="str">
        <f aca="false">IF(ISBLANK(AO688),"Unknown",AO688)</f>
        <v>Unknown</v>
      </c>
      <c r="AR688" s="5" t="n">
        <f aca="false">IF(ISBLANK(AQ688),AVERAGEIF(M688:M1687,M688,AQ688:AQ1687),AQ688)</f>
        <v>27111.1111111111</v>
      </c>
      <c r="AT688" s="5" t="n">
        <f aca="false">IF(ISBLANK(AS688),AVERAGE(AS688:AS1687),AS688)</f>
        <v>31436.7816091954</v>
      </c>
      <c r="AU688" s="0" t="s">
        <v>82</v>
      </c>
      <c r="AV688" s="0" t="str">
        <f aca="false">PROPER(IF(ISBLANK(AU688),"No",AU688))</f>
        <v>Yes</v>
      </c>
      <c r="AW688" s="0" t="n">
        <v>5000</v>
      </c>
      <c r="AX688" s="5" t="n">
        <f aca="false">IF(ISBLANK(AW688),0,AW688)</f>
        <v>5000</v>
      </c>
      <c r="AY688" s="0" t="s">
        <v>80</v>
      </c>
      <c r="AZ688" s="0" t="str">
        <f aca="false">UPPER(IF(ISBLANK(AY688),"NONE",AY688))</f>
        <v>PROMO10</v>
      </c>
      <c r="BA688" s="7" t="n">
        <v>45913</v>
      </c>
      <c r="BB688" s="7" t="n">
        <f aca="false">IF(ISBLANK(BA688),"No Follow Up Needed",BA688)</f>
        <v>45913</v>
      </c>
      <c r="BC688" s="0" t="s">
        <v>50</v>
      </c>
      <c r="BD688" s="0" t="str">
        <f aca="false">PROPER(IF(ISBLANK(BC688),"Unknown",BC688))</f>
        <v>No</v>
      </c>
      <c r="BE688" s="0" t="s">
        <v>116</v>
      </c>
      <c r="BF688" s="0" t="str">
        <f aca="false">IF(ISBLANK(BE688),"No comments",BE688)</f>
        <v>Needs tire alignment</v>
      </c>
      <c r="BG688" s="0" t="s">
        <v>117</v>
      </c>
      <c r="BH688" s="0" t="str">
        <f aca="false">IF(ISBLANK(BG688),"No comments",BG688)</f>
        <v>Prefers morning</v>
      </c>
      <c r="BJ688" s="0" t="str">
        <f aca="false">IF(ISBLANK(BI688),"Not Mentioned",BI688)</f>
        <v>Not Mentioned</v>
      </c>
      <c r="BK688" s="0" t="s">
        <v>82</v>
      </c>
      <c r="BL688" s="0" t="str">
        <f aca="false">PROPER(IF(ISBLANK(BK688),"Not Mentioned",BK688))</f>
        <v>Yes</v>
      </c>
      <c r="BN688" s="0" t="str">
        <f aca="false">PROPER(IF(ISBLANK(BM688),"Not Mentioned",BM688))</f>
        <v>Not Mentioned</v>
      </c>
      <c r="BO688" s="0" t="s">
        <v>2318</v>
      </c>
      <c r="BP688" s="0" t="str">
        <f aca="false">IF(ISBLANK(BO688),"One-Time Plan",BO688)</f>
        <v>Gold</v>
      </c>
      <c r="BQ688" s="0" t="s">
        <v>63</v>
      </c>
      <c r="BR688" s="0" t="str">
        <f aca="false">PROPER(IF(ISBLANK(BQ688),"No",BQ688))</f>
        <v>Yes</v>
      </c>
    </row>
    <row r="689" customFormat="false" ht="15" hidden="false" customHeight="false" outlineLevel="0" collapsed="false">
      <c r="A689" s="0" t="s">
        <v>1672</v>
      </c>
      <c r="B689" s="2" t="n">
        <v>45818</v>
      </c>
      <c r="C689" s="2" t="str">
        <f aca="false">TEXT(B689,"dd/mm/yyyy")</f>
        <v>10/06/2025</v>
      </c>
      <c r="D689" s="0" t="s">
        <v>163</v>
      </c>
      <c r="E689" s="0" t="n">
        <v>8020491063</v>
      </c>
      <c r="F689" s="0" t="s">
        <v>67</v>
      </c>
      <c r="G689" s="0" t="s">
        <v>2316</v>
      </c>
      <c r="H689" s="0" t="s">
        <v>1673</v>
      </c>
      <c r="I689" s="0" t="s">
        <v>107</v>
      </c>
      <c r="K689" s="3" t="str">
        <f aca="false" t="array" ref="K689:K689">IFERROR(IF(J689&lt;&gt;"",J689,INDEX(J689:J1688,MATCH(1,(F689:F1688=F689)*(I689:I1688=I689)*(L689:L1688=L689)*(J689:J1688&lt;&gt;""),0))),"Not Found")</f>
        <v>Suspension Noise</v>
      </c>
      <c r="L689" s="3" t="s">
        <v>154</v>
      </c>
      <c r="M689" s="0" t="str">
        <f aca="false">PROPER(L689)</f>
        <v>Air Filter</v>
      </c>
      <c r="N689" s="3" t="s">
        <v>90</v>
      </c>
      <c r="O689" s="0" t="str">
        <f aca="false" t="array" ref="O689:O689">IF(N689&lt;&gt;"",N689,_xlfn.xlookup(1,(L689:L1688=L689)*(N689:N1688&lt;&gt;""),N689:N1688,"Not Found"))</f>
        <v>Musa</v>
      </c>
      <c r="P689" s="4" t="n">
        <v>14895</v>
      </c>
      <c r="Q689" s="0" t="s">
        <v>91</v>
      </c>
      <c r="R689" s="0" t="str">
        <f aca="false">PROPER(Q689)</f>
        <v>Pos</v>
      </c>
      <c r="S689" s="0" t="s">
        <v>50</v>
      </c>
      <c r="T689" s="0" t="n">
        <v>4</v>
      </c>
      <c r="U689" s="5" t="n">
        <f aca="false">IF(ISBLANK(T689),AVERAGE(T689:T1688),T689)</f>
        <v>4</v>
      </c>
      <c r="V689" s="0" t="n">
        <v>2.2</v>
      </c>
      <c r="W689" s="0" t="s">
        <v>51</v>
      </c>
      <c r="X689" s="0" t="str">
        <f aca="false">IF(ISBLANK(W689),"No remarks",W689)</f>
        <v>Recommended further checks</v>
      </c>
      <c r="Y689" s="0" t="s">
        <v>93</v>
      </c>
      <c r="Z689" s="0" t="s">
        <v>94</v>
      </c>
      <c r="AA689" s="0" t="str">
        <f aca="false">PROPER(IF(ISBLANK(Z689),"Location Unavailable",Z689))</f>
        <v>Vip Section</v>
      </c>
      <c r="AB689" s="0" t="s">
        <v>95</v>
      </c>
      <c r="AC689" s="6" t="str">
        <f aca="false">PROPER(AB689)</f>
        <v>Road Sign</v>
      </c>
      <c r="AD689" s="6" t="n">
        <v>60</v>
      </c>
      <c r="AE689" s="5" t="n">
        <f aca="false">IF(ISBLANK(AD689),AVERAGEIF(L689:L1688,L689,AD689:AD1688),AD689)</f>
        <v>60</v>
      </c>
      <c r="AF689" s="0" t="s">
        <v>76</v>
      </c>
      <c r="AG689" s="0" t="str">
        <f aca="false">PROPER(AF689)</f>
        <v>Orderd</v>
      </c>
      <c r="AH689" s="0" t="s">
        <v>155</v>
      </c>
      <c r="AI689" s="0" t="s">
        <v>78</v>
      </c>
      <c r="AJ689" s="0" t="str">
        <f aca="false">PROPER(AI689)</f>
        <v>Booking</v>
      </c>
      <c r="AK689" s="0" t="s">
        <v>196</v>
      </c>
      <c r="AL689" s="0" t="str">
        <f aca="false">PROPER(AK689)</f>
        <v>First Time</v>
      </c>
      <c r="AN689" s="0" t="str">
        <f aca="false">IF(ISBLANK(AM689),"Unknown",AM689)</f>
        <v>Unknown</v>
      </c>
      <c r="AO689" s="0" t="s">
        <v>143</v>
      </c>
      <c r="AP689" s="0" t="str">
        <f aca="false">IF(ISBLANK(AO689),"Unknown",AO689)</f>
        <v>Senior</v>
      </c>
      <c r="AQ689" s="0" t="n">
        <v>15000</v>
      </c>
      <c r="AR689" s="5" t="n">
        <f aca="false">IF(ISBLANK(AQ689),AVERAGEIF(M689:M1688,M689,AQ689:AQ1688),AQ689)</f>
        <v>15000</v>
      </c>
      <c r="AT689" s="5" t="n">
        <f aca="false">IF(ISBLANK(AS689),AVERAGE(AS689:AS1688),AS689)</f>
        <v>31436.7816091954</v>
      </c>
      <c r="AU689" s="0" t="s">
        <v>50</v>
      </c>
      <c r="AV689" s="0" t="str">
        <f aca="false">PROPER(IF(ISBLANK(AU689),"No",AU689))</f>
        <v>No</v>
      </c>
      <c r="AX689" s="5" t="n">
        <f aca="false">IF(ISBLANK(AW689),0,AW689)</f>
        <v>0</v>
      </c>
      <c r="AY689" s="0" t="s">
        <v>130</v>
      </c>
      <c r="AZ689" s="0" t="str">
        <f aca="false">UPPER(IF(ISBLANK(AY689),"NONE",AY689))</f>
        <v>LOYALTY10</v>
      </c>
      <c r="BA689" s="7" t="n">
        <v>45977</v>
      </c>
      <c r="BB689" s="7" t="n">
        <f aca="false">IF(ISBLANK(BA689),"No Follow Up Needed",BA689)</f>
        <v>45977</v>
      </c>
      <c r="BC689" s="0" t="s">
        <v>63</v>
      </c>
      <c r="BD689" s="0" t="str">
        <f aca="false">PROPER(IF(ISBLANK(BC689),"Unknown",BC689))</f>
        <v>Yes</v>
      </c>
      <c r="BF689" s="0" t="str">
        <f aca="false">IF(ISBLANK(BE689),"No comments",BE689)</f>
        <v>No comments</v>
      </c>
      <c r="BH689" s="0" t="str">
        <f aca="false">IF(ISBLANK(BG689),"No comments",BG689)</f>
        <v>No comments</v>
      </c>
      <c r="BI689" s="0" t="s">
        <v>50</v>
      </c>
      <c r="BJ689" s="0" t="str">
        <f aca="false">IF(ISBLANK(BI689),"Not Mentioned",BI689)</f>
        <v>No</v>
      </c>
      <c r="BL689" s="0" t="str">
        <f aca="false">PROPER(IF(ISBLANK(BK689),"Not Mentioned",BK689))</f>
        <v>Not Mentioned</v>
      </c>
      <c r="BM689" s="0" t="s">
        <v>50</v>
      </c>
      <c r="BN689" s="0" t="str">
        <f aca="false">PROPER(IF(ISBLANK(BM689),"Not Mentioned",BM689))</f>
        <v>No</v>
      </c>
      <c r="BO689" s="0" t="s">
        <v>2321</v>
      </c>
      <c r="BP689" s="0" t="str">
        <f aca="false">IF(ISBLANK(BO689),"One-Time Plan",BO689)</f>
        <v>One-Time Plan</v>
      </c>
      <c r="BQ689" s="0" t="s">
        <v>50</v>
      </c>
      <c r="BR689" s="0" t="str">
        <f aca="false">PROPER(IF(ISBLANK(BQ689),"No",BQ689))</f>
        <v>No</v>
      </c>
    </row>
    <row r="690" customFormat="false" ht="15" hidden="false" customHeight="false" outlineLevel="0" collapsed="false">
      <c r="A690" s="0" t="s">
        <v>1674</v>
      </c>
      <c r="B690" s="2" t="n">
        <v>45696</v>
      </c>
      <c r="C690" s="2" t="str">
        <f aca="false">TEXT(B690,"dd/mm/yyyy")</f>
        <v>08/02/2025</v>
      </c>
      <c r="D690" s="0" t="s">
        <v>105</v>
      </c>
      <c r="E690" s="0" t="n">
        <v>8067208939</v>
      </c>
      <c r="F690" s="0" t="s">
        <v>85</v>
      </c>
      <c r="G690" s="0" t="s">
        <v>2319</v>
      </c>
      <c r="H690" s="0" t="s">
        <v>1675</v>
      </c>
      <c r="I690" s="0" t="s">
        <v>69</v>
      </c>
      <c r="J690" s="0" t="s">
        <v>87</v>
      </c>
      <c r="K690" s="3" t="str">
        <f aca="false" t="array" ref="K690:K690">IFERROR(IF(J690&lt;&gt;"",J690,INDEX(J690:J1689,MATCH(1,(F690:F1689=F690)*(I690:I1689=I690)*(L690:L1689=L690)*(J690:J1689&lt;&gt;""),0))),"Not Found")</f>
        <v>Oil Change</v>
      </c>
      <c r="L690" s="3" t="s">
        <v>89</v>
      </c>
      <c r="M690" s="0" t="str">
        <f aca="false">PROPER(L690)</f>
        <v>Shock Absorbers</v>
      </c>
      <c r="N690" s="3" t="s">
        <v>71</v>
      </c>
      <c r="O690" s="0" t="str">
        <f aca="false" t="array" ref="O690:O690">IF(N690&lt;&gt;"",N690,_xlfn.xlookup(1,(L690:L1689=L690)*(N690:N1689&lt;&gt;""),N690:N1689,"Not Found"))</f>
        <v>Isaac Bobo</v>
      </c>
      <c r="P690" s="4" t="n">
        <v>12575</v>
      </c>
      <c r="Q690" s="0" t="s">
        <v>124</v>
      </c>
      <c r="R690" s="0" t="str">
        <f aca="false">PROPER(Q690)</f>
        <v>Cash</v>
      </c>
      <c r="S690" s="0" t="s">
        <v>50</v>
      </c>
      <c r="T690" s="0" t="n">
        <v>2</v>
      </c>
      <c r="U690" s="5" t="n">
        <f aca="false">IF(ISBLANK(T690),AVERAGE(T690:T1689),T690)</f>
        <v>2</v>
      </c>
      <c r="V690" s="0" t="n">
        <v>2.7</v>
      </c>
      <c r="W690" s="0" t="s">
        <v>51</v>
      </c>
      <c r="X690" s="0" t="str">
        <f aca="false">IF(ISBLANK(W690),"No remarks",W690)</f>
        <v>Recommended further checks</v>
      </c>
      <c r="Y690" s="0" t="s">
        <v>52</v>
      </c>
      <c r="AA690" s="0" t="str">
        <f aca="false">PROPER(IF(ISBLANK(Z690),"Location Unavailable",Z690))</f>
        <v>Location Unavailable</v>
      </c>
      <c r="AB690" s="0" t="s">
        <v>75</v>
      </c>
      <c r="AC690" s="6" t="str">
        <f aca="false">PROPER(AB690)</f>
        <v>Mechanik Referal</v>
      </c>
      <c r="AD690" s="6" t="n">
        <v>45</v>
      </c>
      <c r="AE690" s="5" t="n">
        <f aca="false">IF(ISBLANK(AD690),AVERAGEIF(L690:L1689,L690,AD690:AD1689),AD690)</f>
        <v>45</v>
      </c>
      <c r="AF690" s="0" t="s">
        <v>76</v>
      </c>
      <c r="AG690" s="0" t="str">
        <f aca="false">PROPER(AF690)</f>
        <v>Orderd</v>
      </c>
      <c r="AH690" s="0" t="s">
        <v>56</v>
      </c>
      <c r="AI690" s="0" t="s">
        <v>98</v>
      </c>
      <c r="AJ690" s="0" t="str">
        <f aca="false">PROPER(AI690)</f>
        <v>Emergency</v>
      </c>
      <c r="AK690" s="0" t="s">
        <v>114</v>
      </c>
      <c r="AL690" s="0" t="str">
        <f aca="false">PROPER(AK690)</f>
        <v>Returning</v>
      </c>
      <c r="AM690" s="0" t="s">
        <v>2326</v>
      </c>
      <c r="AN690" s="0" t="str">
        <f aca="false">IF(ISBLANK(AM690),"Unknown",AM690)</f>
        <v>Government Convoy</v>
      </c>
      <c r="AO690" s="0" t="s">
        <v>79</v>
      </c>
      <c r="AP690" s="0" t="str">
        <f aca="false">IF(ISBLANK(AO690),"Unknown",AO690)</f>
        <v>Specialist</v>
      </c>
      <c r="AQ690" s="0" t="n">
        <v>25000</v>
      </c>
      <c r="AR690" s="5" t="n">
        <f aca="false">IF(ISBLANK(AQ690),AVERAGEIF(M690:M1689,M690,AQ690:AQ1689),AQ690)</f>
        <v>25000</v>
      </c>
      <c r="AS690" s="0" t="n">
        <v>20000</v>
      </c>
      <c r="AT690" s="5" t="n">
        <f aca="false">IF(ISBLANK(AS690),AVERAGE(AS690:AS1689),AS690)</f>
        <v>20000</v>
      </c>
      <c r="AU690" s="0" t="s">
        <v>50</v>
      </c>
      <c r="AV690" s="0" t="str">
        <f aca="false">PROPER(IF(ISBLANK(AU690),"No",AU690))</f>
        <v>No</v>
      </c>
      <c r="AX690" s="5" t="n">
        <f aca="false">IF(ISBLANK(AW690),0,AW690)</f>
        <v>0</v>
      </c>
      <c r="AY690" s="0" t="s">
        <v>184</v>
      </c>
      <c r="AZ690" s="0" t="str">
        <f aca="false">UPPER(IF(ISBLANK(AY690),"NONE",AY690))</f>
        <v>N/A</v>
      </c>
      <c r="BA690" s="7" t="s">
        <v>974</v>
      </c>
      <c r="BB690" s="7" t="str">
        <f aca="false">IF(ISBLANK(BA690),"No Follow Up Needed",BA690)</f>
        <v>25/12/2025</v>
      </c>
      <c r="BC690" s="0" t="s">
        <v>61</v>
      </c>
      <c r="BD690" s="0" t="str">
        <f aca="false">PROPER(IF(ISBLANK(BC690),"Unknown",BC690))</f>
        <v>No</v>
      </c>
      <c r="BE690" s="0" t="s">
        <v>116</v>
      </c>
      <c r="BF690" s="0" t="str">
        <f aca="false">IF(ISBLANK(BE690),"No comments",BE690)</f>
        <v>Needs tire alignment</v>
      </c>
      <c r="BH690" s="0" t="str">
        <f aca="false">IF(ISBLANK(BG690),"No comments",BG690)</f>
        <v>No comments</v>
      </c>
      <c r="BI690" s="0" t="s">
        <v>63</v>
      </c>
      <c r="BJ690" s="0" t="str">
        <f aca="false">IF(ISBLANK(BI690),"Not Mentioned",BI690)</f>
        <v>Yes</v>
      </c>
      <c r="BK690" s="0" t="s">
        <v>61</v>
      </c>
      <c r="BL690" s="0" t="str">
        <f aca="false">PROPER(IF(ISBLANK(BK690),"Not Mentioned",BK690))</f>
        <v>No</v>
      </c>
      <c r="BM690" s="0" t="s">
        <v>63</v>
      </c>
      <c r="BN690" s="0" t="str">
        <f aca="false">PROPER(IF(ISBLANK(BM690),"Not Mentioned",BM690))</f>
        <v>Yes</v>
      </c>
      <c r="BP690" s="0" t="str">
        <f aca="false">IF(ISBLANK(BO690),"One-Time Plan",BO690)</f>
        <v>One-Time Plan</v>
      </c>
      <c r="BQ690" s="0" t="s">
        <v>50</v>
      </c>
      <c r="BR690" s="0" t="str">
        <f aca="false">PROPER(IF(ISBLANK(BQ690),"No",BQ690))</f>
        <v>No</v>
      </c>
    </row>
    <row r="691" customFormat="false" ht="15" hidden="false" customHeight="false" outlineLevel="0" collapsed="false">
      <c r="A691" s="0" t="s">
        <v>1676</v>
      </c>
      <c r="B691" s="2" t="n">
        <v>45779</v>
      </c>
      <c r="C691" s="2" t="str">
        <f aca="false">TEXT(B691,"dd/mm/yyyy")</f>
        <v>02/05/2025</v>
      </c>
      <c r="D691" s="0" t="s">
        <v>66</v>
      </c>
      <c r="E691" s="0" t="n">
        <v>8072689644</v>
      </c>
      <c r="F691" s="0" t="s">
        <v>67</v>
      </c>
      <c r="G691" s="0" t="s">
        <v>2316</v>
      </c>
      <c r="H691" s="0" t="s">
        <v>1677</v>
      </c>
      <c r="I691" s="0" t="s">
        <v>107</v>
      </c>
      <c r="J691" s="0" t="s">
        <v>2322</v>
      </c>
      <c r="K691" s="3" t="str">
        <f aca="false" t="array" ref="K691:K691">IFERROR(IF(J691&lt;&gt;"",J691,INDEX(J691:J1690,MATCH(1,(F691:F1690=F691)*(I691:I1690=I691)*(L691:L1690=L691)*(J691:J1690&lt;&gt;""),0))),"Not Found")</f>
        <v>Brake Failure</v>
      </c>
      <c r="L691" s="3" t="s">
        <v>89</v>
      </c>
      <c r="M691" s="0" t="str">
        <f aca="false">PROPER(L691)</f>
        <v>Shock Absorbers</v>
      </c>
      <c r="O691" s="0" t="e">
        <f aca="false" t="array" ref="O691:O691">IF(N691&lt;&gt;"",N691,_xlfn.xlookup(1,(L691:L1690=L691)*(N691:N1690&lt;&gt;""),N691:N1690,"Not Found"))</f>
        <v>#NAME?</v>
      </c>
      <c r="P691" s="4" t="n">
        <v>108175</v>
      </c>
      <c r="Q691" s="0" t="s">
        <v>72</v>
      </c>
      <c r="R691" s="0" t="str">
        <f aca="false">PROPER(Q691)</f>
        <v>Pos</v>
      </c>
      <c r="S691" s="0" t="s">
        <v>63</v>
      </c>
      <c r="T691" s="0" t="n">
        <v>3</v>
      </c>
      <c r="U691" s="5" t="n">
        <f aca="false">IF(ISBLANK(T691),AVERAGE(T691:T1690),T691)</f>
        <v>3</v>
      </c>
      <c r="V691" s="0" t="n">
        <v>5</v>
      </c>
      <c r="W691" s="0" t="s">
        <v>92</v>
      </c>
      <c r="X691" s="0" t="str">
        <f aca="false">IF(ISBLANK(W691),"No remarks",W691)</f>
        <v>Urgent service</v>
      </c>
      <c r="Y691" s="0" t="s">
        <v>73</v>
      </c>
      <c r="Z691" s="0" t="s">
        <v>159</v>
      </c>
      <c r="AA691" s="0" t="str">
        <f aca="false">PROPER(IF(ISBLANK(Z691),"Location Unavailable",Z691))</f>
        <v>Main Bay</v>
      </c>
      <c r="AB691" s="0" t="s">
        <v>167</v>
      </c>
      <c r="AC691" s="6" t="str">
        <f aca="false">PROPER(AB691)</f>
        <v>Word Of Mouth</v>
      </c>
      <c r="AD691" s="6" t="n">
        <v>30</v>
      </c>
      <c r="AE691" s="5" t="n">
        <f aca="false">IF(ISBLANK(AD691),AVERAGEIF(L691:L1690,L691,AD691:AD1690),AD691)</f>
        <v>30</v>
      </c>
      <c r="AF691" s="0" t="s">
        <v>76</v>
      </c>
      <c r="AG691" s="0" t="str">
        <f aca="false">PROPER(AF691)</f>
        <v>Orderd</v>
      </c>
      <c r="AH691" s="0" t="s">
        <v>56</v>
      </c>
      <c r="AI691" s="0" t="s">
        <v>78</v>
      </c>
      <c r="AJ691" s="0" t="str">
        <f aca="false">PROPER(AI691)</f>
        <v>Booking</v>
      </c>
      <c r="AK691" s="0" t="s">
        <v>196</v>
      </c>
      <c r="AL691" s="0" t="str">
        <f aca="false">PROPER(AK691)</f>
        <v>First Time</v>
      </c>
      <c r="AN691" s="0" t="str">
        <f aca="false">IF(ISBLANK(AM691),"Unknown",AM691)</f>
        <v>Unknown</v>
      </c>
      <c r="AP691" s="0" t="str">
        <f aca="false">IF(ISBLANK(AO691),"Unknown",AO691)</f>
        <v>Unknown</v>
      </c>
      <c r="AQ691" s="0" t="n">
        <v>25000</v>
      </c>
      <c r="AR691" s="5" t="n">
        <f aca="false">IF(ISBLANK(AQ691),AVERAGEIF(M691:M1690,M691,AQ691:AQ1690),AQ691)</f>
        <v>25000</v>
      </c>
      <c r="AS691" s="0" t="n">
        <v>35000</v>
      </c>
      <c r="AT691" s="5" t="n">
        <f aca="false">IF(ISBLANK(AS691),AVERAGE(AS691:AS1690),AS691)</f>
        <v>35000</v>
      </c>
      <c r="AU691" s="0" t="s">
        <v>63</v>
      </c>
      <c r="AV691" s="0" t="str">
        <f aca="false">PROPER(IF(ISBLANK(AU691),"No",AU691))</f>
        <v>Yes</v>
      </c>
      <c r="AW691" s="0" t="n">
        <v>5000</v>
      </c>
      <c r="AX691" s="5" t="n">
        <f aca="false">IF(ISBLANK(AW691),0,AW691)</f>
        <v>5000</v>
      </c>
      <c r="AY691" s="0" t="s">
        <v>184</v>
      </c>
      <c r="AZ691" s="0" t="str">
        <f aca="false">UPPER(IF(ISBLANK(AY691),"NONE",AY691))</f>
        <v>N/A</v>
      </c>
      <c r="BB691" s="7" t="str">
        <f aca="false">IF(ISBLANK(BA691),"No Follow Up Needed",BA691)</f>
        <v>No Follow Up Needed</v>
      </c>
      <c r="BC691" s="0" t="s">
        <v>63</v>
      </c>
      <c r="BD691" s="0" t="str">
        <f aca="false">PROPER(IF(ISBLANK(BC691),"Unknown",BC691))</f>
        <v>Yes</v>
      </c>
      <c r="BE691" s="0" t="s">
        <v>116</v>
      </c>
      <c r="BF691" s="0" t="str">
        <f aca="false">IF(ISBLANK(BE691),"No comments",BE691)</f>
        <v>Needs tire alignment</v>
      </c>
      <c r="BG691" s="0" t="s">
        <v>117</v>
      </c>
      <c r="BH691" s="0" t="str">
        <f aca="false">IF(ISBLANK(BG691),"No comments",BG691)</f>
        <v>Prefers morning</v>
      </c>
      <c r="BJ691" s="0" t="str">
        <f aca="false">IF(ISBLANK(BI691),"Not Mentioned",BI691)</f>
        <v>Not Mentioned</v>
      </c>
      <c r="BK691" s="0" t="s">
        <v>61</v>
      </c>
      <c r="BL691" s="0" t="str">
        <f aca="false">PROPER(IF(ISBLANK(BK691),"Not Mentioned",BK691))</f>
        <v>No</v>
      </c>
      <c r="BM691" s="0" t="s">
        <v>63</v>
      </c>
      <c r="BN691" s="0" t="str">
        <f aca="false">PROPER(IF(ISBLANK(BM691),"Not Mentioned",BM691))</f>
        <v>Yes</v>
      </c>
      <c r="BO691" s="0" t="s">
        <v>2321</v>
      </c>
      <c r="BP691" s="0" t="str">
        <f aca="false">IF(ISBLANK(BO691),"One-Time Plan",BO691)</f>
        <v>One-Time Plan</v>
      </c>
      <c r="BQ691" s="0" t="s">
        <v>50</v>
      </c>
      <c r="BR691" s="0" t="str">
        <f aca="false">PROPER(IF(ISBLANK(BQ691),"No",BQ691))</f>
        <v>No</v>
      </c>
    </row>
    <row r="692" customFormat="false" ht="15" hidden="false" customHeight="false" outlineLevel="0" collapsed="false">
      <c r="A692" s="0" t="s">
        <v>1678</v>
      </c>
      <c r="B692" s="2" t="s">
        <v>316</v>
      </c>
      <c r="C692" s="2" t="str">
        <f aca="false">TEXT(B692,"dd/mm/yyyy")</f>
        <v>14/01/2025</v>
      </c>
      <c r="D692" s="0" t="s">
        <v>105</v>
      </c>
      <c r="E692" s="0" t="n">
        <v>8051803852</v>
      </c>
      <c r="F692" s="0" t="s">
        <v>85</v>
      </c>
      <c r="G692" s="0" t="s">
        <v>2319</v>
      </c>
      <c r="H692" s="0" t="s">
        <v>1679</v>
      </c>
      <c r="I692" s="0" t="s">
        <v>69</v>
      </c>
      <c r="J692" s="0" t="s">
        <v>2322</v>
      </c>
      <c r="K692" s="3" t="str">
        <f aca="false" t="array" ref="K692:K692">IFERROR(IF(J692&lt;&gt;"",J692,INDEX(J692:J1691,MATCH(1,(F692:F1691=F692)*(I692:I1691=I692)*(L692:L1691=L692)*(J692:J1691&lt;&gt;""),0))),"Not Found")</f>
        <v>Brake Failure</v>
      </c>
      <c r="L692" s="3" t="s">
        <v>142</v>
      </c>
      <c r="M692" s="0" t="str">
        <f aca="false">PROPER(L692)</f>
        <v>Oil Filter, Brake Pads</v>
      </c>
      <c r="N692" s="3" t="s">
        <v>48</v>
      </c>
      <c r="O692" s="0" t="str">
        <f aca="false" t="array" ref="O692:O692">IF(N692&lt;&gt;"",N692,_xlfn.xlookup(1,(L692:L1691=L692)*(N692:N1691&lt;&gt;""),N692:N1691,"Not Found"))</f>
        <v>Uche</v>
      </c>
      <c r="P692" s="4" t="n">
        <v>95865</v>
      </c>
      <c r="Q692" s="0" t="s">
        <v>91</v>
      </c>
      <c r="R692" s="0" t="str">
        <f aca="false">PROPER(Q692)</f>
        <v>Pos</v>
      </c>
      <c r="S692" s="0" t="s">
        <v>63</v>
      </c>
      <c r="T692" s="0" t="n">
        <v>5</v>
      </c>
      <c r="U692" s="5" t="n">
        <f aca="false">IF(ISBLANK(T692),AVERAGE(T692:T1691),T692)</f>
        <v>5</v>
      </c>
      <c r="V692" s="0" t="n">
        <v>5.8</v>
      </c>
      <c r="W692" s="0" t="s">
        <v>92</v>
      </c>
      <c r="X692" s="0" t="str">
        <f aca="false">IF(ISBLANK(W692),"No remarks",W692)</f>
        <v>Urgent service</v>
      </c>
      <c r="Y692" s="0" t="s">
        <v>52</v>
      </c>
      <c r="Z692" s="0" t="s">
        <v>53</v>
      </c>
      <c r="AA692" s="0" t="str">
        <f aca="false">PROPER(IF(ISBLANK(Z692),"Location Unavailable",Z692))</f>
        <v>Main Bay</v>
      </c>
      <c r="AB692" s="0" t="s">
        <v>126</v>
      </c>
      <c r="AC692" s="6" t="str">
        <f aca="false">PROPER(AB692)</f>
        <v>Whatsapp</v>
      </c>
      <c r="AD692" s="6" t="n">
        <v>30</v>
      </c>
      <c r="AE692" s="5" t="n">
        <f aca="false">IF(ISBLANK(AD692),AVERAGEIF(L692:L1691,L692,AD692:AD1691),AD692)</f>
        <v>30</v>
      </c>
      <c r="AF692" s="0" t="s">
        <v>76</v>
      </c>
      <c r="AG692" s="0" t="str">
        <f aca="false">PROPER(AF692)</f>
        <v>Orderd</v>
      </c>
      <c r="AH692" s="0" t="s">
        <v>148</v>
      </c>
      <c r="AI692" s="0" t="s">
        <v>98</v>
      </c>
      <c r="AJ692" s="0" t="str">
        <f aca="false">PROPER(AI692)</f>
        <v>Emergency</v>
      </c>
      <c r="AK692" s="0" t="s">
        <v>196</v>
      </c>
      <c r="AL692" s="0" t="str">
        <f aca="false">PROPER(AK692)</f>
        <v>First Time</v>
      </c>
      <c r="AM692" s="0" t="s">
        <v>2326</v>
      </c>
      <c r="AN692" s="0" t="str">
        <f aca="false">IF(ISBLANK(AM692),"Unknown",AM692)</f>
        <v>Government Convoy</v>
      </c>
      <c r="AO692" s="0" t="s">
        <v>143</v>
      </c>
      <c r="AP692" s="0" t="str">
        <f aca="false">IF(ISBLANK(AO692),"Unknown",AO692)</f>
        <v>Senior</v>
      </c>
      <c r="AQ692" s="0" t="n">
        <v>25000</v>
      </c>
      <c r="AR692" s="5" t="n">
        <f aca="false">IF(ISBLANK(AQ692),AVERAGEIF(M692:M1691,M692,AQ692:AQ1691),AQ692)</f>
        <v>25000</v>
      </c>
      <c r="AT692" s="5" t="n">
        <f aca="false">IF(ISBLANK(AS692),AVERAGE(AS692:AS1691),AS692)</f>
        <v>31467.1814671815</v>
      </c>
      <c r="AV692" s="0" t="str">
        <f aca="false">PROPER(IF(ISBLANK(AU692),"No",AU692))</f>
        <v>No</v>
      </c>
      <c r="AW692" s="0" t="n">
        <v>10000</v>
      </c>
      <c r="AX692" s="5" t="n">
        <f aca="false">IF(ISBLANK(AW692),0,AW692)</f>
        <v>10000</v>
      </c>
      <c r="AY692" s="0" t="s">
        <v>80</v>
      </c>
      <c r="AZ692" s="0" t="str">
        <f aca="false">UPPER(IF(ISBLANK(AY692),"NONE",AY692))</f>
        <v>PROMO10</v>
      </c>
      <c r="BB692" s="7" t="str">
        <f aca="false">IF(ISBLANK(BA692),"No Follow Up Needed",BA692)</f>
        <v>No Follow Up Needed</v>
      </c>
      <c r="BC692" s="0" t="s">
        <v>63</v>
      </c>
      <c r="BD692" s="0" t="str">
        <f aca="false">PROPER(IF(ISBLANK(BC692),"Unknown",BC692))</f>
        <v>Yes</v>
      </c>
      <c r="BF692" s="0" t="str">
        <f aca="false">IF(ISBLANK(BE692),"No comments",BE692)</f>
        <v>No comments</v>
      </c>
      <c r="BH692" s="0" t="str">
        <f aca="false">IF(ISBLANK(BG692),"No comments",BG692)</f>
        <v>No comments</v>
      </c>
      <c r="BJ692" s="0" t="str">
        <f aca="false">IF(ISBLANK(BI692),"Not Mentioned",BI692)</f>
        <v>Not Mentioned</v>
      </c>
      <c r="BK692" s="0" t="s">
        <v>50</v>
      </c>
      <c r="BL692" s="0" t="str">
        <f aca="false">PROPER(IF(ISBLANK(BK692),"Not Mentioned",BK692))</f>
        <v>No</v>
      </c>
      <c r="BM692" s="0" t="s">
        <v>50</v>
      </c>
      <c r="BN692" s="0" t="str">
        <f aca="false">PROPER(IF(ISBLANK(BM692),"Not Mentioned",BM692))</f>
        <v>No</v>
      </c>
      <c r="BO692" s="0" t="s">
        <v>64</v>
      </c>
      <c r="BP692" s="0" t="str">
        <f aca="false">IF(ISBLANK(BO692),"One-Time Plan",BO692)</f>
        <v>Gold Maintenance Plan</v>
      </c>
      <c r="BR692" s="0" t="str">
        <f aca="false">PROPER(IF(ISBLANK(BQ692),"No",BQ692))</f>
        <v>No</v>
      </c>
    </row>
    <row r="693" customFormat="false" ht="15" hidden="false" customHeight="false" outlineLevel="0" collapsed="false">
      <c r="A693" s="0" t="s">
        <v>1680</v>
      </c>
      <c r="B693" s="2" t="s">
        <v>1358</v>
      </c>
      <c r="C693" s="2" t="str">
        <f aca="false">TEXT(B693,"dd/mm/yyyy")</f>
        <v>23/02/2025</v>
      </c>
      <c r="D693" s="0" t="s">
        <v>105</v>
      </c>
      <c r="E693" s="0" t="n">
        <v>8032033022</v>
      </c>
      <c r="F693" s="0" t="s">
        <v>122</v>
      </c>
      <c r="G693" s="0" t="s">
        <v>2316</v>
      </c>
      <c r="H693" s="0" t="s">
        <v>1681</v>
      </c>
      <c r="I693" s="0" t="s">
        <v>69</v>
      </c>
      <c r="J693" s="0" t="s">
        <v>2322</v>
      </c>
      <c r="K693" s="3" t="str">
        <f aca="false" t="array" ref="K693:K693">IFERROR(IF(J693&lt;&gt;"",J693,INDEX(J693:J1692,MATCH(1,(F693:F1692=F693)*(I693:I1692=I693)*(L693:L1692=L693)*(J693:J1692&lt;&gt;""),0))),"Not Found")</f>
        <v>Brake Failure</v>
      </c>
      <c r="L693" s="3" t="s">
        <v>47</v>
      </c>
      <c r="M693" s="0" t="str">
        <f aca="false">PROPER(L693)</f>
        <v>None</v>
      </c>
      <c r="O693" s="0" t="e">
        <f aca="false" t="array" ref="O693:O693">IF(N693&lt;&gt;"",N693,_xlfn.xlookup(1,(L693:L1692=L693)*(N693:N1692&lt;&gt;""),N693:N1692,"Not Found"))</f>
        <v>#NAME?</v>
      </c>
      <c r="P693" s="4" t="n">
        <v>44431</v>
      </c>
      <c r="Q693" s="0" t="s">
        <v>166</v>
      </c>
      <c r="R693" s="0" t="str">
        <f aca="false">PROPER(Q693)</f>
        <v>Transfer</v>
      </c>
      <c r="S693" s="0" t="s">
        <v>50</v>
      </c>
      <c r="T693" s="0" t="n">
        <v>3</v>
      </c>
      <c r="U693" s="5" t="n">
        <f aca="false">IF(ISBLANK(T693),AVERAGE(T693:T1692),T693)</f>
        <v>3</v>
      </c>
      <c r="V693" s="0" t="n">
        <v>1.1</v>
      </c>
      <c r="W693" s="0" t="s">
        <v>51</v>
      </c>
      <c r="X693" s="0" t="str">
        <f aca="false">IF(ISBLANK(W693),"No remarks",W693)</f>
        <v>Recommended further checks</v>
      </c>
      <c r="Y693" s="0" t="s">
        <v>93</v>
      </c>
      <c r="AA693" s="0" t="str">
        <f aca="false">PROPER(IF(ISBLANK(Z693),"Location Unavailable",Z693))</f>
        <v>Location Unavailable</v>
      </c>
      <c r="AB693" s="0" t="s">
        <v>126</v>
      </c>
      <c r="AC693" s="6" t="str">
        <f aca="false">PROPER(AB693)</f>
        <v>Whatsapp</v>
      </c>
      <c r="AE693" s="5" t="n">
        <f aca="false">IF(ISBLANK(AD693),AVERAGEIF(L693:L1692,L693,AD693:AD1692),AD693)</f>
        <v>37.1590909090909</v>
      </c>
      <c r="AF693" s="0" t="s">
        <v>55</v>
      </c>
      <c r="AG693" s="0" t="str">
        <f aca="false">PROPER(AF693)</f>
        <v>Available</v>
      </c>
      <c r="AH693" s="0" t="s">
        <v>155</v>
      </c>
      <c r="AI693" s="0" t="s">
        <v>128</v>
      </c>
      <c r="AJ693" s="0" t="str">
        <f aca="false">PROPER(AI693)</f>
        <v>Normal</v>
      </c>
      <c r="AK693" s="0" t="s">
        <v>196</v>
      </c>
      <c r="AL693" s="0" t="str">
        <f aca="false">PROPER(AK693)</f>
        <v>First Time</v>
      </c>
      <c r="AM693" s="0" t="s">
        <v>2324</v>
      </c>
      <c r="AN693" s="0" t="str">
        <f aca="false">IF(ISBLANK(AM693),"Unknown",AM693)</f>
        <v>Logistics Convoy</v>
      </c>
      <c r="AO693" s="0" t="s">
        <v>149</v>
      </c>
      <c r="AP693" s="0" t="str">
        <f aca="false">IF(ISBLANK(AO693),"Unknown",AO693)</f>
        <v>Senior </v>
      </c>
      <c r="AQ693" s="0" t="n">
        <v>20000</v>
      </c>
      <c r="AR693" s="5" t="n">
        <f aca="false">IF(ISBLANK(AQ693),AVERAGEIF(M693:M1692,M693,AQ693:AQ1692),AQ693)</f>
        <v>20000</v>
      </c>
      <c r="AS693" s="0" t="n">
        <v>30000</v>
      </c>
      <c r="AT693" s="5" t="n">
        <f aca="false">IF(ISBLANK(AS693),AVERAGE(AS693:AS1692),AS693)</f>
        <v>30000</v>
      </c>
      <c r="AU693" s="0" t="s">
        <v>63</v>
      </c>
      <c r="AV693" s="0" t="str">
        <f aca="false">PROPER(IF(ISBLANK(AU693),"No",AU693))</f>
        <v>Yes</v>
      </c>
      <c r="AW693" s="0" t="n">
        <v>10000</v>
      </c>
      <c r="AX693" s="5" t="n">
        <f aca="false">IF(ISBLANK(AW693),0,AW693)</f>
        <v>10000</v>
      </c>
      <c r="AZ693" s="0" t="str">
        <f aca="false">UPPER(IF(ISBLANK(AY693),"NONE",AY693))</f>
        <v>NONE</v>
      </c>
      <c r="BA693" s="7" t="s">
        <v>625</v>
      </c>
      <c r="BB693" s="7" t="str">
        <f aca="false">IF(ISBLANK(BA693),"No Follow Up Needed",BA693)</f>
        <v>18/08/2025</v>
      </c>
      <c r="BC693" s="0" t="s">
        <v>82</v>
      </c>
      <c r="BD693" s="0" t="str">
        <f aca="false">PROPER(IF(ISBLANK(BC693),"Unknown",BC693))</f>
        <v>Yes</v>
      </c>
      <c r="BE693" s="0" t="s">
        <v>171</v>
      </c>
      <c r="BF693" s="0" t="str">
        <f aca="false">IF(ISBLANK(BE693),"No comments",BE693)</f>
        <v>Shock absorber weakening</v>
      </c>
      <c r="BG693" s="0" t="s">
        <v>117</v>
      </c>
      <c r="BH693" s="0" t="str">
        <f aca="false">IF(ISBLANK(BG693),"No comments",BG693)</f>
        <v>Prefers morning</v>
      </c>
      <c r="BI693" s="0" t="s">
        <v>63</v>
      </c>
      <c r="BJ693" s="0" t="str">
        <f aca="false">IF(ISBLANK(BI693),"Not Mentioned",BI693)</f>
        <v>Yes</v>
      </c>
      <c r="BL693" s="0" t="str">
        <f aca="false">PROPER(IF(ISBLANK(BK693),"Not Mentioned",BK693))</f>
        <v>Not Mentioned</v>
      </c>
      <c r="BN693" s="0" t="str">
        <f aca="false">PROPER(IF(ISBLANK(BM693),"Not Mentioned",BM693))</f>
        <v>Not Mentioned</v>
      </c>
      <c r="BO693" s="0" t="s">
        <v>2318</v>
      </c>
      <c r="BP693" s="0" t="str">
        <f aca="false">IF(ISBLANK(BO693),"One-Time Plan",BO693)</f>
        <v>Gold</v>
      </c>
      <c r="BQ693" s="0" t="s">
        <v>50</v>
      </c>
      <c r="BR693" s="0" t="str">
        <f aca="false">PROPER(IF(ISBLANK(BQ693),"No",BQ693))</f>
        <v>No</v>
      </c>
    </row>
    <row r="694" customFormat="false" ht="15" hidden="false" customHeight="false" outlineLevel="0" collapsed="false">
      <c r="A694" s="0" t="s">
        <v>1682</v>
      </c>
      <c r="B694" s="2" t="n">
        <v>45743</v>
      </c>
      <c r="C694" s="2" t="str">
        <f aca="false">TEXT(B694,"dd/mm/yyyy")</f>
        <v>27/03/2025</v>
      </c>
      <c r="D694" s="0" t="s">
        <v>66</v>
      </c>
      <c r="E694" s="0" t="n">
        <v>8036512868</v>
      </c>
      <c r="F694" s="0" t="s">
        <v>85</v>
      </c>
      <c r="G694" s="0" t="s">
        <v>2319</v>
      </c>
      <c r="H694" s="0" t="s">
        <v>1683</v>
      </c>
      <c r="I694" s="0" t="s">
        <v>69</v>
      </c>
      <c r="J694" s="0" t="s">
        <v>87</v>
      </c>
      <c r="K694" s="3" t="str">
        <f aca="false" t="array" ref="K694:K694">IFERROR(IF(J694&lt;&gt;"",J694,INDEX(J694:J1693,MATCH(1,(F694:F1693=F694)*(I694:I1693=I694)*(L694:L1693=L694)*(J694:J1693&lt;&gt;""),0))),"Not Found")</f>
        <v>Oil Change</v>
      </c>
      <c r="L694" s="3" t="s">
        <v>89</v>
      </c>
      <c r="M694" s="0" t="str">
        <f aca="false">PROPER(L694)</f>
        <v>Shock Absorbers</v>
      </c>
      <c r="N694" s="3" t="s">
        <v>71</v>
      </c>
      <c r="O694" s="0" t="str">
        <f aca="false" t="array" ref="O694:O694">IF(N694&lt;&gt;"",N694,_xlfn.xlookup(1,(L694:L1693=L694)*(N694:N1693&lt;&gt;""),N694:N1693,"Not Found"))</f>
        <v>Isaac Bobo</v>
      </c>
      <c r="P694" s="4" t="n">
        <v>86751</v>
      </c>
      <c r="Q694" s="0" t="s">
        <v>110</v>
      </c>
      <c r="R694" s="0" t="str">
        <f aca="false">PROPER(Q694)</f>
        <v>Cash</v>
      </c>
      <c r="S694" s="0" t="s">
        <v>63</v>
      </c>
      <c r="U694" s="5" t="n">
        <f aca="false">IF(ISBLANK(T694),AVERAGE(T694:T1693),T694)</f>
        <v>3.13545816733068</v>
      </c>
      <c r="V694" s="0" t="n">
        <v>3.3</v>
      </c>
      <c r="W694" s="0" t="s">
        <v>125</v>
      </c>
      <c r="X694" s="0" t="str">
        <f aca="false">IF(ISBLANK(W694),"No remarks",W694)</f>
        <v>Customer waited</v>
      </c>
      <c r="Y694" s="0" t="s">
        <v>93</v>
      </c>
      <c r="Z694" s="0" t="s">
        <v>53</v>
      </c>
      <c r="AA694" s="0" t="str">
        <f aca="false">PROPER(IF(ISBLANK(Z694),"Location Unavailable",Z694))</f>
        <v>Main Bay</v>
      </c>
      <c r="AB694" s="0" t="s">
        <v>167</v>
      </c>
      <c r="AC694" s="6" t="str">
        <f aca="false">PROPER(AB694)</f>
        <v>Word Of Mouth</v>
      </c>
      <c r="AD694" s="6" t="n">
        <v>45</v>
      </c>
      <c r="AE694" s="5" t="n">
        <f aca="false">IF(ISBLANK(AD694),AVERAGEIF(L694:L1693,L694,AD694:AD1693),AD694)</f>
        <v>45</v>
      </c>
      <c r="AF694" s="0" t="s">
        <v>55</v>
      </c>
      <c r="AG694" s="0" t="str">
        <f aca="false">PROPER(AF694)</f>
        <v>Available</v>
      </c>
      <c r="AH694" s="0" t="s">
        <v>77</v>
      </c>
      <c r="AI694" s="0" t="s">
        <v>128</v>
      </c>
      <c r="AJ694" s="0" t="str">
        <f aca="false">PROPER(AI694)</f>
        <v>Normal</v>
      </c>
      <c r="AK694" s="0" t="s">
        <v>196</v>
      </c>
      <c r="AL694" s="0" t="str">
        <f aca="false">PROPER(AK694)</f>
        <v>First Time</v>
      </c>
      <c r="AM694" s="0" t="s">
        <v>2326</v>
      </c>
      <c r="AN694" s="0" t="str">
        <f aca="false">IF(ISBLANK(AM694),"Unknown",AM694)</f>
        <v>Government Convoy</v>
      </c>
      <c r="AP694" s="0" t="str">
        <f aca="false">IF(ISBLANK(AO694),"Unknown",AO694)</f>
        <v>Unknown</v>
      </c>
      <c r="AQ694" s="0" t="n">
        <v>40000</v>
      </c>
      <c r="AR694" s="5" t="n">
        <f aca="false">IF(ISBLANK(AQ694),AVERAGEIF(M694:M1693,M694,AQ694:AQ1693),AQ694)</f>
        <v>40000</v>
      </c>
      <c r="AS694" s="0" t="n">
        <v>40000</v>
      </c>
      <c r="AT694" s="5" t="n">
        <f aca="false">IF(ISBLANK(AS694),AVERAGE(AS694:AS1693),AS694)</f>
        <v>40000</v>
      </c>
      <c r="AU694" s="0" t="s">
        <v>82</v>
      </c>
      <c r="AV694" s="0" t="str">
        <f aca="false">PROPER(IF(ISBLANK(AU694),"No",AU694))</f>
        <v>Yes</v>
      </c>
      <c r="AW694" s="0" t="n">
        <v>5000</v>
      </c>
      <c r="AX694" s="5" t="n">
        <f aca="false">IF(ISBLANK(AW694),0,AW694)</f>
        <v>5000</v>
      </c>
      <c r="AY694" s="0" t="s">
        <v>184</v>
      </c>
      <c r="AZ694" s="0" t="str">
        <f aca="false">UPPER(IF(ISBLANK(AY694),"NONE",AY694))</f>
        <v>N/A</v>
      </c>
      <c r="BB694" s="7" t="str">
        <f aca="false">IF(ISBLANK(BA694),"No Follow Up Needed",BA694)</f>
        <v>No Follow Up Needed</v>
      </c>
      <c r="BD694" s="0" t="str">
        <f aca="false">PROPER(IF(ISBLANK(BC694),"Unknown",BC694))</f>
        <v>Unknown</v>
      </c>
      <c r="BF694" s="0" t="str">
        <f aca="false">IF(ISBLANK(BE694),"No comments",BE694)</f>
        <v>No comments</v>
      </c>
      <c r="BH694" s="0" t="str">
        <f aca="false">IF(ISBLANK(BG694),"No comments",BG694)</f>
        <v>No comments</v>
      </c>
      <c r="BI694" s="0" t="s">
        <v>50</v>
      </c>
      <c r="BJ694" s="0" t="str">
        <f aca="false">IF(ISBLANK(BI694),"Not Mentioned",BI694)</f>
        <v>No</v>
      </c>
      <c r="BK694" s="0" t="s">
        <v>63</v>
      </c>
      <c r="BL694" s="0" t="str">
        <f aca="false">PROPER(IF(ISBLANK(BK694),"Not Mentioned",BK694))</f>
        <v>Yes</v>
      </c>
      <c r="BM694" s="0" t="s">
        <v>63</v>
      </c>
      <c r="BN694" s="0" t="str">
        <f aca="false">PROPER(IF(ISBLANK(BM694),"Not Mentioned",BM694))</f>
        <v>Yes</v>
      </c>
      <c r="BO694" s="0" t="s">
        <v>2321</v>
      </c>
      <c r="BP694" s="0" t="str">
        <f aca="false">IF(ISBLANK(BO694),"One-Time Plan",BO694)</f>
        <v>One-Time Plan</v>
      </c>
      <c r="BQ694" s="0" t="s">
        <v>50</v>
      </c>
      <c r="BR694" s="0" t="str">
        <f aca="false">PROPER(IF(ISBLANK(BQ694),"No",BQ694))</f>
        <v>No</v>
      </c>
    </row>
    <row r="695" customFormat="false" ht="15" hidden="false" customHeight="false" outlineLevel="0" collapsed="false">
      <c r="A695" s="0" t="s">
        <v>1684</v>
      </c>
      <c r="B695" s="2" t="n">
        <v>45684</v>
      </c>
      <c r="C695" s="2" t="str">
        <f aca="false">TEXT(B695,"dd/mm/yyyy")</f>
        <v>27/01/2025</v>
      </c>
      <c r="D695" s="0" t="s">
        <v>42</v>
      </c>
      <c r="E695" s="0" t="n">
        <v>8042873271</v>
      </c>
      <c r="F695" s="0" t="s">
        <v>139</v>
      </c>
      <c r="G695" s="0" t="s">
        <v>2323</v>
      </c>
      <c r="H695" s="0" t="s">
        <v>1685</v>
      </c>
      <c r="I695" s="0" t="s">
        <v>107</v>
      </c>
      <c r="J695" s="0" t="s">
        <v>2325</v>
      </c>
      <c r="K695" s="3" t="str">
        <f aca="false" t="array" ref="K695:K695">IFERROR(IF(J695&lt;&gt;"",J695,INDEX(J695:J1694,MATCH(1,(F695:F1694=F695)*(I695:I1694=I695)*(L695:L1694=L695)*(J695:J1694&lt;&gt;""),0))),"Not Found")</f>
        <v>Engine Knocking</v>
      </c>
      <c r="L695" s="3" t="s">
        <v>89</v>
      </c>
      <c r="M695" s="0" t="str">
        <f aca="false">PROPER(L695)</f>
        <v>Shock Absorbers</v>
      </c>
      <c r="N695" s="3" t="s">
        <v>90</v>
      </c>
      <c r="O695" s="0" t="str">
        <f aca="false" t="array" ref="O695:O695">IF(N695&lt;&gt;"",N695,_xlfn.xlookup(1,(L695:L1694=L695)*(N695:N1694&lt;&gt;""),N695:N1694,"Not Found"))</f>
        <v>Musa</v>
      </c>
      <c r="P695" s="4" t="n">
        <v>40926</v>
      </c>
      <c r="Q695" s="0" t="s">
        <v>110</v>
      </c>
      <c r="R695" s="0" t="str">
        <f aca="false">PROPER(Q695)</f>
        <v>Cash</v>
      </c>
      <c r="S695" s="0" t="s">
        <v>50</v>
      </c>
      <c r="T695" s="0" t="n">
        <v>4</v>
      </c>
      <c r="U695" s="5" t="n">
        <f aca="false">IF(ISBLANK(T695),AVERAGE(T695:T1694),T695)</f>
        <v>4</v>
      </c>
      <c r="V695" s="0" t="n">
        <v>4.1</v>
      </c>
      <c r="W695" s="0" t="s">
        <v>125</v>
      </c>
      <c r="X695" s="0" t="str">
        <f aca="false">IF(ISBLANK(W695),"No remarks",W695)</f>
        <v>Customer waited</v>
      </c>
      <c r="Y695" s="0" t="s">
        <v>93</v>
      </c>
      <c r="Z695" s="0" t="s">
        <v>53</v>
      </c>
      <c r="AA695" s="0" t="str">
        <f aca="false">PROPER(IF(ISBLANK(Z695),"Location Unavailable",Z695))</f>
        <v>Main Bay</v>
      </c>
      <c r="AB695" s="0" t="s">
        <v>75</v>
      </c>
      <c r="AC695" s="6" t="str">
        <f aca="false">PROPER(AB695)</f>
        <v>Mechanik Referal</v>
      </c>
      <c r="AD695" s="6" t="n">
        <v>45</v>
      </c>
      <c r="AE695" s="5" t="n">
        <f aca="false">IF(ISBLANK(AD695),AVERAGEIF(L695:L1694,L695,AD695:AD1694),AD695)</f>
        <v>45</v>
      </c>
      <c r="AF695" s="0" t="s">
        <v>160</v>
      </c>
      <c r="AG695" s="0" t="str">
        <f aca="false">PROPER(AF695)</f>
        <v>Availaible</v>
      </c>
      <c r="AH695" s="0" t="s">
        <v>77</v>
      </c>
      <c r="AI695" s="0" t="s">
        <v>113</v>
      </c>
      <c r="AJ695" s="0" t="str">
        <f aca="false">PROPER(AI695)</f>
        <v>Normal</v>
      </c>
      <c r="AK695" s="0" t="s">
        <v>114</v>
      </c>
      <c r="AL695" s="0" t="str">
        <f aca="false">PROPER(AK695)</f>
        <v>Returning</v>
      </c>
      <c r="AM695" s="0" t="s">
        <v>177</v>
      </c>
      <c r="AN695" s="0" t="str">
        <f aca="false">IF(ISBLANK(AM695),"Unknown",AM695)</f>
        <v>Private</v>
      </c>
      <c r="AO695" s="0" t="s">
        <v>161</v>
      </c>
      <c r="AP695" s="0" t="str">
        <f aca="false">IF(ISBLANK(AO695),"Unknown",AO695)</f>
        <v>Apprentice</v>
      </c>
      <c r="AQ695" s="0" t="n">
        <v>25000</v>
      </c>
      <c r="AR695" s="5" t="n">
        <f aca="false">IF(ISBLANK(AQ695),AVERAGEIF(M695:M1694,M695,AQ695:AQ1694),AQ695)</f>
        <v>25000</v>
      </c>
      <c r="AS695" s="0" t="n">
        <v>35000</v>
      </c>
      <c r="AT695" s="5" t="n">
        <f aca="false">IF(ISBLANK(AS695),AVERAGE(AS695:AS1694),AS695)</f>
        <v>35000</v>
      </c>
      <c r="AU695" s="0" t="s">
        <v>61</v>
      </c>
      <c r="AV695" s="0" t="str">
        <f aca="false">PROPER(IF(ISBLANK(AU695),"No",AU695))</f>
        <v>No</v>
      </c>
      <c r="AW695" s="0" t="n">
        <v>10000</v>
      </c>
      <c r="AX695" s="5" t="n">
        <f aca="false">IF(ISBLANK(AW695),0,AW695)</f>
        <v>10000</v>
      </c>
      <c r="AY695" s="0" t="s">
        <v>60</v>
      </c>
      <c r="AZ695" s="0" t="str">
        <f aca="false">UPPER(IF(ISBLANK(AY695),"NONE",AY695))</f>
        <v>NONE</v>
      </c>
      <c r="BA695" s="7" t="n">
        <v>45859</v>
      </c>
      <c r="BB695" s="7" t="n">
        <f aca="false">IF(ISBLANK(BA695),"No Follow Up Needed",BA695)</f>
        <v>45859</v>
      </c>
      <c r="BC695" s="0" t="s">
        <v>50</v>
      </c>
      <c r="BD695" s="0" t="str">
        <f aca="false">PROPER(IF(ISBLANK(BC695),"Unknown",BC695))</f>
        <v>No</v>
      </c>
      <c r="BF695" s="0" t="str">
        <f aca="false">IF(ISBLANK(BE695),"No comments",BE695)</f>
        <v>No comments</v>
      </c>
      <c r="BH695" s="0" t="str">
        <f aca="false">IF(ISBLANK(BG695),"No comments",BG695)</f>
        <v>No comments</v>
      </c>
      <c r="BI695" s="0" t="s">
        <v>50</v>
      </c>
      <c r="BJ695" s="0" t="str">
        <f aca="false">IF(ISBLANK(BI695),"Not Mentioned",BI695)</f>
        <v>No</v>
      </c>
      <c r="BK695" s="0" t="s">
        <v>63</v>
      </c>
      <c r="BL695" s="0" t="str">
        <f aca="false">PROPER(IF(ISBLANK(BK695),"Not Mentioned",BK695))</f>
        <v>Yes</v>
      </c>
      <c r="BN695" s="0" t="str">
        <f aca="false">PROPER(IF(ISBLANK(BM695),"Not Mentioned",BM695))</f>
        <v>Not Mentioned</v>
      </c>
      <c r="BO695" s="0" t="s">
        <v>2318</v>
      </c>
      <c r="BP695" s="0" t="str">
        <f aca="false">IF(ISBLANK(BO695),"One-Time Plan",BO695)</f>
        <v>Gold</v>
      </c>
      <c r="BQ695" s="0" t="s">
        <v>198</v>
      </c>
      <c r="BR695" s="0" t="str">
        <f aca="false">PROPER(IF(ISBLANK(BQ695),"No",BQ695))</f>
        <v>Followed Up</v>
      </c>
    </row>
    <row r="696" customFormat="false" ht="15" hidden="false" customHeight="false" outlineLevel="0" collapsed="false">
      <c r="A696" s="0" t="s">
        <v>1686</v>
      </c>
      <c r="B696" s="2" t="n">
        <v>45782</v>
      </c>
      <c r="C696" s="2" t="str">
        <f aca="false">TEXT(B696,"dd/mm/yyyy")</f>
        <v>05/05/2025</v>
      </c>
      <c r="D696" s="0" t="s">
        <v>105</v>
      </c>
      <c r="E696" s="0" t="n">
        <v>8066910568</v>
      </c>
      <c r="F696" s="0" t="s">
        <v>85</v>
      </c>
      <c r="G696" s="0" t="s">
        <v>2319</v>
      </c>
      <c r="H696" s="0" t="s">
        <v>1687</v>
      </c>
      <c r="I696" s="0" t="s">
        <v>134</v>
      </c>
      <c r="J696" s="0" t="s">
        <v>2317</v>
      </c>
      <c r="K696" s="3" t="str">
        <f aca="false" t="array" ref="K696:K696">IFERROR(IF(J696&lt;&gt;"",J696,INDEX(J696:J1695,MATCH(1,(F696:F1695=F696)*(I696:I1695=I696)*(L696:L1695=L696)*(J696:J1695&lt;&gt;""),0))),"Not Found")</f>
        <v>Suspension Noise</v>
      </c>
      <c r="L696" s="3" t="s">
        <v>142</v>
      </c>
      <c r="M696" s="0" t="str">
        <f aca="false">PROPER(L696)</f>
        <v>Oil Filter, Brake Pads</v>
      </c>
      <c r="N696" s="3" t="s">
        <v>109</v>
      </c>
      <c r="O696" s="0" t="str">
        <f aca="false" t="array" ref="O696:O696">IF(N696&lt;&gt;"",N696,_xlfn.xlookup(1,(L696:L1695=L696)*(N696:N1695&lt;&gt;""),N696:N1695,"Not Found"))</f>
        <v>Tijani</v>
      </c>
      <c r="P696" s="4" t="n">
        <v>81287</v>
      </c>
      <c r="Q696" s="0" t="s">
        <v>110</v>
      </c>
      <c r="R696" s="0" t="str">
        <f aca="false">PROPER(Q696)</f>
        <v>Cash</v>
      </c>
      <c r="S696" s="0" t="s">
        <v>63</v>
      </c>
      <c r="U696" s="5" t="n">
        <f aca="false">IF(ISBLANK(T696),AVERAGE(T696:T1695),T696)</f>
        <v>3.132</v>
      </c>
      <c r="V696" s="0" t="n">
        <v>1.4</v>
      </c>
      <c r="W696" s="0" t="s">
        <v>92</v>
      </c>
      <c r="X696" s="0" t="str">
        <f aca="false">IF(ISBLANK(W696),"No remarks",W696)</f>
        <v>Urgent service</v>
      </c>
      <c r="Y696" s="0" t="s">
        <v>93</v>
      </c>
      <c r="Z696" s="0" t="s">
        <v>94</v>
      </c>
      <c r="AA696" s="0" t="str">
        <f aca="false">PROPER(IF(ISBLANK(Z696),"Location Unavailable",Z696))</f>
        <v>Vip Section</v>
      </c>
      <c r="AB696" s="0" t="s">
        <v>147</v>
      </c>
      <c r="AC696" s="6" t="str">
        <f aca="false">PROPER(AB696)</f>
        <v>Instagram</v>
      </c>
      <c r="AD696" s="6" t="n">
        <v>15</v>
      </c>
      <c r="AE696" s="5" t="n">
        <f aca="false">IF(ISBLANK(AD696),AVERAGEIF(L696:L1695,L696,AD696:AD1695),AD696)</f>
        <v>15</v>
      </c>
      <c r="AF696" s="0" t="s">
        <v>112</v>
      </c>
      <c r="AG696" s="0" t="str">
        <f aca="false">PROPER(AF696)</f>
        <v>Unavailable</v>
      </c>
      <c r="AH696" s="0" t="s">
        <v>155</v>
      </c>
      <c r="AI696" s="0" t="s">
        <v>113</v>
      </c>
      <c r="AJ696" s="0" t="str">
        <f aca="false">PROPER(AI696)</f>
        <v>Normal</v>
      </c>
      <c r="AK696" s="0" t="s">
        <v>99</v>
      </c>
      <c r="AL696" s="0" t="str">
        <f aca="false">PROPER(AK696)</f>
        <v>Uber Driver</v>
      </c>
      <c r="AN696" s="0" t="str">
        <f aca="false">IF(ISBLANK(AM696),"Unknown",AM696)</f>
        <v>Unknown</v>
      </c>
      <c r="AP696" s="0" t="str">
        <f aca="false">IF(ISBLANK(AO696),"Unknown",AO696)</f>
        <v>Unknown</v>
      </c>
      <c r="AQ696" s="0" t="n">
        <v>40000</v>
      </c>
      <c r="AR696" s="5" t="n">
        <f aca="false">IF(ISBLANK(AQ696),AVERAGEIF(M696:M1695,M696,AQ696:AQ1695),AQ696)</f>
        <v>40000</v>
      </c>
      <c r="AS696" s="0" t="n">
        <v>30000</v>
      </c>
      <c r="AT696" s="5" t="n">
        <f aca="false">IF(ISBLANK(AS696),AVERAGE(AS696:AS1695),AS696)</f>
        <v>30000</v>
      </c>
      <c r="AU696" s="0" t="s">
        <v>63</v>
      </c>
      <c r="AV696" s="0" t="str">
        <f aca="false">PROPER(IF(ISBLANK(AU696),"No",AU696))</f>
        <v>Yes</v>
      </c>
      <c r="AW696" s="0" t="n">
        <v>10000</v>
      </c>
      <c r="AX696" s="5" t="n">
        <f aca="false">IF(ISBLANK(AW696),0,AW696)</f>
        <v>10000</v>
      </c>
      <c r="AY696" s="0" t="s">
        <v>130</v>
      </c>
      <c r="AZ696" s="0" t="str">
        <f aca="false">UPPER(IF(ISBLANK(AY696),"NONE",AY696))</f>
        <v>LOYALTY10</v>
      </c>
      <c r="BA696" s="7" t="n">
        <v>45915</v>
      </c>
      <c r="BB696" s="7" t="n">
        <f aca="false">IF(ISBLANK(BA696),"No Follow Up Needed",BA696)</f>
        <v>45915</v>
      </c>
      <c r="BC696" s="0" t="s">
        <v>50</v>
      </c>
      <c r="BD696" s="0" t="str">
        <f aca="false">PROPER(IF(ISBLANK(BC696),"Unknown",BC696))</f>
        <v>No</v>
      </c>
      <c r="BE696" s="0" t="s">
        <v>116</v>
      </c>
      <c r="BF696" s="0" t="str">
        <f aca="false">IF(ISBLANK(BE696),"No comments",BE696)</f>
        <v>Needs tire alignment</v>
      </c>
      <c r="BG696" s="0" t="s">
        <v>2320</v>
      </c>
      <c r="BH696" s="0" t="str">
        <f aca="false">IF(ISBLANK(BG696),"No comments",BG696)</f>
        <v>No complaints</v>
      </c>
      <c r="BI696" s="0" t="s">
        <v>63</v>
      </c>
      <c r="BJ696" s="0" t="str">
        <f aca="false">IF(ISBLANK(BI696),"Not Mentioned",BI696)</f>
        <v>Yes</v>
      </c>
      <c r="BK696" s="0" t="s">
        <v>63</v>
      </c>
      <c r="BL696" s="0" t="str">
        <f aca="false">PROPER(IF(ISBLANK(BK696),"Not Mentioned",BK696))</f>
        <v>Yes</v>
      </c>
      <c r="BM696" s="0" t="s">
        <v>63</v>
      </c>
      <c r="BN696" s="0" t="str">
        <f aca="false">PROPER(IF(ISBLANK(BM696),"Not Mentioned",BM696))</f>
        <v>Yes</v>
      </c>
      <c r="BO696" s="0" t="s">
        <v>64</v>
      </c>
      <c r="BP696" s="0" t="str">
        <f aca="false">IF(ISBLANK(BO696),"One-Time Plan",BO696)</f>
        <v>Gold Maintenance Plan</v>
      </c>
      <c r="BQ696" s="0" t="s">
        <v>190</v>
      </c>
      <c r="BR696" s="0" t="str">
        <f aca="false">PROPER(IF(ISBLANK(BQ696),"No",BQ696))</f>
        <v>Yes</v>
      </c>
    </row>
    <row r="697" customFormat="false" ht="15" hidden="false" customHeight="false" outlineLevel="0" collapsed="false">
      <c r="A697" s="0" t="s">
        <v>1688</v>
      </c>
      <c r="B697" s="2" t="n">
        <v>45718</v>
      </c>
      <c r="C697" s="2" t="str">
        <f aca="false">TEXT(B697,"dd/mm/yyyy")</f>
        <v>02/03/2025</v>
      </c>
      <c r="D697" s="0" t="s">
        <v>66</v>
      </c>
      <c r="E697" s="0" t="n">
        <v>8033680772</v>
      </c>
      <c r="F697" s="0" t="s">
        <v>85</v>
      </c>
      <c r="G697" s="0" t="s">
        <v>2319</v>
      </c>
      <c r="H697" s="0" t="s">
        <v>1689</v>
      </c>
      <c r="I697" s="0" t="s">
        <v>87</v>
      </c>
      <c r="J697" s="0" t="s">
        <v>2322</v>
      </c>
      <c r="K697" s="3" t="str">
        <f aca="false" t="array" ref="K697:K697">IFERROR(IF(J697&lt;&gt;"",J697,INDEX(J697:J1696,MATCH(1,(F697:F1696=F697)*(I697:I1696=I697)*(L697:L1696=L697)*(J697:J1696&lt;&gt;""),0))),"Not Found")</f>
        <v>Brake Failure</v>
      </c>
      <c r="L697" s="3" t="s">
        <v>47</v>
      </c>
      <c r="M697" s="0" t="str">
        <f aca="false">PROPER(L697)</f>
        <v>None</v>
      </c>
      <c r="N697" s="3" t="s">
        <v>109</v>
      </c>
      <c r="O697" s="0" t="str">
        <f aca="false" t="array" ref="O697:O697">IF(N697&lt;&gt;"",N697,_xlfn.xlookup(1,(L697:L1696=L697)*(N697:N1696&lt;&gt;""),N697:N1696,"Not Found"))</f>
        <v>Tijani</v>
      </c>
      <c r="P697" s="4" t="n">
        <v>110699</v>
      </c>
      <c r="Q697" s="0" t="s">
        <v>49</v>
      </c>
      <c r="R697" s="0" t="str">
        <f aca="false">PROPER(Q697)</f>
        <v>Transfer</v>
      </c>
      <c r="S697" s="0" t="s">
        <v>63</v>
      </c>
      <c r="T697" s="0" t="n">
        <v>4</v>
      </c>
      <c r="U697" s="5" t="n">
        <f aca="false">IF(ISBLANK(T697),AVERAGE(T697:T1696),T697)</f>
        <v>4</v>
      </c>
      <c r="V697" s="0" t="n">
        <v>4.8</v>
      </c>
      <c r="X697" s="0" t="str">
        <f aca="false">IF(ISBLANK(W697),"No remarks",W697)</f>
        <v>No remarks</v>
      </c>
      <c r="Y697" s="0" t="s">
        <v>73</v>
      </c>
      <c r="Z697" s="0" t="s">
        <v>159</v>
      </c>
      <c r="AA697" s="0" t="str">
        <f aca="false">PROPER(IF(ISBLANK(Z697),"Location Unavailable",Z697))</f>
        <v>Main Bay</v>
      </c>
      <c r="AB697" s="0" t="s">
        <v>75</v>
      </c>
      <c r="AC697" s="6" t="str">
        <f aca="false">PROPER(AB697)</f>
        <v>Mechanik Referal</v>
      </c>
      <c r="AE697" s="5" t="n">
        <f aca="false">IF(ISBLANK(AD697),AVERAGEIF(L697:L1696,L697,AD697:AD1696),AD697)</f>
        <v>37.1590909090909</v>
      </c>
      <c r="AF697" s="0" t="s">
        <v>96</v>
      </c>
      <c r="AG697" s="0" t="str">
        <f aca="false">PROPER(AF697)</f>
        <v>Ordered</v>
      </c>
      <c r="AH697" s="0" t="s">
        <v>155</v>
      </c>
      <c r="AI697" s="0" t="s">
        <v>98</v>
      </c>
      <c r="AJ697" s="0" t="str">
        <f aca="false">PROPER(AI697)</f>
        <v>Emergency</v>
      </c>
      <c r="AK697" s="0" t="s">
        <v>99</v>
      </c>
      <c r="AL697" s="0" t="str">
        <f aca="false">PROPER(AK697)</f>
        <v>Uber Driver</v>
      </c>
      <c r="AN697" s="0" t="str">
        <f aca="false">IF(ISBLANK(AM697),"Unknown",AM697)</f>
        <v>Unknown</v>
      </c>
      <c r="AO697" s="0" t="s">
        <v>79</v>
      </c>
      <c r="AP697" s="0" t="str">
        <f aca="false">IF(ISBLANK(AO697),"Unknown",AO697)</f>
        <v>Specialist</v>
      </c>
      <c r="AQ697" s="0" t="n">
        <v>40000</v>
      </c>
      <c r="AR697" s="5" t="n">
        <f aca="false">IF(ISBLANK(AQ697),AVERAGEIF(M697:M1696,M697,AQ697:AQ1696),AQ697)</f>
        <v>40000</v>
      </c>
      <c r="AS697" s="0" t="n">
        <v>40000</v>
      </c>
      <c r="AT697" s="5" t="n">
        <f aca="false">IF(ISBLANK(AS697),AVERAGE(AS697:AS1696),AS697)</f>
        <v>40000</v>
      </c>
      <c r="AU697" s="0" t="s">
        <v>82</v>
      </c>
      <c r="AV697" s="0" t="str">
        <f aca="false">PROPER(IF(ISBLANK(AU697),"No",AU697))</f>
        <v>Yes</v>
      </c>
      <c r="AW697" s="0" t="n">
        <v>5000</v>
      </c>
      <c r="AX697" s="5" t="n">
        <f aca="false">IF(ISBLANK(AW697),0,AW697)</f>
        <v>5000</v>
      </c>
      <c r="AZ697" s="0" t="str">
        <f aca="false">UPPER(IF(ISBLANK(AY697),"NONE",AY697))</f>
        <v>NONE</v>
      </c>
      <c r="BA697" s="7" t="s">
        <v>1690</v>
      </c>
      <c r="BB697" s="7" t="str">
        <f aca="false">IF(ISBLANK(BA697),"No Follow Up Needed",BA697)</f>
        <v>15/10/2025</v>
      </c>
      <c r="BC697" s="0" t="s">
        <v>82</v>
      </c>
      <c r="BD697" s="0" t="str">
        <f aca="false">PROPER(IF(ISBLANK(BC697),"Unknown",BC697))</f>
        <v>Yes</v>
      </c>
      <c r="BE697" s="0" t="s">
        <v>116</v>
      </c>
      <c r="BF697" s="0" t="str">
        <f aca="false">IF(ISBLANK(BE697),"No comments",BE697)</f>
        <v>Needs tire alignment</v>
      </c>
      <c r="BG697" s="0" t="s">
        <v>117</v>
      </c>
      <c r="BH697" s="0" t="str">
        <f aca="false">IF(ISBLANK(BG697),"No comments",BG697)</f>
        <v>Prefers morning</v>
      </c>
      <c r="BI697" s="0" t="s">
        <v>50</v>
      </c>
      <c r="BJ697" s="0" t="str">
        <f aca="false">IF(ISBLANK(BI697),"Not Mentioned",BI697)</f>
        <v>No</v>
      </c>
      <c r="BK697" s="0" t="s">
        <v>82</v>
      </c>
      <c r="BL697" s="0" t="str">
        <f aca="false">PROPER(IF(ISBLANK(BK697),"Not Mentioned",BK697))</f>
        <v>Yes</v>
      </c>
      <c r="BN697" s="0" t="str">
        <f aca="false">PROPER(IF(ISBLANK(BM697),"Not Mentioned",BM697))</f>
        <v>Not Mentioned</v>
      </c>
      <c r="BO697" s="0" t="s">
        <v>2318</v>
      </c>
      <c r="BP697" s="0" t="str">
        <f aca="false">IF(ISBLANK(BO697),"One-Time Plan",BO697)</f>
        <v>Gold</v>
      </c>
      <c r="BQ697" s="0" t="s">
        <v>63</v>
      </c>
      <c r="BR697" s="0" t="str">
        <f aca="false">PROPER(IF(ISBLANK(BQ697),"No",BQ697))</f>
        <v>Yes</v>
      </c>
    </row>
    <row r="698" customFormat="false" ht="15" hidden="false" customHeight="false" outlineLevel="0" collapsed="false">
      <c r="A698" s="0" t="s">
        <v>1691</v>
      </c>
      <c r="B698" s="2" t="n">
        <v>45663</v>
      </c>
      <c r="C698" s="2" t="str">
        <f aca="false">TEXT(B698,"dd/mm/yyyy")</f>
        <v>06/01/2025</v>
      </c>
      <c r="D698" s="0" t="s">
        <v>121</v>
      </c>
      <c r="E698" s="0" t="n">
        <v>8091315976</v>
      </c>
      <c r="F698" s="0" t="s">
        <v>43</v>
      </c>
      <c r="G698" s="0" t="s">
        <v>2315</v>
      </c>
      <c r="H698" s="0" t="s">
        <v>1692</v>
      </c>
      <c r="I698" s="0" t="s">
        <v>69</v>
      </c>
      <c r="J698" s="0" t="s">
        <v>2322</v>
      </c>
      <c r="K698" s="3" t="str">
        <f aca="false" t="array" ref="K698:K698">IFERROR(IF(J698&lt;&gt;"",J698,INDEX(J698:J1697,MATCH(1,(F698:F1697=F698)*(I698:I1697=I698)*(L698:L1697=L698)*(J698:J1697&lt;&gt;""),0))),"Not Found")</f>
        <v>Brake Failure</v>
      </c>
      <c r="L698" s="3" t="s">
        <v>47</v>
      </c>
      <c r="M698" s="0" t="str">
        <f aca="false">PROPER(L698)</f>
        <v>None</v>
      </c>
      <c r="N698" s="3" t="s">
        <v>48</v>
      </c>
      <c r="O698" s="0" t="str">
        <f aca="false" t="array" ref="O698:O698">IF(N698&lt;&gt;"",N698,_xlfn.xlookup(1,(L698:L1697=L698)*(N698:N1697&lt;&gt;""),N698:N1697,"Not Found"))</f>
        <v>Uche</v>
      </c>
      <c r="P698" s="4" t="n">
        <v>82356</v>
      </c>
      <c r="Q698" s="0" t="s">
        <v>166</v>
      </c>
      <c r="R698" s="0" t="str">
        <f aca="false">PROPER(Q698)</f>
        <v>Transfer</v>
      </c>
      <c r="S698" s="0" t="s">
        <v>63</v>
      </c>
      <c r="T698" s="0" t="n">
        <v>3</v>
      </c>
      <c r="U698" s="5" t="n">
        <f aca="false">IF(ISBLANK(T698),AVERAGE(T698:T1697),T698)</f>
        <v>3</v>
      </c>
      <c r="V698" s="0" t="n">
        <v>1.2</v>
      </c>
      <c r="W698" s="0" t="s">
        <v>51</v>
      </c>
      <c r="X698" s="0" t="str">
        <f aca="false">IF(ISBLANK(W698),"No remarks",W698)</f>
        <v>Recommended further checks</v>
      </c>
      <c r="Y698" s="0" t="s">
        <v>93</v>
      </c>
      <c r="Z698" s="0" t="s">
        <v>136</v>
      </c>
      <c r="AA698" s="0" t="str">
        <f aca="false">PROPER(IF(ISBLANK(Z698),"Location Unavailable",Z698))</f>
        <v>Vip Section</v>
      </c>
      <c r="AB698" s="0" t="s">
        <v>54</v>
      </c>
      <c r="AC698" s="6" t="str">
        <f aca="false">PROPER(AB698)</f>
        <v>Mechanic Referral</v>
      </c>
      <c r="AD698" s="6" t="n">
        <v>30</v>
      </c>
      <c r="AE698" s="5" t="n">
        <f aca="false">IF(ISBLANK(AD698),AVERAGEIF(L698:L1697,L698,AD698:AD1697),AD698)</f>
        <v>30</v>
      </c>
      <c r="AF698" s="0" t="s">
        <v>112</v>
      </c>
      <c r="AG698" s="0" t="str">
        <f aca="false">PROPER(AF698)</f>
        <v>Unavailable</v>
      </c>
      <c r="AH698" s="0" t="s">
        <v>56</v>
      </c>
      <c r="AI698" s="0" t="s">
        <v>78</v>
      </c>
      <c r="AJ698" s="0" t="str">
        <f aca="false">PROPER(AI698)</f>
        <v>Booking</v>
      </c>
      <c r="AK698" s="0" t="s">
        <v>196</v>
      </c>
      <c r="AL698" s="0" t="str">
        <f aca="false">PROPER(AK698)</f>
        <v>First Time</v>
      </c>
      <c r="AN698" s="0" t="str">
        <f aca="false">IF(ISBLANK(AM698),"Unknown",AM698)</f>
        <v>Unknown</v>
      </c>
      <c r="AO698" s="0" t="s">
        <v>149</v>
      </c>
      <c r="AP698" s="0" t="str">
        <f aca="false">IF(ISBLANK(AO698),"Unknown",AO698)</f>
        <v>Senior </v>
      </c>
      <c r="AQ698" s="0" t="n">
        <v>40000</v>
      </c>
      <c r="AR698" s="5" t="n">
        <f aca="false">IF(ISBLANK(AQ698),AVERAGEIF(M698:M1697,M698,AQ698:AQ1697),AQ698)</f>
        <v>40000</v>
      </c>
      <c r="AS698" s="0" t="n">
        <v>30000</v>
      </c>
      <c r="AT698" s="5" t="n">
        <f aca="false">IF(ISBLANK(AS698),AVERAGE(AS698:AS1697),AS698)</f>
        <v>30000</v>
      </c>
      <c r="AU698" s="0" t="s">
        <v>50</v>
      </c>
      <c r="AV698" s="0" t="str">
        <f aca="false">PROPER(IF(ISBLANK(AU698),"No",AU698))</f>
        <v>No</v>
      </c>
      <c r="AW698" s="0" t="n">
        <v>5000</v>
      </c>
      <c r="AX698" s="5" t="n">
        <f aca="false">IF(ISBLANK(AW698),0,AW698)</f>
        <v>5000</v>
      </c>
      <c r="AY698" s="0" t="s">
        <v>80</v>
      </c>
      <c r="AZ698" s="0" t="str">
        <f aca="false">UPPER(IF(ISBLANK(AY698),"NONE",AY698))</f>
        <v>PROMO10</v>
      </c>
      <c r="BB698" s="7" t="str">
        <f aca="false">IF(ISBLANK(BA698),"No Follow Up Needed",BA698)</f>
        <v>No Follow Up Needed</v>
      </c>
      <c r="BC698" s="0" t="s">
        <v>63</v>
      </c>
      <c r="BD698" s="0" t="str">
        <f aca="false">PROPER(IF(ISBLANK(BC698),"Unknown",BC698))</f>
        <v>Yes</v>
      </c>
      <c r="BE698" s="0" t="s">
        <v>171</v>
      </c>
      <c r="BF698" s="0" t="str">
        <f aca="false">IF(ISBLANK(BE698),"No comments",BE698)</f>
        <v>Shock absorber weakening</v>
      </c>
      <c r="BH698" s="0" t="str">
        <f aca="false">IF(ISBLANK(BG698),"No comments",BG698)</f>
        <v>No comments</v>
      </c>
      <c r="BJ698" s="0" t="str">
        <f aca="false">IF(ISBLANK(BI698),"Not Mentioned",BI698)</f>
        <v>Not Mentioned</v>
      </c>
      <c r="BK698" s="0" t="s">
        <v>82</v>
      </c>
      <c r="BL698" s="0" t="str">
        <f aca="false">PROPER(IF(ISBLANK(BK698),"Not Mentioned",BK698))</f>
        <v>Yes</v>
      </c>
      <c r="BM698" s="0" t="s">
        <v>50</v>
      </c>
      <c r="BN698" s="0" t="str">
        <f aca="false">PROPER(IF(ISBLANK(BM698),"Not Mentioned",BM698))</f>
        <v>No</v>
      </c>
      <c r="BO698" s="0" t="s">
        <v>2321</v>
      </c>
      <c r="BP698" s="0" t="str">
        <f aca="false">IF(ISBLANK(BO698),"One-Time Plan",BO698)</f>
        <v>One-Time Plan</v>
      </c>
      <c r="BQ698" s="0" t="s">
        <v>50</v>
      </c>
      <c r="BR698" s="0" t="str">
        <f aca="false">PROPER(IF(ISBLANK(BQ698),"No",BQ698))</f>
        <v>No</v>
      </c>
    </row>
    <row r="699" customFormat="false" ht="15" hidden="false" customHeight="false" outlineLevel="0" collapsed="false">
      <c r="A699" s="0" t="s">
        <v>1693</v>
      </c>
      <c r="B699" s="2" t="n">
        <v>45765</v>
      </c>
      <c r="C699" s="2" t="str">
        <f aca="false">TEXT(B699,"dd/mm/yyyy")</f>
        <v>18/04/2025</v>
      </c>
      <c r="D699" s="0" t="s">
        <v>105</v>
      </c>
      <c r="E699" s="0" t="n">
        <v>8043416111</v>
      </c>
      <c r="F699" s="0" t="s">
        <v>43</v>
      </c>
      <c r="G699" s="0" t="s">
        <v>2315</v>
      </c>
      <c r="H699" s="0" t="s">
        <v>1694</v>
      </c>
      <c r="I699" s="0" t="s">
        <v>107</v>
      </c>
      <c r="J699" s="0" t="s">
        <v>2325</v>
      </c>
      <c r="K699" s="3" t="str">
        <f aca="false" t="array" ref="K699:K699">IFERROR(IF(J699&lt;&gt;"",J699,INDEX(J699:J1698,MATCH(1,(F699:F1698=F699)*(I699:I1698=I699)*(L699:L1698=L699)*(J699:J1698&lt;&gt;""),0))),"Not Found")</f>
        <v>Engine Knocking</v>
      </c>
      <c r="L699" s="3" t="s">
        <v>47</v>
      </c>
      <c r="M699" s="0" t="str">
        <f aca="false">PROPER(L699)</f>
        <v>None</v>
      </c>
      <c r="N699" s="3" t="s">
        <v>71</v>
      </c>
      <c r="O699" s="0" t="str">
        <f aca="false" t="array" ref="O699:O699">IF(N699&lt;&gt;"",N699,_xlfn.xlookup(1,(L699:L1698=L699)*(N699:N1698&lt;&gt;""),N699:N1698,"Not Found"))</f>
        <v>Isaac Bobo</v>
      </c>
      <c r="P699" s="4" t="n">
        <v>18905</v>
      </c>
      <c r="Q699" s="0" t="s">
        <v>110</v>
      </c>
      <c r="R699" s="0" t="str">
        <f aca="false">PROPER(Q699)</f>
        <v>Cash</v>
      </c>
      <c r="S699" s="0" t="s">
        <v>50</v>
      </c>
      <c r="T699" s="0" t="n">
        <v>4</v>
      </c>
      <c r="U699" s="5" t="n">
        <f aca="false">IF(ISBLANK(T699),AVERAGE(T699:T1698),T699)</f>
        <v>4</v>
      </c>
      <c r="V699" s="0" t="n">
        <v>3.3</v>
      </c>
      <c r="W699" s="0" t="s">
        <v>111</v>
      </c>
      <c r="X699" s="0" t="str">
        <f aca="false">IF(ISBLANK(W699),"No remarks",W699)</f>
        <v>Changed all filters</v>
      </c>
      <c r="Y699" s="0" t="s">
        <v>52</v>
      </c>
      <c r="Z699" s="0" t="s">
        <v>136</v>
      </c>
      <c r="AA699" s="0" t="str">
        <f aca="false">PROPER(IF(ISBLANK(Z699),"Location Unavailable",Z699))</f>
        <v>Vip Section</v>
      </c>
      <c r="AB699" s="0" t="s">
        <v>54</v>
      </c>
      <c r="AC699" s="6" t="str">
        <f aca="false">PROPER(AB699)</f>
        <v>Mechanic Referral</v>
      </c>
      <c r="AE699" s="5" t="n">
        <f aca="false">IF(ISBLANK(AD699),AVERAGEIF(L699:L1698,L699,AD699:AD1698),AD699)</f>
        <v>37.3255813953488</v>
      </c>
      <c r="AF699" s="0" t="s">
        <v>96</v>
      </c>
      <c r="AG699" s="0" t="str">
        <f aca="false">PROPER(AF699)</f>
        <v>Ordered</v>
      </c>
      <c r="AH699" s="0" t="s">
        <v>148</v>
      </c>
      <c r="AI699" s="0" t="s">
        <v>98</v>
      </c>
      <c r="AJ699" s="0" t="str">
        <f aca="false">PROPER(AI699)</f>
        <v>Emergency</v>
      </c>
      <c r="AK699" s="0" t="s">
        <v>58</v>
      </c>
      <c r="AL699" s="0" t="str">
        <f aca="false">PROPER(AK699)</f>
        <v>Fleet Owner</v>
      </c>
      <c r="AM699" s="0" t="s">
        <v>59</v>
      </c>
      <c r="AN699" s="0" t="str">
        <f aca="false">IF(ISBLANK(AM699),"Unknown",AM699)</f>
        <v>Bolt Driver</v>
      </c>
      <c r="AO699" s="0" t="s">
        <v>149</v>
      </c>
      <c r="AP699" s="0" t="str">
        <f aca="false">IF(ISBLANK(AO699),"Unknown",AO699)</f>
        <v>Senior </v>
      </c>
      <c r="AQ699" s="0" t="n">
        <v>15000</v>
      </c>
      <c r="AR699" s="5" t="n">
        <f aca="false">IF(ISBLANK(AQ699),AVERAGEIF(M699:M1698,M699,AQ699:AQ1698),AQ699)</f>
        <v>15000</v>
      </c>
      <c r="AS699" s="0" t="n">
        <v>30000</v>
      </c>
      <c r="AT699" s="5" t="n">
        <f aca="false">IF(ISBLANK(AS699),AVERAGE(AS699:AS1698),AS699)</f>
        <v>30000</v>
      </c>
      <c r="AU699" s="0" t="s">
        <v>61</v>
      </c>
      <c r="AV699" s="0" t="str">
        <f aca="false">PROPER(IF(ISBLANK(AU699),"No",AU699))</f>
        <v>No</v>
      </c>
      <c r="AW699" s="0" t="n">
        <v>0</v>
      </c>
      <c r="AX699" s="5" t="n">
        <f aca="false">IF(ISBLANK(AW699),0,AW699)</f>
        <v>0</v>
      </c>
      <c r="AZ699" s="0" t="str">
        <f aca="false">UPPER(IF(ISBLANK(AY699),"NONE",AY699))</f>
        <v>NONE</v>
      </c>
      <c r="BA699" s="7" t="n">
        <v>45923</v>
      </c>
      <c r="BB699" s="7" t="n">
        <f aca="false">IF(ISBLANK(BA699),"No Follow Up Needed",BA699)</f>
        <v>45923</v>
      </c>
      <c r="BD699" s="0" t="str">
        <f aca="false">PROPER(IF(ISBLANK(BC699),"Unknown",BC699))</f>
        <v>Unknown</v>
      </c>
      <c r="BE699" s="0" t="s">
        <v>171</v>
      </c>
      <c r="BF699" s="0" t="str">
        <f aca="false">IF(ISBLANK(BE699),"No comments",BE699)</f>
        <v>Shock absorber weakening</v>
      </c>
      <c r="BH699" s="0" t="str">
        <f aca="false">IF(ISBLANK(BG699),"No comments",BG699)</f>
        <v>No comments</v>
      </c>
      <c r="BI699" s="0" t="s">
        <v>50</v>
      </c>
      <c r="BJ699" s="0" t="str">
        <f aca="false">IF(ISBLANK(BI699),"Not Mentioned",BI699)</f>
        <v>No</v>
      </c>
      <c r="BK699" s="0" t="s">
        <v>50</v>
      </c>
      <c r="BL699" s="0" t="str">
        <f aca="false">PROPER(IF(ISBLANK(BK699),"Not Mentioned",BK699))</f>
        <v>No</v>
      </c>
      <c r="BN699" s="0" t="str">
        <f aca="false">PROPER(IF(ISBLANK(BM699),"Not Mentioned",BM699))</f>
        <v>Not Mentioned</v>
      </c>
      <c r="BO699" s="0" t="s">
        <v>64</v>
      </c>
      <c r="BP699" s="0" t="str">
        <f aca="false">IF(ISBLANK(BO699),"One-Time Plan",BO699)</f>
        <v>Gold Maintenance Plan</v>
      </c>
      <c r="BR699" s="0" t="str">
        <f aca="false">PROPER(IF(ISBLANK(BQ699),"No",BQ699))</f>
        <v>No</v>
      </c>
    </row>
    <row r="700" customFormat="false" ht="15" hidden="false" customHeight="false" outlineLevel="0" collapsed="false">
      <c r="A700" s="0" t="s">
        <v>1695</v>
      </c>
      <c r="B700" s="2" t="n">
        <v>45686</v>
      </c>
      <c r="C700" s="2" t="str">
        <f aca="false">TEXT(B700,"dd/mm/yyyy")</f>
        <v>29/01/2025</v>
      </c>
      <c r="D700" s="0" t="s">
        <v>42</v>
      </c>
      <c r="E700" s="0" t="n">
        <v>8050681488</v>
      </c>
      <c r="F700" s="0" t="s">
        <v>67</v>
      </c>
      <c r="G700" s="0" t="s">
        <v>2316</v>
      </c>
      <c r="H700" s="0" t="s">
        <v>1696</v>
      </c>
      <c r="I700" s="0" t="s">
        <v>45</v>
      </c>
      <c r="K700" s="3" t="str">
        <f aca="false" t="array" ref="K700:K700">IFERROR(IF(J700&lt;&gt;"",J700,INDEX(J700:J1699,MATCH(1,(F700:F1699=F700)*(I700:I1699=I700)*(L700:L1699=L700)*(J700:J1699&lt;&gt;""),0))),"Not Found")</f>
        <v>Brake Failure</v>
      </c>
      <c r="L700" s="3" t="s">
        <v>89</v>
      </c>
      <c r="M700" s="0" t="str">
        <f aca="false">PROPER(L700)</f>
        <v>Shock Absorbers</v>
      </c>
      <c r="N700" s="3" t="s">
        <v>48</v>
      </c>
      <c r="O700" s="0" t="str">
        <f aca="false" t="array" ref="O700:O700">IF(N700&lt;&gt;"",N700,_xlfn.xlookup(1,(L700:L1699=L700)*(N700:N1699&lt;&gt;""),N700:N1699,"Not Found"))</f>
        <v>Uche</v>
      </c>
      <c r="P700" s="4" t="n">
        <v>117550</v>
      </c>
      <c r="Q700" s="0" t="s">
        <v>124</v>
      </c>
      <c r="R700" s="0" t="str">
        <f aca="false">PROPER(Q700)</f>
        <v>Cash</v>
      </c>
      <c r="S700" s="0" t="s">
        <v>63</v>
      </c>
      <c r="U700" s="5" t="n">
        <f aca="false">IF(ISBLANK(T700),AVERAGE(T700:T1699),T700)</f>
        <v>3.12550607287449</v>
      </c>
      <c r="V700" s="0" t="n">
        <v>1.8</v>
      </c>
      <c r="W700" s="0" t="s">
        <v>92</v>
      </c>
      <c r="X700" s="0" t="str">
        <f aca="false">IF(ISBLANK(W700),"No remarks",W700)</f>
        <v>Urgent service</v>
      </c>
      <c r="Y700" s="0" t="s">
        <v>93</v>
      </c>
      <c r="Z700" s="0" t="s">
        <v>74</v>
      </c>
      <c r="AA700" s="0" t="str">
        <f aca="false">PROPER(IF(ISBLANK(Z700),"Location Unavailable",Z700))</f>
        <v>Under Tree</v>
      </c>
      <c r="AB700" s="0" t="s">
        <v>95</v>
      </c>
      <c r="AC700" s="6" t="str">
        <f aca="false">PROPER(AB700)</f>
        <v>Road Sign</v>
      </c>
      <c r="AE700" s="5" t="n">
        <f aca="false">IF(ISBLANK(AD700),AVERAGEIF(L700:L1699,L700,AD700:AD1699),AD700)</f>
        <v>39.5454545454546</v>
      </c>
      <c r="AF700" s="0" t="s">
        <v>76</v>
      </c>
      <c r="AG700" s="0" t="str">
        <f aca="false">PROPER(AF700)</f>
        <v>Orderd</v>
      </c>
      <c r="AH700" s="0" t="s">
        <v>155</v>
      </c>
      <c r="AI700" s="0" t="s">
        <v>113</v>
      </c>
      <c r="AJ700" s="0" t="str">
        <f aca="false">PROPER(AI700)</f>
        <v>Normal</v>
      </c>
      <c r="AK700" s="0" t="s">
        <v>196</v>
      </c>
      <c r="AL700" s="0" t="str">
        <f aca="false">PROPER(AK700)</f>
        <v>First Time</v>
      </c>
      <c r="AM700" s="0" t="s">
        <v>2324</v>
      </c>
      <c r="AN700" s="0" t="str">
        <f aca="false">IF(ISBLANK(AM700),"Unknown",AM700)</f>
        <v>Logistics Convoy</v>
      </c>
      <c r="AP700" s="0" t="str">
        <f aca="false">IF(ISBLANK(AO700),"Unknown",AO700)</f>
        <v>Unknown</v>
      </c>
      <c r="AQ700" s="0" t="n">
        <v>30000</v>
      </c>
      <c r="AR700" s="5" t="n">
        <f aca="false">IF(ISBLANK(AQ700),AVERAGEIF(M700:M1699,M700,AQ700:AQ1699),AQ700)</f>
        <v>30000</v>
      </c>
      <c r="AT700" s="5" t="n">
        <f aca="false">IF(ISBLANK(AS700),AVERAGE(AS700:AS1699),AS700)</f>
        <v>31408.7301587302</v>
      </c>
      <c r="AU700" s="0" t="s">
        <v>63</v>
      </c>
      <c r="AV700" s="0" t="str">
        <f aca="false">PROPER(IF(ISBLANK(AU700),"No",AU700))</f>
        <v>Yes</v>
      </c>
      <c r="AX700" s="5" t="n">
        <f aca="false">IF(ISBLANK(AW700),0,AW700)</f>
        <v>0</v>
      </c>
      <c r="AY700" s="0" t="s">
        <v>60</v>
      </c>
      <c r="AZ700" s="0" t="str">
        <f aca="false">UPPER(IF(ISBLANK(AY700),"NONE",AY700))</f>
        <v>NONE</v>
      </c>
      <c r="BA700" s="7" t="s">
        <v>131</v>
      </c>
      <c r="BB700" s="7" t="str">
        <f aca="false">IF(ISBLANK(BA700),"No Follow Up Needed",BA700)</f>
        <v>18/07/2025</v>
      </c>
      <c r="BC700" s="0" t="s">
        <v>50</v>
      </c>
      <c r="BD700" s="0" t="str">
        <f aca="false">PROPER(IF(ISBLANK(BC700),"Unknown",BC700))</f>
        <v>No</v>
      </c>
      <c r="BE700" s="0" t="s">
        <v>116</v>
      </c>
      <c r="BF700" s="0" t="str">
        <f aca="false">IF(ISBLANK(BE700),"No comments",BE700)</f>
        <v>Needs tire alignment</v>
      </c>
      <c r="BG700" s="0" t="s">
        <v>117</v>
      </c>
      <c r="BH700" s="0" t="str">
        <f aca="false">IF(ISBLANK(BG700),"No comments",BG700)</f>
        <v>Prefers morning</v>
      </c>
      <c r="BJ700" s="0" t="str">
        <f aca="false">IF(ISBLANK(BI700),"Not Mentioned",BI700)</f>
        <v>Not Mentioned</v>
      </c>
      <c r="BL700" s="0" t="str">
        <f aca="false">PROPER(IF(ISBLANK(BK700),"Not Mentioned",BK700))</f>
        <v>Not Mentioned</v>
      </c>
      <c r="BM700" s="0" t="s">
        <v>63</v>
      </c>
      <c r="BN700" s="0" t="str">
        <f aca="false">PROPER(IF(ISBLANK(BM700),"Not Mentioned",BM700))</f>
        <v>Yes</v>
      </c>
      <c r="BO700" s="0" t="s">
        <v>2321</v>
      </c>
      <c r="BP700" s="0" t="str">
        <f aca="false">IF(ISBLANK(BO700),"One-Time Plan",BO700)</f>
        <v>One-Time Plan</v>
      </c>
      <c r="BQ700" s="0" t="s">
        <v>63</v>
      </c>
      <c r="BR700" s="0" t="str">
        <f aca="false">PROPER(IF(ISBLANK(BQ700),"No",BQ700))</f>
        <v>Yes</v>
      </c>
    </row>
    <row r="701" customFormat="false" ht="15" hidden="false" customHeight="false" outlineLevel="0" collapsed="false">
      <c r="A701" s="0" t="s">
        <v>1697</v>
      </c>
      <c r="B701" s="2" t="s">
        <v>669</v>
      </c>
      <c r="C701" s="2" t="str">
        <f aca="false">TEXT(B701,"dd/mm/yyyy")</f>
        <v>16/04/2025</v>
      </c>
      <c r="D701" s="0" t="s">
        <v>163</v>
      </c>
      <c r="E701" s="0" t="n">
        <v>8048299416</v>
      </c>
      <c r="F701" s="0" t="s">
        <v>43</v>
      </c>
      <c r="G701" s="0" t="s">
        <v>2315</v>
      </c>
      <c r="H701" s="0" t="s">
        <v>1698</v>
      </c>
      <c r="I701" s="0" t="s">
        <v>45</v>
      </c>
      <c r="J701" s="0" t="s">
        <v>2325</v>
      </c>
      <c r="K701" s="3" t="str">
        <f aca="false" t="array" ref="K701:K701">IFERROR(IF(J701&lt;&gt;"",J701,INDEX(J701:J1700,MATCH(1,(F701:F1700=F701)*(I701:I1700=I701)*(L701:L1700=L701)*(J701:J1700&lt;&gt;""),0))),"Not Found")</f>
        <v>Engine Knocking</v>
      </c>
      <c r="L701" s="3" t="s">
        <v>154</v>
      </c>
      <c r="M701" s="0" t="str">
        <f aca="false">PROPER(L701)</f>
        <v>Air Filter</v>
      </c>
      <c r="N701" s="3" t="s">
        <v>71</v>
      </c>
      <c r="O701" s="0" t="str">
        <f aca="false" t="array" ref="O701:O701">IF(N701&lt;&gt;"",N701,_xlfn.xlookup(1,(L701:L1700=L701)*(N701:N1700&lt;&gt;""),N701:N1700,"Not Found"))</f>
        <v>Isaac Bobo</v>
      </c>
      <c r="P701" s="4" t="n">
        <v>103703</v>
      </c>
      <c r="Q701" s="0" t="s">
        <v>124</v>
      </c>
      <c r="R701" s="0" t="str">
        <f aca="false">PROPER(Q701)</f>
        <v>Cash</v>
      </c>
      <c r="S701" s="0" t="s">
        <v>50</v>
      </c>
      <c r="T701" s="0" t="n">
        <v>3</v>
      </c>
      <c r="U701" s="5" t="n">
        <f aca="false">IF(ISBLANK(T701),AVERAGE(T701:T1700),T701)</f>
        <v>3</v>
      </c>
      <c r="V701" s="0" t="n">
        <v>1.5</v>
      </c>
      <c r="W701" s="0" t="s">
        <v>51</v>
      </c>
      <c r="X701" s="0" t="str">
        <f aca="false">IF(ISBLANK(W701),"No remarks",W701)</f>
        <v>Recommended further checks</v>
      </c>
      <c r="Y701" s="0" t="s">
        <v>93</v>
      </c>
      <c r="Z701" s="0" t="s">
        <v>53</v>
      </c>
      <c r="AA701" s="0" t="str">
        <f aca="false">PROPER(IF(ISBLANK(Z701),"Location Unavailable",Z701))</f>
        <v>Main Bay</v>
      </c>
      <c r="AB701" s="0" t="s">
        <v>54</v>
      </c>
      <c r="AC701" s="6" t="str">
        <f aca="false">PROPER(AB701)</f>
        <v>Mechanic Referral</v>
      </c>
      <c r="AD701" s="6" t="n">
        <v>30</v>
      </c>
      <c r="AE701" s="5" t="n">
        <f aca="false">IF(ISBLANK(AD701),AVERAGEIF(L701:L1700,L701,AD701:AD1700),AD701)</f>
        <v>30</v>
      </c>
      <c r="AF701" s="0" t="s">
        <v>160</v>
      </c>
      <c r="AG701" s="0" t="str">
        <f aca="false">PROPER(AF701)</f>
        <v>Availaible</v>
      </c>
      <c r="AH701" s="0" t="s">
        <v>155</v>
      </c>
      <c r="AI701" s="0" t="s">
        <v>78</v>
      </c>
      <c r="AJ701" s="0" t="str">
        <f aca="false">PROPER(AI701)</f>
        <v>Booking</v>
      </c>
      <c r="AK701" s="0" t="s">
        <v>196</v>
      </c>
      <c r="AL701" s="0" t="str">
        <f aca="false">PROPER(AK701)</f>
        <v>First Time</v>
      </c>
      <c r="AM701" s="0" t="s">
        <v>2324</v>
      </c>
      <c r="AN701" s="0" t="str">
        <f aca="false">IF(ISBLANK(AM701),"Unknown",AM701)</f>
        <v>Logistics Convoy</v>
      </c>
      <c r="AO701" s="0" t="s">
        <v>79</v>
      </c>
      <c r="AP701" s="0" t="str">
        <f aca="false">IF(ISBLANK(AO701),"Unknown",AO701)</f>
        <v>Specialist</v>
      </c>
      <c r="AR701" s="5" t="n">
        <f aca="false">IF(ISBLANK(AQ701),AVERAGEIF(M701:M1700,M701,AQ701:AQ1700),AQ701)</f>
        <v>26216.2162162162</v>
      </c>
      <c r="AS701" s="0" t="n">
        <v>30000</v>
      </c>
      <c r="AT701" s="5" t="n">
        <f aca="false">IF(ISBLANK(AS701),AVERAGE(AS701:AS1700),AS701)</f>
        <v>30000</v>
      </c>
      <c r="AU701" s="0" t="s">
        <v>82</v>
      </c>
      <c r="AV701" s="0" t="str">
        <f aca="false">PROPER(IF(ISBLANK(AU701),"No",AU701))</f>
        <v>Yes</v>
      </c>
      <c r="AX701" s="5" t="n">
        <f aca="false">IF(ISBLANK(AW701),0,AW701)</f>
        <v>0</v>
      </c>
      <c r="AY701" s="0" t="s">
        <v>60</v>
      </c>
      <c r="AZ701" s="0" t="str">
        <f aca="false">UPPER(IF(ISBLANK(AY701),"NONE",AY701))</f>
        <v>NONE</v>
      </c>
      <c r="BA701" s="7" t="n">
        <v>45838</v>
      </c>
      <c r="BB701" s="7" t="n">
        <f aca="false">IF(ISBLANK(BA701),"No Follow Up Needed",BA701)</f>
        <v>45838</v>
      </c>
      <c r="BC701" s="0" t="s">
        <v>50</v>
      </c>
      <c r="BD701" s="0" t="str">
        <f aca="false">PROPER(IF(ISBLANK(BC701),"Unknown",BC701))</f>
        <v>No</v>
      </c>
      <c r="BF701" s="0" t="str">
        <f aca="false">IF(ISBLANK(BE701),"No comments",BE701)</f>
        <v>No comments</v>
      </c>
      <c r="BH701" s="0" t="str">
        <f aca="false">IF(ISBLANK(BG701),"No comments",BG701)</f>
        <v>No comments</v>
      </c>
      <c r="BI701" s="0" t="s">
        <v>50</v>
      </c>
      <c r="BJ701" s="0" t="str">
        <f aca="false">IF(ISBLANK(BI701),"Not Mentioned",BI701)</f>
        <v>No</v>
      </c>
      <c r="BL701" s="0" t="str">
        <f aca="false">PROPER(IF(ISBLANK(BK701),"Not Mentioned",BK701))</f>
        <v>Not Mentioned</v>
      </c>
      <c r="BM701" s="0" t="s">
        <v>63</v>
      </c>
      <c r="BN701" s="0" t="str">
        <f aca="false">PROPER(IF(ISBLANK(BM701),"Not Mentioned",BM701))</f>
        <v>Yes</v>
      </c>
      <c r="BO701" s="0" t="s">
        <v>64</v>
      </c>
      <c r="BP701" s="0" t="str">
        <f aca="false">IF(ISBLANK(BO701),"One-Time Plan",BO701)</f>
        <v>Gold Maintenance Plan</v>
      </c>
      <c r="BQ701" s="0" t="s">
        <v>63</v>
      </c>
      <c r="BR701" s="0" t="str">
        <f aca="false">PROPER(IF(ISBLANK(BQ701),"No",BQ701))</f>
        <v>Yes</v>
      </c>
    </row>
    <row r="702" customFormat="false" ht="15" hidden="false" customHeight="false" outlineLevel="0" collapsed="false">
      <c r="A702" s="0" t="s">
        <v>1699</v>
      </c>
      <c r="B702" s="2" t="n">
        <v>45778</v>
      </c>
      <c r="C702" s="2" t="str">
        <f aca="false">TEXT(B702,"dd/mm/yyyy")</f>
        <v>01/05/2025</v>
      </c>
      <c r="D702" s="0" t="s">
        <v>66</v>
      </c>
      <c r="E702" s="0" t="n">
        <v>8087366028</v>
      </c>
      <c r="F702" s="0" t="s">
        <v>43</v>
      </c>
      <c r="G702" s="0" t="s">
        <v>2315</v>
      </c>
      <c r="H702" s="0" t="s">
        <v>1076</v>
      </c>
      <c r="I702" s="0" t="s">
        <v>134</v>
      </c>
      <c r="J702" s="0" t="s">
        <v>2325</v>
      </c>
      <c r="K702" s="3" t="str">
        <f aca="false" t="array" ref="K702:K702">IFERROR(IF(J702&lt;&gt;"",J702,INDEX(J702:J1701,MATCH(1,(F702:F1701=F702)*(I702:I1701=I702)*(L702:L1701=L702)*(J702:J1701&lt;&gt;""),0))),"Not Found")</f>
        <v>Engine Knocking</v>
      </c>
      <c r="L702" s="3" t="s">
        <v>154</v>
      </c>
      <c r="M702" s="0" t="str">
        <f aca="false">PROPER(L702)</f>
        <v>Air Filter</v>
      </c>
      <c r="N702" s="3" t="s">
        <v>48</v>
      </c>
      <c r="O702" s="0" t="str">
        <f aca="false" t="array" ref="O702:O702">IF(N702&lt;&gt;"",N702,_xlfn.xlookup(1,(L702:L1701=L702)*(N702:N1701&lt;&gt;""),N702:N1701,"Not Found"))</f>
        <v>Uche</v>
      </c>
      <c r="P702" s="4" t="n">
        <v>83783</v>
      </c>
      <c r="Q702" s="0" t="s">
        <v>49</v>
      </c>
      <c r="R702" s="0" t="str">
        <f aca="false">PROPER(Q702)</f>
        <v>Transfer</v>
      </c>
      <c r="S702" s="0" t="s">
        <v>63</v>
      </c>
      <c r="U702" s="5" t="n">
        <f aca="false">IF(ISBLANK(T702),AVERAGE(T702:T1701),T702)</f>
        <v>3.1260162601626</v>
      </c>
      <c r="V702" s="0" t="n">
        <v>3.7</v>
      </c>
      <c r="X702" s="0" t="str">
        <f aca="false">IF(ISBLANK(W702),"No remarks",W702)</f>
        <v>No remarks</v>
      </c>
      <c r="Y702" s="0" t="s">
        <v>73</v>
      </c>
      <c r="Z702" s="0" t="s">
        <v>94</v>
      </c>
      <c r="AA702" s="0" t="str">
        <f aca="false">PROPER(IF(ISBLANK(Z702),"Location Unavailable",Z702))</f>
        <v>Vip Section</v>
      </c>
      <c r="AB702" s="0" t="s">
        <v>147</v>
      </c>
      <c r="AC702" s="6" t="str">
        <f aca="false">PROPER(AB702)</f>
        <v>Instagram</v>
      </c>
      <c r="AD702" s="6" t="n">
        <v>45</v>
      </c>
      <c r="AE702" s="5" t="n">
        <f aca="false">IF(ISBLANK(AD702),AVERAGEIF(L702:L1701,L702,AD702:AD1701),AD702)</f>
        <v>45</v>
      </c>
      <c r="AF702" s="0" t="s">
        <v>76</v>
      </c>
      <c r="AG702" s="0" t="str">
        <f aca="false">PROPER(AF702)</f>
        <v>Orderd</v>
      </c>
      <c r="AH702" s="0" t="s">
        <v>56</v>
      </c>
      <c r="AI702" s="0" t="s">
        <v>128</v>
      </c>
      <c r="AJ702" s="0" t="str">
        <f aca="false">PROPER(AI702)</f>
        <v>Normal</v>
      </c>
      <c r="AK702" s="0" t="s">
        <v>58</v>
      </c>
      <c r="AL702" s="0" t="str">
        <f aca="false">PROPER(AK702)</f>
        <v>Fleet Owner</v>
      </c>
      <c r="AM702" s="0" t="s">
        <v>2326</v>
      </c>
      <c r="AN702" s="0" t="str">
        <f aca="false">IF(ISBLANK(AM702),"Unknown",AM702)</f>
        <v>Government Convoy</v>
      </c>
      <c r="AO702" s="0" t="s">
        <v>143</v>
      </c>
      <c r="AP702" s="0" t="str">
        <f aca="false">IF(ISBLANK(AO702),"Unknown",AO702)</f>
        <v>Senior</v>
      </c>
      <c r="AQ702" s="0" t="n">
        <v>30000</v>
      </c>
      <c r="AR702" s="5" t="n">
        <f aca="false">IF(ISBLANK(AQ702),AVERAGEIF(M702:M1701,M702,AQ702:AQ1701),AQ702)</f>
        <v>30000</v>
      </c>
      <c r="AS702" s="0" t="n">
        <v>35000</v>
      </c>
      <c r="AT702" s="5" t="n">
        <f aca="false">IF(ISBLANK(AS702),AVERAGE(AS702:AS1701),AS702)</f>
        <v>35000</v>
      </c>
      <c r="AV702" s="0" t="str">
        <f aca="false">PROPER(IF(ISBLANK(AU702),"No",AU702))</f>
        <v>No</v>
      </c>
      <c r="AW702" s="0" t="n">
        <v>5000</v>
      </c>
      <c r="AX702" s="5" t="n">
        <f aca="false">IF(ISBLANK(AW702),0,AW702)</f>
        <v>5000</v>
      </c>
      <c r="AY702" s="0" t="s">
        <v>80</v>
      </c>
      <c r="AZ702" s="0" t="str">
        <f aca="false">UPPER(IF(ISBLANK(AY702),"NONE",AY702))</f>
        <v>PROMO10</v>
      </c>
      <c r="BB702" s="7" t="str">
        <f aca="false">IF(ISBLANK(BA702),"No Follow Up Needed",BA702)</f>
        <v>No Follow Up Needed</v>
      </c>
      <c r="BC702" s="0" t="s">
        <v>82</v>
      </c>
      <c r="BD702" s="0" t="str">
        <f aca="false">PROPER(IF(ISBLANK(BC702),"Unknown",BC702))</f>
        <v>Yes</v>
      </c>
      <c r="BF702" s="0" t="str">
        <f aca="false">IF(ISBLANK(BE702),"No comments",BE702)</f>
        <v>No comments</v>
      </c>
      <c r="BG702" s="0" t="s">
        <v>117</v>
      </c>
      <c r="BH702" s="0" t="str">
        <f aca="false">IF(ISBLANK(BG702),"No comments",BG702)</f>
        <v>Prefers morning</v>
      </c>
      <c r="BJ702" s="0" t="str">
        <f aca="false">IF(ISBLANK(BI702),"Not Mentioned",BI702)</f>
        <v>Not Mentioned</v>
      </c>
      <c r="BK702" s="0" t="s">
        <v>63</v>
      </c>
      <c r="BL702" s="0" t="str">
        <f aca="false">PROPER(IF(ISBLANK(BK702),"Not Mentioned",BK702))</f>
        <v>Yes</v>
      </c>
      <c r="BM702" s="0" t="s">
        <v>63</v>
      </c>
      <c r="BN702" s="0" t="str">
        <f aca="false">PROPER(IF(ISBLANK(BM702),"Not Mentioned",BM702))</f>
        <v>Yes</v>
      </c>
      <c r="BO702" s="0" t="s">
        <v>2318</v>
      </c>
      <c r="BP702" s="0" t="str">
        <f aca="false">IF(ISBLANK(BO702),"One-Time Plan",BO702)</f>
        <v>Gold</v>
      </c>
      <c r="BQ702" s="0" t="s">
        <v>190</v>
      </c>
      <c r="BR702" s="0" t="str">
        <f aca="false">PROPER(IF(ISBLANK(BQ702),"No",BQ702))</f>
        <v>Yes</v>
      </c>
    </row>
    <row r="703" customFormat="false" ht="15" hidden="false" customHeight="false" outlineLevel="0" collapsed="false">
      <c r="A703" s="0" t="s">
        <v>1700</v>
      </c>
      <c r="B703" s="2" t="n">
        <v>45782</v>
      </c>
      <c r="C703" s="2" t="str">
        <f aca="false">TEXT(B703,"dd/mm/yyyy")</f>
        <v>05/05/2025</v>
      </c>
      <c r="D703" s="0" t="s">
        <v>105</v>
      </c>
      <c r="E703" s="0" t="n">
        <v>8070165940</v>
      </c>
      <c r="F703" s="0" t="s">
        <v>85</v>
      </c>
      <c r="G703" s="0" t="s">
        <v>2319</v>
      </c>
      <c r="H703" s="0" t="s">
        <v>1701</v>
      </c>
      <c r="I703" s="0" t="s">
        <v>87</v>
      </c>
      <c r="J703" s="0" t="s">
        <v>2322</v>
      </c>
      <c r="K703" s="3" t="str">
        <f aca="false" t="array" ref="K703:K703">IFERROR(IF(J703&lt;&gt;"",J703,INDEX(J703:J1702,MATCH(1,(F703:F1702=F703)*(I703:I1702=I703)*(L703:L1702=L703)*(J703:J1702&lt;&gt;""),0))),"Not Found")</f>
        <v>Brake Failure</v>
      </c>
      <c r="L703" s="3" t="s">
        <v>142</v>
      </c>
      <c r="M703" s="0" t="str">
        <f aca="false">PROPER(L703)</f>
        <v>Oil Filter, Brake Pads</v>
      </c>
      <c r="N703" s="3" t="s">
        <v>90</v>
      </c>
      <c r="O703" s="0" t="str">
        <f aca="false" t="array" ref="O703:O703">IF(N703&lt;&gt;"",N703,_xlfn.xlookup(1,(L703:L1702=L703)*(N703:N1702&lt;&gt;""),N703:N1702,"Not Found"))</f>
        <v>Musa</v>
      </c>
      <c r="P703" s="4" t="n">
        <v>109259</v>
      </c>
      <c r="Q703" s="0" t="s">
        <v>110</v>
      </c>
      <c r="R703" s="0" t="str">
        <f aca="false">PROPER(Q703)</f>
        <v>Cash</v>
      </c>
      <c r="S703" s="0" t="s">
        <v>63</v>
      </c>
      <c r="T703" s="0" t="n">
        <v>1</v>
      </c>
      <c r="U703" s="5" t="n">
        <f aca="false">IF(ISBLANK(T703),AVERAGE(T703:T1702),T703)</f>
        <v>1</v>
      </c>
      <c r="V703" s="0" t="n">
        <v>2.9</v>
      </c>
      <c r="W703" s="0" t="s">
        <v>125</v>
      </c>
      <c r="X703" s="0" t="str">
        <f aca="false">IF(ISBLANK(W703),"No remarks",W703)</f>
        <v>Customer waited</v>
      </c>
      <c r="Y703" s="0" t="s">
        <v>93</v>
      </c>
      <c r="Z703" s="0" t="s">
        <v>53</v>
      </c>
      <c r="AA703" s="0" t="str">
        <f aca="false">PROPER(IF(ISBLANK(Z703),"Location Unavailable",Z703))</f>
        <v>Main Bay</v>
      </c>
      <c r="AB703" s="0" t="s">
        <v>167</v>
      </c>
      <c r="AC703" s="6" t="str">
        <f aca="false">PROPER(AB703)</f>
        <v>Word Of Mouth</v>
      </c>
      <c r="AD703" s="6" t="n">
        <v>45</v>
      </c>
      <c r="AE703" s="5" t="n">
        <f aca="false">IF(ISBLANK(AD703),AVERAGEIF(L703:L1702,L703,AD703:AD1702),AD703)</f>
        <v>45</v>
      </c>
      <c r="AF703" s="0" t="s">
        <v>96</v>
      </c>
      <c r="AG703" s="0" t="str">
        <f aca="false">PROPER(AF703)</f>
        <v>Ordered</v>
      </c>
      <c r="AH703" s="0" t="s">
        <v>155</v>
      </c>
      <c r="AI703" s="0" t="s">
        <v>78</v>
      </c>
      <c r="AJ703" s="0" t="str">
        <f aca="false">PROPER(AI703)</f>
        <v>Booking</v>
      </c>
      <c r="AK703" s="0" t="s">
        <v>99</v>
      </c>
      <c r="AL703" s="0" t="str">
        <f aca="false">PROPER(AK703)</f>
        <v>Uber Driver</v>
      </c>
      <c r="AM703" s="0" t="s">
        <v>177</v>
      </c>
      <c r="AN703" s="0" t="str">
        <f aca="false">IF(ISBLANK(AM703),"Unknown",AM703)</f>
        <v>Private</v>
      </c>
      <c r="AO703" s="0" t="s">
        <v>79</v>
      </c>
      <c r="AP703" s="0" t="str">
        <f aca="false">IF(ISBLANK(AO703),"Unknown",AO703)</f>
        <v>Specialist</v>
      </c>
      <c r="AQ703" s="0" t="n">
        <v>30000</v>
      </c>
      <c r="AR703" s="5" t="n">
        <f aca="false">IF(ISBLANK(AQ703),AVERAGEIF(M703:M1702,M703,AQ703:AQ1702),AQ703)</f>
        <v>30000</v>
      </c>
      <c r="AS703" s="0" t="n">
        <v>30000</v>
      </c>
      <c r="AT703" s="5" t="n">
        <f aca="false">IF(ISBLANK(AS703),AVERAGE(AS703:AS1702),AS703)</f>
        <v>30000</v>
      </c>
      <c r="AU703" s="0" t="s">
        <v>61</v>
      </c>
      <c r="AV703" s="0" t="str">
        <f aca="false">PROPER(IF(ISBLANK(AU703),"No",AU703))</f>
        <v>No</v>
      </c>
      <c r="AW703" s="0" t="n">
        <v>0</v>
      </c>
      <c r="AX703" s="5" t="n">
        <f aca="false">IF(ISBLANK(AW703),0,AW703)</f>
        <v>0</v>
      </c>
      <c r="AZ703" s="0" t="str">
        <f aca="false">UPPER(IF(ISBLANK(AY703),"NONE",AY703))</f>
        <v>NONE</v>
      </c>
      <c r="BA703" s="7" t="n">
        <v>45972</v>
      </c>
      <c r="BB703" s="7" t="n">
        <f aca="false">IF(ISBLANK(BA703),"No Follow Up Needed",BA703)</f>
        <v>45972</v>
      </c>
      <c r="BC703" s="0" t="s">
        <v>50</v>
      </c>
      <c r="BD703" s="0" t="str">
        <f aca="false">PROPER(IF(ISBLANK(BC703),"Unknown",BC703))</f>
        <v>No</v>
      </c>
      <c r="BF703" s="0" t="str">
        <f aca="false">IF(ISBLANK(BE703),"No comments",BE703)</f>
        <v>No comments</v>
      </c>
      <c r="BH703" s="0" t="str">
        <f aca="false">IF(ISBLANK(BG703),"No comments",BG703)</f>
        <v>No comments</v>
      </c>
      <c r="BI703" s="0" t="s">
        <v>63</v>
      </c>
      <c r="BJ703" s="0" t="str">
        <f aca="false">IF(ISBLANK(BI703),"Not Mentioned",BI703)</f>
        <v>Yes</v>
      </c>
      <c r="BK703" s="0" t="s">
        <v>82</v>
      </c>
      <c r="BL703" s="0" t="str">
        <f aca="false">PROPER(IF(ISBLANK(BK703),"Not Mentioned",BK703))</f>
        <v>Yes</v>
      </c>
      <c r="BM703" s="0" t="s">
        <v>50</v>
      </c>
      <c r="BN703" s="0" t="str">
        <f aca="false">PROPER(IF(ISBLANK(BM703),"Not Mentioned",BM703))</f>
        <v>No</v>
      </c>
      <c r="BO703" s="0" t="s">
        <v>2321</v>
      </c>
      <c r="BP703" s="0" t="str">
        <f aca="false">IF(ISBLANK(BO703),"One-Time Plan",BO703)</f>
        <v>One-Time Plan</v>
      </c>
      <c r="BQ703" s="0" t="s">
        <v>190</v>
      </c>
      <c r="BR703" s="0" t="str">
        <f aca="false">PROPER(IF(ISBLANK(BQ703),"No",BQ703))</f>
        <v>Yes</v>
      </c>
    </row>
    <row r="704" customFormat="false" ht="15" hidden="false" customHeight="false" outlineLevel="0" collapsed="false">
      <c r="A704" s="0" t="s">
        <v>1702</v>
      </c>
      <c r="B704" s="2" t="n">
        <v>45713</v>
      </c>
      <c r="C704" s="2" t="str">
        <f aca="false">TEXT(B704,"dd/mm/yyyy")</f>
        <v>25/02/2025</v>
      </c>
      <c r="D704" s="0" t="s">
        <v>42</v>
      </c>
      <c r="E704" s="0" t="n">
        <v>8095309294</v>
      </c>
      <c r="F704" s="0" t="s">
        <v>122</v>
      </c>
      <c r="G704" s="0" t="s">
        <v>2316</v>
      </c>
      <c r="H704" s="0" t="s">
        <v>1703</v>
      </c>
      <c r="I704" s="0" t="s">
        <v>134</v>
      </c>
      <c r="J704" s="0" t="s">
        <v>2317</v>
      </c>
      <c r="K704" s="3" t="str">
        <f aca="false" t="array" ref="K704:K704">IFERROR(IF(J704&lt;&gt;"",J704,INDEX(J704:J1703,MATCH(1,(F704:F1703=F704)*(I704:I1703=I704)*(L704:L1703=L704)*(J704:J1703&lt;&gt;""),0))),"Not Found")</f>
        <v>Suspension Noise</v>
      </c>
      <c r="L704" s="3" t="s">
        <v>189</v>
      </c>
      <c r="M704" s="0" t="str">
        <f aca="false">PROPER(L704)</f>
        <v>Battery</v>
      </c>
      <c r="N704" s="3" t="s">
        <v>90</v>
      </c>
      <c r="O704" s="0" t="str">
        <f aca="false" t="array" ref="O704:O704">IF(N704&lt;&gt;"",N704,_xlfn.xlookup(1,(L704:L1703=L704)*(N704:N1703&lt;&gt;""),N704:N1703,"Not Found"))</f>
        <v>Musa</v>
      </c>
      <c r="P704" s="4" t="n">
        <v>101741</v>
      </c>
      <c r="Q704" s="0" t="s">
        <v>91</v>
      </c>
      <c r="R704" s="0" t="str">
        <f aca="false">PROPER(Q704)</f>
        <v>Pos</v>
      </c>
      <c r="S704" s="0" t="s">
        <v>63</v>
      </c>
      <c r="T704" s="0" t="n">
        <v>5</v>
      </c>
      <c r="U704" s="5" t="n">
        <f aca="false">IF(ISBLANK(T704),AVERAGE(T704:T1703),T704)</f>
        <v>5</v>
      </c>
      <c r="V704" s="0" t="n">
        <v>1.2</v>
      </c>
      <c r="W704" s="0" t="s">
        <v>92</v>
      </c>
      <c r="X704" s="0" t="str">
        <f aca="false">IF(ISBLANK(W704),"No remarks",W704)</f>
        <v>Urgent service</v>
      </c>
      <c r="Y704" s="0" t="s">
        <v>73</v>
      </c>
      <c r="Z704" s="0" t="s">
        <v>136</v>
      </c>
      <c r="AA704" s="0" t="str">
        <f aca="false">PROPER(IF(ISBLANK(Z704),"Location Unavailable",Z704))</f>
        <v>Vip Section</v>
      </c>
      <c r="AB704" s="0" t="s">
        <v>167</v>
      </c>
      <c r="AC704" s="6" t="str">
        <f aca="false">PROPER(AB704)</f>
        <v>Word Of Mouth</v>
      </c>
      <c r="AE704" s="5" t="n">
        <f aca="false">IF(ISBLANK(AD704),AVERAGEIF(L704:L1703,L704,AD704:AD1703),AD704)</f>
        <v>39.2647058823529</v>
      </c>
      <c r="AF704" s="0" t="s">
        <v>55</v>
      </c>
      <c r="AG704" s="0" t="str">
        <f aca="false">PROPER(AF704)</f>
        <v>Available</v>
      </c>
      <c r="AH704" s="0" t="s">
        <v>56</v>
      </c>
      <c r="AI704" s="0" t="s">
        <v>98</v>
      </c>
      <c r="AJ704" s="0" t="str">
        <f aca="false">PROPER(AI704)</f>
        <v>Emergency</v>
      </c>
      <c r="AK704" s="0" t="s">
        <v>196</v>
      </c>
      <c r="AL704" s="0" t="str">
        <f aca="false">PROPER(AK704)</f>
        <v>First Time</v>
      </c>
      <c r="AM704" s="0" t="s">
        <v>177</v>
      </c>
      <c r="AN704" s="0" t="str">
        <f aca="false">IF(ISBLANK(AM704),"Unknown",AM704)</f>
        <v>Private</v>
      </c>
      <c r="AO704" s="0" t="s">
        <v>79</v>
      </c>
      <c r="AP704" s="0" t="str">
        <f aca="false">IF(ISBLANK(AO704),"Unknown",AO704)</f>
        <v>Specialist</v>
      </c>
      <c r="AR704" s="5" t="n">
        <f aca="false">IF(ISBLANK(AQ704),AVERAGEIF(M704:M1703,M704,AQ704:AQ1703),AQ704)</f>
        <v>26000</v>
      </c>
      <c r="AT704" s="5" t="n">
        <f aca="false">IF(ISBLANK(AS704),AVERAGE(AS704:AS1703),AS704)</f>
        <v>31405.6224899598</v>
      </c>
      <c r="AU704" s="0" t="s">
        <v>50</v>
      </c>
      <c r="AV704" s="0" t="str">
        <f aca="false">PROPER(IF(ISBLANK(AU704),"No",AU704))</f>
        <v>No</v>
      </c>
      <c r="AW704" s="0" t="n">
        <v>0</v>
      </c>
      <c r="AX704" s="5" t="n">
        <f aca="false">IF(ISBLANK(AW704),0,AW704)</f>
        <v>0</v>
      </c>
      <c r="AY704" s="0" t="s">
        <v>80</v>
      </c>
      <c r="AZ704" s="0" t="str">
        <f aca="false">UPPER(IF(ISBLANK(AY704),"NONE",AY704))</f>
        <v>PROMO10</v>
      </c>
      <c r="BB704" s="7" t="str">
        <f aca="false">IF(ISBLANK(BA704),"No Follow Up Needed",BA704)</f>
        <v>No Follow Up Needed</v>
      </c>
      <c r="BC704" s="0" t="s">
        <v>61</v>
      </c>
      <c r="BD704" s="0" t="str">
        <f aca="false">PROPER(IF(ISBLANK(BC704),"Unknown",BC704))</f>
        <v>No</v>
      </c>
      <c r="BE704" s="0" t="s">
        <v>171</v>
      </c>
      <c r="BF704" s="0" t="str">
        <f aca="false">IF(ISBLANK(BE704),"No comments",BE704)</f>
        <v>Shock absorber weakening</v>
      </c>
      <c r="BG704" s="0" t="s">
        <v>172</v>
      </c>
      <c r="BH704" s="0" t="str">
        <f aca="false">IF(ISBLANK(BG704),"No comments",BG704)</f>
        <v>Always late</v>
      </c>
      <c r="BI704" s="0" t="s">
        <v>50</v>
      </c>
      <c r="BJ704" s="0" t="str">
        <f aca="false">IF(ISBLANK(BI704),"Not Mentioned",BI704)</f>
        <v>No</v>
      </c>
      <c r="BL704" s="0" t="str">
        <f aca="false">PROPER(IF(ISBLANK(BK704),"Not Mentioned",BK704))</f>
        <v>Not Mentioned</v>
      </c>
      <c r="BM704" s="0" t="s">
        <v>63</v>
      </c>
      <c r="BN704" s="0" t="str">
        <f aca="false">PROPER(IF(ISBLANK(BM704),"Not Mentioned",BM704))</f>
        <v>Yes</v>
      </c>
      <c r="BO704" s="0" t="s">
        <v>2318</v>
      </c>
      <c r="BP704" s="0" t="str">
        <f aca="false">IF(ISBLANK(BO704),"One-Time Plan",BO704)</f>
        <v>Gold</v>
      </c>
      <c r="BQ704" s="0" t="s">
        <v>63</v>
      </c>
      <c r="BR704" s="0" t="str">
        <f aca="false">PROPER(IF(ISBLANK(BQ704),"No",BQ704))</f>
        <v>Yes</v>
      </c>
    </row>
    <row r="705" customFormat="false" ht="15" hidden="false" customHeight="false" outlineLevel="0" collapsed="false">
      <c r="A705" s="0" t="s">
        <v>1704</v>
      </c>
      <c r="B705" s="2" t="n">
        <v>45812</v>
      </c>
      <c r="C705" s="2" t="str">
        <f aca="false">TEXT(B705,"dd/mm/yyyy")</f>
        <v>04/06/2025</v>
      </c>
      <c r="D705" s="0" t="s">
        <v>42</v>
      </c>
      <c r="E705" s="0" t="n">
        <v>8037031585</v>
      </c>
      <c r="F705" s="0" t="s">
        <v>67</v>
      </c>
      <c r="G705" s="0" t="s">
        <v>2316</v>
      </c>
      <c r="H705" s="0" t="s">
        <v>1705</v>
      </c>
      <c r="I705" s="0" t="s">
        <v>69</v>
      </c>
      <c r="J705" s="0" t="s">
        <v>2317</v>
      </c>
      <c r="K705" s="3" t="str">
        <f aca="false" t="array" ref="K705:K705">IFERROR(IF(J705&lt;&gt;"",J705,INDEX(J705:J1704,MATCH(1,(F705:F1704=F705)*(I705:I1704=I705)*(L705:L1704=L705)*(J705:J1704&lt;&gt;""),0))),"Not Found")</f>
        <v>Suspension Noise</v>
      </c>
      <c r="L705" s="3" t="s">
        <v>189</v>
      </c>
      <c r="M705" s="0" t="str">
        <f aca="false">PROPER(L705)</f>
        <v>Battery</v>
      </c>
      <c r="O705" s="0" t="e">
        <f aca="false" t="array" ref="O705:O705">IF(N705&lt;&gt;"",N705,_xlfn.xlookup(1,(L705:L1704=L705)*(N705:N1704&lt;&gt;""),N705:N1704,"Not Found"))</f>
        <v>#NAME?</v>
      </c>
      <c r="P705" s="4" t="n">
        <v>102734</v>
      </c>
      <c r="Q705" s="0" t="s">
        <v>91</v>
      </c>
      <c r="R705" s="0" t="str">
        <f aca="false">PROPER(Q705)</f>
        <v>Pos</v>
      </c>
      <c r="S705" s="0" t="s">
        <v>63</v>
      </c>
      <c r="T705" s="0" t="n">
        <v>4</v>
      </c>
      <c r="U705" s="5" t="n">
        <f aca="false">IF(ISBLANK(T705),AVERAGE(T705:T1704),T705)</f>
        <v>4</v>
      </c>
      <c r="V705" s="0" t="n">
        <v>3.5</v>
      </c>
      <c r="W705" s="0" t="s">
        <v>92</v>
      </c>
      <c r="X705" s="0" t="str">
        <f aca="false">IF(ISBLANK(W705),"No remarks",W705)</f>
        <v>Urgent service</v>
      </c>
      <c r="Y705" s="0" t="s">
        <v>52</v>
      </c>
      <c r="Z705" s="0" t="s">
        <v>53</v>
      </c>
      <c r="AA705" s="0" t="str">
        <f aca="false">PROPER(IF(ISBLANK(Z705),"Location Unavailable",Z705))</f>
        <v>Main Bay</v>
      </c>
      <c r="AB705" s="0" t="s">
        <v>54</v>
      </c>
      <c r="AC705" s="6" t="str">
        <f aca="false">PROPER(AB705)</f>
        <v>Mechanic Referral</v>
      </c>
      <c r="AD705" s="6" t="n">
        <v>45</v>
      </c>
      <c r="AE705" s="5" t="n">
        <f aca="false">IF(ISBLANK(AD705),AVERAGEIF(L705:L1704,L705,AD705:AD1704),AD705)</f>
        <v>45</v>
      </c>
      <c r="AF705" s="0" t="s">
        <v>160</v>
      </c>
      <c r="AG705" s="0" t="str">
        <f aca="false">PROPER(AF705)</f>
        <v>Availaible</v>
      </c>
      <c r="AH705" s="0" t="s">
        <v>148</v>
      </c>
      <c r="AI705" s="0" t="s">
        <v>78</v>
      </c>
      <c r="AJ705" s="0" t="str">
        <f aca="false">PROPER(AI705)</f>
        <v>Booking</v>
      </c>
      <c r="AK705" s="0" t="s">
        <v>58</v>
      </c>
      <c r="AL705" s="0" t="str">
        <f aca="false">PROPER(AK705)</f>
        <v>Fleet Owner</v>
      </c>
      <c r="AN705" s="0" t="str">
        <f aca="false">IF(ISBLANK(AM705),"Unknown",AM705)</f>
        <v>Unknown</v>
      </c>
      <c r="AO705" s="0" t="s">
        <v>143</v>
      </c>
      <c r="AP705" s="0" t="str">
        <f aca="false">IF(ISBLANK(AO705),"Unknown",AO705)</f>
        <v>Senior</v>
      </c>
      <c r="AQ705" s="0" t="n">
        <v>20000</v>
      </c>
      <c r="AR705" s="5" t="n">
        <f aca="false">IF(ISBLANK(AQ705),AVERAGEIF(M705:M1704,M705,AQ705:AQ1704),AQ705)</f>
        <v>20000</v>
      </c>
      <c r="AS705" s="0" t="n">
        <v>20000</v>
      </c>
      <c r="AT705" s="5" t="n">
        <f aca="false">IF(ISBLANK(AS705),AVERAGE(AS705:AS1704),AS705)</f>
        <v>20000</v>
      </c>
      <c r="AU705" s="0" t="s">
        <v>50</v>
      </c>
      <c r="AV705" s="0" t="str">
        <f aca="false">PROPER(IF(ISBLANK(AU705),"No",AU705))</f>
        <v>No</v>
      </c>
      <c r="AW705" s="0" t="n">
        <v>10000</v>
      </c>
      <c r="AX705" s="5" t="n">
        <f aca="false">IF(ISBLANK(AW705),0,AW705)</f>
        <v>10000</v>
      </c>
      <c r="AY705" s="0" t="s">
        <v>130</v>
      </c>
      <c r="AZ705" s="0" t="str">
        <f aca="false">UPPER(IF(ISBLANK(AY705),"NONE",AY705))</f>
        <v>LOYALTY10</v>
      </c>
      <c r="BB705" s="7" t="str">
        <f aca="false">IF(ISBLANK(BA705),"No Follow Up Needed",BA705)</f>
        <v>No Follow Up Needed</v>
      </c>
      <c r="BC705" s="0" t="s">
        <v>61</v>
      </c>
      <c r="BD705" s="0" t="str">
        <f aca="false">PROPER(IF(ISBLANK(BC705),"Unknown",BC705))</f>
        <v>No</v>
      </c>
      <c r="BE705" s="0" t="s">
        <v>171</v>
      </c>
      <c r="BF705" s="0" t="str">
        <f aca="false">IF(ISBLANK(BE705),"No comments",BE705)</f>
        <v>Shock absorber weakening</v>
      </c>
      <c r="BG705" s="0" t="s">
        <v>172</v>
      </c>
      <c r="BH705" s="0" t="str">
        <f aca="false">IF(ISBLANK(BG705),"No comments",BG705)</f>
        <v>Always late</v>
      </c>
      <c r="BI705" s="0" t="s">
        <v>50</v>
      </c>
      <c r="BJ705" s="0" t="str">
        <f aca="false">IF(ISBLANK(BI705),"Not Mentioned",BI705)</f>
        <v>No</v>
      </c>
      <c r="BL705" s="0" t="str">
        <f aca="false">PROPER(IF(ISBLANK(BK705),"Not Mentioned",BK705))</f>
        <v>Not Mentioned</v>
      </c>
      <c r="BM705" s="0" t="s">
        <v>50</v>
      </c>
      <c r="BN705" s="0" t="str">
        <f aca="false">PROPER(IF(ISBLANK(BM705),"Not Mentioned",BM705))</f>
        <v>No</v>
      </c>
      <c r="BO705" s="0" t="s">
        <v>2321</v>
      </c>
      <c r="BP705" s="0" t="str">
        <f aca="false">IF(ISBLANK(BO705),"One-Time Plan",BO705)</f>
        <v>One-Time Plan</v>
      </c>
      <c r="BQ705" s="0" t="s">
        <v>50</v>
      </c>
      <c r="BR705" s="0" t="str">
        <f aca="false">PROPER(IF(ISBLANK(BQ705),"No",BQ705))</f>
        <v>No</v>
      </c>
    </row>
    <row r="706" customFormat="false" ht="15" hidden="false" customHeight="false" outlineLevel="0" collapsed="false">
      <c r="A706" s="0" t="s">
        <v>1706</v>
      </c>
      <c r="B706" s="2" t="n">
        <v>45967</v>
      </c>
      <c r="C706" s="2" t="str">
        <f aca="false">TEXT(B706,"dd/mm/yyyy")</f>
        <v>06/11/2025</v>
      </c>
      <c r="D706" s="0" t="s">
        <v>66</v>
      </c>
      <c r="E706" s="0" t="n">
        <v>8046488536</v>
      </c>
      <c r="F706" s="0" t="s">
        <v>67</v>
      </c>
      <c r="G706" s="0" t="s">
        <v>2316</v>
      </c>
      <c r="H706" s="0" t="s">
        <v>1707</v>
      </c>
      <c r="I706" s="0" t="s">
        <v>69</v>
      </c>
      <c r="J706" s="0" t="s">
        <v>2325</v>
      </c>
      <c r="K706" s="3" t="str">
        <f aca="false" t="array" ref="K706:K706">IFERROR(IF(J706&lt;&gt;"",J706,INDEX(J706:J1705,MATCH(1,(F706:F1705=F706)*(I706:I1705=I706)*(L706:L1705=L706)*(J706:J1705&lt;&gt;""),0))),"Not Found")</f>
        <v>Engine Knocking</v>
      </c>
      <c r="L706" s="3" t="s">
        <v>154</v>
      </c>
      <c r="M706" s="0" t="str">
        <f aca="false">PROPER(L706)</f>
        <v>Air Filter</v>
      </c>
      <c r="N706" s="3" t="s">
        <v>48</v>
      </c>
      <c r="O706" s="0" t="str">
        <f aca="false" t="array" ref="O706:O706">IF(N706&lt;&gt;"",N706,_xlfn.xlookup(1,(L706:L1705=L706)*(N706:N1705&lt;&gt;""),N706:N1705,"Not Found"))</f>
        <v>Uche</v>
      </c>
      <c r="P706" s="4" t="n">
        <v>92716</v>
      </c>
      <c r="Q706" s="0" t="s">
        <v>91</v>
      </c>
      <c r="R706" s="0" t="str">
        <f aca="false">PROPER(Q706)</f>
        <v>Pos</v>
      </c>
      <c r="S706" s="0" t="s">
        <v>63</v>
      </c>
      <c r="U706" s="5" t="n">
        <f aca="false">IF(ISBLANK(T706),AVERAGE(T706:T1705),T706)</f>
        <v>3.12345679012346</v>
      </c>
      <c r="V706" s="0" t="n">
        <v>5.4</v>
      </c>
      <c r="W706" s="0" t="s">
        <v>51</v>
      </c>
      <c r="X706" s="0" t="str">
        <f aca="false">IF(ISBLANK(W706),"No remarks",W706)</f>
        <v>Recommended further checks</v>
      </c>
      <c r="Y706" s="0" t="s">
        <v>52</v>
      </c>
      <c r="Z706" s="0" t="s">
        <v>53</v>
      </c>
      <c r="AA706" s="0" t="str">
        <f aca="false">PROPER(IF(ISBLANK(Z706),"Location Unavailable",Z706))</f>
        <v>Main Bay</v>
      </c>
      <c r="AB706" s="0" t="s">
        <v>54</v>
      </c>
      <c r="AC706" s="6" t="str">
        <f aca="false">PROPER(AB706)</f>
        <v>Mechanic Referral</v>
      </c>
      <c r="AD706" s="6" t="n">
        <v>15</v>
      </c>
      <c r="AE706" s="5" t="n">
        <f aca="false">IF(ISBLANK(AD706),AVERAGEIF(L706:L1705,L706,AD706:AD1705),AD706)</f>
        <v>15</v>
      </c>
      <c r="AF706" s="0" t="s">
        <v>55</v>
      </c>
      <c r="AG706" s="0" t="str">
        <f aca="false">PROPER(AF706)</f>
        <v>Available</v>
      </c>
      <c r="AH706" s="0" t="s">
        <v>148</v>
      </c>
      <c r="AI706" s="0" t="s">
        <v>78</v>
      </c>
      <c r="AJ706" s="0" t="str">
        <f aca="false">PROPER(AI706)</f>
        <v>Booking</v>
      </c>
      <c r="AK706" s="0" t="s">
        <v>99</v>
      </c>
      <c r="AL706" s="0" t="str">
        <f aca="false">PROPER(AK706)</f>
        <v>Uber Driver</v>
      </c>
      <c r="AM706" s="0" t="s">
        <v>2326</v>
      </c>
      <c r="AN706" s="0" t="str">
        <f aca="false">IF(ISBLANK(AM706),"Unknown",AM706)</f>
        <v>Government Convoy</v>
      </c>
      <c r="AO706" s="0" t="s">
        <v>79</v>
      </c>
      <c r="AP706" s="0" t="str">
        <f aca="false">IF(ISBLANK(AO706),"Unknown",AO706)</f>
        <v>Specialist</v>
      </c>
      <c r="AQ706" s="0" t="n">
        <v>40000</v>
      </c>
      <c r="AR706" s="5" t="n">
        <f aca="false">IF(ISBLANK(AQ706),AVERAGEIF(M706:M1705,M706,AQ706:AQ1705),AQ706)</f>
        <v>40000</v>
      </c>
      <c r="AS706" s="0" t="n">
        <v>35000</v>
      </c>
      <c r="AT706" s="5" t="n">
        <f aca="false">IF(ISBLANK(AS706),AVERAGE(AS706:AS1705),AS706)</f>
        <v>35000</v>
      </c>
      <c r="AU706" s="0" t="s">
        <v>61</v>
      </c>
      <c r="AV706" s="0" t="str">
        <f aca="false">PROPER(IF(ISBLANK(AU706),"No",AU706))</f>
        <v>No</v>
      </c>
      <c r="AW706" s="0" t="n">
        <v>5000</v>
      </c>
      <c r="AX706" s="5" t="n">
        <f aca="false">IF(ISBLANK(AW706),0,AW706)</f>
        <v>5000</v>
      </c>
      <c r="AZ706" s="0" t="str">
        <f aca="false">UPPER(IF(ISBLANK(AY706),"NONE",AY706))</f>
        <v>NONE</v>
      </c>
      <c r="BA706" s="7" t="n">
        <v>45889</v>
      </c>
      <c r="BB706" s="7" t="n">
        <f aca="false">IF(ISBLANK(BA706),"No Follow Up Needed",BA706)</f>
        <v>45889</v>
      </c>
      <c r="BC706" s="0" t="s">
        <v>50</v>
      </c>
      <c r="BD706" s="0" t="str">
        <f aca="false">PROPER(IF(ISBLANK(BC706),"Unknown",BC706))</f>
        <v>No</v>
      </c>
      <c r="BF706" s="0" t="str">
        <f aca="false">IF(ISBLANK(BE706),"No comments",BE706)</f>
        <v>No comments</v>
      </c>
      <c r="BG706" s="0" t="s">
        <v>2320</v>
      </c>
      <c r="BH706" s="0" t="str">
        <f aca="false">IF(ISBLANK(BG706),"No comments",BG706)</f>
        <v>No complaints</v>
      </c>
      <c r="BI706" s="0" t="s">
        <v>63</v>
      </c>
      <c r="BJ706" s="0" t="str">
        <f aca="false">IF(ISBLANK(BI706),"Not Mentioned",BI706)</f>
        <v>Yes</v>
      </c>
      <c r="BK706" s="0" t="s">
        <v>61</v>
      </c>
      <c r="BL706" s="0" t="str">
        <f aca="false">PROPER(IF(ISBLANK(BK706),"Not Mentioned",BK706))</f>
        <v>No</v>
      </c>
      <c r="BN706" s="0" t="str">
        <f aca="false">PROPER(IF(ISBLANK(BM706),"Not Mentioned",BM706))</f>
        <v>Not Mentioned</v>
      </c>
      <c r="BO706" s="0" t="s">
        <v>2321</v>
      </c>
      <c r="BP706" s="0" t="str">
        <f aca="false">IF(ISBLANK(BO706),"One-Time Plan",BO706)</f>
        <v>One-Time Plan</v>
      </c>
      <c r="BQ706" s="0" t="s">
        <v>198</v>
      </c>
      <c r="BR706" s="0" t="str">
        <f aca="false">PROPER(IF(ISBLANK(BQ706),"No",BQ706))</f>
        <v>Followed Up</v>
      </c>
    </row>
    <row r="707" customFormat="false" ht="15" hidden="false" customHeight="false" outlineLevel="0" collapsed="false">
      <c r="A707" s="0" t="s">
        <v>1708</v>
      </c>
      <c r="B707" s="2" t="n">
        <v>45709</v>
      </c>
      <c r="C707" s="2" t="str">
        <f aca="false">TEXT(B707,"dd/mm/yyyy")</f>
        <v>21/02/2025</v>
      </c>
      <c r="D707" s="0" t="s">
        <v>121</v>
      </c>
      <c r="E707" s="0" t="n">
        <v>8074581639</v>
      </c>
      <c r="F707" s="0" t="s">
        <v>122</v>
      </c>
      <c r="G707" s="0" t="s">
        <v>2316</v>
      </c>
      <c r="H707" s="0" t="s">
        <v>1709</v>
      </c>
      <c r="I707" s="0" t="s">
        <v>107</v>
      </c>
      <c r="J707" s="0" t="s">
        <v>2325</v>
      </c>
      <c r="K707" s="3" t="str">
        <f aca="false" t="array" ref="K707:K707">IFERROR(IF(J707&lt;&gt;"",J707,INDEX(J707:J1706,MATCH(1,(F707:F1706=F707)*(I707:I1706=I707)*(L707:L1706=L707)*(J707:J1706&lt;&gt;""),0))),"Not Found")</f>
        <v>Engine Knocking</v>
      </c>
      <c r="L707" s="3" t="s">
        <v>154</v>
      </c>
      <c r="M707" s="0" t="str">
        <f aca="false">PROPER(L707)</f>
        <v>Air Filter</v>
      </c>
      <c r="N707" s="3" t="s">
        <v>90</v>
      </c>
      <c r="O707" s="0" t="str">
        <f aca="false" t="array" ref="O707:O707">IF(N707&lt;&gt;"",N707,_xlfn.xlookup(1,(L707:L1706=L707)*(N707:N1706&lt;&gt;""),N707:N1706,"Not Found"))</f>
        <v>Musa</v>
      </c>
      <c r="P707" s="4" t="n">
        <v>101283</v>
      </c>
      <c r="Q707" s="0" t="s">
        <v>166</v>
      </c>
      <c r="R707" s="0" t="str">
        <f aca="false">PROPER(Q707)</f>
        <v>Transfer</v>
      </c>
      <c r="S707" s="0" t="s">
        <v>50</v>
      </c>
      <c r="T707" s="0" t="n">
        <v>2</v>
      </c>
      <c r="U707" s="5" t="n">
        <f aca="false">IF(ISBLANK(T707),AVERAGE(T707:T1706),T707)</f>
        <v>2</v>
      </c>
      <c r="V707" s="0" t="n">
        <v>4.3</v>
      </c>
      <c r="X707" s="0" t="str">
        <f aca="false">IF(ISBLANK(W707),"No remarks",W707)</f>
        <v>No remarks</v>
      </c>
      <c r="Y707" s="0" t="s">
        <v>73</v>
      </c>
      <c r="Z707" s="0" t="s">
        <v>159</v>
      </c>
      <c r="AA707" s="0" t="str">
        <f aca="false">PROPER(IF(ISBLANK(Z707),"Location Unavailable",Z707))</f>
        <v>Main Bay</v>
      </c>
      <c r="AB707" s="0" t="s">
        <v>126</v>
      </c>
      <c r="AC707" s="6" t="str">
        <f aca="false">PROPER(AB707)</f>
        <v>Whatsapp</v>
      </c>
      <c r="AD707" s="6" t="n">
        <v>45</v>
      </c>
      <c r="AE707" s="5" t="n">
        <f aca="false">IF(ISBLANK(AD707),AVERAGEIF(L707:L1706,L707,AD707:AD1706),AD707)</f>
        <v>45</v>
      </c>
      <c r="AF707" s="0" t="s">
        <v>55</v>
      </c>
      <c r="AG707" s="0" t="str">
        <f aca="false">PROPER(AF707)</f>
        <v>Available</v>
      </c>
      <c r="AH707" s="0" t="s">
        <v>148</v>
      </c>
      <c r="AI707" s="0" t="s">
        <v>128</v>
      </c>
      <c r="AJ707" s="0" t="str">
        <f aca="false">PROPER(AI707)</f>
        <v>Normal</v>
      </c>
      <c r="AK707" s="0" t="s">
        <v>114</v>
      </c>
      <c r="AL707" s="0" t="str">
        <f aca="false">PROPER(AK707)</f>
        <v>Returning</v>
      </c>
      <c r="AM707" s="0" t="s">
        <v>177</v>
      </c>
      <c r="AN707" s="0" t="str">
        <f aca="false">IF(ISBLANK(AM707),"Unknown",AM707)</f>
        <v>Private</v>
      </c>
      <c r="AP707" s="0" t="str">
        <f aca="false">IF(ISBLANK(AO707),"Unknown",AO707)</f>
        <v>Unknown</v>
      </c>
      <c r="AQ707" s="0" t="n">
        <v>30000</v>
      </c>
      <c r="AR707" s="5" t="n">
        <f aca="false">IF(ISBLANK(AQ707),AVERAGEIF(M707:M1706,M707,AQ707:AQ1706),AQ707)</f>
        <v>30000</v>
      </c>
      <c r="AS707" s="0" t="n">
        <v>35000</v>
      </c>
      <c r="AT707" s="5" t="n">
        <f aca="false">IF(ISBLANK(AS707),AVERAGE(AS707:AS1706),AS707)</f>
        <v>35000</v>
      </c>
      <c r="AU707" s="0" t="s">
        <v>82</v>
      </c>
      <c r="AV707" s="0" t="str">
        <f aca="false">PROPER(IF(ISBLANK(AU707),"No",AU707))</f>
        <v>Yes</v>
      </c>
      <c r="AW707" s="0" t="n">
        <v>5000</v>
      </c>
      <c r="AX707" s="5" t="n">
        <f aca="false">IF(ISBLANK(AW707),0,AW707)</f>
        <v>5000</v>
      </c>
      <c r="AY707" s="0" t="s">
        <v>60</v>
      </c>
      <c r="AZ707" s="0" t="str">
        <f aca="false">UPPER(IF(ISBLANK(AY707),"NONE",AY707))</f>
        <v>NONE</v>
      </c>
      <c r="BB707" s="7" t="str">
        <f aca="false">IF(ISBLANK(BA707),"No Follow Up Needed",BA707)</f>
        <v>No Follow Up Needed</v>
      </c>
      <c r="BC707" s="0" t="s">
        <v>82</v>
      </c>
      <c r="BD707" s="0" t="str">
        <f aca="false">PROPER(IF(ISBLANK(BC707),"Unknown",BC707))</f>
        <v>Yes</v>
      </c>
      <c r="BF707" s="0" t="str">
        <f aca="false">IF(ISBLANK(BE707),"No comments",BE707)</f>
        <v>No comments</v>
      </c>
      <c r="BG707" s="0" t="s">
        <v>2320</v>
      </c>
      <c r="BH707" s="0" t="str">
        <f aca="false">IF(ISBLANK(BG707),"No comments",BG707)</f>
        <v>No complaints</v>
      </c>
      <c r="BI707" s="0" t="s">
        <v>50</v>
      </c>
      <c r="BJ707" s="0" t="str">
        <f aca="false">IF(ISBLANK(BI707),"Not Mentioned",BI707)</f>
        <v>No</v>
      </c>
      <c r="BK707" s="0" t="s">
        <v>61</v>
      </c>
      <c r="BL707" s="0" t="str">
        <f aca="false">PROPER(IF(ISBLANK(BK707),"Not Mentioned",BK707))</f>
        <v>No</v>
      </c>
      <c r="BN707" s="0" t="str">
        <f aca="false">PROPER(IF(ISBLANK(BM707),"Not Mentioned",BM707))</f>
        <v>Not Mentioned</v>
      </c>
      <c r="BP707" s="0" t="str">
        <f aca="false">IF(ISBLANK(BO707),"One-Time Plan",BO707)</f>
        <v>One-Time Plan</v>
      </c>
      <c r="BQ707" s="0" t="s">
        <v>50</v>
      </c>
      <c r="BR707" s="0" t="str">
        <f aca="false">PROPER(IF(ISBLANK(BQ707),"No",BQ707))</f>
        <v>No</v>
      </c>
    </row>
    <row r="708" customFormat="false" ht="15" hidden="false" customHeight="false" outlineLevel="0" collapsed="false">
      <c r="A708" s="0" t="s">
        <v>1710</v>
      </c>
      <c r="B708" s="2" t="n">
        <v>45803</v>
      </c>
      <c r="C708" s="2" t="str">
        <f aca="false">TEXT(B708,"dd/mm/yyyy")</f>
        <v>26/05/2025</v>
      </c>
      <c r="D708" s="0" t="s">
        <v>42</v>
      </c>
      <c r="E708" s="0" t="n">
        <v>8020739561</v>
      </c>
      <c r="F708" s="0" t="s">
        <v>85</v>
      </c>
      <c r="G708" s="0" t="s">
        <v>2319</v>
      </c>
      <c r="H708" s="0" t="s">
        <v>1711</v>
      </c>
      <c r="I708" s="0" t="s">
        <v>87</v>
      </c>
      <c r="J708" s="0" t="s">
        <v>2322</v>
      </c>
      <c r="K708" s="3" t="str">
        <f aca="false" t="array" ref="K708:K708">IFERROR(IF(J708&lt;&gt;"",J708,INDEX(J708:J1707,MATCH(1,(F708:F1707=F708)*(I708:I1707=I708)*(L708:L1707=L708)*(J708:J1707&lt;&gt;""),0))),"Not Found")</f>
        <v>Brake Failure</v>
      </c>
      <c r="L708" s="3" t="s">
        <v>154</v>
      </c>
      <c r="M708" s="0" t="str">
        <f aca="false">PROPER(L708)</f>
        <v>Air Filter</v>
      </c>
      <c r="O708" s="0" t="e">
        <f aca="false" t="array" ref="O708:O708">IF(N708&lt;&gt;"",N708,_xlfn.xlookup(1,(L708:L1707=L708)*(N708:N1707&lt;&gt;""),N708:N1707,"Not Found"))</f>
        <v>#NAME?</v>
      </c>
      <c r="P708" s="4" t="n">
        <v>45331</v>
      </c>
      <c r="Q708" s="0" t="s">
        <v>72</v>
      </c>
      <c r="R708" s="0" t="str">
        <f aca="false">PROPER(Q708)</f>
        <v>Pos</v>
      </c>
      <c r="S708" s="0" t="s">
        <v>50</v>
      </c>
      <c r="T708" s="0" t="n">
        <v>2</v>
      </c>
      <c r="U708" s="5" t="n">
        <f aca="false">IF(ISBLANK(T708),AVERAGE(T708:T1707),T708)</f>
        <v>2</v>
      </c>
      <c r="V708" s="0" t="n">
        <v>3.5</v>
      </c>
      <c r="W708" s="0" t="s">
        <v>111</v>
      </c>
      <c r="X708" s="0" t="str">
        <f aca="false">IF(ISBLANK(W708),"No remarks",W708)</f>
        <v>Changed all filters</v>
      </c>
      <c r="Y708" s="0" t="s">
        <v>93</v>
      </c>
      <c r="Z708" s="0" t="s">
        <v>159</v>
      </c>
      <c r="AA708" s="0" t="str">
        <f aca="false">PROPER(IF(ISBLANK(Z708),"Location Unavailable",Z708))</f>
        <v>Main Bay</v>
      </c>
      <c r="AB708" s="0" t="s">
        <v>167</v>
      </c>
      <c r="AC708" s="6" t="str">
        <f aca="false">PROPER(AB708)</f>
        <v>Word Of Mouth</v>
      </c>
      <c r="AE708" s="5" t="n">
        <f aca="false">IF(ISBLANK(AD708),AVERAGEIF(L708:L1707,L708,AD708:AD1707),AD708)</f>
        <v>36.9512195121951</v>
      </c>
      <c r="AF708" s="0" t="s">
        <v>76</v>
      </c>
      <c r="AG708" s="0" t="str">
        <f aca="false">PROPER(AF708)</f>
        <v>Orderd</v>
      </c>
      <c r="AH708" s="0" t="s">
        <v>148</v>
      </c>
      <c r="AI708" s="0" t="s">
        <v>98</v>
      </c>
      <c r="AJ708" s="0" t="str">
        <f aca="false">PROPER(AI708)</f>
        <v>Emergency</v>
      </c>
      <c r="AK708" s="0" t="s">
        <v>114</v>
      </c>
      <c r="AL708" s="0" t="str">
        <f aca="false">PROPER(AK708)</f>
        <v>Returning</v>
      </c>
      <c r="AM708" s="0" t="s">
        <v>2324</v>
      </c>
      <c r="AN708" s="0" t="str">
        <f aca="false">IF(ISBLANK(AM708),"Unknown",AM708)</f>
        <v>Logistics Convoy</v>
      </c>
      <c r="AO708" s="0" t="s">
        <v>161</v>
      </c>
      <c r="AP708" s="0" t="str">
        <f aca="false">IF(ISBLANK(AO708),"Unknown",AO708)</f>
        <v>Apprentice</v>
      </c>
      <c r="AQ708" s="0" t="n">
        <v>25000</v>
      </c>
      <c r="AR708" s="5" t="n">
        <f aca="false">IF(ISBLANK(AQ708),AVERAGEIF(M708:M1707,M708,AQ708:AQ1707),AQ708)</f>
        <v>25000</v>
      </c>
      <c r="AT708" s="5" t="n">
        <f aca="false">IF(ISBLANK(AS708),AVERAGE(AS708:AS1707),AS708)</f>
        <v>31422.7642276423</v>
      </c>
      <c r="AU708" s="0" t="s">
        <v>82</v>
      </c>
      <c r="AV708" s="0" t="str">
        <f aca="false">PROPER(IF(ISBLANK(AU708),"No",AU708))</f>
        <v>Yes</v>
      </c>
      <c r="AW708" s="0" t="n">
        <v>5000</v>
      </c>
      <c r="AX708" s="5" t="n">
        <f aca="false">IF(ISBLANK(AW708),0,AW708)</f>
        <v>5000</v>
      </c>
      <c r="AY708" s="0" t="s">
        <v>130</v>
      </c>
      <c r="AZ708" s="0" t="str">
        <f aca="false">UPPER(IF(ISBLANK(AY708),"NONE",AY708))</f>
        <v>LOYALTY10</v>
      </c>
      <c r="BB708" s="7" t="str">
        <f aca="false">IF(ISBLANK(BA708),"No Follow Up Needed",BA708)</f>
        <v>No Follow Up Needed</v>
      </c>
      <c r="BC708" s="0" t="s">
        <v>50</v>
      </c>
      <c r="BD708" s="0" t="str">
        <f aca="false">PROPER(IF(ISBLANK(BC708),"Unknown",BC708))</f>
        <v>No</v>
      </c>
      <c r="BE708" s="0" t="s">
        <v>116</v>
      </c>
      <c r="BF708" s="0" t="str">
        <f aca="false">IF(ISBLANK(BE708),"No comments",BE708)</f>
        <v>Needs tire alignment</v>
      </c>
      <c r="BG708" s="0" t="s">
        <v>172</v>
      </c>
      <c r="BH708" s="0" t="str">
        <f aca="false">IF(ISBLANK(BG708),"No comments",BG708)</f>
        <v>Always late</v>
      </c>
      <c r="BI708" s="0" t="s">
        <v>63</v>
      </c>
      <c r="BJ708" s="0" t="str">
        <f aca="false">IF(ISBLANK(BI708),"Not Mentioned",BI708)</f>
        <v>Yes</v>
      </c>
      <c r="BK708" s="0" t="s">
        <v>50</v>
      </c>
      <c r="BL708" s="0" t="str">
        <f aca="false">PROPER(IF(ISBLANK(BK708),"Not Mentioned",BK708))</f>
        <v>No</v>
      </c>
      <c r="BM708" s="0" t="s">
        <v>50</v>
      </c>
      <c r="BN708" s="0" t="str">
        <f aca="false">PROPER(IF(ISBLANK(BM708),"Not Mentioned",BM708))</f>
        <v>No</v>
      </c>
      <c r="BO708" s="0" t="s">
        <v>2318</v>
      </c>
      <c r="BP708" s="0" t="str">
        <f aca="false">IF(ISBLANK(BO708),"One-Time Plan",BO708)</f>
        <v>Gold</v>
      </c>
      <c r="BQ708" s="0" t="s">
        <v>50</v>
      </c>
      <c r="BR708" s="0" t="str">
        <f aca="false">PROPER(IF(ISBLANK(BQ708),"No",BQ708))</f>
        <v>No</v>
      </c>
    </row>
    <row r="709" customFormat="false" ht="15" hidden="false" customHeight="false" outlineLevel="0" collapsed="false">
      <c r="A709" s="0" t="s">
        <v>1712</v>
      </c>
      <c r="B709" s="2" t="s">
        <v>725</v>
      </c>
      <c r="C709" s="2" t="str">
        <f aca="false">TEXT(B709,"dd/mm/yyyy")</f>
        <v>30/04/2025</v>
      </c>
      <c r="D709" s="0" t="s">
        <v>66</v>
      </c>
      <c r="E709" s="0" t="n">
        <v>8058262270</v>
      </c>
      <c r="F709" s="0" t="s">
        <v>67</v>
      </c>
      <c r="G709" s="0" t="s">
        <v>2316</v>
      </c>
      <c r="H709" s="0" t="s">
        <v>1713</v>
      </c>
      <c r="I709" s="0" t="s">
        <v>45</v>
      </c>
      <c r="J709" s="0" t="s">
        <v>2325</v>
      </c>
      <c r="K709" s="3" t="str">
        <f aca="false" t="array" ref="K709:K709">IFERROR(IF(J709&lt;&gt;"",J709,INDEX(J709:J1708,MATCH(1,(F709:F1708=F709)*(I709:I1708=I709)*(L709:L1708=L709)*(J709:J1708&lt;&gt;""),0))),"Not Found")</f>
        <v>Engine Knocking</v>
      </c>
      <c r="L709" s="3" t="s">
        <v>108</v>
      </c>
      <c r="M709" s="0" t="str">
        <f aca="false">PROPER(L709)</f>
        <v>Timing Belt</v>
      </c>
      <c r="N709" s="3" t="s">
        <v>71</v>
      </c>
      <c r="O709" s="0" t="str">
        <f aca="false" t="array" ref="O709:O709">IF(N709&lt;&gt;"",N709,_xlfn.xlookup(1,(L709:L1708=L709)*(N709:N1708&lt;&gt;""),N709:N1708,"Not Found"))</f>
        <v>Isaac Bobo</v>
      </c>
      <c r="P709" s="4" t="n">
        <v>85257</v>
      </c>
      <c r="Q709" s="0" t="s">
        <v>124</v>
      </c>
      <c r="R709" s="0" t="str">
        <f aca="false">PROPER(Q709)</f>
        <v>Cash</v>
      </c>
      <c r="S709" s="0" t="s">
        <v>50</v>
      </c>
      <c r="T709" s="0" t="n">
        <v>3</v>
      </c>
      <c r="U709" s="5" t="n">
        <f aca="false">IF(ISBLANK(T709),AVERAGE(T709:T1708),T709)</f>
        <v>3</v>
      </c>
      <c r="V709" s="0" t="n">
        <v>1.9</v>
      </c>
      <c r="X709" s="0" t="str">
        <f aca="false">IF(ISBLANK(W709),"No remarks",W709)</f>
        <v>No remarks</v>
      </c>
      <c r="Y709" s="0" t="s">
        <v>52</v>
      </c>
      <c r="Z709" s="0" t="s">
        <v>159</v>
      </c>
      <c r="AA709" s="0" t="str">
        <f aca="false">PROPER(IF(ISBLANK(Z709),"Location Unavailable",Z709))</f>
        <v>Main Bay</v>
      </c>
      <c r="AB709" s="0" t="s">
        <v>54</v>
      </c>
      <c r="AC709" s="6" t="str">
        <f aca="false">PROPER(AB709)</f>
        <v>Mechanic Referral</v>
      </c>
      <c r="AD709" s="6" t="n">
        <v>15</v>
      </c>
      <c r="AE709" s="5" t="n">
        <f aca="false">IF(ISBLANK(AD709),AVERAGEIF(L709:L1708,L709,AD709:AD1708),AD709)</f>
        <v>15</v>
      </c>
      <c r="AF709" s="0" t="s">
        <v>55</v>
      </c>
      <c r="AG709" s="0" t="str">
        <f aca="false">PROPER(AF709)</f>
        <v>Available</v>
      </c>
      <c r="AH709" s="0" t="s">
        <v>148</v>
      </c>
      <c r="AI709" s="0" t="s">
        <v>128</v>
      </c>
      <c r="AJ709" s="0" t="str">
        <f aca="false">PROPER(AI709)</f>
        <v>Normal</v>
      </c>
      <c r="AK709" s="0" t="s">
        <v>196</v>
      </c>
      <c r="AL709" s="0" t="str">
        <f aca="false">PROPER(AK709)</f>
        <v>First Time</v>
      </c>
      <c r="AM709" s="0" t="s">
        <v>2326</v>
      </c>
      <c r="AN709" s="0" t="str">
        <f aca="false">IF(ISBLANK(AM709),"Unknown",AM709)</f>
        <v>Government Convoy</v>
      </c>
      <c r="AO709" s="0" t="s">
        <v>79</v>
      </c>
      <c r="AP709" s="0" t="str">
        <f aca="false">IF(ISBLANK(AO709),"Unknown",AO709)</f>
        <v>Specialist</v>
      </c>
      <c r="AQ709" s="0" t="n">
        <v>40000</v>
      </c>
      <c r="AR709" s="5" t="n">
        <f aca="false">IF(ISBLANK(AQ709),AVERAGEIF(M709:M1708,M709,AQ709:AQ1708),AQ709)</f>
        <v>40000</v>
      </c>
      <c r="AS709" s="0" t="n">
        <v>40000</v>
      </c>
      <c r="AT709" s="5" t="n">
        <f aca="false">IF(ISBLANK(AS709),AVERAGE(AS709:AS1708),AS709)</f>
        <v>40000</v>
      </c>
      <c r="AU709" s="0" t="s">
        <v>82</v>
      </c>
      <c r="AV709" s="0" t="str">
        <f aca="false">PROPER(IF(ISBLANK(AU709),"No",AU709))</f>
        <v>Yes</v>
      </c>
      <c r="AW709" s="0" t="n">
        <v>10000</v>
      </c>
      <c r="AX709" s="5" t="n">
        <f aca="false">IF(ISBLANK(AW709),0,AW709)</f>
        <v>10000</v>
      </c>
      <c r="AY709" s="0" t="s">
        <v>80</v>
      </c>
      <c r="AZ709" s="0" t="str">
        <f aca="false">UPPER(IF(ISBLANK(AY709),"NONE",AY709))</f>
        <v>PROMO10</v>
      </c>
      <c r="BA709" s="7" t="n">
        <v>45885</v>
      </c>
      <c r="BB709" s="7" t="n">
        <f aca="false">IF(ISBLANK(BA709),"No Follow Up Needed",BA709)</f>
        <v>45885</v>
      </c>
      <c r="BC709" s="0" t="s">
        <v>63</v>
      </c>
      <c r="BD709" s="0" t="str">
        <f aca="false">PROPER(IF(ISBLANK(BC709),"Unknown",BC709))</f>
        <v>Yes</v>
      </c>
      <c r="BE709" s="0" t="s">
        <v>171</v>
      </c>
      <c r="BF709" s="0" t="str">
        <f aca="false">IF(ISBLANK(BE709),"No comments",BE709)</f>
        <v>Shock absorber weakening</v>
      </c>
      <c r="BG709" s="0" t="s">
        <v>117</v>
      </c>
      <c r="BH709" s="0" t="str">
        <f aca="false">IF(ISBLANK(BG709),"No comments",BG709)</f>
        <v>Prefers morning</v>
      </c>
      <c r="BI709" s="0" t="s">
        <v>63</v>
      </c>
      <c r="BJ709" s="0" t="str">
        <f aca="false">IF(ISBLANK(BI709),"Not Mentioned",BI709)</f>
        <v>Yes</v>
      </c>
      <c r="BK709" s="0" t="s">
        <v>82</v>
      </c>
      <c r="BL709" s="0" t="str">
        <f aca="false">PROPER(IF(ISBLANK(BK709),"Not Mentioned",BK709))</f>
        <v>Yes</v>
      </c>
      <c r="BM709" s="0" t="s">
        <v>50</v>
      </c>
      <c r="BN709" s="0" t="str">
        <f aca="false">PROPER(IF(ISBLANK(BM709),"Not Mentioned",BM709))</f>
        <v>No</v>
      </c>
      <c r="BO709" s="0" t="s">
        <v>64</v>
      </c>
      <c r="BP709" s="0" t="str">
        <f aca="false">IF(ISBLANK(BO709),"One-Time Plan",BO709)</f>
        <v>Gold Maintenance Plan</v>
      </c>
      <c r="BR709" s="0" t="str">
        <f aca="false">PROPER(IF(ISBLANK(BQ709),"No",BQ709))</f>
        <v>No</v>
      </c>
    </row>
    <row r="710" customFormat="false" ht="15" hidden="false" customHeight="false" outlineLevel="0" collapsed="false">
      <c r="A710" s="0" t="s">
        <v>1715</v>
      </c>
      <c r="B710" s="2" t="s">
        <v>1714</v>
      </c>
      <c r="C710" s="2" t="str">
        <f aca="false">TEXT(B710,"dd/mm/yyyy")</f>
        <v>29/03/2025</v>
      </c>
      <c r="D710" s="0" t="s">
        <v>105</v>
      </c>
      <c r="E710" s="0" t="n">
        <v>8063451468</v>
      </c>
      <c r="F710" s="0" t="s">
        <v>43</v>
      </c>
      <c r="G710" s="0" t="s">
        <v>2315</v>
      </c>
      <c r="H710" s="0" t="s">
        <v>1716</v>
      </c>
      <c r="I710" s="0" t="s">
        <v>87</v>
      </c>
      <c r="J710" s="0" t="s">
        <v>2317</v>
      </c>
      <c r="K710" s="3" t="str">
        <f aca="false" t="array" ref="K710:K710">IFERROR(IF(J710&lt;&gt;"",J710,INDEX(J710:J1709,MATCH(1,(F710:F1709=F710)*(I710:I1709=I710)*(L710:L1709=L710)*(J710:J1709&lt;&gt;""),0))),"Not Found")</f>
        <v>Suspension Noise</v>
      </c>
      <c r="L710" s="3" t="s">
        <v>108</v>
      </c>
      <c r="M710" s="0" t="str">
        <f aca="false">PROPER(L710)</f>
        <v>Timing Belt</v>
      </c>
      <c r="N710" s="3" t="s">
        <v>71</v>
      </c>
      <c r="O710" s="0" t="str">
        <f aca="false" t="array" ref="O710:O710">IF(N710&lt;&gt;"",N710,_xlfn.xlookup(1,(L710:L1709=L710)*(N710:N1709&lt;&gt;""),N710:N1709,"Not Found"))</f>
        <v>Isaac Bobo</v>
      </c>
      <c r="P710" s="4" t="n">
        <v>10396</v>
      </c>
      <c r="Q710" s="0" t="s">
        <v>124</v>
      </c>
      <c r="R710" s="0" t="str">
        <f aca="false">PROPER(Q710)</f>
        <v>Cash</v>
      </c>
      <c r="S710" s="0" t="s">
        <v>63</v>
      </c>
      <c r="U710" s="5" t="n">
        <f aca="false">IF(ISBLANK(T710),AVERAGE(T710:T1709),T710)</f>
        <v>3.13333333333333</v>
      </c>
      <c r="V710" s="0" t="n">
        <v>1.1</v>
      </c>
      <c r="W710" s="0" t="s">
        <v>51</v>
      </c>
      <c r="X710" s="0" t="str">
        <f aca="false">IF(ISBLANK(W710),"No remarks",W710)</f>
        <v>Recommended further checks</v>
      </c>
      <c r="Y710" s="0" t="s">
        <v>73</v>
      </c>
      <c r="Z710" s="0" t="s">
        <v>94</v>
      </c>
      <c r="AA710" s="0" t="str">
        <f aca="false">PROPER(IF(ISBLANK(Z710),"Location Unavailable",Z710))</f>
        <v>Vip Section</v>
      </c>
      <c r="AB710" s="0" t="s">
        <v>147</v>
      </c>
      <c r="AC710" s="6" t="str">
        <f aca="false">PROPER(AB710)</f>
        <v>Instagram</v>
      </c>
      <c r="AE710" s="5" t="n">
        <f aca="false">IF(ISBLANK(AD710),AVERAGEIF(L710:L1709,L710,AD710:AD1709),AD710)</f>
        <v>39.7959183673469</v>
      </c>
      <c r="AF710" s="0" t="s">
        <v>96</v>
      </c>
      <c r="AG710" s="0" t="str">
        <f aca="false">PROPER(AF710)</f>
        <v>Ordered</v>
      </c>
      <c r="AH710" s="0" t="s">
        <v>155</v>
      </c>
      <c r="AI710" s="0" t="s">
        <v>78</v>
      </c>
      <c r="AJ710" s="0" t="str">
        <f aca="false">PROPER(AI710)</f>
        <v>Booking</v>
      </c>
      <c r="AK710" s="0" t="s">
        <v>196</v>
      </c>
      <c r="AL710" s="0" t="str">
        <f aca="false">PROPER(AK710)</f>
        <v>First Time</v>
      </c>
      <c r="AN710" s="0" t="str">
        <f aca="false">IF(ISBLANK(AM710),"Unknown",AM710)</f>
        <v>Unknown</v>
      </c>
      <c r="AO710" s="0" t="s">
        <v>161</v>
      </c>
      <c r="AP710" s="0" t="str">
        <f aca="false">IF(ISBLANK(AO710),"Unknown",AO710)</f>
        <v>Apprentice</v>
      </c>
      <c r="AQ710" s="0" t="n">
        <v>15000</v>
      </c>
      <c r="AR710" s="5" t="n">
        <f aca="false">IF(ISBLANK(AQ710),AVERAGEIF(M710:M1709,M710,AQ710:AQ1709),AQ710)</f>
        <v>15000</v>
      </c>
      <c r="AS710" s="0" t="n">
        <v>35000</v>
      </c>
      <c r="AT710" s="5" t="n">
        <f aca="false">IF(ISBLANK(AS710),AVERAGE(AS710:AS1709),AS710)</f>
        <v>35000</v>
      </c>
      <c r="AU710" s="0" t="s">
        <v>61</v>
      </c>
      <c r="AV710" s="0" t="str">
        <f aca="false">PROPER(IF(ISBLANK(AU710),"No",AU710))</f>
        <v>No</v>
      </c>
      <c r="AX710" s="5" t="n">
        <f aca="false">IF(ISBLANK(AW710),0,AW710)</f>
        <v>0</v>
      </c>
      <c r="AY710" s="0" t="s">
        <v>130</v>
      </c>
      <c r="AZ710" s="0" t="str">
        <f aca="false">UPPER(IF(ISBLANK(AY710),"NONE",AY710))</f>
        <v>LOYALTY10</v>
      </c>
      <c r="BA710" s="7" t="s">
        <v>1717</v>
      </c>
      <c r="BB710" s="7" t="str">
        <f aca="false">IF(ISBLANK(BA710),"No Follow Up Needed",BA710)</f>
        <v>13/11/2025</v>
      </c>
      <c r="BC710" s="0" t="s">
        <v>50</v>
      </c>
      <c r="BD710" s="0" t="str">
        <f aca="false">PROPER(IF(ISBLANK(BC710),"Unknown",BC710))</f>
        <v>No</v>
      </c>
      <c r="BE710" s="0" t="s">
        <v>171</v>
      </c>
      <c r="BF710" s="0" t="str">
        <f aca="false">IF(ISBLANK(BE710),"No comments",BE710)</f>
        <v>Shock absorber weakening</v>
      </c>
      <c r="BG710" s="0" t="s">
        <v>117</v>
      </c>
      <c r="BH710" s="0" t="str">
        <f aca="false">IF(ISBLANK(BG710),"No comments",BG710)</f>
        <v>Prefers morning</v>
      </c>
      <c r="BI710" s="0" t="s">
        <v>50</v>
      </c>
      <c r="BJ710" s="0" t="str">
        <f aca="false">IF(ISBLANK(BI710),"Not Mentioned",BI710)</f>
        <v>No</v>
      </c>
      <c r="BK710" s="0" t="s">
        <v>63</v>
      </c>
      <c r="BL710" s="0" t="str">
        <f aca="false">PROPER(IF(ISBLANK(BK710),"Not Mentioned",BK710))</f>
        <v>Yes</v>
      </c>
      <c r="BM710" s="0" t="s">
        <v>50</v>
      </c>
      <c r="BN710" s="0" t="str">
        <f aca="false">PROPER(IF(ISBLANK(BM710),"Not Mentioned",BM710))</f>
        <v>No</v>
      </c>
      <c r="BO710" s="0" t="s">
        <v>64</v>
      </c>
      <c r="BP710" s="0" t="str">
        <f aca="false">IF(ISBLANK(BO710),"One-Time Plan",BO710)</f>
        <v>Gold Maintenance Plan</v>
      </c>
      <c r="BQ710" s="0" t="s">
        <v>50</v>
      </c>
      <c r="BR710" s="0" t="str">
        <f aca="false">PROPER(IF(ISBLANK(BQ710),"No",BQ710))</f>
        <v>No</v>
      </c>
    </row>
    <row r="711" customFormat="false" ht="15" hidden="false" customHeight="false" outlineLevel="0" collapsed="false">
      <c r="A711" s="0" t="s">
        <v>1718</v>
      </c>
      <c r="B711" s="2" t="n">
        <v>45821</v>
      </c>
      <c r="C711" s="2" t="str">
        <f aca="false">TEXT(B711,"dd/mm/yyyy")</f>
        <v>13/06/2025</v>
      </c>
      <c r="D711" s="0" t="s">
        <v>121</v>
      </c>
      <c r="E711" s="0" t="n">
        <v>8060696383</v>
      </c>
      <c r="F711" s="0" t="s">
        <v>122</v>
      </c>
      <c r="G711" s="0" t="s">
        <v>2316</v>
      </c>
      <c r="H711" s="0" t="s">
        <v>1719</v>
      </c>
      <c r="I711" s="0" t="s">
        <v>107</v>
      </c>
      <c r="J711" s="0" t="s">
        <v>2322</v>
      </c>
      <c r="K711" s="3" t="str">
        <f aca="false" t="array" ref="K711:K711">IFERROR(IF(J711&lt;&gt;"",J711,INDEX(J711:J1710,MATCH(1,(F711:F1710=F711)*(I711:I1710=I711)*(L711:L1710=L711)*(J711:J1710&lt;&gt;""),0))),"Not Found")</f>
        <v>Brake Failure</v>
      </c>
      <c r="L711" s="3" t="s">
        <v>142</v>
      </c>
      <c r="M711" s="0" t="str">
        <f aca="false">PROPER(L711)</f>
        <v>Oil Filter, Brake Pads</v>
      </c>
      <c r="N711" s="3" t="s">
        <v>71</v>
      </c>
      <c r="O711" s="0" t="str">
        <f aca="false" t="array" ref="O711:O711">IF(N711&lt;&gt;"",N711,_xlfn.xlookup(1,(L711:L1710=L711)*(N711:N1710&lt;&gt;""),N711:N1710,"Not Found"))</f>
        <v>Isaac Bobo</v>
      </c>
      <c r="P711" s="4" t="n">
        <v>51293</v>
      </c>
      <c r="Q711" s="0" t="s">
        <v>110</v>
      </c>
      <c r="R711" s="0" t="str">
        <f aca="false">PROPER(Q711)</f>
        <v>Cash</v>
      </c>
      <c r="S711" s="0" t="s">
        <v>50</v>
      </c>
      <c r="T711" s="0" t="n">
        <v>2</v>
      </c>
      <c r="U711" s="5" t="n">
        <f aca="false">IF(ISBLANK(T711),AVERAGE(T711:T1710),T711)</f>
        <v>2</v>
      </c>
      <c r="V711" s="0" t="n">
        <v>5.1</v>
      </c>
      <c r="X711" s="0" t="str">
        <f aca="false">IF(ISBLANK(W711),"No remarks",W711)</f>
        <v>No remarks</v>
      </c>
      <c r="Y711" s="0" t="s">
        <v>93</v>
      </c>
      <c r="Z711" s="0" t="s">
        <v>94</v>
      </c>
      <c r="AA711" s="0" t="str">
        <f aca="false">PROPER(IF(ISBLANK(Z711),"Location Unavailable",Z711))</f>
        <v>Vip Section</v>
      </c>
      <c r="AB711" s="0" t="s">
        <v>126</v>
      </c>
      <c r="AC711" s="6" t="str">
        <f aca="false">PROPER(AB711)</f>
        <v>Whatsapp</v>
      </c>
      <c r="AD711" s="6" t="n">
        <v>15</v>
      </c>
      <c r="AE711" s="5" t="n">
        <f aca="false">IF(ISBLANK(AD711),AVERAGEIF(L711:L1710,L711,AD711:AD1710),AD711)</f>
        <v>15</v>
      </c>
      <c r="AF711" s="0" t="s">
        <v>55</v>
      </c>
      <c r="AG711" s="0" t="str">
        <f aca="false">PROPER(AF711)</f>
        <v>Available</v>
      </c>
      <c r="AH711" s="0" t="s">
        <v>56</v>
      </c>
      <c r="AI711" s="0" t="s">
        <v>113</v>
      </c>
      <c r="AJ711" s="0" t="str">
        <f aca="false">PROPER(AI711)</f>
        <v>Normal</v>
      </c>
      <c r="AK711" s="0" t="s">
        <v>58</v>
      </c>
      <c r="AL711" s="0" t="str">
        <f aca="false">PROPER(AK711)</f>
        <v>Fleet Owner</v>
      </c>
      <c r="AN711" s="0" t="str">
        <f aca="false">IF(ISBLANK(AM711),"Unknown",AM711)</f>
        <v>Unknown</v>
      </c>
      <c r="AO711" s="0" t="s">
        <v>79</v>
      </c>
      <c r="AP711" s="0" t="str">
        <f aca="false">IF(ISBLANK(AO711),"Unknown",AO711)</f>
        <v>Specialist</v>
      </c>
      <c r="AQ711" s="0" t="n">
        <v>30000</v>
      </c>
      <c r="AR711" s="5" t="n">
        <f aca="false">IF(ISBLANK(AQ711),AVERAGEIF(M711:M1710,M711,AQ711:AQ1710),AQ711)</f>
        <v>30000</v>
      </c>
      <c r="AS711" s="0" t="n">
        <v>40000</v>
      </c>
      <c r="AT711" s="5" t="n">
        <f aca="false">IF(ISBLANK(AS711),AVERAGE(AS711:AS1710),AS711)</f>
        <v>40000</v>
      </c>
      <c r="AU711" s="0" t="s">
        <v>63</v>
      </c>
      <c r="AV711" s="0" t="str">
        <f aca="false">PROPER(IF(ISBLANK(AU711),"No",AU711))</f>
        <v>Yes</v>
      </c>
      <c r="AW711" s="0" t="n">
        <v>5000</v>
      </c>
      <c r="AX711" s="5" t="n">
        <f aca="false">IF(ISBLANK(AW711),0,AW711)</f>
        <v>5000</v>
      </c>
      <c r="AZ711" s="0" t="str">
        <f aca="false">UPPER(IF(ISBLANK(AY711),"NONE",AY711))</f>
        <v>NONE</v>
      </c>
      <c r="BB711" s="7" t="str">
        <f aca="false">IF(ISBLANK(BA711),"No Follow Up Needed",BA711)</f>
        <v>No Follow Up Needed</v>
      </c>
      <c r="BC711" s="0" t="s">
        <v>63</v>
      </c>
      <c r="BD711" s="0" t="str">
        <f aca="false">PROPER(IF(ISBLANK(BC711),"Unknown",BC711))</f>
        <v>Yes</v>
      </c>
      <c r="BF711" s="0" t="str">
        <f aca="false">IF(ISBLANK(BE711),"No comments",BE711)</f>
        <v>No comments</v>
      </c>
      <c r="BH711" s="0" t="str">
        <f aca="false">IF(ISBLANK(BG711),"No comments",BG711)</f>
        <v>No comments</v>
      </c>
      <c r="BI711" s="0" t="s">
        <v>63</v>
      </c>
      <c r="BJ711" s="0" t="str">
        <f aca="false">IF(ISBLANK(BI711),"Not Mentioned",BI711)</f>
        <v>Yes</v>
      </c>
      <c r="BK711" s="0" t="s">
        <v>82</v>
      </c>
      <c r="BL711" s="0" t="str">
        <f aca="false">PROPER(IF(ISBLANK(BK711),"Not Mentioned",BK711))</f>
        <v>Yes</v>
      </c>
      <c r="BM711" s="0" t="s">
        <v>63</v>
      </c>
      <c r="BN711" s="0" t="str">
        <f aca="false">PROPER(IF(ISBLANK(BM711),"Not Mentioned",BM711))</f>
        <v>Yes</v>
      </c>
      <c r="BO711" s="0" t="s">
        <v>64</v>
      </c>
      <c r="BP711" s="0" t="str">
        <f aca="false">IF(ISBLANK(BO711),"One-Time Plan",BO711)</f>
        <v>Gold Maintenance Plan</v>
      </c>
      <c r="BQ711" s="0" t="s">
        <v>198</v>
      </c>
      <c r="BR711" s="0" t="str">
        <f aca="false">PROPER(IF(ISBLANK(BQ711),"No",BQ711))</f>
        <v>Followed Up</v>
      </c>
    </row>
    <row r="712" customFormat="false" ht="15" hidden="false" customHeight="false" outlineLevel="0" collapsed="false">
      <c r="A712" s="0" t="s">
        <v>1720</v>
      </c>
      <c r="B712" s="2" t="n">
        <v>45701</v>
      </c>
      <c r="C712" s="2" t="str">
        <f aca="false">TEXT(B712,"dd/mm/yyyy")</f>
        <v>13/02/2025</v>
      </c>
      <c r="D712" s="0" t="s">
        <v>66</v>
      </c>
      <c r="E712" s="0" t="n">
        <v>8032517176</v>
      </c>
      <c r="F712" s="0" t="s">
        <v>67</v>
      </c>
      <c r="G712" s="0" t="s">
        <v>2316</v>
      </c>
      <c r="H712" s="0" t="s">
        <v>1721</v>
      </c>
      <c r="I712" s="0" t="s">
        <v>134</v>
      </c>
      <c r="J712" s="0" t="s">
        <v>2317</v>
      </c>
      <c r="K712" s="3" t="str">
        <f aca="false" t="array" ref="K712:K712">IFERROR(IF(J712&lt;&gt;"",J712,INDEX(J712:J1711,MATCH(1,(F712:F1711=F712)*(I712:I1711=I712)*(L712:L1711=L712)*(J712:J1711&lt;&gt;""),0))),"Not Found")</f>
        <v>Suspension Noise</v>
      </c>
      <c r="L712" s="3" t="s">
        <v>89</v>
      </c>
      <c r="M712" s="0" t="str">
        <f aca="false">PROPER(L712)</f>
        <v>Shock Absorbers</v>
      </c>
      <c r="N712" s="3" t="s">
        <v>109</v>
      </c>
      <c r="O712" s="0" t="str">
        <f aca="false" t="array" ref="O712:O712">IF(N712&lt;&gt;"",N712,_xlfn.xlookup(1,(L712:L1711=L712)*(N712:N1711&lt;&gt;""),N712:N1711,"Not Found"))</f>
        <v>Tijani</v>
      </c>
      <c r="P712" s="4" t="n">
        <v>42675</v>
      </c>
      <c r="Q712" s="0" t="s">
        <v>91</v>
      </c>
      <c r="R712" s="0" t="str">
        <f aca="false">PROPER(Q712)</f>
        <v>Pos</v>
      </c>
      <c r="S712" s="0" t="s">
        <v>63</v>
      </c>
      <c r="T712" s="0" t="n">
        <v>1</v>
      </c>
      <c r="U712" s="5" t="n">
        <f aca="false">IF(ISBLANK(T712),AVERAGE(T712:T1711),T712)</f>
        <v>1</v>
      </c>
      <c r="V712" s="0" t="n">
        <v>2.6</v>
      </c>
      <c r="W712" s="0" t="s">
        <v>111</v>
      </c>
      <c r="X712" s="0" t="str">
        <f aca="false">IF(ISBLANK(W712),"No remarks",W712)</f>
        <v>Changed all filters</v>
      </c>
      <c r="Y712" s="0" t="s">
        <v>93</v>
      </c>
      <c r="AA712" s="0" t="str">
        <f aca="false">PROPER(IF(ISBLANK(Z712),"Location Unavailable",Z712))</f>
        <v>Location Unavailable</v>
      </c>
      <c r="AB712" s="0" t="s">
        <v>95</v>
      </c>
      <c r="AC712" s="6" t="str">
        <f aca="false">PROPER(AB712)</f>
        <v>Road Sign</v>
      </c>
      <c r="AD712" s="6" t="n">
        <v>45</v>
      </c>
      <c r="AE712" s="5" t="n">
        <f aca="false">IF(ISBLANK(AD712),AVERAGEIF(L712:L1711,L712,AD712:AD1711),AD712)</f>
        <v>45</v>
      </c>
      <c r="AF712" s="0" t="s">
        <v>55</v>
      </c>
      <c r="AG712" s="0" t="str">
        <f aca="false">PROPER(AF712)</f>
        <v>Available</v>
      </c>
      <c r="AH712" s="0" t="s">
        <v>155</v>
      </c>
      <c r="AI712" s="0" t="s">
        <v>78</v>
      </c>
      <c r="AJ712" s="0" t="str">
        <f aca="false">PROPER(AI712)</f>
        <v>Booking</v>
      </c>
      <c r="AK712" s="0" t="s">
        <v>196</v>
      </c>
      <c r="AL712" s="0" t="str">
        <f aca="false">PROPER(AK712)</f>
        <v>First Time</v>
      </c>
      <c r="AN712" s="0" t="str">
        <f aca="false">IF(ISBLANK(AM712),"Unknown",AM712)</f>
        <v>Unknown</v>
      </c>
      <c r="AO712" s="0" t="s">
        <v>143</v>
      </c>
      <c r="AP712" s="0" t="str">
        <f aca="false">IF(ISBLANK(AO712),"Unknown",AO712)</f>
        <v>Senior</v>
      </c>
      <c r="AQ712" s="0" t="n">
        <v>30000</v>
      </c>
      <c r="AR712" s="5" t="n">
        <f aca="false">IF(ISBLANK(AQ712),AVERAGEIF(M712:M1711,M712,AQ712:AQ1711),AQ712)</f>
        <v>30000</v>
      </c>
      <c r="AS712" s="0" t="n">
        <v>40000</v>
      </c>
      <c r="AT712" s="5" t="n">
        <f aca="false">IF(ISBLANK(AS712),AVERAGE(AS712:AS1711),AS712)</f>
        <v>40000</v>
      </c>
      <c r="AU712" s="0" t="s">
        <v>50</v>
      </c>
      <c r="AV712" s="0" t="str">
        <f aca="false">PROPER(IF(ISBLANK(AU712),"No",AU712))</f>
        <v>No</v>
      </c>
      <c r="AW712" s="0" t="n">
        <v>5000</v>
      </c>
      <c r="AX712" s="5" t="n">
        <f aca="false">IF(ISBLANK(AW712),0,AW712)</f>
        <v>5000</v>
      </c>
      <c r="AZ712" s="0" t="str">
        <f aca="false">UPPER(IF(ISBLANK(AY712),"NONE",AY712))</f>
        <v>NONE</v>
      </c>
      <c r="BA712" s="7" t="n">
        <v>45909</v>
      </c>
      <c r="BB712" s="7" t="n">
        <f aca="false">IF(ISBLANK(BA712),"No Follow Up Needed",BA712)</f>
        <v>45909</v>
      </c>
      <c r="BC712" s="0" t="s">
        <v>50</v>
      </c>
      <c r="BD712" s="0" t="str">
        <f aca="false">PROPER(IF(ISBLANK(BC712),"Unknown",BC712))</f>
        <v>No</v>
      </c>
      <c r="BE712" s="0" t="s">
        <v>116</v>
      </c>
      <c r="BF712" s="0" t="str">
        <f aca="false">IF(ISBLANK(BE712),"No comments",BE712)</f>
        <v>Needs tire alignment</v>
      </c>
      <c r="BG712" s="0" t="s">
        <v>117</v>
      </c>
      <c r="BH712" s="0" t="str">
        <f aca="false">IF(ISBLANK(BG712),"No comments",BG712)</f>
        <v>Prefers morning</v>
      </c>
      <c r="BI712" s="0" t="s">
        <v>50</v>
      </c>
      <c r="BJ712" s="0" t="str">
        <f aca="false">IF(ISBLANK(BI712),"Not Mentioned",BI712)</f>
        <v>No</v>
      </c>
      <c r="BK712" s="0" t="s">
        <v>63</v>
      </c>
      <c r="BL712" s="0" t="str">
        <f aca="false">PROPER(IF(ISBLANK(BK712),"Not Mentioned",BK712))</f>
        <v>Yes</v>
      </c>
      <c r="BN712" s="0" t="str">
        <f aca="false">PROPER(IF(ISBLANK(BM712),"Not Mentioned",BM712))</f>
        <v>Not Mentioned</v>
      </c>
      <c r="BO712" s="0" t="s">
        <v>64</v>
      </c>
      <c r="BP712" s="0" t="str">
        <f aca="false">IF(ISBLANK(BO712),"One-Time Plan",BO712)</f>
        <v>Gold Maintenance Plan</v>
      </c>
      <c r="BQ712" s="0" t="s">
        <v>50</v>
      </c>
      <c r="BR712" s="0" t="str">
        <f aca="false">PROPER(IF(ISBLANK(BQ712),"No",BQ712))</f>
        <v>No</v>
      </c>
    </row>
    <row r="713" customFormat="false" ht="15" hidden="false" customHeight="false" outlineLevel="0" collapsed="false">
      <c r="A713" s="0" t="s">
        <v>1722</v>
      </c>
      <c r="B713" s="2" t="s">
        <v>669</v>
      </c>
      <c r="C713" s="2" t="str">
        <f aca="false">TEXT(B713,"dd/mm/yyyy")</f>
        <v>16/04/2025</v>
      </c>
      <c r="D713" s="0" t="s">
        <v>66</v>
      </c>
      <c r="E713" s="0" t="n">
        <v>8073178094</v>
      </c>
      <c r="F713" s="0" t="s">
        <v>43</v>
      </c>
      <c r="G713" s="0" t="s">
        <v>2315</v>
      </c>
      <c r="H713" s="0" t="s">
        <v>1723</v>
      </c>
      <c r="I713" s="0" t="s">
        <v>87</v>
      </c>
      <c r="J713" s="0" t="s">
        <v>2317</v>
      </c>
      <c r="K713" s="3" t="str">
        <f aca="false" t="array" ref="K713:K713">IFERROR(IF(J713&lt;&gt;"",J713,INDEX(J713:J1712,MATCH(1,(F713:F1712=F713)*(I713:I1712=I713)*(L713:L1712=L713)*(J713:J1712&lt;&gt;""),0))),"Not Found")</f>
        <v>Suspension Noise</v>
      </c>
      <c r="L713" s="3" t="s">
        <v>154</v>
      </c>
      <c r="M713" s="0" t="str">
        <f aca="false">PROPER(L713)</f>
        <v>Air Filter</v>
      </c>
      <c r="N713" s="3" t="s">
        <v>48</v>
      </c>
      <c r="O713" s="0" t="str">
        <f aca="false" t="array" ref="O713:O713">IF(N713&lt;&gt;"",N713,_xlfn.xlookup(1,(L713:L1712=L713)*(N713:N1712&lt;&gt;""),N713:N1712,"Not Found"))</f>
        <v>Uche</v>
      </c>
      <c r="P713" s="4" t="n">
        <v>97518</v>
      </c>
      <c r="Q713" s="0" t="s">
        <v>110</v>
      </c>
      <c r="R713" s="0" t="str">
        <f aca="false">PROPER(Q713)</f>
        <v>Cash</v>
      </c>
      <c r="S713" s="0" t="s">
        <v>63</v>
      </c>
      <c r="T713" s="0" t="n">
        <v>5</v>
      </c>
      <c r="U713" s="5" t="n">
        <f aca="false">IF(ISBLANK(T713),AVERAGE(T713:T1712),T713)</f>
        <v>5</v>
      </c>
      <c r="V713" s="0" t="n">
        <v>5.6</v>
      </c>
      <c r="W713" s="0" t="s">
        <v>92</v>
      </c>
      <c r="X713" s="0" t="str">
        <f aca="false">IF(ISBLANK(W713),"No remarks",W713)</f>
        <v>Urgent service</v>
      </c>
      <c r="Y713" s="0" t="s">
        <v>52</v>
      </c>
      <c r="Z713" s="0" t="s">
        <v>53</v>
      </c>
      <c r="AA713" s="0" t="str">
        <f aca="false">PROPER(IF(ISBLANK(Z713),"Location Unavailable",Z713))</f>
        <v>Main Bay</v>
      </c>
      <c r="AB713" s="0" t="s">
        <v>167</v>
      </c>
      <c r="AC713" s="6" t="str">
        <f aca="false">PROPER(AB713)</f>
        <v>Word Of Mouth</v>
      </c>
      <c r="AD713" s="6" t="n">
        <v>15</v>
      </c>
      <c r="AE713" s="5" t="n">
        <f aca="false">IF(ISBLANK(AD713),AVERAGEIF(L713:L1712,L713,AD713:AD1712),AD713)</f>
        <v>15</v>
      </c>
      <c r="AF713" s="0" t="s">
        <v>96</v>
      </c>
      <c r="AG713" s="0" t="str">
        <f aca="false">PROPER(AF713)</f>
        <v>Ordered</v>
      </c>
      <c r="AH713" s="0" t="s">
        <v>77</v>
      </c>
      <c r="AI713" s="0" t="s">
        <v>78</v>
      </c>
      <c r="AJ713" s="0" t="str">
        <f aca="false">PROPER(AI713)</f>
        <v>Booking</v>
      </c>
      <c r="AK713" s="0" t="s">
        <v>114</v>
      </c>
      <c r="AL713" s="0" t="str">
        <f aca="false">PROPER(AK713)</f>
        <v>Returning</v>
      </c>
      <c r="AM713" s="0" t="s">
        <v>177</v>
      </c>
      <c r="AN713" s="0" t="str">
        <f aca="false">IF(ISBLANK(AM713),"Unknown",AM713)</f>
        <v>Private</v>
      </c>
      <c r="AO713" s="0" t="s">
        <v>149</v>
      </c>
      <c r="AP713" s="0" t="str">
        <f aca="false">IF(ISBLANK(AO713),"Unknown",AO713)</f>
        <v>Senior </v>
      </c>
      <c r="AQ713" s="0" t="n">
        <v>30000</v>
      </c>
      <c r="AR713" s="5" t="n">
        <f aca="false">IF(ISBLANK(AQ713),AVERAGEIF(M713:M1712,M713,AQ713:AQ1712),AQ713)</f>
        <v>30000</v>
      </c>
      <c r="AS713" s="0" t="n">
        <v>30000</v>
      </c>
      <c r="AT713" s="5" t="n">
        <f aca="false">IF(ISBLANK(AS713),AVERAGE(AS713:AS1712),AS713)</f>
        <v>30000</v>
      </c>
      <c r="AU713" s="0" t="s">
        <v>61</v>
      </c>
      <c r="AV713" s="0" t="str">
        <f aca="false">PROPER(IF(ISBLANK(AU713),"No",AU713))</f>
        <v>No</v>
      </c>
      <c r="AX713" s="5" t="n">
        <f aca="false">IF(ISBLANK(AW713),0,AW713)</f>
        <v>0</v>
      </c>
      <c r="AZ713" s="0" t="str">
        <f aca="false">UPPER(IF(ISBLANK(AY713),"NONE",AY713))</f>
        <v>NONE</v>
      </c>
      <c r="BB713" s="7" t="str">
        <f aca="false">IF(ISBLANK(BA713),"No Follow Up Needed",BA713)</f>
        <v>No Follow Up Needed</v>
      </c>
      <c r="BC713" s="0" t="s">
        <v>63</v>
      </c>
      <c r="BD713" s="0" t="str">
        <f aca="false">PROPER(IF(ISBLANK(BC713),"Unknown",BC713))</f>
        <v>Yes</v>
      </c>
      <c r="BF713" s="0" t="str">
        <f aca="false">IF(ISBLANK(BE713),"No comments",BE713)</f>
        <v>No comments</v>
      </c>
      <c r="BG713" s="0" t="s">
        <v>2320</v>
      </c>
      <c r="BH713" s="0" t="str">
        <f aca="false">IF(ISBLANK(BG713),"No comments",BG713)</f>
        <v>No complaints</v>
      </c>
      <c r="BI713" s="0" t="s">
        <v>50</v>
      </c>
      <c r="BJ713" s="0" t="str">
        <f aca="false">IF(ISBLANK(BI713),"Not Mentioned",BI713)</f>
        <v>No</v>
      </c>
      <c r="BL713" s="0" t="str">
        <f aca="false">PROPER(IF(ISBLANK(BK713),"Not Mentioned",BK713))</f>
        <v>Not Mentioned</v>
      </c>
      <c r="BM713" s="0" t="s">
        <v>50</v>
      </c>
      <c r="BN713" s="0" t="str">
        <f aca="false">PROPER(IF(ISBLANK(BM713),"Not Mentioned",BM713))</f>
        <v>No</v>
      </c>
      <c r="BO713" s="0" t="s">
        <v>2321</v>
      </c>
      <c r="BP713" s="0" t="str">
        <f aca="false">IF(ISBLANK(BO713),"One-Time Plan",BO713)</f>
        <v>One-Time Plan</v>
      </c>
      <c r="BR713" s="0" t="str">
        <f aca="false">PROPER(IF(ISBLANK(BQ713),"No",BQ713))</f>
        <v>No</v>
      </c>
    </row>
    <row r="714" customFormat="false" ht="15" hidden="false" customHeight="false" outlineLevel="0" collapsed="false">
      <c r="A714" s="0" t="s">
        <v>1724</v>
      </c>
      <c r="B714" s="2" t="n">
        <v>45663</v>
      </c>
      <c r="C714" s="2" t="str">
        <f aca="false">TEXT(B714,"dd/mm/yyyy")</f>
        <v>06/01/2025</v>
      </c>
      <c r="D714" s="0" t="s">
        <v>121</v>
      </c>
      <c r="E714" s="0" t="n">
        <v>8069240493</v>
      </c>
      <c r="F714" s="0" t="s">
        <v>67</v>
      </c>
      <c r="G714" s="0" t="s">
        <v>2316</v>
      </c>
      <c r="H714" s="0" t="s">
        <v>1725</v>
      </c>
      <c r="I714" s="0" t="s">
        <v>107</v>
      </c>
      <c r="J714" s="0" t="s">
        <v>87</v>
      </c>
      <c r="K714" s="3" t="str">
        <f aca="false" t="array" ref="K714:K714">IFERROR(IF(J714&lt;&gt;"",J714,INDEX(J714:J1713,MATCH(1,(F714:F1713=F714)*(I714:I1713=I714)*(L714:L1713=L714)*(J714:J1713&lt;&gt;""),0))),"Not Found")</f>
        <v>Oil Change</v>
      </c>
      <c r="L714" s="3" t="s">
        <v>89</v>
      </c>
      <c r="M714" s="0" t="str">
        <f aca="false">PROPER(L714)</f>
        <v>Shock Absorbers</v>
      </c>
      <c r="O714" s="0" t="e">
        <f aca="false" t="array" ref="O714:O714">IF(N714&lt;&gt;"",N714,_xlfn.xlookup(1,(L714:L1713=L714)*(N714:N1713&lt;&gt;""),N714:N1713,"Not Found"))</f>
        <v>#NAME?</v>
      </c>
      <c r="P714" s="4" t="n">
        <v>102763</v>
      </c>
      <c r="Q714" s="0" t="s">
        <v>166</v>
      </c>
      <c r="R714" s="0" t="str">
        <f aca="false">PROPER(Q714)</f>
        <v>Transfer</v>
      </c>
      <c r="S714" s="0" t="s">
        <v>63</v>
      </c>
      <c r="T714" s="0" t="n">
        <v>2</v>
      </c>
      <c r="U714" s="5" t="n">
        <f aca="false">IF(ISBLANK(T714),AVERAGE(T714:T1713),T714)</f>
        <v>2</v>
      </c>
      <c r="V714" s="0" t="n">
        <v>4.9</v>
      </c>
      <c r="W714" s="0" t="s">
        <v>125</v>
      </c>
      <c r="X714" s="0" t="str">
        <f aca="false">IF(ISBLANK(W714),"No remarks",W714)</f>
        <v>Customer waited</v>
      </c>
      <c r="Y714" s="0" t="s">
        <v>93</v>
      </c>
      <c r="Z714" s="0" t="s">
        <v>136</v>
      </c>
      <c r="AA714" s="0" t="str">
        <f aca="false">PROPER(IF(ISBLANK(Z714),"Location Unavailable",Z714))</f>
        <v>Vip Section</v>
      </c>
      <c r="AB714" s="0" t="s">
        <v>126</v>
      </c>
      <c r="AC714" s="6" t="str">
        <f aca="false">PROPER(AB714)</f>
        <v>Whatsapp</v>
      </c>
      <c r="AD714" s="6" t="n">
        <v>15</v>
      </c>
      <c r="AE714" s="5" t="n">
        <f aca="false">IF(ISBLANK(AD714),AVERAGEIF(L714:L1713,L714,AD714:AD1713),AD714)</f>
        <v>15</v>
      </c>
      <c r="AF714" s="0" t="s">
        <v>112</v>
      </c>
      <c r="AG714" s="0" t="str">
        <f aca="false">PROPER(AF714)</f>
        <v>Unavailable</v>
      </c>
      <c r="AH714" s="0" t="s">
        <v>56</v>
      </c>
      <c r="AI714" s="0" t="s">
        <v>98</v>
      </c>
      <c r="AJ714" s="0" t="str">
        <f aca="false">PROPER(AI714)</f>
        <v>Emergency</v>
      </c>
      <c r="AK714" s="0" t="s">
        <v>114</v>
      </c>
      <c r="AL714" s="0" t="str">
        <f aca="false">PROPER(AK714)</f>
        <v>Returning</v>
      </c>
      <c r="AM714" s="0" t="s">
        <v>2326</v>
      </c>
      <c r="AN714" s="0" t="str">
        <f aca="false">IF(ISBLANK(AM714),"Unknown",AM714)</f>
        <v>Government Convoy</v>
      </c>
      <c r="AO714" s="0" t="s">
        <v>161</v>
      </c>
      <c r="AP714" s="0" t="str">
        <f aca="false">IF(ISBLANK(AO714),"Unknown",AO714)</f>
        <v>Apprentice</v>
      </c>
      <c r="AQ714" s="0" t="n">
        <v>30000</v>
      </c>
      <c r="AR714" s="5" t="n">
        <f aca="false">IF(ISBLANK(AQ714),AVERAGEIF(M714:M1713,M714,AQ714:AQ1713),AQ714)</f>
        <v>30000</v>
      </c>
      <c r="AS714" s="0" t="n">
        <v>30000</v>
      </c>
      <c r="AT714" s="5" t="n">
        <f aca="false">IF(ISBLANK(AS714),AVERAGE(AS714:AS1713),AS714)</f>
        <v>30000</v>
      </c>
      <c r="AV714" s="0" t="str">
        <f aca="false">PROPER(IF(ISBLANK(AU714),"No",AU714))</f>
        <v>No</v>
      </c>
      <c r="AW714" s="0" t="n">
        <v>5000</v>
      </c>
      <c r="AX714" s="5" t="n">
        <f aca="false">IF(ISBLANK(AW714),0,AW714)</f>
        <v>5000</v>
      </c>
      <c r="AZ714" s="0" t="str">
        <f aca="false">UPPER(IF(ISBLANK(AY714),"NONE",AY714))</f>
        <v>NONE</v>
      </c>
      <c r="BB714" s="7" t="str">
        <f aca="false">IF(ISBLANK(BA714),"No Follow Up Needed",BA714)</f>
        <v>No Follow Up Needed</v>
      </c>
      <c r="BC714" s="0" t="s">
        <v>63</v>
      </c>
      <c r="BD714" s="0" t="str">
        <f aca="false">PROPER(IF(ISBLANK(BC714),"Unknown",BC714))</f>
        <v>Yes</v>
      </c>
      <c r="BE714" s="0" t="s">
        <v>171</v>
      </c>
      <c r="BF714" s="0" t="str">
        <f aca="false">IF(ISBLANK(BE714),"No comments",BE714)</f>
        <v>Shock absorber weakening</v>
      </c>
      <c r="BH714" s="0" t="str">
        <f aca="false">IF(ISBLANK(BG714),"No comments",BG714)</f>
        <v>No comments</v>
      </c>
      <c r="BJ714" s="0" t="str">
        <f aca="false">IF(ISBLANK(BI714),"Not Mentioned",BI714)</f>
        <v>Not Mentioned</v>
      </c>
      <c r="BK714" s="0" t="s">
        <v>61</v>
      </c>
      <c r="BL714" s="0" t="str">
        <f aca="false">PROPER(IF(ISBLANK(BK714),"Not Mentioned",BK714))</f>
        <v>No</v>
      </c>
      <c r="BN714" s="0" t="str">
        <f aca="false">PROPER(IF(ISBLANK(BM714),"Not Mentioned",BM714))</f>
        <v>Not Mentioned</v>
      </c>
      <c r="BP714" s="0" t="str">
        <f aca="false">IF(ISBLANK(BO714),"One-Time Plan",BO714)</f>
        <v>One-Time Plan</v>
      </c>
      <c r="BQ714" s="0" t="s">
        <v>198</v>
      </c>
      <c r="BR714" s="0" t="str">
        <f aca="false">PROPER(IF(ISBLANK(BQ714),"No",BQ714))</f>
        <v>Followed Up</v>
      </c>
    </row>
    <row r="715" customFormat="false" ht="15" hidden="false" customHeight="false" outlineLevel="0" collapsed="false">
      <c r="A715" s="0" t="s">
        <v>1726</v>
      </c>
      <c r="B715" s="2" t="n">
        <v>45767</v>
      </c>
      <c r="C715" s="2" t="str">
        <f aca="false">TEXT(B715,"dd/mm/yyyy")</f>
        <v>20/04/2025</v>
      </c>
      <c r="D715" s="0" t="s">
        <v>42</v>
      </c>
      <c r="E715" s="0" t="n">
        <v>8066733465</v>
      </c>
      <c r="F715" s="0" t="s">
        <v>43</v>
      </c>
      <c r="G715" s="0" t="s">
        <v>2315</v>
      </c>
      <c r="H715" s="0" t="s">
        <v>1727</v>
      </c>
      <c r="I715" s="0" t="s">
        <v>134</v>
      </c>
      <c r="J715" s="0" t="s">
        <v>2322</v>
      </c>
      <c r="K715" s="3" t="str">
        <f aca="false" t="array" ref="K715:K715">IFERROR(IF(J715&lt;&gt;"",J715,INDEX(J715:J1714,MATCH(1,(F715:F1714=F715)*(I715:I1714=I715)*(L715:L1714=L715)*(J715:J1714&lt;&gt;""),0))),"Not Found")</f>
        <v>Brake Failure</v>
      </c>
      <c r="L715" s="3" t="s">
        <v>189</v>
      </c>
      <c r="M715" s="0" t="str">
        <f aca="false">PROPER(L715)</f>
        <v>Battery</v>
      </c>
      <c r="N715" s="3" t="s">
        <v>109</v>
      </c>
      <c r="O715" s="0" t="str">
        <f aca="false" t="array" ref="O715:O715">IF(N715&lt;&gt;"",N715,_xlfn.xlookup(1,(L715:L1714=L715)*(N715:N1714&lt;&gt;""),N715:N1714,"Not Found"))</f>
        <v>Tijani</v>
      </c>
      <c r="P715" s="4" t="n">
        <v>18621</v>
      </c>
      <c r="Q715" s="0" t="s">
        <v>110</v>
      </c>
      <c r="R715" s="0" t="str">
        <f aca="false">PROPER(Q715)</f>
        <v>Cash</v>
      </c>
      <c r="S715" s="0" t="s">
        <v>50</v>
      </c>
      <c r="U715" s="5" t="n">
        <f aca="false">IF(ISBLANK(T715),AVERAGE(T715:T1714),T715)</f>
        <v>3.14406779661017</v>
      </c>
      <c r="V715" s="0" t="n">
        <v>4.7</v>
      </c>
      <c r="W715" s="0" t="s">
        <v>125</v>
      </c>
      <c r="X715" s="0" t="str">
        <f aca="false">IF(ISBLANK(W715),"No remarks",W715)</f>
        <v>Customer waited</v>
      </c>
      <c r="Y715" s="0" t="s">
        <v>93</v>
      </c>
      <c r="Z715" s="0" t="s">
        <v>53</v>
      </c>
      <c r="AA715" s="0" t="str">
        <f aca="false">PROPER(IF(ISBLANK(Z715),"Location Unavailable",Z715))</f>
        <v>Main Bay</v>
      </c>
      <c r="AB715" s="0" t="s">
        <v>126</v>
      </c>
      <c r="AC715" s="6" t="str">
        <f aca="false">PROPER(AB715)</f>
        <v>Whatsapp</v>
      </c>
      <c r="AD715" s="6" t="n">
        <v>45</v>
      </c>
      <c r="AE715" s="5" t="n">
        <f aca="false">IF(ISBLANK(AD715),AVERAGEIF(L715:L1714,L715,AD715:AD1714),AD715)</f>
        <v>45</v>
      </c>
      <c r="AF715" s="0" t="s">
        <v>96</v>
      </c>
      <c r="AG715" s="0" t="str">
        <f aca="false">PROPER(AF715)</f>
        <v>Ordered</v>
      </c>
      <c r="AH715" s="0" t="s">
        <v>155</v>
      </c>
      <c r="AI715" s="0" t="s">
        <v>98</v>
      </c>
      <c r="AJ715" s="0" t="str">
        <f aca="false">PROPER(AI715)</f>
        <v>Emergency</v>
      </c>
      <c r="AK715" s="0" t="s">
        <v>114</v>
      </c>
      <c r="AL715" s="0" t="str">
        <f aca="false">PROPER(AK715)</f>
        <v>Returning</v>
      </c>
      <c r="AM715" s="0" t="s">
        <v>2324</v>
      </c>
      <c r="AN715" s="0" t="str">
        <f aca="false">IF(ISBLANK(AM715),"Unknown",AM715)</f>
        <v>Logistics Convoy</v>
      </c>
      <c r="AO715" s="0" t="s">
        <v>161</v>
      </c>
      <c r="AP715" s="0" t="str">
        <f aca="false">IF(ISBLANK(AO715),"Unknown",AO715)</f>
        <v>Apprentice</v>
      </c>
      <c r="AQ715" s="0" t="n">
        <v>30000</v>
      </c>
      <c r="AR715" s="5" t="n">
        <f aca="false">IF(ISBLANK(AQ715),AVERAGEIF(M715:M1714,M715,AQ715:AQ1714),AQ715)</f>
        <v>30000</v>
      </c>
      <c r="AS715" s="0" t="n">
        <v>40000</v>
      </c>
      <c r="AT715" s="5" t="n">
        <f aca="false">IF(ISBLANK(AS715),AVERAGE(AS715:AS1714),AS715)</f>
        <v>40000</v>
      </c>
      <c r="AU715" s="0" t="s">
        <v>50</v>
      </c>
      <c r="AV715" s="0" t="str">
        <f aca="false">PROPER(IF(ISBLANK(AU715),"No",AU715))</f>
        <v>No</v>
      </c>
      <c r="AX715" s="5" t="n">
        <f aca="false">IF(ISBLANK(AW715),0,AW715)</f>
        <v>0</v>
      </c>
      <c r="AZ715" s="0" t="str">
        <f aca="false">UPPER(IF(ISBLANK(AY715),"NONE",AY715))</f>
        <v>NONE</v>
      </c>
      <c r="BB715" s="7" t="str">
        <f aca="false">IF(ISBLANK(BA715),"No Follow Up Needed",BA715)</f>
        <v>No Follow Up Needed</v>
      </c>
      <c r="BC715" s="0" t="s">
        <v>61</v>
      </c>
      <c r="BD715" s="0" t="str">
        <f aca="false">PROPER(IF(ISBLANK(BC715),"Unknown",BC715))</f>
        <v>No</v>
      </c>
      <c r="BF715" s="0" t="str">
        <f aca="false">IF(ISBLANK(BE715),"No comments",BE715)</f>
        <v>No comments</v>
      </c>
      <c r="BH715" s="0" t="str">
        <f aca="false">IF(ISBLANK(BG715),"No comments",BG715)</f>
        <v>No comments</v>
      </c>
      <c r="BI715" s="0" t="s">
        <v>63</v>
      </c>
      <c r="BJ715" s="0" t="str">
        <f aca="false">IF(ISBLANK(BI715),"Not Mentioned",BI715)</f>
        <v>Yes</v>
      </c>
      <c r="BK715" s="0" t="s">
        <v>63</v>
      </c>
      <c r="BL715" s="0" t="str">
        <f aca="false">PROPER(IF(ISBLANK(BK715),"Not Mentioned",BK715))</f>
        <v>Yes</v>
      </c>
      <c r="BM715" s="0" t="s">
        <v>63</v>
      </c>
      <c r="BN715" s="0" t="str">
        <f aca="false">PROPER(IF(ISBLANK(BM715),"Not Mentioned",BM715))</f>
        <v>Yes</v>
      </c>
      <c r="BO715" s="0" t="s">
        <v>2321</v>
      </c>
      <c r="BP715" s="0" t="str">
        <f aca="false">IF(ISBLANK(BO715),"One-Time Plan",BO715)</f>
        <v>One-Time Plan</v>
      </c>
      <c r="BQ715" s="0" t="s">
        <v>198</v>
      </c>
      <c r="BR715" s="0" t="str">
        <f aca="false">PROPER(IF(ISBLANK(BQ715),"No",BQ715))</f>
        <v>Followed Up</v>
      </c>
    </row>
    <row r="716" customFormat="false" ht="15" hidden="false" customHeight="false" outlineLevel="0" collapsed="false">
      <c r="A716" s="0" t="s">
        <v>1728</v>
      </c>
      <c r="B716" s="2" t="n">
        <v>45780</v>
      </c>
      <c r="C716" s="2" t="str">
        <f aca="false">TEXT(B716,"dd/mm/yyyy")</f>
        <v>03/05/2025</v>
      </c>
      <c r="D716" s="0" t="s">
        <v>42</v>
      </c>
      <c r="E716" s="0" t="n">
        <v>8077819218</v>
      </c>
      <c r="F716" s="0" t="s">
        <v>122</v>
      </c>
      <c r="G716" s="0" t="s">
        <v>2316</v>
      </c>
      <c r="H716" s="0" t="s">
        <v>1729</v>
      </c>
      <c r="I716" s="0" t="s">
        <v>134</v>
      </c>
      <c r="J716" s="0" t="s">
        <v>2317</v>
      </c>
      <c r="K716" s="3" t="str">
        <f aca="false" t="array" ref="K716:K716">IFERROR(IF(J716&lt;&gt;"",J716,INDEX(J716:J1715,MATCH(1,(F716:F1715=F716)*(I716:I1715=I716)*(L716:L1715=L716)*(J716:J1715&lt;&gt;""),0))),"Not Found")</f>
        <v>Suspension Noise</v>
      </c>
      <c r="L716" s="3" t="s">
        <v>142</v>
      </c>
      <c r="M716" s="0" t="str">
        <f aca="false">PROPER(L716)</f>
        <v>Oil Filter, Brake Pads</v>
      </c>
      <c r="N716" s="3" t="s">
        <v>48</v>
      </c>
      <c r="O716" s="0" t="str">
        <f aca="false" t="array" ref="O716:O716">IF(N716&lt;&gt;"",N716,_xlfn.xlookup(1,(L716:L1715=L716)*(N716:N1715&lt;&gt;""),N716:N1715,"Not Found"))</f>
        <v>Uche</v>
      </c>
      <c r="P716" s="4" t="n">
        <v>51506</v>
      </c>
      <c r="Q716" s="0" t="s">
        <v>124</v>
      </c>
      <c r="R716" s="0" t="str">
        <f aca="false">PROPER(Q716)</f>
        <v>Cash</v>
      </c>
      <c r="S716" s="0" t="s">
        <v>63</v>
      </c>
      <c r="T716" s="0" t="n">
        <v>4</v>
      </c>
      <c r="U716" s="5" t="n">
        <f aca="false">IF(ISBLANK(T716),AVERAGE(T716:T1715),T716)</f>
        <v>4</v>
      </c>
      <c r="V716" s="0" t="n">
        <v>5</v>
      </c>
      <c r="W716" s="0" t="s">
        <v>111</v>
      </c>
      <c r="X716" s="0" t="str">
        <f aca="false">IF(ISBLANK(W716),"No remarks",W716)</f>
        <v>Changed all filters</v>
      </c>
      <c r="Y716" s="0" t="s">
        <v>73</v>
      </c>
      <c r="Z716" s="0" t="s">
        <v>159</v>
      </c>
      <c r="AA716" s="0" t="str">
        <f aca="false">PROPER(IF(ISBLANK(Z716),"Location Unavailable",Z716))</f>
        <v>Main Bay</v>
      </c>
      <c r="AB716" s="0" t="s">
        <v>75</v>
      </c>
      <c r="AC716" s="6" t="str">
        <f aca="false">PROPER(AB716)</f>
        <v>Mechanik Referal</v>
      </c>
      <c r="AD716" s="6" t="n">
        <v>45</v>
      </c>
      <c r="AE716" s="5" t="n">
        <f aca="false">IF(ISBLANK(AD716),AVERAGEIF(L716:L1715,L716,AD716:AD1715),AD716)</f>
        <v>45</v>
      </c>
      <c r="AF716" s="0" t="s">
        <v>96</v>
      </c>
      <c r="AG716" s="0" t="str">
        <f aca="false">PROPER(AF716)</f>
        <v>Ordered</v>
      </c>
      <c r="AH716" s="0" t="s">
        <v>148</v>
      </c>
      <c r="AI716" s="0" t="s">
        <v>128</v>
      </c>
      <c r="AJ716" s="0" t="str">
        <f aca="false">PROPER(AI716)</f>
        <v>Normal</v>
      </c>
      <c r="AK716" s="0" t="s">
        <v>58</v>
      </c>
      <c r="AL716" s="0" t="str">
        <f aca="false">PROPER(AK716)</f>
        <v>Fleet Owner</v>
      </c>
      <c r="AN716" s="0" t="str">
        <f aca="false">IF(ISBLANK(AM716),"Unknown",AM716)</f>
        <v>Unknown</v>
      </c>
      <c r="AO716" s="0" t="s">
        <v>161</v>
      </c>
      <c r="AP716" s="0" t="str">
        <f aca="false">IF(ISBLANK(AO716),"Unknown",AO716)</f>
        <v>Apprentice</v>
      </c>
      <c r="AQ716" s="0" t="n">
        <v>20000</v>
      </c>
      <c r="AR716" s="5" t="n">
        <f aca="false">IF(ISBLANK(AQ716),AVERAGEIF(M716:M1715,M716,AQ716:AQ1715),AQ716)</f>
        <v>20000</v>
      </c>
      <c r="AS716" s="0" t="n">
        <v>30000</v>
      </c>
      <c r="AT716" s="5" t="n">
        <f aca="false">IF(ISBLANK(AS716),AVERAGE(AS716:AS1715),AS716)</f>
        <v>30000</v>
      </c>
      <c r="AU716" s="0" t="s">
        <v>82</v>
      </c>
      <c r="AV716" s="0" t="str">
        <f aca="false">PROPER(IF(ISBLANK(AU716),"No",AU716))</f>
        <v>Yes</v>
      </c>
      <c r="AW716" s="0" t="n">
        <v>5000</v>
      </c>
      <c r="AX716" s="5" t="n">
        <f aca="false">IF(ISBLANK(AW716),0,AW716)</f>
        <v>5000</v>
      </c>
      <c r="AY716" s="0" t="s">
        <v>184</v>
      </c>
      <c r="AZ716" s="0" t="str">
        <f aca="false">UPPER(IF(ISBLANK(AY716),"NONE",AY716))</f>
        <v>N/A</v>
      </c>
      <c r="BA716" s="7" t="n">
        <v>45952</v>
      </c>
      <c r="BB716" s="7" t="n">
        <f aca="false">IF(ISBLANK(BA716),"No Follow Up Needed",BA716)</f>
        <v>45952</v>
      </c>
      <c r="BC716" s="0" t="s">
        <v>61</v>
      </c>
      <c r="BD716" s="0" t="str">
        <f aca="false">PROPER(IF(ISBLANK(BC716),"Unknown",BC716))</f>
        <v>No</v>
      </c>
      <c r="BF716" s="0" t="str">
        <f aca="false">IF(ISBLANK(BE716),"No comments",BE716)</f>
        <v>No comments</v>
      </c>
      <c r="BH716" s="0" t="str">
        <f aca="false">IF(ISBLANK(BG716),"No comments",BG716)</f>
        <v>No comments</v>
      </c>
      <c r="BI716" s="0" t="s">
        <v>50</v>
      </c>
      <c r="BJ716" s="0" t="str">
        <f aca="false">IF(ISBLANK(BI716),"Not Mentioned",BI716)</f>
        <v>No</v>
      </c>
      <c r="BK716" s="0" t="s">
        <v>61</v>
      </c>
      <c r="BL716" s="0" t="str">
        <f aca="false">PROPER(IF(ISBLANK(BK716),"Not Mentioned",BK716))</f>
        <v>No</v>
      </c>
      <c r="BM716" s="0" t="s">
        <v>50</v>
      </c>
      <c r="BN716" s="0" t="str">
        <f aca="false">PROPER(IF(ISBLANK(BM716),"Not Mentioned",BM716))</f>
        <v>No</v>
      </c>
      <c r="BO716" s="0" t="s">
        <v>2318</v>
      </c>
      <c r="BP716" s="0" t="str">
        <f aca="false">IF(ISBLANK(BO716),"One-Time Plan",BO716)</f>
        <v>Gold</v>
      </c>
      <c r="BQ716" s="0" t="s">
        <v>50</v>
      </c>
      <c r="BR716" s="0" t="str">
        <f aca="false">PROPER(IF(ISBLANK(BQ716),"No",BQ716))</f>
        <v>No</v>
      </c>
    </row>
    <row r="717" customFormat="false" ht="15" hidden="false" customHeight="false" outlineLevel="0" collapsed="false">
      <c r="A717" s="0" t="s">
        <v>1730</v>
      </c>
      <c r="B717" s="2" t="n">
        <v>45806</v>
      </c>
      <c r="C717" s="2" t="str">
        <f aca="false">TEXT(B717,"dd/mm/yyyy")</f>
        <v>29/05/2025</v>
      </c>
      <c r="D717" s="0" t="s">
        <v>105</v>
      </c>
      <c r="E717" s="0" t="n">
        <v>8091791507</v>
      </c>
      <c r="F717" s="0" t="s">
        <v>67</v>
      </c>
      <c r="G717" s="0" t="s">
        <v>2316</v>
      </c>
      <c r="H717" s="0" t="s">
        <v>1731</v>
      </c>
      <c r="I717" s="0" t="s">
        <v>134</v>
      </c>
      <c r="J717" s="0" t="s">
        <v>2317</v>
      </c>
      <c r="K717" s="3" t="str">
        <f aca="false" t="array" ref="K717:K717">IFERROR(IF(J717&lt;&gt;"",J717,INDEX(J717:J1716,MATCH(1,(F717:F1716=F717)*(I717:I1716=I717)*(L717:L1716=L717)*(J717:J1716&lt;&gt;""),0))),"Not Found")</f>
        <v>Suspension Noise</v>
      </c>
      <c r="L717" s="3" t="s">
        <v>189</v>
      </c>
      <c r="M717" s="0" t="str">
        <f aca="false">PROPER(L717)</f>
        <v>Battery</v>
      </c>
      <c r="N717" s="3" t="s">
        <v>48</v>
      </c>
      <c r="O717" s="0" t="str">
        <f aca="false" t="array" ref="O717:O717">IF(N717&lt;&gt;"",N717,_xlfn.xlookup(1,(L717:L1716=L717)*(N717:N1716&lt;&gt;""),N717:N1716,"Not Found"))</f>
        <v>Uche</v>
      </c>
      <c r="P717" s="4" t="n">
        <v>112820</v>
      </c>
      <c r="Q717" s="0" t="s">
        <v>124</v>
      </c>
      <c r="R717" s="0" t="str">
        <f aca="false">PROPER(Q717)</f>
        <v>Cash</v>
      </c>
      <c r="S717" s="0" t="s">
        <v>50</v>
      </c>
      <c r="T717" s="0" t="n">
        <v>2</v>
      </c>
      <c r="U717" s="5" t="n">
        <f aca="false">IF(ISBLANK(T717),AVERAGE(T717:T1716),T717)</f>
        <v>2</v>
      </c>
      <c r="V717" s="0" t="n">
        <v>6</v>
      </c>
      <c r="W717" s="0" t="s">
        <v>51</v>
      </c>
      <c r="X717" s="0" t="str">
        <f aca="false">IF(ISBLANK(W717),"No remarks",W717)</f>
        <v>Recommended further checks</v>
      </c>
      <c r="Y717" s="0" t="s">
        <v>52</v>
      </c>
      <c r="Z717" s="0" t="s">
        <v>159</v>
      </c>
      <c r="AA717" s="0" t="str">
        <f aca="false">PROPER(IF(ISBLANK(Z717),"Location Unavailable",Z717))</f>
        <v>Main Bay</v>
      </c>
      <c r="AB717" s="0" t="s">
        <v>167</v>
      </c>
      <c r="AC717" s="6" t="str">
        <f aca="false">PROPER(AB717)</f>
        <v>Word Of Mouth</v>
      </c>
      <c r="AD717" s="6" t="n">
        <v>45</v>
      </c>
      <c r="AE717" s="5" t="n">
        <f aca="false">IF(ISBLANK(AD717),AVERAGEIF(L717:L1716,L717,AD717:AD1716),AD717)</f>
        <v>45</v>
      </c>
      <c r="AF717" s="0" t="s">
        <v>112</v>
      </c>
      <c r="AG717" s="0" t="str">
        <f aca="false">PROPER(AF717)</f>
        <v>Unavailable</v>
      </c>
      <c r="AH717" s="0" t="s">
        <v>148</v>
      </c>
      <c r="AI717" s="0" t="s">
        <v>128</v>
      </c>
      <c r="AJ717" s="0" t="str">
        <f aca="false">PROPER(AI717)</f>
        <v>Normal</v>
      </c>
      <c r="AK717" s="0" t="s">
        <v>58</v>
      </c>
      <c r="AL717" s="0" t="str">
        <f aca="false">PROPER(AK717)</f>
        <v>Fleet Owner</v>
      </c>
      <c r="AM717" s="0" t="s">
        <v>2326</v>
      </c>
      <c r="AN717" s="0" t="str">
        <f aca="false">IF(ISBLANK(AM717),"Unknown",AM717)</f>
        <v>Government Convoy</v>
      </c>
      <c r="AP717" s="0" t="str">
        <f aca="false">IF(ISBLANK(AO717),"Unknown",AO717)</f>
        <v>Unknown</v>
      </c>
      <c r="AQ717" s="0" t="n">
        <v>30000</v>
      </c>
      <c r="AR717" s="5" t="n">
        <f aca="false">IF(ISBLANK(AQ717),AVERAGEIF(M717:M1716,M717,AQ717:AQ1716),AQ717)</f>
        <v>30000</v>
      </c>
      <c r="AS717" s="0" t="n">
        <v>30000</v>
      </c>
      <c r="AT717" s="5" t="n">
        <f aca="false">IF(ISBLANK(AS717),AVERAGE(AS717:AS1716),AS717)</f>
        <v>30000</v>
      </c>
      <c r="AV717" s="0" t="str">
        <f aca="false">PROPER(IF(ISBLANK(AU717),"No",AU717))</f>
        <v>No</v>
      </c>
      <c r="AW717" s="0" t="n">
        <v>0</v>
      </c>
      <c r="AX717" s="5" t="n">
        <f aca="false">IF(ISBLANK(AW717),0,AW717)</f>
        <v>0</v>
      </c>
      <c r="AY717" s="0" t="s">
        <v>130</v>
      </c>
      <c r="AZ717" s="0" t="str">
        <f aca="false">UPPER(IF(ISBLANK(AY717),"NONE",AY717))</f>
        <v>LOYALTY10</v>
      </c>
      <c r="BA717" s="7" t="n">
        <v>45937</v>
      </c>
      <c r="BB717" s="7" t="n">
        <f aca="false">IF(ISBLANK(BA717),"No Follow Up Needed",BA717)</f>
        <v>45937</v>
      </c>
      <c r="BD717" s="0" t="str">
        <f aca="false">PROPER(IF(ISBLANK(BC717),"Unknown",BC717))</f>
        <v>Unknown</v>
      </c>
      <c r="BE717" s="0" t="s">
        <v>116</v>
      </c>
      <c r="BF717" s="0" t="str">
        <f aca="false">IF(ISBLANK(BE717),"No comments",BE717)</f>
        <v>Needs tire alignment</v>
      </c>
      <c r="BG717" s="0" t="s">
        <v>2320</v>
      </c>
      <c r="BH717" s="0" t="str">
        <f aca="false">IF(ISBLANK(BG717),"No comments",BG717)</f>
        <v>No complaints</v>
      </c>
      <c r="BI717" s="0" t="s">
        <v>50</v>
      </c>
      <c r="BJ717" s="0" t="str">
        <f aca="false">IF(ISBLANK(BI717),"Not Mentioned",BI717)</f>
        <v>No</v>
      </c>
      <c r="BK717" s="0" t="s">
        <v>63</v>
      </c>
      <c r="BL717" s="0" t="str">
        <f aca="false">PROPER(IF(ISBLANK(BK717),"Not Mentioned",BK717))</f>
        <v>Yes</v>
      </c>
      <c r="BM717" s="0" t="s">
        <v>63</v>
      </c>
      <c r="BN717" s="0" t="str">
        <f aca="false">PROPER(IF(ISBLANK(BM717),"Not Mentioned",BM717))</f>
        <v>Yes</v>
      </c>
      <c r="BO717" s="0" t="s">
        <v>2321</v>
      </c>
      <c r="BP717" s="0" t="str">
        <f aca="false">IF(ISBLANK(BO717),"One-Time Plan",BO717)</f>
        <v>One-Time Plan</v>
      </c>
      <c r="BQ717" s="0" t="s">
        <v>50</v>
      </c>
      <c r="BR717" s="0" t="str">
        <f aca="false">PROPER(IF(ISBLANK(BQ717),"No",BQ717))</f>
        <v>No</v>
      </c>
    </row>
    <row r="718" customFormat="false" ht="15" hidden="false" customHeight="false" outlineLevel="0" collapsed="false">
      <c r="A718" s="0" t="s">
        <v>1732</v>
      </c>
      <c r="B718" s="2" t="n">
        <v>45804</v>
      </c>
      <c r="C718" s="2" t="str">
        <f aca="false">TEXT(B718,"dd/mm/yyyy")</f>
        <v>27/05/2025</v>
      </c>
      <c r="D718" s="0" t="s">
        <v>105</v>
      </c>
      <c r="E718" s="0" t="n">
        <v>8068174055</v>
      </c>
      <c r="F718" s="0" t="s">
        <v>67</v>
      </c>
      <c r="G718" s="0" t="s">
        <v>2316</v>
      </c>
      <c r="H718" s="0" t="s">
        <v>1733</v>
      </c>
      <c r="I718" s="0" t="s">
        <v>87</v>
      </c>
      <c r="J718" s="0" t="s">
        <v>2322</v>
      </c>
      <c r="K718" s="3" t="str">
        <f aca="false" t="array" ref="K718:K718">IFERROR(IF(J718&lt;&gt;"",J718,INDEX(J718:J1717,MATCH(1,(F718:F1717=F718)*(I718:I1717=I718)*(L718:L1717=L718)*(J718:J1717&lt;&gt;""),0))),"Not Found")</f>
        <v>Brake Failure</v>
      </c>
      <c r="L718" s="3" t="s">
        <v>108</v>
      </c>
      <c r="M718" s="0" t="str">
        <f aca="false">PROPER(L718)</f>
        <v>Timing Belt</v>
      </c>
      <c r="N718" s="3" t="s">
        <v>48</v>
      </c>
      <c r="O718" s="0" t="str">
        <f aca="false" t="array" ref="O718:O718">IF(N718&lt;&gt;"",N718,_xlfn.xlookup(1,(L718:L1717=L718)*(N718:N1717&lt;&gt;""),N718:N1717,"Not Found"))</f>
        <v>Uche</v>
      </c>
      <c r="P718" s="4" t="n">
        <v>32560</v>
      </c>
      <c r="Q718" s="0" t="s">
        <v>166</v>
      </c>
      <c r="R718" s="0" t="str">
        <f aca="false">PROPER(Q718)</f>
        <v>Transfer</v>
      </c>
      <c r="S718" s="0" t="s">
        <v>63</v>
      </c>
      <c r="T718" s="0" t="n">
        <v>2</v>
      </c>
      <c r="U718" s="5" t="n">
        <f aca="false">IF(ISBLANK(T718),AVERAGE(T718:T1717),T718)</f>
        <v>2</v>
      </c>
      <c r="V718" s="0" t="n">
        <v>1.6</v>
      </c>
      <c r="W718" s="0" t="s">
        <v>125</v>
      </c>
      <c r="X718" s="0" t="str">
        <f aca="false">IF(ISBLANK(W718),"No remarks",W718)</f>
        <v>Customer waited</v>
      </c>
      <c r="Y718" s="0" t="s">
        <v>52</v>
      </c>
      <c r="Z718" s="0" t="s">
        <v>53</v>
      </c>
      <c r="AA718" s="0" t="str">
        <f aca="false">PROPER(IF(ISBLANK(Z718),"Location Unavailable",Z718))</f>
        <v>Main Bay</v>
      </c>
      <c r="AB718" s="0" t="s">
        <v>75</v>
      </c>
      <c r="AC718" s="6" t="str">
        <f aca="false">PROPER(AB718)</f>
        <v>Mechanik Referal</v>
      </c>
      <c r="AD718" s="6" t="n">
        <v>15</v>
      </c>
      <c r="AE718" s="5" t="n">
        <f aca="false">IF(ISBLANK(AD718),AVERAGEIF(L718:L1717,L718,AD718:AD1717),AD718)</f>
        <v>15</v>
      </c>
      <c r="AF718" s="0" t="s">
        <v>112</v>
      </c>
      <c r="AG718" s="0" t="str">
        <f aca="false">PROPER(AF718)</f>
        <v>Unavailable</v>
      </c>
      <c r="AH718" s="0" t="s">
        <v>155</v>
      </c>
      <c r="AI718" s="0" t="s">
        <v>113</v>
      </c>
      <c r="AJ718" s="0" t="str">
        <f aca="false">PROPER(AI718)</f>
        <v>Normal</v>
      </c>
      <c r="AK718" s="0" t="s">
        <v>196</v>
      </c>
      <c r="AL718" s="0" t="str">
        <f aca="false">PROPER(AK718)</f>
        <v>First Time</v>
      </c>
      <c r="AM718" s="0" t="s">
        <v>2326</v>
      </c>
      <c r="AN718" s="0" t="str">
        <f aca="false">IF(ISBLANK(AM718),"Unknown",AM718)</f>
        <v>Government Convoy</v>
      </c>
      <c r="AO718" s="0" t="s">
        <v>161</v>
      </c>
      <c r="AP718" s="0" t="str">
        <f aca="false">IF(ISBLANK(AO718),"Unknown",AO718)</f>
        <v>Apprentice</v>
      </c>
      <c r="AQ718" s="0" t="n">
        <v>15000</v>
      </c>
      <c r="AR718" s="5" t="n">
        <f aca="false">IF(ISBLANK(AQ718),AVERAGEIF(M718:M1717,M718,AQ718:AQ1717),AQ718)</f>
        <v>15000</v>
      </c>
      <c r="AS718" s="0" t="n">
        <v>30000</v>
      </c>
      <c r="AT718" s="5" t="n">
        <f aca="false">IF(ISBLANK(AS718),AVERAGE(AS718:AS1717),AS718)</f>
        <v>30000</v>
      </c>
      <c r="AV718" s="0" t="str">
        <f aca="false">PROPER(IF(ISBLANK(AU718),"No",AU718))</f>
        <v>No</v>
      </c>
      <c r="AW718" s="0" t="n">
        <v>0</v>
      </c>
      <c r="AX718" s="5" t="n">
        <f aca="false">IF(ISBLANK(AW718),0,AW718)</f>
        <v>0</v>
      </c>
      <c r="AY718" s="0" t="s">
        <v>130</v>
      </c>
      <c r="AZ718" s="0" t="str">
        <f aca="false">UPPER(IF(ISBLANK(AY718),"NONE",AY718))</f>
        <v>LOYALTY10</v>
      </c>
      <c r="BA718" s="7" t="n">
        <v>45998</v>
      </c>
      <c r="BB718" s="7" t="n">
        <f aca="false">IF(ISBLANK(BA718),"No Follow Up Needed",BA718)</f>
        <v>45998</v>
      </c>
      <c r="BC718" s="0" t="s">
        <v>82</v>
      </c>
      <c r="BD718" s="0" t="str">
        <f aca="false">PROPER(IF(ISBLANK(BC718),"Unknown",BC718))</f>
        <v>Yes</v>
      </c>
      <c r="BF718" s="0" t="str">
        <f aca="false">IF(ISBLANK(BE718),"No comments",BE718)</f>
        <v>No comments</v>
      </c>
      <c r="BH718" s="0" t="str">
        <f aca="false">IF(ISBLANK(BG718),"No comments",BG718)</f>
        <v>No comments</v>
      </c>
      <c r="BI718" s="0" t="s">
        <v>50</v>
      </c>
      <c r="BJ718" s="0" t="str">
        <f aca="false">IF(ISBLANK(BI718),"Not Mentioned",BI718)</f>
        <v>No</v>
      </c>
      <c r="BL718" s="0" t="str">
        <f aca="false">PROPER(IF(ISBLANK(BK718),"Not Mentioned",BK718))</f>
        <v>Not Mentioned</v>
      </c>
      <c r="BM718" s="0" t="s">
        <v>63</v>
      </c>
      <c r="BN718" s="0" t="str">
        <f aca="false">PROPER(IF(ISBLANK(BM718),"Not Mentioned",BM718))</f>
        <v>Yes</v>
      </c>
      <c r="BO718" s="0" t="s">
        <v>64</v>
      </c>
      <c r="BP718" s="0" t="str">
        <f aca="false">IF(ISBLANK(BO718),"One-Time Plan",BO718)</f>
        <v>Gold Maintenance Plan</v>
      </c>
      <c r="BQ718" s="0" t="s">
        <v>198</v>
      </c>
      <c r="BR718" s="0" t="str">
        <f aca="false">PROPER(IF(ISBLANK(BQ718),"No",BQ718))</f>
        <v>Followed Up</v>
      </c>
    </row>
    <row r="719" customFormat="false" ht="15" hidden="false" customHeight="false" outlineLevel="0" collapsed="false">
      <c r="A719" s="0" t="s">
        <v>1734</v>
      </c>
      <c r="B719" s="2" t="n">
        <v>45668</v>
      </c>
      <c r="C719" s="2" t="str">
        <f aca="false">TEXT(B719,"dd/mm/yyyy")</f>
        <v>11/01/2025</v>
      </c>
      <c r="D719" s="0" t="s">
        <v>163</v>
      </c>
      <c r="E719" s="0" t="n">
        <v>8030921653</v>
      </c>
      <c r="F719" s="0" t="s">
        <v>85</v>
      </c>
      <c r="G719" s="0" t="s">
        <v>2319</v>
      </c>
      <c r="H719" s="0" t="s">
        <v>1735</v>
      </c>
      <c r="I719" s="0" t="s">
        <v>87</v>
      </c>
      <c r="J719" s="0" t="s">
        <v>87</v>
      </c>
      <c r="K719" s="3" t="str">
        <f aca="false" t="array" ref="K719:K719">IFERROR(IF(J719&lt;&gt;"",J719,INDEX(J719:J1718,MATCH(1,(F719:F1718=F719)*(I719:I1718=I719)*(L719:L1718=L719)*(J719:J1718&lt;&gt;""),0))),"Not Found")</f>
        <v>Oil Change</v>
      </c>
      <c r="L719" s="3" t="s">
        <v>108</v>
      </c>
      <c r="M719" s="0" t="str">
        <f aca="false">PROPER(L719)</f>
        <v>Timing Belt</v>
      </c>
      <c r="N719" s="3" t="s">
        <v>48</v>
      </c>
      <c r="O719" s="0" t="str">
        <f aca="false" t="array" ref="O719:O719">IF(N719&lt;&gt;"",N719,_xlfn.xlookup(1,(L719:L1718=L719)*(N719:N1718&lt;&gt;""),N719:N1718,"Not Found"))</f>
        <v>Uche</v>
      </c>
      <c r="P719" s="4" t="n">
        <v>15543</v>
      </c>
      <c r="Q719" s="0" t="s">
        <v>124</v>
      </c>
      <c r="R719" s="0" t="str">
        <f aca="false">PROPER(Q719)</f>
        <v>Cash</v>
      </c>
      <c r="S719" s="0" t="s">
        <v>50</v>
      </c>
      <c r="T719" s="0" t="n">
        <v>1</v>
      </c>
      <c r="U719" s="5" t="n">
        <f aca="false">IF(ISBLANK(T719),AVERAGE(T719:T1718),T719)</f>
        <v>1</v>
      </c>
      <c r="V719" s="0" t="n">
        <v>1.8</v>
      </c>
      <c r="X719" s="0" t="str">
        <f aca="false">IF(ISBLANK(W719),"No remarks",W719)</f>
        <v>No remarks</v>
      </c>
      <c r="Y719" s="0" t="s">
        <v>73</v>
      </c>
      <c r="Z719" s="0" t="s">
        <v>94</v>
      </c>
      <c r="AA719" s="0" t="str">
        <f aca="false">PROPER(IF(ISBLANK(Z719),"Location Unavailable",Z719))</f>
        <v>Vip Section</v>
      </c>
      <c r="AB719" s="0" t="s">
        <v>167</v>
      </c>
      <c r="AC719" s="6" t="str">
        <f aca="false">PROPER(AB719)</f>
        <v>Word Of Mouth</v>
      </c>
      <c r="AD719" s="6" t="n">
        <v>30</v>
      </c>
      <c r="AE719" s="5" t="n">
        <f aca="false">IF(ISBLANK(AD719),AVERAGEIF(L719:L1718,L719,AD719:AD1718),AD719)</f>
        <v>30</v>
      </c>
      <c r="AF719" s="0" t="s">
        <v>76</v>
      </c>
      <c r="AG719" s="0" t="str">
        <f aca="false">PROPER(AF719)</f>
        <v>Orderd</v>
      </c>
      <c r="AH719" s="0" t="s">
        <v>155</v>
      </c>
      <c r="AI719" s="0" t="s">
        <v>98</v>
      </c>
      <c r="AJ719" s="0" t="str">
        <f aca="false">PROPER(AI719)</f>
        <v>Emergency</v>
      </c>
      <c r="AK719" s="0" t="s">
        <v>196</v>
      </c>
      <c r="AL719" s="0" t="str">
        <f aca="false">PROPER(AK719)</f>
        <v>First Time</v>
      </c>
      <c r="AN719" s="0" t="str">
        <f aca="false">IF(ISBLANK(AM719),"Unknown",AM719)</f>
        <v>Unknown</v>
      </c>
      <c r="AO719" s="0" t="s">
        <v>161</v>
      </c>
      <c r="AP719" s="0" t="str">
        <f aca="false">IF(ISBLANK(AO719),"Unknown",AO719)</f>
        <v>Apprentice</v>
      </c>
      <c r="AQ719" s="0" t="n">
        <v>25000</v>
      </c>
      <c r="AR719" s="5" t="n">
        <f aca="false">IF(ISBLANK(AQ719),AVERAGEIF(M719:M1718,M719,AQ719:AQ1718),AQ719)</f>
        <v>25000</v>
      </c>
      <c r="AS719" s="0" t="n">
        <v>40000</v>
      </c>
      <c r="AT719" s="5" t="n">
        <f aca="false">IF(ISBLANK(AS719),AVERAGE(AS719:AS1718),AS719)</f>
        <v>40000</v>
      </c>
      <c r="AU719" s="0" t="s">
        <v>63</v>
      </c>
      <c r="AV719" s="0" t="str">
        <f aca="false">PROPER(IF(ISBLANK(AU719),"No",AU719))</f>
        <v>Yes</v>
      </c>
      <c r="AW719" s="0" t="n">
        <v>0</v>
      </c>
      <c r="AX719" s="5" t="n">
        <f aca="false">IF(ISBLANK(AW719),0,AW719)</f>
        <v>0</v>
      </c>
      <c r="AY719" s="0" t="s">
        <v>130</v>
      </c>
      <c r="AZ719" s="0" t="str">
        <f aca="false">UPPER(IF(ISBLANK(AY719),"NONE",AY719))</f>
        <v>LOYALTY10</v>
      </c>
      <c r="BB719" s="7" t="str">
        <f aca="false">IF(ISBLANK(BA719),"No Follow Up Needed",BA719)</f>
        <v>No Follow Up Needed</v>
      </c>
      <c r="BC719" s="0" t="s">
        <v>82</v>
      </c>
      <c r="BD719" s="0" t="str">
        <f aca="false">PROPER(IF(ISBLANK(BC719),"Unknown",BC719))</f>
        <v>Yes</v>
      </c>
      <c r="BE719" s="0" t="s">
        <v>171</v>
      </c>
      <c r="BF719" s="0" t="str">
        <f aca="false">IF(ISBLANK(BE719),"No comments",BE719)</f>
        <v>Shock absorber weakening</v>
      </c>
      <c r="BG719" s="0" t="s">
        <v>172</v>
      </c>
      <c r="BH719" s="0" t="str">
        <f aca="false">IF(ISBLANK(BG719),"No comments",BG719)</f>
        <v>Always late</v>
      </c>
      <c r="BJ719" s="0" t="str">
        <f aca="false">IF(ISBLANK(BI719),"Not Mentioned",BI719)</f>
        <v>Not Mentioned</v>
      </c>
      <c r="BL719" s="0" t="str">
        <f aca="false">PROPER(IF(ISBLANK(BK719),"Not Mentioned",BK719))</f>
        <v>Not Mentioned</v>
      </c>
      <c r="BM719" s="0" t="s">
        <v>50</v>
      </c>
      <c r="BN719" s="0" t="str">
        <f aca="false">PROPER(IF(ISBLANK(BM719),"Not Mentioned",BM719))</f>
        <v>No</v>
      </c>
      <c r="BP719" s="0" t="str">
        <f aca="false">IF(ISBLANK(BO719),"One-Time Plan",BO719)</f>
        <v>One-Time Plan</v>
      </c>
      <c r="BQ719" s="0" t="s">
        <v>50</v>
      </c>
      <c r="BR719" s="0" t="str">
        <f aca="false">PROPER(IF(ISBLANK(BQ719),"No",BQ719))</f>
        <v>No</v>
      </c>
    </row>
    <row r="720" customFormat="false" ht="15" hidden="false" customHeight="false" outlineLevel="0" collapsed="false">
      <c r="A720" s="0" t="s">
        <v>1736</v>
      </c>
      <c r="B720" s="2" t="s">
        <v>1483</v>
      </c>
      <c r="C720" s="2" t="str">
        <f aca="false">TEXT(B720,"dd/mm/yyyy")</f>
        <v>16/05/2025</v>
      </c>
      <c r="D720" s="0" t="s">
        <v>163</v>
      </c>
      <c r="E720" s="0" t="n">
        <v>8074693042</v>
      </c>
      <c r="F720" s="0" t="s">
        <v>122</v>
      </c>
      <c r="G720" s="0" t="s">
        <v>2316</v>
      </c>
      <c r="H720" s="0" t="s">
        <v>1737</v>
      </c>
      <c r="I720" s="0" t="s">
        <v>45</v>
      </c>
      <c r="J720" s="0" t="s">
        <v>2317</v>
      </c>
      <c r="K720" s="3" t="str">
        <f aca="false" t="array" ref="K720:K720">IFERROR(IF(J720&lt;&gt;"",J720,INDEX(J720:J1719,MATCH(1,(F720:F1719=F720)*(I720:I1719=I720)*(L720:L1719=L720)*(J720:J1719&lt;&gt;""),0))),"Not Found")</f>
        <v>Suspension Noise</v>
      </c>
      <c r="L720" s="3" t="s">
        <v>89</v>
      </c>
      <c r="M720" s="0" t="str">
        <f aca="false">PROPER(L720)</f>
        <v>Shock Absorbers</v>
      </c>
      <c r="N720" s="3" t="s">
        <v>109</v>
      </c>
      <c r="O720" s="0" t="str">
        <f aca="false" t="array" ref="O720:O720">IF(N720&lt;&gt;"",N720,_xlfn.xlookup(1,(L720:L1719=L720)*(N720:N1719&lt;&gt;""),N720:N1719,"Not Found"))</f>
        <v>Tijani</v>
      </c>
      <c r="P720" s="4" t="n">
        <v>43491</v>
      </c>
      <c r="Q720" s="0" t="s">
        <v>124</v>
      </c>
      <c r="R720" s="0" t="str">
        <f aca="false">PROPER(Q720)</f>
        <v>Cash</v>
      </c>
      <c r="S720" s="0" t="s">
        <v>50</v>
      </c>
      <c r="T720" s="0" t="n">
        <v>2</v>
      </c>
      <c r="U720" s="5" t="n">
        <f aca="false">IF(ISBLANK(T720),AVERAGE(T720:T1719),T720)</f>
        <v>2</v>
      </c>
      <c r="V720" s="0" t="n">
        <v>5</v>
      </c>
      <c r="X720" s="0" t="str">
        <f aca="false">IF(ISBLANK(W720),"No remarks",W720)</f>
        <v>No remarks</v>
      </c>
      <c r="Y720" s="0" t="s">
        <v>73</v>
      </c>
      <c r="AA720" s="0" t="str">
        <f aca="false">PROPER(IF(ISBLANK(Z720),"Location Unavailable",Z720))</f>
        <v>Location Unavailable</v>
      </c>
      <c r="AB720" s="0" t="s">
        <v>126</v>
      </c>
      <c r="AC720" s="6" t="str">
        <f aca="false">PROPER(AB720)</f>
        <v>Whatsapp</v>
      </c>
      <c r="AD720" s="6" t="n">
        <v>15</v>
      </c>
      <c r="AE720" s="5" t="n">
        <f aca="false">IF(ISBLANK(AD720),AVERAGEIF(L720:L1719,L720,AD720:AD1719),AD720)</f>
        <v>15</v>
      </c>
      <c r="AF720" s="0" t="s">
        <v>96</v>
      </c>
      <c r="AG720" s="0" t="str">
        <f aca="false">PROPER(AF720)</f>
        <v>Ordered</v>
      </c>
      <c r="AH720" s="0" t="s">
        <v>56</v>
      </c>
      <c r="AI720" s="0" t="s">
        <v>128</v>
      </c>
      <c r="AJ720" s="0" t="str">
        <f aca="false">PROPER(AI720)</f>
        <v>Normal</v>
      </c>
      <c r="AK720" s="0" t="s">
        <v>196</v>
      </c>
      <c r="AL720" s="0" t="str">
        <f aca="false">PROPER(AK720)</f>
        <v>First Time</v>
      </c>
      <c r="AM720" s="0" t="s">
        <v>59</v>
      </c>
      <c r="AN720" s="0" t="str">
        <f aca="false">IF(ISBLANK(AM720),"Unknown",AM720)</f>
        <v>Bolt Driver</v>
      </c>
      <c r="AP720" s="0" t="str">
        <f aca="false">IF(ISBLANK(AO720),"Unknown",AO720)</f>
        <v>Unknown</v>
      </c>
      <c r="AR720" s="5" t="n">
        <f aca="false">IF(ISBLANK(AQ720),AVERAGEIF(M720:M1719,M720,AQ720:AQ1719),AQ720)</f>
        <v>23289.4736842105</v>
      </c>
      <c r="AS720" s="0" t="n">
        <v>30000</v>
      </c>
      <c r="AT720" s="5" t="n">
        <f aca="false">IF(ISBLANK(AS720),AVERAGE(AS720:AS1719),AS720)</f>
        <v>30000</v>
      </c>
      <c r="AU720" s="0" t="s">
        <v>63</v>
      </c>
      <c r="AV720" s="0" t="str">
        <f aca="false">PROPER(IF(ISBLANK(AU720),"No",AU720))</f>
        <v>Yes</v>
      </c>
      <c r="AW720" s="0" t="n">
        <v>0</v>
      </c>
      <c r="AX720" s="5" t="n">
        <f aca="false">IF(ISBLANK(AW720),0,AW720)</f>
        <v>0</v>
      </c>
      <c r="AY720" s="0" t="s">
        <v>184</v>
      </c>
      <c r="AZ720" s="0" t="str">
        <f aca="false">UPPER(IF(ISBLANK(AY720),"NONE",AY720))</f>
        <v>N/A</v>
      </c>
      <c r="BA720" s="7" t="n">
        <v>46009</v>
      </c>
      <c r="BB720" s="7" t="n">
        <f aca="false">IF(ISBLANK(BA720),"No Follow Up Needed",BA720)</f>
        <v>46009</v>
      </c>
      <c r="BC720" s="0" t="s">
        <v>50</v>
      </c>
      <c r="BD720" s="0" t="str">
        <f aca="false">PROPER(IF(ISBLANK(BC720),"Unknown",BC720))</f>
        <v>No</v>
      </c>
      <c r="BF720" s="0" t="str">
        <f aca="false">IF(ISBLANK(BE720),"No comments",BE720)</f>
        <v>No comments</v>
      </c>
      <c r="BH720" s="0" t="str">
        <f aca="false">IF(ISBLANK(BG720),"No comments",BG720)</f>
        <v>No comments</v>
      </c>
      <c r="BI720" s="0" t="s">
        <v>63</v>
      </c>
      <c r="BJ720" s="0" t="str">
        <f aca="false">IF(ISBLANK(BI720),"Not Mentioned",BI720)</f>
        <v>Yes</v>
      </c>
      <c r="BL720" s="0" t="str">
        <f aca="false">PROPER(IF(ISBLANK(BK720),"Not Mentioned",BK720))</f>
        <v>Not Mentioned</v>
      </c>
      <c r="BM720" s="0" t="s">
        <v>63</v>
      </c>
      <c r="BN720" s="0" t="str">
        <f aca="false">PROPER(IF(ISBLANK(BM720),"Not Mentioned",BM720))</f>
        <v>Yes</v>
      </c>
      <c r="BP720" s="0" t="str">
        <f aca="false">IF(ISBLANK(BO720),"One-Time Plan",BO720)</f>
        <v>One-Time Plan</v>
      </c>
      <c r="BQ720" s="0" t="s">
        <v>50</v>
      </c>
      <c r="BR720" s="0" t="str">
        <f aca="false">PROPER(IF(ISBLANK(BQ720),"No",BQ720))</f>
        <v>No</v>
      </c>
    </row>
    <row r="721" customFormat="false" ht="15" hidden="false" customHeight="false" outlineLevel="0" collapsed="false">
      <c r="A721" s="0" t="s">
        <v>1738</v>
      </c>
      <c r="B721" s="2" t="n">
        <v>45683</v>
      </c>
      <c r="C721" s="2" t="str">
        <f aca="false">TEXT(B721,"dd/mm/yyyy")</f>
        <v>26/01/2025</v>
      </c>
      <c r="D721" s="0" t="s">
        <v>105</v>
      </c>
      <c r="E721" s="0" t="n">
        <v>8012658997</v>
      </c>
      <c r="F721" s="0" t="s">
        <v>122</v>
      </c>
      <c r="G721" s="0" t="s">
        <v>2316</v>
      </c>
      <c r="H721" s="0" t="s">
        <v>318</v>
      </c>
      <c r="I721" s="0" t="s">
        <v>134</v>
      </c>
      <c r="K721" s="3" t="str">
        <f aca="false" t="array" ref="K721:K721">IFERROR(IF(J721&lt;&gt;"",J721,INDEX(J721:J1720,MATCH(1,(F721:F1720=F721)*(I721:I1720=I721)*(L721:L1720=L721)*(J721:J1720&lt;&gt;""),0))),"Not Found")</f>
        <v>Suspension Noise</v>
      </c>
      <c r="L721" s="3" t="s">
        <v>142</v>
      </c>
      <c r="M721" s="0" t="str">
        <f aca="false">PROPER(L721)</f>
        <v>Oil Filter, Brake Pads</v>
      </c>
      <c r="O721" s="0" t="e">
        <f aca="false" t="array" ref="O721:O721">IF(N721&lt;&gt;"",N721,_xlfn.xlookup(1,(L721:L1720=L721)*(N721:N1720&lt;&gt;""),N721:N1720,"Not Found"))</f>
        <v>#NAME?</v>
      </c>
      <c r="P721" s="4" t="n">
        <v>90027</v>
      </c>
      <c r="Q721" s="0" t="s">
        <v>91</v>
      </c>
      <c r="R721" s="0" t="str">
        <f aca="false">PROPER(Q721)</f>
        <v>Pos</v>
      </c>
      <c r="S721" s="0" t="s">
        <v>63</v>
      </c>
      <c r="T721" s="0" t="n">
        <v>2</v>
      </c>
      <c r="U721" s="5" t="n">
        <f aca="false">IF(ISBLANK(T721),AVERAGE(T721:T1720),T721)</f>
        <v>2</v>
      </c>
      <c r="V721" s="0" t="n">
        <v>5.8</v>
      </c>
      <c r="X721" s="0" t="str">
        <f aca="false">IF(ISBLANK(W721),"No remarks",W721)</f>
        <v>No remarks</v>
      </c>
      <c r="Y721" s="0" t="s">
        <v>73</v>
      </c>
      <c r="Z721" s="0" t="s">
        <v>53</v>
      </c>
      <c r="AA721" s="0" t="str">
        <f aca="false">PROPER(IF(ISBLANK(Z721),"Location Unavailable",Z721))</f>
        <v>Main Bay</v>
      </c>
      <c r="AB721" s="0" t="s">
        <v>95</v>
      </c>
      <c r="AC721" s="6" t="str">
        <f aca="false">PROPER(AB721)</f>
        <v>Road Sign</v>
      </c>
      <c r="AE721" s="5" t="n">
        <f aca="false">IF(ISBLANK(AD721),AVERAGEIF(L721:L1720,L721,AD721:AD1720),AD721)</f>
        <v>39.4736842105263</v>
      </c>
      <c r="AF721" s="0" t="s">
        <v>55</v>
      </c>
      <c r="AG721" s="0" t="str">
        <f aca="false">PROPER(AF721)</f>
        <v>Available</v>
      </c>
      <c r="AH721" s="0" t="s">
        <v>77</v>
      </c>
      <c r="AI721" s="0" t="s">
        <v>78</v>
      </c>
      <c r="AJ721" s="0" t="str">
        <f aca="false">PROPER(AI721)</f>
        <v>Booking</v>
      </c>
      <c r="AK721" s="0" t="s">
        <v>114</v>
      </c>
      <c r="AL721" s="0" t="str">
        <f aca="false">PROPER(AK721)</f>
        <v>Returning</v>
      </c>
      <c r="AM721" s="0" t="s">
        <v>2326</v>
      </c>
      <c r="AN721" s="0" t="str">
        <f aca="false">IF(ISBLANK(AM721),"Unknown",AM721)</f>
        <v>Government Convoy</v>
      </c>
      <c r="AP721" s="0" t="str">
        <f aca="false">IF(ISBLANK(AO721),"Unknown",AO721)</f>
        <v>Unknown</v>
      </c>
      <c r="AQ721" s="0" t="n">
        <v>25000</v>
      </c>
      <c r="AR721" s="5" t="n">
        <f aca="false">IF(ISBLANK(AQ721),AVERAGEIF(M721:M1720,M721,AQ721:AQ1720),AQ721)</f>
        <v>25000</v>
      </c>
      <c r="AT721" s="5" t="n">
        <f aca="false">IF(ISBLANK(AS721),AVERAGE(AS721:AS1720),AS721)</f>
        <v>31260.6837606838</v>
      </c>
      <c r="AU721" s="0" t="s">
        <v>61</v>
      </c>
      <c r="AV721" s="0" t="str">
        <f aca="false">PROPER(IF(ISBLANK(AU721),"No",AU721))</f>
        <v>No</v>
      </c>
      <c r="AW721" s="0" t="n">
        <v>5000</v>
      </c>
      <c r="AX721" s="5" t="n">
        <f aca="false">IF(ISBLANK(AW721),0,AW721)</f>
        <v>5000</v>
      </c>
      <c r="AY721" s="0" t="s">
        <v>184</v>
      </c>
      <c r="AZ721" s="0" t="str">
        <f aca="false">UPPER(IF(ISBLANK(AY721),"NONE",AY721))</f>
        <v>N/A</v>
      </c>
      <c r="BA721" s="7" t="n">
        <v>45935</v>
      </c>
      <c r="BB721" s="7" t="n">
        <f aca="false">IF(ISBLANK(BA721),"No Follow Up Needed",BA721)</f>
        <v>45935</v>
      </c>
      <c r="BD721" s="0" t="str">
        <f aca="false">PROPER(IF(ISBLANK(BC721),"Unknown",BC721))</f>
        <v>Unknown</v>
      </c>
      <c r="BE721" s="0" t="s">
        <v>116</v>
      </c>
      <c r="BF721" s="0" t="str">
        <f aca="false">IF(ISBLANK(BE721),"No comments",BE721)</f>
        <v>Needs tire alignment</v>
      </c>
      <c r="BG721" s="0" t="s">
        <v>117</v>
      </c>
      <c r="BH721" s="0" t="str">
        <f aca="false">IF(ISBLANK(BG721),"No comments",BG721)</f>
        <v>Prefers morning</v>
      </c>
      <c r="BJ721" s="0" t="str">
        <f aca="false">IF(ISBLANK(BI721),"Not Mentioned",BI721)</f>
        <v>Not Mentioned</v>
      </c>
      <c r="BK721" s="0" t="s">
        <v>61</v>
      </c>
      <c r="BL721" s="0" t="str">
        <f aca="false">PROPER(IF(ISBLANK(BK721),"Not Mentioned",BK721))</f>
        <v>No</v>
      </c>
      <c r="BN721" s="0" t="str">
        <f aca="false">PROPER(IF(ISBLANK(BM721),"Not Mentioned",BM721))</f>
        <v>Not Mentioned</v>
      </c>
      <c r="BO721" s="0" t="s">
        <v>2321</v>
      </c>
      <c r="BP721" s="0" t="str">
        <f aca="false">IF(ISBLANK(BO721),"One-Time Plan",BO721)</f>
        <v>One-Time Plan</v>
      </c>
      <c r="BQ721" s="0" t="s">
        <v>198</v>
      </c>
      <c r="BR721" s="0" t="str">
        <f aca="false">PROPER(IF(ISBLANK(BQ721),"No",BQ721))</f>
        <v>Followed Up</v>
      </c>
    </row>
    <row r="722" customFormat="false" ht="15" hidden="false" customHeight="false" outlineLevel="0" collapsed="false">
      <c r="A722" s="0" t="s">
        <v>1739</v>
      </c>
      <c r="B722" s="2" t="n">
        <v>45661</v>
      </c>
      <c r="C722" s="2" t="str">
        <f aca="false">TEXT(B722,"dd/mm/yyyy")</f>
        <v>04/01/2025</v>
      </c>
      <c r="D722" s="0" t="s">
        <v>121</v>
      </c>
      <c r="E722" s="0" t="n">
        <v>8061193233</v>
      </c>
      <c r="F722" s="0" t="s">
        <v>43</v>
      </c>
      <c r="G722" s="0" t="s">
        <v>2315</v>
      </c>
      <c r="H722" s="0" t="s">
        <v>1740</v>
      </c>
      <c r="I722" s="0" t="s">
        <v>134</v>
      </c>
      <c r="K722" s="3" t="str">
        <f aca="false" t="array" ref="K722:K722">IFERROR(IF(J722&lt;&gt;"",J722,INDEX(J722:J1721,MATCH(1,(F722:F1721=F722)*(I722:I1721=I722)*(L722:L1721=L722)*(J722:J1721&lt;&gt;""),0))),"Not Found")</f>
        <v>Suspension Noise</v>
      </c>
      <c r="L722" s="3" t="s">
        <v>108</v>
      </c>
      <c r="M722" s="0" t="str">
        <f aca="false">PROPER(L722)</f>
        <v>Timing Belt</v>
      </c>
      <c r="N722" s="3" t="s">
        <v>90</v>
      </c>
      <c r="O722" s="0" t="str">
        <f aca="false" t="array" ref="O722:O722">IF(N722&lt;&gt;"",N722,_xlfn.xlookup(1,(L722:L1721=L722)*(N722:N1721&lt;&gt;""),N722:N1721,"Not Found"))</f>
        <v>Musa</v>
      </c>
      <c r="P722" s="4" t="n">
        <v>89803</v>
      </c>
      <c r="Q722" s="0" t="s">
        <v>110</v>
      </c>
      <c r="R722" s="0" t="str">
        <f aca="false">PROPER(Q722)</f>
        <v>Cash</v>
      </c>
      <c r="S722" s="0" t="s">
        <v>63</v>
      </c>
      <c r="T722" s="0" t="n">
        <v>1</v>
      </c>
      <c r="U722" s="5" t="n">
        <f aca="false">IF(ISBLANK(T722),AVERAGE(T722:T1721),T722)</f>
        <v>1</v>
      </c>
      <c r="V722" s="0" t="n">
        <v>3.4</v>
      </c>
      <c r="W722" s="0" t="s">
        <v>125</v>
      </c>
      <c r="X722" s="0" t="str">
        <f aca="false">IF(ISBLANK(W722),"No remarks",W722)</f>
        <v>Customer waited</v>
      </c>
      <c r="Y722" s="0" t="s">
        <v>52</v>
      </c>
      <c r="Z722" s="0" t="s">
        <v>53</v>
      </c>
      <c r="AA722" s="0" t="str">
        <f aca="false">PROPER(IF(ISBLANK(Z722),"Location Unavailable",Z722))</f>
        <v>Main Bay</v>
      </c>
      <c r="AB722" s="0" t="s">
        <v>126</v>
      </c>
      <c r="AC722" s="6" t="str">
        <f aca="false">PROPER(AB722)</f>
        <v>Whatsapp</v>
      </c>
      <c r="AD722" s="6" t="n">
        <v>60</v>
      </c>
      <c r="AE722" s="5" t="n">
        <f aca="false">IF(ISBLANK(AD722),AVERAGEIF(L722:L1721,L722,AD722:AD1721),AD722)</f>
        <v>60</v>
      </c>
      <c r="AF722" s="0" t="s">
        <v>112</v>
      </c>
      <c r="AG722" s="0" t="str">
        <f aca="false">PROPER(AF722)</f>
        <v>Unavailable</v>
      </c>
      <c r="AH722" s="0" t="s">
        <v>155</v>
      </c>
      <c r="AI722" s="0" t="s">
        <v>98</v>
      </c>
      <c r="AJ722" s="0" t="str">
        <f aca="false">PROPER(AI722)</f>
        <v>Emergency</v>
      </c>
      <c r="AK722" s="0" t="s">
        <v>99</v>
      </c>
      <c r="AL722" s="0" t="str">
        <f aca="false">PROPER(AK722)</f>
        <v>Uber Driver</v>
      </c>
      <c r="AM722" s="0" t="s">
        <v>2326</v>
      </c>
      <c r="AN722" s="0" t="str">
        <f aca="false">IF(ISBLANK(AM722),"Unknown",AM722)</f>
        <v>Government Convoy</v>
      </c>
      <c r="AO722" s="0" t="s">
        <v>161</v>
      </c>
      <c r="AP722" s="0" t="str">
        <f aca="false">IF(ISBLANK(AO722),"Unknown",AO722)</f>
        <v>Apprentice</v>
      </c>
      <c r="AQ722" s="0" t="n">
        <v>40000</v>
      </c>
      <c r="AR722" s="5" t="n">
        <f aca="false">IF(ISBLANK(AQ722),AVERAGEIF(M722:M1721,M722,AQ722:AQ1721),AQ722)</f>
        <v>40000</v>
      </c>
      <c r="AS722" s="0" t="n">
        <v>20000</v>
      </c>
      <c r="AT722" s="5" t="n">
        <f aca="false">IF(ISBLANK(AS722),AVERAGE(AS722:AS1721),AS722)</f>
        <v>20000</v>
      </c>
      <c r="AU722" s="0" t="s">
        <v>50</v>
      </c>
      <c r="AV722" s="0" t="str">
        <f aca="false">PROPER(IF(ISBLANK(AU722),"No",AU722))</f>
        <v>No</v>
      </c>
      <c r="AW722" s="0" t="n">
        <v>10000</v>
      </c>
      <c r="AX722" s="5" t="n">
        <f aca="false">IF(ISBLANK(AW722),0,AW722)</f>
        <v>10000</v>
      </c>
      <c r="AZ722" s="0" t="str">
        <f aca="false">UPPER(IF(ISBLANK(AY722),"NONE",AY722))</f>
        <v>NONE</v>
      </c>
      <c r="BA722" s="7" t="n">
        <v>45958</v>
      </c>
      <c r="BB722" s="7" t="n">
        <f aca="false">IF(ISBLANK(BA722),"No Follow Up Needed",BA722)</f>
        <v>45958</v>
      </c>
      <c r="BC722" s="0" t="s">
        <v>50</v>
      </c>
      <c r="BD722" s="0" t="str">
        <f aca="false">PROPER(IF(ISBLANK(BC722),"Unknown",BC722))</f>
        <v>No</v>
      </c>
      <c r="BE722" s="0" t="s">
        <v>116</v>
      </c>
      <c r="BF722" s="0" t="str">
        <f aca="false">IF(ISBLANK(BE722),"No comments",BE722)</f>
        <v>Needs tire alignment</v>
      </c>
      <c r="BG722" s="0" t="s">
        <v>117</v>
      </c>
      <c r="BH722" s="0" t="str">
        <f aca="false">IF(ISBLANK(BG722),"No comments",BG722)</f>
        <v>Prefers morning</v>
      </c>
      <c r="BJ722" s="0" t="str">
        <f aca="false">IF(ISBLANK(BI722),"Not Mentioned",BI722)</f>
        <v>Not Mentioned</v>
      </c>
      <c r="BK722" s="0" t="s">
        <v>50</v>
      </c>
      <c r="BL722" s="0" t="str">
        <f aca="false">PROPER(IF(ISBLANK(BK722),"Not Mentioned",BK722))</f>
        <v>No</v>
      </c>
      <c r="BM722" s="0" t="s">
        <v>63</v>
      </c>
      <c r="BN722" s="0" t="str">
        <f aca="false">PROPER(IF(ISBLANK(BM722),"Not Mentioned",BM722))</f>
        <v>Yes</v>
      </c>
      <c r="BO722" s="0" t="s">
        <v>2321</v>
      </c>
      <c r="BP722" s="0" t="str">
        <f aca="false">IF(ISBLANK(BO722),"One-Time Plan",BO722)</f>
        <v>One-Time Plan</v>
      </c>
      <c r="BR722" s="0" t="str">
        <f aca="false">PROPER(IF(ISBLANK(BQ722),"No",BQ722))</f>
        <v>No</v>
      </c>
    </row>
    <row r="723" customFormat="false" ht="15" hidden="false" customHeight="false" outlineLevel="0" collapsed="false">
      <c r="A723" s="0" t="s">
        <v>1741</v>
      </c>
      <c r="B723" s="2" t="s">
        <v>592</v>
      </c>
      <c r="C723" s="2" t="str">
        <f aca="false">TEXT(B723,"dd/mm/yyyy")</f>
        <v>25/02/2025</v>
      </c>
      <c r="D723" s="0" t="s">
        <v>163</v>
      </c>
      <c r="E723" s="0" t="n">
        <v>8067364292</v>
      </c>
      <c r="F723" s="0" t="s">
        <v>85</v>
      </c>
      <c r="G723" s="0" t="s">
        <v>2319</v>
      </c>
      <c r="H723" s="0" t="s">
        <v>1742</v>
      </c>
      <c r="I723" s="0" t="s">
        <v>69</v>
      </c>
      <c r="K723" s="3" t="str">
        <f aca="false" t="array" ref="K723:K723">IFERROR(IF(J723&lt;&gt;"",J723,INDEX(J723:J1722,MATCH(1,(F723:F1722=F723)*(I723:I1722=I723)*(L723:L1722=L723)*(J723:J1722&lt;&gt;""),0))),"Not Found")</f>
        <v>Oil Change</v>
      </c>
      <c r="L723" s="3" t="s">
        <v>47</v>
      </c>
      <c r="M723" s="0" t="str">
        <f aca="false">PROPER(L723)</f>
        <v>None</v>
      </c>
      <c r="N723" s="3" t="s">
        <v>90</v>
      </c>
      <c r="O723" s="0" t="str">
        <f aca="false" t="array" ref="O723:O723">IF(N723&lt;&gt;"",N723,_xlfn.xlookup(1,(L723:L1722=L723)*(N723:N1722&lt;&gt;""),N723:N1722,"Not Found"))</f>
        <v>Musa</v>
      </c>
      <c r="P723" s="4" t="n">
        <v>75776</v>
      </c>
      <c r="Q723" s="0" t="s">
        <v>110</v>
      </c>
      <c r="R723" s="0" t="str">
        <f aca="false">PROPER(Q723)</f>
        <v>Cash</v>
      </c>
      <c r="S723" s="0" t="s">
        <v>63</v>
      </c>
      <c r="T723" s="0" t="n">
        <v>3</v>
      </c>
      <c r="U723" s="5" t="n">
        <f aca="false">IF(ISBLANK(T723),AVERAGE(T723:T1722),T723)</f>
        <v>3</v>
      </c>
      <c r="V723" s="0" t="n">
        <v>1</v>
      </c>
      <c r="W723" s="0" t="s">
        <v>111</v>
      </c>
      <c r="X723" s="0" t="str">
        <f aca="false">IF(ISBLANK(W723),"No remarks",W723)</f>
        <v>Changed all filters</v>
      </c>
      <c r="Y723" s="0" t="s">
        <v>52</v>
      </c>
      <c r="AA723" s="0" t="str">
        <f aca="false">PROPER(IF(ISBLANK(Z723),"Location Unavailable",Z723))</f>
        <v>Location Unavailable</v>
      </c>
      <c r="AB723" s="0" t="s">
        <v>54</v>
      </c>
      <c r="AC723" s="6" t="str">
        <f aca="false">PROPER(AB723)</f>
        <v>Mechanic Referral</v>
      </c>
      <c r="AD723" s="6" t="n">
        <v>45</v>
      </c>
      <c r="AE723" s="5" t="n">
        <f aca="false">IF(ISBLANK(AD723),AVERAGEIF(L723:L1722,L723,AD723:AD1722),AD723)</f>
        <v>45</v>
      </c>
      <c r="AF723" s="0" t="s">
        <v>76</v>
      </c>
      <c r="AG723" s="0" t="str">
        <f aca="false">PROPER(AF723)</f>
        <v>Orderd</v>
      </c>
      <c r="AH723" s="0" t="s">
        <v>155</v>
      </c>
      <c r="AI723" s="0" t="s">
        <v>113</v>
      </c>
      <c r="AJ723" s="0" t="str">
        <f aca="false">PROPER(AI723)</f>
        <v>Normal</v>
      </c>
      <c r="AK723" s="0" t="s">
        <v>114</v>
      </c>
      <c r="AL723" s="0" t="str">
        <f aca="false">PROPER(AK723)</f>
        <v>Returning</v>
      </c>
      <c r="AM723" s="0" t="s">
        <v>59</v>
      </c>
      <c r="AN723" s="0" t="str">
        <f aca="false">IF(ISBLANK(AM723),"Unknown",AM723)</f>
        <v>Bolt Driver</v>
      </c>
      <c r="AO723" s="0" t="s">
        <v>161</v>
      </c>
      <c r="AP723" s="0" t="str">
        <f aca="false">IF(ISBLANK(AO723),"Unknown",AO723)</f>
        <v>Apprentice</v>
      </c>
      <c r="AQ723" s="0" t="n">
        <v>30000</v>
      </c>
      <c r="AR723" s="5" t="n">
        <f aca="false">IF(ISBLANK(AQ723),AVERAGEIF(M723:M1722,M723,AQ723:AQ1722),AQ723)</f>
        <v>30000</v>
      </c>
      <c r="AS723" s="0" t="n">
        <v>40000</v>
      </c>
      <c r="AT723" s="5" t="n">
        <f aca="false">IF(ISBLANK(AS723),AVERAGE(AS723:AS1722),AS723)</f>
        <v>40000</v>
      </c>
      <c r="AU723" s="0" t="s">
        <v>82</v>
      </c>
      <c r="AV723" s="0" t="str">
        <f aca="false">PROPER(IF(ISBLANK(AU723),"No",AU723))</f>
        <v>Yes</v>
      </c>
      <c r="AW723" s="0" t="n">
        <v>5000</v>
      </c>
      <c r="AX723" s="5" t="n">
        <f aca="false">IF(ISBLANK(AW723),0,AW723)</f>
        <v>5000</v>
      </c>
      <c r="AY723" s="0" t="s">
        <v>60</v>
      </c>
      <c r="AZ723" s="0" t="str">
        <f aca="false">UPPER(IF(ISBLANK(AY723),"NONE",AY723))</f>
        <v>NONE</v>
      </c>
      <c r="BA723" s="7" t="n">
        <v>45820</v>
      </c>
      <c r="BB723" s="7" t="n">
        <f aca="false">IF(ISBLANK(BA723),"No Follow Up Needed",BA723)</f>
        <v>45820</v>
      </c>
      <c r="BC723" s="0" t="s">
        <v>50</v>
      </c>
      <c r="BD723" s="0" t="str">
        <f aca="false">PROPER(IF(ISBLANK(BC723),"Unknown",BC723))</f>
        <v>No</v>
      </c>
      <c r="BE723" s="0" t="s">
        <v>116</v>
      </c>
      <c r="BF723" s="0" t="str">
        <f aca="false">IF(ISBLANK(BE723),"No comments",BE723)</f>
        <v>Needs tire alignment</v>
      </c>
      <c r="BG723" s="0" t="s">
        <v>2320</v>
      </c>
      <c r="BH723" s="0" t="str">
        <f aca="false">IF(ISBLANK(BG723),"No comments",BG723)</f>
        <v>No complaints</v>
      </c>
      <c r="BJ723" s="0" t="str">
        <f aca="false">IF(ISBLANK(BI723),"Not Mentioned",BI723)</f>
        <v>Not Mentioned</v>
      </c>
      <c r="BK723" s="0" t="s">
        <v>63</v>
      </c>
      <c r="BL723" s="0" t="str">
        <f aca="false">PROPER(IF(ISBLANK(BK723),"Not Mentioned",BK723))</f>
        <v>Yes</v>
      </c>
      <c r="BM723" s="0" t="s">
        <v>50</v>
      </c>
      <c r="BN723" s="0" t="str">
        <f aca="false">PROPER(IF(ISBLANK(BM723),"Not Mentioned",BM723))</f>
        <v>No</v>
      </c>
      <c r="BO723" s="0" t="s">
        <v>2321</v>
      </c>
      <c r="BP723" s="0" t="str">
        <f aca="false">IF(ISBLANK(BO723),"One-Time Plan",BO723)</f>
        <v>One-Time Plan</v>
      </c>
      <c r="BQ723" s="0" t="s">
        <v>198</v>
      </c>
      <c r="BR723" s="0" t="str">
        <f aca="false">PROPER(IF(ISBLANK(BQ723),"No",BQ723))</f>
        <v>Followed Up</v>
      </c>
    </row>
    <row r="724" customFormat="false" ht="15" hidden="false" customHeight="false" outlineLevel="0" collapsed="false">
      <c r="A724" s="0" t="s">
        <v>1743</v>
      </c>
      <c r="B724" s="2" t="n">
        <v>45733</v>
      </c>
      <c r="C724" s="2" t="str">
        <f aca="false">TEXT(B724,"dd/mm/yyyy")</f>
        <v>17/03/2025</v>
      </c>
      <c r="D724" s="0" t="s">
        <v>163</v>
      </c>
      <c r="E724" s="0" t="n">
        <v>8021171324</v>
      </c>
      <c r="F724" s="0" t="s">
        <v>43</v>
      </c>
      <c r="G724" s="0" t="s">
        <v>2315</v>
      </c>
      <c r="H724" s="0" t="s">
        <v>1744</v>
      </c>
      <c r="I724" s="0" t="s">
        <v>69</v>
      </c>
      <c r="J724" s="0" t="s">
        <v>2322</v>
      </c>
      <c r="K724" s="3" t="str">
        <f aca="false" t="array" ref="K724:K724">IFERROR(IF(J724&lt;&gt;"",J724,INDEX(J724:J1723,MATCH(1,(F724:F1723=F724)*(I724:I1723=I724)*(L724:L1723=L724)*(J724:J1723&lt;&gt;""),0))),"Not Found")</f>
        <v>Brake Failure</v>
      </c>
      <c r="L724" s="3" t="s">
        <v>189</v>
      </c>
      <c r="M724" s="0" t="str">
        <f aca="false">PROPER(L724)</f>
        <v>Battery</v>
      </c>
      <c r="O724" s="0" t="e">
        <f aca="false" t="array" ref="O724:O724">IF(N724&lt;&gt;"",N724,_xlfn.xlookup(1,(L724:L1723=L724)*(N724:N1723&lt;&gt;""),N724:N1723,"Not Found"))</f>
        <v>#NAME?</v>
      </c>
      <c r="P724" s="4" t="n">
        <v>14967</v>
      </c>
      <c r="Q724" s="0" t="s">
        <v>110</v>
      </c>
      <c r="R724" s="0" t="str">
        <f aca="false">PROPER(Q724)</f>
        <v>Cash</v>
      </c>
      <c r="S724" s="0" t="s">
        <v>63</v>
      </c>
      <c r="U724" s="5" t="n">
        <f aca="false">IF(ISBLANK(T724),AVERAGE(T724:T1723),T724)</f>
        <v>3.17982456140351</v>
      </c>
      <c r="V724" s="0" t="n">
        <v>2.3</v>
      </c>
      <c r="X724" s="0" t="str">
        <f aca="false">IF(ISBLANK(W724),"No remarks",W724)</f>
        <v>No remarks</v>
      </c>
      <c r="Y724" s="0" t="s">
        <v>93</v>
      </c>
      <c r="Z724" s="0" t="s">
        <v>94</v>
      </c>
      <c r="AA724" s="0" t="str">
        <f aca="false">PROPER(IF(ISBLANK(Z724),"Location Unavailable",Z724))</f>
        <v>Vip Section</v>
      </c>
      <c r="AB724" s="0" t="s">
        <v>167</v>
      </c>
      <c r="AC724" s="6" t="str">
        <f aca="false">PROPER(AB724)</f>
        <v>Word Of Mouth</v>
      </c>
      <c r="AE724" s="5" t="n">
        <f aca="false">IF(ISBLANK(AD724),AVERAGEIF(L724:L1723,L724,AD724:AD1723),AD724)</f>
        <v>38.7096774193548</v>
      </c>
      <c r="AF724" s="0" t="s">
        <v>76</v>
      </c>
      <c r="AG724" s="0" t="str">
        <f aca="false">PROPER(AF724)</f>
        <v>Orderd</v>
      </c>
      <c r="AH724" s="0" t="s">
        <v>155</v>
      </c>
      <c r="AI724" s="0" t="s">
        <v>98</v>
      </c>
      <c r="AJ724" s="0" t="str">
        <f aca="false">PROPER(AI724)</f>
        <v>Emergency</v>
      </c>
      <c r="AK724" s="0" t="s">
        <v>196</v>
      </c>
      <c r="AL724" s="0" t="str">
        <f aca="false">PROPER(AK724)</f>
        <v>First Time</v>
      </c>
      <c r="AN724" s="0" t="str">
        <f aca="false">IF(ISBLANK(AM724),"Unknown",AM724)</f>
        <v>Unknown</v>
      </c>
      <c r="AO724" s="0" t="s">
        <v>79</v>
      </c>
      <c r="AP724" s="0" t="str">
        <f aca="false">IF(ISBLANK(AO724),"Unknown",AO724)</f>
        <v>Specialist</v>
      </c>
      <c r="AR724" s="5" t="n">
        <f aca="false">IF(ISBLANK(AQ724),AVERAGEIF(M724:M1723,M724,AQ724:AQ1723),AQ724)</f>
        <v>25925.9259259259</v>
      </c>
      <c r="AS724" s="0" t="n">
        <v>30000</v>
      </c>
      <c r="AT724" s="5" t="n">
        <f aca="false">IF(ISBLANK(AS724),AVERAGE(AS724:AS1723),AS724)</f>
        <v>30000</v>
      </c>
      <c r="AU724" s="0" t="s">
        <v>82</v>
      </c>
      <c r="AV724" s="0" t="str">
        <f aca="false">PROPER(IF(ISBLANK(AU724),"No",AU724))</f>
        <v>Yes</v>
      </c>
      <c r="AW724" s="0" t="n">
        <v>10000</v>
      </c>
      <c r="AX724" s="5" t="n">
        <f aca="false">IF(ISBLANK(AW724),0,AW724)</f>
        <v>10000</v>
      </c>
      <c r="AZ724" s="0" t="str">
        <f aca="false">UPPER(IF(ISBLANK(AY724),"NONE",AY724))</f>
        <v>NONE</v>
      </c>
      <c r="BA724" s="7" t="n">
        <v>45829</v>
      </c>
      <c r="BB724" s="7" t="n">
        <f aca="false">IF(ISBLANK(BA724),"No Follow Up Needed",BA724)</f>
        <v>45829</v>
      </c>
      <c r="BC724" s="0" t="s">
        <v>61</v>
      </c>
      <c r="BD724" s="0" t="str">
        <f aca="false">PROPER(IF(ISBLANK(BC724),"Unknown",BC724))</f>
        <v>No</v>
      </c>
      <c r="BE724" s="0" t="s">
        <v>171</v>
      </c>
      <c r="BF724" s="0" t="str">
        <f aca="false">IF(ISBLANK(BE724),"No comments",BE724)</f>
        <v>Shock absorber weakening</v>
      </c>
      <c r="BG724" s="0" t="s">
        <v>117</v>
      </c>
      <c r="BH724" s="0" t="str">
        <f aca="false">IF(ISBLANK(BG724),"No comments",BG724)</f>
        <v>Prefers morning</v>
      </c>
      <c r="BI724" s="0" t="s">
        <v>50</v>
      </c>
      <c r="BJ724" s="0" t="str">
        <f aca="false">IF(ISBLANK(BI724),"Not Mentioned",BI724)</f>
        <v>No</v>
      </c>
      <c r="BK724" s="0" t="s">
        <v>61</v>
      </c>
      <c r="BL724" s="0" t="str">
        <f aca="false">PROPER(IF(ISBLANK(BK724),"Not Mentioned",BK724))</f>
        <v>No</v>
      </c>
      <c r="BM724" s="0" t="s">
        <v>63</v>
      </c>
      <c r="BN724" s="0" t="str">
        <f aca="false">PROPER(IF(ISBLANK(BM724),"Not Mentioned",BM724))</f>
        <v>Yes</v>
      </c>
      <c r="BO724" s="0" t="s">
        <v>64</v>
      </c>
      <c r="BP724" s="0" t="str">
        <f aca="false">IF(ISBLANK(BO724),"One-Time Plan",BO724)</f>
        <v>Gold Maintenance Plan</v>
      </c>
      <c r="BQ724" s="0" t="s">
        <v>198</v>
      </c>
      <c r="BR724" s="0" t="str">
        <f aca="false">PROPER(IF(ISBLANK(BQ724),"No",BQ724))</f>
        <v>Followed Up</v>
      </c>
    </row>
    <row r="725" customFormat="false" ht="15" hidden="false" customHeight="false" outlineLevel="0" collapsed="false">
      <c r="A725" s="0" t="s">
        <v>1745</v>
      </c>
      <c r="B725" s="2" t="n">
        <v>45662</v>
      </c>
      <c r="C725" s="2" t="str">
        <f aca="false">TEXT(B725,"dd/mm/yyyy")</f>
        <v>05/01/2025</v>
      </c>
      <c r="D725" s="0" t="s">
        <v>121</v>
      </c>
      <c r="E725" s="0" t="n">
        <v>8050296396</v>
      </c>
      <c r="F725" s="0" t="s">
        <v>43</v>
      </c>
      <c r="G725" s="0" t="s">
        <v>2315</v>
      </c>
      <c r="H725" s="0" t="s">
        <v>1746</v>
      </c>
      <c r="I725" s="0" t="s">
        <v>107</v>
      </c>
      <c r="K725" s="3" t="str">
        <f aca="false" t="array" ref="K725:K725">IFERROR(IF(J725&lt;&gt;"",J725,INDEX(J725:J1724,MATCH(1,(F725:F1724=F725)*(I725:I1724=I725)*(L725:L1724=L725)*(J725:J1724&lt;&gt;""),0))),"Not Found")</f>
        <v>Engine Knocking</v>
      </c>
      <c r="L725" s="3" t="s">
        <v>154</v>
      </c>
      <c r="M725" s="0" t="str">
        <f aca="false">PROPER(L725)</f>
        <v>Air Filter</v>
      </c>
      <c r="N725" s="3" t="s">
        <v>90</v>
      </c>
      <c r="O725" s="0" t="str">
        <f aca="false" t="array" ref="O725:O725">IF(N725&lt;&gt;"",N725,_xlfn.xlookup(1,(L725:L1724=L725)*(N725:N1724&lt;&gt;""),N725:N1724,"Not Found"))</f>
        <v>Musa</v>
      </c>
      <c r="P725" s="4" t="n">
        <v>115884</v>
      </c>
      <c r="Q725" s="0" t="s">
        <v>166</v>
      </c>
      <c r="R725" s="0" t="str">
        <f aca="false">PROPER(Q725)</f>
        <v>Transfer</v>
      </c>
      <c r="S725" s="0" t="s">
        <v>63</v>
      </c>
      <c r="T725" s="0" t="n">
        <v>1</v>
      </c>
      <c r="U725" s="5" t="n">
        <f aca="false">IF(ISBLANK(T725),AVERAGE(T725:T1724),T725)</f>
        <v>1</v>
      </c>
      <c r="V725" s="0" t="n">
        <v>2.2</v>
      </c>
      <c r="W725" s="0" t="s">
        <v>51</v>
      </c>
      <c r="X725" s="0" t="str">
        <f aca="false">IF(ISBLANK(W725),"No remarks",W725)</f>
        <v>Recommended further checks</v>
      </c>
      <c r="Y725" s="0" t="s">
        <v>52</v>
      </c>
      <c r="Z725" s="0" t="s">
        <v>136</v>
      </c>
      <c r="AA725" s="0" t="str">
        <f aca="false">PROPER(IF(ISBLANK(Z725),"Location Unavailable",Z725))</f>
        <v>Vip Section</v>
      </c>
      <c r="AB725" s="0" t="s">
        <v>126</v>
      </c>
      <c r="AC725" s="6" t="str">
        <f aca="false">PROPER(AB725)</f>
        <v>Whatsapp</v>
      </c>
      <c r="AD725" s="6" t="n">
        <v>30</v>
      </c>
      <c r="AE725" s="5" t="n">
        <f aca="false">IF(ISBLANK(AD725),AVERAGEIF(L725:L1724,L725,AD725:AD1724),AD725)</f>
        <v>30</v>
      </c>
      <c r="AF725" s="0" t="s">
        <v>76</v>
      </c>
      <c r="AG725" s="0" t="str">
        <f aca="false">PROPER(AF725)</f>
        <v>Orderd</v>
      </c>
      <c r="AH725" s="0" t="s">
        <v>155</v>
      </c>
      <c r="AI725" s="0" t="s">
        <v>98</v>
      </c>
      <c r="AJ725" s="0" t="str">
        <f aca="false">PROPER(AI725)</f>
        <v>Emergency</v>
      </c>
      <c r="AK725" s="0" t="s">
        <v>114</v>
      </c>
      <c r="AL725" s="0" t="str">
        <f aca="false">PROPER(AK725)</f>
        <v>Returning</v>
      </c>
      <c r="AM725" s="0" t="s">
        <v>2326</v>
      </c>
      <c r="AN725" s="0" t="str">
        <f aca="false">IF(ISBLANK(AM725),"Unknown",AM725)</f>
        <v>Government Convoy</v>
      </c>
      <c r="AO725" s="0" t="s">
        <v>149</v>
      </c>
      <c r="AP725" s="0" t="str">
        <f aca="false">IF(ISBLANK(AO725),"Unknown",AO725)</f>
        <v>Senior </v>
      </c>
      <c r="AQ725" s="0" t="n">
        <v>15000</v>
      </c>
      <c r="AR725" s="5" t="n">
        <f aca="false">IF(ISBLANK(AQ725),AVERAGEIF(M725:M1724,M725,AQ725:AQ1724),AQ725)</f>
        <v>15000</v>
      </c>
      <c r="AS725" s="0" t="n">
        <v>35000</v>
      </c>
      <c r="AT725" s="5" t="n">
        <f aca="false">IF(ISBLANK(AS725),AVERAGE(AS725:AS1724),AS725)</f>
        <v>35000</v>
      </c>
      <c r="AV725" s="0" t="str">
        <f aca="false">PROPER(IF(ISBLANK(AU725),"No",AU725))</f>
        <v>No</v>
      </c>
      <c r="AW725" s="0" t="n">
        <v>10000</v>
      </c>
      <c r="AX725" s="5" t="n">
        <f aca="false">IF(ISBLANK(AW725),0,AW725)</f>
        <v>10000</v>
      </c>
      <c r="AY725" s="0" t="s">
        <v>130</v>
      </c>
      <c r="AZ725" s="0" t="str">
        <f aca="false">UPPER(IF(ISBLANK(AY725),"NONE",AY725))</f>
        <v>LOYALTY10</v>
      </c>
      <c r="BA725" s="7" t="n">
        <v>45846</v>
      </c>
      <c r="BB725" s="7" t="n">
        <f aca="false">IF(ISBLANK(BA725),"No Follow Up Needed",BA725)</f>
        <v>45846</v>
      </c>
      <c r="BC725" s="0" t="s">
        <v>61</v>
      </c>
      <c r="BD725" s="0" t="str">
        <f aca="false">PROPER(IF(ISBLANK(BC725),"Unknown",BC725))</f>
        <v>No</v>
      </c>
      <c r="BF725" s="0" t="str">
        <f aca="false">IF(ISBLANK(BE725),"No comments",BE725)</f>
        <v>No comments</v>
      </c>
      <c r="BG725" s="0" t="s">
        <v>2320</v>
      </c>
      <c r="BH725" s="0" t="str">
        <f aca="false">IF(ISBLANK(BG725),"No comments",BG725)</f>
        <v>No complaints</v>
      </c>
      <c r="BI725" s="0" t="s">
        <v>50</v>
      </c>
      <c r="BJ725" s="0" t="str">
        <f aca="false">IF(ISBLANK(BI725),"Not Mentioned",BI725)</f>
        <v>No</v>
      </c>
      <c r="BK725" s="0" t="s">
        <v>63</v>
      </c>
      <c r="BL725" s="0" t="str">
        <f aca="false">PROPER(IF(ISBLANK(BK725),"Not Mentioned",BK725))</f>
        <v>Yes</v>
      </c>
      <c r="BN725" s="0" t="str">
        <f aca="false">PROPER(IF(ISBLANK(BM725),"Not Mentioned",BM725))</f>
        <v>Not Mentioned</v>
      </c>
      <c r="BO725" s="0" t="s">
        <v>64</v>
      </c>
      <c r="BP725" s="0" t="str">
        <f aca="false">IF(ISBLANK(BO725),"One-Time Plan",BO725)</f>
        <v>Gold Maintenance Plan</v>
      </c>
      <c r="BQ725" s="0" t="s">
        <v>50</v>
      </c>
      <c r="BR725" s="0" t="str">
        <f aca="false">PROPER(IF(ISBLANK(BQ725),"No",BQ725))</f>
        <v>No</v>
      </c>
    </row>
    <row r="726" customFormat="false" ht="15" hidden="false" customHeight="false" outlineLevel="0" collapsed="false">
      <c r="A726" s="0" t="s">
        <v>1747</v>
      </c>
      <c r="B726" s="2" t="n">
        <v>45775</v>
      </c>
      <c r="C726" s="2" t="str">
        <f aca="false">TEXT(B726,"dd/mm/yyyy")</f>
        <v>28/04/2025</v>
      </c>
      <c r="D726" s="0" t="s">
        <v>42</v>
      </c>
      <c r="E726" s="0" t="n">
        <v>8089884158</v>
      </c>
      <c r="F726" s="0" t="s">
        <v>122</v>
      </c>
      <c r="G726" s="0" t="s">
        <v>2316</v>
      </c>
      <c r="H726" s="0" t="s">
        <v>1748</v>
      </c>
      <c r="I726" s="0" t="s">
        <v>69</v>
      </c>
      <c r="J726" s="0" t="s">
        <v>87</v>
      </c>
      <c r="K726" s="3" t="str">
        <f aca="false" t="array" ref="K726:K726">IFERROR(IF(J726&lt;&gt;"",J726,INDEX(J726:J1725,MATCH(1,(F726:F1725=F726)*(I726:I1725=I726)*(L726:L1725=L726)*(J726:J1725&lt;&gt;""),0))),"Not Found")</f>
        <v>Oil Change</v>
      </c>
      <c r="L726" s="3" t="s">
        <v>108</v>
      </c>
      <c r="M726" s="0" t="str">
        <f aca="false">PROPER(L726)</f>
        <v>Timing Belt</v>
      </c>
      <c r="N726" s="3" t="s">
        <v>109</v>
      </c>
      <c r="O726" s="0" t="str">
        <f aca="false" t="array" ref="O726:O726">IF(N726&lt;&gt;"",N726,_xlfn.xlookup(1,(L726:L1725=L726)*(N726:N1725&lt;&gt;""),N726:N1725,"Not Found"))</f>
        <v>Tijani</v>
      </c>
      <c r="P726" s="4" t="n">
        <v>87286</v>
      </c>
      <c r="Q726" s="0" t="s">
        <v>124</v>
      </c>
      <c r="R726" s="0" t="str">
        <f aca="false">PROPER(Q726)</f>
        <v>Cash</v>
      </c>
      <c r="S726" s="0" t="s">
        <v>50</v>
      </c>
      <c r="T726" s="0" t="n">
        <v>1</v>
      </c>
      <c r="U726" s="5" t="n">
        <f aca="false">IF(ISBLANK(T726),AVERAGE(T726:T1725),T726)</f>
        <v>1</v>
      </c>
      <c r="V726" s="0" t="n">
        <v>1.3</v>
      </c>
      <c r="X726" s="0" t="str">
        <f aca="false">IF(ISBLANK(W726),"No remarks",W726)</f>
        <v>No remarks</v>
      </c>
      <c r="Y726" s="0" t="s">
        <v>93</v>
      </c>
      <c r="AA726" s="0" t="str">
        <f aca="false">PROPER(IF(ISBLANK(Z726),"Location Unavailable",Z726))</f>
        <v>Location Unavailable</v>
      </c>
      <c r="AB726" s="0" t="s">
        <v>75</v>
      </c>
      <c r="AC726" s="6" t="str">
        <f aca="false">PROPER(AB726)</f>
        <v>Mechanik Referal</v>
      </c>
      <c r="AD726" s="6" t="n">
        <v>45</v>
      </c>
      <c r="AE726" s="5" t="n">
        <f aca="false">IF(ISBLANK(AD726),AVERAGEIF(L726:L1725,L726,AD726:AD1725),AD726)</f>
        <v>45</v>
      </c>
      <c r="AF726" s="0" t="s">
        <v>55</v>
      </c>
      <c r="AG726" s="0" t="str">
        <f aca="false">PROPER(AF726)</f>
        <v>Available</v>
      </c>
      <c r="AH726" s="0" t="s">
        <v>77</v>
      </c>
      <c r="AI726" s="0" t="s">
        <v>78</v>
      </c>
      <c r="AJ726" s="0" t="str">
        <f aca="false">PROPER(AI726)</f>
        <v>Booking</v>
      </c>
      <c r="AK726" s="0" t="s">
        <v>99</v>
      </c>
      <c r="AL726" s="0" t="str">
        <f aca="false">PROPER(AK726)</f>
        <v>Uber Driver</v>
      </c>
      <c r="AM726" s="0" t="s">
        <v>2324</v>
      </c>
      <c r="AN726" s="0" t="str">
        <f aca="false">IF(ISBLANK(AM726),"Unknown",AM726)</f>
        <v>Logistics Convoy</v>
      </c>
      <c r="AO726" s="0" t="s">
        <v>161</v>
      </c>
      <c r="AP726" s="0" t="str">
        <f aca="false">IF(ISBLANK(AO726),"Unknown",AO726)</f>
        <v>Apprentice</v>
      </c>
      <c r="AR726" s="5" t="n">
        <f aca="false">IF(ISBLANK(AQ726),AVERAGEIF(M726:M1725,M726,AQ726:AQ1725),AQ726)</f>
        <v>27386.3636363636</v>
      </c>
      <c r="AT726" s="5" t="n">
        <f aca="false">IF(ISBLANK(AS726),AVERAGE(AS726:AS1725),AS726)</f>
        <v>31260.8695652174</v>
      </c>
      <c r="AU726" s="0" t="s">
        <v>50</v>
      </c>
      <c r="AV726" s="0" t="str">
        <f aca="false">PROPER(IF(ISBLANK(AU726),"No",AU726))</f>
        <v>No</v>
      </c>
      <c r="AX726" s="5" t="n">
        <f aca="false">IF(ISBLANK(AW726),0,AW726)</f>
        <v>0</v>
      </c>
      <c r="AY726" s="0" t="s">
        <v>130</v>
      </c>
      <c r="AZ726" s="0" t="str">
        <f aca="false">UPPER(IF(ISBLANK(AY726),"NONE",AY726))</f>
        <v>LOYALTY10</v>
      </c>
      <c r="BA726" s="7" t="s">
        <v>131</v>
      </c>
      <c r="BB726" s="7" t="str">
        <f aca="false">IF(ISBLANK(BA726),"No Follow Up Needed",BA726)</f>
        <v>18/07/2025</v>
      </c>
      <c r="BC726" s="0" t="s">
        <v>63</v>
      </c>
      <c r="BD726" s="0" t="str">
        <f aca="false">PROPER(IF(ISBLANK(BC726),"Unknown",BC726))</f>
        <v>Yes</v>
      </c>
      <c r="BE726" s="0" t="s">
        <v>116</v>
      </c>
      <c r="BF726" s="0" t="str">
        <f aca="false">IF(ISBLANK(BE726),"No comments",BE726)</f>
        <v>Needs tire alignment</v>
      </c>
      <c r="BH726" s="0" t="str">
        <f aca="false">IF(ISBLANK(BG726),"No comments",BG726)</f>
        <v>No comments</v>
      </c>
      <c r="BI726" s="0" t="s">
        <v>50</v>
      </c>
      <c r="BJ726" s="0" t="str">
        <f aca="false">IF(ISBLANK(BI726),"Not Mentioned",BI726)</f>
        <v>No</v>
      </c>
      <c r="BL726" s="0" t="str">
        <f aca="false">PROPER(IF(ISBLANK(BK726),"Not Mentioned",BK726))</f>
        <v>Not Mentioned</v>
      </c>
      <c r="BN726" s="0" t="str">
        <f aca="false">PROPER(IF(ISBLANK(BM726),"Not Mentioned",BM726))</f>
        <v>Not Mentioned</v>
      </c>
      <c r="BO726" s="0" t="s">
        <v>2318</v>
      </c>
      <c r="BP726" s="0" t="str">
        <f aca="false">IF(ISBLANK(BO726),"One-Time Plan",BO726)</f>
        <v>Gold</v>
      </c>
      <c r="BQ726" s="0" t="s">
        <v>50</v>
      </c>
      <c r="BR726" s="0" t="str">
        <f aca="false">PROPER(IF(ISBLANK(BQ726),"No",BQ726))</f>
        <v>No</v>
      </c>
    </row>
    <row r="727" customFormat="false" ht="15" hidden="false" customHeight="false" outlineLevel="0" collapsed="false">
      <c r="A727" s="0" t="s">
        <v>1749</v>
      </c>
      <c r="B727" s="2" t="n">
        <v>45693</v>
      </c>
      <c r="C727" s="2" t="str">
        <f aca="false">TEXT(B727,"dd/mm/yyyy")</f>
        <v>05/02/2025</v>
      </c>
      <c r="D727" s="0" t="s">
        <v>66</v>
      </c>
      <c r="E727" s="0" t="n">
        <v>8082101452</v>
      </c>
      <c r="F727" s="0" t="s">
        <v>85</v>
      </c>
      <c r="G727" s="0" t="s">
        <v>2319</v>
      </c>
      <c r="H727" s="0" t="s">
        <v>1750</v>
      </c>
      <c r="I727" s="0" t="s">
        <v>69</v>
      </c>
      <c r="J727" s="0" t="s">
        <v>87</v>
      </c>
      <c r="K727" s="3" t="str">
        <f aca="false" t="array" ref="K727:K727">IFERROR(IF(J727&lt;&gt;"",J727,INDEX(J727:J1726,MATCH(1,(F727:F1726=F727)*(I727:I1726=I727)*(L727:L1726=L727)*(J727:J1726&lt;&gt;""),0))),"Not Found")</f>
        <v>Oil Change</v>
      </c>
      <c r="L727" s="3" t="s">
        <v>47</v>
      </c>
      <c r="M727" s="0" t="str">
        <f aca="false">PROPER(L727)</f>
        <v>None</v>
      </c>
      <c r="N727" s="3" t="s">
        <v>109</v>
      </c>
      <c r="O727" s="0" t="str">
        <f aca="false" t="array" ref="O727:O727">IF(N727&lt;&gt;"",N727,_xlfn.xlookup(1,(L727:L1726=L727)*(N727:N1726&lt;&gt;""),N727:N1726,"Not Found"))</f>
        <v>Tijani</v>
      </c>
      <c r="P727" s="4" t="n">
        <v>49010</v>
      </c>
      <c r="Q727" s="0" t="s">
        <v>91</v>
      </c>
      <c r="R727" s="0" t="str">
        <f aca="false">PROPER(Q727)</f>
        <v>Pos</v>
      </c>
      <c r="S727" s="0" t="s">
        <v>63</v>
      </c>
      <c r="T727" s="0" t="n">
        <v>3</v>
      </c>
      <c r="U727" s="5" t="n">
        <f aca="false">IF(ISBLANK(T727),AVERAGE(T727:T1726),T727)</f>
        <v>3</v>
      </c>
      <c r="V727" s="0" t="n">
        <v>5.9</v>
      </c>
      <c r="W727" s="0" t="s">
        <v>51</v>
      </c>
      <c r="X727" s="0" t="str">
        <f aca="false">IF(ISBLANK(W727),"No remarks",W727)</f>
        <v>Recommended further checks</v>
      </c>
      <c r="Y727" s="0" t="s">
        <v>52</v>
      </c>
      <c r="Z727" s="0" t="s">
        <v>53</v>
      </c>
      <c r="AA727" s="0" t="str">
        <f aca="false">PROPER(IF(ISBLANK(Z727),"Location Unavailable",Z727))</f>
        <v>Main Bay</v>
      </c>
      <c r="AB727" s="0" t="s">
        <v>95</v>
      </c>
      <c r="AC727" s="6" t="str">
        <f aca="false">PROPER(AB727)</f>
        <v>Road Sign</v>
      </c>
      <c r="AD727" s="6" t="n">
        <v>15</v>
      </c>
      <c r="AE727" s="5" t="n">
        <f aca="false">IF(ISBLANK(AD727),AVERAGEIF(L727:L1726,L727,AD727:AD1726),AD727)</f>
        <v>15</v>
      </c>
      <c r="AF727" s="0" t="s">
        <v>160</v>
      </c>
      <c r="AG727" s="0" t="str">
        <f aca="false">PROPER(AF727)</f>
        <v>Availaible</v>
      </c>
      <c r="AH727" s="0" t="s">
        <v>155</v>
      </c>
      <c r="AI727" s="0" t="s">
        <v>98</v>
      </c>
      <c r="AJ727" s="0" t="str">
        <f aca="false">PROPER(AI727)</f>
        <v>Emergency</v>
      </c>
      <c r="AK727" s="0" t="s">
        <v>196</v>
      </c>
      <c r="AL727" s="0" t="str">
        <f aca="false">PROPER(AK727)</f>
        <v>First Time</v>
      </c>
      <c r="AM727" s="0" t="s">
        <v>2324</v>
      </c>
      <c r="AN727" s="0" t="str">
        <f aca="false">IF(ISBLANK(AM727),"Unknown",AM727)</f>
        <v>Logistics Convoy</v>
      </c>
      <c r="AO727" s="0" t="s">
        <v>149</v>
      </c>
      <c r="AP727" s="0" t="str">
        <f aca="false">IF(ISBLANK(AO727),"Unknown",AO727)</f>
        <v>Senior </v>
      </c>
      <c r="AR727" s="5" t="n">
        <f aca="false">IF(ISBLANK(AQ727),AVERAGEIF(M727:M1726,M727,AQ727:AQ1726),AQ727)</f>
        <v>25789.4736842105</v>
      </c>
      <c r="AT727" s="5" t="n">
        <f aca="false">IF(ISBLANK(AS727),AVERAGE(AS727:AS1726),AS727)</f>
        <v>31260.8695652174</v>
      </c>
      <c r="AU727" s="0" t="s">
        <v>50</v>
      </c>
      <c r="AV727" s="0" t="str">
        <f aca="false">PROPER(IF(ISBLANK(AU727),"No",AU727))</f>
        <v>No</v>
      </c>
      <c r="AX727" s="5" t="n">
        <f aca="false">IF(ISBLANK(AW727),0,AW727)</f>
        <v>0</v>
      </c>
      <c r="AY727" s="0" t="s">
        <v>130</v>
      </c>
      <c r="AZ727" s="0" t="str">
        <f aca="false">UPPER(IF(ISBLANK(AY727),"NONE",AY727))</f>
        <v>LOYALTY10</v>
      </c>
      <c r="BA727" s="7" t="n">
        <v>45968</v>
      </c>
      <c r="BB727" s="7" t="n">
        <f aca="false">IF(ISBLANK(BA727),"No Follow Up Needed",BA727)</f>
        <v>45968</v>
      </c>
      <c r="BC727" s="0" t="s">
        <v>63</v>
      </c>
      <c r="BD727" s="0" t="str">
        <f aca="false">PROPER(IF(ISBLANK(BC727),"Unknown",BC727))</f>
        <v>Yes</v>
      </c>
      <c r="BF727" s="0" t="str">
        <f aca="false">IF(ISBLANK(BE727),"No comments",BE727)</f>
        <v>No comments</v>
      </c>
      <c r="BG727" s="0" t="s">
        <v>117</v>
      </c>
      <c r="BH727" s="0" t="str">
        <f aca="false">IF(ISBLANK(BG727),"No comments",BG727)</f>
        <v>Prefers morning</v>
      </c>
      <c r="BI727" s="0" t="s">
        <v>63</v>
      </c>
      <c r="BJ727" s="0" t="str">
        <f aca="false">IF(ISBLANK(BI727),"Not Mentioned",BI727)</f>
        <v>Yes</v>
      </c>
      <c r="BL727" s="0" t="str">
        <f aca="false">PROPER(IF(ISBLANK(BK727),"Not Mentioned",BK727))</f>
        <v>Not Mentioned</v>
      </c>
      <c r="BM727" s="0" t="s">
        <v>50</v>
      </c>
      <c r="BN727" s="0" t="str">
        <f aca="false">PROPER(IF(ISBLANK(BM727),"Not Mentioned",BM727))</f>
        <v>No</v>
      </c>
      <c r="BO727" s="0" t="s">
        <v>64</v>
      </c>
      <c r="BP727" s="0" t="str">
        <f aca="false">IF(ISBLANK(BO727),"One-Time Plan",BO727)</f>
        <v>Gold Maintenance Plan</v>
      </c>
      <c r="BQ727" s="0" t="s">
        <v>50</v>
      </c>
      <c r="BR727" s="0" t="str">
        <f aca="false">PROPER(IF(ISBLANK(BQ727),"No",BQ727))</f>
        <v>No</v>
      </c>
    </row>
    <row r="728" customFormat="false" ht="15" hidden="false" customHeight="false" outlineLevel="0" collapsed="false">
      <c r="A728" s="0" t="s">
        <v>1751</v>
      </c>
      <c r="B728" s="2" t="n">
        <v>45752</v>
      </c>
      <c r="C728" s="2" t="str">
        <f aca="false">TEXT(B728,"dd/mm/yyyy")</f>
        <v>05/04/2025</v>
      </c>
      <c r="D728" s="0" t="s">
        <v>42</v>
      </c>
      <c r="E728" s="0" t="n">
        <v>8030508295</v>
      </c>
      <c r="F728" s="0" t="s">
        <v>43</v>
      </c>
      <c r="G728" s="0" t="s">
        <v>2315</v>
      </c>
      <c r="H728" s="0" t="s">
        <v>1752</v>
      </c>
      <c r="I728" s="0" t="s">
        <v>69</v>
      </c>
      <c r="J728" s="0" t="s">
        <v>87</v>
      </c>
      <c r="K728" s="3" t="str">
        <f aca="false" t="array" ref="K728:K728">IFERROR(IF(J728&lt;&gt;"",J728,INDEX(J728:J1727,MATCH(1,(F728:F1727=F728)*(I728:I1727=I728)*(L728:L1727=L728)*(J728:J1727&lt;&gt;""),0))),"Not Found")</f>
        <v>Oil Change</v>
      </c>
      <c r="L728" s="3" t="s">
        <v>47</v>
      </c>
      <c r="M728" s="0" t="str">
        <f aca="false">PROPER(L728)</f>
        <v>None</v>
      </c>
      <c r="N728" s="3" t="s">
        <v>48</v>
      </c>
      <c r="O728" s="0" t="str">
        <f aca="false" t="array" ref="O728:O728">IF(N728&lt;&gt;"",N728,_xlfn.xlookup(1,(L728:L1727=L728)*(N728:N1727&lt;&gt;""),N728:N1727,"Not Found"))</f>
        <v>Uche</v>
      </c>
      <c r="P728" s="4" t="n">
        <v>94749</v>
      </c>
      <c r="Q728" s="0" t="s">
        <v>91</v>
      </c>
      <c r="R728" s="0" t="str">
        <f aca="false">PROPER(Q728)</f>
        <v>Pos</v>
      </c>
      <c r="S728" s="0" t="s">
        <v>63</v>
      </c>
      <c r="T728" s="0" t="n">
        <v>2</v>
      </c>
      <c r="U728" s="5" t="n">
        <f aca="false">IF(ISBLANK(T728),AVERAGE(T728:T1727),T728)</f>
        <v>2</v>
      </c>
      <c r="V728" s="0" t="n">
        <v>5.1</v>
      </c>
      <c r="W728" s="0" t="s">
        <v>51</v>
      </c>
      <c r="X728" s="0" t="str">
        <f aca="false">IF(ISBLANK(W728),"No remarks",W728)</f>
        <v>Recommended further checks</v>
      </c>
      <c r="Y728" s="0" t="s">
        <v>52</v>
      </c>
      <c r="Z728" s="0" t="s">
        <v>74</v>
      </c>
      <c r="AA728" s="0" t="str">
        <f aca="false">PROPER(IF(ISBLANK(Z728),"Location Unavailable",Z728))</f>
        <v>Under Tree</v>
      </c>
      <c r="AB728" s="0" t="s">
        <v>54</v>
      </c>
      <c r="AC728" s="6" t="str">
        <f aca="false">PROPER(AB728)</f>
        <v>Mechanic Referral</v>
      </c>
      <c r="AD728" s="6" t="n">
        <v>45</v>
      </c>
      <c r="AE728" s="5" t="n">
        <f aca="false">IF(ISBLANK(AD728),AVERAGEIF(L728:L1727,L728,AD728:AD1727),AD728)</f>
        <v>45</v>
      </c>
      <c r="AF728" s="0" t="s">
        <v>76</v>
      </c>
      <c r="AG728" s="0" t="str">
        <f aca="false">PROPER(AF728)</f>
        <v>Orderd</v>
      </c>
      <c r="AH728" s="0" t="s">
        <v>155</v>
      </c>
      <c r="AI728" s="0" t="s">
        <v>98</v>
      </c>
      <c r="AJ728" s="0" t="str">
        <f aca="false">PROPER(AI728)</f>
        <v>Emergency</v>
      </c>
      <c r="AK728" s="0" t="s">
        <v>114</v>
      </c>
      <c r="AL728" s="0" t="str">
        <f aca="false">PROPER(AK728)</f>
        <v>Returning</v>
      </c>
      <c r="AM728" s="0" t="s">
        <v>2326</v>
      </c>
      <c r="AN728" s="0" t="str">
        <f aca="false">IF(ISBLANK(AM728),"Unknown",AM728)</f>
        <v>Government Convoy</v>
      </c>
      <c r="AO728" s="0" t="s">
        <v>161</v>
      </c>
      <c r="AP728" s="0" t="str">
        <f aca="false">IF(ISBLANK(AO728),"Unknown",AO728)</f>
        <v>Apprentice</v>
      </c>
      <c r="AR728" s="5" t="n">
        <f aca="false">IF(ISBLANK(AQ728),AVERAGEIF(M728:M1727,M728,AQ728:AQ1727),AQ728)</f>
        <v>25789.4736842105</v>
      </c>
      <c r="AS728" s="0" t="n">
        <v>35000</v>
      </c>
      <c r="AT728" s="5" t="n">
        <f aca="false">IF(ISBLANK(AS728),AVERAGE(AS728:AS1727),AS728)</f>
        <v>35000</v>
      </c>
      <c r="AU728" s="0" t="s">
        <v>50</v>
      </c>
      <c r="AV728" s="0" t="str">
        <f aca="false">PROPER(IF(ISBLANK(AU728),"No",AU728))</f>
        <v>No</v>
      </c>
      <c r="AW728" s="0" t="n">
        <v>5000</v>
      </c>
      <c r="AX728" s="5" t="n">
        <f aca="false">IF(ISBLANK(AW728),0,AW728)</f>
        <v>5000</v>
      </c>
      <c r="AY728" s="0" t="s">
        <v>184</v>
      </c>
      <c r="AZ728" s="0" t="str">
        <f aca="false">UPPER(IF(ISBLANK(AY728),"NONE",AY728))</f>
        <v>N/A</v>
      </c>
      <c r="BB728" s="7" t="str">
        <f aca="false">IF(ISBLANK(BA728),"No Follow Up Needed",BA728)</f>
        <v>No Follow Up Needed</v>
      </c>
      <c r="BC728" s="0" t="s">
        <v>63</v>
      </c>
      <c r="BD728" s="0" t="str">
        <f aca="false">PROPER(IF(ISBLANK(BC728),"Unknown",BC728))</f>
        <v>Yes</v>
      </c>
      <c r="BF728" s="0" t="str">
        <f aca="false">IF(ISBLANK(BE728),"No comments",BE728)</f>
        <v>No comments</v>
      </c>
      <c r="BG728" s="0" t="s">
        <v>117</v>
      </c>
      <c r="BH728" s="0" t="str">
        <f aca="false">IF(ISBLANK(BG728),"No comments",BG728)</f>
        <v>Prefers morning</v>
      </c>
      <c r="BI728" s="0" t="s">
        <v>50</v>
      </c>
      <c r="BJ728" s="0" t="str">
        <f aca="false">IF(ISBLANK(BI728),"Not Mentioned",BI728)</f>
        <v>No</v>
      </c>
      <c r="BK728" s="0" t="s">
        <v>63</v>
      </c>
      <c r="BL728" s="0" t="str">
        <f aca="false">PROPER(IF(ISBLANK(BK728),"Not Mentioned",BK728))</f>
        <v>Yes</v>
      </c>
      <c r="BN728" s="0" t="str">
        <f aca="false">PROPER(IF(ISBLANK(BM728),"Not Mentioned",BM728))</f>
        <v>Not Mentioned</v>
      </c>
      <c r="BO728" s="0" t="s">
        <v>2321</v>
      </c>
      <c r="BP728" s="0" t="str">
        <f aca="false">IF(ISBLANK(BO728),"One-Time Plan",BO728)</f>
        <v>One-Time Plan</v>
      </c>
      <c r="BQ728" s="0" t="s">
        <v>190</v>
      </c>
      <c r="BR728" s="0" t="str">
        <f aca="false">PROPER(IF(ISBLANK(BQ728),"No",BQ728))</f>
        <v>Yes</v>
      </c>
    </row>
    <row r="729" customFormat="false" ht="15" hidden="false" customHeight="false" outlineLevel="0" collapsed="false">
      <c r="A729" s="0" t="s">
        <v>1753</v>
      </c>
      <c r="B729" s="2" t="n">
        <v>45658</v>
      </c>
      <c r="C729" s="2" t="str">
        <f aca="false">TEXT(B729,"dd/mm/yyyy")</f>
        <v>01/01/2025</v>
      </c>
      <c r="D729" s="0" t="s">
        <v>66</v>
      </c>
      <c r="E729" s="0" t="n">
        <v>8084202557</v>
      </c>
      <c r="F729" s="0" t="s">
        <v>67</v>
      </c>
      <c r="G729" s="0" t="s">
        <v>2316</v>
      </c>
      <c r="H729" s="0" t="s">
        <v>1384</v>
      </c>
      <c r="I729" s="0" t="s">
        <v>45</v>
      </c>
      <c r="J729" s="0" t="s">
        <v>2317</v>
      </c>
      <c r="K729" s="3" t="str">
        <f aca="false" t="array" ref="K729:K729">IFERROR(IF(J729&lt;&gt;"",J729,INDEX(J729:J1728,MATCH(1,(F729:F1728=F729)*(I729:I1728=I729)*(L729:L1728=L729)*(J729:J1728&lt;&gt;""),0))),"Not Found")</f>
        <v>Suspension Noise</v>
      </c>
      <c r="L729" s="3" t="s">
        <v>142</v>
      </c>
      <c r="M729" s="0" t="str">
        <f aca="false">PROPER(L729)</f>
        <v>Oil Filter, Brake Pads</v>
      </c>
      <c r="O729" s="0" t="e">
        <f aca="false" t="array" ref="O729:O729">IF(N729&lt;&gt;"",N729,_xlfn.xlookup(1,(L729:L1728=L729)*(N729:N1728&lt;&gt;""),N729:N1728,"Not Found"))</f>
        <v>#NAME?</v>
      </c>
      <c r="P729" s="4" t="n">
        <v>118806</v>
      </c>
      <c r="Q729" s="0" t="s">
        <v>110</v>
      </c>
      <c r="R729" s="0" t="str">
        <f aca="false">PROPER(Q729)</f>
        <v>Cash</v>
      </c>
      <c r="S729" s="0" t="s">
        <v>63</v>
      </c>
      <c r="T729" s="0" t="n">
        <v>5</v>
      </c>
      <c r="U729" s="5" t="n">
        <f aca="false">IF(ISBLANK(T729),AVERAGE(T729:T1728),T729)</f>
        <v>5</v>
      </c>
      <c r="V729" s="0" t="n">
        <v>4.8</v>
      </c>
      <c r="W729" s="0" t="s">
        <v>92</v>
      </c>
      <c r="X729" s="0" t="str">
        <f aca="false">IF(ISBLANK(W729),"No remarks",W729)</f>
        <v>Urgent service</v>
      </c>
      <c r="Y729" s="0" t="s">
        <v>52</v>
      </c>
      <c r="Z729" s="0" t="s">
        <v>53</v>
      </c>
      <c r="AA729" s="0" t="str">
        <f aca="false">PROPER(IF(ISBLANK(Z729),"Location Unavailable",Z729))</f>
        <v>Main Bay</v>
      </c>
      <c r="AB729" s="0" t="s">
        <v>95</v>
      </c>
      <c r="AC729" s="6" t="str">
        <f aca="false">PROPER(AB729)</f>
        <v>Road Sign</v>
      </c>
      <c r="AD729" s="6" t="n">
        <v>60</v>
      </c>
      <c r="AE729" s="5" t="n">
        <f aca="false">IF(ISBLANK(AD729),AVERAGEIF(L729:L1728,L729,AD729:AD1728),AD729)</f>
        <v>60</v>
      </c>
      <c r="AF729" s="0" t="s">
        <v>55</v>
      </c>
      <c r="AG729" s="0" t="str">
        <f aca="false">PROPER(AF729)</f>
        <v>Available</v>
      </c>
      <c r="AH729" s="0" t="s">
        <v>155</v>
      </c>
      <c r="AI729" s="0" t="s">
        <v>78</v>
      </c>
      <c r="AJ729" s="0" t="str">
        <f aca="false">PROPER(AI729)</f>
        <v>Booking</v>
      </c>
      <c r="AK729" s="0" t="s">
        <v>196</v>
      </c>
      <c r="AL729" s="0" t="str">
        <f aca="false">PROPER(AK729)</f>
        <v>First Time</v>
      </c>
      <c r="AM729" s="0" t="s">
        <v>177</v>
      </c>
      <c r="AN729" s="0" t="str">
        <f aca="false">IF(ISBLANK(AM729),"Unknown",AM729)</f>
        <v>Private</v>
      </c>
      <c r="AO729" s="0" t="s">
        <v>79</v>
      </c>
      <c r="AP729" s="0" t="str">
        <f aca="false">IF(ISBLANK(AO729),"Unknown",AO729)</f>
        <v>Specialist</v>
      </c>
      <c r="AQ729" s="0" t="n">
        <v>20000</v>
      </c>
      <c r="AR729" s="5" t="n">
        <f aca="false">IF(ISBLANK(AQ729),AVERAGEIF(M729:M1728,M729,AQ729:AQ1728),AQ729)</f>
        <v>20000</v>
      </c>
      <c r="AS729" s="0" t="n">
        <v>35000</v>
      </c>
      <c r="AT729" s="5" t="n">
        <f aca="false">IF(ISBLANK(AS729),AVERAGE(AS729:AS1728),AS729)</f>
        <v>35000</v>
      </c>
      <c r="AU729" s="0" t="s">
        <v>82</v>
      </c>
      <c r="AV729" s="0" t="str">
        <f aca="false">PROPER(IF(ISBLANK(AU729),"No",AU729))</f>
        <v>Yes</v>
      </c>
      <c r="AW729" s="0" t="n">
        <v>10000</v>
      </c>
      <c r="AX729" s="5" t="n">
        <f aca="false">IF(ISBLANK(AW729),0,AW729)</f>
        <v>10000</v>
      </c>
      <c r="AY729" s="0" t="s">
        <v>60</v>
      </c>
      <c r="AZ729" s="0" t="str">
        <f aca="false">UPPER(IF(ISBLANK(AY729),"NONE",AY729))</f>
        <v>NONE</v>
      </c>
      <c r="BB729" s="7" t="str">
        <f aca="false">IF(ISBLANK(BA729),"No Follow Up Needed",BA729)</f>
        <v>No Follow Up Needed</v>
      </c>
      <c r="BC729" s="0" t="s">
        <v>61</v>
      </c>
      <c r="BD729" s="0" t="str">
        <f aca="false">PROPER(IF(ISBLANK(BC729),"Unknown",BC729))</f>
        <v>No</v>
      </c>
      <c r="BF729" s="0" t="str">
        <f aca="false">IF(ISBLANK(BE729),"No comments",BE729)</f>
        <v>No comments</v>
      </c>
      <c r="BG729" s="0" t="s">
        <v>172</v>
      </c>
      <c r="BH729" s="0" t="str">
        <f aca="false">IF(ISBLANK(BG729),"No comments",BG729)</f>
        <v>Always late</v>
      </c>
      <c r="BJ729" s="0" t="str">
        <f aca="false">IF(ISBLANK(BI729),"Not Mentioned",BI729)</f>
        <v>Not Mentioned</v>
      </c>
      <c r="BK729" s="0" t="s">
        <v>61</v>
      </c>
      <c r="BL729" s="0" t="str">
        <f aca="false">PROPER(IF(ISBLANK(BK729),"Not Mentioned",BK729))</f>
        <v>No</v>
      </c>
      <c r="BM729" s="0" t="s">
        <v>63</v>
      </c>
      <c r="BN729" s="0" t="str">
        <f aca="false">PROPER(IF(ISBLANK(BM729),"Not Mentioned",BM729))</f>
        <v>Yes</v>
      </c>
      <c r="BP729" s="0" t="str">
        <f aca="false">IF(ISBLANK(BO729),"One-Time Plan",BO729)</f>
        <v>One-Time Plan</v>
      </c>
      <c r="BR729" s="0" t="str">
        <f aca="false">PROPER(IF(ISBLANK(BQ729),"No",BQ729))</f>
        <v>No</v>
      </c>
    </row>
    <row r="730" customFormat="false" ht="15" hidden="false" customHeight="false" outlineLevel="0" collapsed="false">
      <c r="A730" s="0" t="s">
        <v>1754</v>
      </c>
      <c r="B730" s="2" t="n">
        <v>45743</v>
      </c>
      <c r="C730" s="2" t="str">
        <f aca="false">TEXT(B730,"dd/mm/yyyy")</f>
        <v>27/03/2025</v>
      </c>
      <c r="D730" s="0" t="s">
        <v>121</v>
      </c>
      <c r="E730" s="0" t="n">
        <v>8033581963</v>
      </c>
      <c r="F730" s="0" t="s">
        <v>139</v>
      </c>
      <c r="G730" s="0" t="s">
        <v>2323</v>
      </c>
      <c r="H730" s="0" t="s">
        <v>1755</v>
      </c>
      <c r="I730" s="0" t="s">
        <v>69</v>
      </c>
      <c r="J730" s="0" t="s">
        <v>2322</v>
      </c>
      <c r="K730" s="3" t="str">
        <f aca="false" t="array" ref="K730:K730">IFERROR(IF(J730&lt;&gt;"",J730,INDEX(J730:J1729,MATCH(1,(F730:F1729=F730)*(I730:I1729=I730)*(L730:L1729=L730)*(J730:J1729&lt;&gt;""),0))),"Not Found")</f>
        <v>Brake Failure</v>
      </c>
      <c r="L730" s="3" t="s">
        <v>142</v>
      </c>
      <c r="M730" s="0" t="str">
        <f aca="false">PROPER(L730)</f>
        <v>Oil Filter, Brake Pads</v>
      </c>
      <c r="N730" s="3" t="s">
        <v>48</v>
      </c>
      <c r="O730" s="0" t="str">
        <f aca="false" t="array" ref="O730:O730">IF(N730&lt;&gt;"",N730,_xlfn.xlookup(1,(L730:L1729=L730)*(N730:N1729&lt;&gt;""),N730:N1729,"Not Found"))</f>
        <v>Uche</v>
      </c>
      <c r="P730" s="4" t="n">
        <v>88372</v>
      </c>
      <c r="Q730" s="0" t="s">
        <v>166</v>
      </c>
      <c r="R730" s="0" t="str">
        <f aca="false">PROPER(Q730)</f>
        <v>Transfer</v>
      </c>
      <c r="S730" s="0" t="s">
        <v>63</v>
      </c>
      <c r="T730" s="0" t="n">
        <v>3</v>
      </c>
      <c r="U730" s="5" t="n">
        <f aca="false">IF(ISBLANK(T730),AVERAGE(T730:T1729),T730)</f>
        <v>3</v>
      </c>
      <c r="V730" s="0" t="n">
        <v>2.5</v>
      </c>
      <c r="W730" s="0" t="s">
        <v>51</v>
      </c>
      <c r="X730" s="0" t="str">
        <f aca="false">IF(ISBLANK(W730),"No remarks",W730)</f>
        <v>Recommended further checks</v>
      </c>
      <c r="Y730" s="0" t="s">
        <v>93</v>
      </c>
      <c r="Z730" s="0" t="s">
        <v>53</v>
      </c>
      <c r="AA730" s="0" t="str">
        <f aca="false">PROPER(IF(ISBLANK(Z730),"Location Unavailable",Z730))</f>
        <v>Main Bay</v>
      </c>
      <c r="AB730" s="0" t="s">
        <v>54</v>
      </c>
      <c r="AC730" s="6" t="str">
        <f aca="false">PROPER(AB730)</f>
        <v>Mechanic Referral</v>
      </c>
      <c r="AE730" s="5" t="n">
        <f aca="false">IF(ISBLANK(AD730),AVERAGEIF(L730:L1729,L730,AD730:AD1729),AD730)</f>
        <v>38.9189189189189</v>
      </c>
      <c r="AF730" s="0" t="s">
        <v>160</v>
      </c>
      <c r="AG730" s="0" t="str">
        <f aca="false">PROPER(AF730)</f>
        <v>Availaible</v>
      </c>
      <c r="AH730" s="0" t="s">
        <v>56</v>
      </c>
      <c r="AI730" s="0" t="s">
        <v>98</v>
      </c>
      <c r="AJ730" s="0" t="str">
        <f aca="false">PROPER(AI730)</f>
        <v>Emergency</v>
      </c>
      <c r="AK730" s="0" t="s">
        <v>196</v>
      </c>
      <c r="AL730" s="0" t="str">
        <f aca="false">PROPER(AK730)</f>
        <v>First Time</v>
      </c>
      <c r="AM730" s="0" t="s">
        <v>177</v>
      </c>
      <c r="AN730" s="0" t="str">
        <f aca="false">IF(ISBLANK(AM730),"Unknown",AM730)</f>
        <v>Private</v>
      </c>
      <c r="AO730" s="0" t="s">
        <v>149</v>
      </c>
      <c r="AP730" s="0" t="str">
        <f aca="false">IF(ISBLANK(AO730),"Unknown",AO730)</f>
        <v>Senior </v>
      </c>
      <c r="AQ730" s="0" t="n">
        <v>20000</v>
      </c>
      <c r="AR730" s="5" t="n">
        <f aca="false">IF(ISBLANK(AQ730),AVERAGEIF(M730:M1729,M730,AQ730:AQ1729),AQ730)</f>
        <v>20000</v>
      </c>
      <c r="AT730" s="5" t="n">
        <f aca="false">IF(ISBLANK(AS730),AVERAGE(AS730:AS1729),AS730)</f>
        <v>31228.0701754386</v>
      </c>
      <c r="AU730" s="0" t="s">
        <v>82</v>
      </c>
      <c r="AV730" s="0" t="str">
        <f aca="false">PROPER(IF(ISBLANK(AU730),"No",AU730))</f>
        <v>Yes</v>
      </c>
      <c r="AX730" s="5" t="n">
        <f aca="false">IF(ISBLANK(AW730),0,AW730)</f>
        <v>0</v>
      </c>
      <c r="AY730" s="0" t="s">
        <v>60</v>
      </c>
      <c r="AZ730" s="0" t="str">
        <f aca="false">UPPER(IF(ISBLANK(AY730),"NONE",AY730))</f>
        <v>NONE</v>
      </c>
      <c r="BA730" s="7" t="s">
        <v>1304</v>
      </c>
      <c r="BB730" s="7" t="str">
        <f aca="false">IF(ISBLANK(BA730),"No Follow Up Needed",BA730)</f>
        <v>25/06/2025</v>
      </c>
      <c r="BC730" s="0" t="s">
        <v>61</v>
      </c>
      <c r="BD730" s="0" t="str">
        <f aca="false">PROPER(IF(ISBLANK(BC730),"Unknown",BC730))</f>
        <v>No</v>
      </c>
      <c r="BE730" s="0" t="s">
        <v>116</v>
      </c>
      <c r="BF730" s="0" t="str">
        <f aca="false">IF(ISBLANK(BE730),"No comments",BE730)</f>
        <v>Needs tire alignment</v>
      </c>
      <c r="BH730" s="0" t="str">
        <f aca="false">IF(ISBLANK(BG730),"No comments",BG730)</f>
        <v>No comments</v>
      </c>
      <c r="BI730" s="0" t="s">
        <v>63</v>
      </c>
      <c r="BJ730" s="0" t="str">
        <f aca="false">IF(ISBLANK(BI730),"Not Mentioned",BI730)</f>
        <v>Yes</v>
      </c>
      <c r="BK730" s="0" t="s">
        <v>61</v>
      </c>
      <c r="BL730" s="0" t="str">
        <f aca="false">PROPER(IF(ISBLANK(BK730),"Not Mentioned",BK730))</f>
        <v>No</v>
      </c>
      <c r="BM730" s="0" t="s">
        <v>63</v>
      </c>
      <c r="BN730" s="0" t="str">
        <f aca="false">PROPER(IF(ISBLANK(BM730),"Not Mentioned",BM730))</f>
        <v>Yes</v>
      </c>
      <c r="BO730" s="0" t="s">
        <v>2318</v>
      </c>
      <c r="BP730" s="0" t="str">
        <f aca="false">IF(ISBLANK(BO730),"One-Time Plan",BO730)</f>
        <v>Gold</v>
      </c>
      <c r="BQ730" s="0" t="s">
        <v>190</v>
      </c>
      <c r="BR730" s="0" t="str">
        <f aca="false">PROPER(IF(ISBLANK(BQ730),"No",BQ730))</f>
        <v>Yes</v>
      </c>
    </row>
    <row r="731" customFormat="false" ht="15" hidden="false" customHeight="false" outlineLevel="0" collapsed="false">
      <c r="A731" s="0" t="s">
        <v>1756</v>
      </c>
      <c r="B731" s="2" t="s">
        <v>248</v>
      </c>
      <c r="C731" s="2" t="str">
        <f aca="false">TEXT(B731,"dd/mm/yyyy")</f>
        <v>17/03/2025</v>
      </c>
      <c r="D731" s="0" t="s">
        <v>163</v>
      </c>
      <c r="E731" s="0" t="n">
        <v>8044533110</v>
      </c>
      <c r="F731" s="0" t="s">
        <v>85</v>
      </c>
      <c r="G731" s="0" t="s">
        <v>2319</v>
      </c>
      <c r="H731" s="0" t="s">
        <v>1757</v>
      </c>
      <c r="I731" s="0" t="s">
        <v>87</v>
      </c>
      <c r="J731" s="0" t="s">
        <v>2317</v>
      </c>
      <c r="K731" s="3" t="str">
        <f aca="false" t="array" ref="K731:K731">IFERROR(IF(J731&lt;&gt;"",J731,INDEX(J731:J1730,MATCH(1,(F731:F1730=F731)*(I731:I1730=I731)*(L731:L1730=L731)*(J731:J1730&lt;&gt;""),0))),"Not Found")</f>
        <v>Suspension Noise</v>
      </c>
      <c r="L731" s="3" t="s">
        <v>142</v>
      </c>
      <c r="M731" s="0" t="str">
        <f aca="false">PROPER(L731)</f>
        <v>Oil Filter, Brake Pads</v>
      </c>
      <c r="N731" s="3" t="s">
        <v>109</v>
      </c>
      <c r="O731" s="0" t="str">
        <f aca="false" t="array" ref="O731:O731">IF(N731&lt;&gt;"",N731,_xlfn.xlookup(1,(L731:L1730=L731)*(N731:N1730&lt;&gt;""),N731:N1730,"Not Found"))</f>
        <v>Tijani</v>
      </c>
      <c r="P731" s="4" t="n">
        <v>117703</v>
      </c>
      <c r="Q731" s="0" t="s">
        <v>110</v>
      </c>
      <c r="R731" s="0" t="str">
        <f aca="false">PROPER(Q731)</f>
        <v>Cash</v>
      </c>
      <c r="S731" s="0" t="s">
        <v>50</v>
      </c>
      <c r="T731" s="0" t="n">
        <v>5</v>
      </c>
      <c r="U731" s="5" t="n">
        <f aca="false">IF(ISBLANK(T731),AVERAGE(T731:T1730),T731)</f>
        <v>5</v>
      </c>
      <c r="V731" s="0" t="n">
        <v>4.9</v>
      </c>
      <c r="W731" s="0" t="s">
        <v>92</v>
      </c>
      <c r="X731" s="0" t="str">
        <f aca="false">IF(ISBLANK(W731),"No remarks",W731)</f>
        <v>Urgent service</v>
      </c>
      <c r="Y731" s="0" t="s">
        <v>52</v>
      </c>
      <c r="AA731" s="0" t="str">
        <f aca="false">PROPER(IF(ISBLANK(Z731),"Location Unavailable",Z731))</f>
        <v>Location Unavailable</v>
      </c>
      <c r="AB731" s="0" t="s">
        <v>95</v>
      </c>
      <c r="AC731" s="6" t="str">
        <f aca="false">PROPER(AB731)</f>
        <v>Road Sign</v>
      </c>
      <c r="AD731" s="6" t="n">
        <v>15</v>
      </c>
      <c r="AE731" s="5" t="n">
        <f aca="false">IF(ISBLANK(AD731),AVERAGEIF(L731:L1730,L731,AD731:AD1730),AD731)</f>
        <v>15</v>
      </c>
      <c r="AF731" s="0" t="s">
        <v>160</v>
      </c>
      <c r="AG731" s="0" t="str">
        <f aca="false">PROPER(AF731)</f>
        <v>Availaible</v>
      </c>
      <c r="AH731" s="0" t="s">
        <v>56</v>
      </c>
      <c r="AI731" s="0" t="s">
        <v>128</v>
      </c>
      <c r="AJ731" s="0" t="str">
        <f aca="false">PROPER(AI731)</f>
        <v>Normal</v>
      </c>
      <c r="AK731" s="0" t="s">
        <v>99</v>
      </c>
      <c r="AL731" s="0" t="str">
        <f aca="false">PROPER(AK731)</f>
        <v>Uber Driver</v>
      </c>
      <c r="AM731" s="0" t="s">
        <v>2326</v>
      </c>
      <c r="AN731" s="0" t="str">
        <f aca="false">IF(ISBLANK(AM731),"Unknown",AM731)</f>
        <v>Government Convoy</v>
      </c>
      <c r="AO731" s="0" t="s">
        <v>143</v>
      </c>
      <c r="AP731" s="0" t="str">
        <f aca="false">IF(ISBLANK(AO731),"Unknown",AO731)</f>
        <v>Senior</v>
      </c>
      <c r="AQ731" s="0" t="n">
        <v>40000</v>
      </c>
      <c r="AR731" s="5" t="n">
        <f aca="false">IF(ISBLANK(AQ731),AVERAGEIF(M731:M1730,M731,AQ731:AQ1730),AQ731)</f>
        <v>40000</v>
      </c>
      <c r="AS731" s="0" t="n">
        <v>30000</v>
      </c>
      <c r="AT731" s="5" t="n">
        <f aca="false">IF(ISBLANK(AS731),AVERAGE(AS731:AS1730),AS731)</f>
        <v>30000</v>
      </c>
      <c r="AU731" s="0" t="s">
        <v>50</v>
      </c>
      <c r="AV731" s="0" t="str">
        <f aca="false">PROPER(IF(ISBLANK(AU731),"No",AU731))</f>
        <v>No</v>
      </c>
      <c r="AW731" s="0" t="n">
        <v>10000</v>
      </c>
      <c r="AX731" s="5" t="n">
        <f aca="false">IF(ISBLANK(AW731),0,AW731)</f>
        <v>10000</v>
      </c>
      <c r="AY731" s="0" t="s">
        <v>130</v>
      </c>
      <c r="AZ731" s="0" t="str">
        <f aca="false">UPPER(IF(ISBLANK(AY731),"NONE",AY731))</f>
        <v>LOYALTY10</v>
      </c>
      <c r="BA731" s="7" t="s">
        <v>1635</v>
      </c>
      <c r="BB731" s="7" t="str">
        <f aca="false">IF(ISBLANK(BA731),"No Follow Up Needed",BA731)</f>
        <v>22/09/2025</v>
      </c>
      <c r="BD731" s="0" t="str">
        <f aca="false">PROPER(IF(ISBLANK(BC731),"Unknown",BC731))</f>
        <v>Unknown</v>
      </c>
      <c r="BF731" s="0" t="str">
        <f aca="false">IF(ISBLANK(BE731),"No comments",BE731)</f>
        <v>No comments</v>
      </c>
      <c r="BH731" s="0" t="str">
        <f aca="false">IF(ISBLANK(BG731),"No comments",BG731)</f>
        <v>No comments</v>
      </c>
      <c r="BJ731" s="0" t="str">
        <f aca="false">IF(ISBLANK(BI731),"Not Mentioned",BI731)</f>
        <v>Not Mentioned</v>
      </c>
      <c r="BL731" s="0" t="str">
        <f aca="false">PROPER(IF(ISBLANK(BK731),"Not Mentioned",BK731))</f>
        <v>Not Mentioned</v>
      </c>
      <c r="BM731" s="0" t="s">
        <v>63</v>
      </c>
      <c r="BN731" s="0" t="str">
        <f aca="false">PROPER(IF(ISBLANK(BM731),"Not Mentioned",BM731))</f>
        <v>Yes</v>
      </c>
      <c r="BO731" s="0" t="s">
        <v>2321</v>
      </c>
      <c r="BP731" s="0" t="str">
        <f aca="false">IF(ISBLANK(BO731),"One-Time Plan",BO731)</f>
        <v>One-Time Plan</v>
      </c>
      <c r="BQ731" s="0" t="s">
        <v>50</v>
      </c>
      <c r="BR731" s="0" t="str">
        <f aca="false">PROPER(IF(ISBLANK(BQ731),"No",BQ731))</f>
        <v>No</v>
      </c>
    </row>
    <row r="732" customFormat="false" ht="15" hidden="false" customHeight="false" outlineLevel="0" collapsed="false">
      <c r="A732" s="0" t="s">
        <v>1758</v>
      </c>
      <c r="B732" s="2" t="n">
        <v>45814</v>
      </c>
      <c r="C732" s="2" t="str">
        <f aca="false">TEXT(B732,"dd/mm/yyyy")</f>
        <v>06/06/2025</v>
      </c>
      <c r="D732" s="0" t="s">
        <v>121</v>
      </c>
      <c r="E732" s="0" t="n">
        <v>8061063166</v>
      </c>
      <c r="F732" s="0" t="s">
        <v>43</v>
      </c>
      <c r="G732" s="0" t="s">
        <v>2315</v>
      </c>
      <c r="H732" s="0" t="s">
        <v>699</v>
      </c>
      <c r="I732" s="0" t="s">
        <v>134</v>
      </c>
      <c r="J732" s="0" t="s">
        <v>2325</v>
      </c>
      <c r="K732" s="3" t="str">
        <f aca="false" t="array" ref="K732:K732">IFERROR(IF(J732&lt;&gt;"",J732,INDEX(J732:J1731,MATCH(1,(F732:F1731=F732)*(I732:I1731=I732)*(L732:L1731=L732)*(J732:J1731&lt;&gt;""),0))),"Not Found")</f>
        <v>Engine Knocking</v>
      </c>
      <c r="L732" s="3" t="s">
        <v>142</v>
      </c>
      <c r="M732" s="0" t="str">
        <f aca="false">PROPER(L732)</f>
        <v>Oil Filter, Brake Pads</v>
      </c>
      <c r="N732" s="3" t="s">
        <v>109</v>
      </c>
      <c r="O732" s="0" t="str">
        <f aca="false" t="array" ref="O732:O732">IF(N732&lt;&gt;"",N732,_xlfn.xlookup(1,(L732:L1731=L732)*(N732:N1731&lt;&gt;""),N732:N1731,"Not Found"))</f>
        <v>Tijani</v>
      </c>
      <c r="P732" s="4" t="n">
        <v>75130</v>
      </c>
      <c r="Q732" s="0" t="s">
        <v>166</v>
      </c>
      <c r="R732" s="0" t="str">
        <f aca="false">PROPER(Q732)</f>
        <v>Transfer</v>
      </c>
      <c r="S732" s="0" t="s">
        <v>50</v>
      </c>
      <c r="T732" s="0" t="n">
        <v>2</v>
      </c>
      <c r="U732" s="5" t="n">
        <f aca="false">IF(ISBLANK(T732),AVERAGE(T732:T1731),T732)</f>
        <v>2</v>
      </c>
      <c r="V732" s="0" t="n">
        <v>5.5</v>
      </c>
      <c r="W732" s="0" t="s">
        <v>51</v>
      </c>
      <c r="X732" s="0" t="str">
        <f aca="false">IF(ISBLANK(W732),"No remarks",W732)</f>
        <v>Recommended further checks</v>
      </c>
      <c r="Y732" s="0" t="s">
        <v>73</v>
      </c>
      <c r="Z732" s="0" t="s">
        <v>53</v>
      </c>
      <c r="AA732" s="0" t="str">
        <f aca="false">PROPER(IF(ISBLANK(Z732),"Location Unavailable",Z732))</f>
        <v>Main Bay</v>
      </c>
      <c r="AB732" s="0" t="s">
        <v>167</v>
      </c>
      <c r="AC732" s="6" t="str">
        <f aca="false">PROPER(AB732)</f>
        <v>Word Of Mouth</v>
      </c>
      <c r="AD732" s="6" t="n">
        <v>15</v>
      </c>
      <c r="AE732" s="5" t="n">
        <f aca="false">IF(ISBLANK(AD732),AVERAGEIF(L732:L1731,L732,AD732:AD1731),AD732)</f>
        <v>15</v>
      </c>
      <c r="AF732" s="0" t="s">
        <v>76</v>
      </c>
      <c r="AG732" s="0" t="str">
        <f aca="false">PROPER(AF732)</f>
        <v>Orderd</v>
      </c>
      <c r="AH732" s="0" t="s">
        <v>155</v>
      </c>
      <c r="AI732" s="0" t="s">
        <v>98</v>
      </c>
      <c r="AJ732" s="0" t="str">
        <f aca="false">PROPER(AI732)</f>
        <v>Emergency</v>
      </c>
      <c r="AK732" s="0" t="s">
        <v>99</v>
      </c>
      <c r="AL732" s="0" t="str">
        <f aca="false">PROPER(AK732)</f>
        <v>Uber Driver</v>
      </c>
      <c r="AM732" s="0" t="s">
        <v>59</v>
      </c>
      <c r="AN732" s="0" t="str">
        <f aca="false">IF(ISBLANK(AM732),"Unknown",AM732)</f>
        <v>Bolt Driver</v>
      </c>
      <c r="AO732" s="0" t="s">
        <v>79</v>
      </c>
      <c r="AP732" s="0" t="str">
        <f aca="false">IF(ISBLANK(AO732),"Unknown",AO732)</f>
        <v>Specialist</v>
      </c>
      <c r="AQ732" s="0" t="n">
        <v>30000</v>
      </c>
      <c r="AR732" s="5" t="n">
        <f aca="false">IF(ISBLANK(AQ732),AVERAGEIF(M732:M1731,M732,AQ732:AQ1731),AQ732)</f>
        <v>30000</v>
      </c>
      <c r="AS732" s="0" t="n">
        <v>40000</v>
      </c>
      <c r="AT732" s="5" t="n">
        <f aca="false">IF(ISBLANK(AS732),AVERAGE(AS732:AS1731),AS732)</f>
        <v>40000</v>
      </c>
      <c r="AU732" s="0" t="s">
        <v>50</v>
      </c>
      <c r="AV732" s="0" t="str">
        <f aca="false">PROPER(IF(ISBLANK(AU732),"No",AU732))</f>
        <v>No</v>
      </c>
      <c r="AX732" s="5" t="n">
        <f aca="false">IF(ISBLANK(AW732),0,AW732)</f>
        <v>0</v>
      </c>
      <c r="AY732" s="0" t="s">
        <v>60</v>
      </c>
      <c r="AZ732" s="0" t="str">
        <f aca="false">UPPER(IF(ISBLANK(AY732),"NONE",AY732))</f>
        <v>NONE</v>
      </c>
      <c r="BA732" s="7" t="n">
        <v>45992</v>
      </c>
      <c r="BB732" s="7" t="n">
        <f aca="false">IF(ISBLANK(BA732),"No Follow Up Needed",BA732)</f>
        <v>45992</v>
      </c>
      <c r="BC732" s="0" t="s">
        <v>63</v>
      </c>
      <c r="BD732" s="0" t="str">
        <f aca="false">PROPER(IF(ISBLANK(BC732),"Unknown",BC732))</f>
        <v>Yes</v>
      </c>
      <c r="BF732" s="0" t="str">
        <f aca="false">IF(ISBLANK(BE732),"No comments",BE732)</f>
        <v>No comments</v>
      </c>
      <c r="BG732" s="0" t="s">
        <v>2320</v>
      </c>
      <c r="BH732" s="0" t="str">
        <f aca="false">IF(ISBLANK(BG732),"No comments",BG732)</f>
        <v>No complaints</v>
      </c>
      <c r="BI732" s="0" t="s">
        <v>63</v>
      </c>
      <c r="BJ732" s="0" t="str">
        <f aca="false">IF(ISBLANK(BI732),"Not Mentioned",BI732)</f>
        <v>Yes</v>
      </c>
      <c r="BL732" s="0" t="str">
        <f aca="false">PROPER(IF(ISBLANK(BK732),"Not Mentioned",BK732))</f>
        <v>Not Mentioned</v>
      </c>
      <c r="BN732" s="0" t="str">
        <f aca="false">PROPER(IF(ISBLANK(BM732),"Not Mentioned",BM732))</f>
        <v>Not Mentioned</v>
      </c>
      <c r="BO732" s="0" t="s">
        <v>2321</v>
      </c>
      <c r="BP732" s="0" t="str">
        <f aca="false">IF(ISBLANK(BO732),"One-Time Plan",BO732)</f>
        <v>One-Time Plan</v>
      </c>
      <c r="BR732" s="0" t="str">
        <f aca="false">PROPER(IF(ISBLANK(BQ732),"No",BQ732))</f>
        <v>No</v>
      </c>
    </row>
    <row r="733" customFormat="false" ht="15" hidden="false" customHeight="false" outlineLevel="0" collapsed="false">
      <c r="A733" s="0" t="s">
        <v>1759</v>
      </c>
      <c r="B733" s="2" t="n">
        <v>45743</v>
      </c>
      <c r="C733" s="2" t="str">
        <f aca="false">TEXT(B733,"dd/mm/yyyy")</f>
        <v>27/03/2025</v>
      </c>
      <c r="D733" s="0" t="s">
        <v>42</v>
      </c>
      <c r="E733" s="0" t="n">
        <v>8072230215</v>
      </c>
      <c r="F733" s="0" t="s">
        <v>43</v>
      </c>
      <c r="G733" s="0" t="s">
        <v>2315</v>
      </c>
      <c r="H733" s="0" t="s">
        <v>1760</v>
      </c>
      <c r="I733" s="0" t="s">
        <v>107</v>
      </c>
      <c r="J733" s="0" t="s">
        <v>87</v>
      </c>
      <c r="K733" s="3" t="str">
        <f aca="false" t="array" ref="K733:K733">IFERROR(IF(J733&lt;&gt;"",J733,INDEX(J733:J1732,MATCH(1,(F733:F1732=F733)*(I733:I1732=I733)*(L733:L1732=L733)*(J733:J1732&lt;&gt;""),0))),"Not Found")</f>
        <v>Oil Change</v>
      </c>
      <c r="L733" s="3" t="s">
        <v>108</v>
      </c>
      <c r="M733" s="0" t="str">
        <f aca="false">PROPER(L733)</f>
        <v>Timing Belt</v>
      </c>
      <c r="N733" s="3" t="s">
        <v>109</v>
      </c>
      <c r="O733" s="0" t="str">
        <f aca="false" t="array" ref="O733:O733">IF(N733&lt;&gt;"",N733,_xlfn.xlookup(1,(L733:L1732=L733)*(N733:N1732&lt;&gt;""),N733:N1732,"Not Found"))</f>
        <v>Tijani</v>
      </c>
      <c r="P733" s="4" t="n">
        <v>61773</v>
      </c>
      <c r="Q733" s="0" t="s">
        <v>49</v>
      </c>
      <c r="R733" s="0" t="str">
        <f aca="false">PROPER(Q733)</f>
        <v>Transfer</v>
      </c>
      <c r="S733" s="0" t="s">
        <v>50</v>
      </c>
      <c r="T733" s="0" t="n">
        <v>1</v>
      </c>
      <c r="U733" s="5" t="n">
        <f aca="false">IF(ISBLANK(T733),AVERAGE(T733:T1732),T733)</f>
        <v>1</v>
      </c>
      <c r="V733" s="0" t="n">
        <v>1.9</v>
      </c>
      <c r="X733" s="0" t="str">
        <f aca="false">IF(ISBLANK(W733),"No remarks",W733)</f>
        <v>No remarks</v>
      </c>
      <c r="Y733" s="0" t="s">
        <v>52</v>
      </c>
      <c r="Z733" s="0" t="s">
        <v>74</v>
      </c>
      <c r="AA733" s="0" t="str">
        <f aca="false">PROPER(IF(ISBLANK(Z733),"Location Unavailable",Z733))</f>
        <v>Under Tree</v>
      </c>
      <c r="AB733" s="0" t="s">
        <v>95</v>
      </c>
      <c r="AC733" s="6" t="str">
        <f aca="false">PROPER(AB733)</f>
        <v>Road Sign</v>
      </c>
      <c r="AD733" s="6" t="n">
        <v>15</v>
      </c>
      <c r="AE733" s="5" t="n">
        <f aca="false">IF(ISBLANK(AD733),AVERAGEIF(L733:L1732,L733,AD733:AD1732),AD733)</f>
        <v>15</v>
      </c>
      <c r="AF733" s="0" t="s">
        <v>55</v>
      </c>
      <c r="AG733" s="0" t="str">
        <f aca="false">PROPER(AF733)</f>
        <v>Available</v>
      </c>
      <c r="AH733" s="0" t="s">
        <v>77</v>
      </c>
      <c r="AI733" s="0" t="s">
        <v>128</v>
      </c>
      <c r="AJ733" s="0" t="str">
        <f aca="false">PROPER(AI733)</f>
        <v>Normal</v>
      </c>
      <c r="AK733" s="0" t="s">
        <v>58</v>
      </c>
      <c r="AL733" s="0" t="str">
        <f aca="false">PROPER(AK733)</f>
        <v>Fleet Owner</v>
      </c>
      <c r="AM733" s="0" t="s">
        <v>2326</v>
      </c>
      <c r="AN733" s="0" t="str">
        <f aca="false">IF(ISBLANK(AM733),"Unknown",AM733)</f>
        <v>Government Convoy</v>
      </c>
      <c r="AO733" s="0" t="s">
        <v>79</v>
      </c>
      <c r="AP733" s="0" t="str">
        <f aca="false">IF(ISBLANK(AO733),"Unknown",AO733)</f>
        <v>Specialist</v>
      </c>
      <c r="AQ733" s="0" t="n">
        <v>25000</v>
      </c>
      <c r="AR733" s="5" t="n">
        <f aca="false">IF(ISBLANK(AQ733),AVERAGEIF(M733:M1732,M733,AQ733:AQ1732),AQ733)</f>
        <v>25000</v>
      </c>
      <c r="AS733" s="0" t="n">
        <v>30000</v>
      </c>
      <c r="AT733" s="5" t="n">
        <f aca="false">IF(ISBLANK(AS733),AVERAGE(AS733:AS1732),AS733)</f>
        <v>30000</v>
      </c>
      <c r="AU733" s="0" t="s">
        <v>61</v>
      </c>
      <c r="AV733" s="0" t="str">
        <f aca="false">PROPER(IF(ISBLANK(AU733),"No",AU733))</f>
        <v>No</v>
      </c>
      <c r="AW733" s="0" t="n">
        <v>5000</v>
      </c>
      <c r="AX733" s="5" t="n">
        <f aca="false">IF(ISBLANK(AW733),0,AW733)</f>
        <v>5000</v>
      </c>
      <c r="AY733" s="0" t="s">
        <v>80</v>
      </c>
      <c r="AZ733" s="0" t="str">
        <f aca="false">UPPER(IF(ISBLANK(AY733),"NONE",AY733))</f>
        <v>PROMO10</v>
      </c>
      <c r="BB733" s="7" t="str">
        <f aca="false">IF(ISBLANK(BA733),"No Follow Up Needed",BA733)</f>
        <v>No Follow Up Needed</v>
      </c>
      <c r="BC733" s="0" t="s">
        <v>63</v>
      </c>
      <c r="BD733" s="0" t="str">
        <f aca="false">PROPER(IF(ISBLANK(BC733),"Unknown",BC733))</f>
        <v>Yes</v>
      </c>
      <c r="BF733" s="0" t="str">
        <f aca="false">IF(ISBLANK(BE733),"No comments",BE733)</f>
        <v>No comments</v>
      </c>
      <c r="BH733" s="0" t="str">
        <f aca="false">IF(ISBLANK(BG733),"No comments",BG733)</f>
        <v>No comments</v>
      </c>
      <c r="BI733" s="0" t="s">
        <v>63</v>
      </c>
      <c r="BJ733" s="0" t="str">
        <f aca="false">IF(ISBLANK(BI733),"Not Mentioned",BI733)</f>
        <v>Yes</v>
      </c>
      <c r="BK733" s="0" t="s">
        <v>63</v>
      </c>
      <c r="BL733" s="0" t="str">
        <f aca="false">PROPER(IF(ISBLANK(BK733),"Not Mentioned",BK733))</f>
        <v>Yes</v>
      </c>
      <c r="BN733" s="0" t="str">
        <f aca="false">PROPER(IF(ISBLANK(BM733),"Not Mentioned",BM733))</f>
        <v>Not Mentioned</v>
      </c>
      <c r="BP733" s="0" t="str">
        <f aca="false">IF(ISBLANK(BO733),"One-Time Plan",BO733)</f>
        <v>One-Time Plan</v>
      </c>
      <c r="BQ733" s="0" t="s">
        <v>198</v>
      </c>
      <c r="BR733" s="0" t="str">
        <f aca="false">PROPER(IF(ISBLANK(BQ733),"No",BQ733))</f>
        <v>Followed Up</v>
      </c>
    </row>
    <row r="734" customFormat="false" ht="15" hidden="false" customHeight="false" outlineLevel="0" collapsed="false">
      <c r="A734" s="0" t="s">
        <v>1761</v>
      </c>
      <c r="B734" s="2" t="n">
        <v>45672</v>
      </c>
      <c r="C734" s="2" t="str">
        <f aca="false">TEXT(B734,"dd/mm/yyyy")</f>
        <v>15/01/2025</v>
      </c>
      <c r="D734" s="0" t="s">
        <v>121</v>
      </c>
      <c r="E734" s="0" t="n">
        <v>8051050127</v>
      </c>
      <c r="F734" s="0" t="s">
        <v>122</v>
      </c>
      <c r="G734" s="0" t="s">
        <v>2316</v>
      </c>
      <c r="H734" s="0" t="s">
        <v>1762</v>
      </c>
      <c r="I734" s="0" t="s">
        <v>134</v>
      </c>
      <c r="J734" s="0" t="s">
        <v>2322</v>
      </c>
      <c r="K734" s="3" t="str">
        <f aca="false" t="array" ref="K734:K734">IFERROR(IF(J734&lt;&gt;"",J734,INDEX(J734:J1733,MATCH(1,(F734:F1733=F734)*(I734:I1733=I734)*(L734:L1733=L734)*(J734:J1733&lt;&gt;""),0))),"Not Found")</f>
        <v>Brake Failure</v>
      </c>
      <c r="L734" s="3" t="s">
        <v>108</v>
      </c>
      <c r="M734" s="0" t="str">
        <f aca="false">PROPER(L734)</f>
        <v>Timing Belt</v>
      </c>
      <c r="O734" s="0" t="e">
        <f aca="false" t="array" ref="O734:O734">IF(N734&lt;&gt;"",N734,_xlfn.xlookup(1,(L734:L1733=L734)*(N734:N1733&lt;&gt;""),N734:N1733,"Not Found"))</f>
        <v>#NAME?</v>
      </c>
      <c r="P734" s="4" t="n">
        <v>112672</v>
      </c>
      <c r="Q734" s="0" t="s">
        <v>91</v>
      </c>
      <c r="R734" s="0" t="str">
        <f aca="false">PROPER(Q734)</f>
        <v>Pos</v>
      </c>
      <c r="S734" s="0" t="s">
        <v>63</v>
      </c>
      <c r="T734" s="0" t="n">
        <v>3</v>
      </c>
      <c r="U734" s="5" t="n">
        <f aca="false">IF(ISBLANK(T734),AVERAGE(T734:T1733),T734)</f>
        <v>3</v>
      </c>
      <c r="V734" s="0" t="n">
        <v>1.7</v>
      </c>
      <c r="W734" s="0" t="s">
        <v>111</v>
      </c>
      <c r="X734" s="0" t="str">
        <f aca="false">IF(ISBLANK(W734),"No remarks",W734)</f>
        <v>Changed all filters</v>
      </c>
      <c r="Y734" s="0" t="s">
        <v>93</v>
      </c>
      <c r="Z734" s="0" t="s">
        <v>94</v>
      </c>
      <c r="AA734" s="0" t="str">
        <f aca="false">PROPER(IF(ISBLANK(Z734),"Location Unavailable",Z734))</f>
        <v>Vip Section</v>
      </c>
      <c r="AB734" s="0" t="s">
        <v>147</v>
      </c>
      <c r="AC734" s="6" t="str">
        <f aca="false">PROPER(AB734)</f>
        <v>Instagram</v>
      </c>
      <c r="AD734" s="6" t="n">
        <v>45</v>
      </c>
      <c r="AE734" s="5" t="n">
        <f aca="false">IF(ISBLANK(AD734),AVERAGEIF(L734:L1733,L734,AD734:AD1733),AD734)</f>
        <v>45</v>
      </c>
      <c r="AF734" s="0" t="s">
        <v>76</v>
      </c>
      <c r="AG734" s="0" t="str">
        <f aca="false">PROPER(AF734)</f>
        <v>Orderd</v>
      </c>
      <c r="AH734" s="0" t="s">
        <v>155</v>
      </c>
      <c r="AI734" s="0" t="s">
        <v>78</v>
      </c>
      <c r="AJ734" s="0" t="str">
        <f aca="false">PROPER(AI734)</f>
        <v>Booking</v>
      </c>
      <c r="AK734" s="0" t="s">
        <v>99</v>
      </c>
      <c r="AL734" s="0" t="str">
        <f aca="false">PROPER(AK734)</f>
        <v>Uber Driver</v>
      </c>
      <c r="AM734" s="0" t="s">
        <v>2326</v>
      </c>
      <c r="AN734" s="0" t="str">
        <f aca="false">IF(ISBLANK(AM734),"Unknown",AM734)</f>
        <v>Government Convoy</v>
      </c>
      <c r="AO734" s="0" t="s">
        <v>79</v>
      </c>
      <c r="AP734" s="0" t="str">
        <f aca="false">IF(ISBLANK(AO734),"Unknown",AO734)</f>
        <v>Specialist</v>
      </c>
      <c r="AQ734" s="0" t="n">
        <v>25000</v>
      </c>
      <c r="AR734" s="5" t="n">
        <f aca="false">IF(ISBLANK(AQ734),AVERAGEIF(M734:M1733,M734,AQ734:AQ1733),AQ734)</f>
        <v>25000</v>
      </c>
      <c r="AS734" s="0" t="n">
        <v>20000</v>
      </c>
      <c r="AT734" s="5" t="n">
        <f aca="false">IF(ISBLANK(AS734),AVERAGE(AS734:AS1733),AS734)</f>
        <v>20000</v>
      </c>
      <c r="AU734" s="0" t="s">
        <v>50</v>
      </c>
      <c r="AV734" s="0" t="str">
        <f aca="false">PROPER(IF(ISBLANK(AU734),"No",AU734))</f>
        <v>No</v>
      </c>
      <c r="AW734" s="0" t="n">
        <v>0</v>
      </c>
      <c r="AX734" s="5" t="n">
        <f aca="false">IF(ISBLANK(AW734),0,AW734)</f>
        <v>0</v>
      </c>
      <c r="AY734" s="0" t="s">
        <v>184</v>
      </c>
      <c r="AZ734" s="0" t="str">
        <f aca="false">UPPER(IF(ISBLANK(AY734),"NONE",AY734))</f>
        <v>N/A</v>
      </c>
      <c r="BB734" s="7" t="str">
        <f aca="false">IF(ISBLANK(BA734),"No Follow Up Needed",BA734)</f>
        <v>No Follow Up Needed</v>
      </c>
      <c r="BC734" s="0" t="s">
        <v>61</v>
      </c>
      <c r="BD734" s="0" t="str">
        <f aca="false">PROPER(IF(ISBLANK(BC734),"Unknown",BC734))</f>
        <v>No</v>
      </c>
      <c r="BF734" s="0" t="str">
        <f aca="false">IF(ISBLANK(BE734),"No comments",BE734)</f>
        <v>No comments</v>
      </c>
      <c r="BH734" s="0" t="str">
        <f aca="false">IF(ISBLANK(BG734),"No comments",BG734)</f>
        <v>No comments</v>
      </c>
      <c r="BJ734" s="0" t="str">
        <f aca="false">IF(ISBLANK(BI734),"Not Mentioned",BI734)</f>
        <v>Not Mentioned</v>
      </c>
      <c r="BK734" s="0" t="s">
        <v>50</v>
      </c>
      <c r="BL734" s="0" t="str">
        <f aca="false">PROPER(IF(ISBLANK(BK734),"Not Mentioned",BK734))</f>
        <v>No</v>
      </c>
      <c r="BM734" s="0" t="s">
        <v>63</v>
      </c>
      <c r="BN734" s="0" t="str">
        <f aca="false">PROPER(IF(ISBLANK(BM734),"Not Mentioned",BM734))</f>
        <v>Yes</v>
      </c>
      <c r="BO734" s="0" t="s">
        <v>2318</v>
      </c>
      <c r="BP734" s="0" t="str">
        <f aca="false">IF(ISBLANK(BO734),"One-Time Plan",BO734)</f>
        <v>Gold</v>
      </c>
      <c r="BR734" s="0" t="str">
        <f aca="false">PROPER(IF(ISBLANK(BQ734),"No",BQ734))</f>
        <v>No</v>
      </c>
    </row>
    <row r="735" customFormat="false" ht="15" hidden="false" customHeight="false" outlineLevel="0" collapsed="false">
      <c r="A735" s="0" t="s">
        <v>1763</v>
      </c>
      <c r="B735" s="2" t="n">
        <v>45904</v>
      </c>
      <c r="C735" s="2" t="str">
        <f aca="false">TEXT(B735,"dd/mm/yyyy")</f>
        <v>04/09/2025</v>
      </c>
      <c r="D735" s="0" t="s">
        <v>42</v>
      </c>
      <c r="E735" s="0" t="n">
        <v>8070881578</v>
      </c>
      <c r="F735" s="0" t="s">
        <v>122</v>
      </c>
      <c r="G735" s="0" t="s">
        <v>2316</v>
      </c>
      <c r="H735" s="0" t="s">
        <v>1764</v>
      </c>
      <c r="I735" s="0" t="s">
        <v>107</v>
      </c>
      <c r="J735" s="0" t="s">
        <v>87</v>
      </c>
      <c r="K735" s="3" t="str">
        <f aca="false" t="array" ref="K735:K735">IFERROR(IF(J735&lt;&gt;"",J735,INDEX(J735:J1734,MATCH(1,(F735:F1734=F735)*(I735:I1734=I735)*(L735:L1734=L735)*(J735:J1734&lt;&gt;""),0))),"Not Found")</f>
        <v>Oil Change</v>
      </c>
      <c r="L735" s="3" t="s">
        <v>142</v>
      </c>
      <c r="M735" s="0" t="str">
        <f aca="false">PROPER(L735)</f>
        <v>Oil Filter, Brake Pads</v>
      </c>
      <c r="O735" s="0" t="e">
        <f aca="false" t="array" ref="O735:O735">IF(N735&lt;&gt;"",N735,_xlfn.xlookup(1,(L735:L1734=L735)*(N735:N1734&lt;&gt;""),N735:N1734,"Not Found"))</f>
        <v>#NAME?</v>
      </c>
      <c r="P735" s="4" t="n">
        <v>89443</v>
      </c>
      <c r="Q735" s="0" t="s">
        <v>110</v>
      </c>
      <c r="R735" s="0" t="str">
        <f aca="false">PROPER(Q735)</f>
        <v>Cash</v>
      </c>
      <c r="S735" s="0" t="s">
        <v>50</v>
      </c>
      <c r="U735" s="5" t="n">
        <f aca="false">IF(ISBLANK(T735),AVERAGE(T735:T1734),T735)</f>
        <v>3.20642201834862</v>
      </c>
      <c r="V735" s="0" t="n">
        <v>4.2</v>
      </c>
      <c r="W735" s="0" t="s">
        <v>51</v>
      </c>
      <c r="X735" s="0" t="str">
        <f aca="false">IF(ISBLANK(W735),"No remarks",W735)</f>
        <v>Recommended further checks</v>
      </c>
      <c r="Y735" s="0" t="s">
        <v>52</v>
      </c>
      <c r="Z735" s="0" t="s">
        <v>74</v>
      </c>
      <c r="AA735" s="0" t="str">
        <f aca="false">PROPER(IF(ISBLANK(Z735),"Location Unavailable",Z735))</f>
        <v>Under Tree</v>
      </c>
      <c r="AB735" s="0" t="s">
        <v>147</v>
      </c>
      <c r="AC735" s="6" t="str">
        <f aca="false">PROPER(AB735)</f>
        <v>Instagram</v>
      </c>
      <c r="AE735" s="5" t="n">
        <f aca="false">IF(ISBLANK(AD735),AVERAGEIF(L735:L1734,L735,AD735:AD1734),AD735)</f>
        <v>40.2857142857143</v>
      </c>
      <c r="AF735" s="0" t="s">
        <v>112</v>
      </c>
      <c r="AG735" s="0" t="str">
        <f aca="false">PROPER(AF735)</f>
        <v>Unavailable</v>
      </c>
      <c r="AH735" s="0" t="s">
        <v>77</v>
      </c>
      <c r="AI735" s="0" t="s">
        <v>98</v>
      </c>
      <c r="AJ735" s="0" t="str">
        <f aca="false">PROPER(AI735)</f>
        <v>Emergency</v>
      </c>
      <c r="AK735" s="0" t="s">
        <v>99</v>
      </c>
      <c r="AL735" s="0" t="str">
        <f aca="false">PROPER(AK735)</f>
        <v>Uber Driver</v>
      </c>
      <c r="AN735" s="0" t="str">
        <f aca="false">IF(ISBLANK(AM735),"Unknown",AM735)</f>
        <v>Unknown</v>
      </c>
      <c r="AP735" s="0" t="str">
        <f aca="false">IF(ISBLANK(AO735),"Unknown",AO735)</f>
        <v>Unknown</v>
      </c>
      <c r="AQ735" s="0" t="n">
        <v>40000</v>
      </c>
      <c r="AR735" s="5" t="n">
        <f aca="false">IF(ISBLANK(AQ735),AVERAGEIF(M735:M1734,M735,AQ735:AQ1734),AQ735)</f>
        <v>40000</v>
      </c>
      <c r="AS735" s="0" t="n">
        <v>20000</v>
      </c>
      <c r="AT735" s="5" t="n">
        <f aca="false">IF(ISBLANK(AS735),AVERAGE(AS735:AS1734),AS735)</f>
        <v>20000</v>
      </c>
      <c r="AU735" s="0" t="s">
        <v>50</v>
      </c>
      <c r="AV735" s="0" t="str">
        <f aca="false">PROPER(IF(ISBLANK(AU735),"No",AU735))</f>
        <v>No</v>
      </c>
      <c r="AX735" s="5" t="n">
        <f aca="false">IF(ISBLANK(AW735),0,AW735)</f>
        <v>0</v>
      </c>
      <c r="AY735" s="0" t="s">
        <v>130</v>
      </c>
      <c r="AZ735" s="0" t="str">
        <f aca="false">UPPER(IF(ISBLANK(AY735),"NONE",AY735))</f>
        <v>LOYALTY10</v>
      </c>
      <c r="BA735" s="7" t="n">
        <v>45843</v>
      </c>
      <c r="BB735" s="7" t="n">
        <f aca="false">IF(ISBLANK(BA735),"No Follow Up Needed",BA735)</f>
        <v>45843</v>
      </c>
      <c r="BC735" s="0" t="s">
        <v>61</v>
      </c>
      <c r="BD735" s="0" t="str">
        <f aca="false">PROPER(IF(ISBLANK(BC735),"Unknown",BC735))</f>
        <v>No</v>
      </c>
      <c r="BF735" s="0" t="str">
        <f aca="false">IF(ISBLANK(BE735),"No comments",BE735)</f>
        <v>No comments</v>
      </c>
      <c r="BH735" s="0" t="str">
        <f aca="false">IF(ISBLANK(BG735),"No comments",BG735)</f>
        <v>No comments</v>
      </c>
      <c r="BI735" s="0" t="s">
        <v>50</v>
      </c>
      <c r="BJ735" s="0" t="str">
        <f aca="false">IF(ISBLANK(BI735),"Not Mentioned",BI735)</f>
        <v>No</v>
      </c>
      <c r="BK735" s="0" t="s">
        <v>63</v>
      </c>
      <c r="BL735" s="0" t="str">
        <f aca="false">PROPER(IF(ISBLANK(BK735),"Not Mentioned",BK735))</f>
        <v>Yes</v>
      </c>
      <c r="BN735" s="0" t="str">
        <f aca="false">PROPER(IF(ISBLANK(BM735),"Not Mentioned",BM735))</f>
        <v>Not Mentioned</v>
      </c>
      <c r="BO735" s="0" t="s">
        <v>2318</v>
      </c>
      <c r="BP735" s="0" t="str">
        <f aca="false">IF(ISBLANK(BO735),"One-Time Plan",BO735)</f>
        <v>Gold</v>
      </c>
      <c r="BQ735" s="0" t="s">
        <v>50</v>
      </c>
      <c r="BR735" s="0" t="str">
        <f aca="false">PROPER(IF(ISBLANK(BQ735),"No",BQ735))</f>
        <v>No</v>
      </c>
    </row>
    <row r="736" customFormat="false" ht="15" hidden="false" customHeight="false" outlineLevel="0" collapsed="false">
      <c r="A736" s="0" t="s">
        <v>1765</v>
      </c>
      <c r="B736" s="2" t="n">
        <v>45962</v>
      </c>
      <c r="C736" s="2" t="str">
        <f aca="false">TEXT(B736,"dd/mm/yyyy")</f>
        <v>01/11/2025</v>
      </c>
      <c r="D736" s="0" t="s">
        <v>121</v>
      </c>
      <c r="E736" s="0" t="n">
        <v>8048013916</v>
      </c>
      <c r="F736" s="0" t="s">
        <v>43</v>
      </c>
      <c r="G736" s="0" t="s">
        <v>2315</v>
      </c>
      <c r="H736" s="0" t="s">
        <v>1231</v>
      </c>
      <c r="I736" s="0" t="s">
        <v>87</v>
      </c>
      <c r="J736" s="0" t="s">
        <v>87</v>
      </c>
      <c r="K736" s="3" t="str">
        <f aca="false" t="array" ref="K736:K736">IFERROR(IF(J736&lt;&gt;"",J736,INDEX(J736:J1735,MATCH(1,(F736:F1735=F736)*(I736:I1735=I736)*(L736:L1735=L736)*(J736:J1735&lt;&gt;""),0))),"Not Found")</f>
        <v>Oil Change</v>
      </c>
      <c r="L736" s="3" t="s">
        <v>108</v>
      </c>
      <c r="M736" s="0" t="str">
        <f aca="false">PROPER(L736)</f>
        <v>Timing Belt</v>
      </c>
      <c r="N736" s="3" t="s">
        <v>48</v>
      </c>
      <c r="O736" s="0" t="str">
        <f aca="false" t="array" ref="O736:O736">IF(N736&lt;&gt;"",N736,_xlfn.xlookup(1,(L736:L1735=L736)*(N736:N1735&lt;&gt;""),N736:N1735,"Not Found"))</f>
        <v>Uche</v>
      </c>
      <c r="P736" s="4" t="n">
        <v>79361</v>
      </c>
      <c r="Q736" s="0" t="s">
        <v>124</v>
      </c>
      <c r="R736" s="0" t="str">
        <f aca="false">PROPER(Q736)</f>
        <v>Cash</v>
      </c>
      <c r="S736" s="0" t="s">
        <v>63</v>
      </c>
      <c r="T736" s="0" t="n">
        <v>4</v>
      </c>
      <c r="U736" s="5" t="n">
        <f aca="false">IF(ISBLANK(T736),AVERAGE(T736:T1735),T736)</f>
        <v>4</v>
      </c>
      <c r="V736" s="0" t="n">
        <v>1.1</v>
      </c>
      <c r="X736" s="0" t="str">
        <f aca="false">IF(ISBLANK(W736),"No remarks",W736)</f>
        <v>No remarks</v>
      </c>
      <c r="Y736" s="0" t="s">
        <v>73</v>
      </c>
      <c r="Z736" s="0" t="s">
        <v>136</v>
      </c>
      <c r="AA736" s="0" t="str">
        <f aca="false">PROPER(IF(ISBLANK(Z736),"Location Unavailable",Z736))</f>
        <v>Vip Section</v>
      </c>
      <c r="AB736" s="0" t="s">
        <v>95</v>
      </c>
      <c r="AC736" s="6" t="str">
        <f aca="false">PROPER(AB736)</f>
        <v>Road Sign</v>
      </c>
      <c r="AE736" s="5" t="n">
        <f aca="false">IF(ISBLANK(AD736),AVERAGEIF(L736:L1735,L736,AD736:AD1735),AD736)</f>
        <v>40.4651162790698</v>
      </c>
      <c r="AF736" s="0" t="s">
        <v>160</v>
      </c>
      <c r="AG736" s="0" t="str">
        <f aca="false">PROPER(AF736)</f>
        <v>Availaible</v>
      </c>
      <c r="AH736" s="0" t="s">
        <v>56</v>
      </c>
      <c r="AI736" s="0" t="s">
        <v>113</v>
      </c>
      <c r="AJ736" s="0" t="str">
        <f aca="false">PROPER(AI736)</f>
        <v>Normal</v>
      </c>
      <c r="AK736" s="0" t="s">
        <v>196</v>
      </c>
      <c r="AL736" s="0" t="str">
        <f aca="false">PROPER(AK736)</f>
        <v>First Time</v>
      </c>
      <c r="AM736" s="0" t="s">
        <v>2324</v>
      </c>
      <c r="AN736" s="0" t="str">
        <f aca="false">IF(ISBLANK(AM736),"Unknown",AM736)</f>
        <v>Logistics Convoy</v>
      </c>
      <c r="AO736" s="0" t="s">
        <v>79</v>
      </c>
      <c r="AP736" s="0" t="str">
        <f aca="false">IF(ISBLANK(AO736),"Unknown",AO736)</f>
        <v>Specialist</v>
      </c>
      <c r="AQ736" s="0" t="n">
        <v>25000</v>
      </c>
      <c r="AR736" s="5" t="n">
        <f aca="false">IF(ISBLANK(AQ736),AVERAGEIF(M736:M1735,M736,AQ736:AQ1735),AQ736)</f>
        <v>25000</v>
      </c>
      <c r="AS736" s="0" t="n">
        <v>40000</v>
      </c>
      <c r="AT736" s="5" t="n">
        <f aca="false">IF(ISBLANK(AS736),AVERAGE(AS736:AS1735),AS736)</f>
        <v>40000</v>
      </c>
      <c r="AV736" s="0" t="str">
        <f aca="false">PROPER(IF(ISBLANK(AU736),"No",AU736))</f>
        <v>No</v>
      </c>
      <c r="AX736" s="5" t="n">
        <f aca="false">IF(ISBLANK(AW736),0,AW736)</f>
        <v>0</v>
      </c>
      <c r="AY736" s="0" t="s">
        <v>130</v>
      </c>
      <c r="AZ736" s="0" t="str">
        <f aca="false">UPPER(IF(ISBLANK(AY736),"NONE",AY736))</f>
        <v>LOYALTY10</v>
      </c>
      <c r="BA736" s="7" t="n">
        <v>45912</v>
      </c>
      <c r="BB736" s="7" t="n">
        <f aca="false">IF(ISBLANK(BA736),"No Follow Up Needed",BA736)</f>
        <v>45912</v>
      </c>
      <c r="BD736" s="0" t="str">
        <f aca="false">PROPER(IF(ISBLANK(BC736),"Unknown",BC736))</f>
        <v>Unknown</v>
      </c>
      <c r="BF736" s="0" t="str">
        <f aca="false">IF(ISBLANK(BE736),"No comments",BE736)</f>
        <v>No comments</v>
      </c>
      <c r="BH736" s="0" t="str">
        <f aca="false">IF(ISBLANK(BG736),"No comments",BG736)</f>
        <v>No comments</v>
      </c>
      <c r="BI736" s="0" t="s">
        <v>63</v>
      </c>
      <c r="BJ736" s="0" t="str">
        <f aca="false">IF(ISBLANK(BI736),"Not Mentioned",BI736)</f>
        <v>Yes</v>
      </c>
      <c r="BK736" s="0" t="s">
        <v>50</v>
      </c>
      <c r="BL736" s="0" t="str">
        <f aca="false">PROPER(IF(ISBLANK(BK736),"Not Mentioned",BK736))</f>
        <v>No</v>
      </c>
      <c r="BN736" s="0" t="str">
        <f aca="false">PROPER(IF(ISBLANK(BM736),"Not Mentioned",BM736))</f>
        <v>Not Mentioned</v>
      </c>
      <c r="BO736" s="0" t="s">
        <v>64</v>
      </c>
      <c r="BP736" s="0" t="str">
        <f aca="false">IF(ISBLANK(BO736),"One-Time Plan",BO736)</f>
        <v>Gold Maintenance Plan</v>
      </c>
      <c r="BQ736" s="0" t="s">
        <v>50</v>
      </c>
      <c r="BR736" s="0" t="str">
        <f aca="false">PROPER(IF(ISBLANK(BQ736),"No",BQ736))</f>
        <v>No</v>
      </c>
    </row>
    <row r="737" customFormat="false" ht="15" hidden="false" customHeight="false" outlineLevel="0" collapsed="false">
      <c r="A737" s="0" t="s">
        <v>1766</v>
      </c>
      <c r="B737" s="2" t="n">
        <v>45801</v>
      </c>
      <c r="C737" s="2" t="str">
        <f aca="false">TEXT(B737,"dd/mm/yyyy")</f>
        <v>24/05/2025</v>
      </c>
      <c r="D737" s="0" t="s">
        <v>105</v>
      </c>
      <c r="E737" s="0" t="n">
        <v>8060351362</v>
      </c>
      <c r="F737" s="0" t="s">
        <v>67</v>
      </c>
      <c r="G737" s="0" t="s">
        <v>2316</v>
      </c>
      <c r="H737" s="0" t="s">
        <v>1767</v>
      </c>
      <c r="I737" s="0" t="s">
        <v>69</v>
      </c>
      <c r="J737" s="0" t="s">
        <v>87</v>
      </c>
      <c r="K737" s="3" t="str">
        <f aca="false" t="array" ref="K737:K737">IFERROR(IF(J737&lt;&gt;"",J737,INDEX(J737:J1736,MATCH(1,(F737:F1736=F737)*(I737:I1736=I737)*(L737:L1736=L737)*(J737:J1736&lt;&gt;""),0))),"Not Found")</f>
        <v>Oil Change</v>
      </c>
      <c r="L737" s="3" t="s">
        <v>142</v>
      </c>
      <c r="M737" s="0" t="str">
        <f aca="false">PROPER(L737)</f>
        <v>Oil Filter, Brake Pads</v>
      </c>
      <c r="N737" s="3" t="s">
        <v>90</v>
      </c>
      <c r="O737" s="0" t="str">
        <f aca="false" t="array" ref="O737:O737">IF(N737&lt;&gt;"",N737,_xlfn.xlookup(1,(L737:L1736=L737)*(N737:N1736&lt;&gt;""),N737:N1736,"Not Found"))</f>
        <v>Musa</v>
      </c>
      <c r="P737" s="4" t="n">
        <v>74595</v>
      </c>
      <c r="Q737" s="0" t="s">
        <v>72</v>
      </c>
      <c r="R737" s="0" t="str">
        <f aca="false">PROPER(Q737)</f>
        <v>Pos</v>
      </c>
      <c r="S737" s="0" t="s">
        <v>63</v>
      </c>
      <c r="T737" s="0" t="n">
        <v>5</v>
      </c>
      <c r="U737" s="5" t="n">
        <f aca="false">IF(ISBLANK(T737),AVERAGE(T737:T1736),T737)</f>
        <v>5</v>
      </c>
      <c r="V737" s="0" t="n">
        <v>2.7</v>
      </c>
      <c r="W737" s="0" t="s">
        <v>111</v>
      </c>
      <c r="X737" s="0" t="str">
        <f aca="false">IF(ISBLANK(W737),"No remarks",W737)</f>
        <v>Changed all filters</v>
      </c>
      <c r="Y737" s="0" t="s">
        <v>52</v>
      </c>
      <c r="AA737" s="0" t="str">
        <f aca="false">PROPER(IF(ISBLANK(Z737),"Location Unavailable",Z737))</f>
        <v>Location Unavailable</v>
      </c>
      <c r="AB737" s="0" t="s">
        <v>75</v>
      </c>
      <c r="AC737" s="6" t="str">
        <f aca="false">PROPER(AB737)</f>
        <v>Mechanik Referal</v>
      </c>
      <c r="AD737" s="6" t="n">
        <v>60</v>
      </c>
      <c r="AE737" s="5" t="n">
        <f aca="false">IF(ISBLANK(AD737),AVERAGEIF(L737:L1736,L737,AD737:AD1736),AD737)</f>
        <v>60</v>
      </c>
      <c r="AF737" s="0" t="s">
        <v>76</v>
      </c>
      <c r="AG737" s="0" t="str">
        <f aca="false">PROPER(AF737)</f>
        <v>Orderd</v>
      </c>
      <c r="AH737" s="0" t="s">
        <v>148</v>
      </c>
      <c r="AI737" s="0" t="s">
        <v>128</v>
      </c>
      <c r="AJ737" s="0" t="str">
        <f aca="false">PROPER(AI737)</f>
        <v>Normal</v>
      </c>
      <c r="AK737" s="0" t="s">
        <v>196</v>
      </c>
      <c r="AL737" s="0" t="str">
        <f aca="false">PROPER(AK737)</f>
        <v>First Time</v>
      </c>
      <c r="AM737" s="0" t="s">
        <v>59</v>
      </c>
      <c r="AN737" s="0" t="str">
        <f aca="false">IF(ISBLANK(AM737),"Unknown",AM737)</f>
        <v>Bolt Driver</v>
      </c>
      <c r="AP737" s="0" t="str">
        <f aca="false">IF(ISBLANK(AO737),"Unknown",AO737)</f>
        <v>Unknown</v>
      </c>
      <c r="AR737" s="5" t="n">
        <f aca="false">IF(ISBLANK(AQ737),AVERAGEIF(M737:M1736,M737,AQ737:AQ1736),AQ737)</f>
        <v>26470.5882352941</v>
      </c>
      <c r="AS737" s="0" t="n">
        <v>30000</v>
      </c>
      <c r="AT737" s="5" t="n">
        <f aca="false">IF(ISBLANK(AS737),AVERAGE(AS737:AS1736),AS737)</f>
        <v>30000</v>
      </c>
      <c r="AU737" s="0" t="s">
        <v>61</v>
      </c>
      <c r="AV737" s="0" t="str">
        <f aca="false">PROPER(IF(ISBLANK(AU737),"No",AU737))</f>
        <v>No</v>
      </c>
      <c r="AX737" s="5" t="n">
        <f aca="false">IF(ISBLANK(AW737),0,AW737)</f>
        <v>0</v>
      </c>
      <c r="AZ737" s="0" t="str">
        <f aca="false">UPPER(IF(ISBLANK(AY737),"NONE",AY737))</f>
        <v>NONE</v>
      </c>
      <c r="BB737" s="7" t="str">
        <f aca="false">IF(ISBLANK(BA737),"No Follow Up Needed",BA737)</f>
        <v>No Follow Up Needed</v>
      </c>
      <c r="BC737" s="0" t="s">
        <v>61</v>
      </c>
      <c r="BD737" s="0" t="str">
        <f aca="false">PROPER(IF(ISBLANK(BC737),"Unknown",BC737))</f>
        <v>No</v>
      </c>
      <c r="BE737" s="0" t="s">
        <v>116</v>
      </c>
      <c r="BF737" s="0" t="str">
        <f aca="false">IF(ISBLANK(BE737),"No comments",BE737)</f>
        <v>Needs tire alignment</v>
      </c>
      <c r="BG737" s="0" t="s">
        <v>2320</v>
      </c>
      <c r="BH737" s="0" t="str">
        <f aca="false">IF(ISBLANK(BG737),"No comments",BG737)</f>
        <v>No complaints</v>
      </c>
      <c r="BI737" s="0" t="s">
        <v>63</v>
      </c>
      <c r="BJ737" s="0" t="str">
        <f aca="false">IF(ISBLANK(BI737),"Not Mentioned",BI737)</f>
        <v>Yes</v>
      </c>
      <c r="BL737" s="0" t="str">
        <f aca="false">PROPER(IF(ISBLANK(BK737),"Not Mentioned",BK737))</f>
        <v>Not Mentioned</v>
      </c>
      <c r="BM737" s="0" t="s">
        <v>63</v>
      </c>
      <c r="BN737" s="0" t="str">
        <f aca="false">PROPER(IF(ISBLANK(BM737),"Not Mentioned",BM737))</f>
        <v>Yes</v>
      </c>
      <c r="BO737" s="0" t="s">
        <v>2321</v>
      </c>
      <c r="BP737" s="0" t="str">
        <f aca="false">IF(ISBLANK(BO737),"One-Time Plan",BO737)</f>
        <v>One-Time Plan</v>
      </c>
      <c r="BQ737" s="0" t="s">
        <v>198</v>
      </c>
      <c r="BR737" s="0" t="str">
        <f aca="false">PROPER(IF(ISBLANK(BQ737),"No",BQ737))</f>
        <v>Followed Up</v>
      </c>
    </row>
    <row r="738" customFormat="false" ht="15" hidden="false" customHeight="false" outlineLevel="0" collapsed="false">
      <c r="A738" s="0" t="s">
        <v>1768</v>
      </c>
      <c r="B738" s="2" t="n">
        <v>45675</v>
      </c>
      <c r="C738" s="2" t="str">
        <f aca="false">TEXT(B738,"dd/mm/yyyy")</f>
        <v>18/01/2025</v>
      </c>
      <c r="D738" s="0" t="s">
        <v>42</v>
      </c>
      <c r="E738" s="0" t="n">
        <v>8085449435</v>
      </c>
      <c r="F738" s="0" t="s">
        <v>43</v>
      </c>
      <c r="G738" s="0" t="s">
        <v>2315</v>
      </c>
      <c r="H738" s="0" t="s">
        <v>1769</v>
      </c>
      <c r="I738" s="0" t="s">
        <v>87</v>
      </c>
      <c r="J738" s="0" t="s">
        <v>87</v>
      </c>
      <c r="K738" s="3" t="str">
        <f aca="false" t="array" ref="K738:K738">IFERROR(IF(J738&lt;&gt;"",J738,INDEX(J738:J1737,MATCH(1,(F738:F1737=F738)*(I738:I1737=I738)*(L738:L1737=L738)*(J738:J1737&lt;&gt;""),0))),"Not Found")</f>
        <v>Oil Change</v>
      </c>
      <c r="L738" s="3" t="s">
        <v>142</v>
      </c>
      <c r="M738" s="0" t="str">
        <f aca="false">PROPER(L738)</f>
        <v>Oil Filter, Brake Pads</v>
      </c>
      <c r="N738" s="3" t="s">
        <v>109</v>
      </c>
      <c r="O738" s="0" t="str">
        <f aca="false" t="array" ref="O738:O738">IF(N738&lt;&gt;"",N738,_xlfn.xlookup(1,(L738:L1737=L738)*(N738:N1737&lt;&gt;""),N738:N1737,"Not Found"))</f>
        <v>Tijani</v>
      </c>
      <c r="P738" s="4" t="n">
        <v>93739</v>
      </c>
      <c r="Q738" s="0" t="s">
        <v>91</v>
      </c>
      <c r="R738" s="0" t="str">
        <f aca="false">PROPER(Q738)</f>
        <v>Pos</v>
      </c>
      <c r="S738" s="0" t="s">
        <v>63</v>
      </c>
      <c r="T738" s="0" t="n">
        <v>5</v>
      </c>
      <c r="U738" s="5" t="n">
        <f aca="false">IF(ISBLANK(T738),AVERAGE(T738:T1737),T738)</f>
        <v>5</v>
      </c>
      <c r="V738" s="0" t="n">
        <v>2.1</v>
      </c>
      <c r="W738" s="0" t="s">
        <v>92</v>
      </c>
      <c r="X738" s="0" t="str">
        <f aca="false">IF(ISBLANK(W738),"No remarks",W738)</f>
        <v>Urgent service</v>
      </c>
      <c r="Y738" s="0" t="s">
        <v>93</v>
      </c>
      <c r="Z738" s="0" t="s">
        <v>74</v>
      </c>
      <c r="AA738" s="0" t="str">
        <f aca="false">PROPER(IF(ISBLANK(Z738),"Location Unavailable",Z738))</f>
        <v>Under Tree</v>
      </c>
      <c r="AB738" s="0" t="s">
        <v>126</v>
      </c>
      <c r="AC738" s="6" t="str">
        <f aca="false">PROPER(AB738)</f>
        <v>Whatsapp</v>
      </c>
      <c r="AD738" s="6" t="n">
        <v>60</v>
      </c>
      <c r="AE738" s="5" t="n">
        <f aca="false">IF(ISBLANK(AD738),AVERAGEIF(L738:L1737,L738,AD738:AD1737),AD738)</f>
        <v>60</v>
      </c>
      <c r="AF738" s="0" t="s">
        <v>112</v>
      </c>
      <c r="AG738" s="0" t="str">
        <f aca="false">PROPER(AF738)</f>
        <v>Unavailable</v>
      </c>
      <c r="AH738" s="0" t="s">
        <v>155</v>
      </c>
      <c r="AI738" s="0" t="s">
        <v>98</v>
      </c>
      <c r="AJ738" s="0" t="str">
        <f aca="false">PROPER(AI738)</f>
        <v>Emergency</v>
      </c>
      <c r="AK738" s="0" t="s">
        <v>196</v>
      </c>
      <c r="AL738" s="0" t="str">
        <f aca="false">PROPER(AK738)</f>
        <v>First Time</v>
      </c>
      <c r="AM738" s="0" t="s">
        <v>2326</v>
      </c>
      <c r="AN738" s="0" t="str">
        <f aca="false">IF(ISBLANK(AM738),"Unknown",AM738)</f>
        <v>Government Convoy</v>
      </c>
      <c r="AO738" s="0" t="s">
        <v>79</v>
      </c>
      <c r="AP738" s="0" t="str">
        <f aca="false">IF(ISBLANK(AO738),"Unknown",AO738)</f>
        <v>Specialist</v>
      </c>
      <c r="AR738" s="5" t="n">
        <f aca="false">IF(ISBLANK(AQ738),AVERAGEIF(M738:M1737,M738,AQ738:AQ1737),AQ738)</f>
        <v>26470.5882352941</v>
      </c>
      <c r="AS738" s="0" t="n">
        <v>30000</v>
      </c>
      <c r="AT738" s="5" t="n">
        <f aca="false">IF(ISBLANK(AS738),AVERAGE(AS738:AS1737),AS738)</f>
        <v>30000</v>
      </c>
      <c r="AU738" s="0" t="s">
        <v>82</v>
      </c>
      <c r="AV738" s="0" t="str">
        <f aca="false">PROPER(IF(ISBLANK(AU738),"No",AU738))</f>
        <v>Yes</v>
      </c>
      <c r="AW738" s="0" t="n">
        <v>0</v>
      </c>
      <c r="AX738" s="5" t="n">
        <f aca="false">IF(ISBLANK(AW738),0,AW738)</f>
        <v>0</v>
      </c>
      <c r="AY738" s="0" t="s">
        <v>60</v>
      </c>
      <c r="AZ738" s="0" t="str">
        <f aca="false">UPPER(IF(ISBLANK(AY738),"NONE",AY738))</f>
        <v>NONE</v>
      </c>
      <c r="BA738" s="7" t="n">
        <v>46006</v>
      </c>
      <c r="BB738" s="7" t="n">
        <f aca="false">IF(ISBLANK(BA738),"No Follow Up Needed",BA738)</f>
        <v>46006</v>
      </c>
      <c r="BC738" s="0" t="s">
        <v>50</v>
      </c>
      <c r="BD738" s="0" t="str">
        <f aca="false">PROPER(IF(ISBLANK(BC738),"Unknown",BC738))</f>
        <v>No</v>
      </c>
      <c r="BF738" s="0" t="str">
        <f aca="false">IF(ISBLANK(BE738),"No comments",BE738)</f>
        <v>No comments</v>
      </c>
      <c r="BH738" s="0" t="str">
        <f aca="false">IF(ISBLANK(BG738),"No comments",BG738)</f>
        <v>No comments</v>
      </c>
      <c r="BJ738" s="0" t="str">
        <f aca="false">IF(ISBLANK(BI738),"Not Mentioned",BI738)</f>
        <v>Not Mentioned</v>
      </c>
      <c r="BK738" s="0" t="s">
        <v>82</v>
      </c>
      <c r="BL738" s="0" t="str">
        <f aca="false">PROPER(IF(ISBLANK(BK738),"Not Mentioned",BK738))</f>
        <v>Yes</v>
      </c>
      <c r="BM738" s="0" t="s">
        <v>50</v>
      </c>
      <c r="BN738" s="0" t="str">
        <f aca="false">PROPER(IF(ISBLANK(BM738),"Not Mentioned",BM738))</f>
        <v>No</v>
      </c>
      <c r="BO738" s="0" t="s">
        <v>2321</v>
      </c>
      <c r="BP738" s="0" t="str">
        <f aca="false">IF(ISBLANK(BO738),"One-Time Plan",BO738)</f>
        <v>One-Time Plan</v>
      </c>
      <c r="BQ738" s="0" t="s">
        <v>50</v>
      </c>
      <c r="BR738" s="0" t="str">
        <f aca="false">PROPER(IF(ISBLANK(BQ738),"No",BQ738))</f>
        <v>No</v>
      </c>
    </row>
    <row r="739" customFormat="false" ht="15" hidden="false" customHeight="false" outlineLevel="0" collapsed="false">
      <c r="A739" s="0" t="s">
        <v>1770</v>
      </c>
      <c r="B739" s="2" t="n">
        <v>45743</v>
      </c>
      <c r="C739" s="2" t="str">
        <f aca="false">TEXT(B739,"dd/mm/yyyy")</f>
        <v>27/03/2025</v>
      </c>
      <c r="D739" s="0" t="s">
        <v>66</v>
      </c>
      <c r="E739" s="0" t="n">
        <v>8091339346</v>
      </c>
      <c r="F739" s="0" t="s">
        <v>67</v>
      </c>
      <c r="G739" s="0" t="s">
        <v>2316</v>
      </c>
      <c r="H739" s="0" t="s">
        <v>1771</v>
      </c>
      <c r="I739" s="0" t="s">
        <v>69</v>
      </c>
      <c r="J739" s="0" t="s">
        <v>2322</v>
      </c>
      <c r="K739" s="3" t="str">
        <f aca="false" t="array" ref="K739:K739">IFERROR(IF(J739&lt;&gt;"",J739,INDEX(J739:J1738,MATCH(1,(F739:F1738=F739)*(I739:I1738=I739)*(L739:L1738=L739)*(J739:J1738&lt;&gt;""),0))),"Not Found")</f>
        <v>Brake Failure</v>
      </c>
      <c r="L739" s="3" t="s">
        <v>47</v>
      </c>
      <c r="M739" s="0" t="str">
        <f aca="false">PROPER(L739)</f>
        <v>None</v>
      </c>
      <c r="N739" s="3" t="s">
        <v>109</v>
      </c>
      <c r="O739" s="0" t="str">
        <f aca="false" t="array" ref="O739:O739">IF(N739&lt;&gt;"",N739,_xlfn.xlookup(1,(L739:L1738=L739)*(N739:N1738&lt;&gt;""),N739:N1738,"Not Found"))</f>
        <v>Tijani</v>
      </c>
      <c r="P739" s="4" t="n">
        <v>39318</v>
      </c>
      <c r="Q739" s="0" t="s">
        <v>110</v>
      </c>
      <c r="R739" s="0" t="str">
        <f aca="false">PROPER(Q739)</f>
        <v>Cash</v>
      </c>
      <c r="S739" s="0" t="s">
        <v>50</v>
      </c>
      <c r="U739" s="5" t="n">
        <f aca="false">IF(ISBLANK(T739),AVERAGE(T739:T1738),T739)</f>
        <v>3.18604651162791</v>
      </c>
      <c r="V739" s="0" t="n">
        <v>3.9</v>
      </c>
      <c r="W739" s="0" t="s">
        <v>51</v>
      </c>
      <c r="X739" s="0" t="str">
        <f aca="false">IF(ISBLANK(W739),"No remarks",W739)</f>
        <v>Recommended further checks</v>
      </c>
      <c r="Y739" s="0" t="s">
        <v>73</v>
      </c>
      <c r="Z739" s="0" t="s">
        <v>74</v>
      </c>
      <c r="AA739" s="0" t="str">
        <f aca="false">PROPER(IF(ISBLANK(Z739),"Location Unavailable",Z739))</f>
        <v>Under Tree</v>
      </c>
      <c r="AB739" s="0" t="s">
        <v>95</v>
      </c>
      <c r="AC739" s="6" t="str">
        <f aca="false">PROPER(AB739)</f>
        <v>Road Sign</v>
      </c>
      <c r="AD739" s="6" t="n">
        <v>15</v>
      </c>
      <c r="AE739" s="5" t="n">
        <f aca="false">IF(ISBLANK(AD739),AVERAGEIF(L739:L1738,L739,AD739:AD1738),AD739)</f>
        <v>15</v>
      </c>
      <c r="AF739" s="0" t="s">
        <v>76</v>
      </c>
      <c r="AG739" s="0" t="str">
        <f aca="false">PROPER(AF739)</f>
        <v>Orderd</v>
      </c>
      <c r="AH739" s="0" t="s">
        <v>155</v>
      </c>
      <c r="AI739" s="0" t="s">
        <v>128</v>
      </c>
      <c r="AJ739" s="0" t="str">
        <f aca="false">PROPER(AI739)</f>
        <v>Normal</v>
      </c>
      <c r="AK739" s="0" t="s">
        <v>99</v>
      </c>
      <c r="AL739" s="0" t="str">
        <f aca="false">PROPER(AK739)</f>
        <v>Uber Driver</v>
      </c>
      <c r="AM739" s="0" t="s">
        <v>2326</v>
      </c>
      <c r="AN739" s="0" t="str">
        <f aca="false">IF(ISBLANK(AM739),"Unknown",AM739)</f>
        <v>Government Convoy</v>
      </c>
      <c r="AO739" s="0" t="s">
        <v>161</v>
      </c>
      <c r="AP739" s="0" t="str">
        <f aca="false">IF(ISBLANK(AO739),"Unknown",AO739)</f>
        <v>Apprentice</v>
      </c>
      <c r="AQ739" s="0" t="n">
        <v>25000</v>
      </c>
      <c r="AR739" s="5" t="n">
        <f aca="false">IF(ISBLANK(AQ739),AVERAGEIF(M739:M1738,M739,AQ739:AQ1738),AQ739)</f>
        <v>25000</v>
      </c>
      <c r="AS739" s="0" t="n">
        <v>30000</v>
      </c>
      <c r="AT739" s="5" t="n">
        <f aca="false">IF(ISBLANK(AS739),AVERAGE(AS739:AS1738),AS739)</f>
        <v>30000</v>
      </c>
      <c r="AU739" s="0" t="s">
        <v>50</v>
      </c>
      <c r="AV739" s="0" t="str">
        <f aca="false">PROPER(IF(ISBLANK(AU739),"No",AU739))</f>
        <v>No</v>
      </c>
      <c r="AW739" s="0" t="n">
        <v>5000</v>
      </c>
      <c r="AX739" s="5" t="n">
        <f aca="false">IF(ISBLANK(AW739),0,AW739)</f>
        <v>5000</v>
      </c>
      <c r="AY739" s="0" t="s">
        <v>60</v>
      </c>
      <c r="AZ739" s="0" t="str">
        <f aca="false">UPPER(IF(ISBLANK(AY739),"NONE",AY739))</f>
        <v>NONE</v>
      </c>
      <c r="BB739" s="7" t="str">
        <f aca="false">IF(ISBLANK(BA739),"No Follow Up Needed",BA739)</f>
        <v>No Follow Up Needed</v>
      </c>
      <c r="BD739" s="0" t="str">
        <f aca="false">PROPER(IF(ISBLANK(BC739),"Unknown",BC739))</f>
        <v>Unknown</v>
      </c>
      <c r="BE739" s="0" t="s">
        <v>171</v>
      </c>
      <c r="BF739" s="0" t="str">
        <f aca="false">IF(ISBLANK(BE739),"No comments",BE739)</f>
        <v>Shock absorber weakening</v>
      </c>
      <c r="BG739" s="0" t="s">
        <v>2320</v>
      </c>
      <c r="BH739" s="0" t="str">
        <f aca="false">IF(ISBLANK(BG739),"No comments",BG739)</f>
        <v>No complaints</v>
      </c>
      <c r="BI739" s="0" t="s">
        <v>63</v>
      </c>
      <c r="BJ739" s="0" t="str">
        <f aca="false">IF(ISBLANK(BI739),"Not Mentioned",BI739)</f>
        <v>Yes</v>
      </c>
      <c r="BK739" s="0" t="s">
        <v>61</v>
      </c>
      <c r="BL739" s="0" t="str">
        <f aca="false">PROPER(IF(ISBLANK(BK739),"Not Mentioned",BK739))</f>
        <v>No</v>
      </c>
      <c r="BM739" s="0" t="s">
        <v>63</v>
      </c>
      <c r="BN739" s="0" t="str">
        <f aca="false">PROPER(IF(ISBLANK(BM739),"Not Mentioned",BM739))</f>
        <v>Yes</v>
      </c>
      <c r="BO739" s="0" t="s">
        <v>64</v>
      </c>
      <c r="BP739" s="0" t="str">
        <f aca="false">IF(ISBLANK(BO739),"One-Time Plan",BO739)</f>
        <v>Gold Maintenance Plan</v>
      </c>
      <c r="BQ739" s="0" t="s">
        <v>50</v>
      </c>
      <c r="BR739" s="0" t="str">
        <f aca="false">PROPER(IF(ISBLANK(BQ739),"No",BQ739))</f>
        <v>No</v>
      </c>
    </row>
    <row r="740" customFormat="false" ht="15" hidden="false" customHeight="false" outlineLevel="0" collapsed="false">
      <c r="A740" s="0" t="s">
        <v>1772</v>
      </c>
      <c r="B740" s="2" t="n">
        <v>45711</v>
      </c>
      <c r="C740" s="2" t="str">
        <f aca="false">TEXT(B740,"dd/mm/yyyy")</f>
        <v>23/02/2025</v>
      </c>
      <c r="D740" s="0" t="s">
        <v>163</v>
      </c>
      <c r="E740" s="0" t="n">
        <v>8074537834</v>
      </c>
      <c r="F740" s="0" t="s">
        <v>43</v>
      </c>
      <c r="G740" s="0" t="s">
        <v>2315</v>
      </c>
      <c r="H740" s="0" t="s">
        <v>1773</v>
      </c>
      <c r="I740" s="0" t="s">
        <v>134</v>
      </c>
      <c r="J740" s="0" t="s">
        <v>2322</v>
      </c>
      <c r="K740" s="3" t="str">
        <f aca="false" t="array" ref="K740:K740">IFERROR(IF(J740&lt;&gt;"",J740,INDEX(J740:J1739,MATCH(1,(F740:F1739=F740)*(I740:I1739=I740)*(L740:L1739=L740)*(J740:J1739&lt;&gt;""),0))),"Not Found")</f>
        <v>Brake Failure</v>
      </c>
      <c r="L740" s="3" t="s">
        <v>154</v>
      </c>
      <c r="M740" s="0" t="str">
        <f aca="false">PROPER(L740)</f>
        <v>Air Filter</v>
      </c>
      <c r="O740" s="0" t="e">
        <f aca="false" t="array" ref="O740:O740">IF(N740&lt;&gt;"",N740,_xlfn.xlookup(1,(L740:L1739=L740)*(N740:N1739&lt;&gt;""),N740:N1739,"Not Found"))</f>
        <v>#NAME?</v>
      </c>
      <c r="P740" s="4" t="n">
        <v>94938</v>
      </c>
      <c r="Q740" s="0" t="s">
        <v>124</v>
      </c>
      <c r="R740" s="0" t="str">
        <f aca="false">PROPER(Q740)</f>
        <v>Cash</v>
      </c>
      <c r="S740" s="0" t="s">
        <v>50</v>
      </c>
      <c r="T740" s="0" t="n">
        <v>1</v>
      </c>
      <c r="U740" s="5" t="n">
        <f aca="false">IF(ISBLANK(T740),AVERAGE(T740:T1739),T740)</f>
        <v>1</v>
      </c>
      <c r="V740" s="0" t="n">
        <v>4.8</v>
      </c>
      <c r="W740" s="0" t="s">
        <v>125</v>
      </c>
      <c r="X740" s="0" t="str">
        <f aca="false">IF(ISBLANK(W740),"No remarks",W740)</f>
        <v>Customer waited</v>
      </c>
      <c r="Y740" s="0" t="s">
        <v>73</v>
      </c>
      <c r="Z740" s="0" t="s">
        <v>159</v>
      </c>
      <c r="AA740" s="0" t="str">
        <f aca="false">PROPER(IF(ISBLANK(Z740),"Location Unavailable",Z740))</f>
        <v>Main Bay</v>
      </c>
      <c r="AB740" s="0" t="s">
        <v>54</v>
      </c>
      <c r="AC740" s="6" t="str">
        <f aca="false">PROPER(AB740)</f>
        <v>Mechanic Referral</v>
      </c>
      <c r="AD740" s="6" t="n">
        <v>45</v>
      </c>
      <c r="AE740" s="5" t="n">
        <f aca="false">IF(ISBLANK(AD740),AVERAGEIF(L740:L1739,L740,AD740:AD1739),AD740)</f>
        <v>45</v>
      </c>
      <c r="AF740" s="0" t="s">
        <v>76</v>
      </c>
      <c r="AG740" s="0" t="str">
        <f aca="false">PROPER(AF740)</f>
        <v>Orderd</v>
      </c>
      <c r="AH740" s="0" t="s">
        <v>77</v>
      </c>
      <c r="AI740" s="0" t="s">
        <v>78</v>
      </c>
      <c r="AJ740" s="0" t="str">
        <f aca="false">PROPER(AI740)</f>
        <v>Booking</v>
      </c>
      <c r="AK740" s="0" t="s">
        <v>99</v>
      </c>
      <c r="AL740" s="0" t="str">
        <f aca="false">PROPER(AK740)</f>
        <v>Uber Driver</v>
      </c>
      <c r="AM740" s="0" t="s">
        <v>2324</v>
      </c>
      <c r="AN740" s="0" t="str">
        <f aca="false">IF(ISBLANK(AM740),"Unknown",AM740)</f>
        <v>Logistics Convoy</v>
      </c>
      <c r="AO740" s="0" t="s">
        <v>143</v>
      </c>
      <c r="AP740" s="0" t="str">
        <f aca="false">IF(ISBLANK(AO740),"Unknown",AO740)</f>
        <v>Senior</v>
      </c>
      <c r="AQ740" s="0" t="n">
        <v>20000</v>
      </c>
      <c r="AR740" s="5" t="n">
        <f aca="false">IF(ISBLANK(AQ740),AVERAGEIF(M740:M1739,M740,AQ740:AQ1739),AQ740)</f>
        <v>20000</v>
      </c>
      <c r="AS740" s="0" t="n">
        <v>40000</v>
      </c>
      <c r="AT740" s="5" t="n">
        <f aca="false">IF(ISBLANK(AS740),AVERAGE(AS740:AS1739),AS740)</f>
        <v>40000</v>
      </c>
      <c r="AV740" s="0" t="str">
        <f aca="false">PROPER(IF(ISBLANK(AU740),"No",AU740))</f>
        <v>No</v>
      </c>
      <c r="AX740" s="5" t="n">
        <f aca="false">IF(ISBLANK(AW740),0,AW740)</f>
        <v>0</v>
      </c>
      <c r="AY740" s="0" t="s">
        <v>60</v>
      </c>
      <c r="AZ740" s="0" t="str">
        <f aca="false">UPPER(IF(ISBLANK(AY740),"NONE",AY740))</f>
        <v>NONE</v>
      </c>
      <c r="BB740" s="7" t="str">
        <f aca="false">IF(ISBLANK(BA740),"No Follow Up Needed",BA740)</f>
        <v>No Follow Up Needed</v>
      </c>
      <c r="BC740" s="0" t="s">
        <v>63</v>
      </c>
      <c r="BD740" s="0" t="str">
        <f aca="false">PROPER(IF(ISBLANK(BC740),"Unknown",BC740))</f>
        <v>Yes</v>
      </c>
      <c r="BE740" s="0" t="s">
        <v>171</v>
      </c>
      <c r="BF740" s="0" t="str">
        <f aca="false">IF(ISBLANK(BE740),"No comments",BE740)</f>
        <v>Shock absorber weakening</v>
      </c>
      <c r="BG740" s="0" t="s">
        <v>172</v>
      </c>
      <c r="BH740" s="0" t="str">
        <f aca="false">IF(ISBLANK(BG740),"No comments",BG740)</f>
        <v>Always late</v>
      </c>
      <c r="BI740" s="0" t="s">
        <v>50</v>
      </c>
      <c r="BJ740" s="0" t="str">
        <f aca="false">IF(ISBLANK(BI740),"Not Mentioned",BI740)</f>
        <v>No</v>
      </c>
      <c r="BL740" s="0" t="str">
        <f aca="false">PROPER(IF(ISBLANK(BK740),"Not Mentioned",BK740))</f>
        <v>Not Mentioned</v>
      </c>
      <c r="BM740" s="0" t="s">
        <v>63</v>
      </c>
      <c r="BN740" s="0" t="str">
        <f aca="false">PROPER(IF(ISBLANK(BM740),"Not Mentioned",BM740))</f>
        <v>Yes</v>
      </c>
      <c r="BO740" s="0" t="s">
        <v>2321</v>
      </c>
      <c r="BP740" s="0" t="str">
        <f aca="false">IF(ISBLANK(BO740),"One-Time Plan",BO740)</f>
        <v>One-Time Plan</v>
      </c>
      <c r="BQ740" s="0" t="s">
        <v>63</v>
      </c>
      <c r="BR740" s="0" t="str">
        <f aca="false">PROPER(IF(ISBLANK(BQ740),"No",BQ740))</f>
        <v>Yes</v>
      </c>
    </row>
    <row r="741" customFormat="false" ht="15" hidden="false" customHeight="false" outlineLevel="0" collapsed="false">
      <c r="A741" s="0" t="s">
        <v>1775</v>
      </c>
      <c r="B741" s="2" t="s">
        <v>1774</v>
      </c>
      <c r="C741" s="2" t="str">
        <f aca="false">TEXT(B741,"dd/mm/yyyy")</f>
        <v>24/03/2025</v>
      </c>
      <c r="D741" s="0" t="s">
        <v>163</v>
      </c>
      <c r="E741" s="0" t="n">
        <v>8019655576</v>
      </c>
      <c r="F741" s="0" t="s">
        <v>122</v>
      </c>
      <c r="G741" s="0" t="s">
        <v>2316</v>
      </c>
      <c r="H741" s="0" t="s">
        <v>1776</v>
      </c>
      <c r="I741" s="0" t="s">
        <v>107</v>
      </c>
      <c r="J741" s="0" t="s">
        <v>87</v>
      </c>
      <c r="K741" s="3" t="str">
        <f aca="false" t="array" ref="K741:K741">IFERROR(IF(J741&lt;&gt;"",J741,INDEX(J741:J1740,MATCH(1,(F741:F1740=F741)*(I741:I1740=I741)*(L741:L1740=L741)*(J741:J1740&lt;&gt;""),0))),"Not Found")</f>
        <v>Oil Change</v>
      </c>
      <c r="L741" s="3" t="s">
        <v>108</v>
      </c>
      <c r="M741" s="0" t="str">
        <f aca="false">PROPER(L741)</f>
        <v>Timing Belt</v>
      </c>
      <c r="O741" s="0" t="e">
        <f aca="false" t="array" ref="O741:O741">IF(N741&lt;&gt;"",N741,_xlfn.xlookup(1,(L741:L1740=L741)*(N741:N1740&lt;&gt;""),N741:N1740,"Not Found"))</f>
        <v>#NAME?</v>
      </c>
      <c r="P741" s="4" t="n">
        <v>18535</v>
      </c>
      <c r="Q741" s="0" t="s">
        <v>72</v>
      </c>
      <c r="R741" s="0" t="str">
        <f aca="false">PROPER(Q741)</f>
        <v>Pos</v>
      </c>
      <c r="S741" s="0" t="s">
        <v>63</v>
      </c>
      <c r="T741" s="0" t="n">
        <v>1</v>
      </c>
      <c r="U741" s="5" t="n">
        <f aca="false">IF(ISBLANK(T741),AVERAGE(T741:T1740),T741)</f>
        <v>1</v>
      </c>
      <c r="V741" s="0" t="n">
        <v>1.7</v>
      </c>
      <c r="W741" s="0" t="s">
        <v>111</v>
      </c>
      <c r="X741" s="0" t="str">
        <f aca="false">IF(ISBLANK(W741),"No remarks",W741)</f>
        <v>Changed all filters</v>
      </c>
      <c r="Y741" s="0" t="s">
        <v>73</v>
      </c>
      <c r="Z741" s="0" t="s">
        <v>94</v>
      </c>
      <c r="AA741" s="0" t="str">
        <f aca="false">PROPER(IF(ISBLANK(Z741),"Location Unavailable",Z741))</f>
        <v>Vip Section</v>
      </c>
      <c r="AB741" s="0" t="s">
        <v>75</v>
      </c>
      <c r="AC741" s="6" t="str">
        <f aca="false">PROPER(AB741)</f>
        <v>Mechanik Referal</v>
      </c>
      <c r="AD741" s="6" t="n">
        <v>45</v>
      </c>
      <c r="AE741" s="5" t="n">
        <f aca="false">IF(ISBLANK(AD741),AVERAGEIF(L741:L1740,L741,AD741:AD1740),AD741)</f>
        <v>45</v>
      </c>
      <c r="AF741" s="0" t="s">
        <v>76</v>
      </c>
      <c r="AG741" s="0" t="str">
        <f aca="false">PROPER(AF741)</f>
        <v>Orderd</v>
      </c>
      <c r="AH741" s="0" t="s">
        <v>155</v>
      </c>
      <c r="AI741" s="0" t="s">
        <v>113</v>
      </c>
      <c r="AJ741" s="0" t="str">
        <f aca="false">PROPER(AI741)</f>
        <v>Normal</v>
      </c>
      <c r="AK741" s="0" t="s">
        <v>99</v>
      </c>
      <c r="AL741" s="0" t="str">
        <f aca="false">PROPER(AK741)</f>
        <v>Uber Driver</v>
      </c>
      <c r="AN741" s="0" t="str">
        <f aca="false">IF(ISBLANK(AM741),"Unknown",AM741)</f>
        <v>Unknown</v>
      </c>
      <c r="AO741" s="0" t="s">
        <v>161</v>
      </c>
      <c r="AP741" s="0" t="str">
        <f aca="false">IF(ISBLANK(AO741),"Unknown",AO741)</f>
        <v>Apprentice</v>
      </c>
      <c r="AQ741" s="0" t="n">
        <v>40000</v>
      </c>
      <c r="AR741" s="5" t="n">
        <f aca="false">IF(ISBLANK(AQ741),AVERAGEIF(M741:M1740,M741,AQ741:AQ1740),AQ741)</f>
        <v>40000</v>
      </c>
      <c r="AT741" s="5" t="n">
        <f aca="false">IF(ISBLANK(AS741),AVERAGE(AS741:AS1740),AS741)</f>
        <v>31238.5321100917</v>
      </c>
      <c r="AU741" s="0" t="s">
        <v>50</v>
      </c>
      <c r="AV741" s="0" t="str">
        <f aca="false">PROPER(IF(ISBLANK(AU741),"No",AU741))</f>
        <v>No</v>
      </c>
      <c r="AW741" s="0" t="n">
        <v>5000</v>
      </c>
      <c r="AX741" s="5" t="n">
        <f aca="false">IF(ISBLANK(AW741),0,AW741)</f>
        <v>5000</v>
      </c>
      <c r="AZ741" s="0" t="str">
        <f aca="false">UPPER(IF(ISBLANK(AY741),"NONE",AY741))</f>
        <v>NONE</v>
      </c>
      <c r="BA741" s="7" t="n">
        <v>46002</v>
      </c>
      <c r="BB741" s="7" t="n">
        <f aca="false">IF(ISBLANK(BA741),"No Follow Up Needed",BA741)</f>
        <v>46002</v>
      </c>
      <c r="BC741" s="0" t="s">
        <v>50</v>
      </c>
      <c r="BD741" s="0" t="str">
        <f aca="false">PROPER(IF(ISBLANK(BC741),"Unknown",BC741))</f>
        <v>No</v>
      </c>
      <c r="BF741" s="0" t="str">
        <f aca="false">IF(ISBLANK(BE741),"No comments",BE741)</f>
        <v>No comments</v>
      </c>
      <c r="BG741" s="0" t="s">
        <v>2320</v>
      </c>
      <c r="BH741" s="0" t="str">
        <f aca="false">IF(ISBLANK(BG741),"No comments",BG741)</f>
        <v>No complaints</v>
      </c>
      <c r="BI741" s="0" t="s">
        <v>50</v>
      </c>
      <c r="BJ741" s="0" t="str">
        <f aca="false">IF(ISBLANK(BI741),"Not Mentioned",BI741)</f>
        <v>No</v>
      </c>
      <c r="BK741" s="0" t="s">
        <v>63</v>
      </c>
      <c r="BL741" s="0" t="str">
        <f aca="false">PROPER(IF(ISBLANK(BK741),"Not Mentioned",BK741))</f>
        <v>Yes</v>
      </c>
      <c r="BM741" s="0" t="s">
        <v>63</v>
      </c>
      <c r="BN741" s="0" t="str">
        <f aca="false">PROPER(IF(ISBLANK(BM741),"Not Mentioned",BM741))</f>
        <v>Yes</v>
      </c>
      <c r="BO741" s="0" t="s">
        <v>2321</v>
      </c>
      <c r="BP741" s="0" t="str">
        <f aca="false">IF(ISBLANK(BO741),"One-Time Plan",BO741)</f>
        <v>One-Time Plan</v>
      </c>
      <c r="BQ741" s="0" t="s">
        <v>63</v>
      </c>
      <c r="BR741" s="0" t="str">
        <f aca="false">PROPER(IF(ISBLANK(BQ741),"No",BQ741))</f>
        <v>Yes</v>
      </c>
    </row>
    <row r="742" customFormat="false" ht="15" hidden="false" customHeight="false" outlineLevel="0" collapsed="false">
      <c r="A742" s="0" t="s">
        <v>1777</v>
      </c>
      <c r="B742" s="2" t="n">
        <v>45786</v>
      </c>
      <c r="C742" s="2" t="str">
        <f aca="false">TEXT(B742,"dd/mm/yyyy")</f>
        <v>09/05/2025</v>
      </c>
      <c r="D742" s="0" t="s">
        <v>42</v>
      </c>
      <c r="E742" s="0" t="n">
        <v>8054725929</v>
      </c>
      <c r="F742" s="0" t="s">
        <v>85</v>
      </c>
      <c r="G742" s="0" t="s">
        <v>2319</v>
      </c>
      <c r="H742" s="0" t="s">
        <v>1778</v>
      </c>
      <c r="I742" s="0" t="s">
        <v>87</v>
      </c>
      <c r="J742" s="0" t="s">
        <v>87</v>
      </c>
      <c r="K742" s="3" t="str">
        <f aca="false" t="array" ref="K742:K742">IFERROR(IF(J742&lt;&gt;"",J742,INDEX(J742:J1741,MATCH(1,(F742:F1741=F742)*(I742:I1741=I742)*(L742:L1741=L742)*(J742:J1741&lt;&gt;""),0))),"Not Found")</f>
        <v>Oil Change</v>
      </c>
      <c r="L742" s="3" t="s">
        <v>108</v>
      </c>
      <c r="M742" s="0" t="str">
        <f aca="false">PROPER(L742)</f>
        <v>Timing Belt</v>
      </c>
      <c r="N742" s="3" t="s">
        <v>71</v>
      </c>
      <c r="O742" s="0" t="str">
        <f aca="false" t="array" ref="O742:O742">IF(N742&lt;&gt;"",N742,_xlfn.xlookup(1,(L742:L1741=L742)*(N742:N1741&lt;&gt;""),N742:N1741,"Not Found"))</f>
        <v>Isaac Bobo</v>
      </c>
      <c r="P742" s="4" t="n">
        <v>36039</v>
      </c>
      <c r="Q742" s="0" t="s">
        <v>72</v>
      </c>
      <c r="R742" s="0" t="str">
        <f aca="false">PROPER(Q742)</f>
        <v>Pos</v>
      </c>
      <c r="S742" s="0" t="s">
        <v>50</v>
      </c>
      <c r="T742" s="0" t="n">
        <v>4</v>
      </c>
      <c r="U742" s="5" t="n">
        <f aca="false">IF(ISBLANK(T742),AVERAGE(T742:T1741),T742)</f>
        <v>4</v>
      </c>
      <c r="V742" s="0" t="n">
        <v>4.7</v>
      </c>
      <c r="W742" s="0" t="s">
        <v>125</v>
      </c>
      <c r="X742" s="0" t="str">
        <f aca="false">IF(ISBLANK(W742),"No remarks",W742)</f>
        <v>Customer waited</v>
      </c>
      <c r="Y742" s="0" t="s">
        <v>52</v>
      </c>
      <c r="Z742" s="0" t="s">
        <v>53</v>
      </c>
      <c r="AA742" s="0" t="str">
        <f aca="false">PROPER(IF(ISBLANK(Z742),"Location Unavailable",Z742))</f>
        <v>Main Bay</v>
      </c>
      <c r="AB742" s="0" t="s">
        <v>75</v>
      </c>
      <c r="AC742" s="6" t="str">
        <f aca="false">PROPER(AB742)</f>
        <v>Mechanik Referal</v>
      </c>
      <c r="AD742" s="6" t="n">
        <v>15</v>
      </c>
      <c r="AE742" s="5" t="n">
        <f aca="false">IF(ISBLANK(AD742),AVERAGEIF(L742:L1741,L742,AD742:AD1741),AD742)</f>
        <v>15</v>
      </c>
      <c r="AF742" s="0" t="s">
        <v>76</v>
      </c>
      <c r="AG742" s="0" t="str">
        <f aca="false">PROPER(AF742)</f>
        <v>Orderd</v>
      </c>
      <c r="AH742" s="0" t="s">
        <v>155</v>
      </c>
      <c r="AI742" s="0" t="s">
        <v>78</v>
      </c>
      <c r="AJ742" s="0" t="str">
        <f aca="false">PROPER(AI742)</f>
        <v>Booking</v>
      </c>
      <c r="AK742" s="0" t="s">
        <v>196</v>
      </c>
      <c r="AL742" s="0" t="str">
        <f aca="false">PROPER(AK742)</f>
        <v>First Time</v>
      </c>
      <c r="AM742" s="0" t="s">
        <v>2324</v>
      </c>
      <c r="AN742" s="0" t="str">
        <f aca="false">IF(ISBLANK(AM742),"Unknown",AM742)</f>
        <v>Logistics Convoy</v>
      </c>
      <c r="AO742" s="0" t="s">
        <v>143</v>
      </c>
      <c r="AP742" s="0" t="str">
        <f aca="false">IF(ISBLANK(AO742),"Unknown",AO742)</f>
        <v>Senior</v>
      </c>
      <c r="AQ742" s="0" t="n">
        <v>20000</v>
      </c>
      <c r="AR742" s="5" t="n">
        <f aca="false">IF(ISBLANK(AQ742),AVERAGEIF(M742:M1741,M742,AQ742:AQ1741),AQ742)</f>
        <v>20000</v>
      </c>
      <c r="AS742" s="0" t="n">
        <v>35000</v>
      </c>
      <c r="AT742" s="5" t="n">
        <f aca="false">IF(ISBLANK(AS742),AVERAGE(AS742:AS1741),AS742)</f>
        <v>35000</v>
      </c>
      <c r="AU742" s="0" t="s">
        <v>82</v>
      </c>
      <c r="AV742" s="0" t="str">
        <f aca="false">PROPER(IF(ISBLANK(AU742),"No",AU742))</f>
        <v>Yes</v>
      </c>
      <c r="AW742" s="0" t="n">
        <v>0</v>
      </c>
      <c r="AX742" s="5" t="n">
        <f aca="false">IF(ISBLANK(AW742),0,AW742)</f>
        <v>0</v>
      </c>
      <c r="AY742" s="0" t="s">
        <v>80</v>
      </c>
      <c r="AZ742" s="0" t="str">
        <f aca="false">UPPER(IF(ISBLANK(AY742),"NONE",AY742))</f>
        <v>PROMO10</v>
      </c>
      <c r="BB742" s="7" t="str">
        <f aca="false">IF(ISBLANK(BA742),"No Follow Up Needed",BA742)</f>
        <v>No Follow Up Needed</v>
      </c>
      <c r="BC742" s="0" t="s">
        <v>82</v>
      </c>
      <c r="BD742" s="0" t="str">
        <f aca="false">PROPER(IF(ISBLANK(BC742),"Unknown",BC742))</f>
        <v>Yes</v>
      </c>
      <c r="BE742" s="0" t="s">
        <v>171</v>
      </c>
      <c r="BF742" s="0" t="str">
        <f aca="false">IF(ISBLANK(BE742),"No comments",BE742)</f>
        <v>Shock absorber weakening</v>
      </c>
      <c r="BH742" s="0" t="str">
        <f aca="false">IF(ISBLANK(BG742),"No comments",BG742)</f>
        <v>No comments</v>
      </c>
      <c r="BI742" s="0" t="s">
        <v>50</v>
      </c>
      <c r="BJ742" s="0" t="str">
        <f aca="false">IF(ISBLANK(BI742),"Not Mentioned",BI742)</f>
        <v>No</v>
      </c>
      <c r="BK742" s="0" t="s">
        <v>50</v>
      </c>
      <c r="BL742" s="0" t="str">
        <f aca="false">PROPER(IF(ISBLANK(BK742),"Not Mentioned",BK742))</f>
        <v>No</v>
      </c>
      <c r="BN742" s="0" t="str">
        <f aca="false">PROPER(IF(ISBLANK(BM742),"Not Mentioned",BM742))</f>
        <v>Not Mentioned</v>
      </c>
      <c r="BO742" s="0" t="s">
        <v>2321</v>
      </c>
      <c r="BP742" s="0" t="str">
        <f aca="false">IF(ISBLANK(BO742),"One-Time Plan",BO742)</f>
        <v>One-Time Plan</v>
      </c>
      <c r="BQ742" s="0" t="s">
        <v>50</v>
      </c>
      <c r="BR742" s="0" t="str">
        <f aca="false">PROPER(IF(ISBLANK(BQ742),"No",BQ742))</f>
        <v>No</v>
      </c>
    </row>
    <row r="743" customFormat="false" ht="15" hidden="false" customHeight="false" outlineLevel="0" collapsed="false">
      <c r="A743" s="0" t="s">
        <v>1779</v>
      </c>
      <c r="B743" s="2" t="n">
        <v>45812</v>
      </c>
      <c r="C743" s="2" t="str">
        <f aca="false">TEXT(B743,"dd/mm/yyyy")</f>
        <v>04/06/2025</v>
      </c>
      <c r="D743" s="0" t="s">
        <v>105</v>
      </c>
      <c r="E743" s="0" t="n">
        <v>8028341704</v>
      </c>
      <c r="F743" s="0" t="s">
        <v>85</v>
      </c>
      <c r="G743" s="0" t="s">
        <v>2319</v>
      </c>
      <c r="H743" s="0" t="s">
        <v>930</v>
      </c>
      <c r="I743" s="0" t="s">
        <v>69</v>
      </c>
      <c r="J743" s="0" t="s">
        <v>2322</v>
      </c>
      <c r="K743" s="3" t="str">
        <f aca="false" t="array" ref="K743:K743">IFERROR(IF(J743&lt;&gt;"",J743,INDEX(J743:J1742,MATCH(1,(F743:F1742=F743)*(I743:I1742=I743)*(L743:L1742=L743)*(J743:J1742&lt;&gt;""),0))),"Not Found")</f>
        <v>Brake Failure</v>
      </c>
      <c r="L743" s="3" t="s">
        <v>89</v>
      </c>
      <c r="M743" s="0" t="str">
        <f aca="false">PROPER(L743)</f>
        <v>Shock Absorbers</v>
      </c>
      <c r="N743" s="3" t="s">
        <v>48</v>
      </c>
      <c r="O743" s="0" t="str">
        <f aca="false" t="array" ref="O743:O743">IF(N743&lt;&gt;"",N743,_xlfn.xlookup(1,(L743:L1742=L743)*(N743:N1742&lt;&gt;""),N743:N1742,"Not Found"))</f>
        <v>Uche</v>
      </c>
      <c r="P743" s="4" t="n">
        <v>70718</v>
      </c>
      <c r="Q743" s="0" t="s">
        <v>91</v>
      </c>
      <c r="R743" s="0" t="str">
        <f aca="false">PROPER(Q743)</f>
        <v>Pos</v>
      </c>
      <c r="S743" s="0" t="s">
        <v>63</v>
      </c>
      <c r="T743" s="0" t="n">
        <v>5</v>
      </c>
      <c r="U743" s="5" t="n">
        <f aca="false">IF(ISBLANK(T743),AVERAGE(T743:T1742),T743)</f>
        <v>5</v>
      </c>
      <c r="V743" s="0" t="n">
        <v>5.7</v>
      </c>
      <c r="X743" s="0" t="str">
        <f aca="false">IF(ISBLANK(W743),"No remarks",W743)</f>
        <v>No remarks</v>
      </c>
      <c r="Y743" s="0" t="s">
        <v>73</v>
      </c>
      <c r="Z743" s="0" t="s">
        <v>53</v>
      </c>
      <c r="AA743" s="0" t="str">
        <f aca="false">PROPER(IF(ISBLANK(Z743),"Location Unavailable",Z743))</f>
        <v>Main Bay</v>
      </c>
      <c r="AB743" s="0" t="s">
        <v>95</v>
      </c>
      <c r="AC743" s="6" t="str">
        <f aca="false">PROPER(AB743)</f>
        <v>Road Sign</v>
      </c>
      <c r="AE743" s="5" t="n">
        <f aca="false">IF(ISBLANK(AD743),AVERAGEIF(L743:L1742,L743,AD743:AD1742),AD743)</f>
        <v>40.609756097561</v>
      </c>
      <c r="AF743" s="0" t="s">
        <v>112</v>
      </c>
      <c r="AG743" s="0" t="str">
        <f aca="false">PROPER(AF743)</f>
        <v>Unavailable</v>
      </c>
      <c r="AH743" s="0" t="s">
        <v>155</v>
      </c>
      <c r="AI743" s="0" t="s">
        <v>128</v>
      </c>
      <c r="AJ743" s="0" t="str">
        <f aca="false">PROPER(AI743)</f>
        <v>Normal</v>
      </c>
      <c r="AK743" s="0" t="s">
        <v>196</v>
      </c>
      <c r="AL743" s="0" t="str">
        <f aca="false">PROPER(AK743)</f>
        <v>First Time</v>
      </c>
      <c r="AM743" s="0" t="s">
        <v>59</v>
      </c>
      <c r="AN743" s="0" t="str">
        <f aca="false">IF(ISBLANK(AM743),"Unknown",AM743)</f>
        <v>Bolt Driver</v>
      </c>
      <c r="AO743" s="0" t="s">
        <v>161</v>
      </c>
      <c r="AP743" s="0" t="str">
        <f aca="false">IF(ISBLANK(AO743),"Unknown",AO743)</f>
        <v>Apprentice</v>
      </c>
      <c r="AQ743" s="0" t="n">
        <v>15000</v>
      </c>
      <c r="AR743" s="5" t="n">
        <f aca="false">IF(ISBLANK(AQ743),AVERAGEIF(M743:M1742,M743,AQ743:AQ1742),AQ743)</f>
        <v>15000</v>
      </c>
      <c r="AS743" s="0" t="n">
        <v>35000</v>
      </c>
      <c r="AT743" s="5" t="n">
        <f aca="false">IF(ISBLANK(AS743),AVERAGE(AS743:AS1742),AS743)</f>
        <v>35000</v>
      </c>
      <c r="AU743" s="0" t="s">
        <v>50</v>
      </c>
      <c r="AV743" s="0" t="str">
        <f aca="false">PROPER(IF(ISBLANK(AU743),"No",AU743))</f>
        <v>No</v>
      </c>
      <c r="AW743" s="0" t="n">
        <v>5000</v>
      </c>
      <c r="AX743" s="5" t="n">
        <f aca="false">IF(ISBLANK(AW743),0,AW743)</f>
        <v>5000</v>
      </c>
      <c r="AY743" s="0" t="s">
        <v>60</v>
      </c>
      <c r="AZ743" s="0" t="str">
        <f aca="false">UPPER(IF(ISBLANK(AY743),"NONE",AY743))</f>
        <v>NONE</v>
      </c>
      <c r="BA743" s="7" t="n">
        <v>45818</v>
      </c>
      <c r="BB743" s="7" t="n">
        <f aca="false">IF(ISBLANK(BA743),"No Follow Up Needed",BA743)</f>
        <v>45818</v>
      </c>
      <c r="BC743" s="0" t="s">
        <v>63</v>
      </c>
      <c r="BD743" s="0" t="str">
        <f aca="false">PROPER(IF(ISBLANK(BC743),"Unknown",BC743))</f>
        <v>Yes</v>
      </c>
      <c r="BE743" s="0" t="s">
        <v>171</v>
      </c>
      <c r="BF743" s="0" t="str">
        <f aca="false">IF(ISBLANK(BE743),"No comments",BE743)</f>
        <v>Shock absorber weakening</v>
      </c>
      <c r="BH743" s="0" t="str">
        <f aca="false">IF(ISBLANK(BG743),"No comments",BG743)</f>
        <v>No comments</v>
      </c>
      <c r="BI743" s="0" t="s">
        <v>63</v>
      </c>
      <c r="BJ743" s="0" t="str">
        <f aca="false">IF(ISBLANK(BI743),"Not Mentioned",BI743)</f>
        <v>Yes</v>
      </c>
      <c r="BL743" s="0" t="str">
        <f aca="false">PROPER(IF(ISBLANK(BK743),"Not Mentioned",BK743))</f>
        <v>Not Mentioned</v>
      </c>
      <c r="BM743" s="0" t="s">
        <v>50</v>
      </c>
      <c r="BN743" s="0" t="str">
        <f aca="false">PROPER(IF(ISBLANK(BM743),"Not Mentioned",BM743))</f>
        <v>No</v>
      </c>
      <c r="BP743" s="0" t="str">
        <f aca="false">IF(ISBLANK(BO743),"One-Time Plan",BO743)</f>
        <v>One-Time Plan</v>
      </c>
      <c r="BQ743" s="0" t="s">
        <v>190</v>
      </c>
      <c r="BR743" s="0" t="str">
        <f aca="false">PROPER(IF(ISBLANK(BQ743),"No",BQ743))</f>
        <v>Yes</v>
      </c>
    </row>
    <row r="744" customFormat="false" ht="15" hidden="false" customHeight="false" outlineLevel="0" collapsed="false">
      <c r="A744" s="0" t="s">
        <v>1780</v>
      </c>
      <c r="B744" s="2" t="n">
        <v>45782</v>
      </c>
      <c r="C744" s="2" t="str">
        <f aca="false">TEXT(B744,"dd/mm/yyyy")</f>
        <v>05/05/2025</v>
      </c>
      <c r="D744" s="0" t="s">
        <v>163</v>
      </c>
      <c r="E744" s="0" t="n">
        <v>8072982807</v>
      </c>
      <c r="F744" s="0" t="s">
        <v>122</v>
      </c>
      <c r="G744" s="0" t="s">
        <v>2316</v>
      </c>
      <c r="H744" s="0" t="s">
        <v>1781</v>
      </c>
      <c r="I744" s="0" t="s">
        <v>69</v>
      </c>
      <c r="J744" s="0" t="s">
        <v>87</v>
      </c>
      <c r="K744" s="3" t="str">
        <f aca="false" t="array" ref="K744:K744">IFERROR(IF(J744&lt;&gt;"",J744,INDEX(J744:J1743,MATCH(1,(F744:F1743=F744)*(I744:I1743=I744)*(L744:L1743=L744)*(J744:J1743&lt;&gt;""),0))),"Not Found")</f>
        <v>Oil Change</v>
      </c>
      <c r="L744" s="3" t="s">
        <v>142</v>
      </c>
      <c r="M744" s="0" t="str">
        <f aca="false">PROPER(L744)</f>
        <v>Oil Filter, Brake Pads</v>
      </c>
      <c r="N744" s="3" t="s">
        <v>90</v>
      </c>
      <c r="O744" s="0" t="str">
        <f aca="false" t="array" ref="O744:O744">IF(N744&lt;&gt;"",N744,_xlfn.xlookup(1,(L744:L1743=L744)*(N744:N1743&lt;&gt;""),N744:N1743,"Not Found"))</f>
        <v>Musa</v>
      </c>
      <c r="P744" s="4" t="n">
        <v>87374</v>
      </c>
      <c r="Q744" s="0" t="s">
        <v>72</v>
      </c>
      <c r="R744" s="0" t="str">
        <f aca="false">PROPER(Q744)</f>
        <v>Pos</v>
      </c>
      <c r="S744" s="0" t="s">
        <v>50</v>
      </c>
      <c r="T744" s="0" t="n">
        <v>4</v>
      </c>
      <c r="U744" s="5" t="n">
        <f aca="false">IF(ISBLANK(T744),AVERAGE(T744:T1743),T744)</f>
        <v>4</v>
      </c>
      <c r="V744" s="0" t="n">
        <v>4.7</v>
      </c>
      <c r="W744" s="0" t="s">
        <v>92</v>
      </c>
      <c r="X744" s="0" t="str">
        <f aca="false">IF(ISBLANK(W744),"No remarks",W744)</f>
        <v>Urgent service</v>
      </c>
      <c r="Y744" s="0" t="s">
        <v>93</v>
      </c>
      <c r="Z744" s="0" t="s">
        <v>53</v>
      </c>
      <c r="AA744" s="0" t="str">
        <f aca="false">PROPER(IF(ISBLANK(Z744),"Location Unavailable",Z744))</f>
        <v>Main Bay</v>
      </c>
      <c r="AB744" s="0" t="s">
        <v>126</v>
      </c>
      <c r="AC744" s="6" t="str">
        <f aca="false">PROPER(AB744)</f>
        <v>Whatsapp</v>
      </c>
      <c r="AD744" s="6" t="n">
        <v>30</v>
      </c>
      <c r="AE744" s="5" t="n">
        <f aca="false">IF(ISBLANK(AD744),AVERAGEIF(L744:L1743,L744,AD744:AD1743),AD744)</f>
        <v>30</v>
      </c>
      <c r="AF744" s="0" t="s">
        <v>55</v>
      </c>
      <c r="AG744" s="0" t="str">
        <f aca="false">PROPER(AF744)</f>
        <v>Available</v>
      </c>
      <c r="AH744" s="0" t="s">
        <v>56</v>
      </c>
      <c r="AI744" s="0" t="s">
        <v>78</v>
      </c>
      <c r="AJ744" s="0" t="str">
        <f aca="false">PROPER(AI744)</f>
        <v>Booking</v>
      </c>
      <c r="AK744" s="0" t="s">
        <v>114</v>
      </c>
      <c r="AL744" s="0" t="str">
        <f aca="false">PROPER(AK744)</f>
        <v>Returning</v>
      </c>
      <c r="AM744" s="0" t="s">
        <v>177</v>
      </c>
      <c r="AN744" s="0" t="str">
        <f aca="false">IF(ISBLANK(AM744),"Unknown",AM744)</f>
        <v>Private</v>
      </c>
      <c r="AO744" s="0" t="s">
        <v>161</v>
      </c>
      <c r="AP744" s="0" t="str">
        <f aca="false">IF(ISBLANK(AO744),"Unknown",AO744)</f>
        <v>Apprentice</v>
      </c>
      <c r="AQ744" s="0" t="n">
        <v>30000</v>
      </c>
      <c r="AR744" s="5" t="n">
        <f aca="false">IF(ISBLANK(AQ744),AVERAGEIF(M744:M1743,M744,AQ744:AQ1743),AQ744)</f>
        <v>30000</v>
      </c>
      <c r="AT744" s="5" t="n">
        <f aca="false">IF(ISBLANK(AS744),AVERAGE(AS744:AS1743),AS744)</f>
        <v>31203.7037037037</v>
      </c>
      <c r="AU744" s="0" t="s">
        <v>50</v>
      </c>
      <c r="AV744" s="0" t="str">
        <f aca="false">PROPER(IF(ISBLANK(AU744),"No",AU744))</f>
        <v>No</v>
      </c>
      <c r="AW744" s="0" t="n">
        <v>0</v>
      </c>
      <c r="AX744" s="5" t="n">
        <f aca="false">IF(ISBLANK(AW744),0,AW744)</f>
        <v>0</v>
      </c>
      <c r="AY744" s="0" t="s">
        <v>80</v>
      </c>
      <c r="AZ744" s="0" t="str">
        <f aca="false">UPPER(IF(ISBLANK(AY744),"NONE",AY744))</f>
        <v>PROMO10</v>
      </c>
      <c r="BA744" s="7" t="s">
        <v>1782</v>
      </c>
      <c r="BB744" s="7" t="str">
        <f aca="false">IF(ISBLANK(BA744),"No Follow Up Needed",BA744)</f>
        <v>16/10/2025</v>
      </c>
      <c r="BC744" s="0" t="s">
        <v>82</v>
      </c>
      <c r="BD744" s="0" t="str">
        <f aca="false">PROPER(IF(ISBLANK(BC744),"Unknown",BC744))</f>
        <v>Yes</v>
      </c>
      <c r="BE744" s="0" t="s">
        <v>116</v>
      </c>
      <c r="BF744" s="0" t="str">
        <f aca="false">IF(ISBLANK(BE744),"No comments",BE744)</f>
        <v>Needs tire alignment</v>
      </c>
      <c r="BH744" s="0" t="str">
        <f aca="false">IF(ISBLANK(BG744),"No comments",BG744)</f>
        <v>No comments</v>
      </c>
      <c r="BI744" s="0" t="s">
        <v>63</v>
      </c>
      <c r="BJ744" s="0" t="str">
        <f aca="false">IF(ISBLANK(BI744),"Not Mentioned",BI744)</f>
        <v>Yes</v>
      </c>
      <c r="BK744" s="0" t="s">
        <v>63</v>
      </c>
      <c r="BL744" s="0" t="str">
        <f aca="false">PROPER(IF(ISBLANK(BK744),"Not Mentioned",BK744))</f>
        <v>Yes</v>
      </c>
      <c r="BM744" s="0" t="s">
        <v>63</v>
      </c>
      <c r="BN744" s="0" t="str">
        <f aca="false">PROPER(IF(ISBLANK(BM744),"Not Mentioned",BM744))</f>
        <v>Yes</v>
      </c>
      <c r="BO744" s="0" t="s">
        <v>64</v>
      </c>
      <c r="BP744" s="0" t="str">
        <f aca="false">IF(ISBLANK(BO744),"One-Time Plan",BO744)</f>
        <v>Gold Maintenance Plan</v>
      </c>
      <c r="BQ744" s="0" t="s">
        <v>50</v>
      </c>
      <c r="BR744" s="0" t="str">
        <f aca="false">PROPER(IF(ISBLANK(BQ744),"No",BQ744))</f>
        <v>No</v>
      </c>
    </row>
    <row r="745" customFormat="false" ht="15" hidden="false" customHeight="false" outlineLevel="0" collapsed="false">
      <c r="A745" s="0" t="s">
        <v>1783</v>
      </c>
      <c r="B745" s="2" t="s">
        <v>652</v>
      </c>
      <c r="C745" s="2" t="str">
        <f aca="false">TEXT(B745,"dd/mm/yyyy")</f>
        <v>17/05/2025</v>
      </c>
      <c r="D745" s="0" t="s">
        <v>105</v>
      </c>
      <c r="E745" s="0" t="n">
        <v>8036268523</v>
      </c>
      <c r="F745" s="0" t="s">
        <v>139</v>
      </c>
      <c r="G745" s="0" t="s">
        <v>2323</v>
      </c>
      <c r="H745" s="0" t="s">
        <v>1784</v>
      </c>
      <c r="I745" s="0" t="s">
        <v>69</v>
      </c>
      <c r="J745" s="0" t="s">
        <v>87</v>
      </c>
      <c r="K745" s="3" t="str">
        <f aca="false" t="array" ref="K745:K745">IFERROR(IF(J745&lt;&gt;"",J745,INDEX(J745:J1744,MATCH(1,(F745:F1744=F745)*(I745:I1744=I745)*(L745:L1744=L745)*(J745:J1744&lt;&gt;""),0))),"Not Found")</f>
        <v>Oil Change</v>
      </c>
      <c r="L745" s="3" t="s">
        <v>142</v>
      </c>
      <c r="M745" s="0" t="str">
        <f aca="false">PROPER(L745)</f>
        <v>Oil Filter, Brake Pads</v>
      </c>
      <c r="N745" s="3" t="s">
        <v>109</v>
      </c>
      <c r="O745" s="0" t="str">
        <f aca="false" t="array" ref="O745:O745">IF(N745&lt;&gt;"",N745,_xlfn.xlookup(1,(L745:L1744=L745)*(N745:N1744&lt;&gt;""),N745:N1744,"Not Found"))</f>
        <v>Tijani</v>
      </c>
      <c r="P745" s="4" t="n">
        <v>67542</v>
      </c>
      <c r="Q745" s="0" t="s">
        <v>124</v>
      </c>
      <c r="R745" s="0" t="str">
        <f aca="false">PROPER(Q745)</f>
        <v>Cash</v>
      </c>
      <c r="S745" s="0" t="s">
        <v>50</v>
      </c>
      <c r="T745" s="0" t="n">
        <v>2</v>
      </c>
      <c r="U745" s="5" t="n">
        <f aca="false">IF(ISBLANK(T745),AVERAGE(T745:T1744),T745)</f>
        <v>2</v>
      </c>
      <c r="V745" s="0" t="n">
        <v>3.9</v>
      </c>
      <c r="W745" s="0" t="s">
        <v>111</v>
      </c>
      <c r="X745" s="0" t="str">
        <f aca="false">IF(ISBLANK(W745),"No remarks",W745)</f>
        <v>Changed all filters</v>
      </c>
      <c r="Y745" s="0" t="s">
        <v>73</v>
      </c>
      <c r="Z745" s="0" t="s">
        <v>94</v>
      </c>
      <c r="AA745" s="0" t="str">
        <f aca="false">PROPER(IF(ISBLANK(Z745),"Location Unavailable",Z745))</f>
        <v>Vip Section</v>
      </c>
      <c r="AB745" s="0" t="s">
        <v>167</v>
      </c>
      <c r="AC745" s="6" t="str">
        <f aca="false">PROPER(AB745)</f>
        <v>Word Of Mouth</v>
      </c>
      <c r="AD745" s="6" t="n">
        <v>60</v>
      </c>
      <c r="AE745" s="5" t="n">
        <f aca="false">IF(ISBLANK(AD745),AVERAGEIF(L745:L1744,L745,AD745:AD1744),AD745)</f>
        <v>60</v>
      </c>
      <c r="AF745" s="0" t="s">
        <v>160</v>
      </c>
      <c r="AG745" s="0" t="str">
        <f aca="false">PROPER(AF745)</f>
        <v>Availaible</v>
      </c>
      <c r="AH745" s="0" t="s">
        <v>77</v>
      </c>
      <c r="AI745" s="0" t="s">
        <v>98</v>
      </c>
      <c r="AJ745" s="0" t="str">
        <f aca="false">PROPER(AI745)</f>
        <v>Emergency</v>
      </c>
      <c r="AK745" s="0" t="s">
        <v>99</v>
      </c>
      <c r="AL745" s="0" t="str">
        <f aca="false">PROPER(AK745)</f>
        <v>Uber Driver</v>
      </c>
      <c r="AN745" s="0" t="str">
        <f aca="false">IF(ISBLANK(AM745),"Unknown",AM745)</f>
        <v>Unknown</v>
      </c>
      <c r="AP745" s="0" t="str">
        <f aca="false">IF(ISBLANK(AO745),"Unknown",AO745)</f>
        <v>Unknown</v>
      </c>
      <c r="AQ745" s="0" t="n">
        <v>40000</v>
      </c>
      <c r="AR745" s="5" t="n">
        <f aca="false">IF(ISBLANK(AQ745),AVERAGEIF(M745:M1744,M745,AQ745:AQ1744),AQ745)</f>
        <v>40000</v>
      </c>
      <c r="AT745" s="5" t="n">
        <f aca="false">IF(ISBLANK(AS745),AVERAGE(AS745:AS1744),AS745)</f>
        <v>31203.7037037037</v>
      </c>
      <c r="AU745" s="0" t="s">
        <v>82</v>
      </c>
      <c r="AV745" s="0" t="str">
        <f aca="false">PROPER(IF(ISBLANK(AU745),"No",AU745))</f>
        <v>Yes</v>
      </c>
      <c r="AW745" s="0" t="n">
        <v>10000</v>
      </c>
      <c r="AX745" s="5" t="n">
        <f aca="false">IF(ISBLANK(AW745),0,AW745)</f>
        <v>10000</v>
      </c>
      <c r="AZ745" s="0" t="str">
        <f aca="false">UPPER(IF(ISBLANK(AY745),"NONE",AY745))</f>
        <v>NONE</v>
      </c>
      <c r="BB745" s="7" t="str">
        <f aca="false">IF(ISBLANK(BA745),"No Follow Up Needed",BA745)</f>
        <v>No Follow Up Needed</v>
      </c>
      <c r="BC745" s="0" t="s">
        <v>50</v>
      </c>
      <c r="BD745" s="0" t="str">
        <f aca="false">PROPER(IF(ISBLANK(BC745),"Unknown",BC745))</f>
        <v>No</v>
      </c>
      <c r="BE745" s="0" t="s">
        <v>116</v>
      </c>
      <c r="BF745" s="0" t="str">
        <f aca="false">IF(ISBLANK(BE745),"No comments",BE745)</f>
        <v>Needs tire alignment</v>
      </c>
      <c r="BG745" s="0" t="s">
        <v>2320</v>
      </c>
      <c r="BH745" s="0" t="str">
        <f aca="false">IF(ISBLANK(BG745),"No comments",BG745)</f>
        <v>No complaints</v>
      </c>
      <c r="BI745" s="0" t="s">
        <v>63</v>
      </c>
      <c r="BJ745" s="0" t="str">
        <f aca="false">IF(ISBLANK(BI745),"Not Mentioned",BI745)</f>
        <v>Yes</v>
      </c>
      <c r="BK745" s="0" t="s">
        <v>82</v>
      </c>
      <c r="BL745" s="0" t="str">
        <f aca="false">PROPER(IF(ISBLANK(BK745),"Not Mentioned",BK745))</f>
        <v>Yes</v>
      </c>
      <c r="BM745" s="0" t="s">
        <v>50</v>
      </c>
      <c r="BN745" s="0" t="str">
        <f aca="false">PROPER(IF(ISBLANK(BM745),"Not Mentioned",BM745))</f>
        <v>No</v>
      </c>
      <c r="BO745" s="0" t="s">
        <v>2321</v>
      </c>
      <c r="BP745" s="0" t="str">
        <f aca="false">IF(ISBLANK(BO745),"One-Time Plan",BO745)</f>
        <v>One-Time Plan</v>
      </c>
      <c r="BQ745" s="0" t="s">
        <v>190</v>
      </c>
      <c r="BR745" s="0" t="str">
        <f aca="false">PROPER(IF(ISBLANK(BQ745),"No",BQ745))</f>
        <v>Yes</v>
      </c>
    </row>
    <row r="746" customFormat="false" ht="15" hidden="false" customHeight="false" outlineLevel="0" collapsed="false">
      <c r="A746" s="0" t="s">
        <v>1785</v>
      </c>
      <c r="B746" s="2" t="n">
        <v>45752</v>
      </c>
      <c r="C746" s="2" t="str">
        <f aca="false">TEXT(B746,"dd/mm/yyyy")</f>
        <v>05/04/2025</v>
      </c>
      <c r="D746" s="0" t="s">
        <v>66</v>
      </c>
      <c r="E746" s="0" t="n">
        <v>8030766764</v>
      </c>
      <c r="F746" s="0" t="s">
        <v>43</v>
      </c>
      <c r="G746" s="0" t="s">
        <v>2315</v>
      </c>
      <c r="H746" s="0" t="s">
        <v>1786</v>
      </c>
      <c r="I746" s="0" t="s">
        <v>134</v>
      </c>
      <c r="J746" s="0" t="s">
        <v>2317</v>
      </c>
      <c r="K746" s="3" t="str">
        <f aca="false" t="array" ref="K746:K746">IFERROR(IF(J746&lt;&gt;"",J746,INDEX(J746:J1745,MATCH(1,(F746:F1745=F746)*(I746:I1745=I746)*(L746:L1745=L746)*(J746:J1745&lt;&gt;""),0))),"Not Found")</f>
        <v>Suspension Noise</v>
      </c>
      <c r="L746" s="3" t="s">
        <v>108</v>
      </c>
      <c r="M746" s="0" t="str">
        <f aca="false">PROPER(L746)</f>
        <v>Timing Belt</v>
      </c>
      <c r="N746" s="3" t="s">
        <v>48</v>
      </c>
      <c r="O746" s="0" t="str">
        <f aca="false" t="array" ref="O746:O746">IF(N746&lt;&gt;"",N746,_xlfn.xlookup(1,(L746:L1745=L746)*(N746:N1745&lt;&gt;""),N746:N1745,"Not Found"))</f>
        <v>Uche</v>
      </c>
      <c r="P746" s="4" t="n">
        <v>99804</v>
      </c>
      <c r="Q746" s="0" t="s">
        <v>110</v>
      </c>
      <c r="R746" s="0" t="str">
        <f aca="false">PROPER(Q746)</f>
        <v>Cash</v>
      </c>
      <c r="S746" s="0" t="s">
        <v>63</v>
      </c>
      <c r="T746" s="0" t="n">
        <v>4</v>
      </c>
      <c r="U746" s="5" t="n">
        <f aca="false">IF(ISBLANK(T746),AVERAGE(T746:T1745),T746)</f>
        <v>4</v>
      </c>
      <c r="V746" s="0" t="n">
        <v>2.5</v>
      </c>
      <c r="W746" s="0" t="s">
        <v>51</v>
      </c>
      <c r="X746" s="0" t="str">
        <f aca="false">IF(ISBLANK(W746),"No remarks",W746)</f>
        <v>Recommended further checks</v>
      </c>
      <c r="Y746" s="0" t="s">
        <v>93</v>
      </c>
      <c r="Z746" s="0" t="s">
        <v>136</v>
      </c>
      <c r="AA746" s="0" t="str">
        <f aca="false">PROPER(IF(ISBLANK(Z746),"Location Unavailable",Z746))</f>
        <v>Vip Section</v>
      </c>
      <c r="AB746" s="0" t="s">
        <v>95</v>
      </c>
      <c r="AC746" s="6" t="str">
        <f aca="false">PROPER(AB746)</f>
        <v>Road Sign</v>
      </c>
      <c r="AD746" s="6" t="n">
        <v>30</v>
      </c>
      <c r="AE746" s="5" t="n">
        <f aca="false">IF(ISBLANK(AD746),AVERAGEIF(L746:L1745,L746,AD746:AD1745),AD746)</f>
        <v>30</v>
      </c>
      <c r="AF746" s="0" t="s">
        <v>160</v>
      </c>
      <c r="AG746" s="0" t="str">
        <f aca="false">PROPER(AF746)</f>
        <v>Availaible</v>
      </c>
      <c r="AH746" s="0" t="s">
        <v>155</v>
      </c>
      <c r="AI746" s="0" t="s">
        <v>78</v>
      </c>
      <c r="AJ746" s="0" t="str">
        <f aca="false">PROPER(AI746)</f>
        <v>Booking</v>
      </c>
      <c r="AK746" s="0" t="s">
        <v>99</v>
      </c>
      <c r="AL746" s="0" t="str">
        <f aca="false">PROPER(AK746)</f>
        <v>Uber Driver</v>
      </c>
      <c r="AN746" s="0" t="str">
        <f aca="false">IF(ISBLANK(AM746),"Unknown",AM746)</f>
        <v>Unknown</v>
      </c>
      <c r="AP746" s="0" t="str">
        <f aca="false">IF(ISBLANK(AO746),"Unknown",AO746)</f>
        <v>Unknown</v>
      </c>
      <c r="AR746" s="5" t="n">
        <f aca="false">IF(ISBLANK(AQ746),AVERAGEIF(M746:M1745,M746,AQ746:AQ1745),AQ746)</f>
        <v>27435.8974358974</v>
      </c>
      <c r="AS746" s="0" t="n">
        <v>40000</v>
      </c>
      <c r="AT746" s="5" t="n">
        <f aca="false">IF(ISBLANK(AS746),AVERAGE(AS746:AS1745),AS746)</f>
        <v>40000</v>
      </c>
      <c r="AU746" s="0" t="s">
        <v>50</v>
      </c>
      <c r="AV746" s="0" t="str">
        <f aca="false">PROPER(IF(ISBLANK(AU746),"No",AU746))</f>
        <v>No</v>
      </c>
      <c r="AX746" s="5" t="n">
        <f aca="false">IF(ISBLANK(AW746),0,AW746)</f>
        <v>0</v>
      </c>
      <c r="AY746" s="0" t="s">
        <v>130</v>
      </c>
      <c r="AZ746" s="0" t="str">
        <f aca="false">UPPER(IF(ISBLANK(AY746),"NONE",AY746))</f>
        <v>LOYALTY10</v>
      </c>
      <c r="BB746" s="7" t="str">
        <f aca="false">IF(ISBLANK(BA746),"No Follow Up Needed",BA746)</f>
        <v>No Follow Up Needed</v>
      </c>
      <c r="BD746" s="0" t="str">
        <f aca="false">PROPER(IF(ISBLANK(BC746),"Unknown",BC746))</f>
        <v>Unknown</v>
      </c>
      <c r="BF746" s="0" t="str">
        <f aca="false">IF(ISBLANK(BE746),"No comments",BE746)</f>
        <v>No comments</v>
      </c>
      <c r="BG746" s="0" t="s">
        <v>2320</v>
      </c>
      <c r="BH746" s="0" t="str">
        <f aca="false">IF(ISBLANK(BG746),"No comments",BG746)</f>
        <v>No complaints</v>
      </c>
      <c r="BJ746" s="0" t="str">
        <f aca="false">IF(ISBLANK(BI746),"Not Mentioned",BI746)</f>
        <v>Not Mentioned</v>
      </c>
      <c r="BK746" s="0" t="s">
        <v>63</v>
      </c>
      <c r="BL746" s="0" t="str">
        <f aca="false">PROPER(IF(ISBLANK(BK746),"Not Mentioned",BK746))</f>
        <v>Yes</v>
      </c>
      <c r="BM746" s="0" t="s">
        <v>63</v>
      </c>
      <c r="BN746" s="0" t="str">
        <f aca="false">PROPER(IF(ISBLANK(BM746),"Not Mentioned",BM746))</f>
        <v>Yes</v>
      </c>
      <c r="BO746" s="0" t="s">
        <v>2318</v>
      </c>
      <c r="BP746" s="0" t="str">
        <f aca="false">IF(ISBLANK(BO746),"One-Time Plan",BO746)</f>
        <v>Gold</v>
      </c>
      <c r="BQ746" s="0" t="s">
        <v>50</v>
      </c>
      <c r="BR746" s="0" t="str">
        <f aca="false">PROPER(IF(ISBLANK(BQ746),"No",BQ746))</f>
        <v>No</v>
      </c>
    </row>
    <row r="747" customFormat="false" ht="15" hidden="false" customHeight="false" outlineLevel="0" collapsed="false">
      <c r="A747" s="0" t="s">
        <v>1787</v>
      </c>
      <c r="B747" s="2" t="n">
        <v>45674</v>
      </c>
      <c r="C747" s="2" t="str">
        <f aca="false">TEXT(B747,"dd/mm/yyyy")</f>
        <v>17/01/2025</v>
      </c>
      <c r="D747" s="0" t="s">
        <v>163</v>
      </c>
      <c r="E747" s="0" t="n">
        <v>8035451146</v>
      </c>
      <c r="F747" s="0" t="s">
        <v>85</v>
      </c>
      <c r="G747" s="0" t="s">
        <v>2319</v>
      </c>
      <c r="H747" s="0" t="s">
        <v>1788</v>
      </c>
      <c r="I747" s="0" t="s">
        <v>134</v>
      </c>
      <c r="J747" s="0" t="s">
        <v>2317</v>
      </c>
      <c r="K747" s="3" t="str">
        <f aca="false" t="array" ref="K747:K747">IFERROR(IF(J747&lt;&gt;"",J747,INDEX(J747:J1746,MATCH(1,(F747:F1746=F747)*(I747:I1746=I747)*(L747:L1746=L747)*(J747:J1746&lt;&gt;""),0))),"Not Found")</f>
        <v>Suspension Noise</v>
      </c>
      <c r="L747" s="3" t="s">
        <v>154</v>
      </c>
      <c r="M747" s="0" t="str">
        <f aca="false">PROPER(L747)</f>
        <v>Air Filter</v>
      </c>
      <c r="N747" s="3" t="s">
        <v>71</v>
      </c>
      <c r="O747" s="0" t="str">
        <f aca="false" t="array" ref="O747:O747">IF(N747&lt;&gt;"",N747,_xlfn.xlookup(1,(L747:L1746=L747)*(N747:N1746&lt;&gt;""),N747:N1746,"Not Found"))</f>
        <v>Isaac Bobo</v>
      </c>
      <c r="P747" s="4" t="n">
        <v>25765</v>
      </c>
      <c r="Q747" s="0" t="s">
        <v>72</v>
      </c>
      <c r="R747" s="0" t="str">
        <f aca="false">PROPER(Q747)</f>
        <v>Pos</v>
      </c>
      <c r="S747" s="0" t="s">
        <v>63</v>
      </c>
      <c r="T747" s="0" t="n">
        <v>5</v>
      </c>
      <c r="U747" s="5" t="n">
        <f aca="false">IF(ISBLANK(T747),AVERAGE(T747:T1746),T747)</f>
        <v>5</v>
      </c>
      <c r="V747" s="0" t="n">
        <v>5.1</v>
      </c>
      <c r="W747" s="0" t="s">
        <v>92</v>
      </c>
      <c r="X747" s="0" t="str">
        <f aca="false">IF(ISBLANK(W747),"No remarks",W747)</f>
        <v>Urgent service</v>
      </c>
      <c r="Y747" s="0" t="s">
        <v>93</v>
      </c>
      <c r="Z747" s="0" t="s">
        <v>136</v>
      </c>
      <c r="AA747" s="0" t="str">
        <f aca="false">PROPER(IF(ISBLANK(Z747),"Location Unavailable",Z747))</f>
        <v>Vip Section</v>
      </c>
      <c r="AB747" s="0" t="s">
        <v>147</v>
      </c>
      <c r="AC747" s="6" t="str">
        <f aca="false">PROPER(AB747)</f>
        <v>Instagram</v>
      </c>
      <c r="AD747" s="6" t="n">
        <v>15</v>
      </c>
      <c r="AE747" s="5" t="n">
        <f aca="false">IF(ISBLANK(AD747),AVERAGEIF(L747:L1746,L747,AD747:AD1746),AD747)</f>
        <v>15</v>
      </c>
      <c r="AF747" s="0" t="s">
        <v>76</v>
      </c>
      <c r="AG747" s="0" t="str">
        <f aca="false">PROPER(AF747)</f>
        <v>Orderd</v>
      </c>
      <c r="AH747" s="0" t="s">
        <v>148</v>
      </c>
      <c r="AI747" s="0" t="s">
        <v>113</v>
      </c>
      <c r="AJ747" s="0" t="str">
        <f aca="false">PROPER(AI747)</f>
        <v>Normal</v>
      </c>
      <c r="AK747" s="0" t="s">
        <v>114</v>
      </c>
      <c r="AL747" s="0" t="str">
        <f aca="false">PROPER(AK747)</f>
        <v>Returning</v>
      </c>
      <c r="AM747" s="0" t="s">
        <v>2324</v>
      </c>
      <c r="AN747" s="0" t="str">
        <f aca="false">IF(ISBLANK(AM747),"Unknown",AM747)</f>
        <v>Logistics Convoy</v>
      </c>
      <c r="AO747" s="0" t="s">
        <v>79</v>
      </c>
      <c r="AP747" s="0" t="str">
        <f aca="false">IF(ISBLANK(AO747),"Unknown",AO747)</f>
        <v>Specialist</v>
      </c>
      <c r="AQ747" s="0" t="n">
        <v>15000</v>
      </c>
      <c r="AR747" s="5" t="n">
        <f aca="false">IF(ISBLANK(AQ747),AVERAGEIF(M747:M1746,M747,AQ747:AQ1746),AQ747)</f>
        <v>15000</v>
      </c>
      <c r="AS747" s="0" t="n">
        <v>35000</v>
      </c>
      <c r="AT747" s="5" t="n">
        <f aca="false">IF(ISBLANK(AS747),AVERAGE(AS747:AS1746),AS747)</f>
        <v>35000</v>
      </c>
      <c r="AU747" s="0" t="s">
        <v>50</v>
      </c>
      <c r="AV747" s="0" t="str">
        <f aca="false">PROPER(IF(ISBLANK(AU747),"No",AU747))</f>
        <v>No</v>
      </c>
      <c r="AX747" s="5" t="n">
        <f aca="false">IF(ISBLANK(AW747),0,AW747)</f>
        <v>0</v>
      </c>
      <c r="AY747" s="0" t="s">
        <v>60</v>
      </c>
      <c r="AZ747" s="0" t="str">
        <f aca="false">UPPER(IF(ISBLANK(AY747),"NONE",AY747))</f>
        <v>NONE</v>
      </c>
      <c r="BA747" s="7" t="n">
        <v>45890</v>
      </c>
      <c r="BB747" s="7" t="n">
        <f aca="false">IF(ISBLANK(BA747),"No Follow Up Needed",BA747)</f>
        <v>45890</v>
      </c>
      <c r="BC747" s="0" t="s">
        <v>61</v>
      </c>
      <c r="BD747" s="0" t="str">
        <f aca="false">PROPER(IF(ISBLANK(BC747),"Unknown",BC747))</f>
        <v>No</v>
      </c>
      <c r="BE747" s="0" t="s">
        <v>116</v>
      </c>
      <c r="BF747" s="0" t="str">
        <f aca="false">IF(ISBLANK(BE747),"No comments",BE747)</f>
        <v>Needs tire alignment</v>
      </c>
      <c r="BG747" s="0" t="s">
        <v>2320</v>
      </c>
      <c r="BH747" s="0" t="str">
        <f aca="false">IF(ISBLANK(BG747),"No comments",BG747)</f>
        <v>No complaints</v>
      </c>
      <c r="BI747" s="0" t="s">
        <v>63</v>
      </c>
      <c r="BJ747" s="0" t="str">
        <f aca="false">IF(ISBLANK(BI747),"Not Mentioned",BI747)</f>
        <v>Yes</v>
      </c>
      <c r="BK747" s="0" t="s">
        <v>63</v>
      </c>
      <c r="BL747" s="0" t="str">
        <f aca="false">PROPER(IF(ISBLANK(BK747),"Not Mentioned",BK747))</f>
        <v>Yes</v>
      </c>
      <c r="BN747" s="0" t="str">
        <f aca="false">PROPER(IF(ISBLANK(BM747),"Not Mentioned",BM747))</f>
        <v>Not Mentioned</v>
      </c>
      <c r="BO747" s="0" t="s">
        <v>64</v>
      </c>
      <c r="BP747" s="0" t="str">
        <f aca="false">IF(ISBLANK(BO747),"One-Time Plan",BO747)</f>
        <v>Gold Maintenance Plan</v>
      </c>
      <c r="BQ747" s="0" t="s">
        <v>190</v>
      </c>
      <c r="BR747" s="0" t="str">
        <f aca="false">PROPER(IF(ISBLANK(BQ747),"No",BQ747))</f>
        <v>Yes</v>
      </c>
    </row>
    <row r="748" customFormat="false" ht="15" hidden="false" customHeight="false" outlineLevel="0" collapsed="false">
      <c r="A748" s="0" t="s">
        <v>1789</v>
      </c>
      <c r="B748" s="2" t="n">
        <v>45965</v>
      </c>
      <c r="C748" s="2" t="str">
        <f aca="false">TEXT(B748,"dd/mm/yyyy")</f>
        <v>04/11/2025</v>
      </c>
      <c r="D748" s="0" t="s">
        <v>121</v>
      </c>
      <c r="E748" s="0" t="n">
        <v>8010561104</v>
      </c>
      <c r="F748" s="0" t="s">
        <v>85</v>
      </c>
      <c r="G748" s="0" t="s">
        <v>2319</v>
      </c>
      <c r="H748" s="0" t="s">
        <v>1790</v>
      </c>
      <c r="I748" s="0" t="s">
        <v>45</v>
      </c>
      <c r="J748" s="0" t="s">
        <v>2317</v>
      </c>
      <c r="K748" s="3" t="str">
        <f aca="false" t="array" ref="K748:K748">IFERROR(IF(J748&lt;&gt;"",J748,INDEX(J748:J1747,MATCH(1,(F748:F1747=F748)*(I748:I1747=I748)*(L748:L1747=L748)*(J748:J1747&lt;&gt;""),0))),"Not Found")</f>
        <v>Suspension Noise</v>
      </c>
      <c r="L748" s="3" t="s">
        <v>189</v>
      </c>
      <c r="M748" s="0" t="str">
        <f aca="false">PROPER(L748)</f>
        <v>Battery</v>
      </c>
      <c r="N748" s="3" t="s">
        <v>48</v>
      </c>
      <c r="O748" s="0" t="str">
        <f aca="false" t="array" ref="O748:O748">IF(N748&lt;&gt;"",N748,_xlfn.xlookup(1,(L748:L1747=L748)*(N748:N1747&lt;&gt;""),N748:N1747,"Not Found"))</f>
        <v>Uche</v>
      </c>
      <c r="P748" s="4" t="n">
        <v>116648</v>
      </c>
      <c r="Q748" s="0" t="s">
        <v>72</v>
      </c>
      <c r="R748" s="0" t="str">
        <f aca="false">PROPER(Q748)</f>
        <v>Pos</v>
      </c>
      <c r="S748" s="0" t="s">
        <v>50</v>
      </c>
      <c r="T748" s="0" t="n">
        <v>5</v>
      </c>
      <c r="U748" s="5" t="n">
        <f aca="false">IF(ISBLANK(T748),AVERAGE(T748:T1747),T748)</f>
        <v>5</v>
      </c>
      <c r="V748" s="0" t="n">
        <v>5</v>
      </c>
      <c r="W748" s="0" t="s">
        <v>92</v>
      </c>
      <c r="X748" s="0" t="str">
        <f aca="false">IF(ISBLANK(W748),"No remarks",W748)</f>
        <v>Urgent service</v>
      </c>
      <c r="Y748" s="0" t="s">
        <v>52</v>
      </c>
      <c r="Z748" s="0" t="s">
        <v>53</v>
      </c>
      <c r="AA748" s="0" t="str">
        <f aca="false">PROPER(IF(ISBLANK(Z748),"Location Unavailable",Z748))</f>
        <v>Main Bay</v>
      </c>
      <c r="AB748" s="0" t="s">
        <v>167</v>
      </c>
      <c r="AC748" s="6" t="str">
        <f aca="false">PROPER(AB748)</f>
        <v>Word Of Mouth</v>
      </c>
      <c r="AE748" s="5" t="n">
        <f aca="false">IF(ISBLANK(AD748),AVERAGEIF(L748:L1747,L748,AD748:AD1747),AD748)</f>
        <v>38.7096774193548</v>
      </c>
      <c r="AF748" s="0" t="s">
        <v>160</v>
      </c>
      <c r="AG748" s="0" t="str">
        <f aca="false">PROPER(AF748)</f>
        <v>Availaible</v>
      </c>
      <c r="AH748" s="0" t="s">
        <v>148</v>
      </c>
      <c r="AI748" s="0" t="s">
        <v>98</v>
      </c>
      <c r="AJ748" s="0" t="str">
        <f aca="false">PROPER(AI748)</f>
        <v>Emergency</v>
      </c>
      <c r="AK748" s="0" t="s">
        <v>196</v>
      </c>
      <c r="AL748" s="0" t="str">
        <f aca="false">PROPER(AK748)</f>
        <v>First Time</v>
      </c>
      <c r="AM748" s="0" t="s">
        <v>2326</v>
      </c>
      <c r="AN748" s="0" t="str">
        <f aca="false">IF(ISBLANK(AM748),"Unknown",AM748)</f>
        <v>Government Convoy</v>
      </c>
      <c r="AO748" s="0" t="s">
        <v>79</v>
      </c>
      <c r="AP748" s="0" t="str">
        <f aca="false">IF(ISBLANK(AO748),"Unknown",AO748)</f>
        <v>Specialist</v>
      </c>
      <c r="AQ748" s="0" t="n">
        <v>15000</v>
      </c>
      <c r="AR748" s="5" t="n">
        <f aca="false">IF(ISBLANK(AQ748),AVERAGEIF(M748:M1747,M748,AQ748:AQ1747),AQ748)</f>
        <v>15000</v>
      </c>
      <c r="AS748" s="0" t="n">
        <v>30000</v>
      </c>
      <c r="AT748" s="5" t="n">
        <f aca="false">IF(ISBLANK(AS748),AVERAGE(AS748:AS1747),AS748)</f>
        <v>30000</v>
      </c>
      <c r="AU748" s="0" t="s">
        <v>61</v>
      </c>
      <c r="AV748" s="0" t="str">
        <f aca="false">PROPER(IF(ISBLANK(AU748),"No",AU748))</f>
        <v>No</v>
      </c>
      <c r="AW748" s="0" t="n">
        <v>5000</v>
      </c>
      <c r="AX748" s="5" t="n">
        <f aca="false">IF(ISBLANK(AW748),0,AW748)</f>
        <v>5000</v>
      </c>
      <c r="AY748" s="0" t="s">
        <v>130</v>
      </c>
      <c r="AZ748" s="0" t="str">
        <f aca="false">UPPER(IF(ISBLANK(AY748),"NONE",AY748))</f>
        <v>LOYALTY10</v>
      </c>
      <c r="BA748" s="7" t="n">
        <v>45986</v>
      </c>
      <c r="BB748" s="7" t="n">
        <f aca="false">IF(ISBLANK(BA748),"No Follow Up Needed",BA748)</f>
        <v>45986</v>
      </c>
      <c r="BC748" s="0" t="s">
        <v>82</v>
      </c>
      <c r="BD748" s="0" t="str">
        <f aca="false">PROPER(IF(ISBLANK(BC748),"Unknown",BC748))</f>
        <v>Yes</v>
      </c>
      <c r="BE748" s="0" t="s">
        <v>171</v>
      </c>
      <c r="BF748" s="0" t="str">
        <f aca="false">IF(ISBLANK(BE748),"No comments",BE748)</f>
        <v>Shock absorber weakening</v>
      </c>
      <c r="BG748" s="0" t="s">
        <v>117</v>
      </c>
      <c r="BH748" s="0" t="str">
        <f aca="false">IF(ISBLANK(BG748),"No comments",BG748)</f>
        <v>Prefers morning</v>
      </c>
      <c r="BI748" s="0" t="s">
        <v>50</v>
      </c>
      <c r="BJ748" s="0" t="str">
        <f aca="false">IF(ISBLANK(BI748),"Not Mentioned",BI748)</f>
        <v>No</v>
      </c>
      <c r="BK748" s="0" t="s">
        <v>61</v>
      </c>
      <c r="BL748" s="0" t="str">
        <f aca="false">PROPER(IF(ISBLANK(BK748),"Not Mentioned",BK748))</f>
        <v>No</v>
      </c>
      <c r="BM748" s="0" t="s">
        <v>63</v>
      </c>
      <c r="BN748" s="0" t="str">
        <f aca="false">PROPER(IF(ISBLANK(BM748),"Not Mentioned",BM748))</f>
        <v>Yes</v>
      </c>
      <c r="BO748" s="0" t="s">
        <v>64</v>
      </c>
      <c r="BP748" s="0" t="str">
        <f aca="false">IF(ISBLANK(BO748),"One-Time Plan",BO748)</f>
        <v>Gold Maintenance Plan</v>
      </c>
      <c r="BR748" s="0" t="str">
        <f aca="false">PROPER(IF(ISBLANK(BQ748),"No",BQ748))</f>
        <v>No</v>
      </c>
    </row>
    <row r="749" customFormat="false" ht="15" hidden="false" customHeight="false" outlineLevel="0" collapsed="false">
      <c r="A749" s="0" t="s">
        <v>1791</v>
      </c>
      <c r="B749" s="2" t="s">
        <v>119</v>
      </c>
      <c r="C749" s="2" t="str">
        <f aca="false">TEXT(B749,"dd/mm/yyyy")</f>
        <v>28/01/2025</v>
      </c>
      <c r="D749" s="0" t="s">
        <v>121</v>
      </c>
      <c r="E749" s="0" t="n">
        <v>8011722586</v>
      </c>
      <c r="F749" s="0" t="s">
        <v>67</v>
      </c>
      <c r="G749" s="0" t="s">
        <v>2316</v>
      </c>
      <c r="H749" s="0" t="s">
        <v>1792</v>
      </c>
      <c r="I749" s="0" t="s">
        <v>45</v>
      </c>
      <c r="J749" s="0" t="s">
        <v>87</v>
      </c>
      <c r="K749" s="3" t="str">
        <f aca="false" t="array" ref="K749:K749">IFERROR(IF(J749&lt;&gt;"",J749,INDEX(J749:J1748,MATCH(1,(F749:F1748=F749)*(I749:I1748=I749)*(L749:L1748=L749)*(J749:J1748&lt;&gt;""),0))),"Not Found")</f>
        <v>Oil Change</v>
      </c>
      <c r="L749" s="3" t="s">
        <v>142</v>
      </c>
      <c r="M749" s="0" t="str">
        <f aca="false">PROPER(L749)</f>
        <v>Oil Filter, Brake Pads</v>
      </c>
      <c r="N749" s="3" t="s">
        <v>109</v>
      </c>
      <c r="O749" s="0" t="str">
        <f aca="false" t="array" ref="O749:O749">IF(N749&lt;&gt;"",N749,_xlfn.xlookup(1,(L749:L1748=L749)*(N749:N1748&lt;&gt;""),N749:N1748,"Not Found"))</f>
        <v>Tijani</v>
      </c>
      <c r="P749" s="4" t="n">
        <v>64339</v>
      </c>
      <c r="Q749" s="0" t="s">
        <v>110</v>
      </c>
      <c r="R749" s="0" t="str">
        <f aca="false">PROPER(Q749)</f>
        <v>Cash</v>
      </c>
      <c r="S749" s="0" t="s">
        <v>63</v>
      </c>
      <c r="T749" s="0" t="n">
        <v>5</v>
      </c>
      <c r="U749" s="5" t="n">
        <f aca="false">IF(ISBLANK(T749),AVERAGE(T749:T1748),T749)</f>
        <v>5</v>
      </c>
      <c r="V749" s="0" t="n">
        <v>3.4</v>
      </c>
      <c r="W749" s="0" t="s">
        <v>92</v>
      </c>
      <c r="X749" s="0" t="str">
        <f aca="false">IF(ISBLANK(W749),"No remarks",W749)</f>
        <v>Urgent service</v>
      </c>
      <c r="Y749" s="0" t="s">
        <v>93</v>
      </c>
      <c r="Z749" s="0" t="s">
        <v>53</v>
      </c>
      <c r="AA749" s="0" t="str">
        <f aca="false">PROPER(IF(ISBLANK(Z749),"Location Unavailable",Z749))</f>
        <v>Main Bay</v>
      </c>
      <c r="AB749" s="0" t="s">
        <v>167</v>
      </c>
      <c r="AC749" s="6" t="str">
        <f aca="false">PROPER(AB749)</f>
        <v>Word Of Mouth</v>
      </c>
      <c r="AE749" s="5" t="n">
        <f aca="false">IF(ISBLANK(AD749),AVERAGEIF(L749:L1748,L749,AD749:AD1748),AD749)</f>
        <v>38.7096774193548</v>
      </c>
      <c r="AF749" s="0" t="s">
        <v>96</v>
      </c>
      <c r="AG749" s="0" t="str">
        <f aca="false">PROPER(AF749)</f>
        <v>Ordered</v>
      </c>
      <c r="AH749" s="0" t="s">
        <v>155</v>
      </c>
      <c r="AI749" s="0" t="s">
        <v>78</v>
      </c>
      <c r="AJ749" s="0" t="str">
        <f aca="false">PROPER(AI749)</f>
        <v>Booking</v>
      </c>
      <c r="AK749" s="0" t="s">
        <v>58</v>
      </c>
      <c r="AL749" s="0" t="str">
        <f aca="false">PROPER(AK749)</f>
        <v>Fleet Owner</v>
      </c>
      <c r="AM749" s="0" t="s">
        <v>177</v>
      </c>
      <c r="AN749" s="0" t="str">
        <f aca="false">IF(ISBLANK(AM749),"Unknown",AM749)</f>
        <v>Private</v>
      </c>
      <c r="AO749" s="0" t="s">
        <v>143</v>
      </c>
      <c r="AP749" s="0" t="str">
        <f aca="false">IF(ISBLANK(AO749),"Unknown",AO749)</f>
        <v>Senior</v>
      </c>
      <c r="AQ749" s="0" t="n">
        <v>20000</v>
      </c>
      <c r="AR749" s="5" t="n">
        <f aca="false">IF(ISBLANK(AQ749),AVERAGEIF(M749:M1748,M749,AQ749:AQ1748),AQ749)</f>
        <v>20000</v>
      </c>
      <c r="AS749" s="0" t="n">
        <v>30000</v>
      </c>
      <c r="AT749" s="5" t="n">
        <f aca="false">IF(ISBLANK(AS749),AVERAGE(AS749:AS1748),AS749)</f>
        <v>30000</v>
      </c>
      <c r="AV749" s="0" t="str">
        <f aca="false">PROPER(IF(ISBLANK(AU749),"No",AU749))</f>
        <v>No</v>
      </c>
      <c r="AW749" s="0" t="n">
        <v>5000</v>
      </c>
      <c r="AX749" s="5" t="n">
        <f aca="false">IF(ISBLANK(AW749),0,AW749)</f>
        <v>5000</v>
      </c>
      <c r="AY749" s="0" t="s">
        <v>60</v>
      </c>
      <c r="AZ749" s="0" t="str">
        <f aca="false">UPPER(IF(ISBLANK(AY749),"NONE",AY749))</f>
        <v>NONE</v>
      </c>
      <c r="BB749" s="7" t="str">
        <f aca="false">IF(ISBLANK(BA749),"No Follow Up Needed",BA749)</f>
        <v>No Follow Up Needed</v>
      </c>
      <c r="BC749" s="0" t="s">
        <v>50</v>
      </c>
      <c r="BD749" s="0" t="str">
        <f aca="false">PROPER(IF(ISBLANK(BC749),"Unknown",BC749))</f>
        <v>No</v>
      </c>
      <c r="BE749" s="0" t="s">
        <v>116</v>
      </c>
      <c r="BF749" s="0" t="str">
        <f aca="false">IF(ISBLANK(BE749),"No comments",BE749)</f>
        <v>Needs tire alignment</v>
      </c>
      <c r="BG749" s="0" t="s">
        <v>2320</v>
      </c>
      <c r="BH749" s="0" t="str">
        <f aca="false">IF(ISBLANK(BG749),"No comments",BG749)</f>
        <v>No complaints</v>
      </c>
      <c r="BI749" s="0" t="s">
        <v>50</v>
      </c>
      <c r="BJ749" s="0" t="str">
        <f aca="false">IF(ISBLANK(BI749),"Not Mentioned",BI749)</f>
        <v>No</v>
      </c>
      <c r="BK749" s="0" t="s">
        <v>82</v>
      </c>
      <c r="BL749" s="0" t="str">
        <f aca="false">PROPER(IF(ISBLANK(BK749),"Not Mentioned",BK749))</f>
        <v>Yes</v>
      </c>
      <c r="BM749" s="0" t="s">
        <v>63</v>
      </c>
      <c r="BN749" s="0" t="str">
        <f aca="false">PROPER(IF(ISBLANK(BM749),"Not Mentioned",BM749))</f>
        <v>Yes</v>
      </c>
      <c r="BP749" s="0" t="str">
        <f aca="false">IF(ISBLANK(BO749),"One-Time Plan",BO749)</f>
        <v>One-Time Plan</v>
      </c>
      <c r="BQ749" s="0" t="s">
        <v>198</v>
      </c>
      <c r="BR749" s="0" t="str">
        <f aca="false">PROPER(IF(ISBLANK(BQ749),"No",BQ749))</f>
        <v>Followed Up</v>
      </c>
    </row>
    <row r="750" customFormat="false" ht="15" hidden="false" customHeight="false" outlineLevel="0" collapsed="false">
      <c r="A750" s="0" t="s">
        <v>1793</v>
      </c>
      <c r="B750" s="2" t="n">
        <v>45686</v>
      </c>
      <c r="C750" s="2" t="str">
        <f aca="false">TEXT(B750,"dd/mm/yyyy")</f>
        <v>29/01/2025</v>
      </c>
      <c r="D750" s="0" t="s">
        <v>42</v>
      </c>
      <c r="E750" s="0" t="n">
        <v>8077202790</v>
      </c>
      <c r="F750" s="0" t="s">
        <v>139</v>
      </c>
      <c r="G750" s="0" t="s">
        <v>2323</v>
      </c>
      <c r="H750" s="0" t="s">
        <v>1794</v>
      </c>
      <c r="I750" s="0" t="s">
        <v>87</v>
      </c>
      <c r="K750" s="3" t="str">
        <f aca="false" t="array" ref="K750:K750">IFERROR(IF(J750&lt;&gt;"",J750,INDEX(J750:J1749,MATCH(1,(F750:F1749=F750)*(I750:I1749=I750)*(L750:L1749=L750)*(J750:J1749&lt;&gt;""),0))),"Not Found")</f>
        <v>Engine Knocking</v>
      </c>
      <c r="L750" s="3" t="s">
        <v>189</v>
      </c>
      <c r="M750" s="0" t="str">
        <f aca="false">PROPER(L750)</f>
        <v>Battery</v>
      </c>
      <c r="O750" s="0" t="e">
        <f aca="false" t="array" ref="O750:O750">IF(N750&lt;&gt;"",N750,_xlfn.xlookup(1,(L750:L1749=L750)*(N750:N1749&lt;&gt;""),N750:N1749,"Not Found"))</f>
        <v>#NAME?</v>
      </c>
      <c r="P750" s="4" t="n">
        <v>60098</v>
      </c>
      <c r="Q750" s="0" t="s">
        <v>91</v>
      </c>
      <c r="R750" s="0" t="str">
        <f aca="false">PROPER(Q750)</f>
        <v>Pos</v>
      </c>
      <c r="S750" s="0" t="s">
        <v>63</v>
      </c>
      <c r="T750" s="0" t="n">
        <v>5</v>
      </c>
      <c r="U750" s="5" t="n">
        <f aca="false">IF(ISBLANK(T750),AVERAGE(T750:T1749),T750)</f>
        <v>5</v>
      </c>
      <c r="V750" s="0" t="n">
        <v>1.9</v>
      </c>
      <c r="W750" s="0" t="s">
        <v>92</v>
      </c>
      <c r="X750" s="0" t="str">
        <f aca="false">IF(ISBLANK(W750),"No remarks",W750)</f>
        <v>Urgent service</v>
      </c>
      <c r="Y750" s="0" t="s">
        <v>73</v>
      </c>
      <c r="Z750" s="0" t="s">
        <v>136</v>
      </c>
      <c r="AA750" s="0" t="str">
        <f aca="false">PROPER(IF(ISBLANK(Z750),"Location Unavailable",Z750))</f>
        <v>Vip Section</v>
      </c>
      <c r="AB750" s="0" t="s">
        <v>126</v>
      </c>
      <c r="AC750" s="6" t="str">
        <f aca="false">PROPER(AB750)</f>
        <v>Whatsapp</v>
      </c>
      <c r="AD750" s="6" t="n">
        <v>30</v>
      </c>
      <c r="AE750" s="5" t="n">
        <f aca="false">IF(ISBLANK(AD750),AVERAGEIF(L750:L1749,L750,AD750:AD1749),AD750)</f>
        <v>30</v>
      </c>
      <c r="AF750" s="0" t="s">
        <v>96</v>
      </c>
      <c r="AG750" s="0" t="str">
        <f aca="false">PROPER(AF750)</f>
        <v>Ordered</v>
      </c>
      <c r="AH750" s="0" t="s">
        <v>77</v>
      </c>
      <c r="AI750" s="0" t="s">
        <v>128</v>
      </c>
      <c r="AJ750" s="0" t="str">
        <f aca="false">PROPER(AI750)</f>
        <v>Normal</v>
      </c>
      <c r="AK750" s="0" t="s">
        <v>196</v>
      </c>
      <c r="AL750" s="0" t="str">
        <f aca="false">PROPER(AK750)</f>
        <v>First Time</v>
      </c>
      <c r="AN750" s="0" t="str">
        <f aca="false">IF(ISBLANK(AM750),"Unknown",AM750)</f>
        <v>Unknown</v>
      </c>
      <c r="AP750" s="0" t="str">
        <f aca="false">IF(ISBLANK(AO750),"Unknown",AO750)</f>
        <v>Unknown</v>
      </c>
      <c r="AQ750" s="0" t="n">
        <v>25000</v>
      </c>
      <c r="AR750" s="5" t="n">
        <f aca="false">IF(ISBLANK(AQ750),AVERAGEIF(M750:M1749,M750,AQ750:AQ1749),AQ750)</f>
        <v>25000</v>
      </c>
      <c r="AS750" s="0" t="n">
        <v>35000</v>
      </c>
      <c r="AT750" s="5" t="n">
        <f aca="false">IF(ISBLANK(AS750),AVERAGE(AS750:AS1749),AS750)</f>
        <v>35000</v>
      </c>
      <c r="AU750" s="0" t="s">
        <v>50</v>
      </c>
      <c r="AV750" s="0" t="str">
        <f aca="false">PROPER(IF(ISBLANK(AU750),"No",AU750))</f>
        <v>No</v>
      </c>
      <c r="AX750" s="5" t="n">
        <f aca="false">IF(ISBLANK(AW750),0,AW750)</f>
        <v>0</v>
      </c>
      <c r="AZ750" s="0" t="str">
        <f aca="false">UPPER(IF(ISBLANK(AY750),"NONE",AY750))</f>
        <v>NONE</v>
      </c>
      <c r="BA750" s="7" t="n">
        <v>45935</v>
      </c>
      <c r="BB750" s="7" t="n">
        <f aca="false">IF(ISBLANK(BA750),"No Follow Up Needed",BA750)</f>
        <v>45935</v>
      </c>
      <c r="BC750" s="0" t="s">
        <v>61</v>
      </c>
      <c r="BD750" s="0" t="str">
        <f aca="false">PROPER(IF(ISBLANK(BC750),"Unknown",BC750))</f>
        <v>No</v>
      </c>
      <c r="BE750" s="0" t="s">
        <v>116</v>
      </c>
      <c r="BF750" s="0" t="str">
        <f aca="false">IF(ISBLANK(BE750),"No comments",BE750)</f>
        <v>Needs tire alignment</v>
      </c>
      <c r="BG750" s="0" t="s">
        <v>172</v>
      </c>
      <c r="BH750" s="0" t="str">
        <f aca="false">IF(ISBLANK(BG750),"No comments",BG750)</f>
        <v>Always late</v>
      </c>
      <c r="BI750" s="0" t="s">
        <v>50</v>
      </c>
      <c r="BJ750" s="0" t="str">
        <f aca="false">IF(ISBLANK(BI750),"Not Mentioned",BI750)</f>
        <v>No</v>
      </c>
      <c r="BK750" s="0" t="s">
        <v>82</v>
      </c>
      <c r="BL750" s="0" t="str">
        <f aca="false">PROPER(IF(ISBLANK(BK750),"Not Mentioned",BK750))</f>
        <v>Yes</v>
      </c>
      <c r="BN750" s="0" t="str">
        <f aca="false">PROPER(IF(ISBLANK(BM750),"Not Mentioned",BM750))</f>
        <v>Not Mentioned</v>
      </c>
      <c r="BO750" s="0" t="s">
        <v>64</v>
      </c>
      <c r="BP750" s="0" t="str">
        <f aca="false">IF(ISBLANK(BO750),"One-Time Plan",BO750)</f>
        <v>Gold Maintenance Plan</v>
      </c>
      <c r="BQ750" s="0" t="s">
        <v>63</v>
      </c>
      <c r="BR750" s="0" t="str">
        <f aca="false">PROPER(IF(ISBLANK(BQ750),"No",BQ750))</f>
        <v>Yes</v>
      </c>
    </row>
    <row r="751" customFormat="false" ht="15" hidden="false" customHeight="false" outlineLevel="0" collapsed="false">
      <c r="A751" s="0" t="s">
        <v>1795</v>
      </c>
      <c r="B751" s="2" t="n">
        <v>45710</v>
      </c>
      <c r="C751" s="2" t="str">
        <f aca="false">TEXT(B751,"dd/mm/yyyy")</f>
        <v>22/02/2025</v>
      </c>
      <c r="D751" s="0" t="s">
        <v>163</v>
      </c>
      <c r="E751" s="0" t="n">
        <v>8060232033</v>
      </c>
      <c r="F751" s="0" t="s">
        <v>67</v>
      </c>
      <c r="G751" s="0" t="s">
        <v>2316</v>
      </c>
      <c r="H751" s="0" t="s">
        <v>1796</v>
      </c>
      <c r="I751" s="0" t="s">
        <v>134</v>
      </c>
      <c r="J751" s="0" t="s">
        <v>2317</v>
      </c>
      <c r="K751" s="3" t="str">
        <f aca="false" t="array" ref="K751:K751">IFERROR(IF(J751&lt;&gt;"",J751,INDEX(J751:J1750,MATCH(1,(F751:F1750=F751)*(I751:I1750=I751)*(L751:L1750=L751)*(J751:J1750&lt;&gt;""),0))),"Not Found")</f>
        <v>Suspension Noise</v>
      </c>
      <c r="L751" s="3" t="s">
        <v>89</v>
      </c>
      <c r="M751" s="0" t="str">
        <f aca="false">PROPER(L751)</f>
        <v>Shock Absorbers</v>
      </c>
      <c r="N751" s="3" t="s">
        <v>48</v>
      </c>
      <c r="O751" s="0" t="str">
        <f aca="false" t="array" ref="O751:O751">IF(N751&lt;&gt;"",N751,_xlfn.xlookup(1,(L751:L1750=L751)*(N751:N1750&lt;&gt;""),N751:N1750,"Not Found"))</f>
        <v>Uche</v>
      </c>
      <c r="P751" s="4" t="n">
        <v>89034</v>
      </c>
      <c r="Q751" s="0" t="s">
        <v>72</v>
      </c>
      <c r="R751" s="0" t="str">
        <f aca="false">PROPER(Q751)</f>
        <v>Pos</v>
      </c>
      <c r="S751" s="0" t="s">
        <v>50</v>
      </c>
      <c r="T751" s="0" t="n">
        <v>3</v>
      </c>
      <c r="U751" s="5" t="n">
        <f aca="false">IF(ISBLANK(T751),AVERAGE(T751:T1750),T751)</f>
        <v>3</v>
      </c>
      <c r="V751" s="0" t="n">
        <v>4.1</v>
      </c>
      <c r="W751" s="0" t="s">
        <v>125</v>
      </c>
      <c r="X751" s="0" t="str">
        <f aca="false">IF(ISBLANK(W751),"No remarks",W751)</f>
        <v>Customer waited</v>
      </c>
      <c r="Y751" s="0" t="s">
        <v>73</v>
      </c>
      <c r="Z751" s="0" t="s">
        <v>159</v>
      </c>
      <c r="AA751" s="0" t="str">
        <f aca="false">PROPER(IF(ISBLANK(Z751),"Location Unavailable",Z751))</f>
        <v>Main Bay</v>
      </c>
      <c r="AB751" s="0" t="s">
        <v>54</v>
      </c>
      <c r="AC751" s="6" t="str">
        <f aca="false">PROPER(AB751)</f>
        <v>Mechanic Referral</v>
      </c>
      <c r="AD751" s="6" t="n">
        <v>30</v>
      </c>
      <c r="AE751" s="5" t="n">
        <f aca="false">IF(ISBLANK(AD751),AVERAGEIF(L751:L1750,L751,AD751:AD1750),AD751)</f>
        <v>30</v>
      </c>
      <c r="AF751" s="0" t="s">
        <v>112</v>
      </c>
      <c r="AG751" s="0" t="str">
        <f aca="false">PROPER(AF751)</f>
        <v>Unavailable</v>
      </c>
      <c r="AH751" s="0" t="s">
        <v>155</v>
      </c>
      <c r="AI751" s="0" t="s">
        <v>113</v>
      </c>
      <c r="AJ751" s="0" t="str">
        <f aca="false">PROPER(AI751)</f>
        <v>Normal</v>
      </c>
      <c r="AK751" s="0" t="s">
        <v>99</v>
      </c>
      <c r="AL751" s="0" t="str">
        <f aca="false">PROPER(AK751)</f>
        <v>Uber Driver</v>
      </c>
      <c r="AM751" s="0" t="s">
        <v>2326</v>
      </c>
      <c r="AN751" s="0" t="str">
        <f aca="false">IF(ISBLANK(AM751),"Unknown",AM751)</f>
        <v>Government Convoy</v>
      </c>
      <c r="AO751" s="0" t="s">
        <v>143</v>
      </c>
      <c r="AP751" s="0" t="str">
        <f aca="false">IF(ISBLANK(AO751),"Unknown",AO751)</f>
        <v>Senior</v>
      </c>
      <c r="AQ751" s="0" t="n">
        <v>40000</v>
      </c>
      <c r="AR751" s="5" t="n">
        <f aca="false">IF(ISBLANK(AQ751),AVERAGEIF(M751:M1750,M751,AQ751:AQ1750),AQ751)</f>
        <v>40000</v>
      </c>
      <c r="AS751" s="0" t="n">
        <v>20000</v>
      </c>
      <c r="AT751" s="5" t="n">
        <f aca="false">IF(ISBLANK(AS751),AVERAGE(AS751:AS1750),AS751)</f>
        <v>20000</v>
      </c>
      <c r="AU751" s="0" t="s">
        <v>63</v>
      </c>
      <c r="AV751" s="0" t="str">
        <f aca="false">PROPER(IF(ISBLANK(AU751),"No",AU751))</f>
        <v>Yes</v>
      </c>
      <c r="AW751" s="0" t="n">
        <v>10000</v>
      </c>
      <c r="AX751" s="5" t="n">
        <f aca="false">IF(ISBLANK(AW751),0,AW751)</f>
        <v>10000</v>
      </c>
      <c r="AZ751" s="0" t="str">
        <f aca="false">UPPER(IF(ISBLANK(AY751),"NONE",AY751))</f>
        <v>NONE</v>
      </c>
      <c r="BB751" s="7" t="str">
        <f aca="false">IF(ISBLANK(BA751),"No Follow Up Needed",BA751)</f>
        <v>No Follow Up Needed</v>
      </c>
      <c r="BC751" s="0" t="s">
        <v>61</v>
      </c>
      <c r="BD751" s="0" t="str">
        <f aca="false">PROPER(IF(ISBLANK(BC751),"Unknown",BC751))</f>
        <v>No</v>
      </c>
      <c r="BF751" s="0" t="str">
        <f aca="false">IF(ISBLANK(BE751),"No comments",BE751)</f>
        <v>No comments</v>
      </c>
      <c r="BG751" s="0" t="s">
        <v>172</v>
      </c>
      <c r="BH751" s="0" t="str">
        <f aca="false">IF(ISBLANK(BG751),"No comments",BG751)</f>
        <v>Always late</v>
      </c>
      <c r="BI751" s="0" t="s">
        <v>50</v>
      </c>
      <c r="BJ751" s="0" t="str">
        <f aca="false">IF(ISBLANK(BI751),"Not Mentioned",BI751)</f>
        <v>No</v>
      </c>
      <c r="BK751" s="0" t="s">
        <v>82</v>
      </c>
      <c r="BL751" s="0" t="str">
        <f aca="false">PROPER(IF(ISBLANK(BK751),"Not Mentioned",BK751))</f>
        <v>Yes</v>
      </c>
      <c r="BN751" s="0" t="str">
        <f aca="false">PROPER(IF(ISBLANK(BM751),"Not Mentioned",BM751))</f>
        <v>Not Mentioned</v>
      </c>
      <c r="BO751" s="0" t="s">
        <v>64</v>
      </c>
      <c r="BP751" s="0" t="str">
        <f aca="false">IF(ISBLANK(BO751),"One-Time Plan",BO751)</f>
        <v>Gold Maintenance Plan</v>
      </c>
      <c r="BQ751" s="0" t="s">
        <v>198</v>
      </c>
      <c r="BR751" s="0" t="str">
        <f aca="false">PROPER(IF(ISBLANK(BQ751),"No",BQ751))</f>
        <v>Followed Up</v>
      </c>
    </row>
    <row r="752" customFormat="false" ht="15" hidden="false" customHeight="false" outlineLevel="0" collapsed="false">
      <c r="A752" s="0" t="s">
        <v>1797</v>
      </c>
      <c r="B752" s="2" t="n">
        <v>45733</v>
      </c>
      <c r="C752" s="2" t="str">
        <f aca="false">TEXT(B752,"dd/mm/yyyy")</f>
        <v>17/03/2025</v>
      </c>
      <c r="D752" s="0" t="s">
        <v>105</v>
      </c>
      <c r="E752" s="0" t="n">
        <v>8075961801</v>
      </c>
      <c r="F752" s="0" t="s">
        <v>43</v>
      </c>
      <c r="G752" s="0" t="s">
        <v>2315</v>
      </c>
      <c r="H752" s="0" t="s">
        <v>1260</v>
      </c>
      <c r="I752" s="0" t="s">
        <v>87</v>
      </c>
      <c r="J752" s="0" t="s">
        <v>2325</v>
      </c>
      <c r="K752" s="3" t="str">
        <f aca="false" t="array" ref="K752:K752">IFERROR(IF(J752&lt;&gt;"",J752,INDEX(J752:J1751,MATCH(1,(F752:F1751=F752)*(I752:I1751=I752)*(L752:L1751=L752)*(J752:J1751&lt;&gt;""),0))),"Not Found")</f>
        <v>Engine Knocking</v>
      </c>
      <c r="L752" s="3" t="s">
        <v>108</v>
      </c>
      <c r="M752" s="0" t="str">
        <f aca="false">PROPER(L752)</f>
        <v>Timing Belt</v>
      </c>
      <c r="N752" s="3" t="s">
        <v>90</v>
      </c>
      <c r="O752" s="0" t="str">
        <f aca="false" t="array" ref="O752:O752">IF(N752&lt;&gt;"",N752,_xlfn.xlookup(1,(L752:L1751=L752)*(N752:N1751&lt;&gt;""),N752:N1751,"Not Found"))</f>
        <v>Musa</v>
      </c>
      <c r="P752" s="4" t="n">
        <v>82947</v>
      </c>
      <c r="Q752" s="0" t="s">
        <v>49</v>
      </c>
      <c r="R752" s="0" t="str">
        <f aca="false">PROPER(Q752)</f>
        <v>Transfer</v>
      </c>
      <c r="S752" s="0" t="s">
        <v>50</v>
      </c>
      <c r="T752" s="0" t="n">
        <v>5</v>
      </c>
      <c r="U752" s="5" t="n">
        <f aca="false">IF(ISBLANK(T752),AVERAGE(T752:T1751),T752)</f>
        <v>5</v>
      </c>
      <c r="V752" s="0" t="n">
        <v>2</v>
      </c>
      <c r="W752" s="0" t="s">
        <v>51</v>
      </c>
      <c r="X752" s="0" t="str">
        <f aca="false">IF(ISBLANK(W752),"No remarks",W752)</f>
        <v>Recommended further checks</v>
      </c>
      <c r="Y752" s="0" t="s">
        <v>93</v>
      </c>
      <c r="AA752" s="0" t="str">
        <f aca="false">PROPER(IF(ISBLANK(Z752),"Location Unavailable",Z752))</f>
        <v>Location Unavailable</v>
      </c>
      <c r="AB752" s="0" t="s">
        <v>54</v>
      </c>
      <c r="AC752" s="6" t="str">
        <f aca="false">PROPER(AB752)</f>
        <v>Mechanic Referral</v>
      </c>
      <c r="AD752" s="6" t="n">
        <v>60</v>
      </c>
      <c r="AE752" s="5" t="n">
        <f aca="false">IF(ISBLANK(AD752),AVERAGEIF(L752:L1751,L752,AD752:AD1751),AD752)</f>
        <v>60</v>
      </c>
      <c r="AF752" s="0" t="s">
        <v>112</v>
      </c>
      <c r="AG752" s="0" t="str">
        <f aca="false">PROPER(AF752)</f>
        <v>Unavailable</v>
      </c>
      <c r="AH752" s="0" t="s">
        <v>155</v>
      </c>
      <c r="AI752" s="0" t="s">
        <v>113</v>
      </c>
      <c r="AJ752" s="0" t="str">
        <f aca="false">PROPER(AI752)</f>
        <v>Normal</v>
      </c>
      <c r="AK752" s="0" t="s">
        <v>99</v>
      </c>
      <c r="AL752" s="0" t="str">
        <f aca="false">PROPER(AK752)</f>
        <v>Uber Driver</v>
      </c>
      <c r="AM752" s="0" t="s">
        <v>59</v>
      </c>
      <c r="AN752" s="0" t="str">
        <f aca="false">IF(ISBLANK(AM752),"Unknown",AM752)</f>
        <v>Bolt Driver</v>
      </c>
      <c r="AO752" s="0" t="s">
        <v>79</v>
      </c>
      <c r="AP752" s="0" t="str">
        <f aca="false">IF(ISBLANK(AO752),"Unknown",AO752)</f>
        <v>Specialist</v>
      </c>
      <c r="AQ752" s="0" t="n">
        <v>40000</v>
      </c>
      <c r="AR752" s="5" t="n">
        <f aca="false">IF(ISBLANK(AQ752),AVERAGEIF(M752:M1751,M752,AQ752:AQ1751),AQ752)</f>
        <v>40000</v>
      </c>
      <c r="AS752" s="0" t="n">
        <v>30000</v>
      </c>
      <c r="AT752" s="5" t="n">
        <f aca="false">IF(ISBLANK(AS752),AVERAGE(AS752:AS1751),AS752)</f>
        <v>30000</v>
      </c>
      <c r="AU752" s="0" t="s">
        <v>63</v>
      </c>
      <c r="AV752" s="0" t="str">
        <f aca="false">PROPER(IF(ISBLANK(AU752),"No",AU752))</f>
        <v>Yes</v>
      </c>
      <c r="AW752" s="0" t="n">
        <v>5000</v>
      </c>
      <c r="AX752" s="5" t="n">
        <f aca="false">IF(ISBLANK(AW752),0,AW752)</f>
        <v>5000</v>
      </c>
      <c r="AY752" s="0" t="s">
        <v>80</v>
      </c>
      <c r="AZ752" s="0" t="str">
        <f aca="false">UPPER(IF(ISBLANK(AY752),"NONE",AY752))</f>
        <v>PROMO10</v>
      </c>
      <c r="BA752" s="7" t="n">
        <v>45971</v>
      </c>
      <c r="BB752" s="7" t="n">
        <f aca="false">IF(ISBLANK(BA752),"No Follow Up Needed",BA752)</f>
        <v>45971</v>
      </c>
      <c r="BC752" s="0" t="s">
        <v>50</v>
      </c>
      <c r="BD752" s="0" t="str">
        <f aca="false">PROPER(IF(ISBLANK(BC752),"Unknown",BC752))</f>
        <v>No</v>
      </c>
      <c r="BE752" s="0" t="s">
        <v>116</v>
      </c>
      <c r="BF752" s="0" t="str">
        <f aca="false">IF(ISBLANK(BE752),"No comments",BE752)</f>
        <v>Needs tire alignment</v>
      </c>
      <c r="BG752" s="0" t="s">
        <v>2320</v>
      </c>
      <c r="BH752" s="0" t="str">
        <f aca="false">IF(ISBLANK(BG752),"No comments",BG752)</f>
        <v>No complaints</v>
      </c>
      <c r="BJ752" s="0" t="str">
        <f aca="false">IF(ISBLANK(BI752),"Not Mentioned",BI752)</f>
        <v>Not Mentioned</v>
      </c>
      <c r="BK752" s="0" t="s">
        <v>61</v>
      </c>
      <c r="BL752" s="0" t="str">
        <f aca="false">PROPER(IF(ISBLANK(BK752),"Not Mentioned",BK752))</f>
        <v>No</v>
      </c>
      <c r="BN752" s="0" t="str">
        <f aca="false">PROPER(IF(ISBLANK(BM752),"Not Mentioned",BM752))</f>
        <v>Not Mentioned</v>
      </c>
      <c r="BO752" s="0" t="s">
        <v>2321</v>
      </c>
      <c r="BP752" s="0" t="str">
        <f aca="false">IF(ISBLANK(BO752),"One-Time Plan",BO752)</f>
        <v>One-Time Plan</v>
      </c>
      <c r="BQ752" s="0" t="s">
        <v>190</v>
      </c>
      <c r="BR752" s="0" t="str">
        <f aca="false">PROPER(IF(ISBLANK(BQ752),"No",BQ752))</f>
        <v>Yes</v>
      </c>
    </row>
    <row r="753" customFormat="false" ht="15" hidden="false" customHeight="false" outlineLevel="0" collapsed="false">
      <c r="A753" s="0" t="s">
        <v>1798</v>
      </c>
      <c r="B753" s="2" t="s">
        <v>305</v>
      </c>
      <c r="C753" s="2" t="str">
        <f aca="false">TEXT(B753,"dd/mm/yyyy")</f>
        <v>30/03/2025</v>
      </c>
      <c r="D753" s="0" t="s">
        <v>105</v>
      </c>
      <c r="E753" s="0" t="n">
        <v>8064298487</v>
      </c>
      <c r="F753" s="0" t="s">
        <v>43</v>
      </c>
      <c r="G753" s="0" t="s">
        <v>2315</v>
      </c>
      <c r="H753" s="0" t="s">
        <v>1799</v>
      </c>
      <c r="I753" s="0" t="s">
        <v>107</v>
      </c>
      <c r="J753" s="0" t="s">
        <v>87</v>
      </c>
      <c r="K753" s="3" t="str">
        <f aca="false" t="array" ref="K753:K753">IFERROR(IF(J753&lt;&gt;"",J753,INDEX(J753:J1752,MATCH(1,(F753:F1752=F753)*(I753:I1752=I753)*(L753:L1752=L753)*(J753:J1752&lt;&gt;""),0))),"Not Found")</f>
        <v>Oil Change</v>
      </c>
      <c r="L753" s="3" t="s">
        <v>47</v>
      </c>
      <c r="M753" s="0" t="str">
        <f aca="false">PROPER(L753)</f>
        <v>None</v>
      </c>
      <c r="N753" s="3" t="s">
        <v>109</v>
      </c>
      <c r="O753" s="0" t="str">
        <f aca="false" t="array" ref="O753:O753">IF(N753&lt;&gt;"",N753,_xlfn.xlookup(1,(L753:L1752=L753)*(N753:N1752&lt;&gt;""),N753:N1752,"Not Found"))</f>
        <v>Tijani</v>
      </c>
      <c r="P753" s="4" t="n">
        <v>108291</v>
      </c>
      <c r="Q753" s="0" t="s">
        <v>124</v>
      </c>
      <c r="R753" s="0" t="str">
        <f aca="false">PROPER(Q753)</f>
        <v>Cash</v>
      </c>
      <c r="S753" s="0" t="s">
        <v>63</v>
      </c>
      <c r="U753" s="5" t="n">
        <f aca="false">IF(ISBLANK(T753),AVERAGE(T753:T1752),T753)</f>
        <v>3.14851485148515</v>
      </c>
      <c r="V753" s="0" t="n">
        <v>1.9</v>
      </c>
      <c r="W753" s="0" t="s">
        <v>92</v>
      </c>
      <c r="X753" s="0" t="str">
        <f aca="false">IF(ISBLANK(W753),"No remarks",W753)</f>
        <v>Urgent service</v>
      </c>
      <c r="Y753" s="0" t="s">
        <v>93</v>
      </c>
      <c r="Z753" s="0" t="s">
        <v>74</v>
      </c>
      <c r="AA753" s="0" t="str">
        <f aca="false">PROPER(IF(ISBLANK(Z753),"Location Unavailable",Z753))</f>
        <v>Under Tree</v>
      </c>
      <c r="AB753" s="0" t="s">
        <v>126</v>
      </c>
      <c r="AC753" s="6" t="str">
        <f aca="false">PROPER(AB753)</f>
        <v>Whatsapp</v>
      </c>
      <c r="AD753" s="6" t="n">
        <v>45</v>
      </c>
      <c r="AE753" s="5" t="n">
        <f aca="false">IF(ISBLANK(AD753),AVERAGEIF(L753:L1752,L753,AD753:AD1752),AD753)</f>
        <v>45</v>
      </c>
      <c r="AF753" s="0" t="s">
        <v>55</v>
      </c>
      <c r="AG753" s="0" t="str">
        <f aca="false">PROPER(AF753)</f>
        <v>Available</v>
      </c>
      <c r="AH753" s="0" t="s">
        <v>77</v>
      </c>
      <c r="AI753" s="0" t="s">
        <v>113</v>
      </c>
      <c r="AJ753" s="0" t="str">
        <f aca="false">PROPER(AI753)</f>
        <v>Normal</v>
      </c>
      <c r="AK753" s="0" t="s">
        <v>99</v>
      </c>
      <c r="AL753" s="0" t="str">
        <f aca="false">PROPER(AK753)</f>
        <v>Uber Driver</v>
      </c>
      <c r="AM753" s="0" t="s">
        <v>2326</v>
      </c>
      <c r="AN753" s="0" t="str">
        <f aca="false">IF(ISBLANK(AM753),"Unknown",AM753)</f>
        <v>Government Convoy</v>
      </c>
      <c r="AO753" s="0" t="s">
        <v>79</v>
      </c>
      <c r="AP753" s="0" t="str">
        <f aca="false">IF(ISBLANK(AO753),"Unknown",AO753)</f>
        <v>Specialist</v>
      </c>
      <c r="AQ753" s="0" t="n">
        <v>25000</v>
      </c>
      <c r="AR753" s="5" t="n">
        <f aca="false">IF(ISBLANK(AQ753),AVERAGEIF(M753:M1752,M753,AQ753:AQ1752),AQ753)</f>
        <v>25000</v>
      </c>
      <c r="AS753" s="0" t="n">
        <v>30000</v>
      </c>
      <c r="AT753" s="5" t="n">
        <f aca="false">IF(ISBLANK(AS753),AVERAGE(AS753:AS1752),AS753)</f>
        <v>30000</v>
      </c>
      <c r="AU753" s="0" t="s">
        <v>50</v>
      </c>
      <c r="AV753" s="0" t="str">
        <f aca="false">PROPER(IF(ISBLANK(AU753),"No",AU753))</f>
        <v>No</v>
      </c>
      <c r="AW753" s="0" t="n">
        <v>5000</v>
      </c>
      <c r="AX753" s="5" t="n">
        <f aca="false">IF(ISBLANK(AW753),0,AW753)</f>
        <v>5000</v>
      </c>
      <c r="AZ753" s="0" t="str">
        <f aca="false">UPPER(IF(ISBLANK(AY753),"NONE",AY753))</f>
        <v>NONE</v>
      </c>
      <c r="BA753" s="7" t="n">
        <v>45911</v>
      </c>
      <c r="BB753" s="7" t="n">
        <f aca="false">IF(ISBLANK(BA753),"No Follow Up Needed",BA753)</f>
        <v>45911</v>
      </c>
      <c r="BC753" s="0" t="s">
        <v>63</v>
      </c>
      <c r="BD753" s="0" t="str">
        <f aca="false">PROPER(IF(ISBLANK(BC753),"Unknown",BC753))</f>
        <v>Yes</v>
      </c>
      <c r="BF753" s="0" t="str">
        <f aca="false">IF(ISBLANK(BE753),"No comments",BE753)</f>
        <v>No comments</v>
      </c>
      <c r="BG753" s="0" t="s">
        <v>2320</v>
      </c>
      <c r="BH753" s="0" t="str">
        <f aca="false">IF(ISBLANK(BG753),"No comments",BG753)</f>
        <v>No complaints</v>
      </c>
      <c r="BI753" s="0" t="s">
        <v>50</v>
      </c>
      <c r="BJ753" s="0" t="str">
        <f aca="false">IF(ISBLANK(BI753),"Not Mentioned",BI753)</f>
        <v>No</v>
      </c>
      <c r="BK753" s="0" t="s">
        <v>61</v>
      </c>
      <c r="BL753" s="0" t="str">
        <f aca="false">PROPER(IF(ISBLANK(BK753),"Not Mentioned",BK753))</f>
        <v>No</v>
      </c>
      <c r="BN753" s="0" t="str">
        <f aca="false">PROPER(IF(ISBLANK(BM753),"Not Mentioned",BM753))</f>
        <v>Not Mentioned</v>
      </c>
      <c r="BO753" s="0" t="s">
        <v>2321</v>
      </c>
      <c r="BP753" s="0" t="str">
        <f aca="false">IF(ISBLANK(BO753),"One-Time Plan",BO753)</f>
        <v>One-Time Plan</v>
      </c>
      <c r="BQ753" s="0" t="s">
        <v>50</v>
      </c>
      <c r="BR753" s="0" t="str">
        <f aca="false">PROPER(IF(ISBLANK(BQ753),"No",BQ753))</f>
        <v>No</v>
      </c>
    </row>
    <row r="754" customFormat="false" ht="15" hidden="false" customHeight="false" outlineLevel="0" collapsed="false">
      <c r="A754" s="0" t="s">
        <v>1800</v>
      </c>
      <c r="B754" s="2" t="n">
        <v>45823</v>
      </c>
      <c r="C754" s="2" t="str">
        <f aca="false">TEXT(B754,"dd/mm/yyyy")</f>
        <v>15/06/2025</v>
      </c>
      <c r="D754" s="0" t="s">
        <v>66</v>
      </c>
      <c r="E754" s="0" t="n">
        <v>8065810437</v>
      </c>
      <c r="F754" s="0" t="s">
        <v>67</v>
      </c>
      <c r="G754" s="0" t="s">
        <v>2316</v>
      </c>
      <c r="H754" s="0" t="s">
        <v>1801</v>
      </c>
      <c r="I754" s="0" t="s">
        <v>87</v>
      </c>
      <c r="J754" s="0" t="s">
        <v>87</v>
      </c>
      <c r="K754" s="3" t="str">
        <f aca="false" t="array" ref="K754:K754">IFERROR(IF(J754&lt;&gt;"",J754,INDEX(J754:J1753,MATCH(1,(F754:F1753=F754)*(I754:I1753=I754)*(L754:L1753=L754)*(J754:J1753&lt;&gt;""),0))),"Not Found")</f>
        <v>Oil Change</v>
      </c>
      <c r="L754" s="3" t="s">
        <v>142</v>
      </c>
      <c r="M754" s="0" t="str">
        <f aca="false">PROPER(L754)</f>
        <v>Oil Filter, Brake Pads</v>
      </c>
      <c r="N754" s="3" t="s">
        <v>48</v>
      </c>
      <c r="O754" s="0" t="str">
        <f aca="false" t="array" ref="O754:O754">IF(N754&lt;&gt;"",N754,_xlfn.xlookup(1,(L754:L1753=L754)*(N754:N1753&lt;&gt;""),N754:N1753,"Not Found"))</f>
        <v>Uche</v>
      </c>
      <c r="P754" s="4" t="n">
        <v>48353</v>
      </c>
      <c r="Q754" s="0" t="s">
        <v>124</v>
      </c>
      <c r="R754" s="0" t="str">
        <f aca="false">PROPER(Q754)</f>
        <v>Cash</v>
      </c>
      <c r="S754" s="0" t="s">
        <v>63</v>
      </c>
      <c r="T754" s="0" t="n">
        <v>5</v>
      </c>
      <c r="U754" s="5" t="n">
        <f aca="false">IF(ISBLANK(T754),AVERAGE(T754:T1753),T754)</f>
        <v>5</v>
      </c>
      <c r="V754" s="0" t="n">
        <v>4.2</v>
      </c>
      <c r="W754" s="0" t="s">
        <v>51</v>
      </c>
      <c r="X754" s="0" t="str">
        <f aca="false">IF(ISBLANK(W754),"No remarks",W754)</f>
        <v>Recommended further checks</v>
      </c>
      <c r="Y754" s="0" t="s">
        <v>73</v>
      </c>
      <c r="Z754" s="0" t="s">
        <v>94</v>
      </c>
      <c r="AA754" s="0" t="str">
        <f aca="false">PROPER(IF(ISBLANK(Z754),"Location Unavailable",Z754))</f>
        <v>Vip Section</v>
      </c>
      <c r="AB754" s="0" t="s">
        <v>95</v>
      </c>
      <c r="AC754" s="6" t="str">
        <f aca="false">PROPER(AB754)</f>
        <v>Road Sign</v>
      </c>
      <c r="AD754" s="6" t="n">
        <v>15</v>
      </c>
      <c r="AE754" s="5" t="n">
        <f aca="false">IF(ISBLANK(AD754),AVERAGEIF(L754:L1753,L754,AD754:AD1753),AD754)</f>
        <v>15</v>
      </c>
      <c r="AF754" s="0" t="s">
        <v>55</v>
      </c>
      <c r="AG754" s="0" t="str">
        <f aca="false">PROPER(AF754)</f>
        <v>Available</v>
      </c>
      <c r="AH754" s="0" t="s">
        <v>56</v>
      </c>
      <c r="AI754" s="0" t="s">
        <v>78</v>
      </c>
      <c r="AJ754" s="0" t="str">
        <f aca="false">PROPER(AI754)</f>
        <v>Booking</v>
      </c>
      <c r="AK754" s="0" t="s">
        <v>196</v>
      </c>
      <c r="AL754" s="0" t="str">
        <f aca="false">PROPER(AK754)</f>
        <v>First Time</v>
      </c>
      <c r="AM754" s="0" t="s">
        <v>2326</v>
      </c>
      <c r="AN754" s="0" t="str">
        <f aca="false">IF(ISBLANK(AM754),"Unknown",AM754)</f>
        <v>Government Convoy</v>
      </c>
      <c r="AP754" s="0" t="str">
        <f aca="false">IF(ISBLANK(AO754),"Unknown",AO754)</f>
        <v>Unknown</v>
      </c>
      <c r="AR754" s="5" t="n">
        <f aca="false">IF(ISBLANK(AQ754),AVERAGEIF(M754:M1753,M754,AQ754:AQ1753),AQ754)</f>
        <v>26129.0322580645</v>
      </c>
      <c r="AS754" s="0" t="n">
        <v>20000</v>
      </c>
      <c r="AT754" s="5" t="n">
        <f aca="false">IF(ISBLANK(AS754),AVERAGE(AS754:AS1753),AS754)</f>
        <v>20000</v>
      </c>
      <c r="AU754" s="0" t="s">
        <v>50</v>
      </c>
      <c r="AV754" s="0" t="str">
        <f aca="false">PROPER(IF(ISBLANK(AU754),"No",AU754))</f>
        <v>No</v>
      </c>
      <c r="AW754" s="0" t="n">
        <v>5000</v>
      </c>
      <c r="AX754" s="5" t="n">
        <f aca="false">IF(ISBLANK(AW754),0,AW754)</f>
        <v>5000</v>
      </c>
      <c r="AY754" s="0" t="s">
        <v>60</v>
      </c>
      <c r="AZ754" s="0" t="str">
        <f aca="false">UPPER(IF(ISBLANK(AY754),"NONE",AY754))</f>
        <v>NONE</v>
      </c>
      <c r="BA754" s="7" t="s">
        <v>970</v>
      </c>
      <c r="BB754" s="7" t="str">
        <f aca="false">IF(ISBLANK(BA754),"No Follow Up Needed",BA754)</f>
        <v>20/07/2025</v>
      </c>
      <c r="BC754" s="0" t="s">
        <v>50</v>
      </c>
      <c r="BD754" s="0" t="str">
        <f aca="false">PROPER(IF(ISBLANK(BC754),"Unknown",BC754))</f>
        <v>No</v>
      </c>
      <c r="BF754" s="0" t="str">
        <f aca="false">IF(ISBLANK(BE754),"No comments",BE754)</f>
        <v>No comments</v>
      </c>
      <c r="BG754" s="0" t="s">
        <v>117</v>
      </c>
      <c r="BH754" s="0" t="str">
        <f aca="false">IF(ISBLANK(BG754),"No comments",BG754)</f>
        <v>Prefers morning</v>
      </c>
      <c r="BI754" s="0" t="s">
        <v>50</v>
      </c>
      <c r="BJ754" s="0" t="str">
        <f aca="false">IF(ISBLANK(BI754),"Not Mentioned",BI754)</f>
        <v>No</v>
      </c>
      <c r="BK754" s="0" t="s">
        <v>50</v>
      </c>
      <c r="BL754" s="0" t="str">
        <f aca="false">PROPER(IF(ISBLANK(BK754),"Not Mentioned",BK754))</f>
        <v>No</v>
      </c>
      <c r="BN754" s="0" t="str">
        <f aca="false">PROPER(IF(ISBLANK(BM754),"Not Mentioned",BM754))</f>
        <v>Not Mentioned</v>
      </c>
      <c r="BO754" s="0" t="s">
        <v>64</v>
      </c>
      <c r="BP754" s="0" t="str">
        <f aca="false">IF(ISBLANK(BO754),"One-Time Plan",BO754)</f>
        <v>Gold Maintenance Plan</v>
      </c>
      <c r="BQ754" s="0" t="s">
        <v>50</v>
      </c>
      <c r="BR754" s="0" t="str">
        <f aca="false">PROPER(IF(ISBLANK(BQ754),"No",BQ754))</f>
        <v>No</v>
      </c>
    </row>
    <row r="755" customFormat="false" ht="15" hidden="false" customHeight="false" outlineLevel="0" collapsed="false">
      <c r="A755" s="0" t="s">
        <v>1802</v>
      </c>
      <c r="B755" s="2" t="n">
        <v>45717</v>
      </c>
      <c r="C755" s="2" t="str">
        <f aca="false">TEXT(B755,"dd/mm/yyyy")</f>
        <v>01/03/2025</v>
      </c>
      <c r="D755" s="0" t="s">
        <v>163</v>
      </c>
      <c r="E755" s="0" t="n">
        <v>8062968985</v>
      </c>
      <c r="F755" s="0" t="s">
        <v>85</v>
      </c>
      <c r="G755" s="0" t="s">
        <v>2319</v>
      </c>
      <c r="H755" s="0" t="s">
        <v>1803</v>
      </c>
      <c r="I755" s="0" t="s">
        <v>69</v>
      </c>
      <c r="J755" s="0" t="s">
        <v>2322</v>
      </c>
      <c r="K755" s="3" t="str">
        <f aca="false" t="array" ref="K755:K755">IFERROR(IF(J755&lt;&gt;"",J755,INDEX(J755:J1754,MATCH(1,(F755:F1754=F755)*(I755:I1754=I755)*(L755:L1754=L755)*(J755:J1754&lt;&gt;""),0))),"Not Found")</f>
        <v>Brake Failure</v>
      </c>
      <c r="L755" s="3" t="s">
        <v>108</v>
      </c>
      <c r="M755" s="0" t="str">
        <f aca="false">PROPER(L755)</f>
        <v>Timing Belt</v>
      </c>
      <c r="N755" s="3" t="s">
        <v>90</v>
      </c>
      <c r="O755" s="0" t="str">
        <f aca="false" t="array" ref="O755:O755">IF(N755&lt;&gt;"",N755,_xlfn.xlookup(1,(L755:L1754=L755)*(N755:N1754&lt;&gt;""),N755:N1754,"Not Found"))</f>
        <v>Musa</v>
      </c>
      <c r="P755" s="4" t="n">
        <v>23376</v>
      </c>
      <c r="Q755" s="0" t="s">
        <v>72</v>
      </c>
      <c r="R755" s="0" t="str">
        <f aca="false">PROPER(Q755)</f>
        <v>Pos</v>
      </c>
      <c r="S755" s="0" t="s">
        <v>63</v>
      </c>
      <c r="T755" s="0" t="n">
        <v>1</v>
      </c>
      <c r="U755" s="5" t="n">
        <f aca="false">IF(ISBLANK(T755),AVERAGE(T755:T1754),T755)</f>
        <v>1</v>
      </c>
      <c r="V755" s="0" t="n">
        <v>2.8</v>
      </c>
      <c r="X755" s="0" t="str">
        <f aca="false">IF(ISBLANK(W755),"No remarks",W755)</f>
        <v>No remarks</v>
      </c>
      <c r="Y755" s="0" t="s">
        <v>52</v>
      </c>
      <c r="Z755" s="0" t="s">
        <v>94</v>
      </c>
      <c r="AA755" s="0" t="str">
        <f aca="false">PROPER(IF(ISBLANK(Z755),"Location Unavailable",Z755))</f>
        <v>Vip Section</v>
      </c>
      <c r="AB755" s="0" t="s">
        <v>126</v>
      </c>
      <c r="AC755" s="6" t="str">
        <f aca="false">PROPER(AB755)</f>
        <v>Whatsapp</v>
      </c>
      <c r="AD755" s="6" t="n">
        <v>15</v>
      </c>
      <c r="AE755" s="5" t="n">
        <f aca="false">IF(ISBLANK(AD755),AVERAGEIF(L755:L1754,L755,AD755:AD1754),AD755)</f>
        <v>15</v>
      </c>
      <c r="AF755" s="0" t="s">
        <v>160</v>
      </c>
      <c r="AG755" s="0" t="str">
        <f aca="false">PROPER(AF755)</f>
        <v>Availaible</v>
      </c>
      <c r="AH755" s="0" t="s">
        <v>56</v>
      </c>
      <c r="AI755" s="0" t="s">
        <v>128</v>
      </c>
      <c r="AJ755" s="0" t="str">
        <f aca="false">PROPER(AI755)</f>
        <v>Normal</v>
      </c>
      <c r="AK755" s="0" t="s">
        <v>99</v>
      </c>
      <c r="AL755" s="0" t="str">
        <f aca="false">PROPER(AK755)</f>
        <v>Uber Driver</v>
      </c>
      <c r="AM755" s="0" t="s">
        <v>2324</v>
      </c>
      <c r="AN755" s="0" t="str">
        <f aca="false">IF(ISBLANK(AM755),"Unknown",AM755)</f>
        <v>Logistics Convoy</v>
      </c>
      <c r="AO755" s="0" t="s">
        <v>149</v>
      </c>
      <c r="AP755" s="0" t="str">
        <f aca="false">IF(ISBLANK(AO755),"Unknown",AO755)</f>
        <v>Senior </v>
      </c>
      <c r="AQ755" s="0" t="n">
        <v>20000</v>
      </c>
      <c r="AR755" s="5" t="n">
        <f aca="false">IF(ISBLANK(AQ755),AVERAGEIF(M755:M1754,M755,AQ755:AQ1754),AQ755)</f>
        <v>20000</v>
      </c>
      <c r="AS755" s="0" t="n">
        <v>40000</v>
      </c>
      <c r="AT755" s="5" t="n">
        <f aca="false">IF(ISBLANK(AS755),AVERAGE(AS755:AS1754),AS755)</f>
        <v>40000</v>
      </c>
      <c r="AU755" s="0" t="s">
        <v>82</v>
      </c>
      <c r="AV755" s="0" t="str">
        <f aca="false">PROPER(IF(ISBLANK(AU755),"No",AU755))</f>
        <v>Yes</v>
      </c>
      <c r="AW755" s="0" t="n">
        <v>5000</v>
      </c>
      <c r="AX755" s="5" t="n">
        <f aca="false">IF(ISBLANK(AW755),0,AW755)</f>
        <v>5000</v>
      </c>
      <c r="AY755" s="0" t="s">
        <v>130</v>
      </c>
      <c r="AZ755" s="0" t="str">
        <f aca="false">UPPER(IF(ISBLANK(AY755),"NONE",AY755))</f>
        <v>LOYALTY10</v>
      </c>
      <c r="BA755" s="7" t="s">
        <v>486</v>
      </c>
      <c r="BB755" s="7" t="str">
        <f aca="false">IF(ISBLANK(BA755),"No Follow Up Needed",BA755)</f>
        <v>18/10/2025</v>
      </c>
      <c r="BC755" s="0" t="s">
        <v>50</v>
      </c>
      <c r="BD755" s="0" t="str">
        <f aca="false">PROPER(IF(ISBLANK(BC755),"Unknown",BC755))</f>
        <v>No</v>
      </c>
      <c r="BF755" s="0" t="str">
        <f aca="false">IF(ISBLANK(BE755),"No comments",BE755)</f>
        <v>No comments</v>
      </c>
      <c r="BH755" s="0" t="str">
        <f aca="false">IF(ISBLANK(BG755),"No comments",BG755)</f>
        <v>No comments</v>
      </c>
      <c r="BI755" s="0" t="s">
        <v>50</v>
      </c>
      <c r="BJ755" s="0" t="str">
        <f aca="false">IF(ISBLANK(BI755),"Not Mentioned",BI755)</f>
        <v>No</v>
      </c>
      <c r="BK755" s="0" t="s">
        <v>82</v>
      </c>
      <c r="BL755" s="0" t="str">
        <f aca="false">PROPER(IF(ISBLANK(BK755),"Not Mentioned",BK755))</f>
        <v>Yes</v>
      </c>
      <c r="BM755" s="0" t="s">
        <v>50</v>
      </c>
      <c r="BN755" s="0" t="str">
        <f aca="false">PROPER(IF(ISBLANK(BM755),"Not Mentioned",BM755))</f>
        <v>No</v>
      </c>
      <c r="BO755" s="0" t="s">
        <v>64</v>
      </c>
      <c r="BP755" s="0" t="str">
        <f aca="false">IF(ISBLANK(BO755),"One-Time Plan",BO755)</f>
        <v>Gold Maintenance Plan</v>
      </c>
      <c r="BR755" s="0" t="str">
        <f aca="false">PROPER(IF(ISBLANK(BQ755),"No",BQ755))</f>
        <v>No</v>
      </c>
    </row>
    <row r="756" customFormat="false" ht="15" hidden="false" customHeight="false" outlineLevel="0" collapsed="false">
      <c r="A756" s="0" t="s">
        <v>1804</v>
      </c>
      <c r="B756" s="2" t="n">
        <v>45763</v>
      </c>
      <c r="C756" s="2" t="str">
        <f aca="false">TEXT(B756,"dd/mm/yyyy")</f>
        <v>16/04/2025</v>
      </c>
      <c r="D756" s="0" t="s">
        <v>105</v>
      </c>
      <c r="E756" s="0" t="n">
        <v>8060082660</v>
      </c>
      <c r="F756" s="0" t="s">
        <v>139</v>
      </c>
      <c r="G756" s="0" t="s">
        <v>2323</v>
      </c>
      <c r="H756" s="0" t="s">
        <v>1805</v>
      </c>
      <c r="I756" s="0" t="s">
        <v>45</v>
      </c>
      <c r="K756" s="3" t="str">
        <f aca="false" t="array" ref="K756:K756">IFERROR(IF(J756&lt;&gt;"",J756,INDEX(J756:J1755,MATCH(1,(F756:F1755=F756)*(I756:I1755=I756)*(L756:L1755=L756)*(J756:J1755&lt;&gt;""),0))),"Not Found")</f>
        <v>Brake Failure</v>
      </c>
      <c r="L756" s="3" t="s">
        <v>108</v>
      </c>
      <c r="M756" s="0" t="str">
        <f aca="false">PROPER(L756)</f>
        <v>Timing Belt</v>
      </c>
      <c r="N756" s="3" t="s">
        <v>109</v>
      </c>
      <c r="O756" s="0" t="str">
        <f aca="false" t="array" ref="O756:O756">IF(N756&lt;&gt;"",N756,_xlfn.xlookup(1,(L756:L1755=L756)*(N756:N1755&lt;&gt;""),N756:N1755,"Not Found"))</f>
        <v>Tijani</v>
      </c>
      <c r="P756" s="4" t="n">
        <v>63855</v>
      </c>
      <c r="Q756" s="0" t="s">
        <v>49</v>
      </c>
      <c r="R756" s="0" t="str">
        <f aca="false">PROPER(Q756)</f>
        <v>Transfer</v>
      </c>
      <c r="S756" s="0" t="s">
        <v>50</v>
      </c>
      <c r="U756" s="5" t="n">
        <f aca="false">IF(ISBLANK(T756),AVERAGE(T756:T1755),T756)</f>
        <v>3.15</v>
      </c>
      <c r="V756" s="0" t="n">
        <v>1.5</v>
      </c>
      <c r="W756" s="0" t="s">
        <v>125</v>
      </c>
      <c r="X756" s="0" t="str">
        <f aca="false">IF(ISBLANK(W756),"No remarks",W756)</f>
        <v>Customer waited</v>
      </c>
      <c r="Y756" s="0" t="s">
        <v>52</v>
      </c>
      <c r="Z756" s="0" t="s">
        <v>94</v>
      </c>
      <c r="AA756" s="0" t="str">
        <f aca="false">PROPER(IF(ISBLANK(Z756),"Location Unavailable",Z756))</f>
        <v>Vip Section</v>
      </c>
      <c r="AB756" s="0" t="s">
        <v>75</v>
      </c>
      <c r="AC756" s="6" t="str">
        <f aca="false">PROPER(AB756)</f>
        <v>Mechanik Referal</v>
      </c>
      <c r="AD756" s="6" t="n">
        <v>45</v>
      </c>
      <c r="AE756" s="5" t="n">
        <f aca="false">IF(ISBLANK(AD756),AVERAGEIF(L756:L1755,L756,AD756:AD1755),AD756)</f>
        <v>45</v>
      </c>
      <c r="AF756" s="0" t="s">
        <v>112</v>
      </c>
      <c r="AG756" s="0" t="str">
        <f aca="false">PROPER(AF756)</f>
        <v>Unavailable</v>
      </c>
      <c r="AH756" s="0" t="s">
        <v>155</v>
      </c>
      <c r="AI756" s="0" t="s">
        <v>98</v>
      </c>
      <c r="AJ756" s="0" t="str">
        <f aca="false">PROPER(AI756)</f>
        <v>Emergency</v>
      </c>
      <c r="AK756" s="0" t="s">
        <v>114</v>
      </c>
      <c r="AL756" s="0" t="str">
        <f aca="false">PROPER(AK756)</f>
        <v>Returning</v>
      </c>
      <c r="AM756" s="0" t="s">
        <v>59</v>
      </c>
      <c r="AN756" s="0" t="str">
        <f aca="false">IF(ISBLANK(AM756),"Unknown",AM756)</f>
        <v>Bolt Driver</v>
      </c>
      <c r="AO756" s="0" t="s">
        <v>79</v>
      </c>
      <c r="AP756" s="0" t="str">
        <f aca="false">IF(ISBLANK(AO756),"Unknown",AO756)</f>
        <v>Specialist</v>
      </c>
      <c r="AR756" s="5" t="n">
        <f aca="false">IF(ISBLANK(AQ756),AVERAGEIF(M756:M1755,M756,AQ756:AQ1755),AQ756)</f>
        <v>27297.2972972973</v>
      </c>
      <c r="AT756" s="5" t="n">
        <f aca="false">IF(ISBLANK(AS756),AVERAGE(AS756:AS1755),AS756)</f>
        <v>31213.5922330097</v>
      </c>
      <c r="AU756" s="0" t="s">
        <v>63</v>
      </c>
      <c r="AV756" s="0" t="str">
        <f aca="false">PROPER(IF(ISBLANK(AU756),"No",AU756))</f>
        <v>Yes</v>
      </c>
      <c r="AX756" s="5" t="n">
        <f aca="false">IF(ISBLANK(AW756),0,AW756)</f>
        <v>0</v>
      </c>
      <c r="AZ756" s="0" t="str">
        <f aca="false">UPPER(IF(ISBLANK(AY756),"NONE",AY756))</f>
        <v>NONE</v>
      </c>
      <c r="BA756" s="7" t="n">
        <v>46016</v>
      </c>
      <c r="BB756" s="7" t="n">
        <f aca="false">IF(ISBLANK(BA756),"No Follow Up Needed",BA756)</f>
        <v>46016</v>
      </c>
      <c r="BC756" s="0" t="s">
        <v>63</v>
      </c>
      <c r="BD756" s="0" t="str">
        <f aca="false">PROPER(IF(ISBLANK(BC756),"Unknown",BC756))</f>
        <v>Yes</v>
      </c>
      <c r="BE756" s="0" t="s">
        <v>116</v>
      </c>
      <c r="BF756" s="0" t="str">
        <f aca="false">IF(ISBLANK(BE756),"No comments",BE756)</f>
        <v>Needs tire alignment</v>
      </c>
      <c r="BG756" s="0" t="s">
        <v>2320</v>
      </c>
      <c r="BH756" s="0" t="str">
        <f aca="false">IF(ISBLANK(BG756),"No comments",BG756)</f>
        <v>No complaints</v>
      </c>
      <c r="BI756" s="0" t="s">
        <v>50</v>
      </c>
      <c r="BJ756" s="0" t="str">
        <f aca="false">IF(ISBLANK(BI756),"Not Mentioned",BI756)</f>
        <v>No</v>
      </c>
      <c r="BK756" s="0" t="s">
        <v>61</v>
      </c>
      <c r="BL756" s="0" t="str">
        <f aca="false">PROPER(IF(ISBLANK(BK756),"Not Mentioned",BK756))</f>
        <v>No</v>
      </c>
      <c r="BN756" s="0" t="str">
        <f aca="false">PROPER(IF(ISBLANK(BM756),"Not Mentioned",BM756))</f>
        <v>Not Mentioned</v>
      </c>
      <c r="BO756" s="0" t="s">
        <v>2321</v>
      </c>
      <c r="BP756" s="0" t="str">
        <f aca="false">IF(ISBLANK(BO756),"One-Time Plan",BO756)</f>
        <v>One-Time Plan</v>
      </c>
      <c r="BQ756" s="0" t="s">
        <v>63</v>
      </c>
      <c r="BR756" s="0" t="str">
        <f aca="false">PROPER(IF(ISBLANK(BQ756),"No",BQ756))</f>
        <v>Yes</v>
      </c>
    </row>
    <row r="757" customFormat="false" ht="15" hidden="false" customHeight="false" outlineLevel="0" collapsed="false">
      <c r="A757" s="0" t="s">
        <v>1806</v>
      </c>
      <c r="B757" s="2" t="s">
        <v>1082</v>
      </c>
      <c r="C757" s="2" t="str">
        <f aca="false">TEXT(B757,"dd/mm/yyyy")</f>
        <v>15/06/2025</v>
      </c>
      <c r="D757" s="0" t="s">
        <v>105</v>
      </c>
      <c r="E757" s="0" t="n">
        <v>8061544630</v>
      </c>
      <c r="F757" s="0" t="s">
        <v>67</v>
      </c>
      <c r="G757" s="0" t="s">
        <v>2316</v>
      </c>
      <c r="H757" s="0" t="s">
        <v>1807</v>
      </c>
      <c r="I757" s="0" t="s">
        <v>87</v>
      </c>
      <c r="J757" s="0" t="s">
        <v>2317</v>
      </c>
      <c r="K757" s="3" t="str">
        <f aca="false" t="array" ref="K757:K757">IFERROR(IF(J757&lt;&gt;"",J757,INDEX(J757:J1756,MATCH(1,(F757:F1756=F757)*(I757:I1756=I757)*(L757:L1756=L757)*(J757:J1756&lt;&gt;""),0))),"Not Found")</f>
        <v>Suspension Noise</v>
      </c>
      <c r="L757" s="3" t="s">
        <v>89</v>
      </c>
      <c r="M757" s="0" t="str">
        <f aca="false">PROPER(L757)</f>
        <v>Shock Absorbers</v>
      </c>
      <c r="O757" s="0" t="e">
        <f aca="false" t="array" ref="O757:O757">IF(N757&lt;&gt;"",N757,_xlfn.xlookup(1,(L757:L1756=L757)*(N757:N1756&lt;&gt;""),N757:N1756,"Not Found"))</f>
        <v>#NAME?</v>
      </c>
      <c r="P757" s="4" t="n">
        <v>60070</v>
      </c>
      <c r="Q757" s="0" t="s">
        <v>91</v>
      </c>
      <c r="R757" s="0" t="str">
        <f aca="false">PROPER(Q757)</f>
        <v>Pos</v>
      </c>
      <c r="S757" s="0" t="s">
        <v>63</v>
      </c>
      <c r="T757" s="0" t="n">
        <v>2</v>
      </c>
      <c r="U757" s="5" t="n">
        <f aca="false">IF(ISBLANK(T757),AVERAGE(T757:T1756),T757)</f>
        <v>2</v>
      </c>
      <c r="V757" s="0" t="n">
        <v>5.6</v>
      </c>
      <c r="W757" s="0" t="s">
        <v>125</v>
      </c>
      <c r="X757" s="0" t="str">
        <f aca="false">IF(ISBLANK(W757),"No remarks",W757)</f>
        <v>Customer waited</v>
      </c>
      <c r="Y757" s="0" t="s">
        <v>52</v>
      </c>
      <c r="Z757" s="0" t="s">
        <v>53</v>
      </c>
      <c r="AA757" s="0" t="str">
        <f aca="false">PROPER(IF(ISBLANK(Z757),"Location Unavailable",Z757))</f>
        <v>Main Bay</v>
      </c>
      <c r="AB757" s="0" t="s">
        <v>167</v>
      </c>
      <c r="AC757" s="6" t="str">
        <f aca="false">PROPER(AB757)</f>
        <v>Word Of Mouth</v>
      </c>
      <c r="AD757" s="6" t="n">
        <v>45</v>
      </c>
      <c r="AE757" s="5" t="n">
        <f aca="false">IF(ISBLANK(AD757),AVERAGEIF(L757:L1756,L757,AD757:AD1756),AD757)</f>
        <v>45</v>
      </c>
      <c r="AF757" s="0" t="s">
        <v>96</v>
      </c>
      <c r="AG757" s="0" t="str">
        <f aca="false">PROPER(AF757)</f>
        <v>Ordered</v>
      </c>
      <c r="AH757" s="0" t="s">
        <v>148</v>
      </c>
      <c r="AI757" s="0" t="s">
        <v>98</v>
      </c>
      <c r="AJ757" s="0" t="str">
        <f aca="false">PROPER(AI757)</f>
        <v>Emergency</v>
      </c>
      <c r="AK757" s="0" t="s">
        <v>196</v>
      </c>
      <c r="AL757" s="0" t="str">
        <f aca="false">PROPER(AK757)</f>
        <v>First Time</v>
      </c>
      <c r="AM757" s="0" t="s">
        <v>2324</v>
      </c>
      <c r="AN757" s="0" t="str">
        <f aca="false">IF(ISBLANK(AM757),"Unknown",AM757)</f>
        <v>Logistics Convoy</v>
      </c>
      <c r="AO757" s="0" t="s">
        <v>79</v>
      </c>
      <c r="AP757" s="0" t="str">
        <f aca="false">IF(ISBLANK(AO757),"Unknown",AO757)</f>
        <v>Specialist</v>
      </c>
      <c r="AQ757" s="0" t="n">
        <v>40000</v>
      </c>
      <c r="AR757" s="5" t="n">
        <f aca="false">IF(ISBLANK(AQ757),AVERAGEIF(M757:M1756,M757,AQ757:AQ1756),AQ757)</f>
        <v>40000</v>
      </c>
      <c r="AT757" s="5" t="n">
        <f aca="false">IF(ISBLANK(AS757),AVERAGE(AS757:AS1756),AS757)</f>
        <v>31213.5922330097</v>
      </c>
      <c r="AU757" s="0" t="s">
        <v>63</v>
      </c>
      <c r="AV757" s="0" t="str">
        <f aca="false">PROPER(IF(ISBLANK(AU757),"No",AU757))</f>
        <v>Yes</v>
      </c>
      <c r="AW757" s="0" t="n">
        <v>5000</v>
      </c>
      <c r="AX757" s="5" t="n">
        <f aca="false">IF(ISBLANK(AW757),0,AW757)</f>
        <v>5000</v>
      </c>
      <c r="AZ757" s="0" t="str">
        <f aca="false">UPPER(IF(ISBLANK(AY757),"NONE",AY757))</f>
        <v>NONE</v>
      </c>
      <c r="BB757" s="7" t="str">
        <f aca="false">IF(ISBLANK(BA757),"No Follow Up Needed",BA757)</f>
        <v>No Follow Up Needed</v>
      </c>
      <c r="BD757" s="0" t="str">
        <f aca="false">PROPER(IF(ISBLANK(BC757),"Unknown",BC757))</f>
        <v>Unknown</v>
      </c>
      <c r="BF757" s="0" t="str">
        <f aca="false">IF(ISBLANK(BE757),"No comments",BE757)</f>
        <v>No comments</v>
      </c>
      <c r="BH757" s="0" t="str">
        <f aca="false">IF(ISBLANK(BG757),"No comments",BG757)</f>
        <v>No comments</v>
      </c>
      <c r="BJ757" s="0" t="str">
        <f aca="false">IF(ISBLANK(BI757),"Not Mentioned",BI757)</f>
        <v>Not Mentioned</v>
      </c>
      <c r="BK757" s="0" t="s">
        <v>50</v>
      </c>
      <c r="BL757" s="0" t="str">
        <f aca="false">PROPER(IF(ISBLANK(BK757),"Not Mentioned",BK757))</f>
        <v>No</v>
      </c>
      <c r="BM757" s="0" t="s">
        <v>63</v>
      </c>
      <c r="BN757" s="0" t="str">
        <f aca="false">PROPER(IF(ISBLANK(BM757),"Not Mentioned",BM757))</f>
        <v>Yes</v>
      </c>
      <c r="BO757" s="0" t="s">
        <v>2321</v>
      </c>
      <c r="BP757" s="0" t="str">
        <f aca="false">IF(ISBLANK(BO757),"One-Time Plan",BO757)</f>
        <v>One-Time Plan</v>
      </c>
      <c r="BR757" s="0" t="str">
        <f aca="false">PROPER(IF(ISBLANK(BQ757),"No",BQ757))</f>
        <v>No</v>
      </c>
    </row>
    <row r="758" customFormat="false" ht="15" hidden="false" customHeight="false" outlineLevel="0" collapsed="false">
      <c r="A758" s="0" t="s">
        <v>1808</v>
      </c>
      <c r="B758" s="2" t="s">
        <v>1483</v>
      </c>
      <c r="C758" s="2" t="str">
        <f aca="false">TEXT(B758,"dd/mm/yyyy")</f>
        <v>16/05/2025</v>
      </c>
      <c r="D758" s="0" t="s">
        <v>163</v>
      </c>
      <c r="E758" s="0" t="n">
        <v>8075706438</v>
      </c>
      <c r="F758" s="0" t="s">
        <v>139</v>
      </c>
      <c r="G758" s="0" t="s">
        <v>2323</v>
      </c>
      <c r="H758" s="0" t="s">
        <v>1809</v>
      </c>
      <c r="I758" s="0" t="s">
        <v>45</v>
      </c>
      <c r="J758" s="0" t="s">
        <v>2317</v>
      </c>
      <c r="K758" s="3" t="str">
        <f aca="false" t="array" ref="K758:K758">IFERROR(IF(J758&lt;&gt;"",J758,INDEX(J758:J1757,MATCH(1,(F758:F1757=F758)*(I758:I1757=I758)*(L758:L1757=L758)*(J758:J1757&lt;&gt;""),0))),"Not Found")</f>
        <v>Suspension Noise</v>
      </c>
      <c r="L758" s="3" t="s">
        <v>142</v>
      </c>
      <c r="M758" s="0" t="str">
        <f aca="false">PROPER(L758)</f>
        <v>Oil Filter, Brake Pads</v>
      </c>
      <c r="N758" s="3" t="s">
        <v>109</v>
      </c>
      <c r="O758" s="0" t="str">
        <f aca="false" t="array" ref="O758:O758">IF(N758&lt;&gt;"",N758,_xlfn.xlookup(1,(L758:L1757=L758)*(N758:N1757&lt;&gt;""),N758:N1757,"Not Found"))</f>
        <v>Tijani</v>
      </c>
      <c r="P758" s="4" t="n">
        <v>23051</v>
      </c>
      <c r="Q758" s="0" t="s">
        <v>72</v>
      </c>
      <c r="R758" s="0" t="str">
        <f aca="false">PROPER(Q758)</f>
        <v>Pos</v>
      </c>
      <c r="S758" s="0" t="s">
        <v>63</v>
      </c>
      <c r="T758" s="0" t="n">
        <v>5</v>
      </c>
      <c r="U758" s="5" t="n">
        <f aca="false">IF(ISBLANK(T758),AVERAGE(T758:T1757),T758)</f>
        <v>5</v>
      </c>
      <c r="V758" s="0" t="n">
        <v>3.4</v>
      </c>
      <c r="W758" s="0" t="s">
        <v>51</v>
      </c>
      <c r="X758" s="0" t="str">
        <f aca="false">IF(ISBLANK(W758),"No remarks",W758)</f>
        <v>Recommended further checks</v>
      </c>
      <c r="Y758" s="0" t="s">
        <v>52</v>
      </c>
      <c r="Z758" s="0" t="s">
        <v>94</v>
      </c>
      <c r="AA758" s="0" t="str">
        <f aca="false">PROPER(IF(ISBLANK(Z758),"Location Unavailable",Z758))</f>
        <v>Vip Section</v>
      </c>
      <c r="AB758" s="0" t="s">
        <v>75</v>
      </c>
      <c r="AC758" s="6" t="str">
        <f aca="false">PROPER(AB758)</f>
        <v>Mechanik Referal</v>
      </c>
      <c r="AD758" s="6" t="n">
        <v>30</v>
      </c>
      <c r="AE758" s="5" t="n">
        <f aca="false">IF(ISBLANK(AD758),AVERAGEIF(L758:L1757,L758,AD758:AD1757),AD758)</f>
        <v>30</v>
      </c>
      <c r="AF758" s="0" t="s">
        <v>96</v>
      </c>
      <c r="AG758" s="0" t="str">
        <f aca="false">PROPER(AF758)</f>
        <v>Ordered</v>
      </c>
      <c r="AH758" s="0" t="s">
        <v>155</v>
      </c>
      <c r="AI758" s="0" t="s">
        <v>113</v>
      </c>
      <c r="AJ758" s="0" t="str">
        <f aca="false">PROPER(AI758)</f>
        <v>Normal</v>
      </c>
      <c r="AK758" s="0" t="s">
        <v>99</v>
      </c>
      <c r="AL758" s="0" t="str">
        <f aca="false">PROPER(AK758)</f>
        <v>Uber Driver</v>
      </c>
      <c r="AM758" s="0" t="s">
        <v>59</v>
      </c>
      <c r="AN758" s="0" t="str">
        <f aca="false">IF(ISBLANK(AM758),"Unknown",AM758)</f>
        <v>Bolt Driver</v>
      </c>
      <c r="AO758" s="0" t="s">
        <v>161</v>
      </c>
      <c r="AP758" s="0" t="str">
        <f aca="false">IF(ISBLANK(AO758),"Unknown",AO758)</f>
        <v>Apprentice</v>
      </c>
      <c r="AQ758" s="0" t="n">
        <v>40000</v>
      </c>
      <c r="AR758" s="5" t="n">
        <f aca="false">IF(ISBLANK(AQ758),AVERAGEIF(M758:M1757,M758,AQ758:AQ1757),AQ758)</f>
        <v>40000</v>
      </c>
      <c r="AS758" s="0" t="n">
        <v>35000</v>
      </c>
      <c r="AT758" s="5" t="n">
        <f aca="false">IF(ISBLANK(AS758),AVERAGE(AS758:AS1757),AS758)</f>
        <v>35000</v>
      </c>
      <c r="AV758" s="0" t="str">
        <f aca="false">PROPER(IF(ISBLANK(AU758),"No",AU758))</f>
        <v>No</v>
      </c>
      <c r="AW758" s="0" t="n">
        <v>5000</v>
      </c>
      <c r="AX758" s="5" t="n">
        <f aca="false">IF(ISBLANK(AW758),0,AW758)</f>
        <v>5000</v>
      </c>
      <c r="AZ758" s="0" t="str">
        <f aca="false">UPPER(IF(ISBLANK(AY758),"NONE",AY758))</f>
        <v>NONE</v>
      </c>
      <c r="BB758" s="7" t="str">
        <f aca="false">IF(ISBLANK(BA758),"No Follow Up Needed",BA758)</f>
        <v>No Follow Up Needed</v>
      </c>
      <c r="BD758" s="0" t="str">
        <f aca="false">PROPER(IF(ISBLANK(BC758),"Unknown",BC758))</f>
        <v>Unknown</v>
      </c>
      <c r="BE758" s="0" t="s">
        <v>116</v>
      </c>
      <c r="BF758" s="0" t="str">
        <f aca="false">IF(ISBLANK(BE758),"No comments",BE758)</f>
        <v>Needs tire alignment</v>
      </c>
      <c r="BG758" s="0" t="s">
        <v>117</v>
      </c>
      <c r="BH758" s="0" t="str">
        <f aca="false">IF(ISBLANK(BG758),"No comments",BG758)</f>
        <v>Prefers morning</v>
      </c>
      <c r="BJ758" s="0" t="str">
        <f aca="false">IF(ISBLANK(BI758),"Not Mentioned",BI758)</f>
        <v>Not Mentioned</v>
      </c>
      <c r="BK758" s="0" t="s">
        <v>63</v>
      </c>
      <c r="BL758" s="0" t="str">
        <f aca="false">PROPER(IF(ISBLANK(BK758),"Not Mentioned",BK758))</f>
        <v>Yes</v>
      </c>
      <c r="BM758" s="0" t="s">
        <v>50</v>
      </c>
      <c r="BN758" s="0" t="str">
        <f aca="false">PROPER(IF(ISBLANK(BM758),"Not Mentioned",BM758))</f>
        <v>No</v>
      </c>
      <c r="BO758" s="0" t="s">
        <v>64</v>
      </c>
      <c r="BP758" s="0" t="str">
        <f aca="false">IF(ISBLANK(BO758),"One-Time Plan",BO758)</f>
        <v>Gold Maintenance Plan</v>
      </c>
      <c r="BQ758" s="0" t="s">
        <v>190</v>
      </c>
      <c r="BR758" s="0" t="str">
        <f aca="false">PROPER(IF(ISBLANK(BQ758),"No",BQ758))</f>
        <v>Yes</v>
      </c>
    </row>
    <row r="759" customFormat="false" ht="15" hidden="false" customHeight="false" outlineLevel="0" collapsed="false">
      <c r="A759" s="0" t="s">
        <v>1810</v>
      </c>
      <c r="B759" s="2" t="n">
        <v>45775</v>
      </c>
      <c r="C759" s="2" t="str">
        <f aca="false">TEXT(B759,"dd/mm/yyyy")</f>
        <v>28/04/2025</v>
      </c>
      <c r="D759" s="0" t="s">
        <v>121</v>
      </c>
      <c r="E759" s="0" t="n">
        <v>8051313669</v>
      </c>
      <c r="F759" s="0" t="s">
        <v>67</v>
      </c>
      <c r="G759" s="0" t="s">
        <v>2316</v>
      </c>
      <c r="H759" s="0" t="s">
        <v>1811</v>
      </c>
      <c r="I759" s="0" t="s">
        <v>87</v>
      </c>
      <c r="J759" s="0" t="s">
        <v>2322</v>
      </c>
      <c r="K759" s="3" t="str">
        <f aca="false" t="array" ref="K759:K759">IFERROR(IF(J759&lt;&gt;"",J759,INDEX(J759:J1758,MATCH(1,(F759:F1758=F759)*(I759:I1758=I759)*(L759:L1758=L759)*(J759:J1758&lt;&gt;""),0))),"Not Found")</f>
        <v>Brake Failure</v>
      </c>
      <c r="L759" s="3" t="s">
        <v>108</v>
      </c>
      <c r="M759" s="0" t="str">
        <f aca="false">PROPER(L759)</f>
        <v>Timing Belt</v>
      </c>
      <c r="N759" s="3" t="s">
        <v>90</v>
      </c>
      <c r="O759" s="0" t="str">
        <f aca="false" t="array" ref="O759:O759">IF(N759&lt;&gt;"",N759,_xlfn.xlookup(1,(L759:L1758=L759)*(N759:N1758&lt;&gt;""),N759:N1758,"Not Found"))</f>
        <v>Musa</v>
      </c>
      <c r="P759" s="4" t="n">
        <v>29456</v>
      </c>
      <c r="Q759" s="0" t="s">
        <v>49</v>
      </c>
      <c r="R759" s="0" t="str">
        <f aca="false">PROPER(Q759)</f>
        <v>Transfer</v>
      </c>
      <c r="S759" s="0" t="s">
        <v>63</v>
      </c>
      <c r="U759" s="5" t="n">
        <f aca="false">IF(ISBLANK(T759),AVERAGE(T759:T1758),T759)</f>
        <v>3.14646464646465</v>
      </c>
      <c r="V759" s="0" t="n">
        <v>1.4</v>
      </c>
      <c r="X759" s="0" t="str">
        <f aca="false">IF(ISBLANK(W759),"No remarks",W759)</f>
        <v>No remarks</v>
      </c>
      <c r="Y759" s="0" t="s">
        <v>93</v>
      </c>
      <c r="Z759" s="0" t="s">
        <v>74</v>
      </c>
      <c r="AA759" s="0" t="str">
        <f aca="false">PROPER(IF(ISBLANK(Z759),"Location Unavailable",Z759))</f>
        <v>Under Tree</v>
      </c>
      <c r="AB759" s="0" t="s">
        <v>147</v>
      </c>
      <c r="AC759" s="6" t="str">
        <f aca="false">PROPER(AB759)</f>
        <v>Instagram</v>
      </c>
      <c r="AD759" s="6" t="n">
        <v>30</v>
      </c>
      <c r="AE759" s="5" t="n">
        <f aca="false">IF(ISBLANK(AD759),AVERAGEIF(L759:L1758,L759,AD759:AD1758),AD759)</f>
        <v>30</v>
      </c>
      <c r="AF759" s="0" t="s">
        <v>112</v>
      </c>
      <c r="AG759" s="0" t="str">
        <f aca="false">PROPER(AF759)</f>
        <v>Unavailable</v>
      </c>
      <c r="AH759" s="0" t="s">
        <v>77</v>
      </c>
      <c r="AI759" s="0" t="s">
        <v>113</v>
      </c>
      <c r="AJ759" s="0" t="str">
        <f aca="false">PROPER(AI759)</f>
        <v>Normal</v>
      </c>
      <c r="AK759" s="0" t="s">
        <v>114</v>
      </c>
      <c r="AL759" s="0" t="str">
        <f aca="false">PROPER(AK759)</f>
        <v>Returning</v>
      </c>
      <c r="AN759" s="0" t="str">
        <f aca="false">IF(ISBLANK(AM759),"Unknown",AM759)</f>
        <v>Unknown</v>
      </c>
      <c r="AP759" s="0" t="str">
        <f aca="false">IF(ISBLANK(AO759),"Unknown",AO759)</f>
        <v>Unknown</v>
      </c>
      <c r="AQ759" s="0" t="n">
        <v>25000</v>
      </c>
      <c r="AR759" s="5" t="n">
        <f aca="false">IF(ISBLANK(AQ759),AVERAGEIF(M759:M1758,M759,AQ759:AQ1758),AQ759)</f>
        <v>25000</v>
      </c>
      <c r="AS759" s="0" t="n">
        <v>30000</v>
      </c>
      <c r="AT759" s="5" t="n">
        <f aca="false">IF(ISBLANK(AS759),AVERAGE(AS759:AS1758),AS759)</f>
        <v>30000</v>
      </c>
      <c r="AV759" s="0" t="str">
        <f aca="false">PROPER(IF(ISBLANK(AU759),"No",AU759))</f>
        <v>No</v>
      </c>
      <c r="AW759" s="0" t="n">
        <v>10000</v>
      </c>
      <c r="AX759" s="5" t="n">
        <f aca="false">IF(ISBLANK(AW759),0,AW759)</f>
        <v>10000</v>
      </c>
      <c r="AY759" s="0" t="s">
        <v>60</v>
      </c>
      <c r="AZ759" s="0" t="str">
        <f aca="false">UPPER(IF(ISBLANK(AY759),"NONE",AY759))</f>
        <v>NONE</v>
      </c>
      <c r="BB759" s="7" t="str">
        <f aca="false">IF(ISBLANK(BA759),"No Follow Up Needed",BA759)</f>
        <v>No Follow Up Needed</v>
      </c>
      <c r="BC759" s="0" t="s">
        <v>82</v>
      </c>
      <c r="BD759" s="0" t="str">
        <f aca="false">PROPER(IF(ISBLANK(BC759),"Unknown",BC759))</f>
        <v>Yes</v>
      </c>
      <c r="BE759" s="0" t="s">
        <v>116</v>
      </c>
      <c r="BF759" s="0" t="str">
        <f aca="false">IF(ISBLANK(BE759),"No comments",BE759)</f>
        <v>Needs tire alignment</v>
      </c>
      <c r="BG759" s="0" t="s">
        <v>172</v>
      </c>
      <c r="BH759" s="0" t="str">
        <f aca="false">IF(ISBLANK(BG759),"No comments",BG759)</f>
        <v>Always late</v>
      </c>
      <c r="BI759" s="0" t="s">
        <v>50</v>
      </c>
      <c r="BJ759" s="0" t="str">
        <f aca="false">IF(ISBLANK(BI759),"Not Mentioned",BI759)</f>
        <v>No</v>
      </c>
      <c r="BK759" s="0" t="s">
        <v>50</v>
      </c>
      <c r="BL759" s="0" t="str">
        <f aca="false">PROPER(IF(ISBLANK(BK759),"Not Mentioned",BK759))</f>
        <v>No</v>
      </c>
      <c r="BN759" s="0" t="str">
        <f aca="false">PROPER(IF(ISBLANK(BM759),"Not Mentioned",BM759))</f>
        <v>Not Mentioned</v>
      </c>
      <c r="BO759" s="0" t="s">
        <v>64</v>
      </c>
      <c r="BP759" s="0" t="str">
        <f aca="false">IF(ISBLANK(BO759),"One-Time Plan",BO759)</f>
        <v>Gold Maintenance Plan</v>
      </c>
      <c r="BQ759" s="0" t="s">
        <v>198</v>
      </c>
      <c r="BR759" s="0" t="str">
        <f aca="false">PROPER(IF(ISBLANK(BQ759),"No",BQ759))</f>
        <v>Followed Up</v>
      </c>
    </row>
    <row r="760" customFormat="false" ht="15" hidden="false" customHeight="false" outlineLevel="0" collapsed="false">
      <c r="A760" s="0" t="s">
        <v>1812</v>
      </c>
      <c r="B760" s="2" t="n">
        <v>45736</v>
      </c>
      <c r="C760" s="2" t="str">
        <f aca="false">TEXT(B760,"dd/mm/yyyy")</f>
        <v>20/03/2025</v>
      </c>
      <c r="D760" s="0" t="s">
        <v>163</v>
      </c>
      <c r="E760" s="0" t="n">
        <v>8096040102</v>
      </c>
      <c r="F760" s="0" t="s">
        <v>139</v>
      </c>
      <c r="G760" s="0" t="s">
        <v>2323</v>
      </c>
      <c r="H760" s="0" t="s">
        <v>1813</v>
      </c>
      <c r="I760" s="0" t="s">
        <v>45</v>
      </c>
      <c r="J760" s="0" t="s">
        <v>2325</v>
      </c>
      <c r="K760" s="3" t="str">
        <f aca="false" t="array" ref="K760:K760">IFERROR(IF(J760&lt;&gt;"",J760,INDEX(J760:J1759,MATCH(1,(F760:F1759=F760)*(I760:I1759=I760)*(L760:L1759=L760)*(J760:J1759&lt;&gt;""),0))),"Not Found")</f>
        <v>Engine Knocking</v>
      </c>
      <c r="L760" s="3" t="s">
        <v>154</v>
      </c>
      <c r="M760" s="0" t="str">
        <f aca="false">PROPER(L760)</f>
        <v>Air Filter</v>
      </c>
      <c r="O760" s="0" t="e">
        <f aca="false" t="array" ref="O760:O760">IF(N760&lt;&gt;"",N760,_xlfn.xlookup(1,(L760:L1759=L760)*(N760:N1759&lt;&gt;""),N760:N1759,"Not Found"))</f>
        <v>#NAME?</v>
      </c>
      <c r="P760" s="4" t="n">
        <v>38348</v>
      </c>
      <c r="Q760" s="0" t="s">
        <v>124</v>
      </c>
      <c r="R760" s="0" t="str">
        <f aca="false">PROPER(Q760)</f>
        <v>Cash</v>
      </c>
      <c r="S760" s="0" t="s">
        <v>50</v>
      </c>
      <c r="T760" s="0" t="n">
        <v>2</v>
      </c>
      <c r="U760" s="5" t="n">
        <f aca="false">IF(ISBLANK(T760),AVERAGE(T760:T1759),T760)</f>
        <v>2</v>
      </c>
      <c r="V760" s="0" t="n">
        <v>3.3</v>
      </c>
      <c r="W760" s="0" t="s">
        <v>92</v>
      </c>
      <c r="X760" s="0" t="str">
        <f aca="false">IF(ISBLANK(W760),"No remarks",W760)</f>
        <v>Urgent service</v>
      </c>
      <c r="Y760" s="0" t="s">
        <v>93</v>
      </c>
      <c r="AA760" s="0" t="str">
        <f aca="false">PROPER(IF(ISBLANK(Z760),"Location Unavailable",Z760))</f>
        <v>Location Unavailable</v>
      </c>
      <c r="AB760" s="0" t="s">
        <v>126</v>
      </c>
      <c r="AC760" s="6" t="str">
        <f aca="false">PROPER(AB760)</f>
        <v>Whatsapp</v>
      </c>
      <c r="AD760" s="6" t="n">
        <v>30</v>
      </c>
      <c r="AE760" s="5" t="n">
        <f aca="false">IF(ISBLANK(AD760),AVERAGEIF(L760:L1759,L760,AD760:AD1759),AD760)</f>
        <v>30</v>
      </c>
      <c r="AF760" s="0" t="s">
        <v>96</v>
      </c>
      <c r="AG760" s="0" t="str">
        <f aca="false">PROPER(AF760)</f>
        <v>Ordered</v>
      </c>
      <c r="AH760" s="0" t="s">
        <v>77</v>
      </c>
      <c r="AI760" s="0" t="s">
        <v>78</v>
      </c>
      <c r="AJ760" s="0" t="str">
        <f aca="false">PROPER(AI760)</f>
        <v>Booking</v>
      </c>
      <c r="AK760" s="0" t="s">
        <v>196</v>
      </c>
      <c r="AL760" s="0" t="str">
        <f aca="false">PROPER(AK760)</f>
        <v>First Time</v>
      </c>
      <c r="AM760" s="0" t="s">
        <v>59</v>
      </c>
      <c r="AN760" s="0" t="str">
        <f aca="false">IF(ISBLANK(AM760),"Unknown",AM760)</f>
        <v>Bolt Driver</v>
      </c>
      <c r="AP760" s="0" t="str">
        <f aca="false">IF(ISBLANK(AO760),"Unknown",AO760)</f>
        <v>Unknown</v>
      </c>
      <c r="AR760" s="5" t="n">
        <f aca="false">IF(ISBLANK(AQ760),AVERAGEIF(M760:M1759,M760,AQ760:AQ1759),AQ760)</f>
        <v>26379.3103448276</v>
      </c>
      <c r="AS760" s="0" t="n">
        <v>20000</v>
      </c>
      <c r="AT760" s="5" t="n">
        <f aca="false">IF(ISBLANK(AS760),AVERAGE(AS760:AS1759),AS760)</f>
        <v>20000</v>
      </c>
      <c r="AU760" s="0" t="s">
        <v>61</v>
      </c>
      <c r="AV760" s="0" t="str">
        <f aca="false">PROPER(IF(ISBLANK(AU760),"No",AU760))</f>
        <v>No</v>
      </c>
      <c r="AX760" s="5" t="n">
        <f aca="false">IF(ISBLANK(AW760),0,AW760)</f>
        <v>0</v>
      </c>
      <c r="AZ760" s="0" t="str">
        <f aca="false">UPPER(IF(ISBLANK(AY760),"NONE",AY760))</f>
        <v>NONE</v>
      </c>
      <c r="BA760" s="7" t="s">
        <v>431</v>
      </c>
      <c r="BB760" s="7" t="str">
        <f aca="false">IF(ISBLANK(BA760),"No Follow Up Needed",BA760)</f>
        <v>20/09/2025</v>
      </c>
      <c r="BC760" s="0" t="s">
        <v>63</v>
      </c>
      <c r="BD760" s="0" t="str">
        <f aca="false">PROPER(IF(ISBLANK(BC760),"Unknown",BC760))</f>
        <v>Yes</v>
      </c>
      <c r="BF760" s="0" t="str">
        <f aca="false">IF(ISBLANK(BE760),"No comments",BE760)</f>
        <v>No comments</v>
      </c>
      <c r="BG760" s="0" t="s">
        <v>117</v>
      </c>
      <c r="BH760" s="0" t="str">
        <f aca="false">IF(ISBLANK(BG760),"No comments",BG760)</f>
        <v>Prefers morning</v>
      </c>
      <c r="BI760" s="0" t="s">
        <v>63</v>
      </c>
      <c r="BJ760" s="0" t="str">
        <f aca="false">IF(ISBLANK(BI760),"Not Mentioned",BI760)</f>
        <v>Yes</v>
      </c>
      <c r="BK760" s="0" t="s">
        <v>82</v>
      </c>
      <c r="BL760" s="0" t="str">
        <f aca="false">PROPER(IF(ISBLANK(BK760),"Not Mentioned",BK760))</f>
        <v>Yes</v>
      </c>
      <c r="BM760" s="0" t="s">
        <v>50</v>
      </c>
      <c r="BN760" s="0" t="str">
        <f aca="false">PROPER(IF(ISBLANK(BM760),"Not Mentioned",BM760))</f>
        <v>No</v>
      </c>
      <c r="BP760" s="0" t="str">
        <f aca="false">IF(ISBLANK(BO760),"One-Time Plan",BO760)</f>
        <v>One-Time Plan</v>
      </c>
      <c r="BQ760" s="0" t="s">
        <v>50</v>
      </c>
      <c r="BR760" s="0" t="str">
        <f aca="false">PROPER(IF(ISBLANK(BQ760),"No",BQ760))</f>
        <v>No</v>
      </c>
    </row>
    <row r="761" customFormat="false" ht="15" hidden="false" customHeight="false" outlineLevel="0" collapsed="false">
      <c r="A761" s="0" t="s">
        <v>1814</v>
      </c>
      <c r="B761" s="2" t="n">
        <v>45781</v>
      </c>
      <c r="C761" s="2" t="str">
        <f aca="false">TEXT(B761,"dd/mm/yyyy")</f>
        <v>04/05/2025</v>
      </c>
      <c r="D761" s="0" t="s">
        <v>121</v>
      </c>
      <c r="E761" s="0" t="n">
        <v>8088961498</v>
      </c>
      <c r="F761" s="0" t="s">
        <v>43</v>
      </c>
      <c r="G761" s="0" t="s">
        <v>2315</v>
      </c>
      <c r="H761" s="0" t="s">
        <v>1815</v>
      </c>
      <c r="I761" s="0" t="s">
        <v>69</v>
      </c>
      <c r="J761" s="0" t="s">
        <v>87</v>
      </c>
      <c r="K761" s="3" t="str">
        <f aca="false" t="array" ref="K761:K761">IFERROR(IF(J761&lt;&gt;"",J761,INDEX(J761:J1760,MATCH(1,(F761:F1760=F761)*(I761:I1760=I761)*(L761:L1760=L761)*(J761:J1760&lt;&gt;""),0))),"Not Found")</f>
        <v>Oil Change</v>
      </c>
      <c r="L761" s="3" t="s">
        <v>47</v>
      </c>
      <c r="M761" s="0" t="str">
        <f aca="false">PROPER(L761)</f>
        <v>None</v>
      </c>
      <c r="N761" s="3" t="s">
        <v>109</v>
      </c>
      <c r="O761" s="0" t="str">
        <f aca="false" t="array" ref="O761:O761">IF(N761&lt;&gt;"",N761,_xlfn.xlookup(1,(L761:L1760=L761)*(N761:N1760&lt;&gt;""),N761:N1760,"Not Found"))</f>
        <v>Tijani</v>
      </c>
      <c r="P761" s="4" t="n">
        <v>73564</v>
      </c>
      <c r="Q761" s="0" t="s">
        <v>72</v>
      </c>
      <c r="R761" s="0" t="str">
        <f aca="false">PROPER(Q761)</f>
        <v>Pos</v>
      </c>
      <c r="S761" s="0" t="s">
        <v>63</v>
      </c>
      <c r="T761" s="0" t="n">
        <v>1</v>
      </c>
      <c r="U761" s="5" t="n">
        <f aca="false">IF(ISBLANK(T761),AVERAGE(T761:T1760),T761)</f>
        <v>1</v>
      </c>
      <c r="V761" s="0" t="n">
        <v>5.1</v>
      </c>
      <c r="W761" s="0" t="s">
        <v>125</v>
      </c>
      <c r="X761" s="0" t="str">
        <f aca="false">IF(ISBLANK(W761),"No remarks",W761)</f>
        <v>Customer waited</v>
      </c>
      <c r="Y761" s="0" t="s">
        <v>73</v>
      </c>
      <c r="Z761" s="0" t="s">
        <v>159</v>
      </c>
      <c r="AA761" s="0" t="str">
        <f aca="false">PROPER(IF(ISBLANK(Z761),"Location Unavailable",Z761))</f>
        <v>Main Bay</v>
      </c>
      <c r="AB761" s="0" t="s">
        <v>54</v>
      </c>
      <c r="AC761" s="6" t="str">
        <f aca="false">PROPER(AB761)</f>
        <v>Mechanic Referral</v>
      </c>
      <c r="AD761" s="6" t="n">
        <v>30</v>
      </c>
      <c r="AE761" s="5" t="n">
        <f aca="false">IF(ISBLANK(AD761),AVERAGEIF(L761:L1760,L761,AD761:AD1760),AD761)</f>
        <v>30</v>
      </c>
      <c r="AF761" s="0" t="s">
        <v>76</v>
      </c>
      <c r="AG761" s="0" t="str">
        <f aca="false">PROPER(AF761)</f>
        <v>Orderd</v>
      </c>
      <c r="AH761" s="0" t="s">
        <v>77</v>
      </c>
      <c r="AI761" s="0" t="s">
        <v>78</v>
      </c>
      <c r="AJ761" s="0" t="str">
        <f aca="false">PROPER(AI761)</f>
        <v>Booking</v>
      </c>
      <c r="AK761" s="0" t="s">
        <v>58</v>
      </c>
      <c r="AL761" s="0" t="str">
        <f aca="false">PROPER(AK761)</f>
        <v>Fleet Owner</v>
      </c>
      <c r="AM761" s="0" t="s">
        <v>2326</v>
      </c>
      <c r="AN761" s="0" t="str">
        <f aca="false">IF(ISBLANK(AM761),"Unknown",AM761)</f>
        <v>Government Convoy</v>
      </c>
      <c r="AP761" s="0" t="str">
        <f aca="false">IF(ISBLANK(AO761),"Unknown",AO761)</f>
        <v>Unknown</v>
      </c>
      <c r="AQ761" s="0" t="n">
        <v>20000</v>
      </c>
      <c r="AR761" s="5" t="n">
        <f aca="false">IF(ISBLANK(AQ761),AVERAGEIF(M761:M1760,M761,AQ761:AQ1760),AQ761)</f>
        <v>20000</v>
      </c>
      <c r="AS761" s="0" t="n">
        <v>20000</v>
      </c>
      <c r="AT761" s="5" t="n">
        <f aca="false">IF(ISBLANK(AS761),AVERAGE(AS761:AS1760),AS761)</f>
        <v>20000</v>
      </c>
      <c r="AU761" s="0" t="s">
        <v>50</v>
      </c>
      <c r="AV761" s="0" t="str">
        <f aca="false">PROPER(IF(ISBLANK(AU761),"No",AU761))</f>
        <v>No</v>
      </c>
      <c r="AW761" s="0" t="n">
        <v>0</v>
      </c>
      <c r="AX761" s="5" t="n">
        <f aca="false">IF(ISBLANK(AW761),0,AW761)</f>
        <v>0</v>
      </c>
      <c r="AY761" s="0" t="s">
        <v>184</v>
      </c>
      <c r="AZ761" s="0" t="str">
        <f aca="false">UPPER(IF(ISBLANK(AY761),"NONE",AY761))</f>
        <v>N/A</v>
      </c>
      <c r="BA761" s="7" t="n">
        <v>45878</v>
      </c>
      <c r="BB761" s="7" t="n">
        <f aca="false">IF(ISBLANK(BA761),"No Follow Up Needed",BA761)</f>
        <v>45878</v>
      </c>
      <c r="BC761" s="0" t="s">
        <v>61</v>
      </c>
      <c r="BD761" s="0" t="str">
        <f aca="false">PROPER(IF(ISBLANK(BC761),"Unknown",BC761))</f>
        <v>No</v>
      </c>
      <c r="BF761" s="0" t="str">
        <f aca="false">IF(ISBLANK(BE761),"No comments",BE761)</f>
        <v>No comments</v>
      </c>
      <c r="BH761" s="0" t="str">
        <f aca="false">IF(ISBLANK(BG761),"No comments",BG761)</f>
        <v>No comments</v>
      </c>
      <c r="BI761" s="0" t="s">
        <v>63</v>
      </c>
      <c r="BJ761" s="0" t="str">
        <f aca="false">IF(ISBLANK(BI761),"Not Mentioned",BI761)</f>
        <v>Yes</v>
      </c>
      <c r="BK761" s="0" t="s">
        <v>50</v>
      </c>
      <c r="BL761" s="0" t="str">
        <f aca="false">PROPER(IF(ISBLANK(BK761),"Not Mentioned",BK761))</f>
        <v>No</v>
      </c>
      <c r="BN761" s="0" t="str">
        <f aca="false">PROPER(IF(ISBLANK(BM761),"Not Mentioned",BM761))</f>
        <v>Not Mentioned</v>
      </c>
      <c r="BO761" s="0" t="s">
        <v>2321</v>
      </c>
      <c r="BP761" s="0" t="str">
        <f aca="false">IF(ISBLANK(BO761),"One-Time Plan",BO761)</f>
        <v>One-Time Plan</v>
      </c>
      <c r="BQ761" s="0" t="s">
        <v>50</v>
      </c>
      <c r="BR761" s="0" t="str">
        <f aca="false">PROPER(IF(ISBLANK(BQ761),"No",BQ761))</f>
        <v>No</v>
      </c>
    </row>
    <row r="762" customFormat="false" ht="15" hidden="false" customHeight="false" outlineLevel="0" collapsed="false">
      <c r="A762" s="0" t="s">
        <v>1816</v>
      </c>
      <c r="B762" s="2" t="n">
        <v>45661</v>
      </c>
      <c r="C762" s="2" t="str">
        <f aca="false">TEXT(B762,"dd/mm/yyyy")</f>
        <v>04/01/2025</v>
      </c>
      <c r="D762" s="0" t="s">
        <v>42</v>
      </c>
      <c r="E762" s="0" t="n">
        <v>8019560913</v>
      </c>
      <c r="F762" s="0" t="s">
        <v>67</v>
      </c>
      <c r="G762" s="0" t="s">
        <v>2316</v>
      </c>
      <c r="H762" s="0" t="s">
        <v>1817</v>
      </c>
      <c r="I762" s="0" t="s">
        <v>87</v>
      </c>
      <c r="J762" s="0" t="s">
        <v>87</v>
      </c>
      <c r="K762" s="3" t="str">
        <f aca="false" t="array" ref="K762:K762">IFERROR(IF(J762&lt;&gt;"",J762,INDEX(J762:J1761,MATCH(1,(F762:F1761=F762)*(I762:I1761=I762)*(L762:L1761=L762)*(J762:J1761&lt;&gt;""),0))),"Not Found")</f>
        <v>Oil Change</v>
      </c>
      <c r="L762" s="3" t="s">
        <v>47</v>
      </c>
      <c r="M762" s="0" t="str">
        <f aca="false">PROPER(L762)</f>
        <v>None</v>
      </c>
      <c r="N762" s="3" t="s">
        <v>109</v>
      </c>
      <c r="O762" s="0" t="str">
        <f aca="false" t="array" ref="O762:O762">IF(N762&lt;&gt;"",N762,_xlfn.xlookup(1,(L762:L1761=L762)*(N762:N1761&lt;&gt;""),N762:N1761,"Not Found"))</f>
        <v>Tijani</v>
      </c>
      <c r="P762" s="4" t="n">
        <v>47572</v>
      </c>
      <c r="Q762" s="0" t="s">
        <v>166</v>
      </c>
      <c r="R762" s="0" t="str">
        <f aca="false">PROPER(Q762)</f>
        <v>Transfer</v>
      </c>
      <c r="S762" s="0" t="s">
        <v>63</v>
      </c>
      <c r="U762" s="5" t="n">
        <f aca="false">IF(ISBLANK(T762),AVERAGE(T762:T1761),T762)</f>
        <v>3.16326530612245</v>
      </c>
      <c r="V762" s="0" t="n">
        <v>4.6</v>
      </c>
      <c r="X762" s="0" t="str">
        <f aca="false">IF(ISBLANK(W762),"No remarks",W762)</f>
        <v>No remarks</v>
      </c>
      <c r="Y762" s="0" t="s">
        <v>93</v>
      </c>
      <c r="Z762" s="0" t="s">
        <v>136</v>
      </c>
      <c r="AA762" s="0" t="str">
        <f aca="false">PROPER(IF(ISBLANK(Z762),"Location Unavailable",Z762))</f>
        <v>Vip Section</v>
      </c>
      <c r="AB762" s="0" t="s">
        <v>54</v>
      </c>
      <c r="AC762" s="6" t="str">
        <f aca="false">PROPER(AB762)</f>
        <v>Mechanic Referral</v>
      </c>
      <c r="AD762" s="6" t="n">
        <v>60</v>
      </c>
      <c r="AE762" s="5" t="n">
        <f aca="false">IF(ISBLANK(AD762),AVERAGEIF(L762:L1761,L762,AD762:AD1761),AD762)</f>
        <v>60</v>
      </c>
      <c r="AF762" s="0" t="s">
        <v>112</v>
      </c>
      <c r="AG762" s="0" t="str">
        <f aca="false">PROPER(AF762)</f>
        <v>Unavailable</v>
      </c>
      <c r="AH762" s="0" t="s">
        <v>148</v>
      </c>
      <c r="AI762" s="0" t="s">
        <v>113</v>
      </c>
      <c r="AJ762" s="0" t="str">
        <f aca="false">PROPER(AI762)</f>
        <v>Normal</v>
      </c>
      <c r="AK762" s="0" t="s">
        <v>196</v>
      </c>
      <c r="AL762" s="0" t="str">
        <f aca="false">PROPER(AK762)</f>
        <v>First Time</v>
      </c>
      <c r="AM762" s="0" t="s">
        <v>2326</v>
      </c>
      <c r="AN762" s="0" t="str">
        <f aca="false">IF(ISBLANK(AM762),"Unknown",AM762)</f>
        <v>Government Convoy</v>
      </c>
      <c r="AO762" s="0" t="s">
        <v>79</v>
      </c>
      <c r="AP762" s="0" t="str">
        <f aca="false">IF(ISBLANK(AO762),"Unknown",AO762)</f>
        <v>Specialist</v>
      </c>
      <c r="AQ762" s="0" t="n">
        <v>15000</v>
      </c>
      <c r="AR762" s="5" t="n">
        <f aca="false">IF(ISBLANK(AQ762),AVERAGEIF(M762:M1761,M762,AQ762:AQ1761),AQ762)</f>
        <v>15000</v>
      </c>
      <c r="AS762" s="0" t="n">
        <v>30000</v>
      </c>
      <c r="AT762" s="5" t="n">
        <f aca="false">IF(ISBLANK(AS762),AVERAGE(AS762:AS1761),AS762)</f>
        <v>30000</v>
      </c>
      <c r="AU762" s="0" t="s">
        <v>50</v>
      </c>
      <c r="AV762" s="0" t="str">
        <f aca="false">PROPER(IF(ISBLANK(AU762),"No",AU762))</f>
        <v>No</v>
      </c>
      <c r="AW762" s="0" t="n">
        <v>5000</v>
      </c>
      <c r="AX762" s="5" t="n">
        <f aca="false">IF(ISBLANK(AW762),0,AW762)</f>
        <v>5000</v>
      </c>
      <c r="AY762" s="0" t="s">
        <v>184</v>
      </c>
      <c r="AZ762" s="0" t="str">
        <f aca="false">UPPER(IF(ISBLANK(AY762),"NONE",AY762))</f>
        <v>N/A</v>
      </c>
      <c r="BA762" s="7" t="s">
        <v>1818</v>
      </c>
      <c r="BB762" s="7" t="str">
        <f aca="false">IF(ISBLANK(BA762),"No Follow Up Needed",BA762)</f>
        <v>14/09/2025</v>
      </c>
      <c r="BC762" s="0" t="s">
        <v>82</v>
      </c>
      <c r="BD762" s="0" t="str">
        <f aca="false">PROPER(IF(ISBLANK(BC762),"Unknown",BC762))</f>
        <v>Yes</v>
      </c>
      <c r="BE762" s="0" t="s">
        <v>171</v>
      </c>
      <c r="BF762" s="0" t="str">
        <f aca="false">IF(ISBLANK(BE762),"No comments",BE762)</f>
        <v>Shock absorber weakening</v>
      </c>
      <c r="BG762" s="0" t="s">
        <v>117</v>
      </c>
      <c r="BH762" s="0" t="str">
        <f aca="false">IF(ISBLANK(BG762),"No comments",BG762)</f>
        <v>Prefers morning</v>
      </c>
      <c r="BJ762" s="0" t="str">
        <f aca="false">IF(ISBLANK(BI762),"Not Mentioned",BI762)</f>
        <v>Not Mentioned</v>
      </c>
      <c r="BK762" s="0" t="s">
        <v>61</v>
      </c>
      <c r="BL762" s="0" t="str">
        <f aca="false">PROPER(IF(ISBLANK(BK762),"Not Mentioned",BK762))</f>
        <v>No</v>
      </c>
      <c r="BN762" s="0" t="str">
        <f aca="false">PROPER(IF(ISBLANK(BM762),"Not Mentioned",BM762))</f>
        <v>Not Mentioned</v>
      </c>
      <c r="BP762" s="0" t="str">
        <f aca="false">IF(ISBLANK(BO762),"One-Time Plan",BO762)</f>
        <v>One-Time Plan</v>
      </c>
      <c r="BQ762" s="0" t="s">
        <v>50</v>
      </c>
      <c r="BR762" s="0" t="str">
        <f aca="false">PROPER(IF(ISBLANK(BQ762),"No",BQ762))</f>
        <v>No</v>
      </c>
    </row>
    <row r="763" customFormat="false" ht="15" hidden="false" customHeight="false" outlineLevel="0" collapsed="false">
      <c r="A763" s="0" t="s">
        <v>1819</v>
      </c>
      <c r="B763" s="2" t="n">
        <v>45699</v>
      </c>
      <c r="C763" s="2" t="str">
        <f aca="false">TEXT(B763,"dd/mm/yyyy")</f>
        <v>11/02/2025</v>
      </c>
      <c r="D763" s="0" t="s">
        <v>42</v>
      </c>
      <c r="E763" s="0" t="n">
        <v>8064866540</v>
      </c>
      <c r="F763" s="0" t="s">
        <v>139</v>
      </c>
      <c r="G763" s="0" t="s">
        <v>2323</v>
      </c>
      <c r="H763" s="0" t="s">
        <v>1820</v>
      </c>
      <c r="I763" s="0" t="s">
        <v>134</v>
      </c>
      <c r="J763" s="0" t="s">
        <v>2317</v>
      </c>
      <c r="K763" s="3" t="str">
        <f aca="false" t="array" ref="K763:K763">IFERROR(IF(J763&lt;&gt;"",J763,INDEX(J763:J1762,MATCH(1,(F763:F1762=F763)*(I763:I1762=I763)*(L763:L1762=L763)*(J763:J1762&lt;&gt;""),0))),"Not Found")</f>
        <v>Suspension Noise</v>
      </c>
      <c r="L763" s="3" t="s">
        <v>189</v>
      </c>
      <c r="M763" s="0" t="str">
        <f aca="false">PROPER(L763)</f>
        <v>Battery</v>
      </c>
      <c r="N763" s="3" t="s">
        <v>48</v>
      </c>
      <c r="O763" s="0" t="str">
        <f aca="false" t="array" ref="O763:O763">IF(N763&lt;&gt;"",N763,_xlfn.xlookup(1,(L763:L1762=L763)*(N763:N1762&lt;&gt;""),N763:N1762,"Not Found"))</f>
        <v>Uche</v>
      </c>
      <c r="P763" s="4" t="n">
        <v>16436</v>
      </c>
      <c r="Q763" s="0" t="s">
        <v>72</v>
      </c>
      <c r="R763" s="0" t="str">
        <f aca="false">PROPER(Q763)</f>
        <v>Pos</v>
      </c>
      <c r="S763" s="0" t="s">
        <v>50</v>
      </c>
      <c r="T763" s="0" t="n">
        <v>5</v>
      </c>
      <c r="U763" s="5" t="n">
        <f aca="false">IF(ISBLANK(T763),AVERAGE(T763:T1762),T763)</f>
        <v>5</v>
      </c>
      <c r="V763" s="0" t="n">
        <v>1.1</v>
      </c>
      <c r="X763" s="0" t="str">
        <f aca="false">IF(ISBLANK(W763),"No remarks",W763)</f>
        <v>No remarks</v>
      </c>
      <c r="Y763" s="0" t="s">
        <v>93</v>
      </c>
      <c r="Z763" s="0" t="s">
        <v>136</v>
      </c>
      <c r="AA763" s="0" t="str">
        <f aca="false">PROPER(IF(ISBLANK(Z763),"Location Unavailable",Z763))</f>
        <v>Vip Section</v>
      </c>
      <c r="AB763" s="0" t="s">
        <v>167</v>
      </c>
      <c r="AC763" s="6" t="str">
        <f aca="false">PROPER(AB763)</f>
        <v>Word Of Mouth</v>
      </c>
      <c r="AD763" s="6" t="n">
        <v>30</v>
      </c>
      <c r="AE763" s="5" t="n">
        <f aca="false">IF(ISBLANK(AD763),AVERAGEIF(L763:L1762,L763,AD763:AD1762),AD763)</f>
        <v>30</v>
      </c>
      <c r="AF763" s="0" t="s">
        <v>96</v>
      </c>
      <c r="AG763" s="0" t="str">
        <f aca="false">PROPER(AF763)</f>
        <v>Ordered</v>
      </c>
      <c r="AH763" s="0" t="s">
        <v>155</v>
      </c>
      <c r="AI763" s="0" t="s">
        <v>113</v>
      </c>
      <c r="AJ763" s="0" t="str">
        <f aca="false">PROPER(AI763)</f>
        <v>Normal</v>
      </c>
      <c r="AK763" s="0" t="s">
        <v>196</v>
      </c>
      <c r="AL763" s="0" t="str">
        <f aca="false">PROPER(AK763)</f>
        <v>First Time</v>
      </c>
      <c r="AM763" s="0" t="s">
        <v>2326</v>
      </c>
      <c r="AN763" s="0" t="str">
        <f aca="false">IF(ISBLANK(AM763),"Unknown",AM763)</f>
        <v>Government Convoy</v>
      </c>
      <c r="AO763" s="0" t="s">
        <v>149</v>
      </c>
      <c r="AP763" s="0" t="str">
        <f aca="false">IF(ISBLANK(AO763),"Unknown",AO763)</f>
        <v>Senior </v>
      </c>
      <c r="AQ763" s="0" t="n">
        <v>25000</v>
      </c>
      <c r="AR763" s="5" t="n">
        <f aca="false">IF(ISBLANK(AQ763),AVERAGEIF(M763:M1762,M763,AQ763:AQ1762),AQ763)</f>
        <v>25000</v>
      </c>
      <c r="AS763" s="0" t="n">
        <v>40000</v>
      </c>
      <c r="AT763" s="5" t="n">
        <f aca="false">IF(ISBLANK(AS763),AVERAGE(AS763:AS1762),AS763)</f>
        <v>40000</v>
      </c>
      <c r="AU763" s="0" t="s">
        <v>61</v>
      </c>
      <c r="AV763" s="0" t="str">
        <f aca="false">PROPER(IF(ISBLANK(AU763),"No",AU763))</f>
        <v>No</v>
      </c>
      <c r="AW763" s="0" t="n">
        <v>5000</v>
      </c>
      <c r="AX763" s="5" t="n">
        <f aca="false">IF(ISBLANK(AW763),0,AW763)</f>
        <v>5000</v>
      </c>
      <c r="AY763" s="0" t="s">
        <v>80</v>
      </c>
      <c r="AZ763" s="0" t="str">
        <f aca="false">UPPER(IF(ISBLANK(AY763),"NONE",AY763))</f>
        <v>PROMO10</v>
      </c>
      <c r="BA763" s="7" t="n">
        <v>45886</v>
      </c>
      <c r="BB763" s="7" t="n">
        <f aca="false">IF(ISBLANK(BA763),"No Follow Up Needed",BA763)</f>
        <v>45886</v>
      </c>
      <c r="BC763" s="0" t="s">
        <v>50</v>
      </c>
      <c r="BD763" s="0" t="str">
        <f aca="false">PROPER(IF(ISBLANK(BC763),"Unknown",BC763))</f>
        <v>No</v>
      </c>
      <c r="BE763" s="0" t="s">
        <v>171</v>
      </c>
      <c r="BF763" s="0" t="str">
        <f aca="false">IF(ISBLANK(BE763),"No comments",BE763)</f>
        <v>Shock absorber weakening</v>
      </c>
      <c r="BH763" s="0" t="str">
        <f aca="false">IF(ISBLANK(BG763),"No comments",BG763)</f>
        <v>No comments</v>
      </c>
      <c r="BJ763" s="0" t="str">
        <f aca="false">IF(ISBLANK(BI763),"Not Mentioned",BI763)</f>
        <v>Not Mentioned</v>
      </c>
      <c r="BK763" s="0" t="s">
        <v>63</v>
      </c>
      <c r="BL763" s="0" t="str">
        <f aca="false">PROPER(IF(ISBLANK(BK763),"Not Mentioned",BK763))</f>
        <v>Yes</v>
      </c>
      <c r="BM763" s="0" t="s">
        <v>63</v>
      </c>
      <c r="BN763" s="0" t="str">
        <f aca="false">PROPER(IF(ISBLANK(BM763),"Not Mentioned",BM763))</f>
        <v>Yes</v>
      </c>
      <c r="BO763" s="0" t="s">
        <v>2318</v>
      </c>
      <c r="BP763" s="0" t="str">
        <f aca="false">IF(ISBLANK(BO763),"One-Time Plan",BO763)</f>
        <v>Gold</v>
      </c>
      <c r="BQ763" s="0" t="s">
        <v>50</v>
      </c>
      <c r="BR763" s="0" t="str">
        <f aca="false">PROPER(IF(ISBLANK(BQ763),"No",BQ763))</f>
        <v>No</v>
      </c>
    </row>
    <row r="764" customFormat="false" ht="15" hidden="false" customHeight="false" outlineLevel="0" collapsed="false">
      <c r="A764" s="0" t="s">
        <v>1821</v>
      </c>
      <c r="B764" s="2" t="n">
        <v>45795</v>
      </c>
      <c r="C764" s="2" t="str">
        <f aca="false">TEXT(B764,"dd/mm/yyyy")</f>
        <v>18/05/2025</v>
      </c>
      <c r="D764" s="0" t="s">
        <v>121</v>
      </c>
      <c r="E764" s="0" t="n">
        <v>8015211257</v>
      </c>
      <c r="F764" s="0" t="s">
        <v>122</v>
      </c>
      <c r="G764" s="0" t="s">
        <v>2316</v>
      </c>
      <c r="H764" s="0" t="s">
        <v>1822</v>
      </c>
      <c r="I764" s="0" t="s">
        <v>134</v>
      </c>
      <c r="K764" s="3" t="str">
        <f aca="false" t="array" ref="K764:K764">IFERROR(IF(J764&lt;&gt;"",J764,INDEX(J764:J1763,MATCH(1,(F764:F1763=F764)*(I764:I1763=I764)*(L764:L1763=L764)*(J764:J1763&lt;&gt;""),0))),"Not Found")</f>
        <v>Not Found</v>
      </c>
      <c r="L764" s="3" t="s">
        <v>108</v>
      </c>
      <c r="M764" s="0" t="str">
        <f aca="false">PROPER(L764)</f>
        <v>Timing Belt</v>
      </c>
      <c r="O764" s="0" t="e">
        <f aca="false" t="array" ref="O764:O764">IF(N764&lt;&gt;"",N764,_xlfn.xlookup(1,(L764:L1763=L764)*(N764:N1763&lt;&gt;""),N764:N1763,"Not Found"))</f>
        <v>#NAME?</v>
      </c>
      <c r="P764" s="4" t="n">
        <v>73572</v>
      </c>
      <c r="Q764" s="0" t="s">
        <v>72</v>
      </c>
      <c r="R764" s="0" t="str">
        <f aca="false">PROPER(Q764)</f>
        <v>Pos</v>
      </c>
      <c r="S764" s="0" t="s">
        <v>63</v>
      </c>
      <c r="T764" s="0" t="n">
        <v>1</v>
      </c>
      <c r="U764" s="5" t="n">
        <f aca="false">IF(ISBLANK(T764),AVERAGE(T764:T1763),T764)</f>
        <v>1</v>
      </c>
      <c r="V764" s="0" t="n">
        <v>5.9</v>
      </c>
      <c r="W764" s="0" t="s">
        <v>125</v>
      </c>
      <c r="X764" s="0" t="str">
        <f aca="false">IF(ISBLANK(W764),"No remarks",W764)</f>
        <v>Customer waited</v>
      </c>
      <c r="Y764" s="0" t="s">
        <v>52</v>
      </c>
      <c r="Z764" s="0" t="s">
        <v>74</v>
      </c>
      <c r="AA764" s="0" t="str">
        <f aca="false">PROPER(IF(ISBLANK(Z764),"Location Unavailable",Z764))</f>
        <v>Under Tree</v>
      </c>
      <c r="AB764" s="0" t="s">
        <v>95</v>
      </c>
      <c r="AC764" s="6" t="str">
        <f aca="false">PROPER(AB764)</f>
        <v>Road Sign</v>
      </c>
      <c r="AD764" s="6" t="n">
        <v>30</v>
      </c>
      <c r="AE764" s="5" t="n">
        <f aca="false">IF(ISBLANK(AD764),AVERAGEIF(L764:L1763,L764,AD764:AD1763),AD764)</f>
        <v>30</v>
      </c>
      <c r="AF764" s="0" t="s">
        <v>76</v>
      </c>
      <c r="AG764" s="0" t="str">
        <f aca="false">PROPER(AF764)</f>
        <v>Orderd</v>
      </c>
      <c r="AH764" s="0" t="s">
        <v>155</v>
      </c>
      <c r="AI764" s="0" t="s">
        <v>98</v>
      </c>
      <c r="AJ764" s="0" t="str">
        <f aca="false">PROPER(AI764)</f>
        <v>Emergency</v>
      </c>
      <c r="AK764" s="0" t="s">
        <v>196</v>
      </c>
      <c r="AL764" s="0" t="str">
        <f aca="false">PROPER(AK764)</f>
        <v>First Time</v>
      </c>
      <c r="AM764" s="0" t="s">
        <v>2324</v>
      </c>
      <c r="AN764" s="0" t="str">
        <f aca="false">IF(ISBLANK(AM764),"Unknown",AM764)</f>
        <v>Logistics Convoy</v>
      </c>
      <c r="AO764" s="0" t="s">
        <v>149</v>
      </c>
      <c r="AP764" s="0" t="str">
        <f aca="false">IF(ISBLANK(AO764),"Unknown",AO764)</f>
        <v>Senior </v>
      </c>
      <c r="AQ764" s="0" t="n">
        <v>40000</v>
      </c>
      <c r="AR764" s="5" t="n">
        <f aca="false">IF(ISBLANK(AQ764),AVERAGEIF(M764:M1763,M764,AQ764:AQ1763),AQ764)</f>
        <v>40000</v>
      </c>
      <c r="AS764" s="0" t="n">
        <v>20000</v>
      </c>
      <c r="AT764" s="5" t="n">
        <f aca="false">IF(ISBLANK(AS764),AVERAGE(AS764:AS1763),AS764)</f>
        <v>20000</v>
      </c>
      <c r="AU764" s="0" t="s">
        <v>63</v>
      </c>
      <c r="AV764" s="0" t="str">
        <f aca="false">PROPER(IF(ISBLANK(AU764),"No",AU764))</f>
        <v>Yes</v>
      </c>
      <c r="AW764" s="0" t="n">
        <v>0</v>
      </c>
      <c r="AX764" s="5" t="n">
        <f aca="false">IF(ISBLANK(AW764),0,AW764)</f>
        <v>0</v>
      </c>
      <c r="AZ764" s="0" t="str">
        <f aca="false">UPPER(IF(ISBLANK(AY764),"NONE",AY764))</f>
        <v>NONE</v>
      </c>
      <c r="BA764" s="7" t="n">
        <v>45914</v>
      </c>
      <c r="BB764" s="7" t="n">
        <f aca="false">IF(ISBLANK(BA764),"No Follow Up Needed",BA764)</f>
        <v>45914</v>
      </c>
      <c r="BC764" s="0" t="s">
        <v>63</v>
      </c>
      <c r="BD764" s="0" t="str">
        <f aca="false">PROPER(IF(ISBLANK(BC764),"Unknown",BC764))</f>
        <v>Yes</v>
      </c>
      <c r="BE764" s="0" t="s">
        <v>116</v>
      </c>
      <c r="BF764" s="0" t="str">
        <f aca="false">IF(ISBLANK(BE764),"No comments",BE764)</f>
        <v>Needs tire alignment</v>
      </c>
      <c r="BG764" s="0" t="s">
        <v>117</v>
      </c>
      <c r="BH764" s="0" t="str">
        <f aca="false">IF(ISBLANK(BG764),"No comments",BG764)</f>
        <v>Prefers morning</v>
      </c>
      <c r="BI764" s="0" t="s">
        <v>50</v>
      </c>
      <c r="BJ764" s="0" t="str">
        <f aca="false">IF(ISBLANK(BI764),"Not Mentioned",BI764)</f>
        <v>No</v>
      </c>
      <c r="BK764" s="0" t="s">
        <v>50</v>
      </c>
      <c r="BL764" s="0" t="str">
        <f aca="false">PROPER(IF(ISBLANK(BK764),"Not Mentioned",BK764))</f>
        <v>No</v>
      </c>
      <c r="BN764" s="0" t="str">
        <f aca="false">PROPER(IF(ISBLANK(BM764),"Not Mentioned",BM764))</f>
        <v>Not Mentioned</v>
      </c>
      <c r="BO764" s="0" t="s">
        <v>64</v>
      </c>
      <c r="BP764" s="0" t="str">
        <f aca="false">IF(ISBLANK(BO764),"One-Time Plan",BO764)</f>
        <v>Gold Maintenance Plan</v>
      </c>
      <c r="BQ764" s="0" t="s">
        <v>50</v>
      </c>
      <c r="BR764" s="0" t="str">
        <f aca="false">PROPER(IF(ISBLANK(BQ764),"No",BQ764))</f>
        <v>No</v>
      </c>
    </row>
    <row r="765" customFormat="false" ht="15" hidden="false" customHeight="false" outlineLevel="0" collapsed="false">
      <c r="A765" s="0" t="s">
        <v>1823</v>
      </c>
      <c r="B765" s="2" t="n">
        <v>45697</v>
      </c>
      <c r="C765" s="2" t="str">
        <f aca="false">TEXT(B765,"dd/mm/yyyy")</f>
        <v>09/02/2025</v>
      </c>
      <c r="D765" s="0" t="s">
        <v>163</v>
      </c>
      <c r="E765" s="0" t="n">
        <v>8026707088</v>
      </c>
      <c r="F765" s="0" t="s">
        <v>139</v>
      </c>
      <c r="G765" s="0" t="s">
        <v>2323</v>
      </c>
      <c r="H765" s="0" t="s">
        <v>1824</v>
      </c>
      <c r="I765" s="0" t="s">
        <v>69</v>
      </c>
      <c r="J765" s="0" t="s">
        <v>2325</v>
      </c>
      <c r="K765" s="3" t="str">
        <f aca="false" t="array" ref="K765:K765">IFERROR(IF(J765&lt;&gt;"",J765,INDEX(J765:J1764,MATCH(1,(F765:F1764=F765)*(I765:I1764=I765)*(L765:L1764=L765)*(J765:J1764&lt;&gt;""),0))),"Not Found")</f>
        <v>Engine Knocking</v>
      </c>
      <c r="L765" s="3" t="s">
        <v>142</v>
      </c>
      <c r="M765" s="0" t="str">
        <f aca="false">PROPER(L765)</f>
        <v>Oil Filter, Brake Pads</v>
      </c>
      <c r="O765" s="0" t="e">
        <f aca="false" t="array" ref="O765:O765">IF(N765&lt;&gt;"",N765,_xlfn.xlookup(1,(L765:L1764=L765)*(N765:N1764&lt;&gt;""),N765:N1764,"Not Found"))</f>
        <v>#NAME?</v>
      </c>
      <c r="P765" s="4" t="n">
        <v>72900</v>
      </c>
      <c r="Q765" s="0" t="s">
        <v>72</v>
      </c>
      <c r="R765" s="0" t="str">
        <f aca="false">PROPER(Q765)</f>
        <v>Pos</v>
      </c>
      <c r="S765" s="0" t="s">
        <v>50</v>
      </c>
      <c r="T765" s="0" t="n">
        <v>1</v>
      </c>
      <c r="U765" s="5" t="n">
        <f aca="false">IF(ISBLANK(T765),AVERAGE(T765:T1764),T765)</f>
        <v>1</v>
      </c>
      <c r="V765" s="0" t="n">
        <v>1.7</v>
      </c>
      <c r="W765" s="0" t="s">
        <v>111</v>
      </c>
      <c r="X765" s="0" t="str">
        <f aca="false">IF(ISBLANK(W765),"No remarks",W765)</f>
        <v>Changed all filters</v>
      </c>
      <c r="Y765" s="0" t="s">
        <v>73</v>
      </c>
      <c r="Z765" s="0" t="s">
        <v>136</v>
      </c>
      <c r="AA765" s="0" t="str">
        <f aca="false">PROPER(IF(ISBLANK(Z765),"Location Unavailable",Z765))</f>
        <v>Vip Section</v>
      </c>
      <c r="AB765" s="0" t="s">
        <v>126</v>
      </c>
      <c r="AC765" s="6" t="str">
        <f aca="false">PROPER(AB765)</f>
        <v>Whatsapp</v>
      </c>
      <c r="AD765" s="6" t="n">
        <v>30</v>
      </c>
      <c r="AE765" s="5" t="n">
        <f aca="false">IF(ISBLANK(AD765),AVERAGEIF(L765:L1764,L765,AD765:AD1764),AD765)</f>
        <v>30</v>
      </c>
      <c r="AF765" s="0" t="s">
        <v>160</v>
      </c>
      <c r="AG765" s="0" t="str">
        <f aca="false">PROPER(AF765)</f>
        <v>Availaible</v>
      </c>
      <c r="AH765" s="0" t="s">
        <v>148</v>
      </c>
      <c r="AI765" s="0" t="s">
        <v>113</v>
      </c>
      <c r="AJ765" s="0" t="str">
        <f aca="false">PROPER(AI765)</f>
        <v>Normal</v>
      </c>
      <c r="AK765" s="0" t="s">
        <v>99</v>
      </c>
      <c r="AL765" s="0" t="str">
        <f aca="false">PROPER(AK765)</f>
        <v>Uber Driver</v>
      </c>
      <c r="AM765" s="0" t="s">
        <v>59</v>
      </c>
      <c r="AN765" s="0" t="str">
        <f aca="false">IF(ISBLANK(AM765),"Unknown",AM765)</f>
        <v>Bolt Driver</v>
      </c>
      <c r="AO765" s="0" t="s">
        <v>143</v>
      </c>
      <c r="AP765" s="0" t="str">
        <f aca="false">IF(ISBLANK(AO765),"Unknown",AO765)</f>
        <v>Senior</v>
      </c>
      <c r="AQ765" s="0" t="n">
        <v>25000</v>
      </c>
      <c r="AR765" s="5" t="n">
        <f aca="false">IF(ISBLANK(AQ765),AVERAGEIF(M765:M1764,M765,AQ765:AQ1764),AQ765)</f>
        <v>25000</v>
      </c>
      <c r="AS765" s="0" t="n">
        <v>30000</v>
      </c>
      <c r="AT765" s="5" t="n">
        <f aca="false">IF(ISBLANK(AS765),AVERAGE(AS765:AS1764),AS765)</f>
        <v>30000</v>
      </c>
      <c r="AU765" s="0" t="s">
        <v>50</v>
      </c>
      <c r="AV765" s="0" t="str">
        <f aca="false">PROPER(IF(ISBLANK(AU765),"No",AU765))</f>
        <v>No</v>
      </c>
      <c r="AW765" s="0" t="n">
        <v>5000</v>
      </c>
      <c r="AX765" s="5" t="n">
        <f aca="false">IF(ISBLANK(AW765),0,AW765)</f>
        <v>5000</v>
      </c>
      <c r="AY765" s="0" t="s">
        <v>130</v>
      </c>
      <c r="AZ765" s="0" t="str">
        <f aca="false">UPPER(IF(ISBLANK(AY765),"NONE",AY765))</f>
        <v>LOYALTY10</v>
      </c>
      <c r="BB765" s="7" t="str">
        <f aca="false">IF(ISBLANK(BA765),"No Follow Up Needed",BA765)</f>
        <v>No Follow Up Needed</v>
      </c>
      <c r="BC765" s="0" t="s">
        <v>82</v>
      </c>
      <c r="BD765" s="0" t="str">
        <f aca="false">PROPER(IF(ISBLANK(BC765),"Unknown",BC765))</f>
        <v>Yes</v>
      </c>
      <c r="BE765" s="0" t="s">
        <v>171</v>
      </c>
      <c r="BF765" s="0" t="str">
        <f aca="false">IF(ISBLANK(BE765),"No comments",BE765)</f>
        <v>Shock absorber weakening</v>
      </c>
      <c r="BG765" s="0" t="s">
        <v>172</v>
      </c>
      <c r="BH765" s="0" t="str">
        <f aca="false">IF(ISBLANK(BG765),"No comments",BG765)</f>
        <v>Always late</v>
      </c>
      <c r="BI765" s="0" t="s">
        <v>50</v>
      </c>
      <c r="BJ765" s="0" t="str">
        <f aca="false">IF(ISBLANK(BI765),"Not Mentioned",BI765)</f>
        <v>No</v>
      </c>
      <c r="BK765" s="0" t="s">
        <v>61</v>
      </c>
      <c r="BL765" s="0" t="str">
        <f aca="false">PROPER(IF(ISBLANK(BK765),"Not Mentioned",BK765))</f>
        <v>No</v>
      </c>
      <c r="BM765" s="0" t="s">
        <v>50</v>
      </c>
      <c r="BN765" s="0" t="str">
        <f aca="false">PROPER(IF(ISBLANK(BM765),"Not Mentioned",BM765))</f>
        <v>No</v>
      </c>
      <c r="BO765" s="0" t="s">
        <v>2321</v>
      </c>
      <c r="BP765" s="0" t="str">
        <f aca="false">IF(ISBLANK(BO765),"One-Time Plan",BO765)</f>
        <v>One-Time Plan</v>
      </c>
      <c r="BR765" s="0" t="str">
        <f aca="false">PROPER(IF(ISBLANK(BQ765),"No",BQ765))</f>
        <v>No</v>
      </c>
    </row>
    <row r="766" customFormat="false" ht="15" hidden="false" customHeight="false" outlineLevel="0" collapsed="false">
      <c r="A766" s="0" t="s">
        <v>1825</v>
      </c>
      <c r="B766" s="2" t="n">
        <v>45668</v>
      </c>
      <c r="C766" s="2" t="str">
        <f aca="false">TEXT(B766,"dd/mm/yyyy")</f>
        <v>11/01/2025</v>
      </c>
      <c r="D766" s="0" t="s">
        <v>66</v>
      </c>
      <c r="E766" s="0" t="n">
        <v>8061650472</v>
      </c>
      <c r="F766" s="0" t="s">
        <v>67</v>
      </c>
      <c r="G766" s="0" t="s">
        <v>2316</v>
      </c>
      <c r="H766" s="0" t="s">
        <v>1826</v>
      </c>
      <c r="I766" s="0" t="s">
        <v>134</v>
      </c>
      <c r="J766" s="0" t="s">
        <v>87</v>
      </c>
      <c r="K766" s="3" t="str">
        <f aca="false" t="array" ref="K766:K766">IFERROR(IF(J766&lt;&gt;"",J766,INDEX(J766:J1765,MATCH(1,(F766:F1765=F766)*(I766:I1765=I766)*(L766:L1765=L766)*(J766:J1765&lt;&gt;""),0))),"Not Found")</f>
        <v>Oil Change</v>
      </c>
      <c r="L766" s="3" t="s">
        <v>89</v>
      </c>
      <c r="M766" s="0" t="str">
        <f aca="false">PROPER(L766)</f>
        <v>Shock Absorbers</v>
      </c>
      <c r="N766" s="3" t="s">
        <v>48</v>
      </c>
      <c r="O766" s="0" t="str">
        <f aca="false" t="array" ref="O766:O766">IF(N766&lt;&gt;"",N766,_xlfn.xlookup(1,(L766:L1765=L766)*(N766:N1765&lt;&gt;""),N766:N1765,"Not Found"))</f>
        <v>Uche</v>
      </c>
      <c r="P766" s="4" t="n">
        <v>84844</v>
      </c>
      <c r="Q766" s="0" t="s">
        <v>124</v>
      </c>
      <c r="R766" s="0" t="str">
        <f aca="false">PROPER(Q766)</f>
        <v>Cash</v>
      </c>
      <c r="S766" s="0" t="s">
        <v>63</v>
      </c>
      <c r="T766" s="0" t="n">
        <v>2</v>
      </c>
      <c r="U766" s="5" t="n">
        <f aca="false">IF(ISBLANK(T766),AVERAGE(T766:T1765),T766)</f>
        <v>2</v>
      </c>
      <c r="V766" s="0" t="n">
        <v>5.7</v>
      </c>
      <c r="W766" s="0" t="s">
        <v>92</v>
      </c>
      <c r="X766" s="0" t="str">
        <f aca="false">IF(ISBLANK(W766),"No remarks",W766)</f>
        <v>Urgent service</v>
      </c>
      <c r="Y766" s="0" t="s">
        <v>52</v>
      </c>
      <c r="Z766" s="0" t="s">
        <v>136</v>
      </c>
      <c r="AA766" s="0" t="str">
        <f aca="false">PROPER(IF(ISBLANK(Z766),"Location Unavailable",Z766))</f>
        <v>Vip Section</v>
      </c>
      <c r="AB766" s="0" t="s">
        <v>147</v>
      </c>
      <c r="AC766" s="6" t="str">
        <f aca="false">PROPER(AB766)</f>
        <v>Instagram</v>
      </c>
      <c r="AD766" s="6" t="n">
        <v>60</v>
      </c>
      <c r="AE766" s="5" t="n">
        <f aca="false">IF(ISBLANK(AD766),AVERAGEIF(L766:L1765,L766,AD766:AD1765),AD766)</f>
        <v>60</v>
      </c>
      <c r="AF766" s="0" t="s">
        <v>96</v>
      </c>
      <c r="AG766" s="0" t="str">
        <f aca="false">PROPER(AF766)</f>
        <v>Ordered</v>
      </c>
      <c r="AH766" s="0" t="s">
        <v>148</v>
      </c>
      <c r="AI766" s="0" t="s">
        <v>113</v>
      </c>
      <c r="AJ766" s="0" t="str">
        <f aca="false">PROPER(AI766)</f>
        <v>Normal</v>
      </c>
      <c r="AK766" s="0" t="s">
        <v>196</v>
      </c>
      <c r="AL766" s="0" t="str">
        <f aca="false">PROPER(AK766)</f>
        <v>First Time</v>
      </c>
      <c r="AM766" s="0" t="s">
        <v>59</v>
      </c>
      <c r="AN766" s="0" t="str">
        <f aca="false">IF(ISBLANK(AM766),"Unknown",AM766)</f>
        <v>Bolt Driver</v>
      </c>
      <c r="AO766" s="0" t="s">
        <v>143</v>
      </c>
      <c r="AP766" s="0" t="str">
        <f aca="false">IF(ISBLANK(AO766),"Unknown",AO766)</f>
        <v>Senior</v>
      </c>
      <c r="AQ766" s="0" t="n">
        <v>25000</v>
      </c>
      <c r="AR766" s="5" t="n">
        <f aca="false">IF(ISBLANK(AQ766),AVERAGEIF(M766:M1765,M766,AQ766:AQ1765),AQ766)</f>
        <v>25000</v>
      </c>
      <c r="AS766" s="0" t="n">
        <v>30000</v>
      </c>
      <c r="AT766" s="5" t="n">
        <f aca="false">IF(ISBLANK(AS766),AVERAGE(AS766:AS1765),AS766)</f>
        <v>30000</v>
      </c>
      <c r="AU766" s="0" t="s">
        <v>82</v>
      </c>
      <c r="AV766" s="0" t="str">
        <f aca="false">PROPER(IF(ISBLANK(AU766),"No",AU766))</f>
        <v>Yes</v>
      </c>
      <c r="AW766" s="0" t="n">
        <v>5000</v>
      </c>
      <c r="AX766" s="5" t="n">
        <f aca="false">IF(ISBLANK(AW766),0,AW766)</f>
        <v>5000</v>
      </c>
      <c r="AY766" s="0" t="s">
        <v>80</v>
      </c>
      <c r="AZ766" s="0" t="str">
        <f aca="false">UPPER(IF(ISBLANK(AY766),"NONE",AY766))</f>
        <v>PROMO10</v>
      </c>
      <c r="BB766" s="7" t="str">
        <f aca="false">IF(ISBLANK(BA766),"No Follow Up Needed",BA766)</f>
        <v>No Follow Up Needed</v>
      </c>
      <c r="BC766" s="0" t="s">
        <v>63</v>
      </c>
      <c r="BD766" s="0" t="str">
        <f aca="false">PROPER(IF(ISBLANK(BC766),"Unknown",BC766))</f>
        <v>Yes</v>
      </c>
      <c r="BE766" s="0" t="s">
        <v>116</v>
      </c>
      <c r="BF766" s="0" t="str">
        <f aca="false">IF(ISBLANK(BE766),"No comments",BE766)</f>
        <v>Needs tire alignment</v>
      </c>
      <c r="BG766" s="0" t="s">
        <v>2320</v>
      </c>
      <c r="BH766" s="0" t="str">
        <f aca="false">IF(ISBLANK(BG766),"No comments",BG766)</f>
        <v>No complaints</v>
      </c>
      <c r="BJ766" s="0" t="str">
        <f aca="false">IF(ISBLANK(BI766),"Not Mentioned",BI766)</f>
        <v>Not Mentioned</v>
      </c>
      <c r="BK766" s="0" t="s">
        <v>61</v>
      </c>
      <c r="BL766" s="0" t="str">
        <f aca="false">PROPER(IF(ISBLANK(BK766),"Not Mentioned",BK766))</f>
        <v>No</v>
      </c>
      <c r="BM766" s="0" t="s">
        <v>50</v>
      </c>
      <c r="BN766" s="0" t="str">
        <f aca="false">PROPER(IF(ISBLANK(BM766),"Not Mentioned",BM766))</f>
        <v>No</v>
      </c>
      <c r="BO766" s="0" t="s">
        <v>2318</v>
      </c>
      <c r="BP766" s="0" t="str">
        <f aca="false">IF(ISBLANK(BO766),"One-Time Plan",BO766)</f>
        <v>Gold</v>
      </c>
      <c r="BQ766" s="0" t="s">
        <v>190</v>
      </c>
      <c r="BR766" s="0" t="str">
        <f aca="false">PROPER(IF(ISBLANK(BQ766),"No",BQ766))</f>
        <v>Yes</v>
      </c>
    </row>
    <row r="767" customFormat="false" ht="15" hidden="false" customHeight="false" outlineLevel="0" collapsed="false">
      <c r="A767" s="0" t="s">
        <v>1827</v>
      </c>
      <c r="B767" s="2" t="n">
        <v>45770</v>
      </c>
      <c r="C767" s="2" t="str">
        <f aca="false">TEXT(B767,"dd/mm/yyyy")</f>
        <v>23/04/2025</v>
      </c>
      <c r="D767" s="0" t="s">
        <v>105</v>
      </c>
      <c r="E767" s="0" t="n">
        <v>8085914700</v>
      </c>
      <c r="F767" s="0" t="s">
        <v>139</v>
      </c>
      <c r="G767" s="0" t="s">
        <v>2323</v>
      </c>
      <c r="H767" s="0" t="s">
        <v>1644</v>
      </c>
      <c r="I767" s="0" t="s">
        <v>45</v>
      </c>
      <c r="J767" s="0" t="s">
        <v>2322</v>
      </c>
      <c r="K767" s="3" t="str">
        <f aca="false" t="array" ref="K767:K767">IFERROR(IF(J767&lt;&gt;"",J767,INDEX(J767:J1766,MATCH(1,(F767:F1766=F767)*(I767:I1766=I767)*(L767:L1766=L767)*(J767:J1766&lt;&gt;""),0))),"Not Found")</f>
        <v>Brake Failure</v>
      </c>
      <c r="L767" s="3" t="s">
        <v>108</v>
      </c>
      <c r="M767" s="0" t="str">
        <f aca="false">PROPER(L767)</f>
        <v>Timing Belt</v>
      </c>
      <c r="N767" s="3" t="s">
        <v>71</v>
      </c>
      <c r="O767" s="0" t="str">
        <f aca="false" t="array" ref="O767:O767">IF(N767&lt;&gt;"",N767,_xlfn.xlookup(1,(L767:L1766=L767)*(N767:N1766&lt;&gt;""),N767:N1766,"Not Found"))</f>
        <v>Isaac Bobo</v>
      </c>
      <c r="P767" s="4" t="n">
        <v>44887</v>
      </c>
      <c r="Q767" s="0" t="s">
        <v>49</v>
      </c>
      <c r="R767" s="0" t="str">
        <f aca="false">PROPER(Q767)</f>
        <v>Transfer</v>
      </c>
      <c r="S767" s="0" t="s">
        <v>63</v>
      </c>
      <c r="T767" s="0" t="n">
        <v>4</v>
      </c>
      <c r="U767" s="5" t="n">
        <f aca="false">IF(ISBLANK(T767),AVERAGE(T767:T1766),T767)</f>
        <v>4</v>
      </c>
      <c r="V767" s="0" t="n">
        <v>5.1</v>
      </c>
      <c r="W767" s="0" t="s">
        <v>111</v>
      </c>
      <c r="X767" s="0" t="str">
        <f aca="false">IF(ISBLANK(W767),"No remarks",W767)</f>
        <v>Changed all filters</v>
      </c>
      <c r="Y767" s="0" t="s">
        <v>93</v>
      </c>
      <c r="AA767" s="0" t="str">
        <f aca="false">PROPER(IF(ISBLANK(Z767),"Location Unavailable",Z767))</f>
        <v>Location Unavailable</v>
      </c>
      <c r="AB767" s="0" t="s">
        <v>75</v>
      </c>
      <c r="AC767" s="6" t="str">
        <f aca="false">PROPER(AB767)</f>
        <v>Mechanik Referal</v>
      </c>
      <c r="AD767" s="6" t="n">
        <v>30</v>
      </c>
      <c r="AE767" s="5" t="n">
        <f aca="false">IF(ISBLANK(AD767),AVERAGEIF(L767:L1766,L767,AD767:AD1766),AD767)</f>
        <v>30</v>
      </c>
      <c r="AF767" s="0" t="s">
        <v>96</v>
      </c>
      <c r="AG767" s="0" t="str">
        <f aca="false">PROPER(AF767)</f>
        <v>Ordered</v>
      </c>
      <c r="AH767" s="0" t="s">
        <v>155</v>
      </c>
      <c r="AI767" s="0" t="s">
        <v>78</v>
      </c>
      <c r="AJ767" s="0" t="str">
        <f aca="false">PROPER(AI767)</f>
        <v>Booking</v>
      </c>
      <c r="AK767" s="0" t="s">
        <v>196</v>
      </c>
      <c r="AL767" s="0" t="str">
        <f aca="false">PROPER(AK767)</f>
        <v>First Time</v>
      </c>
      <c r="AN767" s="0" t="str">
        <f aca="false">IF(ISBLANK(AM767),"Unknown",AM767)</f>
        <v>Unknown</v>
      </c>
      <c r="AP767" s="0" t="str">
        <f aca="false">IF(ISBLANK(AO767),"Unknown",AO767)</f>
        <v>Unknown</v>
      </c>
      <c r="AQ767" s="0" t="n">
        <v>15000</v>
      </c>
      <c r="AR767" s="5" t="n">
        <f aca="false">IF(ISBLANK(AQ767),AVERAGEIF(M767:M1766,M767,AQ767:AQ1766),AQ767)</f>
        <v>15000</v>
      </c>
      <c r="AT767" s="5" t="n">
        <f aca="false">IF(ISBLANK(AS767),AVERAGE(AS767:AS1766),AS767)</f>
        <v>31345.1776649746</v>
      </c>
      <c r="AU767" s="0" t="s">
        <v>63</v>
      </c>
      <c r="AV767" s="0" t="str">
        <f aca="false">PROPER(IF(ISBLANK(AU767),"No",AU767))</f>
        <v>Yes</v>
      </c>
      <c r="AW767" s="0" t="n">
        <v>5000</v>
      </c>
      <c r="AX767" s="5" t="n">
        <f aca="false">IF(ISBLANK(AW767),0,AW767)</f>
        <v>5000</v>
      </c>
      <c r="AY767" s="0" t="s">
        <v>80</v>
      </c>
      <c r="AZ767" s="0" t="str">
        <f aca="false">UPPER(IF(ISBLANK(AY767),"NONE",AY767))</f>
        <v>PROMO10</v>
      </c>
      <c r="BA767" s="7" t="n">
        <v>45939</v>
      </c>
      <c r="BB767" s="7" t="n">
        <f aca="false">IF(ISBLANK(BA767),"No Follow Up Needed",BA767)</f>
        <v>45939</v>
      </c>
      <c r="BC767" s="0" t="s">
        <v>82</v>
      </c>
      <c r="BD767" s="0" t="str">
        <f aca="false">PROPER(IF(ISBLANK(BC767),"Unknown",BC767))</f>
        <v>Yes</v>
      </c>
      <c r="BE767" s="0" t="s">
        <v>171</v>
      </c>
      <c r="BF767" s="0" t="str">
        <f aca="false">IF(ISBLANK(BE767),"No comments",BE767)</f>
        <v>Shock absorber weakening</v>
      </c>
      <c r="BH767" s="0" t="str">
        <f aca="false">IF(ISBLANK(BG767),"No comments",BG767)</f>
        <v>No comments</v>
      </c>
      <c r="BI767" s="0" t="s">
        <v>63</v>
      </c>
      <c r="BJ767" s="0" t="str">
        <f aca="false">IF(ISBLANK(BI767),"Not Mentioned",BI767)</f>
        <v>Yes</v>
      </c>
      <c r="BL767" s="0" t="str">
        <f aca="false">PROPER(IF(ISBLANK(BK767),"Not Mentioned",BK767))</f>
        <v>Not Mentioned</v>
      </c>
      <c r="BN767" s="0" t="str">
        <f aca="false">PROPER(IF(ISBLANK(BM767),"Not Mentioned",BM767))</f>
        <v>Not Mentioned</v>
      </c>
      <c r="BO767" s="0" t="s">
        <v>2318</v>
      </c>
      <c r="BP767" s="0" t="str">
        <f aca="false">IF(ISBLANK(BO767),"One-Time Plan",BO767)</f>
        <v>Gold</v>
      </c>
      <c r="BQ767" s="0" t="s">
        <v>63</v>
      </c>
      <c r="BR767" s="0" t="str">
        <f aca="false">PROPER(IF(ISBLANK(BQ767),"No",BQ767))</f>
        <v>Yes</v>
      </c>
    </row>
    <row r="768" customFormat="false" ht="15" hidden="false" customHeight="false" outlineLevel="0" collapsed="false">
      <c r="A768" s="0" t="s">
        <v>1828</v>
      </c>
      <c r="B768" s="2" t="n">
        <v>45666</v>
      </c>
      <c r="C768" s="2" t="str">
        <f aca="false">TEXT(B768,"dd/mm/yyyy")</f>
        <v>09/01/2025</v>
      </c>
      <c r="D768" s="0" t="s">
        <v>42</v>
      </c>
      <c r="E768" s="0" t="n">
        <v>8031791910</v>
      </c>
      <c r="F768" s="0" t="s">
        <v>67</v>
      </c>
      <c r="G768" s="0" t="s">
        <v>2316</v>
      </c>
      <c r="H768" s="0" t="s">
        <v>1829</v>
      </c>
      <c r="I768" s="0" t="s">
        <v>107</v>
      </c>
      <c r="J768" s="0" t="s">
        <v>87</v>
      </c>
      <c r="K768" s="3" t="str">
        <f aca="false" t="array" ref="K768:K768">IFERROR(IF(J768&lt;&gt;"",J768,INDEX(J768:J1767,MATCH(1,(F768:F1767=F768)*(I768:I1767=I768)*(L768:L1767=L768)*(J768:J1767&lt;&gt;""),0))),"Not Found")</f>
        <v>Oil Change</v>
      </c>
      <c r="L768" s="3" t="s">
        <v>47</v>
      </c>
      <c r="M768" s="0" t="str">
        <f aca="false">PROPER(L768)</f>
        <v>None</v>
      </c>
      <c r="N768" s="3" t="s">
        <v>109</v>
      </c>
      <c r="O768" s="0" t="str">
        <f aca="false" t="array" ref="O768:O768">IF(N768&lt;&gt;"",N768,_xlfn.xlookup(1,(L768:L1767=L768)*(N768:N1767&lt;&gt;""),N768:N1767,"Not Found"))</f>
        <v>Tijani</v>
      </c>
      <c r="P768" s="4" t="n">
        <v>42537</v>
      </c>
      <c r="Q768" s="0" t="s">
        <v>124</v>
      </c>
      <c r="R768" s="0" t="str">
        <f aca="false">PROPER(Q768)</f>
        <v>Cash</v>
      </c>
      <c r="S768" s="0" t="s">
        <v>63</v>
      </c>
      <c r="T768" s="0" t="n">
        <v>4</v>
      </c>
      <c r="U768" s="5" t="n">
        <f aca="false">IF(ISBLANK(T768),AVERAGE(T768:T1767),T768)</f>
        <v>4</v>
      </c>
      <c r="V768" s="0" t="n">
        <v>2.8</v>
      </c>
      <c r="X768" s="0" t="str">
        <f aca="false">IF(ISBLANK(W768),"No remarks",W768)</f>
        <v>No remarks</v>
      </c>
      <c r="Y768" s="0" t="s">
        <v>73</v>
      </c>
      <c r="Z768" s="0" t="s">
        <v>136</v>
      </c>
      <c r="AA768" s="0" t="str">
        <f aca="false">PROPER(IF(ISBLANK(Z768),"Location Unavailable",Z768))</f>
        <v>Vip Section</v>
      </c>
      <c r="AB768" s="0" t="s">
        <v>126</v>
      </c>
      <c r="AC768" s="6" t="str">
        <f aca="false">PROPER(AB768)</f>
        <v>Whatsapp</v>
      </c>
      <c r="AD768" s="6" t="n">
        <v>45</v>
      </c>
      <c r="AE768" s="5" t="n">
        <f aca="false">IF(ISBLANK(AD768),AVERAGEIF(L768:L1767,L768,AD768:AD1767),AD768)</f>
        <v>45</v>
      </c>
      <c r="AF768" s="0" t="s">
        <v>96</v>
      </c>
      <c r="AG768" s="0" t="str">
        <f aca="false">PROPER(AF768)</f>
        <v>Ordered</v>
      </c>
      <c r="AH768" s="0" t="s">
        <v>155</v>
      </c>
      <c r="AI768" s="0" t="s">
        <v>98</v>
      </c>
      <c r="AJ768" s="0" t="str">
        <f aca="false">PROPER(AI768)</f>
        <v>Emergency</v>
      </c>
      <c r="AK768" s="0" t="s">
        <v>58</v>
      </c>
      <c r="AL768" s="0" t="str">
        <f aca="false">PROPER(AK768)</f>
        <v>Fleet Owner</v>
      </c>
      <c r="AM768" s="0" t="s">
        <v>177</v>
      </c>
      <c r="AN768" s="0" t="str">
        <f aca="false">IF(ISBLANK(AM768),"Unknown",AM768)</f>
        <v>Private</v>
      </c>
      <c r="AO768" s="0" t="s">
        <v>143</v>
      </c>
      <c r="AP768" s="0" t="str">
        <f aca="false">IF(ISBLANK(AO768),"Unknown",AO768)</f>
        <v>Senior</v>
      </c>
      <c r="AQ768" s="0" t="n">
        <v>20000</v>
      </c>
      <c r="AR768" s="5" t="n">
        <f aca="false">IF(ISBLANK(AQ768),AVERAGEIF(M768:M1767,M768,AQ768:AQ1767),AQ768)</f>
        <v>20000</v>
      </c>
      <c r="AT768" s="5" t="n">
        <f aca="false">IF(ISBLANK(AS768),AVERAGE(AS768:AS1767),AS768)</f>
        <v>31345.1776649746</v>
      </c>
      <c r="AU768" s="0" t="s">
        <v>61</v>
      </c>
      <c r="AV768" s="0" t="str">
        <f aca="false">PROPER(IF(ISBLANK(AU768),"No",AU768))</f>
        <v>No</v>
      </c>
      <c r="AW768" s="0" t="n">
        <v>5000</v>
      </c>
      <c r="AX768" s="5" t="n">
        <f aca="false">IF(ISBLANK(AW768),0,AW768)</f>
        <v>5000</v>
      </c>
      <c r="AY768" s="0" t="s">
        <v>80</v>
      </c>
      <c r="AZ768" s="0" t="str">
        <f aca="false">UPPER(IF(ISBLANK(AY768),"NONE",AY768))</f>
        <v>PROMO10</v>
      </c>
      <c r="BA768" s="7" t="n">
        <v>45849</v>
      </c>
      <c r="BB768" s="7" t="n">
        <f aca="false">IF(ISBLANK(BA768),"No Follow Up Needed",BA768)</f>
        <v>45849</v>
      </c>
      <c r="BC768" s="0" t="s">
        <v>50</v>
      </c>
      <c r="BD768" s="0" t="str">
        <f aca="false">PROPER(IF(ISBLANK(BC768),"Unknown",BC768))</f>
        <v>No</v>
      </c>
      <c r="BF768" s="0" t="str">
        <f aca="false">IF(ISBLANK(BE768),"No comments",BE768)</f>
        <v>No comments</v>
      </c>
      <c r="BH768" s="0" t="str">
        <f aca="false">IF(ISBLANK(BG768),"No comments",BG768)</f>
        <v>No comments</v>
      </c>
      <c r="BI768" s="0" t="s">
        <v>50</v>
      </c>
      <c r="BJ768" s="0" t="str">
        <f aca="false">IF(ISBLANK(BI768),"Not Mentioned",BI768)</f>
        <v>No</v>
      </c>
      <c r="BL768" s="0" t="str">
        <f aca="false">PROPER(IF(ISBLANK(BK768),"Not Mentioned",BK768))</f>
        <v>Not Mentioned</v>
      </c>
      <c r="BM768" s="0" t="s">
        <v>63</v>
      </c>
      <c r="BN768" s="0" t="str">
        <f aca="false">PROPER(IF(ISBLANK(BM768),"Not Mentioned",BM768))</f>
        <v>Yes</v>
      </c>
      <c r="BP768" s="0" t="str">
        <f aca="false">IF(ISBLANK(BO768),"One-Time Plan",BO768)</f>
        <v>One-Time Plan</v>
      </c>
      <c r="BR768" s="0" t="str">
        <f aca="false">PROPER(IF(ISBLANK(BQ768),"No",BQ768))</f>
        <v>No</v>
      </c>
    </row>
    <row r="769" customFormat="false" ht="15" hidden="false" customHeight="false" outlineLevel="0" collapsed="false">
      <c r="A769" s="0" t="s">
        <v>1830</v>
      </c>
      <c r="B769" s="2" t="s">
        <v>305</v>
      </c>
      <c r="C769" s="2" t="str">
        <f aca="false">TEXT(B769,"dd/mm/yyyy")</f>
        <v>30/03/2025</v>
      </c>
      <c r="D769" s="0" t="s">
        <v>42</v>
      </c>
      <c r="E769" s="0" t="n">
        <v>8036068867</v>
      </c>
      <c r="F769" s="0" t="s">
        <v>67</v>
      </c>
      <c r="G769" s="0" t="s">
        <v>2316</v>
      </c>
      <c r="H769" s="0" t="s">
        <v>1831</v>
      </c>
      <c r="I769" s="0" t="s">
        <v>134</v>
      </c>
      <c r="J769" s="0" t="s">
        <v>2322</v>
      </c>
      <c r="K769" s="3" t="str">
        <f aca="false" t="array" ref="K769:K769">IFERROR(IF(J769&lt;&gt;"",J769,INDEX(J769:J1768,MATCH(1,(F769:F1768=F769)*(I769:I1768=I769)*(L769:L1768=L769)*(J769:J1768&lt;&gt;""),0))),"Not Found")</f>
        <v>Brake Failure</v>
      </c>
      <c r="L769" s="3" t="s">
        <v>47</v>
      </c>
      <c r="M769" s="0" t="str">
        <f aca="false">PROPER(L769)</f>
        <v>None</v>
      </c>
      <c r="O769" s="0" t="e">
        <f aca="false" t="array" ref="O769:O769">IF(N769&lt;&gt;"",N769,_xlfn.xlookup(1,(L769:L1768=L769)*(N769:N1768&lt;&gt;""),N769:N1768,"Not Found"))</f>
        <v>#NAME?</v>
      </c>
      <c r="P769" s="4" t="n">
        <v>40578</v>
      </c>
      <c r="Q769" s="0" t="s">
        <v>72</v>
      </c>
      <c r="R769" s="0" t="str">
        <f aca="false">PROPER(Q769)</f>
        <v>Pos</v>
      </c>
      <c r="S769" s="0" t="s">
        <v>50</v>
      </c>
      <c r="T769" s="0" t="n">
        <v>4</v>
      </c>
      <c r="U769" s="5" t="n">
        <f aca="false">IF(ISBLANK(T769),AVERAGE(T769:T1768),T769)</f>
        <v>4</v>
      </c>
      <c r="V769" s="0" t="n">
        <v>3.7</v>
      </c>
      <c r="X769" s="0" t="str">
        <f aca="false">IF(ISBLANK(W769),"No remarks",W769)</f>
        <v>No remarks</v>
      </c>
      <c r="Y769" s="0" t="s">
        <v>52</v>
      </c>
      <c r="Z769" s="0" t="s">
        <v>53</v>
      </c>
      <c r="AA769" s="0" t="str">
        <f aca="false">PROPER(IF(ISBLANK(Z769),"Location Unavailable",Z769))</f>
        <v>Main Bay</v>
      </c>
      <c r="AB769" s="0" t="s">
        <v>147</v>
      </c>
      <c r="AC769" s="6" t="str">
        <f aca="false">PROPER(AB769)</f>
        <v>Instagram</v>
      </c>
      <c r="AD769" s="6" t="n">
        <v>15</v>
      </c>
      <c r="AE769" s="5" t="n">
        <f aca="false">IF(ISBLANK(AD769),AVERAGEIF(L769:L1768,L769,AD769:AD1768),AD769)</f>
        <v>15</v>
      </c>
      <c r="AF769" s="0" t="s">
        <v>55</v>
      </c>
      <c r="AG769" s="0" t="str">
        <f aca="false">PROPER(AF769)</f>
        <v>Available</v>
      </c>
      <c r="AH769" s="0" t="s">
        <v>77</v>
      </c>
      <c r="AI769" s="0" t="s">
        <v>128</v>
      </c>
      <c r="AJ769" s="0" t="str">
        <f aca="false">PROPER(AI769)</f>
        <v>Normal</v>
      </c>
      <c r="AK769" s="0" t="s">
        <v>196</v>
      </c>
      <c r="AL769" s="0" t="str">
        <f aca="false">PROPER(AK769)</f>
        <v>First Time</v>
      </c>
      <c r="AM769" s="0" t="s">
        <v>59</v>
      </c>
      <c r="AN769" s="0" t="str">
        <f aca="false">IF(ISBLANK(AM769),"Unknown",AM769)</f>
        <v>Bolt Driver</v>
      </c>
      <c r="AO769" s="0" t="s">
        <v>161</v>
      </c>
      <c r="AP769" s="0" t="str">
        <f aca="false">IF(ISBLANK(AO769),"Unknown",AO769)</f>
        <v>Apprentice</v>
      </c>
      <c r="AR769" s="5" t="n">
        <f aca="false">IF(ISBLANK(AQ769),AVERAGEIF(M769:M1768,M769,AQ769:AQ1768),AQ769)</f>
        <v>26515.1515151515</v>
      </c>
      <c r="AS769" s="0" t="n">
        <v>20000</v>
      </c>
      <c r="AT769" s="5" t="n">
        <f aca="false">IF(ISBLANK(AS769),AVERAGE(AS769:AS1768),AS769)</f>
        <v>20000</v>
      </c>
      <c r="AU769" s="0" t="s">
        <v>50</v>
      </c>
      <c r="AV769" s="0" t="str">
        <f aca="false">PROPER(IF(ISBLANK(AU769),"No",AU769))</f>
        <v>No</v>
      </c>
      <c r="AX769" s="5" t="n">
        <f aca="false">IF(ISBLANK(AW769),0,AW769)</f>
        <v>0</v>
      </c>
      <c r="AY769" s="0" t="s">
        <v>80</v>
      </c>
      <c r="AZ769" s="0" t="str">
        <f aca="false">UPPER(IF(ISBLANK(AY769),"NONE",AY769))</f>
        <v>PROMO10</v>
      </c>
      <c r="BB769" s="7" t="str">
        <f aca="false">IF(ISBLANK(BA769),"No Follow Up Needed",BA769)</f>
        <v>No Follow Up Needed</v>
      </c>
      <c r="BC769" s="0" t="s">
        <v>63</v>
      </c>
      <c r="BD769" s="0" t="str">
        <f aca="false">PROPER(IF(ISBLANK(BC769),"Unknown",BC769))</f>
        <v>Yes</v>
      </c>
      <c r="BF769" s="0" t="str">
        <f aca="false">IF(ISBLANK(BE769),"No comments",BE769)</f>
        <v>No comments</v>
      </c>
      <c r="BG769" s="0" t="s">
        <v>172</v>
      </c>
      <c r="BH769" s="0" t="str">
        <f aca="false">IF(ISBLANK(BG769),"No comments",BG769)</f>
        <v>Always late</v>
      </c>
      <c r="BJ769" s="0" t="str">
        <f aca="false">IF(ISBLANK(BI769),"Not Mentioned",BI769)</f>
        <v>Not Mentioned</v>
      </c>
      <c r="BK769" s="0" t="s">
        <v>61</v>
      </c>
      <c r="BL769" s="0" t="str">
        <f aca="false">PROPER(IF(ISBLANK(BK769),"Not Mentioned",BK769))</f>
        <v>No</v>
      </c>
      <c r="BN769" s="0" t="str">
        <f aca="false">PROPER(IF(ISBLANK(BM769),"Not Mentioned",BM769))</f>
        <v>Not Mentioned</v>
      </c>
      <c r="BO769" s="0" t="s">
        <v>2321</v>
      </c>
      <c r="BP769" s="0" t="str">
        <f aca="false">IF(ISBLANK(BO769),"One-Time Plan",BO769)</f>
        <v>One-Time Plan</v>
      </c>
      <c r="BQ769" s="0" t="s">
        <v>50</v>
      </c>
      <c r="BR769" s="0" t="str">
        <f aca="false">PROPER(IF(ISBLANK(BQ769),"No",BQ769))</f>
        <v>No</v>
      </c>
    </row>
    <row r="770" customFormat="false" ht="15" hidden="false" customHeight="false" outlineLevel="0" collapsed="false">
      <c r="A770" s="0" t="s">
        <v>1832</v>
      </c>
      <c r="B770" s="2" t="n">
        <v>45699</v>
      </c>
      <c r="C770" s="2" t="str">
        <f aca="false">TEXT(B770,"dd/mm/yyyy")</f>
        <v>11/02/2025</v>
      </c>
      <c r="D770" s="0" t="s">
        <v>121</v>
      </c>
      <c r="E770" s="0" t="n">
        <v>8068558918</v>
      </c>
      <c r="F770" s="0" t="s">
        <v>67</v>
      </c>
      <c r="G770" s="0" t="s">
        <v>2316</v>
      </c>
      <c r="H770" s="0" t="s">
        <v>1833</v>
      </c>
      <c r="I770" s="0" t="s">
        <v>87</v>
      </c>
      <c r="K770" s="3" t="str">
        <f aca="false" t="array" ref="K770:K770">IFERROR(IF(J770&lt;&gt;"",J770,INDEX(J770:J1769,MATCH(1,(F770:F1769=F770)*(I770:I1769=I770)*(L770:L1769=L770)*(J770:J1769&lt;&gt;""),0))),"Not Found")</f>
        <v>Oil Change</v>
      </c>
      <c r="L770" s="3" t="s">
        <v>47</v>
      </c>
      <c r="M770" s="0" t="str">
        <f aca="false">PROPER(L770)</f>
        <v>None</v>
      </c>
      <c r="N770" s="3" t="s">
        <v>71</v>
      </c>
      <c r="O770" s="0" t="str">
        <f aca="false" t="array" ref="O770:O770">IF(N770&lt;&gt;"",N770,_xlfn.xlookup(1,(L770:L1769=L770)*(N770:N1769&lt;&gt;""),N770:N1769,"Not Found"))</f>
        <v>Isaac Bobo</v>
      </c>
      <c r="P770" s="4" t="n">
        <v>118909</v>
      </c>
      <c r="Q770" s="0" t="s">
        <v>124</v>
      </c>
      <c r="R770" s="0" t="str">
        <f aca="false">PROPER(Q770)</f>
        <v>Cash</v>
      </c>
      <c r="S770" s="0" t="s">
        <v>50</v>
      </c>
      <c r="T770" s="0" t="n">
        <v>1</v>
      </c>
      <c r="U770" s="5" t="n">
        <f aca="false">IF(ISBLANK(T770),AVERAGE(T770:T1769),T770)</f>
        <v>1</v>
      </c>
      <c r="V770" s="0" t="n">
        <v>1.6</v>
      </c>
      <c r="W770" s="0" t="s">
        <v>92</v>
      </c>
      <c r="X770" s="0" t="str">
        <f aca="false">IF(ISBLANK(W770),"No remarks",W770)</f>
        <v>Urgent service</v>
      </c>
      <c r="Y770" s="0" t="s">
        <v>73</v>
      </c>
      <c r="Z770" s="0" t="s">
        <v>159</v>
      </c>
      <c r="AA770" s="0" t="str">
        <f aca="false">PROPER(IF(ISBLANK(Z770),"Location Unavailable",Z770))</f>
        <v>Main Bay</v>
      </c>
      <c r="AB770" s="0" t="s">
        <v>75</v>
      </c>
      <c r="AC770" s="6" t="str">
        <f aca="false">PROPER(AB770)</f>
        <v>Mechanik Referal</v>
      </c>
      <c r="AD770" s="6" t="n">
        <v>60</v>
      </c>
      <c r="AE770" s="5" t="n">
        <f aca="false">IF(ISBLANK(AD770),AVERAGEIF(L770:L1769,L770,AD770:AD1769),AD770)</f>
        <v>60</v>
      </c>
      <c r="AF770" s="0" t="s">
        <v>160</v>
      </c>
      <c r="AG770" s="0" t="str">
        <f aca="false">PROPER(AF770)</f>
        <v>Availaible</v>
      </c>
      <c r="AH770" s="0" t="s">
        <v>155</v>
      </c>
      <c r="AI770" s="0" t="s">
        <v>113</v>
      </c>
      <c r="AJ770" s="0" t="str">
        <f aca="false">PROPER(AI770)</f>
        <v>Normal</v>
      </c>
      <c r="AK770" s="0" t="s">
        <v>196</v>
      </c>
      <c r="AL770" s="0" t="str">
        <f aca="false">PROPER(AK770)</f>
        <v>First Time</v>
      </c>
      <c r="AM770" s="0" t="s">
        <v>2324</v>
      </c>
      <c r="AN770" s="0" t="str">
        <f aca="false">IF(ISBLANK(AM770),"Unknown",AM770)</f>
        <v>Logistics Convoy</v>
      </c>
      <c r="AO770" s="0" t="s">
        <v>161</v>
      </c>
      <c r="AP770" s="0" t="str">
        <f aca="false">IF(ISBLANK(AO770),"Unknown",AO770)</f>
        <v>Apprentice</v>
      </c>
      <c r="AQ770" s="0" t="n">
        <v>30000</v>
      </c>
      <c r="AR770" s="5" t="n">
        <f aca="false">IF(ISBLANK(AQ770),AVERAGEIF(M770:M1769,M770,AQ770:AQ1769),AQ770)</f>
        <v>30000</v>
      </c>
      <c r="AS770" s="0" t="n">
        <v>40000</v>
      </c>
      <c r="AT770" s="5" t="n">
        <f aca="false">IF(ISBLANK(AS770),AVERAGE(AS770:AS1769),AS770)</f>
        <v>40000</v>
      </c>
      <c r="AU770" s="0" t="s">
        <v>50</v>
      </c>
      <c r="AV770" s="0" t="str">
        <f aca="false">PROPER(IF(ISBLANK(AU770),"No",AU770))</f>
        <v>No</v>
      </c>
      <c r="AW770" s="0" t="n">
        <v>10000</v>
      </c>
      <c r="AX770" s="5" t="n">
        <f aca="false">IF(ISBLANK(AW770),0,AW770)</f>
        <v>10000</v>
      </c>
      <c r="AY770" s="0" t="s">
        <v>60</v>
      </c>
      <c r="AZ770" s="0" t="str">
        <f aca="false">UPPER(IF(ISBLANK(AY770),"NONE",AY770))</f>
        <v>NONE</v>
      </c>
      <c r="BA770" s="7" t="s">
        <v>781</v>
      </c>
      <c r="BB770" s="7" t="str">
        <f aca="false">IF(ISBLANK(BA770),"No Follow Up Needed",BA770)</f>
        <v>13/08/2025</v>
      </c>
      <c r="BD770" s="0" t="str">
        <f aca="false">PROPER(IF(ISBLANK(BC770),"Unknown",BC770))</f>
        <v>Unknown</v>
      </c>
      <c r="BF770" s="0" t="str">
        <f aca="false">IF(ISBLANK(BE770),"No comments",BE770)</f>
        <v>No comments</v>
      </c>
      <c r="BH770" s="0" t="str">
        <f aca="false">IF(ISBLANK(BG770),"No comments",BG770)</f>
        <v>No comments</v>
      </c>
      <c r="BI770" s="0" t="s">
        <v>50</v>
      </c>
      <c r="BJ770" s="0" t="str">
        <f aca="false">IF(ISBLANK(BI770),"Not Mentioned",BI770)</f>
        <v>No</v>
      </c>
      <c r="BK770" s="0" t="s">
        <v>61</v>
      </c>
      <c r="BL770" s="0" t="str">
        <f aca="false">PROPER(IF(ISBLANK(BK770),"Not Mentioned",BK770))</f>
        <v>No</v>
      </c>
      <c r="BM770" s="0" t="s">
        <v>63</v>
      </c>
      <c r="BN770" s="0" t="str">
        <f aca="false">PROPER(IF(ISBLANK(BM770),"Not Mentioned",BM770))</f>
        <v>Yes</v>
      </c>
      <c r="BO770" s="0" t="s">
        <v>2321</v>
      </c>
      <c r="BP770" s="0" t="str">
        <f aca="false">IF(ISBLANK(BO770),"One-Time Plan",BO770)</f>
        <v>One-Time Plan</v>
      </c>
      <c r="BQ770" s="0" t="s">
        <v>63</v>
      </c>
      <c r="BR770" s="0" t="str">
        <f aca="false">PROPER(IF(ISBLANK(BQ770),"No",BQ770))</f>
        <v>Yes</v>
      </c>
    </row>
    <row r="771" customFormat="false" ht="15" hidden="false" customHeight="false" outlineLevel="0" collapsed="false">
      <c r="A771" s="0" t="s">
        <v>1834</v>
      </c>
      <c r="B771" s="2" t="n">
        <v>45659</v>
      </c>
      <c r="C771" s="2" t="str">
        <f aca="false">TEXT(B771,"dd/mm/yyyy")</f>
        <v>02/01/2025</v>
      </c>
      <c r="D771" s="0" t="s">
        <v>66</v>
      </c>
      <c r="E771" s="0" t="n">
        <v>8044260204</v>
      </c>
      <c r="F771" s="0" t="s">
        <v>85</v>
      </c>
      <c r="G771" s="0" t="s">
        <v>2319</v>
      </c>
      <c r="H771" s="0" t="s">
        <v>1835</v>
      </c>
      <c r="I771" s="0" t="s">
        <v>134</v>
      </c>
      <c r="J771" s="0" t="s">
        <v>2322</v>
      </c>
      <c r="K771" s="3" t="str">
        <f aca="false" t="array" ref="K771:K771">IFERROR(IF(J771&lt;&gt;"",J771,INDEX(J771:J1770,MATCH(1,(F771:F1770=F771)*(I771:I1770=I771)*(L771:L1770=L771)*(J771:J1770&lt;&gt;""),0))),"Not Found")</f>
        <v>Brake Failure</v>
      </c>
      <c r="L771" s="3" t="s">
        <v>154</v>
      </c>
      <c r="M771" s="0" t="str">
        <f aca="false">PROPER(L771)</f>
        <v>Air Filter</v>
      </c>
      <c r="O771" s="0" t="e">
        <f aca="false" t="array" ref="O771:O771">IF(N771&lt;&gt;"",N771,_xlfn.xlookup(1,(L771:L1770=L771)*(N771:N1770&lt;&gt;""),N771:N1770,"Not Found"))</f>
        <v>#NAME?</v>
      </c>
      <c r="P771" s="4" t="n">
        <v>32832</v>
      </c>
      <c r="Q771" s="0" t="s">
        <v>110</v>
      </c>
      <c r="R771" s="0" t="str">
        <f aca="false">PROPER(Q771)</f>
        <v>Cash</v>
      </c>
      <c r="S771" s="0" t="s">
        <v>50</v>
      </c>
      <c r="U771" s="5" t="n">
        <f aca="false">IF(ISBLANK(T771),AVERAGE(T771:T1770),T771)</f>
        <v>3.18085106382979</v>
      </c>
      <c r="V771" s="0" t="n">
        <v>1.2</v>
      </c>
      <c r="W771" s="0" t="s">
        <v>125</v>
      </c>
      <c r="X771" s="0" t="str">
        <f aca="false">IF(ISBLANK(W771),"No remarks",W771)</f>
        <v>Customer waited</v>
      </c>
      <c r="Y771" s="0" t="s">
        <v>93</v>
      </c>
      <c r="Z771" s="0" t="s">
        <v>74</v>
      </c>
      <c r="AA771" s="0" t="str">
        <f aca="false">PROPER(IF(ISBLANK(Z771),"Location Unavailable",Z771))</f>
        <v>Under Tree</v>
      </c>
      <c r="AB771" s="0" t="s">
        <v>54</v>
      </c>
      <c r="AC771" s="6" t="str">
        <f aca="false">PROPER(AB771)</f>
        <v>Mechanic Referral</v>
      </c>
      <c r="AD771" s="6" t="n">
        <v>45</v>
      </c>
      <c r="AE771" s="5" t="n">
        <f aca="false">IF(ISBLANK(AD771),AVERAGEIF(L771:L1770,L771,AD771:AD1770),AD771)</f>
        <v>45</v>
      </c>
      <c r="AF771" s="0" t="s">
        <v>55</v>
      </c>
      <c r="AG771" s="0" t="str">
        <f aca="false">PROPER(AF771)</f>
        <v>Available</v>
      </c>
      <c r="AH771" s="0" t="s">
        <v>155</v>
      </c>
      <c r="AI771" s="0" t="s">
        <v>98</v>
      </c>
      <c r="AJ771" s="0" t="str">
        <f aca="false">PROPER(AI771)</f>
        <v>Emergency</v>
      </c>
      <c r="AK771" s="0" t="s">
        <v>99</v>
      </c>
      <c r="AL771" s="0" t="str">
        <f aca="false">PROPER(AK771)</f>
        <v>Uber Driver</v>
      </c>
      <c r="AM771" s="0" t="s">
        <v>2324</v>
      </c>
      <c r="AN771" s="0" t="str">
        <f aca="false">IF(ISBLANK(AM771),"Unknown",AM771)</f>
        <v>Logistics Convoy</v>
      </c>
      <c r="AO771" s="0" t="s">
        <v>79</v>
      </c>
      <c r="AP771" s="0" t="str">
        <f aca="false">IF(ISBLANK(AO771),"Unknown",AO771)</f>
        <v>Specialist</v>
      </c>
      <c r="AQ771" s="0" t="n">
        <v>30000</v>
      </c>
      <c r="AR771" s="5" t="n">
        <f aca="false">IF(ISBLANK(AQ771),AVERAGEIF(M771:M1770,M771,AQ771:AQ1770),AQ771)</f>
        <v>30000</v>
      </c>
      <c r="AS771" s="0" t="n">
        <v>20000</v>
      </c>
      <c r="AT771" s="5" t="n">
        <f aca="false">IF(ISBLANK(AS771),AVERAGE(AS771:AS1770),AS771)</f>
        <v>20000</v>
      </c>
      <c r="AU771" s="0" t="s">
        <v>50</v>
      </c>
      <c r="AV771" s="0" t="str">
        <f aca="false">PROPER(IF(ISBLANK(AU771),"No",AU771))</f>
        <v>No</v>
      </c>
      <c r="AW771" s="0" t="n">
        <v>10000</v>
      </c>
      <c r="AX771" s="5" t="n">
        <f aca="false">IF(ISBLANK(AW771),0,AW771)</f>
        <v>10000</v>
      </c>
      <c r="AY771" s="0" t="s">
        <v>184</v>
      </c>
      <c r="AZ771" s="0" t="str">
        <f aca="false">UPPER(IF(ISBLANK(AY771),"NONE",AY771))</f>
        <v>N/A</v>
      </c>
      <c r="BA771" s="7" t="n">
        <v>45938</v>
      </c>
      <c r="BB771" s="7" t="n">
        <f aca="false">IF(ISBLANK(BA771),"No Follow Up Needed",BA771)</f>
        <v>45938</v>
      </c>
      <c r="BD771" s="0" t="str">
        <f aca="false">PROPER(IF(ISBLANK(BC771),"Unknown",BC771))</f>
        <v>Unknown</v>
      </c>
      <c r="BE771" s="0" t="s">
        <v>116</v>
      </c>
      <c r="BF771" s="0" t="str">
        <f aca="false">IF(ISBLANK(BE771),"No comments",BE771)</f>
        <v>Needs tire alignment</v>
      </c>
      <c r="BG771" s="0" t="s">
        <v>172</v>
      </c>
      <c r="BH771" s="0" t="str">
        <f aca="false">IF(ISBLANK(BG771),"No comments",BG771)</f>
        <v>Always late</v>
      </c>
      <c r="BI771" s="0" t="s">
        <v>50</v>
      </c>
      <c r="BJ771" s="0" t="str">
        <f aca="false">IF(ISBLANK(BI771),"Not Mentioned",BI771)</f>
        <v>No</v>
      </c>
      <c r="BK771" s="0" t="s">
        <v>50</v>
      </c>
      <c r="BL771" s="0" t="str">
        <f aca="false">PROPER(IF(ISBLANK(BK771),"Not Mentioned",BK771))</f>
        <v>No</v>
      </c>
      <c r="BM771" s="0" t="s">
        <v>50</v>
      </c>
      <c r="BN771" s="0" t="str">
        <f aca="false">PROPER(IF(ISBLANK(BM771),"Not Mentioned",BM771))</f>
        <v>No</v>
      </c>
      <c r="BO771" s="0" t="s">
        <v>2318</v>
      </c>
      <c r="BP771" s="0" t="str">
        <f aca="false">IF(ISBLANK(BO771),"One-Time Plan",BO771)</f>
        <v>Gold</v>
      </c>
      <c r="BQ771" s="0" t="s">
        <v>63</v>
      </c>
      <c r="BR771" s="0" t="str">
        <f aca="false">PROPER(IF(ISBLANK(BQ771),"No",BQ771))</f>
        <v>Yes</v>
      </c>
    </row>
    <row r="772" customFormat="false" ht="15" hidden="false" customHeight="false" outlineLevel="0" collapsed="false">
      <c r="A772" s="0" t="s">
        <v>1836</v>
      </c>
      <c r="B772" s="2" t="n">
        <v>45840</v>
      </c>
      <c r="C772" s="2" t="str">
        <f aca="false">TEXT(B772,"dd/mm/yyyy")</f>
        <v>02/07/2025</v>
      </c>
      <c r="D772" s="0" t="s">
        <v>163</v>
      </c>
      <c r="E772" s="0" t="n">
        <v>8056785439</v>
      </c>
      <c r="F772" s="0" t="s">
        <v>139</v>
      </c>
      <c r="G772" s="0" t="s">
        <v>2323</v>
      </c>
      <c r="H772" s="0" t="s">
        <v>1837</v>
      </c>
      <c r="I772" s="0" t="s">
        <v>45</v>
      </c>
      <c r="J772" s="0" t="s">
        <v>2317</v>
      </c>
      <c r="K772" s="3" t="str">
        <f aca="false" t="array" ref="K772:K772">IFERROR(IF(J772&lt;&gt;"",J772,INDEX(J772:J1771,MATCH(1,(F772:F1771=F772)*(I772:I1771=I772)*(L772:L1771=L772)*(J772:J1771&lt;&gt;""),0))),"Not Found")</f>
        <v>Suspension Noise</v>
      </c>
      <c r="L772" s="3" t="s">
        <v>142</v>
      </c>
      <c r="M772" s="0" t="str">
        <f aca="false">PROPER(L772)</f>
        <v>Oil Filter, Brake Pads</v>
      </c>
      <c r="N772" s="3" t="s">
        <v>90</v>
      </c>
      <c r="O772" s="0" t="str">
        <f aca="false" t="array" ref="O772:O772">IF(N772&lt;&gt;"",N772,_xlfn.xlookup(1,(L772:L1771=L772)*(N772:N1771&lt;&gt;""),N772:N1771,"Not Found"))</f>
        <v>Musa</v>
      </c>
      <c r="P772" s="4" t="n">
        <v>109902</v>
      </c>
      <c r="Q772" s="0" t="s">
        <v>72</v>
      </c>
      <c r="R772" s="0" t="str">
        <f aca="false">PROPER(Q772)</f>
        <v>Pos</v>
      </c>
      <c r="S772" s="0" t="s">
        <v>50</v>
      </c>
      <c r="U772" s="5" t="n">
        <f aca="false">IF(ISBLANK(T772),AVERAGE(T772:T1771),T772)</f>
        <v>3.18085106382979</v>
      </c>
      <c r="V772" s="0" t="n">
        <v>1.5</v>
      </c>
      <c r="W772" s="0" t="s">
        <v>111</v>
      </c>
      <c r="X772" s="0" t="str">
        <f aca="false">IF(ISBLANK(W772),"No remarks",W772)</f>
        <v>Changed all filters</v>
      </c>
      <c r="Y772" s="0" t="s">
        <v>52</v>
      </c>
      <c r="Z772" s="0" t="s">
        <v>159</v>
      </c>
      <c r="AA772" s="0" t="str">
        <f aca="false">PROPER(IF(ISBLANK(Z772),"Location Unavailable",Z772))</f>
        <v>Main Bay</v>
      </c>
      <c r="AB772" s="0" t="s">
        <v>167</v>
      </c>
      <c r="AC772" s="6" t="str">
        <f aca="false">PROPER(AB772)</f>
        <v>Word Of Mouth</v>
      </c>
      <c r="AE772" s="5" t="n">
        <f aca="false">IF(ISBLANK(AD772),AVERAGEIF(L772:L1771,L772,AD772:AD1771),AD772)</f>
        <v>40.1785714285714</v>
      </c>
      <c r="AF772" s="0" t="s">
        <v>112</v>
      </c>
      <c r="AG772" s="0" t="str">
        <f aca="false">PROPER(AF772)</f>
        <v>Unavailable</v>
      </c>
      <c r="AH772" s="0" t="s">
        <v>77</v>
      </c>
      <c r="AI772" s="0" t="s">
        <v>78</v>
      </c>
      <c r="AJ772" s="0" t="str">
        <f aca="false">PROPER(AI772)</f>
        <v>Booking</v>
      </c>
      <c r="AK772" s="0" t="s">
        <v>196</v>
      </c>
      <c r="AL772" s="0" t="str">
        <f aca="false">PROPER(AK772)</f>
        <v>First Time</v>
      </c>
      <c r="AM772" s="0" t="s">
        <v>2324</v>
      </c>
      <c r="AN772" s="0" t="str">
        <f aca="false">IF(ISBLANK(AM772),"Unknown",AM772)</f>
        <v>Logistics Convoy</v>
      </c>
      <c r="AP772" s="0" t="str">
        <f aca="false">IF(ISBLANK(AO772),"Unknown",AO772)</f>
        <v>Unknown</v>
      </c>
      <c r="AQ772" s="0" t="n">
        <v>40000</v>
      </c>
      <c r="AR772" s="5" t="n">
        <f aca="false">IF(ISBLANK(AQ772),AVERAGEIF(M772:M1771,M772,AQ772:AQ1771),AQ772)</f>
        <v>40000</v>
      </c>
      <c r="AS772" s="0" t="n">
        <v>30000</v>
      </c>
      <c r="AT772" s="5" t="n">
        <f aca="false">IF(ISBLANK(AS772),AVERAGE(AS772:AS1771),AS772)</f>
        <v>30000</v>
      </c>
      <c r="AU772" s="0" t="s">
        <v>50</v>
      </c>
      <c r="AV772" s="0" t="str">
        <f aca="false">PROPER(IF(ISBLANK(AU772),"No",AU772))</f>
        <v>No</v>
      </c>
      <c r="AX772" s="5" t="n">
        <f aca="false">IF(ISBLANK(AW772),0,AW772)</f>
        <v>0</v>
      </c>
      <c r="AY772" s="0" t="s">
        <v>60</v>
      </c>
      <c r="AZ772" s="0" t="str">
        <f aca="false">UPPER(IF(ISBLANK(AY772),"NONE",AY772))</f>
        <v>NONE</v>
      </c>
      <c r="BA772" s="7" t="s">
        <v>703</v>
      </c>
      <c r="BB772" s="7" t="str">
        <f aca="false">IF(ISBLANK(BA772),"No Follow Up Needed",BA772)</f>
        <v>18/11/2025</v>
      </c>
      <c r="BC772" s="0" t="s">
        <v>82</v>
      </c>
      <c r="BD772" s="0" t="str">
        <f aca="false">PROPER(IF(ISBLANK(BC772),"Unknown",BC772))</f>
        <v>Yes</v>
      </c>
      <c r="BE772" s="0" t="s">
        <v>171</v>
      </c>
      <c r="BF772" s="0" t="str">
        <f aca="false">IF(ISBLANK(BE772),"No comments",BE772)</f>
        <v>Shock absorber weakening</v>
      </c>
      <c r="BH772" s="0" t="str">
        <f aca="false">IF(ISBLANK(BG772),"No comments",BG772)</f>
        <v>No comments</v>
      </c>
      <c r="BI772" s="0" t="s">
        <v>63</v>
      </c>
      <c r="BJ772" s="0" t="str">
        <f aca="false">IF(ISBLANK(BI772),"Not Mentioned",BI772)</f>
        <v>Yes</v>
      </c>
      <c r="BK772" s="0" t="s">
        <v>50</v>
      </c>
      <c r="BL772" s="0" t="str">
        <f aca="false">PROPER(IF(ISBLANK(BK772),"Not Mentioned",BK772))</f>
        <v>No</v>
      </c>
      <c r="BN772" s="0" t="str">
        <f aca="false">PROPER(IF(ISBLANK(BM772),"Not Mentioned",BM772))</f>
        <v>Not Mentioned</v>
      </c>
      <c r="BO772" s="0" t="s">
        <v>2318</v>
      </c>
      <c r="BP772" s="0" t="str">
        <f aca="false">IF(ISBLANK(BO772),"One-Time Plan",BO772)</f>
        <v>Gold</v>
      </c>
      <c r="BR772" s="0" t="str">
        <f aca="false">PROPER(IF(ISBLANK(BQ772),"No",BQ772))</f>
        <v>No</v>
      </c>
    </row>
    <row r="773" customFormat="false" ht="15" hidden="false" customHeight="false" outlineLevel="0" collapsed="false">
      <c r="A773" s="0" t="s">
        <v>1838</v>
      </c>
      <c r="B773" s="2" t="n">
        <v>45797</v>
      </c>
      <c r="C773" s="2" t="str">
        <f aca="false">TEXT(B773,"dd/mm/yyyy")</f>
        <v>20/05/2025</v>
      </c>
      <c r="D773" s="0" t="s">
        <v>66</v>
      </c>
      <c r="E773" s="0" t="n">
        <v>8078398476</v>
      </c>
      <c r="F773" s="0" t="s">
        <v>67</v>
      </c>
      <c r="G773" s="0" t="s">
        <v>2316</v>
      </c>
      <c r="H773" s="0" t="s">
        <v>1839</v>
      </c>
      <c r="I773" s="0" t="s">
        <v>87</v>
      </c>
      <c r="J773" s="0" t="s">
        <v>2325</v>
      </c>
      <c r="K773" s="3" t="str">
        <f aca="false" t="array" ref="K773:K773">IFERROR(IF(J773&lt;&gt;"",J773,INDEX(J773:J1772,MATCH(1,(F773:F1772=F773)*(I773:I1772=I773)*(L773:L1772=L773)*(J773:J1772&lt;&gt;""),0))),"Not Found")</f>
        <v>Engine Knocking</v>
      </c>
      <c r="L773" s="3" t="s">
        <v>89</v>
      </c>
      <c r="M773" s="0" t="str">
        <f aca="false">PROPER(L773)</f>
        <v>Shock Absorbers</v>
      </c>
      <c r="N773" s="3" t="s">
        <v>48</v>
      </c>
      <c r="O773" s="0" t="str">
        <f aca="false" t="array" ref="O773:O773">IF(N773&lt;&gt;"",N773,_xlfn.xlookup(1,(L773:L1772=L773)*(N773:N1772&lt;&gt;""),N773:N1772,"Not Found"))</f>
        <v>Uche</v>
      </c>
      <c r="P773" s="4" t="n">
        <v>52247</v>
      </c>
      <c r="Q773" s="0" t="s">
        <v>49</v>
      </c>
      <c r="R773" s="0" t="str">
        <f aca="false">PROPER(Q773)</f>
        <v>Transfer</v>
      </c>
      <c r="S773" s="0" t="s">
        <v>50</v>
      </c>
      <c r="U773" s="5" t="n">
        <f aca="false">IF(ISBLANK(T773),AVERAGE(T773:T1772),T773)</f>
        <v>3.18085106382979</v>
      </c>
      <c r="V773" s="0" t="n">
        <v>3.9</v>
      </c>
      <c r="W773" s="0" t="s">
        <v>92</v>
      </c>
      <c r="X773" s="0" t="str">
        <f aca="false">IF(ISBLANK(W773),"No remarks",W773)</f>
        <v>Urgent service</v>
      </c>
      <c r="Y773" s="0" t="s">
        <v>93</v>
      </c>
      <c r="Z773" s="0" t="s">
        <v>136</v>
      </c>
      <c r="AA773" s="0" t="str">
        <f aca="false">PROPER(IF(ISBLANK(Z773),"Location Unavailable",Z773))</f>
        <v>Vip Section</v>
      </c>
      <c r="AB773" s="0" t="s">
        <v>126</v>
      </c>
      <c r="AC773" s="6" t="str">
        <f aca="false">PROPER(AB773)</f>
        <v>Whatsapp</v>
      </c>
      <c r="AD773" s="6" t="n">
        <v>45</v>
      </c>
      <c r="AE773" s="5" t="n">
        <f aca="false">IF(ISBLANK(AD773),AVERAGEIF(L773:L1772,L773,AD773:AD1772),AD773)</f>
        <v>45</v>
      </c>
      <c r="AF773" s="0" t="s">
        <v>96</v>
      </c>
      <c r="AG773" s="0" t="str">
        <f aca="false">PROPER(AF773)</f>
        <v>Ordered</v>
      </c>
      <c r="AH773" s="0" t="s">
        <v>77</v>
      </c>
      <c r="AI773" s="0" t="s">
        <v>78</v>
      </c>
      <c r="AJ773" s="0" t="str">
        <f aca="false">PROPER(AI773)</f>
        <v>Booking</v>
      </c>
      <c r="AK773" s="0" t="s">
        <v>114</v>
      </c>
      <c r="AL773" s="0" t="str">
        <f aca="false">PROPER(AK773)</f>
        <v>Returning</v>
      </c>
      <c r="AN773" s="0" t="str">
        <f aca="false">IF(ISBLANK(AM773),"Unknown",AM773)</f>
        <v>Unknown</v>
      </c>
      <c r="AO773" s="0" t="s">
        <v>79</v>
      </c>
      <c r="AP773" s="0" t="str">
        <f aca="false">IF(ISBLANK(AO773),"Unknown",AO773)</f>
        <v>Specialist</v>
      </c>
      <c r="AQ773" s="0" t="n">
        <v>15000</v>
      </c>
      <c r="AR773" s="5" t="n">
        <f aca="false">IF(ISBLANK(AQ773),AVERAGEIF(M773:M1772,M773,AQ773:AQ1772),AQ773)</f>
        <v>15000</v>
      </c>
      <c r="AS773" s="0" t="n">
        <v>40000</v>
      </c>
      <c r="AT773" s="5" t="n">
        <f aca="false">IF(ISBLANK(AS773),AVERAGE(AS773:AS1772),AS773)</f>
        <v>40000</v>
      </c>
      <c r="AU773" s="0" t="s">
        <v>63</v>
      </c>
      <c r="AV773" s="0" t="str">
        <f aca="false">PROPER(IF(ISBLANK(AU773),"No",AU773))</f>
        <v>Yes</v>
      </c>
      <c r="AW773" s="0" t="n">
        <v>0</v>
      </c>
      <c r="AX773" s="5" t="n">
        <f aca="false">IF(ISBLANK(AW773),0,AW773)</f>
        <v>0</v>
      </c>
      <c r="AY773" s="0" t="s">
        <v>130</v>
      </c>
      <c r="AZ773" s="0" t="str">
        <f aca="false">UPPER(IF(ISBLANK(AY773),"NONE",AY773))</f>
        <v>LOYALTY10</v>
      </c>
      <c r="BA773" s="7" t="n">
        <v>45872</v>
      </c>
      <c r="BB773" s="7" t="n">
        <f aca="false">IF(ISBLANK(BA773),"No Follow Up Needed",BA773)</f>
        <v>45872</v>
      </c>
      <c r="BC773" s="0" t="s">
        <v>63</v>
      </c>
      <c r="BD773" s="0" t="str">
        <f aca="false">PROPER(IF(ISBLANK(BC773),"Unknown",BC773))</f>
        <v>Yes</v>
      </c>
      <c r="BF773" s="0" t="str">
        <f aca="false">IF(ISBLANK(BE773),"No comments",BE773)</f>
        <v>No comments</v>
      </c>
      <c r="BG773" s="0" t="s">
        <v>172</v>
      </c>
      <c r="BH773" s="0" t="str">
        <f aca="false">IF(ISBLANK(BG773),"No comments",BG773)</f>
        <v>Always late</v>
      </c>
      <c r="BI773" s="0" t="s">
        <v>63</v>
      </c>
      <c r="BJ773" s="0" t="str">
        <f aca="false">IF(ISBLANK(BI773),"Not Mentioned",BI773)</f>
        <v>Yes</v>
      </c>
      <c r="BL773" s="0" t="str">
        <f aca="false">PROPER(IF(ISBLANK(BK773),"Not Mentioned",BK773))</f>
        <v>Not Mentioned</v>
      </c>
      <c r="BM773" s="0" t="s">
        <v>50</v>
      </c>
      <c r="BN773" s="0" t="str">
        <f aca="false">PROPER(IF(ISBLANK(BM773),"Not Mentioned",BM773))</f>
        <v>No</v>
      </c>
      <c r="BP773" s="0" t="str">
        <f aca="false">IF(ISBLANK(BO773),"One-Time Plan",BO773)</f>
        <v>One-Time Plan</v>
      </c>
      <c r="BQ773" s="0" t="s">
        <v>63</v>
      </c>
      <c r="BR773" s="0" t="str">
        <f aca="false">PROPER(IF(ISBLANK(BQ773),"No",BQ773))</f>
        <v>Yes</v>
      </c>
    </row>
    <row r="774" customFormat="false" ht="15" hidden="false" customHeight="false" outlineLevel="0" collapsed="false">
      <c r="A774" s="0" t="s">
        <v>1840</v>
      </c>
      <c r="B774" s="2" t="s">
        <v>1082</v>
      </c>
      <c r="C774" s="2" t="str">
        <f aca="false">TEXT(B774,"dd/mm/yyyy")</f>
        <v>15/06/2025</v>
      </c>
      <c r="D774" s="0" t="s">
        <v>121</v>
      </c>
      <c r="E774" s="0" t="n">
        <v>8075581713</v>
      </c>
      <c r="F774" s="0" t="s">
        <v>43</v>
      </c>
      <c r="G774" s="0" t="s">
        <v>2315</v>
      </c>
      <c r="H774" s="0" t="s">
        <v>1841</v>
      </c>
      <c r="I774" s="0" t="s">
        <v>45</v>
      </c>
      <c r="K774" s="3" t="str">
        <f aca="false" t="array" ref="K774:K774">IFERROR(IF(J774&lt;&gt;"",J774,INDEX(J774:J1773,MATCH(1,(F774:F1773=F774)*(I774:I1773=I774)*(L774:L1773=L774)*(J774:J1773&lt;&gt;""),0))),"Not Found")</f>
        <v>Brake Failure</v>
      </c>
      <c r="L774" s="3" t="s">
        <v>154</v>
      </c>
      <c r="M774" s="0" t="str">
        <f aca="false">PROPER(L774)</f>
        <v>Air Filter</v>
      </c>
      <c r="N774" s="3" t="s">
        <v>48</v>
      </c>
      <c r="O774" s="0" t="str">
        <f aca="false" t="array" ref="O774:O774">IF(N774&lt;&gt;"",N774,_xlfn.xlookup(1,(L774:L1773=L774)*(N774:N1773&lt;&gt;""),N774:N1773,"Not Found"))</f>
        <v>Uche</v>
      </c>
      <c r="P774" s="4" t="n">
        <v>67264</v>
      </c>
      <c r="Q774" s="0" t="s">
        <v>72</v>
      </c>
      <c r="R774" s="0" t="str">
        <f aca="false">PROPER(Q774)</f>
        <v>Pos</v>
      </c>
      <c r="S774" s="0" t="s">
        <v>50</v>
      </c>
      <c r="T774" s="0" t="n">
        <v>2</v>
      </c>
      <c r="U774" s="5" t="n">
        <f aca="false">IF(ISBLANK(T774),AVERAGE(T774:T1773),T774)</f>
        <v>2</v>
      </c>
      <c r="V774" s="0" t="n">
        <v>1.6</v>
      </c>
      <c r="W774" s="0" t="s">
        <v>92</v>
      </c>
      <c r="X774" s="0" t="str">
        <f aca="false">IF(ISBLANK(W774),"No remarks",W774)</f>
        <v>Urgent service</v>
      </c>
      <c r="Y774" s="0" t="s">
        <v>52</v>
      </c>
      <c r="Z774" s="0" t="s">
        <v>159</v>
      </c>
      <c r="AA774" s="0" t="str">
        <f aca="false">PROPER(IF(ISBLANK(Z774),"Location Unavailable",Z774))</f>
        <v>Main Bay</v>
      </c>
      <c r="AB774" s="0" t="s">
        <v>126</v>
      </c>
      <c r="AC774" s="6" t="str">
        <f aca="false">PROPER(AB774)</f>
        <v>Whatsapp</v>
      </c>
      <c r="AD774" s="6" t="n">
        <v>30</v>
      </c>
      <c r="AE774" s="5" t="n">
        <f aca="false">IF(ISBLANK(AD774),AVERAGEIF(L774:L1773,L774,AD774:AD1773),AD774)</f>
        <v>30</v>
      </c>
      <c r="AF774" s="0" t="s">
        <v>160</v>
      </c>
      <c r="AG774" s="0" t="str">
        <f aca="false">PROPER(AF774)</f>
        <v>Availaible</v>
      </c>
      <c r="AH774" s="0" t="s">
        <v>155</v>
      </c>
      <c r="AI774" s="0" t="s">
        <v>113</v>
      </c>
      <c r="AJ774" s="0" t="str">
        <f aca="false">PROPER(AI774)</f>
        <v>Normal</v>
      </c>
      <c r="AK774" s="0" t="s">
        <v>196</v>
      </c>
      <c r="AL774" s="0" t="str">
        <f aca="false">PROPER(AK774)</f>
        <v>First Time</v>
      </c>
      <c r="AN774" s="0" t="str">
        <f aca="false">IF(ISBLANK(AM774),"Unknown",AM774)</f>
        <v>Unknown</v>
      </c>
      <c r="AO774" s="0" t="s">
        <v>79</v>
      </c>
      <c r="AP774" s="0" t="str">
        <f aca="false">IF(ISBLANK(AO774),"Unknown",AO774)</f>
        <v>Specialist</v>
      </c>
      <c r="AR774" s="5" t="n">
        <f aca="false">IF(ISBLANK(AQ774),AVERAGEIF(M774:M1773,M774,AQ774:AQ1773),AQ774)</f>
        <v>26250</v>
      </c>
      <c r="AT774" s="5" t="n">
        <f aca="false">IF(ISBLANK(AS774),AVERAGE(AS774:AS1773),AS774)</f>
        <v>31380.2083333333</v>
      </c>
      <c r="AV774" s="0" t="str">
        <f aca="false">PROPER(IF(ISBLANK(AU774),"No",AU774))</f>
        <v>No</v>
      </c>
      <c r="AW774" s="0" t="n">
        <v>5000</v>
      </c>
      <c r="AX774" s="5" t="n">
        <f aca="false">IF(ISBLANK(AW774),0,AW774)</f>
        <v>5000</v>
      </c>
      <c r="AZ774" s="0" t="str">
        <f aca="false">UPPER(IF(ISBLANK(AY774),"NONE",AY774))</f>
        <v>NONE</v>
      </c>
      <c r="BB774" s="7" t="str">
        <f aca="false">IF(ISBLANK(BA774),"No Follow Up Needed",BA774)</f>
        <v>No Follow Up Needed</v>
      </c>
      <c r="BC774" s="0" t="s">
        <v>63</v>
      </c>
      <c r="BD774" s="0" t="str">
        <f aca="false">PROPER(IF(ISBLANK(BC774),"Unknown",BC774))</f>
        <v>Yes</v>
      </c>
      <c r="BE774" s="0" t="s">
        <v>116</v>
      </c>
      <c r="BF774" s="0" t="str">
        <f aca="false">IF(ISBLANK(BE774),"No comments",BE774)</f>
        <v>Needs tire alignment</v>
      </c>
      <c r="BH774" s="0" t="str">
        <f aca="false">IF(ISBLANK(BG774),"No comments",BG774)</f>
        <v>No comments</v>
      </c>
      <c r="BJ774" s="0" t="str">
        <f aca="false">IF(ISBLANK(BI774),"Not Mentioned",BI774)</f>
        <v>Not Mentioned</v>
      </c>
      <c r="BK774" s="0" t="s">
        <v>82</v>
      </c>
      <c r="BL774" s="0" t="str">
        <f aca="false">PROPER(IF(ISBLANK(BK774),"Not Mentioned",BK774))</f>
        <v>Yes</v>
      </c>
      <c r="BM774" s="0" t="s">
        <v>63</v>
      </c>
      <c r="BN774" s="0" t="str">
        <f aca="false">PROPER(IF(ISBLANK(BM774),"Not Mentioned",BM774))</f>
        <v>Yes</v>
      </c>
      <c r="BO774" s="0" t="s">
        <v>2318</v>
      </c>
      <c r="BP774" s="0" t="str">
        <f aca="false">IF(ISBLANK(BO774),"One-Time Plan",BO774)</f>
        <v>Gold</v>
      </c>
      <c r="BQ774" s="0" t="s">
        <v>50</v>
      </c>
      <c r="BR774" s="0" t="str">
        <f aca="false">PROPER(IF(ISBLANK(BQ774),"No",BQ774))</f>
        <v>No</v>
      </c>
    </row>
    <row r="775" customFormat="false" ht="15" hidden="false" customHeight="false" outlineLevel="0" collapsed="false">
      <c r="A775" s="0" t="s">
        <v>1842</v>
      </c>
      <c r="B775" s="2" t="n">
        <v>45695</v>
      </c>
      <c r="C775" s="2" t="str">
        <f aca="false">TEXT(B775,"dd/mm/yyyy")</f>
        <v>07/02/2025</v>
      </c>
      <c r="D775" s="0" t="s">
        <v>66</v>
      </c>
      <c r="E775" s="0" t="n">
        <v>8095225538</v>
      </c>
      <c r="F775" s="0" t="s">
        <v>122</v>
      </c>
      <c r="G775" s="0" t="s">
        <v>2316</v>
      </c>
      <c r="H775" s="0" t="s">
        <v>1843</v>
      </c>
      <c r="I775" s="0" t="s">
        <v>69</v>
      </c>
      <c r="J775" s="0" t="s">
        <v>87</v>
      </c>
      <c r="K775" s="3" t="str">
        <f aca="false" t="array" ref="K775:K775">IFERROR(IF(J775&lt;&gt;"",J775,INDEX(J775:J1774,MATCH(1,(F775:F1774=F775)*(I775:I1774=I775)*(L775:L1774=L775)*(J775:J1774&lt;&gt;""),0))),"Not Found")</f>
        <v>Oil Change</v>
      </c>
      <c r="L775" s="3" t="s">
        <v>89</v>
      </c>
      <c r="M775" s="0" t="str">
        <f aca="false">PROPER(L775)</f>
        <v>Shock Absorbers</v>
      </c>
      <c r="N775" s="3" t="s">
        <v>71</v>
      </c>
      <c r="O775" s="0" t="str">
        <f aca="false" t="array" ref="O775:O775">IF(N775&lt;&gt;"",N775,_xlfn.xlookup(1,(L775:L1774=L775)*(N775:N1774&lt;&gt;""),N775:N1774,"Not Found"))</f>
        <v>Isaac Bobo</v>
      </c>
      <c r="P775" s="4" t="n">
        <v>33988</v>
      </c>
      <c r="Q775" s="0" t="s">
        <v>124</v>
      </c>
      <c r="R775" s="0" t="str">
        <f aca="false">PROPER(Q775)</f>
        <v>Cash</v>
      </c>
      <c r="S775" s="0" t="s">
        <v>63</v>
      </c>
      <c r="U775" s="5" t="n">
        <f aca="false">IF(ISBLANK(T775),AVERAGE(T775:T1774),T775)</f>
        <v>3.18716577540107</v>
      </c>
      <c r="V775" s="0" t="n">
        <v>5.8</v>
      </c>
      <c r="W775" s="0" t="s">
        <v>125</v>
      </c>
      <c r="X775" s="0" t="str">
        <f aca="false">IF(ISBLANK(W775),"No remarks",W775)</f>
        <v>Customer waited</v>
      </c>
      <c r="Y775" s="0" t="s">
        <v>52</v>
      </c>
      <c r="Z775" s="0" t="s">
        <v>94</v>
      </c>
      <c r="AA775" s="0" t="str">
        <f aca="false">PROPER(IF(ISBLANK(Z775),"Location Unavailable",Z775))</f>
        <v>Vip Section</v>
      </c>
      <c r="AB775" s="0" t="s">
        <v>147</v>
      </c>
      <c r="AC775" s="6" t="str">
        <f aca="false">PROPER(AB775)</f>
        <v>Instagram</v>
      </c>
      <c r="AD775" s="6" t="n">
        <v>60</v>
      </c>
      <c r="AE775" s="5" t="n">
        <f aca="false">IF(ISBLANK(AD775),AVERAGEIF(L775:L1774,L775,AD775:AD1774),AD775)</f>
        <v>60</v>
      </c>
      <c r="AF775" s="0" t="s">
        <v>55</v>
      </c>
      <c r="AG775" s="0" t="str">
        <f aca="false">PROPER(AF775)</f>
        <v>Available</v>
      </c>
      <c r="AH775" s="0" t="s">
        <v>148</v>
      </c>
      <c r="AI775" s="0" t="s">
        <v>98</v>
      </c>
      <c r="AJ775" s="0" t="str">
        <f aca="false">PROPER(AI775)</f>
        <v>Emergency</v>
      </c>
      <c r="AK775" s="0" t="s">
        <v>114</v>
      </c>
      <c r="AL775" s="0" t="str">
        <f aca="false">PROPER(AK775)</f>
        <v>Returning</v>
      </c>
      <c r="AM775" s="0" t="s">
        <v>59</v>
      </c>
      <c r="AN775" s="0" t="str">
        <f aca="false">IF(ISBLANK(AM775),"Unknown",AM775)</f>
        <v>Bolt Driver</v>
      </c>
      <c r="AO775" s="0" t="s">
        <v>161</v>
      </c>
      <c r="AP775" s="0" t="str">
        <f aca="false">IF(ISBLANK(AO775),"Unknown",AO775)</f>
        <v>Apprentice</v>
      </c>
      <c r="AQ775" s="0" t="n">
        <v>15000</v>
      </c>
      <c r="AR775" s="5" t="n">
        <f aca="false">IF(ISBLANK(AQ775),AVERAGEIF(M775:M1774,M775,AQ775:AQ1774),AQ775)</f>
        <v>15000</v>
      </c>
      <c r="AS775" s="0" t="n">
        <v>30000</v>
      </c>
      <c r="AT775" s="5" t="n">
        <f aca="false">IF(ISBLANK(AS775),AVERAGE(AS775:AS1774),AS775)</f>
        <v>30000</v>
      </c>
      <c r="AV775" s="0" t="str">
        <f aca="false">PROPER(IF(ISBLANK(AU775),"No",AU775))</f>
        <v>No</v>
      </c>
      <c r="AW775" s="0" t="n">
        <v>0</v>
      </c>
      <c r="AX775" s="5" t="n">
        <f aca="false">IF(ISBLANK(AW775),0,AW775)</f>
        <v>0</v>
      </c>
      <c r="AY775" s="0" t="s">
        <v>60</v>
      </c>
      <c r="AZ775" s="0" t="str">
        <f aca="false">UPPER(IF(ISBLANK(AY775),"NONE",AY775))</f>
        <v>NONE</v>
      </c>
      <c r="BA775" s="7" t="n">
        <v>45910</v>
      </c>
      <c r="BB775" s="7" t="n">
        <f aca="false">IF(ISBLANK(BA775),"No Follow Up Needed",BA775)</f>
        <v>45910</v>
      </c>
      <c r="BC775" s="0" t="s">
        <v>82</v>
      </c>
      <c r="BD775" s="0" t="str">
        <f aca="false">PROPER(IF(ISBLANK(BC775),"Unknown",BC775))</f>
        <v>Yes</v>
      </c>
      <c r="BE775" s="0" t="s">
        <v>171</v>
      </c>
      <c r="BF775" s="0" t="str">
        <f aca="false">IF(ISBLANK(BE775),"No comments",BE775)</f>
        <v>Shock absorber weakening</v>
      </c>
      <c r="BH775" s="0" t="str">
        <f aca="false">IF(ISBLANK(BG775),"No comments",BG775)</f>
        <v>No comments</v>
      </c>
      <c r="BI775" s="0" t="s">
        <v>63</v>
      </c>
      <c r="BJ775" s="0" t="str">
        <f aca="false">IF(ISBLANK(BI775),"Not Mentioned",BI775)</f>
        <v>Yes</v>
      </c>
      <c r="BK775" s="0" t="s">
        <v>61</v>
      </c>
      <c r="BL775" s="0" t="str">
        <f aca="false">PROPER(IF(ISBLANK(BK775),"Not Mentioned",BK775))</f>
        <v>No</v>
      </c>
      <c r="BM775" s="0" t="s">
        <v>50</v>
      </c>
      <c r="BN775" s="0" t="str">
        <f aca="false">PROPER(IF(ISBLANK(BM775),"Not Mentioned",BM775))</f>
        <v>No</v>
      </c>
      <c r="BO775" s="0" t="s">
        <v>2318</v>
      </c>
      <c r="BP775" s="0" t="str">
        <f aca="false">IF(ISBLANK(BO775),"One-Time Plan",BO775)</f>
        <v>Gold</v>
      </c>
      <c r="BQ775" s="0" t="s">
        <v>50</v>
      </c>
      <c r="BR775" s="0" t="str">
        <f aca="false">PROPER(IF(ISBLANK(BQ775),"No",BQ775))</f>
        <v>No</v>
      </c>
    </row>
    <row r="776" customFormat="false" ht="15" hidden="false" customHeight="false" outlineLevel="0" collapsed="false">
      <c r="A776" s="0" t="s">
        <v>1844</v>
      </c>
      <c r="B776" s="2" t="n">
        <v>45686</v>
      </c>
      <c r="C776" s="2" t="str">
        <f aca="false">TEXT(B776,"dd/mm/yyyy")</f>
        <v>29/01/2025</v>
      </c>
      <c r="D776" s="0" t="s">
        <v>105</v>
      </c>
      <c r="E776" s="0" t="n">
        <v>8059416355</v>
      </c>
      <c r="F776" s="0" t="s">
        <v>43</v>
      </c>
      <c r="G776" s="0" t="s">
        <v>2315</v>
      </c>
      <c r="H776" s="0" t="s">
        <v>1845</v>
      </c>
      <c r="I776" s="0" t="s">
        <v>134</v>
      </c>
      <c r="J776" s="0" t="s">
        <v>2322</v>
      </c>
      <c r="K776" s="3" t="str">
        <f aca="false" t="array" ref="K776:K776">IFERROR(IF(J776&lt;&gt;"",J776,INDEX(J776:J1775,MATCH(1,(F776:F1775=F776)*(I776:I1775=I776)*(L776:L1775=L776)*(J776:J1775&lt;&gt;""),0))),"Not Found")</f>
        <v>Brake Failure</v>
      </c>
      <c r="L776" s="3" t="s">
        <v>108</v>
      </c>
      <c r="M776" s="0" t="str">
        <f aca="false">PROPER(L776)</f>
        <v>Timing Belt</v>
      </c>
      <c r="N776" s="3" t="s">
        <v>90</v>
      </c>
      <c r="O776" s="0" t="str">
        <f aca="false" t="array" ref="O776:O776">IF(N776&lt;&gt;"",N776,_xlfn.xlookup(1,(L776:L1775=L776)*(N776:N1775&lt;&gt;""),N776:N1775,"Not Found"))</f>
        <v>Musa</v>
      </c>
      <c r="P776" s="4" t="n">
        <v>37647</v>
      </c>
      <c r="Q776" s="0" t="s">
        <v>72</v>
      </c>
      <c r="R776" s="0" t="str">
        <f aca="false">PROPER(Q776)</f>
        <v>Pos</v>
      </c>
      <c r="S776" s="0" t="s">
        <v>50</v>
      </c>
      <c r="T776" s="0" t="n">
        <v>1</v>
      </c>
      <c r="U776" s="5" t="n">
        <f aca="false">IF(ISBLANK(T776),AVERAGE(T776:T1775),T776)</f>
        <v>1</v>
      </c>
      <c r="V776" s="0" t="n">
        <v>3.7</v>
      </c>
      <c r="W776" s="0" t="s">
        <v>92</v>
      </c>
      <c r="X776" s="0" t="str">
        <f aca="false">IF(ISBLANK(W776),"No remarks",W776)</f>
        <v>Urgent service</v>
      </c>
      <c r="Y776" s="0" t="s">
        <v>52</v>
      </c>
      <c r="AA776" s="0" t="str">
        <f aca="false">PROPER(IF(ISBLANK(Z776),"Location Unavailable",Z776))</f>
        <v>Location Unavailable</v>
      </c>
      <c r="AB776" s="0" t="s">
        <v>147</v>
      </c>
      <c r="AC776" s="6" t="str">
        <f aca="false">PROPER(AB776)</f>
        <v>Instagram</v>
      </c>
      <c r="AD776" s="6" t="n">
        <v>30</v>
      </c>
      <c r="AE776" s="5" t="n">
        <f aca="false">IF(ISBLANK(AD776),AVERAGEIF(L776:L1775,L776,AD776:AD1775),AD776)</f>
        <v>30</v>
      </c>
      <c r="AF776" s="0" t="s">
        <v>76</v>
      </c>
      <c r="AG776" s="0" t="str">
        <f aca="false">PROPER(AF776)</f>
        <v>Orderd</v>
      </c>
      <c r="AH776" s="0" t="s">
        <v>155</v>
      </c>
      <c r="AI776" s="0" t="s">
        <v>98</v>
      </c>
      <c r="AJ776" s="0" t="str">
        <f aca="false">PROPER(AI776)</f>
        <v>Emergency</v>
      </c>
      <c r="AK776" s="0" t="s">
        <v>114</v>
      </c>
      <c r="AL776" s="0" t="str">
        <f aca="false">PROPER(AK776)</f>
        <v>Returning</v>
      </c>
      <c r="AN776" s="0" t="str">
        <f aca="false">IF(ISBLANK(AM776),"Unknown",AM776)</f>
        <v>Unknown</v>
      </c>
      <c r="AO776" s="0" t="s">
        <v>149</v>
      </c>
      <c r="AP776" s="0" t="str">
        <f aca="false">IF(ISBLANK(AO776),"Unknown",AO776)</f>
        <v>Senior </v>
      </c>
      <c r="AR776" s="5" t="n">
        <f aca="false">IF(ISBLANK(AQ776),AVERAGEIF(M776:M1775,M776,AQ776:AQ1775),AQ776)</f>
        <v>27352.9411764706</v>
      </c>
      <c r="AS776" s="0" t="n">
        <v>20000</v>
      </c>
      <c r="AT776" s="5" t="n">
        <f aca="false">IF(ISBLANK(AS776),AVERAGE(AS776:AS1775),AS776)</f>
        <v>20000</v>
      </c>
      <c r="AU776" s="0" t="s">
        <v>50</v>
      </c>
      <c r="AV776" s="0" t="str">
        <f aca="false">PROPER(IF(ISBLANK(AU776),"No",AU776))</f>
        <v>No</v>
      </c>
      <c r="AW776" s="0" t="n">
        <v>10000</v>
      </c>
      <c r="AX776" s="5" t="n">
        <f aca="false">IF(ISBLANK(AW776),0,AW776)</f>
        <v>10000</v>
      </c>
      <c r="AY776" s="0" t="s">
        <v>184</v>
      </c>
      <c r="AZ776" s="0" t="str">
        <f aca="false">UPPER(IF(ISBLANK(AY776),"NONE",AY776))</f>
        <v>N/A</v>
      </c>
      <c r="BA776" s="7" t="n">
        <v>45881</v>
      </c>
      <c r="BB776" s="7" t="n">
        <f aca="false">IF(ISBLANK(BA776),"No Follow Up Needed",BA776)</f>
        <v>45881</v>
      </c>
      <c r="BC776" s="0" t="s">
        <v>63</v>
      </c>
      <c r="BD776" s="0" t="str">
        <f aca="false">PROPER(IF(ISBLANK(BC776),"Unknown",BC776))</f>
        <v>Yes</v>
      </c>
      <c r="BE776" s="0" t="s">
        <v>171</v>
      </c>
      <c r="BF776" s="0" t="str">
        <f aca="false">IF(ISBLANK(BE776),"No comments",BE776)</f>
        <v>Shock absorber weakening</v>
      </c>
      <c r="BH776" s="0" t="str">
        <f aca="false">IF(ISBLANK(BG776),"No comments",BG776)</f>
        <v>No comments</v>
      </c>
      <c r="BI776" s="0" t="s">
        <v>63</v>
      </c>
      <c r="BJ776" s="0" t="str">
        <f aca="false">IF(ISBLANK(BI776),"Not Mentioned",BI776)</f>
        <v>Yes</v>
      </c>
      <c r="BL776" s="0" t="str">
        <f aca="false">PROPER(IF(ISBLANK(BK776),"Not Mentioned",BK776))</f>
        <v>Not Mentioned</v>
      </c>
      <c r="BM776" s="0" t="s">
        <v>63</v>
      </c>
      <c r="BN776" s="0" t="str">
        <f aca="false">PROPER(IF(ISBLANK(BM776),"Not Mentioned",BM776))</f>
        <v>Yes</v>
      </c>
      <c r="BO776" s="0" t="s">
        <v>64</v>
      </c>
      <c r="BP776" s="0" t="str">
        <f aca="false">IF(ISBLANK(BO776),"One-Time Plan",BO776)</f>
        <v>Gold Maintenance Plan</v>
      </c>
      <c r="BQ776" s="0" t="s">
        <v>50</v>
      </c>
      <c r="BR776" s="0" t="str">
        <f aca="false">PROPER(IF(ISBLANK(BQ776),"No",BQ776))</f>
        <v>No</v>
      </c>
    </row>
    <row r="777" customFormat="false" ht="15" hidden="false" customHeight="false" outlineLevel="0" collapsed="false">
      <c r="A777" s="0" t="s">
        <v>1846</v>
      </c>
      <c r="B777" s="2" t="n">
        <v>45693</v>
      </c>
      <c r="C777" s="2" t="str">
        <f aca="false">TEXT(B777,"dd/mm/yyyy")</f>
        <v>05/02/2025</v>
      </c>
      <c r="D777" s="0" t="s">
        <v>163</v>
      </c>
      <c r="E777" s="0" t="n">
        <v>8017744982</v>
      </c>
      <c r="F777" s="0" t="s">
        <v>67</v>
      </c>
      <c r="G777" s="0" t="s">
        <v>2316</v>
      </c>
      <c r="H777" s="0" t="s">
        <v>1847</v>
      </c>
      <c r="I777" s="0" t="s">
        <v>134</v>
      </c>
      <c r="J777" s="0" t="s">
        <v>2317</v>
      </c>
      <c r="K777" s="3" t="str">
        <f aca="false" t="array" ref="K777:K777">IFERROR(IF(J777&lt;&gt;"",J777,INDEX(J777:J1776,MATCH(1,(F777:F1776=F777)*(I777:I1776=I777)*(L777:L1776=L777)*(J777:J1776&lt;&gt;""),0))),"Not Found")</f>
        <v>Suspension Noise</v>
      </c>
      <c r="L777" s="3" t="s">
        <v>89</v>
      </c>
      <c r="M777" s="0" t="str">
        <f aca="false">PROPER(L777)</f>
        <v>Shock Absorbers</v>
      </c>
      <c r="O777" s="0" t="e">
        <f aca="false" t="array" ref="O777:O777">IF(N777&lt;&gt;"",N777,_xlfn.xlookup(1,(L777:L1776=L777)*(N777:N1776&lt;&gt;""),N777:N1776,"Not Found"))</f>
        <v>#NAME?</v>
      </c>
      <c r="P777" s="4" t="n">
        <v>106595</v>
      </c>
      <c r="Q777" s="0" t="s">
        <v>72</v>
      </c>
      <c r="R777" s="0" t="str">
        <f aca="false">PROPER(Q777)</f>
        <v>Pos</v>
      </c>
      <c r="S777" s="0" t="s">
        <v>50</v>
      </c>
      <c r="T777" s="0" t="n">
        <v>1</v>
      </c>
      <c r="U777" s="5" t="n">
        <f aca="false">IF(ISBLANK(T777),AVERAGE(T777:T1776),T777)</f>
        <v>1</v>
      </c>
      <c r="V777" s="0" t="n">
        <v>5.6</v>
      </c>
      <c r="W777" s="0" t="s">
        <v>111</v>
      </c>
      <c r="X777" s="0" t="str">
        <f aca="false">IF(ISBLANK(W777),"No remarks",W777)</f>
        <v>Changed all filters</v>
      </c>
      <c r="Y777" s="0" t="s">
        <v>73</v>
      </c>
      <c r="Z777" s="0" t="s">
        <v>94</v>
      </c>
      <c r="AA777" s="0" t="str">
        <f aca="false">PROPER(IF(ISBLANK(Z777),"Location Unavailable",Z777))</f>
        <v>Vip Section</v>
      </c>
      <c r="AB777" s="0" t="s">
        <v>95</v>
      </c>
      <c r="AC777" s="6" t="str">
        <f aca="false">PROPER(AB777)</f>
        <v>Road Sign</v>
      </c>
      <c r="AD777" s="6" t="n">
        <v>45</v>
      </c>
      <c r="AE777" s="5" t="n">
        <f aca="false">IF(ISBLANK(AD777),AVERAGEIF(L777:L1776,L777,AD777:AD1776),AD777)</f>
        <v>45</v>
      </c>
      <c r="AF777" s="0" t="s">
        <v>55</v>
      </c>
      <c r="AG777" s="0" t="str">
        <f aca="false">PROPER(AF777)</f>
        <v>Available</v>
      </c>
      <c r="AH777" s="0" t="s">
        <v>155</v>
      </c>
      <c r="AI777" s="0" t="s">
        <v>98</v>
      </c>
      <c r="AJ777" s="0" t="str">
        <f aca="false">PROPER(AI777)</f>
        <v>Emergency</v>
      </c>
      <c r="AK777" s="0" t="s">
        <v>99</v>
      </c>
      <c r="AL777" s="0" t="str">
        <f aca="false">PROPER(AK777)</f>
        <v>Uber Driver</v>
      </c>
      <c r="AM777" s="0" t="s">
        <v>2324</v>
      </c>
      <c r="AN777" s="0" t="str">
        <f aca="false">IF(ISBLANK(AM777),"Unknown",AM777)</f>
        <v>Logistics Convoy</v>
      </c>
      <c r="AP777" s="0" t="str">
        <f aca="false">IF(ISBLANK(AO777),"Unknown",AO777)</f>
        <v>Unknown</v>
      </c>
      <c r="AQ777" s="0" t="n">
        <v>20000</v>
      </c>
      <c r="AR777" s="5" t="n">
        <f aca="false">IF(ISBLANK(AQ777),AVERAGEIF(M777:M1776,M777,AQ777:AQ1776),AQ777)</f>
        <v>20000</v>
      </c>
      <c r="AS777" s="0" t="n">
        <v>30000</v>
      </c>
      <c r="AT777" s="5" t="n">
        <f aca="false">IF(ISBLANK(AS777),AVERAGE(AS777:AS1776),AS777)</f>
        <v>30000</v>
      </c>
      <c r="AV777" s="0" t="str">
        <f aca="false">PROPER(IF(ISBLANK(AU777),"No",AU777))</f>
        <v>No</v>
      </c>
      <c r="AW777" s="0" t="n">
        <v>5000</v>
      </c>
      <c r="AX777" s="5" t="n">
        <f aca="false">IF(ISBLANK(AW777),0,AW777)</f>
        <v>5000</v>
      </c>
      <c r="AZ777" s="0" t="str">
        <f aca="false">UPPER(IF(ISBLANK(AY777),"NONE",AY777))</f>
        <v>NONE</v>
      </c>
      <c r="BB777" s="7" t="str">
        <f aca="false">IF(ISBLANK(BA777),"No Follow Up Needed",BA777)</f>
        <v>No Follow Up Needed</v>
      </c>
      <c r="BC777" s="0" t="s">
        <v>61</v>
      </c>
      <c r="BD777" s="0" t="str">
        <f aca="false">PROPER(IF(ISBLANK(BC777),"Unknown",BC777))</f>
        <v>No</v>
      </c>
      <c r="BE777" s="0" t="s">
        <v>171</v>
      </c>
      <c r="BF777" s="0" t="str">
        <f aca="false">IF(ISBLANK(BE777),"No comments",BE777)</f>
        <v>Shock absorber weakening</v>
      </c>
      <c r="BG777" s="0" t="s">
        <v>117</v>
      </c>
      <c r="BH777" s="0" t="str">
        <f aca="false">IF(ISBLANK(BG777),"No comments",BG777)</f>
        <v>Prefers morning</v>
      </c>
      <c r="BI777" s="0" t="s">
        <v>63</v>
      </c>
      <c r="BJ777" s="0" t="str">
        <f aca="false">IF(ISBLANK(BI777),"Not Mentioned",BI777)</f>
        <v>Yes</v>
      </c>
      <c r="BK777" s="0" t="s">
        <v>82</v>
      </c>
      <c r="BL777" s="0" t="str">
        <f aca="false">PROPER(IF(ISBLANK(BK777),"Not Mentioned",BK777))</f>
        <v>Yes</v>
      </c>
      <c r="BM777" s="0" t="s">
        <v>63</v>
      </c>
      <c r="BN777" s="0" t="str">
        <f aca="false">PROPER(IF(ISBLANK(BM777),"Not Mentioned",BM777))</f>
        <v>Yes</v>
      </c>
      <c r="BO777" s="0" t="s">
        <v>2321</v>
      </c>
      <c r="BP777" s="0" t="str">
        <f aca="false">IF(ISBLANK(BO777),"One-Time Plan",BO777)</f>
        <v>One-Time Plan</v>
      </c>
      <c r="BQ777" s="0" t="s">
        <v>190</v>
      </c>
      <c r="BR777" s="0" t="str">
        <f aca="false">PROPER(IF(ISBLANK(BQ777),"No",BQ777))</f>
        <v>Yes</v>
      </c>
    </row>
    <row r="778" customFormat="false" ht="15" hidden="false" customHeight="false" outlineLevel="0" collapsed="false">
      <c r="A778" s="0" t="s">
        <v>1848</v>
      </c>
      <c r="B778" s="2" t="n">
        <v>45799</v>
      </c>
      <c r="C778" s="2" t="str">
        <f aca="false">TEXT(B778,"dd/mm/yyyy")</f>
        <v>22/05/2025</v>
      </c>
      <c r="D778" s="0" t="s">
        <v>163</v>
      </c>
      <c r="E778" s="0" t="n">
        <v>8097363169</v>
      </c>
      <c r="F778" s="0" t="s">
        <v>67</v>
      </c>
      <c r="G778" s="0" t="s">
        <v>2316</v>
      </c>
      <c r="H778" s="0" t="s">
        <v>524</v>
      </c>
      <c r="I778" s="0" t="s">
        <v>45</v>
      </c>
      <c r="J778" s="0" t="s">
        <v>2322</v>
      </c>
      <c r="K778" s="3" t="str">
        <f aca="false" t="array" ref="K778:K778">IFERROR(IF(J778&lt;&gt;"",J778,INDEX(J778:J1777,MATCH(1,(F778:F1777=F778)*(I778:I1777=I778)*(L778:L1777=L778)*(J778:J1777&lt;&gt;""),0))),"Not Found")</f>
        <v>Brake Failure</v>
      </c>
      <c r="L778" s="3" t="s">
        <v>89</v>
      </c>
      <c r="M778" s="0" t="str">
        <f aca="false">PROPER(L778)</f>
        <v>Shock Absorbers</v>
      </c>
      <c r="N778" s="3" t="s">
        <v>48</v>
      </c>
      <c r="O778" s="0" t="str">
        <f aca="false" t="array" ref="O778:O778">IF(N778&lt;&gt;"",N778,_xlfn.xlookup(1,(L778:L1777=L778)*(N778:N1777&lt;&gt;""),N778:N1777,"Not Found"))</f>
        <v>Uche</v>
      </c>
      <c r="P778" s="4" t="n">
        <v>100293</v>
      </c>
      <c r="Q778" s="0" t="s">
        <v>72</v>
      </c>
      <c r="R778" s="0" t="str">
        <f aca="false">PROPER(Q778)</f>
        <v>Pos</v>
      </c>
      <c r="S778" s="0" t="s">
        <v>50</v>
      </c>
      <c r="T778" s="0" t="n">
        <v>1</v>
      </c>
      <c r="U778" s="5" t="n">
        <f aca="false">IF(ISBLANK(T778),AVERAGE(T778:T1777),T778)</f>
        <v>1</v>
      </c>
      <c r="V778" s="0" t="n">
        <v>1.5</v>
      </c>
      <c r="W778" s="0" t="s">
        <v>51</v>
      </c>
      <c r="X778" s="0" t="str">
        <f aca="false">IF(ISBLANK(W778),"No remarks",W778)</f>
        <v>Recommended further checks</v>
      </c>
      <c r="Y778" s="0" t="s">
        <v>73</v>
      </c>
      <c r="Z778" s="0" t="s">
        <v>94</v>
      </c>
      <c r="AA778" s="0" t="str">
        <f aca="false">PROPER(IF(ISBLANK(Z778),"Location Unavailable",Z778))</f>
        <v>Vip Section</v>
      </c>
      <c r="AB778" s="0" t="s">
        <v>147</v>
      </c>
      <c r="AC778" s="6" t="str">
        <f aca="false">PROPER(AB778)</f>
        <v>Instagram</v>
      </c>
      <c r="AD778" s="6" t="n">
        <v>60</v>
      </c>
      <c r="AE778" s="5" t="n">
        <f aca="false">IF(ISBLANK(AD778),AVERAGEIF(L778:L1777,L778,AD778:AD1777),AD778)</f>
        <v>60</v>
      </c>
      <c r="AF778" s="0" t="s">
        <v>112</v>
      </c>
      <c r="AG778" s="0" t="str">
        <f aca="false">PROPER(AF778)</f>
        <v>Unavailable</v>
      </c>
      <c r="AH778" s="0" t="s">
        <v>155</v>
      </c>
      <c r="AI778" s="0" t="s">
        <v>78</v>
      </c>
      <c r="AJ778" s="0" t="str">
        <f aca="false">PROPER(AI778)</f>
        <v>Booking</v>
      </c>
      <c r="AK778" s="0" t="s">
        <v>58</v>
      </c>
      <c r="AL778" s="0" t="str">
        <f aca="false">PROPER(AK778)</f>
        <v>Fleet Owner</v>
      </c>
      <c r="AM778" s="0" t="s">
        <v>177</v>
      </c>
      <c r="AN778" s="0" t="str">
        <f aca="false">IF(ISBLANK(AM778),"Unknown",AM778)</f>
        <v>Private</v>
      </c>
      <c r="AO778" s="0" t="s">
        <v>149</v>
      </c>
      <c r="AP778" s="0" t="str">
        <f aca="false">IF(ISBLANK(AO778),"Unknown",AO778)</f>
        <v>Senior </v>
      </c>
      <c r="AQ778" s="0" t="n">
        <v>15000</v>
      </c>
      <c r="AR778" s="5" t="n">
        <f aca="false">IF(ISBLANK(AQ778),AVERAGEIF(M778:M1777,M778,AQ778:AQ1777),AQ778)</f>
        <v>15000</v>
      </c>
      <c r="AS778" s="0" t="n">
        <v>30000</v>
      </c>
      <c r="AT778" s="5" t="n">
        <f aca="false">IF(ISBLANK(AS778),AVERAGE(AS778:AS1777),AS778)</f>
        <v>30000</v>
      </c>
      <c r="AU778" s="0" t="s">
        <v>61</v>
      </c>
      <c r="AV778" s="0" t="str">
        <f aca="false">PROPER(IF(ISBLANK(AU778),"No",AU778))</f>
        <v>No</v>
      </c>
      <c r="AW778" s="0" t="n">
        <v>5000</v>
      </c>
      <c r="AX778" s="5" t="n">
        <f aca="false">IF(ISBLANK(AW778),0,AW778)</f>
        <v>5000</v>
      </c>
      <c r="AY778" s="0" t="s">
        <v>130</v>
      </c>
      <c r="AZ778" s="0" t="str">
        <f aca="false">UPPER(IF(ISBLANK(AY778),"NONE",AY778))</f>
        <v>LOYALTY10</v>
      </c>
      <c r="BA778" s="7" t="n">
        <v>45986</v>
      </c>
      <c r="BB778" s="7" t="n">
        <f aca="false">IF(ISBLANK(BA778),"No Follow Up Needed",BA778)</f>
        <v>45986</v>
      </c>
      <c r="BC778" s="0" t="s">
        <v>82</v>
      </c>
      <c r="BD778" s="0" t="str">
        <f aca="false">PROPER(IF(ISBLANK(BC778),"Unknown",BC778))</f>
        <v>Yes</v>
      </c>
      <c r="BE778" s="0" t="s">
        <v>116</v>
      </c>
      <c r="BF778" s="0" t="str">
        <f aca="false">IF(ISBLANK(BE778),"No comments",BE778)</f>
        <v>Needs tire alignment</v>
      </c>
      <c r="BH778" s="0" t="str">
        <f aca="false">IF(ISBLANK(BG778),"No comments",BG778)</f>
        <v>No comments</v>
      </c>
      <c r="BI778" s="0" t="s">
        <v>63</v>
      </c>
      <c r="BJ778" s="0" t="str">
        <f aca="false">IF(ISBLANK(BI778),"Not Mentioned",BI778)</f>
        <v>Yes</v>
      </c>
      <c r="BK778" s="0" t="s">
        <v>61</v>
      </c>
      <c r="BL778" s="0" t="str">
        <f aca="false">PROPER(IF(ISBLANK(BK778),"Not Mentioned",BK778))</f>
        <v>No</v>
      </c>
      <c r="BM778" s="0" t="s">
        <v>63</v>
      </c>
      <c r="BN778" s="0" t="str">
        <f aca="false">PROPER(IF(ISBLANK(BM778),"Not Mentioned",BM778))</f>
        <v>Yes</v>
      </c>
      <c r="BO778" s="0" t="s">
        <v>2321</v>
      </c>
      <c r="BP778" s="0" t="str">
        <f aca="false">IF(ISBLANK(BO778),"One-Time Plan",BO778)</f>
        <v>One-Time Plan</v>
      </c>
      <c r="BQ778" s="0" t="s">
        <v>50</v>
      </c>
      <c r="BR778" s="0" t="str">
        <f aca="false">PROPER(IF(ISBLANK(BQ778),"No",BQ778))</f>
        <v>No</v>
      </c>
    </row>
    <row r="779" customFormat="false" ht="15" hidden="false" customHeight="false" outlineLevel="0" collapsed="false">
      <c r="A779" s="0" t="s">
        <v>1849</v>
      </c>
      <c r="B779" s="2" t="n">
        <v>45875</v>
      </c>
      <c r="C779" s="2" t="str">
        <f aca="false">TEXT(B779,"dd/mm/yyyy")</f>
        <v>06/08/2025</v>
      </c>
      <c r="D779" s="0" t="s">
        <v>66</v>
      </c>
      <c r="E779" s="0" t="n">
        <v>8061718540</v>
      </c>
      <c r="F779" s="0" t="s">
        <v>139</v>
      </c>
      <c r="G779" s="0" t="s">
        <v>2323</v>
      </c>
      <c r="H779" s="0" t="s">
        <v>1850</v>
      </c>
      <c r="I779" s="0" t="s">
        <v>87</v>
      </c>
      <c r="J779" s="0" t="s">
        <v>2325</v>
      </c>
      <c r="K779" s="3" t="str">
        <f aca="false" t="array" ref="K779:K779">IFERROR(IF(J779&lt;&gt;"",J779,INDEX(J779:J1778,MATCH(1,(F779:F1778=F779)*(I779:I1778=I779)*(L779:L1778=L779)*(J779:J1778&lt;&gt;""),0))),"Not Found")</f>
        <v>Engine Knocking</v>
      </c>
      <c r="L779" s="3" t="s">
        <v>189</v>
      </c>
      <c r="M779" s="0" t="str">
        <f aca="false">PROPER(L779)</f>
        <v>Battery</v>
      </c>
      <c r="N779" s="3" t="s">
        <v>90</v>
      </c>
      <c r="O779" s="0" t="str">
        <f aca="false" t="array" ref="O779:O779">IF(N779&lt;&gt;"",N779,_xlfn.xlookup(1,(L779:L1778=L779)*(N779:N1778&lt;&gt;""),N779:N1778,"Not Found"))</f>
        <v>Musa</v>
      </c>
      <c r="P779" s="4" t="n">
        <v>77552</v>
      </c>
      <c r="Q779" s="0" t="s">
        <v>166</v>
      </c>
      <c r="R779" s="0" t="str">
        <f aca="false">PROPER(Q779)</f>
        <v>Transfer</v>
      </c>
      <c r="S779" s="0" t="s">
        <v>63</v>
      </c>
      <c r="T779" s="0" t="n">
        <v>3</v>
      </c>
      <c r="U779" s="5" t="n">
        <f aca="false">IF(ISBLANK(T779),AVERAGE(T779:T1778),T779)</f>
        <v>3</v>
      </c>
      <c r="V779" s="0" t="n">
        <v>5</v>
      </c>
      <c r="W779" s="0" t="s">
        <v>111</v>
      </c>
      <c r="X779" s="0" t="str">
        <f aca="false">IF(ISBLANK(W779),"No remarks",W779)</f>
        <v>Changed all filters</v>
      </c>
      <c r="Y779" s="0" t="s">
        <v>52</v>
      </c>
      <c r="Z779" s="0" t="s">
        <v>74</v>
      </c>
      <c r="AA779" s="0" t="str">
        <f aca="false">PROPER(IF(ISBLANK(Z779),"Location Unavailable",Z779))</f>
        <v>Under Tree</v>
      </c>
      <c r="AB779" s="0" t="s">
        <v>54</v>
      </c>
      <c r="AC779" s="6" t="str">
        <f aca="false">PROPER(AB779)</f>
        <v>Mechanic Referral</v>
      </c>
      <c r="AD779" s="6" t="n">
        <v>60</v>
      </c>
      <c r="AE779" s="5" t="n">
        <f aca="false">IF(ISBLANK(AD779),AVERAGEIF(L779:L1778,L779,AD779:AD1778),AD779)</f>
        <v>60</v>
      </c>
      <c r="AF779" s="0" t="s">
        <v>112</v>
      </c>
      <c r="AG779" s="0" t="str">
        <f aca="false">PROPER(AF779)</f>
        <v>Unavailable</v>
      </c>
      <c r="AH779" s="0" t="s">
        <v>155</v>
      </c>
      <c r="AI779" s="0" t="s">
        <v>113</v>
      </c>
      <c r="AJ779" s="0" t="str">
        <f aca="false">PROPER(AI779)</f>
        <v>Normal</v>
      </c>
      <c r="AK779" s="0" t="s">
        <v>58</v>
      </c>
      <c r="AL779" s="0" t="str">
        <f aca="false">PROPER(AK779)</f>
        <v>Fleet Owner</v>
      </c>
      <c r="AM779" s="0" t="s">
        <v>177</v>
      </c>
      <c r="AN779" s="0" t="str">
        <f aca="false">IF(ISBLANK(AM779),"Unknown",AM779)</f>
        <v>Private</v>
      </c>
      <c r="AP779" s="0" t="str">
        <f aca="false">IF(ISBLANK(AO779),"Unknown",AO779)</f>
        <v>Unknown</v>
      </c>
      <c r="AR779" s="5" t="n">
        <f aca="false">IF(ISBLANK(AQ779),AVERAGEIF(M779:M1778,M779,AQ779:AQ1778),AQ779)</f>
        <v>26458.3333333333</v>
      </c>
      <c r="AT779" s="5" t="n">
        <f aca="false">IF(ISBLANK(AS779),AVERAGE(AS779:AS1778),AS779)</f>
        <v>31462.7659574468</v>
      </c>
      <c r="AU779" s="0" t="s">
        <v>61</v>
      </c>
      <c r="AV779" s="0" t="str">
        <f aca="false">PROPER(IF(ISBLANK(AU779),"No",AU779))</f>
        <v>No</v>
      </c>
      <c r="AW779" s="0" t="n">
        <v>0</v>
      </c>
      <c r="AX779" s="5" t="n">
        <f aca="false">IF(ISBLANK(AW779),0,AW779)</f>
        <v>0</v>
      </c>
      <c r="AY779" s="0" t="s">
        <v>60</v>
      </c>
      <c r="AZ779" s="0" t="str">
        <f aca="false">UPPER(IF(ISBLANK(AY779),"NONE",AY779))</f>
        <v>NONE</v>
      </c>
      <c r="BA779" s="7" t="s">
        <v>588</v>
      </c>
      <c r="BB779" s="7" t="str">
        <f aca="false">IF(ISBLANK(BA779),"No Follow Up Needed",BA779)</f>
        <v>23/07/2025</v>
      </c>
      <c r="BC779" s="0" t="s">
        <v>82</v>
      </c>
      <c r="BD779" s="0" t="str">
        <f aca="false">PROPER(IF(ISBLANK(BC779),"Unknown",BC779))</f>
        <v>Yes</v>
      </c>
      <c r="BE779" s="0" t="s">
        <v>171</v>
      </c>
      <c r="BF779" s="0" t="str">
        <f aca="false">IF(ISBLANK(BE779),"No comments",BE779)</f>
        <v>Shock absorber weakening</v>
      </c>
      <c r="BG779" s="0" t="s">
        <v>172</v>
      </c>
      <c r="BH779" s="0" t="str">
        <f aca="false">IF(ISBLANK(BG779),"No comments",BG779)</f>
        <v>Always late</v>
      </c>
      <c r="BI779" s="0" t="s">
        <v>63</v>
      </c>
      <c r="BJ779" s="0" t="str">
        <f aca="false">IF(ISBLANK(BI779),"Not Mentioned",BI779)</f>
        <v>Yes</v>
      </c>
      <c r="BK779" s="0" t="s">
        <v>82</v>
      </c>
      <c r="BL779" s="0" t="str">
        <f aca="false">PROPER(IF(ISBLANK(BK779),"Not Mentioned",BK779))</f>
        <v>Yes</v>
      </c>
      <c r="BM779" s="0" t="s">
        <v>63</v>
      </c>
      <c r="BN779" s="0" t="str">
        <f aca="false">PROPER(IF(ISBLANK(BM779),"Not Mentioned",BM779))</f>
        <v>Yes</v>
      </c>
      <c r="BP779" s="0" t="str">
        <f aca="false">IF(ISBLANK(BO779),"One-Time Plan",BO779)</f>
        <v>One-Time Plan</v>
      </c>
      <c r="BR779" s="0" t="str">
        <f aca="false">PROPER(IF(ISBLANK(BQ779),"No",BQ779))</f>
        <v>No</v>
      </c>
    </row>
    <row r="780" customFormat="false" ht="15" hidden="false" customHeight="false" outlineLevel="0" collapsed="false">
      <c r="A780" s="0" t="s">
        <v>1851</v>
      </c>
      <c r="B780" s="2" t="n">
        <v>45749</v>
      </c>
      <c r="C780" s="2" t="str">
        <f aca="false">TEXT(B780,"dd/mm/yyyy")</f>
        <v>02/04/2025</v>
      </c>
      <c r="D780" s="0" t="s">
        <v>42</v>
      </c>
      <c r="E780" s="0" t="n">
        <v>8066913730</v>
      </c>
      <c r="F780" s="0" t="s">
        <v>85</v>
      </c>
      <c r="G780" s="0" t="s">
        <v>2319</v>
      </c>
      <c r="H780" s="0" t="s">
        <v>1852</v>
      </c>
      <c r="I780" s="0" t="s">
        <v>107</v>
      </c>
      <c r="J780" s="0" t="s">
        <v>2317</v>
      </c>
      <c r="K780" s="3" t="str">
        <f aca="false" t="array" ref="K780:K780">IFERROR(IF(J780&lt;&gt;"",J780,INDEX(J780:J1779,MATCH(1,(F780:F1779=F780)*(I780:I1779=I780)*(L780:L1779=L780)*(J780:J1779&lt;&gt;""),0))),"Not Found")</f>
        <v>Suspension Noise</v>
      </c>
      <c r="L780" s="3" t="s">
        <v>47</v>
      </c>
      <c r="M780" s="0" t="str">
        <f aca="false">PROPER(L780)</f>
        <v>None</v>
      </c>
      <c r="O780" s="0" t="e">
        <f aca="false" t="array" ref="O780:O780">IF(N780&lt;&gt;"",N780,_xlfn.xlookup(1,(L780:L1779=L780)*(N780:N1779&lt;&gt;""),N780:N1779,"Not Found"))</f>
        <v>#NAME?</v>
      </c>
      <c r="P780" s="4" t="n">
        <v>97783</v>
      </c>
      <c r="Q780" s="0" t="s">
        <v>72</v>
      </c>
      <c r="R780" s="0" t="str">
        <f aca="false">PROPER(Q780)</f>
        <v>Pos</v>
      </c>
      <c r="S780" s="0" t="s">
        <v>63</v>
      </c>
      <c r="T780" s="0" t="n">
        <v>2</v>
      </c>
      <c r="U780" s="5" t="n">
        <f aca="false">IF(ISBLANK(T780),AVERAGE(T780:T1779),T780)</f>
        <v>2</v>
      </c>
      <c r="V780" s="0" t="n">
        <v>3.7</v>
      </c>
      <c r="X780" s="0" t="str">
        <f aca="false">IF(ISBLANK(W780),"No remarks",W780)</f>
        <v>No remarks</v>
      </c>
      <c r="Y780" s="0" t="s">
        <v>52</v>
      </c>
      <c r="Z780" s="0" t="s">
        <v>53</v>
      </c>
      <c r="AA780" s="0" t="str">
        <f aca="false">PROPER(IF(ISBLANK(Z780),"Location Unavailable",Z780))</f>
        <v>Main Bay</v>
      </c>
      <c r="AB780" s="0" t="s">
        <v>126</v>
      </c>
      <c r="AC780" s="6" t="str">
        <f aca="false">PROPER(AB780)</f>
        <v>Whatsapp</v>
      </c>
      <c r="AD780" s="6" t="n">
        <v>60</v>
      </c>
      <c r="AE780" s="5" t="n">
        <f aca="false">IF(ISBLANK(AD780),AVERAGEIF(L780:L1779,L780,AD780:AD1779),AD780)</f>
        <v>60</v>
      </c>
      <c r="AF780" s="0" t="s">
        <v>76</v>
      </c>
      <c r="AG780" s="0" t="str">
        <f aca="false">PROPER(AF780)</f>
        <v>Orderd</v>
      </c>
      <c r="AH780" s="0" t="s">
        <v>155</v>
      </c>
      <c r="AI780" s="0" t="s">
        <v>128</v>
      </c>
      <c r="AJ780" s="0" t="str">
        <f aca="false">PROPER(AI780)</f>
        <v>Normal</v>
      </c>
      <c r="AK780" s="0" t="s">
        <v>99</v>
      </c>
      <c r="AL780" s="0" t="str">
        <f aca="false">PROPER(AK780)</f>
        <v>Uber Driver</v>
      </c>
      <c r="AM780" s="0" t="s">
        <v>59</v>
      </c>
      <c r="AN780" s="0" t="str">
        <f aca="false">IF(ISBLANK(AM780),"Unknown",AM780)</f>
        <v>Bolt Driver</v>
      </c>
      <c r="AO780" s="0" t="s">
        <v>143</v>
      </c>
      <c r="AP780" s="0" t="str">
        <f aca="false">IF(ISBLANK(AO780),"Unknown",AO780)</f>
        <v>Senior</v>
      </c>
      <c r="AQ780" s="0" t="n">
        <v>40000</v>
      </c>
      <c r="AR780" s="5" t="n">
        <f aca="false">IF(ISBLANK(AQ780),AVERAGEIF(M780:M1779,M780,AQ780:AQ1779),AQ780)</f>
        <v>40000</v>
      </c>
      <c r="AS780" s="0" t="n">
        <v>30000</v>
      </c>
      <c r="AT780" s="5" t="n">
        <f aca="false">IF(ISBLANK(AS780),AVERAGE(AS780:AS1779),AS780)</f>
        <v>30000</v>
      </c>
      <c r="AU780" s="0" t="s">
        <v>82</v>
      </c>
      <c r="AV780" s="0" t="str">
        <f aca="false">PROPER(IF(ISBLANK(AU780),"No",AU780))</f>
        <v>Yes</v>
      </c>
      <c r="AW780" s="0" t="n">
        <v>10000</v>
      </c>
      <c r="AX780" s="5" t="n">
        <f aca="false">IF(ISBLANK(AW780),0,AW780)</f>
        <v>10000</v>
      </c>
      <c r="AY780" s="0" t="s">
        <v>184</v>
      </c>
      <c r="AZ780" s="0" t="str">
        <f aca="false">UPPER(IF(ISBLANK(AY780),"NONE",AY780))</f>
        <v>N/A</v>
      </c>
      <c r="BA780" s="7" t="n">
        <v>45962</v>
      </c>
      <c r="BB780" s="7" t="n">
        <f aca="false">IF(ISBLANK(BA780),"No Follow Up Needed",BA780)</f>
        <v>45962</v>
      </c>
      <c r="BC780" s="0" t="s">
        <v>63</v>
      </c>
      <c r="BD780" s="0" t="str">
        <f aca="false">PROPER(IF(ISBLANK(BC780),"Unknown",BC780))</f>
        <v>Yes</v>
      </c>
      <c r="BF780" s="0" t="str">
        <f aca="false">IF(ISBLANK(BE780),"No comments",BE780)</f>
        <v>No comments</v>
      </c>
      <c r="BH780" s="0" t="str">
        <f aca="false">IF(ISBLANK(BG780),"No comments",BG780)</f>
        <v>No comments</v>
      </c>
      <c r="BI780" s="0" t="s">
        <v>50</v>
      </c>
      <c r="BJ780" s="0" t="str">
        <f aca="false">IF(ISBLANK(BI780),"Not Mentioned",BI780)</f>
        <v>No</v>
      </c>
      <c r="BK780" s="0" t="s">
        <v>82</v>
      </c>
      <c r="BL780" s="0" t="str">
        <f aca="false">PROPER(IF(ISBLANK(BK780),"Not Mentioned",BK780))</f>
        <v>Yes</v>
      </c>
      <c r="BM780" s="0" t="s">
        <v>50</v>
      </c>
      <c r="BN780" s="0" t="str">
        <f aca="false">PROPER(IF(ISBLANK(BM780),"Not Mentioned",BM780))</f>
        <v>No</v>
      </c>
      <c r="BO780" s="0" t="s">
        <v>2321</v>
      </c>
      <c r="BP780" s="0" t="str">
        <f aca="false">IF(ISBLANK(BO780),"One-Time Plan",BO780)</f>
        <v>One-Time Plan</v>
      </c>
      <c r="BQ780" s="0" t="s">
        <v>63</v>
      </c>
      <c r="BR780" s="0" t="str">
        <f aca="false">PROPER(IF(ISBLANK(BQ780),"No",BQ780))</f>
        <v>Yes</v>
      </c>
    </row>
    <row r="781" customFormat="false" ht="15" hidden="false" customHeight="false" outlineLevel="0" collapsed="false">
      <c r="A781" s="0" t="s">
        <v>1853</v>
      </c>
      <c r="B781" s="2" t="n">
        <v>45707</v>
      </c>
      <c r="C781" s="2" t="str">
        <f aca="false">TEXT(B781,"dd/mm/yyyy")</f>
        <v>19/02/2025</v>
      </c>
      <c r="D781" s="0" t="s">
        <v>105</v>
      </c>
      <c r="E781" s="0" t="n">
        <v>8043123836</v>
      </c>
      <c r="F781" s="0" t="s">
        <v>67</v>
      </c>
      <c r="G781" s="0" t="s">
        <v>2316</v>
      </c>
      <c r="H781" s="0" t="s">
        <v>1854</v>
      </c>
      <c r="I781" s="0" t="s">
        <v>45</v>
      </c>
      <c r="J781" s="0" t="s">
        <v>2317</v>
      </c>
      <c r="K781" s="3" t="str">
        <f aca="false" t="array" ref="K781:K781">IFERROR(IF(J781&lt;&gt;"",J781,INDEX(J781:J1780,MATCH(1,(F781:F1780=F781)*(I781:I1780=I781)*(L781:L1780=L781)*(J781:J1780&lt;&gt;""),0))),"Not Found")</f>
        <v>Suspension Noise</v>
      </c>
      <c r="L781" s="3" t="s">
        <v>189</v>
      </c>
      <c r="M781" s="0" t="str">
        <f aca="false">PROPER(L781)</f>
        <v>Battery</v>
      </c>
      <c r="N781" s="3" t="s">
        <v>48</v>
      </c>
      <c r="O781" s="0" t="str">
        <f aca="false" t="array" ref="O781:O781">IF(N781&lt;&gt;"",N781,_xlfn.xlookup(1,(L781:L1780=L781)*(N781:N1780&lt;&gt;""),N781:N1780,"Not Found"))</f>
        <v>Uche</v>
      </c>
      <c r="P781" s="4" t="n">
        <v>87460</v>
      </c>
      <c r="Q781" s="0" t="s">
        <v>110</v>
      </c>
      <c r="R781" s="0" t="str">
        <f aca="false">PROPER(Q781)</f>
        <v>Cash</v>
      </c>
      <c r="S781" s="0" t="s">
        <v>63</v>
      </c>
      <c r="U781" s="5" t="n">
        <f aca="false">IF(ISBLANK(T781),AVERAGE(T781:T1780),T781)</f>
        <v>3.23076923076923</v>
      </c>
      <c r="V781" s="0" t="n">
        <v>3</v>
      </c>
      <c r="W781" s="0" t="s">
        <v>111</v>
      </c>
      <c r="X781" s="0" t="str">
        <f aca="false">IF(ISBLANK(W781),"No remarks",W781)</f>
        <v>Changed all filters</v>
      </c>
      <c r="Y781" s="0" t="s">
        <v>52</v>
      </c>
      <c r="Z781" s="0" t="s">
        <v>94</v>
      </c>
      <c r="AA781" s="0" t="str">
        <f aca="false">PROPER(IF(ISBLANK(Z781),"Location Unavailable",Z781))</f>
        <v>Vip Section</v>
      </c>
      <c r="AB781" s="0" t="s">
        <v>167</v>
      </c>
      <c r="AC781" s="6" t="str">
        <f aca="false">PROPER(AB781)</f>
        <v>Word Of Mouth</v>
      </c>
      <c r="AD781" s="6" t="n">
        <v>45</v>
      </c>
      <c r="AE781" s="5" t="n">
        <f aca="false">IF(ISBLANK(AD781),AVERAGEIF(L781:L1780,L781,AD781:AD1780),AD781)</f>
        <v>45</v>
      </c>
      <c r="AF781" s="0" t="s">
        <v>96</v>
      </c>
      <c r="AG781" s="0" t="str">
        <f aca="false">PROPER(AF781)</f>
        <v>Ordered</v>
      </c>
      <c r="AH781" s="0" t="s">
        <v>148</v>
      </c>
      <c r="AI781" s="0" t="s">
        <v>128</v>
      </c>
      <c r="AJ781" s="0" t="str">
        <f aca="false">PROPER(AI781)</f>
        <v>Normal</v>
      </c>
      <c r="AK781" s="0" t="s">
        <v>58</v>
      </c>
      <c r="AL781" s="0" t="str">
        <f aca="false">PROPER(AK781)</f>
        <v>Fleet Owner</v>
      </c>
      <c r="AM781" s="0" t="s">
        <v>2324</v>
      </c>
      <c r="AN781" s="0" t="str">
        <f aca="false">IF(ISBLANK(AM781),"Unknown",AM781)</f>
        <v>Logistics Convoy</v>
      </c>
      <c r="AP781" s="0" t="str">
        <f aca="false">IF(ISBLANK(AO781),"Unknown",AO781)</f>
        <v>Unknown</v>
      </c>
      <c r="AR781" s="5" t="n">
        <f aca="false">IF(ISBLANK(AQ781),AVERAGEIF(M781:M1780,M781,AQ781:AQ1780),AQ781)</f>
        <v>26458.3333333333</v>
      </c>
      <c r="AS781" s="0" t="n">
        <v>30000</v>
      </c>
      <c r="AT781" s="5" t="n">
        <f aca="false">IF(ISBLANK(AS781),AVERAGE(AS781:AS1780),AS781)</f>
        <v>30000</v>
      </c>
      <c r="AU781" s="0" t="s">
        <v>63</v>
      </c>
      <c r="AV781" s="0" t="str">
        <f aca="false">PROPER(IF(ISBLANK(AU781),"No",AU781))</f>
        <v>Yes</v>
      </c>
      <c r="AX781" s="5" t="n">
        <f aca="false">IF(ISBLANK(AW781),0,AW781)</f>
        <v>0</v>
      </c>
      <c r="AY781" s="0" t="s">
        <v>60</v>
      </c>
      <c r="AZ781" s="0" t="str">
        <f aca="false">UPPER(IF(ISBLANK(AY781),"NONE",AY781))</f>
        <v>NONE</v>
      </c>
      <c r="BA781" s="7" t="n">
        <v>45823</v>
      </c>
      <c r="BB781" s="7" t="n">
        <f aca="false">IF(ISBLANK(BA781),"No Follow Up Needed",BA781)</f>
        <v>45823</v>
      </c>
      <c r="BD781" s="0" t="str">
        <f aca="false">PROPER(IF(ISBLANK(BC781),"Unknown",BC781))</f>
        <v>Unknown</v>
      </c>
      <c r="BF781" s="0" t="str">
        <f aca="false">IF(ISBLANK(BE781),"No comments",BE781)</f>
        <v>No comments</v>
      </c>
      <c r="BG781" s="0" t="s">
        <v>172</v>
      </c>
      <c r="BH781" s="0" t="str">
        <f aca="false">IF(ISBLANK(BG781),"No comments",BG781)</f>
        <v>Always late</v>
      </c>
      <c r="BJ781" s="0" t="str">
        <f aca="false">IF(ISBLANK(BI781),"Not Mentioned",BI781)</f>
        <v>Not Mentioned</v>
      </c>
      <c r="BK781" s="0" t="s">
        <v>63</v>
      </c>
      <c r="BL781" s="0" t="str">
        <f aca="false">PROPER(IF(ISBLANK(BK781),"Not Mentioned",BK781))</f>
        <v>Yes</v>
      </c>
      <c r="BM781" s="0" t="s">
        <v>50</v>
      </c>
      <c r="BN781" s="0" t="str">
        <f aca="false">PROPER(IF(ISBLANK(BM781),"Not Mentioned",BM781))</f>
        <v>No</v>
      </c>
      <c r="BO781" s="0" t="s">
        <v>2318</v>
      </c>
      <c r="BP781" s="0" t="str">
        <f aca="false">IF(ISBLANK(BO781),"One-Time Plan",BO781)</f>
        <v>Gold</v>
      </c>
      <c r="BQ781" s="0" t="s">
        <v>198</v>
      </c>
      <c r="BR781" s="0" t="str">
        <f aca="false">PROPER(IF(ISBLANK(BQ781),"No",BQ781))</f>
        <v>Followed Up</v>
      </c>
    </row>
    <row r="782" customFormat="false" ht="15" hidden="false" customHeight="false" outlineLevel="0" collapsed="false">
      <c r="A782" s="0" t="s">
        <v>1855</v>
      </c>
      <c r="B782" s="2" t="n">
        <v>45792</v>
      </c>
      <c r="C782" s="2" t="str">
        <f aca="false">TEXT(B782,"dd/mm/yyyy")</f>
        <v>15/05/2025</v>
      </c>
      <c r="D782" s="0" t="s">
        <v>163</v>
      </c>
      <c r="E782" s="0" t="n">
        <v>8042528051</v>
      </c>
      <c r="F782" s="0" t="s">
        <v>122</v>
      </c>
      <c r="G782" s="0" t="s">
        <v>2316</v>
      </c>
      <c r="H782" s="0" t="s">
        <v>1856</v>
      </c>
      <c r="I782" s="0" t="s">
        <v>134</v>
      </c>
      <c r="J782" s="0" t="s">
        <v>2325</v>
      </c>
      <c r="K782" s="3" t="str">
        <f aca="false" t="array" ref="K782:K782">IFERROR(IF(J782&lt;&gt;"",J782,INDEX(J782:J1781,MATCH(1,(F782:F1781=F782)*(I782:I1781=I782)*(L782:L1781=L782)*(J782:J1781&lt;&gt;""),0))),"Not Found")</f>
        <v>Engine Knocking</v>
      </c>
      <c r="L782" s="3" t="s">
        <v>89</v>
      </c>
      <c r="M782" s="0" t="str">
        <f aca="false">PROPER(L782)</f>
        <v>Shock Absorbers</v>
      </c>
      <c r="N782" s="3" t="s">
        <v>71</v>
      </c>
      <c r="O782" s="0" t="str">
        <f aca="false" t="array" ref="O782:O782">IF(N782&lt;&gt;"",N782,_xlfn.xlookup(1,(L782:L1781=L782)*(N782:N1781&lt;&gt;""),N782:N1781,"Not Found"))</f>
        <v>Isaac Bobo</v>
      </c>
      <c r="P782" s="4" t="n">
        <v>88003</v>
      </c>
      <c r="Q782" s="0" t="s">
        <v>124</v>
      </c>
      <c r="R782" s="0" t="str">
        <f aca="false">PROPER(Q782)</f>
        <v>Cash</v>
      </c>
      <c r="S782" s="0" t="s">
        <v>63</v>
      </c>
      <c r="T782" s="0" t="n">
        <v>2</v>
      </c>
      <c r="U782" s="5" t="n">
        <f aca="false">IF(ISBLANK(T782),AVERAGE(T782:T1781),T782)</f>
        <v>2</v>
      </c>
      <c r="V782" s="0" t="n">
        <v>4.8</v>
      </c>
      <c r="W782" s="0" t="s">
        <v>111</v>
      </c>
      <c r="X782" s="0" t="str">
        <f aca="false">IF(ISBLANK(W782),"No remarks",W782)</f>
        <v>Changed all filters</v>
      </c>
      <c r="Y782" s="0" t="s">
        <v>93</v>
      </c>
      <c r="Z782" s="0" t="s">
        <v>53</v>
      </c>
      <c r="AA782" s="0" t="str">
        <f aca="false">PROPER(IF(ISBLANK(Z782),"Location Unavailable",Z782))</f>
        <v>Main Bay</v>
      </c>
      <c r="AB782" s="0" t="s">
        <v>126</v>
      </c>
      <c r="AC782" s="6" t="str">
        <f aca="false">PROPER(AB782)</f>
        <v>Whatsapp</v>
      </c>
      <c r="AD782" s="6" t="n">
        <v>15</v>
      </c>
      <c r="AE782" s="5" t="n">
        <f aca="false">IF(ISBLANK(AD782),AVERAGEIF(L782:L1781,L782,AD782:AD1781),AD782)</f>
        <v>15</v>
      </c>
      <c r="AF782" s="0" t="s">
        <v>76</v>
      </c>
      <c r="AG782" s="0" t="str">
        <f aca="false">PROPER(AF782)</f>
        <v>Orderd</v>
      </c>
      <c r="AH782" s="0" t="s">
        <v>77</v>
      </c>
      <c r="AI782" s="0" t="s">
        <v>113</v>
      </c>
      <c r="AJ782" s="0" t="str">
        <f aca="false">PROPER(AI782)</f>
        <v>Normal</v>
      </c>
      <c r="AK782" s="0" t="s">
        <v>196</v>
      </c>
      <c r="AL782" s="0" t="str">
        <f aca="false">PROPER(AK782)</f>
        <v>First Time</v>
      </c>
      <c r="AM782" s="0" t="s">
        <v>2326</v>
      </c>
      <c r="AN782" s="0" t="str">
        <f aca="false">IF(ISBLANK(AM782),"Unknown",AM782)</f>
        <v>Government Convoy</v>
      </c>
      <c r="AO782" s="0" t="s">
        <v>149</v>
      </c>
      <c r="AP782" s="0" t="str">
        <f aca="false">IF(ISBLANK(AO782),"Unknown",AO782)</f>
        <v>Senior </v>
      </c>
      <c r="AQ782" s="0" t="n">
        <v>15000</v>
      </c>
      <c r="AR782" s="5" t="n">
        <f aca="false">IF(ISBLANK(AQ782),AVERAGEIF(M782:M1781,M782,AQ782:AQ1781),AQ782)</f>
        <v>15000</v>
      </c>
      <c r="AS782" s="0" t="n">
        <v>35000</v>
      </c>
      <c r="AT782" s="5" t="n">
        <f aca="false">IF(ISBLANK(AS782),AVERAGE(AS782:AS1781),AS782)</f>
        <v>35000</v>
      </c>
      <c r="AU782" s="0" t="s">
        <v>50</v>
      </c>
      <c r="AV782" s="0" t="str">
        <f aca="false">PROPER(IF(ISBLANK(AU782),"No",AU782))</f>
        <v>No</v>
      </c>
      <c r="AW782" s="0" t="n">
        <v>5000</v>
      </c>
      <c r="AX782" s="5" t="n">
        <f aca="false">IF(ISBLANK(AW782),0,AW782)</f>
        <v>5000</v>
      </c>
      <c r="AY782" s="0" t="s">
        <v>80</v>
      </c>
      <c r="AZ782" s="0" t="str">
        <f aca="false">UPPER(IF(ISBLANK(AY782),"NONE",AY782))</f>
        <v>PROMO10</v>
      </c>
      <c r="BA782" s="7" t="n">
        <v>45943</v>
      </c>
      <c r="BB782" s="7" t="n">
        <f aca="false">IF(ISBLANK(BA782),"No Follow Up Needed",BA782)</f>
        <v>45943</v>
      </c>
      <c r="BC782" s="0" t="s">
        <v>82</v>
      </c>
      <c r="BD782" s="0" t="str">
        <f aca="false">PROPER(IF(ISBLANK(BC782),"Unknown",BC782))</f>
        <v>Yes</v>
      </c>
      <c r="BE782" s="0" t="s">
        <v>171</v>
      </c>
      <c r="BF782" s="0" t="str">
        <f aca="false">IF(ISBLANK(BE782),"No comments",BE782)</f>
        <v>Shock absorber weakening</v>
      </c>
      <c r="BH782" s="0" t="str">
        <f aca="false">IF(ISBLANK(BG782),"No comments",BG782)</f>
        <v>No comments</v>
      </c>
      <c r="BI782" s="0" t="s">
        <v>50</v>
      </c>
      <c r="BJ782" s="0" t="str">
        <f aca="false">IF(ISBLANK(BI782),"Not Mentioned",BI782)</f>
        <v>No</v>
      </c>
      <c r="BL782" s="0" t="str">
        <f aca="false">PROPER(IF(ISBLANK(BK782),"Not Mentioned",BK782))</f>
        <v>Not Mentioned</v>
      </c>
      <c r="BM782" s="0" t="s">
        <v>63</v>
      </c>
      <c r="BN782" s="0" t="str">
        <f aca="false">PROPER(IF(ISBLANK(BM782),"Not Mentioned",BM782))</f>
        <v>Yes</v>
      </c>
      <c r="BO782" s="0" t="s">
        <v>2321</v>
      </c>
      <c r="BP782" s="0" t="str">
        <f aca="false">IF(ISBLANK(BO782),"One-Time Plan",BO782)</f>
        <v>One-Time Plan</v>
      </c>
      <c r="BQ782" s="0" t="s">
        <v>50</v>
      </c>
      <c r="BR782" s="0" t="str">
        <f aca="false">PROPER(IF(ISBLANK(BQ782),"No",BQ782))</f>
        <v>No</v>
      </c>
    </row>
    <row r="783" customFormat="false" ht="15" hidden="false" customHeight="false" outlineLevel="0" collapsed="false">
      <c r="A783" s="0" t="s">
        <v>1857</v>
      </c>
      <c r="B783" s="2" t="s">
        <v>438</v>
      </c>
      <c r="C783" s="2" t="str">
        <f aca="false">TEXT(B783,"dd/mm/yyyy")</f>
        <v>22/01/2025</v>
      </c>
      <c r="D783" s="0" t="s">
        <v>163</v>
      </c>
      <c r="E783" s="0" t="n">
        <v>8074119239</v>
      </c>
      <c r="F783" s="0" t="s">
        <v>67</v>
      </c>
      <c r="G783" s="0" t="s">
        <v>2316</v>
      </c>
      <c r="H783" s="0" t="s">
        <v>1858</v>
      </c>
      <c r="I783" s="0" t="s">
        <v>107</v>
      </c>
      <c r="J783" s="0" t="s">
        <v>2317</v>
      </c>
      <c r="K783" s="3" t="str">
        <f aca="false" t="array" ref="K783:K783">IFERROR(IF(J783&lt;&gt;"",J783,INDEX(J783:J1782,MATCH(1,(F783:F1782=F783)*(I783:I1782=I783)*(L783:L1782=L783)*(J783:J1782&lt;&gt;""),0))),"Not Found")</f>
        <v>Suspension Noise</v>
      </c>
      <c r="L783" s="3" t="s">
        <v>142</v>
      </c>
      <c r="M783" s="0" t="str">
        <f aca="false">PROPER(L783)</f>
        <v>Oil Filter, Brake Pads</v>
      </c>
      <c r="O783" s="0" t="e">
        <f aca="false" t="array" ref="O783:O783">IF(N783&lt;&gt;"",N783,_xlfn.xlookup(1,(L783:L1782=L783)*(N783:N1782&lt;&gt;""),N783:N1782,"Not Found"))</f>
        <v>#NAME?</v>
      </c>
      <c r="P783" s="4" t="n">
        <v>47893</v>
      </c>
      <c r="Q783" s="0" t="s">
        <v>72</v>
      </c>
      <c r="R783" s="0" t="str">
        <f aca="false">PROPER(Q783)</f>
        <v>Pos</v>
      </c>
      <c r="S783" s="0" t="s">
        <v>63</v>
      </c>
      <c r="T783" s="0" t="n">
        <v>5</v>
      </c>
      <c r="U783" s="5" t="n">
        <f aca="false">IF(ISBLANK(T783),AVERAGE(T783:T1782),T783)</f>
        <v>5</v>
      </c>
      <c r="V783" s="0" t="n">
        <v>2.4</v>
      </c>
      <c r="X783" s="0" t="str">
        <f aca="false">IF(ISBLANK(W783),"No remarks",W783)</f>
        <v>No remarks</v>
      </c>
      <c r="Y783" s="0" t="s">
        <v>73</v>
      </c>
      <c r="Z783" s="0" t="s">
        <v>74</v>
      </c>
      <c r="AA783" s="0" t="str">
        <f aca="false">PROPER(IF(ISBLANK(Z783),"Location Unavailable",Z783))</f>
        <v>Under Tree</v>
      </c>
      <c r="AB783" s="0" t="s">
        <v>95</v>
      </c>
      <c r="AC783" s="6" t="str">
        <f aca="false">PROPER(AB783)</f>
        <v>Road Sign</v>
      </c>
      <c r="AD783" s="6" t="n">
        <v>15</v>
      </c>
      <c r="AE783" s="5" t="n">
        <f aca="false">IF(ISBLANK(AD783),AVERAGEIF(L783:L1782,L783,AD783:AD1782),AD783)</f>
        <v>15</v>
      </c>
      <c r="AF783" s="0" t="s">
        <v>55</v>
      </c>
      <c r="AG783" s="0" t="str">
        <f aca="false">PROPER(AF783)</f>
        <v>Available</v>
      </c>
      <c r="AH783" s="0" t="s">
        <v>155</v>
      </c>
      <c r="AI783" s="0" t="s">
        <v>128</v>
      </c>
      <c r="AJ783" s="0" t="str">
        <f aca="false">PROPER(AI783)</f>
        <v>Normal</v>
      </c>
      <c r="AK783" s="0" t="s">
        <v>99</v>
      </c>
      <c r="AL783" s="0" t="str">
        <f aca="false">PROPER(AK783)</f>
        <v>Uber Driver</v>
      </c>
      <c r="AM783" s="0" t="s">
        <v>2326</v>
      </c>
      <c r="AN783" s="0" t="str">
        <f aca="false">IF(ISBLANK(AM783),"Unknown",AM783)</f>
        <v>Government Convoy</v>
      </c>
      <c r="AO783" s="0" t="s">
        <v>79</v>
      </c>
      <c r="AP783" s="0" t="str">
        <f aca="false">IF(ISBLANK(AO783),"Unknown",AO783)</f>
        <v>Specialist</v>
      </c>
      <c r="AQ783" s="0" t="n">
        <v>40000</v>
      </c>
      <c r="AR783" s="5" t="n">
        <f aca="false">IF(ISBLANK(AQ783),AVERAGEIF(M783:M1782,M783,AQ783:AQ1782),AQ783)</f>
        <v>40000</v>
      </c>
      <c r="AS783" s="0" t="n">
        <v>30000</v>
      </c>
      <c r="AT783" s="5" t="n">
        <f aca="false">IF(ISBLANK(AS783),AVERAGE(AS783:AS1782),AS783)</f>
        <v>30000</v>
      </c>
      <c r="AU783" s="0" t="s">
        <v>61</v>
      </c>
      <c r="AV783" s="0" t="str">
        <f aca="false">PROPER(IF(ISBLANK(AU783),"No",AU783))</f>
        <v>No</v>
      </c>
      <c r="AW783" s="0" t="n">
        <v>5000</v>
      </c>
      <c r="AX783" s="5" t="n">
        <f aca="false">IF(ISBLANK(AW783),0,AW783)</f>
        <v>5000</v>
      </c>
      <c r="AY783" s="0" t="s">
        <v>80</v>
      </c>
      <c r="AZ783" s="0" t="str">
        <f aca="false">UPPER(IF(ISBLANK(AY783),"NONE",AY783))</f>
        <v>PROMO10</v>
      </c>
      <c r="BB783" s="7" t="str">
        <f aca="false">IF(ISBLANK(BA783),"No Follow Up Needed",BA783)</f>
        <v>No Follow Up Needed</v>
      </c>
      <c r="BD783" s="0" t="str">
        <f aca="false">PROPER(IF(ISBLANK(BC783),"Unknown",BC783))</f>
        <v>Unknown</v>
      </c>
      <c r="BE783" s="0" t="s">
        <v>116</v>
      </c>
      <c r="BF783" s="0" t="str">
        <f aca="false">IF(ISBLANK(BE783),"No comments",BE783)</f>
        <v>Needs tire alignment</v>
      </c>
      <c r="BG783" s="0" t="s">
        <v>117</v>
      </c>
      <c r="BH783" s="0" t="str">
        <f aca="false">IF(ISBLANK(BG783),"No comments",BG783)</f>
        <v>Prefers morning</v>
      </c>
      <c r="BI783" s="0" t="s">
        <v>50</v>
      </c>
      <c r="BJ783" s="0" t="str">
        <f aca="false">IF(ISBLANK(BI783),"Not Mentioned",BI783)</f>
        <v>No</v>
      </c>
      <c r="BK783" s="0" t="s">
        <v>63</v>
      </c>
      <c r="BL783" s="0" t="str">
        <f aca="false">PROPER(IF(ISBLANK(BK783),"Not Mentioned",BK783))</f>
        <v>Yes</v>
      </c>
      <c r="BM783" s="0" t="s">
        <v>63</v>
      </c>
      <c r="BN783" s="0" t="str">
        <f aca="false">PROPER(IF(ISBLANK(BM783),"Not Mentioned",BM783))</f>
        <v>Yes</v>
      </c>
      <c r="BO783" s="0" t="s">
        <v>2321</v>
      </c>
      <c r="BP783" s="0" t="str">
        <f aca="false">IF(ISBLANK(BO783),"One-Time Plan",BO783)</f>
        <v>One-Time Plan</v>
      </c>
      <c r="BQ783" s="0" t="s">
        <v>63</v>
      </c>
      <c r="BR783" s="0" t="str">
        <f aca="false">PROPER(IF(ISBLANK(BQ783),"No",BQ783))</f>
        <v>Yes</v>
      </c>
    </row>
    <row r="784" customFormat="false" ht="15" hidden="false" customHeight="false" outlineLevel="0" collapsed="false">
      <c r="A784" s="0" t="s">
        <v>1859</v>
      </c>
      <c r="B784" s="2" t="n">
        <v>45680</v>
      </c>
      <c r="C784" s="2" t="str">
        <f aca="false">TEXT(B784,"dd/mm/yyyy")</f>
        <v>23/01/2025</v>
      </c>
      <c r="D784" s="0" t="s">
        <v>42</v>
      </c>
      <c r="E784" s="0" t="n">
        <v>8014631527</v>
      </c>
      <c r="F784" s="0" t="s">
        <v>122</v>
      </c>
      <c r="G784" s="0" t="s">
        <v>2316</v>
      </c>
      <c r="H784" s="0" t="s">
        <v>1860</v>
      </c>
      <c r="I784" s="0" t="s">
        <v>45</v>
      </c>
      <c r="J784" s="0" t="s">
        <v>2317</v>
      </c>
      <c r="K784" s="3" t="str">
        <f aca="false" t="array" ref="K784:K784">IFERROR(IF(J784&lt;&gt;"",J784,INDEX(J784:J1783,MATCH(1,(F784:F1783=F784)*(I784:I1783=I784)*(L784:L1783=L784)*(J784:J1783&lt;&gt;""),0))),"Not Found")</f>
        <v>Suspension Noise</v>
      </c>
      <c r="L784" s="3" t="s">
        <v>154</v>
      </c>
      <c r="M784" s="0" t="str">
        <f aca="false">PROPER(L784)</f>
        <v>Air Filter</v>
      </c>
      <c r="N784" s="3" t="s">
        <v>48</v>
      </c>
      <c r="O784" s="0" t="str">
        <f aca="false" t="array" ref="O784:O784">IF(N784&lt;&gt;"",N784,_xlfn.xlookup(1,(L784:L1783=L784)*(N784:N1783&lt;&gt;""),N784:N1783,"Not Found"))</f>
        <v>Uche</v>
      </c>
      <c r="P784" s="4" t="n">
        <v>86397</v>
      </c>
      <c r="Q784" s="0" t="s">
        <v>166</v>
      </c>
      <c r="R784" s="0" t="str">
        <f aca="false">PROPER(Q784)</f>
        <v>Transfer</v>
      </c>
      <c r="S784" s="0" t="s">
        <v>63</v>
      </c>
      <c r="T784" s="0" t="n">
        <v>3</v>
      </c>
      <c r="U784" s="5" t="n">
        <f aca="false">IF(ISBLANK(T784),AVERAGE(T784:T1783),T784)</f>
        <v>3</v>
      </c>
      <c r="V784" s="0" t="n">
        <v>4</v>
      </c>
      <c r="W784" s="0" t="s">
        <v>51</v>
      </c>
      <c r="X784" s="0" t="str">
        <f aca="false">IF(ISBLANK(W784),"No remarks",W784)</f>
        <v>Recommended further checks</v>
      </c>
      <c r="Y784" s="0" t="s">
        <v>93</v>
      </c>
      <c r="Z784" s="0" t="s">
        <v>74</v>
      </c>
      <c r="AA784" s="0" t="str">
        <f aca="false">PROPER(IF(ISBLANK(Z784),"Location Unavailable",Z784))</f>
        <v>Under Tree</v>
      </c>
      <c r="AB784" s="0" t="s">
        <v>75</v>
      </c>
      <c r="AC784" s="6" t="str">
        <f aca="false">PROPER(AB784)</f>
        <v>Mechanik Referal</v>
      </c>
      <c r="AD784" s="6" t="n">
        <v>45</v>
      </c>
      <c r="AE784" s="5" t="n">
        <f aca="false">IF(ISBLANK(AD784),AVERAGEIF(L784:L1783,L784,AD784:AD1783),AD784)</f>
        <v>45</v>
      </c>
      <c r="AF784" s="0" t="s">
        <v>55</v>
      </c>
      <c r="AG784" s="0" t="str">
        <f aca="false">PROPER(AF784)</f>
        <v>Available</v>
      </c>
      <c r="AH784" s="0" t="s">
        <v>148</v>
      </c>
      <c r="AI784" s="0" t="s">
        <v>98</v>
      </c>
      <c r="AJ784" s="0" t="str">
        <f aca="false">PROPER(AI784)</f>
        <v>Emergency</v>
      </c>
      <c r="AK784" s="0" t="s">
        <v>99</v>
      </c>
      <c r="AL784" s="0" t="str">
        <f aca="false">PROPER(AK784)</f>
        <v>Uber Driver</v>
      </c>
      <c r="AM784" s="0" t="s">
        <v>177</v>
      </c>
      <c r="AN784" s="0" t="str">
        <f aca="false">IF(ISBLANK(AM784),"Unknown",AM784)</f>
        <v>Private</v>
      </c>
      <c r="AO784" s="0" t="s">
        <v>79</v>
      </c>
      <c r="AP784" s="0" t="str">
        <f aca="false">IF(ISBLANK(AO784),"Unknown",AO784)</f>
        <v>Specialist</v>
      </c>
      <c r="AQ784" s="0" t="n">
        <v>15000</v>
      </c>
      <c r="AR784" s="5" t="n">
        <f aca="false">IF(ISBLANK(AQ784),AVERAGEIF(M784:M1783,M784,AQ784:AQ1783),AQ784)</f>
        <v>15000</v>
      </c>
      <c r="AT784" s="5" t="n">
        <f aca="false">IF(ISBLANK(AS784),AVERAGE(AS784:AS1783),AS784)</f>
        <v>31467.3913043478</v>
      </c>
      <c r="AU784" s="0" t="s">
        <v>82</v>
      </c>
      <c r="AV784" s="0" t="str">
        <f aca="false">PROPER(IF(ISBLANK(AU784),"No",AU784))</f>
        <v>Yes</v>
      </c>
      <c r="AX784" s="5" t="n">
        <f aca="false">IF(ISBLANK(AW784),0,AW784)</f>
        <v>0</v>
      </c>
      <c r="AY784" s="0" t="s">
        <v>184</v>
      </c>
      <c r="AZ784" s="0" t="str">
        <f aca="false">UPPER(IF(ISBLANK(AY784),"NONE",AY784))</f>
        <v>N/A</v>
      </c>
      <c r="BA784" s="7" t="n">
        <v>45983</v>
      </c>
      <c r="BB784" s="7" t="n">
        <f aca="false">IF(ISBLANK(BA784),"No Follow Up Needed",BA784)</f>
        <v>45983</v>
      </c>
      <c r="BC784" s="0" t="s">
        <v>82</v>
      </c>
      <c r="BD784" s="0" t="str">
        <f aca="false">PROPER(IF(ISBLANK(BC784),"Unknown",BC784))</f>
        <v>Yes</v>
      </c>
      <c r="BF784" s="0" t="str">
        <f aca="false">IF(ISBLANK(BE784),"No comments",BE784)</f>
        <v>No comments</v>
      </c>
      <c r="BG784" s="0" t="s">
        <v>2320</v>
      </c>
      <c r="BH784" s="0" t="str">
        <f aca="false">IF(ISBLANK(BG784),"No comments",BG784)</f>
        <v>No complaints</v>
      </c>
      <c r="BJ784" s="0" t="str">
        <f aca="false">IF(ISBLANK(BI784),"Not Mentioned",BI784)</f>
        <v>Not Mentioned</v>
      </c>
      <c r="BL784" s="0" t="str">
        <f aca="false">PROPER(IF(ISBLANK(BK784),"Not Mentioned",BK784))</f>
        <v>Not Mentioned</v>
      </c>
      <c r="BM784" s="0" t="s">
        <v>63</v>
      </c>
      <c r="BN784" s="0" t="str">
        <f aca="false">PROPER(IF(ISBLANK(BM784),"Not Mentioned",BM784))</f>
        <v>Yes</v>
      </c>
      <c r="BO784" s="0" t="s">
        <v>2318</v>
      </c>
      <c r="BP784" s="0" t="str">
        <f aca="false">IF(ISBLANK(BO784),"One-Time Plan",BO784)</f>
        <v>Gold</v>
      </c>
      <c r="BQ784" s="0" t="s">
        <v>190</v>
      </c>
      <c r="BR784" s="0" t="str">
        <f aca="false">PROPER(IF(ISBLANK(BQ784),"No",BQ784))</f>
        <v>Yes</v>
      </c>
    </row>
    <row r="785" customFormat="false" ht="15" hidden="false" customHeight="false" outlineLevel="0" collapsed="false">
      <c r="A785" s="0" t="s">
        <v>1861</v>
      </c>
      <c r="B785" s="2" t="n">
        <v>45812</v>
      </c>
      <c r="C785" s="2" t="str">
        <f aca="false">TEXT(B785,"dd/mm/yyyy")</f>
        <v>04/06/2025</v>
      </c>
      <c r="D785" s="0" t="s">
        <v>66</v>
      </c>
      <c r="E785" s="0" t="n">
        <v>8058508204</v>
      </c>
      <c r="F785" s="0" t="s">
        <v>139</v>
      </c>
      <c r="G785" s="0" t="s">
        <v>2323</v>
      </c>
      <c r="H785" s="0" t="s">
        <v>1862</v>
      </c>
      <c r="I785" s="0" t="s">
        <v>69</v>
      </c>
      <c r="J785" s="0" t="s">
        <v>2325</v>
      </c>
      <c r="K785" s="3" t="str">
        <f aca="false" t="array" ref="K785:K785">IFERROR(IF(J785&lt;&gt;"",J785,INDEX(J785:J1784,MATCH(1,(F785:F1784=F785)*(I785:I1784=I785)*(L785:L1784=L785)*(J785:J1784&lt;&gt;""),0))),"Not Found")</f>
        <v>Engine Knocking</v>
      </c>
      <c r="L785" s="3" t="s">
        <v>154</v>
      </c>
      <c r="M785" s="0" t="str">
        <f aca="false">PROPER(L785)</f>
        <v>Air Filter</v>
      </c>
      <c r="N785" s="3" t="s">
        <v>90</v>
      </c>
      <c r="O785" s="0" t="str">
        <f aca="false" t="array" ref="O785:O785">IF(N785&lt;&gt;"",N785,_xlfn.xlookup(1,(L785:L1784=L785)*(N785:N1784&lt;&gt;""),N785:N1784,"Not Found"))</f>
        <v>Musa</v>
      </c>
      <c r="P785" s="4" t="n">
        <v>84509</v>
      </c>
      <c r="Q785" s="0" t="s">
        <v>166</v>
      </c>
      <c r="R785" s="0" t="str">
        <f aca="false">PROPER(Q785)</f>
        <v>Transfer</v>
      </c>
      <c r="S785" s="0" t="s">
        <v>63</v>
      </c>
      <c r="T785" s="0" t="n">
        <v>2</v>
      </c>
      <c r="U785" s="5" t="n">
        <f aca="false">IF(ISBLANK(T785),AVERAGE(T785:T1784),T785)</f>
        <v>2</v>
      </c>
      <c r="V785" s="0" t="n">
        <v>3.7</v>
      </c>
      <c r="X785" s="0" t="str">
        <f aca="false">IF(ISBLANK(W785),"No remarks",W785)</f>
        <v>No remarks</v>
      </c>
      <c r="Y785" s="0" t="s">
        <v>73</v>
      </c>
      <c r="Z785" s="0" t="s">
        <v>74</v>
      </c>
      <c r="AA785" s="0" t="str">
        <f aca="false">PROPER(IF(ISBLANK(Z785),"Location Unavailable",Z785))</f>
        <v>Under Tree</v>
      </c>
      <c r="AB785" s="0" t="s">
        <v>126</v>
      </c>
      <c r="AC785" s="6" t="str">
        <f aca="false">PROPER(AB785)</f>
        <v>Whatsapp</v>
      </c>
      <c r="AD785" s="6" t="n">
        <v>15</v>
      </c>
      <c r="AE785" s="5" t="n">
        <f aca="false">IF(ISBLANK(AD785),AVERAGEIF(L785:L1784,L785,AD785:AD1784),AD785)</f>
        <v>15</v>
      </c>
      <c r="AF785" s="0" t="s">
        <v>112</v>
      </c>
      <c r="AG785" s="0" t="str">
        <f aca="false">PROPER(AF785)</f>
        <v>Unavailable</v>
      </c>
      <c r="AH785" s="0" t="s">
        <v>77</v>
      </c>
      <c r="AI785" s="0" t="s">
        <v>113</v>
      </c>
      <c r="AJ785" s="0" t="str">
        <f aca="false">PROPER(AI785)</f>
        <v>Normal</v>
      </c>
      <c r="AK785" s="0" t="s">
        <v>58</v>
      </c>
      <c r="AL785" s="0" t="str">
        <f aca="false">PROPER(AK785)</f>
        <v>Fleet Owner</v>
      </c>
      <c r="AM785" s="0" t="s">
        <v>177</v>
      </c>
      <c r="AN785" s="0" t="str">
        <f aca="false">IF(ISBLANK(AM785),"Unknown",AM785)</f>
        <v>Private</v>
      </c>
      <c r="AP785" s="0" t="str">
        <f aca="false">IF(ISBLANK(AO785),"Unknown",AO785)</f>
        <v>Unknown</v>
      </c>
      <c r="AQ785" s="0" t="n">
        <v>30000</v>
      </c>
      <c r="AR785" s="5" t="n">
        <f aca="false">IF(ISBLANK(AQ785),AVERAGEIF(M785:M1784,M785,AQ785:AQ1784),AQ785)</f>
        <v>30000</v>
      </c>
      <c r="AT785" s="5" t="n">
        <f aca="false">IF(ISBLANK(AS785),AVERAGE(AS785:AS1784),AS785)</f>
        <v>31467.3913043478</v>
      </c>
      <c r="AV785" s="0" t="str">
        <f aca="false">PROPER(IF(ISBLANK(AU785),"No",AU785))</f>
        <v>No</v>
      </c>
      <c r="AW785" s="0" t="n">
        <v>5000</v>
      </c>
      <c r="AX785" s="5" t="n">
        <f aca="false">IF(ISBLANK(AW785),0,AW785)</f>
        <v>5000</v>
      </c>
      <c r="AY785" s="0" t="s">
        <v>80</v>
      </c>
      <c r="AZ785" s="0" t="str">
        <f aca="false">UPPER(IF(ISBLANK(AY785),"NONE",AY785))</f>
        <v>PROMO10</v>
      </c>
      <c r="BA785" s="7" t="n">
        <v>45863</v>
      </c>
      <c r="BB785" s="7" t="n">
        <f aca="false">IF(ISBLANK(BA785),"No Follow Up Needed",BA785)</f>
        <v>45863</v>
      </c>
      <c r="BC785" s="0" t="s">
        <v>50</v>
      </c>
      <c r="BD785" s="0" t="str">
        <f aca="false">PROPER(IF(ISBLANK(BC785),"Unknown",BC785))</f>
        <v>No</v>
      </c>
      <c r="BF785" s="0" t="str">
        <f aca="false">IF(ISBLANK(BE785),"No comments",BE785)</f>
        <v>No comments</v>
      </c>
      <c r="BG785" s="0" t="s">
        <v>117</v>
      </c>
      <c r="BH785" s="0" t="str">
        <f aca="false">IF(ISBLANK(BG785),"No comments",BG785)</f>
        <v>Prefers morning</v>
      </c>
      <c r="BI785" s="0" t="s">
        <v>63</v>
      </c>
      <c r="BJ785" s="0" t="str">
        <f aca="false">IF(ISBLANK(BI785),"Not Mentioned",BI785)</f>
        <v>Yes</v>
      </c>
      <c r="BL785" s="0" t="str">
        <f aca="false">PROPER(IF(ISBLANK(BK785),"Not Mentioned",BK785))</f>
        <v>Not Mentioned</v>
      </c>
      <c r="BN785" s="0" t="str">
        <f aca="false">PROPER(IF(ISBLANK(BM785),"Not Mentioned",BM785))</f>
        <v>Not Mentioned</v>
      </c>
      <c r="BO785" s="0" t="s">
        <v>2321</v>
      </c>
      <c r="BP785" s="0" t="str">
        <f aca="false">IF(ISBLANK(BO785),"One-Time Plan",BO785)</f>
        <v>One-Time Plan</v>
      </c>
      <c r="BQ785" s="0" t="s">
        <v>198</v>
      </c>
      <c r="BR785" s="0" t="str">
        <f aca="false">PROPER(IF(ISBLANK(BQ785),"No",BQ785))</f>
        <v>Followed Up</v>
      </c>
    </row>
    <row r="786" customFormat="false" ht="15" hidden="false" customHeight="false" outlineLevel="0" collapsed="false">
      <c r="A786" s="0" t="s">
        <v>1863</v>
      </c>
      <c r="B786" s="2" t="s">
        <v>1250</v>
      </c>
      <c r="C786" s="2" t="str">
        <f aca="false">TEXT(B786,"dd/mm/yyyy")</f>
        <v>15/01/2025</v>
      </c>
      <c r="D786" s="0" t="s">
        <v>42</v>
      </c>
      <c r="E786" s="0" t="n">
        <v>8094685039</v>
      </c>
      <c r="F786" s="0" t="s">
        <v>67</v>
      </c>
      <c r="G786" s="0" t="s">
        <v>2316</v>
      </c>
      <c r="H786" s="0" t="s">
        <v>1864</v>
      </c>
      <c r="I786" s="0" t="s">
        <v>107</v>
      </c>
      <c r="J786" s="0" t="s">
        <v>2322</v>
      </c>
      <c r="K786" s="3" t="str">
        <f aca="false" t="array" ref="K786:K786">IFERROR(IF(J786&lt;&gt;"",J786,INDEX(J786:J1785,MATCH(1,(F786:F1785=F786)*(I786:I1785=I786)*(L786:L1785=L786)*(J786:J1785&lt;&gt;""),0))),"Not Found")</f>
        <v>Brake Failure</v>
      </c>
      <c r="L786" s="3" t="s">
        <v>47</v>
      </c>
      <c r="M786" s="0" t="str">
        <f aca="false">PROPER(L786)</f>
        <v>None</v>
      </c>
      <c r="N786" s="3" t="s">
        <v>48</v>
      </c>
      <c r="O786" s="0" t="str">
        <f aca="false" t="array" ref="O786:O786">IF(N786&lt;&gt;"",N786,_xlfn.xlookup(1,(L786:L1785=L786)*(N786:N1785&lt;&gt;""),N786:N1785,"Not Found"))</f>
        <v>Uche</v>
      </c>
      <c r="P786" s="4" t="n">
        <v>24934</v>
      </c>
      <c r="Q786" s="0" t="s">
        <v>166</v>
      </c>
      <c r="R786" s="0" t="str">
        <f aca="false">PROPER(Q786)</f>
        <v>Transfer</v>
      </c>
      <c r="S786" s="0" t="s">
        <v>63</v>
      </c>
      <c r="T786" s="0" t="n">
        <v>5</v>
      </c>
      <c r="U786" s="5" t="n">
        <f aca="false">IF(ISBLANK(T786),AVERAGE(T786:T1785),T786)</f>
        <v>5</v>
      </c>
      <c r="V786" s="0" t="n">
        <v>3.1</v>
      </c>
      <c r="W786" s="0" t="s">
        <v>111</v>
      </c>
      <c r="X786" s="0" t="str">
        <f aca="false">IF(ISBLANK(W786),"No remarks",W786)</f>
        <v>Changed all filters</v>
      </c>
      <c r="Y786" s="0" t="s">
        <v>73</v>
      </c>
      <c r="AA786" s="0" t="str">
        <f aca="false">PROPER(IF(ISBLANK(Z786),"Location Unavailable",Z786))</f>
        <v>Location Unavailable</v>
      </c>
      <c r="AB786" s="0" t="s">
        <v>126</v>
      </c>
      <c r="AC786" s="6" t="str">
        <f aca="false">PROPER(AB786)</f>
        <v>Whatsapp</v>
      </c>
      <c r="AD786" s="6" t="n">
        <v>15</v>
      </c>
      <c r="AE786" s="5" t="n">
        <f aca="false">IF(ISBLANK(AD786),AVERAGEIF(L786:L1785,L786,AD786:AD1785),AD786)</f>
        <v>15</v>
      </c>
      <c r="AF786" s="0" t="s">
        <v>76</v>
      </c>
      <c r="AG786" s="0" t="str">
        <f aca="false">PROPER(AF786)</f>
        <v>Orderd</v>
      </c>
      <c r="AH786" s="0" t="s">
        <v>148</v>
      </c>
      <c r="AI786" s="0" t="s">
        <v>128</v>
      </c>
      <c r="AJ786" s="0" t="str">
        <f aca="false">PROPER(AI786)</f>
        <v>Normal</v>
      </c>
      <c r="AK786" s="0" t="s">
        <v>196</v>
      </c>
      <c r="AL786" s="0" t="str">
        <f aca="false">PROPER(AK786)</f>
        <v>First Time</v>
      </c>
      <c r="AM786" s="0" t="s">
        <v>177</v>
      </c>
      <c r="AN786" s="0" t="str">
        <f aca="false">IF(ISBLANK(AM786),"Unknown",AM786)</f>
        <v>Private</v>
      </c>
      <c r="AO786" s="0" t="s">
        <v>149</v>
      </c>
      <c r="AP786" s="0" t="str">
        <f aca="false">IF(ISBLANK(AO786),"Unknown",AO786)</f>
        <v>Senior </v>
      </c>
      <c r="AQ786" s="0" t="n">
        <v>40000</v>
      </c>
      <c r="AR786" s="5" t="n">
        <f aca="false">IF(ISBLANK(AQ786),AVERAGEIF(M786:M1785,M786,AQ786:AQ1785),AQ786)</f>
        <v>40000</v>
      </c>
      <c r="AS786" s="0" t="n">
        <v>20000</v>
      </c>
      <c r="AT786" s="5" t="n">
        <f aca="false">IF(ISBLANK(AS786),AVERAGE(AS786:AS1785),AS786)</f>
        <v>20000</v>
      </c>
      <c r="AU786" s="0" t="s">
        <v>63</v>
      </c>
      <c r="AV786" s="0" t="str">
        <f aca="false">PROPER(IF(ISBLANK(AU786),"No",AU786))</f>
        <v>Yes</v>
      </c>
      <c r="AW786" s="0" t="n">
        <v>10000</v>
      </c>
      <c r="AX786" s="5" t="n">
        <f aca="false">IF(ISBLANK(AW786),0,AW786)</f>
        <v>10000</v>
      </c>
      <c r="AY786" s="0" t="s">
        <v>184</v>
      </c>
      <c r="AZ786" s="0" t="str">
        <f aca="false">UPPER(IF(ISBLANK(AY786),"NONE",AY786))</f>
        <v>N/A</v>
      </c>
      <c r="BA786" s="7" t="n">
        <v>45972</v>
      </c>
      <c r="BB786" s="7" t="n">
        <f aca="false">IF(ISBLANK(BA786),"No Follow Up Needed",BA786)</f>
        <v>45972</v>
      </c>
      <c r="BD786" s="0" t="str">
        <f aca="false">PROPER(IF(ISBLANK(BC786),"Unknown",BC786))</f>
        <v>Unknown</v>
      </c>
      <c r="BF786" s="0" t="str">
        <f aca="false">IF(ISBLANK(BE786),"No comments",BE786)</f>
        <v>No comments</v>
      </c>
      <c r="BG786" s="0" t="s">
        <v>172</v>
      </c>
      <c r="BH786" s="0" t="str">
        <f aca="false">IF(ISBLANK(BG786),"No comments",BG786)</f>
        <v>Always late</v>
      </c>
      <c r="BI786" s="0" t="s">
        <v>50</v>
      </c>
      <c r="BJ786" s="0" t="str">
        <f aca="false">IF(ISBLANK(BI786),"Not Mentioned",BI786)</f>
        <v>No</v>
      </c>
      <c r="BL786" s="0" t="str">
        <f aca="false">PROPER(IF(ISBLANK(BK786),"Not Mentioned",BK786))</f>
        <v>Not Mentioned</v>
      </c>
      <c r="BM786" s="0" t="s">
        <v>63</v>
      </c>
      <c r="BN786" s="0" t="str">
        <f aca="false">PROPER(IF(ISBLANK(BM786),"Not Mentioned",BM786))</f>
        <v>Yes</v>
      </c>
      <c r="BO786" s="0" t="s">
        <v>64</v>
      </c>
      <c r="BP786" s="0" t="str">
        <f aca="false">IF(ISBLANK(BO786),"One-Time Plan",BO786)</f>
        <v>Gold Maintenance Plan</v>
      </c>
      <c r="BQ786" s="0" t="s">
        <v>63</v>
      </c>
      <c r="BR786" s="0" t="str">
        <f aca="false">PROPER(IF(ISBLANK(BQ786),"No",BQ786))</f>
        <v>Yes</v>
      </c>
    </row>
    <row r="787" customFormat="false" ht="15" hidden="false" customHeight="false" outlineLevel="0" collapsed="false">
      <c r="A787" s="0" t="s">
        <v>1866</v>
      </c>
      <c r="B787" s="2" t="s">
        <v>1865</v>
      </c>
      <c r="C787" s="2" t="str">
        <f aca="false">TEXT(B787,"dd/mm/yyyy")</f>
        <v>20/04/2025</v>
      </c>
      <c r="D787" s="0" t="s">
        <v>121</v>
      </c>
      <c r="E787" s="0" t="n">
        <v>8013792466</v>
      </c>
      <c r="F787" s="0" t="s">
        <v>139</v>
      </c>
      <c r="G787" s="0" t="s">
        <v>2323</v>
      </c>
      <c r="H787" s="0" t="s">
        <v>1867</v>
      </c>
      <c r="I787" s="0" t="s">
        <v>134</v>
      </c>
      <c r="J787" s="0" t="s">
        <v>87</v>
      </c>
      <c r="K787" s="3" t="str">
        <f aca="false" t="array" ref="K787:K787">IFERROR(IF(J787&lt;&gt;"",J787,INDEX(J787:J1786,MATCH(1,(F787:F1786=F787)*(I787:I1786=I787)*(L787:L1786=L787)*(J787:J1786&lt;&gt;""),0))),"Not Found")</f>
        <v>Oil Change</v>
      </c>
      <c r="L787" s="3" t="s">
        <v>89</v>
      </c>
      <c r="M787" s="0" t="str">
        <f aca="false">PROPER(L787)</f>
        <v>Shock Absorbers</v>
      </c>
      <c r="N787" s="3" t="s">
        <v>48</v>
      </c>
      <c r="O787" s="0" t="str">
        <f aca="false" t="array" ref="O787:O787">IF(N787&lt;&gt;"",N787,_xlfn.xlookup(1,(L787:L1786=L787)*(N787:N1786&lt;&gt;""),N787:N1786,"Not Found"))</f>
        <v>Uche</v>
      </c>
      <c r="P787" s="4" t="n">
        <v>90025</v>
      </c>
      <c r="Q787" s="0" t="s">
        <v>124</v>
      </c>
      <c r="R787" s="0" t="str">
        <f aca="false">PROPER(Q787)</f>
        <v>Cash</v>
      </c>
      <c r="S787" s="0" t="s">
        <v>63</v>
      </c>
      <c r="T787" s="0" t="n">
        <v>4</v>
      </c>
      <c r="U787" s="5" t="n">
        <f aca="false">IF(ISBLANK(T787),AVERAGE(T787:T1786),T787)</f>
        <v>4</v>
      </c>
      <c r="V787" s="0" t="n">
        <v>3.4</v>
      </c>
      <c r="W787" s="0" t="s">
        <v>51</v>
      </c>
      <c r="X787" s="0" t="str">
        <f aca="false">IF(ISBLANK(W787),"No remarks",W787)</f>
        <v>Recommended further checks</v>
      </c>
      <c r="Y787" s="0" t="s">
        <v>93</v>
      </c>
      <c r="Z787" s="0" t="s">
        <v>159</v>
      </c>
      <c r="AA787" s="0" t="str">
        <f aca="false">PROPER(IF(ISBLANK(Z787),"Location Unavailable",Z787))</f>
        <v>Main Bay</v>
      </c>
      <c r="AB787" s="0" t="s">
        <v>75</v>
      </c>
      <c r="AC787" s="6" t="str">
        <f aca="false">PROPER(AB787)</f>
        <v>Mechanik Referal</v>
      </c>
      <c r="AD787" s="6" t="n">
        <v>45</v>
      </c>
      <c r="AE787" s="5" t="n">
        <f aca="false">IF(ISBLANK(AD787),AVERAGEIF(L787:L1786,L787,AD787:AD1786),AD787)</f>
        <v>45</v>
      </c>
      <c r="AF787" s="0" t="s">
        <v>160</v>
      </c>
      <c r="AG787" s="0" t="str">
        <f aca="false">PROPER(AF787)</f>
        <v>Availaible</v>
      </c>
      <c r="AH787" s="0" t="s">
        <v>56</v>
      </c>
      <c r="AI787" s="0" t="s">
        <v>78</v>
      </c>
      <c r="AJ787" s="0" t="str">
        <f aca="false">PROPER(AI787)</f>
        <v>Booking</v>
      </c>
      <c r="AK787" s="0" t="s">
        <v>196</v>
      </c>
      <c r="AL787" s="0" t="str">
        <f aca="false">PROPER(AK787)</f>
        <v>First Time</v>
      </c>
      <c r="AM787" s="0" t="s">
        <v>2324</v>
      </c>
      <c r="AN787" s="0" t="str">
        <f aca="false">IF(ISBLANK(AM787),"Unknown",AM787)</f>
        <v>Logistics Convoy</v>
      </c>
      <c r="AO787" s="0" t="s">
        <v>161</v>
      </c>
      <c r="AP787" s="0" t="str">
        <f aca="false">IF(ISBLANK(AO787),"Unknown",AO787)</f>
        <v>Apprentice</v>
      </c>
      <c r="AQ787" s="0" t="n">
        <v>15000</v>
      </c>
      <c r="AR787" s="5" t="n">
        <f aca="false">IF(ISBLANK(AQ787),AVERAGEIF(M787:M1786,M787,AQ787:AQ1786),AQ787)</f>
        <v>15000</v>
      </c>
      <c r="AS787" s="0" t="n">
        <v>35000</v>
      </c>
      <c r="AT787" s="5" t="n">
        <f aca="false">IF(ISBLANK(AS787),AVERAGE(AS787:AS1786),AS787)</f>
        <v>35000</v>
      </c>
      <c r="AU787" s="0" t="s">
        <v>61</v>
      </c>
      <c r="AV787" s="0" t="str">
        <f aca="false">PROPER(IF(ISBLANK(AU787),"No",AU787))</f>
        <v>No</v>
      </c>
      <c r="AW787" s="0" t="n">
        <v>5000</v>
      </c>
      <c r="AX787" s="5" t="n">
        <f aca="false">IF(ISBLANK(AW787),0,AW787)</f>
        <v>5000</v>
      </c>
      <c r="AY787" s="0" t="s">
        <v>60</v>
      </c>
      <c r="AZ787" s="0" t="str">
        <f aca="false">UPPER(IF(ISBLANK(AY787),"NONE",AY787))</f>
        <v>NONE</v>
      </c>
      <c r="BA787" s="7" t="n">
        <v>45911</v>
      </c>
      <c r="BB787" s="7" t="n">
        <f aca="false">IF(ISBLANK(BA787),"No Follow Up Needed",BA787)</f>
        <v>45911</v>
      </c>
      <c r="BC787" s="0" t="s">
        <v>82</v>
      </c>
      <c r="BD787" s="0" t="str">
        <f aca="false">PROPER(IF(ISBLANK(BC787),"Unknown",BC787))</f>
        <v>Yes</v>
      </c>
      <c r="BF787" s="0" t="str">
        <f aca="false">IF(ISBLANK(BE787),"No comments",BE787)</f>
        <v>No comments</v>
      </c>
      <c r="BG787" s="0" t="s">
        <v>2320</v>
      </c>
      <c r="BH787" s="0" t="str">
        <f aca="false">IF(ISBLANK(BG787),"No comments",BG787)</f>
        <v>No complaints</v>
      </c>
      <c r="BI787" s="0" t="s">
        <v>50</v>
      </c>
      <c r="BJ787" s="0" t="str">
        <f aca="false">IF(ISBLANK(BI787),"Not Mentioned",BI787)</f>
        <v>No</v>
      </c>
      <c r="BK787" s="0" t="s">
        <v>61</v>
      </c>
      <c r="BL787" s="0" t="str">
        <f aca="false">PROPER(IF(ISBLANK(BK787),"Not Mentioned",BK787))</f>
        <v>No</v>
      </c>
      <c r="BM787" s="0" t="s">
        <v>50</v>
      </c>
      <c r="BN787" s="0" t="str">
        <f aca="false">PROPER(IF(ISBLANK(BM787),"Not Mentioned",BM787))</f>
        <v>No</v>
      </c>
      <c r="BO787" s="0" t="s">
        <v>2321</v>
      </c>
      <c r="BP787" s="0" t="str">
        <f aca="false">IF(ISBLANK(BO787),"One-Time Plan",BO787)</f>
        <v>One-Time Plan</v>
      </c>
      <c r="BQ787" s="0" t="s">
        <v>198</v>
      </c>
      <c r="BR787" s="0" t="str">
        <f aca="false">PROPER(IF(ISBLANK(BQ787),"No",BQ787))</f>
        <v>Followed Up</v>
      </c>
    </row>
    <row r="788" customFormat="false" ht="15" hidden="false" customHeight="false" outlineLevel="0" collapsed="false">
      <c r="A788" s="0" t="s">
        <v>1868</v>
      </c>
      <c r="B788" s="2" t="n">
        <v>45748</v>
      </c>
      <c r="C788" s="2" t="str">
        <f aca="false">TEXT(B788,"dd/mm/yyyy")</f>
        <v>01/04/2025</v>
      </c>
      <c r="D788" s="0" t="s">
        <v>42</v>
      </c>
      <c r="E788" s="0" t="n">
        <v>8099345471</v>
      </c>
      <c r="F788" s="0" t="s">
        <v>139</v>
      </c>
      <c r="G788" s="0" t="s">
        <v>2323</v>
      </c>
      <c r="H788" s="0" t="s">
        <v>1362</v>
      </c>
      <c r="I788" s="0" t="s">
        <v>45</v>
      </c>
      <c r="K788" s="3" t="str">
        <f aca="false" t="array" ref="K788:K788">IFERROR(IF(J788&lt;&gt;"",J788,INDEX(J788:J1787,MATCH(1,(F788:F1787=F788)*(I788:I1787=I788)*(L788:L1787=L788)*(J788:J1787&lt;&gt;""),0))),"Not Found")</f>
        <v>Not Found</v>
      </c>
      <c r="L788" s="3" t="s">
        <v>89</v>
      </c>
      <c r="M788" s="0" t="str">
        <f aca="false">PROPER(L788)</f>
        <v>Shock Absorbers</v>
      </c>
      <c r="N788" s="3" t="s">
        <v>109</v>
      </c>
      <c r="O788" s="0" t="str">
        <f aca="false" t="array" ref="O788:O788">IF(N788&lt;&gt;"",N788,_xlfn.xlookup(1,(L788:L1787=L788)*(N788:N1787&lt;&gt;""),N788:N1787,"Not Found"))</f>
        <v>Tijani</v>
      </c>
      <c r="P788" s="4" t="n">
        <v>68467</v>
      </c>
      <c r="Q788" s="0" t="s">
        <v>72</v>
      </c>
      <c r="R788" s="0" t="str">
        <f aca="false">PROPER(Q788)</f>
        <v>Pos</v>
      </c>
      <c r="S788" s="0" t="s">
        <v>50</v>
      </c>
      <c r="T788" s="0" t="n">
        <v>2</v>
      </c>
      <c r="U788" s="5" t="n">
        <f aca="false">IF(ISBLANK(T788),AVERAGE(T788:T1787),T788)</f>
        <v>2</v>
      </c>
      <c r="V788" s="0" t="n">
        <v>3.1</v>
      </c>
      <c r="W788" s="0" t="s">
        <v>51</v>
      </c>
      <c r="X788" s="0" t="str">
        <f aca="false">IF(ISBLANK(W788),"No remarks",W788)</f>
        <v>Recommended further checks</v>
      </c>
      <c r="Y788" s="0" t="s">
        <v>52</v>
      </c>
      <c r="Z788" s="0" t="s">
        <v>136</v>
      </c>
      <c r="AA788" s="0" t="str">
        <f aca="false">PROPER(IF(ISBLANK(Z788),"Location Unavailable",Z788))</f>
        <v>Vip Section</v>
      </c>
      <c r="AB788" s="0" t="s">
        <v>54</v>
      </c>
      <c r="AC788" s="6" t="str">
        <f aca="false">PROPER(AB788)</f>
        <v>Mechanic Referral</v>
      </c>
      <c r="AD788" s="6" t="n">
        <v>60</v>
      </c>
      <c r="AE788" s="5" t="n">
        <f aca="false">IF(ISBLANK(AD788),AVERAGEIF(L788:L1787,L788,AD788:AD1787),AD788)</f>
        <v>60</v>
      </c>
      <c r="AF788" s="0" t="s">
        <v>55</v>
      </c>
      <c r="AG788" s="0" t="str">
        <f aca="false">PROPER(AF788)</f>
        <v>Available</v>
      </c>
      <c r="AH788" s="0" t="s">
        <v>77</v>
      </c>
      <c r="AI788" s="0" t="s">
        <v>113</v>
      </c>
      <c r="AJ788" s="0" t="str">
        <f aca="false">PROPER(AI788)</f>
        <v>Normal</v>
      </c>
      <c r="AK788" s="0" t="s">
        <v>196</v>
      </c>
      <c r="AL788" s="0" t="str">
        <f aca="false">PROPER(AK788)</f>
        <v>First Time</v>
      </c>
      <c r="AM788" s="0" t="s">
        <v>2324</v>
      </c>
      <c r="AN788" s="0" t="str">
        <f aca="false">IF(ISBLANK(AM788),"Unknown",AM788)</f>
        <v>Logistics Convoy</v>
      </c>
      <c r="AO788" s="0" t="s">
        <v>79</v>
      </c>
      <c r="AP788" s="0" t="str">
        <f aca="false">IF(ISBLANK(AO788),"Unknown",AO788)</f>
        <v>Specialist</v>
      </c>
      <c r="AQ788" s="0" t="n">
        <v>25000</v>
      </c>
      <c r="AR788" s="5" t="n">
        <f aca="false">IF(ISBLANK(AQ788),AVERAGEIF(M788:M1787,M788,AQ788:AQ1787),AQ788)</f>
        <v>25000</v>
      </c>
      <c r="AT788" s="5" t="n">
        <f aca="false">IF(ISBLANK(AS788),AVERAGE(AS788:AS1787),AS788)</f>
        <v>31510.989010989</v>
      </c>
      <c r="AU788" s="0" t="s">
        <v>82</v>
      </c>
      <c r="AV788" s="0" t="str">
        <f aca="false">PROPER(IF(ISBLANK(AU788),"No",AU788))</f>
        <v>Yes</v>
      </c>
      <c r="AW788" s="0" t="n">
        <v>5000</v>
      </c>
      <c r="AX788" s="5" t="n">
        <f aca="false">IF(ISBLANK(AW788),0,AW788)</f>
        <v>5000</v>
      </c>
      <c r="AY788" s="0" t="s">
        <v>80</v>
      </c>
      <c r="AZ788" s="0" t="str">
        <f aca="false">UPPER(IF(ISBLANK(AY788),"NONE",AY788))</f>
        <v>PROMO10</v>
      </c>
      <c r="BB788" s="7" t="str">
        <f aca="false">IF(ISBLANK(BA788),"No Follow Up Needed",BA788)</f>
        <v>No Follow Up Needed</v>
      </c>
      <c r="BC788" s="0" t="s">
        <v>61</v>
      </c>
      <c r="BD788" s="0" t="str">
        <f aca="false">PROPER(IF(ISBLANK(BC788),"Unknown",BC788))</f>
        <v>No</v>
      </c>
      <c r="BE788" s="0" t="s">
        <v>116</v>
      </c>
      <c r="BF788" s="0" t="str">
        <f aca="false">IF(ISBLANK(BE788),"No comments",BE788)</f>
        <v>Needs tire alignment</v>
      </c>
      <c r="BH788" s="0" t="str">
        <f aca="false">IF(ISBLANK(BG788),"No comments",BG788)</f>
        <v>No comments</v>
      </c>
      <c r="BI788" s="0" t="s">
        <v>63</v>
      </c>
      <c r="BJ788" s="0" t="str">
        <f aca="false">IF(ISBLANK(BI788),"Not Mentioned",BI788)</f>
        <v>Yes</v>
      </c>
      <c r="BK788" s="0" t="s">
        <v>63</v>
      </c>
      <c r="BL788" s="0" t="str">
        <f aca="false">PROPER(IF(ISBLANK(BK788),"Not Mentioned",BK788))</f>
        <v>Yes</v>
      </c>
      <c r="BM788" s="0" t="s">
        <v>63</v>
      </c>
      <c r="BN788" s="0" t="str">
        <f aca="false">PROPER(IF(ISBLANK(BM788),"Not Mentioned",BM788))</f>
        <v>Yes</v>
      </c>
      <c r="BO788" s="0" t="s">
        <v>2321</v>
      </c>
      <c r="BP788" s="0" t="str">
        <f aca="false">IF(ISBLANK(BO788),"One-Time Plan",BO788)</f>
        <v>One-Time Plan</v>
      </c>
      <c r="BQ788" s="0" t="s">
        <v>63</v>
      </c>
      <c r="BR788" s="0" t="str">
        <f aca="false">PROPER(IF(ISBLANK(BQ788),"No",BQ788))</f>
        <v>Yes</v>
      </c>
    </row>
    <row r="789" customFormat="false" ht="15" hidden="false" customHeight="false" outlineLevel="0" collapsed="false">
      <c r="A789" s="0" t="s">
        <v>1869</v>
      </c>
      <c r="B789" s="2" t="n">
        <v>45772</v>
      </c>
      <c r="C789" s="2" t="str">
        <f aca="false">TEXT(B789,"dd/mm/yyyy")</f>
        <v>25/04/2025</v>
      </c>
      <c r="D789" s="0" t="s">
        <v>105</v>
      </c>
      <c r="E789" s="0" t="n">
        <v>8096615201</v>
      </c>
      <c r="F789" s="0" t="s">
        <v>122</v>
      </c>
      <c r="G789" s="0" t="s">
        <v>2316</v>
      </c>
      <c r="H789" s="0" t="s">
        <v>1870</v>
      </c>
      <c r="I789" s="0" t="s">
        <v>134</v>
      </c>
      <c r="J789" s="0" t="s">
        <v>2317</v>
      </c>
      <c r="K789" s="3" t="str">
        <f aca="false" t="array" ref="K789:K789">IFERROR(IF(J789&lt;&gt;"",J789,INDEX(J789:J1788,MATCH(1,(F789:F1788=F789)*(I789:I1788=I789)*(L789:L1788=L789)*(J789:J1788&lt;&gt;""),0))),"Not Found")</f>
        <v>Suspension Noise</v>
      </c>
      <c r="L789" s="3" t="s">
        <v>142</v>
      </c>
      <c r="M789" s="0" t="str">
        <f aca="false">PROPER(L789)</f>
        <v>Oil Filter, Brake Pads</v>
      </c>
      <c r="N789" s="3" t="s">
        <v>71</v>
      </c>
      <c r="O789" s="0" t="str">
        <f aca="false" t="array" ref="O789:O789">IF(N789&lt;&gt;"",N789,_xlfn.xlookup(1,(L789:L1788=L789)*(N789:N1788&lt;&gt;""),N789:N1788,"Not Found"))</f>
        <v>Isaac Bobo</v>
      </c>
      <c r="P789" s="4" t="n">
        <v>115776</v>
      </c>
      <c r="Q789" s="0" t="s">
        <v>110</v>
      </c>
      <c r="R789" s="0" t="str">
        <f aca="false">PROPER(Q789)</f>
        <v>Cash</v>
      </c>
      <c r="S789" s="0" t="s">
        <v>50</v>
      </c>
      <c r="T789" s="0" t="n">
        <v>1</v>
      </c>
      <c r="U789" s="5" t="n">
        <f aca="false">IF(ISBLANK(T789),AVERAGE(T789:T1788),T789)</f>
        <v>1</v>
      </c>
      <c r="V789" s="0" t="n">
        <v>5.4</v>
      </c>
      <c r="W789" s="0" t="s">
        <v>111</v>
      </c>
      <c r="X789" s="0" t="str">
        <f aca="false">IF(ISBLANK(W789),"No remarks",W789)</f>
        <v>Changed all filters</v>
      </c>
      <c r="Y789" s="0" t="s">
        <v>52</v>
      </c>
      <c r="Z789" s="0" t="s">
        <v>53</v>
      </c>
      <c r="AA789" s="0" t="str">
        <f aca="false">PROPER(IF(ISBLANK(Z789),"Location Unavailable",Z789))</f>
        <v>Main Bay</v>
      </c>
      <c r="AB789" s="0" t="s">
        <v>126</v>
      </c>
      <c r="AC789" s="6" t="str">
        <f aca="false">PROPER(AB789)</f>
        <v>Whatsapp</v>
      </c>
      <c r="AD789" s="6" t="n">
        <v>45</v>
      </c>
      <c r="AE789" s="5" t="n">
        <f aca="false">IF(ISBLANK(AD789),AVERAGEIF(L789:L1788,L789,AD789:AD1788),AD789)</f>
        <v>45</v>
      </c>
      <c r="AF789" s="0" t="s">
        <v>55</v>
      </c>
      <c r="AG789" s="0" t="str">
        <f aca="false">PROPER(AF789)</f>
        <v>Available</v>
      </c>
      <c r="AH789" s="0" t="s">
        <v>155</v>
      </c>
      <c r="AI789" s="0" t="s">
        <v>113</v>
      </c>
      <c r="AJ789" s="0" t="str">
        <f aca="false">PROPER(AI789)</f>
        <v>Normal</v>
      </c>
      <c r="AK789" s="0" t="s">
        <v>196</v>
      </c>
      <c r="AL789" s="0" t="str">
        <f aca="false">PROPER(AK789)</f>
        <v>First Time</v>
      </c>
      <c r="AN789" s="0" t="str">
        <f aca="false">IF(ISBLANK(AM789),"Unknown",AM789)</f>
        <v>Unknown</v>
      </c>
      <c r="AO789" s="0" t="s">
        <v>143</v>
      </c>
      <c r="AP789" s="0" t="str">
        <f aca="false">IF(ISBLANK(AO789),"Unknown",AO789)</f>
        <v>Senior</v>
      </c>
      <c r="AQ789" s="0" t="n">
        <v>15000</v>
      </c>
      <c r="AR789" s="5" t="n">
        <f aca="false">IF(ISBLANK(AQ789),AVERAGEIF(M789:M1788,M789,AQ789:AQ1788),AQ789)</f>
        <v>15000</v>
      </c>
      <c r="AS789" s="0" t="n">
        <v>20000</v>
      </c>
      <c r="AT789" s="5" t="n">
        <f aca="false">IF(ISBLANK(AS789),AVERAGE(AS789:AS1788),AS789)</f>
        <v>20000</v>
      </c>
      <c r="AU789" s="0" t="s">
        <v>50</v>
      </c>
      <c r="AV789" s="0" t="str">
        <f aca="false">PROPER(IF(ISBLANK(AU789),"No",AU789))</f>
        <v>No</v>
      </c>
      <c r="AW789" s="0" t="n">
        <v>5000</v>
      </c>
      <c r="AX789" s="5" t="n">
        <f aca="false">IF(ISBLANK(AW789),0,AW789)</f>
        <v>5000</v>
      </c>
      <c r="AY789" s="0" t="s">
        <v>184</v>
      </c>
      <c r="AZ789" s="0" t="str">
        <f aca="false">UPPER(IF(ISBLANK(AY789),"NONE",AY789))</f>
        <v>N/A</v>
      </c>
      <c r="BA789" s="7" t="n">
        <v>45849</v>
      </c>
      <c r="BB789" s="7" t="n">
        <f aca="false">IF(ISBLANK(BA789),"No Follow Up Needed",BA789)</f>
        <v>45849</v>
      </c>
      <c r="BC789" s="0" t="s">
        <v>61</v>
      </c>
      <c r="BD789" s="0" t="str">
        <f aca="false">PROPER(IF(ISBLANK(BC789),"Unknown",BC789))</f>
        <v>No</v>
      </c>
      <c r="BF789" s="0" t="str">
        <f aca="false">IF(ISBLANK(BE789),"No comments",BE789)</f>
        <v>No comments</v>
      </c>
      <c r="BH789" s="0" t="str">
        <f aca="false">IF(ISBLANK(BG789),"No comments",BG789)</f>
        <v>No comments</v>
      </c>
      <c r="BI789" s="0" t="s">
        <v>63</v>
      </c>
      <c r="BJ789" s="0" t="str">
        <f aca="false">IF(ISBLANK(BI789),"Not Mentioned",BI789)</f>
        <v>Yes</v>
      </c>
      <c r="BK789" s="0" t="s">
        <v>61</v>
      </c>
      <c r="BL789" s="0" t="str">
        <f aca="false">PROPER(IF(ISBLANK(BK789),"Not Mentioned",BK789))</f>
        <v>No</v>
      </c>
      <c r="BM789" s="0" t="s">
        <v>63</v>
      </c>
      <c r="BN789" s="0" t="str">
        <f aca="false">PROPER(IF(ISBLANK(BM789),"Not Mentioned",BM789))</f>
        <v>Yes</v>
      </c>
      <c r="BO789" s="0" t="s">
        <v>2321</v>
      </c>
      <c r="BP789" s="0" t="str">
        <f aca="false">IF(ISBLANK(BO789),"One-Time Plan",BO789)</f>
        <v>One-Time Plan</v>
      </c>
      <c r="BQ789" s="0" t="s">
        <v>63</v>
      </c>
      <c r="BR789" s="0" t="str">
        <f aca="false">PROPER(IF(ISBLANK(BQ789),"No",BQ789))</f>
        <v>Yes</v>
      </c>
    </row>
    <row r="790" customFormat="false" ht="15" hidden="false" customHeight="false" outlineLevel="0" collapsed="false">
      <c r="A790" s="0" t="s">
        <v>1871</v>
      </c>
      <c r="B790" s="2" t="n">
        <v>45771</v>
      </c>
      <c r="C790" s="2" t="str">
        <f aca="false">TEXT(B790,"dd/mm/yyyy")</f>
        <v>24/04/2025</v>
      </c>
      <c r="D790" s="0" t="s">
        <v>163</v>
      </c>
      <c r="E790" s="0" t="n">
        <v>8029848692</v>
      </c>
      <c r="F790" s="0" t="s">
        <v>85</v>
      </c>
      <c r="G790" s="0" t="s">
        <v>2319</v>
      </c>
      <c r="H790" s="0" t="s">
        <v>1872</v>
      </c>
      <c r="I790" s="0" t="s">
        <v>107</v>
      </c>
      <c r="J790" s="0" t="s">
        <v>87</v>
      </c>
      <c r="K790" s="3" t="str">
        <f aca="false" t="array" ref="K790:K790">IFERROR(IF(J790&lt;&gt;"",J790,INDEX(J790:J1789,MATCH(1,(F790:F1789=F790)*(I790:I1789=I790)*(L790:L1789=L790)*(J790:J1789&lt;&gt;""),0))),"Not Found")</f>
        <v>Oil Change</v>
      </c>
      <c r="L790" s="3" t="s">
        <v>47</v>
      </c>
      <c r="M790" s="0" t="str">
        <f aca="false">PROPER(L790)</f>
        <v>None</v>
      </c>
      <c r="N790" s="3" t="s">
        <v>109</v>
      </c>
      <c r="O790" s="0" t="str">
        <f aca="false" t="array" ref="O790:O790">IF(N790&lt;&gt;"",N790,_xlfn.xlookup(1,(L790:L1789=L790)*(N790:N1789&lt;&gt;""),N790:N1789,"Not Found"))</f>
        <v>Tijani</v>
      </c>
      <c r="P790" s="4" t="n">
        <v>11921</v>
      </c>
      <c r="Q790" s="0" t="s">
        <v>91</v>
      </c>
      <c r="R790" s="0" t="str">
        <f aca="false">PROPER(Q790)</f>
        <v>Pos</v>
      </c>
      <c r="S790" s="0" t="s">
        <v>63</v>
      </c>
      <c r="T790" s="0" t="n">
        <v>1</v>
      </c>
      <c r="U790" s="5" t="n">
        <f aca="false">IF(ISBLANK(T790),AVERAGE(T790:T1789),T790)</f>
        <v>1</v>
      </c>
      <c r="V790" s="0" t="n">
        <v>5.9</v>
      </c>
      <c r="W790" s="0" t="s">
        <v>125</v>
      </c>
      <c r="X790" s="0" t="str">
        <f aca="false">IF(ISBLANK(W790),"No remarks",W790)</f>
        <v>Customer waited</v>
      </c>
      <c r="Y790" s="0" t="s">
        <v>93</v>
      </c>
      <c r="Z790" s="0" t="s">
        <v>53</v>
      </c>
      <c r="AA790" s="0" t="str">
        <f aca="false">PROPER(IF(ISBLANK(Z790),"Location Unavailable",Z790))</f>
        <v>Main Bay</v>
      </c>
      <c r="AB790" s="0" t="s">
        <v>147</v>
      </c>
      <c r="AC790" s="6" t="str">
        <f aca="false">PROPER(AB790)</f>
        <v>Instagram</v>
      </c>
      <c r="AE790" s="5" t="n">
        <f aca="false">IF(ISBLANK(AD790),AVERAGEIF(L790:L1789,L790,AD790:AD1789),AD790)</f>
        <v>37.258064516129</v>
      </c>
      <c r="AF790" s="0" t="s">
        <v>112</v>
      </c>
      <c r="AG790" s="0" t="str">
        <f aca="false">PROPER(AF790)</f>
        <v>Unavailable</v>
      </c>
      <c r="AH790" s="0" t="s">
        <v>56</v>
      </c>
      <c r="AI790" s="0" t="s">
        <v>98</v>
      </c>
      <c r="AJ790" s="0" t="str">
        <f aca="false">PROPER(AI790)</f>
        <v>Emergency</v>
      </c>
      <c r="AK790" s="0" t="s">
        <v>99</v>
      </c>
      <c r="AL790" s="0" t="str">
        <f aca="false">PROPER(AK790)</f>
        <v>Uber Driver</v>
      </c>
      <c r="AM790" s="0" t="s">
        <v>2324</v>
      </c>
      <c r="AN790" s="0" t="str">
        <f aca="false">IF(ISBLANK(AM790),"Unknown",AM790)</f>
        <v>Logistics Convoy</v>
      </c>
      <c r="AO790" s="0" t="s">
        <v>143</v>
      </c>
      <c r="AP790" s="0" t="str">
        <f aca="false">IF(ISBLANK(AO790),"Unknown",AO790)</f>
        <v>Senior</v>
      </c>
      <c r="AQ790" s="0" t="n">
        <v>15000</v>
      </c>
      <c r="AR790" s="5" t="n">
        <f aca="false">IF(ISBLANK(AQ790),AVERAGEIF(M790:M1789,M790,AQ790:AQ1789),AQ790)</f>
        <v>15000</v>
      </c>
      <c r="AS790" s="0" t="n">
        <v>20000</v>
      </c>
      <c r="AT790" s="5" t="n">
        <f aca="false">IF(ISBLANK(AS790),AVERAGE(AS790:AS1789),AS790)</f>
        <v>20000</v>
      </c>
      <c r="AU790" s="0" t="s">
        <v>82</v>
      </c>
      <c r="AV790" s="0" t="str">
        <f aca="false">PROPER(IF(ISBLANK(AU790),"No",AU790))</f>
        <v>Yes</v>
      </c>
      <c r="AW790" s="0" t="n">
        <v>10000</v>
      </c>
      <c r="AX790" s="5" t="n">
        <f aca="false">IF(ISBLANK(AW790),0,AW790)</f>
        <v>10000</v>
      </c>
      <c r="AY790" s="0" t="s">
        <v>184</v>
      </c>
      <c r="AZ790" s="0" t="str">
        <f aca="false">UPPER(IF(ISBLANK(AY790),"NONE",AY790))</f>
        <v>N/A</v>
      </c>
      <c r="BA790" s="7" t="n">
        <v>46020</v>
      </c>
      <c r="BB790" s="7" t="n">
        <f aca="false">IF(ISBLANK(BA790),"No Follow Up Needed",BA790)</f>
        <v>46020</v>
      </c>
      <c r="BC790" s="0" t="s">
        <v>61</v>
      </c>
      <c r="BD790" s="0" t="str">
        <f aca="false">PROPER(IF(ISBLANK(BC790),"Unknown",BC790))</f>
        <v>No</v>
      </c>
      <c r="BF790" s="0" t="str">
        <f aca="false">IF(ISBLANK(BE790),"No comments",BE790)</f>
        <v>No comments</v>
      </c>
      <c r="BG790" s="0" t="s">
        <v>2320</v>
      </c>
      <c r="BH790" s="0" t="str">
        <f aca="false">IF(ISBLANK(BG790),"No comments",BG790)</f>
        <v>No complaints</v>
      </c>
      <c r="BI790" s="0" t="s">
        <v>63</v>
      </c>
      <c r="BJ790" s="0" t="str">
        <f aca="false">IF(ISBLANK(BI790),"Not Mentioned",BI790)</f>
        <v>Yes</v>
      </c>
      <c r="BK790" s="0" t="s">
        <v>50</v>
      </c>
      <c r="BL790" s="0" t="str">
        <f aca="false">PROPER(IF(ISBLANK(BK790),"Not Mentioned",BK790))</f>
        <v>No</v>
      </c>
      <c r="BM790" s="0" t="s">
        <v>50</v>
      </c>
      <c r="BN790" s="0" t="str">
        <f aca="false">PROPER(IF(ISBLANK(BM790),"Not Mentioned",BM790))</f>
        <v>No</v>
      </c>
      <c r="BO790" s="0" t="s">
        <v>2321</v>
      </c>
      <c r="BP790" s="0" t="str">
        <f aca="false">IF(ISBLANK(BO790),"One-Time Plan",BO790)</f>
        <v>One-Time Plan</v>
      </c>
      <c r="BQ790" s="0" t="s">
        <v>63</v>
      </c>
      <c r="BR790" s="0" t="str">
        <f aca="false">PROPER(IF(ISBLANK(BQ790),"No",BQ790))</f>
        <v>Yes</v>
      </c>
    </row>
    <row r="791" customFormat="false" ht="15" hidden="false" customHeight="false" outlineLevel="0" collapsed="false">
      <c r="A791" s="0" t="s">
        <v>1873</v>
      </c>
      <c r="B791" s="2" t="n">
        <v>45764</v>
      </c>
      <c r="C791" s="2" t="str">
        <f aca="false">TEXT(B791,"dd/mm/yyyy")</f>
        <v>17/04/2025</v>
      </c>
      <c r="D791" s="0" t="s">
        <v>66</v>
      </c>
      <c r="E791" s="0" t="n">
        <v>8045075212</v>
      </c>
      <c r="F791" s="0" t="s">
        <v>67</v>
      </c>
      <c r="G791" s="0" t="s">
        <v>2316</v>
      </c>
      <c r="H791" s="0" t="s">
        <v>1874</v>
      </c>
      <c r="I791" s="0" t="s">
        <v>107</v>
      </c>
      <c r="J791" s="0" t="s">
        <v>2317</v>
      </c>
      <c r="K791" s="3" t="str">
        <f aca="false" t="array" ref="K791:K791">IFERROR(IF(J791&lt;&gt;"",J791,INDEX(J791:J1790,MATCH(1,(F791:F1790=F791)*(I791:I1790=I791)*(L791:L1790=L791)*(J791:J1790&lt;&gt;""),0))),"Not Found")</f>
        <v>Suspension Noise</v>
      </c>
      <c r="L791" s="3" t="s">
        <v>189</v>
      </c>
      <c r="M791" s="0" t="str">
        <f aca="false">PROPER(L791)</f>
        <v>Battery</v>
      </c>
      <c r="N791" s="3" t="s">
        <v>48</v>
      </c>
      <c r="O791" s="0" t="str">
        <f aca="false" t="array" ref="O791:O791">IF(N791&lt;&gt;"",N791,_xlfn.xlookup(1,(L791:L1790=L791)*(N791:N1790&lt;&gt;""),N791:N1790,"Not Found"))</f>
        <v>Uche</v>
      </c>
      <c r="P791" s="4" t="n">
        <v>18781</v>
      </c>
      <c r="Q791" s="0" t="s">
        <v>110</v>
      </c>
      <c r="R791" s="0" t="str">
        <f aca="false">PROPER(Q791)</f>
        <v>Cash</v>
      </c>
      <c r="S791" s="0" t="s">
        <v>50</v>
      </c>
      <c r="T791" s="0" t="n">
        <v>3</v>
      </c>
      <c r="U791" s="5" t="n">
        <f aca="false">IF(ISBLANK(T791),AVERAGE(T791:T1790),T791)</f>
        <v>3</v>
      </c>
      <c r="V791" s="0" t="n">
        <v>4.4</v>
      </c>
      <c r="W791" s="0" t="s">
        <v>125</v>
      </c>
      <c r="X791" s="0" t="str">
        <f aca="false">IF(ISBLANK(W791),"No remarks",W791)</f>
        <v>Customer waited</v>
      </c>
      <c r="Y791" s="0" t="s">
        <v>73</v>
      </c>
      <c r="AA791" s="0" t="str">
        <f aca="false">PROPER(IF(ISBLANK(Z791),"Location Unavailable",Z791))</f>
        <v>Location Unavailable</v>
      </c>
      <c r="AB791" s="0" t="s">
        <v>95</v>
      </c>
      <c r="AC791" s="6" t="str">
        <f aca="false">PROPER(AB791)</f>
        <v>Road Sign</v>
      </c>
      <c r="AD791" s="6" t="n">
        <v>60</v>
      </c>
      <c r="AE791" s="5" t="n">
        <f aca="false">IF(ISBLANK(AD791),AVERAGEIF(L791:L1790,L791,AD791:AD1790),AD791)</f>
        <v>60</v>
      </c>
      <c r="AF791" s="0" t="s">
        <v>55</v>
      </c>
      <c r="AG791" s="0" t="str">
        <f aca="false">PROPER(AF791)</f>
        <v>Available</v>
      </c>
      <c r="AH791" s="0" t="s">
        <v>155</v>
      </c>
      <c r="AI791" s="0" t="s">
        <v>113</v>
      </c>
      <c r="AJ791" s="0" t="str">
        <f aca="false">PROPER(AI791)</f>
        <v>Normal</v>
      </c>
      <c r="AK791" s="0" t="s">
        <v>196</v>
      </c>
      <c r="AL791" s="0" t="str">
        <f aca="false">PROPER(AK791)</f>
        <v>First Time</v>
      </c>
      <c r="AM791" s="0" t="s">
        <v>59</v>
      </c>
      <c r="AN791" s="0" t="str">
        <f aca="false">IF(ISBLANK(AM791),"Unknown",AM791)</f>
        <v>Bolt Driver</v>
      </c>
      <c r="AO791" s="0" t="s">
        <v>161</v>
      </c>
      <c r="AP791" s="0" t="str">
        <f aca="false">IF(ISBLANK(AO791),"Unknown",AO791)</f>
        <v>Apprentice</v>
      </c>
      <c r="AQ791" s="0" t="n">
        <v>25000</v>
      </c>
      <c r="AR791" s="5" t="n">
        <f aca="false">IF(ISBLANK(AQ791),AVERAGEIF(M791:M1790,M791,AQ791:AQ1790),AQ791)</f>
        <v>25000</v>
      </c>
      <c r="AT791" s="5" t="n">
        <f aca="false">IF(ISBLANK(AS791),AVERAGE(AS791:AS1790),AS791)</f>
        <v>31638.8888888889</v>
      </c>
      <c r="AU791" s="0" t="s">
        <v>63</v>
      </c>
      <c r="AV791" s="0" t="str">
        <f aca="false">PROPER(IF(ISBLANK(AU791),"No",AU791))</f>
        <v>Yes</v>
      </c>
      <c r="AW791" s="0" t="n">
        <v>0</v>
      </c>
      <c r="AX791" s="5" t="n">
        <f aca="false">IF(ISBLANK(AW791),0,AW791)</f>
        <v>0</v>
      </c>
      <c r="AY791" s="0" t="s">
        <v>130</v>
      </c>
      <c r="AZ791" s="0" t="str">
        <f aca="false">UPPER(IF(ISBLANK(AY791),"NONE",AY791))</f>
        <v>LOYALTY10</v>
      </c>
      <c r="BA791" s="7" t="n">
        <v>45883</v>
      </c>
      <c r="BB791" s="7" t="n">
        <f aca="false">IF(ISBLANK(BA791),"No Follow Up Needed",BA791)</f>
        <v>45883</v>
      </c>
      <c r="BC791" s="0" t="s">
        <v>63</v>
      </c>
      <c r="BD791" s="0" t="str">
        <f aca="false">PROPER(IF(ISBLANK(BC791),"Unknown",BC791))</f>
        <v>Yes</v>
      </c>
      <c r="BF791" s="0" t="str">
        <f aca="false">IF(ISBLANK(BE791),"No comments",BE791)</f>
        <v>No comments</v>
      </c>
      <c r="BG791" s="0" t="s">
        <v>2320</v>
      </c>
      <c r="BH791" s="0" t="str">
        <f aca="false">IF(ISBLANK(BG791),"No comments",BG791)</f>
        <v>No complaints</v>
      </c>
      <c r="BI791" s="0" t="s">
        <v>50</v>
      </c>
      <c r="BJ791" s="0" t="str">
        <f aca="false">IF(ISBLANK(BI791),"Not Mentioned",BI791)</f>
        <v>No</v>
      </c>
      <c r="BK791" s="0" t="s">
        <v>50</v>
      </c>
      <c r="BL791" s="0" t="str">
        <f aca="false">PROPER(IF(ISBLANK(BK791),"Not Mentioned",BK791))</f>
        <v>No</v>
      </c>
      <c r="BM791" s="0" t="s">
        <v>63</v>
      </c>
      <c r="BN791" s="0" t="str">
        <f aca="false">PROPER(IF(ISBLANK(BM791),"Not Mentioned",BM791))</f>
        <v>Yes</v>
      </c>
      <c r="BO791" s="0" t="s">
        <v>2318</v>
      </c>
      <c r="BP791" s="0" t="str">
        <f aca="false">IF(ISBLANK(BO791),"One-Time Plan",BO791)</f>
        <v>Gold</v>
      </c>
      <c r="BQ791" s="0" t="s">
        <v>198</v>
      </c>
      <c r="BR791" s="0" t="str">
        <f aca="false">PROPER(IF(ISBLANK(BQ791),"No",BQ791))</f>
        <v>Followed Up</v>
      </c>
    </row>
    <row r="792" customFormat="false" ht="15" hidden="false" customHeight="false" outlineLevel="0" collapsed="false">
      <c r="A792" s="0" t="s">
        <v>1875</v>
      </c>
      <c r="B792" s="2" t="n">
        <v>45693</v>
      </c>
      <c r="C792" s="2" t="str">
        <f aca="false">TEXT(B792,"dd/mm/yyyy")</f>
        <v>05/02/2025</v>
      </c>
      <c r="D792" s="0" t="s">
        <v>121</v>
      </c>
      <c r="E792" s="0" t="n">
        <v>8091260195</v>
      </c>
      <c r="F792" s="0" t="s">
        <v>122</v>
      </c>
      <c r="G792" s="0" t="s">
        <v>2316</v>
      </c>
      <c r="H792" s="0" t="s">
        <v>1876</v>
      </c>
      <c r="I792" s="0" t="s">
        <v>107</v>
      </c>
      <c r="J792" s="0" t="s">
        <v>2322</v>
      </c>
      <c r="K792" s="3" t="str">
        <f aca="false" t="array" ref="K792:K792">IFERROR(IF(J792&lt;&gt;"",J792,INDEX(J792:J1791,MATCH(1,(F792:F1791=F792)*(I792:I1791=I792)*(L792:L1791=L792)*(J792:J1791&lt;&gt;""),0))),"Not Found")</f>
        <v>Brake Failure</v>
      </c>
      <c r="L792" s="3" t="s">
        <v>189</v>
      </c>
      <c r="M792" s="0" t="str">
        <f aca="false">PROPER(L792)</f>
        <v>Battery</v>
      </c>
      <c r="O792" s="0" t="e">
        <f aca="false" t="array" ref="O792:O792">IF(N792&lt;&gt;"",N792,_xlfn.xlookup(1,(L792:L1791=L792)*(N792:N1791&lt;&gt;""),N792:N1791,"Not Found"))</f>
        <v>#NAME?</v>
      </c>
      <c r="P792" s="4" t="n">
        <v>103256</v>
      </c>
      <c r="Q792" s="0" t="s">
        <v>91</v>
      </c>
      <c r="R792" s="0" t="str">
        <f aca="false">PROPER(Q792)</f>
        <v>Pos</v>
      </c>
      <c r="S792" s="0" t="s">
        <v>63</v>
      </c>
      <c r="U792" s="5" t="n">
        <f aca="false">IF(ISBLANK(T792),AVERAGE(T792:T1791),T792)</f>
        <v>3.25581395348837</v>
      </c>
      <c r="V792" s="0" t="n">
        <v>1.6</v>
      </c>
      <c r="W792" s="0" t="s">
        <v>51</v>
      </c>
      <c r="X792" s="0" t="str">
        <f aca="false">IF(ISBLANK(W792),"No remarks",W792)</f>
        <v>Recommended further checks</v>
      </c>
      <c r="Y792" s="0" t="s">
        <v>93</v>
      </c>
      <c r="Z792" s="0" t="s">
        <v>53</v>
      </c>
      <c r="AA792" s="0" t="str">
        <f aca="false">PROPER(IF(ISBLANK(Z792),"Location Unavailable",Z792))</f>
        <v>Main Bay</v>
      </c>
      <c r="AB792" s="0" t="s">
        <v>75</v>
      </c>
      <c r="AC792" s="6" t="str">
        <f aca="false">PROPER(AB792)</f>
        <v>Mechanik Referal</v>
      </c>
      <c r="AD792" s="6" t="n">
        <v>15</v>
      </c>
      <c r="AE792" s="5" t="n">
        <f aca="false">IF(ISBLANK(AD792),AVERAGEIF(L792:L1791,L792,AD792:AD1791),AD792)</f>
        <v>15</v>
      </c>
      <c r="AF792" s="0" t="s">
        <v>55</v>
      </c>
      <c r="AG792" s="0" t="str">
        <f aca="false">PROPER(AF792)</f>
        <v>Available</v>
      </c>
      <c r="AH792" s="0" t="s">
        <v>56</v>
      </c>
      <c r="AI792" s="0" t="s">
        <v>98</v>
      </c>
      <c r="AJ792" s="0" t="str">
        <f aca="false">PROPER(AI792)</f>
        <v>Emergency</v>
      </c>
      <c r="AK792" s="0" t="s">
        <v>58</v>
      </c>
      <c r="AL792" s="0" t="str">
        <f aca="false">PROPER(AK792)</f>
        <v>Fleet Owner</v>
      </c>
      <c r="AM792" s="0" t="s">
        <v>59</v>
      </c>
      <c r="AN792" s="0" t="str">
        <f aca="false">IF(ISBLANK(AM792),"Unknown",AM792)</f>
        <v>Bolt Driver</v>
      </c>
      <c r="AO792" s="0" t="s">
        <v>79</v>
      </c>
      <c r="AP792" s="0" t="str">
        <f aca="false">IF(ISBLANK(AO792),"Unknown",AO792)</f>
        <v>Specialist</v>
      </c>
      <c r="AQ792" s="0" t="n">
        <v>20000</v>
      </c>
      <c r="AR792" s="5" t="n">
        <f aca="false">IF(ISBLANK(AQ792),AVERAGEIF(M792:M1791,M792,AQ792:AQ1791),AQ792)</f>
        <v>20000</v>
      </c>
      <c r="AS792" s="0" t="n">
        <v>40000</v>
      </c>
      <c r="AT792" s="5" t="n">
        <f aca="false">IF(ISBLANK(AS792),AVERAGE(AS792:AS1791),AS792)</f>
        <v>40000</v>
      </c>
      <c r="AV792" s="0" t="str">
        <f aca="false">PROPER(IF(ISBLANK(AU792),"No",AU792))</f>
        <v>No</v>
      </c>
      <c r="AW792" s="0" t="n">
        <v>5000</v>
      </c>
      <c r="AX792" s="5" t="n">
        <f aca="false">IF(ISBLANK(AW792),0,AW792)</f>
        <v>5000</v>
      </c>
      <c r="AY792" s="0" t="s">
        <v>184</v>
      </c>
      <c r="AZ792" s="0" t="str">
        <f aca="false">UPPER(IF(ISBLANK(AY792),"NONE",AY792))</f>
        <v>N/A</v>
      </c>
      <c r="BB792" s="7" t="str">
        <f aca="false">IF(ISBLANK(BA792),"No Follow Up Needed",BA792)</f>
        <v>No Follow Up Needed</v>
      </c>
      <c r="BC792" s="0" t="s">
        <v>50</v>
      </c>
      <c r="BD792" s="0" t="str">
        <f aca="false">PROPER(IF(ISBLANK(BC792),"Unknown",BC792))</f>
        <v>No</v>
      </c>
      <c r="BE792" s="0" t="s">
        <v>116</v>
      </c>
      <c r="BF792" s="0" t="str">
        <f aca="false">IF(ISBLANK(BE792),"No comments",BE792)</f>
        <v>Needs tire alignment</v>
      </c>
      <c r="BH792" s="0" t="str">
        <f aca="false">IF(ISBLANK(BG792),"No comments",BG792)</f>
        <v>No comments</v>
      </c>
      <c r="BI792" s="0" t="s">
        <v>63</v>
      </c>
      <c r="BJ792" s="0" t="str">
        <f aca="false">IF(ISBLANK(BI792),"Not Mentioned",BI792)</f>
        <v>Yes</v>
      </c>
      <c r="BK792" s="0" t="s">
        <v>63</v>
      </c>
      <c r="BL792" s="0" t="str">
        <f aca="false">PROPER(IF(ISBLANK(BK792),"Not Mentioned",BK792))</f>
        <v>Yes</v>
      </c>
      <c r="BN792" s="0" t="str">
        <f aca="false">PROPER(IF(ISBLANK(BM792),"Not Mentioned",BM792))</f>
        <v>Not Mentioned</v>
      </c>
      <c r="BO792" s="0" t="s">
        <v>2321</v>
      </c>
      <c r="BP792" s="0" t="str">
        <f aca="false">IF(ISBLANK(BO792),"One-Time Plan",BO792)</f>
        <v>One-Time Plan</v>
      </c>
      <c r="BQ792" s="0" t="s">
        <v>63</v>
      </c>
      <c r="BR792" s="0" t="str">
        <f aca="false">PROPER(IF(ISBLANK(BQ792),"No",BQ792))</f>
        <v>Yes</v>
      </c>
    </row>
    <row r="793" customFormat="false" ht="15" hidden="false" customHeight="false" outlineLevel="0" collapsed="false">
      <c r="A793" s="0" t="s">
        <v>1877</v>
      </c>
      <c r="B793" s="2" t="n">
        <v>45811</v>
      </c>
      <c r="C793" s="2" t="str">
        <f aca="false">TEXT(B793,"dd/mm/yyyy")</f>
        <v>03/06/2025</v>
      </c>
      <c r="D793" s="0" t="s">
        <v>105</v>
      </c>
      <c r="E793" s="0" t="n">
        <v>8071132251</v>
      </c>
      <c r="F793" s="0" t="s">
        <v>85</v>
      </c>
      <c r="G793" s="0" t="s">
        <v>2319</v>
      </c>
      <c r="H793" s="0" t="s">
        <v>1878</v>
      </c>
      <c r="I793" s="0" t="s">
        <v>134</v>
      </c>
      <c r="J793" s="0" t="s">
        <v>2317</v>
      </c>
      <c r="K793" s="3" t="str">
        <f aca="false" t="array" ref="K793:K793">IFERROR(IF(J793&lt;&gt;"",J793,INDEX(J793:J1792,MATCH(1,(F793:F1792=F793)*(I793:I1792=I793)*(L793:L1792=L793)*(J793:J1792&lt;&gt;""),0))),"Not Found")</f>
        <v>Suspension Noise</v>
      </c>
      <c r="L793" s="3" t="s">
        <v>142</v>
      </c>
      <c r="M793" s="0" t="str">
        <f aca="false">PROPER(L793)</f>
        <v>Oil Filter, Brake Pads</v>
      </c>
      <c r="N793" s="3" t="s">
        <v>71</v>
      </c>
      <c r="O793" s="0" t="str">
        <f aca="false" t="array" ref="O793:O793">IF(N793&lt;&gt;"",N793,_xlfn.xlookup(1,(L793:L1792=L793)*(N793:N1792&lt;&gt;""),N793:N1792,"Not Found"))</f>
        <v>Isaac Bobo</v>
      </c>
      <c r="P793" s="4" t="n">
        <v>117812</v>
      </c>
      <c r="Q793" s="0" t="s">
        <v>72</v>
      </c>
      <c r="R793" s="0" t="str">
        <f aca="false">PROPER(Q793)</f>
        <v>Pos</v>
      </c>
      <c r="S793" s="0" t="s">
        <v>63</v>
      </c>
      <c r="T793" s="0" t="n">
        <v>1</v>
      </c>
      <c r="U793" s="5" t="n">
        <f aca="false">IF(ISBLANK(T793),AVERAGE(T793:T1792),T793)</f>
        <v>1</v>
      </c>
      <c r="V793" s="0" t="n">
        <v>3.3</v>
      </c>
      <c r="X793" s="0" t="str">
        <f aca="false">IF(ISBLANK(W793),"No remarks",W793)</f>
        <v>No remarks</v>
      </c>
      <c r="Y793" s="0" t="s">
        <v>73</v>
      </c>
      <c r="Z793" s="0" t="s">
        <v>53</v>
      </c>
      <c r="AA793" s="0" t="str">
        <f aca="false">PROPER(IF(ISBLANK(Z793),"Location Unavailable",Z793))</f>
        <v>Main Bay</v>
      </c>
      <c r="AB793" s="0" t="s">
        <v>147</v>
      </c>
      <c r="AC793" s="6" t="str">
        <f aca="false">PROPER(AB793)</f>
        <v>Instagram</v>
      </c>
      <c r="AD793" s="6" t="n">
        <v>30</v>
      </c>
      <c r="AE793" s="5" t="n">
        <f aca="false">IF(ISBLANK(AD793),AVERAGEIF(L793:L1792,L793,AD793:AD1792),AD793)</f>
        <v>30</v>
      </c>
      <c r="AF793" s="0" t="s">
        <v>55</v>
      </c>
      <c r="AG793" s="0" t="str">
        <f aca="false">PROPER(AF793)</f>
        <v>Available</v>
      </c>
      <c r="AH793" s="0" t="s">
        <v>155</v>
      </c>
      <c r="AI793" s="0" t="s">
        <v>98</v>
      </c>
      <c r="AJ793" s="0" t="str">
        <f aca="false">PROPER(AI793)</f>
        <v>Emergency</v>
      </c>
      <c r="AK793" s="0" t="s">
        <v>114</v>
      </c>
      <c r="AL793" s="0" t="str">
        <f aca="false">PROPER(AK793)</f>
        <v>Returning</v>
      </c>
      <c r="AN793" s="0" t="str">
        <f aca="false">IF(ISBLANK(AM793),"Unknown",AM793)</f>
        <v>Unknown</v>
      </c>
      <c r="AO793" s="0" t="s">
        <v>79</v>
      </c>
      <c r="AP793" s="0" t="str">
        <f aca="false">IF(ISBLANK(AO793),"Unknown",AO793)</f>
        <v>Specialist</v>
      </c>
      <c r="AQ793" s="0" t="n">
        <v>25000</v>
      </c>
      <c r="AR793" s="5" t="n">
        <f aca="false">IF(ISBLANK(AQ793),AVERAGEIF(M793:M1792,M793,AQ793:AQ1792),AQ793)</f>
        <v>25000</v>
      </c>
      <c r="AS793" s="0" t="n">
        <v>20000</v>
      </c>
      <c r="AT793" s="5" t="n">
        <f aca="false">IF(ISBLANK(AS793),AVERAGE(AS793:AS1792),AS793)</f>
        <v>20000</v>
      </c>
      <c r="AV793" s="0" t="str">
        <f aca="false">PROPER(IF(ISBLANK(AU793),"No",AU793))</f>
        <v>No</v>
      </c>
      <c r="AW793" s="0" t="n">
        <v>0</v>
      </c>
      <c r="AX793" s="5" t="n">
        <f aca="false">IF(ISBLANK(AW793),0,AW793)</f>
        <v>0</v>
      </c>
      <c r="AY793" s="0" t="s">
        <v>80</v>
      </c>
      <c r="AZ793" s="0" t="str">
        <f aca="false">UPPER(IF(ISBLANK(AY793),"NONE",AY793))</f>
        <v>PROMO10</v>
      </c>
      <c r="BA793" s="7" t="s">
        <v>179</v>
      </c>
      <c r="BB793" s="7" t="str">
        <f aca="false">IF(ISBLANK(BA793),"No Follow Up Needed",BA793)</f>
        <v>16/12/2025</v>
      </c>
      <c r="BC793" s="0" t="s">
        <v>61</v>
      </c>
      <c r="BD793" s="0" t="str">
        <f aca="false">PROPER(IF(ISBLANK(BC793),"Unknown",BC793))</f>
        <v>No</v>
      </c>
      <c r="BE793" s="0" t="s">
        <v>171</v>
      </c>
      <c r="BF793" s="0" t="str">
        <f aca="false">IF(ISBLANK(BE793),"No comments",BE793)</f>
        <v>Shock absorber weakening</v>
      </c>
      <c r="BG793" s="0" t="s">
        <v>172</v>
      </c>
      <c r="BH793" s="0" t="str">
        <f aca="false">IF(ISBLANK(BG793),"No comments",BG793)</f>
        <v>Always late</v>
      </c>
      <c r="BJ793" s="0" t="str">
        <f aca="false">IF(ISBLANK(BI793),"Not Mentioned",BI793)</f>
        <v>Not Mentioned</v>
      </c>
      <c r="BK793" s="0" t="s">
        <v>82</v>
      </c>
      <c r="BL793" s="0" t="str">
        <f aca="false">PROPER(IF(ISBLANK(BK793),"Not Mentioned",BK793))</f>
        <v>Yes</v>
      </c>
      <c r="BN793" s="0" t="str">
        <f aca="false">PROPER(IF(ISBLANK(BM793),"Not Mentioned",BM793))</f>
        <v>Not Mentioned</v>
      </c>
      <c r="BO793" s="0" t="s">
        <v>64</v>
      </c>
      <c r="BP793" s="0" t="str">
        <f aca="false">IF(ISBLANK(BO793),"One-Time Plan",BO793)</f>
        <v>Gold Maintenance Plan</v>
      </c>
      <c r="BQ793" s="0" t="s">
        <v>50</v>
      </c>
      <c r="BR793" s="0" t="str">
        <f aca="false">PROPER(IF(ISBLANK(BQ793),"No",BQ793))</f>
        <v>No</v>
      </c>
    </row>
    <row r="794" customFormat="false" ht="15" hidden="false" customHeight="false" outlineLevel="0" collapsed="false">
      <c r="A794" s="0" t="s">
        <v>1879</v>
      </c>
      <c r="B794" s="2" t="n">
        <v>45693</v>
      </c>
      <c r="C794" s="2" t="str">
        <f aca="false">TEXT(B794,"dd/mm/yyyy")</f>
        <v>05/02/2025</v>
      </c>
      <c r="D794" s="0" t="s">
        <v>163</v>
      </c>
      <c r="E794" s="0" t="n">
        <v>8029779316</v>
      </c>
      <c r="F794" s="0" t="s">
        <v>122</v>
      </c>
      <c r="G794" s="0" t="s">
        <v>2316</v>
      </c>
      <c r="H794" s="0" t="s">
        <v>1880</v>
      </c>
      <c r="I794" s="0" t="s">
        <v>69</v>
      </c>
      <c r="J794" s="0" t="s">
        <v>87</v>
      </c>
      <c r="K794" s="3" t="str">
        <f aca="false" t="array" ref="K794:K794">IFERROR(IF(J794&lt;&gt;"",J794,INDEX(J794:J1793,MATCH(1,(F794:F1793=F794)*(I794:I1793=I794)*(L794:L1793=L794)*(J794:J1793&lt;&gt;""),0))),"Not Found")</f>
        <v>Oil Change</v>
      </c>
      <c r="L794" s="3" t="s">
        <v>89</v>
      </c>
      <c r="M794" s="0" t="str">
        <f aca="false">PROPER(L794)</f>
        <v>Shock Absorbers</v>
      </c>
      <c r="O794" s="0" t="e">
        <f aca="false" t="array" ref="O794:O794">IF(N794&lt;&gt;"",N794,_xlfn.xlookup(1,(L794:L1793=L794)*(N794:N1793&lt;&gt;""),N794:N1793,"Not Found"))</f>
        <v>#NAME?</v>
      </c>
      <c r="P794" s="4" t="n">
        <v>44617</v>
      </c>
      <c r="Q794" s="0" t="s">
        <v>124</v>
      </c>
      <c r="R794" s="0" t="str">
        <f aca="false">PROPER(Q794)</f>
        <v>Cash</v>
      </c>
      <c r="S794" s="0" t="s">
        <v>63</v>
      </c>
      <c r="T794" s="0" t="n">
        <v>3</v>
      </c>
      <c r="U794" s="5" t="n">
        <f aca="false">IF(ISBLANK(T794),AVERAGE(T794:T1793),T794)</f>
        <v>3</v>
      </c>
      <c r="V794" s="0" t="n">
        <v>6</v>
      </c>
      <c r="W794" s="0" t="s">
        <v>111</v>
      </c>
      <c r="X794" s="0" t="str">
        <f aca="false">IF(ISBLANK(W794),"No remarks",W794)</f>
        <v>Changed all filters</v>
      </c>
      <c r="Y794" s="0" t="s">
        <v>52</v>
      </c>
      <c r="Z794" s="0" t="s">
        <v>159</v>
      </c>
      <c r="AA794" s="0" t="str">
        <f aca="false">PROPER(IF(ISBLANK(Z794),"Location Unavailable",Z794))</f>
        <v>Main Bay</v>
      </c>
      <c r="AB794" s="0" t="s">
        <v>54</v>
      </c>
      <c r="AC794" s="6" t="str">
        <f aca="false">PROPER(AB794)</f>
        <v>Mechanic Referral</v>
      </c>
      <c r="AD794" s="6" t="n">
        <v>45</v>
      </c>
      <c r="AE794" s="5" t="n">
        <f aca="false">IF(ISBLANK(AD794),AVERAGEIF(L794:L1793,L794,AD794:AD1793),AD794)</f>
        <v>45</v>
      </c>
      <c r="AF794" s="0" t="s">
        <v>55</v>
      </c>
      <c r="AG794" s="0" t="str">
        <f aca="false">PROPER(AF794)</f>
        <v>Available</v>
      </c>
      <c r="AH794" s="0" t="s">
        <v>77</v>
      </c>
      <c r="AI794" s="0" t="s">
        <v>128</v>
      </c>
      <c r="AJ794" s="0" t="str">
        <f aca="false">PROPER(AI794)</f>
        <v>Normal</v>
      </c>
      <c r="AK794" s="0" t="s">
        <v>196</v>
      </c>
      <c r="AL794" s="0" t="str">
        <f aca="false">PROPER(AK794)</f>
        <v>First Time</v>
      </c>
      <c r="AN794" s="0" t="str">
        <f aca="false">IF(ISBLANK(AM794),"Unknown",AM794)</f>
        <v>Unknown</v>
      </c>
      <c r="AO794" s="0" t="s">
        <v>143</v>
      </c>
      <c r="AP794" s="0" t="str">
        <f aca="false">IF(ISBLANK(AO794),"Unknown",AO794)</f>
        <v>Senior</v>
      </c>
      <c r="AQ794" s="0" t="n">
        <v>30000</v>
      </c>
      <c r="AR794" s="5" t="n">
        <f aca="false">IF(ISBLANK(AQ794),AVERAGEIF(M794:M1793,M794,AQ794:AQ1793),AQ794)</f>
        <v>30000</v>
      </c>
      <c r="AS794" s="0" t="n">
        <v>20000</v>
      </c>
      <c r="AT794" s="5" t="n">
        <f aca="false">IF(ISBLANK(AS794),AVERAGE(AS794:AS1793),AS794)</f>
        <v>20000</v>
      </c>
      <c r="AU794" s="0" t="s">
        <v>61</v>
      </c>
      <c r="AV794" s="0" t="str">
        <f aca="false">PROPER(IF(ISBLANK(AU794),"No",AU794))</f>
        <v>No</v>
      </c>
      <c r="AW794" s="0" t="n">
        <v>5000</v>
      </c>
      <c r="AX794" s="5" t="n">
        <f aca="false">IF(ISBLANK(AW794),0,AW794)</f>
        <v>5000</v>
      </c>
      <c r="AZ794" s="0" t="str">
        <f aca="false">UPPER(IF(ISBLANK(AY794),"NONE",AY794))</f>
        <v>NONE</v>
      </c>
      <c r="BA794" s="7" t="s">
        <v>860</v>
      </c>
      <c r="BB794" s="7" t="str">
        <f aca="false">IF(ISBLANK(BA794),"No Follow Up Needed",BA794)</f>
        <v>14/07/2025</v>
      </c>
      <c r="BD794" s="0" t="str">
        <f aca="false">PROPER(IF(ISBLANK(BC794),"Unknown",BC794))</f>
        <v>Unknown</v>
      </c>
      <c r="BE794" s="0" t="s">
        <v>116</v>
      </c>
      <c r="BF794" s="0" t="str">
        <f aca="false">IF(ISBLANK(BE794),"No comments",BE794)</f>
        <v>Needs tire alignment</v>
      </c>
      <c r="BG794" s="0" t="s">
        <v>2320</v>
      </c>
      <c r="BH794" s="0" t="str">
        <f aca="false">IF(ISBLANK(BG794),"No comments",BG794)</f>
        <v>No complaints</v>
      </c>
      <c r="BI794" s="0" t="s">
        <v>63</v>
      </c>
      <c r="BJ794" s="0" t="str">
        <f aca="false">IF(ISBLANK(BI794),"Not Mentioned",BI794)</f>
        <v>Yes</v>
      </c>
      <c r="BK794" s="0" t="s">
        <v>61</v>
      </c>
      <c r="BL794" s="0" t="str">
        <f aca="false">PROPER(IF(ISBLANK(BK794),"Not Mentioned",BK794))</f>
        <v>No</v>
      </c>
      <c r="BM794" s="0" t="s">
        <v>63</v>
      </c>
      <c r="BN794" s="0" t="str">
        <f aca="false">PROPER(IF(ISBLANK(BM794),"Not Mentioned",BM794))</f>
        <v>Yes</v>
      </c>
      <c r="BO794" s="0" t="s">
        <v>2318</v>
      </c>
      <c r="BP794" s="0" t="str">
        <f aca="false">IF(ISBLANK(BO794),"One-Time Plan",BO794)</f>
        <v>Gold</v>
      </c>
      <c r="BQ794" s="0" t="s">
        <v>50</v>
      </c>
      <c r="BR794" s="0" t="str">
        <f aca="false">PROPER(IF(ISBLANK(BQ794),"No",BQ794))</f>
        <v>No</v>
      </c>
    </row>
    <row r="795" customFormat="false" ht="15" hidden="false" customHeight="false" outlineLevel="0" collapsed="false">
      <c r="A795" s="0" t="s">
        <v>1881</v>
      </c>
      <c r="B795" s="2" t="n">
        <v>45674</v>
      </c>
      <c r="C795" s="2" t="str">
        <f aca="false">TEXT(B795,"dd/mm/yyyy")</f>
        <v>17/01/2025</v>
      </c>
      <c r="D795" s="0" t="s">
        <v>163</v>
      </c>
      <c r="E795" s="0" t="n">
        <v>8044129962</v>
      </c>
      <c r="F795" s="0" t="s">
        <v>139</v>
      </c>
      <c r="G795" s="0" t="s">
        <v>2323</v>
      </c>
      <c r="H795" s="0" t="s">
        <v>1882</v>
      </c>
      <c r="I795" s="0" t="s">
        <v>107</v>
      </c>
      <c r="J795" s="0" t="s">
        <v>2317</v>
      </c>
      <c r="K795" s="3" t="str">
        <f aca="false" t="array" ref="K795:K795">IFERROR(IF(J795&lt;&gt;"",J795,INDEX(J795:J1794,MATCH(1,(F795:F1794=F795)*(I795:I1794=I795)*(L795:L1794=L795)*(J795:J1794&lt;&gt;""),0))),"Not Found")</f>
        <v>Suspension Noise</v>
      </c>
      <c r="L795" s="3" t="s">
        <v>189</v>
      </c>
      <c r="M795" s="0" t="str">
        <f aca="false">PROPER(L795)</f>
        <v>Battery</v>
      </c>
      <c r="O795" s="0" t="e">
        <f aca="false" t="array" ref="O795:O795">IF(N795&lt;&gt;"",N795,_xlfn.xlookup(1,(L795:L1794=L795)*(N795:N1794&lt;&gt;""),N795:N1794,"Not Found"))</f>
        <v>#NAME?</v>
      </c>
      <c r="P795" s="4" t="n">
        <v>31645</v>
      </c>
      <c r="Q795" s="0" t="s">
        <v>49</v>
      </c>
      <c r="R795" s="0" t="str">
        <f aca="false">PROPER(Q795)</f>
        <v>Transfer</v>
      </c>
      <c r="S795" s="0" t="s">
        <v>50</v>
      </c>
      <c r="T795" s="0" t="n">
        <v>2</v>
      </c>
      <c r="U795" s="5" t="n">
        <f aca="false">IF(ISBLANK(T795),AVERAGE(T795:T1794),T795)</f>
        <v>2</v>
      </c>
      <c r="V795" s="0" t="n">
        <v>5.5</v>
      </c>
      <c r="W795" s="0" t="s">
        <v>125</v>
      </c>
      <c r="X795" s="0" t="str">
        <f aca="false">IF(ISBLANK(W795),"No remarks",W795)</f>
        <v>Customer waited</v>
      </c>
      <c r="Y795" s="0" t="s">
        <v>52</v>
      </c>
      <c r="AA795" s="0" t="str">
        <f aca="false">PROPER(IF(ISBLANK(Z795),"Location Unavailable",Z795))</f>
        <v>Location Unavailable</v>
      </c>
      <c r="AB795" s="0" t="s">
        <v>54</v>
      </c>
      <c r="AC795" s="6" t="str">
        <f aca="false">PROPER(AB795)</f>
        <v>Mechanic Referral</v>
      </c>
      <c r="AD795" s="6" t="n">
        <v>15</v>
      </c>
      <c r="AE795" s="5" t="n">
        <f aca="false">IF(ISBLANK(AD795),AVERAGEIF(L795:L1794,L795,AD795:AD1794),AD795)</f>
        <v>15</v>
      </c>
      <c r="AF795" s="0" t="s">
        <v>76</v>
      </c>
      <c r="AG795" s="0" t="str">
        <f aca="false">PROPER(AF795)</f>
        <v>Orderd</v>
      </c>
      <c r="AH795" s="0" t="s">
        <v>155</v>
      </c>
      <c r="AI795" s="0" t="s">
        <v>113</v>
      </c>
      <c r="AJ795" s="0" t="str">
        <f aca="false">PROPER(AI795)</f>
        <v>Normal</v>
      </c>
      <c r="AK795" s="0" t="s">
        <v>196</v>
      </c>
      <c r="AL795" s="0" t="str">
        <f aca="false">PROPER(AK795)</f>
        <v>First Time</v>
      </c>
      <c r="AM795" s="0" t="s">
        <v>2326</v>
      </c>
      <c r="AN795" s="0" t="str">
        <f aca="false">IF(ISBLANK(AM795),"Unknown",AM795)</f>
        <v>Government Convoy</v>
      </c>
      <c r="AO795" s="0" t="s">
        <v>143</v>
      </c>
      <c r="AP795" s="0" t="str">
        <f aca="false">IF(ISBLANK(AO795),"Unknown",AO795)</f>
        <v>Senior</v>
      </c>
      <c r="AQ795" s="0" t="n">
        <v>30000</v>
      </c>
      <c r="AR795" s="5" t="n">
        <f aca="false">IF(ISBLANK(AQ795),AVERAGEIF(M795:M1794,M795,AQ795:AQ1794),AQ795)</f>
        <v>30000</v>
      </c>
      <c r="AS795" s="0" t="n">
        <v>35000</v>
      </c>
      <c r="AT795" s="5" t="n">
        <f aca="false">IF(ISBLANK(AS795),AVERAGE(AS795:AS1794),AS795)</f>
        <v>35000</v>
      </c>
      <c r="AU795" s="0" t="s">
        <v>63</v>
      </c>
      <c r="AV795" s="0" t="str">
        <f aca="false">PROPER(IF(ISBLANK(AU795),"No",AU795))</f>
        <v>Yes</v>
      </c>
      <c r="AW795" s="0" t="n">
        <v>5000</v>
      </c>
      <c r="AX795" s="5" t="n">
        <f aca="false">IF(ISBLANK(AW795),0,AW795)</f>
        <v>5000</v>
      </c>
      <c r="AY795" s="0" t="s">
        <v>60</v>
      </c>
      <c r="AZ795" s="0" t="str">
        <f aca="false">UPPER(IF(ISBLANK(AY795),"NONE",AY795))</f>
        <v>NONE</v>
      </c>
      <c r="BB795" s="7" t="str">
        <f aca="false">IF(ISBLANK(BA795),"No Follow Up Needed",BA795)</f>
        <v>No Follow Up Needed</v>
      </c>
      <c r="BC795" s="0" t="s">
        <v>82</v>
      </c>
      <c r="BD795" s="0" t="str">
        <f aca="false">PROPER(IF(ISBLANK(BC795),"Unknown",BC795))</f>
        <v>Yes</v>
      </c>
      <c r="BE795" s="0" t="s">
        <v>116</v>
      </c>
      <c r="BF795" s="0" t="str">
        <f aca="false">IF(ISBLANK(BE795),"No comments",BE795)</f>
        <v>Needs tire alignment</v>
      </c>
      <c r="BG795" s="0" t="s">
        <v>2320</v>
      </c>
      <c r="BH795" s="0" t="str">
        <f aca="false">IF(ISBLANK(BG795),"No comments",BG795)</f>
        <v>No complaints</v>
      </c>
      <c r="BI795" s="0" t="s">
        <v>63</v>
      </c>
      <c r="BJ795" s="0" t="str">
        <f aca="false">IF(ISBLANK(BI795),"Not Mentioned",BI795)</f>
        <v>Yes</v>
      </c>
      <c r="BK795" s="0" t="s">
        <v>63</v>
      </c>
      <c r="BL795" s="0" t="str">
        <f aca="false">PROPER(IF(ISBLANK(BK795),"Not Mentioned",BK795))</f>
        <v>Yes</v>
      </c>
      <c r="BN795" s="0" t="str">
        <f aca="false">PROPER(IF(ISBLANK(BM795),"Not Mentioned",BM795))</f>
        <v>Not Mentioned</v>
      </c>
      <c r="BP795" s="0" t="str">
        <f aca="false">IF(ISBLANK(BO795),"One-Time Plan",BO795)</f>
        <v>One-Time Plan</v>
      </c>
      <c r="BQ795" s="0" t="s">
        <v>190</v>
      </c>
      <c r="BR795" s="0" t="str">
        <f aca="false">PROPER(IF(ISBLANK(BQ795),"No",BQ795))</f>
        <v>Yes</v>
      </c>
    </row>
    <row r="796" customFormat="false" ht="15" hidden="false" customHeight="false" outlineLevel="0" collapsed="false">
      <c r="A796" s="0" t="s">
        <v>1884</v>
      </c>
      <c r="B796" s="2" t="s">
        <v>1883</v>
      </c>
      <c r="C796" s="2" t="str">
        <f aca="false">TEXT(B796,"dd/mm/yyyy")</f>
        <v>15/04/2025</v>
      </c>
      <c r="D796" s="0" t="s">
        <v>66</v>
      </c>
      <c r="E796" s="0" t="n">
        <v>8043207452</v>
      </c>
      <c r="F796" s="0" t="s">
        <v>139</v>
      </c>
      <c r="G796" s="0" t="s">
        <v>2323</v>
      </c>
      <c r="H796" s="0" t="s">
        <v>1885</v>
      </c>
      <c r="I796" s="0" t="s">
        <v>107</v>
      </c>
      <c r="J796" s="0" t="s">
        <v>2322</v>
      </c>
      <c r="K796" s="3" t="str">
        <f aca="false" t="array" ref="K796:K796">IFERROR(IF(J796&lt;&gt;"",J796,INDEX(J796:J1795,MATCH(1,(F796:F1795=F796)*(I796:I1795=I796)*(L796:L1795=L796)*(J796:J1795&lt;&gt;""),0))),"Not Found")</f>
        <v>Brake Failure</v>
      </c>
      <c r="L796" s="3" t="s">
        <v>189</v>
      </c>
      <c r="M796" s="0" t="str">
        <f aca="false">PROPER(L796)</f>
        <v>Battery</v>
      </c>
      <c r="N796" s="3" t="s">
        <v>71</v>
      </c>
      <c r="O796" s="0" t="str">
        <f aca="false" t="array" ref="O796:O796">IF(N796&lt;&gt;"",N796,_xlfn.xlookup(1,(L796:L1795=L796)*(N796:N1795&lt;&gt;""),N796:N1795,"Not Found"))</f>
        <v>Isaac Bobo</v>
      </c>
      <c r="P796" s="4" t="n">
        <v>66464</v>
      </c>
      <c r="Q796" s="0" t="s">
        <v>91</v>
      </c>
      <c r="R796" s="0" t="str">
        <f aca="false">PROPER(Q796)</f>
        <v>Pos</v>
      </c>
      <c r="S796" s="0" t="s">
        <v>50</v>
      </c>
      <c r="T796" s="0" t="n">
        <v>3</v>
      </c>
      <c r="U796" s="5" t="n">
        <f aca="false">IF(ISBLANK(T796),AVERAGE(T796:T1795),T796)</f>
        <v>3</v>
      </c>
      <c r="V796" s="0" t="n">
        <v>3.5</v>
      </c>
      <c r="W796" s="0" t="s">
        <v>125</v>
      </c>
      <c r="X796" s="0" t="str">
        <f aca="false">IF(ISBLANK(W796),"No remarks",W796)</f>
        <v>Customer waited</v>
      </c>
      <c r="Y796" s="0" t="s">
        <v>73</v>
      </c>
      <c r="AA796" s="0" t="str">
        <f aca="false">PROPER(IF(ISBLANK(Z796),"Location Unavailable",Z796))</f>
        <v>Location Unavailable</v>
      </c>
      <c r="AB796" s="0" t="s">
        <v>54</v>
      </c>
      <c r="AC796" s="6" t="str">
        <f aca="false">PROPER(AB796)</f>
        <v>Mechanic Referral</v>
      </c>
      <c r="AD796" s="6" t="n">
        <v>45</v>
      </c>
      <c r="AE796" s="5" t="n">
        <f aca="false">IF(ISBLANK(AD796),AVERAGEIF(L796:L1795,L796,AD796:AD1795),AD796)</f>
        <v>45</v>
      </c>
      <c r="AF796" s="0" t="s">
        <v>96</v>
      </c>
      <c r="AG796" s="0" t="str">
        <f aca="false">PROPER(AF796)</f>
        <v>Ordered</v>
      </c>
      <c r="AH796" s="0" t="s">
        <v>148</v>
      </c>
      <c r="AI796" s="0" t="s">
        <v>98</v>
      </c>
      <c r="AJ796" s="0" t="str">
        <f aca="false">PROPER(AI796)</f>
        <v>Emergency</v>
      </c>
      <c r="AK796" s="0" t="s">
        <v>99</v>
      </c>
      <c r="AL796" s="0" t="str">
        <f aca="false">PROPER(AK796)</f>
        <v>Uber Driver</v>
      </c>
      <c r="AM796" s="0" t="s">
        <v>2324</v>
      </c>
      <c r="AN796" s="0" t="str">
        <f aca="false">IF(ISBLANK(AM796),"Unknown",AM796)</f>
        <v>Logistics Convoy</v>
      </c>
      <c r="AO796" s="0" t="s">
        <v>161</v>
      </c>
      <c r="AP796" s="0" t="str">
        <f aca="false">IF(ISBLANK(AO796),"Unknown",AO796)</f>
        <v>Apprentice</v>
      </c>
      <c r="AQ796" s="0" t="n">
        <v>20000</v>
      </c>
      <c r="AR796" s="5" t="n">
        <f aca="false">IF(ISBLANK(AQ796),AVERAGEIF(M796:M1795,M796,AQ796:AQ1795),AQ796)</f>
        <v>20000</v>
      </c>
      <c r="AS796" s="0" t="n">
        <v>30000</v>
      </c>
      <c r="AT796" s="5" t="n">
        <f aca="false">IF(ISBLANK(AS796),AVERAGE(AS796:AS1795),AS796)</f>
        <v>30000</v>
      </c>
      <c r="AU796" s="0" t="s">
        <v>82</v>
      </c>
      <c r="AV796" s="0" t="str">
        <f aca="false">PROPER(IF(ISBLANK(AU796),"No",AU796))</f>
        <v>Yes</v>
      </c>
      <c r="AW796" s="0" t="n">
        <v>5000</v>
      </c>
      <c r="AX796" s="5" t="n">
        <f aca="false">IF(ISBLANK(AW796),0,AW796)</f>
        <v>5000</v>
      </c>
      <c r="AY796" s="0" t="s">
        <v>60</v>
      </c>
      <c r="AZ796" s="0" t="str">
        <f aca="false">UPPER(IF(ISBLANK(AY796),"NONE",AY796))</f>
        <v>NONE</v>
      </c>
      <c r="BA796" s="7" t="n">
        <v>45830</v>
      </c>
      <c r="BB796" s="7" t="n">
        <f aca="false">IF(ISBLANK(BA796),"No Follow Up Needed",BA796)</f>
        <v>45830</v>
      </c>
      <c r="BC796" s="0" t="s">
        <v>61</v>
      </c>
      <c r="BD796" s="0" t="str">
        <f aca="false">PROPER(IF(ISBLANK(BC796),"Unknown",BC796))</f>
        <v>No</v>
      </c>
      <c r="BF796" s="0" t="str">
        <f aca="false">IF(ISBLANK(BE796),"No comments",BE796)</f>
        <v>No comments</v>
      </c>
      <c r="BH796" s="0" t="str">
        <f aca="false">IF(ISBLANK(BG796),"No comments",BG796)</f>
        <v>No comments</v>
      </c>
      <c r="BI796" s="0" t="s">
        <v>63</v>
      </c>
      <c r="BJ796" s="0" t="str">
        <f aca="false">IF(ISBLANK(BI796),"Not Mentioned",BI796)</f>
        <v>Yes</v>
      </c>
      <c r="BK796" s="0" t="s">
        <v>61</v>
      </c>
      <c r="BL796" s="0" t="str">
        <f aca="false">PROPER(IF(ISBLANK(BK796),"Not Mentioned",BK796))</f>
        <v>No</v>
      </c>
      <c r="BM796" s="0" t="s">
        <v>63</v>
      </c>
      <c r="BN796" s="0" t="str">
        <f aca="false">PROPER(IF(ISBLANK(BM796),"Not Mentioned",BM796))</f>
        <v>Yes</v>
      </c>
      <c r="BO796" s="0" t="s">
        <v>2321</v>
      </c>
      <c r="BP796" s="0" t="str">
        <f aca="false">IF(ISBLANK(BO796),"One-Time Plan",BO796)</f>
        <v>One-Time Plan</v>
      </c>
      <c r="BR796" s="0" t="str">
        <f aca="false">PROPER(IF(ISBLANK(BQ796),"No",BQ796))</f>
        <v>No</v>
      </c>
    </row>
    <row r="797" customFormat="false" ht="15" hidden="false" customHeight="false" outlineLevel="0" collapsed="false">
      <c r="A797" s="0" t="s">
        <v>1886</v>
      </c>
      <c r="B797" s="2" t="s">
        <v>674</v>
      </c>
      <c r="C797" s="2" t="str">
        <f aca="false">TEXT(B797,"dd/mm/yyyy")</f>
        <v>14/02/2025</v>
      </c>
      <c r="D797" s="0" t="s">
        <v>66</v>
      </c>
      <c r="E797" s="0" t="n">
        <v>8090819114</v>
      </c>
      <c r="F797" s="0" t="s">
        <v>122</v>
      </c>
      <c r="G797" s="0" t="s">
        <v>2316</v>
      </c>
      <c r="H797" s="0" t="s">
        <v>1887</v>
      </c>
      <c r="I797" s="0" t="s">
        <v>134</v>
      </c>
      <c r="J797" s="0" t="s">
        <v>2317</v>
      </c>
      <c r="K797" s="3" t="str">
        <f aca="false" t="array" ref="K797:K797">IFERROR(IF(J797&lt;&gt;"",J797,INDEX(J797:J1796,MATCH(1,(F797:F1796=F797)*(I797:I1796=I797)*(L797:L1796=L797)*(J797:J1796&lt;&gt;""),0))),"Not Found")</f>
        <v>Suspension Noise</v>
      </c>
      <c r="L797" s="3" t="s">
        <v>142</v>
      </c>
      <c r="M797" s="0" t="str">
        <f aca="false">PROPER(L797)</f>
        <v>Oil Filter, Brake Pads</v>
      </c>
      <c r="N797" s="3" t="s">
        <v>71</v>
      </c>
      <c r="O797" s="0" t="str">
        <f aca="false" t="array" ref="O797:O797">IF(N797&lt;&gt;"",N797,_xlfn.xlookup(1,(L797:L1796=L797)*(N797:N1796&lt;&gt;""),N797:N1796,"Not Found"))</f>
        <v>Isaac Bobo</v>
      </c>
      <c r="P797" s="4" t="n">
        <v>96549</v>
      </c>
      <c r="Q797" s="0" t="s">
        <v>124</v>
      </c>
      <c r="R797" s="0" t="str">
        <f aca="false">PROPER(Q797)</f>
        <v>Cash</v>
      </c>
      <c r="S797" s="0" t="s">
        <v>63</v>
      </c>
      <c r="T797" s="0" t="n">
        <v>2</v>
      </c>
      <c r="U797" s="5" t="n">
        <f aca="false">IF(ISBLANK(T797),AVERAGE(T797:T1796),T797)</f>
        <v>2</v>
      </c>
      <c r="V797" s="0" t="n">
        <v>2.3</v>
      </c>
      <c r="X797" s="0" t="str">
        <f aca="false">IF(ISBLANK(W797),"No remarks",W797)</f>
        <v>No remarks</v>
      </c>
      <c r="Y797" s="0" t="s">
        <v>52</v>
      </c>
      <c r="Z797" s="0" t="s">
        <v>53</v>
      </c>
      <c r="AA797" s="0" t="str">
        <f aca="false">PROPER(IF(ISBLANK(Z797),"Location Unavailable",Z797))</f>
        <v>Main Bay</v>
      </c>
      <c r="AB797" s="0" t="s">
        <v>54</v>
      </c>
      <c r="AC797" s="6" t="str">
        <f aca="false">PROPER(AB797)</f>
        <v>Mechanic Referral</v>
      </c>
      <c r="AD797" s="6" t="n">
        <v>15</v>
      </c>
      <c r="AE797" s="5" t="n">
        <f aca="false">IF(ISBLANK(AD797),AVERAGEIF(L797:L1796,L797,AD797:AD1796),AD797)</f>
        <v>15</v>
      </c>
      <c r="AF797" s="0" t="s">
        <v>76</v>
      </c>
      <c r="AG797" s="0" t="str">
        <f aca="false">PROPER(AF797)</f>
        <v>Orderd</v>
      </c>
      <c r="AH797" s="0" t="s">
        <v>155</v>
      </c>
      <c r="AI797" s="0" t="s">
        <v>78</v>
      </c>
      <c r="AJ797" s="0" t="str">
        <f aca="false">PROPER(AI797)</f>
        <v>Booking</v>
      </c>
      <c r="AK797" s="0" t="s">
        <v>58</v>
      </c>
      <c r="AL797" s="0" t="str">
        <f aca="false">PROPER(AK797)</f>
        <v>Fleet Owner</v>
      </c>
      <c r="AM797" s="0" t="s">
        <v>2324</v>
      </c>
      <c r="AN797" s="0" t="str">
        <f aca="false">IF(ISBLANK(AM797),"Unknown",AM797)</f>
        <v>Logistics Convoy</v>
      </c>
      <c r="AO797" s="0" t="s">
        <v>149</v>
      </c>
      <c r="AP797" s="0" t="str">
        <f aca="false">IF(ISBLANK(AO797),"Unknown",AO797)</f>
        <v>Senior </v>
      </c>
      <c r="AQ797" s="0" t="n">
        <v>15000</v>
      </c>
      <c r="AR797" s="5" t="n">
        <f aca="false">IF(ISBLANK(AQ797),AVERAGEIF(M797:M1796,M797,AQ797:AQ1796),AQ797)</f>
        <v>15000</v>
      </c>
      <c r="AS797" s="0" t="n">
        <v>30000</v>
      </c>
      <c r="AT797" s="5" t="n">
        <f aca="false">IF(ISBLANK(AS797),AVERAGE(AS797:AS1796),AS797)</f>
        <v>30000</v>
      </c>
      <c r="AU797" s="0" t="s">
        <v>82</v>
      </c>
      <c r="AV797" s="0" t="str">
        <f aca="false">PROPER(IF(ISBLANK(AU797),"No",AU797))</f>
        <v>Yes</v>
      </c>
      <c r="AW797" s="0" t="n">
        <v>5000</v>
      </c>
      <c r="AX797" s="5" t="n">
        <f aca="false">IF(ISBLANK(AW797),0,AW797)</f>
        <v>5000</v>
      </c>
      <c r="AY797" s="0" t="s">
        <v>80</v>
      </c>
      <c r="AZ797" s="0" t="str">
        <f aca="false">UPPER(IF(ISBLANK(AY797),"NONE",AY797))</f>
        <v>PROMO10</v>
      </c>
      <c r="BB797" s="7" t="str">
        <f aca="false">IF(ISBLANK(BA797),"No Follow Up Needed",BA797)</f>
        <v>No Follow Up Needed</v>
      </c>
      <c r="BC797" s="0" t="s">
        <v>61</v>
      </c>
      <c r="BD797" s="0" t="str">
        <f aca="false">PROPER(IF(ISBLANK(BC797),"Unknown",BC797))</f>
        <v>No</v>
      </c>
      <c r="BF797" s="0" t="str">
        <f aca="false">IF(ISBLANK(BE797),"No comments",BE797)</f>
        <v>No comments</v>
      </c>
      <c r="BH797" s="0" t="str">
        <f aca="false">IF(ISBLANK(BG797),"No comments",BG797)</f>
        <v>No comments</v>
      </c>
      <c r="BJ797" s="0" t="str">
        <f aca="false">IF(ISBLANK(BI797),"Not Mentioned",BI797)</f>
        <v>Not Mentioned</v>
      </c>
      <c r="BK797" s="0" t="s">
        <v>63</v>
      </c>
      <c r="BL797" s="0" t="str">
        <f aca="false">PROPER(IF(ISBLANK(BK797),"Not Mentioned",BK797))</f>
        <v>Yes</v>
      </c>
      <c r="BM797" s="0" t="s">
        <v>63</v>
      </c>
      <c r="BN797" s="0" t="str">
        <f aca="false">PROPER(IF(ISBLANK(BM797),"Not Mentioned",BM797))</f>
        <v>Yes</v>
      </c>
      <c r="BP797" s="0" t="str">
        <f aca="false">IF(ISBLANK(BO797),"One-Time Plan",BO797)</f>
        <v>One-Time Plan</v>
      </c>
      <c r="BQ797" s="0" t="s">
        <v>198</v>
      </c>
      <c r="BR797" s="0" t="str">
        <f aca="false">PROPER(IF(ISBLANK(BQ797),"No",BQ797))</f>
        <v>Followed Up</v>
      </c>
    </row>
    <row r="798" customFormat="false" ht="15" hidden="false" customHeight="false" outlineLevel="0" collapsed="false">
      <c r="A798" s="0" t="s">
        <v>1888</v>
      </c>
      <c r="B798" s="2" t="n">
        <v>45803</v>
      </c>
      <c r="C798" s="2" t="str">
        <f aca="false">TEXT(B798,"dd/mm/yyyy")</f>
        <v>26/05/2025</v>
      </c>
      <c r="D798" s="0" t="s">
        <v>66</v>
      </c>
      <c r="E798" s="0" t="n">
        <v>8087623721</v>
      </c>
      <c r="F798" s="0" t="s">
        <v>122</v>
      </c>
      <c r="G798" s="0" t="s">
        <v>2316</v>
      </c>
      <c r="H798" s="0" t="s">
        <v>1889</v>
      </c>
      <c r="I798" s="0" t="s">
        <v>134</v>
      </c>
      <c r="J798" s="0" t="s">
        <v>2317</v>
      </c>
      <c r="K798" s="3" t="str">
        <f aca="false" t="array" ref="K798:K798">IFERROR(IF(J798&lt;&gt;"",J798,INDEX(J798:J1797,MATCH(1,(F798:F1797=F798)*(I798:I1797=I798)*(L798:L1797=L798)*(J798:J1797&lt;&gt;""),0))),"Not Found")</f>
        <v>Suspension Noise</v>
      </c>
      <c r="L798" s="3" t="s">
        <v>142</v>
      </c>
      <c r="M798" s="0" t="str">
        <f aca="false">PROPER(L798)</f>
        <v>Oil Filter, Brake Pads</v>
      </c>
      <c r="N798" s="3" t="s">
        <v>90</v>
      </c>
      <c r="O798" s="0" t="str">
        <f aca="false" t="array" ref="O798:O798">IF(N798&lt;&gt;"",N798,_xlfn.xlookup(1,(L798:L1797=L798)*(N798:N1797&lt;&gt;""),N798:N1797,"Not Found"))</f>
        <v>Musa</v>
      </c>
      <c r="P798" s="4" t="n">
        <v>28293</v>
      </c>
      <c r="Q798" s="0" t="s">
        <v>110</v>
      </c>
      <c r="R798" s="0" t="str">
        <f aca="false">PROPER(Q798)</f>
        <v>Cash</v>
      </c>
      <c r="S798" s="0" t="s">
        <v>50</v>
      </c>
      <c r="T798" s="0" t="n">
        <v>5</v>
      </c>
      <c r="U798" s="5" t="n">
        <f aca="false">IF(ISBLANK(T798),AVERAGE(T798:T1797),T798)</f>
        <v>5</v>
      </c>
      <c r="V798" s="0" t="n">
        <v>3.3</v>
      </c>
      <c r="X798" s="0" t="str">
        <f aca="false">IF(ISBLANK(W798),"No remarks",W798)</f>
        <v>No remarks</v>
      </c>
      <c r="Y798" s="0" t="s">
        <v>73</v>
      </c>
      <c r="Z798" s="0" t="s">
        <v>53</v>
      </c>
      <c r="AA798" s="0" t="str">
        <f aca="false">PROPER(IF(ISBLANK(Z798),"Location Unavailable",Z798))</f>
        <v>Main Bay</v>
      </c>
      <c r="AB798" s="0" t="s">
        <v>95</v>
      </c>
      <c r="AC798" s="6" t="str">
        <f aca="false">PROPER(AB798)</f>
        <v>Road Sign</v>
      </c>
      <c r="AD798" s="6" t="n">
        <v>30</v>
      </c>
      <c r="AE798" s="5" t="n">
        <f aca="false">IF(ISBLANK(AD798),AVERAGEIF(L798:L1797,L798,AD798:AD1797),AD798)</f>
        <v>30</v>
      </c>
      <c r="AF798" s="0" t="s">
        <v>55</v>
      </c>
      <c r="AG798" s="0" t="str">
        <f aca="false">PROPER(AF798)</f>
        <v>Available</v>
      </c>
      <c r="AH798" s="0" t="s">
        <v>155</v>
      </c>
      <c r="AI798" s="0" t="s">
        <v>98</v>
      </c>
      <c r="AJ798" s="0" t="str">
        <f aca="false">PROPER(AI798)</f>
        <v>Emergency</v>
      </c>
      <c r="AK798" s="0" t="s">
        <v>196</v>
      </c>
      <c r="AL798" s="0" t="str">
        <f aca="false">PROPER(AK798)</f>
        <v>First Time</v>
      </c>
      <c r="AM798" s="0" t="s">
        <v>59</v>
      </c>
      <c r="AN798" s="0" t="str">
        <f aca="false">IF(ISBLANK(AM798),"Unknown",AM798)</f>
        <v>Bolt Driver</v>
      </c>
      <c r="AO798" s="0" t="s">
        <v>143</v>
      </c>
      <c r="AP798" s="0" t="str">
        <f aca="false">IF(ISBLANK(AO798),"Unknown",AO798)</f>
        <v>Senior</v>
      </c>
      <c r="AR798" s="5" t="n">
        <f aca="false">IF(ISBLANK(AQ798),AVERAGEIF(M798:M1797,M798,AQ798:AQ1797),AQ798)</f>
        <v>25416.6666666667</v>
      </c>
      <c r="AS798" s="0" t="n">
        <v>30000</v>
      </c>
      <c r="AT798" s="5" t="n">
        <f aca="false">IF(ISBLANK(AS798),AVERAGE(AS798:AS1797),AS798)</f>
        <v>30000</v>
      </c>
      <c r="AV798" s="0" t="str">
        <f aca="false">PROPER(IF(ISBLANK(AU798),"No",AU798))</f>
        <v>No</v>
      </c>
      <c r="AW798" s="0" t="n">
        <v>10000</v>
      </c>
      <c r="AX798" s="5" t="n">
        <f aca="false">IF(ISBLANK(AW798),0,AW798)</f>
        <v>10000</v>
      </c>
      <c r="AZ798" s="0" t="str">
        <f aca="false">UPPER(IF(ISBLANK(AY798),"NONE",AY798))</f>
        <v>NONE</v>
      </c>
      <c r="BA798" s="7" t="n">
        <v>45957</v>
      </c>
      <c r="BB798" s="7" t="n">
        <f aca="false">IF(ISBLANK(BA798),"No Follow Up Needed",BA798)</f>
        <v>45957</v>
      </c>
      <c r="BD798" s="0" t="str">
        <f aca="false">PROPER(IF(ISBLANK(BC798),"Unknown",BC798))</f>
        <v>Unknown</v>
      </c>
      <c r="BF798" s="0" t="str">
        <f aca="false">IF(ISBLANK(BE798),"No comments",BE798)</f>
        <v>No comments</v>
      </c>
      <c r="BH798" s="0" t="str">
        <f aca="false">IF(ISBLANK(BG798),"No comments",BG798)</f>
        <v>No comments</v>
      </c>
      <c r="BI798" s="0" t="s">
        <v>63</v>
      </c>
      <c r="BJ798" s="0" t="str">
        <f aca="false">IF(ISBLANK(BI798),"Not Mentioned",BI798)</f>
        <v>Yes</v>
      </c>
      <c r="BK798" s="0" t="s">
        <v>82</v>
      </c>
      <c r="BL798" s="0" t="str">
        <f aca="false">PROPER(IF(ISBLANK(BK798),"Not Mentioned",BK798))</f>
        <v>Yes</v>
      </c>
      <c r="BM798" s="0" t="s">
        <v>50</v>
      </c>
      <c r="BN798" s="0" t="str">
        <f aca="false">PROPER(IF(ISBLANK(BM798),"Not Mentioned",BM798))</f>
        <v>No</v>
      </c>
      <c r="BO798" s="0" t="s">
        <v>2318</v>
      </c>
      <c r="BP798" s="0" t="str">
        <f aca="false">IF(ISBLANK(BO798),"One-Time Plan",BO798)</f>
        <v>Gold</v>
      </c>
      <c r="BQ798" s="0" t="s">
        <v>190</v>
      </c>
      <c r="BR798" s="0" t="str">
        <f aca="false">PROPER(IF(ISBLANK(BQ798),"No",BQ798))</f>
        <v>Yes</v>
      </c>
    </row>
    <row r="799" customFormat="false" ht="15" hidden="false" customHeight="false" outlineLevel="0" collapsed="false">
      <c r="A799" s="0" t="s">
        <v>1891</v>
      </c>
      <c r="B799" s="2" t="s">
        <v>1890</v>
      </c>
      <c r="C799" s="2" t="str">
        <f aca="false">TEXT(B799,"dd/mm/yyyy")</f>
        <v>16/03/2025</v>
      </c>
      <c r="D799" s="0" t="s">
        <v>121</v>
      </c>
      <c r="E799" s="0" t="n">
        <v>8098933292</v>
      </c>
      <c r="F799" s="0" t="s">
        <v>122</v>
      </c>
      <c r="G799" s="0" t="s">
        <v>2316</v>
      </c>
      <c r="H799" s="0" t="s">
        <v>1892</v>
      </c>
      <c r="I799" s="0" t="s">
        <v>107</v>
      </c>
      <c r="J799" s="0" t="s">
        <v>2317</v>
      </c>
      <c r="K799" s="3" t="str">
        <f aca="false" t="array" ref="K799:K799">IFERROR(IF(J799&lt;&gt;"",J799,INDEX(J799:J1798,MATCH(1,(F799:F1798=F799)*(I799:I1798=I799)*(L799:L1798=L799)*(J799:J1798&lt;&gt;""),0))),"Not Found")</f>
        <v>Suspension Noise</v>
      </c>
      <c r="L799" s="3" t="s">
        <v>89</v>
      </c>
      <c r="M799" s="0" t="str">
        <f aca="false">PROPER(L799)</f>
        <v>Shock Absorbers</v>
      </c>
      <c r="O799" s="0" t="e">
        <f aca="false" t="array" ref="O799:O799">IF(N799&lt;&gt;"",N799,_xlfn.xlookup(1,(L799:L1798=L799)*(N799:N1798&lt;&gt;""),N799:N1798,"Not Found"))</f>
        <v>#NAME?</v>
      </c>
      <c r="P799" s="4" t="n">
        <v>13448</v>
      </c>
      <c r="Q799" s="0" t="s">
        <v>72</v>
      </c>
      <c r="R799" s="0" t="str">
        <f aca="false">PROPER(Q799)</f>
        <v>Pos</v>
      </c>
      <c r="S799" s="0" t="s">
        <v>63</v>
      </c>
      <c r="T799" s="0" t="n">
        <v>2</v>
      </c>
      <c r="U799" s="5" t="n">
        <f aca="false">IF(ISBLANK(T799),AVERAGE(T799:T1798),T799)</f>
        <v>2</v>
      </c>
      <c r="V799" s="0" t="n">
        <v>1.1</v>
      </c>
      <c r="W799" s="0" t="s">
        <v>111</v>
      </c>
      <c r="X799" s="0" t="str">
        <f aca="false">IF(ISBLANK(W799),"No remarks",W799)</f>
        <v>Changed all filters</v>
      </c>
      <c r="Y799" s="0" t="s">
        <v>73</v>
      </c>
      <c r="Z799" s="0" t="s">
        <v>159</v>
      </c>
      <c r="AA799" s="0" t="str">
        <f aca="false">PROPER(IF(ISBLANK(Z799),"Location Unavailable",Z799))</f>
        <v>Main Bay</v>
      </c>
      <c r="AB799" s="0" t="s">
        <v>75</v>
      </c>
      <c r="AC799" s="6" t="str">
        <f aca="false">PROPER(AB799)</f>
        <v>Mechanik Referal</v>
      </c>
      <c r="AD799" s="6" t="n">
        <v>45</v>
      </c>
      <c r="AE799" s="5" t="n">
        <f aca="false">IF(ISBLANK(AD799),AVERAGEIF(L799:L1798,L799,AD799:AD1798),AD799)</f>
        <v>45</v>
      </c>
      <c r="AF799" s="0" t="s">
        <v>55</v>
      </c>
      <c r="AG799" s="0" t="str">
        <f aca="false">PROPER(AF799)</f>
        <v>Available</v>
      </c>
      <c r="AH799" s="0" t="s">
        <v>148</v>
      </c>
      <c r="AI799" s="0" t="s">
        <v>128</v>
      </c>
      <c r="AJ799" s="0" t="str">
        <f aca="false">PROPER(AI799)</f>
        <v>Normal</v>
      </c>
      <c r="AK799" s="0" t="s">
        <v>196</v>
      </c>
      <c r="AL799" s="0" t="str">
        <f aca="false">PROPER(AK799)</f>
        <v>First Time</v>
      </c>
      <c r="AM799" s="0" t="s">
        <v>2326</v>
      </c>
      <c r="AN799" s="0" t="str">
        <f aca="false">IF(ISBLANK(AM799),"Unknown",AM799)</f>
        <v>Government Convoy</v>
      </c>
      <c r="AO799" s="0" t="s">
        <v>161</v>
      </c>
      <c r="AP799" s="0" t="str">
        <f aca="false">IF(ISBLANK(AO799),"Unknown",AO799)</f>
        <v>Apprentice</v>
      </c>
      <c r="AR799" s="5" t="n">
        <f aca="false">IF(ISBLANK(AQ799),AVERAGEIF(M799:M1798,M799,AQ799:AQ1798),AQ799)</f>
        <v>23653.8461538462</v>
      </c>
      <c r="AS799" s="0" t="n">
        <v>35000</v>
      </c>
      <c r="AT799" s="5" t="n">
        <f aca="false">IF(ISBLANK(AS799),AVERAGE(AS799:AS1798),AS799)</f>
        <v>35000</v>
      </c>
      <c r="AU799" s="0" t="s">
        <v>82</v>
      </c>
      <c r="AV799" s="0" t="str">
        <f aca="false">PROPER(IF(ISBLANK(AU799),"No",AU799))</f>
        <v>Yes</v>
      </c>
      <c r="AW799" s="0" t="n">
        <v>5000</v>
      </c>
      <c r="AX799" s="5" t="n">
        <f aca="false">IF(ISBLANK(AW799),0,AW799)</f>
        <v>5000</v>
      </c>
      <c r="AY799" s="0" t="s">
        <v>80</v>
      </c>
      <c r="AZ799" s="0" t="str">
        <f aca="false">UPPER(IF(ISBLANK(AY799),"NONE",AY799))</f>
        <v>PROMO10</v>
      </c>
      <c r="BB799" s="7" t="str">
        <f aca="false">IF(ISBLANK(BA799),"No Follow Up Needed",BA799)</f>
        <v>No Follow Up Needed</v>
      </c>
      <c r="BC799" s="0" t="s">
        <v>61</v>
      </c>
      <c r="BD799" s="0" t="str">
        <f aca="false">PROPER(IF(ISBLANK(BC799),"Unknown",BC799))</f>
        <v>No</v>
      </c>
      <c r="BF799" s="0" t="str">
        <f aca="false">IF(ISBLANK(BE799),"No comments",BE799)</f>
        <v>No comments</v>
      </c>
      <c r="BG799" s="0" t="s">
        <v>117</v>
      </c>
      <c r="BH799" s="0" t="str">
        <f aca="false">IF(ISBLANK(BG799),"No comments",BG799)</f>
        <v>Prefers morning</v>
      </c>
      <c r="BJ799" s="0" t="str">
        <f aca="false">IF(ISBLANK(BI799),"Not Mentioned",BI799)</f>
        <v>Not Mentioned</v>
      </c>
      <c r="BK799" s="0" t="s">
        <v>50</v>
      </c>
      <c r="BL799" s="0" t="str">
        <f aca="false">PROPER(IF(ISBLANK(BK799),"Not Mentioned",BK799))</f>
        <v>No</v>
      </c>
      <c r="BM799" s="0" t="s">
        <v>50</v>
      </c>
      <c r="BN799" s="0" t="str">
        <f aca="false">PROPER(IF(ISBLANK(BM799),"Not Mentioned",BM799))</f>
        <v>No</v>
      </c>
      <c r="BO799" s="0" t="s">
        <v>64</v>
      </c>
      <c r="BP799" s="0" t="str">
        <f aca="false">IF(ISBLANK(BO799),"One-Time Plan",BO799)</f>
        <v>Gold Maintenance Plan</v>
      </c>
      <c r="BQ799" s="0" t="s">
        <v>190</v>
      </c>
      <c r="BR799" s="0" t="str">
        <f aca="false">PROPER(IF(ISBLANK(BQ799),"No",BQ799))</f>
        <v>Yes</v>
      </c>
    </row>
    <row r="800" customFormat="false" ht="15" hidden="false" customHeight="false" outlineLevel="0" collapsed="false">
      <c r="A800" s="0" t="s">
        <v>1893</v>
      </c>
      <c r="B800" s="2" t="s">
        <v>1460</v>
      </c>
      <c r="C800" s="2" t="str">
        <f aca="false">TEXT(B800,"dd/mm/yyyy")</f>
        <v>19/03/2025</v>
      </c>
      <c r="D800" s="0" t="s">
        <v>66</v>
      </c>
      <c r="E800" s="0" t="n">
        <v>8031666421</v>
      </c>
      <c r="F800" s="0" t="s">
        <v>122</v>
      </c>
      <c r="G800" s="0" t="s">
        <v>2316</v>
      </c>
      <c r="H800" s="0" t="s">
        <v>1894</v>
      </c>
      <c r="I800" s="0" t="s">
        <v>45</v>
      </c>
      <c r="J800" s="0" t="s">
        <v>2317</v>
      </c>
      <c r="K800" s="3" t="str">
        <f aca="false" t="array" ref="K800:K800">IFERROR(IF(J800&lt;&gt;"",J800,INDEX(J800:J1799,MATCH(1,(F800:F1799=F800)*(I800:I1799=I800)*(L800:L1799=L800)*(J800:J1799&lt;&gt;""),0))),"Not Found")</f>
        <v>Suspension Noise</v>
      </c>
      <c r="L800" s="3" t="s">
        <v>142</v>
      </c>
      <c r="M800" s="0" t="str">
        <f aca="false">PROPER(L800)</f>
        <v>Oil Filter, Brake Pads</v>
      </c>
      <c r="N800" s="3" t="s">
        <v>90</v>
      </c>
      <c r="O800" s="0" t="str">
        <f aca="false" t="array" ref="O800:O800">IF(N800&lt;&gt;"",N800,_xlfn.xlookup(1,(L800:L1799=L800)*(N800:N1799&lt;&gt;""),N800:N1799,"Not Found"))</f>
        <v>Musa</v>
      </c>
      <c r="P800" s="4" t="n">
        <v>38094</v>
      </c>
      <c r="Q800" s="0" t="s">
        <v>124</v>
      </c>
      <c r="R800" s="0" t="str">
        <f aca="false">PROPER(Q800)</f>
        <v>Cash</v>
      </c>
      <c r="S800" s="0" t="s">
        <v>50</v>
      </c>
      <c r="T800" s="0" t="n">
        <v>5</v>
      </c>
      <c r="U800" s="5" t="n">
        <f aca="false">IF(ISBLANK(T800),AVERAGE(T800:T1799),T800)</f>
        <v>5</v>
      </c>
      <c r="V800" s="0" t="n">
        <v>4.7</v>
      </c>
      <c r="X800" s="0" t="str">
        <f aca="false">IF(ISBLANK(W800),"No remarks",W800)</f>
        <v>No remarks</v>
      </c>
      <c r="Y800" s="0" t="s">
        <v>52</v>
      </c>
      <c r="Z800" s="0" t="s">
        <v>159</v>
      </c>
      <c r="AA800" s="0" t="str">
        <f aca="false">PROPER(IF(ISBLANK(Z800),"Location Unavailable",Z800))</f>
        <v>Main Bay</v>
      </c>
      <c r="AB800" s="0" t="s">
        <v>126</v>
      </c>
      <c r="AC800" s="6" t="str">
        <f aca="false">PROPER(AB800)</f>
        <v>Whatsapp</v>
      </c>
      <c r="AD800" s="6" t="n">
        <v>45</v>
      </c>
      <c r="AE800" s="5" t="n">
        <f aca="false">IF(ISBLANK(AD800),AVERAGEIF(L800:L1799,L800,AD800:AD1799),AD800)</f>
        <v>45</v>
      </c>
      <c r="AF800" s="0" t="s">
        <v>160</v>
      </c>
      <c r="AG800" s="0" t="str">
        <f aca="false">PROPER(AF800)</f>
        <v>Availaible</v>
      </c>
      <c r="AH800" s="0" t="s">
        <v>155</v>
      </c>
      <c r="AI800" s="0" t="s">
        <v>78</v>
      </c>
      <c r="AJ800" s="0" t="str">
        <f aca="false">PROPER(AI800)</f>
        <v>Booking</v>
      </c>
      <c r="AK800" s="0" t="s">
        <v>196</v>
      </c>
      <c r="AL800" s="0" t="str">
        <f aca="false">PROPER(AK800)</f>
        <v>First Time</v>
      </c>
      <c r="AM800" s="0" t="s">
        <v>2324</v>
      </c>
      <c r="AN800" s="0" t="str">
        <f aca="false">IF(ISBLANK(AM800),"Unknown",AM800)</f>
        <v>Logistics Convoy</v>
      </c>
      <c r="AO800" s="0" t="s">
        <v>79</v>
      </c>
      <c r="AP800" s="0" t="str">
        <f aca="false">IF(ISBLANK(AO800),"Unknown",AO800)</f>
        <v>Specialist</v>
      </c>
      <c r="AQ800" s="0" t="n">
        <v>20000</v>
      </c>
      <c r="AR800" s="5" t="n">
        <f aca="false">IF(ISBLANK(AQ800),AVERAGEIF(M800:M1799,M800,AQ800:AQ1799),AQ800)</f>
        <v>20000</v>
      </c>
      <c r="AS800" s="0" t="n">
        <v>30000</v>
      </c>
      <c r="AT800" s="5" t="n">
        <f aca="false">IF(ISBLANK(AS800),AVERAGE(AS800:AS1799),AS800)</f>
        <v>30000</v>
      </c>
      <c r="AV800" s="0" t="str">
        <f aca="false">PROPER(IF(ISBLANK(AU800),"No",AU800))</f>
        <v>No</v>
      </c>
      <c r="AW800" s="0" t="n">
        <v>0</v>
      </c>
      <c r="AX800" s="5" t="n">
        <f aca="false">IF(ISBLANK(AW800),0,AW800)</f>
        <v>0</v>
      </c>
      <c r="AY800" s="0" t="s">
        <v>80</v>
      </c>
      <c r="AZ800" s="0" t="str">
        <f aca="false">UPPER(IF(ISBLANK(AY800),"NONE",AY800))</f>
        <v>PROMO10</v>
      </c>
      <c r="BA800" s="7" t="n">
        <v>45695</v>
      </c>
      <c r="BB800" s="7" t="n">
        <f aca="false">IF(ISBLANK(BA800),"No Follow Up Needed",BA800)</f>
        <v>45695</v>
      </c>
      <c r="BC800" s="0" t="s">
        <v>63</v>
      </c>
      <c r="BD800" s="0" t="str">
        <f aca="false">PROPER(IF(ISBLANK(BC800),"Unknown",BC800))</f>
        <v>Yes</v>
      </c>
      <c r="BE800" s="0" t="s">
        <v>171</v>
      </c>
      <c r="BF800" s="0" t="str">
        <f aca="false">IF(ISBLANK(BE800),"No comments",BE800)</f>
        <v>Shock absorber weakening</v>
      </c>
      <c r="BG800" s="0" t="s">
        <v>172</v>
      </c>
      <c r="BH800" s="0" t="str">
        <f aca="false">IF(ISBLANK(BG800),"No comments",BG800)</f>
        <v>Always late</v>
      </c>
      <c r="BI800" s="0" t="s">
        <v>50</v>
      </c>
      <c r="BJ800" s="0" t="str">
        <f aca="false">IF(ISBLANK(BI800),"Not Mentioned",BI800)</f>
        <v>No</v>
      </c>
      <c r="BK800" s="0" t="s">
        <v>61</v>
      </c>
      <c r="BL800" s="0" t="str">
        <f aca="false">PROPER(IF(ISBLANK(BK800),"Not Mentioned",BK800))</f>
        <v>No</v>
      </c>
      <c r="BM800" s="0" t="s">
        <v>50</v>
      </c>
      <c r="BN800" s="0" t="str">
        <f aca="false">PROPER(IF(ISBLANK(BM800),"Not Mentioned",BM800))</f>
        <v>No</v>
      </c>
      <c r="BO800" s="0" t="s">
        <v>2318</v>
      </c>
      <c r="BP800" s="0" t="str">
        <f aca="false">IF(ISBLANK(BO800),"One-Time Plan",BO800)</f>
        <v>Gold</v>
      </c>
      <c r="BQ800" s="0" t="s">
        <v>190</v>
      </c>
      <c r="BR800" s="0" t="str">
        <f aca="false">PROPER(IF(ISBLANK(BQ800),"No",BQ800))</f>
        <v>Yes</v>
      </c>
    </row>
    <row r="801" customFormat="false" ht="15" hidden="false" customHeight="false" outlineLevel="0" collapsed="false">
      <c r="A801" s="0" t="s">
        <v>1895</v>
      </c>
      <c r="B801" s="2" t="n">
        <v>45784</v>
      </c>
      <c r="C801" s="2" t="str">
        <f aca="false">TEXT(B801,"dd/mm/yyyy")</f>
        <v>07/05/2025</v>
      </c>
      <c r="D801" s="0" t="s">
        <v>105</v>
      </c>
      <c r="E801" s="0" t="n">
        <v>8011655896</v>
      </c>
      <c r="F801" s="0" t="s">
        <v>67</v>
      </c>
      <c r="G801" s="0" t="s">
        <v>2316</v>
      </c>
      <c r="H801" s="0" t="s">
        <v>1896</v>
      </c>
      <c r="I801" s="0" t="s">
        <v>87</v>
      </c>
      <c r="K801" s="3" t="str">
        <f aca="false" t="array" ref="K801:K801">IFERROR(IF(J801&lt;&gt;"",J801,INDEX(J801:J1800,MATCH(1,(F801:F1800=F801)*(I801:I1800=I801)*(L801:L1800=L801)*(J801:J1800&lt;&gt;""),0))),"Not Found")</f>
        <v>Not Found</v>
      </c>
      <c r="L801" s="3" t="s">
        <v>142</v>
      </c>
      <c r="M801" s="0" t="str">
        <f aca="false">PROPER(L801)</f>
        <v>Oil Filter, Brake Pads</v>
      </c>
      <c r="N801" s="3" t="s">
        <v>109</v>
      </c>
      <c r="O801" s="0" t="str">
        <f aca="false" t="array" ref="O801:O801">IF(N801&lt;&gt;"",N801,_xlfn.xlookup(1,(L801:L1800=L801)*(N801:N1800&lt;&gt;""),N801:N1800,"Not Found"))</f>
        <v>Tijani</v>
      </c>
      <c r="P801" s="4" t="n">
        <v>71245</v>
      </c>
      <c r="Q801" s="0" t="s">
        <v>124</v>
      </c>
      <c r="R801" s="0" t="str">
        <f aca="false">PROPER(Q801)</f>
        <v>Cash</v>
      </c>
      <c r="S801" s="0" t="s">
        <v>63</v>
      </c>
      <c r="U801" s="5" t="n">
        <f aca="false">IF(ISBLANK(T801),AVERAGE(T801:T1800),T801)</f>
        <v>3.27439024390244</v>
      </c>
      <c r="V801" s="0" t="n">
        <v>3.2</v>
      </c>
      <c r="W801" s="0" t="s">
        <v>51</v>
      </c>
      <c r="X801" s="0" t="str">
        <f aca="false">IF(ISBLANK(W801),"No remarks",W801)</f>
        <v>Recommended further checks</v>
      </c>
      <c r="Y801" s="0" t="s">
        <v>93</v>
      </c>
      <c r="Z801" s="0" t="s">
        <v>159</v>
      </c>
      <c r="AA801" s="0" t="str">
        <f aca="false">PROPER(IF(ISBLANK(Z801),"Location Unavailable",Z801))</f>
        <v>Main Bay</v>
      </c>
      <c r="AB801" s="0" t="s">
        <v>54</v>
      </c>
      <c r="AC801" s="6" t="str">
        <f aca="false">PROPER(AB801)</f>
        <v>Mechanic Referral</v>
      </c>
      <c r="AD801" s="6" t="n">
        <v>15</v>
      </c>
      <c r="AE801" s="5" t="n">
        <f aca="false">IF(ISBLANK(AD801),AVERAGEIF(L801:L1800,L801,AD801:AD1800),AD801)</f>
        <v>15</v>
      </c>
      <c r="AF801" s="0" t="s">
        <v>55</v>
      </c>
      <c r="AG801" s="0" t="str">
        <f aca="false">PROPER(AF801)</f>
        <v>Available</v>
      </c>
      <c r="AH801" s="0" t="s">
        <v>148</v>
      </c>
      <c r="AI801" s="0" t="s">
        <v>128</v>
      </c>
      <c r="AJ801" s="0" t="str">
        <f aca="false">PROPER(AI801)</f>
        <v>Normal</v>
      </c>
      <c r="AK801" s="0" t="s">
        <v>99</v>
      </c>
      <c r="AL801" s="0" t="str">
        <f aca="false">PROPER(AK801)</f>
        <v>Uber Driver</v>
      </c>
      <c r="AM801" s="0" t="s">
        <v>2326</v>
      </c>
      <c r="AN801" s="0" t="str">
        <f aca="false">IF(ISBLANK(AM801),"Unknown",AM801)</f>
        <v>Government Convoy</v>
      </c>
      <c r="AP801" s="0" t="str">
        <f aca="false">IF(ISBLANK(AO801),"Unknown",AO801)</f>
        <v>Unknown</v>
      </c>
      <c r="AR801" s="5" t="n">
        <f aca="false">IF(ISBLANK(AQ801),AVERAGEIF(M801:M1800,M801,AQ801:AQ1800),AQ801)</f>
        <v>25652.1739130435</v>
      </c>
      <c r="AS801" s="0" t="n">
        <v>35000</v>
      </c>
      <c r="AT801" s="5" t="n">
        <f aca="false">IF(ISBLANK(AS801),AVERAGE(AS801:AS1800),AS801)</f>
        <v>35000</v>
      </c>
      <c r="AU801" s="0" t="s">
        <v>63</v>
      </c>
      <c r="AV801" s="0" t="str">
        <f aca="false">PROPER(IF(ISBLANK(AU801),"No",AU801))</f>
        <v>Yes</v>
      </c>
      <c r="AW801" s="0" t="n">
        <v>0</v>
      </c>
      <c r="AX801" s="5" t="n">
        <f aca="false">IF(ISBLANK(AW801),0,AW801)</f>
        <v>0</v>
      </c>
      <c r="AY801" s="0" t="s">
        <v>60</v>
      </c>
      <c r="AZ801" s="0" t="str">
        <f aca="false">UPPER(IF(ISBLANK(AY801),"NONE",AY801))</f>
        <v>NONE</v>
      </c>
      <c r="BA801" s="7" t="n">
        <v>45909</v>
      </c>
      <c r="BB801" s="7" t="n">
        <f aca="false">IF(ISBLANK(BA801),"No Follow Up Needed",BA801)</f>
        <v>45909</v>
      </c>
      <c r="BC801" s="0" t="s">
        <v>63</v>
      </c>
      <c r="BD801" s="0" t="str">
        <f aca="false">PROPER(IF(ISBLANK(BC801),"Unknown",BC801))</f>
        <v>Yes</v>
      </c>
      <c r="BE801" s="0" t="s">
        <v>116</v>
      </c>
      <c r="BF801" s="0" t="str">
        <f aca="false">IF(ISBLANK(BE801),"No comments",BE801)</f>
        <v>Needs tire alignment</v>
      </c>
      <c r="BG801" s="0" t="s">
        <v>117</v>
      </c>
      <c r="BH801" s="0" t="str">
        <f aca="false">IF(ISBLANK(BG801),"No comments",BG801)</f>
        <v>Prefers morning</v>
      </c>
      <c r="BI801" s="0" t="s">
        <v>50</v>
      </c>
      <c r="BJ801" s="0" t="str">
        <f aca="false">IF(ISBLANK(BI801),"Not Mentioned",BI801)</f>
        <v>No</v>
      </c>
      <c r="BK801" s="0" t="s">
        <v>63</v>
      </c>
      <c r="BL801" s="0" t="str">
        <f aca="false">PROPER(IF(ISBLANK(BK801),"Not Mentioned",BK801))</f>
        <v>Yes</v>
      </c>
      <c r="BM801" s="0" t="s">
        <v>50</v>
      </c>
      <c r="BN801" s="0" t="str">
        <f aca="false">PROPER(IF(ISBLANK(BM801),"Not Mentioned",BM801))</f>
        <v>No</v>
      </c>
      <c r="BO801" s="0" t="s">
        <v>2321</v>
      </c>
      <c r="BP801" s="0" t="str">
        <f aca="false">IF(ISBLANK(BO801),"One-Time Plan",BO801)</f>
        <v>One-Time Plan</v>
      </c>
      <c r="BQ801" s="0" t="s">
        <v>190</v>
      </c>
      <c r="BR801" s="0" t="str">
        <f aca="false">PROPER(IF(ISBLANK(BQ801),"No",BQ801))</f>
        <v>Yes</v>
      </c>
    </row>
    <row r="802" customFormat="false" ht="15" hidden="false" customHeight="false" outlineLevel="0" collapsed="false">
      <c r="A802" s="0" t="s">
        <v>1897</v>
      </c>
      <c r="B802" s="2" t="n">
        <v>45658</v>
      </c>
      <c r="C802" s="2" t="str">
        <f aca="false">TEXT(B802,"dd/mm/yyyy")</f>
        <v>01/01/2025</v>
      </c>
      <c r="D802" s="0" t="s">
        <v>66</v>
      </c>
      <c r="E802" s="0" t="n">
        <v>8025667321</v>
      </c>
      <c r="F802" s="0" t="s">
        <v>67</v>
      </c>
      <c r="G802" s="0" t="s">
        <v>2316</v>
      </c>
      <c r="H802" s="0" t="s">
        <v>1898</v>
      </c>
      <c r="I802" s="0" t="s">
        <v>69</v>
      </c>
      <c r="J802" s="0" t="s">
        <v>2322</v>
      </c>
      <c r="K802" s="3" t="str">
        <f aca="false" t="array" ref="K802:K802">IFERROR(IF(J802&lt;&gt;"",J802,INDEX(J802:J1801,MATCH(1,(F802:F1801=F802)*(I802:I1801=I802)*(L802:L1801=L802)*(J802:J1801&lt;&gt;""),0))),"Not Found")</f>
        <v>Brake Failure</v>
      </c>
      <c r="L802" s="3" t="s">
        <v>108</v>
      </c>
      <c r="M802" s="0" t="str">
        <f aca="false">PROPER(L802)</f>
        <v>Timing Belt</v>
      </c>
      <c r="N802" s="3" t="s">
        <v>71</v>
      </c>
      <c r="O802" s="0" t="str">
        <f aca="false" t="array" ref="O802:O802">IF(N802&lt;&gt;"",N802,_xlfn.xlookup(1,(L802:L1801=L802)*(N802:N1801&lt;&gt;""),N802:N1801,"Not Found"))</f>
        <v>Isaac Bobo</v>
      </c>
      <c r="P802" s="4" t="n">
        <v>16682</v>
      </c>
      <c r="Q802" s="0" t="s">
        <v>110</v>
      </c>
      <c r="R802" s="0" t="str">
        <f aca="false">PROPER(Q802)</f>
        <v>Cash</v>
      </c>
      <c r="S802" s="0" t="s">
        <v>50</v>
      </c>
      <c r="T802" s="0" t="n">
        <v>1</v>
      </c>
      <c r="U802" s="5" t="n">
        <f aca="false">IF(ISBLANK(T802),AVERAGE(T802:T1801),T802)</f>
        <v>1</v>
      </c>
      <c r="V802" s="0" t="n">
        <v>4.3</v>
      </c>
      <c r="W802" s="0" t="s">
        <v>51</v>
      </c>
      <c r="X802" s="0" t="str">
        <f aca="false">IF(ISBLANK(W802),"No remarks",W802)</f>
        <v>Recommended further checks</v>
      </c>
      <c r="Y802" s="0" t="s">
        <v>73</v>
      </c>
      <c r="Z802" s="0" t="s">
        <v>159</v>
      </c>
      <c r="AA802" s="0" t="str">
        <f aca="false">PROPER(IF(ISBLANK(Z802),"Location Unavailable",Z802))</f>
        <v>Main Bay</v>
      </c>
      <c r="AB802" s="0" t="s">
        <v>54</v>
      </c>
      <c r="AC802" s="6" t="str">
        <f aca="false">PROPER(AB802)</f>
        <v>Mechanic Referral</v>
      </c>
      <c r="AD802" s="6" t="n">
        <v>45</v>
      </c>
      <c r="AE802" s="5" t="n">
        <f aca="false">IF(ISBLANK(AD802),AVERAGEIF(L802:L1801,L802,AD802:AD1801),AD802)</f>
        <v>45</v>
      </c>
      <c r="AF802" s="0" t="s">
        <v>96</v>
      </c>
      <c r="AG802" s="0" t="str">
        <f aca="false">PROPER(AF802)</f>
        <v>Ordered</v>
      </c>
      <c r="AH802" s="0" t="s">
        <v>155</v>
      </c>
      <c r="AI802" s="0" t="s">
        <v>113</v>
      </c>
      <c r="AJ802" s="0" t="str">
        <f aca="false">PROPER(AI802)</f>
        <v>Normal</v>
      </c>
      <c r="AK802" s="0" t="s">
        <v>196</v>
      </c>
      <c r="AL802" s="0" t="str">
        <f aca="false">PROPER(AK802)</f>
        <v>First Time</v>
      </c>
      <c r="AN802" s="0" t="str">
        <f aca="false">IF(ISBLANK(AM802),"Unknown",AM802)</f>
        <v>Unknown</v>
      </c>
      <c r="AO802" s="0" t="s">
        <v>149</v>
      </c>
      <c r="AP802" s="0" t="str">
        <f aca="false">IF(ISBLANK(AO802),"Unknown",AO802)</f>
        <v>Senior </v>
      </c>
      <c r="AQ802" s="0" t="n">
        <v>25000</v>
      </c>
      <c r="AR802" s="5" t="n">
        <f aca="false">IF(ISBLANK(AQ802),AVERAGEIF(M802:M1801,M802,AQ802:AQ1801),AQ802)</f>
        <v>25000</v>
      </c>
      <c r="AS802" s="0" t="n">
        <v>30000</v>
      </c>
      <c r="AT802" s="5" t="n">
        <f aca="false">IF(ISBLANK(AS802),AVERAGE(AS802:AS1801),AS802)</f>
        <v>30000</v>
      </c>
      <c r="AU802" s="0" t="s">
        <v>82</v>
      </c>
      <c r="AV802" s="0" t="str">
        <f aca="false">PROPER(IF(ISBLANK(AU802),"No",AU802))</f>
        <v>Yes</v>
      </c>
      <c r="AW802" s="0" t="n">
        <v>5000</v>
      </c>
      <c r="AX802" s="5" t="n">
        <f aca="false">IF(ISBLANK(AW802),0,AW802)</f>
        <v>5000</v>
      </c>
      <c r="AY802" s="0" t="s">
        <v>80</v>
      </c>
      <c r="AZ802" s="0" t="str">
        <f aca="false">UPPER(IF(ISBLANK(AY802),"NONE",AY802))</f>
        <v>PROMO10</v>
      </c>
      <c r="BA802" s="7" t="n">
        <v>46010</v>
      </c>
      <c r="BB802" s="7" t="n">
        <f aca="false">IF(ISBLANK(BA802),"No Follow Up Needed",BA802)</f>
        <v>46010</v>
      </c>
      <c r="BD802" s="0" t="str">
        <f aca="false">PROPER(IF(ISBLANK(BC802),"Unknown",BC802))</f>
        <v>Unknown</v>
      </c>
      <c r="BE802" s="0" t="s">
        <v>116</v>
      </c>
      <c r="BF802" s="0" t="str">
        <f aca="false">IF(ISBLANK(BE802),"No comments",BE802)</f>
        <v>Needs tire alignment</v>
      </c>
      <c r="BG802" s="0" t="s">
        <v>2320</v>
      </c>
      <c r="BH802" s="0" t="str">
        <f aca="false">IF(ISBLANK(BG802),"No comments",BG802)</f>
        <v>No complaints</v>
      </c>
      <c r="BI802" s="0" t="s">
        <v>63</v>
      </c>
      <c r="BJ802" s="0" t="str">
        <f aca="false">IF(ISBLANK(BI802),"Not Mentioned",BI802)</f>
        <v>Yes</v>
      </c>
      <c r="BK802" s="0" t="s">
        <v>82</v>
      </c>
      <c r="BL802" s="0" t="str">
        <f aca="false">PROPER(IF(ISBLANK(BK802),"Not Mentioned",BK802))</f>
        <v>Yes</v>
      </c>
      <c r="BM802" s="0" t="s">
        <v>50</v>
      </c>
      <c r="BN802" s="0" t="str">
        <f aca="false">PROPER(IF(ISBLANK(BM802),"Not Mentioned",BM802))</f>
        <v>No</v>
      </c>
      <c r="BO802" s="0" t="s">
        <v>2321</v>
      </c>
      <c r="BP802" s="0" t="str">
        <f aca="false">IF(ISBLANK(BO802),"One-Time Plan",BO802)</f>
        <v>One-Time Plan</v>
      </c>
      <c r="BR802" s="0" t="str">
        <f aca="false">PROPER(IF(ISBLANK(BQ802),"No",BQ802))</f>
        <v>No</v>
      </c>
    </row>
    <row r="803" customFormat="false" ht="15" hidden="false" customHeight="false" outlineLevel="0" collapsed="false">
      <c r="A803" s="0" t="s">
        <v>1899</v>
      </c>
      <c r="B803" s="2" t="s">
        <v>531</v>
      </c>
      <c r="C803" s="2" t="str">
        <f aca="false">TEXT(B803,"dd/mm/yyyy")</f>
        <v>13/06/2025</v>
      </c>
      <c r="D803" s="0" t="s">
        <v>66</v>
      </c>
      <c r="E803" s="0" t="n">
        <v>8022389075</v>
      </c>
      <c r="F803" s="0" t="s">
        <v>122</v>
      </c>
      <c r="G803" s="0" t="s">
        <v>2316</v>
      </c>
      <c r="H803" s="0" t="s">
        <v>1900</v>
      </c>
      <c r="I803" s="0" t="s">
        <v>45</v>
      </c>
      <c r="J803" s="0" t="s">
        <v>87</v>
      </c>
      <c r="K803" s="3" t="str">
        <f aca="false" t="array" ref="K803:K803">IFERROR(IF(J803&lt;&gt;"",J803,INDEX(J803:J1802,MATCH(1,(F803:F1802=F803)*(I803:I1802=I803)*(L803:L1802=L803)*(J803:J1802&lt;&gt;""),0))),"Not Found")</f>
        <v>Oil Change</v>
      </c>
      <c r="L803" s="3" t="s">
        <v>47</v>
      </c>
      <c r="M803" s="0" t="str">
        <f aca="false">PROPER(L803)</f>
        <v>None</v>
      </c>
      <c r="N803" s="3" t="s">
        <v>109</v>
      </c>
      <c r="O803" s="0" t="str">
        <f aca="false" t="array" ref="O803:O803">IF(N803&lt;&gt;"",N803,_xlfn.xlookup(1,(L803:L1802=L803)*(N803:N1802&lt;&gt;""),N803:N1802,"Not Found"))</f>
        <v>Tijani</v>
      </c>
      <c r="P803" s="4" t="n">
        <v>77576</v>
      </c>
      <c r="Q803" s="0" t="s">
        <v>166</v>
      </c>
      <c r="R803" s="0" t="str">
        <f aca="false">PROPER(Q803)</f>
        <v>Transfer</v>
      </c>
      <c r="S803" s="0" t="s">
        <v>63</v>
      </c>
      <c r="T803" s="0" t="n">
        <v>3</v>
      </c>
      <c r="U803" s="5" t="n">
        <f aca="false">IF(ISBLANK(T803),AVERAGE(T803:T1802),T803)</f>
        <v>3</v>
      </c>
      <c r="V803" s="0" t="n">
        <v>5.9</v>
      </c>
      <c r="W803" s="0" t="s">
        <v>51</v>
      </c>
      <c r="X803" s="0" t="str">
        <f aca="false">IF(ISBLANK(W803),"No remarks",W803)</f>
        <v>Recommended further checks</v>
      </c>
      <c r="Y803" s="0" t="s">
        <v>52</v>
      </c>
      <c r="Z803" s="0" t="s">
        <v>53</v>
      </c>
      <c r="AA803" s="0" t="str">
        <f aca="false">PROPER(IF(ISBLANK(Z803),"Location Unavailable",Z803))</f>
        <v>Main Bay</v>
      </c>
      <c r="AB803" s="0" t="s">
        <v>54</v>
      </c>
      <c r="AC803" s="6" t="str">
        <f aca="false">PROPER(AB803)</f>
        <v>Mechanic Referral</v>
      </c>
      <c r="AD803" s="6" t="n">
        <v>30</v>
      </c>
      <c r="AE803" s="5" t="n">
        <f aca="false">IF(ISBLANK(AD803),AVERAGEIF(L803:L1802,L803,AD803:AD1802),AD803)</f>
        <v>30</v>
      </c>
      <c r="AF803" s="0" t="s">
        <v>76</v>
      </c>
      <c r="AG803" s="0" t="str">
        <f aca="false">PROPER(AF803)</f>
        <v>Orderd</v>
      </c>
      <c r="AH803" s="0" t="s">
        <v>56</v>
      </c>
      <c r="AI803" s="0" t="s">
        <v>128</v>
      </c>
      <c r="AJ803" s="0" t="str">
        <f aca="false">PROPER(AI803)</f>
        <v>Normal</v>
      </c>
      <c r="AK803" s="0" t="s">
        <v>114</v>
      </c>
      <c r="AL803" s="0" t="str">
        <f aca="false">PROPER(AK803)</f>
        <v>Returning</v>
      </c>
      <c r="AM803" s="0" t="s">
        <v>59</v>
      </c>
      <c r="AN803" s="0" t="str">
        <f aca="false">IF(ISBLANK(AM803),"Unknown",AM803)</f>
        <v>Bolt Driver</v>
      </c>
      <c r="AO803" s="0" t="s">
        <v>79</v>
      </c>
      <c r="AP803" s="0" t="str">
        <f aca="false">IF(ISBLANK(AO803),"Unknown",AO803)</f>
        <v>Specialist</v>
      </c>
      <c r="AQ803" s="0" t="n">
        <v>15000</v>
      </c>
      <c r="AR803" s="5" t="n">
        <f aca="false">IF(ISBLANK(AQ803),AVERAGEIF(M803:M1802,M803,AQ803:AQ1802),AQ803)</f>
        <v>15000</v>
      </c>
      <c r="AS803" s="0" t="n">
        <v>30000</v>
      </c>
      <c r="AT803" s="5" t="n">
        <f aca="false">IF(ISBLANK(AS803),AVERAGE(AS803:AS1802),AS803)</f>
        <v>30000</v>
      </c>
      <c r="AU803" s="0" t="s">
        <v>61</v>
      </c>
      <c r="AV803" s="0" t="str">
        <f aca="false">PROPER(IF(ISBLANK(AU803),"No",AU803))</f>
        <v>No</v>
      </c>
      <c r="AW803" s="0" t="n">
        <v>5000</v>
      </c>
      <c r="AX803" s="5" t="n">
        <f aca="false">IF(ISBLANK(AW803),0,AW803)</f>
        <v>5000</v>
      </c>
      <c r="AZ803" s="0" t="str">
        <f aca="false">UPPER(IF(ISBLANK(AY803),"NONE",AY803))</f>
        <v>NONE</v>
      </c>
      <c r="BA803" s="7" t="n">
        <v>45879</v>
      </c>
      <c r="BB803" s="7" t="n">
        <f aca="false">IF(ISBLANK(BA803),"No Follow Up Needed",BA803)</f>
        <v>45879</v>
      </c>
      <c r="BC803" s="0" t="s">
        <v>50</v>
      </c>
      <c r="BD803" s="0" t="str">
        <f aca="false">PROPER(IF(ISBLANK(BC803),"Unknown",BC803))</f>
        <v>No</v>
      </c>
      <c r="BF803" s="0" t="str">
        <f aca="false">IF(ISBLANK(BE803),"No comments",BE803)</f>
        <v>No comments</v>
      </c>
      <c r="BG803" s="0" t="s">
        <v>172</v>
      </c>
      <c r="BH803" s="0" t="str">
        <f aca="false">IF(ISBLANK(BG803),"No comments",BG803)</f>
        <v>Always late</v>
      </c>
      <c r="BI803" s="0" t="s">
        <v>63</v>
      </c>
      <c r="BJ803" s="0" t="str">
        <f aca="false">IF(ISBLANK(BI803),"Not Mentioned",BI803)</f>
        <v>Yes</v>
      </c>
      <c r="BK803" s="0" t="s">
        <v>82</v>
      </c>
      <c r="BL803" s="0" t="str">
        <f aca="false">PROPER(IF(ISBLANK(BK803),"Not Mentioned",BK803))</f>
        <v>Yes</v>
      </c>
      <c r="BM803" s="0" t="s">
        <v>50</v>
      </c>
      <c r="BN803" s="0" t="str">
        <f aca="false">PROPER(IF(ISBLANK(BM803),"Not Mentioned",BM803))</f>
        <v>No</v>
      </c>
      <c r="BO803" s="0" t="s">
        <v>64</v>
      </c>
      <c r="BP803" s="0" t="str">
        <f aca="false">IF(ISBLANK(BO803),"One-Time Plan",BO803)</f>
        <v>Gold Maintenance Plan</v>
      </c>
      <c r="BQ803" s="0" t="s">
        <v>50</v>
      </c>
      <c r="BR803" s="0" t="str">
        <f aca="false">PROPER(IF(ISBLANK(BQ803),"No",BQ803))</f>
        <v>No</v>
      </c>
    </row>
    <row r="804" customFormat="false" ht="15" hidden="false" customHeight="false" outlineLevel="0" collapsed="false">
      <c r="A804" s="0" t="s">
        <v>1901</v>
      </c>
      <c r="B804" s="2" t="n">
        <v>45689</v>
      </c>
      <c r="C804" s="2" t="str">
        <f aca="false">TEXT(B804,"dd/mm/yyyy")</f>
        <v>01/02/2025</v>
      </c>
      <c r="D804" s="0" t="s">
        <v>105</v>
      </c>
      <c r="E804" s="0" t="n">
        <v>8096489553</v>
      </c>
      <c r="F804" s="0" t="s">
        <v>43</v>
      </c>
      <c r="G804" s="0" t="s">
        <v>2315</v>
      </c>
      <c r="H804" s="0" t="s">
        <v>1902</v>
      </c>
      <c r="I804" s="0" t="s">
        <v>87</v>
      </c>
      <c r="J804" s="0" t="s">
        <v>2322</v>
      </c>
      <c r="K804" s="3" t="str">
        <f aca="false" t="array" ref="K804:K804">IFERROR(IF(J804&lt;&gt;"",J804,INDEX(J804:J1803,MATCH(1,(F804:F1803=F804)*(I804:I1803=I804)*(L804:L1803=L804)*(J804:J1803&lt;&gt;""),0))),"Not Found")</f>
        <v>Brake Failure</v>
      </c>
      <c r="L804" s="3" t="s">
        <v>154</v>
      </c>
      <c r="M804" s="0" t="str">
        <f aca="false">PROPER(L804)</f>
        <v>Air Filter</v>
      </c>
      <c r="O804" s="0" t="e">
        <f aca="false" t="array" ref="O804:O804">IF(N804&lt;&gt;"",N804,_xlfn.xlookup(1,(L804:L1803=L804)*(N804:N1803&lt;&gt;""),N804:N1803,"Not Found"))</f>
        <v>#NAME?</v>
      </c>
      <c r="P804" s="4" t="n">
        <v>70390</v>
      </c>
      <c r="Q804" s="0" t="s">
        <v>72</v>
      </c>
      <c r="R804" s="0" t="str">
        <f aca="false">PROPER(Q804)</f>
        <v>Pos</v>
      </c>
      <c r="S804" s="0" t="s">
        <v>50</v>
      </c>
      <c r="T804" s="0" t="n">
        <v>5</v>
      </c>
      <c r="U804" s="5" t="n">
        <f aca="false">IF(ISBLANK(T804),AVERAGE(T804:T1803),T804)</f>
        <v>5</v>
      </c>
      <c r="V804" s="0" t="n">
        <v>5.9</v>
      </c>
      <c r="W804" s="0" t="s">
        <v>125</v>
      </c>
      <c r="X804" s="0" t="str">
        <f aca="false">IF(ISBLANK(W804),"No remarks",W804)</f>
        <v>Customer waited</v>
      </c>
      <c r="Y804" s="0" t="s">
        <v>73</v>
      </c>
      <c r="Z804" s="0" t="s">
        <v>53</v>
      </c>
      <c r="AA804" s="0" t="str">
        <f aca="false">PROPER(IF(ISBLANK(Z804),"Location Unavailable",Z804))</f>
        <v>Main Bay</v>
      </c>
      <c r="AB804" s="0" t="s">
        <v>54</v>
      </c>
      <c r="AC804" s="6" t="str">
        <f aca="false">PROPER(AB804)</f>
        <v>Mechanic Referral</v>
      </c>
      <c r="AD804" s="6" t="n">
        <v>45</v>
      </c>
      <c r="AE804" s="5" t="n">
        <f aca="false">IF(ISBLANK(AD804),AVERAGEIF(L804:L1803,L804,AD804:AD1803),AD804)</f>
        <v>45</v>
      </c>
      <c r="AF804" s="0" t="s">
        <v>112</v>
      </c>
      <c r="AG804" s="0" t="str">
        <f aca="false">PROPER(AF804)</f>
        <v>Unavailable</v>
      </c>
      <c r="AH804" s="0" t="s">
        <v>56</v>
      </c>
      <c r="AI804" s="0" t="s">
        <v>78</v>
      </c>
      <c r="AJ804" s="0" t="str">
        <f aca="false">PROPER(AI804)</f>
        <v>Booking</v>
      </c>
      <c r="AK804" s="0" t="s">
        <v>58</v>
      </c>
      <c r="AL804" s="0" t="str">
        <f aca="false">PROPER(AK804)</f>
        <v>Fleet Owner</v>
      </c>
      <c r="AN804" s="0" t="str">
        <f aca="false">IF(ISBLANK(AM804),"Unknown",AM804)</f>
        <v>Unknown</v>
      </c>
      <c r="AO804" s="0" t="s">
        <v>161</v>
      </c>
      <c r="AP804" s="0" t="str">
        <f aca="false">IF(ISBLANK(AO804),"Unknown",AO804)</f>
        <v>Apprentice</v>
      </c>
      <c r="AR804" s="5" t="n">
        <f aca="false">IF(ISBLANK(AQ804),AVERAGEIF(M804:M1803,M804,AQ804:AQ1803),AQ804)</f>
        <v>26538.4615384615</v>
      </c>
      <c r="AS804" s="0" t="n">
        <v>20000</v>
      </c>
      <c r="AT804" s="5" t="n">
        <f aca="false">IF(ISBLANK(AS804),AVERAGE(AS804:AS1803),AS804)</f>
        <v>20000</v>
      </c>
      <c r="AU804" s="0" t="s">
        <v>61</v>
      </c>
      <c r="AV804" s="0" t="str">
        <f aca="false">PROPER(IF(ISBLANK(AU804),"No",AU804))</f>
        <v>No</v>
      </c>
      <c r="AW804" s="0" t="n">
        <v>5000</v>
      </c>
      <c r="AX804" s="5" t="n">
        <f aca="false">IF(ISBLANK(AW804),0,AW804)</f>
        <v>5000</v>
      </c>
      <c r="AY804" s="0" t="s">
        <v>184</v>
      </c>
      <c r="AZ804" s="0" t="str">
        <f aca="false">UPPER(IF(ISBLANK(AY804),"NONE",AY804))</f>
        <v>N/A</v>
      </c>
      <c r="BB804" s="7" t="str">
        <f aca="false">IF(ISBLANK(BA804),"No Follow Up Needed",BA804)</f>
        <v>No Follow Up Needed</v>
      </c>
      <c r="BC804" s="0" t="s">
        <v>63</v>
      </c>
      <c r="BD804" s="0" t="str">
        <f aca="false">PROPER(IF(ISBLANK(BC804),"Unknown",BC804))</f>
        <v>Yes</v>
      </c>
      <c r="BE804" s="0" t="s">
        <v>171</v>
      </c>
      <c r="BF804" s="0" t="str">
        <f aca="false">IF(ISBLANK(BE804),"No comments",BE804)</f>
        <v>Shock absorber weakening</v>
      </c>
      <c r="BG804" s="0" t="s">
        <v>2320</v>
      </c>
      <c r="BH804" s="0" t="str">
        <f aca="false">IF(ISBLANK(BG804),"No comments",BG804)</f>
        <v>No complaints</v>
      </c>
      <c r="BJ804" s="0" t="str">
        <f aca="false">IF(ISBLANK(BI804),"Not Mentioned",BI804)</f>
        <v>Not Mentioned</v>
      </c>
      <c r="BK804" s="0" t="s">
        <v>61</v>
      </c>
      <c r="BL804" s="0" t="str">
        <f aca="false">PROPER(IF(ISBLANK(BK804),"Not Mentioned",BK804))</f>
        <v>No</v>
      </c>
      <c r="BM804" s="0" t="s">
        <v>50</v>
      </c>
      <c r="BN804" s="0" t="str">
        <f aca="false">PROPER(IF(ISBLANK(BM804),"Not Mentioned",BM804))</f>
        <v>No</v>
      </c>
      <c r="BP804" s="0" t="str">
        <f aca="false">IF(ISBLANK(BO804),"One-Time Plan",BO804)</f>
        <v>One-Time Plan</v>
      </c>
      <c r="BQ804" s="0" t="s">
        <v>63</v>
      </c>
      <c r="BR804" s="0" t="str">
        <f aca="false">PROPER(IF(ISBLANK(BQ804),"No",BQ804))</f>
        <v>Yes</v>
      </c>
    </row>
    <row r="805" customFormat="false" ht="15" hidden="false" customHeight="false" outlineLevel="0" collapsed="false">
      <c r="A805" s="0" t="s">
        <v>1903</v>
      </c>
      <c r="B805" s="2" t="n">
        <v>45783</v>
      </c>
      <c r="C805" s="2" t="str">
        <f aca="false">TEXT(B805,"dd/mm/yyyy")</f>
        <v>06/05/2025</v>
      </c>
      <c r="D805" s="0" t="s">
        <v>121</v>
      </c>
      <c r="E805" s="0" t="n">
        <v>8061586279</v>
      </c>
      <c r="F805" s="0" t="s">
        <v>67</v>
      </c>
      <c r="G805" s="0" t="s">
        <v>2316</v>
      </c>
      <c r="H805" s="0" t="s">
        <v>1904</v>
      </c>
      <c r="I805" s="0" t="s">
        <v>107</v>
      </c>
      <c r="J805" s="0" t="s">
        <v>2322</v>
      </c>
      <c r="K805" s="3" t="str">
        <f aca="false" t="array" ref="K805:K805">IFERROR(IF(J805&lt;&gt;"",J805,INDEX(J805:J1804,MATCH(1,(F805:F1804=F805)*(I805:I1804=I805)*(L805:L1804=L805)*(J805:J1804&lt;&gt;""),0))),"Not Found")</f>
        <v>Brake Failure</v>
      </c>
      <c r="L805" s="3" t="s">
        <v>189</v>
      </c>
      <c r="M805" s="0" t="str">
        <f aca="false">PROPER(L805)</f>
        <v>Battery</v>
      </c>
      <c r="N805" s="3" t="s">
        <v>48</v>
      </c>
      <c r="O805" s="0" t="str">
        <f aca="false" t="array" ref="O805:O805">IF(N805&lt;&gt;"",N805,_xlfn.xlookup(1,(L805:L1804=L805)*(N805:N1804&lt;&gt;""),N805:N1804,"Not Found"))</f>
        <v>Uche</v>
      </c>
      <c r="P805" s="4" t="n">
        <v>117454</v>
      </c>
      <c r="Q805" s="0" t="s">
        <v>49</v>
      </c>
      <c r="R805" s="0" t="str">
        <f aca="false">PROPER(Q805)</f>
        <v>Transfer</v>
      </c>
      <c r="S805" s="0" t="s">
        <v>63</v>
      </c>
      <c r="U805" s="5" t="n">
        <f aca="false">IF(ISBLANK(T805),AVERAGE(T805:T1804),T805)</f>
        <v>3.27950310559006</v>
      </c>
      <c r="V805" s="0" t="n">
        <v>1.5</v>
      </c>
      <c r="W805" s="0" t="s">
        <v>51</v>
      </c>
      <c r="X805" s="0" t="str">
        <f aca="false">IF(ISBLANK(W805),"No remarks",W805)</f>
        <v>Recommended further checks</v>
      </c>
      <c r="Y805" s="0" t="s">
        <v>73</v>
      </c>
      <c r="Z805" s="0" t="s">
        <v>74</v>
      </c>
      <c r="AA805" s="0" t="str">
        <f aca="false">PROPER(IF(ISBLANK(Z805),"Location Unavailable",Z805))</f>
        <v>Under Tree</v>
      </c>
      <c r="AB805" s="0" t="s">
        <v>95</v>
      </c>
      <c r="AC805" s="6" t="str">
        <f aca="false">PROPER(AB805)</f>
        <v>Road Sign</v>
      </c>
      <c r="AE805" s="5" t="n">
        <f aca="false">IF(ISBLANK(AD805),AVERAGEIF(L805:L1804,L805,AD805:AD1804),AD805)</f>
        <v>39.1304347826087</v>
      </c>
      <c r="AF805" s="0" t="s">
        <v>160</v>
      </c>
      <c r="AG805" s="0" t="str">
        <f aca="false">PROPER(AF805)</f>
        <v>Availaible</v>
      </c>
      <c r="AH805" s="0" t="s">
        <v>155</v>
      </c>
      <c r="AI805" s="0" t="s">
        <v>128</v>
      </c>
      <c r="AJ805" s="0" t="str">
        <f aca="false">PROPER(AI805)</f>
        <v>Normal</v>
      </c>
      <c r="AK805" s="0" t="s">
        <v>114</v>
      </c>
      <c r="AL805" s="0" t="str">
        <f aca="false">PROPER(AK805)</f>
        <v>Returning</v>
      </c>
      <c r="AN805" s="0" t="str">
        <f aca="false">IF(ISBLANK(AM805),"Unknown",AM805)</f>
        <v>Unknown</v>
      </c>
      <c r="AO805" s="0" t="s">
        <v>149</v>
      </c>
      <c r="AP805" s="0" t="str">
        <f aca="false">IF(ISBLANK(AO805),"Unknown",AO805)</f>
        <v>Senior </v>
      </c>
      <c r="AQ805" s="0" t="n">
        <v>25000</v>
      </c>
      <c r="AR805" s="5" t="n">
        <f aca="false">IF(ISBLANK(AQ805),AVERAGEIF(M805:M1804,M805,AQ805:AQ1804),AQ805)</f>
        <v>25000</v>
      </c>
      <c r="AS805" s="0" t="n">
        <v>30000</v>
      </c>
      <c r="AT805" s="5" t="n">
        <f aca="false">IF(ISBLANK(AS805),AVERAGE(AS805:AS1804),AS805)</f>
        <v>30000</v>
      </c>
      <c r="AU805" s="0" t="s">
        <v>61</v>
      </c>
      <c r="AV805" s="0" t="str">
        <f aca="false">PROPER(IF(ISBLANK(AU805),"No",AU805))</f>
        <v>No</v>
      </c>
      <c r="AW805" s="0" t="n">
        <v>5000</v>
      </c>
      <c r="AX805" s="5" t="n">
        <f aca="false">IF(ISBLANK(AW805),0,AW805)</f>
        <v>5000</v>
      </c>
      <c r="AZ805" s="0" t="str">
        <f aca="false">UPPER(IF(ISBLANK(AY805),"NONE",AY805))</f>
        <v>NONE</v>
      </c>
      <c r="BA805" s="7" t="n">
        <v>45667</v>
      </c>
      <c r="BB805" s="7" t="n">
        <f aca="false">IF(ISBLANK(BA805),"No Follow Up Needed",BA805)</f>
        <v>45667</v>
      </c>
      <c r="BC805" s="0" t="s">
        <v>61</v>
      </c>
      <c r="BD805" s="0" t="str">
        <f aca="false">PROPER(IF(ISBLANK(BC805),"Unknown",BC805))</f>
        <v>No</v>
      </c>
      <c r="BE805" s="0" t="s">
        <v>116</v>
      </c>
      <c r="BF805" s="0" t="str">
        <f aca="false">IF(ISBLANK(BE805),"No comments",BE805)</f>
        <v>Needs tire alignment</v>
      </c>
      <c r="BG805" s="0" t="s">
        <v>2320</v>
      </c>
      <c r="BH805" s="0" t="str">
        <f aca="false">IF(ISBLANK(BG805),"No comments",BG805)</f>
        <v>No complaints</v>
      </c>
      <c r="BI805" s="0" t="s">
        <v>63</v>
      </c>
      <c r="BJ805" s="0" t="str">
        <f aca="false">IF(ISBLANK(BI805),"Not Mentioned",BI805)</f>
        <v>Yes</v>
      </c>
      <c r="BK805" s="0" t="s">
        <v>63</v>
      </c>
      <c r="BL805" s="0" t="str">
        <f aca="false">PROPER(IF(ISBLANK(BK805),"Not Mentioned",BK805))</f>
        <v>Yes</v>
      </c>
      <c r="BM805" s="0" t="s">
        <v>63</v>
      </c>
      <c r="BN805" s="0" t="str">
        <f aca="false">PROPER(IF(ISBLANK(BM805),"Not Mentioned",BM805))</f>
        <v>Yes</v>
      </c>
      <c r="BO805" s="0" t="s">
        <v>2321</v>
      </c>
      <c r="BP805" s="0" t="str">
        <f aca="false">IF(ISBLANK(BO805),"One-Time Plan",BO805)</f>
        <v>One-Time Plan</v>
      </c>
      <c r="BQ805" s="0" t="s">
        <v>63</v>
      </c>
      <c r="BR805" s="0" t="str">
        <f aca="false">PROPER(IF(ISBLANK(BQ805),"No",BQ805))</f>
        <v>Yes</v>
      </c>
    </row>
    <row r="806" customFormat="false" ht="15" hidden="false" customHeight="false" outlineLevel="0" collapsed="false">
      <c r="A806" s="0" t="s">
        <v>1905</v>
      </c>
      <c r="B806" s="2" t="n">
        <v>45688</v>
      </c>
      <c r="C806" s="2" t="str">
        <f aca="false">TEXT(B806,"dd/mm/yyyy")</f>
        <v>31/01/2025</v>
      </c>
      <c r="D806" s="0" t="s">
        <v>163</v>
      </c>
      <c r="E806" s="0" t="n">
        <v>8063373950</v>
      </c>
      <c r="F806" s="0" t="s">
        <v>85</v>
      </c>
      <c r="G806" s="0" t="s">
        <v>2319</v>
      </c>
      <c r="H806" s="0" t="s">
        <v>1906</v>
      </c>
      <c r="I806" s="0" t="s">
        <v>134</v>
      </c>
      <c r="J806" s="0" t="s">
        <v>87</v>
      </c>
      <c r="K806" s="3" t="str">
        <f aca="false" t="array" ref="K806:K806">IFERROR(IF(J806&lt;&gt;"",J806,INDEX(J806:J1805,MATCH(1,(F806:F1805=F806)*(I806:I1805=I806)*(L806:L1805=L806)*(J806:J1805&lt;&gt;""),0))),"Not Found")</f>
        <v>Oil Change</v>
      </c>
      <c r="L806" s="3" t="s">
        <v>47</v>
      </c>
      <c r="M806" s="0" t="str">
        <f aca="false">PROPER(L806)</f>
        <v>None</v>
      </c>
      <c r="O806" s="0" t="e">
        <f aca="false" t="array" ref="O806:O806">IF(N806&lt;&gt;"",N806,_xlfn.xlookup(1,(L806:L1805=L806)*(N806:N1805&lt;&gt;""),N806:N1805,"Not Found"))</f>
        <v>#NAME?</v>
      </c>
      <c r="P806" s="4" t="n">
        <v>80851</v>
      </c>
      <c r="Q806" s="0" t="s">
        <v>49</v>
      </c>
      <c r="R806" s="0" t="str">
        <f aca="false">PROPER(Q806)</f>
        <v>Transfer</v>
      </c>
      <c r="S806" s="0" t="s">
        <v>50</v>
      </c>
      <c r="T806" s="0" t="n">
        <v>2</v>
      </c>
      <c r="U806" s="5" t="n">
        <f aca="false">IF(ISBLANK(T806),AVERAGE(T806:T1805),T806)</f>
        <v>2</v>
      </c>
      <c r="V806" s="0" t="n">
        <v>1.2</v>
      </c>
      <c r="W806" s="0" t="s">
        <v>51</v>
      </c>
      <c r="X806" s="0" t="str">
        <f aca="false">IF(ISBLANK(W806),"No remarks",W806)</f>
        <v>Recommended further checks</v>
      </c>
      <c r="Y806" s="0" t="s">
        <v>52</v>
      </c>
      <c r="Z806" s="0" t="s">
        <v>159</v>
      </c>
      <c r="AA806" s="0" t="str">
        <f aca="false">PROPER(IF(ISBLANK(Z806),"Location Unavailable",Z806))</f>
        <v>Main Bay</v>
      </c>
      <c r="AB806" s="0" t="s">
        <v>95</v>
      </c>
      <c r="AC806" s="6" t="str">
        <f aca="false">PROPER(AB806)</f>
        <v>Road Sign</v>
      </c>
      <c r="AD806" s="6" t="n">
        <v>30</v>
      </c>
      <c r="AE806" s="5" t="n">
        <f aca="false">IF(ISBLANK(AD806),AVERAGEIF(L806:L1805,L806,AD806:AD1805),AD806)</f>
        <v>30</v>
      </c>
      <c r="AF806" s="0" t="s">
        <v>160</v>
      </c>
      <c r="AG806" s="0" t="str">
        <f aca="false">PROPER(AF806)</f>
        <v>Availaible</v>
      </c>
      <c r="AH806" s="0" t="s">
        <v>56</v>
      </c>
      <c r="AI806" s="0" t="s">
        <v>98</v>
      </c>
      <c r="AJ806" s="0" t="str">
        <f aca="false">PROPER(AI806)</f>
        <v>Emergency</v>
      </c>
      <c r="AK806" s="0" t="s">
        <v>58</v>
      </c>
      <c r="AL806" s="0" t="str">
        <f aca="false">PROPER(AK806)</f>
        <v>Fleet Owner</v>
      </c>
      <c r="AM806" s="0" t="s">
        <v>59</v>
      </c>
      <c r="AN806" s="0" t="str">
        <f aca="false">IF(ISBLANK(AM806),"Unknown",AM806)</f>
        <v>Bolt Driver</v>
      </c>
      <c r="AO806" s="0" t="s">
        <v>149</v>
      </c>
      <c r="AP806" s="0" t="str">
        <f aca="false">IF(ISBLANK(AO806),"Unknown",AO806)</f>
        <v>Senior </v>
      </c>
      <c r="AQ806" s="0" t="n">
        <v>40000</v>
      </c>
      <c r="AR806" s="5" t="n">
        <f aca="false">IF(ISBLANK(AQ806),AVERAGEIF(M806:M1805,M806,AQ806:AQ1805),AQ806)</f>
        <v>40000</v>
      </c>
      <c r="AS806" s="0" t="n">
        <v>40000</v>
      </c>
      <c r="AT806" s="5" t="n">
        <f aca="false">IF(ISBLANK(AS806),AVERAGE(AS806:AS1805),AS806)</f>
        <v>40000</v>
      </c>
      <c r="AU806" s="0" t="s">
        <v>61</v>
      </c>
      <c r="AV806" s="0" t="str">
        <f aca="false">PROPER(IF(ISBLANK(AU806),"No",AU806))</f>
        <v>No</v>
      </c>
      <c r="AX806" s="5" t="n">
        <f aca="false">IF(ISBLANK(AW806),0,AW806)</f>
        <v>0</v>
      </c>
      <c r="AY806" s="0" t="s">
        <v>130</v>
      </c>
      <c r="AZ806" s="0" t="str">
        <f aca="false">UPPER(IF(ISBLANK(AY806),"NONE",AY806))</f>
        <v>LOYALTY10</v>
      </c>
      <c r="BB806" s="7" t="str">
        <f aca="false">IF(ISBLANK(BA806),"No Follow Up Needed",BA806)</f>
        <v>No Follow Up Needed</v>
      </c>
      <c r="BC806" s="0" t="s">
        <v>61</v>
      </c>
      <c r="BD806" s="0" t="str">
        <f aca="false">PROPER(IF(ISBLANK(BC806),"Unknown",BC806))</f>
        <v>No</v>
      </c>
      <c r="BF806" s="0" t="str">
        <f aca="false">IF(ISBLANK(BE806),"No comments",BE806)</f>
        <v>No comments</v>
      </c>
      <c r="BH806" s="0" t="str">
        <f aca="false">IF(ISBLANK(BG806),"No comments",BG806)</f>
        <v>No comments</v>
      </c>
      <c r="BI806" s="0" t="s">
        <v>63</v>
      </c>
      <c r="BJ806" s="0" t="str">
        <f aca="false">IF(ISBLANK(BI806),"Not Mentioned",BI806)</f>
        <v>Yes</v>
      </c>
      <c r="BK806" s="0" t="s">
        <v>61</v>
      </c>
      <c r="BL806" s="0" t="str">
        <f aca="false">PROPER(IF(ISBLANK(BK806),"Not Mentioned",BK806))</f>
        <v>No</v>
      </c>
      <c r="BN806" s="0" t="str">
        <f aca="false">PROPER(IF(ISBLANK(BM806),"Not Mentioned",BM806))</f>
        <v>Not Mentioned</v>
      </c>
      <c r="BO806" s="0" t="s">
        <v>2318</v>
      </c>
      <c r="BP806" s="0" t="str">
        <f aca="false">IF(ISBLANK(BO806),"One-Time Plan",BO806)</f>
        <v>Gold</v>
      </c>
      <c r="BQ806" s="0" t="s">
        <v>63</v>
      </c>
      <c r="BR806" s="0" t="str">
        <f aca="false">PROPER(IF(ISBLANK(BQ806),"No",BQ806))</f>
        <v>Yes</v>
      </c>
    </row>
    <row r="807" customFormat="false" ht="15" hidden="false" customHeight="false" outlineLevel="0" collapsed="false">
      <c r="A807" s="0" t="s">
        <v>1907</v>
      </c>
      <c r="B807" s="2" t="n">
        <v>45720</v>
      </c>
      <c r="C807" s="2" t="str">
        <f aca="false">TEXT(B807,"dd/mm/yyyy")</f>
        <v>04/03/2025</v>
      </c>
      <c r="D807" s="0" t="s">
        <v>66</v>
      </c>
      <c r="E807" s="0" t="n">
        <v>8088673120</v>
      </c>
      <c r="F807" s="0" t="s">
        <v>122</v>
      </c>
      <c r="G807" s="0" t="s">
        <v>2316</v>
      </c>
      <c r="H807" s="0" t="s">
        <v>1908</v>
      </c>
      <c r="I807" s="0" t="s">
        <v>45</v>
      </c>
      <c r="J807" s="0" t="s">
        <v>2325</v>
      </c>
      <c r="K807" s="3" t="str">
        <f aca="false" t="array" ref="K807:K807">IFERROR(IF(J807&lt;&gt;"",J807,INDEX(J807:J1806,MATCH(1,(F807:F1806=F807)*(I807:I1806=I807)*(L807:L1806=L807)*(J807:J1806&lt;&gt;""),0))),"Not Found")</f>
        <v>Engine Knocking</v>
      </c>
      <c r="L807" s="3" t="s">
        <v>108</v>
      </c>
      <c r="M807" s="0" t="str">
        <f aca="false">PROPER(L807)</f>
        <v>Timing Belt</v>
      </c>
      <c r="N807" s="3" t="s">
        <v>109</v>
      </c>
      <c r="O807" s="0" t="str">
        <f aca="false" t="array" ref="O807:O807">IF(N807&lt;&gt;"",N807,_xlfn.xlookup(1,(L807:L1806=L807)*(N807:N1806&lt;&gt;""),N807:N1806,"Not Found"))</f>
        <v>Tijani</v>
      </c>
      <c r="P807" s="4" t="n">
        <v>32482</v>
      </c>
      <c r="Q807" s="0" t="s">
        <v>110</v>
      </c>
      <c r="R807" s="0" t="str">
        <f aca="false">PROPER(Q807)</f>
        <v>Cash</v>
      </c>
      <c r="S807" s="0" t="s">
        <v>63</v>
      </c>
      <c r="T807" s="0" t="n">
        <v>4</v>
      </c>
      <c r="U807" s="5" t="n">
        <f aca="false">IF(ISBLANK(T807),AVERAGE(T807:T1806),T807)</f>
        <v>4</v>
      </c>
      <c r="V807" s="0" t="n">
        <v>2.5</v>
      </c>
      <c r="W807" s="0" t="s">
        <v>51</v>
      </c>
      <c r="X807" s="0" t="str">
        <f aca="false">IF(ISBLANK(W807),"No remarks",W807)</f>
        <v>Recommended further checks</v>
      </c>
      <c r="Y807" s="0" t="s">
        <v>93</v>
      </c>
      <c r="AA807" s="0" t="str">
        <f aca="false">PROPER(IF(ISBLANK(Z807),"Location Unavailable",Z807))</f>
        <v>Location Unavailable</v>
      </c>
      <c r="AB807" s="0" t="s">
        <v>147</v>
      </c>
      <c r="AC807" s="6" t="str">
        <f aca="false">PROPER(AB807)</f>
        <v>Instagram</v>
      </c>
      <c r="AD807" s="6" t="n">
        <v>30</v>
      </c>
      <c r="AE807" s="5" t="n">
        <f aca="false">IF(ISBLANK(AD807),AVERAGEIF(L807:L1806,L807,AD807:AD1806),AD807)</f>
        <v>30</v>
      </c>
      <c r="AF807" s="0" t="s">
        <v>96</v>
      </c>
      <c r="AG807" s="0" t="str">
        <f aca="false">PROPER(AF807)</f>
        <v>Ordered</v>
      </c>
      <c r="AH807" s="0" t="s">
        <v>56</v>
      </c>
      <c r="AI807" s="0" t="s">
        <v>113</v>
      </c>
      <c r="AJ807" s="0" t="str">
        <f aca="false">PROPER(AI807)</f>
        <v>Normal</v>
      </c>
      <c r="AK807" s="0" t="s">
        <v>196</v>
      </c>
      <c r="AL807" s="0" t="str">
        <f aca="false">PROPER(AK807)</f>
        <v>First Time</v>
      </c>
      <c r="AN807" s="0" t="str">
        <f aca="false">IF(ISBLANK(AM807),"Unknown",AM807)</f>
        <v>Unknown</v>
      </c>
      <c r="AO807" s="0" t="s">
        <v>161</v>
      </c>
      <c r="AP807" s="0" t="str">
        <f aca="false">IF(ISBLANK(AO807),"Unknown",AO807)</f>
        <v>Apprentice</v>
      </c>
      <c r="AQ807" s="0" t="n">
        <v>15000</v>
      </c>
      <c r="AR807" s="5" t="n">
        <f aca="false">IF(ISBLANK(AQ807),AVERAGEIF(M807:M1806,M807,AQ807:AQ1806),AQ807)</f>
        <v>15000</v>
      </c>
      <c r="AS807" s="0" t="n">
        <v>40000</v>
      </c>
      <c r="AT807" s="5" t="n">
        <f aca="false">IF(ISBLANK(AS807),AVERAGE(AS807:AS1806),AS807)</f>
        <v>40000</v>
      </c>
      <c r="AU807" s="0" t="s">
        <v>61</v>
      </c>
      <c r="AV807" s="0" t="str">
        <f aca="false">PROPER(IF(ISBLANK(AU807),"No",AU807))</f>
        <v>No</v>
      </c>
      <c r="AW807" s="0" t="n">
        <v>5000</v>
      </c>
      <c r="AX807" s="5" t="n">
        <f aca="false">IF(ISBLANK(AW807),0,AW807)</f>
        <v>5000</v>
      </c>
      <c r="AZ807" s="0" t="str">
        <f aca="false">UPPER(IF(ISBLANK(AY807),"NONE",AY807))</f>
        <v>NONE</v>
      </c>
      <c r="BA807" s="7" t="s">
        <v>1909</v>
      </c>
      <c r="BB807" s="7" t="str">
        <f aca="false">IF(ISBLANK(BA807),"No Follow Up Needed",BA807)</f>
        <v>17/10/2025</v>
      </c>
      <c r="BC807" s="0" t="s">
        <v>82</v>
      </c>
      <c r="BD807" s="0" t="str">
        <f aca="false">PROPER(IF(ISBLANK(BC807),"Unknown",BC807))</f>
        <v>Yes</v>
      </c>
      <c r="BE807" s="0" t="s">
        <v>171</v>
      </c>
      <c r="BF807" s="0" t="str">
        <f aca="false">IF(ISBLANK(BE807),"No comments",BE807)</f>
        <v>Shock absorber weakening</v>
      </c>
      <c r="BG807" s="0" t="s">
        <v>117</v>
      </c>
      <c r="BH807" s="0" t="str">
        <f aca="false">IF(ISBLANK(BG807),"No comments",BG807)</f>
        <v>Prefers morning</v>
      </c>
      <c r="BI807" s="0" t="s">
        <v>63</v>
      </c>
      <c r="BJ807" s="0" t="str">
        <f aca="false">IF(ISBLANK(BI807),"Not Mentioned",BI807)</f>
        <v>Yes</v>
      </c>
      <c r="BK807" s="0" t="s">
        <v>82</v>
      </c>
      <c r="BL807" s="0" t="str">
        <f aca="false">PROPER(IF(ISBLANK(BK807),"Not Mentioned",BK807))</f>
        <v>Yes</v>
      </c>
      <c r="BN807" s="0" t="str">
        <f aca="false">PROPER(IF(ISBLANK(BM807),"Not Mentioned",BM807))</f>
        <v>Not Mentioned</v>
      </c>
      <c r="BO807" s="0" t="s">
        <v>2318</v>
      </c>
      <c r="BP807" s="0" t="str">
        <f aca="false">IF(ISBLANK(BO807),"One-Time Plan",BO807)</f>
        <v>Gold</v>
      </c>
      <c r="BQ807" s="0" t="s">
        <v>50</v>
      </c>
      <c r="BR807" s="0" t="str">
        <f aca="false">PROPER(IF(ISBLANK(BQ807),"No",BQ807))</f>
        <v>No</v>
      </c>
    </row>
    <row r="808" customFormat="false" ht="15" hidden="false" customHeight="false" outlineLevel="0" collapsed="false">
      <c r="A808" s="0" t="s">
        <v>1910</v>
      </c>
      <c r="B808" s="2" t="n">
        <v>45724</v>
      </c>
      <c r="C808" s="2" t="str">
        <f aca="false">TEXT(B808,"dd/mm/yyyy")</f>
        <v>08/03/2025</v>
      </c>
      <c r="D808" s="0" t="s">
        <v>42</v>
      </c>
      <c r="E808" s="0" t="n">
        <v>8020784168</v>
      </c>
      <c r="F808" s="0" t="s">
        <v>122</v>
      </c>
      <c r="G808" s="0" t="s">
        <v>2316</v>
      </c>
      <c r="H808" s="0" t="s">
        <v>1911</v>
      </c>
      <c r="I808" s="0" t="s">
        <v>45</v>
      </c>
      <c r="J808" s="0" t="s">
        <v>2325</v>
      </c>
      <c r="K808" s="3" t="str">
        <f aca="false" t="array" ref="K808:K808">IFERROR(IF(J808&lt;&gt;"",J808,INDEX(J808:J1807,MATCH(1,(F808:F1807=F808)*(I808:I1807=I808)*(L808:L1807=L808)*(J808:J1807&lt;&gt;""),0))),"Not Found")</f>
        <v>Engine Knocking</v>
      </c>
      <c r="L808" s="3" t="s">
        <v>47</v>
      </c>
      <c r="M808" s="0" t="str">
        <f aca="false">PROPER(L808)</f>
        <v>None</v>
      </c>
      <c r="N808" s="3" t="s">
        <v>48</v>
      </c>
      <c r="O808" s="0" t="str">
        <f aca="false" t="array" ref="O808:O808">IF(N808&lt;&gt;"",N808,_xlfn.xlookup(1,(L808:L1807=L808)*(N808:N1807&lt;&gt;""),N808:N1807,"Not Found"))</f>
        <v>Uche</v>
      </c>
      <c r="P808" s="4" t="n">
        <v>23853</v>
      </c>
      <c r="Q808" s="0" t="s">
        <v>110</v>
      </c>
      <c r="R808" s="0" t="str">
        <f aca="false">PROPER(Q808)</f>
        <v>Cash</v>
      </c>
      <c r="S808" s="0" t="s">
        <v>63</v>
      </c>
      <c r="T808" s="0" t="n">
        <v>5</v>
      </c>
      <c r="U808" s="5" t="n">
        <f aca="false">IF(ISBLANK(T808),AVERAGE(T808:T1807),T808)</f>
        <v>5</v>
      </c>
      <c r="V808" s="0" t="n">
        <v>5.2</v>
      </c>
      <c r="W808" s="0" t="s">
        <v>51</v>
      </c>
      <c r="X808" s="0" t="str">
        <f aca="false">IF(ISBLANK(W808),"No remarks",W808)</f>
        <v>Recommended further checks</v>
      </c>
      <c r="Y808" s="0" t="s">
        <v>73</v>
      </c>
      <c r="Z808" s="0" t="s">
        <v>94</v>
      </c>
      <c r="AA808" s="0" t="str">
        <f aca="false">PROPER(IF(ISBLANK(Z808),"Location Unavailable",Z808))</f>
        <v>Vip Section</v>
      </c>
      <c r="AB808" s="0" t="s">
        <v>167</v>
      </c>
      <c r="AC808" s="6" t="str">
        <f aca="false">PROPER(AB808)</f>
        <v>Word Of Mouth</v>
      </c>
      <c r="AD808" s="6" t="n">
        <v>45</v>
      </c>
      <c r="AE808" s="5" t="n">
        <f aca="false">IF(ISBLANK(AD808),AVERAGEIF(L808:L1807,L808,AD808:AD1807),AD808)</f>
        <v>45</v>
      </c>
      <c r="AF808" s="0" t="s">
        <v>112</v>
      </c>
      <c r="AG808" s="0" t="str">
        <f aca="false">PROPER(AF808)</f>
        <v>Unavailable</v>
      </c>
      <c r="AH808" s="0" t="s">
        <v>155</v>
      </c>
      <c r="AI808" s="0" t="s">
        <v>78</v>
      </c>
      <c r="AJ808" s="0" t="str">
        <f aca="false">PROPER(AI808)</f>
        <v>Booking</v>
      </c>
      <c r="AK808" s="0" t="s">
        <v>196</v>
      </c>
      <c r="AL808" s="0" t="str">
        <f aca="false">PROPER(AK808)</f>
        <v>First Time</v>
      </c>
      <c r="AM808" s="0" t="s">
        <v>59</v>
      </c>
      <c r="AN808" s="0" t="str">
        <f aca="false">IF(ISBLANK(AM808),"Unknown",AM808)</f>
        <v>Bolt Driver</v>
      </c>
      <c r="AP808" s="0" t="str">
        <f aca="false">IF(ISBLANK(AO808),"Unknown",AO808)</f>
        <v>Unknown</v>
      </c>
      <c r="AQ808" s="0" t="n">
        <v>20000</v>
      </c>
      <c r="AR808" s="5" t="n">
        <f aca="false">IF(ISBLANK(AQ808),AVERAGEIF(M808:M1807,M808,AQ808:AQ1807),AQ808)</f>
        <v>20000</v>
      </c>
      <c r="AS808" s="0" t="n">
        <v>30000</v>
      </c>
      <c r="AT808" s="5" t="n">
        <f aca="false">IF(ISBLANK(AS808),AVERAGE(AS808:AS1807),AS808)</f>
        <v>30000</v>
      </c>
      <c r="AU808" s="0" t="s">
        <v>50</v>
      </c>
      <c r="AV808" s="0" t="str">
        <f aca="false">PROPER(IF(ISBLANK(AU808),"No",AU808))</f>
        <v>No</v>
      </c>
      <c r="AW808" s="0" t="n">
        <v>0</v>
      </c>
      <c r="AX808" s="5" t="n">
        <f aca="false">IF(ISBLANK(AW808),0,AW808)</f>
        <v>0</v>
      </c>
      <c r="AY808" s="0" t="s">
        <v>80</v>
      </c>
      <c r="AZ808" s="0" t="str">
        <f aca="false">UPPER(IF(ISBLANK(AY808),"NONE",AY808))</f>
        <v>PROMO10</v>
      </c>
      <c r="BB808" s="7" t="str">
        <f aca="false">IF(ISBLANK(BA808),"No Follow Up Needed",BA808)</f>
        <v>No Follow Up Needed</v>
      </c>
      <c r="BC808" s="0" t="s">
        <v>82</v>
      </c>
      <c r="BD808" s="0" t="str">
        <f aca="false">PROPER(IF(ISBLANK(BC808),"Unknown",BC808))</f>
        <v>Yes</v>
      </c>
      <c r="BE808" s="0" t="s">
        <v>116</v>
      </c>
      <c r="BF808" s="0" t="str">
        <f aca="false">IF(ISBLANK(BE808),"No comments",BE808)</f>
        <v>Needs tire alignment</v>
      </c>
      <c r="BG808" s="0" t="s">
        <v>2320</v>
      </c>
      <c r="BH808" s="0" t="str">
        <f aca="false">IF(ISBLANK(BG808),"No comments",BG808)</f>
        <v>No complaints</v>
      </c>
      <c r="BI808" s="0" t="s">
        <v>63</v>
      </c>
      <c r="BJ808" s="0" t="str">
        <f aca="false">IF(ISBLANK(BI808),"Not Mentioned",BI808)</f>
        <v>Yes</v>
      </c>
      <c r="BK808" s="0" t="s">
        <v>63</v>
      </c>
      <c r="BL808" s="0" t="str">
        <f aca="false">PROPER(IF(ISBLANK(BK808),"Not Mentioned",BK808))</f>
        <v>Yes</v>
      </c>
      <c r="BM808" s="0" t="s">
        <v>50</v>
      </c>
      <c r="BN808" s="0" t="str">
        <f aca="false">PROPER(IF(ISBLANK(BM808),"Not Mentioned",BM808))</f>
        <v>No</v>
      </c>
      <c r="BO808" s="0" t="s">
        <v>64</v>
      </c>
      <c r="BP808" s="0" t="str">
        <f aca="false">IF(ISBLANK(BO808),"One-Time Plan",BO808)</f>
        <v>Gold Maintenance Plan</v>
      </c>
      <c r="BQ808" s="0" t="s">
        <v>198</v>
      </c>
      <c r="BR808" s="0" t="str">
        <f aca="false">PROPER(IF(ISBLANK(BQ808),"No",BQ808))</f>
        <v>Followed Up</v>
      </c>
    </row>
    <row r="809" customFormat="false" ht="15" hidden="false" customHeight="false" outlineLevel="0" collapsed="false">
      <c r="A809" s="0" t="s">
        <v>1912</v>
      </c>
      <c r="B809" s="2" t="n">
        <v>45753</v>
      </c>
      <c r="C809" s="2" t="str">
        <f aca="false">TEXT(B809,"dd/mm/yyyy")</f>
        <v>06/04/2025</v>
      </c>
      <c r="D809" s="0" t="s">
        <v>105</v>
      </c>
      <c r="E809" s="0" t="n">
        <v>8079596863</v>
      </c>
      <c r="F809" s="0" t="s">
        <v>122</v>
      </c>
      <c r="G809" s="0" t="s">
        <v>2316</v>
      </c>
      <c r="H809" s="0" t="s">
        <v>1159</v>
      </c>
      <c r="I809" s="0" t="s">
        <v>69</v>
      </c>
      <c r="J809" s="0" t="s">
        <v>2325</v>
      </c>
      <c r="K809" s="3" t="str">
        <f aca="false" t="array" ref="K809:K809">IFERROR(IF(J809&lt;&gt;"",J809,INDEX(J809:J1808,MATCH(1,(F809:F1808=F809)*(I809:I1808=I809)*(L809:L1808=L809)*(J809:J1808&lt;&gt;""),0))),"Not Found")</f>
        <v>Engine Knocking</v>
      </c>
      <c r="L809" s="3" t="s">
        <v>142</v>
      </c>
      <c r="M809" s="0" t="str">
        <f aca="false">PROPER(L809)</f>
        <v>Oil Filter, Brake Pads</v>
      </c>
      <c r="N809" s="3" t="s">
        <v>71</v>
      </c>
      <c r="O809" s="0" t="str">
        <f aca="false" t="array" ref="O809:O809">IF(N809&lt;&gt;"",N809,_xlfn.xlookup(1,(L809:L1808=L809)*(N809:N1808&lt;&gt;""),N809:N1808,"Not Found"))</f>
        <v>Isaac Bobo</v>
      </c>
      <c r="P809" s="4" t="n">
        <v>21668</v>
      </c>
      <c r="Q809" s="0" t="s">
        <v>49</v>
      </c>
      <c r="R809" s="0" t="str">
        <f aca="false">PROPER(Q809)</f>
        <v>Transfer</v>
      </c>
      <c r="S809" s="0" t="s">
        <v>63</v>
      </c>
      <c r="T809" s="0" t="n">
        <v>2</v>
      </c>
      <c r="U809" s="5" t="n">
        <f aca="false">IF(ISBLANK(T809),AVERAGE(T809:T1808),T809)</f>
        <v>2</v>
      </c>
      <c r="V809" s="0" t="n">
        <v>1.7</v>
      </c>
      <c r="W809" s="0" t="s">
        <v>111</v>
      </c>
      <c r="X809" s="0" t="str">
        <f aca="false">IF(ISBLANK(W809),"No remarks",W809)</f>
        <v>Changed all filters</v>
      </c>
      <c r="Y809" s="0" t="s">
        <v>73</v>
      </c>
      <c r="AA809" s="0" t="str">
        <f aca="false">PROPER(IF(ISBLANK(Z809),"Location Unavailable",Z809))</f>
        <v>Location Unavailable</v>
      </c>
      <c r="AB809" s="0" t="s">
        <v>126</v>
      </c>
      <c r="AC809" s="6" t="str">
        <f aca="false">PROPER(AB809)</f>
        <v>Whatsapp</v>
      </c>
      <c r="AD809" s="6" t="n">
        <v>60</v>
      </c>
      <c r="AE809" s="5" t="n">
        <f aca="false">IF(ISBLANK(AD809),AVERAGEIF(L809:L1808,L809,AD809:AD1808),AD809)</f>
        <v>60</v>
      </c>
      <c r="AF809" s="0" t="s">
        <v>76</v>
      </c>
      <c r="AG809" s="0" t="str">
        <f aca="false">PROPER(AF809)</f>
        <v>Orderd</v>
      </c>
      <c r="AH809" s="0" t="s">
        <v>155</v>
      </c>
      <c r="AI809" s="0" t="s">
        <v>113</v>
      </c>
      <c r="AJ809" s="0" t="str">
        <f aca="false">PROPER(AI809)</f>
        <v>Normal</v>
      </c>
      <c r="AK809" s="0" t="s">
        <v>99</v>
      </c>
      <c r="AL809" s="0" t="str">
        <f aca="false">PROPER(AK809)</f>
        <v>Uber Driver</v>
      </c>
      <c r="AM809" s="0" t="s">
        <v>2326</v>
      </c>
      <c r="AN809" s="0" t="str">
        <f aca="false">IF(ISBLANK(AM809),"Unknown",AM809)</f>
        <v>Government Convoy</v>
      </c>
      <c r="AP809" s="0" t="str">
        <f aca="false">IF(ISBLANK(AO809),"Unknown",AO809)</f>
        <v>Unknown</v>
      </c>
      <c r="AQ809" s="0" t="n">
        <v>40000</v>
      </c>
      <c r="AR809" s="5" t="n">
        <f aca="false">IF(ISBLANK(AQ809),AVERAGEIF(M809:M1808,M809,AQ809:AQ1808),AQ809)</f>
        <v>40000</v>
      </c>
      <c r="AS809" s="0" t="n">
        <v>30000</v>
      </c>
      <c r="AT809" s="5" t="n">
        <f aca="false">IF(ISBLANK(AS809),AVERAGE(AS809:AS1808),AS809)</f>
        <v>30000</v>
      </c>
      <c r="AU809" s="0" t="s">
        <v>63</v>
      </c>
      <c r="AV809" s="0" t="str">
        <f aca="false">PROPER(IF(ISBLANK(AU809),"No",AU809))</f>
        <v>Yes</v>
      </c>
      <c r="AW809" s="0" t="n">
        <v>5000</v>
      </c>
      <c r="AX809" s="5" t="n">
        <f aca="false">IF(ISBLANK(AW809),0,AW809)</f>
        <v>5000</v>
      </c>
      <c r="AY809" s="0" t="s">
        <v>80</v>
      </c>
      <c r="AZ809" s="0" t="str">
        <f aca="false">UPPER(IF(ISBLANK(AY809),"NONE",AY809))</f>
        <v>PROMO10</v>
      </c>
      <c r="BB809" s="7" t="str">
        <f aca="false">IF(ISBLANK(BA809),"No Follow Up Needed",BA809)</f>
        <v>No Follow Up Needed</v>
      </c>
      <c r="BC809" s="0" t="s">
        <v>63</v>
      </c>
      <c r="BD809" s="0" t="str">
        <f aca="false">PROPER(IF(ISBLANK(BC809),"Unknown",BC809))</f>
        <v>Yes</v>
      </c>
      <c r="BF809" s="0" t="str">
        <f aca="false">IF(ISBLANK(BE809),"No comments",BE809)</f>
        <v>No comments</v>
      </c>
      <c r="BH809" s="0" t="str">
        <f aca="false">IF(ISBLANK(BG809),"No comments",BG809)</f>
        <v>No comments</v>
      </c>
      <c r="BJ809" s="0" t="str">
        <f aca="false">IF(ISBLANK(BI809),"Not Mentioned",BI809)</f>
        <v>Not Mentioned</v>
      </c>
      <c r="BK809" s="0" t="s">
        <v>82</v>
      </c>
      <c r="BL809" s="0" t="str">
        <f aca="false">PROPER(IF(ISBLANK(BK809),"Not Mentioned",BK809))</f>
        <v>Yes</v>
      </c>
      <c r="BN809" s="0" t="str">
        <f aca="false">PROPER(IF(ISBLANK(BM809),"Not Mentioned",BM809))</f>
        <v>Not Mentioned</v>
      </c>
      <c r="BO809" s="0" t="s">
        <v>64</v>
      </c>
      <c r="BP809" s="0" t="str">
        <f aca="false">IF(ISBLANK(BO809),"One-Time Plan",BO809)</f>
        <v>Gold Maintenance Plan</v>
      </c>
      <c r="BQ809" s="0" t="s">
        <v>190</v>
      </c>
      <c r="BR809" s="0" t="str">
        <f aca="false">PROPER(IF(ISBLANK(BQ809),"No",BQ809))</f>
        <v>Yes</v>
      </c>
    </row>
    <row r="810" customFormat="false" ht="15" hidden="false" customHeight="false" outlineLevel="0" collapsed="false">
      <c r="A810" s="0" t="s">
        <v>1913</v>
      </c>
      <c r="B810" s="2" t="n">
        <v>45805</v>
      </c>
      <c r="C810" s="2" t="str">
        <f aca="false">TEXT(B810,"dd/mm/yyyy")</f>
        <v>28/05/2025</v>
      </c>
      <c r="D810" s="0" t="s">
        <v>42</v>
      </c>
      <c r="E810" s="0" t="n">
        <v>8035343427</v>
      </c>
      <c r="F810" s="0" t="s">
        <v>85</v>
      </c>
      <c r="G810" s="0" t="s">
        <v>2319</v>
      </c>
      <c r="H810" s="0" t="s">
        <v>1914</v>
      </c>
      <c r="I810" s="0" t="s">
        <v>69</v>
      </c>
      <c r="K810" s="3" t="str">
        <f aca="false" t="array" ref="K810:K810">IFERROR(IF(J810&lt;&gt;"",J810,INDEX(J810:J1809,MATCH(1,(F810:F1809=F810)*(I810:I1809=I810)*(L810:L1809=L810)*(J810:J1809&lt;&gt;""),0))),"Not Found")</f>
        <v>Brake Failure</v>
      </c>
      <c r="L810" s="3" t="s">
        <v>47</v>
      </c>
      <c r="M810" s="0" t="str">
        <f aca="false">PROPER(L810)</f>
        <v>None</v>
      </c>
      <c r="N810" s="3" t="s">
        <v>71</v>
      </c>
      <c r="O810" s="0" t="str">
        <f aca="false" t="array" ref="O810:O810">IF(N810&lt;&gt;"",N810,_xlfn.xlookup(1,(L810:L1809=L810)*(N810:N1809&lt;&gt;""),N810:N1809,"Not Found"))</f>
        <v>Isaac Bobo</v>
      </c>
      <c r="P810" s="4" t="n">
        <v>63836</v>
      </c>
      <c r="Q810" s="0" t="s">
        <v>124</v>
      </c>
      <c r="R810" s="0" t="str">
        <f aca="false">PROPER(Q810)</f>
        <v>Cash</v>
      </c>
      <c r="S810" s="0" t="s">
        <v>63</v>
      </c>
      <c r="U810" s="5" t="n">
        <f aca="false">IF(ISBLANK(T810),AVERAGE(T810:T1809),T810)</f>
        <v>3.28025477707006</v>
      </c>
      <c r="V810" s="0" t="n">
        <v>3.2</v>
      </c>
      <c r="W810" s="0" t="s">
        <v>51</v>
      </c>
      <c r="X810" s="0" t="str">
        <f aca="false">IF(ISBLANK(W810),"No remarks",W810)</f>
        <v>Recommended further checks</v>
      </c>
      <c r="Y810" s="0" t="s">
        <v>93</v>
      </c>
      <c r="Z810" s="0" t="s">
        <v>74</v>
      </c>
      <c r="AA810" s="0" t="str">
        <f aca="false">PROPER(IF(ISBLANK(Z810),"Location Unavailable",Z810))</f>
        <v>Under Tree</v>
      </c>
      <c r="AB810" s="0" t="s">
        <v>54</v>
      </c>
      <c r="AC810" s="6" t="str">
        <f aca="false">PROPER(AB810)</f>
        <v>Mechanic Referral</v>
      </c>
      <c r="AD810" s="6" t="n">
        <v>60</v>
      </c>
      <c r="AE810" s="5" t="n">
        <f aca="false">IF(ISBLANK(AD810),AVERAGEIF(L810:L1809,L810,AD810:AD1809),AD810)</f>
        <v>60</v>
      </c>
      <c r="AF810" s="0" t="s">
        <v>112</v>
      </c>
      <c r="AG810" s="0" t="str">
        <f aca="false">PROPER(AF810)</f>
        <v>Unavailable</v>
      </c>
      <c r="AH810" s="0" t="s">
        <v>77</v>
      </c>
      <c r="AI810" s="0" t="s">
        <v>98</v>
      </c>
      <c r="AJ810" s="0" t="str">
        <f aca="false">PROPER(AI810)</f>
        <v>Emergency</v>
      </c>
      <c r="AK810" s="0" t="s">
        <v>196</v>
      </c>
      <c r="AL810" s="0" t="str">
        <f aca="false">PROPER(AK810)</f>
        <v>First Time</v>
      </c>
      <c r="AM810" s="0" t="s">
        <v>177</v>
      </c>
      <c r="AN810" s="0" t="str">
        <f aca="false">IF(ISBLANK(AM810),"Unknown",AM810)</f>
        <v>Private</v>
      </c>
      <c r="AP810" s="0" t="str">
        <f aca="false">IF(ISBLANK(AO810),"Unknown",AO810)</f>
        <v>Unknown</v>
      </c>
      <c r="AQ810" s="0" t="n">
        <v>25000</v>
      </c>
      <c r="AR810" s="5" t="n">
        <f aca="false">IF(ISBLANK(AQ810),AVERAGEIF(M810:M1809,M810,AQ810:AQ1809),AQ810)</f>
        <v>25000</v>
      </c>
      <c r="AS810" s="0" t="n">
        <v>30000</v>
      </c>
      <c r="AT810" s="5" t="n">
        <f aca="false">IF(ISBLANK(AS810),AVERAGE(AS810:AS1809),AS810)</f>
        <v>30000</v>
      </c>
      <c r="AU810" s="0" t="s">
        <v>61</v>
      </c>
      <c r="AV810" s="0" t="str">
        <f aca="false">PROPER(IF(ISBLANK(AU810),"No",AU810))</f>
        <v>No</v>
      </c>
      <c r="AX810" s="5" t="n">
        <f aca="false">IF(ISBLANK(AW810),0,AW810)</f>
        <v>0</v>
      </c>
      <c r="AY810" s="0" t="s">
        <v>184</v>
      </c>
      <c r="AZ810" s="0" t="str">
        <f aca="false">UPPER(IF(ISBLANK(AY810),"NONE",AY810))</f>
        <v>N/A</v>
      </c>
      <c r="BA810" s="7" t="n">
        <v>45909</v>
      </c>
      <c r="BB810" s="7" t="n">
        <f aca="false">IF(ISBLANK(BA810),"No Follow Up Needed",BA810)</f>
        <v>45909</v>
      </c>
      <c r="BC810" s="0" t="s">
        <v>82</v>
      </c>
      <c r="BD810" s="0" t="str">
        <f aca="false">PROPER(IF(ISBLANK(BC810),"Unknown",BC810))</f>
        <v>Yes</v>
      </c>
      <c r="BF810" s="0" t="str">
        <f aca="false">IF(ISBLANK(BE810),"No comments",BE810)</f>
        <v>No comments</v>
      </c>
      <c r="BG810" s="0" t="s">
        <v>172</v>
      </c>
      <c r="BH810" s="0" t="str">
        <f aca="false">IF(ISBLANK(BG810),"No comments",BG810)</f>
        <v>Always late</v>
      </c>
      <c r="BI810" s="0" t="s">
        <v>50</v>
      </c>
      <c r="BJ810" s="0" t="str">
        <f aca="false">IF(ISBLANK(BI810),"Not Mentioned",BI810)</f>
        <v>No</v>
      </c>
      <c r="BK810" s="0" t="s">
        <v>82</v>
      </c>
      <c r="BL810" s="0" t="str">
        <f aca="false">PROPER(IF(ISBLANK(BK810),"Not Mentioned",BK810))</f>
        <v>Yes</v>
      </c>
      <c r="BM810" s="0" t="s">
        <v>63</v>
      </c>
      <c r="BN810" s="0" t="str">
        <f aca="false">PROPER(IF(ISBLANK(BM810),"Not Mentioned",BM810))</f>
        <v>Yes</v>
      </c>
      <c r="BO810" s="0" t="s">
        <v>2321</v>
      </c>
      <c r="BP810" s="0" t="str">
        <f aca="false">IF(ISBLANK(BO810),"One-Time Plan",BO810)</f>
        <v>One-Time Plan</v>
      </c>
      <c r="BQ810" s="0" t="s">
        <v>50</v>
      </c>
      <c r="BR810" s="0" t="str">
        <f aca="false">PROPER(IF(ISBLANK(BQ810),"No",BQ810))</f>
        <v>No</v>
      </c>
    </row>
    <row r="811" customFormat="false" ht="15" hidden="false" customHeight="false" outlineLevel="0" collapsed="false">
      <c r="A811" s="0" t="s">
        <v>1915</v>
      </c>
      <c r="B811" s="2" t="s">
        <v>1250</v>
      </c>
      <c r="C811" s="2" t="str">
        <f aca="false">TEXT(B811,"dd/mm/yyyy")</f>
        <v>15/01/2025</v>
      </c>
      <c r="D811" s="0" t="s">
        <v>163</v>
      </c>
      <c r="E811" s="0" t="n">
        <v>8066766698</v>
      </c>
      <c r="F811" s="0" t="s">
        <v>43</v>
      </c>
      <c r="G811" s="0" t="s">
        <v>2315</v>
      </c>
      <c r="H811" s="0" t="s">
        <v>1916</v>
      </c>
      <c r="I811" s="0" t="s">
        <v>87</v>
      </c>
      <c r="J811" s="0" t="s">
        <v>2317</v>
      </c>
      <c r="K811" s="3" t="str">
        <f aca="false" t="array" ref="K811:K811">IFERROR(IF(J811&lt;&gt;"",J811,INDEX(J811:J1810,MATCH(1,(F811:F1810=F811)*(I811:I1810=I811)*(L811:L1810=L811)*(J811:J1810&lt;&gt;""),0))),"Not Found")</f>
        <v>Suspension Noise</v>
      </c>
      <c r="L811" s="3" t="s">
        <v>108</v>
      </c>
      <c r="M811" s="0" t="str">
        <f aca="false">PROPER(L811)</f>
        <v>Timing Belt</v>
      </c>
      <c r="N811" s="3" t="s">
        <v>48</v>
      </c>
      <c r="O811" s="0" t="str">
        <f aca="false" t="array" ref="O811:O811">IF(N811&lt;&gt;"",N811,_xlfn.xlookup(1,(L811:L1810=L811)*(N811:N1810&lt;&gt;""),N811:N1810,"Not Found"))</f>
        <v>Uche</v>
      </c>
      <c r="P811" s="4" t="n">
        <v>17198</v>
      </c>
      <c r="Q811" s="0" t="s">
        <v>166</v>
      </c>
      <c r="R811" s="0" t="str">
        <f aca="false">PROPER(Q811)</f>
        <v>Transfer</v>
      </c>
      <c r="S811" s="0" t="s">
        <v>50</v>
      </c>
      <c r="T811" s="0" t="n">
        <v>5</v>
      </c>
      <c r="U811" s="5" t="n">
        <f aca="false">IF(ISBLANK(T811),AVERAGE(T811:T1810),T811)</f>
        <v>5</v>
      </c>
      <c r="V811" s="0" t="n">
        <v>1.2</v>
      </c>
      <c r="W811" s="0" t="s">
        <v>51</v>
      </c>
      <c r="X811" s="0" t="str">
        <f aca="false">IF(ISBLANK(W811),"No remarks",W811)</f>
        <v>Recommended further checks</v>
      </c>
      <c r="Y811" s="0" t="s">
        <v>52</v>
      </c>
      <c r="Z811" s="0" t="s">
        <v>159</v>
      </c>
      <c r="AA811" s="0" t="str">
        <f aca="false">PROPER(IF(ISBLANK(Z811),"Location Unavailable",Z811))</f>
        <v>Main Bay</v>
      </c>
      <c r="AB811" s="0" t="s">
        <v>147</v>
      </c>
      <c r="AC811" s="6" t="str">
        <f aca="false">PROPER(AB811)</f>
        <v>Instagram</v>
      </c>
      <c r="AD811" s="6" t="n">
        <v>30</v>
      </c>
      <c r="AE811" s="5" t="n">
        <f aca="false">IF(ISBLANK(AD811),AVERAGEIF(L811:L1810,L811,AD811:AD1810),AD811)</f>
        <v>30</v>
      </c>
      <c r="AF811" s="0" t="s">
        <v>160</v>
      </c>
      <c r="AG811" s="0" t="str">
        <f aca="false">PROPER(AF811)</f>
        <v>Availaible</v>
      </c>
      <c r="AH811" s="0" t="s">
        <v>155</v>
      </c>
      <c r="AI811" s="0" t="s">
        <v>128</v>
      </c>
      <c r="AJ811" s="0" t="str">
        <f aca="false">PROPER(AI811)</f>
        <v>Normal</v>
      </c>
      <c r="AK811" s="0" t="s">
        <v>196</v>
      </c>
      <c r="AL811" s="0" t="str">
        <f aca="false">PROPER(AK811)</f>
        <v>First Time</v>
      </c>
      <c r="AM811" s="0" t="s">
        <v>2324</v>
      </c>
      <c r="AN811" s="0" t="str">
        <f aca="false">IF(ISBLANK(AM811),"Unknown",AM811)</f>
        <v>Logistics Convoy</v>
      </c>
      <c r="AP811" s="0" t="str">
        <f aca="false">IF(ISBLANK(AO811),"Unknown",AO811)</f>
        <v>Unknown</v>
      </c>
      <c r="AQ811" s="0" t="n">
        <v>40000</v>
      </c>
      <c r="AR811" s="5" t="n">
        <f aca="false">IF(ISBLANK(AQ811),AVERAGEIF(M811:M1810,M811,AQ811:AQ1810),AQ811)</f>
        <v>40000</v>
      </c>
      <c r="AT811" s="5" t="n">
        <f aca="false">IF(ISBLANK(AS811),AVERAGE(AS811:AS1810),AS811)</f>
        <v>31739.1304347826</v>
      </c>
      <c r="AU811" s="0" t="s">
        <v>82</v>
      </c>
      <c r="AV811" s="0" t="str">
        <f aca="false">PROPER(IF(ISBLANK(AU811),"No",AU811))</f>
        <v>Yes</v>
      </c>
      <c r="AW811" s="0" t="n">
        <v>5000</v>
      </c>
      <c r="AX811" s="5" t="n">
        <f aca="false">IF(ISBLANK(AW811),0,AW811)</f>
        <v>5000</v>
      </c>
      <c r="AY811" s="0" t="s">
        <v>184</v>
      </c>
      <c r="AZ811" s="0" t="str">
        <f aca="false">UPPER(IF(ISBLANK(AY811),"NONE",AY811))</f>
        <v>N/A</v>
      </c>
      <c r="BA811" s="7" t="n">
        <v>45900</v>
      </c>
      <c r="BB811" s="7" t="n">
        <f aca="false">IF(ISBLANK(BA811),"No Follow Up Needed",BA811)</f>
        <v>45900</v>
      </c>
      <c r="BD811" s="0" t="str">
        <f aca="false">PROPER(IF(ISBLANK(BC811),"Unknown",BC811))</f>
        <v>Unknown</v>
      </c>
      <c r="BE811" s="0" t="s">
        <v>116</v>
      </c>
      <c r="BF811" s="0" t="str">
        <f aca="false">IF(ISBLANK(BE811),"No comments",BE811)</f>
        <v>Needs tire alignment</v>
      </c>
      <c r="BH811" s="0" t="str">
        <f aca="false">IF(ISBLANK(BG811),"No comments",BG811)</f>
        <v>No comments</v>
      </c>
      <c r="BI811" s="0" t="s">
        <v>50</v>
      </c>
      <c r="BJ811" s="0" t="str">
        <f aca="false">IF(ISBLANK(BI811),"Not Mentioned",BI811)</f>
        <v>No</v>
      </c>
      <c r="BK811" s="0" t="s">
        <v>63</v>
      </c>
      <c r="BL811" s="0" t="str">
        <f aca="false">PROPER(IF(ISBLANK(BK811),"Not Mentioned",BK811))</f>
        <v>Yes</v>
      </c>
      <c r="BN811" s="0" t="str">
        <f aca="false">PROPER(IF(ISBLANK(BM811),"Not Mentioned",BM811))</f>
        <v>Not Mentioned</v>
      </c>
      <c r="BP811" s="0" t="str">
        <f aca="false">IF(ISBLANK(BO811),"One-Time Plan",BO811)</f>
        <v>One-Time Plan</v>
      </c>
      <c r="BQ811" s="0" t="s">
        <v>50</v>
      </c>
      <c r="BR811" s="0" t="str">
        <f aca="false">PROPER(IF(ISBLANK(BQ811),"No",BQ811))</f>
        <v>No</v>
      </c>
    </row>
    <row r="812" customFormat="false" ht="15" hidden="false" customHeight="false" outlineLevel="0" collapsed="false">
      <c r="A812" s="0" t="s">
        <v>1917</v>
      </c>
      <c r="B812" s="2" t="n">
        <v>45776</v>
      </c>
      <c r="C812" s="2" t="str">
        <f aca="false">TEXT(B812,"dd/mm/yyyy")</f>
        <v>29/04/2025</v>
      </c>
      <c r="D812" s="0" t="s">
        <v>121</v>
      </c>
      <c r="E812" s="0" t="n">
        <v>8032256467</v>
      </c>
      <c r="F812" s="0" t="s">
        <v>122</v>
      </c>
      <c r="G812" s="0" t="s">
        <v>2316</v>
      </c>
      <c r="H812" s="0" t="s">
        <v>472</v>
      </c>
      <c r="I812" s="0" t="s">
        <v>45</v>
      </c>
      <c r="J812" s="0" t="s">
        <v>2317</v>
      </c>
      <c r="K812" s="3" t="str">
        <f aca="false" t="array" ref="K812:K812">IFERROR(IF(J812&lt;&gt;"",J812,INDEX(J812:J1811,MATCH(1,(F812:F1811=F812)*(I812:I1811=I812)*(L812:L1811=L812)*(J812:J1811&lt;&gt;""),0))),"Not Found")</f>
        <v>Suspension Noise</v>
      </c>
      <c r="L812" s="3" t="s">
        <v>89</v>
      </c>
      <c r="M812" s="0" t="str">
        <f aca="false">PROPER(L812)</f>
        <v>Shock Absorbers</v>
      </c>
      <c r="N812" s="3" t="s">
        <v>109</v>
      </c>
      <c r="O812" s="0" t="str">
        <f aca="false" t="array" ref="O812:O812">IF(N812&lt;&gt;"",N812,_xlfn.xlookup(1,(L812:L1811=L812)*(N812:N1811&lt;&gt;""),N812:N1811,"Not Found"))</f>
        <v>Tijani</v>
      </c>
      <c r="P812" s="4" t="n">
        <v>30756</v>
      </c>
      <c r="Q812" s="0" t="s">
        <v>91</v>
      </c>
      <c r="R812" s="0" t="str">
        <f aca="false">PROPER(Q812)</f>
        <v>Pos</v>
      </c>
      <c r="S812" s="0" t="s">
        <v>50</v>
      </c>
      <c r="T812" s="0" t="n">
        <v>5</v>
      </c>
      <c r="U812" s="5" t="n">
        <f aca="false">IF(ISBLANK(T812),AVERAGE(T812:T1811),T812)</f>
        <v>5</v>
      </c>
      <c r="V812" s="0" t="n">
        <v>3</v>
      </c>
      <c r="W812" s="0" t="s">
        <v>125</v>
      </c>
      <c r="X812" s="0" t="str">
        <f aca="false">IF(ISBLANK(W812),"No remarks",W812)</f>
        <v>Customer waited</v>
      </c>
      <c r="Y812" s="0" t="s">
        <v>93</v>
      </c>
      <c r="Z812" s="0" t="s">
        <v>159</v>
      </c>
      <c r="AA812" s="0" t="str">
        <f aca="false">PROPER(IF(ISBLANK(Z812),"Location Unavailable",Z812))</f>
        <v>Main Bay</v>
      </c>
      <c r="AB812" s="0" t="s">
        <v>167</v>
      </c>
      <c r="AC812" s="6" t="str">
        <f aca="false">PROPER(AB812)</f>
        <v>Word Of Mouth</v>
      </c>
      <c r="AD812" s="6" t="n">
        <v>15</v>
      </c>
      <c r="AE812" s="5" t="n">
        <f aca="false">IF(ISBLANK(AD812),AVERAGEIF(L812:L1811,L812,AD812:AD1811),AD812)</f>
        <v>15</v>
      </c>
      <c r="AF812" s="0" t="s">
        <v>76</v>
      </c>
      <c r="AG812" s="0" t="str">
        <f aca="false">PROPER(AF812)</f>
        <v>Orderd</v>
      </c>
      <c r="AH812" s="0" t="s">
        <v>56</v>
      </c>
      <c r="AI812" s="0" t="s">
        <v>98</v>
      </c>
      <c r="AJ812" s="0" t="str">
        <f aca="false">PROPER(AI812)</f>
        <v>Emergency</v>
      </c>
      <c r="AK812" s="0" t="s">
        <v>196</v>
      </c>
      <c r="AL812" s="0" t="str">
        <f aca="false">PROPER(AK812)</f>
        <v>First Time</v>
      </c>
      <c r="AM812" s="0" t="s">
        <v>59</v>
      </c>
      <c r="AN812" s="0" t="str">
        <f aca="false">IF(ISBLANK(AM812),"Unknown",AM812)</f>
        <v>Bolt Driver</v>
      </c>
      <c r="AO812" s="0" t="s">
        <v>143</v>
      </c>
      <c r="AP812" s="0" t="str">
        <f aca="false">IF(ISBLANK(AO812),"Unknown",AO812)</f>
        <v>Senior</v>
      </c>
      <c r="AQ812" s="0" t="n">
        <v>25000</v>
      </c>
      <c r="AR812" s="5" t="n">
        <f aca="false">IF(ISBLANK(AQ812),AVERAGEIF(M812:M1811,M812,AQ812:AQ1811),AQ812)</f>
        <v>25000</v>
      </c>
      <c r="AS812" s="0" t="n">
        <v>30000</v>
      </c>
      <c r="AT812" s="5" t="n">
        <f aca="false">IF(ISBLANK(AS812),AVERAGE(AS812:AS1811),AS812)</f>
        <v>30000</v>
      </c>
      <c r="AV812" s="0" t="str">
        <f aca="false">PROPER(IF(ISBLANK(AU812),"No",AU812))</f>
        <v>No</v>
      </c>
      <c r="AW812" s="0" t="n">
        <v>0</v>
      </c>
      <c r="AX812" s="5" t="n">
        <f aca="false">IF(ISBLANK(AW812),0,AW812)</f>
        <v>0</v>
      </c>
      <c r="AZ812" s="0" t="str">
        <f aca="false">UPPER(IF(ISBLANK(AY812),"NONE",AY812))</f>
        <v>NONE</v>
      </c>
      <c r="BA812" s="7" t="s">
        <v>690</v>
      </c>
      <c r="BB812" s="7" t="str">
        <f aca="false">IF(ISBLANK(BA812),"No Follow Up Needed",BA812)</f>
        <v>20/11/2025</v>
      </c>
      <c r="BC812" s="0" t="s">
        <v>50</v>
      </c>
      <c r="BD812" s="0" t="str">
        <f aca="false">PROPER(IF(ISBLANK(BC812),"Unknown",BC812))</f>
        <v>No</v>
      </c>
      <c r="BF812" s="0" t="str">
        <f aca="false">IF(ISBLANK(BE812),"No comments",BE812)</f>
        <v>No comments</v>
      </c>
      <c r="BH812" s="0" t="str">
        <f aca="false">IF(ISBLANK(BG812),"No comments",BG812)</f>
        <v>No comments</v>
      </c>
      <c r="BI812" s="0" t="s">
        <v>63</v>
      </c>
      <c r="BJ812" s="0" t="str">
        <f aca="false">IF(ISBLANK(BI812),"Not Mentioned",BI812)</f>
        <v>Yes</v>
      </c>
      <c r="BK812" s="0" t="s">
        <v>82</v>
      </c>
      <c r="BL812" s="0" t="str">
        <f aca="false">PROPER(IF(ISBLANK(BK812),"Not Mentioned",BK812))</f>
        <v>Yes</v>
      </c>
      <c r="BM812" s="0" t="s">
        <v>63</v>
      </c>
      <c r="BN812" s="0" t="str">
        <f aca="false">PROPER(IF(ISBLANK(BM812),"Not Mentioned",BM812))</f>
        <v>Yes</v>
      </c>
      <c r="BP812" s="0" t="str">
        <f aca="false">IF(ISBLANK(BO812),"One-Time Plan",BO812)</f>
        <v>One-Time Plan</v>
      </c>
      <c r="BR812" s="0" t="str">
        <f aca="false">PROPER(IF(ISBLANK(BQ812),"No",BQ812))</f>
        <v>No</v>
      </c>
    </row>
    <row r="813" customFormat="false" ht="15" hidden="false" customHeight="false" outlineLevel="0" collapsed="false">
      <c r="A813" s="0" t="s">
        <v>1918</v>
      </c>
      <c r="B813" s="2" t="n">
        <v>45964</v>
      </c>
      <c r="C813" s="2" t="str">
        <f aca="false">TEXT(B813,"dd/mm/yyyy")</f>
        <v>03/11/2025</v>
      </c>
      <c r="D813" s="0" t="s">
        <v>42</v>
      </c>
      <c r="E813" s="0" t="n">
        <v>8067293719</v>
      </c>
      <c r="F813" s="0" t="s">
        <v>67</v>
      </c>
      <c r="G813" s="0" t="s">
        <v>2316</v>
      </c>
      <c r="H813" s="0" t="s">
        <v>1088</v>
      </c>
      <c r="I813" s="0" t="s">
        <v>107</v>
      </c>
      <c r="J813" s="0" t="s">
        <v>2322</v>
      </c>
      <c r="K813" s="3" t="str">
        <f aca="false" t="array" ref="K813:K813">IFERROR(IF(J813&lt;&gt;"",J813,INDEX(J813:J1812,MATCH(1,(F813:F1812=F813)*(I813:I1812=I813)*(L813:L1812=L813)*(J813:J1812&lt;&gt;""),0))),"Not Found")</f>
        <v>Brake Failure</v>
      </c>
      <c r="L813" s="3" t="s">
        <v>47</v>
      </c>
      <c r="M813" s="0" t="str">
        <f aca="false">PROPER(L813)</f>
        <v>None</v>
      </c>
      <c r="N813" s="3" t="s">
        <v>90</v>
      </c>
      <c r="O813" s="0" t="str">
        <f aca="false" t="array" ref="O813:O813">IF(N813&lt;&gt;"",N813,_xlfn.xlookup(1,(L813:L1812=L813)*(N813:N1812&lt;&gt;""),N813:N1812,"Not Found"))</f>
        <v>Musa</v>
      </c>
      <c r="P813" s="4" t="n">
        <v>96606</v>
      </c>
      <c r="Q813" s="0" t="s">
        <v>124</v>
      </c>
      <c r="R813" s="0" t="str">
        <f aca="false">PROPER(Q813)</f>
        <v>Cash</v>
      </c>
      <c r="S813" s="0" t="s">
        <v>50</v>
      </c>
      <c r="T813" s="0" t="n">
        <v>1</v>
      </c>
      <c r="U813" s="5" t="n">
        <f aca="false">IF(ISBLANK(T813),AVERAGE(T813:T1812),T813)</f>
        <v>1</v>
      </c>
      <c r="V813" s="0" t="n">
        <v>4.7</v>
      </c>
      <c r="W813" s="0" t="s">
        <v>111</v>
      </c>
      <c r="X813" s="0" t="str">
        <f aca="false">IF(ISBLANK(W813),"No remarks",W813)</f>
        <v>Changed all filters</v>
      </c>
      <c r="Y813" s="0" t="s">
        <v>93</v>
      </c>
      <c r="Z813" s="0" t="s">
        <v>136</v>
      </c>
      <c r="AA813" s="0" t="str">
        <f aca="false">PROPER(IF(ISBLANK(Z813),"Location Unavailable",Z813))</f>
        <v>Vip Section</v>
      </c>
      <c r="AB813" s="0" t="s">
        <v>147</v>
      </c>
      <c r="AC813" s="6" t="str">
        <f aca="false">PROPER(AB813)</f>
        <v>Instagram</v>
      </c>
      <c r="AE813" s="5" t="n">
        <f aca="false">IF(ISBLANK(AD813),AVERAGEIF(L813:L1812,L813,AD813:AD1812),AD813)</f>
        <v>36.6666666666667</v>
      </c>
      <c r="AF813" s="0" t="s">
        <v>160</v>
      </c>
      <c r="AG813" s="0" t="str">
        <f aca="false">PROPER(AF813)</f>
        <v>Availaible</v>
      </c>
      <c r="AH813" s="0" t="s">
        <v>56</v>
      </c>
      <c r="AI813" s="0" t="s">
        <v>113</v>
      </c>
      <c r="AJ813" s="0" t="str">
        <f aca="false">PROPER(AI813)</f>
        <v>Normal</v>
      </c>
      <c r="AK813" s="0" t="s">
        <v>196</v>
      </c>
      <c r="AL813" s="0" t="str">
        <f aca="false">PROPER(AK813)</f>
        <v>First Time</v>
      </c>
      <c r="AM813" s="0" t="s">
        <v>2324</v>
      </c>
      <c r="AN813" s="0" t="str">
        <f aca="false">IF(ISBLANK(AM813),"Unknown",AM813)</f>
        <v>Logistics Convoy</v>
      </c>
      <c r="AO813" s="0" t="s">
        <v>161</v>
      </c>
      <c r="AP813" s="0" t="str">
        <f aca="false">IF(ISBLANK(AO813),"Unknown",AO813)</f>
        <v>Apprentice</v>
      </c>
      <c r="AQ813" s="0" t="n">
        <v>40000</v>
      </c>
      <c r="AR813" s="5" t="n">
        <f aca="false">IF(ISBLANK(AQ813),AVERAGEIF(M813:M1812,M813,AQ813:AQ1812),AQ813)</f>
        <v>40000</v>
      </c>
      <c r="AS813" s="0" t="n">
        <v>20000</v>
      </c>
      <c r="AT813" s="5" t="n">
        <f aca="false">IF(ISBLANK(AS813),AVERAGE(AS813:AS1812),AS813)</f>
        <v>20000</v>
      </c>
      <c r="AU813" s="0" t="s">
        <v>50</v>
      </c>
      <c r="AV813" s="0" t="str">
        <f aca="false">PROPER(IF(ISBLANK(AU813),"No",AU813))</f>
        <v>No</v>
      </c>
      <c r="AX813" s="5" t="n">
        <f aca="false">IF(ISBLANK(AW813),0,AW813)</f>
        <v>0</v>
      </c>
      <c r="AZ813" s="0" t="str">
        <f aca="false">UPPER(IF(ISBLANK(AY813),"NONE",AY813))</f>
        <v>NONE</v>
      </c>
      <c r="BA813" s="7" t="s">
        <v>1919</v>
      </c>
      <c r="BB813" s="7" t="str">
        <f aca="false">IF(ISBLANK(BA813),"No Follow Up Needed",BA813)</f>
        <v>17/08/2025</v>
      </c>
      <c r="BC813" s="0" t="s">
        <v>82</v>
      </c>
      <c r="BD813" s="0" t="str">
        <f aca="false">PROPER(IF(ISBLANK(BC813),"Unknown",BC813))</f>
        <v>Yes</v>
      </c>
      <c r="BE813" s="0" t="s">
        <v>116</v>
      </c>
      <c r="BF813" s="0" t="str">
        <f aca="false">IF(ISBLANK(BE813),"No comments",BE813)</f>
        <v>Needs tire alignment</v>
      </c>
      <c r="BG813" s="0" t="s">
        <v>117</v>
      </c>
      <c r="BH813" s="0" t="str">
        <f aca="false">IF(ISBLANK(BG813),"No comments",BG813)</f>
        <v>Prefers morning</v>
      </c>
      <c r="BI813" s="0" t="s">
        <v>50</v>
      </c>
      <c r="BJ813" s="0" t="str">
        <f aca="false">IF(ISBLANK(BI813),"Not Mentioned",BI813)</f>
        <v>No</v>
      </c>
      <c r="BK813" s="0" t="s">
        <v>50</v>
      </c>
      <c r="BL813" s="0" t="str">
        <f aca="false">PROPER(IF(ISBLANK(BK813),"Not Mentioned",BK813))</f>
        <v>No</v>
      </c>
      <c r="BN813" s="0" t="str">
        <f aca="false">PROPER(IF(ISBLANK(BM813),"Not Mentioned",BM813))</f>
        <v>Not Mentioned</v>
      </c>
      <c r="BO813" s="0" t="s">
        <v>64</v>
      </c>
      <c r="BP813" s="0" t="str">
        <f aca="false">IF(ISBLANK(BO813),"One-Time Plan",BO813)</f>
        <v>Gold Maintenance Plan</v>
      </c>
      <c r="BR813" s="0" t="str">
        <f aca="false">PROPER(IF(ISBLANK(BQ813),"No",BQ813))</f>
        <v>No</v>
      </c>
    </row>
    <row r="814" customFormat="false" ht="15" hidden="false" customHeight="false" outlineLevel="0" collapsed="false">
      <c r="A814" s="0" t="s">
        <v>1920</v>
      </c>
      <c r="B814" s="2" t="n">
        <v>45692</v>
      </c>
      <c r="C814" s="2" t="str">
        <f aca="false">TEXT(B814,"dd/mm/yyyy")</f>
        <v>04/02/2025</v>
      </c>
      <c r="D814" s="0" t="s">
        <v>42</v>
      </c>
      <c r="E814" s="0" t="n">
        <v>8043939802</v>
      </c>
      <c r="F814" s="0" t="s">
        <v>67</v>
      </c>
      <c r="G814" s="0" t="s">
        <v>2316</v>
      </c>
      <c r="H814" s="0" t="s">
        <v>1921</v>
      </c>
      <c r="I814" s="0" t="s">
        <v>87</v>
      </c>
      <c r="J814" s="0" t="s">
        <v>2322</v>
      </c>
      <c r="K814" s="3" t="str">
        <f aca="false" t="array" ref="K814:K814">IFERROR(IF(J814&lt;&gt;"",J814,INDEX(J814:J1813,MATCH(1,(F814:F1813=F814)*(I814:I1813=I814)*(L814:L1813=L814)*(J814:J1813&lt;&gt;""),0))),"Not Found")</f>
        <v>Brake Failure</v>
      </c>
      <c r="L814" s="3" t="s">
        <v>89</v>
      </c>
      <c r="M814" s="0" t="str">
        <f aca="false">PROPER(L814)</f>
        <v>Shock Absorbers</v>
      </c>
      <c r="N814" s="3" t="s">
        <v>48</v>
      </c>
      <c r="O814" s="0" t="str">
        <f aca="false" t="array" ref="O814:O814">IF(N814&lt;&gt;"",N814,_xlfn.xlookup(1,(L814:L1813=L814)*(N814:N1813&lt;&gt;""),N814:N1813,"Not Found"))</f>
        <v>Uche</v>
      </c>
      <c r="P814" s="4" t="n">
        <v>97209</v>
      </c>
      <c r="Q814" s="0" t="s">
        <v>166</v>
      </c>
      <c r="R814" s="0" t="str">
        <f aca="false">PROPER(Q814)</f>
        <v>Transfer</v>
      </c>
      <c r="S814" s="0" t="s">
        <v>50</v>
      </c>
      <c r="T814" s="0" t="n">
        <v>1</v>
      </c>
      <c r="U814" s="5" t="n">
        <f aca="false">IF(ISBLANK(T814),AVERAGE(T814:T1813),T814)</f>
        <v>1</v>
      </c>
      <c r="V814" s="0" t="n">
        <v>4.8</v>
      </c>
      <c r="W814" s="0" t="s">
        <v>111</v>
      </c>
      <c r="X814" s="0" t="str">
        <f aca="false">IF(ISBLANK(W814),"No remarks",W814)</f>
        <v>Changed all filters</v>
      </c>
      <c r="Y814" s="0" t="s">
        <v>73</v>
      </c>
      <c r="AA814" s="0" t="str">
        <f aca="false">PROPER(IF(ISBLANK(Z814),"Location Unavailable",Z814))</f>
        <v>Location Unavailable</v>
      </c>
      <c r="AB814" s="0" t="s">
        <v>95</v>
      </c>
      <c r="AC814" s="6" t="str">
        <f aca="false">PROPER(AB814)</f>
        <v>Road Sign</v>
      </c>
      <c r="AD814" s="6" t="n">
        <v>45</v>
      </c>
      <c r="AE814" s="5" t="n">
        <f aca="false">IF(ISBLANK(AD814),AVERAGEIF(L814:L1813,L814,AD814:AD1813),AD814)</f>
        <v>45</v>
      </c>
      <c r="AF814" s="0" t="s">
        <v>96</v>
      </c>
      <c r="AG814" s="0" t="str">
        <f aca="false">PROPER(AF814)</f>
        <v>Ordered</v>
      </c>
      <c r="AH814" s="0" t="s">
        <v>77</v>
      </c>
      <c r="AI814" s="0" t="s">
        <v>98</v>
      </c>
      <c r="AJ814" s="0" t="str">
        <f aca="false">PROPER(AI814)</f>
        <v>Emergency</v>
      </c>
      <c r="AK814" s="0" t="s">
        <v>58</v>
      </c>
      <c r="AL814" s="0" t="str">
        <f aca="false">PROPER(AK814)</f>
        <v>Fleet Owner</v>
      </c>
      <c r="AM814" s="0" t="s">
        <v>177</v>
      </c>
      <c r="AN814" s="0" t="str">
        <f aca="false">IF(ISBLANK(AM814),"Unknown",AM814)</f>
        <v>Private</v>
      </c>
      <c r="AO814" s="0" t="s">
        <v>143</v>
      </c>
      <c r="AP814" s="0" t="str">
        <f aca="false">IF(ISBLANK(AO814),"Unknown",AO814)</f>
        <v>Senior</v>
      </c>
      <c r="AQ814" s="0" t="n">
        <v>25000</v>
      </c>
      <c r="AR814" s="5" t="n">
        <f aca="false">IF(ISBLANK(AQ814),AVERAGEIF(M814:M1813,M814,AQ814:AQ1813),AQ814)</f>
        <v>25000</v>
      </c>
      <c r="AS814" s="0" t="n">
        <v>35000</v>
      </c>
      <c r="AT814" s="5" t="n">
        <f aca="false">IF(ISBLANK(AS814),AVERAGE(AS814:AS1813),AS814)</f>
        <v>35000</v>
      </c>
      <c r="AU814" s="0" t="s">
        <v>82</v>
      </c>
      <c r="AV814" s="0" t="str">
        <f aca="false">PROPER(IF(ISBLANK(AU814),"No",AU814))</f>
        <v>Yes</v>
      </c>
      <c r="AW814" s="0" t="n">
        <v>5000</v>
      </c>
      <c r="AX814" s="5" t="n">
        <f aca="false">IF(ISBLANK(AW814),0,AW814)</f>
        <v>5000</v>
      </c>
      <c r="AY814" s="0" t="s">
        <v>60</v>
      </c>
      <c r="AZ814" s="0" t="str">
        <f aca="false">UPPER(IF(ISBLANK(AY814),"NONE",AY814))</f>
        <v>NONE</v>
      </c>
      <c r="BA814" s="7" t="s">
        <v>805</v>
      </c>
      <c r="BB814" s="7" t="str">
        <f aca="false">IF(ISBLANK(BA814),"No Follow Up Needed",BA814)</f>
        <v>21/11/2025</v>
      </c>
      <c r="BC814" s="0" t="s">
        <v>82</v>
      </c>
      <c r="BD814" s="0" t="str">
        <f aca="false">PROPER(IF(ISBLANK(BC814),"Unknown",BC814))</f>
        <v>Yes</v>
      </c>
      <c r="BE814" s="0" t="s">
        <v>171</v>
      </c>
      <c r="BF814" s="0" t="str">
        <f aca="false">IF(ISBLANK(BE814),"No comments",BE814)</f>
        <v>Shock absorber weakening</v>
      </c>
      <c r="BG814" s="0" t="s">
        <v>172</v>
      </c>
      <c r="BH814" s="0" t="str">
        <f aca="false">IF(ISBLANK(BG814),"No comments",BG814)</f>
        <v>Always late</v>
      </c>
      <c r="BI814" s="0" t="s">
        <v>50</v>
      </c>
      <c r="BJ814" s="0" t="str">
        <f aca="false">IF(ISBLANK(BI814),"Not Mentioned",BI814)</f>
        <v>No</v>
      </c>
      <c r="BK814" s="0" t="s">
        <v>61</v>
      </c>
      <c r="BL814" s="0" t="str">
        <f aca="false">PROPER(IF(ISBLANK(BK814),"Not Mentioned",BK814))</f>
        <v>No</v>
      </c>
      <c r="BM814" s="0" t="s">
        <v>63</v>
      </c>
      <c r="BN814" s="0" t="str">
        <f aca="false">PROPER(IF(ISBLANK(BM814),"Not Mentioned",BM814))</f>
        <v>Yes</v>
      </c>
      <c r="BO814" s="0" t="s">
        <v>2318</v>
      </c>
      <c r="BP814" s="0" t="str">
        <f aca="false">IF(ISBLANK(BO814),"One-Time Plan",BO814)</f>
        <v>Gold</v>
      </c>
      <c r="BQ814" s="0" t="s">
        <v>50</v>
      </c>
      <c r="BR814" s="0" t="str">
        <f aca="false">PROPER(IF(ISBLANK(BQ814),"No",BQ814))</f>
        <v>No</v>
      </c>
    </row>
    <row r="815" customFormat="false" ht="15" hidden="false" customHeight="false" outlineLevel="0" collapsed="false">
      <c r="A815" s="0" t="s">
        <v>1922</v>
      </c>
      <c r="B815" s="2" t="n">
        <v>45732</v>
      </c>
      <c r="C815" s="2" t="str">
        <f aca="false">TEXT(B815,"dd/mm/yyyy")</f>
        <v>16/03/2025</v>
      </c>
      <c r="D815" s="0" t="s">
        <v>105</v>
      </c>
      <c r="E815" s="0" t="n">
        <v>8050563223</v>
      </c>
      <c r="F815" s="0" t="s">
        <v>139</v>
      </c>
      <c r="G815" s="0" t="s">
        <v>2323</v>
      </c>
      <c r="H815" s="0" t="s">
        <v>1923</v>
      </c>
      <c r="I815" s="0" t="s">
        <v>45</v>
      </c>
      <c r="K815" s="3" t="str">
        <f aca="false" t="array" ref="K815:K815">IFERROR(IF(J815&lt;&gt;"",J815,INDEX(J815:J1814,MATCH(1,(F815:F1814=F815)*(I815:I1814=I815)*(L815:L1814=L815)*(J815:J1814&lt;&gt;""),0))),"Not Found")</f>
        <v>Oil Change</v>
      </c>
      <c r="L815" s="3" t="s">
        <v>154</v>
      </c>
      <c r="M815" s="0" t="str">
        <f aca="false">PROPER(L815)</f>
        <v>Air Filter</v>
      </c>
      <c r="N815" s="3" t="s">
        <v>71</v>
      </c>
      <c r="O815" s="0" t="str">
        <f aca="false" t="array" ref="O815:O815">IF(N815&lt;&gt;"",N815,_xlfn.xlookup(1,(L815:L1814=L815)*(N815:N1814&lt;&gt;""),N815:N1814,"Not Found"))</f>
        <v>Isaac Bobo</v>
      </c>
      <c r="P815" s="4" t="n">
        <v>96411</v>
      </c>
      <c r="Q815" s="0" t="s">
        <v>72</v>
      </c>
      <c r="R815" s="0" t="str">
        <f aca="false">PROPER(Q815)</f>
        <v>Pos</v>
      </c>
      <c r="S815" s="0" t="s">
        <v>63</v>
      </c>
      <c r="T815" s="0" t="n">
        <v>4</v>
      </c>
      <c r="U815" s="5" t="n">
        <f aca="false">IF(ISBLANK(T815),AVERAGE(T815:T1814),T815)</f>
        <v>4</v>
      </c>
      <c r="V815" s="0" t="n">
        <v>5.7</v>
      </c>
      <c r="W815" s="0" t="s">
        <v>51</v>
      </c>
      <c r="X815" s="0" t="str">
        <f aca="false">IF(ISBLANK(W815),"No remarks",W815)</f>
        <v>Recommended further checks</v>
      </c>
      <c r="Y815" s="0" t="s">
        <v>73</v>
      </c>
      <c r="Z815" s="0" t="s">
        <v>159</v>
      </c>
      <c r="AA815" s="0" t="str">
        <f aca="false">PROPER(IF(ISBLANK(Z815),"Location Unavailable",Z815))</f>
        <v>Main Bay</v>
      </c>
      <c r="AB815" s="0" t="s">
        <v>147</v>
      </c>
      <c r="AC815" s="6" t="str">
        <f aca="false">PROPER(AB815)</f>
        <v>Instagram</v>
      </c>
      <c r="AD815" s="6" t="n">
        <v>15</v>
      </c>
      <c r="AE815" s="5" t="n">
        <f aca="false">IF(ISBLANK(AD815),AVERAGEIF(L815:L1814,L815,AD815:AD1814),AD815)</f>
        <v>15</v>
      </c>
      <c r="AF815" s="0" t="s">
        <v>96</v>
      </c>
      <c r="AG815" s="0" t="str">
        <f aca="false">PROPER(AF815)</f>
        <v>Ordered</v>
      </c>
      <c r="AH815" s="0" t="s">
        <v>155</v>
      </c>
      <c r="AI815" s="0" t="s">
        <v>128</v>
      </c>
      <c r="AJ815" s="0" t="str">
        <f aca="false">PROPER(AI815)</f>
        <v>Normal</v>
      </c>
      <c r="AK815" s="0" t="s">
        <v>196</v>
      </c>
      <c r="AL815" s="0" t="str">
        <f aca="false">PROPER(AK815)</f>
        <v>First Time</v>
      </c>
      <c r="AM815" s="0" t="s">
        <v>177</v>
      </c>
      <c r="AN815" s="0" t="str">
        <f aca="false">IF(ISBLANK(AM815),"Unknown",AM815)</f>
        <v>Private</v>
      </c>
      <c r="AO815" s="0" t="s">
        <v>143</v>
      </c>
      <c r="AP815" s="0" t="str">
        <f aca="false">IF(ISBLANK(AO815),"Unknown",AO815)</f>
        <v>Senior</v>
      </c>
      <c r="AQ815" s="0" t="n">
        <v>20000</v>
      </c>
      <c r="AR815" s="5" t="n">
        <f aca="false">IF(ISBLANK(AQ815),AVERAGEIF(M815:M1814,M815,AQ815:AQ1814),AQ815)</f>
        <v>20000</v>
      </c>
      <c r="AS815" s="0" t="n">
        <v>30000</v>
      </c>
      <c r="AT815" s="5" t="n">
        <f aca="false">IF(ISBLANK(AS815),AVERAGE(AS815:AS1814),AS815)</f>
        <v>30000</v>
      </c>
      <c r="AV815" s="0" t="str">
        <f aca="false">PROPER(IF(ISBLANK(AU815),"No",AU815))</f>
        <v>No</v>
      </c>
      <c r="AX815" s="5" t="n">
        <f aca="false">IF(ISBLANK(AW815),0,AW815)</f>
        <v>0</v>
      </c>
      <c r="AY815" s="0" t="s">
        <v>184</v>
      </c>
      <c r="AZ815" s="0" t="str">
        <f aca="false">UPPER(IF(ISBLANK(AY815),"NONE",AY815))</f>
        <v>N/A</v>
      </c>
      <c r="BA815" s="7" t="n">
        <v>45996</v>
      </c>
      <c r="BB815" s="7" t="n">
        <f aca="false">IF(ISBLANK(BA815),"No Follow Up Needed",BA815)</f>
        <v>45996</v>
      </c>
      <c r="BC815" s="0" t="s">
        <v>63</v>
      </c>
      <c r="BD815" s="0" t="str">
        <f aca="false">PROPER(IF(ISBLANK(BC815),"Unknown",BC815))</f>
        <v>Yes</v>
      </c>
      <c r="BE815" s="0" t="s">
        <v>116</v>
      </c>
      <c r="BF815" s="0" t="str">
        <f aca="false">IF(ISBLANK(BE815),"No comments",BE815)</f>
        <v>Needs tire alignment</v>
      </c>
      <c r="BH815" s="0" t="str">
        <f aca="false">IF(ISBLANK(BG815),"No comments",BG815)</f>
        <v>No comments</v>
      </c>
      <c r="BI815" s="0" t="s">
        <v>50</v>
      </c>
      <c r="BJ815" s="0" t="str">
        <f aca="false">IF(ISBLANK(BI815),"Not Mentioned",BI815)</f>
        <v>No</v>
      </c>
      <c r="BK815" s="0" t="s">
        <v>82</v>
      </c>
      <c r="BL815" s="0" t="str">
        <f aca="false">PROPER(IF(ISBLANK(BK815),"Not Mentioned",BK815))</f>
        <v>Yes</v>
      </c>
      <c r="BM815" s="0" t="s">
        <v>50</v>
      </c>
      <c r="BN815" s="0" t="str">
        <f aca="false">PROPER(IF(ISBLANK(BM815),"Not Mentioned",BM815))</f>
        <v>No</v>
      </c>
      <c r="BO815" s="0" t="s">
        <v>64</v>
      </c>
      <c r="BP815" s="0" t="str">
        <f aca="false">IF(ISBLANK(BO815),"One-Time Plan",BO815)</f>
        <v>Gold Maintenance Plan</v>
      </c>
      <c r="BR815" s="0" t="str">
        <f aca="false">PROPER(IF(ISBLANK(BQ815),"No",BQ815))</f>
        <v>No</v>
      </c>
    </row>
    <row r="816" customFormat="false" ht="15" hidden="false" customHeight="false" outlineLevel="0" collapsed="false">
      <c r="A816" s="0" t="s">
        <v>1924</v>
      </c>
      <c r="B816" s="2" t="n">
        <v>45789</v>
      </c>
      <c r="C816" s="2" t="str">
        <f aca="false">TEXT(B816,"dd/mm/yyyy")</f>
        <v>12/05/2025</v>
      </c>
      <c r="D816" s="0" t="s">
        <v>121</v>
      </c>
      <c r="E816" s="0" t="n">
        <v>8077195678</v>
      </c>
      <c r="F816" s="0" t="s">
        <v>85</v>
      </c>
      <c r="G816" s="0" t="s">
        <v>2319</v>
      </c>
      <c r="H816" s="0" t="s">
        <v>1925</v>
      </c>
      <c r="I816" s="0" t="s">
        <v>107</v>
      </c>
      <c r="J816" s="0" t="s">
        <v>2325</v>
      </c>
      <c r="K816" s="3" t="str">
        <f aca="false" t="array" ref="K816:K816">IFERROR(IF(J816&lt;&gt;"",J816,INDEX(J816:J1815,MATCH(1,(F816:F1815=F816)*(I816:I1815=I816)*(L816:L1815=L816)*(J816:J1815&lt;&gt;""),0))),"Not Found")</f>
        <v>Engine Knocking</v>
      </c>
      <c r="L816" s="3" t="s">
        <v>189</v>
      </c>
      <c r="M816" s="0" t="str">
        <f aca="false">PROPER(L816)</f>
        <v>Battery</v>
      </c>
      <c r="N816" s="3" t="s">
        <v>48</v>
      </c>
      <c r="O816" s="0" t="str">
        <f aca="false" t="array" ref="O816:O816">IF(N816&lt;&gt;"",N816,_xlfn.xlookup(1,(L816:L1815=L816)*(N816:N1815&lt;&gt;""),N816:N1815,"Not Found"))</f>
        <v>Uche</v>
      </c>
      <c r="P816" s="4" t="n">
        <v>13595</v>
      </c>
      <c r="Q816" s="0" t="s">
        <v>72</v>
      </c>
      <c r="R816" s="0" t="str">
        <f aca="false">PROPER(Q816)</f>
        <v>Pos</v>
      </c>
      <c r="S816" s="0" t="s">
        <v>63</v>
      </c>
      <c r="T816" s="0" t="n">
        <v>4</v>
      </c>
      <c r="U816" s="5" t="n">
        <f aca="false">IF(ISBLANK(T816),AVERAGE(T816:T1815),T816)</f>
        <v>4</v>
      </c>
      <c r="V816" s="0" t="n">
        <v>4.8</v>
      </c>
      <c r="W816" s="0" t="s">
        <v>125</v>
      </c>
      <c r="X816" s="0" t="str">
        <f aca="false">IF(ISBLANK(W816),"No remarks",W816)</f>
        <v>Customer waited</v>
      </c>
      <c r="Y816" s="0" t="s">
        <v>73</v>
      </c>
      <c r="Z816" s="0" t="s">
        <v>74</v>
      </c>
      <c r="AA816" s="0" t="str">
        <f aca="false">PROPER(IF(ISBLANK(Z816),"Location Unavailable",Z816))</f>
        <v>Under Tree</v>
      </c>
      <c r="AB816" s="0" t="s">
        <v>147</v>
      </c>
      <c r="AC816" s="6" t="str">
        <f aca="false">PROPER(AB816)</f>
        <v>Instagram</v>
      </c>
      <c r="AD816" s="6" t="n">
        <v>45</v>
      </c>
      <c r="AE816" s="5" t="n">
        <f aca="false">IF(ISBLANK(AD816),AVERAGEIF(L816:L1815,L816,AD816:AD1815),AD816)</f>
        <v>45</v>
      </c>
      <c r="AF816" s="0" t="s">
        <v>112</v>
      </c>
      <c r="AG816" s="0" t="str">
        <f aca="false">PROPER(AF816)</f>
        <v>Unavailable</v>
      </c>
      <c r="AH816" s="0" t="s">
        <v>155</v>
      </c>
      <c r="AI816" s="0" t="s">
        <v>98</v>
      </c>
      <c r="AJ816" s="0" t="str">
        <f aca="false">PROPER(AI816)</f>
        <v>Emergency</v>
      </c>
      <c r="AK816" s="0" t="s">
        <v>196</v>
      </c>
      <c r="AL816" s="0" t="str">
        <f aca="false">PROPER(AK816)</f>
        <v>First Time</v>
      </c>
      <c r="AM816" s="0" t="s">
        <v>2326</v>
      </c>
      <c r="AN816" s="0" t="str">
        <f aca="false">IF(ISBLANK(AM816),"Unknown",AM816)</f>
        <v>Government Convoy</v>
      </c>
      <c r="AO816" s="0" t="s">
        <v>149</v>
      </c>
      <c r="AP816" s="0" t="str">
        <f aca="false">IF(ISBLANK(AO816),"Unknown",AO816)</f>
        <v>Senior </v>
      </c>
      <c r="AQ816" s="0" t="n">
        <v>40000</v>
      </c>
      <c r="AR816" s="5" t="n">
        <f aca="false">IF(ISBLANK(AQ816),AVERAGEIF(M816:M1815,M816,AQ816:AQ1815),AQ816)</f>
        <v>40000</v>
      </c>
      <c r="AS816" s="0" t="n">
        <v>35000</v>
      </c>
      <c r="AT816" s="5" t="n">
        <f aca="false">IF(ISBLANK(AS816),AVERAGE(AS816:AS1815),AS816)</f>
        <v>35000</v>
      </c>
      <c r="AU816" s="0" t="s">
        <v>50</v>
      </c>
      <c r="AV816" s="0" t="str">
        <f aca="false">PROPER(IF(ISBLANK(AU816),"No",AU816))</f>
        <v>No</v>
      </c>
      <c r="AW816" s="0" t="n">
        <v>5000</v>
      </c>
      <c r="AX816" s="5" t="n">
        <f aca="false">IF(ISBLANK(AW816),0,AW816)</f>
        <v>5000</v>
      </c>
      <c r="AY816" s="0" t="s">
        <v>80</v>
      </c>
      <c r="AZ816" s="0" t="str">
        <f aca="false">UPPER(IF(ISBLANK(AY816),"NONE",AY816))</f>
        <v>PROMO10</v>
      </c>
      <c r="BB816" s="7" t="str">
        <f aca="false">IF(ISBLANK(BA816),"No Follow Up Needed",BA816)</f>
        <v>No Follow Up Needed</v>
      </c>
      <c r="BC816" s="0" t="s">
        <v>63</v>
      </c>
      <c r="BD816" s="0" t="str">
        <f aca="false">PROPER(IF(ISBLANK(BC816),"Unknown",BC816))</f>
        <v>Yes</v>
      </c>
      <c r="BE816" s="0" t="s">
        <v>116</v>
      </c>
      <c r="BF816" s="0" t="str">
        <f aca="false">IF(ISBLANK(BE816),"No comments",BE816)</f>
        <v>Needs tire alignment</v>
      </c>
      <c r="BG816" s="0" t="s">
        <v>172</v>
      </c>
      <c r="BH816" s="0" t="str">
        <f aca="false">IF(ISBLANK(BG816),"No comments",BG816)</f>
        <v>Always late</v>
      </c>
      <c r="BI816" s="0" t="s">
        <v>63</v>
      </c>
      <c r="BJ816" s="0" t="str">
        <f aca="false">IF(ISBLANK(BI816),"Not Mentioned",BI816)</f>
        <v>Yes</v>
      </c>
      <c r="BK816" s="0" t="s">
        <v>82</v>
      </c>
      <c r="BL816" s="0" t="str">
        <f aca="false">PROPER(IF(ISBLANK(BK816),"Not Mentioned",BK816))</f>
        <v>Yes</v>
      </c>
      <c r="BN816" s="0" t="str">
        <f aca="false">PROPER(IF(ISBLANK(BM816),"Not Mentioned",BM816))</f>
        <v>Not Mentioned</v>
      </c>
      <c r="BO816" s="0" t="s">
        <v>2321</v>
      </c>
      <c r="BP816" s="0" t="str">
        <f aca="false">IF(ISBLANK(BO816),"One-Time Plan",BO816)</f>
        <v>One-Time Plan</v>
      </c>
      <c r="BQ816" s="0" t="s">
        <v>190</v>
      </c>
      <c r="BR816" s="0" t="str">
        <f aca="false">PROPER(IF(ISBLANK(BQ816),"No",BQ816))</f>
        <v>Yes</v>
      </c>
    </row>
    <row r="817" customFormat="false" ht="15" hidden="false" customHeight="false" outlineLevel="0" collapsed="false">
      <c r="A817" s="0" t="s">
        <v>1926</v>
      </c>
      <c r="B817" s="2" t="n">
        <v>45700</v>
      </c>
      <c r="C817" s="2" t="str">
        <f aca="false">TEXT(B817,"dd/mm/yyyy")</f>
        <v>12/02/2025</v>
      </c>
      <c r="D817" s="0" t="s">
        <v>163</v>
      </c>
      <c r="E817" s="0" t="n">
        <v>8081565068</v>
      </c>
      <c r="F817" s="0" t="s">
        <v>139</v>
      </c>
      <c r="G817" s="0" t="s">
        <v>2323</v>
      </c>
      <c r="H817" s="0" t="s">
        <v>1927</v>
      </c>
      <c r="I817" s="0" t="s">
        <v>134</v>
      </c>
      <c r="J817" s="0" t="s">
        <v>2322</v>
      </c>
      <c r="K817" s="3" t="str">
        <f aca="false" t="array" ref="K817:K817">IFERROR(IF(J817&lt;&gt;"",J817,INDEX(J817:J1816,MATCH(1,(F817:F1816=F817)*(I817:I1816=I817)*(L817:L1816=L817)*(J817:J1816&lt;&gt;""),0))),"Not Found")</f>
        <v>Brake Failure</v>
      </c>
      <c r="L817" s="3" t="s">
        <v>189</v>
      </c>
      <c r="M817" s="0" t="str">
        <f aca="false">PROPER(L817)</f>
        <v>Battery</v>
      </c>
      <c r="N817" s="3" t="s">
        <v>48</v>
      </c>
      <c r="O817" s="0" t="str">
        <f aca="false" t="array" ref="O817:O817">IF(N817&lt;&gt;"",N817,_xlfn.xlookup(1,(L817:L1816=L817)*(N817:N1816&lt;&gt;""),N817:N1816,"Not Found"))</f>
        <v>Uche</v>
      </c>
      <c r="P817" s="4" t="n">
        <v>92683</v>
      </c>
      <c r="Q817" s="0" t="s">
        <v>72</v>
      </c>
      <c r="R817" s="0" t="str">
        <f aca="false">PROPER(Q817)</f>
        <v>Pos</v>
      </c>
      <c r="S817" s="0" t="s">
        <v>63</v>
      </c>
      <c r="T817" s="0" t="n">
        <v>5</v>
      </c>
      <c r="U817" s="5" t="n">
        <f aca="false">IF(ISBLANK(T817),AVERAGE(T817:T1816),T817)</f>
        <v>5</v>
      </c>
      <c r="V817" s="0" t="n">
        <v>5.7</v>
      </c>
      <c r="W817" s="0" t="s">
        <v>125</v>
      </c>
      <c r="X817" s="0" t="str">
        <f aca="false">IF(ISBLANK(W817),"No remarks",W817)</f>
        <v>Customer waited</v>
      </c>
      <c r="Y817" s="0" t="s">
        <v>93</v>
      </c>
      <c r="Z817" s="0" t="s">
        <v>159</v>
      </c>
      <c r="AA817" s="0" t="str">
        <f aca="false">PROPER(IF(ISBLANK(Z817),"Location Unavailable",Z817))</f>
        <v>Main Bay</v>
      </c>
      <c r="AB817" s="0" t="s">
        <v>147</v>
      </c>
      <c r="AC817" s="6" t="str">
        <f aca="false">PROPER(AB817)</f>
        <v>Instagram</v>
      </c>
      <c r="AD817" s="6" t="n">
        <v>45</v>
      </c>
      <c r="AE817" s="5" t="n">
        <f aca="false">IF(ISBLANK(AD817),AVERAGEIF(L817:L1816,L817,AD817:AD1816),AD817)</f>
        <v>45</v>
      </c>
      <c r="AF817" s="0" t="s">
        <v>112</v>
      </c>
      <c r="AG817" s="0" t="str">
        <f aca="false">PROPER(AF817)</f>
        <v>Unavailable</v>
      </c>
      <c r="AH817" s="0" t="s">
        <v>148</v>
      </c>
      <c r="AI817" s="0" t="s">
        <v>113</v>
      </c>
      <c r="AJ817" s="0" t="str">
        <f aca="false">PROPER(AI817)</f>
        <v>Normal</v>
      </c>
      <c r="AK817" s="0" t="s">
        <v>196</v>
      </c>
      <c r="AL817" s="0" t="str">
        <f aca="false">PROPER(AK817)</f>
        <v>First Time</v>
      </c>
      <c r="AM817" s="0" t="s">
        <v>177</v>
      </c>
      <c r="AN817" s="0" t="str">
        <f aca="false">IF(ISBLANK(AM817),"Unknown",AM817)</f>
        <v>Private</v>
      </c>
      <c r="AO817" s="0" t="s">
        <v>79</v>
      </c>
      <c r="AP817" s="0" t="str">
        <f aca="false">IF(ISBLANK(AO817),"Unknown",AO817)</f>
        <v>Specialist</v>
      </c>
      <c r="AQ817" s="0" t="n">
        <v>40000</v>
      </c>
      <c r="AR817" s="5" t="n">
        <f aca="false">IF(ISBLANK(AQ817),AVERAGEIF(M817:M1816,M817,AQ817:AQ1816),AQ817)</f>
        <v>40000</v>
      </c>
      <c r="AT817" s="5" t="n">
        <f aca="false">IF(ISBLANK(AS817),AVERAGE(AS817:AS1816),AS817)</f>
        <v>31794.8717948718</v>
      </c>
      <c r="AU817" s="0" t="s">
        <v>82</v>
      </c>
      <c r="AV817" s="0" t="str">
        <f aca="false">PROPER(IF(ISBLANK(AU817),"No",AU817))</f>
        <v>Yes</v>
      </c>
      <c r="AX817" s="5" t="n">
        <f aca="false">IF(ISBLANK(AW817),0,AW817)</f>
        <v>0</v>
      </c>
      <c r="AZ817" s="0" t="str">
        <f aca="false">UPPER(IF(ISBLANK(AY817),"NONE",AY817))</f>
        <v>NONE</v>
      </c>
      <c r="BA817" s="7" t="n">
        <v>45932</v>
      </c>
      <c r="BB817" s="7" t="n">
        <f aca="false">IF(ISBLANK(BA817),"No Follow Up Needed",BA817)</f>
        <v>45932</v>
      </c>
      <c r="BC817" s="0" t="s">
        <v>61</v>
      </c>
      <c r="BD817" s="0" t="str">
        <f aca="false">PROPER(IF(ISBLANK(BC817),"Unknown",BC817))</f>
        <v>No</v>
      </c>
      <c r="BF817" s="0" t="str">
        <f aca="false">IF(ISBLANK(BE817),"No comments",BE817)</f>
        <v>No comments</v>
      </c>
      <c r="BG817" s="0" t="s">
        <v>2320</v>
      </c>
      <c r="BH817" s="0" t="str">
        <f aca="false">IF(ISBLANK(BG817),"No comments",BG817)</f>
        <v>No complaints</v>
      </c>
      <c r="BJ817" s="0" t="str">
        <f aca="false">IF(ISBLANK(BI817),"Not Mentioned",BI817)</f>
        <v>Not Mentioned</v>
      </c>
      <c r="BK817" s="0" t="s">
        <v>82</v>
      </c>
      <c r="BL817" s="0" t="str">
        <f aca="false">PROPER(IF(ISBLANK(BK817),"Not Mentioned",BK817))</f>
        <v>Yes</v>
      </c>
      <c r="BM817" s="0" t="s">
        <v>63</v>
      </c>
      <c r="BN817" s="0" t="str">
        <f aca="false">PROPER(IF(ISBLANK(BM817),"Not Mentioned",BM817))</f>
        <v>Yes</v>
      </c>
      <c r="BP817" s="0" t="str">
        <f aca="false">IF(ISBLANK(BO817),"One-Time Plan",BO817)</f>
        <v>One-Time Plan</v>
      </c>
      <c r="BR817" s="0" t="str">
        <f aca="false">PROPER(IF(ISBLANK(BQ817),"No",BQ817))</f>
        <v>No</v>
      </c>
    </row>
    <row r="818" customFormat="false" ht="15" hidden="false" customHeight="false" outlineLevel="0" collapsed="false">
      <c r="A818" s="0" t="s">
        <v>1928</v>
      </c>
      <c r="B818" s="2" t="s">
        <v>489</v>
      </c>
      <c r="C818" s="2" t="str">
        <f aca="false">TEXT(B818,"dd/mm/yyyy")</f>
        <v>22/03/2025</v>
      </c>
      <c r="D818" s="0" t="s">
        <v>121</v>
      </c>
      <c r="E818" s="0" t="n">
        <v>8098380502</v>
      </c>
      <c r="F818" s="0" t="s">
        <v>67</v>
      </c>
      <c r="G818" s="0" t="s">
        <v>2316</v>
      </c>
      <c r="H818" s="0" t="s">
        <v>1929</v>
      </c>
      <c r="I818" s="0" t="s">
        <v>69</v>
      </c>
      <c r="J818" s="0" t="s">
        <v>2317</v>
      </c>
      <c r="K818" s="3" t="str">
        <f aca="false" t="array" ref="K818:K818">IFERROR(IF(J818&lt;&gt;"",J818,INDEX(J818:J1817,MATCH(1,(F818:F1817=F818)*(I818:I1817=I818)*(L818:L1817=L818)*(J818:J1817&lt;&gt;""),0))),"Not Found")</f>
        <v>Suspension Noise</v>
      </c>
      <c r="L818" s="3" t="s">
        <v>89</v>
      </c>
      <c r="M818" s="0" t="str">
        <f aca="false">PROPER(L818)</f>
        <v>Shock Absorbers</v>
      </c>
      <c r="N818" s="3" t="s">
        <v>90</v>
      </c>
      <c r="O818" s="0" t="str">
        <f aca="false" t="array" ref="O818:O818">IF(N818&lt;&gt;"",N818,_xlfn.xlookup(1,(L818:L1817=L818)*(N818:N1817&lt;&gt;""),N818:N1817,"Not Found"))</f>
        <v>Musa</v>
      </c>
      <c r="P818" s="4" t="n">
        <v>115283</v>
      </c>
      <c r="Q818" s="0" t="s">
        <v>49</v>
      </c>
      <c r="R818" s="0" t="str">
        <f aca="false">PROPER(Q818)</f>
        <v>Transfer</v>
      </c>
      <c r="S818" s="0" t="s">
        <v>50</v>
      </c>
      <c r="U818" s="5" t="n">
        <f aca="false">IF(ISBLANK(T818),AVERAGE(T818:T1817),T818)</f>
        <v>3.26666666666667</v>
      </c>
      <c r="V818" s="0" t="n">
        <v>2</v>
      </c>
      <c r="W818" s="0" t="s">
        <v>125</v>
      </c>
      <c r="X818" s="0" t="str">
        <f aca="false">IF(ISBLANK(W818),"No remarks",W818)</f>
        <v>Customer waited</v>
      </c>
      <c r="Y818" s="0" t="s">
        <v>52</v>
      </c>
      <c r="Z818" s="0" t="s">
        <v>74</v>
      </c>
      <c r="AA818" s="0" t="str">
        <f aca="false">PROPER(IF(ISBLANK(Z818),"Location Unavailable",Z818))</f>
        <v>Under Tree</v>
      </c>
      <c r="AB818" s="0" t="s">
        <v>126</v>
      </c>
      <c r="AC818" s="6" t="str">
        <f aca="false">PROPER(AB818)</f>
        <v>Whatsapp</v>
      </c>
      <c r="AD818" s="6" t="n">
        <v>45</v>
      </c>
      <c r="AE818" s="5" t="n">
        <f aca="false">IF(ISBLANK(AD818),AVERAGEIF(L818:L1817,L818,AD818:AD1817),AD818)</f>
        <v>45</v>
      </c>
      <c r="AF818" s="0" t="s">
        <v>160</v>
      </c>
      <c r="AG818" s="0" t="str">
        <f aca="false">PROPER(AF818)</f>
        <v>Availaible</v>
      </c>
      <c r="AH818" s="0" t="s">
        <v>56</v>
      </c>
      <c r="AI818" s="0" t="s">
        <v>78</v>
      </c>
      <c r="AJ818" s="0" t="str">
        <f aca="false">PROPER(AI818)</f>
        <v>Booking</v>
      </c>
      <c r="AK818" s="0" t="s">
        <v>114</v>
      </c>
      <c r="AL818" s="0" t="str">
        <f aca="false">PROPER(AK818)</f>
        <v>Returning</v>
      </c>
      <c r="AM818" s="0" t="s">
        <v>177</v>
      </c>
      <c r="AN818" s="0" t="str">
        <f aca="false">IF(ISBLANK(AM818),"Unknown",AM818)</f>
        <v>Private</v>
      </c>
      <c r="AO818" s="0" t="s">
        <v>161</v>
      </c>
      <c r="AP818" s="0" t="str">
        <f aca="false">IF(ISBLANK(AO818),"Unknown",AO818)</f>
        <v>Apprentice</v>
      </c>
      <c r="AQ818" s="0" t="n">
        <v>15000</v>
      </c>
      <c r="AR818" s="5" t="n">
        <f aca="false">IF(ISBLANK(AQ818),AVERAGEIF(M818:M1817,M818,AQ818:AQ1817),AQ818)</f>
        <v>15000</v>
      </c>
      <c r="AS818" s="0" t="n">
        <v>30000</v>
      </c>
      <c r="AT818" s="5" t="n">
        <f aca="false">IF(ISBLANK(AS818),AVERAGE(AS818:AS1817),AS818)</f>
        <v>30000</v>
      </c>
      <c r="AU818" s="0" t="s">
        <v>61</v>
      </c>
      <c r="AV818" s="0" t="str">
        <f aca="false">PROPER(IF(ISBLANK(AU818),"No",AU818))</f>
        <v>No</v>
      </c>
      <c r="AW818" s="0" t="n">
        <v>5000</v>
      </c>
      <c r="AX818" s="5" t="n">
        <f aca="false">IF(ISBLANK(AW818),0,AW818)</f>
        <v>5000</v>
      </c>
      <c r="AY818" s="0" t="s">
        <v>80</v>
      </c>
      <c r="AZ818" s="0" t="str">
        <f aca="false">UPPER(IF(ISBLANK(AY818),"NONE",AY818))</f>
        <v>PROMO10</v>
      </c>
      <c r="BA818" s="7" t="s">
        <v>1563</v>
      </c>
      <c r="BB818" s="7" t="str">
        <f aca="false">IF(ISBLANK(BA818),"No Follow Up Needed",BA818)</f>
        <v>16/07/2025</v>
      </c>
      <c r="BC818" s="0" t="s">
        <v>50</v>
      </c>
      <c r="BD818" s="0" t="str">
        <f aca="false">PROPER(IF(ISBLANK(BC818),"Unknown",BC818))</f>
        <v>No</v>
      </c>
      <c r="BF818" s="0" t="str">
        <f aca="false">IF(ISBLANK(BE818),"No comments",BE818)</f>
        <v>No comments</v>
      </c>
      <c r="BG818" s="0" t="s">
        <v>2320</v>
      </c>
      <c r="BH818" s="0" t="str">
        <f aca="false">IF(ISBLANK(BG818),"No comments",BG818)</f>
        <v>No complaints</v>
      </c>
      <c r="BI818" s="0" t="s">
        <v>50</v>
      </c>
      <c r="BJ818" s="0" t="str">
        <f aca="false">IF(ISBLANK(BI818),"Not Mentioned",BI818)</f>
        <v>No</v>
      </c>
      <c r="BL818" s="0" t="str">
        <f aca="false">PROPER(IF(ISBLANK(BK818),"Not Mentioned",BK818))</f>
        <v>Not Mentioned</v>
      </c>
      <c r="BM818" s="0" t="s">
        <v>50</v>
      </c>
      <c r="BN818" s="0" t="str">
        <f aca="false">PROPER(IF(ISBLANK(BM818),"Not Mentioned",BM818))</f>
        <v>No</v>
      </c>
      <c r="BO818" s="0" t="s">
        <v>64</v>
      </c>
      <c r="BP818" s="0" t="str">
        <f aca="false">IF(ISBLANK(BO818),"One-Time Plan",BO818)</f>
        <v>Gold Maintenance Plan</v>
      </c>
      <c r="BR818" s="0" t="str">
        <f aca="false">PROPER(IF(ISBLANK(BQ818),"No",BQ818))</f>
        <v>No</v>
      </c>
    </row>
    <row r="819" customFormat="false" ht="15" hidden="false" customHeight="false" outlineLevel="0" collapsed="false">
      <c r="A819" s="0" t="s">
        <v>1930</v>
      </c>
      <c r="B819" s="2" t="n">
        <v>45794</v>
      </c>
      <c r="C819" s="2" t="str">
        <f aca="false">TEXT(B819,"dd/mm/yyyy")</f>
        <v>17/05/2025</v>
      </c>
      <c r="D819" s="0" t="s">
        <v>121</v>
      </c>
      <c r="E819" s="0" t="n">
        <v>8061377017</v>
      </c>
      <c r="F819" s="0" t="s">
        <v>43</v>
      </c>
      <c r="G819" s="0" t="s">
        <v>2315</v>
      </c>
      <c r="H819" s="0" t="s">
        <v>1931</v>
      </c>
      <c r="I819" s="0" t="s">
        <v>69</v>
      </c>
      <c r="J819" s="0" t="s">
        <v>2322</v>
      </c>
      <c r="K819" s="3" t="str">
        <f aca="false" t="array" ref="K819:K819">IFERROR(IF(J819&lt;&gt;"",J819,INDEX(J819:J1818,MATCH(1,(F819:F1818=F819)*(I819:I1818=I819)*(L819:L1818=L819)*(J819:J1818&lt;&gt;""),0))),"Not Found")</f>
        <v>Brake Failure</v>
      </c>
      <c r="L819" s="3" t="s">
        <v>142</v>
      </c>
      <c r="M819" s="0" t="str">
        <f aca="false">PROPER(L819)</f>
        <v>Oil Filter, Brake Pads</v>
      </c>
      <c r="N819" s="3" t="s">
        <v>71</v>
      </c>
      <c r="O819" s="0" t="str">
        <f aca="false" t="array" ref="O819:O819">IF(N819&lt;&gt;"",N819,_xlfn.xlookup(1,(L819:L1818=L819)*(N819:N1818&lt;&gt;""),N819:N1818,"Not Found"))</f>
        <v>Isaac Bobo</v>
      </c>
      <c r="P819" s="4" t="n">
        <v>96565</v>
      </c>
      <c r="Q819" s="0" t="s">
        <v>124</v>
      </c>
      <c r="R819" s="0" t="str">
        <f aca="false">PROPER(Q819)</f>
        <v>Cash</v>
      </c>
      <c r="S819" s="0" t="s">
        <v>50</v>
      </c>
      <c r="T819" s="0" t="n">
        <v>4</v>
      </c>
      <c r="U819" s="5" t="n">
        <f aca="false">IF(ISBLANK(T819),AVERAGE(T819:T1818),T819)</f>
        <v>4</v>
      </c>
      <c r="V819" s="0" t="n">
        <v>4</v>
      </c>
      <c r="W819" s="0" t="s">
        <v>111</v>
      </c>
      <c r="X819" s="0" t="str">
        <f aca="false">IF(ISBLANK(W819),"No remarks",W819)</f>
        <v>Changed all filters</v>
      </c>
      <c r="Y819" s="0" t="s">
        <v>52</v>
      </c>
      <c r="Z819" s="0" t="s">
        <v>53</v>
      </c>
      <c r="AA819" s="0" t="str">
        <f aca="false">PROPER(IF(ISBLANK(Z819),"Location Unavailable",Z819))</f>
        <v>Main Bay</v>
      </c>
      <c r="AB819" s="0" t="s">
        <v>126</v>
      </c>
      <c r="AC819" s="6" t="str">
        <f aca="false">PROPER(AB819)</f>
        <v>Whatsapp</v>
      </c>
      <c r="AD819" s="6" t="n">
        <v>45</v>
      </c>
      <c r="AE819" s="5" t="n">
        <f aca="false">IF(ISBLANK(AD819),AVERAGEIF(L819:L1818,L819,AD819:AD1818),AD819)</f>
        <v>45</v>
      </c>
      <c r="AF819" s="0" t="s">
        <v>160</v>
      </c>
      <c r="AG819" s="0" t="str">
        <f aca="false">PROPER(AF819)</f>
        <v>Availaible</v>
      </c>
      <c r="AH819" s="0" t="s">
        <v>77</v>
      </c>
      <c r="AI819" s="0" t="s">
        <v>128</v>
      </c>
      <c r="AJ819" s="0" t="str">
        <f aca="false">PROPER(AI819)</f>
        <v>Normal</v>
      </c>
      <c r="AK819" s="0" t="s">
        <v>99</v>
      </c>
      <c r="AL819" s="0" t="str">
        <f aca="false">PROPER(AK819)</f>
        <v>Uber Driver</v>
      </c>
      <c r="AM819" s="0" t="s">
        <v>2324</v>
      </c>
      <c r="AN819" s="0" t="str">
        <f aca="false">IF(ISBLANK(AM819),"Unknown",AM819)</f>
        <v>Logistics Convoy</v>
      </c>
      <c r="AP819" s="0" t="str">
        <f aca="false">IF(ISBLANK(AO819),"Unknown",AO819)</f>
        <v>Unknown</v>
      </c>
      <c r="AQ819" s="0" t="n">
        <v>40000</v>
      </c>
      <c r="AR819" s="5" t="n">
        <f aca="false">IF(ISBLANK(AQ819),AVERAGEIF(M819:M1818,M819,AQ819:AQ1818),AQ819)</f>
        <v>40000</v>
      </c>
      <c r="AS819" s="0" t="n">
        <v>40000</v>
      </c>
      <c r="AT819" s="5" t="n">
        <f aca="false">IF(ISBLANK(AS819),AVERAGE(AS819:AS1818),AS819)</f>
        <v>40000</v>
      </c>
      <c r="AU819" s="0" t="s">
        <v>63</v>
      </c>
      <c r="AV819" s="0" t="str">
        <f aca="false">PROPER(IF(ISBLANK(AU819),"No",AU819))</f>
        <v>Yes</v>
      </c>
      <c r="AW819" s="0" t="n">
        <v>5000</v>
      </c>
      <c r="AX819" s="5" t="n">
        <f aca="false">IF(ISBLANK(AW819),0,AW819)</f>
        <v>5000</v>
      </c>
      <c r="AY819" s="0" t="s">
        <v>130</v>
      </c>
      <c r="AZ819" s="0" t="str">
        <f aca="false">UPPER(IF(ISBLANK(AY819),"NONE",AY819))</f>
        <v>LOYALTY10</v>
      </c>
      <c r="BA819" s="7" t="n">
        <v>46019</v>
      </c>
      <c r="BB819" s="7" t="n">
        <f aca="false">IF(ISBLANK(BA819),"No Follow Up Needed",BA819)</f>
        <v>46019</v>
      </c>
      <c r="BC819" s="0" t="s">
        <v>61</v>
      </c>
      <c r="BD819" s="0" t="str">
        <f aca="false">PROPER(IF(ISBLANK(BC819),"Unknown",BC819))</f>
        <v>No</v>
      </c>
      <c r="BE819" s="0" t="s">
        <v>116</v>
      </c>
      <c r="BF819" s="0" t="str">
        <f aca="false">IF(ISBLANK(BE819),"No comments",BE819)</f>
        <v>Needs tire alignment</v>
      </c>
      <c r="BH819" s="0" t="str">
        <f aca="false">IF(ISBLANK(BG819),"No comments",BG819)</f>
        <v>No comments</v>
      </c>
      <c r="BI819" s="0" t="s">
        <v>50</v>
      </c>
      <c r="BJ819" s="0" t="str">
        <f aca="false">IF(ISBLANK(BI819),"Not Mentioned",BI819)</f>
        <v>No</v>
      </c>
      <c r="BK819" s="0" t="s">
        <v>50</v>
      </c>
      <c r="BL819" s="0" t="str">
        <f aca="false">PROPER(IF(ISBLANK(BK819),"Not Mentioned",BK819))</f>
        <v>No</v>
      </c>
      <c r="BN819" s="0" t="str">
        <f aca="false">PROPER(IF(ISBLANK(BM819),"Not Mentioned",BM819))</f>
        <v>Not Mentioned</v>
      </c>
      <c r="BO819" s="0" t="s">
        <v>64</v>
      </c>
      <c r="BP819" s="0" t="str">
        <f aca="false">IF(ISBLANK(BO819),"One-Time Plan",BO819)</f>
        <v>Gold Maintenance Plan</v>
      </c>
      <c r="BQ819" s="0" t="s">
        <v>50</v>
      </c>
      <c r="BR819" s="0" t="str">
        <f aca="false">PROPER(IF(ISBLANK(BQ819),"No",BQ819))</f>
        <v>No</v>
      </c>
    </row>
    <row r="820" customFormat="false" ht="15" hidden="false" customHeight="false" outlineLevel="0" collapsed="false">
      <c r="A820" s="0" t="s">
        <v>1932</v>
      </c>
      <c r="B820" s="2" t="n">
        <v>45748</v>
      </c>
      <c r="C820" s="2" t="str">
        <f aca="false">TEXT(B820,"dd/mm/yyyy")</f>
        <v>01/04/2025</v>
      </c>
      <c r="D820" s="0" t="s">
        <v>163</v>
      </c>
      <c r="E820" s="0" t="n">
        <v>8088662295</v>
      </c>
      <c r="F820" s="0" t="s">
        <v>43</v>
      </c>
      <c r="G820" s="0" t="s">
        <v>2315</v>
      </c>
      <c r="H820" s="0" t="s">
        <v>1933</v>
      </c>
      <c r="I820" s="0" t="s">
        <v>87</v>
      </c>
      <c r="J820" s="0" t="s">
        <v>2325</v>
      </c>
      <c r="K820" s="3" t="str">
        <f aca="false" t="array" ref="K820:K820">IFERROR(IF(J820&lt;&gt;"",J820,INDEX(J820:J1819,MATCH(1,(F820:F1819=F820)*(I820:I1819=I820)*(L820:L1819=L820)*(J820:J1819&lt;&gt;""),0))),"Not Found")</f>
        <v>Engine Knocking</v>
      </c>
      <c r="L820" s="3" t="s">
        <v>154</v>
      </c>
      <c r="M820" s="0" t="str">
        <f aca="false">PROPER(L820)</f>
        <v>Air Filter</v>
      </c>
      <c r="N820" s="3" t="s">
        <v>48</v>
      </c>
      <c r="O820" s="0" t="str">
        <f aca="false" t="array" ref="O820:O820">IF(N820&lt;&gt;"",N820,_xlfn.xlookup(1,(L820:L1819=L820)*(N820:N1819&lt;&gt;""),N820:N1819,"Not Found"))</f>
        <v>Uche</v>
      </c>
      <c r="P820" s="4" t="n">
        <v>92283</v>
      </c>
      <c r="Q820" s="0" t="s">
        <v>110</v>
      </c>
      <c r="R820" s="0" t="str">
        <f aca="false">PROPER(Q820)</f>
        <v>Cash</v>
      </c>
      <c r="S820" s="0" t="s">
        <v>63</v>
      </c>
      <c r="T820" s="0" t="n">
        <v>2</v>
      </c>
      <c r="U820" s="5" t="n">
        <f aca="false">IF(ISBLANK(T820),AVERAGE(T820:T1819),T820)</f>
        <v>2</v>
      </c>
      <c r="V820" s="0" t="n">
        <v>4.7</v>
      </c>
      <c r="W820" s="0" t="s">
        <v>111</v>
      </c>
      <c r="X820" s="0" t="str">
        <f aca="false">IF(ISBLANK(W820),"No remarks",W820)</f>
        <v>Changed all filters</v>
      </c>
      <c r="Y820" s="0" t="s">
        <v>73</v>
      </c>
      <c r="Z820" s="0" t="s">
        <v>94</v>
      </c>
      <c r="AA820" s="0" t="str">
        <f aca="false">PROPER(IF(ISBLANK(Z820),"Location Unavailable",Z820))</f>
        <v>Vip Section</v>
      </c>
      <c r="AB820" s="0" t="s">
        <v>147</v>
      </c>
      <c r="AC820" s="6" t="str">
        <f aca="false">PROPER(AB820)</f>
        <v>Instagram</v>
      </c>
      <c r="AE820" s="5" t="n">
        <f aca="false">IF(ISBLANK(AD820),AVERAGEIF(L820:L1819,L820,AD820:AD1819),AD820)</f>
        <v>39.5</v>
      </c>
      <c r="AF820" s="0" t="s">
        <v>96</v>
      </c>
      <c r="AG820" s="0" t="str">
        <f aca="false">PROPER(AF820)</f>
        <v>Ordered</v>
      </c>
      <c r="AH820" s="0" t="s">
        <v>155</v>
      </c>
      <c r="AI820" s="0" t="s">
        <v>98</v>
      </c>
      <c r="AJ820" s="0" t="str">
        <f aca="false">PROPER(AI820)</f>
        <v>Emergency</v>
      </c>
      <c r="AK820" s="0" t="s">
        <v>196</v>
      </c>
      <c r="AL820" s="0" t="str">
        <f aca="false">PROPER(AK820)</f>
        <v>First Time</v>
      </c>
      <c r="AN820" s="0" t="str">
        <f aca="false">IF(ISBLANK(AM820),"Unknown",AM820)</f>
        <v>Unknown</v>
      </c>
      <c r="AP820" s="0" t="str">
        <f aca="false">IF(ISBLANK(AO820),"Unknown",AO820)</f>
        <v>Unknown</v>
      </c>
      <c r="AQ820" s="0" t="n">
        <v>20000</v>
      </c>
      <c r="AR820" s="5" t="n">
        <f aca="false">IF(ISBLANK(AQ820),AVERAGEIF(M820:M1819,M820,AQ820:AQ1819),AQ820)</f>
        <v>20000</v>
      </c>
      <c r="AT820" s="5" t="n">
        <f aca="false">IF(ISBLANK(AS820),AVERAGE(AS820:AS1819),AS820)</f>
        <v>31753.2467532468</v>
      </c>
      <c r="AU820" s="0" t="s">
        <v>61</v>
      </c>
      <c r="AV820" s="0" t="str">
        <f aca="false">PROPER(IF(ISBLANK(AU820),"No",AU820))</f>
        <v>No</v>
      </c>
      <c r="AX820" s="5" t="n">
        <f aca="false">IF(ISBLANK(AW820),0,AW820)</f>
        <v>0</v>
      </c>
      <c r="AY820" s="0" t="s">
        <v>184</v>
      </c>
      <c r="AZ820" s="0" t="str">
        <f aca="false">UPPER(IF(ISBLANK(AY820),"NONE",AY820))</f>
        <v>N/A</v>
      </c>
      <c r="BA820" s="7" t="n">
        <v>45833</v>
      </c>
      <c r="BB820" s="7" t="n">
        <f aca="false">IF(ISBLANK(BA820),"No Follow Up Needed",BA820)</f>
        <v>45833</v>
      </c>
      <c r="BC820" s="0" t="s">
        <v>50</v>
      </c>
      <c r="BD820" s="0" t="str">
        <f aca="false">PROPER(IF(ISBLANK(BC820),"Unknown",BC820))</f>
        <v>No</v>
      </c>
      <c r="BF820" s="0" t="str">
        <f aca="false">IF(ISBLANK(BE820),"No comments",BE820)</f>
        <v>No comments</v>
      </c>
      <c r="BG820" s="0" t="s">
        <v>172</v>
      </c>
      <c r="BH820" s="0" t="str">
        <f aca="false">IF(ISBLANK(BG820),"No comments",BG820)</f>
        <v>Always late</v>
      </c>
      <c r="BI820" s="0" t="s">
        <v>63</v>
      </c>
      <c r="BJ820" s="0" t="str">
        <f aca="false">IF(ISBLANK(BI820),"Not Mentioned",BI820)</f>
        <v>Yes</v>
      </c>
      <c r="BL820" s="0" t="str">
        <f aca="false">PROPER(IF(ISBLANK(BK820),"Not Mentioned",BK820))</f>
        <v>Not Mentioned</v>
      </c>
      <c r="BM820" s="0" t="s">
        <v>63</v>
      </c>
      <c r="BN820" s="0" t="str">
        <f aca="false">PROPER(IF(ISBLANK(BM820),"Not Mentioned",BM820))</f>
        <v>Yes</v>
      </c>
      <c r="BP820" s="0" t="str">
        <f aca="false">IF(ISBLANK(BO820),"One-Time Plan",BO820)</f>
        <v>One-Time Plan</v>
      </c>
      <c r="BQ820" s="0" t="s">
        <v>63</v>
      </c>
      <c r="BR820" s="0" t="str">
        <f aca="false">PROPER(IF(ISBLANK(BQ820),"No",BQ820))</f>
        <v>Yes</v>
      </c>
    </row>
    <row r="821" customFormat="false" ht="15" hidden="false" customHeight="false" outlineLevel="0" collapsed="false">
      <c r="A821" s="0" t="s">
        <v>1935</v>
      </c>
      <c r="B821" s="2" t="s">
        <v>1934</v>
      </c>
      <c r="C821" s="2" t="str">
        <f aca="false">TEXT(B821,"dd/mm/yyyy")</f>
        <v>14/03/2025</v>
      </c>
      <c r="D821" s="0" t="s">
        <v>42</v>
      </c>
      <c r="E821" s="0" t="n">
        <v>8051336223</v>
      </c>
      <c r="F821" s="0" t="s">
        <v>139</v>
      </c>
      <c r="G821" s="0" t="s">
        <v>2323</v>
      </c>
      <c r="H821" s="0" t="s">
        <v>1936</v>
      </c>
      <c r="I821" s="0" t="s">
        <v>69</v>
      </c>
      <c r="J821" s="0" t="s">
        <v>2322</v>
      </c>
      <c r="K821" s="3" t="str">
        <f aca="false" t="array" ref="K821:K821">IFERROR(IF(J821&lt;&gt;"",J821,INDEX(J821:J1820,MATCH(1,(F821:F1820=F821)*(I821:I1820=I821)*(L821:L1820=L821)*(J821:J1820&lt;&gt;""),0))),"Not Found")</f>
        <v>Brake Failure</v>
      </c>
      <c r="L821" s="3" t="s">
        <v>189</v>
      </c>
      <c r="M821" s="0" t="str">
        <f aca="false">PROPER(L821)</f>
        <v>Battery</v>
      </c>
      <c r="N821" s="3" t="s">
        <v>48</v>
      </c>
      <c r="O821" s="0" t="str">
        <f aca="false" t="array" ref="O821:O821">IF(N821&lt;&gt;"",N821,_xlfn.xlookup(1,(L821:L1820=L821)*(N821:N1820&lt;&gt;""),N821:N1820,"Not Found"))</f>
        <v>Uche</v>
      </c>
      <c r="P821" s="4" t="n">
        <v>44012</v>
      </c>
      <c r="Q821" s="0" t="s">
        <v>91</v>
      </c>
      <c r="R821" s="0" t="str">
        <f aca="false">PROPER(Q821)</f>
        <v>Pos</v>
      </c>
      <c r="S821" s="0" t="s">
        <v>50</v>
      </c>
      <c r="T821" s="0" t="n">
        <v>4</v>
      </c>
      <c r="U821" s="5" t="n">
        <f aca="false">IF(ISBLANK(T821),AVERAGE(T821:T1820),T821)</f>
        <v>4</v>
      </c>
      <c r="V821" s="0" t="n">
        <v>1.6</v>
      </c>
      <c r="X821" s="0" t="str">
        <f aca="false">IF(ISBLANK(W821),"No remarks",W821)</f>
        <v>No remarks</v>
      </c>
      <c r="Y821" s="0" t="s">
        <v>93</v>
      </c>
      <c r="Z821" s="0" t="s">
        <v>136</v>
      </c>
      <c r="AA821" s="0" t="str">
        <f aca="false">PROPER(IF(ISBLANK(Z821),"Location Unavailable",Z821))</f>
        <v>Vip Section</v>
      </c>
      <c r="AB821" s="0" t="s">
        <v>167</v>
      </c>
      <c r="AC821" s="6" t="str">
        <f aca="false">PROPER(AB821)</f>
        <v>Word Of Mouth</v>
      </c>
      <c r="AD821" s="6" t="n">
        <v>60</v>
      </c>
      <c r="AE821" s="5" t="n">
        <f aca="false">IF(ISBLANK(AD821),AVERAGEIF(L821:L1820,L821,AD821:AD1820),AD821)</f>
        <v>60</v>
      </c>
      <c r="AF821" s="0" t="s">
        <v>112</v>
      </c>
      <c r="AG821" s="0" t="str">
        <f aca="false">PROPER(AF821)</f>
        <v>Unavailable</v>
      </c>
      <c r="AH821" s="0" t="s">
        <v>56</v>
      </c>
      <c r="AI821" s="0" t="s">
        <v>128</v>
      </c>
      <c r="AJ821" s="0" t="str">
        <f aca="false">PROPER(AI821)</f>
        <v>Normal</v>
      </c>
      <c r="AK821" s="0" t="s">
        <v>114</v>
      </c>
      <c r="AL821" s="0" t="str">
        <f aca="false">PROPER(AK821)</f>
        <v>Returning</v>
      </c>
      <c r="AM821" s="0" t="s">
        <v>2324</v>
      </c>
      <c r="AN821" s="0" t="str">
        <f aca="false">IF(ISBLANK(AM821),"Unknown",AM821)</f>
        <v>Logistics Convoy</v>
      </c>
      <c r="AO821" s="0" t="s">
        <v>149</v>
      </c>
      <c r="AP821" s="0" t="str">
        <f aca="false">IF(ISBLANK(AO821),"Unknown",AO821)</f>
        <v>Senior </v>
      </c>
      <c r="AQ821" s="0" t="n">
        <v>25000</v>
      </c>
      <c r="AR821" s="5" t="n">
        <f aca="false">IF(ISBLANK(AQ821),AVERAGEIF(M821:M1820,M821,AQ821:AQ1820),AQ821)</f>
        <v>25000</v>
      </c>
      <c r="AS821" s="0" t="n">
        <v>35000</v>
      </c>
      <c r="AT821" s="5" t="n">
        <f aca="false">IF(ISBLANK(AS821),AVERAGE(AS821:AS1820),AS821)</f>
        <v>35000</v>
      </c>
      <c r="AU821" s="0" t="s">
        <v>50</v>
      </c>
      <c r="AV821" s="0" t="str">
        <f aca="false">PROPER(IF(ISBLANK(AU821),"No",AU821))</f>
        <v>No</v>
      </c>
      <c r="AW821" s="0" t="n">
        <v>10000</v>
      </c>
      <c r="AX821" s="5" t="n">
        <f aca="false">IF(ISBLANK(AW821),0,AW821)</f>
        <v>10000</v>
      </c>
      <c r="AY821" s="0" t="s">
        <v>184</v>
      </c>
      <c r="AZ821" s="0" t="str">
        <f aca="false">UPPER(IF(ISBLANK(AY821),"NONE",AY821))</f>
        <v>N/A</v>
      </c>
      <c r="BA821" s="7" t="n">
        <v>45727</v>
      </c>
      <c r="BB821" s="7" t="n">
        <f aca="false">IF(ISBLANK(BA821),"No Follow Up Needed",BA821)</f>
        <v>45727</v>
      </c>
      <c r="BC821" s="0" t="s">
        <v>61</v>
      </c>
      <c r="BD821" s="0" t="str">
        <f aca="false">PROPER(IF(ISBLANK(BC821),"Unknown",BC821))</f>
        <v>No</v>
      </c>
      <c r="BF821" s="0" t="str">
        <f aca="false">IF(ISBLANK(BE821),"No comments",BE821)</f>
        <v>No comments</v>
      </c>
      <c r="BH821" s="0" t="str">
        <f aca="false">IF(ISBLANK(BG821),"No comments",BG821)</f>
        <v>No comments</v>
      </c>
      <c r="BI821" s="0" t="s">
        <v>50</v>
      </c>
      <c r="BJ821" s="0" t="str">
        <f aca="false">IF(ISBLANK(BI821),"Not Mentioned",BI821)</f>
        <v>No</v>
      </c>
      <c r="BK821" s="0" t="s">
        <v>61</v>
      </c>
      <c r="BL821" s="0" t="str">
        <f aca="false">PROPER(IF(ISBLANK(BK821),"Not Mentioned",BK821))</f>
        <v>No</v>
      </c>
      <c r="BN821" s="0" t="str">
        <f aca="false">PROPER(IF(ISBLANK(BM821),"Not Mentioned",BM821))</f>
        <v>Not Mentioned</v>
      </c>
      <c r="BO821" s="0" t="s">
        <v>2318</v>
      </c>
      <c r="BP821" s="0" t="str">
        <f aca="false">IF(ISBLANK(BO821),"One-Time Plan",BO821)</f>
        <v>Gold</v>
      </c>
      <c r="BR821" s="0" t="str">
        <f aca="false">PROPER(IF(ISBLANK(BQ821),"No",BQ821))</f>
        <v>No</v>
      </c>
    </row>
    <row r="822" customFormat="false" ht="15" hidden="false" customHeight="false" outlineLevel="0" collapsed="false">
      <c r="A822" s="0" t="s">
        <v>1937</v>
      </c>
      <c r="B822" s="2" t="n">
        <v>45763</v>
      </c>
      <c r="C822" s="2" t="str">
        <f aca="false">TEXT(B822,"dd/mm/yyyy")</f>
        <v>16/04/2025</v>
      </c>
      <c r="D822" s="0" t="s">
        <v>42</v>
      </c>
      <c r="E822" s="0" t="n">
        <v>8065245223</v>
      </c>
      <c r="F822" s="0" t="s">
        <v>67</v>
      </c>
      <c r="G822" s="0" t="s">
        <v>2316</v>
      </c>
      <c r="H822" s="0" t="s">
        <v>1236</v>
      </c>
      <c r="I822" s="0" t="s">
        <v>69</v>
      </c>
      <c r="J822" s="0" t="s">
        <v>2317</v>
      </c>
      <c r="K822" s="3" t="str">
        <f aca="false" t="array" ref="K822:K822">IFERROR(IF(J822&lt;&gt;"",J822,INDEX(J822:J1821,MATCH(1,(F822:F1821=F822)*(I822:I1821=I822)*(L822:L1821=L822)*(J822:J1821&lt;&gt;""),0))),"Not Found")</f>
        <v>Suspension Noise</v>
      </c>
      <c r="L822" s="3" t="s">
        <v>154</v>
      </c>
      <c r="M822" s="0" t="str">
        <f aca="false">PROPER(L822)</f>
        <v>Air Filter</v>
      </c>
      <c r="N822" s="3" t="s">
        <v>109</v>
      </c>
      <c r="O822" s="0" t="str">
        <f aca="false" t="array" ref="O822:O822">IF(N822&lt;&gt;"",N822,_xlfn.xlookup(1,(L822:L1821=L822)*(N822:N1821&lt;&gt;""),N822:N1821,"Not Found"))</f>
        <v>Tijani</v>
      </c>
      <c r="P822" s="4" t="n">
        <v>22462</v>
      </c>
      <c r="Q822" s="0" t="s">
        <v>110</v>
      </c>
      <c r="R822" s="0" t="str">
        <f aca="false">PROPER(Q822)</f>
        <v>Cash</v>
      </c>
      <c r="S822" s="0" t="s">
        <v>63</v>
      </c>
      <c r="T822" s="0" t="n">
        <v>4</v>
      </c>
      <c r="U822" s="5" t="n">
        <f aca="false">IF(ISBLANK(T822),AVERAGE(T822:T1821),T822)</f>
        <v>4</v>
      </c>
      <c r="V822" s="0" t="n">
        <v>2</v>
      </c>
      <c r="W822" s="0" t="s">
        <v>51</v>
      </c>
      <c r="X822" s="0" t="str">
        <f aca="false">IF(ISBLANK(W822),"No remarks",W822)</f>
        <v>Recommended further checks</v>
      </c>
      <c r="Y822" s="0" t="s">
        <v>73</v>
      </c>
      <c r="Z822" s="0" t="s">
        <v>74</v>
      </c>
      <c r="AA822" s="0" t="str">
        <f aca="false">PROPER(IF(ISBLANK(Z822),"Location Unavailable",Z822))</f>
        <v>Under Tree</v>
      </c>
      <c r="AB822" s="0" t="s">
        <v>75</v>
      </c>
      <c r="AC822" s="6" t="str">
        <f aca="false">PROPER(AB822)</f>
        <v>Mechanik Referal</v>
      </c>
      <c r="AD822" s="6" t="n">
        <v>15</v>
      </c>
      <c r="AE822" s="5" t="n">
        <f aca="false">IF(ISBLANK(AD822),AVERAGEIF(L822:L1821,L822,AD822:AD1821),AD822)</f>
        <v>15</v>
      </c>
      <c r="AF822" s="0" t="s">
        <v>76</v>
      </c>
      <c r="AG822" s="0" t="str">
        <f aca="false">PROPER(AF822)</f>
        <v>Orderd</v>
      </c>
      <c r="AH822" s="0" t="s">
        <v>77</v>
      </c>
      <c r="AI822" s="0" t="s">
        <v>78</v>
      </c>
      <c r="AJ822" s="0" t="str">
        <f aca="false">PROPER(AI822)</f>
        <v>Booking</v>
      </c>
      <c r="AK822" s="0" t="s">
        <v>196</v>
      </c>
      <c r="AL822" s="0" t="str">
        <f aca="false">PROPER(AK822)</f>
        <v>First Time</v>
      </c>
      <c r="AM822" s="0" t="s">
        <v>59</v>
      </c>
      <c r="AN822" s="0" t="str">
        <f aca="false">IF(ISBLANK(AM822),"Unknown",AM822)</f>
        <v>Bolt Driver</v>
      </c>
      <c r="AO822" s="0" t="s">
        <v>79</v>
      </c>
      <c r="AP822" s="0" t="str">
        <f aca="false">IF(ISBLANK(AO822),"Unknown",AO822)</f>
        <v>Specialist</v>
      </c>
      <c r="AQ822" s="0" t="n">
        <v>20000</v>
      </c>
      <c r="AR822" s="5" t="n">
        <f aca="false">IF(ISBLANK(AQ822),AVERAGEIF(M822:M1821,M822,AQ822:AQ1821),AQ822)</f>
        <v>20000</v>
      </c>
      <c r="AS822" s="0" t="n">
        <v>30000</v>
      </c>
      <c r="AT822" s="5" t="n">
        <f aca="false">IF(ISBLANK(AS822),AVERAGE(AS822:AS1821),AS822)</f>
        <v>30000</v>
      </c>
      <c r="AU822" s="0" t="s">
        <v>50</v>
      </c>
      <c r="AV822" s="0" t="str">
        <f aca="false">PROPER(IF(ISBLANK(AU822),"No",AU822))</f>
        <v>No</v>
      </c>
      <c r="AW822" s="0" t="n">
        <v>5000</v>
      </c>
      <c r="AX822" s="5" t="n">
        <f aca="false">IF(ISBLANK(AW822),0,AW822)</f>
        <v>5000</v>
      </c>
      <c r="AY822" s="0" t="s">
        <v>80</v>
      </c>
      <c r="AZ822" s="0" t="str">
        <f aca="false">UPPER(IF(ISBLANK(AY822),"NONE",AY822))</f>
        <v>PROMO10</v>
      </c>
      <c r="BA822" s="7" t="n">
        <v>45669</v>
      </c>
      <c r="BB822" s="7" t="n">
        <f aca="false">IF(ISBLANK(BA822),"No Follow Up Needed",BA822)</f>
        <v>45669</v>
      </c>
      <c r="BD822" s="0" t="str">
        <f aca="false">PROPER(IF(ISBLANK(BC822),"Unknown",BC822))</f>
        <v>Unknown</v>
      </c>
      <c r="BF822" s="0" t="str">
        <f aca="false">IF(ISBLANK(BE822),"No comments",BE822)</f>
        <v>No comments</v>
      </c>
      <c r="BH822" s="0" t="str">
        <f aca="false">IF(ISBLANK(BG822),"No comments",BG822)</f>
        <v>No comments</v>
      </c>
      <c r="BJ822" s="0" t="str">
        <f aca="false">IF(ISBLANK(BI822),"Not Mentioned",BI822)</f>
        <v>Not Mentioned</v>
      </c>
      <c r="BL822" s="0" t="str">
        <f aca="false">PROPER(IF(ISBLANK(BK822),"Not Mentioned",BK822))</f>
        <v>Not Mentioned</v>
      </c>
      <c r="BM822" s="0" t="s">
        <v>63</v>
      </c>
      <c r="BN822" s="0" t="str">
        <f aca="false">PROPER(IF(ISBLANK(BM822),"Not Mentioned",BM822))</f>
        <v>Yes</v>
      </c>
      <c r="BO822" s="0" t="s">
        <v>2321</v>
      </c>
      <c r="BP822" s="0" t="str">
        <f aca="false">IF(ISBLANK(BO822),"One-Time Plan",BO822)</f>
        <v>One-Time Plan</v>
      </c>
      <c r="BQ822" s="0" t="s">
        <v>190</v>
      </c>
      <c r="BR822" s="0" t="str">
        <f aca="false">PROPER(IF(ISBLANK(BQ822),"No",BQ822))</f>
        <v>Yes</v>
      </c>
    </row>
    <row r="823" customFormat="false" ht="15" hidden="false" customHeight="false" outlineLevel="0" collapsed="false">
      <c r="A823" s="0" t="s">
        <v>1938</v>
      </c>
      <c r="B823" s="2" t="n">
        <v>45713</v>
      </c>
      <c r="C823" s="2" t="str">
        <f aca="false">TEXT(B823,"dd/mm/yyyy")</f>
        <v>25/02/2025</v>
      </c>
      <c r="D823" s="0" t="s">
        <v>163</v>
      </c>
      <c r="E823" s="0" t="n">
        <v>8021928391</v>
      </c>
      <c r="F823" s="0" t="s">
        <v>67</v>
      </c>
      <c r="G823" s="0" t="s">
        <v>2316</v>
      </c>
      <c r="H823" s="0" t="s">
        <v>1939</v>
      </c>
      <c r="I823" s="0" t="s">
        <v>107</v>
      </c>
      <c r="J823" s="0" t="s">
        <v>2322</v>
      </c>
      <c r="K823" s="3" t="str">
        <f aca="false" t="array" ref="K823:K823">IFERROR(IF(J823&lt;&gt;"",J823,INDEX(J823:J1822,MATCH(1,(F823:F1822=F823)*(I823:I1822=I823)*(L823:L1822=L823)*(J823:J1822&lt;&gt;""),0))),"Not Found")</f>
        <v>Brake Failure</v>
      </c>
      <c r="L823" s="3" t="s">
        <v>47</v>
      </c>
      <c r="M823" s="0" t="str">
        <f aca="false">PROPER(L823)</f>
        <v>None</v>
      </c>
      <c r="N823" s="3" t="s">
        <v>71</v>
      </c>
      <c r="O823" s="0" t="str">
        <f aca="false" t="array" ref="O823:O823">IF(N823&lt;&gt;"",N823,_xlfn.xlookup(1,(L823:L1822=L823)*(N823:N1822&lt;&gt;""),N823:N1822,"Not Found"))</f>
        <v>Isaac Bobo</v>
      </c>
      <c r="P823" s="4" t="n">
        <v>81532</v>
      </c>
      <c r="Q823" s="0" t="s">
        <v>72</v>
      </c>
      <c r="R823" s="0" t="str">
        <f aca="false">PROPER(Q823)</f>
        <v>Pos</v>
      </c>
      <c r="S823" s="0" t="s">
        <v>50</v>
      </c>
      <c r="T823" s="0" t="n">
        <v>2</v>
      </c>
      <c r="U823" s="5" t="n">
        <f aca="false">IF(ISBLANK(T823),AVERAGE(T823:T1822),T823)</f>
        <v>2</v>
      </c>
      <c r="V823" s="0" t="n">
        <v>2.6</v>
      </c>
      <c r="W823" s="0" t="s">
        <v>125</v>
      </c>
      <c r="X823" s="0" t="str">
        <f aca="false">IF(ISBLANK(W823),"No remarks",W823)</f>
        <v>Customer waited</v>
      </c>
      <c r="Y823" s="0" t="s">
        <v>93</v>
      </c>
      <c r="Z823" s="0" t="s">
        <v>53</v>
      </c>
      <c r="AA823" s="0" t="str">
        <f aca="false">PROPER(IF(ISBLANK(Z823),"Location Unavailable",Z823))</f>
        <v>Main Bay</v>
      </c>
      <c r="AB823" s="0" t="s">
        <v>75</v>
      </c>
      <c r="AC823" s="6" t="str">
        <f aca="false">PROPER(AB823)</f>
        <v>Mechanik Referal</v>
      </c>
      <c r="AD823" s="6" t="n">
        <v>60</v>
      </c>
      <c r="AE823" s="5" t="n">
        <f aca="false">IF(ISBLANK(AD823),AVERAGEIF(L823:L1822,L823,AD823:AD1822),AD823)</f>
        <v>60</v>
      </c>
      <c r="AF823" s="0" t="s">
        <v>55</v>
      </c>
      <c r="AG823" s="0" t="str">
        <f aca="false">PROPER(AF823)</f>
        <v>Available</v>
      </c>
      <c r="AH823" s="0" t="s">
        <v>155</v>
      </c>
      <c r="AI823" s="0" t="s">
        <v>98</v>
      </c>
      <c r="AJ823" s="0" t="str">
        <f aca="false">PROPER(AI823)</f>
        <v>Emergency</v>
      </c>
      <c r="AK823" s="0" t="s">
        <v>99</v>
      </c>
      <c r="AL823" s="0" t="str">
        <f aca="false">PROPER(AK823)</f>
        <v>Uber Driver</v>
      </c>
      <c r="AN823" s="0" t="str">
        <f aca="false">IF(ISBLANK(AM823),"Unknown",AM823)</f>
        <v>Unknown</v>
      </c>
      <c r="AO823" s="0" t="s">
        <v>143</v>
      </c>
      <c r="AP823" s="0" t="str">
        <f aca="false">IF(ISBLANK(AO823),"Unknown",AO823)</f>
        <v>Senior</v>
      </c>
      <c r="AR823" s="5" t="n">
        <f aca="false">IF(ISBLANK(AQ823),AVERAGEIF(M823:M1822,M823,AQ823:AQ1822),AQ823)</f>
        <v>25416.6666666667</v>
      </c>
      <c r="AS823" s="0" t="n">
        <v>40000</v>
      </c>
      <c r="AT823" s="5" t="n">
        <f aca="false">IF(ISBLANK(AS823),AVERAGE(AS823:AS1822),AS823)</f>
        <v>40000</v>
      </c>
      <c r="AU823" s="0" t="s">
        <v>82</v>
      </c>
      <c r="AV823" s="0" t="str">
        <f aca="false">PROPER(IF(ISBLANK(AU823),"No",AU823))</f>
        <v>Yes</v>
      </c>
      <c r="AW823" s="0" t="n">
        <v>5000</v>
      </c>
      <c r="AX823" s="5" t="n">
        <f aca="false">IF(ISBLANK(AW823),0,AW823)</f>
        <v>5000</v>
      </c>
      <c r="AZ823" s="0" t="str">
        <f aca="false">UPPER(IF(ISBLANK(AY823),"NONE",AY823))</f>
        <v>NONE</v>
      </c>
      <c r="BB823" s="7" t="str">
        <f aca="false">IF(ISBLANK(BA823),"No Follow Up Needed",BA823)</f>
        <v>No Follow Up Needed</v>
      </c>
      <c r="BC823" s="0" t="s">
        <v>61</v>
      </c>
      <c r="BD823" s="0" t="str">
        <f aca="false">PROPER(IF(ISBLANK(BC823),"Unknown",BC823))</f>
        <v>No</v>
      </c>
      <c r="BF823" s="0" t="str">
        <f aca="false">IF(ISBLANK(BE823),"No comments",BE823)</f>
        <v>No comments</v>
      </c>
      <c r="BG823" s="0" t="s">
        <v>172</v>
      </c>
      <c r="BH823" s="0" t="str">
        <f aca="false">IF(ISBLANK(BG823),"No comments",BG823)</f>
        <v>Always late</v>
      </c>
      <c r="BI823" s="0" t="s">
        <v>63</v>
      </c>
      <c r="BJ823" s="0" t="str">
        <f aca="false">IF(ISBLANK(BI823),"Not Mentioned",BI823)</f>
        <v>Yes</v>
      </c>
      <c r="BK823" s="0" t="s">
        <v>82</v>
      </c>
      <c r="BL823" s="0" t="str">
        <f aca="false">PROPER(IF(ISBLANK(BK823),"Not Mentioned",BK823))</f>
        <v>Yes</v>
      </c>
      <c r="BN823" s="0" t="str">
        <f aca="false">PROPER(IF(ISBLANK(BM823),"Not Mentioned",BM823))</f>
        <v>Not Mentioned</v>
      </c>
      <c r="BO823" s="0" t="s">
        <v>2321</v>
      </c>
      <c r="BP823" s="0" t="str">
        <f aca="false">IF(ISBLANK(BO823),"One-Time Plan",BO823)</f>
        <v>One-Time Plan</v>
      </c>
      <c r="BQ823" s="0" t="s">
        <v>50</v>
      </c>
      <c r="BR823" s="0" t="str">
        <f aca="false">PROPER(IF(ISBLANK(BQ823),"No",BQ823))</f>
        <v>No</v>
      </c>
    </row>
    <row r="824" customFormat="false" ht="15" hidden="false" customHeight="false" outlineLevel="0" collapsed="false">
      <c r="A824" s="0" t="s">
        <v>1940</v>
      </c>
      <c r="B824" s="2" t="n">
        <v>45815</v>
      </c>
      <c r="C824" s="2" t="str">
        <f aca="false">TEXT(B824,"dd/mm/yyyy")</f>
        <v>07/06/2025</v>
      </c>
      <c r="D824" s="0" t="s">
        <v>42</v>
      </c>
      <c r="E824" s="0" t="n">
        <v>8024666517</v>
      </c>
      <c r="F824" s="0" t="s">
        <v>122</v>
      </c>
      <c r="G824" s="0" t="s">
        <v>2316</v>
      </c>
      <c r="H824" s="0" t="s">
        <v>665</v>
      </c>
      <c r="I824" s="0" t="s">
        <v>134</v>
      </c>
      <c r="J824" s="0" t="s">
        <v>2322</v>
      </c>
      <c r="K824" s="3" t="str">
        <f aca="false" t="array" ref="K824:K824">IFERROR(IF(J824&lt;&gt;"",J824,INDEX(J824:J1823,MATCH(1,(F824:F1823=F824)*(I824:I1823=I824)*(L824:L1823=L824)*(J824:J1823&lt;&gt;""),0))),"Not Found")</f>
        <v>Brake Failure</v>
      </c>
      <c r="L824" s="3" t="s">
        <v>89</v>
      </c>
      <c r="M824" s="0" t="str">
        <f aca="false">PROPER(L824)</f>
        <v>Shock Absorbers</v>
      </c>
      <c r="N824" s="3" t="s">
        <v>109</v>
      </c>
      <c r="O824" s="0" t="str">
        <f aca="false" t="array" ref="O824:O824">IF(N824&lt;&gt;"",N824,_xlfn.xlookup(1,(L824:L1823=L824)*(N824:N1823&lt;&gt;""),N824:N1823,"Not Found"))</f>
        <v>Tijani</v>
      </c>
      <c r="P824" s="4" t="n">
        <v>114750</v>
      </c>
      <c r="Q824" s="0" t="s">
        <v>110</v>
      </c>
      <c r="R824" s="0" t="str">
        <f aca="false">PROPER(Q824)</f>
        <v>Cash</v>
      </c>
      <c r="S824" s="0" t="s">
        <v>63</v>
      </c>
      <c r="T824" s="0" t="n">
        <v>2</v>
      </c>
      <c r="U824" s="5" t="n">
        <f aca="false">IF(ISBLANK(T824),AVERAGE(T824:T1823),T824)</f>
        <v>2</v>
      </c>
      <c r="V824" s="0" t="n">
        <v>2.2</v>
      </c>
      <c r="W824" s="0" t="s">
        <v>125</v>
      </c>
      <c r="X824" s="0" t="str">
        <f aca="false">IF(ISBLANK(W824),"No remarks",W824)</f>
        <v>Customer waited</v>
      </c>
      <c r="Y824" s="0" t="s">
        <v>93</v>
      </c>
      <c r="Z824" s="0" t="s">
        <v>159</v>
      </c>
      <c r="AA824" s="0" t="str">
        <f aca="false">PROPER(IF(ISBLANK(Z824),"Location Unavailable",Z824))</f>
        <v>Main Bay</v>
      </c>
      <c r="AB824" s="0" t="s">
        <v>75</v>
      </c>
      <c r="AC824" s="6" t="str">
        <f aca="false">PROPER(AB824)</f>
        <v>Mechanik Referal</v>
      </c>
      <c r="AE824" s="5" t="n">
        <f aca="false">IF(ISBLANK(AD824),AVERAGEIF(L824:L1823,L824,AD824:AD1823),AD824)</f>
        <v>38.6538461538462</v>
      </c>
      <c r="AF824" s="0" t="s">
        <v>160</v>
      </c>
      <c r="AG824" s="0" t="str">
        <f aca="false">PROPER(AF824)</f>
        <v>Availaible</v>
      </c>
      <c r="AH824" s="0" t="s">
        <v>77</v>
      </c>
      <c r="AI824" s="0" t="s">
        <v>98</v>
      </c>
      <c r="AJ824" s="0" t="str">
        <f aca="false">PROPER(AI824)</f>
        <v>Emergency</v>
      </c>
      <c r="AK824" s="0" t="s">
        <v>99</v>
      </c>
      <c r="AL824" s="0" t="str">
        <f aca="false">PROPER(AK824)</f>
        <v>Uber Driver</v>
      </c>
      <c r="AM824" s="0" t="s">
        <v>177</v>
      </c>
      <c r="AN824" s="0" t="str">
        <f aca="false">IF(ISBLANK(AM824),"Unknown",AM824)</f>
        <v>Private</v>
      </c>
      <c r="AO824" s="0" t="s">
        <v>149</v>
      </c>
      <c r="AP824" s="0" t="str">
        <f aca="false">IF(ISBLANK(AO824),"Unknown",AO824)</f>
        <v>Senior </v>
      </c>
      <c r="AQ824" s="0" t="n">
        <v>40000</v>
      </c>
      <c r="AR824" s="5" t="n">
        <f aca="false">IF(ISBLANK(AQ824),AVERAGEIF(M824:M1823,M824,AQ824:AQ1823),AQ824)</f>
        <v>40000</v>
      </c>
      <c r="AT824" s="5" t="n">
        <f aca="false">IF(ISBLANK(AS824),AVERAGE(AS824:AS1823),AS824)</f>
        <v>31688.7417218543</v>
      </c>
      <c r="AU824" s="0" t="s">
        <v>50</v>
      </c>
      <c r="AV824" s="0" t="str">
        <f aca="false">PROPER(IF(ISBLANK(AU824),"No",AU824))</f>
        <v>No</v>
      </c>
      <c r="AW824" s="0" t="n">
        <v>5000</v>
      </c>
      <c r="AX824" s="5" t="n">
        <f aca="false">IF(ISBLANK(AW824),0,AW824)</f>
        <v>5000</v>
      </c>
      <c r="AY824" s="0" t="s">
        <v>60</v>
      </c>
      <c r="AZ824" s="0" t="str">
        <f aca="false">UPPER(IF(ISBLANK(AY824),"NONE",AY824))</f>
        <v>NONE</v>
      </c>
      <c r="BA824" s="7" t="n">
        <v>45889</v>
      </c>
      <c r="BB824" s="7" t="n">
        <f aca="false">IF(ISBLANK(BA824),"No Follow Up Needed",BA824)</f>
        <v>45889</v>
      </c>
      <c r="BC824" s="0" t="s">
        <v>50</v>
      </c>
      <c r="BD824" s="0" t="str">
        <f aca="false">PROPER(IF(ISBLANK(BC824),"Unknown",BC824))</f>
        <v>No</v>
      </c>
      <c r="BE824" s="0" t="s">
        <v>171</v>
      </c>
      <c r="BF824" s="0" t="str">
        <f aca="false">IF(ISBLANK(BE824),"No comments",BE824)</f>
        <v>Shock absorber weakening</v>
      </c>
      <c r="BH824" s="0" t="str">
        <f aca="false">IF(ISBLANK(BG824),"No comments",BG824)</f>
        <v>No comments</v>
      </c>
      <c r="BJ824" s="0" t="str">
        <f aca="false">IF(ISBLANK(BI824),"Not Mentioned",BI824)</f>
        <v>Not Mentioned</v>
      </c>
      <c r="BK824" s="0" t="s">
        <v>82</v>
      </c>
      <c r="BL824" s="0" t="str">
        <f aca="false">PROPER(IF(ISBLANK(BK824),"Not Mentioned",BK824))</f>
        <v>Yes</v>
      </c>
      <c r="BN824" s="0" t="str">
        <f aca="false">PROPER(IF(ISBLANK(BM824),"Not Mentioned",BM824))</f>
        <v>Not Mentioned</v>
      </c>
      <c r="BO824" s="0" t="s">
        <v>2318</v>
      </c>
      <c r="BP824" s="0" t="str">
        <f aca="false">IF(ISBLANK(BO824),"One-Time Plan",BO824)</f>
        <v>Gold</v>
      </c>
      <c r="BR824" s="0" t="str">
        <f aca="false">PROPER(IF(ISBLANK(BQ824),"No",BQ824))</f>
        <v>No</v>
      </c>
    </row>
    <row r="825" customFormat="false" ht="15" hidden="false" customHeight="false" outlineLevel="0" collapsed="false">
      <c r="A825" s="0" t="s">
        <v>1941</v>
      </c>
      <c r="B825" s="2" t="n">
        <v>45799</v>
      </c>
      <c r="C825" s="2" t="str">
        <f aca="false">TEXT(B825,"dd/mm/yyyy")</f>
        <v>22/05/2025</v>
      </c>
      <c r="D825" s="0" t="s">
        <v>121</v>
      </c>
      <c r="E825" s="0" t="n">
        <v>8095386667</v>
      </c>
      <c r="F825" s="0" t="s">
        <v>85</v>
      </c>
      <c r="G825" s="0" t="s">
        <v>2319</v>
      </c>
      <c r="H825" s="0" t="s">
        <v>1942</v>
      </c>
      <c r="I825" s="0" t="s">
        <v>107</v>
      </c>
      <c r="J825" s="0" t="s">
        <v>87</v>
      </c>
      <c r="K825" s="3" t="str">
        <f aca="false" t="array" ref="K825:K825">IFERROR(IF(J825&lt;&gt;"",J825,INDEX(J825:J1824,MATCH(1,(F825:F1824=F825)*(I825:I1824=I825)*(L825:L1824=L825)*(J825:J1824&lt;&gt;""),0))),"Not Found")</f>
        <v>Oil Change</v>
      </c>
      <c r="L825" s="3" t="s">
        <v>154</v>
      </c>
      <c r="M825" s="0" t="str">
        <f aca="false">PROPER(L825)</f>
        <v>Air Filter</v>
      </c>
      <c r="N825" s="3" t="s">
        <v>109</v>
      </c>
      <c r="O825" s="0" t="str">
        <f aca="false" t="array" ref="O825:O825">IF(N825&lt;&gt;"",N825,_xlfn.xlookup(1,(L825:L1824=L825)*(N825:N1824&lt;&gt;""),N825:N1824,"Not Found"))</f>
        <v>Tijani</v>
      </c>
      <c r="P825" s="4" t="n">
        <v>20969</v>
      </c>
      <c r="Q825" s="0" t="s">
        <v>72</v>
      </c>
      <c r="R825" s="0" t="str">
        <f aca="false">PROPER(Q825)</f>
        <v>Pos</v>
      </c>
      <c r="S825" s="0" t="s">
        <v>63</v>
      </c>
      <c r="T825" s="0" t="n">
        <v>2</v>
      </c>
      <c r="U825" s="5" t="n">
        <f aca="false">IF(ISBLANK(T825),AVERAGE(T825:T1824),T825)</f>
        <v>2</v>
      </c>
      <c r="V825" s="0" t="n">
        <v>3.7</v>
      </c>
      <c r="W825" s="0" t="s">
        <v>125</v>
      </c>
      <c r="X825" s="0" t="str">
        <f aca="false">IF(ISBLANK(W825),"No remarks",W825)</f>
        <v>Customer waited</v>
      </c>
      <c r="Y825" s="0" t="s">
        <v>52</v>
      </c>
      <c r="Z825" s="0" t="s">
        <v>74</v>
      </c>
      <c r="AA825" s="0" t="str">
        <f aca="false">PROPER(IF(ISBLANK(Z825),"Location Unavailable",Z825))</f>
        <v>Under Tree</v>
      </c>
      <c r="AB825" s="0" t="s">
        <v>95</v>
      </c>
      <c r="AC825" s="6" t="str">
        <f aca="false">PROPER(AB825)</f>
        <v>Road Sign</v>
      </c>
      <c r="AD825" s="6" t="n">
        <v>60</v>
      </c>
      <c r="AE825" s="5" t="n">
        <f aca="false">IF(ISBLANK(AD825),AVERAGEIF(L825:L1824,L825,AD825:AD1824),AD825)</f>
        <v>60</v>
      </c>
      <c r="AF825" s="0" t="s">
        <v>96</v>
      </c>
      <c r="AG825" s="0" t="str">
        <f aca="false">PROPER(AF825)</f>
        <v>Ordered</v>
      </c>
      <c r="AH825" s="0" t="s">
        <v>155</v>
      </c>
      <c r="AI825" s="0" t="s">
        <v>78</v>
      </c>
      <c r="AJ825" s="0" t="str">
        <f aca="false">PROPER(AI825)</f>
        <v>Booking</v>
      </c>
      <c r="AK825" s="0" t="s">
        <v>196</v>
      </c>
      <c r="AL825" s="0" t="str">
        <f aca="false">PROPER(AK825)</f>
        <v>First Time</v>
      </c>
      <c r="AN825" s="0" t="str">
        <f aca="false">IF(ISBLANK(AM825),"Unknown",AM825)</f>
        <v>Unknown</v>
      </c>
      <c r="AO825" s="0" t="s">
        <v>79</v>
      </c>
      <c r="AP825" s="0" t="str">
        <f aca="false">IF(ISBLANK(AO825),"Unknown",AO825)</f>
        <v>Specialist</v>
      </c>
      <c r="AQ825" s="0" t="n">
        <v>20000</v>
      </c>
      <c r="AR825" s="5" t="n">
        <f aca="false">IF(ISBLANK(AQ825),AVERAGEIF(M825:M1824,M825,AQ825:AQ1824),AQ825)</f>
        <v>20000</v>
      </c>
      <c r="AS825" s="0" t="n">
        <v>40000</v>
      </c>
      <c r="AT825" s="5" t="n">
        <f aca="false">IF(ISBLANK(AS825),AVERAGE(AS825:AS1824),AS825)</f>
        <v>40000</v>
      </c>
      <c r="AV825" s="0" t="str">
        <f aca="false">PROPER(IF(ISBLANK(AU825),"No",AU825))</f>
        <v>No</v>
      </c>
      <c r="AW825" s="0" t="n">
        <v>10000</v>
      </c>
      <c r="AX825" s="5" t="n">
        <f aca="false">IF(ISBLANK(AW825),0,AW825)</f>
        <v>10000</v>
      </c>
      <c r="AZ825" s="0" t="str">
        <f aca="false">UPPER(IF(ISBLANK(AY825),"NONE",AY825))</f>
        <v>NONE</v>
      </c>
      <c r="BA825" s="7" t="s">
        <v>1909</v>
      </c>
      <c r="BB825" s="7" t="str">
        <f aca="false">IF(ISBLANK(BA825),"No Follow Up Needed",BA825)</f>
        <v>17/10/2025</v>
      </c>
      <c r="BC825" s="0" t="s">
        <v>50</v>
      </c>
      <c r="BD825" s="0" t="str">
        <f aca="false">PROPER(IF(ISBLANK(BC825),"Unknown",BC825))</f>
        <v>No</v>
      </c>
      <c r="BF825" s="0" t="str">
        <f aca="false">IF(ISBLANK(BE825),"No comments",BE825)</f>
        <v>No comments</v>
      </c>
      <c r="BG825" s="0" t="s">
        <v>172</v>
      </c>
      <c r="BH825" s="0" t="str">
        <f aca="false">IF(ISBLANK(BG825),"No comments",BG825)</f>
        <v>Always late</v>
      </c>
      <c r="BI825" s="0" t="s">
        <v>50</v>
      </c>
      <c r="BJ825" s="0" t="str">
        <f aca="false">IF(ISBLANK(BI825),"Not Mentioned",BI825)</f>
        <v>No</v>
      </c>
      <c r="BK825" s="0" t="s">
        <v>82</v>
      </c>
      <c r="BL825" s="0" t="str">
        <f aca="false">PROPER(IF(ISBLANK(BK825),"Not Mentioned",BK825))</f>
        <v>Yes</v>
      </c>
      <c r="BN825" s="0" t="str">
        <f aca="false">PROPER(IF(ISBLANK(BM825),"Not Mentioned",BM825))</f>
        <v>Not Mentioned</v>
      </c>
      <c r="BO825" s="0" t="s">
        <v>64</v>
      </c>
      <c r="BP825" s="0" t="str">
        <f aca="false">IF(ISBLANK(BO825),"One-Time Plan",BO825)</f>
        <v>Gold Maintenance Plan</v>
      </c>
      <c r="BQ825" s="0" t="s">
        <v>50</v>
      </c>
      <c r="BR825" s="0" t="str">
        <f aca="false">PROPER(IF(ISBLANK(BQ825),"No",BQ825))</f>
        <v>No</v>
      </c>
    </row>
    <row r="826" customFormat="false" ht="15" hidden="false" customHeight="false" outlineLevel="0" collapsed="false">
      <c r="A826" s="0" t="s">
        <v>1943</v>
      </c>
      <c r="B826" s="2" t="n">
        <v>45687</v>
      </c>
      <c r="C826" s="2" t="str">
        <f aca="false">TEXT(B826,"dd/mm/yyyy")</f>
        <v>30/01/2025</v>
      </c>
      <c r="D826" s="0" t="s">
        <v>42</v>
      </c>
      <c r="E826" s="0" t="n">
        <v>8086854640</v>
      </c>
      <c r="F826" s="0" t="s">
        <v>43</v>
      </c>
      <c r="G826" s="0" t="s">
        <v>2315</v>
      </c>
      <c r="H826" s="0" t="s">
        <v>460</v>
      </c>
      <c r="I826" s="0" t="s">
        <v>107</v>
      </c>
      <c r="J826" s="0" t="s">
        <v>2325</v>
      </c>
      <c r="K826" s="3" t="str">
        <f aca="false" t="array" ref="K826:K826">IFERROR(IF(J826&lt;&gt;"",J826,INDEX(J826:J1825,MATCH(1,(F826:F1825=F826)*(I826:I1825=I826)*(L826:L1825=L826)*(J826:J1825&lt;&gt;""),0))),"Not Found")</f>
        <v>Engine Knocking</v>
      </c>
      <c r="L826" s="3" t="s">
        <v>47</v>
      </c>
      <c r="M826" s="0" t="str">
        <f aca="false">PROPER(L826)</f>
        <v>None</v>
      </c>
      <c r="N826" s="3" t="s">
        <v>48</v>
      </c>
      <c r="O826" s="0" t="str">
        <f aca="false" t="array" ref="O826:O826">IF(N826&lt;&gt;"",N826,_xlfn.xlookup(1,(L826:L1825=L826)*(N826:N1825&lt;&gt;""),N826:N1825,"Not Found"))</f>
        <v>Uche</v>
      </c>
      <c r="P826" s="4" t="n">
        <v>40829</v>
      </c>
      <c r="Q826" s="0" t="s">
        <v>91</v>
      </c>
      <c r="R826" s="0" t="str">
        <f aca="false">PROPER(Q826)</f>
        <v>Pos</v>
      </c>
      <c r="S826" s="0" t="s">
        <v>63</v>
      </c>
      <c r="T826" s="0" t="n">
        <v>5</v>
      </c>
      <c r="U826" s="5" t="n">
        <f aca="false">IF(ISBLANK(T826),AVERAGE(T826:T1825),T826)</f>
        <v>5</v>
      </c>
      <c r="V826" s="0" t="n">
        <v>3.5</v>
      </c>
      <c r="W826" s="0" t="s">
        <v>111</v>
      </c>
      <c r="X826" s="0" t="str">
        <f aca="false">IF(ISBLANK(W826),"No remarks",W826)</f>
        <v>Changed all filters</v>
      </c>
      <c r="Y826" s="0" t="s">
        <v>52</v>
      </c>
      <c r="Z826" s="0" t="s">
        <v>136</v>
      </c>
      <c r="AA826" s="0" t="str">
        <f aca="false">PROPER(IF(ISBLANK(Z826),"Location Unavailable",Z826))</f>
        <v>Vip Section</v>
      </c>
      <c r="AB826" s="0" t="s">
        <v>95</v>
      </c>
      <c r="AC826" s="6" t="str">
        <f aca="false">PROPER(AB826)</f>
        <v>Road Sign</v>
      </c>
      <c r="AD826" s="6" t="n">
        <v>30</v>
      </c>
      <c r="AE826" s="5" t="n">
        <f aca="false">IF(ISBLANK(AD826),AVERAGEIF(L826:L1825,L826,AD826:AD1825),AD826)</f>
        <v>30</v>
      </c>
      <c r="AF826" s="0" t="s">
        <v>55</v>
      </c>
      <c r="AG826" s="0" t="str">
        <f aca="false">PROPER(AF826)</f>
        <v>Available</v>
      </c>
      <c r="AH826" s="0" t="s">
        <v>148</v>
      </c>
      <c r="AI826" s="0" t="s">
        <v>98</v>
      </c>
      <c r="AJ826" s="0" t="str">
        <f aca="false">PROPER(AI826)</f>
        <v>Emergency</v>
      </c>
      <c r="AK826" s="0" t="s">
        <v>99</v>
      </c>
      <c r="AL826" s="0" t="str">
        <f aca="false">PROPER(AK826)</f>
        <v>Uber Driver</v>
      </c>
      <c r="AM826" s="0" t="s">
        <v>59</v>
      </c>
      <c r="AN826" s="0" t="str">
        <f aca="false">IF(ISBLANK(AM826),"Unknown",AM826)</f>
        <v>Bolt Driver</v>
      </c>
      <c r="AO826" s="0" t="s">
        <v>143</v>
      </c>
      <c r="AP826" s="0" t="str">
        <f aca="false">IF(ISBLANK(AO826),"Unknown",AO826)</f>
        <v>Senior</v>
      </c>
      <c r="AQ826" s="0" t="n">
        <v>25000</v>
      </c>
      <c r="AR826" s="5" t="n">
        <f aca="false">IF(ISBLANK(AQ826),AVERAGEIF(M826:M1825,M826,AQ826:AQ1825),AQ826)</f>
        <v>25000</v>
      </c>
      <c r="AS826" s="0" t="n">
        <v>35000</v>
      </c>
      <c r="AT826" s="5" t="n">
        <f aca="false">IF(ISBLANK(AS826),AVERAGE(AS826:AS1825),AS826)</f>
        <v>35000</v>
      </c>
      <c r="AU826" s="0" t="s">
        <v>82</v>
      </c>
      <c r="AV826" s="0" t="str">
        <f aca="false">PROPER(IF(ISBLANK(AU826),"No",AU826))</f>
        <v>Yes</v>
      </c>
      <c r="AW826" s="0" t="n">
        <v>5000</v>
      </c>
      <c r="AX826" s="5" t="n">
        <f aca="false">IF(ISBLANK(AW826),0,AW826)</f>
        <v>5000</v>
      </c>
      <c r="AZ826" s="0" t="str">
        <f aca="false">UPPER(IF(ISBLANK(AY826),"NONE",AY826))</f>
        <v>NONE</v>
      </c>
      <c r="BA826" s="7" t="n">
        <v>45889</v>
      </c>
      <c r="BB826" s="7" t="n">
        <f aca="false">IF(ISBLANK(BA826),"No Follow Up Needed",BA826)</f>
        <v>45889</v>
      </c>
      <c r="BD826" s="0" t="str">
        <f aca="false">PROPER(IF(ISBLANK(BC826),"Unknown",BC826))</f>
        <v>Unknown</v>
      </c>
      <c r="BE826" s="0" t="s">
        <v>171</v>
      </c>
      <c r="BF826" s="0" t="str">
        <f aca="false">IF(ISBLANK(BE826),"No comments",BE826)</f>
        <v>Shock absorber weakening</v>
      </c>
      <c r="BG826" s="0" t="s">
        <v>117</v>
      </c>
      <c r="BH826" s="0" t="str">
        <f aca="false">IF(ISBLANK(BG826),"No comments",BG826)</f>
        <v>Prefers morning</v>
      </c>
      <c r="BI826" s="0" t="s">
        <v>63</v>
      </c>
      <c r="BJ826" s="0" t="str">
        <f aca="false">IF(ISBLANK(BI826),"Not Mentioned",BI826)</f>
        <v>Yes</v>
      </c>
      <c r="BK826" s="0" t="s">
        <v>63</v>
      </c>
      <c r="BL826" s="0" t="str">
        <f aca="false">PROPER(IF(ISBLANK(BK826),"Not Mentioned",BK826))</f>
        <v>Yes</v>
      </c>
      <c r="BM826" s="0" t="s">
        <v>50</v>
      </c>
      <c r="BN826" s="0" t="str">
        <f aca="false">PROPER(IF(ISBLANK(BM826),"Not Mentioned",BM826))</f>
        <v>No</v>
      </c>
      <c r="BP826" s="0" t="str">
        <f aca="false">IF(ISBLANK(BO826),"One-Time Plan",BO826)</f>
        <v>One-Time Plan</v>
      </c>
      <c r="BQ826" s="0" t="s">
        <v>190</v>
      </c>
      <c r="BR826" s="0" t="str">
        <f aca="false">PROPER(IF(ISBLANK(BQ826),"No",BQ826))</f>
        <v>Yes</v>
      </c>
    </row>
    <row r="827" customFormat="false" ht="15" hidden="false" customHeight="false" outlineLevel="0" collapsed="false">
      <c r="A827" s="0" t="s">
        <v>1944</v>
      </c>
      <c r="B827" s="2" t="n">
        <v>45718</v>
      </c>
      <c r="C827" s="2" t="str">
        <f aca="false">TEXT(B827,"dd/mm/yyyy")</f>
        <v>02/03/2025</v>
      </c>
      <c r="D827" s="0" t="s">
        <v>66</v>
      </c>
      <c r="E827" s="0" t="n">
        <v>8056223620</v>
      </c>
      <c r="F827" s="0" t="s">
        <v>85</v>
      </c>
      <c r="G827" s="0" t="s">
        <v>2319</v>
      </c>
      <c r="H827" s="0" t="s">
        <v>1945</v>
      </c>
      <c r="I827" s="0" t="s">
        <v>134</v>
      </c>
      <c r="J827" s="0" t="s">
        <v>2325</v>
      </c>
      <c r="K827" s="3" t="str">
        <f aca="false" t="array" ref="K827:K827">IFERROR(IF(J827&lt;&gt;"",J827,INDEX(J827:J1826,MATCH(1,(F827:F1826=F827)*(I827:I1826=I827)*(L827:L1826=L827)*(J827:J1826&lt;&gt;""),0))),"Not Found")</f>
        <v>Engine Knocking</v>
      </c>
      <c r="L827" s="3" t="s">
        <v>47</v>
      </c>
      <c r="M827" s="0" t="str">
        <f aca="false">PROPER(L827)</f>
        <v>None</v>
      </c>
      <c r="O827" s="0" t="e">
        <f aca="false" t="array" ref="O827:O827">IF(N827&lt;&gt;"",N827,_xlfn.xlookup(1,(L827:L1826=L827)*(N827:N1826&lt;&gt;""),N827:N1826,"Not Found"))</f>
        <v>#NAME?</v>
      </c>
      <c r="P827" s="4" t="n">
        <v>58414</v>
      </c>
      <c r="Q827" s="0" t="s">
        <v>49</v>
      </c>
      <c r="R827" s="0" t="str">
        <f aca="false">PROPER(Q827)</f>
        <v>Transfer</v>
      </c>
      <c r="S827" s="0" t="s">
        <v>63</v>
      </c>
      <c r="T827" s="0" t="n">
        <v>2</v>
      </c>
      <c r="U827" s="5" t="n">
        <f aca="false">IF(ISBLANK(T827),AVERAGE(T827:T1826),T827)</f>
        <v>2</v>
      </c>
      <c r="V827" s="0" t="n">
        <v>2.4</v>
      </c>
      <c r="W827" s="0" t="s">
        <v>51</v>
      </c>
      <c r="X827" s="0" t="str">
        <f aca="false">IF(ISBLANK(W827),"No remarks",W827)</f>
        <v>Recommended further checks</v>
      </c>
      <c r="Y827" s="0" t="s">
        <v>73</v>
      </c>
      <c r="Z827" s="0" t="s">
        <v>94</v>
      </c>
      <c r="AA827" s="0" t="str">
        <f aca="false">PROPER(IF(ISBLANK(Z827),"Location Unavailable",Z827))</f>
        <v>Vip Section</v>
      </c>
      <c r="AB827" s="0" t="s">
        <v>147</v>
      </c>
      <c r="AC827" s="6" t="str">
        <f aca="false">PROPER(AB827)</f>
        <v>Instagram</v>
      </c>
      <c r="AD827" s="6" t="n">
        <v>15</v>
      </c>
      <c r="AE827" s="5" t="n">
        <f aca="false">IF(ISBLANK(AD827),AVERAGEIF(L827:L1826,L827,AD827:AD1826),AD827)</f>
        <v>15</v>
      </c>
      <c r="AF827" s="0" t="s">
        <v>112</v>
      </c>
      <c r="AG827" s="0" t="str">
        <f aca="false">PROPER(AF827)</f>
        <v>Unavailable</v>
      </c>
      <c r="AH827" s="0" t="s">
        <v>56</v>
      </c>
      <c r="AI827" s="0" t="s">
        <v>98</v>
      </c>
      <c r="AJ827" s="0" t="str">
        <f aca="false">PROPER(AI827)</f>
        <v>Emergency</v>
      </c>
      <c r="AK827" s="0" t="s">
        <v>58</v>
      </c>
      <c r="AL827" s="0" t="str">
        <f aca="false">PROPER(AK827)</f>
        <v>Fleet Owner</v>
      </c>
      <c r="AM827" s="0" t="s">
        <v>2324</v>
      </c>
      <c r="AN827" s="0" t="str">
        <f aca="false">IF(ISBLANK(AM827),"Unknown",AM827)</f>
        <v>Logistics Convoy</v>
      </c>
      <c r="AO827" s="0" t="s">
        <v>79</v>
      </c>
      <c r="AP827" s="0" t="str">
        <f aca="false">IF(ISBLANK(AO827),"Unknown",AO827)</f>
        <v>Specialist</v>
      </c>
      <c r="AQ827" s="0" t="n">
        <v>15000</v>
      </c>
      <c r="AR827" s="5" t="n">
        <f aca="false">IF(ISBLANK(AQ827),AVERAGEIF(M827:M1826,M827,AQ827:AQ1826),AQ827)</f>
        <v>15000</v>
      </c>
      <c r="AS827" s="0" t="n">
        <v>35000</v>
      </c>
      <c r="AT827" s="5" t="n">
        <f aca="false">IF(ISBLANK(AS827),AVERAGE(AS827:AS1826),AS827)</f>
        <v>35000</v>
      </c>
      <c r="AV827" s="0" t="str">
        <f aca="false">PROPER(IF(ISBLANK(AU827),"No",AU827))</f>
        <v>No</v>
      </c>
      <c r="AX827" s="5" t="n">
        <f aca="false">IF(ISBLANK(AW827),0,AW827)</f>
        <v>0</v>
      </c>
      <c r="AY827" s="0" t="s">
        <v>184</v>
      </c>
      <c r="AZ827" s="0" t="str">
        <f aca="false">UPPER(IF(ISBLANK(AY827),"NONE",AY827))</f>
        <v>N/A</v>
      </c>
      <c r="BA827" s="7" t="n">
        <v>45898</v>
      </c>
      <c r="BB827" s="7" t="n">
        <f aca="false">IF(ISBLANK(BA827),"No Follow Up Needed",BA827)</f>
        <v>45898</v>
      </c>
      <c r="BC827" s="0" t="s">
        <v>50</v>
      </c>
      <c r="BD827" s="0" t="str">
        <f aca="false">PROPER(IF(ISBLANK(BC827),"Unknown",BC827))</f>
        <v>No</v>
      </c>
      <c r="BE827" s="0" t="s">
        <v>116</v>
      </c>
      <c r="BF827" s="0" t="str">
        <f aca="false">IF(ISBLANK(BE827),"No comments",BE827)</f>
        <v>Needs tire alignment</v>
      </c>
      <c r="BG827" s="0" t="s">
        <v>172</v>
      </c>
      <c r="BH827" s="0" t="str">
        <f aca="false">IF(ISBLANK(BG827),"No comments",BG827)</f>
        <v>Always late</v>
      </c>
      <c r="BI827" s="0" t="s">
        <v>63</v>
      </c>
      <c r="BJ827" s="0" t="str">
        <f aca="false">IF(ISBLANK(BI827),"Not Mentioned",BI827)</f>
        <v>Yes</v>
      </c>
      <c r="BL827" s="0" t="str">
        <f aca="false">PROPER(IF(ISBLANK(BK827),"Not Mentioned",BK827))</f>
        <v>Not Mentioned</v>
      </c>
      <c r="BN827" s="0" t="str">
        <f aca="false">PROPER(IF(ISBLANK(BM827),"Not Mentioned",BM827))</f>
        <v>Not Mentioned</v>
      </c>
      <c r="BO827" s="0" t="s">
        <v>2321</v>
      </c>
      <c r="BP827" s="0" t="str">
        <f aca="false">IF(ISBLANK(BO827),"One-Time Plan",BO827)</f>
        <v>One-Time Plan</v>
      </c>
      <c r="BR827" s="0" t="str">
        <f aca="false">PROPER(IF(ISBLANK(BQ827),"No",BQ827))</f>
        <v>No</v>
      </c>
    </row>
    <row r="828" customFormat="false" ht="15" hidden="false" customHeight="false" outlineLevel="0" collapsed="false">
      <c r="A828" s="0" t="s">
        <v>1946</v>
      </c>
      <c r="B828" s="2" t="n">
        <v>45747</v>
      </c>
      <c r="C828" s="2" t="str">
        <f aca="false">TEXT(B828,"dd/mm/yyyy")</f>
        <v>31/03/2025</v>
      </c>
      <c r="D828" s="0" t="s">
        <v>121</v>
      </c>
      <c r="E828" s="0" t="n">
        <v>8029154679</v>
      </c>
      <c r="F828" s="0" t="s">
        <v>122</v>
      </c>
      <c r="G828" s="0" t="s">
        <v>2316</v>
      </c>
      <c r="H828" s="0" t="s">
        <v>1947</v>
      </c>
      <c r="I828" s="0" t="s">
        <v>45</v>
      </c>
      <c r="J828" s="0" t="s">
        <v>2325</v>
      </c>
      <c r="K828" s="3" t="str">
        <f aca="false" t="array" ref="K828:K828">IFERROR(IF(J828&lt;&gt;"",J828,INDEX(J828:J1827,MATCH(1,(F828:F1827=F828)*(I828:I1827=I828)*(L828:L1827=L828)*(J828:J1827&lt;&gt;""),0))),"Not Found")</f>
        <v>Engine Knocking</v>
      </c>
      <c r="L828" s="3" t="s">
        <v>108</v>
      </c>
      <c r="M828" s="0" t="str">
        <f aca="false">PROPER(L828)</f>
        <v>Timing Belt</v>
      </c>
      <c r="N828" s="3" t="s">
        <v>109</v>
      </c>
      <c r="O828" s="0" t="str">
        <f aca="false" t="array" ref="O828:O828">IF(N828&lt;&gt;"",N828,_xlfn.xlookup(1,(L828:L1827=L828)*(N828:N1827&lt;&gt;""),N828:N1827,"Not Found"))</f>
        <v>Tijani</v>
      </c>
      <c r="P828" s="4" t="n">
        <v>99698</v>
      </c>
      <c r="Q828" s="0" t="s">
        <v>110</v>
      </c>
      <c r="R828" s="0" t="str">
        <f aca="false">PROPER(Q828)</f>
        <v>Cash</v>
      </c>
      <c r="S828" s="0" t="s">
        <v>50</v>
      </c>
      <c r="T828" s="0" t="n">
        <v>5</v>
      </c>
      <c r="U828" s="5" t="n">
        <f aca="false">IF(ISBLANK(T828),AVERAGE(T828:T1827),T828)</f>
        <v>5</v>
      </c>
      <c r="V828" s="0" t="n">
        <v>5.7</v>
      </c>
      <c r="W828" s="0" t="s">
        <v>92</v>
      </c>
      <c r="X828" s="0" t="str">
        <f aca="false">IF(ISBLANK(W828),"No remarks",W828)</f>
        <v>Urgent service</v>
      </c>
      <c r="Y828" s="0" t="s">
        <v>93</v>
      </c>
      <c r="Z828" s="0" t="s">
        <v>136</v>
      </c>
      <c r="AA828" s="0" t="str">
        <f aca="false">PROPER(IF(ISBLANK(Z828),"Location Unavailable",Z828))</f>
        <v>Vip Section</v>
      </c>
      <c r="AB828" s="0" t="s">
        <v>126</v>
      </c>
      <c r="AC828" s="6" t="str">
        <f aca="false">PROPER(AB828)</f>
        <v>Whatsapp</v>
      </c>
      <c r="AD828" s="6" t="n">
        <v>30</v>
      </c>
      <c r="AE828" s="5" t="n">
        <f aca="false">IF(ISBLANK(AD828),AVERAGEIF(L828:L1827,L828,AD828:AD1827),AD828)</f>
        <v>30</v>
      </c>
      <c r="AF828" s="0" t="s">
        <v>160</v>
      </c>
      <c r="AG828" s="0" t="str">
        <f aca="false">PROPER(AF828)</f>
        <v>Availaible</v>
      </c>
      <c r="AH828" s="0" t="s">
        <v>77</v>
      </c>
      <c r="AI828" s="0" t="s">
        <v>128</v>
      </c>
      <c r="AJ828" s="0" t="str">
        <f aca="false">PROPER(AI828)</f>
        <v>Normal</v>
      </c>
      <c r="AK828" s="0" t="s">
        <v>114</v>
      </c>
      <c r="AL828" s="0" t="str">
        <f aca="false">PROPER(AK828)</f>
        <v>Returning</v>
      </c>
      <c r="AM828" s="0" t="s">
        <v>177</v>
      </c>
      <c r="AN828" s="0" t="str">
        <f aca="false">IF(ISBLANK(AM828),"Unknown",AM828)</f>
        <v>Private</v>
      </c>
      <c r="AP828" s="0" t="str">
        <f aca="false">IF(ISBLANK(AO828),"Unknown",AO828)</f>
        <v>Unknown</v>
      </c>
      <c r="AQ828" s="0" t="n">
        <v>15000</v>
      </c>
      <c r="AR828" s="5" t="n">
        <f aca="false">IF(ISBLANK(AQ828),AVERAGEIF(M828:M1827,M828,AQ828:AQ1827),AQ828)</f>
        <v>15000</v>
      </c>
      <c r="AS828" s="0" t="n">
        <v>30000</v>
      </c>
      <c r="AT828" s="5" t="n">
        <f aca="false">IF(ISBLANK(AS828),AVERAGE(AS828:AS1827),AS828)</f>
        <v>30000</v>
      </c>
      <c r="AV828" s="0" t="str">
        <f aca="false">PROPER(IF(ISBLANK(AU828),"No",AU828))</f>
        <v>No</v>
      </c>
      <c r="AW828" s="0" t="n">
        <v>5000</v>
      </c>
      <c r="AX828" s="5" t="n">
        <f aca="false">IF(ISBLANK(AW828),0,AW828)</f>
        <v>5000</v>
      </c>
      <c r="AY828" s="0" t="s">
        <v>60</v>
      </c>
      <c r="AZ828" s="0" t="str">
        <f aca="false">UPPER(IF(ISBLANK(AY828),"NONE",AY828))</f>
        <v>NONE</v>
      </c>
      <c r="BA828" s="7" t="n">
        <v>45969</v>
      </c>
      <c r="BB828" s="7" t="n">
        <f aca="false">IF(ISBLANK(BA828),"No Follow Up Needed",BA828)</f>
        <v>45969</v>
      </c>
      <c r="BD828" s="0" t="str">
        <f aca="false">PROPER(IF(ISBLANK(BC828),"Unknown",BC828))</f>
        <v>Unknown</v>
      </c>
      <c r="BE828" s="0" t="s">
        <v>171</v>
      </c>
      <c r="BF828" s="0" t="str">
        <f aca="false">IF(ISBLANK(BE828),"No comments",BE828)</f>
        <v>Shock absorber weakening</v>
      </c>
      <c r="BH828" s="0" t="str">
        <f aca="false">IF(ISBLANK(BG828),"No comments",BG828)</f>
        <v>No comments</v>
      </c>
      <c r="BI828" s="0" t="s">
        <v>63</v>
      </c>
      <c r="BJ828" s="0" t="str">
        <f aca="false">IF(ISBLANK(BI828),"Not Mentioned",BI828)</f>
        <v>Yes</v>
      </c>
      <c r="BK828" s="0" t="s">
        <v>63</v>
      </c>
      <c r="BL828" s="0" t="str">
        <f aca="false">PROPER(IF(ISBLANK(BK828),"Not Mentioned",BK828))</f>
        <v>Yes</v>
      </c>
      <c r="BN828" s="0" t="str">
        <f aca="false">PROPER(IF(ISBLANK(BM828),"Not Mentioned",BM828))</f>
        <v>Not Mentioned</v>
      </c>
      <c r="BO828" s="0" t="s">
        <v>2318</v>
      </c>
      <c r="BP828" s="0" t="str">
        <f aca="false">IF(ISBLANK(BO828),"One-Time Plan",BO828)</f>
        <v>Gold</v>
      </c>
      <c r="BR828" s="0" t="str">
        <f aca="false">PROPER(IF(ISBLANK(BQ828),"No",BQ828))</f>
        <v>No</v>
      </c>
    </row>
    <row r="829" customFormat="false" ht="15" hidden="false" customHeight="false" outlineLevel="0" collapsed="false">
      <c r="A829" s="0" t="s">
        <v>1948</v>
      </c>
      <c r="B829" s="2" t="n">
        <v>45694</v>
      </c>
      <c r="C829" s="2" t="str">
        <f aca="false">TEXT(B829,"dd/mm/yyyy")</f>
        <v>06/02/2025</v>
      </c>
      <c r="D829" s="0" t="s">
        <v>163</v>
      </c>
      <c r="E829" s="0" t="n">
        <v>8046107432</v>
      </c>
      <c r="F829" s="0" t="s">
        <v>122</v>
      </c>
      <c r="G829" s="0" t="s">
        <v>2316</v>
      </c>
      <c r="H829" s="0" t="s">
        <v>1949</v>
      </c>
      <c r="I829" s="0" t="s">
        <v>87</v>
      </c>
      <c r="J829" s="0" t="s">
        <v>2322</v>
      </c>
      <c r="K829" s="3" t="str">
        <f aca="false" t="array" ref="K829:K829">IFERROR(IF(J829&lt;&gt;"",J829,INDEX(J829:J1828,MATCH(1,(F829:F1828=F829)*(I829:I1828=I829)*(L829:L1828=L829)*(J829:J1828&lt;&gt;""),0))),"Not Found")</f>
        <v>Brake Failure</v>
      </c>
      <c r="L829" s="3" t="s">
        <v>142</v>
      </c>
      <c r="M829" s="0" t="str">
        <f aca="false">PROPER(L829)</f>
        <v>Oil Filter, Brake Pads</v>
      </c>
      <c r="N829" s="3" t="s">
        <v>90</v>
      </c>
      <c r="O829" s="0" t="str">
        <f aca="false" t="array" ref="O829:O829">IF(N829&lt;&gt;"",N829,_xlfn.xlookup(1,(L829:L1828=L829)*(N829:N1828&lt;&gt;""),N829:N1828,"Not Found"))</f>
        <v>Musa</v>
      </c>
      <c r="P829" s="4" t="n">
        <v>101988</v>
      </c>
      <c r="Q829" s="0" t="s">
        <v>124</v>
      </c>
      <c r="R829" s="0" t="str">
        <f aca="false">PROPER(Q829)</f>
        <v>Cash</v>
      </c>
      <c r="S829" s="0" t="s">
        <v>63</v>
      </c>
      <c r="T829" s="0" t="n">
        <v>5</v>
      </c>
      <c r="U829" s="5" t="n">
        <f aca="false">IF(ISBLANK(T829),AVERAGE(T829:T1828),T829)</f>
        <v>5</v>
      </c>
      <c r="V829" s="0" t="n">
        <v>1.2</v>
      </c>
      <c r="X829" s="0" t="str">
        <f aca="false">IF(ISBLANK(W829),"No remarks",W829)</f>
        <v>No remarks</v>
      </c>
      <c r="Y829" s="0" t="s">
        <v>93</v>
      </c>
      <c r="Z829" s="0" t="s">
        <v>53</v>
      </c>
      <c r="AA829" s="0" t="str">
        <f aca="false">PROPER(IF(ISBLANK(Z829),"Location Unavailable",Z829))</f>
        <v>Main Bay</v>
      </c>
      <c r="AB829" s="0" t="s">
        <v>54</v>
      </c>
      <c r="AC829" s="6" t="str">
        <f aca="false">PROPER(AB829)</f>
        <v>Mechanic Referral</v>
      </c>
      <c r="AD829" s="6" t="n">
        <v>60</v>
      </c>
      <c r="AE829" s="5" t="n">
        <f aca="false">IF(ISBLANK(AD829),AVERAGEIF(L829:L1828,L829,AD829:AD1828),AD829)</f>
        <v>60</v>
      </c>
      <c r="AF829" s="0" t="s">
        <v>76</v>
      </c>
      <c r="AG829" s="0" t="str">
        <f aca="false">PROPER(AF829)</f>
        <v>Orderd</v>
      </c>
      <c r="AH829" s="0" t="s">
        <v>77</v>
      </c>
      <c r="AI829" s="0" t="s">
        <v>128</v>
      </c>
      <c r="AJ829" s="0" t="str">
        <f aca="false">PROPER(AI829)</f>
        <v>Normal</v>
      </c>
      <c r="AK829" s="0" t="s">
        <v>196</v>
      </c>
      <c r="AL829" s="0" t="str">
        <f aca="false">PROPER(AK829)</f>
        <v>First Time</v>
      </c>
      <c r="AN829" s="0" t="str">
        <f aca="false">IF(ISBLANK(AM829),"Unknown",AM829)</f>
        <v>Unknown</v>
      </c>
      <c r="AO829" s="0" t="s">
        <v>79</v>
      </c>
      <c r="AP829" s="0" t="str">
        <f aca="false">IF(ISBLANK(AO829),"Unknown",AO829)</f>
        <v>Specialist</v>
      </c>
      <c r="AQ829" s="0" t="n">
        <v>30000</v>
      </c>
      <c r="AR829" s="5" t="n">
        <f aca="false">IF(ISBLANK(AQ829),AVERAGEIF(M829:M1828,M829,AQ829:AQ1828),AQ829)</f>
        <v>30000</v>
      </c>
      <c r="AS829" s="0" t="n">
        <v>35000</v>
      </c>
      <c r="AT829" s="5" t="n">
        <f aca="false">IF(ISBLANK(AS829),AVERAGE(AS829:AS1828),AS829)</f>
        <v>35000</v>
      </c>
      <c r="AU829" s="0" t="s">
        <v>61</v>
      </c>
      <c r="AV829" s="0" t="str">
        <f aca="false">PROPER(IF(ISBLANK(AU829),"No",AU829))</f>
        <v>No</v>
      </c>
      <c r="AW829" s="0" t="n">
        <v>5000</v>
      </c>
      <c r="AX829" s="5" t="n">
        <f aca="false">IF(ISBLANK(AW829),0,AW829)</f>
        <v>5000</v>
      </c>
      <c r="AY829" s="0" t="s">
        <v>130</v>
      </c>
      <c r="AZ829" s="0" t="str">
        <f aca="false">UPPER(IF(ISBLANK(AY829),"NONE",AY829))</f>
        <v>LOYALTY10</v>
      </c>
      <c r="BA829" s="7" t="s">
        <v>1950</v>
      </c>
      <c r="BB829" s="7" t="str">
        <f aca="false">IF(ISBLANK(BA829),"No Follow Up Needed",BA829)</f>
        <v>15/12/2025</v>
      </c>
      <c r="BC829" s="0" t="s">
        <v>63</v>
      </c>
      <c r="BD829" s="0" t="str">
        <f aca="false">PROPER(IF(ISBLANK(BC829),"Unknown",BC829))</f>
        <v>Yes</v>
      </c>
      <c r="BF829" s="0" t="str">
        <f aca="false">IF(ISBLANK(BE829),"No comments",BE829)</f>
        <v>No comments</v>
      </c>
      <c r="BH829" s="0" t="str">
        <f aca="false">IF(ISBLANK(BG829),"No comments",BG829)</f>
        <v>No comments</v>
      </c>
      <c r="BI829" s="0" t="s">
        <v>50</v>
      </c>
      <c r="BJ829" s="0" t="str">
        <f aca="false">IF(ISBLANK(BI829),"Not Mentioned",BI829)</f>
        <v>No</v>
      </c>
      <c r="BK829" s="0" t="s">
        <v>50</v>
      </c>
      <c r="BL829" s="0" t="str">
        <f aca="false">PROPER(IF(ISBLANK(BK829),"Not Mentioned",BK829))</f>
        <v>No</v>
      </c>
      <c r="BM829" s="0" t="s">
        <v>50</v>
      </c>
      <c r="BN829" s="0" t="str">
        <f aca="false">PROPER(IF(ISBLANK(BM829),"Not Mentioned",BM829))</f>
        <v>No</v>
      </c>
      <c r="BO829" s="0" t="s">
        <v>2318</v>
      </c>
      <c r="BP829" s="0" t="str">
        <f aca="false">IF(ISBLANK(BO829),"One-Time Plan",BO829)</f>
        <v>Gold</v>
      </c>
      <c r="BQ829" s="0" t="s">
        <v>198</v>
      </c>
      <c r="BR829" s="0" t="str">
        <f aca="false">PROPER(IF(ISBLANK(BQ829),"No",BQ829))</f>
        <v>Followed Up</v>
      </c>
    </row>
    <row r="830" customFormat="false" ht="15" hidden="false" customHeight="false" outlineLevel="0" collapsed="false">
      <c r="A830" s="0" t="s">
        <v>1951</v>
      </c>
      <c r="B830" s="2" t="n">
        <v>45665</v>
      </c>
      <c r="C830" s="2" t="str">
        <f aca="false">TEXT(B830,"dd/mm/yyyy")</f>
        <v>08/01/2025</v>
      </c>
      <c r="D830" s="0" t="s">
        <v>66</v>
      </c>
      <c r="E830" s="0" t="n">
        <v>8038122043</v>
      </c>
      <c r="F830" s="0" t="s">
        <v>122</v>
      </c>
      <c r="G830" s="0" t="s">
        <v>2316</v>
      </c>
      <c r="H830" s="0" t="s">
        <v>1952</v>
      </c>
      <c r="I830" s="0" t="s">
        <v>107</v>
      </c>
      <c r="J830" s="0" t="s">
        <v>87</v>
      </c>
      <c r="K830" s="3" t="str">
        <f aca="false" t="array" ref="K830:K830">IFERROR(IF(J830&lt;&gt;"",J830,INDEX(J830:J1829,MATCH(1,(F830:F1829=F830)*(I830:I1829=I830)*(L830:L1829=L830)*(J830:J1829&lt;&gt;""),0))),"Not Found")</f>
        <v>Oil Change</v>
      </c>
      <c r="L830" s="3" t="s">
        <v>47</v>
      </c>
      <c r="M830" s="0" t="str">
        <f aca="false">PROPER(L830)</f>
        <v>None</v>
      </c>
      <c r="N830" s="3" t="s">
        <v>90</v>
      </c>
      <c r="O830" s="0" t="str">
        <f aca="false" t="array" ref="O830:O830">IF(N830&lt;&gt;"",N830,_xlfn.xlookup(1,(L830:L1829=L830)*(N830:N1829&lt;&gt;""),N830:N1829,"Not Found"))</f>
        <v>Musa</v>
      </c>
      <c r="P830" s="4" t="n">
        <v>108425</v>
      </c>
      <c r="Q830" s="0" t="s">
        <v>91</v>
      </c>
      <c r="R830" s="0" t="str">
        <f aca="false">PROPER(Q830)</f>
        <v>Pos</v>
      </c>
      <c r="S830" s="0" t="s">
        <v>50</v>
      </c>
      <c r="T830" s="0" t="n">
        <v>4</v>
      </c>
      <c r="U830" s="5" t="n">
        <f aca="false">IF(ISBLANK(T830),AVERAGE(T830:T1829),T830)</f>
        <v>4</v>
      </c>
      <c r="V830" s="0" t="n">
        <v>1.8</v>
      </c>
      <c r="X830" s="0" t="str">
        <f aca="false">IF(ISBLANK(W830),"No remarks",W830)</f>
        <v>No remarks</v>
      </c>
      <c r="Y830" s="0" t="s">
        <v>73</v>
      </c>
      <c r="Z830" s="0" t="s">
        <v>94</v>
      </c>
      <c r="AA830" s="0" t="str">
        <f aca="false">PROPER(IF(ISBLANK(Z830),"Location Unavailable",Z830))</f>
        <v>Vip Section</v>
      </c>
      <c r="AB830" s="0" t="s">
        <v>54</v>
      </c>
      <c r="AC830" s="6" t="str">
        <f aca="false">PROPER(AB830)</f>
        <v>Mechanic Referral</v>
      </c>
      <c r="AD830" s="6" t="n">
        <v>15</v>
      </c>
      <c r="AE830" s="5" t="n">
        <f aca="false">IF(ISBLANK(AD830),AVERAGEIF(L830:L1829,L830,AD830:AD1829),AD830)</f>
        <v>15</v>
      </c>
      <c r="AF830" s="0" t="s">
        <v>76</v>
      </c>
      <c r="AG830" s="0" t="str">
        <f aca="false">PROPER(AF830)</f>
        <v>Orderd</v>
      </c>
      <c r="AH830" s="0" t="s">
        <v>56</v>
      </c>
      <c r="AI830" s="0" t="s">
        <v>98</v>
      </c>
      <c r="AJ830" s="0" t="str">
        <f aca="false">PROPER(AI830)</f>
        <v>Emergency</v>
      </c>
      <c r="AK830" s="0" t="s">
        <v>58</v>
      </c>
      <c r="AL830" s="0" t="str">
        <f aca="false">PROPER(AK830)</f>
        <v>Fleet Owner</v>
      </c>
      <c r="AM830" s="0" t="s">
        <v>2324</v>
      </c>
      <c r="AN830" s="0" t="str">
        <f aca="false">IF(ISBLANK(AM830),"Unknown",AM830)</f>
        <v>Logistics Convoy</v>
      </c>
      <c r="AO830" s="0" t="s">
        <v>79</v>
      </c>
      <c r="AP830" s="0" t="str">
        <f aca="false">IF(ISBLANK(AO830),"Unknown",AO830)</f>
        <v>Specialist</v>
      </c>
      <c r="AQ830" s="0" t="n">
        <v>25000</v>
      </c>
      <c r="AR830" s="5" t="n">
        <f aca="false">IF(ISBLANK(AQ830),AVERAGEIF(M830:M1829,M830,AQ830:AQ1829),AQ830)</f>
        <v>25000</v>
      </c>
      <c r="AT830" s="5" t="n">
        <f aca="false">IF(ISBLANK(AS830),AVERAGE(AS830:AS1829),AS830)</f>
        <v>31575.3424657534</v>
      </c>
      <c r="AV830" s="0" t="str">
        <f aca="false">PROPER(IF(ISBLANK(AU830),"No",AU830))</f>
        <v>No</v>
      </c>
      <c r="AW830" s="0" t="n">
        <v>0</v>
      </c>
      <c r="AX830" s="5" t="n">
        <f aca="false">IF(ISBLANK(AW830),0,AW830)</f>
        <v>0</v>
      </c>
      <c r="AY830" s="0" t="s">
        <v>184</v>
      </c>
      <c r="AZ830" s="0" t="str">
        <f aca="false">UPPER(IF(ISBLANK(AY830),"NONE",AY830))</f>
        <v>N/A</v>
      </c>
      <c r="BA830" s="7" t="n">
        <v>45937</v>
      </c>
      <c r="BB830" s="7" t="n">
        <f aca="false">IF(ISBLANK(BA830),"No Follow Up Needed",BA830)</f>
        <v>45937</v>
      </c>
      <c r="BC830" s="0" t="s">
        <v>63</v>
      </c>
      <c r="BD830" s="0" t="str">
        <f aca="false">PROPER(IF(ISBLANK(BC830),"Unknown",BC830))</f>
        <v>Yes</v>
      </c>
      <c r="BF830" s="0" t="str">
        <f aca="false">IF(ISBLANK(BE830),"No comments",BE830)</f>
        <v>No comments</v>
      </c>
      <c r="BG830" s="0" t="s">
        <v>172</v>
      </c>
      <c r="BH830" s="0" t="str">
        <f aca="false">IF(ISBLANK(BG830),"No comments",BG830)</f>
        <v>Always late</v>
      </c>
      <c r="BI830" s="0" t="s">
        <v>63</v>
      </c>
      <c r="BJ830" s="0" t="str">
        <f aca="false">IF(ISBLANK(BI830),"Not Mentioned",BI830)</f>
        <v>Yes</v>
      </c>
      <c r="BK830" s="0" t="s">
        <v>61</v>
      </c>
      <c r="BL830" s="0" t="str">
        <f aca="false">PROPER(IF(ISBLANK(BK830),"Not Mentioned",BK830))</f>
        <v>No</v>
      </c>
      <c r="BM830" s="0" t="s">
        <v>63</v>
      </c>
      <c r="BN830" s="0" t="str">
        <f aca="false">PROPER(IF(ISBLANK(BM830),"Not Mentioned",BM830))</f>
        <v>Yes</v>
      </c>
      <c r="BP830" s="0" t="str">
        <f aca="false">IF(ISBLANK(BO830),"One-Time Plan",BO830)</f>
        <v>One-Time Plan</v>
      </c>
      <c r="BQ830" s="0" t="s">
        <v>198</v>
      </c>
      <c r="BR830" s="0" t="str">
        <f aca="false">PROPER(IF(ISBLANK(BQ830),"No",BQ830))</f>
        <v>Followed Up</v>
      </c>
    </row>
    <row r="831" customFormat="false" ht="15" hidden="false" customHeight="false" outlineLevel="0" collapsed="false">
      <c r="A831" s="0" t="s">
        <v>1953</v>
      </c>
      <c r="B831" s="2" t="n">
        <v>45690</v>
      </c>
      <c r="C831" s="2" t="str">
        <f aca="false">TEXT(B831,"dd/mm/yyyy")</f>
        <v>02/02/2025</v>
      </c>
      <c r="D831" s="0" t="s">
        <v>121</v>
      </c>
      <c r="E831" s="0" t="n">
        <v>8063414658</v>
      </c>
      <c r="F831" s="0" t="s">
        <v>122</v>
      </c>
      <c r="G831" s="0" t="s">
        <v>2316</v>
      </c>
      <c r="H831" s="0" t="s">
        <v>1473</v>
      </c>
      <c r="I831" s="0" t="s">
        <v>134</v>
      </c>
      <c r="J831" s="0" t="s">
        <v>2317</v>
      </c>
      <c r="K831" s="3" t="str">
        <f aca="false" t="array" ref="K831:K831">IFERROR(IF(J831&lt;&gt;"",J831,INDEX(J831:J1830,MATCH(1,(F831:F1830=F831)*(I831:I1830=I831)*(L831:L1830=L831)*(J831:J1830&lt;&gt;""),0))),"Not Found")</f>
        <v>Suspension Noise</v>
      </c>
      <c r="L831" s="3" t="s">
        <v>47</v>
      </c>
      <c r="M831" s="0" t="str">
        <f aca="false">PROPER(L831)</f>
        <v>None</v>
      </c>
      <c r="O831" s="0" t="e">
        <f aca="false" t="array" ref="O831:O831">IF(N831&lt;&gt;"",N831,_xlfn.xlookup(1,(L831:L1830=L831)*(N831:N1830&lt;&gt;""),N831:N1830,"Not Found"))</f>
        <v>#NAME?</v>
      </c>
      <c r="P831" s="4" t="n">
        <v>90636</v>
      </c>
      <c r="Q831" s="0" t="s">
        <v>91</v>
      </c>
      <c r="R831" s="0" t="str">
        <f aca="false">PROPER(Q831)</f>
        <v>Pos</v>
      </c>
      <c r="S831" s="0" t="s">
        <v>63</v>
      </c>
      <c r="U831" s="5" t="n">
        <f aca="false">IF(ISBLANK(T831),AVERAGE(T831:T1830),T831)</f>
        <v>3.2536231884058</v>
      </c>
      <c r="V831" s="0" t="n">
        <v>2.1</v>
      </c>
      <c r="X831" s="0" t="str">
        <f aca="false">IF(ISBLANK(W831),"No remarks",W831)</f>
        <v>No remarks</v>
      </c>
      <c r="Y831" s="0" t="s">
        <v>73</v>
      </c>
      <c r="Z831" s="0" t="s">
        <v>94</v>
      </c>
      <c r="AA831" s="0" t="str">
        <f aca="false">PROPER(IF(ISBLANK(Z831),"Location Unavailable",Z831))</f>
        <v>Vip Section</v>
      </c>
      <c r="AB831" s="0" t="s">
        <v>75</v>
      </c>
      <c r="AC831" s="6" t="str">
        <f aca="false">PROPER(AB831)</f>
        <v>Mechanik Referal</v>
      </c>
      <c r="AD831" s="6" t="n">
        <v>15</v>
      </c>
      <c r="AE831" s="5" t="n">
        <f aca="false">IF(ISBLANK(AD831),AVERAGEIF(L831:L1830,L831,AD831:AD1830),AD831)</f>
        <v>15</v>
      </c>
      <c r="AF831" s="0" t="s">
        <v>160</v>
      </c>
      <c r="AG831" s="0" t="str">
        <f aca="false">PROPER(AF831)</f>
        <v>Availaible</v>
      </c>
      <c r="AH831" s="0" t="s">
        <v>155</v>
      </c>
      <c r="AI831" s="0" t="s">
        <v>78</v>
      </c>
      <c r="AJ831" s="0" t="str">
        <f aca="false">PROPER(AI831)</f>
        <v>Booking</v>
      </c>
      <c r="AK831" s="0" t="s">
        <v>114</v>
      </c>
      <c r="AL831" s="0" t="str">
        <f aca="false">PROPER(AK831)</f>
        <v>Returning</v>
      </c>
      <c r="AM831" s="0" t="s">
        <v>2324</v>
      </c>
      <c r="AN831" s="0" t="str">
        <f aca="false">IF(ISBLANK(AM831),"Unknown",AM831)</f>
        <v>Logistics Convoy</v>
      </c>
      <c r="AO831" s="0" t="s">
        <v>161</v>
      </c>
      <c r="AP831" s="0" t="str">
        <f aca="false">IF(ISBLANK(AO831),"Unknown",AO831)</f>
        <v>Apprentice</v>
      </c>
      <c r="AQ831" s="0" t="n">
        <v>15000</v>
      </c>
      <c r="AR831" s="5" t="n">
        <f aca="false">IF(ISBLANK(AQ831),AVERAGEIF(M831:M1830,M831,AQ831:AQ1830),AQ831)</f>
        <v>15000</v>
      </c>
      <c r="AS831" s="0" t="n">
        <v>35000</v>
      </c>
      <c r="AT831" s="5" t="n">
        <f aca="false">IF(ISBLANK(AS831),AVERAGE(AS831:AS1830),AS831)</f>
        <v>35000</v>
      </c>
      <c r="AU831" s="0" t="s">
        <v>50</v>
      </c>
      <c r="AV831" s="0" t="str">
        <f aca="false">PROPER(IF(ISBLANK(AU831),"No",AU831))</f>
        <v>No</v>
      </c>
      <c r="AW831" s="0" t="n">
        <v>10000</v>
      </c>
      <c r="AX831" s="5" t="n">
        <f aca="false">IF(ISBLANK(AW831),0,AW831)</f>
        <v>10000</v>
      </c>
      <c r="AY831" s="0" t="s">
        <v>184</v>
      </c>
      <c r="AZ831" s="0" t="str">
        <f aca="false">UPPER(IF(ISBLANK(AY831),"NONE",AY831))</f>
        <v>N/A</v>
      </c>
      <c r="BB831" s="7" t="str">
        <f aca="false">IF(ISBLANK(BA831),"No Follow Up Needed",BA831)</f>
        <v>No Follow Up Needed</v>
      </c>
      <c r="BD831" s="0" t="str">
        <f aca="false">PROPER(IF(ISBLANK(BC831),"Unknown",BC831))</f>
        <v>Unknown</v>
      </c>
      <c r="BF831" s="0" t="str">
        <f aca="false">IF(ISBLANK(BE831),"No comments",BE831)</f>
        <v>No comments</v>
      </c>
      <c r="BH831" s="0" t="str">
        <f aca="false">IF(ISBLANK(BG831),"No comments",BG831)</f>
        <v>No comments</v>
      </c>
      <c r="BJ831" s="0" t="str">
        <f aca="false">IF(ISBLANK(BI831),"Not Mentioned",BI831)</f>
        <v>Not Mentioned</v>
      </c>
      <c r="BL831" s="0" t="str">
        <f aca="false">PROPER(IF(ISBLANK(BK831),"Not Mentioned",BK831))</f>
        <v>Not Mentioned</v>
      </c>
      <c r="BM831" s="0" t="s">
        <v>50</v>
      </c>
      <c r="BN831" s="0" t="str">
        <f aca="false">PROPER(IF(ISBLANK(BM831),"Not Mentioned",BM831))</f>
        <v>No</v>
      </c>
      <c r="BO831" s="0" t="s">
        <v>2318</v>
      </c>
      <c r="BP831" s="0" t="str">
        <f aca="false">IF(ISBLANK(BO831),"One-Time Plan",BO831)</f>
        <v>Gold</v>
      </c>
      <c r="BQ831" s="0" t="s">
        <v>198</v>
      </c>
      <c r="BR831" s="0" t="str">
        <f aca="false">PROPER(IF(ISBLANK(BQ831),"No",BQ831))</f>
        <v>Followed Up</v>
      </c>
    </row>
    <row r="832" customFormat="false" ht="15" hidden="false" customHeight="false" outlineLevel="0" collapsed="false">
      <c r="A832" s="0" t="s">
        <v>1954</v>
      </c>
      <c r="B832" s="2" t="n">
        <v>45694</v>
      </c>
      <c r="C832" s="2" t="str">
        <f aca="false">TEXT(B832,"dd/mm/yyyy")</f>
        <v>06/02/2025</v>
      </c>
      <c r="D832" s="0" t="s">
        <v>105</v>
      </c>
      <c r="E832" s="0" t="n">
        <v>8051352528</v>
      </c>
      <c r="F832" s="0" t="s">
        <v>85</v>
      </c>
      <c r="G832" s="0" t="s">
        <v>2319</v>
      </c>
      <c r="H832" s="0" t="s">
        <v>1955</v>
      </c>
      <c r="I832" s="0" t="s">
        <v>69</v>
      </c>
      <c r="J832" s="0" t="s">
        <v>2325</v>
      </c>
      <c r="K832" s="3" t="str">
        <f aca="false" t="array" ref="K832:K832">IFERROR(IF(J832&lt;&gt;"",J832,INDEX(J832:J1831,MATCH(1,(F832:F1831=F832)*(I832:I1831=I832)*(L832:L1831=L832)*(J832:J1831&lt;&gt;""),0))),"Not Found")</f>
        <v>Engine Knocking</v>
      </c>
      <c r="L832" s="3" t="s">
        <v>154</v>
      </c>
      <c r="M832" s="0" t="str">
        <f aca="false">PROPER(L832)</f>
        <v>Air Filter</v>
      </c>
      <c r="N832" s="3" t="s">
        <v>71</v>
      </c>
      <c r="O832" s="0" t="str">
        <f aca="false" t="array" ref="O832:O832">IF(N832&lt;&gt;"",N832,_xlfn.xlookup(1,(L832:L1831=L832)*(N832:N1831&lt;&gt;""),N832:N1831,"Not Found"))</f>
        <v>Isaac Bobo</v>
      </c>
      <c r="P832" s="4" t="n">
        <v>84915</v>
      </c>
      <c r="Q832" s="0" t="s">
        <v>72</v>
      </c>
      <c r="R832" s="0" t="str">
        <f aca="false">PROPER(Q832)</f>
        <v>Pos</v>
      </c>
      <c r="S832" s="0" t="s">
        <v>50</v>
      </c>
      <c r="T832" s="0" t="n">
        <v>2</v>
      </c>
      <c r="U832" s="5" t="n">
        <f aca="false">IF(ISBLANK(T832),AVERAGE(T832:T1831),T832)</f>
        <v>2</v>
      </c>
      <c r="V832" s="0" t="n">
        <v>5.8</v>
      </c>
      <c r="X832" s="0" t="str">
        <f aca="false">IF(ISBLANK(W832),"No remarks",W832)</f>
        <v>No remarks</v>
      </c>
      <c r="Y832" s="0" t="s">
        <v>52</v>
      </c>
      <c r="Z832" s="0" t="s">
        <v>136</v>
      </c>
      <c r="AA832" s="0" t="str">
        <f aca="false">PROPER(IF(ISBLANK(Z832),"Location Unavailable",Z832))</f>
        <v>Vip Section</v>
      </c>
      <c r="AB832" s="0" t="s">
        <v>147</v>
      </c>
      <c r="AC832" s="6" t="str">
        <f aca="false">PROPER(AB832)</f>
        <v>Instagram</v>
      </c>
      <c r="AD832" s="6" t="n">
        <v>15</v>
      </c>
      <c r="AE832" s="5" t="n">
        <f aca="false">IF(ISBLANK(AD832),AVERAGEIF(L832:L1831,L832,AD832:AD1831),AD832)</f>
        <v>15</v>
      </c>
      <c r="AF832" s="0" t="s">
        <v>55</v>
      </c>
      <c r="AG832" s="0" t="str">
        <f aca="false">PROPER(AF832)</f>
        <v>Available</v>
      </c>
      <c r="AH832" s="0" t="s">
        <v>77</v>
      </c>
      <c r="AI832" s="0" t="s">
        <v>78</v>
      </c>
      <c r="AJ832" s="0" t="str">
        <f aca="false">PROPER(AI832)</f>
        <v>Booking</v>
      </c>
      <c r="AK832" s="0" t="s">
        <v>196</v>
      </c>
      <c r="AL832" s="0" t="str">
        <f aca="false">PROPER(AK832)</f>
        <v>First Time</v>
      </c>
      <c r="AN832" s="0" t="str">
        <f aca="false">IF(ISBLANK(AM832),"Unknown",AM832)</f>
        <v>Unknown</v>
      </c>
      <c r="AO832" s="0" t="s">
        <v>149</v>
      </c>
      <c r="AP832" s="0" t="str">
        <f aca="false">IF(ISBLANK(AO832),"Unknown",AO832)</f>
        <v>Senior </v>
      </c>
      <c r="AR832" s="5" t="n">
        <f aca="false">IF(ISBLANK(AQ832),AVERAGEIF(M832:M1831,M832,AQ832:AQ1831),AQ832)</f>
        <v>27727.2727272727</v>
      </c>
      <c r="AT832" s="5" t="n">
        <f aca="false">IF(ISBLANK(AS832),AVERAGE(AS832:AS1831),AS832)</f>
        <v>31551.724137931</v>
      </c>
      <c r="AU832" s="0" t="s">
        <v>61</v>
      </c>
      <c r="AV832" s="0" t="str">
        <f aca="false">PROPER(IF(ISBLANK(AU832),"No",AU832))</f>
        <v>No</v>
      </c>
      <c r="AW832" s="0" t="n">
        <v>10000</v>
      </c>
      <c r="AX832" s="5" t="n">
        <f aca="false">IF(ISBLANK(AW832),0,AW832)</f>
        <v>10000</v>
      </c>
      <c r="AY832" s="0" t="s">
        <v>80</v>
      </c>
      <c r="AZ832" s="0" t="str">
        <f aca="false">UPPER(IF(ISBLANK(AY832),"NONE",AY832))</f>
        <v>PROMO10</v>
      </c>
      <c r="BB832" s="7" t="str">
        <f aca="false">IF(ISBLANK(BA832),"No Follow Up Needed",BA832)</f>
        <v>No Follow Up Needed</v>
      </c>
      <c r="BC832" s="0" t="s">
        <v>50</v>
      </c>
      <c r="BD832" s="0" t="str">
        <f aca="false">PROPER(IF(ISBLANK(BC832),"Unknown",BC832))</f>
        <v>No</v>
      </c>
      <c r="BE832" s="0" t="s">
        <v>171</v>
      </c>
      <c r="BF832" s="0" t="str">
        <f aca="false">IF(ISBLANK(BE832),"No comments",BE832)</f>
        <v>Shock absorber weakening</v>
      </c>
      <c r="BH832" s="0" t="str">
        <f aca="false">IF(ISBLANK(BG832),"No comments",BG832)</f>
        <v>No comments</v>
      </c>
      <c r="BI832" s="0" t="s">
        <v>50</v>
      </c>
      <c r="BJ832" s="0" t="str">
        <f aca="false">IF(ISBLANK(BI832),"Not Mentioned",BI832)</f>
        <v>No</v>
      </c>
      <c r="BK832" s="0" t="s">
        <v>63</v>
      </c>
      <c r="BL832" s="0" t="str">
        <f aca="false">PROPER(IF(ISBLANK(BK832),"Not Mentioned",BK832))</f>
        <v>Yes</v>
      </c>
      <c r="BM832" s="0" t="s">
        <v>63</v>
      </c>
      <c r="BN832" s="0" t="str">
        <f aca="false">PROPER(IF(ISBLANK(BM832),"Not Mentioned",BM832))</f>
        <v>Yes</v>
      </c>
      <c r="BO832" s="0" t="s">
        <v>2321</v>
      </c>
      <c r="BP832" s="0" t="str">
        <f aca="false">IF(ISBLANK(BO832),"One-Time Plan",BO832)</f>
        <v>One-Time Plan</v>
      </c>
      <c r="BQ832" s="0" t="s">
        <v>50</v>
      </c>
      <c r="BR832" s="0" t="str">
        <f aca="false">PROPER(IF(ISBLANK(BQ832),"No",BQ832))</f>
        <v>No</v>
      </c>
    </row>
    <row r="833" customFormat="false" ht="15" hidden="false" customHeight="false" outlineLevel="0" collapsed="false">
      <c r="A833" s="0" t="s">
        <v>1956</v>
      </c>
      <c r="B833" s="2" t="n">
        <v>45718</v>
      </c>
      <c r="C833" s="2" t="str">
        <f aca="false">TEXT(B833,"dd/mm/yyyy")</f>
        <v>02/03/2025</v>
      </c>
      <c r="D833" s="0" t="s">
        <v>42</v>
      </c>
      <c r="E833" s="0" t="n">
        <v>8010861718</v>
      </c>
      <c r="F833" s="0" t="s">
        <v>43</v>
      </c>
      <c r="G833" s="0" t="s">
        <v>2315</v>
      </c>
      <c r="H833" s="0" t="s">
        <v>1957</v>
      </c>
      <c r="I833" s="0" t="s">
        <v>134</v>
      </c>
      <c r="J833" s="0" t="s">
        <v>2325</v>
      </c>
      <c r="K833" s="3" t="str">
        <f aca="false" t="array" ref="K833:K833">IFERROR(IF(J833&lt;&gt;"",J833,INDEX(J833:J1832,MATCH(1,(F833:F1832=F833)*(I833:I1832=I833)*(L833:L1832=L833)*(J833:J1832&lt;&gt;""),0))),"Not Found")</f>
        <v>Engine Knocking</v>
      </c>
      <c r="L833" s="3" t="s">
        <v>89</v>
      </c>
      <c r="M833" s="0" t="str">
        <f aca="false">PROPER(L833)</f>
        <v>Shock Absorbers</v>
      </c>
      <c r="N833" s="3" t="s">
        <v>109</v>
      </c>
      <c r="O833" s="0" t="str">
        <f aca="false" t="array" ref="O833:O833">IF(N833&lt;&gt;"",N833,_xlfn.xlookup(1,(L833:L1832=L833)*(N833:N1832&lt;&gt;""),N833:N1832,"Not Found"))</f>
        <v>Tijani</v>
      </c>
      <c r="P833" s="4" t="n">
        <v>77234</v>
      </c>
      <c r="Q833" s="0" t="s">
        <v>91</v>
      </c>
      <c r="R833" s="0" t="str">
        <f aca="false">PROPER(Q833)</f>
        <v>Pos</v>
      </c>
      <c r="S833" s="0" t="s">
        <v>50</v>
      </c>
      <c r="T833" s="0" t="n">
        <v>2</v>
      </c>
      <c r="U833" s="5" t="n">
        <f aca="false">IF(ISBLANK(T833),AVERAGE(T833:T1832),T833)</f>
        <v>2</v>
      </c>
      <c r="V833" s="0" t="n">
        <v>3.1</v>
      </c>
      <c r="W833" s="0" t="s">
        <v>125</v>
      </c>
      <c r="X833" s="0" t="str">
        <f aca="false">IF(ISBLANK(W833),"No remarks",W833)</f>
        <v>Customer waited</v>
      </c>
      <c r="Y833" s="0" t="s">
        <v>93</v>
      </c>
      <c r="Z833" s="0" t="s">
        <v>53</v>
      </c>
      <c r="AA833" s="0" t="str">
        <f aca="false">PROPER(IF(ISBLANK(Z833),"Location Unavailable",Z833))</f>
        <v>Main Bay</v>
      </c>
      <c r="AB833" s="0" t="s">
        <v>54</v>
      </c>
      <c r="AC833" s="6" t="str">
        <f aca="false">PROPER(AB833)</f>
        <v>Mechanic Referral</v>
      </c>
      <c r="AD833" s="6" t="n">
        <v>45</v>
      </c>
      <c r="AE833" s="5" t="n">
        <f aca="false">IF(ISBLANK(AD833),AVERAGEIF(L833:L1832,L833,AD833:AD1832),AD833)</f>
        <v>45</v>
      </c>
      <c r="AF833" s="0" t="s">
        <v>112</v>
      </c>
      <c r="AG833" s="0" t="str">
        <f aca="false">PROPER(AF833)</f>
        <v>Unavailable</v>
      </c>
      <c r="AH833" s="0" t="s">
        <v>155</v>
      </c>
      <c r="AI833" s="0" t="s">
        <v>78</v>
      </c>
      <c r="AJ833" s="0" t="str">
        <f aca="false">PROPER(AI833)</f>
        <v>Booking</v>
      </c>
      <c r="AK833" s="0" t="s">
        <v>196</v>
      </c>
      <c r="AL833" s="0" t="str">
        <f aca="false">PROPER(AK833)</f>
        <v>First Time</v>
      </c>
      <c r="AM833" s="0" t="s">
        <v>59</v>
      </c>
      <c r="AN833" s="0" t="str">
        <f aca="false">IF(ISBLANK(AM833),"Unknown",AM833)</f>
        <v>Bolt Driver</v>
      </c>
      <c r="AO833" s="0" t="s">
        <v>149</v>
      </c>
      <c r="AP833" s="0" t="str">
        <f aca="false">IF(ISBLANK(AO833),"Unknown",AO833)</f>
        <v>Senior </v>
      </c>
      <c r="AQ833" s="0" t="n">
        <v>15000</v>
      </c>
      <c r="AR833" s="5" t="n">
        <f aca="false">IF(ISBLANK(AQ833),AVERAGEIF(M833:M1832,M833,AQ833:AQ1832),AQ833)</f>
        <v>15000</v>
      </c>
      <c r="AT833" s="5" t="n">
        <f aca="false">IF(ISBLANK(AS833),AVERAGE(AS833:AS1832),AS833)</f>
        <v>31551.724137931</v>
      </c>
      <c r="AU833" s="0" t="s">
        <v>50</v>
      </c>
      <c r="AV833" s="0" t="str">
        <f aca="false">PROPER(IF(ISBLANK(AU833),"No",AU833))</f>
        <v>No</v>
      </c>
      <c r="AX833" s="5" t="n">
        <f aca="false">IF(ISBLANK(AW833),0,AW833)</f>
        <v>0</v>
      </c>
      <c r="AY833" s="0" t="s">
        <v>80</v>
      </c>
      <c r="AZ833" s="0" t="str">
        <f aca="false">UPPER(IF(ISBLANK(AY833),"NONE",AY833))</f>
        <v>PROMO10</v>
      </c>
      <c r="BB833" s="7" t="str">
        <f aca="false">IF(ISBLANK(BA833),"No Follow Up Needed",BA833)</f>
        <v>No Follow Up Needed</v>
      </c>
      <c r="BC833" s="0" t="s">
        <v>50</v>
      </c>
      <c r="BD833" s="0" t="str">
        <f aca="false">PROPER(IF(ISBLANK(BC833),"Unknown",BC833))</f>
        <v>No</v>
      </c>
      <c r="BF833" s="0" t="str">
        <f aca="false">IF(ISBLANK(BE833),"No comments",BE833)</f>
        <v>No comments</v>
      </c>
      <c r="BG833" s="0" t="s">
        <v>172</v>
      </c>
      <c r="BH833" s="0" t="str">
        <f aca="false">IF(ISBLANK(BG833),"No comments",BG833)</f>
        <v>Always late</v>
      </c>
      <c r="BI833" s="0" t="s">
        <v>50</v>
      </c>
      <c r="BJ833" s="0" t="str">
        <f aca="false">IF(ISBLANK(BI833),"Not Mentioned",BI833)</f>
        <v>No</v>
      </c>
      <c r="BK833" s="0" t="s">
        <v>82</v>
      </c>
      <c r="BL833" s="0" t="str">
        <f aca="false">PROPER(IF(ISBLANK(BK833),"Not Mentioned",BK833))</f>
        <v>Yes</v>
      </c>
      <c r="BN833" s="0" t="str">
        <f aca="false">PROPER(IF(ISBLANK(BM833),"Not Mentioned",BM833))</f>
        <v>Not Mentioned</v>
      </c>
      <c r="BO833" s="0" t="s">
        <v>64</v>
      </c>
      <c r="BP833" s="0" t="str">
        <f aca="false">IF(ISBLANK(BO833),"One-Time Plan",BO833)</f>
        <v>Gold Maintenance Plan</v>
      </c>
      <c r="BR833" s="0" t="str">
        <f aca="false">PROPER(IF(ISBLANK(BQ833),"No",BQ833))</f>
        <v>No</v>
      </c>
    </row>
    <row r="834" customFormat="false" ht="15" hidden="false" customHeight="false" outlineLevel="0" collapsed="false">
      <c r="A834" s="0" t="s">
        <v>1958</v>
      </c>
      <c r="B834" s="2" t="s">
        <v>953</v>
      </c>
      <c r="C834" s="2" t="str">
        <f aca="false">TEXT(B834,"dd/mm/yyyy")</f>
        <v>20/01/2025</v>
      </c>
      <c r="D834" s="0" t="s">
        <v>42</v>
      </c>
      <c r="E834" s="0" t="n">
        <v>8032602089</v>
      </c>
      <c r="F834" s="0" t="s">
        <v>122</v>
      </c>
      <c r="G834" s="0" t="s">
        <v>2316</v>
      </c>
      <c r="H834" s="0" t="s">
        <v>1959</v>
      </c>
      <c r="I834" s="0" t="s">
        <v>69</v>
      </c>
      <c r="J834" s="0" t="s">
        <v>2322</v>
      </c>
      <c r="K834" s="3" t="str">
        <f aca="false" t="array" ref="K834:K834">IFERROR(IF(J834&lt;&gt;"",J834,INDEX(J834:J1833,MATCH(1,(F834:F1833=F834)*(I834:I1833=I834)*(L834:L1833=L834)*(J834:J1833&lt;&gt;""),0))),"Not Found")</f>
        <v>Brake Failure</v>
      </c>
      <c r="L834" s="3" t="s">
        <v>189</v>
      </c>
      <c r="M834" s="0" t="str">
        <f aca="false">PROPER(L834)</f>
        <v>Battery</v>
      </c>
      <c r="N834" s="3" t="s">
        <v>90</v>
      </c>
      <c r="O834" s="0" t="str">
        <f aca="false" t="array" ref="O834:O834">IF(N834&lt;&gt;"",N834,_xlfn.xlookup(1,(L834:L1833=L834)*(N834:N1833&lt;&gt;""),N834:N1833,"Not Found"))</f>
        <v>Musa</v>
      </c>
      <c r="P834" s="4" t="n">
        <v>88049</v>
      </c>
      <c r="Q834" s="0" t="s">
        <v>110</v>
      </c>
      <c r="R834" s="0" t="str">
        <f aca="false">PROPER(Q834)</f>
        <v>Cash</v>
      </c>
      <c r="S834" s="0" t="s">
        <v>63</v>
      </c>
      <c r="T834" s="0" t="n">
        <v>4</v>
      </c>
      <c r="U834" s="5" t="n">
        <f aca="false">IF(ISBLANK(T834),AVERAGE(T834:T1833),T834)</f>
        <v>4</v>
      </c>
      <c r="V834" s="0" t="n">
        <v>2.4</v>
      </c>
      <c r="W834" s="0" t="s">
        <v>51</v>
      </c>
      <c r="X834" s="0" t="str">
        <f aca="false">IF(ISBLANK(W834),"No remarks",W834)</f>
        <v>Recommended further checks</v>
      </c>
      <c r="Y834" s="0" t="s">
        <v>73</v>
      </c>
      <c r="AA834" s="0" t="str">
        <f aca="false">PROPER(IF(ISBLANK(Z834),"Location Unavailable",Z834))</f>
        <v>Location Unavailable</v>
      </c>
      <c r="AB834" s="0" t="s">
        <v>54</v>
      </c>
      <c r="AC834" s="6" t="str">
        <f aca="false">PROPER(AB834)</f>
        <v>Mechanic Referral</v>
      </c>
      <c r="AD834" s="6" t="n">
        <v>15</v>
      </c>
      <c r="AE834" s="5" t="n">
        <f aca="false">IF(ISBLANK(AD834),AVERAGEIF(L834:L1833,L834,AD834:AD1833),AD834)</f>
        <v>15</v>
      </c>
      <c r="AF834" s="0" t="s">
        <v>76</v>
      </c>
      <c r="AG834" s="0" t="str">
        <f aca="false">PROPER(AF834)</f>
        <v>Orderd</v>
      </c>
      <c r="AH834" s="0" t="s">
        <v>155</v>
      </c>
      <c r="AI834" s="0" t="s">
        <v>128</v>
      </c>
      <c r="AJ834" s="0" t="str">
        <f aca="false">PROPER(AI834)</f>
        <v>Normal</v>
      </c>
      <c r="AK834" s="0" t="s">
        <v>114</v>
      </c>
      <c r="AL834" s="0" t="str">
        <f aca="false">PROPER(AK834)</f>
        <v>Returning</v>
      </c>
      <c r="AN834" s="0" t="str">
        <f aca="false">IF(ISBLANK(AM834),"Unknown",AM834)</f>
        <v>Unknown</v>
      </c>
      <c r="AO834" s="0" t="s">
        <v>149</v>
      </c>
      <c r="AP834" s="0" t="str">
        <f aca="false">IF(ISBLANK(AO834),"Unknown",AO834)</f>
        <v>Senior </v>
      </c>
      <c r="AQ834" s="0" t="n">
        <v>25000</v>
      </c>
      <c r="AR834" s="5" t="n">
        <f aca="false">IF(ISBLANK(AQ834),AVERAGEIF(M834:M1833,M834,AQ834:AQ1833),AQ834)</f>
        <v>25000</v>
      </c>
      <c r="AS834" s="0" t="n">
        <v>35000</v>
      </c>
      <c r="AT834" s="5" t="n">
        <f aca="false">IF(ISBLANK(AS834),AVERAGE(AS834:AS1833),AS834)</f>
        <v>35000</v>
      </c>
      <c r="AV834" s="0" t="str">
        <f aca="false">PROPER(IF(ISBLANK(AU834),"No",AU834))</f>
        <v>No</v>
      </c>
      <c r="AW834" s="0" t="n">
        <v>5000</v>
      </c>
      <c r="AX834" s="5" t="n">
        <f aca="false">IF(ISBLANK(AW834),0,AW834)</f>
        <v>5000</v>
      </c>
      <c r="AY834" s="0" t="s">
        <v>184</v>
      </c>
      <c r="AZ834" s="0" t="str">
        <f aca="false">UPPER(IF(ISBLANK(AY834),"NONE",AY834))</f>
        <v>N/A</v>
      </c>
      <c r="BA834" s="7" t="n">
        <v>45942</v>
      </c>
      <c r="BB834" s="7" t="n">
        <f aca="false">IF(ISBLANK(BA834),"No Follow Up Needed",BA834)</f>
        <v>45942</v>
      </c>
      <c r="BC834" s="0" t="s">
        <v>63</v>
      </c>
      <c r="BD834" s="0" t="str">
        <f aca="false">PROPER(IF(ISBLANK(BC834),"Unknown",BC834))</f>
        <v>Yes</v>
      </c>
      <c r="BE834" s="0" t="s">
        <v>171</v>
      </c>
      <c r="BF834" s="0" t="str">
        <f aca="false">IF(ISBLANK(BE834),"No comments",BE834)</f>
        <v>Shock absorber weakening</v>
      </c>
      <c r="BG834" s="0" t="s">
        <v>2320</v>
      </c>
      <c r="BH834" s="0" t="str">
        <f aca="false">IF(ISBLANK(BG834),"No comments",BG834)</f>
        <v>No complaints</v>
      </c>
      <c r="BI834" s="0" t="s">
        <v>63</v>
      </c>
      <c r="BJ834" s="0" t="str">
        <f aca="false">IF(ISBLANK(BI834),"Not Mentioned",BI834)</f>
        <v>Yes</v>
      </c>
      <c r="BL834" s="0" t="str">
        <f aca="false">PROPER(IF(ISBLANK(BK834),"Not Mentioned",BK834))</f>
        <v>Not Mentioned</v>
      </c>
      <c r="BN834" s="0" t="str">
        <f aca="false">PROPER(IF(ISBLANK(BM834),"Not Mentioned",BM834))</f>
        <v>Not Mentioned</v>
      </c>
      <c r="BO834" s="0" t="s">
        <v>2321</v>
      </c>
      <c r="BP834" s="0" t="str">
        <f aca="false">IF(ISBLANK(BO834),"One-Time Plan",BO834)</f>
        <v>One-Time Plan</v>
      </c>
      <c r="BQ834" s="0" t="s">
        <v>50</v>
      </c>
      <c r="BR834" s="0" t="str">
        <f aca="false">PROPER(IF(ISBLANK(BQ834),"No",BQ834))</f>
        <v>No</v>
      </c>
    </row>
    <row r="835" customFormat="false" ht="15" hidden="false" customHeight="false" outlineLevel="0" collapsed="false">
      <c r="A835" s="0" t="s">
        <v>1960</v>
      </c>
      <c r="B835" s="2" t="n">
        <v>45768</v>
      </c>
      <c r="C835" s="2" t="str">
        <f aca="false">TEXT(B835,"dd/mm/yyyy")</f>
        <v>21/04/2025</v>
      </c>
      <c r="D835" s="0" t="s">
        <v>121</v>
      </c>
      <c r="E835" s="0" t="n">
        <v>8075997979</v>
      </c>
      <c r="F835" s="0" t="s">
        <v>85</v>
      </c>
      <c r="G835" s="0" t="s">
        <v>2319</v>
      </c>
      <c r="H835" s="0" t="s">
        <v>1961</v>
      </c>
      <c r="I835" s="0" t="s">
        <v>107</v>
      </c>
      <c r="J835" s="0" t="s">
        <v>2317</v>
      </c>
      <c r="K835" s="3" t="str">
        <f aca="false" t="array" ref="K835:K835">IFERROR(IF(J835&lt;&gt;"",J835,INDEX(J835:J1834,MATCH(1,(F835:F1834=F835)*(I835:I1834=I835)*(L835:L1834=L835)*(J835:J1834&lt;&gt;""),0))),"Not Found")</f>
        <v>Suspension Noise</v>
      </c>
      <c r="L835" s="3" t="s">
        <v>108</v>
      </c>
      <c r="M835" s="0" t="str">
        <f aca="false">PROPER(L835)</f>
        <v>Timing Belt</v>
      </c>
      <c r="N835" s="3" t="s">
        <v>90</v>
      </c>
      <c r="O835" s="0" t="str">
        <f aca="false" t="array" ref="O835:O835">IF(N835&lt;&gt;"",N835,_xlfn.xlookup(1,(L835:L1834=L835)*(N835:N1834&lt;&gt;""),N835:N1834,"Not Found"))</f>
        <v>Musa</v>
      </c>
      <c r="P835" s="4" t="n">
        <v>76120</v>
      </c>
      <c r="Q835" s="0" t="s">
        <v>124</v>
      </c>
      <c r="R835" s="0" t="str">
        <f aca="false">PROPER(Q835)</f>
        <v>Cash</v>
      </c>
      <c r="S835" s="0" t="s">
        <v>50</v>
      </c>
      <c r="T835" s="0" t="n">
        <v>4</v>
      </c>
      <c r="U835" s="5" t="n">
        <f aca="false">IF(ISBLANK(T835),AVERAGE(T835:T1834),T835)</f>
        <v>4</v>
      </c>
      <c r="V835" s="0" t="n">
        <v>1.9</v>
      </c>
      <c r="X835" s="0" t="str">
        <f aca="false">IF(ISBLANK(W835),"No remarks",W835)</f>
        <v>No remarks</v>
      </c>
      <c r="Y835" s="0" t="s">
        <v>73</v>
      </c>
      <c r="Z835" s="0" t="s">
        <v>136</v>
      </c>
      <c r="AA835" s="0" t="str">
        <f aca="false">PROPER(IF(ISBLANK(Z835),"Location Unavailable",Z835))</f>
        <v>Vip Section</v>
      </c>
      <c r="AB835" s="0" t="s">
        <v>167</v>
      </c>
      <c r="AC835" s="6" t="str">
        <f aca="false">PROPER(AB835)</f>
        <v>Word Of Mouth</v>
      </c>
      <c r="AD835" s="6" t="n">
        <v>60</v>
      </c>
      <c r="AE835" s="5" t="n">
        <f aca="false">IF(ISBLANK(AD835),AVERAGEIF(L835:L1834,L835,AD835:AD1834),AD835)</f>
        <v>60</v>
      </c>
      <c r="AF835" s="0" t="s">
        <v>96</v>
      </c>
      <c r="AG835" s="0" t="str">
        <f aca="false">PROPER(AF835)</f>
        <v>Ordered</v>
      </c>
      <c r="AH835" s="0" t="s">
        <v>155</v>
      </c>
      <c r="AI835" s="0" t="s">
        <v>98</v>
      </c>
      <c r="AJ835" s="0" t="str">
        <f aca="false">PROPER(AI835)</f>
        <v>Emergency</v>
      </c>
      <c r="AK835" s="0" t="s">
        <v>99</v>
      </c>
      <c r="AL835" s="0" t="str">
        <f aca="false">PROPER(AK835)</f>
        <v>Uber Driver</v>
      </c>
      <c r="AN835" s="0" t="str">
        <f aca="false">IF(ISBLANK(AM835),"Unknown",AM835)</f>
        <v>Unknown</v>
      </c>
      <c r="AO835" s="0" t="s">
        <v>79</v>
      </c>
      <c r="AP835" s="0" t="str">
        <f aca="false">IF(ISBLANK(AO835),"Unknown",AO835)</f>
        <v>Specialist</v>
      </c>
      <c r="AQ835" s="0" t="n">
        <v>25000</v>
      </c>
      <c r="AR835" s="5" t="n">
        <f aca="false">IF(ISBLANK(AQ835),AVERAGEIF(M835:M1834,M835,AQ835:AQ1834),AQ835)</f>
        <v>25000</v>
      </c>
      <c r="AS835" s="0" t="n">
        <v>35000</v>
      </c>
      <c r="AT835" s="5" t="n">
        <f aca="false">IF(ISBLANK(AS835),AVERAGE(AS835:AS1834),AS835)</f>
        <v>35000</v>
      </c>
      <c r="AV835" s="0" t="str">
        <f aca="false">PROPER(IF(ISBLANK(AU835),"No",AU835))</f>
        <v>No</v>
      </c>
      <c r="AX835" s="5" t="n">
        <f aca="false">IF(ISBLANK(AW835),0,AW835)</f>
        <v>0</v>
      </c>
      <c r="AY835" s="0" t="s">
        <v>60</v>
      </c>
      <c r="AZ835" s="0" t="str">
        <f aca="false">UPPER(IF(ISBLANK(AY835),"NONE",AY835))</f>
        <v>NONE</v>
      </c>
      <c r="BA835" s="7" t="n">
        <v>45725</v>
      </c>
      <c r="BB835" s="7" t="n">
        <f aca="false">IF(ISBLANK(BA835),"No Follow Up Needed",BA835)</f>
        <v>45725</v>
      </c>
      <c r="BC835" s="0" t="s">
        <v>82</v>
      </c>
      <c r="BD835" s="0" t="str">
        <f aca="false">PROPER(IF(ISBLANK(BC835),"Unknown",BC835))</f>
        <v>Yes</v>
      </c>
      <c r="BE835" s="0" t="s">
        <v>116</v>
      </c>
      <c r="BF835" s="0" t="str">
        <f aca="false">IF(ISBLANK(BE835),"No comments",BE835)</f>
        <v>Needs tire alignment</v>
      </c>
      <c r="BG835" s="0" t="s">
        <v>117</v>
      </c>
      <c r="BH835" s="0" t="str">
        <f aca="false">IF(ISBLANK(BG835),"No comments",BG835)</f>
        <v>Prefers morning</v>
      </c>
      <c r="BI835" s="0" t="s">
        <v>63</v>
      </c>
      <c r="BJ835" s="0" t="str">
        <f aca="false">IF(ISBLANK(BI835),"Not Mentioned",BI835)</f>
        <v>Yes</v>
      </c>
      <c r="BL835" s="0" t="str">
        <f aca="false">PROPER(IF(ISBLANK(BK835),"Not Mentioned",BK835))</f>
        <v>Not Mentioned</v>
      </c>
      <c r="BM835" s="0" t="s">
        <v>50</v>
      </c>
      <c r="BN835" s="0" t="str">
        <f aca="false">PROPER(IF(ISBLANK(BM835),"Not Mentioned",BM835))</f>
        <v>No</v>
      </c>
      <c r="BO835" s="0" t="s">
        <v>2321</v>
      </c>
      <c r="BP835" s="0" t="str">
        <f aca="false">IF(ISBLANK(BO835),"One-Time Plan",BO835)</f>
        <v>One-Time Plan</v>
      </c>
      <c r="BQ835" s="0" t="s">
        <v>63</v>
      </c>
      <c r="BR835" s="0" t="str">
        <f aca="false">PROPER(IF(ISBLANK(BQ835),"No",BQ835))</f>
        <v>Yes</v>
      </c>
    </row>
    <row r="836" customFormat="false" ht="15" hidden="false" customHeight="false" outlineLevel="0" collapsed="false">
      <c r="A836" s="0" t="s">
        <v>1962</v>
      </c>
      <c r="B836" s="2" t="n">
        <v>45666</v>
      </c>
      <c r="C836" s="2" t="str">
        <f aca="false">TEXT(B836,"dd/mm/yyyy")</f>
        <v>09/01/2025</v>
      </c>
      <c r="D836" s="0" t="s">
        <v>66</v>
      </c>
      <c r="E836" s="0" t="n">
        <v>8010211873</v>
      </c>
      <c r="F836" s="0" t="s">
        <v>139</v>
      </c>
      <c r="G836" s="0" t="s">
        <v>2323</v>
      </c>
      <c r="H836" s="0" t="s">
        <v>1616</v>
      </c>
      <c r="I836" s="0" t="s">
        <v>69</v>
      </c>
      <c r="J836" s="0" t="s">
        <v>2317</v>
      </c>
      <c r="K836" s="3" t="str">
        <f aca="false" t="array" ref="K836:K836">IFERROR(IF(J836&lt;&gt;"",J836,INDEX(J836:J1835,MATCH(1,(F836:F1835=F836)*(I836:I1835=I836)*(L836:L1835=L836)*(J836:J1835&lt;&gt;""),0))),"Not Found")</f>
        <v>Suspension Noise</v>
      </c>
      <c r="L836" s="3" t="s">
        <v>142</v>
      </c>
      <c r="M836" s="0" t="str">
        <f aca="false">PROPER(L836)</f>
        <v>Oil Filter, Brake Pads</v>
      </c>
      <c r="N836" s="3" t="s">
        <v>48</v>
      </c>
      <c r="O836" s="0" t="str">
        <f aca="false" t="array" ref="O836:O836">IF(N836&lt;&gt;"",N836,_xlfn.xlookup(1,(L836:L1835=L836)*(N836:N1835&lt;&gt;""),N836:N1835,"Not Found"))</f>
        <v>Uche</v>
      </c>
      <c r="P836" s="4" t="n">
        <v>112241</v>
      </c>
      <c r="Q836" s="0" t="s">
        <v>124</v>
      </c>
      <c r="R836" s="0" t="str">
        <f aca="false">PROPER(Q836)</f>
        <v>Cash</v>
      </c>
      <c r="S836" s="0" t="s">
        <v>50</v>
      </c>
      <c r="U836" s="5" t="n">
        <f aca="false">IF(ISBLANK(T836),AVERAGE(T836:T1835),T836)</f>
        <v>3.26119402985075</v>
      </c>
      <c r="V836" s="0" t="n">
        <v>4.6</v>
      </c>
      <c r="W836" s="0" t="s">
        <v>51</v>
      </c>
      <c r="X836" s="0" t="str">
        <f aca="false">IF(ISBLANK(W836),"No remarks",W836)</f>
        <v>Recommended further checks</v>
      </c>
      <c r="Y836" s="0" t="s">
        <v>93</v>
      </c>
      <c r="Z836" s="0" t="s">
        <v>74</v>
      </c>
      <c r="AA836" s="0" t="str">
        <f aca="false">PROPER(IF(ISBLANK(Z836),"Location Unavailable",Z836))</f>
        <v>Under Tree</v>
      </c>
      <c r="AB836" s="0" t="s">
        <v>75</v>
      </c>
      <c r="AC836" s="6" t="str">
        <f aca="false">PROPER(AB836)</f>
        <v>Mechanik Referal</v>
      </c>
      <c r="AD836" s="6" t="n">
        <v>45</v>
      </c>
      <c r="AE836" s="5" t="n">
        <f aca="false">IF(ISBLANK(AD836),AVERAGEIF(L836:L1835,L836,AD836:AD1835),AD836)</f>
        <v>45</v>
      </c>
      <c r="AF836" s="0" t="s">
        <v>160</v>
      </c>
      <c r="AG836" s="0" t="str">
        <f aca="false">PROPER(AF836)</f>
        <v>Availaible</v>
      </c>
      <c r="AH836" s="0" t="s">
        <v>148</v>
      </c>
      <c r="AI836" s="0" t="s">
        <v>98</v>
      </c>
      <c r="AJ836" s="0" t="str">
        <f aca="false">PROPER(AI836)</f>
        <v>Emergency</v>
      </c>
      <c r="AK836" s="0" t="s">
        <v>114</v>
      </c>
      <c r="AL836" s="0" t="str">
        <f aca="false">PROPER(AK836)</f>
        <v>Returning</v>
      </c>
      <c r="AM836" s="0" t="s">
        <v>2326</v>
      </c>
      <c r="AN836" s="0" t="str">
        <f aca="false">IF(ISBLANK(AM836),"Unknown",AM836)</f>
        <v>Government Convoy</v>
      </c>
      <c r="AO836" s="0" t="s">
        <v>161</v>
      </c>
      <c r="AP836" s="0" t="str">
        <f aca="false">IF(ISBLANK(AO836),"Unknown",AO836)</f>
        <v>Apprentice</v>
      </c>
      <c r="AR836" s="5" t="n">
        <f aca="false">IF(ISBLANK(AQ836),AVERAGEIF(M836:M1835,M836,AQ836:AQ1835),AQ836)</f>
        <v>24000</v>
      </c>
      <c r="AS836" s="0" t="n">
        <v>20000</v>
      </c>
      <c r="AT836" s="5" t="n">
        <f aca="false">IF(ISBLANK(AS836),AVERAGE(AS836:AS1835),AS836)</f>
        <v>20000</v>
      </c>
      <c r="AU836" s="0" t="s">
        <v>50</v>
      </c>
      <c r="AV836" s="0" t="str">
        <f aca="false">PROPER(IF(ISBLANK(AU836),"No",AU836))</f>
        <v>No</v>
      </c>
      <c r="AW836" s="0" t="n">
        <v>5000</v>
      </c>
      <c r="AX836" s="5" t="n">
        <f aca="false">IF(ISBLANK(AW836),0,AW836)</f>
        <v>5000</v>
      </c>
      <c r="AY836" s="0" t="s">
        <v>60</v>
      </c>
      <c r="AZ836" s="0" t="str">
        <f aca="false">UPPER(IF(ISBLANK(AY836),"NONE",AY836))</f>
        <v>NONE</v>
      </c>
      <c r="BA836" s="7" t="n">
        <v>45892</v>
      </c>
      <c r="BB836" s="7" t="n">
        <f aca="false">IF(ISBLANK(BA836),"No Follow Up Needed",BA836)</f>
        <v>45892</v>
      </c>
      <c r="BC836" s="0" t="s">
        <v>63</v>
      </c>
      <c r="BD836" s="0" t="str">
        <f aca="false">PROPER(IF(ISBLANK(BC836),"Unknown",BC836))</f>
        <v>Yes</v>
      </c>
      <c r="BF836" s="0" t="str">
        <f aca="false">IF(ISBLANK(BE836),"No comments",BE836)</f>
        <v>No comments</v>
      </c>
      <c r="BH836" s="0" t="str">
        <f aca="false">IF(ISBLANK(BG836),"No comments",BG836)</f>
        <v>No comments</v>
      </c>
      <c r="BI836" s="0" t="s">
        <v>50</v>
      </c>
      <c r="BJ836" s="0" t="str">
        <f aca="false">IF(ISBLANK(BI836),"Not Mentioned",BI836)</f>
        <v>No</v>
      </c>
      <c r="BK836" s="0" t="s">
        <v>61</v>
      </c>
      <c r="BL836" s="0" t="str">
        <f aca="false">PROPER(IF(ISBLANK(BK836),"Not Mentioned",BK836))</f>
        <v>No</v>
      </c>
      <c r="BM836" s="0" t="s">
        <v>50</v>
      </c>
      <c r="BN836" s="0" t="str">
        <f aca="false">PROPER(IF(ISBLANK(BM836),"Not Mentioned",BM836))</f>
        <v>No</v>
      </c>
      <c r="BO836" s="0" t="s">
        <v>2321</v>
      </c>
      <c r="BP836" s="0" t="str">
        <f aca="false">IF(ISBLANK(BO836),"One-Time Plan",BO836)</f>
        <v>One-Time Plan</v>
      </c>
      <c r="BQ836" s="0" t="s">
        <v>50</v>
      </c>
      <c r="BR836" s="0" t="str">
        <f aca="false">PROPER(IF(ISBLANK(BQ836),"No",BQ836))</f>
        <v>No</v>
      </c>
    </row>
    <row r="837" customFormat="false" ht="15" hidden="false" customHeight="false" outlineLevel="0" collapsed="false">
      <c r="A837" s="0" t="s">
        <v>1963</v>
      </c>
      <c r="B837" s="2" t="n">
        <v>45778</v>
      </c>
      <c r="C837" s="2" t="str">
        <f aca="false">TEXT(B837,"dd/mm/yyyy")</f>
        <v>01/05/2025</v>
      </c>
      <c r="D837" s="0" t="s">
        <v>105</v>
      </c>
      <c r="E837" s="0" t="n">
        <v>8023001760</v>
      </c>
      <c r="F837" s="0" t="s">
        <v>67</v>
      </c>
      <c r="G837" s="0" t="s">
        <v>2316</v>
      </c>
      <c r="H837" s="0" t="s">
        <v>1260</v>
      </c>
      <c r="I837" s="0" t="s">
        <v>69</v>
      </c>
      <c r="J837" s="0" t="s">
        <v>87</v>
      </c>
      <c r="K837" s="3" t="str">
        <f aca="false" t="array" ref="K837:K837">IFERROR(IF(J837&lt;&gt;"",J837,INDEX(J837:J1836,MATCH(1,(F837:F1836=F837)*(I837:I1836=I837)*(L837:L1836=L837)*(J837:J1836&lt;&gt;""),0))),"Not Found")</f>
        <v>Oil Change</v>
      </c>
      <c r="L837" s="3" t="s">
        <v>89</v>
      </c>
      <c r="M837" s="0" t="str">
        <f aca="false">PROPER(L837)</f>
        <v>Shock Absorbers</v>
      </c>
      <c r="N837" s="3" t="s">
        <v>71</v>
      </c>
      <c r="O837" s="0" t="str">
        <f aca="false" t="array" ref="O837:O837">IF(N837&lt;&gt;"",N837,_xlfn.xlookup(1,(L837:L1836=L837)*(N837:N1836&lt;&gt;""),N837:N1836,"Not Found"))</f>
        <v>Isaac Bobo</v>
      </c>
      <c r="P837" s="4" t="n">
        <v>86639</v>
      </c>
      <c r="Q837" s="0" t="s">
        <v>124</v>
      </c>
      <c r="R837" s="0" t="str">
        <f aca="false">PROPER(Q837)</f>
        <v>Cash</v>
      </c>
      <c r="S837" s="0" t="s">
        <v>50</v>
      </c>
      <c r="T837" s="0" t="n">
        <v>1</v>
      </c>
      <c r="U837" s="5" t="n">
        <f aca="false">IF(ISBLANK(T837),AVERAGE(T837:T1836),T837)</f>
        <v>1</v>
      </c>
      <c r="V837" s="0" t="n">
        <v>1</v>
      </c>
      <c r="W837" s="0" t="s">
        <v>51</v>
      </c>
      <c r="X837" s="0" t="str">
        <f aca="false">IF(ISBLANK(W837),"No remarks",W837)</f>
        <v>Recommended further checks</v>
      </c>
      <c r="Y837" s="0" t="s">
        <v>73</v>
      </c>
      <c r="AA837" s="0" t="str">
        <f aca="false">PROPER(IF(ISBLANK(Z837),"Location Unavailable",Z837))</f>
        <v>Location Unavailable</v>
      </c>
      <c r="AB837" s="0" t="s">
        <v>126</v>
      </c>
      <c r="AC837" s="6" t="str">
        <f aca="false">PROPER(AB837)</f>
        <v>Whatsapp</v>
      </c>
      <c r="AD837" s="6" t="n">
        <v>45</v>
      </c>
      <c r="AE837" s="5" t="n">
        <f aca="false">IF(ISBLANK(AD837),AVERAGEIF(L837:L1836,L837,AD837:AD1836),AD837)</f>
        <v>45</v>
      </c>
      <c r="AF837" s="0" t="s">
        <v>76</v>
      </c>
      <c r="AG837" s="0" t="str">
        <f aca="false">PROPER(AF837)</f>
        <v>Orderd</v>
      </c>
      <c r="AH837" s="0" t="s">
        <v>56</v>
      </c>
      <c r="AI837" s="0" t="s">
        <v>78</v>
      </c>
      <c r="AJ837" s="0" t="str">
        <f aca="false">PROPER(AI837)</f>
        <v>Booking</v>
      </c>
      <c r="AK837" s="0" t="s">
        <v>58</v>
      </c>
      <c r="AL837" s="0" t="str">
        <f aca="false">PROPER(AK837)</f>
        <v>Fleet Owner</v>
      </c>
      <c r="AM837" s="0" t="s">
        <v>2326</v>
      </c>
      <c r="AN837" s="0" t="str">
        <f aca="false">IF(ISBLANK(AM837),"Unknown",AM837)</f>
        <v>Government Convoy</v>
      </c>
      <c r="AO837" s="0" t="s">
        <v>143</v>
      </c>
      <c r="AP837" s="0" t="str">
        <f aca="false">IF(ISBLANK(AO837),"Unknown",AO837)</f>
        <v>Senior</v>
      </c>
      <c r="AQ837" s="0" t="n">
        <v>15000</v>
      </c>
      <c r="AR837" s="5" t="n">
        <f aca="false">IF(ISBLANK(AQ837),AVERAGEIF(M837:M1836,M837,AQ837:AQ1836),AQ837)</f>
        <v>15000</v>
      </c>
      <c r="AS837" s="0" t="n">
        <v>35000</v>
      </c>
      <c r="AT837" s="5" t="n">
        <f aca="false">IF(ISBLANK(AS837),AVERAGE(AS837:AS1836),AS837)</f>
        <v>35000</v>
      </c>
      <c r="AV837" s="0" t="str">
        <f aca="false">PROPER(IF(ISBLANK(AU837),"No",AU837))</f>
        <v>No</v>
      </c>
      <c r="AW837" s="0" t="n">
        <v>0</v>
      </c>
      <c r="AX837" s="5" t="n">
        <f aca="false">IF(ISBLANK(AW837),0,AW837)</f>
        <v>0</v>
      </c>
      <c r="AZ837" s="0" t="str">
        <f aca="false">UPPER(IF(ISBLANK(AY837),"NONE",AY837))</f>
        <v>NONE</v>
      </c>
      <c r="BA837" s="7" t="n">
        <v>46015</v>
      </c>
      <c r="BB837" s="7" t="n">
        <f aca="false">IF(ISBLANK(BA837),"No Follow Up Needed",BA837)</f>
        <v>46015</v>
      </c>
      <c r="BC837" s="0" t="s">
        <v>63</v>
      </c>
      <c r="BD837" s="0" t="str">
        <f aca="false">PROPER(IF(ISBLANK(BC837),"Unknown",BC837))</f>
        <v>Yes</v>
      </c>
      <c r="BF837" s="0" t="str">
        <f aca="false">IF(ISBLANK(BE837),"No comments",BE837)</f>
        <v>No comments</v>
      </c>
      <c r="BH837" s="0" t="str">
        <f aca="false">IF(ISBLANK(BG837),"No comments",BG837)</f>
        <v>No comments</v>
      </c>
      <c r="BI837" s="0" t="s">
        <v>50</v>
      </c>
      <c r="BJ837" s="0" t="str">
        <f aca="false">IF(ISBLANK(BI837),"Not Mentioned",BI837)</f>
        <v>No</v>
      </c>
      <c r="BK837" s="0" t="s">
        <v>61</v>
      </c>
      <c r="BL837" s="0" t="str">
        <f aca="false">PROPER(IF(ISBLANK(BK837),"Not Mentioned",BK837))</f>
        <v>No</v>
      </c>
      <c r="BN837" s="0" t="str">
        <f aca="false">PROPER(IF(ISBLANK(BM837),"Not Mentioned",BM837))</f>
        <v>Not Mentioned</v>
      </c>
      <c r="BO837" s="0" t="s">
        <v>64</v>
      </c>
      <c r="BP837" s="0" t="str">
        <f aca="false">IF(ISBLANK(BO837),"One-Time Plan",BO837)</f>
        <v>Gold Maintenance Plan</v>
      </c>
      <c r="BQ837" s="0" t="s">
        <v>50</v>
      </c>
      <c r="BR837" s="0" t="str">
        <f aca="false">PROPER(IF(ISBLANK(BQ837),"No",BQ837))</f>
        <v>No</v>
      </c>
    </row>
    <row r="838" customFormat="false" ht="15" hidden="false" customHeight="false" outlineLevel="0" collapsed="false">
      <c r="A838" s="0" t="s">
        <v>1964</v>
      </c>
      <c r="B838" s="2" t="n">
        <v>45674</v>
      </c>
      <c r="C838" s="2" t="str">
        <f aca="false">TEXT(B838,"dd/mm/yyyy")</f>
        <v>17/01/2025</v>
      </c>
      <c r="D838" s="0" t="s">
        <v>121</v>
      </c>
      <c r="E838" s="0" t="n">
        <v>8019373966</v>
      </c>
      <c r="F838" s="0" t="s">
        <v>122</v>
      </c>
      <c r="G838" s="0" t="s">
        <v>2316</v>
      </c>
      <c r="H838" s="0" t="s">
        <v>1965</v>
      </c>
      <c r="I838" s="0" t="s">
        <v>45</v>
      </c>
      <c r="J838" s="0" t="s">
        <v>2317</v>
      </c>
      <c r="K838" s="3" t="str">
        <f aca="false" t="array" ref="K838:K838">IFERROR(IF(J838&lt;&gt;"",J838,INDEX(J838:J1837,MATCH(1,(F838:F1837=F838)*(I838:I1837=I838)*(L838:L1837=L838)*(J838:J1837&lt;&gt;""),0))),"Not Found")</f>
        <v>Suspension Noise</v>
      </c>
      <c r="L838" s="3" t="s">
        <v>108</v>
      </c>
      <c r="M838" s="0" t="str">
        <f aca="false">PROPER(L838)</f>
        <v>Timing Belt</v>
      </c>
      <c r="N838" s="3" t="s">
        <v>71</v>
      </c>
      <c r="O838" s="0" t="str">
        <f aca="false" t="array" ref="O838:O838">IF(N838&lt;&gt;"",N838,_xlfn.xlookup(1,(L838:L1837=L838)*(N838:N1837&lt;&gt;""),N838:N1837,"Not Found"))</f>
        <v>Isaac Bobo</v>
      </c>
      <c r="P838" s="4" t="n">
        <v>68796</v>
      </c>
      <c r="Q838" s="0" t="s">
        <v>91</v>
      </c>
      <c r="R838" s="0" t="str">
        <f aca="false">PROPER(Q838)</f>
        <v>Pos</v>
      </c>
      <c r="S838" s="0" t="s">
        <v>63</v>
      </c>
      <c r="T838" s="0" t="n">
        <v>5</v>
      </c>
      <c r="U838" s="5" t="n">
        <f aca="false">IF(ISBLANK(T838),AVERAGE(T838:T1837),T838)</f>
        <v>5</v>
      </c>
      <c r="V838" s="0" t="n">
        <v>1.3</v>
      </c>
      <c r="W838" s="0" t="s">
        <v>51</v>
      </c>
      <c r="X838" s="0" t="str">
        <f aca="false">IF(ISBLANK(W838),"No remarks",W838)</f>
        <v>Recommended further checks</v>
      </c>
      <c r="Y838" s="0" t="s">
        <v>73</v>
      </c>
      <c r="Z838" s="0" t="s">
        <v>74</v>
      </c>
      <c r="AA838" s="0" t="str">
        <f aca="false">PROPER(IF(ISBLANK(Z838),"Location Unavailable",Z838))</f>
        <v>Under Tree</v>
      </c>
      <c r="AB838" s="0" t="s">
        <v>95</v>
      </c>
      <c r="AC838" s="6" t="str">
        <f aca="false">PROPER(AB838)</f>
        <v>Road Sign</v>
      </c>
      <c r="AD838" s="6" t="n">
        <v>45</v>
      </c>
      <c r="AE838" s="5" t="n">
        <f aca="false">IF(ISBLANK(AD838),AVERAGEIF(L838:L1837,L838,AD838:AD1837),AD838)</f>
        <v>45</v>
      </c>
      <c r="AF838" s="0" t="s">
        <v>76</v>
      </c>
      <c r="AG838" s="0" t="str">
        <f aca="false">PROPER(AF838)</f>
        <v>Orderd</v>
      </c>
      <c r="AH838" s="0" t="s">
        <v>77</v>
      </c>
      <c r="AI838" s="0" t="s">
        <v>128</v>
      </c>
      <c r="AJ838" s="0" t="str">
        <f aca="false">PROPER(AI838)</f>
        <v>Normal</v>
      </c>
      <c r="AK838" s="0" t="s">
        <v>114</v>
      </c>
      <c r="AL838" s="0" t="str">
        <f aca="false">PROPER(AK838)</f>
        <v>Returning</v>
      </c>
      <c r="AN838" s="0" t="str">
        <f aca="false">IF(ISBLANK(AM838),"Unknown",AM838)</f>
        <v>Unknown</v>
      </c>
      <c r="AO838" s="0" t="s">
        <v>143</v>
      </c>
      <c r="AP838" s="0" t="str">
        <f aca="false">IF(ISBLANK(AO838),"Unknown",AO838)</f>
        <v>Senior</v>
      </c>
      <c r="AQ838" s="0" t="n">
        <v>15000</v>
      </c>
      <c r="AR838" s="5" t="n">
        <f aca="false">IF(ISBLANK(AQ838),AVERAGEIF(M838:M1837,M838,AQ838:AQ1837),AQ838)</f>
        <v>15000</v>
      </c>
      <c r="AS838" s="0" t="n">
        <v>35000</v>
      </c>
      <c r="AT838" s="5" t="n">
        <f aca="false">IF(ISBLANK(AS838),AVERAGE(AS838:AS1837),AS838)</f>
        <v>35000</v>
      </c>
      <c r="AU838" s="0" t="s">
        <v>63</v>
      </c>
      <c r="AV838" s="0" t="str">
        <f aca="false">PROPER(IF(ISBLANK(AU838),"No",AU838))</f>
        <v>Yes</v>
      </c>
      <c r="AW838" s="0" t="n">
        <v>5000</v>
      </c>
      <c r="AX838" s="5" t="n">
        <f aca="false">IF(ISBLANK(AW838),0,AW838)</f>
        <v>5000</v>
      </c>
      <c r="AY838" s="0" t="s">
        <v>184</v>
      </c>
      <c r="AZ838" s="0" t="str">
        <f aca="false">UPPER(IF(ISBLANK(AY838),"NONE",AY838))</f>
        <v>N/A</v>
      </c>
      <c r="BA838" s="7" t="s">
        <v>645</v>
      </c>
      <c r="BB838" s="7" t="str">
        <f aca="false">IF(ISBLANK(BA838),"No Follow Up Needed",BA838)</f>
        <v>27/11/2025</v>
      </c>
      <c r="BC838" s="0" t="s">
        <v>50</v>
      </c>
      <c r="BD838" s="0" t="str">
        <f aca="false">PROPER(IF(ISBLANK(BC838),"Unknown",BC838))</f>
        <v>No</v>
      </c>
      <c r="BE838" s="0" t="s">
        <v>116</v>
      </c>
      <c r="BF838" s="0" t="str">
        <f aca="false">IF(ISBLANK(BE838),"No comments",BE838)</f>
        <v>Needs tire alignment</v>
      </c>
      <c r="BH838" s="0" t="str">
        <f aca="false">IF(ISBLANK(BG838),"No comments",BG838)</f>
        <v>No comments</v>
      </c>
      <c r="BI838" s="0" t="s">
        <v>63</v>
      </c>
      <c r="BJ838" s="0" t="str">
        <f aca="false">IF(ISBLANK(BI838),"Not Mentioned",BI838)</f>
        <v>Yes</v>
      </c>
      <c r="BK838" s="0" t="s">
        <v>50</v>
      </c>
      <c r="BL838" s="0" t="str">
        <f aca="false">PROPER(IF(ISBLANK(BK838),"Not Mentioned",BK838))</f>
        <v>No</v>
      </c>
      <c r="BM838" s="0" t="s">
        <v>63</v>
      </c>
      <c r="BN838" s="0" t="str">
        <f aca="false">PROPER(IF(ISBLANK(BM838),"Not Mentioned",BM838))</f>
        <v>Yes</v>
      </c>
      <c r="BO838" s="0" t="s">
        <v>2321</v>
      </c>
      <c r="BP838" s="0" t="str">
        <f aca="false">IF(ISBLANK(BO838),"One-Time Plan",BO838)</f>
        <v>One-Time Plan</v>
      </c>
      <c r="BQ838" s="0" t="s">
        <v>50</v>
      </c>
      <c r="BR838" s="0" t="str">
        <f aca="false">PROPER(IF(ISBLANK(BQ838),"No",BQ838))</f>
        <v>No</v>
      </c>
    </row>
    <row r="839" customFormat="false" ht="15" hidden="false" customHeight="false" outlineLevel="0" collapsed="false">
      <c r="A839" s="0" t="s">
        <v>1966</v>
      </c>
      <c r="B839" s="2" t="n">
        <v>45710</v>
      </c>
      <c r="C839" s="2" t="str">
        <f aca="false">TEXT(B839,"dd/mm/yyyy")</f>
        <v>22/02/2025</v>
      </c>
      <c r="D839" s="0" t="s">
        <v>42</v>
      </c>
      <c r="E839" s="0" t="n">
        <v>8066081482</v>
      </c>
      <c r="F839" s="0" t="s">
        <v>67</v>
      </c>
      <c r="G839" s="0" t="s">
        <v>2316</v>
      </c>
      <c r="H839" s="0" t="s">
        <v>1967</v>
      </c>
      <c r="I839" s="0" t="s">
        <v>69</v>
      </c>
      <c r="J839" s="0" t="s">
        <v>2317</v>
      </c>
      <c r="K839" s="3" t="str">
        <f aca="false" t="array" ref="K839:K839">IFERROR(IF(J839&lt;&gt;"",J839,INDEX(J839:J1838,MATCH(1,(F839:F1838=F839)*(I839:I1838=I839)*(L839:L1838=L839)*(J839:J1838&lt;&gt;""),0))),"Not Found")</f>
        <v>Suspension Noise</v>
      </c>
      <c r="L839" s="3" t="s">
        <v>142</v>
      </c>
      <c r="M839" s="0" t="str">
        <f aca="false">PROPER(L839)</f>
        <v>Oil Filter, Brake Pads</v>
      </c>
      <c r="O839" s="0" t="e">
        <f aca="false" t="array" ref="O839:O839">IF(N839&lt;&gt;"",N839,_xlfn.xlookup(1,(L839:L1838=L839)*(N839:N1838&lt;&gt;""),N839:N1838,"Not Found"))</f>
        <v>#NAME?</v>
      </c>
      <c r="P839" s="4" t="n">
        <v>29215</v>
      </c>
      <c r="Q839" s="0" t="s">
        <v>166</v>
      </c>
      <c r="R839" s="0" t="str">
        <f aca="false">PROPER(Q839)</f>
        <v>Transfer</v>
      </c>
      <c r="S839" s="0" t="s">
        <v>50</v>
      </c>
      <c r="T839" s="0" t="n">
        <v>3</v>
      </c>
      <c r="U839" s="5" t="n">
        <f aca="false">IF(ISBLANK(T839),AVERAGE(T839:T1838),T839)</f>
        <v>3</v>
      </c>
      <c r="V839" s="0" t="n">
        <v>1.8</v>
      </c>
      <c r="W839" s="0" t="s">
        <v>51</v>
      </c>
      <c r="X839" s="0" t="str">
        <f aca="false">IF(ISBLANK(W839),"No remarks",W839)</f>
        <v>Recommended further checks</v>
      </c>
      <c r="Y839" s="0" t="s">
        <v>52</v>
      </c>
      <c r="AA839" s="0" t="str">
        <f aca="false">PROPER(IF(ISBLANK(Z839),"Location Unavailable",Z839))</f>
        <v>Location Unavailable</v>
      </c>
      <c r="AB839" s="0" t="s">
        <v>95</v>
      </c>
      <c r="AC839" s="6" t="str">
        <f aca="false">PROPER(AB839)</f>
        <v>Road Sign</v>
      </c>
      <c r="AD839" s="6" t="n">
        <v>30</v>
      </c>
      <c r="AE839" s="5" t="n">
        <f aca="false">IF(ISBLANK(AD839),AVERAGEIF(L839:L1838,L839,AD839:AD1838),AD839)</f>
        <v>30</v>
      </c>
      <c r="AF839" s="0" t="s">
        <v>112</v>
      </c>
      <c r="AG839" s="0" t="str">
        <f aca="false">PROPER(AF839)</f>
        <v>Unavailable</v>
      </c>
      <c r="AH839" s="0" t="s">
        <v>148</v>
      </c>
      <c r="AI839" s="0" t="s">
        <v>98</v>
      </c>
      <c r="AJ839" s="0" t="str">
        <f aca="false">PROPER(AI839)</f>
        <v>Emergency</v>
      </c>
      <c r="AK839" s="0" t="s">
        <v>99</v>
      </c>
      <c r="AL839" s="0" t="str">
        <f aca="false">PROPER(AK839)</f>
        <v>Uber Driver</v>
      </c>
      <c r="AM839" s="0" t="s">
        <v>177</v>
      </c>
      <c r="AN839" s="0" t="str">
        <f aca="false">IF(ISBLANK(AM839),"Unknown",AM839)</f>
        <v>Private</v>
      </c>
      <c r="AO839" s="0" t="s">
        <v>143</v>
      </c>
      <c r="AP839" s="0" t="str">
        <f aca="false">IF(ISBLANK(AO839),"Unknown",AO839)</f>
        <v>Senior</v>
      </c>
      <c r="AQ839" s="0" t="n">
        <v>20000</v>
      </c>
      <c r="AR839" s="5" t="n">
        <f aca="false">IF(ISBLANK(AQ839),AVERAGEIF(M839:M1838,M839,AQ839:AQ1838),AQ839)</f>
        <v>20000</v>
      </c>
      <c r="AS839" s="0" t="n">
        <v>40000</v>
      </c>
      <c r="AT839" s="5" t="n">
        <f aca="false">IF(ISBLANK(AS839),AVERAGE(AS839:AS1838),AS839)</f>
        <v>40000</v>
      </c>
      <c r="AU839" s="0" t="s">
        <v>50</v>
      </c>
      <c r="AV839" s="0" t="str">
        <f aca="false">PROPER(IF(ISBLANK(AU839),"No",AU839))</f>
        <v>No</v>
      </c>
      <c r="AW839" s="0" t="n">
        <v>5000</v>
      </c>
      <c r="AX839" s="5" t="n">
        <f aca="false">IF(ISBLANK(AW839),0,AW839)</f>
        <v>5000</v>
      </c>
      <c r="AY839" s="0" t="s">
        <v>130</v>
      </c>
      <c r="AZ839" s="0" t="str">
        <f aca="false">UPPER(IF(ISBLANK(AY839),"NONE",AY839))</f>
        <v>LOYALTY10</v>
      </c>
      <c r="BA839" s="7" t="n">
        <v>45940</v>
      </c>
      <c r="BB839" s="7" t="n">
        <f aca="false">IF(ISBLANK(BA839),"No Follow Up Needed",BA839)</f>
        <v>45940</v>
      </c>
      <c r="BC839" s="0" t="s">
        <v>63</v>
      </c>
      <c r="BD839" s="0" t="str">
        <f aca="false">PROPER(IF(ISBLANK(BC839),"Unknown",BC839))</f>
        <v>Yes</v>
      </c>
      <c r="BF839" s="0" t="str">
        <f aca="false">IF(ISBLANK(BE839),"No comments",BE839)</f>
        <v>No comments</v>
      </c>
      <c r="BG839" s="0" t="s">
        <v>172</v>
      </c>
      <c r="BH839" s="0" t="str">
        <f aca="false">IF(ISBLANK(BG839),"No comments",BG839)</f>
        <v>Always late</v>
      </c>
      <c r="BI839" s="0" t="s">
        <v>50</v>
      </c>
      <c r="BJ839" s="0" t="str">
        <f aca="false">IF(ISBLANK(BI839),"Not Mentioned",BI839)</f>
        <v>No</v>
      </c>
      <c r="BK839" s="0" t="s">
        <v>63</v>
      </c>
      <c r="BL839" s="0" t="str">
        <f aca="false">PROPER(IF(ISBLANK(BK839),"Not Mentioned",BK839))</f>
        <v>Yes</v>
      </c>
      <c r="BN839" s="0" t="str">
        <f aca="false">PROPER(IF(ISBLANK(BM839),"Not Mentioned",BM839))</f>
        <v>Not Mentioned</v>
      </c>
      <c r="BO839" s="0" t="s">
        <v>2321</v>
      </c>
      <c r="BP839" s="0" t="str">
        <f aca="false">IF(ISBLANK(BO839),"One-Time Plan",BO839)</f>
        <v>One-Time Plan</v>
      </c>
      <c r="BQ839" s="0" t="s">
        <v>63</v>
      </c>
      <c r="BR839" s="0" t="str">
        <f aca="false">PROPER(IF(ISBLANK(BQ839),"No",BQ839))</f>
        <v>Yes</v>
      </c>
    </row>
    <row r="840" customFormat="false" ht="15" hidden="false" customHeight="false" outlineLevel="0" collapsed="false">
      <c r="A840" s="0" t="s">
        <v>1968</v>
      </c>
      <c r="B840" s="2" t="n">
        <v>45709</v>
      </c>
      <c r="C840" s="2" t="str">
        <f aca="false">TEXT(B840,"dd/mm/yyyy")</f>
        <v>21/02/2025</v>
      </c>
      <c r="D840" s="0" t="s">
        <v>105</v>
      </c>
      <c r="E840" s="0" t="n">
        <v>8080459205</v>
      </c>
      <c r="F840" s="0" t="s">
        <v>122</v>
      </c>
      <c r="G840" s="0" t="s">
        <v>2316</v>
      </c>
      <c r="H840" s="0" t="s">
        <v>238</v>
      </c>
      <c r="I840" s="0" t="s">
        <v>69</v>
      </c>
      <c r="J840" s="0" t="s">
        <v>2317</v>
      </c>
      <c r="K840" s="3" t="str">
        <f aca="false" t="array" ref="K840:K840">IFERROR(IF(J840&lt;&gt;"",J840,INDEX(J840:J1839,MATCH(1,(F840:F1839=F840)*(I840:I1839=I840)*(L840:L1839=L840)*(J840:J1839&lt;&gt;""),0))),"Not Found")</f>
        <v>Suspension Noise</v>
      </c>
      <c r="L840" s="3" t="s">
        <v>108</v>
      </c>
      <c r="M840" s="0" t="str">
        <f aca="false">PROPER(L840)</f>
        <v>Timing Belt</v>
      </c>
      <c r="N840" s="3" t="s">
        <v>48</v>
      </c>
      <c r="O840" s="0" t="str">
        <f aca="false" t="array" ref="O840:O840">IF(N840&lt;&gt;"",N840,_xlfn.xlookup(1,(L840:L1839=L840)*(N840:N1839&lt;&gt;""),N840:N1839,"Not Found"))</f>
        <v>Uche</v>
      </c>
      <c r="P840" s="4" t="n">
        <v>24674</v>
      </c>
      <c r="Q840" s="0" t="s">
        <v>110</v>
      </c>
      <c r="R840" s="0" t="str">
        <f aca="false">PROPER(Q840)</f>
        <v>Cash</v>
      </c>
      <c r="S840" s="0" t="s">
        <v>50</v>
      </c>
      <c r="U840" s="5" t="n">
        <f aca="false">IF(ISBLANK(T840),AVERAGE(T840:T1839),T840)</f>
        <v>3.26717557251908</v>
      </c>
      <c r="V840" s="0" t="n">
        <v>4.7</v>
      </c>
      <c r="W840" s="0" t="s">
        <v>125</v>
      </c>
      <c r="X840" s="0" t="str">
        <f aca="false">IF(ISBLANK(W840),"No remarks",W840)</f>
        <v>Customer waited</v>
      </c>
      <c r="Y840" s="0" t="s">
        <v>52</v>
      </c>
      <c r="Z840" s="0" t="s">
        <v>159</v>
      </c>
      <c r="AA840" s="0" t="str">
        <f aca="false">PROPER(IF(ISBLANK(Z840),"Location Unavailable",Z840))</f>
        <v>Main Bay</v>
      </c>
      <c r="AB840" s="0" t="s">
        <v>54</v>
      </c>
      <c r="AC840" s="6" t="str">
        <f aca="false">PROPER(AB840)</f>
        <v>Mechanic Referral</v>
      </c>
      <c r="AD840" s="6" t="n">
        <v>45</v>
      </c>
      <c r="AE840" s="5" t="n">
        <f aca="false">IF(ISBLANK(AD840),AVERAGEIF(L840:L1839,L840,AD840:AD1839),AD840)</f>
        <v>45</v>
      </c>
      <c r="AF840" s="0" t="s">
        <v>96</v>
      </c>
      <c r="AG840" s="0" t="str">
        <f aca="false">PROPER(AF840)</f>
        <v>Ordered</v>
      </c>
      <c r="AH840" s="0" t="s">
        <v>155</v>
      </c>
      <c r="AI840" s="0" t="s">
        <v>128</v>
      </c>
      <c r="AJ840" s="0" t="str">
        <f aca="false">PROPER(AI840)</f>
        <v>Normal</v>
      </c>
      <c r="AK840" s="0" t="s">
        <v>196</v>
      </c>
      <c r="AL840" s="0" t="str">
        <f aca="false">PROPER(AK840)</f>
        <v>First Time</v>
      </c>
      <c r="AM840" s="0" t="s">
        <v>177</v>
      </c>
      <c r="AN840" s="0" t="str">
        <f aca="false">IF(ISBLANK(AM840),"Unknown",AM840)</f>
        <v>Private</v>
      </c>
      <c r="AO840" s="0" t="s">
        <v>79</v>
      </c>
      <c r="AP840" s="0" t="str">
        <f aca="false">IF(ISBLANK(AO840),"Unknown",AO840)</f>
        <v>Specialist</v>
      </c>
      <c r="AQ840" s="0" t="n">
        <v>25000</v>
      </c>
      <c r="AR840" s="5" t="n">
        <f aca="false">IF(ISBLANK(AQ840),AVERAGEIF(M840:M1839,M840,AQ840:AQ1839),AQ840)</f>
        <v>25000</v>
      </c>
      <c r="AS840" s="0" t="n">
        <v>30000</v>
      </c>
      <c r="AT840" s="5" t="n">
        <f aca="false">IF(ISBLANK(AS840),AVERAGE(AS840:AS1839),AS840)</f>
        <v>30000</v>
      </c>
      <c r="AV840" s="0" t="str">
        <f aca="false">PROPER(IF(ISBLANK(AU840),"No",AU840))</f>
        <v>No</v>
      </c>
      <c r="AW840" s="0" t="n">
        <v>5000</v>
      </c>
      <c r="AX840" s="5" t="n">
        <f aca="false">IF(ISBLANK(AW840),0,AW840)</f>
        <v>5000</v>
      </c>
      <c r="AY840" s="0" t="s">
        <v>60</v>
      </c>
      <c r="AZ840" s="0" t="str">
        <f aca="false">UPPER(IF(ISBLANK(AY840),"NONE",AY840))</f>
        <v>NONE</v>
      </c>
      <c r="BA840" s="7" t="n">
        <v>45932</v>
      </c>
      <c r="BB840" s="7" t="n">
        <f aca="false">IF(ISBLANK(BA840),"No Follow Up Needed",BA840)</f>
        <v>45932</v>
      </c>
      <c r="BC840" s="0" t="s">
        <v>50</v>
      </c>
      <c r="BD840" s="0" t="str">
        <f aca="false">PROPER(IF(ISBLANK(BC840),"Unknown",BC840))</f>
        <v>No</v>
      </c>
      <c r="BF840" s="0" t="str">
        <f aca="false">IF(ISBLANK(BE840),"No comments",BE840)</f>
        <v>No comments</v>
      </c>
      <c r="BG840" s="0" t="s">
        <v>172</v>
      </c>
      <c r="BH840" s="0" t="str">
        <f aca="false">IF(ISBLANK(BG840),"No comments",BG840)</f>
        <v>Always late</v>
      </c>
      <c r="BI840" s="0" t="s">
        <v>50</v>
      </c>
      <c r="BJ840" s="0" t="str">
        <f aca="false">IF(ISBLANK(BI840),"Not Mentioned",BI840)</f>
        <v>No</v>
      </c>
      <c r="BL840" s="0" t="str">
        <f aca="false">PROPER(IF(ISBLANK(BK840),"Not Mentioned",BK840))</f>
        <v>Not Mentioned</v>
      </c>
      <c r="BM840" s="0" t="s">
        <v>63</v>
      </c>
      <c r="BN840" s="0" t="str">
        <f aca="false">PROPER(IF(ISBLANK(BM840),"Not Mentioned",BM840))</f>
        <v>Yes</v>
      </c>
      <c r="BO840" s="0" t="s">
        <v>2321</v>
      </c>
      <c r="BP840" s="0" t="str">
        <f aca="false">IF(ISBLANK(BO840),"One-Time Plan",BO840)</f>
        <v>One-Time Plan</v>
      </c>
      <c r="BQ840" s="0" t="s">
        <v>50</v>
      </c>
      <c r="BR840" s="0" t="str">
        <f aca="false">PROPER(IF(ISBLANK(BQ840),"No",BQ840))</f>
        <v>No</v>
      </c>
    </row>
    <row r="841" customFormat="false" ht="15" hidden="false" customHeight="false" outlineLevel="0" collapsed="false">
      <c r="A841" s="0" t="s">
        <v>1969</v>
      </c>
      <c r="B841" s="2" t="n">
        <v>45729</v>
      </c>
      <c r="C841" s="2" t="str">
        <f aca="false">TEXT(B841,"dd/mm/yyyy")</f>
        <v>13/03/2025</v>
      </c>
      <c r="D841" s="0" t="s">
        <v>42</v>
      </c>
      <c r="E841" s="0" t="n">
        <v>8065947629</v>
      </c>
      <c r="F841" s="0" t="s">
        <v>67</v>
      </c>
      <c r="G841" s="0" t="s">
        <v>2316</v>
      </c>
      <c r="H841" s="0" t="s">
        <v>1970</v>
      </c>
      <c r="I841" s="0" t="s">
        <v>134</v>
      </c>
      <c r="J841" s="0" t="s">
        <v>2322</v>
      </c>
      <c r="K841" s="3" t="str">
        <f aca="false" t="array" ref="K841:K841">IFERROR(IF(J841&lt;&gt;"",J841,INDEX(J841:J1840,MATCH(1,(F841:F1840=F841)*(I841:I1840=I841)*(L841:L1840=L841)*(J841:J1840&lt;&gt;""),0))),"Not Found")</f>
        <v>Brake Failure</v>
      </c>
      <c r="L841" s="3" t="s">
        <v>189</v>
      </c>
      <c r="M841" s="0" t="str">
        <f aca="false">PROPER(L841)</f>
        <v>Battery</v>
      </c>
      <c r="N841" s="3" t="s">
        <v>109</v>
      </c>
      <c r="O841" s="0" t="str">
        <f aca="false" t="array" ref="O841:O841">IF(N841&lt;&gt;"",N841,_xlfn.xlookup(1,(L841:L1840=L841)*(N841:N1840&lt;&gt;""),N841:N1840,"Not Found"))</f>
        <v>Tijani</v>
      </c>
      <c r="P841" s="4" t="n">
        <v>20944</v>
      </c>
      <c r="Q841" s="0" t="s">
        <v>166</v>
      </c>
      <c r="R841" s="0" t="str">
        <f aca="false">PROPER(Q841)</f>
        <v>Transfer</v>
      </c>
      <c r="S841" s="0" t="s">
        <v>50</v>
      </c>
      <c r="T841" s="0" t="n">
        <v>1</v>
      </c>
      <c r="U841" s="5" t="n">
        <f aca="false">IF(ISBLANK(T841),AVERAGE(T841:T1840),T841)</f>
        <v>1</v>
      </c>
      <c r="V841" s="0" t="n">
        <v>3.5</v>
      </c>
      <c r="W841" s="0" t="s">
        <v>51</v>
      </c>
      <c r="X841" s="0" t="str">
        <f aca="false">IF(ISBLANK(W841),"No remarks",W841)</f>
        <v>Recommended further checks</v>
      </c>
      <c r="Y841" s="0" t="s">
        <v>52</v>
      </c>
      <c r="AA841" s="0" t="str">
        <f aca="false">PROPER(IF(ISBLANK(Z841),"Location Unavailable",Z841))</f>
        <v>Location Unavailable</v>
      </c>
      <c r="AB841" s="0" t="s">
        <v>54</v>
      </c>
      <c r="AC841" s="6" t="str">
        <f aca="false">PROPER(AB841)</f>
        <v>Mechanic Referral</v>
      </c>
      <c r="AD841" s="6" t="n">
        <v>15</v>
      </c>
      <c r="AE841" s="5" t="n">
        <f aca="false">IF(ISBLANK(AD841),AVERAGEIF(L841:L1840,L841,AD841:AD1840),AD841)</f>
        <v>15</v>
      </c>
      <c r="AF841" s="0" t="s">
        <v>96</v>
      </c>
      <c r="AG841" s="0" t="str">
        <f aca="false">PROPER(AF841)</f>
        <v>Ordered</v>
      </c>
      <c r="AH841" s="0" t="s">
        <v>155</v>
      </c>
      <c r="AI841" s="0" t="s">
        <v>98</v>
      </c>
      <c r="AJ841" s="0" t="str">
        <f aca="false">PROPER(AI841)</f>
        <v>Emergency</v>
      </c>
      <c r="AK841" s="0" t="s">
        <v>114</v>
      </c>
      <c r="AL841" s="0" t="str">
        <f aca="false">PROPER(AK841)</f>
        <v>Returning</v>
      </c>
      <c r="AM841" s="0" t="s">
        <v>2326</v>
      </c>
      <c r="AN841" s="0" t="str">
        <f aca="false">IF(ISBLANK(AM841),"Unknown",AM841)</f>
        <v>Government Convoy</v>
      </c>
      <c r="AP841" s="0" t="str">
        <f aca="false">IF(ISBLANK(AO841),"Unknown",AO841)</f>
        <v>Unknown</v>
      </c>
      <c r="AQ841" s="0" t="n">
        <v>25000</v>
      </c>
      <c r="AR841" s="5" t="n">
        <f aca="false">IF(ISBLANK(AQ841),AVERAGEIF(M841:M1840,M841,AQ841:AQ1840),AQ841)</f>
        <v>25000</v>
      </c>
      <c r="AS841" s="0" t="n">
        <v>40000</v>
      </c>
      <c r="AT841" s="5" t="n">
        <f aca="false">IF(ISBLANK(AS841),AVERAGE(AS841:AS1840),AS841)</f>
        <v>40000</v>
      </c>
      <c r="AU841" s="0" t="s">
        <v>82</v>
      </c>
      <c r="AV841" s="0" t="str">
        <f aca="false">PROPER(IF(ISBLANK(AU841),"No",AU841))</f>
        <v>Yes</v>
      </c>
      <c r="AW841" s="0" t="n">
        <v>0</v>
      </c>
      <c r="AX841" s="5" t="n">
        <f aca="false">IF(ISBLANK(AW841),0,AW841)</f>
        <v>0</v>
      </c>
      <c r="AY841" s="0" t="s">
        <v>80</v>
      </c>
      <c r="AZ841" s="0" t="str">
        <f aca="false">UPPER(IF(ISBLANK(AY841),"NONE",AY841))</f>
        <v>PROMO10</v>
      </c>
      <c r="BB841" s="7" t="str">
        <f aca="false">IF(ISBLANK(BA841),"No Follow Up Needed",BA841)</f>
        <v>No Follow Up Needed</v>
      </c>
      <c r="BC841" s="0" t="s">
        <v>82</v>
      </c>
      <c r="BD841" s="0" t="str">
        <f aca="false">PROPER(IF(ISBLANK(BC841),"Unknown",BC841))</f>
        <v>Yes</v>
      </c>
      <c r="BE841" s="0" t="s">
        <v>171</v>
      </c>
      <c r="BF841" s="0" t="str">
        <f aca="false">IF(ISBLANK(BE841),"No comments",BE841)</f>
        <v>Shock absorber weakening</v>
      </c>
      <c r="BH841" s="0" t="str">
        <f aca="false">IF(ISBLANK(BG841),"No comments",BG841)</f>
        <v>No comments</v>
      </c>
      <c r="BI841" s="0" t="s">
        <v>63</v>
      </c>
      <c r="BJ841" s="0" t="str">
        <f aca="false">IF(ISBLANK(BI841),"Not Mentioned",BI841)</f>
        <v>Yes</v>
      </c>
      <c r="BK841" s="0" t="s">
        <v>50</v>
      </c>
      <c r="BL841" s="0" t="str">
        <f aca="false">PROPER(IF(ISBLANK(BK841),"Not Mentioned",BK841))</f>
        <v>No</v>
      </c>
      <c r="BN841" s="0" t="str">
        <f aca="false">PROPER(IF(ISBLANK(BM841),"Not Mentioned",BM841))</f>
        <v>Not Mentioned</v>
      </c>
      <c r="BP841" s="0" t="str">
        <f aca="false">IF(ISBLANK(BO841),"One-Time Plan",BO841)</f>
        <v>One-Time Plan</v>
      </c>
      <c r="BQ841" s="0" t="s">
        <v>50</v>
      </c>
      <c r="BR841" s="0" t="str">
        <f aca="false">PROPER(IF(ISBLANK(BQ841),"No",BQ841))</f>
        <v>No</v>
      </c>
    </row>
    <row r="842" customFormat="false" ht="15" hidden="false" customHeight="false" outlineLevel="0" collapsed="false">
      <c r="A842" s="0" t="s">
        <v>1971</v>
      </c>
      <c r="B842" s="2" t="n">
        <v>45699</v>
      </c>
      <c r="C842" s="2" t="str">
        <f aca="false">TEXT(B842,"dd/mm/yyyy")</f>
        <v>11/02/2025</v>
      </c>
      <c r="D842" s="0" t="s">
        <v>66</v>
      </c>
      <c r="E842" s="0" t="n">
        <v>8097848347</v>
      </c>
      <c r="F842" s="0" t="s">
        <v>139</v>
      </c>
      <c r="G842" s="0" t="s">
        <v>2323</v>
      </c>
      <c r="H842" s="0" t="s">
        <v>1622</v>
      </c>
      <c r="I842" s="0" t="s">
        <v>69</v>
      </c>
      <c r="J842" s="0" t="s">
        <v>87</v>
      </c>
      <c r="K842" s="3" t="str">
        <f aca="false" t="array" ref="K842:K842">IFERROR(IF(J842&lt;&gt;"",J842,INDEX(J842:J1841,MATCH(1,(F842:F1841=F842)*(I842:I1841=I842)*(L842:L1841=L842)*(J842:J1841&lt;&gt;""),0))),"Not Found")</f>
        <v>Oil Change</v>
      </c>
      <c r="L842" s="3" t="s">
        <v>142</v>
      </c>
      <c r="M842" s="0" t="str">
        <f aca="false">PROPER(L842)</f>
        <v>Oil Filter, Brake Pads</v>
      </c>
      <c r="N842" s="3" t="s">
        <v>71</v>
      </c>
      <c r="O842" s="0" t="str">
        <f aca="false" t="array" ref="O842:O842">IF(N842&lt;&gt;"",N842,_xlfn.xlookup(1,(L842:L1841=L842)*(N842:N1841&lt;&gt;""),N842:N1841,"Not Found"))</f>
        <v>Isaac Bobo</v>
      </c>
      <c r="P842" s="4" t="n">
        <v>68255</v>
      </c>
      <c r="Q842" s="0" t="s">
        <v>166</v>
      </c>
      <c r="R842" s="0" t="str">
        <f aca="false">PROPER(Q842)</f>
        <v>Transfer</v>
      </c>
      <c r="S842" s="0" t="s">
        <v>63</v>
      </c>
      <c r="U842" s="5" t="n">
        <f aca="false">IF(ISBLANK(T842),AVERAGE(T842:T1841),T842)</f>
        <v>3.28461538461538</v>
      </c>
      <c r="V842" s="0" t="n">
        <v>5.7</v>
      </c>
      <c r="W842" s="0" t="s">
        <v>92</v>
      </c>
      <c r="X842" s="0" t="str">
        <f aca="false">IF(ISBLANK(W842),"No remarks",W842)</f>
        <v>Urgent service</v>
      </c>
      <c r="Y842" s="0" t="s">
        <v>52</v>
      </c>
      <c r="Z842" s="0" t="s">
        <v>136</v>
      </c>
      <c r="AA842" s="0" t="str">
        <f aca="false">PROPER(IF(ISBLANK(Z842),"Location Unavailable",Z842))</f>
        <v>Vip Section</v>
      </c>
      <c r="AB842" s="0" t="s">
        <v>75</v>
      </c>
      <c r="AC842" s="6" t="str">
        <f aca="false">PROPER(AB842)</f>
        <v>Mechanik Referal</v>
      </c>
      <c r="AD842" s="6" t="n">
        <v>60</v>
      </c>
      <c r="AE842" s="5" t="n">
        <f aca="false">IF(ISBLANK(AD842),AVERAGEIF(L842:L1841,L842,AD842:AD1841),AD842)</f>
        <v>60</v>
      </c>
      <c r="AF842" s="0" t="s">
        <v>55</v>
      </c>
      <c r="AG842" s="0" t="str">
        <f aca="false">PROPER(AF842)</f>
        <v>Available</v>
      </c>
      <c r="AH842" s="0" t="s">
        <v>148</v>
      </c>
      <c r="AI842" s="0" t="s">
        <v>78</v>
      </c>
      <c r="AJ842" s="0" t="str">
        <f aca="false">PROPER(AI842)</f>
        <v>Booking</v>
      </c>
      <c r="AK842" s="0" t="s">
        <v>114</v>
      </c>
      <c r="AL842" s="0" t="str">
        <f aca="false">PROPER(AK842)</f>
        <v>Returning</v>
      </c>
      <c r="AM842" s="0" t="s">
        <v>2324</v>
      </c>
      <c r="AN842" s="0" t="str">
        <f aca="false">IF(ISBLANK(AM842),"Unknown",AM842)</f>
        <v>Logistics Convoy</v>
      </c>
      <c r="AO842" s="0" t="s">
        <v>161</v>
      </c>
      <c r="AP842" s="0" t="str">
        <f aca="false">IF(ISBLANK(AO842),"Unknown",AO842)</f>
        <v>Apprentice</v>
      </c>
      <c r="AQ842" s="0" t="n">
        <v>20000</v>
      </c>
      <c r="AR842" s="5" t="n">
        <f aca="false">IF(ISBLANK(AQ842),AVERAGEIF(M842:M1841,M842,AQ842:AQ1841),AQ842)</f>
        <v>20000</v>
      </c>
      <c r="AS842" s="0" t="n">
        <v>40000</v>
      </c>
      <c r="AT842" s="5" t="n">
        <f aca="false">IF(ISBLANK(AS842),AVERAGE(AS842:AS1841),AS842)</f>
        <v>40000</v>
      </c>
      <c r="AV842" s="0" t="str">
        <f aca="false">PROPER(IF(ISBLANK(AU842),"No",AU842))</f>
        <v>No</v>
      </c>
      <c r="AW842" s="0" t="n">
        <v>10000</v>
      </c>
      <c r="AX842" s="5" t="n">
        <f aca="false">IF(ISBLANK(AW842),0,AW842)</f>
        <v>10000</v>
      </c>
      <c r="AZ842" s="0" t="str">
        <f aca="false">UPPER(IF(ISBLANK(AY842),"NONE",AY842))</f>
        <v>NONE</v>
      </c>
      <c r="BB842" s="7" t="str">
        <f aca="false">IF(ISBLANK(BA842),"No Follow Up Needed",BA842)</f>
        <v>No Follow Up Needed</v>
      </c>
      <c r="BC842" s="0" t="s">
        <v>63</v>
      </c>
      <c r="BD842" s="0" t="str">
        <f aca="false">PROPER(IF(ISBLANK(BC842),"Unknown",BC842))</f>
        <v>Yes</v>
      </c>
      <c r="BF842" s="0" t="str">
        <f aca="false">IF(ISBLANK(BE842),"No comments",BE842)</f>
        <v>No comments</v>
      </c>
      <c r="BH842" s="0" t="str">
        <f aca="false">IF(ISBLANK(BG842),"No comments",BG842)</f>
        <v>No comments</v>
      </c>
      <c r="BI842" s="0" t="s">
        <v>50</v>
      </c>
      <c r="BJ842" s="0" t="str">
        <f aca="false">IF(ISBLANK(BI842),"Not Mentioned",BI842)</f>
        <v>No</v>
      </c>
      <c r="BL842" s="0" t="str">
        <f aca="false">PROPER(IF(ISBLANK(BK842),"Not Mentioned",BK842))</f>
        <v>Not Mentioned</v>
      </c>
      <c r="BN842" s="0" t="str">
        <f aca="false">PROPER(IF(ISBLANK(BM842),"Not Mentioned",BM842))</f>
        <v>Not Mentioned</v>
      </c>
      <c r="BO842" s="0" t="s">
        <v>2321</v>
      </c>
      <c r="BP842" s="0" t="str">
        <f aca="false">IF(ISBLANK(BO842),"One-Time Plan",BO842)</f>
        <v>One-Time Plan</v>
      </c>
      <c r="BQ842" s="0" t="s">
        <v>190</v>
      </c>
      <c r="BR842" s="0" t="str">
        <f aca="false">PROPER(IF(ISBLANK(BQ842),"No",BQ842))</f>
        <v>Yes</v>
      </c>
    </row>
    <row r="843" customFormat="false" ht="15" hidden="false" customHeight="false" outlineLevel="0" collapsed="false">
      <c r="A843" s="0" t="s">
        <v>1972</v>
      </c>
      <c r="B843" s="2" t="n">
        <v>45787</v>
      </c>
      <c r="C843" s="2" t="str">
        <f aca="false">TEXT(B843,"dd/mm/yyyy")</f>
        <v>10/05/2025</v>
      </c>
      <c r="D843" s="0" t="s">
        <v>66</v>
      </c>
      <c r="E843" s="0" t="n">
        <v>8048700374</v>
      </c>
      <c r="F843" s="0" t="s">
        <v>139</v>
      </c>
      <c r="G843" s="0" t="s">
        <v>2323</v>
      </c>
      <c r="H843" s="0" t="s">
        <v>1973</v>
      </c>
      <c r="I843" s="0" t="s">
        <v>107</v>
      </c>
      <c r="J843" s="0" t="s">
        <v>2317</v>
      </c>
      <c r="K843" s="3" t="str">
        <f aca="false" t="array" ref="K843:K843">IFERROR(IF(J843&lt;&gt;"",J843,INDEX(J843:J1842,MATCH(1,(F843:F1842=F843)*(I843:I1842=I843)*(L843:L1842=L843)*(J843:J1842&lt;&gt;""),0))),"Not Found")</f>
        <v>Suspension Noise</v>
      </c>
      <c r="L843" s="3" t="s">
        <v>189</v>
      </c>
      <c r="M843" s="0" t="str">
        <f aca="false">PROPER(L843)</f>
        <v>Battery</v>
      </c>
      <c r="N843" s="3" t="s">
        <v>48</v>
      </c>
      <c r="O843" s="0" t="str">
        <f aca="false" t="array" ref="O843:O843">IF(N843&lt;&gt;"",N843,_xlfn.xlookup(1,(L843:L1842=L843)*(N843:N1842&lt;&gt;""),N843:N1842,"Not Found"))</f>
        <v>Uche</v>
      </c>
      <c r="P843" s="4" t="n">
        <v>12937</v>
      </c>
      <c r="Q843" s="0" t="s">
        <v>49</v>
      </c>
      <c r="R843" s="0" t="str">
        <f aca="false">PROPER(Q843)</f>
        <v>Transfer</v>
      </c>
      <c r="S843" s="0" t="s">
        <v>50</v>
      </c>
      <c r="T843" s="0" t="n">
        <v>5</v>
      </c>
      <c r="U843" s="5" t="n">
        <f aca="false">IF(ISBLANK(T843),AVERAGE(T843:T1842),T843)</f>
        <v>5</v>
      </c>
      <c r="V843" s="0" t="n">
        <v>1.7</v>
      </c>
      <c r="W843" s="0" t="s">
        <v>51</v>
      </c>
      <c r="X843" s="0" t="str">
        <f aca="false">IF(ISBLANK(W843),"No remarks",W843)</f>
        <v>Recommended further checks</v>
      </c>
      <c r="Y843" s="0" t="s">
        <v>73</v>
      </c>
      <c r="AA843" s="0" t="str">
        <f aca="false">PROPER(IF(ISBLANK(Z843),"Location Unavailable",Z843))</f>
        <v>Location Unavailable</v>
      </c>
      <c r="AB843" s="0" t="s">
        <v>95</v>
      </c>
      <c r="AC843" s="6" t="str">
        <f aca="false">PROPER(AB843)</f>
        <v>Road Sign</v>
      </c>
      <c r="AD843" s="6" t="n">
        <v>45</v>
      </c>
      <c r="AE843" s="5" t="n">
        <f aca="false">IF(ISBLANK(AD843),AVERAGEIF(L843:L1842,L843,AD843:AD1842),AD843)</f>
        <v>45</v>
      </c>
      <c r="AF843" s="0" t="s">
        <v>96</v>
      </c>
      <c r="AG843" s="0" t="str">
        <f aca="false">PROPER(AF843)</f>
        <v>Ordered</v>
      </c>
      <c r="AH843" s="0" t="s">
        <v>155</v>
      </c>
      <c r="AI843" s="0" t="s">
        <v>78</v>
      </c>
      <c r="AJ843" s="0" t="str">
        <f aca="false">PROPER(AI843)</f>
        <v>Booking</v>
      </c>
      <c r="AK843" s="0" t="s">
        <v>196</v>
      </c>
      <c r="AL843" s="0" t="str">
        <f aca="false">PROPER(AK843)</f>
        <v>First Time</v>
      </c>
      <c r="AN843" s="0" t="str">
        <f aca="false">IF(ISBLANK(AM843),"Unknown",AM843)</f>
        <v>Unknown</v>
      </c>
      <c r="AP843" s="0" t="str">
        <f aca="false">IF(ISBLANK(AO843),"Unknown",AO843)</f>
        <v>Unknown</v>
      </c>
      <c r="AQ843" s="0" t="n">
        <v>25000</v>
      </c>
      <c r="AR843" s="5" t="n">
        <f aca="false">IF(ISBLANK(AQ843),AVERAGEIF(M843:M1842,M843,AQ843:AQ1842),AQ843)</f>
        <v>25000</v>
      </c>
      <c r="AS843" s="0" t="n">
        <v>30000</v>
      </c>
      <c r="AT843" s="5" t="n">
        <f aca="false">IF(ISBLANK(AS843),AVERAGE(AS843:AS1842),AS843)</f>
        <v>30000</v>
      </c>
      <c r="AV843" s="0" t="str">
        <f aca="false">PROPER(IF(ISBLANK(AU843),"No",AU843))</f>
        <v>No</v>
      </c>
      <c r="AX843" s="5" t="n">
        <f aca="false">IF(ISBLANK(AW843),0,AW843)</f>
        <v>0</v>
      </c>
      <c r="AY843" s="0" t="s">
        <v>130</v>
      </c>
      <c r="AZ843" s="0" t="str">
        <f aca="false">UPPER(IF(ISBLANK(AY843),"NONE",AY843))</f>
        <v>LOYALTY10</v>
      </c>
      <c r="BB843" s="7" t="str">
        <f aca="false">IF(ISBLANK(BA843),"No Follow Up Needed",BA843)</f>
        <v>No Follow Up Needed</v>
      </c>
      <c r="BC843" s="0" t="s">
        <v>61</v>
      </c>
      <c r="BD843" s="0" t="str">
        <f aca="false">PROPER(IF(ISBLANK(BC843),"Unknown",BC843))</f>
        <v>No</v>
      </c>
      <c r="BE843" s="0" t="s">
        <v>116</v>
      </c>
      <c r="BF843" s="0" t="str">
        <f aca="false">IF(ISBLANK(BE843),"No comments",BE843)</f>
        <v>Needs tire alignment</v>
      </c>
      <c r="BG843" s="0" t="s">
        <v>2320</v>
      </c>
      <c r="BH843" s="0" t="str">
        <f aca="false">IF(ISBLANK(BG843),"No comments",BG843)</f>
        <v>No complaints</v>
      </c>
      <c r="BI843" s="0" t="s">
        <v>50</v>
      </c>
      <c r="BJ843" s="0" t="str">
        <f aca="false">IF(ISBLANK(BI843),"Not Mentioned",BI843)</f>
        <v>No</v>
      </c>
      <c r="BK843" s="0" t="s">
        <v>50</v>
      </c>
      <c r="BL843" s="0" t="str">
        <f aca="false">PROPER(IF(ISBLANK(BK843),"Not Mentioned",BK843))</f>
        <v>No</v>
      </c>
      <c r="BM843" s="0" t="s">
        <v>50</v>
      </c>
      <c r="BN843" s="0" t="str">
        <f aca="false">PROPER(IF(ISBLANK(BM843),"Not Mentioned",BM843))</f>
        <v>No</v>
      </c>
      <c r="BO843" s="0" t="s">
        <v>2321</v>
      </c>
      <c r="BP843" s="0" t="str">
        <f aca="false">IF(ISBLANK(BO843),"One-Time Plan",BO843)</f>
        <v>One-Time Plan</v>
      </c>
      <c r="BQ843" s="0" t="s">
        <v>50</v>
      </c>
      <c r="BR843" s="0" t="str">
        <f aca="false">PROPER(IF(ISBLANK(BQ843),"No",BQ843))</f>
        <v>No</v>
      </c>
    </row>
    <row r="844" customFormat="false" ht="15" hidden="false" customHeight="false" outlineLevel="0" collapsed="false">
      <c r="A844" s="0" t="s">
        <v>1974</v>
      </c>
      <c r="B844" s="2" t="n">
        <v>45675</v>
      </c>
      <c r="C844" s="2" t="str">
        <f aca="false">TEXT(B844,"dd/mm/yyyy")</f>
        <v>18/01/2025</v>
      </c>
      <c r="D844" s="0" t="s">
        <v>105</v>
      </c>
      <c r="E844" s="0" t="n">
        <v>8067841075</v>
      </c>
      <c r="F844" s="0" t="s">
        <v>67</v>
      </c>
      <c r="G844" s="0" t="s">
        <v>2316</v>
      </c>
      <c r="H844" s="0" t="s">
        <v>1975</v>
      </c>
      <c r="I844" s="0" t="s">
        <v>134</v>
      </c>
      <c r="J844" s="0" t="s">
        <v>87</v>
      </c>
      <c r="K844" s="3" t="str">
        <f aca="false" t="array" ref="K844:K844">IFERROR(IF(J844&lt;&gt;"",J844,INDEX(J844:J1843,MATCH(1,(F844:F1843=F844)*(I844:I1843=I844)*(L844:L1843=L844)*(J844:J1843&lt;&gt;""),0))),"Not Found")</f>
        <v>Oil Change</v>
      </c>
      <c r="L844" s="3" t="s">
        <v>154</v>
      </c>
      <c r="M844" s="0" t="str">
        <f aca="false">PROPER(L844)</f>
        <v>Air Filter</v>
      </c>
      <c r="N844" s="3" t="s">
        <v>71</v>
      </c>
      <c r="O844" s="0" t="str">
        <f aca="false" t="array" ref="O844:O844">IF(N844&lt;&gt;"",N844,_xlfn.xlookup(1,(L844:L1843=L844)*(N844:N1843&lt;&gt;""),N844:N1843,"Not Found"))</f>
        <v>Isaac Bobo</v>
      </c>
      <c r="P844" s="4" t="n">
        <v>105807</v>
      </c>
      <c r="Q844" s="0" t="s">
        <v>124</v>
      </c>
      <c r="R844" s="0" t="str">
        <f aca="false">PROPER(Q844)</f>
        <v>Cash</v>
      </c>
      <c r="S844" s="0" t="s">
        <v>50</v>
      </c>
      <c r="T844" s="0" t="n">
        <v>4</v>
      </c>
      <c r="U844" s="5" t="n">
        <f aca="false">IF(ISBLANK(T844),AVERAGE(T844:T1843),T844)</f>
        <v>4</v>
      </c>
      <c r="V844" s="0" t="n">
        <v>1.1</v>
      </c>
      <c r="X844" s="0" t="str">
        <f aca="false">IF(ISBLANK(W844),"No remarks",W844)</f>
        <v>No remarks</v>
      </c>
      <c r="Y844" s="0" t="s">
        <v>52</v>
      </c>
      <c r="Z844" s="0" t="s">
        <v>74</v>
      </c>
      <c r="AA844" s="0" t="str">
        <f aca="false">PROPER(IF(ISBLANK(Z844),"Location Unavailable",Z844))</f>
        <v>Under Tree</v>
      </c>
      <c r="AB844" s="0" t="s">
        <v>167</v>
      </c>
      <c r="AC844" s="6" t="str">
        <f aca="false">PROPER(AB844)</f>
        <v>Word Of Mouth</v>
      </c>
      <c r="AD844" s="6" t="n">
        <v>30</v>
      </c>
      <c r="AE844" s="5" t="n">
        <f aca="false">IF(ISBLANK(AD844),AVERAGEIF(L844:L1843,L844,AD844:AD1843),AD844)</f>
        <v>30</v>
      </c>
      <c r="AF844" s="0" t="s">
        <v>55</v>
      </c>
      <c r="AG844" s="0" t="str">
        <f aca="false">PROPER(AF844)</f>
        <v>Available</v>
      </c>
      <c r="AH844" s="0" t="s">
        <v>155</v>
      </c>
      <c r="AI844" s="0" t="s">
        <v>98</v>
      </c>
      <c r="AJ844" s="0" t="str">
        <f aca="false">PROPER(AI844)</f>
        <v>Emergency</v>
      </c>
      <c r="AK844" s="0" t="s">
        <v>99</v>
      </c>
      <c r="AL844" s="0" t="str">
        <f aca="false">PROPER(AK844)</f>
        <v>Uber Driver</v>
      </c>
      <c r="AM844" s="0" t="s">
        <v>2326</v>
      </c>
      <c r="AN844" s="0" t="str">
        <f aca="false">IF(ISBLANK(AM844),"Unknown",AM844)</f>
        <v>Government Convoy</v>
      </c>
      <c r="AO844" s="0" t="s">
        <v>79</v>
      </c>
      <c r="AP844" s="0" t="str">
        <f aca="false">IF(ISBLANK(AO844),"Unknown",AO844)</f>
        <v>Specialist</v>
      </c>
      <c r="AQ844" s="0" t="n">
        <v>40000</v>
      </c>
      <c r="AR844" s="5" t="n">
        <f aca="false">IF(ISBLANK(AQ844),AVERAGEIF(M844:M1843,M844,AQ844:AQ1843),AQ844)</f>
        <v>40000</v>
      </c>
      <c r="AS844" s="0" t="n">
        <v>30000</v>
      </c>
      <c r="AT844" s="5" t="n">
        <f aca="false">IF(ISBLANK(AS844),AVERAGE(AS844:AS1843),AS844)</f>
        <v>30000</v>
      </c>
      <c r="AU844" s="0" t="s">
        <v>82</v>
      </c>
      <c r="AV844" s="0" t="str">
        <f aca="false">PROPER(IF(ISBLANK(AU844),"No",AU844))</f>
        <v>Yes</v>
      </c>
      <c r="AW844" s="0" t="n">
        <v>10000</v>
      </c>
      <c r="AX844" s="5" t="n">
        <f aca="false">IF(ISBLANK(AW844),0,AW844)</f>
        <v>10000</v>
      </c>
      <c r="AZ844" s="0" t="str">
        <f aca="false">UPPER(IF(ISBLANK(AY844),"NONE",AY844))</f>
        <v>NONE</v>
      </c>
      <c r="BA844" s="7" t="n">
        <v>45908</v>
      </c>
      <c r="BB844" s="7" t="n">
        <f aca="false">IF(ISBLANK(BA844),"No Follow Up Needed",BA844)</f>
        <v>45908</v>
      </c>
      <c r="BC844" s="0" t="s">
        <v>50</v>
      </c>
      <c r="BD844" s="0" t="str">
        <f aca="false">PROPER(IF(ISBLANK(BC844),"Unknown",BC844))</f>
        <v>No</v>
      </c>
      <c r="BE844" s="0" t="s">
        <v>116</v>
      </c>
      <c r="BF844" s="0" t="str">
        <f aca="false">IF(ISBLANK(BE844),"No comments",BE844)</f>
        <v>Needs tire alignment</v>
      </c>
      <c r="BG844" s="0" t="s">
        <v>172</v>
      </c>
      <c r="BH844" s="0" t="str">
        <f aca="false">IF(ISBLANK(BG844),"No comments",BG844)</f>
        <v>Always late</v>
      </c>
      <c r="BI844" s="0" t="s">
        <v>50</v>
      </c>
      <c r="BJ844" s="0" t="str">
        <f aca="false">IF(ISBLANK(BI844),"Not Mentioned",BI844)</f>
        <v>No</v>
      </c>
      <c r="BK844" s="0" t="s">
        <v>61</v>
      </c>
      <c r="BL844" s="0" t="str">
        <f aca="false">PROPER(IF(ISBLANK(BK844),"Not Mentioned",BK844))</f>
        <v>No</v>
      </c>
      <c r="BN844" s="0" t="str">
        <f aca="false">PROPER(IF(ISBLANK(BM844),"Not Mentioned",BM844))</f>
        <v>Not Mentioned</v>
      </c>
      <c r="BO844" s="0" t="s">
        <v>2318</v>
      </c>
      <c r="BP844" s="0" t="str">
        <f aca="false">IF(ISBLANK(BO844),"One-Time Plan",BO844)</f>
        <v>Gold</v>
      </c>
      <c r="BQ844" s="0" t="s">
        <v>198</v>
      </c>
      <c r="BR844" s="0" t="str">
        <f aca="false">PROPER(IF(ISBLANK(BQ844),"No",BQ844))</f>
        <v>Followed Up</v>
      </c>
    </row>
    <row r="845" customFormat="false" ht="15" hidden="false" customHeight="false" outlineLevel="0" collapsed="false">
      <c r="A845" s="0" t="s">
        <v>1976</v>
      </c>
      <c r="B845" s="2" t="s">
        <v>592</v>
      </c>
      <c r="C845" s="2" t="str">
        <f aca="false">TEXT(B845,"dd/mm/yyyy")</f>
        <v>25/02/2025</v>
      </c>
      <c r="D845" s="0" t="s">
        <v>42</v>
      </c>
      <c r="E845" s="0" t="n">
        <v>8032902142</v>
      </c>
      <c r="F845" s="0" t="s">
        <v>43</v>
      </c>
      <c r="G845" s="0" t="s">
        <v>2315</v>
      </c>
      <c r="H845" s="0" t="s">
        <v>1977</v>
      </c>
      <c r="I845" s="0" t="s">
        <v>45</v>
      </c>
      <c r="J845" s="0" t="s">
        <v>2322</v>
      </c>
      <c r="K845" s="3" t="str">
        <f aca="false" t="array" ref="K845:K845">IFERROR(IF(J845&lt;&gt;"",J845,INDEX(J845:J1844,MATCH(1,(F845:F1844=F845)*(I845:I1844=I845)*(L845:L1844=L845)*(J845:J1844&lt;&gt;""),0))),"Not Found")</f>
        <v>Brake Failure</v>
      </c>
      <c r="L845" s="3" t="s">
        <v>154</v>
      </c>
      <c r="M845" s="0" t="str">
        <f aca="false">PROPER(L845)</f>
        <v>Air Filter</v>
      </c>
      <c r="N845" s="3" t="s">
        <v>71</v>
      </c>
      <c r="O845" s="0" t="str">
        <f aca="false" t="array" ref="O845:O845">IF(N845&lt;&gt;"",N845,_xlfn.xlookup(1,(L845:L1844=L845)*(N845:N1844&lt;&gt;""),N845:N1844,"Not Found"))</f>
        <v>Isaac Bobo</v>
      </c>
      <c r="P845" s="4" t="n">
        <v>119612</v>
      </c>
      <c r="Q845" s="0" t="s">
        <v>91</v>
      </c>
      <c r="R845" s="0" t="str">
        <f aca="false">PROPER(Q845)</f>
        <v>Pos</v>
      </c>
      <c r="S845" s="0" t="s">
        <v>50</v>
      </c>
      <c r="T845" s="0" t="n">
        <v>2</v>
      </c>
      <c r="U845" s="5" t="n">
        <f aca="false">IF(ISBLANK(T845),AVERAGE(T845:T1844),T845)</f>
        <v>2</v>
      </c>
      <c r="V845" s="0" t="n">
        <v>5.5</v>
      </c>
      <c r="W845" s="0" t="s">
        <v>92</v>
      </c>
      <c r="X845" s="0" t="str">
        <f aca="false">IF(ISBLANK(W845),"No remarks",W845)</f>
        <v>Urgent service</v>
      </c>
      <c r="Y845" s="0" t="s">
        <v>73</v>
      </c>
      <c r="Z845" s="0" t="s">
        <v>53</v>
      </c>
      <c r="AA845" s="0" t="str">
        <f aca="false">PROPER(IF(ISBLANK(Z845),"Location Unavailable",Z845))</f>
        <v>Main Bay</v>
      </c>
      <c r="AB845" s="0" t="s">
        <v>147</v>
      </c>
      <c r="AC845" s="6" t="str">
        <f aca="false">PROPER(AB845)</f>
        <v>Instagram</v>
      </c>
      <c r="AD845" s="6" t="n">
        <v>60</v>
      </c>
      <c r="AE845" s="5" t="n">
        <f aca="false">IF(ISBLANK(AD845),AVERAGEIF(L845:L1844,L845,AD845:AD1844),AD845)</f>
        <v>60</v>
      </c>
      <c r="AF845" s="0" t="s">
        <v>76</v>
      </c>
      <c r="AG845" s="0" t="str">
        <f aca="false">PROPER(AF845)</f>
        <v>Orderd</v>
      </c>
      <c r="AH845" s="0" t="s">
        <v>77</v>
      </c>
      <c r="AI845" s="0" t="s">
        <v>98</v>
      </c>
      <c r="AJ845" s="0" t="str">
        <f aca="false">PROPER(AI845)</f>
        <v>Emergency</v>
      </c>
      <c r="AK845" s="0" t="s">
        <v>196</v>
      </c>
      <c r="AL845" s="0" t="str">
        <f aca="false">PROPER(AK845)</f>
        <v>First Time</v>
      </c>
      <c r="AM845" s="0" t="s">
        <v>59</v>
      </c>
      <c r="AN845" s="0" t="str">
        <f aca="false">IF(ISBLANK(AM845),"Unknown",AM845)</f>
        <v>Bolt Driver</v>
      </c>
      <c r="AP845" s="0" t="str">
        <f aca="false">IF(ISBLANK(AO845),"Unknown",AO845)</f>
        <v>Unknown</v>
      </c>
      <c r="AR845" s="5" t="n">
        <f aca="false">IF(ISBLANK(AQ845),AVERAGEIF(M845:M1844,M845,AQ845:AQ1844),AQ845)</f>
        <v>27142.8571428571</v>
      </c>
      <c r="AT845" s="5" t="n">
        <f aca="false">IF(ISBLANK(AS845),AVERAGE(AS845:AS1844),AS845)</f>
        <v>31380.5970149254</v>
      </c>
      <c r="AV845" s="0" t="str">
        <f aca="false">PROPER(IF(ISBLANK(AU845),"No",AU845))</f>
        <v>No</v>
      </c>
      <c r="AW845" s="0" t="n">
        <v>5000</v>
      </c>
      <c r="AX845" s="5" t="n">
        <f aca="false">IF(ISBLANK(AW845),0,AW845)</f>
        <v>5000</v>
      </c>
      <c r="AZ845" s="0" t="str">
        <f aca="false">UPPER(IF(ISBLANK(AY845),"NONE",AY845))</f>
        <v>NONE</v>
      </c>
      <c r="BA845" s="7" t="n">
        <v>45944</v>
      </c>
      <c r="BB845" s="7" t="n">
        <f aca="false">IF(ISBLANK(BA845),"No Follow Up Needed",BA845)</f>
        <v>45944</v>
      </c>
      <c r="BC845" s="0" t="s">
        <v>61</v>
      </c>
      <c r="BD845" s="0" t="str">
        <f aca="false">PROPER(IF(ISBLANK(BC845),"Unknown",BC845))</f>
        <v>No</v>
      </c>
      <c r="BE845" s="0" t="s">
        <v>116</v>
      </c>
      <c r="BF845" s="0" t="str">
        <f aca="false">IF(ISBLANK(BE845),"No comments",BE845)</f>
        <v>Needs tire alignment</v>
      </c>
      <c r="BH845" s="0" t="str">
        <f aca="false">IF(ISBLANK(BG845),"No comments",BG845)</f>
        <v>No comments</v>
      </c>
      <c r="BI845" s="0" t="s">
        <v>63</v>
      </c>
      <c r="BJ845" s="0" t="str">
        <f aca="false">IF(ISBLANK(BI845),"Not Mentioned",BI845)</f>
        <v>Yes</v>
      </c>
      <c r="BK845" s="0" t="s">
        <v>50</v>
      </c>
      <c r="BL845" s="0" t="str">
        <f aca="false">PROPER(IF(ISBLANK(BK845),"Not Mentioned",BK845))</f>
        <v>No</v>
      </c>
      <c r="BM845" s="0" t="s">
        <v>63</v>
      </c>
      <c r="BN845" s="0" t="str">
        <f aca="false">PROPER(IF(ISBLANK(BM845),"Not Mentioned",BM845))</f>
        <v>Yes</v>
      </c>
      <c r="BO845" s="0" t="s">
        <v>2318</v>
      </c>
      <c r="BP845" s="0" t="str">
        <f aca="false">IF(ISBLANK(BO845),"One-Time Plan",BO845)</f>
        <v>Gold</v>
      </c>
      <c r="BQ845" s="0" t="s">
        <v>63</v>
      </c>
      <c r="BR845" s="0" t="str">
        <f aca="false">PROPER(IF(ISBLANK(BQ845),"No",BQ845))</f>
        <v>Yes</v>
      </c>
    </row>
    <row r="846" customFormat="false" ht="15" hidden="false" customHeight="false" outlineLevel="0" collapsed="false">
      <c r="A846" s="0" t="s">
        <v>1978</v>
      </c>
      <c r="B846" s="2" t="n">
        <v>45659</v>
      </c>
      <c r="C846" s="2" t="str">
        <f aca="false">TEXT(B846,"dd/mm/yyyy")</f>
        <v>02/01/2025</v>
      </c>
      <c r="D846" s="0" t="s">
        <v>163</v>
      </c>
      <c r="E846" s="0" t="n">
        <v>8033676181</v>
      </c>
      <c r="F846" s="0" t="s">
        <v>43</v>
      </c>
      <c r="G846" s="0" t="s">
        <v>2315</v>
      </c>
      <c r="H846" s="0" t="s">
        <v>1979</v>
      </c>
      <c r="I846" s="0" t="s">
        <v>134</v>
      </c>
      <c r="J846" s="0" t="s">
        <v>2322</v>
      </c>
      <c r="K846" s="3" t="str">
        <f aca="false" t="array" ref="K846:K846">IFERROR(IF(J846&lt;&gt;"",J846,INDEX(J846:J1845,MATCH(1,(F846:F1845=F846)*(I846:I1845=I846)*(L846:L1845=L846)*(J846:J1845&lt;&gt;""),0))),"Not Found")</f>
        <v>Brake Failure</v>
      </c>
      <c r="L846" s="3" t="s">
        <v>189</v>
      </c>
      <c r="M846" s="0" t="str">
        <f aca="false">PROPER(L846)</f>
        <v>Battery</v>
      </c>
      <c r="N846" s="3" t="s">
        <v>48</v>
      </c>
      <c r="O846" s="0" t="str">
        <f aca="false" t="array" ref="O846:O846">IF(N846&lt;&gt;"",N846,_xlfn.xlookup(1,(L846:L1845=L846)*(N846:N1845&lt;&gt;""),N846:N1845,"Not Found"))</f>
        <v>Uche</v>
      </c>
      <c r="P846" s="4" t="n">
        <v>80451</v>
      </c>
      <c r="Q846" s="0" t="s">
        <v>124</v>
      </c>
      <c r="R846" s="0" t="str">
        <f aca="false">PROPER(Q846)</f>
        <v>Cash</v>
      </c>
      <c r="S846" s="0" t="s">
        <v>63</v>
      </c>
      <c r="T846" s="0" t="n">
        <v>4</v>
      </c>
      <c r="U846" s="5" t="n">
        <f aca="false">IF(ISBLANK(T846),AVERAGE(T846:T1845),T846)</f>
        <v>4</v>
      </c>
      <c r="V846" s="0" t="n">
        <v>1</v>
      </c>
      <c r="W846" s="0" t="s">
        <v>51</v>
      </c>
      <c r="X846" s="0" t="str">
        <f aca="false">IF(ISBLANK(W846),"No remarks",W846)</f>
        <v>Recommended further checks</v>
      </c>
      <c r="Y846" s="0" t="s">
        <v>73</v>
      </c>
      <c r="Z846" s="0" t="s">
        <v>159</v>
      </c>
      <c r="AA846" s="0" t="str">
        <f aca="false">PROPER(IF(ISBLANK(Z846),"Location Unavailable",Z846))</f>
        <v>Main Bay</v>
      </c>
      <c r="AB846" s="0" t="s">
        <v>126</v>
      </c>
      <c r="AC846" s="6" t="str">
        <f aca="false">PROPER(AB846)</f>
        <v>Whatsapp</v>
      </c>
      <c r="AD846" s="6" t="n">
        <v>15</v>
      </c>
      <c r="AE846" s="5" t="n">
        <f aca="false">IF(ISBLANK(AD846),AVERAGEIF(L846:L1845,L846,AD846:AD1845),AD846)</f>
        <v>15</v>
      </c>
      <c r="AF846" s="0" t="s">
        <v>96</v>
      </c>
      <c r="AG846" s="0" t="str">
        <f aca="false">PROPER(AF846)</f>
        <v>Ordered</v>
      </c>
      <c r="AH846" s="0" t="s">
        <v>56</v>
      </c>
      <c r="AI846" s="0" t="s">
        <v>98</v>
      </c>
      <c r="AJ846" s="0" t="str">
        <f aca="false">PROPER(AI846)</f>
        <v>Emergency</v>
      </c>
      <c r="AK846" s="0" t="s">
        <v>196</v>
      </c>
      <c r="AL846" s="0" t="str">
        <f aca="false">PROPER(AK846)</f>
        <v>First Time</v>
      </c>
      <c r="AN846" s="0" t="str">
        <f aca="false">IF(ISBLANK(AM846),"Unknown",AM846)</f>
        <v>Unknown</v>
      </c>
      <c r="AO846" s="0" t="s">
        <v>143</v>
      </c>
      <c r="AP846" s="0" t="str">
        <f aca="false">IF(ISBLANK(AO846),"Unknown",AO846)</f>
        <v>Senior</v>
      </c>
      <c r="AR846" s="5" t="n">
        <f aca="false">IF(ISBLANK(AQ846),AVERAGEIF(M846:M1845,M846,AQ846:AQ1845),AQ846)</f>
        <v>25769.2307692308</v>
      </c>
      <c r="AS846" s="0" t="n">
        <v>40000</v>
      </c>
      <c r="AT846" s="5" t="n">
        <f aca="false">IF(ISBLANK(AS846),AVERAGE(AS846:AS1845),AS846)</f>
        <v>40000</v>
      </c>
      <c r="AU846" s="0" t="s">
        <v>50</v>
      </c>
      <c r="AV846" s="0" t="str">
        <f aca="false">PROPER(IF(ISBLANK(AU846),"No",AU846))</f>
        <v>No</v>
      </c>
      <c r="AW846" s="0" t="n">
        <v>0</v>
      </c>
      <c r="AX846" s="5" t="n">
        <f aca="false">IF(ISBLANK(AW846),0,AW846)</f>
        <v>0</v>
      </c>
      <c r="AY846" s="0" t="s">
        <v>80</v>
      </c>
      <c r="AZ846" s="0" t="str">
        <f aca="false">UPPER(IF(ISBLANK(AY846),"NONE",AY846))</f>
        <v>PROMO10</v>
      </c>
      <c r="BB846" s="7" t="str">
        <f aca="false">IF(ISBLANK(BA846),"No Follow Up Needed",BA846)</f>
        <v>No Follow Up Needed</v>
      </c>
      <c r="BD846" s="0" t="str">
        <f aca="false">PROPER(IF(ISBLANK(BC846),"Unknown",BC846))</f>
        <v>Unknown</v>
      </c>
      <c r="BE846" s="0" t="s">
        <v>171</v>
      </c>
      <c r="BF846" s="0" t="str">
        <f aca="false">IF(ISBLANK(BE846),"No comments",BE846)</f>
        <v>Shock absorber weakening</v>
      </c>
      <c r="BG846" s="0" t="s">
        <v>117</v>
      </c>
      <c r="BH846" s="0" t="str">
        <f aca="false">IF(ISBLANK(BG846),"No comments",BG846)</f>
        <v>Prefers morning</v>
      </c>
      <c r="BI846" s="0" t="s">
        <v>50</v>
      </c>
      <c r="BJ846" s="0" t="str">
        <f aca="false">IF(ISBLANK(BI846),"Not Mentioned",BI846)</f>
        <v>No</v>
      </c>
      <c r="BL846" s="0" t="str">
        <f aca="false">PROPER(IF(ISBLANK(BK846),"Not Mentioned",BK846))</f>
        <v>Not Mentioned</v>
      </c>
      <c r="BM846" s="0" t="s">
        <v>63</v>
      </c>
      <c r="BN846" s="0" t="str">
        <f aca="false">PROPER(IF(ISBLANK(BM846),"Not Mentioned",BM846))</f>
        <v>Yes</v>
      </c>
      <c r="BO846" s="0" t="s">
        <v>64</v>
      </c>
      <c r="BP846" s="0" t="str">
        <f aca="false">IF(ISBLANK(BO846),"One-Time Plan",BO846)</f>
        <v>Gold Maintenance Plan</v>
      </c>
      <c r="BQ846" s="0" t="s">
        <v>63</v>
      </c>
      <c r="BR846" s="0" t="str">
        <f aca="false">PROPER(IF(ISBLANK(BQ846),"No",BQ846))</f>
        <v>Yes</v>
      </c>
    </row>
    <row r="847" customFormat="false" ht="15" hidden="false" customHeight="false" outlineLevel="0" collapsed="false">
      <c r="A847" s="0" t="s">
        <v>1980</v>
      </c>
      <c r="B847" s="2" t="n">
        <v>45787</v>
      </c>
      <c r="C847" s="2" t="str">
        <f aca="false">TEXT(B847,"dd/mm/yyyy")</f>
        <v>10/05/2025</v>
      </c>
      <c r="D847" s="0" t="s">
        <v>66</v>
      </c>
      <c r="E847" s="0" t="n">
        <v>8060284858</v>
      </c>
      <c r="F847" s="0" t="s">
        <v>67</v>
      </c>
      <c r="G847" s="0" t="s">
        <v>2316</v>
      </c>
      <c r="H847" s="0" t="s">
        <v>1981</v>
      </c>
      <c r="I847" s="0" t="s">
        <v>45</v>
      </c>
      <c r="J847" s="0" t="s">
        <v>2322</v>
      </c>
      <c r="K847" s="3" t="str">
        <f aca="false" t="array" ref="K847:K847">IFERROR(IF(J847&lt;&gt;"",J847,INDEX(J847:J1846,MATCH(1,(F847:F1846=F847)*(I847:I1846=I847)*(L847:L1846=L847)*(J847:J1846&lt;&gt;""),0))),"Not Found")</f>
        <v>Brake Failure</v>
      </c>
      <c r="L847" s="3" t="s">
        <v>89</v>
      </c>
      <c r="M847" s="0" t="str">
        <f aca="false">PROPER(L847)</f>
        <v>Shock Absorbers</v>
      </c>
      <c r="N847" s="3" t="s">
        <v>109</v>
      </c>
      <c r="O847" s="0" t="str">
        <f aca="false" t="array" ref="O847:O847">IF(N847&lt;&gt;"",N847,_xlfn.xlookup(1,(L847:L1846=L847)*(N847:N1846&lt;&gt;""),N847:N1846,"Not Found"))</f>
        <v>Tijani</v>
      </c>
      <c r="P847" s="4" t="n">
        <v>76014</v>
      </c>
      <c r="Q847" s="0" t="s">
        <v>72</v>
      </c>
      <c r="R847" s="0" t="str">
        <f aca="false">PROPER(Q847)</f>
        <v>Pos</v>
      </c>
      <c r="S847" s="0" t="s">
        <v>63</v>
      </c>
      <c r="T847" s="0" t="n">
        <v>4</v>
      </c>
      <c r="U847" s="5" t="n">
        <f aca="false">IF(ISBLANK(T847),AVERAGE(T847:T1846),T847)</f>
        <v>4</v>
      </c>
      <c r="V847" s="0" t="n">
        <v>2</v>
      </c>
      <c r="W847" s="0" t="s">
        <v>111</v>
      </c>
      <c r="X847" s="0" t="str">
        <f aca="false">IF(ISBLANK(W847),"No remarks",W847)</f>
        <v>Changed all filters</v>
      </c>
      <c r="Y847" s="0" t="s">
        <v>73</v>
      </c>
      <c r="Z847" s="0" t="s">
        <v>136</v>
      </c>
      <c r="AA847" s="0" t="str">
        <f aca="false">PROPER(IF(ISBLANK(Z847),"Location Unavailable",Z847))</f>
        <v>Vip Section</v>
      </c>
      <c r="AB847" s="0" t="s">
        <v>167</v>
      </c>
      <c r="AC847" s="6" t="str">
        <f aca="false">PROPER(AB847)</f>
        <v>Word Of Mouth</v>
      </c>
      <c r="AD847" s="6" t="n">
        <v>45</v>
      </c>
      <c r="AE847" s="5" t="n">
        <f aca="false">IF(ISBLANK(AD847),AVERAGEIF(L847:L1846,L847,AD847:AD1846),AD847)</f>
        <v>45</v>
      </c>
      <c r="AF847" s="0" t="s">
        <v>76</v>
      </c>
      <c r="AG847" s="0" t="str">
        <f aca="false">PROPER(AF847)</f>
        <v>Orderd</v>
      </c>
      <c r="AH847" s="0" t="s">
        <v>155</v>
      </c>
      <c r="AI847" s="0" t="s">
        <v>113</v>
      </c>
      <c r="AJ847" s="0" t="str">
        <f aca="false">PROPER(AI847)</f>
        <v>Normal</v>
      </c>
      <c r="AK847" s="0" t="s">
        <v>196</v>
      </c>
      <c r="AL847" s="0" t="str">
        <f aca="false">PROPER(AK847)</f>
        <v>First Time</v>
      </c>
      <c r="AM847" s="0" t="s">
        <v>59</v>
      </c>
      <c r="AN847" s="0" t="str">
        <f aca="false">IF(ISBLANK(AM847),"Unknown",AM847)</f>
        <v>Bolt Driver</v>
      </c>
      <c r="AP847" s="0" t="str">
        <f aca="false">IF(ISBLANK(AO847),"Unknown",AO847)</f>
        <v>Unknown</v>
      </c>
      <c r="AQ847" s="0" t="n">
        <v>40000</v>
      </c>
      <c r="AR847" s="5" t="n">
        <f aca="false">IF(ISBLANK(AQ847),AVERAGEIF(M847:M1846,M847,AQ847:AQ1846),AQ847)</f>
        <v>40000</v>
      </c>
      <c r="AS847" s="0" t="n">
        <v>40000</v>
      </c>
      <c r="AT847" s="5" t="n">
        <f aca="false">IF(ISBLANK(AS847),AVERAGE(AS847:AS1846),AS847)</f>
        <v>40000</v>
      </c>
      <c r="AU847" s="0" t="s">
        <v>50</v>
      </c>
      <c r="AV847" s="0" t="str">
        <f aca="false">PROPER(IF(ISBLANK(AU847),"No",AU847))</f>
        <v>No</v>
      </c>
      <c r="AW847" s="0" t="n">
        <v>5000</v>
      </c>
      <c r="AX847" s="5" t="n">
        <f aca="false">IF(ISBLANK(AW847),0,AW847)</f>
        <v>5000</v>
      </c>
      <c r="AY847" s="0" t="s">
        <v>184</v>
      </c>
      <c r="AZ847" s="0" t="str">
        <f aca="false">UPPER(IF(ISBLANK(AY847),"NONE",AY847))</f>
        <v>N/A</v>
      </c>
      <c r="BA847" s="7" t="s">
        <v>201</v>
      </c>
      <c r="BB847" s="7" t="str">
        <f aca="false">IF(ISBLANK(BA847),"No Follow Up Needed",BA847)</f>
        <v>13/07/2025</v>
      </c>
      <c r="BC847" s="0" t="s">
        <v>63</v>
      </c>
      <c r="BD847" s="0" t="str">
        <f aca="false">PROPER(IF(ISBLANK(BC847),"Unknown",BC847))</f>
        <v>Yes</v>
      </c>
      <c r="BE847" s="0" t="s">
        <v>171</v>
      </c>
      <c r="BF847" s="0" t="str">
        <f aca="false">IF(ISBLANK(BE847),"No comments",BE847)</f>
        <v>Shock absorber weakening</v>
      </c>
      <c r="BG847" s="0" t="s">
        <v>117</v>
      </c>
      <c r="BH847" s="0" t="str">
        <f aca="false">IF(ISBLANK(BG847),"No comments",BG847)</f>
        <v>Prefers morning</v>
      </c>
      <c r="BI847" s="0" t="s">
        <v>50</v>
      </c>
      <c r="BJ847" s="0" t="str">
        <f aca="false">IF(ISBLANK(BI847),"Not Mentioned",BI847)</f>
        <v>No</v>
      </c>
      <c r="BK847" s="0" t="s">
        <v>61</v>
      </c>
      <c r="BL847" s="0" t="str">
        <f aca="false">PROPER(IF(ISBLANK(BK847),"Not Mentioned",BK847))</f>
        <v>No</v>
      </c>
      <c r="BM847" s="0" t="s">
        <v>63</v>
      </c>
      <c r="BN847" s="0" t="str">
        <f aca="false">PROPER(IF(ISBLANK(BM847),"Not Mentioned",BM847))</f>
        <v>Yes</v>
      </c>
      <c r="BP847" s="0" t="str">
        <f aca="false">IF(ISBLANK(BO847),"One-Time Plan",BO847)</f>
        <v>One-Time Plan</v>
      </c>
      <c r="BR847" s="0" t="str">
        <f aca="false">PROPER(IF(ISBLANK(BQ847),"No",BQ847))</f>
        <v>No</v>
      </c>
    </row>
    <row r="848" customFormat="false" ht="15" hidden="false" customHeight="false" outlineLevel="0" collapsed="false">
      <c r="A848" s="0" t="s">
        <v>1982</v>
      </c>
      <c r="B848" s="2" t="n">
        <v>45779</v>
      </c>
      <c r="C848" s="2" t="str">
        <f aca="false">TEXT(B848,"dd/mm/yyyy")</f>
        <v>02/05/2025</v>
      </c>
      <c r="D848" s="0" t="s">
        <v>105</v>
      </c>
      <c r="E848" s="0" t="n">
        <v>8035018189</v>
      </c>
      <c r="F848" s="0" t="s">
        <v>139</v>
      </c>
      <c r="G848" s="0" t="s">
        <v>2323</v>
      </c>
      <c r="H848" s="0" t="s">
        <v>1983</v>
      </c>
      <c r="I848" s="0" t="s">
        <v>107</v>
      </c>
      <c r="J848" s="0" t="s">
        <v>2317</v>
      </c>
      <c r="K848" s="3" t="str">
        <f aca="false" t="array" ref="K848:K848">IFERROR(IF(J848&lt;&gt;"",J848,INDEX(J848:J1847,MATCH(1,(F848:F1847=F848)*(I848:I1847=I848)*(L848:L1847=L848)*(J848:J1847&lt;&gt;""),0))),"Not Found")</f>
        <v>Suspension Noise</v>
      </c>
      <c r="L848" s="3" t="s">
        <v>89</v>
      </c>
      <c r="M848" s="0" t="str">
        <f aca="false">PROPER(L848)</f>
        <v>Shock Absorbers</v>
      </c>
      <c r="N848" s="3" t="s">
        <v>90</v>
      </c>
      <c r="O848" s="0" t="str">
        <f aca="false" t="array" ref="O848:O848">IF(N848&lt;&gt;"",N848,_xlfn.xlookup(1,(L848:L1847=L848)*(N848:N1847&lt;&gt;""),N848:N1847,"Not Found"))</f>
        <v>Musa</v>
      </c>
      <c r="P848" s="4" t="n">
        <v>92045</v>
      </c>
      <c r="Q848" s="0" t="s">
        <v>49</v>
      </c>
      <c r="R848" s="0" t="str">
        <f aca="false">PROPER(Q848)</f>
        <v>Transfer</v>
      </c>
      <c r="S848" s="0" t="s">
        <v>63</v>
      </c>
      <c r="T848" s="0" t="n">
        <v>1</v>
      </c>
      <c r="U848" s="5" t="n">
        <f aca="false">IF(ISBLANK(T848),AVERAGE(T848:T1847),T848)</f>
        <v>1</v>
      </c>
      <c r="V848" s="0" t="n">
        <v>2.1</v>
      </c>
      <c r="X848" s="0" t="str">
        <f aca="false">IF(ISBLANK(W848),"No remarks",W848)</f>
        <v>No remarks</v>
      </c>
      <c r="Y848" s="0" t="s">
        <v>93</v>
      </c>
      <c r="Z848" s="0" t="s">
        <v>74</v>
      </c>
      <c r="AA848" s="0" t="str">
        <f aca="false">PROPER(IF(ISBLANK(Z848),"Location Unavailable",Z848))</f>
        <v>Under Tree</v>
      </c>
      <c r="AB848" s="0" t="s">
        <v>167</v>
      </c>
      <c r="AC848" s="6" t="str">
        <f aca="false">PROPER(AB848)</f>
        <v>Word Of Mouth</v>
      </c>
      <c r="AD848" s="6" t="n">
        <v>45</v>
      </c>
      <c r="AE848" s="5" t="n">
        <f aca="false">IF(ISBLANK(AD848),AVERAGEIF(L848:L1847,L848,AD848:AD1847),AD848)</f>
        <v>45</v>
      </c>
      <c r="AF848" s="0" t="s">
        <v>76</v>
      </c>
      <c r="AG848" s="0" t="str">
        <f aca="false">PROPER(AF848)</f>
        <v>Orderd</v>
      </c>
      <c r="AH848" s="0" t="s">
        <v>155</v>
      </c>
      <c r="AI848" s="0" t="s">
        <v>98</v>
      </c>
      <c r="AJ848" s="0" t="str">
        <f aca="false">PROPER(AI848)</f>
        <v>Emergency</v>
      </c>
      <c r="AK848" s="0" t="s">
        <v>196</v>
      </c>
      <c r="AL848" s="0" t="str">
        <f aca="false">PROPER(AK848)</f>
        <v>First Time</v>
      </c>
      <c r="AM848" s="0" t="s">
        <v>177</v>
      </c>
      <c r="AN848" s="0" t="str">
        <f aca="false">IF(ISBLANK(AM848),"Unknown",AM848)</f>
        <v>Private</v>
      </c>
      <c r="AO848" s="0" t="s">
        <v>143</v>
      </c>
      <c r="AP848" s="0" t="str">
        <f aca="false">IF(ISBLANK(AO848),"Unknown",AO848)</f>
        <v>Senior</v>
      </c>
      <c r="AQ848" s="0" t="n">
        <v>30000</v>
      </c>
      <c r="AR848" s="5" t="n">
        <f aca="false">IF(ISBLANK(AQ848),AVERAGEIF(M848:M1847,M848,AQ848:AQ1847),AQ848)</f>
        <v>30000</v>
      </c>
      <c r="AS848" s="0" t="n">
        <v>20000</v>
      </c>
      <c r="AT848" s="5" t="n">
        <f aca="false">IF(ISBLANK(AS848),AVERAGE(AS848:AS1847),AS848)</f>
        <v>20000</v>
      </c>
      <c r="AU848" s="0" t="s">
        <v>63</v>
      </c>
      <c r="AV848" s="0" t="str">
        <f aca="false">PROPER(IF(ISBLANK(AU848),"No",AU848))</f>
        <v>Yes</v>
      </c>
      <c r="AW848" s="0" t="n">
        <v>5000</v>
      </c>
      <c r="AX848" s="5" t="n">
        <f aca="false">IF(ISBLANK(AW848),0,AW848)</f>
        <v>5000</v>
      </c>
      <c r="AZ848" s="0" t="str">
        <f aca="false">UPPER(IF(ISBLANK(AY848),"NONE",AY848))</f>
        <v>NONE</v>
      </c>
      <c r="BA848" s="7" t="s">
        <v>1385</v>
      </c>
      <c r="BB848" s="7" t="str">
        <f aca="false">IF(ISBLANK(BA848),"No Follow Up Needed",BA848)</f>
        <v>22/08/2025</v>
      </c>
      <c r="BC848" s="0" t="s">
        <v>63</v>
      </c>
      <c r="BD848" s="0" t="str">
        <f aca="false">PROPER(IF(ISBLANK(BC848),"Unknown",BC848))</f>
        <v>Yes</v>
      </c>
      <c r="BF848" s="0" t="str">
        <f aca="false">IF(ISBLANK(BE848),"No comments",BE848)</f>
        <v>No comments</v>
      </c>
      <c r="BG848" s="0" t="s">
        <v>117</v>
      </c>
      <c r="BH848" s="0" t="str">
        <f aca="false">IF(ISBLANK(BG848),"No comments",BG848)</f>
        <v>Prefers morning</v>
      </c>
      <c r="BI848" s="0" t="s">
        <v>50</v>
      </c>
      <c r="BJ848" s="0" t="str">
        <f aca="false">IF(ISBLANK(BI848),"Not Mentioned",BI848)</f>
        <v>No</v>
      </c>
      <c r="BK848" s="0" t="s">
        <v>82</v>
      </c>
      <c r="BL848" s="0" t="str">
        <f aca="false">PROPER(IF(ISBLANK(BK848),"Not Mentioned",BK848))</f>
        <v>Yes</v>
      </c>
      <c r="BN848" s="0" t="str">
        <f aca="false">PROPER(IF(ISBLANK(BM848),"Not Mentioned",BM848))</f>
        <v>Not Mentioned</v>
      </c>
      <c r="BP848" s="0" t="str">
        <f aca="false">IF(ISBLANK(BO848),"One-Time Plan",BO848)</f>
        <v>One-Time Plan</v>
      </c>
      <c r="BQ848" s="0" t="s">
        <v>50</v>
      </c>
      <c r="BR848" s="0" t="str">
        <f aca="false">PROPER(IF(ISBLANK(BQ848),"No",BQ848))</f>
        <v>No</v>
      </c>
    </row>
    <row r="849" customFormat="false" ht="15" hidden="false" customHeight="false" outlineLevel="0" collapsed="false">
      <c r="A849" s="0" t="s">
        <v>1984</v>
      </c>
      <c r="B849" s="2" t="s">
        <v>119</v>
      </c>
      <c r="C849" s="2" t="str">
        <f aca="false">TEXT(B849,"dd/mm/yyyy")</f>
        <v>28/01/2025</v>
      </c>
      <c r="D849" s="0" t="s">
        <v>105</v>
      </c>
      <c r="E849" s="0" t="n">
        <v>8028029744</v>
      </c>
      <c r="F849" s="0" t="s">
        <v>122</v>
      </c>
      <c r="G849" s="0" t="s">
        <v>2316</v>
      </c>
      <c r="H849" s="0" t="s">
        <v>1985</v>
      </c>
      <c r="I849" s="0" t="s">
        <v>69</v>
      </c>
      <c r="J849" s="0" t="s">
        <v>2322</v>
      </c>
      <c r="K849" s="3" t="str">
        <f aca="false" t="array" ref="K849:K849">IFERROR(IF(J849&lt;&gt;"",J849,INDEX(J849:J1848,MATCH(1,(F849:F1848=F849)*(I849:I1848=I849)*(L849:L1848=L849)*(J849:J1848&lt;&gt;""),0))),"Not Found")</f>
        <v>Brake Failure</v>
      </c>
      <c r="L849" s="3" t="s">
        <v>89</v>
      </c>
      <c r="M849" s="0" t="str">
        <f aca="false">PROPER(L849)</f>
        <v>Shock Absorbers</v>
      </c>
      <c r="N849" s="3" t="s">
        <v>90</v>
      </c>
      <c r="O849" s="0" t="str">
        <f aca="false" t="array" ref="O849:O849">IF(N849&lt;&gt;"",N849,_xlfn.xlookup(1,(L849:L1848=L849)*(N849:N1848&lt;&gt;""),N849:N1848,"Not Found"))</f>
        <v>Musa</v>
      </c>
      <c r="P849" s="4" t="n">
        <v>87024</v>
      </c>
      <c r="Q849" s="0" t="s">
        <v>110</v>
      </c>
      <c r="R849" s="0" t="str">
        <f aca="false">PROPER(Q849)</f>
        <v>Cash</v>
      </c>
      <c r="S849" s="0" t="s">
        <v>50</v>
      </c>
      <c r="T849" s="0" t="n">
        <v>2</v>
      </c>
      <c r="U849" s="5" t="n">
        <f aca="false">IF(ISBLANK(T849),AVERAGE(T849:T1848),T849)</f>
        <v>2</v>
      </c>
      <c r="V849" s="0" t="n">
        <v>1.3</v>
      </c>
      <c r="W849" s="0" t="s">
        <v>111</v>
      </c>
      <c r="X849" s="0" t="str">
        <f aca="false">IF(ISBLANK(W849),"No remarks",W849)</f>
        <v>Changed all filters</v>
      </c>
      <c r="Y849" s="0" t="s">
        <v>93</v>
      </c>
      <c r="AA849" s="0" t="str">
        <f aca="false">PROPER(IF(ISBLANK(Z849),"Location Unavailable",Z849))</f>
        <v>Location Unavailable</v>
      </c>
      <c r="AB849" s="0" t="s">
        <v>54</v>
      </c>
      <c r="AC849" s="6" t="str">
        <f aca="false">PROPER(AB849)</f>
        <v>Mechanic Referral</v>
      </c>
      <c r="AD849" s="6" t="n">
        <v>45</v>
      </c>
      <c r="AE849" s="5" t="n">
        <f aca="false">IF(ISBLANK(AD849),AVERAGEIF(L849:L1848,L849,AD849:AD1848),AD849)</f>
        <v>45</v>
      </c>
      <c r="AF849" s="0" t="s">
        <v>112</v>
      </c>
      <c r="AG849" s="0" t="str">
        <f aca="false">PROPER(AF849)</f>
        <v>Unavailable</v>
      </c>
      <c r="AH849" s="0" t="s">
        <v>56</v>
      </c>
      <c r="AI849" s="0" t="s">
        <v>98</v>
      </c>
      <c r="AJ849" s="0" t="str">
        <f aca="false">PROPER(AI849)</f>
        <v>Emergency</v>
      </c>
      <c r="AK849" s="0" t="s">
        <v>99</v>
      </c>
      <c r="AL849" s="0" t="str">
        <f aca="false">PROPER(AK849)</f>
        <v>Uber Driver</v>
      </c>
      <c r="AN849" s="0" t="str">
        <f aca="false">IF(ISBLANK(AM849),"Unknown",AM849)</f>
        <v>Unknown</v>
      </c>
      <c r="AO849" s="0" t="s">
        <v>79</v>
      </c>
      <c r="AP849" s="0" t="str">
        <f aca="false">IF(ISBLANK(AO849),"Unknown",AO849)</f>
        <v>Specialist</v>
      </c>
      <c r="AQ849" s="0" t="n">
        <v>25000</v>
      </c>
      <c r="AR849" s="5" t="n">
        <f aca="false">IF(ISBLANK(AQ849),AVERAGEIF(M849:M1848,M849,AQ849:AQ1848),AQ849)</f>
        <v>25000</v>
      </c>
      <c r="AS849" s="0" t="n">
        <v>30000</v>
      </c>
      <c r="AT849" s="5" t="n">
        <f aca="false">IF(ISBLANK(AS849),AVERAGE(AS849:AS1848),AS849)</f>
        <v>30000</v>
      </c>
      <c r="AU849" s="0" t="s">
        <v>61</v>
      </c>
      <c r="AV849" s="0" t="str">
        <f aca="false">PROPER(IF(ISBLANK(AU849),"No",AU849))</f>
        <v>No</v>
      </c>
      <c r="AW849" s="0" t="n">
        <v>10000</v>
      </c>
      <c r="AX849" s="5" t="n">
        <f aca="false">IF(ISBLANK(AW849),0,AW849)</f>
        <v>10000</v>
      </c>
      <c r="AY849" s="0" t="s">
        <v>80</v>
      </c>
      <c r="AZ849" s="0" t="str">
        <f aca="false">UPPER(IF(ISBLANK(AY849),"NONE",AY849))</f>
        <v>PROMO10</v>
      </c>
      <c r="BB849" s="7" t="str">
        <f aca="false">IF(ISBLANK(BA849),"No Follow Up Needed",BA849)</f>
        <v>No Follow Up Needed</v>
      </c>
      <c r="BD849" s="0" t="str">
        <f aca="false">PROPER(IF(ISBLANK(BC849),"Unknown",BC849))</f>
        <v>Unknown</v>
      </c>
      <c r="BE849" s="0" t="s">
        <v>171</v>
      </c>
      <c r="BF849" s="0" t="str">
        <f aca="false">IF(ISBLANK(BE849),"No comments",BE849)</f>
        <v>Shock absorber weakening</v>
      </c>
      <c r="BH849" s="0" t="str">
        <f aca="false">IF(ISBLANK(BG849),"No comments",BG849)</f>
        <v>No comments</v>
      </c>
      <c r="BI849" s="0" t="s">
        <v>50</v>
      </c>
      <c r="BJ849" s="0" t="str">
        <f aca="false">IF(ISBLANK(BI849),"Not Mentioned",BI849)</f>
        <v>No</v>
      </c>
      <c r="BK849" s="0" t="s">
        <v>50</v>
      </c>
      <c r="BL849" s="0" t="str">
        <f aca="false">PROPER(IF(ISBLANK(BK849),"Not Mentioned",BK849))</f>
        <v>No</v>
      </c>
      <c r="BM849" s="0" t="s">
        <v>50</v>
      </c>
      <c r="BN849" s="0" t="str">
        <f aca="false">PROPER(IF(ISBLANK(BM849),"Not Mentioned",BM849))</f>
        <v>No</v>
      </c>
      <c r="BO849" s="0" t="s">
        <v>64</v>
      </c>
      <c r="BP849" s="0" t="str">
        <f aca="false">IF(ISBLANK(BO849),"One-Time Plan",BO849)</f>
        <v>Gold Maintenance Plan</v>
      </c>
      <c r="BQ849" s="0" t="s">
        <v>63</v>
      </c>
      <c r="BR849" s="0" t="str">
        <f aca="false">PROPER(IF(ISBLANK(BQ849),"No",BQ849))</f>
        <v>Yes</v>
      </c>
    </row>
    <row r="850" customFormat="false" ht="15" hidden="false" customHeight="false" outlineLevel="0" collapsed="false">
      <c r="A850" s="0" t="s">
        <v>1986</v>
      </c>
      <c r="B850" s="2" t="n">
        <v>45712</v>
      </c>
      <c r="C850" s="2" t="str">
        <f aca="false">TEXT(B850,"dd/mm/yyyy")</f>
        <v>24/02/2025</v>
      </c>
      <c r="D850" s="0" t="s">
        <v>121</v>
      </c>
      <c r="E850" s="0" t="n">
        <v>8036577865</v>
      </c>
      <c r="F850" s="0" t="s">
        <v>139</v>
      </c>
      <c r="G850" s="0" t="s">
        <v>2323</v>
      </c>
      <c r="H850" s="0" t="s">
        <v>1218</v>
      </c>
      <c r="I850" s="0" t="s">
        <v>107</v>
      </c>
      <c r="J850" s="0" t="s">
        <v>2317</v>
      </c>
      <c r="K850" s="3" t="str">
        <f aca="false" t="array" ref="K850:K850">IFERROR(IF(J850&lt;&gt;"",J850,INDEX(J850:J1849,MATCH(1,(F850:F1849=F850)*(I850:I1849=I850)*(L850:L1849=L850)*(J850:J1849&lt;&gt;""),0))),"Not Found")</f>
        <v>Suspension Noise</v>
      </c>
      <c r="L850" s="3" t="s">
        <v>189</v>
      </c>
      <c r="M850" s="0" t="str">
        <f aca="false">PROPER(L850)</f>
        <v>Battery</v>
      </c>
      <c r="O850" s="0" t="e">
        <f aca="false" t="array" ref="O850:O850">IF(N850&lt;&gt;"",N850,_xlfn.xlookup(1,(L850:L1849=L850)*(N850:N1849&lt;&gt;""),N850:N1849,"Not Found"))</f>
        <v>#NAME?</v>
      </c>
      <c r="P850" s="4" t="n">
        <v>47980</v>
      </c>
      <c r="Q850" s="0" t="s">
        <v>110</v>
      </c>
      <c r="R850" s="0" t="str">
        <f aca="false">PROPER(Q850)</f>
        <v>Cash</v>
      </c>
      <c r="S850" s="0" t="s">
        <v>63</v>
      </c>
      <c r="T850" s="0" t="n">
        <v>4</v>
      </c>
      <c r="U850" s="5" t="n">
        <f aca="false">IF(ISBLANK(T850),AVERAGE(T850:T1849),T850)</f>
        <v>4</v>
      </c>
      <c r="V850" s="0" t="n">
        <v>1.1</v>
      </c>
      <c r="W850" s="0" t="s">
        <v>125</v>
      </c>
      <c r="X850" s="0" t="str">
        <f aca="false">IF(ISBLANK(W850),"No remarks",W850)</f>
        <v>Customer waited</v>
      </c>
      <c r="Y850" s="0" t="s">
        <v>93</v>
      </c>
      <c r="AA850" s="0" t="str">
        <f aca="false">PROPER(IF(ISBLANK(Z850),"Location Unavailable",Z850))</f>
        <v>Location Unavailable</v>
      </c>
      <c r="AB850" s="0" t="s">
        <v>95</v>
      </c>
      <c r="AC850" s="6" t="str">
        <f aca="false">PROPER(AB850)</f>
        <v>Road Sign</v>
      </c>
      <c r="AE850" s="5" t="n">
        <f aca="false">IF(ISBLANK(AD850),AVERAGEIF(L850:L1849,L850,AD850:AD1849),AD850)</f>
        <v>41.25</v>
      </c>
      <c r="AF850" s="0" t="s">
        <v>96</v>
      </c>
      <c r="AG850" s="0" t="str">
        <f aca="false">PROPER(AF850)</f>
        <v>Ordered</v>
      </c>
      <c r="AH850" s="0" t="s">
        <v>155</v>
      </c>
      <c r="AI850" s="0" t="s">
        <v>98</v>
      </c>
      <c r="AJ850" s="0" t="str">
        <f aca="false">PROPER(AI850)</f>
        <v>Emergency</v>
      </c>
      <c r="AK850" s="0" t="s">
        <v>58</v>
      </c>
      <c r="AL850" s="0" t="str">
        <f aca="false">PROPER(AK850)</f>
        <v>Fleet Owner</v>
      </c>
      <c r="AM850" s="0" t="s">
        <v>2326</v>
      </c>
      <c r="AN850" s="0" t="str">
        <f aca="false">IF(ISBLANK(AM850),"Unknown",AM850)</f>
        <v>Government Convoy</v>
      </c>
      <c r="AO850" s="0" t="s">
        <v>143</v>
      </c>
      <c r="AP850" s="0" t="str">
        <f aca="false">IF(ISBLANK(AO850),"Unknown",AO850)</f>
        <v>Senior</v>
      </c>
      <c r="AR850" s="5" t="n">
        <f aca="false">IF(ISBLANK(AQ850),AVERAGEIF(M850:M1849,M850,AQ850:AQ1849),AQ850)</f>
        <v>25769.2307692308</v>
      </c>
      <c r="AS850" s="0" t="n">
        <v>20000</v>
      </c>
      <c r="AT850" s="5" t="n">
        <f aca="false">IF(ISBLANK(AS850),AVERAGE(AS850:AS1849),AS850)</f>
        <v>20000</v>
      </c>
      <c r="AU850" s="0" t="s">
        <v>63</v>
      </c>
      <c r="AV850" s="0" t="str">
        <f aca="false">PROPER(IF(ISBLANK(AU850),"No",AU850))</f>
        <v>Yes</v>
      </c>
      <c r="AW850" s="0" t="n">
        <v>10000</v>
      </c>
      <c r="AX850" s="5" t="n">
        <f aca="false">IF(ISBLANK(AW850),0,AW850)</f>
        <v>10000</v>
      </c>
      <c r="AY850" s="0" t="s">
        <v>80</v>
      </c>
      <c r="AZ850" s="0" t="str">
        <f aca="false">UPPER(IF(ISBLANK(AY850),"NONE",AY850))</f>
        <v>PROMO10</v>
      </c>
      <c r="BA850" s="7" t="s">
        <v>1014</v>
      </c>
      <c r="BB850" s="7" t="str">
        <f aca="false">IF(ISBLANK(BA850),"No Follow Up Needed",BA850)</f>
        <v>22/07/2025</v>
      </c>
      <c r="BD850" s="0" t="str">
        <f aca="false">PROPER(IF(ISBLANK(BC850),"Unknown",BC850))</f>
        <v>Unknown</v>
      </c>
      <c r="BF850" s="0" t="str">
        <f aca="false">IF(ISBLANK(BE850),"No comments",BE850)</f>
        <v>No comments</v>
      </c>
      <c r="BH850" s="0" t="str">
        <f aca="false">IF(ISBLANK(BG850),"No comments",BG850)</f>
        <v>No comments</v>
      </c>
      <c r="BI850" s="0" t="s">
        <v>50</v>
      </c>
      <c r="BJ850" s="0" t="str">
        <f aca="false">IF(ISBLANK(BI850),"Not Mentioned",BI850)</f>
        <v>No</v>
      </c>
      <c r="BK850" s="0" t="s">
        <v>82</v>
      </c>
      <c r="BL850" s="0" t="str">
        <f aca="false">PROPER(IF(ISBLANK(BK850),"Not Mentioned",BK850))</f>
        <v>Yes</v>
      </c>
      <c r="BM850" s="0" t="s">
        <v>63</v>
      </c>
      <c r="BN850" s="0" t="str">
        <f aca="false">PROPER(IF(ISBLANK(BM850),"Not Mentioned",BM850))</f>
        <v>Yes</v>
      </c>
      <c r="BO850" s="0" t="s">
        <v>2321</v>
      </c>
      <c r="BP850" s="0" t="str">
        <f aca="false">IF(ISBLANK(BO850),"One-Time Plan",BO850)</f>
        <v>One-Time Plan</v>
      </c>
      <c r="BR850" s="0" t="str">
        <f aca="false">PROPER(IF(ISBLANK(BQ850),"No",BQ850))</f>
        <v>No</v>
      </c>
    </row>
    <row r="851" customFormat="false" ht="15" hidden="false" customHeight="false" outlineLevel="0" collapsed="false">
      <c r="A851" s="0" t="s">
        <v>1987</v>
      </c>
      <c r="B851" s="2" t="s">
        <v>1883</v>
      </c>
      <c r="C851" s="2" t="str">
        <f aca="false">TEXT(B851,"dd/mm/yyyy")</f>
        <v>15/04/2025</v>
      </c>
      <c r="D851" s="0" t="s">
        <v>66</v>
      </c>
      <c r="E851" s="0" t="n">
        <v>8075293067</v>
      </c>
      <c r="F851" s="0" t="s">
        <v>67</v>
      </c>
      <c r="G851" s="0" t="s">
        <v>2316</v>
      </c>
      <c r="H851" s="0" t="s">
        <v>1988</v>
      </c>
      <c r="I851" s="0" t="s">
        <v>45</v>
      </c>
      <c r="J851" s="0" t="s">
        <v>87</v>
      </c>
      <c r="K851" s="3" t="str">
        <f aca="false" t="array" ref="K851:K851">IFERROR(IF(J851&lt;&gt;"",J851,INDEX(J851:J1850,MATCH(1,(F851:F1850=F851)*(I851:I1850=I851)*(L851:L1850=L851)*(J851:J1850&lt;&gt;""),0))),"Not Found")</f>
        <v>Oil Change</v>
      </c>
      <c r="L851" s="3" t="s">
        <v>89</v>
      </c>
      <c r="M851" s="0" t="str">
        <f aca="false">PROPER(L851)</f>
        <v>Shock Absorbers</v>
      </c>
      <c r="O851" s="0" t="e">
        <f aca="false" t="array" ref="O851:O851">IF(N851&lt;&gt;"",N851,_xlfn.xlookup(1,(L851:L1850=L851)*(N851:N1850&lt;&gt;""),N851:N1850,"Not Found"))</f>
        <v>#NAME?</v>
      </c>
      <c r="P851" s="4" t="n">
        <v>96702</v>
      </c>
      <c r="Q851" s="0" t="s">
        <v>72</v>
      </c>
      <c r="R851" s="0" t="str">
        <f aca="false">PROPER(Q851)</f>
        <v>Pos</v>
      </c>
      <c r="S851" s="0" t="s">
        <v>50</v>
      </c>
      <c r="T851" s="0" t="n">
        <v>5</v>
      </c>
      <c r="U851" s="5" t="n">
        <f aca="false">IF(ISBLANK(T851),AVERAGE(T851:T1850),T851)</f>
        <v>5</v>
      </c>
      <c r="V851" s="0" t="n">
        <v>3.6</v>
      </c>
      <c r="X851" s="0" t="str">
        <f aca="false">IF(ISBLANK(W851),"No remarks",W851)</f>
        <v>No remarks</v>
      </c>
      <c r="Y851" s="0" t="s">
        <v>73</v>
      </c>
      <c r="Z851" s="0" t="s">
        <v>159</v>
      </c>
      <c r="AA851" s="0" t="str">
        <f aca="false">PROPER(IF(ISBLANK(Z851),"Location Unavailable",Z851))</f>
        <v>Main Bay</v>
      </c>
      <c r="AB851" s="0" t="s">
        <v>167</v>
      </c>
      <c r="AC851" s="6" t="str">
        <f aca="false">PROPER(AB851)</f>
        <v>Word Of Mouth</v>
      </c>
      <c r="AD851" s="6" t="n">
        <v>60</v>
      </c>
      <c r="AE851" s="5" t="n">
        <f aca="false">IF(ISBLANK(AD851),AVERAGEIF(L851:L1850,L851,AD851:AD1850),AD851)</f>
        <v>60</v>
      </c>
      <c r="AF851" s="0" t="s">
        <v>160</v>
      </c>
      <c r="AG851" s="0" t="str">
        <f aca="false">PROPER(AF851)</f>
        <v>Availaible</v>
      </c>
      <c r="AH851" s="0" t="s">
        <v>77</v>
      </c>
      <c r="AI851" s="0" t="s">
        <v>113</v>
      </c>
      <c r="AJ851" s="0" t="str">
        <f aca="false">PROPER(AI851)</f>
        <v>Normal</v>
      </c>
      <c r="AK851" s="0" t="s">
        <v>58</v>
      </c>
      <c r="AL851" s="0" t="str">
        <f aca="false">PROPER(AK851)</f>
        <v>Fleet Owner</v>
      </c>
      <c r="AM851" s="0" t="s">
        <v>59</v>
      </c>
      <c r="AN851" s="0" t="str">
        <f aca="false">IF(ISBLANK(AM851),"Unknown",AM851)</f>
        <v>Bolt Driver</v>
      </c>
      <c r="AO851" s="0" t="s">
        <v>79</v>
      </c>
      <c r="AP851" s="0" t="str">
        <f aca="false">IF(ISBLANK(AO851),"Unknown",AO851)</f>
        <v>Specialist</v>
      </c>
      <c r="AQ851" s="0" t="n">
        <v>15000</v>
      </c>
      <c r="AR851" s="5" t="n">
        <f aca="false">IF(ISBLANK(AQ851),AVERAGEIF(M851:M1850,M851,AQ851:AQ1850),AQ851)</f>
        <v>15000</v>
      </c>
      <c r="AS851" s="0" t="n">
        <v>35000</v>
      </c>
      <c r="AT851" s="5" t="n">
        <f aca="false">IF(ISBLANK(AS851),AVERAGE(AS851:AS1850),AS851)</f>
        <v>35000</v>
      </c>
      <c r="AU851" s="0" t="s">
        <v>50</v>
      </c>
      <c r="AV851" s="0" t="str">
        <f aca="false">PROPER(IF(ISBLANK(AU851),"No",AU851))</f>
        <v>No</v>
      </c>
      <c r="AW851" s="0" t="n">
        <v>5000</v>
      </c>
      <c r="AX851" s="5" t="n">
        <f aca="false">IF(ISBLANK(AW851),0,AW851)</f>
        <v>5000</v>
      </c>
      <c r="AY851" s="0" t="s">
        <v>80</v>
      </c>
      <c r="AZ851" s="0" t="str">
        <f aca="false">UPPER(IF(ISBLANK(AY851),"NONE",AY851))</f>
        <v>PROMO10</v>
      </c>
      <c r="BB851" s="7" t="str">
        <f aca="false">IF(ISBLANK(BA851),"No Follow Up Needed",BA851)</f>
        <v>No Follow Up Needed</v>
      </c>
      <c r="BC851" s="0" t="s">
        <v>63</v>
      </c>
      <c r="BD851" s="0" t="str">
        <f aca="false">PROPER(IF(ISBLANK(BC851),"Unknown",BC851))</f>
        <v>Yes</v>
      </c>
      <c r="BF851" s="0" t="str">
        <f aca="false">IF(ISBLANK(BE851),"No comments",BE851)</f>
        <v>No comments</v>
      </c>
      <c r="BH851" s="0" t="str">
        <f aca="false">IF(ISBLANK(BG851),"No comments",BG851)</f>
        <v>No comments</v>
      </c>
      <c r="BI851" s="0" t="s">
        <v>63</v>
      </c>
      <c r="BJ851" s="0" t="str">
        <f aca="false">IF(ISBLANK(BI851),"Not Mentioned",BI851)</f>
        <v>Yes</v>
      </c>
      <c r="BK851" s="0" t="s">
        <v>50</v>
      </c>
      <c r="BL851" s="0" t="str">
        <f aca="false">PROPER(IF(ISBLANK(BK851),"Not Mentioned",BK851))</f>
        <v>No</v>
      </c>
      <c r="BN851" s="0" t="str">
        <f aca="false">PROPER(IF(ISBLANK(BM851),"Not Mentioned",BM851))</f>
        <v>Not Mentioned</v>
      </c>
      <c r="BO851" s="0" t="s">
        <v>64</v>
      </c>
      <c r="BP851" s="0" t="str">
        <f aca="false">IF(ISBLANK(BO851),"One-Time Plan",BO851)</f>
        <v>Gold Maintenance Plan</v>
      </c>
      <c r="BQ851" s="0" t="s">
        <v>198</v>
      </c>
      <c r="BR851" s="0" t="str">
        <f aca="false">PROPER(IF(ISBLANK(BQ851),"No",BQ851))</f>
        <v>Followed Up</v>
      </c>
    </row>
    <row r="852" customFormat="false" ht="15" hidden="false" customHeight="false" outlineLevel="0" collapsed="false">
      <c r="A852" s="0" t="s">
        <v>1989</v>
      </c>
      <c r="B852" s="2" t="n">
        <v>45686</v>
      </c>
      <c r="C852" s="2" t="str">
        <f aca="false">TEXT(B852,"dd/mm/yyyy")</f>
        <v>29/01/2025</v>
      </c>
      <c r="D852" s="0" t="s">
        <v>42</v>
      </c>
      <c r="E852" s="0" t="n">
        <v>8034425523</v>
      </c>
      <c r="F852" s="0" t="s">
        <v>122</v>
      </c>
      <c r="G852" s="0" t="s">
        <v>2316</v>
      </c>
      <c r="H852" s="0" t="s">
        <v>1990</v>
      </c>
      <c r="I852" s="0" t="s">
        <v>107</v>
      </c>
      <c r="J852" s="0" t="s">
        <v>2317</v>
      </c>
      <c r="K852" s="3" t="str">
        <f aca="false" t="array" ref="K852:K852">IFERROR(IF(J852&lt;&gt;"",J852,INDEX(J852:J1851,MATCH(1,(F852:F1851=F852)*(I852:I1851=I852)*(L852:L1851=L852)*(J852:J1851&lt;&gt;""),0))),"Not Found")</f>
        <v>Suspension Noise</v>
      </c>
      <c r="L852" s="3" t="s">
        <v>47</v>
      </c>
      <c r="M852" s="0" t="str">
        <f aca="false">PROPER(L852)</f>
        <v>None</v>
      </c>
      <c r="N852" s="3" t="s">
        <v>71</v>
      </c>
      <c r="O852" s="0" t="str">
        <f aca="false" t="array" ref="O852:O852">IF(N852&lt;&gt;"",N852,_xlfn.xlookup(1,(L852:L1851=L852)*(N852:N1851&lt;&gt;""),N852:N1851,"Not Found"))</f>
        <v>Isaac Bobo</v>
      </c>
      <c r="P852" s="4" t="n">
        <v>76613</v>
      </c>
      <c r="Q852" s="0" t="s">
        <v>166</v>
      </c>
      <c r="R852" s="0" t="str">
        <f aca="false">PROPER(Q852)</f>
        <v>Transfer</v>
      </c>
      <c r="S852" s="0" t="s">
        <v>50</v>
      </c>
      <c r="T852" s="0" t="n">
        <v>3</v>
      </c>
      <c r="U852" s="5" t="n">
        <f aca="false">IF(ISBLANK(T852),AVERAGE(T852:T1851),T852)</f>
        <v>3</v>
      </c>
      <c r="V852" s="0" t="n">
        <v>2.2</v>
      </c>
      <c r="X852" s="0" t="str">
        <f aca="false">IF(ISBLANK(W852),"No remarks",W852)</f>
        <v>No remarks</v>
      </c>
      <c r="Y852" s="0" t="s">
        <v>73</v>
      </c>
      <c r="Z852" s="0" t="s">
        <v>159</v>
      </c>
      <c r="AA852" s="0" t="str">
        <f aca="false">PROPER(IF(ISBLANK(Z852),"Location Unavailable",Z852))</f>
        <v>Main Bay</v>
      </c>
      <c r="AB852" s="0" t="s">
        <v>167</v>
      </c>
      <c r="AC852" s="6" t="str">
        <f aca="false">PROPER(AB852)</f>
        <v>Word Of Mouth</v>
      </c>
      <c r="AE852" s="5" t="n">
        <f aca="false">IF(ISBLANK(AD852),AVERAGEIF(L852:L1851,L852,AD852:AD1851),AD852)</f>
        <v>38.8636363636364</v>
      </c>
      <c r="AF852" s="0" t="s">
        <v>96</v>
      </c>
      <c r="AG852" s="0" t="str">
        <f aca="false">PROPER(AF852)</f>
        <v>Ordered</v>
      </c>
      <c r="AH852" s="0" t="s">
        <v>77</v>
      </c>
      <c r="AI852" s="0" t="s">
        <v>98</v>
      </c>
      <c r="AJ852" s="0" t="str">
        <f aca="false">PROPER(AI852)</f>
        <v>Emergency</v>
      </c>
      <c r="AK852" s="0" t="s">
        <v>196</v>
      </c>
      <c r="AL852" s="0" t="str">
        <f aca="false">PROPER(AK852)</f>
        <v>First Time</v>
      </c>
      <c r="AM852" s="0" t="s">
        <v>177</v>
      </c>
      <c r="AN852" s="0" t="str">
        <f aca="false">IF(ISBLANK(AM852),"Unknown",AM852)</f>
        <v>Private</v>
      </c>
      <c r="AO852" s="0" t="s">
        <v>143</v>
      </c>
      <c r="AP852" s="0" t="str">
        <f aca="false">IF(ISBLANK(AO852),"Unknown",AO852)</f>
        <v>Senior</v>
      </c>
      <c r="AQ852" s="0" t="n">
        <v>30000</v>
      </c>
      <c r="AR852" s="5" t="n">
        <f aca="false">IF(ISBLANK(AQ852),AVERAGEIF(M852:M1851,M852,AQ852:AQ1851),AQ852)</f>
        <v>30000</v>
      </c>
      <c r="AT852" s="5" t="n">
        <f aca="false">IF(ISBLANK(AS852),AVERAGE(AS852:AS1851),AS852)</f>
        <v>31406.25</v>
      </c>
      <c r="AU852" s="0" t="s">
        <v>50</v>
      </c>
      <c r="AV852" s="0" t="str">
        <f aca="false">PROPER(IF(ISBLANK(AU852),"No",AU852))</f>
        <v>No</v>
      </c>
      <c r="AW852" s="0" t="n">
        <v>10000</v>
      </c>
      <c r="AX852" s="5" t="n">
        <f aca="false">IF(ISBLANK(AW852),0,AW852)</f>
        <v>10000</v>
      </c>
      <c r="AZ852" s="0" t="str">
        <f aca="false">UPPER(IF(ISBLANK(AY852),"NONE",AY852))</f>
        <v>NONE</v>
      </c>
      <c r="BA852" s="7" t="s">
        <v>360</v>
      </c>
      <c r="BB852" s="7" t="str">
        <f aca="false">IF(ISBLANK(BA852),"No Follow Up Needed",BA852)</f>
        <v>23/08/2025</v>
      </c>
      <c r="BC852" s="0" t="s">
        <v>82</v>
      </c>
      <c r="BD852" s="0" t="str">
        <f aca="false">PROPER(IF(ISBLANK(BC852),"Unknown",BC852))</f>
        <v>Yes</v>
      </c>
      <c r="BF852" s="0" t="str">
        <f aca="false">IF(ISBLANK(BE852),"No comments",BE852)</f>
        <v>No comments</v>
      </c>
      <c r="BG852" s="0" t="s">
        <v>2320</v>
      </c>
      <c r="BH852" s="0" t="str">
        <f aca="false">IF(ISBLANK(BG852),"No comments",BG852)</f>
        <v>No complaints</v>
      </c>
      <c r="BI852" s="0" t="s">
        <v>50</v>
      </c>
      <c r="BJ852" s="0" t="str">
        <f aca="false">IF(ISBLANK(BI852),"Not Mentioned",BI852)</f>
        <v>No</v>
      </c>
      <c r="BK852" s="0" t="s">
        <v>61</v>
      </c>
      <c r="BL852" s="0" t="str">
        <f aca="false">PROPER(IF(ISBLANK(BK852),"Not Mentioned",BK852))</f>
        <v>No</v>
      </c>
      <c r="BN852" s="0" t="str">
        <f aca="false">PROPER(IF(ISBLANK(BM852),"Not Mentioned",BM852))</f>
        <v>Not Mentioned</v>
      </c>
      <c r="BO852" s="0" t="s">
        <v>64</v>
      </c>
      <c r="BP852" s="0" t="str">
        <f aca="false">IF(ISBLANK(BO852),"One-Time Plan",BO852)</f>
        <v>Gold Maintenance Plan</v>
      </c>
      <c r="BR852" s="0" t="str">
        <f aca="false">PROPER(IF(ISBLANK(BQ852),"No",BQ852))</f>
        <v>No</v>
      </c>
    </row>
    <row r="853" customFormat="false" ht="15" hidden="false" customHeight="false" outlineLevel="0" collapsed="false">
      <c r="A853" s="0" t="s">
        <v>1991</v>
      </c>
      <c r="B853" s="2" t="n">
        <v>45750</v>
      </c>
      <c r="C853" s="2" t="str">
        <f aca="false">TEXT(B853,"dd/mm/yyyy")</f>
        <v>03/04/2025</v>
      </c>
      <c r="D853" s="0" t="s">
        <v>66</v>
      </c>
      <c r="E853" s="0" t="n">
        <v>8077459675</v>
      </c>
      <c r="F853" s="0" t="s">
        <v>67</v>
      </c>
      <c r="G853" s="0" t="s">
        <v>2316</v>
      </c>
      <c r="H853" s="0" t="s">
        <v>1992</v>
      </c>
      <c r="I853" s="0" t="s">
        <v>107</v>
      </c>
      <c r="J853" s="0" t="s">
        <v>2322</v>
      </c>
      <c r="K853" s="3" t="str">
        <f aca="false" t="array" ref="K853:K853">IFERROR(IF(J853&lt;&gt;"",J853,INDEX(J853:J1852,MATCH(1,(F853:F1852=F853)*(I853:I1852=I853)*(L853:L1852=L853)*(J853:J1852&lt;&gt;""),0))),"Not Found")</f>
        <v>Brake Failure</v>
      </c>
      <c r="L853" s="3" t="s">
        <v>142</v>
      </c>
      <c r="M853" s="0" t="str">
        <f aca="false">PROPER(L853)</f>
        <v>Oil Filter, Brake Pads</v>
      </c>
      <c r="O853" s="0" t="e">
        <f aca="false" t="array" ref="O853:O853">IF(N853&lt;&gt;"",N853,_xlfn.xlookup(1,(L853:L1852=L853)*(N853:N1852&lt;&gt;""),N853:N1852,"Not Found"))</f>
        <v>#NAME?</v>
      </c>
      <c r="P853" s="4" t="n">
        <v>14002</v>
      </c>
      <c r="Q853" s="0" t="s">
        <v>166</v>
      </c>
      <c r="R853" s="0" t="str">
        <f aca="false">PROPER(Q853)</f>
        <v>Transfer</v>
      </c>
      <c r="S853" s="0" t="s">
        <v>63</v>
      </c>
      <c r="T853" s="0" t="n">
        <v>1</v>
      </c>
      <c r="U853" s="5" t="n">
        <f aca="false">IF(ISBLANK(T853),AVERAGE(T853:T1852),T853)</f>
        <v>1</v>
      </c>
      <c r="V853" s="0" t="n">
        <v>2.5</v>
      </c>
      <c r="W853" s="0" t="s">
        <v>51</v>
      </c>
      <c r="X853" s="0" t="str">
        <f aca="false">IF(ISBLANK(W853),"No remarks",W853)</f>
        <v>Recommended further checks</v>
      </c>
      <c r="Y853" s="0" t="s">
        <v>93</v>
      </c>
      <c r="Z853" s="0" t="s">
        <v>136</v>
      </c>
      <c r="AA853" s="0" t="str">
        <f aca="false">PROPER(IF(ISBLANK(Z853),"Location Unavailable",Z853))</f>
        <v>Vip Section</v>
      </c>
      <c r="AB853" s="0" t="s">
        <v>95</v>
      </c>
      <c r="AC853" s="6" t="str">
        <f aca="false">PROPER(AB853)</f>
        <v>Road Sign</v>
      </c>
      <c r="AE853" s="5" t="n">
        <f aca="false">IF(ISBLANK(AD853),AVERAGEIF(L853:L1852,L853,AD853:AD1852),AD853)</f>
        <v>42</v>
      </c>
      <c r="AF853" s="0" t="s">
        <v>112</v>
      </c>
      <c r="AG853" s="0" t="str">
        <f aca="false">PROPER(AF853)</f>
        <v>Unavailable</v>
      </c>
      <c r="AH853" s="0" t="s">
        <v>56</v>
      </c>
      <c r="AI853" s="0" t="s">
        <v>78</v>
      </c>
      <c r="AJ853" s="0" t="str">
        <f aca="false">PROPER(AI853)</f>
        <v>Booking</v>
      </c>
      <c r="AK853" s="0" t="s">
        <v>196</v>
      </c>
      <c r="AL853" s="0" t="str">
        <f aca="false">PROPER(AK853)</f>
        <v>First Time</v>
      </c>
      <c r="AM853" s="0" t="s">
        <v>177</v>
      </c>
      <c r="AN853" s="0" t="str">
        <f aca="false">IF(ISBLANK(AM853),"Unknown",AM853)</f>
        <v>Private</v>
      </c>
      <c r="AP853" s="0" t="str">
        <f aca="false">IF(ISBLANK(AO853),"Unknown",AO853)</f>
        <v>Unknown</v>
      </c>
      <c r="AQ853" s="0" t="n">
        <v>30000</v>
      </c>
      <c r="AR853" s="5" t="n">
        <f aca="false">IF(ISBLANK(AQ853),AVERAGEIF(M853:M1852,M853,AQ853:AQ1852),AQ853)</f>
        <v>30000</v>
      </c>
      <c r="AS853" s="0" t="n">
        <v>35000</v>
      </c>
      <c r="AT853" s="5" t="n">
        <f aca="false">IF(ISBLANK(AS853),AVERAGE(AS853:AS1852),AS853)</f>
        <v>35000</v>
      </c>
      <c r="AU853" s="0" t="s">
        <v>63</v>
      </c>
      <c r="AV853" s="0" t="str">
        <f aca="false">PROPER(IF(ISBLANK(AU853),"No",AU853))</f>
        <v>Yes</v>
      </c>
      <c r="AX853" s="5" t="n">
        <f aca="false">IF(ISBLANK(AW853),0,AW853)</f>
        <v>0</v>
      </c>
      <c r="AY853" s="0" t="s">
        <v>130</v>
      </c>
      <c r="AZ853" s="0" t="str">
        <f aca="false">UPPER(IF(ISBLANK(AY853),"NONE",AY853))</f>
        <v>LOYALTY10</v>
      </c>
      <c r="BA853" s="7" t="n">
        <v>45823</v>
      </c>
      <c r="BB853" s="7" t="n">
        <f aca="false">IF(ISBLANK(BA853),"No Follow Up Needed",BA853)</f>
        <v>45823</v>
      </c>
      <c r="BC853" s="0" t="s">
        <v>63</v>
      </c>
      <c r="BD853" s="0" t="str">
        <f aca="false">PROPER(IF(ISBLANK(BC853),"Unknown",BC853))</f>
        <v>Yes</v>
      </c>
      <c r="BF853" s="0" t="str">
        <f aca="false">IF(ISBLANK(BE853),"No comments",BE853)</f>
        <v>No comments</v>
      </c>
      <c r="BH853" s="0" t="str">
        <f aca="false">IF(ISBLANK(BG853),"No comments",BG853)</f>
        <v>No comments</v>
      </c>
      <c r="BI853" s="0" t="s">
        <v>50</v>
      </c>
      <c r="BJ853" s="0" t="str">
        <f aca="false">IF(ISBLANK(BI853),"Not Mentioned",BI853)</f>
        <v>No</v>
      </c>
      <c r="BK853" s="0" t="s">
        <v>61</v>
      </c>
      <c r="BL853" s="0" t="str">
        <f aca="false">PROPER(IF(ISBLANK(BK853),"Not Mentioned",BK853))</f>
        <v>No</v>
      </c>
      <c r="BM853" s="0" t="s">
        <v>63</v>
      </c>
      <c r="BN853" s="0" t="str">
        <f aca="false">PROPER(IF(ISBLANK(BM853),"Not Mentioned",BM853))</f>
        <v>Yes</v>
      </c>
      <c r="BO853" s="0" t="s">
        <v>2321</v>
      </c>
      <c r="BP853" s="0" t="str">
        <f aca="false">IF(ISBLANK(BO853),"One-Time Plan",BO853)</f>
        <v>One-Time Plan</v>
      </c>
      <c r="BR853" s="0" t="str">
        <f aca="false">PROPER(IF(ISBLANK(BQ853),"No",BQ853))</f>
        <v>No</v>
      </c>
    </row>
    <row r="854" customFormat="false" ht="15" hidden="false" customHeight="false" outlineLevel="0" collapsed="false">
      <c r="A854" s="0" t="s">
        <v>1993</v>
      </c>
      <c r="B854" s="2" t="n">
        <v>45731</v>
      </c>
      <c r="C854" s="2" t="str">
        <f aca="false">TEXT(B854,"dd/mm/yyyy")</f>
        <v>15/03/2025</v>
      </c>
      <c r="D854" s="0" t="s">
        <v>121</v>
      </c>
      <c r="E854" s="0" t="n">
        <v>8024795927</v>
      </c>
      <c r="F854" s="0" t="s">
        <v>122</v>
      </c>
      <c r="G854" s="0" t="s">
        <v>2316</v>
      </c>
      <c r="H854" s="0" t="s">
        <v>1994</v>
      </c>
      <c r="I854" s="0" t="s">
        <v>69</v>
      </c>
      <c r="J854" s="0" t="s">
        <v>87</v>
      </c>
      <c r="K854" s="3" t="str">
        <f aca="false" t="array" ref="K854:K854">IFERROR(IF(J854&lt;&gt;"",J854,INDEX(J854:J1853,MATCH(1,(F854:F1853=F854)*(I854:I1853=I854)*(L854:L1853=L854)*(J854:J1853&lt;&gt;""),0))),"Not Found")</f>
        <v>Oil Change</v>
      </c>
      <c r="L854" s="3" t="s">
        <v>89</v>
      </c>
      <c r="M854" s="0" t="str">
        <f aca="false">PROPER(L854)</f>
        <v>Shock Absorbers</v>
      </c>
      <c r="O854" s="0" t="e">
        <f aca="false" t="array" ref="O854:O854">IF(N854&lt;&gt;"",N854,_xlfn.xlookup(1,(L854:L1853=L854)*(N854:N1853&lt;&gt;""),N854:N1853,"Not Found"))</f>
        <v>#NAME?</v>
      </c>
      <c r="P854" s="4" t="n">
        <v>116865</v>
      </c>
      <c r="Q854" s="0" t="s">
        <v>72</v>
      </c>
      <c r="R854" s="0" t="str">
        <f aca="false">PROPER(Q854)</f>
        <v>Pos</v>
      </c>
      <c r="S854" s="0" t="s">
        <v>63</v>
      </c>
      <c r="T854" s="0" t="n">
        <v>1</v>
      </c>
      <c r="U854" s="5" t="n">
        <f aca="false">IF(ISBLANK(T854),AVERAGE(T854:T1853),T854)</f>
        <v>1</v>
      </c>
      <c r="V854" s="0" t="n">
        <v>4.6</v>
      </c>
      <c r="W854" s="0" t="s">
        <v>111</v>
      </c>
      <c r="X854" s="0" t="str">
        <f aca="false">IF(ISBLANK(W854),"No remarks",W854)</f>
        <v>Changed all filters</v>
      </c>
      <c r="Y854" s="0" t="s">
        <v>52</v>
      </c>
      <c r="Z854" s="0" t="s">
        <v>94</v>
      </c>
      <c r="AA854" s="0" t="str">
        <f aca="false">PROPER(IF(ISBLANK(Z854),"Location Unavailable",Z854))</f>
        <v>Vip Section</v>
      </c>
      <c r="AB854" s="0" t="s">
        <v>75</v>
      </c>
      <c r="AC854" s="6" t="str">
        <f aca="false">PROPER(AB854)</f>
        <v>Mechanik Referal</v>
      </c>
      <c r="AD854" s="6" t="n">
        <v>45</v>
      </c>
      <c r="AE854" s="5" t="n">
        <f aca="false">IF(ISBLANK(AD854),AVERAGEIF(L854:L1853,L854,AD854:AD1853),AD854)</f>
        <v>45</v>
      </c>
      <c r="AF854" s="0" t="s">
        <v>76</v>
      </c>
      <c r="AG854" s="0" t="str">
        <f aca="false">PROPER(AF854)</f>
        <v>Orderd</v>
      </c>
      <c r="AH854" s="0" t="s">
        <v>77</v>
      </c>
      <c r="AI854" s="0" t="s">
        <v>113</v>
      </c>
      <c r="AJ854" s="0" t="str">
        <f aca="false">PROPER(AI854)</f>
        <v>Normal</v>
      </c>
      <c r="AK854" s="0" t="s">
        <v>114</v>
      </c>
      <c r="AL854" s="0" t="str">
        <f aca="false">PROPER(AK854)</f>
        <v>Returning</v>
      </c>
      <c r="AN854" s="0" t="str">
        <f aca="false">IF(ISBLANK(AM854),"Unknown",AM854)</f>
        <v>Unknown</v>
      </c>
      <c r="AO854" s="0" t="s">
        <v>149</v>
      </c>
      <c r="AP854" s="0" t="str">
        <f aca="false">IF(ISBLANK(AO854),"Unknown",AO854)</f>
        <v>Senior </v>
      </c>
      <c r="AQ854" s="0" t="n">
        <v>20000</v>
      </c>
      <c r="AR854" s="5" t="n">
        <f aca="false">IF(ISBLANK(AQ854),AVERAGEIF(M854:M1853,M854,AQ854:AQ1853),AQ854)</f>
        <v>20000</v>
      </c>
      <c r="AS854" s="0" t="n">
        <v>35000</v>
      </c>
      <c r="AT854" s="5" t="n">
        <f aca="false">IF(ISBLANK(AS854),AVERAGE(AS854:AS1853),AS854)</f>
        <v>35000</v>
      </c>
      <c r="AV854" s="0" t="str">
        <f aca="false">PROPER(IF(ISBLANK(AU854),"No",AU854))</f>
        <v>No</v>
      </c>
      <c r="AW854" s="0" t="n">
        <v>10000</v>
      </c>
      <c r="AX854" s="5" t="n">
        <f aca="false">IF(ISBLANK(AW854),0,AW854)</f>
        <v>10000</v>
      </c>
      <c r="AY854" s="0" t="s">
        <v>130</v>
      </c>
      <c r="AZ854" s="0" t="str">
        <f aca="false">UPPER(IF(ISBLANK(AY854),"NONE",AY854))</f>
        <v>LOYALTY10</v>
      </c>
      <c r="BB854" s="7" t="str">
        <f aca="false">IF(ISBLANK(BA854),"No Follow Up Needed",BA854)</f>
        <v>No Follow Up Needed</v>
      </c>
      <c r="BC854" s="0" t="s">
        <v>50</v>
      </c>
      <c r="BD854" s="0" t="str">
        <f aca="false">PROPER(IF(ISBLANK(BC854),"Unknown",BC854))</f>
        <v>No</v>
      </c>
      <c r="BF854" s="0" t="str">
        <f aca="false">IF(ISBLANK(BE854),"No comments",BE854)</f>
        <v>No comments</v>
      </c>
      <c r="BG854" s="0" t="s">
        <v>2320</v>
      </c>
      <c r="BH854" s="0" t="str">
        <f aca="false">IF(ISBLANK(BG854),"No comments",BG854)</f>
        <v>No complaints</v>
      </c>
      <c r="BI854" s="0" t="s">
        <v>63</v>
      </c>
      <c r="BJ854" s="0" t="str">
        <f aca="false">IF(ISBLANK(BI854),"Not Mentioned",BI854)</f>
        <v>Yes</v>
      </c>
      <c r="BK854" s="0" t="s">
        <v>63</v>
      </c>
      <c r="BL854" s="0" t="str">
        <f aca="false">PROPER(IF(ISBLANK(BK854),"Not Mentioned",BK854))</f>
        <v>Yes</v>
      </c>
      <c r="BM854" s="0" t="s">
        <v>63</v>
      </c>
      <c r="BN854" s="0" t="str">
        <f aca="false">PROPER(IF(ISBLANK(BM854),"Not Mentioned",BM854))</f>
        <v>Yes</v>
      </c>
      <c r="BO854" s="0" t="s">
        <v>64</v>
      </c>
      <c r="BP854" s="0" t="str">
        <f aca="false">IF(ISBLANK(BO854),"One-Time Plan",BO854)</f>
        <v>Gold Maintenance Plan</v>
      </c>
      <c r="BQ854" s="0" t="s">
        <v>50</v>
      </c>
      <c r="BR854" s="0" t="str">
        <f aca="false">PROPER(IF(ISBLANK(BQ854),"No",BQ854))</f>
        <v>No</v>
      </c>
    </row>
    <row r="855" customFormat="false" ht="15" hidden="false" customHeight="false" outlineLevel="0" collapsed="false">
      <c r="A855" s="0" t="s">
        <v>1995</v>
      </c>
      <c r="B855" s="2" t="n">
        <v>45843</v>
      </c>
      <c r="C855" s="2" t="str">
        <f aca="false">TEXT(B855,"dd/mm/yyyy")</f>
        <v>05/07/2025</v>
      </c>
      <c r="D855" s="0" t="s">
        <v>163</v>
      </c>
      <c r="E855" s="0" t="n">
        <v>8070486666</v>
      </c>
      <c r="F855" s="0" t="s">
        <v>43</v>
      </c>
      <c r="G855" s="0" t="s">
        <v>2315</v>
      </c>
      <c r="H855" s="0" t="s">
        <v>1646</v>
      </c>
      <c r="I855" s="0" t="s">
        <v>107</v>
      </c>
      <c r="K855" s="3" t="str">
        <f aca="false" t="array" ref="K855:K855">IFERROR(IF(J855&lt;&gt;"",J855,INDEX(J855:J1854,MATCH(1,(F855:F1854=F855)*(I855:I1854=I855)*(L855:L1854=L855)*(J855:J1854&lt;&gt;""),0))),"Not Found")</f>
        <v>Oil Change</v>
      </c>
      <c r="L855" s="3" t="s">
        <v>108</v>
      </c>
      <c r="M855" s="0" t="str">
        <f aca="false">PROPER(L855)</f>
        <v>Timing Belt</v>
      </c>
      <c r="N855" s="3" t="s">
        <v>90</v>
      </c>
      <c r="O855" s="0" t="str">
        <f aca="false" t="array" ref="O855:O855">IF(N855&lt;&gt;"",N855,_xlfn.xlookup(1,(L855:L1854=L855)*(N855:N1854&lt;&gt;""),N855:N1854,"Not Found"))</f>
        <v>Musa</v>
      </c>
      <c r="P855" s="4" t="n">
        <v>117524</v>
      </c>
      <c r="Q855" s="0" t="s">
        <v>49</v>
      </c>
      <c r="R855" s="0" t="str">
        <f aca="false">PROPER(Q855)</f>
        <v>Transfer</v>
      </c>
      <c r="S855" s="0" t="s">
        <v>50</v>
      </c>
      <c r="T855" s="0" t="n">
        <v>1</v>
      </c>
      <c r="U855" s="5" t="n">
        <f aca="false">IF(ISBLANK(T855),AVERAGE(T855:T1854),T855)</f>
        <v>1</v>
      </c>
      <c r="V855" s="0" t="n">
        <v>3</v>
      </c>
      <c r="W855" s="0" t="s">
        <v>51</v>
      </c>
      <c r="X855" s="0" t="str">
        <f aca="false">IF(ISBLANK(W855),"No remarks",W855)</f>
        <v>Recommended further checks</v>
      </c>
      <c r="Y855" s="0" t="s">
        <v>52</v>
      </c>
      <c r="Z855" s="0" t="s">
        <v>53</v>
      </c>
      <c r="AA855" s="0" t="str">
        <f aca="false">PROPER(IF(ISBLANK(Z855),"Location Unavailable",Z855))</f>
        <v>Main Bay</v>
      </c>
      <c r="AB855" s="0" t="s">
        <v>147</v>
      </c>
      <c r="AC855" s="6" t="str">
        <f aca="false">PROPER(AB855)</f>
        <v>Instagram</v>
      </c>
      <c r="AD855" s="6" t="n">
        <v>45</v>
      </c>
      <c r="AE855" s="5" t="n">
        <f aca="false">IF(ISBLANK(AD855),AVERAGEIF(L855:L1854,L855,AD855:AD1854),AD855)</f>
        <v>45</v>
      </c>
      <c r="AF855" s="0" t="s">
        <v>160</v>
      </c>
      <c r="AG855" s="0" t="str">
        <f aca="false">PROPER(AF855)</f>
        <v>Availaible</v>
      </c>
      <c r="AH855" s="0" t="s">
        <v>148</v>
      </c>
      <c r="AI855" s="0" t="s">
        <v>113</v>
      </c>
      <c r="AJ855" s="0" t="str">
        <f aca="false">PROPER(AI855)</f>
        <v>Normal</v>
      </c>
      <c r="AK855" s="0" t="s">
        <v>196</v>
      </c>
      <c r="AL855" s="0" t="str">
        <f aca="false">PROPER(AK855)</f>
        <v>First Time</v>
      </c>
      <c r="AM855" s="0" t="s">
        <v>177</v>
      </c>
      <c r="AN855" s="0" t="str">
        <f aca="false">IF(ISBLANK(AM855),"Unknown",AM855)</f>
        <v>Private</v>
      </c>
      <c r="AO855" s="0" t="s">
        <v>149</v>
      </c>
      <c r="AP855" s="0" t="str">
        <f aca="false">IF(ISBLANK(AO855),"Unknown",AO855)</f>
        <v>Senior </v>
      </c>
      <c r="AQ855" s="0" t="n">
        <v>20000</v>
      </c>
      <c r="AR855" s="5" t="n">
        <f aca="false">IF(ISBLANK(AQ855),AVERAGEIF(M855:M1854,M855,AQ855:AQ1854),AQ855)</f>
        <v>20000</v>
      </c>
      <c r="AS855" s="0" t="n">
        <v>20000</v>
      </c>
      <c r="AT855" s="5" t="n">
        <f aca="false">IF(ISBLANK(AS855),AVERAGE(AS855:AS1854),AS855)</f>
        <v>20000</v>
      </c>
      <c r="AV855" s="0" t="str">
        <f aca="false">PROPER(IF(ISBLANK(AU855),"No",AU855))</f>
        <v>No</v>
      </c>
      <c r="AX855" s="5" t="n">
        <f aca="false">IF(ISBLANK(AW855),0,AW855)</f>
        <v>0</v>
      </c>
      <c r="AZ855" s="0" t="str">
        <f aca="false">UPPER(IF(ISBLANK(AY855),"NONE",AY855))</f>
        <v>NONE</v>
      </c>
      <c r="BA855" s="7" t="s">
        <v>1635</v>
      </c>
      <c r="BB855" s="7" t="str">
        <f aca="false">IF(ISBLANK(BA855),"No Follow Up Needed",BA855)</f>
        <v>22/09/2025</v>
      </c>
      <c r="BC855" s="0" t="s">
        <v>82</v>
      </c>
      <c r="BD855" s="0" t="str">
        <f aca="false">PROPER(IF(ISBLANK(BC855),"Unknown",BC855))</f>
        <v>Yes</v>
      </c>
      <c r="BF855" s="0" t="str">
        <f aca="false">IF(ISBLANK(BE855),"No comments",BE855)</f>
        <v>No comments</v>
      </c>
      <c r="BH855" s="0" t="str">
        <f aca="false">IF(ISBLANK(BG855),"No comments",BG855)</f>
        <v>No comments</v>
      </c>
      <c r="BJ855" s="0" t="str">
        <f aca="false">IF(ISBLANK(BI855),"Not Mentioned",BI855)</f>
        <v>Not Mentioned</v>
      </c>
      <c r="BK855" s="0" t="s">
        <v>61</v>
      </c>
      <c r="BL855" s="0" t="str">
        <f aca="false">PROPER(IF(ISBLANK(BK855),"Not Mentioned",BK855))</f>
        <v>No</v>
      </c>
      <c r="BN855" s="0" t="str">
        <f aca="false">PROPER(IF(ISBLANK(BM855),"Not Mentioned",BM855))</f>
        <v>Not Mentioned</v>
      </c>
      <c r="BO855" s="0" t="s">
        <v>2321</v>
      </c>
      <c r="BP855" s="0" t="str">
        <f aca="false">IF(ISBLANK(BO855),"One-Time Plan",BO855)</f>
        <v>One-Time Plan</v>
      </c>
      <c r="BQ855" s="0" t="s">
        <v>63</v>
      </c>
      <c r="BR855" s="0" t="str">
        <f aca="false">PROPER(IF(ISBLANK(BQ855),"No",BQ855))</f>
        <v>Yes</v>
      </c>
    </row>
    <row r="856" customFormat="false" ht="15" hidden="false" customHeight="false" outlineLevel="0" collapsed="false">
      <c r="A856" s="0" t="s">
        <v>1996</v>
      </c>
      <c r="B856" s="2" t="n">
        <v>45811</v>
      </c>
      <c r="C856" s="2" t="str">
        <f aca="false">TEXT(B856,"dd/mm/yyyy")</f>
        <v>03/06/2025</v>
      </c>
      <c r="D856" s="0" t="s">
        <v>105</v>
      </c>
      <c r="E856" s="0" t="n">
        <v>8086113817</v>
      </c>
      <c r="F856" s="0" t="s">
        <v>43</v>
      </c>
      <c r="G856" s="0" t="s">
        <v>2315</v>
      </c>
      <c r="H856" s="0" t="s">
        <v>585</v>
      </c>
      <c r="I856" s="0" t="s">
        <v>107</v>
      </c>
      <c r="J856" s="0" t="s">
        <v>2317</v>
      </c>
      <c r="K856" s="3" t="str">
        <f aca="false" t="array" ref="K856:K856">IFERROR(IF(J856&lt;&gt;"",J856,INDEX(J856:J1855,MATCH(1,(F856:F1855=F856)*(I856:I1855=I856)*(L856:L1855=L856)*(J856:J1855&lt;&gt;""),0))),"Not Found")</f>
        <v>Suspension Noise</v>
      </c>
      <c r="L856" s="3" t="s">
        <v>89</v>
      </c>
      <c r="M856" s="0" t="str">
        <f aca="false">PROPER(L856)</f>
        <v>Shock Absorbers</v>
      </c>
      <c r="O856" s="0" t="e">
        <f aca="false" t="array" ref="O856:O856">IF(N856&lt;&gt;"",N856,_xlfn.xlookup(1,(L856:L1855=L856)*(N856:N1855&lt;&gt;""),N856:N1855,"Not Found"))</f>
        <v>#NAME?</v>
      </c>
      <c r="P856" s="4" t="n">
        <v>19254</v>
      </c>
      <c r="Q856" s="0" t="s">
        <v>91</v>
      </c>
      <c r="R856" s="0" t="str">
        <f aca="false">PROPER(Q856)</f>
        <v>Pos</v>
      </c>
      <c r="S856" s="0" t="s">
        <v>50</v>
      </c>
      <c r="T856" s="0" t="n">
        <v>2</v>
      </c>
      <c r="U856" s="5" t="n">
        <f aca="false">IF(ISBLANK(T856),AVERAGE(T856:T1855),T856)</f>
        <v>2</v>
      </c>
      <c r="V856" s="0" t="n">
        <v>2.2</v>
      </c>
      <c r="W856" s="0" t="s">
        <v>125</v>
      </c>
      <c r="X856" s="0" t="str">
        <f aca="false">IF(ISBLANK(W856),"No remarks",W856)</f>
        <v>Customer waited</v>
      </c>
      <c r="Y856" s="0" t="s">
        <v>73</v>
      </c>
      <c r="Z856" s="0" t="s">
        <v>159</v>
      </c>
      <c r="AA856" s="0" t="str">
        <f aca="false">PROPER(IF(ISBLANK(Z856),"Location Unavailable",Z856))</f>
        <v>Main Bay</v>
      </c>
      <c r="AB856" s="0" t="s">
        <v>147</v>
      </c>
      <c r="AC856" s="6" t="str">
        <f aca="false">PROPER(AB856)</f>
        <v>Instagram</v>
      </c>
      <c r="AD856" s="6" t="n">
        <v>45</v>
      </c>
      <c r="AE856" s="5" t="n">
        <f aca="false">IF(ISBLANK(AD856),AVERAGEIF(L856:L1855,L856,AD856:AD1855),AD856)</f>
        <v>45</v>
      </c>
      <c r="AF856" s="0" t="s">
        <v>112</v>
      </c>
      <c r="AG856" s="0" t="str">
        <f aca="false">PROPER(AF856)</f>
        <v>Unavailable</v>
      </c>
      <c r="AH856" s="0" t="s">
        <v>155</v>
      </c>
      <c r="AI856" s="0" t="s">
        <v>78</v>
      </c>
      <c r="AJ856" s="0" t="str">
        <f aca="false">PROPER(AI856)</f>
        <v>Booking</v>
      </c>
      <c r="AK856" s="0" t="s">
        <v>114</v>
      </c>
      <c r="AL856" s="0" t="str">
        <f aca="false">PROPER(AK856)</f>
        <v>Returning</v>
      </c>
      <c r="AM856" s="0" t="s">
        <v>2324</v>
      </c>
      <c r="AN856" s="0" t="str">
        <f aca="false">IF(ISBLANK(AM856),"Unknown",AM856)</f>
        <v>Logistics Convoy</v>
      </c>
      <c r="AO856" s="0" t="s">
        <v>161</v>
      </c>
      <c r="AP856" s="0" t="str">
        <f aca="false">IF(ISBLANK(AO856),"Unknown",AO856)</f>
        <v>Apprentice</v>
      </c>
      <c r="AQ856" s="0" t="n">
        <v>30000</v>
      </c>
      <c r="AR856" s="5" t="n">
        <f aca="false">IF(ISBLANK(AQ856),AVERAGEIF(M856:M1855,M856,AQ856:AQ1855),AQ856)</f>
        <v>30000</v>
      </c>
      <c r="AT856" s="5" t="n">
        <f aca="false">IF(ISBLANK(AS856),AVERAGE(AS856:AS1855),AS856)</f>
        <v>31440</v>
      </c>
      <c r="AU856" s="0" t="s">
        <v>61</v>
      </c>
      <c r="AV856" s="0" t="str">
        <f aca="false">PROPER(IF(ISBLANK(AU856),"No",AU856))</f>
        <v>No</v>
      </c>
      <c r="AX856" s="5" t="n">
        <f aca="false">IF(ISBLANK(AW856),0,AW856)</f>
        <v>0</v>
      </c>
      <c r="AY856" s="0" t="s">
        <v>60</v>
      </c>
      <c r="AZ856" s="0" t="str">
        <f aca="false">UPPER(IF(ISBLANK(AY856),"NONE",AY856))</f>
        <v>NONE</v>
      </c>
      <c r="BA856" s="7" t="s">
        <v>556</v>
      </c>
      <c r="BB856" s="7" t="str">
        <f aca="false">IF(ISBLANK(BA856),"No Follow Up Needed",BA856)</f>
        <v>23/10/2025</v>
      </c>
      <c r="BC856" s="0" t="s">
        <v>63</v>
      </c>
      <c r="BD856" s="0" t="str">
        <f aca="false">PROPER(IF(ISBLANK(BC856),"Unknown",BC856))</f>
        <v>Yes</v>
      </c>
      <c r="BE856" s="0" t="s">
        <v>171</v>
      </c>
      <c r="BF856" s="0" t="str">
        <f aca="false">IF(ISBLANK(BE856),"No comments",BE856)</f>
        <v>Shock absorber weakening</v>
      </c>
      <c r="BH856" s="0" t="str">
        <f aca="false">IF(ISBLANK(BG856),"No comments",BG856)</f>
        <v>No comments</v>
      </c>
      <c r="BI856" s="0" t="s">
        <v>50</v>
      </c>
      <c r="BJ856" s="0" t="str">
        <f aca="false">IF(ISBLANK(BI856),"Not Mentioned",BI856)</f>
        <v>No</v>
      </c>
      <c r="BK856" s="0" t="s">
        <v>82</v>
      </c>
      <c r="BL856" s="0" t="str">
        <f aca="false">PROPER(IF(ISBLANK(BK856),"Not Mentioned",BK856))</f>
        <v>Yes</v>
      </c>
      <c r="BN856" s="0" t="str">
        <f aca="false">PROPER(IF(ISBLANK(BM856),"Not Mentioned",BM856))</f>
        <v>Not Mentioned</v>
      </c>
      <c r="BO856" s="0" t="s">
        <v>2318</v>
      </c>
      <c r="BP856" s="0" t="str">
        <f aca="false">IF(ISBLANK(BO856),"One-Time Plan",BO856)</f>
        <v>Gold</v>
      </c>
      <c r="BQ856" s="0" t="s">
        <v>63</v>
      </c>
      <c r="BR856" s="0" t="str">
        <f aca="false">PROPER(IF(ISBLANK(BQ856),"No",BQ856))</f>
        <v>Yes</v>
      </c>
    </row>
    <row r="857" customFormat="false" ht="15" hidden="false" customHeight="false" outlineLevel="0" collapsed="false">
      <c r="A857" s="0" t="s">
        <v>1997</v>
      </c>
      <c r="B857" s="2" t="n">
        <v>45715</v>
      </c>
      <c r="C857" s="2" t="str">
        <f aca="false">TEXT(B857,"dd/mm/yyyy")</f>
        <v>27/02/2025</v>
      </c>
      <c r="D857" s="0" t="s">
        <v>42</v>
      </c>
      <c r="E857" s="0" t="n">
        <v>8038531115</v>
      </c>
      <c r="F857" s="0" t="s">
        <v>122</v>
      </c>
      <c r="G857" s="0" t="s">
        <v>2316</v>
      </c>
      <c r="H857" s="0" t="s">
        <v>1998</v>
      </c>
      <c r="I857" s="0" t="s">
        <v>107</v>
      </c>
      <c r="J857" s="0" t="s">
        <v>2325</v>
      </c>
      <c r="K857" s="3" t="str">
        <f aca="false" t="array" ref="K857:K857">IFERROR(IF(J857&lt;&gt;"",J857,INDEX(J857:J1856,MATCH(1,(F857:F1856=F857)*(I857:I1856=I857)*(L857:L1856=L857)*(J857:J1856&lt;&gt;""),0))),"Not Found")</f>
        <v>Engine Knocking</v>
      </c>
      <c r="L857" s="3" t="s">
        <v>154</v>
      </c>
      <c r="M857" s="0" t="str">
        <f aca="false">PROPER(L857)</f>
        <v>Air Filter</v>
      </c>
      <c r="N857" s="3" t="s">
        <v>71</v>
      </c>
      <c r="O857" s="0" t="str">
        <f aca="false" t="array" ref="O857:O857">IF(N857&lt;&gt;"",N857,_xlfn.xlookup(1,(L857:L1856=L857)*(N857:N1856&lt;&gt;""),N857:N1856,"Not Found"))</f>
        <v>Isaac Bobo</v>
      </c>
      <c r="P857" s="4" t="n">
        <v>81646</v>
      </c>
      <c r="Q857" s="0" t="s">
        <v>110</v>
      </c>
      <c r="R857" s="0" t="str">
        <f aca="false">PROPER(Q857)</f>
        <v>Cash</v>
      </c>
      <c r="S857" s="0" t="s">
        <v>50</v>
      </c>
      <c r="T857" s="0" t="n">
        <v>2</v>
      </c>
      <c r="U857" s="5" t="n">
        <f aca="false">IF(ISBLANK(T857),AVERAGE(T857:T1856),T857)</f>
        <v>2</v>
      </c>
      <c r="V857" s="0" t="n">
        <v>1.6</v>
      </c>
      <c r="W857" s="0" t="s">
        <v>125</v>
      </c>
      <c r="X857" s="0" t="str">
        <f aca="false">IF(ISBLANK(W857),"No remarks",W857)</f>
        <v>Customer waited</v>
      </c>
      <c r="Y857" s="0" t="s">
        <v>93</v>
      </c>
      <c r="Z857" s="0" t="s">
        <v>159</v>
      </c>
      <c r="AA857" s="0" t="str">
        <f aca="false">PROPER(IF(ISBLANK(Z857),"Location Unavailable",Z857))</f>
        <v>Main Bay</v>
      </c>
      <c r="AB857" s="0" t="s">
        <v>147</v>
      </c>
      <c r="AC857" s="6" t="str">
        <f aca="false">PROPER(AB857)</f>
        <v>Instagram</v>
      </c>
      <c r="AD857" s="6" t="n">
        <v>30</v>
      </c>
      <c r="AE857" s="5" t="n">
        <f aca="false">IF(ISBLANK(AD857),AVERAGEIF(L857:L1856,L857,AD857:AD1856),AD857)</f>
        <v>30</v>
      </c>
      <c r="AF857" s="0" t="s">
        <v>112</v>
      </c>
      <c r="AG857" s="0" t="str">
        <f aca="false">PROPER(AF857)</f>
        <v>Unavailable</v>
      </c>
      <c r="AH857" s="0" t="s">
        <v>155</v>
      </c>
      <c r="AI857" s="0" t="s">
        <v>78</v>
      </c>
      <c r="AJ857" s="0" t="str">
        <f aca="false">PROPER(AI857)</f>
        <v>Booking</v>
      </c>
      <c r="AK857" s="0" t="s">
        <v>114</v>
      </c>
      <c r="AL857" s="0" t="str">
        <f aca="false">PROPER(AK857)</f>
        <v>Returning</v>
      </c>
      <c r="AM857" s="0" t="s">
        <v>177</v>
      </c>
      <c r="AN857" s="0" t="str">
        <f aca="false">IF(ISBLANK(AM857),"Unknown",AM857)</f>
        <v>Private</v>
      </c>
      <c r="AO857" s="0" t="s">
        <v>143</v>
      </c>
      <c r="AP857" s="0" t="str">
        <f aca="false">IF(ISBLANK(AO857),"Unknown",AO857)</f>
        <v>Senior</v>
      </c>
      <c r="AR857" s="5" t="n">
        <f aca="false">IF(ISBLANK(AQ857),AVERAGEIF(M857:M1856,M857,AQ857:AQ1856),AQ857)</f>
        <v>27142.8571428571</v>
      </c>
      <c r="AS857" s="0" t="n">
        <v>30000</v>
      </c>
      <c r="AT857" s="5" t="n">
        <f aca="false">IF(ISBLANK(AS857),AVERAGE(AS857:AS1856),AS857)</f>
        <v>30000</v>
      </c>
      <c r="AV857" s="0" t="str">
        <f aca="false">PROPER(IF(ISBLANK(AU857),"No",AU857))</f>
        <v>No</v>
      </c>
      <c r="AW857" s="0" t="n">
        <v>0</v>
      </c>
      <c r="AX857" s="5" t="n">
        <f aca="false">IF(ISBLANK(AW857),0,AW857)</f>
        <v>0</v>
      </c>
      <c r="AY857" s="0" t="s">
        <v>60</v>
      </c>
      <c r="AZ857" s="0" t="str">
        <f aca="false">UPPER(IF(ISBLANK(AY857),"NONE",AY857))</f>
        <v>NONE</v>
      </c>
      <c r="BB857" s="7" t="str">
        <f aca="false">IF(ISBLANK(BA857),"No Follow Up Needed",BA857)</f>
        <v>No Follow Up Needed</v>
      </c>
      <c r="BC857" s="0" t="s">
        <v>61</v>
      </c>
      <c r="BD857" s="0" t="str">
        <f aca="false">PROPER(IF(ISBLANK(BC857),"Unknown",BC857))</f>
        <v>No</v>
      </c>
      <c r="BE857" s="0" t="s">
        <v>116</v>
      </c>
      <c r="BF857" s="0" t="str">
        <f aca="false">IF(ISBLANK(BE857),"No comments",BE857)</f>
        <v>Needs tire alignment</v>
      </c>
      <c r="BG857" s="0" t="s">
        <v>2320</v>
      </c>
      <c r="BH857" s="0" t="str">
        <f aca="false">IF(ISBLANK(BG857),"No comments",BG857)</f>
        <v>No complaints</v>
      </c>
      <c r="BI857" s="0" t="s">
        <v>63</v>
      </c>
      <c r="BJ857" s="0" t="str">
        <f aca="false">IF(ISBLANK(BI857),"Not Mentioned",BI857)</f>
        <v>Yes</v>
      </c>
      <c r="BK857" s="0" t="s">
        <v>63</v>
      </c>
      <c r="BL857" s="0" t="str">
        <f aca="false">PROPER(IF(ISBLANK(BK857),"Not Mentioned",BK857))</f>
        <v>Yes</v>
      </c>
      <c r="BN857" s="0" t="str">
        <f aca="false">PROPER(IF(ISBLANK(BM857),"Not Mentioned",BM857))</f>
        <v>Not Mentioned</v>
      </c>
      <c r="BP857" s="0" t="str">
        <f aca="false">IF(ISBLANK(BO857),"One-Time Plan",BO857)</f>
        <v>One-Time Plan</v>
      </c>
      <c r="BQ857" s="0" t="s">
        <v>50</v>
      </c>
      <c r="BR857" s="0" t="str">
        <f aca="false">PROPER(IF(ISBLANK(BQ857),"No",BQ857))</f>
        <v>No</v>
      </c>
    </row>
    <row r="858" customFormat="false" ht="15" hidden="false" customHeight="false" outlineLevel="0" collapsed="false">
      <c r="A858" s="0" t="s">
        <v>1999</v>
      </c>
      <c r="B858" s="2" t="n">
        <v>45762</v>
      </c>
      <c r="C858" s="2" t="str">
        <f aca="false">TEXT(B858,"dd/mm/yyyy")</f>
        <v>15/04/2025</v>
      </c>
      <c r="D858" s="0" t="s">
        <v>105</v>
      </c>
      <c r="E858" s="0" t="n">
        <v>8034915916</v>
      </c>
      <c r="F858" s="0" t="s">
        <v>85</v>
      </c>
      <c r="G858" s="0" t="s">
        <v>2319</v>
      </c>
      <c r="H858" s="0" t="s">
        <v>1781</v>
      </c>
      <c r="I858" s="0" t="s">
        <v>107</v>
      </c>
      <c r="J858" s="0" t="s">
        <v>2317</v>
      </c>
      <c r="K858" s="3" t="str">
        <f aca="false" t="array" ref="K858:K858">IFERROR(IF(J858&lt;&gt;"",J858,INDEX(J858:J1857,MATCH(1,(F858:F1857=F858)*(I858:I1857=I858)*(L858:L1857=L858)*(J858:J1857&lt;&gt;""),0))),"Not Found")</f>
        <v>Suspension Noise</v>
      </c>
      <c r="L858" s="3" t="s">
        <v>154</v>
      </c>
      <c r="M858" s="0" t="str">
        <f aca="false">PROPER(L858)</f>
        <v>Air Filter</v>
      </c>
      <c r="O858" s="0" t="e">
        <f aca="false" t="array" ref="O858:O858">IF(N858&lt;&gt;"",N858,_xlfn.xlookup(1,(L858:L1857=L858)*(N858:N1857&lt;&gt;""),N858:N1857,"Not Found"))</f>
        <v>#NAME?</v>
      </c>
      <c r="P858" s="4" t="n">
        <v>62297</v>
      </c>
      <c r="Q858" s="0" t="s">
        <v>72</v>
      </c>
      <c r="R858" s="0" t="str">
        <f aca="false">PROPER(Q858)</f>
        <v>Pos</v>
      </c>
      <c r="S858" s="0" t="s">
        <v>50</v>
      </c>
      <c r="U858" s="5" t="n">
        <f aca="false">IF(ISBLANK(T858),AVERAGE(T858:T1857),T858)</f>
        <v>3.35652173913044</v>
      </c>
      <c r="V858" s="0" t="n">
        <v>1</v>
      </c>
      <c r="W858" s="0" t="s">
        <v>111</v>
      </c>
      <c r="X858" s="0" t="str">
        <f aca="false">IF(ISBLANK(W858),"No remarks",W858)</f>
        <v>Changed all filters</v>
      </c>
      <c r="Y858" s="0" t="s">
        <v>73</v>
      </c>
      <c r="Z858" s="0" t="s">
        <v>159</v>
      </c>
      <c r="AA858" s="0" t="str">
        <f aca="false">PROPER(IF(ISBLANK(Z858),"Location Unavailable",Z858))</f>
        <v>Main Bay</v>
      </c>
      <c r="AB858" s="0" t="s">
        <v>167</v>
      </c>
      <c r="AC858" s="6" t="str">
        <f aca="false">PROPER(AB858)</f>
        <v>Word Of Mouth</v>
      </c>
      <c r="AD858" s="6" t="n">
        <v>60</v>
      </c>
      <c r="AE858" s="5" t="n">
        <f aca="false">IF(ISBLANK(AD858),AVERAGEIF(L858:L1857,L858,AD858:AD1857),AD858)</f>
        <v>60</v>
      </c>
      <c r="AF858" s="0" t="s">
        <v>160</v>
      </c>
      <c r="AG858" s="0" t="str">
        <f aca="false">PROPER(AF858)</f>
        <v>Availaible</v>
      </c>
      <c r="AH858" s="0" t="s">
        <v>56</v>
      </c>
      <c r="AI858" s="0" t="s">
        <v>78</v>
      </c>
      <c r="AJ858" s="0" t="str">
        <f aca="false">PROPER(AI858)</f>
        <v>Booking</v>
      </c>
      <c r="AK858" s="0" t="s">
        <v>58</v>
      </c>
      <c r="AL858" s="0" t="str">
        <f aca="false">PROPER(AK858)</f>
        <v>Fleet Owner</v>
      </c>
      <c r="AN858" s="0" t="str">
        <f aca="false">IF(ISBLANK(AM858),"Unknown",AM858)</f>
        <v>Unknown</v>
      </c>
      <c r="AO858" s="0" t="s">
        <v>149</v>
      </c>
      <c r="AP858" s="0" t="str">
        <f aca="false">IF(ISBLANK(AO858),"Unknown",AO858)</f>
        <v>Senior </v>
      </c>
      <c r="AQ858" s="0" t="n">
        <v>40000</v>
      </c>
      <c r="AR858" s="5" t="n">
        <f aca="false">IF(ISBLANK(AQ858),AVERAGEIF(M858:M1857,M858,AQ858:AQ1857),AQ858)</f>
        <v>40000</v>
      </c>
      <c r="AT858" s="5" t="n">
        <f aca="false">IF(ISBLANK(AS858),AVERAGE(AS858:AS1857),AS858)</f>
        <v>31451.6129032258</v>
      </c>
      <c r="AU858" s="0" t="s">
        <v>82</v>
      </c>
      <c r="AV858" s="0" t="str">
        <f aca="false">PROPER(IF(ISBLANK(AU858),"No",AU858))</f>
        <v>Yes</v>
      </c>
      <c r="AW858" s="0" t="n">
        <v>0</v>
      </c>
      <c r="AX858" s="5" t="n">
        <f aca="false">IF(ISBLANK(AW858),0,AW858)</f>
        <v>0</v>
      </c>
      <c r="AZ858" s="0" t="str">
        <f aca="false">UPPER(IF(ISBLANK(AY858),"NONE",AY858))</f>
        <v>NONE</v>
      </c>
      <c r="BB858" s="7" t="str">
        <f aca="false">IF(ISBLANK(BA858),"No Follow Up Needed",BA858)</f>
        <v>No Follow Up Needed</v>
      </c>
      <c r="BC858" s="0" t="s">
        <v>82</v>
      </c>
      <c r="BD858" s="0" t="str">
        <f aca="false">PROPER(IF(ISBLANK(BC858),"Unknown",BC858))</f>
        <v>Yes</v>
      </c>
      <c r="BF858" s="0" t="str">
        <f aca="false">IF(ISBLANK(BE858),"No comments",BE858)</f>
        <v>No comments</v>
      </c>
      <c r="BG858" s="0" t="s">
        <v>172</v>
      </c>
      <c r="BH858" s="0" t="str">
        <f aca="false">IF(ISBLANK(BG858),"No comments",BG858)</f>
        <v>Always late</v>
      </c>
      <c r="BI858" s="0" t="s">
        <v>63</v>
      </c>
      <c r="BJ858" s="0" t="str">
        <f aca="false">IF(ISBLANK(BI858),"Not Mentioned",BI858)</f>
        <v>Yes</v>
      </c>
      <c r="BK858" s="0" t="s">
        <v>82</v>
      </c>
      <c r="BL858" s="0" t="str">
        <f aca="false">PROPER(IF(ISBLANK(BK858),"Not Mentioned",BK858))</f>
        <v>Yes</v>
      </c>
      <c r="BM858" s="0" t="s">
        <v>50</v>
      </c>
      <c r="BN858" s="0" t="str">
        <f aca="false">PROPER(IF(ISBLANK(BM858),"Not Mentioned",BM858))</f>
        <v>No</v>
      </c>
      <c r="BO858" s="0" t="s">
        <v>2318</v>
      </c>
      <c r="BP858" s="0" t="str">
        <f aca="false">IF(ISBLANK(BO858),"One-Time Plan",BO858)</f>
        <v>Gold</v>
      </c>
      <c r="BQ858" s="0" t="s">
        <v>63</v>
      </c>
      <c r="BR858" s="0" t="str">
        <f aca="false">PROPER(IF(ISBLANK(BQ858),"No",BQ858))</f>
        <v>Yes</v>
      </c>
    </row>
    <row r="859" customFormat="false" ht="15" hidden="false" customHeight="false" outlineLevel="0" collapsed="false">
      <c r="A859" s="0" t="s">
        <v>2000</v>
      </c>
      <c r="B859" s="2" t="n">
        <v>45675</v>
      </c>
      <c r="C859" s="2" t="str">
        <f aca="false">TEXT(B859,"dd/mm/yyyy")</f>
        <v>18/01/2025</v>
      </c>
      <c r="D859" s="0" t="s">
        <v>121</v>
      </c>
      <c r="E859" s="0" t="n">
        <v>8036969824</v>
      </c>
      <c r="F859" s="0" t="s">
        <v>43</v>
      </c>
      <c r="G859" s="0" t="s">
        <v>2315</v>
      </c>
      <c r="H859" s="0" t="s">
        <v>2001</v>
      </c>
      <c r="I859" s="0" t="s">
        <v>45</v>
      </c>
      <c r="J859" s="0" t="s">
        <v>2317</v>
      </c>
      <c r="K859" s="3" t="str">
        <f aca="false" t="array" ref="K859:K859">IFERROR(IF(J859&lt;&gt;"",J859,INDEX(J859:J1858,MATCH(1,(F859:F1858=F859)*(I859:I1858=I859)*(L859:L1858=L859)*(J859:J1858&lt;&gt;""),0))),"Not Found")</f>
        <v>Suspension Noise</v>
      </c>
      <c r="L859" s="3" t="s">
        <v>142</v>
      </c>
      <c r="M859" s="0" t="str">
        <f aca="false">PROPER(L859)</f>
        <v>Oil Filter, Brake Pads</v>
      </c>
      <c r="N859" s="3" t="s">
        <v>109</v>
      </c>
      <c r="O859" s="0" t="str">
        <f aca="false" t="array" ref="O859:O859">IF(N859&lt;&gt;"",N859,_xlfn.xlookup(1,(L859:L1858=L859)*(N859:N1858&lt;&gt;""),N859:N1858,"Not Found"))</f>
        <v>Tijani</v>
      </c>
      <c r="P859" s="4" t="n">
        <v>44083</v>
      </c>
      <c r="Q859" s="0" t="s">
        <v>166</v>
      </c>
      <c r="R859" s="0" t="str">
        <f aca="false">PROPER(Q859)</f>
        <v>Transfer</v>
      </c>
      <c r="S859" s="0" t="s">
        <v>63</v>
      </c>
      <c r="T859" s="0" t="n">
        <v>5</v>
      </c>
      <c r="U859" s="5" t="n">
        <f aca="false">IF(ISBLANK(T859),AVERAGE(T859:T1858),T859)</f>
        <v>5</v>
      </c>
      <c r="V859" s="0" t="n">
        <v>3.6</v>
      </c>
      <c r="W859" s="0" t="s">
        <v>51</v>
      </c>
      <c r="X859" s="0" t="str">
        <f aca="false">IF(ISBLANK(W859),"No remarks",W859)</f>
        <v>Recommended further checks</v>
      </c>
      <c r="Y859" s="0" t="s">
        <v>93</v>
      </c>
      <c r="Z859" s="0" t="s">
        <v>53</v>
      </c>
      <c r="AA859" s="0" t="str">
        <f aca="false">PROPER(IF(ISBLANK(Z859),"Location Unavailable",Z859))</f>
        <v>Main Bay</v>
      </c>
      <c r="AB859" s="0" t="s">
        <v>95</v>
      </c>
      <c r="AC859" s="6" t="str">
        <f aca="false">PROPER(AB859)</f>
        <v>Road Sign</v>
      </c>
      <c r="AD859" s="6" t="n">
        <v>15</v>
      </c>
      <c r="AE859" s="5" t="n">
        <f aca="false">IF(ISBLANK(AD859),AVERAGEIF(L859:L1858,L859,AD859:AD1858),AD859)</f>
        <v>15</v>
      </c>
      <c r="AF859" s="0" t="s">
        <v>96</v>
      </c>
      <c r="AG859" s="0" t="str">
        <f aca="false">PROPER(AF859)</f>
        <v>Ordered</v>
      </c>
      <c r="AH859" s="0" t="s">
        <v>77</v>
      </c>
      <c r="AI859" s="0" t="s">
        <v>98</v>
      </c>
      <c r="AJ859" s="0" t="str">
        <f aca="false">PROPER(AI859)</f>
        <v>Emergency</v>
      </c>
      <c r="AK859" s="0" t="s">
        <v>196</v>
      </c>
      <c r="AL859" s="0" t="str">
        <f aca="false">PROPER(AK859)</f>
        <v>First Time</v>
      </c>
      <c r="AM859" s="0" t="s">
        <v>2326</v>
      </c>
      <c r="AN859" s="0" t="str">
        <f aca="false">IF(ISBLANK(AM859),"Unknown",AM859)</f>
        <v>Government Convoy</v>
      </c>
      <c r="AO859" s="0" t="s">
        <v>79</v>
      </c>
      <c r="AP859" s="0" t="str">
        <f aca="false">IF(ISBLANK(AO859),"Unknown",AO859)</f>
        <v>Specialist</v>
      </c>
      <c r="AQ859" s="0" t="n">
        <v>20000</v>
      </c>
      <c r="AR859" s="5" t="n">
        <f aca="false">IF(ISBLANK(AQ859),AVERAGEIF(M859:M1858,M859,AQ859:AQ1858),AQ859)</f>
        <v>20000</v>
      </c>
      <c r="AS859" s="0" t="n">
        <v>35000</v>
      </c>
      <c r="AT859" s="5" t="n">
        <f aca="false">IF(ISBLANK(AS859),AVERAGE(AS859:AS1858),AS859)</f>
        <v>35000</v>
      </c>
      <c r="AU859" s="0" t="s">
        <v>61</v>
      </c>
      <c r="AV859" s="0" t="str">
        <f aca="false">PROPER(IF(ISBLANK(AU859),"No",AU859))</f>
        <v>No</v>
      </c>
      <c r="AX859" s="5" t="n">
        <f aca="false">IF(ISBLANK(AW859),0,AW859)</f>
        <v>0</v>
      </c>
      <c r="AY859" s="0" t="s">
        <v>60</v>
      </c>
      <c r="AZ859" s="0" t="str">
        <f aca="false">UPPER(IF(ISBLANK(AY859),"NONE",AY859))</f>
        <v>NONE</v>
      </c>
      <c r="BA859" s="7" t="n">
        <v>45973</v>
      </c>
      <c r="BB859" s="7" t="n">
        <f aca="false">IF(ISBLANK(BA859),"No Follow Up Needed",BA859)</f>
        <v>45973</v>
      </c>
      <c r="BC859" s="0" t="s">
        <v>63</v>
      </c>
      <c r="BD859" s="0" t="str">
        <f aca="false">PROPER(IF(ISBLANK(BC859),"Unknown",BC859))</f>
        <v>Yes</v>
      </c>
      <c r="BE859" s="0" t="s">
        <v>171</v>
      </c>
      <c r="BF859" s="0" t="str">
        <f aca="false">IF(ISBLANK(BE859),"No comments",BE859)</f>
        <v>Shock absorber weakening</v>
      </c>
      <c r="BG859" s="0" t="s">
        <v>2320</v>
      </c>
      <c r="BH859" s="0" t="str">
        <f aca="false">IF(ISBLANK(BG859),"No comments",BG859)</f>
        <v>No complaints</v>
      </c>
      <c r="BI859" s="0" t="s">
        <v>50</v>
      </c>
      <c r="BJ859" s="0" t="str">
        <f aca="false">IF(ISBLANK(BI859),"Not Mentioned",BI859)</f>
        <v>No</v>
      </c>
      <c r="BK859" s="0" t="s">
        <v>61</v>
      </c>
      <c r="BL859" s="0" t="str">
        <f aca="false">PROPER(IF(ISBLANK(BK859),"Not Mentioned",BK859))</f>
        <v>No</v>
      </c>
      <c r="BN859" s="0" t="str">
        <f aca="false">PROPER(IF(ISBLANK(BM859),"Not Mentioned",BM859))</f>
        <v>Not Mentioned</v>
      </c>
      <c r="BO859" s="0" t="s">
        <v>2321</v>
      </c>
      <c r="BP859" s="0" t="str">
        <f aca="false">IF(ISBLANK(BO859),"One-Time Plan",BO859)</f>
        <v>One-Time Plan</v>
      </c>
      <c r="BQ859" s="0" t="s">
        <v>50</v>
      </c>
      <c r="BR859" s="0" t="str">
        <f aca="false">PROPER(IF(ISBLANK(BQ859),"No",BQ859))</f>
        <v>No</v>
      </c>
    </row>
    <row r="860" customFormat="false" ht="15" hidden="false" customHeight="false" outlineLevel="0" collapsed="false">
      <c r="A860" s="0" t="s">
        <v>2002</v>
      </c>
      <c r="B860" s="2" t="n">
        <v>45813</v>
      </c>
      <c r="C860" s="2" t="str">
        <f aca="false">TEXT(B860,"dd/mm/yyyy")</f>
        <v>05/06/2025</v>
      </c>
      <c r="D860" s="0" t="s">
        <v>42</v>
      </c>
      <c r="E860" s="0" t="n">
        <v>8017916438</v>
      </c>
      <c r="F860" s="0" t="s">
        <v>122</v>
      </c>
      <c r="G860" s="0" t="s">
        <v>2316</v>
      </c>
      <c r="H860" s="0" t="s">
        <v>2003</v>
      </c>
      <c r="I860" s="0" t="s">
        <v>107</v>
      </c>
      <c r="J860" s="0" t="s">
        <v>2322</v>
      </c>
      <c r="K860" s="3" t="str">
        <f aca="false" t="array" ref="K860:K860">IFERROR(IF(J860&lt;&gt;"",J860,INDEX(J860:J1859,MATCH(1,(F860:F1859=F860)*(I860:I1859=I860)*(L860:L1859=L860)*(J860:J1859&lt;&gt;""),0))),"Not Found")</f>
        <v>Brake Failure</v>
      </c>
      <c r="L860" s="3" t="s">
        <v>142</v>
      </c>
      <c r="M860" s="0" t="str">
        <f aca="false">PROPER(L860)</f>
        <v>Oil Filter, Brake Pads</v>
      </c>
      <c r="N860" s="3" t="s">
        <v>90</v>
      </c>
      <c r="O860" s="0" t="str">
        <f aca="false" t="array" ref="O860:O860">IF(N860&lt;&gt;"",N860,_xlfn.xlookup(1,(L860:L1859=L860)*(N860:N1859&lt;&gt;""),N860:N1859,"Not Found"))</f>
        <v>Musa</v>
      </c>
      <c r="P860" s="4" t="n">
        <v>49860</v>
      </c>
      <c r="Q860" s="0" t="s">
        <v>72</v>
      </c>
      <c r="R860" s="0" t="str">
        <f aca="false">PROPER(Q860)</f>
        <v>Pos</v>
      </c>
      <c r="S860" s="0" t="s">
        <v>63</v>
      </c>
      <c r="T860" s="0" t="n">
        <v>2</v>
      </c>
      <c r="U860" s="5" t="n">
        <f aca="false">IF(ISBLANK(T860),AVERAGE(T860:T1859),T860)</f>
        <v>2</v>
      </c>
      <c r="V860" s="0" t="n">
        <v>3.9</v>
      </c>
      <c r="X860" s="0" t="str">
        <f aca="false">IF(ISBLANK(W860),"No remarks",W860)</f>
        <v>No remarks</v>
      </c>
      <c r="Y860" s="0" t="s">
        <v>73</v>
      </c>
      <c r="Z860" s="0" t="s">
        <v>136</v>
      </c>
      <c r="AA860" s="0" t="str">
        <f aca="false">PROPER(IF(ISBLANK(Z860),"Location Unavailable",Z860))</f>
        <v>Vip Section</v>
      </c>
      <c r="AB860" s="0" t="s">
        <v>54</v>
      </c>
      <c r="AC860" s="6" t="str">
        <f aca="false">PROPER(AB860)</f>
        <v>Mechanic Referral</v>
      </c>
      <c r="AD860" s="6" t="n">
        <v>30</v>
      </c>
      <c r="AE860" s="5" t="n">
        <f aca="false">IF(ISBLANK(AD860),AVERAGEIF(L860:L1859,L860,AD860:AD1859),AD860)</f>
        <v>30</v>
      </c>
      <c r="AF860" s="0" t="s">
        <v>76</v>
      </c>
      <c r="AG860" s="0" t="str">
        <f aca="false">PROPER(AF860)</f>
        <v>Orderd</v>
      </c>
      <c r="AH860" s="0" t="s">
        <v>155</v>
      </c>
      <c r="AI860" s="0" t="s">
        <v>98</v>
      </c>
      <c r="AJ860" s="0" t="str">
        <f aca="false">PROPER(AI860)</f>
        <v>Emergency</v>
      </c>
      <c r="AK860" s="0" t="s">
        <v>114</v>
      </c>
      <c r="AL860" s="0" t="str">
        <f aca="false">PROPER(AK860)</f>
        <v>Returning</v>
      </c>
      <c r="AM860" s="0" t="s">
        <v>2324</v>
      </c>
      <c r="AN860" s="0" t="str">
        <f aca="false">IF(ISBLANK(AM860),"Unknown",AM860)</f>
        <v>Logistics Convoy</v>
      </c>
      <c r="AO860" s="0" t="s">
        <v>143</v>
      </c>
      <c r="AP860" s="0" t="str">
        <f aca="false">IF(ISBLANK(AO860),"Unknown",AO860)</f>
        <v>Senior</v>
      </c>
      <c r="AQ860" s="0" t="n">
        <v>20000</v>
      </c>
      <c r="AR860" s="5" t="n">
        <f aca="false">IF(ISBLANK(AQ860),AVERAGEIF(M860:M1859,M860,AQ860:AQ1859),AQ860)</f>
        <v>20000</v>
      </c>
      <c r="AS860" s="0" t="n">
        <v>30000</v>
      </c>
      <c r="AT860" s="5" t="n">
        <f aca="false">IF(ISBLANK(AS860),AVERAGE(AS860:AS1859),AS860)</f>
        <v>30000</v>
      </c>
      <c r="AU860" s="0" t="s">
        <v>61</v>
      </c>
      <c r="AV860" s="0" t="str">
        <f aca="false">PROPER(IF(ISBLANK(AU860),"No",AU860))</f>
        <v>No</v>
      </c>
      <c r="AW860" s="0" t="n">
        <v>10000</v>
      </c>
      <c r="AX860" s="5" t="n">
        <f aca="false">IF(ISBLANK(AW860),0,AW860)</f>
        <v>10000</v>
      </c>
      <c r="AY860" s="0" t="s">
        <v>60</v>
      </c>
      <c r="AZ860" s="0" t="str">
        <f aca="false">UPPER(IF(ISBLANK(AY860),"NONE",AY860))</f>
        <v>NONE</v>
      </c>
      <c r="BA860" s="7" t="n">
        <v>46021</v>
      </c>
      <c r="BB860" s="7" t="n">
        <f aca="false">IF(ISBLANK(BA860),"No Follow Up Needed",BA860)</f>
        <v>46021</v>
      </c>
      <c r="BC860" s="0" t="s">
        <v>63</v>
      </c>
      <c r="BD860" s="0" t="str">
        <f aca="false">PROPER(IF(ISBLANK(BC860),"Unknown",BC860))</f>
        <v>Yes</v>
      </c>
      <c r="BF860" s="0" t="str">
        <f aca="false">IF(ISBLANK(BE860),"No comments",BE860)</f>
        <v>No comments</v>
      </c>
      <c r="BG860" s="0" t="s">
        <v>2320</v>
      </c>
      <c r="BH860" s="0" t="str">
        <f aca="false">IF(ISBLANK(BG860),"No comments",BG860)</f>
        <v>No complaints</v>
      </c>
      <c r="BI860" s="0" t="s">
        <v>63</v>
      </c>
      <c r="BJ860" s="0" t="str">
        <f aca="false">IF(ISBLANK(BI860),"Not Mentioned",BI860)</f>
        <v>Yes</v>
      </c>
      <c r="BK860" s="0" t="s">
        <v>82</v>
      </c>
      <c r="BL860" s="0" t="str">
        <f aca="false">PROPER(IF(ISBLANK(BK860),"Not Mentioned",BK860))</f>
        <v>Yes</v>
      </c>
      <c r="BM860" s="0" t="s">
        <v>63</v>
      </c>
      <c r="BN860" s="0" t="str">
        <f aca="false">PROPER(IF(ISBLANK(BM860),"Not Mentioned",BM860))</f>
        <v>Yes</v>
      </c>
      <c r="BO860" s="0" t="s">
        <v>2318</v>
      </c>
      <c r="BP860" s="0" t="str">
        <f aca="false">IF(ISBLANK(BO860),"One-Time Plan",BO860)</f>
        <v>Gold</v>
      </c>
      <c r="BR860" s="0" t="str">
        <f aca="false">PROPER(IF(ISBLANK(BQ860),"No",BQ860))</f>
        <v>No</v>
      </c>
    </row>
    <row r="861" customFormat="false" ht="15" hidden="false" customHeight="false" outlineLevel="0" collapsed="false">
      <c r="A861" s="0" t="s">
        <v>2004</v>
      </c>
      <c r="B861" s="2" t="n">
        <v>45770</v>
      </c>
      <c r="C861" s="2" t="str">
        <f aca="false">TEXT(B861,"dd/mm/yyyy")</f>
        <v>23/04/2025</v>
      </c>
      <c r="D861" s="0" t="s">
        <v>66</v>
      </c>
      <c r="E861" s="0" t="n">
        <v>8034525524</v>
      </c>
      <c r="F861" s="0" t="s">
        <v>43</v>
      </c>
      <c r="G861" s="0" t="s">
        <v>2315</v>
      </c>
      <c r="H861" s="0" t="s">
        <v>309</v>
      </c>
      <c r="I861" s="0" t="s">
        <v>45</v>
      </c>
      <c r="J861" s="0" t="s">
        <v>2322</v>
      </c>
      <c r="K861" s="3" t="str">
        <f aca="false" t="array" ref="K861:K861">IFERROR(IF(J861&lt;&gt;"",J861,INDEX(J861:J1860,MATCH(1,(F861:F1860=F861)*(I861:I1860=I861)*(L861:L1860=L861)*(J861:J1860&lt;&gt;""),0))),"Not Found")</f>
        <v>Brake Failure</v>
      </c>
      <c r="L861" s="3" t="s">
        <v>47</v>
      </c>
      <c r="M861" s="0" t="str">
        <f aca="false">PROPER(L861)</f>
        <v>None</v>
      </c>
      <c r="N861" s="3" t="s">
        <v>71</v>
      </c>
      <c r="O861" s="0" t="str">
        <f aca="false" t="array" ref="O861:O861">IF(N861&lt;&gt;"",N861,_xlfn.xlookup(1,(L861:L1860=L861)*(N861:N1860&lt;&gt;""),N861:N1860,"Not Found"))</f>
        <v>Isaac Bobo</v>
      </c>
      <c r="P861" s="4" t="n">
        <v>80137</v>
      </c>
      <c r="Q861" s="0" t="s">
        <v>124</v>
      </c>
      <c r="R861" s="0" t="str">
        <f aca="false">PROPER(Q861)</f>
        <v>Cash</v>
      </c>
      <c r="S861" s="0" t="s">
        <v>50</v>
      </c>
      <c r="T861" s="0" t="n">
        <v>2</v>
      </c>
      <c r="U861" s="5" t="n">
        <f aca="false">IF(ISBLANK(T861),AVERAGE(T861:T1860),T861)</f>
        <v>2</v>
      </c>
      <c r="V861" s="0" t="n">
        <v>4.9</v>
      </c>
      <c r="W861" s="0" t="s">
        <v>111</v>
      </c>
      <c r="X861" s="0" t="str">
        <f aca="false">IF(ISBLANK(W861),"No remarks",W861)</f>
        <v>Changed all filters</v>
      </c>
      <c r="Y861" s="0" t="s">
        <v>93</v>
      </c>
      <c r="Z861" s="0" t="s">
        <v>94</v>
      </c>
      <c r="AA861" s="0" t="str">
        <f aca="false">PROPER(IF(ISBLANK(Z861),"Location Unavailable",Z861))</f>
        <v>Vip Section</v>
      </c>
      <c r="AB861" s="0" t="s">
        <v>167</v>
      </c>
      <c r="AC861" s="6" t="str">
        <f aca="false">PROPER(AB861)</f>
        <v>Word Of Mouth</v>
      </c>
      <c r="AD861" s="6" t="n">
        <v>15</v>
      </c>
      <c r="AE861" s="5" t="n">
        <f aca="false">IF(ISBLANK(AD861),AVERAGEIF(L861:L1860,L861,AD861:AD1860),AD861)</f>
        <v>15</v>
      </c>
      <c r="AF861" s="0" t="s">
        <v>96</v>
      </c>
      <c r="AG861" s="0" t="str">
        <f aca="false">PROPER(AF861)</f>
        <v>Ordered</v>
      </c>
      <c r="AH861" s="0" t="s">
        <v>155</v>
      </c>
      <c r="AI861" s="0" t="s">
        <v>98</v>
      </c>
      <c r="AJ861" s="0" t="str">
        <f aca="false">PROPER(AI861)</f>
        <v>Emergency</v>
      </c>
      <c r="AK861" s="0" t="s">
        <v>196</v>
      </c>
      <c r="AL861" s="0" t="str">
        <f aca="false">PROPER(AK861)</f>
        <v>First Time</v>
      </c>
      <c r="AM861" s="0" t="s">
        <v>2326</v>
      </c>
      <c r="AN861" s="0" t="str">
        <f aca="false">IF(ISBLANK(AM861),"Unknown",AM861)</f>
        <v>Government Convoy</v>
      </c>
      <c r="AO861" s="0" t="s">
        <v>149</v>
      </c>
      <c r="AP861" s="0" t="str">
        <f aca="false">IF(ISBLANK(AO861),"Unknown",AO861)</f>
        <v>Senior </v>
      </c>
      <c r="AR861" s="5" t="n">
        <f aca="false">IF(ISBLANK(AQ861),AVERAGEIF(M861:M1860,M861,AQ861:AQ1860),AQ861)</f>
        <v>26315.7894736842</v>
      </c>
      <c r="AS861" s="0" t="n">
        <v>40000</v>
      </c>
      <c r="AT861" s="5" t="n">
        <f aca="false">IF(ISBLANK(AS861),AVERAGE(AS861:AS1860),AS861)</f>
        <v>40000</v>
      </c>
      <c r="AU861" s="0" t="s">
        <v>63</v>
      </c>
      <c r="AV861" s="0" t="str">
        <f aca="false">PROPER(IF(ISBLANK(AU861),"No",AU861))</f>
        <v>Yes</v>
      </c>
      <c r="AW861" s="0" t="n">
        <v>5000</v>
      </c>
      <c r="AX861" s="5" t="n">
        <f aca="false">IF(ISBLANK(AW861),0,AW861)</f>
        <v>5000</v>
      </c>
      <c r="AY861" s="0" t="s">
        <v>60</v>
      </c>
      <c r="AZ861" s="0" t="str">
        <f aca="false">UPPER(IF(ISBLANK(AY861),"NONE",AY861))</f>
        <v>NONE</v>
      </c>
      <c r="BA861" s="7" t="n">
        <v>45994</v>
      </c>
      <c r="BB861" s="7" t="n">
        <f aca="false">IF(ISBLANK(BA861),"No Follow Up Needed",BA861)</f>
        <v>45994</v>
      </c>
      <c r="BC861" s="0" t="s">
        <v>61</v>
      </c>
      <c r="BD861" s="0" t="str">
        <f aca="false">PROPER(IF(ISBLANK(BC861),"Unknown",BC861))</f>
        <v>No</v>
      </c>
      <c r="BF861" s="0" t="str">
        <f aca="false">IF(ISBLANK(BE861),"No comments",BE861)</f>
        <v>No comments</v>
      </c>
      <c r="BG861" s="0" t="s">
        <v>117</v>
      </c>
      <c r="BH861" s="0" t="str">
        <f aca="false">IF(ISBLANK(BG861),"No comments",BG861)</f>
        <v>Prefers morning</v>
      </c>
      <c r="BI861" s="0" t="s">
        <v>63</v>
      </c>
      <c r="BJ861" s="0" t="str">
        <f aca="false">IF(ISBLANK(BI861),"Not Mentioned",BI861)</f>
        <v>Yes</v>
      </c>
      <c r="BK861" s="0" t="s">
        <v>82</v>
      </c>
      <c r="BL861" s="0" t="str">
        <f aca="false">PROPER(IF(ISBLANK(BK861),"Not Mentioned",BK861))</f>
        <v>Yes</v>
      </c>
      <c r="BM861" s="0" t="s">
        <v>50</v>
      </c>
      <c r="BN861" s="0" t="str">
        <f aca="false">PROPER(IF(ISBLANK(BM861),"Not Mentioned",BM861))</f>
        <v>No</v>
      </c>
      <c r="BP861" s="0" t="str">
        <f aca="false">IF(ISBLANK(BO861),"One-Time Plan",BO861)</f>
        <v>One-Time Plan</v>
      </c>
      <c r="BQ861" s="0" t="s">
        <v>190</v>
      </c>
      <c r="BR861" s="0" t="str">
        <f aca="false">PROPER(IF(ISBLANK(BQ861),"No",BQ861))</f>
        <v>Yes</v>
      </c>
    </row>
    <row r="862" customFormat="false" ht="15" hidden="false" customHeight="false" outlineLevel="0" collapsed="false">
      <c r="A862" s="0" t="s">
        <v>2005</v>
      </c>
      <c r="B862" s="2" t="n">
        <v>45760</v>
      </c>
      <c r="C862" s="2" t="str">
        <f aca="false">TEXT(B862,"dd/mm/yyyy")</f>
        <v>13/04/2025</v>
      </c>
      <c r="D862" s="0" t="s">
        <v>163</v>
      </c>
      <c r="E862" s="0" t="n">
        <v>8035754346</v>
      </c>
      <c r="F862" s="0" t="s">
        <v>122</v>
      </c>
      <c r="G862" s="0" t="s">
        <v>2316</v>
      </c>
      <c r="H862" s="0" t="s">
        <v>457</v>
      </c>
      <c r="I862" s="0" t="s">
        <v>134</v>
      </c>
      <c r="J862" s="0" t="s">
        <v>2322</v>
      </c>
      <c r="K862" s="3" t="str">
        <f aca="false" t="array" ref="K862:K862">IFERROR(IF(J862&lt;&gt;"",J862,INDEX(J862:J1861,MATCH(1,(F862:F1861=F862)*(I862:I1861=I862)*(L862:L1861=L862)*(J862:J1861&lt;&gt;""),0))),"Not Found")</f>
        <v>Brake Failure</v>
      </c>
      <c r="L862" s="3" t="s">
        <v>142</v>
      </c>
      <c r="M862" s="0" t="str">
        <f aca="false">PROPER(L862)</f>
        <v>Oil Filter, Brake Pads</v>
      </c>
      <c r="N862" s="3" t="s">
        <v>48</v>
      </c>
      <c r="O862" s="0" t="str">
        <f aca="false" t="array" ref="O862:O862">IF(N862&lt;&gt;"",N862,_xlfn.xlookup(1,(L862:L1861=L862)*(N862:N1861&lt;&gt;""),N862:N1861,"Not Found"))</f>
        <v>Uche</v>
      </c>
      <c r="P862" s="4" t="n">
        <v>28119</v>
      </c>
      <c r="Q862" s="0" t="s">
        <v>49</v>
      </c>
      <c r="R862" s="0" t="str">
        <f aca="false">PROPER(Q862)</f>
        <v>Transfer</v>
      </c>
      <c r="S862" s="0" t="s">
        <v>63</v>
      </c>
      <c r="T862" s="0" t="n">
        <v>2</v>
      </c>
      <c r="U862" s="5" t="n">
        <f aca="false">IF(ISBLANK(T862),AVERAGE(T862:T1861),T862)</f>
        <v>2</v>
      </c>
      <c r="V862" s="0" t="n">
        <v>6</v>
      </c>
      <c r="W862" s="0" t="s">
        <v>92</v>
      </c>
      <c r="X862" s="0" t="str">
        <f aca="false">IF(ISBLANK(W862),"No remarks",W862)</f>
        <v>Urgent service</v>
      </c>
      <c r="Y862" s="0" t="s">
        <v>52</v>
      </c>
      <c r="Z862" s="0" t="s">
        <v>74</v>
      </c>
      <c r="AA862" s="0" t="str">
        <f aca="false">PROPER(IF(ISBLANK(Z862),"Location Unavailable",Z862))</f>
        <v>Under Tree</v>
      </c>
      <c r="AB862" s="0" t="s">
        <v>54</v>
      </c>
      <c r="AC862" s="6" t="str">
        <f aca="false">PROPER(AB862)</f>
        <v>Mechanic Referral</v>
      </c>
      <c r="AD862" s="6" t="n">
        <v>45</v>
      </c>
      <c r="AE862" s="5" t="n">
        <f aca="false">IF(ISBLANK(AD862),AVERAGEIF(L862:L1861,L862,AD862:AD1861),AD862)</f>
        <v>45</v>
      </c>
      <c r="AF862" s="0" t="s">
        <v>112</v>
      </c>
      <c r="AG862" s="0" t="str">
        <f aca="false">PROPER(AF862)</f>
        <v>Unavailable</v>
      </c>
      <c r="AH862" s="0" t="s">
        <v>56</v>
      </c>
      <c r="AI862" s="0" t="s">
        <v>128</v>
      </c>
      <c r="AJ862" s="0" t="str">
        <f aca="false">PROPER(AI862)</f>
        <v>Normal</v>
      </c>
      <c r="AK862" s="0" t="s">
        <v>58</v>
      </c>
      <c r="AL862" s="0" t="str">
        <f aca="false">PROPER(AK862)</f>
        <v>Fleet Owner</v>
      </c>
      <c r="AM862" s="0" t="s">
        <v>59</v>
      </c>
      <c r="AN862" s="0" t="str">
        <f aca="false">IF(ISBLANK(AM862),"Unknown",AM862)</f>
        <v>Bolt Driver</v>
      </c>
      <c r="AO862" s="0" t="s">
        <v>79</v>
      </c>
      <c r="AP862" s="0" t="str">
        <f aca="false">IF(ISBLANK(AO862),"Unknown",AO862)</f>
        <v>Specialist</v>
      </c>
      <c r="AQ862" s="0" t="n">
        <v>25000</v>
      </c>
      <c r="AR862" s="5" t="n">
        <f aca="false">IF(ISBLANK(AQ862),AVERAGEIF(M862:M1861,M862,AQ862:AQ1861),AQ862)</f>
        <v>25000</v>
      </c>
      <c r="AS862" s="0" t="n">
        <v>35000</v>
      </c>
      <c r="AT862" s="5" t="n">
        <f aca="false">IF(ISBLANK(AS862),AVERAGE(AS862:AS1861),AS862)</f>
        <v>35000</v>
      </c>
      <c r="AU862" s="0" t="s">
        <v>63</v>
      </c>
      <c r="AV862" s="0" t="str">
        <f aca="false">PROPER(IF(ISBLANK(AU862),"No",AU862))</f>
        <v>Yes</v>
      </c>
      <c r="AW862" s="0" t="n">
        <v>10000</v>
      </c>
      <c r="AX862" s="5" t="n">
        <f aca="false">IF(ISBLANK(AW862),0,AW862)</f>
        <v>10000</v>
      </c>
      <c r="AY862" s="0" t="s">
        <v>184</v>
      </c>
      <c r="AZ862" s="0" t="str">
        <f aca="false">UPPER(IF(ISBLANK(AY862),"NONE",AY862))</f>
        <v>N/A</v>
      </c>
      <c r="BA862" s="7" t="n">
        <v>45846</v>
      </c>
      <c r="BB862" s="7" t="n">
        <f aca="false">IF(ISBLANK(BA862),"No Follow Up Needed",BA862)</f>
        <v>45846</v>
      </c>
      <c r="BC862" s="0" t="s">
        <v>82</v>
      </c>
      <c r="BD862" s="0" t="str">
        <f aca="false">PROPER(IF(ISBLANK(BC862),"Unknown",BC862))</f>
        <v>Yes</v>
      </c>
      <c r="BF862" s="0" t="str">
        <f aca="false">IF(ISBLANK(BE862),"No comments",BE862)</f>
        <v>No comments</v>
      </c>
      <c r="BH862" s="0" t="str">
        <f aca="false">IF(ISBLANK(BG862),"No comments",BG862)</f>
        <v>No comments</v>
      </c>
      <c r="BI862" s="0" t="s">
        <v>63</v>
      </c>
      <c r="BJ862" s="0" t="str">
        <f aca="false">IF(ISBLANK(BI862),"Not Mentioned",BI862)</f>
        <v>Yes</v>
      </c>
      <c r="BK862" s="0" t="s">
        <v>63</v>
      </c>
      <c r="BL862" s="0" t="str">
        <f aca="false">PROPER(IF(ISBLANK(BK862),"Not Mentioned",BK862))</f>
        <v>Yes</v>
      </c>
      <c r="BN862" s="0" t="str">
        <f aca="false">PROPER(IF(ISBLANK(BM862),"Not Mentioned",BM862))</f>
        <v>Not Mentioned</v>
      </c>
      <c r="BO862" s="0" t="s">
        <v>2321</v>
      </c>
      <c r="BP862" s="0" t="str">
        <f aca="false">IF(ISBLANK(BO862),"One-Time Plan",BO862)</f>
        <v>One-Time Plan</v>
      </c>
      <c r="BQ862" s="0" t="s">
        <v>63</v>
      </c>
      <c r="BR862" s="0" t="str">
        <f aca="false">PROPER(IF(ISBLANK(BQ862),"No",BQ862))</f>
        <v>Yes</v>
      </c>
    </row>
    <row r="863" customFormat="false" ht="15" hidden="false" customHeight="false" outlineLevel="0" collapsed="false">
      <c r="A863" s="0" t="s">
        <v>2006</v>
      </c>
      <c r="B863" s="2" t="n">
        <v>45809</v>
      </c>
      <c r="C863" s="2" t="str">
        <f aca="false">TEXT(B863,"dd/mm/yyyy")</f>
        <v>01/06/2025</v>
      </c>
      <c r="D863" s="0" t="s">
        <v>163</v>
      </c>
      <c r="E863" s="0" t="n">
        <v>8044809624</v>
      </c>
      <c r="F863" s="0" t="s">
        <v>122</v>
      </c>
      <c r="G863" s="0" t="s">
        <v>2316</v>
      </c>
      <c r="H863" s="0" t="s">
        <v>2007</v>
      </c>
      <c r="I863" s="0" t="s">
        <v>45</v>
      </c>
      <c r="J863" s="0" t="s">
        <v>87</v>
      </c>
      <c r="K863" s="3" t="str">
        <f aca="false" t="array" ref="K863:K863">IFERROR(IF(J863&lt;&gt;"",J863,INDEX(J863:J1862,MATCH(1,(F863:F1862=F863)*(I863:I1862=I863)*(L863:L1862=L863)*(J863:J1862&lt;&gt;""),0))),"Not Found")</f>
        <v>Oil Change</v>
      </c>
      <c r="L863" s="3" t="s">
        <v>142</v>
      </c>
      <c r="M863" s="0" t="str">
        <f aca="false">PROPER(L863)</f>
        <v>Oil Filter, Brake Pads</v>
      </c>
      <c r="N863" s="3" t="s">
        <v>48</v>
      </c>
      <c r="O863" s="0" t="str">
        <f aca="false" t="array" ref="O863:O863">IF(N863&lt;&gt;"",N863,_xlfn.xlookup(1,(L863:L1862=L863)*(N863:N1862&lt;&gt;""),N863:N1862,"Not Found"))</f>
        <v>Uche</v>
      </c>
      <c r="P863" s="4" t="n">
        <v>31065</v>
      </c>
      <c r="Q863" s="0" t="s">
        <v>124</v>
      </c>
      <c r="R863" s="0" t="str">
        <f aca="false">PROPER(Q863)</f>
        <v>Cash</v>
      </c>
      <c r="S863" s="0" t="s">
        <v>50</v>
      </c>
      <c r="U863" s="5" t="n">
        <f aca="false">IF(ISBLANK(T863),AVERAGE(T863:T1862),T863)</f>
        <v>3.37837837837838</v>
      </c>
      <c r="V863" s="0" t="n">
        <v>1.6</v>
      </c>
      <c r="W863" s="0" t="s">
        <v>125</v>
      </c>
      <c r="X863" s="0" t="str">
        <f aca="false">IF(ISBLANK(W863),"No remarks",W863)</f>
        <v>Customer waited</v>
      </c>
      <c r="Y863" s="0" t="s">
        <v>52</v>
      </c>
      <c r="Z863" s="0" t="s">
        <v>159</v>
      </c>
      <c r="AA863" s="0" t="str">
        <f aca="false">PROPER(IF(ISBLANK(Z863),"Location Unavailable",Z863))</f>
        <v>Main Bay</v>
      </c>
      <c r="AB863" s="0" t="s">
        <v>167</v>
      </c>
      <c r="AC863" s="6" t="str">
        <f aca="false">PROPER(AB863)</f>
        <v>Word Of Mouth</v>
      </c>
      <c r="AD863" s="6" t="n">
        <v>60</v>
      </c>
      <c r="AE863" s="5" t="n">
        <f aca="false">IF(ISBLANK(AD863),AVERAGEIF(L863:L1862,L863,AD863:AD1862),AD863)</f>
        <v>60</v>
      </c>
      <c r="AF863" s="0" t="s">
        <v>55</v>
      </c>
      <c r="AG863" s="0" t="str">
        <f aca="false">PROPER(AF863)</f>
        <v>Available</v>
      </c>
      <c r="AH863" s="0" t="s">
        <v>155</v>
      </c>
      <c r="AI863" s="0" t="s">
        <v>78</v>
      </c>
      <c r="AJ863" s="0" t="str">
        <f aca="false">PROPER(AI863)</f>
        <v>Booking</v>
      </c>
      <c r="AK863" s="0" t="s">
        <v>114</v>
      </c>
      <c r="AL863" s="0" t="str">
        <f aca="false">PROPER(AK863)</f>
        <v>Returning</v>
      </c>
      <c r="AM863" s="0" t="s">
        <v>59</v>
      </c>
      <c r="AN863" s="0" t="str">
        <f aca="false">IF(ISBLANK(AM863),"Unknown",AM863)</f>
        <v>Bolt Driver</v>
      </c>
      <c r="AO863" s="0" t="s">
        <v>79</v>
      </c>
      <c r="AP863" s="0" t="str">
        <f aca="false">IF(ISBLANK(AO863),"Unknown",AO863)</f>
        <v>Specialist</v>
      </c>
      <c r="AQ863" s="0" t="n">
        <v>20000</v>
      </c>
      <c r="AR863" s="5" t="n">
        <f aca="false">IF(ISBLANK(AQ863),AVERAGEIF(M863:M1862,M863,AQ863:AQ1862),AQ863)</f>
        <v>20000</v>
      </c>
      <c r="AS863" s="0" t="n">
        <v>30000</v>
      </c>
      <c r="AT863" s="5" t="n">
        <f aca="false">IF(ISBLANK(AS863),AVERAGE(AS863:AS1862),AS863)</f>
        <v>30000</v>
      </c>
      <c r="AU863" s="0" t="s">
        <v>50</v>
      </c>
      <c r="AV863" s="0" t="str">
        <f aca="false">PROPER(IF(ISBLANK(AU863),"No",AU863))</f>
        <v>No</v>
      </c>
      <c r="AW863" s="0" t="n">
        <v>0</v>
      </c>
      <c r="AX863" s="5" t="n">
        <f aca="false">IF(ISBLANK(AW863),0,AW863)</f>
        <v>0</v>
      </c>
      <c r="AY863" s="0" t="s">
        <v>80</v>
      </c>
      <c r="AZ863" s="0" t="str">
        <f aca="false">UPPER(IF(ISBLANK(AY863),"NONE",AY863))</f>
        <v>PROMO10</v>
      </c>
      <c r="BA863" s="7" t="n">
        <v>46021</v>
      </c>
      <c r="BB863" s="7" t="n">
        <f aca="false">IF(ISBLANK(BA863),"No Follow Up Needed",BA863)</f>
        <v>46021</v>
      </c>
      <c r="BC863" s="0" t="s">
        <v>61</v>
      </c>
      <c r="BD863" s="0" t="str">
        <f aca="false">PROPER(IF(ISBLANK(BC863),"Unknown",BC863))</f>
        <v>No</v>
      </c>
      <c r="BF863" s="0" t="str">
        <f aca="false">IF(ISBLANK(BE863),"No comments",BE863)</f>
        <v>No comments</v>
      </c>
      <c r="BH863" s="0" t="str">
        <f aca="false">IF(ISBLANK(BG863),"No comments",BG863)</f>
        <v>No comments</v>
      </c>
      <c r="BJ863" s="0" t="str">
        <f aca="false">IF(ISBLANK(BI863),"Not Mentioned",BI863)</f>
        <v>Not Mentioned</v>
      </c>
      <c r="BK863" s="0" t="s">
        <v>50</v>
      </c>
      <c r="BL863" s="0" t="str">
        <f aca="false">PROPER(IF(ISBLANK(BK863),"Not Mentioned",BK863))</f>
        <v>No</v>
      </c>
      <c r="BM863" s="0" t="s">
        <v>63</v>
      </c>
      <c r="BN863" s="0" t="str">
        <f aca="false">PROPER(IF(ISBLANK(BM863),"Not Mentioned",BM863))</f>
        <v>Yes</v>
      </c>
      <c r="BP863" s="0" t="str">
        <f aca="false">IF(ISBLANK(BO863),"One-Time Plan",BO863)</f>
        <v>One-Time Plan</v>
      </c>
      <c r="BR863" s="0" t="str">
        <f aca="false">PROPER(IF(ISBLANK(BQ863),"No",BQ863))</f>
        <v>No</v>
      </c>
    </row>
    <row r="864" customFormat="false" ht="15" hidden="false" customHeight="false" outlineLevel="0" collapsed="false">
      <c r="A864" s="0" t="s">
        <v>2008</v>
      </c>
      <c r="B864" s="2" t="n">
        <v>45751</v>
      </c>
      <c r="C864" s="2" t="str">
        <f aca="false">TEXT(B864,"dd/mm/yyyy")</f>
        <v>04/04/2025</v>
      </c>
      <c r="D864" s="0" t="s">
        <v>121</v>
      </c>
      <c r="E864" s="0" t="n">
        <v>8064867187</v>
      </c>
      <c r="F864" s="0" t="s">
        <v>85</v>
      </c>
      <c r="G864" s="0" t="s">
        <v>2319</v>
      </c>
      <c r="H864" s="0" t="s">
        <v>2009</v>
      </c>
      <c r="I864" s="0" t="s">
        <v>45</v>
      </c>
      <c r="K864" s="3" t="str">
        <f aca="false" t="array" ref="K864:K864">IFERROR(IF(J864&lt;&gt;"",J864,INDEX(J864:J1863,MATCH(1,(F864:F1863=F864)*(I864:I1863=I864)*(L864:L1863=L864)*(J864:J1863&lt;&gt;""),0))),"Not Found")</f>
        <v>Not Found</v>
      </c>
      <c r="L864" s="3" t="s">
        <v>189</v>
      </c>
      <c r="M864" s="0" t="str">
        <f aca="false">PROPER(L864)</f>
        <v>Battery</v>
      </c>
      <c r="N864" s="3" t="s">
        <v>109</v>
      </c>
      <c r="O864" s="0" t="str">
        <f aca="false" t="array" ref="O864:O864">IF(N864&lt;&gt;"",N864,_xlfn.xlookup(1,(L864:L1863=L864)*(N864:N1863&lt;&gt;""),N864:N1863,"Not Found"))</f>
        <v>Tijani</v>
      </c>
      <c r="P864" s="4" t="n">
        <v>109330</v>
      </c>
      <c r="Q864" s="0" t="s">
        <v>91</v>
      </c>
      <c r="R864" s="0" t="str">
        <f aca="false">PROPER(Q864)</f>
        <v>Pos</v>
      </c>
      <c r="S864" s="0" t="s">
        <v>50</v>
      </c>
      <c r="T864" s="0" t="n">
        <v>5</v>
      </c>
      <c r="U864" s="5" t="n">
        <f aca="false">IF(ISBLANK(T864),AVERAGE(T864:T1863),T864)</f>
        <v>5</v>
      </c>
      <c r="V864" s="0" t="n">
        <v>1.6</v>
      </c>
      <c r="X864" s="0" t="str">
        <f aca="false">IF(ISBLANK(W864),"No remarks",W864)</f>
        <v>No remarks</v>
      </c>
      <c r="Y864" s="0" t="s">
        <v>93</v>
      </c>
      <c r="Z864" s="0" t="s">
        <v>53</v>
      </c>
      <c r="AA864" s="0" t="str">
        <f aca="false">PROPER(IF(ISBLANK(Z864),"Location Unavailable",Z864))</f>
        <v>Main Bay</v>
      </c>
      <c r="AB864" s="0" t="s">
        <v>54</v>
      </c>
      <c r="AC864" s="6" t="str">
        <f aca="false">PROPER(AB864)</f>
        <v>Mechanic Referral</v>
      </c>
      <c r="AD864" s="6" t="n">
        <v>45</v>
      </c>
      <c r="AE864" s="5" t="n">
        <f aca="false">IF(ISBLANK(AD864),AVERAGEIF(L864:L1863,L864,AD864:AD1863),AD864)</f>
        <v>45</v>
      </c>
      <c r="AF864" s="0" t="s">
        <v>55</v>
      </c>
      <c r="AG864" s="0" t="str">
        <f aca="false">PROPER(AF864)</f>
        <v>Available</v>
      </c>
      <c r="AH864" s="0" t="s">
        <v>155</v>
      </c>
      <c r="AI864" s="0" t="s">
        <v>78</v>
      </c>
      <c r="AJ864" s="0" t="str">
        <f aca="false">PROPER(AI864)</f>
        <v>Booking</v>
      </c>
      <c r="AK864" s="0" t="s">
        <v>196</v>
      </c>
      <c r="AL864" s="0" t="str">
        <f aca="false">PROPER(AK864)</f>
        <v>First Time</v>
      </c>
      <c r="AN864" s="0" t="str">
        <f aca="false">IF(ISBLANK(AM864),"Unknown",AM864)</f>
        <v>Unknown</v>
      </c>
      <c r="AO864" s="0" t="s">
        <v>79</v>
      </c>
      <c r="AP864" s="0" t="str">
        <f aca="false">IF(ISBLANK(AO864),"Unknown",AO864)</f>
        <v>Specialist</v>
      </c>
      <c r="AQ864" s="0" t="n">
        <v>25000</v>
      </c>
      <c r="AR864" s="5" t="n">
        <f aca="false">IF(ISBLANK(AQ864),AVERAGEIF(M864:M1863,M864,AQ864:AQ1863),AQ864)</f>
        <v>25000</v>
      </c>
      <c r="AS864" s="0" t="n">
        <v>40000</v>
      </c>
      <c r="AT864" s="5" t="n">
        <f aca="false">IF(ISBLANK(AS864),AVERAGE(AS864:AS1863),AS864)</f>
        <v>40000</v>
      </c>
      <c r="AU864" s="0" t="s">
        <v>61</v>
      </c>
      <c r="AV864" s="0" t="str">
        <f aca="false">PROPER(IF(ISBLANK(AU864),"No",AU864))</f>
        <v>No</v>
      </c>
      <c r="AW864" s="0" t="n">
        <v>5000</v>
      </c>
      <c r="AX864" s="5" t="n">
        <f aca="false">IF(ISBLANK(AW864),0,AW864)</f>
        <v>5000</v>
      </c>
      <c r="AZ864" s="0" t="str">
        <f aca="false">UPPER(IF(ISBLANK(AY864),"NONE",AY864))</f>
        <v>NONE</v>
      </c>
      <c r="BA864" s="7" t="s">
        <v>2010</v>
      </c>
      <c r="BB864" s="7" t="str">
        <f aca="false">IF(ISBLANK(BA864),"No Follow Up Needed",BA864)</f>
        <v>16/09/2025</v>
      </c>
      <c r="BC864" s="0" t="s">
        <v>63</v>
      </c>
      <c r="BD864" s="0" t="str">
        <f aca="false">PROPER(IF(ISBLANK(BC864),"Unknown",BC864))</f>
        <v>Yes</v>
      </c>
      <c r="BF864" s="0" t="str">
        <f aca="false">IF(ISBLANK(BE864),"No comments",BE864)</f>
        <v>No comments</v>
      </c>
      <c r="BH864" s="0" t="str">
        <f aca="false">IF(ISBLANK(BG864),"No comments",BG864)</f>
        <v>No comments</v>
      </c>
      <c r="BI864" s="0" t="s">
        <v>50</v>
      </c>
      <c r="BJ864" s="0" t="str">
        <f aca="false">IF(ISBLANK(BI864),"Not Mentioned",BI864)</f>
        <v>No</v>
      </c>
      <c r="BK864" s="0" t="s">
        <v>61</v>
      </c>
      <c r="BL864" s="0" t="str">
        <f aca="false">PROPER(IF(ISBLANK(BK864),"Not Mentioned",BK864))</f>
        <v>No</v>
      </c>
      <c r="BN864" s="0" t="str">
        <f aca="false">PROPER(IF(ISBLANK(BM864),"Not Mentioned",BM864))</f>
        <v>Not Mentioned</v>
      </c>
      <c r="BO864" s="0" t="s">
        <v>2318</v>
      </c>
      <c r="BP864" s="0" t="str">
        <f aca="false">IF(ISBLANK(BO864),"One-Time Plan",BO864)</f>
        <v>Gold</v>
      </c>
      <c r="BQ864" s="0" t="s">
        <v>50</v>
      </c>
      <c r="BR864" s="0" t="str">
        <f aca="false">PROPER(IF(ISBLANK(BQ864),"No",BQ864))</f>
        <v>No</v>
      </c>
    </row>
    <row r="865" customFormat="false" ht="15" hidden="false" customHeight="false" outlineLevel="0" collapsed="false">
      <c r="A865" s="0" t="s">
        <v>2011</v>
      </c>
      <c r="B865" s="2" t="n">
        <v>45810</v>
      </c>
      <c r="C865" s="2" t="str">
        <f aca="false">TEXT(B865,"dd/mm/yyyy")</f>
        <v>02/06/2025</v>
      </c>
      <c r="D865" s="0" t="s">
        <v>105</v>
      </c>
      <c r="E865" s="0" t="n">
        <v>8069153839</v>
      </c>
      <c r="F865" s="0" t="s">
        <v>67</v>
      </c>
      <c r="G865" s="0" t="s">
        <v>2316</v>
      </c>
      <c r="H865" s="0" t="s">
        <v>2012</v>
      </c>
      <c r="I865" s="0" t="s">
        <v>87</v>
      </c>
      <c r="J865" s="0" t="s">
        <v>87</v>
      </c>
      <c r="K865" s="3" t="str">
        <f aca="false" t="array" ref="K865:K865">IFERROR(IF(J865&lt;&gt;"",J865,INDEX(J865:J1864,MATCH(1,(F865:F1864=F865)*(I865:I1864=I865)*(L865:L1864=L865)*(J865:J1864&lt;&gt;""),0))),"Not Found")</f>
        <v>Oil Change</v>
      </c>
      <c r="L865" s="3" t="s">
        <v>47</v>
      </c>
      <c r="M865" s="0" t="str">
        <f aca="false">PROPER(L865)</f>
        <v>None</v>
      </c>
      <c r="N865" s="3" t="s">
        <v>109</v>
      </c>
      <c r="O865" s="0" t="str">
        <f aca="false" t="array" ref="O865:O865">IF(N865&lt;&gt;"",N865,_xlfn.xlookup(1,(L865:L1864=L865)*(N865:N1864&lt;&gt;""),N865:N1864,"Not Found"))</f>
        <v>Tijani</v>
      </c>
      <c r="P865" s="4" t="n">
        <v>25760</v>
      </c>
      <c r="Q865" s="0" t="s">
        <v>49</v>
      </c>
      <c r="R865" s="0" t="str">
        <f aca="false">PROPER(Q865)</f>
        <v>Transfer</v>
      </c>
      <c r="S865" s="0" t="s">
        <v>50</v>
      </c>
      <c r="T865" s="0" t="n">
        <v>2</v>
      </c>
      <c r="U865" s="5" t="n">
        <f aca="false">IF(ISBLANK(T865),AVERAGE(T865:T1864),T865)</f>
        <v>2</v>
      </c>
      <c r="V865" s="0" t="n">
        <v>5</v>
      </c>
      <c r="W865" s="0" t="s">
        <v>92</v>
      </c>
      <c r="X865" s="0" t="str">
        <f aca="false">IF(ISBLANK(W865),"No remarks",W865)</f>
        <v>Urgent service</v>
      </c>
      <c r="Y865" s="0" t="s">
        <v>52</v>
      </c>
      <c r="Z865" s="0" t="s">
        <v>74</v>
      </c>
      <c r="AA865" s="0" t="str">
        <f aca="false">PROPER(IF(ISBLANK(Z865),"Location Unavailable",Z865))</f>
        <v>Under Tree</v>
      </c>
      <c r="AB865" s="0" t="s">
        <v>167</v>
      </c>
      <c r="AC865" s="6" t="str">
        <f aca="false">PROPER(AB865)</f>
        <v>Word Of Mouth</v>
      </c>
      <c r="AD865" s="6" t="n">
        <v>60</v>
      </c>
      <c r="AE865" s="5" t="n">
        <f aca="false">IF(ISBLANK(AD865),AVERAGEIF(L865:L1864,L865,AD865:AD1864),AD865)</f>
        <v>60</v>
      </c>
      <c r="AF865" s="0" t="s">
        <v>55</v>
      </c>
      <c r="AG865" s="0" t="str">
        <f aca="false">PROPER(AF865)</f>
        <v>Available</v>
      </c>
      <c r="AH865" s="0" t="s">
        <v>56</v>
      </c>
      <c r="AI865" s="0" t="s">
        <v>78</v>
      </c>
      <c r="AJ865" s="0" t="str">
        <f aca="false">PROPER(AI865)</f>
        <v>Booking</v>
      </c>
      <c r="AK865" s="0" t="s">
        <v>196</v>
      </c>
      <c r="AL865" s="0" t="str">
        <f aca="false">PROPER(AK865)</f>
        <v>First Time</v>
      </c>
      <c r="AN865" s="0" t="str">
        <f aca="false">IF(ISBLANK(AM865),"Unknown",AM865)</f>
        <v>Unknown</v>
      </c>
      <c r="AO865" s="0" t="s">
        <v>79</v>
      </c>
      <c r="AP865" s="0" t="str">
        <f aca="false">IF(ISBLANK(AO865),"Unknown",AO865)</f>
        <v>Specialist</v>
      </c>
      <c r="AQ865" s="0" t="n">
        <v>15000</v>
      </c>
      <c r="AR865" s="5" t="n">
        <f aca="false">IF(ISBLANK(AQ865),AVERAGEIF(M865:M1864,M865,AQ865:AQ1864),AQ865)</f>
        <v>15000</v>
      </c>
      <c r="AS865" s="0" t="n">
        <v>40000</v>
      </c>
      <c r="AT865" s="5" t="n">
        <f aca="false">IF(ISBLANK(AS865),AVERAGE(AS865:AS1864),AS865)</f>
        <v>40000</v>
      </c>
      <c r="AU865" s="0" t="s">
        <v>63</v>
      </c>
      <c r="AV865" s="0" t="str">
        <f aca="false">PROPER(IF(ISBLANK(AU865),"No",AU865))</f>
        <v>Yes</v>
      </c>
      <c r="AW865" s="0" t="n">
        <v>10000</v>
      </c>
      <c r="AX865" s="5" t="n">
        <f aca="false">IF(ISBLANK(AW865),0,AW865)</f>
        <v>10000</v>
      </c>
      <c r="AY865" s="0" t="s">
        <v>80</v>
      </c>
      <c r="AZ865" s="0" t="str">
        <f aca="false">UPPER(IF(ISBLANK(AY865),"NONE",AY865))</f>
        <v>PROMO10</v>
      </c>
      <c r="BA865" s="7" t="n">
        <v>45946</v>
      </c>
      <c r="BB865" s="7" t="n">
        <f aca="false">IF(ISBLANK(BA865),"No Follow Up Needed",BA865)</f>
        <v>45946</v>
      </c>
      <c r="BC865" s="0" t="s">
        <v>63</v>
      </c>
      <c r="BD865" s="0" t="str">
        <f aca="false">PROPER(IF(ISBLANK(BC865),"Unknown",BC865))</f>
        <v>Yes</v>
      </c>
      <c r="BE865" s="0" t="s">
        <v>116</v>
      </c>
      <c r="BF865" s="0" t="str">
        <f aca="false">IF(ISBLANK(BE865),"No comments",BE865)</f>
        <v>Needs tire alignment</v>
      </c>
      <c r="BG865" s="0" t="s">
        <v>117</v>
      </c>
      <c r="BH865" s="0" t="str">
        <f aca="false">IF(ISBLANK(BG865),"No comments",BG865)</f>
        <v>Prefers morning</v>
      </c>
      <c r="BJ865" s="0" t="str">
        <f aca="false">IF(ISBLANK(BI865),"Not Mentioned",BI865)</f>
        <v>Not Mentioned</v>
      </c>
      <c r="BK865" s="0" t="s">
        <v>63</v>
      </c>
      <c r="BL865" s="0" t="str">
        <f aca="false">PROPER(IF(ISBLANK(BK865),"Not Mentioned",BK865))</f>
        <v>Yes</v>
      </c>
      <c r="BM865" s="0" t="s">
        <v>50</v>
      </c>
      <c r="BN865" s="0" t="str">
        <f aca="false">PROPER(IF(ISBLANK(BM865),"Not Mentioned",BM865))</f>
        <v>No</v>
      </c>
      <c r="BO865" s="0" t="s">
        <v>64</v>
      </c>
      <c r="BP865" s="0" t="str">
        <f aca="false">IF(ISBLANK(BO865),"One-Time Plan",BO865)</f>
        <v>Gold Maintenance Plan</v>
      </c>
      <c r="BQ865" s="0" t="s">
        <v>190</v>
      </c>
      <c r="BR865" s="0" t="str">
        <f aca="false">PROPER(IF(ISBLANK(BQ865),"No",BQ865))</f>
        <v>Yes</v>
      </c>
    </row>
    <row r="866" customFormat="false" ht="15" hidden="false" customHeight="false" outlineLevel="0" collapsed="false">
      <c r="A866" s="0" t="s">
        <v>2013</v>
      </c>
      <c r="B866" s="2" t="n">
        <v>45729</v>
      </c>
      <c r="C866" s="2" t="str">
        <f aca="false">TEXT(B866,"dd/mm/yyyy")</f>
        <v>13/03/2025</v>
      </c>
      <c r="D866" s="0" t="s">
        <v>163</v>
      </c>
      <c r="E866" s="0" t="n">
        <v>8094132688</v>
      </c>
      <c r="F866" s="0" t="s">
        <v>67</v>
      </c>
      <c r="G866" s="0" t="s">
        <v>2316</v>
      </c>
      <c r="H866" s="0" t="s">
        <v>2014</v>
      </c>
      <c r="I866" s="0" t="s">
        <v>45</v>
      </c>
      <c r="J866" s="0" t="s">
        <v>87</v>
      </c>
      <c r="K866" s="3" t="str">
        <f aca="false" t="array" ref="K866:K866">IFERROR(IF(J866&lt;&gt;"",J866,INDEX(J866:J1865,MATCH(1,(F866:F1865=F866)*(I866:I1865=I866)*(L866:L1865=L866)*(J866:J1865&lt;&gt;""),0))),"Not Found")</f>
        <v>Oil Change</v>
      </c>
      <c r="L866" s="3" t="s">
        <v>89</v>
      </c>
      <c r="M866" s="0" t="str">
        <f aca="false">PROPER(L866)</f>
        <v>Shock Absorbers</v>
      </c>
      <c r="O866" s="0" t="e">
        <f aca="false" t="array" ref="O866:O866">IF(N866&lt;&gt;"",N866,_xlfn.xlookup(1,(L866:L1865=L866)*(N866:N1865&lt;&gt;""),N866:N1865,"Not Found"))</f>
        <v>#NAME?</v>
      </c>
      <c r="P866" s="4" t="n">
        <v>69151</v>
      </c>
      <c r="Q866" s="0" t="s">
        <v>49</v>
      </c>
      <c r="R866" s="0" t="str">
        <f aca="false">PROPER(Q866)</f>
        <v>Transfer</v>
      </c>
      <c r="S866" s="0" t="s">
        <v>50</v>
      </c>
      <c r="T866" s="0" t="n">
        <v>1</v>
      </c>
      <c r="U866" s="5" t="n">
        <f aca="false">IF(ISBLANK(T866),AVERAGE(T866:T1865),T866)</f>
        <v>1</v>
      </c>
      <c r="V866" s="0" t="n">
        <v>1.1</v>
      </c>
      <c r="W866" s="0" t="s">
        <v>125</v>
      </c>
      <c r="X866" s="0" t="str">
        <f aca="false">IF(ISBLANK(W866),"No remarks",W866)</f>
        <v>Customer waited</v>
      </c>
      <c r="Y866" s="0" t="s">
        <v>73</v>
      </c>
      <c r="Z866" s="0" t="s">
        <v>74</v>
      </c>
      <c r="AA866" s="0" t="str">
        <f aca="false">PROPER(IF(ISBLANK(Z866),"Location Unavailable",Z866))</f>
        <v>Under Tree</v>
      </c>
      <c r="AB866" s="0" t="s">
        <v>147</v>
      </c>
      <c r="AC866" s="6" t="str">
        <f aca="false">PROPER(AB866)</f>
        <v>Instagram</v>
      </c>
      <c r="AD866" s="6" t="n">
        <v>60</v>
      </c>
      <c r="AE866" s="5" t="n">
        <f aca="false">IF(ISBLANK(AD866),AVERAGEIF(L866:L1865,L866,AD866:AD1865),AD866)</f>
        <v>60</v>
      </c>
      <c r="AF866" s="0" t="s">
        <v>96</v>
      </c>
      <c r="AG866" s="0" t="str">
        <f aca="false">PROPER(AF866)</f>
        <v>Ordered</v>
      </c>
      <c r="AH866" s="0" t="s">
        <v>155</v>
      </c>
      <c r="AI866" s="0" t="s">
        <v>98</v>
      </c>
      <c r="AJ866" s="0" t="str">
        <f aca="false">PROPER(AI866)</f>
        <v>Emergency</v>
      </c>
      <c r="AK866" s="0" t="s">
        <v>196</v>
      </c>
      <c r="AL866" s="0" t="str">
        <f aca="false">PROPER(AK866)</f>
        <v>First Time</v>
      </c>
      <c r="AM866" s="0" t="s">
        <v>59</v>
      </c>
      <c r="AN866" s="0" t="str">
        <f aca="false">IF(ISBLANK(AM866),"Unknown",AM866)</f>
        <v>Bolt Driver</v>
      </c>
      <c r="AO866" s="0" t="s">
        <v>79</v>
      </c>
      <c r="AP866" s="0" t="str">
        <f aca="false">IF(ISBLANK(AO866),"Unknown",AO866)</f>
        <v>Specialist</v>
      </c>
      <c r="AR866" s="5" t="n">
        <f aca="false">IF(ISBLANK(AQ866),AVERAGEIF(M866:M1865,M866,AQ866:AQ1865),AQ866)</f>
        <v>22857.1428571429</v>
      </c>
      <c r="AS866" s="0" t="n">
        <v>35000</v>
      </c>
      <c r="AT866" s="5" t="n">
        <f aca="false">IF(ISBLANK(AS866),AVERAGE(AS866:AS1865),AS866)</f>
        <v>35000</v>
      </c>
      <c r="AU866" s="0" t="s">
        <v>82</v>
      </c>
      <c r="AV866" s="0" t="str">
        <f aca="false">PROPER(IF(ISBLANK(AU866),"No",AU866))</f>
        <v>Yes</v>
      </c>
      <c r="AW866" s="0" t="n">
        <v>5000</v>
      </c>
      <c r="AX866" s="5" t="n">
        <f aca="false">IF(ISBLANK(AW866),0,AW866)</f>
        <v>5000</v>
      </c>
      <c r="AY866" s="0" t="s">
        <v>60</v>
      </c>
      <c r="AZ866" s="0" t="str">
        <f aca="false">UPPER(IF(ISBLANK(AY866),"NONE",AY866))</f>
        <v>NONE</v>
      </c>
      <c r="BA866" s="7" t="n">
        <v>45862</v>
      </c>
      <c r="BB866" s="7" t="n">
        <f aca="false">IF(ISBLANK(BA866),"No Follow Up Needed",BA866)</f>
        <v>45862</v>
      </c>
      <c r="BC866" s="0" t="s">
        <v>61</v>
      </c>
      <c r="BD866" s="0" t="str">
        <f aca="false">PROPER(IF(ISBLANK(BC866),"Unknown",BC866))</f>
        <v>No</v>
      </c>
      <c r="BE866" s="0" t="s">
        <v>116</v>
      </c>
      <c r="BF866" s="0" t="str">
        <f aca="false">IF(ISBLANK(BE866),"No comments",BE866)</f>
        <v>Needs tire alignment</v>
      </c>
      <c r="BH866" s="0" t="str">
        <f aca="false">IF(ISBLANK(BG866),"No comments",BG866)</f>
        <v>No comments</v>
      </c>
      <c r="BI866" s="0" t="s">
        <v>63</v>
      </c>
      <c r="BJ866" s="0" t="str">
        <f aca="false">IF(ISBLANK(BI866),"Not Mentioned",BI866)</f>
        <v>Yes</v>
      </c>
      <c r="BK866" s="0" t="s">
        <v>50</v>
      </c>
      <c r="BL866" s="0" t="str">
        <f aca="false">PROPER(IF(ISBLANK(BK866),"Not Mentioned",BK866))</f>
        <v>No</v>
      </c>
      <c r="BN866" s="0" t="str">
        <f aca="false">PROPER(IF(ISBLANK(BM866),"Not Mentioned",BM866))</f>
        <v>Not Mentioned</v>
      </c>
      <c r="BO866" s="0" t="s">
        <v>2321</v>
      </c>
      <c r="BP866" s="0" t="str">
        <f aca="false">IF(ISBLANK(BO866),"One-Time Plan",BO866)</f>
        <v>One-Time Plan</v>
      </c>
      <c r="BQ866" s="0" t="s">
        <v>63</v>
      </c>
      <c r="BR866" s="0" t="str">
        <f aca="false">PROPER(IF(ISBLANK(BQ866),"No",BQ866))</f>
        <v>Yes</v>
      </c>
    </row>
    <row r="867" customFormat="false" ht="15" hidden="false" customHeight="false" outlineLevel="0" collapsed="false">
      <c r="A867" s="0" t="s">
        <v>2015</v>
      </c>
      <c r="B867" s="2" t="n">
        <v>45727</v>
      </c>
      <c r="C867" s="2" t="str">
        <f aca="false">TEXT(B867,"dd/mm/yyyy")</f>
        <v>11/03/2025</v>
      </c>
      <c r="D867" s="0" t="s">
        <v>105</v>
      </c>
      <c r="E867" s="0" t="n">
        <v>8093808429</v>
      </c>
      <c r="F867" s="0" t="s">
        <v>139</v>
      </c>
      <c r="G867" s="0" t="s">
        <v>2323</v>
      </c>
      <c r="H867" s="0" t="s">
        <v>2016</v>
      </c>
      <c r="I867" s="0" t="s">
        <v>87</v>
      </c>
      <c r="J867" s="0" t="s">
        <v>87</v>
      </c>
      <c r="K867" s="3" t="str">
        <f aca="false" t="array" ref="K867:K867">IFERROR(IF(J867&lt;&gt;"",J867,INDEX(J867:J1866,MATCH(1,(F867:F1866=F867)*(I867:I1866=I867)*(L867:L1866=L867)*(J867:J1866&lt;&gt;""),0))),"Not Found")</f>
        <v>Oil Change</v>
      </c>
      <c r="L867" s="3" t="s">
        <v>142</v>
      </c>
      <c r="M867" s="0" t="str">
        <f aca="false">PROPER(L867)</f>
        <v>Oil Filter, Brake Pads</v>
      </c>
      <c r="O867" s="0" t="e">
        <f aca="false" t="array" ref="O867:O867">IF(N867&lt;&gt;"",N867,_xlfn.xlookup(1,(L867:L1866=L867)*(N867:N1866&lt;&gt;""),N867:N1866,"Not Found"))</f>
        <v>#NAME?</v>
      </c>
      <c r="P867" s="4" t="n">
        <v>56668</v>
      </c>
      <c r="Q867" s="0" t="s">
        <v>49</v>
      </c>
      <c r="R867" s="0" t="str">
        <f aca="false">PROPER(Q867)</f>
        <v>Transfer</v>
      </c>
      <c r="S867" s="0" t="s">
        <v>63</v>
      </c>
      <c r="U867" s="5" t="n">
        <f aca="false">IF(ISBLANK(T867),AVERAGE(T867:T1866),T867)</f>
        <v>3.39814814814815</v>
      </c>
      <c r="V867" s="0" t="n">
        <v>5.8</v>
      </c>
      <c r="X867" s="0" t="str">
        <f aca="false">IF(ISBLANK(W867),"No remarks",W867)</f>
        <v>No remarks</v>
      </c>
      <c r="Y867" s="0" t="s">
        <v>52</v>
      </c>
      <c r="Z867" s="0" t="s">
        <v>53</v>
      </c>
      <c r="AA867" s="0" t="str">
        <f aca="false">PROPER(IF(ISBLANK(Z867),"Location Unavailable",Z867))</f>
        <v>Main Bay</v>
      </c>
      <c r="AB867" s="0" t="s">
        <v>54</v>
      </c>
      <c r="AC867" s="6" t="str">
        <f aca="false">PROPER(AB867)</f>
        <v>Mechanic Referral</v>
      </c>
      <c r="AD867" s="6" t="n">
        <v>30</v>
      </c>
      <c r="AE867" s="5" t="n">
        <f aca="false">IF(ISBLANK(AD867),AVERAGEIF(L867:L1866,L867,AD867:AD1866),AD867)</f>
        <v>30</v>
      </c>
      <c r="AF867" s="0" t="s">
        <v>55</v>
      </c>
      <c r="AG867" s="0" t="str">
        <f aca="false">PROPER(AF867)</f>
        <v>Available</v>
      </c>
      <c r="AH867" s="0" t="s">
        <v>155</v>
      </c>
      <c r="AI867" s="0" t="s">
        <v>113</v>
      </c>
      <c r="AJ867" s="0" t="str">
        <f aca="false">PROPER(AI867)</f>
        <v>Normal</v>
      </c>
      <c r="AK867" s="0" t="s">
        <v>99</v>
      </c>
      <c r="AL867" s="0" t="str">
        <f aca="false">PROPER(AK867)</f>
        <v>Uber Driver</v>
      </c>
      <c r="AM867" s="0" t="s">
        <v>2324</v>
      </c>
      <c r="AN867" s="0" t="str">
        <f aca="false">IF(ISBLANK(AM867),"Unknown",AM867)</f>
        <v>Logistics Convoy</v>
      </c>
      <c r="AO867" s="0" t="s">
        <v>79</v>
      </c>
      <c r="AP867" s="0" t="str">
        <f aca="false">IF(ISBLANK(AO867),"Unknown",AO867)</f>
        <v>Specialist</v>
      </c>
      <c r="AQ867" s="0" t="n">
        <v>25000</v>
      </c>
      <c r="AR867" s="5" t="n">
        <f aca="false">IF(ISBLANK(AQ867),AVERAGEIF(M867:M1866,M867,AQ867:AQ1866),AQ867)</f>
        <v>25000</v>
      </c>
      <c r="AS867" s="0" t="n">
        <v>30000</v>
      </c>
      <c r="AT867" s="5" t="n">
        <f aca="false">IF(ISBLANK(AS867),AVERAGE(AS867:AS1866),AS867)</f>
        <v>30000</v>
      </c>
      <c r="AU867" s="0" t="s">
        <v>82</v>
      </c>
      <c r="AV867" s="0" t="str">
        <f aca="false">PROPER(IF(ISBLANK(AU867),"No",AU867))</f>
        <v>Yes</v>
      </c>
      <c r="AW867" s="0" t="n">
        <v>0</v>
      </c>
      <c r="AX867" s="5" t="n">
        <f aca="false">IF(ISBLANK(AW867),0,AW867)</f>
        <v>0</v>
      </c>
      <c r="AY867" s="0" t="s">
        <v>60</v>
      </c>
      <c r="AZ867" s="0" t="str">
        <f aca="false">UPPER(IF(ISBLANK(AY867),"NONE",AY867))</f>
        <v>NONE</v>
      </c>
      <c r="BA867" s="7" t="n">
        <v>45727</v>
      </c>
      <c r="BB867" s="7" t="n">
        <f aca="false">IF(ISBLANK(BA867),"No Follow Up Needed",BA867)</f>
        <v>45727</v>
      </c>
      <c r="BC867" s="0" t="s">
        <v>63</v>
      </c>
      <c r="BD867" s="0" t="str">
        <f aca="false">PROPER(IF(ISBLANK(BC867),"Unknown",BC867))</f>
        <v>Yes</v>
      </c>
      <c r="BE867" s="0" t="s">
        <v>116</v>
      </c>
      <c r="BF867" s="0" t="str">
        <f aca="false">IF(ISBLANK(BE867),"No comments",BE867)</f>
        <v>Needs tire alignment</v>
      </c>
      <c r="BG867" s="0" t="s">
        <v>2320</v>
      </c>
      <c r="BH867" s="0" t="str">
        <f aca="false">IF(ISBLANK(BG867),"No comments",BG867)</f>
        <v>No complaints</v>
      </c>
      <c r="BI867" s="0" t="s">
        <v>63</v>
      </c>
      <c r="BJ867" s="0" t="str">
        <f aca="false">IF(ISBLANK(BI867),"Not Mentioned",BI867)</f>
        <v>Yes</v>
      </c>
      <c r="BK867" s="0" t="s">
        <v>82</v>
      </c>
      <c r="BL867" s="0" t="str">
        <f aca="false">PROPER(IF(ISBLANK(BK867),"Not Mentioned",BK867))</f>
        <v>Yes</v>
      </c>
      <c r="BM867" s="0" t="s">
        <v>63</v>
      </c>
      <c r="BN867" s="0" t="str">
        <f aca="false">PROPER(IF(ISBLANK(BM867),"Not Mentioned",BM867))</f>
        <v>Yes</v>
      </c>
      <c r="BO867" s="0" t="s">
        <v>2321</v>
      </c>
      <c r="BP867" s="0" t="str">
        <f aca="false">IF(ISBLANK(BO867),"One-Time Plan",BO867)</f>
        <v>One-Time Plan</v>
      </c>
      <c r="BQ867" s="0" t="s">
        <v>63</v>
      </c>
      <c r="BR867" s="0" t="str">
        <f aca="false">PROPER(IF(ISBLANK(BQ867),"No",BQ867))</f>
        <v>Yes</v>
      </c>
    </row>
    <row r="868" customFormat="false" ht="15" hidden="false" customHeight="false" outlineLevel="0" collapsed="false">
      <c r="A868" s="0" t="s">
        <v>2017</v>
      </c>
      <c r="B868" s="2" t="n">
        <v>45779</v>
      </c>
      <c r="C868" s="2" t="str">
        <f aca="false">TEXT(B868,"dd/mm/yyyy")</f>
        <v>02/05/2025</v>
      </c>
      <c r="D868" s="0" t="s">
        <v>163</v>
      </c>
      <c r="E868" s="0" t="n">
        <v>8024655964</v>
      </c>
      <c r="F868" s="0" t="s">
        <v>85</v>
      </c>
      <c r="G868" s="0" t="s">
        <v>2319</v>
      </c>
      <c r="H868" s="0" t="s">
        <v>2018</v>
      </c>
      <c r="I868" s="0" t="s">
        <v>45</v>
      </c>
      <c r="J868" s="0" t="s">
        <v>2325</v>
      </c>
      <c r="K868" s="3" t="str">
        <f aca="false" t="array" ref="K868:K868">IFERROR(IF(J868&lt;&gt;"",J868,INDEX(J868:J1867,MATCH(1,(F868:F1867=F868)*(I868:I1867=I868)*(L868:L1867=L868)*(J868:J1867&lt;&gt;""),0))),"Not Found")</f>
        <v>Engine Knocking</v>
      </c>
      <c r="L868" s="3" t="s">
        <v>89</v>
      </c>
      <c r="M868" s="0" t="str">
        <f aca="false">PROPER(L868)</f>
        <v>Shock Absorbers</v>
      </c>
      <c r="O868" s="0" t="e">
        <f aca="false" t="array" ref="O868:O868">IF(N868&lt;&gt;"",N868,_xlfn.xlookup(1,(L868:L1867=L868)*(N868:N1867&lt;&gt;""),N868:N1867,"Not Found"))</f>
        <v>#NAME?</v>
      </c>
      <c r="P868" s="4" t="n">
        <v>78412</v>
      </c>
      <c r="Q868" s="0" t="s">
        <v>72</v>
      </c>
      <c r="R868" s="0" t="str">
        <f aca="false">PROPER(Q868)</f>
        <v>Pos</v>
      </c>
      <c r="S868" s="0" t="s">
        <v>63</v>
      </c>
      <c r="T868" s="0" t="n">
        <v>5</v>
      </c>
      <c r="U868" s="5" t="n">
        <f aca="false">IF(ISBLANK(T868),AVERAGE(T868:T1867),T868)</f>
        <v>5</v>
      </c>
      <c r="V868" s="0" t="n">
        <v>5.3</v>
      </c>
      <c r="X868" s="0" t="str">
        <f aca="false">IF(ISBLANK(W868),"No remarks",W868)</f>
        <v>No remarks</v>
      </c>
      <c r="Y868" s="0" t="s">
        <v>93</v>
      </c>
      <c r="AA868" s="0" t="str">
        <f aca="false">PROPER(IF(ISBLANK(Z868),"Location Unavailable",Z868))</f>
        <v>Location Unavailable</v>
      </c>
      <c r="AB868" s="0" t="s">
        <v>95</v>
      </c>
      <c r="AC868" s="6" t="str">
        <f aca="false">PROPER(AB868)</f>
        <v>Road Sign</v>
      </c>
      <c r="AD868" s="6" t="n">
        <v>15</v>
      </c>
      <c r="AE868" s="5" t="n">
        <f aca="false">IF(ISBLANK(AD868),AVERAGEIF(L868:L1867,L868,AD868:AD1867),AD868)</f>
        <v>15</v>
      </c>
      <c r="AF868" s="0" t="s">
        <v>160</v>
      </c>
      <c r="AG868" s="0" t="str">
        <f aca="false">PROPER(AF868)</f>
        <v>Availaible</v>
      </c>
      <c r="AH868" s="0" t="s">
        <v>155</v>
      </c>
      <c r="AI868" s="0" t="s">
        <v>128</v>
      </c>
      <c r="AJ868" s="0" t="str">
        <f aca="false">PROPER(AI868)</f>
        <v>Normal</v>
      </c>
      <c r="AK868" s="0" t="s">
        <v>58</v>
      </c>
      <c r="AL868" s="0" t="str">
        <f aca="false">PROPER(AK868)</f>
        <v>Fleet Owner</v>
      </c>
      <c r="AM868" s="0" t="s">
        <v>59</v>
      </c>
      <c r="AN868" s="0" t="str">
        <f aca="false">IF(ISBLANK(AM868),"Unknown",AM868)</f>
        <v>Bolt Driver</v>
      </c>
      <c r="AO868" s="0" t="s">
        <v>143</v>
      </c>
      <c r="AP868" s="0" t="str">
        <f aca="false">IF(ISBLANK(AO868),"Unknown",AO868)</f>
        <v>Senior</v>
      </c>
      <c r="AQ868" s="0" t="n">
        <v>25000</v>
      </c>
      <c r="AR868" s="5" t="n">
        <f aca="false">IF(ISBLANK(AQ868),AVERAGEIF(M868:M1867,M868,AQ868:AQ1867),AQ868)</f>
        <v>25000</v>
      </c>
      <c r="AS868" s="0" t="n">
        <v>20000</v>
      </c>
      <c r="AT868" s="5" t="n">
        <f aca="false">IF(ISBLANK(AS868),AVERAGE(AS868:AS1867),AS868)</f>
        <v>20000</v>
      </c>
      <c r="AU868" s="0" t="s">
        <v>82</v>
      </c>
      <c r="AV868" s="0" t="str">
        <f aca="false">PROPER(IF(ISBLANK(AU868),"No",AU868))</f>
        <v>Yes</v>
      </c>
      <c r="AW868" s="0" t="n">
        <v>0</v>
      </c>
      <c r="AX868" s="5" t="n">
        <f aca="false">IF(ISBLANK(AW868),0,AW868)</f>
        <v>0</v>
      </c>
      <c r="AY868" s="0" t="s">
        <v>130</v>
      </c>
      <c r="AZ868" s="0" t="str">
        <f aca="false">UPPER(IF(ISBLANK(AY868),"NONE",AY868))</f>
        <v>LOYALTY10</v>
      </c>
      <c r="BB868" s="7" t="str">
        <f aca="false">IF(ISBLANK(BA868),"No Follow Up Needed",BA868)</f>
        <v>No Follow Up Needed</v>
      </c>
      <c r="BC868" s="0" t="s">
        <v>61</v>
      </c>
      <c r="BD868" s="0" t="str">
        <f aca="false">PROPER(IF(ISBLANK(BC868),"Unknown",BC868))</f>
        <v>No</v>
      </c>
      <c r="BF868" s="0" t="str">
        <f aca="false">IF(ISBLANK(BE868),"No comments",BE868)</f>
        <v>No comments</v>
      </c>
      <c r="BG868" s="0" t="s">
        <v>2320</v>
      </c>
      <c r="BH868" s="0" t="str">
        <f aca="false">IF(ISBLANK(BG868),"No comments",BG868)</f>
        <v>No complaints</v>
      </c>
      <c r="BI868" s="0" t="s">
        <v>63</v>
      </c>
      <c r="BJ868" s="0" t="str">
        <f aca="false">IF(ISBLANK(BI868),"Not Mentioned",BI868)</f>
        <v>Yes</v>
      </c>
      <c r="BK868" s="0" t="s">
        <v>50</v>
      </c>
      <c r="BL868" s="0" t="str">
        <f aca="false">PROPER(IF(ISBLANK(BK868),"Not Mentioned",BK868))</f>
        <v>No</v>
      </c>
      <c r="BM868" s="0" t="s">
        <v>63</v>
      </c>
      <c r="BN868" s="0" t="str">
        <f aca="false">PROPER(IF(ISBLANK(BM868),"Not Mentioned",BM868))</f>
        <v>Yes</v>
      </c>
      <c r="BO868" s="0" t="s">
        <v>2321</v>
      </c>
      <c r="BP868" s="0" t="str">
        <f aca="false">IF(ISBLANK(BO868),"One-Time Plan",BO868)</f>
        <v>One-Time Plan</v>
      </c>
      <c r="BQ868" s="0" t="s">
        <v>50</v>
      </c>
      <c r="BR868" s="0" t="str">
        <f aca="false">PROPER(IF(ISBLANK(BQ868),"No",BQ868))</f>
        <v>No</v>
      </c>
    </row>
    <row r="869" customFormat="false" ht="15" hidden="false" customHeight="false" outlineLevel="0" collapsed="false">
      <c r="A869" s="0" t="s">
        <v>2019</v>
      </c>
      <c r="B869" s="2" t="n">
        <v>45782</v>
      </c>
      <c r="C869" s="2" t="str">
        <f aca="false">TEXT(B869,"dd/mm/yyyy")</f>
        <v>05/05/2025</v>
      </c>
      <c r="D869" s="0" t="s">
        <v>163</v>
      </c>
      <c r="E869" s="0" t="n">
        <v>8095420677</v>
      </c>
      <c r="F869" s="0" t="s">
        <v>43</v>
      </c>
      <c r="G869" s="0" t="s">
        <v>2315</v>
      </c>
      <c r="H869" s="0" t="s">
        <v>2020</v>
      </c>
      <c r="I869" s="0" t="s">
        <v>107</v>
      </c>
      <c r="J869" s="0" t="s">
        <v>2317</v>
      </c>
      <c r="K869" s="3" t="str">
        <f aca="false" t="array" ref="K869:K869">IFERROR(IF(J869&lt;&gt;"",J869,INDEX(J869:J1868,MATCH(1,(F869:F1868=F869)*(I869:I1868=I869)*(L869:L1868=L869)*(J869:J1868&lt;&gt;""),0))),"Not Found")</f>
        <v>Suspension Noise</v>
      </c>
      <c r="L869" s="3" t="s">
        <v>89</v>
      </c>
      <c r="M869" s="0" t="str">
        <f aca="false">PROPER(L869)</f>
        <v>Shock Absorbers</v>
      </c>
      <c r="N869" s="3" t="s">
        <v>48</v>
      </c>
      <c r="O869" s="0" t="str">
        <f aca="false" t="array" ref="O869:O869">IF(N869&lt;&gt;"",N869,_xlfn.xlookup(1,(L869:L1868=L869)*(N869:N1868&lt;&gt;""),N869:N1868,"Not Found"))</f>
        <v>Uche</v>
      </c>
      <c r="P869" s="4" t="n">
        <v>77258</v>
      </c>
      <c r="Q869" s="0" t="s">
        <v>124</v>
      </c>
      <c r="R869" s="0" t="str">
        <f aca="false">PROPER(Q869)</f>
        <v>Cash</v>
      </c>
      <c r="S869" s="0" t="s">
        <v>50</v>
      </c>
      <c r="T869" s="0" t="n">
        <v>5</v>
      </c>
      <c r="U869" s="5" t="n">
        <f aca="false">IF(ISBLANK(T869),AVERAGE(T869:T1868),T869)</f>
        <v>5</v>
      </c>
      <c r="V869" s="0" t="n">
        <v>2.9</v>
      </c>
      <c r="X869" s="0" t="str">
        <f aca="false">IF(ISBLANK(W869),"No remarks",W869)</f>
        <v>No remarks</v>
      </c>
      <c r="Y869" s="0" t="s">
        <v>93</v>
      </c>
      <c r="Z869" s="0" t="s">
        <v>159</v>
      </c>
      <c r="AA869" s="0" t="str">
        <f aca="false">PROPER(IF(ISBLANK(Z869),"Location Unavailable",Z869))</f>
        <v>Main Bay</v>
      </c>
      <c r="AB869" s="0" t="s">
        <v>95</v>
      </c>
      <c r="AC869" s="6" t="str">
        <f aca="false">PROPER(AB869)</f>
        <v>Road Sign</v>
      </c>
      <c r="AE869" s="5" t="n">
        <f aca="false">IF(ISBLANK(AD869),AVERAGEIF(L869:L1868,L869,AD869:AD1868),AD869)</f>
        <v>34.6875</v>
      </c>
      <c r="AF869" s="0" t="s">
        <v>76</v>
      </c>
      <c r="AG869" s="0" t="str">
        <f aca="false">PROPER(AF869)</f>
        <v>Orderd</v>
      </c>
      <c r="AH869" s="0" t="s">
        <v>148</v>
      </c>
      <c r="AI869" s="0" t="s">
        <v>113</v>
      </c>
      <c r="AJ869" s="0" t="str">
        <f aca="false">PROPER(AI869)</f>
        <v>Normal</v>
      </c>
      <c r="AK869" s="0" t="s">
        <v>99</v>
      </c>
      <c r="AL869" s="0" t="str">
        <f aca="false">PROPER(AK869)</f>
        <v>Uber Driver</v>
      </c>
      <c r="AM869" s="0" t="s">
        <v>2324</v>
      </c>
      <c r="AN869" s="0" t="str">
        <f aca="false">IF(ISBLANK(AM869),"Unknown",AM869)</f>
        <v>Logistics Convoy</v>
      </c>
      <c r="AO869" s="0" t="s">
        <v>143</v>
      </c>
      <c r="AP869" s="0" t="str">
        <f aca="false">IF(ISBLANK(AO869),"Unknown",AO869)</f>
        <v>Senior</v>
      </c>
      <c r="AQ869" s="0" t="n">
        <v>25000</v>
      </c>
      <c r="AR869" s="5" t="n">
        <f aca="false">IF(ISBLANK(AQ869),AVERAGEIF(M869:M1868,M869,AQ869:AQ1868),AQ869)</f>
        <v>25000</v>
      </c>
      <c r="AS869" s="0" t="n">
        <v>30000</v>
      </c>
      <c r="AT869" s="5" t="n">
        <f aca="false">IF(ISBLANK(AS869),AVERAGE(AS869:AS1868),AS869)</f>
        <v>30000</v>
      </c>
      <c r="AV869" s="0" t="str">
        <f aca="false">PROPER(IF(ISBLANK(AU869),"No",AU869))</f>
        <v>No</v>
      </c>
      <c r="AW869" s="0" t="n">
        <v>5000</v>
      </c>
      <c r="AX869" s="5" t="n">
        <f aca="false">IF(ISBLANK(AW869),0,AW869)</f>
        <v>5000</v>
      </c>
      <c r="AY869" s="0" t="s">
        <v>60</v>
      </c>
      <c r="AZ869" s="0" t="str">
        <f aca="false">UPPER(IF(ISBLANK(AY869),"NONE",AY869))</f>
        <v>NONE</v>
      </c>
      <c r="BB869" s="7" t="str">
        <f aca="false">IF(ISBLANK(BA869),"No Follow Up Needed",BA869)</f>
        <v>No Follow Up Needed</v>
      </c>
      <c r="BC869" s="0" t="s">
        <v>82</v>
      </c>
      <c r="BD869" s="0" t="str">
        <f aca="false">PROPER(IF(ISBLANK(BC869),"Unknown",BC869))</f>
        <v>Yes</v>
      </c>
      <c r="BE869" s="0" t="s">
        <v>171</v>
      </c>
      <c r="BF869" s="0" t="str">
        <f aca="false">IF(ISBLANK(BE869),"No comments",BE869)</f>
        <v>Shock absorber weakening</v>
      </c>
      <c r="BH869" s="0" t="str">
        <f aca="false">IF(ISBLANK(BG869),"No comments",BG869)</f>
        <v>No comments</v>
      </c>
      <c r="BI869" s="0" t="s">
        <v>50</v>
      </c>
      <c r="BJ869" s="0" t="str">
        <f aca="false">IF(ISBLANK(BI869),"Not Mentioned",BI869)</f>
        <v>No</v>
      </c>
      <c r="BK869" s="0" t="s">
        <v>82</v>
      </c>
      <c r="BL869" s="0" t="str">
        <f aca="false">PROPER(IF(ISBLANK(BK869),"Not Mentioned",BK869))</f>
        <v>Yes</v>
      </c>
      <c r="BM869" s="0" t="s">
        <v>50</v>
      </c>
      <c r="BN869" s="0" t="str">
        <f aca="false">PROPER(IF(ISBLANK(BM869),"Not Mentioned",BM869))</f>
        <v>No</v>
      </c>
      <c r="BO869" s="0" t="s">
        <v>64</v>
      </c>
      <c r="BP869" s="0" t="str">
        <f aca="false">IF(ISBLANK(BO869),"One-Time Plan",BO869)</f>
        <v>Gold Maintenance Plan</v>
      </c>
      <c r="BQ869" s="0" t="s">
        <v>190</v>
      </c>
      <c r="BR869" s="0" t="str">
        <f aca="false">PROPER(IF(ISBLANK(BQ869),"No",BQ869))</f>
        <v>Yes</v>
      </c>
    </row>
    <row r="870" customFormat="false" ht="15" hidden="false" customHeight="false" outlineLevel="0" collapsed="false">
      <c r="A870" s="0" t="s">
        <v>2021</v>
      </c>
      <c r="B870" s="2" t="n">
        <v>45729</v>
      </c>
      <c r="C870" s="2" t="str">
        <f aca="false">TEXT(B870,"dd/mm/yyyy")</f>
        <v>13/03/2025</v>
      </c>
      <c r="D870" s="0" t="s">
        <v>163</v>
      </c>
      <c r="E870" s="0" t="n">
        <v>8032297072</v>
      </c>
      <c r="F870" s="0" t="s">
        <v>85</v>
      </c>
      <c r="G870" s="0" t="s">
        <v>2319</v>
      </c>
      <c r="H870" s="0" t="s">
        <v>2022</v>
      </c>
      <c r="I870" s="0" t="s">
        <v>69</v>
      </c>
      <c r="K870" s="3" t="str">
        <f aca="false" t="array" ref="K870:K870">IFERROR(IF(J870&lt;&gt;"",J870,INDEX(J870:J1869,MATCH(1,(F870:F1869=F870)*(I870:I1869=I870)*(L870:L1869=L870)*(J870:J1869&lt;&gt;""),0))),"Not Found")</f>
        <v>Brake Failure</v>
      </c>
      <c r="L870" s="3" t="s">
        <v>108</v>
      </c>
      <c r="M870" s="0" t="str">
        <f aca="false">PROPER(L870)</f>
        <v>Timing Belt</v>
      </c>
      <c r="N870" s="3" t="s">
        <v>90</v>
      </c>
      <c r="O870" s="0" t="str">
        <f aca="false" t="array" ref="O870:O870">IF(N870&lt;&gt;"",N870,_xlfn.xlookup(1,(L870:L1869=L870)*(N870:N1869&lt;&gt;""),N870:N1869,"Not Found"))</f>
        <v>Musa</v>
      </c>
      <c r="P870" s="4" t="n">
        <v>106658</v>
      </c>
      <c r="Q870" s="0" t="s">
        <v>91</v>
      </c>
      <c r="R870" s="0" t="str">
        <f aca="false">PROPER(Q870)</f>
        <v>Pos</v>
      </c>
      <c r="S870" s="0" t="s">
        <v>63</v>
      </c>
      <c r="U870" s="5" t="n">
        <f aca="false">IF(ISBLANK(T870),AVERAGE(T870:T1869),T870)</f>
        <v>3.36792452830189</v>
      </c>
      <c r="V870" s="0" t="n">
        <v>4.8</v>
      </c>
      <c r="W870" s="0" t="s">
        <v>51</v>
      </c>
      <c r="X870" s="0" t="str">
        <f aca="false">IF(ISBLANK(W870),"No remarks",W870)</f>
        <v>Recommended further checks</v>
      </c>
      <c r="Y870" s="0" t="s">
        <v>73</v>
      </c>
      <c r="Z870" s="0" t="s">
        <v>53</v>
      </c>
      <c r="AA870" s="0" t="str">
        <f aca="false">PROPER(IF(ISBLANK(Z870),"Location Unavailable",Z870))</f>
        <v>Main Bay</v>
      </c>
      <c r="AB870" s="0" t="s">
        <v>75</v>
      </c>
      <c r="AC870" s="6" t="str">
        <f aca="false">PROPER(AB870)</f>
        <v>Mechanik Referal</v>
      </c>
      <c r="AD870" s="6" t="n">
        <v>30</v>
      </c>
      <c r="AE870" s="5" t="n">
        <f aca="false">IF(ISBLANK(AD870),AVERAGEIF(L870:L1869,L870,AD870:AD1869),AD870)</f>
        <v>30</v>
      </c>
      <c r="AF870" s="0" t="s">
        <v>55</v>
      </c>
      <c r="AG870" s="0" t="str">
        <f aca="false">PROPER(AF870)</f>
        <v>Available</v>
      </c>
      <c r="AH870" s="0" t="s">
        <v>155</v>
      </c>
      <c r="AI870" s="0" t="s">
        <v>113</v>
      </c>
      <c r="AJ870" s="0" t="str">
        <f aca="false">PROPER(AI870)</f>
        <v>Normal</v>
      </c>
      <c r="AK870" s="0" t="s">
        <v>114</v>
      </c>
      <c r="AL870" s="0" t="str">
        <f aca="false">PROPER(AK870)</f>
        <v>Returning</v>
      </c>
      <c r="AM870" s="0" t="s">
        <v>2326</v>
      </c>
      <c r="AN870" s="0" t="str">
        <f aca="false">IF(ISBLANK(AM870),"Unknown",AM870)</f>
        <v>Government Convoy</v>
      </c>
      <c r="AO870" s="0" t="s">
        <v>79</v>
      </c>
      <c r="AP870" s="0" t="str">
        <f aca="false">IF(ISBLANK(AO870),"Unknown",AO870)</f>
        <v>Specialist</v>
      </c>
      <c r="AQ870" s="0" t="n">
        <v>40000</v>
      </c>
      <c r="AR870" s="5" t="n">
        <f aca="false">IF(ISBLANK(AQ870),AVERAGEIF(M870:M1869,M870,AQ870:AQ1869),AQ870)</f>
        <v>40000</v>
      </c>
      <c r="AS870" s="0" t="n">
        <v>40000</v>
      </c>
      <c r="AT870" s="5" t="n">
        <f aca="false">IF(ISBLANK(AS870),AVERAGE(AS870:AS1869),AS870)</f>
        <v>40000</v>
      </c>
      <c r="AU870" s="0" t="s">
        <v>82</v>
      </c>
      <c r="AV870" s="0" t="str">
        <f aca="false">PROPER(IF(ISBLANK(AU870),"No",AU870))</f>
        <v>Yes</v>
      </c>
      <c r="AW870" s="0" t="n">
        <v>5000</v>
      </c>
      <c r="AX870" s="5" t="n">
        <f aca="false">IF(ISBLANK(AW870),0,AW870)</f>
        <v>5000</v>
      </c>
      <c r="AY870" s="0" t="s">
        <v>80</v>
      </c>
      <c r="AZ870" s="0" t="str">
        <f aca="false">UPPER(IF(ISBLANK(AY870),"NONE",AY870))</f>
        <v>PROMO10</v>
      </c>
      <c r="BA870" s="7" t="n">
        <v>45852</v>
      </c>
      <c r="BB870" s="7" t="n">
        <f aca="false">IF(ISBLANK(BA870),"No Follow Up Needed",BA870)</f>
        <v>45852</v>
      </c>
      <c r="BD870" s="0" t="str">
        <f aca="false">PROPER(IF(ISBLANK(BC870),"Unknown",BC870))</f>
        <v>Unknown</v>
      </c>
      <c r="BF870" s="0" t="str">
        <f aca="false">IF(ISBLANK(BE870),"No comments",BE870)</f>
        <v>No comments</v>
      </c>
      <c r="BG870" s="0" t="s">
        <v>117</v>
      </c>
      <c r="BH870" s="0" t="str">
        <f aca="false">IF(ISBLANK(BG870),"No comments",BG870)</f>
        <v>Prefers morning</v>
      </c>
      <c r="BI870" s="0" t="s">
        <v>50</v>
      </c>
      <c r="BJ870" s="0" t="str">
        <f aca="false">IF(ISBLANK(BI870),"Not Mentioned",BI870)</f>
        <v>No</v>
      </c>
      <c r="BK870" s="0" t="s">
        <v>50</v>
      </c>
      <c r="BL870" s="0" t="str">
        <f aca="false">PROPER(IF(ISBLANK(BK870),"Not Mentioned",BK870))</f>
        <v>No</v>
      </c>
      <c r="BM870" s="0" t="s">
        <v>50</v>
      </c>
      <c r="BN870" s="0" t="str">
        <f aca="false">PROPER(IF(ISBLANK(BM870),"Not Mentioned",BM870))</f>
        <v>No</v>
      </c>
      <c r="BO870" s="0" t="s">
        <v>2318</v>
      </c>
      <c r="BP870" s="0" t="str">
        <f aca="false">IF(ISBLANK(BO870),"One-Time Plan",BO870)</f>
        <v>Gold</v>
      </c>
      <c r="BQ870" s="0" t="s">
        <v>50</v>
      </c>
      <c r="BR870" s="0" t="str">
        <f aca="false">PROPER(IF(ISBLANK(BQ870),"No",BQ870))</f>
        <v>No</v>
      </c>
    </row>
    <row r="871" customFormat="false" ht="15" hidden="false" customHeight="false" outlineLevel="0" collapsed="false">
      <c r="A871" s="0" t="s">
        <v>2023</v>
      </c>
      <c r="B871" s="2" t="n">
        <v>45811</v>
      </c>
      <c r="C871" s="2" t="str">
        <f aca="false">TEXT(B871,"dd/mm/yyyy")</f>
        <v>03/06/2025</v>
      </c>
      <c r="D871" s="0" t="s">
        <v>105</v>
      </c>
      <c r="E871" s="0" t="n">
        <v>8020711890</v>
      </c>
      <c r="F871" s="0" t="s">
        <v>67</v>
      </c>
      <c r="G871" s="0" t="s">
        <v>2316</v>
      </c>
      <c r="H871" s="0" t="s">
        <v>2024</v>
      </c>
      <c r="I871" s="0" t="s">
        <v>45</v>
      </c>
      <c r="J871" s="0" t="s">
        <v>2325</v>
      </c>
      <c r="K871" s="3" t="str">
        <f aca="false" t="array" ref="K871:K871">IFERROR(IF(J871&lt;&gt;"",J871,INDEX(J871:J1870,MATCH(1,(F871:F1870=F871)*(I871:I1870=I871)*(L871:L1870=L871)*(J871:J1870&lt;&gt;""),0))),"Not Found")</f>
        <v>Engine Knocking</v>
      </c>
      <c r="L871" s="3" t="s">
        <v>142</v>
      </c>
      <c r="M871" s="0" t="str">
        <f aca="false">PROPER(L871)</f>
        <v>Oil Filter, Brake Pads</v>
      </c>
      <c r="N871" s="3" t="s">
        <v>109</v>
      </c>
      <c r="O871" s="0" t="str">
        <f aca="false" t="array" ref="O871:O871">IF(N871&lt;&gt;"",N871,_xlfn.xlookup(1,(L871:L1870=L871)*(N871:N1870&lt;&gt;""),N871:N1870,"Not Found"))</f>
        <v>Tijani</v>
      </c>
      <c r="P871" s="4" t="n">
        <v>40557</v>
      </c>
      <c r="Q871" s="0" t="s">
        <v>72</v>
      </c>
      <c r="R871" s="0" t="str">
        <f aca="false">PROPER(Q871)</f>
        <v>Pos</v>
      </c>
      <c r="S871" s="0" t="s">
        <v>63</v>
      </c>
      <c r="T871" s="0" t="n">
        <v>2</v>
      </c>
      <c r="U871" s="5" t="n">
        <f aca="false">IF(ISBLANK(T871),AVERAGE(T871:T1870),T871)</f>
        <v>2</v>
      </c>
      <c r="V871" s="0" t="n">
        <v>4.1</v>
      </c>
      <c r="W871" s="0" t="s">
        <v>111</v>
      </c>
      <c r="X871" s="0" t="str">
        <f aca="false">IF(ISBLANK(W871),"No remarks",W871)</f>
        <v>Changed all filters</v>
      </c>
      <c r="Y871" s="0" t="s">
        <v>52</v>
      </c>
      <c r="Z871" s="0" t="s">
        <v>94</v>
      </c>
      <c r="AA871" s="0" t="str">
        <f aca="false">PROPER(IF(ISBLANK(Z871),"Location Unavailable",Z871))</f>
        <v>Vip Section</v>
      </c>
      <c r="AB871" s="0" t="s">
        <v>54</v>
      </c>
      <c r="AC871" s="6" t="str">
        <f aca="false">PROPER(AB871)</f>
        <v>Mechanic Referral</v>
      </c>
      <c r="AD871" s="6" t="n">
        <v>45</v>
      </c>
      <c r="AE871" s="5" t="n">
        <f aca="false">IF(ISBLANK(AD871),AVERAGEIF(L871:L1870,L871,AD871:AD1870),AD871)</f>
        <v>45</v>
      </c>
      <c r="AF871" s="0" t="s">
        <v>55</v>
      </c>
      <c r="AG871" s="0" t="str">
        <f aca="false">PROPER(AF871)</f>
        <v>Available</v>
      </c>
      <c r="AH871" s="0" t="s">
        <v>56</v>
      </c>
      <c r="AI871" s="0" t="s">
        <v>98</v>
      </c>
      <c r="AJ871" s="0" t="str">
        <f aca="false">PROPER(AI871)</f>
        <v>Emergency</v>
      </c>
      <c r="AK871" s="0" t="s">
        <v>58</v>
      </c>
      <c r="AL871" s="0" t="str">
        <f aca="false">PROPER(AK871)</f>
        <v>Fleet Owner</v>
      </c>
      <c r="AM871" s="0" t="s">
        <v>59</v>
      </c>
      <c r="AN871" s="0" t="str">
        <f aca="false">IF(ISBLANK(AM871),"Unknown",AM871)</f>
        <v>Bolt Driver</v>
      </c>
      <c r="AO871" s="0" t="s">
        <v>143</v>
      </c>
      <c r="AP871" s="0" t="str">
        <f aca="false">IF(ISBLANK(AO871),"Unknown",AO871)</f>
        <v>Senior</v>
      </c>
      <c r="AQ871" s="0" t="n">
        <v>40000</v>
      </c>
      <c r="AR871" s="5" t="n">
        <f aca="false">IF(ISBLANK(AQ871),AVERAGEIF(M871:M1870,M871,AQ871:AQ1870),AQ871)</f>
        <v>40000</v>
      </c>
      <c r="AT871" s="5" t="n">
        <f aca="false">IF(ISBLANK(AS871),AVERAGE(AS871:AS1870),AS871)</f>
        <v>31205.3571428571</v>
      </c>
      <c r="AU871" s="0" t="s">
        <v>63</v>
      </c>
      <c r="AV871" s="0" t="str">
        <f aca="false">PROPER(IF(ISBLANK(AU871),"No",AU871))</f>
        <v>Yes</v>
      </c>
      <c r="AW871" s="0" t="n">
        <v>5000</v>
      </c>
      <c r="AX871" s="5" t="n">
        <f aca="false">IF(ISBLANK(AW871),0,AW871)</f>
        <v>5000</v>
      </c>
      <c r="AY871" s="0" t="s">
        <v>60</v>
      </c>
      <c r="AZ871" s="0" t="str">
        <f aca="false">UPPER(IF(ISBLANK(AY871),"NONE",AY871))</f>
        <v>NONE</v>
      </c>
      <c r="BA871" s="7" t="n">
        <v>46003</v>
      </c>
      <c r="BB871" s="7" t="n">
        <f aca="false">IF(ISBLANK(BA871),"No Follow Up Needed",BA871)</f>
        <v>46003</v>
      </c>
      <c r="BC871" s="0" t="s">
        <v>82</v>
      </c>
      <c r="BD871" s="0" t="str">
        <f aca="false">PROPER(IF(ISBLANK(BC871),"Unknown",BC871))</f>
        <v>Yes</v>
      </c>
      <c r="BF871" s="0" t="str">
        <f aca="false">IF(ISBLANK(BE871),"No comments",BE871)</f>
        <v>No comments</v>
      </c>
      <c r="BH871" s="0" t="str">
        <f aca="false">IF(ISBLANK(BG871),"No comments",BG871)</f>
        <v>No comments</v>
      </c>
      <c r="BI871" s="0" t="s">
        <v>63</v>
      </c>
      <c r="BJ871" s="0" t="str">
        <f aca="false">IF(ISBLANK(BI871),"Not Mentioned",BI871)</f>
        <v>Yes</v>
      </c>
      <c r="BK871" s="0" t="s">
        <v>82</v>
      </c>
      <c r="BL871" s="0" t="str">
        <f aca="false">PROPER(IF(ISBLANK(BK871),"Not Mentioned",BK871))</f>
        <v>Yes</v>
      </c>
      <c r="BN871" s="0" t="str">
        <f aca="false">PROPER(IF(ISBLANK(BM871),"Not Mentioned",BM871))</f>
        <v>Not Mentioned</v>
      </c>
      <c r="BP871" s="0" t="str">
        <f aca="false">IF(ISBLANK(BO871),"One-Time Plan",BO871)</f>
        <v>One-Time Plan</v>
      </c>
      <c r="BQ871" s="0" t="s">
        <v>50</v>
      </c>
      <c r="BR871" s="0" t="str">
        <f aca="false">PROPER(IF(ISBLANK(BQ871),"No",BQ871))</f>
        <v>No</v>
      </c>
    </row>
    <row r="872" customFormat="false" ht="15" hidden="false" customHeight="false" outlineLevel="0" collapsed="false">
      <c r="A872" s="0" t="s">
        <v>2025</v>
      </c>
      <c r="B872" s="2" t="n">
        <v>45717</v>
      </c>
      <c r="C872" s="2" t="str">
        <f aca="false">TEXT(B872,"dd/mm/yyyy")</f>
        <v>01/03/2025</v>
      </c>
      <c r="D872" s="0" t="s">
        <v>42</v>
      </c>
      <c r="E872" s="0" t="n">
        <v>8049342650</v>
      </c>
      <c r="F872" s="0" t="s">
        <v>139</v>
      </c>
      <c r="G872" s="0" t="s">
        <v>2323</v>
      </c>
      <c r="H872" s="0" t="s">
        <v>2026</v>
      </c>
      <c r="I872" s="0" t="s">
        <v>107</v>
      </c>
      <c r="J872" s="0" t="s">
        <v>2317</v>
      </c>
      <c r="K872" s="3" t="str">
        <f aca="false" t="array" ref="K872:K872">IFERROR(IF(J872&lt;&gt;"",J872,INDEX(J872:J1871,MATCH(1,(F872:F1871=F872)*(I872:I1871=I872)*(L872:L1871=L872)*(J872:J1871&lt;&gt;""),0))),"Not Found")</f>
        <v>Suspension Noise</v>
      </c>
      <c r="L872" s="3" t="s">
        <v>47</v>
      </c>
      <c r="M872" s="0" t="str">
        <f aca="false">PROPER(L872)</f>
        <v>None</v>
      </c>
      <c r="N872" s="3" t="s">
        <v>109</v>
      </c>
      <c r="O872" s="0" t="str">
        <f aca="false" t="array" ref="O872:O872">IF(N872&lt;&gt;"",N872,_xlfn.xlookup(1,(L872:L1871=L872)*(N872:N1871&lt;&gt;""),N872:N1871,"Not Found"))</f>
        <v>Tijani</v>
      </c>
      <c r="P872" s="4" t="n">
        <v>84853</v>
      </c>
      <c r="Q872" s="0" t="s">
        <v>72</v>
      </c>
      <c r="R872" s="0" t="str">
        <f aca="false">PROPER(Q872)</f>
        <v>Pos</v>
      </c>
      <c r="S872" s="0" t="s">
        <v>63</v>
      </c>
      <c r="T872" s="0" t="n">
        <v>3</v>
      </c>
      <c r="U872" s="5" t="n">
        <f aca="false">IF(ISBLANK(T872),AVERAGE(T872:T1871),T872)</f>
        <v>3</v>
      </c>
      <c r="V872" s="0" t="n">
        <v>5.1</v>
      </c>
      <c r="W872" s="0" t="s">
        <v>111</v>
      </c>
      <c r="X872" s="0" t="str">
        <f aca="false">IF(ISBLANK(W872),"No remarks",W872)</f>
        <v>Changed all filters</v>
      </c>
      <c r="Y872" s="0" t="s">
        <v>52</v>
      </c>
      <c r="AA872" s="0" t="str">
        <f aca="false">PROPER(IF(ISBLANK(Z872),"Location Unavailable",Z872))</f>
        <v>Location Unavailable</v>
      </c>
      <c r="AB872" s="0" t="s">
        <v>147</v>
      </c>
      <c r="AC872" s="6" t="str">
        <f aca="false">PROPER(AB872)</f>
        <v>Instagram</v>
      </c>
      <c r="AE872" s="5" t="n">
        <f aca="false">IF(ISBLANK(AD872),AVERAGEIF(L872:L1871,L872,AD872:AD1871),AD872)</f>
        <v>39</v>
      </c>
      <c r="AF872" s="0" t="s">
        <v>112</v>
      </c>
      <c r="AG872" s="0" t="str">
        <f aca="false">PROPER(AF872)</f>
        <v>Unavailable</v>
      </c>
      <c r="AH872" s="0" t="s">
        <v>56</v>
      </c>
      <c r="AI872" s="0" t="s">
        <v>128</v>
      </c>
      <c r="AJ872" s="0" t="str">
        <f aca="false">PROPER(AI872)</f>
        <v>Normal</v>
      </c>
      <c r="AK872" s="0" t="s">
        <v>196</v>
      </c>
      <c r="AL872" s="0" t="str">
        <f aca="false">PROPER(AK872)</f>
        <v>First Time</v>
      </c>
      <c r="AM872" s="0" t="s">
        <v>2324</v>
      </c>
      <c r="AN872" s="0" t="str">
        <f aca="false">IF(ISBLANK(AM872),"Unknown",AM872)</f>
        <v>Logistics Convoy</v>
      </c>
      <c r="AO872" s="0" t="s">
        <v>79</v>
      </c>
      <c r="AP872" s="0" t="str">
        <f aca="false">IF(ISBLANK(AO872),"Unknown",AO872)</f>
        <v>Specialist</v>
      </c>
      <c r="AQ872" s="0" t="n">
        <v>20000</v>
      </c>
      <c r="AR872" s="5" t="n">
        <f aca="false">IF(ISBLANK(AQ872),AVERAGEIF(M872:M1871,M872,AQ872:AQ1871),AQ872)</f>
        <v>20000</v>
      </c>
      <c r="AS872" s="0" t="n">
        <v>40000</v>
      </c>
      <c r="AT872" s="5" t="n">
        <f aca="false">IF(ISBLANK(AS872),AVERAGE(AS872:AS1871),AS872)</f>
        <v>40000</v>
      </c>
      <c r="AU872" s="0" t="s">
        <v>82</v>
      </c>
      <c r="AV872" s="0" t="str">
        <f aca="false">PROPER(IF(ISBLANK(AU872),"No",AU872))</f>
        <v>Yes</v>
      </c>
      <c r="AX872" s="5" t="n">
        <f aca="false">IF(ISBLANK(AW872),0,AW872)</f>
        <v>0</v>
      </c>
      <c r="AY872" s="0" t="s">
        <v>60</v>
      </c>
      <c r="AZ872" s="0" t="str">
        <f aca="false">UPPER(IF(ISBLANK(AY872),"NONE",AY872))</f>
        <v>NONE</v>
      </c>
      <c r="BA872" s="7" t="n">
        <v>45939</v>
      </c>
      <c r="BB872" s="7" t="n">
        <f aca="false">IF(ISBLANK(BA872),"No Follow Up Needed",BA872)</f>
        <v>45939</v>
      </c>
      <c r="BC872" s="0" t="s">
        <v>61</v>
      </c>
      <c r="BD872" s="0" t="str">
        <f aca="false">PROPER(IF(ISBLANK(BC872),"Unknown",BC872))</f>
        <v>No</v>
      </c>
      <c r="BE872" s="0" t="s">
        <v>171</v>
      </c>
      <c r="BF872" s="0" t="str">
        <f aca="false">IF(ISBLANK(BE872),"No comments",BE872)</f>
        <v>Shock absorber weakening</v>
      </c>
      <c r="BH872" s="0" t="str">
        <f aca="false">IF(ISBLANK(BG872),"No comments",BG872)</f>
        <v>No comments</v>
      </c>
      <c r="BI872" s="0" t="s">
        <v>50</v>
      </c>
      <c r="BJ872" s="0" t="str">
        <f aca="false">IF(ISBLANK(BI872),"Not Mentioned",BI872)</f>
        <v>No</v>
      </c>
      <c r="BK872" s="0" t="s">
        <v>82</v>
      </c>
      <c r="BL872" s="0" t="str">
        <f aca="false">PROPER(IF(ISBLANK(BK872),"Not Mentioned",BK872))</f>
        <v>Yes</v>
      </c>
      <c r="BM872" s="0" t="s">
        <v>63</v>
      </c>
      <c r="BN872" s="0" t="str">
        <f aca="false">PROPER(IF(ISBLANK(BM872),"Not Mentioned",BM872))</f>
        <v>Yes</v>
      </c>
      <c r="BP872" s="0" t="str">
        <f aca="false">IF(ISBLANK(BO872),"One-Time Plan",BO872)</f>
        <v>One-Time Plan</v>
      </c>
      <c r="BQ872" s="0" t="s">
        <v>50</v>
      </c>
      <c r="BR872" s="0" t="str">
        <f aca="false">PROPER(IF(ISBLANK(BQ872),"No",BQ872))</f>
        <v>No</v>
      </c>
    </row>
    <row r="873" customFormat="false" ht="15" hidden="false" customHeight="false" outlineLevel="0" collapsed="false">
      <c r="A873" s="0" t="s">
        <v>2027</v>
      </c>
      <c r="B873" s="2" t="s">
        <v>316</v>
      </c>
      <c r="C873" s="2" t="str">
        <f aca="false">TEXT(B873,"dd/mm/yyyy")</f>
        <v>14/01/2025</v>
      </c>
      <c r="D873" s="0" t="s">
        <v>163</v>
      </c>
      <c r="E873" s="0" t="n">
        <v>8021503407</v>
      </c>
      <c r="F873" s="0" t="s">
        <v>67</v>
      </c>
      <c r="G873" s="0" t="s">
        <v>2316</v>
      </c>
      <c r="H873" s="0" t="s">
        <v>2028</v>
      </c>
      <c r="I873" s="0" t="s">
        <v>87</v>
      </c>
      <c r="J873" s="0" t="s">
        <v>2317</v>
      </c>
      <c r="K873" s="3" t="str">
        <f aca="false" t="array" ref="K873:K873">IFERROR(IF(J873&lt;&gt;"",J873,INDEX(J873:J1872,MATCH(1,(F873:F1872=F873)*(I873:I1872=I873)*(L873:L1872=L873)*(J873:J1872&lt;&gt;""),0))),"Not Found")</f>
        <v>Suspension Noise</v>
      </c>
      <c r="L873" s="3" t="s">
        <v>108</v>
      </c>
      <c r="M873" s="0" t="str">
        <f aca="false">PROPER(L873)</f>
        <v>Timing Belt</v>
      </c>
      <c r="N873" s="3" t="s">
        <v>48</v>
      </c>
      <c r="O873" s="0" t="str">
        <f aca="false" t="array" ref="O873:O873">IF(N873&lt;&gt;"",N873,_xlfn.xlookup(1,(L873:L1872=L873)*(N873:N1872&lt;&gt;""),N873:N1872,"Not Found"))</f>
        <v>Uche</v>
      </c>
      <c r="P873" s="4" t="n">
        <v>67718</v>
      </c>
      <c r="Q873" s="0" t="s">
        <v>110</v>
      </c>
      <c r="R873" s="0" t="str">
        <f aca="false">PROPER(Q873)</f>
        <v>Cash</v>
      </c>
      <c r="S873" s="0" t="s">
        <v>50</v>
      </c>
      <c r="T873" s="0" t="n">
        <v>2</v>
      </c>
      <c r="U873" s="5" t="n">
        <f aca="false">IF(ISBLANK(T873),AVERAGE(T873:T1872),T873)</f>
        <v>2</v>
      </c>
      <c r="V873" s="0" t="n">
        <v>1.7</v>
      </c>
      <c r="W873" s="0" t="s">
        <v>51</v>
      </c>
      <c r="X873" s="0" t="str">
        <f aca="false">IF(ISBLANK(W873),"No remarks",W873)</f>
        <v>Recommended further checks</v>
      </c>
      <c r="Y873" s="0" t="s">
        <v>73</v>
      </c>
      <c r="Z873" s="0" t="s">
        <v>136</v>
      </c>
      <c r="AA873" s="0" t="str">
        <f aca="false">PROPER(IF(ISBLANK(Z873),"Location Unavailable",Z873))</f>
        <v>Vip Section</v>
      </c>
      <c r="AB873" s="0" t="s">
        <v>54</v>
      </c>
      <c r="AC873" s="6" t="str">
        <f aca="false">PROPER(AB873)</f>
        <v>Mechanic Referral</v>
      </c>
      <c r="AD873" s="6" t="n">
        <v>60</v>
      </c>
      <c r="AE873" s="5" t="n">
        <f aca="false">IF(ISBLANK(AD873),AVERAGEIF(L873:L1872,L873,AD873:AD1872),AD873)</f>
        <v>60</v>
      </c>
      <c r="AF873" s="0" t="s">
        <v>76</v>
      </c>
      <c r="AG873" s="0" t="str">
        <f aca="false">PROPER(AF873)</f>
        <v>Orderd</v>
      </c>
      <c r="AH873" s="0" t="s">
        <v>56</v>
      </c>
      <c r="AI873" s="0" t="s">
        <v>98</v>
      </c>
      <c r="AJ873" s="0" t="str">
        <f aca="false">PROPER(AI873)</f>
        <v>Emergency</v>
      </c>
      <c r="AK873" s="0" t="s">
        <v>99</v>
      </c>
      <c r="AL873" s="0" t="str">
        <f aca="false">PROPER(AK873)</f>
        <v>Uber Driver</v>
      </c>
      <c r="AN873" s="0" t="str">
        <f aca="false">IF(ISBLANK(AM873),"Unknown",AM873)</f>
        <v>Unknown</v>
      </c>
      <c r="AO873" s="0" t="s">
        <v>149</v>
      </c>
      <c r="AP873" s="0" t="str">
        <f aca="false">IF(ISBLANK(AO873),"Unknown",AO873)</f>
        <v>Senior </v>
      </c>
      <c r="AQ873" s="0" t="n">
        <v>40000</v>
      </c>
      <c r="AR873" s="5" t="n">
        <f aca="false">IF(ISBLANK(AQ873),AVERAGEIF(M873:M1872,M873,AQ873:AQ1872),AQ873)</f>
        <v>40000</v>
      </c>
      <c r="AT873" s="5" t="n">
        <f aca="false">IF(ISBLANK(AS873),AVERAGE(AS873:AS1872),AS873)</f>
        <v>31126.1261261261</v>
      </c>
      <c r="AU873" s="0" t="s">
        <v>82</v>
      </c>
      <c r="AV873" s="0" t="str">
        <f aca="false">PROPER(IF(ISBLANK(AU873),"No",AU873))</f>
        <v>Yes</v>
      </c>
      <c r="AW873" s="0" t="n">
        <v>0</v>
      </c>
      <c r="AX873" s="5" t="n">
        <f aca="false">IF(ISBLANK(AW873),0,AW873)</f>
        <v>0</v>
      </c>
      <c r="AY873" s="0" t="s">
        <v>80</v>
      </c>
      <c r="AZ873" s="0" t="str">
        <f aca="false">UPPER(IF(ISBLANK(AY873),"NONE",AY873))</f>
        <v>PROMO10</v>
      </c>
      <c r="BA873" s="7" t="n">
        <v>45920</v>
      </c>
      <c r="BB873" s="7" t="n">
        <f aca="false">IF(ISBLANK(BA873),"No Follow Up Needed",BA873)</f>
        <v>45920</v>
      </c>
      <c r="BD873" s="0" t="str">
        <f aca="false">PROPER(IF(ISBLANK(BC873),"Unknown",BC873))</f>
        <v>Unknown</v>
      </c>
      <c r="BE873" s="0" t="s">
        <v>116</v>
      </c>
      <c r="BF873" s="0" t="str">
        <f aca="false">IF(ISBLANK(BE873),"No comments",BE873)</f>
        <v>Needs tire alignment</v>
      </c>
      <c r="BH873" s="0" t="str">
        <f aca="false">IF(ISBLANK(BG873),"No comments",BG873)</f>
        <v>No comments</v>
      </c>
      <c r="BJ873" s="0" t="str">
        <f aca="false">IF(ISBLANK(BI873),"Not Mentioned",BI873)</f>
        <v>Not Mentioned</v>
      </c>
      <c r="BK873" s="0" t="s">
        <v>82</v>
      </c>
      <c r="BL873" s="0" t="str">
        <f aca="false">PROPER(IF(ISBLANK(BK873),"Not Mentioned",BK873))</f>
        <v>Yes</v>
      </c>
      <c r="BM873" s="0" t="s">
        <v>63</v>
      </c>
      <c r="BN873" s="0" t="str">
        <f aca="false">PROPER(IF(ISBLANK(BM873),"Not Mentioned",BM873))</f>
        <v>Yes</v>
      </c>
      <c r="BO873" s="0" t="s">
        <v>64</v>
      </c>
      <c r="BP873" s="0" t="str">
        <f aca="false">IF(ISBLANK(BO873),"One-Time Plan",BO873)</f>
        <v>Gold Maintenance Plan</v>
      </c>
      <c r="BQ873" s="0" t="s">
        <v>50</v>
      </c>
      <c r="BR873" s="0" t="str">
        <f aca="false">PROPER(IF(ISBLANK(BQ873),"No",BQ873))</f>
        <v>No</v>
      </c>
    </row>
    <row r="874" customFormat="false" ht="15" hidden="false" customHeight="false" outlineLevel="0" collapsed="false">
      <c r="A874" s="0" t="s">
        <v>2029</v>
      </c>
      <c r="B874" s="2" t="n">
        <v>45755</v>
      </c>
      <c r="C874" s="2" t="str">
        <f aca="false">TEXT(B874,"dd/mm/yyyy")</f>
        <v>08/04/2025</v>
      </c>
      <c r="D874" s="0" t="s">
        <v>105</v>
      </c>
      <c r="E874" s="0" t="n">
        <v>8060697866</v>
      </c>
      <c r="F874" s="0" t="s">
        <v>43</v>
      </c>
      <c r="G874" s="0" t="s">
        <v>2315</v>
      </c>
      <c r="H874" s="0" t="s">
        <v>2030</v>
      </c>
      <c r="I874" s="0" t="s">
        <v>69</v>
      </c>
      <c r="J874" s="0" t="s">
        <v>87</v>
      </c>
      <c r="K874" s="3" t="str">
        <f aca="false" t="array" ref="K874:K874">IFERROR(IF(J874&lt;&gt;"",J874,INDEX(J874:J1873,MATCH(1,(F874:F1873=F874)*(I874:I1873=I874)*(L874:L1873=L874)*(J874:J1873&lt;&gt;""),0))),"Not Found")</f>
        <v>Oil Change</v>
      </c>
      <c r="L874" s="3" t="s">
        <v>108</v>
      </c>
      <c r="M874" s="0" t="str">
        <f aca="false">PROPER(L874)</f>
        <v>Timing Belt</v>
      </c>
      <c r="O874" s="0" t="e">
        <f aca="false" t="array" ref="O874:O874">IF(N874&lt;&gt;"",N874,_xlfn.xlookup(1,(L874:L1873=L874)*(N874:N1873&lt;&gt;""),N874:N1873,"Not Found"))</f>
        <v>#NAME?</v>
      </c>
      <c r="P874" s="4" t="n">
        <v>76433</v>
      </c>
      <c r="Q874" s="0" t="s">
        <v>124</v>
      </c>
      <c r="R874" s="0" t="str">
        <f aca="false">PROPER(Q874)</f>
        <v>Cash</v>
      </c>
      <c r="S874" s="0" t="s">
        <v>63</v>
      </c>
      <c r="T874" s="0" t="n">
        <v>4</v>
      </c>
      <c r="U874" s="5" t="n">
        <f aca="false">IF(ISBLANK(T874),AVERAGE(T874:T1873),T874)</f>
        <v>4</v>
      </c>
      <c r="V874" s="0" t="n">
        <v>3.5</v>
      </c>
      <c r="W874" s="0" t="s">
        <v>51</v>
      </c>
      <c r="X874" s="0" t="str">
        <f aca="false">IF(ISBLANK(W874),"No remarks",W874)</f>
        <v>Recommended further checks</v>
      </c>
      <c r="Y874" s="0" t="s">
        <v>93</v>
      </c>
      <c r="AA874" s="0" t="str">
        <f aca="false">PROPER(IF(ISBLANK(Z874),"Location Unavailable",Z874))</f>
        <v>Location Unavailable</v>
      </c>
      <c r="AB874" s="0" t="s">
        <v>147</v>
      </c>
      <c r="AC874" s="6" t="str">
        <f aca="false">PROPER(AB874)</f>
        <v>Instagram</v>
      </c>
      <c r="AD874" s="6" t="n">
        <v>45</v>
      </c>
      <c r="AE874" s="5" t="n">
        <f aca="false">IF(ISBLANK(AD874),AVERAGEIF(L874:L1873,L874,AD874:AD1873),AD874)</f>
        <v>45</v>
      </c>
      <c r="AF874" s="0" t="s">
        <v>55</v>
      </c>
      <c r="AG874" s="0" t="str">
        <f aca="false">PROPER(AF874)</f>
        <v>Available</v>
      </c>
      <c r="AH874" s="0" t="s">
        <v>148</v>
      </c>
      <c r="AI874" s="0" t="s">
        <v>113</v>
      </c>
      <c r="AJ874" s="0" t="str">
        <f aca="false">PROPER(AI874)</f>
        <v>Normal</v>
      </c>
      <c r="AK874" s="0" t="s">
        <v>58</v>
      </c>
      <c r="AL874" s="0" t="str">
        <f aca="false">PROPER(AK874)</f>
        <v>Fleet Owner</v>
      </c>
      <c r="AN874" s="0" t="str">
        <f aca="false">IF(ISBLANK(AM874),"Unknown",AM874)</f>
        <v>Unknown</v>
      </c>
      <c r="AO874" s="0" t="s">
        <v>79</v>
      </c>
      <c r="AP874" s="0" t="str">
        <f aca="false">IF(ISBLANK(AO874),"Unknown",AO874)</f>
        <v>Specialist</v>
      </c>
      <c r="AQ874" s="0" t="n">
        <v>40000</v>
      </c>
      <c r="AR874" s="5" t="n">
        <f aca="false">IF(ISBLANK(AQ874),AVERAGEIF(M874:M1873,M874,AQ874:AQ1873),AQ874)</f>
        <v>40000</v>
      </c>
      <c r="AS874" s="0" t="n">
        <v>30000</v>
      </c>
      <c r="AT874" s="5" t="n">
        <f aca="false">IF(ISBLANK(AS874),AVERAGE(AS874:AS1873),AS874)</f>
        <v>30000</v>
      </c>
      <c r="AU874" s="0" t="s">
        <v>50</v>
      </c>
      <c r="AV874" s="0" t="str">
        <f aca="false">PROPER(IF(ISBLANK(AU874),"No",AU874))</f>
        <v>No</v>
      </c>
      <c r="AW874" s="0" t="n">
        <v>5000</v>
      </c>
      <c r="AX874" s="5" t="n">
        <f aca="false">IF(ISBLANK(AW874),0,AW874)</f>
        <v>5000</v>
      </c>
      <c r="AZ874" s="0" t="str">
        <f aca="false">UPPER(IF(ISBLANK(AY874),"NONE",AY874))</f>
        <v>NONE</v>
      </c>
      <c r="BB874" s="7" t="str">
        <f aca="false">IF(ISBLANK(BA874),"No Follow Up Needed",BA874)</f>
        <v>No Follow Up Needed</v>
      </c>
      <c r="BC874" s="0" t="s">
        <v>61</v>
      </c>
      <c r="BD874" s="0" t="str">
        <f aca="false">PROPER(IF(ISBLANK(BC874),"Unknown",BC874))</f>
        <v>No</v>
      </c>
      <c r="BF874" s="0" t="str">
        <f aca="false">IF(ISBLANK(BE874),"No comments",BE874)</f>
        <v>No comments</v>
      </c>
      <c r="BG874" s="0" t="s">
        <v>2320</v>
      </c>
      <c r="BH874" s="0" t="str">
        <f aca="false">IF(ISBLANK(BG874),"No comments",BG874)</f>
        <v>No complaints</v>
      </c>
      <c r="BI874" s="0" t="s">
        <v>63</v>
      </c>
      <c r="BJ874" s="0" t="str">
        <f aca="false">IF(ISBLANK(BI874),"Not Mentioned",BI874)</f>
        <v>Yes</v>
      </c>
      <c r="BK874" s="0" t="s">
        <v>61</v>
      </c>
      <c r="BL874" s="0" t="str">
        <f aca="false">PROPER(IF(ISBLANK(BK874),"Not Mentioned",BK874))</f>
        <v>No</v>
      </c>
      <c r="BN874" s="0" t="str">
        <f aca="false">PROPER(IF(ISBLANK(BM874),"Not Mentioned",BM874))</f>
        <v>Not Mentioned</v>
      </c>
      <c r="BO874" s="0" t="s">
        <v>2321</v>
      </c>
      <c r="BP874" s="0" t="str">
        <f aca="false">IF(ISBLANK(BO874),"One-Time Plan",BO874)</f>
        <v>One-Time Plan</v>
      </c>
      <c r="BQ874" s="0" t="s">
        <v>190</v>
      </c>
      <c r="BR874" s="0" t="str">
        <f aca="false">PROPER(IF(ISBLANK(BQ874),"No",BQ874))</f>
        <v>Yes</v>
      </c>
    </row>
    <row r="875" customFormat="false" ht="15" hidden="false" customHeight="false" outlineLevel="0" collapsed="false">
      <c r="A875" s="0" t="s">
        <v>2031</v>
      </c>
      <c r="B875" s="2" t="n">
        <v>45735</v>
      </c>
      <c r="C875" s="2" t="str">
        <f aca="false">TEXT(B875,"dd/mm/yyyy")</f>
        <v>19/03/2025</v>
      </c>
      <c r="D875" s="0" t="s">
        <v>42</v>
      </c>
      <c r="E875" s="0" t="n">
        <v>8026734478</v>
      </c>
      <c r="F875" s="0" t="s">
        <v>85</v>
      </c>
      <c r="G875" s="0" t="s">
        <v>2319</v>
      </c>
      <c r="H875" s="0" t="s">
        <v>2032</v>
      </c>
      <c r="I875" s="0" t="s">
        <v>69</v>
      </c>
      <c r="J875" s="0" t="s">
        <v>2322</v>
      </c>
      <c r="K875" s="3" t="str">
        <f aca="false" t="array" ref="K875:K875">IFERROR(IF(J875&lt;&gt;"",J875,INDEX(J875:J1874,MATCH(1,(F875:F1874=F875)*(I875:I1874=I875)*(L875:L1874=L875)*(J875:J1874&lt;&gt;""),0))),"Not Found")</f>
        <v>Brake Failure</v>
      </c>
      <c r="L875" s="3" t="s">
        <v>47</v>
      </c>
      <c r="M875" s="0" t="str">
        <f aca="false">PROPER(L875)</f>
        <v>None</v>
      </c>
      <c r="N875" s="3" t="s">
        <v>90</v>
      </c>
      <c r="O875" s="0" t="str">
        <f aca="false" t="array" ref="O875:O875">IF(N875&lt;&gt;"",N875,_xlfn.xlookup(1,(L875:L1874=L875)*(N875:N1874&lt;&gt;""),N875:N1874,"Not Found"))</f>
        <v>Musa</v>
      </c>
      <c r="P875" s="4" t="n">
        <v>58994</v>
      </c>
      <c r="Q875" s="0" t="s">
        <v>110</v>
      </c>
      <c r="R875" s="0" t="str">
        <f aca="false">PROPER(Q875)</f>
        <v>Cash</v>
      </c>
      <c r="S875" s="0" t="s">
        <v>50</v>
      </c>
      <c r="U875" s="5" t="n">
        <f aca="false">IF(ISBLANK(T875),AVERAGE(T875:T1874),T875)</f>
        <v>3.3921568627451</v>
      </c>
      <c r="V875" s="0" t="n">
        <v>5.7</v>
      </c>
      <c r="W875" s="0" t="s">
        <v>92</v>
      </c>
      <c r="X875" s="0" t="str">
        <f aca="false">IF(ISBLANK(W875),"No remarks",W875)</f>
        <v>Urgent service</v>
      </c>
      <c r="Y875" s="0" t="s">
        <v>93</v>
      </c>
      <c r="Z875" s="0" t="s">
        <v>159</v>
      </c>
      <c r="AA875" s="0" t="str">
        <f aca="false">PROPER(IF(ISBLANK(Z875),"Location Unavailable",Z875))</f>
        <v>Main Bay</v>
      </c>
      <c r="AB875" s="0" t="s">
        <v>54</v>
      </c>
      <c r="AC875" s="6" t="str">
        <f aca="false">PROPER(AB875)</f>
        <v>Mechanic Referral</v>
      </c>
      <c r="AD875" s="6" t="n">
        <v>45</v>
      </c>
      <c r="AE875" s="5" t="n">
        <f aca="false">IF(ISBLANK(AD875),AVERAGEIF(L875:L1874,L875,AD875:AD1874),AD875)</f>
        <v>45</v>
      </c>
      <c r="AF875" s="0" t="s">
        <v>112</v>
      </c>
      <c r="AG875" s="0" t="str">
        <f aca="false">PROPER(AF875)</f>
        <v>Unavailable</v>
      </c>
      <c r="AH875" s="0" t="s">
        <v>56</v>
      </c>
      <c r="AI875" s="0" t="s">
        <v>113</v>
      </c>
      <c r="AJ875" s="0" t="str">
        <f aca="false">PROPER(AI875)</f>
        <v>Normal</v>
      </c>
      <c r="AK875" s="0" t="s">
        <v>58</v>
      </c>
      <c r="AL875" s="0" t="str">
        <f aca="false">PROPER(AK875)</f>
        <v>Fleet Owner</v>
      </c>
      <c r="AM875" s="0" t="s">
        <v>177</v>
      </c>
      <c r="AN875" s="0" t="str">
        <f aca="false">IF(ISBLANK(AM875),"Unknown",AM875)</f>
        <v>Private</v>
      </c>
      <c r="AO875" s="0" t="s">
        <v>79</v>
      </c>
      <c r="AP875" s="0" t="str">
        <f aca="false">IF(ISBLANK(AO875),"Unknown",AO875)</f>
        <v>Specialist</v>
      </c>
      <c r="AQ875" s="0" t="n">
        <v>40000</v>
      </c>
      <c r="AR875" s="5" t="n">
        <f aca="false">IF(ISBLANK(AQ875),AVERAGEIF(M875:M1874,M875,AQ875:AQ1874),AQ875)</f>
        <v>40000</v>
      </c>
      <c r="AS875" s="0" t="n">
        <v>20000</v>
      </c>
      <c r="AT875" s="5" t="n">
        <f aca="false">IF(ISBLANK(AS875),AVERAGE(AS875:AS1874),AS875)</f>
        <v>20000</v>
      </c>
      <c r="AU875" s="0" t="s">
        <v>61</v>
      </c>
      <c r="AV875" s="0" t="str">
        <f aca="false">PROPER(IF(ISBLANK(AU875),"No",AU875))</f>
        <v>No</v>
      </c>
      <c r="AW875" s="0" t="n">
        <v>0</v>
      </c>
      <c r="AX875" s="5" t="n">
        <f aca="false">IF(ISBLANK(AW875),0,AW875)</f>
        <v>0</v>
      </c>
      <c r="AY875" s="0" t="s">
        <v>184</v>
      </c>
      <c r="AZ875" s="0" t="str">
        <f aca="false">UPPER(IF(ISBLANK(AY875),"NONE",AY875))</f>
        <v>N/A</v>
      </c>
      <c r="BA875" s="7" t="n">
        <v>45878</v>
      </c>
      <c r="BB875" s="7" t="n">
        <f aca="false">IF(ISBLANK(BA875),"No Follow Up Needed",BA875)</f>
        <v>45878</v>
      </c>
      <c r="BD875" s="0" t="str">
        <f aca="false">PROPER(IF(ISBLANK(BC875),"Unknown",BC875))</f>
        <v>Unknown</v>
      </c>
      <c r="BF875" s="0" t="str">
        <f aca="false">IF(ISBLANK(BE875),"No comments",BE875)</f>
        <v>No comments</v>
      </c>
      <c r="BH875" s="0" t="str">
        <f aca="false">IF(ISBLANK(BG875),"No comments",BG875)</f>
        <v>No comments</v>
      </c>
      <c r="BI875" s="0" t="s">
        <v>50</v>
      </c>
      <c r="BJ875" s="0" t="str">
        <f aca="false">IF(ISBLANK(BI875),"Not Mentioned",BI875)</f>
        <v>No</v>
      </c>
      <c r="BK875" s="0" t="s">
        <v>63</v>
      </c>
      <c r="BL875" s="0" t="str">
        <f aca="false">PROPER(IF(ISBLANK(BK875),"Not Mentioned",BK875))</f>
        <v>Yes</v>
      </c>
      <c r="BM875" s="0" t="s">
        <v>63</v>
      </c>
      <c r="BN875" s="0" t="str">
        <f aca="false">PROPER(IF(ISBLANK(BM875),"Not Mentioned",BM875))</f>
        <v>Yes</v>
      </c>
      <c r="BO875" s="0" t="s">
        <v>2321</v>
      </c>
      <c r="BP875" s="0" t="str">
        <f aca="false">IF(ISBLANK(BO875),"One-Time Plan",BO875)</f>
        <v>One-Time Plan</v>
      </c>
      <c r="BQ875" s="0" t="s">
        <v>50</v>
      </c>
      <c r="BR875" s="0" t="str">
        <f aca="false">PROPER(IF(ISBLANK(BQ875),"No",BQ875))</f>
        <v>No</v>
      </c>
    </row>
    <row r="876" customFormat="false" ht="15" hidden="false" customHeight="false" outlineLevel="0" collapsed="false">
      <c r="A876" s="0" t="s">
        <v>2033</v>
      </c>
      <c r="B876" s="2" t="n">
        <v>45677</v>
      </c>
      <c r="C876" s="2" t="str">
        <f aca="false">TEXT(B876,"dd/mm/yyyy")</f>
        <v>20/01/2025</v>
      </c>
      <c r="D876" s="0" t="s">
        <v>105</v>
      </c>
      <c r="E876" s="0" t="n">
        <v>8047146394</v>
      </c>
      <c r="F876" s="0" t="s">
        <v>43</v>
      </c>
      <c r="G876" s="0" t="s">
        <v>2315</v>
      </c>
      <c r="H876" s="0" t="s">
        <v>2034</v>
      </c>
      <c r="I876" s="0" t="s">
        <v>107</v>
      </c>
      <c r="J876" s="0" t="s">
        <v>87</v>
      </c>
      <c r="K876" s="3" t="str">
        <f aca="false" t="array" ref="K876:K876">IFERROR(IF(J876&lt;&gt;"",J876,INDEX(J876:J1875,MATCH(1,(F876:F1875=F876)*(I876:I1875=I876)*(L876:L1875=L876)*(J876:J1875&lt;&gt;""),0))),"Not Found")</f>
        <v>Oil Change</v>
      </c>
      <c r="L876" s="3" t="s">
        <v>108</v>
      </c>
      <c r="M876" s="0" t="str">
        <f aca="false">PROPER(L876)</f>
        <v>Timing Belt</v>
      </c>
      <c r="N876" s="3" t="s">
        <v>90</v>
      </c>
      <c r="O876" s="0" t="str">
        <f aca="false" t="array" ref="O876:O876">IF(N876&lt;&gt;"",N876,_xlfn.xlookup(1,(L876:L1875=L876)*(N876:N1875&lt;&gt;""),N876:N1875,"Not Found"))</f>
        <v>Musa</v>
      </c>
      <c r="P876" s="4" t="n">
        <v>67365</v>
      </c>
      <c r="Q876" s="0" t="s">
        <v>166</v>
      </c>
      <c r="R876" s="0" t="str">
        <f aca="false">PROPER(Q876)</f>
        <v>Transfer</v>
      </c>
      <c r="S876" s="0" t="s">
        <v>63</v>
      </c>
      <c r="T876" s="0" t="n">
        <v>5</v>
      </c>
      <c r="U876" s="5" t="n">
        <f aca="false">IF(ISBLANK(T876),AVERAGE(T876:T1875),T876)</f>
        <v>5</v>
      </c>
      <c r="V876" s="0" t="n">
        <v>4.7</v>
      </c>
      <c r="W876" s="0" t="s">
        <v>92</v>
      </c>
      <c r="X876" s="0" t="str">
        <f aca="false">IF(ISBLANK(W876),"No remarks",W876)</f>
        <v>Urgent service</v>
      </c>
      <c r="Y876" s="0" t="s">
        <v>52</v>
      </c>
      <c r="Z876" s="0" t="s">
        <v>136</v>
      </c>
      <c r="AA876" s="0" t="str">
        <f aca="false">PROPER(IF(ISBLANK(Z876),"Location Unavailable",Z876))</f>
        <v>Vip Section</v>
      </c>
      <c r="AB876" s="0" t="s">
        <v>147</v>
      </c>
      <c r="AC876" s="6" t="str">
        <f aca="false">PROPER(AB876)</f>
        <v>Instagram</v>
      </c>
      <c r="AD876" s="6" t="n">
        <v>15</v>
      </c>
      <c r="AE876" s="5" t="n">
        <f aca="false">IF(ISBLANK(AD876),AVERAGEIF(L876:L1875,L876,AD876:AD1875),AD876)</f>
        <v>15</v>
      </c>
      <c r="AF876" s="0" t="s">
        <v>55</v>
      </c>
      <c r="AG876" s="0" t="str">
        <f aca="false">PROPER(AF876)</f>
        <v>Available</v>
      </c>
      <c r="AH876" s="0" t="s">
        <v>155</v>
      </c>
      <c r="AI876" s="0" t="s">
        <v>78</v>
      </c>
      <c r="AJ876" s="0" t="str">
        <f aca="false">PROPER(AI876)</f>
        <v>Booking</v>
      </c>
      <c r="AK876" s="0" t="s">
        <v>58</v>
      </c>
      <c r="AL876" s="0" t="str">
        <f aca="false">PROPER(AK876)</f>
        <v>Fleet Owner</v>
      </c>
      <c r="AN876" s="0" t="str">
        <f aca="false">IF(ISBLANK(AM876),"Unknown",AM876)</f>
        <v>Unknown</v>
      </c>
      <c r="AO876" s="0" t="s">
        <v>79</v>
      </c>
      <c r="AP876" s="0" t="str">
        <f aca="false">IF(ISBLANK(AO876),"Unknown",AO876)</f>
        <v>Specialist</v>
      </c>
      <c r="AQ876" s="0" t="n">
        <v>15000</v>
      </c>
      <c r="AR876" s="5" t="n">
        <f aca="false">IF(ISBLANK(AQ876),AVERAGEIF(M876:M1875,M876,AQ876:AQ1875),AQ876)</f>
        <v>15000</v>
      </c>
      <c r="AS876" s="0" t="n">
        <v>30000</v>
      </c>
      <c r="AT876" s="5" t="n">
        <f aca="false">IF(ISBLANK(AS876),AVERAGE(AS876:AS1875),AS876)</f>
        <v>30000</v>
      </c>
      <c r="AU876" s="0" t="s">
        <v>82</v>
      </c>
      <c r="AV876" s="0" t="str">
        <f aca="false">PROPER(IF(ISBLANK(AU876),"No",AU876))</f>
        <v>Yes</v>
      </c>
      <c r="AW876" s="0" t="n">
        <v>10000</v>
      </c>
      <c r="AX876" s="5" t="n">
        <f aca="false">IF(ISBLANK(AW876),0,AW876)</f>
        <v>10000</v>
      </c>
      <c r="AY876" s="0" t="s">
        <v>130</v>
      </c>
      <c r="AZ876" s="0" t="str">
        <f aca="false">UPPER(IF(ISBLANK(AY876),"NONE",AY876))</f>
        <v>LOYALTY10</v>
      </c>
      <c r="BA876" s="7" t="n">
        <v>45877</v>
      </c>
      <c r="BB876" s="7" t="n">
        <f aca="false">IF(ISBLANK(BA876),"No Follow Up Needed",BA876)</f>
        <v>45877</v>
      </c>
      <c r="BD876" s="0" t="str">
        <f aca="false">PROPER(IF(ISBLANK(BC876),"Unknown",BC876))</f>
        <v>Unknown</v>
      </c>
      <c r="BF876" s="0" t="str">
        <f aca="false">IF(ISBLANK(BE876),"No comments",BE876)</f>
        <v>No comments</v>
      </c>
      <c r="BH876" s="0" t="str">
        <f aca="false">IF(ISBLANK(BG876),"No comments",BG876)</f>
        <v>No comments</v>
      </c>
      <c r="BI876" s="0" t="s">
        <v>63</v>
      </c>
      <c r="BJ876" s="0" t="str">
        <f aca="false">IF(ISBLANK(BI876),"Not Mentioned",BI876)</f>
        <v>Yes</v>
      </c>
      <c r="BL876" s="0" t="str">
        <f aca="false">PROPER(IF(ISBLANK(BK876),"Not Mentioned",BK876))</f>
        <v>Not Mentioned</v>
      </c>
      <c r="BN876" s="0" t="str">
        <f aca="false">PROPER(IF(ISBLANK(BM876),"Not Mentioned",BM876))</f>
        <v>Not Mentioned</v>
      </c>
      <c r="BO876" s="0" t="s">
        <v>64</v>
      </c>
      <c r="BP876" s="0" t="str">
        <f aca="false">IF(ISBLANK(BO876),"One-Time Plan",BO876)</f>
        <v>Gold Maintenance Plan</v>
      </c>
      <c r="BQ876" s="0" t="s">
        <v>190</v>
      </c>
      <c r="BR876" s="0" t="str">
        <f aca="false">PROPER(IF(ISBLANK(BQ876),"No",BQ876))</f>
        <v>Yes</v>
      </c>
    </row>
    <row r="877" customFormat="false" ht="15" hidden="false" customHeight="false" outlineLevel="0" collapsed="false">
      <c r="A877" s="0" t="s">
        <v>2035</v>
      </c>
      <c r="B877" s="2" t="n">
        <v>45791</v>
      </c>
      <c r="C877" s="2" t="str">
        <f aca="false">TEXT(B877,"dd/mm/yyyy")</f>
        <v>14/05/2025</v>
      </c>
      <c r="D877" s="0" t="s">
        <v>66</v>
      </c>
      <c r="E877" s="0" t="n">
        <v>8018625158</v>
      </c>
      <c r="F877" s="0" t="s">
        <v>43</v>
      </c>
      <c r="G877" s="0" t="s">
        <v>2315</v>
      </c>
      <c r="H877" s="0" t="s">
        <v>2036</v>
      </c>
      <c r="I877" s="0" t="s">
        <v>107</v>
      </c>
      <c r="J877" s="0" t="s">
        <v>2325</v>
      </c>
      <c r="K877" s="3" t="str">
        <f aca="false" t="array" ref="K877:K877">IFERROR(IF(J877&lt;&gt;"",J877,INDEX(J877:J1876,MATCH(1,(F877:F1876=F877)*(I877:I1876=I877)*(L877:L1876=L877)*(J877:J1876&lt;&gt;""),0))),"Not Found")</f>
        <v>Engine Knocking</v>
      </c>
      <c r="L877" s="3" t="s">
        <v>154</v>
      </c>
      <c r="M877" s="0" t="str">
        <f aca="false">PROPER(L877)</f>
        <v>Air Filter</v>
      </c>
      <c r="N877" s="3" t="s">
        <v>71</v>
      </c>
      <c r="O877" s="0" t="str">
        <f aca="false" t="array" ref="O877:O877">IF(N877&lt;&gt;"",N877,_xlfn.xlookup(1,(L877:L1876=L877)*(N877:N1876&lt;&gt;""),N877:N1876,"Not Found"))</f>
        <v>Isaac Bobo</v>
      </c>
      <c r="P877" s="4" t="n">
        <v>11511</v>
      </c>
      <c r="Q877" s="0" t="s">
        <v>91</v>
      </c>
      <c r="R877" s="0" t="str">
        <f aca="false">PROPER(Q877)</f>
        <v>Pos</v>
      </c>
      <c r="S877" s="0" t="s">
        <v>63</v>
      </c>
      <c r="U877" s="5" t="n">
        <f aca="false">IF(ISBLANK(T877),AVERAGE(T877:T1876),T877)</f>
        <v>3.37623762376238</v>
      </c>
      <c r="V877" s="0" t="n">
        <v>3.9</v>
      </c>
      <c r="W877" s="0" t="s">
        <v>51</v>
      </c>
      <c r="X877" s="0" t="str">
        <f aca="false">IF(ISBLANK(W877),"No remarks",W877)</f>
        <v>Recommended further checks</v>
      </c>
      <c r="Y877" s="0" t="s">
        <v>52</v>
      </c>
      <c r="Z877" s="0" t="s">
        <v>159</v>
      </c>
      <c r="AA877" s="0" t="str">
        <f aca="false">PROPER(IF(ISBLANK(Z877),"Location Unavailable",Z877))</f>
        <v>Main Bay</v>
      </c>
      <c r="AB877" s="0" t="s">
        <v>95</v>
      </c>
      <c r="AC877" s="6" t="str">
        <f aca="false">PROPER(AB877)</f>
        <v>Road Sign</v>
      </c>
      <c r="AD877" s="6" t="n">
        <v>45</v>
      </c>
      <c r="AE877" s="5" t="n">
        <f aca="false">IF(ISBLANK(AD877),AVERAGEIF(L877:L1876,L877,AD877:AD1876),AD877)</f>
        <v>45</v>
      </c>
      <c r="AF877" s="0" t="s">
        <v>160</v>
      </c>
      <c r="AG877" s="0" t="str">
        <f aca="false">PROPER(AF877)</f>
        <v>Availaible</v>
      </c>
      <c r="AH877" s="0" t="s">
        <v>148</v>
      </c>
      <c r="AI877" s="0" t="s">
        <v>78</v>
      </c>
      <c r="AJ877" s="0" t="str">
        <f aca="false">PROPER(AI877)</f>
        <v>Booking</v>
      </c>
      <c r="AK877" s="0" t="s">
        <v>99</v>
      </c>
      <c r="AL877" s="0" t="str">
        <f aca="false">PROPER(AK877)</f>
        <v>Uber Driver</v>
      </c>
      <c r="AN877" s="0" t="str">
        <f aca="false">IF(ISBLANK(AM877),"Unknown",AM877)</f>
        <v>Unknown</v>
      </c>
      <c r="AP877" s="0" t="str">
        <f aca="false">IF(ISBLANK(AO877),"Unknown",AO877)</f>
        <v>Unknown</v>
      </c>
      <c r="AQ877" s="0" t="n">
        <v>15000</v>
      </c>
      <c r="AR877" s="5" t="n">
        <f aca="false">IF(ISBLANK(AQ877),AVERAGEIF(M877:M1876,M877,AQ877:AQ1876),AQ877)</f>
        <v>15000</v>
      </c>
      <c r="AS877" s="0" t="n">
        <v>40000</v>
      </c>
      <c r="AT877" s="5" t="n">
        <f aca="false">IF(ISBLANK(AS877),AVERAGE(AS877:AS1876),AS877)</f>
        <v>40000</v>
      </c>
      <c r="AU877" s="0" t="s">
        <v>82</v>
      </c>
      <c r="AV877" s="0" t="str">
        <f aca="false">PROPER(IF(ISBLANK(AU877),"No",AU877))</f>
        <v>Yes</v>
      </c>
      <c r="AX877" s="5" t="n">
        <f aca="false">IF(ISBLANK(AW877),0,AW877)</f>
        <v>0</v>
      </c>
      <c r="AY877" s="0" t="s">
        <v>80</v>
      </c>
      <c r="AZ877" s="0" t="str">
        <f aca="false">UPPER(IF(ISBLANK(AY877),"NONE",AY877))</f>
        <v>PROMO10</v>
      </c>
      <c r="BA877" s="7" t="n">
        <v>45990</v>
      </c>
      <c r="BB877" s="7" t="n">
        <f aca="false">IF(ISBLANK(BA877),"No Follow Up Needed",BA877)</f>
        <v>45990</v>
      </c>
      <c r="BC877" s="0" t="s">
        <v>61</v>
      </c>
      <c r="BD877" s="0" t="str">
        <f aca="false">PROPER(IF(ISBLANK(BC877),"Unknown",BC877))</f>
        <v>No</v>
      </c>
      <c r="BE877" s="0" t="s">
        <v>116</v>
      </c>
      <c r="BF877" s="0" t="str">
        <f aca="false">IF(ISBLANK(BE877),"No comments",BE877)</f>
        <v>Needs tire alignment</v>
      </c>
      <c r="BG877" s="0" t="s">
        <v>2320</v>
      </c>
      <c r="BH877" s="0" t="str">
        <f aca="false">IF(ISBLANK(BG877),"No comments",BG877)</f>
        <v>No complaints</v>
      </c>
      <c r="BJ877" s="0" t="str">
        <f aca="false">IF(ISBLANK(BI877),"Not Mentioned",BI877)</f>
        <v>Not Mentioned</v>
      </c>
      <c r="BK877" s="0" t="s">
        <v>50</v>
      </c>
      <c r="BL877" s="0" t="str">
        <f aca="false">PROPER(IF(ISBLANK(BK877),"Not Mentioned",BK877))</f>
        <v>No</v>
      </c>
      <c r="BM877" s="0" t="s">
        <v>50</v>
      </c>
      <c r="BN877" s="0" t="str">
        <f aca="false">PROPER(IF(ISBLANK(BM877),"Not Mentioned",BM877))</f>
        <v>No</v>
      </c>
      <c r="BO877" s="0" t="s">
        <v>2318</v>
      </c>
      <c r="BP877" s="0" t="str">
        <f aca="false">IF(ISBLANK(BO877),"One-Time Plan",BO877)</f>
        <v>Gold</v>
      </c>
      <c r="BQ877" s="0" t="s">
        <v>198</v>
      </c>
      <c r="BR877" s="0" t="str">
        <f aca="false">PROPER(IF(ISBLANK(BQ877),"No",BQ877))</f>
        <v>Followed Up</v>
      </c>
    </row>
    <row r="878" customFormat="false" ht="15" hidden="false" customHeight="false" outlineLevel="0" collapsed="false">
      <c r="A878" s="0" t="s">
        <v>2037</v>
      </c>
      <c r="B878" s="2" t="n">
        <v>45783</v>
      </c>
      <c r="C878" s="2" t="str">
        <f aca="false">TEXT(B878,"dd/mm/yyyy")</f>
        <v>06/05/2025</v>
      </c>
      <c r="D878" s="0" t="s">
        <v>163</v>
      </c>
      <c r="E878" s="0" t="n">
        <v>8055922853</v>
      </c>
      <c r="F878" s="0" t="s">
        <v>122</v>
      </c>
      <c r="G878" s="0" t="s">
        <v>2316</v>
      </c>
      <c r="H878" s="0" t="s">
        <v>1771</v>
      </c>
      <c r="I878" s="0" t="s">
        <v>107</v>
      </c>
      <c r="K878" s="3" t="str">
        <f aca="false" t="array" ref="K878:K878">IFERROR(IF(J878&lt;&gt;"",J878,INDEX(J878:J1877,MATCH(1,(F878:F1877=F878)*(I878:I1877=I878)*(L878:L1877=L878)*(J878:J1877&lt;&gt;""),0))),"Not Found")</f>
        <v>Engine Knocking</v>
      </c>
      <c r="L878" s="3" t="s">
        <v>89</v>
      </c>
      <c r="M878" s="0" t="str">
        <f aca="false">PROPER(L878)</f>
        <v>Shock Absorbers</v>
      </c>
      <c r="N878" s="3" t="s">
        <v>48</v>
      </c>
      <c r="O878" s="0" t="str">
        <f aca="false" t="array" ref="O878:O878">IF(N878&lt;&gt;"",N878,_xlfn.xlookup(1,(L878:L1877=L878)*(N878:N1877&lt;&gt;""),N878:N1877,"Not Found"))</f>
        <v>Uche</v>
      </c>
      <c r="P878" s="4" t="n">
        <v>80660</v>
      </c>
      <c r="Q878" s="0" t="s">
        <v>166</v>
      </c>
      <c r="R878" s="0" t="str">
        <f aca="false">PROPER(Q878)</f>
        <v>Transfer</v>
      </c>
      <c r="S878" s="0" t="s">
        <v>63</v>
      </c>
      <c r="T878" s="0" t="n">
        <v>1</v>
      </c>
      <c r="U878" s="5" t="n">
        <f aca="false">IF(ISBLANK(T878),AVERAGE(T878:T1877),T878)</f>
        <v>1</v>
      </c>
      <c r="V878" s="0" t="n">
        <v>3.7</v>
      </c>
      <c r="W878" s="0" t="s">
        <v>111</v>
      </c>
      <c r="X878" s="0" t="str">
        <f aca="false">IF(ISBLANK(W878),"No remarks",W878)</f>
        <v>Changed all filters</v>
      </c>
      <c r="Y878" s="0" t="s">
        <v>73</v>
      </c>
      <c r="AA878" s="0" t="str">
        <f aca="false">PROPER(IF(ISBLANK(Z878),"Location Unavailable",Z878))</f>
        <v>Location Unavailable</v>
      </c>
      <c r="AB878" s="0" t="s">
        <v>75</v>
      </c>
      <c r="AC878" s="6" t="str">
        <f aca="false">PROPER(AB878)</f>
        <v>Mechanik Referal</v>
      </c>
      <c r="AD878" s="6" t="n">
        <v>30</v>
      </c>
      <c r="AE878" s="5" t="n">
        <f aca="false">IF(ISBLANK(AD878),AVERAGEIF(L878:L1877,L878,AD878:AD1877),AD878)</f>
        <v>30</v>
      </c>
      <c r="AF878" s="0" t="s">
        <v>55</v>
      </c>
      <c r="AG878" s="0" t="str">
        <f aca="false">PROPER(AF878)</f>
        <v>Available</v>
      </c>
      <c r="AH878" s="0" t="s">
        <v>56</v>
      </c>
      <c r="AI878" s="0" t="s">
        <v>128</v>
      </c>
      <c r="AJ878" s="0" t="str">
        <f aca="false">PROPER(AI878)</f>
        <v>Normal</v>
      </c>
      <c r="AK878" s="0" t="s">
        <v>196</v>
      </c>
      <c r="AL878" s="0" t="str">
        <f aca="false">PROPER(AK878)</f>
        <v>First Time</v>
      </c>
      <c r="AM878" s="0" t="s">
        <v>2324</v>
      </c>
      <c r="AN878" s="0" t="str">
        <f aca="false">IF(ISBLANK(AM878),"Unknown",AM878)</f>
        <v>Logistics Convoy</v>
      </c>
      <c r="AO878" s="0" t="s">
        <v>79</v>
      </c>
      <c r="AP878" s="0" t="str">
        <f aca="false">IF(ISBLANK(AO878),"Unknown",AO878)</f>
        <v>Specialist</v>
      </c>
      <c r="AQ878" s="0" t="n">
        <v>25000</v>
      </c>
      <c r="AR878" s="5" t="n">
        <f aca="false">IF(ISBLANK(AQ878),AVERAGEIF(M878:M1877,M878,AQ878:AQ1877),AQ878)</f>
        <v>25000</v>
      </c>
      <c r="AS878" s="0" t="n">
        <v>35000</v>
      </c>
      <c r="AT878" s="5" t="n">
        <f aca="false">IF(ISBLANK(AS878),AVERAGE(AS878:AS1877),AS878)</f>
        <v>35000</v>
      </c>
      <c r="AU878" s="0" t="s">
        <v>82</v>
      </c>
      <c r="AV878" s="0" t="str">
        <f aca="false">PROPER(IF(ISBLANK(AU878),"No",AU878))</f>
        <v>Yes</v>
      </c>
      <c r="AW878" s="0" t="n">
        <v>5000</v>
      </c>
      <c r="AX878" s="5" t="n">
        <f aca="false">IF(ISBLANK(AW878),0,AW878)</f>
        <v>5000</v>
      </c>
      <c r="AY878" s="0" t="s">
        <v>130</v>
      </c>
      <c r="AZ878" s="0" t="str">
        <f aca="false">UPPER(IF(ISBLANK(AY878),"NONE",AY878))</f>
        <v>LOYALTY10</v>
      </c>
      <c r="BA878" s="7" t="n">
        <v>46001</v>
      </c>
      <c r="BB878" s="7" t="n">
        <f aca="false">IF(ISBLANK(BA878),"No Follow Up Needed",BA878)</f>
        <v>46001</v>
      </c>
      <c r="BC878" s="0" t="s">
        <v>50</v>
      </c>
      <c r="BD878" s="0" t="str">
        <f aca="false">PROPER(IF(ISBLANK(BC878),"Unknown",BC878))</f>
        <v>No</v>
      </c>
      <c r="BF878" s="0" t="str">
        <f aca="false">IF(ISBLANK(BE878),"No comments",BE878)</f>
        <v>No comments</v>
      </c>
      <c r="BG878" s="0" t="s">
        <v>2320</v>
      </c>
      <c r="BH878" s="0" t="str">
        <f aca="false">IF(ISBLANK(BG878),"No comments",BG878)</f>
        <v>No complaints</v>
      </c>
      <c r="BJ878" s="0" t="str">
        <f aca="false">IF(ISBLANK(BI878),"Not Mentioned",BI878)</f>
        <v>Not Mentioned</v>
      </c>
      <c r="BK878" s="0" t="s">
        <v>50</v>
      </c>
      <c r="BL878" s="0" t="str">
        <f aca="false">PROPER(IF(ISBLANK(BK878),"Not Mentioned",BK878))</f>
        <v>No</v>
      </c>
      <c r="BM878" s="0" t="s">
        <v>63</v>
      </c>
      <c r="BN878" s="0" t="str">
        <f aca="false">PROPER(IF(ISBLANK(BM878),"Not Mentioned",BM878))</f>
        <v>Yes</v>
      </c>
      <c r="BO878" s="0" t="s">
        <v>2318</v>
      </c>
      <c r="BP878" s="0" t="str">
        <f aca="false">IF(ISBLANK(BO878),"One-Time Plan",BO878)</f>
        <v>Gold</v>
      </c>
      <c r="BR878" s="0" t="str">
        <f aca="false">PROPER(IF(ISBLANK(BQ878),"No",BQ878))</f>
        <v>No</v>
      </c>
    </row>
    <row r="879" customFormat="false" ht="15" hidden="false" customHeight="false" outlineLevel="0" collapsed="false">
      <c r="A879" s="0" t="s">
        <v>2038</v>
      </c>
      <c r="B879" s="2" t="n">
        <v>45745</v>
      </c>
      <c r="C879" s="2" t="str">
        <f aca="false">TEXT(B879,"dd/mm/yyyy")</f>
        <v>29/03/2025</v>
      </c>
      <c r="D879" s="0" t="s">
        <v>105</v>
      </c>
      <c r="E879" s="0" t="n">
        <v>8013981790</v>
      </c>
      <c r="F879" s="0" t="s">
        <v>43</v>
      </c>
      <c r="G879" s="0" t="s">
        <v>2315</v>
      </c>
      <c r="H879" s="0" t="s">
        <v>2039</v>
      </c>
      <c r="I879" s="0" t="s">
        <v>87</v>
      </c>
      <c r="J879" s="0" t="s">
        <v>2317</v>
      </c>
      <c r="K879" s="3" t="str">
        <f aca="false" t="array" ref="K879:K879">IFERROR(IF(J879&lt;&gt;"",J879,INDEX(J879:J1878,MATCH(1,(F879:F1878=F879)*(I879:I1878=I879)*(L879:L1878=L879)*(J879:J1878&lt;&gt;""),0))),"Not Found")</f>
        <v>Suspension Noise</v>
      </c>
      <c r="L879" s="3" t="s">
        <v>189</v>
      </c>
      <c r="M879" s="0" t="str">
        <f aca="false">PROPER(L879)</f>
        <v>Battery</v>
      </c>
      <c r="O879" s="0" t="e">
        <f aca="false" t="array" ref="O879:O879">IF(N879&lt;&gt;"",N879,_xlfn.xlookup(1,(L879:L1878=L879)*(N879:N1878&lt;&gt;""),N879:N1878,"Not Found"))</f>
        <v>#NAME?</v>
      </c>
      <c r="P879" s="4" t="n">
        <v>32619</v>
      </c>
      <c r="Q879" s="0" t="s">
        <v>166</v>
      </c>
      <c r="R879" s="0" t="str">
        <f aca="false">PROPER(Q879)</f>
        <v>Transfer</v>
      </c>
      <c r="S879" s="0" t="s">
        <v>50</v>
      </c>
      <c r="T879" s="0" t="n">
        <v>5</v>
      </c>
      <c r="U879" s="5" t="n">
        <f aca="false">IF(ISBLANK(T879),AVERAGE(T879:T1878),T879)</f>
        <v>5</v>
      </c>
      <c r="V879" s="0" t="n">
        <v>4.9</v>
      </c>
      <c r="W879" s="0" t="s">
        <v>92</v>
      </c>
      <c r="X879" s="0" t="str">
        <f aca="false">IF(ISBLANK(W879),"No remarks",W879)</f>
        <v>Urgent service</v>
      </c>
      <c r="Y879" s="0" t="s">
        <v>73</v>
      </c>
      <c r="Z879" s="0" t="s">
        <v>74</v>
      </c>
      <c r="AA879" s="0" t="str">
        <f aca="false">PROPER(IF(ISBLANK(Z879),"Location Unavailable",Z879))</f>
        <v>Under Tree</v>
      </c>
      <c r="AB879" s="0" t="s">
        <v>75</v>
      </c>
      <c r="AC879" s="6" t="str">
        <f aca="false">PROPER(AB879)</f>
        <v>Mechanik Referal</v>
      </c>
      <c r="AE879" s="5" t="n">
        <f aca="false">IF(ISBLANK(AD879),AVERAGEIF(L879:L1878,L879,AD879:AD1878),AD879)</f>
        <v>41</v>
      </c>
      <c r="AF879" s="0" t="s">
        <v>160</v>
      </c>
      <c r="AG879" s="0" t="str">
        <f aca="false">PROPER(AF879)</f>
        <v>Availaible</v>
      </c>
      <c r="AH879" s="0" t="s">
        <v>56</v>
      </c>
      <c r="AI879" s="0" t="s">
        <v>98</v>
      </c>
      <c r="AJ879" s="0" t="str">
        <f aca="false">PROPER(AI879)</f>
        <v>Emergency</v>
      </c>
      <c r="AK879" s="0" t="s">
        <v>114</v>
      </c>
      <c r="AL879" s="0" t="str">
        <f aca="false">PROPER(AK879)</f>
        <v>Returning</v>
      </c>
      <c r="AM879" s="0" t="s">
        <v>177</v>
      </c>
      <c r="AN879" s="0" t="str">
        <f aca="false">IF(ISBLANK(AM879),"Unknown",AM879)</f>
        <v>Private</v>
      </c>
      <c r="AO879" s="0" t="s">
        <v>79</v>
      </c>
      <c r="AP879" s="0" t="str">
        <f aca="false">IF(ISBLANK(AO879),"Unknown",AO879)</f>
        <v>Specialist</v>
      </c>
      <c r="AR879" s="5" t="n">
        <f aca="false">IF(ISBLANK(AQ879),AVERAGEIF(M879:M1878,M879,AQ879:AQ1878),AQ879)</f>
        <v>25833.3333333333</v>
      </c>
      <c r="AS879" s="0" t="n">
        <v>20000</v>
      </c>
      <c r="AT879" s="5" t="n">
        <f aca="false">IF(ISBLANK(AS879),AVERAGE(AS879:AS1878),AS879)</f>
        <v>20000</v>
      </c>
      <c r="AU879" s="0" t="s">
        <v>63</v>
      </c>
      <c r="AV879" s="0" t="str">
        <f aca="false">PROPER(IF(ISBLANK(AU879),"No",AU879))</f>
        <v>Yes</v>
      </c>
      <c r="AW879" s="0" t="n">
        <v>5000</v>
      </c>
      <c r="AX879" s="5" t="n">
        <f aca="false">IF(ISBLANK(AW879),0,AW879)</f>
        <v>5000</v>
      </c>
      <c r="AY879" s="0" t="s">
        <v>60</v>
      </c>
      <c r="AZ879" s="0" t="str">
        <f aca="false">UPPER(IF(ISBLANK(AY879),"NONE",AY879))</f>
        <v>NONE</v>
      </c>
      <c r="BA879" s="7" t="n">
        <v>45874</v>
      </c>
      <c r="BB879" s="7" t="n">
        <f aca="false">IF(ISBLANK(BA879),"No Follow Up Needed",BA879)</f>
        <v>45874</v>
      </c>
      <c r="BC879" s="0" t="s">
        <v>63</v>
      </c>
      <c r="BD879" s="0" t="str">
        <f aca="false">PROPER(IF(ISBLANK(BC879),"Unknown",BC879))</f>
        <v>Yes</v>
      </c>
      <c r="BF879" s="0" t="str">
        <f aca="false">IF(ISBLANK(BE879),"No comments",BE879)</f>
        <v>No comments</v>
      </c>
      <c r="BG879" s="0" t="s">
        <v>172</v>
      </c>
      <c r="BH879" s="0" t="str">
        <f aca="false">IF(ISBLANK(BG879),"No comments",BG879)</f>
        <v>Always late</v>
      </c>
      <c r="BI879" s="0" t="s">
        <v>63</v>
      </c>
      <c r="BJ879" s="0" t="str">
        <f aca="false">IF(ISBLANK(BI879),"Not Mentioned",BI879)</f>
        <v>Yes</v>
      </c>
      <c r="BK879" s="0" t="s">
        <v>61</v>
      </c>
      <c r="BL879" s="0" t="str">
        <f aca="false">PROPER(IF(ISBLANK(BK879),"Not Mentioned",BK879))</f>
        <v>No</v>
      </c>
      <c r="BM879" s="0" t="s">
        <v>63</v>
      </c>
      <c r="BN879" s="0" t="str">
        <f aca="false">PROPER(IF(ISBLANK(BM879),"Not Mentioned",BM879))</f>
        <v>Yes</v>
      </c>
      <c r="BP879" s="0" t="str">
        <f aca="false">IF(ISBLANK(BO879),"One-Time Plan",BO879)</f>
        <v>One-Time Plan</v>
      </c>
      <c r="BQ879" s="0" t="s">
        <v>190</v>
      </c>
      <c r="BR879" s="0" t="str">
        <f aca="false">PROPER(IF(ISBLANK(BQ879),"No",BQ879))</f>
        <v>Yes</v>
      </c>
    </row>
    <row r="880" customFormat="false" ht="15" hidden="false" customHeight="false" outlineLevel="0" collapsed="false">
      <c r="A880" s="0" t="s">
        <v>2040</v>
      </c>
      <c r="B880" s="2" t="n">
        <v>45778</v>
      </c>
      <c r="C880" s="2" t="str">
        <f aca="false">TEXT(B880,"dd/mm/yyyy")</f>
        <v>01/05/2025</v>
      </c>
      <c r="D880" s="0" t="s">
        <v>163</v>
      </c>
      <c r="E880" s="0" t="n">
        <v>8088604129</v>
      </c>
      <c r="F880" s="0" t="s">
        <v>139</v>
      </c>
      <c r="G880" s="0" t="s">
        <v>2323</v>
      </c>
      <c r="H880" s="0" t="s">
        <v>2041</v>
      </c>
      <c r="I880" s="0" t="s">
        <v>107</v>
      </c>
      <c r="J880" s="0" t="s">
        <v>2322</v>
      </c>
      <c r="K880" s="3" t="str">
        <f aca="false" t="array" ref="K880:K880">IFERROR(IF(J880&lt;&gt;"",J880,INDEX(J880:J1879,MATCH(1,(F880:F1879=F880)*(I880:I1879=I880)*(L880:L1879=L880)*(J880:J1879&lt;&gt;""),0))),"Not Found")</f>
        <v>Brake Failure</v>
      </c>
      <c r="L880" s="3" t="s">
        <v>189</v>
      </c>
      <c r="M880" s="0" t="str">
        <f aca="false">PROPER(L880)</f>
        <v>Battery</v>
      </c>
      <c r="O880" s="0" t="e">
        <f aca="false" t="array" ref="O880:O880">IF(N880&lt;&gt;"",N880,_xlfn.xlookup(1,(L880:L1879=L880)*(N880:N1879&lt;&gt;""),N880:N1879,"Not Found"))</f>
        <v>#NAME?</v>
      </c>
      <c r="P880" s="4" t="n">
        <v>18089</v>
      </c>
      <c r="Q880" s="0" t="s">
        <v>91</v>
      </c>
      <c r="R880" s="0" t="str">
        <f aca="false">PROPER(Q880)</f>
        <v>Pos</v>
      </c>
      <c r="S880" s="0" t="s">
        <v>63</v>
      </c>
      <c r="T880" s="0" t="n">
        <v>4</v>
      </c>
      <c r="U880" s="5" t="n">
        <f aca="false">IF(ISBLANK(T880),AVERAGE(T880:T1879),T880)</f>
        <v>4</v>
      </c>
      <c r="V880" s="0" t="n">
        <v>4.6</v>
      </c>
      <c r="W880" s="0" t="s">
        <v>92</v>
      </c>
      <c r="X880" s="0" t="str">
        <f aca="false">IF(ISBLANK(W880),"No remarks",W880)</f>
        <v>Urgent service</v>
      </c>
      <c r="Y880" s="0" t="s">
        <v>73</v>
      </c>
      <c r="Z880" s="0" t="s">
        <v>136</v>
      </c>
      <c r="AA880" s="0" t="str">
        <f aca="false">PROPER(IF(ISBLANK(Z880),"Location Unavailable",Z880))</f>
        <v>Vip Section</v>
      </c>
      <c r="AB880" s="0" t="s">
        <v>167</v>
      </c>
      <c r="AC880" s="6" t="str">
        <f aca="false">PROPER(AB880)</f>
        <v>Word Of Mouth</v>
      </c>
      <c r="AD880" s="6" t="n">
        <v>60</v>
      </c>
      <c r="AE880" s="5" t="n">
        <f aca="false">IF(ISBLANK(AD880),AVERAGEIF(L880:L1879,L880,AD880:AD1879),AD880)</f>
        <v>60</v>
      </c>
      <c r="AF880" s="0" t="s">
        <v>112</v>
      </c>
      <c r="AG880" s="0" t="str">
        <f aca="false">PROPER(AF880)</f>
        <v>Unavailable</v>
      </c>
      <c r="AH880" s="0" t="s">
        <v>155</v>
      </c>
      <c r="AI880" s="0" t="s">
        <v>98</v>
      </c>
      <c r="AJ880" s="0" t="str">
        <f aca="false">PROPER(AI880)</f>
        <v>Emergency</v>
      </c>
      <c r="AK880" s="0" t="s">
        <v>58</v>
      </c>
      <c r="AL880" s="0" t="str">
        <f aca="false">PROPER(AK880)</f>
        <v>Fleet Owner</v>
      </c>
      <c r="AM880" s="0" t="s">
        <v>177</v>
      </c>
      <c r="AN880" s="0" t="str">
        <f aca="false">IF(ISBLANK(AM880),"Unknown",AM880)</f>
        <v>Private</v>
      </c>
      <c r="AO880" s="0" t="s">
        <v>143</v>
      </c>
      <c r="AP880" s="0" t="str">
        <f aca="false">IF(ISBLANK(AO880),"Unknown",AO880)</f>
        <v>Senior</v>
      </c>
      <c r="AQ880" s="0" t="n">
        <v>20000</v>
      </c>
      <c r="AR880" s="5" t="n">
        <f aca="false">IF(ISBLANK(AQ880),AVERAGEIF(M880:M1879,M880,AQ880:AQ1879),AQ880)</f>
        <v>20000</v>
      </c>
      <c r="AS880" s="0" t="n">
        <v>20000</v>
      </c>
      <c r="AT880" s="5" t="n">
        <f aca="false">IF(ISBLANK(AS880),AVERAGE(AS880:AS1879),AS880)</f>
        <v>20000</v>
      </c>
      <c r="AU880" s="0" t="s">
        <v>61</v>
      </c>
      <c r="AV880" s="0" t="str">
        <f aca="false">PROPER(IF(ISBLANK(AU880),"No",AU880))</f>
        <v>No</v>
      </c>
      <c r="AW880" s="0" t="n">
        <v>10000</v>
      </c>
      <c r="AX880" s="5" t="n">
        <f aca="false">IF(ISBLANK(AW880),0,AW880)</f>
        <v>10000</v>
      </c>
      <c r="AZ880" s="0" t="str">
        <f aca="false">UPPER(IF(ISBLANK(AY880),"NONE",AY880))</f>
        <v>NONE</v>
      </c>
      <c r="BA880" s="7" t="s">
        <v>2042</v>
      </c>
      <c r="BB880" s="7" t="str">
        <f aca="false">IF(ISBLANK(BA880),"No Follow Up Needed",BA880)</f>
        <v>25/11/2025</v>
      </c>
      <c r="BC880" s="0" t="s">
        <v>50</v>
      </c>
      <c r="BD880" s="0" t="str">
        <f aca="false">PROPER(IF(ISBLANK(BC880),"Unknown",BC880))</f>
        <v>No</v>
      </c>
      <c r="BF880" s="0" t="str">
        <f aca="false">IF(ISBLANK(BE880),"No comments",BE880)</f>
        <v>No comments</v>
      </c>
      <c r="BH880" s="0" t="str">
        <f aca="false">IF(ISBLANK(BG880),"No comments",BG880)</f>
        <v>No comments</v>
      </c>
      <c r="BI880" s="0" t="s">
        <v>50</v>
      </c>
      <c r="BJ880" s="0" t="str">
        <f aca="false">IF(ISBLANK(BI880),"Not Mentioned",BI880)</f>
        <v>No</v>
      </c>
      <c r="BK880" s="0" t="s">
        <v>50</v>
      </c>
      <c r="BL880" s="0" t="str">
        <f aca="false">PROPER(IF(ISBLANK(BK880),"Not Mentioned",BK880))</f>
        <v>No</v>
      </c>
      <c r="BM880" s="0" t="s">
        <v>63</v>
      </c>
      <c r="BN880" s="0" t="str">
        <f aca="false">PROPER(IF(ISBLANK(BM880),"Not Mentioned",BM880))</f>
        <v>Yes</v>
      </c>
      <c r="BO880" s="0" t="s">
        <v>64</v>
      </c>
      <c r="BP880" s="0" t="str">
        <f aca="false">IF(ISBLANK(BO880),"One-Time Plan",BO880)</f>
        <v>Gold Maintenance Plan</v>
      </c>
      <c r="BR880" s="0" t="str">
        <f aca="false">PROPER(IF(ISBLANK(BQ880),"No",BQ880))</f>
        <v>No</v>
      </c>
    </row>
    <row r="881" customFormat="false" ht="15" hidden="false" customHeight="false" outlineLevel="0" collapsed="false">
      <c r="A881" s="0" t="s">
        <v>2043</v>
      </c>
      <c r="B881" s="2" t="n">
        <v>45904</v>
      </c>
      <c r="C881" s="2" t="str">
        <f aca="false">TEXT(B881,"dd/mm/yyyy")</f>
        <v>04/09/2025</v>
      </c>
      <c r="D881" s="0" t="s">
        <v>66</v>
      </c>
      <c r="E881" s="0" t="n">
        <v>8041511655</v>
      </c>
      <c r="F881" s="0" t="s">
        <v>43</v>
      </c>
      <c r="G881" s="0" t="s">
        <v>2315</v>
      </c>
      <c r="H881" s="0" t="s">
        <v>2044</v>
      </c>
      <c r="I881" s="0" t="s">
        <v>45</v>
      </c>
      <c r="J881" s="0" t="s">
        <v>87</v>
      </c>
      <c r="K881" s="3" t="str">
        <f aca="false" t="array" ref="K881:K881">IFERROR(IF(J881&lt;&gt;"",J881,INDEX(J881:J1880,MATCH(1,(F881:F1880=F881)*(I881:I1880=I881)*(L881:L1880=L881)*(J881:J1880&lt;&gt;""),0))),"Not Found")</f>
        <v>Oil Change</v>
      </c>
      <c r="L881" s="3" t="s">
        <v>154</v>
      </c>
      <c r="M881" s="0" t="str">
        <f aca="false">PROPER(L881)</f>
        <v>Air Filter</v>
      </c>
      <c r="N881" s="3" t="s">
        <v>90</v>
      </c>
      <c r="O881" s="0" t="str">
        <f aca="false" t="array" ref="O881:O881">IF(N881&lt;&gt;"",N881,_xlfn.xlookup(1,(L881:L1880=L881)*(N881:N1880&lt;&gt;""),N881:N1880,"Not Found"))</f>
        <v>Musa</v>
      </c>
      <c r="P881" s="4" t="n">
        <v>116413</v>
      </c>
      <c r="Q881" s="0" t="s">
        <v>91</v>
      </c>
      <c r="R881" s="0" t="str">
        <f aca="false">PROPER(Q881)</f>
        <v>Pos</v>
      </c>
      <c r="S881" s="0" t="s">
        <v>63</v>
      </c>
      <c r="T881" s="0" t="n">
        <v>3</v>
      </c>
      <c r="U881" s="5" t="n">
        <f aca="false">IF(ISBLANK(T881),AVERAGE(T881:T1880),T881)</f>
        <v>3</v>
      </c>
      <c r="V881" s="0" t="n">
        <v>4.7</v>
      </c>
      <c r="W881" s="0" t="s">
        <v>125</v>
      </c>
      <c r="X881" s="0" t="str">
        <f aca="false">IF(ISBLANK(W881),"No remarks",W881)</f>
        <v>Customer waited</v>
      </c>
      <c r="Y881" s="0" t="s">
        <v>52</v>
      </c>
      <c r="Z881" s="0" t="s">
        <v>94</v>
      </c>
      <c r="AA881" s="0" t="str">
        <f aca="false">PROPER(IF(ISBLANK(Z881),"Location Unavailable",Z881))</f>
        <v>Vip Section</v>
      </c>
      <c r="AB881" s="0" t="s">
        <v>126</v>
      </c>
      <c r="AC881" s="6" t="str">
        <f aca="false">PROPER(AB881)</f>
        <v>Whatsapp</v>
      </c>
      <c r="AD881" s="6" t="n">
        <v>60</v>
      </c>
      <c r="AE881" s="5" t="n">
        <f aca="false">IF(ISBLANK(AD881),AVERAGEIF(L881:L1880,L881,AD881:AD1880),AD881)</f>
        <v>60</v>
      </c>
      <c r="AF881" s="0" t="s">
        <v>112</v>
      </c>
      <c r="AG881" s="0" t="str">
        <f aca="false">PROPER(AF881)</f>
        <v>Unavailable</v>
      </c>
      <c r="AH881" s="0" t="s">
        <v>56</v>
      </c>
      <c r="AI881" s="0" t="s">
        <v>78</v>
      </c>
      <c r="AJ881" s="0" t="str">
        <f aca="false">PROPER(AI881)</f>
        <v>Booking</v>
      </c>
      <c r="AK881" s="0" t="s">
        <v>196</v>
      </c>
      <c r="AL881" s="0" t="str">
        <f aca="false">PROPER(AK881)</f>
        <v>First Time</v>
      </c>
      <c r="AN881" s="0" t="str">
        <f aca="false">IF(ISBLANK(AM881),"Unknown",AM881)</f>
        <v>Unknown</v>
      </c>
      <c r="AP881" s="0" t="str">
        <f aca="false">IF(ISBLANK(AO881),"Unknown",AO881)</f>
        <v>Unknown</v>
      </c>
      <c r="AQ881" s="0" t="n">
        <v>20000</v>
      </c>
      <c r="AR881" s="5" t="n">
        <f aca="false">IF(ISBLANK(AQ881),AVERAGEIF(M881:M1880,M881,AQ881:AQ1880),AQ881)</f>
        <v>20000</v>
      </c>
      <c r="AT881" s="5" t="n">
        <f aca="false">IF(ISBLANK(AS881),AVERAGE(AS881:AS1880),AS881)</f>
        <v>31346.1538461538</v>
      </c>
      <c r="AV881" s="0" t="str">
        <f aca="false">PROPER(IF(ISBLANK(AU881),"No",AU881))</f>
        <v>No</v>
      </c>
      <c r="AX881" s="5" t="n">
        <f aca="false">IF(ISBLANK(AW881),0,AW881)</f>
        <v>0</v>
      </c>
      <c r="AY881" s="0" t="s">
        <v>80</v>
      </c>
      <c r="AZ881" s="0" t="str">
        <f aca="false">UPPER(IF(ISBLANK(AY881),"NONE",AY881))</f>
        <v>PROMO10</v>
      </c>
      <c r="BA881" s="7" t="n">
        <v>45909</v>
      </c>
      <c r="BB881" s="7" t="n">
        <f aca="false">IF(ISBLANK(BA881),"No Follow Up Needed",BA881)</f>
        <v>45909</v>
      </c>
      <c r="BC881" s="0" t="s">
        <v>82</v>
      </c>
      <c r="BD881" s="0" t="str">
        <f aca="false">PROPER(IF(ISBLANK(BC881),"Unknown",BC881))</f>
        <v>Yes</v>
      </c>
      <c r="BF881" s="0" t="str">
        <f aca="false">IF(ISBLANK(BE881),"No comments",BE881)</f>
        <v>No comments</v>
      </c>
      <c r="BG881" s="0" t="s">
        <v>2320</v>
      </c>
      <c r="BH881" s="0" t="str">
        <f aca="false">IF(ISBLANK(BG881),"No comments",BG881)</f>
        <v>No complaints</v>
      </c>
      <c r="BI881" s="0" t="s">
        <v>63</v>
      </c>
      <c r="BJ881" s="0" t="str">
        <f aca="false">IF(ISBLANK(BI881),"Not Mentioned",BI881)</f>
        <v>Yes</v>
      </c>
      <c r="BK881" s="0" t="s">
        <v>63</v>
      </c>
      <c r="BL881" s="0" t="str">
        <f aca="false">PROPER(IF(ISBLANK(BK881),"Not Mentioned",BK881))</f>
        <v>Yes</v>
      </c>
      <c r="BM881" s="0" t="s">
        <v>63</v>
      </c>
      <c r="BN881" s="0" t="str">
        <f aca="false">PROPER(IF(ISBLANK(BM881),"Not Mentioned",BM881))</f>
        <v>Yes</v>
      </c>
      <c r="BO881" s="0" t="s">
        <v>2318</v>
      </c>
      <c r="BP881" s="0" t="str">
        <f aca="false">IF(ISBLANK(BO881),"One-Time Plan",BO881)</f>
        <v>Gold</v>
      </c>
      <c r="BQ881" s="0" t="s">
        <v>50</v>
      </c>
      <c r="BR881" s="0" t="str">
        <f aca="false">PROPER(IF(ISBLANK(BQ881),"No",BQ881))</f>
        <v>No</v>
      </c>
    </row>
    <row r="882" customFormat="false" ht="15" hidden="false" customHeight="false" outlineLevel="0" collapsed="false">
      <c r="A882" s="0" t="s">
        <v>2045</v>
      </c>
      <c r="B882" s="2" t="n">
        <v>45754</v>
      </c>
      <c r="C882" s="2" t="str">
        <f aca="false">TEXT(B882,"dd/mm/yyyy")</f>
        <v>07/04/2025</v>
      </c>
      <c r="D882" s="0" t="s">
        <v>105</v>
      </c>
      <c r="E882" s="0" t="n">
        <v>8074142265</v>
      </c>
      <c r="F882" s="0" t="s">
        <v>43</v>
      </c>
      <c r="G882" s="0" t="s">
        <v>2315</v>
      </c>
      <c r="H882" s="0" t="s">
        <v>2046</v>
      </c>
      <c r="I882" s="0" t="s">
        <v>45</v>
      </c>
      <c r="K882" s="3" t="str">
        <f aca="false" t="array" ref="K882:K882">IFERROR(IF(J882&lt;&gt;"",J882,INDEX(J882:J1881,MATCH(1,(F882:F1881=F882)*(I882:I1881=I882)*(L882:L1881=L882)*(J882:J1881&lt;&gt;""),0))),"Not Found")</f>
        <v>Brake Failure</v>
      </c>
      <c r="L882" s="3" t="s">
        <v>89</v>
      </c>
      <c r="M882" s="0" t="str">
        <f aca="false">PROPER(L882)</f>
        <v>Shock Absorbers</v>
      </c>
      <c r="N882" s="3" t="s">
        <v>90</v>
      </c>
      <c r="O882" s="0" t="str">
        <f aca="false" t="array" ref="O882:O882">IF(N882&lt;&gt;"",N882,_xlfn.xlookup(1,(L882:L1881=L882)*(N882:N1881&lt;&gt;""),N882:N1881,"Not Found"))</f>
        <v>Musa</v>
      </c>
      <c r="P882" s="4" t="n">
        <v>13367</v>
      </c>
      <c r="Q882" s="0" t="s">
        <v>49</v>
      </c>
      <c r="R882" s="0" t="str">
        <f aca="false">PROPER(Q882)</f>
        <v>Transfer</v>
      </c>
      <c r="S882" s="0" t="s">
        <v>63</v>
      </c>
      <c r="U882" s="5" t="n">
        <f aca="false">IF(ISBLANK(T882),AVERAGE(T882:T1881),T882)</f>
        <v>3.38144329896907</v>
      </c>
      <c r="V882" s="0" t="n">
        <v>4.1</v>
      </c>
      <c r="X882" s="0" t="str">
        <f aca="false">IF(ISBLANK(W882),"No remarks",W882)</f>
        <v>No remarks</v>
      </c>
      <c r="Y882" s="0" t="s">
        <v>73</v>
      </c>
      <c r="Z882" s="0" t="s">
        <v>159</v>
      </c>
      <c r="AA882" s="0" t="str">
        <f aca="false">PROPER(IF(ISBLANK(Z882),"Location Unavailable",Z882))</f>
        <v>Main Bay</v>
      </c>
      <c r="AB882" s="0" t="s">
        <v>126</v>
      </c>
      <c r="AC882" s="6" t="str">
        <f aca="false">PROPER(AB882)</f>
        <v>Whatsapp</v>
      </c>
      <c r="AD882" s="6" t="n">
        <v>15</v>
      </c>
      <c r="AE882" s="5" t="n">
        <f aca="false">IF(ISBLANK(AD882),AVERAGEIF(L882:L1881,L882,AD882:AD1881),AD882)</f>
        <v>15</v>
      </c>
      <c r="AF882" s="0" t="s">
        <v>96</v>
      </c>
      <c r="AG882" s="0" t="str">
        <f aca="false">PROPER(AF882)</f>
        <v>Ordered</v>
      </c>
      <c r="AH882" s="0" t="s">
        <v>56</v>
      </c>
      <c r="AI882" s="0" t="s">
        <v>98</v>
      </c>
      <c r="AJ882" s="0" t="str">
        <f aca="false">PROPER(AI882)</f>
        <v>Emergency</v>
      </c>
      <c r="AK882" s="0" t="s">
        <v>196</v>
      </c>
      <c r="AL882" s="0" t="str">
        <f aca="false">PROPER(AK882)</f>
        <v>First Time</v>
      </c>
      <c r="AN882" s="0" t="str">
        <f aca="false">IF(ISBLANK(AM882),"Unknown",AM882)</f>
        <v>Unknown</v>
      </c>
      <c r="AP882" s="0" t="str">
        <f aca="false">IF(ISBLANK(AO882),"Unknown",AO882)</f>
        <v>Unknown</v>
      </c>
      <c r="AQ882" s="0" t="n">
        <v>15000</v>
      </c>
      <c r="AR882" s="5" t="n">
        <f aca="false">IF(ISBLANK(AQ882),AVERAGEIF(M882:M1881,M882,AQ882:AQ1881),AQ882)</f>
        <v>15000</v>
      </c>
      <c r="AS882" s="0" t="n">
        <v>40000</v>
      </c>
      <c r="AT882" s="5" t="n">
        <f aca="false">IF(ISBLANK(AS882),AVERAGE(AS882:AS1881),AS882)</f>
        <v>40000</v>
      </c>
      <c r="AV882" s="0" t="str">
        <f aca="false">PROPER(IF(ISBLANK(AU882),"No",AU882))</f>
        <v>No</v>
      </c>
      <c r="AW882" s="0" t="n">
        <v>0</v>
      </c>
      <c r="AX882" s="5" t="n">
        <f aca="false">IF(ISBLANK(AW882),0,AW882)</f>
        <v>0</v>
      </c>
      <c r="AY882" s="0" t="s">
        <v>80</v>
      </c>
      <c r="AZ882" s="0" t="str">
        <f aca="false">UPPER(IF(ISBLANK(AY882),"NONE",AY882))</f>
        <v>PROMO10</v>
      </c>
      <c r="BB882" s="7" t="str">
        <f aca="false">IF(ISBLANK(BA882),"No Follow Up Needed",BA882)</f>
        <v>No Follow Up Needed</v>
      </c>
      <c r="BC882" s="0" t="s">
        <v>63</v>
      </c>
      <c r="BD882" s="0" t="str">
        <f aca="false">PROPER(IF(ISBLANK(BC882),"Unknown",BC882))</f>
        <v>Yes</v>
      </c>
      <c r="BF882" s="0" t="str">
        <f aca="false">IF(ISBLANK(BE882),"No comments",BE882)</f>
        <v>No comments</v>
      </c>
      <c r="BG882" s="0" t="s">
        <v>117</v>
      </c>
      <c r="BH882" s="0" t="str">
        <f aca="false">IF(ISBLANK(BG882),"No comments",BG882)</f>
        <v>Prefers morning</v>
      </c>
      <c r="BI882" s="0" t="s">
        <v>50</v>
      </c>
      <c r="BJ882" s="0" t="str">
        <f aca="false">IF(ISBLANK(BI882),"Not Mentioned",BI882)</f>
        <v>No</v>
      </c>
      <c r="BK882" s="0" t="s">
        <v>50</v>
      </c>
      <c r="BL882" s="0" t="str">
        <f aca="false">PROPER(IF(ISBLANK(BK882),"Not Mentioned",BK882))</f>
        <v>No</v>
      </c>
      <c r="BM882" s="0" t="s">
        <v>63</v>
      </c>
      <c r="BN882" s="0" t="str">
        <f aca="false">PROPER(IF(ISBLANK(BM882),"Not Mentioned",BM882))</f>
        <v>Yes</v>
      </c>
      <c r="BO882" s="0" t="s">
        <v>64</v>
      </c>
      <c r="BP882" s="0" t="str">
        <f aca="false">IF(ISBLANK(BO882),"One-Time Plan",BO882)</f>
        <v>Gold Maintenance Plan</v>
      </c>
      <c r="BQ882" s="0" t="s">
        <v>190</v>
      </c>
      <c r="BR882" s="0" t="str">
        <f aca="false">PROPER(IF(ISBLANK(BQ882),"No",BQ882))</f>
        <v>Yes</v>
      </c>
    </row>
    <row r="883" customFormat="false" ht="15" hidden="false" customHeight="false" outlineLevel="0" collapsed="false">
      <c r="A883" s="0" t="s">
        <v>2047</v>
      </c>
      <c r="B883" s="2" t="n">
        <v>45800</v>
      </c>
      <c r="C883" s="2" t="str">
        <f aca="false">TEXT(B883,"dd/mm/yyyy")</f>
        <v>23/05/2025</v>
      </c>
      <c r="D883" s="0" t="s">
        <v>42</v>
      </c>
      <c r="E883" s="0" t="n">
        <v>8075121683</v>
      </c>
      <c r="F883" s="0" t="s">
        <v>122</v>
      </c>
      <c r="G883" s="0" t="s">
        <v>2316</v>
      </c>
      <c r="H883" s="0" t="s">
        <v>2048</v>
      </c>
      <c r="I883" s="0" t="s">
        <v>107</v>
      </c>
      <c r="K883" s="3" t="str">
        <f aca="false" t="array" ref="K883:K883">IFERROR(IF(J883&lt;&gt;"",J883,INDEX(J883:J1882,MATCH(1,(F883:F1882=F883)*(I883:I1882=I883)*(L883:L1882=L883)*(J883:J1882&lt;&gt;""),0))),"Not Found")</f>
        <v>Not Found</v>
      </c>
      <c r="L883" s="3" t="s">
        <v>154</v>
      </c>
      <c r="M883" s="0" t="str">
        <f aca="false">PROPER(L883)</f>
        <v>Air Filter</v>
      </c>
      <c r="O883" s="0" t="e">
        <f aca="false" t="array" ref="O883:O883">IF(N883&lt;&gt;"",N883,_xlfn.xlookup(1,(L883:L1882=L883)*(N883:N1882&lt;&gt;""),N883:N1882,"Not Found"))</f>
        <v>#NAME?</v>
      </c>
      <c r="P883" s="4" t="n">
        <v>44013</v>
      </c>
      <c r="Q883" s="0" t="s">
        <v>110</v>
      </c>
      <c r="R883" s="0" t="str">
        <f aca="false">PROPER(Q883)</f>
        <v>Cash</v>
      </c>
      <c r="S883" s="0" t="s">
        <v>63</v>
      </c>
      <c r="U883" s="5" t="n">
        <f aca="false">IF(ISBLANK(T883),AVERAGE(T883:T1882),T883)</f>
        <v>3.38144329896907</v>
      </c>
      <c r="V883" s="0" t="n">
        <v>2.9</v>
      </c>
      <c r="W883" s="0" t="s">
        <v>125</v>
      </c>
      <c r="X883" s="0" t="str">
        <f aca="false">IF(ISBLANK(W883),"No remarks",W883)</f>
        <v>Customer waited</v>
      </c>
      <c r="Y883" s="0" t="s">
        <v>93</v>
      </c>
      <c r="Z883" s="0" t="s">
        <v>136</v>
      </c>
      <c r="AA883" s="0" t="str">
        <f aca="false">PROPER(IF(ISBLANK(Z883),"Location Unavailable",Z883))</f>
        <v>Vip Section</v>
      </c>
      <c r="AB883" s="0" t="s">
        <v>54</v>
      </c>
      <c r="AC883" s="6" t="str">
        <f aca="false">PROPER(AB883)</f>
        <v>Mechanic Referral</v>
      </c>
      <c r="AD883" s="6" t="n">
        <v>45</v>
      </c>
      <c r="AE883" s="5" t="n">
        <f aca="false">IF(ISBLANK(AD883),AVERAGEIF(L883:L1882,L883,AD883:AD1882),AD883)</f>
        <v>45</v>
      </c>
      <c r="AF883" s="0" t="s">
        <v>96</v>
      </c>
      <c r="AG883" s="0" t="str">
        <f aca="false">PROPER(AF883)</f>
        <v>Ordered</v>
      </c>
      <c r="AH883" s="0" t="s">
        <v>155</v>
      </c>
      <c r="AI883" s="0" t="s">
        <v>113</v>
      </c>
      <c r="AJ883" s="0" t="str">
        <f aca="false">PROPER(AI883)</f>
        <v>Normal</v>
      </c>
      <c r="AK883" s="0" t="s">
        <v>114</v>
      </c>
      <c r="AL883" s="0" t="str">
        <f aca="false">PROPER(AK883)</f>
        <v>Returning</v>
      </c>
      <c r="AN883" s="0" t="str">
        <f aca="false">IF(ISBLANK(AM883),"Unknown",AM883)</f>
        <v>Unknown</v>
      </c>
      <c r="AO883" s="0" t="s">
        <v>149</v>
      </c>
      <c r="AP883" s="0" t="str">
        <f aca="false">IF(ISBLANK(AO883),"Unknown",AO883)</f>
        <v>Senior </v>
      </c>
      <c r="AQ883" s="0" t="n">
        <v>30000</v>
      </c>
      <c r="AR883" s="5" t="n">
        <f aca="false">IF(ISBLANK(AQ883),AVERAGEIF(M883:M1882,M883,AQ883:AQ1882),AQ883)</f>
        <v>30000</v>
      </c>
      <c r="AS883" s="0" t="n">
        <v>40000</v>
      </c>
      <c r="AT883" s="5" t="n">
        <f aca="false">IF(ISBLANK(AS883),AVERAGE(AS883:AS1882),AS883)</f>
        <v>40000</v>
      </c>
      <c r="AV883" s="0" t="str">
        <f aca="false">PROPER(IF(ISBLANK(AU883),"No",AU883))</f>
        <v>No</v>
      </c>
      <c r="AW883" s="0" t="n">
        <v>0</v>
      </c>
      <c r="AX883" s="5" t="n">
        <f aca="false">IF(ISBLANK(AW883),0,AW883)</f>
        <v>0</v>
      </c>
      <c r="AY883" s="0" t="s">
        <v>184</v>
      </c>
      <c r="AZ883" s="0" t="str">
        <f aca="false">UPPER(IF(ISBLANK(AY883),"NONE",AY883))</f>
        <v>N/A</v>
      </c>
      <c r="BB883" s="7" t="str">
        <f aca="false">IF(ISBLANK(BA883),"No Follow Up Needed",BA883)</f>
        <v>No Follow Up Needed</v>
      </c>
      <c r="BC883" s="0" t="s">
        <v>61</v>
      </c>
      <c r="BD883" s="0" t="str">
        <f aca="false">PROPER(IF(ISBLANK(BC883),"Unknown",BC883))</f>
        <v>No</v>
      </c>
      <c r="BF883" s="0" t="str">
        <f aca="false">IF(ISBLANK(BE883),"No comments",BE883)</f>
        <v>No comments</v>
      </c>
      <c r="BG883" s="0" t="s">
        <v>117</v>
      </c>
      <c r="BH883" s="0" t="str">
        <f aca="false">IF(ISBLANK(BG883),"No comments",BG883)</f>
        <v>Prefers morning</v>
      </c>
      <c r="BI883" s="0" t="s">
        <v>50</v>
      </c>
      <c r="BJ883" s="0" t="str">
        <f aca="false">IF(ISBLANK(BI883),"Not Mentioned",BI883)</f>
        <v>No</v>
      </c>
      <c r="BL883" s="0" t="str">
        <f aca="false">PROPER(IF(ISBLANK(BK883),"Not Mentioned",BK883))</f>
        <v>Not Mentioned</v>
      </c>
      <c r="BN883" s="0" t="str">
        <f aca="false">PROPER(IF(ISBLANK(BM883),"Not Mentioned",BM883))</f>
        <v>Not Mentioned</v>
      </c>
      <c r="BO883" s="0" t="s">
        <v>64</v>
      </c>
      <c r="BP883" s="0" t="str">
        <f aca="false">IF(ISBLANK(BO883),"One-Time Plan",BO883)</f>
        <v>Gold Maintenance Plan</v>
      </c>
      <c r="BQ883" s="0" t="s">
        <v>50</v>
      </c>
      <c r="BR883" s="0" t="str">
        <f aca="false">PROPER(IF(ISBLANK(BQ883),"No",BQ883))</f>
        <v>No</v>
      </c>
    </row>
    <row r="884" customFormat="false" ht="15" hidden="false" customHeight="false" outlineLevel="0" collapsed="false">
      <c r="A884" s="0" t="s">
        <v>2049</v>
      </c>
      <c r="B884" s="2" t="n">
        <v>45993</v>
      </c>
      <c r="C884" s="2" t="str">
        <f aca="false">TEXT(B884,"dd/mm/yyyy")</f>
        <v>02/12/2025</v>
      </c>
      <c r="D884" s="0" t="s">
        <v>163</v>
      </c>
      <c r="E884" s="0" t="n">
        <v>8023530374</v>
      </c>
      <c r="F884" s="0" t="s">
        <v>122</v>
      </c>
      <c r="G884" s="0" t="s">
        <v>2316</v>
      </c>
      <c r="H884" s="0" t="s">
        <v>2050</v>
      </c>
      <c r="I884" s="0" t="s">
        <v>134</v>
      </c>
      <c r="J884" s="0" t="s">
        <v>87</v>
      </c>
      <c r="K884" s="3" t="str">
        <f aca="false" t="array" ref="K884:K884">IFERROR(IF(J884&lt;&gt;"",J884,INDEX(J884:J1883,MATCH(1,(F884:F1883=F884)*(I884:I1883=I884)*(L884:L1883=L884)*(J884:J1883&lt;&gt;""),0))),"Not Found")</f>
        <v>Oil Change</v>
      </c>
      <c r="L884" s="3" t="s">
        <v>189</v>
      </c>
      <c r="M884" s="0" t="str">
        <f aca="false">PROPER(L884)</f>
        <v>Battery</v>
      </c>
      <c r="N884" s="3" t="s">
        <v>90</v>
      </c>
      <c r="O884" s="0" t="str">
        <f aca="false" t="array" ref="O884:O884">IF(N884&lt;&gt;"",N884,_xlfn.xlookup(1,(L884:L1883=L884)*(N884:N1883&lt;&gt;""),N884:N1883,"Not Found"))</f>
        <v>Musa</v>
      </c>
      <c r="P884" s="4" t="n">
        <v>80791</v>
      </c>
      <c r="Q884" s="0" t="s">
        <v>72</v>
      </c>
      <c r="R884" s="0" t="str">
        <f aca="false">PROPER(Q884)</f>
        <v>Pos</v>
      </c>
      <c r="S884" s="0" t="s">
        <v>50</v>
      </c>
      <c r="U884" s="5" t="n">
        <f aca="false">IF(ISBLANK(T884),AVERAGE(T884:T1883),T884)</f>
        <v>3.38144329896907</v>
      </c>
      <c r="V884" s="0" t="n">
        <v>3.7</v>
      </c>
      <c r="W884" s="0" t="s">
        <v>125</v>
      </c>
      <c r="X884" s="0" t="str">
        <f aca="false">IF(ISBLANK(W884),"No remarks",W884)</f>
        <v>Customer waited</v>
      </c>
      <c r="Y884" s="0" t="s">
        <v>93</v>
      </c>
      <c r="Z884" s="0" t="s">
        <v>136</v>
      </c>
      <c r="AA884" s="0" t="str">
        <f aca="false">PROPER(IF(ISBLANK(Z884),"Location Unavailable",Z884))</f>
        <v>Vip Section</v>
      </c>
      <c r="AB884" s="0" t="s">
        <v>75</v>
      </c>
      <c r="AC884" s="6" t="str">
        <f aca="false">PROPER(AB884)</f>
        <v>Mechanik Referal</v>
      </c>
      <c r="AD884" s="6" t="n">
        <v>30</v>
      </c>
      <c r="AE884" s="5" t="n">
        <f aca="false">IF(ISBLANK(AD884),AVERAGEIF(L884:L1883,L884,AD884:AD1883),AD884)</f>
        <v>30</v>
      </c>
      <c r="AF884" s="0" t="s">
        <v>76</v>
      </c>
      <c r="AG884" s="0" t="str">
        <f aca="false">PROPER(AF884)</f>
        <v>Orderd</v>
      </c>
      <c r="AH884" s="0" t="s">
        <v>148</v>
      </c>
      <c r="AI884" s="0" t="s">
        <v>98</v>
      </c>
      <c r="AJ884" s="0" t="str">
        <f aca="false">PROPER(AI884)</f>
        <v>Emergency</v>
      </c>
      <c r="AK884" s="0" t="s">
        <v>196</v>
      </c>
      <c r="AL884" s="0" t="str">
        <f aca="false">PROPER(AK884)</f>
        <v>First Time</v>
      </c>
      <c r="AN884" s="0" t="str">
        <f aca="false">IF(ISBLANK(AM884),"Unknown",AM884)</f>
        <v>Unknown</v>
      </c>
      <c r="AP884" s="0" t="str">
        <f aca="false">IF(ISBLANK(AO884),"Unknown",AO884)</f>
        <v>Unknown</v>
      </c>
      <c r="AQ884" s="0" t="n">
        <v>30000</v>
      </c>
      <c r="AR884" s="5" t="n">
        <f aca="false">IF(ISBLANK(AQ884),AVERAGEIF(M884:M1883,M884,AQ884:AQ1883),AQ884)</f>
        <v>30000</v>
      </c>
      <c r="AS884" s="0" t="n">
        <v>30000</v>
      </c>
      <c r="AT884" s="5" t="n">
        <f aca="false">IF(ISBLANK(AS884),AVERAGE(AS884:AS1883),AS884)</f>
        <v>30000</v>
      </c>
      <c r="AU884" s="0" t="s">
        <v>82</v>
      </c>
      <c r="AV884" s="0" t="str">
        <f aca="false">PROPER(IF(ISBLANK(AU884),"No",AU884))</f>
        <v>Yes</v>
      </c>
      <c r="AW884" s="0" t="n">
        <v>5000</v>
      </c>
      <c r="AX884" s="5" t="n">
        <f aca="false">IF(ISBLANK(AW884),0,AW884)</f>
        <v>5000</v>
      </c>
      <c r="AZ884" s="0" t="str">
        <f aca="false">UPPER(IF(ISBLANK(AY884),"NONE",AY884))</f>
        <v>NONE</v>
      </c>
      <c r="BB884" s="7" t="str">
        <f aca="false">IF(ISBLANK(BA884),"No Follow Up Needed",BA884)</f>
        <v>No Follow Up Needed</v>
      </c>
      <c r="BD884" s="0" t="str">
        <f aca="false">PROPER(IF(ISBLANK(BC884),"Unknown",BC884))</f>
        <v>Unknown</v>
      </c>
      <c r="BE884" s="0" t="s">
        <v>171</v>
      </c>
      <c r="BF884" s="0" t="str">
        <f aca="false">IF(ISBLANK(BE884),"No comments",BE884)</f>
        <v>Shock absorber weakening</v>
      </c>
      <c r="BG884" s="0" t="s">
        <v>172</v>
      </c>
      <c r="BH884" s="0" t="str">
        <f aca="false">IF(ISBLANK(BG884),"No comments",BG884)</f>
        <v>Always late</v>
      </c>
      <c r="BI884" s="0" t="s">
        <v>50</v>
      </c>
      <c r="BJ884" s="0" t="str">
        <f aca="false">IF(ISBLANK(BI884),"Not Mentioned",BI884)</f>
        <v>No</v>
      </c>
      <c r="BK884" s="0" t="s">
        <v>82</v>
      </c>
      <c r="BL884" s="0" t="str">
        <f aca="false">PROPER(IF(ISBLANK(BK884),"Not Mentioned",BK884))</f>
        <v>Yes</v>
      </c>
      <c r="BN884" s="0" t="str">
        <f aca="false">PROPER(IF(ISBLANK(BM884),"Not Mentioned",BM884))</f>
        <v>Not Mentioned</v>
      </c>
      <c r="BO884" s="0" t="s">
        <v>2318</v>
      </c>
      <c r="BP884" s="0" t="str">
        <f aca="false">IF(ISBLANK(BO884),"One-Time Plan",BO884)</f>
        <v>Gold</v>
      </c>
      <c r="BQ884" s="0" t="s">
        <v>50</v>
      </c>
      <c r="BR884" s="0" t="str">
        <f aca="false">PROPER(IF(ISBLANK(BQ884),"No",BQ884))</f>
        <v>No</v>
      </c>
    </row>
    <row r="885" customFormat="false" ht="15" hidden="false" customHeight="false" outlineLevel="0" collapsed="false">
      <c r="A885" s="0" t="s">
        <v>2051</v>
      </c>
      <c r="B885" s="2" t="s">
        <v>737</v>
      </c>
      <c r="C885" s="2" t="str">
        <f aca="false">TEXT(B885,"dd/mm/yyyy")</f>
        <v>21/03/2025</v>
      </c>
      <c r="D885" s="0" t="s">
        <v>163</v>
      </c>
      <c r="E885" s="0" t="n">
        <v>8011275951</v>
      </c>
      <c r="F885" s="0" t="s">
        <v>67</v>
      </c>
      <c r="G885" s="0" t="s">
        <v>2316</v>
      </c>
      <c r="H885" s="0" t="s">
        <v>2052</v>
      </c>
      <c r="I885" s="0" t="s">
        <v>134</v>
      </c>
      <c r="J885" s="0" t="s">
        <v>2325</v>
      </c>
      <c r="K885" s="3" t="str">
        <f aca="false" t="array" ref="K885:K885">IFERROR(IF(J885&lt;&gt;"",J885,INDEX(J885:J1884,MATCH(1,(F885:F1884=F885)*(I885:I1884=I885)*(L885:L1884=L885)*(J885:J1884&lt;&gt;""),0))),"Not Found")</f>
        <v>Engine Knocking</v>
      </c>
      <c r="L885" s="3" t="s">
        <v>108</v>
      </c>
      <c r="M885" s="0" t="str">
        <f aca="false">PROPER(L885)</f>
        <v>Timing Belt</v>
      </c>
      <c r="N885" s="3" t="s">
        <v>48</v>
      </c>
      <c r="O885" s="0" t="str">
        <f aca="false" t="array" ref="O885:O885">IF(N885&lt;&gt;"",N885,_xlfn.xlookup(1,(L885:L1884=L885)*(N885:N1884&lt;&gt;""),N885:N1884,"Not Found"))</f>
        <v>Uche</v>
      </c>
      <c r="P885" s="4" t="n">
        <v>16137</v>
      </c>
      <c r="Q885" s="0" t="s">
        <v>91</v>
      </c>
      <c r="R885" s="0" t="str">
        <f aca="false">PROPER(Q885)</f>
        <v>Pos</v>
      </c>
      <c r="S885" s="0" t="s">
        <v>63</v>
      </c>
      <c r="T885" s="0" t="n">
        <v>1</v>
      </c>
      <c r="U885" s="5" t="n">
        <f aca="false">IF(ISBLANK(T885),AVERAGE(T885:T1884),T885)</f>
        <v>1</v>
      </c>
      <c r="V885" s="0" t="n">
        <v>4.7</v>
      </c>
      <c r="W885" s="0" t="s">
        <v>51</v>
      </c>
      <c r="X885" s="0" t="str">
        <f aca="false">IF(ISBLANK(W885),"No remarks",W885)</f>
        <v>Recommended further checks</v>
      </c>
      <c r="Y885" s="0" t="s">
        <v>73</v>
      </c>
      <c r="Z885" s="0" t="s">
        <v>94</v>
      </c>
      <c r="AA885" s="0" t="str">
        <f aca="false">PROPER(IF(ISBLANK(Z885),"Location Unavailable",Z885))</f>
        <v>Vip Section</v>
      </c>
      <c r="AB885" s="0" t="s">
        <v>126</v>
      </c>
      <c r="AC885" s="6" t="str">
        <f aca="false">PROPER(AB885)</f>
        <v>Whatsapp</v>
      </c>
      <c r="AD885" s="6" t="n">
        <v>15</v>
      </c>
      <c r="AE885" s="5" t="n">
        <f aca="false">IF(ISBLANK(AD885),AVERAGEIF(L885:L1884,L885,AD885:AD1884),AD885)</f>
        <v>15</v>
      </c>
      <c r="AF885" s="0" t="s">
        <v>55</v>
      </c>
      <c r="AG885" s="0" t="str">
        <f aca="false">PROPER(AF885)</f>
        <v>Available</v>
      </c>
      <c r="AH885" s="0" t="s">
        <v>77</v>
      </c>
      <c r="AI885" s="0" t="s">
        <v>98</v>
      </c>
      <c r="AJ885" s="0" t="str">
        <f aca="false">PROPER(AI885)</f>
        <v>Emergency</v>
      </c>
      <c r="AK885" s="0" t="s">
        <v>58</v>
      </c>
      <c r="AL885" s="0" t="str">
        <f aca="false">PROPER(AK885)</f>
        <v>Fleet Owner</v>
      </c>
      <c r="AM885" s="0" t="s">
        <v>59</v>
      </c>
      <c r="AN885" s="0" t="str">
        <f aca="false">IF(ISBLANK(AM885),"Unknown",AM885)</f>
        <v>Bolt Driver</v>
      </c>
      <c r="AP885" s="0" t="str">
        <f aca="false">IF(ISBLANK(AO885),"Unknown",AO885)</f>
        <v>Unknown</v>
      </c>
      <c r="AR885" s="5" t="n">
        <f aca="false">IF(ISBLANK(AQ885),AVERAGEIF(M885:M1884,M885,AQ885:AQ1884),AQ885)</f>
        <v>27954.5454545455</v>
      </c>
      <c r="AS885" s="0" t="n">
        <v>20000</v>
      </c>
      <c r="AT885" s="5" t="n">
        <f aca="false">IF(ISBLANK(AS885),AVERAGE(AS885:AS1884),AS885)</f>
        <v>20000</v>
      </c>
      <c r="AU885" s="0" t="s">
        <v>50</v>
      </c>
      <c r="AV885" s="0" t="str">
        <f aca="false">PROPER(IF(ISBLANK(AU885),"No",AU885))</f>
        <v>No</v>
      </c>
      <c r="AW885" s="0" t="n">
        <v>10000</v>
      </c>
      <c r="AX885" s="5" t="n">
        <f aca="false">IF(ISBLANK(AW885),0,AW885)</f>
        <v>10000</v>
      </c>
      <c r="AY885" s="0" t="s">
        <v>184</v>
      </c>
      <c r="AZ885" s="0" t="str">
        <f aca="false">UPPER(IF(ISBLANK(AY885),"NONE",AY885))</f>
        <v>N/A</v>
      </c>
      <c r="BA885" s="7" t="s">
        <v>1063</v>
      </c>
      <c r="BB885" s="7" t="str">
        <f aca="false">IF(ISBLANK(BA885),"No Follow Up Needed",BA885)</f>
        <v>16/11/2025</v>
      </c>
      <c r="BC885" s="0" t="s">
        <v>63</v>
      </c>
      <c r="BD885" s="0" t="str">
        <f aca="false">PROPER(IF(ISBLANK(BC885),"Unknown",BC885))</f>
        <v>Yes</v>
      </c>
      <c r="BE885" s="0" t="s">
        <v>116</v>
      </c>
      <c r="BF885" s="0" t="str">
        <f aca="false">IF(ISBLANK(BE885),"No comments",BE885)</f>
        <v>Needs tire alignment</v>
      </c>
      <c r="BH885" s="0" t="str">
        <f aca="false">IF(ISBLANK(BG885),"No comments",BG885)</f>
        <v>No comments</v>
      </c>
      <c r="BJ885" s="0" t="str">
        <f aca="false">IF(ISBLANK(BI885),"Not Mentioned",BI885)</f>
        <v>Not Mentioned</v>
      </c>
      <c r="BK885" s="0" t="s">
        <v>63</v>
      </c>
      <c r="BL885" s="0" t="str">
        <f aca="false">PROPER(IF(ISBLANK(BK885),"Not Mentioned",BK885))</f>
        <v>Yes</v>
      </c>
      <c r="BM885" s="0" t="s">
        <v>63</v>
      </c>
      <c r="BN885" s="0" t="str">
        <f aca="false">PROPER(IF(ISBLANK(BM885),"Not Mentioned",BM885))</f>
        <v>Yes</v>
      </c>
      <c r="BP885" s="0" t="str">
        <f aca="false">IF(ISBLANK(BO885),"One-Time Plan",BO885)</f>
        <v>One-Time Plan</v>
      </c>
      <c r="BR885" s="0" t="str">
        <f aca="false">PROPER(IF(ISBLANK(BQ885),"No",BQ885))</f>
        <v>No</v>
      </c>
    </row>
    <row r="886" customFormat="false" ht="15" hidden="false" customHeight="false" outlineLevel="0" collapsed="false">
      <c r="A886" s="0" t="s">
        <v>2053</v>
      </c>
      <c r="B886" s="2" t="n">
        <v>45783</v>
      </c>
      <c r="C886" s="2" t="str">
        <f aca="false">TEXT(B886,"dd/mm/yyyy")</f>
        <v>06/05/2025</v>
      </c>
      <c r="D886" s="0" t="s">
        <v>66</v>
      </c>
      <c r="E886" s="0" t="n">
        <v>8018194860</v>
      </c>
      <c r="F886" s="0" t="s">
        <v>67</v>
      </c>
      <c r="G886" s="0" t="s">
        <v>2316</v>
      </c>
      <c r="H886" s="0" t="s">
        <v>2054</v>
      </c>
      <c r="I886" s="0" t="s">
        <v>69</v>
      </c>
      <c r="J886" s="0" t="s">
        <v>2322</v>
      </c>
      <c r="K886" s="3" t="str">
        <f aca="false" t="array" ref="K886:K886">IFERROR(IF(J886&lt;&gt;"",J886,INDEX(J886:J1885,MATCH(1,(F886:F1885=F886)*(I886:I1885=I886)*(L886:L1885=L886)*(J886:J1885&lt;&gt;""),0))),"Not Found")</f>
        <v>Brake Failure</v>
      </c>
      <c r="L886" s="3" t="s">
        <v>154</v>
      </c>
      <c r="M886" s="0" t="str">
        <f aca="false">PROPER(L886)</f>
        <v>Air Filter</v>
      </c>
      <c r="N886" s="3" t="s">
        <v>48</v>
      </c>
      <c r="O886" s="0" t="str">
        <f aca="false" t="array" ref="O886:O886">IF(N886&lt;&gt;"",N886,_xlfn.xlookup(1,(L886:L1885=L886)*(N886:N1885&lt;&gt;""),N886:N1885,"Not Found"))</f>
        <v>Uche</v>
      </c>
      <c r="P886" s="4" t="n">
        <v>64891</v>
      </c>
      <c r="Q886" s="0" t="s">
        <v>166</v>
      </c>
      <c r="R886" s="0" t="str">
        <f aca="false">PROPER(Q886)</f>
        <v>Transfer</v>
      </c>
      <c r="S886" s="0" t="s">
        <v>63</v>
      </c>
      <c r="T886" s="0" t="n">
        <v>4</v>
      </c>
      <c r="U886" s="5" t="n">
        <f aca="false">IF(ISBLANK(T886),AVERAGE(T886:T1885),T886)</f>
        <v>4</v>
      </c>
      <c r="V886" s="0" t="n">
        <v>2.5</v>
      </c>
      <c r="W886" s="0" t="s">
        <v>111</v>
      </c>
      <c r="X886" s="0" t="str">
        <f aca="false">IF(ISBLANK(W886),"No remarks",W886)</f>
        <v>Changed all filters</v>
      </c>
      <c r="Y886" s="0" t="s">
        <v>52</v>
      </c>
      <c r="Z886" s="0" t="s">
        <v>159</v>
      </c>
      <c r="AA886" s="0" t="str">
        <f aca="false">PROPER(IF(ISBLANK(Z886),"Location Unavailable",Z886))</f>
        <v>Main Bay</v>
      </c>
      <c r="AB886" s="0" t="s">
        <v>167</v>
      </c>
      <c r="AC886" s="6" t="str">
        <f aca="false">PROPER(AB886)</f>
        <v>Word Of Mouth</v>
      </c>
      <c r="AD886" s="6" t="n">
        <v>30</v>
      </c>
      <c r="AE886" s="5" t="n">
        <f aca="false">IF(ISBLANK(AD886),AVERAGEIF(L886:L1885,L886,AD886:AD1885),AD886)</f>
        <v>30</v>
      </c>
      <c r="AF886" s="0" t="s">
        <v>76</v>
      </c>
      <c r="AG886" s="0" t="str">
        <f aca="false">PROPER(AF886)</f>
        <v>Orderd</v>
      </c>
      <c r="AH886" s="0" t="s">
        <v>77</v>
      </c>
      <c r="AI886" s="0" t="s">
        <v>98</v>
      </c>
      <c r="AJ886" s="0" t="str">
        <f aca="false">PROPER(AI886)</f>
        <v>Emergency</v>
      </c>
      <c r="AK886" s="0" t="s">
        <v>196</v>
      </c>
      <c r="AL886" s="0" t="str">
        <f aca="false">PROPER(AK886)</f>
        <v>First Time</v>
      </c>
      <c r="AM886" s="0" t="s">
        <v>2324</v>
      </c>
      <c r="AN886" s="0" t="str">
        <f aca="false">IF(ISBLANK(AM886),"Unknown",AM886)</f>
        <v>Logistics Convoy</v>
      </c>
      <c r="AO886" s="0" t="s">
        <v>79</v>
      </c>
      <c r="AP886" s="0" t="str">
        <f aca="false">IF(ISBLANK(AO886),"Unknown",AO886)</f>
        <v>Specialist</v>
      </c>
      <c r="AQ886" s="0" t="n">
        <v>40000</v>
      </c>
      <c r="AR886" s="5" t="n">
        <f aca="false">IF(ISBLANK(AQ886),AVERAGEIF(M886:M1885,M886,AQ886:AQ1885),AQ886)</f>
        <v>40000</v>
      </c>
      <c r="AS886" s="0" t="n">
        <v>35000</v>
      </c>
      <c r="AT886" s="5" t="n">
        <f aca="false">IF(ISBLANK(AS886),AVERAGE(AS886:AS1885),AS886)</f>
        <v>35000</v>
      </c>
      <c r="AU886" s="0" t="s">
        <v>50</v>
      </c>
      <c r="AV886" s="0" t="str">
        <f aca="false">PROPER(IF(ISBLANK(AU886),"No",AU886))</f>
        <v>No</v>
      </c>
      <c r="AX886" s="5" t="n">
        <f aca="false">IF(ISBLANK(AW886),0,AW886)</f>
        <v>0</v>
      </c>
      <c r="AY886" s="0" t="s">
        <v>80</v>
      </c>
      <c r="AZ886" s="0" t="str">
        <f aca="false">UPPER(IF(ISBLANK(AY886),"NONE",AY886))</f>
        <v>PROMO10</v>
      </c>
      <c r="BA886" s="7" t="n">
        <v>46007</v>
      </c>
      <c r="BB886" s="7" t="n">
        <f aca="false">IF(ISBLANK(BA886),"No Follow Up Needed",BA886)</f>
        <v>46007</v>
      </c>
      <c r="BC886" s="0" t="s">
        <v>82</v>
      </c>
      <c r="BD886" s="0" t="str">
        <f aca="false">PROPER(IF(ISBLANK(BC886),"Unknown",BC886))</f>
        <v>Yes</v>
      </c>
      <c r="BF886" s="0" t="str">
        <f aca="false">IF(ISBLANK(BE886),"No comments",BE886)</f>
        <v>No comments</v>
      </c>
      <c r="BG886" s="0" t="s">
        <v>117</v>
      </c>
      <c r="BH886" s="0" t="str">
        <f aca="false">IF(ISBLANK(BG886),"No comments",BG886)</f>
        <v>Prefers morning</v>
      </c>
      <c r="BI886" s="0" t="s">
        <v>50</v>
      </c>
      <c r="BJ886" s="0" t="str">
        <f aca="false">IF(ISBLANK(BI886),"Not Mentioned",BI886)</f>
        <v>No</v>
      </c>
      <c r="BK886" s="0" t="s">
        <v>82</v>
      </c>
      <c r="BL886" s="0" t="str">
        <f aca="false">PROPER(IF(ISBLANK(BK886),"Not Mentioned",BK886))</f>
        <v>Yes</v>
      </c>
      <c r="BM886" s="0" t="s">
        <v>63</v>
      </c>
      <c r="BN886" s="0" t="str">
        <f aca="false">PROPER(IF(ISBLANK(BM886),"Not Mentioned",BM886))</f>
        <v>Yes</v>
      </c>
      <c r="BO886" s="0" t="s">
        <v>64</v>
      </c>
      <c r="BP886" s="0" t="str">
        <f aca="false">IF(ISBLANK(BO886),"One-Time Plan",BO886)</f>
        <v>Gold Maintenance Plan</v>
      </c>
      <c r="BR886" s="0" t="str">
        <f aca="false">PROPER(IF(ISBLANK(BQ886),"No",BQ886))</f>
        <v>No</v>
      </c>
    </row>
    <row r="887" customFormat="false" ht="15" hidden="false" customHeight="false" outlineLevel="0" collapsed="false">
      <c r="A887" s="0" t="s">
        <v>2055</v>
      </c>
      <c r="B887" s="2" t="s">
        <v>40</v>
      </c>
      <c r="C887" s="2" t="str">
        <f aca="false">TEXT(B887,"dd/mm/yyyy")</f>
        <v>19/05/2025</v>
      </c>
      <c r="D887" s="0" t="s">
        <v>163</v>
      </c>
      <c r="E887" s="0" t="n">
        <v>8045712753</v>
      </c>
      <c r="F887" s="0" t="s">
        <v>43</v>
      </c>
      <c r="G887" s="0" t="s">
        <v>2315</v>
      </c>
      <c r="H887" s="0" t="s">
        <v>2056</v>
      </c>
      <c r="I887" s="0" t="s">
        <v>69</v>
      </c>
      <c r="J887" s="0" t="s">
        <v>2325</v>
      </c>
      <c r="K887" s="3" t="str">
        <f aca="false" t="array" ref="K887:K887">IFERROR(IF(J887&lt;&gt;"",J887,INDEX(J887:J1886,MATCH(1,(F887:F1886=F887)*(I887:I1886=I887)*(L887:L1886=L887)*(J887:J1886&lt;&gt;""),0))),"Not Found")</f>
        <v>Engine Knocking</v>
      </c>
      <c r="L887" s="3" t="s">
        <v>89</v>
      </c>
      <c r="M887" s="0" t="str">
        <f aca="false">PROPER(L887)</f>
        <v>Shock Absorbers</v>
      </c>
      <c r="N887" s="3" t="s">
        <v>109</v>
      </c>
      <c r="O887" s="0" t="str">
        <f aca="false" t="array" ref="O887:O887">IF(N887&lt;&gt;"",N887,_xlfn.xlookup(1,(L887:L1886=L887)*(N887:N1886&lt;&gt;""),N887:N1886,"Not Found"))</f>
        <v>Tijani</v>
      </c>
      <c r="P887" s="4" t="n">
        <v>72168</v>
      </c>
      <c r="Q887" s="0" t="s">
        <v>91</v>
      </c>
      <c r="R887" s="0" t="str">
        <f aca="false">PROPER(Q887)</f>
        <v>Pos</v>
      </c>
      <c r="S887" s="0" t="s">
        <v>63</v>
      </c>
      <c r="T887" s="0" t="n">
        <v>4</v>
      </c>
      <c r="U887" s="5" t="n">
        <f aca="false">IF(ISBLANK(T887),AVERAGE(T887:T1886),T887)</f>
        <v>4</v>
      </c>
      <c r="V887" s="0" t="n">
        <v>5.9</v>
      </c>
      <c r="W887" s="0" t="s">
        <v>111</v>
      </c>
      <c r="X887" s="0" t="str">
        <f aca="false">IF(ISBLANK(W887),"No remarks",W887)</f>
        <v>Changed all filters</v>
      </c>
      <c r="Y887" s="0" t="s">
        <v>52</v>
      </c>
      <c r="AA887" s="0" t="str">
        <f aca="false">PROPER(IF(ISBLANK(Z887),"Location Unavailable",Z887))</f>
        <v>Location Unavailable</v>
      </c>
      <c r="AB887" s="0" t="s">
        <v>167</v>
      </c>
      <c r="AC887" s="6" t="str">
        <f aca="false">PROPER(AB887)</f>
        <v>Word Of Mouth</v>
      </c>
      <c r="AD887" s="6" t="n">
        <v>45</v>
      </c>
      <c r="AE887" s="5" t="n">
        <f aca="false">IF(ISBLANK(AD887),AVERAGEIF(L887:L1886,L887,AD887:AD1886),AD887)</f>
        <v>45</v>
      </c>
      <c r="AF887" s="0" t="s">
        <v>96</v>
      </c>
      <c r="AG887" s="0" t="str">
        <f aca="false">PROPER(AF887)</f>
        <v>Ordered</v>
      </c>
      <c r="AH887" s="0" t="s">
        <v>155</v>
      </c>
      <c r="AI887" s="0" t="s">
        <v>98</v>
      </c>
      <c r="AJ887" s="0" t="str">
        <f aca="false">PROPER(AI887)</f>
        <v>Emergency</v>
      </c>
      <c r="AK887" s="0" t="s">
        <v>196</v>
      </c>
      <c r="AL887" s="0" t="str">
        <f aca="false">PROPER(AK887)</f>
        <v>First Time</v>
      </c>
      <c r="AM887" s="0" t="s">
        <v>2326</v>
      </c>
      <c r="AN887" s="0" t="str">
        <f aca="false">IF(ISBLANK(AM887),"Unknown",AM887)</f>
        <v>Government Convoy</v>
      </c>
      <c r="AO887" s="0" t="s">
        <v>149</v>
      </c>
      <c r="AP887" s="0" t="str">
        <f aca="false">IF(ISBLANK(AO887),"Unknown",AO887)</f>
        <v>Senior </v>
      </c>
      <c r="AR887" s="5" t="n">
        <f aca="false">IF(ISBLANK(AQ887),AVERAGEIF(M887:M1886,M887,AQ887:AQ1886),AQ887)</f>
        <v>23000</v>
      </c>
      <c r="AS887" s="0" t="n">
        <v>35000</v>
      </c>
      <c r="AT887" s="5" t="n">
        <f aca="false">IF(ISBLANK(AS887),AVERAGE(AS887:AS1886),AS887)</f>
        <v>35000</v>
      </c>
      <c r="AV887" s="0" t="str">
        <f aca="false">PROPER(IF(ISBLANK(AU887),"No",AU887))</f>
        <v>No</v>
      </c>
      <c r="AW887" s="0" t="n">
        <v>10000</v>
      </c>
      <c r="AX887" s="5" t="n">
        <f aca="false">IF(ISBLANK(AW887),0,AW887)</f>
        <v>10000</v>
      </c>
      <c r="AZ887" s="0" t="str">
        <f aca="false">UPPER(IF(ISBLANK(AY887),"NONE",AY887))</f>
        <v>NONE</v>
      </c>
      <c r="BA887" s="7" t="n">
        <v>46011</v>
      </c>
      <c r="BB887" s="7" t="n">
        <f aca="false">IF(ISBLANK(BA887),"No Follow Up Needed",BA887)</f>
        <v>46011</v>
      </c>
      <c r="BC887" s="0" t="s">
        <v>82</v>
      </c>
      <c r="BD887" s="0" t="str">
        <f aca="false">PROPER(IF(ISBLANK(BC887),"Unknown",BC887))</f>
        <v>Yes</v>
      </c>
      <c r="BF887" s="0" t="str">
        <f aca="false">IF(ISBLANK(BE887),"No comments",BE887)</f>
        <v>No comments</v>
      </c>
      <c r="BH887" s="0" t="str">
        <f aca="false">IF(ISBLANK(BG887),"No comments",BG887)</f>
        <v>No comments</v>
      </c>
      <c r="BI887" s="0" t="s">
        <v>63</v>
      </c>
      <c r="BJ887" s="0" t="str">
        <f aca="false">IF(ISBLANK(BI887),"Not Mentioned",BI887)</f>
        <v>Yes</v>
      </c>
      <c r="BK887" s="0" t="s">
        <v>82</v>
      </c>
      <c r="BL887" s="0" t="str">
        <f aca="false">PROPER(IF(ISBLANK(BK887),"Not Mentioned",BK887))</f>
        <v>Yes</v>
      </c>
      <c r="BM887" s="0" t="s">
        <v>63</v>
      </c>
      <c r="BN887" s="0" t="str">
        <f aca="false">PROPER(IF(ISBLANK(BM887),"Not Mentioned",BM887))</f>
        <v>Yes</v>
      </c>
      <c r="BO887" s="0" t="s">
        <v>2321</v>
      </c>
      <c r="BP887" s="0" t="str">
        <f aca="false">IF(ISBLANK(BO887),"One-Time Plan",BO887)</f>
        <v>One-Time Plan</v>
      </c>
      <c r="BQ887" s="0" t="s">
        <v>190</v>
      </c>
      <c r="BR887" s="0" t="str">
        <f aca="false">PROPER(IF(ISBLANK(BQ887),"No",BQ887))</f>
        <v>Yes</v>
      </c>
    </row>
    <row r="888" customFormat="false" ht="15" hidden="false" customHeight="false" outlineLevel="0" collapsed="false">
      <c r="A888" s="0" t="s">
        <v>2057</v>
      </c>
      <c r="B888" s="2" t="n">
        <v>45698</v>
      </c>
      <c r="C888" s="2" t="str">
        <f aca="false">TEXT(B888,"dd/mm/yyyy")</f>
        <v>10/02/2025</v>
      </c>
      <c r="D888" s="0" t="s">
        <v>121</v>
      </c>
      <c r="E888" s="0" t="n">
        <v>8010969945</v>
      </c>
      <c r="F888" s="0" t="s">
        <v>67</v>
      </c>
      <c r="G888" s="0" t="s">
        <v>2316</v>
      </c>
      <c r="H888" s="0" t="s">
        <v>2058</v>
      </c>
      <c r="I888" s="0" t="s">
        <v>134</v>
      </c>
      <c r="J888" s="0" t="s">
        <v>87</v>
      </c>
      <c r="K888" s="3" t="str">
        <f aca="false" t="array" ref="K888:K888">IFERROR(IF(J888&lt;&gt;"",J888,INDEX(J888:J1887,MATCH(1,(F888:F1887=F888)*(I888:I1887=I888)*(L888:L1887=L888)*(J888:J1887&lt;&gt;""),0))),"Not Found")</f>
        <v>Oil Change</v>
      </c>
      <c r="L888" s="3" t="s">
        <v>108</v>
      </c>
      <c r="M888" s="0" t="str">
        <f aca="false">PROPER(L888)</f>
        <v>Timing Belt</v>
      </c>
      <c r="N888" s="3" t="s">
        <v>109</v>
      </c>
      <c r="O888" s="0" t="str">
        <f aca="false" t="array" ref="O888:O888">IF(N888&lt;&gt;"",N888,_xlfn.xlookup(1,(L888:L1887=L888)*(N888:N1887&lt;&gt;""),N888:N1887,"Not Found"))</f>
        <v>Tijani</v>
      </c>
      <c r="P888" s="4" t="n">
        <v>51969</v>
      </c>
      <c r="Q888" s="0" t="s">
        <v>91</v>
      </c>
      <c r="R888" s="0" t="str">
        <f aca="false">PROPER(Q888)</f>
        <v>Pos</v>
      </c>
      <c r="S888" s="0" t="s">
        <v>50</v>
      </c>
      <c r="T888" s="0" t="n">
        <v>4</v>
      </c>
      <c r="U888" s="5" t="n">
        <f aca="false">IF(ISBLANK(T888),AVERAGE(T888:T1887),T888)</f>
        <v>4</v>
      </c>
      <c r="V888" s="0" t="n">
        <v>5.8</v>
      </c>
      <c r="W888" s="0" t="s">
        <v>92</v>
      </c>
      <c r="X888" s="0" t="str">
        <f aca="false">IF(ISBLANK(W888),"No remarks",W888)</f>
        <v>Urgent service</v>
      </c>
      <c r="Y888" s="0" t="s">
        <v>73</v>
      </c>
      <c r="Z888" s="0" t="s">
        <v>94</v>
      </c>
      <c r="AA888" s="0" t="str">
        <f aca="false">PROPER(IF(ISBLANK(Z888),"Location Unavailable",Z888))</f>
        <v>Vip Section</v>
      </c>
      <c r="AB888" s="0" t="s">
        <v>75</v>
      </c>
      <c r="AC888" s="6" t="str">
        <f aca="false">PROPER(AB888)</f>
        <v>Mechanik Referal</v>
      </c>
      <c r="AD888" s="6" t="n">
        <v>60</v>
      </c>
      <c r="AE888" s="5" t="n">
        <f aca="false">IF(ISBLANK(AD888),AVERAGEIF(L888:L1887,L888,AD888:AD1887),AD888)</f>
        <v>60</v>
      </c>
      <c r="AF888" s="0" t="s">
        <v>55</v>
      </c>
      <c r="AG888" s="0" t="str">
        <f aca="false">PROPER(AF888)</f>
        <v>Available</v>
      </c>
      <c r="AH888" s="0" t="s">
        <v>155</v>
      </c>
      <c r="AI888" s="0" t="s">
        <v>98</v>
      </c>
      <c r="AJ888" s="0" t="str">
        <f aca="false">PROPER(AI888)</f>
        <v>Emergency</v>
      </c>
      <c r="AK888" s="0" t="s">
        <v>114</v>
      </c>
      <c r="AL888" s="0" t="str">
        <f aca="false">PROPER(AK888)</f>
        <v>Returning</v>
      </c>
      <c r="AM888" s="0" t="s">
        <v>177</v>
      </c>
      <c r="AN888" s="0" t="str">
        <f aca="false">IF(ISBLANK(AM888),"Unknown",AM888)</f>
        <v>Private</v>
      </c>
      <c r="AO888" s="0" t="s">
        <v>79</v>
      </c>
      <c r="AP888" s="0" t="str">
        <f aca="false">IF(ISBLANK(AO888),"Unknown",AO888)</f>
        <v>Specialist</v>
      </c>
      <c r="AQ888" s="0" t="n">
        <v>30000</v>
      </c>
      <c r="AR888" s="5" t="n">
        <f aca="false">IF(ISBLANK(AQ888),AVERAGEIF(M888:M1887,M888,AQ888:AQ1887),AQ888)</f>
        <v>30000</v>
      </c>
      <c r="AS888" s="0" t="n">
        <v>30000</v>
      </c>
      <c r="AT888" s="5" t="n">
        <f aca="false">IF(ISBLANK(AS888),AVERAGE(AS888:AS1887),AS888)</f>
        <v>30000</v>
      </c>
      <c r="AV888" s="0" t="str">
        <f aca="false">PROPER(IF(ISBLANK(AU888),"No",AU888))</f>
        <v>No</v>
      </c>
      <c r="AW888" s="0" t="n">
        <v>10000</v>
      </c>
      <c r="AX888" s="5" t="n">
        <f aca="false">IF(ISBLANK(AW888),0,AW888)</f>
        <v>10000</v>
      </c>
      <c r="AY888" s="0" t="s">
        <v>60</v>
      </c>
      <c r="AZ888" s="0" t="str">
        <f aca="false">UPPER(IF(ISBLANK(AY888),"NONE",AY888))</f>
        <v>NONE</v>
      </c>
      <c r="BA888" s="7" t="n">
        <v>45932</v>
      </c>
      <c r="BB888" s="7" t="n">
        <f aca="false">IF(ISBLANK(BA888),"No Follow Up Needed",BA888)</f>
        <v>45932</v>
      </c>
      <c r="BD888" s="0" t="str">
        <f aca="false">PROPER(IF(ISBLANK(BC888),"Unknown",BC888))</f>
        <v>Unknown</v>
      </c>
      <c r="BF888" s="0" t="str">
        <f aca="false">IF(ISBLANK(BE888),"No comments",BE888)</f>
        <v>No comments</v>
      </c>
      <c r="BG888" s="0" t="s">
        <v>2320</v>
      </c>
      <c r="BH888" s="0" t="str">
        <f aca="false">IF(ISBLANK(BG888),"No comments",BG888)</f>
        <v>No complaints</v>
      </c>
      <c r="BI888" s="0" t="s">
        <v>50</v>
      </c>
      <c r="BJ888" s="0" t="str">
        <f aca="false">IF(ISBLANK(BI888),"Not Mentioned",BI888)</f>
        <v>No</v>
      </c>
      <c r="BK888" s="0" t="s">
        <v>63</v>
      </c>
      <c r="BL888" s="0" t="str">
        <f aca="false">PROPER(IF(ISBLANK(BK888),"Not Mentioned",BK888))</f>
        <v>Yes</v>
      </c>
      <c r="BM888" s="0" t="s">
        <v>50</v>
      </c>
      <c r="BN888" s="0" t="str">
        <f aca="false">PROPER(IF(ISBLANK(BM888),"Not Mentioned",BM888))</f>
        <v>No</v>
      </c>
      <c r="BO888" s="0" t="s">
        <v>2321</v>
      </c>
      <c r="BP888" s="0" t="str">
        <f aca="false">IF(ISBLANK(BO888),"One-Time Plan",BO888)</f>
        <v>One-Time Plan</v>
      </c>
      <c r="BQ888" s="0" t="s">
        <v>63</v>
      </c>
      <c r="BR888" s="0" t="str">
        <f aca="false">PROPER(IF(ISBLANK(BQ888),"No",BQ888))</f>
        <v>Yes</v>
      </c>
    </row>
    <row r="889" customFormat="false" ht="15" hidden="false" customHeight="false" outlineLevel="0" collapsed="false">
      <c r="A889" s="0" t="s">
        <v>2059</v>
      </c>
      <c r="B889" s="2" t="n">
        <v>45965</v>
      </c>
      <c r="C889" s="2" t="str">
        <f aca="false">TEXT(B889,"dd/mm/yyyy")</f>
        <v>04/11/2025</v>
      </c>
      <c r="D889" s="0" t="s">
        <v>42</v>
      </c>
      <c r="E889" s="0" t="n">
        <v>8099298044</v>
      </c>
      <c r="F889" s="0" t="s">
        <v>139</v>
      </c>
      <c r="G889" s="0" t="s">
        <v>2323</v>
      </c>
      <c r="H889" s="0" t="s">
        <v>2060</v>
      </c>
      <c r="I889" s="0" t="s">
        <v>134</v>
      </c>
      <c r="J889" s="0" t="s">
        <v>87</v>
      </c>
      <c r="K889" s="3" t="str">
        <f aca="false" t="array" ref="K889:K889">IFERROR(IF(J889&lt;&gt;"",J889,INDEX(J889:J1888,MATCH(1,(F889:F1888=F889)*(I889:I1888=I889)*(L889:L1888=L889)*(J889:J1888&lt;&gt;""),0))),"Not Found")</f>
        <v>Oil Change</v>
      </c>
      <c r="L889" s="3" t="s">
        <v>142</v>
      </c>
      <c r="M889" s="0" t="str">
        <f aca="false">PROPER(L889)</f>
        <v>Oil Filter, Brake Pads</v>
      </c>
      <c r="N889" s="3" t="s">
        <v>90</v>
      </c>
      <c r="O889" s="0" t="str">
        <f aca="false" t="array" ref="O889:O889">IF(N889&lt;&gt;"",N889,_xlfn.xlookup(1,(L889:L1888=L889)*(N889:N1888&lt;&gt;""),N889:N1888,"Not Found"))</f>
        <v>Musa</v>
      </c>
      <c r="P889" s="4" t="n">
        <v>72033</v>
      </c>
      <c r="Q889" s="0" t="s">
        <v>124</v>
      </c>
      <c r="R889" s="0" t="str">
        <f aca="false">PROPER(Q889)</f>
        <v>Cash</v>
      </c>
      <c r="S889" s="0" t="s">
        <v>50</v>
      </c>
      <c r="T889" s="0" t="n">
        <v>4</v>
      </c>
      <c r="U889" s="5" t="n">
        <f aca="false">IF(ISBLANK(T889),AVERAGE(T889:T1888),T889)</f>
        <v>4</v>
      </c>
      <c r="V889" s="0" t="n">
        <v>5.7</v>
      </c>
      <c r="W889" s="0" t="s">
        <v>51</v>
      </c>
      <c r="X889" s="0" t="str">
        <f aca="false">IF(ISBLANK(W889),"No remarks",W889)</f>
        <v>Recommended further checks</v>
      </c>
      <c r="Y889" s="0" t="s">
        <v>73</v>
      </c>
      <c r="Z889" s="0" t="s">
        <v>53</v>
      </c>
      <c r="AA889" s="0" t="str">
        <f aca="false">PROPER(IF(ISBLANK(Z889),"Location Unavailable",Z889))</f>
        <v>Main Bay</v>
      </c>
      <c r="AB889" s="0" t="s">
        <v>147</v>
      </c>
      <c r="AC889" s="6" t="str">
        <f aca="false">PROPER(AB889)</f>
        <v>Instagram</v>
      </c>
      <c r="AD889" s="6" t="n">
        <v>45</v>
      </c>
      <c r="AE889" s="5" t="n">
        <f aca="false">IF(ISBLANK(AD889),AVERAGEIF(L889:L1888,L889,AD889:AD1888),AD889)</f>
        <v>45</v>
      </c>
      <c r="AF889" s="0" t="s">
        <v>96</v>
      </c>
      <c r="AG889" s="0" t="str">
        <f aca="false">PROPER(AF889)</f>
        <v>Ordered</v>
      </c>
      <c r="AH889" s="0" t="s">
        <v>155</v>
      </c>
      <c r="AI889" s="0" t="s">
        <v>98</v>
      </c>
      <c r="AJ889" s="0" t="str">
        <f aca="false">PROPER(AI889)</f>
        <v>Emergency</v>
      </c>
      <c r="AK889" s="0" t="s">
        <v>196</v>
      </c>
      <c r="AL889" s="0" t="str">
        <f aca="false">PROPER(AK889)</f>
        <v>First Time</v>
      </c>
      <c r="AM889" s="0" t="s">
        <v>2326</v>
      </c>
      <c r="AN889" s="0" t="str">
        <f aca="false">IF(ISBLANK(AM889),"Unknown",AM889)</f>
        <v>Government Convoy</v>
      </c>
      <c r="AO889" s="0" t="s">
        <v>161</v>
      </c>
      <c r="AP889" s="0" t="str">
        <f aca="false">IF(ISBLANK(AO889),"Unknown",AO889)</f>
        <v>Apprentice</v>
      </c>
      <c r="AQ889" s="0" t="n">
        <v>20000</v>
      </c>
      <c r="AR889" s="5" t="n">
        <f aca="false">IF(ISBLANK(AQ889),AVERAGEIF(M889:M1888,M889,AQ889:AQ1888),AQ889)</f>
        <v>20000</v>
      </c>
      <c r="AS889" s="0" t="n">
        <v>35000</v>
      </c>
      <c r="AT889" s="5" t="n">
        <f aca="false">IF(ISBLANK(AS889),AVERAGE(AS889:AS1888),AS889)</f>
        <v>35000</v>
      </c>
      <c r="AU889" s="0" t="s">
        <v>61</v>
      </c>
      <c r="AV889" s="0" t="str">
        <f aca="false">PROPER(IF(ISBLANK(AU889),"No",AU889))</f>
        <v>No</v>
      </c>
      <c r="AX889" s="5" t="n">
        <f aca="false">IF(ISBLANK(AW889),0,AW889)</f>
        <v>0</v>
      </c>
      <c r="AY889" s="0" t="s">
        <v>130</v>
      </c>
      <c r="AZ889" s="0" t="str">
        <f aca="false">UPPER(IF(ISBLANK(AY889),"NONE",AY889))</f>
        <v>LOYALTY10</v>
      </c>
      <c r="BA889" s="7" t="s">
        <v>360</v>
      </c>
      <c r="BB889" s="7" t="str">
        <f aca="false">IF(ISBLANK(BA889),"No Follow Up Needed",BA889)</f>
        <v>23/08/2025</v>
      </c>
      <c r="BC889" s="0" t="s">
        <v>63</v>
      </c>
      <c r="BD889" s="0" t="str">
        <f aca="false">PROPER(IF(ISBLANK(BC889),"Unknown",BC889))</f>
        <v>Yes</v>
      </c>
      <c r="BE889" s="0" t="s">
        <v>171</v>
      </c>
      <c r="BF889" s="0" t="str">
        <f aca="false">IF(ISBLANK(BE889),"No comments",BE889)</f>
        <v>Shock absorber weakening</v>
      </c>
      <c r="BG889" s="0" t="s">
        <v>172</v>
      </c>
      <c r="BH889" s="0" t="str">
        <f aca="false">IF(ISBLANK(BG889),"No comments",BG889)</f>
        <v>Always late</v>
      </c>
      <c r="BI889" s="0" t="s">
        <v>50</v>
      </c>
      <c r="BJ889" s="0" t="str">
        <f aca="false">IF(ISBLANK(BI889),"Not Mentioned",BI889)</f>
        <v>No</v>
      </c>
      <c r="BK889" s="0" t="s">
        <v>63</v>
      </c>
      <c r="BL889" s="0" t="str">
        <f aca="false">PROPER(IF(ISBLANK(BK889),"Not Mentioned",BK889))</f>
        <v>Yes</v>
      </c>
      <c r="BM889" s="0" t="s">
        <v>63</v>
      </c>
      <c r="BN889" s="0" t="str">
        <f aca="false">PROPER(IF(ISBLANK(BM889),"Not Mentioned",BM889))</f>
        <v>Yes</v>
      </c>
      <c r="BO889" s="0" t="s">
        <v>2318</v>
      </c>
      <c r="BP889" s="0" t="str">
        <f aca="false">IF(ISBLANK(BO889),"One-Time Plan",BO889)</f>
        <v>Gold</v>
      </c>
      <c r="BQ889" s="0" t="s">
        <v>190</v>
      </c>
      <c r="BR889" s="0" t="str">
        <f aca="false">PROPER(IF(ISBLANK(BQ889),"No",BQ889))</f>
        <v>Yes</v>
      </c>
    </row>
    <row r="890" customFormat="false" ht="15" hidden="false" customHeight="false" outlineLevel="0" collapsed="false">
      <c r="A890" s="0" t="s">
        <v>2061</v>
      </c>
      <c r="B890" s="2" t="n">
        <v>45815</v>
      </c>
      <c r="C890" s="2" t="str">
        <f aca="false">TEXT(B890,"dd/mm/yyyy")</f>
        <v>07/06/2025</v>
      </c>
      <c r="D890" s="0" t="s">
        <v>121</v>
      </c>
      <c r="E890" s="0" t="n">
        <v>8088174504</v>
      </c>
      <c r="F890" s="0" t="s">
        <v>139</v>
      </c>
      <c r="G890" s="0" t="s">
        <v>2323</v>
      </c>
      <c r="H890" s="0" t="s">
        <v>1975</v>
      </c>
      <c r="I890" s="0" t="s">
        <v>45</v>
      </c>
      <c r="J890" s="0" t="s">
        <v>87</v>
      </c>
      <c r="K890" s="3" t="str">
        <f aca="false" t="array" ref="K890:K890">IFERROR(IF(J890&lt;&gt;"",J890,INDEX(J890:J1889,MATCH(1,(F890:F1889=F890)*(I890:I1889=I890)*(L890:L1889=L890)*(J890:J1889&lt;&gt;""),0))),"Not Found")</f>
        <v>Oil Change</v>
      </c>
      <c r="L890" s="3" t="s">
        <v>189</v>
      </c>
      <c r="M890" s="0" t="str">
        <f aca="false">PROPER(L890)</f>
        <v>Battery</v>
      </c>
      <c r="N890" s="3" t="s">
        <v>48</v>
      </c>
      <c r="O890" s="0" t="str">
        <f aca="false" t="array" ref="O890:O890">IF(N890&lt;&gt;"",N890,_xlfn.xlookup(1,(L890:L1889=L890)*(N890:N1889&lt;&gt;""),N890:N1889,"Not Found"))</f>
        <v>Uche</v>
      </c>
      <c r="P890" s="4" t="n">
        <v>97370</v>
      </c>
      <c r="Q890" s="0" t="s">
        <v>110</v>
      </c>
      <c r="R890" s="0" t="str">
        <f aca="false">PROPER(Q890)</f>
        <v>Cash</v>
      </c>
      <c r="S890" s="0" t="s">
        <v>50</v>
      </c>
      <c r="T890" s="0" t="n">
        <v>1</v>
      </c>
      <c r="U890" s="5" t="n">
        <f aca="false">IF(ISBLANK(T890),AVERAGE(T890:T1889),T890)</f>
        <v>1</v>
      </c>
      <c r="V890" s="0" t="n">
        <v>5.3</v>
      </c>
      <c r="X890" s="0" t="str">
        <f aca="false">IF(ISBLANK(W890),"No remarks",W890)</f>
        <v>No remarks</v>
      </c>
      <c r="Y890" s="0" t="s">
        <v>93</v>
      </c>
      <c r="Z890" s="0" t="s">
        <v>74</v>
      </c>
      <c r="AA890" s="0" t="str">
        <f aca="false">PROPER(IF(ISBLANK(Z890),"Location Unavailable",Z890))</f>
        <v>Under Tree</v>
      </c>
      <c r="AB890" s="0" t="s">
        <v>126</v>
      </c>
      <c r="AC890" s="6" t="str">
        <f aca="false">PROPER(AB890)</f>
        <v>Whatsapp</v>
      </c>
      <c r="AD890" s="6" t="n">
        <v>45</v>
      </c>
      <c r="AE890" s="5" t="n">
        <f aca="false">IF(ISBLANK(AD890),AVERAGEIF(L890:L1889,L890,AD890:AD1889),AD890)</f>
        <v>45</v>
      </c>
      <c r="AF890" s="0" t="s">
        <v>96</v>
      </c>
      <c r="AG890" s="0" t="str">
        <f aca="false">PROPER(AF890)</f>
        <v>Ordered</v>
      </c>
      <c r="AH890" s="0" t="s">
        <v>155</v>
      </c>
      <c r="AI890" s="0" t="s">
        <v>113</v>
      </c>
      <c r="AJ890" s="0" t="str">
        <f aca="false">PROPER(AI890)</f>
        <v>Normal</v>
      </c>
      <c r="AK890" s="0" t="s">
        <v>114</v>
      </c>
      <c r="AL890" s="0" t="str">
        <f aca="false">PROPER(AK890)</f>
        <v>Returning</v>
      </c>
      <c r="AM890" s="0" t="s">
        <v>177</v>
      </c>
      <c r="AN890" s="0" t="str">
        <f aca="false">IF(ISBLANK(AM890),"Unknown",AM890)</f>
        <v>Private</v>
      </c>
      <c r="AO890" s="0" t="s">
        <v>161</v>
      </c>
      <c r="AP890" s="0" t="str">
        <f aca="false">IF(ISBLANK(AO890),"Unknown",AO890)</f>
        <v>Apprentice</v>
      </c>
      <c r="AQ890" s="0" t="n">
        <v>20000</v>
      </c>
      <c r="AR890" s="5" t="n">
        <f aca="false">IF(ISBLANK(AQ890),AVERAGEIF(M890:M1889,M890,AQ890:AQ1889),AQ890)</f>
        <v>20000</v>
      </c>
      <c r="AS890" s="0" t="n">
        <v>40000</v>
      </c>
      <c r="AT890" s="5" t="n">
        <f aca="false">IF(ISBLANK(AS890),AVERAGE(AS890:AS1889),AS890)</f>
        <v>40000</v>
      </c>
      <c r="AV890" s="0" t="str">
        <f aca="false">PROPER(IF(ISBLANK(AU890),"No",AU890))</f>
        <v>No</v>
      </c>
      <c r="AW890" s="0" t="n">
        <v>10000</v>
      </c>
      <c r="AX890" s="5" t="n">
        <f aca="false">IF(ISBLANK(AW890),0,AW890)</f>
        <v>10000</v>
      </c>
      <c r="AY890" s="0" t="s">
        <v>184</v>
      </c>
      <c r="AZ890" s="0" t="str">
        <f aca="false">UPPER(IF(ISBLANK(AY890),"NONE",AY890))</f>
        <v>N/A</v>
      </c>
      <c r="BA890" s="7" t="n">
        <v>45848</v>
      </c>
      <c r="BB890" s="7" t="n">
        <f aca="false">IF(ISBLANK(BA890),"No Follow Up Needed",BA890)</f>
        <v>45848</v>
      </c>
      <c r="BC890" s="0" t="s">
        <v>50</v>
      </c>
      <c r="BD890" s="0" t="str">
        <f aca="false">PROPER(IF(ISBLANK(BC890),"Unknown",BC890))</f>
        <v>No</v>
      </c>
      <c r="BE890" s="0" t="s">
        <v>171</v>
      </c>
      <c r="BF890" s="0" t="str">
        <f aca="false">IF(ISBLANK(BE890),"No comments",BE890)</f>
        <v>Shock absorber weakening</v>
      </c>
      <c r="BG890" s="0" t="s">
        <v>2320</v>
      </c>
      <c r="BH890" s="0" t="str">
        <f aca="false">IF(ISBLANK(BG890),"No comments",BG890)</f>
        <v>No complaints</v>
      </c>
      <c r="BI890" s="0" t="s">
        <v>63</v>
      </c>
      <c r="BJ890" s="0" t="str">
        <f aca="false">IF(ISBLANK(BI890),"Not Mentioned",BI890)</f>
        <v>Yes</v>
      </c>
      <c r="BL890" s="0" t="str">
        <f aca="false">PROPER(IF(ISBLANK(BK890),"Not Mentioned",BK890))</f>
        <v>Not Mentioned</v>
      </c>
      <c r="BM890" s="0" t="s">
        <v>63</v>
      </c>
      <c r="BN890" s="0" t="str">
        <f aca="false">PROPER(IF(ISBLANK(BM890),"Not Mentioned",BM890))</f>
        <v>Yes</v>
      </c>
      <c r="BO890" s="0" t="s">
        <v>2321</v>
      </c>
      <c r="BP890" s="0" t="str">
        <f aca="false">IF(ISBLANK(BO890),"One-Time Plan",BO890)</f>
        <v>One-Time Plan</v>
      </c>
      <c r="BQ890" s="0" t="s">
        <v>50</v>
      </c>
      <c r="BR890" s="0" t="str">
        <f aca="false">PROPER(IF(ISBLANK(BQ890),"No",BQ890))</f>
        <v>No</v>
      </c>
    </row>
    <row r="891" customFormat="false" ht="15" hidden="false" customHeight="false" outlineLevel="0" collapsed="false">
      <c r="A891" s="0" t="s">
        <v>2062</v>
      </c>
      <c r="B891" s="2" t="n">
        <v>45748</v>
      </c>
      <c r="C891" s="2" t="str">
        <f aca="false">TEXT(B891,"dd/mm/yyyy")</f>
        <v>01/04/2025</v>
      </c>
      <c r="D891" s="0" t="s">
        <v>42</v>
      </c>
      <c r="E891" s="0" t="n">
        <v>8015618266</v>
      </c>
      <c r="F891" s="0" t="s">
        <v>139</v>
      </c>
      <c r="G891" s="0" t="s">
        <v>2323</v>
      </c>
      <c r="H891" s="0" t="s">
        <v>2063</v>
      </c>
      <c r="I891" s="0" t="s">
        <v>107</v>
      </c>
      <c r="J891" s="0" t="s">
        <v>87</v>
      </c>
      <c r="K891" s="3" t="str">
        <f aca="false" t="array" ref="K891:K891">IFERROR(IF(J891&lt;&gt;"",J891,INDEX(J891:J1890,MATCH(1,(F891:F1890=F891)*(I891:I1890=I891)*(L891:L1890=L891)*(J891:J1890&lt;&gt;""),0))),"Not Found")</f>
        <v>Oil Change</v>
      </c>
      <c r="L891" s="3" t="s">
        <v>47</v>
      </c>
      <c r="M891" s="0" t="str">
        <f aca="false">PROPER(L891)</f>
        <v>None</v>
      </c>
      <c r="O891" s="0" t="e">
        <f aca="false" t="array" ref="O891:O891">IF(N891&lt;&gt;"",N891,_xlfn.xlookup(1,(L891:L1890=L891)*(N891:N1890&lt;&gt;""),N891:N1890,"Not Found"))</f>
        <v>#NAME?</v>
      </c>
      <c r="P891" s="4" t="n">
        <v>22281</v>
      </c>
      <c r="Q891" s="0" t="s">
        <v>91</v>
      </c>
      <c r="R891" s="0" t="str">
        <f aca="false">PROPER(Q891)</f>
        <v>Pos</v>
      </c>
      <c r="S891" s="0" t="s">
        <v>50</v>
      </c>
      <c r="U891" s="5" t="n">
        <f aca="false">IF(ISBLANK(T891),AVERAGE(T891:T1890),T891)</f>
        <v>3.40659340659341</v>
      </c>
      <c r="V891" s="0" t="n">
        <v>3.7</v>
      </c>
      <c r="W891" s="0" t="s">
        <v>125</v>
      </c>
      <c r="X891" s="0" t="str">
        <f aca="false">IF(ISBLANK(W891),"No remarks",W891)</f>
        <v>Customer waited</v>
      </c>
      <c r="Y891" s="0" t="s">
        <v>93</v>
      </c>
      <c r="Z891" s="0" t="s">
        <v>94</v>
      </c>
      <c r="AA891" s="0" t="str">
        <f aca="false">PROPER(IF(ISBLANK(Z891),"Location Unavailable",Z891))</f>
        <v>Vip Section</v>
      </c>
      <c r="AB891" s="0" t="s">
        <v>147</v>
      </c>
      <c r="AC891" s="6" t="str">
        <f aca="false">PROPER(AB891)</f>
        <v>Instagram</v>
      </c>
      <c r="AE891" s="5" t="n">
        <f aca="false">IF(ISBLANK(AD891),AVERAGEIF(L891:L1890,L891,AD891:AD1890),AD891)</f>
        <v>38.6842105263158</v>
      </c>
      <c r="AF891" s="0" t="s">
        <v>112</v>
      </c>
      <c r="AG891" s="0" t="str">
        <f aca="false">PROPER(AF891)</f>
        <v>Unavailable</v>
      </c>
      <c r="AH891" s="0" t="s">
        <v>148</v>
      </c>
      <c r="AI891" s="0" t="s">
        <v>98</v>
      </c>
      <c r="AJ891" s="0" t="str">
        <f aca="false">PROPER(AI891)</f>
        <v>Emergency</v>
      </c>
      <c r="AK891" s="0" t="s">
        <v>114</v>
      </c>
      <c r="AL891" s="0" t="str">
        <f aca="false">PROPER(AK891)</f>
        <v>Returning</v>
      </c>
      <c r="AN891" s="0" t="str">
        <f aca="false">IF(ISBLANK(AM891),"Unknown",AM891)</f>
        <v>Unknown</v>
      </c>
      <c r="AO891" s="0" t="s">
        <v>161</v>
      </c>
      <c r="AP891" s="0" t="str">
        <f aca="false">IF(ISBLANK(AO891),"Unknown",AO891)</f>
        <v>Apprentice</v>
      </c>
      <c r="AQ891" s="0" t="n">
        <v>30000</v>
      </c>
      <c r="AR891" s="5" t="n">
        <f aca="false">IF(ISBLANK(AQ891),AVERAGEIF(M891:M1890,M891,AQ891:AQ1890),AQ891)</f>
        <v>30000</v>
      </c>
      <c r="AS891" s="0" t="n">
        <v>35000</v>
      </c>
      <c r="AT891" s="5" t="n">
        <f aca="false">IF(ISBLANK(AS891),AVERAGE(AS891:AS1890),AS891)</f>
        <v>35000</v>
      </c>
      <c r="AU891" s="0" t="s">
        <v>63</v>
      </c>
      <c r="AV891" s="0" t="str">
        <f aca="false">PROPER(IF(ISBLANK(AU891),"No",AU891))</f>
        <v>Yes</v>
      </c>
      <c r="AX891" s="5" t="n">
        <f aca="false">IF(ISBLANK(AW891),0,AW891)</f>
        <v>0</v>
      </c>
      <c r="AY891" s="0" t="s">
        <v>184</v>
      </c>
      <c r="AZ891" s="0" t="str">
        <f aca="false">UPPER(IF(ISBLANK(AY891),"NONE",AY891))</f>
        <v>N/A</v>
      </c>
      <c r="BA891" s="7" t="n">
        <v>45886</v>
      </c>
      <c r="BB891" s="7" t="n">
        <f aca="false">IF(ISBLANK(BA891),"No Follow Up Needed",BA891)</f>
        <v>45886</v>
      </c>
      <c r="BD891" s="0" t="str">
        <f aca="false">PROPER(IF(ISBLANK(BC891),"Unknown",BC891))</f>
        <v>Unknown</v>
      </c>
      <c r="BE891" s="0" t="s">
        <v>171</v>
      </c>
      <c r="BF891" s="0" t="str">
        <f aca="false">IF(ISBLANK(BE891),"No comments",BE891)</f>
        <v>Shock absorber weakening</v>
      </c>
      <c r="BH891" s="0" t="str">
        <f aca="false">IF(ISBLANK(BG891),"No comments",BG891)</f>
        <v>No comments</v>
      </c>
      <c r="BI891" s="0" t="s">
        <v>50</v>
      </c>
      <c r="BJ891" s="0" t="str">
        <f aca="false">IF(ISBLANK(BI891),"Not Mentioned",BI891)</f>
        <v>No</v>
      </c>
      <c r="BK891" s="0" t="s">
        <v>82</v>
      </c>
      <c r="BL891" s="0" t="str">
        <f aca="false">PROPER(IF(ISBLANK(BK891),"Not Mentioned",BK891))</f>
        <v>Yes</v>
      </c>
      <c r="BN891" s="0" t="str">
        <f aca="false">PROPER(IF(ISBLANK(BM891),"Not Mentioned",BM891))</f>
        <v>Not Mentioned</v>
      </c>
      <c r="BP891" s="0" t="str">
        <f aca="false">IF(ISBLANK(BO891),"One-Time Plan",BO891)</f>
        <v>One-Time Plan</v>
      </c>
      <c r="BQ891" s="0" t="s">
        <v>190</v>
      </c>
      <c r="BR891" s="0" t="str">
        <f aca="false">PROPER(IF(ISBLANK(BQ891),"No",BQ891))</f>
        <v>Yes</v>
      </c>
    </row>
    <row r="892" customFormat="false" ht="15" hidden="false" customHeight="false" outlineLevel="0" collapsed="false">
      <c r="A892" s="0" t="s">
        <v>2064</v>
      </c>
      <c r="B892" s="2" t="n">
        <v>45665</v>
      </c>
      <c r="C892" s="2" t="str">
        <f aca="false">TEXT(B892,"dd/mm/yyyy")</f>
        <v>08/01/2025</v>
      </c>
      <c r="D892" s="0" t="s">
        <v>66</v>
      </c>
      <c r="E892" s="0" t="n">
        <v>8022997893</v>
      </c>
      <c r="F892" s="0" t="s">
        <v>122</v>
      </c>
      <c r="G892" s="0" t="s">
        <v>2316</v>
      </c>
      <c r="H892" s="0" t="s">
        <v>2065</v>
      </c>
      <c r="I892" s="0" t="s">
        <v>87</v>
      </c>
      <c r="J892" s="0" t="s">
        <v>2322</v>
      </c>
      <c r="K892" s="3" t="str">
        <f aca="false" t="array" ref="K892:K892">IFERROR(IF(J892&lt;&gt;"",J892,INDEX(J892:J1891,MATCH(1,(F892:F1891=F892)*(I892:I1891=I892)*(L892:L1891=L892)*(J892:J1891&lt;&gt;""),0))),"Not Found")</f>
        <v>Brake Failure</v>
      </c>
      <c r="L892" s="3" t="s">
        <v>154</v>
      </c>
      <c r="M892" s="0" t="str">
        <f aca="false">PROPER(L892)</f>
        <v>Air Filter</v>
      </c>
      <c r="N892" s="3" t="s">
        <v>48</v>
      </c>
      <c r="O892" s="0" t="str">
        <f aca="false" t="array" ref="O892:O892">IF(N892&lt;&gt;"",N892,_xlfn.xlookup(1,(L892:L1891=L892)*(N892:N1891&lt;&gt;""),N892:N1891,"Not Found"))</f>
        <v>Uche</v>
      </c>
      <c r="P892" s="4" t="n">
        <v>118633</v>
      </c>
      <c r="Q892" s="0" t="s">
        <v>124</v>
      </c>
      <c r="R892" s="0" t="str">
        <f aca="false">PROPER(Q892)</f>
        <v>Cash</v>
      </c>
      <c r="S892" s="0" t="s">
        <v>50</v>
      </c>
      <c r="T892" s="0" t="n">
        <v>1</v>
      </c>
      <c r="U892" s="5" t="n">
        <f aca="false">IF(ISBLANK(T892),AVERAGE(T892:T1891),T892)</f>
        <v>1</v>
      </c>
      <c r="V892" s="0" t="n">
        <v>3.4</v>
      </c>
      <c r="W892" s="0" t="s">
        <v>111</v>
      </c>
      <c r="X892" s="0" t="str">
        <f aca="false">IF(ISBLANK(W892),"No remarks",W892)</f>
        <v>Changed all filters</v>
      </c>
      <c r="Y892" s="0" t="s">
        <v>93</v>
      </c>
      <c r="Z892" s="0" t="s">
        <v>53</v>
      </c>
      <c r="AA892" s="0" t="str">
        <f aca="false">PROPER(IF(ISBLANK(Z892),"Location Unavailable",Z892))</f>
        <v>Main Bay</v>
      </c>
      <c r="AB892" s="0" t="s">
        <v>54</v>
      </c>
      <c r="AC892" s="6" t="str">
        <f aca="false">PROPER(AB892)</f>
        <v>Mechanic Referral</v>
      </c>
      <c r="AD892" s="6" t="n">
        <v>45</v>
      </c>
      <c r="AE892" s="5" t="n">
        <f aca="false">IF(ISBLANK(AD892),AVERAGEIF(L892:L1891,L892,AD892:AD1891),AD892)</f>
        <v>45</v>
      </c>
      <c r="AF892" s="0" t="s">
        <v>76</v>
      </c>
      <c r="AG892" s="0" t="str">
        <f aca="false">PROPER(AF892)</f>
        <v>Orderd</v>
      </c>
      <c r="AH892" s="0" t="s">
        <v>56</v>
      </c>
      <c r="AI892" s="0" t="s">
        <v>98</v>
      </c>
      <c r="AJ892" s="0" t="str">
        <f aca="false">PROPER(AI892)</f>
        <v>Emergency</v>
      </c>
      <c r="AK892" s="0" t="s">
        <v>196</v>
      </c>
      <c r="AL892" s="0" t="str">
        <f aca="false">PROPER(AK892)</f>
        <v>First Time</v>
      </c>
      <c r="AM892" s="0" t="s">
        <v>59</v>
      </c>
      <c r="AN892" s="0" t="str">
        <f aca="false">IF(ISBLANK(AM892),"Unknown",AM892)</f>
        <v>Bolt Driver</v>
      </c>
      <c r="AO892" s="0" t="s">
        <v>79</v>
      </c>
      <c r="AP892" s="0" t="str">
        <f aca="false">IF(ISBLANK(AO892),"Unknown",AO892)</f>
        <v>Specialist</v>
      </c>
      <c r="AQ892" s="0" t="n">
        <v>25000</v>
      </c>
      <c r="AR892" s="5" t="n">
        <f aca="false">IF(ISBLANK(AQ892),AVERAGEIF(M892:M1891,M892,AQ892:AQ1891),AQ892)</f>
        <v>25000</v>
      </c>
      <c r="AS892" s="0" t="n">
        <v>35000</v>
      </c>
      <c r="AT892" s="5" t="n">
        <f aca="false">IF(ISBLANK(AS892),AVERAGE(AS892:AS1891),AS892)</f>
        <v>35000</v>
      </c>
      <c r="AU892" s="0" t="s">
        <v>63</v>
      </c>
      <c r="AV892" s="0" t="str">
        <f aca="false">PROPER(IF(ISBLANK(AU892),"No",AU892))</f>
        <v>Yes</v>
      </c>
      <c r="AW892" s="0" t="n">
        <v>10000</v>
      </c>
      <c r="AX892" s="5" t="n">
        <f aca="false">IF(ISBLANK(AW892),0,AW892)</f>
        <v>10000</v>
      </c>
      <c r="AY892" s="0" t="s">
        <v>184</v>
      </c>
      <c r="AZ892" s="0" t="str">
        <f aca="false">UPPER(IF(ISBLANK(AY892),"NONE",AY892))</f>
        <v>N/A</v>
      </c>
      <c r="BB892" s="7" t="str">
        <f aca="false">IF(ISBLANK(BA892),"No Follow Up Needed",BA892)</f>
        <v>No Follow Up Needed</v>
      </c>
      <c r="BD892" s="0" t="str">
        <f aca="false">PROPER(IF(ISBLANK(BC892),"Unknown",BC892))</f>
        <v>Unknown</v>
      </c>
      <c r="BF892" s="0" t="str">
        <f aca="false">IF(ISBLANK(BE892),"No comments",BE892)</f>
        <v>No comments</v>
      </c>
      <c r="BH892" s="0" t="str">
        <f aca="false">IF(ISBLANK(BG892),"No comments",BG892)</f>
        <v>No comments</v>
      </c>
      <c r="BI892" s="0" t="s">
        <v>63</v>
      </c>
      <c r="BJ892" s="0" t="str">
        <f aca="false">IF(ISBLANK(BI892),"Not Mentioned",BI892)</f>
        <v>Yes</v>
      </c>
      <c r="BK892" s="0" t="s">
        <v>82</v>
      </c>
      <c r="BL892" s="0" t="str">
        <f aca="false">PROPER(IF(ISBLANK(BK892),"Not Mentioned",BK892))</f>
        <v>Yes</v>
      </c>
      <c r="BN892" s="0" t="str">
        <f aca="false">PROPER(IF(ISBLANK(BM892),"Not Mentioned",BM892))</f>
        <v>Not Mentioned</v>
      </c>
      <c r="BO892" s="0" t="s">
        <v>2318</v>
      </c>
      <c r="BP892" s="0" t="str">
        <f aca="false">IF(ISBLANK(BO892),"One-Time Plan",BO892)</f>
        <v>Gold</v>
      </c>
      <c r="BQ892" s="0" t="s">
        <v>50</v>
      </c>
      <c r="BR892" s="0" t="str">
        <f aca="false">PROPER(IF(ISBLANK(BQ892),"No",BQ892))</f>
        <v>No</v>
      </c>
    </row>
    <row r="893" customFormat="false" ht="15" hidden="false" customHeight="false" outlineLevel="0" collapsed="false">
      <c r="A893" s="0" t="s">
        <v>2066</v>
      </c>
      <c r="B893" s="2" t="n">
        <v>45751</v>
      </c>
      <c r="C893" s="2" t="str">
        <f aca="false">TEXT(B893,"dd/mm/yyyy")</f>
        <v>04/04/2025</v>
      </c>
      <c r="D893" s="0" t="s">
        <v>121</v>
      </c>
      <c r="E893" s="0" t="n">
        <v>8038329115</v>
      </c>
      <c r="F893" s="0" t="s">
        <v>122</v>
      </c>
      <c r="G893" s="0" t="s">
        <v>2316</v>
      </c>
      <c r="H893" s="0" t="s">
        <v>2067</v>
      </c>
      <c r="I893" s="0" t="s">
        <v>87</v>
      </c>
      <c r="J893" s="0" t="s">
        <v>87</v>
      </c>
      <c r="K893" s="3" t="str">
        <f aca="false" t="array" ref="K893:K893">IFERROR(IF(J893&lt;&gt;"",J893,INDEX(J893:J1892,MATCH(1,(F893:F1892=F893)*(I893:I1892=I893)*(L893:L1892=L893)*(J893:J1892&lt;&gt;""),0))),"Not Found")</f>
        <v>Oil Change</v>
      </c>
      <c r="L893" s="3" t="s">
        <v>154</v>
      </c>
      <c r="M893" s="0" t="str">
        <f aca="false">PROPER(L893)</f>
        <v>Air Filter</v>
      </c>
      <c r="N893" s="3" t="s">
        <v>48</v>
      </c>
      <c r="O893" s="0" t="str">
        <f aca="false" t="array" ref="O893:O893">IF(N893&lt;&gt;"",N893,_xlfn.xlookup(1,(L893:L1892=L893)*(N893:N1892&lt;&gt;""),N893:N1892,"Not Found"))</f>
        <v>Uche</v>
      </c>
      <c r="P893" s="4" t="n">
        <v>33570</v>
      </c>
      <c r="Q893" s="0" t="s">
        <v>72</v>
      </c>
      <c r="R893" s="0" t="str">
        <f aca="false">PROPER(Q893)</f>
        <v>Pos</v>
      </c>
      <c r="S893" s="0" t="s">
        <v>63</v>
      </c>
      <c r="T893" s="0" t="n">
        <v>4</v>
      </c>
      <c r="U893" s="5" t="n">
        <f aca="false">IF(ISBLANK(T893),AVERAGE(T893:T1892),T893)</f>
        <v>4</v>
      </c>
      <c r="V893" s="0" t="n">
        <v>2.3</v>
      </c>
      <c r="X893" s="0" t="str">
        <f aca="false">IF(ISBLANK(W893),"No remarks",W893)</f>
        <v>No remarks</v>
      </c>
      <c r="Y893" s="0" t="s">
        <v>93</v>
      </c>
      <c r="Z893" s="0" t="s">
        <v>94</v>
      </c>
      <c r="AA893" s="0" t="str">
        <f aca="false">PROPER(IF(ISBLANK(Z893),"Location Unavailable",Z893))</f>
        <v>Vip Section</v>
      </c>
      <c r="AB893" s="0" t="s">
        <v>126</v>
      </c>
      <c r="AC893" s="6" t="str">
        <f aca="false">PROPER(AB893)</f>
        <v>Whatsapp</v>
      </c>
      <c r="AD893" s="6" t="n">
        <v>30</v>
      </c>
      <c r="AE893" s="5" t="n">
        <f aca="false">IF(ISBLANK(AD893),AVERAGEIF(L893:L1892,L893,AD893:AD1892),AD893)</f>
        <v>30</v>
      </c>
      <c r="AF893" s="0" t="s">
        <v>96</v>
      </c>
      <c r="AG893" s="0" t="str">
        <f aca="false">PROPER(AF893)</f>
        <v>Ordered</v>
      </c>
      <c r="AH893" s="0" t="s">
        <v>155</v>
      </c>
      <c r="AI893" s="0" t="s">
        <v>98</v>
      </c>
      <c r="AJ893" s="0" t="str">
        <f aca="false">PROPER(AI893)</f>
        <v>Emergency</v>
      </c>
      <c r="AK893" s="0" t="s">
        <v>196</v>
      </c>
      <c r="AL893" s="0" t="str">
        <f aca="false">PROPER(AK893)</f>
        <v>First Time</v>
      </c>
      <c r="AN893" s="0" t="str">
        <f aca="false">IF(ISBLANK(AM893),"Unknown",AM893)</f>
        <v>Unknown</v>
      </c>
      <c r="AO893" s="0" t="s">
        <v>143</v>
      </c>
      <c r="AP893" s="0" t="str">
        <f aca="false">IF(ISBLANK(AO893),"Unknown",AO893)</f>
        <v>Senior</v>
      </c>
      <c r="AQ893" s="0" t="n">
        <v>40000</v>
      </c>
      <c r="AR893" s="5" t="n">
        <f aca="false">IF(ISBLANK(AQ893),AVERAGEIF(M893:M1892,M893,AQ893:AQ1892),AQ893)</f>
        <v>40000</v>
      </c>
      <c r="AS893" s="0" t="n">
        <v>30000</v>
      </c>
      <c r="AT893" s="5" t="n">
        <f aca="false">IF(ISBLANK(AS893),AVERAGE(AS893:AS1892),AS893)</f>
        <v>30000</v>
      </c>
      <c r="AU893" s="0" t="s">
        <v>50</v>
      </c>
      <c r="AV893" s="0" t="str">
        <f aca="false">PROPER(IF(ISBLANK(AU893),"No",AU893))</f>
        <v>No</v>
      </c>
      <c r="AW893" s="0" t="n">
        <v>5000</v>
      </c>
      <c r="AX893" s="5" t="n">
        <f aca="false">IF(ISBLANK(AW893),0,AW893)</f>
        <v>5000</v>
      </c>
      <c r="AZ893" s="0" t="str">
        <f aca="false">UPPER(IF(ISBLANK(AY893),"NONE",AY893))</f>
        <v>NONE</v>
      </c>
      <c r="BB893" s="7" t="str">
        <f aca="false">IF(ISBLANK(BA893),"No Follow Up Needed",BA893)</f>
        <v>No Follow Up Needed</v>
      </c>
      <c r="BC893" s="0" t="s">
        <v>63</v>
      </c>
      <c r="BD893" s="0" t="str">
        <f aca="false">PROPER(IF(ISBLANK(BC893),"Unknown",BC893))</f>
        <v>Yes</v>
      </c>
      <c r="BF893" s="0" t="str">
        <f aca="false">IF(ISBLANK(BE893),"No comments",BE893)</f>
        <v>No comments</v>
      </c>
      <c r="BG893" s="0" t="s">
        <v>117</v>
      </c>
      <c r="BH893" s="0" t="str">
        <f aca="false">IF(ISBLANK(BG893),"No comments",BG893)</f>
        <v>Prefers morning</v>
      </c>
      <c r="BI893" s="0" t="s">
        <v>50</v>
      </c>
      <c r="BJ893" s="0" t="str">
        <f aca="false">IF(ISBLANK(BI893),"Not Mentioned",BI893)</f>
        <v>No</v>
      </c>
      <c r="BK893" s="0" t="s">
        <v>50</v>
      </c>
      <c r="BL893" s="0" t="str">
        <f aca="false">PROPER(IF(ISBLANK(BK893),"Not Mentioned",BK893))</f>
        <v>No</v>
      </c>
      <c r="BM893" s="0" t="s">
        <v>50</v>
      </c>
      <c r="BN893" s="0" t="str">
        <f aca="false">PROPER(IF(ISBLANK(BM893),"Not Mentioned",BM893))</f>
        <v>No</v>
      </c>
      <c r="BO893" s="0" t="s">
        <v>2321</v>
      </c>
      <c r="BP893" s="0" t="str">
        <f aca="false">IF(ISBLANK(BO893),"One-Time Plan",BO893)</f>
        <v>One-Time Plan</v>
      </c>
      <c r="BQ893" s="0" t="s">
        <v>50</v>
      </c>
      <c r="BR893" s="0" t="str">
        <f aca="false">PROPER(IF(ISBLANK(BQ893),"No",BQ893))</f>
        <v>No</v>
      </c>
    </row>
    <row r="894" customFormat="false" ht="15" hidden="false" customHeight="false" outlineLevel="0" collapsed="false">
      <c r="A894" s="0" t="s">
        <v>2068</v>
      </c>
      <c r="B894" s="2" t="n">
        <v>45818</v>
      </c>
      <c r="C894" s="2" t="str">
        <f aca="false">TEXT(B894,"dd/mm/yyyy")</f>
        <v>10/06/2025</v>
      </c>
      <c r="D894" s="0" t="s">
        <v>121</v>
      </c>
      <c r="E894" s="0" t="n">
        <v>8080106555</v>
      </c>
      <c r="F894" s="0" t="s">
        <v>85</v>
      </c>
      <c r="G894" s="0" t="s">
        <v>2319</v>
      </c>
      <c r="H894" s="0" t="s">
        <v>2069</v>
      </c>
      <c r="I894" s="0" t="s">
        <v>69</v>
      </c>
      <c r="J894" s="0" t="s">
        <v>2322</v>
      </c>
      <c r="K894" s="3" t="str">
        <f aca="false" t="array" ref="K894:K894">IFERROR(IF(J894&lt;&gt;"",J894,INDEX(J894:J1893,MATCH(1,(F894:F1893=F894)*(I894:I1893=I894)*(L894:L1893=L894)*(J894:J1893&lt;&gt;""),0))),"Not Found")</f>
        <v>Brake Failure</v>
      </c>
      <c r="L894" s="3" t="s">
        <v>108</v>
      </c>
      <c r="M894" s="0" t="str">
        <f aca="false">PROPER(L894)</f>
        <v>Timing Belt</v>
      </c>
      <c r="O894" s="0" t="e">
        <f aca="false" t="array" ref="O894:O894">IF(N894&lt;&gt;"",N894,_xlfn.xlookup(1,(L894:L1893=L894)*(N894:N1893&lt;&gt;""),N894:N1893,"Not Found"))</f>
        <v>#NAME?</v>
      </c>
      <c r="P894" s="4" t="n">
        <v>34761</v>
      </c>
      <c r="Q894" s="0" t="s">
        <v>49</v>
      </c>
      <c r="R894" s="0" t="str">
        <f aca="false">PROPER(Q894)</f>
        <v>Transfer</v>
      </c>
      <c r="S894" s="0" t="s">
        <v>50</v>
      </c>
      <c r="U894" s="5" t="n">
        <f aca="false">IF(ISBLANK(T894),AVERAGE(T894:T1893),T894)</f>
        <v>3.42696629213483</v>
      </c>
      <c r="V894" s="0" t="n">
        <v>2.2</v>
      </c>
      <c r="W894" s="0" t="s">
        <v>51</v>
      </c>
      <c r="X894" s="0" t="str">
        <f aca="false">IF(ISBLANK(W894),"No remarks",W894)</f>
        <v>Recommended further checks</v>
      </c>
      <c r="Y894" s="0" t="s">
        <v>52</v>
      </c>
      <c r="AA894" s="0" t="str">
        <f aca="false">PROPER(IF(ISBLANK(Z894),"Location Unavailable",Z894))</f>
        <v>Location Unavailable</v>
      </c>
      <c r="AB894" s="0" t="s">
        <v>54</v>
      </c>
      <c r="AC894" s="6" t="str">
        <f aca="false">PROPER(AB894)</f>
        <v>Mechanic Referral</v>
      </c>
      <c r="AD894" s="6" t="n">
        <v>45</v>
      </c>
      <c r="AE894" s="5" t="n">
        <f aca="false">IF(ISBLANK(AD894),AVERAGEIF(L894:L1893,L894,AD894:AD1893),AD894)</f>
        <v>45</v>
      </c>
      <c r="AF894" s="0" t="s">
        <v>76</v>
      </c>
      <c r="AG894" s="0" t="str">
        <f aca="false">PROPER(AF894)</f>
        <v>Orderd</v>
      </c>
      <c r="AH894" s="0" t="s">
        <v>148</v>
      </c>
      <c r="AI894" s="0" t="s">
        <v>113</v>
      </c>
      <c r="AJ894" s="0" t="str">
        <f aca="false">PROPER(AI894)</f>
        <v>Normal</v>
      </c>
      <c r="AK894" s="0" t="s">
        <v>58</v>
      </c>
      <c r="AL894" s="0" t="str">
        <f aca="false">PROPER(AK894)</f>
        <v>Fleet Owner</v>
      </c>
      <c r="AM894" s="0" t="s">
        <v>59</v>
      </c>
      <c r="AN894" s="0" t="str">
        <f aca="false">IF(ISBLANK(AM894),"Unknown",AM894)</f>
        <v>Bolt Driver</v>
      </c>
      <c r="AO894" s="0" t="s">
        <v>143</v>
      </c>
      <c r="AP894" s="0" t="str">
        <f aca="false">IF(ISBLANK(AO894),"Unknown",AO894)</f>
        <v>Senior</v>
      </c>
      <c r="AQ894" s="0" t="n">
        <v>30000</v>
      </c>
      <c r="AR894" s="5" t="n">
        <f aca="false">IF(ISBLANK(AQ894),AVERAGEIF(M894:M1893,M894,AQ894:AQ1893),AQ894)</f>
        <v>30000</v>
      </c>
      <c r="AS894" s="0" t="n">
        <v>20000</v>
      </c>
      <c r="AT894" s="5" t="n">
        <f aca="false">IF(ISBLANK(AS894),AVERAGE(AS894:AS1893),AS894)</f>
        <v>20000</v>
      </c>
      <c r="AV894" s="0" t="str">
        <f aca="false">PROPER(IF(ISBLANK(AU894),"No",AU894))</f>
        <v>No</v>
      </c>
      <c r="AW894" s="0" t="n">
        <v>0</v>
      </c>
      <c r="AX894" s="5" t="n">
        <f aca="false">IF(ISBLANK(AW894),0,AW894)</f>
        <v>0</v>
      </c>
      <c r="AY894" s="0" t="s">
        <v>80</v>
      </c>
      <c r="AZ894" s="0" t="str">
        <f aca="false">UPPER(IF(ISBLANK(AY894),"NONE",AY894))</f>
        <v>PROMO10</v>
      </c>
      <c r="BA894" s="7" t="s">
        <v>1909</v>
      </c>
      <c r="BB894" s="7" t="str">
        <f aca="false">IF(ISBLANK(BA894),"No Follow Up Needed",BA894)</f>
        <v>17/10/2025</v>
      </c>
      <c r="BD894" s="0" t="str">
        <f aca="false">PROPER(IF(ISBLANK(BC894),"Unknown",BC894))</f>
        <v>Unknown</v>
      </c>
      <c r="BF894" s="0" t="str">
        <f aca="false">IF(ISBLANK(BE894),"No comments",BE894)</f>
        <v>No comments</v>
      </c>
      <c r="BG894" s="0" t="s">
        <v>117</v>
      </c>
      <c r="BH894" s="0" t="str">
        <f aca="false">IF(ISBLANK(BG894),"No comments",BG894)</f>
        <v>Prefers morning</v>
      </c>
      <c r="BI894" s="0" t="s">
        <v>63</v>
      </c>
      <c r="BJ894" s="0" t="str">
        <f aca="false">IF(ISBLANK(BI894),"Not Mentioned",BI894)</f>
        <v>Yes</v>
      </c>
      <c r="BK894" s="0" t="s">
        <v>82</v>
      </c>
      <c r="BL894" s="0" t="str">
        <f aca="false">PROPER(IF(ISBLANK(BK894),"Not Mentioned",BK894))</f>
        <v>Yes</v>
      </c>
      <c r="BM894" s="0" t="s">
        <v>50</v>
      </c>
      <c r="BN894" s="0" t="str">
        <f aca="false">PROPER(IF(ISBLANK(BM894),"Not Mentioned",BM894))</f>
        <v>No</v>
      </c>
      <c r="BO894" s="0" t="s">
        <v>2321</v>
      </c>
      <c r="BP894" s="0" t="str">
        <f aca="false">IF(ISBLANK(BO894),"One-Time Plan",BO894)</f>
        <v>One-Time Plan</v>
      </c>
      <c r="BR894" s="0" t="str">
        <f aca="false">PROPER(IF(ISBLANK(BQ894),"No",BQ894))</f>
        <v>No</v>
      </c>
    </row>
    <row r="895" customFormat="false" ht="15" hidden="false" customHeight="false" outlineLevel="0" collapsed="false">
      <c r="A895" s="0" t="s">
        <v>2070</v>
      </c>
      <c r="B895" s="2" t="s">
        <v>305</v>
      </c>
      <c r="C895" s="2" t="str">
        <f aca="false">TEXT(B895,"dd/mm/yyyy")</f>
        <v>30/03/2025</v>
      </c>
      <c r="D895" s="0" t="s">
        <v>66</v>
      </c>
      <c r="E895" s="0" t="n">
        <v>8010974683</v>
      </c>
      <c r="F895" s="0" t="s">
        <v>139</v>
      </c>
      <c r="G895" s="0" t="s">
        <v>2323</v>
      </c>
      <c r="H895" s="0" t="s">
        <v>2071</v>
      </c>
      <c r="I895" s="0" t="s">
        <v>69</v>
      </c>
      <c r="J895" s="0" t="s">
        <v>2317</v>
      </c>
      <c r="K895" s="3" t="str">
        <f aca="false" t="array" ref="K895:K895">IFERROR(IF(J895&lt;&gt;"",J895,INDEX(J895:J1894,MATCH(1,(F895:F1894=F895)*(I895:I1894=I895)*(L895:L1894=L895)*(J895:J1894&lt;&gt;""),0))),"Not Found")</f>
        <v>Suspension Noise</v>
      </c>
      <c r="L895" s="3" t="s">
        <v>142</v>
      </c>
      <c r="M895" s="0" t="str">
        <f aca="false">PROPER(L895)</f>
        <v>Oil Filter, Brake Pads</v>
      </c>
      <c r="N895" s="3" t="s">
        <v>48</v>
      </c>
      <c r="O895" s="0" t="str">
        <f aca="false" t="array" ref="O895:O895">IF(N895&lt;&gt;"",N895,_xlfn.xlookup(1,(L895:L1894=L895)*(N895:N1894&lt;&gt;""),N895:N1894,"Not Found"))</f>
        <v>Uche</v>
      </c>
      <c r="P895" s="4" t="n">
        <v>59840</v>
      </c>
      <c r="Q895" s="0" t="s">
        <v>110</v>
      </c>
      <c r="R895" s="0" t="str">
        <f aca="false">PROPER(Q895)</f>
        <v>Cash</v>
      </c>
      <c r="S895" s="0" t="s">
        <v>63</v>
      </c>
      <c r="U895" s="5" t="n">
        <f aca="false">IF(ISBLANK(T895),AVERAGE(T895:T1894),T895)</f>
        <v>3.42696629213483</v>
      </c>
      <c r="V895" s="0" t="n">
        <v>1.3</v>
      </c>
      <c r="W895" s="0" t="s">
        <v>92</v>
      </c>
      <c r="X895" s="0" t="str">
        <f aca="false">IF(ISBLANK(W895),"No remarks",W895)</f>
        <v>Urgent service</v>
      </c>
      <c r="Y895" s="0" t="s">
        <v>93</v>
      </c>
      <c r="Z895" s="0" t="s">
        <v>94</v>
      </c>
      <c r="AA895" s="0" t="str">
        <f aca="false">PROPER(IF(ISBLANK(Z895),"Location Unavailable",Z895))</f>
        <v>Vip Section</v>
      </c>
      <c r="AB895" s="0" t="s">
        <v>54</v>
      </c>
      <c r="AC895" s="6" t="str">
        <f aca="false">PROPER(AB895)</f>
        <v>Mechanic Referral</v>
      </c>
      <c r="AE895" s="5" t="n">
        <f aca="false">IF(ISBLANK(AD895),AVERAGEIF(L895:L1894,L895,AD895:AD1894),AD895)</f>
        <v>45</v>
      </c>
      <c r="AF895" s="0" t="s">
        <v>160</v>
      </c>
      <c r="AG895" s="0" t="str">
        <f aca="false">PROPER(AF895)</f>
        <v>Availaible</v>
      </c>
      <c r="AH895" s="0" t="s">
        <v>155</v>
      </c>
      <c r="AI895" s="0" t="s">
        <v>128</v>
      </c>
      <c r="AJ895" s="0" t="str">
        <f aca="false">PROPER(AI895)</f>
        <v>Normal</v>
      </c>
      <c r="AK895" s="0" t="s">
        <v>58</v>
      </c>
      <c r="AL895" s="0" t="str">
        <f aca="false">PROPER(AK895)</f>
        <v>Fleet Owner</v>
      </c>
      <c r="AM895" s="0" t="s">
        <v>177</v>
      </c>
      <c r="AN895" s="0" t="str">
        <f aca="false">IF(ISBLANK(AM895),"Unknown",AM895)</f>
        <v>Private</v>
      </c>
      <c r="AO895" s="0" t="s">
        <v>161</v>
      </c>
      <c r="AP895" s="0" t="str">
        <f aca="false">IF(ISBLANK(AO895),"Unknown",AO895)</f>
        <v>Apprentice</v>
      </c>
      <c r="AR895" s="5" t="n">
        <f aca="false">IF(ISBLANK(AQ895),AVERAGEIF(M895:M1894,M895,AQ895:AQ1894),AQ895)</f>
        <v>24000</v>
      </c>
      <c r="AS895" s="0" t="n">
        <v>30000</v>
      </c>
      <c r="AT895" s="5" t="n">
        <f aca="false">IF(ISBLANK(AS895),AVERAGE(AS895:AS1894),AS895)</f>
        <v>30000</v>
      </c>
      <c r="AU895" s="0" t="s">
        <v>61</v>
      </c>
      <c r="AV895" s="0" t="str">
        <f aca="false">PROPER(IF(ISBLANK(AU895),"No",AU895))</f>
        <v>No</v>
      </c>
      <c r="AX895" s="5" t="n">
        <f aca="false">IF(ISBLANK(AW895),0,AW895)</f>
        <v>0</v>
      </c>
      <c r="AY895" s="0" t="s">
        <v>184</v>
      </c>
      <c r="AZ895" s="0" t="str">
        <f aca="false">UPPER(IF(ISBLANK(AY895),"NONE",AY895))</f>
        <v>N/A</v>
      </c>
      <c r="BA895" s="7" t="n">
        <v>45755</v>
      </c>
      <c r="BB895" s="7" t="n">
        <f aca="false">IF(ISBLANK(BA895),"No Follow Up Needed",BA895)</f>
        <v>45755</v>
      </c>
      <c r="BC895" s="0" t="s">
        <v>63</v>
      </c>
      <c r="BD895" s="0" t="str">
        <f aca="false">PROPER(IF(ISBLANK(BC895),"Unknown",BC895))</f>
        <v>Yes</v>
      </c>
      <c r="BF895" s="0" t="str">
        <f aca="false">IF(ISBLANK(BE895),"No comments",BE895)</f>
        <v>No comments</v>
      </c>
      <c r="BH895" s="0" t="str">
        <f aca="false">IF(ISBLANK(BG895),"No comments",BG895)</f>
        <v>No comments</v>
      </c>
      <c r="BI895" s="0" t="s">
        <v>50</v>
      </c>
      <c r="BJ895" s="0" t="str">
        <f aca="false">IF(ISBLANK(BI895),"Not Mentioned",BI895)</f>
        <v>No</v>
      </c>
      <c r="BK895" s="0" t="s">
        <v>50</v>
      </c>
      <c r="BL895" s="0" t="str">
        <f aca="false">PROPER(IF(ISBLANK(BK895),"Not Mentioned",BK895))</f>
        <v>No</v>
      </c>
      <c r="BM895" s="0" t="s">
        <v>63</v>
      </c>
      <c r="BN895" s="0" t="str">
        <f aca="false">PROPER(IF(ISBLANK(BM895),"Not Mentioned",BM895))</f>
        <v>Yes</v>
      </c>
      <c r="BP895" s="0" t="str">
        <f aca="false">IF(ISBLANK(BO895),"One-Time Plan",BO895)</f>
        <v>One-Time Plan</v>
      </c>
      <c r="BQ895" s="0" t="s">
        <v>190</v>
      </c>
      <c r="BR895" s="0" t="str">
        <f aca="false">PROPER(IF(ISBLANK(BQ895),"No",BQ895))</f>
        <v>Yes</v>
      </c>
    </row>
    <row r="896" customFormat="false" ht="15" hidden="false" customHeight="false" outlineLevel="0" collapsed="false">
      <c r="A896" s="0" t="s">
        <v>2072</v>
      </c>
      <c r="B896" s="2" t="n">
        <v>45747</v>
      </c>
      <c r="C896" s="2" t="str">
        <f aca="false">TEXT(B896,"dd/mm/yyyy")</f>
        <v>31/03/2025</v>
      </c>
      <c r="D896" s="0" t="s">
        <v>42</v>
      </c>
      <c r="E896" s="0" t="n">
        <v>8060421010</v>
      </c>
      <c r="F896" s="0" t="s">
        <v>43</v>
      </c>
      <c r="G896" s="0" t="s">
        <v>2315</v>
      </c>
      <c r="H896" s="0" t="s">
        <v>2073</v>
      </c>
      <c r="I896" s="0" t="s">
        <v>107</v>
      </c>
      <c r="J896" s="0" t="s">
        <v>87</v>
      </c>
      <c r="K896" s="3" t="str">
        <f aca="false" t="array" ref="K896:K896">IFERROR(IF(J896&lt;&gt;"",J896,INDEX(J896:J1895,MATCH(1,(F896:F1895=F896)*(I896:I1895=I896)*(L896:L1895=L896)*(J896:J1895&lt;&gt;""),0))),"Not Found")</f>
        <v>Oil Change</v>
      </c>
      <c r="L896" s="3" t="s">
        <v>154</v>
      </c>
      <c r="M896" s="0" t="str">
        <f aca="false">PROPER(L896)</f>
        <v>Air Filter</v>
      </c>
      <c r="O896" s="0" t="e">
        <f aca="false" t="array" ref="O896:O896">IF(N896&lt;&gt;"",N896,_xlfn.xlookup(1,(L896:L1895=L896)*(N896:N1895&lt;&gt;""),N896:N1895,"Not Found"))</f>
        <v>#NAME?</v>
      </c>
      <c r="P896" s="4" t="n">
        <v>83849</v>
      </c>
      <c r="Q896" s="0" t="s">
        <v>72</v>
      </c>
      <c r="R896" s="0" t="str">
        <f aca="false">PROPER(Q896)</f>
        <v>Pos</v>
      </c>
      <c r="S896" s="0" t="s">
        <v>63</v>
      </c>
      <c r="T896" s="0" t="n">
        <v>3</v>
      </c>
      <c r="U896" s="5" t="n">
        <f aca="false">IF(ISBLANK(T896),AVERAGE(T896:T1895),T896)</f>
        <v>3</v>
      </c>
      <c r="V896" s="0" t="n">
        <v>5.6</v>
      </c>
      <c r="W896" s="0" t="s">
        <v>125</v>
      </c>
      <c r="X896" s="0" t="str">
        <f aca="false">IF(ISBLANK(W896),"No remarks",W896)</f>
        <v>Customer waited</v>
      </c>
      <c r="Y896" s="0" t="s">
        <v>93</v>
      </c>
      <c r="AA896" s="0" t="str">
        <f aca="false">PROPER(IF(ISBLANK(Z896),"Location Unavailable",Z896))</f>
        <v>Location Unavailable</v>
      </c>
      <c r="AB896" s="0" t="s">
        <v>167</v>
      </c>
      <c r="AC896" s="6" t="str">
        <f aca="false">PROPER(AB896)</f>
        <v>Word Of Mouth</v>
      </c>
      <c r="AD896" s="6" t="n">
        <v>60</v>
      </c>
      <c r="AE896" s="5" t="n">
        <f aca="false">IF(ISBLANK(AD896),AVERAGEIF(L896:L1895,L896,AD896:AD1895),AD896)</f>
        <v>60</v>
      </c>
      <c r="AF896" s="0" t="s">
        <v>96</v>
      </c>
      <c r="AG896" s="0" t="str">
        <f aca="false">PROPER(AF896)</f>
        <v>Ordered</v>
      </c>
      <c r="AH896" s="0" t="s">
        <v>148</v>
      </c>
      <c r="AI896" s="0" t="s">
        <v>128</v>
      </c>
      <c r="AJ896" s="0" t="str">
        <f aca="false">PROPER(AI896)</f>
        <v>Normal</v>
      </c>
      <c r="AK896" s="0" t="s">
        <v>196</v>
      </c>
      <c r="AL896" s="0" t="str">
        <f aca="false">PROPER(AK896)</f>
        <v>First Time</v>
      </c>
      <c r="AN896" s="0" t="str">
        <f aca="false">IF(ISBLANK(AM896),"Unknown",AM896)</f>
        <v>Unknown</v>
      </c>
      <c r="AO896" s="0" t="s">
        <v>149</v>
      </c>
      <c r="AP896" s="0" t="str">
        <f aca="false">IF(ISBLANK(AO896),"Unknown",AO896)</f>
        <v>Senior </v>
      </c>
      <c r="AR896" s="5" t="n">
        <f aca="false">IF(ISBLANK(AQ896),AVERAGEIF(M896:M1895,M896,AQ896:AQ1895),AQ896)</f>
        <v>25714.2857142857</v>
      </c>
      <c r="AS896" s="0" t="n">
        <v>20000</v>
      </c>
      <c r="AT896" s="5" t="n">
        <f aca="false">IF(ISBLANK(AS896),AVERAGE(AS896:AS1895),AS896)</f>
        <v>20000</v>
      </c>
      <c r="AU896" s="0" t="s">
        <v>50</v>
      </c>
      <c r="AV896" s="0" t="str">
        <f aca="false">PROPER(IF(ISBLANK(AU896),"No",AU896))</f>
        <v>No</v>
      </c>
      <c r="AW896" s="0" t="n">
        <v>5000</v>
      </c>
      <c r="AX896" s="5" t="n">
        <f aca="false">IF(ISBLANK(AW896),0,AW896)</f>
        <v>5000</v>
      </c>
      <c r="AY896" s="0" t="s">
        <v>80</v>
      </c>
      <c r="AZ896" s="0" t="str">
        <f aca="false">UPPER(IF(ISBLANK(AY896),"NONE",AY896))</f>
        <v>PROMO10</v>
      </c>
      <c r="BA896" s="7" t="n">
        <v>45966</v>
      </c>
      <c r="BB896" s="7" t="n">
        <f aca="false">IF(ISBLANK(BA896),"No Follow Up Needed",BA896)</f>
        <v>45966</v>
      </c>
      <c r="BC896" s="0" t="s">
        <v>63</v>
      </c>
      <c r="BD896" s="0" t="str">
        <f aca="false">PROPER(IF(ISBLANK(BC896),"Unknown",BC896))</f>
        <v>Yes</v>
      </c>
      <c r="BE896" s="0" t="s">
        <v>116</v>
      </c>
      <c r="BF896" s="0" t="str">
        <f aca="false">IF(ISBLANK(BE896),"No comments",BE896)</f>
        <v>Needs tire alignment</v>
      </c>
      <c r="BG896" s="0" t="s">
        <v>117</v>
      </c>
      <c r="BH896" s="0" t="str">
        <f aca="false">IF(ISBLANK(BG896),"No comments",BG896)</f>
        <v>Prefers morning</v>
      </c>
      <c r="BI896" s="0" t="s">
        <v>63</v>
      </c>
      <c r="BJ896" s="0" t="str">
        <f aca="false">IF(ISBLANK(BI896),"Not Mentioned",BI896)</f>
        <v>Yes</v>
      </c>
      <c r="BK896" s="0" t="s">
        <v>61</v>
      </c>
      <c r="BL896" s="0" t="str">
        <f aca="false">PROPER(IF(ISBLANK(BK896),"Not Mentioned",BK896))</f>
        <v>No</v>
      </c>
      <c r="BN896" s="0" t="str">
        <f aca="false">PROPER(IF(ISBLANK(BM896),"Not Mentioned",BM896))</f>
        <v>Not Mentioned</v>
      </c>
      <c r="BO896" s="0" t="s">
        <v>2318</v>
      </c>
      <c r="BP896" s="0" t="str">
        <f aca="false">IF(ISBLANK(BO896),"One-Time Plan",BO896)</f>
        <v>Gold</v>
      </c>
      <c r="BQ896" s="0" t="s">
        <v>63</v>
      </c>
      <c r="BR896" s="0" t="str">
        <f aca="false">PROPER(IF(ISBLANK(BQ896),"No",BQ896))</f>
        <v>Yes</v>
      </c>
    </row>
    <row r="897" customFormat="false" ht="15" hidden="false" customHeight="false" outlineLevel="0" collapsed="false">
      <c r="A897" s="0" t="s">
        <v>2074</v>
      </c>
      <c r="B897" s="2" t="n">
        <v>45737</v>
      </c>
      <c r="C897" s="2" t="str">
        <f aca="false">TEXT(B897,"dd/mm/yyyy")</f>
        <v>21/03/2025</v>
      </c>
      <c r="D897" s="0" t="s">
        <v>163</v>
      </c>
      <c r="E897" s="0" t="n">
        <v>8090931259</v>
      </c>
      <c r="F897" s="0" t="s">
        <v>67</v>
      </c>
      <c r="G897" s="0" t="s">
        <v>2316</v>
      </c>
      <c r="H897" s="0" t="s">
        <v>2075</v>
      </c>
      <c r="I897" s="0" t="s">
        <v>45</v>
      </c>
      <c r="J897" s="0" t="s">
        <v>2317</v>
      </c>
      <c r="K897" s="3" t="str">
        <f aca="false" t="array" ref="K897:K897">IFERROR(IF(J897&lt;&gt;"",J897,INDEX(J897:J1896,MATCH(1,(F897:F1896=F897)*(I897:I1896=I897)*(L897:L1896=L897)*(J897:J1896&lt;&gt;""),0))),"Not Found")</f>
        <v>Suspension Noise</v>
      </c>
      <c r="L897" s="3" t="s">
        <v>108</v>
      </c>
      <c r="M897" s="0" t="str">
        <f aca="false">PROPER(L897)</f>
        <v>Timing Belt</v>
      </c>
      <c r="N897" s="3" t="s">
        <v>90</v>
      </c>
      <c r="O897" s="0" t="str">
        <f aca="false" t="array" ref="O897:O897">IF(N897&lt;&gt;"",N897,_xlfn.xlookup(1,(L897:L1896=L897)*(N897:N1896&lt;&gt;""),N897:N1896,"Not Found"))</f>
        <v>Musa</v>
      </c>
      <c r="P897" s="4" t="n">
        <v>21157</v>
      </c>
      <c r="Q897" s="0" t="s">
        <v>49</v>
      </c>
      <c r="R897" s="0" t="str">
        <f aca="false">PROPER(Q897)</f>
        <v>Transfer</v>
      </c>
      <c r="S897" s="0" t="s">
        <v>63</v>
      </c>
      <c r="T897" s="0" t="n">
        <v>5</v>
      </c>
      <c r="U897" s="5" t="n">
        <f aca="false">IF(ISBLANK(T897),AVERAGE(T897:T1896),T897)</f>
        <v>5</v>
      </c>
      <c r="V897" s="0" t="n">
        <v>5.1</v>
      </c>
      <c r="X897" s="0" t="str">
        <f aca="false">IF(ISBLANK(W897),"No remarks",W897)</f>
        <v>No remarks</v>
      </c>
      <c r="Y897" s="0" t="s">
        <v>93</v>
      </c>
      <c r="Z897" s="0" t="s">
        <v>159</v>
      </c>
      <c r="AA897" s="0" t="str">
        <f aca="false">PROPER(IF(ISBLANK(Z897),"Location Unavailable",Z897))</f>
        <v>Main Bay</v>
      </c>
      <c r="AB897" s="0" t="s">
        <v>95</v>
      </c>
      <c r="AC897" s="6" t="str">
        <f aca="false">PROPER(AB897)</f>
        <v>Road Sign</v>
      </c>
      <c r="AD897" s="6" t="n">
        <v>60</v>
      </c>
      <c r="AE897" s="5" t="n">
        <f aca="false">IF(ISBLANK(AD897),AVERAGEIF(L897:L1896,L897,AD897:AD1896),AD897)</f>
        <v>60</v>
      </c>
      <c r="AF897" s="0" t="s">
        <v>55</v>
      </c>
      <c r="AG897" s="0" t="str">
        <f aca="false">PROPER(AF897)</f>
        <v>Available</v>
      </c>
      <c r="AH897" s="0" t="s">
        <v>56</v>
      </c>
      <c r="AI897" s="0" t="s">
        <v>78</v>
      </c>
      <c r="AJ897" s="0" t="str">
        <f aca="false">PROPER(AI897)</f>
        <v>Booking</v>
      </c>
      <c r="AK897" s="0" t="s">
        <v>196</v>
      </c>
      <c r="AL897" s="0" t="str">
        <f aca="false">PROPER(AK897)</f>
        <v>First Time</v>
      </c>
      <c r="AM897" s="0" t="s">
        <v>59</v>
      </c>
      <c r="AN897" s="0" t="str">
        <f aca="false">IF(ISBLANK(AM897),"Unknown",AM897)</f>
        <v>Bolt Driver</v>
      </c>
      <c r="AO897" s="0" t="s">
        <v>79</v>
      </c>
      <c r="AP897" s="0" t="str">
        <f aca="false">IF(ISBLANK(AO897),"Unknown",AO897)</f>
        <v>Specialist</v>
      </c>
      <c r="AQ897" s="0" t="n">
        <v>15000</v>
      </c>
      <c r="AR897" s="5" t="n">
        <f aca="false">IF(ISBLANK(AQ897),AVERAGEIF(M897:M1896,M897,AQ897:AQ1896),AQ897)</f>
        <v>15000</v>
      </c>
      <c r="AS897" s="0" t="n">
        <v>40000</v>
      </c>
      <c r="AT897" s="5" t="n">
        <f aca="false">IF(ISBLANK(AS897),AVERAGE(AS897:AS1896),AS897)</f>
        <v>40000</v>
      </c>
      <c r="AU897" s="0" t="s">
        <v>61</v>
      </c>
      <c r="AV897" s="0" t="str">
        <f aca="false">PROPER(IF(ISBLANK(AU897),"No",AU897))</f>
        <v>No</v>
      </c>
      <c r="AW897" s="0" t="n">
        <v>5000</v>
      </c>
      <c r="AX897" s="5" t="n">
        <f aca="false">IF(ISBLANK(AW897),0,AW897)</f>
        <v>5000</v>
      </c>
      <c r="AY897" s="0" t="s">
        <v>80</v>
      </c>
      <c r="AZ897" s="0" t="str">
        <f aca="false">UPPER(IF(ISBLANK(AY897),"NONE",AY897))</f>
        <v>PROMO10</v>
      </c>
      <c r="BB897" s="7" t="str">
        <f aca="false">IF(ISBLANK(BA897),"No Follow Up Needed",BA897)</f>
        <v>No Follow Up Needed</v>
      </c>
      <c r="BC897" s="0" t="s">
        <v>63</v>
      </c>
      <c r="BD897" s="0" t="str">
        <f aca="false">PROPER(IF(ISBLANK(BC897),"Unknown",BC897))</f>
        <v>Yes</v>
      </c>
      <c r="BE897" s="0" t="s">
        <v>116</v>
      </c>
      <c r="BF897" s="0" t="str">
        <f aca="false">IF(ISBLANK(BE897),"No comments",BE897)</f>
        <v>Needs tire alignment</v>
      </c>
      <c r="BH897" s="0" t="str">
        <f aca="false">IF(ISBLANK(BG897),"No comments",BG897)</f>
        <v>No comments</v>
      </c>
      <c r="BI897" s="0" t="s">
        <v>50</v>
      </c>
      <c r="BJ897" s="0" t="str">
        <f aca="false">IF(ISBLANK(BI897),"Not Mentioned",BI897)</f>
        <v>No</v>
      </c>
      <c r="BK897" s="0" t="s">
        <v>82</v>
      </c>
      <c r="BL897" s="0" t="str">
        <f aca="false">PROPER(IF(ISBLANK(BK897),"Not Mentioned",BK897))</f>
        <v>Yes</v>
      </c>
      <c r="BM897" s="0" t="s">
        <v>63</v>
      </c>
      <c r="BN897" s="0" t="str">
        <f aca="false">PROPER(IF(ISBLANK(BM897),"Not Mentioned",BM897))</f>
        <v>Yes</v>
      </c>
      <c r="BO897" s="0" t="s">
        <v>2318</v>
      </c>
      <c r="BP897" s="0" t="str">
        <f aca="false">IF(ISBLANK(BO897),"One-Time Plan",BO897)</f>
        <v>Gold</v>
      </c>
      <c r="BQ897" s="0" t="s">
        <v>63</v>
      </c>
      <c r="BR897" s="0" t="str">
        <f aca="false">PROPER(IF(ISBLANK(BQ897),"No",BQ897))</f>
        <v>Yes</v>
      </c>
    </row>
    <row r="898" customFormat="false" ht="15" hidden="false" customHeight="false" outlineLevel="0" collapsed="false">
      <c r="A898" s="0" t="s">
        <v>2076</v>
      </c>
      <c r="B898" s="2" t="n">
        <v>45679</v>
      </c>
      <c r="C898" s="2" t="str">
        <f aca="false">TEXT(B898,"dd/mm/yyyy")</f>
        <v>22/01/2025</v>
      </c>
      <c r="D898" s="0" t="s">
        <v>121</v>
      </c>
      <c r="E898" s="0" t="n">
        <v>8079803166</v>
      </c>
      <c r="F898" s="0" t="s">
        <v>122</v>
      </c>
      <c r="G898" s="0" t="s">
        <v>2316</v>
      </c>
      <c r="H898" s="0" t="s">
        <v>2077</v>
      </c>
      <c r="I898" s="0" t="s">
        <v>134</v>
      </c>
      <c r="J898" s="0" t="s">
        <v>87</v>
      </c>
      <c r="K898" s="3" t="str">
        <f aca="false" t="array" ref="K898:K898">IFERROR(IF(J898&lt;&gt;"",J898,INDEX(J898:J1897,MATCH(1,(F898:F1897=F898)*(I898:I1897=I898)*(L898:L1897=L898)*(J898:J1897&lt;&gt;""),0))),"Not Found")</f>
        <v>Oil Change</v>
      </c>
      <c r="L898" s="3" t="s">
        <v>189</v>
      </c>
      <c r="M898" s="0" t="str">
        <f aca="false">PROPER(L898)</f>
        <v>Battery</v>
      </c>
      <c r="N898" s="3" t="s">
        <v>48</v>
      </c>
      <c r="O898" s="0" t="str">
        <f aca="false" t="array" ref="O898:O898">IF(N898&lt;&gt;"",N898,_xlfn.xlookup(1,(L898:L1897=L898)*(N898:N1897&lt;&gt;""),N898:N1897,"Not Found"))</f>
        <v>Uche</v>
      </c>
      <c r="P898" s="4" t="n">
        <v>49263</v>
      </c>
      <c r="Q898" s="0" t="s">
        <v>49</v>
      </c>
      <c r="R898" s="0" t="str">
        <f aca="false">PROPER(Q898)</f>
        <v>Transfer</v>
      </c>
      <c r="S898" s="0" t="s">
        <v>50</v>
      </c>
      <c r="T898" s="0" t="n">
        <v>2</v>
      </c>
      <c r="U898" s="5" t="n">
        <f aca="false">IF(ISBLANK(T898),AVERAGE(T898:T1897),T898)</f>
        <v>2</v>
      </c>
      <c r="V898" s="0" t="n">
        <v>5.9</v>
      </c>
      <c r="W898" s="0" t="s">
        <v>111</v>
      </c>
      <c r="X898" s="0" t="str">
        <f aca="false">IF(ISBLANK(W898),"No remarks",W898)</f>
        <v>Changed all filters</v>
      </c>
      <c r="Y898" s="0" t="s">
        <v>93</v>
      </c>
      <c r="AA898" s="0" t="str">
        <f aca="false">PROPER(IF(ISBLANK(Z898),"Location Unavailable",Z898))</f>
        <v>Location Unavailable</v>
      </c>
      <c r="AB898" s="0" t="s">
        <v>167</v>
      </c>
      <c r="AC898" s="6" t="str">
        <f aca="false">PROPER(AB898)</f>
        <v>Word Of Mouth</v>
      </c>
      <c r="AD898" s="6" t="n">
        <v>15</v>
      </c>
      <c r="AE898" s="5" t="n">
        <f aca="false">IF(ISBLANK(AD898),AVERAGEIF(L898:L1897,L898,AD898:AD1897),AD898)</f>
        <v>15</v>
      </c>
      <c r="AF898" s="0" t="s">
        <v>55</v>
      </c>
      <c r="AG898" s="0" t="str">
        <f aca="false">PROPER(AF898)</f>
        <v>Available</v>
      </c>
      <c r="AH898" s="0" t="s">
        <v>155</v>
      </c>
      <c r="AI898" s="0" t="s">
        <v>128</v>
      </c>
      <c r="AJ898" s="0" t="str">
        <f aca="false">PROPER(AI898)</f>
        <v>Normal</v>
      </c>
      <c r="AK898" s="0" t="s">
        <v>99</v>
      </c>
      <c r="AL898" s="0" t="str">
        <f aca="false">PROPER(AK898)</f>
        <v>Uber Driver</v>
      </c>
      <c r="AM898" s="0" t="s">
        <v>59</v>
      </c>
      <c r="AN898" s="0" t="str">
        <f aca="false">IF(ISBLANK(AM898),"Unknown",AM898)</f>
        <v>Bolt Driver</v>
      </c>
      <c r="AO898" s="0" t="s">
        <v>161</v>
      </c>
      <c r="AP898" s="0" t="str">
        <f aca="false">IF(ISBLANK(AO898),"Unknown",AO898)</f>
        <v>Apprentice</v>
      </c>
      <c r="AQ898" s="0" t="n">
        <v>20000</v>
      </c>
      <c r="AR898" s="5" t="n">
        <f aca="false">IF(ISBLANK(AQ898),AVERAGEIF(M898:M1897,M898,AQ898:AQ1897),AQ898)</f>
        <v>20000</v>
      </c>
      <c r="AS898" s="0" t="n">
        <v>30000</v>
      </c>
      <c r="AT898" s="5" t="n">
        <f aca="false">IF(ISBLANK(AS898),AVERAGE(AS898:AS1897),AS898)</f>
        <v>30000</v>
      </c>
      <c r="AU898" s="0" t="s">
        <v>50</v>
      </c>
      <c r="AV898" s="0" t="str">
        <f aca="false">PROPER(IF(ISBLANK(AU898),"No",AU898))</f>
        <v>No</v>
      </c>
      <c r="AX898" s="5" t="n">
        <f aca="false">IF(ISBLANK(AW898),0,AW898)</f>
        <v>0</v>
      </c>
      <c r="AY898" s="0" t="s">
        <v>184</v>
      </c>
      <c r="AZ898" s="0" t="str">
        <f aca="false">UPPER(IF(ISBLANK(AY898),"NONE",AY898))</f>
        <v>N/A</v>
      </c>
      <c r="BB898" s="7" t="str">
        <f aca="false">IF(ISBLANK(BA898),"No Follow Up Needed",BA898)</f>
        <v>No Follow Up Needed</v>
      </c>
      <c r="BC898" s="0" t="s">
        <v>82</v>
      </c>
      <c r="BD898" s="0" t="str">
        <f aca="false">PROPER(IF(ISBLANK(BC898),"Unknown",BC898))</f>
        <v>Yes</v>
      </c>
      <c r="BE898" s="0" t="s">
        <v>116</v>
      </c>
      <c r="BF898" s="0" t="str">
        <f aca="false">IF(ISBLANK(BE898),"No comments",BE898)</f>
        <v>Needs tire alignment</v>
      </c>
      <c r="BG898" s="0" t="s">
        <v>117</v>
      </c>
      <c r="BH898" s="0" t="str">
        <f aca="false">IF(ISBLANK(BG898),"No comments",BG898)</f>
        <v>Prefers morning</v>
      </c>
      <c r="BI898" s="0" t="s">
        <v>50</v>
      </c>
      <c r="BJ898" s="0" t="str">
        <f aca="false">IF(ISBLANK(BI898),"Not Mentioned",BI898)</f>
        <v>No</v>
      </c>
      <c r="BK898" s="0" t="s">
        <v>63</v>
      </c>
      <c r="BL898" s="0" t="str">
        <f aca="false">PROPER(IF(ISBLANK(BK898),"Not Mentioned",BK898))</f>
        <v>Yes</v>
      </c>
      <c r="BM898" s="0" t="s">
        <v>63</v>
      </c>
      <c r="BN898" s="0" t="str">
        <f aca="false">PROPER(IF(ISBLANK(BM898),"Not Mentioned",BM898))</f>
        <v>Yes</v>
      </c>
      <c r="BO898" s="0" t="s">
        <v>2318</v>
      </c>
      <c r="BP898" s="0" t="str">
        <f aca="false">IF(ISBLANK(BO898),"One-Time Plan",BO898)</f>
        <v>Gold</v>
      </c>
      <c r="BQ898" s="0" t="s">
        <v>50</v>
      </c>
      <c r="BR898" s="0" t="str">
        <f aca="false">PROPER(IF(ISBLANK(BQ898),"No",BQ898))</f>
        <v>No</v>
      </c>
    </row>
    <row r="899" customFormat="false" ht="15" hidden="false" customHeight="false" outlineLevel="0" collapsed="false">
      <c r="A899" s="0" t="s">
        <v>2078</v>
      </c>
      <c r="B899" s="2" t="n">
        <v>45663</v>
      </c>
      <c r="C899" s="2" t="str">
        <f aca="false">TEXT(B899,"dd/mm/yyyy")</f>
        <v>06/01/2025</v>
      </c>
      <c r="D899" s="0" t="s">
        <v>121</v>
      </c>
      <c r="E899" s="0" t="n">
        <v>8045679876</v>
      </c>
      <c r="F899" s="0" t="s">
        <v>43</v>
      </c>
      <c r="G899" s="0" t="s">
        <v>2315</v>
      </c>
      <c r="H899" s="0" t="s">
        <v>2079</v>
      </c>
      <c r="I899" s="0" t="s">
        <v>45</v>
      </c>
      <c r="J899" s="0" t="s">
        <v>2322</v>
      </c>
      <c r="K899" s="3" t="str">
        <f aca="false" t="array" ref="K899:K899">IFERROR(IF(J899&lt;&gt;"",J899,INDEX(J899:J1898,MATCH(1,(F899:F1898=F899)*(I899:I1898=I899)*(L899:L1898=L899)*(J899:J1898&lt;&gt;""),0))),"Not Found")</f>
        <v>Brake Failure</v>
      </c>
      <c r="L899" s="3" t="s">
        <v>89</v>
      </c>
      <c r="M899" s="0" t="str">
        <f aca="false">PROPER(L899)</f>
        <v>Shock Absorbers</v>
      </c>
      <c r="N899" s="3" t="s">
        <v>48</v>
      </c>
      <c r="O899" s="0" t="str">
        <f aca="false" t="array" ref="O899:O899">IF(N899&lt;&gt;"",N899,_xlfn.xlookup(1,(L899:L1898=L899)*(N899:N1898&lt;&gt;""),N899:N1898,"Not Found"))</f>
        <v>Uche</v>
      </c>
      <c r="P899" s="4" t="n">
        <v>88077</v>
      </c>
      <c r="Q899" s="0" t="s">
        <v>91</v>
      </c>
      <c r="R899" s="0" t="str">
        <f aca="false">PROPER(Q899)</f>
        <v>Pos</v>
      </c>
      <c r="S899" s="0" t="s">
        <v>50</v>
      </c>
      <c r="T899" s="0" t="n">
        <v>1</v>
      </c>
      <c r="U899" s="5" t="n">
        <f aca="false">IF(ISBLANK(T899),AVERAGE(T899:T1898),T899)</f>
        <v>1</v>
      </c>
      <c r="V899" s="0" t="n">
        <v>3.6</v>
      </c>
      <c r="X899" s="0" t="str">
        <f aca="false">IF(ISBLANK(W899),"No remarks",W899)</f>
        <v>No remarks</v>
      </c>
      <c r="Y899" s="0" t="s">
        <v>93</v>
      </c>
      <c r="Z899" s="0" t="s">
        <v>94</v>
      </c>
      <c r="AA899" s="0" t="str">
        <f aca="false">PROPER(IF(ISBLANK(Z899),"Location Unavailable",Z899))</f>
        <v>Vip Section</v>
      </c>
      <c r="AB899" s="0" t="s">
        <v>75</v>
      </c>
      <c r="AC899" s="6" t="str">
        <f aca="false">PROPER(AB899)</f>
        <v>Mechanik Referal</v>
      </c>
      <c r="AD899" s="6" t="n">
        <v>45</v>
      </c>
      <c r="AE899" s="5" t="n">
        <f aca="false">IF(ISBLANK(AD899),AVERAGEIF(L899:L1898,L899,AD899:AD1898),AD899)</f>
        <v>45</v>
      </c>
      <c r="AF899" s="0" t="s">
        <v>55</v>
      </c>
      <c r="AG899" s="0" t="str">
        <f aca="false">PROPER(AF899)</f>
        <v>Available</v>
      </c>
      <c r="AH899" s="0" t="s">
        <v>56</v>
      </c>
      <c r="AI899" s="0" t="s">
        <v>98</v>
      </c>
      <c r="AJ899" s="0" t="str">
        <f aca="false">PROPER(AI899)</f>
        <v>Emergency</v>
      </c>
      <c r="AK899" s="0" t="s">
        <v>196</v>
      </c>
      <c r="AL899" s="0" t="str">
        <f aca="false">PROPER(AK899)</f>
        <v>First Time</v>
      </c>
      <c r="AM899" s="0" t="s">
        <v>59</v>
      </c>
      <c r="AN899" s="0" t="str">
        <f aca="false">IF(ISBLANK(AM899),"Unknown",AM899)</f>
        <v>Bolt Driver</v>
      </c>
      <c r="AO899" s="0" t="s">
        <v>79</v>
      </c>
      <c r="AP899" s="0" t="str">
        <f aca="false">IF(ISBLANK(AO899),"Unknown",AO899)</f>
        <v>Specialist</v>
      </c>
      <c r="AR899" s="5" t="n">
        <f aca="false">IF(ISBLANK(AQ899),AVERAGEIF(M899:M1898,M899,AQ899:AQ1898),AQ899)</f>
        <v>23000</v>
      </c>
      <c r="AS899" s="0" t="n">
        <v>30000</v>
      </c>
      <c r="AT899" s="5" t="n">
        <f aca="false">IF(ISBLANK(AS899),AVERAGE(AS899:AS1898),AS899)</f>
        <v>30000</v>
      </c>
      <c r="AU899" s="0" t="s">
        <v>82</v>
      </c>
      <c r="AV899" s="0" t="str">
        <f aca="false">PROPER(IF(ISBLANK(AU899),"No",AU899))</f>
        <v>Yes</v>
      </c>
      <c r="AW899" s="0" t="n">
        <v>5000</v>
      </c>
      <c r="AX899" s="5" t="n">
        <f aca="false">IF(ISBLANK(AW899),0,AW899)</f>
        <v>5000</v>
      </c>
      <c r="AY899" s="0" t="s">
        <v>80</v>
      </c>
      <c r="AZ899" s="0" t="str">
        <f aca="false">UPPER(IF(ISBLANK(AY899),"NONE",AY899))</f>
        <v>PROMO10</v>
      </c>
      <c r="BA899" s="7" t="n">
        <v>45940</v>
      </c>
      <c r="BB899" s="7" t="n">
        <f aca="false">IF(ISBLANK(BA899),"No Follow Up Needed",BA899)</f>
        <v>45940</v>
      </c>
      <c r="BC899" s="0" t="s">
        <v>82</v>
      </c>
      <c r="BD899" s="0" t="str">
        <f aca="false">PROPER(IF(ISBLANK(BC899),"Unknown",BC899))</f>
        <v>Yes</v>
      </c>
      <c r="BF899" s="0" t="str">
        <f aca="false">IF(ISBLANK(BE899),"No comments",BE899)</f>
        <v>No comments</v>
      </c>
      <c r="BG899" s="0" t="s">
        <v>2320</v>
      </c>
      <c r="BH899" s="0" t="str">
        <f aca="false">IF(ISBLANK(BG899),"No comments",BG899)</f>
        <v>No complaints</v>
      </c>
      <c r="BJ899" s="0" t="str">
        <f aca="false">IF(ISBLANK(BI899),"Not Mentioned",BI899)</f>
        <v>Not Mentioned</v>
      </c>
      <c r="BK899" s="0" t="s">
        <v>82</v>
      </c>
      <c r="BL899" s="0" t="str">
        <f aca="false">PROPER(IF(ISBLANK(BK899),"Not Mentioned",BK899))</f>
        <v>Yes</v>
      </c>
      <c r="BN899" s="0" t="str">
        <f aca="false">PROPER(IF(ISBLANK(BM899),"Not Mentioned",BM899))</f>
        <v>Not Mentioned</v>
      </c>
      <c r="BO899" s="0" t="s">
        <v>64</v>
      </c>
      <c r="BP899" s="0" t="str">
        <f aca="false">IF(ISBLANK(BO899),"One-Time Plan",BO899)</f>
        <v>Gold Maintenance Plan</v>
      </c>
      <c r="BQ899" s="0" t="s">
        <v>63</v>
      </c>
      <c r="BR899" s="0" t="str">
        <f aca="false">PROPER(IF(ISBLANK(BQ899),"No",BQ899))</f>
        <v>Yes</v>
      </c>
    </row>
    <row r="900" customFormat="false" ht="15" hidden="false" customHeight="false" outlineLevel="0" collapsed="false">
      <c r="A900" s="0" t="s">
        <v>2080</v>
      </c>
      <c r="B900" s="2" t="n">
        <v>45775</v>
      </c>
      <c r="C900" s="2" t="str">
        <f aca="false">TEXT(B900,"dd/mm/yyyy")</f>
        <v>28/04/2025</v>
      </c>
      <c r="D900" s="0" t="s">
        <v>66</v>
      </c>
      <c r="E900" s="0" t="n">
        <v>8075219904</v>
      </c>
      <c r="F900" s="0" t="s">
        <v>67</v>
      </c>
      <c r="G900" s="0" t="s">
        <v>2316</v>
      </c>
      <c r="H900" s="0" t="s">
        <v>2081</v>
      </c>
      <c r="I900" s="0" t="s">
        <v>87</v>
      </c>
      <c r="J900" s="0" t="s">
        <v>2322</v>
      </c>
      <c r="K900" s="3" t="str">
        <f aca="false" t="array" ref="K900:K900">IFERROR(IF(J900&lt;&gt;"",J900,INDEX(J900:J1899,MATCH(1,(F900:F1899=F900)*(I900:I1899=I900)*(L900:L1899=L900)*(J900:J1899&lt;&gt;""),0))),"Not Found")</f>
        <v>Brake Failure</v>
      </c>
      <c r="L900" s="3" t="s">
        <v>108</v>
      </c>
      <c r="M900" s="0" t="str">
        <f aca="false">PROPER(L900)</f>
        <v>Timing Belt</v>
      </c>
      <c r="O900" s="0" t="e">
        <f aca="false" t="array" ref="O900:O900">IF(N900&lt;&gt;"",N900,_xlfn.xlookup(1,(L900:L1899=L900)*(N900:N1899&lt;&gt;""),N900:N1899,"Not Found"))</f>
        <v>#NAME?</v>
      </c>
      <c r="P900" s="4" t="n">
        <v>62852</v>
      </c>
      <c r="Q900" s="0" t="s">
        <v>124</v>
      </c>
      <c r="R900" s="0" t="str">
        <f aca="false">PROPER(Q900)</f>
        <v>Cash</v>
      </c>
      <c r="S900" s="0" t="s">
        <v>50</v>
      </c>
      <c r="U900" s="5" t="n">
        <f aca="false">IF(ISBLANK(T900),AVERAGE(T900:T1899),T900)</f>
        <v>3.45882352941177</v>
      </c>
      <c r="V900" s="0" t="n">
        <v>4.4</v>
      </c>
      <c r="W900" s="0" t="s">
        <v>51</v>
      </c>
      <c r="X900" s="0" t="str">
        <f aca="false">IF(ISBLANK(W900),"No remarks",W900)</f>
        <v>Recommended further checks</v>
      </c>
      <c r="Y900" s="0" t="s">
        <v>52</v>
      </c>
      <c r="Z900" s="0" t="s">
        <v>94</v>
      </c>
      <c r="AA900" s="0" t="str">
        <f aca="false">PROPER(IF(ISBLANK(Z900),"Location Unavailable",Z900))</f>
        <v>Vip Section</v>
      </c>
      <c r="AB900" s="0" t="s">
        <v>95</v>
      </c>
      <c r="AC900" s="6" t="str">
        <f aca="false">PROPER(AB900)</f>
        <v>Road Sign</v>
      </c>
      <c r="AD900" s="6" t="n">
        <v>45</v>
      </c>
      <c r="AE900" s="5" t="n">
        <f aca="false">IF(ISBLANK(AD900),AVERAGEIF(L900:L1899,L900,AD900:AD1899),AD900)</f>
        <v>45</v>
      </c>
      <c r="AF900" s="0" t="s">
        <v>55</v>
      </c>
      <c r="AG900" s="0" t="str">
        <f aca="false">PROPER(AF900)</f>
        <v>Available</v>
      </c>
      <c r="AH900" s="0" t="s">
        <v>56</v>
      </c>
      <c r="AI900" s="0" t="s">
        <v>98</v>
      </c>
      <c r="AJ900" s="0" t="str">
        <f aca="false">PROPER(AI900)</f>
        <v>Emergency</v>
      </c>
      <c r="AK900" s="0" t="s">
        <v>196</v>
      </c>
      <c r="AL900" s="0" t="str">
        <f aca="false">PROPER(AK900)</f>
        <v>First Time</v>
      </c>
      <c r="AM900" s="0" t="s">
        <v>59</v>
      </c>
      <c r="AN900" s="0" t="str">
        <f aca="false">IF(ISBLANK(AM900),"Unknown",AM900)</f>
        <v>Bolt Driver</v>
      </c>
      <c r="AP900" s="0" t="str">
        <f aca="false">IF(ISBLANK(AO900),"Unknown",AO900)</f>
        <v>Unknown</v>
      </c>
      <c r="AQ900" s="0" t="n">
        <v>40000</v>
      </c>
      <c r="AR900" s="5" t="n">
        <f aca="false">IF(ISBLANK(AQ900),AVERAGEIF(M900:M1899,M900,AQ900:AQ1899),AQ900)</f>
        <v>40000</v>
      </c>
      <c r="AS900" s="0" t="n">
        <v>40000</v>
      </c>
      <c r="AT900" s="5" t="n">
        <f aca="false">IF(ISBLANK(AS900),AVERAGE(AS900:AS1899),AS900)</f>
        <v>40000</v>
      </c>
      <c r="AU900" s="0" t="s">
        <v>82</v>
      </c>
      <c r="AV900" s="0" t="str">
        <f aca="false">PROPER(IF(ISBLANK(AU900),"No",AU900))</f>
        <v>Yes</v>
      </c>
      <c r="AW900" s="0" t="n">
        <v>0</v>
      </c>
      <c r="AX900" s="5" t="n">
        <f aca="false">IF(ISBLANK(AW900),0,AW900)</f>
        <v>0</v>
      </c>
      <c r="AZ900" s="0" t="str">
        <f aca="false">UPPER(IF(ISBLANK(AY900),"NONE",AY900))</f>
        <v>NONE</v>
      </c>
      <c r="BA900" s="7" t="n">
        <v>45784</v>
      </c>
      <c r="BB900" s="7" t="n">
        <f aca="false">IF(ISBLANK(BA900),"No Follow Up Needed",BA900)</f>
        <v>45784</v>
      </c>
      <c r="BC900" s="0" t="s">
        <v>61</v>
      </c>
      <c r="BD900" s="0" t="str">
        <f aca="false">PROPER(IF(ISBLANK(BC900),"Unknown",BC900))</f>
        <v>No</v>
      </c>
      <c r="BE900" s="0" t="s">
        <v>116</v>
      </c>
      <c r="BF900" s="0" t="str">
        <f aca="false">IF(ISBLANK(BE900),"No comments",BE900)</f>
        <v>Needs tire alignment</v>
      </c>
      <c r="BH900" s="0" t="str">
        <f aca="false">IF(ISBLANK(BG900),"No comments",BG900)</f>
        <v>No comments</v>
      </c>
      <c r="BI900" s="0" t="s">
        <v>50</v>
      </c>
      <c r="BJ900" s="0" t="str">
        <f aca="false">IF(ISBLANK(BI900),"Not Mentioned",BI900)</f>
        <v>No</v>
      </c>
      <c r="BK900" s="0" t="s">
        <v>61</v>
      </c>
      <c r="BL900" s="0" t="str">
        <f aca="false">PROPER(IF(ISBLANK(BK900),"Not Mentioned",BK900))</f>
        <v>No</v>
      </c>
      <c r="BM900" s="0" t="s">
        <v>63</v>
      </c>
      <c r="BN900" s="0" t="str">
        <f aca="false">PROPER(IF(ISBLANK(BM900),"Not Mentioned",BM900))</f>
        <v>Yes</v>
      </c>
      <c r="BO900" s="0" t="s">
        <v>64</v>
      </c>
      <c r="BP900" s="0" t="str">
        <f aca="false">IF(ISBLANK(BO900),"One-Time Plan",BO900)</f>
        <v>Gold Maintenance Plan</v>
      </c>
      <c r="BQ900" s="0" t="s">
        <v>50</v>
      </c>
      <c r="BR900" s="0" t="str">
        <f aca="false">PROPER(IF(ISBLANK(BQ900),"No",BQ900))</f>
        <v>No</v>
      </c>
    </row>
    <row r="901" customFormat="false" ht="15" hidden="false" customHeight="false" outlineLevel="0" collapsed="false">
      <c r="A901" s="0" t="s">
        <v>2083</v>
      </c>
      <c r="B901" s="2" t="s">
        <v>2082</v>
      </c>
      <c r="C901" s="2" t="str">
        <f aca="false">TEXT(B901,"dd/mm/yyyy")</f>
        <v>26/05/2025</v>
      </c>
      <c r="D901" s="0" t="s">
        <v>163</v>
      </c>
      <c r="E901" s="0" t="n">
        <v>8073516094</v>
      </c>
      <c r="F901" s="0" t="s">
        <v>67</v>
      </c>
      <c r="G901" s="0" t="s">
        <v>2316</v>
      </c>
      <c r="H901" s="0" t="s">
        <v>2084</v>
      </c>
      <c r="I901" s="0" t="s">
        <v>45</v>
      </c>
      <c r="J901" s="0" t="s">
        <v>2322</v>
      </c>
      <c r="K901" s="3" t="str">
        <f aca="false" t="array" ref="K901:K901">IFERROR(IF(J901&lt;&gt;"",J901,INDEX(J901:J1900,MATCH(1,(F901:F1900=F901)*(I901:I1900=I901)*(L901:L1900=L901)*(J901:J1900&lt;&gt;""),0))),"Not Found")</f>
        <v>Brake Failure</v>
      </c>
      <c r="L901" s="3" t="s">
        <v>47</v>
      </c>
      <c r="M901" s="0" t="str">
        <f aca="false">PROPER(L901)</f>
        <v>None</v>
      </c>
      <c r="N901" s="3" t="s">
        <v>48</v>
      </c>
      <c r="O901" s="0" t="str">
        <f aca="false" t="array" ref="O901:O901">IF(N901&lt;&gt;"",N901,_xlfn.xlookup(1,(L901:L1900=L901)*(N901:N1900&lt;&gt;""),N901:N1900,"Not Found"))</f>
        <v>Uche</v>
      </c>
      <c r="P901" s="4" t="n">
        <v>21993</v>
      </c>
      <c r="Q901" s="0" t="s">
        <v>110</v>
      </c>
      <c r="R901" s="0" t="str">
        <f aca="false">PROPER(Q901)</f>
        <v>Cash</v>
      </c>
      <c r="S901" s="0" t="s">
        <v>63</v>
      </c>
      <c r="T901" s="0" t="n">
        <v>5</v>
      </c>
      <c r="U901" s="5" t="n">
        <f aca="false">IF(ISBLANK(T901),AVERAGE(T901:T1900),T901)</f>
        <v>5</v>
      </c>
      <c r="V901" s="0" t="n">
        <v>2.2</v>
      </c>
      <c r="W901" s="0" t="s">
        <v>51</v>
      </c>
      <c r="X901" s="0" t="str">
        <f aca="false">IF(ISBLANK(W901),"No remarks",W901)</f>
        <v>Recommended further checks</v>
      </c>
      <c r="Y901" s="0" t="s">
        <v>52</v>
      </c>
      <c r="AA901" s="0" t="str">
        <f aca="false">PROPER(IF(ISBLANK(Z901),"Location Unavailable",Z901))</f>
        <v>Location Unavailable</v>
      </c>
      <c r="AB901" s="0" t="s">
        <v>95</v>
      </c>
      <c r="AC901" s="6" t="str">
        <f aca="false">PROPER(AB901)</f>
        <v>Road Sign</v>
      </c>
      <c r="AD901" s="6" t="n">
        <v>60</v>
      </c>
      <c r="AE901" s="5" t="n">
        <f aca="false">IF(ISBLANK(AD901),AVERAGEIF(L901:L1900,L901,AD901:AD1900),AD901)</f>
        <v>60</v>
      </c>
      <c r="AF901" s="0" t="s">
        <v>55</v>
      </c>
      <c r="AG901" s="0" t="str">
        <f aca="false">PROPER(AF901)</f>
        <v>Available</v>
      </c>
      <c r="AH901" s="0" t="s">
        <v>56</v>
      </c>
      <c r="AI901" s="0" t="s">
        <v>113</v>
      </c>
      <c r="AJ901" s="0" t="str">
        <f aca="false">PROPER(AI901)</f>
        <v>Normal</v>
      </c>
      <c r="AK901" s="0" t="s">
        <v>196</v>
      </c>
      <c r="AL901" s="0" t="str">
        <f aca="false">PROPER(AK901)</f>
        <v>First Time</v>
      </c>
      <c r="AM901" s="0" t="s">
        <v>2324</v>
      </c>
      <c r="AN901" s="0" t="str">
        <f aca="false">IF(ISBLANK(AM901),"Unknown",AM901)</f>
        <v>Logistics Convoy</v>
      </c>
      <c r="AO901" s="0" t="s">
        <v>79</v>
      </c>
      <c r="AP901" s="0" t="str">
        <f aca="false">IF(ISBLANK(AO901),"Unknown",AO901)</f>
        <v>Specialist</v>
      </c>
      <c r="AQ901" s="0" t="n">
        <v>15000</v>
      </c>
      <c r="AR901" s="5" t="n">
        <f aca="false">IF(ISBLANK(AQ901),AVERAGEIF(M901:M1900,M901,AQ901:AQ1900),AQ901)</f>
        <v>15000</v>
      </c>
      <c r="AS901" s="0" t="n">
        <v>30000</v>
      </c>
      <c r="AT901" s="5" t="n">
        <f aca="false">IF(ISBLANK(AS901),AVERAGE(AS901:AS1900),AS901)</f>
        <v>30000</v>
      </c>
      <c r="AU901" s="0" t="s">
        <v>50</v>
      </c>
      <c r="AV901" s="0" t="str">
        <f aca="false">PROPER(IF(ISBLANK(AU901),"No",AU901))</f>
        <v>No</v>
      </c>
      <c r="AW901" s="0" t="n">
        <v>5000</v>
      </c>
      <c r="AX901" s="5" t="n">
        <f aca="false">IF(ISBLANK(AW901),0,AW901)</f>
        <v>5000</v>
      </c>
      <c r="AY901" s="0" t="s">
        <v>80</v>
      </c>
      <c r="AZ901" s="0" t="str">
        <f aca="false">UPPER(IF(ISBLANK(AY901),"NONE",AY901))</f>
        <v>PROMO10</v>
      </c>
      <c r="BA901" s="7" t="s">
        <v>315</v>
      </c>
      <c r="BB901" s="7" t="str">
        <f aca="false">IF(ISBLANK(BA901),"No Follow Up Needed",BA901)</f>
        <v>13/12/2025</v>
      </c>
      <c r="BC901" s="0" t="s">
        <v>61</v>
      </c>
      <c r="BD901" s="0" t="str">
        <f aca="false">PROPER(IF(ISBLANK(BC901),"Unknown",BC901))</f>
        <v>No</v>
      </c>
      <c r="BF901" s="0" t="str">
        <f aca="false">IF(ISBLANK(BE901),"No comments",BE901)</f>
        <v>No comments</v>
      </c>
      <c r="BG901" s="0" t="s">
        <v>2320</v>
      </c>
      <c r="BH901" s="0" t="str">
        <f aca="false">IF(ISBLANK(BG901),"No comments",BG901)</f>
        <v>No complaints</v>
      </c>
      <c r="BI901" s="0" t="s">
        <v>63</v>
      </c>
      <c r="BJ901" s="0" t="str">
        <f aca="false">IF(ISBLANK(BI901),"Not Mentioned",BI901)</f>
        <v>Yes</v>
      </c>
      <c r="BL901" s="0" t="str">
        <f aca="false">PROPER(IF(ISBLANK(BK901),"Not Mentioned",BK901))</f>
        <v>Not Mentioned</v>
      </c>
      <c r="BN901" s="0" t="str">
        <f aca="false">PROPER(IF(ISBLANK(BM901),"Not Mentioned",BM901))</f>
        <v>Not Mentioned</v>
      </c>
      <c r="BO901" s="0" t="s">
        <v>2321</v>
      </c>
      <c r="BP901" s="0" t="str">
        <f aca="false">IF(ISBLANK(BO901),"One-Time Plan",BO901)</f>
        <v>One-Time Plan</v>
      </c>
      <c r="BQ901" s="0" t="s">
        <v>198</v>
      </c>
      <c r="BR901" s="0" t="str">
        <f aca="false">PROPER(IF(ISBLANK(BQ901),"No",BQ901))</f>
        <v>Followed Up</v>
      </c>
    </row>
    <row r="902" customFormat="false" ht="15" hidden="false" customHeight="false" outlineLevel="0" collapsed="false">
      <c r="A902" s="0" t="s">
        <v>2085</v>
      </c>
      <c r="B902" s="2" t="n">
        <v>45778</v>
      </c>
      <c r="C902" s="2" t="str">
        <f aca="false">TEXT(B902,"dd/mm/yyyy")</f>
        <v>01/05/2025</v>
      </c>
      <c r="D902" s="0" t="s">
        <v>42</v>
      </c>
      <c r="E902" s="0" t="n">
        <v>8055235396</v>
      </c>
      <c r="F902" s="0" t="s">
        <v>139</v>
      </c>
      <c r="G902" s="0" t="s">
        <v>2323</v>
      </c>
      <c r="H902" s="0" t="s">
        <v>2086</v>
      </c>
      <c r="I902" s="0" t="s">
        <v>45</v>
      </c>
      <c r="J902" s="0" t="s">
        <v>87</v>
      </c>
      <c r="K902" s="3" t="str">
        <f aca="false" t="array" ref="K902:K902">IFERROR(IF(J902&lt;&gt;"",J902,INDEX(J902:J1901,MATCH(1,(F902:F1901=F902)*(I902:I1901=I902)*(L902:L1901=L902)*(J902:J1901&lt;&gt;""),0))),"Not Found")</f>
        <v>Oil Change</v>
      </c>
      <c r="L902" s="3" t="s">
        <v>108</v>
      </c>
      <c r="M902" s="0" t="str">
        <f aca="false">PROPER(L902)</f>
        <v>Timing Belt</v>
      </c>
      <c r="N902" s="3" t="s">
        <v>109</v>
      </c>
      <c r="O902" s="0" t="str">
        <f aca="false" t="array" ref="O902:O902">IF(N902&lt;&gt;"",N902,_xlfn.xlookup(1,(L902:L1901=L902)*(N902:N1901&lt;&gt;""),N902:N1901,"Not Found"))</f>
        <v>Tijani</v>
      </c>
      <c r="P902" s="4" t="n">
        <v>110218</v>
      </c>
      <c r="Q902" s="0" t="s">
        <v>166</v>
      </c>
      <c r="R902" s="0" t="str">
        <f aca="false">PROPER(Q902)</f>
        <v>Transfer</v>
      </c>
      <c r="S902" s="0" t="s">
        <v>63</v>
      </c>
      <c r="T902" s="0" t="n">
        <v>5</v>
      </c>
      <c r="U902" s="5" t="n">
        <f aca="false">IF(ISBLANK(T902),AVERAGE(T902:T1901),T902)</f>
        <v>5</v>
      </c>
      <c r="V902" s="0" t="n">
        <v>1.6</v>
      </c>
      <c r="W902" s="0" t="s">
        <v>92</v>
      </c>
      <c r="X902" s="0" t="str">
        <f aca="false">IF(ISBLANK(W902),"No remarks",W902)</f>
        <v>Urgent service</v>
      </c>
      <c r="Y902" s="0" t="s">
        <v>73</v>
      </c>
      <c r="Z902" s="0" t="s">
        <v>136</v>
      </c>
      <c r="AA902" s="0" t="str">
        <f aca="false">PROPER(IF(ISBLANK(Z902),"Location Unavailable",Z902))</f>
        <v>Vip Section</v>
      </c>
      <c r="AB902" s="0" t="s">
        <v>147</v>
      </c>
      <c r="AC902" s="6" t="str">
        <f aca="false">PROPER(AB902)</f>
        <v>Instagram</v>
      </c>
      <c r="AD902" s="6" t="n">
        <v>45</v>
      </c>
      <c r="AE902" s="5" t="n">
        <f aca="false">IF(ISBLANK(AD902),AVERAGEIF(L902:L1901,L902,AD902:AD1901),AD902)</f>
        <v>45</v>
      </c>
      <c r="AF902" s="0" t="s">
        <v>160</v>
      </c>
      <c r="AG902" s="0" t="str">
        <f aca="false">PROPER(AF902)</f>
        <v>Availaible</v>
      </c>
      <c r="AH902" s="0" t="s">
        <v>155</v>
      </c>
      <c r="AI902" s="0" t="s">
        <v>128</v>
      </c>
      <c r="AJ902" s="0" t="str">
        <f aca="false">PROPER(AI902)</f>
        <v>Normal</v>
      </c>
      <c r="AK902" s="0" t="s">
        <v>114</v>
      </c>
      <c r="AL902" s="0" t="str">
        <f aca="false">PROPER(AK902)</f>
        <v>Returning</v>
      </c>
      <c r="AN902" s="0" t="str">
        <f aca="false">IF(ISBLANK(AM902),"Unknown",AM902)</f>
        <v>Unknown</v>
      </c>
      <c r="AO902" s="0" t="s">
        <v>161</v>
      </c>
      <c r="AP902" s="0" t="str">
        <f aca="false">IF(ISBLANK(AO902),"Unknown",AO902)</f>
        <v>Apprentice</v>
      </c>
      <c r="AQ902" s="0" t="n">
        <v>40000</v>
      </c>
      <c r="AR902" s="5" t="n">
        <f aca="false">IF(ISBLANK(AQ902),AVERAGEIF(M902:M1901,M902,AQ902:AQ1901),AQ902)</f>
        <v>40000</v>
      </c>
      <c r="AT902" s="5" t="n">
        <f aca="false">IF(ISBLANK(AS902),AVERAGE(AS902:AS1901),AS902)</f>
        <v>31130.9523809524</v>
      </c>
      <c r="AU902" s="0" t="s">
        <v>50</v>
      </c>
      <c r="AV902" s="0" t="str">
        <f aca="false">PROPER(IF(ISBLANK(AU902),"No",AU902))</f>
        <v>No</v>
      </c>
      <c r="AW902" s="0" t="n">
        <v>5000</v>
      </c>
      <c r="AX902" s="5" t="n">
        <f aca="false">IF(ISBLANK(AW902),0,AW902)</f>
        <v>5000</v>
      </c>
      <c r="AZ902" s="0" t="str">
        <f aca="false">UPPER(IF(ISBLANK(AY902),"NONE",AY902))</f>
        <v>NONE</v>
      </c>
      <c r="BB902" s="7" t="str">
        <f aca="false">IF(ISBLANK(BA902),"No Follow Up Needed",BA902)</f>
        <v>No Follow Up Needed</v>
      </c>
      <c r="BC902" s="0" t="s">
        <v>61</v>
      </c>
      <c r="BD902" s="0" t="str">
        <f aca="false">PROPER(IF(ISBLANK(BC902),"Unknown",BC902))</f>
        <v>No</v>
      </c>
      <c r="BE902" s="0" t="s">
        <v>171</v>
      </c>
      <c r="BF902" s="0" t="str">
        <f aca="false">IF(ISBLANK(BE902),"No comments",BE902)</f>
        <v>Shock absorber weakening</v>
      </c>
      <c r="BH902" s="0" t="str">
        <f aca="false">IF(ISBLANK(BG902),"No comments",BG902)</f>
        <v>No comments</v>
      </c>
      <c r="BI902" s="0" t="s">
        <v>50</v>
      </c>
      <c r="BJ902" s="0" t="str">
        <f aca="false">IF(ISBLANK(BI902),"Not Mentioned",BI902)</f>
        <v>No</v>
      </c>
      <c r="BL902" s="0" t="str">
        <f aca="false">PROPER(IF(ISBLANK(BK902),"Not Mentioned",BK902))</f>
        <v>Not Mentioned</v>
      </c>
      <c r="BM902" s="0" t="s">
        <v>50</v>
      </c>
      <c r="BN902" s="0" t="str">
        <f aca="false">PROPER(IF(ISBLANK(BM902),"Not Mentioned",BM902))</f>
        <v>No</v>
      </c>
      <c r="BO902" s="0" t="s">
        <v>2321</v>
      </c>
      <c r="BP902" s="0" t="str">
        <f aca="false">IF(ISBLANK(BO902),"One-Time Plan",BO902)</f>
        <v>One-Time Plan</v>
      </c>
      <c r="BQ902" s="0" t="s">
        <v>190</v>
      </c>
      <c r="BR902" s="0" t="str">
        <f aca="false">PROPER(IF(ISBLANK(BQ902),"No",BQ902))</f>
        <v>Yes</v>
      </c>
    </row>
    <row r="903" customFormat="false" ht="15" hidden="false" customHeight="false" outlineLevel="0" collapsed="false">
      <c r="A903" s="0" t="s">
        <v>2087</v>
      </c>
      <c r="B903" s="2" t="n">
        <v>45754</v>
      </c>
      <c r="C903" s="2" t="str">
        <f aca="false">TEXT(B903,"dd/mm/yyyy")</f>
        <v>07/04/2025</v>
      </c>
      <c r="D903" s="0" t="s">
        <v>105</v>
      </c>
      <c r="E903" s="0" t="n">
        <v>8091117376</v>
      </c>
      <c r="F903" s="0" t="s">
        <v>43</v>
      </c>
      <c r="G903" s="0" t="s">
        <v>2315</v>
      </c>
      <c r="H903" s="0" t="s">
        <v>2088</v>
      </c>
      <c r="I903" s="0" t="s">
        <v>69</v>
      </c>
      <c r="J903" s="0" t="s">
        <v>2317</v>
      </c>
      <c r="K903" s="3" t="str">
        <f aca="false" t="array" ref="K903:K903">IFERROR(IF(J903&lt;&gt;"",J903,INDEX(J903:J1902,MATCH(1,(F903:F1902=F903)*(I903:I1902=I903)*(L903:L1902=L903)*(J903:J1902&lt;&gt;""),0))),"Not Found")</f>
        <v>Suspension Noise</v>
      </c>
      <c r="L903" s="3" t="s">
        <v>154</v>
      </c>
      <c r="M903" s="0" t="str">
        <f aca="false">PROPER(L903)</f>
        <v>Air Filter</v>
      </c>
      <c r="O903" s="0" t="e">
        <f aca="false" t="array" ref="O903:O903">IF(N903&lt;&gt;"",N903,_xlfn.xlookup(1,(L903:L1902=L903)*(N903:N1902&lt;&gt;""),N903:N1902,"Not Found"))</f>
        <v>#NAME?</v>
      </c>
      <c r="P903" s="4" t="n">
        <v>94928</v>
      </c>
      <c r="Q903" s="0" t="s">
        <v>72</v>
      </c>
      <c r="R903" s="0" t="str">
        <f aca="false">PROPER(Q903)</f>
        <v>Pos</v>
      </c>
      <c r="S903" s="0" t="s">
        <v>63</v>
      </c>
      <c r="T903" s="0" t="n">
        <v>1</v>
      </c>
      <c r="U903" s="5" t="n">
        <f aca="false">IF(ISBLANK(T903),AVERAGE(T903:T1902),T903)</f>
        <v>1</v>
      </c>
      <c r="V903" s="0" t="n">
        <v>1.5</v>
      </c>
      <c r="W903" s="0" t="s">
        <v>92</v>
      </c>
      <c r="X903" s="0" t="str">
        <f aca="false">IF(ISBLANK(W903),"No remarks",W903)</f>
        <v>Urgent service</v>
      </c>
      <c r="Y903" s="0" t="s">
        <v>93</v>
      </c>
      <c r="Z903" s="0" t="s">
        <v>94</v>
      </c>
      <c r="AA903" s="0" t="str">
        <f aca="false">PROPER(IF(ISBLANK(Z903),"Location Unavailable",Z903))</f>
        <v>Vip Section</v>
      </c>
      <c r="AB903" s="0" t="s">
        <v>75</v>
      </c>
      <c r="AC903" s="6" t="str">
        <f aca="false">PROPER(AB903)</f>
        <v>Mechanik Referal</v>
      </c>
      <c r="AD903" s="6" t="n">
        <v>45</v>
      </c>
      <c r="AE903" s="5" t="n">
        <f aca="false">IF(ISBLANK(AD903),AVERAGEIF(L903:L1902,L903,AD903:AD1902),AD903)</f>
        <v>45</v>
      </c>
      <c r="AF903" s="0" t="s">
        <v>55</v>
      </c>
      <c r="AG903" s="0" t="str">
        <f aca="false">PROPER(AF903)</f>
        <v>Available</v>
      </c>
      <c r="AH903" s="0" t="s">
        <v>155</v>
      </c>
      <c r="AI903" s="0" t="s">
        <v>98</v>
      </c>
      <c r="AJ903" s="0" t="str">
        <f aca="false">PROPER(AI903)</f>
        <v>Emergency</v>
      </c>
      <c r="AK903" s="0" t="s">
        <v>58</v>
      </c>
      <c r="AL903" s="0" t="str">
        <f aca="false">PROPER(AK903)</f>
        <v>Fleet Owner</v>
      </c>
      <c r="AM903" s="0" t="s">
        <v>177</v>
      </c>
      <c r="AN903" s="0" t="str">
        <f aca="false">IF(ISBLANK(AM903),"Unknown",AM903)</f>
        <v>Private</v>
      </c>
      <c r="AO903" s="0" t="s">
        <v>79</v>
      </c>
      <c r="AP903" s="0" t="str">
        <f aca="false">IF(ISBLANK(AO903),"Unknown",AO903)</f>
        <v>Specialist</v>
      </c>
      <c r="AR903" s="5" t="n">
        <f aca="false">IF(ISBLANK(AQ903),AVERAGEIF(M903:M1902,M903,AQ903:AQ1902),AQ903)</f>
        <v>25714.2857142857</v>
      </c>
      <c r="AS903" s="0" t="n">
        <v>35000</v>
      </c>
      <c r="AT903" s="5" t="n">
        <f aca="false">IF(ISBLANK(AS903),AVERAGE(AS903:AS1902),AS903)</f>
        <v>35000</v>
      </c>
      <c r="AU903" s="0" t="s">
        <v>63</v>
      </c>
      <c r="AV903" s="0" t="str">
        <f aca="false">PROPER(IF(ISBLANK(AU903),"No",AU903))</f>
        <v>Yes</v>
      </c>
      <c r="AW903" s="0" t="n">
        <v>5000</v>
      </c>
      <c r="AX903" s="5" t="n">
        <f aca="false">IF(ISBLANK(AW903),0,AW903)</f>
        <v>5000</v>
      </c>
      <c r="AY903" s="0" t="s">
        <v>130</v>
      </c>
      <c r="AZ903" s="0" t="str">
        <f aca="false">UPPER(IF(ISBLANK(AY903),"NONE",AY903))</f>
        <v>LOYALTY10</v>
      </c>
      <c r="BA903" s="7" t="s">
        <v>1432</v>
      </c>
      <c r="BB903" s="7" t="str">
        <f aca="false">IF(ISBLANK(BA903),"No Follow Up Needed",BA903)</f>
        <v>19/08/2025</v>
      </c>
      <c r="BC903" s="0" t="s">
        <v>61</v>
      </c>
      <c r="BD903" s="0" t="str">
        <f aca="false">PROPER(IF(ISBLANK(BC903),"Unknown",BC903))</f>
        <v>No</v>
      </c>
      <c r="BE903" s="0" t="s">
        <v>171</v>
      </c>
      <c r="BF903" s="0" t="str">
        <f aca="false">IF(ISBLANK(BE903),"No comments",BE903)</f>
        <v>Shock absorber weakening</v>
      </c>
      <c r="BH903" s="0" t="str">
        <f aca="false">IF(ISBLANK(BG903),"No comments",BG903)</f>
        <v>No comments</v>
      </c>
      <c r="BI903" s="0" t="s">
        <v>50</v>
      </c>
      <c r="BJ903" s="0" t="str">
        <f aca="false">IF(ISBLANK(BI903),"Not Mentioned",BI903)</f>
        <v>No</v>
      </c>
      <c r="BK903" s="0" t="s">
        <v>63</v>
      </c>
      <c r="BL903" s="0" t="str">
        <f aca="false">PROPER(IF(ISBLANK(BK903),"Not Mentioned",BK903))</f>
        <v>Yes</v>
      </c>
      <c r="BN903" s="0" t="str">
        <f aca="false">PROPER(IF(ISBLANK(BM903),"Not Mentioned",BM903))</f>
        <v>Not Mentioned</v>
      </c>
      <c r="BO903" s="0" t="s">
        <v>64</v>
      </c>
      <c r="BP903" s="0" t="str">
        <f aca="false">IF(ISBLANK(BO903),"One-Time Plan",BO903)</f>
        <v>Gold Maintenance Plan</v>
      </c>
      <c r="BR903" s="0" t="str">
        <f aca="false">PROPER(IF(ISBLANK(BQ903),"No",BQ903))</f>
        <v>No</v>
      </c>
    </row>
    <row r="904" customFormat="false" ht="15" hidden="false" customHeight="false" outlineLevel="0" collapsed="false">
      <c r="A904" s="0" t="s">
        <v>2089</v>
      </c>
      <c r="B904" s="2" t="n">
        <v>45757</v>
      </c>
      <c r="C904" s="2" t="str">
        <f aca="false">TEXT(B904,"dd/mm/yyyy")</f>
        <v>10/04/2025</v>
      </c>
      <c r="D904" s="0" t="s">
        <v>42</v>
      </c>
      <c r="E904" s="0" t="n">
        <v>8067640289</v>
      </c>
      <c r="F904" s="0" t="s">
        <v>43</v>
      </c>
      <c r="G904" s="0" t="s">
        <v>2315</v>
      </c>
      <c r="H904" s="0" t="s">
        <v>2090</v>
      </c>
      <c r="I904" s="0" t="s">
        <v>107</v>
      </c>
      <c r="J904" s="0" t="s">
        <v>2325</v>
      </c>
      <c r="K904" s="3" t="str">
        <f aca="false" t="array" ref="K904:K904">IFERROR(IF(J904&lt;&gt;"",J904,INDEX(J904:J1903,MATCH(1,(F904:F1903=F904)*(I904:I1903=I904)*(L904:L1903=L904)*(J904:J1903&lt;&gt;""),0))),"Not Found")</f>
        <v>Engine Knocking</v>
      </c>
      <c r="L904" s="3" t="s">
        <v>89</v>
      </c>
      <c r="M904" s="0" t="str">
        <f aca="false">PROPER(L904)</f>
        <v>Shock Absorbers</v>
      </c>
      <c r="N904" s="3" t="s">
        <v>109</v>
      </c>
      <c r="O904" s="0" t="str">
        <f aca="false" t="array" ref="O904:O904">IF(N904&lt;&gt;"",N904,_xlfn.xlookup(1,(L904:L1903=L904)*(N904:N1903&lt;&gt;""),N904:N1903,"Not Found"))</f>
        <v>Tijani</v>
      </c>
      <c r="P904" s="4" t="n">
        <v>97553</v>
      </c>
      <c r="Q904" s="0" t="s">
        <v>110</v>
      </c>
      <c r="R904" s="0" t="str">
        <f aca="false">PROPER(Q904)</f>
        <v>Cash</v>
      </c>
      <c r="S904" s="0" t="s">
        <v>63</v>
      </c>
      <c r="U904" s="5" t="n">
        <f aca="false">IF(ISBLANK(T904),AVERAGE(T904:T1903),T904)</f>
        <v>3.45121951219512</v>
      </c>
      <c r="V904" s="0" t="n">
        <v>5.2</v>
      </c>
      <c r="W904" s="0" t="s">
        <v>111</v>
      </c>
      <c r="X904" s="0" t="str">
        <f aca="false">IF(ISBLANK(W904),"No remarks",W904)</f>
        <v>Changed all filters</v>
      </c>
      <c r="Y904" s="0" t="s">
        <v>93</v>
      </c>
      <c r="Z904" s="0" t="s">
        <v>74</v>
      </c>
      <c r="AA904" s="0" t="str">
        <f aca="false">PROPER(IF(ISBLANK(Z904),"Location Unavailable",Z904))</f>
        <v>Under Tree</v>
      </c>
      <c r="AB904" s="0" t="s">
        <v>167</v>
      </c>
      <c r="AC904" s="6" t="str">
        <f aca="false">PROPER(AB904)</f>
        <v>Word Of Mouth</v>
      </c>
      <c r="AE904" s="5" t="n">
        <f aca="false">IF(ISBLANK(AD904),AVERAGEIF(L904:L1903,L904,AD904:AD1903),AD904)</f>
        <v>35</v>
      </c>
      <c r="AF904" s="0" t="s">
        <v>160</v>
      </c>
      <c r="AG904" s="0" t="str">
        <f aca="false">PROPER(AF904)</f>
        <v>Availaible</v>
      </c>
      <c r="AH904" s="0" t="s">
        <v>155</v>
      </c>
      <c r="AI904" s="0" t="s">
        <v>113</v>
      </c>
      <c r="AJ904" s="0" t="str">
        <f aca="false">PROPER(AI904)</f>
        <v>Normal</v>
      </c>
      <c r="AK904" s="0" t="s">
        <v>196</v>
      </c>
      <c r="AL904" s="0" t="str">
        <f aca="false">PROPER(AK904)</f>
        <v>First Time</v>
      </c>
      <c r="AM904" s="0" t="s">
        <v>59</v>
      </c>
      <c r="AN904" s="0" t="str">
        <f aca="false">IF(ISBLANK(AM904),"Unknown",AM904)</f>
        <v>Bolt Driver</v>
      </c>
      <c r="AO904" s="0" t="s">
        <v>79</v>
      </c>
      <c r="AP904" s="0" t="str">
        <f aca="false">IF(ISBLANK(AO904),"Unknown",AO904)</f>
        <v>Specialist</v>
      </c>
      <c r="AQ904" s="0" t="n">
        <v>30000</v>
      </c>
      <c r="AR904" s="5" t="n">
        <f aca="false">IF(ISBLANK(AQ904),AVERAGEIF(M904:M1903,M904,AQ904:AQ1903),AQ904)</f>
        <v>30000</v>
      </c>
      <c r="AS904" s="0" t="n">
        <v>30000</v>
      </c>
      <c r="AT904" s="5" t="n">
        <f aca="false">IF(ISBLANK(AS904),AVERAGE(AS904:AS1903),AS904)</f>
        <v>30000</v>
      </c>
      <c r="AU904" s="0" t="s">
        <v>61</v>
      </c>
      <c r="AV904" s="0" t="str">
        <f aca="false">PROPER(IF(ISBLANK(AU904),"No",AU904))</f>
        <v>No</v>
      </c>
      <c r="AW904" s="0" t="n">
        <v>5000</v>
      </c>
      <c r="AX904" s="5" t="n">
        <f aca="false">IF(ISBLANK(AW904),0,AW904)</f>
        <v>5000</v>
      </c>
      <c r="AY904" s="0" t="s">
        <v>130</v>
      </c>
      <c r="AZ904" s="0" t="str">
        <f aca="false">UPPER(IF(ISBLANK(AY904),"NONE",AY904))</f>
        <v>LOYALTY10</v>
      </c>
      <c r="BA904" s="7" t="n">
        <v>45757</v>
      </c>
      <c r="BB904" s="7" t="n">
        <f aca="false">IF(ISBLANK(BA904),"No Follow Up Needed",BA904)</f>
        <v>45757</v>
      </c>
      <c r="BC904" s="0" t="s">
        <v>61</v>
      </c>
      <c r="BD904" s="0" t="str">
        <f aca="false">PROPER(IF(ISBLANK(BC904),"Unknown",BC904))</f>
        <v>No</v>
      </c>
      <c r="BF904" s="0" t="str">
        <f aca="false">IF(ISBLANK(BE904),"No comments",BE904)</f>
        <v>No comments</v>
      </c>
      <c r="BG904" s="0" t="s">
        <v>172</v>
      </c>
      <c r="BH904" s="0" t="str">
        <f aca="false">IF(ISBLANK(BG904),"No comments",BG904)</f>
        <v>Always late</v>
      </c>
      <c r="BI904" s="0" t="s">
        <v>63</v>
      </c>
      <c r="BJ904" s="0" t="str">
        <f aca="false">IF(ISBLANK(BI904),"Not Mentioned",BI904)</f>
        <v>Yes</v>
      </c>
      <c r="BL904" s="0" t="str">
        <f aca="false">PROPER(IF(ISBLANK(BK904),"Not Mentioned",BK904))</f>
        <v>Not Mentioned</v>
      </c>
      <c r="BM904" s="0" t="s">
        <v>50</v>
      </c>
      <c r="BN904" s="0" t="str">
        <f aca="false">PROPER(IF(ISBLANK(BM904),"Not Mentioned",BM904))</f>
        <v>No</v>
      </c>
      <c r="BO904" s="0" t="s">
        <v>2318</v>
      </c>
      <c r="BP904" s="0" t="str">
        <f aca="false">IF(ISBLANK(BO904),"One-Time Plan",BO904)</f>
        <v>Gold</v>
      </c>
      <c r="BQ904" s="0" t="s">
        <v>198</v>
      </c>
      <c r="BR904" s="0" t="str">
        <f aca="false">PROPER(IF(ISBLANK(BQ904),"No",BQ904))</f>
        <v>Followed Up</v>
      </c>
    </row>
    <row r="905" customFormat="false" ht="15" hidden="false" customHeight="false" outlineLevel="0" collapsed="false">
      <c r="A905" s="0" t="s">
        <v>2091</v>
      </c>
      <c r="B905" s="2" t="s">
        <v>626</v>
      </c>
      <c r="C905" s="2" t="str">
        <f aca="false">TEXT(B905,"dd/mm/yyyy")</f>
        <v>26/01/2025</v>
      </c>
      <c r="D905" s="0" t="s">
        <v>66</v>
      </c>
      <c r="E905" s="0" t="n">
        <v>8055171003</v>
      </c>
      <c r="F905" s="0" t="s">
        <v>139</v>
      </c>
      <c r="G905" s="0" t="s">
        <v>2323</v>
      </c>
      <c r="H905" s="0" t="s">
        <v>2092</v>
      </c>
      <c r="I905" s="0" t="s">
        <v>134</v>
      </c>
      <c r="J905" s="0" t="s">
        <v>2317</v>
      </c>
      <c r="K905" s="3" t="str">
        <f aca="false" t="array" ref="K905:K905">IFERROR(IF(J905&lt;&gt;"",J905,INDEX(J905:J1904,MATCH(1,(F905:F1904=F905)*(I905:I1904=I905)*(L905:L1904=L905)*(J905:J1904&lt;&gt;""),0))),"Not Found")</f>
        <v>Suspension Noise</v>
      </c>
      <c r="L905" s="3" t="s">
        <v>89</v>
      </c>
      <c r="M905" s="0" t="str">
        <f aca="false">PROPER(L905)</f>
        <v>Shock Absorbers</v>
      </c>
      <c r="N905" s="3" t="s">
        <v>48</v>
      </c>
      <c r="O905" s="0" t="str">
        <f aca="false" t="array" ref="O905:O905">IF(N905&lt;&gt;"",N905,_xlfn.xlookup(1,(L905:L1904=L905)*(N905:N1904&lt;&gt;""),N905:N1904,"Not Found"))</f>
        <v>Uche</v>
      </c>
      <c r="P905" s="4" t="n">
        <v>21014</v>
      </c>
      <c r="Q905" s="0" t="s">
        <v>166</v>
      </c>
      <c r="R905" s="0" t="str">
        <f aca="false">PROPER(Q905)</f>
        <v>Transfer</v>
      </c>
      <c r="S905" s="0" t="s">
        <v>50</v>
      </c>
      <c r="T905" s="0" t="n">
        <v>3</v>
      </c>
      <c r="U905" s="5" t="n">
        <f aca="false">IF(ISBLANK(T905),AVERAGE(T905:T1904),T905)</f>
        <v>3</v>
      </c>
      <c r="V905" s="0" t="n">
        <v>5.8</v>
      </c>
      <c r="W905" s="0" t="s">
        <v>51</v>
      </c>
      <c r="X905" s="0" t="str">
        <f aca="false">IF(ISBLANK(W905),"No remarks",W905)</f>
        <v>Recommended further checks</v>
      </c>
      <c r="Y905" s="0" t="s">
        <v>73</v>
      </c>
      <c r="Z905" s="0" t="s">
        <v>136</v>
      </c>
      <c r="AA905" s="0" t="str">
        <f aca="false">PROPER(IF(ISBLANK(Z905),"Location Unavailable",Z905))</f>
        <v>Vip Section</v>
      </c>
      <c r="AB905" s="0" t="s">
        <v>95</v>
      </c>
      <c r="AC905" s="6" t="str">
        <f aca="false">PROPER(AB905)</f>
        <v>Road Sign</v>
      </c>
      <c r="AD905" s="6" t="n">
        <v>45</v>
      </c>
      <c r="AE905" s="5" t="n">
        <f aca="false">IF(ISBLANK(AD905),AVERAGEIF(L905:L1904,L905,AD905:AD1904),AD905)</f>
        <v>45</v>
      </c>
      <c r="AF905" s="0" t="s">
        <v>160</v>
      </c>
      <c r="AG905" s="0" t="str">
        <f aca="false">PROPER(AF905)</f>
        <v>Availaible</v>
      </c>
      <c r="AH905" s="0" t="s">
        <v>155</v>
      </c>
      <c r="AI905" s="0" t="s">
        <v>128</v>
      </c>
      <c r="AJ905" s="0" t="str">
        <f aca="false">PROPER(AI905)</f>
        <v>Normal</v>
      </c>
      <c r="AK905" s="0" t="s">
        <v>99</v>
      </c>
      <c r="AL905" s="0" t="str">
        <f aca="false">PROPER(AK905)</f>
        <v>Uber Driver</v>
      </c>
      <c r="AM905" s="0" t="s">
        <v>59</v>
      </c>
      <c r="AN905" s="0" t="str">
        <f aca="false">IF(ISBLANK(AM905),"Unknown",AM905)</f>
        <v>Bolt Driver</v>
      </c>
      <c r="AO905" s="0" t="s">
        <v>149</v>
      </c>
      <c r="AP905" s="0" t="str">
        <f aca="false">IF(ISBLANK(AO905),"Unknown",AO905)</f>
        <v>Senior </v>
      </c>
      <c r="AR905" s="5" t="n">
        <f aca="false">IF(ISBLANK(AQ905),AVERAGEIF(M905:M1904,M905,AQ905:AQ1904),AQ905)</f>
        <v>22222.2222222222</v>
      </c>
      <c r="AS905" s="0" t="n">
        <v>30000</v>
      </c>
      <c r="AT905" s="5" t="n">
        <f aca="false">IF(ISBLANK(AS905),AVERAGE(AS905:AS1904),AS905)</f>
        <v>30000</v>
      </c>
      <c r="AU905" s="0" t="s">
        <v>61</v>
      </c>
      <c r="AV905" s="0" t="str">
        <f aca="false">PROPER(IF(ISBLANK(AU905),"No",AU905))</f>
        <v>No</v>
      </c>
      <c r="AW905" s="0" t="n">
        <v>10000</v>
      </c>
      <c r="AX905" s="5" t="n">
        <f aca="false">IF(ISBLANK(AW905),0,AW905)</f>
        <v>10000</v>
      </c>
      <c r="AY905" s="0" t="s">
        <v>184</v>
      </c>
      <c r="AZ905" s="0" t="str">
        <f aca="false">UPPER(IF(ISBLANK(AY905),"NONE",AY905))</f>
        <v>N/A</v>
      </c>
      <c r="BA905" s="7" t="n">
        <v>45854</v>
      </c>
      <c r="BB905" s="7" t="n">
        <f aca="false">IF(ISBLANK(BA905),"No Follow Up Needed",BA905)</f>
        <v>45854</v>
      </c>
      <c r="BC905" s="0" t="s">
        <v>61</v>
      </c>
      <c r="BD905" s="0" t="str">
        <f aca="false">PROPER(IF(ISBLANK(BC905),"Unknown",BC905))</f>
        <v>No</v>
      </c>
      <c r="BE905" s="0" t="s">
        <v>171</v>
      </c>
      <c r="BF905" s="0" t="str">
        <f aca="false">IF(ISBLANK(BE905),"No comments",BE905)</f>
        <v>Shock absorber weakening</v>
      </c>
      <c r="BG905" s="0" t="s">
        <v>117</v>
      </c>
      <c r="BH905" s="0" t="str">
        <f aca="false">IF(ISBLANK(BG905),"No comments",BG905)</f>
        <v>Prefers morning</v>
      </c>
      <c r="BI905" s="0" t="s">
        <v>50</v>
      </c>
      <c r="BJ905" s="0" t="str">
        <f aca="false">IF(ISBLANK(BI905),"Not Mentioned",BI905)</f>
        <v>No</v>
      </c>
      <c r="BK905" s="0" t="s">
        <v>82</v>
      </c>
      <c r="BL905" s="0" t="str">
        <f aca="false">PROPER(IF(ISBLANK(BK905),"Not Mentioned",BK905))</f>
        <v>Yes</v>
      </c>
      <c r="BN905" s="0" t="str">
        <f aca="false">PROPER(IF(ISBLANK(BM905),"Not Mentioned",BM905))</f>
        <v>Not Mentioned</v>
      </c>
      <c r="BO905" s="0" t="s">
        <v>64</v>
      </c>
      <c r="BP905" s="0" t="str">
        <f aca="false">IF(ISBLANK(BO905),"One-Time Plan",BO905)</f>
        <v>Gold Maintenance Plan</v>
      </c>
      <c r="BQ905" s="0" t="s">
        <v>190</v>
      </c>
      <c r="BR905" s="0" t="str">
        <f aca="false">PROPER(IF(ISBLANK(BQ905),"No",BQ905))</f>
        <v>Yes</v>
      </c>
    </row>
    <row r="906" customFormat="false" ht="15" hidden="false" customHeight="false" outlineLevel="0" collapsed="false">
      <c r="A906" s="0" t="s">
        <v>2093</v>
      </c>
      <c r="B906" s="2" t="n">
        <v>45785</v>
      </c>
      <c r="C906" s="2" t="str">
        <f aca="false">TEXT(B906,"dd/mm/yyyy")</f>
        <v>08/05/2025</v>
      </c>
      <c r="D906" s="0" t="s">
        <v>121</v>
      </c>
      <c r="E906" s="0" t="n">
        <v>8059765936</v>
      </c>
      <c r="F906" s="0" t="s">
        <v>139</v>
      </c>
      <c r="G906" s="0" t="s">
        <v>2323</v>
      </c>
      <c r="H906" s="0" t="s">
        <v>2094</v>
      </c>
      <c r="I906" s="0" t="s">
        <v>134</v>
      </c>
      <c r="K906" s="3" t="str">
        <f aca="false" t="array" ref="K906:K906">IFERROR(IF(J906&lt;&gt;"",J906,INDEX(J906:J1905,MATCH(1,(F906:F1905=F906)*(I906:I1905=I906)*(L906:L1905=L906)*(J906:J1905&lt;&gt;""),0))),"Not Found")</f>
        <v>Brake Failure</v>
      </c>
      <c r="L906" s="3" t="s">
        <v>108</v>
      </c>
      <c r="M906" s="0" t="str">
        <f aca="false">PROPER(L906)</f>
        <v>Timing Belt</v>
      </c>
      <c r="O906" s="0" t="e">
        <f aca="false" t="array" ref="O906:O906">IF(N906&lt;&gt;"",N906,_xlfn.xlookup(1,(L906:L1905=L906)*(N906:N1905&lt;&gt;""),N906:N1905,"Not Found"))</f>
        <v>#NAME?</v>
      </c>
      <c r="P906" s="4" t="n">
        <v>30687</v>
      </c>
      <c r="Q906" s="0" t="s">
        <v>110</v>
      </c>
      <c r="R906" s="0" t="str">
        <f aca="false">PROPER(Q906)</f>
        <v>Cash</v>
      </c>
      <c r="S906" s="0" t="s">
        <v>50</v>
      </c>
      <c r="T906" s="0" t="n">
        <v>2</v>
      </c>
      <c r="U906" s="5" t="n">
        <f aca="false">IF(ISBLANK(T906),AVERAGE(T906:T1905),T906)</f>
        <v>2</v>
      </c>
      <c r="V906" s="0" t="n">
        <v>1.4</v>
      </c>
      <c r="W906" s="0" t="s">
        <v>111</v>
      </c>
      <c r="X906" s="0" t="str">
        <f aca="false">IF(ISBLANK(W906),"No remarks",W906)</f>
        <v>Changed all filters</v>
      </c>
      <c r="Y906" s="0" t="s">
        <v>73</v>
      </c>
      <c r="Z906" s="0" t="s">
        <v>94</v>
      </c>
      <c r="AA906" s="0" t="str">
        <f aca="false">PROPER(IF(ISBLANK(Z906),"Location Unavailable",Z906))</f>
        <v>Vip Section</v>
      </c>
      <c r="AB906" s="0" t="s">
        <v>147</v>
      </c>
      <c r="AC906" s="6" t="str">
        <f aca="false">PROPER(AB906)</f>
        <v>Instagram</v>
      </c>
      <c r="AD906" s="6" t="n">
        <v>60</v>
      </c>
      <c r="AE906" s="5" t="n">
        <f aca="false">IF(ISBLANK(AD906),AVERAGEIF(L906:L1905,L906,AD906:AD1905),AD906)</f>
        <v>60</v>
      </c>
      <c r="AF906" s="0" t="s">
        <v>160</v>
      </c>
      <c r="AG906" s="0" t="str">
        <f aca="false">PROPER(AF906)</f>
        <v>Availaible</v>
      </c>
      <c r="AH906" s="0" t="s">
        <v>155</v>
      </c>
      <c r="AI906" s="0" t="s">
        <v>128</v>
      </c>
      <c r="AJ906" s="0" t="str">
        <f aca="false">PROPER(AI906)</f>
        <v>Normal</v>
      </c>
      <c r="AK906" s="0" t="s">
        <v>196</v>
      </c>
      <c r="AL906" s="0" t="str">
        <f aca="false">PROPER(AK906)</f>
        <v>First Time</v>
      </c>
      <c r="AM906" s="0" t="s">
        <v>177</v>
      </c>
      <c r="AN906" s="0" t="str">
        <f aca="false">IF(ISBLANK(AM906),"Unknown",AM906)</f>
        <v>Private</v>
      </c>
      <c r="AO906" s="0" t="s">
        <v>149</v>
      </c>
      <c r="AP906" s="0" t="str">
        <f aca="false">IF(ISBLANK(AO906),"Unknown",AO906)</f>
        <v>Senior </v>
      </c>
      <c r="AQ906" s="0" t="n">
        <v>25000</v>
      </c>
      <c r="AR906" s="5" t="n">
        <f aca="false">IF(ISBLANK(AQ906),AVERAGEIF(M906:M1905,M906,AQ906:AQ1905),AQ906)</f>
        <v>25000</v>
      </c>
      <c r="AS906" s="0" t="n">
        <v>20000</v>
      </c>
      <c r="AT906" s="5" t="n">
        <f aca="false">IF(ISBLANK(AS906),AVERAGE(AS906:AS1905),AS906)</f>
        <v>20000</v>
      </c>
      <c r="AV906" s="0" t="str">
        <f aca="false">PROPER(IF(ISBLANK(AU906),"No",AU906))</f>
        <v>No</v>
      </c>
      <c r="AX906" s="5" t="n">
        <f aca="false">IF(ISBLANK(AW906),0,AW906)</f>
        <v>0</v>
      </c>
      <c r="AY906" s="0" t="s">
        <v>184</v>
      </c>
      <c r="AZ906" s="0" t="str">
        <f aca="false">UPPER(IF(ISBLANK(AY906),"NONE",AY906))</f>
        <v>N/A</v>
      </c>
      <c r="BB906" s="7" t="str">
        <f aca="false">IF(ISBLANK(BA906),"No Follow Up Needed",BA906)</f>
        <v>No Follow Up Needed</v>
      </c>
      <c r="BC906" s="0" t="s">
        <v>63</v>
      </c>
      <c r="BD906" s="0" t="str">
        <f aca="false">PROPER(IF(ISBLANK(BC906),"Unknown",BC906))</f>
        <v>Yes</v>
      </c>
      <c r="BE906" s="0" t="s">
        <v>116</v>
      </c>
      <c r="BF906" s="0" t="str">
        <f aca="false">IF(ISBLANK(BE906),"No comments",BE906)</f>
        <v>Needs tire alignment</v>
      </c>
      <c r="BG906" s="0" t="s">
        <v>2320</v>
      </c>
      <c r="BH906" s="0" t="str">
        <f aca="false">IF(ISBLANK(BG906),"No comments",BG906)</f>
        <v>No complaints</v>
      </c>
      <c r="BI906" s="0" t="s">
        <v>50</v>
      </c>
      <c r="BJ906" s="0" t="str">
        <f aca="false">IF(ISBLANK(BI906),"Not Mentioned",BI906)</f>
        <v>No</v>
      </c>
      <c r="BL906" s="0" t="str">
        <f aca="false">PROPER(IF(ISBLANK(BK906),"Not Mentioned",BK906))</f>
        <v>Not Mentioned</v>
      </c>
      <c r="BM906" s="0" t="s">
        <v>63</v>
      </c>
      <c r="BN906" s="0" t="str">
        <f aca="false">PROPER(IF(ISBLANK(BM906),"Not Mentioned",BM906))</f>
        <v>Yes</v>
      </c>
      <c r="BO906" s="0" t="s">
        <v>2321</v>
      </c>
      <c r="BP906" s="0" t="str">
        <f aca="false">IF(ISBLANK(BO906),"One-Time Plan",BO906)</f>
        <v>One-Time Plan</v>
      </c>
      <c r="BQ906" s="0" t="s">
        <v>50</v>
      </c>
      <c r="BR906" s="0" t="str">
        <f aca="false">PROPER(IF(ISBLANK(BQ906),"No",BQ906))</f>
        <v>No</v>
      </c>
    </row>
    <row r="907" customFormat="false" ht="15" hidden="false" customHeight="false" outlineLevel="0" collapsed="false">
      <c r="A907" s="0" t="s">
        <v>2095</v>
      </c>
      <c r="B907" s="2" t="s">
        <v>1200</v>
      </c>
      <c r="C907" s="2" t="str">
        <f aca="false">TEXT(B907,"dd/mm/yyyy")</f>
        <v>18/03/2025</v>
      </c>
      <c r="D907" s="0" t="s">
        <v>163</v>
      </c>
      <c r="E907" s="0" t="n">
        <v>8056047075</v>
      </c>
      <c r="F907" s="0" t="s">
        <v>139</v>
      </c>
      <c r="G907" s="0" t="s">
        <v>2323</v>
      </c>
      <c r="H907" s="0" t="s">
        <v>2096</v>
      </c>
      <c r="I907" s="0" t="s">
        <v>45</v>
      </c>
      <c r="J907" s="0" t="s">
        <v>2325</v>
      </c>
      <c r="K907" s="3" t="str">
        <f aca="false" t="array" ref="K907:K907">IFERROR(IF(J907&lt;&gt;"",J907,INDEX(J907:J1906,MATCH(1,(F907:F1906=F907)*(I907:I1906=I907)*(L907:L1906=L907)*(J907:J1906&lt;&gt;""),0))),"Not Found")</f>
        <v>Engine Knocking</v>
      </c>
      <c r="L907" s="3" t="s">
        <v>108</v>
      </c>
      <c r="M907" s="0" t="str">
        <f aca="false">PROPER(L907)</f>
        <v>Timing Belt</v>
      </c>
      <c r="N907" s="3" t="s">
        <v>71</v>
      </c>
      <c r="O907" s="0" t="str">
        <f aca="false" t="array" ref="O907:O907">IF(N907&lt;&gt;"",N907,_xlfn.xlookup(1,(L907:L1906=L907)*(N907:N1906&lt;&gt;""),N907:N1906,"Not Found"))</f>
        <v>Isaac Bobo</v>
      </c>
      <c r="P907" s="4" t="n">
        <v>76964</v>
      </c>
      <c r="Q907" s="0" t="s">
        <v>110</v>
      </c>
      <c r="R907" s="0" t="str">
        <f aca="false">PROPER(Q907)</f>
        <v>Cash</v>
      </c>
      <c r="S907" s="0" t="s">
        <v>63</v>
      </c>
      <c r="T907" s="0" t="n">
        <v>1</v>
      </c>
      <c r="U907" s="5" t="n">
        <f aca="false">IF(ISBLANK(T907),AVERAGE(T907:T1906),T907)</f>
        <v>1</v>
      </c>
      <c r="V907" s="0" t="n">
        <v>1.5</v>
      </c>
      <c r="W907" s="0" t="s">
        <v>92</v>
      </c>
      <c r="X907" s="0" t="str">
        <f aca="false">IF(ISBLANK(W907),"No remarks",W907)</f>
        <v>Urgent service</v>
      </c>
      <c r="Y907" s="0" t="s">
        <v>93</v>
      </c>
      <c r="AA907" s="0" t="str">
        <f aca="false">PROPER(IF(ISBLANK(Z907),"Location Unavailable",Z907))</f>
        <v>Location Unavailable</v>
      </c>
      <c r="AB907" s="0" t="s">
        <v>126</v>
      </c>
      <c r="AC907" s="6" t="str">
        <f aca="false">PROPER(AB907)</f>
        <v>Whatsapp</v>
      </c>
      <c r="AD907" s="6" t="n">
        <v>60</v>
      </c>
      <c r="AE907" s="5" t="n">
        <f aca="false">IF(ISBLANK(AD907),AVERAGEIF(L907:L1906,L907,AD907:AD1906),AD907)</f>
        <v>60</v>
      </c>
      <c r="AF907" s="0" t="s">
        <v>96</v>
      </c>
      <c r="AG907" s="0" t="str">
        <f aca="false">PROPER(AF907)</f>
        <v>Ordered</v>
      </c>
      <c r="AH907" s="0" t="s">
        <v>77</v>
      </c>
      <c r="AI907" s="0" t="s">
        <v>98</v>
      </c>
      <c r="AJ907" s="0" t="str">
        <f aca="false">PROPER(AI907)</f>
        <v>Emergency</v>
      </c>
      <c r="AK907" s="0" t="s">
        <v>99</v>
      </c>
      <c r="AL907" s="0" t="str">
        <f aca="false">PROPER(AK907)</f>
        <v>Uber Driver</v>
      </c>
      <c r="AM907" s="0" t="s">
        <v>2326</v>
      </c>
      <c r="AN907" s="0" t="str">
        <f aca="false">IF(ISBLANK(AM907),"Unknown",AM907)</f>
        <v>Government Convoy</v>
      </c>
      <c r="AO907" s="0" t="s">
        <v>161</v>
      </c>
      <c r="AP907" s="0" t="str">
        <f aca="false">IF(ISBLANK(AO907),"Unknown",AO907)</f>
        <v>Apprentice</v>
      </c>
      <c r="AQ907" s="0" t="n">
        <v>40000</v>
      </c>
      <c r="AR907" s="5" t="n">
        <f aca="false">IF(ISBLANK(AQ907),AVERAGEIF(M907:M1906,M907,AQ907:AQ1906),AQ907)</f>
        <v>40000</v>
      </c>
      <c r="AT907" s="5" t="n">
        <f aca="false">IF(ISBLANK(AS907),AVERAGE(AS907:AS1906),AS907)</f>
        <v>31250</v>
      </c>
      <c r="AU907" s="0" t="s">
        <v>82</v>
      </c>
      <c r="AV907" s="0" t="str">
        <f aca="false">PROPER(IF(ISBLANK(AU907),"No",AU907))</f>
        <v>Yes</v>
      </c>
      <c r="AW907" s="0" t="n">
        <v>5000</v>
      </c>
      <c r="AX907" s="5" t="n">
        <f aca="false">IF(ISBLANK(AW907),0,AW907)</f>
        <v>5000</v>
      </c>
      <c r="AY907" s="0" t="s">
        <v>130</v>
      </c>
      <c r="AZ907" s="0" t="str">
        <f aca="false">UPPER(IF(ISBLANK(AY907),"NONE",AY907))</f>
        <v>LOYALTY10</v>
      </c>
      <c r="BA907" s="7" t="s">
        <v>559</v>
      </c>
      <c r="BB907" s="7" t="str">
        <f aca="false">IF(ISBLANK(BA907),"No Follow Up Needed",BA907)</f>
        <v>20/10/2025</v>
      </c>
      <c r="BD907" s="0" t="str">
        <f aca="false">PROPER(IF(ISBLANK(BC907),"Unknown",BC907))</f>
        <v>Unknown</v>
      </c>
      <c r="BF907" s="0" t="str">
        <f aca="false">IF(ISBLANK(BE907),"No comments",BE907)</f>
        <v>No comments</v>
      </c>
      <c r="BG907" s="0" t="s">
        <v>172</v>
      </c>
      <c r="BH907" s="0" t="str">
        <f aca="false">IF(ISBLANK(BG907),"No comments",BG907)</f>
        <v>Always late</v>
      </c>
      <c r="BJ907" s="0" t="str">
        <f aca="false">IF(ISBLANK(BI907),"Not Mentioned",BI907)</f>
        <v>Not Mentioned</v>
      </c>
      <c r="BK907" s="0" t="s">
        <v>50</v>
      </c>
      <c r="BL907" s="0" t="str">
        <f aca="false">PROPER(IF(ISBLANK(BK907),"Not Mentioned",BK907))</f>
        <v>No</v>
      </c>
      <c r="BM907" s="0" t="s">
        <v>63</v>
      </c>
      <c r="BN907" s="0" t="str">
        <f aca="false">PROPER(IF(ISBLANK(BM907),"Not Mentioned",BM907))</f>
        <v>Yes</v>
      </c>
      <c r="BO907" s="0" t="s">
        <v>64</v>
      </c>
      <c r="BP907" s="0" t="str">
        <f aca="false">IF(ISBLANK(BO907),"One-Time Plan",BO907)</f>
        <v>Gold Maintenance Plan</v>
      </c>
      <c r="BR907" s="0" t="str">
        <f aca="false">PROPER(IF(ISBLANK(BQ907),"No",BQ907))</f>
        <v>No</v>
      </c>
    </row>
    <row r="908" customFormat="false" ht="15" hidden="false" customHeight="false" outlineLevel="0" collapsed="false">
      <c r="A908" s="0" t="s">
        <v>2097</v>
      </c>
      <c r="B908" s="2" t="n">
        <v>45709</v>
      </c>
      <c r="C908" s="2" t="str">
        <f aca="false">TEXT(B908,"dd/mm/yyyy")</f>
        <v>21/02/2025</v>
      </c>
      <c r="D908" s="0" t="s">
        <v>121</v>
      </c>
      <c r="E908" s="0" t="n">
        <v>8052308622</v>
      </c>
      <c r="F908" s="0" t="s">
        <v>139</v>
      </c>
      <c r="G908" s="0" t="s">
        <v>2323</v>
      </c>
      <c r="H908" s="0" t="s">
        <v>2098</v>
      </c>
      <c r="I908" s="0" t="s">
        <v>87</v>
      </c>
      <c r="J908" s="0" t="s">
        <v>2317</v>
      </c>
      <c r="K908" s="3" t="str">
        <f aca="false" t="array" ref="K908:K908">IFERROR(IF(J908&lt;&gt;"",J908,INDEX(J908:J1907,MATCH(1,(F908:F1907=F908)*(I908:I1907=I908)*(L908:L1907=L908)*(J908:J1907&lt;&gt;""),0))),"Not Found")</f>
        <v>Suspension Noise</v>
      </c>
      <c r="L908" s="3" t="s">
        <v>108</v>
      </c>
      <c r="M908" s="0" t="str">
        <f aca="false">PROPER(L908)</f>
        <v>Timing Belt</v>
      </c>
      <c r="N908" s="3" t="s">
        <v>71</v>
      </c>
      <c r="O908" s="0" t="str">
        <f aca="false" t="array" ref="O908:O908">IF(N908&lt;&gt;"",N908,_xlfn.xlookup(1,(L908:L1907=L908)*(N908:N1907&lt;&gt;""),N908:N1907,"Not Found"))</f>
        <v>Isaac Bobo</v>
      </c>
      <c r="P908" s="4" t="n">
        <v>75494</v>
      </c>
      <c r="Q908" s="0" t="s">
        <v>166</v>
      </c>
      <c r="R908" s="0" t="str">
        <f aca="false">PROPER(Q908)</f>
        <v>Transfer</v>
      </c>
      <c r="S908" s="0" t="s">
        <v>50</v>
      </c>
      <c r="T908" s="0" t="n">
        <v>5</v>
      </c>
      <c r="U908" s="5" t="n">
        <f aca="false">IF(ISBLANK(T908),AVERAGE(T908:T1907),T908)</f>
        <v>5</v>
      </c>
      <c r="V908" s="0" t="n">
        <v>5.4</v>
      </c>
      <c r="W908" s="0" t="s">
        <v>125</v>
      </c>
      <c r="X908" s="0" t="str">
        <f aca="false">IF(ISBLANK(W908),"No remarks",W908)</f>
        <v>Customer waited</v>
      </c>
      <c r="Y908" s="0" t="s">
        <v>93</v>
      </c>
      <c r="Z908" s="0" t="s">
        <v>94</v>
      </c>
      <c r="AA908" s="0" t="str">
        <f aca="false">PROPER(IF(ISBLANK(Z908),"Location Unavailable",Z908))</f>
        <v>Vip Section</v>
      </c>
      <c r="AB908" s="0" t="s">
        <v>167</v>
      </c>
      <c r="AC908" s="6" t="str">
        <f aca="false">PROPER(AB908)</f>
        <v>Word Of Mouth</v>
      </c>
      <c r="AD908" s="6" t="n">
        <v>45</v>
      </c>
      <c r="AE908" s="5" t="n">
        <f aca="false">IF(ISBLANK(AD908),AVERAGEIF(L908:L1907,L908,AD908:AD1907),AD908)</f>
        <v>45</v>
      </c>
      <c r="AF908" s="0" t="s">
        <v>55</v>
      </c>
      <c r="AG908" s="0" t="str">
        <f aca="false">PROPER(AF908)</f>
        <v>Available</v>
      </c>
      <c r="AH908" s="0" t="s">
        <v>148</v>
      </c>
      <c r="AI908" s="0" t="s">
        <v>98</v>
      </c>
      <c r="AJ908" s="0" t="str">
        <f aca="false">PROPER(AI908)</f>
        <v>Emergency</v>
      </c>
      <c r="AK908" s="0" t="s">
        <v>99</v>
      </c>
      <c r="AL908" s="0" t="str">
        <f aca="false">PROPER(AK908)</f>
        <v>Uber Driver</v>
      </c>
      <c r="AN908" s="0" t="str">
        <f aca="false">IF(ISBLANK(AM908),"Unknown",AM908)</f>
        <v>Unknown</v>
      </c>
      <c r="AO908" s="0" t="s">
        <v>79</v>
      </c>
      <c r="AP908" s="0" t="str">
        <f aca="false">IF(ISBLANK(AO908),"Unknown",AO908)</f>
        <v>Specialist</v>
      </c>
      <c r="AQ908" s="0" t="n">
        <v>40000</v>
      </c>
      <c r="AR908" s="5" t="n">
        <f aca="false">IF(ISBLANK(AQ908),AVERAGEIF(M908:M1907,M908,AQ908:AQ1907),AQ908)</f>
        <v>40000</v>
      </c>
      <c r="AS908" s="0" t="n">
        <v>40000</v>
      </c>
      <c r="AT908" s="5" t="n">
        <f aca="false">IF(ISBLANK(AS908),AVERAGE(AS908:AS1907),AS908)</f>
        <v>40000</v>
      </c>
      <c r="AU908" s="0" t="s">
        <v>50</v>
      </c>
      <c r="AV908" s="0" t="str">
        <f aca="false">PROPER(IF(ISBLANK(AU908),"No",AU908))</f>
        <v>No</v>
      </c>
      <c r="AW908" s="0" t="n">
        <v>5000</v>
      </c>
      <c r="AX908" s="5" t="n">
        <f aca="false">IF(ISBLANK(AW908),0,AW908)</f>
        <v>5000</v>
      </c>
      <c r="AY908" s="0" t="s">
        <v>60</v>
      </c>
      <c r="AZ908" s="0" t="str">
        <f aca="false">UPPER(IF(ISBLANK(AY908),"NONE",AY908))</f>
        <v>NONE</v>
      </c>
      <c r="BA908" s="7" t="n">
        <v>45840</v>
      </c>
      <c r="BB908" s="7" t="n">
        <f aca="false">IF(ISBLANK(BA908),"No Follow Up Needed",BA908)</f>
        <v>45840</v>
      </c>
      <c r="BC908" s="0" t="s">
        <v>82</v>
      </c>
      <c r="BD908" s="0" t="str">
        <f aca="false">PROPER(IF(ISBLANK(BC908),"Unknown",BC908))</f>
        <v>Yes</v>
      </c>
      <c r="BE908" s="0" t="s">
        <v>171</v>
      </c>
      <c r="BF908" s="0" t="str">
        <f aca="false">IF(ISBLANK(BE908),"No comments",BE908)</f>
        <v>Shock absorber weakening</v>
      </c>
      <c r="BG908" s="0" t="s">
        <v>117</v>
      </c>
      <c r="BH908" s="0" t="str">
        <f aca="false">IF(ISBLANK(BG908),"No comments",BG908)</f>
        <v>Prefers morning</v>
      </c>
      <c r="BI908" s="0" t="s">
        <v>63</v>
      </c>
      <c r="BJ908" s="0" t="str">
        <f aca="false">IF(ISBLANK(BI908),"Not Mentioned",BI908)</f>
        <v>Yes</v>
      </c>
      <c r="BK908" s="0" t="s">
        <v>63</v>
      </c>
      <c r="BL908" s="0" t="str">
        <f aca="false">PROPER(IF(ISBLANK(BK908),"Not Mentioned",BK908))</f>
        <v>Yes</v>
      </c>
      <c r="BM908" s="0" t="s">
        <v>50</v>
      </c>
      <c r="BN908" s="0" t="str">
        <f aca="false">PROPER(IF(ISBLANK(BM908),"Not Mentioned",BM908))</f>
        <v>No</v>
      </c>
      <c r="BO908" s="0" t="s">
        <v>64</v>
      </c>
      <c r="BP908" s="0" t="str">
        <f aca="false">IF(ISBLANK(BO908),"One-Time Plan",BO908)</f>
        <v>Gold Maintenance Plan</v>
      </c>
      <c r="BQ908" s="0" t="s">
        <v>198</v>
      </c>
      <c r="BR908" s="0" t="str">
        <f aca="false">PROPER(IF(ISBLANK(BQ908),"No",BQ908))</f>
        <v>Followed Up</v>
      </c>
    </row>
    <row r="909" customFormat="false" ht="15" hidden="false" customHeight="false" outlineLevel="0" collapsed="false">
      <c r="A909" s="0" t="s">
        <v>2099</v>
      </c>
      <c r="B909" s="2" t="s">
        <v>225</v>
      </c>
      <c r="C909" s="2" t="str">
        <f aca="false">TEXT(B909,"dd/mm/yyyy")</f>
        <v>24/02/2025</v>
      </c>
      <c r="D909" s="0" t="s">
        <v>66</v>
      </c>
      <c r="E909" s="0" t="n">
        <v>8042158168</v>
      </c>
      <c r="F909" s="0" t="s">
        <v>85</v>
      </c>
      <c r="G909" s="0" t="s">
        <v>2319</v>
      </c>
      <c r="H909" s="0" t="s">
        <v>2100</v>
      </c>
      <c r="I909" s="0" t="s">
        <v>87</v>
      </c>
      <c r="J909" s="0" t="s">
        <v>2325</v>
      </c>
      <c r="K909" s="3" t="str">
        <f aca="false" t="array" ref="K909:K909">IFERROR(IF(J909&lt;&gt;"",J909,INDEX(J909:J1908,MATCH(1,(F909:F1908=F909)*(I909:I1908=I909)*(L909:L1908=L909)*(J909:J1908&lt;&gt;""),0))),"Not Found")</f>
        <v>Engine Knocking</v>
      </c>
      <c r="L909" s="3" t="s">
        <v>108</v>
      </c>
      <c r="M909" s="0" t="str">
        <f aca="false">PROPER(L909)</f>
        <v>Timing Belt</v>
      </c>
      <c r="N909" s="3" t="s">
        <v>90</v>
      </c>
      <c r="O909" s="0" t="str">
        <f aca="false" t="array" ref="O909:O909">IF(N909&lt;&gt;"",N909,_xlfn.xlookup(1,(L909:L1908=L909)*(N909:N1908&lt;&gt;""),N909:N1908,"Not Found"))</f>
        <v>Musa</v>
      </c>
      <c r="P909" s="4" t="n">
        <v>98387</v>
      </c>
      <c r="Q909" s="0" t="s">
        <v>124</v>
      </c>
      <c r="R909" s="0" t="str">
        <f aca="false">PROPER(Q909)</f>
        <v>Cash</v>
      </c>
      <c r="S909" s="0" t="s">
        <v>50</v>
      </c>
      <c r="T909" s="0" t="n">
        <v>2</v>
      </c>
      <c r="U909" s="5" t="n">
        <f aca="false">IF(ISBLANK(T909),AVERAGE(T909:T1908),T909)</f>
        <v>2</v>
      </c>
      <c r="V909" s="0" t="n">
        <v>2.6</v>
      </c>
      <c r="W909" s="0" t="s">
        <v>51</v>
      </c>
      <c r="X909" s="0" t="str">
        <f aca="false">IF(ISBLANK(W909),"No remarks",W909)</f>
        <v>Recommended further checks</v>
      </c>
      <c r="Y909" s="0" t="s">
        <v>73</v>
      </c>
      <c r="Z909" s="0" t="s">
        <v>159</v>
      </c>
      <c r="AA909" s="0" t="str">
        <f aca="false">PROPER(IF(ISBLANK(Z909),"Location Unavailable",Z909))</f>
        <v>Main Bay</v>
      </c>
      <c r="AB909" s="0" t="s">
        <v>167</v>
      </c>
      <c r="AC909" s="6" t="str">
        <f aca="false">PROPER(AB909)</f>
        <v>Word Of Mouth</v>
      </c>
      <c r="AD909" s="6" t="n">
        <v>45</v>
      </c>
      <c r="AE909" s="5" t="n">
        <f aca="false">IF(ISBLANK(AD909),AVERAGEIF(L909:L1908,L909,AD909:AD1908),AD909)</f>
        <v>45</v>
      </c>
      <c r="AF909" s="0" t="s">
        <v>160</v>
      </c>
      <c r="AG909" s="0" t="str">
        <f aca="false">PROPER(AF909)</f>
        <v>Availaible</v>
      </c>
      <c r="AH909" s="0" t="s">
        <v>155</v>
      </c>
      <c r="AI909" s="0" t="s">
        <v>78</v>
      </c>
      <c r="AJ909" s="0" t="str">
        <f aca="false">PROPER(AI909)</f>
        <v>Booking</v>
      </c>
      <c r="AK909" s="0" t="s">
        <v>196</v>
      </c>
      <c r="AL909" s="0" t="str">
        <f aca="false">PROPER(AK909)</f>
        <v>First Time</v>
      </c>
      <c r="AM909" s="0" t="s">
        <v>2326</v>
      </c>
      <c r="AN909" s="0" t="str">
        <f aca="false">IF(ISBLANK(AM909),"Unknown",AM909)</f>
        <v>Government Convoy</v>
      </c>
      <c r="AO909" s="0" t="s">
        <v>79</v>
      </c>
      <c r="AP909" s="0" t="str">
        <f aca="false">IF(ISBLANK(AO909),"Unknown",AO909)</f>
        <v>Specialist</v>
      </c>
      <c r="AQ909" s="0" t="n">
        <v>30000</v>
      </c>
      <c r="AR909" s="5" t="n">
        <f aca="false">IF(ISBLANK(AQ909),AVERAGEIF(M909:M1908,M909,AQ909:AQ1908),AQ909)</f>
        <v>30000</v>
      </c>
      <c r="AT909" s="5" t="n">
        <f aca="false">IF(ISBLANK(AS909),AVERAGE(AS909:AS1908),AS909)</f>
        <v>31139.2405063291</v>
      </c>
      <c r="AU909" s="0" t="s">
        <v>82</v>
      </c>
      <c r="AV909" s="0" t="str">
        <f aca="false">PROPER(IF(ISBLANK(AU909),"No",AU909))</f>
        <v>Yes</v>
      </c>
      <c r="AW909" s="0" t="n">
        <v>5000</v>
      </c>
      <c r="AX909" s="5" t="n">
        <f aca="false">IF(ISBLANK(AW909),0,AW909)</f>
        <v>5000</v>
      </c>
      <c r="AY909" s="0" t="s">
        <v>80</v>
      </c>
      <c r="AZ909" s="0" t="str">
        <f aca="false">UPPER(IF(ISBLANK(AY909),"NONE",AY909))</f>
        <v>PROMO10</v>
      </c>
      <c r="BA909" s="7" t="s">
        <v>1097</v>
      </c>
      <c r="BB909" s="7" t="str">
        <f aca="false">IF(ISBLANK(BA909),"No Follow Up Needed",BA909)</f>
        <v>22/10/2025</v>
      </c>
      <c r="BC909" s="0" t="s">
        <v>50</v>
      </c>
      <c r="BD909" s="0" t="str">
        <f aca="false">PROPER(IF(ISBLANK(BC909),"Unknown",BC909))</f>
        <v>No</v>
      </c>
      <c r="BF909" s="0" t="str">
        <f aca="false">IF(ISBLANK(BE909),"No comments",BE909)</f>
        <v>No comments</v>
      </c>
      <c r="BH909" s="0" t="str">
        <f aca="false">IF(ISBLANK(BG909),"No comments",BG909)</f>
        <v>No comments</v>
      </c>
      <c r="BI909" s="0" t="s">
        <v>50</v>
      </c>
      <c r="BJ909" s="0" t="str">
        <f aca="false">IF(ISBLANK(BI909),"Not Mentioned",BI909)</f>
        <v>No</v>
      </c>
      <c r="BK909" s="0" t="s">
        <v>61</v>
      </c>
      <c r="BL909" s="0" t="str">
        <f aca="false">PROPER(IF(ISBLANK(BK909),"Not Mentioned",BK909))</f>
        <v>No</v>
      </c>
      <c r="BN909" s="0" t="str">
        <f aca="false">PROPER(IF(ISBLANK(BM909),"Not Mentioned",BM909))</f>
        <v>Not Mentioned</v>
      </c>
      <c r="BO909" s="0" t="s">
        <v>2318</v>
      </c>
      <c r="BP909" s="0" t="str">
        <f aca="false">IF(ISBLANK(BO909),"One-Time Plan",BO909)</f>
        <v>Gold</v>
      </c>
      <c r="BQ909" s="0" t="s">
        <v>198</v>
      </c>
      <c r="BR909" s="0" t="str">
        <f aca="false">PROPER(IF(ISBLANK(BQ909),"No",BQ909))</f>
        <v>Followed Up</v>
      </c>
    </row>
    <row r="910" customFormat="false" ht="15" hidden="false" customHeight="false" outlineLevel="0" collapsed="false">
      <c r="A910" s="0" t="s">
        <v>2101</v>
      </c>
      <c r="B910" s="2" t="s">
        <v>1200</v>
      </c>
      <c r="C910" s="2" t="str">
        <f aca="false">TEXT(B910,"dd/mm/yyyy")</f>
        <v>18/03/2025</v>
      </c>
      <c r="D910" s="0" t="s">
        <v>42</v>
      </c>
      <c r="E910" s="0" t="n">
        <v>8058480869</v>
      </c>
      <c r="F910" s="0" t="s">
        <v>43</v>
      </c>
      <c r="G910" s="0" t="s">
        <v>2315</v>
      </c>
      <c r="H910" s="0" t="s">
        <v>2102</v>
      </c>
      <c r="I910" s="0" t="s">
        <v>87</v>
      </c>
      <c r="J910" s="0" t="s">
        <v>2325</v>
      </c>
      <c r="K910" s="3" t="str">
        <f aca="false" t="array" ref="K910:K910">IFERROR(IF(J910&lt;&gt;"",J910,INDEX(J910:J1909,MATCH(1,(F910:F1909=F910)*(I910:I1909=I910)*(L910:L1909=L910)*(J910:J1909&lt;&gt;""),0))),"Not Found")</f>
        <v>Engine Knocking</v>
      </c>
      <c r="L910" s="3" t="s">
        <v>47</v>
      </c>
      <c r="M910" s="0" t="str">
        <f aca="false">PROPER(L910)</f>
        <v>None</v>
      </c>
      <c r="N910" s="3" t="s">
        <v>48</v>
      </c>
      <c r="O910" s="0" t="str">
        <f aca="false" t="array" ref="O910:O910">IF(N910&lt;&gt;"",N910,_xlfn.xlookup(1,(L910:L1909=L910)*(N910:N1909&lt;&gt;""),N910:N1909,"Not Found"))</f>
        <v>Uche</v>
      </c>
      <c r="P910" s="4" t="n">
        <v>117104</v>
      </c>
      <c r="Q910" s="0" t="s">
        <v>49</v>
      </c>
      <c r="R910" s="0" t="str">
        <f aca="false">PROPER(Q910)</f>
        <v>Transfer</v>
      </c>
      <c r="S910" s="0" t="s">
        <v>50</v>
      </c>
      <c r="T910" s="0" t="n">
        <v>4</v>
      </c>
      <c r="U910" s="5" t="n">
        <f aca="false">IF(ISBLANK(T910),AVERAGE(T910:T1909),T910)</f>
        <v>4</v>
      </c>
      <c r="V910" s="0" t="n">
        <v>4.3</v>
      </c>
      <c r="W910" s="0" t="s">
        <v>92</v>
      </c>
      <c r="X910" s="0" t="str">
        <f aca="false">IF(ISBLANK(W910),"No remarks",W910)</f>
        <v>Urgent service</v>
      </c>
      <c r="Y910" s="0" t="s">
        <v>93</v>
      </c>
      <c r="Z910" s="0" t="s">
        <v>74</v>
      </c>
      <c r="AA910" s="0" t="str">
        <f aca="false">PROPER(IF(ISBLANK(Z910),"Location Unavailable",Z910))</f>
        <v>Under Tree</v>
      </c>
      <c r="AB910" s="0" t="s">
        <v>95</v>
      </c>
      <c r="AC910" s="6" t="str">
        <f aca="false">PROPER(AB910)</f>
        <v>Road Sign</v>
      </c>
      <c r="AD910" s="6" t="n">
        <v>15</v>
      </c>
      <c r="AE910" s="5" t="n">
        <f aca="false">IF(ISBLANK(AD910),AVERAGEIF(L910:L1909,L910,AD910:AD1909),AD910)</f>
        <v>15</v>
      </c>
      <c r="AF910" s="0" t="s">
        <v>76</v>
      </c>
      <c r="AG910" s="0" t="str">
        <f aca="false">PROPER(AF910)</f>
        <v>Orderd</v>
      </c>
      <c r="AH910" s="0" t="s">
        <v>77</v>
      </c>
      <c r="AI910" s="0" t="s">
        <v>98</v>
      </c>
      <c r="AJ910" s="0" t="str">
        <f aca="false">PROPER(AI910)</f>
        <v>Emergency</v>
      </c>
      <c r="AK910" s="0" t="s">
        <v>99</v>
      </c>
      <c r="AL910" s="0" t="str">
        <f aca="false">PROPER(AK910)</f>
        <v>Uber Driver</v>
      </c>
      <c r="AN910" s="0" t="str">
        <f aca="false">IF(ISBLANK(AM910),"Unknown",AM910)</f>
        <v>Unknown</v>
      </c>
      <c r="AP910" s="0" t="str">
        <f aca="false">IF(ISBLANK(AO910),"Unknown",AO910)</f>
        <v>Unknown</v>
      </c>
      <c r="AQ910" s="0" t="n">
        <v>30000</v>
      </c>
      <c r="AR910" s="5" t="n">
        <f aca="false">IF(ISBLANK(AQ910),AVERAGEIF(M910:M1909,M910,AQ910:AQ1909),AQ910)</f>
        <v>30000</v>
      </c>
      <c r="AS910" s="0" t="n">
        <v>30000</v>
      </c>
      <c r="AT910" s="5" t="n">
        <f aca="false">IF(ISBLANK(AS910),AVERAGE(AS910:AS1909),AS910)</f>
        <v>30000</v>
      </c>
      <c r="AU910" s="0" t="s">
        <v>61</v>
      </c>
      <c r="AV910" s="0" t="str">
        <f aca="false">PROPER(IF(ISBLANK(AU910),"No",AU910))</f>
        <v>No</v>
      </c>
      <c r="AW910" s="0" t="n">
        <v>5000</v>
      </c>
      <c r="AX910" s="5" t="n">
        <f aca="false">IF(ISBLANK(AW910),0,AW910)</f>
        <v>5000</v>
      </c>
      <c r="AY910" s="0" t="s">
        <v>80</v>
      </c>
      <c r="AZ910" s="0" t="str">
        <f aca="false">UPPER(IF(ISBLANK(AY910),"NONE",AY910))</f>
        <v>PROMO10</v>
      </c>
      <c r="BA910" s="7" t="n">
        <v>45882</v>
      </c>
      <c r="BB910" s="7" t="n">
        <f aca="false">IF(ISBLANK(BA910),"No Follow Up Needed",BA910)</f>
        <v>45882</v>
      </c>
      <c r="BC910" s="0" t="s">
        <v>82</v>
      </c>
      <c r="BD910" s="0" t="str">
        <f aca="false">PROPER(IF(ISBLANK(BC910),"Unknown",BC910))</f>
        <v>Yes</v>
      </c>
      <c r="BF910" s="0" t="str">
        <f aca="false">IF(ISBLANK(BE910),"No comments",BE910)</f>
        <v>No comments</v>
      </c>
      <c r="BH910" s="0" t="str">
        <f aca="false">IF(ISBLANK(BG910),"No comments",BG910)</f>
        <v>No comments</v>
      </c>
      <c r="BI910" s="0" t="s">
        <v>63</v>
      </c>
      <c r="BJ910" s="0" t="str">
        <f aca="false">IF(ISBLANK(BI910),"Not Mentioned",BI910)</f>
        <v>Yes</v>
      </c>
      <c r="BK910" s="0" t="s">
        <v>50</v>
      </c>
      <c r="BL910" s="0" t="str">
        <f aca="false">PROPER(IF(ISBLANK(BK910),"Not Mentioned",BK910))</f>
        <v>No</v>
      </c>
      <c r="BM910" s="0" t="s">
        <v>63</v>
      </c>
      <c r="BN910" s="0" t="str">
        <f aca="false">PROPER(IF(ISBLANK(BM910),"Not Mentioned",BM910))</f>
        <v>Yes</v>
      </c>
      <c r="BO910" s="0" t="s">
        <v>2318</v>
      </c>
      <c r="BP910" s="0" t="str">
        <f aca="false">IF(ISBLANK(BO910),"One-Time Plan",BO910)</f>
        <v>Gold</v>
      </c>
      <c r="BR910" s="0" t="str">
        <f aca="false">PROPER(IF(ISBLANK(BQ910),"No",BQ910))</f>
        <v>No</v>
      </c>
    </row>
    <row r="911" customFormat="false" ht="15" hidden="false" customHeight="false" outlineLevel="0" collapsed="false">
      <c r="A911" s="0" t="s">
        <v>2103</v>
      </c>
      <c r="B911" s="2" t="n">
        <v>45681</v>
      </c>
      <c r="C911" s="2" t="str">
        <f aca="false">TEXT(B911,"dd/mm/yyyy")</f>
        <v>24/01/2025</v>
      </c>
      <c r="D911" s="0" t="s">
        <v>121</v>
      </c>
      <c r="E911" s="0" t="n">
        <v>8099265296</v>
      </c>
      <c r="F911" s="0" t="s">
        <v>67</v>
      </c>
      <c r="G911" s="0" t="s">
        <v>2316</v>
      </c>
      <c r="H911" s="0" t="s">
        <v>2104</v>
      </c>
      <c r="I911" s="0" t="s">
        <v>107</v>
      </c>
      <c r="J911" s="0" t="s">
        <v>2317</v>
      </c>
      <c r="K911" s="3" t="str">
        <f aca="false" t="array" ref="K911:K911">IFERROR(IF(J911&lt;&gt;"",J911,INDEX(J911:J1910,MATCH(1,(F911:F1910=F911)*(I911:I1910=I911)*(L911:L1910=L911)*(J911:J1910&lt;&gt;""),0))),"Not Found")</f>
        <v>Suspension Noise</v>
      </c>
      <c r="L911" s="3" t="s">
        <v>189</v>
      </c>
      <c r="M911" s="0" t="str">
        <f aca="false">PROPER(L911)</f>
        <v>Battery</v>
      </c>
      <c r="N911" s="3" t="s">
        <v>71</v>
      </c>
      <c r="O911" s="0" t="str">
        <f aca="false" t="array" ref="O911:O911">IF(N911&lt;&gt;"",N911,_xlfn.xlookup(1,(L911:L1910=L911)*(N911:N1910&lt;&gt;""),N911:N1910,"Not Found"))</f>
        <v>Isaac Bobo</v>
      </c>
      <c r="P911" s="4" t="n">
        <v>87388</v>
      </c>
      <c r="Q911" s="0" t="s">
        <v>166</v>
      </c>
      <c r="R911" s="0" t="str">
        <f aca="false">PROPER(Q911)</f>
        <v>Transfer</v>
      </c>
      <c r="S911" s="0" t="s">
        <v>50</v>
      </c>
      <c r="T911" s="0" t="n">
        <v>5</v>
      </c>
      <c r="U911" s="5" t="n">
        <f aca="false">IF(ISBLANK(T911),AVERAGE(T911:T1910),T911)</f>
        <v>5</v>
      </c>
      <c r="V911" s="0" t="n">
        <v>3.8</v>
      </c>
      <c r="W911" s="0" t="s">
        <v>51</v>
      </c>
      <c r="X911" s="0" t="str">
        <f aca="false">IF(ISBLANK(W911),"No remarks",W911)</f>
        <v>Recommended further checks</v>
      </c>
      <c r="Y911" s="0" t="s">
        <v>73</v>
      </c>
      <c r="Z911" s="0" t="s">
        <v>94</v>
      </c>
      <c r="AA911" s="0" t="str">
        <f aca="false">PROPER(IF(ISBLANK(Z911),"Location Unavailable",Z911))</f>
        <v>Vip Section</v>
      </c>
      <c r="AB911" s="0" t="s">
        <v>126</v>
      </c>
      <c r="AC911" s="6" t="str">
        <f aca="false">PROPER(AB911)</f>
        <v>Whatsapp</v>
      </c>
      <c r="AD911" s="6" t="n">
        <v>60</v>
      </c>
      <c r="AE911" s="5" t="n">
        <f aca="false">IF(ISBLANK(AD911),AVERAGEIF(L911:L1910,L911,AD911:AD1910),AD911)</f>
        <v>60</v>
      </c>
      <c r="AF911" s="0" t="s">
        <v>160</v>
      </c>
      <c r="AG911" s="0" t="str">
        <f aca="false">PROPER(AF911)</f>
        <v>Availaible</v>
      </c>
      <c r="AH911" s="0" t="s">
        <v>155</v>
      </c>
      <c r="AI911" s="0" t="s">
        <v>128</v>
      </c>
      <c r="AJ911" s="0" t="str">
        <f aca="false">PROPER(AI911)</f>
        <v>Normal</v>
      </c>
      <c r="AK911" s="0" t="s">
        <v>196</v>
      </c>
      <c r="AL911" s="0" t="str">
        <f aca="false">PROPER(AK911)</f>
        <v>First Time</v>
      </c>
      <c r="AN911" s="0" t="str">
        <f aca="false">IF(ISBLANK(AM911),"Unknown",AM911)</f>
        <v>Unknown</v>
      </c>
      <c r="AO911" s="0" t="s">
        <v>79</v>
      </c>
      <c r="AP911" s="0" t="str">
        <f aca="false">IF(ISBLANK(AO911),"Unknown",AO911)</f>
        <v>Specialist</v>
      </c>
      <c r="AQ911" s="0" t="n">
        <v>25000</v>
      </c>
      <c r="AR911" s="5" t="n">
        <f aca="false">IF(ISBLANK(AQ911),AVERAGEIF(M911:M1910,M911,AQ911:AQ1910),AQ911)</f>
        <v>25000</v>
      </c>
      <c r="AS911" s="0" t="n">
        <v>35000</v>
      </c>
      <c r="AT911" s="5" t="n">
        <f aca="false">IF(ISBLANK(AS911),AVERAGE(AS911:AS1910),AS911)</f>
        <v>35000</v>
      </c>
      <c r="AU911" s="0" t="s">
        <v>50</v>
      </c>
      <c r="AV911" s="0" t="str">
        <f aca="false">PROPER(IF(ISBLANK(AU911),"No",AU911))</f>
        <v>No</v>
      </c>
      <c r="AW911" s="0" t="n">
        <v>5000</v>
      </c>
      <c r="AX911" s="5" t="n">
        <f aca="false">IF(ISBLANK(AW911),0,AW911)</f>
        <v>5000</v>
      </c>
      <c r="AY911" s="0" t="s">
        <v>80</v>
      </c>
      <c r="AZ911" s="0" t="str">
        <f aca="false">UPPER(IF(ISBLANK(AY911),"NONE",AY911))</f>
        <v>PROMO10</v>
      </c>
      <c r="BB911" s="7" t="str">
        <f aca="false">IF(ISBLANK(BA911),"No Follow Up Needed",BA911)</f>
        <v>No Follow Up Needed</v>
      </c>
      <c r="BD911" s="0" t="str">
        <f aca="false">PROPER(IF(ISBLANK(BC911),"Unknown",BC911))</f>
        <v>Unknown</v>
      </c>
      <c r="BE911" s="0" t="s">
        <v>171</v>
      </c>
      <c r="BF911" s="0" t="str">
        <f aca="false">IF(ISBLANK(BE911),"No comments",BE911)</f>
        <v>Shock absorber weakening</v>
      </c>
      <c r="BG911" s="0" t="s">
        <v>2320</v>
      </c>
      <c r="BH911" s="0" t="str">
        <f aca="false">IF(ISBLANK(BG911),"No comments",BG911)</f>
        <v>No complaints</v>
      </c>
      <c r="BI911" s="0" t="s">
        <v>63</v>
      </c>
      <c r="BJ911" s="0" t="str">
        <f aca="false">IF(ISBLANK(BI911),"Not Mentioned",BI911)</f>
        <v>Yes</v>
      </c>
      <c r="BK911" s="0" t="s">
        <v>61</v>
      </c>
      <c r="BL911" s="0" t="str">
        <f aca="false">PROPER(IF(ISBLANK(BK911),"Not Mentioned",BK911))</f>
        <v>No</v>
      </c>
      <c r="BN911" s="0" t="str">
        <f aca="false">PROPER(IF(ISBLANK(BM911),"Not Mentioned",BM911))</f>
        <v>Not Mentioned</v>
      </c>
      <c r="BO911" s="0" t="s">
        <v>64</v>
      </c>
      <c r="BP911" s="0" t="str">
        <f aca="false">IF(ISBLANK(BO911),"One-Time Plan",BO911)</f>
        <v>Gold Maintenance Plan</v>
      </c>
      <c r="BQ911" s="0" t="s">
        <v>50</v>
      </c>
      <c r="BR911" s="0" t="str">
        <f aca="false">PROPER(IF(ISBLANK(BQ911),"No",BQ911))</f>
        <v>No</v>
      </c>
    </row>
    <row r="912" customFormat="false" ht="15" hidden="false" customHeight="false" outlineLevel="0" collapsed="false">
      <c r="A912" s="0" t="s">
        <v>2105</v>
      </c>
      <c r="B912" s="2" t="s">
        <v>458</v>
      </c>
      <c r="C912" s="2" t="str">
        <f aca="false">TEXT(B912,"dd/mm/yyyy")</f>
        <v>25/01/2025</v>
      </c>
      <c r="D912" s="0" t="s">
        <v>105</v>
      </c>
      <c r="E912" s="0" t="n">
        <v>8063481919</v>
      </c>
      <c r="F912" s="0" t="s">
        <v>67</v>
      </c>
      <c r="G912" s="0" t="s">
        <v>2316</v>
      </c>
      <c r="H912" s="0" t="s">
        <v>2106</v>
      </c>
      <c r="I912" s="0" t="s">
        <v>107</v>
      </c>
      <c r="J912" s="0" t="s">
        <v>2317</v>
      </c>
      <c r="K912" s="3" t="str">
        <f aca="false" t="array" ref="K912:K912">IFERROR(IF(J912&lt;&gt;"",J912,INDEX(J912:J1911,MATCH(1,(F912:F1911=F912)*(I912:I1911=I912)*(L912:L1911=L912)*(J912:J1911&lt;&gt;""),0))),"Not Found")</f>
        <v>Suspension Noise</v>
      </c>
      <c r="L912" s="3" t="s">
        <v>47</v>
      </c>
      <c r="M912" s="0" t="str">
        <f aca="false">PROPER(L912)</f>
        <v>None</v>
      </c>
      <c r="N912" s="3" t="s">
        <v>109</v>
      </c>
      <c r="O912" s="0" t="str">
        <f aca="false" t="array" ref="O912:O912">IF(N912&lt;&gt;"",N912,_xlfn.xlookup(1,(L912:L1911=L912)*(N912:N1911&lt;&gt;""),N912:N1911,"Not Found"))</f>
        <v>Tijani</v>
      </c>
      <c r="P912" s="4" t="n">
        <v>45443</v>
      </c>
      <c r="Q912" s="0" t="s">
        <v>91</v>
      </c>
      <c r="R912" s="0" t="str">
        <f aca="false">PROPER(Q912)</f>
        <v>Pos</v>
      </c>
      <c r="S912" s="0" t="s">
        <v>50</v>
      </c>
      <c r="T912" s="0" t="n">
        <v>4</v>
      </c>
      <c r="U912" s="5" t="n">
        <f aca="false">IF(ISBLANK(T912),AVERAGE(T912:T1911),T912)</f>
        <v>4</v>
      </c>
      <c r="V912" s="0" t="n">
        <v>2.8</v>
      </c>
      <c r="W912" s="0" t="s">
        <v>92</v>
      </c>
      <c r="X912" s="0" t="str">
        <f aca="false">IF(ISBLANK(W912),"No remarks",W912)</f>
        <v>Urgent service</v>
      </c>
      <c r="Y912" s="0" t="s">
        <v>73</v>
      </c>
      <c r="AA912" s="0" t="str">
        <f aca="false">PROPER(IF(ISBLANK(Z912),"Location Unavailable",Z912))</f>
        <v>Location Unavailable</v>
      </c>
      <c r="AB912" s="0" t="s">
        <v>126</v>
      </c>
      <c r="AC912" s="6" t="str">
        <f aca="false">PROPER(AB912)</f>
        <v>Whatsapp</v>
      </c>
      <c r="AD912" s="6" t="n">
        <v>45</v>
      </c>
      <c r="AE912" s="5" t="n">
        <f aca="false">IF(ISBLANK(AD912),AVERAGEIF(L912:L1911,L912,AD912:AD1911),AD912)</f>
        <v>45</v>
      </c>
      <c r="AF912" s="0" t="s">
        <v>55</v>
      </c>
      <c r="AG912" s="0" t="str">
        <f aca="false">PROPER(AF912)</f>
        <v>Available</v>
      </c>
      <c r="AH912" s="0" t="s">
        <v>155</v>
      </c>
      <c r="AI912" s="0" t="s">
        <v>98</v>
      </c>
      <c r="AJ912" s="0" t="str">
        <f aca="false">PROPER(AI912)</f>
        <v>Emergency</v>
      </c>
      <c r="AK912" s="0" t="s">
        <v>114</v>
      </c>
      <c r="AL912" s="0" t="str">
        <f aca="false">PROPER(AK912)</f>
        <v>Returning</v>
      </c>
      <c r="AN912" s="0" t="str">
        <f aca="false">IF(ISBLANK(AM912),"Unknown",AM912)</f>
        <v>Unknown</v>
      </c>
      <c r="AO912" s="0" t="s">
        <v>79</v>
      </c>
      <c r="AP912" s="0" t="str">
        <f aca="false">IF(ISBLANK(AO912),"Unknown",AO912)</f>
        <v>Specialist</v>
      </c>
      <c r="AQ912" s="0" t="n">
        <v>30000</v>
      </c>
      <c r="AR912" s="5" t="n">
        <f aca="false">IF(ISBLANK(AQ912),AVERAGEIF(M912:M1911,M912,AQ912:AQ1911),AQ912)</f>
        <v>30000</v>
      </c>
      <c r="AS912" s="0" t="n">
        <v>20000</v>
      </c>
      <c r="AT912" s="5" t="n">
        <f aca="false">IF(ISBLANK(AS912),AVERAGE(AS912:AS1911),AS912)</f>
        <v>20000</v>
      </c>
      <c r="AV912" s="0" t="str">
        <f aca="false">PROPER(IF(ISBLANK(AU912),"No",AU912))</f>
        <v>No</v>
      </c>
      <c r="AW912" s="0" t="n">
        <v>5000</v>
      </c>
      <c r="AX912" s="5" t="n">
        <f aca="false">IF(ISBLANK(AW912),0,AW912)</f>
        <v>5000</v>
      </c>
      <c r="AY912" s="0" t="s">
        <v>184</v>
      </c>
      <c r="AZ912" s="0" t="str">
        <f aca="false">UPPER(IF(ISBLANK(AY912),"NONE",AY912))</f>
        <v>N/A</v>
      </c>
      <c r="BB912" s="7" t="str">
        <f aca="false">IF(ISBLANK(BA912),"No Follow Up Needed",BA912)</f>
        <v>No Follow Up Needed</v>
      </c>
      <c r="BC912" s="0" t="s">
        <v>61</v>
      </c>
      <c r="BD912" s="0" t="str">
        <f aca="false">PROPER(IF(ISBLANK(BC912),"Unknown",BC912))</f>
        <v>No</v>
      </c>
      <c r="BF912" s="0" t="str">
        <f aca="false">IF(ISBLANK(BE912),"No comments",BE912)</f>
        <v>No comments</v>
      </c>
      <c r="BG912" s="0" t="s">
        <v>2320</v>
      </c>
      <c r="BH912" s="0" t="str">
        <f aca="false">IF(ISBLANK(BG912),"No comments",BG912)</f>
        <v>No complaints</v>
      </c>
      <c r="BJ912" s="0" t="str">
        <f aca="false">IF(ISBLANK(BI912),"Not Mentioned",BI912)</f>
        <v>Not Mentioned</v>
      </c>
      <c r="BK912" s="0" t="s">
        <v>63</v>
      </c>
      <c r="BL912" s="0" t="str">
        <f aca="false">PROPER(IF(ISBLANK(BK912),"Not Mentioned",BK912))</f>
        <v>Yes</v>
      </c>
      <c r="BN912" s="0" t="str">
        <f aca="false">PROPER(IF(ISBLANK(BM912),"Not Mentioned",BM912))</f>
        <v>Not Mentioned</v>
      </c>
      <c r="BO912" s="0" t="s">
        <v>64</v>
      </c>
      <c r="BP912" s="0" t="str">
        <f aca="false">IF(ISBLANK(BO912),"One-Time Plan",BO912)</f>
        <v>Gold Maintenance Plan</v>
      </c>
      <c r="BQ912" s="0" t="s">
        <v>190</v>
      </c>
      <c r="BR912" s="0" t="str">
        <f aca="false">PROPER(IF(ISBLANK(BQ912),"No",BQ912))</f>
        <v>Yes</v>
      </c>
    </row>
    <row r="913" customFormat="false" ht="15" hidden="false" customHeight="false" outlineLevel="0" collapsed="false">
      <c r="A913" s="0" t="s">
        <v>2107</v>
      </c>
      <c r="B913" s="2" t="n">
        <v>45803</v>
      </c>
      <c r="C913" s="2" t="str">
        <f aca="false">TEXT(B913,"dd/mm/yyyy")</f>
        <v>26/05/2025</v>
      </c>
      <c r="D913" s="0" t="s">
        <v>66</v>
      </c>
      <c r="E913" s="0" t="n">
        <v>8060792779</v>
      </c>
      <c r="F913" s="0" t="s">
        <v>139</v>
      </c>
      <c r="G913" s="0" t="s">
        <v>2323</v>
      </c>
      <c r="H913" s="0" t="s">
        <v>2108</v>
      </c>
      <c r="I913" s="0" t="s">
        <v>134</v>
      </c>
      <c r="J913" s="0" t="s">
        <v>87</v>
      </c>
      <c r="K913" s="3" t="str">
        <f aca="false" t="array" ref="K913:K913">IFERROR(IF(J913&lt;&gt;"",J913,INDEX(J913:J1912,MATCH(1,(F913:F1912=F913)*(I913:I1912=I913)*(L913:L1912=L913)*(J913:J1912&lt;&gt;""),0))),"Not Found")</f>
        <v>Oil Change</v>
      </c>
      <c r="L913" s="3" t="s">
        <v>154</v>
      </c>
      <c r="M913" s="0" t="str">
        <f aca="false">PROPER(L913)</f>
        <v>Air Filter</v>
      </c>
      <c r="N913" s="3" t="s">
        <v>71</v>
      </c>
      <c r="O913" s="0" t="str">
        <f aca="false" t="array" ref="O913:O913">IF(N913&lt;&gt;"",N913,_xlfn.xlookup(1,(L913:L1912=L913)*(N913:N1912&lt;&gt;""),N913:N1912,"Not Found"))</f>
        <v>Isaac Bobo</v>
      </c>
      <c r="P913" s="4" t="n">
        <v>113738</v>
      </c>
      <c r="Q913" s="0" t="s">
        <v>124</v>
      </c>
      <c r="R913" s="0" t="str">
        <f aca="false">PROPER(Q913)</f>
        <v>Cash</v>
      </c>
      <c r="S913" s="0" t="s">
        <v>63</v>
      </c>
      <c r="T913" s="0" t="n">
        <v>4</v>
      </c>
      <c r="U913" s="5" t="n">
        <f aca="false">IF(ISBLANK(T913),AVERAGE(T913:T1912),T913)</f>
        <v>4</v>
      </c>
      <c r="V913" s="0" t="n">
        <v>2.3</v>
      </c>
      <c r="W913" s="0" t="s">
        <v>125</v>
      </c>
      <c r="X913" s="0" t="str">
        <f aca="false">IF(ISBLANK(W913),"No remarks",W913)</f>
        <v>Customer waited</v>
      </c>
      <c r="Y913" s="0" t="s">
        <v>93</v>
      </c>
      <c r="Z913" s="0" t="s">
        <v>94</v>
      </c>
      <c r="AA913" s="0" t="str">
        <f aca="false">PROPER(IF(ISBLANK(Z913),"Location Unavailable",Z913))</f>
        <v>Vip Section</v>
      </c>
      <c r="AB913" s="0" t="s">
        <v>147</v>
      </c>
      <c r="AC913" s="6" t="str">
        <f aca="false">PROPER(AB913)</f>
        <v>Instagram</v>
      </c>
      <c r="AD913" s="6" t="n">
        <v>30</v>
      </c>
      <c r="AE913" s="5" t="n">
        <f aca="false">IF(ISBLANK(AD913),AVERAGEIF(L913:L1912,L913,AD913:AD1912),AD913)</f>
        <v>30</v>
      </c>
      <c r="AF913" s="0" t="s">
        <v>55</v>
      </c>
      <c r="AG913" s="0" t="str">
        <f aca="false">PROPER(AF913)</f>
        <v>Available</v>
      </c>
      <c r="AH913" s="0" t="s">
        <v>77</v>
      </c>
      <c r="AI913" s="0" t="s">
        <v>113</v>
      </c>
      <c r="AJ913" s="0" t="str">
        <f aca="false">PROPER(AI913)</f>
        <v>Normal</v>
      </c>
      <c r="AK913" s="0" t="s">
        <v>196</v>
      </c>
      <c r="AL913" s="0" t="str">
        <f aca="false">PROPER(AK913)</f>
        <v>First Time</v>
      </c>
      <c r="AN913" s="0" t="str">
        <f aca="false">IF(ISBLANK(AM913),"Unknown",AM913)</f>
        <v>Unknown</v>
      </c>
      <c r="AP913" s="0" t="str">
        <f aca="false">IF(ISBLANK(AO913),"Unknown",AO913)</f>
        <v>Unknown</v>
      </c>
      <c r="AR913" s="5" t="n">
        <f aca="false">IF(ISBLANK(AQ913),AVERAGEIF(M913:M1912,M913,AQ913:AQ1912),AQ913)</f>
        <v>25714.2857142857</v>
      </c>
      <c r="AS913" s="0" t="n">
        <v>30000</v>
      </c>
      <c r="AT913" s="5" t="n">
        <f aca="false">IF(ISBLANK(AS913),AVERAGE(AS913:AS1912),AS913)</f>
        <v>30000</v>
      </c>
      <c r="AU913" s="0" t="s">
        <v>82</v>
      </c>
      <c r="AV913" s="0" t="str">
        <f aca="false">PROPER(IF(ISBLANK(AU913),"No",AU913))</f>
        <v>Yes</v>
      </c>
      <c r="AX913" s="5" t="n">
        <f aca="false">IF(ISBLANK(AW913),0,AW913)</f>
        <v>0</v>
      </c>
      <c r="AY913" s="0" t="s">
        <v>184</v>
      </c>
      <c r="AZ913" s="0" t="str">
        <f aca="false">UPPER(IF(ISBLANK(AY913),"NONE",AY913))</f>
        <v>N/A</v>
      </c>
      <c r="BA913" s="7" t="n">
        <v>45951</v>
      </c>
      <c r="BB913" s="7" t="n">
        <f aca="false">IF(ISBLANK(BA913),"No Follow Up Needed",BA913)</f>
        <v>45951</v>
      </c>
      <c r="BC913" s="0" t="s">
        <v>63</v>
      </c>
      <c r="BD913" s="0" t="str">
        <f aca="false">PROPER(IF(ISBLANK(BC913),"Unknown",BC913))</f>
        <v>Yes</v>
      </c>
      <c r="BE913" s="0" t="s">
        <v>116</v>
      </c>
      <c r="BF913" s="0" t="str">
        <f aca="false">IF(ISBLANK(BE913),"No comments",BE913)</f>
        <v>Needs tire alignment</v>
      </c>
      <c r="BG913" s="0" t="s">
        <v>117</v>
      </c>
      <c r="BH913" s="0" t="str">
        <f aca="false">IF(ISBLANK(BG913),"No comments",BG913)</f>
        <v>Prefers morning</v>
      </c>
      <c r="BI913" s="0" t="s">
        <v>50</v>
      </c>
      <c r="BJ913" s="0" t="str">
        <f aca="false">IF(ISBLANK(BI913),"Not Mentioned",BI913)</f>
        <v>No</v>
      </c>
      <c r="BK913" s="0" t="s">
        <v>50</v>
      </c>
      <c r="BL913" s="0" t="str">
        <f aca="false">PROPER(IF(ISBLANK(BK913),"Not Mentioned",BK913))</f>
        <v>No</v>
      </c>
      <c r="BN913" s="0" t="str">
        <f aca="false">PROPER(IF(ISBLANK(BM913),"Not Mentioned",BM913))</f>
        <v>Not Mentioned</v>
      </c>
      <c r="BO913" s="0" t="s">
        <v>2318</v>
      </c>
      <c r="BP913" s="0" t="str">
        <f aca="false">IF(ISBLANK(BO913),"One-Time Plan",BO913)</f>
        <v>Gold</v>
      </c>
      <c r="BQ913" s="0" t="s">
        <v>190</v>
      </c>
      <c r="BR913" s="0" t="str">
        <f aca="false">PROPER(IF(ISBLANK(BQ913),"No",BQ913))</f>
        <v>Yes</v>
      </c>
    </row>
    <row r="914" customFormat="false" ht="15" hidden="false" customHeight="false" outlineLevel="0" collapsed="false">
      <c r="A914" s="0" t="s">
        <v>2109</v>
      </c>
      <c r="B914" s="2" t="s">
        <v>1865</v>
      </c>
      <c r="C914" s="2" t="str">
        <f aca="false">TEXT(B914,"dd/mm/yyyy")</f>
        <v>20/04/2025</v>
      </c>
      <c r="D914" s="0" t="s">
        <v>42</v>
      </c>
      <c r="E914" s="0" t="n">
        <v>8091981404</v>
      </c>
      <c r="F914" s="0" t="s">
        <v>139</v>
      </c>
      <c r="G914" s="0" t="s">
        <v>2323</v>
      </c>
      <c r="H914" s="0" t="s">
        <v>2110</v>
      </c>
      <c r="I914" s="0" t="s">
        <v>107</v>
      </c>
      <c r="J914" s="0" t="s">
        <v>2322</v>
      </c>
      <c r="K914" s="3" t="str">
        <f aca="false" t="array" ref="K914:K914">IFERROR(IF(J914&lt;&gt;"",J914,INDEX(J914:J1913,MATCH(1,(F914:F1913=F914)*(I914:I1913=I914)*(L914:L1913=L914)*(J914:J1913&lt;&gt;""),0))),"Not Found")</f>
        <v>Brake Failure</v>
      </c>
      <c r="L914" s="3" t="s">
        <v>142</v>
      </c>
      <c r="M914" s="0" t="str">
        <f aca="false">PROPER(L914)</f>
        <v>Oil Filter, Brake Pads</v>
      </c>
      <c r="N914" s="3" t="s">
        <v>71</v>
      </c>
      <c r="O914" s="0" t="str">
        <f aca="false" t="array" ref="O914:O914">IF(N914&lt;&gt;"",N914,_xlfn.xlookup(1,(L914:L1913=L914)*(N914:N1913&lt;&gt;""),N914:N1913,"Not Found"))</f>
        <v>Isaac Bobo</v>
      </c>
      <c r="P914" s="4" t="n">
        <v>31672</v>
      </c>
      <c r="Q914" s="0" t="s">
        <v>91</v>
      </c>
      <c r="R914" s="0" t="str">
        <f aca="false">PROPER(Q914)</f>
        <v>Pos</v>
      </c>
      <c r="S914" s="0" t="s">
        <v>63</v>
      </c>
      <c r="T914" s="0" t="n">
        <v>1</v>
      </c>
      <c r="U914" s="5" t="n">
        <f aca="false">IF(ISBLANK(T914),AVERAGE(T914:T1913),T914)</f>
        <v>1</v>
      </c>
      <c r="V914" s="0" t="n">
        <v>3.5</v>
      </c>
      <c r="W914" s="0" t="s">
        <v>92</v>
      </c>
      <c r="X914" s="0" t="str">
        <f aca="false">IF(ISBLANK(W914),"No remarks",W914)</f>
        <v>Urgent service</v>
      </c>
      <c r="Y914" s="0" t="s">
        <v>52</v>
      </c>
      <c r="Z914" s="0" t="s">
        <v>136</v>
      </c>
      <c r="AA914" s="0" t="str">
        <f aca="false">PROPER(IF(ISBLANK(Z914),"Location Unavailable",Z914))</f>
        <v>Vip Section</v>
      </c>
      <c r="AB914" s="0" t="s">
        <v>167</v>
      </c>
      <c r="AC914" s="6" t="str">
        <f aca="false">PROPER(AB914)</f>
        <v>Word Of Mouth</v>
      </c>
      <c r="AD914" s="6" t="n">
        <v>60</v>
      </c>
      <c r="AE914" s="5" t="n">
        <f aca="false">IF(ISBLANK(AD914),AVERAGEIF(L914:L1913,L914,AD914:AD1913),AD914)</f>
        <v>60</v>
      </c>
      <c r="AF914" s="0" t="s">
        <v>112</v>
      </c>
      <c r="AG914" s="0" t="str">
        <f aca="false">PROPER(AF914)</f>
        <v>Unavailable</v>
      </c>
      <c r="AH914" s="0" t="s">
        <v>155</v>
      </c>
      <c r="AI914" s="0" t="s">
        <v>113</v>
      </c>
      <c r="AJ914" s="0" t="str">
        <f aca="false">PROPER(AI914)</f>
        <v>Normal</v>
      </c>
      <c r="AK914" s="0" t="s">
        <v>58</v>
      </c>
      <c r="AL914" s="0" t="str">
        <f aca="false">PROPER(AK914)</f>
        <v>Fleet Owner</v>
      </c>
      <c r="AN914" s="0" t="str">
        <f aca="false">IF(ISBLANK(AM914),"Unknown",AM914)</f>
        <v>Unknown</v>
      </c>
      <c r="AP914" s="0" t="str">
        <f aca="false">IF(ISBLANK(AO914),"Unknown",AO914)</f>
        <v>Unknown</v>
      </c>
      <c r="AQ914" s="0" t="n">
        <v>25000</v>
      </c>
      <c r="AR914" s="5" t="n">
        <f aca="false">IF(ISBLANK(AQ914),AVERAGEIF(M914:M1913,M914,AQ914:AQ1913),AQ914)</f>
        <v>25000</v>
      </c>
      <c r="AS914" s="0" t="n">
        <v>40000</v>
      </c>
      <c r="AT914" s="5" t="n">
        <f aca="false">IF(ISBLANK(AS914),AVERAGE(AS914:AS1913),AS914)</f>
        <v>40000</v>
      </c>
      <c r="AU914" s="0" t="s">
        <v>50</v>
      </c>
      <c r="AV914" s="0" t="str">
        <f aca="false">PROPER(IF(ISBLANK(AU914),"No",AU914))</f>
        <v>No</v>
      </c>
      <c r="AW914" s="0" t="n">
        <v>5000</v>
      </c>
      <c r="AX914" s="5" t="n">
        <f aca="false">IF(ISBLANK(AW914),0,AW914)</f>
        <v>5000</v>
      </c>
      <c r="AZ914" s="0" t="str">
        <f aca="false">UPPER(IF(ISBLANK(AY914),"NONE",AY914))</f>
        <v>NONE</v>
      </c>
      <c r="BB914" s="7" t="str">
        <f aca="false">IF(ISBLANK(BA914),"No Follow Up Needed",BA914)</f>
        <v>No Follow Up Needed</v>
      </c>
      <c r="BC914" s="0" t="s">
        <v>63</v>
      </c>
      <c r="BD914" s="0" t="str">
        <f aca="false">PROPER(IF(ISBLANK(BC914),"Unknown",BC914))</f>
        <v>Yes</v>
      </c>
      <c r="BF914" s="0" t="str">
        <f aca="false">IF(ISBLANK(BE914),"No comments",BE914)</f>
        <v>No comments</v>
      </c>
      <c r="BG914" s="0" t="s">
        <v>2320</v>
      </c>
      <c r="BH914" s="0" t="str">
        <f aca="false">IF(ISBLANK(BG914),"No comments",BG914)</f>
        <v>No complaints</v>
      </c>
      <c r="BI914" s="0" t="s">
        <v>50</v>
      </c>
      <c r="BJ914" s="0" t="str">
        <f aca="false">IF(ISBLANK(BI914),"Not Mentioned",BI914)</f>
        <v>No</v>
      </c>
      <c r="BK914" s="0" t="s">
        <v>61</v>
      </c>
      <c r="BL914" s="0" t="str">
        <f aca="false">PROPER(IF(ISBLANK(BK914),"Not Mentioned",BK914))</f>
        <v>No</v>
      </c>
      <c r="BN914" s="0" t="str">
        <f aca="false">PROPER(IF(ISBLANK(BM914),"Not Mentioned",BM914))</f>
        <v>Not Mentioned</v>
      </c>
      <c r="BO914" s="0" t="s">
        <v>2321</v>
      </c>
      <c r="BP914" s="0" t="str">
        <f aca="false">IF(ISBLANK(BO914),"One-Time Plan",BO914)</f>
        <v>One-Time Plan</v>
      </c>
      <c r="BQ914" s="0" t="s">
        <v>198</v>
      </c>
      <c r="BR914" s="0" t="str">
        <f aca="false">PROPER(IF(ISBLANK(BQ914),"No",BQ914))</f>
        <v>Followed Up</v>
      </c>
    </row>
    <row r="915" customFormat="false" ht="15" hidden="false" customHeight="false" outlineLevel="0" collapsed="false">
      <c r="A915" s="0" t="s">
        <v>2111</v>
      </c>
      <c r="B915" s="2" t="s">
        <v>1460</v>
      </c>
      <c r="C915" s="2" t="str">
        <f aca="false">TEXT(B915,"dd/mm/yyyy")</f>
        <v>19/03/2025</v>
      </c>
      <c r="D915" s="0" t="s">
        <v>163</v>
      </c>
      <c r="E915" s="0" t="n">
        <v>8017682829</v>
      </c>
      <c r="F915" s="0" t="s">
        <v>85</v>
      </c>
      <c r="G915" s="0" t="s">
        <v>2319</v>
      </c>
      <c r="H915" s="0" t="s">
        <v>2112</v>
      </c>
      <c r="I915" s="0" t="s">
        <v>45</v>
      </c>
      <c r="J915" s="0" t="s">
        <v>87</v>
      </c>
      <c r="K915" s="3" t="str">
        <f aca="false" t="array" ref="K915:K915">IFERROR(IF(J915&lt;&gt;"",J915,INDEX(J915:J1914,MATCH(1,(F915:F1914=F915)*(I915:I1914=I915)*(L915:L1914=L915)*(J915:J1914&lt;&gt;""),0))),"Not Found")</f>
        <v>Oil Change</v>
      </c>
      <c r="L915" s="3" t="s">
        <v>154</v>
      </c>
      <c r="M915" s="0" t="str">
        <f aca="false">PROPER(L915)</f>
        <v>Air Filter</v>
      </c>
      <c r="N915" s="3" t="s">
        <v>71</v>
      </c>
      <c r="O915" s="0" t="str">
        <f aca="false" t="array" ref="O915:O915">IF(N915&lt;&gt;"",N915,_xlfn.xlookup(1,(L915:L1914=L915)*(N915:N1914&lt;&gt;""),N915:N1914,"Not Found"))</f>
        <v>Isaac Bobo</v>
      </c>
      <c r="P915" s="4" t="n">
        <v>88630</v>
      </c>
      <c r="Q915" s="0" t="s">
        <v>110</v>
      </c>
      <c r="R915" s="0" t="str">
        <f aca="false">PROPER(Q915)</f>
        <v>Cash</v>
      </c>
      <c r="S915" s="0" t="s">
        <v>50</v>
      </c>
      <c r="T915" s="0" t="n">
        <v>4</v>
      </c>
      <c r="U915" s="5" t="n">
        <f aca="false">IF(ISBLANK(T915),AVERAGE(T915:T1914),T915)</f>
        <v>4</v>
      </c>
      <c r="V915" s="0" t="n">
        <v>4.8</v>
      </c>
      <c r="W915" s="0" t="s">
        <v>125</v>
      </c>
      <c r="X915" s="0" t="str">
        <f aca="false">IF(ISBLANK(W915),"No remarks",W915)</f>
        <v>Customer waited</v>
      </c>
      <c r="Y915" s="0" t="s">
        <v>73</v>
      </c>
      <c r="Z915" s="0" t="s">
        <v>136</v>
      </c>
      <c r="AA915" s="0" t="str">
        <f aca="false">PROPER(IF(ISBLANK(Z915),"Location Unavailable",Z915))</f>
        <v>Vip Section</v>
      </c>
      <c r="AB915" s="0" t="s">
        <v>167</v>
      </c>
      <c r="AC915" s="6" t="str">
        <f aca="false">PROPER(AB915)</f>
        <v>Word Of Mouth</v>
      </c>
      <c r="AD915" s="6" t="n">
        <v>45</v>
      </c>
      <c r="AE915" s="5" t="n">
        <f aca="false">IF(ISBLANK(AD915),AVERAGEIF(L915:L1914,L915,AD915:AD1914),AD915)</f>
        <v>45</v>
      </c>
      <c r="AF915" s="0" t="s">
        <v>160</v>
      </c>
      <c r="AG915" s="0" t="str">
        <f aca="false">PROPER(AF915)</f>
        <v>Availaible</v>
      </c>
      <c r="AH915" s="0" t="s">
        <v>77</v>
      </c>
      <c r="AI915" s="0" t="s">
        <v>98</v>
      </c>
      <c r="AJ915" s="0" t="str">
        <f aca="false">PROPER(AI915)</f>
        <v>Emergency</v>
      </c>
      <c r="AK915" s="0" t="s">
        <v>99</v>
      </c>
      <c r="AL915" s="0" t="str">
        <f aca="false">PROPER(AK915)</f>
        <v>Uber Driver</v>
      </c>
      <c r="AM915" s="0" t="s">
        <v>59</v>
      </c>
      <c r="AN915" s="0" t="str">
        <f aca="false">IF(ISBLANK(AM915),"Unknown",AM915)</f>
        <v>Bolt Driver</v>
      </c>
      <c r="AP915" s="0" t="str">
        <f aca="false">IF(ISBLANK(AO915),"Unknown",AO915)</f>
        <v>Unknown</v>
      </c>
      <c r="AR915" s="5" t="n">
        <f aca="false">IF(ISBLANK(AQ915),AVERAGEIF(M915:M1914,M915,AQ915:AQ1914),AQ915)</f>
        <v>25714.2857142857</v>
      </c>
      <c r="AS915" s="0" t="n">
        <v>35000</v>
      </c>
      <c r="AT915" s="5" t="n">
        <f aca="false">IF(ISBLANK(AS915),AVERAGE(AS915:AS1914),AS915)</f>
        <v>35000</v>
      </c>
      <c r="AV915" s="0" t="str">
        <f aca="false">PROPER(IF(ISBLANK(AU915),"No",AU915))</f>
        <v>No</v>
      </c>
      <c r="AW915" s="0" t="n">
        <v>5000</v>
      </c>
      <c r="AX915" s="5" t="n">
        <f aca="false">IF(ISBLANK(AW915),0,AW915)</f>
        <v>5000</v>
      </c>
      <c r="AY915" s="0" t="s">
        <v>184</v>
      </c>
      <c r="AZ915" s="0" t="str">
        <f aca="false">UPPER(IF(ISBLANK(AY915),"NONE",AY915))</f>
        <v>N/A</v>
      </c>
      <c r="BB915" s="7" t="str">
        <f aca="false">IF(ISBLANK(BA915),"No Follow Up Needed",BA915)</f>
        <v>No Follow Up Needed</v>
      </c>
      <c r="BC915" s="0" t="s">
        <v>61</v>
      </c>
      <c r="BD915" s="0" t="str">
        <f aca="false">PROPER(IF(ISBLANK(BC915),"Unknown",BC915))</f>
        <v>No</v>
      </c>
      <c r="BE915" s="0" t="s">
        <v>171</v>
      </c>
      <c r="BF915" s="0" t="str">
        <f aca="false">IF(ISBLANK(BE915),"No comments",BE915)</f>
        <v>Shock absorber weakening</v>
      </c>
      <c r="BH915" s="0" t="str">
        <f aca="false">IF(ISBLANK(BG915),"No comments",BG915)</f>
        <v>No comments</v>
      </c>
      <c r="BI915" s="0" t="s">
        <v>50</v>
      </c>
      <c r="BJ915" s="0" t="str">
        <f aca="false">IF(ISBLANK(BI915),"Not Mentioned",BI915)</f>
        <v>No</v>
      </c>
      <c r="BK915" s="0" t="s">
        <v>50</v>
      </c>
      <c r="BL915" s="0" t="str">
        <f aca="false">PROPER(IF(ISBLANK(BK915),"Not Mentioned",BK915))</f>
        <v>No</v>
      </c>
      <c r="BM915" s="0" t="s">
        <v>50</v>
      </c>
      <c r="BN915" s="0" t="str">
        <f aca="false">PROPER(IF(ISBLANK(BM915),"Not Mentioned",BM915))</f>
        <v>No</v>
      </c>
      <c r="BO915" s="0" t="s">
        <v>64</v>
      </c>
      <c r="BP915" s="0" t="str">
        <f aca="false">IF(ISBLANK(BO915),"One-Time Plan",BO915)</f>
        <v>Gold Maintenance Plan</v>
      </c>
      <c r="BR915" s="0" t="str">
        <f aca="false">PROPER(IF(ISBLANK(BQ915),"No",BQ915))</f>
        <v>No</v>
      </c>
    </row>
    <row r="916" customFormat="false" ht="15" hidden="false" customHeight="false" outlineLevel="0" collapsed="false">
      <c r="A916" s="0" t="s">
        <v>2113</v>
      </c>
      <c r="B916" s="2" t="n">
        <v>45768</v>
      </c>
      <c r="C916" s="2" t="str">
        <f aca="false">TEXT(B916,"dd/mm/yyyy")</f>
        <v>21/04/2025</v>
      </c>
      <c r="D916" s="0" t="s">
        <v>42</v>
      </c>
      <c r="E916" s="0" t="n">
        <v>8057785434</v>
      </c>
      <c r="F916" s="0" t="s">
        <v>139</v>
      </c>
      <c r="G916" s="0" t="s">
        <v>2323</v>
      </c>
      <c r="H916" s="0" t="s">
        <v>2114</v>
      </c>
      <c r="I916" s="0" t="s">
        <v>107</v>
      </c>
      <c r="J916" s="0" t="s">
        <v>2325</v>
      </c>
      <c r="K916" s="3" t="str">
        <f aca="false" t="array" ref="K916:K916">IFERROR(IF(J916&lt;&gt;"",J916,INDEX(J916:J1915,MATCH(1,(F916:F1915=F916)*(I916:I1915=I916)*(L916:L1915=L916)*(J916:J1915&lt;&gt;""),0))),"Not Found")</f>
        <v>Engine Knocking</v>
      </c>
      <c r="L916" s="3" t="s">
        <v>189</v>
      </c>
      <c r="M916" s="0" t="str">
        <f aca="false">PROPER(L916)</f>
        <v>Battery</v>
      </c>
      <c r="N916" s="3" t="s">
        <v>109</v>
      </c>
      <c r="O916" s="0" t="str">
        <f aca="false" t="array" ref="O916:O916">IF(N916&lt;&gt;"",N916,_xlfn.xlookup(1,(L916:L1915=L916)*(N916:N1915&lt;&gt;""),N916:N1915,"Not Found"))</f>
        <v>Tijani</v>
      </c>
      <c r="P916" s="4" t="n">
        <v>97872</v>
      </c>
      <c r="Q916" s="0" t="s">
        <v>124</v>
      </c>
      <c r="R916" s="0" t="str">
        <f aca="false">PROPER(Q916)</f>
        <v>Cash</v>
      </c>
      <c r="S916" s="0" t="s">
        <v>63</v>
      </c>
      <c r="T916" s="0" t="n">
        <v>5</v>
      </c>
      <c r="U916" s="5" t="n">
        <f aca="false">IF(ISBLANK(T916),AVERAGE(T916:T1915),T916)</f>
        <v>5</v>
      </c>
      <c r="V916" s="0" t="n">
        <v>5.8</v>
      </c>
      <c r="W916" s="0" t="s">
        <v>51</v>
      </c>
      <c r="X916" s="0" t="str">
        <f aca="false">IF(ISBLANK(W916),"No remarks",W916)</f>
        <v>Recommended further checks</v>
      </c>
      <c r="Y916" s="0" t="s">
        <v>73</v>
      </c>
      <c r="Z916" s="0" t="s">
        <v>74</v>
      </c>
      <c r="AA916" s="0" t="str">
        <f aca="false">PROPER(IF(ISBLANK(Z916),"Location Unavailable",Z916))</f>
        <v>Under Tree</v>
      </c>
      <c r="AB916" s="0" t="s">
        <v>126</v>
      </c>
      <c r="AC916" s="6" t="str">
        <f aca="false">PROPER(AB916)</f>
        <v>Whatsapp</v>
      </c>
      <c r="AD916" s="6" t="n">
        <v>15</v>
      </c>
      <c r="AE916" s="5" t="n">
        <f aca="false">IF(ISBLANK(AD916),AVERAGEIF(L916:L1915,L916,AD916:AD1915),AD916)</f>
        <v>15</v>
      </c>
      <c r="AF916" s="0" t="s">
        <v>55</v>
      </c>
      <c r="AG916" s="0" t="str">
        <f aca="false">PROPER(AF916)</f>
        <v>Available</v>
      </c>
      <c r="AH916" s="0" t="s">
        <v>56</v>
      </c>
      <c r="AI916" s="0" t="s">
        <v>128</v>
      </c>
      <c r="AJ916" s="0" t="str">
        <f aca="false">PROPER(AI916)</f>
        <v>Normal</v>
      </c>
      <c r="AK916" s="0" t="s">
        <v>196</v>
      </c>
      <c r="AL916" s="0" t="str">
        <f aca="false">PROPER(AK916)</f>
        <v>First Time</v>
      </c>
      <c r="AN916" s="0" t="str">
        <f aca="false">IF(ISBLANK(AM916),"Unknown",AM916)</f>
        <v>Unknown</v>
      </c>
      <c r="AO916" s="0" t="s">
        <v>161</v>
      </c>
      <c r="AP916" s="0" t="str">
        <f aca="false">IF(ISBLANK(AO916),"Unknown",AO916)</f>
        <v>Apprentice</v>
      </c>
      <c r="AQ916" s="0" t="n">
        <v>20000</v>
      </c>
      <c r="AR916" s="5" t="n">
        <f aca="false">IF(ISBLANK(AQ916),AVERAGEIF(M916:M1915,M916,AQ916:AQ1915),AQ916)</f>
        <v>20000</v>
      </c>
      <c r="AS916" s="0" t="n">
        <v>40000</v>
      </c>
      <c r="AT916" s="5" t="n">
        <f aca="false">IF(ISBLANK(AS916),AVERAGE(AS916:AS1915),AS916)</f>
        <v>40000</v>
      </c>
      <c r="AV916" s="0" t="str">
        <f aca="false">PROPER(IF(ISBLANK(AU916),"No",AU916))</f>
        <v>No</v>
      </c>
      <c r="AW916" s="0" t="n">
        <v>5000</v>
      </c>
      <c r="AX916" s="5" t="n">
        <f aca="false">IF(ISBLANK(AW916),0,AW916)</f>
        <v>5000</v>
      </c>
      <c r="AY916" s="0" t="s">
        <v>60</v>
      </c>
      <c r="AZ916" s="0" t="str">
        <f aca="false">UPPER(IF(ISBLANK(AY916),"NONE",AY916))</f>
        <v>NONE</v>
      </c>
      <c r="BB916" s="7" t="str">
        <f aca="false">IF(ISBLANK(BA916),"No Follow Up Needed",BA916)</f>
        <v>No Follow Up Needed</v>
      </c>
      <c r="BC916" s="0" t="s">
        <v>63</v>
      </c>
      <c r="BD916" s="0" t="str">
        <f aca="false">PROPER(IF(ISBLANK(BC916),"Unknown",BC916))</f>
        <v>Yes</v>
      </c>
      <c r="BF916" s="0" t="str">
        <f aca="false">IF(ISBLANK(BE916),"No comments",BE916)</f>
        <v>No comments</v>
      </c>
      <c r="BH916" s="0" t="str">
        <f aca="false">IF(ISBLANK(BG916),"No comments",BG916)</f>
        <v>No comments</v>
      </c>
      <c r="BI916" s="0" t="s">
        <v>50</v>
      </c>
      <c r="BJ916" s="0" t="str">
        <f aca="false">IF(ISBLANK(BI916),"Not Mentioned",BI916)</f>
        <v>No</v>
      </c>
      <c r="BK916" s="0" t="s">
        <v>50</v>
      </c>
      <c r="BL916" s="0" t="str">
        <f aca="false">PROPER(IF(ISBLANK(BK916),"Not Mentioned",BK916))</f>
        <v>No</v>
      </c>
      <c r="BM916" s="0" t="s">
        <v>63</v>
      </c>
      <c r="BN916" s="0" t="str">
        <f aca="false">PROPER(IF(ISBLANK(BM916),"Not Mentioned",BM916))</f>
        <v>Yes</v>
      </c>
      <c r="BP916" s="0" t="str">
        <f aca="false">IF(ISBLANK(BO916),"One-Time Plan",BO916)</f>
        <v>One-Time Plan</v>
      </c>
      <c r="BQ916" s="0" t="s">
        <v>198</v>
      </c>
      <c r="BR916" s="0" t="str">
        <f aca="false">PROPER(IF(ISBLANK(BQ916),"No",BQ916))</f>
        <v>Followed Up</v>
      </c>
    </row>
    <row r="917" customFormat="false" ht="15" hidden="false" customHeight="false" outlineLevel="0" collapsed="false">
      <c r="A917" s="0" t="s">
        <v>2115</v>
      </c>
      <c r="B917" s="2" t="n">
        <v>45722</v>
      </c>
      <c r="C917" s="2" t="str">
        <f aca="false">TEXT(B917,"dd/mm/yyyy")</f>
        <v>06/03/2025</v>
      </c>
      <c r="D917" s="0" t="s">
        <v>105</v>
      </c>
      <c r="E917" s="0" t="n">
        <v>8054326109</v>
      </c>
      <c r="F917" s="0" t="s">
        <v>85</v>
      </c>
      <c r="G917" s="0" t="s">
        <v>2319</v>
      </c>
      <c r="H917" s="0" t="s">
        <v>2116</v>
      </c>
      <c r="I917" s="0" t="s">
        <v>87</v>
      </c>
      <c r="K917" s="3" t="str">
        <f aca="false" t="array" ref="K917:K917">IFERROR(IF(J917&lt;&gt;"",J917,INDEX(J917:J1916,MATCH(1,(F917:F1916=F917)*(I917:I1916=I917)*(L917:L1916=L917)*(J917:J1916&lt;&gt;""),0))),"Not Found")</f>
        <v>Brake Failure</v>
      </c>
      <c r="L917" s="3" t="s">
        <v>108</v>
      </c>
      <c r="M917" s="0" t="str">
        <f aca="false">PROPER(L917)</f>
        <v>Timing Belt</v>
      </c>
      <c r="N917" s="3" t="s">
        <v>48</v>
      </c>
      <c r="O917" s="0" t="str">
        <f aca="false" t="array" ref="O917:O917">IF(N917&lt;&gt;"",N917,_xlfn.xlookup(1,(L917:L1916=L917)*(N917:N1916&lt;&gt;""),N917:N1916,"Not Found"))</f>
        <v>Uche</v>
      </c>
      <c r="P917" s="4" t="n">
        <v>65505</v>
      </c>
      <c r="Q917" s="0" t="s">
        <v>49</v>
      </c>
      <c r="R917" s="0" t="str">
        <f aca="false">PROPER(Q917)</f>
        <v>Transfer</v>
      </c>
      <c r="S917" s="0" t="s">
        <v>63</v>
      </c>
      <c r="U917" s="5" t="n">
        <f aca="false">IF(ISBLANK(T917),AVERAGE(T917:T1916),T917)</f>
        <v>3.47142857142857</v>
      </c>
      <c r="V917" s="0" t="n">
        <v>2.5</v>
      </c>
      <c r="X917" s="0" t="str">
        <f aca="false">IF(ISBLANK(W917),"No remarks",W917)</f>
        <v>No remarks</v>
      </c>
      <c r="Y917" s="0" t="s">
        <v>52</v>
      </c>
      <c r="Z917" s="0" t="s">
        <v>136</v>
      </c>
      <c r="AA917" s="0" t="str">
        <f aca="false">PROPER(IF(ISBLANK(Z917),"Location Unavailable",Z917))</f>
        <v>Vip Section</v>
      </c>
      <c r="AB917" s="0" t="s">
        <v>167</v>
      </c>
      <c r="AC917" s="6" t="str">
        <f aca="false">PROPER(AB917)</f>
        <v>Word Of Mouth</v>
      </c>
      <c r="AE917" s="5" t="n">
        <f aca="false">IF(ISBLANK(AD917),AVERAGEIF(L917:L1916,L917,AD917:AD1916),AD917)</f>
        <v>40.9090909090909</v>
      </c>
      <c r="AF917" s="0" t="s">
        <v>96</v>
      </c>
      <c r="AG917" s="0" t="str">
        <f aca="false">PROPER(AF917)</f>
        <v>Ordered</v>
      </c>
      <c r="AH917" s="0" t="s">
        <v>155</v>
      </c>
      <c r="AI917" s="0" t="s">
        <v>98</v>
      </c>
      <c r="AJ917" s="0" t="str">
        <f aca="false">PROPER(AI917)</f>
        <v>Emergency</v>
      </c>
      <c r="AK917" s="0" t="s">
        <v>99</v>
      </c>
      <c r="AL917" s="0" t="str">
        <f aca="false">PROPER(AK917)</f>
        <v>Uber Driver</v>
      </c>
      <c r="AN917" s="0" t="str">
        <f aca="false">IF(ISBLANK(AM917),"Unknown",AM917)</f>
        <v>Unknown</v>
      </c>
      <c r="AP917" s="0" t="str">
        <f aca="false">IF(ISBLANK(AO917),"Unknown",AO917)</f>
        <v>Unknown</v>
      </c>
      <c r="AR917" s="5" t="n">
        <f aca="false">IF(ISBLANK(AQ917),AVERAGEIF(M917:M1916,M917,AQ917:AQ1916),AQ917)</f>
        <v>25000</v>
      </c>
      <c r="AS917" s="0" t="n">
        <v>30000</v>
      </c>
      <c r="AT917" s="5" t="n">
        <f aca="false">IF(ISBLANK(AS917),AVERAGE(AS917:AS1916),AS917)</f>
        <v>30000</v>
      </c>
      <c r="AU917" s="0" t="s">
        <v>61</v>
      </c>
      <c r="AV917" s="0" t="str">
        <f aca="false">PROPER(IF(ISBLANK(AU917),"No",AU917))</f>
        <v>No</v>
      </c>
      <c r="AW917" s="0" t="n">
        <v>10000</v>
      </c>
      <c r="AX917" s="5" t="n">
        <f aca="false">IF(ISBLANK(AW917),0,AW917)</f>
        <v>10000</v>
      </c>
      <c r="AY917" s="0" t="s">
        <v>80</v>
      </c>
      <c r="AZ917" s="0" t="str">
        <f aca="false">UPPER(IF(ISBLANK(AY917),"NONE",AY917))</f>
        <v>PROMO10</v>
      </c>
      <c r="BA917" s="7" t="n">
        <v>45864</v>
      </c>
      <c r="BB917" s="7" t="n">
        <f aca="false">IF(ISBLANK(BA917),"No Follow Up Needed",BA917)</f>
        <v>45864</v>
      </c>
      <c r="BD917" s="0" t="str">
        <f aca="false">PROPER(IF(ISBLANK(BC917),"Unknown",BC917))</f>
        <v>Unknown</v>
      </c>
      <c r="BE917" s="0" t="s">
        <v>171</v>
      </c>
      <c r="BF917" s="0" t="str">
        <f aca="false">IF(ISBLANK(BE917),"No comments",BE917)</f>
        <v>Shock absorber weakening</v>
      </c>
      <c r="BG917" s="0" t="s">
        <v>117</v>
      </c>
      <c r="BH917" s="0" t="str">
        <f aca="false">IF(ISBLANK(BG917),"No comments",BG917)</f>
        <v>Prefers morning</v>
      </c>
      <c r="BI917" s="0" t="s">
        <v>63</v>
      </c>
      <c r="BJ917" s="0" t="str">
        <f aca="false">IF(ISBLANK(BI917),"Not Mentioned",BI917)</f>
        <v>Yes</v>
      </c>
      <c r="BK917" s="0" t="s">
        <v>82</v>
      </c>
      <c r="BL917" s="0" t="str">
        <f aca="false">PROPER(IF(ISBLANK(BK917),"Not Mentioned",BK917))</f>
        <v>Yes</v>
      </c>
      <c r="BN917" s="0" t="str">
        <f aca="false">PROPER(IF(ISBLANK(BM917),"Not Mentioned",BM917))</f>
        <v>Not Mentioned</v>
      </c>
      <c r="BO917" s="0" t="s">
        <v>64</v>
      </c>
      <c r="BP917" s="0" t="str">
        <f aca="false">IF(ISBLANK(BO917),"One-Time Plan",BO917)</f>
        <v>Gold Maintenance Plan</v>
      </c>
      <c r="BQ917" s="0" t="s">
        <v>50</v>
      </c>
      <c r="BR917" s="0" t="str">
        <f aca="false">PROPER(IF(ISBLANK(BQ917),"No",BQ917))</f>
        <v>No</v>
      </c>
    </row>
    <row r="918" customFormat="false" ht="15" hidden="false" customHeight="false" outlineLevel="0" collapsed="false">
      <c r="A918" s="0" t="s">
        <v>2117</v>
      </c>
      <c r="B918" s="2" t="n">
        <v>45789</v>
      </c>
      <c r="C918" s="2" t="str">
        <f aca="false">TEXT(B918,"dd/mm/yyyy")</f>
        <v>12/05/2025</v>
      </c>
      <c r="D918" s="0" t="s">
        <v>121</v>
      </c>
      <c r="E918" s="0" t="n">
        <v>8023445578</v>
      </c>
      <c r="F918" s="0" t="s">
        <v>85</v>
      </c>
      <c r="G918" s="0" t="s">
        <v>2319</v>
      </c>
      <c r="H918" s="0" t="s">
        <v>2118</v>
      </c>
      <c r="I918" s="0" t="s">
        <v>45</v>
      </c>
      <c r="J918" s="0" t="s">
        <v>2325</v>
      </c>
      <c r="K918" s="3" t="str">
        <f aca="false" t="array" ref="K918:K918">IFERROR(IF(J918&lt;&gt;"",J918,INDEX(J918:J1917,MATCH(1,(F918:F1917=F918)*(I918:I1917=I918)*(L918:L1917=L918)*(J918:J1917&lt;&gt;""),0))),"Not Found")</f>
        <v>Engine Knocking</v>
      </c>
      <c r="L918" s="3" t="s">
        <v>154</v>
      </c>
      <c r="M918" s="0" t="str">
        <f aca="false">PROPER(L918)</f>
        <v>Air Filter</v>
      </c>
      <c r="N918" s="3" t="s">
        <v>48</v>
      </c>
      <c r="O918" s="0" t="str">
        <f aca="false" t="array" ref="O918:O918">IF(N918&lt;&gt;"",N918,_xlfn.xlookup(1,(L918:L1917=L918)*(N918:N1917&lt;&gt;""),N918:N1917,"Not Found"))</f>
        <v>Uche</v>
      </c>
      <c r="P918" s="4" t="n">
        <v>83359</v>
      </c>
      <c r="Q918" s="0" t="s">
        <v>49</v>
      </c>
      <c r="R918" s="0" t="str">
        <f aca="false">PROPER(Q918)</f>
        <v>Transfer</v>
      </c>
      <c r="S918" s="0" t="s">
        <v>63</v>
      </c>
      <c r="T918" s="0" t="n">
        <v>1</v>
      </c>
      <c r="U918" s="5" t="n">
        <f aca="false">IF(ISBLANK(T918),AVERAGE(T918:T1917),T918)</f>
        <v>1</v>
      </c>
      <c r="V918" s="0" t="n">
        <v>5.9</v>
      </c>
      <c r="W918" s="0" t="s">
        <v>92</v>
      </c>
      <c r="X918" s="0" t="str">
        <f aca="false">IF(ISBLANK(W918),"No remarks",W918)</f>
        <v>Urgent service</v>
      </c>
      <c r="Y918" s="0" t="s">
        <v>73</v>
      </c>
      <c r="Z918" s="0" t="s">
        <v>94</v>
      </c>
      <c r="AA918" s="0" t="str">
        <f aca="false">PROPER(IF(ISBLANK(Z918),"Location Unavailable",Z918))</f>
        <v>Vip Section</v>
      </c>
      <c r="AB918" s="0" t="s">
        <v>75</v>
      </c>
      <c r="AC918" s="6" t="str">
        <f aca="false">PROPER(AB918)</f>
        <v>Mechanik Referal</v>
      </c>
      <c r="AD918" s="6" t="n">
        <v>60</v>
      </c>
      <c r="AE918" s="5" t="n">
        <f aca="false">IF(ISBLANK(AD918),AVERAGEIF(L918:L1917,L918,AD918:AD1917),AD918)</f>
        <v>60</v>
      </c>
      <c r="AF918" s="0" t="s">
        <v>160</v>
      </c>
      <c r="AG918" s="0" t="str">
        <f aca="false">PROPER(AF918)</f>
        <v>Availaible</v>
      </c>
      <c r="AH918" s="0" t="s">
        <v>148</v>
      </c>
      <c r="AI918" s="0" t="s">
        <v>113</v>
      </c>
      <c r="AJ918" s="0" t="str">
        <f aca="false">PROPER(AI918)</f>
        <v>Normal</v>
      </c>
      <c r="AK918" s="0" t="s">
        <v>196</v>
      </c>
      <c r="AL918" s="0" t="str">
        <f aca="false">PROPER(AK918)</f>
        <v>First Time</v>
      </c>
      <c r="AM918" s="0" t="s">
        <v>2326</v>
      </c>
      <c r="AN918" s="0" t="str">
        <f aca="false">IF(ISBLANK(AM918),"Unknown",AM918)</f>
        <v>Government Convoy</v>
      </c>
      <c r="AO918" s="0" t="s">
        <v>149</v>
      </c>
      <c r="AP918" s="0" t="str">
        <f aca="false">IF(ISBLANK(AO918),"Unknown",AO918)</f>
        <v>Senior </v>
      </c>
      <c r="AQ918" s="0" t="n">
        <v>40000</v>
      </c>
      <c r="AR918" s="5" t="n">
        <f aca="false">IF(ISBLANK(AQ918),AVERAGEIF(M918:M1917,M918,AQ918:AQ1917),AQ918)</f>
        <v>40000</v>
      </c>
      <c r="AS918" s="0" t="n">
        <v>30000</v>
      </c>
      <c r="AT918" s="5" t="n">
        <f aca="false">IF(ISBLANK(AS918),AVERAGE(AS918:AS1917),AS918)</f>
        <v>30000</v>
      </c>
      <c r="AV918" s="0" t="str">
        <f aca="false">PROPER(IF(ISBLANK(AU918),"No",AU918))</f>
        <v>No</v>
      </c>
      <c r="AX918" s="5" t="n">
        <f aca="false">IF(ISBLANK(AW918),0,AW918)</f>
        <v>0</v>
      </c>
      <c r="AY918" s="0" t="s">
        <v>60</v>
      </c>
      <c r="AZ918" s="0" t="str">
        <f aca="false">UPPER(IF(ISBLANK(AY918),"NONE",AY918))</f>
        <v>NONE</v>
      </c>
      <c r="BB918" s="7" t="str">
        <f aca="false">IF(ISBLANK(BA918),"No Follow Up Needed",BA918)</f>
        <v>No Follow Up Needed</v>
      </c>
      <c r="BC918" s="0" t="s">
        <v>50</v>
      </c>
      <c r="BD918" s="0" t="str">
        <f aca="false">PROPER(IF(ISBLANK(BC918),"Unknown",BC918))</f>
        <v>No</v>
      </c>
      <c r="BF918" s="0" t="str">
        <f aca="false">IF(ISBLANK(BE918),"No comments",BE918)</f>
        <v>No comments</v>
      </c>
      <c r="BG918" s="0" t="s">
        <v>2320</v>
      </c>
      <c r="BH918" s="0" t="str">
        <f aca="false">IF(ISBLANK(BG918),"No comments",BG918)</f>
        <v>No complaints</v>
      </c>
      <c r="BI918" s="0" t="s">
        <v>63</v>
      </c>
      <c r="BJ918" s="0" t="str">
        <f aca="false">IF(ISBLANK(BI918),"Not Mentioned",BI918)</f>
        <v>Yes</v>
      </c>
      <c r="BK918" s="0" t="s">
        <v>63</v>
      </c>
      <c r="BL918" s="0" t="str">
        <f aca="false">PROPER(IF(ISBLANK(BK918),"Not Mentioned",BK918))</f>
        <v>Yes</v>
      </c>
      <c r="BN918" s="0" t="str">
        <f aca="false">PROPER(IF(ISBLANK(BM918),"Not Mentioned",BM918))</f>
        <v>Not Mentioned</v>
      </c>
      <c r="BO918" s="0" t="s">
        <v>64</v>
      </c>
      <c r="BP918" s="0" t="str">
        <f aca="false">IF(ISBLANK(BO918),"One-Time Plan",BO918)</f>
        <v>Gold Maintenance Plan</v>
      </c>
      <c r="BQ918" s="0" t="s">
        <v>190</v>
      </c>
      <c r="BR918" s="0" t="str">
        <f aca="false">PROPER(IF(ISBLANK(BQ918),"No",BQ918))</f>
        <v>Yes</v>
      </c>
    </row>
    <row r="919" customFormat="false" ht="15" hidden="false" customHeight="false" outlineLevel="0" collapsed="false">
      <c r="A919" s="0" t="s">
        <v>2119</v>
      </c>
      <c r="B919" s="2" t="n">
        <v>45662</v>
      </c>
      <c r="C919" s="2" t="str">
        <f aca="false">TEXT(B919,"dd/mm/yyyy")</f>
        <v>05/01/2025</v>
      </c>
      <c r="D919" s="0" t="s">
        <v>42</v>
      </c>
      <c r="E919" s="0" t="n">
        <v>8010414016</v>
      </c>
      <c r="F919" s="0" t="s">
        <v>139</v>
      </c>
      <c r="G919" s="0" t="s">
        <v>2323</v>
      </c>
      <c r="H919" s="0" t="s">
        <v>2120</v>
      </c>
      <c r="I919" s="0" t="s">
        <v>69</v>
      </c>
      <c r="J919" s="0" t="s">
        <v>2317</v>
      </c>
      <c r="K919" s="3" t="str">
        <f aca="false" t="array" ref="K919:K919">IFERROR(IF(J919&lt;&gt;"",J919,INDEX(J919:J1918,MATCH(1,(F919:F1918=F919)*(I919:I1918=I919)*(L919:L1918=L919)*(J919:J1918&lt;&gt;""),0))),"Not Found")</f>
        <v>Suspension Noise</v>
      </c>
      <c r="L919" s="3" t="s">
        <v>47</v>
      </c>
      <c r="M919" s="0" t="str">
        <f aca="false">PROPER(L919)</f>
        <v>None</v>
      </c>
      <c r="N919" s="3" t="s">
        <v>109</v>
      </c>
      <c r="O919" s="0" t="str">
        <f aca="false" t="array" ref="O919:O919">IF(N919&lt;&gt;"",N919,_xlfn.xlookup(1,(L919:L1918=L919)*(N919:N1918&lt;&gt;""),N919:N1918,"Not Found"))</f>
        <v>Tijani</v>
      </c>
      <c r="P919" s="4" t="n">
        <v>76150</v>
      </c>
      <c r="Q919" s="0" t="s">
        <v>49</v>
      </c>
      <c r="R919" s="0" t="str">
        <f aca="false">PROPER(Q919)</f>
        <v>Transfer</v>
      </c>
      <c r="S919" s="0" t="s">
        <v>50</v>
      </c>
      <c r="T919" s="0" t="n">
        <v>3</v>
      </c>
      <c r="U919" s="5" t="n">
        <f aca="false">IF(ISBLANK(T919),AVERAGE(T919:T1918),T919)</f>
        <v>3</v>
      </c>
      <c r="V919" s="0" t="n">
        <v>1.9</v>
      </c>
      <c r="W919" s="0" t="s">
        <v>125</v>
      </c>
      <c r="X919" s="0" t="str">
        <f aca="false">IF(ISBLANK(W919),"No remarks",W919)</f>
        <v>Customer waited</v>
      </c>
      <c r="Y919" s="0" t="s">
        <v>52</v>
      </c>
      <c r="AA919" s="0" t="str">
        <f aca="false">PROPER(IF(ISBLANK(Z919),"Location Unavailable",Z919))</f>
        <v>Location Unavailable</v>
      </c>
      <c r="AB919" s="0" t="s">
        <v>54</v>
      </c>
      <c r="AC919" s="6" t="str">
        <f aca="false">PROPER(AB919)</f>
        <v>Mechanic Referral</v>
      </c>
      <c r="AE919" s="5" t="n">
        <f aca="false">IF(ISBLANK(AD919),AVERAGEIF(L919:L1918,L919,AD919:AD1918),AD919)</f>
        <v>38.4375</v>
      </c>
      <c r="AF919" s="0" t="s">
        <v>96</v>
      </c>
      <c r="AG919" s="0" t="str">
        <f aca="false">PROPER(AF919)</f>
        <v>Ordered</v>
      </c>
      <c r="AH919" s="0" t="s">
        <v>148</v>
      </c>
      <c r="AI919" s="0" t="s">
        <v>128</v>
      </c>
      <c r="AJ919" s="0" t="str">
        <f aca="false">PROPER(AI919)</f>
        <v>Normal</v>
      </c>
      <c r="AK919" s="0" t="s">
        <v>196</v>
      </c>
      <c r="AL919" s="0" t="str">
        <f aca="false">PROPER(AK919)</f>
        <v>First Time</v>
      </c>
      <c r="AM919" s="0" t="s">
        <v>59</v>
      </c>
      <c r="AN919" s="0" t="str">
        <f aca="false">IF(ISBLANK(AM919),"Unknown",AM919)</f>
        <v>Bolt Driver</v>
      </c>
      <c r="AP919" s="0" t="str">
        <f aca="false">IF(ISBLANK(AO919),"Unknown",AO919)</f>
        <v>Unknown</v>
      </c>
      <c r="AQ919" s="0" t="n">
        <v>30000</v>
      </c>
      <c r="AR919" s="5" t="n">
        <f aca="false">IF(ISBLANK(AQ919),AVERAGEIF(M919:M1918,M919,AQ919:AQ1918),AQ919)</f>
        <v>30000</v>
      </c>
      <c r="AS919" s="0" t="n">
        <v>40000</v>
      </c>
      <c r="AT919" s="5" t="n">
        <f aca="false">IF(ISBLANK(AS919),AVERAGE(AS919:AS1918),AS919)</f>
        <v>40000</v>
      </c>
      <c r="AU919" s="0" t="s">
        <v>61</v>
      </c>
      <c r="AV919" s="0" t="str">
        <f aca="false">PROPER(IF(ISBLANK(AU919),"No",AU919))</f>
        <v>No</v>
      </c>
      <c r="AW919" s="0" t="n">
        <v>5000</v>
      </c>
      <c r="AX919" s="5" t="n">
        <f aca="false">IF(ISBLANK(AW919),0,AW919)</f>
        <v>5000</v>
      </c>
      <c r="AY919" s="0" t="s">
        <v>60</v>
      </c>
      <c r="AZ919" s="0" t="str">
        <f aca="false">UPPER(IF(ISBLANK(AY919),"NONE",AY919))</f>
        <v>NONE</v>
      </c>
      <c r="BA919" s="7" t="n">
        <v>45972</v>
      </c>
      <c r="BB919" s="7" t="n">
        <f aca="false">IF(ISBLANK(BA919),"No Follow Up Needed",BA919)</f>
        <v>45972</v>
      </c>
      <c r="BC919" s="0" t="s">
        <v>63</v>
      </c>
      <c r="BD919" s="0" t="str">
        <f aca="false">PROPER(IF(ISBLANK(BC919),"Unknown",BC919))</f>
        <v>Yes</v>
      </c>
      <c r="BE919" s="0" t="s">
        <v>116</v>
      </c>
      <c r="BF919" s="0" t="str">
        <f aca="false">IF(ISBLANK(BE919),"No comments",BE919)</f>
        <v>Needs tire alignment</v>
      </c>
      <c r="BH919" s="0" t="str">
        <f aca="false">IF(ISBLANK(BG919),"No comments",BG919)</f>
        <v>No comments</v>
      </c>
      <c r="BI919" s="0" t="s">
        <v>50</v>
      </c>
      <c r="BJ919" s="0" t="str">
        <f aca="false">IF(ISBLANK(BI919),"Not Mentioned",BI919)</f>
        <v>No</v>
      </c>
      <c r="BK919" s="0" t="s">
        <v>50</v>
      </c>
      <c r="BL919" s="0" t="str">
        <f aca="false">PROPER(IF(ISBLANK(BK919),"Not Mentioned",BK919))</f>
        <v>No</v>
      </c>
      <c r="BM919" s="0" t="s">
        <v>63</v>
      </c>
      <c r="BN919" s="0" t="str">
        <f aca="false">PROPER(IF(ISBLANK(BM919),"Not Mentioned",BM919))</f>
        <v>Yes</v>
      </c>
      <c r="BO919" s="0" t="s">
        <v>2318</v>
      </c>
      <c r="BP919" s="0" t="str">
        <f aca="false">IF(ISBLANK(BO919),"One-Time Plan",BO919)</f>
        <v>Gold</v>
      </c>
      <c r="BQ919" s="0" t="s">
        <v>198</v>
      </c>
      <c r="BR919" s="0" t="str">
        <f aca="false">PROPER(IF(ISBLANK(BQ919),"No",BQ919))</f>
        <v>Followed Up</v>
      </c>
    </row>
    <row r="920" customFormat="false" ht="15" hidden="false" customHeight="false" outlineLevel="0" collapsed="false">
      <c r="A920" s="0" t="s">
        <v>2121</v>
      </c>
      <c r="B920" s="2" t="n">
        <v>45712</v>
      </c>
      <c r="C920" s="2" t="str">
        <f aca="false">TEXT(B920,"dd/mm/yyyy")</f>
        <v>24/02/2025</v>
      </c>
      <c r="D920" s="0" t="s">
        <v>105</v>
      </c>
      <c r="E920" s="0" t="n">
        <v>8071326664</v>
      </c>
      <c r="F920" s="0" t="s">
        <v>85</v>
      </c>
      <c r="G920" s="0" t="s">
        <v>2319</v>
      </c>
      <c r="H920" s="0" t="s">
        <v>2122</v>
      </c>
      <c r="I920" s="0" t="s">
        <v>87</v>
      </c>
      <c r="J920" s="0" t="s">
        <v>2322</v>
      </c>
      <c r="K920" s="3" t="str">
        <f aca="false" t="array" ref="K920:K920">IFERROR(IF(J920&lt;&gt;"",J920,INDEX(J920:J1919,MATCH(1,(F920:F1919=F920)*(I920:I1919=I920)*(L920:L1919=L920)*(J920:J1919&lt;&gt;""),0))),"Not Found")</f>
        <v>Brake Failure</v>
      </c>
      <c r="L920" s="3" t="s">
        <v>108</v>
      </c>
      <c r="M920" s="0" t="str">
        <f aca="false">PROPER(L920)</f>
        <v>Timing Belt</v>
      </c>
      <c r="O920" s="0" t="e">
        <f aca="false" t="array" ref="O920:O920">IF(N920&lt;&gt;"",N920,_xlfn.xlookup(1,(L920:L1919=L920)*(N920:N1919&lt;&gt;""),N920:N1919,"Not Found"))</f>
        <v>#NAME?</v>
      </c>
      <c r="P920" s="4" t="n">
        <v>29718</v>
      </c>
      <c r="Q920" s="0" t="s">
        <v>91</v>
      </c>
      <c r="R920" s="0" t="str">
        <f aca="false">PROPER(Q920)</f>
        <v>Pos</v>
      </c>
      <c r="S920" s="0" t="s">
        <v>50</v>
      </c>
      <c r="T920" s="0" t="n">
        <v>5</v>
      </c>
      <c r="U920" s="5" t="n">
        <f aca="false">IF(ISBLANK(T920),AVERAGE(T920:T1919),T920)</f>
        <v>5</v>
      </c>
      <c r="V920" s="0" t="n">
        <v>2.3</v>
      </c>
      <c r="W920" s="0" t="s">
        <v>92</v>
      </c>
      <c r="X920" s="0" t="str">
        <f aca="false">IF(ISBLANK(W920),"No remarks",W920)</f>
        <v>Urgent service</v>
      </c>
      <c r="Y920" s="0" t="s">
        <v>52</v>
      </c>
      <c r="AA920" s="0" t="str">
        <f aca="false">PROPER(IF(ISBLANK(Z920),"Location Unavailable",Z920))</f>
        <v>Location Unavailable</v>
      </c>
      <c r="AB920" s="0" t="s">
        <v>54</v>
      </c>
      <c r="AC920" s="6" t="str">
        <f aca="false">PROPER(AB920)</f>
        <v>Mechanic Referral</v>
      </c>
      <c r="AD920" s="6" t="n">
        <v>60</v>
      </c>
      <c r="AE920" s="5" t="n">
        <f aca="false">IF(ISBLANK(AD920),AVERAGEIF(L920:L1919,L920,AD920:AD1919),AD920)</f>
        <v>60</v>
      </c>
      <c r="AF920" s="0" t="s">
        <v>112</v>
      </c>
      <c r="AG920" s="0" t="str">
        <f aca="false">PROPER(AF920)</f>
        <v>Unavailable</v>
      </c>
      <c r="AH920" s="0" t="s">
        <v>155</v>
      </c>
      <c r="AI920" s="0" t="s">
        <v>78</v>
      </c>
      <c r="AJ920" s="0" t="str">
        <f aca="false">PROPER(AI920)</f>
        <v>Booking</v>
      </c>
      <c r="AK920" s="0" t="s">
        <v>58</v>
      </c>
      <c r="AL920" s="0" t="str">
        <f aca="false">PROPER(AK920)</f>
        <v>Fleet Owner</v>
      </c>
      <c r="AM920" s="0" t="s">
        <v>2324</v>
      </c>
      <c r="AN920" s="0" t="str">
        <f aca="false">IF(ISBLANK(AM920),"Unknown",AM920)</f>
        <v>Logistics Convoy</v>
      </c>
      <c r="AO920" s="0" t="s">
        <v>143</v>
      </c>
      <c r="AP920" s="0" t="str">
        <f aca="false">IF(ISBLANK(AO920),"Unknown",AO920)</f>
        <v>Senior</v>
      </c>
      <c r="AR920" s="5" t="n">
        <f aca="false">IF(ISBLANK(AQ920),AVERAGEIF(M920:M1919,M920,AQ920:AQ1919),AQ920)</f>
        <v>25000</v>
      </c>
      <c r="AS920" s="0" t="n">
        <v>20000</v>
      </c>
      <c r="AT920" s="5" t="n">
        <f aca="false">IF(ISBLANK(AS920),AVERAGE(AS920:AS1919),AS920)</f>
        <v>20000</v>
      </c>
      <c r="AV920" s="0" t="str">
        <f aca="false">PROPER(IF(ISBLANK(AU920),"No",AU920))</f>
        <v>No</v>
      </c>
      <c r="AW920" s="0" t="n">
        <v>10000</v>
      </c>
      <c r="AX920" s="5" t="n">
        <f aca="false">IF(ISBLANK(AW920),0,AW920)</f>
        <v>10000</v>
      </c>
      <c r="AY920" s="0" t="s">
        <v>80</v>
      </c>
      <c r="AZ920" s="0" t="str">
        <f aca="false">UPPER(IF(ISBLANK(AY920),"NONE",AY920))</f>
        <v>PROMO10</v>
      </c>
      <c r="BB920" s="7" t="str">
        <f aca="false">IF(ISBLANK(BA920),"No Follow Up Needed",BA920)</f>
        <v>No Follow Up Needed</v>
      </c>
      <c r="BC920" s="0" t="s">
        <v>61</v>
      </c>
      <c r="BD920" s="0" t="str">
        <f aca="false">PROPER(IF(ISBLANK(BC920),"Unknown",BC920))</f>
        <v>No</v>
      </c>
      <c r="BE920" s="0" t="s">
        <v>171</v>
      </c>
      <c r="BF920" s="0" t="str">
        <f aca="false">IF(ISBLANK(BE920),"No comments",BE920)</f>
        <v>Shock absorber weakening</v>
      </c>
      <c r="BH920" s="0" t="str">
        <f aca="false">IF(ISBLANK(BG920),"No comments",BG920)</f>
        <v>No comments</v>
      </c>
      <c r="BJ920" s="0" t="str">
        <f aca="false">IF(ISBLANK(BI920),"Not Mentioned",BI920)</f>
        <v>Not Mentioned</v>
      </c>
      <c r="BL920" s="0" t="str">
        <f aca="false">PROPER(IF(ISBLANK(BK920),"Not Mentioned",BK920))</f>
        <v>Not Mentioned</v>
      </c>
      <c r="BM920" s="0" t="s">
        <v>50</v>
      </c>
      <c r="BN920" s="0" t="str">
        <f aca="false">PROPER(IF(ISBLANK(BM920),"Not Mentioned",BM920))</f>
        <v>No</v>
      </c>
      <c r="BO920" s="0" t="s">
        <v>2318</v>
      </c>
      <c r="BP920" s="0" t="str">
        <f aca="false">IF(ISBLANK(BO920),"One-Time Plan",BO920)</f>
        <v>Gold</v>
      </c>
      <c r="BR920" s="0" t="str">
        <f aca="false">PROPER(IF(ISBLANK(BQ920),"No",BQ920))</f>
        <v>No</v>
      </c>
    </row>
    <row r="921" customFormat="false" ht="15" hidden="false" customHeight="false" outlineLevel="0" collapsed="false">
      <c r="A921" s="0" t="s">
        <v>2123</v>
      </c>
      <c r="B921" s="2" t="n">
        <v>45821</v>
      </c>
      <c r="C921" s="2" t="str">
        <f aca="false">TEXT(B921,"dd/mm/yyyy")</f>
        <v>13/06/2025</v>
      </c>
      <c r="D921" s="0" t="s">
        <v>105</v>
      </c>
      <c r="E921" s="0" t="n">
        <v>8063929804</v>
      </c>
      <c r="F921" s="0" t="s">
        <v>85</v>
      </c>
      <c r="G921" s="0" t="s">
        <v>2319</v>
      </c>
      <c r="H921" s="0" t="s">
        <v>2124</v>
      </c>
      <c r="I921" s="0" t="s">
        <v>107</v>
      </c>
      <c r="K921" s="3" t="str">
        <f aca="false" t="array" ref="K921:K921">IFERROR(IF(J921&lt;&gt;"",J921,INDEX(J921:J1920,MATCH(1,(F921:F1920=F921)*(I921:I1920=I921)*(L921:L1920=L921)*(J921:J1920&lt;&gt;""),0))),"Not Found")</f>
        <v>Engine Knocking</v>
      </c>
      <c r="L921" s="3" t="s">
        <v>108</v>
      </c>
      <c r="M921" s="0" t="str">
        <f aca="false">PROPER(L921)</f>
        <v>Timing Belt</v>
      </c>
      <c r="N921" s="3" t="s">
        <v>109</v>
      </c>
      <c r="O921" s="0" t="str">
        <f aca="false" t="array" ref="O921:O921">IF(N921&lt;&gt;"",N921,_xlfn.xlookup(1,(L921:L1920=L921)*(N921:N1920&lt;&gt;""),N921:N1920,"Not Found"))</f>
        <v>Tijani</v>
      </c>
      <c r="P921" s="4" t="n">
        <v>70733</v>
      </c>
      <c r="Q921" s="0" t="s">
        <v>124</v>
      </c>
      <c r="R921" s="0" t="str">
        <f aca="false">PROPER(Q921)</f>
        <v>Cash</v>
      </c>
      <c r="S921" s="0" t="s">
        <v>50</v>
      </c>
      <c r="T921" s="0" t="n">
        <v>4</v>
      </c>
      <c r="U921" s="5" t="n">
        <f aca="false">IF(ISBLANK(T921),AVERAGE(T921:T1920),T921)</f>
        <v>4</v>
      </c>
      <c r="V921" s="0" t="n">
        <v>5.2</v>
      </c>
      <c r="W921" s="0" t="s">
        <v>111</v>
      </c>
      <c r="X921" s="0" t="str">
        <f aca="false">IF(ISBLANK(W921),"No remarks",W921)</f>
        <v>Changed all filters</v>
      </c>
      <c r="Y921" s="0" t="s">
        <v>73</v>
      </c>
      <c r="Z921" s="0" t="s">
        <v>53</v>
      </c>
      <c r="AA921" s="0" t="str">
        <f aca="false">PROPER(IF(ISBLANK(Z921),"Location Unavailable",Z921))</f>
        <v>Main Bay</v>
      </c>
      <c r="AB921" s="0" t="s">
        <v>147</v>
      </c>
      <c r="AC921" s="6" t="str">
        <f aca="false">PROPER(AB921)</f>
        <v>Instagram</v>
      </c>
      <c r="AD921" s="6" t="n">
        <v>45</v>
      </c>
      <c r="AE921" s="5" t="n">
        <f aca="false">IF(ISBLANK(AD921),AVERAGEIF(L921:L1920,L921,AD921:AD1920),AD921)</f>
        <v>45</v>
      </c>
      <c r="AF921" s="0" t="s">
        <v>112</v>
      </c>
      <c r="AG921" s="0" t="str">
        <f aca="false">PROPER(AF921)</f>
        <v>Unavailable</v>
      </c>
      <c r="AH921" s="0" t="s">
        <v>77</v>
      </c>
      <c r="AI921" s="0" t="s">
        <v>98</v>
      </c>
      <c r="AJ921" s="0" t="str">
        <f aca="false">PROPER(AI921)</f>
        <v>Emergency</v>
      </c>
      <c r="AK921" s="0" t="s">
        <v>196</v>
      </c>
      <c r="AL921" s="0" t="str">
        <f aca="false">PROPER(AK921)</f>
        <v>First Time</v>
      </c>
      <c r="AN921" s="0" t="str">
        <f aca="false">IF(ISBLANK(AM921),"Unknown",AM921)</f>
        <v>Unknown</v>
      </c>
      <c r="AO921" s="0" t="s">
        <v>149</v>
      </c>
      <c r="AP921" s="0" t="str">
        <f aca="false">IF(ISBLANK(AO921),"Unknown",AO921)</f>
        <v>Senior </v>
      </c>
      <c r="AR921" s="5" t="n">
        <f aca="false">IF(ISBLANK(AQ921),AVERAGEIF(M921:M1920,M921,AQ921:AQ1920),AQ921)</f>
        <v>25000</v>
      </c>
      <c r="AS921" s="0" t="n">
        <v>30000</v>
      </c>
      <c r="AT921" s="5" t="n">
        <f aca="false">IF(ISBLANK(AS921),AVERAGE(AS921:AS1920),AS921)</f>
        <v>30000</v>
      </c>
      <c r="AU921" s="0" t="s">
        <v>61</v>
      </c>
      <c r="AV921" s="0" t="str">
        <f aca="false">PROPER(IF(ISBLANK(AU921),"No",AU921))</f>
        <v>No</v>
      </c>
      <c r="AX921" s="5" t="n">
        <f aca="false">IF(ISBLANK(AW921),0,AW921)</f>
        <v>0</v>
      </c>
      <c r="AY921" s="0" t="s">
        <v>130</v>
      </c>
      <c r="AZ921" s="0" t="str">
        <f aca="false">UPPER(IF(ISBLANK(AY921),"NONE",AY921))</f>
        <v>LOYALTY10</v>
      </c>
      <c r="BA921" s="7" t="s">
        <v>2125</v>
      </c>
      <c r="BB921" s="7" t="str">
        <f aca="false">IF(ISBLANK(BA921),"No Follow Up Needed",BA921)</f>
        <v>18/06/2025</v>
      </c>
      <c r="BC921" s="0" t="s">
        <v>61</v>
      </c>
      <c r="BD921" s="0" t="str">
        <f aca="false">PROPER(IF(ISBLANK(BC921),"Unknown",BC921))</f>
        <v>No</v>
      </c>
      <c r="BE921" s="0" t="s">
        <v>116</v>
      </c>
      <c r="BF921" s="0" t="str">
        <f aca="false">IF(ISBLANK(BE921),"No comments",BE921)</f>
        <v>Needs tire alignment</v>
      </c>
      <c r="BG921" s="0" t="s">
        <v>2320</v>
      </c>
      <c r="BH921" s="0" t="str">
        <f aca="false">IF(ISBLANK(BG921),"No comments",BG921)</f>
        <v>No complaints</v>
      </c>
      <c r="BI921" s="0" t="s">
        <v>63</v>
      </c>
      <c r="BJ921" s="0" t="str">
        <f aca="false">IF(ISBLANK(BI921),"Not Mentioned",BI921)</f>
        <v>Yes</v>
      </c>
      <c r="BK921" s="0" t="s">
        <v>50</v>
      </c>
      <c r="BL921" s="0" t="str">
        <f aca="false">PROPER(IF(ISBLANK(BK921),"Not Mentioned",BK921))</f>
        <v>No</v>
      </c>
      <c r="BN921" s="0" t="str">
        <f aca="false">PROPER(IF(ISBLANK(BM921),"Not Mentioned",BM921))</f>
        <v>Not Mentioned</v>
      </c>
      <c r="BP921" s="0" t="str">
        <f aca="false">IF(ISBLANK(BO921),"One-Time Plan",BO921)</f>
        <v>One-Time Plan</v>
      </c>
      <c r="BQ921" s="0" t="s">
        <v>50</v>
      </c>
      <c r="BR921" s="0" t="str">
        <f aca="false">PROPER(IF(ISBLANK(BQ921),"No",BQ921))</f>
        <v>No</v>
      </c>
    </row>
    <row r="922" customFormat="false" ht="15" hidden="false" customHeight="false" outlineLevel="0" collapsed="false">
      <c r="A922" s="0" t="s">
        <v>2126</v>
      </c>
      <c r="B922" s="2" t="n">
        <v>45802</v>
      </c>
      <c r="C922" s="2" t="str">
        <f aca="false">TEXT(B922,"dd/mm/yyyy")</f>
        <v>25/05/2025</v>
      </c>
      <c r="D922" s="0" t="s">
        <v>105</v>
      </c>
      <c r="E922" s="0" t="n">
        <v>8028637880</v>
      </c>
      <c r="F922" s="0" t="s">
        <v>67</v>
      </c>
      <c r="G922" s="0" t="s">
        <v>2316</v>
      </c>
      <c r="H922" s="0" t="s">
        <v>2127</v>
      </c>
      <c r="I922" s="0" t="s">
        <v>45</v>
      </c>
      <c r="J922" s="0" t="s">
        <v>2322</v>
      </c>
      <c r="K922" s="3" t="str">
        <f aca="false" t="array" ref="K922:K922">IFERROR(IF(J922&lt;&gt;"",J922,INDEX(J922:J1921,MATCH(1,(F922:F1921=F922)*(I922:I1921=I922)*(L922:L1921=L922)*(J922:J1921&lt;&gt;""),0))),"Not Found")</f>
        <v>Brake Failure</v>
      </c>
      <c r="L922" s="3" t="s">
        <v>89</v>
      </c>
      <c r="M922" s="0" t="str">
        <f aca="false">PROPER(L922)</f>
        <v>Shock Absorbers</v>
      </c>
      <c r="N922" s="3" t="s">
        <v>71</v>
      </c>
      <c r="O922" s="0" t="str">
        <f aca="false" t="array" ref="O922:O922">IF(N922&lt;&gt;"",N922,_xlfn.xlookup(1,(L922:L1921=L922)*(N922:N1921&lt;&gt;""),N922:N1921,"Not Found"))</f>
        <v>Isaac Bobo</v>
      </c>
      <c r="P922" s="4" t="n">
        <v>105185</v>
      </c>
      <c r="Q922" s="0" t="s">
        <v>49</v>
      </c>
      <c r="R922" s="0" t="str">
        <f aca="false">PROPER(Q922)</f>
        <v>Transfer</v>
      </c>
      <c r="S922" s="0" t="s">
        <v>63</v>
      </c>
      <c r="T922" s="0" t="n">
        <v>5</v>
      </c>
      <c r="U922" s="5" t="n">
        <f aca="false">IF(ISBLANK(T922),AVERAGE(T922:T1921),T922)</f>
        <v>5</v>
      </c>
      <c r="V922" s="0" t="n">
        <v>1.1</v>
      </c>
      <c r="W922" s="0" t="s">
        <v>51</v>
      </c>
      <c r="X922" s="0" t="str">
        <f aca="false">IF(ISBLANK(W922),"No remarks",W922)</f>
        <v>Recommended further checks</v>
      </c>
      <c r="Y922" s="0" t="s">
        <v>93</v>
      </c>
      <c r="Z922" s="0" t="s">
        <v>53</v>
      </c>
      <c r="AA922" s="0" t="str">
        <f aca="false">PROPER(IF(ISBLANK(Z922),"Location Unavailable",Z922))</f>
        <v>Main Bay</v>
      </c>
      <c r="AB922" s="0" t="s">
        <v>147</v>
      </c>
      <c r="AC922" s="6" t="str">
        <f aca="false">PROPER(AB922)</f>
        <v>Instagram</v>
      </c>
      <c r="AD922" s="6" t="n">
        <v>15</v>
      </c>
      <c r="AE922" s="5" t="n">
        <f aca="false">IF(ISBLANK(AD922),AVERAGEIF(L922:L1921,L922,AD922:AD1921),AD922)</f>
        <v>15</v>
      </c>
      <c r="AF922" s="0" t="s">
        <v>55</v>
      </c>
      <c r="AG922" s="0" t="str">
        <f aca="false">PROPER(AF922)</f>
        <v>Available</v>
      </c>
      <c r="AH922" s="0" t="s">
        <v>155</v>
      </c>
      <c r="AI922" s="0" t="s">
        <v>113</v>
      </c>
      <c r="AJ922" s="0" t="str">
        <f aca="false">PROPER(AI922)</f>
        <v>Normal</v>
      </c>
      <c r="AK922" s="0" t="s">
        <v>114</v>
      </c>
      <c r="AL922" s="0" t="str">
        <f aca="false">PROPER(AK922)</f>
        <v>Returning</v>
      </c>
      <c r="AM922" s="0" t="s">
        <v>177</v>
      </c>
      <c r="AN922" s="0" t="str">
        <f aca="false">IF(ISBLANK(AM922),"Unknown",AM922)</f>
        <v>Private</v>
      </c>
      <c r="AO922" s="0" t="s">
        <v>79</v>
      </c>
      <c r="AP922" s="0" t="str">
        <f aca="false">IF(ISBLANK(AO922),"Unknown",AO922)</f>
        <v>Specialist</v>
      </c>
      <c r="AQ922" s="0" t="n">
        <v>20000</v>
      </c>
      <c r="AR922" s="5" t="n">
        <f aca="false">IF(ISBLANK(AQ922),AVERAGEIF(M922:M1921,M922,AQ922:AQ1921),AQ922)</f>
        <v>20000</v>
      </c>
      <c r="AS922" s="0" t="n">
        <v>40000</v>
      </c>
      <c r="AT922" s="5" t="n">
        <f aca="false">IF(ISBLANK(AS922),AVERAGE(AS922:AS1921),AS922)</f>
        <v>40000</v>
      </c>
      <c r="AU922" s="0" t="s">
        <v>63</v>
      </c>
      <c r="AV922" s="0" t="str">
        <f aca="false">PROPER(IF(ISBLANK(AU922),"No",AU922))</f>
        <v>Yes</v>
      </c>
      <c r="AW922" s="0" t="n">
        <v>5000</v>
      </c>
      <c r="AX922" s="5" t="n">
        <f aca="false">IF(ISBLANK(AW922),0,AW922)</f>
        <v>5000</v>
      </c>
      <c r="AY922" s="0" t="s">
        <v>184</v>
      </c>
      <c r="AZ922" s="0" t="str">
        <f aca="false">UPPER(IF(ISBLANK(AY922),"NONE",AY922))</f>
        <v>N/A</v>
      </c>
      <c r="BA922" s="7" t="n">
        <v>46001</v>
      </c>
      <c r="BB922" s="7" t="n">
        <f aca="false">IF(ISBLANK(BA922),"No Follow Up Needed",BA922)</f>
        <v>46001</v>
      </c>
      <c r="BC922" s="0" t="s">
        <v>82</v>
      </c>
      <c r="BD922" s="0" t="str">
        <f aca="false">PROPER(IF(ISBLANK(BC922),"Unknown",BC922))</f>
        <v>Yes</v>
      </c>
      <c r="BE922" s="0" t="s">
        <v>171</v>
      </c>
      <c r="BF922" s="0" t="str">
        <f aca="false">IF(ISBLANK(BE922),"No comments",BE922)</f>
        <v>Shock absorber weakening</v>
      </c>
      <c r="BG922" s="0" t="s">
        <v>172</v>
      </c>
      <c r="BH922" s="0" t="str">
        <f aca="false">IF(ISBLANK(BG922),"No comments",BG922)</f>
        <v>Always late</v>
      </c>
      <c r="BI922" s="0" t="s">
        <v>63</v>
      </c>
      <c r="BJ922" s="0" t="str">
        <f aca="false">IF(ISBLANK(BI922),"Not Mentioned",BI922)</f>
        <v>Yes</v>
      </c>
      <c r="BK922" s="0" t="s">
        <v>61</v>
      </c>
      <c r="BL922" s="0" t="str">
        <f aca="false">PROPER(IF(ISBLANK(BK922),"Not Mentioned",BK922))</f>
        <v>No</v>
      </c>
      <c r="BM922" s="0" t="s">
        <v>63</v>
      </c>
      <c r="BN922" s="0" t="str">
        <f aca="false">PROPER(IF(ISBLANK(BM922),"Not Mentioned",BM922))</f>
        <v>Yes</v>
      </c>
      <c r="BO922" s="0" t="s">
        <v>2321</v>
      </c>
      <c r="BP922" s="0" t="str">
        <f aca="false">IF(ISBLANK(BO922),"One-Time Plan",BO922)</f>
        <v>One-Time Plan</v>
      </c>
      <c r="BQ922" s="0" t="s">
        <v>63</v>
      </c>
      <c r="BR922" s="0" t="str">
        <f aca="false">PROPER(IF(ISBLANK(BQ922),"No",BQ922))</f>
        <v>Yes</v>
      </c>
    </row>
    <row r="923" customFormat="false" ht="15" hidden="false" customHeight="false" outlineLevel="0" collapsed="false">
      <c r="A923" s="0" t="s">
        <v>2128</v>
      </c>
      <c r="B923" s="2" t="n">
        <v>45818</v>
      </c>
      <c r="C923" s="2" t="str">
        <f aca="false">TEXT(B923,"dd/mm/yyyy")</f>
        <v>10/06/2025</v>
      </c>
      <c r="D923" s="0" t="s">
        <v>66</v>
      </c>
      <c r="E923" s="0" t="n">
        <v>8013446768</v>
      </c>
      <c r="F923" s="0" t="s">
        <v>139</v>
      </c>
      <c r="G923" s="0" t="s">
        <v>2323</v>
      </c>
      <c r="H923" s="0" t="s">
        <v>1624</v>
      </c>
      <c r="I923" s="0" t="s">
        <v>69</v>
      </c>
      <c r="J923" s="0" t="s">
        <v>87</v>
      </c>
      <c r="K923" s="3" t="str">
        <f aca="false" t="array" ref="K923:K923">IFERROR(IF(J923&lt;&gt;"",J923,INDEX(J923:J1922,MATCH(1,(F923:F1922=F923)*(I923:I1922=I923)*(L923:L1922=L923)*(J923:J1922&lt;&gt;""),0))),"Not Found")</f>
        <v>Oil Change</v>
      </c>
      <c r="L923" s="3" t="s">
        <v>189</v>
      </c>
      <c r="M923" s="0" t="str">
        <f aca="false">PROPER(L923)</f>
        <v>Battery</v>
      </c>
      <c r="N923" s="3" t="s">
        <v>109</v>
      </c>
      <c r="O923" s="0" t="str">
        <f aca="false" t="array" ref="O923:O923">IF(N923&lt;&gt;"",N923,_xlfn.xlookup(1,(L923:L1922=L923)*(N923:N1922&lt;&gt;""),N923:N1922,"Not Found"))</f>
        <v>Tijani</v>
      </c>
      <c r="P923" s="4" t="n">
        <v>108586</v>
      </c>
      <c r="Q923" s="0" t="s">
        <v>72</v>
      </c>
      <c r="R923" s="0" t="str">
        <f aca="false">PROPER(Q923)</f>
        <v>Pos</v>
      </c>
      <c r="S923" s="0" t="s">
        <v>63</v>
      </c>
      <c r="T923" s="0" t="n">
        <v>5</v>
      </c>
      <c r="U923" s="5" t="n">
        <f aca="false">IF(ISBLANK(T923),AVERAGE(T923:T1922),T923)</f>
        <v>5</v>
      </c>
      <c r="V923" s="0" t="n">
        <v>2.8</v>
      </c>
      <c r="W923" s="0" t="s">
        <v>111</v>
      </c>
      <c r="X923" s="0" t="str">
        <f aca="false">IF(ISBLANK(W923),"No remarks",W923)</f>
        <v>Changed all filters</v>
      </c>
      <c r="Y923" s="0" t="s">
        <v>52</v>
      </c>
      <c r="Z923" s="0" t="s">
        <v>159</v>
      </c>
      <c r="AA923" s="0" t="str">
        <f aca="false">PROPER(IF(ISBLANK(Z923),"Location Unavailable",Z923))</f>
        <v>Main Bay</v>
      </c>
      <c r="AB923" s="0" t="s">
        <v>75</v>
      </c>
      <c r="AC923" s="6" t="str">
        <f aca="false">PROPER(AB923)</f>
        <v>Mechanik Referal</v>
      </c>
      <c r="AD923" s="6" t="n">
        <v>45</v>
      </c>
      <c r="AE923" s="5" t="n">
        <f aca="false">IF(ISBLANK(AD923),AVERAGEIF(L923:L1922,L923,AD923:AD1922),AD923)</f>
        <v>45</v>
      </c>
      <c r="AF923" s="0" t="s">
        <v>112</v>
      </c>
      <c r="AG923" s="0" t="str">
        <f aca="false">PROPER(AF923)</f>
        <v>Unavailable</v>
      </c>
      <c r="AH923" s="0" t="s">
        <v>155</v>
      </c>
      <c r="AI923" s="0" t="s">
        <v>98</v>
      </c>
      <c r="AJ923" s="0" t="str">
        <f aca="false">PROPER(AI923)</f>
        <v>Emergency</v>
      </c>
      <c r="AK923" s="0" t="s">
        <v>58</v>
      </c>
      <c r="AL923" s="0" t="str">
        <f aca="false">PROPER(AK923)</f>
        <v>Fleet Owner</v>
      </c>
      <c r="AM923" s="0" t="s">
        <v>59</v>
      </c>
      <c r="AN923" s="0" t="str">
        <f aca="false">IF(ISBLANK(AM923),"Unknown",AM923)</f>
        <v>Bolt Driver</v>
      </c>
      <c r="AO923" s="0" t="s">
        <v>149</v>
      </c>
      <c r="AP923" s="0" t="str">
        <f aca="false">IF(ISBLANK(AO923),"Unknown",AO923)</f>
        <v>Senior </v>
      </c>
      <c r="AQ923" s="0" t="n">
        <v>20000</v>
      </c>
      <c r="AR923" s="5" t="n">
        <f aca="false">IF(ISBLANK(AQ923),AVERAGEIF(M923:M1922,M923,AQ923:AQ1922),AQ923)</f>
        <v>20000</v>
      </c>
      <c r="AS923" s="0" t="n">
        <v>35000</v>
      </c>
      <c r="AT923" s="5" t="n">
        <f aca="false">IF(ISBLANK(AS923),AVERAGE(AS923:AS1922),AS923)</f>
        <v>35000</v>
      </c>
      <c r="AU923" s="0" t="s">
        <v>50</v>
      </c>
      <c r="AV923" s="0" t="str">
        <f aca="false">PROPER(IF(ISBLANK(AU923),"No",AU923))</f>
        <v>No</v>
      </c>
      <c r="AW923" s="0" t="n">
        <v>0</v>
      </c>
      <c r="AX923" s="5" t="n">
        <f aca="false">IF(ISBLANK(AW923),0,AW923)</f>
        <v>0</v>
      </c>
      <c r="AY923" s="0" t="s">
        <v>80</v>
      </c>
      <c r="AZ923" s="0" t="str">
        <f aca="false">UPPER(IF(ISBLANK(AY923),"NONE",AY923))</f>
        <v>PROMO10</v>
      </c>
      <c r="BB923" s="7" t="str">
        <f aca="false">IF(ISBLANK(BA923),"No Follow Up Needed",BA923)</f>
        <v>No Follow Up Needed</v>
      </c>
      <c r="BC923" s="0" t="s">
        <v>82</v>
      </c>
      <c r="BD923" s="0" t="str">
        <f aca="false">PROPER(IF(ISBLANK(BC923),"Unknown",BC923))</f>
        <v>Yes</v>
      </c>
      <c r="BE923" s="0" t="s">
        <v>116</v>
      </c>
      <c r="BF923" s="0" t="str">
        <f aca="false">IF(ISBLANK(BE923),"No comments",BE923)</f>
        <v>Needs tire alignment</v>
      </c>
      <c r="BG923" s="0" t="s">
        <v>172</v>
      </c>
      <c r="BH923" s="0" t="str">
        <f aca="false">IF(ISBLANK(BG923),"No comments",BG923)</f>
        <v>Always late</v>
      </c>
      <c r="BI923" s="0" t="s">
        <v>50</v>
      </c>
      <c r="BJ923" s="0" t="str">
        <f aca="false">IF(ISBLANK(BI923),"Not Mentioned",BI923)</f>
        <v>No</v>
      </c>
      <c r="BL923" s="0" t="str">
        <f aca="false">PROPER(IF(ISBLANK(BK923),"Not Mentioned",BK923))</f>
        <v>Not Mentioned</v>
      </c>
      <c r="BM923" s="0" t="s">
        <v>63</v>
      </c>
      <c r="BN923" s="0" t="str">
        <f aca="false">PROPER(IF(ISBLANK(BM923),"Not Mentioned",BM923))</f>
        <v>Yes</v>
      </c>
      <c r="BO923" s="0" t="s">
        <v>2321</v>
      </c>
      <c r="BP923" s="0" t="str">
        <f aca="false">IF(ISBLANK(BO923),"One-Time Plan",BO923)</f>
        <v>One-Time Plan</v>
      </c>
      <c r="BQ923" s="0" t="s">
        <v>190</v>
      </c>
      <c r="BR923" s="0" t="str">
        <f aca="false">PROPER(IF(ISBLANK(BQ923),"No",BQ923))</f>
        <v>Yes</v>
      </c>
    </row>
    <row r="924" customFormat="false" ht="15" hidden="false" customHeight="false" outlineLevel="0" collapsed="false">
      <c r="A924" s="0" t="s">
        <v>2129</v>
      </c>
      <c r="B924" s="2" t="n">
        <v>45751</v>
      </c>
      <c r="C924" s="2" t="str">
        <f aca="false">TEXT(B924,"dd/mm/yyyy")</f>
        <v>04/04/2025</v>
      </c>
      <c r="D924" s="0" t="s">
        <v>66</v>
      </c>
      <c r="E924" s="0" t="n">
        <v>8090786882</v>
      </c>
      <c r="F924" s="0" t="s">
        <v>122</v>
      </c>
      <c r="G924" s="0" t="s">
        <v>2316</v>
      </c>
      <c r="H924" s="0" t="s">
        <v>2130</v>
      </c>
      <c r="I924" s="0" t="s">
        <v>69</v>
      </c>
      <c r="J924" s="0" t="s">
        <v>87</v>
      </c>
      <c r="K924" s="3" t="str">
        <f aca="false" t="array" ref="K924:K924">IFERROR(IF(J924&lt;&gt;"",J924,INDEX(J924:J1923,MATCH(1,(F924:F1923=F924)*(I924:I1923=I924)*(L924:L1923=L924)*(J924:J1923&lt;&gt;""),0))),"Not Found")</f>
        <v>Oil Change</v>
      </c>
      <c r="L924" s="3" t="s">
        <v>154</v>
      </c>
      <c r="M924" s="0" t="str">
        <f aca="false">PROPER(L924)</f>
        <v>Air Filter</v>
      </c>
      <c r="N924" s="3" t="s">
        <v>109</v>
      </c>
      <c r="O924" s="0" t="str">
        <f aca="false" t="array" ref="O924:O924">IF(N924&lt;&gt;"",N924,_xlfn.xlookup(1,(L924:L1923=L924)*(N924:N1923&lt;&gt;""),N924:N1923,"Not Found"))</f>
        <v>Tijani</v>
      </c>
      <c r="P924" s="4" t="n">
        <v>61393</v>
      </c>
      <c r="Q924" s="0" t="s">
        <v>49</v>
      </c>
      <c r="R924" s="0" t="str">
        <f aca="false">PROPER(Q924)</f>
        <v>Transfer</v>
      </c>
      <c r="S924" s="0" t="s">
        <v>50</v>
      </c>
      <c r="U924" s="5" t="n">
        <f aca="false">IF(ISBLANK(T924),AVERAGE(T924:T1923),T924)</f>
        <v>3.4375</v>
      </c>
      <c r="V924" s="0" t="n">
        <v>2.6</v>
      </c>
      <c r="X924" s="0" t="str">
        <f aca="false">IF(ISBLANK(W924),"No remarks",W924)</f>
        <v>No remarks</v>
      </c>
      <c r="Y924" s="0" t="s">
        <v>52</v>
      </c>
      <c r="Z924" s="0" t="s">
        <v>159</v>
      </c>
      <c r="AA924" s="0" t="str">
        <f aca="false">PROPER(IF(ISBLANK(Z924),"Location Unavailable",Z924))</f>
        <v>Main Bay</v>
      </c>
      <c r="AB924" s="0" t="s">
        <v>75</v>
      </c>
      <c r="AC924" s="6" t="str">
        <f aca="false">PROPER(AB924)</f>
        <v>Mechanik Referal</v>
      </c>
      <c r="AD924" s="6" t="n">
        <v>45</v>
      </c>
      <c r="AE924" s="5" t="n">
        <f aca="false">IF(ISBLANK(AD924),AVERAGEIF(L924:L1923,L924,AD924:AD1923),AD924)</f>
        <v>45</v>
      </c>
      <c r="AF924" s="0" t="s">
        <v>160</v>
      </c>
      <c r="AG924" s="0" t="str">
        <f aca="false">PROPER(AF924)</f>
        <v>Availaible</v>
      </c>
      <c r="AH924" s="0" t="s">
        <v>155</v>
      </c>
      <c r="AI924" s="0" t="s">
        <v>98</v>
      </c>
      <c r="AJ924" s="0" t="str">
        <f aca="false">PROPER(AI924)</f>
        <v>Emergency</v>
      </c>
      <c r="AK924" s="0" t="s">
        <v>99</v>
      </c>
      <c r="AL924" s="0" t="str">
        <f aca="false">PROPER(AK924)</f>
        <v>Uber Driver</v>
      </c>
      <c r="AN924" s="0" t="str">
        <f aca="false">IF(ISBLANK(AM924),"Unknown",AM924)</f>
        <v>Unknown</v>
      </c>
      <c r="AO924" s="0" t="s">
        <v>79</v>
      </c>
      <c r="AP924" s="0" t="str">
        <f aca="false">IF(ISBLANK(AO924),"Unknown",AO924)</f>
        <v>Specialist</v>
      </c>
      <c r="AQ924" s="0" t="n">
        <v>30000</v>
      </c>
      <c r="AR924" s="5" t="n">
        <f aca="false">IF(ISBLANK(AQ924),AVERAGEIF(M924:M1923,M924,AQ924:AQ1923),AQ924)</f>
        <v>30000</v>
      </c>
      <c r="AS924" s="0" t="n">
        <v>35000</v>
      </c>
      <c r="AT924" s="5" t="n">
        <f aca="false">IF(ISBLANK(AS924),AVERAGE(AS924:AS1923),AS924)</f>
        <v>35000</v>
      </c>
      <c r="AV924" s="0" t="str">
        <f aca="false">PROPER(IF(ISBLANK(AU924),"No",AU924))</f>
        <v>No</v>
      </c>
      <c r="AW924" s="0" t="n">
        <v>5000</v>
      </c>
      <c r="AX924" s="5" t="n">
        <f aca="false">IF(ISBLANK(AW924),0,AW924)</f>
        <v>5000</v>
      </c>
      <c r="AY924" s="0" t="s">
        <v>130</v>
      </c>
      <c r="AZ924" s="0" t="str">
        <f aca="false">UPPER(IF(ISBLANK(AY924),"NONE",AY924))</f>
        <v>LOYALTY10</v>
      </c>
      <c r="BB924" s="7" t="str">
        <f aca="false">IF(ISBLANK(BA924),"No Follow Up Needed",BA924)</f>
        <v>No Follow Up Needed</v>
      </c>
      <c r="BC924" s="0" t="s">
        <v>63</v>
      </c>
      <c r="BD924" s="0" t="str">
        <f aca="false">PROPER(IF(ISBLANK(BC924),"Unknown",BC924))</f>
        <v>Yes</v>
      </c>
      <c r="BE924" s="0" t="s">
        <v>116</v>
      </c>
      <c r="BF924" s="0" t="str">
        <f aca="false">IF(ISBLANK(BE924),"No comments",BE924)</f>
        <v>Needs tire alignment</v>
      </c>
      <c r="BG924" s="0" t="s">
        <v>2320</v>
      </c>
      <c r="BH924" s="0" t="str">
        <f aca="false">IF(ISBLANK(BG924),"No comments",BG924)</f>
        <v>No complaints</v>
      </c>
      <c r="BI924" s="0" t="s">
        <v>50</v>
      </c>
      <c r="BJ924" s="0" t="str">
        <f aca="false">IF(ISBLANK(BI924),"Not Mentioned",BI924)</f>
        <v>No</v>
      </c>
      <c r="BK924" s="0" t="s">
        <v>63</v>
      </c>
      <c r="BL924" s="0" t="str">
        <f aca="false">PROPER(IF(ISBLANK(BK924),"Not Mentioned",BK924))</f>
        <v>Yes</v>
      </c>
      <c r="BN924" s="0" t="str">
        <f aca="false">PROPER(IF(ISBLANK(BM924),"Not Mentioned",BM924))</f>
        <v>Not Mentioned</v>
      </c>
      <c r="BP924" s="0" t="str">
        <f aca="false">IF(ISBLANK(BO924),"One-Time Plan",BO924)</f>
        <v>One-Time Plan</v>
      </c>
      <c r="BR924" s="0" t="str">
        <f aca="false">PROPER(IF(ISBLANK(BQ924),"No",BQ924))</f>
        <v>No</v>
      </c>
    </row>
    <row r="925" customFormat="false" ht="15" hidden="false" customHeight="false" outlineLevel="0" collapsed="false">
      <c r="A925" s="0" t="s">
        <v>2131</v>
      </c>
      <c r="B925" s="2" t="s">
        <v>1200</v>
      </c>
      <c r="C925" s="2" t="str">
        <f aca="false">TEXT(B925,"dd/mm/yyyy")</f>
        <v>18/03/2025</v>
      </c>
      <c r="D925" s="0" t="s">
        <v>42</v>
      </c>
      <c r="E925" s="0" t="n">
        <v>8026494625</v>
      </c>
      <c r="F925" s="0" t="s">
        <v>85</v>
      </c>
      <c r="G925" s="0" t="s">
        <v>2319</v>
      </c>
      <c r="H925" s="0" t="s">
        <v>2132</v>
      </c>
      <c r="I925" s="0" t="s">
        <v>134</v>
      </c>
      <c r="J925" s="0" t="s">
        <v>2325</v>
      </c>
      <c r="K925" s="3" t="str">
        <f aca="false" t="array" ref="K925:K925">IFERROR(IF(J925&lt;&gt;"",J925,INDEX(J925:J1924,MATCH(1,(F925:F1924=F925)*(I925:I1924=I925)*(L925:L1924=L925)*(J925:J1924&lt;&gt;""),0))),"Not Found")</f>
        <v>Engine Knocking</v>
      </c>
      <c r="L925" s="3" t="s">
        <v>142</v>
      </c>
      <c r="M925" s="0" t="str">
        <f aca="false">PROPER(L925)</f>
        <v>Oil Filter, Brake Pads</v>
      </c>
      <c r="N925" s="3" t="s">
        <v>71</v>
      </c>
      <c r="O925" s="0" t="str">
        <f aca="false" t="array" ref="O925:O925">IF(N925&lt;&gt;"",N925,_xlfn.xlookup(1,(L925:L1924=L925)*(N925:N1924&lt;&gt;""),N925:N1924,"Not Found"))</f>
        <v>Isaac Bobo</v>
      </c>
      <c r="P925" s="4" t="n">
        <v>85837</v>
      </c>
      <c r="Q925" s="0" t="s">
        <v>72</v>
      </c>
      <c r="R925" s="0" t="str">
        <f aca="false">PROPER(Q925)</f>
        <v>Pos</v>
      </c>
      <c r="S925" s="0" t="s">
        <v>63</v>
      </c>
      <c r="T925" s="0" t="n">
        <v>2</v>
      </c>
      <c r="U925" s="5" t="n">
        <f aca="false">IF(ISBLANK(T925),AVERAGE(T925:T1924),T925)</f>
        <v>2</v>
      </c>
      <c r="V925" s="0" t="n">
        <v>2.2</v>
      </c>
      <c r="W925" s="0" t="s">
        <v>92</v>
      </c>
      <c r="X925" s="0" t="str">
        <f aca="false">IF(ISBLANK(W925),"No remarks",W925)</f>
        <v>Urgent service</v>
      </c>
      <c r="Y925" s="0" t="s">
        <v>93</v>
      </c>
      <c r="Z925" s="0" t="s">
        <v>136</v>
      </c>
      <c r="AA925" s="0" t="str">
        <f aca="false">PROPER(IF(ISBLANK(Z925),"Location Unavailable",Z925))</f>
        <v>Vip Section</v>
      </c>
      <c r="AB925" s="0" t="s">
        <v>147</v>
      </c>
      <c r="AC925" s="6" t="str">
        <f aca="false">PROPER(AB925)</f>
        <v>Instagram</v>
      </c>
      <c r="AD925" s="6" t="n">
        <v>45</v>
      </c>
      <c r="AE925" s="5" t="n">
        <f aca="false">IF(ISBLANK(AD925),AVERAGEIF(L925:L1924,L925,AD925:AD1924),AD925)</f>
        <v>45</v>
      </c>
      <c r="AF925" s="0" t="s">
        <v>160</v>
      </c>
      <c r="AG925" s="0" t="str">
        <f aca="false">PROPER(AF925)</f>
        <v>Availaible</v>
      </c>
      <c r="AH925" s="0" t="s">
        <v>56</v>
      </c>
      <c r="AI925" s="0" t="s">
        <v>98</v>
      </c>
      <c r="AJ925" s="0" t="str">
        <f aca="false">PROPER(AI925)</f>
        <v>Emergency</v>
      </c>
      <c r="AK925" s="0" t="s">
        <v>196</v>
      </c>
      <c r="AL925" s="0" t="str">
        <f aca="false">PROPER(AK925)</f>
        <v>First Time</v>
      </c>
      <c r="AM925" s="0" t="s">
        <v>2326</v>
      </c>
      <c r="AN925" s="0" t="str">
        <f aca="false">IF(ISBLANK(AM925),"Unknown",AM925)</f>
        <v>Government Convoy</v>
      </c>
      <c r="AO925" s="0" t="s">
        <v>161</v>
      </c>
      <c r="AP925" s="0" t="str">
        <f aca="false">IF(ISBLANK(AO925),"Unknown",AO925)</f>
        <v>Apprentice</v>
      </c>
      <c r="AQ925" s="0" t="n">
        <v>15000</v>
      </c>
      <c r="AR925" s="5" t="n">
        <f aca="false">IF(ISBLANK(AQ925),AVERAGEIF(M925:M1924,M925,AQ925:AQ1924),AQ925)</f>
        <v>15000</v>
      </c>
      <c r="AS925" s="0" t="n">
        <v>20000</v>
      </c>
      <c r="AT925" s="5" t="n">
        <f aca="false">IF(ISBLANK(AS925),AVERAGE(AS925:AS1924),AS925)</f>
        <v>20000</v>
      </c>
      <c r="AV925" s="0" t="str">
        <f aca="false">PROPER(IF(ISBLANK(AU925),"No",AU925))</f>
        <v>No</v>
      </c>
      <c r="AW925" s="0" t="n">
        <v>10000</v>
      </c>
      <c r="AX925" s="5" t="n">
        <f aca="false">IF(ISBLANK(AW925),0,AW925)</f>
        <v>10000</v>
      </c>
      <c r="AY925" s="0" t="s">
        <v>184</v>
      </c>
      <c r="AZ925" s="0" t="str">
        <f aca="false">UPPER(IF(ISBLANK(AY925),"NONE",AY925))</f>
        <v>N/A</v>
      </c>
      <c r="BA925" s="7" t="s">
        <v>556</v>
      </c>
      <c r="BB925" s="7" t="str">
        <f aca="false">IF(ISBLANK(BA925),"No Follow Up Needed",BA925)</f>
        <v>23/10/2025</v>
      </c>
      <c r="BC925" s="0" t="s">
        <v>61</v>
      </c>
      <c r="BD925" s="0" t="str">
        <f aca="false">PROPER(IF(ISBLANK(BC925),"Unknown",BC925))</f>
        <v>No</v>
      </c>
      <c r="BE925" s="0" t="s">
        <v>171</v>
      </c>
      <c r="BF925" s="0" t="str">
        <f aca="false">IF(ISBLANK(BE925),"No comments",BE925)</f>
        <v>Shock absorber weakening</v>
      </c>
      <c r="BG925" s="0" t="s">
        <v>172</v>
      </c>
      <c r="BH925" s="0" t="str">
        <f aca="false">IF(ISBLANK(BG925),"No comments",BG925)</f>
        <v>Always late</v>
      </c>
      <c r="BJ925" s="0" t="str">
        <f aca="false">IF(ISBLANK(BI925),"Not Mentioned",BI925)</f>
        <v>Not Mentioned</v>
      </c>
      <c r="BK925" s="0" t="s">
        <v>50</v>
      </c>
      <c r="BL925" s="0" t="str">
        <f aca="false">PROPER(IF(ISBLANK(BK925),"Not Mentioned",BK925))</f>
        <v>No</v>
      </c>
      <c r="BM925" s="0" t="s">
        <v>63</v>
      </c>
      <c r="BN925" s="0" t="str">
        <f aca="false">PROPER(IF(ISBLANK(BM925),"Not Mentioned",BM925))</f>
        <v>Yes</v>
      </c>
      <c r="BO925" s="0" t="s">
        <v>2321</v>
      </c>
      <c r="BP925" s="0" t="str">
        <f aca="false">IF(ISBLANK(BO925),"One-Time Plan",BO925)</f>
        <v>One-Time Plan</v>
      </c>
      <c r="BQ925" s="0" t="s">
        <v>63</v>
      </c>
      <c r="BR925" s="0" t="str">
        <f aca="false">PROPER(IF(ISBLANK(BQ925),"No",BQ925))</f>
        <v>Yes</v>
      </c>
    </row>
    <row r="926" customFormat="false" ht="15" hidden="false" customHeight="false" outlineLevel="0" collapsed="false">
      <c r="A926" s="0" t="s">
        <v>2133</v>
      </c>
      <c r="B926" s="2" t="n">
        <v>45739</v>
      </c>
      <c r="C926" s="2" t="str">
        <f aca="false">TEXT(B926,"dd/mm/yyyy")</f>
        <v>23/03/2025</v>
      </c>
      <c r="D926" s="0" t="s">
        <v>42</v>
      </c>
      <c r="E926" s="0" t="n">
        <v>8081219864</v>
      </c>
      <c r="F926" s="0" t="s">
        <v>139</v>
      </c>
      <c r="G926" s="0" t="s">
        <v>2323</v>
      </c>
      <c r="H926" s="0" t="s">
        <v>2134</v>
      </c>
      <c r="I926" s="0" t="s">
        <v>107</v>
      </c>
      <c r="J926" s="0" t="s">
        <v>87</v>
      </c>
      <c r="K926" s="3" t="str">
        <f aca="false" t="array" ref="K926:K926">IFERROR(IF(J926&lt;&gt;"",J926,INDEX(J926:J1925,MATCH(1,(F926:F1925=F926)*(I926:I1925=I926)*(L926:L1925=L926)*(J926:J1925&lt;&gt;""),0))),"Not Found")</f>
        <v>Oil Change</v>
      </c>
      <c r="L926" s="3" t="s">
        <v>47</v>
      </c>
      <c r="M926" s="0" t="str">
        <f aca="false">PROPER(L926)</f>
        <v>None</v>
      </c>
      <c r="N926" s="3" t="s">
        <v>48</v>
      </c>
      <c r="O926" s="0" t="str">
        <f aca="false" t="array" ref="O926:O926">IF(N926&lt;&gt;"",N926,_xlfn.xlookup(1,(L926:L1925=L926)*(N926:N1925&lt;&gt;""),N926:N1925,"Not Found"))</f>
        <v>Uche</v>
      </c>
      <c r="P926" s="4" t="n">
        <v>97854</v>
      </c>
      <c r="Q926" s="0" t="s">
        <v>72</v>
      </c>
      <c r="R926" s="0" t="str">
        <f aca="false">PROPER(Q926)</f>
        <v>Pos</v>
      </c>
      <c r="S926" s="0" t="s">
        <v>63</v>
      </c>
      <c r="T926" s="0" t="n">
        <v>5</v>
      </c>
      <c r="U926" s="5" t="n">
        <f aca="false">IF(ISBLANK(T926),AVERAGE(T926:T1925),T926)</f>
        <v>5</v>
      </c>
      <c r="V926" s="0" t="n">
        <v>3.1</v>
      </c>
      <c r="W926" s="0" t="s">
        <v>111</v>
      </c>
      <c r="X926" s="0" t="str">
        <f aca="false">IF(ISBLANK(W926),"No remarks",W926)</f>
        <v>Changed all filters</v>
      </c>
      <c r="Y926" s="0" t="s">
        <v>73</v>
      </c>
      <c r="Z926" s="0" t="s">
        <v>53</v>
      </c>
      <c r="AA926" s="0" t="str">
        <f aca="false">PROPER(IF(ISBLANK(Z926),"Location Unavailable",Z926))</f>
        <v>Main Bay</v>
      </c>
      <c r="AB926" s="0" t="s">
        <v>75</v>
      </c>
      <c r="AC926" s="6" t="str">
        <f aca="false">PROPER(AB926)</f>
        <v>Mechanik Referal</v>
      </c>
      <c r="AD926" s="6" t="n">
        <v>30</v>
      </c>
      <c r="AE926" s="5" t="n">
        <f aca="false">IF(ISBLANK(AD926),AVERAGEIF(L926:L1925,L926,AD926:AD1925),AD926)</f>
        <v>30</v>
      </c>
      <c r="AF926" s="0" t="s">
        <v>96</v>
      </c>
      <c r="AG926" s="0" t="str">
        <f aca="false">PROPER(AF926)</f>
        <v>Ordered</v>
      </c>
      <c r="AH926" s="0" t="s">
        <v>148</v>
      </c>
      <c r="AI926" s="0" t="s">
        <v>78</v>
      </c>
      <c r="AJ926" s="0" t="str">
        <f aca="false">PROPER(AI926)</f>
        <v>Booking</v>
      </c>
      <c r="AK926" s="0" t="s">
        <v>58</v>
      </c>
      <c r="AL926" s="0" t="str">
        <f aca="false">PROPER(AK926)</f>
        <v>Fleet Owner</v>
      </c>
      <c r="AN926" s="0" t="str">
        <f aca="false">IF(ISBLANK(AM926),"Unknown",AM926)</f>
        <v>Unknown</v>
      </c>
      <c r="AO926" s="0" t="s">
        <v>143</v>
      </c>
      <c r="AP926" s="0" t="str">
        <f aca="false">IF(ISBLANK(AO926),"Unknown",AO926)</f>
        <v>Senior</v>
      </c>
      <c r="AR926" s="5" t="n">
        <f aca="false">IF(ISBLANK(AQ926),AVERAGEIF(M926:M1925,M926,AQ926:AQ1925),AQ926)</f>
        <v>26363.6363636364</v>
      </c>
      <c r="AS926" s="0" t="n">
        <v>40000</v>
      </c>
      <c r="AT926" s="5" t="n">
        <f aca="false">IF(ISBLANK(AS926),AVERAGE(AS926:AS1925),AS926)</f>
        <v>40000</v>
      </c>
      <c r="AU926" s="0" t="s">
        <v>61</v>
      </c>
      <c r="AV926" s="0" t="str">
        <f aca="false">PROPER(IF(ISBLANK(AU926),"No",AU926))</f>
        <v>No</v>
      </c>
      <c r="AW926" s="0" t="n">
        <v>0</v>
      </c>
      <c r="AX926" s="5" t="n">
        <f aca="false">IF(ISBLANK(AW926),0,AW926)</f>
        <v>0</v>
      </c>
      <c r="AY926" s="0" t="s">
        <v>80</v>
      </c>
      <c r="AZ926" s="0" t="str">
        <f aca="false">UPPER(IF(ISBLANK(AY926),"NONE",AY926))</f>
        <v>PROMO10</v>
      </c>
      <c r="BA926" s="7" t="n">
        <v>46000</v>
      </c>
      <c r="BB926" s="7" t="n">
        <f aca="false">IF(ISBLANK(BA926),"No Follow Up Needed",BA926)</f>
        <v>46000</v>
      </c>
      <c r="BC926" s="0" t="s">
        <v>61</v>
      </c>
      <c r="BD926" s="0" t="str">
        <f aca="false">PROPER(IF(ISBLANK(BC926),"Unknown",BC926))</f>
        <v>No</v>
      </c>
      <c r="BE926" s="0" t="s">
        <v>171</v>
      </c>
      <c r="BF926" s="0" t="str">
        <f aca="false">IF(ISBLANK(BE926),"No comments",BE926)</f>
        <v>Shock absorber weakening</v>
      </c>
      <c r="BH926" s="0" t="str">
        <f aca="false">IF(ISBLANK(BG926),"No comments",BG926)</f>
        <v>No comments</v>
      </c>
      <c r="BI926" s="0" t="s">
        <v>50</v>
      </c>
      <c r="BJ926" s="0" t="str">
        <f aca="false">IF(ISBLANK(BI926),"Not Mentioned",BI926)</f>
        <v>No</v>
      </c>
      <c r="BK926" s="0" t="s">
        <v>50</v>
      </c>
      <c r="BL926" s="0" t="str">
        <f aca="false">PROPER(IF(ISBLANK(BK926),"Not Mentioned",BK926))</f>
        <v>No</v>
      </c>
      <c r="BM926" s="0" t="s">
        <v>63</v>
      </c>
      <c r="BN926" s="0" t="str">
        <f aca="false">PROPER(IF(ISBLANK(BM926),"Not Mentioned",BM926))</f>
        <v>Yes</v>
      </c>
      <c r="BO926" s="0" t="s">
        <v>2321</v>
      </c>
      <c r="BP926" s="0" t="str">
        <f aca="false">IF(ISBLANK(BO926),"One-Time Plan",BO926)</f>
        <v>One-Time Plan</v>
      </c>
      <c r="BR926" s="0" t="str">
        <f aca="false">PROPER(IF(ISBLANK(BQ926),"No",BQ926))</f>
        <v>No</v>
      </c>
    </row>
    <row r="927" customFormat="false" ht="15" hidden="false" customHeight="false" outlineLevel="0" collapsed="false">
      <c r="A927" s="0" t="s">
        <v>2135</v>
      </c>
      <c r="B927" s="2" t="n">
        <v>45731</v>
      </c>
      <c r="C927" s="2" t="str">
        <f aca="false">TEXT(B927,"dd/mm/yyyy")</f>
        <v>15/03/2025</v>
      </c>
      <c r="D927" s="0" t="s">
        <v>42</v>
      </c>
      <c r="E927" s="0" t="n">
        <v>8047509496</v>
      </c>
      <c r="F927" s="0" t="s">
        <v>85</v>
      </c>
      <c r="G927" s="0" t="s">
        <v>2319</v>
      </c>
      <c r="H927" s="0" t="s">
        <v>2136</v>
      </c>
      <c r="I927" s="0" t="s">
        <v>134</v>
      </c>
      <c r="K927" s="3" t="str">
        <f aca="false" t="array" ref="K927:K927">IFERROR(IF(J927&lt;&gt;"",J927,INDEX(J927:J1926,MATCH(1,(F927:F1926=F927)*(I927:I1926=I927)*(L927:L1926=L927)*(J927:J1926&lt;&gt;""),0))),"Not Found")</f>
        <v>Oil Change</v>
      </c>
      <c r="L927" s="3" t="s">
        <v>47</v>
      </c>
      <c r="M927" s="0" t="str">
        <f aca="false">PROPER(L927)</f>
        <v>None</v>
      </c>
      <c r="N927" s="3" t="s">
        <v>48</v>
      </c>
      <c r="O927" s="0" t="str">
        <f aca="false" t="array" ref="O927:O927">IF(N927&lt;&gt;"",N927,_xlfn.xlookup(1,(L927:L1926=L927)*(N927:N1926&lt;&gt;""),N927:N1926,"Not Found"))</f>
        <v>Uche</v>
      </c>
      <c r="P927" s="4" t="n">
        <v>72539</v>
      </c>
      <c r="Q927" s="0" t="s">
        <v>91</v>
      </c>
      <c r="R927" s="0" t="str">
        <f aca="false">PROPER(Q927)</f>
        <v>Pos</v>
      </c>
      <c r="S927" s="0" t="s">
        <v>63</v>
      </c>
      <c r="U927" s="5" t="n">
        <f aca="false">IF(ISBLANK(T927),AVERAGE(T927:T1926),T927)</f>
        <v>3.43548387096774</v>
      </c>
      <c r="V927" s="0" t="n">
        <v>1.1</v>
      </c>
      <c r="W927" s="0" t="s">
        <v>92</v>
      </c>
      <c r="X927" s="0" t="str">
        <f aca="false">IF(ISBLANK(W927),"No remarks",W927)</f>
        <v>Urgent service</v>
      </c>
      <c r="Y927" s="0" t="s">
        <v>93</v>
      </c>
      <c r="Z927" s="0" t="s">
        <v>53</v>
      </c>
      <c r="AA927" s="0" t="str">
        <f aca="false">PROPER(IF(ISBLANK(Z927),"Location Unavailable",Z927))</f>
        <v>Main Bay</v>
      </c>
      <c r="AB927" s="0" t="s">
        <v>95</v>
      </c>
      <c r="AC927" s="6" t="str">
        <f aca="false">PROPER(AB927)</f>
        <v>Road Sign</v>
      </c>
      <c r="AD927" s="6" t="n">
        <v>60</v>
      </c>
      <c r="AE927" s="5" t="n">
        <f aca="false">IF(ISBLANK(AD927),AVERAGEIF(L927:L1926,L927,AD927:AD1926),AD927)</f>
        <v>60</v>
      </c>
      <c r="AF927" s="0" t="s">
        <v>160</v>
      </c>
      <c r="AG927" s="0" t="str">
        <f aca="false">PROPER(AF927)</f>
        <v>Availaible</v>
      </c>
      <c r="AH927" s="0" t="s">
        <v>56</v>
      </c>
      <c r="AI927" s="0" t="s">
        <v>113</v>
      </c>
      <c r="AJ927" s="0" t="str">
        <f aca="false">PROPER(AI927)</f>
        <v>Normal</v>
      </c>
      <c r="AK927" s="0" t="s">
        <v>196</v>
      </c>
      <c r="AL927" s="0" t="str">
        <f aca="false">PROPER(AK927)</f>
        <v>First Time</v>
      </c>
      <c r="AN927" s="0" t="str">
        <f aca="false">IF(ISBLANK(AM927),"Unknown",AM927)</f>
        <v>Unknown</v>
      </c>
      <c r="AO927" s="0" t="s">
        <v>79</v>
      </c>
      <c r="AP927" s="0" t="str">
        <f aca="false">IF(ISBLANK(AO927),"Unknown",AO927)</f>
        <v>Specialist</v>
      </c>
      <c r="AQ927" s="0" t="n">
        <v>15000</v>
      </c>
      <c r="AR927" s="5" t="n">
        <f aca="false">IF(ISBLANK(AQ927),AVERAGEIF(M927:M1926,M927,AQ927:AQ1926),AQ927)</f>
        <v>15000</v>
      </c>
      <c r="AS927" s="0" t="n">
        <v>40000</v>
      </c>
      <c r="AT927" s="5" t="n">
        <f aca="false">IF(ISBLANK(AS927),AVERAGE(AS927:AS1926),AS927)</f>
        <v>40000</v>
      </c>
      <c r="AU927" s="0" t="s">
        <v>61</v>
      </c>
      <c r="AV927" s="0" t="str">
        <f aca="false">PROPER(IF(ISBLANK(AU927),"No",AU927))</f>
        <v>No</v>
      </c>
      <c r="AW927" s="0" t="n">
        <v>5000</v>
      </c>
      <c r="AX927" s="5" t="n">
        <f aca="false">IF(ISBLANK(AW927),0,AW927)</f>
        <v>5000</v>
      </c>
      <c r="AY927" s="0" t="s">
        <v>184</v>
      </c>
      <c r="AZ927" s="0" t="str">
        <f aca="false">UPPER(IF(ISBLANK(AY927),"NONE",AY927))</f>
        <v>N/A</v>
      </c>
      <c r="BA927" s="7" t="n">
        <v>45939</v>
      </c>
      <c r="BB927" s="7" t="n">
        <f aca="false">IF(ISBLANK(BA927),"No Follow Up Needed",BA927)</f>
        <v>45939</v>
      </c>
      <c r="BC927" s="0" t="s">
        <v>63</v>
      </c>
      <c r="BD927" s="0" t="str">
        <f aca="false">PROPER(IF(ISBLANK(BC927),"Unknown",BC927))</f>
        <v>Yes</v>
      </c>
      <c r="BE927" s="0" t="s">
        <v>116</v>
      </c>
      <c r="BF927" s="0" t="str">
        <f aca="false">IF(ISBLANK(BE927),"No comments",BE927)</f>
        <v>Needs tire alignment</v>
      </c>
      <c r="BG927" s="0" t="s">
        <v>117</v>
      </c>
      <c r="BH927" s="0" t="str">
        <f aca="false">IF(ISBLANK(BG927),"No comments",BG927)</f>
        <v>Prefers morning</v>
      </c>
      <c r="BJ927" s="0" t="str">
        <f aca="false">IF(ISBLANK(BI927),"Not Mentioned",BI927)</f>
        <v>Not Mentioned</v>
      </c>
      <c r="BK927" s="0" t="s">
        <v>61</v>
      </c>
      <c r="BL927" s="0" t="str">
        <f aca="false">PROPER(IF(ISBLANK(BK927),"Not Mentioned",BK927))</f>
        <v>No</v>
      </c>
      <c r="BM927" s="0" t="s">
        <v>63</v>
      </c>
      <c r="BN927" s="0" t="str">
        <f aca="false">PROPER(IF(ISBLANK(BM927),"Not Mentioned",BM927))</f>
        <v>Yes</v>
      </c>
      <c r="BO927" s="0" t="s">
        <v>2321</v>
      </c>
      <c r="BP927" s="0" t="str">
        <f aca="false">IF(ISBLANK(BO927),"One-Time Plan",BO927)</f>
        <v>One-Time Plan</v>
      </c>
      <c r="BQ927" s="0" t="s">
        <v>190</v>
      </c>
      <c r="BR927" s="0" t="str">
        <f aca="false">PROPER(IF(ISBLANK(BQ927),"No",BQ927))</f>
        <v>Yes</v>
      </c>
    </row>
    <row r="928" customFormat="false" ht="15" hidden="false" customHeight="false" outlineLevel="0" collapsed="false">
      <c r="A928" s="0" t="s">
        <v>2137</v>
      </c>
      <c r="B928" s="2" t="n">
        <v>45699</v>
      </c>
      <c r="C928" s="2" t="str">
        <f aca="false">TEXT(B928,"dd/mm/yyyy")</f>
        <v>11/02/2025</v>
      </c>
      <c r="D928" s="0" t="s">
        <v>121</v>
      </c>
      <c r="E928" s="0" t="n">
        <v>8043358157</v>
      </c>
      <c r="F928" s="0" t="s">
        <v>85</v>
      </c>
      <c r="G928" s="0" t="s">
        <v>2319</v>
      </c>
      <c r="H928" s="0" t="s">
        <v>2138</v>
      </c>
      <c r="I928" s="0" t="s">
        <v>69</v>
      </c>
      <c r="J928" s="0" t="s">
        <v>2325</v>
      </c>
      <c r="K928" s="3" t="str">
        <f aca="false" t="array" ref="K928:K928">IFERROR(IF(J928&lt;&gt;"",J928,INDEX(J928:J1927,MATCH(1,(F928:F1927=F928)*(I928:I1927=I928)*(L928:L1927=L928)*(J928:J1927&lt;&gt;""),0))),"Not Found")</f>
        <v>Engine Knocking</v>
      </c>
      <c r="L928" s="3" t="s">
        <v>142</v>
      </c>
      <c r="M928" s="0" t="str">
        <f aca="false">PROPER(L928)</f>
        <v>Oil Filter, Brake Pads</v>
      </c>
      <c r="N928" s="3" t="s">
        <v>71</v>
      </c>
      <c r="O928" s="0" t="str">
        <f aca="false" t="array" ref="O928:O928">IF(N928&lt;&gt;"",N928,_xlfn.xlookup(1,(L928:L1927=L928)*(N928:N1927&lt;&gt;""),N928:N1927,"Not Found"))</f>
        <v>Isaac Bobo</v>
      </c>
      <c r="P928" s="4" t="n">
        <v>97108</v>
      </c>
      <c r="Q928" s="0" t="s">
        <v>166</v>
      </c>
      <c r="R928" s="0" t="str">
        <f aca="false">PROPER(Q928)</f>
        <v>Transfer</v>
      </c>
      <c r="S928" s="0" t="s">
        <v>63</v>
      </c>
      <c r="T928" s="0" t="n">
        <v>3</v>
      </c>
      <c r="U928" s="5" t="n">
        <f aca="false">IF(ISBLANK(T928),AVERAGE(T928:T1927),T928)</f>
        <v>3</v>
      </c>
      <c r="V928" s="0" t="n">
        <v>2.6</v>
      </c>
      <c r="W928" s="0" t="s">
        <v>51</v>
      </c>
      <c r="X928" s="0" t="str">
        <f aca="false">IF(ISBLANK(W928),"No remarks",W928)</f>
        <v>Recommended further checks</v>
      </c>
      <c r="Y928" s="0" t="s">
        <v>52</v>
      </c>
      <c r="Z928" s="0" t="s">
        <v>53</v>
      </c>
      <c r="AA928" s="0" t="str">
        <f aca="false">PROPER(IF(ISBLANK(Z928),"Location Unavailable",Z928))</f>
        <v>Main Bay</v>
      </c>
      <c r="AB928" s="0" t="s">
        <v>167</v>
      </c>
      <c r="AC928" s="6" t="str">
        <f aca="false">PROPER(AB928)</f>
        <v>Word Of Mouth</v>
      </c>
      <c r="AD928" s="6" t="n">
        <v>60</v>
      </c>
      <c r="AE928" s="5" t="n">
        <f aca="false">IF(ISBLANK(AD928),AVERAGEIF(L928:L1927,L928,AD928:AD1927),AD928)</f>
        <v>60</v>
      </c>
      <c r="AF928" s="0" t="s">
        <v>55</v>
      </c>
      <c r="AG928" s="0" t="str">
        <f aca="false">PROPER(AF928)</f>
        <v>Available</v>
      </c>
      <c r="AH928" s="0" t="s">
        <v>155</v>
      </c>
      <c r="AI928" s="0" t="s">
        <v>128</v>
      </c>
      <c r="AJ928" s="0" t="str">
        <f aca="false">PROPER(AI928)</f>
        <v>Normal</v>
      </c>
      <c r="AK928" s="0" t="s">
        <v>99</v>
      </c>
      <c r="AL928" s="0" t="str">
        <f aca="false">PROPER(AK928)</f>
        <v>Uber Driver</v>
      </c>
      <c r="AM928" s="0" t="s">
        <v>59</v>
      </c>
      <c r="AN928" s="0" t="str">
        <f aca="false">IF(ISBLANK(AM928),"Unknown",AM928)</f>
        <v>Bolt Driver</v>
      </c>
      <c r="AO928" s="0" t="s">
        <v>79</v>
      </c>
      <c r="AP928" s="0" t="str">
        <f aca="false">IF(ISBLANK(AO928),"Unknown",AO928)</f>
        <v>Specialist</v>
      </c>
      <c r="AQ928" s="0" t="n">
        <v>40000</v>
      </c>
      <c r="AR928" s="5" t="n">
        <f aca="false">IF(ISBLANK(AQ928),AVERAGEIF(M928:M1927,M928,AQ928:AQ1927),AQ928)</f>
        <v>40000</v>
      </c>
      <c r="AS928" s="0" t="n">
        <v>30000</v>
      </c>
      <c r="AT928" s="5" t="n">
        <f aca="false">IF(ISBLANK(AS928),AVERAGE(AS928:AS1927),AS928)</f>
        <v>30000</v>
      </c>
      <c r="AU928" s="0" t="s">
        <v>61</v>
      </c>
      <c r="AV928" s="0" t="str">
        <f aca="false">PROPER(IF(ISBLANK(AU928),"No",AU928))</f>
        <v>No</v>
      </c>
      <c r="AW928" s="0" t="n">
        <v>10000</v>
      </c>
      <c r="AX928" s="5" t="n">
        <f aca="false">IF(ISBLANK(AW928),0,AW928)</f>
        <v>10000</v>
      </c>
      <c r="AY928" s="0" t="s">
        <v>60</v>
      </c>
      <c r="AZ928" s="0" t="str">
        <f aca="false">UPPER(IF(ISBLANK(AY928),"NONE",AY928))</f>
        <v>NONE</v>
      </c>
      <c r="BA928" s="7" t="n">
        <v>45700</v>
      </c>
      <c r="BB928" s="7" t="n">
        <f aca="false">IF(ISBLANK(BA928),"No Follow Up Needed",BA928)</f>
        <v>45700</v>
      </c>
      <c r="BC928" s="0" t="s">
        <v>50</v>
      </c>
      <c r="BD928" s="0" t="str">
        <f aca="false">PROPER(IF(ISBLANK(BC928),"Unknown",BC928))</f>
        <v>No</v>
      </c>
      <c r="BE928" s="0" t="s">
        <v>171</v>
      </c>
      <c r="BF928" s="0" t="str">
        <f aca="false">IF(ISBLANK(BE928),"No comments",BE928)</f>
        <v>Shock absorber weakening</v>
      </c>
      <c r="BG928" s="0" t="s">
        <v>117</v>
      </c>
      <c r="BH928" s="0" t="str">
        <f aca="false">IF(ISBLANK(BG928),"No comments",BG928)</f>
        <v>Prefers morning</v>
      </c>
      <c r="BI928" s="0" t="s">
        <v>63</v>
      </c>
      <c r="BJ928" s="0" t="str">
        <f aca="false">IF(ISBLANK(BI928),"Not Mentioned",BI928)</f>
        <v>Yes</v>
      </c>
      <c r="BK928" s="0" t="s">
        <v>61</v>
      </c>
      <c r="BL928" s="0" t="str">
        <f aca="false">PROPER(IF(ISBLANK(BK928),"Not Mentioned",BK928))</f>
        <v>No</v>
      </c>
      <c r="BM928" s="0" t="s">
        <v>50</v>
      </c>
      <c r="BN928" s="0" t="str">
        <f aca="false">PROPER(IF(ISBLANK(BM928),"Not Mentioned",BM928))</f>
        <v>No</v>
      </c>
      <c r="BO928" s="0" t="s">
        <v>2318</v>
      </c>
      <c r="BP928" s="0" t="str">
        <f aca="false">IF(ISBLANK(BO928),"One-Time Plan",BO928)</f>
        <v>Gold</v>
      </c>
      <c r="BQ928" s="0" t="s">
        <v>190</v>
      </c>
      <c r="BR928" s="0" t="str">
        <f aca="false">PROPER(IF(ISBLANK(BQ928),"No",BQ928))</f>
        <v>Yes</v>
      </c>
    </row>
    <row r="929" customFormat="false" ht="15" hidden="false" customHeight="false" outlineLevel="0" collapsed="false">
      <c r="A929" s="0" t="s">
        <v>2139</v>
      </c>
      <c r="B929" s="2" t="n">
        <v>45761</v>
      </c>
      <c r="C929" s="2" t="str">
        <f aca="false">TEXT(B929,"dd/mm/yyyy")</f>
        <v>14/04/2025</v>
      </c>
      <c r="D929" s="0" t="s">
        <v>121</v>
      </c>
      <c r="E929" s="0" t="n">
        <v>8059449823</v>
      </c>
      <c r="F929" s="0" t="s">
        <v>67</v>
      </c>
      <c r="G929" s="0" t="s">
        <v>2316</v>
      </c>
      <c r="H929" s="0" t="s">
        <v>2140</v>
      </c>
      <c r="I929" s="0" t="s">
        <v>134</v>
      </c>
      <c r="K929" s="3" t="str">
        <f aca="false" t="array" ref="K929:K929">IFERROR(IF(J929&lt;&gt;"",J929,INDEX(J929:J1928,MATCH(1,(F929:F1928=F929)*(I929:I1928=I929)*(L929:L1928=L929)*(J929:J1928&lt;&gt;""),0))),"Not Found")</f>
        <v>Engine Knocking</v>
      </c>
      <c r="L929" s="3" t="s">
        <v>189</v>
      </c>
      <c r="M929" s="0" t="str">
        <f aca="false">PROPER(L929)</f>
        <v>Battery</v>
      </c>
      <c r="N929" s="3" t="s">
        <v>109</v>
      </c>
      <c r="O929" s="0" t="str">
        <f aca="false" t="array" ref="O929:O929">IF(N929&lt;&gt;"",N929,_xlfn.xlookup(1,(L929:L1928=L929)*(N929:N1928&lt;&gt;""),N929:N1928,"Not Found"))</f>
        <v>Tijani</v>
      </c>
      <c r="P929" s="4" t="n">
        <v>93281</v>
      </c>
      <c r="Q929" s="0" t="s">
        <v>91</v>
      </c>
      <c r="R929" s="0" t="str">
        <f aca="false">PROPER(Q929)</f>
        <v>Pos</v>
      </c>
      <c r="S929" s="0" t="s">
        <v>63</v>
      </c>
      <c r="T929" s="0" t="n">
        <v>3</v>
      </c>
      <c r="U929" s="5" t="n">
        <f aca="false">IF(ISBLANK(T929),AVERAGE(T929:T1928),T929)</f>
        <v>3</v>
      </c>
      <c r="V929" s="0" t="n">
        <v>5.7</v>
      </c>
      <c r="W929" s="0" t="s">
        <v>111</v>
      </c>
      <c r="X929" s="0" t="str">
        <f aca="false">IF(ISBLANK(W929),"No remarks",W929)</f>
        <v>Changed all filters</v>
      </c>
      <c r="Y929" s="0" t="s">
        <v>52</v>
      </c>
      <c r="AA929" s="0" t="str">
        <f aca="false">PROPER(IF(ISBLANK(Z929),"Location Unavailable",Z929))</f>
        <v>Location Unavailable</v>
      </c>
      <c r="AB929" s="0" t="s">
        <v>54</v>
      </c>
      <c r="AC929" s="6" t="str">
        <f aca="false">PROPER(AB929)</f>
        <v>Mechanic Referral</v>
      </c>
      <c r="AD929" s="6" t="n">
        <v>60</v>
      </c>
      <c r="AE929" s="5" t="n">
        <f aca="false">IF(ISBLANK(AD929),AVERAGEIF(L929:L1928,L929,AD929:AD1928),AD929)</f>
        <v>60</v>
      </c>
      <c r="AF929" s="0" t="s">
        <v>160</v>
      </c>
      <c r="AG929" s="0" t="str">
        <f aca="false">PROPER(AF929)</f>
        <v>Availaible</v>
      </c>
      <c r="AH929" s="0" t="s">
        <v>77</v>
      </c>
      <c r="AI929" s="0" t="s">
        <v>128</v>
      </c>
      <c r="AJ929" s="0" t="str">
        <f aca="false">PROPER(AI929)</f>
        <v>Normal</v>
      </c>
      <c r="AK929" s="0" t="s">
        <v>58</v>
      </c>
      <c r="AL929" s="0" t="str">
        <f aca="false">PROPER(AK929)</f>
        <v>Fleet Owner</v>
      </c>
      <c r="AN929" s="0" t="str">
        <f aca="false">IF(ISBLANK(AM929),"Unknown",AM929)</f>
        <v>Unknown</v>
      </c>
      <c r="AO929" s="0" t="s">
        <v>161</v>
      </c>
      <c r="AP929" s="0" t="str">
        <f aca="false">IF(ISBLANK(AO929),"Unknown",AO929)</f>
        <v>Apprentice</v>
      </c>
      <c r="AQ929" s="0" t="n">
        <v>40000</v>
      </c>
      <c r="AR929" s="5" t="n">
        <f aca="false">IF(ISBLANK(AQ929),AVERAGEIF(M929:M1928,M929,AQ929:AQ1928),AQ929)</f>
        <v>40000</v>
      </c>
      <c r="AT929" s="5" t="n">
        <f aca="false">IF(ISBLANK(AS929),AVERAGE(AS929:AS1928),AS929)</f>
        <v>30666.6666666667</v>
      </c>
      <c r="AU929" s="0" t="s">
        <v>82</v>
      </c>
      <c r="AV929" s="0" t="str">
        <f aca="false">PROPER(IF(ISBLANK(AU929),"No",AU929))</f>
        <v>Yes</v>
      </c>
      <c r="AX929" s="5" t="n">
        <f aca="false">IF(ISBLANK(AW929),0,AW929)</f>
        <v>0</v>
      </c>
      <c r="AY929" s="0" t="s">
        <v>184</v>
      </c>
      <c r="AZ929" s="0" t="str">
        <f aca="false">UPPER(IF(ISBLANK(AY929),"NONE",AY929))</f>
        <v>N/A</v>
      </c>
      <c r="BA929" s="7" t="s">
        <v>2141</v>
      </c>
      <c r="BB929" s="7" t="str">
        <f aca="false">IF(ISBLANK(BA929),"No Follow Up Needed",BA929)</f>
        <v>19/12/2025</v>
      </c>
      <c r="BC929" s="0" t="s">
        <v>50</v>
      </c>
      <c r="BD929" s="0" t="str">
        <f aca="false">PROPER(IF(ISBLANK(BC929),"Unknown",BC929))</f>
        <v>No</v>
      </c>
      <c r="BF929" s="0" t="str">
        <f aca="false">IF(ISBLANK(BE929),"No comments",BE929)</f>
        <v>No comments</v>
      </c>
      <c r="BG929" s="0" t="s">
        <v>117</v>
      </c>
      <c r="BH929" s="0" t="str">
        <f aca="false">IF(ISBLANK(BG929),"No comments",BG929)</f>
        <v>Prefers morning</v>
      </c>
      <c r="BI929" s="0" t="s">
        <v>50</v>
      </c>
      <c r="BJ929" s="0" t="str">
        <f aca="false">IF(ISBLANK(BI929),"Not Mentioned",BI929)</f>
        <v>No</v>
      </c>
      <c r="BK929" s="0" t="s">
        <v>50</v>
      </c>
      <c r="BL929" s="0" t="str">
        <f aca="false">PROPER(IF(ISBLANK(BK929),"Not Mentioned",BK929))</f>
        <v>No</v>
      </c>
      <c r="BM929" s="0" t="s">
        <v>50</v>
      </c>
      <c r="BN929" s="0" t="str">
        <f aca="false">PROPER(IF(ISBLANK(BM929),"Not Mentioned",BM929))</f>
        <v>No</v>
      </c>
      <c r="BO929" s="0" t="s">
        <v>2318</v>
      </c>
      <c r="BP929" s="0" t="str">
        <f aca="false">IF(ISBLANK(BO929),"One-Time Plan",BO929)</f>
        <v>Gold</v>
      </c>
      <c r="BQ929" s="0" t="s">
        <v>50</v>
      </c>
      <c r="BR929" s="0" t="str">
        <f aca="false">PROPER(IF(ISBLANK(BQ929),"No",BQ929))</f>
        <v>No</v>
      </c>
    </row>
    <row r="930" customFormat="false" ht="15" hidden="false" customHeight="false" outlineLevel="0" collapsed="false">
      <c r="A930" s="0" t="s">
        <v>2142</v>
      </c>
      <c r="B930" s="2" t="n">
        <v>45870</v>
      </c>
      <c r="C930" s="2" t="str">
        <f aca="false">TEXT(B930,"dd/mm/yyyy")</f>
        <v>01/08/2025</v>
      </c>
      <c r="D930" s="0" t="s">
        <v>42</v>
      </c>
      <c r="E930" s="0" t="n">
        <v>8070655417</v>
      </c>
      <c r="F930" s="0" t="s">
        <v>122</v>
      </c>
      <c r="G930" s="0" t="s">
        <v>2316</v>
      </c>
      <c r="H930" s="0" t="s">
        <v>2143</v>
      </c>
      <c r="I930" s="0" t="s">
        <v>87</v>
      </c>
      <c r="J930" s="0" t="s">
        <v>2322</v>
      </c>
      <c r="K930" s="3" t="str">
        <f aca="false" t="array" ref="K930:K930">IFERROR(IF(J930&lt;&gt;"",J930,INDEX(J930:J1929,MATCH(1,(F930:F1929=F930)*(I930:I1929=I930)*(L930:L1929=L930)*(J930:J1929&lt;&gt;""),0))),"Not Found")</f>
        <v>Brake Failure</v>
      </c>
      <c r="L930" s="3" t="s">
        <v>142</v>
      </c>
      <c r="M930" s="0" t="str">
        <f aca="false">PROPER(L930)</f>
        <v>Oil Filter, Brake Pads</v>
      </c>
      <c r="N930" s="3" t="s">
        <v>71</v>
      </c>
      <c r="O930" s="0" t="str">
        <f aca="false" t="array" ref="O930:O930">IF(N930&lt;&gt;"",N930,_xlfn.xlookup(1,(L930:L1929=L930)*(N930:N1929&lt;&gt;""),N930:N1929,"Not Found"))</f>
        <v>Isaac Bobo</v>
      </c>
      <c r="P930" s="4" t="n">
        <v>16556</v>
      </c>
      <c r="Q930" s="0" t="s">
        <v>110</v>
      </c>
      <c r="R930" s="0" t="str">
        <f aca="false">PROPER(Q930)</f>
        <v>Cash</v>
      </c>
      <c r="S930" s="0" t="s">
        <v>63</v>
      </c>
      <c r="U930" s="5" t="n">
        <f aca="false">IF(ISBLANK(T930),AVERAGE(T930:T1929),T930)</f>
        <v>3.45</v>
      </c>
      <c r="V930" s="0" t="n">
        <v>4</v>
      </c>
      <c r="W930" s="0" t="s">
        <v>111</v>
      </c>
      <c r="X930" s="0" t="str">
        <f aca="false">IF(ISBLANK(W930),"No remarks",W930)</f>
        <v>Changed all filters</v>
      </c>
      <c r="Y930" s="0" t="s">
        <v>73</v>
      </c>
      <c r="Z930" s="0" t="s">
        <v>53</v>
      </c>
      <c r="AA930" s="0" t="str">
        <f aca="false">PROPER(IF(ISBLANK(Z930),"Location Unavailable",Z930))</f>
        <v>Main Bay</v>
      </c>
      <c r="AB930" s="0" t="s">
        <v>147</v>
      </c>
      <c r="AC930" s="6" t="str">
        <f aca="false">PROPER(AB930)</f>
        <v>Instagram</v>
      </c>
      <c r="AE930" s="5" t="n">
        <f aca="false">IF(ISBLANK(AD930),AVERAGEIF(L930:L1929,L930,AD930:AD1929),AD930)</f>
        <v>39</v>
      </c>
      <c r="AF930" s="0" t="s">
        <v>96</v>
      </c>
      <c r="AG930" s="0" t="str">
        <f aca="false">PROPER(AF930)</f>
        <v>Ordered</v>
      </c>
      <c r="AH930" s="0" t="s">
        <v>155</v>
      </c>
      <c r="AI930" s="0" t="s">
        <v>78</v>
      </c>
      <c r="AJ930" s="0" t="str">
        <f aca="false">PROPER(AI930)</f>
        <v>Booking</v>
      </c>
      <c r="AK930" s="0" t="s">
        <v>196</v>
      </c>
      <c r="AL930" s="0" t="str">
        <f aca="false">PROPER(AK930)</f>
        <v>First Time</v>
      </c>
      <c r="AN930" s="0" t="str">
        <f aca="false">IF(ISBLANK(AM930),"Unknown",AM930)</f>
        <v>Unknown</v>
      </c>
      <c r="AP930" s="0" t="str">
        <f aca="false">IF(ISBLANK(AO930),"Unknown",AO930)</f>
        <v>Unknown</v>
      </c>
      <c r="AQ930" s="0" t="n">
        <v>20000</v>
      </c>
      <c r="AR930" s="5" t="n">
        <f aca="false">IF(ISBLANK(AQ930),AVERAGEIF(M930:M1929,M930,AQ930:AQ1929),AQ930)</f>
        <v>20000</v>
      </c>
      <c r="AS930" s="0" t="n">
        <v>30000</v>
      </c>
      <c r="AT930" s="5" t="n">
        <f aca="false">IF(ISBLANK(AS930),AVERAGE(AS930:AS1929),AS930)</f>
        <v>30000</v>
      </c>
      <c r="AU930" s="0" t="s">
        <v>61</v>
      </c>
      <c r="AV930" s="0" t="str">
        <f aca="false">PROPER(IF(ISBLANK(AU930),"No",AU930))</f>
        <v>No</v>
      </c>
      <c r="AW930" s="0" t="n">
        <v>0</v>
      </c>
      <c r="AX930" s="5" t="n">
        <f aca="false">IF(ISBLANK(AW930),0,AW930)</f>
        <v>0</v>
      </c>
      <c r="AY930" s="0" t="s">
        <v>184</v>
      </c>
      <c r="AZ930" s="0" t="str">
        <f aca="false">UPPER(IF(ISBLANK(AY930),"NONE",AY930))</f>
        <v>N/A</v>
      </c>
      <c r="BA930" s="7" t="n">
        <v>45942</v>
      </c>
      <c r="BB930" s="7" t="n">
        <f aca="false">IF(ISBLANK(BA930),"No Follow Up Needed",BA930)</f>
        <v>45942</v>
      </c>
      <c r="BC930" s="0" t="s">
        <v>50</v>
      </c>
      <c r="BD930" s="0" t="str">
        <f aca="false">PROPER(IF(ISBLANK(BC930),"Unknown",BC930))</f>
        <v>No</v>
      </c>
      <c r="BF930" s="0" t="str">
        <f aca="false">IF(ISBLANK(BE930),"No comments",BE930)</f>
        <v>No comments</v>
      </c>
      <c r="BH930" s="0" t="str">
        <f aca="false">IF(ISBLANK(BG930),"No comments",BG930)</f>
        <v>No comments</v>
      </c>
      <c r="BI930" s="0" t="s">
        <v>50</v>
      </c>
      <c r="BJ930" s="0" t="str">
        <f aca="false">IF(ISBLANK(BI930),"Not Mentioned",BI930)</f>
        <v>No</v>
      </c>
      <c r="BK930" s="0" t="s">
        <v>61</v>
      </c>
      <c r="BL930" s="0" t="str">
        <f aca="false">PROPER(IF(ISBLANK(BK930),"Not Mentioned",BK930))</f>
        <v>No</v>
      </c>
      <c r="BM930" s="0" t="s">
        <v>63</v>
      </c>
      <c r="BN930" s="0" t="str">
        <f aca="false">PROPER(IF(ISBLANK(BM930),"Not Mentioned",BM930))</f>
        <v>Yes</v>
      </c>
      <c r="BO930" s="0" t="s">
        <v>64</v>
      </c>
      <c r="BP930" s="0" t="str">
        <f aca="false">IF(ISBLANK(BO930),"One-Time Plan",BO930)</f>
        <v>Gold Maintenance Plan</v>
      </c>
      <c r="BQ930" s="0" t="s">
        <v>198</v>
      </c>
      <c r="BR930" s="0" t="str">
        <f aca="false">PROPER(IF(ISBLANK(BQ930),"No",BQ930))</f>
        <v>Followed Up</v>
      </c>
    </row>
    <row r="931" customFormat="false" ht="15" hidden="false" customHeight="false" outlineLevel="0" collapsed="false">
      <c r="A931" s="0" t="s">
        <v>2144</v>
      </c>
      <c r="B931" s="2" t="n">
        <v>45782</v>
      </c>
      <c r="C931" s="2" t="str">
        <f aca="false">TEXT(B931,"dd/mm/yyyy")</f>
        <v>05/05/2025</v>
      </c>
      <c r="D931" s="0" t="s">
        <v>163</v>
      </c>
      <c r="E931" s="0" t="n">
        <v>8092993759</v>
      </c>
      <c r="F931" s="0" t="s">
        <v>67</v>
      </c>
      <c r="G931" s="0" t="s">
        <v>2316</v>
      </c>
      <c r="H931" s="0" t="s">
        <v>2145</v>
      </c>
      <c r="I931" s="0" t="s">
        <v>45</v>
      </c>
      <c r="J931" s="0" t="s">
        <v>2317</v>
      </c>
      <c r="K931" s="3" t="str">
        <f aca="false" t="array" ref="K931:K931">IFERROR(IF(J931&lt;&gt;"",J931,INDEX(J931:J1930,MATCH(1,(F931:F1930=F931)*(I931:I1930=I931)*(L931:L1930=L931)*(J931:J1930&lt;&gt;""),0))),"Not Found")</f>
        <v>Suspension Noise</v>
      </c>
      <c r="L931" s="3" t="s">
        <v>189</v>
      </c>
      <c r="M931" s="0" t="str">
        <f aca="false">PROPER(L931)</f>
        <v>Battery</v>
      </c>
      <c r="N931" s="3" t="s">
        <v>48</v>
      </c>
      <c r="O931" s="0" t="str">
        <f aca="false" t="array" ref="O931:O931">IF(N931&lt;&gt;"",N931,_xlfn.xlookup(1,(L931:L1930=L931)*(N931:N1930&lt;&gt;""),N931:N1930,"Not Found"))</f>
        <v>Uche</v>
      </c>
      <c r="P931" s="4" t="n">
        <v>45013</v>
      </c>
      <c r="Q931" s="0" t="s">
        <v>110</v>
      </c>
      <c r="R931" s="0" t="str">
        <f aca="false">PROPER(Q931)</f>
        <v>Cash</v>
      </c>
      <c r="S931" s="0" t="s">
        <v>63</v>
      </c>
      <c r="T931" s="0" t="n">
        <v>4</v>
      </c>
      <c r="U931" s="5" t="n">
        <f aca="false">IF(ISBLANK(T931),AVERAGE(T931:T1930),T931)</f>
        <v>4</v>
      </c>
      <c r="V931" s="0" t="n">
        <v>2.3</v>
      </c>
      <c r="X931" s="0" t="str">
        <f aca="false">IF(ISBLANK(W931),"No remarks",W931)</f>
        <v>No remarks</v>
      </c>
      <c r="Y931" s="0" t="s">
        <v>52</v>
      </c>
      <c r="Z931" s="0" t="s">
        <v>94</v>
      </c>
      <c r="AA931" s="0" t="str">
        <f aca="false">PROPER(IF(ISBLANK(Z931),"Location Unavailable",Z931))</f>
        <v>Vip Section</v>
      </c>
      <c r="AB931" s="0" t="s">
        <v>147</v>
      </c>
      <c r="AC931" s="6" t="str">
        <f aca="false">PROPER(AB931)</f>
        <v>Instagram</v>
      </c>
      <c r="AD931" s="6" t="n">
        <v>15</v>
      </c>
      <c r="AE931" s="5" t="n">
        <f aca="false">IF(ISBLANK(AD931),AVERAGEIF(L931:L1930,L931,AD931:AD1930),AD931)</f>
        <v>15</v>
      </c>
      <c r="AF931" s="0" t="s">
        <v>55</v>
      </c>
      <c r="AG931" s="0" t="str">
        <f aca="false">PROPER(AF931)</f>
        <v>Available</v>
      </c>
      <c r="AH931" s="0" t="s">
        <v>56</v>
      </c>
      <c r="AI931" s="0" t="s">
        <v>98</v>
      </c>
      <c r="AJ931" s="0" t="str">
        <f aca="false">PROPER(AI931)</f>
        <v>Emergency</v>
      </c>
      <c r="AK931" s="0" t="s">
        <v>114</v>
      </c>
      <c r="AL931" s="0" t="str">
        <f aca="false">PROPER(AK931)</f>
        <v>Returning</v>
      </c>
      <c r="AN931" s="0" t="str">
        <f aca="false">IF(ISBLANK(AM931),"Unknown",AM931)</f>
        <v>Unknown</v>
      </c>
      <c r="AO931" s="0" t="s">
        <v>143</v>
      </c>
      <c r="AP931" s="0" t="str">
        <f aca="false">IF(ISBLANK(AO931),"Unknown",AO931)</f>
        <v>Senior</v>
      </c>
      <c r="AQ931" s="0" t="n">
        <v>30000</v>
      </c>
      <c r="AR931" s="5" t="n">
        <f aca="false">IF(ISBLANK(AQ931),AVERAGEIF(M931:M1930,M931,AQ931:AQ1930),AQ931)</f>
        <v>30000</v>
      </c>
      <c r="AS931" s="0" t="n">
        <v>30000</v>
      </c>
      <c r="AT931" s="5" t="n">
        <f aca="false">IF(ISBLANK(AS931),AVERAGE(AS931:AS1930),AS931)</f>
        <v>30000</v>
      </c>
      <c r="AU931" s="0" t="s">
        <v>82</v>
      </c>
      <c r="AV931" s="0" t="str">
        <f aca="false">PROPER(IF(ISBLANK(AU931),"No",AU931))</f>
        <v>Yes</v>
      </c>
      <c r="AX931" s="5" t="n">
        <f aca="false">IF(ISBLANK(AW931),0,AW931)</f>
        <v>0</v>
      </c>
      <c r="AY931" s="0" t="s">
        <v>60</v>
      </c>
      <c r="AZ931" s="0" t="str">
        <f aca="false">UPPER(IF(ISBLANK(AY931),"NONE",AY931))</f>
        <v>NONE</v>
      </c>
      <c r="BA931" s="7" t="s">
        <v>1079</v>
      </c>
      <c r="BB931" s="7" t="str">
        <f aca="false">IF(ISBLANK(BA931),"No Follow Up Needed",BA931)</f>
        <v>16/06/2025</v>
      </c>
      <c r="BD931" s="0" t="str">
        <f aca="false">PROPER(IF(ISBLANK(BC931),"Unknown",BC931))</f>
        <v>Unknown</v>
      </c>
      <c r="BF931" s="0" t="str">
        <f aca="false">IF(ISBLANK(BE931),"No comments",BE931)</f>
        <v>No comments</v>
      </c>
      <c r="BH931" s="0" t="str">
        <f aca="false">IF(ISBLANK(BG931),"No comments",BG931)</f>
        <v>No comments</v>
      </c>
      <c r="BI931" s="0" t="s">
        <v>63</v>
      </c>
      <c r="BJ931" s="0" t="str">
        <f aca="false">IF(ISBLANK(BI931),"Not Mentioned",BI931)</f>
        <v>Yes</v>
      </c>
      <c r="BK931" s="0" t="s">
        <v>50</v>
      </c>
      <c r="BL931" s="0" t="str">
        <f aca="false">PROPER(IF(ISBLANK(BK931),"Not Mentioned",BK931))</f>
        <v>No</v>
      </c>
      <c r="BN931" s="0" t="str">
        <f aca="false">PROPER(IF(ISBLANK(BM931),"Not Mentioned",BM931))</f>
        <v>Not Mentioned</v>
      </c>
      <c r="BP931" s="0" t="str">
        <f aca="false">IF(ISBLANK(BO931),"One-Time Plan",BO931)</f>
        <v>One-Time Plan</v>
      </c>
      <c r="BR931" s="0" t="str">
        <f aca="false">PROPER(IF(ISBLANK(BQ931),"No",BQ931))</f>
        <v>No</v>
      </c>
    </row>
    <row r="932" customFormat="false" ht="15" hidden="false" customHeight="false" outlineLevel="0" collapsed="false">
      <c r="A932" s="0" t="s">
        <v>2146</v>
      </c>
      <c r="B932" s="2" t="n">
        <v>45766</v>
      </c>
      <c r="C932" s="2" t="str">
        <f aca="false">TEXT(B932,"dd/mm/yyyy")</f>
        <v>19/04/2025</v>
      </c>
      <c r="D932" s="0" t="s">
        <v>66</v>
      </c>
      <c r="E932" s="0" t="n">
        <v>8098432853</v>
      </c>
      <c r="F932" s="0" t="s">
        <v>43</v>
      </c>
      <c r="G932" s="0" t="s">
        <v>2315</v>
      </c>
      <c r="H932" s="0" t="s">
        <v>2147</v>
      </c>
      <c r="I932" s="0" t="s">
        <v>69</v>
      </c>
      <c r="J932" s="0" t="s">
        <v>87</v>
      </c>
      <c r="K932" s="3" t="str">
        <f aca="false" t="array" ref="K932:K932">IFERROR(IF(J932&lt;&gt;"",J932,INDEX(J932:J1931,MATCH(1,(F932:F1931=F932)*(I932:I1931=I932)*(L932:L1931=L932)*(J932:J1931&lt;&gt;""),0))),"Not Found")</f>
        <v>Oil Change</v>
      </c>
      <c r="L932" s="3" t="s">
        <v>47</v>
      </c>
      <c r="M932" s="0" t="str">
        <f aca="false">PROPER(L932)</f>
        <v>None</v>
      </c>
      <c r="N932" s="3" t="s">
        <v>48</v>
      </c>
      <c r="O932" s="0" t="str">
        <f aca="false" t="array" ref="O932:O932">IF(N932&lt;&gt;"",N932,_xlfn.xlookup(1,(L932:L1931=L932)*(N932:N1931&lt;&gt;""),N932:N1931,"Not Found"))</f>
        <v>Uche</v>
      </c>
      <c r="P932" s="4" t="n">
        <v>15653</v>
      </c>
      <c r="Q932" s="0" t="s">
        <v>110</v>
      </c>
      <c r="R932" s="0" t="str">
        <f aca="false">PROPER(Q932)</f>
        <v>Cash</v>
      </c>
      <c r="S932" s="0" t="s">
        <v>63</v>
      </c>
      <c r="T932" s="0" t="n">
        <v>2</v>
      </c>
      <c r="U932" s="5" t="n">
        <f aca="false">IF(ISBLANK(T932),AVERAGE(T932:T1931),T932)</f>
        <v>2</v>
      </c>
      <c r="V932" s="0" t="n">
        <v>3.9</v>
      </c>
      <c r="X932" s="0" t="str">
        <f aca="false">IF(ISBLANK(W932),"No remarks",W932)</f>
        <v>No remarks</v>
      </c>
      <c r="Y932" s="0" t="s">
        <v>93</v>
      </c>
      <c r="Z932" s="0" t="s">
        <v>136</v>
      </c>
      <c r="AA932" s="0" t="str">
        <f aca="false">PROPER(IF(ISBLANK(Z932),"Location Unavailable",Z932))</f>
        <v>Vip Section</v>
      </c>
      <c r="AB932" s="0" t="s">
        <v>95</v>
      </c>
      <c r="AC932" s="6" t="str">
        <f aca="false">PROPER(AB932)</f>
        <v>Road Sign</v>
      </c>
      <c r="AE932" s="5" t="n">
        <f aca="false">IF(ISBLANK(AD932),AVERAGEIF(L932:L1931,L932,AD932:AD1931),AD932)</f>
        <v>37.5</v>
      </c>
      <c r="AF932" s="0" t="s">
        <v>112</v>
      </c>
      <c r="AG932" s="0" t="str">
        <f aca="false">PROPER(AF932)</f>
        <v>Unavailable</v>
      </c>
      <c r="AH932" s="0" t="s">
        <v>56</v>
      </c>
      <c r="AI932" s="0" t="s">
        <v>128</v>
      </c>
      <c r="AJ932" s="0" t="str">
        <f aca="false">PROPER(AI932)</f>
        <v>Normal</v>
      </c>
      <c r="AK932" s="0" t="s">
        <v>196</v>
      </c>
      <c r="AL932" s="0" t="str">
        <f aca="false">PROPER(AK932)</f>
        <v>First Time</v>
      </c>
      <c r="AM932" s="0" t="s">
        <v>177</v>
      </c>
      <c r="AN932" s="0" t="str">
        <f aca="false">IF(ISBLANK(AM932),"Unknown",AM932)</f>
        <v>Private</v>
      </c>
      <c r="AO932" s="0" t="s">
        <v>161</v>
      </c>
      <c r="AP932" s="0" t="str">
        <f aca="false">IF(ISBLANK(AO932),"Unknown",AO932)</f>
        <v>Apprentice</v>
      </c>
      <c r="AR932" s="5" t="n">
        <f aca="false">IF(ISBLANK(AQ932),AVERAGEIF(M932:M1931,M932,AQ932:AQ1931),AQ932)</f>
        <v>27500</v>
      </c>
      <c r="AS932" s="0" t="n">
        <v>30000</v>
      </c>
      <c r="AT932" s="5" t="n">
        <f aca="false">IF(ISBLANK(AS932),AVERAGE(AS932:AS1931),AS932)</f>
        <v>30000</v>
      </c>
      <c r="AU932" s="0" t="s">
        <v>61</v>
      </c>
      <c r="AV932" s="0" t="str">
        <f aca="false">PROPER(IF(ISBLANK(AU932),"No",AU932))</f>
        <v>No</v>
      </c>
      <c r="AW932" s="0" t="n">
        <v>10000</v>
      </c>
      <c r="AX932" s="5" t="n">
        <f aca="false">IF(ISBLANK(AW932),0,AW932)</f>
        <v>10000</v>
      </c>
      <c r="AY932" s="0" t="s">
        <v>130</v>
      </c>
      <c r="AZ932" s="0" t="str">
        <f aca="false">UPPER(IF(ISBLANK(AY932),"NONE",AY932))</f>
        <v>LOYALTY10</v>
      </c>
      <c r="BB932" s="7" t="str">
        <f aca="false">IF(ISBLANK(BA932),"No Follow Up Needed",BA932)</f>
        <v>No Follow Up Needed</v>
      </c>
      <c r="BC932" s="0" t="s">
        <v>63</v>
      </c>
      <c r="BD932" s="0" t="str">
        <f aca="false">PROPER(IF(ISBLANK(BC932),"Unknown",BC932))</f>
        <v>Yes</v>
      </c>
      <c r="BF932" s="0" t="str">
        <f aca="false">IF(ISBLANK(BE932),"No comments",BE932)</f>
        <v>No comments</v>
      </c>
      <c r="BH932" s="0" t="str">
        <f aca="false">IF(ISBLANK(BG932),"No comments",BG932)</f>
        <v>No comments</v>
      </c>
      <c r="BI932" s="0" t="s">
        <v>50</v>
      </c>
      <c r="BJ932" s="0" t="str">
        <f aca="false">IF(ISBLANK(BI932),"Not Mentioned",BI932)</f>
        <v>No</v>
      </c>
      <c r="BK932" s="0" t="s">
        <v>50</v>
      </c>
      <c r="BL932" s="0" t="str">
        <f aca="false">PROPER(IF(ISBLANK(BK932),"Not Mentioned",BK932))</f>
        <v>No</v>
      </c>
      <c r="BM932" s="0" t="s">
        <v>63</v>
      </c>
      <c r="BN932" s="0" t="str">
        <f aca="false">PROPER(IF(ISBLANK(BM932),"Not Mentioned",BM932))</f>
        <v>Yes</v>
      </c>
      <c r="BO932" s="0" t="s">
        <v>2318</v>
      </c>
      <c r="BP932" s="0" t="str">
        <f aca="false">IF(ISBLANK(BO932),"One-Time Plan",BO932)</f>
        <v>Gold</v>
      </c>
      <c r="BQ932" s="0" t="s">
        <v>50</v>
      </c>
      <c r="BR932" s="0" t="str">
        <f aca="false">PROPER(IF(ISBLANK(BQ932),"No",BQ932))</f>
        <v>No</v>
      </c>
    </row>
    <row r="933" customFormat="false" ht="15" hidden="false" customHeight="false" outlineLevel="0" collapsed="false">
      <c r="A933" s="0" t="s">
        <v>2148</v>
      </c>
      <c r="B933" s="2" t="n">
        <v>45698</v>
      </c>
      <c r="C933" s="2" t="str">
        <f aca="false">TEXT(B933,"dd/mm/yyyy")</f>
        <v>10/02/2025</v>
      </c>
      <c r="D933" s="0" t="s">
        <v>66</v>
      </c>
      <c r="E933" s="0" t="n">
        <v>8073780187</v>
      </c>
      <c r="F933" s="0" t="s">
        <v>122</v>
      </c>
      <c r="G933" s="0" t="s">
        <v>2316</v>
      </c>
      <c r="H933" s="0" t="s">
        <v>2149</v>
      </c>
      <c r="I933" s="0" t="s">
        <v>107</v>
      </c>
      <c r="J933" s="0" t="s">
        <v>2325</v>
      </c>
      <c r="K933" s="3" t="str">
        <f aca="false" t="array" ref="K933:K933">IFERROR(IF(J933&lt;&gt;"",J933,INDEX(J933:J1932,MATCH(1,(F933:F1932=F933)*(I933:I1932=I933)*(L933:L1932=L933)*(J933:J1932&lt;&gt;""),0))),"Not Found")</f>
        <v>Engine Knocking</v>
      </c>
      <c r="L933" s="3" t="s">
        <v>108</v>
      </c>
      <c r="M933" s="0" t="str">
        <f aca="false">PROPER(L933)</f>
        <v>Timing Belt</v>
      </c>
      <c r="N933" s="3" t="s">
        <v>90</v>
      </c>
      <c r="O933" s="0" t="str">
        <f aca="false" t="array" ref="O933:O933">IF(N933&lt;&gt;"",N933,_xlfn.xlookup(1,(L933:L1932=L933)*(N933:N1932&lt;&gt;""),N933:N1932,"Not Found"))</f>
        <v>Musa</v>
      </c>
      <c r="P933" s="4" t="n">
        <v>87180</v>
      </c>
      <c r="Q933" s="0" t="s">
        <v>124</v>
      </c>
      <c r="R933" s="0" t="str">
        <f aca="false">PROPER(Q933)</f>
        <v>Cash</v>
      </c>
      <c r="S933" s="0" t="s">
        <v>50</v>
      </c>
      <c r="U933" s="5" t="n">
        <f aca="false">IF(ISBLANK(T933),AVERAGE(T933:T1932),T933)</f>
        <v>3.46551724137931</v>
      </c>
      <c r="V933" s="0" t="n">
        <v>4.5</v>
      </c>
      <c r="W933" s="0" t="s">
        <v>51</v>
      </c>
      <c r="X933" s="0" t="str">
        <f aca="false">IF(ISBLANK(W933),"No remarks",W933)</f>
        <v>Recommended further checks</v>
      </c>
      <c r="Y933" s="0" t="s">
        <v>93</v>
      </c>
      <c r="Z933" s="0" t="s">
        <v>159</v>
      </c>
      <c r="AA933" s="0" t="str">
        <f aca="false">PROPER(IF(ISBLANK(Z933),"Location Unavailable",Z933))</f>
        <v>Main Bay</v>
      </c>
      <c r="AB933" s="0" t="s">
        <v>167</v>
      </c>
      <c r="AC933" s="6" t="str">
        <f aca="false">PROPER(AB933)</f>
        <v>Word Of Mouth</v>
      </c>
      <c r="AD933" s="6" t="n">
        <v>15</v>
      </c>
      <c r="AE933" s="5" t="n">
        <f aca="false">IF(ISBLANK(AD933),AVERAGEIF(L933:L1932,L933,AD933:AD1932),AD933)</f>
        <v>15</v>
      </c>
      <c r="AF933" s="0" t="s">
        <v>96</v>
      </c>
      <c r="AG933" s="0" t="str">
        <f aca="false">PROPER(AF933)</f>
        <v>Ordered</v>
      </c>
      <c r="AH933" s="0" t="s">
        <v>155</v>
      </c>
      <c r="AI933" s="0" t="s">
        <v>128</v>
      </c>
      <c r="AJ933" s="0" t="str">
        <f aca="false">PROPER(AI933)</f>
        <v>Normal</v>
      </c>
      <c r="AK933" s="0" t="s">
        <v>196</v>
      </c>
      <c r="AL933" s="0" t="str">
        <f aca="false">PROPER(AK933)</f>
        <v>First Time</v>
      </c>
      <c r="AN933" s="0" t="str">
        <f aca="false">IF(ISBLANK(AM933),"Unknown",AM933)</f>
        <v>Unknown</v>
      </c>
      <c r="AP933" s="0" t="str">
        <f aca="false">IF(ISBLANK(AO933),"Unknown",AO933)</f>
        <v>Unknown</v>
      </c>
      <c r="AQ933" s="0" t="n">
        <v>30000</v>
      </c>
      <c r="AR933" s="5" t="n">
        <f aca="false">IF(ISBLANK(AQ933),AVERAGEIF(M933:M1932,M933,AQ933:AQ1932),AQ933)</f>
        <v>30000</v>
      </c>
      <c r="AS933" s="0" t="n">
        <v>35000</v>
      </c>
      <c r="AT933" s="5" t="n">
        <f aca="false">IF(ISBLANK(AS933),AVERAGE(AS933:AS1932),AS933)</f>
        <v>35000</v>
      </c>
      <c r="AU933" s="0" t="s">
        <v>50</v>
      </c>
      <c r="AV933" s="0" t="str">
        <f aca="false">PROPER(IF(ISBLANK(AU933),"No",AU933))</f>
        <v>No</v>
      </c>
      <c r="AW933" s="0" t="n">
        <v>5000</v>
      </c>
      <c r="AX933" s="5" t="n">
        <f aca="false">IF(ISBLANK(AW933),0,AW933)</f>
        <v>5000</v>
      </c>
      <c r="AY933" s="0" t="s">
        <v>130</v>
      </c>
      <c r="AZ933" s="0" t="str">
        <f aca="false">UPPER(IF(ISBLANK(AY933),"NONE",AY933))</f>
        <v>LOYALTY10</v>
      </c>
      <c r="BB933" s="7" t="str">
        <f aca="false">IF(ISBLANK(BA933),"No Follow Up Needed",BA933)</f>
        <v>No Follow Up Needed</v>
      </c>
      <c r="BC933" s="0" t="s">
        <v>82</v>
      </c>
      <c r="BD933" s="0" t="str">
        <f aca="false">PROPER(IF(ISBLANK(BC933),"Unknown",BC933))</f>
        <v>Yes</v>
      </c>
      <c r="BE933" s="0" t="s">
        <v>116</v>
      </c>
      <c r="BF933" s="0" t="str">
        <f aca="false">IF(ISBLANK(BE933),"No comments",BE933)</f>
        <v>Needs tire alignment</v>
      </c>
      <c r="BG933" s="0" t="s">
        <v>2320</v>
      </c>
      <c r="BH933" s="0" t="str">
        <f aca="false">IF(ISBLANK(BG933),"No comments",BG933)</f>
        <v>No complaints</v>
      </c>
      <c r="BI933" s="0" t="s">
        <v>63</v>
      </c>
      <c r="BJ933" s="0" t="str">
        <f aca="false">IF(ISBLANK(BI933),"Not Mentioned",BI933)</f>
        <v>Yes</v>
      </c>
      <c r="BK933" s="0" t="s">
        <v>50</v>
      </c>
      <c r="BL933" s="0" t="str">
        <f aca="false">PROPER(IF(ISBLANK(BK933),"Not Mentioned",BK933))</f>
        <v>No</v>
      </c>
      <c r="BN933" s="0" t="str">
        <f aca="false">PROPER(IF(ISBLANK(BM933),"Not Mentioned",BM933))</f>
        <v>Not Mentioned</v>
      </c>
      <c r="BO933" s="0" t="s">
        <v>2318</v>
      </c>
      <c r="BP933" s="0" t="str">
        <f aca="false">IF(ISBLANK(BO933),"One-Time Plan",BO933)</f>
        <v>Gold</v>
      </c>
      <c r="BQ933" s="0" t="s">
        <v>50</v>
      </c>
      <c r="BR933" s="0" t="str">
        <f aca="false">PROPER(IF(ISBLANK(BQ933),"No",BQ933))</f>
        <v>No</v>
      </c>
    </row>
    <row r="934" customFormat="false" ht="15" hidden="false" customHeight="false" outlineLevel="0" collapsed="false">
      <c r="A934" s="0" t="s">
        <v>2150</v>
      </c>
      <c r="B934" s="2" t="n">
        <v>45724</v>
      </c>
      <c r="C934" s="2" t="str">
        <f aca="false">TEXT(B934,"dd/mm/yyyy")</f>
        <v>08/03/2025</v>
      </c>
      <c r="D934" s="0" t="s">
        <v>105</v>
      </c>
      <c r="E934" s="0" t="n">
        <v>8079110587</v>
      </c>
      <c r="F934" s="0" t="s">
        <v>67</v>
      </c>
      <c r="G934" s="0" t="s">
        <v>2316</v>
      </c>
      <c r="H934" s="0" t="s">
        <v>2151</v>
      </c>
      <c r="I934" s="0" t="s">
        <v>134</v>
      </c>
      <c r="J934" s="0" t="s">
        <v>2325</v>
      </c>
      <c r="K934" s="3" t="str">
        <f aca="false" t="array" ref="K934:K934">IFERROR(IF(J934&lt;&gt;"",J934,INDEX(J934:J1933,MATCH(1,(F934:F1933=F934)*(I934:I1933=I934)*(L934:L1933=L934)*(J934:J1933&lt;&gt;""),0))),"Not Found")</f>
        <v>Engine Knocking</v>
      </c>
      <c r="L934" s="3" t="s">
        <v>189</v>
      </c>
      <c r="M934" s="0" t="str">
        <f aca="false">PROPER(L934)</f>
        <v>Battery</v>
      </c>
      <c r="N934" s="3" t="s">
        <v>71</v>
      </c>
      <c r="O934" s="0" t="str">
        <f aca="false" t="array" ref="O934:O934">IF(N934&lt;&gt;"",N934,_xlfn.xlookup(1,(L934:L1933=L934)*(N934:N1933&lt;&gt;""),N934:N1933,"Not Found"))</f>
        <v>Isaac Bobo</v>
      </c>
      <c r="P934" s="4" t="n">
        <v>56483</v>
      </c>
      <c r="Q934" s="0" t="s">
        <v>72</v>
      </c>
      <c r="R934" s="0" t="str">
        <f aca="false">PROPER(Q934)</f>
        <v>Pos</v>
      </c>
      <c r="S934" s="0" t="s">
        <v>63</v>
      </c>
      <c r="U934" s="5" t="n">
        <f aca="false">IF(ISBLANK(T934),AVERAGE(T934:T1933),T934)</f>
        <v>3.46551724137931</v>
      </c>
      <c r="V934" s="0" t="n">
        <v>5.3</v>
      </c>
      <c r="X934" s="0" t="str">
        <f aca="false">IF(ISBLANK(W934),"No remarks",W934)</f>
        <v>No remarks</v>
      </c>
      <c r="Y934" s="0" t="s">
        <v>93</v>
      </c>
      <c r="Z934" s="0" t="s">
        <v>74</v>
      </c>
      <c r="AA934" s="0" t="str">
        <f aca="false">PROPER(IF(ISBLANK(Z934),"Location Unavailable",Z934))</f>
        <v>Under Tree</v>
      </c>
      <c r="AB934" s="0" t="s">
        <v>167</v>
      </c>
      <c r="AC934" s="6" t="str">
        <f aca="false">PROPER(AB934)</f>
        <v>Word Of Mouth</v>
      </c>
      <c r="AD934" s="6" t="n">
        <v>45</v>
      </c>
      <c r="AE934" s="5" t="n">
        <f aca="false">IF(ISBLANK(AD934),AVERAGEIF(L934:L1933,L934,AD934:AD1933),AD934)</f>
        <v>45</v>
      </c>
      <c r="AF934" s="0" t="s">
        <v>76</v>
      </c>
      <c r="AG934" s="0" t="str">
        <f aca="false">PROPER(AF934)</f>
        <v>Orderd</v>
      </c>
      <c r="AH934" s="0" t="s">
        <v>155</v>
      </c>
      <c r="AI934" s="0" t="s">
        <v>113</v>
      </c>
      <c r="AJ934" s="0" t="str">
        <f aca="false">PROPER(AI934)</f>
        <v>Normal</v>
      </c>
      <c r="AK934" s="0" t="s">
        <v>58</v>
      </c>
      <c r="AL934" s="0" t="str">
        <f aca="false">PROPER(AK934)</f>
        <v>Fleet Owner</v>
      </c>
      <c r="AM934" s="0" t="s">
        <v>177</v>
      </c>
      <c r="AN934" s="0" t="str">
        <f aca="false">IF(ISBLANK(AM934),"Unknown",AM934)</f>
        <v>Private</v>
      </c>
      <c r="AP934" s="0" t="str">
        <f aca="false">IF(ISBLANK(AO934),"Unknown",AO934)</f>
        <v>Unknown</v>
      </c>
      <c r="AR934" s="5" t="n">
        <f aca="false">IF(ISBLANK(AQ934),AVERAGEIF(M934:M1933,M934,AQ934:AQ1933),AQ934)</f>
        <v>28333.3333333333</v>
      </c>
      <c r="AS934" s="0" t="n">
        <v>40000</v>
      </c>
      <c r="AT934" s="5" t="n">
        <f aca="false">IF(ISBLANK(AS934),AVERAGE(AS934:AS1933),AS934)</f>
        <v>40000</v>
      </c>
      <c r="AU934" s="0" t="s">
        <v>63</v>
      </c>
      <c r="AV934" s="0" t="str">
        <f aca="false">PROPER(IF(ISBLANK(AU934),"No",AU934))</f>
        <v>Yes</v>
      </c>
      <c r="AX934" s="5" t="n">
        <f aca="false">IF(ISBLANK(AW934),0,AW934)</f>
        <v>0</v>
      </c>
      <c r="AY934" s="0" t="s">
        <v>184</v>
      </c>
      <c r="AZ934" s="0" t="str">
        <f aca="false">UPPER(IF(ISBLANK(AY934),"NONE",AY934))</f>
        <v>N/A</v>
      </c>
      <c r="BA934" s="7" t="n">
        <v>45937</v>
      </c>
      <c r="BB934" s="7" t="n">
        <f aca="false">IF(ISBLANK(BA934),"No Follow Up Needed",BA934)</f>
        <v>45937</v>
      </c>
      <c r="BC934" s="0" t="s">
        <v>82</v>
      </c>
      <c r="BD934" s="0" t="str">
        <f aca="false">PROPER(IF(ISBLANK(BC934),"Unknown",BC934))</f>
        <v>Yes</v>
      </c>
      <c r="BF934" s="0" t="str">
        <f aca="false">IF(ISBLANK(BE934),"No comments",BE934)</f>
        <v>No comments</v>
      </c>
      <c r="BH934" s="0" t="str">
        <f aca="false">IF(ISBLANK(BG934),"No comments",BG934)</f>
        <v>No comments</v>
      </c>
      <c r="BI934" s="0" t="s">
        <v>50</v>
      </c>
      <c r="BJ934" s="0" t="str">
        <f aca="false">IF(ISBLANK(BI934),"Not Mentioned",BI934)</f>
        <v>No</v>
      </c>
      <c r="BK934" s="0" t="s">
        <v>61</v>
      </c>
      <c r="BL934" s="0" t="str">
        <f aca="false">PROPER(IF(ISBLANK(BK934),"Not Mentioned",BK934))</f>
        <v>No</v>
      </c>
      <c r="BN934" s="0" t="str">
        <f aca="false">PROPER(IF(ISBLANK(BM934),"Not Mentioned",BM934))</f>
        <v>Not Mentioned</v>
      </c>
      <c r="BO934" s="0" t="s">
        <v>2318</v>
      </c>
      <c r="BP934" s="0" t="str">
        <f aca="false">IF(ISBLANK(BO934),"One-Time Plan",BO934)</f>
        <v>Gold</v>
      </c>
      <c r="BQ934" s="0" t="s">
        <v>63</v>
      </c>
      <c r="BR934" s="0" t="str">
        <f aca="false">PROPER(IF(ISBLANK(BQ934),"No",BQ934))</f>
        <v>Yes</v>
      </c>
    </row>
    <row r="935" customFormat="false" ht="15" hidden="false" customHeight="false" outlineLevel="0" collapsed="false">
      <c r="A935" s="0" t="s">
        <v>2152</v>
      </c>
      <c r="B935" s="2" t="n">
        <v>45822</v>
      </c>
      <c r="C935" s="2" t="str">
        <f aca="false">TEXT(B935,"dd/mm/yyyy")</f>
        <v>14/06/2025</v>
      </c>
      <c r="D935" s="0" t="s">
        <v>42</v>
      </c>
      <c r="E935" s="0" t="n">
        <v>8065448912</v>
      </c>
      <c r="F935" s="0" t="s">
        <v>122</v>
      </c>
      <c r="G935" s="0" t="s">
        <v>2316</v>
      </c>
      <c r="H935" s="0" t="s">
        <v>2153</v>
      </c>
      <c r="I935" s="0" t="s">
        <v>134</v>
      </c>
      <c r="J935" s="0" t="s">
        <v>87</v>
      </c>
      <c r="K935" s="3" t="str">
        <f aca="false" t="array" ref="K935:K935">IFERROR(IF(J935&lt;&gt;"",J935,INDEX(J935:J1934,MATCH(1,(F935:F1934=F935)*(I935:I1934=I935)*(L935:L1934=L935)*(J935:J1934&lt;&gt;""),0))),"Not Found")</f>
        <v>Oil Change</v>
      </c>
      <c r="L935" s="3" t="s">
        <v>154</v>
      </c>
      <c r="M935" s="0" t="str">
        <f aca="false">PROPER(L935)</f>
        <v>Air Filter</v>
      </c>
      <c r="O935" s="0" t="e">
        <f aca="false" t="array" ref="O935:O935">IF(N935&lt;&gt;"",N935,_xlfn.xlookup(1,(L935:L1934=L935)*(N935:N1934&lt;&gt;""),N935:N1934,"Not Found"))</f>
        <v>#NAME?</v>
      </c>
      <c r="P935" s="4" t="n">
        <v>40059</v>
      </c>
      <c r="Q935" s="0" t="s">
        <v>166</v>
      </c>
      <c r="R935" s="0" t="str">
        <f aca="false">PROPER(Q935)</f>
        <v>Transfer</v>
      </c>
      <c r="S935" s="0" t="s">
        <v>50</v>
      </c>
      <c r="T935" s="0" t="n">
        <v>1</v>
      </c>
      <c r="U935" s="5" t="n">
        <f aca="false">IF(ISBLANK(T935),AVERAGE(T935:T1934),T935)</f>
        <v>1</v>
      </c>
      <c r="V935" s="0" t="n">
        <v>3.2</v>
      </c>
      <c r="W935" s="0" t="s">
        <v>125</v>
      </c>
      <c r="X935" s="0" t="str">
        <f aca="false">IF(ISBLANK(W935),"No remarks",W935)</f>
        <v>Customer waited</v>
      </c>
      <c r="Y935" s="0" t="s">
        <v>52</v>
      </c>
      <c r="Z935" s="0" t="s">
        <v>53</v>
      </c>
      <c r="AA935" s="0" t="str">
        <f aca="false">PROPER(IF(ISBLANK(Z935),"Location Unavailable",Z935))</f>
        <v>Main Bay</v>
      </c>
      <c r="AB935" s="0" t="s">
        <v>167</v>
      </c>
      <c r="AC935" s="6" t="str">
        <f aca="false">PROPER(AB935)</f>
        <v>Word Of Mouth</v>
      </c>
      <c r="AD935" s="6" t="n">
        <v>15</v>
      </c>
      <c r="AE935" s="5" t="n">
        <f aca="false">IF(ISBLANK(AD935),AVERAGEIF(L935:L1934,L935,AD935:AD1934),AD935)</f>
        <v>15</v>
      </c>
      <c r="AF935" s="0" t="s">
        <v>76</v>
      </c>
      <c r="AG935" s="0" t="str">
        <f aca="false">PROPER(AF935)</f>
        <v>Orderd</v>
      </c>
      <c r="AH935" s="0" t="s">
        <v>56</v>
      </c>
      <c r="AI935" s="0" t="s">
        <v>98</v>
      </c>
      <c r="AJ935" s="0" t="str">
        <f aca="false">PROPER(AI935)</f>
        <v>Emergency</v>
      </c>
      <c r="AK935" s="0" t="s">
        <v>114</v>
      </c>
      <c r="AL935" s="0" t="str">
        <f aca="false">PROPER(AK935)</f>
        <v>Returning</v>
      </c>
      <c r="AM935" s="0" t="s">
        <v>2324</v>
      </c>
      <c r="AN935" s="0" t="str">
        <f aca="false">IF(ISBLANK(AM935),"Unknown",AM935)</f>
        <v>Logistics Convoy</v>
      </c>
      <c r="AO935" s="0" t="s">
        <v>79</v>
      </c>
      <c r="AP935" s="0" t="str">
        <f aca="false">IF(ISBLANK(AO935),"Unknown",AO935)</f>
        <v>Specialist</v>
      </c>
      <c r="AR935" s="5" t="n">
        <f aca="false">IF(ISBLANK(AQ935),AVERAGEIF(M935:M1934,M935,AQ935:AQ1934),AQ935)</f>
        <v>24166.6666666667</v>
      </c>
      <c r="AS935" s="0" t="n">
        <v>20000</v>
      </c>
      <c r="AT935" s="5" t="n">
        <f aca="false">IF(ISBLANK(AS935),AVERAGE(AS935:AS1934),AS935)</f>
        <v>20000</v>
      </c>
      <c r="AU935" s="0" t="s">
        <v>82</v>
      </c>
      <c r="AV935" s="0" t="str">
        <f aca="false">PROPER(IF(ISBLANK(AU935),"No",AU935))</f>
        <v>Yes</v>
      </c>
      <c r="AW935" s="0" t="n">
        <v>0</v>
      </c>
      <c r="AX935" s="5" t="n">
        <f aca="false">IF(ISBLANK(AW935),0,AW935)</f>
        <v>0</v>
      </c>
      <c r="AY935" s="0" t="s">
        <v>60</v>
      </c>
      <c r="AZ935" s="0" t="str">
        <f aca="false">UPPER(IF(ISBLANK(AY935),"NONE",AY935))</f>
        <v>NONE</v>
      </c>
      <c r="BA935" s="7" t="s">
        <v>424</v>
      </c>
      <c r="BB935" s="7" t="str">
        <f aca="false">IF(ISBLANK(BA935),"No Follow Up Needed",BA935)</f>
        <v>21/12/2025</v>
      </c>
      <c r="BC935" s="0" t="s">
        <v>50</v>
      </c>
      <c r="BD935" s="0" t="str">
        <f aca="false">PROPER(IF(ISBLANK(BC935),"Unknown",BC935))</f>
        <v>No</v>
      </c>
      <c r="BE935" s="0" t="s">
        <v>116</v>
      </c>
      <c r="BF935" s="0" t="str">
        <f aca="false">IF(ISBLANK(BE935),"No comments",BE935)</f>
        <v>Needs tire alignment</v>
      </c>
      <c r="BG935" s="0" t="s">
        <v>2320</v>
      </c>
      <c r="BH935" s="0" t="str">
        <f aca="false">IF(ISBLANK(BG935),"No comments",BG935)</f>
        <v>No complaints</v>
      </c>
      <c r="BI935" s="0" t="s">
        <v>50</v>
      </c>
      <c r="BJ935" s="0" t="str">
        <f aca="false">IF(ISBLANK(BI935),"Not Mentioned",BI935)</f>
        <v>No</v>
      </c>
      <c r="BK935" s="0" t="s">
        <v>50</v>
      </c>
      <c r="BL935" s="0" t="str">
        <f aca="false">PROPER(IF(ISBLANK(BK935),"Not Mentioned",BK935))</f>
        <v>No</v>
      </c>
      <c r="BN935" s="0" t="str">
        <f aca="false">PROPER(IF(ISBLANK(BM935),"Not Mentioned",BM935))</f>
        <v>Not Mentioned</v>
      </c>
      <c r="BO935" s="0" t="s">
        <v>64</v>
      </c>
      <c r="BP935" s="0" t="str">
        <f aca="false">IF(ISBLANK(BO935),"One-Time Plan",BO935)</f>
        <v>Gold Maintenance Plan</v>
      </c>
      <c r="BQ935" s="0" t="s">
        <v>63</v>
      </c>
      <c r="BR935" s="0" t="str">
        <f aca="false">PROPER(IF(ISBLANK(BQ935),"No",BQ935))</f>
        <v>Yes</v>
      </c>
    </row>
    <row r="936" customFormat="false" ht="15" hidden="false" customHeight="false" outlineLevel="0" collapsed="false">
      <c r="A936" s="0" t="s">
        <v>2154</v>
      </c>
      <c r="B936" s="2" t="n">
        <v>45738</v>
      </c>
      <c r="C936" s="2" t="str">
        <f aca="false">TEXT(B936,"dd/mm/yyyy")</f>
        <v>22/03/2025</v>
      </c>
      <c r="D936" s="0" t="s">
        <v>121</v>
      </c>
      <c r="E936" s="0" t="n">
        <v>8098614357</v>
      </c>
      <c r="F936" s="0" t="s">
        <v>43</v>
      </c>
      <c r="G936" s="0" t="s">
        <v>2315</v>
      </c>
      <c r="H936" s="0" t="s">
        <v>899</v>
      </c>
      <c r="I936" s="0" t="s">
        <v>107</v>
      </c>
      <c r="J936" s="0" t="s">
        <v>2325</v>
      </c>
      <c r="K936" s="3" t="str">
        <f aca="false" t="array" ref="K936:K936">IFERROR(IF(J936&lt;&gt;"",J936,INDEX(J936:J1935,MATCH(1,(F936:F1935=F936)*(I936:I1935=I936)*(L936:L1935=L936)*(J936:J1935&lt;&gt;""),0))),"Not Found")</f>
        <v>Engine Knocking</v>
      </c>
      <c r="L936" s="3" t="s">
        <v>47</v>
      </c>
      <c r="M936" s="0" t="str">
        <f aca="false">PROPER(L936)</f>
        <v>None</v>
      </c>
      <c r="N936" s="3" t="s">
        <v>109</v>
      </c>
      <c r="O936" s="0" t="str">
        <f aca="false" t="array" ref="O936:O936">IF(N936&lt;&gt;"",N936,_xlfn.xlookup(1,(L936:L1935=L936)*(N936:N1935&lt;&gt;""),N936:N1935,"Not Found"))</f>
        <v>Tijani</v>
      </c>
      <c r="P936" s="4" t="n">
        <v>103504</v>
      </c>
      <c r="Q936" s="0" t="s">
        <v>72</v>
      </c>
      <c r="R936" s="0" t="str">
        <f aca="false">PROPER(Q936)</f>
        <v>Pos</v>
      </c>
      <c r="S936" s="0" t="s">
        <v>50</v>
      </c>
      <c r="U936" s="5" t="n">
        <f aca="false">IF(ISBLANK(T936),AVERAGE(T936:T1935),T936)</f>
        <v>3.50877192982456</v>
      </c>
      <c r="V936" s="0" t="n">
        <v>1.7</v>
      </c>
      <c r="W936" s="0" t="s">
        <v>125</v>
      </c>
      <c r="X936" s="0" t="str">
        <f aca="false">IF(ISBLANK(W936),"No remarks",W936)</f>
        <v>Customer waited</v>
      </c>
      <c r="Y936" s="0" t="s">
        <v>93</v>
      </c>
      <c r="Z936" s="0" t="s">
        <v>74</v>
      </c>
      <c r="AA936" s="0" t="str">
        <f aca="false">PROPER(IF(ISBLANK(Z936),"Location Unavailable",Z936))</f>
        <v>Under Tree</v>
      </c>
      <c r="AB936" s="0" t="s">
        <v>54</v>
      </c>
      <c r="AC936" s="6" t="str">
        <f aca="false">PROPER(AB936)</f>
        <v>Mechanic Referral</v>
      </c>
      <c r="AE936" s="5" t="n">
        <f aca="false">IF(ISBLANK(AD936),AVERAGEIF(L936:L1935,L936,AD936:AD1935),AD936)</f>
        <v>37.5</v>
      </c>
      <c r="AF936" s="0" t="s">
        <v>76</v>
      </c>
      <c r="AG936" s="0" t="str">
        <f aca="false">PROPER(AF936)</f>
        <v>Orderd</v>
      </c>
      <c r="AH936" s="0" t="s">
        <v>77</v>
      </c>
      <c r="AI936" s="0" t="s">
        <v>98</v>
      </c>
      <c r="AJ936" s="0" t="str">
        <f aca="false">PROPER(AI936)</f>
        <v>Emergency</v>
      </c>
      <c r="AK936" s="0" t="s">
        <v>114</v>
      </c>
      <c r="AL936" s="0" t="str">
        <f aca="false">PROPER(AK936)</f>
        <v>Returning</v>
      </c>
      <c r="AM936" s="0" t="s">
        <v>59</v>
      </c>
      <c r="AN936" s="0" t="str">
        <f aca="false">IF(ISBLANK(AM936),"Unknown",AM936)</f>
        <v>Bolt Driver</v>
      </c>
      <c r="AO936" s="0" t="s">
        <v>149</v>
      </c>
      <c r="AP936" s="0" t="str">
        <f aca="false">IF(ISBLANK(AO936),"Unknown",AO936)</f>
        <v>Senior </v>
      </c>
      <c r="AR936" s="5" t="n">
        <f aca="false">IF(ISBLANK(AQ936),AVERAGEIF(M936:M1935,M936,AQ936:AQ1935),AQ936)</f>
        <v>27500</v>
      </c>
      <c r="AT936" s="5" t="n">
        <f aca="false">IF(ISBLANK(AS936),AVERAGE(AS936:AS1935),AS936)</f>
        <v>30648.1481481482</v>
      </c>
      <c r="AU936" s="0" t="s">
        <v>63</v>
      </c>
      <c r="AV936" s="0" t="str">
        <f aca="false">PROPER(IF(ISBLANK(AU936),"No",AU936))</f>
        <v>Yes</v>
      </c>
      <c r="AX936" s="5" t="n">
        <f aca="false">IF(ISBLANK(AW936),0,AW936)</f>
        <v>0</v>
      </c>
      <c r="AY936" s="0" t="s">
        <v>130</v>
      </c>
      <c r="AZ936" s="0" t="str">
        <f aca="false">UPPER(IF(ISBLANK(AY936),"NONE",AY936))</f>
        <v>LOYALTY10</v>
      </c>
      <c r="BB936" s="7" t="str">
        <f aca="false">IF(ISBLANK(BA936),"No Follow Up Needed",BA936)</f>
        <v>No Follow Up Needed</v>
      </c>
      <c r="BC936" s="0" t="s">
        <v>82</v>
      </c>
      <c r="BD936" s="0" t="str">
        <f aca="false">PROPER(IF(ISBLANK(BC936),"Unknown",BC936))</f>
        <v>Yes</v>
      </c>
      <c r="BE936" s="0" t="s">
        <v>171</v>
      </c>
      <c r="BF936" s="0" t="str">
        <f aca="false">IF(ISBLANK(BE936),"No comments",BE936)</f>
        <v>Shock absorber weakening</v>
      </c>
      <c r="BG936" s="0" t="s">
        <v>2320</v>
      </c>
      <c r="BH936" s="0" t="str">
        <f aca="false">IF(ISBLANK(BG936),"No comments",BG936)</f>
        <v>No complaints</v>
      </c>
      <c r="BI936" s="0" t="s">
        <v>63</v>
      </c>
      <c r="BJ936" s="0" t="str">
        <f aca="false">IF(ISBLANK(BI936),"Not Mentioned",BI936)</f>
        <v>Yes</v>
      </c>
      <c r="BK936" s="0" t="s">
        <v>61</v>
      </c>
      <c r="BL936" s="0" t="str">
        <f aca="false">PROPER(IF(ISBLANK(BK936),"Not Mentioned",BK936))</f>
        <v>No</v>
      </c>
      <c r="BN936" s="0" t="str">
        <f aca="false">PROPER(IF(ISBLANK(BM936),"Not Mentioned",BM936))</f>
        <v>Not Mentioned</v>
      </c>
      <c r="BO936" s="0" t="s">
        <v>2318</v>
      </c>
      <c r="BP936" s="0" t="str">
        <f aca="false">IF(ISBLANK(BO936),"One-Time Plan",BO936)</f>
        <v>Gold</v>
      </c>
      <c r="BQ936" s="0" t="s">
        <v>50</v>
      </c>
      <c r="BR936" s="0" t="str">
        <f aca="false">PROPER(IF(ISBLANK(BQ936),"No",BQ936))</f>
        <v>No</v>
      </c>
    </row>
    <row r="937" customFormat="false" ht="15" hidden="false" customHeight="false" outlineLevel="0" collapsed="false">
      <c r="A937" s="0" t="s">
        <v>2155</v>
      </c>
      <c r="B937" s="2" t="s">
        <v>869</v>
      </c>
      <c r="C937" s="2" t="str">
        <f aca="false">TEXT(B937,"dd/mm/yyyy")</f>
        <v>17/01/2025</v>
      </c>
      <c r="D937" s="0" t="s">
        <v>105</v>
      </c>
      <c r="E937" s="0" t="n">
        <v>8035224200</v>
      </c>
      <c r="F937" s="0" t="s">
        <v>85</v>
      </c>
      <c r="G937" s="0" t="s">
        <v>2319</v>
      </c>
      <c r="H937" s="0" t="s">
        <v>2156</v>
      </c>
      <c r="I937" s="0" t="s">
        <v>134</v>
      </c>
      <c r="J937" s="0" t="s">
        <v>87</v>
      </c>
      <c r="K937" s="3" t="str">
        <f aca="false" t="array" ref="K937:K937">IFERROR(IF(J937&lt;&gt;"",J937,INDEX(J937:J1936,MATCH(1,(F937:F1936=F937)*(I937:I1936=I937)*(L937:L1936=L937)*(J937:J1936&lt;&gt;""),0))),"Not Found")</f>
        <v>Oil Change</v>
      </c>
      <c r="L937" s="3" t="s">
        <v>47</v>
      </c>
      <c r="M937" s="0" t="str">
        <f aca="false">PROPER(L937)</f>
        <v>None</v>
      </c>
      <c r="N937" s="3" t="s">
        <v>90</v>
      </c>
      <c r="O937" s="0" t="str">
        <f aca="false" t="array" ref="O937:O937">IF(N937&lt;&gt;"",N937,_xlfn.xlookup(1,(L937:L1936=L937)*(N937:N1936&lt;&gt;""),N937:N1936,"Not Found"))</f>
        <v>Musa</v>
      </c>
      <c r="P937" s="4" t="n">
        <v>25455</v>
      </c>
      <c r="Q937" s="0" t="s">
        <v>49</v>
      </c>
      <c r="R937" s="0" t="str">
        <f aca="false">PROPER(Q937)</f>
        <v>Transfer</v>
      </c>
      <c r="S937" s="0" t="s">
        <v>50</v>
      </c>
      <c r="U937" s="5" t="n">
        <f aca="false">IF(ISBLANK(T937),AVERAGE(T937:T1936),T937)</f>
        <v>3.50877192982456</v>
      </c>
      <c r="V937" s="0" t="n">
        <v>1.3</v>
      </c>
      <c r="W937" s="0" t="s">
        <v>51</v>
      </c>
      <c r="X937" s="0" t="str">
        <f aca="false">IF(ISBLANK(W937),"No remarks",W937)</f>
        <v>Recommended further checks</v>
      </c>
      <c r="Y937" s="0" t="s">
        <v>52</v>
      </c>
      <c r="Z937" s="0" t="s">
        <v>53</v>
      </c>
      <c r="AA937" s="0" t="str">
        <f aca="false">PROPER(IF(ISBLANK(Z937),"Location Unavailable",Z937))</f>
        <v>Main Bay</v>
      </c>
      <c r="AB937" s="0" t="s">
        <v>126</v>
      </c>
      <c r="AC937" s="6" t="str">
        <f aca="false">PROPER(AB937)</f>
        <v>Whatsapp</v>
      </c>
      <c r="AD937" s="6" t="n">
        <v>45</v>
      </c>
      <c r="AE937" s="5" t="n">
        <f aca="false">IF(ISBLANK(AD937),AVERAGEIF(L937:L1936,L937,AD937:AD1936),AD937)</f>
        <v>45</v>
      </c>
      <c r="AF937" s="0" t="s">
        <v>55</v>
      </c>
      <c r="AG937" s="0" t="str">
        <f aca="false">PROPER(AF937)</f>
        <v>Available</v>
      </c>
      <c r="AH937" s="0" t="s">
        <v>56</v>
      </c>
      <c r="AI937" s="0" t="s">
        <v>128</v>
      </c>
      <c r="AJ937" s="0" t="str">
        <f aca="false">PROPER(AI937)</f>
        <v>Normal</v>
      </c>
      <c r="AK937" s="0" t="s">
        <v>99</v>
      </c>
      <c r="AL937" s="0" t="str">
        <f aca="false">PROPER(AK937)</f>
        <v>Uber Driver</v>
      </c>
      <c r="AN937" s="0" t="str">
        <f aca="false">IF(ISBLANK(AM937),"Unknown",AM937)</f>
        <v>Unknown</v>
      </c>
      <c r="AO937" s="0" t="s">
        <v>143</v>
      </c>
      <c r="AP937" s="0" t="str">
        <f aca="false">IF(ISBLANK(AO937),"Unknown",AO937)</f>
        <v>Senior</v>
      </c>
      <c r="AQ937" s="0" t="n">
        <v>15000</v>
      </c>
      <c r="AR937" s="5" t="n">
        <f aca="false">IF(ISBLANK(AQ937),AVERAGEIF(M937:M1936,M937,AQ937:AQ1936),AQ937)</f>
        <v>15000</v>
      </c>
      <c r="AS937" s="0" t="n">
        <v>35000</v>
      </c>
      <c r="AT937" s="5" t="n">
        <f aca="false">IF(ISBLANK(AS937),AVERAGE(AS937:AS1936),AS937)</f>
        <v>35000</v>
      </c>
      <c r="AV937" s="0" t="str">
        <f aca="false">PROPER(IF(ISBLANK(AU937),"No",AU937))</f>
        <v>No</v>
      </c>
      <c r="AX937" s="5" t="n">
        <f aca="false">IF(ISBLANK(AW937),0,AW937)</f>
        <v>0</v>
      </c>
      <c r="AZ937" s="0" t="str">
        <f aca="false">UPPER(IF(ISBLANK(AY937),"NONE",AY937))</f>
        <v>NONE</v>
      </c>
      <c r="BB937" s="7" t="str">
        <f aca="false">IF(ISBLANK(BA937),"No Follow Up Needed",BA937)</f>
        <v>No Follow Up Needed</v>
      </c>
      <c r="BC937" s="0" t="s">
        <v>61</v>
      </c>
      <c r="BD937" s="0" t="str">
        <f aca="false">PROPER(IF(ISBLANK(BC937),"Unknown",BC937))</f>
        <v>No</v>
      </c>
      <c r="BE937" s="0" t="s">
        <v>116</v>
      </c>
      <c r="BF937" s="0" t="str">
        <f aca="false">IF(ISBLANK(BE937),"No comments",BE937)</f>
        <v>Needs tire alignment</v>
      </c>
      <c r="BG937" s="0" t="s">
        <v>117</v>
      </c>
      <c r="BH937" s="0" t="str">
        <f aca="false">IF(ISBLANK(BG937),"No comments",BG937)</f>
        <v>Prefers morning</v>
      </c>
      <c r="BI937" s="0" t="s">
        <v>63</v>
      </c>
      <c r="BJ937" s="0" t="str">
        <f aca="false">IF(ISBLANK(BI937),"Not Mentioned",BI937)</f>
        <v>Yes</v>
      </c>
      <c r="BK937" s="0" t="s">
        <v>61</v>
      </c>
      <c r="BL937" s="0" t="str">
        <f aca="false">PROPER(IF(ISBLANK(BK937),"Not Mentioned",BK937))</f>
        <v>No</v>
      </c>
      <c r="BM937" s="0" t="s">
        <v>63</v>
      </c>
      <c r="BN937" s="0" t="str">
        <f aca="false">PROPER(IF(ISBLANK(BM937),"Not Mentioned",BM937))</f>
        <v>Yes</v>
      </c>
      <c r="BO937" s="0" t="s">
        <v>2318</v>
      </c>
      <c r="BP937" s="0" t="str">
        <f aca="false">IF(ISBLANK(BO937),"One-Time Plan",BO937)</f>
        <v>Gold</v>
      </c>
      <c r="BQ937" s="0" t="s">
        <v>190</v>
      </c>
      <c r="BR937" s="0" t="str">
        <f aca="false">PROPER(IF(ISBLANK(BQ937),"No",BQ937))</f>
        <v>Yes</v>
      </c>
    </row>
    <row r="938" customFormat="false" ht="15" hidden="false" customHeight="false" outlineLevel="0" collapsed="false">
      <c r="A938" s="0" t="s">
        <v>2157</v>
      </c>
      <c r="B938" s="2" t="n">
        <v>45681</v>
      </c>
      <c r="C938" s="2" t="str">
        <f aca="false">TEXT(B938,"dd/mm/yyyy")</f>
        <v>24/01/2025</v>
      </c>
      <c r="D938" s="0" t="s">
        <v>66</v>
      </c>
      <c r="E938" s="0" t="n">
        <v>8010419981</v>
      </c>
      <c r="F938" s="0" t="s">
        <v>139</v>
      </c>
      <c r="G938" s="0" t="s">
        <v>2323</v>
      </c>
      <c r="H938" s="0" t="s">
        <v>2158</v>
      </c>
      <c r="I938" s="0" t="s">
        <v>134</v>
      </c>
      <c r="J938" s="0" t="s">
        <v>87</v>
      </c>
      <c r="K938" s="3" t="str">
        <f aca="false" t="array" ref="K938:K938">IFERROR(IF(J938&lt;&gt;"",J938,INDEX(J938:J1937,MATCH(1,(F938:F1937=F938)*(I938:I1937=I938)*(L938:L1937=L938)*(J938:J1937&lt;&gt;""),0))),"Not Found")</f>
        <v>Oil Change</v>
      </c>
      <c r="L938" s="3" t="s">
        <v>47</v>
      </c>
      <c r="M938" s="0" t="str">
        <f aca="false">PROPER(L938)</f>
        <v>None</v>
      </c>
      <c r="O938" s="0" t="e">
        <f aca="false" t="array" ref="O938:O938">IF(N938&lt;&gt;"",N938,_xlfn.xlookup(1,(L938:L1937=L938)*(N938:N1937&lt;&gt;""),N938:N1937,"Not Found"))</f>
        <v>#NAME?</v>
      </c>
      <c r="P938" s="4" t="n">
        <v>43901</v>
      </c>
      <c r="Q938" s="0" t="s">
        <v>49</v>
      </c>
      <c r="R938" s="0" t="str">
        <f aca="false">PROPER(Q938)</f>
        <v>Transfer</v>
      </c>
      <c r="S938" s="0" t="s">
        <v>50</v>
      </c>
      <c r="T938" s="0" t="n">
        <v>2</v>
      </c>
      <c r="U938" s="5" t="n">
        <f aca="false">IF(ISBLANK(T938),AVERAGE(T938:T1937),T938)</f>
        <v>2</v>
      </c>
      <c r="V938" s="0" t="n">
        <v>1.3</v>
      </c>
      <c r="W938" s="0" t="s">
        <v>125</v>
      </c>
      <c r="X938" s="0" t="str">
        <f aca="false">IF(ISBLANK(W938),"No remarks",W938)</f>
        <v>Customer waited</v>
      </c>
      <c r="Y938" s="0" t="s">
        <v>52</v>
      </c>
      <c r="AA938" s="0" t="str">
        <f aca="false">PROPER(IF(ISBLANK(Z938),"Location Unavailable",Z938))</f>
        <v>Location Unavailable</v>
      </c>
      <c r="AB938" s="0" t="s">
        <v>126</v>
      </c>
      <c r="AC938" s="6" t="str">
        <f aca="false">PROPER(AB938)</f>
        <v>Whatsapp</v>
      </c>
      <c r="AE938" s="5" t="n">
        <f aca="false">IF(ISBLANK(AD938),AVERAGEIF(L938:L1937,L938,AD938:AD1937),AD938)</f>
        <v>36.9230769230769</v>
      </c>
      <c r="AF938" s="0" t="s">
        <v>96</v>
      </c>
      <c r="AG938" s="0" t="str">
        <f aca="false">PROPER(AF938)</f>
        <v>Ordered</v>
      </c>
      <c r="AH938" s="0" t="s">
        <v>56</v>
      </c>
      <c r="AI938" s="0" t="s">
        <v>128</v>
      </c>
      <c r="AJ938" s="0" t="str">
        <f aca="false">PROPER(AI938)</f>
        <v>Normal</v>
      </c>
      <c r="AK938" s="0" t="s">
        <v>99</v>
      </c>
      <c r="AL938" s="0" t="str">
        <f aca="false">PROPER(AK938)</f>
        <v>Uber Driver</v>
      </c>
      <c r="AM938" s="0" t="s">
        <v>177</v>
      </c>
      <c r="AN938" s="0" t="str">
        <f aca="false">IF(ISBLANK(AM938),"Unknown",AM938)</f>
        <v>Private</v>
      </c>
      <c r="AO938" s="0" t="s">
        <v>149</v>
      </c>
      <c r="AP938" s="0" t="str">
        <f aca="false">IF(ISBLANK(AO938),"Unknown",AO938)</f>
        <v>Senior </v>
      </c>
      <c r="AR938" s="5" t="n">
        <f aca="false">IF(ISBLANK(AQ938),AVERAGEIF(M938:M1937,M938,AQ938:AQ1937),AQ938)</f>
        <v>28888.8888888889</v>
      </c>
      <c r="AS938" s="0" t="n">
        <v>20000</v>
      </c>
      <c r="AT938" s="5" t="n">
        <f aca="false">IF(ISBLANK(AS938),AVERAGE(AS938:AS1937),AS938)</f>
        <v>20000</v>
      </c>
      <c r="AU938" s="0" t="s">
        <v>82</v>
      </c>
      <c r="AV938" s="0" t="str">
        <f aca="false">PROPER(IF(ISBLANK(AU938),"No",AU938))</f>
        <v>Yes</v>
      </c>
      <c r="AW938" s="0" t="n">
        <v>10000</v>
      </c>
      <c r="AX938" s="5" t="n">
        <f aca="false">IF(ISBLANK(AW938),0,AW938)</f>
        <v>10000</v>
      </c>
      <c r="AY938" s="0" t="s">
        <v>80</v>
      </c>
      <c r="AZ938" s="0" t="str">
        <f aca="false">UPPER(IF(ISBLANK(AY938),"NONE",AY938))</f>
        <v>PROMO10</v>
      </c>
      <c r="BA938" s="7" t="s">
        <v>2159</v>
      </c>
      <c r="BB938" s="7" t="str">
        <f aca="false">IF(ISBLANK(BA938),"No Follow Up Needed",BA938)</f>
        <v>24/12/2025</v>
      </c>
      <c r="BD938" s="0" t="str">
        <f aca="false">PROPER(IF(ISBLANK(BC938),"Unknown",BC938))</f>
        <v>Unknown</v>
      </c>
      <c r="BF938" s="0" t="str">
        <f aca="false">IF(ISBLANK(BE938),"No comments",BE938)</f>
        <v>No comments</v>
      </c>
      <c r="BG938" s="0" t="s">
        <v>172</v>
      </c>
      <c r="BH938" s="0" t="str">
        <f aca="false">IF(ISBLANK(BG938),"No comments",BG938)</f>
        <v>Always late</v>
      </c>
      <c r="BJ938" s="0" t="str">
        <f aca="false">IF(ISBLANK(BI938),"Not Mentioned",BI938)</f>
        <v>Not Mentioned</v>
      </c>
      <c r="BK938" s="0" t="s">
        <v>61</v>
      </c>
      <c r="BL938" s="0" t="str">
        <f aca="false">PROPER(IF(ISBLANK(BK938),"Not Mentioned",BK938))</f>
        <v>No</v>
      </c>
      <c r="BN938" s="0" t="str">
        <f aca="false">PROPER(IF(ISBLANK(BM938),"Not Mentioned",BM938))</f>
        <v>Not Mentioned</v>
      </c>
      <c r="BO938" s="0" t="s">
        <v>2318</v>
      </c>
      <c r="BP938" s="0" t="str">
        <f aca="false">IF(ISBLANK(BO938),"One-Time Plan",BO938)</f>
        <v>Gold</v>
      </c>
      <c r="BR938" s="0" t="str">
        <f aca="false">PROPER(IF(ISBLANK(BQ938),"No",BQ938))</f>
        <v>No</v>
      </c>
    </row>
    <row r="939" customFormat="false" ht="15" hidden="false" customHeight="false" outlineLevel="0" collapsed="false">
      <c r="A939" s="0" t="s">
        <v>2160</v>
      </c>
      <c r="B939" s="2" t="n">
        <v>45686</v>
      </c>
      <c r="C939" s="2" t="str">
        <f aca="false">TEXT(B939,"dd/mm/yyyy")</f>
        <v>29/01/2025</v>
      </c>
      <c r="D939" s="0" t="s">
        <v>42</v>
      </c>
      <c r="E939" s="0" t="n">
        <v>8095640742</v>
      </c>
      <c r="F939" s="0" t="s">
        <v>67</v>
      </c>
      <c r="G939" s="0" t="s">
        <v>2316</v>
      </c>
      <c r="H939" s="0" t="s">
        <v>2161</v>
      </c>
      <c r="I939" s="0" t="s">
        <v>107</v>
      </c>
      <c r="J939" s="0" t="s">
        <v>2317</v>
      </c>
      <c r="K939" s="3" t="str">
        <f aca="false" t="array" ref="K939:K939">IFERROR(IF(J939&lt;&gt;"",J939,INDEX(J939:J1938,MATCH(1,(F939:F1938=F939)*(I939:I1938=I939)*(L939:L1938=L939)*(J939:J1938&lt;&gt;""),0))),"Not Found")</f>
        <v>Suspension Noise</v>
      </c>
      <c r="L939" s="3" t="s">
        <v>142</v>
      </c>
      <c r="M939" s="0" t="str">
        <f aca="false">PROPER(L939)</f>
        <v>Oil Filter, Brake Pads</v>
      </c>
      <c r="N939" s="3" t="s">
        <v>109</v>
      </c>
      <c r="O939" s="0" t="str">
        <f aca="false" t="array" ref="O939:O939">IF(N939&lt;&gt;"",N939,_xlfn.xlookup(1,(L939:L1938=L939)*(N939:N1938&lt;&gt;""),N939:N1938,"Not Found"))</f>
        <v>Tijani</v>
      </c>
      <c r="P939" s="4" t="n">
        <v>113608</v>
      </c>
      <c r="Q939" s="0" t="s">
        <v>166</v>
      </c>
      <c r="R939" s="0" t="str">
        <f aca="false">PROPER(Q939)</f>
        <v>Transfer</v>
      </c>
      <c r="S939" s="0" t="s">
        <v>50</v>
      </c>
      <c r="U939" s="5" t="n">
        <f aca="false">IF(ISBLANK(T939),AVERAGE(T939:T1938),T939)</f>
        <v>3.53571428571429</v>
      </c>
      <c r="V939" s="0" t="n">
        <v>1.7</v>
      </c>
      <c r="W939" s="0" t="s">
        <v>111</v>
      </c>
      <c r="X939" s="0" t="str">
        <f aca="false">IF(ISBLANK(W939),"No remarks",W939)</f>
        <v>Changed all filters</v>
      </c>
      <c r="Y939" s="0" t="s">
        <v>52</v>
      </c>
      <c r="Z939" s="0" t="s">
        <v>94</v>
      </c>
      <c r="AA939" s="0" t="str">
        <f aca="false">PROPER(IF(ISBLANK(Z939),"Location Unavailable",Z939))</f>
        <v>Vip Section</v>
      </c>
      <c r="AB939" s="0" t="s">
        <v>126</v>
      </c>
      <c r="AC939" s="6" t="str">
        <f aca="false">PROPER(AB939)</f>
        <v>Whatsapp</v>
      </c>
      <c r="AE939" s="5" t="n">
        <f aca="false">IF(ISBLANK(AD939),AVERAGEIF(L939:L1938,L939,AD939:AD1938),AD939)</f>
        <v>39</v>
      </c>
      <c r="AF939" s="0" t="s">
        <v>76</v>
      </c>
      <c r="AG939" s="0" t="str">
        <f aca="false">PROPER(AF939)</f>
        <v>Orderd</v>
      </c>
      <c r="AH939" s="0" t="s">
        <v>56</v>
      </c>
      <c r="AI939" s="0" t="s">
        <v>128</v>
      </c>
      <c r="AJ939" s="0" t="str">
        <f aca="false">PROPER(AI939)</f>
        <v>Normal</v>
      </c>
      <c r="AK939" s="0" t="s">
        <v>196</v>
      </c>
      <c r="AL939" s="0" t="str">
        <f aca="false">PROPER(AK939)</f>
        <v>First Time</v>
      </c>
      <c r="AM939" s="0" t="s">
        <v>2324</v>
      </c>
      <c r="AN939" s="0" t="str">
        <f aca="false">IF(ISBLANK(AM939),"Unknown",AM939)</f>
        <v>Logistics Convoy</v>
      </c>
      <c r="AO939" s="0" t="s">
        <v>143</v>
      </c>
      <c r="AP939" s="0" t="str">
        <f aca="false">IF(ISBLANK(AO939),"Unknown",AO939)</f>
        <v>Senior</v>
      </c>
      <c r="AQ939" s="0" t="n">
        <v>15000</v>
      </c>
      <c r="AR939" s="5" t="n">
        <f aca="false">IF(ISBLANK(AQ939),AVERAGEIF(M939:M1938,M939,AQ939:AQ1938),AQ939)</f>
        <v>15000</v>
      </c>
      <c r="AS939" s="0" t="n">
        <v>30000</v>
      </c>
      <c r="AT939" s="5" t="n">
        <f aca="false">IF(ISBLANK(AS939),AVERAGE(AS939:AS1938),AS939)</f>
        <v>30000</v>
      </c>
      <c r="AU939" s="0" t="s">
        <v>50</v>
      </c>
      <c r="AV939" s="0" t="str">
        <f aca="false">PROPER(IF(ISBLANK(AU939),"No",AU939))</f>
        <v>No</v>
      </c>
      <c r="AW939" s="0" t="n">
        <v>5000</v>
      </c>
      <c r="AX939" s="5" t="n">
        <f aca="false">IF(ISBLANK(AW939),0,AW939)</f>
        <v>5000</v>
      </c>
      <c r="AY939" s="0" t="s">
        <v>80</v>
      </c>
      <c r="AZ939" s="0" t="str">
        <f aca="false">UPPER(IF(ISBLANK(AY939),"NONE",AY939))</f>
        <v>PROMO10</v>
      </c>
      <c r="BB939" s="7" t="str">
        <f aca="false">IF(ISBLANK(BA939),"No Follow Up Needed",BA939)</f>
        <v>No Follow Up Needed</v>
      </c>
      <c r="BC939" s="0" t="s">
        <v>50</v>
      </c>
      <c r="BD939" s="0" t="str">
        <f aca="false">PROPER(IF(ISBLANK(BC939),"Unknown",BC939))</f>
        <v>No</v>
      </c>
      <c r="BE939" s="0" t="s">
        <v>116</v>
      </c>
      <c r="BF939" s="0" t="str">
        <f aca="false">IF(ISBLANK(BE939),"No comments",BE939)</f>
        <v>Needs tire alignment</v>
      </c>
      <c r="BG939" s="0" t="s">
        <v>2320</v>
      </c>
      <c r="BH939" s="0" t="str">
        <f aca="false">IF(ISBLANK(BG939),"No comments",BG939)</f>
        <v>No complaints</v>
      </c>
      <c r="BJ939" s="0" t="str">
        <f aca="false">IF(ISBLANK(BI939),"Not Mentioned",BI939)</f>
        <v>Not Mentioned</v>
      </c>
      <c r="BK939" s="0" t="s">
        <v>61</v>
      </c>
      <c r="BL939" s="0" t="str">
        <f aca="false">PROPER(IF(ISBLANK(BK939),"Not Mentioned",BK939))</f>
        <v>No</v>
      </c>
      <c r="BM939" s="0" t="s">
        <v>50</v>
      </c>
      <c r="BN939" s="0" t="str">
        <f aca="false">PROPER(IF(ISBLANK(BM939),"Not Mentioned",BM939))</f>
        <v>No</v>
      </c>
      <c r="BO939" s="0" t="s">
        <v>2321</v>
      </c>
      <c r="BP939" s="0" t="str">
        <f aca="false">IF(ISBLANK(BO939),"One-Time Plan",BO939)</f>
        <v>One-Time Plan</v>
      </c>
      <c r="BQ939" s="0" t="s">
        <v>50</v>
      </c>
      <c r="BR939" s="0" t="str">
        <f aca="false">PROPER(IF(ISBLANK(BQ939),"No",BQ939))</f>
        <v>No</v>
      </c>
    </row>
    <row r="940" customFormat="false" ht="15" hidden="false" customHeight="false" outlineLevel="0" collapsed="false">
      <c r="A940" s="0" t="s">
        <v>2163</v>
      </c>
      <c r="B940" s="2" t="s">
        <v>2162</v>
      </c>
      <c r="C940" s="2" t="str">
        <f aca="false">TEXT(B940,"dd/mm/yyyy")</f>
        <v>29/05/2025</v>
      </c>
      <c r="D940" s="0" t="s">
        <v>66</v>
      </c>
      <c r="E940" s="0" t="n">
        <v>8053242747</v>
      </c>
      <c r="F940" s="0" t="s">
        <v>122</v>
      </c>
      <c r="G940" s="0" t="s">
        <v>2316</v>
      </c>
      <c r="H940" s="0" t="s">
        <v>2164</v>
      </c>
      <c r="I940" s="0" t="s">
        <v>87</v>
      </c>
      <c r="J940" s="0" t="s">
        <v>87</v>
      </c>
      <c r="K940" s="3" t="str">
        <f aca="false" t="array" ref="K940:K940">IFERROR(IF(J940&lt;&gt;"",J940,INDEX(J940:J1939,MATCH(1,(F940:F1939=F940)*(I940:I1939=I940)*(L940:L1939=L940)*(J940:J1939&lt;&gt;""),0))),"Not Found")</f>
        <v>Oil Change</v>
      </c>
      <c r="L940" s="3" t="s">
        <v>154</v>
      </c>
      <c r="M940" s="0" t="str">
        <f aca="false">PROPER(L940)</f>
        <v>Air Filter</v>
      </c>
      <c r="N940" s="3" t="s">
        <v>71</v>
      </c>
      <c r="O940" s="0" t="str">
        <f aca="false" t="array" ref="O940:O940">IF(N940&lt;&gt;"",N940,_xlfn.xlookup(1,(L940:L1939=L940)*(N940:N1939&lt;&gt;""),N940:N1939,"Not Found"))</f>
        <v>Isaac Bobo</v>
      </c>
      <c r="P940" s="4" t="n">
        <v>21591</v>
      </c>
      <c r="Q940" s="0" t="s">
        <v>91</v>
      </c>
      <c r="R940" s="0" t="str">
        <f aca="false">PROPER(Q940)</f>
        <v>Pos</v>
      </c>
      <c r="S940" s="0" t="s">
        <v>50</v>
      </c>
      <c r="T940" s="0" t="n">
        <v>4</v>
      </c>
      <c r="U940" s="5" t="n">
        <f aca="false">IF(ISBLANK(T940),AVERAGE(T940:T1939),T940)</f>
        <v>4</v>
      </c>
      <c r="V940" s="0" t="n">
        <v>5.4</v>
      </c>
      <c r="W940" s="0" t="s">
        <v>51</v>
      </c>
      <c r="X940" s="0" t="str">
        <f aca="false">IF(ISBLANK(W940),"No remarks",W940)</f>
        <v>Recommended further checks</v>
      </c>
      <c r="Y940" s="0" t="s">
        <v>73</v>
      </c>
      <c r="Z940" s="0" t="s">
        <v>94</v>
      </c>
      <c r="AA940" s="0" t="str">
        <f aca="false">PROPER(IF(ISBLANK(Z940),"Location Unavailable",Z940))</f>
        <v>Vip Section</v>
      </c>
      <c r="AB940" s="0" t="s">
        <v>95</v>
      </c>
      <c r="AC940" s="6" t="str">
        <f aca="false">PROPER(AB940)</f>
        <v>Road Sign</v>
      </c>
      <c r="AD940" s="6" t="n">
        <v>30</v>
      </c>
      <c r="AE940" s="5" t="n">
        <f aca="false">IF(ISBLANK(AD940),AVERAGEIF(L940:L1939,L940,AD940:AD1939),AD940)</f>
        <v>30</v>
      </c>
      <c r="AF940" s="0" t="s">
        <v>76</v>
      </c>
      <c r="AG940" s="0" t="str">
        <f aca="false">PROPER(AF940)</f>
        <v>Orderd</v>
      </c>
      <c r="AH940" s="0" t="s">
        <v>56</v>
      </c>
      <c r="AI940" s="0" t="s">
        <v>98</v>
      </c>
      <c r="AJ940" s="0" t="str">
        <f aca="false">PROPER(AI940)</f>
        <v>Emergency</v>
      </c>
      <c r="AK940" s="0" t="s">
        <v>58</v>
      </c>
      <c r="AL940" s="0" t="str">
        <f aca="false">PROPER(AK940)</f>
        <v>Fleet Owner</v>
      </c>
      <c r="AN940" s="0" t="str">
        <f aca="false">IF(ISBLANK(AM940),"Unknown",AM940)</f>
        <v>Unknown</v>
      </c>
      <c r="AO940" s="0" t="s">
        <v>161</v>
      </c>
      <c r="AP940" s="0" t="str">
        <f aca="false">IF(ISBLANK(AO940),"Unknown",AO940)</f>
        <v>Apprentice</v>
      </c>
      <c r="AQ940" s="0" t="n">
        <v>25000</v>
      </c>
      <c r="AR940" s="5" t="n">
        <f aca="false">IF(ISBLANK(AQ940),AVERAGEIF(M940:M1939,M940,AQ940:AQ1939),AQ940)</f>
        <v>25000</v>
      </c>
      <c r="AS940" s="0" t="n">
        <v>40000</v>
      </c>
      <c r="AT940" s="5" t="n">
        <f aca="false">IF(ISBLANK(AS940),AVERAGE(AS940:AS1939),AS940)</f>
        <v>40000</v>
      </c>
      <c r="AU940" s="0" t="s">
        <v>63</v>
      </c>
      <c r="AV940" s="0" t="str">
        <f aca="false">PROPER(IF(ISBLANK(AU940),"No",AU940))</f>
        <v>Yes</v>
      </c>
      <c r="AW940" s="0" t="n">
        <v>5000</v>
      </c>
      <c r="AX940" s="5" t="n">
        <f aca="false">IF(ISBLANK(AW940),0,AW940)</f>
        <v>5000</v>
      </c>
      <c r="AY940" s="0" t="s">
        <v>184</v>
      </c>
      <c r="AZ940" s="0" t="str">
        <f aca="false">UPPER(IF(ISBLANK(AY940),"NONE",AY940))</f>
        <v>N/A</v>
      </c>
      <c r="BA940" s="7" t="s">
        <v>802</v>
      </c>
      <c r="BB940" s="7" t="str">
        <f aca="false">IF(ISBLANK(BA940),"No Follow Up Needed",BA940)</f>
        <v>21/09/2025</v>
      </c>
      <c r="BC940" s="0" t="s">
        <v>61</v>
      </c>
      <c r="BD940" s="0" t="str">
        <f aca="false">PROPER(IF(ISBLANK(BC940),"Unknown",BC940))</f>
        <v>No</v>
      </c>
      <c r="BF940" s="0" t="str">
        <f aca="false">IF(ISBLANK(BE940),"No comments",BE940)</f>
        <v>No comments</v>
      </c>
      <c r="BH940" s="0" t="str">
        <f aca="false">IF(ISBLANK(BG940),"No comments",BG940)</f>
        <v>No comments</v>
      </c>
      <c r="BI940" s="0" t="s">
        <v>50</v>
      </c>
      <c r="BJ940" s="0" t="str">
        <f aca="false">IF(ISBLANK(BI940),"Not Mentioned",BI940)</f>
        <v>No</v>
      </c>
      <c r="BK940" s="0" t="s">
        <v>82</v>
      </c>
      <c r="BL940" s="0" t="str">
        <f aca="false">PROPER(IF(ISBLANK(BK940),"Not Mentioned",BK940))</f>
        <v>Yes</v>
      </c>
      <c r="BM940" s="0" t="s">
        <v>50</v>
      </c>
      <c r="BN940" s="0" t="str">
        <f aca="false">PROPER(IF(ISBLANK(BM940),"Not Mentioned",BM940))</f>
        <v>No</v>
      </c>
      <c r="BO940" s="0" t="s">
        <v>64</v>
      </c>
      <c r="BP940" s="0" t="str">
        <f aca="false">IF(ISBLANK(BO940),"One-Time Plan",BO940)</f>
        <v>Gold Maintenance Plan</v>
      </c>
      <c r="BQ940" s="0" t="s">
        <v>63</v>
      </c>
      <c r="BR940" s="0" t="str">
        <f aca="false">PROPER(IF(ISBLANK(BQ940),"No",BQ940))</f>
        <v>Yes</v>
      </c>
    </row>
    <row r="941" customFormat="false" ht="15" hidden="false" customHeight="false" outlineLevel="0" collapsed="false">
      <c r="A941" s="0" t="s">
        <v>2165</v>
      </c>
      <c r="B941" s="2" t="n">
        <v>45718</v>
      </c>
      <c r="C941" s="2" t="str">
        <f aca="false">TEXT(B941,"dd/mm/yyyy")</f>
        <v>02/03/2025</v>
      </c>
      <c r="D941" s="0" t="s">
        <v>163</v>
      </c>
      <c r="E941" s="0" t="n">
        <v>8012232081</v>
      </c>
      <c r="F941" s="0" t="s">
        <v>122</v>
      </c>
      <c r="G941" s="0" t="s">
        <v>2316</v>
      </c>
      <c r="H941" s="0" t="s">
        <v>2166</v>
      </c>
      <c r="I941" s="0" t="s">
        <v>69</v>
      </c>
      <c r="J941" s="0" t="s">
        <v>2317</v>
      </c>
      <c r="K941" s="3" t="str">
        <f aca="false" t="array" ref="K941:K941">IFERROR(IF(J941&lt;&gt;"",J941,INDEX(J941:J1940,MATCH(1,(F941:F1940=F941)*(I941:I1940=I941)*(L941:L1940=L941)*(J941:J1940&lt;&gt;""),0))),"Not Found")</f>
        <v>Suspension Noise</v>
      </c>
      <c r="L941" s="3" t="s">
        <v>189</v>
      </c>
      <c r="M941" s="0" t="str">
        <f aca="false">PROPER(L941)</f>
        <v>Battery</v>
      </c>
      <c r="N941" s="3" t="s">
        <v>48</v>
      </c>
      <c r="O941" s="0" t="str">
        <f aca="false" t="array" ref="O941:O941">IF(N941&lt;&gt;"",N941,_xlfn.xlookup(1,(L941:L1940=L941)*(N941:N1940&lt;&gt;""),N941:N1940,"Not Found"))</f>
        <v>Uche</v>
      </c>
      <c r="P941" s="4" t="n">
        <v>113562</v>
      </c>
      <c r="Q941" s="0" t="s">
        <v>166</v>
      </c>
      <c r="R941" s="0" t="str">
        <f aca="false">PROPER(Q941)</f>
        <v>Transfer</v>
      </c>
      <c r="S941" s="0" t="s">
        <v>50</v>
      </c>
      <c r="T941" s="0" t="n">
        <v>4</v>
      </c>
      <c r="U941" s="5" t="n">
        <f aca="false">IF(ISBLANK(T941),AVERAGE(T941:T1940),T941)</f>
        <v>4</v>
      </c>
      <c r="V941" s="0" t="n">
        <v>4.6</v>
      </c>
      <c r="W941" s="0" t="s">
        <v>51</v>
      </c>
      <c r="X941" s="0" t="str">
        <f aca="false">IF(ISBLANK(W941),"No remarks",W941)</f>
        <v>Recommended further checks</v>
      </c>
      <c r="Y941" s="0" t="s">
        <v>52</v>
      </c>
      <c r="AA941" s="0" t="str">
        <f aca="false">PROPER(IF(ISBLANK(Z941),"Location Unavailable",Z941))</f>
        <v>Location Unavailable</v>
      </c>
      <c r="AB941" s="0" t="s">
        <v>167</v>
      </c>
      <c r="AC941" s="6" t="str">
        <f aca="false">PROPER(AB941)</f>
        <v>Word Of Mouth</v>
      </c>
      <c r="AD941" s="6" t="n">
        <v>30</v>
      </c>
      <c r="AE941" s="5" t="n">
        <f aca="false">IF(ISBLANK(AD941),AVERAGEIF(L941:L1940,L941,AD941:AD1940),AD941)</f>
        <v>30</v>
      </c>
      <c r="AF941" s="0" t="s">
        <v>96</v>
      </c>
      <c r="AG941" s="0" t="str">
        <f aca="false">PROPER(AF941)</f>
        <v>Ordered</v>
      </c>
      <c r="AH941" s="0" t="s">
        <v>155</v>
      </c>
      <c r="AI941" s="0" t="s">
        <v>98</v>
      </c>
      <c r="AJ941" s="0" t="str">
        <f aca="false">PROPER(AI941)</f>
        <v>Emergency</v>
      </c>
      <c r="AK941" s="0" t="s">
        <v>196</v>
      </c>
      <c r="AL941" s="0" t="str">
        <f aca="false">PROPER(AK941)</f>
        <v>First Time</v>
      </c>
      <c r="AN941" s="0" t="str">
        <f aca="false">IF(ISBLANK(AM941),"Unknown",AM941)</f>
        <v>Unknown</v>
      </c>
      <c r="AO941" s="0" t="s">
        <v>149</v>
      </c>
      <c r="AP941" s="0" t="str">
        <f aca="false">IF(ISBLANK(AO941),"Unknown",AO941)</f>
        <v>Senior </v>
      </c>
      <c r="AQ941" s="0" t="n">
        <v>20000</v>
      </c>
      <c r="AR941" s="5" t="n">
        <f aca="false">IF(ISBLANK(AQ941),AVERAGEIF(M941:M1940,M941,AQ941:AQ1940),AQ941)</f>
        <v>20000</v>
      </c>
      <c r="AS941" s="0" t="n">
        <v>20000</v>
      </c>
      <c r="AT941" s="5" t="n">
        <f aca="false">IF(ISBLANK(AS941),AVERAGE(AS941:AS1940),AS941)</f>
        <v>20000</v>
      </c>
      <c r="AU941" s="0" t="s">
        <v>63</v>
      </c>
      <c r="AV941" s="0" t="str">
        <f aca="false">PROPER(IF(ISBLANK(AU941),"No",AU941))</f>
        <v>Yes</v>
      </c>
      <c r="AW941" s="0" t="n">
        <v>5000</v>
      </c>
      <c r="AX941" s="5" t="n">
        <f aca="false">IF(ISBLANK(AW941),0,AW941)</f>
        <v>5000</v>
      </c>
      <c r="AY941" s="0" t="s">
        <v>80</v>
      </c>
      <c r="AZ941" s="0" t="str">
        <f aca="false">UPPER(IF(ISBLANK(AY941),"NONE",AY941))</f>
        <v>PROMO10</v>
      </c>
      <c r="BA941" s="7" t="s">
        <v>1782</v>
      </c>
      <c r="BB941" s="7" t="str">
        <f aca="false">IF(ISBLANK(BA941),"No Follow Up Needed",BA941)</f>
        <v>16/10/2025</v>
      </c>
      <c r="BC941" s="0" t="s">
        <v>61</v>
      </c>
      <c r="BD941" s="0" t="str">
        <f aca="false">PROPER(IF(ISBLANK(BC941),"Unknown",BC941))</f>
        <v>No</v>
      </c>
      <c r="BF941" s="0" t="str">
        <f aca="false">IF(ISBLANK(BE941),"No comments",BE941)</f>
        <v>No comments</v>
      </c>
      <c r="BG941" s="0" t="s">
        <v>2320</v>
      </c>
      <c r="BH941" s="0" t="str">
        <f aca="false">IF(ISBLANK(BG941),"No comments",BG941)</f>
        <v>No complaints</v>
      </c>
      <c r="BI941" s="0" t="s">
        <v>50</v>
      </c>
      <c r="BJ941" s="0" t="str">
        <f aca="false">IF(ISBLANK(BI941),"Not Mentioned",BI941)</f>
        <v>No</v>
      </c>
      <c r="BK941" s="0" t="s">
        <v>61</v>
      </c>
      <c r="BL941" s="0" t="str">
        <f aca="false">PROPER(IF(ISBLANK(BK941),"Not Mentioned",BK941))</f>
        <v>No</v>
      </c>
      <c r="BM941" s="0" t="s">
        <v>63</v>
      </c>
      <c r="BN941" s="0" t="str">
        <f aca="false">PROPER(IF(ISBLANK(BM941),"Not Mentioned",BM941))</f>
        <v>Yes</v>
      </c>
      <c r="BP941" s="0" t="str">
        <f aca="false">IF(ISBLANK(BO941),"One-Time Plan",BO941)</f>
        <v>One-Time Plan</v>
      </c>
      <c r="BR941" s="0" t="str">
        <f aca="false">PROPER(IF(ISBLANK(BQ941),"No",BQ941))</f>
        <v>No</v>
      </c>
    </row>
    <row r="942" customFormat="false" ht="15" hidden="false" customHeight="false" outlineLevel="0" collapsed="false">
      <c r="A942" s="0" t="s">
        <v>2167</v>
      </c>
      <c r="B942" s="2" t="n">
        <v>45742</v>
      </c>
      <c r="C942" s="2" t="str">
        <f aca="false">TEXT(B942,"dd/mm/yyyy")</f>
        <v>26/03/2025</v>
      </c>
      <c r="D942" s="0" t="s">
        <v>105</v>
      </c>
      <c r="E942" s="0" t="n">
        <v>8095064149</v>
      </c>
      <c r="F942" s="0" t="s">
        <v>43</v>
      </c>
      <c r="G942" s="0" t="s">
        <v>2315</v>
      </c>
      <c r="H942" s="0" t="s">
        <v>2168</v>
      </c>
      <c r="I942" s="0" t="s">
        <v>87</v>
      </c>
      <c r="J942" s="0" t="s">
        <v>2322</v>
      </c>
      <c r="K942" s="3" t="str">
        <f aca="false" t="array" ref="K942:K942">IFERROR(IF(J942&lt;&gt;"",J942,INDEX(J942:J1941,MATCH(1,(F942:F1941=F942)*(I942:I1941=I942)*(L942:L1941=L942)*(J942:J1941&lt;&gt;""),0))),"Not Found")</f>
        <v>Brake Failure</v>
      </c>
      <c r="L942" s="3" t="s">
        <v>154</v>
      </c>
      <c r="M942" s="0" t="str">
        <f aca="false">PROPER(L942)</f>
        <v>Air Filter</v>
      </c>
      <c r="N942" s="3" t="s">
        <v>48</v>
      </c>
      <c r="O942" s="0" t="str">
        <f aca="false" t="array" ref="O942:O942">IF(N942&lt;&gt;"",N942,_xlfn.xlookup(1,(L942:L1941=L942)*(N942:N1941&lt;&gt;""),N942:N1941,"Not Found"))</f>
        <v>Uche</v>
      </c>
      <c r="P942" s="4" t="n">
        <v>86149</v>
      </c>
      <c r="Q942" s="0" t="s">
        <v>124</v>
      </c>
      <c r="R942" s="0" t="str">
        <f aca="false">PROPER(Q942)</f>
        <v>Cash</v>
      </c>
      <c r="S942" s="0" t="s">
        <v>50</v>
      </c>
      <c r="T942" s="0" t="n">
        <v>3</v>
      </c>
      <c r="U942" s="5" t="n">
        <f aca="false">IF(ISBLANK(T942),AVERAGE(T942:T1941),T942)</f>
        <v>3</v>
      </c>
      <c r="V942" s="0" t="n">
        <v>5.1</v>
      </c>
      <c r="W942" s="0" t="s">
        <v>111</v>
      </c>
      <c r="X942" s="0" t="str">
        <f aca="false">IF(ISBLANK(W942),"No remarks",W942)</f>
        <v>Changed all filters</v>
      </c>
      <c r="Y942" s="0" t="s">
        <v>52</v>
      </c>
      <c r="Z942" s="0" t="s">
        <v>94</v>
      </c>
      <c r="AA942" s="0" t="str">
        <f aca="false">PROPER(IF(ISBLANK(Z942),"Location Unavailable",Z942))</f>
        <v>Vip Section</v>
      </c>
      <c r="AB942" s="0" t="s">
        <v>126</v>
      </c>
      <c r="AC942" s="6" t="str">
        <f aca="false">PROPER(AB942)</f>
        <v>Whatsapp</v>
      </c>
      <c r="AE942" s="5" t="n">
        <f aca="false">IF(ISBLANK(AD942),AVERAGEIF(L942:L1941,L942,AD942:AD1941),AD942)</f>
        <v>36.6666666666667</v>
      </c>
      <c r="AF942" s="0" t="s">
        <v>160</v>
      </c>
      <c r="AG942" s="0" t="str">
        <f aca="false">PROPER(AF942)</f>
        <v>Availaible</v>
      </c>
      <c r="AH942" s="0" t="s">
        <v>155</v>
      </c>
      <c r="AI942" s="0" t="s">
        <v>98</v>
      </c>
      <c r="AJ942" s="0" t="str">
        <f aca="false">PROPER(AI942)</f>
        <v>Emergency</v>
      </c>
      <c r="AK942" s="0" t="s">
        <v>196</v>
      </c>
      <c r="AL942" s="0" t="str">
        <f aca="false">PROPER(AK942)</f>
        <v>First Time</v>
      </c>
      <c r="AM942" s="0" t="s">
        <v>59</v>
      </c>
      <c r="AN942" s="0" t="str">
        <f aca="false">IF(ISBLANK(AM942),"Unknown",AM942)</f>
        <v>Bolt Driver</v>
      </c>
      <c r="AO942" s="0" t="s">
        <v>143</v>
      </c>
      <c r="AP942" s="0" t="str">
        <f aca="false">IF(ISBLANK(AO942),"Unknown",AO942)</f>
        <v>Senior</v>
      </c>
      <c r="AQ942" s="0" t="n">
        <v>20000</v>
      </c>
      <c r="AR942" s="5" t="n">
        <f aca="false">IF(ISBLANK(AQ942),AVERAGEIF(M942:M1941,M942,AQ942:AQ1941),AQ942)</f>
        <v>20000</v>
      </c>
      <c r="AT942" s="5" t="n">
        <f aca="false">IF(ISBLANK(AS942),AVERAGE(AS942:AS1941),AS942)</f>
        <v>30816.3265306122</v>
      </c>
      <c r="AU942" s="0" t="s">
        <v>50</v>
      </c>
      <c r="AV942" s="0" t="str">
        <f aca="false">PROPER(IF(ISBLANK(AU942),"No",AU942))</f>
        <v>No</v>
      </c>
      <c r="AW942" s="0" t="n">
        <v>5000</v>
      </c>
      <c r="AX942" s="5" t="n">
        <f aca="false">IF(ISBLANK(AW942),0,AW942)</f>
        <v>5000</v>
      </c>
      <c r="AY942" s="0" t="s">
        <v>130</v>
      </c>
      <c r="AZ942" s="0" t="str">
        <f aca="false">UPPER(IF(ISBLANK(AY942),"NONE",AY942))</f>
        <v>LOYALTY10</v>
      </c>
      <c r="BA942" s="7" t="n">
        <v>45788</v>
      </c>
      <c r="BB942" s="7" t="n">
        <f aca="false">IF(ISBLANK(BA942),"No Follow Up Needed",BA942)</f>
        <v>45788</v>
      </c>
      <c r="BC942" s="0" t="s">
        <v>50</v>
      </c>
      <c r="BD942" s="0" t="str">
        <f aca="false">PROPER(IF(ISBLANK(BC942),"Unknown",BC942))</f>
        <v>No</v>
      </c>
      <c r="BE942" s="0" t="s">
        <v>116</v>
      </c>
      <c r="BF942" s="0" t="str">
        <f aca="false">IF(ISBLANK(BE942),"No comments",BE942)</f>
        <v>Needs tire alignment</v>
      </c>
      <c r="BG942" s="0" t="s">
        <v>172</v>
      </c>
      <c r="BH942" s="0" t="str">
        <f aca="false">IF(ISBLANK(BG942),"No comments",BG942)</f>
        <v>Always late</v>
      </c>
      <c r="BI942" s="0" t="s">
        <v>50</v>
      </c>
      <c r="BJ942" s="0" t="str">
        <f aca="false">IF(ISBLANK(BI942),"Not Mentioned",BI942)</f>
        <v>No</v>
      </c>
      <c r="BL942" s="0" t="str">
        <f aca="false">PROPER(IF(ISBLANK(BK942),"Not Mentioned",BK942))</f>
        <v>Not Mentioned</v>
      </c>
      <c r="BM942" s="0" t="s">
        <v>63</v>
      </c>
      <c r="BN942" s="0" t="str">
        <f aca="false">PROPER(IF(ISBLANK(BM942),"Not Mentioned",BM942))</f>
        <v>Yes</v>
      </c>
      <c r="BO942" s="0" t="s">
        <v>2321</v>
      </c>
      <c r="BP942" s="0" t="str">
        <f aca="false">IF(ISBLANK(BO942),"One-Time Plan",BO942)</f>
        <v>One-Time Plan</v>
      </c>
      <c r="BQ942" s="0" t="s">
        <v>50</v>
      </c>
      <c r="BR942" s="0" t="str">
        <f aca="false">PROPER(IF(ISBLANK(BQ942),"No",BQ942))</f>
        <v>No</v>
      </c>
    </row>
    <row r="943" customFormat="false" ht="15" hidden="false" customHeight="false" outlineLevel="0" collapsed="false">
      <c r="A943" s="0" t="s">
        <v>2169</v>
      </c>
      <c r="B943" s="2" t="n">
        <v>45757</v>
      </c>
      <c r="C943" s="2" t="str">
        <f aca="false">TEXT(B943,"dd/mm/yyyy")</f>
        <v>10/04/2025</v>
      </c>
      <c r="D943" s="0" t="s">
        <v>42</v>
      </c>
      <c r="E943" s="0" t="n">
        <v>8058345978</v>
      </c>
      <c r="F943" s="0" t="s">
        <v>43</v>
      </c>
      <c r="G943" s="0" t="s">
        <v>2315</v>
      </c>
      <c r="H943" s="0" t="s">
        <v>2170</v>
      </c>
      <c r="I943" s="0" t="s">
        <v>107</v>
      </c>
      <c r="J943" s="0" t="s">
        <v>2322</v>
      </c>
      <c r="K943" s="3" t="str">
        <f aca="false" t="array" ref="K943:K943">IFERROR(IF(J943&lt;&gt;"",J943,INDEX(J943:J1942,MATCH(1,(F943:F1942=F943)*(I943:I1942=I943)*(L943:L1942=L943)*(J943:J1942&lt;&gt;""),0))),"Not Found")</f>
        <v>Brake Failure</v>
      </c>
      <c r="L943" s="3" t="s">
        <v>108</v>
      </c>
      <c r="M943" s="0" t="str">
        <f aca="false">PROPER(L943)</f>
        <v>Timing Belt</v>
      </c>
      <c r="N943" s="3" t="s">
        <v>48</v>
      </c>
      <c r="O943" s="0" t="str">
        <f aca="false" t="array" ref="O943:O943">IF(N943&lt;&gt;"",N943,_xlfn.xlookup(1,(L943:L1942=L943)*(N943:N1942&lt;&gt;""),N943:N1942,"Not Found"))</f>
        <v>Uche</v>
      </c>
      <c r="P943" s="4" t="n">
        <v>65511</v>
      </c>
      <c r="Q943" s="0" t="s">
        <v>49</v>
      </c>
      <c r="R943" s="0" t="str">
        <f aca="false">PROPER(Q943)</f>
        <v>Transfer</v>
      </c>
      <c r="S943" s="0" t="s">
        <v>63</v>
      </c>
      <c r="U943" s="5" t="n">
        <f aca="false">IF(ISBLANK(T943),AVERAGE(T943:T1942),T943)</f>
        <v>3.52830188679245</v>
      </c>
      <c r="V943" s="0" t="n">
        <v>4.5</v>
      </c>
      <c r="W943" s="0" t="s">
        <v>111</v>
      </c>
      <c r="X943" s="0" t="str">
        <f aca="false">IF(ISBLANK(W943),"No remarks",W943)</f>
        <v>Changed all filters</v>
      </c>
      <c r="Y943" s="0" t="s">
        <v>52</v>
      </c>
      <c r="AA943" s="0" t="str">
        <f aca="false">PROPER(IF(ISBLANK(Z943),"Location Unavailable",Z943))</f>
        <v>Location Unavailable</v>
      </c>
      <c r="AB943" s="0" t="s">
        <v>54</v>
      </c>
      <c r="AC943" s="6" t="str">
        <f aca="false">PROPER(AB943)</f>
        <v>Mechanic Referral</v>
      </c>
      <c r="AD943" s="6" t="n">
        <v>45</v>
      </c>
      <c r="AE943" s="5" t="n">
        <f aca="false">IF(ISBLANK(AD943),AVERAGEIF(L943:L1942,L943,AD943:AD1942),AD943)</f>
        <v>45</v>
      </c>
      <c r="AF943" s="0" t="s">
        <v>55</v>
      </c>
      <c r="AG943" s="0" t="str">
        <f aca="false">PROPER(AF943)</f>
        <v>Available</v>
      </c>
      <c r="AH943" s="0" t="s">
        <v>56</v>
      </c>
      <c r="AI943" s="0" t="s">
        <v>78</v>
      </c>
      <c r="AJ943" s="0" t="str">
        <f aca="false">PROPER(AI943)</f>
        <v>Booking</v>
      </c>
      <c r="AK943" s="0" t="s">
        <v>99</v>
      </c>
      <c r="AL943" s="0" t="str">
        <f aca="false">PROPER(AK943)</f>
        <v>Uber Driver</v>
      </c>
      <c r="AM943" s="0" t="s">
        <v>2324</v>
      </c>
      <c r="AN943" s="0" t="str">
        <f aca="false">IF(ISBLANK(AM943),"Unknown",AM943)</f>
        <v>Logistics Convoy</v>
      </c>
      <c r="AP943" s="0" t="str">
        <f aca="false">IF(ISBLANK(AO943),"Unknown",AO943)</f>
        <v>Unknown</v>
      </c>
      <c r="AQ943" s="0" t="n">
        <v>20000</v>
      </c>
      <c r="AR943" s="5" t="n">
        <f aca="false">IF(ISBLANK(AQ943),AVERAGEIF(M943:M1942,M943,AQ943:AQ1942),AQ943)</f>
        <v>20000</v>
      </c>
      <c r="AS943" s="0" t="n">
        <v>20000</v>
      </c>
      <c r="AT943" s="5" t="n">
        <f aca="false">IF(ISBLANK(AS943),AVERAGE(AS943:AS1942),AS943)</f>
        <v>20000</v>
      </c>
      <c r="AU943" s="0" t="s">
        <v>63</v>
      </c>
      <c r="AV943" s="0" t="str">
        <f aca="false">PROPER(IF(ISBLANK(AU943),"No",AU943))</f>
        <v>Yes</v>
      </c>
      <c r="AW943" s="0" t="n">
        <v>5000</v>
      </c>
      <c r="AX943" s="5" t="n">
        <f aca="false">IF(ISBLANK(AW943),0,AW943)</f>
        <v>5000</v>
      </c>
      <c r="AY943" s="0" t="s">
        <v>184</v>
      </c>
      <c r="AZ943" s="0" t="str">
        <f aca="false">UPPER(IF(ISBLANK(AY943),"NONE",AY943))</f>
        <v>N/A</v>
      </c>
      <c r="BB943" s="7" t="str">
        <f aca="false">IF(ISBLANK(BA943),"No Follow Up Needed",BA943)</f>
        <v>No Follow Up Needed</v>
      </c>
      <c r="BC943" s="0" t="s">
        <v>82</v>
      </c>
      <c r="BD943" s="0" t="str">
        <f aca="false">PROPER(IF(ISBLANK(BC943),"Unknown",BC943))</f>
        <v>Yes</v>
      </c>
      <c r="BF943" s="0" t="str">
        <f aca="false">IF(ISBLANK(BE943),"No comments",BE943)</f>
        <v>No comments</v>
      </c>
      <c r="BH943" s="0" t="str">
        <f aca="false">IF(ISBLANK(BG943),"No comments",BG943)</f>
        <v>No comments</v>
      </c>
      <c r="BI943" s="0" t="s">
        <v>63</v>
      </c>
      <c r="BJ943" s="0" t="str">
        <f aca="false">IF(ISBLANK(BI943),"Not Mentioned",BI943)</f>
        <v>Yes</v>
      </c>
      <c r="BK943" s="0" t="s">
        <v>82</v>
      </c>
      <c r="BL943" s="0" t="str">
        <f aca="false">PROPER(IF(ISBLANK(BK943),"Not Mentioned",BK943))</f>
        <v>Yes</v>
      </c>
      <c r="BN943" s="0" t="str">
        <f aca="false">PROPER(IF(ISBLANK(BM943),"Not Mentioned",BM943))</f>
        <v>Not Mentioned</v>
      </c>
      <c r="BO943" s="0" t="s">
        <v>2321</v>
      </c>
      <c r="BP943" s="0" t="str">
        <f aca="false">IF(ISBLANK(BO943),"One-Time Plan",BO943)</f>
        <v>One-Time Plan</v>
      </c>
      <c r="BR943" s="0" t="str">
        <f aca="false">PROPER(IF(ISBLANK(BQ943),"No",BQ943))</f>
        <v>No</v>
      </c>
    </row>
    <row r="944" customFormat="false" ht="15" hidden="false" customHeight="false" outlineLevel="0" collapsed="false">
      <c r="A944" s="0" t="s">
        <v>2171</v>
      </c>
      <c r="B944" s="2" t="n">
        <v>45694</v>
      </c>
      <c r="C944" s="2" t="str">
        <f aca="false">TEXT(B944,"dd/mm/yyyy")</f>
        <v>06/02/2025</v>
      </c>
      <c r="D944" s="0" t="s">
        <v>163</v>
      </c>
      <c r="E944" s="0" t="n">
        <v>8016141035</v>
      </c>
      <c r="F944" s="0" t="s">
        <v>67</v>
      </c>
      <c r="G944" s="0" t="s">
        <v>2316</v>
      </c>
      <c r="H944" s="0" t="s">
        <v>2172</v>
      </c>
      <c r="I944" s="0" t="s">
        <v>107</v>
      </c>
      <c r="J944" s="0" t="s">
        <v>2322</v>
      </c>
      <c r="K944" s="3" t="str">
        <f aca="false" t="array" ref="K944:K944">IFERROR(IF(J944&lt;&gt;"",J944,INDEX(J944:J1943,MATCH(1,(F944:F1943=F944)*(I944:I1943=I944)*(L944:L1943=L944)*(J944:J1943&lt;&gt;""),0))),"Not Found")</f>
        <v>Brake Failure</v>
      </c>
      <c r="L944" s="3" t="s">
        <v>108</v>
      </c>
      <c r="M944" s="0" t="str">
        <f aca="false">PROPER(L944)</f>
        <v>Timing Belt</v>
      </c>
      <c r="O944" s="0" t="e">
        <f aca="false" t="array" ref="O944:O944">IF(N944&lt;&gt;"",N944,_xlfn.xlookup(1,(L944:L1943=L944)*(N944:N1943&lt;&gt;""),N944:N1943,"Not Found"))</f>
        <v>#NAME?</v>
      </c>
      <c r="P944" s="4" t="n">
        <v>24744</v>
      </c>
      <c r="Q944" s="0" t="s">
        <v>110</v>
      </c>
      <c r="R944" s="0" t="str">
        <f aca="false">PROPER(Q944)</f>
        <v>Cash</v>
      </c>
      <c r="S944" s="0" t="s">
        <v>63</v>
      </c>
      <c r="T944" s="0" t="n">
        <v>4</v>
      </c>
      <c r="U944" s="5" t="n">
        <f aca="false">IF(ISBLANK(T944),AVERAGE(T944:T1943),T944)</f>
        <v>4</v>
      </c>
      <c r="V944" s="0" t="n">
        <v>3.7</v>
      </c>
      <c r="W944" s="0" t="s">
        <v>125</v>
      </c>
      <c r="X944" s="0" t="str">
        <f aca="false">IF(ISBLANK(W944),"No remarks",W944)</f>
        <v>Customer waited</v>
      </c>
      <c r="Y944" s="0" t="s">
        <v>52</v>
      </c>
      <c r="Z944" s="0" t="s">
        <v>74</v>
      </c>
      <c r="AA944" s="0" t="str">
        <f aca="false">PROPER(IF(ISBLANK(Z944),"Location Unavailable",Z944))</f>
        <v>Under Tree</v>
      </c>
      <c r="AB944" s="0" t="s">
        <v>167</v>
      </c>
      <c r="AC944" s="6" t="str">
        <f aca="false">PROPER(AB944)</f>
        <v>Word Of Mouth</v>
      </c>
      <c r="AD944" s="6" t="n">
        <v>45</v>
      </c>
      <c r="AE944" s="5" t="n">
        <f aca="false">IF(ISBLANK(AD944),AVERAGEIF(L944:L1943,L944,AD944:AD1943),AD944)</f>
        <v>45</v>
      </c>
      <c r="AF944" s="0" t="s">
        <v>160</v>
      </c>
      <c r="AG944" s="0" t="str">
        <f aca="false">PROPER(AF944)</f>
        <v>Availaible</v>
      </c>
      <c r="AH944" s="0" t="s">
        <v>77</v>
      </c>
      <c r="AI944" s="0" t="s">
        <v>113</v>
      </c>
      <c r="AJ944" s="0" t="str">
        <f aca="false">PROPER(AI944)</f>
        <v>Normal</v>
      </c>
      <c r="AK944" s="0" t="s">
        <v>99</v>
      </c>
      <c r="AL944" s="0" t="str">
        <f aca="false">PROPER(AK944)</f>
        <v>Uber Driver</v>
      </c>
      <c r="AM944" s="0" t="s">
        <v>177</v>
      </c>
      <c r="AN944" s="0" t="str">
        <f aca="false">IF(ISBLANK(AM944),"Unknown",AM944)</f>
        <v>Private</v>
      </c>
      <c r="AO944" s="0" t="s">
        <v>149</v>
      </c>
      <c r="AP944" s="0" t="str">
        <f aca="false">IF(ISBLANK(AO944),"Unknown",AO944)</f>
        <v>Senior </v>
      </c>
      <c r="AQ944" s="0" t="n">
        <v>20000</v>
      </c>
      <c r="AR944" s="5" t="n">
        <f aca="false">IF(ISBLANK(AQ944),AVERAGEIF(M944:M1943,M944,AQ944:AQ1943),AQ944)</f>
        <v>20000</v>
      </c>
      <c r="AS944" s="0" t="n">
        <v>35000</v>
      </c>
      <c r="AT944" s="5" t="n">
        <f aca="false">IF(ISBLANK(AS944),AVERAGE(AS944:AS1943),AS944)</f>
        <v>35000</v>
      </c>
      <c r="AU944" s="0" t="s">
        <v>63</v>
      </c>
      <c r="AV944" s="0" t="str">
        <f aca="false">PROPER(IF(ISBLANK(AU944),"No",AU944))</f>
        <v>Yes</v>
      </c>
      <c r="AW944" s="0" t="n">
        <v>5000</v>
      </c>
      <c r="AX944" s="5" t="n">
        <f aca="false">IF(ISBLANK(AW944),0,AW944)</f>
        <v>5000</v>
      </c>
      <c r="AY944" s="0" t="s">
        <v>60</v>
      </c>
      <c r="AZ944" s="0" t="str">
        <f aca="false">UPPER(IF(ISBLANK(AY944),"NONE",AY944))</f>
        <v>NONE</v>
      </c>
      <c r="BA944" s="7" t="s">
        <v>959</v>
      </c>
      <c r="BB944" s="7" t="str">
        <f aca="false">IF(ISBLANK(BA944),"No Follow Up Needed",BA944)</f>
        <v>20/12/2025</v>
      </c>
      <c r="BC944" s="0" t="s">
        <v>50</v>
      </c>
      <c r="BD944" s="0" t="str">
        <f aca="false">PROPER(IF(ISBLANK(BC944),"Unknown",BC944))</f>
        <v>No</v>
      </c>
      <c r="BF944" s="0" t="str">
        <f aca="false">IF(ISBLANK(BE944),"No comments",BE944)</f>
        <v>No comments</v>
      </c>
      <c r="BG944" s="0" t="s">
        <v>117</v>
      </c>
      <c r="BH944" s="0" t="str">
        <f aca="false">IF(ISBLANK(BG944),"No comments",BG944)</f>
        <v>Prefers morning</v>
      </c>
      <c r="BJ944" s="0" t="str">
        <f aca="false">IF(ISBLANK(BI944),"Not Mentioned",BI944)</f>
        <v>Not Mentioned</v>
      </c>
      <c r="BL944" s="0" t="str">
        <f aca="false">PROPER(IF(ISBLANK(BK944),"Not Mentioned",BK944))</f>
        <v>Not Mentioned</v>
      </c>
      <c r="BM944" s="0" t="s">
        <v>63</v>
      </c>
      <c r="BN944" s="0" t="str">
        <f aca="false">PROPER(IF(ISBLANK(BM944),"Not Mentioned",BM944))</f>
        <v>Yes</v>
      </c>
      <c r="BP944" s="0" t="str">
        <f aca="false">IF(ISBLANK(BO944),"One-Time Plan",BO944)</f>
        <v>One-Time Plan</v>
      </c>
      <c r="BQ944" s="0" t="s">
        <v>50</v>
      </c>
      <c r="BR944" s="0" t="str">
        <f aca="false">PROPER(IF(ISBLANK(BQ944),"No",BQ944))</f>
        <v>No</v>
      </c>
    </row>
    <row r="945" customFormat="false" ht="15" hidden="false" customHeight="false" outlineLevel="0" collapsed="false">
      <c r="A945" s="0" t="s">
        <v>2173</v>
      </c>
      <c r="B945" s="2" t="s">
        <v>1113</v>
      </c>
      <c r="C945" s="2" t="str">
        <f aca="false">TEXT(B945,"dd/mm/yyyy")</f>
        <v>23/04/2025</v>
      </c>
      <c r="D945" s="0" t="s">
        <v>163</v>
      </c>
      <c r="E945" s="0" t="n">
        <v>8053691252</v>
      </c>
      <c r="F945" s="0" t="s">
        <v>43</v>
      </c>
      <c r="G945" s="0" t="s">
        <v>2315</v>
      </c>
      <c r="H945" s="0" t="s">
        <v>2174</v>
      </c>
      <c r="I945" s="0" t="s">
        <v>45</v>
      </c>
      <c r="K945" s="3" t="str">
        <f aca="false" t="array" ref="K945:K945">IFERROR(IF(J945&lt;&gt;"",J945,INDEX(J945:J1944,MATCH(1,(F945:F1944=F945)*(I945:I1944=I945)*(L945:L1944=L945)*(J945:J1944&lt;&gt;""),0))),"Not Found")</f>
        <v>Not Found</v>
      </c>
      <c r="L945" s="3" t="s">
        <v>47</v>
      </c>
      <c r="M945" s="0" t="str">
        <f aca="false">PROPER(L945)</f>
        <v>None</v>
      </c>
      <c r="O945" s="0" t="e">
        <f aca="false" t="array" ref="O945:O945">IF(N945&lt;&gt;"",N945,_xlfn.xlookup(1,(L945:L1944=L945)*(N945:N1944&lt;&gt;""),N945:N1944,"Not Found"))</f>
        <v>#NAME?</v>
      </c>
      <c r="P945" s="4" t="n">
        <v>56479</v>
      </c>
      <c r="Q945" s="0" t="s">
        <v>49</v>
      </c>
      <c r="R945" s="0" t="str">
        <f aca="false">PROPER(Q945)</f>
        <v>Transfer</v>
      </c>
      <c r="S945" s="0" t="s">
        <v>63</v>
      </c>
      <c r="T945" s="0" t="n">
        <v>5</v>
      </c>
      <c r="U945" s="5" t="n">
        <f aca="false">IF(ISBLANK(T945),AVERAGE(T945:T1944),T945)</f>
        <v>5</v>
      </c>
      <c r="V945" s="0" t="n">
        <v>1.5</v>
      </c>
      <c r="W945" s="0" t="s">
        <v>51</v>
      </c>
      <c r="X945" s="0" t="str">
        <f aca="false">IF(ISBLANK(W945),"No remarks",W945)</f>
        <v>Recommended further checks</v>
      </c>
      <c r="Y945" s="0" t="s">
        <v>73</v>
      </c>
      <c r="AA945" s="0" t="str">
        <f aca="false">PROPER(IF(ISBLANK(Z945),"Location Unavailable",Z945))</f>
        <v>Location Unavailable</v>
      </c>
      <c r="AB945" s="0" t="s">
        <v>75</v>
      </c>
      <c r="AC945" s="6" t="str">
        <f aca="false">PROPER(AB945)</f>
        <v>Mechanik Referal</v>
      </c>
      <c r="AE945" s="5" t="n">
        <f aca="false">IF(ISBLANK(AD945),AVERAGEIF(L945:L1944,L945,AD945:AD1944),AD945)</f>
        <v>36.9230769230769</v>
      </c>
      <c r="AF945" s="0" t="s">
        <v>55</v>
      </c>
      <c r="AG945" s="0" t="str">
        <f aca="false">PROPER(AF945)</f>
        <v>Available</v>
      </c>
      <c r="AH945" s="0" t="s">
        <v>155</v>
      </c>
      <c r="AI945" s="0" t="s">
        <v>78</v>
      </c>
      <c r="AJ945" s="0" t="str">
        <f aca="false">PROPER(AI945)</f>
        <v>Booking</v>
      </c>
      <c r="AK945" s="0" t="s">
        <v>99</v>
      </c>
      <c r="AL945" s="0" t="str">
        <f aca="false">PROPER(AK945)</f>
        <v>Uber Driver</v>
      </c>
      <c r="AM945" s="0" t="s">
        <v>59</v>
      </c>
      <c r="AN945" s="0" t="str">
        <f aca="false">IF(ISBLANK(AM945),"Unknown",AM945)</f>
        <v>Bolt Driver</v>
      </c>
      <c r="AO945" s="0" t="s">
        <v>149</v>
      </c>
      <c r="AP945" s="0" t="str">
        <f aca="false">IF(ISBLANK(AO945),"Unknown",AO945)</f>
        <v>Senior </v>
      </c>
      <c r="AR945" s="5" t="n">
        <f aca="false">IF(ISBLANK(AQ945),AVERAGEIF(M945:M1944,M945,AQ945:AQ1944),AQ945)</f>
        <v>28888.8888888889</v>
      </c>
      <c r="AS945" s="0" t="n">
        <v>40000</v>
      </c>
      <c r="AT945" s="5" t="n">
        <f aca="false">IF(ISBLANK(AS945),AVERAGE(AS945:AS1944),AS945)</f>
        <v>40000</v>
      </c>
      <c r="AU945" s="0" t="s">
        <v>50</v>
      </c>
      <c r="AV945" s="0" t="str">
        <f aca="false">PROPER(IF(ISBLANK(AU945),"No",AU945))</f>
        <v>No</v>
      </c>
      <c r="AX945" s="5" t="n">
        <f aca="false">IF(ISBLANK(AW945),0,AW945)</f>
        <v>0</v>
      </c>
      <c r="AY945" s="0" t="s">
        <v>130</v>
      </c>
      <c r="AZ945" s="0" t="str">
        <f aca="false">UPPER(IF(ISBLANK(AY945),"NONE",AY945))</f>
        <v>LOYALTY10</v>
      </c>
      <c r="BB945" s="7" t="str">
        <f aca="false">IF(ISBLANK(BA945),"No Follow Up Needed",BA945)</f>
        <v>No Follow Up Needed</v>
      </c>
      <c r="BC945" s="0" t="s">
        <v>50</v>
      </c>
      <c r="BD945" s="0" t="str">
        <f aca="false">PROPER(IF(ISBLANK(BC945),"Unknown",BC945))</f>
        <v>No</v>
      </c>
      <c r="BF945" s="0" t="str">
        <f aca="false">IF(ISBLANK(BE945),"No comments",BE945)</f>
        <v>No comments</v>
      </c>
      <c r="BH945" s="0" t="str">
        <f aca="false">IF(ISBLANK(BG945),"No comments",BG945)</f>
        <v>No comments</v>
      </c>
      <c r="BI945" s="0" t="s">
        <v>50</v>
      </c>
      <c r="BJ945" s="0" t="str">
        <f aca="false">IF(ISBLANK(BI945),"Not Mentioned",BI945)</f>
        <v>No</v>
      </c>
      <c r="BL945" s="0" t="str">
        <f aca="false">PROPER(IF(ISBLANK(BK945),"Not Mentioned",BK945))</f>
        <v>Not Mentioned</v>
      </c>
      <c r="BN945" s="0" t="str">
        <f aca="false">PROPER(IF(ISBLANK(BM945),"Not Mentioned",BM945))</f>
        <v>Not Mentioned</v>
      </c>
      <c r="BO945" s="0" t="s">
        <v>2321</v>
      </c>
      <c r="BP945" s="0" t="str">
        <f aca="false">IF(ISBLANK(BO945),"One-Time Plan",BO945)</f>
        <v>One-Time Plan</v>
      </c>
      <c r="BQ945" s="0" t="s">
        <v>198</v>
      </c>
      <c r="BR945" s="0" t="str">
        <f aca="false">PROPER(IF(ISBLANK(BQ945),"No",BQ945))</f>
        <v>Followed Up</v>
      </c>
    </row>
    <row r="946" customFormat="false" ht="15" hidden="false" customHeight="false" outlineLevel="0" collapsed="false">
      <c r="A946" s="0" t="s">
        <v>2175</v>
      </c>
      <c r="B946" s="2" t="n">
        <v>45783</v>
      </c>
      <c r="C946" s="2" t="str">
        <f aca="false">TEXT(B946,"dd/mm/yyyy")</f>
        <v>06/05/2025</v>
      </c>
      <c r="D946" s="0" t="s">
        <v>121</v>
      </c>
      <c r="E946" s="0" t="n">
        <v>8069633763</v>
      </c>
      <c r="F946" s="0" t="s">
        <v>139</v>
      </c>
      <c r="G946" s="0" t="s">
        <v>2323</v>
      </c>
      <c r="H946" s="0" t="s">
        <v>2176</v>
      </c>
      <c r="I946" s="0" t="s">
        <v>69</v>
      </c>
      <c r="J946" s="0" t="s">
        <v>2325</v>
      </c>
      <c r="K946" s="3" t="str">
        <f aca="false" t="array" ref="K946:K946">IFERROR(IF(J946&lt;&gt;"",J946,INDEX(J946:J1945,MATCH(1,(F946:F1945=F946)*(I946:I1945=I946)*(L946:L1945=L946)*(J946:J1945&lt;&gt;""),0))),"Not Found")</f>
        <v>Engine Knocking</v>
      </c>
      <c r="L946" s="3" t="s">
        <v>47</v>
      </c>
      <c r="M946" s="0" t="str">
        <f aca="false">PROPER(L946)</f>
        <v>None</v>
      </c>
      <c r="O946" s="0" t="e">
        <f aca="false" t="array" ref="O946:O946">IF(N946&lt;&gt;"",N946,_xlfn.xlookup(1,(L946:L1945=L946)*(N946:N1945&lt;&gt;""),N946:N1945,"Not Found"))</f>
        <v>#NAME?</v>
      </c>
      <c r="P946" s="4" t="n">
        <v>65987</v>
      </c>
      <c r="Q946" s="0" t="s">
        <v>124</v>
      </c>
      <c r="R946" s="0" t="str">
        <f aca="false">PROPER(Q946)</f>
        <v>Cash</v>
      </c>
      <c r="S946" s="0" t="s">
        <v>63</v>
      </c>
      <c r="T946" s="0" t="n">
        <v>4</v>
      </c>
      <c r="U946" s="5" t="n">
        <f aca="false">IF(ISBLANK(T946),AVERAGE(T946:T1945),T946)</f>
        <v>4</v>
      </c>
      <c r="V946" s="0" t="n">
        <v>3.5</v>
      </c>
      <c r="W946" s="0" t="s">
        <v>125</v>
      </c>
      <c r="X946" s="0" t="str">
        <f aca="false">IF(ISBLANK(W946),"No remarks",W946)</f>
        <v>Customer waited</v>
      </c>
      <c r="Y946" s="0" t="s">
        <v>73</v>
      </c>
      <c r="Z946" s="0" t="s">
        <v>74</v>
      </c>
      <c r="AA946" s="0" t="str">
        <f aca="false">PROPER(IF(ISBLANK(Z946),"Location Unavailable",Z946))</f>
        <v>Under Tree</v>
      </c>
      <c r="AB946" s="0" t="s">
        <v>147</v>
      </c>
      <c r="AC946" s="6" t="str">
        <f aca="false">PROPER(AB946)</f>
        <v>Instagram</v>
      </c>
      <c r="AD946" s="6" t="n">
        <v>15</v>
      </c>
      <c r="AE946" s="5" t="n">
        <f aca="false">IF(ISBLANK(AD946),AVERAGEIF(L946:L1945,L946,AD946:AD1945),AD946)</f>
        <v>15</v>
      </c>
      <c r="AF946" s="0" t="s">
        <v>96</v>
      </c>
      <c r="AG946" s="0" t="str">
        <f aca="false">PROPER(AF946)</f>
        <v>Ordered</v>
      </c>
      <c r="AH946" s="0" t="s">
        <v>155</v>
      </c>
      <c r="AI946" s="0" t="s">
        <v>113</v>
      </c>
      <c r="AJ946" s="0" t="str">
        <f aca="false">PROPER(AI946)</f>
        <v>Normal</v>
      </c>
      <c r="AK946" s="0" t="s">
        <v>99</v>
      </c>
      <c r="AL946" s="0" t="str">
        <f aca="false">PROPER(AK946)</f>
        <v>Uber Driver</v>
      </c>
      <c r="AM946" s="0" t="s">
        <v>177</v>
      </c>
      <c r="AN946" s="0" t="str">
        <f aca="false">IF(ISBLANK(AM946),"Unknown",AM946)</f>
        <v>Private</v>
      </c>
      <c r="AP946" s="0" t="str">
        <f aca="false">IF(ISBLANK(AO946),"Unknown",AO946)</f>
        <v>Unknown</v>
      </c>
      <c r="AQ946" s="0" t="n">
        <v>25000</v>
      </c>
      <c r="AR946" s="5" t="n">
        <f aca="false">IF(ISBLANK(AQ946),AVERAGEIF(M946:M1945,M946,AQ946:AQ1945),AQ946)</f>
        <v>25000</v>
      </c>
      <c r="AS946" s="0" t="n">
        <v>40000</v>
      </c>
      <c r="AT946" s="5" t="n">
        <f aca="false">IF(ISBLANK(AS946),AVERAGE(AS946:AS1945),AS946)</f>
        <v>40000</v>
      </c>
      <c r="AU946" s="0" t="s">
        <v>82</v>
      </c>
      <c r="AV946" s="0" t="str">
        <f aca="false">PROPER(IF(ISBLANK(AU946),"No",AU946))</f>
        <v>Yes</v>
      </c>
      <c r="AX946" s="5" t="n">
        <f aca="false">IF(ISBLANK(AW946),0,AW946)</f>
        <v>0</v>
      </c>
      <c r="AY946" s="0" t="s">
        <v>60</v>
      </c>
      <c r="AZ946" s="0" t="str">
        <f aca="false">UPPER(IF(ISBLANK(AY946),"NONE",AY946))</f>
        <v>NONE</v>
      </c>
      <c r="BA946" s="7" t="n">
        <v>45697</v>
      </c>
      <c r="BB946" s="7" t="n">
        <f aca="false">IF(ISBLANK(BA946),"No Follow Up Needed",BA946)</f>
        <v>45697</v>
      </c>
      <c r="BC946" s="0" t="s">
        <v>63</v>
      </c>
      <c r="BD946" s="0" t="str">
        <f aca="false">PROPER(IF(ISBLANK(BC946),"Unknown",BC946))</f>
        <v>Yes</v>
      </c>
      <c r="BF946" s="0" t="str">
        <f aca="false">IF(ISBLANK(BE946),"No comments",BE946)</f>
        <v>No comments</v>
      </c>
      <c r="BG946" s="0" t="s">
        <v>172</v>
      </c>
      <c r="BH946" s="0" t="str">
        <f aca="false">IF(ISBLANK(BG946),"No comments",BG946)</f>
        <v>Always late</v>
      </c>
      <c r="BI946" s="0" t="s">
        <v>50</v>
      </c>
      <c r="BJ946" s="0" t="str">
        <f aca="false">IF(ISBLANK(BI946),"Not Mentioned",BI946)</f>
        <v>No</v>
      </c>
      <c r="BK946" s="0" t="s">
        <v>63</v>
      </c>
      <c r="BL946" s="0" t="str">
        <f aca="false">PROPER(IF(ISBLANK(BK946),"Not Mentioned",BK946))</f>
        <v>Yes</v>
      </c>
      <c r="BM946" s="0" t="s">
        <v>63</v>
      </c>
      <c r="BN946" s="0" t="str">
        <f aca="false">PROPER(IF(ISBLANK(BM946),"Not Mentioned",BM946))</f>
        <v>Yes</v>
      </c>
      <c r="BO946" s="0" t="s">
        <v>2321</v>
      </c>
      <c r="BP946" s="0" t="str">
        <f aca="false">IF(ISBLANK(BO946),"One-Time Plan",BO946)</f>
        <v>One-Time Plan</v>
      </c>
      <c r="BQ946" s="0" t="s">
        <v>50</v>
      </c>
      <c r="BR946" s="0" t="str">
        <f aca="false">PROPER(IF(ISBLANK(BQ946),"No",BQ946))</f>
        <v>No</v>
      </c>
    </row>
    <row r="947" customFormat="false" ht="15" hidden="false" customHeight="false" outlineLevel="0" collapsed="false">
      <c r="A947" s="0" t="s">
        <v>2177</v>
      </c>
      <c r="B947" s="2" t="n">
        <v>45739</v>
      </c>
      <c r="C947" s="2" t="str">
        <f aca="false">TEXT(B947,"dd/mm/yyyy")</f>
        <v>23/03/2025</v>
      </c>
      <c r="D947" s="0" t="s">
        <v>42</v>
      </c>
      <c r="E947" s="0" t="n">
        <v>8041347711</v>
      </c>
      <c r="F947" s="0" t="s">
        <v>67</v>
      </c>
      <c r="G947" s="0" t="s">
        <v>2316</v>
      </c>
      <c r="H947" s="0" t="s">
        <v>2178</v>
      </c>
      <c r="I947" s="0" t="s">
        <v>69</v>
      </c>
      <c r="J947" s="0" t="s">
        <v>2317</v>
      </c>
      <c r="K947" s="3" t="str">
        <f aca="false" t="array" ref="K947:K947">IFERROR(IF(J947&lt;&gt;"",J947,INDEX(J947:J1946,MATCH(1,(F947:F1946=F947)*(I947:I1946=I947)*(L947:L1946=L947)*(J947:J1946&lt;&gt;""),0))),"Not Found")</f>
        <v>Suspension Noise</v>
      </c>
      <c r="L947" s="3" t="s">
        <v>89</v>
      </c>
      <c r="M947" s="0" t="str">
        <f aca="false">PROPER(L947)</f>
        <v>Shock Absorbers</v>
      </c>
      <c r="N947" s="3" t="s">
        <v>90</v>
      </c>
      <c r="O947" s="0" t="str">
        <f aca="false" t="array" ref="O947:O947">IF(N947&lt;&gt;"",N947,_xlfn.xlookup(1,(L947:L1946=L947)*(N947:N1946&lt;&gt;""),N947:N1946,"Not Found"))</f>
        <v>Musa</v>
      </c>
      <c r="P947" s="4" t="n">
        <v>15769</v>
      </c>
      <c r="Q947" s="0" t="s">
        <v>110</v>
      </c>
      <c r="R947" s="0" t="str">
        <f aca="false">PROPER(Q947)</f>
        <v>Cash</v>
      </c>
      <c r="S947" s="0" t="s">
        <v>50</v>
      </c>
      <c r="T947" s="0" t="n">
        <v>2</v>
      </c>
      <c r="U947" s="5" t="n">
        <f aca="false">IF(ISBLANK(T947),AVERAGE(T947:T1946),T947)</f>
        <v>2</v>
      </c>
      <c r="V947" s="0" t="n">
        <v>5.6</v>
      </c>
      <c r="W947" s="0" t="s">
        <v>125</v>
      </c>
      <c r="X947" s="0" t="str">
        <f aca="false">IF(ISBLANK(W947),"No remarks",W947)</f>
        <v>Customer waited</v>
      </c>
      <c r="Y947" s="0" t="s">
        <v>52</v>
      </c>
      <c r="Z947" s="0" t="s">
        <v>136</v>
      </c>
      <c r="AA947" s="0" t="str">
        <f aca="false">PROPER(IF(ISBLANK(Z947),"Location Unavailable",Z947))</f>
        <v>Vip Section</v>
      </c>
      <c r="AB947" s="0" t="s">
        <v>147</v>
      </c>
      <c r="AC947" s="6" t="str">
        <f aca="false">PROPER(AB947)</f>
        <v>Instagram</v>
      </c>
      <c r="AD947" s="6" t="n">
        <v>15</v>
      </c>
      <c r="AE947" s="5" t="n">
        <f aca="false">IF(ISBLANK(AD947),AVERAGEIF(L947:L1946,L947,AD947:AD1946),AD947)</f>
        <v>15</v>
      </c>
      <c r="AF947" s="0" t="s">
        <v>96</v>
      </c>
      <c r="AG947" s="0" t="str">
        <f aca="false">PROPER(AF947)</f>
        <v>Ordered</v>
      </c>
      <c r="AH947" s="0" t="s">
        <v>77</v>
      </c>
      <c r="AI947" s="0" t="s">
        <v>98</v>
      </c>
      <c r="AJ947" s="0" t="str">
        <f aca="false">PROPER(AI947)</f>
        <v>Emergency</v>
      </c>
      <c r="AK947" s="0" t="s">
        <v>99</v>
      </c>
      <c r="AL947" s="0" t="str">
        <f aca="false">PROPER(AK947)</f>
        <v>Uber Driver</v>
      </c>
      <c r="AN947" s="0" t="str">
        <f aca="false">IF(ISBLANK(AM947),"Unknown",AM947)</f>
        <v>Unknown</v>
      </c>
      <c r="AO947" s="0" t="s">
        <v>161</v>
      </c>
      <c r="AP947" s="0" t="str">
        <f aca="false">IF(ISBLANK(AO947),"Unknown",AO947)</f>
        <v>Apprentice</v>
      </c>
      <c r="AQ947" s="0" t="n">
        <v>20000</v>
      </c>
      <c r="AR947" s="5" t="n">
        <f aca="false">IF(ISBLANK(AQ947),AVERAGEIF(M947:M1946,M947,AQ947:AQ1946),AQ947)</f>
        <v>20000</v>
      </c>
      <c r="AS947" s="0" t="n">
        <v>30000</v>
      </c>
      <c r="AT947" s="5" t="n">
        <f aca="false">IF(ISBLANK(AS947),AVERAGE(AS947:AS1946),AS947)</f>
        <v>30000</v>
      </c>
      <c r="AU947" s="0" t="s">
        <v>50</v>
      </c>
      <c r="AV947" s="0" t="str">
        <f aca="false">PROPER(IF(ISBLANK(AU947),"No",AU947))</f>
        <v>No</v>
      </c>
      <c r="AW947" s="0" t="n">
        <v>0</v>
      </c>
      <c r="AX947" s="5" t="n">
        <f aca="false">IF(ISBLANK(AW947),0,AW947)</f>
        <v>0</v>
      </c>
      <c r="AY947" s="0" t="s">
        <v>184</v>
      </c>
      <c r="AZ947" s="0" t="str">
        <f aca="false">UPPER(IF(ISBLANK(AY947),"NONE",AY947))</f>
        <v>N/A</v>
      </c>
      <c r="BA947" s="7" t="n">
        <v>45905</v>
      </c>
      <c r="BB947" s="7" t="n">
        <f aca="false">IF(ISBLANK(BA947),"No Follow Up Needed",BA947)</f>
        <v>45905</v>
      </c>
      <c r="BD947" s="0" t="str">
        <f aca="false">PROPER(IF(ISBLANK(BC947),"Unknown",BC947))</f>
        <v>Unknown</v>
      </c>
      <c r="BE947" s="0" t="s">
        <v>171</v>
      </c>
      <c r="BF947" s="0" t="str">
        <f aca="false">IF(ISBLANK(BE947),"No comments",BE947)</f>
        <v>Shock absorber weakening</v>
      </c>
      <c r="BH947" s="0" t="str">
        <f aca="false">IF(ISBLANK(BG947),"No comments",BG947)</f>
        <v>No comments</v>
      </c>
      <c r="BI947" s="0" t="s">
        <v>50</v>
      </c>
      <c r="BJ947" s="0" t="str">
        <f aca="false">IF(ISBLANK(BI947),"Not Mentioned",BI947)</f>
        <v>No</v>
      </c>
      <c r="BL947" s="0" t="str">
        <f aca="false">PROPER(IF(ISBLANK(BK947),"Not Mentioned",BK947))</f>
        <v>Not Mentioned</v>
      </c>
      <c r="BM947" s="0" t="s">
        <v>63</v>
      </c>
      <c r="BN947" s="0" t="str">
        <f aca="false">PROPER(IF(ISBLANK(BM947),"Not Mentioned",BM947))</f>
        <v>Yes</v>
      </c>
      <c r="BP947" s="0" t="str">
        <f aca="false">IF(ISBLANK(BO947),"One-Time Plan",BO947)</f>
        <v>One-Time Plan</v>
      </c>
      <c r="BQ947" s="0" t="s">
        <v>50</v>
      </c>
      <c r="BR947" s="0" t="str">
        <f aca="false">PROPER(IF(ISBLANK(BQ947),"No",BQ947))</f>
        <v>No</v>
      </c>
    </row>
    <row r="948" customFormat="false" ht="15" hidden="false" customHeight="false" outlineLevel="0" collapsed="false">
      <c r="A948" s="0" t="s">
        <v>2179</v>
      </c>
      <c r="B948" s="2" t="n">
        <v>45693</v>
      </c>
      <c r="C948" s="2" t="str">
        <f aca="false">TEXT(B948,"dd/mm/yyyy")</f>
        <v>05/02/2025</v>
      </c>
      <c r="D948" s="0" t="s">
        <v>121</v>
      </c>
      <c r="E948" s="0" t="n">
        <v>8091438353</v>
      </c>
      <c r="F948" s="0" t="s">
        <v>85</v>
      </c>
      <c r="G948" s="0" t="s">
        <v>2319</v>
      </c>
      <c r="H948" s="0" t="s">
        <v>2180</v>
      </c>
      <c r="I948" s="0" t="s">
        <v>107</v>
      </c>
      <c r="J948" s="0" t="s">
        <v>2325</v>
      </c>
      <c r="K948" s="3" t="str">
        <f aca="false" t="array" ref="K948:K948">IFERROR(IF(J948&lt;&gt;"",J948,INDEX(J948:J1947,MATCH(1,(F948:F1947=F948)*(I948:I1947=I948)*(L948:L1947=L948)*(J948:J1947&lt;&gt;""),0))),"Not Found")</f>
        <v>Engine Knocking</v>
      </c>
      <c r="L948" s="3" t="s">
        <v>108</v>
      </c>
      <c r="M948" s="0" t="str">
        <f aca="false">PROPER(L948)</f>
        <v>Timing Belt</v>
      </c>
      <c r="N948" s="3" t="s">
        <v>90</v>
      </c>
      <c r="O948" s="0" t="str">
        <f aca="false" t="array" ref="O948:O948">IF(N948&lt;&gt;"",N948,_xlfn.xlookup(1,(L948:L1947=L948)*(N948:N1947&lt;&gt;""),N948:N1947,"Not Found"))</f>
        <v>Musa</v>
      </c>
      <c r="P948" s="4" t="n">
        <v>74796</v>
      </c>
      <c r="Q948" s="0" t="s">
        <v>124</v>
      </c>
      <c r="R948" s="0" t="str">
        <f aca="false">PROPER(Q948)</f>
        <v>Cash</v>
      </c>
      <c r="S948" s="0" t="s">
        <v>50</v>
      </c>
      <c r="T948" s="0" t="n">
        <v>5</v>
      </c>
      <c r="U948" s="5" t="n">
        <f aca="false">IF(ISBLANK(T948),AVERAGE(T948:T1947),T948)</f>
        <v>5</v>
      </c>
      <c r="V948" s="0" t="n">
        <v>4.3</v>
      </c>
      <c r="W948" s="0" t="s">
        <v>111</v>
      </c>
      <c r="X948" s="0" t="str">
        <f aca="false">IF(ISBLANK(W948),"No remarks",W948)</f>
        <v>Changed all filters</v>
      </c>
      <c r="Y948" s="0" t="s">
        <v>93</v>
      </c>
      <c r="Z948" s="0" t="s">
        <v>94</v>
      </c>
      <c r="AA948" s="0" t="str">
        <f aca="false">PROPER(IF(ISBLANK(Z948),"Location Unavailable",Z948))</f>
        <v>Vip Section</v>
      </c>
      <c r="AB948" s="0" t="s">
        <v>167</v>
      </c>
      <c r="AC948" s="6" t="str">
        <f aca="false">PROPER(AB948)</f>
        <v>Word Of Mouth</v>
      </c>
      <c r="AE948" s="5" t="n">
        <f aca="false">IF(ISBLANK(AD948),AVERAGEIF(L948:L1947,L948,AD948:AD1947),AD948)</f>
        <v>40</v>
      </c>
      <c r="AF948" s="0" t="s">
        <v>76</v>
      </c>
      <c r="AG948" s="0" t="str">
        <f aca="false">PROPER(AF948)</f>
        <v>Orderd</v>
      </c>
      <c r="AH948" s="0" t="s">
        <v>155</v>
      </c>
      <c r="AI948" s="0" t="s">
        <v>128</v>
      </c>
      <c r="AJ948" s="0" t="str">
        <f aca="false">PROPER(AI948)</f>
        <v>Normal</v>
      </c>
      <c r="AK948" s="0" t="s">
        <v>196</v>
      </c>
      <c r="AL948" s="0" t="str">
        <f aca="false">PROPER(AK948)</f>
        <v>First Time</v>
      </c>
      <c r="AN948" s="0" t="str">
        <f aca="false">IF(ISBLANK(AM948),"Unknown",AM948)</f>
        <v>Unknown</v>
      </c>
      <c r="AO948" s="0" t="s">
        <v>143</v>
      </c>
      <c r="AP948" s="0" t="str">
        <f aca="false">IF(ISBLANK(AO948),"Unknown",AO948)</f>
        <v>Senior</v>
      </c>
      <c r="AQ948" s="0" t="n">
        <v>30000</v>
      </c>
      <c r="AR948" s="5" t="n">
        <f aca="false">IF(ISBLANK(AQ948),AVERAGEIF(M948:M1947,M948,AQ948:AQ1947),AQ948)</f>
        <v>30000</v>
      </c>
      <c r="AS948" s="0" t="n">
        <v>35000</v>
      </c>
      <c r="AT948" s="5" t="n">
        <f aca="false">IF(ISBLANK(AS948),AVERAGE(AS948:AS1947),AS948)</f>
        <v>35000</v>
      </c>
      <c r="AU948" s="0" t="s">
        <v>82</v>
      </c>
      <c r="AV948" s="0" t="str">
        <f aca="false">PROPER(IF(ISBLANK(AU948),"No",AU948))</f>
        <v>Yes</v>
      </c>
      <c r="AW948" s="0" t="n">
        <v>5000</v>
      </c>
      <c r="AX948" s="5" t="n">
        <f aca="false">IF(ISBLANK(AW948),0,AW948)</f>
        <v>5000</v>
      </c>
      <c r="AY948" s="0" t="s">
        <v>130</v>
      </c>
      <c r="AZ948" s="0" t="str">
        <f aca="false">UPPER(IF(ISBLANK(AY948),"NONE",AY948))</f>
        <v>LOYALTY10</v>
      </c>
      <c r="BA948" s="7" t="n">
        <v>45948</v>
      </c>
      <c r="BB948" s="7" t="n">
        <f aca="false">IF(ISBLANK(BA948),"No Follow Up Needed",BA948)</f>
        <v>45948</v>
      </c>
      <c r="BC948" s="0" t="s">
        <v>82</v>
      </c>
      <c r="BD948" s="0" t="str">
        <f aca="false">PROPER(IF(ISBLANK(BC948),"Unknown",BC948))</f>
        <v>Yes</v>
      </c>
      <c r="BF948" s="0" t="str">
        <f aca="false">IF(ISBLANK(BE948),"No comments",BE948)</f>
        <v>No comments</v>
      </c>
      <c r="BG948" s="0" t="s">
        <v>117</v>
      </c>
      <c r="BH948" s="0" t="str">
        <f aca="false">IF(ISBLANK(BG948),"No comments",BG948)</f>
        <v>Prefers morning</v>
      </c>
      <c r="BI948" s="0" t="s">
        <v>63</v>
      </c>
      <c r="BJ948" s="0" t="str">
        <f aca="false">IF(ISBLANK(BI948),"Not Mentioned",BI948)</f>
        <v>Yes</v>
      </c>
      <c r="BK948" s="0" t="s">
        <v>82</v>
      </c>
      <c r="BL948" s="0" t="str">
        <f aca="false">PROPER(IF(ISBLANK(BK948),"Not Mentioned",BK948))</f>
        <v>Yes</v>
      </c>
      <c r="BN948" s="0" t="str">
        <f aca="false">PROPER(IF(ISBLANK(BM948),"Not Mentioned",BM948))</f>
        <v>Not Mentioned</v>
      </c>
      <c r="BO948" s="0" t="s">
        <v>64</v>
      </c>
      <c r="BP948" s="0" t="str">
        <f aca="false">IF(ISBLANK(BO948),"One-Time Plan",BO948)</f>
        <v>Gold Maintenance Plan</v>
      </c>
      <c r="BR948" s="0" t="str">
        <f aca="false">PROPER(IF(ISBLANK(BQ948),"No",BQ948))</f>
        <v>No</v>
      </c>
    </row>
    <row r="949" customFormat="false" ht="15" hidden="false" customHeight="false" outlineLevel="0" collapsed="false">
      <c r="A949" s="0" t="s">
        <v>2181</v>
      </c>
      <c r="B949" s="2" t="n">
        <v>45779</v>
      </c>
      <c r="C949" s="2" t="str">
        <f aca="false">TEXT(B949,"dd/mm/yyyy")</f>
        <v>02/05/2025</v>
      </c>
      <c r="D949" s="0" t="s">
        <v>163</v>
      </c>
      <c r="E949" s="0" t="n">
        <v>8075033340</v>
      </c>
      <c r="F949" s="0" t="s">
        <v>139</v>
      </c>
      <c r="G949" s="0" t="s">
        <v>2323</v>
      </c>
      <c r="H949" s="0" t="s">
        <v>2182</v>
      </c>
      <c r="I949" s="0" t="s">
        <v>45</v>
      </c>
      <c r="J949" s="0" t="s">
        <v>87</v>
      </c>
      <c r="K949" s="3" t="str">
        <f aca="false" t="array" ref="K949:K949">IFERROR(IF(J949&lt;&gt;"",J949,INDEX(J949:J1948,MATCH(1,(F949:F1948=F949)*(I949:I1948=I949)*(L949:L1948=L949)*(J949:J1948&lt;&gt;""),0))),"Not Found")</f>
        <v>Oil Change</v>
      </c>
      <c r="L949" s="3" t="s">
        <v>154</v>
      </c>
      <c r="M949" s="0" t="str">
        <f aca="false">PROPER(L949)</f>
        <v>Air Filter</v>
      </c>
      <c r="O949" s="0" t="e">
        <f aca="false" t="array" ref="O949:O949">IF(N949&lt;&gt;"",N949,_xlfn.xlookup(1,(L949:L1948=L949)*(N949:N1948&lt;&gt;""),N949:N1948,"Not Found"))</f>
        <v>#NAME?</v>
      </c>
      <c r="P949" s="4" t="n">
        <v>82331</v>
      </c>
      <c r="Q949" s="0" t="s">
        <v>72</v>
      </c>
      <c r="R949" s="0" t="str">
        <f aca="false">PROPER(Q949)</f>
        <v>Pos</v>
      </c>
      <c r="S949" s="0" t="s">
        <v>50</v>
      </c>
      <c r="T949" s="0" t="n">
        <v>3</v>
      </c>
      <c r="U949" s="5" t="n">
        <f aca="false">IF(ISBLANK(T949),AVERAGE(T949:T1948),T949)</f>
        <v>3</v>
      </c>
      <c r="V949" s="0" t="n">
        <v>3.6</v>
      </c>
      <c r="W949" s="0" t="s">
        <v>125</v>
      </c>
      <c r="X949" s="0" t="str">
        <f aca="false">IF(ISBLANK(W949),"No remarks",W949)</f>
        <v>Customer waited</v>
      </c>
      <c r="Y949" s="0" t="s">
        <v>93</v>
      </c>
      <c r="Z949" s="0" t="s">
        <v>136</v>
      </c>
      <c r="AA949" s="0" t="str">
        <f aca="false">PROPER(IF(ISBLANK(Z949),"Location Unavailable",Z949))</f>
        <v>Vip Section</v>
      </c>
      <c r="AB949" s="0" t="s">
        <v>95</v>
      </c>
      <c r="AC949" s="6" t="str">
        <f aca="false">PROPER(AB949)</f>
        <v>Road Sign</v>
      </c>
      <c r="AD949" s="6" t="n">
        <v>45</v>
      </c>
      <c r="AE949" s="5" t="n">
        <f aca="false">IF(ISBLANK(AD949),AVERAGEIF(L949:L1948,L949,AD949:AD1948),AD949)</f>
        <v>45</v>
      </c>
      <c r="AF949" s="0" t="s">
        <v>160</v>
      </c>
      <c r="AG949" s="0" t="str">
        <f aca="false">PROPER(AF949)</f>
        <v>Availaible</v>
      </c>
      <c r="AH949" s="0" t="s">
        <v>155</v>
      </c>
      <c r="AI949" s="0" t="s">
        <v>78</v>
      </c>
      <c r="AJ949" s="0" t="str">
        <f aca="false">PROPER(AI949)</f>
        <v>Booking</v>
      </c>
      <c r="AK949" s="0" t="s">
        <v>196</v>
      </c>
      <c r="AL949" s="0" t="str">
        <f aca="false">PROPER(AK949)</f>
        <v>First Time</v>
      </c>
      <c r="AM949" s="0" t="s">
        <v>2324</v>
      </c>
      <c r="AN949" s="0" t="str">
        <f aca="false">IF(ISBLANK(AM949),"Unknown",AM949)</f>
        <v>Logistics Convoy</v>
      </c>
      <c r="AO949" s="0" t="s">
        <v>143</v>
      </c>
      <c r="AP949" s="0" t="str">
        <f aca="false">IF(ISBLANK(AO949),"Unknown",AO949)</f>
        <v>Senior</v>
      </c>
      <c r="AQ949" s="0" t="n">
        <v>25000</v>
      </c>
      <c r="AR949" s="5" t="n">
        <f aca="false">IF(ISBLANK(AQ949),AVERAGEIF(M949:M1948,M949,AQ949:AQ1948),AQ949)</f>
        <v>25000</v>
      </c>
      <c r="AS949" s="0" t="n">
        <v>30000</v>
      </c>
      <c r="AT949" s="5" t="n">
        <f aca="false">IF(ISBLANK(AS949),AVERAGE(AS949:AS1948),AS949)</f>
        <v>30000</v>
      </c>
      <c r="AU949" s="0" t="s">
        <v>82</v>
      </c>
      <c r="AV949" s="0" t="str">
        <f aca="false">PROPER(IF(ISBLANK(AU949),"No",AU949))</f>
        <v>Yes</v>
      </c>
      <c r="AW949" s="0" t="n">
        <v>5000</v>
      </c>
      <c r="AX949" s="5" t="n">
        <f aca="false">IF(ISBLANK(AW949),0,AW949)</f>
        <v>5000</v>
      </c>
      <c r="AZ949" s="0" t="str">
        <f aca="false">UPPER(IF(ISBLANK(AY949),"NONE",AY949))</f>
        <v>NONE</v>
      </c>
      <c r="BB949" s="7" t="str">
        <f aca="false">IF(ISBLANK(BA949),"No Follow Up Needed",BA949)</f>
        <v>No Follow Up Needed</v>
      </c>
      <c r="BD949" s="0" t="str">
        <f aca="false">PROPER(IF(ISBLANK(BC949),"Unknown",BC949))</f>
        <v>Unknown</v>
      </c>
      <c r="BE949" s="0" t="s">
        <v>171</v>
      </c>
      <c r="BF949" s="0" t="str">
        <f aca="false">IF(ISBLANK(BE949),"No comments",BE949)</f>
        <v>Shock absorber weakening</v>
      </c>
      <c r="BG949" s="0" t="s">
        <v>172</v>
      </c>
      <c r="BH949" s="0" t="str">
        <f aca="false">IF(ISBLANK(BG949),"No comments",BG949)</f>
        <v>Always late</v>
      </c>
      <c r="BI949" s="0" t="s">
        <v>50</v>
      </c>
      <c r="BJ949" s="0" t="str">
        <f aca="false">IF(ISBLANK(BI949),"Not Mentioned",BI949)</f>
        <v>No</v>
      </c>
      <c r="BK949" s="0" t="s">
        <v>61</v>
      </c>
      <c r="BL949" s="0" t="str">
        <f aca="false">PROPER(IF(ISBLANK(BK949),"Not Mentioned",BK949))</f>
        <v>No</v>
      </c>
      <c r="BM949" s="0" t="s">
        <v>63</v>
      </c>
      <c r="BN949" s="0" t="str">
        <f aca="false">PROPER(IF(ISBLANK(BM949),"Not Mentioned",BM949))</f>
        <v>Yes</v>
      </c>
      <c r="BO949" s="0" t="s">
        <v>2321</v>
      </c>
      <c r="BP949" s="0" t="str">
        <f aca="false">IF(ISBLANK(BO949),"One-Time Plan",BO949)</f>
        <v>One-Time Plan</v>
      </c>
      <c r="BQ949" s="0" t="s">
        <v>190</v>
      </c>
      <c r="BR949" s="0" t="str">
        <f aca="false">PROPER(IF(ISBLANK(BQ949),"No",BQ949))</f>
        <v>Yes</v>
      </c>
    </row>
    <row r="950" customFormat="false" ht="15" hidden="false" customHeight="false" outlineLevel="0" collapsed="false">
      <c r="A950" s="0" t="s">
        <v>2183</v>
      </c>
      <c r="B950" s="2" t="n">
        <v>45663</v>
      </c>
      <c r="C950" s="2" t="str">
        <f aca="false">TEXT(B950,"dd/mm/yyyy")</f>
        <v>06/01/2025</v>
      </c>
      <c r="D950" s="0" t="s">
        <v>42</v>
      </c>
      <c r="E950" s="0" t="n">
        <v>8063709262</v>
      </c>
      <c r="F950" s="0" t="s">
        <v>67</v>
      </c>
      <c r="G950" s="0" t="s">
        <v>2316</v>
      </c>
      <c r="H950" s="0" t="s">
        <v>2184</v>
      </c>
      <c r="I950" s="0" t="s">
        <v>69</v>
      </c>
      <c r="J950" s="0" t="s">
        <v>2317</v>
      </c>
      <c r="K950" s="3" t="str">
        <f aca="false" t="array" ref="K950:K950">IFERROR(IF(J950&lt;&gt;"",J950,INDEX(J950:J1949,MATCH(1,(F950:F1949=F950)*(I950:I1949=I950)*(L950:L1949=L950)*(J950:J1949&lt;&gt;""),0))),"Not Found")</f>
        <v>Suspension Noise</v>
      </c>
      <c r="L950" s="3" t="s">
        <v>47</v>
      </c>
      <c r="M950" s="0" t="str">
        <f aca="false">PROPER(L950)</f>
        <v>None</v>
      </c>
      <c r="O950" s="0" t="e">
        <f aca="false" t="array" ref="O950:O950">IF(N950&lt;&gt;"",N950,_xlfn.xlookup(1,(L950:L1949=L950)*(N950:N1949&lt;&gt;""),N950:N1949,"Not Found"))</f>
        <v>#NAME?</v>
      </c>
      <c r="P950" s="4" t="n">
        <v>94191</v>
      </c>
      <c r="Q950" s="0" t="s">
        <v>91</v>
      </c>
      <c r="R950" s="0" t="str">
        <f aca="false">PROPER(Q950)</f>
        <v>Pos</v>
      </c>
      <c r="S950" s="0" t="s">
        <v>50</v>
      </c>
      <c r="T950" s="0" t="n">
        <v>5</v>
      </c>
      <c r="U950" s="5" t="n">
        <f aca="false">IF(ISBLANK(T950),AVERAGE(T950:T1949),T950)</f>
        <v>5</v>
      </c>
      <c r="V950" s="0" t="n">
        <v>4</v>
      </c>
      <c r="W950" s="0" t="s">
        <v>111</v>
      </c>
      <c r="X950" s="0" t="str">
        <f aca="false">IF(ISBLANK(W950),"No remarks",W950)</f>
        <v>Changed all filters</v>
      </c>
      <c r="Y950" s="0" t="s">
        <v>93</v>
      </c>
      <c r="Z950" s="0" t="s">
        <v>94</v>
      </c>
      <c r="AA950" s="0" t="str">
        <f aca="false">PROPER(IF(ISBLANK(Z950),"Location Unavailable",Z950))</f>
        <v>Vip Section</v>
      </c>
      <c r="AB950" s="0" t="s">
        <v>95</v>
      </c>
      <c r="AC950" s="6" t="str">
        <f aca="false">PROPER(AB950)</f>
        <v>Road Sign</v>
      </c>
      <c r="AD950" s="6" t="n">
        <v>30</v>
      </c>
      <c r="AE950" s="5" t="n">
        <f aca="false">IF(ISBLANK(AD950),AVERAGEIF(L950:L1949,L950,AD950:AD1949),AD950)</f>
        <v>30</v>
      </c>
      <c r="AF950" s="0" t="s">
        <v>55</v>
      </c>
      <c r="AG950" s="0" t="str">
        <f aca="false">PROPER(AF950)</f>
        <v>Available</v>
      </c>
      <c r="AH950" s="0" t="s">
        <v>155</v>
      </c>
      <c r="AI950" s="0" t="s">
        <v>128</v>
      </c>
      <c r="AJ950" s="0" t="str">
        <f aca="false">PROPER(AI950)</f>
        <v>Normal</v>
      </c>
      <c r="AK950" s="0" t="s">
        <v>99</v>
      </c>
      <c r="AL950" s="0" t="str">
        <f aca="false">PROPER(AK950)</f>
        <v>Uber Driver</v>
      </c>
      <c r="AN950" s="0" t="str">
        <f aca="false">IF(ISBLANK(AM950),"Unknown",AM950)</f>
        <v>Unknown</v>
      </c>
      <c r="AO950" s="0" t="s">
        <v>143</v>
      </c>
      <c r="AP950" s="0" t="str">
        <f aca="false">IF(ISBLANK(AO950),"Unknown",AO950)</f>
        <v>Senior</v>
      </c>
      <c r="AR950" s="5" t="n">
        <f aca="false">IF(ISBLANK(AQ950),AVERAGEIF(M950:M1949,M950,AQ950:AQ1949),AQ950)</f>
        <v>29375</v>
      </c>
      <c r="AT950" s="5" t="n">
        <f aca="false">IF(ISBLANK(AS950),AVERAGE(AS950:AS1949),AS950)</f>
        <v>30476.1904761905</v>
      </c>
      <c r="AU950" s="0" t="s">
        <v>50</v>
      </c>
      <c r="AV950" s="0" t="str">
        <f aca="false">PROPER(IF(ISBLANK(AU950),"No",AU950))</f>
        <v>No</v>
      </c>
      <c r="AW950" s="0" t="n">
        <v>0</v>
      </c>
      <c r="AX950" s="5" t="n">
        <f aca="false">IF(ISBLANK(AW950),0,AW950)</f>
        <v>0</v>
      </c>
      <c r="AY950" s="0" t="s">
        <v>130</v>
      </c>
      <c r="AZ950" s="0" t="str">
        <f aca="false">UPPER(IF(ISBLANK(AY950),"NONE",AY950))</f>
        <v>LOYALTY10</v>
      </c>
      <c r="BA950" s="7" t="s">
        <v>853</v>
      </c>
      <c r="BB950" s="7" t="str">
        <f aca="false">IF(ISBLANK(BA950),"No Follow Up Needed",BA950)</f>
        <v>25/10/2025</v>
      </c>
      <c r="BC950" s="0" t="s">
        <v>50</v>
      </c>
      <c r="BD950" s="0" t="str">
        <f aca="false">PROPER(IF(ISBLANK(BC950),"Unknown",BC950))</f>
        <v>No</v>
      </c>
      <c r="BE950" s="0" t="s">
        <v>171</v>
      </c>
      <c r="BF950" s="0" t="str">
        <f aca="false">IF(ISBLANK(BE950),"No comments",BE950)</f>
        <v>Shock absorber weakening</v>
      </c>
      <c r="BG950" s="0" t="s">
        <v>2320</v>
      </c>
      <c r="BH950" s="0" t="str">
        <f aca="false">IF(ISBLANK(BG950),"No comments",BG950)</f>
        <v>No complaints</v>
      </c>
      <c r="BI950" s="0" t="s">
        <v>63</v>
      </c>
      <c r="BJ950" s="0" t="str">
        <f aca="false">IF(ISBLANK(BI950),"Not Mentioned",BI950)</f>
        <v>Yes</v>
      </c>
      <c r="BL950" s="0" t="str">
        <f aca="false">PROPER(IF(ISBLANK(BK950),"Not Mentioned",BK950))</f>
        <v>Not Mentioned</v>
      </c>
      <c r="BM950" s="0" t="s">
        <v>63</v>
      </c>
      <c r="BN950" s="0" t="str">
        <f aca="false">PROPER(IF(ISBLANK(BM950),"Not Mentioned",BM950))</f>
        <v>Yes</v>
      </c>
      <c r="BO950" s="0" t="s">
        <v>2321</v>
      </c>
      <c r="BP950" s="0" t="str">
        <f aca="false">IF(ISBLANK(BO950),"One-Time Plan",BO950)</f>
        <v>One-Time Plan</v>
      </c>
      <c r="BQ950" s="0" t="s">
        <v>190</v>
      </c>
      <c r="BR950" s="0" t="str">
        <f aca="false">PROPER(IF(ISBLANK(BQ950),"No",BQ950))</f>
        <v>Yes</v>
      </c>
    </row>
    <row r="951" customFormat="false" ht="15" hidden="false" customHeight="false" outlineLevel="0" collapsed="false">
      <c r="A951" s="0" t="s">
        <v>2185</v>
      </c>
      <c r="B951" s="2" t="n">
        <v>45671</v>
      </c>
      <c r="C951" s="2" t="str">
        <f aca="false">TEXT(B951,"dd/mm/yyyy")</f>
        <v>14/01/2025</v>
      </c>
      <c r="D951" s="0" t="s">
        <v>42</v>
      </c>
      <c r="E951" s="0" t="n">
        <v>8092220752</v>
      </c>
      <c r="F951" s="0" t="s">
        <v>67</v>
      </c>
      <c r="G951" s="0" t="s">
        <v>2316</v>
      </c>
      <c r="H951" s="0" t="s">
        <v>2186</v>
      </c>
      <c r="I951" s="0" t="s">
        <v>45</v>
      </c>
      <c r="J951" s="0" t="s">
        <v>87</v>
      </c>
      <c r="K951" s="3" t="str">
        <f aca="false" t="array" ref="K951:K951">IFERROR(IF(J951&lt;&gt;"",J951,INDEX(J951:J1950,MATCH(1,(F951:F1950=F951)*(I951:I1950=I951)*(L951:L1950=L951)*(J951:J1950&lt;&gt;""),0))),"Not Found")</f>
        <v>Oil Change</v>
      </c>
      <c r="L951" s="3" t="s">
        <v>154</v>
      </c>
      <c r="M951" s="0" t="str">
        <f aca="false">PROPER(L951)</f>
        <v>Air Filter</v>
      </c>
      <c r="N951" s="3" t="s">
        <v>90</v>
      </c>
      <c r="O951" s="0" t="str">
        <f aca="false" t="array" ref="O951:O951">IF(N951&lt;&gt;"",N951,_xlfn.xlookup(1,(L951:L1950=L951)*(N951:N1950&lt;&gt;""),N951:N1950,"Not Found"))</f>
        <v>Musa</v>
      </c>
      <c r="P951" s="4" t="n">
        <v>42520</v>
      </c>
      <c r="Q951" s="0" t="s">
        <v>110</v>
      </c>
      <c r="R951" s="0" t="str">
        <f aca="false">PROPER(Q951)</f>
        <v>Cash</v>
      </c>
      <c r="S951" s="0" t="s">
        <v>50</v>
      </c>
      <c r="T951" s="0" t="n">
        <v>1</v>
      </c>
      <c r="U951" s="5" t="n">
        <f aca="false">IF(ISBLANK(T951),AVERAGE(T951:T1950),T951)</f>
        <v>1</v>
      </c>
      <c r="V951" s="0" t="n">
        <v>4.8</v>
      </c>
      <c r="W951" s="0" t="s">
        <v>125</v>
      </c>
      <c r="X951" s="0" t="str">
        <f aca="false">IF(ISBLANK(W951),"No remarks",W951)</f>
        <v>Customer waited</v>
      </c>
      <c r="Y951" s="0" t="s">
        <v>73</v>
      </c>
      <c r="Z951" s="0" t="s">
        <v>136</v>
      </c>
      <c r="AA951" s="0" t="str">
        <f aca="false">PROPER(IF(ISBLANK(Z951),"Location Unavailable",Z951))</f>
        <v>Vip Section</v>
      </c>
      <c r="AB951" s="0" t="s">
        <v>167</v>
      </c>
      <c r="AC951" s="6" t="str">
        <f aca="false">PROPER(AB951)</f>
        <v>Word Of Mouth</v>
      </c>
      <c r="AE951" s="5" t="n">
        <f aca="false">IF(ISBLANK(AD951),AVERAGEIF(L951:L1950,L951,AD951:AD1950),AD951)</f>
        <v>35.625</v>
      </c>
      <c r="AF951" s="0" t="s">
        <v>112</v>
      </c>
      <c r="AG951" s="0" t="str">
        <f aca="false">PROPER(AF951)</f>
        <v>Unavailable</v>
      </c>
      <c r="AH951" s="0" t="s">
        <v>155</v>
      </c>
      <c r="AI951" s="0" t="s">
        <v>113</v>
      </c>
      <c r="AJ951" s="0" t="str">
        <f aca="false">PROPER(AI951)</f>
        <v>Normal</v>
      </c>
      <c r="AK951" s="0" t="s">
        <v>58</v>
      </c>
      <c r="AL951" s="0" t="str">
        <f aca="false">PROPER(AK951)</f>
        <v>Fleet Owner</v>
      </c>
      <c r="AN951" s="0" t="str">
        <f aca="false">IF(ISBLANK(AM951),"Unknown",AM951)</f>
        <v>Unknown</v>
      </c>
      <c r="AO951" s="0" t="s">
        <v>79</v>
      </c>
      <c r="AP951" s="0" t="str">
        <f aca="false">IF(ISBLANK(AO951),"Unknown",AO951)</f>
        <v>Specialist</v>
      </c>
      <c r="AQ951" s="0" t="n">
        <v>20000</v>
      </c>
      <c r="AR951" s="5" t="n">
        <f aca="false">IF(ISBLANK(AQ951),AVERAGEIF(M951:M1950,M951,AQ951:AQ1950),AQ951)</f>
        <v>20000</v>
      </c>
      <c r="AS951" s="0" t="n">
        <v>35000</v>
      </c>
      <c r="AT951" s="5" t="n">
        <f aca="false">IF(ISBLANK(AS951),AVERAGE(AS951:AS1950),AS951)</f>
        <v>35000</v>
      </c>
      <c r="AU951" s="0" t="s">
        <v>50</v>
      </c>
      <c r="AV951" s="0" t="str">
        <f aca="false">PROPER(IF(ISBLANK(AU951),"No",AU951))</f>
        <v>No</v>
      </c>
      <c r="AW951" s="0" t="n">
        <v>10000</v>
      </c>
      <c r="AX951" s="5" t="n">
        <f aca="false">IF(ISBLANK(AW951),0,AW951)</f>
        <v>10000</v>
      </c>
      <c r="AZ951" s="0" t="str">
        <f aca="false">UPPER(IF(ISBLANK(AY951),"NONE",AY951))</f>
        <v>NONE</v>
      </c>
      <c r="BB951" s="7" t="str">
        <f aca="false">IF(ISBLANK(BA951),"No Follow Up Needed",BA951)</f>
        <v>No Follow Up Needed</v>
      </c>
      <c r="BD951" s="0" t="str">
        <f aca="false">PROPER(IF(ISBLANK(BC951),"Unknown",BC951))</f>
        <v>Unknown</v>
      </c>
      <c r="BF951" s="0" t="str">
        <f aca="false">IF(ISBLANK(BE951),"No comments",BE951)</f>
        <v>No comments</v>
      </c>
      <c r="BH951" s="0" t="str">
        <f aca="false">IF(ISBLANK(BG951),"No comments",BG951)</f>
        <v>No comments</v>
      </c>
      <c r="BI951" s="0" t="s">
        <v>63</v>
      </c>
      <c r="BJ951" s="0" t="str">
        <f aca="false">IF(ISBLANK(BI951),"Not Mentioned",BI951)</f>
        <v>Yes</v>
      </c>
      <c r="BK951" s="0" t="s">
        <v>61</v>
      </c>
      <c r="BL951" s="0" t="str">
        <f aca="false">PROPER(IF(ISBLANK(BK951),"Not Mentioned",BK951))</f>
        <v>No</v>
      </c>
      <c r="BM951" s="0" t="s">
        <v>50</v>
      </c>
      <c r="BN951" s="0" t="str">
        <f aca="false">PROPER(IF(ISBLANK(BM951),"Not Mentioned",BM951))</f>
        <v>No</v>
      </c>
      <c r="BO951" s="0" t="s">
        <v>64</v>
      </c>
      <c r="BP951" s="0" t="str">
        <f aca="false">IF(ISBLANK(BO951),"One-Time Plan",BO951)</f>
        <v>Gold Maintenance Plan</v>
      </c>
      <c r="BR951" s="0" t="str">
        <f aca="false">PROPER(IF(ISBLANK(BQ951),"No",BQ951))</f>
        <v>No</v>
      </c>
    </row>
    <row r="952" customFormat="false" ht="15" hidden="false" customHeight="false" outlineLevel="0" collapsed="false">
      <c r="A952" s="0" t="s">
        <v>2187</v>
      </c>
      <c r="B952" s="2" t="n">
        <v>45811</v>
      </c>
      <c r="C952" s="2" t="str">
        <f aca="false">TEXT(B952,"dd/mm/yyyy")</f>
        <v>03/06/2025</v>
      </c>
      <c r="D952" s="0" t="s">
        <v>42</v>
      </c>
      <c r="E952" s="0" t="n">
        <v>8020921193</v>
      </c>
      <c r="F952" s="0" t="s">
        <v>67</v>
      </c>
      <c r="G952" s="0" t="s">
        <v>2316</v>
      </c>
      <c r="H952" s="0" t="s">
        <v>2188</v>
      </c>
      <c r="I952" s="0" t="s">
        <v>107</v>
      </c>
      <c r="J952" s="0" t="s">
        <v>2317</v>
      </c>
      <c r="K952" s="3" t="str">
        <f aca="false" t="array" ref="K952:K952">IFERROR(IF(J952&lt;&gt;"",J952,INDEX(J952:J1951,MATCH(1,(F952:F1951=F952)*(I952:I1951=I952)*(L952:L1951=L952)*(J952:J1951&lt;&gt;""),0))),"Not Found")</f>
        <v>Suspension Noise</v>
      </c>
      <c r="L952" s="3" t="s">
        <v>108</v>
      </c>
      <c r="M952" s="0" t="str">
        <f aca="false">PROPER(L952)</f>
        <v>Timing Belt</v>
      </c>
      <c r="N952" s="3" t="s">
        <v>109</v>
      </c>
      <c r="O952" s="0" t="str">
        <f aca="false" t="array" ref="O952:O952">IF(N952&lt;&gt;"",N952,_xlfn.xlookup(1,(L952:L1951=L952)*(N952:N1951&lt;&gt;""),N952:N1951,"Not Found"))</f>
        <v>Tijani</v>
      </c>
      <c r="P952" s="4" t="n">
        <v>33203</v>
      </c>
      <c r="Q952" s="0" t="s">
        <v>124</v>
      </c>
      <c r="R952" s="0" t="str">
        <f aca="false">PROPER(Q952)</f>
        <v>Cash</v>
      </c>
      <c r="S952" s="0" t="s">
        <v>50</v>
      </c>
      <c r="T952" s="0" t="n">
        <v>2</v>
      </c>
      <c r="U952" s="5" t="n">
        <f aca="false">IF(ISBLANK(T952),AVERAGE(T952:T1951),T952)</f>
        <v>2</v>
      </c>
      <c r="V952" s="0" t="n">
        <v>5.8</v>
      </c>
      <c r="W952" s="0" t="s">
        <v>51</v>
      </c>
      <c r="X952" s="0" t="str">
        <f aca="false">IF(ISBLANK(W952),"No remarks",W952)</f>
        <v>Recommended further checks</v>
      </c>
      <c r="Y952" s="0" t="s">
        <v>73</v>
      </c>
      <c r="Z952" s="0" t="s">
        <v>53</v>
      </c>
      <c r="AA952" s="0" t="str">
        <f aca="false">PROPER(IF(ISBLANK(Z952),"Location Unavailable",Z952))</f>
        <v>Main Bay</v>
      </c>
      <c r="AB952" s="0" t="s">
        <v>126</v>
      </c>
      <c r="AC952" s="6" t="str">
        <f aca="false">PROPER(AB952)</f>
        <v>Whatsapp</v>
      </c>
      <c r="AE952" s="5" t="n">
        <f aca="false">IF(ISBLANK(AD952),AVERAGEIF(L952:L1951,L952,AD952:AD1951),AD952)</f>
        <v>40</v>
      </c>
      <c r="AF952" s="0" t="s">
        <v>160</v>
      </c>
      <c r="AG952" s="0" t="str">
        <f aca="false">PROPER(AF952)</f>
        <v>Availaible</v>
      </c>
      <c r="AH952" s="0" t="s">
        <v>155</v>
      </c>
      <c r="AI952" s="0" t="s">
        <v>98</v>
      </c>
      <c r="AJ952" s="0" t="str">
        <f aca="false">PROPER(AI952)</f>
        <v>Emergency</v>
      </c>
      <c r="AK952" s="0" t="s">
        <v>114</v>
      </c>
      <c r="AL952" s="0" t="str">
        <f aca="false">PROPER(AK952)</f>
        <v>Returning</v>
      </c>
      <c r="AN952" s="0" t="str">
        <f aca="false">IF(ISBLANK(AM952),"Unknown",AM952)</f>
        <v>Unknown</v>
      </c>
      <c r="AO952" s="0" t="s">
        <v>79</v>
      </c>
      <c r="AP952" s="0" t="str">
        <f aca="false">IF(ISBLANK(AO952),"Unknown",AO952)</f>
        <v>Specialist</v>
      </c>
      <c r="AQ952" s="0" t="n">
        <v>15000</v>
      </c>
      <c r="AR952" s="5" t="n">
        <f aca="false">IF(ISBLANK(AQ952),AVERAGEIF(M952:M1951,M952,AQ952:AQ1951),AQ952)</f>
        <v>15000</v>
      </c>
      <c r="AT952" s="5" t="n">
        <f aca="false">IF(ISBLANK(AS952),AVERAGE(AS952:AS1951),AS952)</f>
        <v>30365.8536585366</v>
      </c>
      <c r="AU952" s="0" t="s">
        <v>61</v>
      </c>
      <c r="AV952" s="0" t="str">
        <f aca="false">PROPER(IF(ISBLANK(AU952),"No",AU952))</f>
        <v>No</v>
      </c>
      <c r="AW952" s="0" t="n">
        <v>0</v>
      </c>
      <c r="AX952" s="5" t="n">
        <f aca="false">IF(ISBLANK(AW952),0,AW952)</f>
        <v>0</v>
      </c>
      <c r="AZ952" s="0" t="str">
        <f aca="false">UPPER(IF(ISBLANK(AY952),"NONE",AY952))</f>
        <v>NONE</v>
      </c>
      <c r="BA952" s="7" t="s">
        <v>1155</v>
      </c>
      <c r="BB952" s="7" t="str">
        <f aca="false">IF(ISBLANK(BA952),"No Follow Up Needed",BA952)</f>
        <v>21/10/2025</v>
      </c>
      <c r="BC952" s="0" t="s">
        <v>82</v>
      </c>
      <c r="BD952" s="0" t="str">
        <f aca="false">PROPER(IF(ISBLANK(BC952),"Unknown",BC952))</f>
        <v>Yes</v>
      </c>
      <c r="BF952" s="0" t="str">
        <f aca="false">IF(ISBLANK(BE952),"No comments",BE952)</f>
        <v>No comments</v>
      </c>
      <c r="BH952" s="0" t="str">
        <f aca="false">IF(ISBLANK(BG952),"No comments",BG952)</f>
        <v>No comments</v>
      </c>
      <c r="BI952" s="0" t="s">
        <v>50</v>
      </c>
      <c r="BJ952" s="0" t="str">
        <f aca="false">IF(ISBLANK(BI952),"Not Mentioned",BI952)</f>
        <v>No</v>
      </c>
      <c r="BK952" s="0" t="s">
        <v>61</v>
      </c>
      <c r="BL952" s="0" t="str">
        <f aca="false">PROPER(IF(ISBLANK(BK952),"Not Mentioned",BK952))</f>
        <v>No</v>
      </c>
      <c r="BM952" s="0" t="s">
        <v>63</v>
      </c>
      <c r="BN952" s="0" t="str">
        <f aca="false">PROPER(IF(ISBLANK(BM952),"Not Mentioned",BM952))</f>
        <v>Yes</v>
      </c>
      <c r="BP952" s="0" t="str">
        <f aca="false">IF(ISBLANK(BO952),"One-Time Plan",BO952)</f>
        <v>One-Time Plan</v>
      </c>
      <c r="BQ952" s="0" t="s">
        <v>190</v>
      </c>
      <c r="BR952" s="0" t="str">
        <f aca="false">PROPER(IF(ISBLANK(BQ952),"No",BQ952))</f>
        <v>Yes</v>
      </c>
    </row>
    <row r="953" customFormat="false" ht="15" hidden="false" customHeight="false" outlineLevel="0" collapsed="false">
      <c r="A953" s="0" t="s">
        <v>2189</v>
      </c>
      <c r="B953" s="2" t="n">
        <v>45750</v>
      </c>
      <c r="C953" s="2" t="str">
        <f aca="false">TEXT(B953,"dd/mm/yyyy")</f>
        <v>03/04/2025</v>
      </c>
      <c r="D953" s="0" t="s">
        <v>42</v>
      </c>
      <c r="E953" s="0" t="n">
        <v>8056752592</v>
      </c>
      <c r="F953" s="0" t="s">
        <v>122</v>
      </c>
      <c r="G953" s="0" t="s">
        <v>2316</v>
      </c>
      <c r="H953" s="0" t="s">
        <v>2190</v>
      </c>
      <c r="I953" s="0" t="s">
        <v>107</v>
      </c>
      <c r="K953" s="3" t="str">
        <f aca="false" t="array" ref="K953:K953">IFERROR(IF(J953&lt;&gt;"",J953,INDEX(J953:J1952,MATCH(1,(F953:F1952=F953)*(I953:I1952=I953)*(L953:L1952=L953)*(J953:J1952&lt;&gt;""),0))),"Not Found")</f>
        <v>Not Found</v>
      </c>
      <c r="L953" s="3" t="s">
        <v>142</v>
      </c>
      <c r="M953" s="0" t="str">
        <f aca="false">PROPER(L953)</f>
        <v>Oil Filter, Brake Pads</v>
      </c>
      <c r="N953" s="3" t="s">
        <v>90</v>
      </c>
      <c r="O953" s="0" t="str">
        <f aca="false" t="array" ref="O953:O953">IF(N953&lt;&gt;"",N953,_xlfn.xlookup(1,(L953:L1952=L953)*(N953:N1952&lt;&gt;""),N953:N1952,"Not Found"))</f>
        <v>Musa</v>
      </c>
      <c r="P953" s="4" t="n">
        <v>73898</v>
      </c>
      <c r="Q953" s="0" t="s">
        <v>110</v>
      </c>
      <c r="R953" s="0" t="str">
        <f aca="false">PROPER(Q953)</f>
        <v>Cash</v>
      </c>
      <c r="S953" s="0" t="s">
        <v>50</v>
      </c>
      <c r="T953" s="0" t="n">
        <v>3</v>
      </c>
      <c r="U953" s="5" t="n">
        <f aca="false">IF(ISBLANK(T953),AVERAGE(T953:T1952),T953)</f>
        <v>3</v>
      </c>
      <c r="V953" s="0" t="n">
        <v>1.7</v>
      </c>
      <c r="W953" s="0" t="s">
        <v>51</v>
      </c>
      <c r="X953" s="0" t="str">
        <f aca="false">IF(ISBLANK(W953),"No remarks",W953)</f>
        <v>Recommended further checks</v>
      </c>
      <c r="Y953" s="0" t="s">
        <v>52</v>
      </c>
      <c r="Z953" s="0" t="s">
        <v>136</v>
      </c>
      <c r="AA953" s="0" t="str">
        <f aca="false">PROPER(IF(ISBLANK(Z953),"Location Unavailable",Z953))</f>
        <v>Vip Section</v>
      </c>
      <c r="AB953" s="0" t="s">
        <v>75</v>
      </c>
      <c r="AC953" s="6" t="str">
        <f aca="false">PROPER(AB953)</f>
        <v>Mechanik Referal</v>
      </c>
      <c r="AD953" s="6" t="n">
        <v>15</v>
      </c>
      <c r="AE953" s="5" t="n">
        <f aca="false">IF(ISBLANK(AD953),AVERAGEIF(L953:L1952,L953,AD953:AD1952),AD953)</f>
        <v>15</v>
      </c>
      <c r="AF953" s="0" t="s">
        <v>112</v>
      </c>
      <c r="AG953" s="0" t="str">
        <f aca="false">PROPER(AF953)</f>
        <v>Unavailable</v>
      </c>
      <c r="AH953" s="0" t="s">
        <v>148</v>
      </c>
      <c r="AI953" s="0" t="s">
        <v>98</v>
      </c>
      <c r="AJ953" s="0" t="str">
        <f aca="false">PROPER(AI953)</f>
        <v>Emergency</v>
      </c>
      <c r="AK953" s="0" t="s">
        <v>58</v>
      </c>
      <c r="AL953" s="0" t="str">
        <f aca="false">PROPER(AK953)</f>
        <v>Fleet Owner</v>
      </c>
      <c r="AM953" s="0" t="s">
        <v>2326</v>
      </c>
      <c r="AN953" s="0" t="str">
        <f aca="false">IF(ISBLANK(AM953),"Unknown",AM953)</f>
        <v>Government Convoy</v>
      </c>
      <c r="AO953" s="0" t="s">
        <v>79</v>
      </c>
      <c r="AP953" s="0" t="str">
        <f aca="false">IF(ISBLANK(AO953),"Unknown",AO953)</f>
        <v>Specialist</v>
      </c>
      <c r="AQ953" s="0" t="n">
        <v>20000</v>
      </c>
      <c r="AR953" s="5" t="n">
        <f aca="false">IF(ISBLANK(AQ953),AVERAGEIF(M953:M1952,M953,AQ953:AQ1952),AQ953)</f>
        <v>20000</v>
      </c>
      <c r="AT953" s="5" t="n">
        <f aca="false">IF(ISBLANK(AS953),AVERAGE(AS953:AS1952),AS953)</f>
        <v>30365.8536585366</v>
      </c>
      <c r="AU953" s="0" t="s">
        <v>82</v>
      </c>
      <c r="AV953" s="0" t="str">
        <f aca="false">PROPER(IF(ISBLANK(AU953),"No",AU953))</f>
        <v>Yes</v>
      </c>
      <c r="AW953" s="0" t="n">
        <v>0</v>
      </c>
      <c r="AX953" s="5" t="n">
        <f aca="false">IF(ISBLANK(AW953),0,AW953)</f>
        <v>0</v>
      </c>
      <c r="AY953" s="0" t="s">
        <v>184</v>
      </c>
      <c r="AZ953" s="0" t="str">
        <f aca="false">UPPER(IF(ISBLANK(AY953),"NONE",AY953))</f>
        <v>N/A</v>
      </c>
      <c r="BA953" s="7" t="n">
        <v>46001</v>
      </c>
      <c r="BB953" s="7" t="n">
        <f aca="false">IF(ISBLANK(BA953),"No Follow Up Needed",BA953)</f>
        <v>46001</v>
      </c>
      <c r="BD953" s="0" t="str">
        <f aca="false">PROPER(IF(ISBLANK(BC953),"Unknown",BC953))</f>
        <v>Unknown</v>
      </c>
      <c r="BF953" s="0" t="str">
        <f aca="false">IF(ISBLANK(BE953),"No comments",BE953)</f>
        <v>No comments</v>
      </c>
      <c r="BH953" s="0" t="str">
        <f aca="false">IF(ISBLANK(BG953),"No comments",BG953)</f>
        <v>No comments</v>
      </c>
      <c r="BJ953" s="0" t="str">
        <f aca="false">IF(ISBLANK(BI953),"Not Mentioned",BI953)</f>
        <v>Not Mentioned</v>
      </c>
      <c r="BK953" s="0" t="s">
        <v>82</v>
      </c>
      <c r="BL953" s="0" t="str">
        <f aca="false">PROPER(IF(ISBLANK(BK953),"Not Mentioned",BK953))</f>
        <v>Yes</v>
      </c>
      <c r="BN953" s="0" t="str">
        <f aca="false">PROPER(IF(ISBLANK(BM953),"Not Mentioned",BM953))</f>
        <v>Not Mentioned</v>
      </c>
      <c r="BO953" s="0" t="s">
        <v>2321</v>
      </c>
      <c r="BP953" s="0" t="str">
        <f aca="false">IF(ISBLANK(BO953),"One-Time Plan",BO953)</f>
        <v>One-Time Plan</v>
      </c>
      <c r="BQ953" s="0" t="s">
        <v>50</v>
      </c>
      <c r="BR953" s="0" t="str">
        <f aca="false">PROPER(IF(ISBLANK(BQ953),"No",BQ953))</f>
        <v>No</v>
      </c>
    </row>
    <row r="954" customFormat="false" ht="15" hidden="false" customHeight="false" outlineLevel="0" collapsed="false">
      <c r="A954" s="0" t="s">
        <v>2191</v>
      </c>
      <c r="B954" s="2" t="s">
        <v>652</v>
      </c>
      <c r="C954" s="2" t="str">
        <f aca="false">TEXT(B954,"dd/mm/yyyy")</f>
        <v>17/05/2025</v>
      </c>
      <c r="D954" s="0" t="s">
        <v>121</v>
      </c>
      <c r="E954" s="0" t="n">
        <v>8067433950</v>
      </c>
      <c r="F954" s="0" t="s">
        <v>67</v>
      </c>
      <c r="G954" s="0" t="s">
        <v>2316</v>
      </c>
      <c r="H954" s="0" t="s">
        <v>2192</v>
      </c>
      <c r="I954" s="0" t="s">
        <v>69</v>
      </c>
      <c r="J954" s="0" t="s">
        <v>2322</v>
      </c>
      <c r="K954" s="3" t="str">
        <f aca="false" t="array" ref="K954:K954">IFERROR(IF(J954&lt;&gt;"",J954,INDEX(J954:J1953,MATCH(1,(F954:F1953=F954)*(I954:I1953=I954)*(L954:L1953=L954)*(J954:J1953&lt;&gt;""),0))),"Not Found")</f>
        <v>Brake Failure</v>
      </c>
      <c r="L954" s="3" t="s">
        <v>108</v>
      </c>
      <c r="M954" s="0" t="str">
        <f aca="false">PROPER(L954)</f>
        <v>Timing Belt</v>
      </c>
      <c r="N954" s="3" t="s">
        <v>109</v>
      </c>
      <c r="O954" s="0" t="str">
        <f aca="false" t="array" ref="O954:O954">IF(N954&lt;&gt;"",N954,_xlfn.xlookup(1,(L954:L1953=L954)*(N954:N1953&lt;&gt;""),N954:N1953,"Not Found"))</f>
        <v>Tijani</v>
      </c>
      <c r="P954" s="4" t="n">
        <v>47239</v>
      </c>
      <c r="Q954" s="0" t="s">
        <v>110</v>
      </c>
      <c r="R954" s="0" t="str">
        <f aca="false">PROPER(Q954)</f>
        <v>Cash</v>
      </c>
      <c r="S954" s="0" t="s">
        <v>50</v>
      </c>
      <c r="T954" s="0" t="n">
        <v>4</v>
      </c>
      <c r="U954" s="5" t="n">
        <f aca="false">IF(ISBLANK(T954),AVERAGE(T954:T1953),T954)</f>
        <v>4</v>
      </c>
      <c r="V954" s="0" t="n">
        <v>5.5</v>
      </c>
      <c r="W954" s="0" t="s">
        <v>111</v>
      </c>
      <c r="X954" s="0" t="str">
        <f aca="false">IF(ISBLANK(W954),"No remarks",W954)</f>
        <v>Changed all filters</v>
      </c>
      <c r="Y954" s="0" t="s">
        <v>93</v>
      </c>
      <c r="Z954" s="0" t="s">
        <v>74</v>
      </c>
      <c r="AA954" s="0" t="str">
        <f aca="false">PROPER(IF(ISBLANK(Z954),"Location Unavailable",Z954))</f>
        <v>Under Tree</v>
      </c>
      <c r="AB954" s="0" t="s">
        <v>54</v>
      </c>
      <c r="AC954" s="6" t="str">
        <f aca="false">PROPER(AB954)</f>
        <v>Mechanic Referral</v>
      </c>
      <c r="AD954" s="6" t="n">
        <v>30</v>
      </c>
      <c r="AE954" s="5" t="n">
        <f aca="false">IF(ISBLANK(AD954),AVERAGEIF(L954:L1953,L954,AD954:AD1953),AD954)</f>
        <v>30</v>
      </c>
      <c r="AF954" s="0" t="s">
        <v>76</v>
      </c>
      <c r="AG954" s="0" t="str">
        <f aca="false">PROPER(AF954)</f>
        <v>Orderd</v>
      </c>
      <c r="AH954" s="0" t="s">
        <v>77</v>
      </c>
      <c r="AI954" s="0" t="s">
        <v>128</v>
      </c>
      <c r="AJ954" s="0" t="str">
        <f aca="false">PROPER(AI954)</f>
        <v>Normal</v>
      </c>
      <c r="AK954" s="0" t="s">
        <v>58</v>
      </c>
      <c r="AL954" s="0" t="str">
        <f aca="false">PROPER(AK954)</f>
        <v>Fleet Owner</v>
      </c>
      <c r="AN954" s="0" t="str">
        <f aca="false">IF(ISBLANK(AM954),"Unknown",AM954)</f>
        <v>Unknown</v>
      </c>
      <c r="AO954" s="0" t="s">
        <v>161</v>
      </c>
      <c r="AP954" s="0" t="str">
        <f aca="false">IF(ISBLANK(AO954),"Unknown",AO954)</f>
        <v>Apprentice</v>
      </c>
      <c r="AQ954" s="0" t="n">
        <v>25000</v>
      </c>
      <c r="AR954" s="5" t="n">
        <f aca="false">IF(ISBLANK(AQ954),AVERAGEIF(M954:M1953,M954,AQ954:AQ1953),AQ954)</f>
        <v>25000</v>
      </c>
      <c r="AS954" s="0" t="n">
        <v>20000</v>
      </c>
      <c r="AT954" s="5" t="n">
        <f aca="false">IF(ISBLANK(AS954),AVERAGE(AS954:AS1953),AS954)</f>
        <v>20000</v>
      </c>
      <c r="AU954" s="0" t="s">
        <v>82</v>
      </c>
      <c r="AV954" s="0" t="str">
        <f aca="false">PROPER(IF(ISBLANK(AU954),"No",AU954))</f>
        <v>Yes</v>
      </c>
      <c r="AW954" s="0" t="n">
        <v>0</v>
      </c>
      <c r="AX954" s="5" t="n">
        <f aca="false">IF(ISBLANK(AW954),0,AW954)</f>
        <v>0</v>
      </c>
      <c r="AY954" s="0" t="s">
        <v>130</v>
      </c>
      <c r="AZ954" s="0" t="str">
        <f aca="false">UPPER(IF(ISBLANK(AY954),"NONE",AY954))</f>
        <v>LOYALTY10</v>
      </c>
      <c r="BA954" s="7" t="s">
        <v>424</v>
      </c>
      <c r="BB954" s="7" t="str">
        <f aca="false">IF(ISBLANK(BA954),"No Follow Up Needed",BA954)</f>
        <v>21/12/2025</v>
      </c>
      <c r="BD954" s="0" t="str">
        <f aca="false">PROPER(IF(ISBLANK(BC954),"Unknown",BC954))</f>
        <v>Unknown</v>
      </c>
      <c r="BF954" s="0" t="str">
        <f aca="false">IF(ISBLANK(BE954),"No comments",BE954)</f>
        <v>No comments</v>
      </c>
      <c r="BH954" s="0" t="str">
        <f aca="false">IF(ISBLANK(BG954),"No comments",BG954)</f>
        <v>No comments</v>
      </c>
      <c r="BI954" s="0" t="s">
        <v>63</v>
      </c>
      <c r="BJ954" s="0" t="str">
        <f aca="false">IF(ISBLANK(BI954),"Not Mentioned",BI954)</f>
        <v>Yes</v>
      </c>
      <c r="BL954" s="0" t="str">
        <f aca="false">PROPER(IF(ISBLANK(BK954),"Not Mentioned",BK954))</f>
        <v>Not Mentioned</v>
      </c>
      <c r="BM954" s="0" t="s">
        <v>50</v>
      </c>
      <c r="BN954" s="0" t="str">
        <f aca="false">PROPER(IF(ISBLANK(BM954),"Not Mentioned",BM954))</f>
        <v>No</v>
      </c>
      <c r="BO954" s="0" t="s">
        <v>64</v>
      </c>
      <c r="BP954" s="0" t="str">
        <f aca="false">IF(ISBLANK(BO954),"One-Time Plan",BO954)</f>
        <v>Gold Maintenance Plan</v>
      </c>
      <c r="BQ954" s="0" t="s">
        <v>50</v>
      </c>
      <c r="BR954" s="0" t="str">
        <f aca="false">PROPER(IF(ISBLANK(BQ954),"No",BQ954))</f>
        <v>No</v>
      </c>
    </row>
    <row r="955" customFormat="false" ht="15" hidden="false" customHeight="false" outlineLevel="0" collapsed="false">
      <c r="A955" s="0" t="s">
        <v>2193</v>
      </c>
      <c r="B955" s="2" t="n">
        <v>45717</v>
      </c>
      <c r="C955" s="2" t="str">
        <f aca="false">TEXT(B955,"dd/mm/yyyy")</f>
        <v>01/03/2025</v>
      </c>
      <c r="D955" s="0" t="s">
        <v>66</v>
      </c>
      <c r="E955" s="0" t="n">
        <v>8073904001</v>
      </c>
      <c r="F955" s="0" t="s">
        <v>122</v>
      </c>
      <c r="G955" s="0" t="s">
        <v>2316</v>
      </c>
      <c r="H955" s="0" t="s">
        <v>2194</v>
      </c>
      <c r="I955" s="0" t="s">
        <v>107</v>
      </c>
      <c r="K955" s="3" t="str">
        <f aca="false" t="array" ref="K955:K955">IFERROR(IF(J955&lt;&gt;"",J955,INDEX(J955:J1954,MATCH(1,(F955:F1954=F955)*(I955:I1954=I955)*(L955:L1954=L955)*(J955:J1954&lt;&gt;""),0))),"Not Found")</f>
        <v>Not Found</v>
      </c>
      <c r="L955" s="3" t="s">
        <v>142</v>
      </c>
      <c r="M955" s="0" t="str">
        <f aca="false">PROPER(L955)</f>
        <v>Oil Filter, Brake Pads</v>
      </c>
      <c r="N955" s="3" t="s">
        <v>90</v>
      </c>
      <c r="O955" s="0" t="str">
        <f aca="false" t="array" ref="O955:O955">IF(N955&lt;&gt;"",N955,_xlfn.xlookup(1,(L955:L1954=L955)*(N955:N1954&lt;&gt;""),N955:N1954,"Not Found"))</f>
        <v>Musa</v>
      </c>
      <c r="P955" s="4" t="n">
        <v>98367</v>
      </c>
      <c r="Q955" s="0" t="s">
        <v>91</v>
      </c>
      <c r="R955" s="0" t="str">
        <f aca="false">PROPER(Q955)</f>
        <v>Pos</v>
      </c>
      <c r="S955" s="0" t="s">
        <v>50</v>
      </c>
      <c r="T955" s="0" t="n">
        <v>2</v>
      </c>
      <c r="U955" s="5" t="n">
        <f aca="false">IF(ISBLANK(T955),AVERAGE(T955:T1954),T955)</f>
        <v>2</v>
      </c>
      <c r="V955" s="0" t="n">
        <v>1.7</v>
      </c>
      <c r="X955" s="0" t="str">
        <f aca="false">IF(ISBLANK(W955),"No remarks",W955)</f>
        <v>No remarks</v>
      </c>
      <c r="Y955" s="0" t="s">
        <v>93</v>
      </c>
      <c r="Z955" s="0" t="s">
        <v>74</v>
      </c>
      <c r="AA955" s="0" t="str">
        <f aca="false">PROPER(IF(ISBLANK(Z955),"Location Unavailable",Z955))</f>
        <v>Under Tree</v>
      </c>
      <c r="AB955" s="0" t="s">
        <v>75</v>
      </c>
      <c r="AC955" s="6" t="str">
        <f aca="false">PROPER(AB955)</f>
        <v>Mechanik Referal</v>
      </c>
      <c r="AE955" s="5" t="n">
        <f aca="false">IF(ISBLANK(AD955),AVERAGEIF(L955:L1954,L955,AD955:AD1954),AD955)</f>
        <v>45</v>
      </c>
      <c r="AF955" s="0" t="s">
        <v>112</v>
      </c>
      <c r="AG955" s="0" t="str">
        <f aca="false">PROPER(AF955)</f>
        <v>Unavailable</v>
      </c>
      <c r="AH955" s="0" t="s">
        <v>77</v>
      </c>
      <c r="AI955" s="0" t="s">
        <v>113</v>
      </c>
      <c r="AJ955" s="0" t="str">
        <f aca="false">PROPER(AI955)</f>
        <v>Normal</v>
      </c>
      <c r="AK955" s="0" t="s">
        <v>196</v>
      </c>
      <c r="AL955" s="0" t="str">
        <f aca="false">PROPER(AK955)</f>
        <v>First Time</v>
      </c>
      <c r="AN955" s="0" t="str">
        <f aca="false">IF(ISBLANK(AM955),"Unknown",AM955)</f>
        <v>Unknown</v>
      </c>
      <c r="AO955" s="0" t="s">
        <v>79</v>
      </c>
      <c r="AP955" s="0" t="str">
        <f aca="false">IF(ISBLANK(AO955),"Unknown",AO955)</f>
        <v>Specialist</v>
      </c>
      <c r="AQ955" s="0" t="n">
        <v>20000</v>
      </c>
      <c r="AR955" s="5" t="n">
        <f aca="false">IF(ISBLANK(AQ955),AVERAGEIF(M955:M1954,M955,AQ955:AQ1954),AQ955)</f>
        <v>20000</v>
      </c>
      <c r="AS955" s="0" t="n">
        <v>40000</v>
      </c>
      <c r="AT955" s="5" t="n">
        <f aca="false">IF(ISBLANK(AS955),AVERAGE(AS955:AS1954),AS955)</f>
        <v>40000</v>
      </c>
      <c r="AU955" s="0" t="s">
        <v>50</v>
      </c>
      <c r="AV955" s="0" t="str">
        <f aca="false">PROPER(IF(ISBLANK(AU955),"No",AU955))</f>
        <v>No</v>
      </c>
      <c r="AW955" s="0" t="n">
        <v>0</v>
      </c>
      <c r="AX955" s="5" t="n">
        <f aca="false">IF(ISBLANK(AW955),0,AW955)</f>
        <v>0</v>
      </c>
      <c r="AY955" s="0" t="s">
        <v>184</v>
      </c>
      <c r="AZ955" s="0" t="str">
        <f aca="false">UPPER(IF(ISBLANK(AY955),"NONE",AY955))</f>
        <v>N/A</v>
      </c>
      <c r="BA955" s="7" t="n">
        <v>45859</v>
      </c>
      <c r="BB955" s="7" t="n">
        <f aca="false">IF(ISBLANK(BA955),"No Follow Up Needed",BA955)</f>
        <v>45859</v>
      </c>
      <c r="BD955" s="0" t="str">
        <f aca="false">PROPER(IF(ISBLANK(BC955),"Unknown",BC955))</f>
        <v>Unknown</v>
      </c>
      <c r="BF955" s="0" t="str">
        <f aca="false">IF(ISBLANK(BE955),"No comments",BE955)</f>
        <v>No comments</v>
      </c>
      <c r="BH955" s="0" t="str">
        <f aca="false">IF(ISBLANK(BG955),"No comments",BG955)</f>
        <v>No comments</v>
      </c>
      <c r="BJ955" s="0" t="str">
        <f aca="false">IF(ISBLANK(BI955),"Not Mentioned",BI955)</f>
        <v>Not Mentioned</v>
      </c>
      <c r="BK955" s="0" t="s">
        <v>50</v>
      </c>
      <c r="BL955" s="0" t="str">
        <f aca="false">PROPER(IF(ISBLANK(BK955),"Not Mentioned",BK955))</f>
        <v>No</v>
      </c>
      <c r="BN955" s="0" t="str">
        <f aca="false">PROPER(IF(ISBLANK(BM955),"Not Mentioned",BM955))</f>
        <v>Not Mentioned</v>
      </c>
      <c r="BO955" s="0" t="s">
        <v>2321</v>
      </c>
      <c r="BP955" s="0" t="str">
        <f aca="false">IF(ISBLANK(BO955),"One-Time Plan",BO955)</f>
        <v>One-Time Plan</v>
      </c>
      <c r="BR955" s="0" t="str">
        <f aca="false">PROPER(IF(ISBLANK(BQ955),"No",BQ955))</f>
        <v>No</v>
      </c>
    </row>
    <row r="956" customFormat="false" ht="15" hidden="false" customHeight="false" outlineLevel="0" collapsed="false">
      <c r="A956" s="0" t="s">
        <v>2195</v>
      </c>
      <c r="B956" s="2" t="s">
        <v>371</v>
      </c>
      <c r="C956" s="2" t="str">
        <f aca="false">TEXT(B956,"dd/mm/yyyy")</f>
        <v>24/01/2025</v>
      </c>
      <c r="D956" s="0" t="s">
        <v>42</v>
      </c>
      <c r="E956" s="0" t="n">
        <v>8098360765</v>
      </c>
      <c r="F956" s="0" t="s">
        <v>67</v>
      </c>
      <c r="G956" s="0" t="s">
        <v>2316</v>
      </c>
      <c r="H956" s="0" t="s">
        <v>2196</v>
      </c>
      <c r="I956" s="0" t="s">
        <v>107</v>
      </c>
      <c r="K956" s="3" t="str">
        <f aca="false" t="array" ref="K956:K956">IFERROR(IF(J956&lt;&gt;"",J956,INDEX(J956:J1955,MATCH(1,(F956:F1955=F956)*(I956:I1955=I956)*(L956:L1955=L956)*(J956:J1955&lt;&gt;""),0))),"Not Found")</f>
        <v>Not Found</v>
      </c>
      <c r="L956" s="3" t="s">
        <v>189</v>
      </c>
      <c r="M956" s="0" t="str">
        <f aca="false">PROPER(L956)</f>
        <v>Battery</v>
      </c>
      <c r="N956" s="3" t="s">
        <v>90</v>
      </c>
      <c r="O956" s="0" t="str">
        <f aca="false" t="array" ref="O956:O956">IF(N956&lt;&gt;"",N956,_xlfn.xlookup(1,(L956:L1955=L956)*(N956:N1955&lt;&gt;""),N956:N1955,"Not Found"))</f>
        <v>Musa</v>
      </c>
      <c r="P956" s="4" t="n">
        <v>115969</v>
      </c>
      <c r="Q956" s="0" t="s">
        <v>72</v>
      </c>
      <c r="R956" s="0" t="str">
        <f aca="false">PROPER(Q956)</f>
        <v>Pos</v>
      </c>
      <c r="S956" s="0" t="s">
        <v>50</v>
      </c>
      <c r="T956" s="0" t="n">
        <v>3</v>
      </c>
      <c r="U956" s="5" t="n">
        <f aca="false">IF(ISBLANK(T956),AVERAGE(T956:T1955),T956)</f>
        <v>3</v>
      </c>
      <c r="V956" s="0" t="n">
        <v>3.7</v>
      </c>
      <c r="W956" s="0" t="s">
        <v>111</v>
      </c>
      <c r="X956" s="0" t="str">
        <f aca="false">IF(ISBLANK(W956),"No remarks",W956)</f>
        <v>Changed all filters</v>
      </c>
      <c r="Y956" s="0" t="s">
        <v>93</v>
      </c>
      <c r="AA956" s="0" t="str">
        <f aca="false">PROPER(IF(ISBLANK(Z956),"Location Unavailable",Z956))</f>
        <v>Location Unavailable</v>
      </c>
      <c r="AB956" s="0" t="s">
        <v>75</v>
      </c>
      <c r="AC956" s="6" t="str">
        <f aca="false">PROPER(AB956)</f>
        <v>Mechanik Referal</v>
      </c>
      <c r="AD956" s="6" t="n">
        <v>45</v>
      </c>
      <c r="AE956" s="5" t="n">
        <f aca="false">IF(ISBLANK(AD956),AVERAGEIF(L956:L1955,L956,AD956:AD1955),AD956)</f>
        <v>45</v>
      </c>
      <c r="AF956" s="0" t="s">
        <v>76</v>
      </c>
      <c r="AG956" s="0" t="str">
        <f aca="false">PROPER(AF956)</f>
        <v>Orderd</v>
      </c>
      <c r="AH956" s="0" t="s">
        <v>155</v>
      </c>
      <c r="AI956" s="0" t="s">
        <v>78</v>
      </c>
      <c r="AJ956" s="0" t="str">
        <f aca="false">PROPER(AI956)</f>
        <v>Booking</v>
      </c>
      <c r="AK956" s="0" t="s">
        <v>99</v>
      </c>
      <c r="AL956" s="0" t="str">
        <f aca="false">PROPER(AK956)</f>
        <v>Uber Driver</v>
      </c>
      <c r="AM956" s="0" t="s">
        <v>2326</v>
      </c>
      <c r="AN956" s="0" t="str">
        <f aca="false">IF(ISBLANK(AM956),"Unknown",AM956)</f>
        <v>Government Convoy</v>
      </c>
      <c r="AO956" s="0" t="s">
        <v>161</v>
      </c>
      <c r="AP956" s="0" t="str">
        <f aca="false">IF(ISBLANK(AO956),"Unknown",AO956)</f>
        <v>Apprentice</v>
      </c>
      <c r="AQ956" s="0" t="n">
        <v>25000</v>
      </c>
      <c r="AR956" s="5" t="n">
        <f aca="false">IF(ISBLANK(AQ956),AVERAGEIF(M956:M1955,M956,AQ956:AQ1955),AQ956)</f>
        <v>25000</v>
      </c>
      <c r="AS956" s="0" t="n">
        <v>20000</v>
      </c>
      <c r="AT956" s="5" t="n">
        <f aca="false">IF(ISBLANK(AS956),AVERAGE(AS956:AS1955),AS956)</f>
        <v>20000</v>
      </c>
      <c r="AU956" s="0" t="s">
        <v>50</v>
      </c>
      <c r="AV956" s="0" t="str">
        <f aca="false">PROPER(IF(ISBLANK(AU956),"No",AU956))</f>
        <v>No</v>
      </c>
      <c r="AW956" s="0" t="n">
        <v>0</v>
      </c>
      <c r="AX956" s="5" t="n">
        <f aca="false">IF(ISBLANK(AW956),0,AW956)</f>
        <v>0</v>
      </c>
      <c r="AY956" s="0" t="s">
        <v>80</v>
      </c>
      <c r="AZ956" s="0" t="str">
        <f aca="false">UPPER(IF(ISBLANK(AY956),"NONE",AY956))</f>
        <v>PROMO10</v>
      </c>
      <c r="BB956" s="7" t="str">
        <f aca="false">IF(ISBLANK(BA956),"No Follow Up Needed",BA956)</f>
        <v>No Follow Up Needed</v>
      </c>
      <c r="BC956" s="0" t="s">
        <v>61</v>
      </c>
      <c r="BD956" s="0" t="str">
        <f aca="false">PROPER(IF(ISBLANK(BC956),"Unknown",BC956))</f>
        <v>No</v>
      </c>
      <c r="BE956" s="0" t="s">
        <v>116</v>
      </c>
      <c r="BF956" s="0" t="str">
        <f aca="false">IF(ISBLANK(BE956),"No comments",BE956)</f>
        <v>Needs tire alignment</v>
      </c>
      <c r="BG956" s="0" t="s">
        <v>172</v>
      </c>
      <c r="BH956" s="0" t="str">
        <f aca="false">IF(ISBLANK(BG956),"No comments",BG956)</f>
        <v>Always late</v>
      </c>
      <c r="BI956" s="0" t="s">
        <v>63</v>
      </c>
      <c r="BJ956" s="0" t="str">
        <f aca="false">IF(ISBLANK(BI956),"Not Mentioned",BI956)</f>
        <v>Yes</v>
      </c>
      <c r="BL956" s="0" t="str">
        <f aca="false">PROPER(IF(ISBLANK(BK956),"Not Mentioned",BK956))</f>
        <v>Not Mentioned</v>
      </c>
      <c r="BM956" s="0" t="s">
        <v>50</v>
      </c>
      <c r="BN956" s="0" t="str">
        <f aca="false">PROPER(IF(ISBLANK(BM956),"Not Mentioned",BM956))</f>
        <v>No</v>
      </c>
      <c r="BO956" s="0" t="s">
        <v>2321</v>
      </c>
      <c r="BP956" s="0" t="str">
        <f aca="false">IF(ISBLANK(BO956),"One-Time Plan",BO956)</f>
        <v>One-Time Plan</v>
      </c>
      <c r="BQ956" s="0" t="s">
        <v>50</v>
      </c>
      <c r="BR956" s="0" t="str">
        <f aca="false">PROPER(IF(ISBLANK(BQ956),"No",BQ956))</f>
        <v>No</v>
      </c>
    </row>
    <row r="957" customFormat="false" ht="15" hidden="false" customHeight="false" outlineLevel="0" collapsed="false">
      <c r="A957" s="0" t="s">
        <v>2197</v>
      </c>
      <c r="B957" s="2" t="n">
        <v>45770</v>
      </c>
      <c r="C957" s="2" t="str">
        <f aca="false">TEXT(B957,"dd/mm/yyyy")</f>
        <v>23/04/2025</v>
      </c>
      <c r="D957" s="0" t="s">
        <v>105</v>
      </c>
      <c r="E957" s="0" t="n">
        <v>8023482938</v>
      </c>
      <c r="F957" s="0" t="s">
        <v>139</v>
      </c>
      <c r="G957" s="0" t="s">
        <v>2323</v>
      </c>
      <c r="H957" s="0" t="s">
        <v>2198</v>
      </c>
      <c r="I957" s="0" t="s">
        <v>134</v>
      </c>
      <c r="J957" s="0" t="s">
        <v>87</v>
      </c>
      <c r="K957" s="3" t="str">
        <f aca="false" t="array" ref="K957:K957">IFERROR(IF(J957&lt;&gt;"",J957,INDEX(J957:J1956,MATCH(1,(F957:F1956=F957)*(I957:I1956=I957)*(L957:L1956=L957)*(J957:J1956&lt;&gt;""),0))),"Not Found")</f>
        <v>Oil Change</v>
      </c>
      <c r="L957" s="3" t="s">
        <v>189</v>
      </c>
      <c r="M957" s="0" t="str">
        <f aca="false">PROPER(L957)</f>
        <v>Battery</v>
      </c>
      <c r="N957" s="3" t="s">
        <v>90</v>
      </c>
      <c r="O957" s="0" t="str">
        <f aca="false" t="array" ref="O957:O957">IF(N957&lt;&gt;"",N957,_xlfn.xlookup(1,(L957:L1956=L957)*(N957:N1956&lt;&gt;""),N957:N1956,"Not Found"))</f>
        <v>Musa</v>
      </c>
      <c r="P957" s="4" t="n">
        <v>100561</v>
      </c>
      <c r="Q957" s="0" t="s">
        <v>166</v>
      </c>
      <c r="R957" s="0" t="str">
        <f aca="false">PROPER(Q957)</f>
        <v>Transfer</v>
      </c>
      <c r="S957" s="0" t="s">
        <v>50</v>
      </c>
      <c r="T957" s="0" t="n">
        <v>5</v>
      </c>
      <c r="U957" s="5" t="n">
        <f aca="false">IF(ISBLANK(T957),AVERAGE(T957:T1956),T957)</f>
        <v>5</v>
      </c>
      <c r="V957" s="0" t="n">
        <v>3.5</v>
      </c>
      <c r="W957" s="0" t="s">
        <v>125</v>
      </c>
      <c r="X957" s="0" t="str">
        <f aca="false">IF(ISBLANK(W957),"No remarks",W957)</f>
        <v>Customer waited</v>
      </c>
      <c r="Y957" s="0" t="s">
        <v>52</v>
      </c>
      <c r="Z957" s="0" t="s">
        <v>74</v>
      </c>
      <c r="AA957" s="0" t="str">
        <f aca="false">PROPER(IF(ISBLANK(Z957),"Location Unavailable",Z957))</f>
        <v>Under Tree</v>
      </c>
      <c r="AB957" s="0" t="s">
        <v>54</v>
      </c>
      <c r="AC957" s="6" t="str">
        <f aca="false">PROPER(AB957)</f>
        <v>Mechanic Referral</v>
      </c>
      <c r="AD957" s="6" t="n">
        <v>60</v>
      </c>
      <c r="AE957" s="5" t="n">
        <f aca="false">IF(ISBLANK(AD957),AVERAGEIF(L957:L1956,L957,AD957:AD1956),AD957)</f>
        <v>60</v>
      </c>
      <c r="AF957" s="0" t="s">
        <v>55</v>
      </c>
      <c r="AG957" s="0" t="str">
        <f aca="false">PROPER(AF957)</f>
        <v>Available</v>
      </c>
      <c r="AH957" s="0" t="s">
        <v>155</v>
      </c>
      <c r="AI957" s="0" t="s">
        <v>98</v>
      </c>
      <c r="AJ957" s="0" t="str">
        <f aca="false">PROPER(AI957)</f>
        <v>Emergency</v>
      </c>
      <c r="AK957" s="0" t="s">
        <v>114</v>
      </c>
      <c r="AL957" s="0" t="str">
        <f aca="false">PROPER(AK957)</f>
        <v>Returning</v>
      </c>
      <c r="AN957" s="0" t="str">
        <f aca="false">IF(ISBLANK(AM957),"Unknown",AM957)</f>
        <v>Unknown</v>
      </c>
      <c r="AO957" s="0" t="s">
        <v>143</v>
      </c>
      <c r="AP957" s="0" t="str">
        <f aca="false">IF(ISBLANK(AO957),"Unknown",AO957)</f>
        <v>Senior</v>
      </c>
      <c r="AR957" s="5" t="n">
        <f aca="false">IF(ISBLANK(AQ957),AVERAGEIF(M957:M1956,M957,AQ957:AQ1956),AQ957)</f>
        <v>40000</v>
      </c>
      <c r="AS957" s="0" t="n">
        <v>35000</v>
      </c>
      <c r="AT957" s="5" t="n">
        <f aca="false">IF(ISBLANK(AS957),AVERAGE(AS957:AS1956),AS957)</f>
        <v>35000</v>
      </c>
      <c r="AU957" s="0" t="s">
        <v>50</v>
      </c>
      <c r="AV957" s="0" t="str">
        <f aca="false">PROPER(IF(ISBLANK(AU957),"No",AU957))</f>
        <v>No</v>
      </c>
      <c r="AW957" s="0" t="n">
        <v>5000</v>
      </c>
      <c r="AX957" s="5" t="n">
        <f aca="false">IF(ISBLANK(AW957),0,AW957)</f>
        <v>5000</v>
      </c>
      <c r="AY957" s="0" t="s">
        <v>184</v>
      </c>
      <c r="AZ957" s="0" t="str">
        <f aca="false">UPPER(IF(ISBLANK(AY957),"NONE",AY957))</f>
        <v>N/A</v>
      </c>
      <c r="BA957" s="7" t="n">
        <v>45727</v>
      </c>
      <c r="BB957" s="7" t="n">
        <f aca="false">IF(ISBLANK(BA957),"No Follow Up Needed",BA957)</f>
        <v>45727</v>
      </c>
      <c r="BC957" s="0" t="s">
        <v>50</v>
      </c>
      <c r="BD957" s="0" t="str">
        <f aca="false">PROPER(IF(ISBLANK(BC957),"Unknown",BC957))</f>
        <v>No</v>
      </c>
      <c r="BF957" s="0" t="str">
        <f aca="false">IF(ISBLANK(BE957),"No comments",BE957)</f>
        <v>No comments</v>
      </c>
      <c r="BH957" s="0" t="str">
        <f aca="false">IF(ISBLANK(BG957),"No comments",BG957)</f>
        <v>No comments</v>
      </c>
      <c r="BI957" s="0" t="s">
        <v>63</v>
      </c>
      <c r="BJ957" s="0" t="str">
        <f aca="false">IF(ISBLANK(BI957),"Not Mentioned",BI957)</f>
        <v>Yes</v>
      </c>
      <c r="BK957" s="0" t="s">
        <v>82</v>
      </c>
      <c r="BL957" s="0" t="str">
        <f aca="false">PROPER(IF(ISBLANK(BK957),"Not Mentioned",BK957))</f>
        <v>Yes</v>
      </c>
      <c r="BM957" s="0" t="s">
        <v>63</v>
      </c>
      <c r="BN957" s="0" t="str">
        <f aca="false">PROPER(IF(ISBLANK(BM957),"Not Mentioned",BM957))</f>
        <v>Yes</v>
      </c>
      <c r="BO957" s="0" t="s">
        <v>2318</v>
      </c>
      <c r="BP957" s="0" t="str">
        <f aca="false">IF(ISBLANK(BO957),"One-Time Plan",BO957)</f>
        <v>Gold</v>
      </c>
      <c r="BQ957" s="0" t="s">
        <v>198</v>
      </c>
      <c r="BR957" s="0" t="str">
        <f aca="false">PROPER(IF(ISBLANK(BQ957),"No",BQ957))</f>
        <v>Followed Up</v>
      </c>
    </row>
    <row r="958" customFormat="false" ht="15" hidden="false" customHeight="false" outlineLevel="0" collapsed="false">
      <c r="A958" s="0" t="s">
        <v>2199</v>
      </c>
      <c r="B958" s="2" t="n">
        <v>45739</v>
      </c>
      <c r="C958" s="2" t="str">
        <f aca="false">TEXT(B958,"dd/mm/yyyy")</f>
        <v>23/03/2025</v>
      </c>
      <c r="D958" s="0" t="s">
        <v>42</v>
      </c>
      <c r="E958" s="0" t="n">
        <v>8061654839</v>
      </c>
      <c r="F958" s="0" t="s">
        <v>122</v>
      </c>
      <c r="G958" s="0" t="s">
        <v>2316</v>
      </c>
      <c r="H958" s="0" t="s">
        <v>2200</v>
      </c>
      <c r="I958" s="0" t="s">
        <v>87</v>
      </c>
      <c r="J958" s="0" t="s">
        <v>2317</v>
      </c>
      <c r="K958" s="3" t="str">
        <f aca="false" t="array" ref="K958:K958">IFERROR(IF(J958&lt;&gt;"",J958,INDEX(J958:J1957,MATCH(1,(F958:F1957=F958)*(I958:I1957=I958)*(L958:L1957=L958)*(J958:J1957&lt;&gt;""),0))),"Not Found")</f>
        <v>Suspension Noise</v>
      </c>
      <c r="L958" s="3" t="s">
        <v>47</v>
      </c>
      <c r="M958" s="0" t="str">
        <f aca="false">PROPER(L958)</f>
        <v>None</v>
      </c>
      <c r="N958" s="3" t="s">
        <v>48</v>
      </c>
      <c r="O958" s="0" t="str">
        <f aca="false" t="array" ref="O958:O958">IF(N958&lt;&gt;"",N958,_xlfn.xlookup(1,(L958:L1957=L958)*(N958:N1957&lt;&gt;""),N958:N1957,"Not Found"))</f>
        <v>Uche</v>
      </c>
      <c r="P958" s="4" t="n">
        <v>82510</v>
      </c>
      <c r="Q958" s="0" t="s">
        <v>166</v>
      </c>
      <c r="R958" s="0" t="str">
        <f aca="false">PROPER(Q958)</f>
        <v>Transfer</v>
      </c>
      <c r="S958" s="0" t="s">
        <v>50</v>
      </c>
      <c r="T958" s="0" t="n">
        <v>5</v>
      </c>
      <c r="U958" s="5" t="n">
        <f aca="false">IF(ISBLANK(T958),AVERAGE(T958:T1957),T958)</f>
        <v>5</v>
      </c>
      <c r="V958" s="0" t="n">
        <v>1.4</v>
      </c>
      <c r="W958" s="0" t="s">
        <v>51</v>
      </c>
      <c r="X958" s="0" t="str">
        <f aca="false">IF(ISBLANK(W958),"No remarks",W958)</f>
        <v>Recommended further checks</v>
      </c>
      <c r="Y958" s="0" t="s">
        <v>73</v>
      </c>
      <c r="Z958" s="0" t="s">
        <v>53</v>
      </c>
      <c r="AA958" s="0" t="str">
        <f aca="false">PROPER(IF(ISBLANK(Z958),"Location Unavailable",Z958))</f>
        <v>Main Bay</v>
      </c>
      <c r="AB958" s="0" t="s">
        <v>75</v>
      </c>
      <c r="AC958" s="6" t="str">
        <f aca="false">PROPER(AB958)</f>
        <v>Mechanik Referal</v>
      </c>
      <c r="AD958" s="6" t="n">
        <v>15</v>
      </c>
      <c r="AE958" s="5" t="n">
        <f aca="false">IF(ISBLANK(AD958),AVERAGEIF(L958:L1957,L958,AD958:AD1957),AD958)</f>
        <v>15</v>
      </c>
      <c r="AF958" s="0" t="s">
        <v>112</v>
      </c>
      <c r="AG958" s="0" t="str">
        <f aca="false">PROPER(AF958)</f>
        <v>Unavailable</v>
      </c>
      <c r="AH958" s="0" t="s">
        <v>77</v>
      </c>
      <c r="AI958" s="0" t="s">
        <v>78</v>
      </c>
      <c r="AJ958" s="0" t="str">
        <f aca="false">PROPER(AI958)</f>
        <v>Booking</v>
      </c>
      <c r="AK958" s="0" t="s">
        <v>196</v>
      </c>
      <c r="AL958" s="0" t="str">
        <f aca="false">PROPER(AK958)</f>
        <v>First Time</v>
      </c>
      <c r="AM958" s="0" t="s">
        <v>59</v>
      </c>
      <c r="AN958" s="0" t="str">
        <f aca="false">IF(ISBLANK(AM958),"Unknown",AM958)</f>
        <v>Bolt Driver</v>
      </c>
      <c r="AO958" s="0" t="s">
        <v>79</v>
      </c>
      <c r="AP958" s="0" t="str">
        <f aca="false">IF(ISBLANK(AO958),"Unknown",AO958)</f>
        <v>Specialist</v>
      </c>
      <c r="AQ958" s="0" t="n">
        <v>40000</v>
      </c>
      <c r="AR958" s="5" t="n">
        <f aca="false">IF(ISBLANK(AQ958),AVERAGEIF(M958:M1957,M958,AQ958:AQ1957),AQ958)</f>
        <v>40000</v>
      </c>
      <c r="AS958" s="0" t="n">
        <v>30000</v>
      </c>
      <c r="AT958" s="5" t="n">
        <f aca="false">IF(ISBLANK(AS958),AVERAGE(AS958:AS1957),AS958)</f>
        <v>30000</v>
      </c>
      <c r="AU958" s="0" t="s">
        <v>50</v>
      </c>
      <c r="AV958" s="0" t="str">
        <f aca="false">PROPER(IF(ISBLANK(AU958),"No",AU958))</f>
        <v>No</v>
      </c>
      <c r="AX958" s="5" t="n">
        <f aca="false">IF(ISBLANK(AW958),0,AW958)</f>
        <v>0</v>
      </c>
      <c r="AY958" s="0" t="s">
        <v>130</v>
      </c>
      <c r="AZ958" s="0" t="str">
        <f aca="false">UPPER(IF(ISBLANK(AY958),"NONE",AY958))</f>
        <v>LOYALTY10</v>
      </c>
      <c r="BA958" s="7" t="s">
        <v>1304</v>
      </c>
      <c r="BB958" s="7" t="str">
        <f aca="false">IF(ISBLANK(BA958),"No Follow Up Needed",BA958)</f>
        <v>25/06/2025</v>
      </c>
      <c r="BC958" s="0" t="s">
        <v>82</v>
      </c>
      <c r="BD958" s="0" t="str">
        <f aca="false">PROPER(IF(ISBLANK(BC958),"Unknown",BC958))</f>
        <v>Yes</v>
      </c>
      <c r="BF958" s="0" t="str">
        <f aca="false">IF(ISBLANK(BE958),"No comments",BE958)</f>
        <v>No comments</v>
      </c>
      <c r="BH958" s="0" t="str">
        <f aca="false">IF(ISBLANK(BG958),"No comments",BG958)</f>
        <v>No comments</v>
      </c>
      <c r="BJ958" s="0" t="str">
        <f aca="false">IF(ISBLANK(BI958),"Not Mentioned",BI958)</f>
        <v>Not Mentioned</v>
      </c>
      <c r="BK958" s="0" t="s">
        <v>82</v>
      </c>
      <c r="BL958" s="0" t="str">
        <f aca="false">PROPER(IF(ISBLANK(BK958),"Not Mentioned",BK958))</f>
        <v>Yes</v>
      </c>
      <c r="BM958" s="0" t="s">
        <v>50</v>
      </c>
      <c r="BN958" s="0" t="str">
        <f aca="false">PROPER(IF(ISBLANK(BM958),"Not Mentioned",BM958))</f>
        <v>No</v>
      </c>
      <c r="BO958" s="0" t="s">
        <v>2321</v>
      </c>
      <c r="BP958" s="0" t="str">
        <f aca="false">IF(ISBLANK(BO958),"One-Time Plan",BO958)</f>
        <v>One-Time Plan</v>
      </c>
      <c r="BR958" s="0" t="str">
        <f aca="false">PROPER(IF(ISBLANK(BQ958),"No",BQ958))</f>
        <v>No</v>
      </c>
    </row>
    <row r="959" customFormat="false" ht="15" hidden="false" customHeight="false" outlineLevel="0" collapsed="false">
      <c r="A959" s="0" t="s">
        <v>2201</v>
      </c>
      <c r="B959" s="2" t="s">
        <v>687</v>
      </c>
      <c r="C959" s="2" t="str">
        <f aca="false">TEXT(B959,"dd/mm/yyyy")</f>
        <v>21/01/2025</v>
      </c>
      <c r="D959" s="0" t="s">
        <v>121</v>
      </c>
      <c r="E959" s="0" t="n">
        <v>8049441620</v>
      </c>
      <c r="F959" s="0" t="s">
        <v>139</v>
      </c>
      <c r="G959" s="0" t="s">
        <v>2323</v>
      </c>
      <c r="H959" s="0" t="s">
        <v>1652</v>
      </c>
      <c r="I959" s="0" t="s">
        <v>69</v>
      </c>
      <c r="J959" s="0" t="s">
        <v>2317</v>
      </c>
      <c r="K959" s="3" t="str">
        <f aca="false" t="array" ref="K959:K959">IFERROR(IF(J959&lt;&gt;"",J959,INDEX(J959:J1958,MATCH(1,(F959:F1958=F959)*(I959:I1958=I959)*(L959:L1958=L959)*(J959:J1958&lt;&gt;""),0))),"Not Found")</f>
        <v>Suspension Noise</v>
      </c>
      <c r="L959" s="3" t="s">
        <v>189</v>
      </c>
      <c r="M959" s="0" t="str">
        <f aca="false">PROPER(L959)</f>
        <v>Battery</v>
      </c>
      <c r="N959" s="3" t="s">
        <v>90</v>
      </c>
      <c r="O959" s="0" t="str">
        <f aca="false" t="array" ref="O959:O959">IF(N959&lt;&gt;"",N959,_xlfn.xlookup(1,(L959:L1958=L959)*(N959:N1958&lt;&gt;""),N959:N1958,"Not Found"))</f>
        <v>Musa</v>
      </c>
      <c r="P959" s="4" t="n">
        <v>83162</v>
      </c>
      <c r="Q959" s="0" t="s">
        <v>110</v>
      </c>
      <c r="R959" s="0" t="str">
        <f aca="false">PROPER(Q959)</f>
        <v>Cash</v>
      </c>
      <c r="S959" s="0" t="s">
        <v>63</v>
      </c>
      <c r="T959" s="0" t="n">
        <v>5</v>
      </c>
      <c r="U959" s="5" t="n">
        <f aca="false">IF(ISBLANK(T959),AVERAGE(T959:T1958),T959)</f>
        <v>5</v>
      </c>
      <c r="V959" s="0" t="n">
        <v>2.3</v>
      </c>
      <c r="W959" s="0" t="s">
        <v>111</v>
      </c>
      <c r="X959" s="0" t="str">
        <f aca="false">IF(ISBLANK(W959),"No remarks",W959)</f>
        <v>Changed all filters</v>
      </c>
      <c r="Y959" s="0" t="s">
        <v>93</v>
      </c>
      <c r="AA959" s="0" t="str">
        <f aca="false">PROPER(IF(ISBLANK(Z959),"Location Unavailable",Z959))</f>
        <v>Location Unavailable</v>
      </c>
      <c r="AB959" s="0" t="s">
        <v>167</v>
      </c>
      <c r="AC959" s="6" t="str">
        <f aca="false">PROPER(AB959)</f>
        <v>Word Of Mouth</v>
      </c>
      <c r="AD959" s="6" t="n">
        <v>45</v>
      </c>
      <c r="AE959" s="5" t="n">
        <f aca="false">IF(ISBLANK(AD959),AVERAGEIF(L959:L1958,L959,AD959:AD1958),AD959)</f>
        <v>45</v>
      </c>
      <c r="AF959" s="0" t="s">
        <v>96</v>
      </c>
      <c r="AG959" s="0" t="str">
        <f aca="false">PROPER(AF959)</f>
        <v>Ordered</v>
      </c>
      <c r="AH959" s="0" t="s">
        <v>77</v>
      </c>
      <c r="AI959" s="0" t="s">
        <v>78</v>
      </c>
      <c r="AJ959" s="0" t="str">
        <f aca="false">PROPER(AI959)</f>
        <v>Booking</v>
      </c>
      <c r="AK959" s="0" t="s">
        <v>99</v>
      </c>
      <c r="AL959" s="0" t="str">
        <f aca="false">PROPER(AK959)</f>
        <v>Uber Driver</v>
      </c>
      <c r="AM959" s="0" t="s">
        <v>59</v>
      </c>
      <c r="AN959" s="0" t="str">
        <f aca="false">IF(ISBLANK(AM959),"Unknown",AM959)</f>
        <v>Bolt Driver</v>
      </c>
      <c r="AO959" s="0" t="s">
        <v>79</v>
      </c>
      <c r="AP959" s="0" t="str">
        <f aca="false">IF(ISBLANK(AO959),"Unknown",AO959)</f>
        <v>Specialist</v>
      </c>
      <c r="AQ959" s="0" t="n">
        <v>40000</v>
      </c>
      <c r="AR959" s="5" t="n">
        <f aca="false">IF(ISBLANK(AQ959),AVERAGEIF(M959:M1958,M959,AQ959:AQ1958),AQ959)</f>
        <v>40000</v>
      </c>
      <c r="AT959" s="5" t="n">
        <f aca="false">IF(ISBLANK(AS959),AVERAGE(AS959:AS1958),AS959)</f>
        <v>30555.5555555556</v>
      </c>
      <c r="AU959" s="0" t="s">
        <v>61</v>
      </c>
      <c r="AV959" s="0" t="str">
        <f aca="false">PROPER(IF(ISBLANK(AU959),"No",AU959))</f>
        <v>No</v>
      </c>
      <c r="AW959" s="0" t="n">
        <v>0</v>
      </c>
      <c r="AX959" s="5" t="n">
        <f aca="false">IF(ISBLANK(AW959),0,AW959)</f>
        <v>0</v>
      </c>
      <c r="AY959" s="0" t="s">
        <v>60</v>
      </c>
      <c r="AZ959" s="0" t="str">
        <f aca="false">UPPER(IF(ISBLANK(AY959),"NONE",AY959))</f>
        <v>NONE</v>
      </c>
      <c r="BB959" s="7" t="str">
        <f aca="false">IF(ISBLANK(BA959),"No Follow Up Needed",BA959)</f>
        <v>No Follow Up Needed</v>
      </c>
      <c r="BD959" s="0" t="str">
        <f aca="false">PROPER(IF(ISBLANK(BC959),"Unknown",BC959))</f>
        <v>Unknown</v>
      </c>
      <c r="BF959" s="0" t="str">
        <f aca="false">IF(ISBLANK(BE959),"No comments",BE959)</f>
        <v>No comments</v>
      </c>
      <c r="BH959" s="0" t="str">
        <f aca="false">IF(ISBLANK(BG959),"No comments",BG959)</f>
        <v>No comments</v>
      </c>
      <c r="BI959" s="0" t="s">
        <v>63</v>
      </c>
      <c r="BJ959" s="0" t="str">
        <f aca="false">IF(ISBLANK(BI959),"Not Mentioned",BI959)</f>
        <v>Yes</v>
      </c>
      <c r="BL959" s="0" t="str">
        <f aca="false">PROPER(IF(ISBLANK(BK959),"Not Mentioned",BK959))</f>
        <v>Not Mentioned</v>
      </c>
      <c r="BM959" s="0" t="s">
        <v>63</v>
      </c>
      <c r="BN959" s="0" t="str">
        <f aca="false">PROPER(IF(ISBLANK(BM959),"Not Mentioned",BM959))</f>
        <v>Yes</v>
      </c>
      <c r="BO959" s="0" t="s">
        <v>2321</v>
      </c>
      <c r="BP959" s="0" t="str">
        <f aca="false">IF(ISBLANK(BO959),"One-Time Plan",BO959)</f>
        <v>One-Time Plan</v>
      </c>
      <c r="BQ959" s="0" t="s">
        <v>190</v>
      </c>
      <c r="BR959" s="0" t="str">
        <f aca="false">PROPER(IF(ISBLANK(BQ959),"No",BQ959))</f>
        <v>Yes</v>
      </c>
    </row>
    <row r="960" customFormat="false" ht="15" hidden="false" customHeight="false" outlineLevel="0" collapsed="false">
      <c r="A960" s="0" t="s">
        <v>2202</v>
      </c>
      <c r="B960" s="2" t="n">
        <v>45763</v>
      </c>
      <c r="C960" s="2" t="str">
        <f aca="false">TEXT(B960,"dd/mm/yyyy")</f>
        <v>16/04/2025</v>
      </c>
      <c r="D960" s="0" t="s">
        <v>42</v>
      </c>
      <c r="E960" s="0" t="n">
        <v>8091493489</v>
      </c>
      <c r="F960" s="0" t="s">
        <v>43</v>
      </c>
      <c r="G960" s="0" t="s">
        <v>2315</v>
      </c>
      <c r="H960" s="0" t="s">
        <v>2203</v>
      </c>
      <c r="I960" s="0" t="s">
        <v>87</v>
      </c>
      <c r="J960" s="0" t="s">
        <v>2317</v>
      </c>
      <c r="K960" s="3" t="str">
        <f aca="false" t="array" ref="K960:K960">IFERROR(IF(J960&lt;&gt;"",J960,INDEX(J960:J1959,MATCH(1,(F960:F1959=F960)*(I960:I1959=I960)*(L960:L1959=L960)*(J960:J1959&lt;&gt;""),0))),"Not Found")</f>
        <v>Suspension Noise</v>
      </c>
      <c r="L960" s="3" t="s">
        <v>47</v>
      </c>
      <c r="M960" s="0" t="str">
        <f aca="false">PROPER(L960)</f>
        <v>None</v>
      </c>
      <c r="N960" s="3" t="s">
        <v>109</v>
      </c>
      <c r="O960" s="0" t="str">
        <f aca="false" t="array" ref="O960:O960">IF(N960&lt;&gt;"",N960,_xlfn.xlookup(1,(L960:L1959=L960)*(N960:N1959&lt;&gt;""),N960:N1959,"Not Found"))</f>
        <v>Tijani</v>
      </c>
      <c r="P960" s="4" t="n">
        <v>39377</v>
      </c>
      <c r="Q960" s="0" t="s">
        <v>110</v>
      </c>
      <c r="R960" s="0" t="str">
        <f aca="false">PROPER(Q960)</f>
        <v>Cash</v>
      </c>
      <c r="S960" s="0" t="s">
        <v>50</v>
      </c>
      <c r="T960" s="0" t="n">
        <v>5</v>
      </c>
      <c r="U960" s="5" t="n">
        <f aca="false">IF(ISBLANK(T960),AVERAGE(T960:T1959),T960)</f>
        <v>5</v>
      </c>
      <c r="V960" s="0" t="n">
        <v>2.6</v>
      </c>
      <c r="X960" s="0" t="str">
        <f aca="false">IF(ISBLANK(W960),"No remarks",W960)</f>
        <v>No remarks</v>
      </c>
      <c r="Y960" s="0" t="s">
        <v>93</v>
      </c>
      <c r="Z960" s="0" t="s">
        <v>159</v>
      </c>
      <c r="AA960" s="0" t="str">
        <f aca="false">PROPER(IF(ISBLANK(Z960),"Location Unavailable",Z960))</f>
        <v>Main Bay</v>
      </c>
      <c r="AB960" s="0" t="s">
        <v>147</v>
      </c>
      <c r="AC960" s="6" t="str">
        <f aca="false">PROPER(AB960)</f>
        <v>Instagram</v>
      </c>
      <c r="AD960" s="6" t="n">
        <v>60</v>
      </c>
      <c r="AE960" s="5" t="n">
        <f aca="false">IF(ISBLANK(AD960),AVERAGEIF(L960:L1959,L960,AD960:AD1959),AD960)</f>
        <v>60</v>
      </c>
      <c r="AF960" s="0" t="s">
        <v>55</v>
      </c>
      <c r="AG960" s="0" t="str">
        <f aca="false">PROPER(AF960)</f>
        <v>Available</v>
      </c>
      <c r="AH960" s="0" t="s">
        <v>155</v>
      </c>
      <c r="AI960" s="0" t="s">
        <v>128</v>
      </c>
      <c r="AJ960" s="0" t="str">
        <f aca="false">PROPER(AI960)</f>
        <v>Normal</v>
      </c>
      <c r="AK960" s="0" t="s">
        <v>114</v>
      </c>
      <c r="AL960" s="0" t="str">
        <f aca="false">PROPER(AK960)</f>
        <v>Returning</v>
      </c>
      <c r="AN960" s="0" t="str">
        <f aca="false">IF(ISBLANK(AM960),"Unknown",AM960)</f>
        <v>Unknown</v>
      </c>
      <c r="AO960" s="0" t="s">
        <v>79</v>
      </c>
      <c r="AP960" s="0" t="str">
        <f aca="false">IF(ISBLANK(AO960),"Unknown",AO960)</f>
        <v>Specialist</v>
      </c>
      <c r="AQ960" s="0" t="n">
        <v>15000</v>
      </c>
      <c r="AR960" s="5" t="n">
        <f aca="false">IF(ISBLANK(AQ960),AVERAGEIF(M960:M1959,M960,AQ960:AQ1959),AQ960)</f>
        <v>15000</v>
      </c>
      <c r="AS960" s="0" t="n">
        <v>35000</v>
      </c>
      <c r="AT960" s="5" t="n">
        <f aca="false">IF(ISBLANK(AS960),AVERAGE(AS960:AS1959),AS960)</f>
        <v>35000</v>
      </c>
      <c r="AV960" s="0" t="str">
        <f aca="false">PROPER(IF(ISBLANK(AU960),"No",AU960))</f>
        <v>No</v>
      </c>
      <c r="AW960" s="0" t="n">
        <v>10000</v>
      </c>
      <c r="AX960" s="5" t="n">
        <f aca="false">IF(ISBLANK(AW960),0,AW960)</f>
        <v>10000</v>
      </c>
      <c r="AY960" s="0" t="s">
        <v>60</v>
      </c>
      <c r="AZ960" s="0" t="str">
        <f aca="false">UPPER(IF(ISBLANK(AY960),"NONE",AY960))</f>
        <v>NONE</v>
      </c>
      <c r="BB960" s="7" t="str">
        <f aca="false">IF(ISBLANK(BA960),"No Follow Up Needed",BA960)</f>
        <v>No Follow Up Needed</v>
      </c>
      <c r="BC960" s="0" t="s">
        <v>61</v>
      </c>
      <c r="BD960" s="0" t="str">
        <f aca="false">PROPER(IF(ISBLANK(BC960),"Unknown",BC960))</f>
        <v>No</v>
      </c>
      <c r="BE960" s="0" t="s">
        <v>171</v>
      </c>
      <c r="BF960" s="0" t="str">
        <f aca="false">IF(ISBLANK(BE960),"No comments",BE960)</f>
        <v>Shock absorber weakening</v>
      </c>
      <c r="BG960" s="0" t="s">
        <v>117</v>
      </c>
      <c r="BH960" s="0" t="str">
        <f aca="false">IF(ISBLANK(BG960),"No comments",BG960)</f>
        <v>Prefers morning</v>
      </c>
      <c r="BI960" s="0" t="s">
        <v>50</v>
      </c>
      <c r="BJ960" s="0" t="str">
        <f aca="false">IF(ISBLANK(BI960),"Not Mentioned",BI960)</f>
        <v>No</v>
      </c>
      <c r="BL960" s="0" t="str">
        <f aca="false">PROPER(IF(ISBLANK(BK960),"Not Mentioned",BK960))</f>
        <v>Not Mentioned</v>
      </c>
      <c r="BM960" s="0" t="s">
        <v>63</v>
      </c>
      <c r="BN960" s="0" t="str">
        <f aca="false">PROPER(IF(ISBLANK(BM960),"Not Mentioned",BM960))</f>
        <v>Yes</v>
      </c>
      <c r="BP960" s="0" t="str">
        <f aca="false">IF(ISBLANK(BO960),"One-Time Plan",BO960)</f>
        <v>One-Time Plan</v>
      </c>
      <c r="BQ960" s="0" t="s">
        <v>190</v>
      </c>
      <c r="BR960" s="0" t="str">
        <f aca="false">PROPER(IF(ISBLANK(BQ960),"No",BQ960))</f>
        <v>Yes</v>
      </c>
    </row>
    <row r="961" customFormat="false" ht="15" hidden="false" customHeight="false" outlineLevel="0" collapsed="false">
      <c r="A961" s="0" t="s">
        <v>2204</v>
      </c>
      <c r="B961" s="2" t="n">
        <v>45699</v>
      </c>
      <c r="C961" s="2" t="str">
        <f aca="false">TEXT(B961,"dd/mm/yyyy")</f>
        <v>11/02/2025</v>
      </c>
      <c r="D961" s="0" t="s">
        <v>66</v>
      </c>
      <c r="E961" s="0" t="n">
        <v>8036182785</v>
      </c>
      <c r="F961" s="0" t="s">
        <v>122</v>
      </c>
      <c r="G961" s="0" t="s">
        <v>2316</v>
      </c>
      <c r="H961" s="0" t="s">
        <v>2205</v>
      </c>
      <c r="I961" s="0" t="s">
        <v>45</v>
      </c>
      <c r="J961" s="0" t="s">
        <v>2317</v>
      </c>
      <c r="K961" s="3" t="str">
        <f aca="false" t="array" ref="K961:K961">IFERROR(IF(J961&lt;&gt;"",J961,INDEX(J961:J1960,MATCH(1,(F961:F1960=F961)*(I961:I1960=I961)*(L961:L1960=L961)*(J961:J1960&lt;&gt;""),0))),"Not Found")</f>
        <v>Suspension Noise</v>
      </c>
      <c r="L961" s="3" t="s">
        <v>47</v>
      </c>
      <c r="M961" s="0" t="str">
        <f aca="false">PROPER(L961)</f>
        <v>None</v>
      </c>
      <c r="N961" s="3" t="s">
        <v>71</v>
      </c>
      <c r="O961" s="0" t="str">
        <f aca="false" t="array" ref="O961:O961">IF(N961&lt;&gt;"",N961,_xlfn.xlookup(1,(L961:L1960=L961)*(N961:N1960&lt;&gt;""),N961:N1960,"Not Found"))</f>
        <v>Isaac Bobo</v>
      </c>
      <c r="P961" s="4" t="n">
        <v>53687</v>
      </c>
      <c r="Q961" s="0" t="s">
        <v>110</v>
      </c>
      <c r="R961" s="0" t="str">
        <f aca="false">PROPER(Q961)</f>
        <v>Cash</v>
      </c>
      <c r="S961" s="0" t="s">
        <v>63</v>
      </c>
      <c r="T961" s="0" t="n">
        <v>2</v>
      </c>
      <c r="U961" s="5" t="n">
        <f aca="false">IF(ISBLANK(T961),AVERAGE(T961:T1960),T961)</f>
        <v>2</v>
      </c>
      <c r="V961" s="0" t="n">
        <v>1.7</v>
      </c>
      <c r="W961" s="0" t="s">
        <v>92</v>
      </c>
      <c r="X961" s="0" t="str">
        <f aca="false">IF(ISBLANK(W961),"No remarks",W961)</f>
        <v>Urgent service</v>
      </c>
      <c r="Y961" s="0" t="s">
        <v>93</v>
      </c>
      <c r="Z961" s="0" t="s">
        <v>159</v>
      </c>
      <c r="AA961" s="0" t="str">
        <f aca="false">PROPER(IF(ISBLANK(Z961),"Location Unavailable",Z961))</f>
        <v>Main Bay</v>
      </c>
      <c r="AB961" s="0" t="s">
        <v>95</v>
      </c>
      <c r="AC961" s="6" t="str">
        <f aca="false">PROPER(AB961)</f>
        <v>Road Sign</v>
      </c>
      <c r="AD961" s="6" t="n">
        <v>60</v>
      </c>
      <c r="AE961" s="5" t="n">
        <f aca="false">IF(ISBLANK(AD961),AVERAGEIF(L961:L1960,L961,AD961:AD1960),AD961)</f>
        <v>60</v>
      </c>
      <c r="AF961" s="0" t="s">
        <v>55</v>
      </c>
      <c r="AG961" s="0" t="str">
        <f aca="false">PROPER(AF961)</f>
        <v>Available</v>
      </c>
      <c r="AH961" s="0" t="s">
        <v>155</v>
      </c>
      <c r="AI961" s="0" t="s">
        <v>98</v>
      </c>
      <c r="AJ961" s="0" t="str">
        <f aca="false">PROPER(AI961)</f>
        <v>Emergency</v>
      </c>
      <c r="AK961" s="0" t="s">
        <v>196</v>
      </c>
      <c r="AL961" s="0" t="str">
        <f aca="false">PROPER(AK961)</f>
        <v>First Time</v>
      </c>
      <c r="AM961" s="0" t="s">
        <v>2326</v>
      </c>
      <c r="AN961" s="0" t="str">
        <f aca="false">IF(ISBLANK(AM961),"Unknown",AM961)</f>
        <v>Government Convoy</v>
      </c>
      <c r="AP961" s="0" t="str">
        <f aca="false">IF(ISBLANK(AO961),"Unknown",AO961)</f>
        <v>Unknown</v>
      </c>
      <c r="AQ961" s="0" t="n">
        <v>40000</v>
      </c>
      <c r="AR961" s="5" t="n">
        <f aca="false">IF(ISBLANK(AQ961),AVERAGEIF(M961:M1960,M961,AQ961:AQ1960),AQ961)</f>
        <v>40000</v>
      </c>
      <c r="AS961" s="0" t="n">
        <v>20000</v>
      </c>
      <c r="AT961" s="5" t="n">
        <f aca="false">IF(ISBLANK(AS961),AVERAGE(AS961:AS1960),AS961)</f>
        <v>20000</v>
      </c>
      <c r="AU961" s="0" t="s">
        <v>82</v>
      </c>
      <c r="AV961" s="0" t="str">
        <f aca="false">PROPER(IF(ISBLANK(AU961),"No",AU961))</f>
        <v>Yes</v>
      </c>
      <c r="AW961" s="0" t="n">
        <v>10000</v>
      </c>
      <c r="AX961" s="5" t="n">
        <f aca="false">IF(ISBLANK(AW961),0,AW961)</f>
        <v>10000</v>
      </c>
      <c r="AY961" s="0" t="s">
        <v>184</v>
      </c>
      <c r="AZ961" s="0" t="str">
        <f aca="false">UPPER(IF(ISBLANK(AY961),"NONE",AY961))</f>
        <v>N/A</v>
      </c>
      <c r="BB961" s="7" t="str">
        <f aca="false">IF(ISBLANK(BA961),"No Follow Up Needed",BA961)</f>
        <v>No Follow Up Needed</v>
      </c>
      <c r="BC961" s="0" t="s">
        <v>50</v>
      </c>
      <c r="BD961" s="0" t="str">
        <f aca="false">PROPER(IF(ISBLANK(BC961),"Unknown",BC961))</f>
        <v>No</v>
      </c>
      <c r="BF961" s="0" t="str">
        <f aca="false">IF(ISBLANK(BE961),"No comments",BE961)</f>
        <v>No comments</v>
      </c>
      <c r="BH961" s="0" t="str">
        <f aca="false">IF(ISBLANK(BG961),"No comments",BG961)</f>
        <v>No comments</v>
      </c>
      <c r="BI961" s="0" t="s">
        <v>50</v>
      </c>
      <c r="BJ961" s="0" t="str">
        <f aca="false">IF(ISBLANK(BI961),"Not Mentioned",BI961)</f>
        <v>No</v>
      </c>
      <c r="BK961" s="0" t="s">
        <v>50</v>
      </c>
      <c r="BL961" s="0" t="str">
        <f aca="false">PROPER(IF(ISBLANK(BK961),"Not Mentioned",BK961))</f>
        <v>No</v>
      </c>
      <c r="BM961" s="0" t="s">
        <v>50</v>
      </c>
      <c r="BN961" s="0" t="str">
        <f aca="false">PROPER(IF(ISBLANK(BM961),"Not Mentioned",BM961))</f>
        <v>No</v>
      </c>
      <c r="BO961" s="0" t="s">
        <v>2318</v>
      </c>
      <c r="BP961" s="0" t="str">
        <f aca="false">IF(ISBLANK(BO961),"One-Time Plan",BO961)</f>
        <v>Gold</v>
      </c>
      <c r="BR961" s="0" t="str">
        <f aca="false">PROPER(IF(ISBLANK(BQ961),"No",BQ961))</f>
        <v>No</v>
      </c>
    </row>
    <row r="962" customFormat="false" ht="15" hidden="false" customHeight="false" outlineLevel="0" collapsed="false">
      <c r="A962" s="0" t="s">
        <v>2206</v>
      </c>
      <c r="B962" s="2" t="n">
        <v>45812</v>
      </c>
      <c r="C962" s="2" t="str">
        <f aca="false">TEXT(B962,"dd/mm/yyyy")</f>
        <v>04/06/2025</v>
      </c>
      <c r="D962" s="0" t="s">
        <v>163</v>
      </c>
      <c r="E962" s="0" t="n">
        <v>8029214803</v>
      </c>
      <c r="F962" s="0" t="s">
        <v>122</v>
      </c>
      <c r="G962" s="0" t="s">
        <v>2316</v>
      </c>
      <c r="H962" s="0" t="s">
        <v>1650</v>
      </c>
      <c r="I962" s="0" t="s">
        <v>45</v>
      </c>
      <c r="J962" s="0" t="s">
        <v>2322</v>
      </c>
      <c r="K962" s="3" t="str">
        <f aca="false" t="array" ref="K962:K962">IFERROR(IF(J962&lt;&gt;"",J962,INDEX(J962:J1961,MATCH(1,(F962:F1961=F962)*(I962:I1961=I962)*(L962:L1961=L962)*(J962:J1961&lt;&gt;""),0))),"Not Found")</f>
        <v>Brake Failure</v>
      </c>
      <c r="L962" s="3" t="s">
        <v>89</v>
      </c>
      <c r="M962" s="0" t="str">
        <f aca="false">PROPER(L962)</f>
        <v>Shock Absorbers</v>
      </c>
      <c r="N962" s="3" t="s">
        <v>109</v>
      </c>
      <c r="O962" s="0" t="str">
        <f aca="false" t="array" ref="O962:O962">IF(N962&lt;&gt;"",N962,_xlfn.xlookup(1,(L962:L1961=L962)*(N962:N1961&lt;&gt;""),N962:N1961,"Not Found"))</f>
        <v>Tijani</v>
      </c>
      <c r="P962" s="4" t="n">
        <v>104747</v>
      </c>
      <c r="Q962" s="0" t="s">
        <v>72</v>
      </c>
      <c r="R962" s="0" t="str">
        <f aca="false">PROPER(Q962)</f>
        <v>Pos</v>
      </c>
      <c r="S962" s="0" t="s">
        <v>50</v>
      </c>
      <c r="T962" s="0" t="n">
        <v>3</v>
      </c>
      <c r="U962" s="5" t="n">
        <f aca="false">IF(ISBLANK(T962),AVERAGE(T962:T1961),T962)</f>
        <v>3</v>
      </c>
      <c r="V962" s="0" t="n">
        <v>2.1</v>
      </c>
      <c r="W962" s="0" t="s">
        <v>92</v>
      </c>
      <c r="X962" s="0" t="str">
        <f aca="false">IF(ISBLANK(W962),"No remarks",W962)</f>
        <v>Urgent service</v>
      </c>
      <c r="Y962" s="0" t="s">
        <v>52</v>
      </c>
      <c r="AA962" s="0" t="str">
        <f aca="false">PROPER(IF(ISBLANK(Z962),"Location Unavailable",Z962))</f>
        <v>Location Unavailable</v>
      </c>
      <c r="AB962" s="0" t="s">
        <v>147</v>
      </c>
      <c r="AC962" s="6" t="str">
        <f aca="false">PROPER(AB962)</f>
        <v>Instagram</v>
      </c>
      <c r="AD962" s="6" t="n">
        <v>15</v>
      </c>
      <c r="AE962" s="5" t="n">
        <f aca="false">IF(ISBLANK(AD962),AVERAGEIF(L962:L1961,L962,AD962:AD1961),AD962)</f>
        <v>15</v>
      </c>
      <c r="AF962" s="0" t="s">
        <v>55</v>
      </c>
      <c r="AG962" s="0" t="str">
        <f aca="false">PROPER(AF962)</f>
        <v>Available</v>
      </c>
      <c r="AH962" s="0" t="s">
        <v>77</v>
      </c>
      <c r="AI962" s="0" t="s">
        <v>78</v>
      </c>
      <c r="AJ962" s="0" t="str">
        <f aca="false">PROPER(AI962)</f>
        <v>Booking</v>
      </c>
      <c r="AK962" s="0" t="s">
        <v>114</v>
      </c>
      <c r="AL962" s="0" t="str">
        <f aca="false">PROPER(AK962)</f>
        <v>Returning</v>
      </c>
      <c r="AM962" s="0" t="s">
        <v>177</v>
      </c>
      <c r="AN962" s="0" t="str">
        <f aca="false">IF(ISBLANK(AM962),"Unknown",AM962)</f>
        <v>Private</v>
      </c>
      <c r="AO962" s="0" t="s">
        <v>79</v>
      </c>
      <c r="AP962" s="0" t="str">
        <f aca="false">IF(ISBLANK(AO962),"Unknown",AO962)</f>
        <v>Specialist</v>
      </c>
      <c r="AQ962" s="0" t="n">
        <v>40000</v>
      </c>
      <c r="AR962" s="5" t="n">
        <f aca="false">IF(ISBLANK(AQ962),AVERAGEIF(M962:M1961,M962,AQ962:AQ1961),AQ962)</f>
        <v>40000</v>
      </c>
      <c r="AS962" s="0" t="n">
        <v>30000</v>
      </c>
      <c r="AT962" s="5" t="n">
        <f aca="false">IF(ISBLANK(AS962),AVERAGE(AS962:AS1961),AS962)</f>
        <v>30000</v>
      </c>
      <c r="AU962" s="0" t="s">
        <v>61</v>
      </c>
      <c r="AV962" s="0" t="str">
        <f aca="false">PROPER(IF(ISBLANK(AU962),"No",AU962))</f>
        <v>No</v>
      </c>
      <c r="AX962" s="5" t="n">
        <f aca="false">IF(ISBLANK(AW962),0,AW962)</f>
        <v>0</v>
      </c>
      <c r="AZ962" s="0" t="str">
        <f aca="false">UPPER(IF(ISBLANK(AY962),"NONE",AY962))</f>
        <v>NONE</v>
      </c>
      <c r="BA962" s="7" t="n">
        <v>45850</v>
      </c>
      <c r="BB962" s="7" t="n">
        <f aca="false">IF(ISBLANK(BA962),"No Follow Up Needed",BA962)</f>
        <v>45850</v>
      </c>
      <c r="BC962" s="0" t="s">
        <v>61</v>
      </c>
      <c r="BD962" s="0" t="str">
        <f aca="false">PROPER(IF(ISBLANK(BC962),"Unknown",BC962))</f>
        <v>No</v>
      </c>
      <c r="BF962" s="0" t="str">
        <f aca="false">IF(ISBLANK(BE962),"No comments",BE962)</f>
        <v>No comments</v>
      </c>
      <c r="BG962" s="0" t="s">
        <v>2320</v>
      </c>
      <c r="BH962" s="0" t="str">
        <f aca="false">IF(ISBLANK(BG962),"No comments",BG962)</f>
        <v>No complaints</v>
      </c>
      <c r="BI962" s="0" t="s">
        <v>50</v>
      </c>
      <c r="BJ962" s="0" t="str">
        <f aca="false">IF(ISBLANK(BI962),"Not Mentioned",BI962)</f>
        <v>No</v>
      </c>
      <c r="BK962" s="0" t="s">
        <v>63</v>
      </c>
      <c r="BL962" s="0" t="str">
        <f aca="false">PROPER(IF(ISBLANK(BK962),"Not Mentioned",BK962))</f>
        <v>Yes</v>
      </c>
      <c r="BN962" s="0" t="str">
        <f aca="false">PROPER(IF(ISBLANK(BM962),"Not Mentioned",BM962))</f>
        <v>Not Mentioned</v>
      </c>
      <c r="BP962" s="0" t="str">
        <f aca="false">IF(ISBLANK(BO962),"One-Time Plan",BO962)</f>
        <v>One-Time Plan</v>
      </c>
      <c r="BQ962" s="0" t="s">
        <v>50</v>
      </c>
      <c r="BR962" s="0" t="str">
        <f aca="false">PROPER(IF(ISBLANK(BQ962),"No",BQ962))</f>
        <v>No</v>
      </c>
    </row>
    <row r="963" customFormat="false" ht="15" hidden="false" customHeight="false" outlineLevel="0" collapsed="false">
      <c r="A963" s="0" t="s">
        <v>2207</v>
      </c>
      <c r="B963" s="2" t="n">
        <v>45774</v>
      </c>
      <c r="C963" s="2" t="str">
        <f aca="false">TEXT(B963,"dd/mm/yyyy")</f>
        <v>27/04/2025</v>
      </c>
      <c r="D963" s="0" t="s">
        <v>121</v>
      </c>
      <c r="E963" s="0" t="n">
        <v>8079800523</v>
      </c>
      <c r="F963" s="0" t="s">
        <v>85</v>
      </c>
      <c r="G963" s="0" t="s">
        <v>2319</v>
      </c>
      <c r="H963" s="0" t="s">
        <v>2208</v>
      </c>
      <c r="I963" s="0" t="s">
        <v>45</v>
      </c>
      <c r="J963" s="0" t="s">
        <v>2322</v>
      </c>
      <c r="K963" s="3" t="str">
        <f aca="false" t="array" ref="K963:K963">IFERROR(IF(J963&lt;&gt;"",J963,INDEX(J963:J1962,MATCH(1,(F963:F1962=F963)*(I963:I1962=I963)*(L963:L1962=L963)*(J963:J1962&lt;&gt;""),0))),"Not Found")</f>
        <v>Brake Failure</v>
      </c>
      <c r="L963" s="3" t="s">
        <v>89</v>
      </c>
      <c r="M963" s="0" t="str">
        <f aca="false">PROPER(L963)</f>
        <v>Shock Absorbers</v>
      </c>
      <c r="N963" s="3" t="s">
        <v>48</v>
      </c>
      <c r="O963" s="0" t="str">
        <f aca="false" t="array" ref="O963:O963">IF(N963&lt;&gt;"",N963,_xlfn.xlookup(1,(L963:L1962=L963)*(N963:N1962&lt;&gt;""),N963:N1962,"Not Found"))</f>
        <v>Uche</v>
      </c>
      <c r="P963" s="4" t="n">
        <v>59464</v>
      </c>
      <c r="Q963" s="0" t="s">
        <v>91</v>
      </c>
      <c r="R963" s="0" t="str">
        <f aca="false">PROPER(Q963)</f>
        <v>Pos</v>
      </c>
      <c r="S963" s="0" t="s">
        <v>50</v>
      </c>
      <c r="T963" s="0" t="n">
        <v>3</v>
      </c>
      <c r="U963" s="5" t="n">
        <f aca="false">IF(ISBLANK(T963),AVERAGE(T963:T1962),T963)</f>
        <v>3</v>
      </c>
      <c r="V963" s="0" t="n">
        <v>5.6</v>
      </c>
      <c r="X963" s="0" t="str">
        <f aca="false">IF(ISBLANK(W963),"No remarks",W963)</f>
        <v>No remarks</v>
      </c>
      <c r="Y963" s="0" t="s">
        <v>52</v>
      </c>
      <c r="AA963" s="0" t="str">
        <f aca="false">PROPER(IF(ISBLANK(Z963),"Location Unavailable",Z963))</f>
        <v>Location Unavailable</v>
      </c>
      <c r="AB963" s="0" t="s">
        <v>126</v>
      </c>
      <c r="AC963" s="6" t="str">
        <f aca="false">PROPER(AB963)</f>
        <v>Whatsapp</v>
      </c>
      <c r="AD963" s="6" t="n">
        <v>30</v>
      </c>
      <c r="AE963" s="5" t="n">
        <f aca="false">IF(ISBLANK(AD963),AVERAGEIF(L963:L1962,L963,AD963:AD1962),AD963)</f>
        <v>30</v>
      </c>
      <c r="AF963" s="0" t="s">
        <v>112</v>
      </c>
      <c r="AG963" s="0" t="str">
        <f aca="false">PROPER(AF963)</f>
        <v>Unavailable</v>
      </c>
      <c r="AH963" s="0" t="s">
        <v>155</v>
      </c>
      <c r="AI963" s="0" t="s">
        <v>113</v>
      </c>
      <c r="AJ963" s="0" t="str">
        <f aca="false">PROPER(AI963)</f>
        <v>Normal</v>
      </c>
      <c r="AK963" s="0" t="s">
        <v>114</v>
      </c>
      <c r="AL963" s="0" t="str">
        <f aca="false">PROPER(AK963)</f>
        <v>Returning</v>
      </c>
      <c r="AN963" s="0" t="str">
        <f aca="false">IF(ISBLANK(AM963),"Unknown",AM963)</f>
        <v>Unknown</v>
      </c>
      <c r="AO963" s="0" t="s">
        <v>79</v>
      </c>
      <c r="AP963" s="0" t="str">
        <f aca="false">IF(ISBLANK(AO963),"Unknown",AO963)</f>
        <v>Specialist</v>
      </c>
      <c r="AR963" s="5" t="n">
        <f aca="false">IF(ISBLANK(AQ963),AVERAGEIF(M963:M1962,M963,AQ963:AQ1962),AQ963)</f>
        <v>20000</v>
      </c>
      <c r="AS963" s="0" t="n">
        <v>40000</v>
      </c>
      <c r="AT963" s="5" t="n">
        <f aca="false">IF(ISBLANK(AS963),AVERAGE(AS963:AS1962),AS963)</f>
        <v>40000</v>
      </c>
      <c r="AV963" s="0" t="str">
        <f aca="false">PROPER(IF(ISBLANK(AU963),"No",AU963))</f>
        <v>No</v>
      </c>
      <c r="AW963" s="0" t="n">
        <v>0</v>
      </c>
      <c r="AX963" s="5" t="n">
        <f aca="false">IF(ISBLANK(AW963),0,AW963)</f>
        <v>0</v>
      </c>
      <c r="AY963" s="0" t="s">
        <v>184</v>
      </c>
      <c r="AZ963" s="0" t="str">
        <f aca="false">UPPER(IF(ISBLANK(AY963),"NONE",AY963))</f>
        <v>N/A</v>
      </c>
      <c r="BA963" s="7" t="s">
        <v>2209</v>
      </c>
      <c r="BB963" s="7" t="str">
        <f aca="false">IF(ISBLANK(BA963),"No Follow Up Needed",BA963)</f>
        <v>30/06/2025</v>
      </c>
      <c r="BC963" s="0" t="s">
        <v>50</v>
      </c>
      <c r="BD963" s="0" t="str">
        <f aca="false">PROPER(IF(ISBLANK(BC963),"Unknown",BC963))</f>
        <v>No</v>
      </c>
      <c r="BF963" s="0" t="str">
        <f aca="false">IF(ISBLANK(BE963),"No comments",BE963)</f>
        <v>No comments</v>
      </c>
      <c r="BG963" s="0" t="s">
        <v>117</v>
      </c>
      <c r="BH963" s="0" t="str">
        <f aca="false">IF(ISBLANK(BG963),"No comments",BG963)</f>
        <v>Prefers morning</v>
      </c>
      <c r="BI963" s="0" t="s">
        <v>63</v>
      </c>
      <c r="BJ963" s="0" t="str">
        <f aca="false">IF(ISBLANK(BI963),"Not Mentioned",BI963)</f>
        <v>Yes</v>
      </c>
      <c r="BK963" s="0" t="s">
        <v>50</v>
      </c>
      <c r="BL963" s="0" t="str">
        <f aca="false">PROPER(IF(ISBLANK(BK963),"Not Mentioned",BK963))</f>
        <v>No</v>
      </c>
      <c r="BN963" s="0" t="str">
        <f aca="false">PROPER(IF(ISBLANK(BM963),"Not Mentioned",BM963))</f>
        <v>Not Mentioned</v>
      </c>
      <c r="BO963" s="0" t="s">
        <v>2321</v>
      </c>
      <c r="BP963" s="0" t="str">
        <f aca="false">IF(ISBLANK(BO963),"One-Time Plan",BO963)</f>
        <v>One-Time Plan</v>
      </c>
      <c r="BQ963" s="0" t="s">
        <v>198</v>
      </c>
      <c r="BR963" s="0" t="str">
        <f aca="false">PROPER(IF(ISBLANK(BQ963),"No",BQ963))</f>
        <v>Followed Up</v>
      </c>
    </row>
    <row r="964" customFormat="false" ht="15" hidden="false" customHeight="false" outlineLevel="0" collapsed="false">
      <c r="A964" s="0" t="s">
        <v>2210</v>
      </c>
      <c r="B964" s="2" t="n">
        <v>45822</v>
      </c>
      <c r="C964" s="2" t="str">
        <f aca="false">TEXT(B964,"dd/mm/yyyy")</f>
        <v>14/06/2025</v>
      </c>
      <c r="D964" s="0" t="s">
        <v>42</v>
      </c>
      <c r="E964" s="0" t="n">
        <v>8086758128</v>
      </c>
      <c r="F964" s="0" t="s">
        <v>122</v>
      </c>
      <c r="G964" s="0" t="s">
        <v>2316</v>
      </c>
      <c r="H964" s="0" t="s">
        <v>2211</v>
      </c>
      <c r="I964" s="0" t="s">
        <v>45</v>
      </c>
      <c r="J964" s="0" t="s">
        <v>2317</v>
      </c>
      <c r="K964" s="3" t="str">
        <f aca="false" t="array" ref="K964:K964">IFERROR(IF(J964&lt;&gt;"",J964,INDEX(J964:J1963,MATCH(1,(F964:F1963=F964)*(I964:I1963=I964)*(L964:L1963=L964)*(J964:J1963&lt;&gt;""),0))),"Not Found")</f>
        <v>Suspension Noise</v>
      </c>
      <c r="L964" s="3" t="s">
        <v>89</v>
      </c>
      <c r="M964" s="0" t="str">
        <f aca="false">PROPER(L964)</f>
        <v>Shock Absorbers</v>
      </c>
      <c r="O964" s="0" t="e">
        <f aca="false" t="array" ref="O964:O964">IF(N964&lt;&gt;"",N964,_xlfn.xlookup(1,(L964:L1963=L964)*(N964:N1963&lt;&gt;""),N964:N1963,"Not Found"))</f>
        <v>#NAME?</v>
      </c>
      <c r="P964" s="4" t="n">
        <v>56405</v>
      </c>
      <c r="Q964" s="0" t="s">
        <v>110</v>
      </c>
      <c r="R964" s="0" t="str">
        <f aca="false">PROPER(Q964)</f>
        <v>Cash</v>
      </c>
      <c r="S964" s="0" t="s">
        <v>50</v>
      </c>
      <c r="T964" s="0" t="n">
        <v>2</v>
      </c>
      <c r="U964" s="5" t="n">
        <f aca="false">IF(ISBLANK(T964),AVERAGE(T964:T1963),T964)</f>
        <v>2</v>
      </c>
      <c r="V964" s="0" t="n">
        <v>4.2</v>
      </c>
      <c r="W964" s="0" t="s">
        <v>92</v>
      </c>
      <c r="X964" s="0" t="str">
        <f aca="false">IF(ISBLANK(W964),"No remarks",W964)</f>
        <v>Urgent service</v>
      </c>
      <c r="Y964" s="0" t="s">
        <v>73</v>
      </c>
      <c r="Z964" s="0" t="s">
        <v>53</v>
      </c>
      <c r="AA964" s="0" t="str">
        <f aca="false">PROPER(IF(ISBLANK(Z964),"Location Unavailable",Z964))</f>
        <v>Main Bay</v>
      </c>
      <c r="AB964" s="0" t="s">
        <v>95</v>
      </c>
      <c r="AC964" s="6" t="str">
        <f aca="false">PROPER(AB964)</f>
        <v>Road Sign</v>
      </c>
      <c r="AD964" s="6" t="n">
        <v>45</v>
      </c>
      <c r="AE964" s="5" t="n">
        <f aca="false">IF(ISBLANK(AD964),AVERAGEIF(L964:L1963,L964,AD964:AD1963),AD964)</f>
        <v>45</v>
      </c>
      <c r="AF964" s="0" t="s">
        <v>160</v>
      </c>
      <c r="AG964" s="0" t="str">
        <f aca="false">PROPER(AF964)</f>
        <v>Availaible</v>
      </c>
      <c r="AH964" s="0" t="s">
        <v>155</v>
      </c>
      <c r="AI964" s="0" t="s">
        <v>98</v>
      </c>
      <c r="AJ964" s="0" t="str">
        <f aca="false">PROPER(AI964)</f>
        <v>Emergency</v>
      </c>
      <c r="AK964" s="0" t="s">
        <v>114</v>
      </c>
      <c r="AL964" s="0" t="str">
        <f aca="false">PROPER(AK964)</f>
        <v>Returning</v>
      </c>
      <c r="AM964" s="0" t="s">
        <v>2326</v>
      </c>
      <c r="AN964" s="0" t="str">
        <f aca="false">IF(ISBLANK(AM964),"Unknown",AM964)</f>
        <v>Government Convoy</v>
      </c>
      <c r="AO964" s="0" t="s">
        <v>79</v>
      </c>
      <c r="AP964" s="0" t="str">
        <f aca="false">IF(ISBLANK(AO964),"Unknown",AO964)</f>
        <v>Specialist</v>
      </c>
      <c r="AQ964" s="0" t="n">
        <v>30000</v>
      </c>
      <c r="AR964" s="5" t="n">
        <f aca="false">IF(ISBLANK(AQ964),AVERAGEIF(M964:M1963,M964,AQ964:AQ1963),AQ964)</f>
        <v>30000</v>
      </c>
      <c r="AS964" s="0" t="n">
        <v>30000</v>
      </c>
      <c r="AT964" s="5" t="n">
        <f aca="false">IF(ISBLANK(AS964),AVERAGE(AS964:AS1963),AS964)</f>
        <v>30000</v>
      </c>
      <c r="AU964" s="0" t="s">
        <v>50</v>
      </c>
      <c r="AV964" s="0" t="str">
        <f aca="false">PROPER(IF(ISBLANK(AU964),"No",AU964))</f>
        <v>No</v>
      </c>
      <c r="AW964" s="0" t="n">
        <v>10000</v>
      </c>
      <c r="AX964" s="5" t="n">
        <f aca="false">IF(ISBLANK(AW964),0,AW964)</f>
        <v>10000</v>
      </c>
      <c r="AY964" s="0" t="s">
        <v>130</v>
      </c>
      <c r="AZ964" s="0" t="str">
        <f aca="false">UPPER(IF(ISBLANK(AY964),"NONE",AY964))</f>
        <v>LOYALTY10</v>
      </c>
      <c r="BA964" s="7" t="s">
        <v>970</v>
      </c>
      <c r="BB964" s="7" t="str">
        <f aca="false">IF(ISBLANK(BA964),"No Follow Up Needed",BA964)</f>
        <v>20/07/2025</v>
      </c>
      <c r="BD964" s="0" t="str">
        <f aca="false">PROPER(IF(ISBLANK(BC964),"Unknown",BC964))</f>
        <v>Unknown</v>
      </c>
      <c r="BF964" s="0" t="str">
        <f aca="false">IF(ISBLANK(BE964),"No comments",BE964)</f>
        <v>No comments</v>
      </c>
      <c r="BH964" s="0" t="str">
        <f aca="false">IF(ISBLANK(BG964),"No comments",BG964)</f>
        <v>No comments</v>
      </c>
      <c r="BI964" s="0" t="s">
        <v>63</v>
      </c>
      <c r="BJ964" s="0" t="str">
        <f aca="false">IF(ISBLANK(BI964),"Not Mentioned",BI964)</f>
        <v>Yes</v>
      </c>
      <c r="BK964" s="0" t="s">
        <v>61</v>
      </c>
      <c r="BL964" s="0" t="str">
        <f aca="false">PROPER(IF(ISBLANK(BK964),"Not Mentioned",BK964))</f>
        <v>No</v>
      </c>
      <c r="BN964" s="0" t="str">
        <f aca="false">PROPER(IF(ISBLANK(BM964),"Not Mentioned",BM964))</f>
        <v>Not Mentioned</v>
      </c>
      <c r="BO964" s="0" t="s">
        <v>2321</v>
      </c>
      <c r="BP964" s="0" t="str">
        <f aca="false">IF(ISBLANK(BO964),"One-Time Plan",BO964)</f>
        <v>One-Time Plan</v>
      </c>
      <c r="BQ964" s="0" t="s">
        <v>50</v>
      </c>
      <c r="BR964" s="0" t="str">
        <f aca="false">PROPER(IF(ISBLANK(BQ964),"No",BQ964))</f>
        <v>No</v>
      </c>
    </row>
    <row r="965" customFormat="false" ht="15" hidden="false" customHeight="false" outlineLevel="0" collapsed="false">
      <c r="A965" s="0" t="s">
        <v>2212</v>
      </c>
      <c r="B965" s="2" t="n">
        <v>45771</v>
      </c>
      <c r="C965" s="2" t="str">
        <f aca="false">TEXT(B965,"dd/mm/yyyy")</f>
        <v>24/04/2025</v>
      </c>
      <c r="D965" s="0" t="s">
        <v>42</v>
      </c>
      <c r="E965" s="0" t="n">
        <v>8077731180</v>
      </c>
      <c r="F965" s="0" t="s">
        <v>139</v>
      </c>
      <c r="G965" s="0" t="s">
        <v>2323</v>
      </c>
      <c r="H965" s="0" t="s">
        <v>547</v>
      </c>
      <c r="I965" s="0" t="s">
        <v>87</v>
      </c>
      <c r="J965" s="0" t="s">
        <v>2322</v>
      </c>
      <c r="K965" s="3" t="str">
        <f aca="false" t="array" ref="K965:K965">IFERROR(IF(J965&lt;&gt;"",J965,INDEX(J965:J1964,MATCH(1,(F965:F1964=F965)*(I965:I1964=I965)*(L965:L1964=L965)*(J965:J1964&lt;&gt;""),0))),"Not Found")</f>
        <v>Brake Failure</v>
      </c>
      <c r="L965" s="3" t="s">
        <v>89</v>
      </c>
      <c r="M965" s="0" t="str">
        <f aca="false">PROPER(L965)</f>
        <v>Shock Absorbers</v>
      </c>
      <c r="N965" s="3" t="s">
        <v>109</v>
      </c>
      <c r="O965" s="0" t="str">
        <f aca="false" t="array" ref="O965:O965">IF(N965&lt;&gt;"",N965,_xlfn.xlookup(1,(L965:L1964=L965)*(N965:N1964&lt;&gt;""),N965:N1964,"Not Found"))</f>
        <v>Tijani</v>
      </c>
      <c r="P965" s="4" t="n">
        <v>24025</v>
      </c>
      <c r="Q965" s="0" t="s">
        <v>72</v>
      </c>
      <c r="R965" s="0" t="str">
        <f aca="false">PROPER(Q965)</f>
        <v>Pos</v>
      </c>
      <c r="S965" s="0" t="s">
        <v>63</v>
      </c>
      <c r="T965" s="0" t="n">
        <v>5</v>
      </c>
      <c r="U965" s="5" t="n">
        <f aca="false">IF(ISBLANK(T965),AVERAGE(T965:T1964),T965)</f>
        <v>5</v>
      </c>
      <c r="V965" s="0" t="n">
        <v>2</v>
      </c>
      <c r="W965" s="0" t="s">
        <v>51</v>
      </c>
      <c r="X965" s="0" t="str">
        <f aca="false">IF(ISBLANK(W965),"No remarks",W965)</f>
        <v>Recommended further checks</v>
      </c>
      <c r="Y965" s="0" t="s">
        <v>93</v>
      </c>
      <c r="Z965" s="0" t="s">
        <v>53</v>
      </c>
      <c r="AA965" s="0" t="str">
        <f aca="false">PROPER(IF(ISBLANK(Z965),"Location Unavailable",Z965))</f>
        <v>Main Bay</v>
      </c>
      <c r="AB965" s="0" t="s">
        <v>167</v>
      </c>
      <c r="AC965" s="6" t="str">
        <f aca="false">PROPER(AB965)</f>
        <v>Word Of Mouth</v>
      </c>
      <c r="AD965" s="6" t="n">
        <v>30</v>
      </c>
      <c r="AE965" s="5" t="n">
        <f aca="false">IF(ISBLANK(AD965),AVERAGEIF(L965:L1964,L965,AD965:AD1964),AD965)</f>
        <v>30</v>
      </c>
      <c r="AF965" s="0" t="s">
        <v>96</v>
      </c>
      <c r="AG965" s="0" t="str">
        <f aca="false">PROPER(AF965)</f>
        <v>Ordered</v>
      </c>
      <c r="AH965" s="0" t="s">
        <v>56</v>
      </c>
      <c r="AI965" s="0" t="s">
        <v>128</v>
      </c>
      <c r="AJ965" s="0" t="str">
        <f aca="false">PROPER(AI965)</f>
        <v>Normal</v>
      </c>
      <c r="AK965" s="0" t="s">
        <v>58</v>
      </c>
      <c r="AL965" s="0" t="str">
        <f aca="false">PROPER(AK965)</f>
        <v>Fleet Owner</v>
      </c>
      <c r="AM965" s="0" t="s">
        <v>59</v>
      </c>
      <c r="AN965" s="0" t="str">
        <f aca="false">IF(ISBLANK(AM965),"Unknown",AM965)</f>
        <v>Bolt Driver</v>
      </c>
      <c r="AO965" s="0" t="s">
        <v>149</v>
      </c>
      <c r="AP965" s="0" t="str">
        <f aca="false">IF(ISBLANK(AO965),"Unknown",AO965)</f>
        <v>Senior </v>
      </c>
      <c r="AQ965" s="0" t="n">
        <v>15000</v>
      </c>
      <c r="AR965" s="5" t="n">
        <f aca="false">IF(ISBLANK(AQ965),AVERAGEIF(M965:M1964,M965,AQ965:AQ1964),AQ965)</f>
        <v>15000</v>
      </c>
      <c r="AS965" s="0" t="n">
        <v>30000</v>
      </c>
      <c r="AT965" s="5" t="n">
        <f aca="false">IF(ISBLANK(AS965),AVERAGE(AS965:AS1964),AS965)</f>
        <v>30000</v>
      </c>
      <c r="AV965" s="0" t="str">
        <f aca="false">PROPER(IF(ISBLANK(AU965),"No",AU965))</f>
        <v>No</v>
      </c>
      <c r="AW965" s="0" t="n">
        <v>10000</v>
      </c>
      <c r="AX965" s="5" t="n">
        <f aca="false">IF(ISBLANK(AW965),0,AW965)</f>
        <v>10000</v>
      </c>
      <c r="AZ965" s="0" t="str">
        <f aca="false">UPPER(IF(ISBLANK(AY965),"NONE",AY965))</f>
        <v>NONE</v>
      </c>
      <c r="BA965" s="7" t="n">
        <v>45929</v>
      </c>
      <c r="BB965" s="7" t="n">
        <f aca="false">IF(ISBLANK(BA965),"No Follow Up Needed",BA965)</f>
        <v>45929</v>
      </c>
      <c r="BD965" s="0" t="str">
        <f aca="false">PROPER(IF(ISBLANK(BC965),"Unknown",BC965))</f>
        <v>Unknown</v>
      </c>
      <c r="BE965" s="0" t="s">
        <v>116</v>
      </c>
      <c r="BF965" s="0" t="str">
        <f aca="false">IF(ISBLANK(BE965),"No comments",BE965)</f>
        <v>Needs tire alignment</v>
      </c>
      <c r="BH965" s="0" t="str">
        <f aca="false">IF(ISBLANK(BG965),"No comments",BG965)</f>
        <v>No comments</v>
      </c>
      <c r="BI965" s="0" t="s">
        <v>50</v>
      </c>
      <c r="BJ965" s="0" t="str">
        <f aca="false">IF(ISBLANK(BI965),"Not Mentioned",BI965)</f>
        <v>No</v>
      </c>
      <c r="BK965" s="0" t="s">
        <v>61</v>
      </c>
      <c r="BL965" s="0" t="str">
        <f aca="false">PROPER(IF(ISBLANK(BK965),"Not Mentioned",BK965))</f>
        <v>No</v>
      </c>
      <c r="BM965" s="0" t="s">
        <v>63</v>
      </c>
      <c r="BN965" s="0" t="str">
        <f aca="false">PROPER(IF(ISBLANK(BM965),"Not Mentioned",BM965))</f>
        <v>Yes</v>
      </c>
      <c r="BO965" s="0" t="s">
        <v>2318</v>
      </c>
      <c r="BP965" s="0" t="str">
        <f aca="false">IF(ISBLANK(BO965),"One-Time Plan",BO965)</f>
        <v>Gold</v>
      </c>
      <c r="BQ965" s="0" t="s">
        <v>50</v>
      </c>
      <c r="BR965" s="0" t="str">
        <f aca="false">PROPER(IF(ISBLANK(BQ965),"No",BQ965))</f>
        <v>No</v>
      </c>
    </row>
    <row r="966" customFormat="false" ht="15" hidden="false" customHeight="false" outlineLevel="0" collapsed="false">
      <c r="A966" s="0" t="s">
        <v>2213</v>
      </c>
      <c r="B966" s="2" t="n">
        <v>45692</v>
      </c>
      <c r="C966" s="2" t="str">
        <f aca="false">TEXT(B966,"dd/mm/yyyy")</f>
        <v>04/02/2025</v>
      </c>
      <c r="D966" s="0" t="s">
        <v>42</v>
      </c>
      <c r="E966" s="0" t="n">
        <v>8014260842</v>
      </c>
      <c r="F966" s="0" t="s">
        <v>85</v>
      </c>
      <c r="G966" s="0" t="s">
        <v>2319</v>
      </c>
      <c r="H966" s="0" t="s">
        <v>2214</v>
      </c>
      <c r="I966" s="0" t="s">
        <v>134</v>
      </c>
      <c r="J966" s="0" t="s">
        <v>2317</v>
      </c>
      <c r="K966" s="3" t="str">
        <f aca="false" t="array" ref="K966:K966">IFERROR(IF(J966&lt;&gt;"",J966,INDEX(J966:J1965,MATCH(1,(F966:F1965=F966)*(I966:I1965=I966)*(L966:L1965=L966)*(J966:J1965&lt;&gt;""),0))),"Not Found")</f>
        <v>Suspension Noise</v>
      </c>
      <c r="L966" s="3" t="s">
        <v>142</v>
      </c>
      <c r="M966" s="0" t="str">
        <f aca="false">PROPER(L966)</f>
        <v>Oil Filter, Brake Pads</v>
      </c>
      <c r="N966" s="3" t="s">
        <v>48</v>
      </c>
      <c r="O966" s="0" t="str">
        <f aca="false" t="array" ref="O966:O966">IF(N966&lt;&gt;"",N966,_xlfn.xlookup(1,(L966:L1965=L966)*(N966:N1965&lt;&gt;""),N966:N1965,"Not Found"))</f>
        <v>Uche</v>
      </c>
      <c r="P966" s="4" t="n">
        <v>112109</v>
      </c>
      <c r="Q966" s="0" t="s">
        <v>49</v>
      </c>
      <c r="R966" s="0" t="str">
        <f aca="false">PROPER(Q966)</f>
        <v>Transfer</v>
      </c>
      <c r="S966" s="0" t="s">
        <v>50</v>
      </c>
      <c r="T966" s="0" t="n">
        <v>3</v>
      </c>
      <c r="U966" s="5" t="n">
        <f aca="false">IF(ISBLANK(T966),AVERAGE(T966:T1965),T966)</f>
        <v>3</v>
      </c>
      <c r="V966" s="0" t="n">
        <v>2.6</v>
      </c>
      <c r="W966" s="0" t="s">
        <v>125</v>
      </c>
      <c r="X966" s="0" t="str">
        <f aca="false">IF(ISBLANK(W966),"No remarks",W966)</f>
        <v>Customer waited</v>
      </c>
      <c r="Y966" s="0" t="s">
        <v>93</v>
      </c>
      <c r="Z966" s="0" t="s">
        <v>53</v>
      </c>
      <c r="AA966" s="0" t="str">
        <f aca="false">PROPER(IF(ISBLANK(Z966),"Location Unavailable",Z966))</f>
        <v>Main Bay</v>
      </c>
      <c r="AB966" s="0" t="s">
        <v>95</v>
      </c>
      <c r="AC966" s="6" t="str">
        <f aca="false">PROPER(AB966)</f>
        <v>Road Sign</v>
      </c>
      <c r="AD966" s="6" t="n">
        <v>45</v>
      </c>
      <c r="AE966" s="5" t="n">
        <f aca="false">IF(ISBLANK(AD966),AVERAGEIF(L966:L1965,L966,AD966:AD1965),AD966)</f>
        <v>45</v>
      </c>
      <c r="AF966" s="0" t="s">
        <v>96</v>
      </c>
      <c r="AG966" s="0" t="str">
        <f aca="false">PROPER(AF966)</f>
        <v>Ordered</v>
      </c>
      <c r="AH966" s="0" t="s">
        <v>56</v>
      </c>
      <c r="AI966" s="0" t="s">
        <v>113</v>
      </c>
      <c r="AJ966" s="0" t="str">
        <f aca="false">PROPER(AI966)</f>
        <v>Normal</v>
      </c>
      <c r="AK966" s="0" t="s">
        <v>196</v>
      </c>
      <c r="AL966" s="0" t="str">
        <f aca="false">PROPER(AK966)</f>
        <v>First Time</v>
      </c>
      <c r="AM966" s="0" t="s">
        <v>177</v>
      </c>
      <c r="AN966" s="0" t="str">
        <f aca="false">IF(ISBLANK(AM966),"Unknown",AM966)</f>
        <v>Private</v>
      </c>
      <c r="AO966" s="0" t="s">
        <v>149</v>
      </c>
      <c r="AP966" s="0" t="str">
        <f aca="false">IF(ISBLANK(AO966),"Unknown",AO966)</f>
        <v>Senior </v>
      </c>
      <c r="AR966" s="5" t="n">
        <f aca="false">IF(ISBLANK(AQ966),AVERAGEIF(M966:M1965,M966,AQ966:AQ1965),AQ966)</f>
        <v>28333.3333333333</v>
      </c>
      <c r="AS966" s="0" t="n">
        <v>35000</v>
      </c>
      <c r="AT966" s="5" t="n">
        <f aca="false">IF(ISBLANK(AS966),AVERAGE(AS966:AS1965),AS966)</f>
        <v>35000</v>
      </c>
      <c r="AU966" s="0" t="s">
        <v>63</v>
      </c>
      <c r="AV966" s="0" t="str">
        <f aca="false">PROPER(IF(ISBLANK(AU966),"No",AU966))</f>
        <v>Yes</v>
      </c>
      <c r="AW966" s="0" t="n">
        <v>5000</v>
      </c>
      <c r="AX966" s="5" t="n">
        <f aca="false">IF(ISBLANK(AW966),0,AW966)</f>
        <v>5000</v>
      </c>
      <c r="AY966" s="0" t="s">
        <v>130</v>
      </c>
      <c r="AZ966" s="0" t="str">
        <f aca="false">UPPER(IF(ISBLANK(AY966),"NONE",AY966))</f>
        <v>LOYALTY10</v>
      </c>
      <c r="BA966" s="7" t="n">
        <v>45972</v>
      </c>
      <c r="BB966" s="7" t="n">
        <f aca="false">IF(ISBLANK(BA966),"No Follow Up Needed",BA966)</f>
        <v>45972</v>
      </c>
      <c r="BC966" s="0" t="s">
        <v>50</v>
      </c>
      <c r="BD966" s="0" t="str">
        <f aca="false">PROPER(IF(ISBLANK(BC966),"Unknown",BC966))</f>
        <v>No</v>
      </c>
      <c r="BE966" s="0" t="s">
        <v>116</v>
      </c>
      <c r="BF966" s="0" t="str">
        <f aca="false">IF(ISBLANK(BE966),"No comments",BE966)</f>
        <v>Needs tire alignment</v>
      </c>
      <c r="BG966" s="0" t="s">
        <v>117</v>
      </c>
      <c r="BH966" s="0" t="str">
        <f aca="false">IF(ISBLANK(BG966),"No comments",BG966)</f>
        <v>Prefers morning</v>
      </c>
      <c r="BI966" s="0" t="s">
        <v>50</v>
      </c>
      <c r="BJ966" s="0" t="str">
        <f aca="false">IF(ISBLANK(BI966),"Not Mentioned",BI966)</f>
        <v>No</v>
      </c>
      <c r="BK966" s="0" t="s">
        <v>82</v>
      </c>
      <c r="BL966" s="0" t="str">
        <f aca="false">PROPER(IF(ISBLANK(BK966),"Not Mentioned",BK966))</f>
        <v>Yes</v>
      </c>
      <c r="BN966" s="0" t="str">
        <f aca="false">PROPER(IF(ISBLANK(BM966),"Not Mentioned",BM966))</f>
        <v>Not Mentioned</v>
      </c>
      <c r="BO966" s="0" t="s">
        <v>2318</v>
      </c>
      <c r="BP966" s="0" t="str">
        <f aca="false">IF(ISBLANK(BO966),"One-Time Plan",BO966)</f>
        <v>Gold</v>
      </c>
      <c r="BR966" s="0" t="str">
        <f aca="false">PROPER(IF(ISBLANK(BQ966),"No",BQ966))</f>
        <v>No</v>
      </c>
    </row>
    <row r="967" customFormat="false" ht="15" hidden="false" customHeight="false" outlineLevel="0" collapsed="false">
      <c r="A967" s="0" t="s">
        <v>2215</v>
      </c>
      <c r="B967" s="2" t="n">
        <v>45738</v>
      </c>
      <c r="C967" s="2" t="str">
        <f aca="false">TEXT(B967,"dd/mm/yyyy")</f>
        <v>22/03/2025</v>
      </c>
      <c r="D967" s="0" t="s">
        <v>163</v>
      </c>
      <c r="E967" s="0" t="n">
        <v>8027161260</v>
      </c>
      <c r="F967" s="0" t="s">
        <v>67</v>
      </c>
      <c r="G967" s="0" t="s">
        <v>2316</v>
      </c>
      <c r="H967" s="0" t="s">
        <v>2216</v>
      </c>
      <c r="I967" s="0" t="s">
        <v>87</v>
      </c>
      <c r="J967" s="0" t="s">
        <v>2322</v>
      </c>
      <c r="K967" s="3" t="str">
        <f aca="false" t="array" ref="K967:K967">IFERROR(IF(J967&lt;&gt;"",J967,INDEX(J967:J1966,MATCH(1,(F967:F1966=F967)*(I967:I1966=I967)*(L967:L1966=L967)*(J967:J1966&lt;&gt;""),0))),"Not Found")</f>
        <v>Brake Failure</v>
      </c>
      <c r="L967" s="3" t="s">
        <v>154</v>
      </c>
      <c r="M967" s="0" t="str">
        <f aca="false">PROPER(L967)</f>
        <v>Air Filter</v>
      </c>
      <c r="N967" s="3" t="s">
        <v>48</v>
      </c>
      <c r="O967" s="0" t="str">
        <f aca="false" t="array" ref="O967:O967">IF(N967&lt;&gt;"",N967,_xlfn.xlookup(1,(L967:L1966=L967)*(N967:N1966&lt;&gt;""),N967:N1966,"Not Found"))</f>
        <v>Uche</v>
      </c>
      <c r="P967" s="4" t="n">
        <v>70324</v>
      </c>
      <c r="Q967" s="0" t="s">
        <v>124</v>
      </c>
      <c r="R967" s="0" t="str">
        <f aca="false">PROPER(Q967)</f>
        <v>Cash</v>
      </c>
      <c r="S967" s="0" t="s">
        <v>50</v>
      </c>
      <c r="U967" s="5" t="n">
        <f aca="false">IF(ISBLANK(T967),AVERAGE(T967:T1966),T967)</f>
        <v>3.53333333333333</v>
      </c>
      <c r="V967" s="0" t="n">
        <v>5.8</v>
      </c>
      <c r="W967" s="0" t="s">
        <v>92</v>
      </c>
      <c r="X967" s="0" t="str">
        <f aca="false">IF(ISBLANK(W967),"No remarks",W967)</f>
        <v>Urgent service</v>
      </c>
      <c r="Y967" s="0" t="s">
        <v>52</v>
      </c>
      <c r="Z967" s="0" t="s">
        <v>94</v>
      </c>
      <c r="AA967" s="0" t="str">
        <f aca="false">PROPER(IF(ISBLANK(Z967),"Location Unavailable",Z967))</f>
        <v>Vip Section</v>
      </c>
      <c r="AB967" s="0" t="s">
        <v>75</v>
      </c>
      <c r="AC967" s="6" t="str">
        <f aca="false">PROPER(AB967)</f>
        <v>Mechanik Referal</v>
      </c>
      <c r="AD967" s="6" t="n">
        <v>15</v>
      </c>
      <c r="AE967" s="5" t="n">
        <f aca="false">IF(ISBLANK(AD967),AVERAGEIF(L967:L1966,L967,AD967:AD1966),AD967)</f>
        <v>15</v>
      </c>
      <c r="AF967" s="0" t="s">
        <v>55</v>
      </c>
      <c r="AG967" s="0" t="str">
        <f aca="false">PROPER(AF967)</f>
        <v>Available</v>
      </c>
      <c r="AH967" s="0" t="s">
        <v>148</v>
      </c>
      <c r="AI967" s="0" t="s">
        <v>98</v>
      </c>
      <c r="AJ967" s="0" t="str">
        <f aca="false">PROPER(AI967)</f>
        <v>Emergency</v>
      </c>
      <c r="AK967" s="0" t="s">
        <v>99</v>
      </c>
      <c r="AL967" s="0" t="str">
        <f aca="false">PROPER(AK967)</f>
        <v>Uber Driver</v>
      </c>
      <c r="AM967" s="0" t="s">
        <v>177</v>
      </c>
      <c r="AN967" s="0" t="str">
        <f aca="false">IF(ISBLANK(AM967),"Unknown",AM967)</f>
        <v>Private</v>
      </c>
      <c r="AO967" s="0" t="s">
        <v>143</v>
      </c>
      <c r="AP967" s="0" t="str">
        <f aca="false">IF(ISBLANK(AO967),"Unknown",AO967)</f>
        <v>Senior</v>
      </c>
      <c r="AQ967" s="0" t="n">
        <v>15000</v>
      </c>
      <c r="AR967" s="5" t="n">
        <f aca="false">IF(ISBLANK(AQ967),AVERAGEIF(M967:M1966,M967,AQ967:AQ1966),AQ967)</f>
        <v>15000</v>
      </c>
      <c r="AS967" s="0" t="n">
        <v>35000</v>
      </c>
      <c r="AT967" s="5" t="n">
        <f aca="false">IF(ISBLANK(AS967),AVERAGE(AS967:AS1966),AS967)</f>
        <v>35000</v>
      </c>
      <c r="AU967" s="0" t="s">
        <v>82</v>
      </c>
      <c r="AV967" s="0" t="str">
        <f aca="false">PROPER(IF(ISBLANK(AU967),"No",AU967))</f>
        <v>Yes</v>
      </c>
      <c r="AW967" s="0" t="n">
        <v>5000</v>
      </c>
      <c r="AX967" s="5" t="n">
        <f aca="false">IF(ISBLANK(AW967),0,AW967)</f>
        <v>5000</v>
      </c>
      <c r="AY967" s="0" t="s">
        <v>184</v>
      </c>
      <c r="AZ967" s="0" t="str">
        <f aca="false">UPPER(IF(ISBLANK(AY967),"NONE",AY967))</f>
        <v>N/A</v>
      </c>
      <c r="BA967" s="7" t="n">
        <v>45845</v>
      </c>
      <c r="BB967" s="7" t="n">
        <f aca="false">IF(ISBLANK(BA967),"No Follow Up Needed",BA967)</f>
        <v>45845</v>
      </c>
      <c r="BC967" s="0" t="s">
        <v>50</v>
      </c>
      <c r="BD967" s="0" t="str">
        <f aca="false">PROPER(IF(ISBLANK(BC967),"Unknown",BC967))</f>
        <v>No</v>
      </c>
      <c r="BE967" s="0" t="s">
        <v>171</v>
      </c>
      <c r="BF967" s="0" t="str">
        <f aca="false">IF(ISBLANK(BE967),"No comments",BE967)</f>
        <v>Shock absorber weakening</v>
      </c>
      <c r="BH967" s="0" t="str">
        <f aca="false">IF(ISBLANK(BG967),"No comments",BG967)</f>
        <v>No comments</v>
      </c>
      <c r="BI967" s="0" t="s">
        <v>50</v>
      </c>
      <c r="BJ967" s="0" t="str">
        <f aca="false">IF(ISBLANK(BI967),"Not Mentioned",BI967)</f>
        <v>No</v>
      </c>
      <c r="BK967" s="0" t="s">
        <v>61</v>
      </c>
      <c r="BL967" s="0" t="str">
        <f aca="false">PROPER(IF(ISBLANK(BK967),"Not Mentioned",BK967))</f>
        <v>No</v>
      </c>
      <c r="BM967" s="0" t="s">
        <v>63</v>
      </c>
      <c r="BN967" s="0" t="str">
        <f aca="false">PROPER(IF(ISBLANK(BM967),"Not Mentioned",BM967))</f>
        <v>Yes</v>
      </c>
      <c r="BO967" s="0" t="s">
        <v>2321</v>
      </c>
      <c r="BP967" s="0" t="str">
        <f aca="false">IF(ISBLANK(BO967),"One-Time Plan",BO967)</f>
        <v>One-Time Plan</v>
      </c>
      <c r="BR967" s="0" t="str">
        <f aca="false">PROPER(IF(ISBLANK(BQ967),"No",BQ967))</f>
        <v>No</v>
      </c>
    </row>
    <row r="968" customFormat="false" ht="15" hidden="false" customHeight="false" outlineLevel="0" collapsed="false">
      <c r="A968" s="0" t="s">
        <v>2217</v>
      </c>
      <c r="B968" s="2" t="n">
        <v>45679</v>
      </c>
      <c r="C968" s="2" t="str">
        <f aca="false">TEXT(B968,"dd/mm/yyyy")</f>
        <v>22/01/2025</v>
      </c>
      <c r="D968" s="0" t="s">
        <v>42</v>
      </c>
      <c r="E968" s="0" t="n">
        <v>8076830369</v>
      </c>
      <c r="F968" s="0" t="s">
        <v>122</v>
      </c>
      <c r="G968" s="0" t="s">
        <v>2316</v>
      </c>
      <c r="H968" s="0" t="s">
        <v>2218</v>
      </c>
      <c r="I968" s="0" t="s">
        <v>134</v>
      </c>
      <c r="K968" s="3" t="str">
        <f aca="false" t="array" ref="K968:K968">IFERROR(IF(J968&lt;&gt;"",J968,INDEX(J968:J1967,MATCH(1,(F968:F1967=F968)*(I968:I1967=I968)*(L968:L1967=L968)*(J968:J1967&lt;&gt;""),0))),"Not Found")</f>
        <v>Not Found</v>
      </c>
      <c r="L968" s="3" t="s">
        <v>108</v>
      </c>
      <c r="M968" s="0" t="str">
        <f aca="false">PROPER(L968)</f>
        <v>Timing Belt</v>
      </c>
      <c r="N968" s="3" t="s">
        <v>109</v>
      </c>
      <c r="O968" s="0" t="str">
        <f aca="false" t="array" ref="O968:O968">IF(N968&lt;&gt;"",N968,_xlfn.xlookup(1,(L968:L1967=L968)*(N968:N1967&lt;&gt;""),N968:N1967,"Not Found"))</f>
        <v>Tijani</v>
      </c>
      <c r="P968" s="4" t="n">
        <v>86157</v>
      </c>
      <c r="Q968" s="0" t="s">
        <v>110</v>
      </c>
      <c r="R968" s="0" t="str">
        <f aca="false">PROPER(Q968)</f>
        <v>Cash</v>
      </c>
      <c r="S968" s="0" t="s">
        <v>63</v>
      </c>
      <c r="T968" s="0" t="n">
        <v>4</v>
      </c>
      <c r="U968" s="5" t="n">
        <f aca="false">IF(ISBLANK(T968),AVERAGE(T968:T1967),T968)</f>
        <v>4</v>
      </c>
      <c r="V968" s="0" t="n">
        <v>2.1</v>
      </c>
      <c r="X968" s="0" t="str">
        <f aca="false">IF(ISBLANK(W968),"No remarks",W968)</f>
        <v>No remarks</v>
      </c>
      <c r="Y968" s="0" t="s">
        <v>52</v>
      </c>
      <c r="Z968" s="0" t="s">
        <v>94</v>
      </c>
      <c r="AA968" s="0" t="str">
        <f aca="false">PROPER(IF(ISBLANK(Z968),"Location Unavailable",Z968))</f>
        <v>Vip Section</v>
      </c>
      <c r="AB968" s="0" t="s">
        <v>167</v>
      </c>
      <c r="AC968" s="6" t="str">
        <f aca="false">PROPER(AB968)</f>
        <v>Word Of Mouth</v>
      </c>
      <c r="AD968" s="6" t="n">
        <v>60</v>
      </c>
      <c r="AE968" s="5" t="n">
        <f aca="false">IF(ISBLANK(AD968),AVERAGEIF(L968:L1967,L968,AD968:AD1967),AD968)</f>
        <v>60</v>
      </c>
      <c r="AF968" s="0" t="s">
        <v>160</v>
      </c>
      <c r="AG968" s="0" t="str">
        <f aca="false">PROPER(AF968)</f>
        <v>Availaible</v>
      </c>
      <c r="AH968" s="0" t="s">
        <v>148</v>
      </c>
      <c r="AI968" s="0" t="s">
        <v>98</v>
      </c>
      <c r="AJ968" s="0" t="str">
        <f aca="false">PROPER(AI968)</f>
        <v>Emergency</v>
      </c>
      <c r="AK968" s="0" t="s">
        <v>99</v>
      </c>
      <c r="AL968" s="0" t="str">
        <f aca="false">PROPER(AK968)</f>
        <v>Uber Driver</v>
      </c>
      <c r="AN968" s="0" t="str">
        <f aca="false">IF(ISBLANK(AM968),"Unknown",AM968)</f>
        <v>Unknown</v>
      </c>
      <c r="AP968" s="0" t="str">
        <f aca="false">IF(ISBLANK(AO968),"Unknown",AO968)</f>
        <v>Unknown</v>
      </c>
      <c r="AQ968" s="0" t="n">
        <v>15000</v>
      </c>
      <c r="AR968" s="5" t="n">
        <f aca="false">IF(ISBLANK(AQ968),AVERAGEIF(M968:M1967,M968,AQ968:AQ1967),AQ968)</f>
        <v>15000</v>
      </c>
      <c r="AS968" s="0" t="n">
        <v>30000</v>
      </c>
      <c r="AT968" s="5" t="n">
        <f aca="false">IF(ISBLANK(AS968),AVERAGE(AS968:AS1967),AS968)</f>
        <v>30000</v>
      </c>
      <c r="AU968" s="0" t="s">
        <v>82</v>
      </c>
      <c r="AV968" s="0" t="str">
        <f aca="false">PROPER(IF(ISBLANK(AU968),"No",AU968))</f>
        <v>Yes</v>
      </c>
      <c r="AW968" s="0" t="n">
        <v>5000</v>
      </c>
      <c r="AX968" s="5" t="n">
        <f aca="false">IF(ISBLANK(AW968),0,AW968)</f>
        <v>5000</v>
      </c>
      <c r="AY968" s="0" t="s">
        <v>60</v>
      </c>
      <c r="AZ968" s="0" t="str">
        <f aca="false">UPPER(IF(ISBLANK(AY968),"NONE",AY968))</f>
        <v>NONE</v>
      </c>
      <c r="BA968" s="7" t="n">
        <v>45886</v>
      </c>
      <c r="BB968" s="7" t="n">
        <f aca="false">IF(ISBLANK(BA968),"No Follow Up Needed",BA968)</f>
        <v>45886</v>
      </c>
      <c r="BC968" s="0" t="s">
        <v>82</v>
      </c>
      <c r="BD968" s="0" t="str">
        <f aca="false">PROPER(IF(ISBLANK(BC968),"Unknown",BC968))</f>
        <v>Yes</v>
      </c>
      <c r="BF968" s="0" t="str">
        <f aca="false">IF(ISBLANK(BE968),"No comments",BE968)</f>
        <v>No comments</v>
      </c>
      <c r="BH968" s="0" t="str">
        <f aca="false">IF(ISBLANK(BG968),"No comments",BG968)</f>
        <v>No comments</v>
      </c>
      <c r="BI968" s="0" t="s">
        <v>50</v>
      </c>
      <c r="BJ968" s="0" t="str">
        <f aca="false">IF(ISBLANK(BI968),"Not Mentioned",BI968)</f>
        <v>No</v>
      </c>
      <c r="BK968" s="0" t="s">
        <v>50</v>
      </c>
      <c r="BL968" s="0" t="str">
        <f aca="false">PROPER(IF(ISBLANK(BK968),"Not Mentioned",BK968))</f>
        <v>No</v>
      </c>
      <c r="BM968" s="0" t="s">
        <v>50</v>
      </c>
      <c r="BN968" s="0" t="str">
        <f aca="false">PROPER(IF(ISBLANK(BM968),"Not Mentioned",BM968))</f>
        <v>No</v>
      </c>
      <c r="BO968" s="0" t="s">
        <v>64</v>
      </c>
      <c r="BP968" s="0" t="str">
        <f aca="false">IF(ISBLANK(BO968),"One-Time Plan",BO968)</f>
        <v>Gold Maintenance Plan</v>
      </c>
      <c r="BR968" s="0" t="str">
        <f aca="false">PROPER(IF(ISBLANK(BQ968),"No",BQ968))</f>
        <v>No</v>
      </c>
    </row>
    <row r="969" customFormat="false" ht="15" hidden="false" customHeight="false" outlineLevel="0" collapsed="false">
      <c r="A969" s="0" t="s">
        <v>2219</v>
      </c>
      <c r="B969" s="2" t="n">
        <v>45810</v>
      </c>
      <c r="C969" s="2" t="str">
        <f aca="false">TEXT(B969,"dd/mm/yyyy")</f>
        <v>02/06/2025</v>
      </c>
      <c r="D969" s="0" t="s">
        <v>66</v>
      </c>
      <c r="E969" s="0" t="n">
        <v>8021689007</v>
      </c>
      <c r="F969" s="0" t="s">
        <v>67</v>
      </c>
      <c r="G969" s="0" t="s">
        <v>2316</v>
      </c>
      <c r="H969" s="0" t="s">
        <v>2220</v>
      </c>
      <c r="I969" s="0" t="s">
        <v>107</v>
      </c>
      <c r="K969" s="3" t="str">
        <f aca="false" t="array" ref="K969:K969">IFERROR(IF(J969&lt;&gt;"",J969,INDEX(J969:J1968,MATCH(1,(F969:F1968=F969)*(I969:I1968=I969)*(L969:L1968=L969)*(J969:J1968&lt;&gt;""),0))),"Not Found")</f>
        <v>Not Found</v>
      </c>
      <c r="L969" s="3" t="s">
        <v>142</v>
      </c>
      <c r="M969" s="0" t="str">
        <f aca="false">PROPER(L969)</f>
        <v>Oil Filter, Brake Pads</v>
      </c>
      <c r="N969" s="3" t="s">
        <v>71</v>
      </c>
      <c r="O969" s="0" t="str">
        <f aca="false" t="array" ref="O969:O969">IF(N969&lt;&gt;"",N969,_xlfn.xlookup(1,(L969:L1968=L969)*(N969:N1968&lt;&gt;""),N969:N1968,"Not Found"))</f>
        <v>Isaac Bobo</v>
      </c>
      <c r="P969" s="4" t="n">
        <v>114577</v>
      </c>
      <c r="Q969" s="0" t="s">
        <v>166</v>
      </c>
      <c r="R969" s="0" t="str">
        <f aca="false">PROPER(Q969)</f>
        <v>Transfer</v>
      </c>
      <c r="S969" s="0" t="s">
        <v>63</v>
      </c>
      <c r="U969" s="5" t="n">
        <f aca="false">IF(ISBLANK(T969),AVERAGE(T969:T1968),T969)</f>
        <v>3.51724137931034</v>
      </c>
      <c r="V969" s="0" t="n">
        <v>6</v>
      </c>
      <c r="W969" s="0" t="s">
        <v>51</v>
      </c>
      <c r="X969" s="0" t="str">
        <f aca="false">IF(ISBLANK(W969),"No remarks",W969)</f>
        <v>Recommended further checks</v>
      </c>
      <c r="Y969" s="0" t="s">
        <v>73</v>
      </c>
      <c r="AA969" s="0" t="str">
        <f aca="false">PROPER(IF(ISBLANK(Z969),"Location Unavailable",Z969))</f>
        <v>Location Unavailable</v>
      </c>
      <c r="AB969" s="0" t="s">
        <v>167</v>
      </c>
      <c r="AC969" s="6" t="str">
        <f aca="false">PROPER(AB969)</f>
        <v>Word Of Mouth</v>
      </c>
      <c r="AD969" s="6" t="n">
        <v>45</v>
      </c>
      <c r="AE969" s="5" t="n">
        <f aca="false">IF(ISBLANK(AD969),AVERAGEIF(L969:L1968,L969,AD969:AD1968),AD969)</f>
        <v>45</v>
      </c>
      <c r="AF969" s="0" t="s">
        <v>76</v>
      </c>
      <c r="AG969" s="0" t="str">
        <f aca="false">PROPER(AF969)</f>
        <v>Orderd</v>
      </c>
      <c r="AH969" s="0" t="s">
        <v>56</v>
      </c>
      <c r="AI969" s="0" t="s">
        <v>98</v>
      </c>
      <c r="AJ969" s="0" t="str">
        <f aca="false">PROPER(AI969)</f>
        <v>Emergency</v>
      </c>
      <c r="AK969" s="0" t="s">
        <v>58</v>
      </c>
      <c r="AL969" s="0" t="str">
        <f aca="false">PROPER(AK969)</f>
        <v>Fleet Owner</v>
      </c>
      <c r="AM969" s="0" t="s">
        <v>59</v>
      </c>
      <c r="AN969" s="0" t="str">
        <f aca="false">IF(ISBLANK(AM969),"Unknown",AM969)</f>
        <v>Bolt Driver</v>
      </c>
      <c r="AO969" s="0" t="s">
        <v>149</v>
      </c>
      <c r="AP969" s="0" t="str">
        <f aca="false">IF(ISBLANK(AO969),"Unknown",AO969)</f>
        <v>Senior </v>
      </c>
      <c r="AQ969" s="0" t="n">
        <v>30000</v>
      </c>
      <c r="AR969" s="5" t="n">
        <f aca="false">IF(ISBLANK(AQ969),AVERAGEIF(M969:M1968,M969,AQ969:AQ1968),AQ969)</f>
        <v>30000</v>
      </c>
      <c r="AS969" s="0" t="n">
        <v>20000</v>
      </c>
      <c r="AT969" s="5" t="n">
        <f aca="false">IF(ISBLANK(AS969),AVERAGE(AS969:AS1968),AS969)</f>
        <v>20000</v>
      </c>
      <c r="AU969" s="0" t="s">
        <v>63</v>
      </c>
      <c r="AV969" s="0" t="str">
        <f aca="false">PROPER(IF(ISBLANK(AU969),"No",AU969))</f>
        <v>Yes</v>
      </c>
      <c r="AW969" s="0" t="n">
        <v>10000</v>
      </c>
      <c r="AX969" s="5" t="n">
        <f aca="false">IF(ISBLANK(AW969),0,AW969)</f>
        <v>10000</v>
      </c>
      <c r="AY969" s="0" t="s">
        <v>60</v>
      </c>
      <c r="AZ969" s="0" t="str">
        <f aca="false">UPPER(IF(ISBLANK(AY969),"NONE",AY969))</f>
        <v>NONE</v>
      </c>
      <c r="BB969" s="7" t="str">
        <f aca="false">IF(ISBLANK(BA969),"No Follow Up Needed",BA969)</f>
        <v>No Follow Up Needed</v>
      </c>
      <c r="BC969" s="0" t="s">
        <v>61</v>
      </c>
      <c r="BD969" s="0" t="str">
        <f aca="false">PROPER(IF(ISBLANK(BC969),"Unknown",BC969))</f>
        <v>No</v>
      </c>
      <c r="BF969" s="0" t="str">
        <f aca="false">IF(ISBLANK(BE969),"No comments",BE969)</f>
        <v>No comments</v>
      </c>
      <c r="BH969" s="0" t="str">
        <f aca="false">IF(ISBLANK(BG969),"No comments",BG969)</f>
        <v>No comments</v>
      </c>
      <c r="BI969" s="0" t="s">
        <v>63</v>
      </c>
      <c r="BJ969" s="0" t="str">
        <f aca="false">IF(ISBLANK(BI969),"Not Mentioned",BI969)</f>
        <v>Yes</v>
      </c>
      <c r="BK969" s="0" t="s">
        <v>61</v>
      </c>
      <c r="BL969" s="0" t="str">
        <f aca="false">PROPER(IF(ISBLANK(BK969),"Not Mentioned",BK969))</f>
        <v>No</v>
      </c>
      <c r="BN969" s="0" t="str">
        <f aca="false">PROPER(IF(ISBLANK(BM969),"Not Mentioned",BM969))</f>
        <v>Not Mentioned</v>
      </c>
      <c r="BP969" s="0" t="str">
        <f aca="false">IF(ISBLANK(BO969),"One-Time Plan",BO969)</f>
        <v>One-Time Plan</v>
      </c>
      <c r="BQ969" s="0" t="s">
        <v>190</v>
      </c>
      <c r="BR969" s="0" t="str">
        <f aca="false">PROPER(IF(ISBLANK(BQ969),"No",BQ969))</f>
        <v>Yes</v>
      </c>
    </row>
    <row r="970" customFormat="false" ht="15" hidden="false" customHeight="false" outlineLevel="0" collapsed="false">
      <c r="A970" s="0" t="s">
        <v>2222</v>
      </c>
      <c r="B970" s="2" t="s">
        <v>2221</v>
      </c>
      <c r="C970" s="2" t="str">
        <f aca="false">TEXT(B970,"dd/mm/yyyy")</f>
        <v>23/03/2025</v>
      </c>
      <c r="D970" s="0" t="s">
        <v>121</v>
      </c>
      <c r="E970" s="0" t="n">
        <v>8050446284</v>
      </c>
      <c r="F970" s="0" t="s">
        <v>43</v>
      </c>
      <c r="G970" s="0" t="s">
        <v>2315</v>
      </c>
      <c r="H970" s="0" t="s">
        <v>2223</v>
      </c>
      <c r="I970" s="0" t="s">
        <v>87</v>
      </c>
      <c r="J970" s="0" t="s">
        <v>87</v>
      </c>
      <c r="K970" s="3" t="str">
        <f aca="false" t="array" ref="K970:K970">IFERROR(IF(J970&lt;&gt;"",J970,INDEX(J970:J1969,MATCH(1,(F970:F1969=F970)*(I970:I1969=I970)*(L970:L1969=L970)*(J970:J1969&lt;&gt;""),0))),"Not Found")</f>
        <v>Oil Change</v>
      </c>
      <c r="L970" s="3" t="s">
        <v>47</v>
      </c>
      <c r="M970" s="0" t="str">
        <f aca="false">PROPER(L970)</f>
        <v>None</v>
      </c>
      <c r="O970" s="0" t="e">
        <f aca="false" t="array" ref="O970:O970">IF(N970&lt;&gt;"",N970,_xlfn.xlookup(1,(L970:L1969=L970)*(N970:N1969&lt;&gt;""),N970:N1969,"Not Found"))</f>
        <v>#NAME?</v>
      </c>
      <c r="P970" s="4" t="n">
        <v>115488</v>
      </c>
      <c r="Q970" s="0" t="s">
        <v>110</v>
      </c>
      <c r="R970" s="0" t="str">
        <f aca="false">PROPER(Q970)</f>
        <v>Cash</v>
      </c>
      <c r="S970" s="0" t="s">
        <v>50</v>
      </c>
      <c r="U970" s="5" t="n">
        <f aca="false">IF(ISBLANK(T970),AVERAGE(T970:T1969),T970)</f>
        <v>3.51724137931034</v>
      </c>
      <c r="V970" s="0" t="n">
        <v>1.1</v>
      </c>
      <c r="W970" s="0" t="s">
        <v>125</v>
      </c>
      <c r="X970" s="0" t="str">
        <f aca="false">IF(ISBLANK(W970),"No remarks",W970)</f>
        <v>Customer waited</v>
      </c>
      <c r="Y970" s="0" t="s">
        <v>52</v>
      </c>
      <c r="Z970" s="0" t="s">
        <v>136</v>
      </c>
      <c r="AA970" s="0" t="str">
        <f aca="false">PROPER(IF(ISBLANK(Z970),"Location Unavailable",Z970))</f>
        <v>Vip Section</v>
      </c>
      <c r="AB970" s="0" t="s">
        <v>147</v>
      </c>
      <c r="AC970" s="6" t="str">
        <f aca="false">PROPER(AB970)</f>
        <v>Instagram</v>
      </c>
      <c r="AD970" s="6" t="n">
        <v>30</v>
      </c>
      <c r="AE970" s="5" t="n">
        <f aca="false">IF(ISBLANK(AD970),AVERAGEIF(L970:L1969,L970,AD970:AD1969),AD970)</f>
        <v>30</v>
      </c>
      <c r="AF970" s="0" t="s">
        <v>76</v>
      </c>
      <c r="AG970" s="0" t="str">
        <f aca="false">PROPER(AF970)</f>
        <v>Orderd</v>
      </c>
      <c r="AH970" s="0" t="s">
        <v>155</v>
      </c>
      <c r="AI970" s="0" t="s">
        <v>98</v>
      </c>
      <c r="AJ970" s="0" t="str">
        <f aca="false">PROPER(AI970)</f>
        <v>Emergency</v>
      </c>
      <c r="AK970" s="0" t="s">
        <v>99</v>
      </c>
      <c r="AL970" s="0" t="str">
        <f aca="false">PROPER(AK970)</f>
        <v>Uber Driver</v>
      </c>
      <c r="AM970" s="0" t="s">
        <v>177</v>
      </c>
      <c r="AN970" s="0" t="str">
        <f aca="false">IF(ISBLANK(AM970),"Unknown",AM970)</f>
        <v>Private</v>
      </c>
      <c r="AO970" s="0" t="s">
        <v>79</v>
      </c>
      <c r="AP970" s="0" t="str">
        <f aca="false">IF(ISBLANK(AO970),"Unknown",AO970)</f>
        <v>Specialist</v>
      </c>
      <c r="AQ970" s="0" t="n">
        <v>25000</v>
      </c>
      <c r="AR970" s="5" t="n">
        <f aca="false">IF(ISBLANK(AQ970),AVERAGEIF(M970:M1969,M970,AQ970:AQ1969),AQ970)</f>
        <v>25000</v>
      </c>
      <c r="AS970" s="0" t="n">
        <v>20000</v>
      </c>
      <c r="AT970" s="5" t="n">
        <f aca="false">IF(ISBLANK(AS970),AVERAGE(AS970:AS1969),AS970)</f>
        <v>20000</v>
      </c>
      <c r="AU970" s="0" t="s">
        <v>63</v>
      </c>
      <c r="AV970" s="0" t="str">
        <f aca="false">PROPER(IF(ISBLANK(AU970),"No",AU970))</f>
        <v>Yes</v>
      </c>
      <c r="AW970" s="0" t="n">
        <v>5000</v>
      </c>
      <c r="AX970" s="5" t="n">
        <f aca="false">IF(ISBLANK(AW970),0,AW970)</f>
        <v>5000</v>
      </c>
      <c r="AY970" s="0" t="s">
        <v>60</v>
      </c>
      <c r="AZ970" s="0" t="str">
        <f aca="false">UPPER(IF(ISBLANK(AY970),"NONE",AY970))</f>
        <v>NONE</v>
      </c>
      <c r="BA970" s="7" t="n">
        <v>45871</v>
      </c>
      <c r="BB970" s="7" t="n">
        <f aca="false">IF(ISBLANK(BA970),"No Follow Up Needed",BA970)</f>
        <v>45871</v>
      </c>
      <c r="BC970" s="0" t="s">
        <v>63</v>
      </c>
      <c r="BD970" s="0" t="str">
        <f aca="false">PROPER(IF(ISBLANK(BC970),"Unknown",BC970))</f>
        <v>Yes</v>
      </c>
      <c r="BE970" s="0" t="s">
        <v>171</v>
      </c>
      <c r="BF970" s="0" t="str">
        <f aca="false">IF(ISBLANK(BE970),"No comments",BE970)</f>
        <v>Shock absorber weakening</v>
      </c>
      <c r="BH970" s="0" t="str">
        <f aca="false">IF(ISBLANK(BG970),"No comments",BG970)</f>
        <v>No comments</v>
      </c>
      <c r="BI970" s="0" t="s">
        <v>63</v>
      </c>
      <c r="BJ970" s="0" t="str">
        <f aca="false">IF(ISBLANK(BI970),"Not Mentioned",BI970)</f>
        <v>Yes</v>
      </c>
      <c r="BK970" s="0" t="s">
        <v>61</v>
      </c>
      <c r="BL970" s="0" t="str">
        <f aca="false">PROPER(IF(ISBLANK(BK970),"Not Mentioned",BK970))</f>
        <v>No</v>
      </c>
      <c r="BN970" s="0" t="str">
        <f aca="false">PROPER(IF(ISBLANK(BM970),"Not Mentioned",BM970))</f>
        <v>Not Mentioned</v>
      </c>
      <c r="BP970" s="0" t="str">
        <f aca="false">IF(ISBLANK(BO970),"One-Time Plan",BO970)</f>
        <v>One-Time Plan</v>
      </c>
      <c r="BR970" s="0" t="str">
        <f aca="false">PROPER(IF(ISBLANK(BQ970),"No",BQ970))</f>
        <v>No</v>
      </c>
    </row>
    <row r="971" customFormat="false" ht="15" hidden="false" customHeight="false" outlineLevel="0" collapsed="false">
      <c r="A971" s="0" t="s">
        <v>2224</v>
      </c>
      <c r="B971" s="2" t="n">
        <v>45702</v>
      </c>
      <c r="C971" s="2" t="str">
        <f aca="false">TEXT(B971,"dd/mm/yyyy")</f>
        <v>14/02/2025</v>
      </c>
      <c r="D971" s="0" t="s">
        <v>121</v>
      </c>
      <c r="E971" s="0" t="n">
        <v>8083651529</v>
      </c>
      <c r="F971" s="0" t="s">
        <v>67</v>
      </c>
      <c r="G971" s="0" t="s">
        <v>2316</v>
      </c>
      <c r="H971" s="0" t="s">
        <v>2225</v>
      </c>
      <c r="I971" s="0" t="s">
        <v>134</v>
      </c>
      <c r="J971" s="0" t="s">
        <v>2325</v>
      </c>
      <c r="K971" s="3" t="str">
        <f aca="false" t="array" ref="K971:K971">IFERROR(IF(J971&lt;&gt;"",J971,INDEX(J971:J1970,MATCH(1,(F971:F1970=F971)*(I971:I1970=I971)*(L971:L1970=L971)*(J971:J1970&lt;&gt;""),0))),"Not Found")</f>
        <v>Engine Knocking</v>
      </c>
      <c r="L971" s="3" t="s">
        <v>154</v>
      </c>
      <c r="M971" s="0" t="str">
        <f aca="false">PROPER(L971)</f>
        <v>Air Filter</v>
      </c>
      <c r="N971" s="3" t="s">
        <v>109</v>
      </c>
      <c r="O971" s="0" t="str">
        <f aca="false" t="array" ref="O971:O971">IF(N971&lt;&gt;"",N971,_xlfn.xlookup(1,(L971:L1970=L971)*(N971:N1970&lt;&gt;""),N971:N1970,"Not Found"))</f>
        <v>Tijani</v>
      </c>
      <c r="P971" s="4" t="n">
        <v>96328</v>
      </c>
      <c r="Q971" s="0" t="s">
        <v>91</v>
      </c>
      <c r="R971" s="0" t="str">
        <f aca="false">PROPER(Q971)</f>
        <v>Pos</v>
      </c>
      <c r="S971" s="0" t="s">
        <v>63</v>
      </c>
      <c r="T971" s="0" t="n">
        <v>1</v>
      </c>
      <c r="U971" s="5" t="n">
        <f aca="false">IF(ISBLANK(T971),AVERAGE(T971:T1970),T971)</f>
        <v>1</v>
      </c>
      <c r="V971" s="0" t="n">
        <v>2.5</v>
      </c>
      <c r="W971" s="0" t="s">
        <v>125</v>
      </c>
      <c r="X971" s="0" t="str">
        <f aca="false">IF(ISBLANK(W971),"No remarks",W971)</f>
        <v>Customer waited</v>
      </c>
      <c r="Y971" s="0" t="s">
        <v>52</v>
      </c>
      <c r="Z971" s="0" t="s">
        <v>159</v>
      </c>
      <c r="AA971" s="0" t="str">
        <f aca="false">PROPER(IF(ISBLANK(Z971),"Location Unavailable",Z971))</f>
        <v>Main Bay</v>
      </c>
      <c r="AB971" s="0" t="s">
        <v>54</v>
      </c>
      <c r="AC971" s="6" t="str">
        <f aca="false">PROPER(AB971)</f>
        <v>Mechanic Referral</v>
      </c>
      <c r="AE971" s="5" t="n">
        <f aca="false">IF(ISBLANK(AD971),AVERAGEIF(L971:L1970,L971,AD971:AD1970),AD971)</f>
        <v>38.5714285714286</v>
      </c>
      <c r="AF971" s="0" t="s">
        <v>96</v>
      </c>
      <c r="AG971" s="0" t="str">
        <f aca="false">PROPER(AF971)</f>
        <v>Ordered</v>
      </c>
      <c r="AH971" s="0" t="s">
        <v>155</v>
      </c>
      <c r="AI971" s="0" t="s">
        <v>78</v>
      </c>
      <c r="AJ971" s="0" t="str">
        <f aca="false">PROPER(AI971)</f>
        <v>Booking</v>
      </c>
      <c r="AK971" s="0" t="s">
        <v>58</v>
      </c>
      <c r="AL971" s="0" t="str">
        <f aca="false">PROPER(AK971)</f>
        <v>Fleet Owner</v>
      </c>
      <c r="AM971" s="0" t="s">
        <v>177</v>
      </c>
      <c r="AN971" s="0" t="str">
        <f aca="false">IF(ISBLANK(AM971),"Unknown",AM971)</f>
        <v>Private</v>
      </c>
      <c r="AO971" s="0" t="s">
        <v>143</v>
      </c>
      <c r="AP971" s="0" t="str">
        <f aca="false">IF(ISBLANK(AO971),"Unknown",AO971)</f>
        <v>Senior</v>
      </c>
      <c r="AR971" s="5" t="n">
        <f aca="false">IF(ISBLANK(AQ971),AVERAGEIF(M971:M1970,M971,AQ971:AQ1970),AQ971)</f>
        <v>26428.5714285714</v>
      </c>
      <c r="AT971" s="5" t="n">
        <f aca="false">IF(ISBLANK(AS971),AVERAGE(AS971:AS1970),AS971)</f>
        <v>31000</v>
      </c>
      <c r="AV971" s="0" t="str">
        <f aca="false">PROPER(IF(ISBLANK(AU971),"No",AU971))</f>
        <v>No</v>
      </c>
      <c r="AX971" s="5" t="n">
        <f aca="false">IF(ISBLANK(AW971),0,AW971)</f>
        <v>0</v>
      </c>
      <c r="AZ971" s="0" t="str">
        <f aca="false">UPPER(IF(ISBLANK(AY971),"NONE",AY971))</f>
        <v>NONE</v>
      </c>
      <c r="BA971" s="7" t="n">
        <v>45884</v>
      </c>
      <c r="BB971" s="7" t="n">
        <f aca="false">IF(ISBLANK(BA971),"No Follow Up Needed",BA971)</f>
        <v>45884</v>
      </c>
      <c r="BC971" s="0" t="s">
        <v>50</v>
      </c>
      <c r="BD971" s="0" t="str">
        <f aca="false">PROPER(IF(ISBLANK(BC971),"Unknown",BC971))</f>
        <v>No</v>
      </c>
      <c r="BF971" s="0" t="str">
        <f aca="false">IF(ISBLANK(BE971),"No comments",BE971)</f>
        <v>No comments</v>
      </c>
      <c r="BG971" s="0" t="s">
        <v>172</v>
      </c>
      <c r="BH971" s="0" t="str">
        <f aca="false">IF(ISBLANK(BG971),"No comments",BG971)</f>
        <v>Always late</v>
      </c>
      <c r="BI971" s="0" t="s">
        <v>63</v>
      </c>
      <c r="BJ971" s="0" t="str">
        <f aca="false">IF(ISBLANK(BI971),"Not Mentioned",BI971)</f>
        <v>Yes</v>
      </c>
      <c r="BL971" s="0" t="str">
        <f aca="false">PROPER(IF(ISBLANK(BK971),"Not Mentioned",BK971))</f>
        <v>Not Mentioned</v>
      </c>
      <c r="BM971" s="0" t="s">
        <v>50</v>
      </c>
      <c r="BN971" s="0" t="str">
        <f aca="false">PROPER(IF(ISBLANK(BM971),"Not Mentioned",BM971))</f>
        <v>No</v>
      </c>
      <c r="BO971" s="0" t="s">
        <v>64</v>
      </c>
      <c r="BP971" s="0" t="str">
        <f aca="false">IF(ISBLANK(BO971),"One-Time Plan",BO971)</f>
        <v>Gold Maintenance Plan</v>
      </c>
      <c r="BQ971" s="0" t="s">
        <v>63</v>
      </c>
      <c r="BR971" s="0" t="str">
        <f aca="false">PROPER(IF(ISBLANK(BQ971),"No",BQ971))</f>
        <v>Yes</v>
      </c>
    </row>
    <row r="972" customFormat="false" ht="15" hidden="false" customHeight="false" outlineLevel="0" collapsed="false">
      <c r="A972" s="0" t="s">
        <v>2226</v>
      </c>
      <c r="B972" s="2" t="n">
        <v>45809</v>
      </c>
      <c r="C972" s="2" t="str">
        <f aca="false">TEXT(B972,"dd/mm/yyyy")</f>
        <v>01/06/2025</v>
      </c>
      <c r="D972" s="0" t="s">
        <v>42</v>
      </c>
      <c r="E972" s="0" t="n">
        <v>8072653244</v>
      </c>
      <c r="F972" s="0" t="s">
        <v>122</v>
      </c>
      <c r="G972" s="0" t="s">
        <v>2316</v>
      </c>
      <c r="H972" s="0" t="s">
        <v>2227</v>
      </c>
      <c r="I972" s="0" t="s">
        <v>45</v>
      </c>
      <c r="J972" s="0" t="s">
        <v>2322</v>
      </c>
      <c r="K972" s="3" t="str">
        <f aca="false" t="array" ref="K972:K972">IFERROR(IF(J972&lt;&gt;"",J972,INDEX(J972:J1971,MATCH(1,(F972:F1971=F972)*(I972:I1971=I972)*(L972:L1971=L972)*(J972:J1971&lt;&gt;""),0))),"Not Found")</f>
        <v>Brake Failure</v>
      </c>
      <c r="L972" s="3" t="s">
        <v>89</v>
      </c>
      <c r="M972" s="0" t="str">
        <f aca="false">PROPER(L972)</f>
        <v>Shock Absorbers</v>
      </c>
      <c r="N972" s="3" t="s">
        <v>109</v>
      </c>
      <c r="O972" s="0" t="str">
        <f aca="false" t="array" ref="O972:O972">IF(N972&lt;&gt;"",N972,_xlfn.xlookup(1,(L972:L1971=L972)*(N972:N1971&lt;&gt;""),N972:N1971,"Not Found"))</f>
        <v>Tijani</v>
      </c>
      <c r="P972" s="4" t="n">
        <v>97821</v>
      </c>
      <c r="Q972" s="0" t="s">
        <v>49</v>
      </c>
      <c r="R972" s="0" t="str">
        <f aca="false">PROPER(Q972)</f>
        <v>Transfer</v>
      </c>
      <c r="S972" s="0" t="s">
        <v>50</v>
      </c>
      <c r="T972" s="0" t="n">
        <v>4</v>
      </c>
      <c r="U972" s="5" t="n">
        <f aca="false">IF(ISBLANK(T972),AVERAGE(T972:T1971),T972)</f>
        <v>4</v>
      </c>
      <c r="V972" s="0" t="n">
        <v>1.8</v>
      </c>
      <c r="W972" s="0" t="s">
        <v>51</v>
      </c>
      <c r="X972" s="0" t="str">
        <f aca="false">IF(ISBLANK(W972),"No remarks",W972)</f>
        <v>Recommended further checks</v>
      </c>
      <c r="Y972" s="0" t="s">
        <v>52</v>
      </c>
      <c r="Z972" s="0" t="s">
        <v>136</v>
      </c>
      <c r="AA972" s="0" t="str">
        <f aca="false">PROPER(IF(ISBLANK(Z972),"Location Unavailable",Z972))</f>
        <v>Vip Section</v>
      </c>
      <c r="AB972" s="0" t="s">
        <v>54</v>
      </c>
      <c r="AC972" s="6" t="str">
        <f aca="false">PROPER(AB972)</f>
        <v>Mechanic Referral</v>
      </c>
      <c r="AD972" s="6" t="n">
        <v>45</v>
      </c>
      <c r="AE972" s="5" t="n">
        <f aca="false">IF(ISBLANK(AD972),AVERAGEIF(L972:L1971,L972,AD972:AD1971),AD972)</f>
        <v>45</v>
      </c>
      <c r="AF972" s="0" t="s">
        <v>160</v>
      </c>
      <c r="AG972" s="0" t="str">
        <f aca="false">PROPER(AF972)</f>
        <v>Availaible</v>
      </c>
      <c r="AH972" s="0" t="s">
        <v>148</v>
      </c>
      <c r="AI972" s="0" t="s">
        <v>113</v>
      </c>
      <c r="AJ972" s="0" t="str">
        <f aca="false">PROPER(AI972)</f>
        <v>Normal</v>
      </c>
      <c r="AK972" s="0" t="s">
        <v>58</v>
      </c>
      <c r="AL972" s="0" t="str">
        <f aca="false">PROPER(AK972)</f>
        <v>Fleet Owner</v>
      </c>
      <c r="AM972" s="0" t="s">
        <v>2324</v>
      </c>
      <c r="AN972" s="0" t="str">
        <f aca="false">IF(ISBLANK(AM972),"Unknown",AM972)</f>
        <v>Logistics Convoy</v>
      </c>
      <c r="AO972" s="0" t="s">
        <v>79</v>
      </c>
      <c r="AP972" s="0" t="str">
        <f aca="false">IF(ISBLANK(AO972),"Unknown",AO972)</f>
        <v>Specialist</v>
      </c>
      <c r="AQ972" s="0" t="n">
        <v>15000</v>
      </c>
      <c r="AR972" s="5" t="n">
        <f aca="false">IF(ISBLANK(AQ972),AVERAGEIF(M972:M1971,M972,AQ972:AQ1971),AQ972)</f>
        <v>15000</v>
      </c>
      <c r="AT972" s="5" t="n">
        <f aca="false">IF(ISBLANK(AS972),AVERAGE(AS972:AS1971),AS972)</f>
        <v>31000</v>
      </c>
      <c r="AU972" s="0" t="s">
        <v>63</v>
      </c>
      <c r="AV972" s="0" t="str">
        <f aca="false">PROPER(IF(ISBLANK(AU972),"No",AU972))</f>
        <v>Yes</v>
      </c>
      <c r="AW972" s="0" t="n">
        <v>5000</v>
      </c>
      <c r="AX972" s="5" t="n">
        <f aca="false">IF(ISBLANK(AW972),0,AW972)</f>
        <v>5000</v>
      </c>
      <c r="AZ972" s="0" t="str">
        <f aca="false">UPPER(IF(ISBLANK(AY972),"NONE",AY972))</f>
        <v>NONE</v>
      </c>
      <c r="BB972" s="7" t="str">
        <f aca="false">IF(ISBLANK(BA972),"No Follow Up Needed",BA972)</f>
        <v>No Follow Up Needed</v>
      </c>
      <c r="BC972" s="0" t="s">
        <v>82</v>
      </c>
      <c r="BD972" s="0" t="str">
        <f aca="false">PROPER(IF(ISBLANK(BC972),"Unknown",BC972))</f>
        <v>Yes</v>
      </c>
      <c r="BF972" s="0" t="str">
        <f aca="false">IF(ISBLANK(BE972),"No comments",BE972)</f>
        <v>No comments</v>
      </c>
      <c r="BG972" s="0" t="s">
        <v>2320</v>
      </c>
      <c r="BH972" s="0" t="str">
        <f aca="false">IF(ISBLANK(BG972),"No comments",BG972)</f>
        <v>No complaints</v>
      </c>
      <c r="BI972" s="0" t="s">
        <v>63</v>
      </c>
      <c r="BJ972" s="0" t="str">
        <f aca="false">IF(ISBLANK(BI972),"Not Mentioned",BI972)</f>
        <v>Yes</v>
      </c>
      <c r="BK972" s="0" t="s">
        <v>82</v>
      </c>
      <c r="BL972" s="0" t="str">
        <f aca="false">PROPER(IF(ISBLANK(BK972),"Not Mentioned",BK972))</f>
        <v>Yes</v>
      </c>
      <c r="BM972" s="0" t="s">
        <v>63</v>
      </c>
      <c r="BN972" s="0" t="str">
        <f aca="false">PROPER(IF(ISBLANK(BM972),"Not Mentioned",BM972))</f>
        <v>Yes</v>
      </c>
      <c r="BO972" s="0" t="s">
        <v>2321</v>
      </c>
      <c r="BP972" s="0" t="str">
        <f aca="false">IF(ISBLANK(BO972),"One-Time Plan",BO972)</f>
        <v>One-Time Plan</v>
      </c>
      <c r="BQ972" s="0" t="s">
        <v>190</v>
      </c>
      <c r="BR972" s="0" t="str">
        <f aca="false">PROPER(IF(ISBLANK(BQ972),"No",BQ972))</f>
        <v>Yes</v>
      </c>
    </row>
    <row r="973" customFormat="false" ht="15" hidden="false" customHeight="false" outlineLevel="0" collapsed="false">
      <c r="A973" s="0" t="s">
        <v>2228</v>
      </c>
      <c r="B973" s="2" t="n">
        <v>45679</v>
      </c>
      <c r="C973" s="2" t="str">
        <f aca="false">TEXT(B973,"dd/mm/yyyy")</f>
        <v>22/01/2025</v>
      </c>
      <c r="D973" s="0" t="s">
        <v>163</v>
      </c>
      <c r="E973" s="0" t="n">
        <v>8032555671</v>
      </c>
      <c r="F973" s="0" t="s">
        <v>67</v>
      </c>
      <c r="G973" s="0" t="s">
        <v>2316</v>
      </c>
      <c r="H973" s="0" t="s">
        <v>1247</v>
      </c>
      <c r="I973" s="0" t="s">
        <v>87</v>
      </c>
      <c r="J973" s="0" t="s">
        <v>87</v>
      </c>
      <c r="K973" s="3" t="str">
        <f aca="false" t="array" ref="K973:K973">IFERROR(IF(J973&lt;&gt;"",J973,INDEX(J973:J1972,MATCH(1,(F973:F1972=F973)*(I973:I1972=I973)*(L973:L1972=L973)*(J973:J1972&lt;&gt;""),0))),"Not Found")</f>
        <v>Oil Change</v>
      </c>
      <c r="L973" s="3" t="s">
        <v>108</v>
      </c>
      <c r="M973" s="0" t="str">
        <f aca="false">PROPER(L973)</f>
        <v>Timing Belt</v>
      </c>
      <c r="O973" s="0" t="e">
        <f aca="false" t="array" ref="O973:O973">IF(N973&lt;&gt;"",N973,_xlfn.xlookup(1,(L973:L1972=L973)*(N973:N1972&lt;&gt;""),N973:N1972,"Not Found"))</f>
        <v>#NAME?</v>
      </c>
      <c r="P973" s="4" t="n">
        <v>94040</v>
      </c>
      <c r="Q973" s="0" t="s">
        <v>124</v>
      </c>
      <c r="R973" s="0" t="str">
        <f aca="false">PROPER(Q973)</f>
        <v>Cash</v>
      </c>
      <c r="S973" s="0" t="s">
        <v>50</v>
      </c>
      <c r="U973" s="5" t="n">
        <f aca="false">IF(ISBLANK(T973),AVERAGE(T973:T1972),T973)</f>
        <v>3.59259259259259</v>
      </c>
      <c r="V973" s="0" t="n">
        <v>1.5</v>
      </c>
      <c r="W973" s="0" t="s">
        <v>51</v>
      </c>
      <c r="X973" s="0" t="str">
        <f aca="false">IF(ISBLANK(W973),"No remarks",W973)</f>
        <v>Recommended further checks</v>
      </c>
      <c r="Y973" s="0" t="s">
        <v>93</v>
      </c>
      <c r="Z973" s="0" t="s">
        <v>53</v>
      </c>
      <c r="AA973" s="0" t="str">
        <f aca="false">PROPER(IF(ISBLANK(Z973),"Location Unavailable",Z973))</f>
        <v>Main Bay</v>
      </c>
      <c r="AB973" s="0" t="s">
        <v>126</v>
      </c>
      <c r="AC973" s="6" t="str">
        <f aca="false">PROPER(AB973)</f>
        <v>Whatsapp</v>
      </c>
      <c r="AE973" s="5" t="n">
        <f aca="false">IF(ISBLANK(AD973),AVERAGEIF(L973:L1972,L973,AD973:AD1972),AD973)</f>
        <v>37.5</v>
      </c>
      <c r="AF973" s="0" t="s">
        <v>76</v>
      </c>
      <c r="AG973" s="0" t="str">
        <f aca="false">PROPER(AF973)</f>
        <v>Orderd</v>
      </c>
      <c r="AH973" s="0" t="s">
        <v>56</v>
      </c>
      <c r="AI973" s="0" t="s">
        <v>98</v>
      </c>
      <c r="AJ973" s="0" t="str">
        <f aca="false">PROPER(AI973)</f>
        <v>Emergency</v>
      </c>
      <c r="AK973" s="0" t="s">
        <v>196</v>
      </c>
      <c r="AL973" s="0" t="str">
        <f aca="false">PROPER(AK973)</f>
        <v>First Time</v>
      </c>
      <c r="AN973" s="0" t="str">
        <f aca="false">IF(ISBLANK(AM973),"Unknown",AM973)</f>
        <v>Unknown</v>
      </c>
      <c r="AO973" s="0" t="s">
        <v>79</v>
      </c>
      <c r="AP973" s="0" t="str">
        <f aca="false">IF(ISBLANK(AO973),"Unknown",AO973)</f>
        <v>Specialist</v>
      </c>
      <c r="AQ973" s="0" t="n">
        <v>40000</v>
      </c>
      <c r="AR973" s="5" t="n">
        <f aca="false">IF(ISBLANK(AQ973),AVERAGEIF(M973:M1972,M973,AQ973:AQ1972),AQ973)</f>
        <v>40000</v>
      </c>
      <c r="AS973" s="0" t="n">
        <v>20000</v>
      </c>
      <c r="AT973" s="5" t="n">
        <f aca="false">IF(ISBLANK(AS973),AVERAGE(AS973:AS1972),AS973)</f>
        <v>20000</v>
      </c>
      <c r="AU973" s="0" t="s">
        <v>63</v>
      </c>
      <c r="AV973" s="0" t="str">
        <f aca="false">PROPER(IF(ISBLANK(AU973),"No",AU973))</f>
        <v>Yes</v>
      </c>
      <c r="AW973" s="0" t="n">
        <v>0</v>
      </c>
      <c r="AX973" s="5" t="n">
        <f aca="false">IF(ISBLANK(AW973),0,AW973)</f>
        <v>0</v>
      </c>
      <c r="AY973" s="0" t="s">
        <v>80</v>
      </c>
      <c r="AZ973" s="0" t="str">
        <f aca="false">UPPER(IF(ISBLANK(AY973),"NONE",AY973))</f>
        <v>PROMO10</v>
      </c>
      <c r="BA973" s="7" t="n">
        <v>45890</v>
      </c>
      <c r="BB973" s="7" t="n">
        <f aca="false">IF(ISBLANK(BA973),"No Follow Up Needed",BA973)</f>
        <v>45890</v>
      </c>
      <c r="BC973" s="0" t="s">
        <v>63</v>
      </c>
      <c r="BD973" s="0" t="str">
        <f aca="false">PROPER(IF(ISBLANK(BC973),"Unknown",BC973))</f>
        <v>Yes</v>
      </c>
      <c r="BF973" s="0" t="str">
        <f aca="false">IF(ISBLANK(BE973),"No comments",BE973)</f>
        <v>No comments</v>
      </c>
      <c r="BG973" s="0" t="s">
        <v>172</v>
      </c>
      <c r="BH973" s="0" t="str">
        <f aca="false">IF(ISBLANK(BG973),"No comments",BG973)</f>
        <v>Always late</v>
      </c>
      <c r="BI973" s="0" t="s">
        <v>50</v>
      </c>
      <c r="BJ973" s="0" t="str">
        <f aca="false">IF(ISBLANK(BI973),"Not Mentioned",BI973)</f>
        <v>No</v>
      </c>
      <c r="BL973" s="0" t="str">
        <f aca="false">PROPER(IF(ISBLANK(BK973),"Not Mentioned",BK973))</f>
        <v>Not Mentioned</v>
      </c>
      <c r="BN973" s="0" t="str">
        <f aca="false">PROPER(IF(ISBLANK(BM973),"Not Mentioned",BM973))</f>
        <v>Not Mentioned</v>
      </c>
      <c r="BO973" s="0" t="s">
        <v>64</v>
      </c>
      <c r="BP973" s="0" t="str">
        <f aca="false">IF(ISBLANK(BO973),"One-Time Plan",BO973)</f>
        <v>Gold Maintenance Plan</v>
      </c>
      <c r="BQ973" s="0" t="s">
        <v>50</v>
      </c>
      <c r="BR973" s="0" t="str">
        <f aca="false">PROPER(IF(ISBLANK(BQ973),"No",BQ973))</f>
        <v>No</v>
      </c>
    </row>
    <row r="974" customFormat="false" ht="15" hidden="false" customHeight="false" outlineLevel="0" collapsed="false">
      <c r="A974" s="0" t="s">
        <v>2229</v>
      </c>
      <c r="B974" s="2" t="n">
        <v>45758</v>
      </c>
      <c r="C974" s="2" t="str">
        <f aca="false">TEXT(B974,"dd/mm/yyyy")</f>
        <v>11/04/2025</v>
      </c>
      <c r="D974" s="0" t="s">
        <v>121</v>
      </c>
      <c r="E974" s="0" t="n">
        <v>8069899586</v>
      </c>
      <c r="F974" s="0" t="s">
        <v>122</v>
      </c>
      <c r="G974" s="0" t="s">
        <v>2316</v>
      </c>
      <c r="H974" s="0" t="s">
        <v>2230</v>
      </c>
      <c r="I974" s="0" t="s">
        <v>134</v>
      </c>
      <c r="J974" s="0" t="s">
        <v>2322</v>
      </c>
      <c r="K974" s="3" t="str">
        <f aca="false" t="array" ref="K974:K974">IFERROR(IF(J974&lt;&gt;"",J974,INDEX(J974:J1973,MATCH(1,(F974:F1973=F974)*(I974:I1973=I974)*(L974:L1973=L974)*(J974:J1973&lt;&gt;""),0))),"Not Found")</f>
        <v>Brake Failure</v>
      </c>
      <c r="L974" s="3" t="s">
        <v>89</v>
      </c>
      <c r="M974" s="0" t="str">
        <f aca="false">PROPER(L974)</f>
        <v>Shock Absorbers</v>
      </c>
      <c r="N974" s="3" t="s">
        <v>71</v>
      </c>
      <c r="O974" s="0" t="str">
        <f aca="false" t="array" ref="O974:O974">IF(N974&lt;&gt;"",N974,_xlfn.xlookup(1,(L974:L1973=L974)*(N974:N1973&lt;&gt;""),N974:N1973,"Not Found"))</f>
        <v>Isaac Bobo</v>
      </c>
      <c r="P974" s="4" t="n">
        <v>62187</v>
      </c>
      <c r="Q974" s="0" t="s">
        <v>110</v>
      </c>
      <c r="R974" s="0" t="str">
        <f aca="false">PROPER(Q974)</f>
        <v>Cash</v>
      </c>
      <c r="S974" s="0" t="s">
        <v>63</v>
      </c>
      <c r="T974" s="0" t="n">
        <v>3</v>
      </c>
      <c r="U974" s="5" t="n">
        <f aca="false">IF(ISBLANK(T974),AVERAGE(T974:T1973),T974)</f>
        <v>3</v>
      </c>
      <c r="V974" s="0" t="n">
        <v>4.9</v>
      </c>
      <c r="W974" s="0" t="s">
        <v>111</v>
      </c>
      <c r="X974" s="0" t="str">
        <f aca="false">IF(ISBLANK(W974),"No remarks",W974)</f>
        <v>Changed all filters</v>
      </c>
      <c r="Y974" s="0" t="s">
        <v>93</v>
      </c>
      <c r="AA974" s="0" t="str">
        <f aca="false">PROPER(IF(ISBLANK(Z974),"Location Unavailable",Z974))</f>
        <v>Location Unavailable</v>
      </c>
      <c r="AB974" s="0" t="s">
        <v>54</v>
      </c>
      <c r="AC974" s="6" t="str">
        <f aca="false">PROPER(AB974)</f>
        <v>Mechanic Referral</v>
      </c>
      <c r="AD974" s="6" t="n">
        <v>60</v>
      </c>
      <c r="AE974" s="5" t="n">
        <f aca="false">IF(ISBLANK(AD974),AVERAGEIF(L974:L1973,L974,AD974:AD1973),AD974)</f>
        <v>60</v>
      </c>
      <c r="AF974" s="0" t="s">
        <v>160</v>
      </c>
      <c r="AG974" s="0" t="str">
        <f aca="false">PROPER(AF974)</f>
        <v>Availaible</v>
      </c>
      <c r="AH974" s="0" t="s">
        <v>155</v>
      </c>
      <c r="AI974" s="0" t="s">
        <v>128</v>
      </c>
      <c r="AJ974" s="0" t="str">
        <f aca="false">PROPER(AI974)</f>
        <v>Normal</v>
      </c>
      <c r="AK974" s="0" t="s">
        <v>196</v>
      </c>
      <c r="AL974" s="0" t="str">
        <f aca="false">PROPER(AK974)</f>
        <v>First Time</v>
      </c>
      <c r="AM974" s="0" t="s">
        <v>2326</v>
      </c>
      <c r="AN974" s="0" t="str">
        <f aca="false">IF(ISBLANK(AM974),"Unknown",AM974)</f>
        <v>Government Convoy</v>
      </c>
      <c r="AO974" s="0" t="s">
        <v>149</v>
      </c>
      <c r="AP974" s="0" t="str">
        <f aca="false">IF(ISBLANK(AO974),"Unknown",AO974)</f>
        <v>Senior </v>
      </c>
      <c r="AQ974" s="0" t="n">
        <v>20000</v>
      </c>
      <c r="AR974" s="5" t="n">
        <f aca="false">IF(ISBLANK(AQ974),AVERAGEIF(M974:M1973,M974,AQ974:AQ1973),AQ974)</f>
        <v>20000</v>
      </c>
      <c r="AS974" s="0" t="n">
        <v>20000</v>
      </c>
      <c r="AT974" s="5" t="n">
        <f aca="false">IF(ISBLANK(AS974),AVERAGE(AS974:AS1973),AS974)</f>
        <v>20000</v>
      </c>
      <c r="AV974" s="0" t="str">
        <f aca="false">PROPER(IF(ISBLANK(AU974),"No",AU974))</f>
        <v>No</v>
      </c>
      <c r="AW974" s="0" t="n">
        <v>10000</v>
      </c>
      <c r="AX974" s="5" t="n">
        <f aca="false">IF(ISBLANK(AW974),0,AW974)</f>
        <v>10000</v>
      </c>
      <c r="AY974" s="0" t="s">
        <v>80</v>
      </c>
      <c r="AZ974" s="0" t="str">
        <f aca="false">UPPER(IF(ISBLANK(AY974),"NONE",AY974))</f>
        <v>PROMO10</v>
      </c>
      <c r="BA974" s="7" t="s">
        <v>700</v>
      </c>
      <c r="BB974" s="7" t="str">
        <f aca="false">IF(ISBLANK(BA974),"No Follow Up Needed",BA974)</f>
        <v>13/09/2025</v>
      </c>
      <c r="BD974" s="0" t="str">
        <f aca="false">PROPER(IF(ISBLANK(BC974),"Unknown",BC974))</f>
        <v>Unknown</v>
      </c>
      <c r="BF974" s="0" t="str">
        <f aca="false">IF(ISBLANK(BE974),"No comments",BE974)</f>
        <v>No comments</v>
      </c>
      <c r="BG974" s="0" t="s">
        <v>117</v>
      </c>
      <c r="BH974" s="0" t="str">
        <f aca="false">IF(ISBLANK(BG974),"No comments",BG974)</f>
        <v>Prefers morning</v>
      </c>
      <c r="BI974" s="0" t="s">
        <v>63</v>
      </c>
      <c r="BJ974" s="0" t="str">
        <f aca="false">IF(ISBLANK(BI974),"Not Mentioned",BI974)</f>
        <v>Yes</v>
      </c>
      <c r="BK974" s="0" t="s">
        <v>63</v>
      </c>
      <c r="BL974" s="0" t="str">
        <f aca="false">PROPER(IF(ISBLANK(BK974),"Not Mentioned",BK974))</f>
        <v>Yes</v>
      </c>
      <c r="BM974" s="0" t="s">
        <v>63</v>
      </c>
      <c r="BN974" s="0" t="str">
        <f aca="false">PROPER(IF(ISBLANK(BM974),"Not Mentioned",BM974))</f>
        <v>Yes</v>
      </c>
      <c r="BO974" s="0" t="s">
        <v>2321</v>
      </c>
      <c r="BP974" s="0" t="str">
        <f aca="false">IF(ISBLANK(BO974),"One-Time Plan",BO974)</f>
        <v>One-Time Plan</v>
      </c>
      <c r="BQ974" s="0" t="s">
        <v>50</v>
      </c>
      <c r="BR974" s="0" t="str">
        <f aca="false">PROPER(IF(ISBLANK(BQ974),"No",BQ974))</f>
        <v>No</v>
      </c>
    </row>
    <row r="975" customFormat="false" ht="15" hidden="false" customHeight="false" outlineLevel="0" collapsed="false">
      <c r="A975" s="0" t="s">
        <v>2231</v>
      </c>
      <c r="B975" s="2" t="n">
        <v>45800</v>
      </c>
      <c r="C975" s="2" t="str">
        <f aca="false">TEXT(B975,"dd/mm/yyyy")</f>
        <v>23/05/2025</v>
      </c>
      <c r="D975" s="0" t="s">
        <v>105</v>
      </c>
      <c r="E975" s="0" t="n">
        <v>8025526124</v>
      </c>
      <c r="F975" s="0" t="s">
        <v>122</v>
      </c>
      <c r="G975" s="0" t="s">
        <v>2316</v>
      </c>
      <c r="H975" s="0" t="s">
        <v>2232</v>
      </c>
      <c r="I975" s="0" t="s">
        <v>107</v>
      </c>
      <c r="J975" s="0" t="s">
        <v>2325</v>
      </c>
      <c r="K975" s="3" t="str">
        <f aca="false" t="array" ref="K975:K975">IFERROR(IF(J975&lt;&gt;"",J975,INDEX(J975:J1974,MATCH(1,(F975:F1974=F975)*(I975:I1974=I975)*(L975:L1974=L975)*(J975:J1974&lt;&gt;""),0))),"Not Found")</f>
        <v>Engine Knocking</v>
      </c>
      <c r="L975" s="3" t="s">
        <v>89</v>
      </c>
      <c r="M975" s="0" t="str">
        <f aca="false">PROPER(L975)</f>
        <v>Shock Absorbers</v>
      </c>
      <c r="N975" s="3" t="s">
        <v>109</v>
      </c>
      <c r="O975" s="0" t="str">
        <f aca="false" t="array" ref="O975:O975">IF(N975&lt;&gt;"",N975,_xlfn.xlookup(1,(L975:L1974=L975)*(N975:N1974&lt;&gt;""),N975:N1974,"Not Found"))</f>
        <v>Tijani</v>
      </c>
      <c r="P975" s="4" t="n">
        <v>33819</v>
      </c>
      <c r="Q975" s="0" t="s">
        <v>166</v>
      </c>
      <c r="R975" s="0" t="str">
        <f aca="false">PROPER(Q975)</f>
        <v>Transfer</v>
      </c>
      <c r="S975" s="0" t="s">
        <v>50</v>
      </c>
      <c r="T975" s="0" t="n">
        <v>2</v>
      </c>
      <c r="U975" s="5" t="n">
        <f aca="false">IF(ISBLANK(T975),AVERAGE(T975:T1974),T975)</f>
        <v>2</v>
      </c>
      <c r="V975" s="0" t="n">
        <v>5.8</v>
      </c>
      <c r="X975" s="0" t="str">
        <f aca="false">IF(ISBLANK(W975),"No remarks",W975)</f>
        <v>No remarks</v>
      </c>
      <c r="Y975" s="0" t="s">
        <v>73</v>
      </c>
      <c r="Z975" s="0" t="s">
        <v>53</v>
      </c>
      <c r="AA975" s="0" t="str">
        <f aca="false">PROPER(IF(ISBLANK(Z975),"Location Unavailable",Z975))</f>
        <v>Main Bay</v>
      </c>
      <c r="AB975" s="0" t="s">
        <v>54</v>
      </c>
      <c r="AC975" s="6" t="str">
        <f aca="false">PROPER(AB975)</f>
        <v>Mechanic Referral</v>
      </c>
      <c r="AD975" s="6" t="n">
        <v>60</v>
      </c>
      <c r="AE975" s="5" t="n">
        <f aca="false">IF(ISBLANK(AD975),AVERAGEIF(L975:L1974,L975,AD975:AD1974),AD975)</f>
        <v>60</v>
      </c>
      <c r="AF975" s="0" t="s">
        <v>160</v>
      </c>
      <c r="AG975" s="0" t="str">
        <f aca="false">PROPER(AF975)</f>
        <v>Availaible</v>
      </c>
      <c r="AH975" s="0" t="s">
        <v>77</v>
      </c>
      <c r="AI975" s="0" t="s">
        <v>128</v>
      </c>
      <c r="AJ975" s="0" t="str">
        <f aca="false">PROPER(AI975)</f>
        <v>Normal</v>
      </c>
      <c r="AK975" s="0" t="s">
        <v>58</v>
      </c>
      <c r="AL975" s="0" t="str">
        <f aca="false">PROPER(AK975)</f>
        <v>Fleet Owner</v>
      </c>
      <c r="AM975" s="0" t="s">
        <v>177</v>
      </c>
      <c r="AN975" s="0" t="str">
        <f aca="false">IF(ISBLANK(AM975),"Unknown",AM975)</f>
        <v>Private</v>
      </c>
      <c r="AO975" s="0" t="s">
        <v>79</v>
      </c>
      <c r="AP975" s="0" t="str">
        <f aca="false">IF(ISBLANK(AO975),"Unknown",AO975)</f>
        <v>Specialist</v>
      </c>
      <c r="AR975" s="5" t="n">
        <f aca="false">IF(ISBLANK(AQ975),AVERAGEIF(M975:M1974,M975,AQ975:AQ1974),AQ975)</f>
        <v>20000</v>
      </c>
      <c r="AS975" s="0" t="n">
        <v>30000</v>
      </c>
      <c r="AT975" s="5" t="n">
        <f aca="false">IF(ISBLANK(AS975),AVERAGE(AS975:AS1974),AS975)</f>
        <v>30000</v>
      </c>
      <c r="AU975" s="0" t="s">
        <v>63</v>
      </c>
      <c r="AV975" s="0" t="str">
        <f aca="false">PROPER(IF(ISBLANK(AU975),"No",AU975))</f>
        <v>Yes</v>
      </c>
      <c r="AX975" s="5" t="n">
        <f aca="false">IF(ISBLANK(AW975),0,AW975)</f>
        <v>0</v>
      </c>
      <c r="AY975" s="0" t="s">
        <v>80</v>
      </c>
      <c r="AZ975" s="0" t="str">
        <f aca="false">UPPER(IF(ISBLANK(AY975),"NONE",AY975))</f>
        <v>PROMO10</v>
      </c>
      <c r="BA975" s="7" t="s">
        <v>1227</v>
      </c>
      <c r="BB975" s="7" t="str">
        <f aca="false">IF(ISBLANK(BA975),"No Follow Up Needed",BA975)</f>
        <v>29/10/2025</v>
      </c>
      <c r="BC975" s="0" t="s">
        <v>50</v>
      </c>
      <c r="BD975" s="0" t="str">
        <f aca="false">PROPER(IF(ISBLANK(BC975),"Unknown",BC975))</f>
        <v>No</v>
      </c>
      <c r="BE975" s="0" t="s">
        <v>116</v>
      </c>
      <c r="BF975" s="0" t="str">
        <f aca="false">IF(ISBLANK(BE975),"No comments",BE975)</f>
        <v>Needs tire alignment</v>
      </c>
      <c r="BH975" s="0" t="str">
        <f aca="false">IF(ISBLANK(BG975),"No comments",BG975)</f>
        <v>No comments</v>
      </c>
      <c r="BI975" s="0" t="s">
        <v>63</v>
      </c>
      <c r="BJ975" s="0" t="str">
        <f aca="false">IF(ISBLANK(BI975),"Not Mentioned",BI975)</f>
        <v>Yes</v>
      </c>
      <c r="BK975" s="0" t="s">
        <v>82</v>
      </c>
      <c r="BL975" s="0" t="str">
        <f aca="false">PROPER(IF(ISBLANK(BK975),"Not Mentioned",BK975))</f>
        <v>Yes</v>
      </c>
      <c r="BN975" s="0" t="str">
        <f aca="false">PROPER(IF(ISBLANK(BM975),"Not Mentioned",BM975))</f>
        <v>Not Mentioned</v>
      </c>
      <c r="BP975" s="0" t="str">
        <f aca="false">IF(ISBLANK(BO975),"One-Time Plan",BO975)</f>
        <v>One-Time Plan</v>
      </c>
      <c r="BQ975" s="0" t="s">
        <v>50</v>
      </c>
      <c r="BR975" s="0" t="str">
        <f aca="false">PROPER(IF(ISBLANK(BQ975),"No",BQ975))</f>
        <v>No</v>
      </c>
    </row>
    <row r="976" customFormat="false" ht="15" hidden="false" customHeight="false" outlineLevel="0" collapsed="false">
      <c r="A976" s="0" t="s">
        <v>2233</v>
      </c>
      <c r="B976" s="2" t="n">
        <v>45814</v>
      </c>
      <c r="C976" s="2" t="str">
        <f aca="false">TEXT(B976,"dd/mm/yyyy")</f>
        <v>06/06/2025</v>
      </c>
      <c r="D976" s="0" t="s">
        <v>163</v>
      </c>
      <c r="E976" s="0" t="n">
        <v>8074715566</v>
      </c>
      <c r="F976" s="0" t="s">
        <v>85</v>
      </c>
      <c r="G976" s="0" t="s">
        <v>2319</v>
      </c>
      <c r="H976" s="0" t="s">
        <v>2234</v>
      </c>
      <c r="I976" s="0" t="s">
        <v>134</v>
      </c>
      <c r="J976" s="0" t="s">
        <v>87</v>
      </c>
      <c r="K976" s="3" t="str">
        <f aca="false" t="array" ref="K976:K976">IFERROR(IF(J976&lt;&gt;"",J976,INDEX(J976:J1975,MATCH(1,(F976:F1975=F976)*(I976:I1975=I976)*(L976:L1975=L976)*(J976:J1975&lt;&gt;""),0))),"Not Found")</f>
        <v>Oil Change</v>
      </c>
      <c r="L976" s="3" t="s">
        <v>154</v>
      </c>
      <c r="M976" s="0" t="str">
        <f aca="false">PROPER(L976)</f>
        <v>Air Filter</v>
      </c>
      <c r="N976" s="3" t="s">
        <v>109</v>
      </c>
      <c r="O976" s="0" t="str">
        <f aca="false" t="array" ref="O976:O976">IF(N976&lt;&gt;"",N976,_xlfn.xlookup(1,(L976:L1975=L976)*(N976:N1975&lt;&gt;""),N976:N1975,"Not Found"))</f>
        <v>Tijani</v>
      </c>
      <c r="P976" s="4" t="n">
        <v>48384</v>
      </c>
      <c r="Q976" s="0" t="s">
        <v>110</v>
      </c>
      <c r="R976" s="0" t="str">
        <f aca="false">PROPER(Q976)</f>
        <v>Cash</v>
      </c>
      <c r="S976" s="0" t="s">
        <v>63</v>
      </c>
      <c r="T976" s="0" t="n">
        <v>5</v>
      </c>
      <c r="U976" s="5" t="n">
        <f aca="false">IF(ISBLANK(T976),AVERAGE(T976:T1975),T976)</f>
        <v>5</v>
      </c>
      <c r="V976" s="0" t="n">
        <v>3.8</v>
      </c>
      <c r="X976" s="0" t="str">
        <f aca="false">IF(ISBLANK(W976),"No remarks",W976)</f>
        <v>No remarks</v>
      </c>
      <c r="Y976" s="0" t="s">
        <v>73</v>
      </c>
      <c r="Z976" s="0" t="s">
        <v>136</v>
      </c>
      <c r="AA976" s="0" t="str">
        <f aca="false">PROPER(IF(ISBLANK(Z976),"Location Unavailable",Z976))</f>
        <v>Vip Section</v>
      </c>
      <c r="AB976" s="0" t="s">
        <v>95</v>
      </c>
      <c r="AC976" s="6" t="str">
        <f aca="false">PROPER(AB976)</f>
        <v>Road Sign</v>
      </c>
      <c r="AD976" s="6" t="n">
        <v>30</v>
      </c>
      <c r="AE976" s="5" t="n">
        <f aca="false">IF(ISBLANK(AD976),AVERAGEIF(L976:L1975,L976,AD976:AD1975),AD976)</f>
        <v>30</v>
      </c>
      <c r="AF976" s="0" t="s">
        <v>112</v>
      </c>
      <c r="AG976" s="0" t="str">
        <f aca="false">PROPER(AF976)</f>
        <v>Unavailable</v>
      </c>
      <c r="AH976" s="0" t="s">
        <v>155</v>
      </c>
      <c r="AI976" s="0" t="s">
        <v>78</v>
      </c>
      <c r="AJ976" s="0" t="str">
        <f aca="false">PROPER(AI976)</f>
        <v>Booking</v>
      </c>
      <c r="AK976" s="0" t="s">
        <v>196</v>
      </c>
      <c r="AL976" s="0" t="str">
        <f aca="false">PROPER(AK976)</f>
        <v>First Time</v>
      </c>
      <c r="AM976" s="0" t="s">
        <v>2326</v>
      </c>
      <c r="AN976" s="0" t="str">
        <f aca="false">IF(ISBLANK(AM976),"Unknown",AM976)</f>
        <v>Government Convoy</v>
      </c>
      <c r="AO976" s="0" t="s">
        <v>79</v>
      </c>
      <c r="AP976" s="0" t="str">
        <f aca="false">IF(ISBLANK(AO976),"Unknown",AO976)</f>
        <v>Specialist</v>
      </c>
      <c r="AQ976" s="0" t="n">
        <v>15000</v>
      </c>
      <c r="AR976" s="5" t="n">
        <f aca="false">IF(ISBLANK(AQ976),AVERAGEIF(M976:M1975,M976,AQ976:AQ1975),AQ976)</f>
        <v>15000</v>
      </c>
      <c r="AS976" s="0" t="n">
        <v>35000</v>
      </c>
      <c r="AT976" s="5" t="n">
        <f aca="false">IF(ISBLANK(AS976),AVERAGE(AS976:AS1975),AS976)</f>
        <v>35000</v>
      </c>
      <c r="AU976" s="0" t="s">
        <v>61</v>
      </c>
      <c r="AV976" s="0" t="str">
        <f aca="false">PROPER(IF(ISBLANK(AU976),"No",AU976))</f>
        <v>No</v>
      </c>
      <c r="AX976" s="5" t="n">
        <f aca="false">IF(ISBLANK(AW976),0,AW976)</f>
        <v>0</v>
      </c>
      <c r="AY976" s="0" t="s">
        <v>60</v>
      </c>
      <c r="AZ976" s="0" t="str">
        <f aca="false">UPPER(IF(ISBLANK(AY976),"NONE",AY976))</f>
        <v>NONE</v>
      </c>
      <c r="BA976" s="7" t="s">
        <v>915</v>
      </c>
      <c r="BB976" s="7" t="str">
        <f aca="false">IF(ISBLANK(BA976),"No Follow Up Needed",BA976)</f>
        <v>26/10/2025</v>
      </c>
      <c r="BD976" s="0" t="str">
        <f aca="false">PROPER(IF(ISBLANK(BC976),"Unknown",BC976))</f>
        <v>Unknown</v>
      </c>
      <c r="BE976" s="0" t="s">
        <v>171</v>
      </c>
      <c r="BF976" s="0" t="str">
        <f aca="false">IF(ISBLANK(BE976),"No comments",BE976)</f>
        <v>Shock absorber weakening</v>
      </c>
      <c r="BG976" s="0" t="s">
        <v>172</v>
      </c>
      <c r="BH976" s="0" t="str">
        <f aca="false">IF(ISBLANK(BG976),"No comments",BG976)</f>
        <v>Always late</v>
      </c>
      <c r="BI976" s="0" t="s">
        <v>50</v>
      </c>
      <c r="BJ976" s="0" t="str">
        <f aca="false">IF(ISBLANK(BI976),"Not Mentioned",BI976)</f>
        <v>No</v>
      </c>
      <c r="BK976" s="0" t="s">
        <v>50</v>
      </c>
      <c r="BL976" s="0" t="str">
        <f aca="false">PROPER(IF(ISBLANK(BK976),"Not Mentioned",BK976))</f>
        <v>No</v>
      </c>
      <c r="BN976" s="0" t="str">
        <f aca="false">PROPER(IF(ISBLANK(BM976),"Not Mentioned",BM976))</f>
        <v>Not Mentioned</v>
      </c>
      <c r="BP976" s="0" t="str">
        <f aca="false">IF(ISBLANK(BO976),"One-Time Plan",BO976)</f>
        <v>One-Time Plan</v>
      </c>
      <c r="BQ976" s="0" t="s">
        <v>190</v>
      </c>
      <c r="BR976" s="0" t="str">
        <f aca="false">PROPER(IF(ISBLANK(BQ976),"No",BQ976))</f>
        <v>Yes</v>
      </c>
    </row>
    <row r="977" customFormat="false" ht="15" hidden="false" customHeight="false" outlineLevel="0" collapsed="false">
      <c r="A977" s="0" t="s">
        <v>2235</v>
      </c>
      <c r="B977" s="2" t="n">
        <v>45725</v>
      </c>
      <c r="C977" s="2" t="str">
        <f aca="false">TEXT(B977,"dd/mm/yyyy")</f>
        <v>09/03/2025</v>
      </c>
      <c r="D977" s="0" t="s">
        <v>163</v>
      </c>
      <c r="E977" s="0" t="n">
        <v>8098938318</v>
      </c>
      <c r="F977" s="0" t="s">
        <v>139</v>
      </c>
      <c r="G977" s="0" t="s">
        <v>2323</v>
      </c>
      <c r="H977" s="0" t="s">
        <v>2236</v>
      </c>
      <c r="I977" s="0" t="s">
        <v>45</v>
      </c>
      <c r="J977" s="0" t="s">
        <v>2317</v>
      </c>
      <c r="K977" s="3" t="str">
        <f aca="false" t="array" ref="K977:K977">IFERROR(IF(J977&lt;&gt;"",J977,INDEX(J977:J1976,MATCH(1,(F977:F1976=F977)*(I977:I1976=I977)*(L977:L1976=L977)*(J977:J1976&lt;&gt;""),0))),"Not Found")</f>
        <v>Suspension Noise</v>
      </c>
      <c r="L977" s="3" t="s">
        <v>47</v>
      </c>
      <c r="M977" s="0" t="str">
        <f aca="false">PROPER(L977)</f>
        <v>None</v>
      </c>
      <c r="N977" s="3" t="s">
        <v>71</v>
      </c>
      <c r="O977" s="0" t="str">
        <f aca="false" t="array" ref="O977:O977">IF(N977&lt;&gt;"",N977,_xlfn.xlookup(1,(L977:L1976=L977)*(N977:N1976&lt;&gt;""),N977:N1976,"Not Found"))</f>
        <v>Isaac Bobo</v>
      </c>
      <c r="P977" s="4" t="n">
        <v>93885</v>
      </c>
      <c r="Q977" s="0" t="s">
        <v>166</v>
      </c>
      <c r="R977" s="0" t="str">
        <f aca="false">PROPER(Q977)</f>
        <v>Transfer</v>
      </c>
      <c r="S977" s="0" t="s">
        <v>63</v>
      </c>
      <c r="T977" s="0" t="n">
        <v>5</v>
      </c>
      <c r="U977" s="5" t="n">
        <f aca="false">IF(ISBLANK(T977),AVERAGE(T977:T1976),T977)</f>
        <v>5</v>
      </c>
      <c r="V977" s="0" t="n">
        <v>2.7</v>
      </c>
      <c r="W977" s="0" t="s">
        <v>51</v>
      </c>
      <c r="X977" s="0" t="str">
        <f aca="false">IF(ISBLANK(W977),"No remarks",W977)</f>
        <v>Recommended further checks</v>
      </c>
      <c r="Y977" s="0" t="s">
        <v>52</v>
      </c>
      <c r="Z977" s="0" t="s">
        <v>159</v>
      </c>
      <c r="AA977" s="0" t="str">
        <f aca="false">PROPER(IF(ISBLANK(Z977),"Location Unavailable",Z977))</f>
        <v>Main Bay</v>
      </c>
      <c r="AB977" s="0" t="s">
        <v>75</v>
      </c>
      <c r="AC977" s="6" t="str">
        <f aca="false">PROPER(AB977)</f>
        <v>Mechanik Referal</v>
      </c>
      <c r="AD977" s="6" t="n">
        <v>45</v>
      </c>
      <c r="AE977" s="5" t="n">
        <f aca="false">IF(ISBLANK(AD977),AVERAGEIF(L977:L1976,L977,AD977:AD1976),AD977)</f>
        <v>45</v>
      </c>
      <c r="AF977" s="0" t="s">
        <v>96</v>
      </c>
      <c r="AG977" s="0" t="str">
        <f aca="false">PROPER(AF977)</f>
        <v>Ordered</v>
      </c>
      <c r="AH977" s="0" t="s">
        <v>77</v>
      </c>
      <c r="AI977" s="0" t="s">
        <v>98</v>
      </c>
      <c r="AJ977" s="0" t="str">
        <f aca="false">PROPER(AI977)</f>
        <v>Emergency</v>
      </c>
      <c r="AK977" s="0" t="s">
        <v>58</v>
      </c>
      <c r="AL977" s="0" t="str">
        <f aca="false">PROPER(AK977)</f>
        <v>Fleet Owner</v>
      </c>
      <c r="AN977" s="0" t="str">
        <f aca="false">IF(ISBLANK(AM977),"Unknown",AM977)</f>
        <v>Unknown</v>
      </c>
      <c r="AO977" s="0" t="s">
        <v>79</v>
      </c>
      <c r="AP977" s="0" t="str">
        <f aca="false">IF(ISBLANK(AO977),"Unknown",AO977)</f>
        <v>Specialist</v>
      </c>
      <c r="AQ977" s="0" t="n">
        <v>30000</v>
      </c>
      <c r="AR977" s="5" t="n">
        <f aca="false">IF(ISBLANK(AQ977),AVERAGEIF(M977:M1976,M977,AQ977:AQ1976),AQ977)</f>
        <v>30000</v>
      </c>
      <c r="AS977" s="0" t="n">
        <v>40000</v>
      </c>
      <c r="AT977" s="5" t="n">
        <f aca="false">IF(ISBLANK(AS977),AVERAGE(AS977:AS1976),AS977)</f>
        <v>40000</v>
      </c>
      <c r="AV977" s="0" t="str">
        <f aca="false">PROPER(IF(ISBLANK(AU977),"No",AU977))</f>
        <v>No</v>
      </c>
      <c r="AW977" s="0" t="n">
        <v>0</v>
      </c>
      <c r="AX977" s="5" t="n">
        <f aca="false">IF(ISBLANK(AW977),0,AW977)</f>
        <v>0</v>
      </c>
      <c r="AY977" s="0" t="s">
        <v>60</v>
      </c>
      <c r="AZ977" s="0" t="str">
        <f aca="false">UPPER(IF(ISBLANK(AY977),"NONE",AY977))</f>
        <v>NONE</v>
      </c>
      <c r="BA977" s="7" t="n">
        <v>45904</v>
      </c>
      <c r="BB977" s="7" t="n">
        <f aca="false">IF(ISBLANK(BA977),"No Follow Up Needed",BA977)</f>
        <v>45904</v>
      </c>
      <c r="BD977" s="0" t="str">
        <f aca="false">PROPER(IF(ISBLANK(BC977),"Unknown",BC977))</f>
        <v>Unknown</v>
      </c>
      <c r="BF977" s="0" t="str">
        <f aca="false">IF(ISBLANK(BE977),"No comments",BE977)</f>
        <v>No comments</v>
      </c>
      <c r="BG977" s="0" t="s">
        <v>2320</v>
      </c>
      <c r="BH977" s="0" t="str">
        <f aca="false">IF(ISBLANK(BG977),"No comments",BG977)</f>
        <v>No complaints</v>
      </c>
      <c r="BJ977" s="0" t="str">
        <f aca="false">IF(ISBLANK(BI977),"Not Mentioned",BI977)</f>
        <v>Not Mentioned</v>
      </c>
      <c r="BK977" s="0" t="s">
        <v>61</v>
      </c>
      <c r="BL977" s="0" t="str">
        <f aca="false">PROPER(IF(ISBLANK(BK977),"Not Mentioned",BK977))</f>
        <v>No</v>
      </c>
      <c r="BM977" s="0" t="s">
        <v>50</v>
      </c>
      <c r="BN977" s="0" t="str">
        <f aca="false">PROPER(IF(ISBLANK(BM977),"Not Mentioned",BM977))</f>
        <v>No</v>
      </c>
      <c r="BO977" s="0" t="s">
        <v>2321</v>
      </c>
      <c r="BP977" s="0" t="str">
        <f aca="false">IF(ISBLANK(BO977),"One-Time Plan",BO977)</f>
        <v>One-Time Plan</v>
      </c>
      <c r="BR977" s="0" t="str">
        <f aca="false">PROPER(IF(ISBLANK(BQ977),"No",BQ977))</f>
        <v>No</v>
      </c>
    </row>
    <row r="978" customFormat="false" ht="15" hidden="false" customHeight="false" outlineLevel="0" collapsed="false">
      <c r="A978" s="0" t="s">
        <v>2237</v>
      </c>
      <c r="B978" s="2" t="n">
        <v>45760</v>
      </c>
      <c r="C978" s="2" t="str">
        <f aca="false">TEXT(B978,"dd/mm/yyyy")</f>
        <v>13/04/2025</v>
      </c>
      <c r="D978" s="0" t="s">
        <v>42</v>
      </c>
      <c r="E978" s="0" t="n">
        <v>8082567218</v>
      </c>
      <c r="F978" s="0" t="s">
        <v>67</v>
      </c>
      <c r="G978" s="0" t="s">
        <v>2316</v>
      </c>
      <c r="H978" s="0" t="s">
        <v>2238</v>
      </c>
      <c r="I978" s="0" t="s">
        <v>107</v>
      </c>
      <c r="J978" s="0" t="s">
        <v>2325</v>
      </c>
      <c r="K978" s="3" t="str">
        <f aca="false" t="array" ref="K978:K978">IFERROR(IF(J978&lt;&gt;"",J978,INDEX(J978:J1977,MATCH(1,(F978:F1977=F978)*(I978:I1977=I978)*(L978:L1977=L978)*(J978:J1977&lt;&gt;""),0))),"Not Found")</f>
        <v>Engine Knocking</v>
      </c>
      <c r="L978" s="3" t="s">
        <v>47</v>
      </c>
      <c r="M978" s="0" t="str">
        <f aca="false">PROPER(L978)</f>
        <v>None</v>
      </c>
      <c r="N978" s="3" t="s">
        <v>109</v>
      </c>
      <c r="O978" s="0" t="str">
        <f aca="false" t="array" ref="O978:O978">IF(N978&lt;&gt;"",N978,_xlfn.xlookup(1,(L978:L1977=L978)*(N978:N1977&lt;&gt;""),N978:N1977,"Not Found"))</f>
        <v>Tijani</v>
      </c>
      <c r="P978" s="4" t="n">
        <v>15920</v>
      </c>
      <c r="Q978" s="0" t="s">
        <v>91</v>
      </c>
      <c r="R978" s="0" t="str">
        <f aca="false">PROPER(Q978)</f>
        <v>Pos</v>
      </c>
      <c r="S978" s="0" t="s">
        <v>50</v>
      </c>
      <c r="T978" s="0" t="n">
        <v>1</v>
      </c>
      <c r="U978" s="5" t="n">
        <f aca="false">IF(ISBLANK(T978),AVERAGE(T978:T1977),T978)</f>
        <v>1</v>
      </c>
      <c r="V978" s="0" t="n">
        <v>3.7</v>
      </c>
      <c r="W978" s="0" t="s">
        <v>125</v>
      </c>
      <c r="X978" s="0" t="str">
        <f aca="false">IF(ISBLANK(W978),"No remarks",W978)</f>
        <v>Customer waited</v>
      </c>
      <c r="Y978" s="0" t="s">
        <v>93</v>
      </c>
      <c r="AA978" s="0" t="str">
        <f aca="false">PROPER(IF(ISBLANK(Z978),"Location Unavailable",Z978))</f>
        <v>Location Unavailable</v>
      </c>
      <c r="AB978" s="0" t="s">
        <v>147</v>
      </c>
      <c r="AC978" s="6" t="str">
        <f aca="false">PROPER(AB978)</f>
        <v>Instagram</v>
      </c>
      <c r="AD978" s="6" t="n">
        <v>60</v>
      </c>
      <c r="AE978" s="5" t="n">
        <f aca="false">IF(ISBLANK(AD978),AVERAGEIF(L978:L1977,L978,AD978:AD1977),AD978)</f>
        <v>60</v>
      </c>
      <c r="AF978" s="0" t="s">
        <v>55</v>
      </c>
      <c r="AG978" s="0" t="str">
        <f aca="false">PROPER(AF978)</f>
        <v>Available</v>
      </c>
      <c r="AH978" s="0" t="s">
        <v>56</v>
      </c>
      <c r="AI978" s="0" t="s">
        <v>98</v>
      </c>
      <c r="AJ978" s="0" t="str">
        <f aca="false">PROPER(AI978)</f>
        <v>Emergency</v>
      </c>
      <c r="AK978" s="0" t="s">
        <v>196</v>
      </c>
      <c r="AL978" s="0" t="str">
        <f aca="false">PROPER(AK978)</f>
        <v>First Time</v>
      </c>
      <c r="AM978" s="0" t="s">
        <v>2326</v>
      </c>
      <c r="AN978" s="0" t="str">
        <f aca="false">IF(ISBLANK(AM978),"Unknown",AM978)</f>
        <v>Government Convoy</v>
      </c>
      <c r="AO978" s="0" t="s">
        <v>161</v>
      </c>
      <c r="AP978" s="0" t="str">
        <f aca="false">IF(ISBLANK(AO978),"Unknown",AO978)</f>
        <v>Apprentice</v>
      </c>
      <c r="AR978" s="5" t="n">
        <f aca="false">IF(ISBLANK(AQ978),AVERAGEIF(M978:M1977,M978,AQ978:AQ1977),AQ978)</f>
        <v>28333.3333333333</v>
      </c>
      <c r="AS978" s="0" t="n">
        <v>40000</v>
      </c>
      <c r="AT978" s="5" t="n">
        <f aca="false">IF(ISBLANK(AS978),AVERAGE(AS978:AS1977),AS978)</f>
        <v>40000</v>
      </c>
      <c r="AV978" s="0" t="str">
        <f aca="false">PROPER(IF(ISBLANK(AU978),"No",AU978))</f>
        <v>No</v>
      </c>
      <c r="AW978" s="0" t="n">
        <v>0</v>
      </c>
      <c r="AX978" s="5" t="n">
        <f aca="false">IF(ISBLANK(AW978),0,AW978)</f>
        <v>0</v>
      </c>
      <c r="AY978" s="0" t="s">
        <v>80</v>
      </c>
      <c r="AZ978" s="0" t="str">
        <f aca="false">UPPER(IF(ISBLANK(AY978),"NONE",AY978))</f>
        <v>PROMO10</v>
      </c>
      <c r="BA978" s="7" t="s">
        <v>1437</v>
      </c>
      <c r="BB978" s="7" t="str">
        <f aca="false">IF(ISBLANK(BA978),"No Follow Up Needed",BA978)</f>
        <v>28/08/2025</v>
      </c>
      <c r="BC978" s="0" t="s">
        <v>61</v>
      </c>
      <c r="BD978" s="0" t="str">
        <f aca="false">PROPER(IF(ISBLANK(BC978),"Unknown",BC978))</f>
        <v>No</v>
      </c>
      <c r="BF978" s="0" t="str">
        <f aca="false">IF(ISBLANK(BE978),"No comments",BE978)</f>
        <v>No comments</v>
      </c>
      <c r="BG978" s="0" t="s">
        <v>2320</v>
      </c>
      <c r="BH978" s="0" t="str">
        <f aca="false">IF(ISBLANK(BG978),"No comments",BG978)</f>
        <v>No complaints</v>
      </c>
      <c r="BI978" s="0" t="s">
        <v>50</v>
      </c>
      <c r="BJ978" s="0" t="str">
        <f aca="false">IF(ISBLANK(BI978),"Not Mentioned",BI978)</f>
        <v>No</v>
      </c>
      <c r="BK978" s="0" t="s">
        <v>61</v>
      </c>
      <c r="BL978" s="0" t="str">
        <f aca="false">PROPER(IF(ISBLANK(BK978),"Not Mentioned",BK978))</f>
        <v>No</v>
      </c>
      <c r="BM978" s="0" t="s">
        <v>63</v>
      </c>
      <c r="BN978" s="0" t="str">
        <f aca="false">PROPER(IF(ISBLANK(BM978),"Not Mentioned",BM978))</f>
        <v>Yes</v>
      </c>
      <c r="BO978" s="0" t="s">
        <v>2321</v>
      </c>
      <c r="BP978" s="0" t="str">
        <f aca="false">IF(ISBLANK(BO978),"One-Time Plan",BO978)</f>
        <v>One-Time Plan</v>
      </c>
      <c r="BR978" s="0" t="str">
        <f aca="false">PROPER(IF(ISBLANK(BQ978),"No",BQ978))</f>
        <v>No</v>
      </c>
    </row>
    <row r="979" customFormat="false" ht="15" hidden="false" customHeight="false" outlineLevel="0" collapsed="false">
      <c r="A979" s="0" t="s">
        <v>2239</v>
      </c>
      <c r="B979" s="2" t="n">
        <v>45767</v>
      </c>
      <c r="C979" s="2" t="str">
        <f aca="false">TEXT(B979,"dd/mm/yyyy")</f>
        <v>20/04/2025</v>
      </c>
      <c r="D979" s="0" t="s">
        <v>121</v>
      </c>
      <c r="E979" s="0" t="n">
        <v>8042333267</v>
      </c>
      <c r="F979" s="0" t="s">
        <v>67</v>
      </c>
      <c r="G979" s="0" t="s">
        <v>2316</v>
      </c>
      <c r="H979" s="0" t="s">
        <v>2240</v>
      </c>
      <c r="I979" s="0" t="s">
        <v>134</v>
      </c>
      <c r="J979" s="0" t="s">
        <v>2325</v>
      </c>
      <c r="K979" s="3" t="str">
        <f aca="false" t="array" ref="K979:K979">IFERROR(IF(J979&lt;&gt;"",J979,INDEX(J979:J1978,MATCH(1,(F979:F1978=F979)*(I979:I1978=I979)*(L979:L1978=L979)*(J979:J1978&lt;&gt;""),0))),"Not Found")</f>
        <v>Engine Knocking</v>
      </c>
      <c r="L979" s="3" t="s">
        <v>108</v>
      </c>
      <c r="M979" s="0" t="str">
        <f aca="false">PROPER(L979)</f>
        <v>Timing Belt</v>
      </c>
      <c r="N979" s="3" t="s">
        <v>109</v>
      </c>
      <c r="O979" s="0" t="str">
        <f aca="false" t="array" ref="O979:O979">IF(N979&lt;&gt;"",N979,_xlfn.xlookup(1,(L979:L1978=L979)*(N979:N1978&lt;&gt;""),N979:N1978,"Not Found"))</f>
        <v>Tijani</v>
      </c>
      <c r="P979" s="4" t="n">
        <v>89265</v>
      </c>
      <c r="Q979" s="0" t="s">
        <v>49</v>
      </c>
      <c r="R979" s="0" t="str">
        <f aca="false">PROPER(Q979)</f>
        <v>Transfer</v>
      </c>
      <c r="S979" s="0" t="s">
        <v>50</v>
      </c>
      <c r="T979" s="0" t="n">
        <v>4</v>
      </c>
      <c r="U979" s="5" t="n">
        <f aca="false">IF(ISBLANK(T979),AVERAGE(T979:T1978),T979)</f>
        <v>4</v>
      </c>
      <c r="V979" s="0" t="n">
        <v>4.4</v>
      </c>
      <c r="W979" s="0" t="s">
        <v>125</v>
      </c>
      <c r="X979" s="0" t="str">
        <f aca="false">IF(ISBLANK(W979),"No remarks",W979)</f>
        <v>Customer waited</v>
      </c>
      <c r="Y979" s="0" t="s">
        <v>93</v>
      </c>
      <c r="Z979" s="0" t="s">
        <v>159</v>
      </c>
      <c r="AA979" s="0" t="str">
        <f aca="false">PROPER(IF(ISBLANK(Z979),"Location Unavailable",Z979))</f>
        <v>Main Bay</v>
      </c>
      <c r="AB979" s="0" t="s">
        <v>95</v>
      </c>
      <c r="AC979" s="6" t="str">
        <f aca="false">PROPER(AB979)</f>
        <v>Road Sign</v>
      </c>
      <c r="AE979" s="5" t="n">
        <f aca="false">IF(ISBLANK(AD979),AVERAGEIF(L979:L1978,L979,AD979:AD1978),AD979)</f>
        <v>37.5</v>
      </c>
      <c r="AF979" s="0" t="s">
        <v>160</v>
      </c>
      <c r="AG979" s="0" t="str">
        <f aca="false">PROPER(AF979)</f>
        <v>Availaible</v>
      </c>
      <c r="AH979" s="0" t="s">
        <v>148</v>
      </c>
      <c r="AI979" s="0" t="s">
        <v>78</v>
      </c>
      <c r="AJ979" s="0" t="str">
        <f aca="false">PROPER(AI979)</f>
        <v>Booking</v>
      </c>
      <c r="AK979" s="0" t="s">
        <v>196</v>
      </c>
      <c r="AL979" s="0" t="str">
        <f aca="false">PROPER(AK979)</f>
        <v>First Time</v>
      </c>
      <c r="AM979" s="0" t="s">
        <v>2324</v>
      </c>
      <c r="AN979" s="0" t="str">
        <f aca="false">IF(ISBLANK(AM979),"Unknown",AM979)</f>
        <v>Logistics Convoy</v>
      </c>
      <c r="AO979" s="0" t="s">
        <v>79</v>
      </c>
      <c r="AP979" s="0" t="str">
        <f aca="false">IF(ISBLANK(AO979),"Unknown",AO979)</f>
        <v>Specialist</v>
      </c>
      <c r="AQ979" s="0" t="n">
        <v>40000</v>
      </c>
      <c r="AR979" s="5" t="n">
        <f aca="false">IF(ISBLANK(AQ979),AVERAGEIF(M979:M1978,M979,AQ979:AQ1978),AQ979)</f>
        <v>40000</v>
      </c>
      <c r="AS979" s="0" t="n">
        <v>30000</v>
      </c>
      <c r="AT979" s="5" t="n">
        <f aca="false">IF(ISBLANK(AS979),AVERAGE(AS979:AS1978),AS979)</f>
        <v>30000</v>
      </c>
      <c r="AU979" s="0" t="s">
        <v>82</v>
      </c>
      <c r="AV979" s="0" t="str">
        <f aca="false">PROPER(IF(ISBLANK(AU979),"No",AU979))</f>
        <v>Yes</v>
      </c>
      <c r="AW979" s="0" t="n">
        <v>0</v>
      </c>
      <c r="AX979" s="5" t="n">
        <f aca="false">IF(ISBLANK(AW979),0,AW979)</f>
        <v>0</v>
      </c>
      <c r="AZ979" s="0" t="str">
        <f aca="false">UPPER(IF(ISBLANK(AY979),"NONE",AY979))</f>
        <v>NONE</v>
      </c>
      <c r="BA979" s="7" t="n">
        <v>45849</v>
      </c>
      <c r="BB979" s="7" t="n">
        <f aca="false">IF(ISBLANK(BA979),"No Follow Up Needed",BA979)</f>
        <v>45849</v>
      </c>
      <c r="BC979" s="0" t="s">
        <v>61</v>
      </c>
      <c r="BD979" s="0" t="str">
        <f aca="false">PROPER(IF(ISBLANK(BC979),"Unknown",BC979))</f>
        <v>No</v>
      </c>
      <c r="BE979" s="0" t="s">
        <v>171</v>
      </c>
      <c r="BF979" s="0" t="str">
        <f aca="false">IF(ISBLANK(BE979),"No comments",BE979)</f>
        <v>Shock absorber weakening</v>
      </c>
      <c r="BG979" s="0" t="s">
        <v>172</v>
      </c>
      <c r="BH979" s="0" t="str">
        <f aca="false">IF(ISBLANK(BG979),"No comments",BG979)</f>
        <v>Always late</v>
      </c>
      <c r="BI979" s="0" t="s">
        <v>63</v>
      </c>
      <c r="BJ979" s="0" t="str">
        <f aca="false">IF(ISBLANK(BI979),"Not Mentioned",BI979)</f>
        <v>Yes</v>
      </c>
      <c r="BK979" s="0" t="s">
        <v>61</v>
      </c>
      <c r="BL979" s="0" t="str">
        <f aca="false">PROPER(IF(ISBLANK(BK979),"Not Mentioned",BK979))</f>
        <v>No</v>
      </c>
      <c r="BM979" s="0" t="s">
        <v>63</v>
      </c>
      <c r="BN979" s="0" t="str">
        <f aca="false">PROPER(IF(ISBLANK(BM979),"Not Mentioned",BM979))</f>
        <v>Yes</v>
      </c>
      <c r="BO979" s="0" t="s">
        <v>2318</v>
      </c>
      <c r="BP979" s="0" t="str">
        <f aca="false">IF(ISBLANK(BO979),"One-Time Plan",BO979)</f>
        <v>Gold</v>
      </c>
      <c r="BQ979" s="0" t="s">
        <v>50</v>
      </c>
      <c r="BR979" s="0" t="str">
        <f aca="false">PROPER(IF(ISBLANK(BQ979),"No",BQ979))</f>
        <v>No</v>
      </c>
    </row>
    <row r="980" customFormat="false" ht="15" hidden="false" customHeight="false" outlineLevel="0" collapsed="false">
      <c r="A980" s="0" t="s">
        <v>2241</v>
      </c>
      <c r="B980" s="2" t="n">
        <v>45701</v>
      </c>
      <c r="C980" s="2" t="str">
        <f aca="false">TEXT(B980,"dd/mm/yyyy")</f>
        <v>13/02/2025</v>
      </c>
      <c r="D980" s="0" t="s">
        <v>121</v>
      </c>
      <c r="E980" s="0" t="n">
        <v>8042662689</v>
      </c>
      <c r="F980" s="0" t="s">
        <v>139</v>
      </c>
      <c r="G980" s="0" t="s">
        <v>2323</v>
      </c>
      <c r="H980" s="0" t="s">
        <v>2242</v>
      </c>
      <c r="I980" s="0" t="s">
        <v>107</v>
      </c>
      <c r="J980" s="0" t="s">
        <v>2317</v>
      </c>
      <c r="K980" s="3" t="str">
        <f aca="false" t="array" ref="K980:K980">IFERROR(IF(J980&lt;&gt;"",J980,INDEX(J980:J1979,MATCH(1,(F980:F1979=F980)*(I980:I1979=I980)*(L980:L1979=L980)*(J980:J1979&lt;&gt;""),0))),"Not Found")</f>
        <v>Suspension Noise</v>
      </c>
      <c r="L980" s="3" t="s">
        <v>154</v>
      </c>
      <c r="M980" s="0" t="str">
        <f aca="false">PROPER(L980)</f>
        <v>Air Filter</v>
      </c>
      <c r="O980" s="0" t="e">
        <f aca="false" t="array" ref="O980:O980">IF(N980&lt;&gt;"",N980,_xlfn.xlookup(1,(L980:L1979=L980)*(N980:N1979&lt;&gt;""),N980:N1979,"Not Found"))</f>
        <v>#NAME?</v>
      </c>
      <c r="P980" s="4" t="n">
        <v>65264</v>
      </c>
      <c r="Q980" s="0" t="s">
        <v>124</v>
      </c>
      <c r="R980" s="0" t="str">
        <f aca="false">PROPER(Q980)</f>
        <v>Cash</v>
      </c>
      <c r="S980" s="0" t="s">
        <v>50</v>
      </c>
      <c r="T980" s="0" t="n">
        <v>3</v>
      </c>
      <c r="U980" s="5" t="n">
        <f aca="false">IF(ISBLANK(T980),AVERAGE(T980:T1979),T980)</f>
        <v>3</v>
      </c>
      <c r="V980" s="0" t="n">
        <v>5.7</v>
      </c>
      <c r="X980" s="0" t="str">
        <f aca="false">IF(ISBLANK(W980),"No remarks",W980)</f>
        <v>No remarks</v>
      </c>
      <c r="Y980" s="0" t="s">
        <v>73</v>
      </c>
      <c r="AA980" s="0" t="str">
        <f aca="false">PROPER(IF(ISBLANK(Z980),"Location Unavailable",Z980))</f>
        <v>Location Unavailable</v>
      </c>
      <c r="AB980" s="0" t="s">
        <v>126</v>
      </c>
      <c r="AC980" s="6" t="str">
        <f aca="false">PROPER(AB980)</f>
        <v>Whatsapp</v>
      </c>
      <c r="AD980" s="6" t="n">
        <v>45</v>
      </c>
      <c r="AE980" s="5" t="n">
        <f aca="false">IF(ISBLANK(AD980),AVERAGEIF(L980:L1979,L980,AD980:AD1979),AD980)</f>
        <v>45</v>
      </c>
      <c r="AF980" s="0" t="s">
        <v>160</v>
      </c>
      <c r="AG980" s="0" t="str">
        <f aca="false">PROPER(AF980)</f>
        <v>Availaible</v>
      </c>
      <c r="AH980" s="0" t="s">
        <v>148</v>
      </c>
      <c r="AI980" s="0" t="s">
        <v>78</v>
      </c>
      <c r="AJ980" s="0" t="str">
        <f aca="false">PROPER(AI980)</f>
        <v>Booking</v>
      </c>
      <c r="AK980" s="0" t="s">
        <v>196</v>
      </c>
      <c r="AL980" s="0" t="str">
        <f aca="false">PROPER(AK980)</f>
        <v>First Time</v>
      </c>
      <c r="AN980" s="0" t="str">
        <f aca="false">IF(ISBLANK(AM980),"Unknown",AM980)</f>
        <v>Unknown</v>
      </c>
      <c r="AP980" s="0" t="str">
        <f aca="false">IF(ISBLANK(AO980),"Unknown",AO980)</f>
        <v>Unknown</v>
      </c>
      <c r="AQ980" s="0" t="n">
        <v>40000</v>
      </c>
      <c r="AR980" s="5" t="n">
        <f aca="false">IF(ISBLANK(AQ980),AVERAGEIF(M980:M1979,M980,AQ980:AQ1979),AQ980)</f>
        <v>40000</v>
      </c>
      <c r="AS980" s="0" t="n">
        <v>35000</v>
      </c>
      <c r="AT980" s="5" t="n">
        <f aca="false">IF(ISBLANK(AS980),AVERAGE(AS980:AS1979),AS980)</f>
        <v>35000</v>
      </c>
      <c r="AU980" s="0" t="s">
        <v>82</v>
      </c>
      <c r="AV980" s="0" t="str">
        <f aca="false">PROPER(IF(ISBLANK(AU980),"No",AU980))</f>
        <v>Yes</v>
      </c>
      <c r="AX980" s="5" t="n">
        <f aca="false">IF(ISBLANK(AW980),0,AW980)</f>
        <v>0</v>
      </c>
      <c r="AY980" s="0" t="s">
        <v>130</v>
      </c>
      <c r="AZ980" s="0" t="str">
        <f aca="false">UPPER(IF(ISBLANK(AY980),"NONE",AY980))</f>
        <v>LOYALTY10</v>
      </c>
      <c r="BA980" s="7" t="n">
        <v>45849</v>
      </c>
      <c r="BB980" s="7" t="n">
        <f aca="false">IF(ISBLANK(BA980),"No Follow Up Needed",BA980)</f>
        <v>45849</v>
      </c>
      <c r="BC980" s="0" t="s">
        <v>50</v>
      </c>
      <c r="BD980" s="0" t="str">
        <f aca="false">PROPER(IF(ISBLANK(BC980),"Unknown",BC980))</f>
        <v>No</v>
      </c>
      <c r="BE980" s="0" t="s">
        <v>171</v>
      </c>
      <c r="BF980" s="0" t="str">
        <f aca="false">IF(ISBLANK(BE980),"No comments",BE980)</f>
        <v>Shock absorber weakening</v>
      </c>
      <c r="BG980" s="0" t="s">
        <v>117</v>
      </c>
      <c r="BH980" s="0" t="str">
        <f aca="false">IF(ISBLANK(BG980),"No comments",BG980)</f>
        <v>Prefers morning</v>
      </c>
      <c r="BI980" s="0" t="s">
        <v>63</v>
      </c>
      <c r="BJ980" s="0" t="str">
        <f aca="false">IF(ISBLANK(BI980),"Not Mentioned",BI980)</f>
        <v>Yes</v>
      </c>
      <c r="BL980" s="0" t="str">
        <f aca="false">PROPER(IF(ISBLANK(BK980),"Not Mentioned",BK980))</f>
        <v>Not Mentioned</v>
      </c>
      <c r="BM980" s="0" t="s">
        <v>63</v>
      </c>
      <c r="BN980" s="0" t="str">
        <f aca="false">PROPER(IF(ISBLANK(BM980),"Not Mentioned",BM980))</f>
        <v>Yes</v>
      </c>
      <c r="BO980" s="0" t="s">
        <v>2318</v>
      </c>
      <c r="BP980" s="0" t="str">
        <f aca="false">IF(ISBLANK(BO980),"One-Time Plan",BO980)</f>
        <v>Gold</v>
      </c>
      <c r="BR980" s="0" t="str">
        <f aca="false">PROPER(IF(ISBLANK(BQ980),"No",BQ980))</f>
        <v>No</v>
      </c>
    </row>
    <row r="981" customFormat="false" ht="15" hidden="false" customHeight="false" outlineLevel="0" collapsed="false">
      <c r="A981" s="0" t="s">
        <v>2243</v>
      </c>
      <c r="B981" s="2" t="n">
        <v>45748</v>
      </c>
      <c r="C981" s="2" t="str">
        <f aca="false">TEXT(B981,"dd/mm/yyyy")</f>
        <v>01/04/2025</v>
      </c>
      <c r="D981" s="0" t="s">
        <v>121</v>
      </c>
      <c r="E981" s="0" t="n">
        <v>8038405950</v>
      </c>
      <c r="F981" s="0" t="s">
        <v>67</v>
      </c>
      <c r="G981" s="0" t="s">
        <v>2316</v>
      </c>
      <c r="H981" s="0" t="s">
        <v>497</v>
      </c>
      <c r="I981" s="0" t="s">
        <v>87</v>
      </c>
      <c r="J981" s="0" t="s">
        <v>2322</v>
      </c>
      <c r="K981" s="3" t="str">
        <f aca="false" t="array" ref="K981:K981">IFERROR(IF(J981&lt;&gt;"",J981,INDEX(J981:J1980,MATCH(1,(F981:F1980=F981)*(I981:I1980=I981)*(L981:L1980=L981)*(J981:J1980&lt;&gt;""),0))),"Not Found")</f>
        <v>Brake Failure</v>
      </c>
      <c r="L981" s="3" t="s">
        <v>189</v>
      </c>
      <c r="M981" s="0" t="str">
        <f aca="false">PROPER(L981)</f>
        <v>Battery</v>
      </c>
      <c r="N981" s="3" t="s">
        <v>109</v>
      </c>
      <c r="O981" s="0" t="str">
        <f aca="false" t="array" ref="O981:O981">IF(N981&lt;&gt;"",N981,_xlfn.xlookup(1,(L981:L1980=L981)*(N981:N1980&lt;&gt;""),N981:N1980,"Not Found"))</f>
        <v>Tijani</v>
      </c>
      <c r="P981" s="4" t="n">
        <v>102013</v>
      </c>
      <c r="Q981" s="0" t="s">
        <v>110</v>
      </c>
      <c r="R981" s="0" t="str">
        <f aca="false">PROPER(Q981)</f>
        <v>Cash</v>
      </c>
      <c r="S981" s="0" t="s">
        <v>63</v>
      </c>
      <c r="U981" s="5" t="n">
        <f aca="false">IF(ISBLANK(T981),AVERAGE(T981:T1980),T981)</f>
        <v>3.7</v>
      </c>
      <c r="V981" s="0" t="n">
        <v>4.1</v>
      </c>
      <c r="W981" s="0" t="s">
        <v>111</v>
      </c>
      <c r="X981" s="0" t="str">
        <f aca="false">IF(ISBLANK(W981),"No remarks",W981)</f>
        <v>Changed all filters</v>
      </c>
      <c r="Y981" s="0" t="s">
        <v>52</v>
      </c>
      <c r="Z981" s="0" t="s">
        <v>94</v>
      </c>
      <c r="AA981" s="0" t="str">
        <f aca="false">PROPER(IF(ISBLANK(Z981),"Location Unavailable",Z981))</f>
        <v>Vip Section</v>
      </c>
      <c r="AB981" s="0" t="s">
        <v>75</v>
      </c>
      <c r="AC981" s="6" t="str">
        <f aca="false">PROPER(AB981)</f>
        <v>Mechanik Referal</v>
      </c>
      <c r="AD981" s="6" t="n">
        <v>45</v>
      </c>
      <c r="AE981" s="5" t="n">
        <f aca="false">IF(ISBLANK(AD981),AVERAGEIF(L981:L1980,L981,AD981:AD1980),AD981)</f>
        <v>45</v>
      </c>
      <c r="AF981" s="0" t="s">
        <v>55</v>
      </c>
      <c r="AG981" s="0" t="str">
        <f aca="false">PROPER(AF981)</f>
        <v>Available</v>
      </c>
      <c r="AH981" s="0" t="s">
        <v>148</v>
      </c>
      <c r="AI981" s="0" t="s">
        <v>98</v>
      </c>
      <c r="AJ981" s="0" t="str">
        <f aca="false">PROPER(AI981)</f>
        <v>Emergency</v>
      </c>
      <c r="AK981" s="0" t="s">
        <v>58</v>
      </c>
      <c r="AL981" s="0" t="str">
        <f aca="false">PROPER(AK981)</f>
        <v>Fleet Owner</v>
      </c>
      <c r="AM981" s="0" t="s">
        <v>2324</v>
      </c>
      <c r="AN981" s="0" t="str">
        <f aca="false">IF(ISBLANK(AM981),"Unknown",AM981)</f>
        <v>Logistics Convoy</v>
      </c>
      <c r="AO981" s="0" t="s">
        <v>143</v>
      </c>
      <c r="AP981" s="0" t="str">
        <f aca="false">IF(ISBLANK(AO981),"Unknown",AO981)</f>
        <v>Senior</v>
      </c>
      <c r="AR981" s="5" t="e">
        <f aca="false">IF(ISBLANK(AQ981),AVERAGEIF(M981:M1980,M981,AQ981:AQ1980),AQ981)</f>
        <v>#DIV/0!</v>
      </c>
      <c r="AT981" s="5" t="n">
        <f aca="false">IF(ISBLANK(AS981),AVERAGE(AS981:AS1980),AS981)</f>
        <v>30882.3529411765</v>
      </c>
      <c r="AU981" s="0" t="s">
        <v>63</v>
      </c>
      <c r="AV981" s="0" t="str">
        <f aca="false">PROPER(IF(ISBLANK(AU981),"No",AU981))</f>
        <v>Yes</v>
      </c>
      <c r="AW981" s="0" t="n">
        <v>5000</v>
      </c>
      <c r="AX981" s="5" t="n">
        <f aca="false">IF(ISBLANK(AW981),0,AW981)</f>
        <v>5000</v>
      </c>
      <c r="AY981" s="0" t="s">
        <v>184</v>
      </c>
      <c r="AZ981" s="0" t="str">
        <f aca="false">UPPER(IF(ISBLANK(AY981),"NONE",AY981))</f>
        <v>N/A</v>
      </c>
      <c r="BA981" s="7" t="n">
        <v>45724</v>
      </c>
      <c r="BB981" s="7" t="n">
        <f aca="false">IF(ISBLANK(BA981),"No Follow Up Needed",BA981)</f>
        <v>45724</v>
      </c>
      <c r="BD981" s="0" t="str">
        <f aca="false">PROPER(IF(ISBLANK(BC981),"Unknown",BC981))</f>
        <v>Unknown</v>
      </c>
      <c r="BE981" s="0" t="s">
        <v>116</v>
      </c>
      <c r="BF981" s="0" t="str">
        <f aca="false">IF(ISBLANK(BE981),"No comments",BE981)</f>
        <v>Needs tire alignment</v>
      </c>
      <c r="BH981" s="0" t="str">
        <f aca="false">IF(ISBLANK(BG981),"No comments",BG981)</f>
        <v>No comments</v>
      </c>
      <c r="BJ981" s="0" t="str">
        <f aca="false">IF(ISBLANK(BI981),"Not Mentioned",BI981)</f>
        <v>Not Mentioned</v>
      </c>
      <c r="BK981" s="0" t="s">
        <v>50</v>
      </c>
      <c r="BL981" s="0" t="str">
        <f aca="false">PROPER(IF(ISBLANK(BK981),"Not Mentioned",BK981))</f>
        <v>No</v>
      </c>
      <c r="BM981" s="0" t="s">
        <v>63</v>
      </c>
      <c r="BN981" s="0" t="str">
        <f aca="false">PROPER(IF(ISBLANK(BM981),"Not Mentioned",BM981))</f>
        <v>Yes</v>
      </c>
      <c r="BP981" s="0" t="str">
        <f aca="false">IF(ISBLANK(BO981),"One-Time Plan",BO981)</f>
        <v>One-Time Plan</v>
      </c>
      <c r="BQ981" s="0" t="s">
        <v>190</v>
      </c>
      <c r="BR981" s="0" t="str">
        <f aca="false">PROPER(IF(ISBLANK(BQ981),"No",BQ981))</f>
        <v>Yes</v>
      </c>
    </row>
    <row r="982" customFormat="false" ht="15" hidden="false" customHeight="false" outlineLevel="0" collapsed="false">
      <c r="A982" s="0" t="s">
        <v>2244</v>
      </c>
      <c r="B982" s="2" t="n">
        <v>45774</v>
      </c>
      <c r="C982" s="2" t="str">
        <f aca="false">TEXT(B982,"dd/mm/yyyy")</f>
        <v>27/04/2025</v>
      </c>
      <c r="D982" s="0" t="s">
        <v>121</v>
      </c>
      <c r="E982" s="0" t="n">
        <v>8032875131</v>
      </c>
      <c r="F982" s="0" t="s">
        <v>85</v>
      </c>
      <c r="G982" s="0" t="s">
        <v>2319</v>
      </c>
      <c r="H982" s="0" t="s">
        <v>2245</v>
      </c>
      <c r="I982" s="0" t="s">
        <v>87</v>
      </c>
      <c r="J982" s="0" t="s">
        <v>2322</v>
      </c>
      <c r="K982" s="3" t="str">
        <f aca="false" t="array" ref="K982:K982">IFERROR(IF(J982&lt;&gt;"",J982,INDEX(J982:J1981,MATCH(1,(F982:F1981=F982)*(I982:I1981=I982)*(L982:L1981=L982)*(J982:J1981&lt;&gt;""),0))),"Not Found")</f>
        <v>Brake Failure</v>
      </c>
      <c r="L982" s="3" t="s">
        <v>89</v>
      </c>
      <c r="M982" s="0" t="str">
        <f aca="false">PROPER(L982)</f>
        <v>Shock Absorbers</v>
      </c>
      <c r="N982" s="3" t="s">
        <v>71</v>
      </c>
      <c r="O982" s="0" t="str">
        <f aca="false" t="array" ref="O982:O982">IF(N982&lt;&gt;"",N982,_xlfn.xlookup(1,(L982:L1981=L982)*(N982:N1981&lt;&gt;""),N982:N1981,"Not Found"))</f>
        <v>Isaac Bobo</v>
      </c>
      <c r="P982" s="4" t="n">
        <v>93840</v>
      </c>
      <c r="Q982" s="0" t="s">
        <v>72</v>
      </c>
      <c r="R982" s="0" t="str">
        <f aca="false">PROPER(Q982)</f>
        <v>Pos</v>
      </c>
      <c r="S982" s="0" t="s">
        <v>50</v>
      </c>
      <c r="T982" s="0" t="n">
        <v>4</v>
      </c>
      <c r="U982" s="5" t="n">
        <f aca="false">IF(ISBLANK(T982),AVERAGE(T982:T1981),T982)</f>
        <v>4</v>
      </c>
      <c r="V982" s="0" t="n">
        <v>4.9</v>
      </c>
      <c r="X982" s="0" t="str">
        <f aca="false">IF(ISBLANK(W982),"No remarks",W982)</f>
        <v>No remarks</v>
      </c>
      <c r="Y982" s="0" t="s">
        <v>52</v>
      </c>
      <c r="AA982" s="0" t="str">
        <f aca="false">PROPER(IF(ISBLANK(Z982),"Location Unavailable",Z982))</f>
        <v>Location Unavailable</v>
      </c>
      <c r="AB982" s="0" t="s">
        <v>167</v>
      </c>
      <c r="AC982" s="6" t="str">
        <f aca="false">PROPER(AB982)</f>
        <v>Word Of Mouth</v>
      </c>
      <c r="AD982" s="6" t="n">
        <v>45</v>
      </c>
      <c r="AE982" s="5" t="n">
        <f aca="false">IF(ISBLANK(AD982),AVERAGEIF(L982:L1981,L982,AD982:AD1981),AD982)</f>
        <v>45</v>
      </c>
      <c r="AF982" s="0" t="s">
        <v>112</v>
      </c>
      <c r="AG982" s="0" t="str">
        <f aca="false">PROPER(AF982)</f>
        <v>Unavailable</v>
      </c>
      <c r="AH982" s="0" t="s">
        <v>56</v>
      </c>
      <c r="AI982" s="0" t="s">
        <v>78</v>
      </c>
      <c r="AJ982" s="0" t="str">
        <f aca="false">PROPER(AI982)</f>
        <v>Booking</v>
      </c>
      <c r="AK982" s="0" t="s">
        <v>99</v>
      </c>
      <c r="AL982" s="0" t="str">
        <f aca="false">PROPER(AK982)</f>
        <v>Uber Driver</v>
      </c>
      <c r="AM982" s="0" t="s">
        <v>59</v>
      </c>
      <c r="AN982" s="0" t="str">
        <f aca="false">IF(ISBLANK(AM982),"Unknown",AM982)</f>
        <v>Bolt Driver</v>
      </c>
      <c r="AO982" s="0" t="s">
        <v>79</v>
      </c>
      <c r="AP982" s="0" t="str">
        <f aca="false">IF(ISBLANK(AO982),"Unknown",AO982)</f>
        <v>Specialist</v>
      </c>
      <c r="AQ982" s="0" t="n">
        <v>20000</v>
      </c>
      <c r="AR982" s="5" t="n">
        <f aca="false">IF(ISBLANK(AQ982),AVERAGEIF(M982:M1981,M982,AQ982:AQ1981),AQ982)</f>
        <v>20000</v>
      </c>
      <c r="AS982" s="0" t="n">
        <v>40000</v>
      </c>
      <c r="AT982" s="5" t="n">
        <f aca="false">IF(ISBLANK(AS982),AVERAGE(AS982:AS1981),AS982)</f>
        <v>40000</v>
      </c>
      <c r="AU982" s="0" t="s">
        <v>82</v>
      </c>
      <c r="AV982" s="0" t="str">
        <f aca="false">PROPER(IF(ISBLANK(AU982),"No",AU982))</f>
        <v>Yes</v>
      </c>
      <c r="AW982" s="0" t="n">
        <v>0</v>
      </c>
      <c r="AX982" s="5" t="n">
        <f aca="false">IF(ISBLANK(AW982),0,AW982)</f>
        <v>0</v>
      </c>
      <c r="AY982" s="0" t="s">
        <v>60</v>
      </c>
      <c r="AZ982" s="0" t="str">
        <f aca="false">UPPER(IF(ISBLANK(AY982),"NONE",AY982))</f>
        <v>NONE</v>
      </c>
      <c r="BA982" s="7" t="n">
        <v>45940</v>
      </c>
      <c r="BB982" s="7" t="n">
        <f aca="false">IF(ISBLANK(BA982),"No Follow Up Needed",BA982)</f>
        <v>45940</v>
      </c>
      <c r="BD982" s="0" t="str">
        <f aca="false">PROPER(IF(ISBLANK(BC982),"Unknown",BC982))</f>
        <v>Unknown</v>
      </c>
      <c r="BF982" s="0" t="str">
        <f aca="false">IF(ISBLANK(BE982),"No comments",BE982)</f>
        <v>No comments</v>
      </c>
      <c r="BH982" s="0" t="str">
        <f aca="false">IF(ISBLANK(BG982),"No comments",BG982)</f>
        <v>No comments</v>
      </c>
      <c r="BI982" s="0" t="s">
        <v>63</v>
      </c>
      <c r="BJ982" s="0" t="str">
        <f aca="false">IF(ISBLANK(BI982),"Not Mentioned",BI982)</f>
        <v>Yes</v>
      </c>
      <c r="BK982" s="0" t="s">
        <v>50</v>
      </c>
      <c r="BL982" s="0" t="str">
        <f aca="false">PROPER(IF(ISBLANK(BK982),"Not Mentioned",BK982))</f>
        <v>No</v>
      </c>
      <c r="BN982" s="0" t="str">
        <f aca="false">PROPER(IF(ISBLANK(BM982),"Not Mentioned",BM982))</f>
        <v>Not Mentioned</v>
      </c>
      <c r="BP982" s="0" t="str">
        <f aca="false">IF(ISBLANK(BO982),"One-Time Plan",BO982)</f>
        <v>One-Time Plan</v>
      </c>
      <c r="BQ982" s="0" t="s">
        <v>198</v>
      </c>
      <c r="BR982" s="0" t="str">
        <f aca="false">PROPER(IF(ISBLANK(BQ982),"No",BQ982))</f>
        <v>Followed Up</v>
      </c>
    </row>
    <row r="983" customFormat="false" ht="15" hidden="false" customHeight="false" outlineLevel="0" collapsed="false">
      <c r="A983" s="0" t="s">
        <v>2246</v>
      </c>
      <c r="B983" s="2" t="s">
        <v>1408</v>
      </c>
      <c r="C983" s="2" t="str">
        <f aca="false">TEXT(B983,"dd/mm/yyyy")</f>
        <v>18/02/2025</v>
      </c>
      <c r="D983" s="0" t="s">
        <v>163</v>
      </c>
      <c r="E983" s="0" t="n">
        <v>8098549488</v>
      </c>
      <c r="F983" s="0" t="s">
        <v>43</v>
      </c>
      <c r="G983" s="0" t="s">
        <v>2315</v>
      </c>
      <c r="H983" s="0" t="s">
        <v>1826</v>
      </c>
      <c r="I983" s="0" t="s">
        <v>134</v>
      </c>
      <c r="J983" s="0" t="s">
        <v>2325</v>
      </c>
      <c r="K983" s="3" t="str">
        <f aca="false" t="array" ref="K983:K983">IFERROR(IF(J983&lt;&gt;"",J983,INDEX(J983:J1982,MATCH(1,(F983:F1982=F983)*(I983:I1982=I983)*(L983:L1982=L983)*(J983:J1982&lt;&gt;""),0))),"Not Found")</f>
        <v>Engine Knocking</v>
      </c>
      <c r="L983" s="3" t="s">
        <v>108</v>
      </c>
      <c r="M983" s="0" t="str">
        <f aca="false">PROPER(L983)</f>
        <v>Timing Belt</v>
      </c>
      <c r="N983" s="3" t="s">
        <v>48</v>
      </c>
      <c r="O983" s="0" t="str">
        <f aca="false" t="array" ref="O983:O983">IF(N983&lt;&gt;"",N983,_xlfn.xlookup(1,(L983:L1982=L983)*(N983:N1982&lt;&gt;""),N983:N1982,"Not Found"))</f>
        <v>Uche</v>
      </c>
      <c r="P983" s="4" t="n">
        <v>47098</v>
      </c>
      <c r="Q983" s="0" t="s">
        <v>49</v>
      </c>
      <c r="R983" s="0" t="str">
        <f aca="false">PROPER(Q983)</f>
        <v>Transfer</v>
      </c>
      <c r="S983" s="0" t="s">
        <v>50</v>
      </c>
      <c r="T983" s="0" t="n">
        <v>2</v>
      </c>
      <c r="U983" s="5" t="n">
        <f aca="false">IF(ISBLANK(T983),AVERAGE(T983:T1982),T983)</f>
        <v>2</v>
      </c>
      <c r="V983" s="0" t="n">
        <v>5.9</v>
      </c>
      <c r="W983" s="0" t="s">
        <v>51</v>
      </c>
      <c r="X983" s="0" t="str">
        <f aca="false">IF(ISBLANK(W983),"No remarks",W983)</f>
        <v>Recommended further checks</v>
      </c>
      <c r="Y983" s="0" t="s">
        <v>93</v>
      </c>
      <c r="Z983" s="0" t="s">
        <v>159</v>
      </c>
      <c r="AA983" s="0" t="str">
        <f aca="false">PROPER(IF(ISBLANK(Z983),"Location Unavailable",Z983))</f>
        <v>Main Bay</v>
      </c>
      <c r="AB983" s="0" t="s">
        <v>75</v>
      </c>
      <c r="AC983" s="6" t="str">
        <f aca="false">PROPER(AB983)</f>
        <v>Mechanik Referal</v>
      </c>
      <c r="AE983" s="5" t="n">
        <f aca="false">IF(ISBLANK(AD983),AVERAGEIF(L983:L1982,L983,AD983:AD1982),AD983)</f>
        <v>37.5</v>
      </c>
      <c r="AF983" s="0" t="s">
        <v>96</v>
      </c>
      <c r="AG983" s="0" t="str">
        <f aca="false">PROPER(AF983)</f>
        <v>Ordered</v>
      </c>
      <c r="AH983" s="0" t="s">
        <v>148</v>
      </c>
      <c r="AI983" s="0" t="s">
        <v>98</v>
      </c>
      <c r="AJ983" s="0" t="str">
        <f aca="false">PROPER(AI983)</f>
        <v>Emergency</v>
      </c>
      <c r="AK983" s="0" t="s">
        <v>114</v>
      </c>
      <c r="AL983" s="0" t="str">
        <f aca="false">PROPER(AK983)</f>
        <v>Returning</v>
      </c>
      <c r="AN983" s="0" t="str">
        <f aca="false">IF(ISBLANK(AM983),"Unknown",AM983)</f>
        <v>Unknown</v>
      </c>
      <c r="AP983" s="0" t="str">
        <f aca="false">IF(ISBLANK(AO983),"Unknown",AO983)</f>
        <v>Unknown</v>
      </c>
      <c r="AQ983" s="0" t="n">
        <v>20000</v>
      </c>
      <c r="AR983" s="5" t="n">
        <f aca="false">IF(ISBLANK(AQ983),AVERAGEIF(M983:M1982,M983,AQ983:AQ1982),AQ983)</f>
        <v>20000</v>
      </c>
      <c r="AS983" s="0" t="n">
        <v>35000</v>
      </c>
      <c r="AT983" s="5" t="n">
        <f aca="false">IF(ISBLANK(AS983),AVERAGE(AS983:AS1982),AS983)</f>
        <v>35000</v>
      </c>
      <c r="AU983" s="0" t="s">
        <v>50</v>
      </c>
      <c r="AV983" s="0" t="str">
        <f aca="false">PROPER(IF(ISBLANK(AU983),"No",AU983))</f>
        <v>No</v>
      </c>
      <c r="AW983" s="0" t="n">
        <v>5000</v>
      </c>
      <c r="AX983" s="5" t="n">
        <f aca="false">IF(ISBLANK(AW983),0,AW983)</f>
        <v>5000</v>
      </c>
      <c r="AY983" s="0" t="s">
        <v>60</v>
      </c>
      <c r="AZ983" s="0" t="str">
        <f aca="false">UPPER(IF(ISBLANK(AY983),"NONE",AY983))</f>
        <v>NONE</v>
      </c>
      <c r="BB983" s="7" t="str">
        <f aca="false">IF(ISBLANK(BA983),"No Follow Up Needed",BA983)</f>
        <v>No Follow Up Needed</v>
      </c>
      <c r="BC983" s="0" t="s">
        <v>82</v>
      </c>
      <c r="BD983" s="0" t="str">
        <f aca="false">PROPER(IF(ISBLANK(BC983),"Unknown",BC983))</f>
        <v>Yes</v>
      </c>
      <c r="BE983" s="0" t="s">
        <v>116</v>
      </c>
      <c r="BF983" s="0" t="str">
        <f aca="false">IF(ISBLANK(BE983),"No comments",BE983)</f>
        <v>Needs tire alignment</v>
      </c>
      <c r="BH983" s="0" t="str">
        <f aca="false">IF(ISBLANK(BG983),"No comments",BG983)</f>
        <v>No comments</v>
      </c>
      <c r="BI983" s="0" t="s">
        <v>63</v>
      </c>
      <c r="BJ983" s="0" t="str">
        <f aca="false">IF(ISBLANK(BI983),"Not Mentioned",BI983)</f>
        <v>Yes</v>
      </c>
      <c r="BK983" s="0" t="s">
        <v>63</v>
      </c>
      <c r="BL983" s="0" t="str">
        <f aca="false">PROPER(IF(ISBLANK(BK983),"Not Mentioned",BK983))</f>
        <v>Yes</v>
      </c>
      <c r="BM983" s="0" t="s">
        <v>50</v>
      </c>
      <c r="BN983" s="0" t="str">
        <f aca="false">PROPER(IF(ISBLANK(BM983),"Not Mentioned",BM983))</f>
        <v>No</v>
      </c>
      <c r="BP983" s="0" t="str">
        <f aca="false">IF(ISBLANK(BO983),"One-Time Plan",BO983)</f>
        <v>One-Time Plan</v>
      </c>
      <c r="BQ983" s="0" t="s">
        <v>50</v>
      </c>
      <c r="BR983" s="0" t="str">
        <f aca="false">PROPER(IF(ISBLANK(BQ983),"No",BQ983))</f>
        <v>No</v>
      </c>
    </row>
    <row r="984" customFormat="false" ht="15" hidden="false" customHeight="false" outlineLevel="0" collapsed="false">
      <c r="A984" s="0" t="s">
        <v>2247</v>
      </c>
      <c r="B984" s="2" t="n">
        <v>45873</v>
      </c>
      <c r="C984" s="2" t="str">
        <f aca="false">TEXT(B984,"dd/mm/yyyy")</f>
        <v>04/08/2025</v>
      </c>
      <c r="D984" s="0" t="s">
        <v>163</v>
      </c>
      <c r="E984" s="0" t="n">
        <v>8022003335</v>
      </c>
      <c r="F984" s="0" t="s">
        <v>139</v>
      </c>
      <c r="G984" s="0" t="s">
        <v>2323</v>
      </c>
      <c r="H984" s="0" t="s">
        <v>2248</v>
      </c>
      <c r="I984" s="0" t="s">
        <v>87</v>
      </c>
      <c r="J984" s="0" t="s">
        <v>87</v>
      </c>
      <c r="K984" s="3" t="str">
        <f aca="false" t="array" ref="K984:K984">IFERROR(IF(J984&lt;&gt;"",J984,INDEX(J984:J1983,MATCH(1,(F984:F1983=F984)*(I984:I1983=I984)*(L984:L1983=L984)*(J984:J1983&lt;&gt;""),0))),"Not Found")</f>
        <v>Oil Change</v>
      </c>
      <c r="L984" s="3" t="s">
        <v>142</v>
      </c>
      <c r="M984" s="0" t="str">
        <f aca="false">PROPER(L984)</f>
        <v>Oil Filter, Brake Pads</v>
      </c>
      <c r="O984" s="0" t="e">
        <f aca="false" t="array" ref="O984:O984">IF(N984&lt;&gt;"",N984,_xlfn.xlookup(1,(L984:L1983=L984)*(N984:N1983&lt;&gt;""),N984:N1983,"Not Found"))</f>
        <v>#NAME?</v>
      </c>
      <c r="P984" s="4" t="n">
        <v>119456</v>
      </c>
      <c r="Q984" s="0" t="s">
        <v>49</v>
      </c>
      <c r="R984" s="0" t="str">
        <f aca="false">PROPER(Q984)</f>
        <v>Transfer</v>
      </c>
      <c r="S984" s="0" t="s">
        <v>63</v>
      </c>
      <c r="T984" s="0" t="n">
        <v>5</v>
      </c>
      <c r="U984" s="5" t="n">
        <f aca="false">IF(ISBLANK(T984),AVERAGE(T984:T1983),T984)</f>
        <v>5</v>
      </c>
      <c r="V984" s="0" t="n">
        <v>2.7</v>
      </c>
      <c r="W984" s="0" t="s">
        <v>111</v>
      </c>
      <c r="X984" s="0" t="str">
        <f aca="false">IF(ISBLANK(W984),"No remarks",W984)</f>
        <v>Changed all filters</v>
      </c>
      <c r="Y984" s="0" t="s">
        <v>93</v>
      </c>
      <c r="Z984" s="0" t="s">
        <v>74</v>
      </c>
      <c r="AA984" s="0" t="str">
        <f aca="false">PROPER(IF(ISBLANK(Z984),"Location Unavailable",Z984))</f>
        <v>Under Tree</v>
      </c>
      <c r="AB984" s="0" t="s">
        <v>95</v>
      </c>
      <c r="AC984" s="6" t="str">
        <f aca="false">PROPER(AB984)</f>
        <v>Road Sign</v>
      </c>
      <c r="AE984" s="5" t="n">
        <f aca="false">IF(ISBLANK(AD984),AVERAGEIF(L984:L1983,L984,AD984:AD1983),AD984)</f>
        <v>45</v>
      </c>
      <c r="AF984" s="0" t="s">
        <v>76</v>
      </c>
      <c r="AG984" s="0" t="str">
        <f aca="false">PROPER(AF984)</f>
        <v>Orderd</v>
      </c>
      <c r="AH984" s="0" t="s">
        <v>56</v>
      </c>
      <c r="AI984" s="0" t="s">
        <v>98</v>
      </c>
      <c r="AJ984" s="0" t="str">
        <f aca="false">PROPER(AI984)</f>
        <v>Emergency</v>
      </c>
      <c r="AK984" s="0" t="s">
        <v>196</v>
      </c>
      <c r="AL984" s="0" t="str">
        <f aca="false">PROPER(AK984)</f>
        <v>First Time</v>
      </c>
      <c r="AN984" s="0" t="str">
        <f aca="false">IF(ISBLANK(AM984),"Unknown",AM984)</f>
        <v>Unknown</v>
      </c>
      <c r="AO984" s="0" t="s">
        <v>149</v>
      </c>
      <c r="AP984" s="0" t="str">
        <f aca="false">IF(ISBLANK(AO984),"Unknown",AO984)</f>
        <v>Senior </v>
      </c>
      <c r="AQ984" s="0" t="n">
        <v>15000</v>
      </c>
      <c r="AR984" s="5" t="n">
        <f aca="false">IF(ISBLANK(AQ984),AVERAGEIF(M984:M1983,M984,AQ984:AQ1983),AQ984)</f>
        <v>15000</v>
      </c>
      <c r="AS984" s="0" t="n">
        <v>30000</v>
      </c>
      <c r="AT984" s="5" t="n">
        <f aca="false">IF(ISBLANK(AS984),AVERAGE(AS984:AS1983),AS984)</f>
        <v>30000</v>
      </c>
      <c r="AU984" s="0" t="s">
        <v>50</v>
      </c>
      <c r="AV984" s="0" t="str">
        <f aca="false">PROPER(IF(ISBLANK(AU984),"No",AU984))</f>
        <v>No</v>
      </c>
      <c r="AW984" s="0" t="n">
        <v>10000</v>
      </c>
      <c r="AX984" s="5" t="n">
        <f aca="false">IF(ISBLANK(AW984),0,AW984)</f>
        <v>10000</v>
      </c>
      <c r="AY984" s="0" t="s">
        <v>60</v>
      </c>
      <c r="AZ984" s="0" t="str">
        <f aca="false">UPPER(IF(ISBLANK(AY984),"NONE",AY984))</f>
        <v>NONE</v>
      </c>
      <c r="BA984" s="7" t="n">
        <v>45877</v>
      </c>
      <c r="BB984" s="7" t="n">
        <f aca="false">IF(ISBLANK(BA984),"No Follow Up Needed",BA984)</f>
        <v>45877</v>
      </c>
      <c r="BC984" s="0" t="s">
        <v>61</v>
      </c>
      <c r="BD984" s="0" t="str">
        <f aca="false">PROPER(IF(ISBLANK(BC984),"Unknown",BC984))</f>
        <v>No</v>
      </c>
      <c r="BE984" s="0" t="s">
        <v>171</v>
      </c>
      <c r="BF984" s="0" t="str">
        <f aca="false">IF(ISBLANK(BE984),"No comments",BE984)</f>
        <v>Shock absorber weakening</v>
      </c>
      <c r="BH984" s="0" t="str">
        <f aca="false">IF(ISBLANK(BG984),"No comments",BG984)</f>
        <v>No comments</v>
      </c>
      <c r="BI984" s="0" t="s">
        <v>50</v>
      </c>
      <c r="BJ984" s="0" t="str">
        <f aca="false">IF(ISBLANK(BI984),"Not Mentioned",BI984)</f>
        <v>No</v>
      </c>
      <c r="BK984" s="0" t="s">
        <v>50</v>
      </c>
      <c r="BL984" s="0" t="str">
        <f aca="false">PROPER(IF(ISBLANK(BK984),"Not Mentioned",BK984))</f>
        <v>No</v>
      </c>
      <c r="BM984" s="0" t="s">
        <v>63</v>
      </c>
      <c r="BN984" s="0" t="str">
        <f aca="false">PROPER(IF(ISBLANK(BM984),"Not Mentioned",BM984))</f>
        <v>Yes</v>
      </c>
      <c r="BO984" s="0" t="s">
        <v>64</v>
      </c>
      <c r="BP984" s="0" t="str">
        <f aca="false">IF(ISBLANK(BO984),"One-Time Plan",BO984)</f>
        <v>Gold Maintenance Plan</v>
      </c>
      <c r="BQ984" s="0" t="s">
        <v>50</v>
      </c>
      <c r="BR984" s="0" t="str">
        <f aca="false">PROPER(IF(ISBLANK(BQ984),"No",BQ984))</f>
        <v>No</v>
      </c>
    </row>
    <row r="985" customFormat="false" ht="15" hidden="false" customHeight="false" outlineLevel="0" collapsed="false">
      <c r="A985" s="0" t="s">
        <v>2249</v>
      </c>
      <c r="B985" s="2" t="n">
        <v>45722</v>
      </c>
      <c r="C985" s="2" t="str">
        <f aca="false">TEXT(B985,"dd/mm/yyyy")</f>
        <v>06/03/2025</v>
      </c>
      <c r="D985" s="0" t="s">
        <v>42</v>
      </c>
      <c r="E985" s="0" t="n">
        <v>8024155900</v>
      </c>
      <c r="F985" s="0" t="s">
        <v>139</v>
      </c>
      <c r="G985" s="0" t="s">
        <v>2323</v>
      </c>
      <c r="H985" s="0" t="s">
        <v>1551</v>
      </c>
      <c r="I985" s="0" t="s">
        <v>134</v>
      </c>
      <c r="J985" s="0" t="s">
        <v>2322</v>
      </c>
      <c r="K985" s="3" t="str">
        <f aca="false" t="array" ref="K985:K985">IFERROR(IF(J985&lt;&gt;"",J985,INDEX(J985:J1984,MATCH(1,(F985:F1984=F985)*(I985:I1984=I985)*(L985:L1984=L985)*(J985:J1984&lt;&gt;""),0))),"Not Found")</f>
        <v>Brake Failure</v>
      </c>
      <c r="L985" s="3" t="s">
        <v>108</v>
      </c>
      <c r="M985" s="0" t="str">
        <f aca="false">PROPER(L985)</f>
        <v>Timing Belt</v>
      </c>
      <c r="N985" s="3" t="s">
        <v>71</v>
      </c>
      <c r="O985" s="0" t="str">
        <f aca="false" t="array" ref="O985:O985">IF(N985&lt;&gt;"",N985,_xlfn.xlookup(1,(L985:L1984=L985)*(N985:N1984&lt;&gt;""),N985:N1984,"Not Found"))</f>
        <v>Isaac Bobo</v>
      </c>
      <c r="P985" s="4" t="n">
        <v>89930</v>
      </c>
      <c r="Q985" s="0" t="s">
        <v>110</v>
      </c>
      <c r="R985" s="0" t="str">
        <f aca="false">PROPER(Q985)</f>
        <v>Cash</v>
      </c>
      <c r="S985" s="0" t="s">
        <v>63</v>
      </c>
      <c r="T985" s="0" t="n">
        <v>4</v>
      </c>
      <c r="U985" s="5" t="n">
        <f aca="false">IF(ISBLANK(T985),AVERAGE(T985:T1984),T985)</f>
        <v>4</v>
      </c>
      <c r="V985" s="0" t="n">
        <v>1.1</v>
      </c>
      <c r="W985" s="0" t="s">
        <v>125</v>
      </c>
      <c r="X985" s="0" t="str">
        <f aca="false">IF(ISBLANK(W985),"No remarks",W985)</f>
        <v>Customer waited</v>
      </c>
      <c r="Y985" s="0" t="s">
        <v>93</v>
      </c>
      <c r="Z985" s="0" t="s">
        <v>94</v>
      </c>
      <c r="AA985" s="0" t="str">
        <f aca="false">PROPER(IF(ISBLANK(Z985),"Location Unavailable",Z985))</f>
        <v>Vip Section</v>
      </c>
      <c r="AB985" s="0" t="s">
        <v>95</v>
      </c>
      <c r="AC985" s="6" t="str">
        <f aca="false">PROPER(AB985)</f>
        <v>Road Sign</v>
      </c>
      <c r="AD985" s="6" t="n">
        <v>30</v>
      </c>
      <c r="AE985" s="5" t="n">
        <f aca="false">IF(ISBLANK(AD985),AVERAGEIF(L985:L1984,L985,AD985:AD1984),AD985)</f>
        <v>30</v>
      </c>
      <c r="AF985" s="0" t="s">
        <v>160</v>
      </c>
      <c r="AG985" s="0" t="str">
        <f aca="false">PROPER(AF985)</f>
        <v>Availaible</v>
      </c>
      <c r="AH985" s="0" t="s">
        <v>77</v>
      </c>
      <c r="AI985" s="0" t="s">
        <v>113</v>
      </c>
      <c r="AJ985" s="0" t="str">
        <f aca="false">PROPER(AI985)</f>
        <v>Normal</v>
      </c>
      <c r="AK985" s="0" t="s">
        <v>196</v>
      </c>
      <c r="AL985" s="0" t="str">
        <f aca="false">PROPER(AK985)</f>
        <v>First Time</v>
      </c>
      <c r="AM985" s="0" t="s">
        <v>2326</v>
      </c>
      <c r="AN985" s="0" t="str">
        <f aca="false">IF(ISBLANK(AM985),"Unknown",AM985)</f>
        <v>Government Convoy</v>
      </c>
      <c r="AO985" s="0" t="s">
        <v>79</v>
      </c>
      <c r="AP985" s="0" t="str">
        <f aca="false">IF(ISBLANK(AO985),"Unknown",AO985)</f>
        <v>Specialist</v>
      </c>
      <c r="AQ985" s="0" t="n">
        <v>25000</v>
      </c>
      <c r="AR985" s="5" t="n">
        <f aca="false">IF(ISBLANK(AQ985),AVERAGEIF(M985:M1984,M985,AQ985:AQ1984),AQ985)</f>
        <v>25000</v>
      </c>
      <c r="AS985" s="0" t="n">
        <v>20000</v>
      </c>
      <c r="AT985" s="5" t="n">
        <f aca="false">IF(ISBLANK(AS985),AVERAGE(AS985:AS1984),AS985)</f>
        <v>20000</v>
      </c>
      <c r="AU985" s="0" t="s">
        <v>82</v>
      </c>
      <c r="AV985" s="0" t="str">
        <f aca="false">PROPER(IF(ISBLANK(AU985),"No",AU985))</f>
        <v>Yes</v>
      </c>
      <c r="AW985" s="0" t="n">
        <v>5000</v>
      </c>
      <c r="AX985" s="5" t="n">
        <f aca="false">IF(ISBLANK(AW985),0,AW985)</f>
        <v>5000</v>
      </c>
      <c r="AZ985" s="0" t="str">
        <f aca="false">UPPER(IF(ISBLANK(AY985),"NONE",AY985))</f>
        <v>NONE</v>
      </c>
      <c r="BB985" s="7" t="str">
        <f aca="false">IF(ISBLANK(BA985),"No Follow Up Needed",BA985)</f>
        <v>No Follow Up Needed</v>
      </c>
      <c r="BC985" s="0" t="s">
        <v>82</v>
      </c>
      <c r="BD985" s="0" t="str">
        <f aca="false">PROPER(IF(ISBLANK(BC985),"Unknown",BC985))</f>
        <v>Yes</v>
      </c>
      <c r="BE985" s="0" t="s">
        <v>116</v>
      </c>
      <c r="BF985" s="0" t="str">
        <f aca="false">IF(ISBLANK(BE985),"No comments",BE985)</f>
        <v>Needs tire alignment</v>
      </c>
      <c r="BG985" s="0" t="s">
        <v>2320</v>
      </c>
      <c r="BH985" s="0" t="str">
        <f aca="false">IF(ISBLANK(BG985),"No comments",BG985)</f>
        <v>No complaints</v>
      </c>
      <c r="BI985" s="0" t="s">
        <v>63</v>
      </c>
      <c r="BJ985" s="0" t="str">
        <f aca="false">IF(ISBLANK(BI985),"Not Mentioned",BI985)</f>
        <v>Yes</v>
      </c>
      <c r="BK985" s="0" t="s">
        <v>63</v>
      </c>
      <c r="BL985" s="0" t="str">
        <f aca="false">PROPER(IF(ISBLANK(BK985),"Not Mentioned",BK985))</f>
        <v>Yes</v>
      </c>
      <c r="BN985" s="0" t="str">
        <f aca="false">PROPER(IF(ISBLANK(BM985),"Not Mentioned",BM985))</f>
        <v>Not Mentioned</v>
      </c>
      <c r="BO985" s="0" t="s">
        <v>64</v>
      </c>
      <c r="BP985" s="0" t="str">
        <f aca="false">IF(ISBLANK(BO985),"One-Time Plan",BO985)</f>
        <v>Gold Maintenance Plan</v>
      </c>
      <c r="BR985" s="0" t="str">
        <f aca="false">PROPER(IF(ISBLANK(BQ985),"No",BQ985))</f>
        <v>No</v>
      </c>
    </row>
    <row r="986" customFormat="false" ht="15" hidden="false" customHeight="false" outlineLevel="0" collapsed="false">
      <c r="A986" s="0" t="s">
        <v>2250</v>
      </c>
      <c r="B986" s="2" t="s">
        <v>788</v>
      </c>
      <c r="C986" s="2" t="str">
        <f aca="false">TEXT(B986,"dd/mm/yyyy")</f>
        <v>18/04/2025</v>
      </c>
      <c r="D986" s="0" t="s">
        <v>66</v>
      </c>
      <c r="E986" s="0" t="n">
        <v>8068370404</v>
      </c>
      <c r="F986" s="0" t="s">
        <v>43</v>
      </c>
      <c r="G986" s="0" t="s">
        <v>2315</v>
      </c>
      <c r="H986" s="0" t="s">
        <v>2251</v>
      </c>
      <c r="I986" s="0" t="s">
        <v>87</v>
      </c>
      <c r="J986" s="0" t="s">
        <v>2317</v>
      </c>
      <c r="K986" s="3" t="str">
        <f aca="false" t="array" ref="K986:K986">IFERROR(IF(J986&lt;&gt;"",J986,INDEX(J986:J1985,MATCH(1,(F986:F1985=F986)*(I986:I1985=I986)*(L986:L1985=L986)*(J986:J1985&lt;&gt;""),0))),"Not Found")</f>
        <v>Suspension Noise</v>
      </c>
      <c r="L986" s="3" t="s">
        <v>108</v>
      </c>
      <c r="M986" s="0" t="str">
        <f aca="false">PROPER(L986)</f>
        <v>Timing Belt</v>
      </c>
      <c r="N986" s="3" t="s">
        <v>71</v>
      </c>
      <c r="O986" s="0" t="str">
        <f aca="false" t="array" ref="O986:O986">IF(N986&lt;&gt;"",N986,_xlfn.xlookup(1,(L986:L1985=L986)*(N986:N1985&lt;&gt;""),N986:N1985,"Not Found"))</f>
        <v>Isaac Bobo</v>
      </c>
      <c r="P986" s="4" t="n">
        <v>59324</v>
      </c>
      <c r="Q986" s="0" t="s">
        <v>110</v>
      </c>
      <c r="R986" s="0" t="str">
        <f aca="false">PROPER(Q986)</f>
        <v>Cash</v>
      </c>
      <c r="S986" s="0" t="s">
        <v>50</v>
      </c>
      <c r="T986" s="0" t="n">
        <v>4</v>
      </c>
      <c r="U986" s="5" t="n">
        <f aca="false">IF(ISBLANK(T986),AVERAGE(T986:T1985),T986)</f>
        <v>4</v>
      </c>
      <c r="V986" s="0" t="n">
        <v>4.3</v>
      </c>
      <c r="X986" s="0" t="str">
        <f aca="false">IF(ISBLANK(W986),"No remarks",W986)</f>
        <v>No remarks</v>
      </c>
      <c r="Y986" s="0" t="s">
        <v>73</v>
      </c>
      <c r="Z986" s="0" t="s">
        <v>94</v>
      </c>
      <c r="AA986" s="0" t="str">
        <f aca="false">PROPER(IF(ISBLANK(Z986),"Location Unavailable",Z986))</f>
        <v>Vip Section</v>
      </c>
      <c r="AB986" s="0" t="s">
        <v>95</v>
      </c>
      <c r="AC986" s="6" t="str">
        <f aca="false">PROPER(AB986)</f>
        <v>Road Sign</v>
      </c>
      <c r="AD986" s="6" t="n">
        <v>45</v>
      </c>
      <c r="AE986" s="5" t="n">
        <f aca="false">IF(ISBLANK(AD986),AVERAGEIF(L986:L1985,L986,AD986:AD1985),AD986)</f>
        <v>45</v>
      </c>
      <c r="AF986" s="0" t="s">
        <v>96</v>
      </c>
      <c r="AG986" s="0" t="str">
        <f aca="false">PROPER(AF986)</f>
        <v>Ordered</v>
      </c>
      <c r="AH986" s="0" t="s">
        <v>148</v>
      </c>
      <c r="AI986" s="0" t="s">
        <v>78</v>
      </c>
      <c r="AJ986" s="0" t="str">
        <f aca="false">PROPER(AI986)</f>
        <v>Booking</v>
      </c>
      <c r="AK986" s="0" t="s">
        <v>196</v>
      </c>
      <c r="AL986" s="0" t="str">
        <f aca="false">PROPER(AK986)</f>
        <v>First Time</v>
      </c>
      <c r="AM986" s="0" t="s">
        <v>177</v>
      </c>
      <c r="AN986" s="0" t="str">
        <f aca="false">IF(ISBLANK(AM986),"Unknown",AM986)</f>
        <v>Private</v>
      </c>
      <c r="AP986" s="0" t="str">
        <f aca="false">IF(ISBLANK(AO986),"Unknown",AO986)</f>
        <v>Unknown</v>
      </c>
      <c r="AQ986" s="0" t="n">
        <v>15000</v>
      </c>
      <c r="AR986" s="5" t="n">
        <f aca="false">IF(ISBLANK(AQ986),AVERAGEIF(M986:M1985,M986,AQ986:AQ1985),AQ986)</f>
        <v>15000</v>
      </c>
      <c r="AS986" s="0" t="n">
        <v>30000</v>
      </c>
      <c r="AT986" s="5" t="n">
        <f aca="false">IF(ISBLANK(AS986),AVERAGE(AS986:AS1985),AS986)</f>
        <v>30000</v>
      </c>
      <c r="AU986" s="0" t="s">
        <v>61</v>
      </c>
      <c r="AV986" s="0" t="str">
        <f aca="false">PROPER(IF(ISBLANK(AU986),"No",AU986))</f>
        <v>No</v>
      </c>
      <c r="AX986" s="5" t="n">
        <f aca="false">IF(ISBLANK(AW986),0,AW986)</f>
        <v>0</v>
      </c>
      <c r="AY986" s="0" t="s">
        <v>130</v>
      </c>
      <c r="AZ986" s="0" t="str">
        <f aca="false">UPPER(IF(ISBLANK(AY986),"NONE",AY986))</f>
        <v>LOYALTY10</v>
      </c>
      <c r="BB986" s="7" t="str">
        <f aca="false">IF(ISBLANK(BA986),"No Follow Up Needed",BA986)</f>
        <v>No Follow Up Needed</v>
      </c>
      <c r="BD986" s="0" t="str">
        <f aca="false">PROPER(IF(ISBLANK(BC986),"Unknown",BC986))</f>
        <v>Unknown</v>
      </c>
      <c r="BE986" s="0" t="s">
        <v>116</v>
      </c>
      <c r="BF986" s="0" t="str">
        <f aca="false">IF(ISBLANK(BE986),"No comments",BE986)</f>
        <v>Needs tire alignment</v>
      </c>
      <c r="BG986" s="0" t="s">
        <v>2320</v>
      </c>
      <c r="BH986" s="0" t="str">
        <f aca="false">IF(ISBLANK(BG986),"No comments",BG986)</f>
        <v>No complaints</v>
      </c>
      <c r="BI986" s="0" t="s">
        <v>50</v>
      </c>
      <c r="BJ986" s="0" t="str">
        <f aca="false">IF(ISBLANK(BI986),"Not Mentioned",BI986)</f>
        <v>No</v>
      </c>
      <c r="BK986" s="0" t="s">
        <v>61</v>
      </c>
      <c r="BL986" s="0" t="str">
        <f aca="false">PROPER(IF(ISBLANK(BK986),"Not Mentioned",BK986))</f>
        <v>No</v>
      </c>
      <c r="BM986" s="0" t="s">
        <v>50</v>
      </c>
      <c r="BN986" s="0" t="str">
        <f aca="false">PROPER(IF(ISBLANK(BM986),"Not Mentioned",BM986))</f>
        <v>No</v>
      </c>
      <c r="BO986" s="0" t="s">
        <v>2321</v>
      </c>
      <c r="BP986" s="0" t="str">
        <f aca="false">IF(ISBLANK(BO986),"One-Time Plan",BO986)</f>
        <v>One-Time Plan</v>
      </c>
      <c r="BQ986" s="0" t="s">
        <v>198</v>
      </c>
      <c r="BR986" s="0" t="str">
        <f aca="false">PROPER(IF(ISBLANK(BQ986),"No",BQ986))</f>
        <v>Followed Up</v>
      </c>
    </row>
    <row r="987" customFormat="false" ht="15" hidden="false" customHeight="false" outlineLevel="0" collapsed="false">
      <c r="A987" s="0" t="s">
        <v>2252</v>
      </c>
      <c r="B987" s="2" t="n">
        <v>45870</v>
      </c>
      <c r="C987" s="2" t="str">
        <f aca="false">TEXT(B987,"dd/mm/yyyy")</f>
        <v>01/08/2025</v>
      </c>
      <c r="D987" s="0" t="s">
        <v>42</v>
      </c>
      <c r="E987" s="0" t="n">
        <v>8013922081</v>
      </c>
      <c r="F987" s="0" t="s">
        <v>139</v>
      </c>
      <c r="G987" s="0" t="s">
        <v>2323</v>
      </c>
      <c r="H987" s="0" t="s">
        <v>2253</v>
      </c>
      <c r="I987" s="0" t="s">
        <v>134</v>
      </c>
      <c r="J987" s="0" t="s">
        <v>2317</v>
      </c>
      <c r="K987" s="3" t="str">
        <f aca="false" t="array" ref="K987:K987">IFERROR(IF(J987&lt;&gt;"",J987,INDEX(J987:J1986,MATCH(1,(F987:F1986=F987)*(I987:I1986=I987)*(L987:L1986=L987)*(J987:J1986&lt;&gt;""),0))),"Not Found")</f>
        <v>Suspension Noise</v>
      </c>
      <c r="L987" s="3" t="s">
        <v>47</v>
      </c>
      <c r="M987" s="0" t="str">
        <f aca="false">PROPER(L987)</f>
        <v>None</v>
      </c>
      <c r="N987" s="3" t="s">
        <v>90</v>
      </c>
      <c r="O987" s="0" t="str">
        <f aca="false" t="array" ref="O987:O987">IF(N987&lt;&gt;"",N987,_xlfn.xlookup(1,(L987:L1986=L987)*(N987:N1986&lt;&gt;""),N987:N1986,"Not Found"))</f>
        <v>Musa</v>
      </c>
      <c r="P987" s="4" t="n">
        <v>60296</v>
      </c>
      <c r="Q987" s="0" t="s">
        <v>124</v>
      </c>
      <c r="R987" s="0" t="str">
        <f aca="false">PROPER(Q987)</f>
        <v>Cash</v>
      </c>
      <c r="S987" s="0" t="s">
        <v>63</v>
      </c>
      <c r="T987" s="0" t="n">
        <v>5</v>
      </c>
      <c r="U987" s="5" t="n">
        <f aca="false">IF(ISBLANK(T987),AVERAGE(T987:T1986),T987)</f>
        <v>5</v>
      </c>
      <c r="V987" s="0" t="n">
        <v>5.5</v>
      </c>
      <c r="W987" s="0" t="s">
        <v>92</v>
      </c>
      <c r="X987" s="0" t="str">
        <f aca="false">IF(ISBLANK(W987),"No remarks",W987)</f>
        <v>Urgent service</v>
      </c>
      <c r="Y987" s="0" t="s">
        <v>93</v>
      </c>
      <c r="Z987" s="0" t="s">
        <v>94</v>
      </c>
      <c r="AA987" s="0" t="str">
        <f aca="false">PROPER(IF(ISBLANK(Z987),"Location Unavailable",Z987))</f>
        <v>Vip Section</v>
      </c>
      <c r="AB987" s="0" t="s">
        <v>126</v>
      </c>
      <c r="AC987" s="6" t="str">
        <f aca="false">PROPER(AB987)</f>
        <v>Whatsapp</v>
      </c>
      <c r="AD987" s="6" t="n">
        <v>15</v>
      </c>
      <c r="AE987" s="5" t="n">
        <f aca="false">IF(ISBLANK(AD987),AVERAGEIF(L987:L1986,L987,AD987:AD1986),AD987)</f>
        <v>15</v>
      </c>
      <c r="AF987" s="0" t="s">
        <v>76</v>
      </c>
      <c r="AG987" s="0" t="str">
        <f aca="false">PROPER(AF987)</f>
        <v>Orderd</v>
      </c>
      <c r="AH987" s="0" t="s">
        <v>155</v>
      </c>
      <c r="AI987" s="0" t="s">
        <v>98</v>
      </c>
      <c r="AJ987" s="0" t="str">
        <f aca="false">PROPER(AI987)</f>
        <v>Emergency</v>
      </c>
      <c r="AK987" s="0" t="s">
        <v>58</v>
      </c>
      <c r="AL987" s="0" t="str">
        <f aca="false">PROPER(AK987)</f>
        <v>Fleet Owner</v>
      </c>
      <c r="AM987" s="0" t="s">
        <v>177</v>
      </c>
      <c r="AN987" s="0" t="str">
        <f aca="false">IF(ISBLANK(AM987),"Unknown",AM987)</f>
        <v>Private</v>
      </c>
      <c r="AO987" s="0" t="s">
        <v>161</v>
      </c>
      <c r="AP987" s="0" t="str">
        <f aca="false">IF(ISBLANK(AO987),"Unknown",AO987)</f>
        <v>Apprentice</v>
      </c>
      <c r="AQ987" s="0" t="n">
        <v>40000</v>
      </c>
      <c r="AR987" s="5" t="n">
        <f aca="false">IF(ISBLANK(AQ987),AVERAGEIF(M987:M1986,M987,AQ987:AQ1986),AQ987)</f>
        <v>40000</v>
      </c>
      <c r="AS987" s="0" t="n">
        <v>30000</v>
      </c>
      <c r="AT987" s="5" t="n">
        <f aca="false">IF(ISBLANK(AS987),AVERAGE(AS987:AS1986),AS987)</f>
        <v>30000</v>
      </c>
      <c r="AU987" s="0" t="s">
        <v>61</v>
      </c>
      <c r="AV987" s="0" t="str">
        <f aca="false">PROPER(IF(ISBLANK(AU987),"No",AU987))</f>
        <v>No</v>
      </c>
      <c r="AW987" s="0" t="n">
        <v>0</v>
      </c>
      <c r="AX987" s="5" t="n">
        <f aca="false">IF(ISBLANK(AW987),0,AW987)</f>
        <v>0</v>
      </c>
      <c r="AY987" s="0" t="s">
        <v>130</v>
      </c>
      <c r="AZ987" s="0" t="str">
        <f aca="false">UPPER(IF(ISBLANK(AY987),"NONE",AY987))</f>
        <v>LOYALTY10</v>
      </c>
      <c r="BB987" s="7" t="str">
        <f aca="false">IF(ISBLANK(BA987),"No Follow Up Needed",BA987)</f>
        <v>No Follow Up Needed</v>
      </c>
      <c r="BC987" s="0" t="s">
        <v>82</v>
      </c>
      <c r="BD987" s="0" t="str">
        <f aca="false">PROPER(IF(ISBLANK(BC987),"Unknown",BC987))</f>
        <v>Yes</v>
      </c>
      <c r="BF987" s="0" t="str">
        <f aca="false">IF(ISBLANK(BE987),"No comments",BE987)</f>
        <v>No comments</v>
      </c>
      <c r="BG987" s="0" t="s">
        <v>117</v>
      </c>
      <c r="BH987" s="0" t="str">
        <f aca="false">IF(ISBLANK(BG987),"No comments",BG987)</f>
        <v>Prefers morning</v>
      </c>
      <c r="BI987" s="0" t="s">
        <v>50</v>
      </c>
      <c r="BJ987" s="0" t="str">
        <f aca="false">IF(ISBLANK(BI987),"Not Mentioned",BI987)</f>
        <v>No</v>
      </c>
      <c r="BK987" s="0" t="s">
        <v>63</v>
      </c>
      <c r="BL987" s="0" t="str">
        <f aca="false">PROPER(IF(ISBLANK(BK987),"Not Mentioned",BK987))</f>
        <v>Yes</v>
      </c>
      <c r="BM987" s="0" t="s">
        <v>63</v>
      </c>
      <c r="BN987" s="0" t="str">
        <f aca="false">PROPER(IF(ISBLANK(BM987),"Not Mentioned",BM987))</f>
        <v>Yes</v>
      </c>
      <c r="BO987" s="0" t="s">
        <v>2321</v>
      </c>
      <c r="BP987" s="0" t="str">
        <f aca="false">IF(ISBLANK(BO987),"One-Time Plan",BO987)</f>
        <v>One-Time Plan</v>
      </c>
      <c r="BQ987" s="0" t="s">
        <v>50</v>
      </c>
      <c r="BR987" s="0" t="str">
        <f aca="false">PROPER(IF(ISBLANK(BQ987),"No",BQ987))</f>
        <v>No</v>
      </c>
    </row>
    <row r="988" customFormat="false" ht="15" hidden="false" customHeight="false" outlineLevel="0" collapsed="false">
      <c r="A988" s="0" t="s">
        <v>2254</v>
      </c>
      <c r="B988" s="2" t="n">
        <v>45718</v>
      </c>
      <c r="C988" s="2" t="str">
        <f aca="false">TEXT(B988,"dd/mm/yyyy")</f>
        <v>02/03/2025</v>
      </c>
      <c r="D988" s="0" t="s">
        <v>121</v>
      </c>
      <c r="E988" s="0" t="n">
        <v>8031506414</v>
      </c>
      <c r="F988" s="0" t="s">
        <v>122</v>
      </c>
      <c r="G988" s="0" t="s">
        <v>2316</v>
      </c>
      <c r="H988" s="0" t="s">
        <v>2255</v>
      </c>
      <c r="I988" s="0" t="s">
        <v>69</v>
      </c>
      <c r="J988" s="0" t="s">
        <v>87</v>
      </c>
      <c r="K988" s="3" t="str">
        <f aca="false" t="array" ref="K988:K988">IFERROR(IF(J988&lt;&gt;"",J988,INDEX(J988:J1987,MATCH(1,(F988:F1987=F988)*(I988:I1987=I988)*(L988:L1987=L988)*(J988:J1987&lt;&gt;""),0))),"Not Found")</f>
        <v>Oil Change</v>
      </c>
      <c r="L988" s="3" t="s">
        <v>142</v>
      </c>
      <c r="M988" s="0" t="str">
        <f aca="false">PROPER(L988)</f>
        <v>Oil Filter, Brake Pads</v>
      </c>
      <c r="N988" s="3" t="s">
        <v>71</v>
      </c>
      <c r="O988" s="0" t="str">
        <f aca="false" t="array" ref="O988:O988">IF(N988&lt;&gt;"",N988,_xlfn.xlookup(1,(L988:L1987=L988)*(N988:N1987&lt;&gt;""),N988:N1987,"Not Found"))</f>
        <v>Isaac Bobo</v>
      </c>
      <c r="P988" s="4" t="n">
        <v>81669</v>
      </c>
      <c r="Q988" s="0" t="s">
        <v>110</v>
      </c>
      <c r="R988" s="0" t="str">
        <f aca="false">PROPER(Q988)</f>
        <v>Cash</v>
      </c>
      <c r="S988" s="0" t="s">
        <v>50</v>
      </c>
      <c r="T988" s="0" t="n">
        <v>3</v>
      </c>
      <c r="U988" s="5" t="n">
        <f aca="false">IF(ISBLANK(T988),AVERAGE(T988:T1987),T988)</f>
        <v>3</v>
      </c>
      <c r="V988" s="0" t="n">
        <v>1.6</v>
      </c>
      <c r="W988" s="0" t="s">
        <v>92</v>
      </c>
      <c r="X988" s="0" t="str">
        <f aca="false">IF(ISBLANK(W988),"No remarks",W988)</f>
        <v>Urgent service</v>
      </c>
      <c r="Y988" s="0" t="s">
        <v>73</v>
      </c>
      <c r="Z988" s="0" t="s">
        <v>53</v>
      </c>
      <c r="AA988" s="0" t="str">
        <f aca="false">PROPER(IF(ISBLANK(Z988),"Location Unavailable",Z988))</f>
        <v>Main Bay</v>
      </c>
      <c r="AB988" s="0" t="s">
        <v>126</v>
      </c>
      <c r="AC988" s="6" t="str">
        <f aca="false">PROPER(AB988)</f>
        <v>Whatsapp</v>
      </c>
      <c r="AD988" s="6" t="n">
        <v>60</v>
      </c>
      <c r="AE988" s="5" t="n">
        <f aca="false">IF(ISBLANK(AD988),AVERAGEIF(L988:L1987,L988,AD988:AD1987),AD988)</f>
        <v>60</v>
      </c>
      <c r="AF988" s="0" t="s">
        <v>76</v>
      </c>
      <c r="AG988" s="0" t="str">
        <f aca="false">PROPER(AF988)</f>
        <v>Orderd</v>
      </c>
      <c r="AH988" s="0" t="s">
        <v>77</v>
      </c>
      <c r="AI988" s="0" t="s">
        <v>113</v>
      </c>
      <c r="AJ988" s="0" t="str">
        <f aca="false">PROPER(AI988)</f>
        <v>Normal</v>
      </c>
      <c r="AK988" s="0" t="s">
        <v>99</v>
      </c>
      <c r="AL988" s="0" t="str">
        <f aca="false">PROPER(AK988)</f>
        <v>Uber Driver</v>
      </c>
      <c r="AM988" s="0" t="s">
        <v>177</v>
      </c>
      <c r="AN988" s="0" t="str">
        <f aca="false">IF(ISBLANK(AM988),"Unknown",AM988)</f>
        <v>Private</v>
      </c>
      <c r="AO988" s="0" t="s">
        <v>161</v>
      </c>
      <c r="AP988" s="0" t="str">
        <f aca="false">IF(ISBLANK(AO988),"Unknown",AO988)</f>
        <v>Apprentice</v>
      </c>
      <c r="AQ988" s="0" t="n">
        <v>40000</v>
      </c>
      <c r="AR988" s="5" t="n">
        <f aca="false">IF(ISBLANK(AQ988),AVERAGEIF(M988:M1987,M988,AQ988:AQ1987),AQ988)</f>
        <v>40000</v>
      </c>
      <c r="AT988" s="5" t="n">
        <f aca="false">IF(ISBLANK(AS988),AVERAGE(AS988:AS1987),AS988)</f>
        <v>30909.0909090909</v>
      </c>
      <c r="AU988" s="0" t="s">
        <v>82</v>
      </c>
      <c r="AV988" s="0" t="str">
        <f aca="false">PROPER(IF(ISBLANK(AU988),"No",AU988))</f>
        <v>Yes</v>
      </c>
      <c r="AW988" s="0" t="n">
        <v>10000</v>
      </c>
      <c r="AX988" s="5" t="n">
        <f aca="false">IF(ISBLANK(AW988),0,AW988)</f>
        <v>10000</v>
      </c>
      <c r="AY988" s="0" t="s">
        <v>80</v>
      </c>
      <c r="AZ988" s="0" t="str">
        <f aca="false">UPPER(IF(ISBLANK(AY988),"NONE",AY988))</f>
        <v>PROMO10</v>
      </c>
      <c r="BA988" s="7" t="n">
        <v>45845</v>
      </c>
      <c r="BB988" s="7" t="n">
        <f aca="false">IF(ISBLANK(BA988),"No Follow Up Needed",BA988)</f>
        <v>45845</v>
      </c>
      <c r="BC988" s="0" t="s">
        <v>82</v>
      </c>
      <c r="BD988" s="0" t="str">
        <f aca="false">PROPER(IF(ISBLANK(BC988),"Unknown",BC988))</f>
        <v>Yes</v>
      </c>
      <c r="BF988" s="0" t="str">
        <f aca="false">IF(ISBLANK(BE988),"No comments",BE988)</f>
        <v>No comments</v>
      </c>
      <c r="BG988" s="0" t="s">
        <v>2320</v>
      </c>
      <c r="BH988" s="0" t="str">
        <f aca="false">IF(ISBLANK(BG988),"No comments",BG988)</f>
        <v>No complaints</v>
      </c>
      <c r="BI988" s="0" t="s">
        <v>50</v>
      </c>
      <c r="BJ988" s="0" t="str">
        <f aca="false">IF(ISBLANK(BI988),"Not Mentioned",BI988)</f>
        <v>No</v>
      </c>
      <c r="BK988" s="0" t="s">
        <v>50</v>
      </c>
      <c r="BL988" s="0" t="str">
        <f aca="false">PROPER(IF(ISBLANK(BK988),"Not Mentioned",BK988))</f>
        <v>No</v>
      </c>
      <c r="BN988" s="0" t="str">
        <f aca="false">PROPER(IF(ISBLANK(BM988),"Not Mentioned",BM988))</f>
        <v>Not Mentioned</v>
      </c>
      <c r="BO988" s="0" t="s">
        <v>2321</v>
      </c>
      <c r="BP988" s="0" t="str">
        <f aca="false">IF(ISBLANK(BO988),"One-Time Plan",BO988)</f>
        <v>One-Time Plan</v>
      </c>
      <c r="BR988" s="0" t="str">
        <f aca="false">PROPER(IF(ISBLANK(BQ988),"No",BQ988))</f>
        <v>No</v>
      </c>
    </row>
    <row r="989" customFormat="false" ht="15" hidden="false" customHeight="false" outlineLevel="0" collapsed="false">
      <c r="A989" s="0" t="s">
        <v>2256</v>
      </c>
      <c r="B989" s="2" t="s">
        <v>553</v>
      </c>
      <c r="C989" s="2" t="str">
        <f aca="false">TEXT(B989,"dd/mm/yyyy")</f>
        <v>30/05/2025</v>
      </c>
      <c r="D989" s="0" t="s">
        <v>163</v>
      </c>
      <c r="E989" s="0" t="n">
        <v>8053822194</v>
      </c>
      <c r="F989" s="0" t="s">
        <v>43</v>
      </c>
      <c r="G989" s="0" t="s">
        <v>2315</v>
      </c>
      <c r="H989" s="0" t="s">
        <v>2257</v>
      </c>
      <c r="I989" s="0" t="s">
        <v>134</v>
      </c>
      <c r="J989" s="0" t="s">
        <v>2317</v>
      </c>
      <c r="K989" s="3" t="str">
        <f aca="false" t="array" ref="K989:K989">IFERROR(IF(J989&lt;&gt;"",J989,INDEX(J989:J1988,MATCH(1,(F989:F1988=F989)*(I989:I1988=I989)*(L989:L1988=L989)*(J989:J1988&lt;&gt;""),0))),"Not Found")</f>
        <v>Suspension Noise</v>
      </c>
      <c r="L989" s="3" t="s">
        <v>47</v>
      </c>
      <c r="M989" s="0" t="str">
        <f aca="false">PROPER(L989)</f>
        <v>None</v>
      </c>
      <c r="N989" s="3" t="s">
        <v>71</v>
      </c>
      <c r="O989" s="0" t="str">
        <f aca="false" t="array" ref="O989:O989">IF(N989&lt;&gt;"",N989,_xlfn.xlookup(1,(L989:L1988=L989)*(N989:N1988&lt;&gt;""),N989:N1988,"Not Found"))</f>
        <v>Isaac Bobo</v>
      </c>
      <c r="P989" s="4" t="n">
        <v>42591</v>
      </c>
      <c r="Q989" s="0" t="s">
        <v>124</v>
      </c>
      <c r="R989" s="0" t="str">
        <f aca="false">PROPER(Q989)</f>
        <v>Cash</v>
      </c>
      <c r="S989" s="0" t="s">
        <v>63</v>
      </c>
      <c r="T989" s="0" t="n">
        <v>1</v>
      </c>
      <c r="U989" s="5" t="n">
        <f aca="false">IF(ISBLANK(T989),AVERAGE(T989:T1988),T989)</f>
        <v>1</v>
      </c>
      <c r="V989" s="0" t="n">
        <v>1.2</v>
      </c>
      <c r="W989" s="0" t="s">
        <v>111</v>
      </c>
      <c r="X989" s="0" t="str">
        <f aca="false">IF(ISBLANK(W989),"No remarks",W989)</f>
        <v>Changed all filters</v>
      </c>
      <c r="Y989" s="0" t="s">
        <v>93</v>
      </c>
      <c r="Z989" s="0" t="s">
        <v>53</v>
      </c>
      <c r="AA989" s="0" t="str">
        <f aca="false">PROPER(IF(ISBLANK(Z989),"Location Unavailable",Z989))</f>
        <v>Main Bay</v>
      </c>
      <c r="AB989" s="0" t="s">
        <v>75</v>
      </c>
      <c r="AC989" s="6" t="str">
        <f aca="false">PROPER(AB989)</f>
        <v>Mechanik Referal</v>
      </c>
      <c r="AD989" s="6" t="n">
        <v>45</v>
      </c>
      <c r="AE989" s="5" t="n">
        <f aca="false">IF(ISBLANK(AD989),AVERAGEIF(L989:L1988,L989,AD989:AD1988),AD989)</f>
        <v>45</v>
      </c>
      <c r="AF989" s="0" t="s">
        <v>112</v>
      </c>
      <c r="AG989" s="0" t="str">
        <f aca="false">PROPER(AF989)</f>
        <v>Unavailable</v>
      </c>
      <c r="AH989" s="0" t="s">
        <v>56</v>
      </c>
      <c r="AI989" s="0" t="s">
        <v>98</v>
      </c>
      <c r="AJ989" s="0" t="str">
        <f aca="false">PROPER(AI989)</f>
        <v>Emergency</v>
      </c>
      <c r="AK989" s="0" t="s">
        <v>196</v>
      </c>
      <c r="AL989" s="0" t="str">
        <f aca="false">PROPER(AK989)</f>
        <v>First Time</v>
      </c>
      <c r="AM989" s="0" t="s">
        <v>59</v>
      </c>
      <c r="AN989" s="0" t="str">
        <f aca="false">IF(ISBLANK(AM989),"Unknown",AM989)</f>
        <v>Bolt Driver</v>
      </c>
      <c r="AO989" s="0" t="s">
        <v>161</v>
      </c>
      <c r="AP989" s="0" t="str">
        <f aca="false">IF(ISBLANK(AO989),"Unknown",AO989)</f>
        <v>Apprentice</v>
      </c>
      <c r="AR989" s="5" t="n">
        <f aca="false">IF(ISBLANK(AQ989),AVERAGEIF(M989:M1988,M989,AQ989:AQ1988),AQ989)</f>
        <v>22500</v>
      </c>
      <c r="AS989" s="0" t="n">
        <v>40000</v>
      </c>
      <c r="AT989" s="5" t="n">
        <f aca="false">IF(ISBLANK(AS989),AVERAGE(AS989:AS1988),AS989)</f>
        <v>40000</v>
      </c>
      <c r="AV989" s="0" t="str">
        <f aca="false">PROPER(IF(ISBLANK(AU989),"No",AU989))</f>
        <v>No</v>
      </c>
      <c r="AX989" s="5" t="n">
        <f aca="false">IF(ISBLANK(AW989),0,AW989)</f>
        <v>0</v>
      </c>
      <c r="AY989" s="0" t="s">
        <v>130</v>
      </c>
      <c r="AZ989" s="0" t="str">
        <f aca="false">UPPER(IF(ISBLANK(AY989),"NONE",AY989))</f>
        <v>LOYALTY10</v>
      </c>
      <c r="BA989" s="7" t="n">
        <v>46000</v>
      </c>
      <c r="BB989" s="7" t="n">
        <f aca="false">IF(ISBLANK(BA989),"No Follow Up Needed",BA989)</f>
        <v>46000</v>
      </c>
      <c r="BC989" s="0" t="s">
        <v>50</v>
      </c>
      <c r="BD989" s="0" t="str">
        <f aca="false">PROPER(IF(ISBLANK(BC989),"Unknown",BC989))</f>
        <v>No</v>
      </c>
      <c r="BE989" s="0" t="s">
        <v>116</v>
      </c>
      <c r="BF989" s="0" t="str">
        <f aca="false">IF(ISBLANK(BE989),"No comments",BE989)</f>
        <v>Needs tire alignment</v>
      </c>
      <c r="BG989" s="0" t="s">
        <v>117</v>
      </c>
      <c r="BH989" s="0" t="str">
        <f aca="false">IF(ISBLANK(BG989),"No comments",BG989)</f>
        <v>Prefers morning</v>
      </c>
      <c r="BJ989" s="0" t="str">
        <f aca="false">IF(ISBLANK(BI989),"Not Mentioned",BI989)</f>
        <v>Not Mentioned</v>
      </c>
      <c r="BK989" s="0" t="s">
        <v>63</v>
      </c>
      <c r="BL989" s="0" t="str">
        <f aca="false">PROPER(IF(ISBLANK(BK989),"Not Mentioned",BK989))</f>
        <v>Yes</v>
      </c>
      <c r="BM989" s="0" t="s">
        <v>50</v>
      </c>
      <c r="BN989" s="0" t="str">
        <f aca="false">PROPER(IF(ISBLANK(BM989),"Not Mentioned",BM989))</f>
        <v>No</v>
      </c>
      <c r="BO989" s="0" t="s">
        <v>2318</v>
      </c>
      <c r="BP989" s="0" t="str">
        <f aca="false">IF(ISBLANK(BO989),"One-Time Plan",BO989)</f>
        <v>Gold</v>
      </c>
      <c r="BQ989" s="0" t="s">
        <v>190</v>
      </c>
      <c r="BR989" s="0" t="str">
        <f aca="false">PROPER(IF(ISBLANK(BQ989),"No",BQ989))</f>
        <v>Yes</v>
      </c>
    </row>
    <row r="990" customFormat="false" ht="15" hidden="false" customHeight="false" outlineLevel="0" collapsed="false">
      <c r="A990" s="0" t="s">
        <v>2258</v>
      </c>
      <c r="B990" s="2" t="n">
        <v>45679</v>
      </c>
      <c r="C990" s="2" t="str">
        <f aca="false">TEXT(B990,"dd/mm/yyyy")</f>
        <v>22/01/2025</v>
      </c>
      <c r="D990" s="0" t="s">
        <v>66</v>
      </c>
      <c r="E990" s="0" t="n">
        <v>8061471131</v>
      </c>
      <c r="F990" s="0" t="s">
        <v>122</v>
      </c>
      <c r="G990" s="0" t="s">
        <v>2316</v>
      </c>
      <c r="H990" s="0" t="s">
        <v>2259</v>
      </c>
      <c r="I990" s="0" t="s">
        <v>87</v>
      </c>
      <c r="J990" s="0" t="s">
        <v>87</v>
      </c>
      <c r="K990" s="3" t="str">
        <f aca="false" t="array" ref="K990:K990">IFERROR(IF(J990&lt;&gt;"",J990,INDEX(J990:J1989,MATCH(1,(F990:F1989=F990)*(I990:I1989=I990)*(L990:L1989=L990)*(J990:J1989&lt;&gt;""),0))),"Not Found")</f>
        <v>Oil Change</v>
      </c>
      <c r="L990" s="3" t="s">
        <v>108</v>
      </c>
      <c r="M990" s="0" t="str">
        <f aca="false">PROPER(L990)</f>
        <v>Timing Belt</v>
      </c>
      <c r="O990" s="0" t="e">
        <f aca="false" t="array" ref="O990:O990">IF(N990&lt;&gt;"",N990,_xlfn.xlookup(1,(L990:L1989=L990)*(N990:N1989&lt;&gt;""),N990:N1989,"Not Found"))</f>
        <v>#NAME?</v>
      </c>
      <c r="P990" s="4" t="n">
        <v>104418</v>
      </c>
      <c r="Q990" s="0" t="s">
        <v>72</v>
      </c>
      <c r="R990" s="0" t="str">
        <f aca="false">PROPER(Q990)</f>
        <v>Pos</v>
      </c>
      <c r="S990" s="0" t="s">
        <v>50</v>
      </c>
      <c r="T990" s="0" t="n">
        <v>4</v>
      </c>
      <c r="U990" s="5" t="n">
        <f aca="false">IF(ISBLANK(T990),AVERAGE(T990:T1989),T990)</f>
        <v>4</v>
      </c>
      <c r="V990" s="0" t="n">
        <v>3.3</v>
      </c>
      <c r="W990" s="0" t="s">
        <v>92</v>
      </c>
      <c r="X990" s="0" t="str">
        <f aca="false">IF(ISBLANK(W990),"No remarks",W990)</f>
        <v>Urgent service</v>
      </c>
      <c r="Y990" s="0" t="s">
        <v>73</v>
      </c>
      <c r="Z990" s="0" t="s">
        <v>53</v>
      </c>
      <c r="AA990" s="0" t="str">
        <f aca="false">PROPER(IF(ISBLANK(Z990),"Location Unavailable",Z990))</f>
        <v>Main Bay</v>
      </c>
      <c r="AB990" s="0" t="s">
        <v>54</v>
      </c>
      <c r="AC990" s="6" t="str">
        <f aca="false">PROPER(AB990)</f>
        <v>Mechanic Referral</v>
      </c>
      <c r="AD990" s="6" t="n">
        <v>45</v>
      </c>
      <c r="AE990" s="5" t="n">
        <f aca="false">IF(ISBLANK(AD990),AVERAGEIF(L990:L1989,L990,AD990:AD1989),AD990)</f>
        <v>45</v>
      </c>
      <c r="AF990" s="0" t="s">
        <v>55</v>
      </c>
      <c r="AG990" s="0" t="str">
        <f aca="false">PROPER(AF990)</f>
        <v>Available</v>
      </c>
      <c r="AH990" s="0" t="s">
        <v>56</v>
      </c>
      <c r="AI990" s="0" t="s">
        <v>78</v>
      </c>
      <c r="AJ990" s="0" t="str">
        <f aca="false">PROPER(AI990)</f>
        <v>Booking</v>
      </c>
      <c r="AK990" s="0" t="s">
        <v>58</v>
      </c>
      <c r="AL990" s="0" t="str">
        <f aca="false">PROPER(AK990)</f>
        <v>Fleet Owner</v>
      </c>
      <c r="AN990" s="0" t="str">
        <f aca="false">IF(ISBLANK(AM990),"Unknown",AM990)</f>
        <v>Unknown</v>
      </c>
      <c r="AO990" s="0" t="s">
        <v>149</v>
      </c>
      <c r="AP990" s="0" t="str">
        <f aca="false">IF(ISBLANK(AO990),"Unknown",AO990)</f>
        <v>Senior </v>
      </c>
      <c r="AR990" s="5" t="n">
        <f aca="false">IF(ISBLANK(AQ990),AVERAGEIF(M990:M1989,M990,AQ990:AQ1989),AQ990)</f>
        <v>30000</v>
      </c>
      <c r="AT990" s="5" t="n">
        <f aca="false">IF(ISBLANK(AS990),AVERAGE(AS990:AS1989),AS990)</f>
        <v>30000</v>
      </c>
      <c r="AV990" s="0" t="str">
        <f aca="false">PROPER(IF(ISBLANK(AU990),"No",AU990))</f>
        <v>No</v>
      </c>
      <c r="AX990" s="5" t="n">
        <f aca="false">IF(ISBLANK(AW990),0,AW990)</f>
        <v>0</v>
      </c>
      <c r="AZ990" s="0" t="str">
        <f aca="false">UPPER(IF(ISBLANK(AY990),"NONE",AY990))</f>
        <v>NONE</v>
      </c>
      <c r="BA990" s="7" t="s">
        <v>690</v>
      </c>
      <c r="BB990" s="7" t="str">
        <f aca="false">IF(ISBLANK(BA990),"No Follow Up Needed",BA990)</f>
        <v>20/11/2025</v>
      </c>
      <c r="BC990" s="0" t="s">
        <v>61</v>
      </c>
      <c r="BD990" s="0" t="str">
        <f aca="false">PROPER(IF(ISBLANK(BC990),"Unknown",BC990))</f>
        <v>No</v>
      </c>
      <c r="BF990" s="0" t="str">
        <f aca="false">IF(ISBLANK(BE990),"No comments",BE990)</f>
        <v>No comments</v>
      </c>
      <c r="BG990" s="0" t="s">
        <v>2320</v>
      </c>
      <c r="BH990" s="0" t="str">
        <f aca="false">IF(ISBLANK(BG990),"No comments",BG990)</f>
        <v>No complaints</v>
      </c>
      <c r="BI990" s="0" t="s">
        <v>50</v>
      </c>
      <c r="BJ990" s="0" t="str">
        <f aca="false">IF(ISBLANK(BI990),"Not Mentioned",BI990)</f>
        <v>No</v>
      </c>
      <c r="BK990" s="0" t="s">
        <v>61</v>
      </c>
      <c r="BL990" s="0" t="str">
        <f aca="false">PROPER(IF(ISBLANK(BK990),"Not Mentioned",BK990))</f>
        <v>No</v>
      </c>
      <c r="BM990" s="0" t="s">
        <v>63</v>
      </c>
      <c r="BN990" s="0" t="str">
        <f aca="false">PROPER(IF(ISBLANK(BM990),"Not Mentioned",BM990))</f>
        <v>Yes</v>
      </c>
      <c r="BO990" s="0" t="s">
        <v>2321</v>
      </c>
      <c r="BP990" s="0" t="str">
        <f aca="false">IF(ISBLANK(BO990),"One-Time Plan",BO990)</f>
        <v>One-Time Plan</v>
      </c>
      <c r="BQ990" s="0" t="s">
        <v>63</v>
      </c>
      <c r="BR990" s="0" t="str">
        <f aca="false">PROPER(IF(ISBLANK(BQ990),"No",BQ990))</f>
        <v>Yes</v>
      </c>
    </row>
    <row r="991" customFormat="false" ht="15" hidden="false" customHeight="false" outlineLevel="0" collapsed="false">
      <c r="A991" s="0" t="s">
        <v>2260</v>
      </c>
      <c r="B991" s="2" t="n">
        <v>45712</v>
      </c>
      <c r="C991" s="2" t="str">
        <f aca="false">TEXT(B991,"dd/mm/yyyy")</f>
        <v>24/02/2025</v>
      </c>
      <c r="D991" s="0" t="s">
        <v>163</v>
      </c>
      <c r="E991" s="0" t="n">
        <v>8047628993</v>
      </c>
      <c r="F991" s="0" t="s">
        <v>67</v>
      </c>
      <c r="G991" s="0" t="s">
        <v>2316</v>
      </c>
      <c r="H991" s="0" t="s">
        <v>2261</v>
      </c>
      <c r="I991" s="0" t="s">
        <v>134</v>
      </c>
      <c r="J991" s="0" t="s">
        <v>2317</v>
      </c>
      <c r="K991" s="3" t="str">
        <f aca="false" t="array" ref="K991:K991">IFERROR(IF(J991&lt;&gt;"",J991,INDEX(J991:J1990,MATCH(1,(F991:F1990=F991)*(I991:I1990=I991)*(L991:L1990=L991)*(J991:J1990&lt;&gt;""),0))),"Not Found")</f>
        <v>Suspension Noise</v>
      </c>
      <c r="L991" s="3" t="s">
        <v>108</v>
      </c>
      <c r="M991" s="0" t="str">
        <f aca="false">PROPER(L991)</f>
        <v>Timing Belt</v>
      </c>
      <c r="N991" s="3" t="s">
        <v>109</v>
      </c>
      <c r="O991" s="0" t="str">
        <f aca="false" t="array" ref="O991:O991">IF(N991&lt;&gt;"",N991,_xlfn.xlookup(1,(L991:L1990=L991)*(N991:N1990&lt;&gt;""),N991:N1990,"Not Found"))</f>
        <v>Tijani</v>
      </c>
      <c r="P991" s="4" t="n">
        <v>44711</v>
      </c>
      <c r="Q991" s="0" t="s">
        <v>91</v>
      </c>
      <c r="R991" s="0" t="str">
        <f aca="false">PROPER(Q991)</f>
        <v>Pos</v>
      </c>
      <c r="S991" s="0" t="s">
        <v>63</v>
      </c>
      <c r="T991" s="0" t="n">
        <v>5</v>
      </c>
      <c r="U991" s="5" t="n">
        <f aca="false">IF(ISBLANK(T991),AVERAGE(T991:T1990),T991)</f>
        <v>5</v>
      </c>
      <c r="V991" s="0" t="n">
        <v>1.9</v>
      </c>
      <c r="W991" s="0" t="s">
        <v>92</v>
      </c>
      <c r="X991" s="0" t="str">
        <f aca="false">IF(ISBLANK(W991),"No remarks",W991)</f>
        <v>Urgent service</v>
      </c>
      <c r="Y991" s="0" t="s">
        <v>73</v>
      </c>
      <c r="Z991" s="0" t="s">
        <v>159</v>
      </c>
      <c r="AA991" s="0" t="str">
        <f aca="false">PROPER(IF(ISBLANK(Z991),"Location Unavailable",Z991))</f>
        <v>Main Bay</v>
      </c>
      <c r="AB991" s="0" t="s">
        <v>147</v>
      </c>
      <c r="AC991" s="6" t="str">
        <f aca="false">PROPER(AB991)</f>
        <v>Instagram</v>
      </c>
      <c r="AD991" s="6" t="n">
        <v>30</v>
      </c>
      <c r="AE991" s="5" t="n">
        <f aca="false">IF(ISBLANK(AD991),AVERAGEIF(L991:L1990,L991,AD991:AD1990),AD991)</f>
        <v>30</v>
      </c>
      <c r="AF991" s="0" t="s">
        <v>55</v>
      </c>
      <c r="AG991" s="0" t="str">
        <f aca="false">PROPER(AF991)</f>
        <v>Available</v>
      </c>
      <c r="AH991" s="0" t="s">
        <v>56</v>
      </c>
      <c r="AI991" s="0" t="s">
        <v>98</v>
      </c>
      <c r="AJ991" s="0" t="str">
        <f aca="false">PROPER(AI991)</f>
        <v>Emergency</v>
      </c>
      <c r="AK991" s="0" t="s">
        <v>58</v>
      </c>
      <c r="AL991" s="0" t="str">
        <f aca="false">PROPER(AK991)</f>
        <v>Fleet Owner</v>
      </c>
      <c r="AM991" s="0" t="s">
        <v>2326</v>
      </c>
      <c r="AN991" s="0" t="str">
        <f aca="false">IF(ISBLANK(AM991),"Unknown",AM991)</f>
        <v>Government Convoy</v>
      </c>
      <c r="AP991" s="0" t="str">
        <f aca="false">IF(ISBLANK(AO991),"Unknown",AO991)</f>
        <v>Unknown</v>
      </c>
      <c r="AQ991" s="0" t="n">
        <v>30000</v>
      </c>
      <c r="AR991" s="5" t="n">
        <f aca="false">IF(ISBLANK(AQ991),AVERAGEIF(M991:M1990,M991,AQ991:AQ1990),AQ991)</f>
        <v>30000</v>
      </c>
      <c r="AS991" s="0" t="n">
        <v>30000</v>
      </c>
      <c r="AT991" s="5" t="n">
        <f aca="false">IF(ISBLANK(AS991),AVERAGE(AS991:AS1990),AS991)</f>
        <v>30000</v>
      </c>
      <c r="AU991" s="0" t="s">
        <v>50</v>
      </c>
      <c r="AV991" s="0" t="str">
        <f aca="false">PROPER(IF(ISBLANK(AU991),"No",AU991))</f>
        <v>No</v>
      </c>
      <c r="AW991" s="0" t="n">
        <v>0</v>
      </c>
      <c r="AX991" s="5" t="n">
        <f aca="false">IF(ISBLANK(AW991),0,AW991)</f>
        <v>0</v>
      </c>
      <c r="AZ991" s="0" t="str">
        <f aca="false">UPPER(IF(ISBLANK(AY991),"NONE",AY991))</f>
        <v>NONE</v>
      </c>
      <c r="BA991" s="7" t="n">
        <v>45886</v>
      </c>
      <c r="BB991" s="7" t="n">
        <f aca="false">IF(ISBLANK(BA991),"No Follow Up Needed",BA991)</f>
        <v>45886</v>
      </c>
      <c r="BC991" s="0" t="s">
        <v>50</v>
      </c>
      <c r="BD991" s="0" t="str">
        <f aca="false">PROPER(IF(ISBLANK(BC991),"Unknown",BC991))</f>
        <v>No</v>
      </c>
      <c r="BF991" s="0" t="str">
        <f aca="false">IF(ISBLANK(BE991),"No comments",BE991)</f>
        <v>No comments</v>
      </c>
      <c r="BH991" s="0" t="str">
        <f aca="false">IF(ISBLANK(BG991),"No comments",BG991)</f>
        <v>No comments</v>
      </c>
      <c r="BI991" s="0" t="s">
        <v>63</v>
      </c>
      <c r="BJ991" s="0" t="str">
        <f aca="false">IF(ISBLANK(BI991),"Not Mentioned",BI991)</f>
        <v>Yes</v>
      </c>
      <c r="BK991" s="0" t="s">
        <v>61</v>
      </c>
      <c r="BL991" s="0" t="str">
        <f aca="false">PROPER(IF(ISBLANK(BK991),"Not Mentioned",BK991))</f>
        <v>No</v>
      </c>
      <c r="BN991" s="0" t="str">
        <f aca="false">PROPER(IF(ISBLANK(BM991),"Not Mentioned",BM991))</f>
        <v>Not Mentioned</v>
      </c>
      <c r="BO991" s="0" t="s">
        <v>64</v>
      </c>
      <c r="BP991" s="0" t="str">
        <f aca="false">IF(ISBLANK(BO991),"One-Time Plan",BO991)</f>
        <v>Gold Maintenance Plan</v>
      </c>
      <c r="BQ991" s="0" t="s">
        <v>198</v>
      </c>
      <c r="BR991" s="0" t="str">
        <f aca="false">PROPER(IF(ISBLANK(BQ991),"No",BQ991))</f>
        <v>Followed Up</v>
      </c>
    </row>
    <row r="992" customFormat="false" ht="15" hidden="false" customHeight="false" outlineLevel="0" collapsed="false">
      <c r="A992" s="0" t="s">
        <v>2262</v>
      </c>
      <c r="B992" s="2" t="s">
        <v>635</v>
      </c>
      <c r="C992" s="2" t="str">
        <f aca="false">TEXT(B992,"dd/mm/yyyy")</f>
        <v>19/04/2025</v>
      </c>
      <c r="D992" s="0" t="s">
        <v>105</v>
      </c>
      <c r="E992" s="0" t="n">
        <v>8039578370</v>
      </c>
      <c r="F992" s="0" t="s">
        <v>122</v>
      </c>
      <c r="G992" s="0" t="s">
        <v>2316</v>
      </c>
      <c r="H992" s="0" t="s">
        <v>2263</v>
      </c>
      <c r="I992" s="0" t="s">
        <v>45</v>
      </c>
      <c r="J992" s="0" t="s">
        <v>87</v>
      </c>
      <c r="K992" s="3" t="str">
        <f aca="false" t="array" ref="K992:K992">IFERROR(IF(J992&lt;&gt;"",J992,INDEX(J992:J1991,MATCH(1,(F992:F1991=F992)*(I992:I1991=I992)*(L992:L1991=L992)*(J992:J1991&lt;&gt;""),0))),"Not Found")</f>
        <v>Oil Change</v>
      </c>
      <c r="L992" s="3" t="s">
        <v>142</v>
      </c>
      <c r="M992" s="0" t="str">
        <f aca="false">PROPER(L992)</f>
        <v>Oil Filter, Brake Pads</v>
      </c>
      <c r="N992" s="3" t="s">
        <v>90</v>
      </c>
      <c r="O992" s="0" t="str">
        <f aca="false" t="array" ref="O992:O992">IF(N992&lt;&gt;"",N992,_xlfn.xlookup(1,(L992:L1991=L992)*(N992:N1991&lt;&gt;""),N992:N1991,"Not Found"))</f>
        <v>Musa</v>
      </c>
      <c r="P992" s="4" t="n">
        <v>90190</v>
      </c>
      <c r="Q992" s="0" t="s">
        <v>166</v>
      </c>
      <c r="R992" s="0" t="str">
        <f aca="false">PROPER(Q992)</f>
        <v>Transfer</v>
      </c>
      <c r="S992" s="0" t="s">
        <v>63</v>
      </c>
      <c r="T992" s="0" t="n">
        <v>5</v>
      </c>
      <c r="U992" s="5" t="n">
        <f aca="false">IF(ISBLANK(T992),AVERAGE(T992:T1991),T992)</f>
        <v>5</v>
      </c>
      <c r="V992" s="0" t="n">
        <v>1.3</v>
      </c>
      <c r="W992" s="0" t="s">
        <v>92</v>
      </c>
      <c r="X992" s="0" t="str">
        <f aca="false">IF(ISBLANK(W992),"No remarks",W992)</f>
        <v>Urgent service</v>
      </c>
      <c r="Y992" s="0" t="s">
        <v>52</v>
      </c>
      <c r="Z992" s="0" t="s">
        <v>94</v>
      </c>
      <c r="AA992" s="0" t="str">
        <f aca="false">PROPER(IF(ISBLANK(Z992),"Location Unavailable",Z992))</f>
        <v>Vip Section</v>
      </c>
      <c r="AB992" s="0" t="s">
        <v>95</v>
      </c>
      <c r="AC992" s="6" t="str">
        <f aca="false">PROPER(AB992)</f>
        <v>Road Sign</v>
      </c>
      <c r="AD992" s="6" t="n">
        <v>30</v>
      </c>
      <c r="AE992" s="5" t="n">
        <f aca="false">IF(ISBLANK(AD992),AVERAGEIF(L992:L1991,L992,AD992:AD1991),AD992)</f>
        <v>30</v>
      </c>
      <c r="AF992" s="0" t="s">
        <v>76</v>
      </c>
      <c r="AG992" s="0" t="str">
        <f aca="false">PROPER(AF992)</f>
        <v>Orderd</v>
      </c>
      <c r="AH992" s="0" t="s">
        <v>155</v>
      </c>
      <c r="AI992" s="0" t="s">
        <v>113</v>
      </c>
      <c r="AJ992" s="0" t="str">
        <f aca="false">PROPER(AI992)</f>
        <v>Normal</v>
      </c>
      <c r="AK992" s="0" t="s">
        <v>114</v>
      </c>
      <c r="AL992" s="0" t="str">
        <f aca="false">PROPER(AK992)</f>
        <v>Returning</v>
      </c>
      <c r="AM992" s="0" t="s">
        <v>59</v>
      </c>
      <c r="AN992" s="0" t="str">
        <f aca="false">IF(ISBLANK(AM992),"Unknown",AM992)</f>
        <v>Bolt Driver</v>
      </c>
      <c r="AO992" s="0" t="s">
        <v>143</v>
      </c>
      <c r="AP992" s="0" t="str">
        <f aca="false">IF(ISBLANK(AO992),"Unknown",AO992)</f>
        <v>Senior</v>
      </c>
      <c r="AR992" s="5" t="e">
        <f aca="false">IF(ISBLANK(AQ992),AVERAGEIF(M992:M1991,M992,AQ992:AQ1991),AQ992)</f>
        <v>#DIV/0!</v>
      </c>
      <c r="AS992" s="0" t="n">
        <v>40000</v>
      </c>
      <c r="AT992" s="5" t="n">
        <f aca="false">IF(ISBLANK(AS992),AVERAGE(AS992:AS1991),AS992)</f>
        <v>40000</v>
      </c>
      <c r="AU992" s="0" t="s">
        <v>82</v>
      </c>
      <c r="AV992" s="0" t="str">
        <f aca="false">PROPER(IF(ISBLANK(AU992),"No",AU992))</f>
        <v>Yes</v>
      </c>
      <c r="AW992" s="0" t="n">
        <v>10000</v>
      </c>
      <c r="AX992" s="5" t="n">
        <f aca="false">IF(ISBLANK(AW992),0,AW992)</f>
        <v>10000</v>
      </c>
      <c r="AY992" s="0" t="s">
        <v>130</v>
      </c>
      <c r="AZ992" s="0" t="str">
        <f aca="false">UPPER(IF(ISBLANK(AY992),"NONE",AY992))</f>
        <v>LOYALTY10</v>
      </c>
      <c r="BB992" s="7" t="str">
        <f aca="false">IF(ISBLANK(BA992),"No Follow Up Needed",BA992)</f>
        <v>No Follow Up Needed</v>
      </c>
      <c r="BD992" s="0" t="str">
        <f aca="false">PROPER(IF(ISBLANK(BC992),"Unknown",BC992))</f>
        <v>Unknown</v>
      </c>
      <c r="BF992" s="0" t="str">
        <f aca="false">IF(ISBLANK(BE992),"No comments",BE992)</f>
        <v>No comments</v>
      </c>
      <c r="BH992" s="0" t="str">
        <f aca="false">IF(ISBLANK(BG992),"No comments",BG992)</f>
        <v>No comments</v>
      </c>
      <c r="BI992" s="0" t="s">
        <v>50</v>
      </c>
      <c r="BJ992" s="0" t="str">
        <f aca="false">IF(ISBLANK(BI992),"Not Mentioned",BI992)</f>
        <v>No</v>
      </c>
      <c r="BL992" s="0" t="str">
        <f aca="false">PROPER(IF(ISBLANK(BK992),"Not Mentioned",BK992))</f>
        <v>Not Mentioned</v>
      </c>
      <c r="BM992" s="0" t="s">
        <v>63</v>
      </c>
      <c r="BN992" s="0" t="str">
        <f aca="false">PROPER(IF(ISBLANK(BM992),"Not Mentioned",BM992))</f>
        <v>Yes</v>
      </c>
      <c r="BP992" s="0" t="str">
        <f aca="false">IF(ISBLANK(BO992),"One-Time Plan",BO992)</f>
        <v>One-Time Plan</v>
      </c>
      <c r="BQ992" s="0" t="s">
        <v>63</v>
      </c>
      <c r="BR992" s="0" t="str">
        <f aca="false">PROPER(IF(ISBLANK(BQ992),"No",BQ992))</f>
        <v>Yes</v>
      </c>
    </row>
    <row r="993" customFormat="false" ht="15" hidden="false" customHeight="false" outlineLevel="0" collapsed="false">
      <c r="A993" s="0" t="s">
        <v>2264</v>
      </c>
      <c r="B993" s="2" t="n">
        <v>45676</v>
      </c>
      <c r="C993" s="2" t="str">
        <f aca="false">TEXT(B993,"dd/mm/yyyy")</f>
        <v>19/01/2025</v>
      </c>
      <c r="D993" s="0" t="s">
        <v>42</v>
      </c>
      <c r="E993" s="0" t="n">
        <v>8044578317</v>
      </c>
      <c r="F993" s="0" t="s">
        <v>122</v>
      </c>
      <c r="G993" s="0" t="s">
        <v>2316</v>
      </c>
      <c r="H993" s="0" t="s">
        <v>2265</v>
      </c>
      <c r="I993" s="0" t="s">
        <v>134</v>
      </c>
      <c r="J993" s="0" t="s">
        <v>2317</v>
      </c>
      <c r="K993" s="3" t="str">
        <f aca="false" t="array" ref="K993:K993">IFERROR(IF(J993&lt;&gt;"",J993,INDEX(J993:J1992,MATCH(1,(F993:F1992=F993)*(I993:I1992=I993)*(L993:L1992=L993)*(J993:J1992&lt;&gt;""),0))),"Not Found")</f>
        <v>Suspension Noise</v>
      </c>
      <c r="L993" s="3" t="s">
        <v>47</v>
      </c>
      <c r="M993" s="0" t="str">
        <f aca="false">PROPER(L993)</f>
        <v>None</v>
      </c>
      <c r="N993" s="3" t="s">
        <v>48</v>
      </c>
      <c r="O993" s="0" t="str">
        <f aca="false" t="array" ref="O993:O993">IF(N993&lt;&gt;"",N993,_xlfn.xlookup(1,(L993:L1992=L993)*(N993:N1992&lt;&gt;""),N993:N1992,"Not Found"))</f>
        <v>Uche</v>
      </c>
      <c r="P993" s="4" t="n">
        <v>66270</v>
      </c>
      <c r="Q993" s="0" t="s">
        <v>110</v>
      </c>
      <c r="R993" s="0" t="str">
        <f aca="false">PROPER(Q993)</f>
        <v>Cash</v>
      </c>
      <c r="S993" s="0" t="s">
        <v>50</v>
      </c>
      <c r="T993" s="0" t="n">
        <v>4</v>
      </c>
      <c r="U993" s="5" t="n">
        <f aca="false">IF(ISBLANK(T993),AVERAGE(T993:T1992),T993)</f>
        <v>4</v>
      </c>
      <c r="V993" s="0" t="n">
        <v>3.1</v>
      </c>
      <c r="X993" s="0" t="str">
        <f aca="false">IF(ISBLANK(W993),"No remarks",W993)</f>
        <v>No remarks</v>
      </c>
      <c r="Y993" s="0" t="s">
        <v>93</v>
      </c>
      <c r="AA993" s="0" t="str">
        <f aca="false">PROPER(IF(ISBLANK(Z993),"Location Unavailable",Z993))</f>
        <v>Location Unavailable</v>
      </c>
      <c r="AB993" s="0" t="s">
        <v>167</v>
      </c>
      <c r="AC993" s="6" t="str">
        <f aca="false">PROPER(AB993)</f>
        <v>Word Of Mouth</v>
      </c>
      <c r="AD993" s="6" t="n">
        <v>45</v>
      </c>
      <c r="AE993" s="5" t="n">
        <f aca="false">IF(ISBLANK(AD993),AVERAGEIF(L993:L1992,L993,AD993:AD1992),AD993)</f>
        <v>45</v>
      </c>
      <c r="AF993" s="0" t="s">
        <v>76</v>
      </c>
      <c r="AG993" s="0" t="str">
        <f aca="false">PROPER(AF993)</f>
        <v>Orderd</v>
      </c>
      <c r="AH993" s="0" t="s">
        <v>77</v>
      </c>
      <c r="AI993" s="0" t="s">
        <v>113</v>
      </c>
      <c r="AJ993" s="0" t="str">
        <f aca="false">PROPER(AI993)</f>
        <v>Normal</v>
      </c>
      <c r="AK993" s="0" t="s">
        <v>99</v>
      </c>
      <c r="AL993" s="0" t="str">
        <f aca="false">PROPER(AK993)</f>
        <v>Uber Driver</v>
      </c>
      <c r="AN993" s="0" t="str">
        <f aca="false">IF(ISBLANK(AM993),"Unknown",AM993)</f>
        <v>Unknown</v>
      </c>
      <c r="AO993" s="0" t="s">
        <v>149</v>
      </c>
      <c r="AP993" s="0" t="str">
        <f aca="false">IF(ISBLANK(AO993),"Unknown",AO993)</f>
        <v>Senior </v>
      </c>
      <c r="AQ993" s="0" t="n">
        <v>20000</v>
      </c>
      <c r="AR993" s="5" t="n">
        <f aca="false">IF(ISBLANK(AQ993),AVERAGEIF(M993:M1992,M993,AQ993:AQ1992),AQ993)</f>
        <v>20000</v>
      </c>
      <c r="AS993" s="0" t="n">
        <v>30000</v>
      </c>
      <c r="AT993" s="5" t="n">
        <f aca="false">IF(ISBLANK(AS993),AVERAGE(AS993:AS1992),AS993)</f>
        <v>30000</v>
      </c>
      <c r="AV993" s="0" t="str">
        <f aca="false">PROPER(IF(ISBLANK(AU993),"No",AU993))</f>
        <v>No</v>
      </c>
      <c r="AW993" s="0" t="n">
        <v>5000</v>
      </c>
      <c r="AX993" s="5" t="n">
        <f aca="false">IF(ISBLANK(AW993),0,AW993)</f>
        <v>5000</v>
      </c>
      <c r="AY993" s="0" t="s">
        <v>80</v>
      </c>
      <c r="AZ993" s="0" t="str">
        <f aca="false">UPPER(IF(ISBLANK(AY993),"NONE",AY993))</f>
        <v>PROMO10</v>
      </c>
      <c r="BB993" s="7" t="str">
        <f aca="false">IF(ISBLANK(BA993),"No Follow Up Needed",BA993)</f>
        <v>No Follow Up Needed</v>
      </c>
      <c r="BD993" s="0" t="str">
        <f aca="false">PROPER(IF(ISBLANK(BC993),"Unknown",BC993))</f>
        <v>Unknown</v>
      </c>
      <c r="BE993" s="0" t="s">
        <v>171</v>
      </c>
      <c r="BF993" s="0" t="str">
        <f aca="false">IF(ISBLANK(BE993),"No comments",BE993)</f>
        <v>Shock absorber weakening</v>
      </c>
      <c r="BH993" s="0" t="str">
        <f aca="false">IF(ISBLANK(BG993),"No comments",BG993)</f>
        <v>No comments</v>
      </c>
      <c r="BI993" s="0" t="s">
        <v>50</v>
      </c>
      <c r="BJ993" s="0" t="str">
        <f aca="false">IF(ISBLANK(BI993),"Not Mentioned",BI993)</f>
        <v>No</v>
      </c>
      <c r="BK993" s="0" t="s">
        <v>63</v>
      </c>
      <c r="BL993" s="0" t="str">
        <f aca="false">PROPER(IF(ISBLANK(BK993),"Not Mentioned",BK993))</f>
        <v>Yes</v>
      </c>
      <c r="BM993" s="0" t="s">
        <v>50</v>
      </c>
      <c r="BN993" s="0" t="str">
        <f aca="false">PROPER(IF(ISBLANK(BM993),"Not Mentioned",BM993))</f>
        <v>No</v>
      </c>
      <c r="BO993" s="0" t="s">
        <v>2321</v>
      </c>
      <c r="BP993" s="0" t="str">
        <f aca="false">IF(ISBLANK(BO993),"One-Time Plan",BO993)</f>
        <v>One-Time Plan</v>
      </c>
      <c r="BQ993" s="0" t="s">
        <v>50</v>
      </c>
      <c r="BR993" s="0" t="str">
        <f aca="false">PROPER(IF(ISBLANK(BQ993),"No",BQ993))</f>
        <v>No</v>
      </c>
    </row>
    <row r="994" customFormat="false" ht="15" hidden="false" customHeight="false" outlineLevel="0" collapsed="false">
      <c r="A994" s="0" t="s">
        <v>2266</v>
      </c>
      <c r="B994" s="2" t="s">
        <v>1050</v>
      </c>
      <c r="C994" s="2" t="str">
        <f aca="false">TEXT(B994,"dd/mm/yyyy")</f>
        <v>27/03/2025</v>
      </c>
      <c r="D994" s="0" t="s">
        <v>42</v>
      </c>
      <c r="E994" s="0" t="n">
        <v>8099379971</v>
      </c>
      <c r="F994" s="0" t="s">
        <v>85</v>
      </c>
      <c r="G994" s="0" t="s">
        <v>2319</v>
      </c>
      <c r="H994" s="0" t="s">
        <v>2267</v>
      </c>
      <c r="I994" s="0" t="s">
        <v>69</v>
      </c>
      <c r="J994" s="0" t="s">
        <v>2322</v>
      </c>
      <c r="K994" s="3" t="str">
        <f aca="false" t="array" ref="K994:K994">IFERROR(IF(J994&lt;&gt;"",J994,INDEX(J994:J1993,MATCH(1,(F994:F1993=F994)*(I994:I1993=I994)*(L994:L1993=L994)*(J994:J1993&lt;&gt;""),0))),"Not Found")</f>
        <v>Brake Failure</v>
      </c>
      <c r="L994" s="3" t="s">
        <v>154</v>
      </c>
      <c r="M994" s="0" t="str">
        <f aca="false">PROPER(L994)</f>
        <v>Air Filter</v>
      </c>
      <c r="N994" s="3" t="s">
        <v>90</v>
      </c>
      <c r="O994" s="0" t="str">
        <f aca="false" t="array" ref="O994:O994">IF(N994&lt;&gt;"",N994,_xlfn.xlookup(1,(L994:L1993=L994)*(N994:N1993&lt;&gt;""),N994:N1993,"Not Found"))</f>
        <v>Musa</v>
      </c>
      <c r="P994" s="4" t="n">
        <v>13358</v>
      </c>
      <c r="Q994" s="0" t="s">
        <v>110</v>
      </c>
      <c r="R994" s="0" t="str">
        <f aca="false">PROPER(Q994)</f>
        <v>Cash</v>
      </c>
      <c r="S994" s="0" t="s">
        <v>50</v>
      </c>
      <c r="T994" s="0" t="n">
        <v>4</v>
      </c>
      <c r="U994" s="5" t="n">
        <f aca="false">IF(ISBLANK(T994),AVERAGE(T994:T1993),T994)</f>
        <v>4</v>
      </c>
      <c r="V994" s="0" t="n">
        <v>1.1</v>
      </c>
      <c r="W994" s="0" t="s">
        <v>51</v>
      </c>
      <c r="X994" s="0" t="str">
        <f aca="false">IF(ISBLANK(W994),"No remarks",W994)</f>
        <v>Recommended further checks</v>
      </c>
      <c r="Y994" s="0" t="s">
        <v>93</v>
      </c>
      <c r="Z994" s="0" t="s">
        <v>94</v>
      </c>
      <c r="AA994" s="0" t="str">
        <f aca="false">PROPER(IF(ISBLANK(Z994),"Location Unavailable",Z994))</f>
        <v>Vip Section</v>
      </c>
      <c r="AB994" s="0" t="s">
        <v>147</v>
      </c>
      <c r="AC994" s="6" t="str">
        <f aca="false">PROPER(AB994)</f>
        <v>Instagram</v>
      </c>
      <c r="AD994" s="6" t="n">
        <v>30</v>
      </c>
      <c r="AE994" s="5" t="n">
        <f aca="false">IF(ISBLANK(AD994),AVERAGEIF(L994:L1993,L994,AD994:AD1993),AD994)</f>
        <v>30</v>
      </c>
      <c r="AF994" s="0" t="s">
        <v>76</v>
      </c>
      <c r="AG994" s="0" t="str">
        <f aca="false">PROPER(AF994)</f>
        <v>Orderd</v>
      </c>
      <c r="AH994" s="0" t="s">
        <v>155</v>
      </c>
      <c r="AI994" s="0" t="s">
        <v>113</v>
      </c>
      <c r="AJ994" s="0" t="str">
        <f aca="false">PROPER(AI994)</f>
        <v>Normal</v>
      </c>
      <c r="AK994" s="0" t="s">
        <v>196</v>
      </c>
      <c r="AL994" s="0" t="str">
        <f aca="false">PROPER(AK994)</f>
        <v>First Time</v>
      </c>
      <c r="AN994" s="0" t="str">
        <f aca="false">IF(ISBLANK(AM994),"Unknown",AM994)</f>
        <v>Unknown</v>
      </c>
      <c r="AO994" s="0" t="s">
        <v>149</v>
      </c>
      <c r="AP994" s="0" t="str">
        <f aca="false">IF(ISBLANK(AO994),"Unknown",AO994)</f>
        <v>Senior </v>
      </c>
      <c r="AQ994" s="0" t="n">
        <v>30000</v>
      </c>
      <c r="AR994" s="5" t="n">
        <f aca="false">IF(ISBLANK(AQ994),AVERAGEIF(M994:M1993,M994,AQ994:AQ1993),AQ994)</f>
        <v>30000</v>
      </c>
      <c r="AS994" s="0" t="n">
        <v>30000</v>
      </c>
      <c r="AT994" s="5" t="n">
        <f aca="false">IF(ISBLANK(AS994),AVERAGE(AS994:AS1993),AS994)</f>
        <v>30000</v>
      </c>
      <c r="AU994" s="0" t="s">
        <v>61</v>
      </c>
      <c r="AV994" s="0" t="str">
        <f aca="false">PROPER(IF(ISBLANK(AU994),"No",AU994))</f>
        <v>No</v>
      </c>
      <c r="AW994" s="0" t="n">
        <v>5000</v>
      </c>
      <c r="AX994" s="5" t="n">
        <f aca="false">IF(ISBLANK(AW994),0,AW994)</f>
        <v>5000</v>
      </c>
      <c r="AY994" s="0" t="s">
        <v>130</v>
      </c>
      <c r="AZ994" s="0" t="str">
        <f aca="false">UPPER(IF(ISBLANK(AY994),"NONE",AY994))</f>
        <v>LOYALTY10</v>
      </c>
      <c r="BB994" s="7" t="str">
        <f aca="false">IF(ISBLANK(BA994),"No Follow Up Needed",BA994)</f>
        <v>No Follow Up Needed</v>
      </c>
      <c r="BC994" s="0" t="s">
        <v>50</v>
      </c>
      <c r="BD994" s="0" t="str">
        <f aca="false">PROPER(IF(ISBLANK(BC994),"Unknown",BC994))</f>
        <v>No</v>
      </c>
      <c r="BE994" s="0" t="s">
        <v>171</v>
      </c>
      <c r="BF994" s="0" t="str">
        <f aca="false">IF(ISBLANK(BE994),"No comments",BE994)</f>
        <v>Shock absorber weakening</v>
      </c>
      <c r="BH994" s="0" t="str">
        <f aca="false">IF(ISBLANK(BG994),"No comments",BG994)</f>
        <v>No comments</v>
      </c>
      <c r="BI994" s="0" t="s">
        <v>50</v>
      </c>
      <c r="BJ994" s="0" t="str">
        <f aca="false">IF(ISBLANK(BI994),"Not Mentioned",BI994)</f>
        <v>No</v>
      </c>
      <c r="BK994" s="0" t="s">
        <v>82</v>
      </c>
      <c r="BL994" s="0" t="str">
        <f aca="false">PROPER(IF(ISBLANK(BK994),"Not Mentioned",BK994))</f>
        <v>Yes</v>
      </c>
      <c r="BM994" s="0" t="s">
        <v>63</v>
      </c>
      <c r="BN994" s="0" t="str">
        <f aca="false">PROPER(IF(ISBLANK(BM994),"Not Mentioned",BM994))</f>
        <v>Yes</v>
      </c>
      <c r="BO994" s="0" t="s">
        <v>2318</v>
      </c>
      <c r="BP994" s="0" t="str">
        <f aca="false">IF(ISBLANK(BO994),"One-Time Plan",BO994)</f>
        <v>Gold</v>
      </c>
      <c r="BQ994" s="0" t="s">
        <v>50</v>
      </c>
      <c r="BR994" s="0" t="str">
        <f aca="false">PROPER(IF(ISBLANK(BQ994),"No",BQ994))</f>
        <v>No</v>
      </c>
    </row>
    <row r="995" customFormat="false" ht="15" hidden="false" customHeight="false" outlineLevel="0" collapsed="false">
      <c r="A995" s="0" t="s">
        <v>2268</v>
      </c>
      <c r="B995" s="2" t="n">
        <v>45811</v>
      </c>
      <c r="C995" s="2" t="str">
        <f aca="false">TEXT(B995,"dd/mm/yyyy")</f>
        <v>03/06/2025</v>
      </c>
      <c r="D995" s="0" t="s">
        <v>42</v>
      </c>
      <c r="E995" s="0" t="n">
        <v>8073928214</v>
      </c>
      <c r="F995" s="0" t="s">
        <v>67</v>
      </c>
      <c r="G995" s="0" t="s">
        <v>2316</v>
      </c>
      <c r="H995" s="0" t="s">
        <v>2269</v>
      </c>
      <c r="I995" s="0" t="s">
        <v>87</v>
      </c>
      <c r="J995" s="0" t="s">
        <v>2325</v>
      </c>
      <c r="K995" s="3" t="str">
        <f aca="false" t="array" ref="K995:K995">IFERROR(IF(J995&lt;&gt;"",J995,INDEX(J995:J1994,MATCH(1,(F995:F1994=F995)*(I995:I1994=I995)*(L995:L1994=L995)*(J995:J1994&lt;&gt;""),0))),"Not Found")</f>
        <v>Engine Knocking</v>
      </c>
      <c r="L995" s="3" t="s">
        <v>154</v>
      </c>
      <c r="M995" s="0" t="str">
        <f aca="false">PROPER(L995)</f>
        <v>Air Filter</v>
      </c>
      <c r="N995" s="3" t="s">
        <v>109</v>
      </c>
      <c r="O995" s="0" t="str">
        <f aca="false" t="array" ref="O995:O995">IF(N995&lt;&gt;"",N995,_xlfn.xlookup(1,(L995:L1994=L995)*(N995:N1994&lt;&gt;""),N995:N1994,"Not Found"))</f>
        <v>Tijani</v>
      </c>
      <c r="P995" s="4" t="n">
        <v>44818</v>
      </c>
      <c r="Q995" s="0" t="s">
        <v>124</v>
      </c>
      <c r="R995" s="0" t="str">
        <f aca="false">PROPER(Q995)</f>
        <v>Cash</v>
      </c>
      <c r="S995" s="0" t="s">
        <v>63</v>
      </c>
      <c r="T995" s="0" t="n">
        <v>1</v>
      </c>
      <c r="U995" s="5" t="n">
        <f aca="false">IF(ISBLANK(T995),AVERAGE(T995:T1994),T995)</f>
        <v>1</v>
      </c>
      <c r="V995" s="0" t="n">
        <v>1.4</v>
      </c>
      <c r="W995" s="0" t="s">
        <v>51</v>
      </c>
      <c r="X995" s="0" t="str">
        <f aca="false">IF(ISBLANK(W995),"No remarks",W995)</f>
        <v>Recommended further checks</v>
      </c>
      <c r="Y995" s="0" t="s">
        <v>93</v>
      </c>
      <c r="AA995" s="0" t="str">
        <f aca="false">PROPER(IF(ISBLANK(Z995),"Location Unavailable",Z995))</f>
        <v>Location Unavailable</v>
      </c>
      <c r="AB995" s="0" t="s">
        <v>75</v>
      </c>
      <c r="AC995" s="6" t="str">
        <f aca="false">PROPER(AB995)</f>
        <v>Mechanik Referal</v>
      </c>
      <c r="AD995" s="6" t="n">
        <v>45</v>
      </c>
      <c r="AE995" s="5" t="n">
        <f aca="false">IF(ISBLANK(AD995),AVERAGEIF(L995:L1994,L995,AD995:AD1994),AD995)</f>
        <v>45</v>
      </c>
      <c r="AF995" s="0" t="s">
        <v>76</v>
      </c>
      <c r="AG995" s="0" t="str">
        <f aca="false">PROPER(AF995)</f>
        <v>Orderd</v>
      </c>
      <c r="AH995" s="0" t="s">
        <v>148</v>
      </c>
      <c r="AI995" s="0" t="s">
        <v>78</v>
      </c>
      <c r="AJ995" s="0" t="str">
        <f aca="false">PROPER(AI995)</f>
        <v>Booking</v>
      </c>
      <c r="AK995" s="0" t="s">
        <v>99</v>
      </c>
      <c r="AL995" s="0" t="str">
        <f aca="false">PROPER(AK995)</f>
        <v>Uber Driver</v>
      </c>
      <c r="AN995" s="0" t="str">
        <f aca="false">IF(ISBLANK(AM995),"Unknown",AM995)</f>
        <v>Unknown</v>
      </c>
      <c r="AO995" s="0" t="s">
        <v>161</v>
      </c>
      <c r="AP995" s="0" t="str">
        <f aca="false">IF(ISBLANK(AO995),"Unknown",AO995)</f>
        <v>Apprentice</v>
      </c>
      <c r="AQ995" s="0" t="n">
        <v>40000</v>
      </c>
      <c r="AR995" s="5" t="n">
        <f aca="false">IF(ISBLANK(AQ995),AVERAGEIF(M995:M1994,M995,AQ995:AQ1994),AQ995)</f>
        <v>40000</v>
      </c>
      <c r="AS995" s="0" t="n">
        <v>30000</v>
      </c>
      <c r="AT995" s="5" t="n">
        <f aca="false">IF(ISBLANK(AS995),AVERAGE(AS995:AS1994),AS995)</f>
        <v>30000</v>
      </c>
      <c r="AV995" s="0" t="str">
        <f aca="false">PROPER(IF(ISBLANK(AU995),"No",AU995))</f>
        <v>No</v>
      </c>
      <c r="AX995" s="5" t="n">
        <f aca="false">IF(ISBLANK(AW995),0,AW995)</f>
        <v>0</v>
      </c>
      <c r="AY995" s="0" t="s">
        <v>130</v>
      </c>
      <c r="AZ995" s="0" t="str">
        <f aca="false">UPPER(IF(ISBLANK(AY995),"NONE",AY995))</f>
        <v>LOYALTY10</v>
      </c>
      <c r="BA995" s="7" t="n">
        <v>45695</v>
      </c>
      <c r="BB995" s="7" t="n">
        <f aca="false">IF(ISBLANK(BA995),"No Follow Up Needed",BA995)</f>
        <v>45695</v>
      </c>
      <c r="BC995" s="0" t="s">
        <v>82</v>
      </c>
      <c r="BD995" s="0" t="str">
        <f aca="false">PROPER(IF(ISBLANK(BC995),"Unknown",BC995))</f>
        <v>Yes</v>
      </c>
      <c r="BF995" s="0" t="str">
        <f aca="false">IF(ISBLANK(BE995),"No comments",BE995)</f>
        <v>No comments</v>
      </c>
      <c r="BG995" s="0" t="s">
        <v>117</v>
      </c>
      <c r="BH995" s="0" t="str">
        <f aca="false">IF(ISBLANK(BG995),"No comments",BG995)</f>
        <v>Prefers morning</v>
      </c>
      <c r="BJ995" s="0" t="str">
        <f aca="false">IF(ISBLANK(BI995),"Not Mentioned",BI995)</f>
        <v>Not Mentioned</v>
      </c>
      <c r="BK995" s="0" t="s">
        <v>50</v>
      </c>
      <c r="BL995" s="0" t="str">
        <f aca="false">PROPER(IF(ISBLANK(BK995),"Not Mentioned",BK995))</f>
        <v>No</v>
      </c>
      <c r="BN995" s="0" t="str">
        <f aca="false">PROPER(IF(ISBLANK(BM995),"Not Mentioned",BM995))</f>
        <v>Not Mentioned</v>
      </c>
      <c r="BO995" s="0" t="s">
        <v>64</v>
      </c>
      <c r="BP995" s="0" t="str">
        <f aca="false">IF(ISBLANK(BO995),"One-Time Plan",BO995)</f>
        <v>Gold Maintenance Plan</v>
      </c>
      <c r="BR995" s="0" t="str">
        <f aca="false">PROPER(IF(ISBLANK(BQ995),"No",BQ995))</f>
        <v>No</v>
      </c>
    </row>
    <row r="996" customFormat="false" ht="15" hidden="false" customHeight="false" outlineLevel="0" collapsed="false">
      <c r="A996" s="0" t="s">
        <v>2270</v>
      </c>
      <c r="B996" s="2" t="n">
        <v>45722</v>
      </c>
      <c r="C996" s="2" t="str">
        <f aca="false">TEXT(B996,"dd/mm/yyyy")</f>
        <v>06/03/2025</v>
      </c>
      <c r="D996" s="0" t="s">
        <v>163</v>
      </c>
      <c r="E996" s="0" t="n">
        <v>8026521948</v>
      </c>
      <c r="F996" s="0" t="s">
        <v>85</v>
      </c>
      <c r="G996" s="0" t="s">
        <v>2319</v>
      </c>
      <c r="H996" s="0" t="s">
        <v>2271</v>
      </c>
      <c r="I996" s="0" t="s">
        <v>45</v>
      </c>
      <c r="J996" s="0" t="s">
        <v>87</v>
      </c>
      <c r="K996" s="3" t="str">
        <f aca="false" t="array" ref="K996:K996">IFERROR(IF(J996&lt;&gt;"",J996,INDEX(J996:J1995,MATCH(1,(F996:F1995=F996)*(I996:I1995=I996)*(L996:L1995=L996)*(J996:J1995&lt;&gt;""),0))),"Not Found")</f>
        <v>Oil Change</v>
      </c>
      <c r="L996" s="3" t="s">
        <v>154</v>
      </c>
      <c r="M996" s="0" t="str">
        <f aca="false">PROPER(L996)</f>
        <v>Air Filter</v>
      </c>
      <c r="N996" s="3" t="s">
        <v>109</v>
      </c>
      <c r="O996" s="0" t="str">
        <f aca="false" t="array" ref="O996:O996">IF(N996&lt;&gt;"",N996,_xlfn.xlookup(1,(L996:L1995=L996)*(N996:N1995&lt;&gt;""),N996:N1995,"Not Found"))</f>
        <v>Tijani</v>
      </c>
      <c r="P996" s="4" t="n">
        <v>69383</v>
      </c>
      <c r="Q996" s="0" t="s">
        <v>91</v>
      </c>
      <c r="R996" s="0" t="str">
        <f aca="false">PROPER(Q996)</f>
        <v>Pos</v>
      </c>
      <c r="S996" s="0" t="s">
        <v>63</v>
      </c>
      <c r="T996" s="0" t="n">
        <v>5</v>
      </c>
      <c r="U996" s="5" t="n">
        <f aca="false">IF(ISBLANK(T996),AVERAGE(T996:T1995),T996)</f>
        <v>5</v>
      </c>
      <c r="V996" s="0" t="n">
        <v>3.8</v>
      </c>
      <c r="W996" s="0" t="s">
        <v>51</v>
      </c>
      <c r="X996" s="0" t="str">
        <f aca="false">IF(ISBLANK(W996),"No remarks",W996)</f>
        <v>Recommended further checks</v>
      </c>
      <c r="Y996" s="0" t="s">
        <v>52</v>
      </c>
      <c r="Z996" s="0" t="s">
        <v>159</v>
      </c>
      <c r="AA996" s="0" t="str">
        <f aca="false">PROPER(IF(ISBLANK(Z996),"Location Unavailable",Z996))</f>
        <v>Main Bay</v>
      </c>
      <c r="AB996" s="0" t="s">
        <v>95</v>
      </c>
      <c r="AC996" s="6" t="str">
        <f aca="false">PROPER(AB996)</f>
        <v>Road Sign</v>
      </c>
      <c r="AD996" s="6" t="n">
        <v>30</v>
      </c>
      <c r="AE996" s="5" t="n">
        <f aca="false">IF(ISBLANK(AD996),AVERAGEIF(L996:L1995,L996,AD996:AD1995),AD996)</f>
        <v>30</v>
      </c>
      <c r="AF996" s="0" t="s">
        <v>55</v>
      </c>
      <c r="AG996" s="0" t="str">
        <f aca="false">PROPER(AF996)</f>
        <v>Available</v>
      </c>
      <c r="AH996" s="0" t="s">
        <v>77</v>
      </c>
      <c r="AI996" s="0" t="s">
        <v>98</v>
      </c>
      <c r="AJ996" s="0" t="str">
        <f aca="false">PROPER(AI996)</f>
        <v>Emergency</v>
      </c>
      <c r="AK996" s="0" t="s">
        <v>196</v>
      </c>
      <c r="AL996" s="0" t="str">
        <f aca="false">PROPER(AK996)</f>
        <v>First Time</v>
      </c>
      <c r="AN996" s="0" t="str">
        <f aca="false">IF(ISBLANK(AM996),"Unknown",AM996)</f>
        <v>Unknown</v>
      </c>
      <c r="AO996" s="0" t="s">
        <v>143</v>
      </c>
      <c r="AP996" s="0" t="str">
        <f aca="false">IF(ISBLANK(AO996),"Unknown",AO996)</f>
        <v>Senior</v>
      </c>
      <c r="AQ996" s="0" t="n">
        <v>15000</v>
      </c>
      <c r="AR996" s="5" t="n">
        <f aca="false">IF(ISBLANK(AQ996),AVERAGEIF(M996:M1995,M996,AQ996:AQ1995),AQ996)</f>
        <v>15000</v>
      </c>
      <c r="AT996" s="5" t="n">
        <f aca="false">IF(ISBLANK(AS996),AVERAGE(AS996:AS1995),AS996)</f>
        <v>28000</v>
      </c>
      <c r="AU996" s="0" t="s">
        <v>61</v>
      </c>
      <c r="AV996" s="0" t="str">
        <f aca="false">PROPER(IF(ISBLANK(AU996),"No",AU996))</f>
        <v>No</v>
      </c>
      <c r="AW996" s="0" t="n">
        <v>0</v>
      </c>
      <c r="AX996" s="5" t="n">
        <f aca="false">IF(ISBLANK(AW996),0,AW996)</f>
        <v>0</v>
      </c>
      <c r="AY996" s="0" t="s">
        <v>184</v>
      </c>
      <c r="AZ996" s="0" t="str">
        <f aca="false">UPPER(IF(ISBLANK(AY996),"NONE",AY996))</f>
        <v>N/A</v>
      </c>
      <c r="BA996" s="7" t="n">
        <v>45990</v>
      </c>
      <c r="BB996" s="7" t="n">
        <f aca="false">IF(ISBLANK(BA996),"No Follow Up Needed",BA996)</f>
        <v>45990</v>
      </c>
      <c r="BC996" s="0" t="s">
        <v>61</v>
      </c>
      <c r="BD996" s="0" t="str">
        <f aca="false">PROPER(IF(ISBLANK(BC996),"Unknown",BC996))</f>
        <v>No</v>
      </c>
      <c r="BE996" s="0" t="s">
        <v>171</v>
      </c>
      <c r="BF996" s="0" t="str">
        <f aca="false">IF(ISBLANK(BE996),"No comments",BE996)</f>
        <v>Shock absorber weakening</v>
      </c>
      <c r="BH996" s="0" t="str">
        <f aca="false">IF(ISBLANK(BG996),"No comments",BG996)</f>
        <v>No comments</v>
      </c>
      <c r="BI996" s="0" t="s">
        <v>63</v>
      </c>
      <c r="BJ996" s="0" t="str">
        <f aca="false">IF(ISBLANK(BI996),"Not Mentioned",BI996)</f>
        <v>Yes</v>
      </c>
      <c r="BK996" s="0" t="s">
        <v>82</v>
      </c>
      <c r="BL996" s="0" t="str">
        <f aca="false">PROPER(IF(ISBLANK(BK996),"Not Mentioned",BK996))</f>
        <v>Yes</v>
      </c>
      <c r="BN996" s="0" t="str">
        <f aca="false">PROPER(IF(ISBLANK(BM996),"Not Mentioned",BM996))</f>
        <v>Not Mentioned</v>
      </c>
      <c r="BO996" s="0" t="s">
        <v>64</v>
      </c>
      <c r="BP996" s="0" t="str">
        <f aca="false">IF(ISBLANK(BO996),"One-Time Plan",BO996)</f>
        <v>Gold Maintenance Plan</v>
      </c>
      <c r="BR996" s="0" t="str">
        <f aca="false">PROPER(IF(ISBLANK(BQ996),"No",BQ996))</f>
        <v>No</v>
      </c>
    </row>
    <row r="997" customFormat="false" ht="15" hidden="false" customHeight="false" outlineLevel="0" collapsed="false">
      <c r="A997" s="0" t="s">
        <v>2272</v>
      </c>
      <c r="B997" s="2" t="n">
        <v>45873</v>
      </c>
      <c r="C997" s="2" t="str">
        <f aca="false">TEXT(B997,"dd/mm/yyyy")</f>
        <v>04/08/2025</v>
      </c>
      <c r="D997" s="0" t="s">
        <v>42</v>
      </c>
      <c r="E997" s="0" t="n">
        <v>8099318726</v>
      </c>
      <c r="F997" s="0" t="s">
        <v>67</v>
      </c>
      <c r="G997" s="0" t="s">
        <v>2316</v>
      </c>
      <c r="H997" s="0" t="s">
        <v>2273</v>
      </c>
      <c r="I997" s="0" t="s">
        <v>107</v>
      </c>
      <c r="J997" s="0" t="s">
        <v>2317</v>
      </c>
      <c r="K997" s="3" t="str">
        <f aca="false" t="array" ref="K997:K997">IFERROR(IF(J997&lt;&gt;"",J997,INDEX(J997:J1996,MATCH(1,(F997:F1996=F997)*(I997:I1996=I997)*(L997:L1996=L997)*(J997:J1996&lt;&gt;""),0))),"Not Found")</f>
        <v>Suspension Noise</v>
      </c>
      <c r="L997" s="3" t="s">
        <v>154</v>
      </c>
      <c r="M997" s="0" t="str">
        <f aca="false">PROPER(L997)</f>
        <v>Air Filter</v>
      </c>
      <c r="O997" s="0" t="e">
        <f aca="false" t="array" ref="O997:O997">IF(N997&lt;&gt;"",N997,_xlfn.xlookup(1,(L997:L1996=L997)*(N997:N1996&lt;&gt;""),N997:N1996,"Not Found"))</f>
        <v>#NAME?</v>
      </c>
      <c r="P997" s="4" t="n">
        <v>77069</v>
      </c>
      <c r="Q997" s="0" t="s">
        <v>166</v>
      </c>
      <c r="R997" s="0" t="str">
        <f aca="false">PROPER(Q997)</f>
        <v>Transfer</v>
      </c>
      <c r="S997" s="0" t="s">
        <v>50</v>
      </c>
      <c r="T997" s="0" t="n">
        <v>1</v>
      </c>
      <c r="U997" s="5" t="n">
        <f aca="false">IF(ISBLANK(T997),AVERAGE(T997:T1996),T997)</f>
        <v>1</v>
      </c>
      <c r="V997" s="0" t="n">
        <v>3.6</v>
      </c>
      <c r="W997" s="0" t="s">
        <v>51</v>
      </c>
      <c r="X997" s="0" t="str">
        <f aca="false">IF(ISBLANK(W997),"No remarks",W997)</f>
        <v>Recommended further checks</v>
      </c>
      <c r="Y997" s="0" t="s">
        <v>73</v>
      </c>
      <c r="Z997" s="0" t="s">
        <v>74</v>
      </c>
      <c r="AA997" s="0" t="str">
        <f aca="false">PROPER(IF(ISBLANK(Z997),"Location Unavailable",Z997))</f>
        <v>Under Tree</v>
      </c>
      <c r="AB997" s="0" t="s">
        <v>167</v>
      </c>
      <c r="AC997" s="6" t="str">
        <f aca="false">PROPER(AB997)</f>
        <v>Word Of Mouth</v>
      </c>
      <c r="AD997" s="6" t="n">
        <v>30</v>
      </c>
      <c r="AE997" s="5" t="n">
        <f aca="false">IF(ISBLANK(AD997),AVERAGEIF(L997:L1996,L997,AD997:AD1996),AD997)</f>
        <v>30</v>
      </c>
      <c r="AF997" s="0" t="s">
        <v>160</v>
      </c>
      <c r="AG997" s="0" t="str">
        <f aca="false">PROPER(AF997)</f>
        <v>Availaible</v>
      </c>
      <c r="AH997" s="0" t="s">
        <v>56</v>
      </c>
      <c r="AI997" s="0" t="s">
        <v>98</v>
      </c>
      <c r="AJ997" s="0" t="str">
        <f aca="false">PROPER(AI997)</f>
        <v>Emergency</v>
      </c>
      <c r="AK997" s="0" t="s">
        <v>196</v>
      </c>
      <c r="AL997" s="0" t="str">
        <f aca="false">PROPER(AK997)</f>
        <v>First Time</v>
      </c>
      <c r="AN997" s="0" t="str">
        <f aca="false">IF(ISBLANK(AM997),"Unknown",AM997)</f>
        <v>Unknown</v>
      </c>
      <c r="AP997" s="0" t="str">
        <f aca="false">IF(ISBLANK(AO997),"Unknown",AO997)</f>
        <v>Unknown</v>
      </c>
      <c r="AQ997" s="0" t="n">
        <v>25000</v>
      </c>
      <c r="AR997" s="5" t="n">
        <f aca="false">IF(ISBLANK(AQ997),AVERAGEIF(M997:M1996,M997,AQ997:AQ1996),AQ997)</f>
        <v>25000</v>
      </c>
      <c r="AS997" s="0" t="n">
        <v>30000</v>
      </c>
      <c r="AT997" s="5" t="n">
        <f aca="false">IF(ISBLANK(AS997),AVERAGE(AS997:AS1996),AS997)</f>
        <v>30000</v>
      </c>
      <c r="AU997" s="0" t="s">
        <v>61</v>
      </c>
      <c r="AV997" s="0" t="str">
        <f aca="false">PROPER(IF(ISBLANK(AU997),"No",AU997))</f>
        <v>No</v>
      </c>
      <c r="AW997" s="0" t="n">
        <v>5000</v>
      </c>
      <c r="AX997" s="5" t="n">
        <f aca="false">IF(ISBLANK(AW997),0,AW997)</f>
        <v>5000</v>
      </c>
      <c r="AY997" s="0" t="s">
        <v>60</v>
      </c>
      <c r="AZ997" s="0" t="str">
        <f aca="false">UPPER(IF(ISBLANK(AY997),"NONE",AY997))</f>
        <v>NONE</v>
      </c>
      <c r="BA997" s="7" t="n">
        <v>45820</v>
      </c>
      <c r="BB997" s="7" t="n">
        <f aca="false">IF(ISBLANK(BA997),"No Follow Up Needed",BA997)</f>
        <v>45820</v>
      </c>
      <c r="BC997" s="0" t="s">
        <v>82</v>
      </c>
      <c r="BD997" s="0" t="str">
        <f aca="false">PROPER(IF(ISBLANK(BC997),"Unknown",BC997))</f>
        <v>Yes</v>
      </c>
      <c r="BF997" s="0" t="str">
        <f aca="false">IF(ISBLANK(BE997),"No comments",BE997)</f>
        <v>No comments</v>
      </c>
      <c r="BH997" s="0" t="str">
        <f aca="false">IF(ISBLANK(BG997),"No comments",BG997)</f>
        <v>No comments</v>
      </c>
      <c r="BJ997" s="0" t="str">
        <f aca="false">IF(ISBLANK(BI997),"Not Mentioned",BI997)</f>
        <v>Not Mentioned</v>
      </c>
      <c r="BK997" s="0" t="s">
        <v>63</v>
      </c>
      <c r="BL997" s="0" t="str">
        <f aca="false">PROPER(IF(ISBLANK(BK997),"Not Mentioned",BK997))</f>
        <v>Yes</v>
      </c>
      <c r="BM997" s="0" t="s">
        <v>63</v>
      </c>
      <c r="BN997" s="0" t="str">
        <f aca="false">PROPER(IF(ISBLANK(BM997),"Not Mentioned",BM997))</f>
        <v>Yes</v>
      </c>
      <c r="BP997" s="0" t="str">
        <f aca="false">IF(ISBLANK(BO997),"One-Time Plan",BO997)</f>
        <v>One-Time Plan</v>
      </c>
      <c r="BQ997" s="0" t="s">
        <v>63</v>
      </c>
      <c r="BR997" s="0" t="str">
        <f aca="false">PROPER(IF(ISBLANK(BQ997),"No",BQ997))</f>
        <v>Yes</v>
      </c>
    </row>
    <row r="998" customFormat="false" ht="15" hidden="false" customHeight="false" outlineLevel="0" collapsed="false">
      <c r="A998" s="0" t="s">
        <v>2274</v>
      </c>
      <c r="B998" s="2" t="n">
        <v>45752</v>
      </c>
      <c r="C998" s="2" t="str">
        <f aca="false">TEXT(B998,"dd/mm/yyyy")</f>
        <v>05/04/2025</v>
      </c>
      <c r="D998" s="0" t="s">
        <v>163</v>
      </c>
      <c r="E998" s="0" t="n">
        <v>8028220919</v>
      </c>
      <c r="F998" s="0" t="s">
        <v>122</v>
      </c>
      <c r="G998" s="0" t="s">
        <v>2316</v>
      </c>
      <c r="H998" s="0" t="s">
        <v>2275</v>
      </c>
      <c r="I998" s="0" t="s">
        <v>45</v>
      </c>
      <c r="K998" s="3" t="str">
        <f aca="false" t="array" ref="K998:K998">IFERROR(IF(J998&lt;&gt;"",J998,INDEX(J998:J1997,MATCH(1,(F998:F1997=F998)*(I998:I1997=I998)*(L998:L1997=L998)*(J998:J1997&lt;&gt;""),0))),"Not Found")</f>
        <v>Not Found</v>
      </c>
      <c r="L998" s="3" t="s">
        <v>47</v>
      </c>
      <c r="M998" s="0" t="str">
        <f aca="false">PROPER(L998)</f>
        <v>None</v>
      </c>
      <c r="N998" s="3" t="s">
        <v>90</v>
      </c>
      <c r="O998" s="0" t="str">
        <f aca="false" t="array" ref="O998:O998">IF(N998&lt;&gt;"",N998,_xlfn.xlookup(1,(L998:L1997=L998)*(N998:N1997&lt;&gt;""),N998:N1997,"Not Found"))</f>
        <v>Musa</v>
      </c>
      <c r="P998" s="4" t="n">
        <v>50946</v>
      </c>
      <c r="Q998" s="0" t="s">
        <v>166</v>
      </c>
      <c r="R998" s="0" t="str">
        <f aca="false">PROPER(Q998)</f>
        <v>Transfer</v>
      </c>
      <c r="S998" s="0" t="s">
        <v>50</v>
      </c>
      <c r="T998" s="0" t="n">
        <v>5</v>
      </c>
      <c r="U998" s="5" t="n">
        <f aca="false">IF(ISBLANK(T998),AVERAGE(T998:T1997),T998)</f>
        <v>5</v>
      </c>
      <c r="V998" s="0" t="n">
        <v>3.3</v>
      </c>
      <c r="X998" s="0" t="str">
        <f aca="false">IF(ISBLANK(W998),"No remarks",W998)</f>
        <v>No remarks</v>
      </c>
      <c r="Y998" s="0" t="s">
        <v>52</v>
      </c>
      <c r="Z998" s="0" t="s">
        <v>136</v>
      </c>
      <c r="AA998" s="0" t="str">
        <f aca="false">PROPER(IF(ISBLANK(Z998),"Location Unavailable",Z998))</f>
        <v>Vip Section</v>
      </c>
      <c r="AB998" s="0" t="s">
        <v>95</v>
      </c>
      <c r="AC998" s="6" t="str">
        <f aca="false">PROPER(AB998)</f>
        <v>Road Sign</v>
      </c>
      <c r="AD998" s="6" t="n">
        <v>45</v>
      </c>
      <c r="AE998" s="5" t="n">
        <f aca="false">IF(ISBLANK(AD998),AVERAGEIF(L998:L1997,L998,AD998:AD1997),AD998)</f>
        <v>45</v>
      </c>
      <c r="AF998" s="0" t="s">
        <v>76</v>
      </c>
      <c r="AG998" s="0" t="str">
        <f aca="false">PROPER(AF998)</f>
        <v>Orderd</v>
      </c>
      <c r="AH998" s="0" t="s">
        <v>77</v>
      </c>
      <c r="AI998" s="0" t="s">
        <v>78</v>
      </c>
      <c r="AJ998" s="0" t="str">
        <f aca="false">PROPER(AI998)</f>
        <v>Booking</v>
      </c>
      <c r="AK998" s="0" t="s">
        <v>58</v>
      </c>
      <c r="AL998" s="0" t="str">
        <f aca="false">PROPER(AK998)</f>
        <v>Fleet Owner</v>
      </c>
      <c r="AN998" s="0" t="str">
        <f aca="false">IF(ISBLANK(AM998),"Unknown",AM998)</f>
        <v>Unknown</v>
      </c>
      <c r="AO998" s="0" t="s">
        <v>79</v>
      </c>
      <c r="AP998" s="0" t="str">
        <f aca="false">IF(ISBLANK(AO998),"Unknown",AO998)</f>
        <v>Specialist</v>
      </c>
      <c r="AR998" s="5" t="n">
        <f aca="false">IF(ISBLANK(AQ998),AVERAGEIF(M998:M1997,M998,AQ998:AQ1997),AQ998)</f>
        <v>25000</v>
      </c>
      <c r="AS998" s="0" t="n">
        <v>20000</v>
      </c>
      <c r="AT998" s="5" t="n">
        <f aca="false">IF(ISBLANK(AS998),AVERAGE(AS998:AS1997),AS998)</f>
        <v>20000</v>
      </c>
      <c r="AU998" s="0" t="s">
        <v>63</v>
      </c>
      <c r="AV998" s="0" t="str">
        <f aca="false">PROPER(IF(ISBLANK(AU998),"No",AU998))</f>
        <v>Yes</v>
      </c>
      <c r="AW998" s="0" t="n">
        <v>5000</v>
      </c>
      <c r="AX998" s="5" t="n">
        <f aca="false">IF(ISBLANK(AW998),0,AW998)</f>
        <v>5000</v>
      </c>
      <c r="AY998" s="0" t="s">
        <v>60</v>
      </c>
      <c r="AZ998" s="0" t="str">
        <f aca="false">UPPER(IF(ISBLANK(AY998),"NONE",AY998))</f>
        <v>NONE</v>
      </c>
      <c r="BA998" s="7" t="n">
        <v>45834</v>
      </c>
      <c r="BB998" s="7" t="n">
        <f aca="false">IF(ISBLANK(BA998),"No Follow Up Needed",BA998)</f>
        <v>45834</v>
      </c>
      <c r="BC998" s="0" t="s">
        <v>50</v>
      </c>
      <c r="BD998" s="0" t="str">
        <f aca="false">PROPER(IF(ISBLANK(BC998),"Unknown",BC998))</f>
        <v>No</v>
      </c>
      <c r="BE998" s="0" t="s">
        <v>171</v>
      </c>
      <c r="BF998" s="0" t="str">
        <f aca="false">IF(ISBLANK(BE998),"No comments",BE998)</f>
        <v>Shock absorber weakening</v>
      </c>
      <c r="BG998" s="0" t="s">
        <v>117</v>
      </c>
      <c r="BH998" s="0" t="str">
        <f aca="false">IF(ISBLANK(BG998),"No comments",BG998)</f>
        <v>Prefers morning</v>
      </c>
      <c r="BJ998" s="0" t="str">
        <f aca="false">IF(ISBLANK(BI998),"Not Mentioned",BI998)</f>
        <v>Not Mentioned</v>
      </c>
      <c r="BK998" s="0" t="s">
        <v>50</v>
      </c>
      <c r="BL998" s="0" t="str">
        <f aca="false">PROPER(IF(ISBLANK(BK998),"Not Mentioned",BK998))</f>
        <v>No</v>
      </c>
      <c r="BN998" s="0" t="str">
        <f aca="false">PROPER(IF(ISBLANK(BM998),"Not Mentioned",BM998))</f>
        <v>Not Mentioned</v>
      </c>
      <c r="BP998" s="0" t="str">
        <f aca="false">IF(ISBLANK(BO998),"One-Time Plan",BO998)</f>
        <v>One-Time Plan</v>
      </c>
      <c r="BQ998" s="0" t="s">
        <v>63</v>
      </c>
      <c r="BR998" s="0" t="str">
        <f aca="false">PROPER(IF(ISBLANK(BQ998),"No",BQ998))</f>
        <v>Yes</v>
      </c>
    </row>
    <row r="999" customFormat="false" ht="15" hidden="false" customHeight="false" outlineLevel="0" collapsed="false">
      <c r="A999" s="0" t="s">
        <v>2276</v>
      </c>
      <c r="B999" s="2" t="n">
        <v>45806</v>
      </c>
      <c r="C999" s="2" t="str">
        <f aca="false">TEXT(B999,"dd/mm/yyyy")</f>
        <v>29/05/2025</v>
      </c>
      <c r="D999" s="0" t="s">
        <v>105</v>
      </c>
      <c r="E999" s="0" t="n">
        <v>8081745187</v>
      </c>
      <c r="F999" s="0" t="s">
        <v>139</v>
      </c>
      <c r="G999" s="0" t="s">
        <v>2323</v>
      </c>
      <c r="H999" s="0" t="s">
        <v>2277</v>
      </c>
      <c r="I999" s="0" t="s">
        <v>45</v>
      </c>
      <c r="J999" s="0" t="s">
        <v>87</v>
      </c>
      <c r="K999" s="3" t="str">
        <f aca="false" t="array" ref="K999:K999">IFERROR(IF(J999&lt;&gt;"",J999,INDEX(J999:J1998,MATCH(1,(F999:F1998=F999)*(I999:I1998=I999)*(L999:L1998=L999)*(J999:J1998&lt;&gt;""),0))),"Not Found")</f>
        <v>Oil Change</v>
      </c>
      <c r="L999" s="3" t="s">
        <v>154</v>
      </c>
      <c r="M999" s="0" t="str">
        <f aca="false">PROPER(L999)</f>
        <v>Air Filter</v>
      </c>
      <c r="N999" s="3" t="s">
        <v>48</v>
      </c>
      <c r="O999" s="0" t="str">
        <f aca="false" t="array" ref="O999:O999">IF(N999&lt;&gt;"",N999,_xlfn.xlookup(1,(L999:L1998=L999)*(N999:N1998&lt;&gt;""),N999:N1998,"Not Found"))</f>
        <v>Uche</v>
      </c>
      <c r="P999" s="4" t="n">
        <v>29882</v>
      </c>
      <c r="Q999" s="0" t="s">
        <v>110</v>
      </c>
      <c r="R999" s="0" t="str">
        <f aca="false">PROPER(Q999)</f>
        <v>Cash</v>
      </c>
      <c r="S999" s="0" t="s">
        <v>63</v>
      </c>
      <c r="T999" s="0" t="n">
        <v>5</v>
      </c>
      <c r="U999" s="5" t="n">
        <f aca="false">IF(ISBLANK(T999),AVERAGE(T999:T1998),T999)</f>
        <v>5</v>
      </c>
      <c r="V999" s="0" t="n">
        <v>1.1</v>
      </c>
      <c r="X999" s="0" t="str">
        <f aca="false">IF(ISBLANK(W999),"No remarks",W999)</f>
        <v>No remarks</v>
      </c>
      <c r="Y999" s="0" t="s">
        <v>73</v>
      </c>
      <c r="AA999" s="0" t="str">
        <f aca="false">PROPER(IF(ISBLANK(Z999),"Location Unavailable",Z999))</f>
        <v>Location Unavailable</v>
      </c>
      <c r="AB999" s="0" t="s">
        <v>95</v>
      </c>
      <c r="AC999" s="6" t="str">
        <f aca="false">PROPER(AB999)</f>
        <v>Road Sign</v>
      </c>
      <c r="AD999" s="6" t="n">
        <v>60</v>
      </c>
      <c r="AE999" s="5" t="n">
        <f aca="false">IF(ISBLANK(AD999),AVERAGEIF(L999:L1998,L999,AD999:AD1998),AD999)</f>
        <v>60</v>
      </c>
      <c r="AF999" s="0" t="s">
        <v>76</v>
      </c>
      <c r="AG999" s="0" t="str">
        <f aca="false">PROPER(AF999)</f>
        <v>Orderd</v>
      </c>
      <c r="AH999" s="0" t="s">
        <v>77</v>
      </c>
      <c r="AI999" s="0" t="s">
        <v>128</v>
      </c>
      <c r="AJ999" s="0" t="str">
        <f aca="false">PROPER(AI999)</f>
        <v>Normal</v>
      </c>
      <c r="AK999" s="0" t="s">
        <v>196</v>
      </c>
      <c r="AL999" s="0" t="str">
        <f aca="false">PROPER(AK999)</f>
        <v>First Time</v>
      </c>
      <c r="AM999" s="0" t="s">
        <v>177</v>
      </c>
      <c r="AN999" s="0" t="str">
        <f aca="false">IF(ISBLANK(AM999),"Unknown",AM999)</f>
        <v>Private</v>
      </c>
      <c r="AO999" s="0" t="s">
        <v>149</v>
      </c>
      <c r="AP999" s="0" t="str">
        <f aca="false">IF(ISBLANK(AO999),"Unknown",AO999)</f>
        <v>Senior </v>
      </c>
      <c r="AQ999" s="0" t="n">
        <v>20000</v>
      </c>
      <c r="AR999" s="5" t="n">
        <f aca="false">IF(ISBLANK(AQ999),AVERAGEIF(M999:M1998,M999,AQ999:AQ1998),AQ999)</f>
        <v>20000</v>
      </c>
      <c r="AS999" s="0" t="n">
        <v>30000</v>
      </c>
      <c r="AT999" s="5" t="n">
        <f aca="false">IF(ISBLANK(AS999),AVERAGE(AS999:AS1998),AS999)</f>
        <v>30000</v>
      </c>
      <c r="AU999" s="0" t="s">
        <v>82</v>
      </c>
      <c r="AV999" s="0" t="str">
        <f aca="false">PROPER(IF(ISBLANK(AU999),"No",AU999))</f>
        <v>Yes</v>
      </c>
      <c r="AX999" s="5" t="n">
        <f aca="false">IF(ISBLANK(AW999),0,AW999)</f>
        <v>0</v>
      </c>
      <c r="AZ999" s="0" t="str">
        <f aca="false">UPPER(IF(ISBLANK(AY999),"NONE",AY999))</f>
        <v>NONE</v>
      </c>
      <c r="BB999" s="7" t="str">
        <f aca="false">IF(ISBLANK(BA999),"No Follow Up Needed",BA999)</f>
        <v>No Follow Up Needed</v>
      </c>
      <c r="BC999" s="0" t="s">
        <v>50</v>
      </c>
      <c r="BD999" s="0" t="str">
        <f aca="false">PROPER(IF(ISBLANK(BC999),"Unknown",BC999))</f>
        <v>No</v>
      </c>
      <c r="BE999" s="0" t="s">
        <v>171</v>
      </c>
      <c r="BF999" s="0" t="str">
        <f aca="false">IF(ISBLANK(BE999),"No comments",BE999)</f>
        <v>Shock absorber weakening</v>
      </c>
      <c r="BG999" s="0" t="s">
        <v>117</v>
      </c>
      <c r="BH999" s="0" t="str">
        <f aca="false">IF(ISBLANK(BG999),"No comments",BG999)</f>
        <v>Prefers morning</v>
      </c>
      <c r="BI999" s="0" t="s">
        <v>50</v>
      </c>
      <c r="BJ999" s="0" t="str">
        <f aca="false">IF(ISBLANK(BI999),"Not Mentioned",BI999)</f>
        <v>No</v>
      </c>
      <c r="BL999" s="0" t="str">
        <f aca="false">PROPER(IF(ISBLANK(BK999),"Not Mentioned",BK999))</f>
        <v>Not Mentioned</v>
      </c>
      <c r="BM999" s="0" t="s">
        <v>50</v>
      </c>
      <c r="BN999" s="0" t="str">
        <f aca="false">PROPER(IF(ISBLANK(BM999),"Not Mentioned",BM999))</f>
        <v>No</v>
      </c>
      <c r="BO999" s="0" t="s">
        <v>64</v>
      </c>
      <c r="BP999" s="0" t="str">
        <f aca="false">IF(ISBLANK(BO999),"One-Time Plan",BO999)</f>
        <v>Gold Maintenance Plan</v>
      </c>
      <c r="BQ999" s="0" t="s">
        <v>63</v>
      </c>
      <c r="BR999" s="0" t="str">
        <f aca="false">PROPER(IF(ISBLANK(BQ999),"No",BQ999))</f>
        <v>Yes</v>
      </c>
    </row>
    <row r="1000" customFormat="false" ht="15" hidden="false" customHeight="false" outlineLevel="0" collapsed="false">
      <c r="A1000" s="0" t="s">
        <v>2278</v>
      </c>
      <c r="B1000" s="2" t="n">
        <v>45843</v>
      </c>
      <c r="C1000" s="2" t="str">
        <f aca="false">TEXT(B1000,"dd/mm/yyyy")</f>
        <v>05/07/2025</v>
      </c>
      <c r="D1000" s="0" t="s">
        <v>163</v>
      </c>
      <c r="E1000" s="0" t="n">
        <v>8095033398</v>
      </c>
      <c r="F1000" s="0" t="s">
        <v>139</v>
      </c>
      <c r="G1000" s="0" t="s">
        <v>2323</v>
      </c>
      <c r="H1000" s="0" t="s">
        <v>2279</v>
      </c>
      <c r="I1000" s="0" t="s">
        <v>69</v>
      </c>
      <c r="J1000" s="0" t="s">
        <v>87</v>
      </c>
      <c r="K1000" s="3" t="str">
        <f aca="false" t="array" ref="K1000:K1000">IFERROR(IF(J1000&lt;&gt;"",J1000,INDEX(J1000:J1999,MATCH(1,(F1000:F1999=F1000)*(I1000:I1999=I1000)*(L1000:L1999=L1000)*(J1000:J1999&lt;&gt;""),0))),"Not Found")</f>
        <v>Oil Change</v>
      </c>
      <c r="L1000" s="3" t="s">
        <v>89</v>
      </c>
      <c r="M1000" s="0" t="str">
        <f aca="false">PROPER(L1000)</f>
        <v>Shock Absorbers</v>
      </c>
      <c r="N1000" s="3" t="s">
        <v>71</v>
      </c>
      <c r="O1000" s="0" t="str">
        <f aca="false" t="array" ref="O1000:O1000">IF(N1000&lt;&gt;"",N1000,_xlfn.xlookup(1,(L1000:L1999=L1000)*(N1000:N1999&lt;&gt;""),N1000:N1999,"Not Found"))</f>
        <v>Isaac Bobo</v>
      </c>
      <c r="P1000" s="4" t="n">
        <v>18488</v>
      </c>
      <c r="Q1000" s="0" t="s">
        <v>72</v>
      </c>
      <c r="R1000" s="0" t="str">
        <f aca="false">PROPER(Q1000)</f>
        <v>Pos</v>
      </c>
      <c r="S1000" s="0" t="s">
        <v>63</v>
      </c>
      <c r="T1000" s="0" t="n">
        <v>4</v>
      </c>
      <c r="U1000" s="5" t="n">
        <f aca="false">IF(ISBLANK(T1000),AVERAGE(T1000:T1999),T1000)</f>
        <v>4</v>
      </c>
      <c r="V1000" s="0" t="n">
        <v>4.6</v>
      </c>
      <c r="X1000" s="0" t="str">
        <f aca="false">IF(ISBLANK(W1000),"No remarks",W1000)</f>
        <v>No remarks</v>
      </c>
      <c r="Y1000" s="0" t="s">
        <v>93</v>
      </c>
      <c r="Z1000" s="0" t="s">
        <v>94</v>
      </c>
      <c r="AA1000" s="0" t="str">
        <f aca="false">PROPER(IF(ISBLANK(Z1000),"Location Unavailable",Z1000))</f>
        <v>Vip Section</v>
      </c>
      <c r="AB1000" s="0" t="s">
        <v>167</v>
      </c>
      <c r="AC1000" s="6" t="str">
        <f aca="false">PROPER(AB1000)</f>
        <v>Word Of Mouth</v>
      </c>
      <c r="AD1000" s="6" t="n">
        <v>15</v>
      </c>
      <c r="AE1000" s="5" t="n">
        <f aca="false">IF(ISBLANK(AD1000),AVERAGEIF(L1000:L1999,L1000,AD1000:AD1999),AD1000)</f>
        <v>15</v>
      </c>
      <c r="AF1000" s="0" t="s">
        <v>76</v>
      </c>
      <c r="AG1000" s="0" t="str">
        <f aca="false">PROPER(AF1000)</f>
        <v>Orderd</v>
      </c>
      <c r="AH1000" s="0" t="s">
        <v>148</v>
      </c>
      <c r="AI1000" s="0" t="s">
        <v>98</v>
      </c>
      <c r="AJ1000" s="0" t="str">
        <f aca="false">PROPER(AI1000)</f>
        <v>Emergency</v>
      </c>
      <c r="AK1000" s="0" t="s">
        <v>58</v>
      </c>
      <c r="AL1000" s="0" t="str">
        <f aca="false">PROPER(AK1000)</f>
        <v>Fleet Owner</v>
      </c>
      <c r="AN1000" s="0" t="str">
        <f aca="false">IF(ISBLANK(AM1000),"Unknown",AM1000)</f>
        <v>Unknown</v>
      </c>
      <c r="AO1000" s="0" t="s">
        <v>143</v>
      </c>
      <c r="AP1000" s="0" t="str">
        <f aca="false">IF(ISBLANK(AO1000),"Unknown",AO1000)</f>
        <v>Senior</v>
      </c>
      <c r="AQ1000" s="0" t="n">
        <v>20000</v>
      </c>
      <c r="AR1000" s="5" t="n">
        <f aca="false">IF(ISBLANK(AQ1000),AVERAGEIF(M1000:M1999,M1000,AQ1000:AQ1999),AQ1000)</f>
        <v>20000</v>
      </c>
      <c r="AS1000" s="0" t="n">
        <v>30000</v>
      </c>
      <c r="AT1000" s="5" t="n">
        <f aca="false">IF(ISBLANK(AS1000),AVERAGE(AS1000:AS1999),AS1000)</f>
        <v>30000</v>
      </c>
      <c r="AU1000" s="0" t="s">
        <v>82</v>
      </c>
      <c r="AV1000" s="0" t="str">
        <f aca="false">PROPER(IF(ISBLANK(AU1000),"No",AU1000))</f>
        <v>Yes</v>
      </c>
      <c r="AX1000" s="5" t="n">
        <f aca="false">IF(ISBLANK(AW1000),0,AW1000)</f>
        <v>0</v>
      </c>
      <c r="AY1000" s="0" t="s">
        <v>130</v>
      </c>
      <c r="AZ1000" s="0" t="str">
        <f aca="false">UPPER(IF(ISBLANK(AY1000),"NONE",AY1000))</f>
        <v>LOYALTY10</v>
      </c>
      <c r="BB1000" s="7" t="str">
        <f aca="false">IF(ISBLANK(BA1000),"No Follow Up Needed",BA1000)</f>
        <v>No Follow Up Needed</v>
      </c>
      <c r="BD1000" s="0" t="str">
        <f aca="false">PROPER(IF(ISBLANK(BC1000),"Unknown",BC1000))</f>
        <v>Unknown</v>
      </c>
      <c r="BF1000" s="0" t="str">
        <f aca="false">IF(ISBLANK(BE1000),"No comments",BE1000)</f>
        <v>No comments</v>
      </c>
      <c r="BG1000" s="0" t="s">
        <v>117</v>
      </c>
      <c r="BH1000" s="0" t="str">
        <f aca="false">IF(ISBLANK(BG1000),"No comments",BG1000)</f>
        <v>Prefers morning</v>
      </c>
      <c r="BI1000" s="0" t="s">
        <v>50</v>
      </c>
      <c r="BJ1000" s="0" t="str">
        <f aca="false">IF(ISBLANK(BI1000),"Not Mentioned",BI1000)</f>
        <v>No</v>
      </c>
      <c r="BL1000" s="0" t="str">
        <f aca="false">PROPER(IF(ISBLANK(BK1000),"Not Mentioned",BK1000))</f>
        <v>Not Mentioned</v>
      </c>
      <c r="BM1000" s="0" t="s">
        <v>50</v>
      </c>
      <c r="BN1000" s="0" t="str">
        <f aca="false">PROPER(IF(ISBLANK(BM1000),"Not Mentioned",BM1000))</f>
        <v>No</v>
      </c>
      <c r="BO1000" s="0" t="s">
        <v>2321</v>
      </c>
      <c r="BP1000" s="0" t="str">
        <f aca="false">IF(ISBLANK(BO1000),"One-Time Plan",BO1000)</f>
        <v>One-Time Plan</v>
      </c>
      <c r="BQ1000" s="0" t="s">
        <v>198</v>
      </c>
      <c r="BR1000" s="0" t="str">
        <f aca="false">PROPER(IF(ISBLANK(BQ1000),"No",BQ1000))</f>
        <v>Followed Up</v>
      </c>
    </row>
    <row r="1001" customFormat="false" ht="15" hidden="false" customHeight="false" outlineLevel="0" collapsed="false">
      <c r="A1001" s="0" t="s">
        <v>2280</v>
      </c>
      <c r="B1001" s="2" t="n">
        <v>45739</v>
      </c>
      <c r="C1001" s="2" t="str">
        <f aca="false">TEXT(B1001,"dd/mm/yyyy")</f>
        <v>23/03/2025</v>
      </c>
      <c r="D1001" s="0" t="s">
        <v>105</v>
      </c>
      <c r="E1001" s="0" t="n">
        <v>8076029590</v>
      </c>
      <c r="F1001" s="0" t="s">
        <v>139</v>
      </c>
      <c r="G1001" s="0" t="s">
        <v>2323</v>
      </c>
      <c r="H1001" s="0" t="s">
        <v>2281</v>
      </c>
      <c r="I1001" s="0" t="s">
        <v>107</v>
      </c>
      <c r="J1001" s="0" t="s">
        <v>2317</v>
      </c>
      <c r="K1001" s="3" t="str">
        <f aca="false" t="array" ref="K1001:K1001">IFERROR(IF(J1001&lt;&gt;"",J1001,INDEX(J1001:J2000,MATCH(1,(F1001:F2000=F1001)*(I1001:I2000=I1001)*(L1001:L2000=L1001)*(J1001:J2000&lt;&gt;""),0))),"Not Found")</f>
        <v>Suspension Noise</v>
      </c>
      <c r="L1001" s="3" t="s">
        <v>47</v>
      </c>
      <c r="M1001" s="0" t="str">
        <f aca="false">PROPER(L1001)</f>
        <v>None</v>
      </c>
      <c r="O1001" s="0" t="e">
        <f aca="false" t="array" ref="O1001:O1001">IF(N1001&lt;&gt;"",N1001,_xlfn.xlookup(1,(L1001:L2000=L1001)*(N1001:N2000&lt;&gt;""),N1001:N2000,"Not Found"))</f>
        <v>#NAME?</v>
      </c>
      <c r="P1001" s="4" t="n">
        <v>68188</v>
      </c>
      <c r="Q1001" s="0" t="s">
        <v>72</v>
      </c>
      <c r="R1001" s="0" t="str">
        <f aca="false">PROPER(Q1001)</f>
        <v>Pos</v>
      </c>
      <c r="S1001" s="0" t="s">
        <v>63</v>
      </c>
      <c r="T1001" s="0" t="n">
        <v>3</v>
      </c>
      <c r="U1001" s="5" t="n">
        <f aca="false">IF(ISBLANK(T1001),AVERAGE(T1001:T2000),T1001)</f>
        <v>3</v>
      </c>
      <c r="V1001" s="0" t="n">
        <v>4.7</v>
      </c>
      <c r="W1001" s="0" t="s">
        <v>92</v>
      </c>
      <c r="X1001" s="0" t="str">
        <f aca="false">IF(ISBLANK(W1001),"No remarks",W1001)</f>
        <v>Urgent service</v>
      </c>
      <c r="Y1001" s="0" t="s">
        <v>93</v>
      </c>
      <c r="Z1001" s="0" t="s">
        <v>136</v>
      </c>
      <c r="AA1001" s="0" t="str">
        <f aca="false">PROPER(IF(ISBLANK(Z1001),"Location Unavailable",Z1001))</f>
        <v>Vip Section</v>
      </c>
      <c r="AB1001" s="0" t="s">
        <v>147</v>
      </c>
      <c r="AC1001" s="6" t="str">
        <f aca="false">PROPER(AB1001)</f>
        <v>Instagram</v>
      </c>
      <c r="AD1001" s="6" t="n">
        <v>15</v>
      </c>
      <c r="AE1001" s="5" t="n">
        <f aca="false">IF(ISBLANK(AD1001),AVERAGEIF(L1001:L2000,L1001,AD1001:AD2000),AD1001)</f>
        <v>15</v>
      </c>
      <c r="AF1001" s="0" t="s">
        <v>96</v>
      </c>
      <c r="AG1001" s="0" t="str">
        <f aca="false">PROPER(AF1001)</f>
        <v>Ordered</v>
      </c>
      <c r="AH1001" s="0" t="s">
        <v>148</v>
      </c>
      <c r="AI1001" s="0" t="s">
        <v>98</v>
      </c>
      <c r="AJ1001" s="0" t="str">
        <f aca="false">PROPER(AI1001)</f>
        <v>Emergency</v>
      </c>
      <c r="AK1001" s="0" t="s">
        <v>99</v>
      </c>
      <c r="AL1001" s="0" t="str">
        <f aca="false">PROPER(AK1001)</f>
        <v>Uber Driver</v>
      </c>
      <c r="AM1001" s="0" t="s">
        <v>2324</v>
      </c>
      <c r="AN1001" s="0" t="str">
        <f aca="false">IF(ISBLANK(AM1001),"Unknown",AM1001)</f>
        <v>Logistics Convoy</v>
      </c>
      <c r="AO1001" s="0" t="s">
        <v>79</v>
      </c>
      <c r="AP1001" s="0" t="str">
        <f aca="false">IF(ISBLANK(AO1001),"Unknown",AO1001)</f>
        <v>Specialist</v>
      </c>
      <c r="AQ1001" s="0" t="n">
        <v>25000</v>
      </c>
      <c r="AR1001" s="5" t="n">
        <f aca="false">IF(ISBLANK(AQ1001),AVERAGEIF(M1001:M2000,M1001,AQ1001:AQ2000),AQ1001)</f>
        <v>25000</v>
      </c>
      <c r="AS1001" s="0" t="n">
        <v>30000</v>
      </c>
      <c r="AT1001" s="5" t="n">
        <f aca="false">IF(ISBLANK(AS1001),AVERAGE(AS1001:AS2000),AS1001)</f>
        <v>30000</v>
      </c>
      <c r="AU1001" s="0" t="s">
        <v>63</v>
      </c>
      <c r="AV1001" s="0" t="str">
        <f aca="false">PROPER(IF(ISBLANK(AU1001),"No",AU1001))</f>
        <v>Yes</v>
      </c>
      <c r="AW1001" s="0" t="n">
        <v>5000</v>
      </c>
      <c r="AX1001" s="5" t="n">
        <f aca="false">IF(ISBLANK(AW1001),0,AW1001)</f>
        <v>5000</v>
      </c>
      <c r="AZ1001" s="0" t="str">
        <f aca="false">UPPER(IF(ISBLANK(AY1001),"NONE",AY1001))</f>
        <v>NONE</v>
      </c>
      <c r="BA1001" s="7" t="s">
        <v>131</v>
      </c>
      <c r="BB1001" s="7" t="str">
        <f aca="false">IF(ISBLANK(BA1001),"No Follow Up Needed",BA1001)</f>
        <v>18/07/2025</v>
      </c>
      <c r="BC1001" s="0" t="s">
        <v>63</v>
      </c>
      <c r="BD1001" s="0" t="str">
        <f aca="false">PROPER(IF(ISBLANK(BC1001),"Unknown",BC1001))</f>
        <v>Yes</v>
      </c>
      <c r="BF1001" s="0" t="str">
        <f aca="false">IF(ISBLANK(BE1001),"No comments",BE1001)</f>
        <v>No comments</v>
      </c>
      <c r="BH1001" s="0" t="str">
        <f aca="false">IF(ISBLANK(BG1001),"No comments",BG1001)</f>
        <v>No comments</v>
      </c>
      <c r="BI1001" s="0" t="s">
        <v>50</v>
      </c>
      <c r="BJ1001" s="0" t="str">
        <f aca="false">IF(ISBLANK(BI1001),"Not Mentioned",BI1001)</f>
        <v>No</v>
      </c>
      <c r="BK1001" s="0" t="s">
        <v>50</v>
      </c>
      <c r="BL1001" s="0" t="str">
        <f aca="false">PROPER(IF(ISBLANK(BK1001),"Not Mentioned",BK1001))</f>
        <v>No</v>
      </c>
      <c r="BM1001" s="0" t="s">
        <v>63</v>
      </c>
      <c r="BN1001" s="0" t="str">
        <f aca="false">PROPER(IF(ISBLANK(BM1001),"Not Mentioned",BM1001))</f>
        <v>Yes</v>
      </c>
      <c r="BO1001" s="0" t="s">
        <v>2321</v>
      </c>
      <c r="BP1001" s="0" t="str">
        <f aca="false">IF(ISBLANK(BO1001),"One-Time Plan",BO1001)</f>
        <v>One-Time Plan</v>
      </c>
      <c r="BQ1001" s="0" t="s">
        <v>198</v>
      </c>
      <c r="BR1001" s="0" t="str">
        <f aca="false">PROPER(IF(ISBLANK(BQ1001),"No",BQ1001))</f>
        <v>Followed Up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001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" activeCellId="0" sqref="F:F"/>
    </sheetView>
  </sheetViews>
  <sheetFormatPr defaultColWidth="8.453125" defaultRowHeight="15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22"/>
    <col collapsed="false" customWidth="true" hidden="false" outlineLevel="0" max="3" min="3" style="0" width="24.71"/>
    <col collapsed="false" customWidth="true" hidden="false" outlineLevel="0" max="4" min="4" style="0" width="22"/>
    <col collapsed="false" customWidth="true" hidden="false" outlineLevel="0" max="5" min="5" style="0" width="24.57"/>
    <col collapsed="false" customWidth="true" hidden="false" outlineLevel="0" max="6" min="6" style="0" width="23.71"/>
    <col collapsed="false" customWidth="true" hidden="false" outlineLevel="0" max="7" min="7" style="0" width="24.14"/>
    <col collapsed="false" customWidth="true" hidden="false" outlineLevel="0" max="8" min="8" style="0" width="28.42"/>
    <col collapsed="false" customWidth="true" hidden="false" outlineLevel="0" max="9" min="9" style="0" width="36.57"/>
    <col collapsed="false" customWidth="true" hidden="false" outlineLevel="0" max="10" min="10" style="0" width="19"/>
    <col collapsed="false" customWidth="true" hidden="false" outlineLevel="0" max="11" min="11" style="0" width="21.57"/>
    <col collapsed="false" customWidth="true" hidden="false" outlineLevel="0" max="12" min="12" style="0" width="25"/>
    <col collapsed="false" customWidth="true" hidden="false" outlineLevel="0" max="13" min="13" style="0" width="27.29"/>
    <col collapsed="false" customWidth="true" hidden="false" outlineLevel="0" max="14" min="14" style="0" width="21.57"/>
    <col collapsed="false" customWidth="true" hidden="false" outlineLevel="0" max="15" min="15" style="0" width="21"/>
    <col collapsed="false" customWidth="true" hidden="false" outlineLevel="0" max="16" min="16" style="0" width="23.71"/>
    <col collapsed="false" customWidth="true" hidden="false" outlineLevel="0" max="17" min="17" style="0" width="31.42"/>
    <col collapsed="false" customWidth="true" hidden="false" outlineLevel="0" max="18" min="18" style="0" width="22.57"/>
    <col collapsed="false" customWidth="true" hidden="false" outlineLevel="0" max="19" min="19" style="0" width="21.14"/>
    <col collapsed="false" customWidth="true" hidden="false" outlineLevel="0" max="20" min="20" style="0" width="21"/>
    <col collapsed="false" customWidth="true" hidden="false" outlineLevel="0" max="21" min="21" style="0" width="24"/>
    <col collapsed="false" customWidth="true" hidden="false" outlineLevel="0" max="22" min="22" style="0" width="27.42"/>
    <col collapsed="false" customWidth="true" hidden="false" outlineLevel="0" max="23" min="23" style="0" width="19"/>
    <col collapsed="false" customWidth="true" hidden="false" outlineLevel="0" max="24" min="24" style="0" width="27.15"/>
    <col collapsed="false" customWidth="true" hidden="false" outlineLevel="0" max="25" min="25" style="0" width="26.15"/>
    <col collapsed="false" customWidth="true" hidden="false" outlineLevel="0" max="26" min="26" style="0" width="23"/>
    <col collapsed="false" customWidth="true" hidden="false" outlineLevel="0" max="27" min="27" style="0" width="24.42"/>
    <col collapsed="false" customWidth="true" hidden="false" outlineLevel="0" max="28" min="28" style="0" width="22"/>
    <col collapsed="false" customWidth="true" hidden="false" outlineLevel="0" max="29" min="29" style="0" width="21.71"/>
    <col collapsed="false" customWidth="true" hidden="false" outlineLevel="0" max="30" min="30" style="0" width="39.42"/>
    <col collapsed="false" customWidth="true" hidden="false" outlineLevel="0" max="31" min="31" style="0" width="27.15"/>
    <col collapsed="false" customWidth="true" hidden="false" outlineLevel="0" max="32" min="32" style="0" width="29"/>
    <col collapsed="false" customWidth="true" hidden="false" outlineLevel="0" max="33" min="33" style="0" width="27.42"/>
    <col collapsed="false" customWidth="true" hidden="false" outlineLevel="0" max="34" min="34" style="0" width="32.29"/>
    <col collapsed="false" customWidth="true" hidden="false" outlineLevel="0" max="35" min="35" style="0" width="30.14"/>
    <col collapsed="false" customWidth="true" hidden="false" outlineLevel="0" max="36" min="36" style="0" width="27.29"/>
    <col collapsed="false" customWidth="true" hidden="false" outlineLevel="0" max="37" min="37" style="0" width="28.29"/>
    <col collapsed="false" customWidth="true" hidden="false" outlineLevel="0" max="38" min="38" style="0" width="26.29"/>
    <col collapsed="false" customWidth="true" hidden="false" outlineLevel="0" max="39" min="39" style="0" width="20.71"/>
    <col collapsed="false" customWidth="true" hidden="false" outlineLevel="0" max="40" min="40" style="0" width="24"/>
    <col collapsed="false" customWidth="true" hidden="false" outlineLevel="0" max="41" min="41" style="0" width="26.29"/>
  </cols>
  <sheetData>
    <row r="1" customFormat="false" ht="15" hidden="false" customHeight="false" outlineLevel="0" collapsed="false">
      <c r="A1" s="8" t="s">
        <v>1</v>
      </c>
      <c r="B1" s="9" t="s">
        <v>0</v>
      </c>
      <c r="C1" s="8" t="s">
        <v>2</v>
      </c>
      <c r="D1" s="8" t="s">
        <v>3</v>
      </c>
      <c r="E1" s="8" t="s">
        <v>4</v>
      </c>
      <c r="F1" s="8" t="s">
        <v>2286</v>
      </c>
      <c r="G1" s="8" t="s">
        <v>5</v>
      </c>
      <c r="H1" s="8" t="s">
        <v>6</v>
      </c>
      <c r="I1" s="10" t="s">
        <v>2287</v>
      </c>
      <c r="J1" s="8" t="s">
        <v>8</v>
      </c>
      <c r="K1" s="8" t="s">
        <v>2289</v>
      </c>
      <c r="L1" s="11" t="s">
        <v>10</v>
      </c>
      <c r="M1" s="8" t="s">
        <v>11</v>
      </c>
      <c r="N1" s="8" t="s">
        <v>12</v>
      </c>
      <c r="O1" s="12" t="s">
        <v>2291</v>
      </c>
      <c r="P1" s="8" t="s">
        <v>14</v>
      </c>
      <c r="Q1" s="8" t="s">
        <v>2292</v>
      </c>
      <c r="R1" s="8" t="s">
        <v>16</v>
      </c>
      <c r="S1" s="8" t="s">
        <v>17</v>
      </c>
      <c r="T1" s="8" t="s">
        <v>18</v>
      </c>
      <c r="U1" s="12" t="s">
        <v>2295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12" t="s">
        <v>2301</v>
      </c>
      <c r="AC1" s="12" t="s">
        <v>27</v>
      </c>
      <c r="AD1" s="8" t="s">
        <v>2327</v>
      </c>
      <c r="AE1" s="12" t="s">
        <v>29</v>
      </c>
      <c r="AF1" s="8" t="s">
        <v>30</v>
      </c>
      <c r="AG1" s="14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</row>
    <row r="2" customFormat="false" ht="15" hidden="false" customHeight="false" outlineLevel="0" collapsed="false">
      <c r="A2" s="0" t="s">
        <v>41</v>
      </c>
      <c r="B2" s="2" t="s">
        <v>40</v>
      </c>
      <c r="C2" s="0" t="s">
        <v>42</v>
      </c>
      <c r="D2" s="0" t="n">
        <v>8044398138</v>
      </c>
      <c r="E2" s="0" t="s">
        <v>43</v>
      </c>
      <c r="F2" s="0" t="s">
        <v>2315</v>
      </c>
      <c r="G2" s="0" t="s">
        <v>44</v>
      </c>
      <c r="H2" s="0" t="s">
        <v>45</v>
      </c>
      <c r="I2" s="3" t="s">
        <v>87</v>
      </c>
      <c r="J2" s="0" t="s">
        <v>47</v>
      </c>
      <c r="K2" s="0" t="s">
        <v>48</v>
      </c>
      <c r="L2" s="4" t="n">
        <v>110523</v>
      </c>
      <c r="M2" s="0" t="s">
        <v>49</v>
      </c>
      <c r="N2" s="0" t="s">
        <v>50</v>
      </c>
      <c r="O2" s="5" t="n">
        <v>4</v>
      </c>
      <c r="P2" s="0" t="n">
        <v>4.4</v>
      </c>
      <c r="Q2" s="0" t="s">
        <v>51</v>
      </c>
      <c r="R2" s="0" t="s">
        <v>52</v>
      </c>
      <c r="S2" s="0" t="s">
        <v>53</v>
      </c>
      <c r="T2" s="0" t="s">
        <v>54</v>
      </c>
      <c r="U2" s="5" t="n">
        <v>37.4427480916031</v>
      </c>
      <c r="V2" s="0" t="s">
        <v>55</v>
      </c>
      <c r="W2" s="0" t="s">
        <v>2328</v>
      </c>
      <c r="X2" s="0" t="s">
        <v>98</v>
      </c>
      <c r="Y2" s="0" t="s">
        <v>58</v>
      </c>
      <c r="Z2" s="0" t="s">
        <v>59</v>
      </c>
      <c r="AA2" s="0" t="s">
        <v>2329</v>
      </c>
      <c r="AB2" s="5" t="n">
        <v>40000</v>
      </c>
      <c r="AC2" s="5" t="n">
        <v>30000</v>
      </c>
      <c r="AD2" s="0" t="s">
        <v>50</v>
      </c>
      <c r="AE2" s="5" t="n">
        <v>0</v>
      </c>
      <c r="AF2" s="0" t="s">
        <v>60</v>
      </c>
      <c r="AG2" s="7" t="s">
        <v>2330</v>
      </c>
      <c r="AH2" s="0" t="s">
        <v>50</v>
      </c>
      <c r="AI2" s="0" t="s">
        <v>2331</v>
      </c>
      <c r="AJ2" s="0" t="s">
        <v>2331</v>
      </c>
      <c r="AK2" s="0" t="s">
        <v>50</v>
      </c>
      <c r="AL2" s="0" t="s">
        <v>63</v>
      </c>
      <c r="AM2" s="0" t="s">
        <v>50</v>
      </c>
      <c r="AN2" s="0" t="s">
        <v>64</v>
      </c>
      <c r="AO2" s="0" t="s">
        <v>50</v>
      </c>
    </row>
    <row r="3" customFormat="false" ht="15" hidden="false" customHeight="false" outlineLevel="0" collapsed="false">
      <c r="A3" s="0" t="s">
        <v>65</v>
      </c>
      <c r="B3" s="2" t="s">
        <v>2332</v>
      </c>
      <c r="C3" s="0" t="s">
        <v>66</v>
      </c>
      <c r="D3" s="0" t="n">
        <v>8057699801</v>
      </c>
      <c r="E3" s="0" t="s">
        <v>67</v>
      </c>
      <c r="F3" s="0" t="s">
        <v>2316</v>
      </c>
      <c r="G3" s="0" t="s">
        <v>68</v>
      </c>
      <c r="H3" s="0" t="s">
        <v>69</v>
      </c>
      <c r="I3" s="3" t="s">
        <v>2317</v>
      </c>
      <c r="J3" s="0" t="s">
        <v>47</v>
      </c>
      <c r="K3" s="0" t="s">
        <v>71</v>
      </c>
      <c r="L3" s="4" t="n">
        <v>71821</v>
      </c>
      <c r="M3" s="0" t="s">
        <v>2333</v>
      </c>
      <c r="N3" s="0" t="s">
        <v>50</v>
      </c>
      <c r="O3" s="5" t="n">
        <v>3.01556886227545</v>
      </c>
      <c r="P3" s="0" t="n">
        <v>2.3</v>
      </c>
      <c r="Q3" s="0" t="s">
        <v>2334</v>
      </c>
      <c r="R3" s="0" t="s">
        <v>73</v>
      </c>
      <c r="S3" s="0" t="s">
        <v>2335</v>
      </c>
      <c r="T3" s="0" t="s">
        <v>75</v>
      </c>
      <c r="U3" s="5" t="n">
        <v>60</v>
      </c>
      <c r="V3" s="0" t="s">
        <v>2336</v>
      </c>
      <c r="W3" s="0" t="s">
        <v>2337</v>
      </c>
      <c r="X3" s="0" t="s">
        <v>78</v>
      </c>
      <c r="Y3" s="0" t="s">
        <v>58</v>
      </c>
      <c r="Z3" s="0" t="s">
        <v>59</v>
      </c>
      <c r="AA3" s="0" t="s">
        <v>79</v>
      </c>
      <c r="AB3" s="5" t="n">
        <v>26037.037037037</v>
      </c>
      <c r="AC3" s="5" t="n">
        <v>35000</v>
      </c>
      <c r="AD3" s="0" t="s">
        <v>63</v>
      </c>
      <c r="AE3" s="5" t="n">
        <v>0</v>
      </c>
      <c r="AF3" s="0" t="s">
        <v>2338</v>
      </c>
      <c r="AG3" s="7" t="s">
        <v>2330</v>
      </c>
      <c r="AH3" s="0" t="s">
        <v>50</v>
      </c>
      <c r="AI3" s="0" t="s">
        <v>2331</v>
      </c>
      <c r="AJ3" s="0" t="s">
        <v>2331</v>
      </c>
      <c r="AK3" s="0" t="s">
        <v>63</v>
      </c>
      <c r="AL3" s="0" t="s">
        <v>63</v>
      </c>
      <c r="AM3" s="0" t="s">
        <v>63</v>
      </c>
      <c r="AN3" s="0" t="s">
        <v>2318</v>
      </c>
      <c r="AO3" s="0" t="s">
        <v>63</v>
      </c>
    </row>
    <row r="4" customFormat="false" ht="15" hidden="false" customHeight="false" outlineLevel="0" collapsed="false">
      <c r="A4" s="0" t="s">
        <v>84</v>
      </c>
      <c r="B4" s="2" t="s">
        <v>1411</v>
      </c>
      <c r="C4" s="0" t="s">
        <v>42</v>
      </c>
      <c r="D4" s="0" t="n">
        <v>8066506603</v>
      </c>
      <c r="E4" s="0" t="s">
        <v>85</v>
      </c>
      <c r="F4" s="0" t="s">
        <v>2319</v>
      </c>
      <c r="G4" s="0" t="s">
        <v>86</v>
      </c>
      <c r="H4" s="0" t="s">
        <v>87</v>
      </c>
      <c r="I4" s="3" t="s">
        <v>87</v>
      </c>
      <c r="J4" s="0" t="s">
        <v>2339</v>
      </c>
      <c r="K4" s="0" t="s">
        <v>90</v>
      </c>
      <c r="L4" s="4" t="n">
        <v>62956</v>
      </c>
      <c r="M4" s="0" t="s">
        <v>2333</v>
      </c>
      <c r="N4" s="0" t="s">
        <v>63</v>
      </c>
      <c r="O4" s="5" t="n">
        <v>2</v>
      </c>
      <c r="P4" s="0" t="n">
        <v>2.8</v>
      </c>
      <c r="Q4" s="0" t="s">
        <v>92</v>
      </c>
      <c r="R4" s="0" t="s">
        <v>93</v>
      </c>
      <c r="S4" s="0" t="s">
        <v>2340</v>
      </c>
      <c r="T4" s="0" t="s">
        <v>95</v>
      </c>
      <c r="U4" s="5" t="n">
        <v>39.8958333333333</v>
      </c>
      <c r="V4" s="0" t="s">
        <v>96</v>
      </c>
      <c r="W4" s="0" t="s">
        <v>155</v>
      </c>
      <c r="X4" s="0" t="s">
        <v>98</v>
      </c>
      <c r="Y4" s="0" t="s">
        <v>99</v>
      </c>
      <c r="Z4" s="0" t="s">
        <v>59</v>
      </c>
      <c r="AA4" s="0" t="s">
        <v>79</v>
      </c>
      <c r="AB4" s="5" t="n">
        <v>26167.8832116788</v>
      </c>
      <c r="AC4" s="5" t="n">
        <v>30000</v>
      </c>
      <c r="AD4" s="0" t="s">
        <v>63</v>
      </c>
      <c r="AE4" s="5" t="n">
        <v>5000</v>
      </c>
      <c r="AF4" s="0" t="s">
        <v>2338</v>
      </c>
      <c r="AG4" s="7" t="s">
        <v>100</v>
      </c>
      <c r="AH4" s="0" t="s">
        <v>50</v>
      </c>
      <c r="AI4" s="0" t="s">
        <v>2331</v>
      </c>
      <c r="AJ4" s="0" t="s">
        <v>2320</v>
      </c>
      <c r="AK4" s="0" t="s">
        <v>50</v>
      </c>
      <c r="AL4" s="0" t="s">
        <v>63</v>
      </c>
      <c r="AM4" s="0" t="s">
        <v>63</v>
      </c>
      <c r="AN4" s="0" t="s">
        <v>2321</v>
      </c>
      <c r="AO4" s="0" t="s">
        <v>63</v>
      </c>
    </row>
    <row r="5" customFormat="false" ht="15" hidden="false" customHeight="false" outlineLevel="0" collapsed="false">
      <c r="A5" s="0" t="s">
        <v>104</v>
      </c>
      <c r="B5" s="2" t="s">
        <v>652</v>
      </c>
      <c r="C5" s="0" t="s">
        <v>105</v>
      </c>
      <c r="D5" s="0" t="n">
        <v>8074612320</v>
      </c>
      <c r="E5" s="0" t="s">
        <v>85</v>
      </c>
      <c r="F5" s="0" t="s">
        <v>2319</v>
      </c>
      <c r="G5" s="0" t="s">
        <v>106</v>
      </c>
      <c r="H5" s="0" t="s">
        <v>107</v>
      </c>
      <c r="I5" s="3" t="s">
        <v>2317</v>
      </c>
      <c r="J5" s="0" t="s">
        <v>2341</v>
      </c>
      <c r="K5" s="0" t="s">
        <v>109</v>
      </c>
      <c r="L5" s="4" t="n">
        <v>77984</v>
      </c>
      <c r="M5" s="0" t="s">
        <v>110</v>
      </c>
      <c r="N5" s="0" t="s">
        <v>63</v>
      </c>
      <c r="O5" s="5" t="n">
        <v>4</v>
      </c>
      <c r="P5" s="0" t="n">
        <v>4.1</v>
      </c>
      <c r="Q5" s="0" t="s">
        <v>111</v>
      </c>
      <c r="R5" s="0" t="s">
        <v>52</v>
      </c>
      <c r="S5" s="0" t="s">
        <v>53</v>
      </c>
      <c r="T5" s="0" t="s">
        <v>54</v>
      </c>
      <c r="U5" s="5" t="n">
        <v>30</v>
      </c>
      <c r="V5" s="0" t="s">
        <v>112</v>
      </c>
      <c r="W5" s="0" t="s">
        <v>2337</v>
      </c>
      <c r="X5" s="0" t="s">
        <v>128</v>
      </c>
      <c r="Y5" s="0" t="s">
        <v>114</v>
      </c>
      <c r="Z5" s="0" t="s">
        <v>59</v>
      </c>
      <c r="AA5" s="0" t="s">
        <v>79</v>
      </c>
      <c r="AB5" s="5" t="n">
        <v>15000</v>
      </c>
      <c r="AC5" s="5" t="n">
        <v>31408.7061668682</v>
      </c>
      <c r="AD5" s="0" t="s">
        <v>50</v>
      </c>
      <c r="AE5" s="5" t="n">
        <v>5000</v>
      </c>
      <c r="AF5" s="0" t="s">
        <v>60</v>
      </c>
      <c r="AG5" s="7" t="s">
        <v>690</v>
      </c>
      <c r="AH5" s="0" t="s">
        <v>2329</v>
      </c>
      <c r="AI5" s="0" t="s">
        <v>116</v>
      </c>
      <c r="AJ5" s="0" t="s">
        <v>117</v>
      </c>
      <c r="AK5" s="0" t="s">
        <v>63</v>
      </c>
      <c r="AL5" s="0" t="s">
        <v>63</v>
      </c>
      <c r="AM5" s="0" t="s">
        <v>63</v>
      </c>
      <c r="AN5" s="0" t="s">
        <v>2321</v>
      </c>
      <c r="AO5" s="0" t="s">
        <v>50</v>
      </c>
    </row>
    <row r="6" customFormat="false" ht="15" hidden="false" customHeight="false" outlineLevel="0" collapsed="false">
      <c r="A6" s="0" t="s">
        <v>120</v>
      </c>
      <c r="B6" s="2" t="s">
        <v>119</v>
      </c>
      <c r="C6" s="0" t="s">
        <v>121</v>
      </c>
      <c r="D6" s="0" t="n">
        <v>8093329195</v>
      </c>
      <c r="E6" s="0" t="s">
        <v>122</v>
      </c>
      <c r="F6" s="0" t="s">
        <v>2316</v>
      </c>
      <c r="G6" s="0" t="s">
        <v>123</v>
      </c>
      <c r="H6" s="0" t="s">
        <v>107</v>
      </c>
      <c r="I6" s="3" t="s">
        <v>2342</v>
      </c>
      <c r="J6" s="0" t="s">
        <v>2339</v>
      </c>
      <c r="K6" s="0" t="s">
        <v>109</v>
      </c>
      <c r="L6" s="4" t="n">
        <v>102558</v>
      </c>
      <c r="M6" s="0" t="s">
        <v>110</v>
      </c>
      <c r="N6" s="0" t="s">
        <v>50</v>
      </c>
      <c r="O6" s="5" t="n">
        <v>3</v>
      </c>
      <c r="P6" s="0" t="n">
        <v>3.9</v>
      </c>
      <c r="Q6" s="0" t="s">
        <v>125</v>
      </c>
      <c r="R6" s="0" t="s">
        <v>52</v>
      </c>
      <c r="S6" s="0" t="s">
        <v>53</v>
      </c>
      <c r="T6" s="0" t="s">
        <v>2343</v>
      </c>
      <c r="U6" s="5" t="n">
        <v>45</v>
      </c>
      <c r="V6" s="0" t="s">
        <v>55</v>
      </c>
      <c r="W6" s="0" t="s">
        <v>155</v>
      </c>
      <c r="X6" s="0" t="s">
        <v>128</v>
      </c>
      <c r="Y6" s="0" t="s">
        <v>114</v>
      </c>
      <c r="Z6" s="0" t="s">
        <v>2329</v>
      </c>
      <c r="AA6" s="0" t="s">
        <v>79</v>
      </c>
      <c r="AB6" s="5" t="n">
        <v>15000</v>
      </c>
      <c r="AC6" s="5" t="n">
        <v>40000</v>
      </c>
      <c r="AD6" s="0" t="s">
        <v>63</v>
      </c>
      <c r="AE6" s="5" t="n">
        <v>0</v>
      </c>
      <c r="AF6" s="0" t="s">
        <v>130</v>
      </c>
      <c r="AG6" s="7" t="s">
        <v>131</v>
      </c>
      <c r="AH6" s="0" t="s">
        <v>50</v>
      </c>
      <c r="AI6" s="0" t="s">
        <v>116</v>
      </c>
      <c r="AJ6" s="0" t="s">
        <v>117</v>
      </c>
      <c r="AK6" s="0" t="s">
        <v>50</v>
      </c>
      <c r="AL6" s="0" t="s">
        <v>2344</v>
      </c>
      <c r="AM6" s="0" t="s">
        <v>2344</v>
      </c>
      <c r="AN6" s="0" t="s">
        <v>2321</v>
      </c>
      <c r="AO6" s="0" t="s">
        <v>50</v>
      </c>
    </row>
    <row r="7" customFormat="false" ht="15" hidden="false" customHeight="false" outlineLevel="0" collapsed="false">
      <c r="A7" s="0" t="s">
        <v>132</v>
      </c>
      <c r="B7" s="2" t="s">
        <v>2345</v>
      </c>
      <c r="C7" s="0" t="s">
        <v>66</v>
      </c>
      <c r="D7" s="0" t="n">
        <v>8069676465</v>
      </c>
      <c r="E7" s="0" t="s">
        <v>43</v>
      </c>
      <c r="F7" s="0" t="s">
        <v>2315</v>
      </c>
      <c r="G7" s="0" t="s">
        <v>133</v>
      </c>
      <c r="H7" s="0" t="s">
        <v>134</v>
      </c>
      <c r="I7" s="3" t="s">
        <v>2322</v>
      </c>
      <c r="J7" s="0" t="s">
        <v>2341</v>
      </c>
      <c r="K7" s="0" t="s">
        <v>71</v>
      </c>
      <c r="L7" s="4" t="n">
        <v>21415</v>
      </c>
      <c r="M7" s="0" t="s">
        <v>49</v>
      </c>
      <c r="N7" s="0" t="s">
        <v>50</v>
      </c>
      <c r="O7" s="5" t="n">
        <v>2</v>
      </c>
      <c r="P7" s="0" t="n">
        <v>3</v>
      </c>
      <c r="Q7" s="0" t="s">
        <v>111</v>
      </c>
      <c r="R7" s="0" t="s">
        <v>73</v>
      </c>
      <c r="S7" s="0" t="s">
        <v>2340</v>
      </c>
      <c r="T7" s="0" t="s">
        <v>95</v>
      </c>
      <c r="U7" s="5" t="n">
        <v>15</v>
      </c>
      <c r="V7" s="0" t="s">
        <v>112</v>
      </c>
      <c r="W7" s="0" t="s">
        <v>2328</v>
      </c>
      <c r="X7" s="0" t="s">
        <v>78</v>
      </c>
      <c r="Y7" s="0" t="s">
        <v>196</v>
      </c>
      <c r="Z7" s="0" t="s">
        <v>2329</v>
      </c>
      <c r="AA7" s="0" t="s">
        <v>79</v>
      </c>
      <c r="AB7" s="5" t="n">
        <v>25000</v>
      </c>
      <c r="AC7" s="5" t="n">
        <v>35000</v>
      </c>
      <c r="AD7" s="0" t="s">
        <v>50</v>
      </c>
      <c r="AE7" s="5" t="n">
        <v>5000</v>
      </c>
      <c r="AF7" s="0" t="s">
        <v>60</v>
      </c>
      <c r="AG7" s="7" t="s">
        <v>715</v>
      </c>
      <c r="AH7" s="0" t="s">
        <v>50</v>
      </c>
      <c r="AI7" s="0" t="s">
        <v>2331</v>
      </c>
      <c r="AJ7" s="0" t="s">
        <v>117</v>
      </c>
      <c r="AK7" s="0" t="s">
        <v>50</v>
      </c>
      <c r="AL7" s="0" t="s">
        <v>2344</v>
      </c>
      <c r="AM7" s="0" t="s">
        <v>63</v>
      </c>
      <c r="AN7" s="0" t="s">
        <v>2321</v>
      </c>
      <c r="AO7" s="0" t="s">
        <v>50</v>
      </c>
    </row>
    <row r="8" customFormat="false" ht="15" hidden="false" customHeight="false" outlineLevel="0" collapsed="false">
      <c r="A8" s="0" t="s">
        <v>138</v>
      </c>
      <c r="B8" s="2" t="s">
        <v>2346</v>
      </c>
      <c r="C8" s="0" t="s">
        <v>66</v>
      </c>
      <c r="D8" s="0" t="n">
        <v>8034954217</v>
      </c>
      <c r="E8" s="0" t="s">
        <v>139</v>
      </c>
      <c r="F8" s="0" t="s">
        <v>2323</v>
      </c>
      <c r="G8" s="0" t="s">
        <v>140</v>
      </c>
      <c r="H8" s="0" t="s">
        <v>107</v>
      </c>
      <c r="I8" s="3" t="s">
        <v>87</v>
      </c>
      <c r="J8" s="0" t="s">
        <v>2347</v>
      </c>
      <c r="K8" s="0" t="s">
        <v>71</v>
      </c>
      <c r="L8" s="4" t="n">
        <v>97183</v>
      </c>
      <c r="M8" s="0" t="s">
        <v>49</v>
      </c>
      <c r="N8" s="0" t="s">
        <v>63</v>
      </c>
      <c r="O8" s="5" t="n">
        <v>1</v>
      </c>
      <c r="P8" s="0" t="n">
        <v>1.4</v>
      </c>
      <c r="Q8" s="0" t="s">
        <v>51</v>
      </c>
      <c r="R8" s="0" t="s">
        <v>73</v>
      </c>
      <c r="S8" s="0" t="s">
        <v>53</v>
      </c>
      <c r="T8" s="0" t="s">
        <v>2343</v>
      </c>
      <c r="U8" s="5" t="n">
        <v>15</v>
      </c>
      <c r="V8" s="0" t="s">
        <v>112</v>
      </c>
      <c r="W8" s="0" t="s">
        <v>2328</v>
      </c>
      <c r="X8" s="0" t="s">
        <v>128</v>
      </c>
      <c r="Y8" s="0" t="s">
        <v>196</v>
      </c>
      <c r="Z8" s="0" t="s">
        <v>2329</v>
      </c>
      <c r="AA8" s="0" t="s">
        <v>143</v>
      </c>
      <c r="AB8" s="5" t="n">
        <v>30000</v>
      </c>
      <c r="AC8" s="5" t="n">
        <v>30000</v>
      </c>
      <c r="AD8" s="0" t="s">
        <v>50</v>
      </c>
      <c r="AE8" s="5" t="n">
        <v>10000</v>
      </c>
      <c r="AF8" s="0" t="s">
        <v>2338</v>
      </c>
      <c r="AG8" s="7" t="s">
        <v>2330</v>
      </c>
      <c r="AH8" s="0" t="s">
        <v>2329</v>
      </c>
      <c r="AI8" s="0" t="s">
        <v>116</v>
      </c>
      <c r="AJ8" s="0" t="s">
        <v>117</v>
      </c>
      <c r="AK8" s="0" t="s">
        <v>63</v>
      </c>
      <c r="AL8" s="0" t="s">
        <v>2344</v>
      </c>
      <c r="AM8" s="0" t="s">
        <v>63</v>
      </c>
      <c r="AN8" s="0" t="s">
        <v>64</v>
      </c>
      <c r="AO8" s="0" t="s">
        <v>50</v>
      </c>
    </row>
    <row r="9" customFormat="false" ht="15" hidden="false" customHeight="false" outlineLevel="0" collapsed="false">
      <c r="A9" s="0" t="s">
        <v>144</v>
      </c>
      <c r="B9" s="2" t="s">
        <v>659</v>
      </c>
      <c r="C9" s="0" t="s">
        <v>121</v>
      </c>
      <c r="D9" s="0" t="n">
        <v>8042635373</v>
      </c>
      <c r="E9" s="0" t="s">
        <v>139</v>
      </c>
      <c r="F9" s="0" t="s">
        <v>2323</v>
      </c>
      <c r="G9" s="0" t="s">
        <v>145</v>
      </c>
      <c r="H9" s="0" t="s">
        <v>87</v>
      </c>
      <c r="I9" s="3" t="s">
        <v>2322</v>
      </c>
      <c r="J9" s="0" t="s">
        <v>2347</v>
      </c>
      <c r="K9" s="0" t="s">
        <v>71</v>
      </c>
      <c r="L9" s="4" t="n">
        <v>69772</v>
      </c>
      <c r="M9" s="0" t="s">
        <v>2333</v>
      </c>
      <c r="N9" s="0" t="s">
        <v>50</v>
      </c>
      <c r="O9" s="5" t="n">
        <v>3</v>
      </c>
      <c r="P9" s="0" t="n">
        <v>3.5</v>
      </c>
      <c r="Q9" s="0" t="s">
        <v>111</v>
      </c>
      <c r="R9" s="0" t="s">
        <v>93</v>
      </c>
      <c r="S9" s="0" t="s">
        <v>2335</v>
      </c>
      <c r="T9" s="0" t="s">
        <v>147</v>
      </c>
      <c r="U9" s="5" t="n">
        <v>38.7898089171975</v>
      </c>
      <c r="V9" s="0" t="s">
        <v>96</v>
      </c>
      <c r="W9" s="0" t="s">
        <v>148</v>
      </c>
      <c r="X9" s="0" t="s">
        <v>98</v>
      </c>
      <c r="Y9" s="0" t="s">
        <v>99</v>
      </c>
      <c r="Z9" s="0" t="s">
        <v>2329</v>
      </c>
      <c r="AA9" s="0" t="s">
        <v>149</v>
      </c>
      <c r="AB9" s="5" t="n">
        <v>20000</v>
      </c>
      <c r="AC9" s="5" t="n">
        <v>35000</v>
      </c>
      <c r="AD9" s="15" t="s">
        <v>63</v>
      </c>
      <c r="AE9" s="5" t="n">
        <v>10000</v>
      </c>
      <c r="AF9" s="0" t="s">
        <v>130</v>
      </c>
      <c r="AG9" s="7" t="s">
        <v>2348</v>
      </c>
      <c r="AH9" s="0" t="s">
        <v>63</v>
      </c>
      <c r="AI9" s="0" t="s">
        <v>2331</v>
      </c>
      <c r="AJ9" s="0" t="s">
        <v>2331</v>
      </c>
      <c r="AK9" s="0" t="s">
        <v>63</v>
      </c>
      <c r="AL9" s="0" t="s">
        <v>63</v>
      </c>
      <c r="AM9" s="0" t="s">
        <v>2344</v>
      </c>
      <c r="AN9" s="0" t="s">
        <v>2321</v>
      </c>
      <c r="AO9" s="0" t="s">
        <v>63</v>
      </c>
    </row>
    <row r="10" customFormat="false" ht="15" hidden="false" customHeight="false" outlineLevel="0" collapsed="false">
      <c r="A10" s="0" t="s">
        <v>151</v>
      </c>
      <c r="B10" s="2" t="s">
        <v>248</v>
      </c>
      <c r="C10" s="0" t="s">
        <v>66</v>
      </c>
      <c r="D10" s="0" t="n">
        <v>8028478117</v>
      </c>
      <c r="E10" s="0" t="s">
        <v>85</v>
      </c>
      <c r="F10" s="0" t="s">
        <v>2319</v>
      </c>
      <c r="G10" s="0" t="s">
        <v>152</v>
      </c>
      <c r="H10" s="0" t="s">
        <v>107</v>
      </c>
      <c r="I10" s="3" t="s">
        <v>2322</v>
      </c>
      <c r="J10" s="0" t="s">
        <v>2349</v>
      </c>
      <c r="K10" s="0" t="s">
        <v>90</v>
      </c>
      <c r="L10" s="4" t="n">
        <v>33192</v>
      </c>
      <c r="M10" s="0" t="s">
        <v>2333</v>
      </c>
      <c r="N10" s="0" t="s">
        <v>50</v>
      </c>
      <c r="O10" s="5" t="n">
        <v>5</v>
      </c>
      <c r="P10" s="0" t="n">
        <v>5</v>
      </c>
      <c r="Q10" s="0" t="s">
        <v>125</v>
      </c>
      <c r="R10" s="0" t="s">
        <v>93</v>
      </c>
      <c r="S10" s="0" t="s">
        <v>2340</v>
      </c>
      <c r="T10" s="0" t="s">
        <v>2343</v>
      </c>
      <c r="U10" s="5" t="n">
        <v>60</v>
      </c>
      <c r="V10" s="0" t="s">
        <v>2336</v>
      </c>
      <c r="W10" s="0" t="s">
        <v>155</v>
      </c>
      <c r="X10" s="0" t="s">
        <v>78</v>
      </c>
      <c r="Y10" s="0" t="s">
        <v>196</v>
      </c>
      <c r="Z10" s="0" t="s">
        <v>2324</v>
      </c>
      <c r="AA10" s="0" t="s">
        <v>149</v>
      </c>
      <c r="AB10" s="5" t="n">
        <v>30000</v>
      </c>
      <c r="AC10" s="5" t="n">
        <v>40000</v>
      </c>
      <c r="AD10" s="0" t="s">
        <v>50</v>
      </c>
      <c r="AE10" s="5" t="n">
        <v>0</v>
      </c>
      <c r="AF10" s="0" t="s">
        <v>130</v>
      </c>
      <c r="AG10" s="7" t="s">
        <v>2350</v>
      </c>
      <c r="AH10" s="0" t="s">
        <v>50</v>
      </c>
      <c r="AI10" s="0" t="s">
        <v>116</v>
      </c>
      <c r="AJ10" s="0" t="s">
        <v>117</v>
      </c>
      <c r="AK10" s="0" t="s">
        <v>50</v>
      </c>
      <c r="AL10" s="0" t="s">
        <v>50</v>
      </c>
      <c r="AM10" s="0" t="s">
        <v>2344</v>
      </c>
      <c r="AN10" s="0" t="s">
        <v>2321</v>
      </c>
      <c r="AO10" s="0" t="s">
        <v>50</v>
      </c>
    </row>
    <row r="11" customFormat="false" ht="15" hidden="false" customHeight="false" outlineLevel="0" collapsed="false">
      <c r="A11" s="0" t="s">
        <v>157</v>
      </c>
      <c r="B11" s="2" t="s">
        <v>2351</v>
      </c>
      <c r="C11" s="0" t="s">
        <v>66</v>
      </c>
      <c r="D11" s="0" t="n">
        <v>8015915081</v>
      </c>
      <c r="E11" s="0" t="s">
        <v>139</v>
      </c>
      <c r="F11" s="0" t="s">
        <v>2323</v>
      </c>
      <c r="G11" s="0" t="s">
        <v>158</v>
      </c>
      <c r="H11" s="0" t="s">
        <v>45</v>
      </c>
      <c r="I11" s="3" t="s">
        <v>2322</v>
      </c>
      <c r="J11" s="0" t="s">
        <v>2347</v>
      </c>
      <c r="K11" s="0" t="s">
        <v>90</v>
      </c>
      <c r="L11" s="4" t="n">
        <v>113143</v>
      </c>
      <c r="M11" s="0" t="s">
        <v>49</v>
      </c>
      <c r="N11" s="0" t="s">
        <v>63</v>
      </c>
      <c r="O11" s="5" t="n">
        <v>3</v>
      </c>
      <c r="P11" s="0" t="n">
        <v>5</v>
      </c>
      <c r="Q11" s="0" t="s">
        <v>2334</v>
      </c>
      <c r="R11" s="0" t="s">
        <v>93</v>
      </c>
      <c r="S11" s="0" t="s">
        <v>53</v>
      </c>
      <c r="T11" s="0" t="s">
        <v>2343</v>
      </c>
      <c r="U11" s="5" t="n">
        <v>15</v>
      </c>
      <c r="V11" s="0" t="s">
        <v>2352</v>
      </c>
      <c r="W11" s="0" t="s">
        <v>155</v>
      </c>
      <c r="X11" s="0" t="s">
        <v>98</v>
      </c>
      <c r="Y11" s="0" t="s">
        <v>196</v>
      </c>
      <c r="Z11" s="0" t="s">
        <v>2329</v>
      </c>
      <c r="AA11" s="0" t="s">
        <v>161</v>
      </c>
      <c r="AB11" s="5" t="n">
        <v>40000</v>
      </c>
      <c r="AC11" s="5" t="n">
        <v>40000</v>
      </c>
      <c r="AD11" s="0" t="s">
        <v>50</v>
      </c>
      <c r="AE11" s="5" t="n">
        <v>0</v>
      </c>
      <c r="AF11" s="0" t="s">
        <v>60</v>
      </c>
      <c r="AG11" s="7" t="s">
        <v>1155</v>
      </c>
      <c r="AH11" s="0" t="s">
        <v>50</v>
      </c>
      <c r="AI11" s="0" t="s">
        <v>116</v>
      </c>
      <c r="AJ11" s="0" t="s">
        <v>117</v>
      </c>
      <c r="AK11" s="0" t="s">
        <v>63</v>
      </c>
      <c r="AL11" s="0" t="s">
        <v>63</v>
      </c>
      <c r="AM11" s="0" t="s">
        <v>63</v>
      </c>
      <c r="AN11" s="0" t="s">
        <v>2318</v>
      </c>
      <c r="AO11" s="0" t="s">
        <v>50</v>
      </c>
    </row>
    <row r="12" customFormat="false" ht="15" hidden="false" customHeight="false" outlineLevel="0" collapsed="false">
      <c r="A12" s="0" t="s">
        <v>162</v>
      </c>
      <c r="B12" s="2" t="s">
        <v>1082</v>
      </c>
      <c r="C12" s="0" t="s">
        <v>163</v>
      </c>
      <c r="D12" s="0" t="n">
        <v>8018118989</v>
      </c>
      <c r="E12" s="0" t="s">
        <v>67</v>
      </c>
      <c r="F12" s="0" t="s">
        <v>2316</v>
      </c>
      <c r="G12" s="0" t="s">
        <v>164</v>
      </c>
      <c r="H12" s="0" t="s">
        <v>134</v>
      </c>
      <c r="I12" s="3" t="s">
        <v>2325</v>
      </c>
      <c r="J12" s="0" t="s">
        <v>2347</v>
      </c>
      <c r="K12" s="0" t="s">
        <v>71</v>
      </c>
      <c r="L12" s="4" t="n">
        <v>33680</v>
      </c>
      <c r="M12" s="0" t="s">
        <v>49</v>
      </c>
      <c r="N12" s="0" t="s">
        <v>50</v>
      </c>
      <c r="O12" s="5" t="n">
        <v>5</v>
      </c>
      <c r="P12" s="0" t="n">
        <v>5.2</v>
      </c>
      <c r="Q12" s="0" t="s">
        <v>125</v>
      </c>
      <c r="R12" s="0" t="s">
        <v>73</v>
      </c>
      <c r="S12" s="0" t="s">
        <v>53</v>
      </c>
      <c r="T12" s="0" t="s">
        <v>2353</v>
      </c>
      <c r="U12" s="5" t="n">
        <v>60</v>
      </c>
      <c r="V12" s="0" t="s">
        <v>55</v>
      </c>
      <c r="W12" s="0" t="s">
        <v>155</v>
      </c>
      <c r="X12" s="0" t="s">
        <v>98</v>
      </c>
      <c r="Y12" s="0" t="s">
        <v>196</v>
      </c>
      <c r="Z12" s="0" t="s">
        <v>2324</v>
      </c>
      <c r="AA12" s="0" t="s">
        <v>79</v>
      </c>
      <c r="AB12" s="5" t="n">
        <v>25000</v>
      </c>
      <c r="AC12" s="5" t="n">
        <v>35000</v>
      </c>
      <c r="AD12" s="0" t="s">
        <v>63</v>
      </c>
      <c r="AE12" s="5" t="n">
        <v>0</v>
      </c>
      <c r="AF12" s="0" t="s">
        <v>60</v>
      </c>
      <c r="AG12" s="7" t="s">
        <v>2330</v>
      </c>
      <c r="AH12" s="0" t="s">
        <v>2329</v>
      </c>
      <c r="AI12" s="0" t="s">
        <v>2331</v>
      </c>
      <c r="AJ12" s="0" t="s">
        <v>2320</v>
      </c>
      <c r="AK12" s="0" t="s">
        <v>63</v>
      </c>
      <c r="AL12" s="0" t="s">
        <v>50</v>
      </c>
      <c r="AM12" s="0" t="s">
        <v>2344</v>
      </c>
      <c r="AN12" s="0" t="s">
        <v>2318</v>
      </c>
      <c r="AO12" s="0" t="s">
        <v>50</v>
      </c>
    </row>
    <row r="13" customFormat="false" ht="15" hidden="false" customHeight="false" outlineLevel="0" collapsed="false">
      <c r="A13" s="0" t="s">
        <v>168</v>
      </c>
      <c r="B13" s="2" t="s">
        <v>2354</v>
      </c>
      <c r="C13" s="0" t="s">
        <v>66</v>
      </c>
      <c r="D13" s="0" t="n">
        <v>8027137020</v>
      </c>
      <c r="E13" s="0" t="s">
        <v>67</v>
      </c>
      <c r="F13" s="0" t="s">
        <v>2316</v>
      </c>
      <c r="G13" s="0" t="s">
        <v>169</v>
      </c>
      <c r="H13" s="0" t="s">
        <v>87</v>
      </c>
      <c r="I13" s="3" t="s">
        <v>2325</v>
      </c>
      <c r="J13" s="0" t="s">
        <v>2349</v>
      </c>
      <c r="K13" s="0" t="s">
        <v>90</v>
      </c>
      <c r="L13" s="4" t="n">
        <v>55886</v>
      </c>
      <c r="M13" s="0" t="s">
        <v>110</v>
      </c>
      <c r="N13" s="0" t="s">
        <v>50</v>
      </c>
      <c r="O13" s="5" t="n">
        <v>5</v>
      </c>
      <c r="P13" s="0" t="n">
        <v>1.6</v>
      </c>
      <c r="Q13" s="0" t="s">
        <v>111</v>
      </c>
      <c r="R13" s="0" t="s">
        <v>73</v>
      </c>
      <c r="S13" s="0" t="s">
        <v>53</v>
      </c>
      <c r="T13" s="0" t="s">
        <v>75</v>
      </c>
      <c r="U13" s="5" t="n">
        <v>37.5</v>
      </c>
      <c r="V13" s="0" t="s">
        <v>112</v>
      </c>
      <c r="W13" s="0" t="s">
        <v>2337</v>
      </c>
      <c r="X13" s="0" t="s">
        <v>128</v>
      </c>
      <c r="Y13" s="0" t="s">
        <v>99</v>
      </c>
      <c r="Z13" s="0" t="s">
        <v>2324</v>
      </c>
      <c r="AA13" s="0" t="s">
        <v>149</v>
      </c>
      <c r="AB13" s="5" t="n">
        <v>25000</v>
      </c>
      <c r="AC13" s="5" t="n">
        <v>20000</v>
      </c>
      <c r="AD13" s="0" t="s">
        <v>50</v>
      </c>
      <c r="AE13" s="5" t="n">
        <v>10000</v>
      </c>
      <c r="AF13" s="0" t="s">
        <v>2338</v>
      </c>
      <c r="AG13" s="7" t="s">
        <v>2330</v>
      </c>
      <c r="AH13" s="0" t="s">
        <v>63</v>
      </c>
      <c r="AI13" s="0" t="s">
        <v>171</v>
      </c>
      <c r="AJ13" s="0" t="s">
        <v>172</v>
      </c>
      <c r="AK13" s="0" t="s">
        <v>50</v>
      </c>
      <c r="AL13" s="0" t="s">
        <v>2344</v>
      </c>
      <c r="AM13" s="0" t="s">
        <v>63</v>
      </c>
      <c r="AN13" s="0" t="s">
        <v>2321</v>
      </c>
      <c r="AO13" s="0" t="s">
        <v>50</v>
      </c>
    </row>
    <row r="14" customFormat="false" ht="15" hidden="false" customHeight="false" outlineLevel="0" collapsed="false">
      <c r="A14" s="0" t="s">
        <v>174</v>
      </c>
      <c r="B14" s="2" t="s">
        <v>173</v>
      </c>
      <c r="C14" s="0" t="s">
        <v>163</v>
      </c>
      <c r="D14" s="0" t="n">
        <v>8051831217</v>
      </c>
      <c r="E14" s="0" t="s">
        <v>43</v>
      </c>
      <c r="F14" s="0" t="s">
        <v>2315</v>
      </c>
      <c r="G14" s="0" t="s">
        <v>175</v>
      </c>
      <c r="H14" s="0" t="s">
        <v>134</v>
      </c>
      <c r="I14" s="3" t="s">
        <v>2325</v>
      </c>
      <c r="J14" s="0" t="s">
        <v>2347</v>
      </c>
      <c r="K14" s="0" t="s">
        <v>71</v>
      </c>
      <c r="L14" s="4" t="n">
        <v>72924</v>
      </c>
      <c r="M14" s="0" t="s">
        <v>2333</v>
      </c>
      <c r="N14" s="0" t="s">
        <v>50</v>
      </c>
      <c r="O14" s="5" t="n">
        <v>5</v>
      </c>
      <c r="P14" s="0" t="n">
        <v>3.3</v>
      </c>
      <c r="Q14" s="0" t="s">
        <v>92</v>
      </c>
      <c r="R14" s="0" t="s">
        <v>73</v>
      </c>
      <c r="S14" s="0" t="s">
        <v>2340</v>
      </c>
      <c r="T14" s="0" t="s">
        <v>2343</v>
      </c>
      <c r="U14" s="5" t="n">
        <v>15</v>
      </c>
      <c r="V14" s="0" t="s">
        <v>2352</v>
      </c>
      <c r="W14" s="0" t="s">
        <v>155</v>
      </c>
      <c r="X14" s="0" t="s">
        <v>98</v>
      </c>
      <c r="Y14" s="0" t="s">
        <v>99</v>
      </c>
      <c r="Z14" s="0" t="s">
        <v>177</v>
      </c>
      <c r="AA14" s="0" t="s">
        <v>149</v>
      </c>
      <c r="AB14" s="5" t="n">
        <v>25000</v>
      </c>
      <c r="AC14" s="5" t="n">
        <v>30000</v>
      </c>
      <c r="AD14" s="0" t="s">
        <v>63</v>
      </c>
      <c r="AE14" s="5" t="n">
        <v>10000</v>
      </c>
      <c r="AF14" s="0" t="s">
        <v>60</v>
      </c>
      <c r="AG14" s="7" t="s">
        <v>179</v>
      </c>
      <c r="AH14" s="0" t="s">
        <v>63</v>
      </c>
      <c r="AI14" s="0" t="s">
        <v>2331</v>
      </c>
      <c r="AJ14" s="0" t="s">
        <v>2331</v>
      </c>
      <c r="AK14" s="0" t="s">
        <v>2344</v>
      </c>
      <c r="AL14" s="0" t="s">
        <v>2344</v>
      </c>
      <c r="AM14" s="0" t="s">
        <v>50</v>
      </c>
      <c r="AN14" s="0" t="s">
        <v>64</v>
      </c>
      <c r="AO14" s="0" t="s">
        <v>50</v>
      </c>
    </row>
    <row r="15" customFormat="false" ht="15" hidden="false" customHeight="false" outlineLevel="0" collapsed="false">
      <c r="A15" s="0" t="s">
        <v>180</v>
      </c>
      <c r="B15" s="2" t="s">
        <v>1411</v>
      </c>
      <c r="C15" s="0" t="s">
        <v>66</v>
      </c>
      <c r="D15" s="0" t="n">
        <v>8088453254</v>
      </c>
      <c r="E15" s="0" t="s">
        <v>122</v>
      </c>
      <c r="F15" s="0" t="s">
        <v>2316</v>
      </c>
      <c r="G15" s="0" t="s">
        <v>181</v>
      </c>
      <c r="H15" s="0" t="s">
        <v>45</v>
      </c>
      <c r="I15" s="3" t="s">
        <v>2322</v>
      </c>
      <c r="J15" s="0" t="s">
        <v>47</v>
      </c>
      <c r="K15" s="0" t="s">
        <v>109</v>
      </c>
      <c r="L15" s="4" t="n">
        <v>70851</v>
      </c>
      <c r="M15" s="0" t="s">
        <v>2333</v>
      </c>
      <c r="N15" s="0" t="s">
        <v>63</v>
      </c>
      <c r="O15" s="5" t="n">
        <v>5</v>
      </c>
      <c r="P15" s="0" t="n">
        <v>2.4</v>
      </c>
      <c r="Q15" s="0" t="s">
        <v>92</v>
      </c>
      <c r="R15" s="0" t="s">
        <v>52</v>
      </c>
      <c r="S15" s="0" t="s">
        <v>2335</v>
      </c>
      <c r="T15" s="0" t="s">
        <v>2353</v>
      </c>
      <c r="U15" s="5" t="n">
        <v>15</v>
      </c>
      <c r="V15" s="0" t="s">
        <v>112</v>
      </c>
      <c r="W15" s="0" t="s">
        <v>155</v>
      </c>
      <c r="X15" s="0" t="s">
        <v>128</v>
      </c>
      <c r="Y15" s="0" t="s">
        <v>58</v>
      </c>
      <c r="Z15" s="0" t="s">
        <v>177</v>
      </c>
      <c r="AA15" s="0" t="s">
        <v>79</v>
      </c>
      <c r="AB15" s="5" t="n">
        <v>15000</v>
      </c>
      <c r="AC15" s="5" t="n">
        <v>20000</v>
      </c>
      <c r="AD15" s="0" t="s">
        <v>63</v>
      </c>
      <c r="AE15" s="5" t="n">
        <v>5000</v>
      </c>
      <c r="AF15" s="0" t="s">
        <v>2338</v>
      </c>
      <c r="AG15" s="7" t="s">
        <v>1563</v>
      </c>
      <c r="AH15" s="0" t="s">
        <v>50</v>
      </c>
      <c r="AI15" s="0" t="s">
        <v>116</v>
      </c>
      <c r="AJ15" s="0" t="s">
        <v>2331</v>
      </c>
      <c r="AK15" s="0" t="s">
        <v>50</v>
      </c>
      <c r="AL15" s="0" t="s">
        <v>50</v>
      </c>
      <c r="AM15" s="0" t="s">
        <v>50</v>
      </c>
      <c r="AN15" s="0" t="s">
        <v>2321</v>
      </c>
      <c r="AO15" s="0" t="s">
        <v>50</v>
      </c>
    </row>
    <row r="16" customFormat="false" ht="15" hidden="false" customHeight="false" outlineLevel="0" collapsed="false">
      <c r="A16" s="0" t="s">
        <v>182</v>
      </c>
      <c r="B16" s="2" t="s">
        <v>534</v>
      </c>
      <c r="C16" s="0" t="s">
        <v>121</v>
      </c>
      <c r="D16" s="0" t="n">
        <v>8068498545</v>
      </c>
      <c r="E16" s="0" t="s">
        <v>43</v>
      </c>
      <c r="F16" s="0" t="s">
        <v>2315</v>
      </c>
      <c r="G16" s="0" t="s">
        <v>183</v>
      </c>
      <c r="H16" s="0" t="s">
        <v>87</v>
      </c>
      <c r="I16" s="3" t="s">
        <v>87</v>
      </c>
      <c r="J16" s="0" t="s">
        <v>2349</v>
      </c>
      <c r="K16" s="0" t="s">
        <v>71</v>
      </c>
      <c r="L16" s="4" t="n">
        <v>52054</v>
      </c>
      <c r="M16" s="0" t="s">
        <v>2333</v>
      </c>
      <c r="N16" s="0" t="s">
        <v>50</v>
      </c>
      <c r="O16" s="5" t="n">
        <v>3</v>
      </c>
      <c r="P16" s="0" t="n">
        <v>3.3</v>
      </c>
      <c r="Q16" s="0" t="s">
        <v>92</v>
      </c>
      <c r="R16" s="0" t="s">
        <v>93</v>
      </c>
      <c r="S16" s="0" t="s">
        <v>2340</v>
      </c>
      <c r="T16" s="0" t="s">
        <v>54</v>
      </c>
      <c r="U16" s="5" t="n">
        <v>60</v>
      </c>
      <c r="V16" s="0" t="s">
        <v>112</v>
      </c>
      <c r="W16" s="0" t="s">
        <v>2337</v>
      </c>
      <c r="X16" s="0" t="s">
        <v>128</v>
      </c>
      <c r="Y16" s="0" t="s">
        <v>99</v>
      </c>
      <c r="Z16" s="0" t="s">
        <v>2324</v>
      </c>
      <c r="AA16" s="0" t="s">
        <v>79</v>
      </c>
      <c r="AB16" s="5" t="n">
        <v>15000</v>
      </c>
      <c r="AC16" s="5" t="n">
        <v>20000</v>
      </c>
      <c r="AD16" s="0" t="s">
        <v>50</v>
      </c>
      <c r="AE16" s="5" t="n">
        <v>5000</v>
      </c>
      <c r="AF16" s="0" t="s">
        <v>184</v>
      </c>
      <c r="AG16" s="7" t="s">
        <v>2348</v>
      </c>
      <c r="AH16" s="0" t="s">
        <v>2329</v>
      </c>
      <c r="AI16" s="0" t="s">
        <v>171</v>
      </c>
      <c r="AJ16" s="0" t="s">
        <v>2331</v>
      </c>
      <c r="AK16" s="0" t="s">
        <v>50</v>
      </c>
      <c r="AL16" s="0" t="s">
        <v>2344</v>
      </c>
      <c r="AM16" s="0" t="s">
        <v>2344</v>
      </c>
      <c r="AN16" s="0" t="s">
        <v>64</v>
      </c>
      <c r="AO16" s="0" t="s">
        <v>63</v>
      </c>
    </row>
    <row r="17" customFormat="false" ht="15" hidden="false" customHeight="false" outlineLevel="0" collapsed="false">
      <c r="A17" s="0" t="s">
        <v>185</v>
      </c>
      <c r="B17" s="2" t="s">
        <v>2355</v>
      </c>
      <c r="C17" s="0" t="s">
        <v>105</v>
      </c>
      <c r="D17" s="0" t="n">
        <v>8078870570</v>
      </c>
      <c r="E17" s="0" t="s">
        <v>122</v>
      </c>
      <c r="F17" s="0" t="s">
        <v>2316</v>
      </c>
      <c r="G17" s="0" t="s">
        <v>186</v>
      </c>
      <c r="H17" s="0" t="s">
        <v>87</v>
      </c>
      <c r="I17" s="3" t="s">
        <v>87</v>
      </c>
      <c r="J17" s="0" t="s">
        <v>2347</v>
      </c>
      <c r="K17" s="0" t="s">
        <v>109</v>
      </c>
      <c r="L17" s="4" t="n">
        <v>44123</v>
      </c>
      <c r="M17" s="0" t="s">
        <v>49</v>
      </c>
      <c r="N17" s="0" t="s">
        <v>63</v>
      </c>
      <c r="O17" s="5" t="n">
        <v>5</v>
      </c>
      <c r="P17" s="0" t="n">
        <v>5.7</v>
      </c>
      <c r="Q17" s="0" t="s">
        <v>125</v>
      </c>
      <c r="R17" s="0" t="s">
        <v>73</v>
      </c>
      <c r="S17" s="0" t="s">
        <v>2340</v>
      </c>
      <c r="T17" s="0" t="s">
        <v>2353</v>
      </c>
      <c r="U17" s="5" t="n">
        <v>45</v>
      </c>
      <c r="V17" s="0" t="s">
        <v>2336</v>
      </c>
      <c r="W17" s="0" t="s">
        <v>2328</v>
      </c>
      <c r="X17" s="0" t="s">
        <v>98</v>
      </c>
      <c r="Y17" s="0" t="s">
        <v>196</v>
      </c>
      <c r="Z17" s="0" t="s">
        <v>2329</v>
      </c>
      <c r="AA17" s="0" t="s">
        <v>161</v>
      </c>
      <c r="AB17" s="5" t="n">
        <v>20000</v>
      </c>
      <c r="AC17" s="5" t="n">
        <v>31409.3137254902</v>
      </c>
      <c r="AD17" s="0" t="s">
        <v>50</v>
      </c>
      <c r="AE17" s="5" t="n">
        <v>10000</v>
      </c>
      <c r="AF17" s="0" t="s">
        <v>60</v>
      </c>
      <c r="AG17" s="7" t="s">
        <v>2356</v>
      </c>
      <c r="AH17" s="0" t="s">
        <v>50</v>
      </c>
      <c r="AI17" s="0" t="s">
        <v>171</v>
      </c>
      <c r="AJ17" s="0" t="s">
        <v>2331</v>
      </c>
      <c r="AK17" s="0" t="s">
        <v>2344</v>
      </c>
      <c r="AL17" s="0" t="s">
        <v>2344</v>
      </c>
      <c r="AM17" s="0" t="s">
        <v>50</v>
      </c>
      <c r="AN17" s="0" t="s">
        <v>2318</v>
      </c>
      <c r="AO17" s="0" t="s">
        <v>50</v>
      </c>
    </row>
    <row r="18" customFormat="false" ht="15" hidden="false" customHeight="false" outlineLevel="0" collapsed="false">
      <c r="A18" s="0" t="s">
        <v>187</v>
      </c>
      <c r="B18" s="2" t="s">
        <v>576</v>
      </c>
      <c r="C18" s="0" t="s">
        <v>66</v>
      </c>
      <c r="D18" s="0" t="n">
        <v>8097470361</v>
      </c>
      <c r="E18" s="0" t="s">
        <v>122</v>
      </c>
      <c r="F18" s="0" t="s">
        <v>2316</v>
      </c>
      <c r="G18" s="0" t="s">
        <v>188</v>
      </c>
      <c r="H18" s="0" t="s">
        <v>87</v>
      </c>
      <c r="I18" s="3" t="s">
        <v>2322</v>
      </c>
      <c r="J18" s="0" t="s">
        <v>189</v>
      </c>
      <c r="K18" s="0" t="s">
        <v>109</v>
      </c>
      <c r="L18" s="4" t="n">
        <v>107888</v>
      </c>
      <c r="M18" s="0" t="s">
        <v>110</v>
      </c>
      <c r="N18" s="0" t="s">
        <v>63</v>
      </c>
      <c r="O18" s="5" t="n">
        <v>4</v>
      </c>
      <c r="P18" s="0" t="n">
        <v>2.7</v>
      </c>
      <c r="Q18" s="0" t="s">
        <v>51</v>
      </c>
      <c r="R18" s="0" t="s">
        <v>93</v>
      </c>
      <c r="S18" s="0" t="s">
        <v>2340</v>
      </c>
      <c r="T18" s="0" t="s">
        <v>54</v>
      </c>
      <c r="U18" s="5" t="n">
        <v>39.8717948717949</v>
      </c>
      <c r="V18" s="0" t="s">
        <v>112</v>
      </c>
      <c r="W18" s="0" t="s">
        <v>2337</v>
      </c>
      <c r="X18" s="0" t="s">
        <v>98</v>
      </c>
      <c r="Y18" s="0" t="s">
        <v>196</v>
      </c>
      <c r="Z18" s="0" t="s">
        <v>2324</v>
      </c>
      <c r="AA18" s="0" t="s">
        <v>149</v>
      </c>
      <c r="AB18" s="5" t="n">
        <v>15000</v>
      </c>
      <c r="AC18" s="5" t="n">
        <v>31409.3137254902</v>
      </c>
      <c r="AD18" s="0" t="s">
        <v>50</v>
      </c>
      <c r="AE18" s="5" t="n">
        <v>5000</v>
      </c>
      <c r="AF18" s="0" t="s">
        <v>60</v>
      </c>
      <c r="AG18" s="7" t="s">
        <v>2357</v>
      </c>
      <c r="AH18" s="0" t="s">
        <v>50</v>
      </c>
      <c r="AI18" s="0" t="s">
        <v>2331</v>
      </c>
      <c r="AJ18" s="0" t="s">
        <v>2320</v>
      </c>
      <c r="AK18" s="0" t="s">
        <v>50</v>
      </c>
      <c r="AL18" s="0" t="s">
        <v>63</v>
      </c>
      <c r="AM18" s="0" t="s">
        <v>2344</v>
      </c>
      <c r="AN18" s="0" t="s">
        <v>2321</v>
      </c>
      <c r="AO18" s="0" t="s">
        <v>63</v>
      </c>
    </row>
    <row r="19" customFormat="false" ht="15" hidden="false" customHeight="false" outlineLevel="0" collapsed="false">
      <c r="A19" s="0" t="s">
        <v>192</v>
      </c>
      <c r="B19" s="2" t="s">
        <v>191</v>
      </c>
      <c r="C19" s="0" t="s">
        <v>121</v>
      </c>
      <c r="D19" s="0" t="n">
        <v>8058015538</v>
      </c>
      <c r="E19" s="0" t="s">
        <v>122</v>
      </c>
      <c r="F19" s="0" t="s">
        <v>2316</v>
      </c>
      <c r="G19" s="0" t="s">
        <v>193</v>
      </c>
      <c r="H19" s="0" t="s">
        <v>69</v>
      </c>
      <c r="I19" s="3" t="s">
        <v>2342</v>
      </c>
      <c r="J19" s="0" t="s">
        <v>47</v>
      </c>
      <c r="K19" s="0" t="s">
        <v>109</v>
      </c>
      <c r="L19" s="4" t="n">
        <v>57603</v>
      </c>
      <c r="M19" s="0" t="s">
        <v>2333</v>
      </c>
      <c r="N19" s="0" t="s">
        <v>50</v>
      </c>
      <c r="O19" s="5" t="n">
        <v>3</v>
      </c>
      <c r="P19" s="0" t="n">
        <v>3</v>
      </c>
      <c r="Q19" s="0" t="s">
        <v>125</v>
      </c>
      <c r="R19" s="0" t="s">
        <v>93</v>
      </c>
      <c r="S19" s="0" t="s">
        <v>2340</v>
      </c>
      <c r="T19" s="0" t="s">
        <v>2343</v>
      </c>
      <c r="U19" s="5" t="n">
        <v>45</v>
      </c>
      <c r="V19" s="0" t="s">
        <v>2352</v>
      </c>
      <c r="W19" s="0" t="s">
        <v>2337</v>
      </c>
      <c r="X19" s="0" t="s">
        <v>98</v>
      </c>
      <c r="Y19" s="0" t="s">
        <v>114</v>
      </c>
      <c r="Z19" s="0" t="s">
        <v>2329</v>
      </c>
      <c r="AA19" s="0" t="s">
        <v>149</v>
      </c>
      <c r="AB19" s="5" t="n">
        <v>30000</v>
      </c>
      <c r="AC19" s="5" t="n">
        <v>20000</v>
      </c>
      <c r="AD19" s="0" t="s">
        <v>50</v>
      </c>
      <c r="AE19" s="5" t="n">
        <v>5000</v>
      </c>
      <c r="AF19" s="0" t="s">
        <v>130</v>
      </c>
      <c r="AG19" s="7" t="s">
        <v>2358</v>
      </c>
      <c r="AH19" s="0" t="s">
        <v>50</v>
      </c>
      <c r="AI19" s="0" t="s">
        <v>2331</v>
      </c>
      <c r="AJ19" s="0" t="s">
        <v>2320</v>
      </c>
      <c r="AK19" s="0" t="s">
        <v>2344</v>
      </c>
      <c r="AL19" s="0" t="s">
        <v>63</v>
      </c>
      <c r="AM19" s="0" t="s">
        <v>63</v>
      </c>
      <c r="AN19" s="0" t="s">
        <v>64</v>
      </c>
      <c r="AO19" s="0" t="s">
        <v>63</v>
      </c>
    </row>
    <row r="20" customFormat="false" ht="15" hidden="false" customHeight="false" outlineLevel="0" collapsed="false">
      <c r="A20" s="0" t="s">
        <v>194</v>
      </c>
      <c r="B20" s="2" t="s">
        <v>345</v>
      </c>
      <c r="C20" s="0" t="s">
        <v>105</v>
      </c>
      <c r="D20" s="0" t="n">
        <v>8051766978</v>
      </c>
      <c r="E20" s="0" t="s">
        <v>43</v>
      </c>
      <c r="F20" s="0" t="s">
        <v>2315</v>
      </c>
      <c r="G20" s="0" t="s">
        <v>195</v>
      </c>
      <c r="H20" s="0" t="s">
        <v>87</v>
      </c>
      <c r="I20" s="3" t="s">
        <v>2317</v>
      </c>
      <c r="J20" s="0" t="s">
        <v>2347</v>
      </c>
      <c r="K20" s="0" t="s">
        <v>109</v>
      </c>
      <c r="L20" s="4" t="n">
        <v>83667</v>
      </c>
      <c r="M20" s="0" t="s">
        <v>2333</v>
      </c>
      <c r="N20" s="0" t="s">
        <v>63</v>
      </c>
      <c r="O20" s="5" t="n">
        <v>3</v>
      </c>
      <c r="P20" s="0" t="n">
        <v>3.9</v>
      </c>
      <c r="Q20" s="0" t="s">
        <v>125</v>
      </c>
      <c r="R20" s="0" t="s">
        <v>73</v>
      </c>
      <c r="S20" s="0" t="s">
        <v>53</v>
      </c>
      <c r="T20" s="0" t="s">
        <v>75</v>
      </c>
      <c r="U20" s="5" t="n">
        <v>60</v>
      </c>
      <c r="V20" s="0" t="s">
        <v>55</v>
      </c>
      <c r="W20" s="0" t="s">
        <v>155</v>
      </c>
      <c r="X20" s="0" t="s">
        <v>128</v>
      </c>
      <c r="Y20" s="0" t="s">
        <v>196</v>
      </c>
      <c r="Z20" s="0" t="s">
        <v>2326</v>
      </c>
      <c r="AA20" s="0" t="s">
        <v>79</v>
      </c>
      <c r="AB20" s="5" t="n">
        <v>26423.6111111111</v>
      </c>
      <c r="AC20" s="5" t="n">
        <v>31423.3128834356</v>
      </c>
      <c r="AD20" s="0" t="s">
        <v>63</v>
      </c>
      <c r="AE20" s="5" t="n">
        <v>0</v>
      </c>
      <c r="AF20" s="0" t="s">
        <v>184</v>
      </c>
      <c r="AG20" s="7" t="s">
        <v>1632</v>
      </c>
      <c r="AH20" s="0" t="s">
        <v>50</v>
      </c>
      <c r="AI20" s="0" t="s">
        <v>116</v>
      </c>
      <c r="AJ20" s="0" t="s">
        <v>172</v>
      </c>
      <c r="AK20" s="0" t="s">
        <v>50</v>
      </c>
      <c r="AL20" s="0" t="s">
        <v>63</v>
      </c>
      <c r="AM20" s="0" t="s">
        <v>63</v>
      </c>
      <c r="AN20" s="0" t="s">
        <v>2321</v>
      </c>
      <c r="AO20" s="0" t="s">
        <v>2359</v>
      </c>
    </row>
    <row r="21" customFormat="false" ht="15" hidden="false" customHeight="false" outlineLevel="0" collapsed="false">
      <c r="A21" s="0" t="s">
        <v>199</v>
      </c>
      <c r="B21" s="2" t="s">
        <v>2360</v>
      </c>
      <c r="C21" s="0" t="s">
        <v>163</v>
      </c>
      <c r="D21" s="0" t="n">
        <v>8088338313</v>
      </c>
      <c r="E21" s="0" t="s">
        <v>85</v>
      </c>
      <c r="F21" s="0" t="s">
        <v>2319</v>
      </c>
      <c r="G21" s="0" t="s">
        <v>200</v>
      </c>
      <c r="H21" s="0" t="s">
        <v>69</v>
      </c>
      <c r="I21" s="3" t="s">
        <v>2317</v>
      </c>
      <c r="J21" s="0" t="s">
        <v>2339</v>
      </c>
      <c r="K21" s="0" t="s">
        <v>71</v>
      </c>
      <c r="L21" s="4" t="n">
        <v>92278</v>
      </c>
      <c r="M21" s="0" t="s">
        <v>49</v>
      </c>
      <c r="N21" s="0" t="s">
        <v>50</v>
      </c>
      <c r="O21" s="5" t="n">
        <v>4</v>
      </c>
      <c r="P21" s="0" t="n">
        <v>5</v>
      </c>
      <c r="Q21" s="0" t="s">
        <v>92</v>
      </c>
      <c r="R21" s="0" t="s">
        <v>93</v>
      </c>
      <c r="S21" s="0" t="s">
        <v>53</v>
      </c>
      <c r="T21" s="0" t="s">
        <v>75</v>
      </c>
      <c r="U21" s="5" t="n">
        <v>45</v>
      </c>
      <c r="V21" s="0" t="s">
        <v>2336</v>
      </c>
      <c r="W21" s="0" t="s">
        <v>155</v>
      </c>
      <c r="X21" s="0" t="s">
        <v>98</v>
      </c>
      <c r="Y21" s="0" t="s">
        <v>114</v>
      </c>
      <c r="Z21" s="0" t="s">
        <v>2329</v>
      </c>
      <c r="AA21" s="0" t="s">
        <v>79</v>
      </c>
      <c r="AB21" s="5" t="n">
        <v>25000</v>
      </c>
      <c r="AC21" s="5" t="n">
        <v>31423.3128834356</v>
      </c>
      <c r="AD21" s="0" t="s">
        <v>50</v>
      </c>
      <c r="AE21" s="5" t="n">
        <v>10000</v>
      </c>
      <c r="AF21" s="0" t="s">
        <v>60</v>
      </c>
      <c r="AG21" s="7" t="s">
        <v>201</v>
      </c>
      <c r="AH21" s="0" t="s">
        <v>2329</v>
      </c>
      <c r="AI21" s="0" t="s">
        <v>116</v>
      </c>
      <c r="AJ21" s="0" t="s">
        <v>2331</v>
      </c>
      <c r="AK21" s="0" t="s">
        <v>50</v>
      </c>
      <c r="AL21" s="0" t="s">
        <v>2344</v>
      </c>
      <c r="AM21" s="0" t="s">
        <v>2344</v>
      </c>
      <c r="AN21" s="0" t="s">
        <v>2321</v>
      </c>
      <c r="AO21" s="0" t="s">
        <v>63</v>
      </c>
    </row>
    <row r="22" customFormat="false" ht="15" hidden="false" customHeight="false" outlineLevel="0" collapsed="false">
      <c r="A22" s="0" t="s">
        <v>202</v>
      </c>
      <c r="B22" s="2" t="s">
        <v>1474</v>
      </c>
      <c r="C22" s="0" t="s">
        <v>121</v>
      </c>
      <c r="D22" s="0" t="n">
        <v>8082631078</v>
      </c>
      <c r="E22" s="0" t="s">
        <v>67</v>
      </c>
      <c r="F22" s="0" t="s">
        <v>2316</v>
      </c>
      <c r="G22" s="0" t="s">
        <v>203</v>
      </c>
      <c r="H22" s="0" t="s">
        <v>107</v>
      </c>
      <c r="I22" s="3" t="s">
        <v>2322</v>
      </c>
      <c r="J22" s="0" t="s">
        <v>2339</v>
      </c>
      <c r="K22" s="0" t="s">
        <v>109</v>
      </c>
      <c r="L22" s="4" t="n">
        <v>44816</v>
      </c>
      <c r="M22" s="0" t="s">
        <v>2333</v>
      </c>
      <c r="N22" s="0" t="s">
        <v>63</v>
      </c>
      <c r="O22" s="5" t="n">
        <v>3.00244798041616</v>
      </c>
      <c r="P22" s="0" t="n">
        <v>1.5</v>
      </c>
      <c r="Q22" s="0" t="s">
        <v>111</v>
      </c>
      <c r="R22" s="0" t="s">
        <v>93</v>
      </c>
      <c r="S22" s="0" t="s">
        <v>2340</v>
      </c>
      <c r="T22" s="0" t="s">
        <v>75</v>
      </c>
      <c r="U22" s="5" t="n">
        <v>39.8239436619718</v>
      </c>
      <c r="V22" s="0" t="s">
        <v>96</v>
      </c>
      <c r="W22" s="0" t="s">
        <v>155</v>
      </c>
      <c r="X22" s="0" t="s">
        <v>128</v>
      </c>
      <c r="Y22" s="0" t="s">
        <v>99</v>
      </c>
      <c r="Z22" s="0" t="s">
        <v>2329</v>
      </c>
      <c r="AA22" s="0" t="s">
        <v>2329</v>
      </c>
      <c r="AB22" s="5" t="n">
        <v>15000</v>
      </c>
      <c r="AC22" s="5" t="n">
        <v>40000</v>
      </c>
      <c r="AD22" s="0" t="s">
        <v>50</v>
      </c>
      <c r="AE22" s="5" t="n">
        <v>10000</v>
      </c>
      <c r="AF22" s="0" t="s">
        <v>2338</v>
      </c>
      <c r="AG22" s="7" t="s">
        <v>2361</v>
      </c>
      <c r="AH22" s="0" t="s">
        <v>2329</v>
      </c>
      <c r="AI22" s="0" t="s">
        <v>2331</v>
      </c>
      <c r="AJ22" s="0" t="s">
        <v>2320</v>
      </c>
      <c r="AK22" s="0" t="s">
        <v>2344</v>
      </c>
      <c r="AL22" s="0" t="s">
        <v>50</v>
      </c>
      <c r="AM22" s="0" t="s">
        <v>50</v>
      </c>
      <c r="AN22" s="0" t="s">
        <v>2318</v>
      </c>
      <c r="AO22" s="0" t="s">
        <v>2359</v>
      </c>
    </row>
    <row r="23" customFormat="false" ht="15" hidden="false" customHeight="false" outlineLevel="0" collapsed="false">
      <c r="A23" s="0" t="s">
        <v>204</v>
      </c>
      <c r="B23" s="2" t="s">
        <v>2362</v>
      </c>
      <c r="C23" s="0" t="s">
        <v>42</v>
      </c>
      <c r="D23" s="0" t="n">
        <v>8029545414</v>
      </c>
      <c r="E23" s="0" t="s">
        <v>122</v>
      </c>
      <c r="F23" s="0" t="s">
        <v>2316</v>
      </c>
      <c r="G23" s="0" t="s">
        <v>205</v>
      </c>
      <c r="H23" s="0" t="s">
        <v>134</v>
      </c>
      <c r="I23" s="3" t="s">
        <v>2342</v>
      </c>
      <c r="J23" s="0" t="s">
        <v>189</v>
      </c>
      <c r="K23" s="0" t="s">
        <v>90</v>
      </c>
      <c r="L23" s="4" t="n">
        <v>73417</v>
      </c>
      <c r="M23" s="0" t="s">
        <v>2333</v>
      </c>
      <c r="N23" s="0" t="s">
        <v>63</v>
      </c>
      <c r="O23" s="5" t="n">
        <v>4</v>
      </c>
      <c r="P23" s="0" t="n">
        <v>2.9</v>
      </c>
      <c r="Q23" s="0" t="s">
        <v>125</v>
      </c>
      <c r="R23" s="0" t="s">
        <v>93</v>
      </c>
      <c r="S23" s="0" t="s">
        <v>2340</v>
      </c>
      <c r="T23" s="0" t="s">
        <v>2353</v>
      </c>
      <c r="U23" s="5" t="n">
        <v>45</v>
      </c>
      <c r="V23" s="0" t="s">
        <v>2336</v>
      </c>
      <c r="W23" s="0" t="s">
        <v>155</v>
      </c>
      <c r="X23" s="0" t="s">
        <v>128</v>
      </c>
      <c r="Y23" s="0" t="s">
        <v>196</v>
      </c>
      <c r="Z23" s="0" t="s">
        <v>2329</v>
      </c>
      <c r="AA23" s="0" t="s">
        <v>149</v>
      </c>
      <c r="AB23" s="5" t="n">
        <v>40000</v>
      </c>
      <c r="AC23" s="5" t="n">
        <v>35000</v>
      </c>
      <c r="AD23" s="0" t="s">
        <v>50</v>
      </c>
      <c r="AE23" s="5" t="n">
        <v>5000</v>
      </c>
      <c r="AF23" s="0" t="s">
        <v>60</v>
      </c>
      <c r="AG23" s="7" t="s">
        <v>415</v>
      </c>
      <c r="AH23" s="0" t="s">
        <v>63</v>
      </c>
      <c r="AI23" s="0" t="s">
        <v>171</v>
      </c>
      <c r="AJ23" s="0" t="s">
        <v>2331</v>
      </c>
      <c r="AK23" s="0" t="s">
        <v>2344</v>
      </c>
      <c r="AL23" s="0" t="s">
        <v>50</v>
      </c>
      <c r="AM23" s="0" t="s">
        <v>2344</v>
      </c>
      <c r="AN23" s="0" t="s">
        <v>2321</v>
      </c>
      <c r="AO23" s="0" t="s">
        <v>63</v>
      </c>
    </row>
    <row r="24" customFormat="false" ht="15" hidden="false" customHeight="false" outlineLevel="0" collapsed="false">
      <c r="A24" s="0" t="s">
        <v>206</v>
      </c>
      <c r="B24" s="2" t="s">
        <v>2363</v>
      </c>
      <c r="C24" s="0" t="s">
        <v>105</v>
      </c>
      <c r="D24" s="0" t="n">
        <v>8029784909</v>
      </c>
      <c r="E24" s="0" t="s">
        <v>85</v>
      </c>
      <c r="F24" s="0" t="s">
        <v>2319</v>
      </c>
      <c r="G24" s="0" t="s">
        <v>207</v>
      </c>
      <c r="H24" s="0" t="s">
        <v>87</v>
      </c>
      <c r="I24" s="3" t="s">
        <v>2322</v>
      </c>
      <c r="J24" s="0" t="s">
        <v>2339</v>
      </c>
      <c r="K24" s="0" t="s">
        <v>109</v>
      </c>
      <c r="L24" s="4" t="n">
        <v>27782</v>
      </c>
      <c r="M24" s="0" t="s">
        <v>110</v>
      </c>
      <c r="N24" s="0" t="s">
        <v>63</v>
      </c>
      <c r="O24" s="5" t="n">
        <v>2</v>
      </c>
      <c r="P24" s="0" t="n">
        <v>4.9</v>
      </c>
      <c r="Q24" s="0" t="s">
        <v>51</v>
      </c>
      <c r="R24" s="0" t="s">
        <v>52</v>
      </c>
      <c r="S24" s="0" t="s">
        <v>2335</v>
      </c>
      <c r="T24" s="0" t="s">
        <v>54</v>
      </c>
      <c r="U24" s="5" t="n">
        <v>30</v>
      </c>
      <c r="V24" s="0" t="s">
        <v>2352</v>
      </c>
      <c r="W24" s="0" t="s">
        <v>2328</v>
      </c>
      <c r="X24" s="0" t="s">
        <v>128</v>
      </c>
      <c r="Y24" s="0" t="s">
        <v>99</v>
      </c>
      <c r="Z24" s="0" t="s">
        <v>2326</v>
      </c>
      <c r="AA24" s="0" t="s">
        <v>149</v>
      </c>
      <c r="AB24" s="5" t="n">
        <v>20000</v>
      </c>
      <c r="AC24" s="5" t="n">
        <v>31408.3640836408</v>
      </c>
      <c r="AD24" s="0" t="s">
        <v>50</v>
      </c>
      <c r="AE24" s="5" t="n">
        <v>5000</v>
      </c>
      <c r="AF24" s="0" t="s">
        <v>60</v>
      </c>
      <c r="AG24" s="7" t="s">
        <v>2364</v>
      </c>
      <c r="AH24" s="0" t="s">
        <v>63</v>
      </c>
      <c r="AI24" s="0" t="s">
        <v>171</v>
      </c>
      <c r="AJ24" s="0" t="s">
        <v>172</v>
      </c>
      <c r="AK24" s="0" t="s">
        <v>63</v>
      </c>
      <c r="AL24" s="0" t="s">
        <v>63</v>
      </c>
      <c r="AM24" s="0" t="s">
        <v>2344</v>
      </c>
      <c r="AN24" s="0" t="s">
        <v>2321</v>
      </c>
      <c r="AO24" s="0" t="s">
        <v>63</v>
      </c>
    </row>
    <row r="25" customFormat="false" ht="15" hidden="false" customHeight="false" outlineLevel="0" collapsed="false">
      <c r="A25" s="0" t="s">
        <v>208</v>
      </c>
      <c r="B25" s="2" t="s">
        <v>2365</v>
      </c>
      <c r="C25" s="0" t="s">
        <v>105</v>
      </c>
      <c r="D25" s="0" t="n">
        <v>8073018412</v>
      </c>
      <c r="E25" s="0" t="s">
        <v>43</v>
      </c>
      <c r="F25" s="0" t="s">
        <v>2315</v>
      </c>
      <c r="G25" s="0" t="s">
        <v>209</v>
      </c>
      <c r="H25" s="0" t="s">
        <v>69</v>
      </c>
      <c r="I25" s="3" t="s">
        <v>2325</v>
      </c>
      <c r="J25" s="0" t="s">
        <v>2347</v>
      </c>
      <c r="K25" s="0" t="s">
        <v>109</v>
      </c>
      <c r="L25" s="4" t="n">
        <v>59664</v>
      </c>
      <c r="M25" s="0" t="s">
        <v>2333</v>
      </c>
      <c r="N25" s="0" t="s">
        <v>63</v>
      </c>
      <c r="O25" s="5" t="n">
        <v>3</v>
      </c>
      <c r="P25" s="0" t="n">
        <v>3.7</v>
      </c>
      <c r="Q25" s="0" t="s">
        <v>51</v>
      </c>
      <c r="R25" s="0" t="s">
        <v>93</v>
      </c>
      <c r="S25" s="0" t="s">
        <v>2366</v>
      </c>
      <c r="T25" s="0" t="s">
        <v>95</v>
      </c>
      <c r="U25" s="5" t="n">
        <v>45</v>
      </c>
      <c r="V25" s="0" t="s">
        <v>2336</v>
      </c>
      <c r="W25" s="0" t="s">
        <v>2328</v>
      </c>
      <c r="X25" s="0" t="s">
        <v>78</v>
      </c>
      <c r="Y25" s="0" t="s">
        <v>114</v>
      </c>
      <c r="Z25" s="0" t="s">
        <v>2326</v>
      </c>
      <c r="AA25" s="0" t="s">
        <v>79</v>
      </c>
      <c r="AB25" s="5" t="n">
        <v>40000</v>
      </c>
      <c r="AC25" s="5" t="n">
        <v>20000</v>
      </c>
      <c r="AD25" s="0" t="s">
        <v>63</v>
      </c>
      <c r="AE25" s="5" t="n">
        <v>5000</v>
      </c>
      <c r="AF25" s="0" t="s">
        <v>2338</v>
      </c>
      <c r="AG25" s="7" t="s">
        <v>2367</v>
      </c>
      <c r="AH25" s="0" t="s">
        <v>63</v>
      </c>
      <c r="AI25" s="0" t="s">
        <v>2331</v>
      </c>
      <c r="AJ25" s="0" t="s">
        <v>2320</v>
      </c>
      <c r="AK25" s="0" t="s">
        <v>63</v>
      </c>
      <c r="AL25" s="0" t="s">
        <v>63</v>
      </c>
      <c r="AM25" s="0" t="s">
        <v>2344</v>
      </c>
      <c r="AN25" s="0" t="s">
        <v>64</v>
      </c>
      <c r="AO25" s="0" t="s">
        <v>63</v>
      </c>
    </row>
    <row r="26" customFormat="false" ht="15" hidden="false" customHeight="false" outlineLevel="0" collapsed="false">
      <c r="A26" s="0" t="s">
        <v>210</v>
      </c>
      <c r="B26" s="2" t="s">
        <v>2368</v>
      </c>
      <c r="C26" s="0" t="s">
        <v>42</v>
      </c>
      <c r="D26" s="0" t="n">
        <v>8051429578</v>
      </c>
      <c r="E26" s="0" t="s">
        <v>67</v>
      </c>
      <c r="F26" s="0" t="s">
        <v>2316</v>
      </c>
      <c r="G26" s="0" t="s">
        <v>211</v>
      </c>
      <c r="H26" s="0" t="s">
        <v>87</v>
      </c>
      <c r="I26" s="3" t="s">
        <v>2325</v>
      </c>
      <c r="J26" s="0" t="s">
        <v>189</v>
      </c>
      <c r="K26" s="0" t="s">
        <v>90</v>
      </c>
      <c r="L26" s="4" t="n">
        <v>30284</v>
      </c>
      <c r="M26" s="0" t="s">
        <v>49</v>
      </c>
      <c r="N26" s="0" t="s">
        <v>50</v>
      </c>
      <c r="O26" s="5" t="n">
        <v>3</v>
      </c>
      <c r="P26" s="0" t="n">
        <v>2.3</v>
      </c>
      <c r="Q26" s="0" t="s">
        <v>92</v>
      </c>
      <c r="R26" s="0" t="s">
        <v>93</v>
      </c>
      <c r="S26" s="0" t="s">
        <v>2340</v>
      </c>
      <c r="T26" s="0" t="s">
        <v>2343</v>
      </c>
      <c r="U26" s="5" t="n">
        <v>39.8275862068966</v>
      </c>
      <c r="V26" s="0" t="s">
        <v>55</v>
      </c>
      <c r="W26" s="0" t="s">
        <v>155</v>
      </c>
      <c r="X26" s="0" t="s">
        <v>78</v>
      </c>
      <c r="Y26" s="0" t="s">
        <v>114</v>
      </c>
      <c r="Z26" s="0" t="s">
        <v>2329</v>
      </c>
      <c r="AA26" s="0" t="s">
        <v>161</v>
      </c>
      <c r="AB26" s="5" t="n">
        <v>25000</v>
      </c>
      <c r="AC26" s="5" t="n">
        <v>31422.4137931035</v>
      </c>
      <c r="AD26" s="0" t="s">
        <v>50</v>
      </c>
      <c r="AE26" s="5" t="n">
        <v>0</v>
      </c>
      <c r="AF26" s="0" t="s">
        <v>60</v>
      </c>
      <c r="AG26" s="7" t="s">
        <v>212</v>
      </c>
      <c r="AH26" s="0" t="s">
        <v>50</v>
      </c>
      <c r="AI26" s="0" t="s">
        <v>116</v>
      </c>
      <c r="AJ26" s="0" t="s">
        <v>2331</v>
      </c>
      <c r="AK26" s="0" t="s">
        <v>50</v>
      </c>
      <c r="AL26" s="0" t="s">
        <v>50</v>
      </c>
      <c r="AM26" s="0" t="s">
        <v>63</v>
      </c>
      <c r="AN26" s="0" t="s">
        <v>2321</v>
      </c>
      <c r="AO26" s="0" t="s">
        <v>50</v>
      </c>
    </row>
    <row r="27" customFormat="false" ht="15" hidden="false" customHeight="false" outlineLevel="0" collapsed="false">
      <c r="A27" s="0" t="s">
        <v>213</v>
      </c>
      <c r="B27" s="2" t="s">
        <v>299</v>
      </c>
      <c r="C27" s="0" t="s">
        <v>105</v>
      </c>
      <c r="D27" s="0" t="n">
        <v>8090977513</v>
      </c>
      <c r="E27" s="0" t="s">
        <v>43</v>
      </c>
      <c r="F27" s="0" t="s">
        <v>2315</v>
      </c>
      <c r="G27" s="0" t="s">
        <v>214</v>
      </c>
      <c r="H27" s="0" t="s">
        <v>69</v>
      </c>
      <c r="I27" s="3" t="s">
        <v>2325</v>
      </c>
      <c r="J27" s="0" t="s">
        <v>2341</v>
      </c>
      <c r="K27" s="0" t="s">
        <v>48</v>
      </c>
      <c r="L27" s="4" t="n">
        <v>84870</v>
      </c>
      <c r="M27" s="0" t="s">
        <v>2333</v>
      </c>
      <c r="N27" s="0" t="s">
        <v>50</v>
      </c>
      <c r="O27" s="5" t="n">
        <v>3</v>
      </c>
      <c r="P27" s="0" t="n">
        <v>2.6</v>
      </c>
      <c r="Q27" s="0" t="s">
        <v>92</v>
      </c>
      <c r="R27" s="0" t="s">
        <v>52</v>
      </c>
      <c r="S27" s="0" t="s">
        <v>53</v>
      </c>
      <c r="T27" s="0" t="s">
        <v>2353</v>
      </c>
      <c r="U27" s="5" t="n">
        <v>15</v>
      </c>
      <c r="V27" s="0" t="s">
        <v>96</v>
      </c>
      <c r="W27" s="0" t="s">
        <v>2328</v>
      </c>
      <c r="X27" s="0" t="s">
        <v>78</v>
      </c>
      <c r="Y27" s="0" t="s">
        <v>196</v>
      </c>
      <c r="Z27" s="0" t="s">
        <v>177</v>
      </c>
      <c r="AA27" s="0" t="s">
        <v>79</v>
      </c>
      <c r="AB27" s="5" t="n">
        <v>20000</v>
      </c>
      <c r="AC27" s="5" t="n">
        <v>30000</v>
      </c>
      <c r="AD27" s="0" t="s">
        <v>50</v>
      </c>
      <c r="AE27" s="5" t="n">
        <v>5000</v>
      </c>
      <c r="AF27" s="0" t="s">
        <v>184</v>
      </c>
      <c r="AG27" s="7" t="s">
        <v>215</v>
      </c>
      <c r="AH27" s="0" t="s">
        <v>50</v>
      </c>
      <c r="AI27" s="0" t="s">
        <v>171</v>
      </c>
      <c r="AJ27" s="0" t="s">
        <v>172</v>
      </c>
      <c r="AK27" s="0" t="s">
        <v>50</v>
      </c>
      <c r="AL27" s="0" t="s">
        <v>2344</v>
      </c>
      <c r="AM27" s="0" t="s">
        <v>50</v>
      </c>
      <c r="AN27" s="0" t="s">
        <v>2321</v>
      </c>
      <c r="AO27" s="0" t="s">
        <v>50</v>
      </c>
    </row>
    <row r="28" customFormat="false" ht="15" hidden="false" customHeight="false" outlineLevel="0" collapsed="false">
      <c r="A28" s="0" t="s">
        <v>216</v>
      </c>
      <c r="B28" s="2" t="s">
        <v>2221</v>
      </c>
      <c r="C28" s="0" t="s">
        <v>105</v>
      </c>
      <c r="D28" s="0" t="n">
        <v>8056023301</v>
      </c>
      <c r="E28" s="0" t="s">
        <v>139</v>
      </c>
      <c r="F28" s="0" t="s">
        <v>2323</v>
      </c>
      <c r="G28" s="0" t="s">
        <v>217</v>
      </c>
      <c r="H28" s="0" t="s">
        <v>107</v>
      </c>
      <c r="I28" s="3" t="s">
        <v>87</v>
      </c>
      <c r="J28" s="0" t="s">
        <v>2339</v>
      </c>
      <c r="K28" s="0" t="s">
        <v>109</v>
      </c>
      <c r="L28" s="4" t="n">
        <v>14285</v>
      </c>
      <c r="M28" s="0" t="s">
        <v>49</v>
      </c>
      <c r="N28" s="0" t="s">
        <v>63</v>
      </c>
      <c r="O28" s="5" t="n">
        <v>3</v>
      </c>
      <c r="P28" s="0" t="n">
        <v>5</v>
      </c>
      <c r="Q28" s="0" t="s">
        <v>51</v>
      </c>
      <c r="R28" s="0" t="s">
        <v>73</v>
      </c>
      <c r="S28" s="0" t="s">
        <v>2340</v>
      </c>
      <c r="T28" s="0" t="s">
        <v>75</v>
      </c>
      <c r="U28" s="5" t="n">
        <v>39.8936170212766</v>
      </c>
      <c r="V28" s="0" t="s">
        <v>112</v>
      </c>
      <c r="W28" s="0" t="s">
        <v>2337</v>
      </c>
      <c r="X28" s="0" t="s">
        <v>98</v>
      </c>
      <c r="Y28" s="0" t="s">
        <v>196</v>
      </c>
      <c r="Z28" s="0" t="s">
        <v>2329</v>
      </c>
      <c r="AA28" s="0" t="s">
        <v>79</v>
      </c>
      <c r="AB28" s="5" t="n">
        <v>25000</v>
      </c>
      <c r="AC28" s="5" t="n">
        <v>20000</v>
      </c>
      <c r="AD28" s="0" t="s">
        <v>50</v>
      </c>
      <c r="AE28" s="5" t="n">
        <v>0</v>
      </c>
      <c r="AF28" s="0" t="s">
        <v>184</v>
      </c>
      <c r="AG28" s="7" t="s">
        <v>2369</v>
      </c>
      <c r="AH28" s="0" t="s">
        <v>63</v>
      </c>
      <c r="AI28" s="0" t="s">
        <v>2331</v>
      </c>
      <c r="AJ28" s="0" t="s">
        <v>2331</v>
      </c>
      <c r="AK28" s="0" t="s">
        <v>50</v>
      </c>
      <c r="AL28" s="0" t="s">
        <v>50</v>
      </c>
      <c r="AM28" s="0" t="s">
        <v>63</v>
      </c>
      <c r="AN28" s="0" t="s">
        <v>2321</v>
      </c>
      <c r="AO28" s="0" t="s">
        <v>50</v>
      </c>
    </row>
    <row r="29" customFormat="false" ht="15" hidden="false" customHeight="false" outlineLevel="0" collapsed="false">
      <c r="A29" s="0" t="s">
        <v>218</v>
      </c>
      <c r="B29" s="2" t="s">
        <v>310</v>
      </c>
      <c r="C29" s="0" t="s">
        <v>42</v>
      </c>
      <c r="D29" s="0" t="n">
        <v>8049065941</v>
      </c>
      <c r="E29" s="0" t="s">
        <v>85</v>
      </c>
      <c r="F29" s="0" t="s">
        <v>2319</v>
      </c>
      <c r="G29" s="0" t="s">
        <v>219</v>
      </c>
      <c r="H29" s="0" t="s">
        <v>45</v>
      </c>
      <c r="I29" s="3" t="s">
        <v>2317</v>
      </c>
      <c r="J29" s="0" t="s">
        <v>47</v>
      </c>
      <c r="K29" s="0" t="s">
        <v>71</v>
      </c>
      <c r="L29" s="4" t="n">
        <v>52655</v>
      </c>
      <c r="M29" s="0" t="s">
        <v>2333</v>
      </c>
      <c r="N29" s="0" t="s">
        <v>63</v>
      </c>
      <c r="O29" s="5" t="n">
        <v>3.00246609124538</v>
      </c>
      <c r="P29" s="0" t="n">
        <v>1.8</v>
      </c>
      <c r="Q29" s="0" t="s">
        <v>125</v>
      </c>
      <c r="R29" s="0" t="s">
        <v>93</v>
      </c>
      <c r="S29" s="0" t="s">
        <v>53</v>
      </c>
      <c r="T29" s="0" t="s">
        <v>54</v>
      </c>
      <c r="U29" s="5" t="n">
        <v>45</v>
      </c>
      <c r="V29" s="0" t="s">
        <v>96</v>
      </c>
      <c r="W29" s="0" t="s">
        <v>155</v>
      </c>
      <c r="X29" s="0" t="s">
        <v>128</v>
      </c>
      <c r="Y29" s="0" t="s">
        <v>196</v>
      </c>
      <c r="Z29" s="0" t="s">
        <v>2326</v>
      </c>
      <c r="AA29" s="0" t="s">
        <v>149</v>
      </c>
      <c r="AB29" s="5" t="n">
        <v>40000</v>
      </c>
      <c r="AC29" s="5" t="n">
        <v>40000</v>
      </c>
      <c r="AD29" s="0" t="s">
        <v>63</v>
      </c>
      <c r="AE29" s="5" t="n">
        <v>0</v>
      </c>
      <c r="AF29" s="0" t="s">
        <v>60</v>
      </c>
      <c r="AG29" s="7" t="s">
        <v>2370</v>
      </c>
      <c r="AH29" s="0" t="s">
        <v>2329</v>
      </c>
      <c r="AI29" s="0" t="s">
        <v>2331</v>
      </c>
      <c r="AJ29" s="0" t="s">
        <v>117</v>
      </c>
      <c r="AK29" s="0" t="s">
        <v>63</v>
      </c>
      <c r="AL29" s="0" t="s">
        <v>50</v>
      </c>
      <c r="AM29" s="0" t="s">
        <v>63</v>
      </c>
      <c r="AN29" s="0" t="s">
        <v>64</v>
      </c>
      <c r="AO29" s="0" t="s">
        <v>63</v>
      </c>
    </row>
    <row r="30" customFormat="false" ht="15" hidden="false" customHeight="false" outlineLevel="0" collapsed="false">
      <c r="A30" s="0" t="s">
        <v>220</v>
      </c>
      <c r="B30" s="2" t="s">
        <v>1411</v>
      </c>
      <c r="C30" s="0" t="s">
        <v>121</v>
      </c>
      <c r="D30" s="0" t="n">
        <v>8059503523</v>
      </c>
      <c r="E30" s="0" t="s">
        <v>122</v>
      </c>
      <c r="F30" s="0" t="s">
        <v>2316</v>
      </c>
      <c r="G30" s="0" t="s">
        <v>221</v>
      </c>
      <c r="H30" s="0" t="s">
        <v>87</v>
      </c>
      <c r="I30" s="3" t="s">
        <v>2325</v>
      </c>
      <c r="J30" s="0" t="s">
        <v>2347</v>
      </c>
      <c r="K30" s="0" t="s">
        <v>90</v>
      </c>
      <c r="L30" s="4" t="n">
        <v>28670</v>
      </c>
      <c r="M30" s="0" t="s">
        <v>110</v>
      </c>
      <c r="N30" s="0" t="s">
        <v>50</v>
      </c>
      <c r="O30" s="5" t="n">
        <v>2</v>
      </c>
      <c r="P30" s="0" t="n">
        <v>4.2</v>
      </c>
      <c r="Q30" s="0" t="s">
        <v>92</v>
      </c>
      <c r="R30" s="0" t="s">
        <v>73</v>
      </c>
      <c r="S30" s="0" t="s">
        <v>2335</v>
      </c>
      <c r="T30" s="0" t="s">
        <v>2343</v>
      </c>
      <c r="U30" s="5" t="n">
        <v>60</v>
      </c>
      <c r="V30" s="0" t="s">
        <v>112</v>
      </c>
      <c r="W30" s="0" t="s">
        <v>155</v>
      </c>
      <c r="X30" s="0" t="s">
        <v>128</v>
      </c>
      <c r="Y30" s="0" t="s">
        <v>196</v>
      </c>
      <c r="Z30" s="0" t="s">
        <v>2324</v>
      </c>
      <c r="AA30" s="0" t="s">
        <v>161</v>
      </c>
      <c r="AB30" s="5" t="n">
        <v>30000</v>
      </c>
      <c r="AC30" s="5" t="n">
        <v>20000</v>
      </c>
      <c r="AD30" s="0" t="s">
        <v>50</v>
      </c>
      <c r="AE30" s="5" t="n">
        <v>10000</v>
      </c>
      <c r="AF30" s="0" t="s">
        <v>2338</v>
      </c>
      <c r="AG30" s="7" t="s">
        <v>215</v>
      </c>
      <c r="AH30" s="0" t="s">
        <v>63</v>
      </c>
      <c r="AI30" s="0" t="s">
        <v>116</v>
      </c>
      <c r="AJ30" s="0" t="s">
        <v>2331</v>
      </c>
      <c r="AK30" s="0" t="s">
        <v>63</v>
      </c>
      <c r="AL30" s="0" t="s">
        <v>63</v>
      </c>
      <c r="AM30" s="0" t="s">
        <v>63</v>
      </c>
      <c r="AN30" s="0" t="s">
        <v>2321</v>
      </c>
      <c r="AO30" s="0" t="s">
        <v>50</v>
      </c>
    </row>
    <row r="31" customFormat="false" ht="15" hidden="false" customHeight="false" outlineLevel="0" collapsed="false">
      <c r="A31" s="0" t="s">
        <v>223</v>
      </c>
      <c r="B31" s="2" t="s">
        <v>222</v>
      </c>
      <c r="C31" s="0" t="s">
        <v>66</v>
      </c>
      <c r="D31" s="0" t="n">
        <v>8011084726</v>
      </c>
      <c r="E31" s="0" t="s">
        <v>43</v>
      </c>
      <c r="F31" s="0" t="s">
        <v>2315</v>
      </c>
      <c r="G31" s="0" t="s">
        <v>224</v>
      </c>
      <c r="H31" s="0" t="s">
        <v>69</v>
      </c>
      <c r="I31" s="3" t="s">
        <v>87</v>
      </c>
      <c r="J31" s="0" t="s">
        <v>47</v>
      </c>
      <c r="K31" s="0" t="s">
        <v>71</v>
      </c>
      <c r="L31" s="4" t="n">
        <v>91082</v>
      </c>
      <c r="M31" s="0" t="s">
        <v>110</v>
      </c>
      <c r="N31" s="0" t="s">
        <v>50</v>
      </c>
      <c r="O31" s="5" t="n">
        <v>3</v>
      </c>
      <c r="P31" s="0" t="n">
        <v>5</v>
      </c>
      <c r="Q31" s="0" t="s">
        <v>111</v>
      </c>
      <c r="R31" s="0" t="s">
        <v>93</v>
      </c>
      <c r="S31" s="0" t="s">
        <v>2335</v>
      </c>
      <c r="T31" s="0" t="s">
        <v>54</v>
      </c>
      <c r="U31" s="5" t="n">
        <v>45</v>
      </c>
      <c r="V31" s="0" t="s">
        <v>2336</v>
      </c>
      <c r="W31" s="0" t="s">
        <v>155</v>
      </c>
      <c r="X31" s="0" t="s">
        <v>78</v>
      </c>
      <c r="Y31" s="0" t="s">
        <v>114</v>
      </c>
      <c r="Z31" s="0" t="s">
        <v>2329</v>
      </c>
      <c r="AA31" s="0" t="s">
        <v>161</v>
      </c>
      <c r="AB31" s="5" t="n">
        <v>40000</v>
      </c>
      <c r="AC31" s="5" t="n">
        <v>30000</v>
      </c>
      <c r="AD31" s="0" t="s">
        <v>63</v>
      </c>
      <c r="AE31" s="5" t="n">
        <v>5000</v>
      </c>
      <c r="AF31" s="0" t="s">
        <v>130</v>
      </c>
      <c r="AG31" s="7" t="s">
        <v>2371</v>
      </c>
      <c r="AH31" s="0" t="s">
        <v>2329</v>
      </c>
      <c r="AI31" s="0" t="s">
        <v>2331</v>
      </c>
      <c r="AJ31" s="0" t="s">
        <v>2331</v>
      </c>
      <c r="AK31" s="0" t="s">
        <v>2344</v>
      </c>
      <c r="AL31" s="0" t="s">
        <v>50</v>
      </c>
      <c r="AM31" s="0" t="s">
        <v>63</v>
      </c>
      <c r="AN31" s="0" t="s">
        <v>64</v>
      </c>
      <c r="AO31" s="0" t="s">
        <v>50</v>
      </c>
    </row>
    <row r="32" customFormat="false" ht="15" hidden="false" customHeight="false" outlineLevel="0" collapsed="false">
      <c r="A32" s="0" t="s">
        <v>226</v>
      </c>
      <c r="B32" s="2" t="s">
        <v>225</v>
      </c>
      <c r="C32" s="0" t="s">
        <v>105</v>
      </c>
      <c r="D32" s="0" t="n">
        <v>8079481912</v>
      </c>
      <c r="E32" s="0" t="s">
        <v>122</v>
      </c>
      <c r="F32" s="0" t="s">
        <v>2316</v>
      </c>
      <c r="G32" s="0" t="s">
        <v>227</v>
      </c>
      <c r="H32" s="0" t="s">
        <v>107</v>
      </c>
      <c r="I32" s="3" t="s">
        <v>2317</v>
      </c>
      <c r="J32" s="0" t="s">
        <v>2347</v>
      </c>
      <c r="K32" s="0" t="s">
        <v>71</v>
      </c>
      <c r="L32" s="4" t="n">
        <v>21827</v>
      </c>
      <c r="M32" s="0" t="s">
        <v>49</v>
      </c>
      <c r="N32" s="0" t="s">
        <v>63</v>
      </c>
      <c r="O32" s="5" t="n">
        <v>3.00370828182942</v>
      </c>
      <c r="P32" s="0" t="n">
        <v>5.4</v>
      </c>
      <c r="Q32" s="0" t="s">
        <v>111</v>
      </c>
      <c r="R32" s="0" t="s">
        <v>73</v>
      </c>
      <c r="S32" s="0" t="s">
        <v>53</v>
      </c>
      <c r="T32" s="0" t="s">
        <v>75</v>
      </c>
      <c r="U32" s="5" t="n">
        <v>15</v>
      </c>
      <c r="V32" s="0" t="s">
        <v>55</v>
      </c>
      <c r="W32" s="0" t="s">
        <v>155</v>
      </c>
      <c r="X32" s="0" t="s">
        <v>78</v>
      </c>
      <c r="Y32" s="0" t="s">
        <v>196</v>
      </c>
      <c r="Z32" s="0" t="s">
        <v>2324</v>
      </c>
      <c r="AA32" s="0" t="s">
        <v>149</v>
      </c>
      <c r="AB32" s="5" t="n">
        <v>20000</v>
      </c>
      <c r="AC32" s="5" t="n">
        <v>20000</v>
      </c>
      <c r="AD32" s="0" t="s">
        <v>63</v>
      </c>
      <c r="AE32" s="5" t="n">
        <v>0</v>
      </c>
      <c r="AF32" s="0" t="s">
        <v>184</v>
      </c>
      <c r="AG32" s="7" t="s">
        <v>1363</v>
      </c>
      <c r="AH32" s="0" t="s">
        <v>63</v>
      </c>
      <c r="AI32" s="0" t="s">
        <v>2331</v>
      </c>
      <c r="AJ32" s="0" t="s">
        <v>2331</v>
      </c>
      <c r="AK32" s="0" t="s">
        <v>50</v>
      </c>
      <c r="AL32" s="0" t="s">
        <v>50</v>
      </c>
      <c r="AM32" s="0" t="s">
        <v>50</v>
      </c>
      <c r="AN32" s="0" t="s">
        <v>2321</v>
      </c>
      <c r="AO32" s="0" t="s">
        <v>50</v>
      </c>
    </row>
    <row r="33" customFormat="false" ht="15" hidden="false" customHeight="false" outlineLevel="0" collapsed="false">
      <c r="A33" s="0" t="s">
        <v>228</v>
      </c>
      <c r="B33" s="2" t="s">
        <v>592</v>
      </c>
      <c r="C33" s="0" t="s">
        <v>121</v>
      </c>
      <c r="D33" s="0" t="n">
        <v>8088710632</v>
      </c>
      <c r="E33" s="0" t="s">
        <v>85</v>
      </c>
      <c r="F33" s="0" t="s">
        <v>2319</v>
      </c>
      <c r="G33" s="0" t="s">
        <v>229</v>
      </c>
      <c r="H33" s="0" t="s">
        <v>69</v>
      </c>
      <c r="I33" s="3" t="s">
        <v>2342</v>
      </c>
      <c r="J33" s="0" t="s">
        <v>47</v>
      </c>
      <c r="K33" s="0" t="s">
        <v>71</v>
      </c>
      <c r="L33" s="4" t="n">
        <v>76968</v>
      </c>
      <c r="M33" s="0" t="s">
        <v>2333</v>
      </c>
      <c r="N33" s="0" t="s">
        <v>63</v>
      </c>
      <c r="O33" s="5" t="n">
        <v>3</v>
      </c>
      <c r="P33" s="0" t="n">
        <v>2.6</v>
      </c>
      <c r="Q33" s="0" t="s">
        <v>2334</v>
      </c>
      <c r="R33" s="0" t="s">
        <v>52</v>
      </c>
      <c r="S33" s="0" t="s">
        <v>2366</v>
      </c>
      <c r="T33" s="0" t="s">
        <v>2353</v>
      </c>
      <c r="U33" s="5" t="n">
        <v>30</v>
      </c>
      <c r="V33" s="0" t="s">
        <v>96</v>
      </c>
      <c r="W33" s="0" t="s">
        <v>148</v>
      </c>
      <c r="X33" s="0" t="s">
        <v>128</v>
      </c>
      <c r="Y33" s="0" t="s">
        <v>99</v>
      </c>
      <c r="Z33" s="0" t="s">
        <v>2324</v>
      </c>
      <c r="AA33" s="0" t="s">
        <v>79</v>
      </c>
      <c r="AB33" s="5" t="n">
        <v>25000</v>
      </c>
      <c r="AC33" s="5" t="n">
        <v>40000</v>
      </c>
      <c r="AD33" s="0" t="s">
        <v>50</v>
      </c>
      <c r="AE33" s="5" t="n">
        <v>0</v>
      </c>
      <c r="AF33" s="0" t="s">
        <v>184</v>
      </c>
      <c r="AG33" s="7" t="s">
        <v>2372</v>
      </c>
      <c r="AH33" s="0" t="s">
        <v>50</v>
      </c>
      <c r="AI33" s="0" t="s">
        <v>116</v>
      </c>
      <c r="AJ33" s="0" t="s">
        <v>117</v>
      </c>
      <c r="AK33" s="0" t="s">
        <v>2344</v>
      </c>
      <c r="AL33" s="0" t="s">
        <v>50</v>
      </c>
      <c r="AM33" s="0" t="s">
        <v>2344</v>
      </c>
      <c r="AN33" s="0" t="s">
        <v>2321</v>
      </c>
      <c r="AO33" s="0" t="s">
        <v>50</v>
      </c>
    </row>
    <row r="34" customFormat="false" ht="15" hidden="false" customHeight="false" outlineLevel="0" collapsed="false">
      <c r="A34" s="0" t="s">
        <v>230</v>
      </c>
      <c r="B34" s="2" t="s">
        <v>502</v>
      </c>
      <c r="C34" s="0" t="s">
        <v>121</v>
      </c>
      <c r="D34" s="0" t="n">
        <v>8098271886</v>
      </c>
      <c r="E34" s="0" t="s">
        <v>85</v>
      </c>
      <c r="F34" s="0" t="s">
        <v>2319</v>
      </c>
      <c r="G34" s="0" t="s">
        <v>231</v>
      </c>
      <c r="H34" s="0" t="s">
        <v>69</v>
      </c>
      <c r="I34" s="3" t="s">
        <v>2317</v>
      </c>
      <c r="J34" s="0" t="s">
        <v>2349</v>
      </c>
      <c r="K34" s="0" t="s">
        <v>90</v>
      </c>
      <c r="L34" s="4" t="n">
        <v>117042</v>
      </c>
      <c r="M34" s="0" t="s">
        <v>110</v>
      </c>
      <c r="N34" s="0" t="s">
        <v>63</v>
      </c>
      <c r="O34" s="5" t="n">
        <v>1</v>
      </c>
      <c r="P34" s="0" t="n">
        <v>1.9</v>
      </c>
      <c r="Q34" s="0" t="s">
        <v>111</v>
      </c>
      <c r="R34" s="0" t="s">
        <v>73</v>
      </c>
      <c r="S34" s="0" t="s">
        <v>2340</v>
      </c>
      <c r="T34" s="0" t="s">
        <v>75</v>
      </c>
      <c r="U34" s="5" t="n">
        <v>37.3509933774834</v>
      </c>
      <c r="V34" s="0" t="s">
        <v>96</v>
      </c>
      <c r="W34" s="0" t="s">
        <v>2337</v>
      </c>
      <c r="X34" s="0" t="s">
        <v>98</v>
      </c>
      <c r="Y34" s="0" t="s">
        <v>196</v>
      </c>
      <c r="Z34" s="0" t="s">
        <v>177</v>
      </c>
      <c r="AA34" s="0" t="s">
        <v>79</v>
      </c>
      <c r="AB34" s="5" t="n">
        <v>20000</v>
      </c>
      <c r="AC34" s="5" t="n">
        <v>31447.2049689441</v>
      </c>
      <c r="AD34" s="0" t="s">
        <v>50</v>
      </c>
      <c r="AE34" s="5" t="n">
        <v>0</v>
      </c>
      <c r="AF34" s="0" t="s">
        <v>2338</v>
      </c>
      <c r="AG34" s="7" t="s">
        <v>2373</v>
      </c>
      <c r="AH34" s="0" t="s">
        <v>63</v>
      </c>
      <c r="AI34" s="0" t="s">
        <v>2331</v>
      </c>
      <c r="AJ34" s="0" t="s">
        <v>172</v>
      </c>
      <c r="AK34" s="0" t="s">
        <v>2344</v>
      </c>
      <c r="AL34" s="0" t="s">
        <v>2344</v>
      </c>
      <c r="AM34" s="0" t="s">
        <v>2344</v>
      </c>
      <c r="AN34" s="0" t="s">
        <v>2318</v>
      </c>
      <c r="AO34" s="0" t="s">
        <v>2359</v>
      </c>
    </row>
    <row r="35" customFormat="false" ht="15" hidden="false" customHeight="false" outlineLevel="0" collapsed="false">
      <c r="A35" s="0" t="s">
        <v>233</v>
      </c>
      <c r="B35" s="2" t="s">
        <v>232</v>
      </c>
      <c r="C35" s="0" t="s">
        <v>42</v>
      </c>
      <c r="D35" s="0" t="n">
        <v>8029407935</v>
      </c>
      <c r="E35" s="0" t="s">
        <v>67</v>
      </c>
      <c r="F35" s="0" t="s">
        <v>2316</v>
      </c>
      <c r="G35" s="0" t="s">
        <v>234</v>
      </c>
      <c r="H35" s="0" t="s">
        <v>107</v>
      </c>
      <c r="I35" s="3" t="s">
        <v>87</v>
      </c>
      <c r="J35" s="0" t="s">
        <v>189</v>
      </c>
      <c r="K35" s="0" t="s">
        <v>71</v>
      </c>
      <c r="L35" s="4" t="n">
        <v>111648</v>
      </c>
      <c r="M35" s="0" t="s">
        <v>110</v>
      </c>
      <c r="N35" s="0" t="s">
        <v>50</v>
      </c>
      <c r="O35" s="5" t="n">
        <v>3</v>
      </c>
      <c r="P35" s="0" t="n">
        <v>5.2</v>
      </c>
      <c r="Q35" s="0" t="s">
        <v>125</v>
      </c>
      <c r="R35" s="0" t="s">
        <v>52</v>
      </c>
      <c r="S35" s="0" t="s">
        <v>53</v>
      </c>
      <c r="T35" s="0" t="s">
        <v>54</v>
      </c>
      <c r="U35" s="5" t="n">
        <v>60</v>
      </c>
      <c r="V35" s="0" t="s">
        <v>96</v>
      </c>
      <c r="W35" s="0" t="s">
        <v>2337</v>
      </c>
      <c r="X35" s="0" t="s">
        <v>78</v>
      </c>
      <c r="Y35" s="0" t="s">
        <v>58</v>
      </c>
      <c r="Z35" s="0" t="s">
        <v>59</v>
      </c>
      <c r="AA35" s="0" t="s">
        <v>149</v>
      </c>
      <c r="AB35" s="5" t="n">
        <v>25614.0350877193</v>
      </c>
      <c r="AC35" s="5" t="n">
        <v>40000</v>
      </c>
      <c r="AD35" s="0" t="s">
        <v>50</v>
      </c>
      <c r="AE35" s="5" t="n">
        <v>10000</v>
      </c>
      <c r="AF35" s="0" t="s">
        <v>60</v>
      </c>
      <c r="AG35" s="7" t="s">
        <v>1363</v>
      </c>
      <c r="AH35" s="0" t="s">
        <v>50</v>
      </c>
      <c r="AI35" s="0" t="s">
        <v>116</v>
      </c>
      <c r="AJ35" s="0" t="s">
        <v>117</v>
      </c>
      <c r="AK35" s="0" t="s">
        <v>50</v>
      </c>
      <c r="AL35" s="0" t="s">
        <v>2344</v>
      </c>
      <c r="AM35" s="0" t="s">
        <v>2344</v>
      </c>
      <c r="AN35" s="0" t="s">
        <v>2321</v>
      </c>
      <c r="AO35" s="0" t="s">
        <v>50</v>
      </c>
    </row>
    <row r="36" customFormat="false" ht="15" hidden="false" customHeight="false" outlineLevel="0" collapsed="false">
      <c r="A36" s="0" t="s">
        <v>235</v>
      </c>
      <c r="B36" s="2" t="s">
        <v>2374</v>
      </c>
      <c r="C36" s="0" t="s">
        <v>121</v>
      </c>
      <c r="D36" s="0" t="n">
        <v>8017693044</v>
      </c>
      <c r="E36" s="0" t="s">
        <v>139</v>
      </c>
      <c r="F36" s="0" t="s">
        <v>2323</v>
      </c>
      <c r="G36" s="0" t="s">
        <v>236</v>
      </c>
      <c r="H36" s="0" t="s">
        <v>87</v>
      </c>
      <c r="I36" s="3" t="s">
        <v>87</v>
      </c>
      <c r="J36" s="0" t="s">
        <v>2349</v>
      </c>
      <c r="K36" s="0" t="s">
        <v>90</v>
      </c>
      <c r="L36" s="4" t="n">
        <v>97789</v>
      </c>
      <c r="M36" s="0" t="s">
        <v>49</v>
      </c>
      <c r="N36" s="0" t="s">
        <v>50</v>
      </c>
      <c r="O36" s="5" t="n">
        <v>5</v>
      </c>
      <c r="P36" s="0" t="n">
        <v>5.9</v>
      </c>
      <c r="Q36" s="0" t="s">
        <v>51</v>
      </c>
      <c r="R36" s="0" t="s">
        <v>52</v>
      </c>
      <c r="S36" s="0" t="s">
        <v>2366</v>
      </c>
      <c r="T36" s="0" t="s">
        <v>147</v>
      </c>
      <c r="U36" s="5" t="n">
        <v>45</v>
      </c>
      <c r="V36" s="0" t="s">
        <v>96</v>
      </c>
      <c r="W36" s="0" t="s">
        <v>2328</v>
      </c>
      <c r="X36" s="0" t="s">
        <v>98</v>
      </c>
      <c r="Y36" s="0" t="s">
        <v>99</v>
      </c>
      <c r="Z36" s="0" t="s">
        <v>2326</v>
      </c>
      <c r="AA36" s="0" t="s">
        <v>161</v>
      </c>
      <c r="AB36" s="5" t="n">
        <v>25000</v>
      </c>
      <c r="AC36" s="5" t="n">
        <v>40000</v>
      </c>
      <c r="AD36" s="0" t="s">
        <v>50</v>
      </c>
      <c r="AE36" s="5" t="n">
        <v>5000</v>
      </c>
      <c r="AF36" s="0" t="s">
        <v>60</v>
      </c>
      <c r="AG36" s="7" t="s">
        <v>816</v>
      </c>
      <c r="AH36" s="0" t="s">
        <v>2329</v>
      </c>
      <c r="AI36" s="0" t="s">
        <v>2331</v>
      </c>
      <c r="AJ36" s="0" t="s">
        <v>2331</v>
      </c>
      <c r="AK36" s="0" t="s">
        <v>63</v>
      </c>
      <c r="AL36" s="0" t="s">
        <v>50</v>
      </c>
      <c r="AM36" s="0" t="s">
        <v>63</v>
      </c>
      <c r="AN36" s="0" t="s">
        <v>2321</v>
      </c>
      <c r="AO36" s="0" t="s">
        <v>63</v>
      </c>
    </row>
    <row r="37" customFormat="false" ht="15" hidden="false" customHeight="false" outlineLevel="0" collapsed="false">
      <c r="A37" s="0" t="s">
        <v>237</v>
      </c>
      <c r="B37" s="2" t="s">
        <v>2365</v>
      </c>
      <c r="C37" s="0" t="s">
        <v>42</v>
      </c>
      <c r="D37" s="0" t="n">
        <v>8041861591</v>
      </c>
      <c r="E37" s="0" t="s">
        <v>139</v>
      </c>
      <c r="F37" s="0" t="s">
        <v>2323</v>
      </c>
      <c r="G37" s="0" t="s">
        <v>238</v>
      </c>
      <c r="H37" s="0" t="s">
        <v>45</v>
      </c>
      <c r="I37" s="3" t="s">
        <v>2325</v>
      </c>
      <c r="J37" s="0" t="s">
        <v>2339</v>
      </c>
      <c r="K37" s="0" t="s">
        <v>48</v>
      </c>
      <c r="L37" s="4" t="n">
        <v>107242</v>
      </c>
      <c r="M37" s="0" t="s">
        <v>2333</v>
      </c>
      <c r="N37" s="0" t="s">
        <v>63</v>
      </c>
      <c r="O37" s="5" t="n">
        <v>1</v>
      </c>
      <c r="P37" s="0" t="n">
        <v>1.8</v>
      </c>
      <c r="Q37" s="0" t="s">
        <v>111</v>
      </c>
      <c r="R37" s="0" t="s">
        <v>93</v>
      </c>
      <c r="S37" s="0" t="s">
        <v>2335</v>
      </c>
      <c r="T37" s="0" t="s">
        <v>2343</v>
      </c>
      <c r="U37" s="5" t="n">
        <v>30</v>
      </c>
      <c r="V37" s="0" t="s">
        <v>2352</v>
      </c>
      <c r="W37" s="0" t="s">
        <v>2328</v>
      </c>
      <c r="X37" s="0" t="s">
        <v>128</v>
      </c>
      <c r="Y37" s="0" t="s">
        <v>196</v>
      </c>
      <c r="Z37" s="0" t="s">
        <v>2329</v>
      </c>
      <c r="AA37" s="0" t="s">
        <v>79</v>
      </c>
      <c r="AB37" s="5" t="n">
        <v>25000</v>
      </c>
      <c r="AC37" s="5" t="n">
        <v>30000</v>
      </c>
      <c r="AD37" s="0" t="s">
        <v>63</v>
      </c>
      <c r="AE37" s="5" t="n">
        <v>5000</v>
      </c>
      <c r="AF37" s="0" t="s">
        <v>60</v>
      </c>
      <c r="AG37" s="7" t="s">
        <v>239</v>
      </c>
      <c r="AH37" s="0" t="s">
        <v>50</v>
      </c>
      <c r="AI37" s="0" t="s">
        <v>116</v>
      </c>
      <c r="AJ37" s="0" t="s">
        <v>2331</v>
      </c>
      <c r="AK37" s="0" t="s">
        <v>63</v>
      </c>
      <c r="AL37" s="0" t="s">
        <v>50</v>
      </c>
      <c r="AM37" s="0" t="s">
        <v>63</v>
      </c>
      <c r="AN37" s="0" t="s">
        <v>2321</v>
      </c>
      <c r="AO37" s="0" t="s">
        <v>2359</v>
      </c>
    </row>
    <row r="38" customFormat="false" ht="15" hidden="false" customHeight="false" outlineLevel="0" collapsed="false">
      <c r="A38" s="0" t="s">
        <v>240</v>
      </c>
      <c r="B38" s="2" t="s">
        <v>2375</v>
      </c>
      <c r="C38" s="0" t="s">
        <v>121</v>
      </c>
      <c r="D38" s="0" t="n">
        <v>8078062865</v>
      </c>
      <c r="E38" s="0" t="s">
        <v>43</v>
      </c>
      <c r="F38" s="0" t="s">
        <v>2315</v>
      </c>
      <c r="G38" s="0" t="s">
        <v>241</v>
      </c>
      <c r="H38" s="0" t="s">
        <v>107</v>
      </c>
      <c r="I38" s="3" t="s">
        <v>2317</v>
      </c>
      <c r="J38" s="0" t="s">
        <v>47</v>
      </c>
      <c r="K38" s="0" t="s">
        <v>90</v>
      </c>
      <c r="L38" s="4" t="n">
        <v>69450</v>
      </c>
      <c r="M38" s="0" t="s">
        <v>110</v>
      </c>
      <c r="N38" s="0" t="s">
        <v>50</v>
      </c>
      <c r="O38" s="5" t="n">
        <v>4</v>
      </c>
      <c r="P38" s="0" t="n">
        <v>1.7</v>
      </c>
      <c r="Q38" s="0" t="s">
        <v>125</v>
      </c>
      <c r="R38" s="0" t="s">
        <v>93</v>
      </c>
      <c r="S38" s="0" t="s">
        <v>53</v>
      </c>
      <c r="T38" s="0" t="s">
        <v>75</v>
      </c>
      <c r="U38" s="5" t="n">
        <v>30</v>
      </c>
      <c r="V38" s="0" t="s">
        <v>112</v>
      </c>
      <c r="W38" s="0" t="s">
        <v>2328</v>
      </c>
      <c r="X38" s="0" t="s">
        <v>98</v>
      </c>
      <c r="Y38" s="0" t="s">
        <v>58</v>
      </c>
      <c r="Z38" s="0" t="s">
        <v>59</v>
      </c>
      <c r="AA38" s="0" t="s">
        <v>2329</v>
      </c>
      <c r="AB38" s="5" t="n">
        <v>15000</v>
      </c>
      <c r="AC38" s="5" t="n">
        <v>30000</v>
      </c>
      <c r="AD38" s="0" t="s">
        <v>50</v>
      </c>
      <c r="AE38" s="5" t="n">
        <v>10000</v>
      </c>
      <c r="AF38" s="0" t="s">
        <v>2338</v>
      </c>
      <c r="AG38" s="7" t="s">
        <v>1180</v>
      </c>
      <c r="AH38" s="0" t="s">
        <v>50</v>
      </c>
      <c r="AI38" s="0" t="s">
        <v>2331</v>
      </c>
      <c r="AJ38" s="0" t="s">
        <v>2331</v>
      </c>
      <c r="AK38" s="0" t="s">
        <v>2344</v>
      </c>
      <c r="AL38" s="0" t="s">
        <v>63</v>
      </c>
      <c r="AM38" s="0" t="s">
        <v>2344</v>
      </c>
      <c r="AN38" s="0" t="s">
        <v>2321</v>
      </c>
      <c r="AO38" s="0" t="s">
        <v>50</v>
      </c>
    </row>
    <row r="39" customFormat="false" ht="15" hidden="false" customHeight="false" outlineLevel="0" collapsed="false">
      <c r="A39" s="0" t="s">
        <v>243</v>
      </c>
      <c r="B39" s="2" t="s">
        <v>2376</v>
      </c>
      <c r="C39" s="0" t="s">
        <v>66</v>
      </c>
      <c r="D39" s="0" t="n">
        <v>8085088096</v>
      </c>
      <c r="E39" s="0" t="s">
        <v>43</v>
      </c>
      <c r="F39" s="0" t="s">
        <v>2315</v>
      </c>
      <c r="G39" s="0" t="s">
        <v>244</v>
      </c>
      <c r="H39" s="0" t="s">
        <v>69</v>
      </c>
      <c r="I39" s="3" t="s">
        <v>2342</v>
      </c>
      <c r="J39" s="0" t="s">
        <v>2341</v>
      </c>
      <c r="K39" s="0" t="s">
        <v>71</v>
      </c>
      <c r="L39" s="4" t="n">
        <v>60123</v>
      </c>
      <c r="M39" s="0" t="s">
        <v>2333</v>
      </c>
      <c r="N39" s="0" t="s">
        <v>50</v>
      </c>
      <c r="O39" s="5" t="n">
        <v>5</v>
      </c>
      <c r="P39" s="0" t="n">
        <v>3.3</v>
      </c>
      <c r="Q39" s="0" t="s">
        <v>92</v>
      </c>
      <c r="R39" s="0" t="s">
        <v>73</v>
      </c>
      <c r="S39" s="0" t="s">
        <v>2340</v>
      </c>
      <c r="T39" s="0" t="s">
        <v>147</v>
      </c>
      <c r="U39" s="5" t="n">
        <v>45</v>
      </c>
      <c r="V39" s="0" t="s">
        <v>2352</v>
      </c>
      <c r="W39" s="0" t="s">
        <v>2328</v>
      </c>
      <c r="X39" s="0" t="s">
        <v>128</v>
      </c>
      <c r="Y39" s="0" t="s">
        <v>99</v>
      </c>
      <c r="Z39" s="0" t="s">
        <v>2329</v>
      </c>
      <c r="AA39" s="0" t="s">
        <v>79</v>
      </c>
      <c r="AB39" s="5" t="n">
        <v>15000</v>
      </c>
      <c r="AC39" s="5" t="n">
        <v>20000</v>
      </c>
      <c r="AD39" s="0" t="s">
        <v>63</v>
      </c>
      <c r="AE39" s="5" t="n">
        <v>0</v>
      </c>
      <c r="AF39" s="0" t="s">
        <v>2338</v>
      </c>
      <c r="AG39" s="7" t="s">
        <v>245</v>
      </c>
      <c r="AH39" s="0" t="s">
        <v>63</v>
      </c>
      <c r="AI39" s="0" t="s">
        <v>116</v>
      </c>
      <c r="AJ39" s="0" t="s">
        <v>2331</v>
      </c>
      <c r="AK39" s="0" t="s">
        <v>50</v>
      </c>
      <c r="AL39" s="0" t="s">
        <v>50</v>
      </c>
      <c r="AM39" s="0" t="s">
        <v>50</v>
      </c>
      <c r="AN39" s="0" t="s">
        <v>2318</v>
      </c>
      <c r="AO39" s="0" t="s">
        <v>50</v>
      </c>
    </row>
    <row r="40" customFormat="false" ht="15" hidden="false" customHeight="false" outlineLevel="0" collapsed="false">
      <c r="A40" s="0" t="s">
        <v>246</v>
      </c>
      <c r="B40" s="2" t="s">
        <v>2377</v>
      </c>
      <c r="C40" s="0" t="s">
        <v>163</v>
      </c>
      <c r="D40" s="0" t="n">
        <v>8017329266</v>
      </c>
      <c r="E40" s="0" t="s">
        <v>67</v>
      </c>
      <c r="F40" s="0" t="s">
        <v>2316</v>
      </c>
      <c r="G40" s="0" t="s">
        <v>247</v>
      </c>
      <c r="H40" s="0" t="s">
        <v>107</v>
      </c>
      <c r="I40" s="3" t="s">
        <v>87</v>
      </c>
      <c r="J40" s="0" t="s">
        <v>2347</v>
      </c>
      <c r="K40" s="0" t="s">
        <v>90</v>
      </c>
      <c r="L40" s="4" t="n">
        <v>96203</v>
      </c>
      <c r="M40" s="0" t="s">
        <v>2333</v>
      </c>
      <c r="N40" s="0" t="s">
        <v>50</v>
      </c>
      <c r="O40" s="5" t="n">
        <v>5</v>
      </c>
      <c r="P40" s="0" t="n">
        <v>3</v>
      </c>
      <c r="Q40" s="0" t="s">
        <v>51</v>
      </c>
      <c r="R40" s="0" t="s">
        <v>73</v>
      </c>
      <c r="S40" s="0" t="s">
        <v>53</v>
      </c>
      <c r="T40" s="0" t="s">
        <v>95</v>
      </c>
      <c r="U40" s="5" t="n">
        <v>15</v>
      </c>
      <c r="V40" s="0" t="s">
        <v>112</v>
      </c>
      <c r="W40" s="0" t="s">
        <v>155</v>
      </c>
      <c r="X40" s="0" t="s">
        <v>128</v>
      </c>
      <c r="Y40" s="0" t="s">
        <v>196</v>
      </c>
      <c r="Z40" s="0" t="s">
        <v>2329</v>
      </c>
      <c r="AA40" s="0" t="s">
        <v>79</v>
      </c>
      <c r="AB40" s="5" t="n">
        <v>26347.5177304965</v>
      </c>
      <c r="AC40" s="5" t="n">
        <v>35000</v>
      </c>
      <c r="AD40" s="0" t="s">
        <v>50</v>
      </c>
      <c r="AE40" s="5" t="n">
        <v>0</v>
      </c>
      <c r="AF40" s="0" t="s">
        <v>130</v>
      </c>
      <c r="AG40" s="7" t="s">
        <v>201</v>
      </c>
      <c r="AH40" s="0" t="s">
        <v>50</v>
      </c>
      <c r="AI40" s="0" t="s">
        <v>116</v>
      </c>
      <c r="AJ40" s="0" t="s">
        <v>2320</v>
      </c>
      <c r="AK40" s="0" t="s">
        <v>50</v>
      </c>
      <c r="AL40" s="0" t="s">
        <v>63</v>
      </c>
      <c r="AM40" s="0" t="s">
        <v>63</v>
      </c>
      <c r="AN40" s="0" t="s">
        <v>2321</v>
      </c>
      <c r="AO40" s="0" t="s">
        <v>50</v>
      </c>
    </row>
    <row r="41" customFormat="false" ht="15" hidden="false" customHeight="false" outlineLevel="0" collapsed="false">
      <c r="A41" s="0" t="s">
        <v>249</v>
      </c>
      <c r="B41" s="2" t="s">
        <v>248</v>
      </c>
      <c r="C41" s="0" t="s">
        <v>121</v>
      </c>
      <c r="D41" s="0" t="n">
        <v>8066648087</v>
      </c>
      <c r="E41" s="0" t="s">
        <v>85</v>
      </c>
      <c r="F41" s="0" t="s">
        <v>2319</v>
      </c>
      <c r="G41" s="0" t="s">
        <v>250</v>
      </c>
      <c r="H41" s="0" t="s">
        <v>69</v>
      </c>
      <c r="I41" s="3" t="s">
        <v>2322</v>
      </c>
      <c r="J41" s="0" t="s">
        <v>2339</v>
      </c>
      <c r="K41" s="0" t="s">
        <v>109</v>
      </c>
      <c r="L41" s="4" t="n">
        <v>82587</v>
      </c>
      <c r="M41" s="0" t="s">
        <v>110</v>
      </c>
      <c r="N41" s="0" t="s">
        <v>63</v>
      </c>
      <c r="O41" s="5" t="n">
        <v>5</v>
      </c>
      <c r="P41" s="0" t="n">
        <v>2.4</v>
      </c>
      <c r="Q41" s="0" t="s">
        <v>125</v>
      </c>
      <c r="R41" s="0" t="s">
        <v>73</v>
      </c>
      <c r="S41" s="0" t="s">
        <v>53</v>
      </c>
      <c r="T41" s="0" t="s">
        <v>75</v>
      </c>
      <c r="U41" s="5" t="n">
        <v>45</v>
      </c>
      <c r="V41" s="0" t="s">
        <v>112</v>
      </c>
      <c r="W41" s="0" t="s">
        <v>155</v>
      </c>
      <c r="X41" s="0" t="s">
        <v>98</v>
      </c>
      <c r="Y41" s="0" t="s">
        <v>196</v>
      </c>
      <c r="Z41" s="0" t="s">
        <v>2324</v>
      </c>
      <c r="AA41" s="0" t="s">
        <v>149</v>
      </c>
      <c r="AB41" s="5" t="n">
        <v>40000</v>
      </c>
      <c r="AC41" s="5" t="n">
        <v>30000</v>
      </c>
      <c r="AD41" s="0" t="s">
        <v>50</v>
      </c>
      <c r="AE41" s="5" t="n">
        <v>5000</v>
      </c>
      <c r="AF41" s="0" t="s">
        <v>130</v>
      </c>
      <c r="AG41" s="7" t="s">
        <v>2330</v>
      </c>
      <c r="AH41" s="0" t="s">
        <v>63</v>
      </c>
      <c r="AI41" s="0" t="s">
        <v>116</v>
      </c>
      <c r="AJ41" s="0" t="s">
        <v>2320</v>
      </c>
      <c r="AK41" s="0" t="s">
        <v>50</v>
      </c>
      <c r="AL41" s="0" t="s">
        <v>50</v>
      </c>
      <c r="AM41" s="0" t="s">
        <v>63</v>
      </c>
      <c r="AN41" s="0" t="s">
        <v>2318</v>
      </c>
      <c r="AO41" s="0" t="s">
        <v>50</v>
      </c>
    </row>
    <row r="42" customFormat="false" ht="15" hidden="false" customHeight="false" outlineLevel="0" collapsed="false">
      <c r="A42" s="0" t="s">
        <v>251</v>
      </c>
      <c r="B42" s="2" t="s">
        <v>2378</v>
      </c>
      <c r="C42" s="0" t="s">
        <v>121</v>
      </c>
      <c r="D42" s="0" t="n">
        <v>8056146216</v>
      </c>
      <c r="E42" s="0" t="s">
        <v>85</v>
      </c>
      <c r="F42" s="0" t="s">
        <v>2319</v>
      </c>
      <c r="G42" s="0" t="s">
        <v>252</v>
      </c>
      <c r="H42" s="0" t="s">
        <v>134</v>
      </c>
      <c r="I42" s="3" t="s">
        <v>2322</v>
      </c>
      <c r="J42" s="0" t="s">
        <v>2347</v>
      </c>
      <c r="K42" s="0" t="s">
        <v>90</v>
      </c>
      <c r="L42" s="4" t="n">
        <v>41600</v>
      </c>
      <c r="M42" s="0" t="s">
        <v>110</v>
      </c>
      <c r="N42" s="0" t="s">
        <v>50</v>
      </c>
      <c r="O42" s="5" t="n">
        <v>2</v>
      </c>
      <c r="P42" s="0" t="n">
        <v>4</v>
      </c>
      <c r="Q42" s="0" t="s">
        <v>92</v>
      </c>
      <c r="R42" s="0" t="s">
        <v>52</v>
      </c>
      <c r="S42" s="0" t="s">
        <v>2335</v>
      </c>
      <c r="T42" s="0" t="s">
        <v>54</v>
      </c>
      <c r="U42" s="5" t="n">
        <v>45</v>
      </c>
      <c r="V42" s="0" t="s">
        <v>96</v>
      </c>
      <c r="W42" s="0" t="s">
        <v>148</v>
      </c>
      <c r="X42" s="0" t="s">
        <v>98</v>
      </c>
      <c r="Y42" s="0" t="s">
        <v>196</v>
      </c>
      <c r="Z42" s="0" t="s">
        <v>177</v>
      </c>
      <c r="AA42" s="0" t="s">
        <v>143</v>
      </c>
      <c r="AB42" s="5" t="n">
        <v>40000</v>
      </c>
      <c r="AC42" s="5" t="n">
        <v>20000</v>
      </c>
      <c r="AD42" s="0" t="s">
        <v>63</v>
      </c>
      <c r="AE42" s="5" t="n">
        <v>5000</v>
      </c>
      <c r="AF42" s="0" t="s">
        <v>130</v>
      </c>
      <c r="AG42" s="7" t="s">
        <v>2362</v>
      </c>
      <c r="AH42" s="0" t="s">
        <v>63</v>
      </c>
      <c r="AI42" s="0" t="s">
        <v>2331</v>
      </c>
      <c r="AJ42" s="0" t="s">
        <v>117</v>
      </c>
      <c r="AK42" s="0" t="s">
        <v>50</v>
      </c>
      <c r="AL42" s="0" t="s">
        <v>63</v>
      </c>
      <c r="AM42" s="0" t="s">
        <v>63</v>
      </c>
      <c r="AN42" s="0" t="s">
        <v>2321</v>
      </c>
      <c r="AO42" s="0" t="s">
        <v>63</v>
      </c>
    </row>
    <row r="43" customFormat="false" ht="15" hidden="false" customHeight="false" outlineLevel="0" collapsed="false">
      <c r="A43" s="0" t="s">
        <v>253</v>
      </c>
      <c r="B43" s="2" t="s">
        <v>2379</v>
      </c>
      <c r="C43" s="0" t="s">
        <v>121</v>
      </c>
      <c r="D43" s="0" t="n">
        <v>8036227100</v>
      </c>
      <c r="E43" s="0" t="s">
        <v>85</v>
      </c>
      <c r="F43" s="0" t="s">
        <v>2319</v>
      </c>
      <c r="G43" s="0" t="s">
        <v>254</v>
      </c>
      <c r="H43" s="0" t="s">
        <v>107</v>
      </c>
      <c r="I43" s="3" t="s">
        <v>2317</v>
      </c>
      <c r="J43" s="0" t="s">
        <v>2347</v>
      </c>
      <c r="K43" s="0" t="s">
        <v>71</v>
      </c>
      <c r="L43" s="4" t="n">
        <v>105624</v>
      </c>
      <c r="M43" s="0" t="s">
        <v>110</v>
      </c>
      <c r="N43" s="0" t="s">
        <v>63</v>
      </c>
      <c r="O43" s="5" t="n">
        <v>5</v>
      </c>
      <c r="P43" s="0" t="n">
        <v>1.3</v>
      </c>
      <c r="Q43" s="0" t="s">
        <v>51</v>
      </c>
      <c r="R43" s="0" t="s">
        <v>93</v>
      </c>
      <c r="S43" s="0" t="s">
        <v>2340</v>
      </c>
      <c r="T43" s="0" t="s">
        <v>147</v>
      </c>
      <c r="U43" s="5" t="n">
        <v>30</v>
      </c>
      <c r="V43" s="0" t="s">
        <v>96</v>
      </c>
      <c r="W43" s="0" t="s">
        <v>2328</v>
      </c>
      <c r="X43" s="0" t="s">
        <v>128</v>
      </c>
      <c r="Y43" s="0" t="s">
        <v>196</v>
      </c>
      <c r="Z43" s="0" t="s">
        <v>2329</v>
      </c>
      <c r="AA43" s="0" t="s">
        <v>79</v>
      </c>
      <c r="AB43" s="5" t="n">
        <v>20000</v>
      </c>
      <c r="AC43" s="5" t="n">
        <v>30000</v>
      </c>
      <c r="AD43" s="0" t="s">
        <v>50</v>
      </c>
      <c r="AE43" s="5" t="n">
        <v>0</v>
      </c>
      <c r="AF43" s="0" t="s">
        <v>184</v>
      </c>
      <c r="AG43" s="7" t="s">
        <v>2330</v>
      </c>
      <c r="AH43" s="0" t="s">
        <v>63</v>
      </c>
      <c r="AI43" s="0" t="s">
        <v>2331</v>
      </c>
      <c r="AJ43" s="0" t="s">
        <v>2331</v>
      </c>
      <c r="AK43" s="0" t="s">
        <v>63</v>
      </c>
      <c r="AL43" s="0" t="s">
        <v>50</v>
      </c>
      <c r="AM43" s="0" t="s">
        <v>2344</v>
      </c>
      <c r="AN43" s="0" t="s">
        <v>64</v>
      </c>
      <c r="AO43" s="0" t="s">
        <v>50</v>
      </c>
    </row>
    <row r="44" customFormat="false" ht="15" hidden="false" customHeight="false" outlineLevel="0" collapsed="false">
      <c r="A44" s="0" t="s">
        <v>255</v>
      </c>
      <c r="B44" s="2" t="s">
        <v>869</v>
      </c>
      <c r="C44" s="0" t="s">
        <v>42</v>
      </c>
      <c r="D44" s="0" t="n">
        <v>8036893461</v>
      </c>
      <c r="E44" s="0" t="s">
        <v>67</v>
      </c>
      <c r="F44" s="0" t="s">
        <v>2316</v>
      </c>
      <c r="G44" s="0" t="s">
        <v>256</v>
      </c>
      <c r="H44" s="0" t="s">
        <v>45</v>
      </c>
      <c r="I44" s="3" t="s">
        <v>2342</v>
      </c>
      <c r="J44" s="0" t="s">
        <v>2349</v>
      </c>
      <c r="K44" s="0" t="s">
        <v>71</v>
      </c>
      <c r="L44" s="4" t="n">
        <v>23402</v>
      </c>
      <c r="M44" s="0" t="s">
        <v>2333</v>
      </c>
      <c r="N44" s="0" t="s">
        <v>50</v>
      </c>
      <c r="O44" s="5" t="n">
        <v>2</v>
      </c>
      <c r="P44" s="0" t="n">
        <v>5.2</v>
      </c>
      <c r="Q44" s="0" t="s">
        <v>125</v>
      </c>
      <c r="R44" s="0" t="s">
        <v>93</v>
      </c>
      <c r="S44" s="0" t="s">
        <v>53</v>
      </c>
      <c r="T44" s="0" t="s">
        <v>147</v>
      </c>
      <c r="U44" s="5" t="n">
        <v>45</v>
      </c>
      <c r="V44" s="0" t="s">
        <v>55</v>
      </c>
      <c r="W44" s="0" t="s">
        <v>2328</v>
      </c>
      <c r="X44" s="0" t="s">
        <v>98</v>
      </c>
      <c r="Y44" s="0" t="s">
        <v>114</v>
      </c>
      <c r="Z44" s="0" t="s">
        <v>2329</v>
      </c>
      <c r="AA44" s="0" t="s">
        <v>143</v>
      </c>
      <c r="AB44" s="5" t="n">
        <v>20000</v>
      </c>
      <c r="AC44" s="5" t="n">
        <v>30000</v>
      </c>
      <c r="AD44" s="0" t="s">
        <v>50</v>
      </c>
      <c r="AE44" s="5" t="n">
        <v>10000</v>
      </c>
      <c r="AF44" s="0" t="s">
        <v>184</v>
      </c>
      <c r="AG44" s="7" t="s">
        <v>2380</v>
      </c>
      <c r="AH44" s="0" t="s">
        <v>2329</v>
      </c>
      <c r="AI44" s="0" t="s">
        <v>171</v>
      </c>
      <c r="AJ44" s="0" t="s">
        <v>172</v>
      </c>
      <c r="AK44" s="0" t="s">
        <v>63</v>
      </c>
      <c r="AL44" s="0" t="s">
        <v>50</v>
      </c>
      <c r="AM44" s="0" t="s">
        <v>63</v>
      </c>
      <c r="AN44" s="0" t="s">
        <v>2318</v>
      </c>
      <c r="AO44" s="0" t="s">
        <v>63</v>
      </c>
    </row>
    <row r="45" customFormat="false" ht="15" hidden="false" customHeight="false" outlineLevel="0" collapsed="false">
      <c r="A45" s="0" t="s">
        <v>257</v>
      </c>
      <c r="B45" s="2" t="s">
        <v>1305</v>
      </c>
      <c r="C45" s="0" t="s">
        <v>105</v>
      </c>
      <c r="D45" s="0" t="n">
        <v>8095973808</v>
      </c>
      <c r="E45" s="0" t="s">
        <v>122</v>
      </c>
      <c r="F45" s="0" t="s">
        <v>2316</v>
      </c>
      <c r="G45" s="0" t="s">
        <v>258</v>
      </c>
      <c r="H45" s="0" t="s">
        <v>69</v>
      </c>
      <c r="I45" s="3" t="s">
        <v>87</v>
      </c>
      <c r="J45" s="0" t="s">
        <v>2349</v>
      </c>
      <c r="K45" s="0" t="s">
        <v>71</v>
      </c>
      <c r="L45" s="4" t="n">
        <v>61445</v>
      </c>
      <c r="M45" s="0" t="s">
        <v>110</v>
      </c>
      <c r="N45" s="0" t="s">
        <v>63</v>
      </c>
      <c r="O45" s="5" t="n">
        <v>2.99749058971142</v>
      </c>
      <c r="P45" s="0" t="n">
        <v>1.9</v>
      </c>
      <c r="Q45" s="0" t="s">
        <v>51</v>
      </c>
      <c r="R45" s="0" t="s">
        <v>52</v>
      </c>
      <c r="S45" s="0" t="s">
        <v>2340</v>
      </c>
      <c r="T45" s="0" t="s">
        <v>54</v>
      </c>
      <c r="U45" s="5" t="n">
        <v>45</v>
      </c>
      <c r="V45" s="0" t="s">
        <v>112</v>
      </c>
      <c r="W45" s="0" t="s">
        <v>2337</v>
      </c>
      <c r="X45" s="0" t="s">
        <v>128</v>
      </c>
      <c r="Y45" s="0" t="s">
        <v>196</v>
      </c>
      <c r="Z45" s="0" t="s">
        <v>2324</v>
      </c>
      <c r="AA45" s="0" t="s">
        <v>161</v>
      </c>
      <c r="AB45" s="5" t="n">
        <v>25000</v>
      </c>
      <c r="AC45" s="5" t="n">
        <v>40000</v>
      </c>
      <c r="AD45" s="0" t="s">
        <v>63</v>
      </c>
      <c r="AE45" s="5" t="n">
        <v>5000</v>
      </c>
      <c r="AF45" s="0" t="s">
        <v>60</v>
      </c>
      <c r="AG45" s="7" t="s">
        <v>2381</v>
      </c>
      <c r="AH45" s="0" t="s">
        <v>63</v>
      </c>
      <c r="AI45" s="0" t="s">
        <v>2331</v>
      </c>
      <c r="AJ45" s="0" t="s">
        <v>172</v>
      </c>
      <c r="AK45" s="0" t="s">
        <v>50</v>
      </c>
      <c r="AL45" s="0" t="s">
        <v>2344</v>
      </c>
      <c r="AM45" s="0" t="s">
        <v>63</v>
      </c>
      <c r="AN45" s="0" t="s">
        <v>2321</v>
      </c>
      <c r="AO45" s="0" t="s">
        <v>50</v>
      </c>
    </row>
    <row r="46" customFormat="false" ht="15" hidden="false" customHeight="false" outlineLevel="0" collapsed="false">
      <c r="A46" s="0" t="s">
        <v>259</v>
      </c>
      <c r="B46" s="2" t="s">
        <v>796</v>
      </c>
      <c r="C46" s="0" t="s">
        <v>42</v>
      </c>
      <c r="D46" s="0" t="n">
        <v>8037012825</v>
      </c>
      <c r="E46" s="0" t="s">
        <v>139</v>
      </c>
      <c r="F46" s="0" t="s">
        <v>2323</v>
      </c>
      <c r="G46" s="0" t="s">
        <v>260</v>
      </c>
      <c r="H46" s="0" t="s">
        <v>69</v>
      </c>
      <c r="I46" s="3" t="s">
        <v>2322</v>
      </c>
      <c r="J46" s="0" t="s">
        <v>47</v>
      </c>
      <c r="K46" s="0" t="s">
        <v>71</v>
      </c>
      <c r="L46" s="4" t="n">
        <v>16959</v>
      </c>
      <c r="M46" s="0" t="s">
        <v>110</v>
      </c>
      <c r="N46" s="0" t="s">
        <v>50</v>
      </c>
      <c r="O46" s="5" t="n">
        <v>3</v>
      </c>
      <c r="P46" s="0" t="n">
        <v>3.7</v>
      </c>
      <c r="Q46" s="0" t="s">
        <v>125</v>
      </c>
      <c r="R46" s="0" t="s">
        <v>73</v>
      </c>
      <c r="S46" s="0" t="s">
        <v>2340</v>
      </c>
      <c r="T46" s="0" t="s">
        <v>95</v>
      </c>
      <c r="U46" s="5" t="n">
        <v>30</v>
      </c>
      <c r="V46" s="0" t="s">
        <v>2352</v>
      </c>
      <c r="W46" s="0" t="s">
        <v>148</v>
      </c>
      <c r="X46" s="0" t="s">
        <v>78</v>
      </c>
      <c r="Y46" s="0" t="s">
        <v>196</v>
      </c>
      <c r="Z46" s="0" t="s">
        <v>177</v>
      </c>
      <c r="AA46" s="0" t="s">
        <v>79</v>
      </c>
      <c r="AB46" s="5" t="n">
        <v>15000</v>
      </c>
      <c r="AC46" s="5" t="n">
        <v>20000</v>
      </c>
      <c r="AD46" s="0" t="s">
        <v>50</v>
      </c>
      <c r="AE46" s="5" t="n">
        <v>5000</v>
      </c>
      <c r="AF46" s="0" t="s">
        <v>130</v>
      </c>
      <c r="AG46" s="7" t="s">
        <v>2330</v>
      </c>
      <c r="AH46" s="0" t="s">
        <v>63</v>
      </c>
      <c r="AI46" s="0" t="s">
        <v>2331</v>
      </c>
      <c r="AJ46" s="0" t="s">
        <v>117</v>
      </c>
      <c r="AK46" s="0" t="s">
        <v>63</v>
      </c>
      <c r="AL46" s="0" t="s">
        <v>2344</v>
      </c>
      <c r="AM46" s="0" t="s">
        <v>2344</v>
      </c>
      <c r="AN46" s="0" t="s">
        <v>2321</v>
      </c>
      <c r="AO46" s="0" t="s">
        <v>50</v>
      </c>
    </row>
    <row r="47" customFormat="false" ht="15" hidden="false" customHeight="false" outlineLevel="0" collapsed="false">
      <c r="A47" s="0" t="s">
        <v>261</v>
      </c>
      <c r="B47" s="2" t="s">
        <v>1116</v>
      </c>
      <c r="C47" s="0" t="s">
        <v>66</v>
      </c>
      <c r="D47" s="0" t="n">
        <v>8019180999</v>
      </c>
      <c r="E47" s="0" t="s">
        <v>122</v>
      </c>
      <c r="F47" s="0" t="s">
        <v>2316</v>
      </c>
      <c r="G47" s="0" t="s">
        <v>262</v>
      </c>
      <c r="H47" s="0" t="s">
        <v>107</v>
      </c>
      <c r="I47" s="3" t="s">
        <v>2322</v>
      </c>
      <c r="J47" s="0" t="s">
        <v>2349</v>
      </c>
      <c r="K47" s="0" t="s">
        <v>109</v>
      </c>
      <c r="L47" s="4" t="n">
        <v>82007</v>
      </c>
      <c r="M47" s="0" t="s">
        <v>2333</v>
      </c>
      <c r="N47" s="0" t="s">
        <v>50</v>
      </c>
      <c r="O47" s="5" t="n">
        <v>3</v>
      </c>
      <c r="P47" s="0" t="n">
        <v>2.3</v>
      </c>
      <c r="Q47" s="0" t="s">
        <v>2334</v>
      </c>
      <c r="R47" s="0" t="s">
        <v>73</v>
      </c>
      <c r="S47" s="0" t="s">
        <v>53</v>
      </c>
      <c r="T47" s="0" t="s">
        <v>95</v>
      </c>
      <c r="U47" s="5" t="n">
        <v>15</v>
      </c>
      <c r="V47" s="0" t="s">
        <v>96</v>
      </c>
      <c r="W47" s="0" t="s">
        <v>2328</v>
      </c>
      <c r="X47" s="0" t="s">
        <v>128</v>
      </c>
      <c r="Y47" s="0" t="s">
        <v>114</v>
      </c>
      <c r="Z47" s="0" t="s">
        <v>2329</v>
      </c>
      <c r="AA47" s="0" t="s">
        <v>161</v>
      </c>
      <c r="AB47" s="5" t="n">
        <v>25000</v>
      </c>
      <c r="AC47" s="5" t="n">
        <v>40000</v>
      </c>
      <c r="AD47" s="0" t="s">
        <v>50</v>
      </c>
      <c r="AE47" s="5" t="n">
        <v>0</v>
      </c>
      <c r="AF47" s="0" t="s">
        <v>2338</v>
      </c>
      <c r="AG47" s="7" t="s">
        <v>2382</v>
      </c>
      <c r="AH47" s="0" t="s">
        <v>63</v>
      </c>
      <c r="AI47" s="0" t="s">
        <v>2331</v>
      </c>
      <c r="AJ47" s="0" t="s">
        <v>172</v>
      </c>
      <c r="AK47" s="0" t="s">
        <v>2344</v>
      </c>
      <c r="AL47" s="0" t="s">
        <v>63</v>
      </c>
      <c r="AM47" s="0" t="s">
        <v>2344</v>
      </c>
      <c r="AN47" s="0" t="s">
        <v>2321</v>
      </c>
      <c r="AO47" s="0" t="s">
        <v>2359</v>
      </c>
    </row>
    <row r="48" customFormat="false" ht="15" hidden="false" customHeight="false" outlineLevel="0" collapsed="false">
      <c r="A48" s="0" t="s">
        <v>263</v>
      </c>
      <c r="B48" s="2" t="s">
        <v>2383</v>
      </c>
      <c r="C48" s="0" t="s">
        <v>42</v>
      </c>
      <c r="D48" s="0" t="n">
        <v>8055842323</v>
      </c>
      <c r="E48" s="0" t="s">
        <v>85</v>
      </c>
      <c r="F48" s="0" t="s">
        <v>2319</v>
      </c>
      <c r="G48" s="0" t="s">
        <v>264</v>
      </c>
      <c r="H48" s="0" t="s">
        <v>69</v>
      </c>
      <c r="I48" s="3" t="s">
        <v>2322</v>
      </c>
      <c r="J48" s="0" t="s">
        <v>2339</v>
      </c>
      <c r="K48" s="0" t="s">
        <v>109</v>
      </c>
      <c r="L48" s="4" t="n">
        <v>33809</v>
      </c>
      <c r="M48" s="0" t="s">
        <v>110</v>
      </c>
      <c r="N48" s="0" t="s">
        <v>50</v>
      </c>
      <c r="O48" s="5" t="n">
        <v>5</v>
      </c>
      <c r="P48" s="0" t="n">
        <v>3.6</v>
      </c>
      <c r="Q48" s="0" t="s">
        <v>92</v>
      </c>
      <c r="R48" s="0" t="s">
        <v>52</v>
      </c>
      <c r="S48" s="0" t="s">
        <v>53</v>
      </c>
      <c r="T48" s="0" t="s">
        <v>75</v>
      </c>
      <c r="U48" s="5" t="n">
        <v>39.9280575539568</v>
      </c>
      <c r="V48" s="0" t="s">
        <v>2352</v>
      </c>
      <c r="W48" s="0" t="s">
        <v>2328</v>
      </c>
      <c r="X48" s="0" t="s">
        <v>98</v>
      </c>
      <c r="Y48" s="0" t="s">
        <v>58</v>
      </c>
      <c r="Z48" s="0" t="s">
        <v>59</v>
      </c>
      <c r="AA48" s="0" t="s">
        <v>2329</v>
      </c>
      <c r="AB48" s="5" t="n">
        <v>40000</v>
      </c>
      <c r="AC48" s="5" t="n">
        <v>20000</v>
      </c>
      <c r="AD48" s="0" t="s">
        <v>50</v>
      </c>
      <c r="AE48" s="5" t="n">
        <v>0</v>
      </c>
      <c r="AF48" s="0" t="s">
        <v>2338</v>
      </c>
      <c r="AG48" s="7" t="s">
        <v>2330</v>
      </c>
      <c r="AH48" s="0" t="s">
        <v>50</v>
      </c>
      <c r="AI48" s="0" t="s">
        <v>2331</v>
      </c>
      <c r="AJ48" s="0" t="s">
        <v>117</v>
      </c>
      <c r="AK48" s="0" t="s">
        <v>50</v>
      </c>
      <c r="AL48" s="0" t="s">
        <v>63</v>
      </c>
      <c r="AM48" s="0" t="s">
        <v>63</v>
      </c>
      <c r="AN48" s="0" t="s">
        <v>64</v>
      </c>
      <c r="AO48" s="0" t="s">
        <v>50</v>
      </c>
    </row>
    <row r="49" customFormat="false" ht="15" hidden="false" customHeight="false" outlineLevel="0" collapsed="false">
      <c r="A49" s="0" t="s">
        <v>265</v>
      </c>
      <c r="B49" s="2" t="s">
        <v>2384</v>
      </c>
      <c r="C49" s="0" t="s">
        <v>105</v>
      </c>
      <c r="D49" s="0" t="n">
        <v>8035414874</v>
      </c>
      <c r="E49" s="0" t="s">
        <v>139</v>
      </c>
      <c r="F49" s="0" t="s">
        <v>2323</v>
      </c>
      <c r="G49" s="0" t="s">
        <v>266</v>
      </c>
      <c r="H49" s="0" t="s">
        <v>69</v>
      </c>
      <c r="I49" s="3" t="s">
        <v>2325</v>
      </c>
      <c r="J49" s="0" t="s">
        <v>2341</v>
      </c>
      <c r="K49" s="0" t="s">
        <v>71</v>
      </c>
      <c r="L49" s="4" t="n">
        <v>104147</v>
      </c>
      <c r="M49" s="0" t="s">
        <v>49</v>
      </c>
      <c r="N49" s="0" t="s">
        <v>63</v>
      </c>
      <c r="O49" s="5" t="n">
        <v>4</v>
      </c>
      <c r="P49" s="0" t="n">
        <v>4.9</v>
      </c>
      <c r="Q49" s="0" t="s">
        <v>111</v>
      </c>
      <c r="R49" s="0" t="s">
        <v>93</v>
      </c>
      <c r="S49" s="0" t="s">
        <v>2366</v>
      </c>
      <c r="T49" s="0" t="s">
        <v>95</v>
      </c>
      <c r="U49" s="5" t="n">
        <v>15</v>
      </c>
      <c r="V49" s="0" t="s">
        <v>2336</v>
      </c>
      <c r="W49" s="0" t="s">
        <v>155</v>
      </c>
      <c r="X49" s="0" t="s">
        <v>128</v>
      </c>
      <c r="Y49" s="0" t="s">
        <v>196</v>
      </c>
      <c r="Z49" s="0" t="s">
        <v>2329</v>
      </c>
      <c r="AA49" s="0" t="s">
        <v>2329</v>
      </c>
      <c r="AB49" s="5" t="n">
        <v>27321.4285714286</v>
      </c>
      <c r="AC49" s="5" t="n">
        <v>30000</v>
      </c>
      <c r="AD49" s="0" t="s">
        <v>63</v>
      </c>
      <c r="AE49" s="5" t="n">
        <v>0</v>
      </c>
      <c r="AF49" s="0" t="s">
        <v>60</v>
      </c>
      <c r="AG49" s="7" t="s">
        <v>2385</v>
      </c>
      <c r="AH49" s="0" t="s">
        <v>50</v>
      </c>
      <c r="AI49" s="0" t="s">
        <v>2331</v>
      </c>
      <c r="AJ49" s="0" t="s">
        <v>2331</v>
      </c>
      <c r="AK49" s="0" t="s">
        <v>2344</v>
      </c>
      <c r="AL49" s="0" t="s">
        <v>63</v>
      </c>
      <c r="AM49" s="0" t="s">
        <v>2344</v>
      </c>
      <c r="AN49" s="0" t="s">
        <v>2321</v>
      </c>
      <c r="AO49" s="0" t="s">
        <v>50</v>
      </c>
    </row>
    <row r="50" customFormat="false" ht="15" hidden="false" customHeight="false" outlineLevel="0" collapsed="false">
      <c r="A50" s="0" t="s">
        <v>268</v>
      </c>
      <c r="B50" s="2" t="s">
        <v>267</v>
      </c>
      <c r="C50" s="0" t="s">
        <v>66</v>
      </c>
      <c r="D50" s="0" t="n">
        <v>8099638670</v>
      </c>
      <c r="E50" s="0" t="s">
        <v>43</v>
      </c>
      <c r="F50" s="0" t="s">
        <v>2315</v>
      </c>
      <c r="G50" s="0" t="s">
        <v>269</v>
      </c>
      <c r="H50" s="0" t="s">
        <v>107</v>
      </c>
      <c r="I50" s="3" t="s">
        <v>2342</v>
      </c>
      <c r="J50" s="0" t="s">
        <v>2339</v>
      </c>
      <c r="K50" s="0" t="s">
        <v>71</v>
      </c>
      <c r="L50" s="4" t="n">
        <v>67610</v>
      </c>
      <c r="M50" s="0" t="s">
        <v>110</v>
      </c>
      <c r="N50" s="0" t="s">
        <v>50</v>
      </c>
      <c r="O50" s="5" t="n">
        <v>3</v>
      </c>
      <c r="P50" s="0" t="n">
        <v>1</v>
      </c>
      <c r="Q50" s="0" t="s">
        <v>92</v>
      </c>
      <c r="R50" s="0" t="s">
        <v>73</v>
      </c>
      <c r="S50" s="0" t="s">
        <v>2366</v>
      </c>
      <c r="T50" s="0" t="s">
        <v>75</v>
      </c>
      <c r="U50" s="5" t="n">
        <v>15</v>
      </c>
      <c r="V50" s="0" t="s">
        <v>96</v>
      </c>
      <c r="W50" s="0" t="s">
        <v>2337</v>
      </c>
      <c r="X50" s="0" t="s">
        <v>98</v>
      </c>
      <c r="Y50" s="0" t="s">
        <v>58</v>
      </c>
      <c r="Z50" s="0" t="s">
        <v>2329</v>
      </c>
      <c r="AA50" s="0" t="s">
        <v>149</v>
      </c>
      <c r="AB50" s="5" t="n">
        <v>25000</v>
      </c>
      <c r="AC50" s="5" t="n">
        <v>35000</v>
      </c>
      <c r="AD50" s="0" t="s">
        <v>50</v>
      </c>
      <c r="AE50" s="5" t="n">
        <v>0</v>
      </c>
      <c r="AF50" s="0" t="s">
        <v>60</v>
      </c>
      <c r="AG50" s="7" t="s">
        <v>2330</v>
      </c>
      <c r="AH50" s="0" t="s">
        <v>63</v>
      </c>
      <c r="AI50" s="0" t="s">
        <v>171</v>
      </c>
      <c r="AJ50" s="0" t="s">
        <v>2331</v>
      </c>
      <c r="AK50" s="0" t="s">
        <v>50</v>
      </c>
      <c r="AL50" s="0" t="s">
        <v>50</v>
      </c>
      <c r="AM50" s="0" t="s">
        <v>2344</v>
      </c>
      <c r="AN50" s="0" t="s">
        <v>2321</v>
      </c>
      <c r="AO50" s="0" t="s">
        <v>50</v>
      </c>
    </row>
    <row r="51" customFormat="false" ht="15" hidden="false" customHeight="false" outlineLevel="0" collapsed="false">
      <c r="A51" s="0" t="s">
        <v>270</v>
      </c>
      <c r="B51" s="2" t="s">
        <v>2386</v>
      </c>
      <c r="C51" s="0" t="s">
        <v>105</v>
      </c>
      <c r="D51" s="0" t="n">
        <v>8073850736</v>
      </c>
      <c r="E51" s="0" t="s">
        <v>67</v>
      </c>
      <c r="F51" s="0" t="s">
        <v>2316</v>
      </c>
      <c r="G51" s="0" t="s">
        <v>271</v>
      </c>
      <c r="H51" s="0" t="s">
        <v>107</v>
      </c>
      <c r="I51" s="3" t="s">
        <v>2317</v>
      </c>
      <c r="J51" s="0" t="s">
        <v>2349</v>
      </c>
      <c r="K51" s="0" t="s">
        <v>90</v>
      </c>
      <c r="L51" s="4" t="n">
        <v>25850</v>
      </c>
      <c r="M51" s="0" t="s">
        <v>2333</v>
      </c>
      <c r="N51" s="0" t="s">
        <v>50</v>
      </c>
      <c r="O51" s="5" t="n">
        <v>2</v>
      </c>
      <c r="P51" s="0" t="n">
        <v>5.4</v>
      </c>
      <c r="Q51" s="0" t="s">
        <v>92</v>
      </c>
      <c r="R51" s="0" t="s">
        <v>93</v>
      </c>
      <c r="S51" s="0" t="s">
        <v>2366</v>
      </c>
      <c r="T51" s="0" t="s">
        <v>147</v>
      </c>
      <c r="U51" s="5" t="n">
        <v>30</v>
      </c>
      <c r="V51" s="0" t="s">
        <v>55</v>
      </c>
      <c r="W51" s="0" t="s">
        <v>148</v>
      </c>
      <c r="X51" s="0" t="s">
        <v>78</v>
      </c>
      <c r="Y51" s="0" t="s">
        <v>196</v>
      </c>
      <c r="Z51" s="0" t="s">
        <v>177</v>
      </c>
      <c r="AA51" s="0" t="s">
        <v>143</v>
      </c>
      <c r="AB51" s="5" t="n">
        <v>40000</v>
      </c>
      <c r="AC51" s="5" t="n">
        <v>20000</v>
      </c>
      <c r="AD51" s="0" t="s">
        <v>50</v>
      </c>
      <c r="AE51" s="5" t="n">
        <v>0</v>
      </c>
      <c r="AF51" s="0" t="s">
        <v>2338</v>
      </c>
      <c r="AG51" s="7" t="s">
        <v>2330</v>
      </c>
      <c r="AH51" s="0" t="s">
        <v>63</v>
      </c>
      <c r="AI51" s="0" t="s">
        <v>2331</v>
      </c>
      <c r="AJ51" s="0" t="s">
        <v>172</v>
      </c>
      <c r="AK51" s="0" t="s">
        <v>50</v>
      </c>
      <c r="AL51" s="0" t="s">
        <v>50</v>
      </c>
      <c r="AM51" s="0" t="s">
        <v>50</v>
      </c>
      <c r="AN51" s="0" t="s">
        <v>64</v>
      </c>
      <c r="AO51" s="0" t="s">
        <v>63</v>
      </c>
    </row>
    <row r="52" customFormat="false" ht="15" hidden="false" customHeight="false" outlineLevel="0" collapsed="false">
      <c r="A52" s="0" t="s">
        <v>273</v>
      </c>
      <c r="B52" s="2" t="s">
        <v>222</v>
      </c>
      <c r="C52" s="0" t="s">
        <v>105</v>
      </c>
      <c r="D52" s="0" t="n">
        <v>8072733686</v>
      </c>
      <c r="E52" s="0" t="s">
        <v>43</v>
      </c>
      <c r="F52" s="0" t="s">
        <v>2315</v>
      </c>
      <c r="G52" s="0" t="s">
        <v>274</v>
      </c>
      <c r="H52" s="0" t="s">
        <v>45</v>
      </c>
      <c r="I52" s="3" t="s">
        <v>87</v>
      </c>
      <c r="J52" s="0" t="s">
        <v>189</v>
      </c>
      <c r="K52" s="0" t="s">
        <v>71</v>
      </c>
      <c r="L52" s="4" t="n">
        <v>94596</v>
      </c>
      <c r="M52" s="0" t="s">
        <v>49</v>
      </c>
      <c r="N52" s="0" t="s">
        <v>63</v>
      </c>
      <c r="O52" s="5" t="n">
        <v>5</v>
      </c>
      <c r="P52" s="0" t="n">
        <v>3.9</v>
      </c>
      <c r="Q52" s="0" t="s">
        <v>2334</v>
      </c>
      <c r="R52" s="0" t="s">
        <v>73</v>
      </c>
      <c r="S52" s="0" t="s">
        <v>2340</v>
      </c>
      <c r="T52" s="0" t="s">
        <v>54</v>
      </c>
      <c r="U52" s="5" t="n">
        <v>30</v>
      </c>
      <c r="V52" s="0" t="s">
        <v>112</v>
      </c>
      <c r="W52" s="0" t="s">
        <v>148</v>
      </c>
      <c r="X52" s="0" t="s">
        <v>78</v>
      </c>
      <c r="Y52" s="0" t="s">
        <v>196</v>
      </c>
      <c r="Z52" s="0" t="s">
        <v>2329</v>
      </c>
      <c r="AA52" s="0" t="s">
        <v>79</v>
      </c>
      <c r="AB52" s="5" t="n">
        <v>25614.0350877193</v>
      </c>
      <c r="AC52" s="5" t="n">
        <v>35000</v>
      </c>
      <c r="AD52" s="0" t="s">
        <v>63</v>
      </c>
      <c r="AE52" s="5" t="n">
        <v>5000</v>
      </c>
      <c r="AF52" s="0" t="s">
        <v>130</v>
      </c>
      <c r="AG52" s="7" t="s">
        <v>2330</v>
      </c>
      <c r="AH52" s="0" t="s">
        <v>50</v>
      </c>
      <c r="AI52" s="0" t="s">
        <v>116</v>
      </c>
      <c r="AJ52" s="0" t="s">
        <v>2331</v>
      </c>
      <c r="AK52" s="0" t="s">
        <v>63</v>
      </c>
      <c r="AL52" s="0" t="s">
        <v>63</v>
      </c>
      <c r="AM52" s="0" t="s">
        <v>50</v>
      </c>
      <c r="AN52" s="0" t="s">
        <v>2321</v>
      </c>
      <c r="AO52" s="0" t="s">
        <v>2359</v>
      </c>
    </row>
    <row r="53" customFormat="false" ht="15" hidden="false" customHeight="false" outlineLevel="0" collapsed="false">
      <c r="A53" s="0" t="s">
        <v>275</v>
      </c>
      <c r="B53" s="2" t="s">
        <v>2387</v>
      </c>
      <c r="C53" s="0" t="s">
        <v>163</v>
      </c>
      <c r="D53" s="0" t="n">
        <v>8090498733</v>
      </c>
      <c r="E53" s="0" t="s">
        <v>67</v>
      </c>
      <c r="F53" s="0" t="s">
        <v>2316</v>
      </c>
      <c r="G53" s="0" t="s">
        <v>276</v>
      </c>
      <c r="H53" s="0" t="s">
        <v>107</v>
      </c>
      <c r="I53" s="3" t="s">
        <v>2325</v>
      </c>
      <c r="J53" s="0" t="s">
        <v>2341</v>
      </c>
      <c r="K53" s="0" t="s">
        <v>48</v>
      </c>
      <c r="L53" s="4" t="n">
        <v>71442</v>
      </c>
      <c r="M53" s="0" t="s">
        <v>49</v>
      </c>
      <c r="N53" s="0" t="s">
        <v>63</v>
      </c>
      <c r="O53" s="5" t="n">
        <v>3</v>
      </c>
      <c r="P53" s="0" t="n">
        <v>1.9</v>
      </c>
      <c r="Q53" s="0" t="s">
        <v>51</v>
      </c>
      <c r="R53" s="0" t="s">
        <v>52</v>
      </c>
      <c r="S53" s="0" t="s">
        <v>2335</v>
      </c>
      <c r="T53" s="0" t="s">
        <v>95</v>
      </c>
      <c r="U53" s="5" t="n">
        <v>15</v>
      </c>
      <c r="V53" s="0" t="s">
        <v>55</v>
      </c>
      <c r="W53" s="0" t="s">
        <v>2328</v>
      </c>
      <c r="X53" s="0" t="s">
        <v>128</v>
      </c>
      <c r="Y53" s="0" t="s">
        <v>58</v>
      </c>
      <c r="Z53" s="0" t="s">
        <v>177</v>
      </c>
      <c r="AA53" s="0" t="s">
        <v>143</v>
      </c>
      <c r="AB53" s="5" t="n">
        <v>30000</v>
      </c>
      <c r="AC53" s="5" t="n">
        <v>30000</v>
      </c>
      <c r="AD53" s="0" t="s">
        <v>63</v>
      </c>
      <c r="AE53" s="5" t="n">
        <v>5000</v>
      </c>
      <c r="AF53" s="0" t="s">
        <v>60</v>
      </c>
      <c r="AG53" s="7" t="s">
        <v>2330</v>
      </c>
      <c r="AH53" s="0" t="s">
        <v>50</v>
      </c>
      <c r="AI53" s="0" t="s">
        <v>2331</v>
      </c>
      <c r="AJ53" s="0" t="s">
        <v>2331</v>
      </c>
      <c r="AK53" s="0" t="s">
        <v>63</v>
      </c>
      <c r="AL53" s="0" t="s">
        <v>50</v>
      </c>
      <c r="AM53" s="0" t="s">
        <v>2344</v>
      </c>
      <c r="AN53" s="0" t="s">
        <v>64</v>
      </c>
      <c r="AO53" s="0" t="s">
        <v>50</v>
      </c>
    </row>
    <row r="54" customFormat="false" ht="15" hidden="false" customHeight="false" outlineLevel="0" collapsed="false">
      <c r="A54" s="0" t="s">
        <v>277</v>
      </c>
      <c r="B54" s="2" t="s">
        <v>869</v>
      </c>
      <c r="C54" s="0" t="s">
        <v>66</v>
      </c>
      <c r="D54" s="0" t="n">
        <v>8054445587</v>
      </c>
      <c r="E54" s="0" t="s">
        <v>139</v>
      </c>
      <c r="F54" s="0" t="s">
        <v>2323</v>
      </c>
      <c r="G54" s="0" t="s">
        <v>278</v>
      </c>
      <c r="H54" s="0" t="s">
        <v>87</v>
      </c>
      <c r="I54" s="3" t="s">
        <v>2342</v>
      </c>
      <c r="J54" s="0" t="s">
        <v>47</v>
      </c>
      <c r="K54" s="0" t="s">
        <v>90</v>
      </c>
      <c r="L54" s="4" t="n">
        <v>33009</v>
      </c>
      <c r="M54" s="0" t="s">
        <v>2333</v>
      </c>
      <c r="N54" s="0" t="s">
        <v>50</v>
      </c>
      <c r="O54" s="5" t="n">
        <v>4</v>
      </c>
      <c r="P54" s="0" t="n">
        <v>4.3</v>
      </c>
      <c r="Q54" s="0" t="s">
        <v>51</v>
      </c>
      <c r="R54" s="0" t="s">
        <v>93</v>
      </c>
      <c r="S54" s="0" t="s">
        <v>2340</v>
      </c>
      <c r="T54" s="0" t="s">
        <v>54</v>
      </c>
      <c r="U54" s="5" t="n">
        <v>30</v>
      </c>
      <c r="V54" s="0" t="s">
        <v>96</v>
      </c>
      <c r="W54" s="0" t="s">
        <v>155</v>
      </c>
      <c r="X54" s="0" t="s">
        <v>128</v>
      </c>
      <c r="Y54" s="0" t="s">
        <v>114</v>
      </c>
      <c r="Z54" s="0" t="s">
        <v>2329</v>
      </c>
      <c r="AA54" s="0" t="s">
        <v>161</v>
      </c>
      <c r="AB54" s="5" t="n">
        <v>30000</v>
      </c>
      <c r="AC54" s="5" t="n">
        <v>30000</v>
      </c>
      <c r="AD54" s="0" t="s">
        <v>50</v>
      </c>
      <c r="AE54" s="5" t="n">
        <v>10000</v>
      </c>
      <c r="AF54" s="0" t="s">
        <v>2338</v>
      </c>
      <c r="AG54" s="7" t="s">
        <v>2330</v>
      </c>
      <c r="AH54" s="0" t="s">
        <v>50</v>
      </c>
      <c r="AI54" s="0" t="s">
        <v>2331</v>
      </c>
      <c r="AJ54" s="0" t="s">
        <v>172</v>
      </c>
      <c r="AK54" s="0" t="s">
        <v>63</v>
      </c>
      <c r="AL54" s="0" t="s">
        <v>2344</v>
      </c>
      <c r="AM54" s="0" t="s">
        <v>63</v>
      </c>
      <c r="AN54" s="0" t="s">
        <v>2321</v>
      </c>
      <c r="AO54" s="0" t="s">
        <v>50</v>
      </c>
    </row>
    <row r="55" customFormat="false" ht="15" hidden="false" customHeight="false" outlineLevel="0" collapsed="false">
      <c r="A55" s="0" t="s">
        <v>279</v>
      </c>
      <c r="B55" s="2" t="s">
        <v>2388</v>
      </c>
      <c r="C55" s="0" t="s">
        <v>163</v>
      </c>
      <c r="D55" s="0" t="n">
        <v>8087632976</v>
      </c>
      <c r="E55" s="0" t="s">
        <v>139</v>
      </c>
      <c r="F55" s="0" t="s">
        <v>2323</v>
      </c>
      <c r="G55" s="0" t="s">
        <v>280</v>
      </c>
      <c r="H55" s="0" t="s">
        <v>45</v>
      </c>
      <c r="I55" s="3" t="s">
        <v>2322</v>
      </c>
      <c r="J55" s="0" t="s">
        <v>2347</v>
      </c>
      <c r="K55" s="0" t="s">
        <v>71</v>
      </c>
      <c r="L55" s="4" t="n">
        <v>18299</v>
      </c>
      <c r="M55" s="0" t="s">
        <v>49</v>
      </c>
      <c r="N55" s="0" t="s">
        <v>50</v>
      </c>
      <c r="O55" s="5" t="n">
        <v>3</v>
      </c>
      <c r="P55" s="0" t="n">
        <v>1.2</v>
      </c>
      <c r="Q55" s="0" t="s">
        <v>125</v>
      </c>
      <c r="R55" s="0" t="s">
        <v>73</v>
      </c>
      <c r="S55" s="0" t="s">
        <v>53</v>
      </c>
      <c r="T55" s="0" t="s">
        <v>54</v>
      </c>
      <c r="U55" s="5" t="n">
        <v>60</v>
      </c>
      <c r="V55" s="0" t="s">
        <v>2352</v>
      </c>
      <c r="W55" s="0" t="s">
        <v>155</v>
      </c>
      <c r="X55" s="0" t="s">
        <v>98</v>
      </c>
      <c r="Y55" s="0" t="s">
        <v>196</v>
      </c>
      <c r="Z55" s="0" t="s">
        <v>2326</v>
      </c>
      <c r="AA55" s="0" t="s">
        <v>2329</v>
      </c>
      <c r="AB55" s="5" t="n">
        <v>20000</v>
      </c>
      <c r="AC55" s="5" t="n">
        <v>30000</v>
      </c>
      <c r="AD55" s="0" t="s">
        <v>50</v>
      </c>
      <c r="AE55" s="5" t="n">
        <v>5000</v>
      </c>
      <c r="AF55" s="0" t="s">
        <v>60</v>
      </c>
      <c r="AG55" s="7" t="s">
        <v>2358</v>
      </c>
      <c r="AH55" s="0" t="s">
        <v>63</v>
      </c>
      <c r="AI55" s="0" t="s">
        <v>116</v>
      </c>
      <c r="AJ55" s="0" t="s">
        <v>2331</v>
      </c>
      <c r="AK55" s="0" t="s">
        <v>50</v>
      </c>
      <c r="AL55" s="0" t="s">
        <v>63</v>
      </c>
      <c r="AM55" s="0" t="s">
        <v>63</v>
      </c>
      <c r="AN55" s="0" t="s">
        <v>2321</v>
      </c>
      <c r="AO55" s="0" t="s">
        <v>63</v>
      </c>
    </row>
    <row r="56" customFormat="false" ht="15" hidden="false" customHeight="false" outlineLevel="0" collapsed="false">
      <c r="A56" s="0" t="s">
        <v>281</v>
      </c>
      <c r="B56" s="2" t="s">
        <v>1890</v>
      </c>
      <c r="C56" s="0" t="s">
        <v>163</v>
      </c>
      <c r="D56" s="0" t="n">
        <v>8085980240</v>
      </c>
      <c r="E56" s="0" t="s">
        <v>67</v>
      </c>
      <c r="F56" s="0" t="s">
        <v>2316</v>
      </c>
      <c r="G56" s="0" t="s">
        <v>282</v>
      </c>
      <c r="H56" s="0" t="s">
        <v>107</v>
      </c>
      <c r="I56" s="3" t="s">
        <v>2342</v>
      </c>
      <c r="J56" s="0" t="s">
        <v>47</v>
      </c>
      <c r="K56" s="0" t="s">
        <v>71</v>
      </c>
      <c r="L56" s="4" t="n">
        <v>69921</v>
      </c>
      <c r="M56" s="0" t="s">
        <v>2333</v>
      </c>
      <c r="N56" s="0" t="s">
        <v>63</v>
      </c>
      <c r="O56" s="5" t="n">
        <v>1</v>
      </c>
      <c r="P56" s="0" t="n">
        <v>3.4</v>
      </c>
      <c r="Q56" s="0" t="s">
        <v>111</v>
      </c>
      <c r="R56" s="0" t="s">
        <v>52</v>
      </c>
      <c r="S56" s="0" t="s">
        <v>2340</v>
      </c>
      <c r="T56" s="0" t="s">
        <v>147</v>
      </c>
      <c r="U56" s="5" t="n">
        <v>37.5</v>
      </c>
      <c r="V56" s="0" t="s">
        <v>2336</v>
      </c>
      <c r="W56" s="0" t="s">
        <v>155</v>
      </c>
      <c r="X56" s="0" t="s">
        <v>128</v>
      </c>
      <c r="Y56" s="0" t="s">
        <v>114</v>
      </c>
      <c r="Z56" s="0" t="s">
        <v>177</v>
      </c>
      <c r="AA56" s="0" t="s">
        <v>161</v>
      </c>
      <c r="AB56" s="5" t="n">
        <v>30000</v>
      </c>
      <c r="AC56" s="5" t="n">
        <v>31479.5918367347</v>
      </c>
      <c r="AD56" s="0" t="s">
        <v>63</v>
      </c>
      <c r="AE56" s="5" t="n">
        <v>10000</v>
      </c>
      <c r="AF56" s="0" t="s">
        <v>184</v>
      </c>
      <c r="AG56" s="7" t="s">
        <v>2389</v>
      </c>
      <c r="AH56" s="0" t="s">
        <v>63</v>
      </c>
      <c r="AI56" s="0" t="s">
        <v>171</v>
      </c>
      <c r="AJ56" s="0" t="s">
        <v>117</v>
      </c>
      <c r="AK56" s="0" t="s">
        <v>2344</v>
      </c>
      <c r="AL56" s="0" t="s">
        <v>2344</v>
      </c>
      <c r="AM56" s="0" t="s">
        <v>63</v>
      </c>
      <c r="AN56" s="0" t="s">
        <v>2318</v>
      </c>
      <c r="AO56" s="0" t="s">
        <v>63</v>
      </c>
    </row>
    <row r="57" customFormat="false" ht="15" hidden="false" customHeight="false" outlineLevel="0" collapsed="false">
      <c r="A57" s="0" t="s">
        <v>283</v>
      </c>
      <c r="B57" s="2" t="s">
        <v>2390</v>
      </c>
      <c r="C57" s="0" t="s">
        <v>105</v>
      </c>
      <c r="D57" s="0" t="n">
        <v>8055051587</v>
      </c>
      <c r="E57" s="0" t="s">
        <v>85</v>
      </c>
      <c r="F57" s="0" t="s">
        <v>2319</v>
      </c>
      <c r="G57" s="0" t="s">
        <v>284</v>
      </c>
      <c r="H57" s="0" t="s">
        <v>134</v>
      </c>
      <c r="I57" s="3" t="s">
        <v>2322</v>
      </c>
      <c r="J57" s="0" t="s">
        <v>189</v>
      </c>
      <c r="K57" s="0" t="s">
        <v>109</v>
      </c>
      <c r="L57" s="4" t="n">
        <v>100109</v>
      </c>
      <c r="M57" s="0" t="s">
        <v>49</v>
      </c>
      <c r="N57" s="0" t="s">
        <v>50</v>
      </c>
      <c r="O57" s="5" t="n">
        <v>5</v>
      </c>
      <c r="P57" s="0" t="n">
        <v>4.3</v>
      </c>
      <c r="Q57" s="0" t="s">
        <v>51</v>
      </c>
      <c r="R57" s="0" t="s">
        <v>93</v>
      </c>
      <c r="S57" s="0" t="s">
        <v>53</v>
      </c>
      <c r="T57" s="0" t="s">
        <v>95</v>
      </c>
      <c r="U57" s="5" t="n">
        <v>45</v>
      </c>
      <c r="V57" s="0" t="s">
        <v>2336</v>
      </c>
      <c r="W57" s="0" t="s">
        <v>2337</v>
      </c>
      <c r="X57" s="0" t="s">
        <v>78</v>
      </c>
      <c r="Y57" s="0" t="s">
        <v>196</v>
      </c>
      <c r="Z57" s="0" t="s">
        <v>177</v>
      </c>
      <c r="AA57" s="0" t="s">
        <v>143</v>
      </c>
      <c r="AB57" s="5" t="n">
        <v>25000</v>
      </c>
      <c r="AC57" s="5" t="n">
        <v>31479.5918367347</v>
      </c>
      <c r="AD57" s="0" t="s">
        <v>63</v>
      </c>
      <c r="AE57" s="5" t="n">
        <v>10000</v>
      </c>
      <c r="AF57" s="0" t="s">
        <v>2338</v>
      </c>
      <c r="AG57" s="7" t="s">
        <v>2330</v>
      </c>
      <c r="AH57" s="0" t="s">
        <v>50</v>
      </c>
      <c r="AI57" s="0" t="s">
        <v>171</v>
      </c>
      <c r="AJ57" s="0" t="s">
        <v>117</v>
      </c>
      <c r="AK57" s="0" t="s">
        <v>50</v>
      </c>
      <c r="AL57" s="0" t="s">
        <v>63</v>
      </c>
      <c r="AM57" s="0" t="s">
        <v>2344</v>
      </c>
      <c r="AN57" s="0" t="s">
        <v>2318</v>
      </c>
      <c r="AO57" s="0" t="s">
        <v>63</v>
      </c>
    </row>
    <row r="58" customFormat="false" ht="15" hidden="false" customHeight="false" outlineLevel="0" collapsed="false">
      <c r="A58" s="0" t="s">
        <v>285</v>
      </c>
      <c r="B58" s="2" t="s">
        <v>2391</v>
      </c>
      <c r="C58" s="0" t="s">
        <v>163</v>
      </c>
      <c r="D58" s="0" t="n">
        <v>8092691963</v>
      </c>
      <c r="E58" s="0" t="s">
        <v>43</v>
      </c>
      <c r="F58" s="0" t="s">
        <v>2315</v>
      </c>
      <c r="G58" s="0" t="s">
        <v>286</v>
      </c>
      <c r="H58" s="0" t="s">
        <v>107</v>
      </c>
      <c r="I58" s="3" t="s">
        <v>87</v>
      </c>
      <c r="J58" s="0" t="s">
        <v>189</v>
      </c>
      <c r="K58" s="0" t="s">
        <v>109</v>
      </c>
      <c r="L58" s="4" t="n">
        <v>38189</v>
      </c>
      <c r="M58" s="0" t="s">
        <v>49</v>
      </c>
      <c r="N58" s="0" t="s">
        <v>63</v>
      </c>
      <c r="O58" s="5" t="n">
        <v>2.99108280254777</v>
      </c>
      <c r="P58" s="0" t="n">
        <v>3.7</v>
      </c>
      <c r="Q58" s="0" t="s">
        <v>92</v>
      </c>
      <c r="R58" s="0" t="s">
        <v>52</v>
      </c>
      <c r="S58" s="0" t="s">
        <v>2340</v>
      </c>
      <c r="T58" s="0" t="s">
        <v>95</v>
      </c>
      <c r="U58" s="5" t="n">
        <v>45</v>
      </c>
      <c r="V58" s="0" t="s">
        <v>96</v>
      </c>
      <c r="W58" s="0" t="s">
        <v>155</v>
      </c>
      <c r="X58" s="0" t="s">
        <v>98</v>
      </c>
      <c r="Y58" s="0" t="s">
        <v>58</v>
      </c>
      <c r="Z58" s="0" t="s">
        <v>2329</v>
      </c>
      <c r="AA58" s="0" t="s">
        <v>79</v>
      </c>
      <c r="AB58" s="5" t="n">
        <v>25000</v>
      </c>
      <c r="AC58" s="5" t="n">
        <v>35000</v>
      </c>
      <c r="AD58" s="0" t="s">
        <v>63</v>
      </c>
      <c r="AE58" s="5" t="n">
        <v>0</v>
      </c>
      <c r="AF58" s="0" t="s">
        <v>60</v>
      </c>
      <c r="AG58" s="7" t="s">
        <v>421</v>
      </c>
      <c r="AH58" s="0" t="s">
        <v>63</v>
      </c>
      <c r="AI58" s="0" t="s">
        <v>171</v>
      </c>
      <c r="AJ58" s="0" t="s">
        <v>117</v>
      </c>
      <c r="AK58" s="0" t="s">
        <v>63</v>
      </c>
      <c r="AL58" s="0" t="s">
        <v>50</v>
      </c>
      <c r="AM58" s="0" t="s">
        <v>63</v>
      </c>
      <c r="AN58" s="0" t="s">
        <v>2321</v>
      </c>
      <c r="AO58" s="0" t="s">
        <v>63</v>
      </c>
    </row>
    <row r="59" customFormat="false" ht="15" hidden="false" customHeight="false" outlineLevel="0" collapsed="false">
      <c r="A59" s="0" t="s">
        <v>287</v>
      </c>
      <c r="B59" s="2" t="s">
        <v>2392</v>
      </c>
      <c r="C59" s="0" t="s">
        <v>42</v>
      </c>
      <c r="D59" s="0" t="n">
        <v>8050215871</v>
      </c>
      <c r="E59" s="0" t="s">
        <v>67</v>
      </c>
      <c r="F59" s="0" t="s">
        <v>2316</v>
      </c>
      <c r="G59" s="0" t="s">
        <v>288</v>
      </c>
      <c r="H59" s="0" t="s">
        <v>107</v>
      </c>
      <c r="I59" s="3" t="s">
        <v>2342</v>
      </c>
      <c r="J59" s="0" t="s">
        <v>2347</v>
      </c>
      <c r="K59" s="0" t="s">
        <v>71</v>
      </c>
      <c r="L59" s="4" t="n">
        <v>35994</v>
      </c>
      <c r="M59" s="0" t="s">
        <v>49</v>
      </c>
      <c r="N59" s="0" t="s">
        <v>50</v>
      </c>
      <c r="O59" s="5" t="n">
        <v>2.99108280254777</v>
      </c>
      <c r="P59" s="0" t="n">
        <v>2.2</v>
      </c>
      <c r="Q59" s="0" t="s">
        <v>51</v>
      </c>
      <c r="R59" s="0" t="s">
        <v>52</v>
      </c>
      <c r="S59" s="0" t="s">
        <v>2335</v>
      </c>
      <c r="T59" s="0" t="s">
        <v>54</v>
      </c>
      <c r="U59" s="5" t="n">
        <v>45</v>
      </c>
      <c r="V59" s="0" t="s">
        <v>2352</v>
      </c>
      <c r="W59" s="0" t="s">
        <v>148</v>
      </c>
      <c r="X59" s="0" t="s">
        <v>128</v>
      </c>
      <c r="Y59" s="0" t="s">
        <v>58</v>
      </c>
      <c r="Z59" s="0" t="s">
        <v>59</v>
      </c>
      <c r="AA59" s="0" t="s">
        <v>79</v>
      </c>
      <c r="AB59" s="5" t="n">
        <v>15000</v>
      </c>
      <c r="AC59" s="5" t="n">
        <v>40000</v>
      </c>
      <c r="AD59" s="0" t="s">
        <v>63</v>
      </c>
      <c r="AE59" s="5" t="n">
        <v>0</v>
      </c>
      <c r="AF59" s="0" t="s">
        <v>60</v>
      </c>
      <c r="AG59" s="7" t="s">
        <v>2330</v>
      </c>
      <c r="AH59" s="0" t="s">
        <v>50</v>
      </c>
      <c r="AI59" s="0" t="s">
        <v>2331</v>
      </c>
      <c r="AJ59" s="0" t="s">
        <v>2331</v>
      </c>
      <c r="AK59" s="0" t="s">
        <v>2344</v>
      </c>
      <c r="AL59" s="0" t="s">
        <v>63</v>
      </c>
      <c r="AM59" s="0" t="s">
        <v>50</v>
      </c>
      <c r="AN59" s="0" t="s">
        <v>64</v>
      </c>
      <c r="AO59" s="0" t="s">
        <v>2359</v>
      </c>
    </row>
    <row r="60" customFormat="false" ht="15" hidden="false" customHeight="false" outlineLevel="0" collapsed="false">
      <c r="A60" s="0" t="s">
        <v>289</v>
      </c>
      <c r="B60" s="2" t="s">
        <v>2393</v>
      </c>
      <c r="C60" s="0" t="s">
        <v>163</v>
      </c>
      <c r="D60" s="0" t="n">
        <v>8066196330</v>
      </c>
      <c r="E60" s="0" t="s">
        <v>122</v>
      </c>
      <c r="F60" s="0" t="s">
        <v>2316</v>
      </c>
      <c r="G60" s="0" t="s">
        <v>290</v>
      </c>
      <c r="H60" s="0" t="s">
        <v>134</v>
      </c>
      <c r="I60" s="3" t="s">
        <v>2325</v>
      </c>
      <c r="J60" s="0" t="s">
        <v>2339</v>
      </c>
      <c r="K60" s="0" t="s">
        <v>71</v>
      </c>
      <c r="L60" s="4" t="n">
        <v>68051</v>
      </c>
      <c r="M60" s="0" t="s">
        <v>49</v>
      </c>
      <c r="N60" s="0" t="s">
        <v>63</v>
      </c>
      <c r="O60" s="5" t="n">
        <v>2.99108280254777</v>
      </c>
      <c r="P60" s="0" t="n">
        <v>4</v>
      </c>
      <c r="Q60" s="0" t="s">
        <v>92</v>
      </c>
      <c r="R60" s="0" t="s">
        <v>52</v>
      </c>
      <c r="S60" s="0" t="s">
        <v>2366</v>
      </c>
      <c r="T60" s="0" t="s">
        <v>2353</v>
      </c>
      <c r="U60" s="5" t="n">
        <v>45</v>
      </c>
      <c r="V60" s="0" t="s">
        <v>2352</v>
      </c>
      <c r="W60" s="0" t="s">
        <v>2328</v>
      </c>
      <c r="X60" s="0" t="s">
        <v>128</v>
      </c>
      <c r="Y60" s="0" t="s">
        <v>196</v>
      </c>
      <c r="Z60" s="0" t="s">
        <v>2326</v>
      </c>
      <c r="AA60" s="0" t="s">
        <v>79</v>
      </c>
      <c r="AB60" s="5" t="n">
        <v>26210.9375</v>
      </c>
      <c r="AC60" s="5" t="n">
        <v>30000</v>
      </c>
      <c r="AD60" s="0" t="s">
        <v>50</v>
      </c>
      <c r="AE60" s="5" t="n">
        <v>5000</v>
      </c>
      <c r="AF60" s="0" t="s">
        <v>60</v>
      </c>
      <c r="AG60" s="7" t="s">
        <v>2394</v>
      </c>
      <c r="AH60" s="0" t="s">
        <v>50</v>
      </c>
      <c r="AI60" s="0" t="s">
        <v>2331</v>
      </c>
      <c r="AJ60" s="0" t="s">
        <v>117</v>
      </c>
      <c r="AK60" s="0" t="s">
        <v>63</v>
      </c>
      <c r="AL60" s="0" t="s">
        <v>63</v>
      </c>
      <c r="AM60" s="0" t="s">
        <v>2344</v>
      </c>
      <c r="AN60" s="0" t="s">
        <v>2321</v>
      </c>
      <c r="AO60" s="0" t="s">
        <v>63</v>
      </c>
    </row>
    <row r="61" customFormat="false" ht="15" hidden="false" customHeight="false" outlineLevel="0" collapsed="false">
      <c r="A61" s="0" t="s">
        <v>291</v>
      </c>
      <c r="B61" s="2" t="s">
        <v>2395</v>
      </c>
      <c r="C61" s="0" t="s">
        <v>163</v>
      </c>
      <c r="D61" s="0" t="n">
        <v>8054106502</v>
      </c>
      <c r="E61" s="0" t="s">
        <v>85</v>
      </c>
      <c r="F61" s="0" t="s">
        <v>2319</v>
      </c>
      <c r="G61" s="0" t="s">
        <v>292</v>
      </c>
      <c r="H61" s="0" t="s">
        <v>45</v>
      </c>
      <c r="I61" s="3" t="s">
        <v>2317</v>
      </c>
      <c r="J61" s="0" t="s">
        <v>189</v>
      </c>
      <c r="K61" s="0" t="s">
        <v>109</v>
      </c>
      <c r="L61" s="4" t="n">
        <v>113181</v>
      </c>
      <c r="M61" s="0" t="s">
        <v>110</v>
      </c>
      <c r="N61" s="0" t="s">
        <v>50</v>
      </c>
      <c r="O61" s="5" t="n">
        <v>5</v>
      </c>
      <c r="P61" s="0" t="n">
        <v>3.4</v>
      </c>
      <c r="Q61" s="0" t="s">
        <v>92</v>
      </c>
      <c r="R61" s="0" t="s">
        <v>73</v>
      </c>
      <c r="S61" s="0" t="s">
        <v>53</v>
      </c>
      <c r="T61" s="0" t="s">
        <v>2353</v>
      </c>
      <c r="U61" s="5" t="n">
        <v>45</v>
      </c>
      <c r="V61" s="0" t="s">
        <v>55</v>
      </c>
      <c r="W61" s="0" t="s">
        <v>155</v>
      </c>
      <c r="X61" s="0" t="s">
        <v>128</v>
      </c>
      <c r="Y61" s="0" t="s">
        <v>196</v>
      </c>
      <c r="Z61" s="0" t="s">
        <v>2329</v>
      </c>
      <c r="AA61" s="0" t="s">
        <v>149</v>
      </c>
      <c r="AB61" s="5" t="n">
        <v>25000</v>
      </c>
      <c r="AC61" s="5" t="n">
        <v>31466.0691421255</v>
      </c>
      <c r="AD61" s="0" t="s">
        <v>63</v>
      </c>
      <c r="AE61" s="5" t="n">
        <v>0</v>
      </c>
      <c r="AF61" s="0" t="s">
        <v>60</v>
      </c>
      <c r="AG61" s="7" t="s">
        <v>212</v>
      </c>
      <c r="AH61" s="0" t="s">
        <v>50</v>
      </c>
      <c r="AI61" s="0" t="s">
        <v>2331</v>
      </c>
      <c r="AJ61" s="0" t="s">
        <v>172</v>
      </c>
      <c r="AK61" s="0" t="s">
        <v>50</v>
      </c>
      <c r="AL61" s="0" t="s">
        <v>2344</v>
      </c>
      <c r="AM61" s="0" t="s">
        <v>50</v>
      </c>
      <c r="AN61" s="0" t="s">
        <v>2321</v>
      </c>
      <c r="AO61" s="0" t="s">
        <v>50</v>
      </c>
    </row>
    <row r="62" customFormat="false" ht="15" hidden="false" customHeight="false" outlineLevel="0" collapsed="false">
      <c r="A62" s="0" t="s">
        <v>293</v>
      </c>
      <c r="B62" s="2" t="s">
        <v>2396</v>
      </c>
      <c r="C62" s="0" t="s">
        <v>105</v>
      </c>
      <c r="D62" s="0" t="n">
        <v>8031780851</v>
      </c>
      <c r="E62" s="0" t="s">
        <v>43</v>
      </c>
      <c r="F62" s="0" t="s">
        <v>2315</v>
      </c>
      <c r="G62" s="0" t="s">
        <v>294</v>
      </c>
      <c r="H62" s="0" t="s">
        <v>69</v>
      </c>
      <c r="I62" s="3" t="s">
        <v>2325</v>
      </c>
      <c r="J62" s="0" t="s">
        <v>2349</v>
      </c>
      <c r="K62" s="0" t="s">
        <v>90</v>
      </c>
      <c r="L62" s="4" t="n">
        <v>104004</v>
      </c>
      <c r="M62" s="0" t="s">
        <v>110</v>
      </c>
      <c r="N62" s="0" t="s">
        <v>50</v>
      </c>
      <c r="O62" s="5" t="n">
        <v>2</v>
      </c>
      <c r="P62" s="0" t="n">
        <v>5.2</v>
      </c>
      <c r="Q62" s="0" t="s">
        <v>111</v>
      </c>
      <c r="R62" s="0" t="s">
        <v>52</v>
      </c>
      <c r="S62" s="0" t="s">
        <v>2340</v>
      </c>
      <c r="T62" s="0" t="s">
        <v>2353</v>
      </c>
      <c r="U62" s="5" t="n">
        <v>15</v>
      </c>
      <c r="V62" s="0" t="s">
        <v>2336</v>
      </c>
      <c r="W62" s="0" t="s">
        <v>155</v>
      </c>
      <c r="X62" s="0" t="s">
        <v>128</v>
      </c>
      <c r="Y62" s="0" t="s">
        <v>196</v>
      </c>
      <c r="Z62" s="0" t="s">
        <v>2326</v>
      </c>
      <c r="AA62" s="0" t="s">
        <v>79</v>
      </c>
      <c r="AB62" s="5" t="n">
        <v>15000</v>
      </c>
      <c r="AC62" s="5" t="n">
        <v>30000</v>
      </c>
      <c r="AD62" s="0" t="s">
        <v>63</v>
      </c>
      <c r="AE62" s="5" t="n">
        <v>10000</v>
      </c>
      <c r="AF62" s="0" t="s">
        <v>2338</v>
      </c>
      <c r="AG62" s="7" t="s">
        <v>295</v>
      </c>
      <c r="AH62" s="0" t="s">
        <v>50</v>
      </c>
      <c r="AI62" s="0" t="s">
        <v>2331</v>
      </c>
      <c r="AJ62" s="0" t="s">
        <v>2331</v>
      </c>
      <c r="AK62" s="0" t="s">
        <v>50</v>
      </c>
      <c r="AL62" s="0" t="s">
        <v>63</v>
      </c>
      <c r="AM62" s="0" t="s">
        <v>50</v>
      </c>
      <c r="AN62" s="0" t="s">
        <v>64</v>
      </c>
      <c r="AO62" s="0" t="s">
        <v>2359</v>
      </c>
    </row>
    <row r="63" customFormat="false" ht="15" hidden="false" customHeight="false" outlineLevel="0" collapsed="false">
      <c r="A63" s="0" t="s">
        <v>296</v>
      </c>
      <c r="B63" s="2" t="s">
        <v>666</v>
      </c>
      <c r="C63" s="0" t="s">
        <v>121</v>
      </c>
      <c r="D63" s="0" t="n">
        <v>8024072446</v>
      </c>
      <c r="E63" s="0" t="s">
        <v>43</v>
      </c>
      <c r="F63" s="0" t="s">
        <v>2315</v>
      </c>
      <c r="G63" s="0" t="s">
        <v>297</v>
      </c>
      <c r="H63" s="0" t="s">
        <v>87</v>
      </c>
      <c r="I63" s="3" t="s">
        <v>87</v>
      </c>
      <c r="J63" s="0" t="s">
        <v>2349</v>
      </c>
      <c r="K63" s="0" t="s">
        <v>48</v>
      </c>
      <c r="L63" s="4" t="n">
        <v>105460</v>
      </c>
      <c r="M63" s="0" t="s">
        <v>49</v>
      </c>
      <c r="N63" s="0" t="s">
        <v>50</v>
      </c>
      <c r="O63" s="5" t="n">
        <v>2</v>
      </c>
      <c r="P63" s="0" t="n">
        <v>4.7</v>
      </c>
      <c r="Q63" s="0" t="s">
        <v>2334</v>
      </c>
      <c r="R63" s="0" t="s">
        <v>52</v>
      </c>
      <c r="S63" s="0" t="s">
        <v>53</v>
      </c>
      <c r="T63" s="0" t="s">
        <v>2343</v>
      </c>
      <c r="U63" s="5" t="n">
        <v>45</v>
      </c>
      <c r="V63" s="0" t="s">
        <v>96</v>
      </c>
      <c r="W63" s="0" t="s">
        <v>148</v>
      </c>
      <c r="X63" s="0" t="s">
        <v>98</v>
      </c>
      <c r="Y63" s="0" t="s">
        <v>58</v>
      </c>
      <c r="Z63" s="0" t="s">
        <v>2329</v>
      </c>
      <c r="AA63" s="0" t="s">
        <v>143</v>
      </c>
      <c r="AB63" s="5" t="n">
        <v>15000</v>
      </c>
      <c r="AC63" s="5" t="n">
        <v>30000</v>
      </c>
      <c r="AD63" s="0" t="s">
        <v>63</v>
      </c>
      <c r="AE63" s="5" t="n">
        <v>0</v>
      </c>
      <c r="AF63" s="0" t="s">
        <v>130</v>
      </c>
      <c r="AG63" s="7" t="s">
        <v>298</v>
      </c>
      <c r="AH63" s="0" t="s">
        <v>2329</v>
      </c>
      <c r="AI63" s="0" t="s">
        <v>2331</v>
      </c>
      <c r="AJ63" s="0" t="s">
        <v>2331</v>
      </c>
      <c r="AK63" s="0" t="s">
        <v>50</v>
      </c>
      <c r="AL63" s="0" t="s">
        <v>50</v>
      </c>
      <c r="AM63" s="0" t="s">
        <v>63</v>
      </c>
      <c r="AN63" s="0" t="s">
        <v>64</v>
      </c>
      <c r="AO63" s="0" t="s">
        <v>63</v>
      </c>
    </row>
    <row r="64" customFormat="false" ht="15" hidden="false" customHeight="false" outlineLevel="0" collapsed="false">
      <c r="A64" s="0" t="s">
        <v>300</v>
      </c>
      <c r="B64" s="2" t="s">
        <v>299</v>
      </c>
      <c r="C64" s="0" t="s">
        <v>42</v>
      </c>
      <c r="D64" s="0" t="n">
        <v>8070975394</v>
      </c>
      <c r="E64" s="0" t="s">
        <v>85</v>
      </c>
      <c r="F64" s="0" t="s">
        <v>2319</v>
      </c>
      <c r="G64" s="0" t="s">
        <v>301</v>
      </c>
      <c r="H64" s="0" t="s">
        <v>134</v>
      </c>
      <c r="I64" s="3" t="s">
        <v>87</v>
      </c>
      <c r="J64" s="0" t="s">
        <v>2349</v>
      </c>
      <c r="K64" s="0" t="s">
        <v>90</v>
      </c>
      <c r="L64" s="4" t="n">
        <v>38478</v>
      </c>
      <c r="M64" s="0" t="s">
        <v>49</v>
      </c>
      <c r="N64" s="0" t="s">
        <v>63</v>
      </c>
      <c r="O64" s="5" t="n">
        <v>2</v>
      </c>
      <c r="P64" s="0" t="n">
        <v>1.5</v>
      </c>
      <c r="Q64" s="0" t="s">
        <v>92</v>
      </c>
      <c r="R64" s="0" t="s">
        <v>93</v>
      </c>
      <c r="S64" s="0" t="s">
        <v>2335</v>
      </c>
      <c r="T64" s="0" t="s">
        <v>54</v>
      </c>
      <c r="U64" s="5" t="n">
        <v>45</v>
      </c>
      <c r="V64" s="0" t="s">
        <v>55</v>
      </c>
      <c r="W64" s="0" t="s">
        <v>155</v>
      </c>
      <c r="X64" s="0" t="s">
        <v>98</v>
      </c>
      <c r="Y64" s="0" t="s">
        <v>99</v>
      </c>
      <c r="Z64" s="0" t="s">
        <v>2329</v>
      </c>
      <c r="AA64" s="0" t="s">
        <v>143</v>
      </c>
      <c r="AB64" s="5" t="n">
        <v>20000</v>
      </c>
      <c r="AC64" s="5" t="n">
        <v>40000</v>
      </c>
      <c r="AD64" s="0" t="s">
        <v>63</v>
      </c>
      <c r="AE64" s="5" t="n">
        <v>5000</v>
      </c>
      <c r="AF64" s="0" t="s">
        <v>130</v>
      </c>
      <c r="AG64" s="7" t="s">
        <v>2397</v>
      </c>
      <c r="AH64" s="0" t="s">
        <v>50</v>
      </c>
      <c r="AI64" s="0" t="s">
        <v>2331</v>
      </c>
      <c r="AJ64" s="0" t="s">
        <v>2331</v>
      </c>
      <c r="AK64" s="0" t="s">
        <v>63</v>
      </c>
      <c r="AL64" s="0" t="s">
        <v>63</v>
      </c>
      <c r="AM64" s="0" t="s">
        <v>2344</v>
      </c>
      <c r="AN64" s="0" t="s">
        <v>2318</v>
      </c>
      <c r="AO64" s="0" t="s">
        <v>63</v>
      </c>
    </row>
    <row r="65" customFormat="false" ht="15" hidden="false" customHeight="false" outlineLevel="0" collapsed="false">
      <c r="A65" s="0" t="s">
        <v>303</v>
      </c>
      <c r="B65" s="2" t="s">
        <v>302</v>
      </c>
      <c r="C65" s="0" t="s">
        <v>105</v>
      </c>
      <c r="D65" s="0" t="n">
        <v>8015662934</v>
      </c>
      <c r="E65" s="0" t="s">
        <v>122</v>
      </c>
      <c r="F65" s="0" t="s">
        <v>2316</v>
      </c>
      <c r="G65" s="0" t="s">
        <v>304</v>
      </c>
      <c r="H65" s="0" t="s">
        <v>45</v>
      </c>
      <c r="I65" s="3" t="s">
        <v>2325</v>
      </c>
      <c r="J65" s="0" t="s">
        <v>2339</v>
      </c>
      <c r="K65" s="0" t="s">
        <v>90</v>
      </c>
      <c r="L65" s="4" t="n">
        <v>83988</v>
      </c>
      <c r="M65" s="0" t="s">
        <v>110</v>
      </c>
      <c r="N65" s="0" t="s">
        <v>63</v>
      </c>
      <c r="O65" s="5" t="n">
        <v>1</v>
      </c>
      <c r="P65" s="0" t="n">
        <v>2.7</v>
      </c>
      <c r="Q65" s="0" t="s">
        <v>92</v>
      </c>
      <c r="R65" s="0" t="s">
        <v>52</v>
      </c>
      <c r="S65" s="0" t="s">
        <v>2366</v>
      </c>
      <c r="T65" s="0" t="s">
        <v>2343</v>
      </c>
      <c r="U65" s="5" t="n">
        <v>30</v>
      </c>
      <c r="V65" s="0" t="s">
        <v>2336</v>
      </c>
      <c r="W65" s="0" t="s">
        <v>2328</v>
      </c>
      <c r="X65" s="0" t="s">
        <v>98</v>
      </c>
      <c r="Y65" s="0" t="s">
        <v>196</v>
      </c>
      <c r="Z65" s="0" t="s">
        <v>2329</v>
      </c>
      <c r="AA65" s="0" t="s">
        <v>149</v>
      </c>
      <c r="AB65" s="5" t="n">
        <v>26210.9375</v>
      </c>
      <c r="AC65" s="5" t="n">
        <v>30000</v>
      </c>
      <c r="AD65" s="0" t="s">
        <v>50</v>
      </c>
      <c r="AE65" s="5" t="n">
        <v>0</v>
      </c>
      <c r="AF65" s="0" t="s">
        <v>60</v>
      </c>
      <c r="AG65" s="7" t="s">
        <v>2330</v>
      </c>
      <c r="AH65" s="0" t="s">
        <v>63</v>
      </c>
      <c r="AI65" s="0" t="s">
        <v>2331</v>
      </c>
      <c r="AJ65" s="0" t="s">
        <v>117</v>
      </c>
      <c r="AK65" s="0" t="s">
        <v>2344</v>
      </c>
      <c r="AL65" s="0" t="s">
        <v>50</v>
      </c>
      <c r="AM65" s="0" t="s">
        <v>2344</v>
      </c>
      <c r="AN65" s="0" t="s">
        <v>2318</v>
      </c>
      <c r="AO65" s="0" t="s">
        <v>2359</v>
      </c>
    </row>
    <row r="66" customFormat="false" ht="15" hidden="false" customHeight="false" outlineLevel="0" collapsed="false">
      <c r="A66" s="0" t="s">
        <v>306</v>
      </c>
      <c r="B66" s="2" t="s">
        <v>305</v>
      </c>
      <c r="C66" s="0" t="s">
        <v>121</v>
      </c>
      <c r="D66" s="0" t="n">
        <v>8076562688</v>
      </c>
      <c r="E66" s="0" t="s">
        <v>43</v>
      </c>
      <c r="F66" s="0" t="s">
        <v>2315</v>
      </c>
      <c r="G66" s="0" t="s">
        <v>307</v>
      </c>
      <c r="H66" s="0" t="s">
        <v>69</v>
      </c>
      <c r="I66" s="3" t="s">
        <v>2322</v>
      </c>
      <c r="J66" s="0" t="s">
        <v>2341</v>
      </c>
      <c r="K66" s="0" t="s">
        <v>48</v>
      </c>
      <c r="L66" s="4" t="n">
        <v>95904</v>
      </c>
      <c r="M66" s="0" t="s">
        <v>49</v>
      </c>
      <c r="N66" s="0" t="s">
        <v>50</v>
      </c>
      <c r="O66" s="5" t="n">
        <v>5</v>
      </c>
      <c r="P66" s="0" t="n">
        <v>5.9</v>
      </c>
      <c r="Q66" s="0" t="s">
        <v>92</v>
      </c>
      <c r="R66" s="0" t="s">
        <v>73</v>
      </c>
      <c r="S66" s="0" t="s">
        <v>53</v>
      </c>
      <c r="T66" s="0" t="s">
        <v>75</v>
      </c>
      <c r="U66" s="5" t="n">
        <v>30</v>
      </c>
      <c r="V66" s="0" t="s">
        <v>112</v>
      </c>
      <c r="W66" s="0" t="s">
        <v>2337</v>
      </c>
      <c r="X66" s="0" t="s">
        <v>128</v>
      </c>
      <c r="Y66" s="0" t="s">
        <v>196</v>
      </c>
      <c r="Z66" s="0" t="s">
        <v>59</v>
      </c>
      <c r="AA66" s="0" t="s">
        <v>2329</v>
      </c>
      <c r="AB66" s="5" t="n">
        <v>15000</v>
      </c>
      <c r="AC66" s="5" t="n">
        <v>40000</v>
      </c>
      <c r="AD66" s="0" t="s">
        <v>50</v>
      </c>
      <c r="AE66" s="5" t="n">
        <v>0</v>
      </c>
      <c r="AF66" s="0" t="s">
        <v>184</v>
      </c>
      <c r="AG66" s="7" t="s">
        <v>2330</v>
      </c>
      <c r="AH66" s="0" t="s">
        <v>63</v>
      </c>
      <c r="AI66" s="0" t="s">
        <v>2331</v>
      </c>
      <c r="AJ66" s="0" t="s">
        <v>2331</v>
      </c>
      <c r="AK66" s="0" t="s">
        <v>63</v>
      </c>
      <c r="AL66" s="0" t="s">
        <v>50</v>
      </c>
      <c r="AM66" s="0" t="s">
        <v>2344</v>
      </c>
      <c r="AN66" s="0" t="s">
        <v>2321</v>
      </c>
      <c r="AO66" s="0" t="s">
        <v>50</v>
      </c>
    </row>
    <row r="67" customFormat="false" ht="15" hidden="false" customHeight="false" outlineLevel="0" collapsed="false">
      <c r="A67" s="0" t="s">
        <v>308</v>
      </c>
      <c r="B67" s="2" t="s">
        <v>1082</v>
      </c>
      <c r="C67" s="0" t="s">
        <v>42</v>
      </c>
      <c r="D67" s="0" t="n">
        <v>8039448158</v>
      </c>
      <c r="E67" s="0" t="s">
        <v>85</v>
      </c>
      <c r="F67" s="0" t="s">
        <v>2319</v>
      </c>
      <c r="G67" s="0" t="s">
        <v>309</v>
      </c>
      <c r="H67" s="0" t="s">
        <v>134</v>
      </c>
      <c r="I67" s="3" t="s">
        <v>2322</v>
      </c>
      <c r="J67" s="0" t="s">
        <v>189</v>
      </c>
      <c r="K67" s="0" t="s">
        <v>48</v>
      </c>
      <c r="L67" s="4" t="n">
        <v>86356</v>
      </c>
      <c r="M67" s="0" t="s">
        <v>110</v>
      </c>
      <c r="N67" s="0" t="s">
        <v>50</v>
      </c>
      <c r="O67" s="5" t="n">
        <v>3</v>
      </c>
      <c r="P67" s="0" t="n">
        <v>2.2</v>
      </c>
      <c r="Q67" s="0" t="s">
        <v>125</v>
      </c>
      <c r="R67" s="0" t="s">
        <v>93</v>
      </c>
      <c r="S67" s="0" t="s">
        <v>53</v>
      </c>
      <c r="T67" s="0" t="s">
        <v>54</v>
      </c>
      <c r="U67" s="5" t="n">
        <v>45</v>
      </c>
      <c r="V67" s="0" t="s">
        <v>96</v>
      </c>
      <c r="W67" s="0" t="s">
        <v>2328</v>
      </c>
      <c r="X67" s="0" t="s">
        <v>78</v>
      </c>
      <c r="Y67" s="0" t="s">
        <v>58</v>
      </c>
      <c r="Z67" s="0" t="s">
        <v>2329</v>
      </c>
      <c r="AA67" s="0" t="s">
        <v>149</v>
      </c>
      <c r="AB67" s="5" t="n">
        <v>20000</v>
      </c>
      <c r="AC67" s="5" t="n">
        <v>35000</v>
      </c>
      <c r="AD67" s="0" t="s">
        <v>50</v>
      </c>
      <c r="AE67" s="5" t="n">
        <v>5000</v>
      </c>
      <c r="AF67" s="0" t="s">
        <v>60</v>
      </c>
      <c r="AG67" s="7" t="s">
        <v>1347</v>
      </c>
      <c r="AH67" s="0" t="s">
        <v>2329</v>
      </c>
      <c r="AI67" s="0" t="s">
        <v>116</v>
      </c>
      <c r="AJ67" s="0" t="s">
        <v>2331</v>
      </c>
      <c r="AK67" s="0" t="s">
        <v>50</v>
      </c>
      <c r="AL67" s="0" t="s">
        <v>63</v>
      </c>
      <c r="AM67" s="0" t="s">
        <v>50</v>
      </c>
      <c r="AN67" s="0" t="s">
        <v>2321</v>
      </c>
      <c r="AO67" s="0" t="s">
        <v>2359</v>
      </c>
    </row>
    <row r="68" customFormat="false" ht="15" hidden="false" customHeight="false" outlineLevel="0" collapsed="false">
      <c r="A68" s="0" t="s">
        <v>311</v>
      </c>
      <c r="B68" s="2" t="s">
        <v>310</v>
      </c>
      <c r="C68" s="0" t="s">
        <v>66</v>
      </c>
      <c r="D68" s="0" t="n">
        <v>8010496212</v>
      </c>
      <c r="E68" s="0" t="s">
        <v>139</v>
      </c>
      <c r="F68" s="0" t="s">
        <v>2323</v>
      </c>
      <c r="G68" s="0" t="s">
        <v>312</v>
      </c>
      <c r="H68" s="0" t="s">
        <v>134</v>
      </c>
      <c r="I68" s="3" t="s">
        <v>2325</v>
      </c>
      <c r="J68" s="0" t="s">
        <v>2339</v>
      </c>
      <c r="K68" s="0" t="s">
        <v>71</v>
      </c>
      <c r="L68" s="4" t="n">
        <v>34398</v>
      </c>
      <c r="M68" s="0" t="s">
        <v>110</v>
      </c>
      <c r="N68" s="0" t="s">
        <v>63</v>
      </c>
      <c r="O68" s="5" t="n">
        <v>5</v>
      </c>
      <c r="P68" s="0" t="n">
        <v>1.7</v>
      </c>
      <c r="Q68" s="0" t="s">
        <v>92</v>
      </c>
      <c r="R68" s="0" t="s">
        <v>93</v>
      </c>
      <c r="S68" s="0" t="s">
        <v>2366</v>
      </c>
      <c r="T68" s="0" t="s">
        <v>2353</v>
      </c>
      <c r="U68" s="5" t="n">
        <v>45</v>
      </c>
      <c r="V68" s="0" t="s">
        <v>2352</v>
      </c>
      <c r="W68" s="0" t="s">
        <v>148</v>
      </c>
      <c r="X68" s="0" t="s">
        <v>98</v>
      </c>
      <c r="Y68" s="0" t="s">
        <v>114</v>
      </c>
      <c r="Z68" s="0" t="s">
        <v>2329</v>
      </c>
      <c r="AA68" s="0" t="s">
        <v>149</v>
      </c>
      <c r="AB68" s="5" t="n">
        <v>30000</v>
      </c>
      <c r="AC68" s="5" t="n">
        <v>30000</v>
      </c>
      <c r="AD68" s="0" t="s">
        <v>63</v>
      </c>
      <c r="AE68" s="5" t="n">
        <v>5000</v>
      </c>
      <c r="AF68" s="0" t="s">
        <v>2338</v>
      </c>
      <c r="AG68" s="7" t="s">
        <v>819</v>
      </c>
      <c r="AH68" s="0" t="s">
        <v>50</v>
      </c>
      <c r="AI68" s="0" t="s">
        <v>171</v>
      </c>
      <c r="AJ68" s="0" t="s">
        <v>172</v>
      </c>
      <c r="AK68" s="0" t="s">
        <v>50</v>
      </c>
      <c r="AL68" s="0" t="s">
        <v>63</v>
      </c>
      <c r="AM68" s="0" t="s">
        <v>50</v>
      </c>
      <c r="AN68" s="0" t="s">
        <v>2321</v>
      </c>
      <c r="AO68" s="0" t="s">
        <v>50</v>
      </c>
    </row>
    <row r="69" customFormat="false" ht="15" hidden="false" customHeight="false" outlineLevel="0" collapsed="false">
      <c r="A69" s="0" t="s">
        <v>313</v>
      </c>
      <c r="B69" s="2" t="s">
        <v>433</v>
      </c>
      <c r="C69" s="0" t="s">
        <v>42</v>
      </c>
      <c r="D69" s="0" t="n">
        <v>8095733862</v>
      </c>
      <c r="E69" s="0" t="s">
        <v>67</v>
      </c>
      <c r="F69" s="0" t="s">
        <v>2316</v>
      </c>
      <c r="G69" s="0" t="s">
        <v>314</v>
      </c>
      <c r="H69" s="0" t="s">
        <v>69</v>
      </c>
      <c r="I69" s="3" t="s">
        <v>2342</v>
      </c>
      <c r="J69" s="0" t="s">
        <v>2341</v>
      </c>
      <c r="K69" s="0" t="s">
        <v>71</v>
      </c>
      <c r="L69" s="4" t="n">
        <v>119820</v>
      </c>
      <c r="M69" s="0" t="s">
        <v>2333</v>
      </c>
      <c r="N69" s="0" t="s">
        <v>50</v>
      </c>
      <c r="O69" s="5" t="n">
        <v>4</v>
      </c>
      <c r="P69" s="0" t="n">
        <v>5.8</v>
      </c>
      <c r="Q69" s="0" t="s">
        <v>51</v>
      </c>
      <c r="R69" s="0" t="s">
        <v>93</v>
      </c>
      <c r="S69" s="0" t="s">
        <v>2340</v>
      </c>
      <c r="T69" s="0" t="s">
        <v>2353</v>
      </c>
      <c r="U69" s="5" t="n">
        <v>15</v>
      </c>
      <c r="V69" s="0" t="s">
        <v>96</v>
      </c>
      <c r="W69" s="0" t="s">
        <v>2328</v>
      </c>
      <c r="X69" s="0" t="s">
        <v>98</v>
      </c>
      <c r="Y69" s="0" t="s">
        <v>58</v>
      </c>
      <c r="Z69" s="0" t="s">
        <v>2329</v>
      </c>
      <c r="AA69" s="0" t="s">
        <v>143</v>
      </c>
      <c r="AB69" s="5" t="n">
        <v>25000</v>
      </c>
      <c r="AC69" s="5" t="n">
        <v>20000</v>
      </c>
      <c r="AD69" s="0" t="s">
        <v>50</v>
      </c>
      <c r="AE69" s="5" t="n">
        <v>10000</v>
      </c>
      <c r="AF69" s="0" t="s">
        <v>60</v>
      </c>
      <c r="AG69" s="7" t="s">
        <v>315</v>
      </c>
      <c r="AH69" s="0" t="s">
        <v>63</v>
      </c>
      <c r="AI69" s="0" t="s">
        <v>2331</v>
      </c>
      <c r="AJ69" s="0" t="s">
        <v>2331</v>
      </c>
      <c r="AK69" s="0" t="s">
        <v>63</v>
      </c>
      <c r="AL69" s="0" t="s">
        <v>2344</v>
      </c>
      <c r="AM69" s="0" t="s">
        <v>63</v>
      </c>
      <c r="AN69" s="0" t="s">
        <v>2321</v>
      </c>
      <c r="AO69" s="0" t="s">
        <v>50</v>
      </c>
    </row>
    <row r="70" customFormat="false" ht="15" hidden="false" customHeight="false" outlineLevel="0" collapsed="false">
      <c r="A70" s="0" t="s">
        <v>317</v>
      </c>
      <c r="B70" s="2" t="s">
        <v>316</v>
      </c>
      <c r="C70" s="0" t="s">
        <v>66</v>
      </c>
      <c r="D70" s="0" t="n">
        <v>8039933920</v>
      </c>
      <c r="E70" s="0" t="s">
        <v>139</v>
      </c>
      <c r="F70" s="0" t="s">
        <v>2323</v>
      </c>
      <c r="G70" s="0" t="s">
        <v>318</v>
      </c>
      <c r="H70" s="0" t="s">
        <v>45</v>
      </c>
      <c r="I70" s="3" t="s">
        <v>2325</v>
      </c>
      <c r="J70" s="0" t="s">
        <v>2341</v>
      </c>
      <c r="K70" s="0" t="s">
        <v>90</v>
      </c>
      <c r="L70" s="4" t="n">
        <v>13836</v>
      </c>
      <c r="M70" s="0" t="s">
        <v>49</v>
      </c>
      <c r="N70" s="0" t="s">
        <v>50</v>
      </c>
      <c r="O70" s="5" t="n">
        <v>2</v>
      </c>
      <c r="P70" s="0" t="n">
        <v>4.9</v>
      </c>
      <c r="Q70" s="0" t="s">
        <v>51</v>
      </c>
      <c r="R70" s="0" t="s">
        <v>73</v>
      </c>
      <c r="S70" s="0" t="s">
        <v>2340</v>
      </c>
      <c r="T70" s="0" t="s">
        <v>54</v>
      </c>
      <c r="U70" s="5" t="n">
        <v>15</v>
      </c>
      <c r="V70" s="0" t="s">
        <v>96</v>
      </c>
      <c r="W70" s="0" t="s">
        <v>155</v>
      </c>
      <c r="X70" s="0" t="s">
        <v>98</v>
      </c>
      <c r="Y70" s="0" t="s">
        <v>99</v>
      </c>
      <c r="Z70" s="0" t="s">
        <v>2329</v>
      </c>
      <c r="AA70" s="0" t="s">
        <v>161</v>
      </c>
      <c r="AB70" s="5" t="n">
        <v>20000</v>
      </c>
      <c r="AC70" s="5" t="n">
        <v>40000</v>
      </c>
      <c r="AD70" s="0" t="s">
        <v>63</v>
      </c>
      <c r="AE70" s="5" t="n">
        <v>0</v>
      </c>
      <c r="AF70" s="0" t="s">
        <v>184</v>
      </c>
      <c r="AG70" s="7" t="s">
        <v>2365</v>
      </c>
      <c r="AH70" s="0" t="s">
        <v>50</v>
      </c>
      <c r="AI70" s="0" t="s">
        <v>116</v>
      </c>
      <c r="AJ70" s="0" t="s">
        <v>2331</v>
      </c>
      <c r="AK70" s="0" t="s">
        <v>63</v>
      </c>
      <c r="AL70" s="0" t="s">
        <v>2344</v>
      </c>
      <c r="AM70" s="0" t="s">
        <v>63</v>
      </c>
      <c r="AN70" s="0" t="s">
        <v>64</v>
      </c>
      <c r="AO70" s="0" t="s">
        <v>50</v>
      </c>
    </row>
    <row r="71" customFormat="false" ht="15" hidden="false" customHeight="false" outlineLevel="0" collapsed="false">
      <c r="A71" s="0" t="s">
        <v>319</v>
      </c>
      <c r="B71" s="2" t="s">
        <v>302</v>
      </c>
      <c r="C71" s="0" t="s">
        <v>42</v>
      </c>
      <c r="D71" s="0" t="n">
        <v>8040906854</v>
      </c>
      <c r="E71" s="0" t="s">
        <v>43</v>
      </c>
      <c r="F71" s="0" t="s">
        <v>2315</v>
      </c>
      <c r="G71" s="0" t="s">
        <v>320</v>
      </c>
      <c r="H71" s="0" t="s">
        <v>107</v>
      </c>
      <c r="I71" s="3" t="s">
        <v>2322</v>
      </c>
      <c r="J71" s="0" t="s">
        <v>2347</v>
      </c>
      <c r="K71" s="0" t="s">
        <v>71</v>
      </c>
      <c r="L71" s="4" t="n">
        <v>52706</v>
      </c>
      <c r="M71" s="0" t="s">
        <v>49</v>
      </c>
      <c r="N71" s="0" t="s">
        <v>50</v>
      </c>
      <c r="O71" s="5" t="n">
        <v>5</v>
      </c>
      <c r="P71" s="0" t="n">
        <v>5.6</v>
      </c>
      <c r="Q71" s="0" t="s">
        <v>125</v>
      </c>
      <c r="R71" s="0" t="s">
        <v>52</v>
      </c>
      <c r="S71" s="0" t="s">
        <v>53</v>
      </c>
      <c r="T71" s="0" t="s">
        <v>2343</v>
      </c>
      <c r="U71" s="5" t="n">
        <v>45</v>
      </c>
      <c r="V71" s="0" t="s">
        <v>55</v>
      </c>
      <c r="W71" s="0" t="s">
        <v>148</v>
      </c>
      <c r="X71" s="0" t="s">
        <v>128</v>
      </c>
      <c r="Y71" s="0" t="s">
        <v>114</v>
      </c>
      <c r="Z71" s="0" t="s">
        <v>2329</v>
      </c>
      <c r="AA71" s="0" t="s">
        <v>2329</v>
      </c>
      <c r="AB71" s="5" t="n">
        <v>26423.3576642336</v>
      </c>
      <c r="AC71" s="5" t="n">
        <v>20000</v>
      </c>
      <c r="AD71" s="0" t="s">
        <v>50</v>
      </c>
      <c r="AE71" s="5" t="n">
        <v>5000</v>
      </c>
      <c r="AF71" s="0" t="s">
        <v>60</v>
      </c>
      <c r="AG71" s="7" t="s">
        <v>1108</v>
      </c>
      <c r="AH71" s="0" t="s">
        <v>50</v>
      </c>
      <c r="AI71" s="0" t="s">
        <v>2331</v>
      </c>
      <c r="AJ71" s="0" t="s">
        <v>117</v>
      </c>
      <c r="AK71" s="0" t="s">
        <v>50</v>
      </c>
      <c r="AL71" s="0" t="s">
        <v>50</v>
      </c>
      <c r="AM71" s="0" t="s">
        <v>2344</v>
      </c>
      <c r="AN71" s="0" t="s">
        <v>64</v>
      </c>
      <c r="AO71" s="0" t="s">
        <v>2359</v>
      </c>
    </row>
    <row r="72" customFormat="false" ht="15" hidden="false" customHeight="false" outlineLevel="0" collapsed="false">
      <c r="A72" s="0" t="s">
        <v>321</v>
      </c>
      <c r="B72" s="2" t="s">
        <v>328</v>
      </c>
      <c r="C72" s="0" t="s">
        <v>121</v>
      </c>
      <c r="D72" s="0" t="n">
        <v>8072617503</v>
      </c>
      <c r="E72" s="0" t="s">
        <v>139</v>
      </c>
      <c r="F72" s="0" t="s">
        <v>2323</v>
      </c>
      <c r="G72" s="0" t="s">
        <v>322</v>
      </c>
      <c r="H72" s="0" t="s">
        <v>107</v>
      </c>
      <c r="I72" s="3" t="s">
        <v>87</v>
      </c>
      <c r="J72" s="0" t="s">
        <v>2341</v>
      </c>
      <c r="K72" s="0" t="s">
        <v>90</v>
      </c>
      <c r="L72" s="4" t="n">
        <v>33827</v>
      </c>
      <c r="M72" s="0" t="s">
        <v>110</v>
      </c>
      <c r="N72" s="0" t="s">
        <v>63</v>
      </c>
      <c r="O72" s="5" t="n">
        <v>2.98708010335917</v>
      </c>
      <c r="P72" s="0" t="n">
        <v>1.2</v>
      </c>
      <c r="Q72" s="0" t="s">
        <v>111</v>
      </c>
      <c r="R72" s="0" t="s">
        <v>73</v>
      </c>
      <c r="S72" s="0" t="s">
        <v>2335</v>
      </c>
      <c r="T72" s="0" t="s">
        <v>75</v>
      </c>
      <c r="U72" s="5" t="n">
        <v>30</v>
      </c>
      <c r="V72" s="0" t="s">
        <v>112</v>
      </c>
      <c r="W72" s="0" t="s">
        <v>155</v>
      </c>
      <c r="X72" s="0" t="s">
        <v>98</v>
      </c>
      <c r="Y72" s="0" t="s">
        <v>196</v>
      </c>
      <c r="Z72" s="0" t="s">
        <v>2329</v>
      </c>
      <c r="AA72" s="0" t="s">
        <v>143</v>
      </c>
      <c r="AB72" s="5" t="n">
        <v>30000</v>
      </c>
      <c r="AC72" s="5" t="n">
        <v>35000</v>
      </c>
      <c r="AD72" s="0" t="s">
        <v>63</v>
      </c>
      <c r="AE72" s="5" t="n">
        <v>5000</v>
      </c>
      <c r="AF72" s="0" t="s">
        <v>2338</v>
      </c>
      <c r="AG72" s="7" t="s">
        <v>1642</v>
      </c>
      <c r="AH72" s="0" t="s">
        <v>50</v>
      </c>
      <c r="AI72" s="0" t="s">
        <v>2331</v>
      </c>
      <c r="AJ72" s="0" t="s">
        <v>172</v>
      </c>
      <c r="AK72" s="0" t="s">
        <v>63</v>
      </c>
      <c r="AL72" s="0" t="s">
        <v>50</v>
      </c>
      <c r="AM72" s="0" t="s">
        <v>50</v>
      </c>
      <c r="AN72" s="0" t="s">
        <v>64</v>
      </c>
      <c r="AO72" s="0" t="s">
        <v>50</v>
      </c>
    </row>
    <row r="73" customFormat="false" ht="15" hidden="false" customHeight="false" outlineLevel="0" collapsed="false">
      <c r="A73" s="0" t="s">
        <v>323</v>
      </c>
      <c r="B73" s="2" t="s">
        <v>2398</v>
      </c>
      <c r="C73" s="0" t="s">
        <v>66</v>
      </c>
      <c r="D73" s="0" t="n">
        <v>8093741127</v>
      </c>
      <c r="E73" s="0" t="s">
        <v>122</v>
      </c>
      <c r="F73" s="0" t="s">
        <v>2316</v>
      </c>
      <c r="G73" s="0" t="s">
        <v>324</v>
      </c>
      <c r="H73" s="0" t="s">
        <v>69</v>
      </c>
      <c r="I73" s="3" t="s">
        <v>87</v>
      </c>
      <c r="J73" s="0" t="s">
        <v>2349</v>
      </c>
      <c r="K73" s="0" t="s">
        <v>109</v>
      </c>
      <c r="L73" s="4" t="n">
        <v>32615</v>
      </c>
      <c r="M73" s="0" t="s">
        <v>2333</v>
      </c>
      <c r="N73" s="0" t="s">
        <v>50</v>
      </c>
      <c r="O73" s="5" t="n">
        <v>4</v>
      </c>
      <c r="P73" s="0" t="n">
        <v>2.1</v>
      </c>
      <c r="Q73" s="0" t="s">
        <v>2334</v>
      </c>
      <c r="R73" s="0" t="s">
        <v>73</v>
      </c>
      <c r="S73" s="0" t="s">
        <v>2335</v>
      </c>
      <c r="T73" s="0" t="s">
        <v>54</v>
      </c>
      <c r="U73" s="5" t="n">
        <v>15</v>
      </c>
      <c r="V73" s="0" t="s">
        <v>55</v>
      </c>
      <c r="W73" s="0" t="s">
        <v>155</v>
      </c>
      <c r="X73" s="0" t="s">
        <v>98</v>
      </c>
      <c r="Y73" s="0" t="s">
        <v>114</v>
      </c>
      <c r="Z73" s="0" t="s">
        <v>2324</v>
      </c>
      <c r="AA73" s="0" t="s">
        <v>161</v>
      </c>
      <c r="AB73" s="5" t="n">
        <v>40000</v>
      </c>
      <c r="AC73" s="5" t="n">
        <v>20000</v>
      </c>
      <c r="AD73" s="0" t="s">
        <v>50</v>
      </c>
      <c r="AE73" s="5" t="n">
        <v>0</v>
      </c>
      <c r="AF73" s="0" t="s">
        <v>2338</v>
      </c>
      <c r="AG73" s="7" t="s">
        <v>325</v>
      </c>
      <c r="AH73" s="0" t="s">
        <v>50</v>
      </c>
      <c r="AI73" s="0" t="s">
        <v>116</v>
      </c>
      <c r="AJ73" s="0" t="s">
        <v>2331</v>
      </c>
      <c r="AK73" s="0" t="s">
        <v>50</v>
      </c>
      <c r="AL73" s="0" t="s">
        <v>50</v>
      </c>
      <c r="AM73" s="0" t="s">
        <v>2344</v>
      </c>
      <c r="AN73" s="0" t="s">
        <v>2321</v>
      </c>
      <c r="AO73" s="0" t="s">
        <v>63</v>
      </c>
    </row>
    <row r="74" customFormat="false" ht="15" hidden="false" customHeight="false" outlineLevel="0" collapsed="false">
      <c r="A74" s="0" t="s">
        <v>326</v>
      </c>
      <c r="B74" s="2" t="s">
        <v>2399</v>
      </c>
      <c r="C74" s="0" t="s">
        <v>163</v>
      </c>
      <c r="D74" s="0" t="n">
        <v>8038606966</v>
      </c>
      <c r="E74" s="0" t="s">
        <v>43</v>
      </c>
      <c r="F74" s="0" t="s">
        <v>2315</v>
      </c>
      <c r="G74" s="0" t="s">
        <v>327</v>
      </c>
      <c r="H74" s="0" t="s">
        <v>107</v>
      </c>
      <c r="I74" s="3" t="s">
        <v>87</v>
      </c>
      <c r="J74" s="0" t="s">
        <v>2341</v>
      </c>
      <c r="K74" s="0" t="s">
        <v>90</v>
      </c>
      <c r="L74" s="4" t="n">
        <v>30341</v>
      </c>
      <c r="M74" s="0" t="s">
        <v>2333</v>
      </c>
      <c r="N74" s="0" t="s">
        <v>50</v>
      </c>
      <c r="O74" s="5" t="n">
        <v>2.98576972833118</v>
      </c>
      <c r="P74" s="0" t="n">
        <v>4.4</v>
      </c>
      <c r="Q74" s="0" t="s">
        <v>92</v>
      </c>
      <c r="R74" s="0" t="s">
        <v>52</v>
      </c>
      <c r="S74" s="0" t="s">
        <v>2335</v>
      </c>
      <c r="T74" s="0" t="s">
        <v>2353</v>
      </c>
      <c r="U74" s="5" t="n">
        <v>37.6190476190476</v>
      </c>
      <c r="V74" s="0" t="s">
        <v>2336</v>
      </c>
      <c r="W74" s="0" t="s">
        <v>148</v>
      </c>
      <c r="X74" s="0" t="s">
        <v>128</v>
      </c>
      <c r="Y74" s="0" t="s">
        <v>196</v>
      </c>
      <c r="Z74" s="0" t="s">
        <v>2329</v>
      </c>
      <c r="AA74" s="0" t="s">
        <v>149</v>
      </c>
      <c r="AB74" s="5" t="n">
        <v>15000</v>
      </c>
      <c r="AC74" s="5" t="n">
        <v>20000</v>
      </c>
      <c r="AD74" s="0" t="s">
        <v>63</v>
      </c>
      <c r="AE74" s="5" t="n">
        <v>0</v>
      </c>
      <c r="AF74" s="0" t="s">
        <v>60</v>
      </c>
      <c r="AG74" s="7" t="s">
        <v>2330</v>
      </c>
      <c r="AH74" s="0" t="s">
        <v>63</v>
      </c>
      <c r="AI74" s="0" t="s">
        <v>171</v>
      </c>
      <c r="AJ74" s="0" t="s">
        <v>2331</v>
      </c>
      <c r="AK74" s="0" t="s">
        <v>63</v>
      </c>
      <c r="AL74" s="0" t="s">
        <v>63</v>
      </c>
      <c r="AM74" s="0" t="s">
        <v>63</v>
      </c>
      <c r="AN74" s="0" t="s">
        <v>2321</v>
      </c>
      <c r="AO74" s="0" t="s">
        <v>2359</v>
      </c>
    </row>
    <row r="75" customFormat="false" ht="15" hidden="false" customHeight="false" outlineLevel="0" collapsed="false">
      <c r="A75" s="0" t="s">
        <v>329</v>
      </c>
      <c r="B75" s="2" t="s">
        <v>328</v>
      </c>
      <c r="C75" s="0" t="s">
        <v>42</v>
      </c>
      <c r="D75" s="0" t="n">
        <v>8042080592</v>
      </c>
      <c r="E75" s="0" t="s">
        <v>67</v>
      </c>
      <c r="F75" s="0" t="s">
        <v>2316</v>
      </c>
      <c r="G75" s="0" t="s">
        <v>330</v>
      </c>
      <c r="H75" s="0" t="s">
        <v>134</v>
      </c>
      <c r="I75" s="3" t="s">
        <v>2325</v>
      </c>
      <c r="J75" s="0" t="s">
        <v>189</v>
      </c>
      <c r="K75" s="0" t="s">
        <v>48</v>
      </c>
      <c r="L75" s="4" t="n">
        <v>85582</v>
      </c>
      <c r="M75" s="0" t="s">
        <v>2333</v>
      </c>
      <c r="N75" s="0" t="s">
        <v>50</v>
      </c>
      <c r="O75" s="5" t="n">
        <v>2</v>
      </c>
      <c r="P75" s="0" t="n">
        <v>4.6</v>
      </c>
      <c r="Q75" s="0" t="s">
        <v>92</v>
      </c>
      <c r="R75" s="0" t="s">
        <v>93</v>
      </c>
      <c r="S75" s="0" t="s">
        <v>53</v>
      </c>
      <c r="T75" s="0" t="s">
        <v>2353</v>
      </c>
      <c r="U75" s="5" t="n">
        <v>39.5454545454546</v>
      </c>
      <c r="V75" s="0" t="s">
        <v>2336</v>
      </c>
      <c r="W75" s="0" t="s">
        <v>155</v>
      </c>
      <c r="X75" s="0" t="s">
        <v>128</v>
      </c>
      <c r="Y75" s="0" t="s">
        <v>58</v>
      </c>
      <c r="Z75" s="0" t="s">
        <v>59</v>
      </c>
      <c r="AA75" s="0" t="s">
        <v>149</v>
      </c>
      <c r="AB75" s="5" t="n">
        <v>25681.8181818182</v>
      </c>
      <c r="AC75" s="5" t="n">
        <v>20000</v>
      </c>
      <c r="AD75" s="0" t="s">
        <v>50</v>
      </c>
      <c r="AE75" s="5" t="n">
        <v>0</v>
      </c>
      <c r="AF75" s="0" t="s">
        <v>184</v>
      </c>
      <c r="AG75" s="7" t="s">
        <v>2400</v>
      </c>
      <c r="AH75" s="0" t="s">
        <v>50</v>
      </c>
      <c r="AI75" s="0" t="s">
        <v>2331</v>
      </c>
      <c r="AJ75" s="0" t="s">
        <v>2320</v>
      </c>
      <c r="AK75" s="0" t="s">
        <v>63</v>
      </c>
      <c r="AL75" s="0" t="s">
        <v>63</v>
      </c>
      <c r="AM75" s="0" t="s">
        <v>50</v>
      </c>
      <c r="AN75" s="0" t="s">
        <v>64</v>
      </c>
      <c r="AO75" s="0" t="s">
        <v>50</v>
      </c>
    </row>
    <row r="76" customFormat="false" ht="15" hidden="false" customHeight="false" outlineLevel="0" collapsed="false">
      <c r="A76" s="0" t="s">
        <v>331</v>
      </c>
      <c r="B76" s="2" t="s">
        <v>2383</v>
      </c>
      <c r="C76" s="0" t="s">
        <v>66</v>
      </c>
      <c r="D76" s="0" t="n">
        <v>8074524663</v>
      </c>
      <c r="E76" s="0" t="s">
        <v>67</v>
      </c>
      <c r="F76" s="0" t="s">
        <v>2316</v>
      </c>
      <c r="G76" s="0" t="s">
        <v>332</v>
      </c>
      <c r="H76" s="0" t="s">
        <v>134</v>
      </c>
      <c r="I76" s="3" t="s">
        <v>2317</v>
      </c>
      <c r="J76" s="0" t="s">
        <v>2339</v>
      </c>
      <c r="K76" s="0" t="s">
        <v>71</v>
      </c>
      <c r="L76" s="4" t="n">
        <v>84301</v>
      </c>
      <c r="M76" s="0" t="s">
        <v>2333</v>
      </c>
      <c r="N76" s="0" t="s">
        <v>50</v>
      </c>
      <c r="O76" s="5" t="n">
        <v>5</v>
      </c>
      <c r="P76" s="0" t="n">
        <v>4.8</v>
      </c>
      <c r="Q76" s="0" t="s">
        <v>2334</v>
      </c>
      <c r="R76" s="0" t="s">
        <v>73</v>
      </c>
      <c r="S76" s="0" t="s">
        <v>53</v>
      </c>
      <c r="T76" s="0" t="s">
        <v>2353</v>
      </c>
      <c r="U76" s="5" t="n">
        <v>40.1111111111111</v>
      </c>
      <c r="V76" s="0" t="s">
        <v>2352</v>
      </c>
      <c r="W76" s="0" t="s">
        <v>155</v>
      </c>
      <c r="X76" s="0" t="s">
        <v>128</v>
      </c>
      <c r="Y76" s="0" t="s">
        <v>196</v>
      </c>
      <c r="Z76" s="0" t="s">
        <v>177</v>
      </c>
      <c r="AA76" s="0" t="s">
        <v>2329</v>
      </c>
      <c r="AB76" s="5" t="n">
        <v>40000</v>
      </c>
      <c r="AC76" s="5" t="n">
        <v>31505.8670143416</v>
      </c>
      <c r="AD76" s="0" t="s">
        <v>63</v>
      </c>
      <c r="AE76" s="5" t="n">
        <v>0</v>
      </c>
      <c r="AF76" s="0" t="s">
        <v>60</v>
      </c>
      <c r="AG76" s="7" t="s">
        <v>2385</v>
      </c>
      <c r="AH76" s="0" t="s">
        <v>2329</v>
      </c>
      <c r="AI76" s="0" t="s">
        <v>171</v>
      </c>
      <c r="AJ76" s="0" t="s">
        <v>2331</v>
      </c>
      <c r="AK76" s="0" t="s">
        <v>63</v>
      </c>
      <c r="AL76" s="0" t="s">
        <v>50</v>
      </c>
      <c r="AM76" s="0" t="s">
        <v>63</v>
      </c>
      <c r="AN76" s="0" t="s">
        <v>2321</v>
      </c>
      <c r="AO76" s="0" t="s">
        <v>50</v>
      </c>
    </row>
    <row r="77" customFormat="false" ht="15" hidden="false" customHeight="false" outlineLevel="0" collapsed="false">
      <c r="A77" s="0" t="s">
        <v>333</v>
      </c>
      <c r="B77" s="2" t="s">
        <v>2401</v>
      </c>
      <c r="C77" s="0" t="s">
        <v>105</v>
      </c>
      <c r="D77" s="0" t="n">
        <v>8054495204</v>
      </c>
      <c r="E77" s="0" t="s">
        <v>67</v>
      </c>
      <c r="F77" s="0" t="s">
        <v>2316</v>
      </c>
      <c r="G77" s="0" t="s">
        <v>334</v>
      </c>
      <c r="H77" s="0" t="s">
        <v>107</v>
      </c>
      <c r="I77" s="3" t="s">
        <v>2342</v>
      </c>
      <c r="J77" s="0" t="s">
        <v>189</v>
      </c>
      <c r="K77" s="0" t="s">
        <v>48</v>
      </c>
      <c r="L77" s="4" t="n">
        <v>90584</v>
      </c>
      <c r="M77" s="0" t="s">
        <v>110</v>
      </c>
      <c r="N77" s="0" t="s">
        <v>50</v>
      </c>
      <c r="O77" s="5" t="n">
        <v>2.98443579766537</v>
      </c>
      <c r="P77" s="0" t="n">
        <v>3</v>
      </c>
      <c r="Q77" s="0" t="s">
        <v>92</v>
      </c>
      <c r="R77" s="0" t="s">
        <v>52</v>
      </c>
      <c r="S77" s="0" t="s">
        <v>53</v>
      </c>
      <c r="T77" s="0" t="s">
        <v>54</v>
      </c>
      <c r="U77" s="5" t="n">
        <v>15</v>
      </c>
      <c r="V77" s="0" t="s">
        <v>96</v>
      </c>
      <c r="W77" s="0" t="s">
        <v>155</v>
      </c>
      <c r="X77" s="0" t="s">
        <v>98</v>
      </c>
      <c r="Y77" s="0" t="s">
        <v>99</v>
      </c>
      <c r="Z77" s="0" t="s">
        <v>2326</v>
      </c>
      <c r="AA77" s="0" t="s">
        <v>79</v>
      </c>
      <c r="AB77" s="5" t="n">
        <v>40000</v>
      </c>
      <c r="AC77" s="5" t="n">
        <v>20000</v>
      </c>
      <c r="AD77" s="0" t="s">
        <v>63</v>
      </c>
      <c r="AE77" s="5" t="n">
        <v>5000</v>
      </c>
      <c r="AF77" s="0" t="s">
        <v>60</v>
      </c>
      <c r="AG77" s="7" t="s">
        <v>2402</v>
      </c>
      <c r="AH77" s="0" t="s">
        <v>63</v>
      </c>
      <c r="AI77" s="0" t="s">
        <v>116</v>
      </c>
      <c r="AJ77" s="0" t="s">
        <v>2331</v>
      </c>
      <c r="AK77" s="0" t="s">
        <v>50</v>
      </c>
      <c r="AL77" s="0" t="s">
        <v>2344</v>
      </c>
      <c r="AM77" s="0" t="s">
        <v>63</v>
      </c>
      <c r="AN77" s="0" t="s">
        <v>64</v>
      </c>
      <c r="AO77" s="0" t="s">
        <v>63</v>
      </c>
    </row>
    <row r="78" customFormat="false" ht="15" hidden="false" customHeight="false" outlineLevel="0" collapsed="false">
      <c r="A78" s="0" t="s">
        <v>335</v>
      </c>
      <c r="B78" s="2" t="s">
        <v>2403</v>
      </c>
      <c r="C78" s="0" t="s">
        <v>42</v>
      </c>
      <c r="D78" s="0" t="n">
        <v>8060454028</v>
      </c>
      <c r="E78" s="0" t="s">
        <v>122</v>
      </c>
      <c r="F78" s="0" t="s">
        <v>2316</v>
      </c>
      <c r="G78" s="0" t="s">
        <v>336</v>
      </c>
      <c r="H78" s="0" t="s">
        <v>87</v>
      </c>
      <c r="I78" s="3" t="s">
        <v>2322</v>
      </c>
      <c r="J78" s="0" t="s">
        <v>189</v>
      </c>
      <c r="K78" s="0" t="s">
        <v>109</v>
      </c>
      <c r="L78" s="4" t="n">
        <v>38062</v>
      </c>
      <c r="M78" s="0" t="s">
        <v>110</v>
      </c>
      <c r="N78" s="0" t="s">
        <v>63</v>
      </c>
      <c r="O78" s="5" t="n">
        <v>5</v>
      </c>
      <c r="P78" s="0" t="n">
        <v>4</v>
      </c>
      <c r="Q78" s="0" t="s">
        <v>2334</v>
      </c>
      <c r="R78" s="0" t="s">
        <v>93</v>
      </c>
      <c r="S78" s="0" t="s">
        <v>53</v>
      </c>
      <c r="T78" s="0" t="s">
        <v>2353</v>
      </c>
      <c r="U78" s="5" t="n">
        <v>15</v>
      </c>
      <c r="V78" s="0" t="s">
        <v>55</v>
      </c>
      <c r="W78" s="0" t="s">
        <v>155</v>
      </c>
      <c r="X78" s="0" t="s">
        <v>128</v>
      </c>
      <c r="Y78" s="0" t="s">
        <v>99</v>
      </c>
      <c r="Z78" s="0" t="s">
        <v>2329</v>
      </c>
      <c r="AA78" s="0" t="s">
        <v>149</v>
      </c>
      <c r="AB78" s="5" t="n">
        <v>25000</v>
      </c>
      <c r="AC78" s="5" t="n">
        <v>20000</v>
      </c>
      <c r="AD78" s="0" t="s">
        <v>50</v>
      </c>
      <c r="AE78" s="5" t="n">
        <v>10000</v>
      </c>
      <c r="AF78" s="0" t="s">
        <v>2338</v>
      </c>
      <c r="AG78" s="7" t="s">
        <v>337</v>
      </c>
      <c r="AH78" s="0" t="s">
        <v>63</v>
      </c>
      <c r="AI78" s="0" t="s">
        <v>171</v>
      </c>
      <c r="AJ78" s="0" t="s">
        <v>2331</v>
      </c>
      <c r="AK78" s="0" t="s">
        <v>63</v>
      </c>
      <c r="AL78" s="0" t="s">
        <v>63</v>
      </c>
      <c r="AM78" s="0" t="s">
        <v>2344</v>
      </c>
      <c r="AN78" s="0" t="s">
        <v>2321</v>
      </c>
      <c r="AO78" s="0" t="s">
        <v>63</v>
      </c>
    </row>
    <row r="79" customFormat="false" ht="15" hidden="false" customHeight="false" outlineLevel="0" collapsed="false">
      <c r="A79" s="0" t="s">
        <v>338</v>
      </c>
      <c r="B79" s="2" t="s">
        <v>1342</v>
      </c>
      <c r="C79" s="0" t="s">
        <v>42</v>
      </c>
      <c r="D79" s="0" t="n">
        <v>8037557095</v>
      </c>
      <c r="E79" s="0" t="s">
        <v>67</v>
      </c>
      <c r="F79" s="0" t="s">
        <v>2316</v>
      </c>
      <c r="G79" s="0" t="s">
        <v>339</v>
      </c>
      <c r="H79" s="0" t="s">
        <v>134</v>
      </c>
      <c r="I79" s="3" t="s">
        <v>2325</v>
      </c>
      <c r="J79" s="0" t="s">
        <v>47</v>
      </c>
      <c r="K79" s="0" t="s">
        <v>71</v>
      </c>
      <c r="L79" s="4" t="n">
        <v>107123</v>
      </c>
      <c r="M79" s="0" t="s">
        <v>2333</v>
      </c>
      <c r="N79" s="0" t="s">
        <v>50</v>
      </c>
      <c r="O79" s="5" t="n">
        <v>2.98181818181818</v>
      </c>
      <c r="P79" s="0" t="n">
        <v>5.3</v>
      </c>
      <c r="Q79" s="0" t="s">
        <v>125</v>
      </c>
      <c r="R79" s="0" t="s">
        <v>73</v>
      </c>
      <c r="S79" s="0" t="s">
        <v>2366</v>
      </c>
      <c r="T79" s="0" t="s">
        <v>95</v>
      </c>
      <c r="U79" s="5" t="n">
        <v>45</v>
      </c>
      <c r="V79" s="0" t="s">
        <v>112</v>
      </c>
      <c r="W79" s="0" t="s">
        <v>148</v>
      </c>
      <c r="X79" s="0" t="s">
        <v>98</v>
      </c>
      <c r="Y79" s="0" t="s">
        <v>114</v>
      </c>
      <c r="Z79" s="0" t="s">
        <v>2329</v>
      </c>
      <c r="AA79" s="0" t="s">
        <v>161</v>
      </c>
      <c r="AB79" s="5" t="n">
        <v>25992.0634920635</v>
      </c>
      <c r="AC79" s="5" t="n">
        <v>40000</v>
      </c>
      <c r="AD79" s="0" t="s">
        <v>50</v>
      </c>
      <c r="AE79" s="5" t="n">
        <v>5000</v>
      </c>
      <c r="AF79" s="0" t="s">
        <v>184</v>
      </c>
      <c r="AG79" s="7" t="s">
        <v>2358</v>
      </c>
      <c r="AH79" s="0" t="s">
        <v>63</v>
      </c>
      <c r="AI79" s="0" t="s">
        <v>171</v>
      </c>
      <c r="AJ79" s="0" t="s">
        <v>117</v>
      </c>
      <c r="AK79" s="0" t="s">
        <v>50</v>
      </c>
      <c r="AL79" s="0" t="s">
        <v>2344</v>
      </c>
      <c r="AM79" s="0" t="s">
        <v>50</v>
      </c>
      <c r="AN79" s="0" t="s">
        <v>2321</v>
      </c>
      <c r="AO79" s="0" t="s">
        <v>63</v>
      </c>
    </row>
    <row r="80" customFormat="false" ht="15" hidden="false" customHeight="false" outlineLevel="0" collapsed="false">
      <c r="A80" s="0" t="s">
        <v>341</v>
      </c>
      <c r="B80" s="2" t="s">
        <v>340</v>
      </c>
      <c r="C80" s="0" t="s">
        <v>121</v>
      </c>
      <c r="D80" s="0" t="n">
        <v>8063729043</v>
      </c>
      <c r="E80" s="0" t="s">
        <v>139</v>
      </c>
      <c r="F80" s="0" t="s">
        <v>2323</v>
      </c>
      <c r="G80" s="0" t="s">
        <v>342</v>
      </c>
      <c r="H80" s="0" t="s">
        <v>69</v>
      </c>
      <c r="I80" s="3" t="s">
        <v>87</v>
      </c>
      <c r="J80" s="0" t="s">
        <v>2341</v>
      </c>
      <c r="K80" s="0" t="s">
        <v>71</v>
      </c>
      <c r="L80" s="4" t="n">
        <v>63993</v>
      </c>
      <c r="M80" s="0" t="s">
        <v>49</v>
      </c>
      <c r="N80" s="0" t="s">
        <v>50</v>
      </c>
      <c r="O80" s="5" t="n">
        <v>5</v>
      </c>
      <c r="P80" s="0" t="n">
        <v>4</v>
      </c>
      <c r="Q80" s="0" t="s">
        <v>2334</v>
      </c>
      <c r="R80" s="0" t="s">
        <v>52</v>
      </c>
      <c r="S80" s="0" t="s">
        <v>53</v>
      </c>
      <c r="T80" s="0" t="s">
        <v>147</v>
      </c>
      <c r="U80" s="5" t="n">
        <v>15</v>
      </c>
      <c r="V80" s="0" t="s">
        <v>96</v>
      </c>
      <c r="W80" s="0" t="s">
        <v>155</v>
      </c>
      <c r="X80" s="0" t="s">
        <v>98</v>
      </c>
      <c r="Y80" s="0" t="s">
        <v>196</v>
      </c>
      <c r="Z80" s="0" t="s">
        <v>2329</v>
      </c>
      <c r="AA80" s="0" t="s">
        <v>79</v>
      </c>
      <c r="AB80" s="5" t="n">
        <v>20000</v>
      </c>
      <c r="AC80" s="5" t="n">
        <v>30000</v>
      </c>
      <c r="AD80" s="0" t="s">
        <v>50</v>
      </c>
      <c r="AE80" s="5" t="n">
        <v>0</v>
      </c>
      <c r="AF80" s="0" t="s">
        <v>184</v>
      </c>
      <c r="AG80" s="7" t="s">
        <v>2404</v>
      </c>
      <c r="AH80" s="0" t="s">
        <v>50</v>
      </c>
      <c r="AI80" s="0" t="s">
        <v>2331</v>
      </c>
      <c r="AJ80" s="0" t="s">
        <v>172</v>
      </c>
      <c r="AK80" s="0" t="s">
        <v>63</v>
      </c>
      <c r="AL80" s="0" t="s">
        <v>50</v>
      </c>
      <c r="AM80" s="0" t="s">
        <v>63</v>
      </c>
      <c r="AN80" s="0" t="s">
        <v>64</v>
      </c>
      <c r="AO80" s="0" t="s">
        <v>63</v>
      </c>
    </row>
    <row r="81" customFormat="false" ht="15" hidden="false" customHeight="false" outlineLevel="0" collapsed="false">
      <c r="A81" s="0" t="s">
        <v>343</v>
      </c>
      <c r="B81" s="2" t="s">
        <v>2405</v>
      </c>
      <c r="C81" s="0" t="s">
        <v>121</v>
      </c>
      <c r="D81" s="0" t="n">
        <v>8034728879</v>
      </c>
      <c r="E81" s="0" t="s">
        <v>139</v>
      </c>
      <c r="F81" s="0" t="s">
        <v>2323</v>
      </c>
      <c r="G81" s="0" t="s">
        <v>344</v>
      </c>
      <c r="H81" s="0" t="s">
        <v>107</v>
      </c>
      <c r="I81" s="3" t="s">
        <v>2317</v>
      </c>
      <c r="J81" s="0" t="s">
        <v>47</v>
      </c>
      <c r="K81" s="0" t="s">
        <v>48</v>
      </c>
      <c r="L81" s="4" t="n">
        <v>32438</v>
      </c>
      <c r="M81" s="0" t="s">
        <v>110</v>
      </c>
      <c r="N81" s="0" t="s">
        <v>63</v>
      </c>
      <c r="O81" s="5" t="n">
        <v>5</v>
      </c>
      <c r="P81" s="0" t="n">
        <v>4.2</v>
      </c>
      <c r="Q81" s="0" t="s">
        <v>125</v>
      </c>
      <c r="R81" s="0" t="s">
        <v>93</v>
      </c>
      <c r="S81" s="0" t="s">
        <v>2335</v>
      </c>
      <c r="T81" s="0" t="s">
        <v>2353</v>
      </c>
      <c r="U81" s="5" t="n">
        <v>45</v>
      </c>
      <c r="V81" s="0" t="s">
        <v>2352</v>
      </c>
      <c r="W81" s="0" t="s">
        <v>2328</v>
      </c>
      <c r="X81" s="0" t="s">
        <v>98</v>
      </c>
      <c r="Y81" s="0" t="s">
        <v>196</v>
      </c>
      <c r="Z81" s="0" t="s">
        <v>2326</v>
      </c>
      <c r="AA81" s="0" t="s">
        <v>143</v>
      </c>
      <c r="AB81" s="5" t="n">
        <v>40000</v>
      </c>
      <c r="AC81" s="5" t="n">
        <v>20000</v>
      </c>
      <c r="AD81" s="0" t="s">
        <v>63</v>
      </c>
      <c r="AE81" s="5" t="n">
        <v>5000</v>
      </c>
      <c r="AF81" s="0" t="s">
        <v>2338</v>
      </c>
      <c r="AG81" s="7" t="s">
        <v>2330</v>
      </c>
      <c r="AH81" s="0" t="s">
        <v>63</v>
      </c>
      <c r="AI81" s="0" t="s">
        <v>2331</v>
      </c>
      <c r="AJ81" s="0" t="s">
        <v>172</v>
      </c>
      <c r="AK81" s="0" t="s">
        <v>63</v>
      </c>
      <c r="AL81" s="0" t="s">
        <v>63</v>
      </c>
      <c r="AM81" s="0" t="s">
        <v>63</v>
      </c>
      <c r="AN81" s="0" t="s">
        <v>2318</v>
      </c>
      <c r="AO81" s="0" t="s">
        <v>50</v>
      </c>
    </row>
    <row r="82" customFormat="false" ht="15" hidden="false" customHeight="false" outlineLevel="0" collapsed="false">
      <c r="A82" s="0" t="s">
        <v>346</v>
      </c>
      <c r="B82" s="2" t="s">
        <v>345</v>
      </c>
      <c r="C82" s="0" t="s">
        <v>121</v>
      </c>
      <c r="D82" s="0" t="n">
        <v>8010902666</v>
      </c>
      <c r="E82" s="0" t="s">
        <v>43</v>
      </c>
      <c r="F82" s="0" t="s">
        <v>2315</v>
      </c>
      <c r="G82" s="0" t="s">
        <v>347</v>
      </c>
      <c r="H82" s="0" t="s">
        <v>69</v>
      </c>
      <c r="I82" s="3" t="s">
        <v>2317</v>
      </c>
      <c r="J82" s="0" t="s">
        <v>2349</v>
      </c>
      <c r="K82" s="0" t="s">
        <v>109</v>
      </c>
      <c r="L82" s="4" t="n">
        <v>23213</v>
      </c>
      <c r="M82" s="0" t="s">
        <v>49</v>
      </c>
      <c r="N82" s="0" t="s">
        <v>63</v>
      </c>
      <c r="O82" s="5" t="n">
        <v>3</v>
      </c>
      <c r="P82" s="0" t="n">
        <v>1.1</v>
      </c>
      <c r="Q82" s="0" t="s">
        <v>92</v>
      </c>
      <c r="R82" s="0" t="s">
        <v>52</v>
      </c>
      <c r="S82" s="0" t="s">
        <v>53</v>
      </c>
      <c r="T82" s="0" t="s">
        <v>54</v>
      </c>
      <c r="U82" s="5" t="n">
        <v>45</v>
      </c>
      <c r="V82" s="0" t="s">
        <v>96</v>
      </c>
      <c r="W82" s="0" t="s">
        <v>2328</v>
      </c>
      <c r="X82" s="0" t="s">
        <v>98</v>
      </c>
      <c r="Y82" s="0" t="s">
        <v>58</v>
      </c>
      <c r="Z82" s="0" t="s">
        <v>2329</v>
      </c>
      <c r="AA82" s="0" t="s">
        <v>149</v>
      </c>
      <c r="AB82" s="5" t="n">
        <v>26515.1515151515</v>
      </c>
      <c r="AC82" s="5" t="n">
        <v>20000</v>
      </c>
      <c r="AD82" s="0" t="s">
        <v>50</v>
      </c>
      <c r="AE82" s="5" t="n">
        <v>10000</v>
      </c>
      <c r="AF82" s="0" t="s">
        <v>130</v>
      </c>
      <c r="AG82" s="7" t="s">
        <v>348</v>
      </c>
      <c r="AH82" s="0" t="s">
        <v>50</v>
      </c>
      <c r="AI82" s="0" t="s">
        <v>2331</v>
      </c>
      <c r="AJ82" s="0" t="s">
        <v>172</v>
      </c>
      <c r="AK82" s="0" t="s">
        <v>63</v>
      </c>
      <c r="AL82" s="0" t="s">
        <v>50</v>
      </c>
      <c r="AM82" s="0" t="s">
        <v>2344</v>
      </c>
      <c r="AN82" s="0" t="s">
        <v>2318</v>
      </c>
      <c r="AO82" s="0" t="s">
        <v>63</v>
      </c>
    </row>
    <row r="83" customFormat="false" ht="15" hidden="false" customHeight="false" outlineLevel="0" collapsed="false">
      <c r="A83" s="0" t="s">
        <v>349</v>
      </c>
      <c r="B83" s="2" t="s">
        <v>2398</v>
      </c>
      <c r="C83" s="0" t="s">
        <v>66</v>
      </c>
      <c r="D83" s="0" t="n">
        <v>8058696493</v>
      </c>
      <c r="E83" s="0" t="s">
        <v>67</v>
      </c>
      <c r="F83" s="0" t="s">
        <v>2316</v>
      </c>
      <c r="G83" s="0" t="s">
        <v>350</v>
      </c>
      <c r="H83" s="0" t="s">
        <v>45</v>
      </c>
      <c r="I83" s="3" t="s">
        <v>2317</v>
      </c>
      <c r="J83" s="0" t="s">
        <v>2347</v>
      </c>
      <c r="K83" s="0" t="s">
        <v>71</v>
      </c>
      <c r="L83" s="4" t="n">
        <v>106050</v>
      </c>
      <c r="M83" s="0" t="s">
        <v>2333</v>
      </c>
      <c r="N83" s="0" t="s">
        <v>63</v>
      </c>
      <c r="O83" s="5" t="n">
        <v>1</v>
      </c>
      <c r="P83" s="0" t="n">
        <v>5.8</v>
      </c>
      <c r="Q83" s="0" t="s">
        <v>92</v>
      </c>
      <c r="R83" s="0" t="s">
        <v>52</v>
      </c>
      <c r="S83" s="0" t="s">
        <v>2340</v>
      </c>
      <c r="T83" s="0" t="s">
        <v>54</v>
      </c>
      <c r="U83" s="5" t="n">
        <v>45</v>
      </c>
      <c r="V83" s="0" t="s">
        <v>2336</v>
      </c>
      <c r="W83" s="0" t="s">
        <v>2337</v>
      </c>
      <c r="X83" s="0" t="s">
        <v>128</v>
      </c>
      <c r="Y83" s="0" t="s">
        <v>114</v>
      </c>
      <c r="Z83" s="0" t="s">
        <v>2326</v>
      </c>
      <c r="AA83" s="0" t="s">
        <v>161</v>
      </c>
      <c r="AB83" s="5" t="n">
        <v>25000</v>
      </c>
      <c r="AC83" s="5" t="n">
        <v>30000</v>
      </c>
      <c r="AD83" s="0" t="s">
        <v>50</v>
      </c>
      <c r="AE83" s="5" t="n">
        <v>5000</v>
      </c>
      <c r="AF83" s="0" t="s">
        <v>60</v>
      </c>
      <c r="AG83" s="7" t="s">
        <v>337</v>
      </c>
      <c r="AH83" s="0" t="s">
        <v>63</v>
      </c>
      <c r="AI83" s="0" t="s">
        <v>116</v>
      </c>
      <c r="AJ83" s="0" t="s">
        <v>2331</v>
      </c>
      <c r="AK83" s="0" t="s">
        <v>63</v>
      </c>
      <c r="AL83" s="0" t="s">
        <v>50</v>
      </c>
      <c r="AM83" s="0" t="s">
        <v>63</v>
      </c>
      <c r="AN83" s="0" t="s">
        <v>64</v>
      </c>
      <c r="AO83" s="0" t="s">
        <v>50</v>
      </c>
    </row>
    <row r="84" customFormat="false" ht="15" hidden="false" customHeight="false" outlineLevel="0" collapsed="false">
      <c r="A84" s="0" t="s">
        <v>351</v>
      </c>
      <c r="B84" s="2" t="s">
        <v>2390</v>
      </c>
      <c r="C84" s="0" t="s">
        <v>163</v>
      </c>
      <c r="D84" s="0" t="n">
        <v>8011327694</v>
      </c>
      <c r="E84" s="0" t="s">
        <v>122</v>
      </c>
      <c r="F84" s="0" t="s">
        <v>2316</v>
      </c>
      <c r="G84" s="0" t="s">
        <v>352</v>
      </c>
      <c r="H84" s="0" t="s">
        <v>107</v>
      </c>
      <c r="I84" s="3" t="s">
        <v>2317</v>
      </c>
      <c r="J84" s="0" t="s">
        <v>2347</v>
      </c>
      <c r="K84" s="0" t="s">
        <v>71</v>
      </c>
      <c r="L84" s="4" t="n">
        <v>65980</v>
      </c>
      <c r="M84" s="0" t="s">
        <v>2333</v>
      </c>
      <c r="N84" s="0" t="s">
        <v>63</v>
      </c>
      <c r="O84" s="5" t="n">
        <v>2</v>
      </c>
      <c r="P84" s="0" t="n">
        <v>2.8</v>
      </c>
      <c r="Q84" s="0" t="s">
        <v>111</v>
      </c>
      <c r="R84" s="0" t="s">
        <v>52</v>
      </c>
      <c r="S84" s="0" t="s">
        <v>2335</v>
      </c>
      <c r="T84" s="0" t="s">
        <v>2353</v>
      </c>
      <c r="U84" s="5" t="n">
        <v>60</v>
      </c>
      <c r="V84" s="0" t="s">
        <v>2336</v>
      </c>
      <c r="W84" s="0" t="s">
        <v>2328</v>
      </c>
      <c r="X84" s="0" t="s">
        <v>98</v>
      </c>
      <c r="Y84" s="0" t="s">
        <v>114</v>
      </c>
      <c r="Z84" s="0" t="s">
        <v>2329</v>
      </c>
      <c r="AA84" s="0" t="s">
        <v>79</v>
      </c>
      <c r="AB84" s="5" t="n">
        <v>40000</v>
      </c>
      <c r="AC84" s="5" t="n">
        <v>31559.2105263158</v>
      </c>
      <c r="AD84" s="0" t="s">
        <v>50</v>
      </c>
      <c r="AE84" s="5" t="n">
        <v>10000</v>
      </c>
      <c r="AF84" s="0" t="s">
        <v>2338</v>
      </c>
      <c r="AG84" s="7" t="s">
        <v>2406</v>
      </c>
      <c r="AH84" s="0" t="s">
        <v>63</v>
      </c>
      <c r="AI84" s="0" t="s">
        <v>2331</v>
      </c>
      <c r="AJ84" s="0" t="s">
        <v>2331</v>
      </c>
      <c r="AK84" s="0" t="s">
        <v>50</v>
      </c>
      <c r="AL84" s="0" t="s">
        <v>63</v>
      </c>
      <c r="AM84" s="0" t="s">
        <v>63</v>
      </c>
      <c r="AN84" s="0" t="s">
        <v>2321</v>
      </c>
      <c r="AO84" s="0" t="s">
        <v>50</v>
      </c>
    </row>
    <row r="85" customFormat="false" ht="15" hidden="false" customHeight="false" outlineLevel="0" collapsed="false">
      <c r="A85" s="0" t="s">
        <v>354</v>
      </c>
      <c r="B85" s="2" t="s">
        <v>353</v>
      </c>
      <c r="C85" s="0" t="s">
        <v>42</v>
      </c>
      <c r="D85" s="0" t="n">
        <v>8019896028</v>
      </c>
      <c r="E85" s="0" t="s">
        <v>85</v>
      </c>
      <c r="F85" s="0" t="s">
        <v>2319</v>
      </c>
      <c r="G85" s="0" t="s">
        <v>355</v>
      </c>
      <c r="H85" s="0" t="s">
        <v>87</v>
      </c>
      <c r="I85" s="3" t="s">
        <v>87</v>
      </c>
      <c r="J85" s="0" t="s">
        <v>189</v>
      </c>
      <c r="K85" s="0" t="s">
        <v>90</v>
      </c>
      <c r="L85" s="4" t="n">
        <v>114779</v>
      </c>
      <c r="M85" s="0" t="s">
        <v>2333</v>
      </c>
      <c r="N85" s="0" t="s">
        <v>63</v>
      </c>
      <c r="O85" s="5" t="n">
        <v>2</v>
      </c>
      <c r="P85" s="0" t="n">
        <v>2.5</v>
      </c>
      <c r="Q85" s="0" t="s">
        <v>51</v>
      </c>
      <c r="R85" s="0" t="s">
        <v>52</v>
      </c>
      <c r="S85" s="0" t="s">
        <v>53</v>
      </c>
      <c r="T85" s="0" t="s">
        <v>95</v>
      </c>
      <c r="U85" s="5" t="n">
        <v>60</v>
      </c>
      <c r="V85" s="0" t="s">
        <v>2352</v>
      </c>
      <c r="W85" s="0" t="s">
        <v>155</v>
      </c>
      <c r="X85" s="0" t="s">
        <v>98</v>
      </c>
      <c r="Y85" s="0" t="s">
        <v>99</v>
      </c>
      <c r="Z85" s="0" t="s">
        <v>2329</v>
      </c>
      <c r="AA85" s="0" t="s">
        <v>79</v>
      </c>
      <c r="AB85" s="5" t="n">
        <v>25555.5555555556</v>
      </c>
      <c r="AC85" s="5" t="n">
        <v>40000</v>
      </c>
      <c r="AD85" s="0" t="s">
        <v>50</v>
      </c>
      <c r="AE85" s="5" t="n">
        <v>5000</v>
      </c>
      <c r="AF85" s="0" t="s">
        <v>60</v>
      </c>
      <c r="AG85" s="7" t="s">
        <v>2042</v>
      </c>
      <c r="AH85" s="0" t="s">
        <v>2329</v>
      </c>
      <c r="AI85" s="0" t="s">
        <v>2331</v>
      </c>
      <c r="AJ85" s="0" t="s">
        <v>2320</v>
      </c>
      <c r="AK85" s="0" t="s">
        <v>63</v>
      </c>
      <c r="AL85" s="0" t="s">
        <v>50</v>
      </c>
      <c r="AM85" s="0" t="s">
        <v>63</v>
      </c>
      <c r="AN85" s="0" t="s">
        <v>64</v>
      </c>
      <c r="AO85" s="0" t="s">
        <v>63</v>
      </c>
    </row>
    <row r="86" customFormat="false" ht="15" hidden="false" customHeight="false" outlineLevel="0" collapsed="false">
      <c r="A86" s="0" t="s">
        <v>356</v>
      </c>
      <c r="B86" s="2" t="s">
        <v>2368</v>
      </c>
      <c r="C86" s="0" t="s">
        <v>66</v>
      </c>
      <c r="D86" s="0" t="n">
        <v>8058034735</v>
      </c>
      <c r="E86" s="0" t="s">
        <v>139</v>
      </c>
      <c r="F86" s="0" t="s">
        <v>2323</v>
      </c>
      <c r="G86" s="0" t="s">
        <v>357</v>
      </c>
      <c r="H86" s="0" t="s">
        <v>87</v>
      </c>
      <c r="I86" s="3" t="s">
        <v>2322</v>
      </c>
      <c r="J86" s="0" t="s">
        <v>2349</v>
      </c>
      <c r="K86" s="0" t="s">
        <v>109</v>
      </c>
      <c r="L86" s="4" t="n">
        <v>52854</v>
      </c>
      <c r="M86" s="0" t="s">
        <v>110</v>
      </c>
      <c r="N86" s="0" t="s">
        <v>50</v>
      </c>
      <c r="O86" s="5" t="n">
        <v>1</v>
      </c>
      <c r="P86" s="0" t="n">
        <v>3.8</v>
      </c>
      <c r="Q86" s="0" t="s">
        <v>2334</v>
      </c>
      <c r="R86" s="0" t="s">
        <v>52</v>
      </c>
      <c r="S86" s="0" t="s">
        <v>53</v>
      </c>
      <c r="T86" s="0" t="s">
        <v>95</v>
      </c>
      <c r="U86" s="5" t="n">
        <v>30</v>
      </c>
      <c r="V86" s="0" t="s">
        <v>96</v>
      </c>
      <c r="W86" s="0" t="s">
        <v>2337</v>
      </c>
      <c r="X86" s="0" t="s">
        <v>128</v>
      </c>
      <c r="Y86" s="0" t="s">
        <v>99</v>
      </c>
      <c r="Z86" s="0" t="s">
        <v>2329</v>
      </c>
      <c r="AA86" s="0" t="s">
        <v>79</v>
      </c>
      <c r="AB86" s="5" t="n">
        <v>30000</v>
      </c>
      <c r="AC86" s="5" t="n">
        <v>35000</v>
      </c>
      <c r="AD86" s="0" t="s">
        <v>50</v>
      </c>
      <c r="AE86" s="5" t="n">
        <v>10000</v>
      </c>
      <c r="AF86" s="0" t="s">
        <v>60</v>
      </c>
      <c r="AG86" s="7" t="s">
        <v>2389</v>
      </c>
      <c r="AH86" s="0" t="s">
        <v>2329</v>
      </c>
      <c r="AI86" s="0" t="s">
        <v>2331</v>
      </c>
      <c r="AJ86" s="0" t="s">
        <v>2320</v>
      </c>
      <c r="AK86" s="0" t="s">
        <v>50</v>
      </c>
      <c r="AL86" s="0" t="s">
        <v>50</v>
      </c>
      <c r="AM86" s="0" t="s">
        <v>63</v>
      </c>
      <c r="AN86" s="0" t="s">
        <v>2321</v>
      </c>
      <c r="AO86" s="0" t="s">
        <v>2359</v>
      </c>
    </row>
    <row r="87" customFormat="false" ht="15" hidden="false" customHeight="false" outlineLevel="0" collapsed="false">
      <c r="A87" s="0" t="s">
        <v>358</v>
      </c>
      <c r="B87" s="2" t="s">
        <v>2407</v>
      </c>
      <c r="C87" s="0" t="s">
        <v>42</v>
      </c>
      <c r="D87" s="0" t="n">
        <v>8014028892</v>
      </c>
      <c r="E87" s="0" t="s">
        <v>43</v>
      </c>
      <c r="F87" s="0" t="s">
        <v>2315</v>
      </c>
      <c r="G87" s="0" t="s">
        <v>359</v>
      </c>
      <c r="H87" s="0" t="s">
        <v>134</v>
      </c>
      <c r="I87" s="3" t="s">
        <v>2317</v>
      </c>
      <c r="J87" s="0" t="s">
        <v>2347</v>
      </c>
      <c r="K87" s="0" t="s">
        <v>48</v>
      </c>
      <c r="L87" s="4" t="n">
        <v>96146</v>
      </c>
      <c r="M87" s="0" t="s">
        <v>49</v>
      </c>
      <c r="N87" s="0" t="s">
        <v>50</v>
      </c>
      <c r="O87" s="5" t="n">
        <v>1</v>
      </c>
      <c r="P87" s="0" t="n">
        <v>4.8</v>
      </c>
      <c r="Q87" s="0" t="s">
        <v>111</v>
      </c>
      <c r="R87" s="0" t="s">
        <v>73</v>
      </c>
      <c r="S87" s="0" t="s">
        <v>2335</v>
      </c>
      <c r="T87" s="0" t="s">
        <v>95</v>
      </c>
      <c r="U87" s="5" t="n">
        <v>15</v>
      </c>
      <c r="V87" s="0" t="s">
        <v>2336</v>
      </c>
      <c r="W87" s="0" t="s">
        <v>2328</v>
      </c>
      <c r="X87" s="0" t="s">
        <v>78</v>
      </c>
      <c r="Y87" s="0" t="s">
        <v>196</v>
      </c>
      <c r="Z87" s="0" t="s">
        <v>2326</v>
      </c>
      <c r="AA87" s="0" t="s">
        <v>149</v>
      </c>
      <c r="AB87" s="5" t="n">
        <v>15000</v>
      </c>
      <c r="AC87" s="5" t="n">
        <v>20000</v>
      </c>
      <c r="AD87" s="0" t="s">
        <v>63</v>
      </c>
      <c r="AE87" s="5" t="n">
        <v>10000</v>
      </c>
      <c r="AF87" s="0" t="s">
        <v>2338</v>
      </c>
      <c r="AG87" s="7" t="s">
        <v>360</v>
      </c>
      <c r="AH87" s="0" t="s">
        <v>63</v>
      </c>
      <c r="AI87" s="0" t="s">
        <v>116</v>
      </c>
      <c r="AJ87" s="0" t="s">
        <v>2320</v>
      </c>
      <c r="AK87" s="0" t="s">
        <v>50</v>
      </c>
      <c r="AL87" s="0" t="s">
        <v>2344</v>
      </c>
      <c r="AM87" s="0" t="s">
        <v>2344</v>
      </c>
      <c r="AN87" s="0" t="s">
        <v>2321</v>
      </c>
      <c r="AO87" s="0" t="s">
        <v>63</v>
      </c>
    </row>
    <row r="88" customFormat="false" ht="15" hidden="false" customHeight="false" outlineLevel="0" collapsed="false">
      <c r="A88" s="0" t="s">
        <v>361</v>
      </c>
      <c r="B88" s="2" t="s">
        <v>2162</v>
      </c>
      <c r="C88" s="0" t="s">
        <v>163</v>
      </c>
      <c r="D88" s="0" t="n">
        <v>8084449447</v>
      </c>
      <c r="E88" s="0" t="s">
        <v>139</v>
      </c>
      <c r="F88" s="0" t="s">
        <v>2323</v>
      </c>
      <c r="G88" s="0" t="s">
        <v>362</v>
      </c>
      <c r="H88" s="0" t="s">
        <v>69</v>
      </c>
      <c r="I88" s="3" t="s">
        <v>2325</v>
      </c>
      <c r="J88" s="0" t="s">
        <v>2339</v>
      </c>
      <c r="K88" s="0" t="s">
        <v>71</v>
      </c>
      <c r="L88" s="4" t="n">
        <v>86700</v>
      </c>
      <c r="M88" s="0" t="s">
        <v>2333</v>
      </c>
      <c r="N88" s="0" t="s">
        <v>63</v>
      </c>
      <c r="O88" s="5" t="n">
        <v>5</v>
      </c>
      <c r="P88" s="0" t="n">
        <v>2</v>
      </c>
      <c r="Q88" s="0" t="s">
        <v>51</v>
      </c>
      <c r="R88" s="0" t="s">
        <v>52</v>
      </c>
      <c r="S88" s="0" t="s">
        <v>2340</v>
      </c>
      <c r="T88" s="0" t="s">
        <v>54</v>
      </c>
      <c r="U88" s="5" t="n">
        <v>15</v>
      </c>
      <c r="V88" s="0" t="s">
        <v>55</v>
      </c>
      <c r="W88" s="0" t="s">
        <v>148</v>
      </c>
      <c r="X88" s="0" t="s">
        <v>98</v>
      </c>
      <c r="Y88" s="0" t="s">
        <v>196</v>
      </c>
      <c r="Z88" s="0" t="s">
        <v>177</v>
      </c>
      <c r="AA88" s="0" t="s">
        <v>2329</v>
      </c>
      <c r="AB88" s="5" t="n">
        <v>25000</v>
      </c>
      <c r="AC88" s="5" t="n">
        <v>40000</v>
      </c>
      <c r="AD88" s="0" t="s">
        <v>63</v>
      </c>
      <c r="AE88" s="5" t="n">
        <v>0</v>
      </c>
      <c r="AF88" s="0" t="s">
        <v>2338</v>
      </c>
      <c r="AG88" s="7" t="s">
        <v>2209</v>
      </c>
      <c r="AH88" s="0" t="s">
        <v>63</v>
      </c>
      <c r="AI88" s="0" t="s">
        <v>2331</v>
      </c>
      <c r="AJ88" s="0" t="s">
        <v>2320</v>
      </c>
      <c r="AK88" s="0" t="s">
        <v>50</v>
      </c>
      <c r="AL88" s="0" t="s">
        <v>50</v>
      </c>
      <c r="AM88" s="0" t="s">
        <v>2344</v>
      </c>
      <c r="AN88" s="0" t="s">
        <v>2318</v>
      </c>
      <c r="AO88" s="0" t="s">
        <v>2359</v>
      </c>
    </row>
    <row r="89" customFormat="false" ht="15" hidden="false" customHeight="false" outlineLevel="0" collapsed="false">
      <c r="A89" s="0" t="s">
        <v>363</v>
      </c>
      <c r="B89" s="2" t="s">
        <v>2408</v>
      </c>
      <c r="C89" s="0" t="s">
        <v>121</v>
      </c>
      <c r="D89" s="0" t="n">
        <v>8025460445</v>
      </c>
      <c r="E89" s="0" t="s">
        <v>139</v>
      </c>
      <c r="F89" s="0" t="s">
        <v>2323</v>
      </c>
      <c r="G89" s="0" t="s">
        <v>364</v>
      </c>
      <c r="H89" s="0" t="s">
        <v>45</v>
      </c>
      <c r="I89" s="3" t="s">
        <v>87</v>
      </c>
      <c r="J89" s="0" t="s">
        <v>47</v>
      </c>
      <c r="K89" s="0" t="s">
        <v>109</v>
      </c>
      <c r="L89" s="4" t="n">
        <v>19877</v>
      </c>
      <c r="M89" s="0" t="s">
        <v>110</v>
      </c>
      <c r="N89" s="0" t="s">
        <v>63</v>
      </c>
      <c r="O89" s="5" t="n">
        <v>4</v>
      </c>
      <c r="P89" s="0" t="n">
        <v>3.2</v>
      </c>
      <c r="Q89" s="0" t="s">
        <v>125</v>
      </c>
      <c r="R89" s="0" t="s">
        <v>73</v>
      </c>
      <c r="S89" s="0" t="s">
        <v>2366</v>
      </c>
      <c r="T89" s="0" t="s">
        <v>75</v>
      </c>
      <c r="U89" s="5" t="n">
        <v>37.375</v>
      </c>
      <c r="V89" s="0" t="s">
        <v>2336</v>
      </c>
      <c r="W89" s="0" t="s">
        <v>155</v>
      </c>
      <c r="X89" s="0" t="s">
        <v>128</v>
      </c>
      <c r="Y89" s="0" t="s">
        <v>58</v>
      </c>
      <c r="Z89" s="0" t="s">
        <v>2329</v>
      </c>
      <c r="AA89" s="0" t="s">
        <v>143</v>
      </c>
      <c r="AB89" s="5" t="n">
        <v>20000</v>
      </c>
      <c r="AC89" s="5" t="n">
        <v>30000</v>
      </c>
      <c r="AD89" s="0" t="s">
        <v>63</v>
      </c>
      <c r="AE89" s="5" t="n">
        <v>5000</v>
      </c>
      <c r="AF89" s="0" t="s">
        <v>2338</v>
      </c>
      <c r="AG89" s="7" t="s">
        <v>2330</v>
      </c>
      <c r="AH89" s="0" t="s">
        <v>63</v>
      </c>
      <c r="AI89" s="0" t="s">
        <v>116</v>
      </c>
      <c r="AJ89" s="0" t="s">
        <v>2320</v>
      </c>
      <c r="AK89" s="0" t="s">
        <v>50</v>
      </c>
      <c r="AL89" s="0" t="s">
        <v>2344</v>
      </c>
      <c r="AM89" s="0" t="s">
        <v>2344</v>
      </c>
      <c r="AN89" s="0" t="s">
        <v>2321</v>
      </c>
      <c r="AO89" s="0" t="s">
        <v>63</v>
      </c>
    </row>
    <row r="90" customFormat="false" ht="15" hidden="false" customHeight="false" outlineLevel="0" collapsed="false">
      <c r="A90" s="0" t="s">
        <v>365</v>
      </c>
      <c r="B90" s="2" t="s">
        <v>2409</v>
      </c>
      <c r="C90" s="0" t="s">
        <v>66</v>
      </c>
      <c r="D90" s="0" t="n">
        <v>8029112869</v>
      </c>
      <c r="E90" s="0" t="s">
        <v>43</v>
      </c>
      <c r="F90" s="0" t="s">
        <v>2315</v>
      </c>
      <c r="G90" s="0" t="s">
        <v>366</v>
      </c>
      <c r="H90" s="0" t="s">
        <v>69</v>
      </c>
      <c r="I90" s="3" t="s">
        <v>2317</v>
      </c>
      <c r="J90" s="0" t="s">
        <v>2347</v>
      </c>
      <c r="K90" s="0" t="s">
        <v>48</v>
      </c>
      <c r="L90" s="4" t="n">
        <v>93932</v>
      </c>
      <c r="M90" s="0" t="s">
        <v>2333</v>
      </c>
      <c r="N90" s="0" t="s">
        <v>50</v>
      </c>
      <c r="O90" s="5" t="n">
        <v>2</v>
      </c>
      <c r="P90" s="0" t="n">
        <v>3.7</v>
      </c>
      <c r="Q90" s="0" t="s">
        <v>111</v>
      </c>
      <c r="R90" s="0" t="s">
        <v>93</v>
      </c>
      <c r="S90" s="0" t="s">
        <v>53</v>
      </c>
      <c r="T90" s="0" t="s">
        <v>54</v>
      </c>
      <c r="U90" s="5" t="n">
        <v>38.6785714285714</v>
      </c>
      <c r="V90" s="0" t="s">
        <v>96</v>
      </c>
      <c r="W90" s="0" t="s">
        <v>148</v>
      </c>
      <c r="X90" s="0" t="s">
        <v>78</v>
      </c>
      <c r="Y90" s="0" t="s">
        <v>196</v>
      </c>
      <c r="Z90" s="0" t="s">
        <v>59</v>
      </c>
      <c r="AA90" s="0" t="s">
        <v>161</v>
      </c>
      <c r="AB90" s="5" t="n">
        <v>40000</v>
      </c>
      <c r="AC90" s="5" t="n">
        <v>20000</v>
      </c>
      <c r="AD90" s="0" t="s">
        <v>63</v>
      </c>
      <c r="AE90" s="5" t="n">
        <v>0</v>
      </c>
      <c r="AF90" s="0" t="s">
        <v>2338</v>
      </c>
      <c r="AG90" s="7" t="s">
        <v>2330</v>
      </c>
      <c r="AH90" s="0" t="s">
        <v>50</v>
      </c>
      <c r="AI90" s="0" t="s">
        <v>2331</v>
      </c>
      <c r="AJ90" s="0" t="s">
        <v>117</v>
      </c>
      <c r="AK90" s="0" t="s">
        <v>63</v>
      </c>
      <c r="AL90" s="0" t="s">
        <v>50</v>
      </c>
      <c r="AM90" s="0" t="s">
        <v>2344</v>
      </c>
      <c r="AN90" s="0" t="s">
        <v>2321</v>
      </c>
      <c r="AO90" s="0" t="s">
        <v>50</v>
      </c>
    </row>
    <row r="91" customFormat="false" ht="15" hidden="false" customHeight="false" outlineLevel="0" collapsed="false">
      <c r="A91" s="0" t="s">
        <v>367</v>
      </c>
      <c r="B91" s="2" t="s">
        <v>576</v>
      </c>
      <c r="C91" s="0" t="s">
        <v>163</v>
      </c>
      <c r="D91" s="0" t="n">
        <v>8049000479</v>
      </c>
      <c r="E91" s="0" t="s">
        <v>139</v>
      </c>
      <c r="F91" s="0" t="s">
        <v>2323</v>
      </c>
      <c r="G91" s="0" t="s">
        <v>368</v>
      </c>
      <c r="H91" s="0" t="s">
        <v>45</v>
      </c>
      <c r="I91" s="3" t="s">
        <v>2342</v>
      </c>
      <c r="J91" s="0" t="s">
        <v>2341</v>
      </c>
      <c r="K91" s="0" t="s">
        <v>109</v>
      </c>
      <c r="L91" s="4" t="n">
        <v>49740</v>
      </c>
      <c r="M91" s="0" t="s">
        <v>110</v>
      </c>
      <c r="N91" s="0" t="s">
        <v>50</v>
      </c>
      <c r="O91" s="5" t="n">
        <v>1</v>
      </c>
      <c r="P91" s="0" t="n">
        <v>5.2</v>
      </c>
      <c r="Q91" s="0" t="s">
        <v>111</v>
      </c>
      <c r="R91" s="0" t="s">
        <v>93</v>
      </c>
      <c r="S91" s="0" t="s">
        <v>2335</v>
      </c>
      <c r="T91" s="0" t="s">
        <v>2353</v>
      </c>
      <c r="U91" s="5" t="n">
        <v>30</v>
      </c>
      <c r="V91" s="0" t="s">
        <v>96</v>
      </c>
      <c r="W91" s="0" t="s">
        <v>155</v>
      </c>
      <c r="X91" s="0" t="s">
        <v>128</v>
      </c>
      <c r="Y91" s="0" t="s">
        <v>196</v>
      </c>
      <c r="Z91" s="0" t="s">
        <v>177</v>
      </c>
      <c r="AA91" s="0" t="s">
        <v>161</v>
      </c>
      <c r="AB91" s="5" t="n">
        <v>40000</v>
      </c>
      <c r="AC91" s="5" t="n">
        <v>35000</v>
      </c>
      <c r="AD91" s="0" t="s">
        <v>50</v>
      </c>
      <c r="AE91" s="5" t="n">
        <v>10000</v>
      </c>
      <c r="AF91" s="0" t="s">
        <v>184</v>
      </c>
      <c r="AG91" s="7" t="s">
        <v>2395</v>
      </c>
      <c r="AH91" s="0" t="s">
        <v>63</v>
      </c>
      <c r="AI91" s="0" t="s">
        <v>2331</v>
      </c>
      <c r="AJ91" s="0" t="s">
        <v>2320</v>
      </c>
      <c r="AK91" s="0" t="s">
        <v>50</v>
      </c>
      <c r="AL91" s="0" t="s">
        <v>50</v>
      </c>
      <c r="AM91" s="0" t="s">
        <v>63</v>
      </c>
      <c r="AN91" s="0" t="s">
        <v>2321</v>
      </c>
      <c r="AO91" s="0" t="s">
        <v>50</v>
      </c>
    </row>
    <row r="92" customFormat="false" ht="15" hidden="false" customHeight="false" outlineLevel="0" collapsed="false">
      <c r="A92" s="0" t="s">
        <v>369</v>
      </c>
      <c r="B92" s="2" t="s">
        <v>791</v>
      </c>
      <c r="C92" s="0" t="s">
        <v>105</v>
      </c>
      <c r="D92" s="0" t="n">
        <v>8069110577</v>
      </c>
      <c r="E92" s="0" t="s">
        <v>139</v>
      </c>
      <c r="F92" s="0" t="s">
        <v>2323</v>
      </c>
      <c r="G92" s="0" t="s">
        <v>370</v>
      </c>
      <c r="H92" s="0" t="s">
        <v>134</v>
      </c>
      <c r="I92" s="3" t="s">
        <v>2325</v>
      </c>
      <c r="J92" s="0" t="s">
        <v>47</v>
      </c>
      <c r="K92" s="0" t="s">
        <v>109</v>
      </c>
      <c r="L92" s="4" t="n">
        <v>40968</v>
      </c>
      <c r="M92" s="0" t="s">
        <v>110</v>
      </c>
      <c r="N92" s="0" t="s">
        <v>63</v>
      </c>
      <c r="O92" s="5" t="n">
        <v>2.9868073878628</v>
      </c>
      <c r="P92" s="0" t="n">
        <v>6</v>
      </c>
      <c r="Q92" s="0" t="s">
        <v>92</v>
      </c>
      <c r="R92" s="0" t="s">
        <v>52</v>
      </c>
      <c r="S92" s="0" t="s">
        <v>53</v>
      </c>
      <c r="T92" s="0" t="s">
        <v>75</v>
      </c>
      <c r="U92" s="5" t="n">
        <v>30</v>
      </c>
      <c r="V92" s="0" t="s">
        <v>112</v>
      </c>
      <c r="W92" s="0" t="s">
        <v>2328</v>
      </c>
      <c r="X92" s="0" t="s">
        <v>128</v>
      </c>
      <c r="Y92" s="0" t="s">
        <v>99</v>
      </c>
      <c r="Z92" s="0" t="s">
        <v>59</v>
      </c>
      <c r="AA92" s="0" t="s">
        <v>143</v>
      </c>
      <c r="AB92" s="5" t="n">
        <v>30000</v>
      </c>
      <c r="AC92" s="5" t="n">
        <v>20000</v>
      </c>
      <c r="AD92" s="0" t="s">
        <v>50</v>
      </c>
      <c r="AE92" s="5" t="n">
        <v>5000</v>
      </c>
      <c r="AF92" s="0" t="s">
        <v>60</v>
      </c>
      <c r="AG92" s="7" t="s">
        <v>2330</v>
      </c>
      <c r="AH92" s="0" t="s">
        <v>50</v>
      </c>
      <c r="AI92" s="0" t="s">
        <v>116</v>
      </c>
      <c r="AJ92" s="0" t="s">
        <v>172</v>
      </c>
      <c r="AK92" s="0" t="s">
        <v>50</v>
      </c>
      <c r="AL92" s="0" t="s">
        <v>63</v>
      </c>
      <c r="AM92" s="0" t="s">
        <v>2344</v>
      </c>
      <c r="AN92" s="0" t="s">
        <v>2321</v>
      </c>
      <c r="AO92" s="0" t="s">
        <v>2359</v>
      </c>
    </row>
    <row r="93" customFormat="false" ht="15" hidden="false" customHeight="false" outlineLevel="0" collapsed="false">
      <c r="A93" s="0" t="s">
        <v>372</v>
      </c>
      <c r="B93" s="2" t="s">
        <v>371</v>
      </c>
      <c r="C93" s="0" t="s">
        <v>105</v>
      </c>
      <c r="D93" s="0" t="n">
        <v>8036092388</v>
      </c>
      <c r="E93" s="0" t="s">
        <v>122</v>
      </c>
      <c r="F93" s="0" t="s">
        <v>2316</v>
      </c>
      <c r="G93" s="0" t="s">
        <v>373</v>
      </c>
      <c r="H93" s="0" t="s">
        <v>107</v>
      </c>
      <c r="I93" s="3" t="s">
        <v>2325</v>
      </c>
      <c r="J93" s="0" t="s">
        <v>2341</v>
      </c>
      <c r="K93" s="0" t="s">
        <v>90</v>
      </c>
      <c r="L93" s="4" t="n">
        <v>82500</v>
      </c>
      <c r="M93" s="0" t="s">
        <v>2333</v>
      </c>
      <c r="N93" s="0" t="s">
        <v>63</v>
      </c>
      <c r="O93" s="5" t="n">
        <v>2</v>
      </c>
      <c r="P93" s="0" t="n">
        <v>3.2</v>
      </c>
      <c r="Q93" s="0" t="s">
        <v>111</v>
      </c>
      <c r="R93" s="0" t="s">
        <v>93</v>
      </c>
      <c r="S93" s="0" t="s">
        <v>2366</v>
      </c>
      <c r="T93" s="0" t="s">
        <v>54</v>
      </c>
      <c r="U93" s="5" t="n">
        <v>45</v>
      </c>
      <c r="V93" s="0" t="s">
        <v>55</v>
      </c>
      <c r="W93" s="0" t="s">
        <v>2328</v>
      </c>
      <c r="X93" s="0" t="s">
        <v>128</v>
      </c>
      <c r="Y93" s="0" t="s">
        <v>196</v>
      </c>
      <c r="Z93" s="0" t="s">
        <v>59</v>
      </c>
      <c r="AA93" s="0" t="s">
        <v>79</v>
      </c>
      <c r="AB93" s="5" t="n">
        <v>30000</v>
      </c>
      <c r="AC93" s="5" t="n">
        <v>30000</v>
      </c>
      <c r="AD93" s="0" t="s">
        <v>63</v>
      </c>
      <c r="AE93" s="5" t="n">
        <v>0</v>
      </c>
      <c r="AF93" s="0" t="s">
        <v>2338</v>
      </c>
      <c r="AG93" s="7" t="s">
        <v>2382</v>
      </c>
      <c r="AH93" s="0" t="s">
        <v>63</v>
      </c>
      <c r="AI93" s="0" t="s">
        <v>2331</v>
      </c>
      <c r="AJ93" s="0" t="s">
        <v>2331</v>
      </c>
      <c r="AK93" s="0" t="s">
        <v>63</v>
      </c>
      <c r="AL93" s="0" t="s">
        <v>50</v>
      </c>
      <c r="AM93" s="0" t="s">
        <v>50</v>
      </c>
      <c r="AN93" s="0" t="s">
        <v>64</v>
      </c>
      <c r="AO93" s="0" t="s">
        <v>50</v>
      </c>
    </row>
    <row r="94" customFormat="false" ht="15" hidden="false" customHeight="false" outlineLevel="0" collapsed="false">
      <c r="A94" s="0" t="s">
        <v>374</v>
      </c>
      <c r="B94" s="2" t="s">
        <v>2410</v>
      </c>
      <c r="C94" s="0" t="s">
        <v>42</v>
      </c>
      <c r="D94" s="0" t="n">
        <v>8094736292</v>
      </c>
      <c r="E94" s="0" t="s">
        <v>85</v>
      </c>
      <c r="F94" s="0" t="s">
        <v>2319</v>
      </c>
      <c r="G94" s="0" t="s">
        <v>375</v>
      </c>
      <c r="H94" s="0" t="s">
        <v>107</v>
      </c>
      <c r="I94" s="3" t="s">
        <v>87</v>
      </c>
      <c r="J94" s="0" t="s">
        <v>47</v>
      </c>
      <c r="K94" s="0" t="s">
        <v>48</v>
      </c>
      <c r="L94" s="4" t="n">
        <v>82175</v>
      </c>
      <c r="M94" s="0" t="s">
        <v>49</v>
      </c>
      <c r="N94" s="0" t="s">
        <v>63</v>
      </c>
      <c r="O94" s="5" t="n">
        <v>1</v>
      </c>
      <c r="P94" s="0" t="n">
        <v>3.8</v>
      </c>
      <c r="Q94" s="0" t="s">
        <v>2334</v>
      </c>
      <c r="R94" s="0" t="s">
        <v>52</v>
      </c>
      <c r="S94" s="0" t="s">
        <v>2340</v>
      </c>
      <c r="T94" s="0" t="s">
        <v>75</v>
      </c>
      <c r="U94" s="5" t="n">
        <v>60</v>
      </c>
      <c r="V94" s="0" t="s">
        <v>96</v>
      </c>
      <c r="W94" s="0" t="s">
        <v>155</v>
      </c>
      <c r="X94" s="0" t="s">
        <v>78</v>
      </c>
      <c r="Y94" s="0" t="s">
        <v>99</v>
      </c>
      <c r="Z94" s="0" t="s">
        <v>2329</v>
      </c>
      <c r="AA94" s="0" t="s">
        <v>2329</v>
      </c>
      <c r="AB94" s="5" t="n">
        <v>30000</v>
      </c>
      <c r="AC94" s="5" t="n">
        <v>35000</v>
      </c>
      <c r="AD94" s="0" t="s">
        <v>63</v>
      </c>
      <c r="AE94" s="5" t="n">
        <v>5000</v>
      </c>
      <c r="AF94" s="0" t="s">
        <v>184</v>
      </c>
      <c r="AG94" s="7" t="s">
        <v>376</v>
      </c>
      <c r="AH94" s="0" t="s">
        <v>2329</v>
      </c>
      <c r="AI94" s="0" t="s">
        <v>116</v>
      </c>
      <c r="AJ94" s="0" t="s">
        <v>2331</v>
      </c>
      <c r="AK94" s="0" t="s">
        <v>50</v>
      </c>
      <c r="AL94" s="0" t="s">
        <v>2344</v>
      </c>
      <c r="AM94" s="0" t="s">
        <v>2344</v>
      </c>
      <c r="AN94" s="0" t="s">
        <v>64</v>
      </c>
      <c r="AO94" s="0" t="s">
        <v>63</v>
      </c>
    </row>
    <row r="95" customFormat="false" ht="15" hidden="false" customHeight="false" outlineLevel="0" collapsed="false">
      <c r="A95" s="0" t="s">
        <v>377</v>
      </c>
      <c r="B95" s="2" t="s">
        <v>2360</v>
      </c>
      <c r="C95" s="0" t="s">
        <v>66</v>
      </c>
      <c r="D95" s="0" t="n">
        <v>8088609496</v>
      </c>
      <c r="E95" s="0" t="s">
        <v>43</v>
      </c>
      <c r="F95" s="0" t="s">
        <v>2315</v>
      </c>
      <c r="G95" s="0" t="s">
        <v>378</v>
      </c>
      <c r="H95" s="0" t="s">
        <v>134</v>
      </c>
      <c r="I95" s="3" t="s">
        <v>87</v>
      </c>
      <c r="J95" s="0" t="s">
        <v>189</v>
      </c>
      <c r="K95" s="0" t="s">
        <v>90</v>
      </c>
      <c r="L95" s="4" t="n">
        <v>28857</v>
      </c>
      <c r="M95" s="0" t="s">
        <v>110</v>
      </c>
      <c r="N95" s="0" t="s">
        <v>63</v>
      </c>
      <c r="O95" s="5" t="n">
        <v>4</v>
      </c>
      <c r="P95" s="0" t="n">
        <v>3.5</v>
      </c>
      <c r="Q95" s="0" t="s">
        <v>125</v>
      </c>
      <c r="R95" s="0" t="s">
        <v>52</v>
      </c>
      <c r="S95" s="0" t="s">
        <v>2340</v>
      </c>
      <c r="T95" s="0" t="s">
        <v>147</v>
      </c>
      <c r="U95" s="5" t="n">
        <v>30</v>
      </c>
      <c r="V95" s="0" t="s">
        <v>55</v>
      </c>
      <c r="W95" s="0" t="s">
        <v>155</v>
      </c>
      <c r="X95" s="0" t="s">
        <v>98</v>
      </c>
      <c r="Y95" s="0" t="s">
        <v>58</v>
      </c>
      <c r="Z95" s="0" t="s">
        <v>2326</v>
      </c>
      <c r="AA95" s="0" t="s">
        <v>161</v>
      </c>
      <c r="AB95" s="5" t="n">
        <v>15000</v>
      </c>
      <c r="AC95" s="5" t="n">
        <v>40000</v>
      </c>
      <c r="AD95" s="0" t="s">
        <v>50</v>
      </c>
      <c r="AE95" s="5" t="n">
        <v>0</v>
      </c>
      <c r="AF95" s="0" t="s">
        <v>184</v>
      </c>
      <c r="AG95" s="7" t="s">
        <v>431</v>
      </c>
      <c r="AH95" s="0" t="s">
        <v>63</v>
      </c>
      <c r="AI95" s="0" t="s">
        <v>2331</v>
      </c>
      <c r="AJ95" s="0" t="s">
        <v>2331</v>
      </c>
      <c r="AK95" s="0" t="s">
        <v>63</v>
      </c>
      <c r="AL95" s="0" t="s">
        <v>50</v>
      </c>
      <c r="AM95" s="0" t="s">
        <v>2344</v>
      </c>
      <c r="AN95" s="0" t="s">
        <v>64</v>
      </c>
      <c r="AO95" s="0" t="s">
        <v>63</v>
      </c>
    </row>
    <row r="96" customFormat="false" ht="15" hidden="false" customHeight="false" outlineLevel="0" collapsed="false">
      <c r="A96" s="0" t="s">
        <v>379</v>
      </c>
      <c r="B96" s="2" t="s">
        <v>975</v>
      </c>
      <c r="C96" s="0" t="s">
        <v>66</v>
      </c>
      <c r="D96" s="0" t="n">
        <v>8058306200</v>
      </c>
      <c r="E96" s="0" t="s">
        <v>43</v>
      </c>
      <c r="F96" s="0" t="s">
        <v>2315</v>
      </c>
      <c r="G96" s="0" t="s">
        <v>380</v>
      </c>
      <c r="H96" s="0" t="s">
        <v>45</v>
      </c>
      <c r="I96" s="3" t="s">
        <v>2325</v>
      </c>
      <c r="J96" s="0" t="s">
        <v>2341</v>
      </c>
      <c r="K96" s="0" t="s">
        <v>48</v>
      </c>
      <c r="L96" s="4" t="n">
        <v>40992</v>
      </c>
      <c r="M96" s="0" t="s">
        <v>49</v>
      </c>
      <c r="N96" s="0" t="s">
        <v>63</v>
      </c>
      <c r="O96" s="5" t="n">
        <v>1</v>
      </c>
      <c r="P96" s="0" t="n">
        <v>3.4</v>
      </c>
      <c r="Q96" s="0" t="s">
        <v>2334</v>
      </c>
      <c r="R96" s="0" t="s">
        <v>93</v>
      </c>
      <c r="S96" s="0" t="s">
        <v>2366</v>
      </c>
      <c r="T96" s="0" t="s">
        <v>2353</v>
      </c>
      <c r="U96" s="5" t="n">
        <v>30</v>
      </c>
      <c r="V96" s="0" t="s">
        <v>96</v>
      </c>
      <c r="W96" s="0" t="s">
        <v>155</v>
      </c>
      <c r="X96" s="0" t="s">
        <v>128</v>
      </c>
      <c r="Y96" s="0" t="s">
        <v>99</v>
      </c>
      <c r="Z96" s="0" t="s">
        <v>2324</v>
      </c>
      <c r="AA96" s="0" t="s">
        <v>143</v>
      </c>
      <c r="AB96" s="5" t="n">
        <v>40000</v>
      </c>
      <c r="AC96" s="5" t="n">
        <v>35000</v>
      </c>
      <c r="AD96" s="0" t="s">
        <v>63</v>
      </c>
      <c r="AE96" s="5" t="n">
        <v>10000</v>
      </c>
      <c r="AF96" s="0" t="s">
        <v>60</v>
      </c>
      <c r="AG96" s="7" t="s">
        <v>2330</v>
      </c>
      <c r="AH96" s="0" t="s">
        <v>50</v>
      </c>
      <c r="AI96" s="0" t="s">
        <v>2331</v>
      </c>
      <c r="AJ96" s="0" t="s">
        <v>117</v>
      </c>
      <c r="AK96" s="0" t="s">
        <v>50</v>
      </c>
      <c r="AL96" s="0" t="s">
        <v>2344</v>
      </c>
      <c r="AM96" s="0" t="s">
        <v>63</v>
      </c>
      <c r="AN96" s="0" t="s">
        <v>64</v>
      </c>
      <c r="AO96" s="0" t="s">
        <v>63</v>
      </c>
    </row>
    <row r="97" customFormat="false" ht="15" hidden="false" customHeight="false" outlineLevel="0" collapsed="false">
      <c r="A97" s="0" t="s">
        <v>381</v>
      </c>
      <c r="B97" s="2" t="s">
        <v>2345</v>
      </c>
      <c r="C97" s="0" t="s">
        <v>42</v>
      </c>
      <c r="D97" s="0" t="n">
        <v>8015892805</v>
      </c>
      <c r="E97" s="0" t="s">
        <v>67</v>
      </c>
      <c r="F97" s="0" t="s">
        <v>2316</v>
      </c>
      <c r="G97" s="0" t="s">
        <v>382</v>
      </c>
      <c r="H97" s="0" t="s">
        <v>134</v>
      </c>
      <c r="I97" s="3" t="s">
        <v>2322</v>
      </c>
      <c r="J97" s="0" t="s">
        <v>2347</v>
      </c>
      <c r="K97" s="0" t="s">
        <v>71</v>
      </c>
      <c r="L97" s="4" t="n">
        <v>31831</v>
      </c>
      <c r="M97" s="0" t="s">
        <v>49</v>
      </c>
      <c r="N97" s="0" t="s">
        <v>63</v>
      </c>
      <c r="O97" s="5" t="n">
        <v>4</v>
      </c>
      <c r="P97" s="0" t="n">
        <v>4.6</v>
      </c>
      <c r="Q97" s="0" t="s">
        <v>2334</v>
      </c>
      <c r="R97" s="0" t="s">
        <v>93</v>
      </c>
      <c r="S97" s="0" t="s">
        <v>2340</v>
      </c>
      <c r="T97" s="0" t="s">
        <v>2343</v>
      </c>
      <c r="U97" s="5" t="n">
        <v>30</v>
      </c>
      <c r="V97" s="0" t="s">
        <v>2352</v>
      </c>
      <c r="W97" s="0" t="s">
        <v>148</v>
      </c>
      <c r="X97" s="0" t="s">
        <v>128</v>
      </c>
      <c r="Y97" s="0" t="s">
        <v>114</v>
      </c>
      <c r="Z97" s="0" t="s">
        <v>59</v>
      </c>
      <c r="AA97" s="0" t="s">
        <v>79</v>
      </c>
      <c r="AB97" s="5" t="n">
        <v>40000</v>
      </c>
      <c r="AC97" s="5" t="n">
        <v>31557.486631016</v>
      </c>
      <c r="AD97" s="0" t="s">
        <v>63</v>
      </c>
      <c r="AE97" s="5" t="n">
        <v>5000</v>
      </c>
      <c r="AF97" s="0" t="s">
        <v>2338</v>
      </c>
      <c r="AG97" s="7" t="s">
        <v>2367</v>
      </c>
      <c r="AH97" s="0" t="s">
        <v>63</v>
      </c>
      <c r="AI97" s="0" t="s">
        <v>171</v>
      </c>
      <c r="AJ97" s="0" t="s">
        <v>172</v>
      </c>
      <c r="AK97" s="0" t="s">
        <v>50</v>
      </c>
      <c r="AL97" s="0" t="s">
        <v>2344</v>
      </c>
      <c r="AM97" s="0" t="s">
        <v>63</v>
      </c>
      <c r="AN97" s="0" t="s">
        <v>2321</v>
      </c>
      <c r="AO97" s="0" t="s">
        <v>50</v>
      </c>
    </row>
    <row r="98" customFormat="false" ht="15" hidden="false" customHeight="false" outlineLevel="0" collapsed="false">
      <c r="A98" s="0" t="s">
        <v>383</v>
      </c>
      <c r="B98" s="2" t="s">
        <v>310</v>
      </c>
      <c r="C98" s="0" t="s">
        <v>42</v>
      </c>
      <c r="D98" s="0" t="n">
        <v>8013984330</v>
      </c>
      <c r="E98" s="0" t="s">
        <v>85</v>
      </c>
      <c r="F98" s="0" t="s">
        <v>2319</v>
      </c>
      <c r="G98" s="0" t="s">
        <v>384</v>
      </c>
      <c r="H98" s="0" t="s">
        <v>87</v>
      </c>
      <c r="I98" s="3" t="s">
        <v>2322</v>
      </c>
      <c r="J98" s="0" t="s">
        <v>47</v>
      </c>
      <c r="K98" s="0" t="s">
        <v>48</v>
      </c>
      <c r="L98" s="4" t="n">
        <v>52611</v>
      </c>
      <c r="M98" s="0" t="s">
        <v>2333</v>
      </c>
      <c r="N98" s="0" t="s">
        <v>50</v>
      </c>
      <c r="O98" s="5" t="n">
        <v>3</v>
      </c>
      <c r="P98" s="0" t="n">
        <v>1.1</v>
      </c>
      <c r="Q98" s="0" t="s">
        <v>92</v>
      </c>
      <c r="R98" s="0" t="s">
        <v>93</v>
      </c>
      <c r="S98" s="0" t="s">
        <v>2340</v>
      </c>
      <c r="T98" s="0" t="s">
        <v>95</v>
      </c>
      <c r="U98" s="5" t="n">
        <v>30</v>
      </c>
      <c r="V98" s="0" t="s">
        <v>96</v>
      </c>
      <c r="W98" s="0" t="s">
        <v>2328</v>
      </c>
      <c r="X98" s="0" t="s">
        <v>128</v>
      </c>
      <c r="Y98" s="0" t="s">
        <v>196</v>
      </c>
      <c r="Z98" s="0" t="s">
        <v>2326</v>
      </c>
      <c r="AA98" s="0" t="s">
        <v>79</v>
      </c>
      <c r="AB98" s="5" t="n">
        <v>15000</v>
      </c>
      <c r="AC98" s="5" t="n">
        <v>30000</v>
      </c>
      <c r="AD98" s="0" t="s">
        <v>63</v>
      </c>
      <c r="AE98" s="5" t="n">
        <v>0</v>
      </c>
      <c r="AF98" s="0" t="s">
        <v>2338</v>
      </c>
      <c r="AG98" s="7" t="s">
        <v>700</v>
      </c>
      <c r="AH98" s="0" t="s">
        <v>63</v>
      </c>
      <c r="AI98" s="0" t="s">
        <v>2331</v>
      </c>
      <c r="AJ98" s="0" t="s">
        <v>2331</v>
      </c>
      <c r="AK98" s="0" t="s">
        <v>2344</v>
      </c>
      <c r="AL98" s="0" t="s">
        <v>50</v>
      </c>
      <c r="AM98" s="0" t="s">
        <v>2344</v>
      </c>
      <c r="AN98" s="0" t="s">
        <v>64</v>
      </c>
      <c r="AO98" s="0" t="s">
        <v>63</v>
      </c>
    </row>
    <row r="99" customFormat="false" ht="15" hidden="false" customHeight="false" outlineLevel="0" collapsed="false">
      <c r="A99" s="0" t="s">
        <v>385</v>
      </c>
      <c r="B99" s="2" t="s">
        <v>2402</v>
      </c>
      <c r="C99" s="0" t="s">
        <v>163</v>
      </c>
      <c r="D99" s="0" t="n">
        <v>8036725819</v>
      </c>
      <c r="E99" s="0" t="s">
        <v>139</v>
      </c>
      <c r="F99" s="0" t="s">
        <v>2323</v>
      </c>
      <c r="G99" s="0" t="s">
        <v>386</v>
      </c>
      <c r="H99" s="0" t="s">
        <v>107</v>
      </c>
      <c r="I99" s="3" t="s">
        <v>87</v>
      </c>
      <c r="J99" s="0" t="s">
        <v>189</v>
      </c>
      <c r="K99" s="0" t="s">
        <v>109</v>
      </c>
      <c r="L99" s="4" t="n">
        <v>95631</v>
      </c>
      <c r="M99" s="0" t="s">
        <v>2333</v>
      </c>
      <c r="N99" s="0" t="s">
        <v>50</v>
      </c>
      <c r="O99" s="5" t="n">
        <v>3</v>
      </c>
      <c r="P99" s="0" t="n">
        <v>1.6</v>
      </c>
      <c r="Q99" s="0" t="s">
        <v>125</v>
      </c>
      <c r="R99" s="0" t="s">
        <v>73</v>
      </c>
      <c r="S99" s="0" t="s">
        <v>2366</v>
      </c>
      <c r="T99" s="0" t="s">
        <v>2353</v>
      </c>
      <c r="U99" s="5" t="n">
        <v>45</v>
      </c>
      <c r="V99" s="0" t="s">
        <v>2352</v>
      </c>
      <c r="W99" s="0" t="s">
        <v>155</v>
      </c>
      <c r="X99" s="0" t="s">
        <v>98</v>
      </c>
      <c r="Y99" s="0" t="s">
        <v>114</v>
      </c>
      <c r="Z99" s="0" t="s">
        <v>2329</v>
      </c>
      <c r="AA99" s="0" t="s">
        <v>79</v>
      </c>
      <c r="AB99" s="5" t="n">
        <v>15000</v>
      </c>
      <c r="AC99" s="5" t="n">
        <v>30000</v>
      </c>
      <c r="AD99" s="0" t="s">
        <v>50</v>
      </c>
      <c r="AE99" s="5" t="n">
        <v>5000</v>
      </c>
      <c r="AF99" s="0" t="s">
        <v>2338</v>
      </c>
      <c r="AG99" s="7" t="s">
        <v>537</v>
      </c>
      <c r="AH99" s="0" t="s">
        <v>50</v>
      </c>
      <c r="AI99" s="0" t="s">
        <v>116</v>
      </c>
      <c r="AJ99" s="0" t="s">
        <v>117</v>
      </c>
      <c r="AK99" s="0" t="s">
        <v>50</v>
      </c>
      <c r="AL99" s="0" t="s">
        <v>63</v>
      </c>
      <c r="AM99" s="0" t="s">
        <v>2344</v>
      </c>
      <c r="AN99" s="0" t="s">
        <v>64</v>
      </c>
      <c r="AO99" s="0" t="s">
        <v>50</v>
      </c>
    </row>
    <row r="100" customFormat="false" ht="15" hidden="false" customHeight="false" outlineLevel="0" collapsed="false">
      <c r="A100" s="0" t="s">
        <v>388</v>
      </c>
      <c r="B100" s="2" t="s">
        <v>387</v>
      </c>
      <c r="C100" s="0" t="s">
        <v>163</v>
      </c>
      <c r="D100" s="0" t="n">
        <v>8036551621</v>
      </c>
      <c r="E100" s="0" t="s">
        <v>122</v>
      </c>
      <c r="F100" s="0" t="s">
        <v>2316</v>
      </c>
      <c r="G100" s="0" t="s">
        <v>389</v>
      </c>
      <c r="H100" s="0" t="s">
        <v>87</v>
      </c>
      <c r="I100" s="3" t="s">
        <v>2322</v>
      </c>
      <c r="J100" s="0" t="s">
        <v>2347</v>
      </c>
      <c r="K100" s="0" t="s">
        <v>90</v>
      </c>
      <c r="L100" s="4" t="n">
        <v>57669</v>
      </c>
      <c r="M100" s="0" t="s">
        <v>110</v>
      </c>
      <c r="N100" s="0" t="s">
        <v>63</v>
      </c>
      <c r="O100" s="5" t="n">
        <v>5</v>
      </c>
      <c r="P100" s="0" t="n">
        <v>3.4</v>
      </c>
      <c r="Q100" s="0" t="s">
        <v>51</v>
      </c>
      <c r="R100" s="0" t="s">
        <v>73</v>
      </c>
      <c r="S100" s="0" t="s">
        <v>2335</v>
      </c>
      <c r="T100" s="0" t="s">
        <v>95</v>
      </c>
      <c r="U100" s="5" t="n">
        <v>15</v>
      </c>
      <c r="V100" s="0" t="s">
        <v>55</v>
      </c>
      <c r="W100" s="0" t="s">
        <v>155</v>
      </c>
      <c r="X100" s="0" t="s">
        <v>98</v>
      </c>
      <c r="Y100" s="0" t="s">
        <v>58</v>
      </c>
      <c r="Z100" s="0" t="s">
        <v>2329</v>
      </c>
      <c r="AA100" s="0" t="s">
        <v>79</v>
      </c>
      <c r="AB100" s="5" t="n">
        <v>30000</v>
      </c>
      <c r="AC100" s="5" t="n">
        <v>40000</v>
      </c>
      <c r="AD100" s="0" t="s">
        <v>50</v>
      </c>
      <c r="AE100" s="5" t="n">
        <v>0</v>
      </c>
      <c r="AF100" s="0" t="s">
        <v>60</v>
      </c>
      <c r="AG100" s="7" t="s">
        <v>2330</v>
      </c>
      <c r="AH100" s="0" t="s">
        <v>63</v>
      </c>
      <c r="AI100" s="0" t="s">
        <v>171</v>
      </c>
      <c r="AJ100" s="0" t="s">
        <v>172</v>
      </c>
      <c r="AK100" s="0" t="s">
        <v>63</v>
      </c>
      <c r="AL100" s="0" t="s">
        <v>63</v>
      </c>
      <c r="AM100" s="0" t="s">
        <v>2344</v>
      </c>
      <c r="AN100" s="0" t="s">
        <v>2321</v>
      </c>
      <c r="AO100" s="0" t="s">
        <v>50</v>
      </c>
    </row>
    <row r="101" customFormat="false" ht="15" hidden="false" customHeight="false" outlineLevel="0" collapsed="false">
      <c r="A101" s="0" t="s">
        <v>390</v>
      </c>
      <c r="B101" s="2" t="s">
        <v>2411</v>
      </c>
      <c r="C101" s="0" t="s">
        <v>121</v>
      </c>
      <c r="D101" s="0" t="n">
        <v>8048131375</v>
      </c>
      <c r="E101" s="0" t="s">
        <v>67</v>
      </c>
      <c r="F101" s="0" t="s">
        <v>2316</v>
      </c>
      <c r="G101" s="0" t="s">
        <v>391</v>
      </c>
      <c r="H101" s="0" t="s">
        <v>107</v>
      </c>
      <c r="I101" s="3" t="s">
        <v>2325</v>
      </c>
      <c r="J101" s="0" t="s">
        <v>2349</v>
      </c>
      <c r="K101" s="0" t="s">
        <v>109</v>
      </c>
      <c r="L101" s="4" t="n">
        <v>102074</v>
      </c>
      <c r="M101" s="0" t="s">
        <v>2333</v>
      </c>
      <c r="N101" s="0" t="s">
        <v>63</v>
      </c>
      <c r="O101" s="5" t="n">
        <v>3</v>
      </c>
      <c r="P101" s="0" t="n">
        <v>3.1</v>
      </c>
      <c r="Q101" s="0" t="s">
        <v>51</v>
      </c>
      <c r="R101" s="0" t="s">
        <v>52</v>
      </c>
      <c r="S101" s="0" t="s">
        <v>2340</v>
      </c>
      <c r="T101" s="0" t="s">
        <v>54</v>
      </c>
      <c r="U101" s="5" t="n">
        <v>15</v>
      </c>
      <c r="V101" s="0" t="s">
        <v>112</v>
      </c>
      <c r="W101" s="0" t="s">
        <v>155</v>
      </c>
      <c r="X101" s="0" t="s">
        <v>128</v>
      </c>
      <c r="Y101" s="0" t="s">
        <v>196</v>
      </c>
      <c r="Z101" s="0" t="s">
        <v>2329</v>
      </c>
      <c r="AA101" s="0" t="s">
        <v>161</v>
      </c>
      <c r="AB101" s="5" t="n">
        <v>15000</v>
      </c>
      <c r="AC101" s="5" t="n">
        <v>40000</v>
      </c>
      <c r="AD101" s="0" t="s">
        <v>50</v>
      </c>
      <c r="AE101" s="5" t="n">
        <v>5000</v>
      </c>
      <c r="AF101" s="0" t="s">
        <v>184</v>
      </c>
      <c r="AG101" s="7" t="s">
        <v>2330</v>
      </c>
      <c r="AH101" s="0" t="s">
        <v>63</v>
      </c>
      <c r="AI101" s="0" t="s">
        <v>171</v>
      </c>
      <c r="AJ101" s="0" t="s">
        <v>2331</v>
      </c>
      <c r="AK101" s="0" t="s">
        <v>50</v>
      </c>
      <c r="AL101" s="0" t="s">
        <v>50</v>
      </c>
      <c r="AM101" s="0" t="s">
        <v>63</v>
      </c>
      <c r="AN101" s="0" t="s">
        <v>2318</v>
      </c>
      <c r="AO101" s="0" t="s">
        <v>63</v>
      </c>
    </row>
    <row r="102" customFormat="false" ht="15" hidden="false" customHeight="false" outlineLevel="0" collapsed="false">
      <c r="A102" s="0" t="s">
        <v>2283</v>
      </c>
      <c r="B102" s="2" t="s">
        <v>2282</v>
      </c>
      <c r="C102" s="0" t="s">
        <v>163</v>
      </c>
      <c r="D102" s="0" t="n">
        <v>8022138886</v>
      </c>
      <c r="E102" s="0" t="s">
        <v>85</v>
      </c>
      <c r="F102" s="0" t="s">
        <v>2319</v>
      </c>
      <c r="G102" s="0" t="s">
        <v>2284</v>
      </c>
      <c r="H102" s="0" t="s">
        <v>87</v>
      </c>
      <c r="I102" s="3" t="s">
        <v>87</v>
      </c>
      <c r="J102" s="0" t="s">
        <v>2339</v>
      </c>
      <c r="K102" s="0" t="s">
        <v>109</v>
      </c>
      <c r="L102" s="4" t="n">
        <v>11522</v>
      </c>
      <c r="M102" s="0" t="s">
        <v>2333</v>
      </c>
      <c r="N102" s="0" t="s">
        <v>50</v>
      </c>
      <c r="O102" s="5" t="n">
        <v>2.98798397863818</v>
      </c>
      <c r="P102" s="0" t="n">
        <v>1.9</v>
      </c>
      <c r="Q102" s="0" t="s">
        <v>125</v>
      </c>
      <c r="R102" s="0" t="s">
        <v>93</v>
      </c>
      <c r="S102" s="0" t="s">
        <v>2335</v>
      </c>
      <c r="T102" s="0" t="s">
        <v>54</v>
      </c>
      <c r="U102" s="5" t="n">
        <v>45</v>
      </c>
      <c r="V102" s="0" t="s">
        <v>2352</v>
      </c>
      <c r="W102" s="0" t="s">
        <v>155</v>
      </c>
      <c r="X102" s="0" t="s">
        <v>98</v>
      </c>
      <c r="Y102" s="0" t="s">
        <v>99</v>
      </c>
      <c r="Z102" s="0" t="s">
        <v>59</v>
      </c>
      <c r="AA102" s="0" t="s">
        <v>149</v>
      </c>
      <c r="AB102" s="5" t="n">
        <v>15000</v>
      </c>
      <c r="AC102" s="5" t="n">
        <v>35000</v>
      </c>
      <c r="AD102" s="0" t="s">
        <v>50</v>
      </c>
      <c r="AE102" s="5" t="n">
        <v>5000</v>
      </c>
      <c r="AF102" s="0" t="s">
        <v>184</v>
      </c>
      <c r="AG102" s="7" t="s">
        <v>1063</v>
      </c>
      <c r="AH102" s="0" t="s">
        <v>2329</v>
      </c>
      <c r="AI102" s="0" t="s">
        <v>171</v>
      </c>
      <c r="AJ102" s="0" t="s">
        <v>117</v>
      </c>
      <c r="AK102" s="0" t="s">
        <v>50</v>
      </c>
      <c r="AL102" s="0" t="s">
        <v>50</v>
      </c>
      <c r="AM102" s="0" t="s">
        <v>63</v>
      </c>
      <c r="AN102" s="0" t="s">
        <v>2318</v>
      </c>
      <c r="AO102" s="0" t="s">
        <v>50</v>
      </c>
    </row>
    <row r="103" customFormat="false" ht="15" hidden="false" customHeight="false" outlineLevel="0" collapsed="false">
      <c r="A103" s="0" t="s">
        <v>392</v>
      </c>
      <c r="B103" s="2" t="s">
        <v>468</v>
      </c>
      <c r="C103" s="0" t="s">
        <v>42</v>
      </c>
      <c r="D103" s="0" t="n">
        <v>8033373562</v>
      </c>
      <c r="E103" s="0" t="s">
        <v>43</v>
      </c>
      <c r="F103" s="0" t="s">
        <v>2315</v>
      </c>
      <c r="G103" s="0" t="s">
        <v>393</v>
      </c>
      <c r="H103" s="0" t="s">
        <v>87</v>
      </c>
      <c r="I103" s="3" t="s">
        <v>2322</v>
      </c>
      <c r="J103" s="0" t="s">
        <v>2347</v>
      </c>
      <c r="K103" s="0" t="s">
        <v>109</v>
      </c>
      <c r="L103" s="4" t="n">
        <v>42049</v>
      </c>
      <c r="M103" s="0" t="s">
        <v>110</v>
      </c>
      <c r="N103" s="0" t="s">
        <v>63</v>
      </c>
      <c r="O103" s="5" t="n">
        <v>2</v>
      </c>
      <c r="P103" s="0" t="n">
        <v>4.2</v>
      </c>
      <c r="Q103" s="0" t="s">
        <v>51</v>
      </c>
      <c r="R103" s="0" t="s">
        <v>93</v>
      </c>
      <c r="S103" s="0" t="s">
        <v>53</v>
      </c>
      <c r="T103" s="0" t="s">
        <v>54</v>
      </c>
      <c r="U103" s="5" t="n">
        <v>45</v>
      </c>
      <c r="V103" s="0" t="s">
        <v>2352</v>
      </c>
      <c r="W103" s="0" t="s">
        <v>148</v>
      </c>
      <c r="X103" s="0" t="s">
        <v>128</v>
      </c>
      <c r="Y103" s="0" t="s">
        <v>114</v>
      </c>
      <c r="Z103" s="0" t="s">
        <v>2326</v>
      </c>
      <c r="AA103" s="0" t="s">
        <v>2329</v>
      </c>
      <c r="AB103" s="5" t="n">
        <v>15000</v>
      </c>
      <c r="AC103" s="5" t="n">
        <v>30000</v>
      </c>
      <c r="AD103" s="0" t="s">
        <v>63</v>
      </c>
      <c r="AE103" s="5" t="n">
        <v>0</v>
      </c>
      <c r="AF103" s="0" t="s">
        <v>60</v>
      </c>
      <c r="AG103" s="7" t="s">
        <v>2330</v>
      </c>
      <c r="AH103" s="0" t="s">
        <v>63</v>
      </c>
      <c r="AI103" s="0" t="s">
        <v>2331</v>
      </c>
      <c r="AJ103" s="0" t="s">
        <v>2331</v>
      </c>
      <c r="AK103" s="0" t="s">
        <v>50</v>
      </c>
      <c r="AL103" s="0" t="s">
        <v>63</v>
      </c>
      <c r="AM103" s="0" t="s">
        <v>50</v>
      </c>
      <c r="AN103" s="0" t="s">
        <v>2321</v>
      </c>
      <c r="AO103" s="0" t="s">
        <v>50</v>
      </c>
    </row>
    <row r="104" customFormat="false" ht="15" hidden="false" customHeight="false" outlineLevel="0" collapsed="false">
      <c r="A104" s="0" t="s">
        <v>394</v>
      </c>
      <c r="B104" s="2" t="s">
        <v>2162</v>
      </c>
      <c r="C104" s="0" t="s">
        <v>121</v>
      </c>
      <c r="D104" s="0" t="n">
        <v>8039386305</v>
      </c>
      <c r="E104" s="0" t="s">
        <v>85</v>
      </c>
      <c r="F104" s="0" t="s">
        <v>2319</v>
      </c>
      <c r="G104" s="0" t="s">
        <v>395</v>
      </c>
      <c r="H104" s="0" t="s">
        <v>69</v>
      </c>
      <c r="I104" s="3" t="s">
        <v>2322</v>
      </c>
      <c r="J104" s="0" t="s">
        <v>2339</v>
      </c>
      <c r="K104" s="0" t="s">
        <v>109</v>
      </c>
      <c r="L104" s="4" t="n">
        <v>113461</v>
      </c>
      <c r="M104" s="0" t="s">
        <v>110</v>
      </c>
      <c r="N104" s="0" t="s">
        <v>50</v>
      </c>
      <c r="O104" s="5" t="n">
        <v>3</v>
      </c>
      <c r="P104" s="0" t="n">
        <v>1.2</v>
      </c>
      <c r="Q104" s="0" t="s">
        <v>125</v>
      </c>
      <c r="R104" s="0" t="s">
        <v>73</v>
      </c>
      <c r="S104" s="0" t="s">
        <v>2340</v>
      </c>
      <c r="T104" s="0" t="s">
        <v>2353</v>
      </c>
      <c r="U104" s="5" t="n">
        <v>30</v>
      </c>
      <c r="V104" s="0" t="s">
        <v>112</v>
      </c>
      <c r="W104" s="0" t="s">
        <v>155</v>
      </c>
      <c r="X104" s="0" t="s">
        <v>128</v>
      </c>
      <c r="Y104" s="0" t="s">
        <v>114</v>
      </c>
      <c r="Z104" s="0" t="s">
        <v>2326</v>
      </c>
      <c r="AA104" s="0" t="s">
        <v>161</v>
      </c>
      <c r="AB104" s="5" t="n">
        <v>20000</v>
      </c>
      <c r="AC104" s="5" t="n">
        <v>40000</v>
      </c>
      <c r="AD104" s="0" t="s">
        <v>50</v>
      </c>
      <c r="AE104" s="5" t="n">
        <v>0</v>
      </c>
      <c r="AF104" s="0" t="s">
        <v>184</v>
      </c>
      <c r="AG104" s="7" t="s">
        <v>179</v>
      </c>
      <c r="AH104" s="0" t="s">
        <v>2329</v>
      </c>
      <c r="AI104" s="0" t="s">
        <v>2331</v>
      </c>
      <c r="AJ104" s="0" t="s">
        <v>2320</v>
      </c>
      <c r="AK104" s="0" t="s">
        <v>50</v>
      </c>
      <c r="AL104" s="0" t="s">
        <v>2344</v>
      </c>
      <c r="AM104" s="0" t="s">
        <v>2344</v>
      </c>
      <c r="AN104" s="0" t="s">
        <v>2321</v>
      </c>
      <c r="AO104" s="0" t="s">
        <v>50</v>
      </c>
    </row>
    <row r="105" customFormat="false" ht="15" hidden="false" customHeight="false" outlineLevel="0" collapsed="false">
      <c r="A105" s="0" t="s">
        <v>396</v>
      </c>
      <c r="B105" s="2" t="s">
        <v>2412</v>
      </c>
      <c r="C105" s="0" t="s">
        <v>66</v>
      </c>
      <c r="D105" s="0" t="n">
        <v>8045164890</v>
      </c>
      <c r="E105" s="0" t="s">
        <v>122</v>
      </c>
      <c r="F105" s="0" t="s">
        <v>2316</v>
      </c>
      <c r="G105" s="0" t="s">
        <v>397</v>
      </c>
      <c r="H105" s="0" t="s">
        <v>45</v>
      </c>
      <c r="I105" s="3" t="s">
        <v>2322</v>
      </c>
      <c r="J105" s="0" t="s">
        <v>2339</v>
      </c>
      <c r="K105" s="0" t="s">
        <v>109</v>
      </c>
      <c r="L105" s="4" t="n">
        <v>85707</v>
      </c>
      <c r="M105" s="0" t="s">
        <v>110</v>
      </c>
      <c r="N105" s="0" t="s">
        <v>50</v>
      </c>
      <c r="O105" s="5" t="n">
        <v>2.98929049531459</v>
      </c>
      <c r="P105" s="0" t="n">
        <v>1.6</v>
      </c>
      <c r="Q105" s="0" t="s">
        <v>125</v>
      </c>
      <c r="R105" s="0" t="s">
        <v>52</v>
      </c>
      <c r="S105" s="0" t="s">
        <v>53</v>
      </c>
      <c r="T105" s="0" t="s">
        <v>2353</v>
      </c>
      <c r="U105" s="5" t="n">
        <v>60</v>
      </c>
      <c r="V105" s="0" t="s">
        <v>55</v>
      </c>
      <c r="W105" s="0" t="s">
        <v>155</v>
      </c>
      <c r="X105" s="0" t="s">
        <v>98</v>
      </c>
      <c r="Y105" s="0" t="s">
        <v>196</v>
      </c>
      <c r="Z105" s="0" t="s">
        <v>177</v>
      </c>
      <c r="AA105" s="0" t="s">
        <v>79</v>
      </c>
      <c r="AB105" s="5" t="n">
        <v>15000</v>
      </c>
      <c r="AC105" s="5" t="n">
        <v>40000</v>
      </c>
      <c r="AD105" s="0" t="s">
        <v>50</v>
      </c>
      <c r="AE105" s="5" t="n">
        <v>0</v>
      </c>
      <c r="AF105" s="0" t="s">
        <v>2338</v>
      </c>
      <c r="AG105" s="7" t="s">
        <v>2374</v>
      </c>
      <c r="AH105" s="0" t="s">
        <v>50</v>
      </c>
      <c r="AI105" s="0" t="s">
        <v>171</v>
      </c>
      <c r="AJ105" s="0" t="s">
        <v>2331</v>
      </c>
      <c r="AK105" s="0" t="s">
        <v>63</v>
      </c>
      <c r="AL105" s="0" t="s">
        <v>50</v>
      </c>
      <c r="AM105" s="0" t="s">
        <v>2344</v>
      </c>
      <c r="AN105" s="0" t="s">
        <v>2321</v>
      </c>
      <c r="AO105" s="0" t="s">
        <v>50</v>
      </c>
    </row>
    <row r="106" customFormat="false" ht="15" hidden="false" customHeight="false" outlineLevel="0" collapsed="false">
      <c r="A106" s="0" t="s">
        <v>398</v>
      </c>
      <c r="B106" s="2" t="s">
        <v>576</v>
      </c>
      <c r="C106" s="0" t="s">
        <v>105</v>
      </c>
      <c r="D106" s="0" t="n">
        <v>8033392072</v>
      </c>
      <c r="E106" s="0" t="s">
        <v>43</v>
      </c>
      <c r="F106" s="0" t="s">
        <v>2315</v>
      </c>
      <c r="G106" s="0" t="s">
        <v>399</v>
      </c>
      <c r="H106" s="0" t="s">
        <v>45</v>
      </c>
      <c r="I106" s="3" t="s">
        <v>2322</v>
      </c>
      <c r="J106" s="0" t="s">
        <v>2339</v>
      </c>
      <c r="K106" s="0" t="s">
        <v>90</v>
      </c>
      <c r="L106" s="4" t="n">
        <v>80800</v>
      </c>
      <c r="M106" s="0" t="s">
        <v>110</v>
      </c>
      <c r="N106" s="0" t="s">
        <v>50</v>
      </c>
      <c r="O106" s="5" t="n">
        <v>2.98929049531459</v>
      </c>
      <c r="P106" s="0" t="n">
        <v>4.8</v>
      </c>
      <c r="Q106" s="0" t="s">
        <v>51</v>
      </c>
      <c r="R106" s="0" t="s">
        <v>52</v>
      </c>
      <c r="S106" s="0" t="s">
        <v>53</v>
      </c>
      <c r="T106" s="0" t="s">
        <v>2353</v>
      </c>
      <c r="U106" s="5" t="n">
        <v>30</v>
      </c>
      <c r="V106" s="0" t="s">
        <v>96</v>
      </c>
      <c r="W106" s="0" t="s">
        <v>2328</v>
      </c>
      <c r="X106" s="0" t="s">
        <v>78</v>
      </c>
      <c r="Y106" s="0" t="s">
        <v>114</v>
      </c>
      <c r="Z106" s="0" t="s">
        <v>59</v>
      </c>
      <c r="AA106" s="0" t="s">
        <v>79</v>
      </c>
      <c r="AB106" s="5" t="n">
        <v>20000</v>
      </c>
      <c r="AC106" s="5" t="n">
        <v>31513.5135135135</v>
      </c>
      <c r="AD106" s="0" t="s">
        <v>63</v>
      </c>
      <c r="AE106" s="5" t="n">
        <v>0</v>
      </c>
      <c r="AF106" s="0" t="s">
        <v>130</v>
      </c>
      <c r="AG106" s="7" t="s">
        <v>2330</v>
      </c>
      <c r="AH106" s="0" t="s">
        <v>50</v>
      </c>
      <c r="AI106" s="0" t="s">
        <v>2331</v>
      </c>
      <c r="AJ106" s="0" t="s">
        <v>172</v>
      </c>
      <c r="AK106" s="0" t="s">
        <v>63</v>
      </c>
      <c r="AL106" s="0" t="s">
        <v>63</v>
      </c>
      <c r="AM106" s="0" t="s">
        <v>2344</v>
      </c>
      <c r="AN106" s="0" t="s">
        <v>2321</v>
      </c>
      <c r="AO106" s="0" t="s">
        <v>63</v>
      </c>
    </row>
    <row r="107" customFormat="false" ht="15" hidden="false" customHeight="false" outlineLevel="0" collapsed="false">
      <c r="A107" s="0" t="s">
        <v>400</v>
      </c>
      <c r="B107" s="2" t="s">
        <v>387</v>
      </c>
      <c r="C107" s="0" t="s">
        <v>105</v>
      </c>
      <c r="D107" s="0" t="n">
        <v>8055609531</v>
      </c>
      <c r="E107" s="0" t="s">
        <v>139</v>
      </c>
      <c r="F107" s="0" t="s">
        <v>2323</v>
      </c>
      <c r="G107" s="0" t="s">
        <v>401</v>
      </c>
      <c r="H107" s="0" t="s">
        <v>107</v>
      </c>
      <c r="I107" s="3" t="s">
        <v>2317</v>
      </c>
      <c r="J107" s="0" t="s">
        <v>2347</v>
      </c>
      <c r="K107" s="0" t="s">
        <v>90</v>
      </c>
      <c r="L107" s="4" t="n">
        <v>36632</v>
      </c>
      <c r="M107" s="0" t="s">
        <v>49</v>
      </c>
      <c r="N107" s="0" t="s">
        <v>50</v>
      </c>
      <c r="O107" s="5" t="n">
        <v>4</v>
      </c>
      <c r="P107" s="0" t="n">
        <v>3.1</v>
      </c>
      <c r="Q107" s="0" t="s">
        <v>125</v>
      </c>
      <c r="R107" s="0" t="s">
        <v>73</v>
      </c>
      <c r="S107" s="0" t="s">
        <v>53</v>
      </c>
      <c r="T107" s="0" t="s">
        <v>95</v>
      </c>
      <c r="U107" s="5" t="n">
        <v>30</v>
      </c>
      <c r="V107" s="0" t="s">
        <v>96</v>
      </c>
      <c r="W107" s="0" t="s">
        <v>2337</v>
      </c>
      <c r="X107" s="0" t="s">
        <v>78</v>
      </c>
      <c r="Y107" s="0" t="s">
        <v>196</v>
      </c>
      <c r="Z107" s="0" t="s">
        <v>2329</v>
      </c>
      <c r="AA107" s="0" t="s">
        <v>79</v>
      </c>
      <c r="AB107" s="5" t="n">
        <v>30000</v>
      </c>
      <c r="AC107" s="5" t="n">
        <v>30000</v>
      </c>
      <c r="AD107" s="0" t="s">
        <v>63</v>
      </c>
      <c r="AE107" s="5" t="n">
        <v>0</v>
      </c>
      <c r="AF107" s="0" t="s">
        <v>184</v>
      </c>
      <c r="AG107" s="7" t="s">
        <v>2330</v>
      </c>
      <c r="AH107" s="0" t="s">
        <v>50</v>
      </c>
      <c r="AI107" s="0" t="s">
        <v>2331</v>
      </c>
      <c r="AJ107" s="0" t="s">
        <v>2331</v>
      </c>
      <c r="AK107" s="0" t="s">
        <v>50</v>
      </c>
      <c r="AL107" s="0" t="s">
        <v>50</v>
      </c>
      <c r="AM107" s="0" t="s">
        <v>2344</v>
      </c>
      <c r="AN107" s="0" t="s">
        <v>2318</v>
      </c>
      <c r="AO107" s="0" t="s">
        <v>50</v>
      </c>
    </row>
    <row r="108" customFormat="false" ht="15" hidden="false" customHeight="false" outlineLevel="0" collapsed="false">
      <c r="A108" s="0" t="s">
        <v>402</v>
      </c>
      <c r="B108" s="2" t="s">
        <v>387</v>
      </c>
      <c r="C108" s="0" t="s">
        <v>121</v>
      </c>
      <c r="D108" s="0" t="n">
        <v>8084424395</v>
      </c>
      <c r="E108" s="0" t="s">
        <v>67</v>
      </c>
      <c r="F108" s="0" t="s">
        <v>2316</v>
      </c>
      <c r="G108" s="0" t="s">
        <v>403</v>
      </c>
      <c r="H108" s="0" t="s">
        <v>107</v>
      </c>
      <c r="I108" s="3" t="s">
        <v>2317</v>
      </c>
      <c r="J108" s="0" t="s">
        <v>2339</v>
      </c>
      <c r="K108" s="0" t="s">
        <v>90</v>
      </c>
      <c r="L108" s="4" t="n">
        <v>51969</v>
      </c>
      <c r="M108" s="0" t="s">
        <v>110</v>
      </c>
      <c r="N108" s="0" t="s">
        <v>63</v>
      </c>
      <c r="O108" s="5" t="n">
        <v>3</v>
      </c>
      <c r="P108" s="0" t="n">
        <v>5.4</v>
      </c>
      <c r="Q108" s="0" t="s">
        <v>111</v>
      </c>
      <c r="R108" s="0" t="s">
        <v>73</v>
      </c>
      <c r="S108" s="0" t="s">
        <v>53</v>
      </c>
      <c r="T108" s="0" t="s">
        <v>147</v>
      </c>
      <c r="U108" s="5" t="n">
        <v>45</v>
      </c>
      <c r="V108" s="0" t="s">
        <v>55</v>
      </c>
      <c r="W108" s="0" t="s">
        <v>148</v>
      </c>
      <c r="X108" s="0" t="s">
        <v>98</v>
      </c>
      <c r="Y108" s="0" t="s">
        <v>196</v>
      </c>
      <c r="Z108" s="0" t="s">
        <v>2329</v>
      </c>
      <c r="AA108" s="0" t="s">
        <v>161</v>
      </c>
      <c r="AB108" s="5" t="n">
        <v>40000</v>
      </c>
      <c r="AC108" s="5" t="n">
        <v>20000</v>
      </c>
      <c r="AD108" s="0" t="s">
        <v>50</v>
      </c>
      <c r="AE108" s="5" t="n">
        <v>5000</v>
      </c>
      <c r="AF108" s="0" t="s">
        <v>184</v>
      </c>
      <c r="AG108" s="7" t="s">
        <v>2375</v>
      </c>
      <c r="AH108" s="0" t="s">
        <v>2329</v>
      </c>
      <c r="AI108" s="0" t="s">
        <v>171</v>
      </c>
      <c r="AJ108" s="0" t="s">
        <v>2320</v>
      </c>
      <c r="AK108" s="0" t="s">
        <v>63</v>
      </c>
      <c r="AL108" s="0" t="s">
        <v>50</v>
      </c>
      <c r="AM108" s="0" t="s">
        <v>63</v>
      </c>
      <c r="AN108" s="0" t="s">
        <v>2318</v>
      </c>
      <c r="AO108" s="0" t="s">
        <v>2359</v>
      </c>
    </row>
    <row r="109" customFormat="false" ht="15" hidden="false" customHeight="false" outlineLevel="0" collapsed="false">
      <c r="A109" s="0" t="s">
        <v>404</v>
      </c>
      <c r="B109" s="2" t="s">
        <v>2413</v>
      </c>
      <c r="C109" s="0" t="s">
        <v>42</v>
      </c>
      <c r="D109" s="0" t="n">
        <v>8043012764</v>
      </c>
      <c r="E109" s="0" t="s">
        <v>85</v>
      </c>
      <c r="F109" s="0" t="s">
        <v>2319</v>
      </c>
      <c r="G109" s="0" t="s">
        <v>405</v>
      </c>
      <c r="H109" s="0" t="s">
        <v>87</v>
      </c>
      <c r="I109" s="3" t="s">
        <v>2317</v>
      </c>
      <c r="J109" s="0" t="s">
        <v>2349</v>
      </c>
      <c r="K109" s="0" t="s">
        <v>109</v>
      </c>
      <c r="L109" s="4" t="n">
        <v>82868</v>
      </c>
      <c r="M109" s="0" t="s">
        <v>49</v>
      </c>
      <c r="N109" s="0" t="s">
        <v>63</v>
      </c>
      <c r="O109" s="5" t="n">
        <v>3</v>
      </c>
      <c r="P109" s="0" t="n">
        <v>1.6</v>
      </c>
      <c r="Q109" s="0" t="s">
        <v>125</v>
      </c>
      <c r="R109" s="0" t="s">
        <v>52</v>
      </c>
      <c r="S109" s="0" t="s">
        <v>2335</v>
      </c>
      <c r="T109" s="0" t="s">
        <v>147</v>
      </c>
      <c r="U109" s="5" t="n">
        <v>30</v>
      </c>
      <c r="V109" s="0" t="s">
        <v>2336</v>
      </c>
      <c r="W109" s="0" t="s">
        <v>148</v>
      </c>
      <c r="X109" s="0" t="s">
        <v>98</v>
      </c>
      <c r="Y109" s="0" t="s">
        <v>196</v>
      </c>
      <c r="Z109" s="0" t="s">
        <v>177</v>
      </c>
      <c r="AA109" s="0" t="s">
        <v>79</v>
      </c>
      <c r="AB109" s="5" t="n">
        <v>20000</v>
      </c>
      <c r="AC109" s="5" t="n">
        <v>20000</v>
      </c>
      <c r="AD109" s="0" t="s">
        <v>63</v>
      </c>
      <c r="AE109" s="5" t="n">
        <v>10000</v>
      </c>
      <c r="AF109" s="0" t="s">
        <v>60</v>
      </c>
      <c r="AG109" s="7" t="s">
        <v>2414</v>
      </c>
      <c r="AH109" s="0" t="s">
        <v>63</v>
      </c>
      <c r="AI109" s="0" t="s">
        <v>116</v>
      </c>
      <c r="AJ109" s="0" t="s">
        <v>2331</v>
      </c>
      <c r="AK109" s="0" t="s">
        <v>50</v>
      </c>
      <c r="AL109" s="0" t="s">
        <v>50</v>
      </c>
      <c r="AM109" s="0" t="s">
        <v>63</v>
      </c>
      <c r="AN109" s="0" t="s">
        <v>2321</v>
      </c>
      <c r="AO109" s="0" t="s">
        <v>2359</v>
      </c>
    </row>
    <row r="110" customFormat="false" ht="15" hidden="false" customHeight="false" outlineLevel="0" collapsed="false">
      <c r="A110" s="0" t="s">
        <v>406</v>
      </c>
      <c r="B110" s="2" t="s">
        <v>2415</v>
      </c>
      <c r="C110" s="0" t="s">
        <v>42</v>
      </c>
      <c r="D110" s="0" t="n">
        <v>8033963425</v>
      </c>
      <c r="E110" s="0" t="s">
        <v>67</v>
      </c>
      <c r="F110" s="0" t="s">
        <v>2316</v>
      </c>
      <c r="G110" s="0" t="s">
        <v>407</v>
      </c>
      <c r="H110" s="0" t="s">
        <v>69</v>
      </c>
      <c r="I110" s="3" t="s">
        <v>2322</v>
      </c>
      <c r="J110" s="0" t="s">
        <v>189</v>
      </c>
      <c r="K110" s="0" t="s">
        <v>71</v>
      </c>
      <c r="L110" s="4" t="n">
        <v>50378</v>
      </c>
      <c r="M110" s="0" t="s">
        <v>110</v>
      </c>
      <c r="N110" s="0" t="s">
        <v>63</v>
      </c>
      <c r="O110" s="5" t="n">
        <v>4</v>
      </c>
      <c r="P110" s="0" t="n">
        <v>2.2</v>
      </c>
      <c r="Q110" s="0" t="s">
        <v>92</v>
      </c>
      <c r="R110" s="0" t="s">
        <v>73</v>
      </c>
      <c r="S110" s="0" t="s">
        <v>53</v>
      </c>
      <c r="T110" s="0" t="s">
        <v>2353</v>
      </c>
      <c r="U110" s="5" t="n">
        <v>15</v>
      </c>
      <c r="V110" s="0" t="s">
        <v>55</v>
      </c>
      <c r="W110" s="0" t="s">
        <v>2328</v>
      </c>
      <c r="X110" s="0" t="s">
        <v>128</v>
      </c>
      <c r="Y110" s="0" t="s">
        <v>196</v>
      </c>
      <c r="Z110" s="0" t="s">
        <v>2326</v>
      </c>
      <c r="AA110" s="0" t="s">
        <v>2329</v>
      </c>
      <c r="AB110" s="5" t="n">
        <v>30000</v>
      </c>
      <c r="AC110" s="5" t="n">
        <v>20000</v>
      </c>
      <c r="AD110" s="0" t="s">
        <v>63</v>
      </c>
      <c r="AE110" s="5" t="n">
        <v>10000</v>
      </c>
      <c r="AF110" s="0" t="s">
        <v>184</v>
      </c>
      <c r="AG110" s="7" t="s">
        <v>408</v>
      </c>
      <c r="AH110" s="0" t="s">
        <v>2329</v>
      </c>
      <c r="AI110" s="0" t="s">
        <v>2331</v>
      </c>
      <c r="AJ110" s="0" t="s">
        <v>2331</v>
      </c>
      <c r="AK110" s="0" t="s">
        <v>50</v>
      </c>
      <c r="AL110" s="0" t="s">
        <v>2344</v>
      </c>
      <c r="AM110" s="0" t="s">
        <v>2344</v>
      </c>
      <c r="AN110" s="0" t="s">
        <v>2321</v>
      </c>
      <c r="AO110" s="0" t="s">
        <v>50</v>
      </c>
    </row>
    <row r="111" customFormat="false" ht="15" hidden="false" customHeight="false" outlineLevel="0" collapsed="false">
      <c r="A111" s="0" t="s">
        <v>409</v>
      </c>
      <c r="B111" s="2" t="s">
        <v>953</v>
      </c>
      <c r="C111" s="0" t="s">
        <v>105</v>
      </c>
      <c r="D111" s="0" t="n">
        <v>8036305005</v>
      </c>
      <c r="E111" s="0" t="s">
        <v>139</v>
      </c>
      <c r="F111" s="0" t="s">
        <v>2323</v>
      </c>
      <c r="G111" s="0" t="s">
        <v>410</v>
      </c>
      <c r="H111" s="0" t="s">
        <v>107</v>
      </c>
      <c r="I111" s="3" t="s">
        <v>2325</v>
      </c>
      <c r="J111" s="0" t="s">
        <v>189</v>
      </c>
      <c r="K111" s="0" t="s">
        <v>109</v>
      </c>
      <c r="L111" s="4" t="n">
        <v>44967</v>
      </c>
      <c r="M111" s="0" t="s">
        <v>2333</v>
      </c>
      <c r="N111" s="0" t="s">
        <v>63</v>
      </c>
      <c r="O111" s="5" t="n">
        <v>5</v>
      </c>
      <c r="P111" s="0" t="n">
        <v>5.6</v>
      </c>
      <c r="Q111" s="0" t="s">
        <v>92</v>
      </c>
      <c r="R111" s="0" t="s">
        <v>73</v>
      </c>
      <c r="S111" s="0" t="s">
        <v>2340</v>
      </c>
      <c r="T111" s="0" t="s">
        <v>2353</v>
      </c>
      <c r="U111" s="5" t="n">
        <v>45</v>
      </c>
      <c r="V111" s="0" t="s">
        <v>2352</v>
      </c>
      <c r="W111" s="0" t="s">
        <v>2337</v>
      </c>
      <c r="X111" s="0" t="s">
        <v>98</v>
      </c>
      <c r="Y111" s="0" t="s">
        <v>114</v>
      </c>
      <c r="Z111" s="0" t="s">
        <v>2324</v>
      </c>
      <c r="AA111" s="0" t="s">
        <v>2329</v>
      </c>
      <c r="AB111" s="5" t="n">
        <v>40000</v>
      </c>
      <c r="AC111" s="5" t="n">
        <v>40000</v>
      </c>
      <c r="AD111" s="0" t="s">
        <v>63</v>
      </c>
      <c r="AE111" s="5" t="n">
        <v>5000</v>
      </c>
      <c r="AF111" s="0" t="s">
        <v>2338</v>
      </c>
      <c r="AG111" s="7" t="s">
        <v>2330</v>
      </c>
      <c r="AH111" s="0" t="s">
        <v>2329</v>
      </c>
      <c r="AI111" s="0" t="s">
        <v>2331</v>
      </c>
      <c r="AJ111" s="0" t="s">
        <v>172</v>
      </c>
      <c r="AK111" s="0" t="s">
        <v>50</v>
      </c>
      <c r="AL111" s="0" t="s">
        <v>63</v>
      </c>
      <c r="AM111" s="0" t="s">
        <v>50</v>
      </c>
      <c r="AN111" s="0" t="s">
        <v>2321</v>
      </c>
      <c r="AO111" s="0" t="s">
        <v>50</v>
      </c>
    </row>
    <row r="112" customFormat="false" ht="15" hidden="false" customHeight="false" outlineLevel="0" collapsed="false">
      <c r="A112" s="0" t="s">
        <v>411</v>
      </c>
      <c r="B112" s="2" t="s">
        <v>340</v>
      </c>
      <c r="C112" s="0" t="s">
        <v>105</v>
      </c>
      <c r="D112" s="0" t="n">
        <v>8012884611</v>
      </c>
      <c r="E112" s="0" t="s">
        <v>139</v>
      </c>
      <c r="F112" s="0" t="s">
        <v>2323</v>
      </c>
      <c r="G112" s="0" t="s">
        <v>412</v>
      </c>
      <c r="H112" s="0" t="s">
        <v>107</v>
      </c>
      <c r="I112" s="3" t="s">
        <v>87</v>
      </c>
      <c r="J112" s="0" t="s">
        <v>2339</v>
      </c>
      <c r="K112" s="0" t="s">
        <v>90</v>
      </c>
      <c r="L112" s="4" t="n">
        <v>64771</v>
      </c>
      <c r="M112" s="0" t="s">
        <v>49</v>
      </c>
      <c r="N112" s="0" t="s">
        <v>50</v>
      </c>
      <c r="O112" s="5" t="n">
        <v>2</v>
      </c>
      <c r="P112" s="0" t="n">
        <v>2.5</v>
      </c>
      <c r="Q112" s="0" t="s">
        <v>2334</v>
      </c>
      <c r="R112" s="0" t="s">
        <v>52</v>
      </c>
      <c r="S112" s="0" t="s">
        <v>2366</v>
      </c>
      <c r="T112" s="0" t="s">
        <v>2353</v>
      </c>
      <c r="U112" s="5" t="n">
        <v>40.2325581395349</v>
      </c>
      <c r="V112" s="0" t="s">
        <v>55</v>
      </c>
      <c r="W112" s="0" t="s">
        <v>2328</v>
      </c>
      <c r="X112" s="0" t="s">
        <v>78</v>
      </c>
      <c r="Y112" s="0" t="s">
        <v>114</v>
      </c>
      <c r="Z112" s="0" t="s">
        <v>2326</v>
      </c>
      <c r="AA112" s="0" t="s">
        <v>161</v>
      </c>
      <c r="AB112" s="5" t="n">
        <v>25000</v>
      </c>
      <c r="AC112" s="5" t="n">
        <v>30000</v>
      </c>
      <c r="AD112" s="0" t="s">
        <v>50</v>
      </c>
      <c r="AE112" s="5" t="n">
        <v>0</v>
      </c>
      <c r="AF112" s="0" t="s">
        <v>184</v>
      </c>
      <c r="AG112" s="7" t="s">
        <v>2330</v>
      </c>
      <c r="AH112" s="0" t="s">
        <v>2329</v>
      </c>
      <c r="AI112" s="0" t="s">
        <v>116</v>
      </c>
      <c r="AJ112" s="0" t="s">
        <v>117</v>
      </c>
      <c r="AK112" s="0" t="s">
        <v>2344</v>
      </c>
      <c r="AL112" s="0" t="s">
        <v>50</v>
      </c>
      <c r="AM112" s="0" t="s">
        <v>2344</v>
      </c>
      <c r="AN112" s="0" t="s">
        <v>2321</v>
      </c>
      <c r="AO112" s="0" t="s">
        <v>50</v>
      </c>
    </row>
    <row r="113" customFormat="false" ht="15" hidden="false" customHeight="false" outlineLevel="0" collapsed="false">
      <c r="A113" s="0" t="s">
        <v>413</v>
      </c>
      <c r="B113" s="2" t="s">
        <v>2416</v>
      </c>
      <c r="C113" s="0" t="s">
        <v>121</v>
      </c>
      <c r="D113" s="0" t="n">
        <v>8033632711</v>
      </c>
      <c r="E113" s="0" t="s">
        <v>43</v>
      </c>
      <c r="F113" s="0" t="s">
        <v>2315</v>
      </c>
      <c r="G113" s="0" t="s">
        <v>414</v>
      </c>
      <c r="H113" s="0" t="s">
        <v>69</v>
      </c>
      <c r="I113" s="3" t="s">
        <v>2325</v>
      </c>
      <c r="J113" s="0" t="s">
        <v>2339</v>
      </c>
      <c r="K113" s="0" t="s">
        <v>48</v>
      </c>
      <c r="L113" s="4" t="n">
        <v>26011</v>
      </c>
      <c r="M113" s="0" t="s">
        <v>49</v>
      </c>
      <c r="N113" s="0" t="s">
        <v>50</v>
      </c>
      <c r="O113" s="5" t="n">
        <v>2</v>
      </c>
      <c r="P113" s="0" t="n">
        <v>5.8</v>
      </c>
      <c r="Q113" s="0" t="s">
        <v>51</v>
      </c>
      <c r="R113" s="0" t="s">
        <v>93</v>
      </c>
      <c r="S113" s="0" t="s">
        <v>53</v>
      </c>
      <c r="T113" s="0" t="s">
        <v>95</v>
      </c>
      <c r="U113" s="5" t="n">
        <v>30</v>
      </c>
      <c r="V113" s="0" t="s">
        <v>55</v>
      </c>
      <c r="W113" s="0" t="s">
        <v>155</v>
      </c>
      <c r="X113" s="0" t="s">
        <v>78</v>
      </c>
      <c r="Y113" s="0" t="s">
        <v>114</v>
      </c>
      <c r="Z113" s="0" t="s">
        <v>2326</v>
      </c>
      <c r="AA113" s="0" t="s">
        <v>2329</v>
      </c>
      <c r="AB113" s="5" t="n">
        <v>25000</v>
      </c>
      <c r="AC113" s="5" t="n">
        <v>31553.1335149864</v>
      </c>
      <c r="AD113" s="0" t="s">
        <v>63</v>
      </c>
      <c r="AE113" s="5" t="n">
        <v>10000</v>
      </c>
      <c r="AF113" s="0" t="s">
        <v>184</v>
      </c>
      <c r="AG113" s="7" t="s">
        <v>415</v>
      </c>
      <c r="AH113" s="0" t="s">
        <v>50</v>
      </c>
      <c r="AI113" s="0" t="s">
        <v>116</v>
      </c>
      <c r="AJ113" s="0" t="s">
        <v>2331</v>
      </c>
      <c r="AK113" s="0" t="s">
        <v>2344</v>
      </c>
      <c r="AL113" s="0" t="s">
        <v>63</v>
      </c>
      <c r="AM113" s="0" t="s">
        <v>2344</v>
      </c>
      <c r="AN113" s="0" t="s">
        <v>2318</v>
      </c>
      <c r="AO113" s="0" t="s">
        <v>63</v>
      </c>
    </row>
    <row r="114" customFormat="false" ht="15" hidden="false" customHeight="false" outlineLevel="0" collapsed="false">
      <c r="A114" s="0" t="s">
        <v>417</v>
      </c>
      <c r="B114" s="2" t="s">
        <v>416</v>
      </c>
      <c r="C114" s="0" t="s">
        <v>121</v>
      </c>
      <c r="D114" s="0" t="n">
        <v>8045136671</v>
      </c>
      <c r="E114" s="0" t="s">
        <v>67</v>
      </c>
      <c r="F114" s="0" t="s">
        <v>2316</v>
      </c>
      <c r="G114" s="0" t="s">
        <v>418</v>
      </c>
      <c r="H114" s="0" t="s">
        <v>45</v>
      </c>
      <c r="I114" s="3" t="s">
        <v>2322</v>
      </c>
      <c r="J114" s="0" t="s">
        <v>2341</v>
      </c>
      <c r="K114" s="0" t="s">
        <v>48</v>
      </c>
      <c r="L114" s="4" t="n">
        <v>74107</v>
      </c>
      <c r="M114" s="0" t="s">
        <v>2333</v>
      </c>
      <c r="N114" s="0" t="s">
        <v>63</v>
      </c>
      <c r="O114" s="5" t="n">
        <v>1</v>
      </c>
      <c r="P114" s="0" t="n">
        <v>1.7</v>
      </c>
      <c r="Q114" s="0" t="s">
        <v>111</v>
      </c>
      <c r="R114" s="0" t="s">
        <v>73</v>
      </c>
      <c r="S114" s="0" t="s">
        <v>2340</v>
      </c>
      <c r="T114" s="0" t="s">
        <v>75</v>
      </c>
      <c r="U114" s="5" t="n">
        <v>45</v>
      </c>
      <c r="V114" s="0" t="s">
        <v>2352</v>
      </c>
      <c r="W114" s="0" t="s">
        <v>2328</v>
      </c>
      <c r="X114" s="0" t="s">
        <v>78</v>
      </c>
      <c r="Y114" s="0" t="s">
        <v>58</v>
      </c>
      <c r="Z114" s="0" t="s">
        <v>2326</v>
      </c>
      <c r="AA114" s="0" t="s">
        <v>79</v>
      </c>
      <c r="AB114" s="5" t="n">
        <v>27384.6153846154</v>
      </c>
      <c r="AC114" s="5" t="n">
        <v>30000</v>
      </c>
      <c r="AD114" s="0" t="s">
        <v>50</v>
      </c>
      <c r="AE114" s="5" t="n">
        <v>5000</v>
      </c>
      <c r="AF114" s="0" t="s">
        <v>130</v>
      </c>
      <c r="AG114" s="7" t="s">
        <v>2330</v>
      </c>
      <c r="AH114" s="0" t="s">
        <v>63</v>
      </c>
      <c r="AI114" s="0" t="s">
        <v>171</v>
      </c>
      <c r="AJ114" s="0" t="s">
        <v>117</v>
      </c>
      <c r="AK114" s="0" t="s">
        <v>63</v>
      </c>
      <c r="AL114" s="0" t="s">
        <v>50</v>
      </c>
      <c r="AM114" s="0" t="s">
        <v>63</v>
      </c>
      <c r="AN114" s="0" t="s">
        <v>2321</v>
      </c>
      <c r="AO114" s="0" t="s">
        <v>50</v>
      </c>
    </row>
    <row r="115" customFormat="false" ht="15" hidden="false" customHeight="false" outlineLevel="0" collapsed="false">
      <c r="A115" s="0" t="s">
        <v>419</v>
      </c>
      <c r="B115" s="2" t="s">
        <v>2417</v>
      </c>
      <c r="C115" s="0" t="s">
        <v>66</v>
      </c>
      <c r="D115" s="0" t="n">
        <v>8023581521</v>
      </c>
      <c r="E115" s="0" t="s">
        <v>67</v>
      </c>
      <c r="F115" s="0" t="s">
        <v>2316</v>
      </c>
      <c r="G115" s="0" t="s">
        <v>420</v>
      </c>
      <c r="H115" s="0" t="s">
        <v>134</v>
      </c>
      <c r="I115" s="3" t="s">
        <v>2322</v>
      </c>
      <c r="J115" s="0" t="s">
        <v>47</v>
      </c>
      <c r="K115" s="0" t="s">
        <v>48</v>
      </c>
      <c r="L115" s="4" t="n">
        <v>104999</v>
      </c>
      <c r="M115" s="0" t="s">
        <v>2333</v>
      </c>
      <c r="N115" s="0" t="s">
        <v>50</v>
      </c>
      <c r="O115" s="5" t="n">
        <v>2</v>
      </c>
      <c r="P115" s="0" t="n">
        <v>4</v>
      </c>
      <c r="Q115" s="0" t="s">
        <v>51</v>
      </c>
      <c r="R115" s="0" t="s">
        <v>73</v>
      </c>
      <c r="S115" s="0" t="s">
        <v>2340</v>
      </c>
      <c r="T115" s="0" t="s">
        <v>75</v>
      </c>
      <c r="U115" s="5" t="n">
        <v>15</v>
      </c>
      <c r="V115" s="0" t="s">
        <v>96</v>
      </c>
      <c r="W115" s="0" t="s">
        <v>155</v>
      </c>
      <c r="X115" s="0" t="s">
        <v>128</v>
      </c>
      <c r="Y115" s="0" t="s">
        <v>114</v>
      </c>
      <c r="Z115" s="0" t="s">
        <v>2326</v>
      </c>
      <c r="AA115" s="0" t="s">
        <v>79</v>
      </c>
      <c r="AB115" s="5" t="n">
        <v>25000</v>
      </c>
      <c r="AC115" s="5" t="n">
        <v>35000</v>
      </c>
      <c r="AD115" s="0" t="s">
        <v>63</v>
      </c>
      <c r="AE115" s="5" t="n">
        <v>5000</v>
      </c>
      <c r="AF115" s="0" t="s">
        <v>60</v>
      </c>
      <c r="AG115" s="7" t="s">
        <v>421</v>
      </c>
      <c r="AH115" s="0" t="s">
        <v>50</v>
      </c>
      <c r="AI115" s="0" t="s">
        <v>2331</v>
      </c>
      <c r="AJ115" s="0" t="s">
        <v>2331</v>
      </c>
      <c r="AK115" s="0" t="s">
        <v>63</v>
      </c>
      <c r="AL115" s="0" t="s">
        <v>63</v>
      </c>
      <c r="AM115" s="0" t="s">
        <v>2344</v>
      </c>
      <c r="AN115" s="0" t="s">
        <v>2321</v>
      </c>
      <c r="AO115" s="0" t="s">
        <v>63</v>
      </c>
    </row>
    <row r="116" customFormat="false" ht="15" hidden="false" customHeight="false" outlineLevel="0" collapsed="false">
      <c r="A116" s="0" t="s">
        <v>422</v>
      </c>
      <c r="B116" s="2" t="s">
        <v>2362</v>
      </c>
      <c r="C116" s="0" t="s">
        <v>105</v>
      </c>
      <c r="D116" s="0" t="n">
        <v>8012817734</v>
      </c>
      <c r="E116" s="0" t="s">
        <v>67</v>
      </c>
      <c r="F116" s="0" t="s">
        <v>2316</v>
      </c>
      <c r="G116" s="0" t="s">
        <v>423</v>
      </c>
      <c r="H116" s="0" t="s">
        <v>69</v>
      </c>
      <c r="I116" s="3" t="s">
        <v>2322</v>
      </c>
      <c r="J116" s="0" t="s">
        <v>2347</v>
      </c>
      <c r="K116" s="0" t="s">
        <v>90</v>
      </c>
      <c r="L116" s="4" t="n">
        <v>94489</v>
      </c>
      <c r="M116" s="0" t="s">
        <v>2333</v>
      </c>
      <c r="N116" s="0" t="s">
        <v>50</v>
      </c>
      <c r="O116" s="5" t="n">
        <v>1</v>
      </c>
      <c r="P116" s="0" t="n">
        <v>1.2</v>
      </c>
      <c r="Q116" s="0" t="s">
        <v>111</v>
      </c>
      <c r="R116" s="0" t="s">
        <v>52</v>
      </c>
      <c r="S116" s="0" t="s">
        <v>2340</v>
      </c>
      <c r="T116" s="0" t="s">
        <v>75</v>
      </c>
      <c r="U116" s="5" t="n">
        <v>15</v>
      </c>
      <c r="V116" s="0" t="s">
        <v>96</v>
      </c>
      <c r="W116" s="0" t="s">
        <v>148</v>
      </c>
      <c r="X116" s="0" t="s">
        <v>78</v>
      </c>
      <c r="Y116" s="0" t="s">
        <v>196</v>
      </c>
      <c r="Z116" s="0" t="s">
        <v>177</v>
      </c>
      <c r="AA116" s="0" t="s">
        <v>79</v>
      </c>
      <c r="AB116" s="5" t="n">
        <v>25000</v>
      </c>
      <c r="AC116" s="5" t="n">
        <v>31550.5464480874</v>
      </c>
      <c r="AD116" s="0" t="s">
        <v>63</v>
      </c>
      <c r="AE116" s="5" t="n">
        <v>0</v>
      </c>
      <c r="AF116" s="0" t="s">
        <v>184</v>
      </c>
      <c r="AG116" s="7" t="s">
        <v>424</v>
      </c>
      <c r="AH116" s="0" t="s">
        <v>63</v>
      </c>
      <c r="AI116" s="0" t="s">
        <v>2331</v>
      </c>
      <c r="AJ116" s="0" t="s">
        <v>172</v>
      </c>
      <c r="AK116" s="0" t="s">
        <v>50</v>
      </c>
      <c r="AL116" s="0" t="s">
        <v>63</v>
      </c>
      <c r="AM116" s="0" t="s">
        <v>2344</v>
      </c>
      <c r="AN116" s="0" t="s">
        <v>2321</v>
      </c>
      <c r="AO116" s="0" t="s">
        <v>2359</v>
      </c>
    </row>
    <row r="117" customFormat="false" ht="15" hidden="false" customHeight="false" outlineLevel="0" collapsed="false">
      <c r="A117" s="0" t="s">
        <v>425</v>
      </c>
      <c r="B117" s="2" t="s">
        <v>669</v>
      </c>
      <c r="C117" s="0" t="s">
        <v>42</v>
      </c>
      <c r="D117" s="0" t="n">
        <v>8028420515</v>
      </c>
      <c r="E117" s="0" t="s">
        <v>67</v>
      </c>
      <c r="F117" s="0" t="s">
        <v>2316</v>
      </c>
      <c r="G117" s="0" t="s">
        <v>426</v>
      </c>
      <c r="H117" s="0" t="s">
        <v>87</v>
      </c>
      <c r="I117" s="3" t="s">
        <v>2322</v>
      </c>
      <c r="J117" s="0" t="s">
        <v>2339</v>
      </c>
      <c r="K117" s="0" t="s">
        <v>71</v>
      </c>
      <c r="L117" s="4" t="n">
        <v>70689</v>
      </c>
      <c r="M117" s="0" t="s">
        <v>2333</v>
      </c>
      <c r="N117" s="0" t="s">
        <v>63</v>
      </c>
      <c r="O117" s="5" t="n">
        <v>1</v>
      </c>
      <c r="P117" s="0" t="n">
        <v>3.4</v>
      </c>
      <c r="Q117" s="0" t="s">
        <v>125</v>
      </c>
      <c r="R117" s="0" t="s">
        <v>52</v>
      </c>
      <c r="S117" s="0" t="s">
        <v>53</v>
      </c>
      <c r="T117" s="0" t="s">
        <v>54</v>
      </c>
      <c r="U117" s="5" t="n">
        <v>45</v>
      </c>
      <c r="V117" s="0" t="s">
        <v>96</v>
      </c>
      <c r="W117" s="0" t="s">
        <v>155</v>
      </c>
      <c r="X117" s="0" t="s">
        <v>128</v>
      </c>
      <c r="Y117" s="0" t="s">
        <v>99</v>
      </c>
      <c r="Z117" s="0" t="s">
        <v>2326</v>
      </c>
      <c r="AA117" s="0" t="s">
        <v>143</v>
      </c>
      <c r="AB117" s="5" t="n">
        <v>40000</v>
      </c>
      <c r="AC117" s="5" t="n">
        <v>31550.5464480874</v>
      </c>
      <c r="AD117" s="0" t="s">
        <v>63</v>
      </c>
      <c r="AE117" s="5" t="n">
        <v>10000</v>
      </c>
      <c r="AF117" s="0" t="s">
        <v>130</v>
      </c>
      <c r="AG117" s="7" t="s">
        <v>2370</v>
      </c>
      <c r="AH117" s="0" t="s">
        <v>63</v>
      </c>
      <c r="AI117" s="0" t="s">
        <v>116</v>
      </c>
      <c r="AJ117" s="0" t="s">
        <v>2320</v>
      </c>
      <c r="AK117" s="0" t="s">
        <v>2344</v>
      </c>
      <c r="AL117" s="0" t="s">
        <v>63</v>
      </c>
      <c r="AM117" s="0" t="s">
        <v>50</v>
      </c>
      <c r="AN117" s="0" t="s">
        <v>2318</v>
      </c>
      <c r="AO117" s="0" t="s">
        <v>50</v>
      </c>
    </row>
    <row r="118" customFormat="false" ht="15" hidden="false" customHeight="false" outlineLevel="0" collapsed="false">
      <c r="A118" s="0" t="s">
        <v>427</v>
      </c>
      <c r="B118" s="2" t="s">
        <v>2418</v>
      </c>
      <c r="C118" s="0" t="s">
        <v>66</v>
      </c>
      <c r="D118" s="0" t="n">
        <v>8060858151</v>
      </c>
      <c r="E118" s="0" t="s">
        <v>122</v>
      </c>
      <c r="F118" s="0" t="s">
        <v>2316</v>
      </c>
      <c r="G118" s="0" t="s">
        <v>428</v>
      </c>
      <c r="H118" s="0" t="s">
        <v>45</v>
      </c>
      <c r="I118" s="3" t="s">
        <v>2325</v>
      </c>
      <c r="J118" s="0" t="s">
        <v>2347</v>
      </c>
      <c r="K118" s="0" t="s">
        <v>71</v>
      </c>
      <c r="L118" s="4" t="n">
        <v>106615</v>
      </c>
      <c r="M118" s="0" t="s">
        <v>2333</v>
      </c>
      <c r="N118" s="0" t="s">
        <v>63</v>
      </c>
      <c r="O118" s="5" t="n">
        <v>3</v>
      </c>
      <c r="P118" s="0" t="n">
        <v>4.3</v>
      </c>
      <c r="Q118" s="0" t="s">
        <v>92</v>
      </c>
      <c r="R118" s="0" t="s">
        <v>52</v>
      </c>
      <c r="S118" s="0" t="s">
        <v>2340</v>
      </c>
      <c r="T118" s="0" t="s">
        <v>2353</v>
      </c>
      <c r="U118" s="5" t="n">
        <v>45</v>
      </c>
      <c r="V118" s="0" t="s">
        <v>112</v>
      </c>
      <c r="W118" s="0" t="s">
        <v>155</v>
      </c>
      <c r="X118" s="0" t="s">
        <v>78</v>
      </c>
      <c r="Y118" s="0" t="s">
        <v>196</v>
      </c>
      <c r="Z118" s="0" t="s">
        <v>59</v>
      </c>
      <c r="AA118" s="0" t="s">
        <v>79</v>
      </c>
      <c r="AB118" s="5" t="n">
        <v>15000</v>
      </c>
      <c r="AC118" s="5" t="n">
        <v>30000</v>
      </c>
      <c r="AD118" s="0" t="s">
        <v>50</v>
      </c>
      <c r="AE118" s="5" t="n">
        <v>0</v>
      </c>
      <c r="AF118" s="0" t="s">
        <v>184</v>
      </c>
      <c r="AG118" s="7" t="s">
        <v>2330</v>
      </c>
      <c r="AH118" s="0" t="s">
        <v>63</v>
      </c>
      <c r="AI118" s="0" t="s">
        <v>2331</v>
      </c>
      <c r="AJ118" s="0" t="s">
        <v>172</v>
      </c>
      <c r="AK118" s="0" t="s">
        <v>2344</v>
      </c>
      <c r="AL118" s="0" t="s">
        <v>63</v>
      </c>
      <c r="AM118" s="0" t="s">
        <v>63</v>
      </c>
      <c r="AN118" s="0" t="s">
        <v>64</v>
      </c>
      <c r="AO118" s="0" t="s">
        <v>50</v>
      </c>
    </row>
    <row r="119" customFormat="false" ht="15" hidden="false" customHeight="false" outlineLevel="0" collapsed="false">
      <c r="A119" s="0" t="s">
        <v>429</v>
      </c>
      <c r="B119" s="2" t="s">
        <v>2419</v>
      </c>
      <c r="C119" s="0" t="s">
        <v>121</v>
      </c>
      <c r="D119" s="0" t="n">
        <v>8097895055</v>
      </c>
      <c r="E119" s="0" t="s">
        <v>43</v>
      </c>
      <c r="F119" s="0" t="s">
        <v>2315</v>
      </c>
      <c r="G119" s="0" t="s">
        <v>430</v>
      </c>
      <c r="H119" s="0" t="s">
        <v>134</v>
      </c>
      <c r="I119" s="3" t="s">
        <v>87</v>
      </c>
      <c r="J119" s="0" t="s">
        <v>2341</v>
      </c>
      <c r="K119" s="0" t="s">
        <v>48</v>
      </c>
      <c r="L119" s="4" t="n">
        <v>107473</v>
      </c>
      <c r="M119" s="0" t="s">
        <v>49</v>
      </c>
      <c r="N119" s="0" t="s">
        <v>63</v>
      </c>
      <c r="O119" s="5" t="n">
        <v>3</v>
      </c>
      <c r="P119" s="0" t="n">
        <v>5.8</v>
      </c>
      <c r="Q119" s="0" t="s">
        <v>125</v>
      </c>
      <c r="R119" s="0" t="s">
        <v>73</v>
      </c>
      <c r="S119" s="0" t="s">
        <v>2340</v>
      </c>
      <c r="T119" s="0" t="s">
        <v>95</v>
      </c>
      <c r="U119" s="5" t="n">
        <v>60</v>
      </c>
      <c r="V119" s="0" t="s">
        <v>2352</v>
      </c>
      <c r="W119" s="0" t="s">
        <v>2337</v>
      </c>
      <c r="X119" s="0" t="s">
        <v>128</v>
      </c>
      <c r="Y119" s="0" t="s">
        <v>196</v>
      </c>
      <c r="Z119" s="0" t="s">
        <v>2326</v>
      </c>
      <c r="AA119" s="0" t="s">
        <v>149</v>
      </c>
      <c r="AB119" s="5" t="n">
        <v>15000</v>
      </c>
      <c r="AC119" s="5" t="n">
        <v>35000</v>
      </c>
      <c r="AD119" s="0" t="s">
        <v>63</v>
      </c>
      <c r="AE119" s="5" t="n">
        <v>0</v>
      </c>
      <c r="AF119" s="0" t="s">
        <v>60</v>
      </c>
      <c r="AG119" s="7" t="s">
        <v>431</v>
      </c>
      <c r="AH119" s="0" t="s">
        <v>63</v>
      </c>
      <c r="AI119" s="0" t="s">
        <v>2331</v>
      </c>
      <c r="AJ119" s="0" t="s">
        <v>172</v>
      </c>
      <c r="AK119" s="0" t="s">
        <v>63</v>
      </c>
      <c r="AL119" s="0" t="s">
        <v>50</v>
      </c>
      <c r="AM119" s="0" t="s">
        <v>63</v>
      </c>
      <c r="AN119" s="0" t="s">
        <v>2321</v>
      </c>
      <c r="AO119" s="0" t="s">
        <v>50</v>
      </c>
    </row>
    <row r="120" customFormat="false" ht="15" hidden="false" customHeight="false" outlineLevel="0" collapsed="false">
      <c r="A120" s="0" t="s">
        <v>432</v>
      </c>
      <c r="B120" s="2" t="s">
        <v>299</v>
      </c>
      <c r="C120" s="0" t="s">
        <v>121</v>
      </c>
      <c r="D120" s="0" t="n">
        <v>8024894008</v>
      </c>
      <c r="E120" s="0" t="s">
        <v>85</v>
      </c>
      <c r="F120" s="0" t="s">
        <v>2319</v>
      </c>
      <c r="G120" s="0" t="s">
        <v>318</v>
      </c>
      <c r="H120" s="0" t="s">
        <v>45</v>
      </c>
      <c r="I120" s="3" t="s">
        <v>2325</v>
      </c>
      <c r="J120" s="0" t="s">
        <v>47</v>
      </c>
      <c r="K120" s="0" t="s">
        <v>71</v>
      </c>
      <c r="L120" s="4" t="n">
        <v>74631</v>
      </c>
      <c r="M120" s="0" t="s">
        <v>110</v>
      </c>
      <c r="N120" s="0" t="s">
        <v>63</v>
      </c>
      <c r="O120" s="5" t="n">
        <v>5</v>
      </c>
      <c r="P120" s="0" t="n">
        <v>3.8</v>
      </c>
      <c r="Q120" s="0" t="s">
        <v>2334</v>
      </c>
      <c r="R120" s="0" t="s">
        <v>73</v>
      </c>
      <c r="S120" s="0" t="s">
        <v>2340</v>
      </c>
      <c r="T120" s="0" t="s">
        <v>147</v>
      </c>
      <c r="U120" s="5" t="n">
        <v>15</v>
      </c>
      <c r="V120" s="0" t="s">
        <v>96</v>
      </c>
      <c r="W120" s="0" t="s">
        <v>155</v>
      </c>
      <c r="X120" s="0" t="s">
        <v>98</v>
      </c>
      <c r="Y120" s="0" t="s">
        <v>58</v>
      </c>
      <c r="Z120" s="0" t="s">
        <v>2326</v>
      </c>
      <c r="AA120" s="0" t="s">
        <v>149</v>
      </c>
      <c r="AB120" s="5" t="n">
        <v>25000</v>
      </c>
      <c r="AC120" s="5" t="n">
        <v>40000</v>
      </c>
      <c r="AD120" s="0" t="s">
        <v>63</v>
      </c>
      <c r="AE120" s="5" t="n">
        <v>5000</v>
      </c>
      <c r="AF120" s="0" t="s">
        <v>2338</v>
      </c>
      <c r="AG120" s="7" t="s">
        <v>2420</v>
      </c>
      <c r="AH120" s="0" t="s">
        <v>50</v>
      </c>
      <c r="AI120" s="0" t="s">
        <v>116</v>
      </c>
      <c r="AJ120" s="0" t="s">
        <v>2331</v>
      </c>
      <c r="AK120" s="0" t="s">
        <v>50</v>
      </c>
      <c r="AL120" s="0" t="s">
        <v>50</v>
      </c>
      <c r="AM120" s="0" t="s">
        <v>63</v>
      </c>
      <c r="AN120" s="0" t="s">
        <v>2321</v>
      </c>
      <c r="AO120" s="0" t="s">
        <v>63</v>
      </c>
    </row>
    <row r="121" customFormat="false" ht="15" hidden="false" customHeight="false" outlineLevel="0" collapsed="false">
      <c r="A121" s="0" t="s">
        <v>434</v>
      </c>
      <c r="B121" s="2" t="s">
        <v>433</v>
      </c>
      <c r="C121" s="0" t="s">
        <v>66</v>
      </c>
      <c r="D121" s="0" t="n">
        <v>8055417034</v>
      </c>
      <c r="E121" s="0" t="s">
        <v>122</v>
      </c>
      <c r="F121" s="0" t="s">
        <v>2316</v>
      </c>
      <c r="G121" s="0" t="s">
        <v>435</v>
      </c>
      <c r="H121" s="0" t="s">
        <v>134</v>
      </c>
      <c r="I121" s="3" t="s">
        <v>2322</v>
      </c>
      <c r="J121" s="0" t="s">
        <v>2349</v>
      </c>
      <c r="K121" s="0" t="s">
        <v>48</v>
      </c>
      <c r="L121" s="4" t="n">
        <v>38687</v>
      </c>
      <c r="M121" s="0" t="s">
        <v>2333</v>
      </c>
      <c r="N121" s="0" t="s">
        <v>63</v>
      </c>
      <c r="O121" s="5" t="n">
        <v>4</v>
      </c>
      <c r="P121" s="0" t="n">
        <v>5.6</v>
      </c>
      <c r="Q121" s="0" t="s">
        <v>125</v>
      </c>
      <c r="R121" s="0" t="s">
        <v>93</v>
      </c>
      <c r="S121" s="0" t="s">
        <v>2335</v>
      </c>
      <c r="T121" s="0" t="s">
        <v>147</v>
      </c>
      <c r="U121" s="5" t="n">
        <v>15</v>
      </c>
      <c r="V121" s="0" t="s">
        <v>2336</v>
      </c>
      <c r="W121" s="0" t="s">
        <v>2337</v>
      </c>
      <c r="X121" s="0" t="s">
        <v>128</v>
      </c>
      <c r="Y121" s="0" t="s">
        <v>99</v>
      </c>
      <c r="Z121" s="0" t="s">
        <v>2329</v>
      </c>
      <c r="AA121" s="0" t="s">
        <v>2329</v>
      </c>
      <c r="AB121" s="5" t="n">
        <v>26627.9069767442</v>
      </c>
      <c r="AC121" s="5" t="n">
        <v>30000</v>
      </c>
      <c r="AD121" s="0" t="s">
        <v>50</v>
      </c>
      <c r="AE121" s="5" t="n">
        <v>5000</v>
      </c>
      <c r="AF121" s="0" t="s">
        <v>2338</v>
      </c>
      <c r="AG121" s="7" t="s">
        <v>2421</v>
      </c>
      <c r="AH121" s="0" t="s">
        <v>63</v>
      </c>
      <c r="AI121" s="0" t="s">
        <v>171</v>
      </c>
      <c r="AJ121" s="0" t="s">
        <v>172</v>
      </c>
      <c r="AK121" s="0" t="s">
        <v>50</v>
      </c>
      <c r="AL121" s="0" t="s">
        <v>2344</v>
      </c>
      <c r="AM121" s="0" t="s">
        <v>2344</v>
      </c>
      <c r="AN121" s="0" t="s">
        <v>2321</v>
      </c>
      <c r="AO121" s="0" t="s">
        <v>2359</v>
      </c>
    </row>
    <row r="122" customFormat="false" ht="15" hidden="false" customHeight="false" outlineLevel="0" collapsed="false">
      <c r="A122" s="0" t="s">
        <v>436</v>
      </c>
      <c r="B122" s="2" t="s">
        <v>2422</v>
      </c>
      <c r="C122" s="0" t="s">
        <v>163</v>
      </c>
      <c r="D122" s="0" t="n">
        <v>8038217583</v>
      </c>
      <c r="E122" s="0" t="s">
        <v>67</v>
      </c>
      <c r="F122" s="0" t="s">
        <v>2316</v>
      </c>
      <c r="G122" s="0" t="s">
        <v>437</v>
      </c>
      <c r="H122" s="0" t="s">
        <v>134</v>
      </c>
      <c r="I122" s="3" t="s">
        <v>87</v>
      </c>
      <c r="J122" s="0" t="s">
        <v>47</v>
      </c>
      <c r="K122" s="0" t="s">
        <v>109</v>
      </c>
      <c r="L122" s="4" t="n">
        <v>31176</v>
      </c>
      <c r="M122" s="0" t="s">
        <v>2333</v>
      </c>
      <c r="N122" s="0" t="s">
        <v>63</v>
      </c>
      <c r="O122" s="5" t="n">
        <v>3</v>
      </c>
      <c r="P122" s="0" t="n">
        <v>5.1</v>
      </c>
      <c r="Q122" s="0" t="s">
        <v>51</v>
      </c>
      <c r="R122" s="0" t="s">
        <v>52</v>
      </c>
      <c r="S122" s="0" t="s">
        <v>2340</v>
      </c>
      <c r="T122" s="0" t="s">
        <v>147</v>
      </c>
      <c r="U122" s="5" t="n">
        <v>15</v>
      </c>
      <c r="V122" s="0" t="s">
        <v>2352</v>
      </c>
      <c r="W122" s="0" t="s">
        <v>2328</v>
      </c>
      <c r="X122" s="0" t="s">
        <v>78</v>
      </c>
      <c r="Y122" s="0" t="s">
        <v>196</v>
      </c>
      <c r="Z122" s="0" t="s">
        <v>2329</v>
      </c>
      <c r="AA122" s="0" t="s">
        <v>149</v>
      </c>
      <c r="AB122" s="5" t="n">
        <v>15000</v>
      </c>
      <c r="AC122" s="5" t="n">
        <v>40000</v>
      </c>
      <c r="AD122" s="0" t="s">
        <v>50</v>
      </c>
      <c r="AE122" s="5" t="n">
        <v>5000</v>
      </c>
      <c r="AF122" s="0" t="s">
        <v>60</v>
      </c>
      <c r="AG122" s="7" t="s">
        <v>2330</v>
      </c>
      <c r="AH122" s="0" t="s">
        <v>63</v>
      </c>
      <c r="AI122" s="0" t="s">
        <v>171</v>
      </c>
      <c r="AJ122" s="0" t="s">
        <v>2331</v>
      </c>
      <c r="AK122" s="0" t="s">
        <v>50</v>
      </c>
      <c r="AL122" s="0" t="s">
        <v>50</v>
      </c>
      <c r="AM122" s="0" t="s">
        <v>50</v>
      </c>
      <c r="AN122" s="0" t="s">
        <v>2321</v>
      </c>
      <c r="AO122" s="0" t="s">
        <v>63</v>
      </c>
    </row>
    <row r="123" customFormat="false" ht="15" hidden="false" customHeight="false" outlineLevel="0" collapsed="false">
      <c r="A123" s="0" t="s">
        <v>439</v>
      </c>
      <c r="B123" s="2" t="s">
        <v>438</v>
      </c>
      <c r="C123" s="0" t="s">
        <v>105</v>
      </c>
      <c r="D123" s="0" t="n">
        <v>8050946121</v>
      </c>
      <c r="E123" s="0" t="s">
        <v>139</v>
      </c>
      <c r="F123" s="0" t="s">
        <v>2323</v>
      </c>
      <c r="G123" s="0" t="s">
        <v>440</v>
      </c>
      <c r="H123" s="0" t="s">
        <v>45</v>
      </c>
      <c r="I123" s="3" t="s">
        <v>2342</v>
      </c>
      <c r="J123" s="0" t="s">
        <v>2339</v>
      </c>
      <c r="K123" s="0" t="s">
        <v>90</v>
      </c>
      <c r="L123" s="4" t="n">
        <v>115937</v>
      </c>
      <c r="M123" s="0" t="s">
        <v>49</v>
      </c>
      <c r="N123" s="0" t="s">
        <v>50</v>
      </c>
      <c r="O123" s="5" t="n">
        <v>4</v>
      </c>
      <c r="P123" s="0" t="n">
        <v>2.9</v>
      </c>
      <c r="Q123" s="0" t="s">
        <v>125</v>
      </c>
      <c r="R123" s="0" t="s">
        <v>52</v>
      </c>
      <c r="S123" s="0" t="s">
        <v>53</v>
      </c>
      <c r="T123" s="0" t="s">
        <v>75</v>
      </c>
      <c r="U123" s="5" t="n">
        <v>30</v>
      </c>
      <c r="V123" s="0" t="s">
        <v>2336</v>
      </c>
      <c r="W123" s="0" t="s">
        <v>2337</v>
      </c>
      <c r="X123" s="0" t="s">
        <v>128</v>
      </c>
      <c r="Y123" s="0" t="s">
        <v>58</v>
      </c>
      <c r="Z123" s="0" t="s">
        <v>2326</v>
      </c>
      <c r="AA123" s="0" t="s">
        <v>143</v>
      </c>
      <c r="AB123" s="5" t="n">
        <v>26153.8461538462</v>
      </c>
      <c r="AC123" s="5" t="n">
        <v>40000</v>
      </c>
      <c r="AD123" s="0" t="s">
        <v>50</v>
      </c>
      <c r="AE123" s="5" t="n">
        <v>10000</v>
      </c>
      <c r="AF123" s="0" t="s">
        <v>60</v>
      </c>
      <c r="AG123" s="7" t="s">
        <v>2415</v>
      </c>
      <c r="AH123" s="0" t="s">
        <v>2329</v>
      </c>
      <c r="AI123" s="0" t="s">
        <v>171</v>
      </c>
      <c r="AJ123" s="0" t="s">
        <v>2320</v>
      </c>
      <c r="AK123" s="0" t="s">
        <v>50</v>
      </c>
      <c r="AL123" s="0" t="s">
        <v>63</v>
      </c>
      <c r="AM123" s="0" t="s">
        <v>2344</v>
      </c>
      <c r="AN123" s="0" t="s">
        <v>2321</v>
      </c>
      <c r="AO123" s="0" t="s">
        <v>63</v>
      </c>
    </row>
    <row r="124" customFormat="false" ht="15" hidden="false" customHeight="false" outlineLevel="0" collapsed="false">
      <c r="A124" s="0" t="s">
        <v>441</v>
      </c>
      <c r="B124" s="2" t="s">
        <v>2423</v>
      </c>
      <c r="C124" s="0" t="s">
        <v>66</v>
      </c>
      <c r="D124" s="0" t="n">
        <v>8071230621</v>
      </c>
      <c r="E124" s="0" t="s">
        <v>139</v>
      </c>
      <c r="F124" s="0" t="s">
        <v>2323</v>
      </c>
      <c r="G124" s="0" t="s">
        <v>442</v>
      </c>
      <c r="H124" s="0" t="s">
        <v>45</v>
      </c>
      <c r="I124" s="3" t="s">
        <v>87</v>
      </c>
      <c r="J124" s="0" t="s">
        <v>189</v>
      </c>
      <c r="K124" s="0" t="s">
        <v>90</v>
      </c>
      <c r="L124" s="4" t="n">
        <v>61522</v>
      </c>
      <c r="M124" s="0" t="s">
        <v>110</v>
      </c>
      <c r="N124" s="0" t="s">
        <v>50</v>
      </c>
      <c r="O124" s="5" t="n">
        <v>1</v>
      </c>
      <c r="P124" s="0" t="n">
        <v>2.5</v>
      </c>
      <c r="Q124" s="0" t="s">
        <v>125</v>
      </c>
      <c r="R124" s="0" t="s">
        <v>93</v>
      </c>
      <c r="S124" s="0" t="s">
        <v>53</v>
      </c>
      <c r="T124" s="0" t="s">
        <v>54</v>
      </c>
      <c r="U124" s="5" t="n">
        <v>45</v>
      </c>
      <c r="V124" s="0" t="s">
        <v>55</v>
      </c>
      <c r="W124" s="0" t="s">
        <v>155</v>
      </c>
      <c r="X124" s="0" t="s">
        <v>78</v>
      </c>
      <c r="Y124" s="0" t="s">
        <v>99</v>
      </c>
      <c r="Z124" s="0" t="s">
        <v>2324</v>
      </c>
      <c r="AA124" s="0" t="s">
        <v>79</v>
      </c>
      <c r="AB124" s="5" t="n">
        <v>25000</v>
      </c>
      <c r="AC124" s="5" t="n">
        <v>40000</v>
      </c>
      <c r="AD124" s="0" t="s">
        <v>63</v>
      </c>
      <c r="AE124" s="5" t="n">
        <v>5000</v>
      </c>
      <c r="AF124" s="0" t="s">
        <v>130</v>
      </c>
      <c r="AG124" s="7" t="s">
        <v>1660</v>
      </c>
      <c r="AH124" s="0" t="s">
        <v>63</v>
      </c>
      <c r="AI124" s="0" t="s">
        <v>116</v>
      </c>
      <c r="AJ124" s="0" t="s">
        <v>117</v>
      </c>
      <c r="AK124" s="0" t="s">
        <v>50</v>
      </c>
      <c r="AL124" s="0" t="s">
        <v>63</v>
      </c>
      <c r="AM124" s="0" t="s">
        <v>50</v>
      </c>
      <c r="AN124" s="0" t="s">
        <v>2321</v>
      </c>
      <c r="AO124" s="0" t="s">
        <v>63</v>
      </c>
    </row>
    <row r="125" customFormat="false" ht="15" hidden="false" customHeight="false" outlineLevel="0" collapsed="false">
      <c r="A125" s="0" t="s">
        <v>443</v>
      </c>
      <c r="B125" s="2" t="s">
        <v>310</v>
      </c>
      <c r="C125" s="0" t="s">
        <v>42</v>
      </c>
      <c r="D125" s="0" t="n">
        <v>8042232378</v>
      </c>
      <c r="E125" s="0" t="s">
        <v>67</v>
      </c>
      <c r="F125" s="0" t="s">
        <v>2316</v>
      </c>
      <c r="G125" s="0" t="s">
        <v>444</v>
      </c>
      <c r="H125" s="0" t="s">
        <v>45</v>
      </c>
      <c r="I125" s="3" t="s">
        <v>2317</v>
      </c>
      <c r="J125" s="0" t="s">
        <v>47</v>
      </c>
      <c r="K125" s="0" t="s">
        <v>90</v>
      </c>
      <c r="L125" s="4" t="n">
        <v>47990</v>
      </c>
      <c r="M125" s="0" t="s">
        <v>110</v>
      </c>
      <c r="N125" s="0" t="s">
        <v>50</v>
      </c>
      <c r="O125" s="5" t="n">
        <v>2</v>
      </c>
      <c r="P125" s="0" t="n">
        <v>1.2</v>
      </c>
      <c r="Q125" s="0" t="s">
        <v>2334</v>
      </c>
      <c r="R125" s="0" t="s">
        <v>52</v>
      </c>
      <c r="S125" s="0" t="s">
        <v>2335</v>
      </c>
      <c r="T125" s="0" t="s">
        <v>75</v>
      </c>
      <c r="U125" s="5" t="n">
        <v>60</v>
      </c>
      <c r="V125" s="0" t="s">
        <v>2352</v>
      </c>
      <c r="W125" s="0" t="s">
        <v>155</v>
      </c>
      <c r="X125" s="0" t="s">
        <v>98</v>
      </c>
      <c r="Y125" s="0" t="s">
        <v>99</v>
      </c>
      <c r="Z125" s="0" t="s">
        <v>2324</v>
      </c>
      <c r="AA125" s="0" t="s">
        <v>79</v>
      </c>
      <c r="AB125" s="5" t="n">
        <v>25000</v>
      </c>
      <c r="AC125" s="5" t="n">
        <v>40000</v>
      </c>
      <c r="AD125" s="0" t="s">
        <v>50</v>
      </c>
      <c r="AE125" s="5" t="n">
        <v>10000</v>
      </c>
      <c r="AF125" s="0" t="s">
        <v>60</v>
      </c>
      <c r="AG125" s="7" t="s">
        <v>2330</v>
      </c>
      <c r="AH125" s="0" t="s">
        <v>50</v>
      </c>
      <c r="AI125" s="0" t="s">
        <v>2331</v>
      </c>
      <c r="AJ125" s="0" t="s">
        <v>172</v>
      </c>
      <c r="AK125" s="0" t="s">
        <v>50</v>
      </c>
      <c r="AL125" s="0" t="s">
        <v>63</v>
      </c>
      <c r="AM125" s="0" t="s">
        <v>63</v>
      </c>
      <c r="AN125" s="0" t="s">
        <v>2318</v>
      </c>
      <c r="AO125" s="0" t="s">
        <v>50</v>
      </c>
    </row>
    <row r="126" customFormat="false" ht="15" hidden="false" customHeight="false" outlineLevel="0" collapsed="false">
      <c r="A126" s="0" t="s">
        <v>445</v>
      </c>
      <c r="B126" s="2" t="s">
        <v>2424</v>
      </c>
      <c r="C126" s="0" t="s">
        <v>66</v>
      </c>
      <c r="D126" s="0" t="n">
        <v>8059612328</v>
      </c>
      <c r="E126" s="0" t="s">
        <v>122</v>
      </c>
      <c r="F126" s="0" t="s">
        <v>2316</v>
      </c>
      <c r="G126" s="0" t="s">
        <v>446</v>
      </c>
      <c r="H126" s="0" t="s">
        <v>69</v>
      </c>
      <c r="I126" s="3" t="s">
        <v>87</v>
      </c>
      <c r="J126" s="0" t="s">
        <v>2347</v>
      </c>
      <c r="K126" s="0" t="s">
        <v>71</v>
      </c>
      <c r="L126" s="4" t="n">
        <v>42392</v>
      </c>
      <c r="M126" s="0" t="s">
        <v>110</v>
      </c>
      <c r="N126" s="0" t="s">
        <v>63</v>
      </c>
      <c r="O126" s="5" t="n">
        <v>2.99450549450549</v>
      </c>
      <c r="P126" s="0" t="n">
        <v>1.7</v>
      </c>
      <c r="Q126" s="0" t="s">
        <v>51</v>
      </c>
      <c r="R126" s="0" t="s">
        <v>93</v>
      </c>
      <c r="S126" s="0" t="s">
        <v>53</v>
      </c>
      <c r="T126" s="0" t="s">
        <v>54</v>
      </c>
      <c r="U126" s="5" t="n">
        <v>45</v>
      </c>
      <c r="V126" s="0" t="s">
        <v>55</v>
      </c>
      <c r="W126" s="0" t="s">
        <v>155</v>
      </c>
      <c r="X126" s="0" t="s">
        <v>128</v>
      </c>
      <c r="Y126" s="0" t="s">
        <v>99</v>
      </c>
      <c r="Z126" s="0" t="s">
        <v>2329</v>
      </c>
      <c r="AA126" s="0" t="s">
        <v>149</v>
      </c>
      <c r="AB126" s="5" t="n">
        <v>25000</v>
      </c>
      <c r="AC126" s="5" t="n">
        <v>35000</v>
      </c>
      <c r="AD126" s="0" t="s">
        <v>63</v>
      </c>
      <c r="AE126" s="5" t="n">
        <v>5000</v>
      </c>
      <c r="AF126" s="0" t="s">
        <v>184</v>
      </c>
      <c r="AG126" s="7" t="s">
        <v>447</v>
      </c>
      <c r="AH126" s="0" t="s">
        <v>50</v>
      </c>
      <c r="AI126" s="0" t="s">
        <v>2331</v>
      </c>
      <c r="AJ126" s="0" t="s">
        <v>2320</v>
      </c>
      <c r="AK126" s="0" t="s">
        <v>50</v>
      </c>
      <c r="AL126" s="0" t="s">
        <v>2344</v>
      </c>
      <c r="AM126" s="0" t="s">
        <v>2344</v>
      </c>
      <c r="AN126" s="0" t="s">
        <v>2318</v>
      </c>
      <c r="AO126" s="0" t="s">
        <v>2359</v>
      </c>
    </row>
    <row r="127" customFormat="false" ht="15" hidden="false" customHeight="false" outlineLevel="0" collapsed="false">
      <c r="A127" s="0" t="s">
        <v>448</v>
      </c>
      <c r="B127" s="2" t="s">
        <v>2425</v>
      </c>
      <c r="C127" s="0" t="s">
        <v>163</v>
      </c>
      <c r="D127" s="0" t="n">
        <v>8059976005</v>
      </c>
      <c r="E127" s="0" t="s">
        <v>122</v>
      </c>
      <c r="F127" s="0" t="s">
        <v>2316</v>
      </c>
      <c r="G127" s="0" t="s">
        <v>123</v>
      </c>
      <c r="H127" s="0" t="s">
        <v>107</v>
      </c>
      <c r="I127" s="3" t="s">
        <v>2317</v>
      </c>
      <c r="J127" s="0" t="s">
        <v>2347</v>
      </c>
      <c r="K127" s="0" t="s">
        <v>48</v>
      </c>
      <c r="L127" s="4" t="n">
        <v>12563</v>
      </c>
      <c r="M127" s="0" t="s">
        <v>2333</v>
      </c>
      <c r="N127" s="0" t="s">
        <v>63</v>
      </c>
      <c r="O127" s="5" t="n">
        <v>5</v>
      </c>
      <c r="P127" s="0" t="n">
        <v>4.9</v>
      </c>
      <c r="Q127" s="0" t="s">
        <v>111</v>
      </c>
      <c r="R127" s="0" t="s">
        <v>52</v>
      </c>
      <c r="S127" s="0" t="s">
        <v>2366</v>
      </c>
      <c r="T127" s="0" t="s">
        <v>95</v>
      </c>
      <c r="U127" s="5" t="n">
        <v>30</v>
      </c>
      <c r="V127" s="0" t="s">
        <v>55</v>
      </c>
      <c r="W127" s="0" t="s">
        <v>2337</v>
      </c>
      <c r="X127" s="0" t="s">
        <v>78</v>
      </c>
      <c r="Y127" s="0" t="s">
        <v>99</v>
      </c>
      <c r="Z127" s="0" t="s">
        <v>59</v>
      </c>
      <c r="AA127" s="0" t="s">
        <v>143</v>
      </c>
      <c r="AB127" s="5" t="n">
        <v>30000</v>
      </c>
      <c r="AC127" s="5" t="n">
        <v>40000</v>
      </c>
      <c r="AD127" s="0" t="s">
        <v>63</v>
      </c>
      <c r="AE127" s="5" t="n">
        <v>5000</v>
      </c>
      <c r="AF127" s="0" t="s">
        <v>60</v>
      </c>
      <c r="AG127" s="7" t="s">
        <v>1667</v>
      </c>
      <c r="AH127" s="0" t="s">
        <v>63</v>
      </c>
      <c r="AI127" s="0" t="s">
        <v>2331</v>
      </c>
      <c r="AJ127" s="0" t="s">
        <v>2320</v>
      </c>
      <c r="AK127" s="0" t="s">
        <v>63</v>
      </c>
      <c r="AL127" s="0" t="s">
        <v>63</v>
      </c>
      <c r="AM127" s="0" t="s">
        <v>2344</v>
      </c>
      <c r="AN127" s="0" t="s">
        <v>2321</v>
      </c>
      <c r="AO127" s="0" t="s">
        <v>63</v>
      </c>
    </row>
    <row r="128" customFormat="false" ht="15" hidden="false" customHeight="false" outlineLevel="0" collapsed="false">
      <c r="A128" s="0" t="s">
        <v>449</v>
      </c>
      <c r="B128" s="2" t="s">
        <v>2426</v>
      </c>
      <c r="C128" s="0" t="s">
        <v>105</v>
      </c>
      <c r="D128" s="0" t="n">
        <v>8098705666</v>
      </c>
      <c r="E128" s="0" t="s">
        <v>43</v>
      </c>
      <c r="F128" s="0" t="s">
        <v>2315</v>
      </c>
      <c r="G128" s="0" t="s">
        <v>450</v>
      </c>
      <c r="H128" s="0" t="s">
        <v>107</v>
      </c>
      <c r="I128" s="3" t="s">
        <v>2342</v>
      </c>
      <c r="J128" s="0" t="s">
        <v>2347</v>
      </c>
      <c r="K128" s="0" t="s">
        <v>71</v>
      </c>
      <c r="L128" s="4" t="n">
        <v>84847</v>
      </c>
      <c r="M128" s="0" t="s">
        <v>49</v>
      </c>
      <c r="N128" s="0" t="s">
        <v>63</v>
      </c>
      <c r="O128" s="5" t="n">
        <v>2</v>
      </c>
      <c r="P128" s="0" t="n">
        <v>1.6</v>
      </c>
      <c r="Q128" s="0" t="s">
        <v>92</v>
      </c>
      <c r="R128" s="0" t="s">
        <v>52</v>
      </c>
      <c r="S128" s="0" t="s">
        <v>2340</v>
      </c>
      <c r="T128" s="0" t="s">
        <v>75</v>
      </c>
      <c r="U128" s="5" t="n">
        <v>30</v>
      </c>
      <c r="V128" s="0" t="s">
        <v>55</v>
      </c>
      <c r="W128" s="0" t="s">
        <v>148</v>
      </c>
      <c r="X128" s="0" t="s">
        <v>98</v>
      </c>
      <c r="Y128" s="0" t="s">
        <v>196</v>
      </c>
      <c r="Z128" s="0" t="s">
        <v>2329</v>
      </c>
      <c r="AA128" s="0" t="s">
        <v>79</v>
      </c>
      <c r="AB128" s="5" t="n">
        <v>15000</v>
      </c>
      <c r="AC128" s="5" t="n">
        <v>30000</v>
      </c>
      <c r="AD128" s="0" t="s">
        <v>63</v>
      </c>
      <c r="AE128" s="5" t="n">
        <v>0</v>
      </c>
      <c r="AF128" s="0" t="s">
        <v>60</v>
      </c>
      <c r="AG128" s="7" t="s">
        <v>451</v>
      </c>
      <c r="AH128" s="0" t="s">
        <v>2329</v>
      </c>
      <c r="AI128" s="0" t="s">
        <v>116</v>
      </c>
      <c r="AJ128" s="0" t="s">
        <v>172</v>
      </c>
      <c r="AK128" s="0" t="s">
        <v>50</v>
      </c>
      <c r="AL128" s="0" t="s">
        <v>63</v>
      </c>
      <c r="AM128" s="0" t="s">
        <v>63</v>
      </c>
      <c r="AN128" s="0" t="s">
        <v>2321</v>
      </c>
      <c r="AO128" s="0" t="s">
        <v>50</v>
      </c>
    </row>
    <row r="129" customFormat="false" ht="15" hidden="false" customHeight="false" outlineLevel="0" collapsed="false">
      <c r="A129" s="0" t="s">
        <v>452</v>
      </c>
      <c r="B129" s="2" t="s">
        <v>416</v>
      </c>
      <c r="C129" s="0" t="s">
        <v>121</v>
      </c>
      <c r="D129" s="0" t="n">
        <v>8032999523</v>
      </c>
      <c r="E129" s="0" t="s">
        <v>139</v>
      </c>
      <c r="F129" s="0" t="s">
        <v>2323</v>
      </c>
      <c r="G129" s="0" t="s">
        <v>453</v>
      </c>
      <c r="H129" s="0" t="s">
        <v>134</v>
      </c>
      <c r="I129" s="3" t="s">
        <v>87</v>
      </c>
      <c r="J129" s="0" t="s">
        <v>47</v>
      </c>
      <c r="K129" s="0" t="s">
        <v>48</v>
      </c>
      <c r="L129" s="4" t="n">
        <v>53597</v>
      </c>
      <c r="M129" s="0" t="s">
        <v>110</v>
      </c>
      <c r="N129" s="0" t="s">
        <v>50</v>
      </c>
      <c r="O129" s="5" t="n">
        <v>5</v>
      </c>
      <c r="P129" s="0" t="n">
        <v>5.6</v>
      </c>
      <c r="Q129" s="0" t="s">
        <v>125</v>
      </c>
      <c r="R129" s="0" t="s">
        <v>93</v>
      </c>
      <c r="S129" s="0" t="s">
        <v>53</v>
      </c>
      <c r="T129" s="0" t="s">
        <v>147</v>
      </c>
      <c r="U129" s="5" t="n">
        <v>60</v>
      </c>
      <c r="V129" s="0" t="s">
        <v>55</v>
      </c>
      <c r="W129" s="0" t="s">
        <v>155</v>
      </c>
      <c r="X129" s="0" t="s">
        <v>98</v>
      </c>
      <c r="Y129" s="0" t="s">
        <v>196</v>
      </c>
      <c r="Z129" s="0" t="s">
        <v>177</v>
      </c>
      <c r="AA129" s="0" t="s">
        <v>149</v>
      </c>
      <c r="AB129" s="5" t="n">
        <v>25000</v>
      </c>
      <c r="AC129" s="5" t="n">
        <v>31477.1151178918</v>
      </c>
      <c r="AD129" s="0" t="s">
        <v>63</v>
      </c>
      <c r="AE129" s="5" t="n">
        <v>0</v>
      </c>
      <c r="AF129" s="0" t="s">
        <v>2338</v>
      </c>
      <c r="AG129" s="7" t="s">
        <v>424</v>
      </c>
      <c r="AH129" s="0" t="s">
        <v>50</v>
      </c>
      <c r="AI129" s="0" t="s">
        <v>2331</v>
      </c>
      <c r="AJ129" s="0" t="s">
        <v>2331</v>
      </c>
      <c r="AK129" s="0" t="s">
        <v>63</v>
      </c>
      <c r="AL129" s="0" t="s">
        <v>2344</v>
      </c>
      <c r="AM129" s="0" t="s">
        <v>63</v>
      </c>
      <c r="AN129" s="0" t="s">
        <v>2318</v>
      </c>
      <c r="AO129" s="0" t="s">
        <v>63</v>
      </c>
    </row>
    <row r="130" customFormat="false" ht="15" hidden="false" customHeight="false" outlineLevel="0" collapsed="false">
      <c r="A130" s="0" t="s">
        <v>454</v>
      </c>
      <c r="B130" s="2" t="s">
        <v>2399</v>
      </c>
      <c r="C130" s="0" t="s">
        <v>121</v>
      </c>
      <c r="D130" s="0" t="n">
        <v>8080722909</v>
      </c>
      <c r="E130" s="0" t="s">
        <v>67</v>
      </c>
      <c r="F130" s="0" t="s">
        <v>2316</v>
      </c>
      <c r="G130" s="0" t="s">
        <v>455</v>
      </c>
      <c r="H130" s="0" t="s">
        <v>107</v>
      </c>
      <c r="I130" s="3" t="s">
        <v>2325</v>
      </c>
      <c r="J130" s="0" t="s">
        <v>2341</v>
      </c>
      <c r="K130" s="0" t="s">
        <v>109</v>
      </c>
      <c r="L130" s="4" t="n">
        <v>44214</v>
      </c>
      <c r="M130" s="0" t="s">
        <v>2333</v>
      </c>
      <c r="N130" s="0" t="s">
        <v>63</v>
      </c>
      <c r="O130" s="5" t="n">
        <v>1</v>
      </c>
      <c r="P130" s="0" t="n">
        <v>4.1</v>
      </c>
      <c r="Q130" s="0" t="s">
        <v>125</v>
      </c>
      <c r="R130" s="0" t="s">
        <v>52</v>
      </c>
      <c r="S130" s="0" t="s">
        <v>53</v>
      </c>
      <c r="T130" s="0" t="s">
        <v>2353</v>
      </c>
      <c r="U130" s="5" t="n">
        <v>15</v>
      </c>
      <c r="V130" s="0" t="s">
        <v>96</v>
      </c>
      <c r="W130" s="0" t="s">
        <v>155</v>
      </c>
      <c r="X130" s="0" t="s">
        <v>78</v>
      </c>
      <c r="Y130" s="0" t="s">
        <v>196</v>
      </c>
      <c r="Z130" s="0" t="s">
        <v>59</v>
      </c>
      <c r="AA130" s="0" t="s">
        <v>161</v>
      </c>
      <c r="AB130" s="5" t="n">
        <v>40000</v>
      </c>
      <c r="AC130" s="5" t="n">
        <v>30000</v>
      </c>
      <c r="AD130" s="0" t="s">
        <v>63</v>
      </c>
      <c r="AE130" s="5" t="n">
        <v>0</v>
      </c>
      <c r="AF130" s="0" t="s">
        <v>184</v>
      </c>
      <c r="AG130" s="7" t="s">
        <v>2330</v>
      </c>
      <c r="AH130" s="0" t="s">
        <v>50</v>
      </c>
      <c r="AI130" s="0" t="s">
        <v>2331</v>
      </c>
      <c r="AJ130" s="0" t="s">
        <v>172</v>
      </c>
      <c r="AK130" s="0" t="s">
        <v>63</v>
      </c>
      <c r="AL130" s="0" t="s">
        <v>2344</v>
      </c>
      <c r="AM130" s="0" t="s">
        <v>50</v>
      </c>
      <c r="AN130" s="0" t="s">
        <v>2318</v>
      </c>
      <c r="AO130" s="0" t="s">
        <v>50</v>
      </c>
    </row>
    <row r="131" customFormat="false" ht="15" hidden="false" customHeight="false" outlineLevel="0" collapsed="false">
      <c r="A131" s="0" t="s">
        <v>456</v>
      </c>
      <c r="B131" s="2" t="s">
        <v>468</v>
      </c>
      <c r="C131" s="0" t="s">
        <v>121</v>
      </c>
      <c r="D131" s="0" t="n">
        <v>8093644995</v>
      </c>
      <c r="E131" s="0" t="s">
        <v>122</v>
      </c>
      <c r="F131" s="0" t="s">
        <v>2316</v>
      </c>
      <c r="G131" s="0" t="s">
        <v>457</v>
      </c>
      <c r="H131" s="0" t="s">
        <v>45</v>
      </c>
      <c r="I131" s="3" t="s">
        <v>87</v>
      </c>
      <c r="J131" s="0" t="s">
        <v>2349</v>
      </c>
      <c r="K131" s="0" t="s">
        <v>90</v>
      </c>
      <c r="L131" s="4" t="n">
        <v>43278</v>
      </c>
      <c r="M131" s="0" t="s">
        <v>110</v>
      </c>
      <c r="N131" s="0" t="s">
        <v>63</v>
      </c>
      <c r="O131" s="5" t="n">
        <v>1</v>
      </c>
      <c r="P131" s="0" t="n">
        <v>3.2</v>
      </c>
      <c r="Q131" s="0" t="s">
        <v>111</v>
      </c>
      <c r="R131" s="0" t="s">
        <v>93</v>
      </c>
      <c r="S131" s="0" t="s">
        <v>53</v>
      </c>
      <c r="T131" s="0" t="s">
        <v>54</v>
      </c>
      <c r="U131" s="5" t="n">
        <v>30</v>
      </c>
      <c r="V131" s="0" t="s">
        <v>2352</v>
      </c>
      <c r="W131" s="0" t="s">
        <v>2328</v>
      </c>
      <c r="X131" s="0" t="s">
        <v>98</v>
      </c>
      <c r="Y131" s="0" t="s">
        <v>99</v>
      </c>
      <c r="Z131" s="0" t="s">
        <v>2329</v>
      </c>
      <c r="AA131" s="0" t="s">
        <v>149</v>
      </c>
      <c r="AB131" s="5" t="n">
        <v>40000</v>
      </c>
      <c r="AC131" s="5" t="n">
        <v>35000</v>
      </c>
      <c r="AD131" s="0" t="s">
        <v>63</v>
      </c>
      <c r="AE131" s="5" t="n">
        <v>5000</v>
      </c>
      <c r="AF131" s="0" t="s">
        <v>60</v>
      </c>
      <c r="AG131" s="7" t="s">
        <v>1491</v>
      </c>
      <c r="AH131" s="0" t="s">
        <v>63</v>
      </c>
      <c r="AI131" s="0" t="s">
        <v>116</v>
      </c>
      <c r="AJ131" s="0" t="s">
        <v>117</v>
      </c>
      <c r="AK131" s="0" t="s">
        <v>50</v>
      </c>
      <c r="AL131" s="0" t="s">
        <v>63</v>
      </c>
      <c r="AM131" s="0" t="s">
        <v>2344</v>
      </c>
      <c r="AN131" s="0" t="s">
        <v>64</v>
      </c>
      <c r="AO131" s="0" t="s">
        <v>2359</v>
      </c>
    </row>
    <row r="132" customFormat="false" ht="15" hidden="false" customHeight="false" outlineLevel="0" collapsed="false">
      <c r="A132" s="0" t="s">
        <v>459</v>
      </c>
      <c r="B132" s="2" t="s">
        <v>458</v>
      </c>
      <c r="C132" s="0" t="s">
        <v>121</v>
      </c>
      <c r="D132" s="0" t="n">
        <v>8068212652</v>
      </c>
      <c r="E132" s="0" t="s">
        <v>122</v>
      </c>
      <c r="F132" s="0" t="s">
        <v>2316</v>
      </c>
      <c r="G132" s="0" t="s">
        <v>460</v>
      </c>
      <c r="H132" s="0" t="s">
        <v>45</v>
      </c>
      <c r="I132" s="3" t="s">
        <v>2317</v>
      </c>
      <c r="J132" s="0" t="s">
        <v>2341</v>
      </c>
      <c r="K132" s="0" t="s">
        <v>90</v>
      </c>
      <c r="L132" s="4" t="n">
        <v>85708</v>
      </c>
      <c r="M132" s="0" t="s">
        <v>110</v>
      </c>
      <c r="N132" s="0" t="s">
        <v>50</v>
      </c>
      <c r="O132" s="5" t="n">
        <v>2</v>
      </c>
      <c r="P132" s="0" t="n">
        <v>3.4</v>
      </c>
      <c r="Q132" s="0" t="s">
        <v>111</v>
      </c>
      <c r="R132" s="0" t="s">
        <v>52</v>
      </c>
      <c r="S132" s="0" t="s">
        <v>2340</v>
      </c>
      <c r="T132" s="0" t="s">
        <v>95</v>
      </c>
      <c r="U132" s="5" t="n">
        <v>30</v>
      </c>
      <c r="V132" s="0" t="s">
        <v>112</v>
      </c>
      <c r="W132" s="0" t="s">
        <v>155</v>
      </c>
      <c r="X132" s="0" t="s">
        <v>98</v>
      </c>
      <c r="Y132" s="0" t="s">
        <v>58</v>
      </c>
      <c r="Z132" s="0" t="s">
        <v>2329</v>
      </c>
      <c r="AA132" s="0" t="s">
        <v>143</v>
      </c>
      <c r="AB132" s="5" t="n">
        <v>20000</v>
      </c>
      <c r="AC132" s="5" t="n">
        <v>31474.2698191933</v>
      </c>
      <c r="AD132" s="0" t="s">
        <v>50</v>
      </c>
      <c r="AE132" s="5" t="n">
        <v>0</v>
      </c>
      <c r="AF132" s="0" t="s">
        <v>60</v>
      </c>
      <c r="AG132" s="7" t="s">
        <v>1667</v>
      </c>
      <c r="AH132" s="0" t="s">
        <v>50</v>
      </c>
      <c r="AI132" s="0" t="s">
        <v>2331</v>
      </c>
      <c r="AJ132" s="0" t="s">
        <v>2320</v>
      </c>
      <c r="AK132" s="0" t="s">
        <v>63</v>
      </c>
      <c r="AL132" s="0" t="s">
        <v>2344</v>
      </c>
      <c r="AM132" s="0" t="s">
        <v>63</v>
      </c>
      <c r="AN132" s="0" t="s">
        <v>64</v>
      </c>
      <c r="AO132" s="0" t="s">
        <v>50</v>
      </c>
    </row>
    <row r="133" customFormat="false" ht="15" hidden="false" customHeight="false" outlineLevel="0" collapsed="false">
      <c r="A133" s="0" t="s">
        <v>461</v>
      </c>
      <c r="B133" s="2" t="s">
        <v>2427</v>
      </c>
      <c r="C133" s="0" t="s">
        <v>66</v>
      </c>
      <c r="D133" s="0" t="n">
        <v>8018774822</v>
      </c>
      <c r="E133" s="0" t="s">
        <v>85</v>
      </c>
      <c r="F133" s="0" t="s">
        <v>2319</v>
      </c>
      <c r="G133" s="0" t="s">
        <v>462</v>
      </c>
      <c r="H133" s="0" t="s">
        <v>107</v>
      </c>
      <c r="I133" s="3" t="s">
        <v>2317</v>
      </c>
      <c r="J133" s="0" t="s">
        <v>47</v>
      </c>
      <c r="K133" s="0" t="s">
        <v>90</v>
      </c>
      <c r="L133" s="4" t="n">
        <v>116268</v>
      </c>
      <c r="M133" s="0" t="s">
        <v>2333</v>
      </c>
      <c r="N133" s="0" t="s">
        <v>63</v>
      </c>
      <c r="O133" s="5" t="n">
        <v>2.99722991689751</v>
      </c>
      <c r="P133" s="0" t="n">
        <v>2.6</v>
      </c>
      <c r="Q133" s="0" t="s">
        <v>111</v>
      </c>
      <c r="R133" s="0" t="s">
        <v>52</v>
      </c>
      <c r="S133" s="0" t="s">
        <v>2335</v>
      </c>
      <c r="T133" s="0" t="s">
        <v>2343</v>
      </c>
      <c r="U133" s="5" t="n">
        <v>45</v>
      </c>
      <c r="V133" s="0" t="s">
        <v>2336</v>
      </c>
      <c r="W133" s="0" t="s">
        <v>155</v>
      </c>
      <c r="X133" s="0" t="s">
        <v>128</v>
      </c>
      <c r="Y133" s="0" t="s">
        <v>58</v>
      </c>
      <c r="Z133" s="0" t="s">
        <v>2324</v>
      </c>
      <c r="AA133" s="0" t="s">
        <v>161</v>
      </c>
      <c r="AB133" s="5" t="n">
        <v>25000</v>
      </c>
      <c r="AC133" s="5" t="n">
        <v>40000</v>
      </c>
      <c r="AD133" s="0" t="s">
        <v>50</v>
      </c>
      <c r="AE133" s="5" t="n">
        <v>5000</v>
      </c>
      <c r="AF133" s="0" t="s">
        <v>184</v>
      </c>
      <c r="AG133" s="7" t="s">
        <v>2330</v>
      </c>
      <c r="AH133" s="0" t="s">
        <v>50</v>
      </c>
      <c r="AI133" s="0" t="s">
        <v>116</v>
      </c>
      <c r="AJ133" s="0" t="s">
        <v>117</v>
      </c>
      <c r="AK133" s="0" t="s">
        <v>50</v>
      </c>
      <c r="AL133" s="0" t="s">
        <v>50</v>
      </c>
      <c r="AM133" s="0" t="s">
        <v>50</v>
      </c>
      <c r="AN133" s="0" t="s">
        <v>2321</v>
      </c>
      <c r="AO133" s="0" t="s">
        <v>63</v>
      </c>
    </row>
    <row r="134" customFormat="false" ht="15" hidden="false" customHeight="false" outlineLevel="0" collapsed="false">
      <c r="A134" s="0" t="s">
        <v>464</v>
      </c>
      <c r="B134" s="2" t="s">
        <v>463</v>
      </c>
      <c r="C134" s="0" t="s">
        <v>163</v>
      </c>
      <c r="D134" s="0" t="n">
        <v>8025903904</v>
      </c>
      <c r="E134" s="0" t="s">
        <v>43</v>
      </c>
      <c r="F134" s="0" t="s">
        <v>2315</v>
      </c>
      <c r="G134" s="0" t="s">
        <v>465</v>
      </c>
      <c r="H134" s="0" t="s">
        <v>87</v>
      </c>
      <c r="I134" s="3" t="s">
        <v>2325</v>
      </c>
      <c r="J134" s="0" t="s">
        <v>189</v>
      </c>
      <c r="K134" s="0" t="s">
        <v>90</v>
      </c>
      <c r="L134" s="4" t="n">
        <v>111571</v>
      </c>
      <c r="M134" s="0" t="s">
        <v>110</v>
      </c>
      <c r="N134" s="0" t="s">
        <v>50</v>
      </c>
      <c r="O134" s="5" t="n">
        <v>3</v>
      </c>
      <c r="P134" s="0" t="n">
        <v>3.1</v>
      </c>
      <c r="Q134" s="0" t="s">
        <v>2334</v>
      </c>
      <c r="R134" s="0" t="s">
        <v>73</v>
      </c>
      <c r="S134" s="0" t="s">
        <v>2335</v>
      </c>
      <c r="T134" s="0" t="s">
        <v>95</v>
      </c>
      <c r="U134" s="5" t="n">
        <v>30</v>
      </c>
      <c r="V134" s="0" t="s">
        <v>55</v>
      </c>
      <c r="W134" s="0" t="s">
        <v>155</v>
      </c>
      <c r="X134" s="0" t="s">
        <v>98</v>
      </c>
      <c r="Y134" s="0" t="s">
        <v>196</v>
      </c>
      <c r="Z134" s="0" t="s">
        <v>177</v>
      </c>
      <c r="AA134" s="0" t="s">
        <v>143</v>
      </c>
      <c r="AB134" s="5" t="n">
        <v>15000</v>
      </c>
      <c r="AC134" s="5" t="n">
        <v>30000</v>
      </c>
      <c r="AD134" s="0" t="s">
        <v>50</v>
      </c>
      <c r="AE134" s="5" t="n">
        <v>5000</v>
      </c>
      <c r="AF134" s="0" t="s">
        <v>184</v>
      </c>
      <c r="AG134" s="7" t="s">
        <v>2330</v>
      </c>
      <c r="AH134" s="0" t="s">
        <v>50</v>
      </c>
      <c r="AI134" s="0" t="s">
        <v>171</v>
      </c>
      <c r="AJ134" s="0" t="s">
        <v>2331</v>
      </c>
      <c r="AK134" s="0" t="s">
        <v>50</v>
      </c>
      <c r="AL134" s="0" t="s">
        <v>63</v>
      </c>
      <c r="AM134" s="0" t="s">
        <v>2344</v>
      </c>
      <c r="AN134" s="0" t="s">
        <v>2321</v>
      </c>
      <c r="AO134" s="0" t="s">
        <v>63</v>
      </c>
    </row>
    <row r="135" customFormat="false" ht="15" hidden="false" customHeight="false" outlineLevel="0" collapsed="false">
      <c r="A135" s="0" t="s">
        <v>466</v>
      </c>
      <c r="B135" s="2" t="s">
        <v>2399</v>
      </c>
      <c r="C135" s="0" t="s">
        <v>163</v>
      </c>
      <c r="D135" s="0" t="n">
        <v>8029385367</v>
      </c>
      <c r="E135" s="0" t="s">
        <v>85</v>
      </c>
      <c r="F135" s="0" t="s">
        <v>2319</v>
      </c>
      <c r="G135" s="0" t="s">
        <v>467</v>
      </c>
      <c r="H135" s="0" t="s">
        <v>69</v>
      </c>
      <c r="I135" s="3" t="s">
        <v>87</v>
      </c>
      <c r="J135" s="0" t="s">
        <v>2349</v>
      </c>
      <c r="K135" s="0" t="s">
        <v>71</v>
      </c>
      <c r="L135" s="4" t="n">
        <v>75289</v>
      </c>
      <c r="M135" s="0" t="s">
        <v>2333</v>
      </c>
      <c r="N135" s="0" t="s">
        <v>63</v>
      </c>
      <c r="O135" s="5" t="n">
        <v>1</v>
      </c>
      <c r="P135" s="0" t="n">
        <v>1.9</v>
      </c>
      <c r="Q135" s="0" t="s">
        <v>92</v>
      </c>
      <c r="R135" s="0" t="s">
        <v>52</v>
      </c>
      <c r="S135" s="0" t="s">
        <v>2366</v>
      </c>
      <c r="T135" s="0" t="s">
        <v>54</v>
      </c>
      <c r="U135" s="5" t="n">
        <v>45</v>
      </c>
      <c r="V135" s="0" t="s">
        <v>2336</v>
      </c>
      <c r="W135" s="0" t="s">
        <v>148</v>
      </c>
      <c r="X135" s="0" t="s">
        <v>98</v>
      </c>
      <c r="Y135" s="0" t="s">
        <v>114</v>
      </c>
      <c r="Z135" s="0" t="s">
        <v>2326</v>
      </c>
      <c r="AA135" s="0" t="s">
        <v>79</v>
      </c>
      <c r="AB135" s="5" t="n">
        <v>40000</v>
      </c>
      <c r="AC135" s="5" t="n">
        <v>40000</v>
      </c>
      <c r="AD135" s="0" t="s">
        <v>50</v>
      </c>
      <c r="AE135" s="5" t="n">
        <v>0</v>
      </c>
      <c r="AF135" s="0" t="s">
        <v>130</v>
      </c>
      <c r="AG135" s="7" t="s">
        <v>2428</v>
      </c>
      <c r="AH135" s="0" t="s">
        <v>50</v>
      </c>
      <c r="AI135" s="0" t="s">
        <v>171</v>
      </c>
      <c r="AJ135" s="0" t="s">
        <v>2331</v>
      </c>
      <c r="AK135" s="0" t="s">
        <v>2344</v>
      </c>
      <c r="AL135" s="0" t="s">
        <v>50</v>
      </c>
      <c r="AM135" s="0" t="s">
        <v>63</v>
      </c>
      <c r="AN135" s="0" t="s">
        <v>64</v>
      </c>
      <c r="AO135" s="0" t="s">
        <v>50</v>
      </c>
    </row>
    <row r="136" customFormat="false" ht="15" hidden="false" customHeight="false" outlineLevel="0" collapsed="false">
      <c r="A136" s="0" t="s">
        <v>469</v>
      </c>
      <c r="B136" s="2" t="s">
        <v>468</v>
      </c>
      <c r="C136" s="0" t="s">
        <v>121</v>
      </c>
      <c r="D136" s="0" t="n">
        <v>8027554964</v>
      </c>
      <c r="E136" s="0" t="s">
        <v>139</v>
      </c>
      <c r="F136" s="0" t="s">
        <v>2323</v>
      </c>
      <c r="G136" s="0" t="s">
        <v>470</v>
      </c>
      <c r="H136" s="0" t="s">
        <v>134</v>
      </c>
      <c r="I136" s="3" t="s">
        <v>2317</v>
      </c>
      <c r="J136" s="0" t="s">
        <v>47</v>
      </c>
      <c r="K136" s="0" t="s">
        <v>71</v>
      </c>
      <c r="L136" s="4" t="n">
        <v>90112</v>
      </c>
      <c r="M136" s="0" t="s">
        <v>110</v>
      </c>
      <c r="N136" s="0" t="s">
        <v>63</v>
      </c>
      <c r="O136" s="5" t="n">
        <v>2</v>
      </c>
      <c r="P136" s="0" t="n">
        <v>5.7</v>
      </c>
      <c r="Q136" s="0" t="s">
        <v>51</v>
      </c>
      <c r="R136" s="0" t="s">
        <v>93</v>
      </c>
      <c r="S136" s="0" t="s">
        <v>53</v>
      </c>
      <c r="T136" s="0" t="s">
        <v>95</v>
      </c>
      <c r="U136" s="5" t="n">
        <v>30</v>
      </c>
      <c r="V136" s="0" t="s">
        <v>96</v>
      </c>
      <c r="W136" s="0" t="s">
        <v>2337</v>
      </c>
      <c r="X136" s="0" t="s">
        <v>78</v>
      </c>
      <c r="Y136" s="0" t="s">
        <v>99</v>
      </c>
      <c r="Z136" s="0" t="s">
        <v>177</v>
      </c>
      <c r="AA136" s="0" t="s">
        <v>143</v>
      </c>
      <c r="AB136" s="5" t="n">
        <v>25000</v>
      </c>
      <c r="AC136" s="5" t="n">
        <v>35000</v>
      </c>
      <c r="AD136" s="0" t="s">
        <v>63</v>
      </c>
      <c r="AE136" s="5" t="n">
        <v>10000</v>
      </c>
      <c r="AF136" s="0" t="s">
        <v>60</v>
      </c>
      <c r="AG136" s="7" t="s">
        <v>2330</v>
      </c>
      <c r="AH136" s="0" t="s">
        <v>50</v>
      </c>
      <c r="AI136" s="0" t="s">
        <v>2331</v>
      </c>
      <c r="AJ136" s="0" t="s">
        <v>2331</v>
      </c>
      <c r="AK136" s="0" t="s">
        <v>63</v>
      </c>
      <c r="AL136" s="0" t="s">
        <v>63</v>
      </c>
      <c r="AM136" s="0" t="s">
        <v>2344</v>
      </c>
      <c r="AN136" s="0" t="s">
        <v>2318</v>
      </c>
      <c r="AO136" s="0" t="s">
        <v>63</v>
      </c>
    </row>
    <row r="137" customFormat="false" ht="15" hidden="false" customHeight="false" outlineLevel="0" collapsed="false">
      <c r="A137" s="0" t="s">
        <v>471</v>
      </c>
      <c r="B137" s="2" t="s">
        <v>2429</v>
      </c>
      <c r="C137" s="0" t="s">
        <v>42</v>
      </c>
      <c r="D137" s="0" t="n">
        <v>8035453201</v>
      </c>
      <c r="E137" s="0" t="s">
        <v>67</v>
      </c>
      <c r="F137" s="0" t="s">
        <v>2316</v>
      </c>
      <c r="G137" s="0" t="s">
        <v>472</v>
      </c>
      <c r="H137" s="0" t="s">
        <v>87</v>
      </c>
      <c r="I137" s="3" t="s">
        <v>2317</v>
      </c>
      <c r="J137" s="0" t="s">
        <v>47</v>
      </c>
      <c r="K137" s="0" t="s">
        <v>71</v>
      </c>
      <c r="L137" s="4" t="n">
        <v>103780</v>
      </c>
      <c r="M137" s="0" t="s">
        <v>49</v>
      </c>
      <c r="N137" s="0" t="s">
        <v>50</v>
      </c>
      <c r="O137" s="5" t="n">
        <v>1</v>
      </c>
      <c r="P137" s="0" t="n">
        <v>1.9</v>
      </c>
      <c r="Q137" s="0" t="s">
        <v>2334</v>
      </c>
      <c r="R137" s="0" t="s">
        <v>93</v>
      </c>
      <c r="S137" s="0" t="s">
        <v>53</v>
      </c>
      <c r="T137" s="0" t="s">
        <v>147</v>
      </c>
      <c r="U137" s="5" t="n">
        <v>60</v>
      </c>
      <c r="V137" s="0" t="s">
        <v>96</v>
      </c>
      <c r="W137" s="0" t="s">
        <v>2328</v>
      </c>
      <c r="X137" s="0" t="s">
        <v>98</v>
      </c>
      <c r="Y137" s="0" t="s">
        <v>58</v>
      </c>
      <c r="Z137" s="0" t="s">
        <v>59</v>
      </c>
      <c r="AA137" s="0" t="s">
        <v>79</v>
      </c>
      <c r="AB137" s="5" t="n">
        <v>40000</v>
      </c>
      <c r="AC137" s="5" t="n">
        <v>35000</v>
      </c>
      <c r="AD137" s="0" t="s">
        <v>50</v>
      </c>
      <c r="AE137" s="5" t="n">
        <v>0</v>
      </c>
      <c r="AF137" s="0" t="s">
        <v>2338</v>
      </c>
      <c r="AG137" s="7" t="s">
        <v>2404</v>
      </c>
      <c r="AH137" s="0" t="s">
        <v>50</v>
      </c>
      <c r="AI137" s="0" t="s">
        <v>2331</v>
      </c>
      <c r="AJ137" s="0" t="s">
        <v>117</v>
      </c>
      <c r="AK137" s="0" t="s">
        <v>63</v>
      </c>
      <c r="AL137" s="0" t="s">
        <v>63</v>
      </c>
      <c r="AM137" s="0" t="s">
        <v>50</v>
      </c>
      <c r="AN137" s="0" t="s">
        <v>2321</v>
      </c>
      <c r="AO137" s="0" t="s">
        <v>50</v>
      </c>
    </row>
    <row r="138" customFormat="false" ht="15" hidden="false" customHeight="false" outlineLevel="0" collapsed="false">
      <c r="A138" s="0" t="s">
        <v>473</v>
      </c>
      <c r="B138" s="2" t="s">
        <v>963</v>
      </c>
      <c r="C138" s="0" t="s">
        <v>121</v>
      </c>
      <c r="D138" s="0" t="n">
        <v>8035727027</v>
      </c>
      <c r="E138" s="0" t="s">
        <v>139</v>
      </c>
      <c r="F138" s="0" t="s">
        <v>2323</v>
      </c>
      <c r="G138" s="0" t="s">
        <v>312</v>
      </c>
      <c r="H138" s="0" t="s">
        <v>45</v>
      </c>
      <c r="I138" s="3" t="s">
        <v>87</v>
      </c>
      <c r="J138" s="0" t="s">
        <v>189</v>
      </c>
      <c r="K138" s="0" t="s">
        <v>71</v>
      </c>
      <c r="L138" s="4" t="n">
        <v>105031</v>
      </c>
      <c r="M138" s="0" t="s">
        <v>2333</v>
      </c>
      <c r="N138" s="0" t="s">
        <v>50</v>
      </c>
      <c r="O138" s="5" t="n">
        <v>2</v>
      </c>
      <c r="P138" s="0" t="n">
        <v>4</v>
      </c>
      <c r="Q138" s="0" t="s">
        <v>2334</v>
      </c>
      <c r="R138" s="0" t="s">
        <v>52</v>
      </c>
      <c r="S138" s="0" t="s">
        <v>2340</v>
      </c>
      <c r="T138" s="0" t="s">
        <v>54</v>
      </c>
      <c r="U138" s="5" t="n">
        <v>40.0990099009901</v>
      </c>
      <c r="V138" s="0" t="s">
        <v>112</v>
      </c>
      <c r="W138" s="0" t="s">
        <v>155</v>
      </c>
      <c r="X138" s="0" t="s">
        <v>78</v>
      </c>
      <c r="Y138" s="0" t="s">
        <v>58</v>
      </c>
      <c r="Z138" s="0" t="s">
        <v>2329</v>
      </c>
      <c r="AA138" s="0" t="s">
        <v>143</v>
      </c>
      <c r="AB138" s="5" t="n">
        <v>30000</v>
      </c>
      <c r="AC138" s="5" t="n">
        <v>30000</v>
      </c>
      <c r="AD138" s="0" t="s">
        <v>63</v>
      </c>
      <c r="AE138" s="5" t="n">
        <v>5000</v>
      </c>
      <c r="AF138" s="0" t="s">
        <v>184</v>
      </c>
      <c r="AG138" s="7" t="s">
        <v>474</v>
      </c>
      <c r="AH138" s="0" t="s">
        <v>50</v>
      </c>
      <c r="AI138" s="0" t="s">
        <v>171</v>
      </c>
      <c r="AJ138" s="0" t="s">
        <v>2331</v>
      </c>
      <c r="AK138" s="0" t="s">
        <v>2344</v>
      </c>
      <c r="AL138" s="0" t="s">
        <v>63</v>
      </c>
      <c r="AM138" s="0" t="s">
        <v>63</v>
      </c>
      <c r="AN138" s="0" t="s">
        <v>2321</v>
      </c>
      <c r="AO138" s="0" t="s">
        <v>50</v>
      </c>
    </row>
    <row r="139" customFormat="false" ht="15" hidden="false" customHeight="false" outlineLevel="0" collapsed="false">
      <c r="A139" s="0" t="s">
        <v>475</v>
      </c>
      <c r="B139" s="2" t="s">
        <v>267</v>
      </c>
      <c r="C139" s="0" t="s">
        <v>66</v>
      </c>
      <c r="D139" s="0" t="n">
        <v>8081478283</v>
      </c>
      <c r="E139" s="0" t="s">
        <v>67</v>
      </c>
      <c r="F139" s="0" t="s">
        <v>2316</v>
      </c>
      <c r="G139" s="0" t="s">
        <v>476</v>
      </c>
      <c r="H139" s="0" t="s">
        <v>45</v>
      </c>
      <c r="I139" s="3" t="s">
        <v>87</v>
      </c>
      <c r="J139" s="0" t="s">
        <v>2347</v>
      </c>
      <c r="K139" s="0" t="s">
        <v>109</v>
      </c>
      <c r="L139" s="4" t="n">
        <v>25267</v>
      </c>
      <c r="M139" s="0" t="s">
        <v>2333</v>
      </c>
      <c r="N139" s="0" t="s">
        <v>50</v>
      </c>
      <c r="O139" s="5" t="n">
        <v>3.00557880055788</v>
      </c>
      <c r="P139" s="0" t="n">
        <v>2.7</v>
      </c>
      <c r="Q139" s="0" t="s">
        <v>111</v>
      </c>
      <c r="R139" s="0" t="s">
        <v>52</v>
      </c>
      <c r="S139" s="0" t="s">
        <v>2335</v>
      </c>
      <c r="T139" s="0" t="s">
        <v>147</v>
      </c>
      <c r="U139" s="5" t="n">
        <v>15</v>
      </c>
      <c r="V139" s="0" t="s">
        <v>2336</v>
      </c>
      <c r="W139" s="0" t="s">
        <v>155</v>
      </c>
      <c r="X139" s="0" t="s">
        <v>98</v>
      </c>
      <c r="Y139" s="0" t="s">
        <v>196</v>
      </c>
      <c r="Z139" s="0" t="s">
        <v>2329</v>
      </c>
      <c r="AA139" s="0" t="s">
        <v>2329</v>
      </c>
      <c r="AB139" s="5" t="n">
        <v>40000</v>
      </c>
      <c r="AC139" s="5" t="n">
        <v>35000</v>
      </c>
      <c r="AD139" s="0" t="s">
        <v>63</v>
      </c>
      <c r="AE139" s="5" t="n">
        <v>0</v>
      </c>
      <c r="AF139" s="0" t="s">
        <v>184</v>
      </c>
      <c r="AG139" s="7" t="s">
        <v>2330</v>
      </c>
      <c r="AH139" s="0" t="s">
        <v>63</v>
      </c>
      <c r="AI139" s="0" t="s">
        <v>2331</v>
      </c>
      <c r="AJ139" s="0" t="s">
        <v>2331</v>
      </c>
      <c r="AK139" s="0" t="s">
        <v>63</v>
      </c>
      <c r="AL139" s="0" t="s">
        <v>63</v>
      </c>
      <c r="AM139" s="0" t="s">
        <v>63</v>
      </c>
      <c r="AN139" s="0" t="s">
        <v>64</v>
      </c>
      <c r="AO139" s="0" t="s">
        <v>50</v>
      </c>
    </row>
    <row r="140" customFormat="false" ht="15" hidden="false" customHeight="false" outlineLevel="0" collapsed="false">
      <c r="A140" s="0" t="s">
        <v>477</v>
      </c>
      <c r="B140" s="2" t="s">
        <v>2375</v>
      </c>
      <c r="C140" s="0" t="s">
        <v>163</v>
      </c>
      <c r="D140" s="0" t="n">
        <v>8060760544</v>
      </c>
      <c r="E140" s="0" t="s">
        <v>122</v>
      </c>
      <c r="F140" s="0" t="s">
        <v>2316</v>
      </c>
      <c r="G140" s="0" t="s">
        <v>478</v>
      </c>
      <c r="H140" s="0" t="s">
        <v>107</v>
      </c>
      <c r="I140" s="3" t="s">
        <v>2317</v>
      </c>
      <c r="J140" s="0" t="s">
        <v>2339</v>
      </c>
      <c r="K140" s="0" t="s">
        <v>90</v>
      </c>
      <c r="L140" s="4" t="n">
        <v>33653</v>
      </c>
      <c r="M140" s="0" t="s">
        <v>49</v>
      </c>
      <c r="N140" s="0" t="s">
        <v>50</v>
      </c>
      <c r="O140" s="5" t="n">
        <v>4</v>
      </c>
      <c r="P140" s="0" t="n">
        <v>2.1</v>
      </c>
      <c r="Q140" s="0" t="s">
        <v>2334</v>
      </c>
      <c r="R140" s="0" t="s">
        <v>52</v>
      </c>
      <c r="S140" s="0" t="s">
        <v>2340</v>
      </c>
      <c r="T140" s="0" t="s">
        <v>95</v>
      </c>
      <c r="U140" s="5" t="n">
        <v>30</v>
      </c>
      <c r="V140" s="0" t="s">
        <v>112</v>
      </c>
      <c r="W140" s="0" t="s">
        <v>2328</v>
      </c>
      <c r="X140" s="0" t="s">
        <v>128</v>
      </c>
      <c r="Y140" s="0" t="s">
        <v>58</v>
      </c>
      <c r="Z140" s="0" t="s">
        <v>2324</v>
      </c>
      <c r="AA140" s="0" t="s">
        <v>161</v>
      </c>
      <c r="AB140" s="5" t="n">
        <v>25000</v>
      </c>
      <c r="AC140" s="5" t="n">
        <v>30000</v>
      </c>
      <c r="AD140" s="0" t="s">
        <v>50</v>
      </c>
      <c r="AE140" s="5" t="n">
        <v>5000</v>
      </c>
      <c r="AF140" s="0" t="s">
        <v>60</v>
      </c>
      <c r="AG140" s="7" t="s">
        <v>2430</v>
      </c>
      <c r="AH140" s="0" t="s">
        <v>63</v>
      </c>
      <c r="AI140" s="0" t="s">
        <v>2331</v>
      </c>
      <c r="AJ140" s="0" t="s">
        <v>117</v>
      </c>
      <c r="AK140" s="0" t="s">
        <v>50</v>
      </c>
      <c r="AL140" s="0" t="s">
        <v>2344</v>
      </c>
      <c r="AM140" s="0" t="s">
        <v>63</v>
      </c>
      <c r="AN140" s="0" t="s">
        <v>64</v>
      </c>
      <c r="AO140" s="0" t="s">
        <v>2359</v>
      </c>
    </row>
    <row r="141" customFormat="false" ht="15" hidden="false" customHeight="false" outlineLevel="0" collapsed="false">
      <c r="A141" s="0" t="s">
        <v>479</v>
      </c>
      <c r="B141" s="2" t="s">
        <v>2384</v>
      </c>
      <c r="C141" s="0" t="s">
        <v>105</v>
      </c>
      <c r="D141" s="0" t="n">
        <v>8060231696</v>
      </c>
      <c r="E141" s="0" t="s">
        <v>122</v>
      </c>
      <c r="F141" s="0" t="s">
        <v>2316</v>
      </c>
      <c r="G141" s="0" t="s">
        <v>480</v>
      </c>
      <c r="H141" s="0" t="s">
        <v>134</v>
      </c>
      <c r="I141" s="3" t="s">
        <v>87</v>
      </c>
      <c r="J141" s="0" t="s">
        <v>47</v>
      </c>
      <c r="K141" s="0" t="s">
        <v>71</v>
      </c>
      <c r="L141" s="4" t="n">
        <v>68566</v>
      </c>
      <c r="M141" s="0" t="s">
        <v>110</v>
      </c>
      <c r="N141" s="0" t="s">
        <v>63</v>
      </c>
      <c r="O141" s="5" t="n">
        <v>3</v>
      </c>
      <c r="P141" s="0" t="n">
        <v>4.2</v>
      </c>
      <c r="Q141" s="0" t="s">
        <v>51</v>
      </c>
      <c r="R141" s="0" t="s">
        <v>73</v>
      </c>
      <c r="S141" s="0" t="s">
        <v>2335</v>
      </c>
      <c r="T141" s="0" t="s">
        <v>75</v>
      </c>
      <c r="U141" s="5" t="n">
        <v>30</v>
      </c>
      <c r="V141" s="0" t="s">
        <v>2336</v>
      </c>
      <c r="W141" s="0" t="s">
        <v>148</v>
      </c>
      <c r="X141" s="0" t="s">
        <v>128</v>
      </c>
      <c r="Y141" s="0" t="s">
        <v>196</v>
      </c>
      <c r="Z141" s="0" t="s">
        <v>177</v>
      </c>
      <c r="AA141" s="0" t="s">
        <v>161</v>
      </c>
      <c r="AB141" s="5" t="n">
        <v>40000</v>
      </c>
      <c r="AC141" s="5" t="n">
        <v>30000</v>
      </c>
      <c r="AD141" s="0" t="s">
        <v>50</v>
      </c>
      <c r="AE141" s="5" t="n">
        <v>10000</v>
      </c>
      <c r="AF141" s="0" t="s">
        <v>130</v>
      </c>
      <c r="AG141" s="7" t="s">
        <v>2330</v>
      </c>
      <c r="AH141" s="0" t="s">
        <v>63</v>
      </c>
      <c r="AI141" s="0" t="s">
        <v>2331</v>
      </c>
      <c r="AJ141" s="0" t="s">
        <v>172</v>
      </c>
      <c r="AK141" s="0" t="s">
        <v>63</v>
      </c>
      <c r="AL141" s="0" t="s">
        <v>63</v>
      </c>
      <c r="AM141" s="0" t="s">
        <v>2344</v>
      </c>
      <c r="AN141" s="0" t="s">
        <v>2321</v>
      </c>
      <c r="AO141" s="0" t="s">
        <v>2359</v>
      </c>
    </row>
    <row r="142" customFormat="false" ht="15" hidden="false" customHeight="false" outlineLevel="0" collapsed="false">
      <c r="A142" s="0" t="s">
        <v>481</v>
      </c>
      <c r="B142" s="2" t="s">
        <v>2379</v>
      </c>
      <c r="C142" s="0" t="s">
        <v>121</v>
      </c>
      <c r="D142" s="0" t="n">
        <v>8052674742</v>
      </c>
      <c r="E142" s="0" t="s">
        <v>67</v>
      </c>
      <c r="F142" s="0" t="s">
        <v>2316</v>
      </c>
      <c r="G142" s="0" t="s">
        <v>482</v>
      </c>
      <c r="H142" s="0" t="s">
        <v>45</v>
      </c>
      <c r="I142" s="3" t="s">
        <v>2342</v>
      </c>
      <c r="J142" s="0" t="s">
        <v>2347</v>
      </c>
      <c r="K142" s="0" t="s">
        <v>71</v>
      </c>
      <c r="L142" s="4" t="n">
        <v>89116</v>
      </c>
      <c r="M142" s="0" t="s">
        <v>49</v>
      </c>
      <c r="N142" s="0" t="s">
        <v>50</v>
      </c>
      <c r="O142" s="5" t="n">
        <v>4</v>
      </c>
      <c r="P142" s="0" t="n">
        <v>4.3</v>
      </c>
      <c r="Q142" s="0" t="s">
        <v>92</v>
      </c>
      <c r="R142" s="0" t="s">
        <v>73</v>
      </c>
      <c r="S142" s="0" t="s">
        <v>53</v>
      </c>
      <c r="T142" s="0" t="s">
        <v>2353</v>
      </c>
      <c r="U142" s="5" t="n">
        <v>30</v>
      </c>
      <c r="V142" s="0" t="s">
        <v>55</v>
      </c>
      <c r="W142" s="0" t="s">
        <v>2337</v>
      </c>
      <c r="X142" s="0" t="s">
        <v>78</v>
      </c>
      <c r="Y142" s="0" t="s">
        <v>99</v>
      </c>
      <c r="Z142" s="0" t="s">
        <v>2326</v>
      </c>
      <c r="AA142" s="0" t="s">
        <v>161</v>
      </c>
      <c r="AB142" s="5" t="n">
        <v>30000</v>
      </c>
      <c r="AC142" s="5" t="n">
        <v>40000</v>
      </c>
      <c r="AD142" s="0" t="s">
        <v>50</v>
      </c>
      <c r="AE142" s="5" t="n">
        <v>10000</v>
      </c>
      <c r="AF142" s="0" t="s">
        <v>2338</v>
      </c>
      <c r="AG142" s="7" t="s">
        <v>483</v>
      </c>
      <c r="AH142" s="0" t="s">
        <v>50</v>
      </c>
      <c r="AI142" s="0" t="s">
        <v>171</v>
      </c>
      <c r="AJ142" s="0" t="s">
        <v>172</v>
      </c>
      <c r="AK142" s="0" t="s">
        <v>50</v>
      </c>
      <c r="AL142" s="0" t="s">
        <v>63</v>
      </c>
      <c r="AM142" s="0" t="s">
        <v>50</v>
      </c>
      <c r="AN142" s="0" t="s">
        <v>64</v>
      </c>
      <c r="AO142" s="0" t="s">
        <v>63</v>
      </c>
    </row>
    <row r="143" customFormat="false" ht="15" hidden="false" customHeight="false" outlineLevel="0" collapsed="false">
      <c r="A143" s="0" t="s">
        <v>484</v>
      </c>
      <c r="B143" s="2" t="s">
        <v>2379</v>
      </c>
      <c r="C143" s="0" t="s">
        <v>121</v>
      </c>
      <c r="D143" s="0" t="n">
        <v>8090470126</v>
      </c>
      <c r="E143" s="0" t="s">
        <v>139</v>
      </c>
      <c r="F143" s="0" t="s">
        <v>2323</v>
      </c>
      <c r="G143" s="0" t="s">
        <v>485</v>
      </c>
      <c r="H143" s="0" t="s">
        <v>134</v>
      </c>
      <c r="I143" s="3" t="s">
        <v>2317</v>
      </c>
      <c r="J143" s="0" t="s">
        <v>189</v>
      </c>
      <c r="K143" s="0" t="s">
        <v>109</v>
      </c>
      <c r="L143" s="4" t="n">
        <v>118117</v>
      </c>
      <c r="M143" s="0" t="s">
        <v>110</v>
      </c>
      <c r="N143" s="0" t="s">
        <v>50</v>
      </c>
      <c r="O143" s="5" t="n">
        <v>3</v>
      </c>
      <c r="P143" s="0" t="n">
        <v>3.2</v>
      </c>
      <c r="Q143" s="0" t="s">
        <v>51</v>
      </c>
      <c r="R143" s="0" t="s">
        <v>52</v>
      </c>
      <c r="S143" s="0" t="s">
        <v>2366</v>
      </c>
      <c r="T143" s="0" t="s">
        <v>2353</v>
      </c>
      <c r="U143" s="5" t="n">
        <v>45</v>
      </c>
      <c r="V143" s="0" t="s">
        <v>2352</v>
      </c>
      <c r="W143" s="0" t="s">
        <v>2337</v>
      </c>
      <c r="X143" s="0" t="s">
        <v>98</v>
      </c>
      <c r="Y143" s="0" t="s">
        <v>58</v>
      </c>
      <c r="Z143" s="0" t="s">
        <v>2326</v>
      </c>
      <c r="AA143" s="0" t="s">
        <v>79</v>
      </c>
      <c r="AB143" s="5" t="n">
        <v>25000</v>
      </c>
      <c r="AC143" s="5" t="n">
        <v>40000</v>
      </c>
      <c r="AD143" s="0" t="s">
        <v>50</v>
      </c>
      <c r="AE143" s="5" t="n">
        <v>0</v>
      </c>
      <c r="AF143" s="0" t="s">
        <v>60</v>
      </c>
      <c r="AG143" s="7" t="s">
        <v>486</v>
      </c>
      <c r="AH143" s="0" t="s">
        <v>50</v>
      </c>
      <c r="AI143" s="0" t="s">
        <v>171</v>
      </c>
      <c r="AJ143" s="0" t="s">
        <v>117</v>
      </c>
      <c r="AK143" s="0" t="s">
        <v>50</v>
      </c>
      <c r="AL143" s="0" t="s">
        <v>63</v>
      </c>
      <c r="AM143" s="0" t="s">
        <v>2344</v>
      </c>
      <c r="AN143" s="0" t="s">
        <v>2321</v>
      </c>
      <c r="AO143" s="0" t="s">
        <v>50</v>
      </c>
    </row>
    <row r="144" customFormat="false" ht="15" hidden="false" customHeight="false" outlineLevel="0" collapsed="false">
      <c r="A144" s="0" t="s">
        <v>487</v>
      </c>
      <c r="B144" s="2" t="s">
        <v>2412</v>
      </c>
      <c r="C144" s="0" t="s">
        <v>42</v>
      </c>
      <c r="D144" s="0" t="n">
        <v>8067651904</v>
      </c>
      <c r="E144" s="0" t="s">
        <v>139</v>
      </c>
      <c r="F144" s="0" t="s">
        <v>2323</v>
      </c>
      <c r="G144" s="0" t="s">
        <v>488</v>
      </c>
      <c r="H144" s="0" t="s">
        <v>87</v>
      </c>
      <c r="I144" s="3" t="s">
        <v>2322</v>
      </c>
      <c r="J144" s="0" t="s">
        <v>47</v>
      </c>
      <c r="K144" s="0" t="s">
        <v>71</v>
      </c>
      <c r="L144" s="4" t="n">
        <v>86318</v>
      </c>
      <c r="M144" s="0" t="s">
        <v>2333</v>
      </c>
      <c r="N144" s="0" t="s">
        <v>63</v>
      </c>
      <c r="O144" s="5" t="n">
        <v>5</v>
      </c>
      <c r="P144" s="0" t="n">
        <v>1.1</v>
      </c>
      <c r="Q144" s="0" t="s">
        <v>111</v>
      </c>
      <c r="R144" s="0" t="s">
        <v>52</v>
      </c>
      <c r="S144" s="0" t="s">
        <v>2335</v>
      </c>
      <c r="T144" s="0" t="s">
        <v>147</v>
      </c>
      <c r="U144" s="5" t="n">
        <v>60</v>
      </c>
      <c r="V144" s="0" t="s">
        <v>112</v>
      </c>
      <c r="W144" s="0" t="s">
        <v>2337</v>
      </c>
      <c r="X144" s="0" t="s">
        <v>78</v>
      </c>
      <c r="Y144" s="0" t="s">
        <v>114</v>
      </c>
      <c r="Z144" s="0" t="s">
        <v>2324</v>
      </c>
      <c r="AA144" s="0" t="s">
        <v>161</v>
      </c>
      <c r="AB144" s="5" t="n">
        <v>25848.2142857143</v>
      </c>
      <c r="AC144" s="5" t="n">
        <v>40000</v>
      </c>
      <c r="AD144" s="0" t="s">
        <v>50</v>
      </c>
      <c r="AE144" s="5" t="n">
        <v>5000</v>
      </c>
      <c r="AF144" s="0" t="s">
        <v>130</v>
      </c>
      <c r="AG144" s="7" t="s">
        <v>2374</v>
      </c>
      <c r="AH144" s="0" t="s">
        <v>63</v>
      </c>
      <c r="AI144" s="0" t="s">
        <v>2331</v>
      </c>
      <c r="AJ144" s="0" t="s">
        <v>117</v>
      </c>
      <c r="AK144" s="0" t="s">
        <v>63</v>
      </c>
      <c r="AL144" s="0" t="s">
        <v>2344</v>
      </c>
      <c r="AM144" s="0" t="s">
        <v>63</v>
      </c>
      <c r="AN144" s="0" t="s">
        <v>64</v>
      </c>
      <c r="AO144" s="0" t="s">
        <v>50</v>
      </c>
    </row>
    <row r="145" customFormat="false" ht="15" hidden="false" customHeight="false" outlineLevel="0" collapsed="false">
      <c r="A145" s="0" t="s">
        <v>490</v>
      </c>
      <c r="B145" s="2" t="s">
        <v>489</v>
      </c>
      <c r="C145" s="0" t="s">
        <v>42</v>
      </c>
      <c r="D145" s="0" t="n">
        <v>8095381661</v>
      </c>
      <c r="E145" s="0" t="s">
        <v>43</v>
      </c>
      <c r="F145" s="0" t="s">
        <v>2315</v>
      </c>
      <c r="G145" s="0" t="s">
        <v>491</v>
      </c>
      <c r="H145" s="0" t="s">
        <v>69</v>
      </c>
      <c r="I145" s="3" t="s">
        <v>87</v>
      </c>
      <c r="J145" s="0" t="s">
        <v>2341</v>
      </c>
      <c r="K145" s="0" t="s">
        <v>90</v>
      </c>
      <c r="L145" s="4" t="n">
        <v>67513</v>
      </c>
      <c r="M145" s="0" t="s">
        <v>2333</v>
      </c>
      <c r="N145" s="0" t="s">
        <v>50</v>
      </c>
      <c r="O145" s="5" t="n">
        <v>3</v>
      </c>
      <c r="P145" s="0" t="n">
        <v>3.5</v>
      </c>
      <c r="Q145" s="0" t="s">
        <v>92</v>
      </c>
      <c r="R145" s="0" t="s">
        <v>93</v>
      </c>
      <c r="S145" s="0" t="s">
        <v>2366</v>
      </c>
      <c r="T145" s="0" t="s">
        <v>147</v>
      </c>
      <c r="U145" s="5" t="n">
        <v>45</v>
      </c>
      <c r="V145" s="0" t="s">
        <v>112</v>
      </c>
      <c r="W145" s="0" t="s">
        <v>2337</v>
      </c>
      <c r="X145" s="0" t="s">
        <v>98</v>
      </c>
      <c r="Y145" s="0" t="s">
        <v>196</v>
      </c>
      <c r="Z145" s="0" t="s">
        <v>2329</v>
      </c>
      <c r="AA145" s="0" t="s">
        <v>79</v>
      </c>
      <c r="AB145" s="5" t="n">
        <v>30000</v>
      </c>
      <c r="AC145" s="5" t="n">
        <v>31407.3550212164</v>
      </c>
      <c r="AD145" s="0" t="s">
        <v>63</v>
      </c>
      <c r="AE145" s="5" t="n">
        <v>0</v>
      </c>
      <c r="AF145" s="0" t="s">
        <v>184</v>
      </c>
      <c r="AG145" s="7" t="s">
        <v>2358</v>
      </c>
      <c r="AH145" s="0" t="s">
        <v>50</v>
      </c>
      <c r="AI145" s="0" t="s">
        <v>2331</v>
      </c>
      <c r="AJ145" s="0" t="s">
        <v>2320</v>
      </c>
      <c r="AK145" s="0" t="s">
        <v>50</v>
      </c>
      <c r="AL145" s="0" t="s">
        <v>63</v>
      </c>
      <c r="AM145" s="0" t="s">
        <v>2344</v>
      </c>
      <c r="AN145" s="0" t="s">
        <v>2318</v>
      </c>
      <c r="AO145" s="0" t="s">
        <v>50</v>
      </c>
    </row>
    <row r="146" customFormat="false" ht="15" hidden="false" customHeight="false" outlineLevel="0" collapsed="false">
      <c r="A146" s="0" t="s">
        <v>492</v>
      </c>
      <c r="B146" s="2" t="s">
        <v>1865</v>
      </c>
      <c r="C146" s="0" t="s">
        <v>163</v>
      </c>
      <c r="D146" s="0" t="n">
        <v>8042822896</v>
      </c>
      <c r="E146" s="0" t="s">
        <v>85</v>
      </c>
      <c r="F146" s="0" t="s">
        <v>2319</v>
      </c>
      <c r="G146" s="0" t="s">
        <v>493</v>
      </c>
      <c r="H146" s="0" t="s">
        <v>134</v>
      </c>
      <c r="I146" s="3" t="s">
        <v>2317</v>
      </c>
      <c r="J146" s="0" t="s">
        <v>47</v>
      </c>
      <c r="K146" s="0" t="s">
        <v>109</v>
      </c>
      <c r="L146" s="4" t="n">
        <v>10352</v>
      </c>
      <c r="M146" s="0" t="s">
        <v>110</v>
      </c>
      <c r="N146" s="0" t="s">
        <v>63</v>
      </c>
      <c r="O146" s="5" t="n">
        <v>5</v>
      </c>
      <c r="P146" s="0" t="n">
        <v>3.4</v>
      </c>
      <c r="Q146" s="0" t="s">
        <v>51</v>
      </c>
      <c r="R146" s="0" t="s">
        <v>52</v>
      </c>
      <c r="S146" s="0" t="s">
        <v>2340</v>
      </c>
      <c r="T146" s="0" t="s">
        <v>75</v>
      </c>
      <c r="U146" s="5" t="n">
        <v>45</v>
      </c>
      <c r="V146" s="0" t="s">
        <v>2352</v>
      </c>
      <c r="W146" s="0" t="s">
        <v>2337</v>
      </c>
      <c r="X146" s="0" t="s">
        <v>78</v>
      </c>
      <c r="Y146" s="0" t="s">
        <v>114</v>
      </c>
      <c r="Z146" s="0" t="s">
        <v>2329</v>
      </c>
      <c r="AA146" s="0" t="s">
        <v>143</v>
      </c>
      <c r="AB146" s="5" t="n">
        <v>25000</v>
      </c>
      <c r="AC146" s="5" t="n">
        <v>40000</v>
      </c>
      <c r="AD146" s="0" t="s">
        <v>63</v>
      </c>
      <c r="AE146" s="5" t="n">
        <v>0</v>
      </c>
      <c r="AF146" s="0" t="s">
        <v>60</v>
      </c>
      <c r="AG146" s="7" t="s">
        <v>2404</v>
      </c>
      <c r="AH146" s="0" t="s">
        <v>50</v>
      </c>
      <c r="AI146" s="0" t="s">
        <v>116</v>
      </c>
      <c r="AJ146" s="0" t="s">
        <v>2331</v>
      </c>
      <c r="AK146" s="0" t="s">
        <v>63</v>
      </c>
      <c r="AL146" s="0" t="s">
        <v>63</v>
      </c>
      <c r="AM146" s="0" t="s">
        <v>63</v>
      </c>
      <c r="AN146" s="0" t="s">
        <v>2321</v>
      </c>
      <c r="AO146" s="0" t="s">
        <v>63</v>
      </c>
    </row>
    <row r="147" customFormat="false" ht="15" hidden="false" customHeight="false" outlineLevel="0" collapsed="false">
      <c r="A147" s="0" t="s">
        <v>494</v>
      </c>
      <c r="B147" s="2" t="s">
        <v>2408</v>
      </c>
      <c r="C147" s="0" t="s">
        <v>66</v>
      </c>
      <c r="D147" s="0" t="n">
        <v>8016200213</v>
      </c>
      <c r="E147" s="0" t="s">
        <v>67</v>
      </c>
      <c r="F147" s="0" t="s">
        <v>2316</v>
      </c>
      <c r="G147" s="0" t="s">
        <v>495</v>
      </c>
      <c r="H147" s="0" t="s">
        <v>69</v>
      </c>
      <c r="I147" s="3" t="s">
        <v>2317</v>
      </c>
      <c r="J147" s="0" t="s">
        <v>189</v>
      </c>
      <c r="K147" s="0" t="s">
        <v>48</v>
      </c>
      <c r="L147" s="4" t="n">
        <v>34483</v>
      </c>
      <c r="M147" s="0" t="s">
        <v>2333</v>
      </c>
      <c r="N147" s="0" t="s">
        <v>50</v>
      </c>
      <c r="O147" s="5" t="n">
        <v>4</v>
      </c>
      <c r="P147" s="0" t="n">
        <v>2.9</v>
      </c>
      <c r="Q147" s="0" t="s">
        <v>125</v>
      </c>
      <c r="R147" s="0" t="s">
        <v>73</v>
      </c>
      <c r="S147" s="0" t="s">
        <v>2340</v>
      </c>
      <c r="T147" s="0" t="s">
        <v>2343</v>
      </c>
      <c r="U147" s="5" t="n">
        <v>40.05</v>
      </c>
      <c r="V147" s="0" t="s">
        <v>112</v>
      </c>
      <c r="W147" s="0" t="s">
        <v>155</v>
      </c>
      <c r="X147" s="0" t="s">
        <v>128</v>
      </c>
      <c r="Y147" s="0" t="s">
        <v>58</v>
      </c>
      <c r="Z147" s="0" t="s">
        <v>2329</v>
      </c>
      <c r="AA147" s="0" t="s">
        <v>79</v>
      </c>
      <c r="AB147" s="5" t="n">
        <v>20000</v>
      </c>
      <c r="AC147" s="5" t="n">
        <v>35000</v>
      </c>
      <c r="AD147" s="0" t="s">
        <v>63</v>
      </c>
      <c r="AE147" s="5" t="n">
        <v>0</v>
      </c>
      <c r="AF147" s="0" t="s">
        <v>60</v>
      </c>
      <c r="AG147" s="7" t="s">
        <v>1097</v>
      </c>
      <c r="AH147" s="0" t="s">
        <v>50</v>
      </c>
      <c r="AI147" s="0" t="s">
        <v>2331</v>
      </c>
      <c r="AJ147" s="0" t="s">
        <v>2320</v>
      </c>
      <c r="AK147" s="0" t="s">
        <v>63</v>
      </c>
      <c r="AL147" s="0" t="s">
        <v>63</v>
      </c>
      <c r="AM147" s="0" t="s">
        <v>50</v>
      </c>
      <c r="AN147" s="0" t="s">
        <v>2321</v>
      </c>
      <c r="AO147" s="0" t="s">
        <v>63</v>
      </c>
    </row>
    <row r="148" customFormat="false" ht="15" hidden="false" customHeight="false" outlineLevel="0" collapsed="false">
      <c r="A148" s="0" t="s">
        <v>496</v>
      </c>
      <c r="B148" s="2" t="s">
        <v>2403</v>
      </c>
      <c r="C148" s="0" t="s">
        <v>121</v>
      </c>
      <c r="D148" s="0" t="n">
        <v>8092681879</v>
      </c>
      <c r="E148" s="0" t="s">
        <v>139</v>
      </c>
      <c r="F148" s="0" t="s">
        <v>2323</v>
      </c>
      <c r="G148" s="0" t="s">
        <v>497</v>
      </c>
      <c r="H148" s="0" t="s">
        <v>107</v>
      </c>
      <c r="I148" s="3" t="s">
        <v>2317</v>
      </c>
      <c r="J148" s="0" t="s">
        <v>2347</v>
      </c>
      <c r="K148" s="0" t="s">
        <v>90</v>
      </c>
      <c r="L148" s="4" t="n">
        <v>84847</v>
      </c>
      <c r="M148" s="0" t="s">
        <v>49</v>
      </c>
      <c r="N148" s="0" t="s">
        <v>63</v>
      </c>
      <c r="O148" s="5" t="n">
        <v>2</v>
      </c>
      <c r="P148" s="0" t="n">
        <v>3.7</v>
      </c>
      <c r="Q148" s="0" t="s">
        <v>51</v>
      </c>
      <c r="R148" s="0" t="s">
        <v>52</v>
      </c>
      <c r="S148" s="0" t="s">
        <v>2335</v>
      </c>
      <c r="T148" s="0" t="s">
        <v>54</v>
      </c>
      <c r="U148" s="5" t="n">
        <v>45</v>
      </c>
      <c r="V148" s="0" t="s">
        <v>55</v>
      </c>
      <c r="W148" s="0" t="s">
        <v>2328</v>
      </c>
      <c r="X148" s="0" t="s">
        <v>128</v>
      </c>
      <c r="Y148" s="0" t="s">
        <v>114</v>
      </c>
      <c r="Z148" s="0" t="s">
        <v>2324</v>
      </c>
      <c r="AA148" s="0" t="s">
        <v>143</v>
      </c>
      <c r="AB148" s="5" t="n">
        <v>15000</v>
      </c>
      <c r="AC148" s="5" t="n">
        <v>40000</v>
      </c>
      <c r="AD148" s="0" t="s">
        <v>63</v>
      </c>
      <c r="AE148" s="5" t="n">
        <v>0</v>
      </c>
      <c r="AF148" s="0" t="s">
        <v>60</v>
      </c>
      <c r="AG148" s="7" t="s">
        <v>2431</v>
      </c>
      <c r="AH148" s="0" t="s">
        <v>63</v>
      </c>
      <c r="AI148" s="0" t="s">
        <v>2331</v>
      </c>
      <c r="AJ148" s="0" t="s">
        <v>117</v>
      </c>
      <c r="AK148" s="0" t="s">
        <v>50</v>
      </c>
      <c r="AL148" s="0" t="s">
        <v>2344</v>
      </c>
      <c r="AM148" s="0" t="s">
        <v>63</v>
      </c>
      <c r="AN148" s="0" t="s">
        <v>2321</v>
      </c>
      <c r="AO148" s="0" t="s">
        <v>63</v>
      </c>
    </row>
    <row r="149" customFormat="false" ht="15" hidden="false" customHeight="false" outlineLevel="0" collapsed="false">
      <c r="A149" s="0" t="s">
        <v>498</v>
      </c>
      <c r="B149" s="2" t="s">
        <v>2432</v>
      </c>
      <c r="C149" s="0" t="s">
        <v>105</v>
      </c>
      <c r="D149" s="0" t="n">
        <v>8088829544</v>
      </c>
      <c r="E149" s="0" t="s">
        <v>122</v>
      </c>
      <c r="F149" s="0" t="s">
        <v>2316</v>
      </c>
      <c r="G149" s="0" t="s">
        <v>499</v>
      </c>
      <c r="H149" s="0" t="s">
        <v>134</v>
      </c>
      <c r="I149" s="3" t="s">
        <v>2325</v>
      </c>
      <c r="J149" s="0" t="s">
        <v>2347</v>
      </c>
      <c r="K149" s="0" t="s">
        <v>90</v>
      </c>
      <c r="L149" s="4" t="n">
        <v>32849</v>
      </c>
      <c r="M149" s="0" t="s">
        <v>2333</v>
      </c>
      <c r="N149" s="0" t="s">
        <v>63</v>
      </c>
      <c r="O149" s="5" t="n">
        <v>3</v>
      </c>
      <c r="P149" s="0" t="n">
        <v>4.4</v>
      </c>
      <c r="Q149" s="0" t="s">
        <v>125</v>
      </c>
      <c r="R149" s="0" t="s">
        <v>93</v>
      </c>
      <c r="S149" s="0" t="s">
        <v>53</v>
      </c>
      <c r="T149" s="0" t="s">
        <v>95</v>
      </c>
      <c r="U149" s="5" t="n">
        <v>45</v>
      </c>
      <c r="V149" s="0" t="s">
        <v>2336</v>
      </c>
      <c r="W149" s="0" t="s">
        <v>2337</v>
      </c>
      <c r="X149" s="0" t="s">
        <v>128</v>
      </c>
      <c r="Y149" s="0" t="s">
        <v>196</v>
      </c>
      <c r="Z149" s="0" t="s">
        <v>2326</v>
      </c>
      <c r="AA149" s="0" t="s">
        <v>79</v>
      </c>
      <c r="AB149" s="5" t="n">
        <v>26363.6363636364</v>
      </c>
      <c r="AC149" s="5" t="n">
        <v>40000</v>
      </c>
      <c r="AD149" s="0" t="s">
        <v>63</v>
      </c>
      <c r="AE149" s="5" t="n">
        <v>0</v>
      </c>
      <c r="AF149" s="0" t="s">
        <v>60</v>
      </c>
      <c r="AG149" s="7" t="s">
        <v>2330</v>
      </c>
      <c r="AH149" s="0" t="s">
        <v>50</v>
      </c>
      <c r="AI149" s="0" t="s">
        <v>171</v>
      </c>
      <c r="AJ149" s="0" t="s">
        <v>2331</v>
      </c>
      <c r="AK149" s="0" t="s">
        <v>50</v>
      </c>
      <c r="AL149" s="0" t="s">
        <v>2344</v>
      </c>
      <c r="AM149" s="0" t="s">
        <v>2344</v>
      </c>
      <c r="AN149" s="0" t="s">
        <v>64</v>
      </c>
      <c r="AO149" s="0" t="s">
        <v>50</v>
      </c>
    </row>
    <row r="150" customFormat="false" ht="15" hidden="false" customHeight="false" outlineLevel="0" collapsed="false">
      <c r="A150" s="0" t="s">
        <v>500</v>
      </c>
      <c r="B150" s="2" t="s">
        <v>1639</v>
      </c>
      <c r="C150" s="0" t="s">
        <v>105</v>
      </c>
      <c r="D150" s="0" t="n">
        <v>8035380862</v>
      </c>
      <c r="E150" s="0" t="s">
        <v>139</v>
      </c>
      <c r="F150" s="0" t="s">
        <v>2323</v>
      </c>
      <c r="G150" s="0" t="s">
        <v>501</v>
      </c>
      <c r="H150" s="0" t="s">
        <v>134</v>
      </c>
      <c r="I150" s="3" t="s">
        <v>2342</v>
      </c>
      <c r="J150" s="0" t="s">
        <v>47</v>
      </c>
      <c r="K150" s="0" t="s">
        <v>71</v>
      </c>
      <c r="L150" s="4" t="n">
        <v>67690</v>
      </c>
      <c r="M150" s="0" t="s">
        <v>2333</v>
      </c>
      <c r="N150" s="0" t="s">
        <v>50</v>
      </c>
      <c r="O150" s="5" t="n">
        <v>5</v>
      </c>
      <c r="P150" s="0" t="n">
        <v>2.6</v>
      </c>
      <c r="Q150" s="0" t="s">
        <v>2334</v>
      </c>
      <c r="R150" s="0" t="s">
        <v>52</v>
      </c>
      <c r="S150" s="0" t="s">
        <v>2366</v>
      </c>
      <c r="T150" s="0" t="s">
        <v>147</v>
      </c>
      <c r="U150" s="5" t="n">
        <v>45</v>
      </c>
      <c r="V150" s="0" t="s">
        <v>2352</v>
      </c>
      <c r="W150" s="0" t="s">
        <v>155</v>
      </c>
      <c r="X150" s="0" t="s">
        <v>128</v>
      </c>
      <c r="Y150" s="0" t="s">
        <v>99</v>
      </c>
      <c r="Z150" s="0" t="s">
        <v>2329</v>
      </c>
      <c r="AA150" s="0" t="s">
        <v>79</v>
      </c>
      <c r="AB150" s="5" t="n">
        <v>20000</v>
      </c>
      <c r="AC150" s="5" t="n">
        <v>30000</v>
      </c>
      <c r="AD150" s="0" t="s">
        <v>50</v>
      </c>
      <c r="AE150" s="5" t="n">
        <v>10000</v>
      </c>
      <c r="AF150" s="0" t="s">
        <v>60</v>
      </c>
      <c r="AG150" s="7" t="s">
        <v>2330</v>
      </c>
      <c r="AH150" s="0" t="s">
        <v>50</v>
      </c>
      <c r="AI150" s="0" t="s">
        <v>116</v>
      </c>
      <c r="AJ150" s="0" t="s">
        <v>2320</v>
      </c>
      <c r="AK150" s="0" t="s">
        <v>2344</v>
      </c>
      <c r="AL150" s="0" t="s">
        <v>50</v>
      </c>
      <c r="AM150" s="0" t="s">
        <v>63</v>
      </c>
      <c r="AN150" s="0" t="s">
        <v>2321</v>
      </c>
      <c r="AO150" s="0" t="s">
        <v>63</v>
      </c>
    </row>
    <row r="151" customFormat="false" ht="15" hidden="false" customHeight="false" outlineLevel="0" collapsed="false">
      <c r="A151" s="0" t="s">
        <v>503</v>
      </c>
      <c r="B151" s="2" t="s">
        <v>502</v>
      </c>
      <c r="C151" s="0" t="s">
        <v>121</v>
      </c>
      <c r="D151" s="0" t="n">
        <v>8081869344</v>
      </c>
      <c r="E151" s="0" t="s">
        <v>139</v>
      </c>
      <c r="F151" s="0" t="s">
        <v>2323</v>
      </c>
      <c r="G151" s="0" t="s">
        <v>504</v>
      </c>
      <c r="H151" s="0" t="s">
        <v>69</v>
      </c>
      <c r="I151" s="3" t="s">
        <v>2322</v>
      </c>
      <c r="J151" s="0" t="s">
        <v>47</v>
      </c>
      <c r="K151" s="0" t="s">
        <v>71</v>
      </c>
      <c r="L151" s="4" t="n">
        <v>19159</v>
      </c>
      <c r="M151" s="0" t="s">
        <v>49</v>
      </c>
      <c r="N151" s="0" t="s">
        <v>63</v>
      </c>
      <c r="O151" s="5" t="n">
        <v>3</v>
      </c>
      <c r="P151" s="0" t="n">
        <v>4</v>
      </c>
      <c r="Q151" s="0" t="s">
        <v>125</v>
      </c>
      <c r="R151" s="0" t="s">
        <v>73</v>
      </c>
      <c r="S151" s="0" t="s">
        <v>53</v>
      </c>
      <c r="T151" s="0" t="s">
        <v>95</v>
      </c>
      <c r="U151" s="5" t="n">
        <v>30</v>
      </c>
      <c r="V151" s="0" t="s">
        <v>2352</v>
      </c>
      <c r="W151" s="0" t="s">
        <v>2328</v>
      </c>
      <c r="X151" s="0" t="s">
        <v>98</v>
      </c>
      <c r="Y151" s="0" t="s">
        <v>58</v>
      </c>
      <c r="Z151" s="0" t="s">
        <v>2324</v>
      </c>
      <c r="AA151" s="0" t="s">
        <v>79</v>
      </c>
      <c r="AB151" s="5" t="n">
        <v>25000</v>
      </c>
      <c r="AC151" s="5" t="n">
        <v>20000</v>
      </c>
      <c r="AD151" s="0" t="s">
        <v>50</v>
      </c>
      <c r="AE151" s="5" t="n">
        <v>0</v>
      </c>
      <c r="AF151" s="0" t="s">
        <v>184</v>
      </c>
      <c r="AG151" s="7" t="s">
        <v>2433</v>
      </c>
      <c r="AH151" s="0" t="s">
        <v>63</v>
      </c>
      <c r="AI151" s="0" t="s">
        <v>171</v>
      </c>
      <c r="AJ151" s="0" t="s">
        <v>2320</v>
      </c>
      <c r="AK151" s="0" t="s">
        <v>50</v>
      </c>
      <c r="AL151" s="0" t="s">
        <v>50</v>
      </c>
      <c r="AM151" s="0" t="s">
        <v>2344</v>
      </c>
      <c r="AN151" s="0" t="s">
        <v>64</v>
      </c>
      <c r="AO151" s="0" t="s">
        <v>50</v>
      </c>
    </row>
    <row r="152" customFormat="false" ht="15" hidden="false" customHeight="false" outlineLevel="0" collapsed="false">
      <c r="A152" s="0" t="s">
        <v>506</v>
      </c>
      <c r="B152" s="2" t="s">
        <v>505</v>
      </c>
      <c r="C152" s="0" t="s">
        <v>163</v>
      </c>
      <c r="D152" s="0" t="n">
        <v>8049484539</v>
      </c>
      <c r="E152" s="0" t="s">
        <v>43</v>
      </c>
      <c r="F152" s="0" t="s">
        <v>2315</v>
      </c>
      <c r="G152" s="0" t="s">
        <v>507</v>
      </c>
      <c r="H152" s="0" t="s">
        <v>134</v>
      </c>
      <c r="I152" s="3" t="s">
        <v>2317</v>
      </c>
      <c r="J152" s="0" t="s">
        <v>2349</v>
      </c>
      <c r="K152" s="0" t="s">
        <v>71</v>
      </c>
      <c r="L152" s="4" t="n">
        <v>31245</v>
      </c>
      <c r="M152" s="0" t="s">
        <v>49</v>
      </c>
      <c r="N152" s="0" t="s">
        <v>50</v>
      </c>
      <c r="O152" s="5" t="n">
        <v>2.9943342776204</v>
      </c>
      <c r="P152" s="0" t="n">
        <v>4</v>
      </c>
      <c r="Q152" s="0" t="s">
        <v>2334</v>
      </c>
      <c r="R152" s="0" t="s">
        <v>52</v>
      </c>
      <c r="S152" s="0" t="s">
        <v>2366</v>
      </c>
      <c r="T152" s="0" t="s">
        <v>2343</v>
      </c>
      <c r="U152" s="5" t="n">
        <v>30</v>
      </c>
      <c r="V152" s="0" t="s">
        <v>96</v>
      </c>
      <c r="W152" s="0" t="s">
        <v>155</v>
      </c>
      <c r="X152" s="0" t="s">
        <v>128</v>
      </c>
      <c r="Y152" s="0" t="s">
        <v>58</v>
      </c>
      <c r="Z152" s="0" t="s">
        <v>59</v>
      </c>
      <c r="AA152" s="0" t="s">
        <v>143</v>
      </c>
      <c r="AB152" s="5" t="n">
        <v>20000</v>
      </c>
      <c r="AC152" s="5" t="n">
        <v>35000</v>
      </c>
      <c r="AD152" s="0" t="s">
        <v>63</v>
      </c>
      <c r="AE152" s="5" t="n">
        <v>10000</v>
      </c>
      <c r="AF152" s="0" t="s">
        <v>2338</v>
      </c>
      <c r="AG152" s="7" t="s">
        <v>486</v>
      </c>
      <c r="AH152" s="0" t="s">
        <v>63</v>
      </c>
      <c r="AI152" s="0" t="s">
        <v>2331</v>
      </c>
      <c r="AJ152" s="0" t="s">
        <v>2320</v>
      </c>
      <c r="AK152" s="0" t="s">
        <v>63</v>
      </c>
      <c r="AL152" s="0" t="s">
        <v>2344</v>
      </c>
      <c r="AM152" s="0" t="s">
        <v>63</v>
      </c>
      <c r="AN152" s="0" t="s">
        <v>2321</v>
      </c>
      <c r="AO152" s="0" t="s">
        <v>63</v>
      </c>
    </row>
    <row r="153" customFormat="false" ht="15" hidden="false" customHeight="false" outlineLevel="0" collapsed="false">
      <c r="A153" s="0" t="s">
        <v>508</v>
      </c>
      <c r="B153" s="2" t="s">
        <v>463</v>
      </c>
      <c r="C153" s="0" t="s">
        <v>163</v>
      </c>
      <c r="D153" s="0" t="n">
        <v>8029940314</v>
      </c>
      <c r="E153" s="0" t="s">
        <v>139</v>
      </c>
      <c r="F153" s="0" t="s">
        <v>2323</v>
      </c>
      <c r="G153" s="0" t="s">
        <v>509</v>
      </c>
      <c r="H153" s="0" t="s">
        <v>69</v>
      </c>
      <c r="I153" s="3" t="s">
        <v>2325</v>
      </c>
      <c r="J153" s="0" t="s">
        <v>2341</v>
      </c>
      <c r="K153" s="0" t="s">
        <v>90</v>
      </c>
      <c r="L153" s="4" t="n">
        <v>17266</v>
      </c>
      <c r="M153" s="0" t="s">
        <v>2333</v>
      </c>
      <c r="N153" s="0" t="s">
        <v>50</v>
      </c>
      <c r="O153" s="5" t="n">
        <v>2.9943342776204</v>
      </c>
      <c r="P153" s="0" t="n">
        <v>2.6</v>
      </c>
      <c r="Q153" s="0" t="s">
        <v>2334</v>
      </c>
      <c r="R153" s="0" t="s">
        <v>93</v>
      </c>
      <c r="S153" s="0" t="s">
        <v>53</v>
      </c>
      <c r="T153" s="0" t="s">
        <v>2353</v>
      </c>
      <c r="U153" s="5" t="n">
        <v>45</v>
      </c>
      <c r="V153" s="0" t="s">
        <v>96</v>
      </c>
      <c r="W153" s="0" t="s">
        <v>155</v>
      </c>
      <c r="X153" s="0" t="s">
        <v>98</v>
      </c>
      <c r="Y153" s="0" t="s">
        <v>58</v>
      </c>
      <c r="Z153" s="0" t="s">
        <v>2326</v>
      </c>
      <c r="AA153" s="0" t="s">
        <v>161</v>
      </c>
      <c r="AB153" s="5" t="n">
        <v>15000</v>
      </c>
      <c r="AC153" s="5" t="n">
        <v>20000</v>
      </c>
      <c r="AD153" s="0" t="s">
        <v>63</v>
      </c>
      <c r="AE153" s="5" t="n">
        <v>0</v>
      </c>
      <c r="AF153" s="0" t="s">
        <v>60</v>
      </c>
      <c r="AG153" s="7" t="s">
        <v>510</v>
      </c>
      <c r="AH153" s="0" t="s">
        <v>63</v>
      </c>
      <c r="AI153" s="0" t="s">
        <v>171</v>
      </c>
      <c r="AJ153" s="0" t="s">
        <v>2320</v>
      </c>
      <c r="AK153" s="0" t="s">
        <v>50</v>
      </c>
      <c r="AL153" s="0" t="s">
        <v>50</v>
      </c>
      <c r="AM153" s="0" t="s">
        <v>2344</v>
      </c>
      <c r="AN153" s="0" t="s">
        <v>2321</v>
      </c>
      <c r="AO153" s="0" t="s">
        <v>63</v>
      </c>
    </row>
    <row r="154" customFormat="false" ht="15" hidden="false" customHeight="false" outlineLevel="0" collapsed="false">
      <c r="A154" s="0" t="s">
        <v>511</v>
      </c>
      <c r="B154" s="2" t="s">
        <v>416</v>
      </c>
      <c r="C154" s="0" t="s">
        <v>42</v>
      </c>
      <c r="D154" s="0" t="n">
        <v>8053980546</v>
      </c>
      <c r="E154" s="0" t="s">
        <v>43</v>
      </c>
      <c r="F154" s="0" t="s">
        <v>2315</v>
      </c>
      <c r="G154" s="0" t="s">
        <v>512</v>
      </c>
      <c r="H154" s="0" t="s">
        <v>69</v>
      </c>
      <c r="I154" s="3" t="s">
        <v>2317</v>
      </c>
      <c r="J154" s="0" t="s">
        <v>2347</v>
      </c>
      <c r="K154" s="0" t="s">
        <v>109</v>
      </c>
      <c r="L154" s="4" t="n">
        <v>53399</v>
      </c>
      <c r="M154" s="0" t="s">
        <v>110</v>
      </c>
      <c r="N154" s="0" t="s">
        <v>63</v>
      </c>
      <c r="O154" s="5" t="n">
        <v>4</v>
      </c>
      <c r="P154" s="0" t="n">
        <v>1.5</v>
      </c>
      <c r="Q154" s="0" t="s">
        <v>51</v>
      </c>
      <c r="R154" s="0" t="s">
        <v>52</v>
      </c>
      <c r="S154" s="0" t="s">
        <v>2340</v>
      </c>
      <c r="T154" s="0" t="s">
        <v>2343</v>
      </c>
      <c r="U154" s="5" t="n">
        <v>30</v>
      </c>
      <c r="V154" s="0" t="s">
        <v>55</v>
      </c>
      <c r="W154" s="0" t="s">
        <v>2337</v>
      </c>
      <c r="X154" s="0" t="s">
        <v>98</v>
      </c>
      <c r="Y154" s="0" t="s">
        <v>196</v>
      </c>
      <c r="Z154" s="0" t="s">
        <v>2329</v>
      </c>
      <c r="AA154" s="0" t="s">
        <v>149</v>
      </c>
      <c r="AB154" s="5" t="n">
        <v>20000</v>
      </c>
      <c r="AC154" s="5" t="n">
        <v>30000</v>
      </c>
      <c r="AD154" s="0" t="s">
        <v>50</v>
      </c>
      <c r="AE154" s="5" t="n">
        <v>0</v>
      </c>
      <c r="AF154" s="0" t="s">
        <v>60</v>
      </c>
      <c r="AG154" s="7" t="s">
        <v>513</v>
      </c>
      <c r="AH154" s="0" t="s">
        <v>2329</v>
      </c>
      <c r="AI154" s="0" t="s">
        <v>2331</v>
      </c>
      <c r="AJ154" s="0" t="s">
        <v>2320</v>
      </c>
      <c r="AK154" s="0" t="s">
        <v>50</v>
      </c>
      <c r="AL154" s="0" t="s">
        <v>63</v>
      </c>
      <c r="AM154" s="0" t="s">
        <v>2344</v>
      </c>
      <c r="AN154" s="0" t="s">
        <v>2321</v>
      </c>
      <c r="AO154" s="0" t="s">
        <v>50</v>
      </c>
    </row>
    <row r="155" customFormat="false" ht="15" hidden="false" customHeight="false" outlineLevel="0" collapsed="false">
      <c r="A155" s="0" t="s">
        <v>514</v>
      </c>
      <c r="B155" s="2" t="s">
        <v>2377</v>
      </c>
      <c r="C155" s="0" t="s">
        <v>66</v>
      </c>
      <c r="D155" s="0" t="n">
        <v>8043174817</v>
      </c>
      <c r="E155" s="0" t="s">
        <v>122</v>
      </c>
      <c r="F155" s="0" t="s">
        <v>2316</v>
      </c>
      <c r="G155" s="0" t="s">
        <v>515</v>
      </c>
      <c r="H155" s="0" t="s">
        <v>107</v>
      </c>
      <c r="I155" s="3" t="s">
        <v>2325</v>
      </c>
      <c r="J155" s="0" t="s">
        <v>2349</v>
      </c>
      <c r="K155" s="0" t="s">
        <v>90</v>
      </c>
      <c r="L155" s="4" t="n">
        <v>42307</v>
      </c>
      <c r="M155" s="0" t="s">
        <v>49</v>
      </c>
      <c r="N155" s="0" t="s">
        <v>63</v>
      </c>
      <c r="O155" s="5" t="n">
        <v>1</v>
      </c>
      <c r="P155" s="0" t="n">
        <v>5.1</v>
      </c>
      <c r="Q155" s="0" t="s">
        <v>111</v>
      </c>
      <c r="R155" s="0" t="s">
        <v>73</v>
      </c>
      <c r="S155" s="0" t="s">
        <v>2340</v>
      </c>
      <c r="T155" s="0" t="s">
        <v>95</v>
      </c>
      <c r="U155" s="5" t="n">
        <v>60</v>
      </c>
      <c r="V155" s="0" t="s">
        <v>112</v>
      </c>
      <c r="W155" s="0" t="s">
        <v>155</v>
      </c>
      <c r="X155" s="0" t="s">
        <v>78</v>
      </c>
      <c r="Y155" s="0" t="s">
        <v>114</v>
      </c>
      <c r="Z155" s="0" t="s">
        <v>2324</v>
      </c>
      <c r="AA155" s="0" t="s">
        <v>2329</v>
      </c>
      <c r="AB155" s="5" t="n">
        <v>15000</v>
      </c>
      <c r="AC155" s="5" t="n">
        <v>35000</v>
      </c>
      <c r="AD155" s="0" t="s">
        <v>63</v>
      </c>
      <c r="AE155" s="5" t="n">
        <v>5000</v>
      </c>
      <c r="AF155" s="0" t="s">
        <v>60</v>
      </c>
      <c r="AG155" s="7" t="s">
        <v>2330</v>
      </c>
      <c r="AH155" s="0" t="s">
        <v>63</v>
      </c>
      <c r="AI155" s="0" t="s">
        <v>2331</v>
      </c>
      <c r="AJ155" s="0" t="s">
        <v>117</v>
      </c>
      <c r="AK155" s="0" t="s">
        <v>2344</v>
      </c>
      <c r="AL155" s="0" t="s">
        <v>63</v>
      </c>
      <c r="AM155" s="0" t="s">
        <v>2344</v>
      </c>
      <c r="AN155" s="0" t="s">
        <v>2321</v>
      </c>
      <c r="AO155" s="0" t="s">
        <v>63</v>
      </c>
    </row>
    <row r="156" customFormat="false" ht="15" hidden="false" customHeight="false" outlineLevel="0" collapsed="false">
      <c r="A156" s="0" t="s">
        <v>516</v>
      </c>
      <c r="B156" s="2" t="s">
        <v>302</v>
      </c>
      <c r="C156" s="0" t="s">
        <v>121</v>
      </c>
      <c r="D156" s="0" t="n">
        <v>8017148298</v>
      </c>
      <c r="E156" s="0" t="s">
        <v>122</v>
      </c>
      <c r="F156" s="0" t="s">
        <v>2316</v>
      </c>
      <c r="G156" s="0" t="s">
        <v>517</v>
      </c>
      <c r="H156" s="0" t="s">
        <v>87</v>
      </c>
      <c r="I156" s="3" t="s">
        <v>2317</v>
      </c>
      <c r="J156" s="0" t="s">
        <v>2339</v>
      </c>
      <c r="K156" s="0" t="s">
        <v>71</v>
      </c>
      <c r="L156" s="4" t="n">
        <v>97388</v>
      </c>
      <c r="M156" s="0" t="s">
        <v>2333</v>
      </c>
      <c r="N156" s="0" t="s">
        <v>63</v>
      </c>
      <c r="O156" s="5" t="n">
        <v>5</v>
      </c>
      <c r="P156" s="0" t="n">
        <v>2.2</v>
      </c>
      <c r="Q156" s="0" t="s">
        <v>2334</v>
      </c>
      <c r="R156" s="0" t="s">
        <v>73</v>
      </c>
      <c r="S156" s="0" t="s">
        <v>2340</v>
      </c>
      <c r="T156" s="0" t="s">
        <v>75</v>
      </c>
      <c r="U156" s="5" t="n">
        <v>40.44</v>
      </c>
      <c r="V156" s="0" t="s">
        <v>112</v>
      </c>
      <c r="W156" s="0" t="s">
        <v>155</v>
      </c>
      <c r="X156" s="0" t="s">
        <v>78</v>
      </c>
      <c r="Y156" s="0" t="s">
        <v>196</v>
      </c>
      <c r="Z156" s="0" t="s">
        <v>2326</v>
      </c>
      <c r="AA156" s="0" t="s">
        <v>2329</v>
      </c>
      <c r="AB156" s="5" t="n">
        <v>26163.7931034483</v>
      </c>
      <c r="AC156" s="5" t="n">
        <v>20000</v>
      </c>
      <c r="AD156" s="0" t="s">
        <v>63</v>
      </c>
      <c r="AE156" s="5" t="n">
        <v>5000</v>
      </c>
      <c r="AF156" s="0" t="s">
        <v>60</v>
      </c>
      <c r="AG156" s="7" t="s">
        <v>201</v>
      </c>
      <c r="AH156" s="0" t="s">
        <v>63</v>
      </c>
      <c r="AI156" s="0" t="s">
        <v>171</v>
      </c>
      <c r="AJ156" s="0" t="s">
        <v>2331</v>
      </c>
      <c r="AK156" s="0" t="s">
        <v>63</v>
      </c>
      <c r="AL156" s="0" t="s">
        <v>50</v>
      </c>
      <c r="AM156" s="0" t="s">
        <v>2344</v>
      </c>
      <c r="AN156" s="0" t="s">
        <v>64</v>
      </c>
      <c r="AO156" s="0" t="s">
        <v>63</v>
      </c>
    </row>
    <row r="157" customFormat="false" ht="15" hidden="false" customHeight="false" outlineLevel="0" collapsed="false">
      <c r="A157" s="0" t="s">
        <v>518</v>
      </c>
      <c r="B157" s="2" t="s">
        <v>2387</v>
      </c>
      <c r="C157" s="0" t="s">
        <v>121</v>
      </c>
      <c r="D157" s="0" t="n">
        <v>8094484575</v>
      </c>
      <c r="E157" s="0" t="s">
        <v>122</v>
      </c>
      <c r="F157" s="0" t="s">
        <v>2316</v>
      </c>
      <c r="G157" s="0" t="s">
        <v>519</v>
      </c>
      <c r="H157" s="0" t="s">
        <v>87</v>
      </c>
      <c r="I157" s="3" t="s">
        <v>2322</v>
      </c>
      <c r="J157" s="0" t="s">
        <v>2339</v>
      </c>
      <c r="K157" s="0" t="s">
        <v>48</v>
      </c>
      <c r="L157" s="4" t="n">
        <v>88105</v>
      </c>
      <c r="M157" s="0" t="s">
        <v>2333</v>
      </c>
      <c r="N157" s="0" t="s">
        <v>63</v>
      </c>
      <c r="O157" s="5" t="n">
        <v>4</v>
      </c>
      <c r="P157" s="0" t="n">
        <v>2.1</v>
      </c>
      <c r="Q157" s="0" t="s">
        <v>2334</v>
      </c>
      <c r="R157" s="0" t="s">
        <v>93</v>
      </c>
      <c r="S157" s="0" t="s">
        <v>2335</v>
      </c>
      <c r="T157" s="0" t="s">
        <v>75</v>
      </c>
      <c r="U157" s="5" t="n">
        <v>45</v>
      </c>
      <c r="V157" s="0" t="s">
        <v>96</v>
      </c>
      <c r="W157" s="0" t="s">
        <v>155</v>
      </c>
      <c r="X157" s="0" t="s">
        <v>128</v>
      </c>
      <c r="Y157" s="0" t="s">
        <v>196</v>
      </c>
      <c r="Z157" s="0" t="s">
        <v>2329</v>
      </c>
      <c r="AA157" s="0" t="s">
        <v>79</v>
      </c>
      <c r="AB157" s="5" t="n">
        <v>40000</v>
      </c>
      <c r="AC157" s="5" t="n">
        <v>35000</v>
      </c>
      <c r="AD157" s="0" t="s">
        <v>50</v>
      </c>
      <c r="AE157" s="5" t="n">
        <v>5000</v>
      </c>
      <c r="AF157" s="0" t="s">
        <v>130</v>
      </c>
      <c r="AG157" s="7" t="s">
        <v>520</v>
      </c>
      <c r="AH157" s="0" t="s">
        <v>50</v>
      </c>
      <c r="AI157" s="0" t="s">
        <v>2331</v>
      </c>
      <c r="AJ157" s="0" t="s">
        <v>172</v>
      </c>
      <c r="AK157" s="0" t="s">
        <v>50</v>
      </c>
      <c r="AL157" s="0" t="s">
        <v>50</v>
      </c>
      <c r="AM157" s="0" t="s">
        <v>2344</v>
      </c>
      <c r="AN157" s="0" t="s">
        <v>2321</v>
      </c>
      <c r="AO157" s="0" t="s">
        <v>2359</v>
      </c>
    </row>
    <row r="158" customFormat="false" ht="15" hidden="false" customHeight="false" outlineLevel="0" collapsed="false">
      <c r="A158" s="0" t="s">
        <v>521</v>
      </c>
      <c r="B158" s="2" t="s">
        <v>2409</v>
      </c>
      <c r="C158" s="0" t="s">
        <v>42</v>
      </c>
      <c r="D158" s="0" t="n">
        <v>8047590802</v>
      </c>
      <c r="E158" s="0" t="s">
        <v>122</v>
      </c>
      <c r="F158" s="0" t="s">
        <v>2316</v>
      </c>
      <c r="G158" s="0" t="s">
        <v>522</v>
      </c>
      <c r="H158" s="0" t="s">
        <v>107</v>
      </c>
      <c r="I158" s="3" t="s">
        <v>87</v>
      </c>
      <c r="J158" s="0" t="s">
        <v>2339</v>
      </c>
      <c r="K158" s="0" t="s">
        <v>109</v>
      </c>
      <c r="L158" s="4" t="n">
        <v>71408</v>
      </c>
      <c r="M158" s="0" t="s">
        <v>110</v>
      </c>
      <c r="N158" s="0" t="s">
        <v>63</v>
      </c>
      <c r="O158" s="5" t="n">
        <v>1</v>
      </c>
      <c r="P158" s="0" t="n">
        <v>1</v>
      </c>
      <c r="Q158" s="0" t="s">
        <v>125</v>
      </c>
      <c r="R158" s="0" t="s">
        <v>52</v>
      </c>
      <c r="S158" s="0" t="s">
        <v>2340</v>
      </c>
      <c r="T158" s="0" t="s">
        <v>2343</v>
      </c>
      <c r="U158" s="5" t="n">
        <v>45</v>
      </c>
      <c r="V158" s="0" t="s">
        <v>96</v>
      </c>
      <c r="W158" s="0" t="s">
        <v>2337</v>
      </c>
      <c r="X158" s="0" t="s">
        <v>78</v>
      </c>
      <c r="Y158" s="0" t="s">
        <v>99</v>
      </c>
      <c r="Z158" s="0" t="s">
        <v>177</v>
      </c>
      <c r="AA158" s="0" t="s">
        <v>161</v>
      </c>
      <c r="AB158" s="5" t="n">
        <v>26043.4782608696</v>
      </c>
      <c r="AC158" s="5" t="n">
        <v>40000</v>
      </c>
      <c r="AD158" s="0" t="s">
        <v>63</v>
      </c>
      <c r="AE158" s="5" t="n">
        <v>10000</v>
      </c>
      <c r="AF158" s="0" t="s">
        <v>60</v>
      </c>
      <c r="AG158" s="7" t="s">
        <v>2434</v>
      </c>
      <c r="AH158" s="0" t="s">
        <v>63</v>
      </c>
      <c r="AI158" s="0" t="s">
        <v>171</v>
      </c>
      <c r="AJ158" s="0" t="s">
        <v>2331</v>
      </c>
      <c r="AK158" s="0" t="s">
        <v>63</v>
      </c>
      <c r="AL158" s="0" t="s">
        <v>63</v>
      </c>
      <c r="AM158" s="0" t="s">
        <v>2344</v>
      </c>
      <c r="AN158" s="0" t="s">
        <v>2321</v>
      </c>
      <c r="AO158" s="0" t="s">
        <v>2359</v>
      </c>
    </row>
    <row r="159" customFormat="false" ht="15" hidden="false" customHeight="false" outlineLevel="0" collapsed="false">
      <c r="A159" s="0" t="s">
        <v>523</v>
      </c>
      <c r="B159" s="2" t="s">
        <v>2435</v>
      </c>
      <c r="C159" s="0" t="s">
        <v>121</v>
      </c>
      <c r="D159" s="0" t="n">
        <v>8026972976</v>
      </c>
      <c r="E159" s="0" t="s">
        <v>122</v>
      </c>
      <c r="F159" s="0" t="s">
        <v>2316</v>
      </c>
      <c r="G159" s="0" t="s">
        <v>524</v>
      </c>
      <c r="H159" s="0" t="s">
        <v>69</v>
      </c>
      <c r="I159" s="3" t="s">
        <v>2317</v>
      </c>
      <c r="J159" s="0" t="s">
        <v>2347</v>
      </c>
      <c r="K159" s="0" t="s">
        <v>71</v>
      </c>
      <c r="L159" s="4" t="n">
        <v>109581</v>
      </c>
      <c r="M159" s="0" t="s">
        <v>2333</v>
      </c>
      <c r="N159" s="0" t="s">
        <v>50</v>
      </c>
      <c r="O159" s="5" t="n">
        <v>5</v>
      </c>
      <c r="P159" s="0" t="n">
        <v>5.2</v>
      </c>
      <c r="Q159" s="0" t="s">
        <v>2334</v>
      </c>
      <c r="R159" s="0" t="s">
        <v>73</v>
      </c>
      <c r="S159" s="0" t="s">
        <v>2340</v>
      </c>
      <c r="T159" s="0" t="s">
        <v>75</v>
      </c>
      <c r="U159" s="5" t="n">
        <v>60</v>
      </c>
      <c r="V159" s="0" t="s">
        <v>96</v>
      </c>
      <c r="W159" s="0" t="s">
        <v>155</v>
      </c>
      <c r="X159" s="0" t="s">
        <v>78</v>
      </c>
      <c r="Y159" s="0" t="s">
        <v>58</v>
      </c>
      <c r="Z159" s="0" t="s">
        <v>59</v>
      </c>
      <c r="AA159" s="0" t="s">
        <v>149</v>
      </c>
      <c r="AB159" s="5" t="n">
        <v>25000</v>
      </c>
      <c r="AC159" s="5" t="n">
        <v>30000</v>
      </c>
      <c r="AD159" s="0" t="s">
        <v>50</v>
      </c>
      <c r="AE159" s="5" t="n">
        <v>5000</v>
      </c>
      <c r="AF159" s="0" t="s">
        <v>2338</v>
      </c>
      <c r="AG159" s="7" t="s">
        <v>2330</v>
      </c>
      <c r="AH159" s="0" t="s">
        <v>50</v>
      </c>
      <c r="AI159" s="0" t="s">
        <v>2331</v>
      </c>
      <c r="AJ159" s="0" t="s">
        <v>2331</v>
      </c>
      <c r="AK159" s="0" t="s">
        <v>63</v>
      </c>
      <c r="AL159" s="0" t="s">
        <v>2344</v>
      </c>
      <c r="AM159" s="0" t="s">
        <v>50</v>
      </c>
      <c r="AN159" s="0" t="s">
        <v>64</v>
      </c>
      <c r="AO159" s="0" t="s">
        <v>63</v>
      </c>
    </row>
    <row r="160" customFormat="false" ht="15" hidden="false" customHeight="false" outlineLevel="0" collapsed="false">
      <c r="A160" s="0" t="s">
        <v>525</v>
      </c>
      <c r="B160" s="2" t="s">
        <v>2417</v>
      </c>
      <c r="C160" s="0" t="s">
        <v>66</v>
      </c>
      <c r="D160" s="0" t="n">
        <v>8078218774</v>
      </c>
      <c r="E160" s="0" t="s">
        <v>139</v>
      </c>
      <c r="F160" s="0" t="s">
        <v>2323</v>
      </c>
      <c r="G160" s="0" t="s">
        <v>526</v>
      </c>
      <c r="H160" s="0" t="s">
        <v>107</v>
      </c>
      <c r="I160" s="3" t="s">
        <v>87</v>
      </c>
      <c r="J160" s="0" t="s">
        <v>47</v>
      </c>
      <c r="K160" s="0" t="s">
        <v>109</v>
      </c>
      <c r="L160" s="4" t="n">
        <v>79074</v>
      </c>
      <c r="M160" s="0" t="s">
        <v>2333</v>
      </c>
      <c r="N160" s="0" t="s">
        <v>50</v>
      </c>
      <c r="O160" s="5" t="n">
        <v>5</v>
      </c>
      <c r="P160" s="0" t="n">
        <v>5.8</v>
      </c>
      <c r="Q160" s="0" t="s">
        <v>92</v>
      </c>
      <c r="R160" s="0" t="s">
        <v>73</v>
      </c>
      <c r="S160" s="0" t="s">
        <v>53</v>
      </c>
      <c r="T160" s="0" t="s">
        <v>147</v>
      </c>
      <c r="U160" s="5" t="n">
        <v>37.0673076923077</v>
      </c>
      <c r="V160" s="0" t="s">
        <v>55</v>
      </c>
      <c r="W160" s="0" t="s">
        <v>2337</v>
      </c>
      <c r="X160" s="0" t="s">
        <v>98</v>
      </c>
      <c r="Y160" s="0" t="s">
        <v>196</v>
      </c>
      <c r="Z160" s="0" t="s">
        <v>59</v>
      </c>
      <c r="AA160" s="0" t="s">
        <v>79</v>
      </c>
      <c r="AB160" s="5" t="n">
        <v>15000</v>
      </c>
      <c r="AC160" s="5" t="n">
        <v>30000</v>
      </c>
      <c r="AD160" s="0" t="s">
        <v>63</v>
      </c>
      <c r="AE160" s="5" t="n">
        <v>0</v>
      </c>
      <c r="AF160" s="0" t="s">
        <v>60</v>
      </c>
      <c r="AG160" s="7" t="s">
        <v>2330</v>
      </c>
      <c r="AH160" s="0" t="s">
        <v>50</v>
      </c>
      <c r="AI160" s="0" t="s">
        <v>2331</v>
      </c>
      <c r="AJ160" s="0" t="s">
        <v>2331</v>
      </c>
      <c r="AK160" s="0" t="s">
        <v>63</v>
      </c>
      <c r="AL160" s="0" t="s">
        <v>50</v>
      </c>
      <c r="AM160" s="0" t="s">
        <v>63</v>
      </c>
      <c r="AN160" s="0" t="s">
        <v>2321</v>
      </c>
      <c r="AO160" s="0" t="s">
        <v>50</v>
      </c>
    </row>
    <row r="161" customFormat="false" ht="15" hidden="false" customHeight="false" outlineLevel="0" collapsed="false">
      <c r="A161" s="0" t="s">
        <v>527</v>
      </c>
      <c r="B161" s="2" t="s">
        <v>2374</v>
      </c>
      <c r="C161" s="0" t="s">
        <v>105</v>
      </c>
      <c r="D161" s="0" t="n">
        <v>8088394188</v>
      </c>
      <c r="E161" s="0" t="s">
        <v>85</v>
      </c>
      <c r="F161" s="0" t="s">
        <v>2319</v>
      </c>
      <c r="G161" s="0" t="s">
        <v>528</v>
      </c>
      <c r="H161" s="0" t="s">
        <v>45</v>
      </c>
      <c r="I161" s="3" t="s">
        <v>87</v>
      </c>
      <c r="J161" s="0" t="s">
        <v>2347</v>
      </c>
      <c r="K161" s="0" t="s">
        <v>109</v>
      </c>
      <c r="L161" s="4" t="n">
        <v>75234</v>
      </c>
      <c r="M161" s="0" t="s">
        <v>110</v>
      </c>
      <c r="N161" s="0" t="s">
        <v>63</v>
      </c>
      <c r="O161" s="5" t="n">
        <v>2</v>
      </c>
      <c r="P161" s="0" t="n">
        <v>2.4</v>
      </c>
      <c r="Q161" s="0" t="s">
        <v>2334</v>
      </c>
      <c r="R161" s="0" t="s">
        <v>73</v>
      </c>
      <c r="S161" s="0" t="s">
        <v>53</v>
      </c>
      <c r="T161" s="0" t="s">
        <v>95</v>
      </c>
      <c r="U161" s="5" t="n">
        <v>39.24</v>
      </c>
      <c r="V161" s="0" t="s">
        <v>2336</v>
      </c>
      <c r="W161" s="0" t="s">
        <v>148</v>
      </c>
      <c r="X161" s="0" t="s">
        <v>128</v>
      </c>
      <c r="Y161" s="0" t="s">
        <v>99</v>
      </c>
      <c r="Z161" s="0" t="s">
        <v>2329</v>
      </c>
      <c r="AA161" s="0" t="s">
        <v>79</v>
      </c>
      <c r="AB161" s="5" t="n">
        <v>26428.5714285714</v>
      </c>
      <c r="AC161" s="5" t="n">
        <v>35000</v>
      </c>
      <c r="AD161" s="0" t="s">
        <v>50</v>
      </c>
      <c r="AE161" s="5" t="n">
        <v>5000</v>
      </c>
      <c r="AF161" s="0" t="s">
        <v>2338</v>
      </c>
      <c r="AG161" s="7" t="s">
        <v>2330</v>
      </c>
      <c r="AH161" s="0" t="s">
        <v>50</v>
      </c>
      <c r="AI161" s="0" t="s">
        <v>171</v>
      </c>
      <c r="AJ161" s="0" t="s">
        <v>172</v>
      </c>
      <c r="AK161" s="0" t="s">
        <v>63</v>
      </c>
      <c r="AL161" s="0" t="s">
        <v>50</v>
      </c>
      <c r="AM161" s="0" t="s">
        <v>50</v>
      </c>
      <c r="AN161" s="0" t="s">
        <v>64</v>
      </c>
      <c r="AO161" s="0" t="s">
        <v>63</v>
      </c>
    </row>
    <row r="162" customFormat="false" ht="15" hidden="false" customHeight="false" outlineLevel="0" collapsed="false">
      <c r="A162" s="0" t="s">
        <v>529</v>
      </c>
      <c r="B162" s="2" t="s">
        <v>468</v>
      </c>
      <c r="C162" s="0" t="s">
        <v>105</v>
      </c>
      <c r="D162" s="0" t="n">
        <v>8075631212</v>
      </c>
      <c r="E162" s="0" t="s">
        <v>67</v>
      </c>
      <c r="F162" s="0" t="s">
        <v>2316</v>
      </c>
      <c r="G162" s="0" t="s">
        <v>530</v>
      </c>
      <c r="H162" s="0" t="s">
        <v>45</v>
      </c>
      <c r="I162" s="3" t="s">
        <v>2322</v>
      </c>
      <c r="J162" s="0" t="s">
        <v>2347</v>
      </c>
      <c r="K162" s="0" t="s">
        <v>48</v>
      </c>
      <c r="L162" s="4" t="n">
        <v>104209</v>
      </c>
      <c r="M162" s="0" t="s">
        <v>2333</v>
      </c>
      <c r="N162" s="0" t="s">
        <v>50</v>
      </c>
      <c r="O162" s="5" t="n">
        <v>1</v>
      </c>
      <c r="P162" s="0" t="n">
        <v>4.6</v>
      </c>
      <c r="Q162" s="0" t="s">
        <v>111</v>
      </c>
      <c r="R162" s="0" t="s">
        <v>73</v>
      </c>
      <c r="S162" s="0" t="s">
        <v>2340</v>
      </c>
      <c r="T162" s="0" t="s">
        <v>75</v>
      </c>
      <c r="U162" s="5" t="n">
        <v>15</v>
      </c>
      <c r="V162" s="0" t="s">
        <v>2336</v>
      </c>
      <c r="W162" s="0" t="s">
        <v>2337</v>
      </c>
      <c r="X162" s="0" t="s">
        <v>98</v>
      </c>
      <c r="Y162" s="0" t="s">
        <v>58</v>
      </c>
      <c r="Z162" s="0" t="s">
        <v>2324</v>
      </c>
      <c r="AA162" s="0" t="s">
        <v>2329</v>
      </c>
      <c r="AB162" s="5" t="n">
        <v>26428.5714285714</v>
      </c>
      <c r="AC162" s="5" t="n">
        <v>20000</v>
      </c>
      <c r="AD162" s="0" t="s">
        <v>50</v>
      </c>
      <c r="AE162" s="5" t="n">
        <v>5000</v>
      </c>
      <c r="AF162" s="0" t="s">
        <v>184</v>
      </c>
      <c r="AG162" s="7" t="s">
        <v>2330</v>
      </c>
      <c r="AH162" s="0" t="s">
        <v>50</v>
      </c>
      <c r="AI162" s="0" t="s">
        <v>2331</v>
      </c>
      <c r="AJ162" s="0" t="s">
        <v>117</v>
      </c>
      <c r="AK162" s="0" t="s">
        <v>50</v>
      </c>
      <c r="AL162" s="0" t="s">
        <v>2344</v>
      </c>
      <c r="AM162" s="0" t="s">
        <v>50</v>
      </c>
      <c r="AN162" s="0" t="s">
        <v>2318</v>
      </c>
      <c r="AO162" s="0" t="s">
        <v>63</v>
      </c>
    </row>
    <row r="163" customFormat="false" ht="15" hidden="false" customHeight="false" outlineLevel="0" collapsed="false">
      <c r="A163" s="0" t="s">
        <v>532</v>
      </c>
      <c r="B163" s="2" t="s">
        <v>531</v>
      </c>
      <c r="C163" s="0" t="s">
        <v>66</v>
      </c>
      <c r="D163" s="0" t="n">
        <v>8038083391</v>
      </c>
      <c r="E163" s="0" t="s">
        <v>122</v>
      </c>
      <c r="F163" s="0" t="s">
        <v>2316</v>
      </c>
      <c r="G163" s="0" t="s">
        <v>533</v>
      </c>
      <c r="H163" s="0" t="s">
        <v>69</v>
      </c>
      <c r="I163" s="3" t="s">
        <v>2325</v>
      </c>
      <c r="J163" s="0" t="s">
        <v>47</v>
      </c>
      <c r="K163" s="0" t="s">
        <v>48</v>
      </c>
      <c r="L163" s="4" t="n">
        <v>24747</v>
      </c>
      <c r="M163" s="0" t="s">
        <v>2333</v>
      </c>
      <c r="N163" s="0" t="s">
        <v>63</v>
      </c>
      <c r="O163" s="5" t="n">
        <v>3</v>
      </c>
      <c r="P163" s="0" t="n">
        <v>2.1</v>
      </c>
      <c r="Q163" s="0" t="s">
        <v>92</v>
      </c>
      <c r="R163" s="0" t="s">
        <v>52</v>
      </c>
      <c r="S163" s="0" t="s">
        <v>2335</v>
      </c>
      <c r="T163" s="0" t="s">
        <v>2353</v>
      </c>
      <c r="U163" s="5" t="n">
        <v>30</v>
      </c>
      <c r="V163" s="0" t="s">
        <v>2336</v>
      </c>
      <c r="W163" s="0" t="s">
        <v>155</v>
      </c>
      <c r="X163" s="0" t="s">
        <v>128</v>
      </c>
      <c r="Y163" s="0" t="s">
        <v>196</v>
      </c>
      <c r="Z163" s="0" t="s">
        <v>2324</v>
      </c>
      <c r="AA163" s="0" t="s">
        <v>149</v>
      </c>
      <c r="AB163" s="5" t="n">
        <v>20000</v>
      </c>
      <c r="AC163" s="5" t="n">
        <v>40000</v>
      </c>
      <c r="AD163" s="0" t="s">
        <v>50</v>
      </c>
      <c r="AE163" s="5" t="n">
        <v>0</v>
      </c>
      <c r="AF163" s="0" t="s">
        <v>60</v>
      </c>
      <c r="AG163" s="7" t="s">
        <v>962</v>
      </c>
      <c r="AH163" s="0" t="s">
        <v>63</v>
      </c>
      <c r="AI163" s="0" t="s">
        <v>171</v>
      </c>
      <c r="AJ163" s="0" t="s">
        <v>172</v>
      </c>
      <c r="AK163" s="0" t="s">
        <v>50</v>
      </c>
      <c r="AL163" s="0" t="s">
        <v>2344</v>
      </c>
      <c r="AM163" s="0" t="s">
        <v>2344</v>
      </c>
      <c r="AN163" s="0" t="s">
        <v>64</v>
      </c>
      <c r="AO163" s="0" t="s">
        <v>50</v>
      </c>
    </row>
    <row r="164" customFormat="false" ht="15" hidden="false" customHeight="false" outlineLevel="0" collapsed="false">
      <c r="A164" s="0" t="s">
        <v>535</v>
      </c>
      <c r="B164" s="2" t="s">
        <v>534</v>
      </c>
      <c r="C164" s="0" t="s">
        <v>105</v>
      </c>
      <c r="D164" s="0" t="n">
        <v>8020926356</v>
      </c>
      <c r="E164" s="0" t="s">
        <v>85</v>
      </c>
      <c r="F164" s="0" t="s">
        <v>2319</v>
      </c>
      <c r="G164" s="0" t="s">
        <v>536</v>
      </c>
      <c r="H164" s="0" t="s">
        <v>45</v>
      </c>
      <c r="I164" s="3" t="s">
        <v>87</v>
      </c>
      <c r="J164" s="0" t="s">
        <v>47</v>
      </c>
      <c r="K164" s="0" t="s">
        <v>48</v>
      </c>
      <c r="L164" s="4" t="n">
        <v>38080</v>
      </c>
      <c r="M164" s="0" t="s">
        <v>49</v>
      </c>
      <c r="N164" s="0" t="s">
        <v>63</v>
      </c>
      <c r="O164" s="5" t="n">
        <v>2.99281609195402</v>
      </c>
      <c r="P164" s="0" t="n">
        <v>1.8</v>
      </c>
      <c r="Q164" s="0" t="s">
        <v>92</v>
      </c>
      <c r="R164" s="0" t="s">
        <v>93</v>
      </c>
      <c r="S164" s="0" t="s">
        <v>2340</v>
      </c>
      <c r="T164" s="0" t="s">
        <v>2343</v>
      </c>
      <c r="U164" s="5" t="n">
        <v>45</v>
      </c>
      <c r="V164" s="0" t="s">
        <v>2352</v>
      </c>
      <c r="W164" s="0" t="s">
        <v>155</v>
      </c>
      <c r="X164" s="0" t="s">
        <v>128</v>
      </c>
      <c r="Y164" s="0" t="s">
        <v>196</v>
      </c>
      <c r="Z164" s="0" t="s">
        <v>2329</v>
      </c>
      <c r="AA164" s="0" t="s">
        <v>79</v>
      </c>
      <c r="AB164" s="5" t="n">
        <v>26074.7663551402</v>
      </c>
      <c r="AC164" s="5" t="n">
        <v>35000</v>
      </c>
      <c r="AD164" s="0" t="s">
        <v>50</v>
      </c>
      <c r="AE164" s="5" t="n">
        <v>0</v>
      </c>
      <c r="AF164" s="0" t="s">
        <v>130</v>
      </c>
      <c r="AG164" s="7" t="s">
        <v>537</v>
      </c>
      <c r="AH164" s="0" t="s">
        <v>63</v>
      </c>
      <c r="AI164" s="0" t="s">
        <v>171</v>
      </c>
      <c r="AJ164" s="0" t="s">
        <v>117</v>
      </c>
      <c r="AK164" s="0" t="s">
        <v>63</v>
      </c>
      <c r="AL164" s="0" t="s">
        <v>50</v>
      </c>
      <c r="AM164" s="0" t="s">
        <v>50</v>
      </c>
      <c r="AN164" s="0" t="s">
        <v>2318</v>
      </c>
      <c r="AO164" s="0" t="s">
        <v>50</v>
      </c>
    </row>
    <row r="165" customFormat="false" ht="15" hidden="false" customHeight="false" outlineLevel="0" collapsed="false">
      <c r="A165" s="0" t="s">
        <v>538</v>
      </c>
      <c r="B165" s="2" t="s">
        <v>2422</v>
      </c>
      <c r="C165" s="0" t="s">
        <v>163</v>
      </c>
      <c r="D165" s="0" t="n">
        <v>8073171894</v>
      </c>
      <c r="E165" s="0" t="s">
        <v>85</v>
      </c>
      <c r="F165" s="0" t="s">
        <v>2319</v>
      </c>
      <c r="G165" s="0" t="s">
        <v>539</v>
      </c>
      <c r="H165" s="0" t="s">
        <v>87</v>
      </c>
      <c r="I165" s="3" t="s">
        <v>87</v>
      </c>
      <c r="J165" s="0" t="s">
        <v>47</v>
      </c>
      <c r="K165" s="0" t="s">
        <v>71</v>
      </c>
      <c r="L165" s="4" t="n">
        <v>74268</v>
      </c>
      <c r="M165" s="0" t="s">
        <v>110</v>
      </c>
      <c r="N165" s="0" t="s">
        <v>63</v>
      </c>
      <c r="O165" s="5" t="n">
        <v>3</v>
      </c>
      <c r="P165" s="0" t="n">
        <v>5.1</v>
      </c>
      <c r="Q165" s="0" t="s">
        <v>125</v>
      </c>
      <c r="R165" s="0" t="s">
        <v>93</v>
      </c>
      <c r="S165" s="0" t="s">
        <v>2335</v>
      </c>
      <c r="T165" s="0" t="s">
        <v>95</v>
      </c>
      <c r="U165" s="5" t="n">
        <v>60</v>
      </c>
      <c r="V165" s="0" t="s">
        <v>55</v>
      </c>
      <c r="W165" s="0" t="s">
        <v>2337</v>
      </c>
      <c r="X165" s="0" t="s">
        <v>98</v>
      </c>
      <c r="Y165" s="0" t="s">
        <v>58</v>
      </c>
      <c r="Z165" s="0" t="s">
        <v>2329</v>
      </c>
      <c r="AA165" s="0" t="s">
        <v>79</v>
      </c>
      <c r="AB165" s="5" t="n">
        <v>20000</v>
      </c>
      <c r="AC165" s="5" t="n">
        <v>20000</v>
      </c>
      <c r="AD165" s="0" t="s">
        <v>50</v>
      </c>
      <c r="AE165" s="5" t="n">
        <v>5000</v>
      </c>
      <c r="AF165" s="0" t="s">
        <v>184</v>
      </c>
      <c r="AG165" s="7" t="s">
        <v>2427</v>
      </c>
      <c r="AH165" s="0" t="s">
        <v>50</v>
      </c>
      <c r="AI165" s="0" t="s">
        <v>171</v>
      </c>
      <c r="AJ165" s="0" t="s">
        <v>172</v>
      </c>
      <c r="AK165" s="0" t="s">
        <v>50</v>
      </c>
      <c r="AL165" s="0" t="s">
        <v>50</v>
      </c>
      <c r="AM165" s="0" t="s">
        <v>2344</v>
      </c>
      <c r="AN165" s="0" t="s">
        <v>2321</v>
      </c>
      <c r="AO165" s="0" t="s">
        <v>2359</v>
      </c>
    </row>
    <row r="166" customFormat="false" ht="15" hidden="false" customHeight="false" outlineLevel="0" collapsed="false">
      <c r="A166" s="0" t="s">
        <v>540</v>
      </c>
      <c r="B166" s="2" t="s">
        <v>387</v>
      </c>
      <c r="C166" s="0" t="s">
        <v>121</v>
      </c>
      <c r="D166" s="0" t="n">
        <v>8099053757</v>
      </c>
      <c r="E166" s="0" t="s">
        <v>85</v>
      </c>
      <c r="F166" s="0" t="s">
        <v>2319</v>
      </c>
      <c r="G166" s="0" t="s">
        <v>541</v>
      </c>
      <c r="H166" s="0" t="s">
        <v>69</v>
      </c>
      <c r="I166" s="3" t="s">
        <v>87</v>
      </c>
      <c r="J166" s="0" t="s">
        <v>2347</v>
      </c>
      <c r="K166" s="0" t="s">
        <v>90</v>
      </c>
      <c r="L166" s="4" t="n">
        <v>102788</v>
      </c>
      <c r="M166" s="0" t="s">
        <v>2333</v>
      </c>
      <c r="N166" s="0" t="s">
        <v>63</v>
      </c>
      <c r="O166" s="5" t="n">
        <v>5</v>
      </c>
      <c r="P166" s="0" t="n">
        <v>5.5</v>
      </c>
      <c r="Q166" s="0" t="s">
        <v>111</v>
      </c>
      <c r="R166" s="0" t="s">
        <v>73</v>
      </c>
      <c r="S166" s="0" t="s">
        <v>2340</v>
      </c>
      <c r="T166" s="0" t="s">
        <v>147</v>
      </c>
      <c r="U166" s="5" t="n">
        <v>60</v>
      </c>
      <c r="V166" s="0" t="s">
        <v>112</v>
      </c>
      <c r="W166" s="0" t="s">
        <v>148</v>
      </c>
      <c r="X166" s="0" t="s">
        <v>98</v>
      </c>
      <c r="Y166" s="0" t="s">
        <v>196</v>
      </c>
      <c r="Z166" s="0" t="s">
        <v>2324</v>
      </c>
      <c r="AA166" s="0" t="s">
        <v>149</v>
      </c>
      <c r="AB166" s="5" t="n">
        <v>26428.5714285714</v>
      </c>
      <c r="AC166" s="5" t="n">
        <v>30000</v>
      </c>
      <c r="AD166" s="0" t="s">
        <v>50</v>
      </c>
      <c r="AE166" s="5" t="n">
        <v>0</v>
      </c>
      <c r="AF166" s="0" t="s">
        <v>130</v>
      </c>
      <c r="AG166" s="7" t="s">
        <v>2330</v>
      </c>
      <c r="AH166" s="0" t="s">
        <v>2329</v>
      </c>
      <c r="AI166" s="0" t="s">
        <v>116</v>
      </c>
      <c r="AJ166" s="0" t="s">
        <v>2331</v>
      </c>
      <c r="AK166" s="0" t="s">
        <v>63</v>
      </c>
      <c r="AL166" s="0" t="s">
        <v>50</v>
      </c>
      <c r="AM166" s="0" t="s">
        <v>63</v>
      </c>
      <c r="AN166" s="0" t="s">
        <v>64</v>
      </c>
      <c r="AO166" s="0" t="s">
        <v>2359</v>
      </c>
    </row>
    <row r="167" customFormat="false" ht="15" hidden="false" customHeight="false" outlineLevel="0" collapsed="false">
      <c r="A167" s="0" t="s">
        <v>542</v>
      </c>
      <c r="B167" s="2" t="s">
        <v>2410</v>
      </c>
      <c r="C167" s="0" t="s">
        <v>66</v>
      </c>
      <c r="D167" s="0" t="n">
        <v>8092528662</v>
      </c>
      <c r="E167" s="0" t="s">
        <v>139</v>
      </c>
      <c r="F167" s="0" t="s">
        <v>2323</v>
      </c>
      <c r="G167" s="0" t="s">
        <v>543</v>
      </c>
      <c r="H167" s="0" t="s">
        <v>69</v>
      </c>
      <c r="I167" s="3" t="s">
        <v>2325</v>
      </c>
      <c r="J167" s="0" t="s">
        <v>2349</v>
      </c>
      <c r="K167" s="0" t="s">
        <v>109</v>
      </c>
      <c r="L167" s="4" t="n">
        <v>117151</v>
      </c>
      <c r="M167" s="0" t="s">
        <v>2333</v>
      </c>
      <c r="N167" s="0" t="s">
        <v>50</v>
      </c>
      <c r="O167" s="5" t="n">
        <v>3</v>
      </c>
      <c r="P167" s="0" t="n">
        <v>1.3</v>
      </c>
      <c r="Q167" s="0" t="s">
        <v>125</v>
      </c>
      <c r="R167" s="0" t="s">
        <v>52</v>
      </c>
      <c r="S167" s="0" t="s">
        <v>2340</v>
      </c>
      <c r="T167" s="0" t="s">
        <v>2353</v>
      </c>
      <c r="U167" s="5" t="n">
        <v>37.8947368421053</v>
      </c>
      <c r="V167" s="0" t="s">
        <v>112</v>
      </c>
      <c r="W167" s="0" t="s">
        <v>2328</v>
      </c>
      <c r="X167" s="0" t="s">
        <v>98</v>
      </c>
      <c r="Y167" s="0" t="s">
        <v>99</v>
      </c>
      <c r="Z167" s="0" t="s">
        <v>2324</v>
      </c>
      <c r="AA167" s="0" t="s">
        <v>149</v>
      </c>
      <c r="AB167" s="5" t="n">
        <v>40000</v>
      </c>
      <c r="AC167" s="5" t="n">
        <v>30000</v>
      </c>
      <c r="AD167" s="0" t="s">
        <v>63</v>
      </c>
      <c r="AE167" s="5" t="n">
        <v>10000</v>
      </c>
      <c r="AF167" s="0" t="s">
        <v>2338</v>
      </c>
      <c r="AG167" s="7" t="s">
        <v>2330</v>
      </c>
      <c r="AH167" s="0" t="s">
        <v>50</v>
      </c>
      <c r="AI167" s="0" t="s">
        <v>2331</v>
      </c>
      <c r="AJ167" s="0" t="s">
        <v>2320</v>
      </c>
      <c r="AK167" s="0" t="s">
        <v>63</v>
      </c>
      <c r="AL167" s="0" t="s">
        <v>50</v>
      </c>
      <c r="AM167" s="0" t="s">
        <v>63</v>
      </c>
      <c r="AN167" s="0" t="s">
        <v>2318</v>
      </c>
      <c r="AO167" s="0" t="s">
        <v>63</v>
      </c>
    </row>
    <row r="168" customFormat="false" ht="15" hidden="false" customHeight="false" outlineLevel="0" collapsed="false">
      <c r="A168" s="0" t="s">
        <v>544</v>
      </c>
      <c r="B168" s="2" t="s">
        <v>2348</v>
      </c>
      <c r="C168" s="0" t="s">
        <v>163</v>
      </c>
      <c r="D168" s="0" t="n">
        <v>8018707112</v>
      </c>
      <c r="E168" s="0" t="s">
        <v>43</v>
      </c>
      <c r="F168" s="0" t="s">
        <v>2315</v>
      </c>
      <c r="G168" s="0" t="s">
        <v>545</v>
      </c>
      <c r="H168" s="0" t="s">
        <v>69</v>
      </c>
      <c r="I168" s="3" t="s">
        <v>2322</v>
      </c>
      <c r="J168" s="0" t="s">
        <v>2339</v>
      </c>
      <c r="K168" s="0" t="s">
        <v>90</v>
      </c>
      <c r="L168" s="4" t="n">
        <v>52844</v>
      </c>
      <c r="M168" s="0" t="s">
        <v>2333</v>
      </c>
      <c r="N168" s="0" t="s">
        <v>50</v>
      </c>
      <c r="O168" s="5" t="n">
        <v>2</v>
      </c>
      <c r="P168" s="0" t="n">
        <v>4.7</v>
      </c>
      <c r="Q168" s="0" t="s">
        <v>111</v>
      </c>
      <c r="R168" s="0" t="s">
        <v>73</v>
      </c>
      <c r="S168" s="0" t="s">
        <v>2340</v>
      </c>
      <c r="T168" s="0" t="s">
        <v>2343</v>
      </c>
      <c r="U168" s="5" t="n">
        <v>40.3658536585366</v>
      </c>
      <c r="V168" s="0" t="s">
        <v>2336</v>
      </c>
      <c r="W168" s="0" t="s">
        <v>155</v>
      </c>
      <c r="X168" s="0" t="s">
        <v>98</v>
      </c>
      <c r="Y168" s="0" t="s">
        <v>114</v>
      </c>
      <c r="Z168" s="0" t="s">
        <v>2329</v>
      </c>
      <c r="AA168" s="0" t="s">
        <v>143</v>
      </c>
      <c r="AB168" s="5" t="n">
        <v>40000</v>
      </c>
      <c r="AC168" s="5" t="n">
        <v>30000</v>
      </c>
      <c r="AD168" s="0" t="s">
        <v>63</v>
      </c>
      <c r="AE168" s="5" t="n">
        <v>10000</v>
      </c>
      <c r="AF168" s="0" t="s">
        <v>60</v>
      </c>
      <c r="AG168" s="7" t="s">
        <v>2436</v>
      </c>
      <c r="AH168" s="0" t="s">
        <v>2329</v>
      </c>
      <c r="AI168" s="0" t="s">
        <v>171</v>
      </c>
      <c r="AJ168" s="0" t="s">
        <v>2331</v>
      </c>
      <c r="AK168" s="0" t="s">
        <v>2344</v>
      </c>
      <c r="AL168" s="0" t="s">
        <v>63</v>
      </c>
      <c r="AM168" s="0" t="s">
        <v>50</v>
      </c>
      <c r="AN168" s="0" t="s">
        <v>2321</v>
      </c>
      <c r="AO168" s="0" t="s">
        <v>2359</v>
      </c>
    </row>
    <row r="169" customFormat="false" ht="15" hidden="false" customHeight="false" outlineLevel="0" collapsed="false">
      <c r="A169" s="0" t="s">
        <v>546</v>
      </c>
      <c r="B169" s="2" t="s">
        <v>2332</v>
      </c>
      <c r="C169" s="0" t="s">
        <v>42</v>
      </c>
      <c r="D169" s="0" t="n">
        <v>8032472549</v>
      </c>
      <c r="E169" s="0" t="s">
        <v>122</v>
      </c>
      <c r="F169" s="0" t="s">
        <v>2316</v>
      </c>
      <c r="G169" s="0" t="s">
        <v>547</v>
      </c>
      <c r="H169" s="0" t="s">
        <v>107</v>
      </c>
      <c r="I169" s="3" t="s">
        <v>2325</v>
      </c>
      <c r="J169" s="0" t="s">
        <v>2349</v>
      </c>
      <c r="K169" s="0" t="s">
        <v>109</v>
      </c>
      <c r="L169" s="4" t="n">
        <v>28124</v>
      </c>
      <c r="M169" s="0" t="s">
        <v>2333</v>
      </c>
      <c r="N169" s="0" t="s">
        <v>63</v>
      </c>
      <c r="O169" s="5" t="n">
        <v>3</v>
      </c>
      <c r="P169" s="0" t="n">
        <v>3</v>
      </c>
      <c r="Q169" s="0" t="s">
        <v>111</v>
      </c>
      <c r="R169" s="0" t="s">
        <v>73</v>
      </c>
      <c r="S169" s="0" t="s">
        <v>2335</v>
      </c>
      <c r="T169" s="0" t="s">
        <v>75</v>
      </c>
      <c r="U169" s="5" t="n">
        <v>30</v>
      </c>
      <c r="V169" s="0" t="s">
        <v>112</v>
      </c>
      <c r="W169" s="0" t="s">
        <v>148</v>
      </c>
      <c r="X169" s="0" t="s">
        <v>128</v>
      </c>
      <c r="Y169" s="0" t="s">
        <v>99</v>
      </c>
      <c r="Z169" s="0" t="s">
        <v>2329</v>
      </c>
      <c r="AA169" s="0" t="s">
        <v>79</v>
      </c>
      <c r="AB169" s="5" t="n">
        <v>30000</v>
      </c>
      <c r="AC169" s="5" t="n">
        <v>31410.8187134503</v>
      </c>
      <c r="AD169" s="0" t="s">
        <v>50</v>
      </c>
      <c r="AE169" s="5" t="n">
        <v>0</v>
      </c>
      <c r="AF169" s="0" t="s">
        <v>2338</v>
      </c>
      <c r="AG169" s="7" t="s">
        <v>2330</v>
      </c>
      <c r="AH169" s="0" t="s">
        <v>50</v>
      </c>
      <c r="AI169" s="0" t="s">
        <v>116</v>
      </c>
      <c r="AJ169" s="0" t="s">
        <v>2320</v>
      </c>
      <c r="AK169" s="0" t="s">
        <v>50</v>
      </c>
      <c r="AL169" s="0" t="s">
        <v>50</v>
      </c>
      <c r="AM169" s="0" t="s">
        <v>50</v>
      </c>
      <c r="AN169" s="0" t="s">
        <v>2318</v>
      </c>
      <c r="AO169" s="0" t="s">
        <v>63</v>
      </c>
    </row>
    <row r="170" customFormat="false" ht="15" hidden="false" customHeight="false" outlineLevel="0" collapsed="false">
      <c r="A170" s="0" t="s">
        <v>548</v>
      </c>
      <c r="B170" s="2" t="s">
        <v>576</v>
      </c>
      <c r="C170" s="0" t="s">
        <v>163</v>
      </c>
      <c r="D170" s="0" t="n">
        <v>8078264989</v>
      </c>
      <c r="E170" s="0" t="s">
        <v>85</v>
      </c>
      <c r="F170" s="0" t="s">
        <v>2319</v>
      </c>
      <c r="G170" s="0" t="s">
        <v>549</v>
      </c>
      <c r="H170" s="0" t="s">
        <v>107</v>
      </c>
      <c r="I170" s="3" t="s">
        <v>2342</v>
      </c>
      <c r="J170" s="0" t="s">
        <v>2339</v>
      </c>
      <c r="K170" s="0" t="s">
        <v>90</v>
      </c>
      <c r="L170" s="4" t="n">
        <v>85966</v>
      </c>
      <c r="M170" s="0" t="s">
        <v>2333</v>
      </c>
      <c r="N170" s="0" t="s">
        <v>63</v>
      </c>
      <c r="O170" s="5" t="n">
        <v>2.99131693198263</v>
      </c>
      <c r="P170" s="0" t="n">
        <v>4.3</v>
      </c>
      <c r="Q170" s="0" t="s">
        <v>111</v>
      </c>
      <c r="R170" s="0" t="s">
        <v>52</v>
      </c>
      <c r="S170" s="0" t="s">
        <v>2340</v>
      </c>
      <c r="T170" s="0" t="s">
        <v>95</v>
      </c>
      <c r="U170" s="5" t="n">
        <v>45</v>
      </c>
      <c r="V170" s="0" t="s">
        <v>2336</v>
      </c>
      <c r="W170" s="0" t="s">
        <v>2337</v>
      </c>
      <c r="X170" s="0" t="s">
        <v>78</v>
      </c>
      <c r="Y170" s="0" t="s">
        <v>99</v>
      </c>
      <c r="Z170" s="0" t="s">
        <v>2324</v>
      </c>
      <c r="AA170" s="0" t="s">
        <v>79</v>
      </c>
      <c r="AB170" s="5" t="n">
        <v>15000</v>
      </c>
      <c r="AC170" s="5" t="n">
        <v>30000</v>
      </c>
      <c r="AD170" s="0" t="s">
        <v>50</v>
      </c>
      <c r="AE170" s="5" t="n">
        <v>0</v>
      </c>
      <c r="AF170" s="0" t="s">
        <v>60</v>
      </c>
      <c r="AG170" s="7" t="s">
        <v>131</v>
      </c>
      <c r="AH170" s="0" t="s">
        <v>2329</v>
      </c>
      <c r="AI170" s="0" t="s">
        <v>116</v>
      </c>
      <c r="AJ170" s="0" t="s">
        <v>2331</v>
      </c>
      <c r="AK170" s="0" t="s">
        <v>50</v>
      </c>
      <c r="AL170" s="0" t="s">
        <v>63</v>
      </c>
      <c r="AM170" s="0" t="s">
        <v>2344</v>
      </c>
      <c r="AN170" s="0" t="s">
        <v>2318</v>
      </c>
      <c r="AO170" s="0" t="s">
        <v>50</v>
      </c>
    </row>
    <row r="171" customFormat="false" ht="15" hidden="false" customHeight="false" outlineLevel="0" collapsed="false">
      <c r="A171" s="0" t="s">
        <v>550</v>
      </c>
      <c r="B171" s="2" t="s">
        <v>371</v>
      </c>
      <c r="C171" s="0" t="s">
        <v>42</v>
      </c>
      <c r="D171" s="0" t="n">
        <v>8062092026</v>
      </c>
      <c r="E171" s="0" t="s">
        <v>67</v>
      </c>
      <c r="F171" s="0" t="s">
        <v>2316</v>
      </c>
      <c r="G171" s="0" t="s">
        <v>551</v>
      </c>
      <c r="H171" s="0" t="s">
        <v>87</v>
      </c>
      <c r="I171" s="3" t="s">
        <v>2317</v>
      </c>
      <c r="J171" s="0" t="s">
        <v>2347</v>
      </c>
      <c r="K171" s="0" t="s">
        <v>90</v>
      </c>
      <c r="L171" s="4" t="n">
        <v>83179</v>
      </c>
      <c r="M171" s="0" t="s">
        <v>49</v>
      </c>
      <c r="N171" s="0" t="s">
        <v>63</v>
      </c>
      <c r="O171" s="5" t="n">
        <v>3</v>
      </c>
      <c r="P171" s="0" t="n">
        <v>5.7</v>
      </c>
      <c r="Q171" s="0" t="s">
        <v>51</v>
      </c>
      <c r="R171" s="0" t="s">
        <v>73</v>
      </c>
      <c r="S171" s="0" t="s">
        <v>2340</v>
      </c>
      <c r="T171" s="0" t="s">
        <v>75</v>
      </c>
      <c r="U171" s="5" t="n">
        <v>30</v>
      </c>
      <c r="V171" s="0" t="s">
        <v>112</v>
      </c>
      <c r="W171" s="0" t="s">
        <v>155</v>
      </c>
      <c r="X171" s="0" t="s">
        <v>98</v>
      </c>
      <c r="Y171" s="0" t="s">
        <v>58</v>
      </c>
      <c r="Z171" s="0" t="s">
        <v>2326</v>
      </c>
      <c r="AA171" s="0" t="s">
        <v>149</v>
      </c>
      <c r="AB171" s="5" t="n">
        <v>25000</v>
      </c>
      <c r="AC171" s="5" t="n">
        <v>30000</v>
      </c>
      <c r="AD171" s="0" t="s">
        <v>63</v>
      </c>
      <c r="AE171" s="5" t="n">
        <v>5000</v>
      </c>
      <c r="AF171" s="0" t="s">
        <v>130</v>
      </c>
      <c r="AG171" s="7" t="s">
        <v>552</v>
      </c>
      <c r="AH171" s="0" t="s">
        <v>63</v>
      </c>
      <c r="AI171" s="0" t="s">
        <v>171</v>
      </c>
      <c r="AJ171" s="0" t="s">
        <v>117</v>
      </c>
      <c r="AK171" s="0" t="s">
        <v>63</v>
      </c>
      <c r="AL171" s="0" t="s">
        <v>50</v>
      </c>
      <c r="AM171" s="0" t="s">
        <v>50</v>
      </c>
      <c r="AN171" s="0" t="s">
        <v>2318</v>
      </c>
      <c r="AO171" s="0" t="s">
        <v>50</v>
      </c>
    </row>
    <row r="172" customFormat="false" ht="15" hidden="false" customHeight="false" outlineLevel="0" collapsed="false">
      <c r="A172" s="0" t="s">
        <v>554</v>
      </c>
      <c r="B172" s="2" t="s">
        <v>553</v>
      </c>
      <c r="C172" s="0" t="s">
        <v>42</v>
      </c>
      <c r="D172" s="0" t="n">
        <v>8096580039</v>
      </c>
      <c r="E172" s="0" t="s">
        <v>139</v>
      </c>
      <c r="F172" s="0" t="s">
        <v>2323</v>
      </c>
      <c r="G172" s="0" t="s">
        <v>555</v>
      </c>
      <c r="H172" s="0" t="s">
        <v>69</v>
      </c>
      <c r="I172" s="3" t="s">
        <v>2317</v>
      </c>
      <c r="J172" s="0" t="s">
        <v>2349</v>
      </c>
      <c r="K172" s="0" t="s">
        <v>71</v>
      </c>
      <c r="L172" s="4" t="n">
        <v>78019</v>
      </c>
      <c r="M172" s="0" t="s">
        <v>110</v>
      </c>
      <c r="N172" s="0" t="s">
        <v>50</v>
      </c>
      <c r="O172" s="5" t="n">
        <v>4</v>
      </c>
      <c r="P172" s="0" t="n">
        <v>5.7</v>
      </c>
      <c r="Q172" s="0" t="s">
        <v>111</v>
      </c>
      <c r="R172" s="0" t="s">
        <v>73</v>
      </c>
      <c r="S172" s="0" t="s">
        <v>2340</v>
      </c>
      <c r="T172" s="0" t="s">
        <v>54</v>
      </c>
      <c r="U172" s="5" t="n">
        <v>45</v>
      </c>
      <c r="V172" s="0" t="s">
        <v>96</v>
      </c>
      <c r="W172" s="0" t="s">
        <v>148</v>
      </c>
      <c r="X172" s="0" t="s">
        <v>78</v>
      </c>
      <c r="Y172" s="0" t="s">
        <v>196</v>
      </c>
      <c r="Z172" s="0" t="s">
        <v>59</v>
      </c>
      <c r="AA172" s="0" t="s">
        <v>2329</v>
      </c>
      <c r="AB172" s="5" t="n">
        <v>25000</v>
      </c>
      <c r="AC172" s="5" t="n">
        <v>30000</v>
      </c>
      <c r="AD172" s="0" t="s">
        <v>50</v>
      </c>
      <c r="AE172" s="5" t="n">
        <v>0</v>
      </c>
      <c r="AF172" s="0" t="s">
        <v>184</v>
      </c>
      <c r="AG172" s="7" t="s">
        <v>556</v>
      </c>
      <c r="AH172" s="0" t="s">
        <v>50</v>
      </c>
      <c r="AI172" s="0" t="s">
        <v>2331</v>
      </c>
      <c r="AJ172" s="0" t="s">
        <v>2331</v>
      </c>
      <c r="AK172" s="0" t="s">
        <v>50</v>
      </c>
      <c r="AL172" s="0" t="s">
        <v>50</v>
      </c>
      <c r="AM172" s="0" t="s">
        <v>50</v>
      </c>
      <c r="AN172" s="0" t="s">
        <v>2321</v>
      </c>
      <c r="AO172" s="0" t="s">
        <v>63</v>
      </c>
    </row>
    <row r="173" customFormat="false" ht="15" hidden="false" customHeight="false" outlineLevel="0" collapsed="false">
      <c r="A173" s="0" t="s">
        <v>557</v>
      </c>
      <c r="B173" s="2" t="s">
        <v>2437</v>
      </c>
      <c r="C173" s="0" t="s">
        <v>163</v>
      </c>
      <c r="D173" s="0" t="n">
        <v>8078338099</v>
      </c>
      <c r="E173" s="0" t="s">
        <v>139</v>
      </c>
      <c r="F173" s="0" t="s">
        <v>2323</v>
      </c>
      <c r="G173" s="0" t="s">
        <v>558</v>
      </c>
      <c r="H173" s="0" t="s">
        <v>69</v>
      </c>
      <c r="I173" s="3" t="s">
        <v>2317</v>
      </c>
      <c r="J173" s="0" t="s">
        <v>2347</v>
      </c>
      <c r="K173" s="0" t="s">
        <v>90</v>
      </c>
      <c r="L173" s="4" t="n">
        <v>41854</v>
      </c>
      <c r="M173" s="0" t="s">
        <v>110</v>
      </c>
      <c r="N173" s="0" t="s">
        <v>63</v>
      </c>
      <c r="O173" s="5" t="n">
        <v>4</v>
      </c>
      <c r="P173" s="0" t="n">
        <v>1.3</v>
      </c>
      <c r="Q173" s="0" t="s">
        <v>51</v>
      </c>
      <c r="R173" s="0" t="s">
        <v>52</v>
      </c>
      <c r="S173" s="0" t="s">
        <v>2366</v>
      </c>
      <c r="T173" s="0" t="s">
        <v>2343</v>
      </c>
      <c r="U173" s="5" t="n">
        <v>15</v>
      </c>
      <c r="V173" s="0" t="s">
        <v>2336</v>
      </c>
      <c r="W173" s="0" t="s">
        <v>155</v>
      </c>
      <c r="X173" s="0" t="s">
        <v>128</v>
      </c>
      <c r="Y173" s="0" t="s">
        <v>196</v>
      </c>
      <c r="Z173" s="0" t="s">
        <v>59</v>
      </c>
      <c r="AA173" s="0" t="s">
        <v>143</v>
      </c>
      <c r="AB173" s="5" t="n">
        <v>15000</v>
      </c>
      <c r="AC173" s="5" t="n">
        <v>30000</v>
      </c>
      <c r="AD173" s="0" t="s">
        <v>50</v>
      </c>
      <c r="AE173" s="5" t="n">
        <v>10000</v>
      </c>
      <c r="AF173" s="0" t="s">
        <v>130</v>
      </c>
      <c r="AG173" s="7" t="s">
        <v>559</v>
      </c>
      <c r="AH173" s="0" t="s">
        <v>50</v>
      </c>
      <c r="AI173" s="0" t="s">
        <v>171</v>
      </c>
      <c r="AJ173" s="0" t="s">
        <v>2331</v>
      </c>
      <c r="AK173" s="0" t="s">
        <v>50</v>
      </c>
      <c r="AL173" s="0" t="s">
        <v>50</v>
      </c>
      <c r="AM173" s="0" t="s">
        <v>50</v>
      </c>
      <c r="AN173" s="0" t="s">
        <v>64</v>
      </c>
      <c r="AO173" s="0" t="s">
        <v>63</v>
      </c>
    </row>
    <row r="174" customFormat="false" ht="15" hidden="false" customHeight="false" outlineLevel="0" collapsed="false">
      <c r="A174" s="0" t="s">
        <v>560</v>
      </c>
      <c r="B174" s="2" t="s">
        <v>2438</v>
      </c>
      <c r="C174" s="0" t="s">
        <v>42</v>
      </c>
      <c r="D174" s="0" t="n">
        <v>8060233144</v>
      </c>
      <c r="E174" s="0" t="s">
        <v>139</v>
      </c>
      <c r="F174" s="0" t="s">
        <v>2323</v>
      </c>
      <c r="G174" s="0" t="s">
        <v>561</v>
      </c>
      <c r="H174" s="0" t="s">
        <v>69</v>
      </c>
      <c r="I174" s="3" t="s">
        <v>2317</v>
      </c>
      <c r="J174" s="0" t="s">
        <v>47</v>
      </c>
      <c r="K174" s="0" t="s">
        <v>90</v>
      </c>
      <c r="L174" s="4" t="n">
        <v>27126</v>
      </c>
      <c r="M174" s="0" t="s">
        <v>110</v>
      </c>
      <c r="N174" s="0" t="s">
        <v>50</v>
      </c>
      <c r="O174" s="5" t="n">
        <v>2</v>
      </c>
      <c r="P174" s="0" t="n">
        <v>4.6</v>
      </c>
      <c r="Q174" s="0" t="s">
        <v>125</v>
      </c>
      <c r="R174" s="0" t="s">
        <v>93</v>
      </c>
      <c r="S174" s="0" t="s">
        <v>2335</v>
      </c>
      <c r="T174" s="0" t="s">
        <v>95</v>
      </c>
      <c r="U174" s="5" t="n">
        <v>45</v>
      </c>
      <c r="V174" s="0" t="s">
        <v>55</v>
      </c>
      <c r="W174" s="0" t="s">
        <v>148</v>
      </c>
      <c r="X174" s="0" t="s">
        <v>78</v>
      </c>
      <c r="Y174" s="0" t="s">
        <v>196</v>
      </c>
      <c r="Z174" s="0" t="s">
        <v>2329</v>
      </c>
      <c r="AA174" s="0" t="s">
        <v>79</v>
      </c>
      <c r="AB174" s="5" t="n">
        <v>30000</v>
      </c>
      <c r="AC174" s="5" t="n">
        <v>40000</v>
      </c>
      <c r="AD174" s="0" t="s">
        <v>50</v>
      </c>
      <c r="AE174" s="5" t="n">
        <v>5000</v>
      </c>
      <c r="AF174" s="0" t="s">
        <v>184</v>
      </c>
      <c r="AG174" s="7" t="s">
        <v>562</v>
      </c>
      <c r="AH174" s="0" t="s">
        <v>63</v>
      </c>
      <c r="AI174" s="0" t="s">
        <v>171</v>
      </c>
      <c r="AJ174" s="0" t="s">
        <v>2331</v>
      </c>
      <c r="AK174" s="0" t="s">
        <v>63</v>
      </c>
      <c r="AL174" s="0" t="s">
        <v>63</v>
      </c>
      <c r="AM174" s="0" t="s">
        <v>2344</v>
      </c>
      <c r="AN174" s="0" t="s">
        <v>64</v>
      </c>
      <c r="AO174" s="0" t="s">
        <v>50</v>
      </c>
    </row>
    <row r="175" customFormat="false" ht="15" hidden="false" customHeight="false" outlineLevel="0" collapsed="false">
      <c r="A175" s="0" t="s">
        <v>563</v>
      </c>
      <c r="B175" s="2" t="s">
        <v>1883</v>
      </c>
      <c r="C175" s="0" t="s">
        <v>163</v>
      </c>
      <c r="D175" s="0" t="n">
        <v>8076919318</v>
      </c>
      <c r="E175" s="0" t="s">
        <v>43</v>
      </c>
      <c r="F175" s="0" t="s">
        <v>2315</v>
      </c>
      <c r="G175" s="0" t="s">
        <v>564</v>
      </c>
      <c r="H175" s="0" t="s">
        <v>45</v>
      </c>
      <c r="I175" s="3" t="s">
        <v>2322</v>
      </c>
      <c r="J175" s="0" t="s">
        <v>47</v>
      </c>
      <c r="K175" s="0" t="s">
        <v>90</v>
      </c>
      <c r="L175" s="4" t="n">
        <v>29561</v>
      </c>
      <c r="M175" s="0" t="s">
        <v>2333</v>
      </c>
      <c r="N175" s="0" t="s">
        <v>63</v>
      </c>
      <c r="O175" s="5" t="n">
        <v>1</v>
      </c>
      <c r="P175" s="0" t="n">
        <v>3.4</v>
      </c>
      <c r="Q175" s="0" t="s">
        <v>125</v>
      </c>
      <c r="R175" s="0" t="s">
        <v>93</v>
      </c>
      <c r="S175" s="0" t="s">
        <v>2366</v>
      </c>
      <c r="T175" s="0" t="s">
        <v>75</v>
      </c>
      <c r="U175" s="5" t="n">
        <v>60</v>
      </c>
      <c r="V175" s="0" t="s">
        <v>55</v>
      </c>
      <c r="W175" s="0" t="s">
        <v>155</v>
      </c>
      <c r="X175" s="0" t="s">
        <v>128</v>
      </c>
      <c r="Y175" s="0" t="s">
        <v>196</v>
      </c>
      <c r="Z175" s="0" t="s">
        <v>177</v>
      </c>
      <c r="AA175" s="0" t="s">
        <v>161</v>
      </c>
      <c r="AB175" s="5" t="n">
        <v>30000</v>
      </c>
      <c r="AC175" s="5" t="n">
        <v>31406.4801178203</v>
      </c>
      <c r="AD175" s="0" t="s">
        <v>50</v>
      </c>
      <c r="AE175" s="5" t="n">
        <v>5000</v>
      </c>
      <c r="AF175" s="0" t="s">
        <v>130</v>
      </c>
      <c r="AG175" s="7" t="s">
        <v>2330</v>
      </c>
      <c r="AH175" s="0" t="s">
        <v>50</v>
      </c>
      <c r="AI175" s="0" t="s">
        <v>2331</v>
      </c>
      <c r="AJ175" s="0" t="s">
        <v>172</v>
      </c>
      <c r="AK175" s="0" t="s">
        <v>50</v>
      </c>
      <c r="AL175" s="0" t="s">
        <v>50</v>
      </c>
      <c r="AM175" s="0" t="s">
        <v>2344</v>
      </c>
      <c r="AN175" s="0" t="s">
        <v>2321</v>
      </c>
      <c r="AO175" s="0" t="s">
        <v>50</v>
      </c>
    </row>
    <row r="176" customFormat="false" ht="15" hidden="false" customHeight="false" outlineLevel="0" collapsed="false">
      <c r="A176" s="0" t="s">
        <v>565</v>
      </c>
      <c r="B176" s="2" t="s">
        <v>796</v>
      </c>
      <c r="C176" s="0" t="s">
        <v>121</v>
      </c>
      <c r="D176" s="0" t="n">
        <v>8079644554</v>
      </c>
      <c r="E176" s="0" t="s">
        <v>85</v>
      </c>
      <c r="F176" s="0" t="s">
        <v>2319</v>
      </c>
      <c r="G176" s="0" t="s">
        <v>566</v>
      </c>
      <c r="H176" s="0" t="s">
        <v>87</v>
      </c>
      <c r="I176" s="3" t="s">
        <v>2342</v>
      </c>
      <c r="J176" s="0" t="s">
        <v>2339</v>
      </c>
      <c r="K176" s="0" t="s">
        <v>109</v>
      </c>
      <c r="L176" s="4" t="n">
        <v>13680</v>
      </c>
      <c r="M176" s="0" t="s">
        <v>49</v>
      </c>
      <c r="N176" s="0" t="s">
        <v>63</v>
      </c>
      <c r="O176" s="5" t="n">
        <v>1</v>
      </c>
      <c r="P176" s="0" t="n">
        <v>5.6</v>
      </c>
      <c r="Q176" s="0" t="s">
        <v>51</v>
      </c>
      <c r="R176" s="0" t="s">
        <v>93</v>
      </c>
      <c r="S176" s="0" t="s">
        <v>2366</v>
      </c>
      <c r="T176" s="0" t="s">
        <v>54</v>
      </c>
      <c r="U176" s="5" t="n">
        <v>45</v>
      </c>
      <c r="V176" s="0" t="s">
        <v>2352</v>
      </c>
      <c r="W176" s="0" t="s">
        <v>155</v>
      </c>
      <c r="X176" s="0" t="s">
        <v>128</v>
      </c>
      <c r="Y176" s="0" t="s">
        <v>99</v>
      </c>
      <c r="Z176" s="0" t="s">
        <v>2329</v>
      </c>
      <c r="AA176" s="0" t="s">
        <v>79</v>
      </c>
      <c r="AB176" s="5" t="n">
        <v>30000</v>
      </c>
      <c r="AC176" s="5" t="n">
        <v>40000</v>
      </c>
      <c r="AD176" s="0" t="s">
        <v>50</v>
      </c>
      <c r="AE176" s="5" t="n">
        <v>0</v>
      </c>
      <c r="AF176" s="0" t="s">
        <v>2338</v>
      </c>
      <c r="AG176" s="7" t="s">
        <v>2330</v>
      </c>
      <c r="AH176" s="0" t="s">
        <v>63</v>
      </c>
      <c r="AI176" s="0" t="s">
        <v>171</v>
      </c>
      <c r="AJ176" s="0" t="s">
        <v>172</v>
      </c>
      <c r="AK176" s="0" t="s">
        <v>50</v>
      </c>
      <c r="AL176" s="0" t="s">
        <v>50</v>
      </c>
      <c r="AM176" s="0" t="s">
        <v>50</v>
      </c>
      <c r="AN176" s="0" t="s">
        <v>2321</v>
      </c>
      <c r="AO176" s="0" t="s">
        <v>2359</v>
      </c>
    </row>
    <row r="177" customFormat="false" ht="15" hidden="false" customHeight="false" outlineLevel="0" collapsed="false">
      <c r="A177" s="0" t="s">
        <v>567</v>
      </c>
      <c r="B177" s="2" t="s">
        <v>232</v>
      </c>
      <c r="C177" s="0" t="s">
        <v>121</v>
      </c>
      <c r="D177" s="0" t="n">
        <v>8072312899</v>
      </c>
      <c r="E177" s="0" t="s">
        <v>67</v>
      </c>
      <c r="F177" s="0" t="s">
        <v>2316</v>
      </c>
      <c r="G177" s="0" t="s">
        <v>568</v>
      </c>
      <c r="H177" s="0" t="s">
        <v>69</v>
      </c>
      <c r="I177" s="3" t="s">
        <v>87</v>
      </c>
      <c r="J177" s="0" t="s">
        <v>2339</v>
      </c>
      <c r="K177" s="0" t="s">
        <v>109</v>
      </c>
      <c r="L177" s="4" t="n">
        <v>116472</v>
      </c>
      <c r="M177" s="0" t="s">
        <v>49</v>
      </c>
      <c r="N177" s="0" t="s">
        <v>50</v>
      </c>
      <c r="O177" s="5" t="n">
        <v>2</v>
      </c>
      <c r="P177" s="0" t="n">
        <v>4.2</v>
      </c>
      <c r="Q177" s="0" t="s">
        <v>125</v>
      </c>
      <c r="R177" s="0" t="s">
        <v>73</v>
      </c>
      <c r="S177" s="0" t="s">
        <v>2335</v>
      </c>
      <c r="T177" s="0" t="s">
        <v>75</v>
      </c>
      <c r="U177" s="5" t="n">
        <v>30</v>
      </c>
      <c r="V177" s="0" t="s">
        <v>112</v>
      </c>
      <c r="W177" s="0" t="s">
        <v>148</v>
      </c>
      <c r="X177" s="0" t="s">
        <v>128</v>
      </c>
      <c r="Y177" s="0" t="s">
        <v>99</v>
      </c>
      <c r="Z177" s="0" t="s">
        <v>59</v>
      </c>
      <c r="AA177" s="0" t="s">
        <v>79</v>
      </c>
      <c r="AB177" s="5" t="n">
        <v>30000</v>
      </c>
      <c r="AC177" s="5" t="n">
        <v>31393.8053097345</v>
      </c>
      <c r="AD177" s="0" t="s">
        <v>50</v>
      </c>
      <c r="AE177" s="5" t="n">
        <v>0</v>
      </c>
      <c r="AF177" s="0" t="s">
        <v>60</v>
      </c>
      <c r="AG177" s="7" t="s">
        <v>2439</v>
      </c>
      <c r="AH177" s="0" t="s">
        <v>63</v>
      </c>
      <c r="AI177" s="0" t="s">
        <v>116</v>
      </c>
      <c r="AJ177" s="0" t="s">
        <v>117</v>
      </c>
      <c r="AK177" s="0" t="s">
        <v>50</v>
      </c>
      <c r="AL177" s="0" t="s">
        <v>63</v>
      </c>
      <c r="AM177" s="0" t="s">
        <v>63</v>
      </c>
      <c r="AN177" s="0" t="s">
        <v>2321</v>
      </c>
      <c r="AO177" s="0" t="s">
        <v>50</v>
      </c>
    </row>
    <row r="178" customFormat="false" ht="15" hidden="false" customHeight="false" outlineLevel="0" collapsed="false">
      <c r="A178" s="0" t="s">
        <v>569</v>
      </c>
      <c r="B178" s="2" t="s">
        <v>353</v>
      </c>
      <c r="C178" s="0" t="s">
        <v>42</v>
      </c>
      <c r="D178" s="0" t="n">
        <v>8034024774</v>
      </c>
      <c r="E178" s="0" t="s">
        <v>122</v>
      </c>
      <c r="F178" s="0" t="s">
        <v>2316</v>
      </c>
      <c r="G178" s="0" t="s">
        <v>570</v>
      </c>
      <c r="H178" s="0" t="s">
        <v>69</v>
      </c>
      <c r="I178" s="3" t="s">
        <v>87</v>
      </c>
      <c r="J178" s="0" t="s">
        <v>2347</v>
      </c>
      <c r="K178" s="0" t="s">
        <v>71</v>
      </c>
      <c r="L178" s="4" t="n">
        <v>98502</v>
      </c>
      <c r="M178" s="0" t="s">
        <v>2333</v>
      </c>
      <c r="N178" s="0" t="s">
        <v>63</v>
      </c>
      <c r="O178" s="5" t="n">
        <v>5</v>
      </c>
      <c r="P178" s="0" t="n">
        <v>4.2</v>
      </c>
      <c r="Q178" s="0" t="s">
        <v>111</v>
      </c>
      <c r="R178" s="0" t="s">
        <v>52</v>
      </c>
      <c r="S178" s="0" t="s">
        <v>2340</v>
      </c>
      <c r="T178" s="0" t="s">
        <v>54</v>
      </c>
      <c r="U178" s="5" t="n">
        <v>39.5454545454546</v>
      </c>
      <c r="V178" s="0" t="s">
        <v>112</v>
      </c>
      <c r="W178" s="0" t="s">
        <v>148</v>
      </c>
      <c r="X178" s="0" t="s">
        <v>128</v>
      </c>
      <c r="Y178" s="0" t="s">
        <v>58</v>
      </c>
      <c r="Z178" s="0" t="s">
        <v>2324</v>
      </c>
      <c r="AA178" s="0" t="s">
        <v>149</v>
      </c>
      <c r="AB178" s="5" t="n">
        <v>15000</v>
      </c>
      <c r="AC178" s="5" t="n">
        <v>30000</v>
      </c>
      <c r="AD178" s="0" t="s">
        <v>50</v>
      </c>
      <c r="AE178" s="5" t="n">
        <v>0</v>
      </c>
      <c r="AF178" s="0" t="s">
        <v>60</v>
      </c>
      <c r="AG178" s="7" t="s">
        <v>571</v>
      </c>
      <c r="AH178" s="0" t="s">
        <v>63</v>
      </c>
      <c r="AI178" s="0" t="s">
        <v>2331</v>
      </c>
      <c r="AJ178" s="0" t="s">
        <v>172</v>
      </c>
      <c r="AK178" s="0" t="s">
        <v>50</v>
      </c>
      <c r="AL178" s="0" t="s">
        <v>2344</v>
      </c>
      <c r="AM178" s="0" t="s">
        <v>63</v>
      </c>
      <c r="AN178" s="0" t="s">
        <v>64</v>
      </c>
      <c r="AO178" s="0" t="s">
        <v>2359</v>
      </c>
    </row>
    <row r="179" customFormat="false" ht="15" hidden="false" customHeight="false" outlineLevel="0" collapsed="false">
      <c r="A179" s="0" t="s">
        <v>572</v>
      </c>
      <c r="B179" s="2" t="s">
        <v>2381</v>
      </c>
      <c r="C179" s="0" t="s">
        <v>121</v>
      </c>
      <c r="D179" s="0" t="n">
        <v>8053194369</v>
      </c>
      <c r="E179" s="0" t="s">
        <v>43</v>
      </c>
      <c r="F179" s="0" t="s">
        <v>2315</v>
      </c>
      <c r="G179" s="0" t="s">
        <v>573</v>
      </c>
      <c r="H179" s="0" t="s">
        <v>134</v>
      </c>
      <c r="I179" s="3" t="s">
        <v>2317</v>
      </c>
      <c r="J179" s="0" t="s">
        <v>2341</v>
      </c>
      <c r="K179" s="0" t="s">
        <v>109</v>
      </c>
      <c r="L179" s="4" t="n">
        <v>108664</v>
      </c>
      <c r="M179" s="0" t="s">
        <v>49</v>
      </c>
      <c r="N179" s="0" t="s">
        <v>63</v>
      </c>
      <c r="O179" s="5" t="n">
        <v>5</v>
      </c>
      <c r="P179" s="0" t="n">
        <v>3.3</v>
      </c>
      <c r="Q179" s="0" t="s">
        <v>51</v>
      </c>
      <c r="R179" s="0" t="s">
        <v>52</v>
      </c>
      <c r="S179" s="0" t="s">
        <v>53</v>
      </c>
      <c r="T179" s="0" t="s">
        <v>75</v>
      </c>
      <c r="U179" s="5" t="n">
        <v>37.7586206896552</v>
      </c>
      <c r="V179" s="0" t="s">
        <v>96</v>
      </c>
      <c r="W179" s="0" t="s">
        <v>155</v>
      </c>
      <c r="X179" s="0" t="s">
        <v>98</v>
      </c>
      <c r="Y179" s="0" t="s">
        <v>58</v>
      </c>
      <c r="Z179" s="0" t="s">
        <v>2326</v>
      </c>
      <c r="AA179" s="0" t="s">
        <v>143</v>
      </c>
      <c r="AB179" s="5" t="n">
        <v>15000</v>
      </c>
      <c r="AC179" s="5" t="n">
        <v>30000</v>
      </c>
      <c r="AD179" s="0" t="s">
        <v>50</v>
      </c>
      <c r="AE179" s="5" t="n">
        <v>0</v>
      </c>
      <c r="AF179" s="0" t="s">
        <v>184</v>
      </c>
      <c r="AG179" s="7" t="s">
        <v>2330</v>
      </c>
      <c r="AH179" s="0" t="s">
        <v>63</v>
      </c>
      <c r="AI179" s="0" t="s">
        <v>116</v>
      </c>
      <c r="AJ179" s="0" t="s">
        <v>2320</v>
      </c>
      <c r="AK179" s="0" t="s">
        <v>50</v>
      </c>
      <c r="AL179" s="0" t="s">
        <v>50</v>
      </c>
      <c r="AM179" s="0" t="s">
        <v>63</v>
      </c>
      <c r="AN179" s="0" t="s">
        <v>2321</v>
      </c>
      <c r="AO179" s="0" t="s">
        <v>63</v>
      </c>
    </row>
    <row r="180" customFormat="false" ht="15" hidden="false" customHeight="false" outlineLevel="0" collapsed="false">
      <c r="A180" s="0" t="s">
        <v>574</v>
      </c>
      <c r="B180" s="2" t="s">
        <v>1116</v>
      </c>
      <c r="C180" s="0" t="s">
        <v>163</v>
      </c>
      <c r="D180" s="0" t="n">
        <v>8060181152</v>
      </c>
      <c r="E180" s="0" t="s">
        <v>122</v>
      </c>
      <c r="F180" s="0" t="s">
        <v>2316</v>
      </c>
      <c r="G180" s="0" t="s">
        <v>575</v>
      </c>
      <c r="H180" s="0" t="s">
        <v>107</v>
      </c>
      <c r="I180" s="3" t="s">
        <v>2322</v>
      </c>
      <c r="J180" s="0" t="s">
        <v>2339</v>
      </c>
      <c r="K180" s="0" t="s">
        <v>48</v>
      </c>
      <c r="L180" s="4" t="n">
        <v>22917</v>
      </c>
      <c r="M180" s="0" t="s">
        <v>49</v>
      </c>
      <c r="N180" s="0" t="s">
        <v>50</v>
      </c>
      <c r="O180" s="5" t="n">
        <v>3</v>
      </c>
      <c r="P180" s="0" t="n">
        <v>1.8</v>
      </c>
      <c r="Q180" s="0" t="s">
        <v>51</v>
      </c>
      <c r="R180" s="0" t="s">
        <v>93</v>
      </c>
      <c r="S180" s="0" t="s">
        <v>2340</v>
      </c>
      <c r="T180" s="0" t="s">
        <v>54</v>
      </c>
      <c r="U180" s="5" t="n">
        <v>45</v>
      </c>
      <c r="V180" s="0" t="s">
        <v>2352</v>
      </c>
      <c r="W180" s="0" t="s">
        <v>2328</v>
      </c>
      <c r="X180" s="0" t="s">
        <v>128</v>
      </c>
      <c r="Y180" s="0" t="s">
        <v>114</v>
      </c>
      <c r="Z180" s="0" t="s">
        <v>2324</v>
      </c>
      <c r="AA180" s="0" t="s">
        <v>143</v>
      </c>
      <c r="AB180" s="5" t="n">
        <v>25945.9459459459</v>
      </c>
      <c r="AC180" s="5" t="n">
        <v>31397.9289940828</v>
      </c>
      <c r="AD180" s="0" t="s">
        <v>50</v>
      </c>
      <c r="AE180" s="5" t="n">
        <v>0</v>
      </c>
      <c r="AF180" s="0" t="s">
        <v>130</v>
      </c>
      <c r="AG180" s="7" t="s">
        <v>1717</v>
      </c>
      <c r="AH180" s="0" t="s">
        <v>50</v>
      </c>
      <c r="AI180" s="0" t="s">
        <v>2331</v>
      </c>
      <c r="AJ180" s="0" t="s">
        <v>117</v>
      </c>
      <c r="AK180" s="0" t="s">
        <v>63</v>
      </c>
      <c r="AL180" s="0" t="s">
        <v>50</v>
      </c>
      <c r="AM180" s="0" t="s">
        <v>63</v>
      </c>
      <c r="AN180" s="0" t="s">
        <v>2318</v>
      </c>
      <c r="AO180" s="0" t="s">
        <v>63</v>
      </c>
    </row>
    <row r="181" customFormat="false" ht="15" hidden="false" customHeight="false" outlineLevel="0" collapsed="false">
      <c r="A181" s="0" t="s">
        <v>577</v>
      </c>
      <c r="B181" s="2" t="s">
        <v>576</v>
      </c>
      <c r="C181" s="0" t="s">
        <v>66</v>
      </c>
      <c r="D181" s="0" t="n">
        <v>8080528150</v>
      </c>
      <c r="E181" s="0" t="s">
        <v>85</v>
      </c>
      <c r="F181" s="0" t="s">
        <v>2319</v>
      </c>
      <c r="G181" s="0" t="s">
        <v>578</v>
      </c>
      <c r="H181" s="0" t="s">
        <v>87</v>
      </c>
      <c r="I181" s="3" t="s">
        <v>2342</v>
      </c>
      <c r="J181" s="0" t="s">
        <v>2339</v>
      </c>
      <c r="K181" s="0" t="s">
        <v>48</v>
      </c>
      <c r="L181" s="4" t="n">
        <v>27657</v>
      </c>
      <c r="M181" s="0" t="s">
        <v>110</v>
      </c>
      <c r="N181" s="0" t="s">
        <v>63</v>
      </c>
      <c r="O181" s="5" t="n">
        <v>1</v>
      </c>
      <c r="P181" s="0" t="n">
        <v>4.9</v>
      </c>
      <c r="Q181" s="0" t="s">
        <v>111</v>
      </c>
      <c r="R181" s="0" t="s">
        <v>73</v>
      </c>
      <c r="S181" s="0" t="s">
        <v>2340</v>
      </c>
      <c r="T181" s="0" t="s">
        <v>147</v>
      </c>
      <c r="U181" s="5" t="n">
        <v>45</v>
      </c>
      <c r="V181" s="0" t="s">
        <v>55</v>
      </c>
      <c r="W181" s="0" t="s">
        <v>148</v>
      </c>
      <c r="X181" s="0" t="s">
        <v>128</v>
      </c>
      <c r="Y181" s="0" t="s">
        <v>58</v>
      </c>
      <c r="Z181" s="0" t="s">
        <v>2324</v>
      </c>
      <c r="AA181" s="0" t="s">
        <v>79</v>
      </c>
      <c r="AB181" s="5" t="n">
        <v>15000</v>
      </c>
      <c r="AC181" s="5" t="n">
        <v>20000</v>
      </c>
      <c r="AD181" s="0" t="s">
        <v>63</v>
      </c>
      <c r="AE181" s="5" t="n">
        <v>5000</v>
      </c>
      <c r="AF181" s="0" t="s">
        <v>184</v>
      </c>
      <c r="AG181" s="7" t="s">
        <v>212</v>
      </c>
      <c r="AH181" s="0" t="s">
        <v>63</v>
      </c>
      <c r="AI181" s="0" t="s">
        <v>116</v>
      </c>
      <c r="AJ181" s="0" t="s">
        <v>2320</v>
      </c>
      <c r="AK181" s="0" t="s">
        <v>63</v>
      </c>
      <c r="AL181" s="0" t="s">
        <v>50</v>
      </c>
      <c r="AM181" s="0" t="s">
        <v>63</v>
      </c>
      <c r="AN181" s="0" t="s">
        <v>2318</v>
      </c>
      <c r="AO181" s="0" t="s">
        <v>50</v>
      </c>
    </row>
    <row r="182" customFormat="false" ht="15" hidden="false" customHeight="false" outlineLevel="0" collapsed="false">
      <c r="A182" s="0" t="s">
        <v>579</v>
      </c>
      <c r="B182" s="2" t="s">
        <v>2440</v>
      </c>
      <c r="C182" s="0" t="s">
        <v>66</v>
      </c>
      <c r="D182" s="0" t="n">
        <v>8074867032</v>
      </c>
      <c r="E182" s="0" t="s">
        <v>67</v>
      </c>
      <c r="F182" s="0" t="s">
        <v>2316</v>
      </c>
      <c r="G182" s="0" t="s">
        <v>580</v>
      </c>
      <c r="H182" s="0" t="s">
        <v>45</v>
      </c>
      <c r="I182" s="3" t="s">
        <v>2317</v>
      </c>
      <c r="J182" s="0" t="s">
        <v>2341</v>
      </c>
      <c r="K182" s="0" t="s">
        <v>48</v>
      </c>
      <c r="L182" s="4" t="n">
        <v>113970</v>
      </c>
      <c r="M182" s="0" t="s">
        <v>49</v>
      </c>
      <c r="N182" s="0" t="s">
        <v>50</v>
      </c>
      <c r="O182" s="5" t="n">
        <v>2</v>
      </c>
      <c r="P182" s="0" t="n">
        <v>3.7</v>
      </c>
      <c r="Q182" s="0" t="s">
        <v>111</v>
      </c>
      <c r="R182" s="0" t="s">
        <v>52</v>
      </c>
      <c r="S182" s="0" t="s">
        <v>2366</v>
      </c>
      <c r="T182" s="0" t="s">
        <v>2353</v>
      </c>
      <c r="U182" s="5" t="n">
        <v>37.7586206896552</v>
      </c>
      <c r="V182" s="0" t="s">
        <v>55</v>
      </c>
      <c r="W182" s="0" t="s">
        <v>155</v>
      </c>
      <c r="X182" s="0" t="s">
        <v>98</v>
      </c>
      <c r="Y182" s="0" t="s">
        <v>196</v>
      </c>
      <c r="Z182" s="0" t="s">
        <v>2324</v>
      </c>
      <c r="AA182" s="0" t="s">
        <v>143</v>
      </c>
      <c r="AB182" s="5" t="n">
        <v>27620.9677419355</v>
      </c>
      <c r="AC182" s="5" t="n">
        <v>40000</v>
      </c>
      <c r="AD182" s="0" t="s">
        <v>50</v>
      </c>
      <c r="AE182" s="5" t="n">
        <v>10000</v>
      </c>
      <c r="AF182" s="0" t="s">
        <v>130</v>
      </c>
      <c r="AG182" s="7" t="s">
        <v>337</v>
      </c>
      <c r="AH182" s="0" t="s">
        <v>50</v>
      </c>
      <c r="AI182" s="0" t="s">
        <v>116</v>
      </c>
      <c r="AJ182" s="0" t="s">
        <v>2320</v>
      </c>
      <c r="AK182" s="0" t="s">
        <v>63</v>
      </c>
      <c r="AL182" s="0" t="s">
        <v>50</v>
      </c>
      <c r="AM182" s="0" t="s">
        <v>2344</v>
      </c>
      <c r="AN182" s="0" t="s">
        <v>2318</v>
      </c>
      <c r="AO182" s="0" t="s">
        <v>50</v>
      </c>
    </row>
    <row r="183" customFormat="false" ht="15" hidden="false" customHeight="false" outlineLevel="0" collapsed="false">
      <c r="A183" s="0" t="s">
        <v>581</v>
      </c>
      <c r="B183" s="2" t="s">
        <v>310</v>
      </c>
      <c r="C183" s="0" t="s">
        <v>66</v>
      </c>
      <c r="D183" s="0" t="n">
        <v>8076409861</v>
      </c>
      <c r="E183" s="0" t="s">
        <v>139</v>
      </c>
      <c r="F183" s="0" t="s">
        <v>2323</v>
      </c>
      <c r="G183" s="0" t="s">
        <v>582</v>
      </c>
      <c r="H183" s="0" t="s">
        <v>69</v>
      </c>
      <c r="I183" s="3" t="s">
        <v>87</v>
      </c>
      <c r="J183" s="0" t="s">
        <v>2339</v>
      </c>
      <c r="K183" s="0" t="s">
        <v>71</v>
      </c>
      <c r="L183" s="4" t="n">
        <v>57750</v>
      </c>
      <c r="M183" s="0" t="s">
        <v>110</v>
      </c>
      <c r="N183" s="0" t="s">
        <v>50</v>
      </c>
      <c r="O183" s="5" t="n">
        <v>3</v>
      </c>
      <c r="P183" s="0" t="n">
        <v>3.7</v>
      </c>
      <c r="Q183" s="0" t="s">
        <v>92</v>
      </c>
      <c r="R183" s="0" t="s">
        <v>73</v>
      </c>
      <c r="S183" s="0" t="s">
        <v>2340</v>
      </c>
      <c r="T183" s="0" t="s">
        <v>2353</v>
      </c>
      <c r="U183" s="5" t="n">
        <v>45</v>
      </c>
      <c r="V183" s="0" t="s">
        <v>2336</v>
      </c>
      <c r="W183" s="0" t="s">
        <v>155</v>
      </c>
      <c r="X183" s="0" t="s">
        <v>98</v>
      </c>
      <c r="Y183" s="0" t="s">
        <v>99</v>
      </c>
      <c r="Z183" s="0" t="s">
        <v>2326</v>
      </c>
      <c r="AA183" s="0" t="s">
        <v>149</v>
      </c>
      <c r="AB183" s="5" t="n">
        <v>26045.4545454545</v>
      </c>
      <c r="AC183" s="5" t="n">
        <v>40000</v>
      </c>
      <c r="AD183" s="0" t="s">
        <v>50</v>
      </c>
      <c r="AE183" s="5" t="n">
        <v>10000</v>
      </c>
      <c r="AF183" s="0" t="s">
        <v>130</v>
      </c>
      <c r="AG183" s="7" t="s">
        <v>703</v>
      </c>
      <c r="AH183" s="0" t="s">
        <v>50</v>
      </c>
      <c r="AI183" s="0" t="s">
        <v>171</v>
      </c>
      <c r="AJ183" s="0" t="s">
        <v>2320</v>
      </c>
      <c r="AK183" s="0" t="s">
        <v>63</v>
      </c>
      <c r="AL183" s="0" t="s">
        <v>2344</v>
      </c>
      <c r="AM183" s="0" t="s">
        <v>50</v>
      </c>
      <c r="AN183" s="0" t="s">
        <v>64</v>
      </c>
      <c r="AO183" s="0" t="s">
        <v>63</v>
      </c>
    </row>
    <row r="184" customFormat="false" ht="15" hidden="false" customHeight="false" outlineLevel="0" collapsed="false">
      <c r="A184" s="0" t="s">
        <v>583</v>
      </c>
      <c r="B184" s="2" t="s">
        <v>387</v>
      </c>
      <c r="C184" s="0" t="s">
        <v>163</v>
      </c>
      <c r="D184" s="0" t="n">
        <v>8073586743</v>
      </c>
      <c r="E184" s="0" t="s">
        <v>122</v>
      </c>
      <c r="F184" s="0" t="s">
        <v>2316</v>
      </c>
      <c r="G184" s="0" t="s">
        <v>543</v>
      </c>
      <c r="H184" s="0" t="s">
        <v>107</v>
      </c>
      <c r="I184" s="3" t="s">
        <v>2322</v>
      </c>
      <c r="J184" s="0" t="s">
        <v>47</v>
      </c>
      <c r="K184" s="0" t="s">
        <v>71</v>
      </c>
      <c r="L184" s="4" t="n">
        <v>62052</v>
      </c>
      <c r="M184" s="0" t="s">
        <v>2333</v>
      </c>
      <c r="N184" s="0" t="s">
        <v>63</v>
      </c>
      <c r="O184" s="5" t="n">
        <v>2</v>
      </c>
      <c r="P184" s="0" t="n">
        <v>2.2</v>
      </c>
      <c r="Q184" s="0" t="s">
        <v>111</v>
      </c>
      <c r="R184" s="0" t="s">
        <v>52</v>
      </c>
      <c r="S184" s="0" t="s">
        <v>53</v>
      </c>
      <c r="T184" s="0" t="s">
        <v>147</v>
      </c>
      <c r="U184" s="5" t="n">
        <v>30</v>
      </c>
      <c r="V184" s="0" t="s">
        <v>2336</v>
      </c>
      <c r="W184" s="0" t="s">
        <v>148</v>
      </c>
      <c r="X184" s="0" t="s">
        <v>98</v>
      </c>
      <c r="Y184" s="0" t="s">
        <v>58</v>
      </c>
      <c r="Z184" s="0" t="s">
        <v>2329</v>
      </c>
      <c r="AA184" s="0" t="s">
        <v>79</v>
      </c>
      <c r="AB184" s="5" t="n">
        <v>30000</v>
      </c>
      <c r="AC184" s="5" t="n">
        <v>30000</v>
      </c>
      <c r="AD184" s="0" t="s">
        <v>63</v>
      </c>
      <c r="AE184" s="5" t="n">
        <v>5000</v>
      </c>
      <c r="AF184" s="0" t="s">
        <v>60</v>
      </c>
      <c r="AG184" s="7" t="s">
        <v>431</v>
      </c>
      <c r="AH184" s="0" t="s">
        <v>2329</v>
      </c>
      <c r="AI184" s="0" t="s">
        <v>116</v>
      </c>
      <c r="AJ184" s="0" t="s">
        <v>2331</v>
      </c>
      <c r="AK184" s="0" t="s">
        <v>50</v>
      </c>
      <c r="AL184" s="0" t="s">
        <v>50</v>
      </c>
      <c r="AM184" s="0" t="s">
        <v>2344</v>
      </c>
      <c r="AN184" s="0" t="s">
        <v>2321</v>
      </c>
      <c r="AO184" s="0" t="s">
        <v>63</v>
      </c>
    </row>
    <row r="185" customFormat="false" ht="15" hidden="false" customHeight="false" outlineLevel="0" collapsed="false">
      <c r="A185" s="0" t="s">
        <v>584</v>
      </c>
      <c r="B185" s="2" t="s">
        <v>2441</v>
      </c>
      <c r="C185" s="0" t="s">
        <v>42</v>
      </c>
      <c r="D185" s="0" t="n">
        <v>8046015375</v>
      </c>
      <c r="E185" s="0" t="s">
        <v>139</v>
      </c>
      <c r="F185" s="0" t="s">
        <v>2323</v>
      </c>
      <c r="G185" s="0" t="s">
        <v>585</v>
      </c>
      <c r="H185" s="0" t="s">
        <v>87</v>
      </c>
      <c r="I185" s="3" t="s">
        <v>87</v>
      </c>
      <c r="J185" s="0" t="s">
        <v>2339</v>
      </c>
      <c r="K185" s="0" t="s">
        <v>109</v>
      </c>
      <c r="L185" s="4" t="n">
        <v>105578</v>
      </c>
      <c r="M185" s="0" t="s">
        <v>49</v>
      </c>
      <c r="N185" s="0" t="s">
        <v>50</v>
      </c>
      <c r="O185" s="5" t="n">
        <v>2</v>
      </c>
      <c r="P185" s="0" t="n">
        <v>2.7</v>
      </c>
      <c r="Q185" s="0" t="s">
        <v>125</v>
      </c>
      <c r="R185" s="0" t="s">
        <v>52</v>
      </c>
      <c r="S185" s="0" t="s">
        <v>2366</v>
      </c>
      <c r="T185" s="0" t="s">
        <v>75</v>
      </c>
      <c r="U185" s="5" t="n">
        <v>45</v>
      </c>
      <c r="V185" s="0" t="s">
        <v>2336</v>
      </c>
      <c r="W185" s="0" t="s">
        <v>155</v>
      </c>
      <c r="X185" s="0" t="s">
        <v>98</v>
      </c>
      <c r="Y185" s="0" t="s">
        <v>58</v>
      </c>
      <c r="Z185" s="0" t="s">
        <v>59</v>
      </c>
      <c r="AA185" s="0" t="s">
        <v>2329</v>
      </c>
      <c r="AB185" s="5" t="n">
        <v>20000</v>
      </c>
      <c r="AC185" s="5" t="n">
        <v>20000</v>
      </c>
      <c r="AD185" s="0" t="s">
        <v>50</v>
      </c>
      <c r="AE185" s="5" t="n">
        <v>0</v>
      </c>
      <c r="AF185" s="0" t="s">
        <v>2338</v>
      </c>
      <c r="AG185" s="7" t="s">
        <v>2330</v>
      </c>
      <c r="AH185" s="0" t="s">
        <v>63</v>
      </c>
      <c r="AI185" s="0" t="s">
        <v>171</v>
      </c>
      <c r="AJ185" s="0" t="s">
        <v>2320</v>
      </c>
      <c r="AK185" s="0" t="s">
        <v>50</v>
      </c>
      <c r="AL185" s="0" t="s">
        <v>50</v>
      </c>
      <c r="AM185" s="0" t="s">
        <v>63</v>
      </c>
      <c r="AN185" s="0" t="s">
        <v>2321</v>
      </c>
      <c r="AO185" s="0" t="s">
        <v>50</v>
      </c>
    </row>
    <row r="186" customFormat="false" ht="15" hidden="false" customHeight="false" outlineLevel="0" collapsed="false">
      <c r="A186" s="0" t="s">
        <v>586</v>
      </c>
      <c r="B186" s="2" t="s">
        <v>371</v>
      </c>
      <c r="C186" s="0" t="s">
        <v>163</v>
      </c>
      <c r="D186" s="0" t="n">
        <v>8088005556</v>
      </c>
      <c r="E186" s="0" t="s">
        <v>85</v>
      </c>
      <c r="F186" s="0" t="s">
        <v>2319</v>
      </c>
      <c r="G186" s="0" t="s">
        <v>587</v>
      </c>
      <c r="H186" s="0" t="s">
        <v>45</v>
      </c>
      <c r="I186" s="3" t="s">
        <v>2325</v>
      </c>
      <c r="J186" s="0" t="s">
        <v>2341</v>
      </c>
      <c r="K186" s="0" t="s">
        <v>48</v>
      </c>
      <c r="L186" s="4" t="n">
        <v>113623</v>
      </c>
      <c r="M186" s="0" t="s">
        <v>49</v>
      </c>
      <c r="N186" s="0" t="s">
        <v>50</v>
      </c>
      <c r="O186" s="5" t="n">
        <v>4</v>
      </c>
      <c r="P186" s="0" t="n">
        <v>2.6</v>
      </c>
      <c r="Q186" s="0" t="s">
        <v>2334</v>
      </c>
      <c r="R186" s="0" t="s">
        <v>73</v>
      </c>
      <c r="S186" s="0" t="s">
        <v>2340</v>
      </c>
      <c r="T186" s="0" t="s">
        <v>2353</v>
      </c>
      <c r="U186" s="5" t="n">
        <v>45</v>
      </c>
      <c r="V186" s="0" t="s">
        <v>2336</v>
      </c>
      <c r="W186" s="0" t="s">
        <v>155</v>
      </c>
      <c r="X186" s="0" t="s">
        <v>128</v>
      </c>
      <c r="Y186" s="0" t="s">
        <v>196</v>
      </c>
      <c r="Z186" s="0" t="s">
        <v>2324</v>
      </c>
      <c r="AA186" s="0" t="s">
        <v>149</v>
      </c>
      <c r="AB186" s="5" t="n">
        <v>27620.9677419355</v>
      </c>
      <c r="AC186" s="5" t="n">
        <v>31408.3457526081</v>
      </c>
      <c r="AD186" s="0" t="s">
        <v>63</v>
      </c>
      <c r="AE186" s="5" t="n">
        <v>0</v>
      </c>
      <c r="AF186" s="0" t="s">
        <v>184</v>
      </c>
      <c r="AG186" s="7" t="s">
        <v>588</v>
      </c>
      <c r="AH186" s="0" t="s">
        <v>50</v>
      </c>
      <c r="AI186" s="0" t="s">
        <v>2331</v>
      </c>
      <c r="AJ186" s="0" t="s">
        <v>117</v>
      </c>
      <c r="AK186" s="0" t="s">
        <v>63</v>
      </c>
      <c r="AL186" s="0" t="s">
        <v>50</v>
      </c>
      <c r="AM186" s="0" t="s">
        <v>2344</v>
      </c>
      <c r="AN186" s="0" t="s">
        <v>2321</v>
      </c>
      <c r="AO186" s="0" t="s">
        <v>50</v>
      </c>
    </row>
    <row r="187" customFormat="false" ht="15" hidden="false" customHeight="false" outlineLevel="0" collapsed="false">
      <c r="A187" s="0" t="s">
        <v>590</v>
      </c>
      <c r="B187" s="2" t="s">
        <v>589</v>
      </c>
      <c r="C187" s="0" t="s">
        <v>42</v>
      </c>
      <c r="D187" s="0" t="n">
        <v>8063814070</v>
      </c>
      <c r="E187" s="0" t="s">
        <v>85</v>
      </c>
      <c r="F187" s="0" t="s">
        <v>2319</v>
      </c>
      <c r="G187" s="0" t="s">
        <v>591</v>
      </c>
      <c r="H187" s="0" t="s">
        <v>134</v>
      </c>
      <c r="I187" s="3" t="s">
        <v>2317</v>
      </c>
      <c r="J187" s="0" t="s">
        <v>47</v>
      </c>
      <c r="K187" s="0" t="s">
        <v>109</v>
      </c>
      <c r="L187" s="4" t="n">
        <v>105172</v>
      </c>
      <c r="M187" s="0" t="s">
        <v>110</v>
      </c>
      <c r="N187" s="0" t="s">
        <v>63</v>
      </c>
      <c r="O187" s="5" t="n">
        <v>2</v>
      </c>
      <c r="P187" s="0" t="n">
        <v>4.4</v>
      </c>
      <c r="Q187" s="0" t="s">
        <v>2334</v>
      </c>
      <c r="R187" s="0" t="s">
        <v>73</v>
      </c>
      <c r="S187" s="0" t="s">
        <v>53</v>
      </c>
      <c r="T187" s="0" t="s">
        <v>95</v>
      </c>
      <c r="U187" s="5" t="n">
        <v>60</v>
      </c>
      <c r="V187" s="0" t="s">
        <v>2336</v>
      </c>
      <c r="W187" s="0" t="s">
        <v>2328</v>
      </c>
      <c r="X187" s="0" t="s">
        <v>98</v>
      </c>
      <c r="Y187" s="0" t="s">
        <v>58</v>
      </c>
      <c r="Z187" s="0" t="s">
        <v>2326</v>
      </c>
      <c r="AA187" s="0" t="s">
        <v>161</v>
      </c>
      <c r="AB187" s="5" t="n">
        <v>15000</v>
      </c>
      <c r="AC187" s="5" t="n">
        <v>35000</v>
      </c>
      <c r="AD187" s="0" t="s">
        <v>50</v>
      </c>
      <c r="AE187" s="5" t="n">
        <v>0</v>
      </c>
      <c r="AF187" s="0" t="s">
        <v>60</v>
      </c>
      <c r="AG187" s="7" t="s">
        <v>2330</v>
      </c>
      <c r="AH187" s="0" t="s">
        <v>50</v>
      </c>
      <c r="AI187" s="0" t="s">
        <v>171</v>
      </c>
      <c r="AJ187" s="0" t="s">
        <v>2331</v>
      </c>
      <c r="AK187" s="0" t="s">
        <v>50</v>
      </c>
      <c r="AL187" s="0" t="s">
        <v>50</v>
      </c>
      <c r="AM187" s="0" t="s">
        <v>63</v>
      </c>
      <c r="AN187" s="0" t="s">
        <v>2318</v>
      </c>
      <c r="AO187" s="0" t="s">
        <v>63</v>
      </c>
    </row>
    <row r="188" customFormat="false" ht="15" hidden="false" customHeight="false" outlineLevel="0" collapsed="false">
      <c r="A188" s="0" t="s">
        <v>593</v>
      </c>
      <c r="B188" s="2" t="s">
        <v>592</v>
      </c>
      <c r="C188" s="0" t="s">
        <v>42</v>
      </c>
      <c r="D188" s="0" t="n">
        <v>8095645083</v>
      </c>
      <c r="E188" s="0" t="s">
        <v>85</v>
      </c>
      <c r="F188" s="0" t="s">
        <v>2319</v>
      </c>
      <c r="G188" s="0" t="s">
        <v>594</v>
      </c>
      <c r="H188" s="0" t="s">
        <v>45</v>
      </c>
      <c r="I188" s="3" t="s">
        <v>2322</v>
      </c>
      <c r="J188" s="0" t="s">
        <v>2347</v>
      </c>
      <c r="K188" s="0" t="s">
        <v>71</v>
      </c>
      <c r="L188" s="4" t="n">
        <v>17115</v>
      </c>
      <c r="M188" s="0" t="s">
        <v>49</v>
      </c>
      <c r="N188" s="0" t="s">
        <v>63</v>
      </c>
      <c r="O188" s="5" t="n">
        <v>2.99851632047478</v>
      </c>
      <c r="P188" s="0" t="n">
        <v>3.8</v>
      </c>
      <c r="Q188" s="0" t="s">
        <v>92</v>
      </c>
      <c r="R188" s="0" t="s">
        <v>52</v>
      </c>
      <c r="S188" s="0" t="s">
        <v>2340</v>
      </c>
      <c r="T188" s="0" t="s">
        <v>147</v>
      </c>
      <c r="U188" s="5" t="n">
        <v>60</v>
      </c>
      <c r="V188" s="0" t="s">
        <v>112</v>
      </c>
      <c r="W188" s="0" t="s">
        <v>155</v>
      </c>
      <c r="X188" s="0" t="s">
        <v>128</v>
      </c>
      <c r="Y188" s="0" t="s">
        <v>99</v>
      </c>
      <c r="Z188" s="0" t="s">
        <v>2329</v>
      </c>
      <c r="AA188" s="0" t="s">
        <v>161</v>
      </c>
      <c r="AB188" s="5" t="n">
        <v>15000</v>
      </c>
      <c r="AC188" s="5" t="n">
        <v>35000</v>
      </c>
      <c r="AD188" s="0" t="s">
        <v>50</v>
      </c>
      <c r="AE188" s="5" t="n">
        <v>10000</v>
      </c>
      <c r="AF188" s="0" t="s">
        <v>60</v>
      </c>
      <c r="AG188" s="7" t="s">
        <v>2442</v>
      </c>
      <c r="AH188" s="0" t="s">
        <v>50</v>
      </c>
      <c r="AI188" s="0" t="s">
        <v>2331</v>
      </c>
      <c r="AJ188" s="0" t="s">
        <v>172</v>
      </c>
      <c r="AK188" s="0" t="s">
        <v>63</v>
      </c>
      <c r="AL188" s="0" t="s">
        <v>2344</v>
      </c>
      <c r="AM188" s="0" t="s">
        <v>63</v>
      </c>
      <c r="AN188" s="0" t="s">
        <v>64</v>
      </c>
      <c r="AO188" s="0" t="s">
        <v>63</v>
      </c>
    </row>
    <row r="189" customFormat="false" ht="15" hidden="false" customHeight="false" outlineLevel="0" collapsed="false">
      <c r="A189" s="0" t="s">
        <v>595</v>
      </c>
      <c r="B189" s="2" t="s">
        <v>2370</v>
      </c>
      <c r="C189" s="0" t="s">
        <v>121</v>
      </c>
      <c r="D189" s="0" t="n">
        <v>8088380820</v>
      </c>
      <c r="E189" s="0" t="s">
        <v>139</v>
      </c>
      <c r="F189" s="0" t="s">
        <v>2323</v>
      </c>
      <c r="G189" s="0" t="s">
        <v>596</v>
      </c>
      <c r="H189" s="0" t="s">
        <v>69</v>
      </c>
      <c r="I189" s="3" t="s">
        <v>2325</v>
      </c>
      <c r="J189" s="0" t="s">
        <v>189</v>
      </c>
      <c r="K189" s="0" t="s">
        <v>48</v>
      </c>
      <c r="L189" s="4" t="n">
        <v>81824</v>
      </c>
      <c r="M189" s="0" t="s">
        <v>110</v>
      </c>
      <c r="N189" s="0" t="s">
        <v>50</v>
      </c>
      <c r="O189" s="5" t="n">
        <v>2.99851632047478</v>
      </c>
      <c r="P189" s="0" t="n">
        <v>1.9</v>
      </c>
      <c r="Q189" s="0" t="s">
        <v>111</v>
      </c>
      <c r="R189" s="0" t="s">
        <v>73</v>
      </c>
      <c r="S189" s="0" t="s">
        <v>2366</v>
      </c>
      <c r="T189" s="0" t="s">
        <v>2353</v>
      </c>
      <c r="U189" s="5" t="n">
        <v>45</v>
      </c>
      <c r="V189" s="0" t="s">
        <v>55</v>
      </c>
      <c r="W189" s="0" t="s">
        <v>2337</v>
      </c>
      <c r="X189" s="0" t="s">
        <v>128</v>
      </c>
      <c r="Y189" s="0" t="s">
        <v>58</v>
      </c>
      <c r="Z189" s="0" t="s">
        <v>2329</v>
      </c>
      <c r="AA189" s="0" t="s">
        <v>143</v>
      </c>
      <c r="AB189" s="5" t="n">
        <v>40000</v>
      </c>
      <c r="AC189" s="5" t="n">
        <v>30000</v>
      </c>
      <c r="AD189" s="0" t="s">
        <v>50</v>
      </c>
      <c r="AE189" s="5" t="n">
        <v>0</v>
      </c>
      <c r="AF189" s="0" t="s">
        <v>60</v>
      </c>
      <c r="AG189" s="7" t="s">
        <v>2443</v>
      </c>
      <c r="AH189" s="0" t="s">
        <v>2329</v>
      </c>
      <c r="AI189" s="0" t="s">
        <v>2331</v>
      </c>
      <c r="AJ189" s="0" t="s">
        <v>2331</v>
      </c>
      <c r="AK189" s="0" t="s">
        <v>50</v>
      </c>
      <c r="AL189" s="0" t="s">
        <v>63</v>
      </c>
      <c r="AM189" s="0" t="s">
        <v>50</v>
      </c>
      <c r="AN189" s="0" t="s">
        <v>2318</v>
      </c>
      <c r="AO189" s="0" t="s">
        <v>50</v>
      </c>
    </row>
    <row r="190" customFormat="false" ht="15" hidden="false" customHeight="false" outlineLevel="0" collapsed="false">
      <c r="A190" s="0" t="s">
        <v>597</v>
      </c>
      <c r="B190" s="2" t="s">
        <v>2399</v>
      </c>
      <c r="C190" s="0" t="s">
        <v>105</v>
      </c>
      <c r="D190" s="0" t="n">
        <v>8097206259</v>
      </c>
      <c r="E190" s="0" t="s">
        <v>122</v>
      </c>
      <c r="F190" s="0" t="s">
        <v>2316</v>
      </c>
      <c r="G190" s="0" t="s">
        <v>598</v>
      </c>
      <c r="H190" s="0" t="s">
        <v>45</v>
      </c>
      <c r="I190" s="3" t="s">
        <v>2322</v>
      </c>
      <c r="J190" s="0" t="s">
        <v>2347</v>
      </c>
      <c r="K190" s="0" t="s">
        <v>90</v>
      </c>
      <c r="L190" s="4" t="n">
        <v>34699</v>
      </c>
      <c r="M190" s="0" t="s">
        <v>2333</v>
      </c>
      <c r="N190" s="0" t="s">
        <v>50</v>
      </c>
      <c r="O190" s="5" t="n">
        <v>2</v>
      </c>
      <c r="P190" s="0" t="n">
        <v>3.9</v>
      </c>
      <c r="Q190" s="0" t="s">
        <v>51</v>
      </c>
      <c r="R190" s="0" t="s">
        <v>73</v>
      </c>
      <c r="S190" s="0" t="s">
        <v>2335</v>
      </c>
      <c r="T190" s="0" t="s">
        <v>54</v>
      </c>
      <c r="U190" s="5" t="n">
        <v>45</v>
      </c>
      <c r="V190" s="0" t="s">
        <v>112</v>
      </c>
      <c r="W190" s="0" t="s">
        <v>148</v>
      </c>
      <c r="X190" s="0" t="s">
        <v>128</v>
      </c>
      <c r="Y190" s="0" t="s">
        <v>196</v>
      </c>
      <c r="Z190" s="0" t="s">
        <v>2324</v>
      </c>
      <c r="AA190" s="0" t="s">
        <v>143</v>
      </c>
      <c r="AB190" s="5" t="n">
        <v>20000</v>
      </c>
      <c r="AC190" s="5" t="n">
        <v>20000</v>
      </c>
      <c r="AD190" s="0" t="s">
        <v>50</v>
      </c>
      <c r="AE190" s="5" t="n">
        <v>0</v>
      </c>
      <c r="AF190" s="0" t="s">
        <v>2338</v>
      </c>
      <c r="AG190" s="7" t="s">
        <v>2382</v>
      </c>
      <c r="AH190" s="0" t="s">
        <v>2329</v>
      </c>
      <c r="AI190" s="0" t="s">
        <v>116</v>
      </c>
      <c r="AJ190" s="0" t="s">
        <v>2331</v>
      </c>
      <c r="AK190" s="0" t="s">
        <v>2344</v>
      </c>
      <c r="AL190" s="0" t="s">
        <v>2344</v>
      </c>
      <c r="AM190" s="0" t="s">
        <v>63</v>
      </c>
      <c r="AN190" s="0" t="s">
        <v>2321</v>
      </c>
      <c r="AO190" s="0" t="s">
        <v>50</v>
      </c>
    </row>
    <row r="191" customFormat="false" ht="15" hidden="false" customHeight="false" outlineLevel="0" collapsed="false">
      <c r="A191" s="0" t="s">
        <v>599</v>
      </c>
      <c r="B191" s="2" t="s">
        <v>1305</v>
      </c>
      <c r="C191" s="0" t="s">
        <v>105</v>
      </c>
      <c r="D191" s="0" t="n">
        <v>8014912971</v>
      </c>
      <c r="E191" s="0" t="s">
        <v>85</v>
      </c>
      <c r="F191" s="0" t="s">
        <v>2319</v>
      </c>
      <c r="G191" s="0" t="s">
        <v>600</v>
      </c>
      <c r="H191" s="0" t="s">
        <v>45</v>
      </c>
      <c r="I191" s="3" t="s">
        <v>2317</v>
      </c>
      <c r="J191" s="0" t="s">
        <v>47</v>
      </c>
      <c r="K191" s="0" t="s">
        <v>109</v>
      </c>
      <c r="L191" s="4" t="n">
        <v>32710</v>
      </c>
      <c r="M191" s="0" t="s">
        <v>110</v>
      </c>
      <c r="N191" s="0" t="s">
        <v>63</v>
      </c>
      <c r="O191" s="5" t="n">
        <v>1</v>
      </c>
      <c r="P191" s="0" t="n">
        <v>2.5</v>
      </c>
      <c r="Q191" s="0" t="s">
        <v>92</v>
      </c>
      <c r="R191" s="0" t="s">
        <v>93</v>
      </c>
      <c r="S191" s="0" t="s">
        <v>53</v>
      </c>
      <c r="T191" s="0" t="s">
        <v>75</v>
      </c>
      <c r="U191" s="5" t="n">
        <v>45</v>
      </c>
      <c r="V191" s="0" t="s">
        <v>96</v>
      </c>
      <c r="W191" s="0" t="s">
        <v>148</v>
      </c>
      <c r="X191" s="0" t="s">
        <v>128</v>
      </c>
      <c r="Y191" s="0" t="s">
        <v>196</v>
      </c>
      <c r="Z191" s="0" t="s">
        <v>2326</v>
      </c>
      <c r="AA191" s="0" t="s">
        <v>143</v>
      </c>
      <c r="AB191" s="5" t="n">
        <v>30000</v>
      </c>
      <c r="AC191" s="5" t="n">
        <v>30000</v>
      </c>
      <c r="AD191" s="0" t="s">
        <v>50</v>
      </c>
      <c r="AE191" s="5" t="n">
        <v>5000</v>
      </c>
      <c r="AF191" s="0" t="s">
        <v>60</v>
      </c>
      <c r="AG191" s="7" t="s">
        <v>2360</v>
      </c>
      <c r="AH191" s="0" t="s">
        <v>2329</v>
      </c>
      <c r="AI191" s="0" t="s">
        <v>2331</v>
      </c>
      <c r="AJ191" s="0" t="s">
        <v>2320</v>
      </c>
      <c r="AK191" s="0" t="s">
        <v>63</v>
      </c>
      <c r="AL191" s="0" t="s">
        <v>63</v>
      </c>
      <c r="AM191" s="0" t="s">
        <v>2344</v>
      </c>
      <c r="AN191" s="0" t="s">
        <v>2321</v>
      </c>
      <c r="AO191" s="0" t="s">
        <v>2359</v>
      </c>
    </row>
    <row r="192" customFormat="false" ht="15" hidden="false" customHeight="false" outlineLevel="0" collapsed="false">
      <c r="A192" s="0" t="s">
        <v>601</v>
      </c>
      <c r="B192" s="2" t="s">
        <v>2434</v>
      </c>
      <c r="C192" s="0" t="s">
        <v>121</v>
      </c>
      <c r="D192" s="0" t="n">
        <v>8037809859</v>
      </c>
      <c r="E192" s="0" t="s">
        <v>85</v>
      </c>
      <c r="F192" s="0" t="s">
        <v>2319</v>
      </c>
      <c r="G192" s="0" t="s">
        <v>602</v>
      </c>
      <c r="H192" s="0" t="s">
        <v>45</v>
      </c>
      <c r="I192" s="3" t="s">
        <v>2322</v>
      </c>
      <c r="J192" s="0" t="s">
        <v>189</v>
      </c>
      <c r="K192" s="0" t="s">
        <v>48</v>
      </c>
      <c r="L192" s="4" t="n">
        <v>14935</v>
      </c>
      <c r="M192" s="0" t="s">
        <v>110</v>
      </c>
      <c r="N192" s="0" t="s">
        <v>63</v>
      </c>
      <c r="O192" s="5" t="n">
        <v>2</v>
      </c>
      <c r="P192" s="0" t="n">
        <v>4.4</v>
      </c>
      <c r="Q192" s="0" t="s">
        <v>51</v>
      </c>
      <c r="R192" s="0" t="s">
        <v>52</v>
      </c>
      <c r="S192" s="0" t="s">
        <v>2335</v>
      </c>
      <c r="T192" s="0" t="s">
        <v>2353</v>
      </c>
      <c r="U192" s="5" t="n">
        <v>30</v>
      </c>
      <c r="V192" s="0" t="s">
        <v>2336</v>
      </c>
      <c r="W192" s="0" t="s">
        <v>148</v>
      </c>
      <c r="X192" s="0" t="s">
        <v>78</v>
      </c>
      <c r="Y192" s="0" t="s">
        <v>99</v>
      </c>
      <c r="Z192" s="0" t="s">
        <v>2324</v>
      </c>
      <c r="AA192" s="0" t="s">
        <v>161</v>
      </c>
      <c r="AB192" s="5" t="n">
        <v>30000</v>
      </c>
      <c r="AC192" s="5" t="n">
        <v>35000</v>
      </c>
      <c r="AD192" s="0" t="s">
        <v>50</v>
      </c>
      <c r="AE192" s="5" t="n">
        <v>0</v>
      </c>
      <c r="AF192" s="0" t="s">
        <v>2338</v>
      </c>
      <c r="AG192" s="7" t="s">
        <v>1605</v>
      </c>
      <c r="AH192" s="0" t="s">
        <v>63</v>
      </c>
      <c r="AI192" s="0" t="s">
        <v>171</v>
      </c>
      <c r="AJ192" s="0" t="s">
        <v>172</v>
      </c>
      <c r="AK192" s="0" t="s">
        <v>50</v>
      </c>
      <c r="AL192" s="0" t="s">
        <v>63</v>
      </c>
      <c r="AM192" s="0" t="s">
        <v>2344</v>
      </c>
      <c r="AN192" s="0" t="s">
        <v>2321</v>
      </c>
      <c r="AO192" s="0" t="s">
        <v>63</v>
      </c>
    </row>
    <row r="193" customFormat="false" ht="15" hidden="false" customHeight="false" outlineLevel="0" collapsed="false">
      <c r="A193" s="0" t="s">
        <v>603</v>
      </c>
      <c r="B193" s="2" t="s">
        <v>2444</v>
      </c>
      <c r="C193" s="0" t="s">
        <v>42</v>
      </c>
      <c r="D193" s="0" t="n">
        <v>8039464318</v>
      </c>
      <c r="E193" s="0" t="s">
        <v>85</v>
      </c>
      <c r="F193" s="0" t="s">
        <v>2319</v>
      </c>
      <c r="G193" s="0" t="s">
        <v>604</v>
      </c>
      <c r="H193" s="0" t="s">
        <v>69</v>
      </c>
      <c r="I193" s="3" t="s">
        <v>2325</v>
      </c>
      <c r="J193" s="0" t="s">
        <v>2347</v>
      </c>
      <c r="K193" s="0" t="s">
        <v>48</v>
      </c>
      <c r="L193" s="4" t="n">
        <v>15828</v>
      </c>
      <c r="M193" s="0" t="s">
        <v>110</v>
      </c>
      <c r="N193" s="0" t="s">
        <v>63</v>
      </c>
      <c r="O193" s="5" t="n">
        <v>2</v>
      </c>
      <c r="P193" s="0" t="n">
        <v>2.7</v>
      </c>
      <c r="Q193" s="0" t="s">
        <v>111</v>
      </c>
      <c r="R193" s="0" t="s">
        <v>52</v>
      </c>
      <c r="S193" s="0" t="s">
        <v>2366</v>
      </c>
      <c r="T193" s="0" t="s">
        <v>75</v>
      </c>
      <c r="U193" s="5" t="n">
        <v>60</v>
      </c>
      <c r="V193" s="0" t="s">
        <v>2336</v>
      </c>
      <c r="W193" s="0" t="s">
        <v>148</v>
      </c>
      <c r="X193" s="0" t="s">
        <v>128</v>
      </c>
      <c r="Y193" s="0" t="s">
        <v>99</v>
      </c>
      <c r="Z193" s="0" t="s">
        <v>2324</v>
      </c>
      <c r="AA193" s="0" t="s">
        <v>143</v>
      </c>
      <c r="AB193" s="5" t="n">
        <v>40000</v>
      </c>
      <c r="AC193" s="5" t="n">
        <v>31413.5338345865</v>
      </c>
      <c r="AD193" s="0" t="s">
        <v>50</v>
      </c>
      <c r="AE193" s="5" t="n">
        <v>0</v>
      </c>
      <c r="AF193" s="0" t="s">
        <v>60</v>
      </c>
      <c r="AG193" s="7" t="s">
        <v>2393</v>
      </c>
      <c r="AH193" s="0" t="s">
        <v>2329</v>
      </c>
      <c r="AI193" s="0" t="s">
        <v>2331</v>
      </c>
      <c r="AJ193" s="0" t="s">
        <v>2320</v>
      </c>
      <c r="AK193" s="0" t="s">
        <v>63</v>
      </c>
      <c r="AL193" s="0" t="s">
        <v>63</v>
      </c>
      <c r="AM193" s="0" t="s">
        <v>2344</v>
      </c>
      <c r="AN193" s="0" t="s">
        <v>2321</v>
      </c>
      <c r="AO193" s="0" t="s">
        <v>63</v>
      </c>
    </row>
    <row r="194" customFormat="false" ht="15" hidden="false" customHeight="false" outlineLevel="0" collapsed="false">
      <c r="A194" s="0" t="s">
        <v>605</v>
      </c>
      <c r="B194" s="2" t="s">
        <v>40</v>
      </c>
      <c r="C194" s="0" t="s">
        <v>42</v>
      </c>
      <c r="D194" s="0" t="n">
        <v>8037246265</v>
      </c>
      <c r="E194" s="0" t="s">
        <v>122</v>
      </c>
      <c r="F194" s="0" t="s">
        <v>2316</v>
      </c>
      <c r="G194" s="0" t="s">
        <v>606</v>
      </c>
      <c r="H194" s="0" t="s">
        <v>87</v>
      </c>
      <c r="I194" s="3" t="s">
        <v>2317</v>
      </c>
      <c r="J194" s="0" t="s">
        <v>2341</v>
      </c>
      <c r="K194" s="0" t="s">
        <v>109</v>
      </c>
      <c r="L194" s="4" t="n">
        <v>44774</v>
      </c>
      <c r="M194" s="0" t="s">
        <v>110</v>
      </c>
      <c r="N194" s="0" t="s">
        <v>50</v>
      </c>
      <c r="O194" s="5" t="n">
        <v>3</v>
      </c>
      <c r="P194" s="0" t="n">
        <v>4.6</v>
      </c>
      <c r="Q194" s="0" t="s">
        <v>2334</v>
      </c>
      <c r="R194" s="0" t="s">
        <v>93</v>
      </c>
      <c r="S194" s="0" t="s">
        <v>53</v>
      </c>
      <c r="T194" s="0" t="s">
        <v>95</v>
      </c>
      <c r="U194" s="5" t="n">
        <v>37.6956521739131</v>
      </c>
      <c r="V194" s="0" t="s">
        <v>55</v>
      </c>
      <c r="W194" s="0" t="s">
        <v>2337</v>
      </c>
      <c r="X194" s="0" t="s">
        <v>128</v>
      </c>
      <c r="Y194" s="0" t="s">
        <v>196</v>
      </c>
      <c r="Z194" s="0" t="s">
        <v>59</v>
      </c>
      <c r="AA194" s="0" t="s">
        <v>143</v>
      </c>
      <c r="AB194" s="5" t="n">
        <v>30000</v>
      </c>
      <c r="AC194" s="5" t="n">
        <v>40000</v>
      </c>
      <c r="AD194" s="0" t="s">
        <v>50</v>
      </c>
      <c r="AE194" s="5" t="n">
        <v>10000</v>
      </c>
      <c r="AF194" s="0" t="s">
        <v>60</v>
      </c>
      <c r="AG194" s="7" t="s">
        <v>2445</v>
      </c>
      <c r="AH194" s="0" t="s">
        <v>50</v>
      </c>
      <c r="AI194" s="0" t="s">
        <v>2331</v>
      </c>
      <c r="AJ194" s="0" t="s">
        <v>2331</v>
      </c>
      <c r="AK194" s="0" t="s">
        <v>50</v>
      </c>
      <c r="AL194" s="0" t="s">
        <v>50</v>
      </c>
      <c r="AM194" s="0" t="s">
        <v>63</v>
      </c>
      <c r="AN194" s="0" t="s">
        <v>2318</v>
      </c>
      <c r="AO194" s="0" t="s">
        <v>63</v>
      </c>
    </row>
    <row r="195" customFormat="false" ht="15" hidden="false" customHeight="false" outlineLevel="0" collapsed="false">
      <c r="A195" s="0" t="s">
        <v>607</v>
      </c>
      <c r="B195" s="2" t="s">
        <v>2446</v>
      </c>
      <c r="C195" s="0" t="s">
        <v>121</v>
      </c>
      <c r="D195" s="0" t="n">
        <v>8070677159</v>
      </c>
      <c r="E195" s="0" t="s">
        <v>67</v>
      </c>
      <c r="F195" s="0" t="s">
        <v>2316</v>
      </c>
      <c r="G195" s="0" t="s">
        <v>608</v>
      </c>
      <c r="H195" s="0" t="s">
        <v>45</v>
      </c>
      <c r="I195" s="3" t="s">
        <v>2322</v>
      </c>
      <c r="J195" s="0" t="s">
        <v>47</v>
      </c>
      <c r="K195" s="0" t="s">
        <v>90</v>
      </c>
      <c r="L195" s="4" t="n">
        <v>109745</v>
      </c>
      <c r="M195" s="0" t="s">
        <v>110</v>
      </c>
      <c r="N195" s="0" t="s">
        <v>50</v>
      </c>
      <c r="O195" s="5" t="n">
        <v>4</v>
      </c>
      <c r="P195" s="0" t="n">
        <v>2.6</v>
      </c>
      <c r="Q195" s="0" t="s">
        <v>92</v>
      </c>
      <c r="R195" s="0" t="s">
        <v>52</v>
      </c>
      <c r="S195" s="0" t="s">
        <v>53</v>
      </c>
      <c r="T195" s="0" t="s">
        <v>2353</v>
      </c>
      <c r="U195" s="5" t="n">
        <v>30</v>
      </c>
      <c r="V195" s="0" t="s">
        <v>96</v>
      </c>
      <c r="W195" s="0" t="s">
        <v>148</v>
      </c>
      <c r="X195" s="0" t="s">
        <v>128</v>
      </c>
      <c r="Y195" s="0" t="s">
        <v>196</v>
      </c>
      <c r="Z195" s="0" t="s">
        <v>2329</v>
      </c>
      <c r="AA195" s="0" t="s">
        <v>79</v>
      </c>
      <c r="AB195" s="5" t="n">
        <v>20000</v>
      </c>
      <c r="AC195" s="5" t="n">
        <v>20000</v>
      </c>
      <c r="AD195" s="0" t="s">
        <v>50</v>
      </c>
      <c r="AE195" s="5" t="n">
        <v>0</v>
      </c>
      <c r="AF195" s="0" t="s">
        <v>184</v>
      </c>
      <c r="AG195" s="7" t="s">
        <v>408</v>
      </c>
      <c r="AH195" s="0" t="s">
        <v>63</v>
      </c>
      <c r="AI195" s="0" t="s">
        <v>2331</v>
      </c>
      <c r="AJ195" s="0" t="s">
        <v>2331</v>
      </c>
      <c r="AK195" s="0" t="s">
        <v>50</v>
      </c>
      <c r="AL195" s="0" t="s">
        <v>50</v>
      </c>
      <c r="AM195" s="0" t="s">
        <v>63</v>
      </c>
      <c r="AN195" s="0" t="s">
        <v>2321</v>
      </c>
      <c r="AO195" s="0" t="s">
        <v>63</v>
      </c>
    </row>
    <row r="196" customFormat="false" ht="15" hidden="false" customHeight="false" outlineLevel="0" collapsed="false">
      <c r="A196" s="0" t="s">
        <v>609</v>
      </c>
      <c r="B196" s="2" t="s">
        <v>267</v>
      </c>
      <c r="C196" s="0" t="s">
        <v>66</v>
      </c>
      <c r="D196" s="0" t="n">
        <v>8041458567</v>
      </c>
      <c r="E196" s="0" t="s">
        <v>122</v>
      </c>
      <c r="F196" s="0" t="s">
        <v>2316</v>
      </c>
      <c r="G196" s="0" t="s">
        <v>610</v>
      </c>
      <c r="H196" s="0" t="s">
        <v>69</v>
      </c>
      <c r="I196" s="3" t="s">
        <v>2317</v>
      </c>
      <c r="J196" s="0" t="s">
        <v>47</v>
      </c>
      <c r="K196" s="0" t="s">
        <v>48</v>
      </c>
      <c r="L196" s="4" t="n">
        <v>82641</v>
      </c>
      <c r="M196" s="0" t="s">
        <v>49</v>
      </c>
      <c r="N196" s="0" t="s">
        <v>63</v>
      </c>
      <c r="O196" s="5" t="n">
        <v>3</v>
      </c>
      <c r="P196" s="0" t="n">
        <v>3</v>
      </c>
      <c r="Q196" s="0" t="s">
        <v>111</v>
      </c>
      <c r="R196" s="0" t="s">
        <v>52</v>
      </c>
      <c r="S196" s="0" t="s">
        <v>2335</v>
      </c>
      <c r="T196" s="0" t="s">
        <v>2353</v>
      </c>
      <c r="U196" s="5" t="n">
        <v>45</v>
      </c>
      <c r="V196" s="0" t="s">
        <v>55</v>
      </c>
      <c r="W196" s="0" t="s">
        <v>148</v>
      </c>
      <c r="X196" s="0" t="s">
        <v>98</v>
      </c>
      <c r="Y196" s="0" t="s">
        <v>99</v>
      </c>
      <c r="Z196" s="0" t="s">
        <v>2329</v>
      </c>
      <c r="AA196" s="0" t="s">
        <v>161</v>
      </c>
      <c r="AB196" s="5" t="n">
        <v>15000</v>
      </c>
      <c r="AC196" s="5" t="n">
        <v>35000</v>
      </c>
      <c r="AD196" s="0" t="s">
        <v>50</v>
      </c>
      <c r="AE196" s="5" t="n">
        <v>0</v>
      </c>
      <c r="AF196" s="0" t="s">
        <v>2338</v>
      </c>
      <c r="AG196" s="7" t="s">
        <v>2330</v>
      </c>
      <c r="AH196" s="0" t="s">
        <v>50</v>
      </c>
      <c r="AI196" s="0" t="s">
        <v>2331</v>
      </c>
      <c r="AJ196" s="0" t="s">
        <v>2320</v>
      </c>
      <c r="AK196" s="0" t="s">
        <v>2344</v>
      </c>
      <c r="AL196" s="0" t="s">
        <v>50</v>
      </c>
      <c r="AM196" s="0" t="s">
        <v>2344</v>
      </c>
      <c r="AN196" s="0" t="s">
        <v>2318</v>
      </c>
      <c r="AO196" s="0" t="s">
        <v>63</v>
      </c>
    </row>
    <row r="197" customFormat="false" ht="15" hidden="false" customHeight="false" outlineLevel="0" collapsed="false">
      <c r="A197" s="0" t="s">
        <v>611</v>
      </c>
      <c r="B197" s="2" t="s">
        <v>2354</v>
      </c>
      <c r="C197" s="0" t="s">
        <v>66</v>
      </c>
      <c r="D197" s="0" t="n">
        <v>8063136795</v>
      </c>
      <c r="E197" s="0" t="s">
        <v>67</v>
      </c>
      <c r="F197" s="0" t="s">
        <v>2316</v>
      </c>
      <c r="G197" s="0" t="s">
        <v>612</v>
      </c>
      <c r="H197" s="0" t="s">
        <v>107</v>
      </c>
      <c r="I197" s="3" t="s">
        <v>2317</v>
      </c>
      <c r="J197" s="0" t="s">
        <v>2341</v>
      </c>
      <c r="K197" s="0" t="s">
        <v>109</v>
      </c>
      <c r="L197" s="4" t="n">
        <v>74087</v>
      </c>
      <c r="M197" s="0" t="s">
        <v>49</v>
      </c>
      <c r="N197" s="0" t="s">
        <v>63</v>
      </c>
      <c r="O197" s="5" t="n">
        <v>2</v>
      </c>
      <c r="P197" s="0" t="n">
        <v>5.9</v>
      </c>
      <c r="Q197" s="0" t="s">
        <v>111</v>
      </c>
      <c r="R197" s="0" t="s">
        <v>52</v>
      </c>
      <c r="S197" s="0" t="s">
        <v>2335</v>
      </c>
      <c r="T197" s="0" t="s">
        <v>95</v>
      </c>
      <c r="U197" s="5" t="n">
        <v>37.6956521739131</v>
      </c>
      <c r="V197" s="0" t="s">
        <v>2352</v>
      </c>
      <c r="W197" s="0" t="s">
        <v>155</v>
      </c>
      <c r="X197" s="0" t="s">
        <v>98</v>
      </c>
      <c r="Y197" s="0" t="s">
        <v>114</v>
      </c>
      <c r="Z197" s="0" t="s">
        <v>2329</v>
      </c>
      <c r="AA197" s="0" t="s">
        <v>79</v>
      </c>
      <c r="AB197" s="5" t="n">
        <v>15000</v>
      </c>
      <c r="AC197" s="5" t="n">
        <v>31412.3867069486</v>
      </c>
      <c r="AD197" s="0" t="s">
        <v>50</v>
      </c>
      <c r="AE197" s="5" t="n">
        <v>0</v>
      </c>
      <c r="AF197" s="0" t="s">
        <v>2338</v>
      </c>
      <c r="AG197" s="7" t="s">
        <v>245</v>
      </c>
      <c r="AH197" s="0" t="s">
        <v>50</v>
      </c>
      <c r="AI197" s="0" t="s">
        <v>2331</v>
      </c>
      <c r="AJ197" s="0" t="s">
        <v>117</v>
      </c>
      <c r="AK197" s="0" t="s">
        <v>50</v>
      </c>
      <c r="AL197" s="0" t="s">
        <v>63</v>
      </c>
      <c r="AM197" s="0" t="s">
        <v>63</v>
      </c>
      <c r="AN197" s="0" t="s">
        <v>2321</v>
      </c>
      <c r="AO197" s="0" t="s">
        <v>63</v>
      </c>
    </row>
    <row r="198" customFormat="false" ht="15" hidden="false" customHeight="false" outlineLevel="0" collapsed="false">
      <c r="A198" s="0" t="s">
        <v>613</v>
      </c>
      <c r="B198" s="2" t="s">
        <v>316</v>
      </c>
      <c r="C198" s="0" t="s">
        <v>163</v>
      </c>
      <c r="D198" s="0" t="n">
        <v>8039339153</v>
      </c>
      <c r="E198" s="0" t="s">
        <v>85</v>
      </c>
      <c r="F198" s="0" t="s">
        <v>2319</v>
      </c>
      <c r="G198" s="0" t="s">
        <v>614</v>
      </c>
      <c r="H198" s="0" t="s">
        <v>69</v>
      </c>
      <c r="I198" s="3" t="s">
        <v>87</v>
      </c>
      <c r="J198" s="0" t="s">
        <v>2347</v>
      </c>
      <c r="K198" s="0" t="s">
        <v>109</v>
      </c>
      <c r="L198" s="4" t="n">
        <v>89505</v>
      </c>
      <c r="M198" s="0" t="s">
        <v>110</v>
      </c>
      <c r="N198" s="0" t="s">
        <v>50</v>
      </c>
      <c r="O198" s="5" t="n">
        <v>3</v>
      </c>
      <c r="P198" s="0" t="n">
        <v>2.6</v>
      </c>
      <c r="Q198" s="0" t="s">
        <v>51</v>
      </c>
      <c r="R198" s="0" t="s">
        <v>73</v>
      </c>
      <c r="S198" s="0" t="s">
        <v>2340</v>
      </c>
      <c r="T198" s="0" t="s">
        <v>54</v>
      </c>
      <c r="U198" s="5" t="n">
        <v>15</v>
      </c>
      <c r="V198" s="0" t="s">
        <v>96</v>
      </c>
      <c r="W198" s="0" t="s">
        <v>148</v>
      </c>
      <c r="X198" s="0" t="s">
        <v>128</v>
      </c>
      <c r="Y198" s="0" t="s">
        <v>196</v>
      </c>
      <c r="Z198" s="0" t="s">
        <v>2329</v>
      </c>
      <c r="AA198" s="0" t="s">
        <v>149</v>
      </c>
      <c r="AB198" s="5" t="n">
        <v>30000</v>
      </c>
      <c r="AC198" s="5" t="n">
        <v>35000</v>
      </c>
      <c r="AD198" s="0" t="s">
        <v>50</v>
      </c>
      <c r="AE198" s="5" t="n">
        <v>0</v>
      </c>
      <c r="AF198" s="0" t="s">
        <v>184</v>
      </c>
      <c r="AG198" s="7" t="s">
        <v>697</v>
      </c>
      <c r="AH198" s="0" t="s">
        <v>50</v>
      </c>
      <c r="AI198" s="0" t="s">
        <v>116</v>
      </c>
      <c r="AJ198" s="0" t="s">
        <v>172</v>
      </c>
      <c r="AK198" s="0" t="s">
        <v>63</v>
      </c>
      <c r="AL198" s="0" t="s">
        <v>50</v>
      </c>
      <c r="AM198" s="0" t="s">
        <v>2344</v>
      </c>
      <c r="AN198" s="0" t="s">
        <v>2321</v>
      </c>
      <c r="AO198" s="0" t="s">
        <v>50</v>
      </c>
    </row>
    <row r="199" customFormat="false" ht="15" hidden="false" customHeight="false" outlineLevel="0" collapsed="false">
      <c r="A199" s="0" t="s">
        <v>615</v>
      </c>
      <c r="B199" s="2" t="s">
        <v>635</v>
      </c>
      <c r="C199" s="0" t="s">
        <v>121</v>
      </c>
      <c r="D199" s="0" t="n">
        <v>8051070495</v>
      </c>
      <c r="E199" s="0" t="s">
        <v>67</v>
      </c>
      <c r="F199" s="0" t="s">
        <v>2316</v>
      </c>
      <c r="G199" s="0" t="s">
        <v>616</v>
      </c>
      <c r="H199" s="0" t="s">
        <v>45</v>
      </c>
      <c r="I199" s="3" t="s">
        <v>87</v>
      </c>
      <c r="J199" s="0" t="s">
        <v>2349</v>
      </c>
      <c r="K199" s="0" t="s">
        <v>90</v>
      </c>
      <c r="L199" s="4" t="n">
        <v>116277</v>
      </c>
      <c r="M199" s="0" t="s">
        <v>49</v>
      </c>
      <c r="N199" s="0" t="s">
        <v>50</v>
      </c>
      <c r="O199" s="5" t="n">
        <v>4</v>
      </c>
      <c r="P199" s="0" t="n">
        <v>2.8</v>
      </c>
      <c r="Q199" s="0" t="s">
        <v>51</v>
      </c>
      <c r="R199" s="0" t="s">
        <v>52</v>
      </c>
      <c r="S199" s="0" t="s">
        <v>2335</v>
      </c>
      <c r="T199" s="0" t="s">
        <v>147</v>
      </c>
      <c r="U199" s="5" t="n">
        <v>45</v>
      </c>
      <c r="V199" s="0" t="s">
        <v>2352</v>
      </c>
      <c r="W199" s="0" t="s">
        <v>155</v>
      </c>
      <c r="X199" s="0" t="s">
        <v>78</v>
      </c>
      <c r="Y199" s="0" t="s">
        <v>196</v>
      </c>
      <c r="Z199" s="0" t="s">
        <v>2329</v>
      </c>
      <c r="AA199" s="0" t="s">
        <v>2329</v>
      </c>
      <c r="AB199" s="5" t="n">
        <v>40000</v>
      </c>
      <c r="AC199" s="5" t="n">
        <v>31406.9591527988</v>
      </c>
      <c r="AD199" s="0" t="s">
        <v>63</v>
      </c>
      <c r="AE199" s="5" t="n">
        <v>5000</v>
      </c>
      <c r="AF199" s="0" t="s">
        <v>2338</v>
      </c>
      <c r="AG199" s="7" t="s">
        <v>2373</v>
      </c>
      <c r="AH199" s="0" t="s">
        <v>50</v>
      </c>
      <c r="AI199" s="0" t="s">
        <v>171</v>
      </c>
      <c r="AJ199" s="0" t="s">
        <v>2320</v>
      </c>
      <c r="AK199" s="0" t="s">
        <v>50</v>
      </c>
      <c r="AL199" s="0" t="s">
        <v>2344</v>
      </c>
      <c r="AM199" s="0" t="s">
        <v>2344</v>
      </c>
      <c r="AN199" s="0" t="s">
        <v>2321</v>
      </c>
      <c r="AO199" s="0" t="s">
        <v>63</v>
      </c>
    </row>
    <row r="200" customFormat="false" ht="15" hidden="false" customHeight="false" outlineLevel="0" collapsed="false">
      <c r="A200" s="0" t="s">
        <v>617</v>
      </c>
      <c r="B200" s="2" t="s">
        <v>2393</v>
      </c>
      <c r="C200" s="0" t="s">
        <v>121</v>
      </c>
      <c r="D200" s="0" t="n">
        <v>8067045601</v>
      </c>
      <c r="E200" s="0" t="s">
        <v>122</v>
      </c>
      <c r="F200" s="0" t="s">
        <v>2316</v>
      </c>
      <c r="G200" s="0" t="s">
        <v>618</v>
      </c>
      <c r="H200" s="0" t="s">
        <v>107</v>
      </c>
      <c r="I200" s="3" t="s">
        <v>87</v>
      </c>
      <c r="J200" s="0" t="s">
        <v>2347</v>
      </c>
      <c r="K200" s="0" t="s">
        <v>71</v>
      </c>
      <c r="L200" s="4" t="n">
        <v>99917</v>
      </c>
      <c r="M200" s="0" t="s">
        <v>2333</v>
      </c>
      <c r="N200" s="0" t="s">
        <v>63</v>
      </c>
      <c r="O200" s="5" t="n">
        <v>2</v>
      </c>
      <c r="P200" s="0" t="n">
        <v>1.4</v>
      </c>
      <c r="Q200" s="0" t="s">
        <v>111</v>
      </c>
      <c r="R200" s="0" t="s">
        <v>52</v>
      </c>
      <c r="S200" s="0" t="s">
        <v>2340</v>
      </c>
      <c r="T200" s="0" t="s">
        <v>2353</v>
      </c>
      <c r="U200" s="5" t="n">
        <v>45</v>
      </c>
      <c r="V200" s="0" t="s">
        <v>55</v>
      </c>
      <c r="W200" s="0" t="s">
        <v>155</v>
      </c>
      <c r="X200" s="0" t="s">
        <v>98</v>
      </c>
      <c r="Y200" s="0" t="s">
        <v>196</v>
      </c>
      <c r="Z200" s="0" t="s">
        <v>177</v>
      </c>
      <c r="AA200" s="0" t="s">
        <v>149</v>
      </c>
      <c r="AB200" s="5" t="n">
        <v>40000</v>
      </c>
      <c r="AC200" s="5" t="n">
        <v>40000</v>
      </c>
      <c r="AD200" s="0" t="s">
        <v>50</v>
      </c>
      <c r="AE200" s="5" t="n">
        <v>5000</v>
      </c>
      <c r="AF200" s="0" t="s">
        <v>184</v>
      </c>
      <c r="AG200" s="7" t="s">
        <v>2447</v>
      </c>
      <c r="AH200" s="0" t="s">
        <v>2329</v>
      </c>
      <c r="AI200" s="0" t="s">
        <v>171</v>
      </c>
      <c r="AJ200" s="0" t="s">
        <v>2331</v>
      </c>
      <c r="AK200" s="0" t="s">
        <v>2344</v>
      </c>
      <c r="AL200" s="0" t="s">
        <v>50</v>
      </c>
      <c r="AM200" s="0" t="s">
        <v>63</v>
      </c>
      <c r="AN200" s="0" t="s">
        <v>2321</v>
      </c>
      <c r="AO200" s="0" t="s">
        <v>50</v>
      </c>
    </row>
    <row r="201" customFormat="false" ht="15" hidden="false" customHeight="false" outlineLevel="0" collapsed="false">
      <c r="A201" s="0" t="s">
        <v>619</v>
      </c>
      <c r="B201" s="2" t="s">
        <v>463</v>
      </c>
      <c r="C201" s="0" t="s">
        <v>163</v>
      </c>
      <c r="D201" s="0" t="n">
        <v>8060611218</v>
      </c>
      <c r="E201" s="0" t="s">
        <v>85</v>
      </c>
      <c r="F201" s="0" t="s">
        <v>2319</v>
      </c>
      <c r="G201" s="0" t="s">
        <v>620</v>
      </c>
      <c r="H201" s="0" t="s">
        <v>107</v>
      </c>
      <c r="I201" s="3" t="s">
        <v>2322</v>
      </c>
      <c r="J201" s="0" t="s">
        <v>2347</v>
      </c>
      <c r="K201" s="0" t="s">
        <v>109</v>
      </c>
      <c r="L201" s="4" t="n">
        <v>71027</v>
      </c>
      <c r="M201" s="0" t="s">
        <v>2333</v>
      </c>
      <c r="N201" s="0" t="s">
        <v>63</v>
      </c>
      <c r="O201" s="5" t="n">
        <v>3.00603318250377</v>
      </c>
      <c r="P201" s="0" t="n">
        <v>1.3</v>
      </c>
      <c r="Q201" s="0" t="s">
        <v>51</v>
      </c>
      <c r="R201" s="0" t="s">
        <v>93</v>
      </c>
      <c r="S201" s="0" t="s">
        <v>53</v>
      </c>
      <c r="T201" s="0" t="s">
        <v>54</v>
      </c>
      <c r="U201" s="5" t="n">
        <v>30</v>
      </c>
      <c r="V201" s="0" t="s">
        <v>112</v>
      </c>
      <c r="W201" s="0" t="s">
        <v>2328</v>
      </c>
      <c r="X201" s="0" t="s">
        <v>98</v>
      </c>
      <c r="Y201" s="0" t="s">
        <v>114</v>
      </c>
      <c r="Z201" s="0" t="s">
        <v>2329</v>
      </c>
      <c r="AA201" s="0" t="s">
        <v>149</v>
      </c>
      <c r="AB201" s="5" t="n">
        <v>15000</v>
      </c>
      <c r="AC201" s="5" t="n">
        <v>30000</v>
      </c>
      <c r="AD201" s="0" t="s">
        <v>50</v>
      </c>
      <c r="AE201" s="5" t="n">
        <v>10000</v>
      </c>
      <c r="AF201" s="0" t="s">
        <v>2338</v>
      </c>
      <c r="AG201" s="7" t="s">
        <v>2330</v>
      </c>
      <c r="AH201" s="0" t="s">
        <v>63</v>
      </c>
      <c r="AI201" s="0" t="s">
        <v>171</v>
      </c>
      <c r="AJ201" s="0" t="s">
        <v>2331</v>
      </c>
      <c r="AK201" s="0" t="s">
        <v>63</v>
      </c>
      <c r="AL201" s="0" t="s">
        <v>50</v>
      </c>
      <c r="AM201" s="0" t="s">
        <v>63</v>
      </c>
      <c r="AN201" s="0" t="s">
        <v>2321</v>
      </c>
      <c r="AO201" s="0" t="s">
        <v>63</v>
      </c>
    </row>
    <row r="202" customFormat="false" ht="15" hidden="false" customHeight="false" outlineLevel="0" collapsed="false">
      <c r="A202" s="0" t="s">
        <v>621</v>
      </c>
      <c r="B202" s="2" t="s">
        <v>489</v>
      </c>
      <c r="C202" s="0" t="s">
        <v>66</v>
      </c>
      <c r="D202" s="0" t="n">
        <v>8086688035</v>
      </c>
      <c r="E202" s="0" t="s">
        <v>139</v>
      </c>
      <c r="F202" s="0" t="s">
        <v>2323</v>
      </c>
      <c r="G202" s="0" t="s">
        <v>622</v>
      </c>
      <c r="H202" s="0" t="s">
        <v>45</v>
      </c>
      <c r="I202" s="3" t="s">
        <v>2322</v>
      </c>
      <c r="J202" s="0" t="s">
        <v>2339</v>
      </c>
      <c r="K202" s="0" t="s">
        <v>109</v>
      </c>
      <c r="L202" s="4" t="n">
        <v>77977</v>
      </c>
      <c r="M202" s="0" t="s">
        <v>2333</v>
      </c>
      <c r="N202" s="0" t="s">
        <v>50</v>
      </c>
      <c r="O202" s="5" t="n">
        <v>1</v>
      </c>
      <c r="P202" s="0" t="n">
        <v>2.7</v>
      </c>
      <c r="Q202" s="0" t="s">
        <v>111</v>
      </c>
      <c r="R202" s="0" t="s">
        <v>93</v>
      </c>
      <c r="S202" s="0" t="s">
        <v>2335</v>
      </c>
      <c r="T202" s="0" t="s">
        <v>2343</v>
      </c>
      <c r="U202" s="5" t="n">
        <v>40.2155172413793</v>
      </c>
      <c r="V202" s="0" t="s">
        <v>2336</v>
      </c>
      <c r="W202" s="0" t="s">
        <v>2328</v>
      </c>
      <c r="X202" s="0" t="s">
        <v>128</v>
      </c>
      <c r="Y202" s="0" t="s">
        <v>58</v>
      </c>
      <c r="Z202" s="0" t="s">
        <v>2329</v>
      </c>
      <c r="AA202" s="0" t="s">
        <v>161</v>
      </c>
      <c r="AB202" s="5" t="n">
        <v>26100.9174311927</v>
      </c>
      <c r="AC202" s="5" t="n">
        <v>31396.0546282246</v>
      </c>
      <c r="AD202" s="0" t="s">
        <v>63</v>
      </c>
      <c r="AE202" s="5" t="n">
        <v>0</v>
      </c>
      <c r="AF202" s="0" t="s">
        <v>2338</v>
      </c>
      <c r="AG202" s="7" t="s">
        <v>2330</v>
      </c>
      <c r="AH202" s="0" t="s">
        <v>50</v>
      </c>
      <c r="AI202" s="0" t="s">
        <v>2331</v>
      </c>
      <c r="AJ202" s="0" t="s">
        <v>2320</v>
      </c>
      <c r="AK202" s="0" t="s">
        <v>63</v>
      </c>
      <c r="AL202" s="0" t="s">
        <v>63</v>
      </c>
      <c r="AM202" s="0" t="s">
        <v>2344</v>
      </c>
      <c r="AN202" s="0" t="s">
        <v>2321</v>
      </c>
      <c r="AO202" s="0" t="s">
        <v>50</v>
      </c>
    </row>
    <row r="203" customFormat="false" ht="15" hidden="false" customHeight="false" outlineLevel="0" collapsed="false">
      <c r="A203" s="0" t="s">
        <v>623</v>
      </c>
      <c r="B203" s="2" t="s">
        <v>2448</v>
      </c>
      <c r="C203" s="0" t="s">
        <v>66</v>
      </c>
      <c r="D203" s="0" t="n">
        <v>8031100279</v>
      </c>
      <c r="E203" s="0" t="s">
        <v>43</v>
      </c>
      <c r="F203" s="0" t="s">
        <v>2315</v>
      </c>
      <c r="G203" s="0" t="s">
        <v>624</v>
      </c>
      <c r="H203" s="0" t="s">
        <v>134</v>
      </c>
      <c r="I203" s="3" t="s">
        <v>2325</v>
      </c>
      <c r="J203" s="0" t="s">
        <v>2347</v>
      </c>
      <c r="K203" s="0" t="s">
        <v>48</v>
      </c>
      <c r="L203" s="4" t="n">
        <v>75989</v>
      </c>
      <c r="M203" s="0" t="s">
        <v>110</v>
      </c>
      <c r="N203" s="0" t="s">
        <v>50</v>
      </c>
      <c r="O203" s="5" t="n">
        <v>1</v>
      </c>
      <c r="P203" s="0" t="n">
        <v>1.3</v>
      </c>
      <c r="Q203" s="0" t="s">
        <v>2334</v>
      </c>
      <c r="R203" s="0" t="s">
        <v>73</v>
      </c>
      <c r="S203" s="0" t="s">
        <v>2366</v>
      </c>
      <c r="T203" s="0" t="s">
        <v>54</v>
      </c>
      <c r="U203" s="5" t="n">
        <v>39.3913043478261</v>
      </c>
      <c r="V203" s="0" t="s">
        <v>2352</v>
      </c>
      <c r="W203" s="0" t="s">
        <v>155</v>
      </c>
      <c r="X203" s="0" t="s">
        <v>128</v>
      </c>
      <c r="Y203" s="0" t="s">
        <v>196</v>
      </c>
      <c r="Z203" s="0" t="s">
        <v>2329</v>
      </c>
      <c r="AA203" s="0" t="s">
        <v>143</v>
      </c>
      <c r="AB203" s="5" t="n">
        <v>26636.3636363636</v>
      </c>
      <c r="AC203" s="5" t="n">
        <v>31396.0546282246</v>
      </c>
      <c r="AD203" s="0" t="s">
        <v>50</v>
      </c>
      <c r="AE203" s="5" t="n">
        <v>10000</v>
      </c>
      <c r="AF203" s="0" t="s">
        <v>130</v>
      </c>
      <c r="AG203" s="7" t="s">
        <v>625</v>
      </c>
      <c r="AH203" s="0" t="s">
        <v>2329</v>
      </c>
      <c r="AI203" s="0" t="s">
        <v>171</v>
      </c>
      <c r="AJ203" s="0" t="s">
        <v>2320</v>
      </c>
      <c r="AK203" s="0" t="s">
        <v>2344</v>
      </c>
      <c r="AL203" s="0" t="s">
        <v>63</v>
      </c>
      <c r="AM203" s="0" t="s">
        <v>2344</v>
      </c>
      <c r="AN203" s="0" t="s">
        <v>2321</v>
      </c>
      <c r="AO203" s="0" t="s">
        <v>63</v>
      </c>
    </row>
    <row r="204" customFormat="false" ht="15" hidden="false" customHeight="false" outlineLevel="0" collapsed="false">
      <c r="A204" s="0" t="s">
        <v>627</v>
      </c>
      <c r="B204" s="2" t="s">
        <v>626</v>
      </c>
      <c r="C204" s="0" t="s">
        <v>105</v>
      </c>
      <c r="D204" s="0" t="n">
        <v>8060211839</v>
      </c>
      <c r="E204" s="0" t="s">
        <v>122</v>
      </c>
      <c r="F204" s="0" t="s">
        <v>2316</v>
      </c>
      <c r="G204" s="0" t="s">
        <v>628</v>
      </c>
      <c r="H204" s="0" t="s">
        <v>45</v>
      </c>
      <c r="I204" s="3" t="s">
        <v>87</v>
      </c>
      <c r="J204" s="0" t="s">
        <v>2347</v>
      </c>
      <c r="K204" s="0" t="s">
        <v>71</v>
      </c>
      <c r="L204" s="4" t="n">
        <v>76311</v>
      </c>
      <c r="M204" s="0" t="s">
        <v>49</v>
      </c>
      <c r="N204" s="0" t="s">
        <v>50</v>
      </c>
      <c r="O204" s="5" t="n">
        <v>3</v>
      </c>
      <c r="P204" s="0" t="n">
        <v>5.3</v>
      </c>
      <c r="Q204" s="0" t="s">
        <v>92</v>
      </c>
      <c r="R204" s="0" t="s">
        <v>73</v>
      </c>
      <c r="S204" s="0" t="s">
        <v>2340</v>
      </c>
      <c r="T204" s="0" t="s">
        <v>2353</v>
      </c>
      <c r="U204" s="5" t="n">
        <v>45</v>
      </c>
      <c r="V204" s="0" t="s">
        <v>55</v>
      </c>
      <c r="W204" s="0" t="s">
        <v>148</v>
      </c>
      <c r="X204" s="0" t="s">
        <v>128</v>
      </c>
      <c r="Y204" s="0" t="s">
        <v>114</v>
      </c>
      <c r="Z204" s="0" t="s">
        <v>59</v>
      </c>
      <c r="AA204" s="0" t="s">
        <v>79</v>
      </c>
      <c r="AB204" s="5" t="n">
        <v>30000</v>
      </c>
      <c r="AC204" s="5" t="n">
        <v>20000</v>
      </c>
      <c r="AD204" s="0" t="s">
        <v>63</v>
      </c>
      <c r="AE204" s="5" t="n">
        <v>10000</v>
      </c>
      <c r="AF204" s="0" t="s">
        <v>60</v>
      </c>
      <c r="AG204" s="7" t="s">
        <v>1097</v>
      </c>
      <c r="AH204" s="0" t="s">
        <v>2329</v>
      </c>
      <c r="AI204" s="0" t="s">
        <v>2331</v>
      </c>
      <c r="AJ204" s="0" t="s">
        <v>2331</v>
      </c>
      <c r="AK204" s="0" t="s">
        <v>63</v>
      </c>
      <c r="AL204" s="0" t="s">
        <v>63</v>
      </c>
      <c r="AM204" s="0" t="s">
        <v>50</v>
      </c>
      <c r="AN204" s="0" t="s">
        <v>64</v>
      </c>
      <c r="AO204" s="0" t="s">
        <v>63</v>
      </c>
    </row>
    <row r="205" customFormat="false" ht="15" hidden="false" customHeight="false" outlineLevel="0" collapsed="false">
      <c r="A205" s="0" t="s">
        <v>629</v>
      </c>
      <c r="B205" s="2" t="s">
        <v>2449</v>
      </c>
      <c r="C205" s="0" t="s">
        <v>105</v>
      </c>
      <c r="D205" s="0" t="n">
        <v>8044162336</v>
      </c>
      <c r="E205" s="0" t="s">
        <v>122</v>
      </c>
      <c r="F205" s="0" t="s">
        <v>2316</v>
      </c>
      <c r="G205" s="0" t="s">
        <v>630</v>
      </c>
      <c r="H205" s="0" t="s">
        <v>134</v>
      </c>
      <c r="I205" s="3" t="s">
        <v>2322</v>
      </c>
      <c r="J205" s="0" t="s">
        <v>189</v>
      </c>
      <c r="K205" s="0" t="s">
        <v>71</v>
      </c>
      <c r="L205" s="4" t="n">
        <v>84569</v>
      </c>
      <c r="M205" s="0" t="s">
        <v>110</v>
      </c>
      <c r="N205" s="0" t="s">
        <v>50</v>
      </c>
      <c r="O205" s="5" t="n">
        <v>2</v>
      </c>
      <c r="P205" s="0" t="n">
        <v>1.2</v>
      </c>
      <c r="Q205" s="0" t="s">
        <v>2334</v>
      </c>
      <c r="R205" s="0" t="s">
        <v>93</v>
      </c>
      <c r="S205" s="0" t="s">
        <v>2340</v>
      </c>
      <c r="T205" s="0" t="s">
        <v>75</v>
      </c>
      <c r="U205" s="5" t="n">
        <v>45</v>
      </c>
      <c r="V205" s="0" t="s">
        <v>2336</v>
      </c>
      <c r="W205" s="0" t="s">
        <v>2328</v>
      </c>
      <c r="X205" s="0" t="s">
        <v>98</v>
      </c>
      <c r="Y205" s="0" t="s">
        <v>196</v>
      </c>
      <c r="Z205" s="0" t="s">
        <v>177</v>
      </c>
      <c r="AA205" s="0" t="s">
        <v>161</v>
      </c>
      <c r="AB205" s="5" t="n">
        <v>25000</v>
      </c>
      <c r="AC205" s="5" t="n">
        <v>35000</v>
      </c>
      <c r="AD205" s="0" t="s">
        <v>63</v>
      </c>
      <c r="AE205" s="5" t="n">
        <v>0</v>
      </c>
      <c r="AF205" s="0" t="s">
        <v>60</v>
      </c>
      <c r="AG205" s="7" t="s">
        <v>2450</v>
      </c>
      <c r="AH205" s="0" t="s">
        <v>63</v>
      </c>
      <c r="AI205" s="0" t="s">
        <v>2331</v>
      </c>
      <c r="AJ205" s="0" t="s">
        <v>2331</v>
      </c>
      <c r="AK205" s="0" t="s">
        <v>50</v>
      </c>
      <c r="AL205" s="0" t="s">
        <v>63</v>
      </c>
      <c r="AM205" s="0" t="s">
        <v>63</v>
      </c>
      <c r="AN205" s="0" t="s">
        <v>2321</v>
      </c>
      <c r="AO205" s="0" t="s">
        <v>50</v>
      </c>
    </row>
    <row r="206" customFormat="false" ht="15" hidden="false" customHeight="false" outlineLevel="0" collapsed="false">
      <c r="A206" s="0" t="s">
        <v>631</v>
      </c>
      <c r="B206" s="2" t="s">
        <v>2399</v>
      </c>
      <c r="C206" s="0" t="s">
        <v>105</v>
      </c>
      <c r="D206" s="0" t="n">
        <v>8083893835</v>
      </c>
      <c r="E206" s="0" t="s">
        <v>67</v>
      </c>
      <c r="F206" s="0" t="s">
        <v>2316</v>
      </c>
      <c r="G206" s="0" t="s">
        <v>632</v>
      </c>
      <c r="H206" s="0" t="s">
        <v>87</v>
      </c>
      <c r="I206" s="3" t="s">
        <v>2322</v>
      </c>
      <c r="J206" s="0" t="s">
        <v>2347</v>
      </c>
      <c r="K206" s="0" t="s">
        <v>71</v>
      </c>
      <c r="L206" s="4" t="n">
        <v>67458</v>
      </c>
      <c r="M206" s="0" t="s">
        <v>2333</v>
      </c>
      <c r="N206" s="0" t="s">
        <v>63</v>
      </c>
      <c r="O206" s="5" t="n">
        <v>3.01365705614568</v>
      </c>
      <c r="P206" s="0" t="n">
        <v>2.5</v>
      </c>
      <c r="Q206" s="0" t="s">
        <v>2334</v>
      </c>
      <c r="R206" s="0" t="s">
        <v>52</v>
      </c>
      <c r="S206" s="0" t="s">
        <v>2340</v>
      </c>
      <c r="T206" s="0" t="s">
        <v>95</v>
      </c>
      <c r="U206" s="5" t="n">
        <v>60</v>
      </c>
      <c r="V206" s="0" t="s">
        <v>55</v>
      </c>
      <c r="W206" s="0" t="s">
        <v>2337</v>
      </c>
      <c r="X206" s="0" t="s">
        <v>128</v>
      </c>
      <c r="Y206" s="0" t="s">
        <v>196</v>
      </c>
      <c r="Z206" s="0" t="s">
        <v>2326</v>
      </c>
      <c r="AA206" s="0" t="s">
        <v>2329</v>
      </c>
      <c r="AB206" s="5" t="n">
        <v>20000</v>
      </c>
      <c r="AC206" s="5" t="n">
        <v>35000</v>
      </c>
      <c r="AD206" s="0" t="s">
        <v>50</v>
      </c>
      <c r="AE206" s="5" t="n">
        <v>0</v>
      </c>
      <c r="AF206" s="0" t="s">
        <v>60</v>
      </c>
      <c r="AG206" s="7" t="s">
        <v>2330</v>
      </c>
      <c r="AH206" s="0" t="s">
        <v>50</v>
      </c>
      <c r="AI206" s="0" t="s">
        <v>116</v>
      </c>
      <c r="AJ206" s="0" t="s">
        <v>117</v>
      </c>
      <c r="AK206" s="0" t="s">
        <v>2344</v>
      </c>
      <c r="AL206" s="0" t="s">
        <v>50</v>
      </c>
      <c r="AM206" s="0" t="s">
        <v>2344</v>
      </c>
      <c r="AN206" s="0" t="s">
        <v>2321</v>
      </c>
      <c r="AO206" s="0" t="s">
        <v>2359</v>
      </c>
    </row>
    <row r="207" customFormat="false" ht="15" hidden="false" customHeight="false" outlineLevel="0" collapsed="false">
      <c r="A207" s="0" t="s">
        <v>633</v>
      </c>
      <c r="B207" s="2" t="s">
        <v>2451</v>
      </c>
      <c r="C207" s="0" t="s">
        <v>42</v>
      </c>
      <c r="D207" s="0" t="n">
        <v>8021376149</v>
      </c>
      <c r="E207" s="0" t="s">
        <v>85</v>
      </c>
      <c r="F207" s="0" t="s">
        <v>2319</v>
      </c>
      <c r="G207" s="0" t="s">
        <v>634</v>
      </c>
      <c r="H207" s="0" t="s">
        <v>107</v>
      </c>
      <c r="I207" s="3" t="s">
        <v>2325</v>
      </c>
      <c r="J207" s="0" t="s">
        <v>189</v>
      </c>
      <c r="K207" s="0" t="s">
        <v>71</v>
      </c>
      <c r="L207" s="4" t="n">
        <v>55785</v>
      </c>
      <c r="M207" s="0" t="s">
        <v>49</v>
      </c>
      <c r="N207" s="0" t="s">
        <v>63</v>
      </c>
      <c r="O207" s="5" t="n">
        <v>4</v>
      </c>
      <c r="P207" s="0" t="n">
        <v>1.5</v>
      </c>
      <c r="Q207" s="0" t="s">
        <v>2334</v>
      </c>
      <c r="R207" s="0" t="s">
        <v>73</v>
      </c>
      <c r="S207" s="0" t="s">
        <v>2335</v>
      </c>
      <c r="T207" s="0" t="s">
        <v>75</v>
      </c>
      <c r="U207" s="5" t="n">
        <v>15</v>
      </c>
      <c r="V207" s="0" t="s">
        <v>2352</v>
      </c>
      <c r="W207" s="0" t="s">
        <v>148</v>
      </c>
      <c r="X207" s="0" t="s">
        <v>128</v>
      </c>
      <c r="Y207" s="0" t="s">
        <v>99</v>
      </c>
      <c r="Z207" s="0" t="s">
        <v>59</v>
      </c>
      <c r="AA207" s="0" t="s">
        <v>79</v>
      </c>
      <c r="AB207" s="5" t="n">
        <v>25520.8333333333</v>
      </c>
      <c r="AC207" s="5" t="n">
        <v>31402.4390243902</v>
      </c>
      <c r="AD207" s="0" t="s">
        <v>50</v>
      </c>
      <c r="AE207" s="5" t="n">
        <v>0</v>
      </c>
      <c r="AF207" s="0" t="s">
        <v>2338</v>
      </c>
      <c r="AG207" s="7" t="s">
        <v>2452</v>
      </c>
      <c r="AH207" s="0" t="s">
        <v>50</v>
      </c>
      <c r="AI207" s="0" t="s">
        <v>2331</v>
      </c>
      <c r="AJ207" s="0" t="s">
        <v>2331</v>
      </c>
      <c r="AK207" s="0" t="s">
        <v>63</v>
      </c>
      <c r="AL207" s="0" t="s">
        <v>63</v>
      </c>
      <c r="AM207" s="0" t="s">
        <v>50</v>
      </c>
      <c r="AN207" s="0" t="s">
        <v>2321</v>
      </c>
      <c r="AO207" s="0" t="s">
        <v>2359</v>
      </c>
    </row>
    <row r="208" customFormat="false" ht="15" hidden="false" customHeight="false" outlineLevel="0" collapsed="false">
      <c r="A208" s="0" t="s">
        <v>636</v>
      </c>
      <c r="B208" s="2" t="s">
        <v>635</v>
      </c>
      <c r="C208" s="0" t="s">
        <v>163</v>
      </c>
      <c r="D208" s="0" t="n">
        <v>8028029509</v>
      </c>
      <c r="E208" s="0" t="s">
        <v>67</v>
      </c>
      <c r="F208" s="0" t="s">
        <v>2316</v>
      </c>
      <c r="G208" s="0" t="s">
        <v>637</v>
      </c>
      <c r="H208" s="0" t="s">
        <v>45</v>
      </c>
      <c r="I208" s="3" t="s">
        <v>2317</v>
      </c>
      <c r="J208" s="0" t="s">
        <v>47</v>
      </c>
      <c r="K208" s="0" t="s">
        <v>48</v>
      </c>
      <c r="L208" s="4" t="n">
        <v>99600</v>
      </c>
      <c r="M208" s="0" t="s">
        <v>110</v>
      </c>
      <c r="N208" s="0" t="s">
        <v>50</v>
      </c>
      <c r="O208" s="5" t="n">
        <v>3.01215805471125</v>
      </c>
      <c r="P208" s="0" t="n">
        <v>3.2</v>
      </c>
      <c r="Q208" s="0" t="s">
        <v>2334</v>
      </c>
      <c r="R208" s="0" t="s">
        <v>73</v>
      </c>
      <c r="S208" s="0" t="s">
        <v>2340</v>
      </c>
      <c r="T208" s="0" t="s">
        <v>2353</v>
      </c>
      <c r="U208" s="5" t="n">
        <v>45</v>
      </c>
      <c r="V208" s="0" t="s">
        <v>55</v>
      </c>
      <c r="W208" s="0" t="s">
        <v>2328</v>
      </c>
      <c r="X208" s="0" t="s">
        <v>78</v>
      </c>
      <c r="Y208" s="0" t="s">
        <v>114</v>
      </c>
      <c r="Z208" s="0" t="s">
        <v>2326</v>
      </c>
      <c r="AA208" s="0" t="s">
        <v>79</v>
      </c>
      <c r="AB208" s="5" t="n">
        <v>40000</v>
      </c>
      <c r="AC208" s="5" t="n">
        <v>31402.4390243902</v>
      </c>
      <c r="AD208" s="0" t="s">
        <v>50</v>
      </c>
      <c r="AE208" s="5" t="n">
        <v>0</v>
      </c>
      <c r="AF208" s="0" t="s">
        <v>60</v>
      </c>
      <c r="AG208" s="7" t="s">
        <v>2453</v>
      </c>
      <c r="AH208" s="0" t="s">
        <v>63</v>
      </c>
      <c r="AI208" s="0" t="s">
        <v>2331</v>
      </c>
      <c r="AJ208" s="0" t="s">
        <v>2331</v>
      </c>
      <c r="AK208" s="0" t="s">
        <v>63</v>
      </c>
      <c r="AL208" s="0" t="s">
        <v>2344</v>
      </c>
      <c r="AM208" s="0" t="s">
        <v>2344</v>
      </c>
      <c r="AN208" s="0" t="s">
        <v>2321</v>
      </c>
      <c r="AO208" s="0" t="s">
        <v>50</v>
      </c>
    </row>
    <row r="209" customFormat="false" ht="15" hidden="false" customHeight="false" outlineLevel="0" collapsed="false">
      <c r="A209" s="0" t="s">
        <v>638</v>
      </c>
      <c r="B209" s="2" t="s">
        <v>2403</v>
      </c>
      <c r="C209" s="0" t="s">
        <v>66</v>
      </c>
      <c r="D209" s="0" t="n">
        <v>8021278067</v>
      </c>
      <c r="E209" s="0" t="s">
        <v>67</v>
      </c>
      <c r="F209" s="0" t="s">
        <v>2316</v>
      </c>
      <c r="G209" s="0" t="s">
        <v>269</v>
      </c>
      <c r="H209" s="0" t="s">
        <v>134</v>
      </c>
      <c r="I209" s="3" t="s">
        <v>2322</v>
      </c>
      <c r="J209" s="0" t="s">
        <v>189</v>
      </c>
      <c r="K209" s="0" t="s">
        <v>90</v>
      </c>
      <c r="L209" s="4" t="n">
        <v>37601</v>
      </c>
      <c r="M209" s="0" t="s">
        <v>49</v>
      </c>
      <c r="N209" s="0" t="s">
        <v>50</v>
      </c>
      <c r="O209" s="5" t="n">
        <v>5</v>
      </c>
      <c r="P209" s="0" t="n">
        <v>2.5</v>
      </c>
      <c r="Q209" s="0" t="s">
        <v>111</v>
      </c>
      <c r="R209" s="0" t="s">
        <v>52</v>
      </c>
      <c r="S209" s="0" t="s">
        <v>2340</v>
      </c>
      <c r="T209" s="0" t="s">
        <v>54</v>
      </c>
      <c r="U209" s="5" t="n">
        <v>40.3125</v>
      </c>
      <c r="V209" s="0" t="s">
        <v>96</v>
      </c>
      <c r="W209" s="0" t="s">
        <v>2337</v>
      </c>
      <c r="X209" s="0" t="s">
        <v>128</v>
      </c>
      <c r="Y209" s="0" t="s">
        <v>196</v>
      </c>
      <c r="Z209" s="0" t="s">
        <v>177</v>
      </c>
      <c r="AA209" s="0" t="s">
        <v>79</v>
      </c>
      <c r="AB209" s="5" t="n">
        <v>25000</v>
      </c>
      <c r="AC209" s="5" t="n">
        <v>20000</v>
      </c>
      <c r="AD209" s="0" t="s">
        <v>50</v>
      </c>
      <c r="AE209" s="5" t="n">
        <v>5000</v>
      </c>
      <c r="AF209" s="0" t="s">
        <v>60</v>
      </c>
      <c r="AG209" s="7" t="s">
        <v>2330</v>
      </c>
      <c r="AH209" s="0" t="s">
        <v>2329</v>
      </c>
      <c r="AI209" s="0" t="s">
        <v>171</v>
      </c>
      <c r="AJ209" s="0" t="s">
        <v>172</v>
      </c>
      <c r="AK209" s="0" t="s">
        <v>50</v>
      </c>
      <c r="AL209" s="0" t="s">
        <v>63</v>
      </c>
      <c r="AM209" s="0" t="s">
        <v>2344</v>
      </c>
      <c r="AN209" s="0" t="s">
        <v>64</v>
      </c>
      <c r="AO209" s="0" t="s">
        <v>50</v>
      </c>
    </row>
    <row r="210" customFormat="false" ht="15" hidden="false" customHeight="false" outlineLevel="0" collapsed="false">
      <c r="A210" s="0" t="s">
        <v>639</v>
      </c>
      <c r="B210" s="2" t="s">
        <v>2386</v>
      </c>
      <c r="C210" s="0" t="s">
        <v>42</v>
      </c>
      <c r="D210" s="0" t="n">
        <v>8049600674</v>
      </c>
      <c r="E210" s="0" t="s">
        <v>122</v>
      </c>
      <c r="F210" s="0" t="s">
        <v>2316</v>
      </c>
      <c r="G210" s="0" t="s">
        <v>640</v>
      </c>
      <c r="H210" s="0" t="s">
        <v>87</v>
      </c>
      <c r="I210" s="3" t="s">
        <v>2325</v>
      </c>
      <c r="J210" s="0" t="s">
        <v>2339</v>
      </c>
      <c r="K210" s="0" t="s">
        <v>71</v>
      </c>
      <c r="L210" s="4" t="n">
        <v>100874</v>
      </c>
      <c r="M210" s="0" t="s">
        <v>49</v>
      </c>
      <c r="N210" s="0" t="s">
        <v>63</v>
      </c>
      <c r="O210" s="5" t="n">
        <v>4</v>
      </c>
      <c r="P210" s="0" t="n">
        <v>3.4</v>
      </c>
      <c r="Q210" s="0" t="s">
        <v>111</v>
      </c>
      <c r="R210" s="0" t="s">
        <v>52</v>
      </c>
      <c r="S210" s="0" t="s">
        <v>2335</v>
      </c>
      <c r="T210" s="0" t="s">
        <v>2343</v>
      </c>
      <c r="U210" s="5" t="n">
        <v>40.2155172413793</v>
      </c>
      <c r="V210" s="0" t="s">
        <v>96</v>
      </c>
      <c r="W210" s="0" t="s">
        <v>148</v>
      </c>
      <c r="X210" s="0" t="s">
        <v>78</v>
      </c>
      <c r="Y210" s="0" t="s">
        <v>196</v>
      </c>
      <c r="Z210" s="0" t="s">
        <v>2329</v>
      </c>
      <c r="AA210" s="0" t="s">
        <v>2329</v>
      </c>
      <c r="AB210" s="5" t="n">
        <v>20000</v>
      </c>
      <c r="AC210" s="5" t="n">
        <v>31419.8473282443</v>
      </c>
      <c r="AD210" s="0" t="s">
        <v>50</v>
      </c>
      <c r="AE210" s="5" t="n">
        <v>0</v>
      </c>
      <c r="AF210" s="0" t="s">
        <v>60</v>
      </c>
      <c r="AG210" s="7" t="s">
        <v>2454</v>
      </c>
      <c r="AH210" s="0" t="s">
        <v>63</v>
      </c>
      <c r="AI210" s="0" t="s">
        <v>2331</v>
      </c>
      <c r="AJ210" s="0" t="s">
        <v>2320</v>
      </c>
      <c r="AK210" s="0" t="s">
        <v>50</v>
      </c>
      <c r="AL210" s="0" t="s">
        <v>63</v>
      </c>
      <c r="AM210" s="0" t="s">
        <v>2344</v>
      </c>
      <c r="AN210" s="0" t="s">
        <v>64</v>
      </c>
      <c r="AO210" s="0" t="s">
        <v>63</v>
      </c>
    </row>
    <row r="211" customFormat="false" ht="15" hidden="false" customHeight="false" outlineLevel="0" collapsed="false">
      <c r="A211" s="0" t="s">
        <v>641</v>
      </c>
      <c r="B211" s="2" t="s">
        <v>626</v>
      </c>
      <c r="C211" s="0" t="s">
        <v>121</v>
      </c>
      <c r="D211" s="0" t="n">
        <v>8069660493</v>
      </c>
      <c r="E211" s="0" t="s">
        <v>85</v>
      </c>
      <c r="F211" s="0" t="s">
        <v>2319</v>
      </c>
      <c r="G211" s="0" t="s">
        <v>642</v>
      </c>
      <c r="H211" s="0" t="s">
        <v>69</v>
      </c>
      <c r="I211" s="3" t="s">
        <v>2322</v>
      </c>
      <c r="J211" s="0" t="s">
        <v>2347</v>
      </c>
      <c r="K211" s="0" t="s">
        <v>71</v>
      </c>
      <c r="L211" s="4" t="n">
        <v>106990</v>
      </c>
      <c r="M211" s="0" t="s">
        <v>49</v>
      </c>
      <c r="N211" s="0" t="s">
        <v>63</v>
      </c>
      <c r="O211" s="5" t="n">
        <v>5</v>
      </c>
      <c r="P211" s="0" t="n">
        <v>4.8</v>
      </c>
      <c r="Q211" s="0" t="s">
        <v>111</v>
      </c>
      <c r="R211" s="0" t="s">
        <v>93</v>
      </c>
      <c r="S211" s="0" t="s">
        <v>53</v>
      </c>
      <c r="T211" s="0" t="s">
        <v>2343</v>
      </c>
      <c r="U211" s="5" t="n">
        <v>30</v>
      </c>
      <c r="V211" s="0" t="s">
        <v>96</v>
      </c>
      <c r="W211" s="0" t="s">
        <v>2328</v>
      </c>
      <c r="X211" s="0" t="s">
        <v>128</v>
      </c>
      <c r="Y211" s="0" t="s">
        <v>58</v>
      </c>
      <c r="Z211" s="0" t="s">
        <v>2326</v>
      </c>
      <c r="AA211" s="0" t="s">
        <v>161</v>
      </c>
      <c r="AB211" s="5" t="n">
        <v>15000</v>
      </c>
      <c r="AC211" s="5" t="n">
        <v>20000</v>
      </c>
      <c r="AD211" s="0" t="s">
        <v>63</v>
      </c>
      <c r="AE211" s="5" t="n">
        <v>5000</v>
      </c>
      <c r="AF211" s="0" t="s">
        <v>2338</v>
      </c>
      <c r="AG211" s="7" t="s">
        <v>2455</v>
      </c>
      <c r="AH211" s="0" t="s">
        <v>50</v>
      </c>
      <c r="AI211" s="0" t="s">
        <v>116</v>
      </c>
      <c r="AJ211" s="0" t="s">
        <v>2331</v>
      </c>
      <c r="AK211" s="0" t="s">
        <v>50</v>
      </c>
      <c r="AL211" s="0" t="s">
        <v>63</v>
      </c>
      <c r="AM211" s="0" t="s">
        <v>2344</v>
      </c>
      <c r="AN211" s="0" t="s">
        <v>2321</v>
      </c>
      <c r="AO211" s="0" t="s">
        <v>63</v>
      </c>
    </row>
    <row r="212" customFormat="false" ht="15" hidden="false" customHeight="false" outlineLevel="0" collapsed="false">
      <c r="A212" s="0" t="s">
        <v>643</v>
      </c>
      <c r="B212" s="2" t="s">
        <v>2399</v>
      </c>
      <c r="C212" s="0" t="s">
        <v>163</v>
      </c>
      <c r="D212" s="0" t="n">
        <v>8079634938</v>
      </c>
      <c r="E212" s="0" t="s">
        <v>43</v>
      </c>
      <c r="F212" s="0" t="s">
        <v>2315</v>
      </c>
      <c r="G212" s="0" t="s">
        <v>644</v>
      </c>
      <c r="H212" s="0" t="s">
        <v>134</v>
      </c>
      <c r="I212" s="3" t="s">
        <v>2325</v>
      </c>
      <c r="J212" s="0" t="s">
        <v>47</v>
      </c>
      <c r="K212" s="0" t="s">
        <v>71</v>
      </c>
      <c r="L212" s="4" t="n">
        <v>104639</v>
      </c>
      <c r="M212" s="0" t="s">
        <v>110</v>
      </c>
      <c r="N212" s="0" t="s">
        <v>63</v>
      </c>
      <c r="O212" s="5" t="n">
        <v>3.00458015267176</v>
      </c>
      <c r="P212" s="0" t="n">
        <v>4.2</v>
      </c>
      <c r="Q212" s="0" t="s">
        <v>125</v>
      </c>
      <c r="R212" s="0" t="s">
        <v>52</v>
      </c>
      <c r="S212" s="0" t="s">
        <v>2340</v>
      </c>
      <c r="T212" s="0" t="s">
        <v>147</v>
      </c>
      <c r="U212" s="5" t="n">
        <v>45</v>
      </c>
      <c r="V212" s="0" t="s">
        <v>55</v>
      </c>
      <c r="W212" s="0" t="s">
        <v>2337</v>
      </c>
      <c r="X212" s="0" t="s">
        <v>78</v>
      </c>
      <c r="Y212" s="0" t="s">
        <v>196</v>
      </c>
      <c r="Z212" s="0" t="s">
        <v>2326</v>
      </c>
      <c r="AA212" s="0" t="s">
        <v>79</v>
      </c>
      <c r="AB212" s="5" t="n">
        <v>20000</v>
      </c>
      <c r="AC212" s="5" t="n">
        <v>30000</v>
      </c>
      <c r="AD212" s="0" t="s">
        <v>63</v>
      </c>
      <c r="AE212" s="5" t="n">
        <v>0</v>
      </c>
      <c r="AF212" s="0" t="s">
        <v>184</v>
      </c>
      <c r="AG212" s="7" t="s">
        <v>645</v>
      </c>
      <c r="AH212" s="0" t="s">
        <v>50</v>
      </c>
      <c r="AI212" s="0" t="s">
        <v>2331</v>
      </c>
      <c r="AJ212" s="0" t="s">
        <v>172</v>
      </c>
      <c r="AK212" s="0" t="s">
        <v>63</v>
      </c>
      <c r="AL212" s="0" t="s">
        <v>63</v>
      </c>
      <c r="AM212" s="0" t="s">
        <v>50</v>
      </c>
      <c r="AN212" s="0" t="s">
        <v>2318</v>
      </c>
      <c r="AO212" s="0" t="s">
        <v>50</v>
      </c>
    </row>
    <row r="213" customFormat="false" ht="15" hidden="false" customHeight="false" outlineLevel="0" collapsed="false">
      <c r="A213" s="0" t="s">
        <v>646</v>
      </c>
      <c r="B213" s="2" t="s">
        <v>2345</v>
      </c>
      <c r="C213" s="0" t="s">
        <v>42</v>
      </c>
      <c r="D213" s="0" t="n">
        <v>8057187591</v>
      </c>
      <c r="E213" s="0" t="s">
        <v>122</v>
      </c>
      <c r="F213" s="0" t="s">
        <v>2316</v>
      </c>
      <c r="G213" s="0" t="s">
        <v>647</v>
      </c>
      <c r="H213" s="0" t="s">
        <v>69</v>
      </c>
      <c r="I213" s="3" t="s">
        <v>87</v>
      </c>
      <c r="J213" s="0" t="s">
        <v>2349</v>
      </c>
      <c r="K213" s="0" t="s">
        <v>48</v>
      </c>
      <c r="L213" s="4" t="n">
        <v>102399</v>
      </c>
      <c r="M213" s="0" t="s">
        <v>2333</v>
      </c>
      <c r="N213" s="0" t="s">
        <v>50</v>
      </c>
      <c r="O213" s="5" t="n">
        <v>3.00458015267176</v>
      </c>
      <c r="P213" s="0" t="n">
        <v>2.8</v>
      </c>
      <c r="Q213" s="0" t="s">
        <v>111</v>
      </c>
      <c r="R213" s="0" t="s">
        <v>73</v>
      </c>
      <c r="S213" s="0" t="s">
        <v>2366</v>
      </c>
      <c r="T213" s="0" t="s">
        <v>75</v>
      </c>
      <c r="U213" s="5" t="n">
        <v>30</v>
      </c>
      <c r="V213" s="0" t="s">
        <v>55</v>
      </c>
      <c r="W213" s="0" t="s">
        <v>148</v>
      </c>
      <c r="X213" s="0" t="s">
        <v>98</v>
      </c>
      <c r="Y213" s="0" t="s">
        <v>99</v>
      </c>
      <c r="Z213" s="0" t="s">
        <v>59</v>
      </c>
      <c r="AA213" s="0" t="s">
        <v>161</v>
      </c>
      <c r="AB213" s="5" t="n">
        <v>25000</v>
      </c>
      <c r="AC213" s="5" t="n">
        <v>35000</v>
      </c>
      <c r="AD213" s="0" t="s">
        <v>50</v>
      </c>
      <c r="AE213" s="5" t="n">
        <v>5000</v>
      </c>
      <c r="AF213" s="0" t="s">
        <v>130</v>
      </c>
      <c r="AG213" s="7" t="s">
        <v>2456</v>
      </c>
      <c r="AH213" s="0" t="s">
        <v>63</v>
      </c>
      <c r="AI213" s="0" t="s">
        <v>116</v>
      </c>
      <c r="AJ213" s="0" t="s">
        <v>2331</v>
      </c>
      <c r="AK213" s="0" t="s">
        <v>50</v>
      </c>
      <c r="AL213" s="0" t="s">
        <v>63</v>
      </c>
      <c r="AM213" s="0" t="s">
        <v>2344</v>
      </c>
      <c r="AN213" s="0" t="s">
        <v>2321</v>
      </c>
      <c r="AO213" s="0" t="s">
        <v>63</v>
      </c>
    </row>
    <row r="214" customFormat="false" ht="15" hidden="false" customHeight="false" outlineLevel="0" collapsed="false">
      <c r="A214" s="0" t="s">
        <v>648</v>
      </c>
      <c r="B214" s="2" t="s">
        <v>2436</v>
      </c>
      <c r="C214" s="0" t="s">
        <v>42</v>
      </c>
      <c r="D214" s="0" t="n">
        <v>8040893911</v>
      </c>
      <c r="E214" s="0" t="s">
        <v>122</v>
      </c>
      <c r="F214" s="0" t="s">
        <v>2316</v>
      </c>
      <c r="G214" s="0" t="s">
        <v>649</v>
      </c>
      <c r="H214" s="0" t="s">
        <v>69</v>
      </c>
      <c r="I214" s="3" t="s">
        <v>2342</v>
      </c>
      <c r="J214" s="0" t="s">
        <v>2339</v>
      </c>
      <c r="K214" s="0" t="s">
        <v>48</v>
      </c>
      <c r="L214" s="4" t="n">
        <v>58784</v>
      </c>
      <c r="M214" s="0" t="s">
        <v>2333</v>
      </c>
      <c r="N214" s="0" t="s">
        <v>50</v>
      </c>
      <c r="O214" s="5" t="n">
        <v>3.00458015267176</v>
      </c>
      <c r="P214" s="0" t="n">
        <v>1.7</v>
      </c>
      <c r="Q214" s="0" t="s">
        <v>111</v>
      </c>
      <c r="R214" s="0" t="s">
        <v>73</v>
      </c>
      <c r="S214" s="0" t="s">
        <v>2340</v>
      </c>
      <c r="T214" s="0" t="s">
        <v>2353</v>
      </c>
      <c r="U214" s="5" t="n">
        <v>45</v>
      </c>
      <c r="V214" s="0" t="s">
        <v>2336</v>
      </c>
      <c r="W214" s="0" t="s">
        <v>2328</v>
      </c>
      <c r="X214" s="0" t="s">
        <v>98</v>
      </c>
      <c r="Y214" s="0" t="s">
        <v>114</v>
      </c>
      <c r="Z214" s="0" t="s">
        <v>2326</v>
      </c>
      <c r="AA214" s="0" t="s">
        <v>79</v>
      </c>
      <c r="AB214" s="5" t="n">
        <v>30000</v>
      </c>
      <c r="AC214" s="5" t="n">
        <v>31434.0490797546</v>
      </c>
      <c r="AD214" s="0" t="s">
        <v>50</v>
      </c>
      <c r="AE214" s="5" t="n">
        <v>0</v>
      </c>
      <c r="AF214" s="0" t="s">
        <v>184</v>
      </c>
      <c r="AG214" s="7" t="s">
        <v>2330</v>
      </c>
      <c r="AH214" s="0" t="s">
        <v>2329</v>
      </c>
      <c r="AI214" s="0" t="s">
        <v>116</v>
      </c>
      <c r="AJ214" s="0" t="s">
        <v>2320</v>
      </c>
      <c r="AK214" s="0" t="s">
        <v>50</v>
      </c>
      <c r="AL214" s="0" t="s">
        <v>50</v>
      </c>
      <c r="AM214" s="0" t="s">
        <v>63</v>
      </c>
      <c r="AN214" s="0" t="s">
        <v>2321</v>
      </c>
      <c r="AO214" s="0" t="s">
        <v>63</v>
      </c>
    </row>
    <row r="215" customFormat="false" ht="15" hidden="false" customHeight="false" outlineLevel="0" collapsed="false">
      <c r="A215" s="0" t="s">
        <v>650</v>
      </c>
      <c r="B215" s="2" t="s">
        <v>2419</v>
      </c>
      <c r="C215" s="0" t="s">
        <v>121</v>
      </c>
      <c r="D215" s="0" t="n">
        <v>8088378083</v>
      </c>
      <c r="E215" s="0" t="s">
        <v>122</v>
      </c>
      <c r="F215" s="0" t="s">
        <v>2316</v>
      </c>
      <c r="G215" s="0" t="s">
        <v>651</v>
      </c>
      <c r="H215" s="0" t="s">
        <v>107</v>
      </c>
      <c r="I215" s="3" t="s">
        <v>2317</v>
      </c>
      <c r="J215" s="0" t="s">
        <v>2339</v>
      </c>
      <c r="K215" s="0" t="s">
        <v>71</v>
      </c>
      <c r="L215" s="4" t="n">
        <v>97470</v>
      </c>
      <c r="M215" s="0" t="s">
        <v>2333</v>
      </c>
      <c r="N215" s="0" t="s">
        <v>50</v>
      </c>
      <c r="O215" s="5" t="n">
        <v>3.00458015267176</v>
      </c>
      <c r="P215" s="0" t="n">
        <v>3.2</v>
      </c>
      <c r="Q215" s="0" t="s">
        <v>51</v>
      </c>
      <c r="R215" s="0" t="s">
        <v>73</v>
      </c>
      <c r="S215" s="0" t="s">
        <v>53</v>
      </c>
      <c r="T215" s="0" t="s">
        <v>2343</v>
      </c>
      <c r="U215" s="5" t="n">
        <v>60</v>
      </c>
      <c r="V215" s="0" t="s">
        <v>2336</v>
      </c>
      <c r="W215" s="0" t="s">
        <v>155</v>
      </c>
      <c r="X215" s="0" t="s">
        <v>98</v>
      </c>
      <c r="Y215" s="0" t="s">
        <v>114</v>
      </c>
      <c r="Z215" s="0" t="s">
        <v>59</v>
      </c>
      <c r="AA215" s="0" t="s">
        <v>2329</v>
      </c>
      <c r="AB215" s="5" t="n">
        <v>15000</v>
      </c>
      <c r="AC215" s="5" t="n">
        <v>30000</v>
      </c>
      <c r="AD215" s="0" t="s">
        <v>50</v>
      </c>
      <c r="AE215" s="5" t="n">
        <v>0</v>
      </c>
      <c r="AF215" s="0" t="s">
        <v>60</v>
      </c>
      <c r="AG215" s="7" t="s">
        <v>2330</v>
      </c>
      <c r="AH215" s="0" t="s">
        <v>50</v>
      </c>
      <c r="AI215" s="0" t="s">
        <v>2331</v>
      </c>
      <c r="AJ215" s="0" t="s">
        <v>2331</v>
      </c>
      <c r="AK215" s="0" t="s">
        <v>50</v>
      </c>
      <c r="AL215" s="0" t="s">
        <v>50</v>
      </c>
      <c r="AM215" s="0" t="s">
        <v>63</v>
      </c>
      <c r="AN215" s="0" t="s">
        <v>2321</v>
      </c>
      <c r="AO215" s="0" t="s">
        <v>50</v>
      </c>
    </row>
    <row r="216" customFormat="false" ht="15" hidden="false" customHeight="false" outlineLevel="0" collapsed="false">
      <c r="A216" s="0" t="s">
        <v>653</v>
      </c>
      <c r="B216" s="2" t="s">
        <v>652</v>
      </c>
      <c r="C216" s="0" t="s">
        <v>42</v>
      </c>
      <c r="D216" s="0" t="n">
        <v>8015522109</v>
      </c>
      <c r="E216" s="0" t="s">
        <v>85</v>
      </c>
      <c r="F216" s="0" t="s">
        <v>2319</v>
      </c>
      <c r="G216" s="0" t="s">
        <v>654</v>
      </c>
      <c r="H216" s="0" t="s">
        <v>107</v>
      </c>
      <c r="I216" s="3" t="s">
        <v>2322</v>
      </c>
      <c r="J216" s="0" t="s">
        <v>2349</v>
      </c>
      <c r="K216" s="0" t="s">
        <v>48</v>
      </c>
      <c r="L216" s="4" t="n">
        <v>77414</v>
      </c>
      <c r="M216" s="0" t="s">
        <v>2333</v>
      </c>
      <c r="N216" s="0" t="s">
        <v>63</v>
      </c>
      <c r="O216" s="5" t="n">
        <v>4</v>
      </c>
      <c r="P216" s="0" t="n">
        <v>3.6</v>
      </c>
      <c r="Q216" s="0" t="s">
        <v>125</v>
      </c>
      <c r="R216" s="0" t="s">
        <v>73</v>
      </c>
      <c r="S216" s="0" t="s">
        <v>53</v>
      </c>
      <c r="T216" s="0" t="s">
        <v>95</v>
      </c>
      <c r="U216" s="5" t="n">
        <v>15</v>
      </c>
      <c r="V216" s="0" t="s">
        <v>2352</v>
      </c>
      <c r="W216" s="0" t="s">
        <v>2337</v>
      </c>
      <c r="X216" s="0" t="s">
        <v>128</v>
      </c>
      <c r="Y216" s="0" t="s">
        <v>58</v>
      </c>
      <c r="Z216" s="0" t="s">
        <v>2329</v>
      </c>
      <c r="AA216" s="0" t="s">
        <v>143</v>
      </c>
      <c r="AB216" s="5" t="n">
        <v>15000</v>
      </c>
      <c r="AC216" s="5" t="n">
        <v>30000</v>
      </c>
      <c r="AD216" s="0" t="s">
        <v>50</v>
      </c>
      <c r="AE216" s="5" t="n">
        <v>5000</v>
      </c>
      <c r="AF216" s="0" t="s">
        <v>60</v>
      </c>
      <c r="AG216" s="7" t="s">
        <v>2457</v>
      </c>
      <c r="AH216" s="0" t="s">
        <v>2329</v>
      </c>
      <c r="AI216" s="0" t="s">
        <v>171</v>
      </c>
      <c r="AJ216" s="0" t="s">
        <v>2331</v>
      </c>
      <c r="AK216" s="0" t="s">
        <v>2344</v>
      </c>
      <c r="AL216" s="0" t="s">
        <v>50</v>
      </c>
      <c r="AM216" s="0" t="s">
        <v>63</v>
      </c>
      <c r="AN216" s="0" t="s">
        <v>2318</v>
      </c>
      <c r="AO216" s="0" t="s">
        <v>2359</v>
      </c>
    </row>
    <row r="217" customFormat="false" ht="15" hidden="false" customHeight="false" outlineLevel="0" collapsed="false">
      <c r="A217" s="0" t="s">
        <v>655</v>
      </c>
      <c r="B217" s="2" t="s">
        <v>502</v>
      </c>
      <c r="C217" s="0" t="s">
        <v>42</v>
      </c>
      <c r="D217" s="0" t="n">
        <v>8072445215</v>
      </c>
      <c r="E217" s="0" t="s">
        <v>43</v>
      </c>
      <c r="F217" s="0" t="s">
        <v>2315</v>
      </c>
      <c r="G217" s="0" t="s">
        <v>656</v>
      </c>
      <c r="H217" s="0" t="s">
        <v>107</v>
      </c>
      <c r="I217" s="3" t="s">
        <v>2317</v>
      </c>
      <c r="J217" s="0" t="s">
        <v>2347</v>
      </c>
      <c r="K217" s="0" t="s">
        <v>71</v>
      </c>
      <c r="L217" s="4" t="n">
        <v>56840</v>
      </c>
      <c r="M217" s="0" t="s">
        <v>2333</v>
      </c>
      <c r="N217" s="0" t="s">
        <v>63</v>
      </c>
      <c r="O217" s="5" t="n">
        <v>5</v>
      </c>
      <c r="P217" s="0" t="n">
        <v>4.7</v>
      </c>
      <c r="Q217" s="0" t="s">
        <v>92</v>
      </c>
      <c r="R217" s="0" t="s">
        <v>52</v>
      </c>
      <c r="S217" s="0" t="s">
        <v>2335</v>
      </c>
      <c r="T217" s="0" t="s">
        <v>2353</v>
      </c>
      <c r="U217" s="5" t="n">
        <v>60</v>
      </c>
      <c r="V217" s="0" t="s">
        <v>2336</v>
      </c>
      <c r="W217" s="0" t="s">
        <v>155</v>
      </c>
      <c r="X217" s="0" t="s">
        <v>128</v>
      </c>
      <c r="Y217" s="0" t="s">
        <v>114</v>
      </c>
      <c r="Z217" s="0" t="s">
        <v>59</v>
      </c>
      <c r="AA217" s="0" t="s">
        <v>79</v>
      </c>
      <c r="AB217" s="5" t="n">
        <v>30000</v>
      </c>
      <c r="AC217" s="5" t="n">
        <v>35000</v>
      </c>
      <c r="AD217" s="0" t="s">
        <v>63</v>
      </c>
      <c r="AE217" s="5" t="n">
        <v>5000</v>
      </c>
      <c r="AF217" s="0" t="s">
        <v>130</v>
      </c>
      <c r="AG217" s="7" t="s">
        <v>2330</v>
      </c>
      <c r="AH217" s="0" t="s">
        <v>63</v>
      </c>
      <c r="AI217" s="0" t="s">
        <v>2331</v>
      </c>
      <c r="AJ217" s="0" t="s">
        <v>2331</v>
      </c>
      <c r="AK217" s="0" t="s">
        <v>2344</v>
      </c>
      <c r="AL217" s="0" t="s">
        <v>63</v>
      </c>
      <c r="AM217" s="0" t="s">
        <v>63</v>
      </c>
      <c r="AN217" s="0" t="s">
        <v>2321</v>
      </c>
      <c r="AO217" s="0" t="s">
        <v>50</v>
      </c>
    </row>
    <row r="218" customFormat="false" ht="15" hidden="false" customHeight="false" outlineLevel="0" collapsed="false">
      <c r="A218" s="0" t="s">
        <v>657</v>
      </c>
      <c r="B218" s="2" t="s">
        <v>626</v>
      </c>
      <c r="C218" s="0" t="s">
        <v>105</v>
      </c>
      <c r="D218" s="0" t="n">
        <v>8078754653</v>
      </c>
      <c r="E218" s="0" t="s">
        <v>43</v>
      </c>
      <c r="F218" s="0" t="s">
        <v>2315</v>
      </c>
      <c r="G218" s="0" t="s">
        <v>658</v>
      </c>
      <c r="H218" s="0" t="s">
        <v>134</v>
      </c>
      <c r="I218" s="3" t="s">
        <v>87</v>
      </c>
      <c r="J218" s="0" t="s">
        <v>47</v>
      </c>
      <c r="K218" s="0" t="s">
        <v>48</v>
      </c>
      <c r="L218" s="4" t="n">
        <v>34203</v>
      </c>
      <c r="M218" s="0" t="s">
        <v>2333</v>
      </c>
      <c r="N218" s="0" t="s">
        <v>63</v>
      </c>
      <c r="O218" s="5" t="n">
        <v>1</v>
      </c>
      <c r="P218" s="0" t="n">
        <v>4.7</v>
      </c>
      <c r="Q218" s="0" t="s">
        <v>111</v>
      </c>
      <c r="R218" s="0" t="s">
        <v>93</v>
      </c>
      <c r="S218" s="0" t="s">
        <v>2340</v>
      </c>
      <c r="T218" s="0" t="s">
        <v>75</v>
      </c>
      <c r="U218" s="5" t="n">
        <v>36.0326086956522</v>
      </c>
      <c r="V218" s="0" t="s">
        <v>55</v>
      </c>
      <c r="W218" s="0" t="s">
        <v>155</v>
      </c>
      <c r="X218" s="0" t="s">
        <v>128</v>
      </c>
      <c r="Y218" s="0" t="s">
        <v>114</v>
      </c>
      <c r="Z218" s="0" t="s">
        <v>59</v>
      </c>
      <c r="AA218" s="0" t="s">
        <v>161</v>
      </c>
      <c r="AB218" s="5" t="n">
        <v>15000</v>
      </c>
      <c r="AC218" s="5" t="n">
        <v>40000</v>
      </c>
      <c r="AD218" s="0" t="s">
        <v>50</v>
      </c>
      <c r="AE218" s="5" t="n">
        <v>0</v>
      </c>
      <c r="AF218" s="0" t="s">
        <v>60</v>
      </c>
      <c r="AG218" s="7" t="s">
        <v>2402</v>
      </c>
      <c r="AH218" s="0" t="s">
        <v>63</v>
      </c>
      <c r="AI218" s="0" t="s">
        <v>2331</v>
      </c>
      <c r="AJ218" s="0" t="s">
        <v>2331</v>
      </c>
      <c r="AK218" s="0" t="s">
        <v>50</v>
      </c>
      <c r="AL218" s="0" t="s">
        <v>2344</v>
      </c>
      <c r="AM218" s="0" t="s">
        <v>63</v>
      </c>
      <c r="AN218" s="0" t="s">
        <v>2321</v>
      </c>
      <c r="AO218" s="0" t="s">
        <v>50</v>
      </c>
    </row>
    <row r="219" customFormat="false" ht="15" hidden="false" customHeight="false" outlineLevel="0" collapsed="false">
      <c r="A219" s="0" t="s">
        <v>660</v>
      </c>
      <c r="B219" s="2" t="s">
        <v>659</v>
      </c>
      <c r="C219" s="0" t="s">
        <v>121</v>
      </c>
      <c r="D219" s="0" t="n">
        <v>8093366096</v>
      </c>
      <c r="E219" s="0" t="s">
        <v>85</v>
      </c>
      <c r="F219" s="0" t="s">
        <v>2319</v>
      </c>
      <c r="G219" s="0" t="s">
        <v>661</v>
      </c>
      <c r="H219" s="0" t="s">
        <v>87</v>
      </c>
      <c r="I219" s="3" t="s">
        <v>2317</v>
      </c>
      <c r="J219" s="0" t="s">
        <v>2349</v>
      </c>
      <c r="K219" s="0" t="s">
        <v>48</v>
      </c>
      <c r="L219" s="4" t="n">
        <v>41037</v>
      </c>
      <c r="M219" s="0" t="s">
        <v>110</v>
      </c>
      <c r="N219" s="0" t="s">
        <v>50</v>
      </c>
      <c r="O219" s="5" t="n">
        <v>1</v>
      </c>
      <c r="P219" s="0" t="n">
        <v>1.6</v>
      </c>
      <c r="Q219" s="0" t="s">
        <v>51</v>
      </c>
      <c r="R219" s="0" t="s">
        <v>52</v>
      </c>
      <c r="S219" s="0" t="s">
        <v>2335</v>
      </c>
      <c r="T219" s="0" t="s">
        <v>2343</v>
      </c>
      <c r="U219" s="5" t="n">
        <v>38.0859375</v>
      </c>
      <c r="V219" s="0" t="s">
        <v>2336</v>
      </c>
      <c r="W219" s="0" t="s">
        <v>2337</v>
      </c>
      <c r="X219" s="0" t="s">
        <v>78</v>
      </c>
      <c r="Y219" s="0" t="s">
        <v>196</v>
      </c>
      <c r="Z219" s="0" t="s">
        <v>2329</v>
      </c>
      <c r="AA219" s="0" t="s">
        <v>79</v>
      </c>
      <c r="AB219" s="5" t="n">
        <v>30000</v>
      </c>
      <c r="AC219" s="5" t="n">
        <v>20000</v>
      </c>
      <c r="AD219" s="0" t="s">
        <v>63</v>
      </c>
      <c r="AE219" s="5" t="n">
        <v>5000</v>
      </c>
      <c r="AF219" s="0" t="s">
        <v>184</v>
      </c>
      <c r="AG219" s="7" t="s">
        <v>2330</v>
      </c>
      <c r="AH219" s="0" t="s">
        <v>50</v>
      </c>
      <c r="AI219" s="0" t="s">
        <v>116</v>
      </c>
      <c r="AJ219" s="0" t="s">
        <v>172</v>
      </c>
      <c r="AK219" s="0" t="s">
        <v>63</v>
      </c>
      <c r="AL219" s="0" t="s">
        <v>50</v>
      </c>
      <c r="AM219" s="0" t="s">
        <v>63</v>
      </c>
      <c r="AN219" s="0" t="s">
        <v>2321</v>
      </c>
      <c r="AO219" s="0" t="s">
        <v>63</v>
      </c>
    </row>
    <row r="220" customFormat="false" ht="15" hidden="false" customHeight="false" outlineLevel="0" collapsed="false">
      <c r="A220" s="0" t="s">
        <v>662</v>
      </c>
      <c r="B220" s="2" t="s">
        <v>2458</v>
      </c>
      <c r="C220" s="0" t="s">
        <v>121</v>
      </c>
      <c r="D220" s="0" t="n">
        <v>8055147351</v>
      </c>
      <c r="E220" s="0" t="s">
        <v>67</v>
      </c>
      <c r="F220" s="0" t="s">
        <v>2316</v>
      </c>
      <c r="G220" s="0" t="s">
        <v>663</v>
      </c>
      <c r="H220" s="0" t="s">
        <v>134</v>
      </c>
      <c r="I220" s="3" t="s">
        <v>87</v>
      </c>
      <c r="J220" s="0" t="s">
        <v>2349</v>
      </c>
      <c r="K220" s="0" t="s">
        <v>90</v>
      </c>
      <c r="L220" s="4" t="n">
        <v>93548</v>
      </c>
      <c r="M220" s="0" t="s">
        <v>110</v>
      </c>
      <c r="N220" s="0" t="s">
        <v>50</v>
      </c>
      <c r="O220" s="5" t="n">
        <v>5</v>
      </c>
      <c r="P220" s="0" t="n">
        <v>4.9</v>
      </c>
      <c r="Q220" s="0" t="s">
        <v>111</v>
      </c>
      <c r="R220" s="0" t="s">
        <v>73</v>
      </c>
      <c r="S220" s="0" t="s">
        <v>2366</v>
      </c>
      <c r="T220" s="0" t="s">
        <v>75</v>
      </c>
      <c r="U220" s="5" t="n">
        <v>45</v>
      </c>
      <c r="V220" s="0" t="s">
        <v>2336</v>
      </c>
      <c r="W220" s="0" t="s">
        <v>155</v>
      </c>
      <c r="X220" s="0" t="s">
        <v>98</v>
      </c>
      <c r="Y220" s="0" t="s">
        <v>58</v>
      </c>
      <c r="Z220" s="0" t="s">
        <v>177</v>
      </c>
      <c r="AA220" s="0" t="s">
        <v>161</v>
      </c>
      <c r="AB220" s="5" t="n">
        <v>15000</v>
      </c>
      <c r="AC220" s="5" t="n">
        <v>40000</v>
      </c>
      <c r="AD220" s="0" t="s">
        <v>50</v>
      </c>
      <c r="AE220" s="5" t="n">
        <v>0</v>
      </c>
      <c r="AF220" s="0" t="s">
        <v>130</v>
      </c>
      <c r="AG220" s="7" t="s">
        <v>245</v>
      </c>
      <c r="AH220" s="0" t="s">
        <v>63</v>
      </c>
      <c r="AI220" s="0" t="s">
        <v>2331</v>
      </c>
      <c r="AJ220" s="0" t="s">
        <v>2331</v>
      </c>
      <c r="AK220" s="0" t="s">
        <v>63</v>
      </c>
      <c r="AL220" s="0" t="s">
        <v>2344</v>
      </c>
      <c r="AM220" s="0" t="s">
        <v>2344</v>
      </c>
      <c r="AN220" s="0" t="s">
        <v>2318</v>
      </c>
      <c r="AO220" s="0" t="s">
        <v>2359</v>
      </c>
    </row>
    <row r="221" customFormat="false" ht="15" hidden="false" customHeight="false" outlineLevel="0" collapsed="false">
      <c r="A221" s="0" t="s">
        <v>664</v>
      </c>
      <c r="B221" s="2" t="s">
        <v>2440</v>
      </c>
      <c r="C221" s="0" t="s">
        <v>121</v>
      </c>
      <c r="D221" s="0" t="n">
        <v>8067190488</v>
      </c>
      <c r="E221" s="0" t="s">
        <v>139</v>
      </c>
      <c r="F221" s="0" t="s">
        <v>2323</v>
      </c>
      <c r="G221" s="0" t="s">
        <v>665</v>
      </c>
      <c r="H221" s="0" t="s">
        <v>134</v>
      </c>
      <c r="I221" s="3" t="s">
        <v>2325</v>
      </c>
      <c r="J221" s="0" t="s">
        <v>2341</v>
      </c>
      <c r="K221" s="0" t="s">
        <v>109</v>
      </c>
      <c r="L221" s="4" t="n">
        <v>80122</v>
      </c>
      <c r="M221" s="0" t="s">
        <v>110</v>
      </c>
      <c r="N221" s="0" t="s">
        <v>50</v>
      </c>
      <c r="O221" s="5" t="n">
        <v>3.00307692307692</v>
      </c>
      <c r="P221" s="0" t="n">
        <v>3.3</v>
      </c>
      <c r="Q221" s="0" t="s">
        <v>92</v>
      </c>
      <c r="R221" s="0" t="s">
        <v>52</v>
      </c>
      <c r="S221" s="0" t="s">
        <v>53</v>
      </c>
      <c r="T221" s="0" t="s">
        <v>95</v>
      </c>
      <c r="U221" s="5" t="n">
        <v>15</v>
      </c>
      <c r="V221" s="0" t="s">
        <v>2336</v>
      </c>
      <c r="W221" s="0" t="s">
        <v>155</v>
      </c>
      <c r="X221" s="0" t="s">
        <v>128</v>
      </c>
      <c r="Y221" s="0" t="s">
        <v>196</v>
      </c>
      <c r="Z221" s="0" t="s">
        <v>2324</v>
      </c>
      <c r="AA221" s="0" t="s">
        <v>149</v>
      </c>
      <c r="AB221" s="5" t="n">
        <v>40000</v>
      </c>
      <c r="AC221" s="5" t="n">
        <v>35000</v>
      </c>
      <c r="AD221" s="0" t="s">
        <v>50</v>
      </c>
      <c r="AE221" s="5" t="n">
        <v>0</v>
      </c>
      <c r="AF221" s="0" t="s">
        <v>130</v>
      </c>
      <c r="AG221" s="7" t="s">
        <v>1108</v>
      </c>
      <c r="AH221" s="0" t="s">
        <v>63</v>
      </c>
      <c r="AI221" s="0" t="s">
        <v>2331</v>
      </c>
      <c r="AJ221" s="0" t="s">
        <v>172</v>
      </c>
      <c r="AK221" s="0" t="s">
        <v>63</v>
      </c>
      <c r="AL221" s="0" t="s">
        <v>50</v>
      </c>
      <c r="AM221" s="0" t="s">
        <v>50</v>
      </c>
      <c r="AN221" s="0" t="s">
        <v>2321</v>
      </c>
      <c r="AO221" s="0" t="s">
        <v>50</v>
      </c>
    </row>
    <row r="222" customFormat="false" ht="15" hidden="false" customHeight="false" outlineLevel="0" collapsed="false">
      <c r="A222" s="0" t="s">
        <v>667</v>
      </c>
      <c r="B222" s="2" t="s">
        <v>666</v>
      </c>
      <c r="C222" s="0" t="s">
        <v>163</v>
      </c>
      <c r="D222" s="0" t="n">
        <v>8070552489</v>
      </c>
      <c r="E222" s="0" t="s">
        <v>122</v>
      </c>
      <c r="F222" s="0" t="s">
        <v>2316</v>
      </c>
      <c r="G222" s="0" t="s">
        <v>668</v>
      </c>
      <c r="H222" s="0" t="s">
        <v>45</v>
      </c>
      <c r="I222" s="3" t="s">
        <v>2325</v>
      </c>
      <c r="J222" s="0" t="s">
        <v>2339</v>
      </c>
      <c r="K222" s="0" t="s">
        <v>71</v>
      </c>
      <c r="L222" s="4" t="n">
        <v>61687</v>
      </c>
      <c r="M222" s="0" t="s">
        <v>110</v>
      </c>
      <c r="N222" s="0" t="s">
        <v>50</v>
      </c>
      <c r="O222" s="5" t="n">
        <v>3</v>
      </c>
      <c r="P222" s="0" t="n">
        <v>2.8</v>
      </c>
      <c r="Q222" s="0" t="s">
        <v>111</v>
      </c>
      <c r="R222" s="0" t="s">
        <v>73</v>
      </c>
      <c r="S222" s="0" t="s">
        <v>2340</v>
      </c>
      <c r="T222" s="0" t="s">
        <v>147</v>
      </c>
      <c r="U222" s="5" t="n">
        <v>45</v>
      </c>
      <c r="V222" s="0" t="s">
        <v>96</v>
      </c>
      <c r="W222" s="0" t="s">
        <v>148</v>
      </c>
      <c r="X222" s="0" t="s">
        <v>128</v>
      </c>
      <c r="Y222" s="0" t="s">
        <v>114</v>
      </c>
      <c r="Z222" s="0" t="s">
        <v>2329</v>
      </c>
      <c r="AA222" s="0" t="s">
        <v>149</v>
      </c>
      <c r="AB222" s="5" t="n">
        <v>20000</v>
      </c>
      <c r="AC222" s="5" t="n">
        <v>30000</v>
      </c>
      <c r="AD222" s="0" t="s">
        <v>50</v>
      </c>
      <c r="AE222" s="5" t="n">
        <v>0</v>
      </c>
      <c r="AF222" s="0" t="s">
        <v>130</v>
      </c>
      <c r="AG222" s="7" t="s">
        <v>2459</v>
      </c>
      <c r="AH222" s="0" t="s">
        <v>50</v>
      </c>
      <c r="AI222" s="0" t="s">
        <v>2331</v>
      </c>
      <c r="AJ222" s="0" t="s">
        <v>2320</v>
      </c>
      <c r="AK222" s="0" t="s">
        <v>63</v>
      </c>
      <c r="AL222" s="0" t="s">
        <v>50</v>
      </c>
      <c r="AM222" s="0" t="s">
        <v>2344</v>
      </c>
      <c r="AN222" s="0" t="s">
        <v>2321</v>
      </c>
      <c r="AO222" s="0" t="s">
        <v>63</v>
      </c>
    </row>
    <row r="223" customFormat="false" ht="15" hidden="false" customHeight="false" outlineLevel="0" collapsed="false">
      <c r="A223" s="0" t="s">
        <v>670</v>
      </c>
      <c r="B223" s="2" t="s">
        <v>669</v>
      </c>
      <c r="C223" s="0" t="s">
        <v>121</v>
      </c>
      <c r="D223" s="0" t="n">
        <v>8072753631</v>
      </c>
      <c r="E223" s="0" t="s">
        <v>67</v>
      </c>
      <c r="F223" s="0" t="s">
        <v>2316</v>
      </c>
      <c r="G223" s="0" t="s">
        <v>671</v>
      </c>
      <c r="H223" s="0" t="s">
        <v>87</v>
      </c>
      <c r="I223" s="3" t="s">
        <v>2317</v>
      </c>
      <c r="J223" s="0" t="s">
        <v>2341</v>
      </c>
      <c r="K223" s="0" t="s">
        <v>90</v>
      </c>
      <c r="L223" s="4" t="n">
        <v>17979</v>
      </c>
      <c r="M223" s="0" t="s">
        <v>110</v>
      </c>
      <c r="N223" s="0" t="s">
        <v>63</v>
      </c>
      <c r="O223" s="5" t="n">
        <v>3.00308166409861</v>
      </c>
      <c r="P223" s="0" t="n">
        <v>2.5</v>
      </c>
      <c r="Q223" s="0" t="s">
        <v>2334</v>
      </c>
      <c r="R223" s="0" t="s">
        <v>73</v>
      </c>
      <c r="S223" s="0" t="s">
        <v>53</v>
      </c>
      <c r="T223" s="0" t="s">
        <v>2343</v>
      </c>
      <c r="U223" s="5" t="n">
        <v>37.8947368421053</v>
      </c>
      <c r="V223" s="0" t="s">
        <v>112</v>
      </c>
      <c r="W223" s="0" t="s">
        <v>2328</v>
      </c>
      <c r="X223" s="0" t="s">
        <v>78</v>
      </c>
      <c r="Y223" s="0" t="s">
        <v>58</v>
      </c>
      <c r="Z223" s="0" t="s">
        <v>2329</v>
      </c>
      <c r="AA223" s="0" t="s">
        <v>149</v>
      </c>
      <c r="AB223" s="5" t="n">
        <v>27603.305785124</v>
      </c>
      <c r="AC223" s="5" t="n">
        <v>35000</v>
      </c>
      <c r="AD223" s="0" t="s">
        <v>50</v>
      </c>
      <c r="AE223" s="5" t="n">
        <v>10000</v>
      </c>
      <c r="AF223" s="0" t="s">
        <v>130</v>
      </c>
      <c r="AG223" s="7" t="s">
        <v>2330</v>
      </c>
      <c r="AH223" s="0" t="s">
        <v>63</v>
      </c>
      <c r="AI223" s="0" t="s">
        <v>2331</v>
      </c>
      <c r="AJ223" s="0" t="s">
        <v>2331</v>
      </c>
      <c r="AK223" s="0" t="s">
        <v>50</v>
      </c>
      <c r="AL223" s="0" t="s">
        <v>2344</v>
      </c>
      <c r="AM223" s="0" t="s">
        <v>2344</v>
      </c>
      <c r="AN223" s="0" t="s">
        <v>64</v>
      </c>
      <c r="AO223" s="0" t="s">
        <v>63</v>
      </c>
    </row>
    <row r="224" customFormat="false" ht="15" hidden="false" customHeight="false" outlineLevel="0" collapsed="false">
      <c r="A224" s="0" t="s">
        <v>672</v>
      </c>
      <c r="B224" s="2" t="s">
        <v>267</v>
      </c>
      <c r="C224" s="0" t="s">
        <v>66</v>
      </c>
      <c r="D224" s="0" t="n">
        <v>8068049927</v>
      </c>
      <c r="E224" s="0" t="s">
        <v>43</v>
      </c>
      <c r="F224" s="0" t="s">
        <v>2315</v>
      </c>
      <c r="G224" s="0" t="s">
        <v>673</v>
      </c>
      <c r="H224" s="0" t="s">
        <v>69</v>
      </c>
      <c r="I224" s="3" t="s">
        <v>2322</v>
      </c>
      <c r="J224" s="0" t="s">
        <v>2347</v>
      </c>
      <c r="K224" s="0" t="s">
        <v>48</v>
      </c>
      <c r="L224" s="4" t="n">
        <v>114686</v>
      </c>
      <c r="M224" s="0" t="s">
        <v>110</v>
      </c>
      <c r="N224" s="0" t="s">
        <v>50</v>
      </c>
      <c r="O224" s="5" t="n">
        <v>3.00308166409861</v>
      </c>
      <c r="P224" s="0" t="n">
        <v>5</v>
      </c>
      <c r="Q224" s="0" t="s">
        <v>92</v>
      </c>
      <c r="R224" s="0" t="s">
        <v>93</v>
      </c>
      <c r="S224" s="0" t="s">
        <v>53</v>
      </c>
      <c r="T224" s="0" t="s">
        <v>54</v>
      </c>
      <c r="U224" s="5" t="n">
        <v>45</v>
      </c>
      <c r="V224" s="0" t="s">
        <v>96</v>
      </c>
      <c r="W224" s="0" t="s">
        <v>148</v>
      </c>
      <c r="X224" s="0" t="s">
        <v>128</v>
      </c>
      <c r="Y224" s="0" t="s">
        <v>196</v>
      </c>
      <c r="Z224" s="0" t="s">
        <v>2329</v>
      </c>
      <c r="AA224" s="0" t="s">
        <v>161</v>
      </c>
      <c r="AB224" s="5" t="n">
        <v>20000</v>
      </c>
      <c r="AC224" s="5" t="n">
        <v>35000</v>
      </c>
      <c r="AD224" s="0" t="s">
        <v>50</v>
      </c>
      <c r="AE224" s="5" t="n">
        <v>0</v>
      </c>
      <c r="AF224" s="0" t="s">
        <v>60</v>
      </c>
      <c r="AG224" s="7" t="s">
        <v>2414</v>
      </c>
      <c r="AH224" s="0" t="s">
        <v>63</v>
      </c>
      <c r="AI224" s="0" t="s">
        <v>2331</v>
      </c>
      <c r="AJ224" s="0" t="s">
        <v>2331</v>
      </c>
      <c r="AK224" s="0" t="s">
        <v>50</v>
      </c>
      <c r="AL224" s="0" t="s">
        <v>63</v>
      </c>
      <c r="AM224" s="0" t="s">
        <v>63</v>
      </c>
      <c r="AN224" s="0" t="s">
        <v>2321</v>
      </c>
      <c r="AO224" s="0" t="s">
        <v>2359</v>
      </c>
    </row>
    <row r="225" customFormat="false" ht="15" hidden="false" customHeight="false" outlineLevel="0" collapsed="false">
      <c r="A225" s="0" t="s">
        <v>675</v>
      </c>
      <c r="B225" s="2" t="s">
        <v>674</v>
      </c>
      <c r="C225" s="0" t="s">
        <v>163</v>
      </c>
      <c r="D225" s="0" t="n">
        <v>8064888712</v>
      </c>
      <c r="E225" s="0" t="s">
        <v>122</v>
      </c>
      <c r="F225" s="0" t="s">
        <v>2316</v>
      </c>
      <c r="G225" s="0" t="s">
        <v>676</v>
      </c>
      <c r="H225" s="0" t="s">
        <v>69</v>
      </c>
      <c r="I225" s="3" t="s">
        <v>2322</v>
      </c>
      <c r="J225" s="0" t="s">
        <v>2341</v>
      </c>
      <c r="K225" s="0" t="s">
        <v>90</v>
      </c>
      <c r="L225" s="4" t="n">
        <v>119819</v>
      </c>
      <c r="M225" s="0" t="s">
        <v>2333</v>
      </c>
      <c r="N225" s="0" t="s">
        <v>50</v>
      </c>
      <c r="O225" s="5" t="n">
        <v>2</v>
      </c>
      <c r="P225" s="0" t="n">
        <v>3.9</v>
      </c>
      <c r="Q225" s="0" t="s">
        <v>2334</v>
      </c>
      <c r="R225" s="0" t="s">
        <v>73</v>
      </c>
      <c r="S225" s="0" t="s">
        <v>53</v>
      </c>
      <c r="T225" s="0" t="s">
        <v>95</v>
      </c>
      <c r="U225" s="5" t="n">
        <v>30</v>
      </c>
      <c r="V225" s="0" t="s">
        <v>96</v>
      </c>
      <c r="W225" s="0" t="s">
        <v>2337</v>
      </c>
      <c r="X225" s="0" t="s">
        <v>128</v>
      </c>
      <c r="Y225" s="0" t="s">
        <v>114</v>
      </c>
      <c r="Z225" s="0" t="s">
        <v>2326</v>
      </c>
      <c r="AA225" s="0" t="s">
        <v>2329</v>
      </c>
      <c r="AB225" s="5" t="n">
        <v>20000</v>
      </c>
      <c r="AC225" s="5" t="n">
        <v>35000</v>
      </c>
      <c r="AD225" s="0" t="s">
        <v>63</v>
      </c>
      <c r="AE225" s="5" t="n">
        <v>5000</v>
      </c>
      <c r="AF225" s="0" t="s">
        <v>2338</v>
      </c>
      <c r="AG225" s="7" t="s">
        <v>408</v>
      </c>
      <c r="AH225" s="0" t="s">
        <v>50</v>
      </c>
      <c r="AI225" s="0" t="s">
        <v>2331</v>
      </c>
      <c r="AJ225" s="0" t="s">
        <v>117</v>
      </c>
      <c r="AK225" s="0" t="s">
        <v>63</v>
      </c>
      <c r="AL225" s="0" t="s">
        <v>63</v>
      </c>
      <c r="AM225" s="0" t="s">
        <v>63</v>
      </c>
      <c r="AN225" s="0" t="s">
        <v>2321</v>
      </c>
      <c r="AO225" s="0" t="s">
        <v>63</v>
      </c>
    </row>
    <row r="226" customFormat="false" ht="15" hidden="false" customHeight="false" outlineLevel="0" collapsed="false">
      <c r="A226" s="0" t="s">
        <v>677</v>
      </c>
      <c r="B226" s="2" t="s">
        <v>2398</v>
      </c>
      <c r="C226" s="0" t="s">
        <v>163</v>
      </c>
      <c r="D226" s="0" t="n">
        <v>8059326617</v>
      </c>
      <c r="E226" s="0" t="s">
        <v>85</v>
      </c>
      <c r="F226" s="0" t="s">
        <v>2319</v>
      </c>
      <c r="G226" s="0" t="s">
        <v>678</v>
      </c>
      <c r="H226" s="0" t="s">
        <v>45</v>
      </c>
      <c r="I226" s="3" t="s">
        <v>2342</v>
      </c>
      <c r="J226" s="0" t="s">
        <v>2347</v>
      </c>
      <c r="K226" s="0" t="s">
        <v>109</v>
      </c>
      <c r="L226" s="4" t="n">
        <v>108383</v>
      </c>
      <c r="M226" s="0" t="s">
        <v>49</v>
      </c>
      <c r="N226" s="0" t="s">
        <v>63</v>
      </c>
      <c r="O226" s="5" t="n">
        <v>5</v>
      </c>
      <c r="P226" s="0" t="n">
        <v>2</v>
      </c>
      <c r="Q226" s="0" t="s">
        <v>92</v>
      </c>
      <c r="R226" s="0" t="s">
        <v>93</v>
      </c>
      <c r="S226" s="0" t="s">
        <v>2366</v>
      </c>
      <c r="T226" s="0" t="s">
        <v>147</v>
      </c>
      <c r="U226" s="5" t="n">
        <v>30</v>
      </c>
      <c r="V226" s="0" t="s">
        <v>96</v>
      </c>
      <c r="W226" s="0" t="s">
        <v>2337</v>
      </c>
      <c r="X226" s="0" t="s">
        <v>128</v>
      </c>
      <c r="Y226" s="0" t="s">
        <v>99</v>
      </c>
      <c r="Z226" s="0" t="s">
        <v>2329</v>
      </c>
      <c r="AA226" s="0" t="s">
        <v>79</v>
      </c>
      <c r="AB226" s="5" t="n">
        <v>40000</v>
      </c>
      <c r="AC226" s="5" t="n">
        <v>20000</v>
      </c>
      <c r="AD226" s="0" t="s">
        <v>63</v>
      </c>
      <c r="AE226" s="5" t="n">
        <v>0</v>
      </c>
      <c r="AF226" s="0" t="s">
        <v>2338</v>
      </c>
      <c r="AG226" s="7" t="s">
        <v>2330</v>
      </c>
      <c r="AH226" s="0" t="s">
        <v>50</v>
      </c>
      <c r="AI226" s="0" t="s">
        <v>116</v>
      </c>
      <c r="AJ226" s="0" t="s">
        <v>117</v>
      </c>
      <c r="AK226" s="0" t="s">
        <v>63</v>
      </c>
      <c r="AL226" s="0" t="s">
        <v>63</v>
      </c>
      <c r="AM226" s="0" t="s">
        <v>63</v>
      </c>
      <c r="AN226" s="0" t="s">
        <v>2321</v>
      </c>
      <c r="AO226" s="0" t="s">
        <v>63</v>
      </c>
    </row>
    <row r="227" customFormat="false" ht="15" hidden="false" customHeight="false" outlineLevel="0" collapsed="false">
      <c r="A227" s="0" t="s">
        <v>679</v>
      </c>
      <c r="B227" s="2" t="s">
        <v>2452</v>
      </c>
      <c r="C227" s="0" t="s">
        <v>66</v>
      </c>
      <c r="D227" s="0" t="n">
        <v>8076779099</v>
      </c>
      <c r="E227" s="0" t="s">
        <v>43</v>
      </c>
      <c r="F227" s="0" t="s">
        <v>2315</v>
      </c>
      <c r="G227" s="0" t="s">
        <v>680</v>
      </c>
      <c r="H227" s="0" t="s">
        <v>69</v>
      </c>
      <c r="I227" s="3" t="s">
        <v>2325</v>
      </c>
      <c r="J227" s="0" t="s">
        <v>189</v>
      </c>
      <c r="K227" s="0" t="s">
        <v>90</v>
      </c>
      <c r="L227" s="4" t="n">
        <v>113590</v>
      </c>
      <c r="M227" s="0" t="s">
        <v>49</v>
      </c>
      <c r="N227" s="0" t="s">
        <v>63</v>
      </c>
      <c r="O227" s="5" t="n">
        <v>3</v>
      </c>
      <c r="P227" s="0" t="n">
        <v>2.4</v>
      </c>
      <c r="Q227" s="0" t="s">
        <v>111</v>
      </c>
      <c r="R227" s="0" t="s">
        <v>73</v>
      </c>
      <c r="S227" s="0" t="s">
        <v>2366</v>
      </c>
      <c r="T227" s="0" t="s">
        <v>2343</v>
      </c>
      <c r="U227" s="5" t="n">
        <v>40.3125</v>
      </c>
      <c r="V227" s="0" t="s">
        <v>96</v>
      </c>
      <c r="W227" s="0" t="s">
        <v>155</v>
      </c>
      <c r="X227" s="0" t="s">
        <v>128</v>
      </c>
      <c r="Y227" s="0" t="s">
        <v>99</v>
      </c>
      <c r="Z227" s="0" t="s">
        <v>2329</v>
      </c>
      <c r="AA227" s="0" t="s">
        <v>161</v>
      </c>
      <c r="AB227" s="5" t="n">
        <v>25526.3157894737</v>
      </c>
      <c r="AC227" s="5" t="n">
        <v>31421.875</v>
      </c>
      <c r="AD227" s="0" t="s">
        <v>50</v>
      </c>
      <c r="AE227" s="5" t="n">
        <v>5000</v>
      </c>
      <c r="AF227" s="0" t="s">
        <v>130</v>
      </c>
      <c r="AG227" s="7" t="s">
        <v>2460</v>
      </c>
      <c r="AH227" s="0" t="s">
        <v>50</v>
      </c>
      <c r="AI227" s="0" t="s">
        <v>2331</v>
      </c>
      <c r="AJ227" s="0" t="s">
        <v>2331</v>
      </c>
      <c r="AK227" s="0" t="s">
        <v>63</v>
      </c>
      <c r="AL227" s="0" t="s">
        <v>2344</v>
      </c>
      <c r="AM227" s="0" t="s">
        <v>2344</v>
      </c>
      <c r="AN227" s="0" t="s">
        <v>2321</v>
      </c>
      <c r="AO227" s="0" t="s">
        <v>50</v>
      </c>
    </row>
    <row r="228" customFormat="false" ht="15" hidden="false" customHeight="false" outlineLevel="0" collapsed="false">
      <c r="A228" s="0" t="s">
        <v>681</v>
      </c>
      <c r="B228" s="2" t="s">
        <v>2346</v>
      </c>
      <c r="C228" s="0" t="s">
        <v>121</v>
      </c>
      <c r="D228" s="0" t="n">
        <v>8052549761</v>
      </c>
      <c r="E228" s="0" t="s">
        <v>85</v>
      </c>
      <c r="F228" s="0" t="s">
        <v>2319</v>
      </c>
      <c r="G228" s="0" t="s">
        <v>682</v>
      </c>
      <c r="H228" s="0" t="s">
        <v>87</v>
      </c>
      <c r="I228" s="3" t="s">
        <v>2342</v>
      </c>
      <c r="J228" s="0" t="s">
        <v>2349</v>
      </c>
      <c r="K228" s="0" t="s">
        <v>90</v>
      </c>
      <c r="L228" s="4" t="n">
        <v>116641</v>
      </c>
      <c r="M228" s="0" t="s">
        <v>2333</v>
      </c>
      <c r="N228" s="0" t="s">
        <v>63</v>
      </c>
      <c r="O228" s="5" t="n">
        <v>4</v>
      </c>
      <c r="P228" s="0" t="n">
        <v>5.5</v>
      </c>
      <c r="Q228" s="0" t="s">
        <v>111</v>
      </c>
      <c r="R228" s="0" t="s">
        <v>73</v>
      </c>
      <c r="S228" s="0" t="s">
        <v>2335</v>
      </c>
      <c r="T228" s="0" t="s">
        <v>75</v>
      </c>
      <c r="U228" s="5" t="n">
        <v>60</v>
      </c>
      <c r="V228" s="0" t="s">
        <v>2336</v>
      </c>
      <c r="W228" s="0" t="s">
        <v>155</v>
      </c>
      <c r="X228" s="0" t="s">
        <v>128</v>
      </c>
      <c r="Y228" s="0" t="s">
        <v>99</v>
      </c>
      <c r="Z228" s="0" t="s">
        <v>177</v>
      </c>
      <c r="AA228" s="0" t="s">
        <v>143</v>
      </c>
      <c r="AB228" s="5" t="n">
        <v>15000</v>
      </c>
      <c r="AC228" s="5" t="n">
        <v>31421.875</v>
      </c>
      <c r="AD228" s="0" t="s">
        <v>50</v>
      </c>
      <c r="AE228" s="5" t="n">
        <v>5000</v>
      </c>
      <c r="AF228" s="0" t="s">
        <v>2338</v>
      </c>
      <c r="AG228" s="7" t="s">
        <v>2389</v>
      </c>
      <c r="AH228" s="0" t="s">
        <v>63</v>
      </c>
      <c r="AI228" s="0" t="s">
        <v>116</v>
      </c>
      <c r="AJ228" s="0" t="s">
        <v>2331</v>
      </c>
      <c r="AK228" s="0" t="s">
        <v>63</v>
      </c>
      <c r="AL228" s="0" t="s">
        <v>50</v>
      </c>
      <c r="AM228" s="0" t="s">
        <v>2344</v>
      </c>
      <c r="AN228" s="0" t="s">
        <v>2321</v>
      </c>
      <c r="AO228" s="0" t="s">
        <v>63</v>
      </c>
    </row>
    <row r="229" customFormat="false" ht="15" hidden="false" customHeight="false" outlineLevel="0" collapsed="false">
      <c r="A229" s="0" t="s">
        <v>683</v>
      </c>
      <c r="B229" s="2" t="s">
        <v>531</v>
      </c>
      <c r="C229" s="0" t="s">
        <v>66</v>
      </c>
      <c r="D229" s="0" t="n">
        <v>8046644052</v>
      </c>
      <c r="E229" s="0" t="s">
        <v>139</v>
      </c>
      <c r="F229" s="0" t="s">
        <v>2323</v>
      </c>
      <c r="G229" s="0" t="s">
        <v>684</v>
      </c>
      <c r="H229" s="0" t="s">
        <v>69</v>
      </c>
      <c r="I229" s="3" t="s">
        <v>2317</v>
      </c>
      <c r="J229" s="0" t="s">
        <v>2341</v>
      </c>
      <c r="K229" s="0" t="s">
        <v>90</v>
      </c>
      <c r="L229" s="4" t="n">
        <v>110737</v>
      </c>
      <c r="M229" s="0" t="s">
        <v>2333</v>
      </c>
      <c r="N229" s="0" t="s">
        <v>50</v>
      </c>
      <c r="O229" s="5" t="n">
        <v>5</v>
      </c>
      <c r="P229" s="0" t="n">
        <v>2</v>
      </c>
      <c r="Q229" s="0" t="s">
        <v>92</v>
      </c>
      <c r="R229" s="0" t="s">
        <v>73</v>
      </c>
      <c r="S229" s="0" t="s">
        <v>53</v>
      </c>
      <c r="T229" s="0" t="s">
        <v>2353</v>
      </c>
      <c r="U229" s="5" t="n">
        <v>45</v>
      </c>
      <c r="V229" s="0" t="s">
        <v>55</v>
      </c>
      <c r="W229" s="0" t="s">
        <v>155</v>
      </c>
      <c r="X229" s="0" t="s">
        <v>78</v>
      </c>
      <c r="Y229" s="0" t="s">
        <v>196</v>
      </c>
      <c r="Z229" s="0" t="s">
        <v>2326</v>
      </c>
      <c r="AA229" s="0" t="s">
        <v>143</v>
      </c>
      <c r="AB229" s="5" t="n">
        <v>40000</v>
      </c>
      <c r="AC229" s="5" t="n">
        <v>31421.875</v>
      </c>
      <c r="AD229" s="0" t="s">
        <v>63</v>
      </c>
      <c r="AE229" s="5" t="n">
        <v>0</v>
      </c>
      <c r="AF229" s="0" t="s">
        <v>60</v>
      </c>
      <c r="AG229" s="7" t="s">
        <v>2330</v>
      </c>
      <c r="AH229" s="0" t="s">
        <v>50</v>
      </c>
      <c r="AI229" s="0" t="s">
        <v>116</v>
      </c>
      <c r="AJ229" s="0" t="s">
        <v>117</v>
      </c>
      <c r="AK229" s="0" t="s">
        <v>50</v>
      </c>
      <c r="AL229" s="0" t="s">
        <v>50</v>
      </c>
      <c r="AM229" s="0" t="s">
        <v>63</v>
      </c>
      <c r="AN229" s="0" t="s">
        <v>64</v>
      </c>
      <c r="AO229" s="0" t="s">
        <v>63</v>
      </c>
    </row>
    <row r="230" customFormat="false" ht="15" hidden="false" customHeight="false" outlineLevel="0" collapsed="false">
      <c r="A230" s="0" t="s">
        <v>685</v>
      </c>
      <c r="B230" s="2" t="s">
        <v>2451</v>
      </c>
      <c r="C230" s="0" t="s">
        <v>42</v>
      </c>
      <c r="D230" s="0" t="n">
        <v>8061320957</v>
      </c>
      <c r="E230" s="0" t="s">
        <v>67</v>
      </c>
      <c r="F230" s="0" t="s">
        <v>2316</v>
      </c>
      <c r="G230" s="0" t="s">
        <v>686</v>
      </c>
      <c r="H230" s="0" t="s">
        <v>107</v>
      </c>
      <c r="I230" s="3" t="s">
        <v>2317</v>
      </c>
      <c r="J230" s="0" t="s">
        <v>2341</v>
      </c>
      <c r="K230" s="0" t="s">
        <v>90</v>
      </c>
      <c r="L230" s="4" t="n">
        <v>15300</v>
      </c>
      <c r="M230" s="0" t="s">
        <v>49</v>
      </c>
      <c r="N230" s="0" t="s">
        <v>63</v>
      </c>
      <c r="O230" s="5" t="n">
        <v>1</v>
      </c>
      <c r="P230" s="0" t="n">
        <v>2.7</v>
      </c>
      <c r="Q230" s="0" t="s">
        <v>51</v>
      </c>
      <c r="R230" s="0" t="s">
        <v>52</v>
      </c>
      <c r="S230" s="0" t="s">
        <v>2340</v>
      </c>
      <c r="T230" s="0" t="s">
        <v>2353</v>
      </c>
      <c r="U230" s="5" t="n">
        <v>45</v>
      </c>
      <c r="V230" s="0" t="s">
        <v>2352</v>
      </c>
      <c r="W230" s="0" t="s">
        <v>148</v>
      </c>
      <c r="X230" s="0" t="s">
        <v>128</v>
      </c>
      <c r="Y230" s="0" t="s">
        <v>196</v>
      </c>
      <c r="Z230" s="0" t="s">
        <v>2329</v>
      </c>
      <c r="AA230" s="0" t="s">
        <v>79</v>
      </c>
      <c r="AB230" s="5" t="n">
        <v>40000</v>
      </c>
      <c r="AC230" s="5" t="n">
        <v>31421.875</v>
      </c>
      <c r="AD230" s="0" t="s">
        <v>50</v>
      </c>
      <c r="AE230" s="5" t="n">
        <v>10000</v>
      </c>
      <c r="AF230" s="0" t="s">
        <v>130</v>
      </c>
      <c r="AG230" s="7" t="s">
        <v>2461</v>
      </c>
      <c r="AH230" s="0" t="s">
        <v>63</v>
      </c>
      <c r="AI230" s="0" t="s">
        <v>171</v>
      </c>
      <c r="AJ230" s="0" t="s">
        <v>117</v>
      </c>
      <c r="AK230" s="0" t="s">
        <v>63</v>
      </c>
      <c r="AL230" s="0" t="s">
        <v>50</v>
      </c>
      <c r="AM230" s="0" t="s">
        <v>2344</v>
      </c>
      <c r="AN230" s="0" t="s">
        <v>64</v>
      </c>
      <c r="AO230" s="0" t="s">
        <v>63</v>
      </c>
    </row>
    <row r="231" customFormat="false" ht="15" hidden="false" customHeight="false" outlineLevel="0" collapsed="false">
      <c r="A231" s="0" t="s">
        <v>688</v>
      </c>
      <c r="B231" s="2" t="s">
        <v>687</v>
      </c>
      <c r="C231" s="0" t="s">
        <v>105</v>
      </c>
      <c r="D231" s="0" t="n">
        <v>8013317620</v>
      </c>
      <c r="E231" s="0" t="s">
        <v>85</v>
      </c>
      <c r="F231" s="0" t="s">
        <v>2319</v>
      </c>
      <c r="G231" s="0" t="s">
        <v>689</v>
      </c>
      <c r="H231" s="0" t="s">
        <v>45</v>
      </c>
      <c r="I231" s="3" t="s">
        <v>2322</v>
      </c>
      <c r="J231" s="0" t="s">
        <v>2349</v>
      </c>
      <c r="K231" s="0" t="s">
        <v>90</v>
      </c>
      <c r="L231" s="4" t="n">
        <v>36475</v>
      </c>
      <c r="M231" s="0" t="s">
        <v>2333</v>
      </c>
      <c r="N231" s="0" t="s">
        <v>63</v>
      </c>
      <c r="O231" s="5" t="n">
        <v>2</v>
      </c>
      <c r="P231" s="0" t="n">
        <v>3.4</v>
      </c>
      <c r="Q231" s="0" t="s">
        <v>125</v>
      </c>
      <c r="R231" s="0" t="s">
        <v>73</v>
      </c>
      <c r="S231" s="0" t="s">
        <v>2340</v>
      </c>
      <c r="T231" s="0" t="s">
        <v>147</v>
      </c>
      <c r="U231" s="5" t="n">
        <v>30</v>
      </c>
      <c r="V231" s="0" t="s">
        <v>112</v>
      </c>
      <c r="W231" s="0" t="s">
        <v>2328</v>
      </c>
      <c r="X231" s="0" t="s">
        <v>98</v>
      </c>
      <c r="Y231" s="0" t="s">
        <v>196</v>
      </c>
      <c r="Z231" s="0" t="s">
        <v>2329</v>
      </c>
      <c r="AA231" s="0" t="s">
        <v>143</v>
      </c>
      <c r="AB231" s="5" t="n">
        <v>25000</v>
      </c>
      <c r="AC231" s="5" t="n">
        <v>30000</v>
      </c>
      <c r="AD231" s="0" t="s">
        <v>63</v>
      </c>
      <c r="AE231" s="5" t="n">
        <v>0</v>
      </c>
      <c r="AF231" s="0" t="s">
        <v>60</v>
      </c>
      <c r="AG231" s="7" t="s">
        <v>690</v>
      </c>
      <c r="AH231" s="0" t="s">
        <v>2329</v>
      </c>
      <c r="AI231" s="0" t="s">
        <v>2331</v>
      </c>
      <c r="AJ231" s="0" t="s">
        <v>117</v>
      </c>
      <c r="AK231" s="0" t="s">
        <v>63</v>
      </c>
      <c r="AL231" s="0" t="s">
        <v>50</v>
      </c>
      <c r="AM231" s="0" t="s">
        <v>2344</v>
      </c>
      <c r="AN231" s="0" t="s">
        <v>2321</v>
      </c>
      <c r="AO231" s="0" t="s">
        <v>50</v>
      </c>
    </row>
    <row r="232" customFormat="false" ht="15" hidden="false" customHeight="false" outlineLevel="0" collapsed="false">
      <c r="A232" s="0" t="s">
        <v>691</v>
      </c>
      <c r="B232" s="2" t="s">
        <v>2221</v>
      </c>
      <c r="C232" s="0" t="s">
        <v>105</v>
      </c>
      <c r="D232" s="0" t="n">
        <v>8034100904</v>
      </c>
      <c r="E232" s="0" t="s">
        <v>139</v>
      </c>
      <c r="F232" s="0" t="s">
        <v>2323</v>
      </c>
      <c r="G232" s="0" t="s">
        <v>692</v>
      </c>
      <c r="H232" s="0" t="s">
        <v>87</v>
      </c>
      <c r="I232" s="3" t="s">
        <v>2322</v>
      </c>
      <c r="J232" s="0" t="s">
        <v>2349</v>
      </c>
      <c r="K232" s="0" t="s">
        <v>90</v>
      </c>
      <c r="L232" s="4" t="n">
        <v>12272</v>
      </c>
      <c r="M232" s="0" t="s">
        <v>2333</v>
      </c>
      <c r="N232" s="0" t="s">
        <v>50</v>
      </c>
      <c r="O232" s="5" t="n">
        <v>3.00155763239875</v>
      </c>
      <c r="P232" s="0" t="n">
        <v>3.7</v>
      </c>
      <c r="Q232" s="0" t="s">
        <v>2334</v>
      </c>
      <c r="R232" s="0" t="s">
        <v>93</v>
      </c>
      <c r="S232" s="0" t="s">
        <v>2340</v>
      </c>
      <c r="T232" s="0" t="s">
        <v>2343</v>
      </c>
      <c r="U232" s="5" t="n">
        <v>45</v>
      </c>
      <c r="V232" s="0" t="s">
        <v>2352</v>
      </c>
      <c r="W232" s="0" t="s">
        <v>155</v>
      </c>
      <c r="X232" s="0" t="s">
        <v>78</v>
      </c>
      <c r="Y232" s="0" t="s">
        <v>196</v>
      </c>
      <c r="Z232" s="0" t="s">
        <v>2329</v>
      </c>
      <c r="AA232" s="0" t="s">
        <v>149</v>
      </c>
      <c r="AB232" s="5" t="n">
        <v>15000</v>
      </c>
      <c r="AC232" s="5" t="n">
        <v>30000</v>
      </c>
      <c r="AD232" s="0" t="s">
        <v>50</v>
      </c>
      <c r="AE232" s="5" t="n">
        <v>5000</v>
      </c>
      <c r="AF232" s="0" t="s">
        <v>184</v>
      </c>
      <c r="AG232" s="7" t="s">
        <v>2330</v>
      </c>
      <c r="AH232" s="0" t="s">
        <v>63</v>
      </c>
      <c r="AI232" s="0" t="s">
        <v>2331</v>
      </c>
      <c r="AJ232" s="0" t="s">
        <v>2331</v>
      </c>
      <c r="AK232" s="0" t="s">
        <v>63</v>
      </c>
      <c r="AL232" s="0" t="s">
        <v>50</v>
      </c>
      <c r="AM232" s="0" t="s">
        <v>63</v>
      </c>
      <c r="AN232" s="0" t="s">
        <v>2321</v>
      </c>
      <c r="AO232" s="0" t="s">
        <v>63</v>
      </c>
    </row>
    <row r="233" customFormat="false" ht="15" hidden="false" customHeight="false" outlineLevel="0" collapsed="false">
      <c r="A233" s="0" t="s">
        <v>693</v>
      </c>
      <c r="B233" s="2" t="s">
        <v>2462</v>
      </c>
      <c r="C233" s="0" t="s">
        <v>42</v>
      </c>
      <c r="D233" s="0" t="n">
        <v>8069282426</v>
      </c>
      <c r="E233" s="0" t="s">
        <v>43</v>
      </c>
      <c r="F233" s="0" t="s">
        <v>2315</v>
      </c>
      <c r="G233" s="0" t="s">
        <v>694</v>
      </c>
      <c r="H233" s="0" t="s">
        <v>107</v>
      </c>
      <c r="I233" s="3" t="s">
        <v>87</v>
      </c>
      <c r="J233" s="0" t="s">
        <v>2341</v>
      </c>
      <c r="K233" s="0" t="s">
        <v>90</v>
      </c>
      <c r="L233" s="4" t="n">
        <v>46455</v>
      </c>
      <c r="M233" s="0" t="s">
        <v>2333</v>
      </c>
      <c r="N233" s="0" t="s">
        <v>63</v>
      </c>
      <c r="O233" s="5" t="n">
        <v>1</v>
      </c>
      <c r="P233" s="0" t="n">
        <v>2.1</v>
      </c>
      <c r="Q233" s="0" t="s">
        <v>111</v>
      </c>
      <c r="R233" s="0" t="s">
        <v>52</v>
      </c>
      <c r="S233" s="0" t="s">
        <v>2340</v>
      </c>
      <c r="T233" s="0" t="s">
        <v>95</v>
      </c>
      <c r="U233" s="5" t="n">
        <v>37.8378378378378</v>
      </c>
      <c r="V233" s="0" t="s">
        <v>96</v>
      </c>
      <c r="W233" s="0" t="s">
        <v>155</v>
      </c>
      <c r="X233" s="0" t="s">
        <v>98</v>
      </c>
      <c r="Y233" s="0" t="s">
        <v>58</v>
      </c>
      <c r="Z233" s="0" t="s">
        <v>2329</v>
      </c>
      <c r="AA233" s="0" t="s">
        <v>79</v>
      </c>
      <c r="AB233" s="5" t="n">
        <v>30000</v>
      </c>
      <c r="AC233" s="5" t="n">
        <v>30000</v>
      </c>
      <c r="AD233" s="0" t="s">
        <v>50</v>
      </c>
      <c r="AE233" s="5" t="n">
        <v>0</v>
      </c>
      <c r="AF233" s="0" t="s">
        <v>130</v>
      </c>
      <c r="AG233" s="7" t="s">
        <v>2330</v>
      </c>
      <c r="AH233" s="0" t="s">
        <v>63</v>
      </c>
      <c r="AI233" s="0" t="s">
        <v>2331</v>
      </c>
      <c r="AJ233" s="0" t="s">
        <v>2320</v>
      </c>
      <c r="AK233" s="0" t="s">
        <v>50</v>
      </c>
      <c r="AL233" s="0" t="s">
        <v>63</v>
      </c>
      <c r="AM233" s="0" t="s">
        <v>50</v>
      </c>
      <c r="AN233" s="0" t="s">
        <v>2318</v>
      </c>
      <c r="AO233" s="0" t="s">
        <v>50</v>
      </c>
    </row>
    <row r="234" customFormat="false" ht="15" hidden="false" customHeight="false" outlineLevel="0" collapsed="false">
      <c r="A234" s="0" t="s">
        <v>695</v>
      </c>
      <c r="B234" s="2" t="s">
        <v>2463</v>
      </c>
      <c r="C234" s="0" t="s">
        <v>105</v>
      </c>
      <c r="D234" s="0" t="n">
        <v>8041378816</v>
      </c>
      <c r="E234" s="0" t="s">
        <v>85</v>
      </c>
      <c r="F234" s="0" t="s">
        <v>2319</v>
      </c>
      <c r="G234" s="0" t="s">
        <v>696</v>
      </c>
      <c r="H234" s="0" t="s">
        <v>45</v>
      </c>
      <c r="I234" s="3" t="s">
        <v>2342</v>
      </c>
      <c r="J234" s="0" t="s">
        <v>2341</v>
      </c>
      <c r="K234" s="0" t="s">
        <v>90</v>
      </c>
      <c r="L234" s="4" t="n">
        <v>49597</v>
      </c>
      <c r="M234" s="0" t="s">
        <v>2333</v>
      </c>
      <c r="N234" s="0" t="s">
        <v>50</v>
      </c>
      <c r="O234" s="5" t="n">
        <v>3.00468018720749</v>
      </c>
      <c r="P234" s="0" t="n">
        <v>1.6</v>
      </c>
      <c r="Q234" s="0" t="s">
        <v>2334</v>
      </c>
      <c r="R234" s="0" t="s">
        <v>73</v>
      </c>
      <c r="S234" s="0" t="s">
        <v>53</v>
      </c>
      <c r="T234" s="0" t="s">
        <v>147</v>
      </c>
      <c r="U234" s="5" t="n">
        <v>45</v>
      </c>
      <c r="V234" s="0" t="s">
        <v>55</v>
      </c>
      <c r="W234" s="0" t="s">
        <v>2328</v>
      </c>
      <c r="X234" s="0" t="s">
        <v>128</v>
      </c>
      <c r="Y234" s="0" t="s">
        <v>99</v>
      </c>
      <c r="Z234" s="0" t="s">
        <v>2329</v>
      </c>
      <c r="AA234" s="0" t="s">
        <v>79</v>
      </c>
      <c r="AB234" s="5" t="n">
        <v>25000</v>
      </c>
      <c r="AC234" s="5" t="n">
        <v>35000</v>
      </c>
      <c r="AD234" s="0" t="s">
        <v>50</v>
      </c>
      <c r="AE234" s="5" t="n">
        <v>0</v>
      </c>
      <c r="AF234" s="0" t="s">
        <v>2338</v>
      </c>
      <c r="AG234" s="7" t="s">
        <v>697</v>
      </c>
      <c r="AH234" s="0" t="s">
        <v>63</v>
      </c>
      <c r="AI234" s="0" t="s">
        <v>2331</v>
      </c>
      <c r="AJ234" s="0" t="s">
        <v>2320</v>
      </c>
      <c r="AK234" s="0" t="s">
        <v>63</v>
      </c>
      <c r="AL234" s="0" t="s">
        <v>2344</v>
      </c>
      <c r="AM234" s="0" t="s">
        <v>63</v>
      </c>
      <c r="AN234" s="0" t="s">
        <v>2321</v>
      </c>
      <c r="AO234" s="0" t="s">
        <v>63</v>
      </c>
    </row>
    <row r="235" customFormat="false" ht="15" hidden="false" customHeight="false" outlineLevel="0" collapsed="false">
      <c r="A235" s="0" t="s">
        <v>698</v>
      </c>
      <c r="B235" s="2" t="s">
        <v>468</v>
      </c>
      <c r="C235" s="0" t="s">
        <v>42</v>
      </c>
      <c r="D235" s="0" t="n">
        <v>8045651567</v>
      </c>
      <c r="E235" s="0" t="s">
        <v>43</v>
      </c>
      <c r="F235" s="0" t="s">
        <v>2315</v>
      </c>
      <c r="G235" s="0" t="s">
        <v>699</v>
      </c>
      <c r="H235" s="0" t="s">
        <v>69</v>
      </c>
      <c r="I235" s="3" t="s">
        <v>2322</v>
      </c>
      <c r="J235" s="0" t="s">
        <v>2339</v>
      </c>
      <c r="K235" s="0" t="s">
        <v>48</v>
      </c>
      <c r="L235" s="4" t="n">
        <v>40970</v>
      </c>
      <c r="M235" s="0" t="s">
        <v>49</v>
      </c>
      <c r="N235" s="0" t="s">
        <v>50</v>
      </c>
      <c r="O235" s="5" t="n">
        <v>3.00468018720749</v>
      </c>
      <c r="P235" s="0" t="n">
        <v>2.1</v>
      </c>
      <c r="Q235" s="0" t="s">
        <v>125</v>
      </c>
      <c r="R235" s="0" t="s">
        <v>93</v>
      </c>
      <c r="S235" s="0" t="s">
        <v>2366</v>
      </c>
      <c r="T235" s="0" t="s">
        <v>95</v>
      </c>
      <c r="U235" s="5" t="n">
        <v>39.9557522123894</v>
      </c>
      <c r="V235" s="0" t="s">
        <v>96</v>
      </c>
      <c r="W235" s="0" t="s">
        <v>2328</v>
      </c>
      <c r="X235" s="0" t="s">
        <v>98</v>
      </c>
      <c r="Y235" s="0" t="s">
        <v>196</v>
      </c>
      <c r="Z235" s="0" t="s">
        <v>2326</v>
      </c>
      <c r="AA235" s="0" t="s">
        <v>79</v>
      </c>
      <c r="AB235" s="5" t="n">
        <v>40000</v>
      </c>
      <c r="AC235" s="5" t="n">
        <v>35000</v>
      </c>
      <c r="AD235" s="0" t="s">
        <v>63</v>
      </c>
      <c r="AE235" s="5" t="n">
        <v>5000</v>
      </c>
      <c r="AF235" s="0" t="s">
        <v>184</v>
      </c>
      <c r="AG235" s="7" t="s">
        <v>700</v>
      </c>
      <c r="AH235" s="0" t="s">
        <v>63</v>
      </c>
      <c r="AI235" s="0" t="s">
        <v>2331</v>
      </c>
      <c r="AJ235" s="0" t="s">
        <v>172</v>
      </c>
      <c r="AK235" s="0" t="s">
        <v>63</v>
      </c>
      <c r="AL235" s="0" t="s">
        <v>2344</v>
      </c>
      <c r="AM235" s="0" t="s">
        <v>2344</v>
      </c>
      <c r="AN235" s="0" t="s">
        <v>2321</v>
      </c>
      <c r="AO235" s="0" t="s">
        <v>50</v>
      </c>
    </row>
    <row r="236" customFormat="false" ht="15" hidden="false" customHeight="false" outlineLevel="0" collapsed="false">
      <c r="A236" s="0" t="s">
        <v>701</v>
      </c>
      <c r="B236" s="2" t="s">
        <v>2425</v>
      </c>
      <c r="C236" s="0" t="s">
        <v>42</v>
      </c>
      <c r="D236" s="0" t="n">
        <v>8096618062</v>
      </c>
      <c r="E236" s="0" t="s">
        <v>85</v>
      </c>
      <c r="F236" s="0" t="s">
        <v>2319</v>
      </c>
      <c r="G236" s="0" t="s">
        <v>702</v>
      </c>
      <c r="H236" s="0" t="s">
        <v>45</v>
      </c>
      <c r="I236" s="3" t="s">
        <v>2325</v>
      </c>
      <c r="J236" s="0" t="s">
        <v>2349</v>
      </c>
      <c r="K236" s="0" t="s">
        <v>90</v>
      </c>
      <c r="L236" s="4" t="n">
        <v>60836</v>
      </c>
      <c r="M236" s="0" t="s">
        <v>110</v>
      </c>
      <c r="N236" s="0" t="s">
        <v>50</v>
      </c>
      <c r="O236" s="5" t="n">
        <v>4</v>
      </c>
      <c r="P236" s="0" t="n">
        <v>1.4</v>
      </c>
      <c r="Q236" s="0" t="s">
        <v>111</v>
      </c>
      <c r="R236" s="0" t="s">
        <v>73</v>
      </c>
      <c r="S236" s="0" t="s">
        <v>2340</v>
      </c>
      <c r="T236" s="0" t="s">
        <v>2353</v>
      </c>
      <c r="U236" s="5" t="n">
        <v>37.8629032258065</v>
      </c>
      <c r="V236" s="0" t="s">
        <v>2336</v>
      </c>
      <c r="W236" s="0" t="s">
        <v>148</v>
      </c>
      <c r="X236" s="0" t="s">
        <v>98</v>
      </c>
      <c r="Y236" s="0" t="s">
        <v>196</v>
      </c>
      <c r="Z236" s="0" t="s">
        <v>2329</v>
      </c>
      <c r="AA236" s="0" t="s">
        <v>79</v>
      </c>
      <c r="AB236" s="5" t="n">
        <v>30000</v>
      </c>
      <c r="AC236" s="5" t="n">
        <v>30000</v>
      </c>
      <c r="AD236" s="0" t="s">
        <v>63</v>
      </c>
      <c r="AE236" s="5" t="n">
        <v>0</v>
      </c>
      <c r="AF236" s="0" t="s">
        <v>60</v>
      </c>
      <c r="AG236" s="7" t="s">
        <v>703</v>
      </c>
      <c r="AH236" s="0" t="s">
        <v>63</v>
      </c>
      <c r="AI236" s="0" t="s">
        <v>116</v>
      </c>
      <c r="AJ236" s="0" t="s">
        <v>172</v>
      </c>
      <c r="AK236" s="0" t="s">
        <v>50</v>
      </c>
      <c r="AL236" s="0" t="s">
        <v>63</v>
      </c>
      <c r="AM236" s="0" t="s">
        <v>50</v>
      </c>
      <c r="AN236" s="0" t="s">
        <v>2321</v>
      </c>
      <c r="AO236" s="0" t="s">
        <v>63</v>
      </c>
    </row>
    <row r="237" customFormat="false" ht="15" hidden="false" customHeight="false" outlineLevel="0" collapsed="false">
      <c r="A237" s="0" t="s">
        <v>704</v>
      </c>
      <c r="B237" s="2" t="s">
        <v>2464</v>
      </c>
      <c r="C237" s="0" t="s">
        <v>105</v>
      </c>
      <c r="D237" s="0" t="n">
        <v>8020185574</v>
      </c>
      <c r="E237" s="0" t="s">
        <v>85</v>
      </c>
      <c r="F237" s="0" t="s">
        <v>2319</v>
      </c>
      <c r="G237" s="0" t="s">
        <v>705</v>
      </c>
      <c r="H237" s="0" t="s">
        <v>69</v>
      </c>
      <c r="I237" s="3" t="s">
        <v>2325</v>
      </c>
      <c r="J237" s="0" t="s">
        <v>189</v>
      </c>
      <c r="K237" s="0" t="s">
        <v>48</v>
      </c>
      <c r="L237" s="4" t="n">
        <v>94594</v>
      </c>
      <c r="M237" s="0" t="s">
        <v>2333</v>
      </c>
      <c r="N237" s="0" t="s">
        <v>63</v>
      </c>
      <c r="O237" s="5" t="n">
        <v>4</v>
      </c>
      <c r="P237" s="0" t="n">
        <v>4.9</v>
      </c>
      <c r="Q237" s="0" t="s">
        <v>2334</v>
      </c>
      <c r="R237" s="0" t="s">
        <v>52</v>
      </c>
      <c r="S237" s="0" t="s">
        <v>2366</v>
      </c>
      <c r="T237" s="0" t="s">
        <v>75</v>
      </c>
      <c r="U237" s="5" t="n">
        <v>45</v>
      </c>
      <c r="V237" s="0" t="s">
        <v>2352</v>
      </c>
      <c r="W237" s="0" t="s">
        <v>2337</v>
      </c>
      <c r="X237" s="0" t="s">
        <v>128</v>
      </c>
      <c r="Y237" s="0" t="s">
        <v>196</v>
      </c>
      <c r="Z237" s="0" t="s">
        <v>2329</v>
      </c>
      <c r="AA237" s="0" t="s">
        <v>149</v>
      </c>
      <c r="AB237" s="5" t="n">
        <v>30000</v>
      </c>
      <c r="AC237" s="5" t="n">
        <v>35000</v>
      </c>
      <c r="AD237" s="0" t="s">
        <v>50</v>
      </c>
      <c r="AE237" s="5" t="n">
        <v>5000</v>
      </c>
      <c r="AF237" s="0" t="s">
        <v>184</v>
      </c>
      <c r="AG237" s="7" t="s">
        <v>2330</v>
      </c>
      <c r="AH237" s="0" t="s">
        <v>50</v>
      </c>
      <c r="AI237" s="0" t="s">
        <v>2331</v>
      </c>
      <c r="AJ237" s="0" t="s">
        <v>2331</v>
      </c>
      <c r="AK237" s="0" t="s">
        <v>2344</v>
      </c>
      <c r="AL237" s="0" t="s">
        <v>2344</v>
      </c>
      <c r="AM237" s="0" t="s">
        <v>63</v>
      </c>
      <c r="AN237" s="0" t="s">
        <v>2318</v>
      </c>
      <c r="AO237" s="0" t="s">
        <v>50</v>
      </c>
    </row>
    <row r="238" customFormat="false" ht="15" hidden="false" customHeight="false" outlineLevel="0" collapsed="false">
      <c r="A238" s="0" t="s">
        <v>706</v>
      </c>
      <c r="B238" s="2" t="s">
        <v>2425</v>
      </c>
      <c r="C238" s="0" t="s">
        <v>42</v>
      </c>
      <c r="D238" s="0" t="n">
        <v>8058196637</v>
      </c>
      <c r="E238" s="0" t="s">
        <v>85</v>
      </c>
      <c r="F238" s="0" t="s">
        <v>2319</v>
      </c>
      <c r="G238" s="0" t="s">
        <v>707</v>
      </c>
      <c r="H238" s="0" t="s">
        <v>107</v>
      </c>
      <c r="I238" s="3" t="s">
        <v>2325</v>
      </c>
      <c r="J238" s="0" t="s">
        <v>2347</v>
      </c>
      <c r="K238" s="0" t="s">
        <v>109</v>
      </c>
      <c r="L238" s="4" t="n">
        <v>20749</v>
      </c>
      <c r="M238" s="0" t="s">
        <v>110</v>
      </c>
      <c r="N238" s="0" t="s">
        <v>50</v>
      </c>
      <c r="O238" s="5" t="n">
        <v>3</v>
      </c>
      <c r="P238" s="0" t="n">
        <v>4.4</v>
      </c>
      <c r="Q238" s="0" t="s">
        <v>125</v>
      </c>
      <c r="R238" s="0" t="s">
        <v>93</v>
      </c>
      <c r="S238" s="0" t="s">
        <v>2366</v>
      </c>
      <c r="T238" s="0" t="s">
        <v>75</v>
      </c>
      <c r="U238" s="5" t="n">
        <v>45</v>
      </c>
      <c r="V238" s="0" t="s">
        <v>112</v>
      </c>
      <c r="W238" s="0" t="s">
        <v>2337</v>
      </c>
      <c r="X238" s="0" t="s">
        <v>78</v>
      </c>
      <c r="Y238" s="0" t="s">
        <v>196</v>
      </c>
      <c r="Z238" s="0" t="s">
        <v>2326</v>
      </c>
      <c r="AA238" s="0" t="s">
        <v>2329</v>
      </c>
      <c r="AB238" s="5" t="n">
        <v>25000</v>
      </c>
      <c r="AC238" s="5" t="n">
        <v>30000</v>
      </c>
      <c r="AD238" s="0" t="s">
        <v>50</v>
      </c>
      <c r="AE238" s="5" t="n">
        <v>0</v>
      </c>
      <c r="AF238" s="0" t="s">
        <v>60</v>
      </c>
      <c r="AG238" s="7" t="s">
        <v>2330</v>
      </c>
      <c r="AH238" s="0" t="s">
        <v>50</v>
      </c>
      <c r="AI238" s="0" t="s">
        <v>2331</v>
      </c>
      <c r="AJ238" s="0" t="s">
        <v>2331</v>
      </c>
      <c r="AK238" s="0" t="s">
        <v>63</v>
      </c>
      <c r="AL238" s="0" t="s">
        <v>63</v>
      </c>
      <c r="AM238" s="0" t="s">
        <v>63</v>
      </c>
      <c r="AN238" s="0" t="s">
        <v>2321</v>
      </c>
      <c r="AO238" s="0" t="s">
        <v>63</v>
      </c>
    </row>
    <row r="239" customFormat="false" ht="15" hidden="false" customHeight="false" outlineLevel="0" collapsed="false">
      <c r="A239" s="0" t="s">
        <v>708</v>
      </c>
      <c r="B239" s="2" t="s">
        <v>869</v>
      </c>
      <c r="C239" s="0" t="s">
        <v>105</v>
      </c>
      <c r="D239" s="0" t="n">
        <v>8021062025</v>
      </c>
      <c r="E239" s="0" t="s">
        <v>67</v>
      </c>
      <c r="F239" s="0" t="s">
        <v>2316</v>
      </c>
      <c r="G239" s="0" t="s">
        <v>709</v>
      </c>
      <c r="H239" s="0" t="s">
        <v>107</v>
      </c>
      <c r="I239" s="3" t="s">
        <v>2342</v>
      </c>
      <c r="J239" s="0" t="s">
        <v>2341</v>
      </c>
      <c r="K239" s="0" t="s">
        <v>90</v>
      </c>
      <c r="L239" s="4" t="n">
        <v>116780</v>
      </c>
      <c r="M239" s="0" t="s">
        <v>110</v>
      </c>
      <c r="N239" s="0" t="s">
        <v>63</v>
      </c>
      <c r="O239" s="5" t="n">
        <v>1</v>
      </c>
      <c r="P239" s="0" t="n">
        <v>2.2</v>
      </c>
      <c r="Q239" s="0" t="s">
        <v>92</v>
      </c>
      <c r="R239" s="0" t="s">
        <v>52</v>
      </c>
      <c r="S239" s="0" t="s">
        <v>2366</v>
      </c>
      <c r="T239" s="0" t="s">
        <v>147</v>
      </c>
      <c r="U239" s="5" t="n">
        <v>45</v>
      </c>
      <c r="V239" s="0" t="s">
        <v>2352</v>
      </c>
      <c r="W239" s="0" t="s">
        <v>155</v>
      </c>
      <c r="X239" s="0" t="s">
        <v>98</v>
      </c>
      <c r="Y239" s="0" t="s">
        <v>58</v>
      </c>
      <c r="Z239" s="0" t="s">
        <v>177</v>
      </c>
      <c r="AA239" s="0" t="s">
        <v>79</v>
      </c>
      <c r="AB239" s="5" t="n">
        <v>40000</v>
      </c>
      <c r="AC239" s="5" t="n">
        <v>30000</v>
      </c>
      <c r="AD239" s="0" t="s">
        <v>63</v>
      </c>
      <c r="AE239" s="5" t="n">
        <v>5000</v>
      </c>
      <c r="AF239" s="0" t="s">
        <v>2338</v>
      </c>
      <c r="AG239" s="7" t="s">
        <v>2465</v>
      </c>
      <c r="AH239" s="0" t="s">
        <v>63</v>
      </c>
      <c r="AI239" s="0" t="s">
        <v>2331</v>
      </c>
      <c r="AJ239" s="0" t="s">
        <v>117</v>
      </c>
      <c r="AK239" s="0" t="s">
        <v>63</v>
      </c>
      <c r="AL239" s="0" t="s">
        <v>2344</v>
      </c>
      <c r="AM239" s="0" t="s">
        <v>50</v>
      </c>
      <c r="AN239" s="0" t="s">
        <v>2321</v>
      </c>
      <c r="AO239" s="0" t="s">
        <v>63</v>
      </c>
    </row>
    <row r="240" customFormat="false" ht="15" hidden="false" customHeight="false" outlineLevel="0" collapsed="false">
      <c r="A240" s="0" t="s">
        <v>710</v>
      </c>
      <c r="B240" s="2" t="s">
        <v>2466</v>
      </c>
      <c r="C240" s="0" t="s">
        <v>121</v>
      </c>
      <c r="D240" s="0" t="n">
        <v>8049529512</v>
      </c>
      <c r="E240" s="0" t="s">
        <v>122</v>
      </c>
      <c r="F240" s="0" t="s">
        <v>2316</v>
      </c>
      <c r="G240" s="0" t="s">
        <v>711</v>
      </c>
      <c r="H240" s="0" t="s">
        <v>45</v>
      </c>
      <c r="I240" s="3" t="s">
        <v>2322</v>
      </c>
      <c r="J240" s="0" t="s">
        <v>2339</v>
      </c>
      <c r="K240" s="0" t="s">
        <v>71</v>
      </c>
      <c r="L240" s="4" t="n">
        <v>85060</v>
      </c>
      <c r="M240" s="0" t="s">
        <v>49</v>
      </c>
      <c r="N240" s="0" t="s">
        <v>50</v>
      </c>
      <c r="O240" s="5" t="n">
        <v>4</v>
      </c>
      <c r="P240" s="0" t="n">
        <v>4.2</v>
      </c>
      <c r="Q240" s="0" t="s">
        <v>2334</v>
      </c>
      <c r="R240" s="0" t="s">
        <v>73</v>
      </c>
      <c r="S240" s="0" t="s">
        <v>2335</v>
      </c>
      <c r="T240" s="0" t="s">
        <v>2353</v>
      </c>
      <c r="U240" s="5" t="n">
        <v>30</v>
      </c>
      <c r="V240" s="0" t="s">
        <v>112</v>
      </c>
      <c r="W240" s="0" t="s">
        <v>2328</v>
      </c>
      <c r="X240" s="0" t="s">
        <v>128</v>
      </c>
      <c r="Y240" s="0" t="s">
        <v>196</v>
      </c>
      <c r="Z240" s="0" t="s">
        <v>59</v>
      </c>
      <c r="AA240" s="0" t="s">
        <v>161</v>
      </c>
      <c r="AB240" s="5" t="n">
        <v>25000</v>
      </c>
      <c r="AC240" s="5" t="n">
        <v>40000</v>
      </c>
      <c r="AD240" s="0" t="s">
        <v>63</v>
      </c>
      <c r="AE240" s="5" t="n">
        <v>5000</v>
      </c>
      <c r="AF240" s="0" t="s">
        <v>2338</v>
      </c>
      <c r="AG240" s="7" t="s">
        <v>712</v>
      </c>
      <c r="AH240" s="0" t="s">
        <v>50</v>
      </c>
      <c r="AI240" s="0" t="s">
        <v>171</v>
      </c>
      <c r="AJ240" s="0" t="s">
        <v>2331</v>
      </c>
      <c r="AK240" s="0" t="s">
        <v>2344</v>
      </c>
      <c r="AL240" s="0" t="s">
        <v>2344</v>
      </c>
      <c r="AM240" s="0" t="s">
        <v>63</v>
      </c>
      <c r="AN240" s="0" t="s">
        <v>2321</v>
      </c>
      <c r="AO240" s="0" t="s">
        <v>50</v>
      </c>
    </row>
    <row r="241" customFormat="false" ht="15" hidden="false" customHeight="false" outlineLevel="0" collapsed="false">
      <c r="A241" s="0" t="s">
        <v>713</v>
      </c>
      <c r="B241" s="2" t="s">
        <v>2351</v>
      </c>
      <c r="C241" s="0" t="s">
        <v>105</v>
      </c>
      <c r="D241" s="0" t="n">
        <v>8077345747</v>
      </c>
      <c r="E241" s="0" t="s">
        <v>122</v>
      </c>
      <c r="F241" s="0" t="s">
        <v>2316</v>
      </c>
      <c r="G241" s="0" t="s">
        <v>714</v>
      </c>
      <c r="H241" s="0" t="s">
        <v>45</v>
      </c>
      <c r="I241" s="3" t="s">
        <v>2325</v>
      </c>
      <c r="J241" s="0" t="s">
        <v>47</v>
      </c>
      <c r="K241" s="0" t="s">
        <v>48</v>
      </c>
      <c r="L241" s="4" t="n">
        <v>114103</v>
      </c>
      <c r="M241" s="0" t="s">
        <v>2333</v>
      </c>
      <c r="N241" s="0" t="s">
        <v>63</v>
      </c>
      <c r="O241" s="5" t="n">
        <v>3</v>
      </c>
      <c r="P241" s="0" t="n">
        <v>5.6</v>
      </c>
      <c r="Q241" s="0" t="s">
        <v>125</v>
      </c>
      <c r="R241" s="0" t="s">
        <v>73</v>
      </c>
      <c r="S241" s="0" t="s">
        <v>2366</v>
      </c>
      <c r="T241" s="0" t="s">
        <v>75</v>
      </c>
      <c r="U241" s="5" t="n">
        <v>45</v>
      </c>
      <c r="V241" s="0" t="s">
        <v>2336</v>
      </c>
      <c r="W241" s="0" t="s">
        <v>2328</v>
      </c>
      <c r="X241" s="0" t="s">
        <v>98</v>
      </c>
      <c r="Y241" s="0" t="s">
        <v>114</v>
      </c>
      <c r="Z241" s="0" t="s">
        <v>2324</v>
      </c>
      <c r="AA241" s="0" t="s">
        <v>79</v>
      </c>
      <c r="AB241" s="5" t="n">
        <v>40000</v>
      </c>
      <c r="AC241" s="5" t="n">
        <v>31404.7619047619</v>
      </c>
      <c r="AD241" s="0" t="s">
        <v>50</v>
      </c>
      <c r="AE241" s="5" t="n">
        <v>5000</v>
      </c>
      <c r="AF241" s="0" t="s">
        <v>60</v>
      </c>
      <c r="AG241" s="7" t="s">
        <v>715</v>
      </c>
      <c r="AH241" s="0" t="s">
        <v>50</v>
      </c>
      <c r="AI241" s="0" t="s">
        <v>2331</v>
      </c>
      <c r="AJ241" s="0" t="s">
        <v>2320</v>
      </c>
      <c r="AK241" s="0" t="s">
        <v>50</v>
      </c>
      <c r="AL241" s="0" t="s">
        <v>63</v>
      </c>
      <c r="AM241" s="0" t="s">
        <v>2344</v>
      </c>
      <c r="AN241" s="0" t="s">
        <v>2321</v>
      </c>
      <c r="AO241" s="0" t="s">
        <v>63</v>
      </c>
    </row>
    <row r="242" customFormat="false" ht="15" hidden="false" customHeight="false" outlineLevel="0" collapsed="false">
      <c r="A242" s="0" t="s">
        <v>716</v>
      </c>
      <c r="B242" s="2" t="s">
        <v>438</v>
      </c>
      <c r="C242" s="0" t="s">
        <v>105</v>
      </c>
      <c r="D242" s="0" t="n">
        <v>8078825641</v>
      </c>
      <c r="E242" s="0" t="s">
        <v>67</v>
      </c>
      <c r="F242" s="0" t="s">
        <v>2316</v>
      </c>
      <c r="G242" s="0" t="s">
        <v>717</v>
      </c>
      <c r="H242" s="0" t="s">
        <v>87</v>
      </c>
      <c r="I242" s="3" t="s">
        <v>87</v>
      </c>
      <c r="J242" s="0" t="s">
        <v>2339</v>
      </c>
      <c r="K242" s="0" t="s">
        <v>48</v>
      </c>
      <c r="L242" s="4" t="n">
        <v>85215</v>
      </c>
      <c r="M242" s="0" t="s">
        <v>49</v>
      </c>
      <c r="N242" s="0" t="s">
        <v>50</v>
      </c>
      <c r="O242" s="5" t="n">
        <v>2</v>
      </c>
      <c r="P242" s="0" t="n">
        <v>5.9</v>
      </c>
      <c r="Q242" s="0" t="s">
        <v>125</v>
      </c>
      <c r="R242" s="0" t="s">
        <v>52</v>
      </c>
      <c r="S242" s="0" t="s">
        <v>53</v>
      </c>
      <c r="T242" s="0" t="s">
        <v>2353</v>
      </c>
      <c r="U242" s="5" t="n">
        <v>30</v>
      </c>
      <c r="V242" s="0" t="s">
        <v>96</v>
      </c>
      <c r="W242" s="0" t="s">
        <v>2337</v>
      </c>
      <c r="X242" s="0" t="s">
        <v>78</v>
      </c>
      <c r="Y242" s="0" t="s">
        <v>114</v>
      </c>
      <c r="Z242" s="0" t="s">
        <v>2326</v>
      </c>
      <c r="AA242" s="0" t="s">
        <v>79</v>
      </c>
      <c r="AB242" s="5" t="n">
        <v>25000</v>
      </c>
      <c r="AC242" s="5" t="n">
        <v>20000</v>
      </c>
      <c r="AD242" s="0" t="s">
        <v>63</v>
      </c>
      <c r="AE242" s="5" t="n">
        <v>0</v>
      </c>
      <c r="AF242" s="0" t="s">
        <v>2338</v>
      </c>
      <c r="AG242" s="7" t="s">
        <v>718</v>
      </c>
      <c r="AH242" s="0" t="s">
        <v>63</v>
      </c>
      <c r="AI242" s="0" t="s">
        <v>2331</v>
      </c>
      <c r="AJ242" s="0" t="s">
        <v>2320</v>
      </c>
      <c r="AK242" s="0" t="s">
        <v>2344</v>
      </c>
      <c r="AL242" s="0" t="s">
        <v>50</v>
      </c>
      <c r="AM242" s="0" t="s">
        <v>2344</v>
      </c>
      <c r="AN242" s="0" t="s">
        <v>2321</v>
      </c>
      <c r="AO242" s="0" t="s">
        <v>63</v>
      </c>
    </row>
    <row r="243" customFormat="false" ht="15" hidden="false" customHeight="false" outlineLevel="0" collapsed="false">
      <c r="A243" s="0" t="s">
        <v>719</v>
      </c>
      <c r="B243" s="2" t="s">
        <v>1370</v>
      </c>
      <c r="C243" s="0" t="s">
        <v>121</v>
      </c>
      <c r="D243" s="0" t="n">
        <v>8083370374</v>
      </c>
      <c r="E243" s="0" t="s">
        <v>122</v>
      </c>
      <c r="F243" s="0" t="s">
        <v>2316</v>
      </c>
      <c r="G243" s="0" t="s">
        <v>720</v>
      </c>
      <c r="H243" s="0" t="s">
        <v>107</v>
      </c>
      <c r="I243" s="3" t="s">
        <v>87</v>
      </c>
      <c r="J243" s="0" t="s">
        <v>2341</v>
      </c>
      <c r="K243" s="0" t="s">
        <v>109</v>
      </c>
      <c r="L243" s="4" t="n">
        <v>52039</v>
      </c>
      <c r="M243" s="0" t="s">
        <v>2333</v>
      </c>
      <c r="N243" s="0" t="s">
        <v>50</v>
      </c>
      <c r="O243" s="5" t="n">
        <v>1</v>
      </c>
      <c r="P243" s="0" t="n">
        <v>3.1</v>
      </c>
      <c r="Q243" s="0" t="s">
        <v>111</v>
      </c>
      <c r="R243" s="0" t="s">
        <v>73</v>
      </c>
      <c r="S243" s="0" t="s">
        <v>2340</v>
      </c>
      <c r="T243" s="0" t="s">
        <v>75</v>
      </c>
      <c r="U243" s="5" t="n">
        <v>60</v>
      </c>
      <c r="V243" s="0" t="s">
        <v>2336</v>
      </c>
      <c r="W243" s="0" t="s">
        <v>148</v>
      </c>
      <c r="X243" s="0" t="s">
        <v>78</v>
      </c>
      <c r="Y243" s="0" t="s">
        <v>58</v>
      </c>
      <c r="Z243" s="0" t="s">
        <v>2324</v>
      </c>
      <c r="AA243" s="0" t="s">
        <v>149</v>
      </c>
      <c r="AB243" s="5" t="n">
        <v>25000</v>
      </c>
      <c r="AC243" s="5" t="n">
        <v>20000</v>
      </c>
      <c r="AD243" s="0" t="s">
        <v>63</v>
      </c>
      <c r="AE243" s="5" t="n">
        <v>5000</v>
      </c>
      <c r="AF243" s="0" t="s">
        <v>60</v>
      </c>
      <c r="AG243" s="7" t="s">
        <v>2330</v>
      </c>
      <c r="AH243" s="0" t="s">
        <v>63</v>
      </c>
      <c r="AI243" s="0" t="s">
        <v>171</v>
      </c>
      <c r="AJ243" s="0" t="s">
        <v>2331</v>
      </c>
      <c r="AK243" s="0" t="s">
        <v>50</v>
      </c>
      <c r="AL243" s="0" t="s">
        <v>63</v>
      </c>
      <c r="AM243" s="0" t="s">
        <v>63</v>
      </c>
      <c r="AN243" s="0" t="s">
        <v>2321</v>
      </c>
      <c r="AO243" s="0" t="s">
        <v>63</v>
      </c>
    </row>
    <row r="244" customFormat="false" ht="15" hidden="false" customHeight="false" outlineLevel="0" collapsed="false">
      <c r="A244" s="0" t="s">
        <v>721</v>
      </c>
      <c r="B244" s="2" t="s">
        <v>2418</v>
      </c>
      <c r="C244" s="0" t="s">
        <v>163</v>
      </c>
      <c r="D244" s="0" t="n">
        <v>8096389831</v>
      </c>
      <c r="E244" s="0" t="s">
        <v>67</v>
      </c>
      <c r="F244" s="0" t="s">
        <v>2316</v>
      </c>
      <c r="G244" s="0" t="s">
        <v>722</v>
      </c>
      <c r="H244" s="0" t="s">
        <v>45</v>
      </c>
      <c r="I244" s="3" t="s">
        <v>2322</v>
      </c>
      <c r="J244" s="0" t="s">
        <v>2349</v>
      </c>
      <c r="K244" s="0" t="s">
        <v>90</v>
      </c>
      <c r="L244" s="4" t="n">
        <v>24349</v>
      </c>
      <c r="M244" s="0" t="s">
        <v>2333</v>
      </c>
      <c r="N244" s="0" t="s">
        <v>63</v>
      </c>
      <c r="O244" s="5" t="n">
        <v>3</v>
      </c>
      <c r="P244" s="0" t="n">
        <v>1.2</v>
      </c>
      <c r="Q244" s="0" t="s">
        <v>111</v>
      </c>
      <c r="R244" s="0" t="s">
        <v>73</v>
      </c>
      <c r="S244" s="0" t="s">
        <v>2340</v>
      </c>
      <c r="T244" s="0" t="s">
        <v>95</v>
      </c>
      <c r="U244" s="5" t="n">
        <v>60</v>
      </c>
      <c r="V244" s="0" t="s">
        <v>55</v>
      </c>
      <c r="W244" s="0" t="s">
        <v>148</v>
      </c>
      <c r="X244" s="0" t="s">
        <v>128</v>
      </c>
      <c r="Y244" s="0" t="s">
        <v>196</v>
      </c>
      <c r="Z244" s="0" t="s">
        <v>2329</v>
      </c>
      <c r="AA244" s="0" t="s">
        <v>143</v>
      </c>
      <c r="AB244" s="5" t="n">
        <v>40000</v>
      </c>
      <c r="AC244" s="5" t="n">
        <v>20000</v>
      </c>
      <c r="AD244" s="0" t="s">
        <v>50</v>
      </c>
      <c r="AE244" s="5" t="n">
        <v>10000</v>
      </c>
      <c r="AF244" s="0" t="s">
        <v>60</v>
      </c>
      <c r="AG244" s="7" t="s">
        <v>360</v>
      </c>
      <c r="AH244" s="0" t="s">
        <v>63</v>
      </c>
      <c r="AI244" s="0" t="s">
        <v>171</v>
      </c>
      <c r="AJ244" s="0" t="s">
        <v>2320</v>
      </c>
      <c r="AK244" s="0" t="s">
        <v>63</v>
      </c>
      <c r="AL244" s="0" t="s">
        <v>50</v>
      </c>
      <c r="AM244" s="0" t="s">
        <v>63</v>
      </c>
      <c r="AN244" s="0" t="s">
        <v>2318</v>
      </c>
      <c r="AO244" s="0" t="s">
        <v>50</v>
      </c>
    </row>
    <row r="245" customFormat="false" ht="15" hidden="false" customHeight="false" outlineLevel="0" collapsed="false">
      <c r="A245" s="0" t="s">
        <v>723</v>
      </c>
      <c r="B245" s="2" t="s">
        <v>2467</v>
      </c>
      <c r="C245" s="0" t="s">
        <v>105</v>
      </c>
      <c r="D245" s="0" t="n">
        <v>8020490324</v>
      </c>
      <c r="E245" s="0" t="s">
        <v>67</v>
      </c>
      <c r="F245" s="0" t="s">
        <v>2316</v>
      </c>
      <c r="G245" s="0" t="s">
        <v>724</v>
      </c>
      <c r="H245" s="0" t="s">
        <v>69</v>
      </c>
      <c r="I245" s="3" t="s">
        <v>2322</v>
      </c>
      <c r="J245" s="0" t="s">
        <v>189</v>
      </c>
      <c r="K245" s="0" t="s">
        <v>48</v>
      </c>
      <c r="L245" s="4" t="n">
        <v>70321</v>
      </c>
      <c r="M245" s="0" t="s">
        <v>110</v>
      </c>
      <c r="N245" s="0" t="s">
        <v>63</v>
      </c>
      <c r="O245" s="5" t="n">
        <v>2</v>
      </c>
      <c r="P245" s="0" t="n">
        <v>3.4</v>
      </c>
      <c r="Q245" s="0" t="s">
        <v>111</v>
      </c>
      <c r="R245" s="0" t="s">
        <v>73</v>
      </c>
      <c r="S245" s="0" t="s">
        <v>2335</v>
      </c>
      <c r="T245" s="0" t="s">
        <v>54</v>
      </c>
      <c r="U245" s="5" t="n">
        <v>45</v>
      </c>
      <c r="V245" s="0" t="s">
        <v>55</v>
      </c>
      <c r="W245" s="0" t="s">
        <v>2337</v>
      </c>
      <c r="X245" s="0" t="s">
        <v>78</v>
      </c>
      <c r="Y245" s="0" t="s">
        <v>196</v>
      </c>
      <c r="Z245" s="0" t="s">
        <v>2324</v>
      </c>
      <c r="AA245" s="0" t="s">
        <v>149</v>
      </c>
      <c r="AB245" s="5" t="n">
        <v>20000</v>
      </c>
      <c r="AC245" s="5" t="n">
        <v>20000</v>
      </c>
      <c r="AD245" s="0" t="s">
        <v>63</v>
      </c>
      <c r="AE245" s="5" t="n">
        <v>0</v>
      </c>
      <c r="AF245" s="0" t="s">
        <v>60</v>
      </c>
      <c r="AG245" s="7" t="s">
        <v>2330</v>
      </c>
      <c r="AH245" s="0" t="s">
        <v>50</v>
      </c>
      <c r="AI245" s="0" t="s">
        <v>2331</v>
      </c>
      <c r="AJ245" s="0" t="s">
        <v>2320</v>
      </c>
      <c r="AK245" s="0" t="s">
        <v>63</v>
      </c>
      <c r="AL245" s="0" t="s">
        <v>50</v>
      </c>
      <c r="AM245" s="0" t="s">
        <v>50</v>
      </c>
      <c r="AN245" s="0" t="s">
        <v>2321</v>
      </c>
      <c r="AO245" s="0" t="s">
        <v>2359</v>
      </c>
    </row>
    <row r="246" customFormat="false" ht="15" hidden="false" customHeight="false" outlineLevel="0" collapsed="false">
      <c r="A246" s="0" t="s">
        <v>726</v>
      </c>
      <c r="B246" s="2" t="s">
        <v>725</v>
      </c>
      <c r="C246" s="0" t="s">
        <v>42</v>
      </c>
      <c r="D246" s="0" t="n">
        <v>8047101128</v>
      </c>
      <c r="E246" s="0" t="s">
        <v>43</v>
      </c>
      <c r="F246" s="0" t="s">
        <v>2315</v>
      </c>
      <c r="G246" s="0" t="s">
        <v>727</v>
      </c>
      <c r="H246" s="0" t="s">
        <v>69</v>
      </c>
      <c r="I246" s="3" t="s">
        <v>87</v>
      </c>
      <c r="J246" s="0" t="s">
        <v>2339</v>
      </c>
      <c r="K246" s="0" t="s">
        <v>48</v>
      </c>
      <c r="L246" s="4" t="n">
        <v>18704</v>
      </c>
      <c r="M246" s="0" t="s">
        <v>110</v>
      </c>
      <c r="N246" s="0" t="s">
        <v>63</v>
      </c>
      <c r="O246" s="5" t="n">
        <v>3</v>
      </c>
      <c r="P246" s="0" t="n">
        <v>3.7</v>
      </c>
      <c r="Q246" s="0" t="s">
        <v>51</v>
      </c>
      <c r="R246" s="0" t="s">
        <v>52</v>
      </c>
      <c r="S246" s="0" t="s">
        <v>53</v>
      </c>
      <c r="T246" s="0" t="s">
        <v>147</v>
      </c>
      <c r="U246" s="5" t="n">
        <v>45</v>
      </c>
      <c r="V246" s="0" t="s">
        <v>112</v>
      </c>
      <c r="W246" s="0" t="s">
        <v>155</v>
      </c>
      <c r="X246" s="0" t="s">
        <v>128</v>
      </c>
      <c r="Y246" s="0" t="s">
        <v>196</v>
      </c>
      <c r="Z246" s="0" t="s">
        <v>2329</v>
      </c>
      <c r="AA246" s="0" t="s">
        <v>161</v>
      </c>
      <c r="AB246" s="5" t="n">
        <v>15000</v>
      </c>
      <c r="AC246" s="5" t="n">
        <v>40000</v>
      </c>
      <c r="AD246" s="0" t="s">
        <v>63</v>
      </c>
      <c r="AE246" s="5" t="n">
        <v>10000</v>
      </c>
      <c r="AF246" s="0" t="s">
        <v>60</v>
      </c>
      <c r="AG246" s="7" t="s">
        <v>715</v>
      </c>
      <c r="AH246" s="0" t="s">
        <v>50</v>
      </c>
      <c r="AI246" s="0" t="s">
        <v>116</v>
      </c>
      <c r="AJ246" s="0" t="s">
        <v>117</v>
      </c>
      <c r="AK246" s="0" t="s">
        <v>63</v>
      </c>
      <c r="AL246" s="0" t="s">
        <v>50</v>
      </c>
      <c r="AM246" s="0" t="s">
        <v>50</v>
      </c>
      <c r="AN246" s="0" t="s">
        <v>64</v>
      </c>
      <c r="AO246" s="0" t="s">
        <v>2359</v>
      </c>
    </row>
    <row r="247" customFormat="false" ht="15" hidden="false" customHeight="false" outlineLevel="0" collapsed="false">
      <c r="A247" s="0" t="s">
        <v>728</v>
      </c>
      <c r="B247" s="2" t="s">
        <v>2419</v>
      </c>
      <c r="C247" s="0" t="s">
        <v>66</v>
      </c>
      <c r="D247" s="0" t="n">
        <v>8040566959</v>
      </c>
      <c r="E247" s="0" t="s">
        <v>67</v>
      </c>
      <c r="F247" s="0" t="s">
        <v>2316</v>
      </c>
      <c r="G247" s="0" t="s">
        <v>729</v>
      </c>
      <c r="H247" s="0" t="s">
        <v>45</v>
      </c>
      <c r="I247" s="3" t="s">
        <v>2322</v>
      </c>
      <c r="J247" s="0" t="s">
        <v>2349</v>
      </c>
      <c r="K247" s="0" t="s">
        <v>90</v>
      </c>
      <c r="L247" s="4" t="n">
        <v>55467</v>
      </c>
      <c r="M247" s="0" t="s">
        <v>110</v>
      </c>
      <c r="N247" s="0" t="s">
        <v>63</v>
      </c>
      <c r="O247" s="5" t="n">
        <v>1</v>
      </c>
      <c r="P247" s="0" t="n">
        <v>1.9</v>
      </c>
      <c r="Q247" s="0" t="s">
        <v>92</v>
      </c>
      <c r="R247" s="0" t="s">
        <v>93</v>
      </c>
      <c r="S247" s="0" t="s">
        <v>53</v>
      </c>
      <c r="T247" s="0" t="s">
        <v>2353</v>
      </c>
      <c r="U247" s="5" t="n">
        <v>45</v>
      </c>
      <c r="V247" s="0" t="s">
        <v>96</v>
      </c>
      <c r="W247" s="0" t="s">
        <v>2328</v>
      </c>
      <c r="X247" s="0" t="s">
        <v>128</v>
      </c>
      <c r="Y247" s="0" t="s">
        <v>58</v>
      </c>
      <c r="Z247" s="0" t="s">
        <v>2326</v>
      </c>
      <c r="AA247" s="0" t="s">
        <v>79</v>
      </c>
      <c r="AB247" s="5" t="n">
        <v>30000</v>
      </c>
      <c r="AC247" s="5" t="n">
        <v>20000</v>
      </c>
      <c r="AD247" s="0" t="s">
        <v>50</v>
      </c>
      <c r="AE247" s="5" t="n">
        <v>5000</v>
      </c>
      <c r="AF247" s="0" t="s">
        <v>130</v>
      </c>
      <c r="AG247" s="7" t="s">
        <v>2330</v>
      </c>
      <c r="AH247" s="0" t="s">
        <v>2329</v>
      </c>
      <c r="AI247" s="0" t="s">
        <v>2331</v>
      </c>
      <c r="AJ247" s="0" t="s">
        <v>2331</v>
      </c>
      <c r="AK247" s="0" t="s">
        <v>50</v>
      </c>
      <c r="AL247" s="0" t="s">
        <v>50</v>
      </c>
      <c r="AM247" s="0" t="s">
        <v>50</v>
      </c>
      <c r="AN247" s="0" t="s">
        <v>2318</v>
      </c>
      <c r="AO247" s="0" t="s">
        <v>50</v>
      </c>
    </row>
    <row r="248" customFormat="false" ht="15" hidden="false" customHeight="false" outlineLevel="0" collapsed="false">
      <c r="A248" s="0" t="s">
        <v>730</v>
      </c>
      <c r="B248" s="2" t="s">
        <v>2468</v>
      </c>
      <c r="C248" s="0" t="s">
        <v>121</v>
      </c>
      <c r="D248" s="0" t="n">
        <v>8023208247</v>
      </c>
      <c r="E248" s="0" t="s">
        <v>67</v>
      </c>
      <c r="F248" s="0" t="s">
        <v>2316</v>
      </c>
      <c r="G248" s="0" t="s">
        <v>731</v>
      </c>
      <c r="H248" s="0" t="s">
        <v>134</v>
      </c>
      <c r="I248" s="3" t="s">
        <v>2322</v>
      </c>
      <c r="J248" s="0" t="s">
        <v>2347</v>
      </c>
      <c r="K248" s="0" t="s">
        <v>109</v>
      </c>
      <c r="L248" s="4" t="n">
        <v>119469</v>
      </c>
      <c r="M248" s="0" t="s">
        <v>110</v>
      </c>
      <c r="N248" s="0" t="s">
        <v>63</v>
      </c>
      <c r="O248" s="5" t="n">
        <v>2</v>
      </c>
      <c r="P248" s="0" t="n">
        <v>5.6</v>
      </c>
      <c r="Q248" s="0" t="s">
        <v>125</v>
      </c>
      <c r="R248" s="0" t="s">
        <v>93</v>
      </c>
      <c r="S248" s="0" t="s">
        <v>2340</v>
      </c>
      <c r="T248" s="0" t="s">
        <v>147</v>
      </c>
      <c r="U248" s="5" t="n">
        <v>39.0277777777778</v>
      </c>
      <c r="V248" s="0" t="s">
        <v>2352</v>
      </c>
      <c r="W248" s="0" t="s">
        <v>148</v>
      </c>
      <c r="X248" s="0" t="s">
        <v>128</v>
      </c>
      <c r="Y248" s="0" t="s">
        <v>114</v>
      </c>
      <c r="Z248" s="0" t="s">
        <v>2329</v>
      </c>
      <c r="AA248" s="0" t="s">
        <v>143</v>
      </c>
      <c r="AB248" s="5" t="n">
        <v>20000</v>
      </c>
      <c r="AC248" s="5" t="n">
        <v>40000</v>
      </c>
      <c r="AD248" s="0" t="s">
        <v>63</v>
      </c>
      <c r="AE248" s="5" t="n">
        <v>5000</v>
      </c>
      <c r="AF248" s="0" t="s">
        <v>2338</v>
      </c>
      <c r="AG248" s="7" t="s">
        <v>732</v>
      </c>
      <c r="AH248" s="0" t="s">
        <v>50</v>
      </c>
      <c r="AI248" s="0" t="s">
        <v>171</v>
      </c>
      <c r="AJ248" s="0" t="s">
        <v>117</v>
      </c>
      <c r="AK248" s="0" t="s">
        <v>50</v>
      </c>
      <c r="AL248" s="0" t="s">
        <v>63</v>
      </c>
      <c r="AM248" s="0" t="s">
        <v>63</v>
      </c>
      <c r="AN248" s="0" t="s">
        <v>2321</v>
      </c>
      <c r="AO248" s="0" t="s">
        <v>50</v>
      </c>
    </row>
    <row r="249" customFormat="false" ht="15" hidden="false" customHeight="false" outlineLevel="0" collapsed="false">
      <c r="A249" s="0" t="s">
        <v>733</v>
      </c>
      <c r="B249" s="2" t="s">
        <v>2355</v>
      </c>
      <c r="C249" s="0" t="s">
        <v>105</v>
      </c>
      <c r="D249" s="0" t="n">
        <v>8025916596</v>
      </c>
      <c r="E249" s="0" t="s">
        <v>85</v>
      </c>
      <c r="F249" s="0" t="s">
        <v>2319</v>
      </c>
      <c r="G249" s="0" t="s">
        <v>734</v>
      </c>
      <c r="H249" s="0" t="s">
        <v>87</v>
      </c>
      <c r="I249" s="3" t="s">
        <v>2322</v>
      </c>
      <c r="J249" s="0" t="s">
        <v>189</v>
      </c>
      <c r="K249" s="0" t="s">
        <v>109</v>
      </c>
      <c r="L249" s="4" t="n">
        <v>31365</v>
      </c>
      <c r="M249" s="0" t="s">
        <v>110</v>
      </c>
      <c r="N249" s="0" t="s">
        <v>63</v>
      </c>
      <c r="O249" s="5" t="n">
        <v>2</v>
      </c>
      <c r="P249" s="0" t="n">
        <v>1.3</v>
      </c>
      <c r="Q249" s="0" t="s">
        <v>51</v>
      </c>
      <c r="R249" s="0" t="s">
        <v>73</v>
      </c>
      <c r="S249" s="0" t="s">
        <v>53</v>
      </c>
      <c r="T249" s="0" t="s">
        <v>95</v>
      </c>
      <c r="U249" s="5" t="n">
        <v>30</v>
      </c>
      <c r="V249" s="0" t="s">
        <v>112</v>
      </c>
      <c r="W249" s="0" t="s">
        <v>2328</v>
      </c>
      <c r="X249" s="0" t="s">
        <v>98</v>
      </c>
      <c r="Y249" s="0" t="s">
        <v>99</v>
      </c>
      <c r="Z249" s="0" t="s">
        <v>59</v>
      </c>
      <c r="AA249" s="0" t="s">
        <v>149</v>
      </c>
      <c r="AB249" s="5" t="n">
        <v>20000</v>
      </c>
      <c r="AC249" s="5" t="n">
        <v>31468.6998394864</v>
      </c>
      <c r="AD249" s="0" t="s">
        <v>63</v>
      </c>
      <c r="AE249" s="5" t="n">
        <v>0</v>
      </c>
      <c r="AF249" s="0" t="s">
        <v>130</v>
      </c>
      <c r="AG249" s="7" t="s">
        <v>2408</v>
      </c>
      <c r="AH249" s="0" t="s">
        <v>2329</v>
      </c>
      <c r="AI249" s="0" t="s">
        <v>2331</v>
      </c>
      <c r="AJ249" s="0" t="s">
        <v>2320</v>
      </c>
      <c r="AK249" s="0" t="s">
        <v>63</v>
      </c>
      <c r="AL249" s="0" t="s">
        <v>50</v>
      </c>
      <c r="AM249" s="0" t="s">
        <v>63</v>
      </c>
      <c r="AN249" s="0" t="s">
        <v>2318</v>
      </c>
      <c r="AO249" s="0" t="s">
        <v>50</v>
      </c>
    </row>
    <row r="250" customFormat="false" ht="15" hidden="false" customHeight="false" outlineLevel="0" collapsed="false">
      <c r="A250" s="0" t="s">
        <v>735</v>
      </c>
      <c r="B250" s="2" t="s">
        <v>531</v>
      </c>
      <c r="C250" s="0" t="s">
        <v>121</v>
      </c>
      <c r="D250" s="0" t="n">
        <v>8019576257</v>
      </c>
      <c r="E250" s="0" t="s">
        <v>85</v>
      </c>
      <c r="F250" s="0" t="s">
        <v>2319</v>
      </c>
      <c r="G250" s="0" t="s">
        <v>736</v>
      </c>
      <c r="H250" s="0" t="s">
        <v>45</v>
      </c>
      <c r="I250" s="3" t="s">
        <v>2317</v>
      </c>
      <c r="J250" s="0" t="s">
        <v>2349</v>
      </c>
      <c r="K250" s="0" t="s">
        <v>109</v>
      </c>
      <c r="L250" s="4" t="n">
        <v>37531</v>
      </c>
      <c r="M250" s="0" t="s">
        <v>2333</v>
      </c>
      <c r="N250" s="0" t="s">
        <v>50</v>
      </c>
      <c r="O250" s="5" t="n">
        <v>5</v>
      </c>
      <c r="P250" s="0" t="n">
        <v>5</v>
      </c>
      <c r="Q250" s="0" t="s">
        <v>125</v>
      </c>
      <c r="R250" s="0" t="s">
        <v>52</v>
      </c>
      <c r="S250" s="0" t="s">
        <v>2340</v>
      </c>
      <c r="T250" s="0" t="s">
        <v>147</v>
      </c>
      <c r="U250" s="5" t="n">
        <v>45</v>
      </c>
      <c r="V250" s="0" t="s">
        <v>96</v>
      </c>
      <c r="W250" s="0" t="s">
        <v>155</v>
      </c>
      <c r="X250" s="0" t="s">
        <v>128</v>
      </c>
      <c r="Y250" s="0" t="s">
        <v>114</v>
      </c>
      <c r="Z250" s="0" t="s">
        <v>2329</v>
      </c>
      <c r="AA250" s="0" t="s">
        <v>149</v>
      </c>
      <c r="AB250" s="5" t="n">
        <v>25000</v>
      </c>
      <c r="AC250" s="5" t="n">
        <v>35000</v>
      </c>
      <c r="AD250" s="0" t="s">
        <v>50</v>
      </c>
      <c r="AE250" s="5" t="n">
        <v>0</v>
      </c>
      <c r="AF250" s="0" t="s">
        <v>184</v>
      </c>
      <c r="AG250" s="7" t="s">
        <v>2428</v>
      </c>
      <c r="AH250" s="0" t="s">
        <v>63</v>
      </c>
      <c r="AI250" s="0" t="s">
        <v>171</v>
      </c>
      <c r="AJ250" s="0" t="s">
        <v>2331</v>
      </c>
      <c r="AK250" s="0" t="s">
        <v>2344</v>
      </c>
      <c r="AL250" s="0" t="s">
        <v>2344</v>
      </c>
      <c r="AM250" s="0" t="s">
        <v>2344</v>
      </c>
      <c r="AN250" s="0" t="s">
        <v>2318</v>
      </c>
      <c r="AO250" s="0" t="s">
        <v>50</v>
      </c>
    </row>
    <row r="251" customFormat="false" ht="15" hidden="false" customHeight="false" outlineLevel="0" collapsed="false">
      <c r="A251" s="0" t="s">
        <v>738</v>
      </c>
      <c r="B251" s="2" t="s">
        <v>737</v>
      </c>
      <c r="C251" s="0" t="s">
        <v>121</v>
      </c>
      <c r="D251" s="0" t="n">
        <v>8058350177</v>
      </c>
      <c r="E251" s="0" t="s">
        <v>67</v>
      </c>
      <c r="F251" s="0" t="s">
        <v>2316</v>
      </c>
      <c r="G251" s="0" t="s">
        <v>739</v>
      </c>
      <c r="H251" s="0" t="s">
        <v>87</v>
      </c>
      <c r="I251" s="3" t="s">
        <v>2325</v>
      </c>
      <c r="J251" s="0" t="s">
        <v>2339</v>
      </c>
      <c r="K251" s="0" t="s">
        <v>48</v>
      </c>
      <c r="L251" s="4" t="n">
        <v>105414</v>
      </c>
      <c r="M251" s="0" t="s">
        <v>110</v>
      </c>
      <c r="N251" s="0" t="s">
        <v>50</v>
      </c>
      <c r="O251" s="5" t="n">
        <v>3</v>
      </c>
      <c r="P251" s="0" t="n">
        <v>3.4</v>
      </c>
      <c r="Q251" s="0" t="s">
        <v>2334</v>
      </c>
      <c r="R251" s="0" t="s">
        <v>52</v>
      </c>
      <c r="S251" s="0" t="s">
        <v>2366</v>
      </c>
      <c r="T251" s="0" t="s">
        <v>95</v>
      </c>
      <c r="U251" s="5" t="n">
        <v>60</v>
      </c>
      <c r="V251" s="0" t="s">
        <v>55</v>
      </c>
      <c r="W251" s="0" t="s">
        <v>148</v>
      </c>
      <c r="X251" s="0" t="s">
        <v>128</v>
      </c>
      <c r="Y251" s="0" t="s">
        <v>58</v>
      </c>
      <c r="Z251" s="0" t="s">
        <v>177</v>
      </c>
      <c r="AA251" s="0" t="s">
        <v>79</v>
      </c>
      <c r="AB251" s="5" t="n">
        <v>26287.1287128713</v>
      </c>
      <c r="AC251" s="5" t="n">
        <v>40000</v>
      </c>
      <c r="AD251" s="0" t="s">
        <v>63</v>
      </c>
      <c r="AE251" s="5" t="n">
        <v>10000</v>
      </c>
      <c r="AF251" s="0" t="s">
        <v>184</v>
      </c>
      <c r="AG251" s="7" t="s">
        <v>860</v>
      </c>
      <c r="AH251" s="0" t="s">
        <v>63</v>
      </c>
      <c r="AI251" s="0" t="s">
        <v>2331</v>
      </c>
      <c r="AJ251" s="0" t="s">
        <v>117</v>
      </c>
      <c r="AK251" s="0" t="s">
        <v>2344</v>
      </c>
      <c r="AL251" s="0" t="s">
        <v>50</v>
      </c>
      <c r="AM251" s="0" t="s">
        <v>2344</v>
      </c>
      <c r="AN251" s="0" t="s">
        <v>2318</v>
      </c>
      <c r="AO251" s="0" t="s">
        <v>50</v>
      </c>
    </row>
    <row r="252" customFormat="false" ht="15" hidden="false" customHeight="false" outlineLevel="0" collapsed="false">
      <c r="A252" s="0" t="s">
        <v>740</v>
      </c>
      <c r="B252" s="2" t="s">
        <v>416</v>
      </c>
      <c r="C252" s="0" t="s">
        <v>42</v>
      </c>
      <c r="D252" s="0" t="n">
        <v>8015138040</v>
      </c>
      <c r="E252" s="0" t="s">
        <v>85</v>
      </c>
      <c r="F252" s="0" t="s">
        <v>2319</v>
      </c>
      <c r="G252" s="0" t="s">
        <v>741</v>
      </c>
      <c r="H252" s="0" t="s">
        <v>107</v>
      </c>
      <c r="I252" s="3" t="s">
        <v>2325</v>
      </c>
      <c r="J252" s="0" t="s">
        <v>2341</v>
      </c>
      <c r="K252" s="0" t="s">
        <v>90</v>
      </c>
      <c r="L252" s="4" t="n">
        <v>84778</v>
      </c>
      <c r="M252" s="0" t="s">
        <v>2333</v>
      </c>
      <c r="N252" s="0" t="s">
        <v>63</v>
      </c>
      <c r="O252" s="5" t="n">
        <v>1</v>
      </c>
      <c r="P252" s="0" t="n">
        <v>3.4</v>
      </c>
      <c r="Q252" s="0" t="s">
        <v>51</v>
      </c>
      <c r="R252" s="0" t="s">
        <v>73</v>
      </c>
      <c r="S252" s="0" t="s">
        <v>2340</v>
      </c>
      <c r="T252" s="0" t="s">
        <v>75</v>
      </c>
      <c r="U252" s="5" t="n">
        <v>60</v>
      </c>
      <c r="V252" s="0" t="s">
        <v>55</v>
      </c>
      <c r="W252" s="0" t="s">
        <v>155</v>
      </c>
      <c r="X252" s="0" t="s">
        <v>128</v>
      </c>
      <c r="Y252" s="0" t="s">
        <v>196</v>
      </c>
      <c r="Z252" s="0" t="s">
        <v>2329</v>
      </c>
      <c r="AA252" s="0" t="s">
        <v>79</v>
      </c>
      <c r="AB252" s="5" t="n">
        <v>40000</v>
      </c>
      <c r="AC252" s="5" t="n">
        <v>20000</v>
      </c>
      <c r="AD252" s="0" t="s">
        <v>63</v>
      </c>
      <c r="AE252" s="5" t="n">
        <v>0</v>
      </c>
      <c r="AF252" s="0" t="s">
        <v>60</v>
      </c>
      <c r="AG252" s="7" t="s">
        <v>2330</v>
      </c>
      <c r="AH252" s="0" t="s">
        <v>50</v>
      </c>
      <c r="AI252" s="0" t="s">
        <v>116</v>
      </c>
      <c r="AJ252" s="0" t="s">
        <v>2331</v>
      </c>
      <c r="AK252" s="0" t="s">
        <v>2344</v>
      </c>
      <c r="AL252" s="0" t="s">
        <v>2344</v>
      </c>
      <c r="AM252" s="0" t="s">
        <v>2344</v>
      </c>
      <c r="AN252" s="0" t="s">
        <v>2318</v>
      </c>
      <c r="AO252" s="0" t="s">
        <v>50</v>
      </c>
    </row>
    <row r="253" customFormat="false" ht="15" hidden="false" customHeight="false" outlineLevel="0" collapsed="false">
      <c r="A253" s="0" t="s">
        <v>742</v>
      </c>
      <c r="B253" s="2" t="s">
        <v>2403</v>
      </c>
      <c r="C253" s="0" t="s">
        <v>42</v>
      </c>
      <c r="D253" s="0" t="n">
        <v>8083286377</v>
      </c>
      <c r="E253" s="0" t="s">
        <v>43</v>
      </c>
      <c r="F253" s="0" t="s">
        <v>2315</v>
      </c>
      <c r="G253" s="0" t="s">
        <v>743</v>
      </c>
      <c r="H253" s="0" t="s">
        <v>87</v>
      </c>
      <c r="I253" s="3" t="s">
        <v>2322</v>
      </c>
      <c r="J253" s="0" t="s">
        <v>189</v>
      </c>
      <c r="K253" s="0" t="s">
        <v>71</v>
      </c>
      <c r="L253" s="4" t="n">
        <v>22264</v>
      </c>
      <c r="M253" s="0" t="s">
        <v>49</v>
      </c>
      <c r="N253" s="0" t="s">
        <v>63</v>
      </c>
      <c r="O253" s="5" t="n">
        <v>2</v>
      </c>
      <c r="P253" s="0" t="n">
        <v>1</v>
      </c>
      <c r="Q253" s="0" t="s">
        <v>111</v>
      </c>
      <c r="R253" s="0" t="s">
        <v>93</v>
      </c>
      <c r="S253" s="0" t="s">
        <v>2335</v>
      </c>
      <c r="T253" s="0" t="s">
        <v>2343</v>
      </c>
      <c r="U253" s="5" t="n">
        <v>45</v>
      </c>
      <c r="V253" s="0" t="s">
        <v>55</v>
      </c>
      <c r="W253" s="0" t="s">
        <v>148</v>
      </c>
      <c r="X253" s="0" t="s">
        <v>78</v>
      </c>
      <c r="Y253" s="0" t="s">
        <v>99</v>
      </c>
      <c r="Z253" s="0" t="s">
        <v>2329</v>
      </c>
      <c r="AA253" s="0" t="s">
        <v>79</v>
      </c>
      <c r="AB253" s="5" t="n">
        <v>25597.8260869565</v>
      </c>
      <c r="AC253" s="5" t="n">
        <v>31467.7419354839</v>
      </c>
      <c r="AD253" s="0" t="s">
        <v>50</v>
      </c>
      <c r="AE253" s="5" t="n">
        <v>0</v>
      </c>
      <c r="AF253" s="0" t="s">
        <v>184</v>
      </c>
      <c r="AG253" s="7" t="s">
        <v>2330</v>
      </c>
      <c r="AH253" s="0" t="s">
        <v>50</v>
      </c>
      <c r="AI253" s="0" t="s">
        <v>171</v>
      </c>
      <c r="AJ253" s="0" t="s">
        <v>2331</v>
      </c>
      <c r="AK253" s="0" t="s">
        <v>2344</v>
      </c>
      <c r="AL253" s="0" t="s">
        <v>2344</v>
      </c>
      <c r="AM253" s="0" t="s">
        <v>63</v>
      </c>
      <c r="AN253" s="0" t="s">
        <v>2321</v>
      </c>
      <c r="AO253" s="0" t="s">
        <v>2359</v>
      </c>
    </row>
    <row r="254" customFormat="false" ht="15" hidden="false" customHeight="false" outlineLevel="0" collapsed="false">
      <c r="A254" s="0" t="s">
        <v>744</v>
      </c>
      <c r="B254" s="2" t="s">
        <v>2401</v>
      </c>
      <c r="C254" s="0" t="s">
        <v>105</v>
      </c>
      <c r="D254" s="0" t="n">
        <v>8036884696</v>
      </c>
      <c r="E254" s="0" t="s">
        <v>43</v>
      </c>
      <c r="F254" s="0" t="s">
        <v>2315</v>
      </c>
      <c r="G254" s="0" t="s">
        <v>745</v>
      </c>
      <c r="H254" s="0" t="s">
        <v>45</v>
      </c>
      <c r="I254" s="3" t="s">
        <v>2322</v>
      </c>
      <c r="J254" s="0" t="s">
        <v>2349</v>
      </c>
      <c r="K254" s="0" t="s">
        <v>48</v>
      </c>
      <c r="L254" s="4" t="n">
        <v>12993</v>
      </c>
      <c r="M254" s="0" t="s">
        <v>110</v>
      </c>
      <c r="N254" s="0" t="s">
        <v>63</v>
      </c>
      <c r="O254" s="5" t="n">
        <v>2</v>
      </c>
      <c r="P254" s="0" t="n">
        <v>5.1</v>
      </c>
      <c r="Q254" s="0" t="s">
        <v>111</v>
      </c>
      <c r="R254" s="0" t="s">
        <v>93</v>
      </c>
      <c r="S254" s="0" t="s">
        <v>53</v>
      </c>
      <c r="T254" s="0" t="s">
        <v>54</v>
      </c>
      <c r="U254" s="5" t="n">
        <v>45</v>
      </c>
      <c r="V254" s="0" t="s">
        <v>96</v>
      </c>
      <c r="W254" s="0" t="s">
        <v>148</v>
      </c>
      <c r="X254" s="0" t="s">
        <v>78</v>
      </c>
      <c r="Y254" s="0" t="s">
        <v>99</v>
      </c>
      <c r="Z254" s="0" t="s">
        <v>2324</v>
      </c>
      <c r="AA254" s="0" t="s">
        <v>79</v>
      </c>
      <c r="AB254" s="5" t="n">
        <v>40000</v>
      </c>
      <c r="AC254" s="5" t="n">
        <v>35000</v>
      </c>
      <c r="AD254" s="0" t="s">
        <v>50</v>
      </c>
      <c r="AE254" s="5" t="n">
        <v>5000</v>
      </c>
      <c r="AF254" s="0" t="s">
        <v>2338</v>
      </c>
      <c r="AG254" s="7" t="s">
        <v>2330</v>
      </c>
      <c r="AH254" s="0" t="s">
        <v>63</v>
      </c>
      <c r="AI254" s="0" t="s">
        <v>116</v>
      </c>
      <c r="AJ254" s="0" t="s">
        <v>172</v>
      </c>
      <c r="AK254" s="0" t="s">
        <v>50</v>
      </c>
      <c r="AL254" s="0" t="s">
        <v>63</v>
      </c>
      <c r="AM254" s="0" t="s">
        <v>63</v>
      </c>
      <c r="AN254" s="0" t="s">
        <v>2321</v>
      </c>
      <c r="AO254" s="0" t="s">
        <v>50</v>
      </c>
    </row>
    <row r="255" customFormat="false" ht="15" hidden="false" customHeight="false" outlineLevel="0" collapsed="false">
      <c r="A255" s="0" t="s">
        <v>746</v>
      </c>
      <c r="B255" s="2" t="s">
        <v>2405</v>
      </c>
      <c r="C255" s="0" t="s">
        <v>105</v>
      </c>
      <c r="D255" s="0" t="n">
        <v>8054796219</v>
      </c>
      <c r="E255" s="0" t="s">
        <v>67</v>
      </c>
      <c r="F255" s="0" t="s">
        <v>2316</v>
      </c>
      <c r="G255" s="0" t="s">
        <v>747</v>
      </c>
      <c r="H255" s="0" t="s">
        <v>87</v>
      </c>
      <c r="I255" s="3" t="s">
        <v>2317</v>
      </c>
      <c r="J255" s="0" t="s">
        <v>2339</v>
      </c>
      <c r="K255" s="0" t="s">
        <v>71</v>
      </c>
      <c r="L255" s="4" t="n">
        <v>112097</v>
      </c>
      <c r="M255" s="0" t="s">
        <v>2333</v>
      </c>
      <c r="N255" s="0" t="s">
        <v>63</v>
      </c>
      <c r="O255" s="5" t="n">
        <v>5</v>
      </c>
      <c r="P255" s="0" t="n">
        <v>3.2</v>
      </c>
      <c r="Q255" s="0" t="s">
        <v>92</v>
      </c>
      <c r="R255" s="0" t="s">
        <v>93</v>
      </c>
      <c r="S255" s="0" t="s">
        <v>2340</v>
      </c>
      <c r="T255" s="0" t="s">
        <v>2343</v>
      </c>
      <c r="U255" s="5" t="n">
        <v>30</v>
      </c>
      <c r="V255" s="0" t="s">
        <v>2336</v>
      </c>
      <c r="W255" s="0" t="s">
        <v>155</v>
      </c>
      <c r="X255" s="0" t="s">
        <v>98</v>
      </c>
      <c r="Y255" s="0" t="s">
        <v>99</v>
      </c>
      <c r="Z255" s="0" t="s">
        <v>2324</v>
      </c>
      <c r="AA255" s="0" t="s">
        <v>79</v>
      </c>
      <c r="AB255" s="5" t="n">
        <v>30000</v>
      </c>
      <c r="AC255" s="5" t="n">
        <v>30000</v>
      </c>
      <c r="AD255" s="0" t="s">
        <v>50</v>
      </c>
      <c r="AE255" s="5" t="n">
        <v>5000</v>
      </c>
      <c r="AF255" s="0" t="s">
        <v>184</v>
      </c>
      <c r="AG255" s="7" t="s">
        <v>408</v>
      </c>
      <c r="AH255" s="0" t="s">
        <v>63</v>
      </c>
      <c r="AI255" s="0" t="s">
        <v>2331</v>
      </c>
      <c r="AJ255" s="0" t="s">
        <v>2331</v>
      </c>
      <c r="AK255" s="0" t="s">
        <v>50</v>
      </c>
      <c r="AL255" s="0" t="s">
        <v>2344</v>
      </c>
      <c r="AM255" s="0" t="s">
        <v>63</v>
      </c>
      <c r="AN255" s="0" t="s">
        <v>2318</v>
      </c>
      <c r="AO255" s="0" t="s">
        <v>50</v>
      </c>
    </row>
    <row r="256" customFormat="false" ht="15" hidden="false" customHeight="false" outlineLevel="0" collapsed="false">
      <c r="A256" s="0" t="s">
        <v>748</v>
      </c>
      <c r="B256" s="2" t="s">
        <v>2396</v>
      </c>
      <c r="C256" s="0" t="s">
        <v>121</v>
      </c>
      <c r="D256" s="0" t="n">
        <v>8036393422</v>
      </c>
      <c r="E256" s="0" t="s">
        <v>85</v>
      </c>
      <c r="F256" s="0" t="s">
        <v>2319</v>
      </c>
      <c r="G256" s="0" t="s">
        <v>749</v>
      </c>
      <c r="H256" s="0" t="s">
        <v>69</v>
      </c>
      <c r="I256" s="3" t="s">
        <v>2317</v>
      </c>
      <c r="J256" s="0" t="s">
        <v>47</v>
      </c>
      <c r="K256" s="0" t="s">
        <v>48</v>
      </c>
      <c r="L256" s="4" t="n">
        <v>29557</v>
      </c>
      <c r="M256" s="0" t="s">
        <v>2333</v>
      </c>
      <c r="N256" s="0" t="s">
        <v>63</v>
      </c>
      <c r="O256" s="5" t="n">
        <v>5</v>
      </c>
      <c r="P256" s="0" t="n">
        <v>2.6</v>
      </c>
      <c r="Q256" s="0" t="s">
        <v>51</v>
      </c>
      <c r="R256" s="0" t="s">
        <v>52</v>
      </c>
      <c r="S256" s="0" t="s">
        <v>2366</v>
      </c>
      <c r="T256" s="0" t="s">
        <v>54</v>
      </c>
      <c r="U256" s="5" t="n">
        <v>30</v>
      </c>
      <c r="V256" s="0" t="s">
        <v>112</v>
      </c>
      <c r="W256" s="0" t="s">
        <v>148</v>
      </c>
      <c r="X256" s="0" t="s">
        <v>98</v>
      </c>
      <c r="Y256" s="0" t="s">
        <v>196</v>
      </c>
      <c r="Z256" s="0" t="s">
        <v>59</v>
      </c>
      <c r="AA256" s="0" t="s">
        <v>79</v>
      </c>
      <c r="AB256" s="5" t="n">
        <v>25000</v>
      </c>
      <c r="AC256" s="5" t="n">
        <v>40000</v>
      </c>
      <c r="AD256" s="0" t="s">
        <v>50</v>
      </c>
      <c r="AE256" s="5" t="n">
        <v>0</v>
      </c>
      <c r="AF256" s="0" t="s">
        <v>184</v>
      </c>
      <c r="AG256" s="7" t="s">
        <v>2330</v>
      </c>
      <c r="AH256" s="0" t="s">
        <v>50</v>
      </c>
      <c r="AI256" s="0" t="s">
        <v>2331</v>
      </c>
      <c r="AJ256" s="0" t="s">
        <v>172</v>
      </c>
      <c r="AK256" s="0" t="s">
        <v>63</v>
      </c>
      <c r="AL256" s="0" t="s">
        <v>50</v>
      </c>
      <c r="AM256" s="0" t="s">
        <v>63</v>
      </c>
      <c r="AN256" s="0" t="s">
        <v>2321</v>
      </c>
      <c r="AO256" s="0" t="s">
        <v>2359</v>
      </c>
    </row>
    <row r="257" customFormat="false" ht="15" hidden="false" customHeight="false" outlineLevel="0" collapsed="false">
      <c r="A257" s="0" t="s">
        <v>750</v>
      </c>
      <c r="B257" s="2" t="s">
        <v>2390</v>
      </c>
      <c r="C257" s="0" t="s">
        <v>121</v>
      </c>
      <c r="D257" s="0" t="n">
        <v>8054190018</v>
      </c>
      <c r="E257" s="0" t="s">
        <v>139</v>
      </c>
      <c r="F257" s="0" t="s">
        <v>2323</v>
      </c>
      <c r="G257" s="0" t="s">
        <v>751</v>
      </c>
      <c r="H257" s="0" t="s">
        <v>107</v>
      </c>
      <c r="I257" s="3" t="s">
        <v>2325</v>
      </c>
      <c r="J257" s="0" t="s">
        <v>47</v>
      </c>
      <c r="K257" s="0" t="s">
        <v>48</v>
      </c>
      <c r="L257" s="4" t="n">
        <v>94267</v>
      </c>
      <c r="M257" s="0" t="s">
        <v>110</v>
      </c>
      <c r="N257" s="0" t="s">
        <v>50</v>
      </c>
      <c r="O257" s="5" t="n">
        <v>3</v>
      </c>
      <c r="P257" s="0" t="n">
        <v>1.3</v>
      </c>
      <c r="Q257" s="0" t="s">
        <v>2334</v>
      </c>
      <c r="R257" s="0" t="s">
        <v>52</v>
      </c>
      <c r="S257" s="0" t="s">
        <v>53</v>
      </c>
      <c r="T257" s="0" t="s">
        <v>54</v>
      </c>
      <c r="U257" s="5" t="n">
        <v>45</v>
      </c>
      <c r="V257" s="0" t="s">
        <v>96</v>
      </c>
      <c r="W257" s="0" t="s">
        <v>155</v>
      </c>
      <c r="X257" s="0" t="s">
        <v>78</v>
      </c>
      <c r="Y257" s="0" t="s">
        <v>58</v>
      </c>
      <c r="Z257" s="0" t="s">
        <v>2329</v>
      </c>
      <c r="AA257" s="0" t="s">
        <v>143</v>
      </c>
      <c r="AB257" s="5" t="n">
        <v>30000</v>
      </c>
      <c r="AC257" s="5" t="n">
        <v>30000</v>
      </c>
      <c r="AD257" s="0" t="s">
        <v>63</v>
      </c>
      <c r="AE257" s="5" t="n">
        <v>5000</v>
      </c>
      <c r="AF257" s="0" t="s">
        <v>2338</v>
      </c>
      <c r="AG257" s="7" t="s">
        <v>752</v>
      </c>
      <c r="AH257" s="0" t="s">
        <v>50</v>
      </c>
      <c r="AI257" s="0" t="s">
        <v>171</v>
      </c>
      <c r="AJ257" s="0" t="s">
        <v>117</v>
      </c>
      <c r="AK257" s="0" t="s">
        <v>2344</v>
      </c>
      <c r="AL257" s="0" t="s">
        <v>63</v>
      </c>
      <c r="AM257" s="0" t="s">
        <v>63</v>
      </c>
      <c r="AN257" s="0" t="s">
        <v>2318</v>
      </c>
      <c r="AO257" s="0" t="s">
        <v>2359</v>
      </c>
    </row>
    <row r="258" customFormat="false" ht="15" hidden="false" customHeight="false" outlineLevel="0" collapsed="false">
      <c r="A258" s="0" t="s">
        <v>753</v>
      </c>
      <c r="B258" s="2" t="s">
        <v>2282</v>
      </c>
      <c r="C258" s="0" t="s">
        <v>121</v>
      </c>
      <c r="D258" s="0" t="n">
        <v>8043557605</v>
      </c>
      <c r="E258" s="0" t="s">
        <v>122</v>
      </c>
      <c r="F258" s="0" t="s">
        <v>2316</v>
      </c>
      <c r="G258" s="0" t="s">
        <v>754</v>
      </c>
      <c r="H258" s="0" t="s">
        <v>69</v>
      </c>
      <c r="I258" s="3" t="s">
        <v>2322</v>
      </c>
      <c r="J258" s="0" t="s">
        <v>2349</v>
      </c>
      <c r="K258" s="0" t="s">
        <v>109</v>
      </c>
      <c r="L258" s="4" t="n">
        <v>85653</v>
      </c>
      <c r="M258" s="0" t="s">
        <v>2333</v>
      </c>
      <c r="N258" s="0" t="s">
        <v>63</v>
      </c>
      <c r="O258" s="5" t="n">
        <v>4</v>
      </c>
      <c r="P258" s="0" t="n">
        <v>1.9</v>
      </c>
      <c r="Q258" s="0" t="s">
        <v>2334</v>
      </c>
      <c r="R258" s="0" t="s">
        <v>73</v>
      </c>
      <c r="S258" s="0" t="s">
        <v>2366</v>
      </c>
      <c r="T258" s="0" t="s">
        <v>2353</v>
      </c>
      <c r="U258" s="5" t="n">
        <v>30</v>
      </c>
      <c r="V258" s="0" t="s">
        <v>2352</v>
      </c>
      <c r="W258" s="0" t="s">
        <v>2328</v>
      </c>
      <c r="X258" s="0" t="s">
        <v>128</v>
      </c>
      <c r="Y258" s="0" t="s">
        <v>58</v>
      </c>
      <c r="Z258" s="0" t="s">
        <v>59</v>
      </c>
      <c r="AA258" s="0" t="s">
        <v>161</v>
      </c>
      <c r="AB258" s="5" t="n">
        <v>30000</v>
      </c>
      <c r="AC258" s="5" t="n">
        <v>31452.9220779221</v>
      </c>
      <c r="AD258" s="0" t="s">
        <v>63</v>
      </c>
      <c r="AE258" s="5" t="n">
        <v>5000</v>
      </c>
      <c r="AF258" s="0" t="s">
        <v>60</v>
      </c>
      <c r="AG258" s="7" t="s">
        <v>2361</v>
      </c>
      <c r="AH258" s="0" t="s">
        <v>50</v>
      </c>
      <c r="AI258" s="0" t="s">
        <v>116</v>
      </c>
      <c r="AJ258" s="0" t="s">
        <v>2331</v>
      </c>
      <c r="AK258" s="0" t="s">
        <v>50</v>
      </c>
      <c r="AL258" s="0" t="s">
        <v>2344</v>
      </c>
      <c r="AM258" s="0" t="s">
        <v>63</v>
      </c>
      <c r="AN258" s="0" t="s">
        <v>2321</v>
      </c>
      <c r="AO258" s="0" t="s">
        <v>2359</v>
      </c>
    </row>
    <row r="259" customFormat="false" ht="15" hidden="false" customHeight="false" outlineLevel="0" collapsed="false">
      <c r="A259" s="0" t="s">
        <v>755</v>
      </c>
      <c r="B259" s="2" t="s">
        <v>2379</v>
      </c>
      <c r="C259" s="0" t="s">
        <v>42</v>
      </c>
      <c r="D259" s="0" t="n">
        <v>8050629797</v>
      </c>
      <c r="E259" s="0" t="s">
        <v>85</v>
      </c>
      <c r="F259" s="0" t="s">
        <v>2319</v>
      </c>
      <c r="G259" s="0" t="s">
        <v>756</v>
      </c>
      <c r="H259" s="0" t="s">
        <v>134</v>
      </c>
      <c r="I259" s="3" t="s">
        <v>2317</v>
      </c>
      <c r="J259" s="0" t="s">
        <v>189</v>
      </c>
      <c r="K259" s="0" t="s">
        <v>109</v>
      </c>
      <c r="L259" s="4" t="n">
        <v>31951</v>
      </c>
      <c r="M259" s="0" t="s">
        <v>110</v>
      </c>
      <c r="N259" s="0" t="s">
        <v>50</v>
      </c>
      <c r="O259" s="5" t="n">
        <v>4</v>
      </c>
      <c r="P259" s="0" t="n">
        <v>3.2</v>
      </c>
      <c r="Q259" s="0" t="s">
        <v>92</v>
      </c>
      <c r="R259" s="0" t="s">
        <v>93</v>
      </c>
      <c r="S259" s="0" t="s">
        <v>2340</v>
      </c>
      <c r="T259" s="0" t="s">
        <v>75</v>
      </c>
      <c r="U259" s="5" t="n">
        <v>45</v>
      </c>
      <c r="V259" s="0" t="s">
        <v>2352</v>
      </c>
      <c r="W259" s="0" t="s">
        <v>2337</v>
      </c>
      <c r="X259" s="0" t="s">
        <v>78</v>
      </c>
      <c r="Y259" s="0" t="s">
        <v>58</v>
      </c>
      <c r="Z259" s="0" t="s">
        <v>2326</v>
      </c>
      <c r="AA259" s="0" t="s">
        <v>143</v>
      </c>
      <c r="AB259" s="5" t="n">
        <v>40000</v>
      </c>
      <c r="AC259" s="5" t="n">
        <v>31452.9220779221</v>
      </c>
      <c r="AD259" s="0" t="s">
        <v>63</v>
      </c>
      <c r="AE259" s="5" t="n">
        <v>10000</v>
      </c>
      <c r="AF259" s="0" t="s">
        <v>60</v>
      </c>
      <c r="AG259" s="7" t="s">
        <v>2330</v>
      </c>
      <c r="AH259" s="0" t="s">
        <v>50</v>
      </c>
      <c r="AI259" s="0" t="s">
        <v>2331</v>
      </c>
      <c r="AJ259" s="0" t="s">
        <v>172</v>
      </c>
      <c r="AK259" s="0" t="s">
        <v>2344</v>
      </c>
      <c r="AL259" s="0" t="s">
        <v>2344</v>
      </c>
      <c r="AM259" s="0" t="s">
        <v>2344</v>
      </c>
      <c r="AN259" s="0" t="s">
        <v>64</v>
      </c>
      <c r="AO259" s="0" t="s">
        <v>63</v>
      </c>
    </row>
    <row r="260" customFormat="false" ht="15" hidden="false" customHeight="false" outlineLevel="0" collapsed="false">
      <c r="A260" s="0" t="s">
        <v>757</v>
      </c>
      <c r="B260" s="2" t="s">
        <v>502</v>
      </c>
      <c r="C260" s="0" t="s">
        <v>121</v>
      </c>
      <c r="D260" s="0" t="n">
        <v>8046838009</v>
      </c>
      <c r="E260" s="0" t="s">
        <v>43</v>
      </c>
      <c r="F260" s="0" t="s">
        <v>2315</v>
      </c>
      <c r="G260" s="0" t="s">
        <v>758</v>
      </c>
      <c r="H260" s="0" t="s">
        <v>134</v>
      </c>
      <c r="I260" s="3" t="s">
        <v>2325</v>
      </c>
      <c r="J260" s="0" t="s">
        <v>2339</v>
      </c>
      <c r="K260" s="0" t="s">
        <v>109</v>
      </c>
      <c r="L260" s="4" t="n">
        <v>112133</v>
      </c>
      <c r="M260" s="0" t="s">
        <v>110</v>
      </c>
      <c r="N260" s="0" t="s">
        <v>63</v>
      </c>
      <c r="O260" s="5" t="n">
        <v>3</v>
      </c>
      <c r="P260" s="0" t="n">
        <v>2.5</v>
      </c>
      <c r="Q260" s="0" t="s">
        <v>2334</v>
      </c>
      <c r="R260" s="0" t="s">
        <v>52</v>
      </c>
      <c r="S260" s="0" t="s">
        <v>53</v>
      </c>
      <c r="T260" s="0" t="s">
        <v>54</v>
      </c>
      <c r="U260" s="5" t="n">
        <v>40</v>
      </c>
      <c r="V260" s="0" t="s">
        <v>2352</v>
      </c>
      <c r="W260" s="0" t="s">
        <v>2328</v>
      </c>
      <c r="X260" s="0" t="s">
        <v>98</v>
      </c>
      <c r="Y260" s="0" t="s">
        <v>58</v>
      </c>
      <c r="Z260" s="0" t="s">
        <v>2326</v>
      </c>
      <c r="AA260" s="0" t="s">
        <v>143</v>
      </c>
      <c r="AB260" s="5" t="n">
        <v>15000</v>
      </c>
      <c r="AC260" s="5" t="n">
        <v>31452.9220779221</v>
      </c>
      <c r="AD260" s="0" t="s">
        <v>63</v>
      </c>
      <c r="AE260" s="5" t="n">
        <v>0</v>
      </c>
      <c r="AF260" s="0" t="s">
        <v>60</v>
      </c>
      <c r="AG260" s="7" t="s">
        <v>510</v>
      </c>
      <c r="AH260" s="0" t="s">
        <v>50</v>
      </c>
      <c r="AI260" s="0" t="s">
        <v>2331</v>
      </c>
      <c r="AJ260" s="0" t="s">
        <v>2331</v>
      </c>
      <c r="AK260" s="0" t="s">
        <v>50</v>
      </c>
      <c r="AL260" s="0" t="s">
        <v>63</v>
      </c>
      <c r="AM260" s="0" t="s">
        <v>63</v>
      </c>
      <c r="AN260" s="0" t="s">
        <v>2321</v>
      </c>
      <c r="AO260" s="0" t="s">
        <v>50</v>
      </c>
    </row>
    <row r="261" customFormat="false" ht="15" hidden="false" customHeight="false" outlineLevel="0" collapsed="false">
      <c r="A261" s="0" t="s">
        <v>759</v>
      </c>
      <c r="B261" s="2" t="s">
        <v>2439</v>
      </c>
      <c r="C261" s="0" t="s">
        <v>163</v>
      </c>
      <c r="D261" s="0" t="n">
        <v>8035587594</v>
      </c>
      <c r="E261" s="0" t="s">
        <v>43</v>
      </c>
      <c r="F261" s="0" t="s">
        <v>2315</v>
      </c>
      <c r="G261" s="0" t="s">
        <v>760</v>
      </c>
      <c r="H261" s="0" t="s">
        <v>45</v>
      </c>
      <c r="I261" s="3" t="s">
        <v>2342</v>
      </c>
      <c r="J261" s="0" t="s">
        <v>189</v>
      </c>
      <c r="K261" s="0" t="s">
        <v>109</v>
      </c>
      <c r="L261" s="4" t="n">
        <v>105651</v>
      </c>
      <c r="M261" s="0" t="s">
        <v>2333</v>
      </c>
      <c r="N261" s="0" t="s">
        <v>63</v>
      </c>
      <c r="O261" s="5" t="n">
        <v>2</v>
      </c>
      <c r="P261" s="0" t="n">
        <v>2.6</v>
      </c>
      <c r="Q261" s="0" t="s">
        <v>111</v>
      </c>
      <c r="R261" s="0" t="s">
        <v>52</v>
      </c>
      <c r="S261" s="0" t="s">
        <v>53</v>
      </c>
      <c r="T261" s="0" t="s">
        <v>54</v>
      </c>
      <c r="U261" s="5" t="n">
        <v>40.2197802197802</v>
      </c>
      <c r="V261" s="0" t="s">
        <v>96</v>
      </c>
      <c r="W261" s="0" t="s">
        <v>148</v>
      </c>
      <c r="X261" s="0" t="s">
        <v>128</v>
      </c>
      <c r="Y261" s="0" t="s">
        <v>99</v>
      </c>
      <c r="Z261" s="0" t="s">
        <v>2326</v>
      </c>
      <c r="AA261" s="0" t="s">
        <v>79</v>
      </c>
      <c r="AB261" s="5" t="n">
        <v>40000</v>
      </c>
      <c r="AC261" s="5" t="n">
        <v>40000</v>
      </c>
      <c r="AD261" s="0" t="s">
        <v>63</v>
      </c>
      <c r="AE261" s="5" t="n">
        <v>0</v>
      </c>
      <c r="AF261" s="0" t="s">
        <v>184</v>
      </c>
      <c r="AG261" s="7" t="s">
        <v>2330</v>
      </c>
      <c r="AH261" s="0" t="s">
        <v>2329</v>
      </c>
      <c r="AI261" s="0" t="s">
        <v>2331</v>
      </c>
      <c r="AJ261" s="0" t="s">
        <v>2320</v>
      </c>
      <c r="AK261" s="0" t="s">
        <v>50</v>
      </c>
      <c r="AL261" s="0" t="s">
        <v>63</v>
      </c>
      <c r="AM261" s="0" t="s">
        <v>63</v>
      </c>
      <c r="AN261" s="0" t="s">
        <v>2321</v>
      </c>
      <c r="AO261" s="0" t="s">
        <v>50</v>
      </c>
    </row>
    <row r="262" customFormat="false" ht="15" hidden="false" customHeight="false" outlineLevel="0" collapsed="false">
      <c r="A262" s="0" t="s">
        <v>761</v>
      </c>
      <c r="B262" s="2" t="s">
        <v>2412</v>
      </c>
      <c r="C262" s="0" t="s">
        <v>105</v>
      </c>
      <c r="D262" s="0" t="n">
        <v>8091072076</v>
      </c>
      <c r="E262" s="0" t="s">
        <v>139</v>
      </c>
      <c r="F262" s="0" t="s">
        <v>2323</v>
      </c>
      <c r="G262" s="0" t="s">
        <v>762</v>
      </c>
      <c r="H262" s="0" t="s">
        <v>45</v>
      </c>
      <c r="I262" s="3" t="s">
        <v>2317</v>
      </c>
      <c r="J262" s="0" t="s">
        <v>2339</v>
      </c>
      <c r="K262" s="0" t="s">
        <v>109</v>
      </c>
      <c r="L262" s="4" t="n">
        <v>86923</v>
      </c>
      <c r="M262" s="0" t="s">
        <v>2333</v>
      </c>
      <c r="N262" s="0" t="s">
        <v>50</v>
      </c>
      <c r="O262" s="5" t="n">
        <v>4</v>
      </c>
      <c r="P262" s="0" t="n">
        <v>4.3</v>
      </c>
      <c r="Q262" s="0" t="s">
        <v>92</v>
      </c>
      <c r="R262" s="0" t="s">
        <v>52</v>
      </c>
      <c r="S262" s="0" t="s">
        <v>2366</v>
      </c>
      <c r="T262" s="0" t="s">
        <v>2353</v>
      </c>
      <c r="U262" s="5" t="n">
        <v>60</v>
      </c>
      <c r="V262" s="0" t="s">
        <v>96</v>
      </c>
      <c r="W262" s="0" t="s">
        <v>155</v>
      </c>
      <c r="X262" s="0" t="s">
        <v>78</v>
      </c>
      <c r="Y262" s="0" t="s">
        <v>196</v>
      </c>
      <c r="Z262" s="0" t="s">
        <v>2329</v>
      </c>
      <c r="AA262" s="0" t="s">
        <v>2329</v>
      </c>
      <c r="AB262" s="5" t="n">
        <v>40000</v>
      </c>
      <c r="AC262" s="5" t="n">
        <v>40000</v>
      </c>
      <c r="AD262" s="0" t="s">
        <v>50</v>
      </c>
      <c r="AE262" s="5" t="n">
        <v>10000</v>
      </c>
      <c r="AF262" s="0" t="s">
        <v>130</v>
      </c>
      <c r="AG262" s="7" t="s">
        <v>559</v>
      </c>
      <c r="AH262" s="0" t="s">
        <v>50</v>
      </c>
      <c r="AI262" s="0" t="s">
        <v>2331</v>
      </c>
      <c r="AJ262" s="0" t="s">
        <v>2331</v>
      </c>
      <c r="AK262" s="0" t="s">
        <v>50</v>
      </c>
      <c r="AL262" s="0" t="s">
        <v>50</v>
      </c>
      <c r="AM262" s="0" t="s">
        <v>2344</v>
      </c>
      <c r="AN262" s="0" t="s">
        <v>2321</v>
      </c>
      <c r="AO262" s="0" t="s">
        <v>2359</v>
      </c>
    </row>
    <row r="263" customFormat="false" ht="15" hidden="false" customHeight="false" outlineLevel="0" collapsed="false">
      <c r="A263" s="0" t="s">
        <v>763</v>
      </c>
      <c r="B263" s="2" t="s">
        <v>2410</v>
      </c>
      <c r="C263" s="0" t="s">
        <v>105</v>
      </c>
      <c r="D263" s="0" t="n">
        <v>8028503943</v>
      </c>
      <c r="E263" s="0" t="s">
        <v>67</v>
      </c>
      <c r="F263" s="0" t="s">
        <v>2316</v>
      </c>
      <c r="G263" s="0" t="s">
        <v>764</v>
      </c>
      <c r="H263" s="0" t="s">
        <v>87</v>
      </c>
      <c r="I263" s="3" t="s">
        <v>2325</v>
      </c>
      <c r="J263" s="0" t="s">
        <v>47</v>
      </c>
      <c r="K263" s="0" t="s">
        <v>71</v>
      </c>
      <c r="L263" s="4" t="n">
        <v>108209</v>
      </c>
      <c r="M263" s="0" t="s">
        <v>110</v>
      </c>
      <c r="N263" s="0" t="s">
        <v>50</v>
      </c>
      <c r="O263" s="5" t="n">
        <v>3</v>
      </c>
      <c r="P263" s="0" t="n">
        <v>5.6</v>
      </c>
      <c r="Q263" s="0" t="s">
        <v>51</v>
      </c>
      <c r="R263" s="0" t="s">
        <v>73</v>
      </c>
      <c r="S263" s="0" t="s">
        <v>53</v>
      </c>
      <c r="T263" s="0" t="s">
        <v>75</v>
      </c>
      <c r="U263" s="5" t="n">
        <v>30</v>
      </c>
      <c r="V263" s="0" t="s">
        <v>55</v>
      </c>
      <c r="W263" s="0" t="s">
        <v>155</v>
      </c>
      <c r="X263" s="0" t="s">
        <v>128</v>
      </c>
      <c r="Y263" s="0" t="s">
        <v>58</v>
      </c>
      <c r="Z263" s="0" t="s">
        <v>2329</v>
      </c>
      <c r="AA263" s="0" t="s">
        <v>79</v>
      </c>
      <c r="AB263" s="5" t="n">
        <v>30000</v>
      </c>
      <c r="AC263" s="5" t="n">
        <v>35000</v>
      </c>
      <c r="AD263" s="0" t="s">
        <v>50</v>
      </c>
      <c r="AE263" s="5" t="n">
        <v>5000</v>
      </c>
      <c r="AF263" s="0" t="s">
        <v>184</v>
      </c>
      <c r="AG263" s="7" t="s">
        <v>2459</v>
      </c>
      <c r="AH263" s="0" t="s">
        <v>63</v>
      </c>
      <c r="AI263" s="0" t="s">
        <v>171</v>
      </c>
      <c r="AJ263" s="0" t="s">
        <v>117</v>
      </c>
      <c r="AK263" s="0" t="s">
        <v>63</v>
      </c>
      <c r="AL263" s="0" t="s">
        <v>63</v>
      </c>
      <c r="AM263" s="0" t="s">
        <v>50</v>
      </c>
      <c r="AN263" s="0" t="s">
        <v>2321</v>
      </c>
      <c r="AO263" s="0" t="s">
        <v>50</v>
      </c>
    </row>
    <row r="264" customFormat="false" ht="15" hidden="false" customHeight="false" outlineLevel="0" collapsed="false">
      <c r="A264" s="0" t="s">
        <v>765</v>
      </c>
      <c r="B264" s="2" t="s">
        <v>1934</v>
      </c>
      <c r="C264" s="0" t="s">
        <v>66</v>
      </c>
      <c r="D264" s="0" t="n">
        <v>8082897088</v>
      </c>
      <c r="E264" s="0" t="s">
        <v>139</v>
      </c>
      <c r="F264" s="0" t="s">
        <v>2323</v>
      </c>
      <c r="G264" s="0" t="s">
        <v>766</v>
      </c>
      <c r="H264" s="0" t="s">
        <v>45</v>
      </c>
      <c r="I264" s="3" t="s">
        <v>2342</v>
      </c>
      <c r="J264" s="0" t="s">
        <v>47</v>
      </c>
      <c r="K264" s="0" t="s">
        <v>109</v>
      </c>
      <c r="L264" s="4" t="n">
        <v>55645</v>
      </c>
      <c r="M264" s="0" t="s">
        <v>2333</v>
      </c>
      <c r="N264" s="0" t="s">
        <v>63</v>
      </c>
      <c r="O264" s="5" t="n">
        <v>3.00978792822186</v>
      </c>
      <c r="P264" s="0" t="n">
        <v>4.6</v>
      </c>
      <c r="Q264" s="0" t="s">
        <v>92</v>
      </c>
      <c r="R264" s="0" t="s">
        <v>93</v>
      </c>
      <c r="S264" s="0" t="s">
        <v>2340</v>
      </c>
      <c r="T264" s="0" t="s">
        <v>2353</v>
      </c>
      <c r="U264" s="5" t="n">
        <v>45</v>
      </c>
      <c r="V264" s="0" t="s">
        <v>96</v>
      </c>
      <c r="W264" s="0" t="s">
        <v>2337</v>
      </c>
      <c r="X264" s="0" t="s">
        <v>128</v>
      </c>
      <c r="Y264" s="0" t="s">
        <v>114</v>
      </c>
      <c r="Z264" s="0" t="s">
        <v>2329</v>
      </c>
      <c r="AA264" s="0" t="s">
        <v>143</v>
      </c>
      <c r="AB264" s="5" t="n">
        <v>26086.9565217391</v>
      </c>
      <c r="AC264" s="5" t="n">
        <v>31419.2495921697</v>
      </c>
      <c r="AD264" s="0" t="s">
        <v>50</v>
      </c>
      <c r="AE264" s="5" t="n">
        <v>5000</v>
      </c>
      <c r="AF264" s="0" t="s">
        <v>60</v>
      </c>
      <c r="AG264" s="7" t="s">
        <v>2330</v>
      </c>
      <c r="AH264" s="0" t="s">
        <v>50</v>
      </c>
      <c r="AI264" s="0" t="s">
        <v>2331</v>
      </c>
      <c r="AJ264" s="0" t="s">
        <v>172</v>
      </c>
      <c r="AK264" s="0" t="s">
        <v>50</v>
      </c>
      <c r="AL264" s="0" t="s">
        <v>50</v>
      </c>
      <c r="AM264" s="0" t="s">
        <v>50</v>
      </c>
      <c r="AN264" s="0" t="s">
        <v>2321</v>
      </c>
      <c r="AO264" s="0" t="s">
        <v>2359</v>
      </c>
    </row>
    <row r="265" customFormat="false" ht="15" hidden="false" customHeight="false" outlineLevel="0" collapsed="false">
      <c r="A265" s="0" t="s">
        <v>767</v>
      </c>
      <c r="B265" s="2" t="s">
        <v>652</v>
      </c>
      <c r="C265" s="0" t="s">
        <v>163</v>
      </c>
      <c r="D265" s="0" t="n">
        <v>8045049006</v>
      </c>
      <c r="E265" s="0" t="s">
        <v>139</v>
      </c>
      <c r="F265" s="0" t="s">
        <v>2323</v>
      </c>
      <c r="G265" s="0" t="s">
        <v>768</v>
      </c>
      <c r="H265" s="0" t="s">
        <v>45</v>
      </c>
      <c r="I265" s="3" t="s">
        <v>2317</v>
      </c>
      <c r="J265" s="0" t="s">
        <v>2349</v>
      </c>
      <c r="K265" s="0" t="s">
        <v>109</v>
      </c>
      <c r="L265" s="4" t="n">
        <v>97032</v>
      </c>
      <c r="M265" s="0" t="s">
        <v>110</v>
      </c>
      <c r="N265" s="0" t="s">
        <v>63</v>
      </c>
      <c r="O265" s="5" t="n">
        <v>2</v>
      </c>
      <c r="P265" s="0" t="n">
        <v>3.4</v>
      </c>
      <c r="Q265" s="0" t="s">
        <v>2334</v>
      </c>
      <c r="R265" s="0" t="s">
        <v>52</v>
      </c>
      <c r="S265" s="0" t="s">
        <v>2366</v>
      </c>
      <c r="T265" s="0" t="s">
        <v>95</v>
      </c>
      <c r="U265" s="5" t="n">
        <v>15</v>
      </c>
      <c r="V265" s="0" t="s">
        <v>96</v>
      </c>
      <c r="W265" s="0" t="s">
        <v>155</v>
      </c>
      <c r="X265" s="0" t="s">
        <v>128</v>
      </c>
      <c r="Y265" s="0" t="s">
        <v>196</v>
      </c>
      <c r="Z265" s="0" t="s">
        <v>59</v>
      </c>
      <c r="AA265" s="0" t="s">
        <v>79</v>
      </c>
      <c r="AB265" s="5" t="n">
        <v>26388.8888888889</v>
      </c>
      <c r="AC265" s="5" t="n">
        <v>30000</v>
      </c>
      <c r="AD265" s="0" t="s">
        <v>50</v>
      </c>
      <c r="AE265" s="5" t="n">
        <v>5000</v>
      </c>
      <c r="AF265" s="0" t="s">
        <v>2338</v>
      </c>
      <c r="AG265" s="7" t="s">
        <v>215</v>
      </c>
      <c r="AH265" s="0" t="s">
        <v>50</v>
      </c>
      <c r="AI265" s="0" t="s">
        <v>116</v>
      </c>
      <c r="AJ265" s="0" t="s">
        <v>2320</v>
      </c>
      <c r="AK265" s="0" t="s">
        <v>63</v>
      </c>
      <c r="AL265" s="0" t="s">
        <v>63</v>
      </c>
      <c r="AM265" s="0" t="s">
        <v>63</v>
      </c>
      <c r="AN265" s="0" t="s">
        <v>64</v>
      </c>
      <c r="AO265" s="0" t="s">
        <v>50</v>
      </c>
    </row>
    <row r="266" customFormat="false" ht="15" hidden="false" customHeight="false" outlineLevel="0" collapsed="false">
      <c r="A266" s="0" t="s">
        <v>769</v>
      </c>
      <c r="B266" s="2" t="s">
        <v>433</v>
      </c>
      <c r="C266" s="0" t="s">
        <v>121</v>
      </c>
      <c r="D266" s="0" t="n">
        <v>8011145397</v>
      </c>
      <c r="E266" s="0" t="s">
        <v>122</v>
      </c>
      <c r="F266" s="0" t="s">
        <v>2316</v>
      </c>
      <c r="G266" s="0" t="s">
        <v>770</v>
      </c>
      <c r="H266" s="0" t="s">
        <v>45</v>
      </c>
      <c r="I266" s="3" t="s">
        <v>87</v>
      </c>
      <c r="J266" s="0" t="s">
        <v>2339</v>
      </c>
      <c r="K266" s="0" t="s">
        <v>48</v>
      </c>
      <c r="L266" s="4" t="n">
        <v>13149</v>
      </c>
      <c r="M266" s="0" t="s">
        <v>2333</v>
      </c>
      <c r="N266" s="0" t="s">
        <v>63</v>
      </c>
      <c r="O266" s="5" t="n">
        <v>2</v>
      </c>
      <c r="P266" s="0" t="n">
        <v>5</v>
      </c>
      <c r="Q266" s="0" t="s">
        <v>111</v>
      </c>
      <c r="R266" s="0" t="s">
        <v>73</v>
      </c>
      <c r="S266" s="0" t="s">
        <v>53</v>
      </c>
      <c r="T266" s="0" t="s">
        <v>2343</v>
      </c>
      <c r="U266" s="5" t="n">
        <v>45</v>
      </c>
      <c r="V266" s="0" t="s">
        <v>112</v>
      </c>
      <c r="W266" s="0" t="s">
        <v>155</v>
      </c>
      <c r="X266" s="0" t="s">
        <v>128</v>
      </c>
      <c r="Y266" s="0" t="s">
        <v>114</v>
      </c>
      <c r="Z266" s="0" t="s">
        <v>2329</v>
      </c>
      <c r="AA266" s="0" t="s">
        <v>79</v>
      </c>
      <c r="AB266" s="5" t="n">
        <v>25000</v>
      </c>
      <c r="AC266" s="5" t="n">
        <v>30000</v>
      </c>
      <c r="AD266" s="0" t="s">
        <v>63</v>
      </c>
      <c r="AE266" s="5" t="n">
        <v>10000</v>
      </c>
      <c r="AF266" s="0" t="s">
        <v>130</v>
      </c>
      <c r="AG266" s="7" t="s">
        <v>771</v>
      </c>
      <c r="AH266" s="0" t="s">
        <v>2329</v>
      </c>
      <c r="AI266" s="0" t="s">
        <v>2331</v>
      </c>
      <c r="AJ266" s="0" t="s">
        <v>2331</v>
      </c>
      <c r="AK266" s="0" t="s">
        <v>63</v>
      </c>
      <c r="AL266" s="0" t="s">
        <v>2344</v>
      </c>
      <c r="AM266" s="0" t="s">
        <v>50</v>
      </c>
      <c r="AN266" s="0" t="s">
        <v>2321</v>
      </c>
      <c r="AO266" s="0" t="s">
        <v>63</v>
      </c>
    </row>
    <row r="267" customFormat="false" ht="15" hidden="false" customHeight="false" outlineLevel="0" collapsed="false">
      <c r="A267" s="0" t="s">
        <v>772</v>
      </c>
      <c r="B267" s="2" t="s">
        <v>2438</v>
      </c>
      <c r="C267" s="0" t="s">
        <v>42</v>
      </c>
      <c r="D267" s="0" t="n">
        <v>8050194740</v>
      </c>
      <c r="E267" s="0" t="s">
        <v>43</v>
      </c>
      <c r="F267" s="0" t="s">
        <v>2315</v>
      </c>
      <c r="G267" s="0" t="s">
        <v>773</v>
      </c>
      <c r="H267" s="0" t="s">
        <v>87</v>
      </c>
      <c r="I267" s="3" t="s">
        <v>2322</v>
      </c>
      <c r="J267" s="0" t="s">
        <v>2347</v>
      </c>
      <c r="K267" s="0" t="s">
        <v>109</v>
      </c>
      <c r="L267" s="4" t="n">
        <v>22120</v>
      </c>
      <c r="M267" s="0" t="s">
        <v>2333</v>
      </c>
      <c r="N267" s="0" t="s">
        <v>63</v>
      </c>
      <c r="O267" s="5" t="n">
        <v>2</v>
      </c>
      <c r="P267" s="0" t="n">
        <v>3.6</v>
      </c>
      <c r="Q267" s="0" t="s">
        <v>51</v>
      </c>
      <c r="R267" s="0" t="s">
        <v>73</v>
      </c>
      <c r="S267" s="0" t="s">
        <v>53</v>
      </c>
      <c r="T267" s="0" t="s">
        <v>2353</v>
      </c>
      <c r="U267" s="5" t="n">
        <v>39.0277777777778</v>
      </c>
      <c r="V267" s="0" t="s">
        <v>2336</v>
      </c>
      <c r="W267" s="0" t="s">
        <v>155</v>
      </c>
      <c r="X267" s="0" t="s">
        <v>78</v>
      </c>
      <c r="Y267" s="0" t="s">
        <v>99</v>
      </c>
      <c r="Z267" s="0" t="s">
        <v>59</v>
      </c>
      <c r="AA267" s="0" t="s">
        <v>79</v>
      </c>
      <c r="AB267" s="5" t="n">
        <v>30000</v>
      </c>
      <c r="AC267" s="5" t="n">
        <v>20000</v>
      </c>
      <c r="AD267" s="0" t="s">
        <v>50</v>
      </c>
      <c r="AE267" s="5" t="n">
        <v>0</v>
      </c>
      <c r="AF267" s="0" t="s">
        <v>60</v>
      </c>
      <c r="AG267" s="7" t="s">
        <v>774</v>
      </c>
      <c r="AH267" s="0" t="s">
        <v>63</v>
      </c>
      <c r="AI267" s="0" t="s">
        <v>2331</v>
      </c>
      <c r="AJ267" s="0" t="s">
        <v>2331</v>
      </c>
      <c r="AK267" s="0" t="s">
        <v>50</v>
      </c>
      <c r="AL267" s="0" t="s">
        <v>2344</v>
      </c>
      <c r="AM267" s="0" t="s">
        <v>63</v>
      </c>
      <c r="AN267" s="0" t="s">
        <v>64</v>
      </c>
      <c r="AO267" s="0" t="s">
        <v>2359</v>
      </c>
    </row>
    <row r="268" customFormat="false" ht="15" hidden="false" customHeight="false" outlineLevel="0" collapsed="false">
      <c r="A268" s="0" t="s">
        <v>775</v>
      </c>
      <c r="B268" s="2" t="s">
        <v>2463</v>
      </c>
      <c r="C268" s="0" t="s">
        <v>66</v>
      </c>
      <c r="D268" s="0" t="n">
        <v>8047828631</v>
      </c>
      <c r="E268" s="0" t="s">
        <v>139</v>
      </c>
      <c r="F268" s="0" t="s">
        <v>2323</v>
      </c>
      <c r="G268" s="0" t="s">
        <v>776</v>
      </c>
      <c r="H268" s="0" t="s">
        <v>107</v>
      </c>
      <c r="I268" s="3" t="s">
        <v>2317</v>
      </c>
      <c r="J268" s="0" t="s">
        <v>2341</v>
      </c>
      <c r="K268" s="0" t="s">
        <v>90</v>
      </c>
      <c r="L268" s="4" t="n">
        <v>49687</v>
      </c>
      <c r="M268" s="0" t="s">
        <v>49</v>
      </c>
      <c r="N268" s="0" t="s">
        <v>63</v>
      </c>
      <c r="O268" s="5" t="n">
        <v>2</v>
      </c>
      <c r="P268" s="0" t="n">
        <v>1.5</v>
      </c>
      <c r="Q268" s="0" t="s">
        <v>92</v>
      </c>
      <c r="R268" s="0" t="s">
        <v>73</v>
      </c>
      <c r="S268" s="0" t="s">
        <v>53</v>
      </c>
      <c r="T268" s="0" t="s">
        <v>95</v>
      </c>
      <c r="U268" s="5" t="n">
        <v>15</v>
      </c>
      <c r="V268" s="0" t="s">
        <v>112</v>
      </c>
      <c r="W268" s="0" t="s">
        <v>2337</v>
      </c>
      <c r="X268" s="0" t="s">
        <v>128</v>
      </c>
      <c r="Y268" s="0" t="s">
        <v>196</v>
      </c>
      <c r="Z268" s="0" t="s">
        <v>59</v>
      </c>
      <c r="AA268" s="0" t="s">
        <v>149</v>
      </c>
      <c r="AB268" s="5" t="n">
        <v>40000</v>
      </c>
      <c r="AC268" s="5" t="n">
        <v>30000</v>
      </c>
      <c r="AD268" s="0" t="s">
        <v>63</v>
      </c>
      <c r="AE268" s="5" t="n">
        <v>0</v>
      </c>
      <c r="AF268" s="0" t="s">
        <v>2338</v>
      </c>
      <c r="AG268" s="7" t="s">
        <v>325</v>
      </c>
      <c r="AH268" s="0" t="s">
        <v>2329</v>
      </c>
      <c r="AI268" s="0" t="s">
        <v>2331</v>
      </c>
      <c r="AJ268" s="0" t="s">
        <v>2320</v>
      </c>
      <c r="AK268" s="0" t="s">
        <v>50</v>
      </c>
      <c r="AL268" s="0" t="s">
        <v>63</v>
      </c>
      <c r="AM268" s="0" t="s">
        <v>2344</v>
      </c>
      <c r="AN268" s="0" t="s">
        <v>2321</v>
      </c>
      <c r="AO268" s="0" t="s">
        <v>50</v>
      </c>
    </row>
    <row r="269" customFormat="false" ht="15" hidden="false" customHeight="false" outlineLevel="0" collapsed="false">
      <c r="A269" s="0" t="s">
        <v>777</v>
      </c>
      <c r="B269" s="2" t="s">
        <v>1408</v>
      </c>
      <c r="C269" s="0" t="s">
        <v>42</v>
      </c>
      <c r="D269" s="0" t="n">
        <v>8056524207</v>
      </c>
      <c r="E269" s="0" t="s">
        <v>67</v>
      </c>
      <c r="F269" s="0" t="s">
        <v>2316</v>
      </c>
      <c r="G269" s="0" t="s">
        <v>778</v>
      </c>
      <c r="H269" s="0" t="s">
        <v>45</v>
      </c>
      <c r="I269" s="3" t="s">
        <v>2325</v>
      </c>
      <c r="J269" s="0" t="s">
        <v>189</v>
      </c>
      <c r="K269" s="0" t="s">
        <v>90</v>
      </c>
      <c r="L269" s="4" t="n">
        <v>36062</v>
      </c>
      <c r="M269" s="0" t="s">
        <v>49</v>
      </c>
      <c r="N269" s="0" t="s">
        <v>50</v>
      </c>
      <c r="O269" s="5" t="n">
        <v>5</v>
      </c>
      <c r="P269" s="0" t="n">
        <v>3.8</v>
      </c>
      <c r="Q269" s="0" t="s">
        <v>111</v>
      </c>
      <c r="R269" s="0" t="s">
        <v>73</v>
      </c>
      <c r="S269" s="0" t="s">
        <v>2335</v>
      </c>
      <c r="T269" s="0" t="s">
        <v>75</v>
      </c>
      <c r="U269" s="5" t="n">
        <v>30</v>
      </c>
      <c r="V269" s="0" t="s">
        <v>2352</v>
      </c>
      <c r="W269" s="0" t="s">
        <v>148</v>
      </c>
      <c r="X269" s="0" t="s">
        <v>78</v>
      </c>
      <c r="Y269" s="0" t="s">
        <v>196</v>
      </c>
      <c r="Z269" s="0" t="s">
        <v>2324</v>
      </c>
      <c r="AA269" s="0" t="s">
        <v>143</v>
      </c>
      <c r="AB269" s="5" t="n">
        <v>40000</v>
      </c>
      <c r="AC269" s="5" t="n">
        <v>35000</v>
      </c>
      <c r="AD269" s="0" t="s">
        <v>63</v>
      </c>
      <c r="AE269" s="5" t="n">
        <v>5000</v>
      </c>
      <c r="AF269" s="0" t="s">
        <v>130</v>
      </c>
      <c r="AG269" s="7" t="s">
        <v>771</v>
      </c>
      <c r="AH269" s="0" t="s">
        <v>50</v>
      </c>
      <c r="AI269" s="0" t="s">
        <v>2331</v>
      </c>
      <c r="AJ269" s="0" t="s">
        <v>117</v>
      </c>
      <c r="AK269" s="0" t="s">
        <v>63</v>
      </c>
      <c r="AL269" s="0" t="s">
        <v>63</v>
      </c>
      <c r="AM269" s="0" t="s">
        <v>50</v>
      </c>
      <c r="AN269" s="0" t="s">
        <v>2318</v>
      </c>
      <c r="AO269" s="0" t="s">
        <v>50</v>
      </c>
    </row>
    <row r="270" customFormat="false" ht="15" hidden="false" customHeight="false" outlineLevel="0" collapsed="false">
      <c r="A270" s="0" t="s">
        <v>779</v>
      </c>
      <c r="B270" s="2" t="s">
        <v>173</v>
      </c>
      <c r="C270" s="0" t="s">
        <v>42</v>
      </c>
      <c r="D270" s="0" t="n">
        <v>8064198613</v>
      </c>
      <c r="E270" s="0" t="s">
        <v>85</v>
      </c>
      <c r="F270" s="0" t="s">
        <v>2319</v>
      </c>
      <c r="G270" s="0" t="s">
        <v>780</v>
      </c>
      <c r="H270" s="0" t="s">
        <v>107</v>
      </c>
      <c r="I270" s="3" t="s">
        <v>2342</v>
      </c>
      <c r="J270" s="0" t="s">
        <v>47</v>
      </c>
      <c r="K270" s="0" t="s">
        <v>71</v>
      </c>
      <c r="L270" s="4" t="n">
        <v>72648</v>
      </c>
      <c r="M270" s="0" t="s">
        <v>2333</v>
      </c>
      <c r="N270" s="0" t="s">
        <v>50</v>
      </c>
      <c r="O270" s="5" t="n">
        <v>2</v>
      </c>
      <c r="P270" s="0" t="n">
        <v>1.5</v>
      </c>
      <c r="Q270" s="0" t="s">
        <v>92</v>
      </c>
      <c r="R270" s="0" t="s">
        <v>52</v>
      </c>
      <c r="S270" s="0" t="s">
        <v>53</v>
      </c>
      <c r="T270" s="0" t="s">
        <v>54</v>
      </c>
      <c r="U270" s="5" t="n">
        <v>45</v>
      </c>
      <c r="V270" s="0" t="s">
        <v>2352</v>
      </c>
      <c r="W270" s="0" t="s">
        <v>2337</v>
      </c>
      <c r="X270" s="0" t="s">
        <v>98</v>
      </c>
      <c r="Y270" s="0" t="s">
        <v>99</v>
      </c>
      <c r="Z270" s="0" t="s">
        <v>59</v>
      </c>
      <c r="AA270" s="0" t="s">
        <v>2329</v>
      </c>
      <c r="AB270" s="5" t="n">
        <v>25000</v>
      </c>
      <c r="AC270" s="5" t="n">
        <v>31439.1447368421</v>
      </c>
      <c r="AD270" s="0" t="s">
        <v>50</v>
      </c>
      <c r="AE270" s="5" t="n">
        <v>5000</v>
      </c>
      <c r="AF270" s="0" t="s">
        <v>2338</v>
      </c>
      <c r="AG270" s="7" t="s">
        <v>781</v>
      </c>
      <c r="AH270" s="0" t="s">
        <v>2329</v>
      </c>
      <c r="AI270" s="0" t="s">
        <v>171</v>
      </c>
      <c r="AJ270" s="0" t="s">
        <v>172</v>
      </c>
      <c r="AK270" s="0" t="s">
        <v>63</v>
      </c>
      <c r="AL270" s="0" t="s">
        <v>63</v>
      </c>
      <c r="AM270" s="0" t="s">
        <v>50</v>
      </c>
      <c r="AN270" s="0" t="s">
        <v>64</v>
      </c>
      <c r="AO270" s="0" t="s">
        <v>63</v>
      </c>
    </row>
    <row r="271" customFormat="false" ht="15" hidden="false" customHeight="false" outlineLevel="0" collapsed="false">
      <c r="A271" s="0" t="s">
        <v>782</v>
      </c>
      <c r="B271" s="2" t="s">
        <v>2351</v>
      </c>
      <c r="C271" s="0" t="s">
        <v>121</v>
      </c>
      <c r="D271" s="0" t="n">
        <v>8064459981</v>
      </c>
      <c r="E271" s="0" t="s">
        <v>67</v>
      </c>
      <c r="F271" s="0" t="s">
        <v>2316</v>
      </c>
      <c r="G271" s="0" t="s">
        <v>783</v>
      </c>
      <c r="H271" s="0" t="s">
        <v>87</v>
      </c>
      <c r="I271" s="3" t="s">
        <v>2317</v>
      </c>
      <c r="J271" s="0" t="s">
        <v>2341</v>
      </c>
      <c r="K271" s="0" t="s">
        <v>90</v>
      </c>
      <c r="L271" s="4" t="n">
        <v>46331</v>
      </c>
      <c r="M271" s="0" t="s">
        <v>2333</v>
      </c>
      <c r="N271" s="0" t="s">
        <v>50</v>
      </c>
      <c r="O271" s="5" t="n">
        <v>5</v>
      </c>
      <c r="P271" s="0" t="n">
        <v>3.1</v>
      </c>
      <c r="Q271" s="0" t="s">
        <v>111</v>
      </c>
      <c r="R271" s="0" t="s">
        <v>73</v>
      </c>
      <c r="S271" s="0" t="s">
        <v>2340</v>
      </c>
      <c r="T271" s="0" t="s">
        <v>2343</v>
      </c>
      <c r="U271" s="5" t="n">
        <v>37.5</v>
      </c>
      <c r="V271" s="0" t="s">
        <v>2336</v>
      </c>
      <c r="W271" s="0" t="s">
        <v>2328</v>
      </c>
      <c r="X271" s="0" t="s">
        <v>98</v>
      </c>
      <c r="Y271" s="0" t="s">
        <v>99</v>
      </c>
      <c r="Z271" s="0" t="s">
        <v>177</v>
      </c>
      <c r="AA271" s="0" t="s">
        <v>161</v>
      </c>
      <c r="AB271" s="5" t="n">
        <v>20000</v>
      </c>
      <c r="AC271" s="5" t="n">
        <v>30000</v>
      </c>
      <c r="AD271" s="0" t="s">
        <v>50</v>
      </c>
      <c r="AE271" s="5" t="n">
        <v>0</v>
      </c>
      <c r="AF271" s="0" t="s">
        <v>60</v>
      </c>
      <c r="AG271" s="7" t="s">
        <v>625</v>
      </c>
      <c r="AH271" s="0" t="s">
        <v>63</v>
      </c>
      <c r="AI271" s="0" t="s">
        <v>2331</v>
      </c>
      <c r="AJ271" s="0" t="s">
        <v>2331</v>
      </c>
      <c r="AK271" s="0" t="s">
        <v>63</v>
      </c>
      <c r="AL271" s="0" t="s">
        <v>2344</v>
      </c>
      <c r="AM271" s="0" t="s">
        <v>2344</v>
      </c>
      <c r="AN271" s="0" t="s">
        <v>2318</v>
      </c>
      <c r="AO271" s="0" t="s">
        <v>50</v>
      </c>
    </row>
    <row r="272" customFormat="false" ht="15" hidden="false" customHeight="false" outlineLevel="0" collapsed="false">
      <c r="A272" s="0" t="s">
        <v>784</v>
      </c>
      <c r="B272" s="2" t="s">
        <v>1113</v>
      </c>
      <c r="C272" s="0" t="s">
        <v>121</v>
      </c>
      <c r="D272" s="0" t="n">
        <v>8087840078</v>
      </c>
      <c r="E272" s="0" t="s">
        <v>122</v>
      </c>
      <c r="F272" s="0" t="s">
        <v>2316</v>
      </c>
      <c r="G272" s="0" t="s">
        <v>785</v>
      </c>
      <c r="H272" s="0" t="s">
        <v>134</v>
      </c>
      <c r="I272" s="3" t="s">
        <v>2317</v>
      </c>
      <c r="J272" s="0" t="s">
        <v>2339</v>
      </c>
      <c r="K272" s="0" t="s">
        <v>71</v>
      </c>
      <c r="L272" s="4" t="n">
        <v>95688</v>
      </c>
      <c r="M272" s="0" t="s">
        <v>110</v>
      </c>
      <c r="N272" s="0" t="s">
        <v>63</v>
      </c>
      <c r="O272" s="5" t="n">
        <v>2</v>
      </c>
      <c r="P272" s="0" t="n">
        <v>3.4</v>
      </c>
      <c r="Q272" s="0" t="s">
        <v>92</v>
      </c>
      <c r="R272" s="0" t="s">
        <v>52</v>
      </c>
      <c r="S272" s="0" t="s">
        <v>53</v>
      </c>
      <c r="T272" s="0" t="s">
        <v>2353</v>
      </c>
      <c r="U272" s="5" t="n">
        <v>45</v>
      </c>
      <c r="V272" s="0" t="s">
        <v>2336</v>
      </c>
      <c r="W272" s="0" t="s">
        <v>2337</v>
      </c>
      <c r="X272" s="0" t="s">
        <v>128</v>
      </c>
      <c r="Y272" s="0" t="s">
        <v>58</v>
      </c>
      <c r="Z272" s="0" t="s">
        <v>59</v>
      </c>
      <c r="AA272" s="0" t="s">
        <v>143</v>
      </c>
      <c r="AB272" s="5" t="n">
        <v>30000</v>
      </c>
      <c r="AC272" s="5" t="n">
        <v>20000</v>
      </c>
      <c r="AD272" s="0" t="s">
        <v>63</v>
      </c>
      <c r="AE272" s="5" t="n">
        <v>0</v>
      </c>
      <c r="AF272" s="0" t="s">
        <v>2338</v>
      </c>
      <c r="AG272" s="7" t="s">
        <v>2330</v>
      </c>
      <c r="AH272" s="0" t="s">
        <v>50</v>
      </c>
      <c r="AI272" s="0" t="s">
        <v>2331</v>
      </c>
      <c r="AJ272" s="0" t="s">
        <v>2331</v>
      </c>
      <c r="AK272" s="0" t="s">
        <v>63</v>
      </c>
      <c r="AL272" s="0" t="s">
        <v>50</v>
      </c>
      <c r="AM272" s="0" t="s">
        <v>63</v>
      </c>
      <c r="AN272" s="0" t="s">
        <v>2321</v>
      </c>
      <c r="AO272" s="0" t="s">
        <v>50</v>
      </c>
    </row>
    <row r="273" customFormat="false" ht="15" hidden="false" customHeight="false" outlineLevel="0" collapsed="false">
      <c r="A273" s="0" t="s">
        <v>786</v>
      </c>
      <c r="B273" s="2" t="s">
        <v>2436</v>
      </c>
      <c r="C273" s="0" t="s">
        <v>121</v>
      </c>
      <c r="D273" s="0" t="n">
        <v>8097954019</v>
      </c>
      <c r="E273" s="0" t="s">
        <v>43</v>
      </c>
      <c r="F273" s="0" t="s">
        <v>2315</v>
      </c>
      <c r="G273" s="0" t="s">
        <v>787</v>
      </c>
      <c r="H273" s="0" t="s">
        <v>45</v>
      </c>
      <c r="I273" s="3" t="s">
        <v>2325</v>
      </c>
      <c r="J273" s="0" t="s">
        <v>189</v>
      </c>
      <c r="K273" s="0" t="s">
        <v>90</v>
      </c>
      <c r="L273" s="4" t="n">
        <v>106327</v>
      </c>
      <c r="M273" s="0" t="s">
        <v>110</v>
      </c>
      <c r="N273" s="0" t="s">
        <v>63</v>
      </c>
      <c r="O273" s="5" t="n">
        <v>1</v>
      </c>
      <c r="P273" s="0" t="n">
        <v>2.5</v>
      </c>
      <c r="Q273" s="0" t="s">
        <v>111</v>
      </c>
      <c r="R273" s="0" t="s">
        <v>52</v>
      </c>
      <c r="S273" s="0" t="s">
        <v>2340</v>
      </c>
      <c r="T273" s="0" t="s">
        <v>2343</v>
      </c>
      <c r="U273" s="5" t="n">
        <v>45</v>
      </c>
      <c r="V273" s="0" t="s">
        <v>2352</v>
      </c>
      <c r="W273" s="0" t="s">
        <v>2328</v>
      </c>
      <c r="X273" s="0" t="s">
        <v>128</v>
      </c>
      <c r="Y273" s="0" t="s">
        <v>99</v>
      </c>
      <c r="Z273" s="0" t="s">
        <v>2326</v>
      </c>
      <c r="AA273" s="0" t="s">
        <v>149</v>
      </c>
      <c r="AB273" s="5" t="n">
        <v>15000</v>
      </c>
      <c r="AC273" s="5" t="n">
        <v>31460.396039604</v>
      </c>
      <c r="AD273" s="0" t="s">
        <v>50</v>
      </c>
      <c r="AE273" s="5" t="n">
        <v>5000</v>
      </c>
      <c r="AF273" s="0" t="s">
        <v>184</v>
      </c>
      <c r="AG273" s="7" t="s">
        <v>2330</v>
      </c>
      <c r="AH273" s="0" t="s">
        <v>63</v>
      </c>
      <c r="AI273" s="0" t="s">
        <v>171</v>
      </c>
      <c r="AJ273" s="0" t="s">
        <v>2320</v>
      </c>
      <c r="AK273" s="0" t="s">
        <v>63</v>
      </c>
      <c r="AL273" s="0" t="s">
        <v>63</v>
      </c>
      <c r="AM273" s="0" t="s">
        <v>2344</v>
      </c>
      <c r="AN273" s="0" t="s">
        <v>2321</v>
      </c>
      <c r="AO273" s="0" t="s">
        <v>2359</v>
      </c>
    </row>
    <row r="274" customFormat="false" ht="15" hidden="false" customHeight="false" outlineLevel="0" collapsed="false">
      <c r="A274" s="0" t="s">
        <v>789</v>
      </c>
      <c r="B274" s="2" t="s">
        <v>788</v>
      </c>
      <c r="C274" s="0" t="s">
        <v>163</v>
      </c>
      <c r="D274" s="0" t="n">
        <v>8011595945</v>
      </c>
      <c r="E274" s="0" t="s">
        <v>67</v>
      </c>
      <c r="F274" s="0" t="s">
        <v>2316</v>
      </c>
      <c r="G274" s="0" t="s">
        <v>790</v>
      </c>
      <c r="H274" s="0" t="s">
        <v>134</v>
      </c>
      <c r="I274" s="3" t="s">
        <v>2322</v>
      </c>
      <c r="J274" s="0" t="s">
        <v>2347</v>
      </c>
      <c r="K274" s="0" t="s">
        <v>71</v>
      </c>
      <c r="L274" s="4" t="n">
        <v>77027</v>
      </c>
      <c r="M274" s="0" t="s">
        <v>49</v>
      </c>
      <c r="N274" s="0" t="s">
        <v>63</v>
      </c>
      <c r="O274" s="5" t="n">
        <v>2</v>
      </c>
      <c r="P274" s="0" t="n">
        <v>5.3</v>
      </c>
      <c r="Q274" s="0" t="s">
        <v>2334</v>
      </c>
      <c r="R274" s="0" t="s">
        <v>73</v>
      </c>
      <c r="S274" s="0" t="s">
        <v>2340</v>
      </c>
      <c r="T274" s="0" t="s">
        <v>75</v>
      </c>
      <c r="U274" s="5" t="n">
        <v>39.0277777777778</v>
      </c>
      <c r="V274" s="0" t="s">
        <v>96</v>
      </c>
      <c r="W274" s="0" t="s">
        <v>155</v>
      </c>
      <c r="X274" s="0" t="s">
        <v>98</v>
      </c>
      <c r="Y274" s="0" t="s">
        <v>114</v>
      </c>
      <c r="Z274" s="0" t="s">
        <v>2329</v>
      </c>
      <c r="AA274" s="0" t="s">
        <v>143</v>
      </c>
      <c r="AB274" s="5" t="n">
        <v>15000</v>
      </c>
      <c r="AC274" s="5" t="n">
        <v>40000</v>
      </c>
      <c r="AD274" s="0" t="s">
        <v>63</v>
      </c>
      <c r="AE274" s="5" t="n">
        <v>5000</v>
      </c>
      <c r="AF274" s="0" t="s">
        <v>2338</v>
      </c>
      <c r="AG274" s="7" t="s">
        <v>2442</v>
      </c>
      <c r="AH274" s="0" t="s">
        <v>63</v>
      </c>
      <c r="AI274" s="0" t="s">
        <v>116</v>
      </c>
      <c r="AJ274" s="0" t="s">
        <v>172</v>
      </c>
      <c r="AK274" s="0" t="s">
        <v>50</v>
      </c>
      <c r="AL274" s="0" t="s">
        <v>50</v>
      </c>
      <c r="AM274" s="0" t="s">
        <v>50</v>
      </c>
      <c r="AN274" s="0" t="s">
        <v>2321</v>
      </c>
      <c r="AO274" s="0" t="s">
        <v>63</v>
      </c>
    </row>
    <row r="275" customFormat="false" ht="15" hidden="false" customHeight="false" outlineLevel="0" collapsed="false">
      <c r="A275" s="0" t="s">
        <v>792</v>
      </c>
      <c r="B275" s="2" t="s">
        <v>791</v>
      </c>
      <c r="C275" s="0" t="s">
        <v>163</v>
      </c>
      <c r="D275" s="0" t="n">
        <v>8073351303</v>
      </c>
      <c r="E275" s="0" t="s">
        <v>43</v>
      </c>
      <c r="F275" s="0" t="s">
        <v>2315</v>
      </c>
      <c r="G275" s="0" t="s">
        <v>793</v>
      </c>
      <c r="H275" s="0" t="s">
        <v>107</v>
      </c>
      <c r="I275" s="3" t="s">
        <v>2322</v>
      </c>
      <c r="J275" s="0" t="s">
        <v>2347</v>
      </c>
      <c r="K275" s="0" t="s">
        <v>71</v>
      </c>
      <c r="L275" s="4" t="n">
        <v>35277</v>
      </c>
      <c r="M275" s="0" t="s">
        <v>49</v>
      </c>
      <c r="N275" s="0" t="s">
        <v>50</v>
      </c>
      <c r="O275" s="5" t="n">
        <v>1</v>
      </c>
      <c r="P275" s="0" t="n">
        <v>3.5</v>
      </c>
      <c r="Q275" s="0" t="s">
        <v>2334</v>
      </c>
      <c r="R275" s="0" t="s">
        <v>73</v>
      </c>
      <c r="S275" s="0" t="s">
        <v>2335</v>
      </c>
      <c r="T275" s="0" t="s">
        <v>2343</v>
      </c>
      <c r="U275" s="5" t="n">
        <v>30</v>
      </c>
      <c r="V275" s="0" t="s">
        <v>96</v>
      </c>
      <c r="W275" s="0" t="s">
        <v>155</v>
      </c>
      <c r="X275" s="0" t="s">
        <v>128</v>
      </c>
      <c r="Y275" s="0" t="s">
        <v>99</v>
      </c>
      <c r="Z275" s="0" t="s">
        <v>2329</v>
      </c>
      <c r="AA275" s="0" t="s">
        <v>149</v>
      </c>
      <c r="AB275" s="5" t="n">
        <v>15000</v>
      </c>
      <c r="AC275" s="5" t="n">
        <v>30000</v>
      </c>
      <c r="AD275" s="0" t="s">
        <v>50</v>
      </c>
      <c r="AE275" s="5" t="n">
        <v>5000</v>
      </c>
      <c r="AF275" s="0" t="s">
        <v>2338</v>
      </c>
      <c r="AG275" s="7" t="s">
        <v>1079</v>
      </c>
      <c r="AH275" s="0" t="s">
        <v>2329</v>
      </c>
      <c r="AI275" s="0" t="s">
        <v>171</v>
      </c>
      <c r="AJ275" s="0" t="s">
        <v>172</v>
      </c>
      <c r="AK275" s="0" t="s">
        <v>2344</v>
      </c>
      <c r="AL275" s="0" t="s">
        <v>50</v>
      </c>
      <c r="AM275" s="0" t="s">
        <v>63</v>
      </c>
      <c r="AN275" s="0" t="s">
        <v>2318</v>
      </c>
      <c r="AO275" s="0" t="s">
        <v>50</v>
      </c>
    </row>
    <row r="276" customFormat="false" ht="15" hidden="false" customHeight="false" outlineLevel="0" collapsed="false">
      <c r="A276" s="0" t="s">
        <v>794</v>
      </c>
      <c r="B276" s="2" t="s">
        <v>2469</v>
      </c>
      <c r="C276" s="0" t="s">
        <v>163</v>
      </c>
      <c r="D276" s="0" t="n">
        <v>8097790612</v>
      </c>
      <c r="E276" s="0" t="s">
        <v>85</v>
      </c>
      <c r="F276" s="0" t="s">
        <v>2319</v>
      </c>
      <c r="G276" s="0" t="s">
        <v>795</v>
      </c>
      <c r="H276" s="0" t="s">
        <v>45</v>
      </c>
      <c r="I276" s="3" t="s">
        <v>2325</v>
      </c>
      <c r="J276" s="0" t="s">
        <v>189</v>
      </c>
      <c r="K276" s="0" t="s">
        <v>71</v>
      </c>
      <c r="L276" s="4" t="n">
        <v>17430</v>
      </c>
      <c r="M276" s="0" t="s">
        <v>2333</v>
      </c>
      <c r="N276" s="0" t="s">
        <v>50</v>
      </c>
      <c r="O276" s="5" t="n">
        <v>2</v>
      </c>
      <c r="P276" s="0" t="n">
        <v>4.7</v>
      </c>
      <c r="Q276" s="0" t="s">
        <v>111</v>
      </c>
      <c r="R276" s="0" t="s">
        <v>73</v>
      </c>
      <c r="S276" s="0" t="s">
        <v>2340</v>
      </c>
      <c r="T276" s="0" t="s">
        <v>147</v>
      </c>
      <c r="U276" s="5" t="n">
        <v>45</v>
      </c>
      <c r="V276" s="0" t="s">
        <v>2336</v>
      </c>
      <c r="W276" s="0" t="s">
        <v>155</v>
      </c>
      <c r="X276" s="0" t="s">
        <v>98</v>
      </c>
      <c r="Y276" s="0" t="s">
        <v>114</v>
      </c>
      <c r="Z276" s="0" t="s">
        <v>2324</v>
      </c>
      <c r="AA276" s="0" t="s">
        <v>161</v>
      </c>
      <c r="AB276" s="5" t="n">
        <v>15000</v>
      </c>
      <c r="AC276" s="5" t="n">
        <v>20000</v>
      </c>
      <c r="AD276" s="0" t="s">
        <v>50</v>
      </c>
      <c r="AE276" s="5" t="n">
        <v>0</v>
      </c>
      <c r="AF276" s="0" t="s">
        <v>130</v>
      </c>
      <c r="AG276" s="7" t="s">
        <v>2159</v>
      </c>
      <c r="AH276" s="0" t="s">
        <v>50</v>
      </c>
      <c r="AI276" s="0" t="s">
        <v>171</v>
      </c>
      <c r="AJ276" s="0" t="s">
        <v>172</v>
      </c>
      <c r="AK276" s="0" t="s">
        <v>50</v>
      </c>
      <c r="AL276" s="0" t="s">
        <v>2344</v>
      </c>
      <c r="AM276" s="0" t="s">
        <v>2344</v>
      </c>
      <c r="AN276" s="0" t="s">
        <v>2321</v>
      </c>
      <c r="AO276" s="0" t="s">
        <v>63</v>
      </c>
    </row>
    <row r="277" customFormat="false" ht="15" hidden="false" customHeight="false" outlineLevel="0" collapsed="false">
      <c r="A277" s="0" t="s">
        <v>797</v>
      </c>
      <c r="B277" s="2" t="s">
        <v>796</v>
      </c>
      <c r="C277" s="0" t="s">
        <v>66</v>
      </c>
      <c r="D277" s="0" t="n">
        <v>8078806311</v>
      </c>
      <c r="E277" s="0" t="s">
        <v>85</v>
      </c>
      <c r="F277" s="0" t="s">
        <v>2319</v>
      </c>
      <c r="G277" s="0" t="s">
        <v>798</v>
      </c>
      <c r="H277" s="0" t="s">
        <v>107</v>
      </c>
      <c r="I277" s="3" t="s">
        <v>2342</v>
      </c>
      <c r="J277" s="0" t="s">
        <v>2339</v>
      </c>
      <c r="K277" s="0" t="s">
        <v>90</v>
      </c>
      <c r="L277" s="4" t="n">
        <v>90226</v>
      </c>
      <c r="M277" s="0" t="s">
        <v>2333</v>
      </c>
      <c r="N277" s="0" t="s">
        <v>50</v>
      </c>
      <c r="O277" s="5" t="n">
        <v>3</v>
      </c>
      <c r="P277" s="0" t="n">
        <v>3.2</v>
      </c>
      <c r="Q277" s="0" t="s">
        <v>2334</v>
      </c>
      <c r="R277" s="0" t="s">
        <v>73</v>
      </c>
      <c r="S277" s="0" t="s">
        <v>2340</v>
      </c>
      <c r="T277" s="0" t="s">
        <v>147</v>
      </c>
      <c r="U277" s="5" t="n">
        <v>45</v>
      </c>
      <c r="V277" s="0" t="s">
        <v>2352</v>
      </c>
      <c r="W277" s="0" t="s">
        <v>2337</v>
      </c>
      <c r="X277" s="0" t="s">
        <v>78</v>
      </c>
      <c r="Y277" s="0" t="s">
        <v>196</v>
      </c>
      <c r="Z277" s="0" t="s">
        <v>2324</v>
      </c>
      <c r="AA277" s="0" t="s">
        <v>79</v>
      </c>
      <c r="AB277" s="5" t="n">
        <v>30000</v>
      </c>
      <c r="AC277" s="5" t="n">
        <v>40000</v>
      </c>
      <c r="AD277" s="0" t="s">
        <v>63</v>
      </c>
      <c r="AE277" s="5" t="n">
        <v>5000</v>
      </c>
      <c r="AF277" s="0" t="s">
        <v>2338</v>
      </c>
      <c r="AG277" s="7" t="s">
        <v>2470</v>
      </c>
      <c r="AH277" s="0" t="s">
        <v>50</v>
      </c>
      <c r="AI277" s="0" t="s">
        <v>171</v>
      </c>
      <c r="AJ277" s="0" t="s">
        <v>2331</v>
      </c>
      <c r="AK277" s="0" t="s">
        <v>63</v>
      </c>
      <c r="AL277" s="0" t="s">
        <v>63</v>
      </c>
      <c r="AM277" s="0" t="s">
        <v>63</v>
      </c>
      <c r="AN277" s="0" t="s">
        <v>2318</v>
      </c>
      <c r="AO277" s="0" t="s">
        <v>63</v>
      </c>
    </row>
    <row r="278" customFormat="false" ht="15" hidden="false" customHeight="false" outlineLevel="0" collapsed="false">
      <c r="A278" s="0" t="s">
        <v>800</v>
      </c>
      <c r="B278" s="2" t="s">
        <v>799</v>
      </c>
      <c r="C278" s="0" t="s">
        <v>42</v>
      </c>
      <c r="D278" s="0" t="n">
        <v>8030036175</v>
      </c>
      <c r="E278" s="0" t="s">
        <v>85</v>
      </c>
      <c r="F278" s="0" t="s">
        <v>2319</v>
      </c>
      <c r="G278" s="0" t="s">
        <v>801</v>
      </c>
      <c r="H278" s="0" t="s">
        <v>134</v>
      </c>
      <c r="I278" s="3" t="s">
        <v>2317</v>
      </c>
      <c r="J278" s="0" t="s">
        <v>2349</v>
      </c>
      <c r="K278" s="0" t="s">
        <v>109</v>
      </c>
      <c r="L278" s="4" t="n">
        <v>117904</v>
      </c>
      <c r="M278" s="0" t="s">
        <v>110</v>
      </c>
      <c r="N278" s="0" t="s">
        <v>50</v>
      </c>
      <c r="O278" s="5" t="n">
        <v>4</v>
      </c>
      <c r="P278" s="0" t="n">
        <v>2.9</v>
      </c>
      <c r="Q278" s="0" t="s">
        <v>92</v>
      </c>
      <c r="R278" s="0" t="s">
        <v>52</v>
      </c>
      <c r="S278" s="0" t="s">
        <v>2335</v>
      </c>
      <c r="T278" s="0" t="s">
        <v>95</v>
      </c>
      <c r="U278" s="5" t="n">
        <v>60</v>
      </c>
      <c r="V278" s="0" t="s">
        <v>112</v>
      </c>
      <c r="W278" s="0" t="s">
        <v>155</v>
      </c>
      <c r="X278" s="0" t="s">
        <v>78</v>
      </c>
      <c r="Y278" s="0" t="s">
        <v>58</v>
      </c>
      <c r="Z278" s="0" t="s">
        <v>177</v>
      </c>
      <c r="AA278" s="0" t="s">
        <v>79</v>
      </c>
      <c r="AB278" s="5" t="n">
        <v>25000</v>
      </c>
      <c r="AC278" s="5" t="n">
        <v>30000</v>
      </c>
      <c r="AD278" s="0" t="s">
        <v>50</v>
      </c>
      <c r="AE278" s="5" t="n">
        <v>0</v>
      </c>
      <c r="AF278" s="0" t="s">
        <v>130</v>
      </c>
      <c r="AG278" s="7" t="s">
        <v>802</v>
      </c>
      <c r="AH278" s="0" t="s">
        <v>2329</v>
      </c>
      <c r="AI278" s="0" t="s">
        <v>2331</v>
      </c>
      <c r="AJ278" s="0" t="s">
        <v>2331</v>
      </c>
      <c r="AK278" s="0" t="s">
        <v>63</v>
      </c>
      <c r="AL278" s="0" t="s">
        <v>50</v>
      </c>
      <c r="AM278" s="0" t="s">
        <v>50</v>
      </c>
      <c r="AN278" s="0" t="s">
        <v>2318</v>
      </c>
      <c r="AO278" s="0" t="s">
        <v>50</v>
      </c>
    </row>
    <row r="279" customFormat="false" ht="15" hidden="false" customHeight="false" outlineLevel="0" collapsed="false">
      <c r="A279" s="0" t="s">
        <v>803</v>
      </c>
      <c r="B279" s="2" t="s">
        <v>2379</v>
      </c>
      <c r="C279" s="0" t="s">
        <v>121</v>
      </c>
      <c r="D279" s="0" t="n">
        <v>8063352256</v>
      </c>
      <c r="E279" s="0" t="s">
        <v>67</v>
      </c>
      <c r="F279" s="0" t="s">
        <v>2316</v>
      </c>
      <c r="G279" s="0" t="s">
        <v>804</v>
      </c>
      <c r="H279" s="0" t="s">
        <v>107</v>
      </c>
      <c r="I279" s="3" t="s">
        <v>2325</v>
      </c>
      <c r="J279" s="0" t="s">
        <v>2341</v>
      </c>
      <c r="K279" s="0" t="s">
        <v>90</v>
      </c>
      <c r="L279" s="4" t="n">
        <v>35733</v>
      </c>
      <c r="M279" s="0" t="s">
        <v>110</v>
      </c>
      <c r="N279" s="0" t="s">
        <v>50</v>
      </c>
      <c r="O279" s="5" t="n">
        <v>5</v>
      </c>
      <c r="P279" s="0" t="n">
        <v>1.8</v>
      </c>
      <c r="Q279" s="0" t="s">
        <v>51</v>
      </c>
      <c r="R279" s="0" t="s">
        <v>93</v>
      </c>
      <c r="S279" s="0" t="s">
        <v>53</v>
      </c>
      <c r="T279" s="0" t="s">
        <v>75</v>
      </c>
      <c r="U279" s="5" t="n">
        <v>30</v>
      </c>
      <c r="V279" s="0" t="s">
        <v>55</v>
      </c>
      <c r="W279" s="0" t="s">
        <v>2337</v>
      </c>
      <c r="X279" s="0" t="s">
        <v>128</v>
      </c>
      <c r="Y279" s="0" t="s">
        <v>114</v>
      </c>
      <c r="Z279" s="0" t="s">
        <v>59</v>
      </c>
      <c r="AA279" s="0" t="s">
        <v>161</v>
      </c>
      <c r="AB279" s="5" t="n">
        <v>30000</v>
      </c>
      <c r="AC279" s="5" t="n">
        <v>40000</v>
      </c>
      <c r="AD279" s="0" t="s">
        <v>50</v>
      </c>
      <c r="AE279" s="5" t="n">
        <v>5000</v>
      </c>
      <c r="AF279" s="0" t="s">
        <v>60</v>
      </c>
      <c r="AG279" s="7" t="s">
        <v>805</v>
      </c>
      <c r="AH279" s="0" t="s">
        <v>63</v>
      </c>
      <c r="AI279" s="0" t="s">
        <v>116</v>
      </c>
      <c r="AJ279" s="0" t="s">
        <v>172</v>
      </c>
      <c r="AK279" s="0" t="s">
        <v>2344</v>
      </c>
      <c r="AL279" s="0" t="s">
        <v>63</v>
      </c>
      <c r="AM279" s="0" t="s">
        <v>2344</v>
      </c>
      <c r="AN279" s="0" t="s">
        <v>2318</v>
      </c>
      <c r="AO279" s="0" t="s">
        <v>50</v>
      </c>
    </row>
    <row r="280" customFormat="false" ht="15" hidden="false" customHeight="false" outlineLevel="0" collapsed="false">
      <c r="A280" s="0" t="s">
        <v>806</v>
      </c>
      <c r="B280" s="2" t="s">
        <v>1370</v>
      </c>
      <c r="C280" s="0" t="s">
        <v>121</v>
      </c>
      <c r="D280" s="0" t="n">
        <v>8040545068</v>
      </c>
      <c r="E280" s="0" t="s">
        <v>139</v>
      </c>
      <c r="F280" s="0" t="s">
        <v>2323</v>
      </c>
      <c r="G280" s="0" t="s">
        <v>807</v>
      </c>
      <c r="H280" s="0" t="s">
        <v>87</v>
      </c>
      <c r="I280" s="3" t="s">
        <v>2322</v>
      </c>
      <c r="J280" s="0" t="s">
        <v>47</v>
      </c>
      <c r="K280" s="0" t="s">
        <v>71</v>
      </c>
      <c r="L280" s="4" t="n">
        <v>10643</v>
      </c>
      <c r="M280" s="0" t="s">
        <v>49</v>
      </c>
      <c r="N280" s="0" t="s">
        <v>50</v>
      </c>
      <c r="O280" s="5" t="n">
        <v>1</v>
      </c>
      <c r="P280" s="0" t="n">
        <v>5</v>
      </c>
      <c r="Q280" s="0" t="s">
        <v>51</v>
      </c>
      <c r="R280" s="0" t="s">
        <v>73</v>
      </c>
      <c r="S280" s="0" t="s">
        <v>53</v>
      </c>
      <c r="T280" s="0" t="s">
        <v>75</v>
      </c>
      <c r="U280" s="5" t="n">
        <v>45</v>
      </c>
      <c r="V280" s="0" t="s">
        <v>2336</v>
      </c>
      <c r="W280" s="0" t="s">
        <v>2328</v>
      </c>
      <c r="X280" s="0" t="s">
        <v>78</v>
      </c>
      <c r="Y280" s="0" t="s">
        <v>99</v>
      </c>
      <c r="Z280" s="0" t="s">
        <v>2326</v>
      </c>
      <c r="AA280" s="0" t="s">
        <v>143</v>
      </c>
      <c r="AB280" s="5" t="n">
        <v>30000</v>
      </c>
      <c r="AC280" s="5" t="n">
        <v>40000</v>
      </c>
      <c r="AD280" s="0" t="s">
        <v>63</v>
      </c>
      <c r="AE280" s="5" t="n">
        <v>0</v>
      </c>
      <c r="AF280" s="0" t="s">
        <v>130</v>
      </c>
      <c r="AG280" s="7" t="s">
        <v>2330</v>
      </c>
      <c r="AH280" s="0" t="s">
        <v>50</v>
      </c>
      <c r="AI280" s="0" t="s">
        <v>2331</v>
      </c>
      <c r="AJ280" s="0" t="s">
        <v>172</v>
      </c>
      <c r="AK280" s="0" t="s">
        <v>50</v>
      </c>
      <c r="AL280" s="0" t="s">
        <v>50</v>
      </c>
      <c r="AM280" s="0" t="s">
        <v>2344</v>
      </c>
      <c r="AN280" s="0" t="s">
        <v>2318</v>
      </c>
      <c r="AO280" s="0" t="s">
        <v>50</v>
      </c>
    </row>
    <row r="281" customFormat="false" ht="15" hidden="false" customHeight="false" outlineLevel="0" collapsed="false">
      <c r="A281" s="0" t="s">
        <v>808</v>
      </c>
      <c r="B281" s="2" t="s">
        <v>468</v>
      </c>
      <c r="C281" s="0" t="s">
        <v>121</v>
      </c>
      <c r="D281" s="0" t="n">
        <v>8040457532</v>
      </c>
      <c r="E281" s="0" t="s">
        <v>67</v>
      </c>
      <c r="F281" s="0" t="s">
        <v>2316</v>
      </c>
      <c r="G281" s="0" t="s">
        <v>809</v>
      </c>
      <c r="H281" s="0" t="s">
        <v>69</v>
      </c>
      <c r="I281" s="3" t="s">
        <v>2325</v>
      </c>
      <c r="J281" s="0" t="s">
        <v>2341</v>
      </c>
      <c r="K281" s="0" t="s">
        <v>90</v>
      </c>
      <c r="L281" s="4" t="n">
        <v>85569</v>
      </c>
      <c r="M281" s="0" t="s">
        <v>49</v>
      </c>
      <c r="N281" s="0" t="s">
        <v>63</v>
      </c>
      <c r="O281" s="5" t="n">
        <v>2</v>
      </c>
      <c r="P281" s="0" t="n">
        <v>3.9</v>
      </c>
      <c r="Q281" s="0" t="s">
        <v>51</v>
      </c>
      <c r="R281" s="0" t="s">
        <v>93</v>
      </c>
      <c r="S281" s="0" t="s">
        <v>2335</v>
      </c>
      <c r="T281" s="0" t="s">
        <v>2343</v>
      </c>
      <c r="U281" s="5" t="n">
        <v>45</v>
      </c>
      <c r="V281" s="0" t="s">
        <v>2352</v>
      </c>
      <c r="W281" s="0" t="s">
        <v>148</v>
      </c>
      <c r="X281" s="0" t="s">
        <v>128</v>
      </c>
      <c r="Y281" s="0" t="s">
        <v>58</v>
      </c>
      <c r="Z281" s="0" t="s">
        <v>59</v>
      </c>
      <c r="AA281" s="0" t="s">
        <v>161</v>
      </c>
      <c r="AB281" s="5" t="n">
        <v>20000</v>
      </c>
      <c r="AC281" s="5" t="n">
        <v>30000</v>
      </c>
      <c r="AD281" s="0" t="s">
        <v>63</v>
      </c>
      <c r="AE281" s="5" t="n">
        <v>10000</v>
      </c>
      <c r="AF281" s="0" t="s">
        <v>60</v>
      </c>
      <c r="AG281" s="7" t="s">
        <v>2330</v>
      </c>
      <c r="AH281" s="0" t="s">
        <v>63</v>
      </c>
      <c r="AI281" s="0" t="s">
        <v>116</v>
      </c>
      <c r="AJ281" s="0" t="s">
        <v>2331</v>
      </c>
      <c r="AK281" s="0" t="s">
        <v>50</v>
      </c>
      <c r="AL281" s="0" t="s">
        <v>63</v>
      </c>
      <c r="AM281" s="0" t="s">
        <v>50</v>
      </c>
      <c r="AN281" s="0" t="s">
        <v>2318</v>
      </c>
      <c r="AO281" s="0" t="s">
        <v>63</v>
      </c>
    </row>
    <row r="282" customFormat="false" ht="15" hidden="false" customHeight="false" outlineLevel="0" collapsed="false">
      <c r="A282" s="0" t="s">
        <v>810</v>
      </c>
      <c r="B282" s="2" t="s">
        <v>2387</v>
      </c>
      <c r="C282" s="0" t="s">
        <v>163</v>
      </c>
      <c r="D282" s="0" t="n">
        <v>8038168948</v>
      </c>
      <c r="E282" s="0" t="s">
        <v>43</v>
      </c>
      <c r="F282" s="0" t="s">
        <v>2315</v>
      </c>
      <c r="G282" s="0" t="s">
        <v>811</v>
      </c>
      <c r="H282" s="0" t="s">
        <v>45</v>
      </c>
      <c r="I282" s="3" t="s">
        <v>2342</v>
      </c>
      <c r="J282" s="0" t="s">
        <v>2349</v>
      </c>
      <c r="K282" s="0" t="s">
        <v>90</v>
      </c>
      <c r="L282" s="4" t="n">
        <v>64471</v>
      </c>
      <c r="M282" s="0" t="s">
        <v>49</v>
      </c>
      <c r="N282" s="0" t="s">
        <v>63</v>
      </c>
      <c r="O282" s="5" t="n">
        <v>2</v>
      </c>
      <c r="P282" s="0" t="n">
        <v>1.3</v>
      </c>
      <c r="Q282" s="0" t="s">
        <v>2334</v>
      </c>
      <c r="R282" s="0" t="s">
        <v>73</v>
      </c>
      <c r="S282" s="0" t="s">
        <v>2340</v>
      </c>
      <c r="T282" s="0" t="s">
        <v>147</v>
      </c>
      <c r="U282" s="5" t="n">
        <v>30</v>
      </c>
      <c r="V282" s="0" t="s">
        <v>96</v>
      </c>
      <c r="W282" s="0" t="s">
        <v>148</v>
      </c>
      <c r="X282" s="0" t="s">
        <v>98</v>
      </c>
      <c r="Y282" s="0" t="s">
        <v>196</v>
      </c>
      <c r="Z282" s="0" t="s">
        <v>2326</v>
      </c>
      <c r="AA282" s="0" t="s">
        <v>161</v>
      </c>
      <c r="AB282" s="5" t="n">
        <v>40000</v>
      </c>
      <c r="AC282" s="5" t="n">
        <v>40000</v>
      </c>
      <c r="AD282" s="0" t="s">
        <v>63</v>
      </c>
      <c r="AE282" s="5" t="n">
        <v>0</v>
      </c>
      <c r="AF282" s="0" t="s">
        <v>60</v>
      </c>
      <c r="AG282" s="7" t="s">
        <v>1642</v>
      </c>
      <c r="AH282" s="0" t="s">
        <v>63</v>
      </c>
      <c r="AI282" s="0" t="s">
        <v>116</v>
      </c>
      <c r="AJ282" s="0" t="s">
        <v>2331</v>
      </c>
      <c r="AK282" s="0" t="s">
        <v>2344</v>
      </c>
      <c r="AL282" s="0" t="s">
        <v>50</v>
      </c>
      <c r="AM282" s="0" t="s">
        <v>50</v>
      </c>
      <c r="AN282" s="0" t="s">
        <v>2318</v>
      </c>
      <c r="AO282" s="0" t="s">
        <v>50</v>
      </c>
    </row>
    <row r="283" customFormat="false" ht="15" hidden="false" customHeight="false" outlineLevel="0" collapsed="false">
      <c r="A283" s="0" t="s">
        <v>812</v>
      </c>
      <c r="B283" s="2" t="s">
        <v>2392</v>
      </c>
      <c r="C283" s="0" t="s">
        <v>163</v>
      </c>
      <c r="D283" s="0" t="n">
        <v>8073678024</v>
      </c>
      <c r="E283" s="0" t="s">
        <v>139</v>
      </c>
      <c r="F283" s="0" t="s">
        <v>2323</v>
      </c>
      <c r="G283" s="0" t="s">
        <v>813</v>
      </c>
      <c r="H283" s="0" t="s">
        <v>134</v>
      </c>
      <c r="I283" s="3" t="s">
        <v>2322</v>
      </c>
      <c r="J283" s="0" t="s">
        <v>2339</v>
      </c>
      <c r="K283" s="0" t="s">
        <v>71</v>
      </c>
      <c r="L283" s="4" t="n">
        <v>71616</v>
      </c>
      <c r="M283" s="0" t="s">
        <v>110</v>
      </c>
      <c r="N283" s="0" t="s">
        <v>63</v>
      </c>
      <c r="O283" s="5" t="n">
        <v>1</v>
      </c>
      <c r="P283" s="0" t="n">
        <v>2.6</v>
      </c>
      <c r="Q283" s="0" t="s">
        <v>2334</v>
      </c>
      <c r="R283" s="0" t="s">
        <v>73</v>
      </c>
      <c r="S283" s="0" t="s">
        <v>2366</v>
      </c>
      <c r="T283" s="0" t="s">
        <v>75</v>
      </c>
      <c r="U283" s="5" t="n">
        <v>45</v>
      </c>
      <c r="V283" s="0" t="s">
        <v>2336</v>
      </c>
      <c r="W283" s="0" t="s">
        <v>148</v>
      </c>
      <c r="X283" s="0" t="s">
        <v>98</v>
      </c>
      <c r="Y283" s="0" t="s">
        <v>196</v>
      </c>
      <c r="Z283" s="0" t="s">
        <v>177</v>
      </c>
      <c r="AA283" s="0" t="s">
        <v>79</v>
      </c>
      <c r="AB283" s="5" t="n">
        <v>26157.8947368421</v>
      </c>
      <c r="AC283" s="5" t="n">
        <v>35000</v>
      </c>
      <c r="AD283" s="0" t="s">
        <v>63</v>
      </c>
      <c r="AE283" s="5" t="n">
        <v>5000</v>
      </c>
      <c r="AF283" s="0" t="s">
        <v>60</v>
      </c>
      <c r="AG283" s="7" t="s">
        <v>2330</v>
      </c>
      <c r="AH283" s="0" t="s">
        <v>63</v>
      </c>
      <c r="AI283" s="0" t="s">
        <v>2331</v>
      </c>
      <c r="AJ283" s="0" t="s">
        <v>2331</v>
      </c>
      <c r="AK283" s="0" t="s">
        <v>63</v>
      </c>
      <c r="AL283" s="0" t="s">
        <v>50</v>
      </c>
      <c r="AM283" s="0" t="s">
        <v>63</v>
      </c>
      <c r="AN283" s="0" t="s">
        <v>64</v>
      </c>
      <c r="AO283" s="0" t="s">
        <v>63</v>
      </c>
    </row>
    <row r="284" customFormat="false" ht="15" hidden="false" customHeight="false" outlineLevel="0" collapsed="false">
      <c r="A284" s="0" t="s">
        <v>814</v>
      </c>
      <c r="B284" s="2" t="s">
        <v>2471</v>
      </c>
      <c r="C284" s="0" t="s">
        <v>163</v>
      </c>
      <c r="D284" s="0" t="n">
        <v>8041369795</v>
      </c>
      <c r="E284" s="0" t="s">
        <v>139</v>
      </c>
      <c r="F284" s="0" t="s">
        <v>2323</v>
      </c>
      <c r="G284" s="0" t="s">
        <v>815</v>
      </c>
      <c r="H284" s="0" t="s">
        <v>45</v>
      </c>
      <c r="I284" s="3" t="s">
        <v>2322</v>
      </c>
      <c r="J284" s="0" t="s">
        <v>2349</v>
      </c>
      <c r="K284" s="0" t="s">
        <v>90</v>
      </c>
      <c r="L284" s="4" t="n">
        <v>20832</v>
      </c>
      <c r="M284" s="0" t="s">
        <v>2333</v>
      </c>
      <c r="N284" s="0" t="s">
        <v>50</v>
      </c>
      <c r="O284" s="5" t="n">
        <v>2</v>
      </c>
      <c r="P284" s="0" t="n">
        <v>2</v>
      </c>
      <c r="Q284" s="0" t="s">
        <v>92</v>
      </c>
      <c r="R284" s="0" t="s">
        <v>93</v>
      </c>
      <c r="S284" s="0" t="s">
        <v>2340</v>
      </c>
      <c r="T284" s="0" t="s">
        <v>2353</v>
      </c>
      <c r="U284" s="5" t="n">
        <v>45</v>
      </c>
      <c r="V284" s="0" t="s">
        <v>2336</v>
      </c>
      <c r="W284" s="0" t="s">
        <v>155</v>
      </c>
      <c r="X284" s="0" t="s">
        <v>98</v>
      </c>
      <c r="Y284" s="0" t="s">
        <v>196</v>
      </c>
      <c r="Z284" s="0" t="s">
        <v>2326</v>
      </c>
      <c r="AA284" s="0" t="s">
        <v>161</v>
      </c>
      <c r="AB284" s="5" t="n">
        <v>25000</v>
      </c>
      <c r="AC284" s="5" t="n">
        <v>40000</v>
      </c>
      <c r="AD284" s="0" t="s">
        <v>50</v>
      </c>
      <c r="AE284" s="5" t="n">
        <v>10000</v>
      </c>
      <c r="AF284" s="0" t="s">
        <v>60</v>
      </c>
      <c r="AG284" s="7" t="s">
        <v>816</v>
      </c>
      <c r="AH284" s="0" t="s">
        <v>2329</v>
      </c>
      <c r="AI284" s="0" t="s">
        <v>2331</v>
      </c>
      <c r="AJ284" s="0" t="s">
        <v>172</v>
      </c>
      <c r="AK284" s="0" t="s">
        <v>2344</v>
      </c>
      <c r="AL284" s="0" t="s">
        <v>50</v>
      </c>
      <c r="AM284" s="0" t="s">
        <v>2344</v>
      </c>
      <c r="AN284" s="0" t="s">
        <v>2321</v>
      </c>
      <c r="AO284" s="0" t="s">
        <v>50</v>
      </c>
    </row>
    <row r="285" customFormat="false" ht="15" hidden="false" customHeight="false" outlineLevel="0" collapsed="false">
      <c r="A285" s="0" t="s">
        <v>817</v>
      </c>
      <c r="B285" s="2" t="s">
        <v>2417</v>
      </c>
      <c r="C285" s="0" t="s">
        <v>121</v>
      </c>
      <c r="D285" s="0" t="n">
        <v>8079232906</v>
      </c>
      <c r="E285" s="0" t="s">
        <v>122</v>
      </c>
      <c r="F285" s="0" t="s">
        <v>2316</v>
      </c>
      <c r="G285" s="0" t="s">
        <v>818</v>
      </c>
      <c r="H285" s="0" t="s">
        <v>87</v>
      </c>
      <c r="I285" s="3" t="s">
        <v>2325</v>
      </c>
      <c r="J285" s="0" t="s">
        <v>2341</v>
      </c>
      <c r="K285" s="0" t="s">
        <v>109</v>
      </c>
      <c r="L285" s="4" t="n">
        <v>37579</v>
      </c>
      <c r="M285" s="0" t="s">
        <v>49</v>
      </c>
      <c r="N285" s="0" t="s">
        <v>50</v>
      </c>
      <c r="O285" s="5" t="n">
        <v>1</v>
      </c>
      <c r="P285" s="0" t="n">
        <v>3</v>
      </c>
      <c r="Q285" s="0" t="s">
        <v>125</v>
      </c>
      <c r="R285" s="0" t="s">
        <v>52</v>
      </c>
      <c r="S285" s="0" t="s">
        <v>2340</v>
      </c>
      <c r="T285" s="0" t="s">
        <v>2343</v>
      </c>
      <c r="U285" s="5" t="n">
        <v>37.5</v>
      </c>
      <c r="V285" s="0" t="s">
        <v>112</v>
      </c>
      <c r="W285" s="0" t="s">
        <v>2337</v>
      </c>
      <c r="X285" s="0" t="s">
        <v>78</v>
      </c>
      <c r="Y285" s="0" t="s">
        <v>196</v>
      </c>
      <c r="Z285" s="0" t="s">
        <v>177</v>
      </c>
      <c r="AA285" s="0" t="s">
        <v>2329</v>
      </c>
      <c r="AB285" s="5" t="n">
        <v>27247.7064220184</v>
      </c>
      <c r="AC285" s="5" t="n">
        <v>31394.9579831933</v>
      </c>
      <c r="AD285" s="0" t="s">
        <v>63</v>
      </c>
      <c r="AE285" s="5" t="n">
        <v>5000</v>
      </c>
      <c r="AF285" s="0" t="s">
        <v>2338</v>
      </c>
      <c r="AG285" s="7" t="s">
        <v>819</v>
      </c>
      <c r="AH285" s="0" t="s">
        <v>63</v>
      </c>
      <c r="AI285" s="0" t="s">
        <v>2331</v>
      </c>
      <c r="AJ285" s="0" t="s">
        <v>2331</v>
      </c>
      <c r="AK285" s="0" t="s">
        <v>63</v>
      </c>
      <c r="AL285" s="0" t="s">
        <v>63</v>
      </c>
      <c r="AM285" s="0" t="s">
        <v>63</v>
      </c>
      <c r="AN285" s="0" t="s">
        <v>64</v>
      </c>
      <c r="AO285" s="0" t="s">
        <v>63</v>
      </c>
    </row>
    <row r="286" customFormat="false" ht="15" hidden="false" customHeight="false" outlineLevel="0" collapsed="false">
      <c r="A286" s="0" t="s">
        <v>820</v>
      </c>
      <c r="B286" s="2" t="s">
        <v>316</v>
      </c>
      <c r="C286" s="0" t="s">
        <v>105</v>
      </c>
      <c r="D286" s="0" t="n">
        <v>8088786294</v>
      </c>
      <c r="E286" s="0" t="s">
        <v>85</v>
      </c>
      <c r="F286" s="0" t="s">
        <v>2319</v>
      </c>
      <c r="G286" s="0" t="s">
        <v>821</v>
      </c>
      <c r="H286" s="0" t="s">
        <v>69</v>
      </c>
      <c r="I286" s="3" t="s">
        <v>2322</v>
      </c>
      <c r="J286" s="0" t="s">
        <v>2339</v>
      </c>
      <c r="K286" s="0" t="s">
        <v>109</v>
      </c>
      <c r="L286" s="4" t="n">
        <v>100016</v>
      </c>
      <c r="M286" s="0" t="s">
        <v>2333</v>
      </c>
      <c r="N286" s="0" t="s">
        <v>63</v>
      </c>
      <c r="O286" s="5" t="n">
        <v>2</v>
      </c>
      <c r="P286" s="0" t="n">
        <v>3.9</v>
      </c>
      <c r="Q286" s="0" t="s">
        <v>92</v>
      </c>
      <c r="R286" s="0" t="s">
        <v>52</v>
      </c>
      <c r="S286" s="0" t="s">
        <v>53</v>
      </c>
      <c r="T286" s="0" t="s">
        <v>75</v>
      </c>
      <c r="U286" s="5" t="n">
        <v>60</v>
      </c>
      <c r="V286" s="0" t="s">
        <v>2352</v>
      </c>
      <c r="W286" s="0" t="s">
        <v>2328</v>
      </c>
      <c r="X286" s="0" t="s">
        <v>98</v>
      </c>
      <c r="Y286" s="0" t="s">
        <v>196</v>
      </c>
      <c r="Z286" s="0" t="s">
        <v>177</v>
      </c>
      <c r="AA286" s="0" t="s">
        <v>143</v>
      </c>
      <c r="AB286" s="5" t="n">
        <v>26157.8947368421</v>
      </c>
      <c r="AC286" s="5" t="n">
        <v>20000</v>
      </c>
      <c r="AD286" s="0" t="s">
        <v>63</v>
      </c>
      <c r="AE286" s="5" t="n">
        <v>0</v>
      </c>
      <c r="AF286" s="0" t="s">
        <v>130</v>
      </c>
      <c r="AG286" s="7" t="s">
        <v>2397</v>
      </c>
      <c r="AH286" s="0" t="s">
        <v>63</v>
      </c>
      <c r="AI286" s="0" t="s">
        <v>171</v>
      </c>
      <c r="AJ286" s="0" t="s">
        <v>2331</v>
      </c>
      <c r="AK286" s="0" t="s">
        <v>50</v>
      </c>
      <c r="AL286" s="0" t="s">
        <v>50</v>
      </c>
      <c r="AM286" s="0" t="s">
        <v>63</v>
      </c>
      <c r="AN286" s="0" t="s">
        <v>2321</v>
      </c>
      <c r="AO286" s="0" t="s">
        <v>63</v>
      </c>
    </row>
    <row r="287" customFormat="false" ht="15" hidden="false" customHeight="false" outlineLevel="0" collapsed="false">
      <c r="A287" s="0" t="s">
        <v>822</v>
      </c>
      <c r="B287" s="2" t="s">
        <v>2464</v>
      </c>
      <c r="C287" s="0" t="s">
        <v>42</v>
      </c>
      <c r="D287" s="0" t="n">
        <v>8084170763</v>
      </c>
      <c r="E287" s="0" t="s">
        <v>67</v>
      </c>
      <c r="F287" s="0" t="s">
        <v>2316</v>
      </c>
      <c r="G287" s="0" t="s">
        <v>823</v>
      </c>
      <c r="H287" s="0" t="s">
        <v>87</v>
      </c>
      <c r="I287" s="3" t="s">
        <v>87</v>
      </c>
      <c r="J287" s="0" t="s">
        <v>2347</v>
      </c>
      <c r="K287" s="0" t="s">
        <v>48</v>
      </c>
      <c r="L287" s="4" t="n">
        <v>87789</v>
      </c>
      <c r="M287" s="0" t="s">
        <v>110</v>
      </c>
      <c r="N287" s="0" t="s">
        <v>50</v>
      </c>
      <c r="O287" s="5" t="n">
        <v>2</v>
      </c>
      <c r="P287" s="0" t="n">
        <v>3.9</v>
      </c>
      <c r="Q287" s="0" t="s">
        <v>92</v>
      </c>
      <c r="R287" s="0" t="s">
        <v>73</v>
      </c>
      <c r="S287" s="0" t="s">
        <v>2335</v>
      </c>
      <c r="T287" s="0" t="s">
        <v>54</v>
      </c>
      <c r="U287" s="5" t="n">
        <v>45</v>
      </c>
      <c r="V287" s="0" t="s">
        <v>55</v>
      </c>
      <c r="W287" s="0" t="s">
        <v>155</v>
      </c>
      <c r="X287" s="0" t="s">
        <v>78</v>
      </c>
      <c r="Y287" s="0" t="s">
        <v>114</v>
      </c>
      <c r="Z287" s="0" t="s">
        <v>177</v>
      </c>
      <c r="AA287" s="0" t="s">
        <v>149</v>
      </c>
      <c r="AB287" s="5" t="n">
        <v>40000</v>
      </c>
      <c r="AC287" s="5" t="n">
        <v>20000</v>
      </c>
      <c r="AD287" s="0" t="s">
        <v>63</v>
      </c>
      <c r="AE287" s="5" t="n">
        <v>5000</v>
      </c>
      <c r="AF287" s="0" t="s">
        <v>60</v>
      </c>
      <c r="AG287" s="7" t="s">
        <v>2371</v>
      </c>
      <c r="AH287" s="0" t="s">
        <v>50</v>
      </c>
      <c r="AI287" s="0" t="s">
        <v>171</v>
      </c>
      <c r="AJ287" s="0" t="s">
        <v>2320</v>
      </c>
      <c r="AK287" s="0" t="s">
        <v>63</v>
      </c>
      <c r="AL287" s="0" t="s">
        <v>50</v>
      </c>
      <c r="AM287" s="0" t="s">
        <v>63</v>
      </c>
      <c r="AN287" s="0" t="s">
        <v>64</v>
      </c>
      <c r="AO287" s="0" t="s">
        <v>50</v>
      </c>
    </row>
    <row r="288" customFormat="false" ht="15" hidden="false" customHeight="false" outlineLevel="0" collapsed="false">
      <c r="A288" s="0" t="s">
        <v>824</v>
      </c>
      <c r="B288" s="2" t="s">
        <v>1504</v>
      </c>
      <c r="C288" s="0" t="s">
        <v>163</v>
      </c>
      <c r="D288" s="0" t="n">
        <v>8072912993</v>
      </c>
      <c r="E288" s="0" t="s">
        <v>122</v>
      </c>
      <c r="F288" s="0" t="s">
        <v>2316</v>
      </c>
      <c r="G288" s="0" t="s">
        <v>825</v>
      </c>
      <c r="H288" s="0" t="s">
        <v>107</v>
      </c>
      <c r="I288" s="3" t="s">
        <v>87</v>
      </c>
      <c r="J288" s="0" t="s">
        <v>2341</v>
      </c>
      <c r="K288" s="0" t="s">
        <v>48</v>
      </c>
      <c r="L288" s="4" t="n">
        <v>75518</v>
      </c>
      <c r="M288" s="0" t="s">
        <v>110</v>
      </c>
      <c r="N288" s="0" t="s">
        <v>63</v>
      </c>
      <c r="O288" s="5" t="n">
        <v>3</v>
      </c>
      <c r="P288" s="0" t="n">
        <v>5.4</v>
      </c>
      <c r="Q288" s="0" t="s">
        <v>111</v>
      </c>
      <c r="R288" s="0" t="s">
        <v>73</v>
      </c>
      <c r="S288" s="0" t="s">
        <v>2340</v>
      </c>
      <c r="T288" s="0" t="s">
        <v>2343</v>
      </c>
      <c r="U288" s="5" t="n">
        <v>60</v>
      </c>
      <c r="V288" s="0" t="s">
        <v>112</v>
      </c>
      <c r="W288" s="0" t="s">
        <v>155</v>
      </c>
      <c r="X288" s="0" t="s">
        <v>98</v>
      </c>
      <c r="Y288" s="0" t="s">
        <v>196</v>
      </c>
      <c r="Z288" s="0" t="s">
        <v>59</v>
      </c>
      <c r="AA288" s="0" t="s">
        <v>2329</v>
      </c>
      <c r="AB288" s="5" t="n">
        <v>20000</v>
      </c>
      <c r="AC288" s="5" t="n">
        <v>30000</v>
      </c>
      <c r="AD288" s="0" t="s">
        <v>50</v>
      </c>
      <c r="AE288" s="5" t="n">
        <v>0</v>
      </c>
      <c r="AF288" s="0" t="s">
        <v>60</v>
      </c>
      <c r="AG288" s="7" t="s">
        <v>2330</v>
      </c>
      <c r="AH288" s="0" t="s">
        <v>50</v>
      </c>
      <c r="AI288" s="0" t="s">
        <v>116</v>
      </c>
      <c r="AJ288" s="0" t="s">
        <v>117</v>
      </c>
      <c r="AK288" s="0" t="s">
        <v>50</v>
      </c>
      <c r="AL288" s="0" t="s">
        <v>50</v>
      </c>
      <c r="AM288" s="0" t="s">
        <v>2344</v>
      </c>
      <c r="AN288" s="0" t="s">
        <v>2321</v>
      </c>
      <c r="AO288" s="0" t="s">
        <v>50</v>
      </c>
    </row>
    <row r="289" customFormat="false" ht="15" hidden="false" customHeight="false" outlineLevel="0" collapsed="false">
      <c r="A289" s="0" t="s">
        <v>826</v>
      </c>
      <c r="B289" s="2" t="s">
        <v>553</v>
      </c>
      <c r="C289" s="0" t="s">
        <v>42</v>
      </c>
      <c r="D289" s="0" t="n">
        <v>8071928212</v>
      </c>
      <c r="E289" s="0" t="s">
        <v>43</v>
      </c>
      <c r="F289" s="0" t="s">
        <v>2315</v>
      </c>
      <c r="G289" s="0" t="s">
        <v>827</v>
      </c>
      <c r="H289" s="0" t="s">
        <v>134</v>
      </c>
      <c r="I289" s="3" t="s">
        <v>2322</v>
      </c>
      <c r="J289" s="0" t="s">
        <v>2349</v>
      </c>
      <c r="K289" s="0" t="s">
        <v>109</v>
      </c>
      <c r="L289" s="4" t="n">
        <v>22180</v>
      </c>
      <c r="M289" s="0" t="s">
        <v>110</v>
      </c>
      <c r="N289" s="0" t="s">
        <v>63</v>
      </c>
      <c r="O289" s="5" t="n">
        <v>4</v>
      </c>
      <c r="P289" s="0" t="n">
        <v>4.1</v>
      </c>
      <c r="Q289" s="0" t="s">
        <v>2334</v>
      </c>
      <c r="R289" s="0" t="s">
        <v>93</v>
      </c>
      <c r="S289" s="0" t="s">
        <v>53</v>
      </c>
      <c r="T289" s="0" t="s">
        <v>75</v>
      </c>
      <c r="U289" s="5" t="n">
        <v>45</v>
      </c>
      <c r="V289" s="0" t="s">
        <v>96</v>
      </c>
      <c r="W289" s="0" t="s">
        <v>155</v>
      </c>
      <c r="X289" s="0" t="s">
        <v>98</v>
      </c>
      <c r="Y289" s="0" t="s">
        <v>58</v>
      </c>
      <c r="Z289" s="0" t="s">
        <v>59</v>
      </c>
      <c r="AA289" s="0" t="s">
        <v>149</v>
      </c>
      <c r="AB289" s="5" t="n">
        <v>20000</v>
      </c>
      <c r="AC289" s="5" t="n">
        <v>30000</v>
      </c>
      <c r="AD289" s="0" t="s">
        <v>63</v>
      </c>
      <c r="AE289" s="5" t="n">
        <v>0</v>
      </c>
      <c r="AF289" s="0" t="s">
        <v>130</v>
      </c>
      <c r="AG289" s="7" t="s">
        <v>2364</v>
      </c>
      <c r="AH289" s="0" t="s">
        <v>50</v>
      </c>
      <c r="AI289" s="0" t="s">
        <v>2331</v>
      </c>
      <c r="AJ289" s="0" t="s">
        <v>2331</v>
      </c>
      <c r="AK289" s="0" t="s">
        <v>50</v>
      </c>
      <c r="AL289" s="0" t="s">
        <v>63</v>
      </c>
      <c r="AM289" s="0" t="s">
        <v>50</v>
      </c>
      <c r="AN289" s="0" t="s">
        <v>2321</v>
      </c>
      <c r="AO289" s="0" t="s">
        <v>50</v>
      </c>
    </row>
    <row r="290" customFormat="false" ht="15" hidden="false" customHeight="false" outlineLevel="0" collapsed="false">
      <c r="A290" s="0" t="s">
        <v>828</v>
      </c>
      <c r="B290" s="2" t="s">
        <v>2471</v>
      </c>
      <c r="C290" s="0" t="s">
        <v>121</v>
      </c>
      <c r="D290" s="0" t="n">
        <v>8055722553</v>
      </c>
      <c r="E290" s="0" t="s">
        <v>122</v>
      </c>
      <c r="F290" s="0" t="s">
        <v>2316</v>
      </c>
      <c r="G290" s="0" t="s">
        <v>829</v>
      </c>
      <c r="H290" s="0" t="s">
        <v>107</v>
      </c>
      <c r="I290" s="3" t="s">
        <v>2317</v>
      </c>
      <c r="J290" s="0" t="s">
        <v>2349</v>
      </c>
      <c r="K290" s="0" t="s">
        <v>48</v>
      </c>
      <c r="L290" s="4" t="n">
        <v>89783</v>
      </c>
      <c r="M290" s="0" t="s">
        <v>49</v>
      </c>
      <c r="N290" s="0" t="s">
        <v>63</v>
      </c>
      <c r="O290" s="5" t="n">
        <v>4</v>
      </c>
      <c r="P290" s="0" t="n">
        <v>3.2</v>
      </c>
      <c r="Q290" s="0" t="s">
        <v>51</v>
      </c>
      <c r="R290" s="0" t="s">
        <v>73</v>
      </c>
      <c r="S290" s="0" t="s">
        <v>2335</v>
      </c>
      <c r="T290" s="0" t="s">
        <v>2353</v>
      </c>
      <c r="U290" s="5" t="n">
        <v>37.5</v>
      </c>
      <c r="V290" s="0" t="s">
        <v>2352</v>
      </c>
      <c r="W290" s="0" t="s">
        <v>2337</v>
      </c>
      <c r="X290" s="0" t="s">
        <v>128</v>
      </c>
      <c r="Y290" s="0" t="s">
        <v>99</v>
      </c>
      <c r="Z290" s="0" t="s">
        <v>177</v>
      </c>
      <c r="AA290" s="0" t="s">
        <v>2329</v>
      </c>
      <c r="AB290" s="5" t="n">
        <v>20000</v>
      </c>
      <c r="AC290" s="5" t="n">
        <v>40000</v>
      </c>
      <c r="AD290" s="0" t="s">
        <v>63</v>
      </c>
      <c r="AE290" s="5" t="n">
        <v>0</v>
      </c>
      <c r="AF290" s="0" t="s">
        <v>60</v>
      </c>
      <c r="AG290" s="7" t="s">
        <v>1082</v>
      </c>
      <c r="AH290" s="0" t="s">
        <v>63</v>
      </c>
      <c r="AI290" s="0" t="s">
        <v>2331</v>
      </c>
      <c r="AJ290" s="0" t="s">
        <v>117</v>
      </c>
      <c r="AK290" s="0" t="s">
        <v>50</v>
      </c>
      <c r="AL290" s="0" t="s">
        <v>50</v>
      </c>
      <c r="AM290" s="0" t="s">
        <v>50</v>
      </c>
      <c r="AN290" s="0" t="s">
        <v>2321</v>
      </c>
      <c r="AO290" s="0" t="s">
        <v>2359</v>
      </c>
    </row>
    <row r="291" customFormat="false" ht="15" hidden="false" customHeight="false" outlineLevel="0" collapsed="false">
      <c r="A291" s="0" t="s">
        <v>830</v>
      </c>
      <c r="B291" s="2" t="s">
        <v>2472</v>
      </c>
      <c r="C291" s="0" t="s">
        <v>163</v>
      </c>
      <c r="D291" s="0" t="n">
        <v>8021526062</v>
      </c>
      <c r="E291" s="0" t="s">
        <v>85</v>
      </c>
      <c r="F291" s="0" t="s">
        <v>2319</v>
      </c>
      <c r="G291" s="0" t="s">
        <v>831</v>
      </c>
      <c r="H291" s="0" t="s">
        <v>69</v>
      </c>
      <c r="I291" s="3" t="s">
        <v>2322</v>
      </c>
      <c r="J291" s="0" t="s">
        <v>2341</v>
      </c>
      <c r="K291" s="0" t="s">
        <v>48</v>
      </c>
      <c r="L291" s="4" t="n">
        <v>25095</v>
      </c>
      <c r="M291" s="0" t="s">
        <v>2333</v>
      </c>
      <c r="N291" s="0" t="s">
        <v>50</v>
      </c>
      <c r="O291" s="5" t="n">
        <v>4</v>
      </c>
      <c r="P291" s="0" t="n">
        <v>5.9</v>
      </c>
      <c r="Q291" s="0" t="s">
        <v>92</v>
      </c>
      <c r="R291" s="0" t="s">
        <v>93</v>
      </c>
      <c r="S291" s="0" t="s">
        <v>2366</v>
      </c>
      <c r="T291" s="0" t="s">
        <v>95</v>
      </c>
      <c r="U291" s="5" t="n">
        <v>30</v>
      </c>
      <c r="V291" s="0" t="s">
        <v>96</v>
      </c>
      <c r="W291" s="0" t="s">
        <v>148</v>
      </c>
      <c r="X291" s="0" t="s">
        <v>128</v>
      </c>
      <c r="Y291" s="0" t="s">
        <v>99</v>
      </c>
      <c r="Z291" s="0" t="s">
        <v>2329</v>
      </c>
      <c r="AA291" s="0" t="s">
        <v>79</v>
      </c>
      <c r="AB291" s="5" t="n">
        <v>25000</v>
      </c>
      <c r="AC291" s="5" t="n">
        <v>30000</v>
      </c>
      <c r="AD291" s="0" t="s">
        <v>50</v>
      </c>
      <c r="AE291" s="5" t="n">
        <v>5000</v>
      </c>
      <c r="AF291" s="0" t="s">
        <v>60</v>
      </c>
      <c r="AG291" s="7" t="s">
        <v>1437</v>
      </c>
      <c r="AH291" s="0" t="s">
        <v>2329</v>
      </c>
      <c r="AI291" s="0" t="s">
        <v>2331</v>
      </c>
      <c r="AJ291" s="0" t="s">
        <v>2331</v>
      </c>
      <c r="AK291" s="0" t="s">
        <v>63</v>
      </c>
      <c r="AL291" s="0" t="s">
        <v>50</v>
      </c>
      <c r="AM291" s="0" t="s">
        <v>63</v>
      </c>
      <c r="AN291" s="0" t="s">
        <v>2321</v>
      </c>
      <c r="AO291" s="0" t="s">
        <v>63</v>
      </c>
    </row>
    <row r="292" customFormat="false" ht="15" hidden="false" customHeight="false" outlineLevel="0" collapsed="false">
      <c r="A292" s="0" t="s">
        <v>832</v>
      </c>
      <c r="B292" s="2" t="s">
        <v>2473</v>
      </c>
      <c r="C292" s="0" t="s">
        <v>66</v>
      </c>
      <c r="D292" s="0" t="n">
        <v>8052020192</v>
      </c>
      <c r="E292" s="0" t="s">
        <v>122</v>
      </c>
      <c r="F292" s="0" t="s">
        <v>2316</v>
      </c>
      <c r="G292" s="0" t="s">
        <v>833</v>
      </c>
      <c r="H292" s="0" t="s">
        <v>134</v>
      </c>
      <c r="I292" s="3" t="s">
        <v>2317</v>
      </c>
      <c r="J292" s="0" t="s">
        <v>2347</v>
      </c>
      <c r="K292" s="0" t="s">
        <v>109</v>
      </c>
      <c r="L292" s="4" t="n">
        <v>29029</v>
      </c>
      <c r="M292" s="0" t="s">
        <v>2333</v>
      </c>
      <c r="N292" s="0" t="s">
        <v>63</v>
      </c>
      <c r="O292" s="5" t="n">
        <v>1</v>
      </c>
      <c r="P292" s="0" t="n">
        <v>2.7</v>
      </c>
      <c r="Q292" s="0" t="s">
        <v>125</v>
      </c>
      <c r="R292" s="0" t="s">
        <v>52</v>
      </c>
      <c r="S292" s="0" t="s">
        <v>2366</v>
      </c>
      <c r="T292" s="0" t="s">
        <v>75</v>
      </c>
      <c r="U292" s="5" t="n">
        <v>45</v>
      </c>
      <c r="V292" s="0" t="s">
        <v>55</v>
      </c>
      <c r="W292" s="0" t="s">
        <v>2328</v>
      </c>
      <c r="X292" s="0" t="s">
        <v>128</v>
      </c>
      <c r="Y292" s="0" t="s">
        <v>114</v>
      </c>
      <c r="Z292" s="0" t="s">
        <v>2324</v>
      </c>
      <c r="AA292" s="0" t="s">
        <v>161</v>
      </c>
      <c r="AB292" s="5" t="n">
        <v>26836.7346938776</v>
      </c>
      <c r="AC292" s="5" t="n">
        <v>35000</v>
      </c>
      <c r="AD292" s="0" t="s">
        <v>63</v>
      </c>
      <c r="AE292" s="5" t="n">
        <v>0</v>
      </c>
      <c r="AF292" s="0" t="s">
        <v>2338</v>
      </c>
      <c r="AG292" s="7" t="s">
        <v>2371</v>
      </c>
      <c r="AH292" s="0" t="s">
        <v>50</v>
      </c>
      <c r="AI292" s="0" t="s">
        <v>171</v>
      </c>
      <c r="AJ292" s="0" t="s">
        <v>2331</v>
      </c>
      <c r="AK292" s="0" t="s">
        <v>63</v>
      </c>
      <c r="AL292" s="0" t="s">
        <v>2344</v>
      </c>
      <c r="AM292" s="0" t="s">
        <v>63</v>
      </c>
      <c r="AN292" s="0" t="s">
        <v>2318</v>
      </c>
      <c r="AO292" s="0" t="s">
        <v>2359</v>
      </c>
    </row>
    <row r="293" customFormat="false" ht="15" hidden="false" customHeight="false" outlineLevel="0" collapsed="false">
      <c r="A293" s="0" t="s">
        <v>834</v>
      </c>
      <c r="B293" s="2" t="s">
        <v>1518</v>
      </c>
      <c r="C293" s="0" t="s">
        <v>163</v>
      </c>
      <c r="D293" s="0" t="n">
        <v>8035212337</v>
      </c>
      <c r="E293" s="0" t="s">
        <v>85</v>
      </c>
      <c r="F293" s="0" t="s">
        <v>2319</v>
      </c>
      <c r="G293" s="0" t="s">
        <v>835</v>
      </c>
      <c r="H293" s="0" t="s">
        <v>134</v>
      </c>
      <c r="I293" s="3" t="s">
        <v>87</v>
      </c>
      <c r="J293" s="0" t="s">
        <v>2349</v>
      </c>
      <c r="K293" s="0" t="s">
        <v>48</v>
      </c>
      <c r="L293" s="4" t="n">
        <v>62142</v>
      </c>
      <c r="M293" s="0" t="s">
        <v>2333</v>
      </c>
      <c r="N293" s="0" t="s">
        <v>63</v>
      </c>
      <c r="O293" s="5" t="n">
        <v>3.03589743589744</v>
      </c>
      <c r="P293" s="0" t="n">
        <v>4</v>
      </c>
      <c r="Q293" s="0" t="s">
        <v>51</v>
      </c>
      <c r="R293" s="0" t="s">
        <v>73</v>
      </c>
      <c r="S293" s="0" t="s">
        <v>2335</v>
      </c>
      <c r="T293" s="0" t="s">
        <v>54</v>
      </c>
      <c r="U293" s="5" t="n">
        <v>60</v>
      </c>
      <c r="V293" s="0" t="s">
        <v>55</v>
      </c>
      <c r="W293" s="0" t="s">
        <v>148</v>
      </c>
      <c r="X293" s="0" t="s">
        <v>98</v>
      </c>
      <c r="Y293" s="0" t="s">
        <v>196</v>
      </c>
      <c r="Z293" s="0" t="s">
        <v>2324</v>
      </c>
      <c r="AA293" s="0" t="s">
        <v>79</v>
      </c>
      <c r="AB293" s="5" t="n">
        <v>15000</v>
      </c>
      <c r="AC293" s="5" t="n">
        <v>30000</v>
      </c>
      <c r="AD293" s="0" t="s">
        <v>63</v>
      </c>
      <c r="AE293" s="5" t="n">
        <v>0</v>
      </c>
      <c r="AF293" s="0" t="s">
        <v>2338</v>
      </c>
      <c r="AG293" s="7" t="s">
        <v>2330</v>
      </c>
      <c r="AH293" s="0" t="s">
        <v>50</v>
      </c>
      <c r="AI293" s="0" t="s">
        <v>2331</v>
      </c>
      <c r="AJ293" s="0" t="s">
        <v>2320</v>
      </c>
      <c r="AK293" s="0" t="s">
        <v>63</v>
      </c>
      <c r="AL293" s="0" t="s">
        <v>63</v>
      </c>
      <c r="AM293" s="0" t="s">
        <v>63</v>
      </c>
      <c r="AN293" s="0" t="s">
        <v>2321</v>
      </c>
      <c r="AO293" s="0" t="s">
        <v>63</v>
      </c>
    </row>
    <row r="294" customFormat="false" ht="15" hidden="false" customHeight="false" outlineLevel="0" collapsed="false">
      <c r="A294" s="0" t="s">
        <v>836</v>
      </c>
      <c r="B294" s="2" t="s">
        <v>2405</v>
      </c>
      <c r="C294" s="0" t="s">
        <v>42</v>
      </c>
      <c r="D294" s="0" t="n">
        <v>8067551618</v>
      </c>
      <c r="E294" s="0" t="s">
        <v>139</v>
      </c>
      <c r="F294" s="0" t="s">
        <v>2323</v>
      </c>
      <c r="G294" s="0" t="s">
        <v>837</v>
      </c>
      <c r="H294" s="0" t="s">
        <v>45</v>
      </c>
      <c r="I294" s="3" t="s">
        <v>87</v>
      </c>
      <c r="J294" s="0" t="s">
        <v>2349</v>
      </c>
      <c r="K294" s="0" t="s">
        <v>48</v>
      </c>
      <c r="L294" s="4" t="n">
        <v>16346</v>
      </c>
      <c r="M294" s="0" t="s">
        <v>2333</v>
      </c>
      <c r="N294" s="0" t="s">
        <v>63</v>
      </c>
      <c r="O294" s="5" t="n">
        <v>3.03589743589744</v>
      </c>
      <c r="P294" s="0" t="n">
        <v>3.9</v>
      </c>
      <c r="Q294" s="0" t="s">
        <v>111</v>
      </c>
      <c r="R294" s="0" t="s">
        <v>52</v>
      </c>
      <c r="S294" s="0" t="s">
        <v>2340</v>
      </c>
      <c r="T294" s="0" t="s">
        <v>147</v>
      </c>
      <c r="U294" s="5" t="n">
        <v>15</v>
      </c>
      <c r="V294" s="0" t="s">
        <v>55</v>
      </c>
      <c r="W294" s="0" t="s">
        <v>155</v>
      </c>
      <c r="X294" s="0" t="s">
        <v>98</v>
      </c>
      <c r="Y294" s="0" t="s">
        <v>58</v>
      </c>
      <c r="Z294" s="0" t="s">
        <v>2324</v>
      </c>
      <c r="AA294" s="0" t="s">
        <v>161</v>
      </c>
      <c r="AB294" s="5" t="n">
        <v>25000</v>
      </c>
      <c r="AC294" s="5" t="n">
        <v>35000</v>
      </c>
      <c r="AD294" s="0" t="s">
        <v>63</v>
      </c>
      <c r="AE294" s="5" t="n">
        <v>0</v>
      </c>
      <c r="AF294" s="0" t="s">
        <v>184</v>
      </c>
      <c r="AG294" s="7" t="s">
        <v>838</v>
      </c>
      <c r="AH294" s="0" t="s">
        <v>50</v>
      </c>
      <c r="AI294" s="0" t="s">
        <v>116</v>
      </c>
      <c r="AJ294" s="0" t="s">
        <v>2331</v>
      </c>
      <c r="AK294" s="0" t="s">
        <v>2344</v>
      </c>
      <c r="AL294" s="0" t="s">
        <v>2344</v>
      </c>
      <c r="AM294" s="0" t="s">
        <v>2344</v>
      </c>
      <c r="AN294" s="0" t="s">
        <v>2321</v>
      </c>
      <c r="AO294" s="0" t="s">
        <v>50</v>
      </c>
    </row>
    <row r="295" customFormat="false" ht="15" hidden="false" customHeight="false" outlineLevel="0" collapsed="false">
      <c r="A295" s="0" t="s">
        <v>839</v>
      </c>
      <c r="B295" s="2" t="s">
        <v>2401</v>
      </c>
      <c r="C295" s="0" t="s">
        <v>66</v>
      </c>
      <c r="D295" s="0" t="n">
        <v>8066061116</v>
      </c>
      <c r="E295" s="0" t="s">
        <v>122</v>
      </c>
      <c r="F295" s="0" t="s">
        <v>2316</v>
      </c>
      <c r="G295" s="0" t="s">
        <v>840</v>
      </c>
      <c r="H295" s="0" t="s">
        <v>45</v>
      </c>
      <c r="I295" s="3" t="s">
        <v>2317</v>
      </c>
      <c r="J295" s="0" t="s">
        <v>2341</v>
      </c>
      <c r="K295" s="0" t="s">
        <v>48</v>
      </c>
      <c r="L295" s="4" t="n">
        <v>93006</v>
      </c>
      <c r="M295" s="0" t="s">
        <v>49</v>
      </c>
      <c r="N295" s="0" t="s">
        <v>50</v>
      </c>
      <c r="O295" s="5" t="n">
        <v>1</v>
      </c>
      <c r="P295" s="0" t="n">
        <v>5</v>
      </c>
      <c r="Q295" s="0" t="s">
        <v>92</v>
      </c>
      <c r="R295" s="0" t="s">
        <v>73</v>
      </c>
      <c r="S295" s="0" t="s">
        <v>2366</v>
      </c>
      <c r="T295" s="0" t="s">
        <v>147</v>
      </c>
      <c r="U295" s="5" t="n">
        <v>37.3529411764706</v>
      </c>
      <c r="V295" s="0" t="s">
        <v>112</v>
      </c>
      <c r="W295" s="0" t="s">
        <v>148</v>
      </c>
      <c r="X295" s="0" t="s">
        <v>128</v>
      </c>
      <c r="Y295" s="0" t="s">
        <v>196</v>
      </c>
      <c r="Z295" s="0" t="s">
        <v>2324</v>
      </c>
      <c r="AA295" s="0" t="s">
        <v>79</v>
      </c>
      <c r="AB295" s="5" t="n">
        <v>15000</v>
      </c>
      <c r="AC295" s="5" t="n">
        <v>31416.3822525597</v>
      </c>
      <c r="AD295" s="0" t="s">
        <v>50</v>
      </c>
      <c r="AE295" s="5" t="n">
        <v>0</v>
      </c>
      <c r="AF295" s="0" t="s">
        <v>184</v>
      </c>
      <c r="AG295" s="7" t="s">
        <v>2330</v>
      </c>
      <c r="AH295" s="0" t="s">
        <v>63</v>
      </c>
      <c r="AI295" s="0" t="s">
        <v>2331</v>
      </c>
      <c r="AJ295" s="0" t="s">
        <v>172</v>
      </c>
      <c r="AK295" s="0" t="s">
        <v>63</v>
      </c>
      <c r="AL295" s="0" t="s">
        <v>50</v>
      </c>
      <c r="AM295" s="0" t="s">
        <v>63</v>
      </c>
      <c r="AN295" s="0" t="s">
        <v>2321</v>
      </c>
      <c r="AO295" s="0" t="s">
        <v>50</v>
      </c>
    </row>
    <row r="296" customFormat="false" ht="15" hidden="false" customHeight="false" outlineLevel="0" collapsed="false">
      <c r="A296" s="0" t="s">
        <v>841</v>
      </c>
      <c r="B296" s="2" t="s">
        <v>2221</v>
      </c>
      <c r="C296" s="0" t="s">
        <v>121</v>
      </c>
      <c r="D296" s="0" t="n">
        <v>8038129989</v>
      </c>
      <c r="E296" s="0" t="s">
        <v>43</v>
      </c>
      <c r="F296" s="0" t="s">
        <v>2315</v>
      </c>
      <c r="G296" s="0" t="s">
        <v>842</v>
      </c>
      <c r="H296" s="0" t="s">
        <v>87</v>
      </c>
      <c r="I296" s="3" t="s">
        <v>2322</v>
      </c>
      <c r="J296" s="0" t="s">
        <v>2347</v>
      </c>
      <c r="K296" s="0" t="s">
        <v>109</v>
      </c>
      <c r="L296" s="4" t="n">
        <v>29782</v>
      </c>
      <c r="M296" s="0" t="s">
        <v>110</v>
      </c>
      <c r="N296" s="0" t="s">
        <v>50</v>
      </c>
      <c r="O296" s="5" t="n">
        <v>3.03938356164384</v>
      </c>
      <c r="P296" s="0" t="n">
        <v>4.4</v>
      </c>
      <c r="Q296" s="0" t="s">
        <v>92</v>
      </c>
      <c r="R296" s="0" t="s">
        <v>93</v>
      </c>
      <c r="S296" s="0" t="s">
        <v>2340</v>
      </c>
      <c r="T296" s="0" t="s">
        <v>2343</v>
      </c>
      <c r="U296" s="5" t="n">
        <v>15</v>
      </c>
      <c r="V296" s="0" t="s">
        <v>55</v>
      </c>
      <c r="W296" s="0" t="s">
        <v>155</v>
      </c>
      <c r="X296" s="0" t="s">
        <v>128</v>
      </c>
      <c r="Y296" s="0" t="s">
        <v>114</v>
      </c>
      <c r="Z296" s="0" t="s">
        <v>59</v>
      </c>
      <c r="AA296" s="0" t="s">
        <v>143</v>
      </c>
      <c r="AB296" s="5" t="n">
        <v>26836.7346938776</v>
      </c>
      <c r="AC296" s="5" t="n">
        <v>30000</v>
      </c>
      <c r="AD296" s="0" t="s">
        <v>50</v>
      </c>
      <c r="AE296" s="5" t="n">
        <v>0</v>
      </c>
      <c r="AF296" s="0" t="s">
        <v>60</v>
      </c>
      <c r="AG296" s="7" t="s">
        <v>2330</v>
      </c>
      <c r="AH296" s="0" t="s">
        <v>63</v>
      </c>
      <c r="AI296" s="0" t="s">
        <v>2331</v>
      </c>
      <c r="AJ296" s="0" t="s">
        <v>2320</v>
      </c>
      <c r="AK296" s="0" t="s">
        <v>63</v>
      </c>
      <c r="AL296" s="0" t="s">
        <v>50</v>
      </c>
      <c r="AM296" s="0" t="s">
        <v>2344</v>
      </c>
      <c r="AN296" s="0" t="s">
        <v>2321</v>
      </c>
      <c r="AO296" s="0" t="s">
        <v>63</v>
      </c>
    </row>
    <row r="297" customFormat="false" ht="15" hidden="false" customHeight="false" outlineLevel="0" collapsed="false">
      <c r="A297" s="0" t="s">
        <v>843</v>
      </c>
      <c r="B297" s="2" t="s">
        <v>1113</v>
      </c>
      <c r="C297" s="0" t="s">
        <v>121</v>
      </c>
      <c r="D297" s="0" t="n">
        <v>8068878740</v>
      </c>
      <c r="E297" s="0" t="s">
        <v>122</v>
      </c>
      <c r="F297" s="0" t="s">
        <v>2316</v>
      </c>
      <c r="G297" s="0" t="s">
        <v>844</v>
      </c>
      <c r="H297" s="0" t="s">
        <v>45</v>
      </c>
      <c r="I297" s="3" t="s">
        <v>2325</v>
      </c>
      <c r="J297" s="0" t="s">
        <v>2341</v>
      </c>
      <c r="K297" s="0" t="s">
        <v>90</v>
      </c>
      <c r="L297" s="4" t="n">
        <v>105912</v>
      </c>
      <c r="M297" s="0" t="s">
        <v>110</v>
      </c>
      <c r="N297" s="0" t="s">
        <v>50</v>
      </c>
      <c r="O297" s="5" t="n">
        <v>4</v>
      </c>
      <c r="P297" s="0" t="n">
        <v>1.6</v>
      </c>
      <c r="Q297" s="0" t="s">
        <v>2334</v>
      </c>
      <c r="R297" s="0" t="s">
        <v>93</v>
      </c>
      <c r="S297" s="0" t="s">
        <v>2335</v>
      </c>
      <c r="T297" s="0" t="s">
        <v>147</v>
      </c>
      <c r="U297" s="5" t="n">
        <v>37.3529411764706</v>
      </c>
      <c r="V297" s="0" t="s">
        <v>2336</v>
      </c>
      <c r="W297" s="0" t="s">
        <v>2337</v>
      </c>
      <c r="X297" s="0" t="s">
        <v>78</v>
      </c>
      <c r="Y297" s="0" t="s">
        <v>196</v>
      </c>
      <c r="Z297" s="0" t="s">
        <v>2329</v>
      </c>
      <c r="AA297" s="0" t="s">
        <v>2329</v>
      </c>
      <c r="AB297" s="5" t="n">
        <v>30000</v>
      </c>
      <c r="AC297" s="5" t="n">
        <v>40000</v>
      </c>
      <c r="AD297" s="0" t="s">
        <v>50</v>
      </c>
      <c r="AE297" s="5" t="n">
        <v>5000</v>
      </c>
      <c r="AF297" s="0" t="s">
        <v>60</v>
      </c>
      <c r="AG297" s="7" t="s">
        <v>2350</v>
      </c>
      <c r="AH297" s="0" t="s">
        <v>50</v>
      </c>
      <c r="AI297" s="0" t="s">
        <v>2331</v>
      </c>
      <c r="AJ297" s="0" t="s">
        <v>172</v>
      </c>
      <c r="AK297" s="0" t="s">
        <v>2344</v>
      </c>
      <c r="AL297" s="0" t="s">
        <v>63</v>
      </c>
      <c r="AM297" s="0" t="s">
        <v>63</v>
      </c>
      <c r="AN297" s="0" t="s">
        <v>2321</v>
      </c>
      <c r="AO297" s="0" t="s">
        <v>2359</v>
      </c>
    </row>
    <row r="298" customFormat="false" ht="15" hidden="false" customHeight="false" outlineLevel="0" collapsed="false">
      <c r="A298" s="0" t="s">
        <v>845</v>
      </c>
      <c r="B298" s="2" t="s">
        <v>2468</v>
      </c>
      <c r="C298" s="0" t="s">
        <v>42</v>
      </c>
      <c r="D298" s="0" t="n">
        <v>8070394210</v>
      </c>
      <c r="E298" s="0" t="s">
        <v>43</v>
      </c>
      <c r="F298" s="0" t="s">
        <v>2315</v>
      </c>
      <c r="G298" s="0" t="s">
        <v>846</v>
      </c>
      <c r="H298" s="0" t="s">
        <v>107</v>
      </c>
      <c r="I298" s="3" t="s">
        <v>2325</v>
      </c>
      <c r="J298" s="0" t="s">
        <v>2347</v>
      </c>
      <c r="K298" s="0" t="s">
        <v>109</v>
      </c>
      <c r="L298" s="4" t="n">
        <v>29895</v>
      </c>
      <c r="M298" s="0" t="s">
        <v>49</v>
      </c>
      <c r="N298" s="0" t="s">
        <v>63</v>
      </c>
      <c r="O298" s="5" t="n">
        <v>4</v>
      </c>
      <c r="P298" s="0" t="n">
        <v>3.7</v>
      </c>
      <c r="Q298" s="0" t="s">
        <v>111</v>
      </c>
      <c r="R298" s="0" t="s">
        <v>52</v>
      </c>
      <c r="S298" s="0" t="s">
        <v>2340</v>
      </c>
      <c r="T298" s="0" t="s">
        <v>147</v>
      </c>
      <c r="U298" s="5" t="n">
        <v>45</v>
      </c>
      <c r="V298" s="0" t="s">
        <v>112</v>
      </c>
      <c r="W298" s="0" t="s">
        <v>155</v>
      </c>
      <c r="X298" s="0" t="s">
        <v>78</v>
      </c>
      <c r="Y298" s="0" t="s">
        <v>58</v>
      </c>
      <c r="Z298" s="0" t="s">
        <v>2324</v>
      </c>
      <c r="AA298" s="0" t="s">
        <v>79</v>
      </c>
      <c r="AB298" s="5" t="n">
        <v>20000</v>
      </c>
      <c r="AC298" s="5" t="n">
        <v>30000</v>
      </c>
      <c r="AD298" s="0" t="s">
        <v>63</v>
      </c>
      <c r="AE298" s="5" t="n">
        <v>5000</v>
      </c>
      <c r="AF298" s="0" t="s">
        <v>60</v>
      </c>
      <c r="AG298" s="7" t="s">
        <v>2330</v>
      </c>
      <c r="AH298" s="0" t="s">
        <v>63</v>
      </c>
      <c r="AI298" s="0" t="s">
        <v>116</v>
      </c>
      <c r="AJ298" s="0" t="s">
        <v>2331</v>
      </c>
      <c r="AK298" s="0" t="s">
        <v>50</v>
      </c>
      <c r="AL298" s="0" t="s">
        <v>50</v>
      </c>
      <c r="AM298" s="0" t="s">
        <v>2344</v>
      </c>
      <c r="AN298" s="0" t="s">
        <v>2321</v>
      </c>
      <c r="AO298" s="0" t="s">
        <v>63</v>
      </c>
    </row>
    <row r="299" customFormat="false" ht="15" hidden="false" customHeight="false" outlineLevel="0" collapsed="false">
      <c r="A299" s="0" t="s">
        <v>847</v>
      </c>
      <c r="B299" s="2" t="s">
        <v>2422</v>
      </c>
      <c r="C299" s="0" t="s">
        <v>121</v>
      </c>
      <c r="D299" s="0" t="n">
        <v>8084953463</v>
      </c>
      <c r="E299" s="0" t="s">
        <v>43</v>
      </c>
      <c r="F299" s="0" t="s">
        <v>2315</v>
      </c>
      <c r="G299" s="0" t="s">
        <v>848</v>
      </c>
      <c r="H299" s="0" t="s">
        <v>87</v>
      </c>
      <c r="I299" s="3" t="s">
        <v>2322</v>
      </c>
      <c r="J299" s="0" t="s">
        <v>2341</v>
      </c>
      <c r="K299" s="0" t="s">
        <v>90</v>
      </c>
      <c r="L299" s="4" t="n">
        <v>25146</v>
      </c>
      <c r="M299" s="0" t="s">
        <v>49</v>
      </c>
      <c r="N299" s="0" t="s">
        <v>63</v>
      </c>
      <c r="O299" s="5" t="n">
        <v>3</v>
      </c>
      <c r="P299" s="0" t="n">
        <v>3.8</v>
      </c>
      <c r="Q299" s="0" t="s">
        <v>111</v>
      </c>
      <c r="R299" s="0" t="s">
        <v>73</v>
      </c>
      <c r="S299" s="0" t="s">
        <v>2366</v>
      </c>
      <c r="T299" s="0" t="s">
        <v>54</v>
      </c>
      <c r="U299" s="5" t="n">
        <v>60</v>
      </c>
      <c r="V299" s="0" t="s">
        <v>96</v>
      </c>
      <c r="W299" s="0" t="s">
        <v>148</v>
      </c>
      <c r="X299" s="0" t="s">
        <v>128</v>
      </c>
      <c r="Y299" s="0" t="s">
        <v>58</v>
      </c>
      <c r="Z299" s="0" t="s">
        <v>2329</v>
      </c>
      <c r="AA299" s="0" t="s">
        <v>149</v>
      </c>
      <c r="AB299" s="5" t="n">
        <v>20000</v>
      </c>
      <c r="AC299" s="5" t="n">
        <v>20000</v>
      </c>
      <c r="AD299" s="0" t="s">
        <v>63</v>
      </c>
      <c r="AE299" s="5" t="n">
        <v>0</v>
      </c>
      <c r="AF299" s="0" t="s">
        <v>184</v>
      </c>
      <c r="AG299" s="7" t="s">
        <v>2387</v>
      </c>
      <c r="AH299" s="0" t="s">
        <v>2329</v>
      </c>
      <c r="AI299" s="0" t="s">
        <v>2331</v>
      </c>
      <c r="AJ299" s="0" t="s">
        <v>2331</v>
      </c>
      <c r="AK299" s="0" t="s">
        <v>50</v>
      </c>
      <c r="AL299" s="0" t="s">
        <v>63</v>
      </c>
      <c r="AM299" s="0" t="s">
        <v>2344</v>
      </c>
      <c r="AN299" s="0" t="s">
        <v>64</v>
      </c>
      <c r="AO299" s="0" t="s">
        <v>2359</v>
      </c>
    </row>
    <row r="300" customFormat="false" ht="15" hidden="false" customHeight="false" outlineLevel="0" collapsed="false">
      <c r="A300" s="0" t="s">
        <v>849</v>
      </c>
      <c r="B300" s="2" t="s">
        <v>248</v>
      </c>
      <c r="C300" s="0" t="s">
        <v>163</v>
      </c>
      <c r="D300" s="0" t="n">
        <v>8014040500</v>
      </c>
      <c r="E300" s="0" t="s">
        <v>43</v>
      </c>
      <c r="F300" s="0" t="s">
        <v>2315</v>
      </c>
      <c r="G300" s="0" t="s">
        <v>850</v>
      </c>
      <c r="H300" s="0" t="s">
        <v>87</v>
      </c>
      <c r="I300" s="3" t="s">
        <v>2325</v>
      </c>
      <c r="J300" s="0" t="s">
        <v>189</v>
      </c>
      <c r="K300" s="0" t="s">
        <v>71</v>
      </c>
      <c r="L300" s="4" t="n">
        <v>37164</v>
      </c>
      <c r="M300" s="0" t="s">
        <v>110</v>
      </c>
      <c r="N300" s="0" t="s">
        <v>50</v>
      </c>
      <c r="O300" s="5" t="n">
        <v>1</v>
      </c>
      <c r="P300" s="0" t="n">
        <v>3.4</v>
      </c>
      <c r="Q300" s="0" t="s">
        <v>51</v>
      </c>
      <c r="R300" s="0" t="s">
        <v>93</v>
      </c>
      <c r="S300" s="0" t="s">
        <v>2366</v>
      </c>
      <c r="T300" s="0" t="s">
        <v>95</v>
      </c>
      <c r="U300" s="5" t="n">
        <v>30</v>
      </c>
      <c r="V300" s="0" t="s">
        <v>2336</v>
      </c>
      <c r="W300" s="0" t="s">
        <v>148</v>
      </c>
      <c r="X300" s="0" t="s">
        <v>128</v>
      </c>
      <c r="Y300" s="0" t="s">
        <v>114</v>
      </c>
      <c r="Z300" s="0" t="s">
        <v>2329</v>
      </c>
      <c r="AA300" s="0" t="s">
        <v>161</v>
      </c>
      <c r="AB300" s="5" t="n">
        <v>15000</v>
      </c>
      <c r="AC300" s="5" t="n">
        <v>35000</v>
      </c>
      <c r="AD300" s="0" t="s">
        <v>50</v>
      </c>
      <c r="AE300" s="5" t="n">
        <v>0</v>
      </c>
      <c r="AF300" s="0" t="s">
        <v>130</v>
      </c>
      <c r="AG300" s="7" t="s">
        <v>513</v>
      </c>
      <c r="AH300" s="0" t="s">
        <v>50</v>
      </c>
      <c r="AI300" s="0" t="s">
        <v>116</v>
      </c>
      <c r="AJ300" s="0" t="s">
        <v>117</v>
      </c>
      <c r="AK300" s="0" t="s">
        <v>50</v>
      </c>
      <c r="AL300" s="0" t="s">
        <v>2344</v>
      </c>
      <c r="AM300" s="0" t="s">
        <v>63</v>
      </c>
      <c r="AN300" s="0" t="s">
        <v>2318</v>
      </c>
      <c r="AO300" s="0" t="s">
        <v>50</v>
      </c>
    </row>
    <row r="301" customFormat="false" ht="15" hidden="false" customHeight="false" outlineLevel="0" collapsed="false">
      <c r="A301" s="0" t="s">
        <v>851</v>
      </c>
      <c r="B301" s="2" t="s">
        <v>2390</v>
      </c>
      <c r="C301" s="0" t="s">
        <v>66</v>
      </c>
      <c r="D301" s="0" t="n">
        <v>8060291405</v>
      </c>
      <c r="E301" s="0" t="s">
        <v>67</v>
      </c>
      <c r="F301" s="0" t="s">
        <v>2316</v>
      </c>
      <c r="G301" s="0" t="s">
        <v>852</v>
      </c>
      <c r="H301" s="0" t="s">
        <v>45</v>
      </c>
      <c r="I301" s="3" t="s">
        <v>2322</v>
      </c>
      <c r="J301" s="0" t="s">
        <v>2349</v>
      </c>
      <c r="K301" s="0" t="s">
        <v>48</v>
      </c>
      <c r="L301" s="4" t="n">
        <v>30631</v>
      </c>
      <c r="M301" s="0" t="s">
        <v>49</v>
      </c>
      <c r="N301" s="0" t="s">
        <v>50</v>
      </c>
      <c r="O301" s="5" t="n">
        <v>4</v>
      </c>
      <c r="P301" s="0" t="n">
        <v>3.9</v>
      </c>
      <c r="Q301" s="0" t="s">
        <v>125</v>
      </c>
      <c r="R301" s="0" t="s">
        <v>73</v>
      </c>
      <c r="S301" s="0" t="s">
        <v>2366</v>
      </c>
      <c r="T301" s="0" t="s">
        <v>2343</v>
      </c>
      <c r="U301" s="5" t="n">
        <v>45</v>
      </c>
      <c r="V301" s="0" t="s">
        <v>2336</v>
      </c>
      <c r="W301" s="0" t="s">
        <v>155</v>
      </c>
      <c r="X301" s="0" t="s">
        <v>128</v>
      </c>
      <c r="Y301" s="0" t="s">
        <v>196</v>
      </c>
      <c r="Z301" s="0" t="s">
        <v>2329</v>
      </c>
      <c r="AA301" s="0" t="s">
        <v>149</v>
      </c>
      <c r="AB301" s="5" t="n">
        <v>25000</v>
      </c>
      <c r="AC301" s="5" t="n">
        <v>35000</v>
      </c>
      <c r="AD301" s="0" t="s">
        <v>50</v>
      </c>
      <c r="AE301" s="5" t="n">
        <v>5000</v>
      </c>
      <c r="AF301" s="0" t="s">
        <v>60</v>
      </c>
      <c r="AG301" s="7" t="s">
        <v>853</v>
      </c>
      <c r="AH301" s="0" t="s">
        <v>63</v>
      </c>
      <c r="AI301" s="0" t="s">
        <v>2331</v>
      </c>
      <c r="AJ301" s="0" t="s">
        <v>172</v>
      </c>
      <c r="AK301" s="0" t="s">
        <v>63</v>
      </c>
      <c r="AL301" s="0" t="s">
        <v>63</v>
      </c>
      <c r="AM301" s="0" t="s">
        <v>63</v>
      </c>
      <c r="AN301" s="0" t="s">
        <v>2318</v>
      </c>
      <c r="AO301" s="0" t="s">
        <v>50</v>
      </c>
    </row>
    <row r="302" customFormat="false" ht="15" hidden="false" customHeight="false" outlineLevel="0" collapsed="false">
      <c r="A302" s="0" t="s">
        <v>854</v>
      </c>
      <c r="B302" s="2" t="s">
        <v>1774</v>
      </c>
      <c r="C302" s="0" t="s">
        <v>121</v>
      </c>
      <c r="D302" s="0" t="n">
        <v>8028649583</v>
      </c>
      <c r="E302" s="0" t="s">
        <v>67</v>
      </c>
      <c r="F302" s="0" t="s">
        <v>2316</v>
      </c>
      <c r="G302" s="0" t="s">
        <v>855</v>
      </c>
      <c r="H302" s="0" t="s">
        <v>45</v>
      </c>
      <c r="I302" s="3" t="s">
        <v>2342</v>
      </c>
      <c r="J302" s="0" t="s">
        <v>2349</v>
      </c>
      <c r="K302" s="0" t="s">
        <v>71</v>
      </c>
      <c r="L302" s="4" t="n">
        <v>25476</v>
      </c>
      <c r="M302" s="0" t="s">
        <v>49</v>
      </c>
      <c r="N302" s="0" t="s">
        <v>50</v>
      </c>
      <c r="O302" s="5" t="n">
        <v>4</v>
      </c>
      <c r="P302" s="0" t="n">
        <v>3.7</v>
      </c>
      <c r="Q302" s="0" t="s">
        <v>2334</v>
      </c>
      <c r="R302" s="0" t="s">
        <v>52</v>
      </c>
      <c r="S302" s="0" t="s">
        <v>2340</v>
      </c>
      <c r="T302" s="0" t="s">
        <v>2343</v>
      </c>
      <c r="U302" s="5" t="n">
        <v>60</v>
      </c>
      <c r="V302" s="0" t="s">
        <v>112</v>
      </c>
      <c r="W302" s="0" t="s">
        <v>2337</v>
      </c>
      <c r="X302" s="0" t="s">
        <v>98</v>
      </c>
      <c r="Y302" s="0" t="s">
        <v>114</v>
      </c>
      <c r="Z302" s="0" t="s">
        <v>2326</v>
      </c>
      <c r="AA302" s="0" t="s">
        <v>161</v>
      </c>
      <c r="AB302" s="5" t="n">
        <v>15000</v>
      </c>
      <c r="AC302" s="5" t="n">
        <v>35000</v>
      </c>
      <c r="AD302" s="0" t="s">
        <v>50</v>
      </c>
      <c r="AE302" s="5" t="n">
        <v>5000</v>
      </c>
      <c r="AF302" s="0" t="s">
        <v>60</v>
      </c>
      <c r="AG302" s="7" t="s">
        <v>2345</v>
      </c>
      <c r="AH302" s="0" t="s">
        <v>50</v>
      </c>
      <c r="AI302" s="0" t="s">
        <v>116</v>
      </c>
      <c r="AJ302" s="0" t="s">
        <v>172</v>
      </c>
      <c r="AK302" s="0" t="s">
        <v>50</v>
      </c>
      <c r="AL302" s="0" t="s">
        <v>2344</v>
      </c>
      <c r="AM302" s="0" t="s">
        <v>2344</v>
      </c>
      <c r="AN302" s="0" t="s">
        <v>2321</v>
      </c>
      <c r="AO302" s="0" t="s">
        <v>50</v>
      </c>
    </row>
    <row r="303" customFormat="false" ht="15" hidden="false" customHeight="false" outlineLevel="0" collapsed="false">
      <c r="A303" s="0" t="s">
        <v>856</v>
      </c>
      <c r="B303" s="2" t="s">
        <v>2422</v>
      </c>
      <c r="C303" s="0" t="s">
        <v>121</v>
      </c>
      <c r="D303" s="0" t="n">
        <v>8087511871</v>
      </c>
      <c r="E303" s="0" t="s">
        <v>43</v>
      </c>
      <c r="F303" s="0" t="s">
        <v>2315</v>
      </c>
      <c r="G303" s="0" t="s">
        <v>857</v>
      </c>
      <c r="H303" s="0" t="s">
        <v>107</v>
      </c>
      <c r="I303" s="3" t="s">
        <v>2322</v>
      </c>
      <c r="J303" s="0" t="s">
        <v>47</v>
      </c>
      <c r="K303" s="0" t="s">
        <v>48</v>
      </c>
      <c r="L303" s="4" t="n">
        <v>100018</v>
      </c>
      <c r="M303" s="0" t="s">
        <v>110</v>
      </c>
      <c r="N303" s="0" t="s">
        <v>63</v>
      </c>
      <c r="O303" s="5" t="n">
        <v>2</v>
      </c>
      <c r="P303" s="0" t="n">
        <v>2.2</v>
      </c>
      <c r="Q303" s="0" t="s">
        <v>111</v>
      </c>
      <c r="R303" s="0" t="s">
        <v>52</v>
      </c>
      <c r="S303" s="0" t="s">
        <v>53</v>
      </c>
      <c r="T303" s="0" t="s">
        <v>2353</v>
      </c>
      <c r="U303" s="5" t="n">
        <v>35.6470588235294</v>
      </c>
      <c r="V303" s="0" t="s">
        <v>96</v>
      </c>
      <c r="W303" s="0" t="s">
        <v>2328</v>
      </c>
      <c r="X303" s="0" t="s">
        <v>128</v>
      </c>
      <c r="Y303" s="0" t="s">
        <v>196</v>
      </c>
      <c r="Z303" s="0" t="s">
        <v>177</v>
      </c>
      <c r="AA303" s="0" t="s">
        <v>161</v>
      </c>
      <c r="AB303" s="5" t="n">
        <v>30000</v>
      </c>
      <c r="AC303" s="5" t="n">
        <v>31407.5993091537</v>
      </c>
      <c r="AD303" s="0" t="s">
        <v>50</v>
      </c>
      <c r="AE303" s="5" t="n">
        <v>0</v>
      </c>
      <c r="AF303" s="0" t="s">
        <v>2338</v>
      </c>
      <c r="AG303" s="7" t="s">
        <v>2404</v>
      </c>
      <c r="AH303" s="0" t="s">
        <v>50</v>
      </c>
      <c r="AI303" s="0" t="s">
        <v>2331</v>
      </c>
      <c r="AJ303" s="0" t="s">
        <v>2331</v>
      </c>
      <c r="AK303" s="0" t="s">
        <v>63</v>
      </c>
      <c r="AL303" s="0" t="s">
        <v>2344</v>
      </c>
      <c r="AM303" s="0" t="s">
        <v>63</v>
      </c>
      <c r="AN303" s="0" t="s">
        <v>2318</v>
      </c>
      <c r="AO303" s="0" t="s">
        <v>2359</v>
      </c>
    </row>
    <row r="304" customFormat="false" ht="15" hidden="false" customHeight="false" outlineLevel="0" collapsed="false">
      <c r="A304" s="0" t="s">
        <v>858</v>
      </c>
      <c r="B304" s="2" t="s">
        <v>2362</v>
      </c>
      <c r="C304" s="0" t="s">
        <v>42</v>
      </c>
      <c r="D304" s="0" t="n">
        <v>8027226260</v>
      </c>
      <c r="E304" s="0" t="s">
        <v>122</v>
      </c>
      <c r="F304" s="0" t="s">
        <v>2316</v>
      </c>
      <c r="G304" s="0" t="s">
        <v>859</v>
      </c>
      <c r="H304" s="0" t="s">
        <v>87</v>
      </c>
      <c r="I304" s="3" t="s">
        <v>2317</v>
      </c>
      <c r="J304" s="0" t="s">
        <v>2347</v>
      </c>
      <c r="K304" s="0" t="s">
        <v>90</v>
      </c>
      <c r="L304" s="4" t="n">
        <v>101803</v>
      </c>
      <c r="M304" s="0" t="s">
        <v>49</v>
      </c>
      <c r="N304" s="0" t="s">
        <v>63</v>
      </c>
      <c r="O304" s="5" t="n">
        <v>4</v>
      </c>
      <c r="P304" s="0" t="n">
        <v>5.7</v>
      </c>
      <c r="Q304" s="0" t="s">
        <v>2334</v>
      </c>
      <c r="R304" s="0" t="s">
        <v>93</v>
      </c>
      <c r="S304" s="0" t="s">
        <v>2335</v>
      </c>
      <c r="T304" s="0" t="s">
        <v>2343</v>
      </c>
      <c r="U304" s="5" t="n">
        <v>60</v>
      </c>
      <c r="V304" s="0" t="s">
        <v>2336</v>
      </c>
      <c r="W304" s="0" t="s">
        <v>155</v>
      </c>
      <c r="X304" s="0" t="s">
        <v>78</v>
      </c>
      <c r="Y304" s="0" t="s">
        <v>99</v>
      </c>
      <c r="Z304" s="0" t="s">
        <v>177</v>
      </c>
      <c r="AA304" s="0" t="s">
        <v>79</v>
      </c>
      <c r="AB304" s="5" t="n">
        <v>30000</v>
      </c>
      <c r="AC304" s="5" t="n">
        <v>30000</v>
      </c>
      <c r="AD304" s="0" t="s">
        <v>63</v>
      </c>
      <c r="AE304" s="5" t="n">
        <v>5000</v>
      </c>
      <c r="AF304" s="0" t="s">
        <v>2338</v>
      </c>
      <c r="AG304" s="7" t="s">
        <v>860</v>
      </c>
      <c r="AH304" s="0" t="s">
        <v>2329</v>
      </c>
      <c r="AI304" s="0" t="s">
        <v>2331</v>
      </c>
      <c r="AJ304" s="0" t="s">
        <v>172</v>
      </c>
      <c r="AK304" s="0" t="s">
        <v>50</v>
      </c>
      <c r="AL304" s="0" t="s">
        <v>2344</v>
      </c>
      <c r="AM304" s="0" t="s">
        <v>63</v>
      </c>
      <c r="AN304" s="0" t="s">
        <v>64</v>
      </c>
      <c r="AO304" s="0" t="s">
        <v>63</v>
      </c>
    </row>
    <row r="305" customFormat="false" ht="15" hidden="false" customHeight="false" outlineLevel="0" collapsed="false">
      <c r="A305" s="0" t="s">
        <v>861</v>
      </c>
      <c r="B305" s="2" t="s">
        <v>2402</v>
      </c>
      <c r="C305" s="0" t="s">
        <v>105</v>
      </c>
      <c r="D305" s="0" t="n">
        <v>8051013170</v>
      </c>
      <c r="E305" s="0" t="s">
        <v>122</v>
      </c>
      <c r="F305" s="0" t="s">
        <v>2316</v>
      </c>
      <c r="G305" s="0" t="s">
        <v>862</v>
      </c>
      <c r="H305" s="0" t="s">
        <v>134</v>
      </c>
      <c r="I305" s="3" t="s">
        <v>87</v>
      </c>
      <c r="J305" s="0" t="s">
        <v>2339</v>
      </c>
      <c r="K305" s="0" t="s">
        <v>71</v>
      </c>
      <c r="L305" s="4" t="n">
        <v>70338</v>
      </c>
      <c r="M305" s="0" t="s">
        <v>49</v>
      </c>
      <c r="N305" s="0" t="s">
        <v>63</v>
      </c>
      <c r="O305" s="5" t="n">
        <v>5</v>
      </c>
      <c r="P305" s="0" t="n">
        <v>4.5</v>
      </c>
      <c r="Q305" s="0" t="s">
        <v>125</v>
      </c>
      <c r="R305" s="0" t="s">
        <v>73</v>
      </c>
      <c r="S305" s="0" t="s">
        <v>2335</v>
      </c>
      <c r="T305" s="0" t="s">
        <v>75</v>
      </c>
      <c r="U305" s="5" t="n">
        <v>45</v>
      </c>
      <c r="V305" s="0" t="s">
        <v>2336</v>
      </c>
      <c r="W305" s="0" t="s">
        <v>148</v>
      </c>
      <c r="X305" s="0" t="s">
        <v>78</v>
      </c>
      <c r="Y305" s="0" t="s">
        <v>99</v>
      </c>
      <c r="Z305" s="0" t="s">
        <v>59</v>
      </c>
      <c r="AA305" s="0" t="s">
        <v>149</v>
      </c>
      <c r="AB305" s="5" t="n">
        <v>20000</v>
      </c>
      <c r="AC305" s="5" t="n">
        <v>31410.0346020761</v>
      </c>
      <c r="AD305" s="0" t="s">
        <v>50</v>
      </c>
      <c r="AE305" s="5" t="n">
        <v>10000</v>
      </c>
      <c r="AF305" s="0" t="s">
        <v>60</v>
      </c>
      <c r="AG305" s="7" t="s">
        <v>645</v>
      </c>
      <c r="AH305" s="0" t="s">
        <v>63</v>
      </c>
      <c r="AI305" s="0" t="s">
        <v>2331</v>
      </c>
      <c r="AJ305" s="0" t="s">
        <v>2320</v>
      </c>
      <c r="AK305" s="0" t="s">
        <v>63</v>
      </c>
      <c r="AL305" s="0" t="s">
        <v>50</v>
      </c>
      <c r="AM305" s="0" t="s">
        <v>63</v>
      </c>
      <c r="AN305" s="0" t="s">
        <v>2321</v>
      </c>
      <c r="AO305" s="0" t="s">
        <v>50</v>
      </c>
    </row>
    <row r="306" customFormat="false" ht="15" hidden="false" customHeight="false" outlineLevel="0" collapsed="false">
      <c r="A306" s="0" t="s">
        <v>863</v>
      </c>
      <c r="B306" s="2" t="s">
        <v>2474</v>
      </c>
      <c r="C306" s="0" t="s">
        <v>66</v>
      </c>
      <c r="D306" s="0" t="n">
        <v>8011299382</v>
      </c>
      <c r="E306" s="0" t="s">
        <v>139</v>
      </c>
      <c r="F306" s="0" t="s">
        <v>2323</v>
      </c>
      <c r="G306" s="0" t="s">
        <v>864</v>
      </c>
      <c r="H306" s="0" t="s">
        <v>107</v>
      </c>
      <c r="I306" s="3" t="s">
        <v>2325</v>
      </c>
      <c r="J306" s="0" t="s">
        <v>2347</v>
      </c>
      <c r="K306" s="0" t="s">
        <v>109</v>
      </c>
      <c r="L306" s="4" t="n">
        <v>63754</v>
      </c>
      <c r="M306" s="0" t="s">
        <v>2333</v>
      </c>
      <c r="N306" s="0" t="s">
        <v>50</v>
      </c>
      <c r="O306" s="5" t="n">
        <v>5</v>
      </c>
      <c r="P306" s="0" t="n">
        <v>1.8</v>
      </c>
      <c r="Q306" s="0" t="s">
        <v>125</v>
      </c>
      <c r="R306" s="0" t="s">
        <v>93</v>
      </c>
      <c r="S306" s="0" t="s">
        <v>53</v>
      </c>
      <c r="T306" s="0" t="s">
        <v>54</v>
      </c>
      <c r="U306" s="5" t="n">
        <v>30</v>
      </c>
      <c r="V306" s="0" t="s">
        <v>96</v>
      </c>
      <c r="W306" s="0" t="s">
        <v>2337</v>
      </c>
      <c r="X306" s="0" t="s">
        <v>128</v>
      </c>
      <c r="Y306" s="0" t="s">
        <v>58</v>
      </c>
      <c r="Z306" s="0" t="s">
        <v>59</v>
      </c>
      <c r="AA306" s="0" t="s">
        <v>161</v>
      </c>
      <c r="AB306" s="5" t="n">
        <v>20000</v>
      </c>
      <c r="AC306" s="5" t="n">
        <v>31410.0346020761</v>
      </c>
      <c r="AD306" s="0" t="s">
        <v>50</v>
      </c>
      <c r="AE306" s="5" t="n">
        <v>10000</v>
      </c>
      <c r="AF306" s="0" t="s">
        <v>2338</v>
      </c>
      <c r="AG306" s="7" t="s">
        <v>2330</v>
      </c>
      <c r="AH306" s="0" t="s">
        <v>50</v>
      </c>
      <c r="AI306" s="0" t="s">
        <v>171</v>
      </c>
      <c r="AJ306" s="0" t="s">
        <v>117</v>
      </c>
      <c r="AK306" s="0" t="s">
        <v>50</v>
      </c>
      <c r="AL306" s="0" t="s">
        <v>63</v>
      </c>
      <c r="AM306" s="0" t="s">
        <v>63</v>
      </c>
      <c r="AN306" s="0" t="s">
        <v>2321</v>
      </c>
      <c r="AO306" s="0" t="s">
        <v>50</v>
      </c>
    </row>
    <row r="307" customFormat="false" ht="15" hidden="false" customHeight="false" outlineLevel="0" collapsed="false">
      <c r="A307" s="0" t="s">
        <v>865</v>
      </c>
      <c r="B307" s="2" t="s">
        <v>2457</v>
      </c>
      <c r="C307" s="0" t="s">
        <v>105</v>
      </c>
      <c r="D307" s="0" t="n">
        <v>8077082048</v>
      </c>
      <c r="E307" s="0" t="s">
        <v>67</v>
      </c>
      <c r="F307" s="0" t="s">
        <v>2316</v>
      </c>
      <c r="G307" s="0" t="s">
        <v>866</v>
      </c>
      <c r="H307" s="0" t="s">
        <v>107</v>
      </c>
      <c r="I307" s="3" t="s">
        <v>2322</v>
      </c>
      <c r="J307" s="0" t="s">
        <v>2341</v>
      </c>
      <c r="K307" s="0" t="s">
        <v>90</v>
      </c>
      <c r="L307" s="4" t="n">
        <v>71152</v>
      </c>
      <c r="M307" s="0" t="s">
        <v>49</v>
      </c>
      <c r="N307" s="0" t="s">
        <v>63</v>
      </c>
      <c r="O307" s="5" t="n">
        <v>3</v>
      </c>
      <c r="P307" s="0" t="n">
        <v>4.5</v>
      </c>
      <c r="Q307" s="0" t="s">
        <v>92</v>
      </c>
      <c r="R307" s="0" t="s">
        <v>93</v>
      </c>
      <c r="S307" s="0" t="s">
        <v>2366</v>
      </c>
      <c r="T307" s="0" t="s">
        <v>2343</v>
      </c>
      <c r="U307" s="5" t="n">
        <v>60</v>
      </c>
      <c r="V307" s="0" t="s">
        <v>112</v>
      </c>
      <c r="W307" s="0" t="s">
        <v>148</v>
      </c>
      <c r="X307" s="0" t="s">
        <v>98</v>
      </c>
      <c r="Y307" s="0" t="s">
        <v>58</v>
      </c>
      <c r="Z307" s="0" t="s">
        <v>2324</v>
      </c>
      <c r="AA307" s="0" t="s">
        <v>79</v>
      </c>
      <c r="AB307" s="5" t="n">
        <v>15000</v>
      </c>
      <c r="AC307" s="5" t="n">
        <v>30000</v>
      </c>
      <c r="AD307" s="0" t="s">
        <v>50</v>
      </c>
      <c r="AE307" s="5" t="n">
        <v>0</v>
      </c>
      <c r="AF307" s="0" t="s">
        <v>130</v>
      </c>
      <c r="AG307" s="7" t="s">
        <v>732</v>
      </c>
      <c r="AH307" s="0" t="s">
        <v>63</v>
      </c>
      <c r="AI307" s="0" t="s">
        <v>2331</v>
      </c>
      <c r="AJ307" s="0" t="s">
        <v>2320</v>
      </c>
      <c r="AK307" s="0" t="s">
        <v>63</v>
      </c>
      <c r="AL307" s="0" t="s">
        <v>63</v>
      </c>
      <c r="AM307" s="0" t="s">
        <v>2344</v>
      </c>
      <c r="AN307" s="0" t="s">
        <v>2318</v>
      </c>
      <c r="AO307" s="0" t="s">
        <v>63</v>
      </c>
    </row>
    <row r="308" customFormat="false" ht="15" hidden="false" customHeight="false" outlineLevel="0" collapsed="false">
      <c r="A308" s="0" t="s">
        <v>867</v>
      </c>
      <c r="B308" s="2" t="s">
        <v>2434</v>
      </c>
      <c r="C308" s="0" t="s">
        <v>121</v>
      </c>
      <c r="D308" s="0" t="n">
        <v>8098429098</v>
      </c>
      <c r="E308" s="0" t="s">
        <v>139</v>
      </c>
      <c r="F308" s="0" t="s">
        <v>2323</v>
      </c>
      <c r="G308" s="0" t="s">
        <v>868</v>
      </c>
      <c r="H308" s="0" t="s">
        <v>45</v>
      </c>
      <c r="I308" s="3" t="s">
        <v>2317</v>
      </c>
      <c r="J308" s="0" t="s">
        <v>2349</v>
      </c>
      <c r="K308" s="0" t="s">
        <v>48</v>
      </c>
      <c r="L308" s="4" t="n">
        <v>108652</v>
      </c>
      <c r="M308" s="0" t="s">
        <v>110</v>
      </c>
      <c r="N308" s="0" t="s">
        <v>63</v>
      </c>
      <c r="O308" s="5" t="n">
        <v>3</v>
      </c>
      <c r="P308" s="0" t="n">
        <v>3.7</v>
      </c>
      <c r="Q308" s="0" t="s">
        <v>2334</v>
      </c>
      <c r="R308" s="0" t="s">
        <v>73</v>
      </c>
      <c r="S308" s="0" t="s">
        <v>53</v>
      </c>
      <c r="T308" s="0" t="s">
        <v>75</v>
      </c>
      <c r="U308" s="5" t="n">
        <v>60</v>
      </c>
      <c r="V308" s="0" t="s">
        <v>55</v>
      </c>
      <c r="W308" s="0" t="s">
        <v>2337</v>
      </c>
      <c r="X308" s="0" t="s">
        <v>98</v>
      </c>
      <c r="Y308" s="0" t="s">
        <v>196</v>
      </c>
      <c r="Z308" s="0" t="s">
        <v>2329</v>
      </c>
      <c r="AA308" s="0" t="s">
        <v>79</v>
      </c>
      <c r="AB308" s="5" t="n">
        <v>40000</v>
      </c>
      <c r="AC308" s="5" t="n">
        <v>31412.4783362218</v>
      </c>
      <c r="AD308" s="0" t="s">
        <v>63</v>
      </c>
      <c r="AE308" s="5" t="n">
        <v>0</v>
      </c>
      <c r="AF308" s="0" t="s">
        <v>184</v>
      </c>
      <c r="AG308" s="7" t="s">
        <v>2330</v>
      </c>
      <c r="AH308" s="0" t="s">
        <v>50</v>
      </c>
      <c r="AI308" s="0" t="s">
        <v>2331</v>
      </c>
      <c r="AJ308" s="0" t="s">
        <v>117</v>
      </c>
      <c r="AK308" s="0" t="s">
        <v>50</v>
      </c>
      <c r="AL308" s="0" t="s">
        <v>50</v>
      </c>
      <c r="AM308" s="0" t="s">
        <v>2344</v>
      </c>
      <c r="AN308" s="0" t="s">
        <v>2318</v>
      </c>
      <c r="AO308" s="0" t="s">
        <v>50</v>
      </c>
    </row>
    <row r="309" customFormat="false" ht="15" hidden="false" customHeight="false" outlineLevel="0" collapsed="false">
      <c r="A309" s="0" t="s">
        <v>870</v>
      </c>
      <c r="B309" s="2" t="s">
        <v>869</v>
      </c>
      <c r="C309" s="0" t="s">
        <v>66</v>
      </c>
      <c r="D309" s="0" t="n">
        <v>8057601987</v>
      </c>
      <c r="E309" s="0" t="s">
        <v>122</v>
      </c>
      <c r="F309" s="0" t="s">
        <v>2316</v>
      </c>
      <c r="G309" s="0" t="s">
        <v>871</v>
      </c>
      <c r="H309" s="0" t="s">
        <v>107</v>
      </c>
      <c r="I309" s="3" t="s">
        <v>2325</v>
      </c>
      <c r="J309" s="0" t="s">
        <v>2341</v>
      </c>
      <c r="K309" s="0" t="s">
        <v>90</v>
      </c>
      <c r="L309" s="4" t="n">
        <v>96531</v>
      </c>
      <c r="M309" s="0" t="s">
        <v>110</v>
      </c>
      <c r="N309" s="0" t="s">
        <v>50</v>
      </c>
      <c r="O309" s="5" t="n">
        <v>2</v>
      </c>
      <c r="P309" s="0" t="n">
        <v>3</v>
      </c>
      <c r="Q309" s="0" t="s">
        <v>111</v>
      </c>
      <c r="R309" s="0" t="s">
        <v>52</v>
      </c>
      <c r="S309" s="0" t="s">
        <v>53</v>
      </c>
      <c r="T309" s="0" t="s">
        <v>2353</v>
      </c>
      <c r="U309" s="5" t="n">
        <v>60</v>
      </c>
      <c r="V309" s="0" t="s">
        <v>96</v>
      </c>
      <c r="W309" s="0" t="s">
        <v>155</v>
      </c>
      <c r="X309" s="0" t="s">
        <v>128</v>
      </c>
      <c r="Y309" s="0" t="s">
        <v>114</v>
      </c>
      <c r="Z309" s="0" t="s">
        <v>2329</v>
      </c>
      <c r="AA309" s="0" t="s">
        <v>2329</v>
      </c>
      <c r="AB309" s="5" t="n">
        <v>20000</v>
      </c>
      <c r="AC309" s="5" t="n">
        <v>20000</v>
      </c>
      <c r="AD309" s="0" t="s">
        <v>50</v>
      </c>
      <c r="AE309" s="5" t="n">
        <v>5000</v>
      </c>
      <c r="AF309" s="0" t="s">
        <v>60</v>
      </c>
      <c r="AG309" s="7" t="s">
        <v>2330</v>
      </c>
      <c r="AH309" s="0" t="s">
        <v>63</v>
      </c>
      <c r="AI309" s="0" t="s">
        <v>2331</v>
      </c>
      <c r="AJ309" s="0" t="s">
        <v>2331</v>
      </c>
      <c r="AK309" s="0" t="s">
        <v>63</v>
      </c>
      <c r="AL309" s="0" t="s">
        <v>2344</v>
      </c>
      <c r="AM309" s="0" t="s">
        <v>63</v>
      </c>
      <c r="AN309" s="0" t="s">
        <v>2321</v>
      </c>
      <c r="AO309" s="0" t="s">
        <v>50</v>
      </c>
    </row>
    <row r="310" customFormat="false" ht="15" hidden="false" customHeight="false" outlineLevel="0" collapsed="false">
      <c r="A310" s="0" t="s">
        <v>872</v>
      </c>
      <c r="B310" s="2" t="s">
        <v>2370</v>
      </c>
      <c r="C310" s="0" t="s">
        <v>121</v>
      </c>
      <c r="D310" s="0" t="n">
        <v>8055610169</v>
      </c>
      <c r="E310" s="0" t="s">
        <v>122</v>
      </c>
      <c r="F310" s="0" t="s">
        <v>2316</v>
      </c>
      <c r="G310" s="0" t="s">
        <v>873</v>
      </c>
      <c r="H310" s="0" t="s">
        <v>107</v>
      </c>
      <c r="I310" s="3" t="s">
        <v>2325</v>
      </c>
      <c r="J310" s="0" t="s">
        <v>2347</v>
      </c>
      <c r="K310" s="0" t="s">
        <v>48</v>
      </c>
      <c r="L310" s="4" t="n">
        <v>28302</v>
      </c>
      <c r="M310" s="0" t="s">
        <v>110</v>
      </c>
      <c r="N310" s="0" t="s">
        <v>63</v>
      </c>
      <c r="O310" s="5" t="n">
        <v>3.03152364273205</v>
      </c>
      <c r="P310" s="0" t="n">
        <v>3.6</v>
      </c>
      <c r="Q310" s="0" t="s">
        <v>111</v>
      </c>
      <c r="R310" s="0" t="s">
        <v>93</v>
      </c>
      <c r="S310" s="0" t="s">
        <v>53</v>
      </c>
      <c r="T310" s="0" t="s">
        <v>147</v>
      </c>
      <c r="U310" s="5" t="n">
        <v>45</v>
      </c>
      <c r="V310" s="0" t="s">
        <v>2336</v>
      </c>
      <c r="W310" s="0" t="s">
        <v>2337</v>
      </c>
      <c r="X310" s="0" t="s">
        <v>98</v>
      </c>
      <c r="Y310" s="0" t="s">
        <v>196</v>
      </c>
      <c r="Z310" s="0" t="s">
        <v>2326</v>
      </c>
      <c r="AA310" s="0" t="s">
        <v>161</v>
      </c>
      <c r="AB310" s="5" t="n">
        <v>26947.3684210526</v>
      </c>
      <c r="AC310" s="5" t="n">
        <v>40000</v>
      </c>
      <c r="AD310" s="0" t="s">
        <v>50</v>
      </c>
      <c r="AE310" s="5" t="n">
        <v>0</v>
      </c>
      <c r="AF310" s="0" t="s">
        <v>130</v>
      </c>
      <c r="AG310" s="7" t="s">
        <v>774</v>
      </c>
      <c r="AH310" s="0" t="s">
        <v>63</v>
      </c>
      <c r="AI310" s="0" t="s">
        <v>2331</v>
      </c>
      <c r="AJ310" s="0" t="s">
        <v>2320</v>
      </c>
      <c r="AK310" s="0" t="s">
        <v>63</v>
      </c>
      <c r="AL310" s="0" t="s">
        <v>2344</v>
      </c>
      <c r="AM310" s="0" t="s">
        <v>63</v>
      </c>
      <c r="AN310" s="0" t="s">
        <v>2321</v>
      </c>
      <c r="AO310" s="0" t="s">
        <v>63</v>
      </c>
    </row>
    <row r="311" customFormat="false" ht="15" hidden="false" customHeight="false" outlineLevel="0" collapsed="false">
      <c r="A311" s="0" t="s">
        <v>874</v>
      </c>
      <c r="B311" s="2" t="s">
        <v>2451</v>
      </c>
      <c r="C311" s="0" t="s">
        <v>105</v>
      </c>
      <c r="D311" s="0" t="n">
        <v>8040264841</v>
      </c>
      <c r="E311" s="0" t="s">
        <v>67</v>
      </c>
      <c r="F311" s="0" t="s">
        <v>2316</v>
      </c>
      <c r="G311" s="0" t="s">
        <v>875</v>
      </c>
      <c r="H311" s="0" t="s">
        <v>87</v>
      </c>
      <c r="I311" s="3" t="s">
        <v>2342</v>
      </c>
      <c r="J311" s="0" t="s">
        <v>2341</v>
      </c>
      <c r="K311" s="0" t="s">
        <v>71</v>
      </c>
      <c r="L311" s="4" t="n">
        <v>17012</v>
      </c>
      <c r="M311" s="0" t="s">
        <v>49</v>
      </c>
      <c r="N311" s="0" t="s">
        <v>63</v>
      </c>
      <c r="O311" s="5" t="n">
        <v>1</v>
      </c>
      <c r="P311" s="0" t="n">
        <v>5.5</v>
      </c>
      <c r="Q311" s="0" t="s">
        <v>51</v>
      </c>
      <c r="R311" s="0" t="s">
        <v>52</v>
      </c>
      <c r="S311" s="0" t="s">
        <v>2335</v>
      </c>
      <c r="T311" s="0" t="s">
        <v>54</v>
      </c>
      <c r="U311" s="5" t="n">
        <v>15</v>
      </c>
      <c r="V311" s="0" t="s">
        <v>96</v>
      </c>
      <c r="W311" s="0" t="s">
        <v>155</v>
      </c>
      <c r="X311" s="0" t="s">
        <v>98</v>
      </c>
      <c r="Y311" s="0" t="s">
        <v>114</v>
      </c>
      <c r="Z311" s="0" t="s">
        <v>2329</v>
      </c>
      <c r="AA311" s="0" t="s">
        <v>161</v>
      </c>
      <c r="AB311" s="5" t="n">
        <v>15000</v>
      </c>
      <c r="AC311" s="5" t="n">
        <v>31417.3913043478</v>
      </c>
      <c r="AD311" s="0" t="s">
        <v>63</v>
      </c>
      <c r="AE311" s="5" t="n">
        <v>5000</v>
      </c>
      <c r="AF311" s="0" t="s">
        <v>2338</v>
      </c>
      <c r="AG311" s="7" t="s">
        <v>2330</v>
      </c>
      <c r="AH311" s="0" t="s">
        <v>50</v>
      </c>
      <c r="AI311" s="0" t="s">
        <v>2331</v>
      </c>
      <c r="AJ311" s="0" t="s">
        <v>172</v>
      </c>
      <c r="AK311" s="0" t="s">
        <v>50</v>
      </c>
      <c r="AL311" s="0" t="s">
        <v>50</v>
      </c>
      <c r="AM311" s="0" t="s">
        <v>2344</v>
      </c>
      <c r="AN311" s="0" t="s">
        <v>64</v>
      </c>
      <c r="AO311" s="0" t="s">
        <v>50</v>
      </c>
    </row>
    <row r="312" customFormat="false" ht="15" hidden="false" customHeight="false" outlineLevel="0" collapsed="false">
      <c r="A312" s="0" t="s">
        <v>876</v>
      </c>
      <c r="B312" s="2" t="s">
        <v>1883</v>
      </c>
      <c r="C312" s="0" t="s">
        <v>163</v>
      </c>
      <c r="D312" s="0" t="n">
        <v>8066257000</v>
      </c>
      <c r="E312" s="0" t="s">
        <v>85</v>
      </c>
      <c r="F312" s="0" t="s">
        <v>2319</v>
      </c>
      <c r="G312" s="0" t="s">
        <v>877</v>
      </c>
      <c r="H312" s="0" t="s">
        <v>134</v>
      </c>
      <c r="I312" s="3" t="s">
        <v>2325</v>
      </c>
      <c r="J312" s="0" t="s">
        <v>2347</v>
      </c>
      <c r="K312" s="0" t="s">
        <v>90</v>
      </c>
      <c r="L312" s="4" t="n">
        <v>25095</v>
      </c>
      <c r="M312" s="0" t="s">
        <v>49</v>
      </c>
      <c r="N312" s="0" t="s">
        <v>63</v>
      </c>
      <c r="O312" s="5" t="n">
        <v>2</v>
      </c>
      <c r="P312" s="0" t="n">
        <v>1.9</v>
      </c>
      <c r="Q312" s="0" t="s">
        <v>125</v>
      </c>
      <c r="R312" s="0" t="s">
        <v>52</v>
      </c>
      <c r="S312" s="0" t="s">
        <v>2335</v>
      </c>
      <c r="T312" s="0" t="s">
        <v>54</v>
      </c>
      <c r="U312" s="5" t="n">
        <v>39</v>
      </c>
      <c r="V312" s="0" t="s">
        <v>112</v>
      </c>
      <c r="W312" s="0" t="s">
        <v>2328</v>
      </c>
      <c r="X312" s="0" t="s">
        <v>98</v>
      </c>
      <c r="Y312" s="0" t="s">
        <v>99</v>
      </c>
      <c r="Z312" s="0" t="s">
        <v>2324</v>
      </c>
      <c r="AA312" s="0" t="s">
        <v>79</v>
      </c>
      <c r="AB312" s="5" t="n">
        <v>20000</v>
      </c>
      <c r="AC312" s="5" t="n">
        <v>30000</v>
      </c>
      <c r="AD312" s="0" t="s">
        <v>50</v>
      </c>
      <c r="AE312" s="5" t="n">
        <v>0</v>
      </c>
      <c r="AF312" s="0" t="s">
        <v>60</v>
      </c>
      <c r="AG312" s="7" t="s">
        <v>2330</v>
      </c>
      <c r="AH312" s="0" t="s">
        <v>50</v>
      </c>
      <c r="AI312" s="0" t="s">
        <v>116</v>
      </c>
      <c r="AJ312" s="0" t="s">
        <v>2331</v>
      </c>
      <c r="AK312" s="0" t="s">
        <v>50</v>
      </c>
      <c r="AL312" s="0" t="s">
        <v>50</v>
      </c>
      <c r="AM312" s="0" t="s">
        <v>63</v>
      </c>
      <c r="AN312" s="0" t="s">
        <v>64</v>
      </c>
      <c r="AO312" s="0" t="s">
        <v>50</v>
      </c>
    </row>
    <row r="313" customFormat="false" ht="15" hidden="false" customHeight="false" outlineLevel="0" collapsed="false">
      <c r="A313" s="0" t="s">
        <v>878</v>
      </c>
      <c r="B313" s="2" t="s">
        <v>458</v>
      </c>
      <c r="C313" s="0" t="s">
        <v>105</v>
      </c>
      <c r="D313" s="0" t="n">
        <v>8067139083</v>
      </c>
      <c r="E313" s="0" t="s">
        <v>43</v>
      </c>
      <c r="F313" s="0" t="s">
        <v>2315</v>
      </c>
      <c r="G313" s="0" t="s">
        <v>879</v>
      </c>
      <c r="H313" s="0" t="s">
        <v>107</v>
      </c>
      <c r="I313" s="3" t="s">
        <v>2322</v>
      </c>
      <c r="J313" s="0" t="s">
        <v>189</v>
      </c>
      <c r="K313" s="0" t="s">
        <v>109</v>
      </c>
      <c r="L313" s="4" t="n">
        <v>89408</v>
      </c>
      <c r="M313" s="0" t="s">
        <v>110</v>
      </c>
      <c r="N313" s="0" t="s">
        <v>63</v>
      </c>
      <c r="O313" s="5" t="n">
        <v>3</v>
      </c>
      <c r="P313" s="0" t="n">
        <v>2.5</v>
      </c>
      <c r="Q313" s="0" t="s">
        <v>125</v>
      </c>
      <c r="R313" s="0" t="s">
        <v>93</v>
      </c>
      <c r="S313" s="0" t="s">
        <v>2340</v>
      </c>
      <c r="T313" s="0" t="s">
        <v>54</v>
      </c>
      <c r="U313" s="5" t="n">
        <v>15</v>
      </c>
      <c r="V313" s="0" t="s">
        <v>112</v>
      </c>
      <c r="W313" s="0" t="s">
        <v>148</v>
      </c>
      <c r="X313" s="0" t="s">
        <v>128</v>
      </c>
      <c r="Y313" s="0" t="s">
        <v>114</v>
      </c>
      <c r="Z313" s="0" t="s">
        <v>177</v>
      </c>
      <c r="AA313" s="0" t="s">
        <v>79</v>
      </c>
      <c r="AB313" s="5" t="n">
        <v>25465.1162790698</v>
      </c>
      <c r="AC313" s="5" t="n">
        <v>20000</v>
      </c>
      <c r="AD313" s="0" t="s">
        <v>50</v>
      </c>
      <c r="AE313" s="5" t="n">
        <v>5000</v>
      </c>
      <c r="AF313" s="0" t="s">
        <v>130</v>
      </c>
      <c r="AG313" s="7" t="s">
        <v>880</v>
      </c>
      <c r="AH313" s="0" t="s">
        <v>50</v>
      </c>
      <c r="AI313" s="0" t="s">
        <v>2331</v>
      </c>
      <c r="AJ313" s="0" t="s">
        <v>2320</v>
      </c>
      <c r="AK313" s="0" t="s">
        <v>63</v>
      </c>
      <c r="AL313" s="0" t="s">
        <v>50</v>
      </c>
      <c r="AM313" s="0" t="s">
        <v>2344</v>
      </c>
      <c r="AN313" s="0" t="s">
        <v>2321</v>
      </c>
      <c r="AO313" s="0" t="s">
        <v>50</v>
      </c>
    </row>
    <row r="314" customFormat="false" ht="15" hidden="false" customHeight="false" outlineLevel="0" collapsed="false">
      <c r="A314" s="0" t="s">
        <v>881</v>
      </c>
      <c r="B314" s="2" t="s">
        <v>2399</v>
      </c>
      <c r="C314" s="0" t="s">
        <v>163</v>
      </c>
      <c r="D314" s="0" t="n">
        <v>8064139232</v>
      </c>
      <c r="E314" s="0" t="s">
        <v>85</v>
      </c>
      <c r="F314" s="0" t="s">
        <v>2319</v>
      </c>
      <c r="G314" s="0" t="s">
        <v>882</v>
      </c>
      <c r="H314" s="0" t="s">
        <v>69</v>
      </c>
      <c r="I314" s="3" t="s">
        <v>2317</v>
      </c>
      <c r="J314" s="0" t="s">
        <v>2347</v>
      </c>
      <c r="K314" s="0" t="s">
        <v>90</v>
      </c>
      <c r="L314" s="4" t="n">
        <v>111105</v>
      </c>
      <c r="M314" s="0" t="s">
        <v>2333</v>
      </c>
      <c r="N314" s="0" t="s">
        <v>63</v>
      </c>
      <c r="O314" s="5" t="n">
        <v>3.03697183098592</v>
      </c>
      <c r="P314" s="0" t="n">
        <v>2.4</v>
      </c>
      <c r="Q314" s="0" t="s">
        <v>51</v>
      </c>
      <c r="R314" s="0" t="s">
        <v>73</v>
      </c>
      <c r="S314" s="0" t="s">
        <v>2340</v>
      </c>
      <c r="T314" s="0" t="s">
        <v>2353</v>
      </c>
      <c r="U314" s="5" t="n">
        <v>45</v>
      </c>
      <c r="V314" s="0" t="s">
        <v>112</v>
      </c>
      <c r="W314" s="0" t="s">
        <v>2337</v>
      </c>
      <c r="X314" s="0" t="s">
        <v>128</v>
      </c>
      <c r="Y314" s="0" t="s">
        <v>99</v>
      </c>
      <c r="Z314" s="0" t="s">
        <v>177</v>
      </c>
      <c r="AA314" s="0" t="s">
        <v>143</v>
      </c>
      <c r="AB314" s="5" t="n">
        <v>15000</v>
      </c>
      <c r="AC314" s="5" t="n">
        <v>35000</v>
      </c>
      <c r="AD314" s="0" t="s">
        <v>50</v>
      </c>
      <c r="AE314" s="5" t="n">
        <v>5000</v>
      </c>
      <c r="AF314" s="0" t="s">
        <v>130</v>
      </c>
      <c r="AG314" s="7" t="s">
        <v>2330</v>
      </c>
      <c r="AH314" s="0" t="s">
        <v>50</v>
      </c>
      <c r="AI314" s="0" t="s">
        <v>2331</v>
      </c>
      <c r="AJ314" s="0" t="s">
        <v>2331</v>
      </c>
      <c r="AK314" s="0" t="s">
        <v>50</v>
      </c>
      <c r="AL314" s="0" t="s">
        <v>2344</v>
      </c>
      <c r="AM314" s="0" t="s">
        <v>63</v>
      </c>
      <c r="AN314" s="0" t="s">
        <v>2318</v>
      </c>
      <c r="AO314" s="0" t="s">
        <v>63</v>
      </c>
    </row>
    <row r="315" customFormat="false" ht="15" hidden="false" customHeight="false" outlineLevel="0" collapsed="false">
      <c r="A315" s="0" t="s">
        <v>883</v>
      </c>
      <c r="B315" s="2" t="s">
        <v>119</v>
      </c>
      <c r="C315" s="0" t="s">
        <v>66</v>
      </c>
      <c r="D315" s="0" t="n">
        <v>8082155988</v>
      </c>
      <c r="E315" s="0" t="s">
        <v>139</v>
      </c>
      <c r="F315" s="0" t="s">
        <v>2323</v>
      </c>
      <c r="G315" s="0" t="s">
        <v>884</v>
      </c>
      <c r="H315" s="0" t="s">
        <v>107</v>
      </c>
      <c r="I315" s="3" t="s">
        <v>2325</v>
      </c>
      <c r="J315" s="0" t="s">
        <v>47</v>
      </c>
      <c r="K315" s="0" t="s">
        <v>90</v>
      </c>
      <c r="L315" s="4" t="n">
        <v>107782</v>
      </c>
      <c r="M315" s="0" t="s">
        <v>110</v>
      </c>
      <c r="N315" s="0" t="s">
        <v>50</v>
      </c>
      <c r="O315" s="5" t="n">
        <v>3</v>
      </c>
      <c r="P315" s="0" t="n">
        <v>5.7</v>
      </c>
      <c r="Q315" s="0" t="s">
        <v>51</v>
      </c>
      <c r="R315" s="0" t="s">
        <v>52</v>
      </c>
      <c r="S315" s="0" t="s">
        <v>2340</v>
      </c>
      <c r="T315" s="0" t="s">
        <v>75</v>
      </c>
      <c r="U315" s="5" t="n">
        <v>30</v>
      </c>
      <c r="V315" s="0" t="s">
        <v>96</v>
      </c>
      <c r="W315" s="0" t="s">
        <v>2337</v>
      </c>
      <c r="X315" s="0" t="s">
        <v>128</v>
      </c>
      <c r="Y315" s="0" t="s">
        <v>58</v>
      </c>
      <c r="Z315" s="0" t="s">
        <v>59</v>
      </c>
      <c r="AA315" s="0" t="s">
        <v>2329</v>
      </c>
      <c r="AB315" s="5" t="n">
        <v>30000</v>
      </c>
      <c r="AC315" s="5" t="n">
        <v>30000</v>
      </c>
      <c r="AD315" s="0" t="s">
        <v>63</v>
      </c>
      <c r="AE315" s="5" t="n">
        <v>5000</v>
      </c>
      <c r="AF315" s="0" t="s">
        <v>2338</v>
      </c>
      <c r="AG315" s="7" t="s">
        <v>2330</v>
      </c>
      <c r="AH315" s="0" t="s">
        <v>63</v>
      </c>
      <c r="AI315" s="0" t="s">
        <v>2331</v>
      </c>
      <c r="AJ315" s="0" t="s">
        <v>2320</v>
      </c>
      <c r="AK315" s="0" t="s">
        <v>50</v>
      </c>
      <c r="AL315" s="0" t="s">
        <v>63</v>
      </c>
      <c r="AM315" s="0" t="s">
        <v>63</v>
      </c>
      <c r="AN315" s="0" t="s">
        <v>2321</v>
      </c>
      <c r="AO315" s="0" t="s">
        <v>50</v>
      </c>
    </row>
    <row r="316" customFormat="false" ht="15" hidden="false" customHeight="false" outlineLevel="0" collapsed="false">
      <c r="A316" s="0" t="s">
        <v>885</v>
      </c>
      <c r="B316" s="2" t="s">
        <v>299</v>
      </c>
      <c r="C316" s="0" t="s">
        <v>163</v>
      </c>
      <c r="D316" s="0" t="n">
        <v>8050216625</v>
      </c>
      <c r="E316" s="0" t="s">
        <v>122</v>
      </c>
      <c r="F316" s="0" t="s">
        <v>2316</v>
      </c>
      <c r="G316" s="0" t="s">
        <v>886</v>
      </c>
      <c r="H316" s="0" t="s">
        <v>107</v>
      </c>
      <c r="I316" s="3" t="s">
        <v>2322</v>
      </c>
      <c r="J316" s="0" t="s">
        <v>2349</v>
      </c>
      <c r="K316" s="0" t="s">
        <v>48</v>
      </c>
      <c r="L316" s="4" t="n">
        <v>98268</v>
      </c>
      <c r="M316" s="0" t="s">
        <v>49</v>
      </c>
      <c r="N316" s="0" t="s">
        <v>63</v>
      </c>
      <c r="O316" s="5" t="n">
        <v>2</v>
      </c>
      <c r="P316" s="0" t="n">
        <v>4.9</v>
      </c>
      <c r="Q316" s="0" t="s">
        <v>51</v>
      </c>
      <c r="R316" s="0" t="s">
        <v>93</v>
      </c>
      <c r="S316" s="0" t="s">
        <v>2340</v>
      </c>
      <c r="T316" s="0" t="s">
        <v>147</v>
      </c>
      <c r="U316" s="5" t="n">
        <v>45</v>
      </c>
      <c r="V316" s="0" t="s">
        <v>96</v>
      </c>
      <c r="W316" s="0" t="s">
        <v>155</v>
      </c>
      <c r="X316" s="0" t="s">
        <v>128</v>
      </c>
      <c r="Y316" s="0" t="s">
        <v>114</v>
      </c>
      <c r="Z316" s="0" t="s">
        <v>59</v>
      </c>
      <c r="AA316" s="0" t="s">
        <v>79</v>
      </c>
      <c r="AB316" s="5" t="n">
        <v>25000</v>
      </c>
      <c r="AC316" s="5" t="n">
        <v>40000</v>
      </c>
      <c r="AD316" s="0" t="s">
        <v>63</v>
      </c>
      <c r="AE316" s="5" t="n">
        <v>0</v>
      </c>
      <c r="AF316" s="0" t="s">
        <v>184</v>
      </c>
      <c r="AG316" s="7" t="s">
        <v>201</v>
      </c>
      <c r="AH316" s="0" t="s">
        <v>50</v>
      </c>
      <c r="AI316" s="0" t="s">
        <v>116</v>
      </c>
      <c r="AJ316" s="0" t="s">
        <v>2331</v>
      </c>
      <c r="AK316" s="0" t="s">
        <v>50</v>
      </c>
      <c r="AL316" s="0" t="s">
        <v>63</v>
      </c>
      <c r="AM316" s="0" t="s">
        <v>63</v>
      </c>
      <c r="AN316" s="0" t="s">
        <v>2321</v>
      </c>
      <c r="AO316" s="0" t="s">
        <v>63</v>
      </c>
    </row>
    <row r="317" customFormat="false" ht="15" hidden="false" customHeight="false" outlineLevel="0" collapsed="false">
      <c r="A317" s="0" t="s">
        <v>887</v>
      </c>
      <c r="B317" s="2" t="s">
        <v>2424</v>
      </c>
      <c r="C317" s="0" t="s">
        <v>121</v>
      </c>
      <c r="D317" s="0" t="n">
        <v>8053765651</v>
      </c>
      <c r="E317" s="0" t="s">
        <v>85</v>
      </c>
      <c r="F317" s="0" t="s">
        <v>2319</v>
      </c>
      <c r="G317" s="0" t="s">
        <v>888</v>
      </c>
      <c r="H317" s="0" t="s">
        <v>45</v>
      </c>
      <c r="I317" s="3" t="s">
        <v>2325</v>
      </c>
      <c r="J317" s="0" t="s">
        <v>189</v>
      </c>
      <c r="K317" s="0" t="s">
        <v>90</v>
      </c>
      <c r="L317" s="4" t="n">
        <v>21696</v>
      </c>
      <c r="M317" s="0" t="s">
        <v>2333</v>
      </c>
      <c r="N317" s="0" t="s">
        <v>63</v>
      </c>
      <c r="O317" s="5" t="n">
        <v>1</v>
      </c>
      <c r="P317" s="0" t="n">
        <v>2.5</v>
      </c>
      <c r="Q317" s="0" t="s">
        <v>92</v>
      </c>
      <c r="R317" s="0" t="s">
        <v>73</v>
      </c>
      <c r="S317" s="0" t="s">
        <v>2340</v>
      </c>
      <c r="T317" s="0" t="s">
        <v>95</v>
      </c>
      <c r="U317" s="5" t="n">
        <v>60</v>
      </c>
      <c r="V317" s="0" t="s">
        <v>2336</v>
      </c>
      <c r="W317" s="0" t="s">
        <v>2328</v>
      </c>
      <c r="X317" s="0" t="s">
        <v>78</v>
      </c>
      <c r="Y317" s="0" t="s">
        <v>196</v>
      </c>
      <c r="Z317" s="0" t="s">
        <v>2324</v>
      </c>
      <c r="AA317" s="0" t="s">
        <v>149</v>
      </c>
      <c r="AB317" s="5" t="n">
        <v>25000</v>
      </c>
      <c r="AC317" s="5" t="n">
        <v>35000</v>
      </c>
      <c r="AD317" s="0" t="s">
        <v>63</v>
      </c>
      <c r="AE317" s="5" t="n">
        <v>10000</v>
      </c>
      <c r="AF317" s="0" t="s">
        <v>130</v>
      </c>
      <c r="AG317" s="7" t="s">
        <v>325</v>
      </c>
      <c r="AH317" s="0" t="s">
        <v>63</v>
      </c>
      <c r="AI317" s="0" t="s">
        <v>2331</v>
      </c>
      <c r="AJ317" s="0" t="s">
        <v>2320</v>
      </c>
      <c r="AK317" s="0" t="s">
        <v>50</v>
      </c>
      <c r="AL317" s="0" t="s">
        <v>63</v>
      </c>
      <c r="AM317" s="0" t="s">
        <v>2344</v>
      </c>
      <c r="AN317" s="0" t="s">
        <v>2318</v>
      </c>
      <c r="AO317" s="0" t="s">
        <v>50</v>
      </c>
    </row>
    <row r="318" customFormat="false" ht="15" hidden="false" customHeight="false" outlineLevel="0" collapsed="false">
      <c r="A318" s="0" t="s">
        <v>889</v>
      </c>
      <c r="B318" s="2" t="s">
        <v>2475</v>
      </c>
      <c r="C318" s="0" t="s">
        <v>105</v>
      </c>
      <c r="D318" s="0" t="n">
        <v>8088779778</v>
      </c>
      <c r="E318" s="0" t="s">
        <v>43</v>
      </c>
      <c r="F318" s="0" t="s">
        <v>2315</v>
      </c>
      <c r="G318" s="0" t="s">
        <v>890</v>
      </c>
      <c r="H318" s="0" t="s">
        <v>87</v>
      </c>
      <c r="I318" s="3" t="s">
        <v>2342</v>
      </c>
      <c r="J318" s="0" t="s">
        <v>2349</v>
      </c>
      <c r="K318" s="0" t="s">
        <v>109</v>
      </c>
      <c r="L318" s="4" t="n">
        <v>25195</v>
      </c>
      <c r="M318" s="0" t="s">
        <v>2333</v>
      </c>
      <c r="N318" s="0" t="s">
        <v>63</v>
      </c>
      <c r="O318" s="5" t="n">
        <v>1</v>
      </c>
      <c r="P318" s="0" t="n">
        <v>4.8</v>
      </c>
      <c r="Q318" s="0" t="s">
        <v>51</v>
      </c>
      <c r="R318" s="0" t="s">
        <v>93</v>
      </c>
      <c r="S318" s="0" t="s">
        <v>2340</v>
      </c>
      <c r="T318" s="0" t="s">
        <v>54</v>
      </c>
      <c r="U318" s="5" t="n">
        <v>15</v>
      </c>
      <c r="V318" s="0" t="s">
        <v>112</v>
      </c>
      <c r="W318" s="0" t="s">
        <v>148</v>
      </c>
      <c r="X318" s="0" t="s">
        <v>98</v>
      </c>
      <c r="Y318" s="0" t="s">
        <v>58</v>
      </c>
      <c r="Z318" s="0" t="s">
        <v>2326</v>
      </c>
      <c r="AA318" s="0" t="s">
        <v>2329</v>
      </c>
      <c r="AB318" s="5" t="n">
        <v>20000</v>
      </c>
      <c r="AC318" s="5" t="n">
        <v>31414.762741652</v>
      </c>
      <c r="AD318" s="0" t="s">
        <v>50</v>
      </c>
      <c r="AE318" s="5" t="n">
        <v>10000</v>
      </c>
      <c r="AF318" s="0" t="s">
        <v>130</v>
      </c>
      <c r="AG318" s="7" t="s">
        <v>891</v>
      </c>
      <c r="AH318" s="0" t="s">
        <v>50</v>
      </c>
      <c r="AI318" s="0" t="s">
        <v>171</v>
      </c>
      <c r="AJ318" s="0" t="s">
        <v>2320</v>
      </c>
      <c r="AK318" s="0" t="s">
        <v>63</v>
      </c>
      <c r="AL318" s="0" t="s">
        <v>63</v>
      </c>
      <c r="AM318" s="0" t="s">
        <v>2344</v>
      </c>
      <c r="AN318" s="0" t="s">
        <v>2318</v>
      </c>
      <c r="AO318" s="0" t="s">
        <v>63</v>
      </c>
    </row>
    <row r="319" customFormat="false" ht="15" hidden="false" customHeight="false" outlineLevel="0" collapsed="false">
      <c r="A319" s="0" t="s">
        <v>892</v>
      </c>
      <c r="B319" s="2" t="s">
        <v>310</v>
      </c>
      <c r="C319" s="0" t="s">
        <v>66</v>
      </c>
      <c r="D319" s="0" t="n">
        <v>8013119198</v>
      </c>
      <c r="E319" s="0" t="s">
        <v>85</v>
      </c>
      <c r="F319" s="0" t="s">
        <v>2319</v>
      </c>
      <c r="G319" s="0" t="s">
        <v>893</v>
      </c>
      <c r="H319" s="0" t="s">
        <v>45</v>
      </c>
      <c r="I319" s="3" t="s">
        <v>87</v>
      </c>
      <c r="J319" s="0" t="s">
        <v>2349</v>
      </c>
      <c r="K319" s="0" t="s">
        <v>90</v>
      </c>
      <c r="L319" s="4" t="n">
        <v>24773</v>
      </c>
      <c r="M319" s="0" t="s">
        <v>110</v>
      </c>
      <c r="N319" s="0" t="s">
        <v>63</v>
      </c>
      <c r="O319" s="5" t="n">
        <v>2</v>
      </c>
      <c r="P319" s="0" t="n">
        <v>5.5</v>
      </c>
      <c r="Q319" s="0" t="s">
        <v>51</v>
      </c>
      <c r="R319" s="0" t="s">
        <v>73</v>
      </c>
      <c r="S319" s="0" t="s">
        <v>2335</v>
      </c>
      <c r="T319" s="0" t="s">
        <v>147</v>
      </c>
      <c r="U319" s="5" t="n">
        <v>15</v>
      </c>
      <c r="V319" s="0" t="s">
        <v>2336</v>
      </c>
      <c r="W319" s="0" t="s">
        <v>2337</v>
      </c>
      <c r="X319" s="0" t="s">
        <v>98</v>
      </c>
      <c r="Y319" s="0" t="s">
        <v>99</v>
      </c>
      <c r="Z319" s="0" t="s">
        <v>2329</v>
      </c>
      <c r="AA319" s="0" t="s">
        <v>2329</v>
      </c>
      <c r="AB319" s="5" t="n">
        <v>25000</v>
      </c>
      <c r="AC319" s="5" t="n">
        <v>40000</v>
      </c>
      <c r="AD319" s="0" t="s">
        <v>63</v>
      </c>
      <c r="AE319" s="5" t="n">
        <v>0</v>
      </c>
      <c r="AF319" s="0" t="s">
        <v>2338</v>
      </c>
      <c r="AG319" s="7" t="s">
        <v>2476</v>
      </c>
      <c r="AH319" s="0" t="s">
        <v>2329</v>
      </c>
      <c r="AI319" s="0" t="s">
        <v>116</v>
      </c>
      <c r="AJ319" s="0" t="s">
        <v>172</v>
      </c>
      <c r="AK319" s="0" t="s">
        <v>50</v>
      </c>
      <c r="AL319" s="0" t="s">
        <v>2344</v>
      </c>
      <c r="AM319" s="0" t="s">
        <v>50</v>
      </c>
      <c r="AN319" s="0" t="s">
        <v>64</v>
      </c>
      <c r="AO319" s="0" t="s">
        <v>50</v>
      </c>
    </row>
    <row r="320" customFormat="false" ht="15" hidden="false" customHeight="false" outlineLevel="0" collapsed="false">
      <c r="A320" s="0" t="s">
        <v>894</v>
      </c>
      <c r="B320" s="2" t="s">
        <v>2423</v>
      </c>
      <c r="C320" s="0" t="s">
        <v>121</v>
      </c>
      <c r="D320" s="0" t="n">
        <v>8086178952</v>
      </c>
      <c r="E320" s="0" t="s">
        <v>43</v>
      </c>
      <c r="F320" s="0" t="s">
        <v>2315</v>
      </c>
      <c r="G320" s="0" t="s">
        <v>895</v>
      </c>
      <c r="H320" s="0" t="s">
        <v>107</v>
      </c>
      <c r="I320" s="3" t="s">
        <v>2322</v>
      </c>
      <c r="J320" s="0" t="s">
        <v>2341</v>
      </c>
      <c r="K320" s="0" t="s">
        <v>48</v>
      </c>
      <c r="L320" s="4" t="n">
        <v>60145</v>
      </c>
      <c r="M320" s="0" t="s">
        <v>110</v>
      </c>
      <c r="N320" s="0" t="s">
        <v>50</v>
      </c>
      <c r="O320" s="5" t="n">
        <v>2</v>
      </c>
      <c r="P320" s="0" t="n">
        <v>4.3</v>
      </c>
      <c r="Q320" s="0" t="s">
        <v>111</v>
      </c>
      <c r="R320" s="0" t="s">
        <v>73</v>
      </c>
      <c r="S320" s="0" t="s">
        <v>2340</v>
      </c>
      <c r="T320" s="0" t="s">
        <v>2343</v>
      </c>
      <c r="U320" s="5" t="n">
        <v>36.8877551020408</v>
      </c>
      <c r="V320" s="0" t="s">
        <v>112</v>
      </c>
      <c r="W320" s="0" t="s">
        <v>155</v>
      </c>
      <c r="X320" s="0" t="s">
        <v>98</v>
      </c>
      <c r="Y320" s="0" t="s">
        <v>99</v>
      </c>
      <c r="Z320" s="0" t="s">
        <v>177</v>
      </c>
      <c r="AA320" s="0" t="s">
        <v>79</v>
      </c>
      <c r="AB320" s="5" t="n">
        <v>30000</v>
      </c>
      <c r="AC320" s="5" t="n">
        <v>31399.6478873239</v>
      </c>
      <c r="AD320" s="0" t="s">
        <v>50</v>
      </c>
      <c r="AE320" s="5" t="n">
        <v>5000</v>
      </c>
      <c r="AF320" s="0" t="s">
        <v>184</v>
      </c>
      <c r="AG320" s="7" t="s">
        <v>2477</v>
      </c>
      <c r="AH320" s="0" t="s">
        <v>63</v>
      </c>
      <c r="AI320" s="0" t="s">
        <v>116</v>
      </c>
      <c r="AJ320" s="0" t="s">
        <v>172</v>
      </c>
      <c r="AK320" s="0" t="s">
        <v>63</v>
      </c>
      <c r="AL320" s="0" t="s">
        <v>63</v>
      </c>
      <c r="AM320" s="0" t="s">
        <v>63</v>
      </c>
      <c r="AN320" s="0" t="s">
        <v>2321</v>
      </c>
      <c r="AO320" s="0" t="s">
        <v>2359</v>
      </c>
    </row>
    <row r="321" customFormat="false" ht="15" hidden="false" customHeight="false" outlineLevel="0" collapsed="false">
      <c r="A321" s="0" t="s">
        <v>896</v>
      </c>
      <c r="B321" s="2" t="s">
        <v>2416</v>
      </c>
      <c r="C321" s="0" t="s">
        <v>121</v>
      </c>
      <c r="D321" s="0" t="n">
        <v>8014323017</v>
      </c>
      <c r="E321" s="0" t="s">
        <v>85</v>
      </c>
      <c r="F321" s="0" t="s">
        <v>2319</v>
      </c>
      <c r="G321" s="0" t="s">
        <v>897</v>
      </c>
      <c r="H321" s="0" t="s">
        <v>107</v>
      </c>
      <c r="I321" s="3" t="s">
        <v>2342</v>
      </c>
      <c r="J321" s="0" t="s">
        <v>2341</v>
      </c>
      <c r="K321" s="0" t="s">
        <v>71</v>
      </c>
      <c r="L321" s="4" t="n">
        <v>62782</v>
      </c>
      <c r="M321" s="0" t="s">
        <v>110</v>
      </c>
      <c r="N321" s="0" t="s">
        <v>63</v>
      </c>
      <c r="O321" s="5" t="n">
        <v>3.04982206405694</v>
      </c>
      <c r="P321" s="0" t="n">
        <v>4.6</v>
      </c>
      <c r="Q321" s="0" t="s">
        <v>92</v>
      </c>
      <c r="R321" s="0" t="s">
        <v>93</v>
      </c>
      <c r="S321" s="0" t="s">
        <v>53</v>
      </c>
      <c r="T321" s="0" t="s">
        <v>95</v>
      </c>
      <c r="U321" s="5" t="n">
        <v>60</v>
      </c>
      <c r="V321" s="0" t="s">
        <v>2336</v>
      </c>
      <c r="W321" s="0" t="s">
        <v>155</v>
      </c>
      <c r="X321" s="0" t="s">
        <v>98</v>
      </c>
      <c r="Y321" s="0" t="s">
        <v>196</v>
      </c>
      <c r="Z321" s="0" t="s">
        <v>177</v>
      </c>
      <c r="AA321" s="0" t="s">
        <v>143</v>
      </c>
      <c r="AB321" s="5" t="n">
        <v>40000</v>
      </c>
      <c r="AC321" s="5" t="n">
        <v>35000</v>
      </c>
      <c r="AD321" s="0" t="s">
        <v>50</v>
      </c>
      <c r="AE321" s="5" t="n">
        <v>0</v>
      </c>
      <c r="AF321" s="0" t="s">
        <v>130</v>
      </c>
      <c r="AG321" s="7" t="s">
        <v>348</v>
      </c>
      <c r="AH321" s="0" t="s">
        <v>63</v>
      </c>
      <c r="AI321" s="0" t="s">
        <v>2331</v>
      </c>
      <c r="AJ321" s="0" t="s">
        <v>2320</v>
      </c>
      <c r="AK321" s="0" t="s">
        <v>2344</v>
      </c>
      <c r="AL321" s="0" t="s">
        <v>63</v>
      </c>
      <c r="AM321" s="0" t="s">
        <v>50</v>
      </c>
      <c r="AN321" s="0" t="s">
        <v>2321</v>
      </c>
      <c r="AO321" s="0" t="s">
        <v>63</v>
      </c>
    </row>
    <row r="322" customFormat="false" ht="15" hidden="false" customHeight="false" outlineLevel="0" collapsed="false">
      <c r="A322" s="0" t="s">
        <v>898</v>
      </c>
      <c r="B322" s="2" t="s">
        <v>1250</v>
      </c>
      <c r="C322" s="0" t="s">
        <v>66</v>
      </c>
      <c r="D322" s="0" t="n">
        <v>8028674348</v>
      </c>
      <c r="E322" s="0" t="s">
        <v>43</v>
      </c>
      <c r="F322" s="0" t="s">
        <v>2315</v>
      </c>
      <c r="G322" s="0" t="s">
        <v>899</v>
      </c>
      <c r="H322" s="0" t="s">
        <v>87</v>
      </c>
      <c r="I322" s="3" t="s">
        <v>87</v>
      </c>
      <c r="J322" s="0" t="s">
        <v>2347</v>
      </c>
      <c r="K322" s="0" t="s">
        <v>109</v>
      </c>
      <c r="L322" s="4" t="n">
        <v>23697</v>
      </c>
      <c r="M322" s="0" t="s">
        <v>110</v>
      </c>
      <c r="N322" s="0" t="s">
        <v>50</v>
      </c>
      <c r="O322" s="5" t="n">
        <v>5</v>
      </c>
      <c r="P322" s="0" t="n">
        <v>3.9</v>
      </c>
      <c r="Q322" s="0" t="s">
        <v>2334</v>
      </c>
      <c r="R322" s="0" t="s">
        <v>73</v>
      </c>
      <c r="S322" s="0" t="s">
        <v>53</v>
      </c>
      <c r="T322" s="0" t="s">
        <v>54</v>
      </c>
      <c r="U322" s="5" t="n">
        <v>45</v>
      </c>
      <c r="V322" s="0" t="s">
        <v>2352</v>
      </c>
      <c r="W322" s="0" t="s">
        <v>155</v>
      </c>
      <c r="X322" s="0" t="s">
        <v>98</v>
      </c>
      <c r="Y322" s="0" t="s">
        <v>58</v>
      </c>
      <c r="Z322" s="0" t="s">
        <v>2329</v>
      </c>
      <c r="AA322" s="0" t="s">
        <v>79</v>
      </c>
      <c r="AB322" s="5" t="n">
        <v>30000</v>
      </c>
      <c r="AC322" s="5" t="n">
        <v>30000</v>
      </c>
      <c r="AD322" s="0" t="s">
        <v>50</v>
      </c>
      <c r="AE322" s="5" t="n">
        <v>0</v>
      </c>
      <c r="AF322" s="0" t="s">
        <v>2338</v>
      </c>
      <c r="AG322" s="7" t="s">
        <v>215</v>
      </c>
      <c r="AH322" s="0" t="s">
        <v>63</v>
      </c>
      <c r="AI322" s="0" t="s">
        <v>2331</v>
      </c>
      <c r="AJ322" s="0" t="s">
        <v>117</v>
      </c>
      <c r="AK322" s="0" t="s">
        <v>63</v>
      </c>
      <c r="AL322" s="0" t="s">
        <v>63</v>
      </c>
      <c r="AM322" s="0" t="s">
        <v>2344</v>
      </c>
      <c r="AN322" s="0" t="s">
        <v>2318</v>
      </c>
      <c r="AO322" s="0" t="s">
        <v>63</v>
      </c>
    </row>
    <row r="323" customFormat="false" ht="15" hidden="false" customHeight="false" outlineLevel="0" collapsed="false">
      <c r="A323" s="0" t="s">
        <v>900</v>
      </c>
      <c r="B323" s="2" t="s">
        <v>2471</v>
      </c>
      <c r="C323" s="0" t="s">
        <v>121</v>
      </c>
      <c r="D323" s="0" t="n">
        <v>8030628088</v>
      </c>
      <c r="E323" s="0" t="s">
        <v>85</v>
      </c>
      <c r="F323" s="0" t="s">
        <v>2319</v>
      </c>
      <c r="G323" s="0" t="s">
        <v>901</v>
      </c>
      <c r="H323" s="0" t="s">
        <v>134</v>
      </c>
      <c r="I323" s="3" t="s">
        <v>2342</v>
      </c>
      <c r="J323" s="0" t="s">
        <v>47</v>
      </c>
      <c r="K323" s="0" t="s">
        <v>90</v>
      </c>
      <c r="L323" s="4" t="n">
        <v>26974</v>
      </c>
      <c r="M323" s="0" t="s">
        <v>110</v>
      </c>
      <c r="N323" s="0" t="s">
        <v>63</v>
      </c>
      <c r="O323" s="5" t="n">
        <v>5</v>
      </c>
      <c r="P323" s="0" t="n">
        <v>3.2</v>
      </c>
      <c r="Q323" s="0" t="s">
        <v>111</v>
      </c>
      <c r="R323" s="0" t="s">
        <v>52</v>
      </c>
      <c r="S323" s="0" t="s">
        <v>53</v>
      </c>
      <c r="T323" s="0" t="s">
        <v>54</v>
      </c>
      <c r="U323" s="5" t="n">
        <v>30</v>
      </c>
      <c r="V323" s="0" t="s">
        <v>2336</v>
      </c>
      <c r="W323" s="0" t="s">
        <v>2337</v>
      </c>
      <c r="X323" s="0" t="s">
        <v>98</v>
      </c>
      <c r="Y323" s="0" t="s">
        <v>58</v>
      </c>
      <c r="Z323" s="0" t="s">
        <v>2329</v>
      </c>
      <c r="AA323" s="0" t="s">
        <v>2329</v>
      </c>
      <c r="AB323" s="5" t="n">
        <v>40000</v>
      </c>
      <c r="AC323" s="5" t="n">
        <v>35000</v>
      </c>
      <c r="AD323" s="0" t="s">
        <v>50</v>
      </c>
      <c r="AE323" s="5" t="n">
        <v>0</v>
      </c>
      <c r="AF323" s="0" t="s">
        <v>130</v>
      </c>
      <c r="AG323" s="7" t="s">
        <v>1583</v>
      </c>
      <c r="AH323" s="0" t="s">
        <v>63</v>
      </c>
      <c r="AI323" s="0" t="s">
        <v>2331</v>
      </c>
      <c r="AJ323" s="0" t="s">
        <v>172</v>
      </c>
      <c r="AK323" s="0" t="s">
        <v>63</v>
      </c>
      <c r="AL323" s="0" t="s">
        <v>63</v>
      </c>
      <c r="AM323" s="0" t="s">
        <v>50</v>
      </c>
      <c r="AN323" s="0" t="s">
        <v>2318</v>
      </c>
      <c r="AO323" s="0" t="s">
        <v>50</v>
      </c>
    </row>
    <row r="324" customFormat="false" ht="15" hidden="false" customHeight="false" outlineLevel="0" collapsed="false">
      <c r="A324" s="0" t="s">
        <v>902</v>
      </c>
      <c r="B324" s="2" t="s">
        <v>796</v>
      </c>
      <c r="C324" s="0" t="s">
        <v>105</v>
      </c>
      <c r="D324" s="0" t="n">
        <v>8054325475</v>
      </c>
      <c r="E324" s="0" t="s">
        <v>122</v>
      </c>
      <c r="F324" s="0" t="s">
        <v>2316</v>
      </c>
      <c r="G324" s="0" t="s">
        <v>903</v>
      </c>
      <c r="H324" s="0" t="s">
        <v>87</v>
      </c>
      <c r="I324" s="3" t="s">
        <v>2322</v>
      </c>
      <c r="J324" s="0" t="s">
        <v>47</v>
      </c>
      <c r="K324" s="0" t="s">
        <v>71</v>
      </c>
      <c r="L324" s="4" t="n">
        <v>33685</v>
      </c>
      <c r="M324" s="0" t="s">
        <v>49</v>
      </c>
      <c r="N324" s="0" t="s">
        <v>50</v>
      </c>
      <c r="O324" s="5" t="n">
        <v>3</v>
      </c>
      <c r="P324" s="0" t="n">
        <v>3.8</v>
      </c>
      <c r="Q324" s="0" t="s">
        <v>92</v>
      </c>
      <c r="R324" s="0" t="s">
        <v>52</v>
      </c>
      <c r="S324" s="0" t="s">
        <v>53</v>
      </c>
      <c r="T324" s="0" t="s">
        <v>147</v>
      </c>
      <c r="U324" s="5" t="n">
        <v>45</v>
      </c>
      <c r="V324" s="0" t="s">
        <v>2336</v>
      </c>
      <c r="W324" s="0" t="s">
        <v>2337</v>
      </c>
      <c r="X324" s="0" t="s">
        <v>98</v>
      </c>
      <c r="Y324" s="0" t="s">
        <v>99</v>
      </c>
      <c r="Z324" s="0" t="s">
        <v>2324</v>
      </c>
      <c r="AA324" s="0" t="s">
        <v>149</v>
      </c>
      <c r="AB324" s="5" t="n">
        <v>30000</v>
      </c>
      <c r="AC324" s="5" t="n">
        <v>30000</v>
      </c>
      <c r="AD324" s="0" t="s">
        <v>50</v>
      </c>
      <c r="AE324" s="5" t="n">
        <v>0</v>
      </c>
      <c r="AF324" s="0" t="s">
        <v>2338</v>
      </c>
      <c r="AG324" s="7" t="s">
        <v>771</v>
      </c>
      <c r="AH324" s="0" t="s">
        <v>50</v>
      </c>
      <c r="AI324" s="0" t="s">
        <v>2331</v>
      </c>
      <c r="AJ324" s="0" t="s">
        <v>2331</v>
      </c>
      <c r="AK324" s="0" t="s">
        <v>63</v>
      </c>
      <c r="AL324" s="0" t="s">
        <v>63</v>
      </c>
      <c r="AM324" s="0" t="s">
        <v>63</v>
      </c>
      <c r="AN324" s="0" t="s">
        <v>2318</v>
      </c>
      <c r="AO324" s="0" t="s">
        <v>2359</v>
      </c>
    </row>
    <row r="325" customFormat="false" ht="15" hidden="false" customHeight="false" outlineLevel="0" collapsed="false">
      <c r="A325" s="0" t="s">
        <v>904</v>
      </c>
      <c r="B325" s="2" t="s">
        <v>626</v>
      </c>
      <c r="C325" s="0" t="s">
        <v>163</v>
      </c>
      <c r="D325" s="0" t="n">
        <v>8086261289</v>
      </c>
      <c r="E325" s="0" t="s">
        <v>122</v>
      </c>
      <c r="F325" s="0" t="s">
        <v>2316</v>
      </c>
      <c r="G325" s="0" t="s">
        <v>905</v>
      </c>
      <c r="H325" s="0" t="s">
        <v>107</v>
      </c>
      <c r="I325" s="3" t="s">
        <v>2317</v>
      </c>
      <c r="J325" s="0" t="s">
        <v>189</v>
      </c>
      <c r="K325" s="0" t="s">
        <v>90</v>
      </c>
      <c r="L325" s="4" t="n">
        <v>15485</v>
      </c>
      <c r="M325" s="0" t="s">
        <v>2333</v>
      </c>
      <c r="N325" s="0" t="s">
        <v>63</v>
      </c>
      <c r="O325" s="5" t="n">
        <v>4</v>
      </c>
      <c r="P325" s="0" t="n">
        <v>5.4</v>
      </c>
      <c r="Q325" s="0" t="s">
        <v>2334</v>
      </c>
      <c r="R325" s="0" t="s">
        <v>73</v>
      </c>
      <c r="S325" s="0" t="s">
        <v>2366</v>
      </c>
      <c r="T325" s="0" t="s">
        <v>75</v>
      </c>
      <c r="U325" s="5" t="n">
        <v>40.4117647058824</v>
      </c>
      <c r="V325" s="0" t="s">
        <v>112</v>
      </c>
      <c r="W325" s="0" t="s">
        <v>148</v>
      </c>
      <c r="X325" s="0" t="s">
        <v>128</v>
      </c>
      <c r="Y325" s="0" t="s">
        <v>196</v>
      </c>
      <c r="Z325" s="0" t="s">
        <v>2324</v>
      </c>
      <c r="AA325" s="0" t="s">
        <v>149</v>
      </c>
      <c r="AB325" s="5" t="n">
        <v>40000</v>
      </c>
      <c r="AC325" s="5" t="n">
        <v>20000</v>
      </c>
      <c r="AD325" s="0" t="s">
        <v>50</v>
      </c>
      <c r="AE325" s="5" t="n">
        <v>0</v>
      </c>
      <c r="AF325" s="0" t="s">
        <v>60</v>
      </c>
      <c r="AG325" s="7" t="s">
        <v>2478</v>
      </c>
      <c r="AH325" s="0" t="s">
        <v>50</v>
      </c>
      <c r="AI325" s="0" t="s">
        <v>171</v>
      </c>
      <c r="AJ325" s="0" t="s">
        <v>2331</v>
      </c>
      <c r="AK325" s="0" t="s">
        <v>63</v>
      </c>
      <c r="AL325" s="0" t="s">
        <v>50</v>
      </c>
      <c r="AM325" s="0" t="s">
        <v>2344</v>
      </c>
      <c r="AN325" s="0" t="s">
        <v>64</v>
      </c>
      <c r="AO325" s="0" t="s">
        <v>63</v>
      </c>
    </row>
    <row r="326" customFormat="false" ht="15" hidden="false" customHeight="false" outlineLevel="0" collapsed="false">
      <c r="A326" s="0" t="s">
        <v>906</v>
      </c>
      <c r="B326" s="2" t="s">
        <v>2479</v>
      </c>
      <c r="C326" s="0" t="s">
        <v>105</v>
      </c>
      <c r="D326" s="0" t="n">
        <v>8094535600</v>
      </c>
      <c r="E326" s="0" t="s">
        <v>67</v>
      </c>
      <c r="F326" s="0" t="s">
        <v>2316</v>
      </c>
      <c r="G326" s="0" t="s">
        <v>907</v>
      </c>
      <c r="H326" s="0" t="s">
        <v>87</v>
      </c>
      <c r="I326" s="3" t="s">
        <v>2325</v>
      </c>
      <c r="J326" s="0" t="s">
        <v>189</v>
      </c>
      <c r="K326" s="0" t="s">
        <v>48</v>
      </c>
      <c r="L326" s="4" t="n">
        <v>25854</v>
      </c>
      <c r="M326" s="0" t="s">
        <v>49</v>
      </c>
      <c r="N326" s="0" t="s">
        <v>50</v>
      </c>
      <c r="O326" s="5" t="n">
        <v>2</v>
      </c>
      <c r="P326" s="0" t="n">
        <v>5.1</v>
      </c>
      <c r="Q326" s="0" t="s">
        <v>92</v>
      </c>
      <c r="R326" s="0" t="s">
        <v>93</v>
      </c>
      <c r="S326" s="0" t="s">
        <v>2335</v>
      </c>
      <c r="T326" s="0" t="s">
        <v>147</v>
      </c>
      <c r="U326" s="5" t="n">
        <v>15</v>
      </c>
      <c r="V326" s="0" t="s">
        <v>2352</v>
      </c>
      <c r="W326" s="0" t="s">
        <v>2328</v>
      </c>
      <c r="X326" s="0" t="s">
        <v>98</v>
      </c>
      <c r="Y326" s="0" t="s">
        <v>99</v>
      </c>
      <c r="Z326" s="0" t="s">
        <v>2326</v>
      </c>
      <c r="AA326" s="0" t="s">
        <v>79</v>
      </c>
      <c r="AB326" s="5" t="n">
        <v>40000</v>
      </c>
      <c r="AC326" s="5" t="n">
        <v>35000</v>
      </c>
      <c r="AD326" s="0" t="s">
        <v>50</v>
      </c>
      <c r="AE326" s="5" t="n">
        <v>0</v>
      </c>
      <c r="AF326" s="0" t="s">
        <v>60</v>
      </c>
      <c r="AG326" s="7" t="s">
        <v>1304</v>
      </c>
      <c r="AH326" s="0" t="s">
        <v>63</v>
      </c>
      <c r="AI326" s="0" t="s">
        <v>171</v>
      </c>
      <c r="AJ326" s="0" t="s">
        <v>2331</v>
      </c>
      <c r="AK326" s="0" t="s">
        <v>2344</v>
      </c>
      <c r="AL326" s="0" t="s">
        <v>50</v>
      </c>
      <c r="AM326" s="0" t="s">
        <v>63</v>
      </c>
      <c r="AN326" s="0" t="s">
        <v>2321</v>
      </c>
      <c r="AO326" s="0" t="s">
        <v>63</v>
      </c>
    </row>
    <row r="327" customFormat="false" ht="15" hidden="false" customHeight="false" outlineLevel="0" collapsed="false">
      <c r="A327" s="0" t="s">
        <v>908</v>
      </c>
      <c r="B327" s="2" t="s">
        <v>2480</v>
      </c>
      <c r="C327" s="0" t="s">
        <v>66</v>
      </c>
      <c r="D327" s="0" t="n">
        <v>8090933663</v>
      </c>
      <c r="E327" s="0" t="s">
        <v>43</v>
      </c>
      <c r="F327" s="0" t="s">
        <v>2315</v>
      </c>
      <c r="G327" s="0" t="s">
        <v>717</v>
      </c>
      <c r="H327" s="0" t="s">
        <v>134</v>
      </c>
      <c r="I327" s="3" t="s">
        <v>87</v>
      </c>
      <c r="J327" s="0" t="s">
        <v>2341</v>
      </c>
      <c r="K327" s="0" t="s">
        <v>90</v>
      </c>
      <c r="L327" s="4" t="n">
        <v>90938</v>
      </c>
      <c r="M327" s="0" t="s">
        <v>110</v>
      </c>
      <c r="N327" s="0" t="s">
        <v>63</v>
      </c>
      <c r="O327" s="5" t="n">
        <v>2</v>
      </c>
      <c r="P327" s="0" t="n">
        <v>5.4</v>
      </c>
      <c r="Q327" s="0" t="s">
        <v>2334</v>
      </c>
      <c r="R327" s="0" t="s">
        <v>73</v>
      </c>
      <c r="S327" s="0" t="s">
        <v>2335</v>
      </c>
      <c r="T327" s="0" t="s">
        <v>2343</v>
      </c>
      <c r="U327" s="5" t="n">
        <v>15</v>
      </c>
      <c r="V327" s="0" t="s">
        <v>2336</v>
      </c>
      <c r="W327" s="0" t="s">
        <v>155</v>
      </c>
      <c r="X327" s="0" t="s">
        <v>98</v>
      </c>
      <c r="Y327" s="0" t="s">
        <v>196</v>
      </c>
      <c r="Z327" s="0" t="s">
        <v>59</v>
      </c>
      <c r="AA327" s="0" t="s">
        <v>79</v>
      </c>
      <c r="AB327" s="5" t="n">
        <v>30000</v>
      </c>
      <c r="AC327" s="5" t="n">
        <v>30000</v>
      </c>
      <c r="AD327" s="0" t="s">
        <v>50</v>
      </c>
      <c r="AE327" s="5" t="n">
        <v>5000</v>
      </c>
      <c r="AF327" s="0" t="s">
        <v>60</v>
      </c>
      <c r="AG327" s="7" t="s">
        <v>2330</v>
      </c>
      <c r="AH327" s="0" t="s">
        <v>63</v>
      </c>
      <c r="AI327" s="0" t="s">
        <v>2331</v>
      </c>
      <c r="AJ327" s="0" t="s">
        <v>2320</v>
      </c>
      <c r="AK327" s="0" t="s">
        <v>63</v>
      </c>
      <c r="AL327" s="0" t="s">
        <v>50</v>
      </c>
      <c r="AM327" s="0" t="s">
        <v>63</v>
      </c>
      <c r="AN327" s="0" t="s">
        <v>64</v>
      </c>
      <c r="AO327" s="0" t="s">
        <v>63</v>
      </c>
    </row>
    <row r="328" customFormat="false" ht="15" hidden="false" customHeight="false" outlineLevel="0" collapsed="false">
      <c r="A328" s="0" t="s">
        <v>909</v>
      </c>
      <c r="B328" s="2" t="s">
        <v>666</v>
      </c>
      <c r="C328" s="0" t="s">
        <v>42</v>
      </c>
      <c r="D328" s="0" t="n">
        <v>8091582537</v>
      </c>
      <c r="E328" s="0" t="s">
        <v>139</v>
      </c>
      <c r="F328" s="0" t="s">
        <v>2323</v>
      </c>
      <c r="G328" s="0" t="s">
        <v>910</v>
      </c>
      <c r="H328" s="0" t="s">
        <v>45</v>
      </c>
      <c r="I328" s="3" t="s">
        <v>87</v>
      </c>
      <c r="J328" s="0" t="s">
        <v>2339</v>
      </c>
      <c r="K328" s="0" t="s">
        <v>71</v>
      </c>
      <c r="L328" s="4" t="n">
        <v>104590</v>
      </c>
      <c r="M328" s="0" t="s">
        <v>110</v>
      </c>
      <c r="N328" s="0" t="s">
        <v>63</v>
      </c>
      <c r="O328" s="5" t="n">
        <v>1</v>
      </c>
      <c r="P328" s="0" t="n">
        <v>2.6</v>
      </c>
      <c r="Q328" s="0" t="s">
        <v>125</v>
      </c>
      <c r="R328" s="0" t="s">
        <v>52</v>
      </c>
      <c r="S328" s="0" t="s">
        <v>2340</v>
      </c>
      <c r="T328" s="0" t="s">
        <v>2343</v>
      </c>
      <c r="U328" s="5" t="n">
        <v>30</v>
      </c>
      <c r="V328" s="0" t="s">
        <v>2352</v>
      </c>
      <c r="W328" s="0" t="s">
        <v>148</v>
      </c>
      <c r="X328" s="0" t="s">
        <v>78</v>
      </c>
      <c r="Y328" s="0" t="s">
        <v>196</v>
      </c>
      <c r="Z328" s="0" t="s">
        <v>2326</v>
      </c>
      <c r="AA328" s="0" t="s">
        <v>2329</v>
      </c>
      <c r="AB328" s="5" t="n">
        <v>20000</v>
      </c>
      <c r="AC328" s="5" t="n">
        <v>31408.1996434938</v>
      </c>
      <c r="AD328" s="0" t="s">
        <v>63</v>
      </c>
      <c r="AE328" s="5" t="n">
        <v>0</v>
      </c>
      <c r="AF328" s="0" t="s">
        <v>184</v>
      </c>
      <c r="AG328" s="7" t="s">
        <v>2481</v>
      </c>
      <c r="AH328" s="0" t="s">
        <v>50</v>
      </c>
      <c r="AI328" s="0" t="s">
        <v>2331</v>
      </c>
      <c r="AJ328" s="0" t="s">
        <v>2331</v>
      </c>
      <c r="AK328" s="0" t="s">
        <v>50</v>
      </c>
      <c r="AL328" s="0" t="s">
        <v>63</v>
      </c>
      <c r="AM328" s="0" t="s">
        <v>2344</v>
      </c>
      <c r="AN328" s="0" t="s">
        <v>2321</v>
      </c>
      <c r="AO328" s="0" t="s">
        <v>2359</v>
      </c>
    </row>
    <row r="329" customFormat="false" ht="15" hidden="false" customHeight="false" outlineLevel="0" collapsed="false">
      <c r="A329" s="0" t="s">
        <v>911</v>
      </c>
      <c r="B329" s="2" t="s">
        <v>119</v>
      </c>
      <c r="C329" s="0" t="s">
        <v>121</v>
      </c>
      <c r="D329" s="0" t="n">
        <v>8087024699</v>
      </c>
      <c r="E329" s="0" t="s">
        <v>67</v>
      </c>
      <c r="F329" s="0" t="s">
        <v>2316</v>
      </c>
      <c r="G329" s="0" t="s">
        <v>912</v>
      </c>
      <c r="H329" s="0" t="s">
        <v>69</v>
      </c>
      <c r="I329" s="3" t="s">
        <v>2325</v>
      </c>
      <c r="J329" s="0" t="s">
        <v>2341</v>
      </c>
      <c r="K329" s="0" t="s">
        <v>109</v>
      </c>
      <c r="L329" s="4" t="n">
        <v>14183</v>
      </c>
      <c r="M329" s="0" t="s">
        <v>2333</v>
      </c>
      <c r="N329" s="0" t="s">
        <v>50</v>
      </c>
      <c r="O329" s="5" t="n">
        <v>2</v>
      </c>
      <c r="P329" s="0" t="n">
        <v>4.5</v>
      </c>
      <c r="Q329" s="0" t="s">
        <v>92</v>
      </c>
      <c r="R329" s="0" t="s">
        <v>73</v>
      </c>
      <c r="S329" s="0" t="s">
        <v>2366</v>
      </c>
      <c r="T329" s="0" t="s">
        <v>2343</v>
      </c>
      <c r="U329" s="5" t="n">
        <v>15</v>
      </c>
      <c r="V329" s="0" t="s">
        <v>112</v>
      </c>
      <c r="W329" s="0" t="s">
        <v>2337</v>
      </c>
      <c r="X329" s="0" t="s">
        <v>128</v>
      </c>
      <c r="Y329" s="0" t="s">
        <v>196</v>
      </c>
      <c r="Z329" s="0" t="s">
        <v>177</v>
      </c>
      <c r="AA329" s="0" t="s">
        <v>143</v>
      </c>
      <c r="AB329" s="5" t="n">
        <v>25000</v>
      </c>
      <c r="AC329" s="5" t="n">
        <v>30000</v>
      </c>
      <c r="AD329" s="0" t="s">
        <v>63</v>
      </c>
      <c r="AE329" s="5" t="n">
        <v>0</v>
      </c>
      <c r="AF329" s="0" t="s">
        <v>2338</v>
      </c>
      <c r="AG329" s="7" t="s">
        <v>2330</v>
      </c>
      <c r="AH329" s="0" t="s">
        <v>63</v>
      </c>
      <c r="AI329" s="0" t="s">
        <v>116</v>
      </c>
      <c r="AJ329" s="0" t="s">
        <v>2320</v>
      </c>
      <c r="AK329" s="0" t="s">
        <v>2344</v>
      </c>
      <c r="AL329" s="0" t="s">
        <v>2344</v>
      </c>
      <c r="AM329" s="0" t="s">
        <v>2344</v>
      </c>
      <c r="AN329" s="0" t="s">
        <v>2318</v>
      </c>
      <c r="AO329" s="0" t="s">
        <v>2359</v>
      </c>
    </row>
    <row r="330" customFormat="false" ht="15" hidden="false" customHeight="false" outlineLevel="0" collapsed="false">
      <c r="A330" s="0" t="s">
        <v>913</v>
      </c>
      <c r="B330" s="2" t="s">
        <v>1116</v>
      </c>
      <c r="C330" s="0" t="s">
        <v>105</v>
      </c>
      <c r="D330" s="0" t="n">
        <v>8062463815</v>
      </c>
      <c r="E330" s="0" t="s">
        <v>43</v>
      </c>
      <c r="F330" s="0" t="s">
        <v>2315</v>
      </c>
      <c r="G330" s="0" t="s">
        <v>914</v>
      </c>
      <c r="H330" s="0" t="s">
        <v>69</v>
      </c>
      <c r="I330" s="3" t="s">
        <v>2325</v>
      </c>
      <c r="J330" s="0" t="s">
        <v>47</v>
      </c>
      <c r="K330" s="0" t="s">
        <v>71</v>
      </c>
      <c r="L330" s="4" t="n">
        <v>68522</v>
      </c>
      <c r="M330" s="0" t="s">
        <v>2333</v>
      </c>
      <c r="N330" s="0" t="s">
        <v>63</v>
      </c>
      <c r="O330" s="5" t="n">
        <v>3</v>
      </c>
      <c r="P330" s="0" t="n">
        <v>2.7</v>
      </c>
      <c r="Q330" s="0" t="s">
        <v>125</v>
      </c>
      <c r="R330" s="0" t="s">
        <v>93</v>
      </c>
      <c r="S330" s="0" t="s">
        <v>53</v>
      </c>
      <c r="T330" s="0" t="s">
        <v>95</v>
      </c>
      <c r="U330" s="5" t="n">
        <v>35.6707317073171</v>
      </c>
      <c r="V330" s="0" t="s">
        <v>2352</v>
      </c>
      <c r="W330" s="0" t="s">
        <v>155</v>
      </c>
      <c r="X330" s="0" t="s">
        <v>98</v>
      </c>
      <c r="Y330" s="0" t="s">
        <v>99</v>
      </c>
      <c r="Z330" s="0" t="s">
        <v>2329</v>
      </c>
      <c r="AA330" s="0" t="s">
        <v>79</v>
      </c>
      <c r="AB330" s="5" t="n">
        <v>15000</v>
      </c>
      <c r="AC330" s="5" t="n">
        <v>30000</v>
      </c>
      <c r="AD330" s="0" t="s">
        <v>63</v>
      </c>
      <c r="AE330" s="5" t="n">
        <v>5000</v>
      </c>
      <c r="AF330" s="0" t="s">
        <v>60</v>
      </c>
      <c r="AG330" s="7" t="s">
        <v>915</v>
      </c>
      <c r="AH330" s="0" t="s">
        <v>50</v>
      </c>
      <c r="AI330" s="0" t="s">
        <v>116</v>
      </c>
      <c r="AJ330" s="0" t="s">
        <v>172</v>
      </c>
      <c r="AK330" s="0" t="s">
        <v>50</v>
      </c>
      <c r="AL330" s="0" t="s">
        <v>63</v>
      </c>
      <c r="AM330" s="0" t="s">
        <v>50</v>
      </c>
      <c r="AN330" s="0" t="s">
        <v>2318</v>
      </c>
      <c r="AO330" s="0" t="s">
        <v>63</v>
      </c>
    </row>
    <row r="331" customFormat="false" ht="15" hidden="false" customHeight="false" outlineLevel="0" collapsed="false">
      <c r="A331" s="0" t="s">
        <v>916</v>
      </c>
      <c r="B331" s="2" t="s">
        <v>1865</v>
      </c>
      <c r="C331" s="0" t="s">
        <v>105</v>
      </c>
      <c r="D331" s="0" t="n">
        <v>8061179711</v>
      </c>
      <c r="E331" s="0" t="s">
        <v>85</v>
      </c>
      <c r="F331" s="0" t="s">
        <v>2319</v>
      </c>
      <c r="G331" s="0" t="s">
        <v>917</v>
      </c>
      <c r="H331" s="0" t="s">
        <v>87</v>
      </c>
      <c r="I331" s="3" t="s">
        <v>87</v>
      </c>
      <c r="J331" s="0" t="s">
        <v>189</v>
      </c>
      <c r="K331" s="0" t="s">
        <v>109</v>
      </c>
      <c r="L331" s="4" t="n">
        <v>27824</v>
      </c>
      <c r="M331" s="0" t="s">
        <v>2333</v>
      </c>
      <c r="N331" s="0" t="s">
        <v>50</v>
      </c>
      <c r="O331" s="5" t="n">
        <v>3.05063291139241</v>
      </c>
      <c r="P331" s="0" t="n">
        <v>3.6</v>
      </c>
      <c r="Q331" s="0" t="s">
        <v>92</v>
      </c>
      <c r="R331" s="0" t="s">
        <v>93</v>
      </c>
      <c r="S331" s="0" t="s">
        <v>2335</v>
      </c>
      <c r="T331" s="0" t="s">
        <v>2353</v>
      </c>
      <c r="U331" s="5" t="n">
        <v>30</v>
      </c>
      <c r="V331" s="0" t="s">
        <v>2336</v>
      </c>
      <c r="W331" s="0" t="s">
        <v>148</v>
      </c>
      <c r="X331" s="0" t="s">
        <v>98</v>
      </c>
      <c r="Y331" s="0" t="s">
        <v>58</v>
      </c>
      <c r="Z331" s="0" t="s">
        <v>59</v>
      </c>
      <c r="AA331" s="0" t="s">
        <v>161</v>
      </c>
      <c r="AB331" s="5" t="n">
        <v>30000</v>
      </c>
      <c r="AC331" s="5" t="n">
        <v>20000</v>
      </c>
      <c r="AD331" s="0" t="s">
        <v>63</v>
      </c>
      <c r="AE331" s="5" t="n">
        <v>0</v>
      </c>
      <c r="AF331" s="0" t="s">
        <v>184</v>
      </c>
      <c r="AG331" s="7" t="s">
        <v>2330</v>
      </c>
      <c r="AH331" s="0" t="s">
        <v>50</v>
      </c>
      <c r="AI331" s="0" t="s">
        <v>2331</v>
      </c>
      <c r="AJ331" s="0" t="s">
        <v>2320</v>
      </c>
      <c r="AK331" s="0" t="s">
        <v>63</v>
      </c>
      <c r="AL331" s="0" t="s">
        <v>63</v>
      </c>
      <c r="AM331" s="0" t="s">
        <v>63</v>
      </c>
      <c r="AN331" s="0" t="s">
        <v>64</v>
      </c>
      <c r="AO331" s="0" t="s">
        <v>63</v>
      </c>
    </row>
    <row r="332" customFormat="false" ht="15" hidden="false" customHeight="false" outlineLevel="0" collapsed="false">
      <c r="A332" s="0" t="s">
        <v>919</v>
      </c>
      <c r="B332" s="2" t="s">
        <v>918</v>
      </c>
      <c r="C332" s="0" t="s">
        <v>105</v>
      </c>
      <c r="D332" s="0" t="n">
        <v>8037407879</v>
      </c>
      <c r="E332" s="0" t="s">
        <v>85</v>
      </c>
      <c r="F332" s="0" t="s">
        <v>2319</v>
      </c>
      <c r="G332" s="0" t="s">
        <v>920</v>
      </c>
      <c r="H332" s="0" t="s">
        <v>134</v>
      </c>
      <c r="I332" s="3" t="s">
        <v>2342</v>
      </c>
      <c r="J332" s="0" t="s">
        <v>2341</v>
      </c>
      <c r="K332" s="0" t="s">
        <v>90</v>
      </c>
      <c r="L332" s="4" t="n">
        <v>104764</v>
      </c>
      <c r="M332" s="0" t="s">
        <v>2333</v>
      </c>
      <c r="N332" s="0" t="s">
        <v>50</v>
      </c>
      <c r="O332" s="5" t="n">
        <v>2</v>
      </c>
      <c r="P332" s="0" t="n">
        <v>5.7</v>
      </c>
      <c r="Q332" s="0" t="s">
        <v>92</v>
      </c>
      <c r="R332" s="0" t="s">
        <v>52</v>
      </c>
      <c r="S332" s="0" t="s">
        <v>2340</v>
      </c>
      <c r="T332" s="0" t="s">
        <v>95</v>
      </c>
      <c r="U332" s="5" t="n">
        <v>37.1052631578947</v>
      </c>
      <c r="V332" s="0" t="s">
        <v>96</v>
      </c>
      <c r="W332" s="0" t="s">
        <v>2337</v>
      </c>
      <c r="X332" s="0" t="s">
        <v>98</v>
      </c>
      <c r="Y332" s="0" t="s">
        <v>196</v>
      </c>
      <c r="Z332" s="0" t="s">
        <v>2329</v>
      </c>
      <c r="AA332" s="0" t="s">
        <v>161</v>
      </c>
      <c r="AB332" s="5" t="n">
        <v>40000</v>
      </c>
      <c r="AC332" s="5" t="n">
        <v>30000</v>
      </c>
      <c r="AD332" s="0" t="s">
        <v>50</v>
      </c>
      <c r="AE332" s="5" t="n">
        <v>0</v>
      </c>
      <c r="AF332" s="0" t="s">
        <v>60</v>
      </c>
      <c r="AG332" s="7" t="s">
        <v>2482</v>
      </c>
      <c r="AH332" s="0" t="s">
        <v>63</v>
      </c>
      <c r="AI332" s="0" t="s">
        <v>116</v>
      </c>
      <c r="AJ332" s="0" t="s">
        <v>2331</v>
      </c>
      <c r="AK332" s="0" t="s">
        <v>2344</v>
      </c>
      <c r="AL332" s="0" t="s">
        <v>63</v>
      </c>
      <c r="AM332" s="0" t="s">
        <v>50</v>
      </c>
      <c r="AN332" s="0" t="s">
        <v>2321</v>
      </c>
      <c r="AO332" s="0" t="s">
        <v>63</v>
      </c>
    </row>
    <row r="333" customFormat="false" ht="15" hidden="false" customHeight="false" outlineLevel="0" collapsed="false">
      <c r="A333" s="0" t="s">
        <v>921</v>
      </c>
      <c r="B333" s="2" t="s">
        <v>652</v>
      </c>
      <c r="C333" s="0" t="s">
        <v>105</v>
      </c>
      <c r="D333" s="0" t="n">
        <v>8062430296</v>
      </c>
      <c r="E333" s="0" t="s">
        <v>85</v>
      </c>
      <c r="F333" s="0" t="s">
        <v>2319</v>
      </c>
      <c r="G333" s="0" t="s">
        <v>922</v>
      </c>
      <c r="H333" s="0" t="s">
        <v>87</v>
      </c>
      <c r="I333" s="3" t="s">
        <v>2322</v>
      </c>
      <c r="J333" s="0" t="s">
        <v>2349</v>
      </c>
      <c r="K333" s="0" t="s">
        <v>90</v>
      </c>
      <c r="L333" s="4" t="n">
        <v>54949</v>
      </c>
      <c r="M333" s="0" t="s">
        <v>2333</v>
      </c>
      <c r="N333" s="0" t="s">
        <v>63</v>
      </c>
      <c r="O333" s="5" t="n">
        <v>1</v>
      </c>
      <c r="P333" s="0" t="n">
        <v>4.7</v>
      </c>
      <c r="Q333" s="0" t="s">
        <v>111</v>
      </c>
      <c r="R333" s="0" t="s">
        <v>52</v>
      </c>
      <c r="S333" s="0" t="s">
        <v>53</v>
      </c>
      <c r="T333" s="0" t="s">
        <v>75</v>
      </c>
      <c r="U333" s="5" t="n">
        <v>30</v>
      </c>
      <c r="V333" s="0" t="s">
        <v>96</v>
      </c>
      <c r="W333" s="0" t="s">
        <v>155</v>
      </c>
      <c r="X333" s="0" t="s">
        <v>98</v>
      </c>
      <c r="Y333" s="0" t="s">
        <v>196</v>
      </c>
      <c r="Z333" s="0" t="s">
        <v>2329</v>
      </c>
      <c r="AA333" s="0" t="s">
        <v>143</v>
      </c>
      <c r="AB333" s="5" t="n">
        <v>30000</v>
      </c>
      <c r="AC333" s="5" t="n">
        <v>40000</v>
      </c>
      <c r="AD333" s="0" t="s">
        <v>63</v>
      </c>
      <c r="AE333" s="5" t="n">
        <v>10000</v>
      </c>
      <c r="AF333" s="0" t="s">
        <v>60</v>
      </c>
      <c r="AG333" s="7" t="s">
        <v>2483</v>
      </c>
      <c r="AH333" s="0" t="s">
        <v>63</v>
      </c>
      <c r="AI333" s="0" t="s">
        <v>2331</v>
      </c>
      <c r="AJ333" s="0" t="s">
        <v>117</v>
      </c>
      <c r="AK333" s="0" t="s">
        <v>2344</v>
      </c>
      <c r="AL333" s="0" t="s">
        <v>63</v>
      </c>
      <c r="AM333" s="0" t="s">
        <v>63</v>
      </c>
      <c r="AN333" s="0" t="s">
        <v>2321</v>
      </c>
      <c r="AO333" s="0" t="s">
        <v>50</v>
      </c>
    </row>
    <row r="334" customFormat="false" ht="15" hidden="false" customHeight="false" outlineLevel="0" collapsed="false">
      <c r="A334" s="0" t="s">
        <v>923</v>
      </c>
      <c r="B334" s="2" t="s">
        <v>489</v>
      </c>
      <c r="C334" s="0" t="s">
        <v>163</v>
      </c>
      <c r="D334" s="0" t="n">
        <v>8018550910</v>
      </c>
      <c r="E334" s="0" t="s">
        <v>139</v>
      </c>
      <c r="F334" s="0" t="s">
        <v>2323</v>
      </c>
      <c r="G334" s="0" t="s">
        <v>924</v>
      </c>
      <c r="H334" s="0" t="s">
        <v>69</v>
      </c>
      <c r="I334" s="3" t="s">
        <v>2325</v>
      </c>
      <c r="J334" s="0" t="s">
        <v>2341</v>
      </c>
      <c r="K334" s="0" t="s">
        <v>71</v>
      </c>
      <c r="L334" s="4" t="n">
        <v>96732</v>
      </c>
      <c r="M334" s="0" t="s">
        <v>49</v>
      </c>
      <c r="N334" s="0" t="s">
        <v>50</v>
      </c>
      <c r="O334" s="5" t="n">
        <v>2</v>
      </c>
      <c r="P334" s="0" t="n">
        <v>5.2</v>
      </c>
      <c r="Q334" s="0" t="s">
        <v>92</v>
      </c>
      <c r="R334" s="0" t="s">
        <v>93</v>
      </c>
      <c r="S334" s="0" t="s">
        <v>2366</v>
      </c>
      <c r="T334" s="0" t="s">
        <v>95</v>
      </c>
      <c r="U334" s="5" t="n">
        <v>37.1052631578947</v>
      </c>
      <c r="V334" s="0" t="s">
        <v>112</v>
      </c>
      <c r="W334" s="0" t="s">
        <v>148</v>
      </c>
      <c r="X334" s="0" t="s">
        <v>128</v>
      </c>
      <c r="Y334" s="0" t="s">
        <v>196</v>
      </c>
      <c r="Z334" s="0" t="s">
        <v>2324</v>
      </c>
      <c r="AA334" s="0" t="s">
        <v>79</v>
      </c>
      <c r="AB334" s="5" t="n">
        <v>20000</v>
      </c>
      <c r="AC334" s="5" t="n">
        <v>31420.8633093525</v>
      </c>
      <c r="AD334" s="0" t="s">
        <v>63</v>
      </c>
      <c r="AE334" s="5" t="n">
        <v>10000</v>
      </c>
      <c r="AF334" s="0" t="s">
        <v>130</v>
      </c>
      <c r="AG334" s="7" t="s">
        <v>2330</v>
      </c>
      <c r="AH334" s="0" t="s">
        <v>2329</v>
      </c>
      <c r="AI334" s="0" t="s">
        <v>2331</v>
      </c>
      <c r="AJ334" s="0" t="s">
        <v>2331</v>
      </c>
      <c r="AK334" s="0" t="s">
        <v>2344</v>
      </c>
      <c r="AL334" s="0" t="s">
        <v>2344</v>
      </c>
      <c r="AM334" s="0" t="s">
        <v>63</v>
      </c>
      <c r="AN334" s="0" t="s">
        <v>64</v>
      </c>
      <c r="AO334" s="0" t="s">
        <v>50</v>
      </c>
    </row>
    <row r="335" customFormat="false" ht="15" hidden="false" customHeight="false" outlineLevel="0" collapsed="false">
      <c r="A335" s="0" t="s">
        <v>925</v>
      </c>
      <c r="B335" s="2" t="s">
        <v>669</v>
      </c>
      <c r="C335" s="0" t="s">
        <v>121</v>
      </c>
      <c r="D335" s="0" t="n">
        <v>8081738111</v>
      </c>
      <c r="E335" s="0" t="s">
        <v>139</v>
      </c>
      <c r="F335" s="0" t="s">
        <v>2323</v>
      </c>
      <c r="G335" s="0" t="s">
        <v>926</v>
      </c>
      <c r="H335" s="0" t="s">
        <v>69</v>
      </c>
      <c r="I335" s="3" t="s">
        <v>2325</v>
      </c>
      <c r="J335" s="0" t="s">
        <v>2349</v>
      </c>
      <c r="K335" s="0" t="s">
        <v>109</v>
      </c>
      <c r="L335" s="4" t="n">
        <v>107331</v>
      </c>
      <c r="M335" s="0" t="s">
        <v>110</v>
      </c>
      <c r="N335" s="0" t="s">
        <v>50</v>
      </c>
      <c r="O335" s="5" t="n">
        <v>5</v>
      </c>
      <c r="P335" s="0" t="n">
        <v>1.3</v>
      </c>
      <c r="Q335" s="0" t="s">
        <v>92</v>
      </c>
      <c r="R335" s="0" t="s">
        <v>52</v>
      </c>
      <c r="S335" s="0" t="s">
        <v>2366</v>
      </c>
      <c r="T335" s="0" t="s">
        <v>54</v>
      </c>
      <c r="U335" s="5" t="n">
        <v>15</v>
      </c>
      <c r="V335" s="0" t="s">
        <v>2352</v>
      </c>
      <c r="W335" s="0" t="s">
        <v>2337</v>
      </c>
      <c r="X335" s="0" t="s">
        <v>128</v>
      </c>
      <c r="Y335" s="0" t="s">
        <v>196</v>
      </c>
      <c r="Z335" s="0" t="s">
        <v>2324</v>
      </c>
      <c r="AA335" s="0" t="s">
        <v>161</v>
      </c>
      <c r="AB335" s="5" t="n">
        <v>26595.7446808511</v>
      </c>
      <c r="AC335" s="5" t="n">
        <v>35000</v>
      </c>
      <c r="AD335" s="0" t="s">
        <v>63</v>
      </c>
      <c r="AE335" s="5" t="n">
        <v>0</v>
      </c>
      <c r="AF335" s="0" t="s">
        <v>60</v>
      </c>
      <c r="AG335" s="7" t="s">
        <v>2330</v>
      </c>
      <c r="AH335" s="0" t="s">
        <v>63</v>
      </c>
      <c r="AI335" s="0" t="s">
        <v>2331</v>
      </c>
      <c r="AJ335" s="0" t="s">
        <v>172</v>
      </c>
      <c r="AK335" s="0" t="s">
        <v>63</v>
      </c>
      <c r="AL335" s="0" t="s">
        <v>63</v>
      </c>
      <c r="AM335" s="0" t="s">
        <v>50</v>
      </c>
      <c r="AN335" s="0" t="s">
        <v>64</v>
      </c>
      <c r="AO335" s="0" t="s">
        <v>50</v>
      </c>
    </row>
    <row r="336" customFormat="false" ht="15" hidden="false" customHeight="false" outlineLevel="0" collapsed="false">
      <c r="A336" s="0" t="s">
        <v>927</v>
      </c>
      <c r="B336" s="2" t="s">
        <v>2410</v>
      </c>
      <c r="C336" s="0" t="s">
        <v>42</v>
      </c>
      <c r="D336" s="0" t="n">
        <v>8061866272</v>
      </c>
      <c r="E336" s="0" t="s">
        <v>85</v>
      </c>
      <c r="F336" s="0" t="s">
        <v>2319</v>
      </c>
      <c r="G336" s="0" t="s">
        <v>928</v>
      </c>
      <c r="H336" s="0" t="s">
        <v>45</v>
      </c>
      <c r="I336" s="3" t="s">
        <v>2325</v>
      </c>
      <c r="J336" s="0" t="s">
        <v>2349</v>
      </c>
      <c r="K336" s="0" t="s">
        <v>109</v>
      </c>
      <c r="L336" s="4" t="n">
        <v>79357</v>
      </c>
      <c r="M336" s="0" t="s">
        <v>110</v>
      </c>
      <c r="N336" s="0" t="s">
        <v>50</v>
      </c>
      <c r="O336" s="5" t="n">
        <v>3</v>
      </c>
      <c r="P336" s="0" t="n">
        <v>1.7</v>
      </c>
      <c r="Q336" s="0" t="s">
        <v>125</v>
      </c>
      <c r="R336" s="0" t="s">
        <v>73</v>
      </c>
      <c r="S336" s="0" t="s">
        <v>53</v>
      </c>
      <c r="T336" s="0" t="s">
        <v>75</v>
      </c>
      <c r="U336" s="5" t="n">
        <v>37.6442307692308</v>
      </c>
      <c r="V336" s="0" t="s">
        <v>112</v>
      </c>
      <c r="W336" s="0" t="s">
        <v>2328</v>
      </c>
      <c r="X336" s="0" t="s">
        <v>78</v>
      </c>
      <c r="Y336" s="0" t="s">
        <v>196</v>
      </c>
      <c r="Z336" s="0" t="s">
        <v>177</v>
      </c>
      <c r="AA336" s="0" t="s">
        <v>79</v>
      </c>
      <c r="AB336" s="5" t="n">
        <v>26595.7446808511</v>
      </c>
      <c r="AC336" s="5" t="n">
        <v>40000</v>
      </c>
      <c r="AD336" s="0" t="s">
        <v>50</v>
      </c>
      <c r="AE336" s="5" t="n">
        <v>10000</v>
      </c>
      <c r="AF336" s="0" t="s">
        <v>184</v>
      </c>
      <c r="AG336" s="7" t="s">
        <v>2330</v>
      </c>
      <c r="AH336" s="0" t="s">
        <v>63</v>
      </c>
      <c r="AI336" s="0" t="s">
        <v>116</v>
      </c>
      <c r="AJ336" s="0" t="s">
        <v>117</v>
      </c>
      <c r="AK336" s="0" t="s">
        <v>63</v>
      </c>
      <c r="AL336" s="0" t="s">
        <v>2344</v>
      </c>
      <c r="AM336" s="0" t="s">
        <v>63</v>
      </c>
      <c r="AN336" s="0" t="s">
        <v>2321</v>
      </c>
      <c r="AO336" s="0" t="s">
        <v>50</v>
      </c>
    </row>
    <row r="337" customFormat="false" ht="15" hidden="false" customHeight="false" outlineLevel="0" collapsed="false">
      <c r="A337" s="0" t="s">
        <v>929</v>
      </c>
      <c r="B337" s="2" t="s">
        <v>2412</v>
      </c>
      <c r="C337" s="0" t="s">
        <v>121</v>
      </c>
      <c r="D337" s="0" t="n">
        <v>8035278389</v>
      </c>
      <c r="E337" s="0" t="s">
        <v>67</v>
      </c>
      <c r="F337" s="0" t="s">
        <v>2316</v>
      </c>
      <c r="G337" s="0" t="s">
        <v>930</v>
      </c>
      <c r="H337" s="0" t="s">
        <v>45</v>
      </c>
      <c r="I337" s="3" t="s">
        <v>2325</v>
      </c>
      <c r="J337" s="0" t="s">
        <v>189</v>
      </c>
      <c r="K337" s="0" t="s">
        <v>109</v>
      </c>
      <c r="L337" s="4" t="n">
        <v>109608</v>
      </c>
      <c r="M337" s="0" t="s">
        <v>110</v>
      </c>
      <c r="N337" s="0" t="s">
        <v>63</v>
      </c>
      <c r="O337" s="5" t="n">
        <v>4</v>
      </c>
      <c r="P337" s="0" t="n">
        <v>3.2</v>
      </c>
      <c r="Q337" s="0" t="s">
        <v>111</v>
      </c>
      <c r="R337" s="0" t="s">
        <v>93</v>
      </c>
      <c r="S337" s="0" t="s">
        <v>53</v>
      </c>
      <c r="T337" s="0" t="s">
        <v>75</v>
      </c>
      <c r="U337" s="5" t="n">
        <v>45</v>
      </c>
      <c r="V337" s="0" t="s">
        <v>112</v>
      </c>
      <c r="W337" s="0" t="s">
        <v>155</v>
      </c>
      <c r="X337" s="0" t="s">
        <v>98</v>
      </c>
      <c r="Y337" s="0" t="s">
        <v>196</v>
      </c>
      <c r="Z337" s="0" t="s">
        <v>2329</v>
      </c>
      <c r="AA337" s="0" t="s">
        <v>161</v>
      </c>
      <c r="AB337" s="5" t="n">
        <v>30000</v>
      </c>
      <c r="AC337" s="5" t="n">
        <v>30000</v>
      </c>
      <c r="AD337" s="0" t="s">
        <v>63</v>
      </c>
      <c r="AE337" s="5" t="n">
        <v>5000</v>
      </c>
      <c r="AF337" s="0" t="s">
        <v>60</v>
      </c>
      <c r="AG337" s="7" t="s">
        <v>2484</v>
      </c>
      <c r="AH337" s="0" t="s">
        <v>50</v>
      </c>
      <c r="AI337" s="0" t="s">
        <v>116</v>
      </c>
      <c r="AJ337" s="0" t="s">
        <v>2331</v>
      </c>
      <c r="AK337" s="0" t="s">
        <v>2344</v>
      </c>
      <c r="AL337" s="0" t="s">
        <v>50</v>
      </c>
      <c r="AM337" s="0" t="s">
        <v>50</v>
      </c>
      <c r="AN337" s="0" t="s">
        <v>2321</v>
      </c>
      <c r="AO337" s="0" t="s">
        <v>63</v>
      </c>
    </row>
    <row r="338" customFormat="false" ht="15" hidden="false" customHeight="false" outlineLevel="0" collapsed="false">
      <c r="A338" s="0" t="s">
        <v>931</v>
      </c>
      <c r="B338" s="2" t="s">
        <v>2485</v>
      </c>
      <c r="C338" s="0" t="s">
        <v>121</v>
      </c>
      <c r="D338" s="0" t="n">
        <v>8073723578</v>
      </c>
      <c r="E338" s="0" t="s">
        <v>43</v>
      </c>
      <c r="F338" s="0" t="s">
        <v>2315</v>
      </c>
      <c r="G338" s="0" t="s">
        <v>932</v>
      </c>
      <c r="H338" s="0" t="s">
        <v>107</v>
      </c>
      <c r="I338" s="3" t="s">
        <v>2317</v>
      </c>
      <c r="J338" s="0" t="s">
        <v>47</v>
      </c>
      <c r="K338" s="0" t="s">
        <v>48</v>
      </c>
      <c r="L338" s="4" t="n">
        <v>67361</v>
      </c>
      <c r="M338" s="0" t="s">
        <v>2333</v>
      </c>
      <c r="N338" s="0" t="s">
        <v>63</v>
      </c>
      <c r="O338" s="5" t="n">
        <v>1</v>
      </c>
      <c r="P338" s="0" t="n">
        <v>3.9</v>
      </c>
      <c r="Q338" s="0" t="s">
        <v>92</v>
      </c>
      <c r="R338" s="0" t="s">
        <v>52</v>
      </c>
      <c r="S338" s="0" t="s">
        <v>2335</v>
      </c>
      <c r="T338" s="0" t="s">
        <v>147</v>
      </c>
      <c r="U338" s="5" t="n">
        <v>30</v>
      </c>
      <c r="V338" s="0" t="s">
        <v>55</v>
      </c>
      <c r="W338" s="0" t="s">
        <v>155</v>
      </c>
      <c r="X338" s="0" t="s">
        <v>98</v>
      </c>
      <c r="Y338" s="0" t="s">
        <v>196</v>
      </c>
      <c r="Z338" s="0" t="s">
        <v>2326</v>
      </c>
      <c r="AA338" s="0" t="s">
        <v>143</v>
      </c>
      <c r="AB338" s="5" t="n">
        <v>25882.3529411765</v>
      </c>
      <c r="AC338" s="5" t="n">
        <v>30000</v>
      </c>
      <c r="AD338" s="0" t="s">
        <v>50</v>
      </c>
      <c r="AE338" s="5" t="n">
        <v>0</v>
      </c>
      <c r="AF338" s="0" t="s">
        <v>184</v>
      </c>
      <c r="AG338" s="7" t="s">
        <v>2401</v>
      </c>
      <c r="AH338" s="0" t="s">
        <v>50</v>
      </c>
      <c r="AI338" s="0" t="s">
        <v>2331</v>
      </c>
      <c r="AJ338" s="0" t="s">
        <v>172</v>
      </c>
      <c r="AK338" s="0" t="s">
        <v>2344</v>
      </c>
      <c r="AL338" s="0" t="s">
        <v>63</v>
      </c>
      <c r="AM338" s="0" t="s">
        <v>50</v>
      </c>
      <c r="AN338" s="0" t="s">
        <v>2321</v>
      </c>
      <c r="AO338" s="0" t="s">
        <v>2359</v>
      </c>
    </row>
    <row r="339" customFormat="false" ht="15" hidden="false" customHeight="false" outlineLevel="0" collapsed="false">
      <c r="A339" s="0" t="s">
        <v>933</v>
      </c>
      <c r="B339" s="2" t="s">
        <v>2474</v>
      </c>
      <c r="C339" s="0" t="s">
        <v>66</v>
      </c>
      <c r="D339" s="0" t="n">
        <v>8024581193</v>
      </c>
      <c r="E339" s="0" t="s">
        <v>122</v>
      </c>
      <c r="F339" s="0" t="s">
        <v>2316</v>
      </c>
      <c r="G339" s="0" t="s">
        <v>934</v>
      </c>
      <c r="H339" s="0" t="s">
        <v>107</v>
      </c>
      <c r="I339" s="3" t="s">
        <v>87</v>
      </c>
      <c r="J339" s="0" t="s">
        <v>2349</v>
      </c>
      <c r="K339" s="0" t="s">
        <v>48</v>
      </c>
      <c r="L339" s="4" t="n">
        <v>42594</v>
      </c>
      <c r="M339" s="0" t="s">
        <v>110</v>
      </c>
      <c r="N339" s="0" t="s">
        <v>50</v>
      </c>
      <c r="O339" s="5" t="n">
        <v>5</v>
      </c>
      <c r="P339" s="0" t="n">
        <v>4.7</v>
      </c>
      <c r="Q339" s="0" t="s">
        <v>2334</v>
      </c>
      <c r="R339" s="0" t="s">
        <v>73</v>
      </c>
      <c r="S339" s="0" t="s">
        <v>2340</v>
      </c>
      <c r="T339" s="0" t="s">
        <v>2353</v>
      </c>
      <c r="U339" s="5" t="n">
        <v>15</v>
      </c>
      <c r="V339" s="0" t="s">
        <v>55</v>
      </c>
      <c r="W339" s="0" t="s">
        <v>2337</v>
      </c>
      <c r="X339" s="0" t="s">
        <v>78</v>
      </c>
      <c r="Y339" s="0" t="s">
        <v>99</v>
      </c>
      <c r="Z339" s="0" t="s">
        <v>2326</v>
      </c>
      <c r="AA339" s="0" t="s">
        <v>161</v>
      </c>
      <c r="AB339" s="5" t="n">
        <v>26595.7446808511</v>
      </c>
      <c r="AC339" s="5" t="n">
        <v>20000</v>
      </c>
      <c r="AD339" s="0" t="s">
        <v>50</v>
      </c>
      <c r="AE339" s="5" t="n">
        <v>0</v>
      </c>
      <c r="AF339" s="0" t="s">
        <v>2338</v>
      </c>
      <c r="AG339" s="7" t="s">
        <v>2330</v>
      </c>
      <c r="AH339" s="0" t="s">
        <v>2329</v>
      </c>
      <c r="AI339" s="0" t="s">
        <v>2331</v>
      </c>
      <c r="AJ339" s="0" t="s">
        <v>172</v>
      </c>
      <c r="AK339" s="0" t="s">
        <v>63</v>
      </c>
      <c r="AL339" s="0" t="s">
        <v>63</v>
      </c>
      <c r="AM339" s="0" t="s">
        <v>2344</v>
      </c>
      <c r="AN339" s="0" t="s">
        <v>2321</v>
      </c>
      <c r="AO339" s="0" t="s">
        <v>50</v>
      </c>
    </row>
    <row r="340" customFormat="false" ht="15" hidden="false" customHeight="false" outlineLevel="0" collapsed="false">
      <c r="A340" s="0" t="s">
        <v>935</v>
      </c>
      <c r="B340" s="2" t="s">
        <v>2426</v>
      </c>
      <c r="C340" s="0" t="s">
        <v>105</v>
      </c>
      <c r="D340" s="0" t="n">
        <v>8054136340</v>
      </c>
      <c r="E340" s="0" t="s">
        <v>85</v>
      </c>
      <c r="F340" s="0" t="s">
        <v>2319</v>
      </c>
      <c r="G340" s="0" t="s">
        <v>936</v>
      </c>
      <c r="H340" s="0" t="s">
        <v>45</v>
      </c>
      <c r="I340" s="3" t="s">
        <v>2317</v>
      </c>
      <c r="J340" s="0" t="s">
        <v>2341</v>
      </c>
      <c r="K340" s="0" t="s">
        <v>48</v>
      </c>
      <c r="L340" s="4" t="n">
        <v>35945</v>
      </c>
      <c r="M340" s="0" t="s">
        <v>110</v>
      </c>
      <c r="N340" s="0" t="s">
        <v>63</v>
      </c>
      <c r="O340" s="5" t="n">
        <v>3.05321100917431</v>
      </c>
      <c r="P340" s="0" t="n">
        <v>4</v>
      </c>
      <c r="Q340" s="0" t="s">
        <v>111</v>
      </c>
      <c r="R340" s="0" t="s">
        <v>93</v>
      </c>
      <c r="S340" s="0" t="s">
        <v>53</v>
      </c>
      <c r="T340" s="0" t="s">
        <v>147</v>
      </c>
      <c r="U340" s="5" t="n">
        <v>15</v>
      </c>
      <c r="V340" s="0" t="s">
        <v>112</v>
      </c>
      <c r="W340" s="0" t="s">
        <v>148</v>
      </c>
      <c r="X340" s="0" t="s">
        <v>98</v>
      </c>
      <c r="Y340" s="0" t="s">
        <v>99</v>
      </c>
      <c r="Z340" s="0" t="s">
        <v>59</v>
      </c>
      <c r="AA340" s="0" t="s">
        <v>79</v>
      </c>
      <c r="AB340" s="5" t="n">
        <v>20000</v>
      </c>
      <c r="AC340" s="5" t="n">
        <v>35000</v>
      </c>
      <c r="AD340" s="0" t="s">
        <v>63</v>
      </c>
      <c r="AE340" s="5" t="n">
        <v>5000</v>
      </c>
      <c r="AF340" s="0" t="s">
        <v>60</v>
      </c>
      <c r="AG340" s="7" t="s">
        <v>1563</v>
      </c>
      <c r="AH340" s="0" t="s">
        <v>50</v>
      </c>
      <c r="AI340" s="0" t="s">
        <v>2331</v>
      </c>
      <c r="AJ340" s="0" t="s">
        <v>2331</v>
      </c>
      <c r="AK340" s="0" t="s">
        <v>50</v>
      </c>
      <c r="AL340" s="0" t="s">
        <v>50</v>
      </c>
      <c r="AM340" s="0" t="s">
        <v>2344</v>
      </c>
      <c r="AN340" s="0" t="s">
        <v>2321</v>
      </c>
      <c r="AO340" s="0" t="s">
        <v>2359</v>
      </c>
    </row>
    <row r="341" customFormat="false" ht="15" hidden="false" customHeight="false" outlineLevel="0" collapsed="false">
      <c r="A341" s="0" t="s">
        <v>937</v>
      </c>
      <c r="B341" s="2" t="s">
        <v>1460</v>
      </c>
      <c r="C341" s="0" t="s">
        <v>105</v>
      </c>
      <c r="D341" s="0" t="n">
        <v>8086439010</v>
      </c>
      <c r="E341" s="0" t="s">
        <v>67</v>
      </c>
      <c r="F341" s="0" t="s">
        <v>2316</v>
      </c>
      <c r="G341" s="0" t="s">
        <v>938</v>
      </c>
      <c r="H341" s="0" t="s">
        <v>134</v>
      </c>
      <c r="I341" s="3" t="s">
        <v>2317</v>
      </c>
      <c r="J341" s="0" t="s">
        <v>2341</v>
      </c>
      <c r="K341" s="0" t="s">
        <v>71</v>
      </c>
      <c r="L341" s="4" t="n">
        <v>91654</v>
      </c>
      <c r="M341" s="0" t="s">
        <v>110</v>
      </c>
      <c r="N341" s="0" t="s">
        <v>63</v>
      </c>
      <c r="O341" s="5" t="n">
        <v>1</v>
      </c>
      <c r="P341" s="0" t="n">
        <v>5.5</v>
      </c>
      <c r="Q341" s="0" t="s">
        <v>51</v>
      </c>
      <c r="R341" s="0" t="s">
        <v>73</v>
      </c>
      <c r="S341" s="0" t="s">
        <v>2340</v>
      </c>
      <c r="T341" s="0" t="s">
        <v>54</v>
      </c>
      <c r="U341" s="5" t="n">
        <v>45</v>
      </c>
      <c r="V341" s="0" t="s">
        <v>2336</v>
      </c>
      <c r="W341" s="0" t="s">
        <v>155</v>
      </c>
      <c r="X341" s="0" t="s">
        <v>98</v>
      </c>
      <c r="Y341" s="0" t="s">
        <v>58</v>
      </c>
      <c r="Z341" s="0" t="s">
        <v>2329</v>
      </c>
      <c r="AA341" s="0" t="s">
        <v>161</v>
      </c>
      <c r="AB341" s="5" t="n">
        <v>20000</v>
      </c>
      <c r="AC341" s="5" t="n">
        <v>30000</v>
      </c>
      <c r="AD341" s="0" t="s">
        <v>50</v>
      </c>
      <c r="AE341" s="5" t="n">
        <v>0</v>
      </c>
      <c r="AF341" s="0" t="s">
        <v>2338</v>
      </c>
      <c r="AG341" s="7" t="s">
        <v>588</v>
      </c>
      <c r="AH341" s="0" t="s">
        <v>63</v>
      </c>
      <c r="AI341" s="0" t="s">
        <v>171</v>
      </c>
      <c r="AJ341" s="0" t="s">
        <v>2331</v>
      </c>
      <c r="AK341" s="0" t="s">
        <v>50</v>
      </c>
      <c r="AL341" s="0" t="s">
        <v>63</v>
      </c>
      <c r="AM341" s="0" t="s">
        <v>2344</v>
      </c>
      <c r="AN341" s="0" t="s">
        <v>2321</v>
      </c>
      <c r="AO341" s="0" t="s">
        <v>2359</v>
      </c>
    </row>
    <row r="342" customFormat="false" ht="15" hidden="false" customHeight="false" outlineLevel="0" collapsed="false">
      <c r="A342" s="0" t="s">
        <v>939</v>
      </c>
      <c r="B342" s="2" t="s">
        <v>2486</v>
      </c>
      <c r="C342" s="0" t="s">
        <v>163</v>
      </c>
      <c r="D342" s="0" t="n">
        <v>8070604045</v>
      </c>
      <c r="E342" s="0" t="s">
        <v>67</v>
      </c>
      <c r="F342" s="0" t="s">
        <v>2316</v>
      </c>
      <c r="G342" s="0" t="s">
        <v>940</v>
      </c>
      <c r="H342" s="0" t="s">
        <v>69</v>
      </c>
      <c r="I342" s="3" t="s">
        <v>2317</v>
      </c>
      <c r="J342" s="0" t="s">
        <v>2349</v>
      </c>
      <c r="K342" s="0" t="s">
        <v>48</v>
      </c>
      <c r="L342" s="4" t="n">
        <v>107881</v>
      </c>
      <c r="M342" s="0" t="s">
        <v>2333</v>
      </c>
      <c r="N342" s="0" t="s">
        <v>50</v>
      </c>
      <c r="O342" s="5" t="n">
        <v>1</v>
      </c>
      <c r="P342" s="0" t="n">
        <v>5.2</v>
      </c>
      <c r="Q342" s="0" t="s">
        <v>2334</v>
      </c>
      <c r="R342" s="0" t="s">
        <v>52</v>
      </c>
      <c r="S342" s="0" t="s">
        <v>53</v>
      </c>
      <c r="T342" s="0" t="s">
        <v>2353</v>
      </c>
      <c r="U342" s="5" t="n">
        <v>60</v>
      </c>
      <c r="V342" s="0" t="s">
        <v>96</v>
      </c>
      <c r="W342" s="0" t="s">
        <v>155</v>
      </c>
      <c r="X342" s="0" t="s">
        <v>78</v>
      </c>
      <c r="Y342" s="0" t="s">
        <v>58</v>
      </c>
      <c r="Z342" s="0" t="s">
        <v>2324</v>
      </c>
      <c r="AA342" s="0" t="s">
        <v>161</v>
      </c>
      <c r="AB342" s="5" t="n">
        <v>15000</v>
      </c>
      <c r="AC342" s="5" t="n">
        <v>20000</v>
      </c>
      <c r="AD342" s="0" t="s">
        <v>50</v>
      </c>
      <c r="AE342" s="5" t="n">
        <v>5000</v>
      </c>
      <c r="AF342" s="0" t="s">
        <v>184</v>
      </c>
      <c r="AG342" s="7" t="s">
        <v>2377</v>
      </c>
      <c r="AH342" s="0" t="s">
        <v>2329</v>
      </c>
      <c r="AI342" s="0" t="s">
        <v>116</v>
      </c>
      <c r="AJ342" s="0" t="s">
        <v>117</v>
      </c>
      <c r="AK342" s="0" t="s">
        <v>63</v>
      </c>
      <c r="AL342" s="0" t="s">
        <v>50</v>
      </c>
      <c r="AM342" s="0" t="s">
        <v>63</v>
      </c>
      <c r="AN342" s="0" t="s">
        <v>64</v>
      </c>
      <c r="AO342" s="0" t="s">
        <v>2359</v>
      </c>
    </row>
    <row r="343" customFormat="false" ht="15" hidden="false" customHeight="false" outlineLevel="0" collapsed="false">
      <c r="A343" s="0" t="s">
        <v>941</v>
      </c>
      <c r="B343" s="2" t="s">
        <v>2354</v>
      </c>
      <c r="C343" s="0" t="s">
        <v>42</v>
      </c>
      <c r="D343" s="0" t="n">
        <v>8095765571</v>
      </c>
      <c r="E343" s="0" t="s">
        <v>67</v>
      </c>
      <c r="F343" s="0" t="s">
        <v>2316</v>
      </c>
      <c r="G343" s="0" t="s">
        <v>942</v>
      </c>
      <c r="H343" s="0" t="s">
        <v>134</v>
      </c>
      <c r="I343" s="3" t="s">
        <v>2322</v>
      </c>
      <c r="J343" s="0" t="s">
        <v>189</v>
      </c>
      <c r="K343" s="0" t="s">
        <v>109</v>
      </c>
      <c r="L343" s="4" t="n">
        <v>105640</v>
      </c>
      <c r="M343" s="0" t="s">
        <v>2333</v>
      </c>
      <c r="N343" s="0" t="s">
        <v>63</v>
      </c>
      <c r="O343" s="5" t="n">
        <v>4</v>
      </c>
      <c r="P343" s="0" t="n">
        <v>5.2</v>
      </c>
      <c r="Q343" s="0" t="s">
        <v>125</v>
      </c>
      <c r="R343" s="0" t="s">
        <v>73</v>
      </c>
      <c r="S343" s="0" t="s">
        <v>2366</v>
      </c>
      <c r="T343" s="0" t="s">
        <v>2353</v>
      </c>
      <c r="U343" s="5" t="n">
        <v>60</v>
      </c>
      <c r="V343" s="0" t="s">
        <v>112</v>
      </c>
      <c r="W343" s="0" t="s">
        <v>2328</v>
      </c>
      <c r="X343" s="0" t="s">
        <v>98</v>
      </c>
      <c r="Y343" s="0" t="s">
        <v>196</v>
      </c>
      <c r="Z343" s="0" t="s">
        <v>2329</v>
      </c>
      <c r="AA343" s="0" t="s">
        <v>79</v>
      </c>
      <c r="AB343" s="5" t="n">
        <v>15000</v>
      </c>
      <c r="AC343" s="5" t="n">
        <v>30000</v>
      </c>
      <c r="AD343" s="0" t="s">
        <v>50</v>
      </c>
      <c r="AE343" s="5" t="n">
        <v>5000</v>
      </c>
      <c r="AF343" s="0" t="s">
        <v>184</v>
      </c>
      <c r="AG343" s="7" t="s">
        <v>2389</v>
      </c>
      <c r="AH343" s="0" t="s">
        <v>63</v>
      </c>
      <c r="AI343" s="0" t="s">
        <v>171</v>
      </c>
      <c r="AJ343" s="0" t="s">
        <v>172</v>
      </c>
      <c r="AK343" s="0" t="s">
        <v>2344</v>
      </c>
      <c r="AL343" s="0" t="s">
        <v>50</v>
      </c>
      <c r="AM343" s="0" t="s">
        <v>63</v>
      </c>
      <c r="AN343" s="0" t="s">
        <v>2321</v>
      </c>
      <c r="AO343" s="0" t="s">
        <v>50</v>
      </c>
    </row>
    <row r="344" customFormat="false" ht="15" hidden="false" customHeight="false" outlineLevel="0" collapsed="false">
      <c r="A344" s="0" t="s">
        <v>943</v>
      </c>
      <c r="B344" s="2" t="s">
        <v>299</v>
      </c>
      <c r="C344" s="0" t="s">
        <v>42</v>
      </c>
      <c r="D344" s="0" t="n">
        <v>8050888822</v>
      </c>
      <c r="E344" s="0" t="s">
        <v>139</v>
      </c>
      <c r="F344" s="0" t="s">
        <v>2323</v>
      </c>
      <c r="G344" s="0" t="s">
        <v>944</v>
      </c>
      <c r="H344" s="0" t="s">
        <v>134</v>
      </c>
      <c r="I344" s="3" t="s">
        <v>87</v>
      </c>
      <c r="J344" s="0" t="s">
        <v>189</v>
      </c>
      <c r="K344" s="0" t="s">
        <v>48</v>
      </c>
      <c r="L344" s="4" t="n">
        <v>38061</v>
      </c>
      <c r="M344" s="0" t="s">
        <v>110</v>
      </c>
      <c r="N344" s="0" t="s">
        <v>50</v>
      </c>
      <c r="O344" s="5" t="n">
        <v>3.0590405904059</v>
      </c>
      <c r="P344" s="0" t="n">
        <v>5.1</v>
      </c>
      <c r="Q344" s="0" t="s">
        <v>51</v>
      </c>
      <c r="R344" s="0" t="s">
        <v>73</v>
      </c>
      <c r="S344" s="0" t="s">
        <v>2335</v>
      </c>
      <c r="T344" s="0" t="s">
        <v>75</v>
      </c>
      <c r="U344" s="5" t="n">
        <v>40.5555555555556</v>
      </c>
      <c r="V344" s="0" t="s">
        <v>55</v>
      </c>
      <c r="W344" s="0" t="s">
        <v>148</v>
      </c>
      <c r="X344" s="0" t="s">
        <v>98</v>
      </c>
      <c r="Y344" s="0" t="s">
        <v>114</v>
      </c>
      <c r="Z344" s="0" t="s">
        <v>2329</v>
      </c>
      <c r="AA344" s="0" t="s">
        <v>2329</v>
      </c>
      <c r="AB344" s="5" t="n">
        <v>40000</v>
      </c>
      <c r="AC344" s="5" t="n">
        <v>30000</v>
      </c>
      <c r="AD344" s="0" t="s">
        <v>63</v>
      </c>
      <c r="AE344" s="5" t="n">
        <v>0</v>
      </c>
      <c r="AF344" s="0" t="s">
        <v>130</v>
      </c>
      <c r="AG344" s="7" t="s">
        <v>853</v>
      </c>
      <c r="AH344" s="0" t="s">
        <v>2329</v>
      </c>
      <c r="AI344" s="0" t="s">
        <v>116</v>
      </c>
      <c r="AJ344" s="0" t="s">
        <v>172</v>
      </c>
      <c r="AK344" s="0" t="s">
        <v>63</v>
      </c>
      <c r="AL344" s="0" t="s">
        <v>50</v>
      </c>
      <c r="AM344" s="0" t="s">
        <v>2344</v>
      </c>
      <c r="AN344" s="0" t="s">
        <v>2321</v>
      </c>
      <c r="AO344" s="0" t="s">
        <v>50</v>
      </c>
    </row>
    <row r="345" customFormat="false" ht="15" hidden="false" customHeight="false" outlineLevel="0" collapsed="false">
      <c r="A345" s="0" t="s">
        <v>945</v>
      </c>
      <c r="B345" s="2" t="s">
        <v>2427</v>
      </c>
      <c r="C345" s="0" t="s">
        <v>66</v>
      </c>
      <c r="D345" s="0" t="n">
        <v>8022514663</v>
      </c>
      <c r="E345" s="0" t="s">
        <v>85</v>
      </c>
      <c r="F345" s="0" t="s">
        <v>2319</v>
      </c>
      <c r="G345" s="0" t="s">
        <v>946</v>
      </c>
      <c r="H345" s="0" t="s">
        <v>45</v>
      </c>
      <c r="I345" s="3" t="s">
        <v>2322</v>
      </c>
      <c r="J345" s="0" t="s">
        <v>47</v>
      </c>
      <c r="K345" s="0" t="s">
        <v>90</v>
      </c>
      <c r="L345" s="4" t="n">
        <v>14852</v>
      </c>
      <c r="M345" s="0" t="s">
        <v>110</v>
      </c>
      <c r="N345" s="0" t="s">
        <v>63</v>
      </c>
      <c r="O345" s="5" t="n">
        <v>2</v>
      </c>
      <c r="P345" s="0" t="n">
        <v>2.5</v>
      </c>
      <c r="Q345" s="0" t="s">
        <v>111</v>
      </c>
      <c r="R345" s="0" t="s">
        <v>93</v>
      </c>
      <c r="S345" s="0" t="s">
        <v>53</v>
      </c>
      <c r="T345" s="0" t="s">
        <v>2353</v>
      </c>
      <c r="U345" s="5" t="n">
        <v>35.7407407407407</v>
      </c>
      <c r="V345" s="0" t="s">
        <v>2336</v>
      </c>
      <c r="W345" s="0" t="s">
        <v>155</v>
      </c>
      <c r="X345" s="0" t="s">
        <v>78</v>
      </c>
      <c r="Y345" s="0" t="s">
        <v>196</v>
      </c>
      <c r="Z345" s="0" t="s">
        <v>2326</v>
      </c>
      <c r="AA345" s="0" t="s">
        <v>161</v>
      </c>
      <c r="AB345" s="5" t="n">
        <v>25000</v>
      </c>
      <c r="AC345" s="5" t="n">
        <v>30000</v>
      </c>
      <c r="AD345" s="0" t="s">
        <v>50</v>
      </c>
      <c r="AE345" s="5" t="n">
        <v>0</v>
      </c>
      <c r="AF345" s="0" t="s">
        <v>184</v>
      </c>
      <c r="AG345" s="7" t="s">
        <v>970</v>
      </c>
      <c r="AH345" s="0" t="s">
        <v>50</v>
      </c>
      <c r="AI345" s="0" t="s">
        <v>2331</v>
      </c>
      <c r="AJ345" s="0" t="s">
        <v>172</v>
      </c>
      <c r="AK345" s="0" t="s">
        <v>50</v>
      </c>
      <c r="AL345" s="0" t="s">
        <v>63</v>
      </c>
      <c r="AM345" s="0" t="s">
        <v>2344</v>
      </c>
      <c r="AN345" s="0" t="s">
        <v>2321</v>
      </c>
      <c r="AO345" s="0" t="s">
        <v>50</v>
      </c>
    </row>
    <row r="346" customFormat="false" ht="15" hidden="false" customHeight="false" outlineLevel="0" collapsed="false">
      <c r="A346" s="0" t="s">
        <v>947</v>
      </c>
      <c r="B346" s="2" t="s">
        <v>2403</v>
      </c>
      <c r="C346" s="0" t="s">
        <v>66</v>
      </c>
      <c r="D346" s="0" t="n">
        <v>8033008094</v>
      </c>
      <c r="E346" s="0" t="s">
        <v>43</v>
      </c>
      <c r="F346" s="0" t="s">
        <v>2315</v>
      </c>
      <c r="G346" s="0" t="s">
        <v>948</v>
      </c>
      <c r="H346" s="0" t="s">
        <v>87</v>
      </c>
      <c r="I346" s="3" t="s">
        <v>2322</v>
      </c>
      <c r="J346" s="0" t="s">
        <v>189</v>
      </c>
      <c r="K346" s="0" t="s">
        <v>48</v>
      </c>
      <c r="L346" s="4" t="n">
        <v>48484</v>
      </c>
      <c r="M346" s="0" t="s">
        <v>49</v>
      </c>
      <c r="N346" s="0" t="s">
        <v>63</v>
      </c>
      <c r="O346" s="5" t="n">
        <v>2</v>
      </c>
      <c r="P346" s="0" t="n">
        <v>3.7</v>
      </c>
      <c r="Q346" s="0" t="s">
        <v>125</v>
      </c>
      <c r="R346" s="0" t="s">
        <v>93</v>
      </c>
      <c r="S346" s="0" t="s">
        <v>53</v>
      </c>
      <c r="T346" s="0" t="s">
        <v>54</v>
      </c>
      <c r="U346" s="5" t="n">
        <v>60</v>
      </c>
      <c r="V346" s="0" t="s">
        <v>2352</v>
      </c>
      <c r="W346" s="0" t="s">
        <v>2337</v>
      </c>
      <c r="X346" s="0" t="s">
        <v>98</v>
      </c>
      <c r="Y346" s="0" t="s">
        <v>58</v>
      </c>
      <c r="Z346" s="0" t="s">
        <v>2326</v>
      </c>
      <c r="AA346" s="0" t="s">
        <v>79</v>
      </c>
      <c r="AB346" s="5" t="n">
        <v>24936.7088607595</v>
      </c>
      <c r="AC346" s="5" t="n">
        <v>35000</v>
      </c>
      <c r="AD346" s="0" t="s">
        <v>63</v>
      </c>
      <c r="AE346" s="5" t="n">
        <v>0</v>
      </c>
      <c r="AF346" s="0" t="s">
        <v>184</v>
      </c>
      <c r="AG346" s="7" t="s">
        <v>2330</v>
      </c>
      <c r="AH346" s="0" t="s">
        <v>63</v>
      </c>
      <c r="AI346" s="0" t="s">
        <v>2331</v>
      </c>
      <c r="AJ346" s="0" t="s">
        <v>2331</v>
      </c>
      <c r="AK346" s="0" t="s">
        <v>50</v>
      </c>
      <c r="AL346" s="0" t="s">
        <v>50</v>
      </c>
      <c r="AM346" s="0" t="s">
        <v>63</v>
      </c>
      <c r="AN346" s="0" t="s">
        <v>2321</v>
      </c>
      <c r="AO346" s="0" t="s">
        <v>50</v>
      </c>
    </row>
    <row r="347" customFormat="false" ht="15" hidden="false" customHeight="false" outlineLevel="0" collapsed="false">
      <c r="A347" s="0" t="s">
        <v>949</v>
      </c>
      <c r="B347" s="2" t="s">
        <v>2396</v>
      </c>
      <c r="C347" s="0" t="s">
        <v>66</v>
      </c>
      <c r="D347" s="0" t="n">
        <v>8024000677</v>
      </c>
      <c r="E347" s="0" t="s">
        <v>122</v>
      </c>
      <c r="F347" s="0" t="s">
        <v>2316</v>
      </c>
      <c r="G347" s="0" t="s">
        <v>950</v>
      </c>
      <c r="H347" s="0" t="s">
        <v>87</v>
      </c>
      <c r="I347" s="3" t="s">
        <v>2317</v>
      </c>
      <c r="J347" s="0" t="s">
        <v>2347</v>
      </c>
      <c r="K347" s="0" t="s">
        <v>109</v>
      </c>
      <c r="L347" s="4" t="n">
        <v>84957</v>
      </c>
      <c r="M347" s="0" t="s">
        <v>110</v>
      </c>
      <c r="N347" s="0" t="s">
        <v>50</v>
      </c>
      <c r="O347" s="5" t="n">
        <v>3.06296296296296</v>
      </c>
      <c r="P347" s="0" t="n">
        <v>4.2</v>
      </c>
      <c r="Q347" s="0" t="s">
        <v>111</v>
      </c>
      <c r="R347" s="0" t="s">
        <v>73</v>
      </c>
      <c r="S347" s="0" t="s">
        <v>2340</v>
      </c>
      <c r="T347" s="0" t="s">
        <v>75</v>
      </c>
      <c r="U347" s="5" t="n">
        <v>45</v>
      </c>
      <c r="V347" s="0" t="s">
        <v>96</v>
      </c>
      <c r="W347" s="0" t="s">
        <v>2328</v>
      </c>
      <c r="X347" s="0" t="s">
        <v>78</v>
      </c>
      <c r="Y347" s="0" t="s">
        <v>58</v>
      </c>
      <c r="Z347" s="0" t="s">
        <v>177</v>
      </c>
      <c r="AA347" s="0" t="s">
        <v>161</v>
      </c>
      <c r="AB347" s="5" t="n">
        <v>20000</v>
      </c>
      <c r="AC347" s="5" t="n">
        <v>31443.0147058824</v>
      </c>
      <c r="AD347" s="0" t="s">
        <v>50</v>
      </c>
      <c r="AE347" s="5" t="n">
        <v>5000</v>
      </c>
      <c r="AF347" s="0" t="s">
        <v>60</v>
      </c>
      <c r="AG347" s="7" t="s">
        <v>1197</v>
      </c>
      <c r="AH347" s="0" t="s">
        <v>50</v>
      </c>
      <c r="AI347" s="0" t="s">
        <v>171</v>
      </c>
      <c r="AJ347" s="0" t="s">
        <v>117</v>
      </c>
      <c r="AK347" s="0" t="s">
        <v>2344</v>
      </c>
      <c r="AL347" s="0" t="s">
        <v>50</v>
      </c>
      <c r="AM347" s="0" t="s">
        <v>2344</v>
      </c>
      <c r="AN347" s="0" t="s">
        <v>2318</v>
      </c>
      <c r="AO347" s="0" t="s">
        <v>50</v>
      </c>
    </row>
    <row r="348" customFormat="false" ht="15" hidden="false" customHeight="false" outlineLevel="0" collapsed="false">
      <c r="A348" s="0" t="s">
        <v>951</v>
      </c>
      <c r="B348" s="2" t="s">
        <v>918</v>
      </c>
      <c r="C348" s="0" t="s">
        <v>105</v>
      </c>
      <c r="D348" s="0" t="n">
        <v>8084209891</v>
      </c>
      <c r="E348" s="0" t="s">
        <v>43</v>
      </c>
      <c r="F348" s="0" t="s">
        <v>2315</v>
      </c>
      <c r="G348" s="0" t="s">
        <v>952</v>
      </c>
      <c r="H348" s="0" t="s">
        <v>107</v>
      </c>
      <c r="I348" s="3" t="s">
        <v>2317</v>
      </c>
      <c r="J348" s="0" t="s">
        <v>47</v>
      </c>
      <c r="K348" s="0" t="s">
        <v>109</v>
      </c>
      <c r="L348" s="4" t="n">
        <v>35224</v>
      </c>
      <c r="M348" s="0" t="s">
        <v>2333</v>
      </c>
      <c r="N348" s="0" t="s">
        <v>63</v>
      </c>
      <c r="O348" s="5" t="n">
        <v>2</v>
      </c>
      <c r="P348" s="0" t="n">
        <v>5.5</v>
      </c>
      <c r="Q348" s="0" t="s">
        <v>111</v>
      </c>
      <c r="R348" s="0" t="s">
        <v>93</v>
      </c>
      <c r="S348" s="0" t="s">
        <v>2340</v>
      </c>
      <c r="T348" s="0" t="s">
        <v>75</v>
      </c>
      <c r="U348" s="5" t="n">
        <v>15</v>
      </c>
      <c r="V348" s="0" t="s">
        <v>2352</v>
      </c>
      <c r="W348" s="0" t="s">
        <v>2337</v>
      </c>
      <c r="X348" s="0" t="s">
        <v>98</v>
      </c>
      <c r="Y348" s="0" t="s">
        <v>196</v>
      </c>
      <c r="Z348" s="0" t="s">
        <v>2329</v>
      </c>
      <c r="AA348" s="0" t="s">
        <v>79</v>
      </c>
      <c r="AB348" s="5" t="n">
        <v>20000</v>
      </c>
      <c r="AC348" s="5" t="n">
        <v>20000</v>
      </c>
      <c r="AD348" s="0" t="s">
        <v>50</v>
      </c>
      <c r="AE348" s="5" t="n">
        <v>10000</v>
      </c>
      <c r="AF348" s="0" t="s">
        <v>60</v>
      </c>
      <c r="AG348" s="7" t="s">
        <v>2330</v>
      </c>
      <c r="AH348" s="0" t="s">
        <v>63</v>
      </c>
      <c r="AI348" s="0" t="s">
        <v>2331</v>
      </c>
      <c r="AJ348" s="0" t="s">
        <v>2320</v>
      </c>
      <c r="AK348" s="0" t="s">
        <v>63</v>
      </c>
      <c r="AL348" s="0" t="s">
        <v>2344</v>
      </c>
      <c r="AM348" s="0" t="s">
        <v>63</v>
      </c>
      <c r="AN348" s="0" t="s">
        <v>2321</v>
      </c>
      <c r="AO348" s="0" t="s">
        <v>63</v>
      </c>
    </row>
    <row r="349" customFormat="false" ht="15" hidden="false" customHeight="false" outlineLevel="0" collapsed="false">
      <c r="A349" s="0" t="s">
        <v>954</v>
      </c>
      <c r="B349" s="2" t="s">
        <v>953</v>
      </c>
      <c r="C349" s="0" t="s">
        <v>105</v>
      </c>
      <c r="D349" s="0" t="n">
        <v>8033841913</v>
      </c>
      <c r="E349" s="0" t="s">
        <v>67</v>
      </c>
      <c r="F349" s="0" t="s">
        <v>2316</v>
      </c>
      <c r="G349" s="0" t="s">
        <v>955</v>
      </c>
      <c r="H349" s="0" t="s">
        <v>107</v>
      </c>
      <c r="I349" s="3" t="s">
        <v>2322</v>
      </c>
      <c r="J349" s="0" t="s">
        <v>2347</v>
      </c>
      <c r="K349" s="0" t="s">
        <v>71</v>
      </c>
      <c r="L349" s="4" t="n">
        <v>66550</v>
      </c>
      <c r="M349" s="0" t="s">
        <v>49</v>
      </c>
      <c r="N349" s="0" t="s">
        <v>50</v>
      </c>
      <c r="O349" s="5" t="n">
        <v>3</v>
      </c>
      <c r="P349" s="0" t="n">
        <v>3.3</v>
      </c>
      <c r="Q349" s="0" t="s">
        <v>92</v>
      </c>
      <c r="R349" s="0" t="s">
        <v>52</v>
      </c>
      <c r="S349" s="0" t="s">
        <v>2366</v>
      </c>
      <c r="T349" s="0" t="s">
        <v>75</v>
      </c>
      <c r="U349" s="5" t="n">
        <v>60</v>
      </c>
      <c r="V349" s="0" t="s">
        <v>2336</v>
      </c>
      <c r="W349" s="0" t="s">
        <v>2328</v>
      </c>
      <c r="X349" s="0" t="s">
        <v>128</v>
      </c>
      <c r="Y349" s="0" t="s">
        <v>58</v>
      </c>
      <c r="Z349" s="0" t="s">
        <v>2326</v>
      </c>
      <c r="AA349" s="0" t="s">
        <v>161</v>
      </c>
      <c r="AB349" s="5" t="n">
        <v>25000</v>
      </c>
      <c r="AC349" s="5" t="n">
        <v>35000</v>
      </c>
      <c r="AD349" s="0" t="s">
        <v>63</v>
      </c>
      <c r="AE349" s="5" t="n">
        <v>0</v>
      </c>
      <c r="AF349" s="0" t="s">
        <v>2338</v>
      </c>
      <c r="AG349" s="7" t="s">
        <v>625</v>
      </c>
      <c r="AH349" s="0" t="s">
        <v>63</v>
      </c>
      <c r="AI349" s="0" t="s">
        <v>171</v>
      </c>
      <c r="AJ349" s="0" t="s">
        <v>172</v>
      </c>
      <c r="AK349" s="0" t="s">
        <v>50</v>
      </c>
      <c r="AL349" s="0" t="s">
        <v>50</v>
      </c>
      <c r="AM349" s="0" t="s">
        <v>50</v>
      </c>
      <c r="AN349" s="0" t="s">
        <v>2321</v>
      </c>
      <c r="AO349" s="0" t="s">
        <v>50</v>
      </c>
    </row>
    <row r="350" customFormat="false" ht="15" hidden="false" customHeight="false" outlineLevel="0" collapsed="false">
      <c r="A350" s="0" t="s">
        <v>956</v>
      </c>
      <c r="B350" s="2" t="s">
        <v>674</v>
      </c>
      <c r="C350" s="0" t="s">
        <v>163</v>
      </c>
      <c r="D350" s="0" t="n">
        <v>8014302906</v>
      </c>
      <c r="E350" s="0" t="s">
        <v>85</v>
      </c>
      <c r="F350" s="0" t="s">
        <v>2319</v>
      </c>
      <c r="G350" s="0" t="s">
        <v>957</v>
      </c>
      <c r="H350" s="0" t="s">
        <v>87</v>
      </c>
      <c r="I350" s="3" t="s">
        <v>87</v>
      </c>
      <c r="J350" s="0" t="s">
        <v>189</v>
      </c>
      <c r="K350" s="0" t="s">
        <v>48</v>
      </c>
      <c r="L350" s="4" t="n">
        <v>59844</v>
      </c>
      <c r="M350" s="0" t="s">
        <v>49</v>
      </c>
      <c r="N350" s="0" t="s">
        <v>63</v>
      </c>
      <c r="O350" s="5" t="n">
        <v>1</v>
      </c>
      <c r="P350" s="0" t="n">
        <v>1.4</v>
      </c>
      <c r="Q350" s="0" t="s">
        <v>125</v>
      </c>
      <c r="R350" s="0" t="s">
        <v>73</v>
      </c>
      <c r="S350" s="0" t="s">
        <v>2340</v>
      </c>
      <c r="T350" s="0" t="s">
        <v>95</v>
      </c>
      <c r="U350" s="5" t="n">
        <v>30</v>
      </c>
      <c r="V350" s="0" t="s">
        <v>112</v>
      </c>
      <c r="W350" s="0" t="s">
        <v>148</v>
      </c>
      <c r="X350" s="0" t="s">
        <v>128</v>
      </c>
      <c r="Y350" s="0" t="s">
        <v>196</v>
      </c>
      <c r="Z350" s="0" t="s">
        <v>2329</v>
      </c>
      <c r="AA350" s="0" t="s">
        <v>2329</v>
      </c>
      <c r="AB350" s="5" t="n">
        <v>15000</v>
      </c>
      <c r="AC350" s="5" t="n">
        <v>35000</v>
      </c>
      <c r="AD350" s="0" t="s">
        <v>63</v>
      </c>
      <c r="AE350" s="5" t="n">
        <v>0</v>
      </c>
      <c r="AF350" s="0" t="s">
        <v>60</v>
      </c>
      <c r="AG350" s="7" t="s">
        <v>552</v>
      </c>
      <c r="AH350" s="0" t="s">
        <v>50</v>
      </c>
      <c r="AI350" s="0" t="s">
        <v>171</v>
      </c>
      <c r="AJ350" s="0" t="s">
        <v>2331</v>
      </c>
      <c r="AK350" s="0" t="s">
        <v>2344</v>
      </c>
      <c r="AL350" s="0" t="s">
        <v>50</v>
      </c>
      <c r="AM350" s="0" t="s">
        <v>63</v>
      </c>
      <c r="AN350" s="0" t="s">
        <v>2321</v>
      </c>
      <c r="AO350" s="0" t="s">
        <v>50</v>
      </c>
    </row>
    <row r="351" customFormat="false" ht="15" hidden="false" customHeight="false" outlineLevel="0" collapsed="false">
      <c r="A351" s="0" t="s">
        <v>958</v>
      </c>
      <c r="B351" s="2" t="s">
        <v>2426</v>
      </c>
      <c r="C351" s="0" t="s">
        <v>42</v>
      </c>
      <c r="D351" s="0" t="n">
        <v>8090982133</v>
      </c>
      <c r="E351" s="0" t="s">
        <v>139</v>
      </c>
      <c r="F351" s="0" t="s">
        <v>2323</v>
      </c>
      <c r="G351" s="0" t="s">
        <v>844</v>
      </c>
      <c r="H351" s="0" t="s">
        <v>69</v>
      </c>
      <c r="I351" s="3" t="s">
        <v>2317</v>
      </c>
      <c r="J351" s="0" t="s">
        <v>189</v>
      </c>
      <c r="K351" s="0" t="s">
        <v>90</v>
      </c>
      <c r="L351" s="4" t="n">
        <v>54212</v>
      </c>
      <c r="M351" s="0" t="s">
        <v>110</v>
      </c>
      <c r="N351" s="0" t="s">
        <v>50</v>
      </c>
      <c r="O351" s="5" t="n">
        <v>3</v>
      </c>
      <c r="P351" s="0" t="n">
        <v>1.1</v>
      </c>
      <c r="Q351" s="0" t="s">
        <v>51</v>
      </c>
      <c r="R351" s="0" t="s">
        <v>52</v>
      </c>
      <c r="S351" s="0" t="s">
        <v>2340</v>
      </c>
      <c r="T351" s="0" t="s">
        <v>54</v>
      </c>
      <c r="U351" s="5" t="n">
        <v>40.4430379746835</v>
      </c>
      <c r="V351" s="0" t="s">
        <v>2336</v>
      </c>
      <c r="W351" s="0" t="s">
        <v>148</v>
      </c>
      <c r="X351" s="0" t="s">
        <v>98</v>
      </c>
      <c r="Y351" s="0" t="s">
        <v>114</v>
      </c>
      <c r="Z351" s="0" t="s">
        <v>2329</v>
      </c>
      <c r="AA351" s="0" t="s">
        <v>2329</v>
      </c>
      <c r="AB351" s="5" t="n">
        <v>40000</v>
      </c>
      <c r="AC351" s="5" t="n">
        <v>30000</v>
      </c>
      <c r="AD351" s="0" t="s">
        <v>50</v>
      </c>
      <c r="AE351" s="5" t="n">
        <v>0</v>
      </c>
      <c r="AF351" s="0" t="s">
        <v>60</v>
      </c>
      <c r="AG351" s="7" t="s">
        <v>959</v>
      </c>
      <c r="AH351" s="0" t="s">
        <v>50</v>
      </c>
      <c r="AI351" s="0" t="s">
        <v>2331</v>
      </c>
      <c r="AJ351" s="0" t="s">
        <v>172</v>
      </c>
      <c r="AK351" s="0" t="s">
        <v>50</v>
      </c>
      <c r="AL351" s="0" t="s">
        <v>63</v>
      </c>
      <c r="AM351" s="0" t="s">
        <v>2344</v>
      </c>
      <c r="AN351" s="0" t="s">
        <v>2318</v>
      </c>
      <c r="AO351" s="0" t="s">
        <v>63</v>
      </c>
    </row>
    <row r="352" customFormat="false" ht="15" hidden="false" customHeight="false" outlineLevel="0" collapsed="false">
      <c r="A352" s="0" t="s">
        <v>960</v>
      </c>
      <c r="B352" s="2" t="s">
        <v>267</v>
      </c>
      <c r="C352" s="0" t="s">
        <v>42</v>
      </c>
      <c r="D352" s="0" t="n">
        <v>8075580570</v>
      </c>
      <c r="E352" s="0" t="s">
        <v>139</v>
      </c>
      <c r="F352" s="0" t="s">
        <v>2323</v>
      </c>
      <c r="G352" s="0" t="s">
        <v>961</v>
      </c>
      <c r="H352" s="0" t="s">
        <v>134</v>
      </c>
      <c r="I352" s="3" t="s">
        <v>2317</v>
      </c>
      <c r="J352" s="0" t="s">
        <v>2349</v>
      </c>
      <c r="K352" s="0" t="s">
        <v>48</v>
      </c>
      <c r="L352" s="4" t="n">
        <v>37315</v>
      </c>
      <c r="M352" s="0" t="s">
        <v>49</v>
      </c>
      <c r="N352" s="0" t="s">
        <v>50</v>
      </c>
      <c r="O352" s="5" t="n">
        <v>1</v>
      </c>
      <c r="P352" s="0" t="n">
        <v>2.6</v>
      </c>
      <c r="Q352" s="0" t="s">
        <v>92</v>
      </c>
      <c r="R352" s="0" t="s">
        <v>73</v>
      </c>
      <c r="S352" s="0" t="s">
        <v>53</v>
      </c>
      <c r="T352" s="0" t="s">
        <v>147</v>
      </c>
      <c r="U352" s="5" t="n">
        <v>45</v>
      </c>
      <c r="V352" s="0" t="s">
        <v>2352</v>
      </c>
      <c r="W352" s="0" t="s">
        <v>148</v>
      </c>
      <c r="X352" s="0" t="s">
        <v>98</v>
      </c>
      <c r="Y352" s="0" t="s">
        <v>58</v>
      </c>
      <c r="Z352" s="0" t="s">
        <v>177</v>
      </c>
      <c r="AA352" s="0" t="s">
        <v>143</v>
      </c>
      <c r="AB352" s="5" t="n">
        <v>30000</v>
      </c>
      <c r="AC352" s="5" t="n">
        <v>31453.7037037037</v>
      </c>
      <c r="AD352" s="0" t="s">
        <v>63</v>
      </c>
      <c r="AE352" s="5" t="n">
        <v>10000</v>
      </c>
      <c r="AF352" s="0" t="s">
        <v>130</v>
      </c>
      <c r="AG352" s="7" t="s">
        <v>962</v>
      </c>
      <c r="AH352" s="0" t="s">
        <v>50</v>
      </c>
      <c r="AI352" s="0" t="s">
        <v>171</v>
      </c>
      <c r="AJ352" s="0" t="s">
        <v>2331</v>
      </c>
      <c r="AK352" s="0" t="s">
        <v>63</v>
      </c>
      <c r="AL352" s="0" t="s">
        <v>50</v>
      </c>
      <c r="AM352" s="0" t="s">
        <v>50</v>
      </c>
      <c r="AN352" s="0" t="s">
        <v>2321</v>
      </c>
      <c r="AO352" s="0" t="s">
        <v>63</v>
      </c>
    </row>
    <row r="353" customFormat="false" ht="15" hidden="false" customHeight="false" outlineLevel="0" collapsed="false">
      <c r="A353" s="0" t="s">
        <v>964</v>
      </c>
      <c r="B353" s="2" t="s">
        <v>963</v>
      </c>
      <c r="C353" s="0" t="s">
        <v>66</v>
      </c>
      <c r="D353" s="0" t="n">
        <v>8013602203</v>
      </c>
      <c r="E353" s="0" t="s">
        <v>67</v>
      </c>
      <c r="F353" s="0" t="s">
        <v>2316</v>
      </c>
      <c r="G353" s="0" t="s">
        <v>965</v>
      </c>
      <c r="H353" s="0" t="s">
        <v>87</v>
      </c>
      <c r="I353" s="3" t="s">
        <v>2317</v>
      </c>
      <c r="J353" s="0" t="s">
        <v>2347</v>
      </c>
      <c r="K353" s="0" t="s">
        <v>71</v>
      </c>
      <c r="L353" s="4" t="n">
        <v>80274</v>
      </c>
      <c r="M353" s="0" t="s">
        <v>2333</v>
      </c>
      <c r="N353" s="0" t="s">
        <v>50</v>
      </c>
      <c r="O353" s="5" t="n">
        <v>4</v>
      </c>
      <c r="P353" s="0" t="n">
        <v>3.9</v>
      </c>
      <c r="Q353" s="0" t="s">
        <v>111</v>
      </c>
      <c r="R353" s="0" t="s">
        <v>93</v>
      </c>
      <c r="S353" s="0" t="s">
        <v>2366</v>
      </c>
      <c r="T353" s="0" t="s">
        <v>147</v>
      </c>
      <c r="U353" s="5" t="n">
        <v>45</v>
      </c>
      <c r="V353" s="0" t="s">
        <v>112</v>
      </c>
      <c r="W353" s="0" t="s">
        <v>148</v>
      </c>
      <c r="X353" s="0" t="s">
        <v>98</v>
      </c>
      <c r="Y353" s="0" t="s">
        <v>114</v>
      </c>
      <c r="Z353" s="0" t="s">
        <v>177</v>
      </c>
      <c r="AA353" s="0" t="s">
        <v>143</v>
      </c>
      <c r="AB353" s="5" t="n">
        <v>30000</v>
      </c>
      <c r="AC353" s="5" t="n">
        <v>30000</v>
      </c>
      <c r="AD353" s="0" t="s">
        <v>50</v>
      </c>
      <c r="AE353" s="5" t="n">
        <v>10000</v>
      </c>
      <c r="AF353" s="0" t="s">
        <v>60</v>
      </c>
      <c r="AG353" s="7" t="s">
        <v>2330</v>
      </c>
      <c r="AH353" s="0" t="s">
        <v>63</v>
      </c>
      <c r="AI353" s="0" t="s">
        <v>2331</v>
      </c>
      <c r="AJ353" s="0" t="s">
        <v>2331</v>
      </c>
      <c r="AK353" s="0" t="s">
        <v>63</v>
      </c>
      <c r="AL353" s="0" t="s">
        <v>63</v>
      </c>
      <c r="AM353" s="0" t="s">
        <v>50</v>
      </c>
      <c r="AN353" s="0" t="s">
        <v>2318</v>
      </c>
      <c r="AO353" s="0" t="s">
        <v>50</v>
      </c>
    </row>
    <row r="354" customFormat="false" ht="15" hidden="false" customHeight="false" outlineLevel="0" collapsed="false">
      <c r="A354" s="0" t="s">
        <v>966</v>
      </c>
      <c r="B354" s="2" t="s">
        <v>463</v>
      </c>
      <c r="C354" s="0" t="s">
        <v>121</v>
      </c>
      <c r="D354" s="0" t="n">
        <v>8035057390</v>
      </c>
      <c r="E354" s="0" t="s">
        <v>139</v>
      </c>
      <c r="F354" s="0" t="s">
        <v>2323</v>
      </c>
      <c r="G354" s="0" t="s">
        <v>967</v>
      </c>
      <c r="H354" s="0" t="s">
        <v>45</v>
      </c>
      <c r="I354" s="3" t="s">
        <v>2317</v>
      </c>
      <c r="J354" s="0" t="s">
        <v>2347</v>
      </c>
      <c r="K354" s="0" t="s">
        <v>71</v>
      </c>
      <c r="L354" s="4" t="n">
        <v>11757</v>
      </c>
      <c r="M354" s="0" t="s">
        <v>2333</v>
      </c>
      <c r="N354" s="0" t="s">
        <v>63</v>
      </c>
      <c r="O354" s="5" t="n">
        <v>3.07116104868914</v>
      </c>
      <c r="P354" s="0" t="n">
        <v>2.5</v>
      </c>
      <c r="Q354" s="0" t="s">
        <v>111</v>
      </c>
      <c r="R354" s="0" t="s">
        <v>93</v>
      </c>
      <c r="S354" s="0" t="s">
        <v>2366</v>
      </c>
      <c r="T354" s="0" t="s">
        <v>147</v>
      </c>
      <c r="U354" s="5" t="n">
        <v>60</v>
      </c>
      <c r="V354" s="0" t="s">
        <v>55</v>
      </c>
      <c r="W354" s="0" t="s">
        <v>155</v>
      </c>
      <c r="X354" s="0" t="s">
        <v>98</v>
      </c>
      <c r="Y354" s="0" t="s">
        <v>196</v>
      </c>
      <c r="Z354" s="0" t="s">
        <v>59</v>
      </c>
      <c r="AA354" s="0" t="s">
        <v>79</v>
      </c>
      <c r="AB354" s="5" t="n">
        <v>27191.0112359551</v>
      </c>
      <c r="AC354" s="5" t="n">
        <v>30000</v>
      </c>
      <c r="AD354" s="0" t="s">
        <v>50</v>
      </c>
      <c r="AE354" s="5" t="n">
        <v>5000</v>
      </c>
      <c r="AF354" s="0" t="s">
        <v>130</v>
      </c>
      <c r="AG354" s="7" t="s">
        <v>752</v>
      </c>
      <c r="AH354" s="0" t="s">
        <v>50</v>
      </c>
      <c r="AI354" s="0" t="s">
        <v>171</v>
      </c>
      <c r="AJ354" s="0" t="s">
        <v>117</v>
      </c>
      <c r="AK354" s="0" t="s">
        <v>2344</v>
      </c>
      <c r="AL354" s="0" t="s">
        <v>50</v>
      </c>
      <c r="AM354" s="0" t="s">
        <v>63</v>
      </c>
      <c r="AN354" s="0" t="s">
        <v>2321</v>
      </c>
      <c r="AO354" s="0" t="s">
        <v>50</v>
      </c>
    </row>
    <row r="355" customFormat="false" ht="15" hidden="false" customHeight="false" outlineLevel="0" collapsed="false">
      <c r="A355" s="0" t="s">
        <v>968</v>
      </c>
      <c r="B355" s="2" t="s">
        <v>2355</v>
      </c>
      <c r="C355" s="0" t="s">
        <v>42</v>
      </c>
      <c r="D355" s="0" t="n">
        <v>8036709158</v>
      </c>
      <c r="E355" s="0" t="s">
        <v>43</v>
      </c>
      <c r="F355" s="0" t="s">
        <v>2315</v>
      </c>
      <c r="G355" s="0" t="s">
        <v>969</v>
      </c>
      <c r="H355" s="0" t="s">
        <v>134</v>
      </c>
      <c r="I355" s="3" t="s">
        <v>2322</v>
      </c>
      <c r="J355" s="0" t="s">
        <v>2341</v>
      </c>
      <c r="K355" s="0" t="s">
        <v>109</v>
      </c>
      <c r="L355" s="4" t="n">
        <v>96551</v>
      </c>
      <c r="M355" s="0" t="s">
        <v>2333</v>
      </c>
      <c r="N355" s="0" t="s">
        <v>63</v>
      </c>
      <c r="O355" s="5" t="n">
        <v>4</v>
      </c>
      <c r="P355" s="0" t="n">
        <v>5.8</v>
      </c>
      <c r="Q355" s="0" t="s">
        <v>92</v>
      </c>
      <c r="R355" s="0" t="s">
        <v>73</v>
      </c>
      <c r="S355" s="0" t="s">
        <v>2335</v>
      </c>
      <c r="T355" s="0" t="s">
        <v>54</v>
      </c>
      <c r="U355" s="5" t="n">
        <v>30</v>
      </c>
      <c r="V355" s="0" t="s">
        <v>96</v>
      </c>
      <c r="W355" s="0" t="s">
        <v>148</v>
      </c>
      <c r="X355" s="0" t="s">
        <v>98</v>
      </c>
      <c r="Y355" s="0" t="s">
        <v>99</v>
      </c>
      <c r="Z355" s="0" t="s">
        <v>2329</v>
      </c>
      <c r="AA355" s="0" t="s">
        <v>2329</v>
      </c>
      <c r="AB355" s="5" t="n">
        <v>27795.6989247312</v>
      </c>
      <c r="AC355" s="5" t="n">
        <v>30000</v>
      </c>
      <c r="AD355" s="0" t="s">
        <v>50</v>
      </c>
      <c r="AE355" s="5" t="n">
        <v>0</v>
      </c>
      <c r="AF355" s="0" t="s">
        <v>60</v>
      </c>
      <c r="AG355" s="7" t="s">
        <v>970</v>
      </c>
      <c r="AH355" s="0" t="s">
        <v>50</v>
      </c>
      <c r="AI355" s="0" t="s">
        <v>116</v>
      </c>
      <c r="AJ355" s="0" t="s">
        <v>2331</v>
      </c>
      <c r="AK355" s="0" t="s">
        <v>63</v>
      </c>
      <c r="AL355" s="0" t="s">
        <v>50</v>
      </c>
      <c r="AM355" s="0" t="s">
        <v>2344</v>
      </c>
      <c r="AN355" s="0" t="s">
        <v>2321</v>
      </c>
      <c r="AO355" s="0" t="s">
        <v>50</v>
      </c>
    </row>
    <row r="356" customFormat="false" ht="15" hidden="false" customHeight="false" outlineLevel="0" collapsed="false">
      <c r="A356" s="0" t="s">
        <v>972</v>
      </c>
      <c r="B356" s="2" t="s">
        <v>971</v>
      </c>
      <c r="C356" s="0" t="s">
        <v>163</v>
      </c>
      <c r="D356" s="0" t="n">
        <v>8019326928</v>
      </c>
      <c r="E356" s="0" t="s">
        <v>139</v>
      </c>
      <c r="F356" s="0" t="s">
        <v>2323</v>
      </c>
      <c r="G356" s="0" t="s">
        <v>973</v>
      </c>
      <c r="H356" s="0" t="s">
        <v>87</v>
      </c>
      <c r="I356" s="3" t="s">
        <v>2322</v>
      </c>
      <c r="J356" s="0" t="s">
        <v>189</v>
      </c>
      <c r="K356" s="0" t="s">
        <v>90</v>
      </c>
      <c r="L356" s="4" t="n">
        <v>33440</v>
      </c>
      <c r="M356" s="0" t="s">
        <v>110</v>
      </c>
      <c r="N356" s="0" t="s">
        <v>63</v>
      </c>
      <c r="O356" s="5" t="n">
        <v>3</v>
      </c>
      <c r="P356" s="0" t="n">
        <v>5.6</v>
      </c>
      <c r="Q356" s="0" t="s">
        <v>111</v>
      </c>
      <c r="R356" s="0" t="s">
        <v>73</v>
      </c>
      <c r="S356" s="0" t="s">
        <v>2340</v>
      </c>
      <c r="T356" s="0" t="s">
        <v>2343</v>
      </c>
      <c r="U356" s="5" t="n">
        <v>15</v>
      </c>
      <c r="V356" s="0" t="s">
        <v>55</v>
      </c>
      <c r="W356" s="0" t="s">
        <v>155</v>
      </c>
      <c r="X356" s="0" t="s">
        <v>78</v>
      </c>
      <c r="Y356" s="0" t="s">
        <v>58</v>
      </c>
      <c r="Z356" s="0" t="s">
        <v>59</v>
      </c>
      <c r="AA356" s="0" t="s">
        <v>161</v>
      </c>
      <c r="AB356" s="5" t="n">
        <v>25000</v>
      </c>
      <c r="AC356" s="5" t="n">
        <v>30000</v>
      </c>
      <c r="AD356" s="0" t="s">
        <v>50</v>
      </c>
      <c r="AE356" s="5" t="n">
        <v>0</v>
      </c>
      <c r="AF356" s="0" t="s">
        <v>130</v>
      </c>
      <c r="AG356" s="7" t="s">
        <v>974</v>
      </c>
      <c r="AH356" s="0" t="s">
        <v>2329</v>
      </c>
      <c r="AI356" s="0" t="s">
        <v>2331</v>
      </c>
      <c r="AJ356" s="0" t="s">
        <v>2331</v>
      </c>
      <c r="AK356" s="0" t="s">
        <v>63</v>
      </c>
      <c r="AL356" s="0" t="s">
        <v>63</v>
      </c>
      <c r="AM356" s="0" t="s">
        <v>2344</v>
      </c>
      <c r="AN356" s="0" t="s">
        <v>2321</v>
      </c>
      <c r="AO356" s="0" t="s">
        <v>50</v>
      </c>
    </row>
    <row r="357" customFormat="false" ht="15" hidden="false" customHeight="false" outlineLevel="0" collapsed="false">
      <c r="A357" s="0" t="s">
        <v>976</v>
      </c>
      <c r="B357" s="2" t="s">
        <v>975</v>
      </c>
      <c r="C357" s="0" t="s">
        <v>105</v>
      </c>
      <c r="D357" s="0" t="n">
        <v>8061793831</v>
      </c>
      <c r="E357" s="0" t="s">
        <v>85</v>
      </c>
      <c r="F357" s="0" t="s">
        <v>2319</v>
      </c>
      <c r="G357" s="0" t="s">
        <v>977</v>
      </c>
      <c r="H357" s="0" t="s">
        <v>107</v>
      </c>
      <c r="I357" s="3" t="s">
        <v>87</v>
      </c>
      <c r="J357" s="0" t="s">
        <v>2339</v>
      </c>
      <c r="K357" s="0" t="s">
        <v>109</v>
      </c>
      <c r="L357" s="4" t="n">
        <v>69682</v>
      </c>
      <c r="M357" s="0" t="s">
        <v>110</v>
      </c>
      <c r="N357" s="0" t="s">
        <v>63</v>
      </c>
      <c r="O357" s="5" t="n">
        <v>3.06954887218045</v>
      </c>
      <c r="P357" s="0" t="n">
        <v>5.1</v>
      </c>
      <c r="Q357" s="0" t="s">
        <v>51</v>
      </c>
      <c r="R357" s="0" t="s">
        <v>52</v>
      </c>
      <c r="S357" s="0" t="s">
        <v>2366</v>
      </c>
      <c r="T357" s="0" t="s">
        <v>147</v>
      </c>
      <c r="U357" s="5" t="n">
        <v>30</v>
      </c>
      <c r="V357" s="0" t="s">
        <v>2336</v>
      </c>
      <c r="W357" s="0" t="s">
        <v>155</v>
      </c>
      <c r="X357" s="0" t="s">
        <v>78</v>
      </c>
      <c r="Y357" s="0" t="s">
        <v>196</v>
      </c>
      <c r="Z357" s="0" t="s">
        <v>59</v>
      </c>
      <c r="AA357" s="0" t="s">
        <v>149</v>
      </c>
      <c r="AB357" s="5" t="n">
        <v>26290.3225806452</v>
      </c>
      <c r="AC357" s="5" t="n">
        <v>31464.552238806</v>
      </c>
      <c r="AD357" s="0" t="s">
        <v>63</v>
      </c>
      <c r="AE357" s="5" t="n">
        <v>0</v>
      </c>
      <c r="AF357" s="0" t="s">
        <v>2338</v>
      </c>
      <c r="AG357" s="7" t="s">
        <v>2330</v>
      </c>
      <c r="AH357" s="0" t="s">
        <v>50</v>
      </c>
      <c r="AI357" s="0" t="s">
        <v>116</v>
      </c>
      <c r="AJ357" s="0" t="s">
        <v>2331</v>
      </c>
      <c r="AK357" s="0" t="s">
        <v>2344</v>
      </c>
      <c r="AL357" s="0" t="s">
        <v>50</v>
      </c>
      <c r="AM357" s="0" t="s">
        <v>2344</v>
      </c>
      <c r="AN357" s="0" t="s">
        <v>2321</v>
      </c>
      <c r="AO357" s="0" t="s">
        <v>50</v>
      </c>
    </row>
    <row r="358" customFormat="false" ht="15" hidden="false" customHeight="false" outlineLevel="0" collapsed="false">
      <c r="A358" s="0" t="s">
        <v>978</v>
      </c>
      <c r="B358" s="2" t="s">
        <v>2487</v>
      </c>
      <c r="C358" s="0" t="s">
        <v>42</v>
      </c>
      <c r="D358" s="0" t="n">
        <v>8048093356</v>
      </c>
      <c r="E358" s="0" t="s">
        <v>43</v>
      </c>
      <c r="F358" s="0" t="s">
        <v>2315</v>
      </c>
      <c r="G358" s="0" t="s">
        <v>979</v>
      </c>
      <c r="H358" s="0" t="s">
        <v>107</v>
      </c>
      <c r="I358" s="3" t="s">
        <v>2317</v>
      </c>
      <c r="J358" s="0" t="s">
        <v>47</v>
      </c>
      <c r="K358" s="0" t="s">
        <v>71</v>
      </c>
      <c r="L358" s="4" t="n">
        <v>95278</v>
      </c>
      <c r="M358" s="0" t="s">
        <v>2333</v>
      </c>
      <c r="N358" s="0" t="s">
        <v>50</v>
      </c>
      <c r="O358" s="5" t="n">
        <v>5</v>
      </c>
      <c r="P358" s="0" t="n">
        <v>4.9</v>
      </c>
      <c r="Q358" s="0" t="s">
        <v>51</v>
      </c>
      <c r="R358" s="0" t="s">
        <v>73</v>
      </c>
      <c r="S358" s="0" t="s">
        <v>2366</v>
      </c>
      <c r="T358" s="0" t="s">
        <v>147</v>
      </c>
      <c r="U358" s="5" t="n">
        <v>15</v>
      </c>
      <c r="V358" s="0" t="s">
        <v>96</v>
      </c>
      <c r="W358" s="0" t="s">
        <v>2328</v>
      </c>
      <c r="X358" s="0" t="s">
        <v>128</v>
      </c>
      <c r="Y358" s="0" t="s">
        <v>196</v>
      </c>
      <c r="Z358" s="0" t="s">
        <v>2324</v>
      </c>
      <c r="AA358" s="0" t="s">
        <v>79</v>
      </c>
      <c r="AB358" s="5" t="n">
        <v>30000</v>
      </c>
      <c r="AC358" s="5" t="n">
        <v>31464.552238806</v>
      </c>
      <c r="AD358" s="0" t="s">
        <v>50</v>
      </c>
      <c r="AE358" s="5" t="n">
        <v>0</v>
      </c>
      <c r="AF358" s="0" t="s">
        <v>60</v>
      </c>
      <c r="AG358" s="7" t="s">
        <v>2447</v>
      </c>
      <c r="AH358" s="0" t="s">
        <v>63</v>
      </c>
      <c r="AI358" s="0" t="s">
        <v>2331</v>
      </c>
      <c r="AJ358" s="0" t="s">
        <v>2331</v>
      </c>
      <c r="AK358" s="0" t="s">
        <v>2344</v>
      </c>
      <c r="AL358" s="0" t="s">
        <v>63</v>
      </c>
      <c r="AM358" s="0" t="s">
        <v>63</v>
      </c>
      <c r="AN358" s="0" t="s">
        <v>2321</v>
      </c>
      <c r="AO358" s="0" t="s">
        <v>2359</v>
      </c>
    </row>
    <row r="359" customFormat="false" ht="15" hidden="false" customHeight="false" outlineLevel="0" collapsed="false">
      <c r="A359" s="0" t="s">
        <v>980</v>
      </c>
      <c r="B359" s="2" t="s">
        <v>2426</v>
      </c>
      <c r="C359" s="0" t="s">
        <v>163</v>
      </c>
      <c r="D359" s="0" t="n">
        <v>8037634396</v>
      </c>
      <c r="E359" s="0" t="s">
        <v>43</v>
      </c>
      <c r="F359" s="0" t="s">
        <v>2315</v>
      </c>
      <c r="G359" s="0" t="s">
        <v>981</v>
      </c>
      <c r="H359" s="0" t="s">
        <v>45</v>
      </c>
      <c r="I359" s="3" t="s">
        <v>2322</v>
      </c>
      <c r="J359" s="0" t="s">
        <v>2349</v>
      </c>
      <c r="K359" s="0" t="s">
        <v>71</v>
      </c>
      <c r="L359" s="4" t="n">
        <v>97181</v>
      </c>
      <c r="M359" s="0" t="s">
        <v>110</v>
      </c>
      <c r="N359" s="0" t="s">
        <v>63</v>
      </c>
      <c r="O359" s="5" t="n">
        <v>4</v>
      </c>
      <c r="P359" s="0" t="n">
        <v>5</v>
      </c>
      <c r="Q359" s="0" t="s">
        <v>125</v>
      </c>
      <c r="R359" s="0" t="s">
        <v>52</v>
      </c>
      <c r="S359" s="0" t="s">
        <v>53</v>
      </c>
      <c r="T359" s="0" t="s">
        <v>2343</v>
      </c>
      <c r="U359" s="5" t="n">
        <v>45</v>
      </c>
      <c r="V359" s="0" t="s">
        <v>2336</v>
      </c>
      <c r="W359" s="0" t="s">
        <v>155</v>
      </c>
      <c r="X359" s="0" t="s">
        <v>128</v>
      </c>
      <c r="Y359" s="0" t="s">
        <v>114</v>
      </c>
      <c r="Z359" s="0" t="s">
        <v>2324</v>
      </c>
      <c r="AA359" s="0" t="s">
        <v>2329</v>
      </c>
      <c r="AB359" s="5" t="n">
        <v>30000</v>
      </c>
      <c r="AC359" s="5" t="n">
        <v>31464.552238806</v>
      </c>
      <c r="AD359" s="0" t="s">
        <v>50</v>
      </c>
      <c r="AE359" s="5" t="n">
        <v>5000</v>
      </c>
      <c r="AF359" s="0" t="s">
        <v>60</v>
      </c>
      <c r="AG359" s="7" t="s">
        <v>732</v>
      </c>
      <c r="AH359" s="0" t="s">
        <v>2329</v>
      </c>
      <c r="AI359" s="0" t="s">
        <v>2331</v>
      </c>
      <c r="AJ359" s="0" t="s">
        <v>2331</v>
      </c>
      <c r="AK359" s="0" t="s">
        <v>2344</v>
      </c>
      <c r="AL359" s="0" t="s">
        <v>2344</v>
      </c>
      <c r="AM359" s="0" t="s">
        <v>63</v>
      </c>
      <c r="AN359" s="0" t="s">
        <v>2321</v>
      </c>
      <c r="AO359" s="0" t="s">
        <v>2359</v>
      </c>
    </row>
    <row r="360" customFormat="false" ht="15" hidden="false" customHeight="false" outlineLevel="0" collapsed="false">
      <c r="A360" s="0" t="s">
        <v>982</v>
      </c>
      <c r="B360" s="2" t="s">
        <v>371</v>
      </c>
      <c r="C360" s="0" t="s">
        <v>105</v>
      </c>
      <c r="D360" s="0" t="n">
        <v>8041278022</v>
      </c>
      <c r="E360" s="0" t="s">
        <v>139</v>
      </c>
      <c r="F360" s="0" t="s">
        <v>2323</v>
      </c>
      <c r="G360" s="0" t="s">
        <v>871</v>
      </c>
      <c r="H360" s="0" t="s">
        <v>45</v>
      </c>
      <c r="I360" s="3" t="s">
        <v>2325</v>
      </c>
      <c r="J360" s="0" t="s">
        <v>189</v>
      </c>
      <c r="K360" s="0" t="s">
        <v>71</v>
      </c>
      <c r="L360" s="4" t="n">
        <v>116333</v>
      </c>
      <c r="M360" s="0" t="s">
        <v>49</v>
      </c>
      <c r="N360" s="0" t="s">
        <v>63</v>
      </c>
      <c r="O360" s="5" t="n">
        <v>3.06415094339623</v>
      </c>
      <c r="P360" s="0" t="n">
        <v>2</v>
      </c>
      <c r="Q360" s="0" t="s">
        <v>111</v>
      </c>
      <c r="R360" s="0" t="s">
        <v>73</v>
      </c>
      <c r="S360" s="0" t="s">
        <v>2366</v>
      </c>
      <c r="T360" s="0" t="s">
        <v>54</v>
      </c>
      <c r="U360" s="5" t="n">
        <v>40.7692307692308</v>
      </c>
      <c r="V360" s="0" t="s">
        <v>2336</v>
      </c>
      <c r="W360" s="0" t="s">
        <v>2328</v>
      </c>
      <c r="X360" s="0" t="s">
        <v>128</v>
      </c>
      <c r="Y360" s="0" t="s">
        <v>196</v>
      </c>
      <c r="Z360" s="0" t="s">
        <v>2329</v>
      </c>
      <c r="AA360" s="0" t="s">
        <v>161</v>
      </c>
      <c r="AB360" s="5" t="n">
        <v>40000</v>
      </c>
      <c r="AC360" s="5" t="n">
        <v>40000</v>
      </c>
      <c r="AD360" s="0" t="s">
        <v>63</v>
      </c>
      <c r="AE360" s="5" t="n">
        <v>0</v>
      </c>
      <c r="AF360" s="0" t="s">
        <v>60</v>
      </c>
      <c r="AG360" s="7" t="s">
        <v>1610</v>
      </c>
      <c r="AH360" s="0" t="s">
        <v>63</v>
      </c>
      <c r="AI360" s="0" t="s">
        <v>2331</v>
      </c>
      <c r="AJ360" s="0" t="s">
        <v>2331</v>
      </c>
      <c r="AK360" s="0" t="s">
        <v>2344</v>
      </c>
      <c r="AL360" s="0" t="s">
        <v>50</v>
      </c>
      <c r="AM360" s="0" t="s">
        <v>63</v>
      </c>
      <c r="AN360" s="0" t="s">
        <v>2321</v>
      </c>
      <c r="AO360" s="0" t="s">
        <v>50</v>
      </c>
    </row>
    <row r="361" customFormat="false" ht="15" hidden="false" customHeight="false" outlineLevel="0" collapsed="false">
      <c r="A361" s="0" t="s">
        <v>983</v>
      </c>
      <c r="B361" s="2" t="s">
        <v>1890</v>
      </c>
      <c r="C361" s="0" t="s">
        <v>121</v>
      </c>
      <c r="D361" s="0" t="n">
        <v>8049071522</v>
      </c>
      <c r="E361" s="0" t="s">
        <v>85</v>
      </c>
      <c r="F361" s="0" t="s">
        <v>2319</v>
      </c>
      <c r="G361" s="0" t="s">
        <v>984</v>
      </c>
      <c r="H361" s="0" t="s">
        <v>87</v>
      </c>
      <c r="I361" s="3" t="s">
        <v>87</v>
      </c>
      <c r="J361" s="0" t="s">
        <v>2347</v>
      </c>
      <c r="K361" s="0" t="s">
        <v>90</v>
      </c>
      <c r="L361" s="4" t="n">
        <v>49513</v>
      </c>
      <c r="M361" s="0" t="s">
        <v>49</v>
      </c>
      <c r="N361" s="0" t="s">
        <v>63</v>
      </c>
      <c r="O361" s="5" t="n">
        <v>1</v>
      </c>
      <c r="P361" s="0" t="n">
        <v>3.5</v>
      </c>
      <c r="Q361" s="0" t="s">
        <v>2334</v>
      </c>
      <c r="R361" s="0" t="s">
        <v>93</v>
      </c>
      <c r="S361" s="0" t="s">
        <v>53</v>
      </c>
      <c r="T361" s="0" t="s">
        <v>95</v>
      </c>
      <c r="U361" s="5" t="n">
        <v>30</v>
      </c>
      <c r="V361" s="0" t="s">
        <v>2336</v>
      </c>
      <c r="W361" s="0" t="s">
        <v>2337</v>
      </c>
      <c r="X361" s="0" t="s">
        <v>78</v>
      </c>
      <c r="Y361" s="0" t="s">
        <v>114</v>
      </c>
      <c r="Z361" s="0" t="s">
        <v>2329</v>
      </c>
      <c r="AA361" s="0" t="s">
        <v>79</v>
      </c>
      <c r="AB361" s="5" t="n">
        <v>15000</v>
      </c>
      <c r="AC361" s="5" t="n">
        <v>31448.5981308411</v>
      </c>
      <c r="AD361" s="0" t="s">
        <v>63</v>
      </c>
      <c r="AE361" s="5" t="n">
        <v>10000</v>
      </c>
      <c r="AF361" s="0" t="s">
        <v>2338</v>
      </c>
      <c r="AG361" s="7" t="s">
        <v>690</v>
      </c>
      <c r="AH361" s="0" t="s">
        <v>50</v>
      </c>
      <c r="AI361" s="0" t="s">
        <v>2331</v>
      </c>
      <c r="AJ361" s="0" t="s">
        <v>117</v>
      </c>
      <c r="AK361" s="0" t="s">
        <v>63</v>
      </c>
      <c r="AL361" s="0" t="s">
        <v>63</v>
      </c>
      <c r="AM361" s="0" t="s">
        <v>2344</v>
      </c>
      <c r="AN361" s="0" t="s">
        <v>2318</v>
      </c>
      <c r="AO361" s="0" t="s">
        <v>50</v>
      </c>
    </row>
    <row r="362" customFormat="false" ht="15" hidden="false" customHeight="false" outlineLevel="0" collapsed="false">
      <c r="A362" s="0" t="s">
        <v>985</v>
      </c>
      <c r="B362" s="2" t="s">
        <v>2488</v>
      </c>
      <c r="C362" s="0" t="s">
        <v>66</v>
      </c>
      <c r="D362" s="0" t="n">
        <v>8098525972</v>
      </c>
      <c r="E362" s="0" t="s">
        <v>67</v>
      </c>
      <c r="F362" s="0" t="s">
        <v>2316</v>
      </c>
      <c r="G362" s="0" t="s">
        <v>986</v>
      </c>
      <c r="H362" s="0" t="s">
        <v>69</v>
      </c>
      <c r="I362" s="3" t="s">
        <v>2322</v>
      </c>
      <c r="J362" s="0" t="s">
        <v>47</v>
      </c>
      <c r="K362" s="0" t="s">
        <v>90</v>
      </c>
      <c r="L362" s="4" t="n">
        <v>111796</v>
      </c>
      <c r="M362" s="0" t="s">
        <v>110</v>
      </c>
      <c r="N362" s="0" t="s">
        <v>63</v>
      </c>
      <c r="O362" s="5" t="n">
        <v>4</v>
      </c>
      <c r="P362" s="0" t="n">
        <v>5.4</v>
      </c>
      <c r="Q362" s="0" t="s">
        <v>125</v>
      </c>
      <c r="R362" s="0" t="s">
        <v>73</v>
      </c>
      <c r="S362" s="0" t="s">
        <v>2335</v>
      </c>
      <c r="T362" s="0" t="s">
        <v>54</v>
      </c>
      <c r="U362" s="5" t="n">
        <v>60</v>
      </c>
      <c r="V362" s="0" t="s">
        <v>96</v>
      </c>
      <c r="W362" s="0" t="s">
        <v>148</v>
      </c>
      <c r="X362" s="0" t="s">
        <v>128</v>
      </c>
      <c r="Y362" s="0" t="s">
        <v>196</v>
      </c>
      <c r="Z362" s="0" t="s">
        <v>2326</v>
      </c>
      <c r="AA362" s="0" t="s">
        <v>79</v>
      </c>
      <c r="AB362" s="5" t="n">
        <v>15000</v>
      </c>
      <c r="AC362" s="5" t="n">
        <v>30000</v>
      </c>
      <c r="AD362" s="0" t="s">
        <v>50</v>
      </c>
      <c r="AE362" s="5" t="n">
        <v>0</v>
      </c>
      <c r="AF362" s="0" t="s">
        <v>184</v>
      </c>
      <c r="AG362" s="7" t="s">
        <v>2330</v>
      </c>
      <c r="AH362" s="0" t="s">
        <v>63</v>
      </c>
      <c r="AI362" s="0" t="s">
        <v>116</v>
      </c>
      <c r="AJ362" s="0" t="s">
        <v>2331</v>
      </c>
      <c r="AK362" s="0" t="s">
        <v>63</v>
      </c>
      <c r="AL362" s="0" t="s">
        <v>2344</v>
      </c>
      <c r="AM362" s="0" t="s">
        <v>63</v>
      </c>
      <c r="AN362" s="0" t="s">
        <v>2318</v>
      </c>
      <c r="AO362" s="0" t="s">
        <v>63</v>
      </c>
    </row>
    <row r="363" customFormat="false" ht="15" hidden="false" customHeight="false" outlineLevel="0" collapsed="false">
      <c r="A363" s="0" t="s">
        <v>987</v>
      </c>
      <c r="B363" s="2" t="s">
        <v>302</v>
      </c>
      <c r="C363" s="0" t="s">
        <v>66</v>
      </c>
      <c r="D363" s="0" t="n">
        <v>8080383199</v>
      </c>
      <c r="E363" s="0" t="s">
        <v>43</v>
      </c>
      <c r="F363" s="0" t="s">
        <v>2315</v>
      </c>
      <c r="G363" s="0" t="s">
        <v>988</v>
      </c>
      <c r="H363" s="0" t="s">
        <v>107</v>
      </c>
      <c r="I363" s="3" t="s">
        <v>2322</v>
      </c>
      <c r="J363" s="0" t="s">
        <v>2349</v>
      </c>
      <c r="K363" s="0" t="s">
        <v>90</v>
      </c>
      <c r="L363" s="4" t="n">
        <v>78287</v>
      </c>
      <c r="M363" s="0" t="s">
        <v>2333</v>
      </c>
      <c r="N363" s="0" t="s">
        <v>63</v>
      </c>
      <c r="O363" s="5" t="n">
        <v>3.06628787878788</v>
      </c>
      <c r="P363" s="0" t="n">
        <v>3.6</v>
      </c>
      <c r="Q363" s="0" t="s">
        <v>51</v>
      </c>
      <c r="R363" s="0" t="s">
        <v>52</v>
      </c>
      <c r="S363" s="0" t="s">
        <v>53</v>
      </c>
      <c r="T363" s="0" t="s">
        <v>75</v>
      </c>
      <c r="U363" s="5" t="n">
        <v>45</v>
      </c>
      <c r="V363" s="0" t="s">
        <v>2352</v>
      </c>
      <c r="W363" s="0" t="s">
        <v>155</v>
      </c>
      <c r="X363" s="0" t="s">
        <v>78</v>
      </c>
      <c r="Y363" s="0" t="s">
        <v>58</v>
      </c>
      <c r="Z363" s="0" t="s">
        <v>2326</v>
      </c>
      <c r="AA363" s="0" t="s">
        <v>149</v>
      </c>
      <c r="AB363" s="5" t="n">
        <v>26648.3516483516</v>
      </c>
      <c r="AC363" s="5" t="n">
        <v>31451.3108614232</v>
      </c>
      <c r="AD363" s="0" t="s">
        <v>50</v>
      </c>
      <c r="AE363" s="5" t="n">
        <v>0</v>
      </c>
      <c r="AF363" s="0" t="s">
        <v>60</v>
      </c>
      <c r="AG363" s="7" t="s">
        <v>2330</v>
      </c>
      <c r="AH363" s="0" t="s">
        <v>63</v>
      </c>
      <c r="AI363" s="0" t="s">
        <v>2331</v>
      </c>
      <c r="AJ363" s="0" t="s">
        <v>2331</v>
      </c>
      <c r="AK363" s="0" t="s">
        <v>2344</v>
      </c>
      <c r="AL363" s="0" t="s">
        <v>2344</v>
      </c>
      <c r="AM363" s="0" t="s">
        <v>63</v>
      </c>
      <c r="AN363" s="0" t="s">
        <v>2318</v>
      </c>
      <c r="AO363" s="0" t="s">
        <v>50</v>
      </c>
    </row>
    <row r="364" customFormat="false" ht="15" hidden="false" customHeight="false" outlineLevel="0" collapsed="false">
      <c r="A364" s="0" t="s">
        <v>989</v>
      </c>
      <c r="B364" s="2" t="s">
        <v>918</v>
      </c>
      <c r="C364" s="0" t="s">
        <v>66</v>
      </c>
      <c r="D364" s="0" t="n">
        <v>8019392480</v>
      </c>
      <c r="E364" s="0" t="s">
        <v>122</v>
      </c>
      <c r="F364" s="0" t="s">
        <v>2316</v>
      </c>
      <c r="G364" s="0" t="s">
        <v>990</v>
      </c>
      <c r="H364" s="0" t="s">
        <v>87</v>
      </c>
      <c r="I364" s="3" t="s">
        <v>2317</v>
      </c>
      <c r="J364" s="0" t="s">
        <v>47</v>
      </c>
      <c r="K364" s="0" t="s">
        <v>90</v>
      </c>
      <c r="L364" s="4" t="n">
        <v>23582</v>
      </c>
      <c r="M364" s="0" t="s">
        <v>49</v>
      </c>
      <c r="N364" s="0" t="s">
        <v>50</v>
      </c>
      <c r="O364" s="5" t="n">
        <v>3.06628787878788</v>
      </c>
      <c r="P364" s="0" t="n">
        <v>3</v>
      </c>
      <c r="Q364" s="0" t="s">
        <v>125</v>
      </c>
      <c r="R364" s="0" t="s">
        <v>93</v>
      </c>
      <c r="S364" s="0" t="s">
        <v>2335</v>
      </c>
      <c r="T364" s="0" t="s">
        <v>75</v>
      </c>
      <c r="U364" s="5" t="n">
        <v>35.9615384615385</v>
      </c>
      <c r="V364" s="0" t="s">
        <v>96</v>
      </c>
      <c r="W364" s="0" t="s">
        <v>155</v>
      </c>
      <c r="X364" s="0" t="s">
        <v>128</v>
      </c>
      <c r="Y364" s="0" t="s">
        <v>196</v>
      </c>
      <c r="Z364" s="0" t="s">
        <v>2326</v>
      </c>
      <c r="AA364" s="0" t="s">
        <v>161</v>
      </c>
      <c r="AB364" s="5" t="n">
        <v>15000</v>
      </c>
      <c r="AC364" s="5" t="n">
        <v>31451.3108614232</v>
      </c>
      <c r="AD364" s="0" t="s">
        <v>50</v>
      </c>
      <c r="AE364" s="5" t="n">
        <v>5000</v>
      </c>
      <c r="AF364" s="0" t="s">
        <v>130</v>
      </c>
      <c r="AG364" s="7" t="s">
        <v>2330</v>
      </c>
      <c r="AH364" s="0" t="s">
        <v>2329</v>
      </c>
      <c r="AI364" s="0" t="s">
        <v>171</v>
      </c>
      <c r="AJ364" s="0" t="s">
        <v>172</v>
      </c>
      <c r="AK364" s="0" t="s">
        <v>63</v>
      </c>
      <c r="AL364" s="0" t="s">
        <v>63</v>
      </c>
      <c r="AM364" s="0" t="s">
        <v>2344</v>
      </c>
      <c r="AN364" s="0" t="s">
        <v>2321</v>
      </c>
      <c r="AO364" s="0" t="s">
        <v>2359</v>
      </c>
    </row>
    <row r="365" customFormat="false" ht="15" hidden="false" customHeight="false" outlineLevel="0" collapsed="false">
      <c r="A365" s="0" t="s">
        <v>991</v>
      </c>
      <c r="B365" s="2" t="s">
        <v>2413</v>
      </c>
      <c r="C365" s="0" t="s">
        <v>42</v>
      </c>
      <c r="D365" s="0" t="n">
        <v>8071023927</v>
      </c>
      <c r="E365" s="0" t="s">
        <v>43</v>
      </c>
      <c r="F365" s="0" t="s">
        <v>2315</v>
      </c>
      <c r="G365" s="0" t="s">
        <v>992</v>
      </c>
      <c r="H365" s="0" t="s">
        <v>45</v>
      </c>
      <c r="I365" s="3" t="s">
        <v>2325</v>
      </c>
      <c r="J365" s="0" t="s">
        <v>47</v>
      </c>
      <c r="K365" s="0" t="s">
        <v>71</v>
      </c>
      <c r="L365" s="4" t="n">
        <v>29612</v>
      </c>
      <c r="M365" s="0" t="s">
        <v>49</v>
      </c>
      <c r="N365" s="0" t="s">
        <v>63</v>
      </c>
      <c r="O365" s="5" t="n">
        <v>3.06628787878788</v>
      </c>
      <c r="P365" s="0" t="n">
        <v>3.6</v>
      </c>
      <c r="Q365" s="0" t="s">
        <v>51</v>
      </c>
      <c r="R365" s="0" t="s">
        <v>73</v>
      </c>
      <c r="S365" s="0" t="s">
        <v>2340</v>
      </c>
      <c r="T365" s="0" t="s">
        <v>75</v>
      </c>
      <c r="U365" s="5" t="n">
        <v>35.9615384615385</v>
      </c>
      <c r="V365" s="0" t="s">
        <v>112</v>
      </c>
      <c r="W365" s="0" t="s">
        <v>155</v>
      </c>
      <c r="X365" s="0" t="s">
        <v>98</v>
      </c>
      <c r="Y365" s="0" t="s">
        <v>99</v>
      </c>
      <c r="Z365" s="0" t="s">
        <v>2329</v>
      </c>
      <c r="AA365" s="0" t="s">
        <v>79</v>
      </c>
      <c r="AB365" s="5" t="n">
        <v>20000</v>
      </c>
      <c r="AC365" s="5" t="n">
        <v>31451.3108614232</v>
      </c>
      <c r="AD365" s="0" t="s">
        <v>63</v>
      </c>
      <c r="AE365" s="5" t="n">
        <v>10000</v>
      </c>
      <c r="AF365" s="0" t="s">
        <v>2338</v>
      </c>
      <c r="AG365" s="7" t="s">
        <v>315</v>
      </c>
      <c r="AH365" s="0" t="s">
        <v>50</v>
      </c>
      <c r="AI365" s="0" t="s">
        <v>116</v>
      </c>
      <c r="AJ365" s="0" t="s">
        <v>2331</v>
      </c>
      <c r="AK365" s="0" t="s">
        <v>2344</v>
      </c>
      <c r="AL365" s="0" t="s">
        <v>2344</v>
      </c>
      <c r="AM365" s="0" t="s">
        <v>63</v>
      </c>
      <c r="AN365" s="0" t="s">
        <v>2321</v>
      </c>
      <c r="AO365" s="0" t="s">
        <v>50</v>
      </c>
    </row>
    <row r="366" customFormat="false" ht="15" hidden="false" customHeight="false" outlineLevel="0" collapsed="false">
      <c r="A366" s="0" t="s">
        <v>993</v>
      </c>
      <c r="B366" s="2" t="s">
        <v>2391</v>
      </c>
      <c r="C366" s="0" t="s">
        <v>163</v>
      </c>
      <c r="D366" s="0" t="n">
        <v>8017711235</v>
      </c>
      <c r="E366" s="0" t="s">
        <v>139</v>
      </c>
      <c r="F366" s="0" t="s">
        <v>2323</v>
      </c>
      <c r="G366" s="0" t="s">
        <v>994</v>
      </c>
      <c r="H366" s="0" t="s">
        <v>87</v>
      </c>
      <c r="I366" s="3" t="s">
        <v>2322</v>
      </c>
      <c r="J366" s="0" t="s">
        <v>2349</v>
      </c>
      <c r="K366" s="0" t="s">
        <v>71</v>
      </c>
      <c r="L366" s="4" t="n">
        <v>110186</v>
      </c>
      <c r="M366" s="0" t="s">
        <v>110</v>
      </c>
      <c r="N366" s="0" t="s">
        <v>63</v>
      </c>
      <c r="O366" s="5" t="n">
        <v>4</v>
      </c>
      <c r="P366" s="0" t="n">
        <v>1.4</v>
      </c>
      <c r="Q366" s="0" t="s">
        <v>111</v>
      </c>
      <c r="R366" s="0" t="s">
        <v>93</v>
      </c>
      <c r="S366" s="0" t="s">
        <v>53</v>
      </c>
      <c r="T366" s="0" t="s">
        <v>95</v>
      </c>
      <c r="U366" s="5" t="n">
        <v>30</v>
      </c>
      <c r="V366" s="0" t="s">
        <v>55</v>
      </c>
      <c r="W366" s="0" t="s">
        <v>148</v>
      </c>
      <c r="X366" s="0" t="s">
        <v>128</v>
      </c>
      <c r="Y366" s="0" t="s">
        <v>58</v>
      </c>
      <c r="Z366" s="0" t="s">
        <v>2329</v>
      </c>
      <c r="AA366" s="0" t="s">
        <v>79</v>
      </c>
      <c r="AB366" s="5" t="n">
        <v>20000</v>
      </c>
      <c r="AC366" s="5" t="n">
        <v>30000</v>
      </c>
      <c r="AD366" s="0" t="s">
        <v>50</v>
      </c>
      <c r="AE366" s="5" t="n">
        <v>5000</v>
      </c>
      <c r="AF366" s="0" t="s">
        <v>2338</v>
      </c>
      <c r="AG366" s="7" t="s">
        <v>1523</v>
      </c>
      <c r="AH366" s="0" t="s">
        <v>50</v>
      </c>
      <c r="AI366" s="0" t="s">
        <v>2331</v>
      </c>
      <c r="AJ366" s="0" t="s">
        <v>2331</v>
      </c>
      <c r="AK366" s="0" t="s">
        <v>63</v>
      </c>
      <c r="AL366" s="0" t="s">
        <v>50</v>
      </c>
      <c r="AM366" s="0" t="s">
        <v>2344</v>
      </c>
      <c r="AN366" s="0" t="s">
        <v>2321</v>
      </c>
      <c r="AO366" s="0" t="s">
        <v>63</v>
      </c>
    </row>
    <row r="367" customFormat="false" ht="15" hidden="false" customHeight="false" outlineLevel="0" collapsed="false">
      <c r="A367" s="0" t="s">
        <v>995</v>
      </c>
      <c r="B367" s="2" t="s">
        <v>502</v>
      </c>
      <c r="C367" s="0" t="s">
        <v>66</v>
      </c>
      <c r="D367" s="0" t="n">
        <v>8059479669</v>
      </c>
      <c r="E367" s="0" t="s">
        <v>43</v>
      </c>
      <c r="F367" s="0" t="s">
        <v>2315</v>
      </c>
      <c r="G367" s="0" t="s">
        <v>996</v>
      </c>
      <c r="H367" s="0" t="s">
        <v>69</v>
      </c>
      <c r="I367" s="3" t="s">
        <v>2322</v>
      </c>
      <c r="J367" s="0" t="s">
        <v>189</v>
      </c>
      <c r="K367" s="0" t="s">
        <v>71</v>
      </c>
      <c r="L367" s="4" t="n">
        <v>112891</v>
      </c>
      <c r="M367" s="0" t="s">
        <v>110</v>
      </c>
      <c r="N367" s="0" t="s">
        <v>63</v>
      </c>
      <c r="O367" s="5" t="n">
        <v>3</v>
      </c>
      <c r="P367" s="0" t="n">
        <v>4.6</v>
      </c>
      <c r="Q367" s="0" t="s">
        <v>2334</v>
      </c>
      <c r="R367" s="0" t="s">
        <v>73</v>
      </c>
      <c r="S367" s="0" t="s">
        <v>2366</v>
      </c>
      <c r="T367" s="0" t="s">
        <v>147</v>
      </c>
      <c r="U367" s="5" t="n">
        <v>45</v>
      </c>
      <c r="V367" s="0" t="s">
        <v>2352</v>
      </c>
      <c r="W367" s="0" t="s">
        <v>148</v>
      </c>
      <c r="X367" s="0" t="s">
        <v>128</v>
      </c>
      <c r="Y367" s="0" t="s">
        <v>99</v>
      </c>
      <c r="Z367" s="0" t="s">
        <v>59</v>
      </c>
      <c r="AA367" s="0" t="s">
        <v>149</v>
      </c>
      <c r="AB367" s="5" t="n">
        <v>30000</v>
      </c>
      <c r="AC367" s="5" t="n">
        <v>30000</v>
      </c>
      <c r="AD367" s="0" t="s">
        <v>50</v>
      </c>
      <c r="AE367" s="5" t="n">
        <v>0</v>
      </c>
      <c r="AF367" s="0" t="s">
        <v>60</v>
      </c>
      <c r="AG367" s="7" t="s">
        <v>2481</v>
      </c>
      <c r="AH367" s="0" t="s">
        <v>50</v>
      </c>
      <c r="AI367" s="0" t="s">
        <v>2331</v>
      </c>
      <c r="AJ367" s="0" t="s">
        <v>2331</v>
      </c>
      <c r="AK367" s="0" t="s">
        <v>63</v>
      </c>
      <c r="AL367" s="0" t="s">
        <v>50</v>
      </c>
      <c r="AM367" s="0" t="s">
        <v>63</v>
      </c>
      <c r="AN367" s="0" t="s">
        <v>2321</v>
      </c>
      <c r="AO367" s="0" t="s">
        <v>50</v>
      </c>
    </row>
    <row r="368" customFormat="false" ht="15" hidden="false" customHeight="false" outlineLevel="0" collapsed="false">
      <c r="A368" s="0" t="s">
        <v>997</v>
      </c>
      <c r="B368" s="2" t="s">
        <v>971</v>
      </c>
      <c r="C368" s="0" t="s">
        <v>105</v>
      </c>
      <c r="D368" s="0" t="n">
        <v>8079596144</v>
      </c>
      <c r="E368" s="0" t="s">
        <v>122</v>
      </c>
      <c r="F368" s="0" t="s">
        <v>2316</v>
      </c>
      <c r="G368" s="0" t="s">
        <v>271</v>
      </c>
      <c r="H368" s="0" t="s">
        <v>134</v>
      </c>
      <c r="I368" s="3" t="s">
        <v>2322</v>
      </c>
      <c r="J368" s="0" t="s">
        <v>2347</v>
      </c>
      <c r="K368" s="0" t="s">
        <v>90</v>
      </c>
      <c r="L368" s="4" t="n">
        <v>46968</v>
      </c>
      <c r="M368" s="0" t="s">
        <v>49</v>
      </c>
      <c r="N368" s="0" t="s">
        <v>63</v>
      </c>
      <c r="O368" s="5" t="n">
        <v>3</v>
      </c>
      <c r="P368" s="0" t="n">
        <v>4.2</v>
      </c>
      <c r="Q368" s="0" t="s">
        <v>2334</v>
      </c>
      <c r="R368" s="0" t="s">
        <v>73</v>
      </c>
      <c r="S368" s="0" t="s">
        <v>2335</v>
      </c>
      <c r="T368" s="0" t="s">
        <v>147</v>
      </c>
      <c r="U368" s="5" t="n">
        <v>45</v>
      </c>
      <c r="V368" s="0" t="s">
        <v>2336</v>
      </c>
      <c r="W368" s="0" t="s">
        <v>148</v>
      </c>
      <c r="X368" s="0" t="s">
        <v>78</v>
      </c>
      <c r="Y368" s="0" t="s">
        <v>99</v>
      </c>
      <c r="Z368" s="0" t="s">
        <v>2324</v>
      </c>
      <c r="AA368" s="0" t="s">
        <v>161</v>
      </c>
      <c r="AB368" s="5" t="n">
        <v>20000</v>
      </c>
      <c r="AC368" s="5" t="n">
        <v>35000</v>
      </c>
      <c r="AD368" s="0" t="s">
        <v>63</v>
      </c>
      <c r="AE368" s="5" t="n">
        <v>10000</v>
      </c>
      <c r="AF368" s="0" t="s">
        <v>184</v>
      </c>
      <c r="AG368" s="7" t="s">
        <v>1909</v>
      </c>
      <c r="AH368" s="0" t="s">
        <v>63</v>
      </c>
      <c r="AI368" s="0" t="s">
        <v>116</v>
      </c>
      <c r="AJ368" s="0" t="s">
        <v>172</v>
      </c>
      <c r="AK368" s="0" t="s">
        <v>63</v>
      </c>
      <c r="AL368" s="0" t="s">
        <v>2344</v>
      </c>
      <c r="AM368" s="0" t="s">
        <v>50</v>
      </c>
      <c r="AN368" s="0" t="s">
        <v>2321</v>
      </c>
      <c r="AO368" s="0" t="s">
        <v>63</v>
      </c>
    </row>
    <row r="369" customFormat="false" ht="15" hidden="false" customHeight="false" outlineLevel="0" collapsed="false">
      <c r="A369" s="0" t="s">
        <v>998</v>
      </c>
      <c r="B369" s="2" t="s">
        <v>1774</v>
      </c>
      <c r="C369" s="0" t="s">
        <v>163</v>
      </c>
      <c r="D369" s="0" t="n">
        <v>8011482715</v>
      </c>
      <c r="E369" s="0" t="s">
        <v>122</v>
      </c>
      <c r="F369" s="0" t="s">
        <v>2316</v>
      </c>
      <c r="G369" s="0" t="s">
        <v>999</v>
      </c>
      <c r="H369" s="0" t="s">
        <v>107</v>
      </c>
      <c r="I369" s="3" t="s">
        <v>2317</v>
      </c>
      <c r="J369" s="0" t="s">
        <v>189</v>
      </c>
      <c r="K369" s="0" t="s">
        <v>109</v>
      </c>
      <c r="L369" s="4" t="n">
        <v>33086</v>
      </c>
      <c r="M369" s="0" t="s">
        <v>49</v>
      </c>
      <c r="N369" s="0" t="s">
        <v>63</v>
      </c>
      <c r="O369" s="5" t="n">
        <v>4</v>
      </c>
      <c r="P369" s="0" t="n">
        <v>2</v>
      </c>
      <c r="Q369" s="0" t="s">
        <v>51</v>
      </c>
      <c r="R369" s="0" t="s">
        <v>73</v>
      </c>
      <c r="S369" s="0" t="s">
        <v>2340</v>
      </c>
      <c r="T369" s="0" t="s">
        <v>147</v>
      </c>
      <c r="U369" s="5" t="n">
        <v>45</v>
      </c>
      <c r="V369" s="0" t="s">
        <v>2352</v>
      </c>
      <c r="W369" s="0" t="s">
        <v>148</v>
      </c>
      <c r="X369" s="0" t="s">
        <v>98</v>
      </c>
      <c r="Y369" s="0" t="s">
        <v>99</v>
      </c>
      <c r="Z369" s="0" t="s">
        <v>177</v>
      </c>
      <c r="AA369" s="0" t="s">
        <v>79</v>
      </c>
      <c r="AB369" s="5" t="n">
        <v>20000</v>
      </c>
      <c r="AC369" s="5" t="n">
        <v>35000</v>
      </c>
      <c r="AD369" s="0" t="s">
        <v>63</v>
      </c>
      <c r="AE369" s="5" t="n">
        <v>10000</v>
      </c>
      <c r="AF369" s="0" t="s">
        <v>60</v>
      </c>
      <c r="AG369" s="7" t="s">
        <v>2330</v>
      </c>
      <c r="AH369" s="0" t="s">
        <v>63</v>
      </c>
      <c r="AI369" s="0" t="s">
        <v>2331</v>
      </c>
      <c r="AJ369" s="0" t="s">
        <v>117</v>
      </c>
      <c r="AK369" s="0" t="s">
        <v>50</v>
      </c>
      <c r="AL369" s="0" t="s">
        <v>50</v>
      </c>
      <c r="AM369" s="0" t="s">
        <v>50</v>
      </c>
      <c r="AN369" s="0" t="s">
        <v>64</v>
      </c>
      <c r="AO369" s="0" t="s">
        <v>63</v>
      </c>
    </row>
    <row r="370" customFormat="false" ht="15" hidden="false" customHeight="false" outlineLevel="0" collapsed="false">
      <c r="A370" s="0" t="s">
        <v>1000</v>
      </c>
      <c r="B370" s="2" t="s">
        <v>1339</v>
      </c>
      <c r="C370" s="0" t="s">
        <v>163</v>
      </c>
      <c r="D370" s="0" t="n">
        <v>8033062057</v>
      </c>
      <c r="E370" s="0" t="s">
        <v>122</v>
      </c>
      <c r="F370" s="0" t="s">
        <v>2316</v>
      </c>
      <c r="G370" s="0" t="s">
        <v>1001</v>
      </c>
      <c r="H370" s="0" t="s">
        <v>107</v>
      </c>
      <c r="I370" s="3" t="s">
        <v>2322</v>
      </c>
      <c r="J370" s="0" t="s">
        <v>2339</v>
      </c>
      <c r="K370" s="0" t="s">
        <v>109</v>
      </c>
      <c r="L370" s="4" t="n">
        <v>23167</v>
      </c>
      <c r="M370" s="0" t="s">
        <v>110</v>
      </c>
      <c r="N370" s="0" t="s">
        <v>50</v>
      </c>
      <c r="O370" s="5" t="n">
        <v>1</v>
      </c>
      <c r="P370" s="0" t="n">
        <v>3.5</v>
      </c>
      <c r="Q370" s="0" t="s">
        <v>2334</v>
      </c>
      <c r="R370" s="0" t="s">
        <v>73</v>
      </c>
      <c r="S370" s="0" t="s">
        <v>2340</v>
      </c>
      <c r="T370" s="0" t="s">
        <v>54</v>
      </c>
      <c r="U370" s="5" t="n">
        <v>30</v>
      </c>
      <c r="V370" s="0" t="s">
        <v>96</v>
      </c>
      <c r="W370" s="0" t="s">
        <v>2337</v>
      </c>
      <c r="X370" s="0" t="s">
        <v>78</v>
      </c>
      <c r="Y370" s="0" t="s">
        <v>58</v>
      </c>
      <c r="Z370" s="0" t="s">
        <v>177</v>
      </c>
      <c r="AA370" s="0" t="s">
        <v>2329</v>
      </c>
      <c r="AB370" s="5" t="n">
        <v>26290.3225806452</v>
      </c>
      <c r="AC370" s="5" t="n">
        <v>35000</v>
      </c>
      <c r="AD370" s="0" t="s">
        <v>50</v>
      </c>
      <c r="AE370" s="5" t="n">
        <v>10000</v>
      </c>
      <c r="AF370" s="0" t="s">
        <v>60</v>
      </c>
      <c r="AG370" s="7" t="s">
        <v>212</v>
      </c>
      <c r="AH370" s="0" t="s">
        <v>63</v>
      </c>
      <c r="AI370" s="0" t="s">
        <v>116</v>
      </c>
      <c r="AJ370" s="0" t="s">
        <v>2331</v>
      </c>
      <c r="AK370" s="0" t="s">
        <v>50</v>
      </c>
      <c r="AL370" s="0" t="s">
        <v>63</v>
      </c>
      <c r="AM370" s="0" t="s">
        <v>50</v>
      </c>
      <c r="AN370" s="0" t="s">
        <v>2321</v>
      </c>
      <c r="AO370" s="0" t="s">
        <v>2359</v>
      </c>
    </row>
    <row r="371" customFormat="false" ht="15" hidden="false" customHeight="false" outlineLevel="0" collapsed="false">
      <c r="A371" s="0" t="s">
        <v>1002</v>
      </c>
      <c r="B371" s="2" t="s">
        <v>635</v>
      </c>
      <c r="C371" s="0" t="s">
        <v>42</v>
      </c>
      <c r="D371" s="0" t="n">
        <v>8053858604</v>
      </c>
      <c r="E371" s="0" t="s">
        <v>67</v>
      </c>
      <c r="F371" s="0" t="s">
        <v>2316</v>
      </c>
      <c r="G371" s="0" t="s">
        <v>1003</v>
      </c>
      <c r="H371" s="0" t="s">
        <v>134</v>
      </c>
      <c r="I371" s="3" t="s">
        <v>2325</v>
      </c>
      <c r="J371" s="0" t="s">
        <v>2347</v>
      </c>
      <c r="K371" s="0" t="s">
        <v>71</v>
      </c>
      <c r="L371" s="4" t="n">
        <v>21809</v>
      </c>
      <c r="M371" s="0" t="s">
        <v>49</v>
      </c>
      <c r="N371" s="0" t="s">
        <v>63</v>
      </c>
      <c r="O371" s="5" t="n">
        <v>5</v>
      </c>
      <c r="P371" s="0" t="n">
        <v>4.8</v>
      </c>
      <c r="Q371" s="0" t="s">
        <v>51</v>
      </c>
      <c r="R371" s="0" t="s">
        <v>73</v>
      </c>
      <c r="S371" s="0" t="s">
        <v>2340</v>
      </c>
      <c r="T371" s="0" t="s">
        <v>2343</v>
      </c>
      <c r="U371" s="5" t="n">
        <v>45</v>
      </c>
      <c r="V371" s="0" t="s">
        <v>112</v>
      </c>
      <c r="W371" s="0" t="s">
        <v>155</v>
      </c>
      <c r="X371" s="0" t="s">
        <v>78</v>
      </c>
      <c r="Y371" s="0" t="s">
        <v>99</v>
      </c>
      <c r="Z371" s="0" t="s">
        <v>2329</v>
      </c>
      <c r="AA371" s="0" t="s">
        <v>79</v>
      </c>
      <c r="AB371" s="5" t="n">
        <v>15000</v>
      </c>
      <c r="AC371" s="5" t="n">
        <v>35000</v>
      </c>
      <c r="AD371" s="0" t="s">
        <v>63</v>
      </c>
      <c r="AE371" s="5" t="n">
        <v>0</v>
      </c>
      <c r="AF371" s="0" t="s">
        <v>184</v>
      </c>
      <c r="AG371" s="7" t="s">
        <v>2483</v>
      </c>
      <c r="AH371" s="0" t="s">
        <v>63</v>
      </c>
      <c r="AI371" s="0" t="s">
        <v>2331</v>
      </c>
      <c r="AJ371" s="0" t="s">
        <v>117</v>
      </c>
      <c r="AK371" s="0" t="s">
        <v>63</v>
      </c>
      <c r="AL371" s="0" t="s">
        <v>2344</v>
      </c>
      <c r="AM371" s="0" t="s">
        <v>2344</v>
      </c>
      <c r="AN371" s="0" t="s">
        <v>64</v>
      </c>
      <c r="AO371" s="0" t="s">
        <v>50</v>
      </c>
    </row>
    <row r="372" customFormat="false" ht="15" hidden="false" customHeight="false" outlineLevel="0" collapsed="false">
      <c r="A372" s="0" t="s">
        <v>1004</v>
      </c>
      <c r="B372" s="2" t="s">
        <v>305</v>
      </c>
      <c r="C372" s="0" t="s">
        <v>42</v>
      </c>
      <c r="D372" s="0" t="n">
        <v>8065144861</v>
      </c>
      <c r="E372" s="0" t="s">
        <v>122</v>
      </c>
      <c r="F372" s="0" t="s">
        <v>2316</v>
      </c>
      <c r="G372" s="0" t="s">
        <v>1005</v>
      </c>
      <c r="H372" s="0" t="s">
        <v>134</v>
      </c>
      <c r="I372" s="3" t="s">
        <v>2342</v>
      </c>
      <c r="J372" s="0" t="s">
        <v>2339</v>
      </c>
      <c r="K372" s="0" t="s">
        <v>71</v>
      </c>
      <c r="L372" s="4" t="n">
        <v>47283</v>
      </c>
      <c r="M372" s="0" t="s">
        <v>110</v>
      </c>
      <c r="N372" s="0" t="s">
        <v>50</v>
      </c>
      <c r="O372" s="5" t="n">
        <v>5</v>
      </c>
      <c r="P372" s="0" t="n">
        <v>5.2</v>
      </c>
      <c r="Q372" s="0" t="s">
        <v>125</v>
      </c>
      <c r="R372" s="0" t="s">
        <v>52</v>
      </c>
      <c r="S372" s="0" t="s">
        <v>2366</v>
      </c>
      <c r="T372" s="0" t="s">
        <v>75</v>
      </c>
      <c r="U372" s="5" t="n">
        <v>60</v>
      </c>
      <c r="V372" s="0" t="s">
        <v>112</v>
      </c>
      <c r="W372" s="0" t="s">
        <v>155</v>
      </c>
      <c r="X372" s="0" t="s">
        <v>98</v>
      </c>
      <c r="Y372" s="0" t="s">
        <v>58</v>
      </c>
      <c r="Z372" s="0" t="s">
        <v>2324</v>
      </c>
      <c r="AA372" s="0" t="s">
        <v>161</v>
      </c>
      <c r="AB372" s="5" t="n">
        <v>15000</v>
      </c>
      <c r="AC372" s="5" t="n">
        <v>31429.9242424242</v>
      </c>
      <c r="AD372" s="0" t="s">
        <v>50</v>
      </c>
      <c r="AE372" s="5" t="n">
        <v>10000</v>
      </c>
      <c r="AF372" s="0" t="s">
        <v>184</v>
      </c>
      <c r="AG372" s="7" t="s">
        <v>2330</v>
      </c>
      <c r="AH372" s="0" t="s">
        <v>63</v>
      </c>
      <c r="AI372" s="0" t="s">
        <v>2331</v>
      </c>
      <c r="AJ372" s="0" t="s">
        <v>117</v>
      </c>
      <c r="AK372" s="0" t="s">
        <v>63</v>
      </c>
      <c r="AL372" s="0" t="s">
        <v>50</v>
      </c>
      <c r="AM372" s="0" t="s">
        <v>2344</v>
      </c>
      <c r="AN372" s="0" t="s">
        <v>2321</v>
      </c>
      <c r="AO372" s="0" t="s">
        <v>50</v>
      </c>
    </row>
    <row r="373" customFormat="false" ht="15" hidden="false" customHeight="false" outlineLevel="0" collapsed="false">
      <c r="A373" s="0" t="s">
        <v>1006</v>
      </c>
      <c r="B373" s="2" t="s">
        <v>505</v>
      </c>
      <c r="C373" s="0" t="s">
        <v>121</v>
      </c>
      <c r="D373" s="0" t="n">
        <v>8062493261</v>
      </c>
      <c r="E373" s="0" t="s">
        <v>67</v>
      </c>
      <c r="F373" s="0" t="s">
        <v>2316</v>
      </c>
      <c r="G373" s="0" t="s">
        <v>1007</v>
      </c>
      <c r="H373" s="0" t="s">
        <v>134</v>
      </c>
      <c r="I373" s="3" t="s">
        <v>2342</v>
      </c>
      <c r="J373" s="0" t="s">
        <v>189</v>
      </c>
      <c r="K373" s="0" t="s">
        <v>109</v>
      </c>
      <c r="L373" s="4" t="n">
        <v>12976</v>
      </c>
      <c r="M373" s="0" t="s">
        <v>49</v>
      </c>
      <c r="N373" s="0" t="s">
        <v>50</v>
      </c>
      <c r="O373" s="5" t="n">
        <v>2</v>
      </c>
      <c r="P373" s="0" t="n">
        <v>1.6</v>
      </c>
      <c r="Q373" s="0" t="s">
        <v>2334</v>
      </c>
      <c r="R373" s="0" t="s">
        <v>93</v>
      </c>
      <c r="S373" s="0" t="s">
        <v>53</v>
      </c>
      <c r="T373" s="0" t="s">
        <v>95</v>
      </c>
      <c r="U373" s="5" t="n">
        <v>45</v>
      </c>
      <c r="V373" s="0" t="s">
        <v>96</v>
      </c>
      <c r="W373" s="0" t="s">
        <v>155</v>
      </c>
      <c r="X373" s="0" t="s">
        <v>78</v>
      </c>
      <c r="Y373" s="0" t="s">
        <v>196</v>
      </c>
      <c r="Z373" s="0" t="s">
        <v>2329</v>
      </c>
      <c r="AA373" s="0" t="s">
        <v>149</v>
      </c>
      <c r="AB373" s="5" t="n">
        <v>30000</v>
      </c>
      <c r="AC373" s="5" t="n">
        <v>35000</v>
      </c>
      <c r="AD373" s="0" t="s">
        <v>63</v>
      </c>
      <c r="AE373" s="5" t="n">
        <v>0</v>
      </c>
      <c r="AF373" s="0" t="s">
        <v>184</v>
      </c>
      <c r="AG373" s="7" t="s">
        <v>520</v>
      </c>
      <c r="AH373" s="0" t="s">
        <v>50</v>
      </c>
      <c r="AI373" s="0" t="s">
        <v>171</v>
      </c>
      <c r="AJ373" s="0" t="s">
        <v>172</v>
      </c>
      <c r="AK373" s="0" t="s">
        <v>63</v>
      </c>
      <c r="AL373" s="0" t="s">
        <v>63</v>
      </c>
      <c r="AM373" s="0" t="s">
        <v>2344</v>
      </c>
      <c r="AN373" s="0" t="s">
        <v>2321</v>
      </c>
      <c r="AO373" s="0" t="s">
        <v>50</v>
      </c>
    </row>
    <row r="374" customFormat="false" ht="15" hidden="false" customHeight="false" outlineLevel="0" collapsed="false">
      <c r="A374" s="0" t="s">
        <v>1008</v>
      </c>
      <c r="B374" s="2" t="s">
        <v>2374</v>
      </c>
      <c r="C374" s="0" t="s">
        <v>121</v>
      </c>
      <c r="D374" s="0" t="n">
        <v>8031076941</v>
      </c>
      <c r="E374" s="0" t="s">
        <v>85</v>
      </c>
      <c r="F374" s="0" t="s">
        <v>2319</v>
      </c>
      <c r="G374" s="0" t="s">
        <v>1009</v>
      </c>
      <c r="H374" s="0" t="s">
        <v>69</v>
      </c>
      <c r="I374" s="3" t="s">
        <v>2342</v>
      </c>
      <c r="J374" s="0" t="s">
        <v>47</v>
      </c>
      <c r="K374" s="0" t="s">
        <v>48</v>
      </c>
      <c r="L374" s="4" t="n">
        <v>113525</v>
      </c>
      <c r="M374" s="0" t="s">
        <v>2333</v>
      </c>
      <c r="N374" s="0" t="s">
        <v>50</v>
      </c>
      <c r="O374" s="5" t="n">
        <v>3</v>
      </c>
      <c r="P374" s="0" t="n">
        <v>1.4</v>
      </c>
      <c r="Q374" s="0" t="s">
        <v>125</v>
      </c>
      <c r="R374" s="0" t="s">
        <v>73</v>
      </c>
      <c r="S374" s="0" t="s">
        <v>2340</v>
      </c>
      <c r="T374" s="0" t="s">
        <v>95</v>
      </c>
      <c r="U374" s="5" t="n">
        <v>30</v>
      </c>
      <c r="V374" s="0" t="s">
        <v>55</v>
      </c>
      <c r="W374" s="0" t="s">
        <v>2337</v>
      </c>
      <c r="X374" s="0" t="s">
        <v>98</v>
      </c>
      <c r="Y374" s="0" t="s">
        <v>196</v>
      </c>
      <c r="Z374" s="0" t="s">
        <v>177</v>
      </c>
      <c r="AA374" s="0" t="s">
        <v>149</v>
      </c>
      <c r="AB374" s="5" t="n">
        <v>40000</v>
      </c>
      <c r="AC374" s="5" t="n">
        <v>30000</v>
      </c>
      <c r="AD374" s="0" t="s">
        <v>63</v>
      </c>
      <c r="AE374" s="5" t="n">
        <v>5000</v>
      </c>
      <c r="AF374" s="0" t="s">
        <v>130</v>
      </c>
      <c r="AG374" s="7" t="s">
        <v>2330</v>
      </c>
      <c r="AH374" s="0" t="s">
        <v>2329</v>
      </c>
      <c r="AI374" s="0" t="s">
        <v>2331</v>
      </c>
      <c r="AJ374" s="0" t="s">
        <v>2331</v>
      </c>
      <c r="AK374" s="0" t="s">
        <v>63</v>
      </c>
      <c r="AL374" s="0" t="s">
        <v>2344</v>
      </c>
      <c r="AM374" s="0" t="s">
        <v>2344</v>
      </c>
      <c r="AN374" s="0" t="s">
        <v>2321</v>
      </c>
      <c r="AO374" s="0" t="s">
        <v>50</v>
      </c>
    </row>
    <row r="375" customFormat="false" ht="15" hidden="false" customHeight="false" outlineLevel="0" collapsed="false">
      <c r="A375" s="0" t="s">
        <v>1010</v>
      </c>
      <c r="B375" s="2" t="s">
        <v>1113</v>
      </c>
      <c r="C375" s="0" t="s">
        <v>42</v>
      </c>
      <c r="D375" s="0" t="n">
        <v>8024863801</v>
      </c>
      <c r="E375" s="0" t="s">
        <v>122</v>
      </c>
      <c r="F375" s="0" t="s">
        <v>2316</v>
      </c>
      <c r="G375" s="0" t="s">
        <v>1011</v>
      </c>
      <c r="H375" s="0" t="s">
        <v>87</v>
      </c>
      <c r="I375" s="3" t="s">
        <v>2325</v>
      </c>
      <c r="J375" s="0" t="s">
        <v>47</v>
      </c>
      <c r="K375" s="0" t="s">
        <v>48</v>
      </c>
      <c r="L375" s="4" t="n">
        <v>83188</v>
      </c>
      <c r="M375" s="0" t="s">
        <v>2333</v>
      </c>
      <c r="N375" s="0" t="s">
        <v>50</v>
      </c>
      <c r="O375" s="5" t="n">
        <v>1</v>
      </c>
      <c r="P375" s="0" t="n">
        <v>2.2</v>
      </c>
      <c r="Q375" s="0" t="s">
        <v>2334</v>
      </c>
      <c r="R375" s="0" t="s">
        <v>52</v>
      </c>
      <c r="S375" s="0" t="s">
        <v>2340</v>
      </c>
      <c r="T375" s="0" t="s">
        <v>2343</v>
      </c>
      <c r="U375" s="5" t="n">
        <v>36.038961038961</v>
      </c>
      <c r="V375" s="0" t="s">
        <v>96</v>
      </c>
      <c r="W375" s="0" t="s">
        <v>155</v>
      </c>
      <c r="X375" s="0" t="s">
        <v>98</v>
      </c>
      <c r="Y375" s="0" t="s">
        <v>99</v>
      </c>
      <c r="Z375" s="0" t="s">
        <v>59</v>
      </c>
      <c r="AA375" s="0" t="s">
        <v>161</v>
      </c>
      <c r="AB375" s="5" t="n">
        <v>25000</v>
      </c>
      <c r="AC375" s="5" t="n">
        <v>35000</v>
      </c>
      <c r="AD375" s="0" t="s">
        <v>50</v>
      </c>
      <c r="AE375" s="5" t="n">
        <v>0</v>
      </c>
      <c r="AF375" s="0" t="s">
        <v>60</v>
      </c>
      <c r="AG375" s="7" t="s">
        <v>2330</v>
      </c>
      <c r="AH375" s="0" t="s">
        <v>63</v>
      </c>
      <c r="AI375" s="0" t="s">
        <v>116</v>
      </c>
      <c r="AJ375" s="0" t="s">
        <v>2320</v>
      </c>
      <c r="AK375" s="0" t="s">
        <v>2344</v>
      </c>
      <c r="AL375" s="0" t="s">
        <v>50</v>
      </c>
      <c r="AM375" s="0" t="s">
        <v>63</v>
      </c>
      <c r="AN375" s="0" t="s">
        <v>64</v>
      </c>
      <c r="AO375" s="0" t="s">
        <v>50</v>
      </c>
    </row>
    <row r="376" customFormat="false" ht="15" hidden="false" customHeight="false" outlineLevel="0" collapsed="false">
      <c r="A376" s="0" t="s">
        <v>1012</v>
      </c>
      <c r="B376" s="2" t="s">
        <v>2489</v>
      </c>
      <c r="C376" s="0" t="s">
        <v>42</v>
      </c>
      <c r="D376" s="0" t="n">
        <v>8027332564</v>
      </c>
      <c r="E376" s="0" t="s">
        <v>122</v>
      </c>
      <c r="F376" s="0" t="s">
        <v>2316</v>
      </c>
      <c r="G376" s="0" t="s">
        <v>1013</v>
      </c>
      <c r="H376" s="0" t="s">
        <v>107</v>
      </c>
      <c r="I376" s="3" t="s">
        <v>87</v>
      </c>
      <c r="J376" s="0" t="s">
        <v>2341</v>
      </c>
      <c r="K376" s="0" t="s">
        <v>71</v>
      </c>
      <c r="L376" s="4" t="n">
        <v>99527</v>
      </c>
      <c r="M376" s="0" t="s">
        <v>49</v>
      </c>
      <c r="N376" s="0" t="s">
        <v>63</v>
      </c>
      <c r="O376" s="5" t="n">
        <v>4</v>
      </c>
      <c r="P376" s="0" t="n">
        <v>5.9</v>
      </c>
      <c r="Q376" s="0" t="s">
        <v>111</v>
      </c>
      <c r="R376" s="0" t="s">
        <v>73</v>
      </c>
      <c r="S376" s="0" t="s">
        <v>53</v>
      </c>
      <c r="T376" s="0" t="s">
        <v>54</v>
      </c>
      <c r="U376" s="5" t="n">
        <v>45</v>
      </c>
      <c r="V376" s="0" t="s">
        <v>2352</v>
      </c>
      <c r="W376" s="0" t="s">
        <v>2337</v>
      </c>
      <c r="X376" s="0" t="s">
        <v>128</v>
      </c>
      <c r="Y376" s="0" t="s">
        <v>196</v>
      </c>
      <c r="Z376" s="0" t="s">
        <v>2329</v>
      </c>
      <c r="AA376" s="0" t="s">
        <v>79</v>
      </c>
      <c r="AB376" s="5" t="n">
        <v>25000</v>
      </c>
      <c r="AC376" s="5" t="n">
        <v>20000</v>
      </c>
      <c r="AD376" s="0" t="s">
        <v>63</v>
      </c>
      <c r="AE376" s="5" t="n">
        <v>0</v>
      </c>
      <c r="AF376" s="0" t="s">
        <v>60</v>
      </c>
      <c r="AG376" s="7" t="s">
        <v>1014</v>
      </c>
      <c r="AH376" s="0" t="s">
        <v>50</v>
      </c>
      <c r="AI376" s="0" t="s">
        <v>2331</v>
      </c>
      <c r="AJ376" s="0" t="s">
        <v>172</v>
      </c>
      <c r="AK376" s="0" t="s">
        <v>63</v>
      </c>
      <c r="AL376" s="0" t="s">
        <v>2344</v>
      </c>
      <c r="AM376" s="0" t="s">
        <v>50</v>
      </c>
      <c r="AN376" s="0" t="s">
        <v>2318</v>
      </c>
      <c r="AO376" s="0" t="s">
        <v>63</v>
      </c>
    </row>
    <row r="377" customFormat="false" ht="15" hidden="false" customHeight="false" outlineLevel="0" collapsed="false">
      <c r="A377" s="0" t="s">
        <v>1015</v>
      </c>
      <c r="B377" s="2" t="s">
        <v>316</v>
      </c>
      <c r="C377" s="0" t="s">
        <v>163</v>
      </c>
      <c r="D377" s="0" t="n">
        <v>8082001505</v>
      </c>
      <c r="E377" s="0" t="s">
        <v>43</v>
      </c>
      <c r="F377" s="0" t="s">
        <v>2315</v>
      </c>
      <c r="G377" s="0" t="s">
        <v>1016</v>
      </c>
      <c r="H377" s="0" t="s">
        <v>134</v>
      </c>
      <c r="I377" s="3" t="s">
        <v>2322</v>
      </c>
      <c r="J377" s="0" t="s">
        <v>2349</v>
      </c>
      <c r="K377" s="0" t="s">
        <v>71</v>
      </c>
      <c r="L377" s="4" t="n">
        <v>61745</v>
      </c>
      <c r="M377" s="0" t="s">
        <v>49</v>
      </c>
      <c r="N377" s="0" t="s">
        <v>63</v>
      </c>
      <c r="O377" s="5" t="n">
        <v>3</v>
      </c>
      <c r="P377" s="0" t="n">
        <v>3.5</v>
      </c>
      <c r="Q377" s="0" t="s">
        <v>51</v>
      </c>
      <c r="R377" s="0" t="s">
        <v>93</v>
      </c>
      <c r="S377" s="0" t="s">
        <v>53</v>
      </c>
      <c r="T377" s="0" t="s">
        <v>2353</v>
      </c>
      <c r="U377" s="5" t="n">
        <v>45</v>
      </c>
      <c r="V377" s="0" t="s">
        <v>55</v>
      </c>
      <c r="W377" s="0" t="s">
        <v>2328</v>
      </c>
      <c r="X377" s="0" t="s">
        <v>128</v>
      </c>
      <c r="Y377" s="0" t="s">
        <v>58</v>
      </c>
      <c r="Z377" s="0" t="s">
        <v>177</v>
      </c>
      <c r="AA377" s="0" t="s">
        <v>2329</v>
      </c>
      <c r="AB377" s="5" t="n">
        <v>15000</v>
      </c>
      <c r="AC377" s="5" t="n">
        <v>30000</v>
      </c>
      <c r="AD377" s="0" t="s">
        <v>50</v>
      </c>
      <c r="AE377" s="5" t="n">
        <v>10000</v>
      </c>
      <c r="AF377" s="0" t="s">
        <v>60</v>
      </c>
      <c r="AG377" s="7" t="s">
        <v>970</v>
      </c>
      <c r="AH377" s="0" t="s">
        <v>50</v>
      </c>
      <c r="AI377" s="0" t="s">
        <v>116</v>
      </c>
      <c r="AJ377" s="0" t="s">
        <v>117</v>
      </c>
      <c r="AK377" s="0" t="s">
        <v>63</v>
      </c>
      <c r="AL377" s="0" t="s">
        <v>50</v>
      </c>
      <c r="AM377" s="0" t="s">
        <v>2344</v>
      </c>
      <c r="AN377" s="0" t="s">
        <v>2321</v>
      </c>
      <c r="AO377" s="0" t="s">
        <v>63</v>
      </c>
    </row>
    <row r="378" customFormat="false" ht="15" hidden="false" customHeight="false" outlineLevel="0" collapsed="false">
      <c r="A378" s="0" t="s">
        <v>1017</v>
      </c>
      <c r="B378" s="2" t="s">
        <v>1714</v>
      </c>
      <c r="C378" s="0" t="s">
        <v>163</v>
      </c>
      <c r="D378" s="0" t="n">
        <v>8066158469</v>
      </c>
      <c r="E378" s="0" t="s">
        <v>85</v>
      </c>
      <c r="F378" s="0" t="s">
        <v>2319</v>
      </c>
      <c r="G378" s="0" t="s">
        <v>1018</v>
      </c>
      <c r="H378" s="0" t="s">
        <v>45</v>
      </c>
      <c r="I378" s="3" t="s">
        <v>2325</v>
      </c>
      <c r="J378" s="0" t="s">
        <v>189</v>
      </c>
      <c r="K378" s="0" t="s">
        <v>71</v>
      </c>
      <c r="L378" s="4" t="n">
        <v>91965</v>
      </c>
      <c r="M378" s="0" t="s">
        <v>110</v>
      </c>
      <c r="N378" s="0" t="s">
        <v>63</v>
      </c>
      <c r="O378" s="5" t="n">
        <v>3.06395348837209</v>
      </c>
      <c r="P378" s="0" t="n">
        <v>3.7</v>
      </c>
      <c r="Q378" s="0" t="s">
        <v>111</v>
      </c>
      <c r="R378" s="0" t="s">
        <v>52</v>
      </c>
      <c r="S378" s="0" t="s">
        <v>53</v>
      </c>
      <c r="T378" s="0" t="s">
        <v>2353</v>
      </c>
      <c r="U378" s="5" t="n">
        <v>45</v>
      </c>
      <c r="V378" s="0" t="s">
        <v>112</v>
      </c>
      <c r="W378" s="0" t="s">
        <v>155</v>
      </c>
      <c r="X378" s="0" t="s">
        <v>98</v>
      </c>
      <c r="Y378" s="0" t="s">
        <v>58</v>
      </c>
      <c r="Z378" s="0" t="s">
        <v>2329</v>
      </c>
      <c r="AA378" s="0" t="s">
        <v>79</v>
      </c>
      <c r="AB378" s="5" t="n">
        <v>25000</v>
      </c>
      <c r="AC378" s="5" t="n">
        <v>35000</v>
      </c>
      <c r="AD378" s="0" t="s">
        <v>63</v>
      </c>
      <c r="AE378" s="5" t="n">
        <v>0</v>
      </c>
      <c r="AF378" s="0" t="s">
        <v>184</v>
      </c>
      <c r="AG378" s="7" t="s">
        <v>1019</v>
      </c>
      <c r="AH378" s="0" t="s">
        <v>50</v>
      </c>
      <c r="AI378" s="0" t="s">
        <v>171</v>
      </c>
      <c r="AJ378" s="0" t="s">
        <v>172</v>
      </c>
      <c r="AK378" s="0" t="s">
        <v>63</v>
      </c>
      <c r="AL378" s="0" t="s">
        <v>63</v>
      </c>
      <c r="AM378" s="0" t="s">
        <v>63</v>
      </c>
      <c r="AN378" s="0" t="s">
        <v>2318</v>
      </c>
      <c r="AO378" s="0" t="s">
        <v>63</v>
      </c>
    </row>
    <row r="379" customFormat="false" ht="15" hidden="false" customHeight="false" outlineLevel="0" collapsed="false">
      <c r="A379" s="0" t="s">
        <v>1020</v>
      </c>
      <c r="B379" s="2" t="s">
        <v>505</v>
      </c>
      <c r="C379" s="0" t="s">
        <v>42</v>
      </c>
      <c r="D379" s="0" t="n">
        <v>8074189781</v>
      </c>
      <c r="E379" s="0" t="s">
        <v>139</v>
      </c>
      <c r="F379" s="0" t="s">
        <v>2323</v>
      </c>
      <c r="G379" s="0" t="s">
        <v>1021</v>
      </c>
      <c r="H379" s="0" t="s">
        <v>69</v>
      </c>
      <c r="I379" s="3" t="s">
        <v>87</v>
      </c>
      <c r="J379" s="0" t="s">
        <v>2349</v>
      </c>
      <c r="K379" s="0" t="s">
        <v>90</v>
      </c>
      <c r="L379" s="4" t="n">
        <v>78788</v>
      </c>
      <c r="M379" s="0" t="s">
        <v>2333</v>
      </c>
      <c r="N379" s="0" t="s">
        <v>63</v>
      </c>
      <c r="O379" s="5" t="n">
        <v>5</v>
      </c>
      <c r="P379" s="0" t="n">
        <v>2.4</v>
      </c>
      <c r="Q379" s="0" t="s">
        <v>111</v>
      </c>
      <c r="R379" s="0" t="s">
        <v>73</v>
      </c>
      <c r="S379" s="0" t="s">
        <v>53</v>
      </c>
      <c r="T379" s="0" t="s">
        <v>2343</v>
      </c>
      <c r="U379" s="5" t="n">
        <v>37.4226804123711</v>
      </c>
      <c r="V379" s="0" t="s">
        <v>2336</v>
      </c>
      <c r="W379" s="0" t="s">
        <v>155</v>
      </c>
      <c r="X379" s="0" t="s">
        <v>78</v>
      </c>
      <c r="Y379" s="0" t="s">
        <v>58</v>
      </c>
      <c r="Z379" s="0" t="s">
        <v>59</v>
      </c>
      <c r="AA379" s="0" t="s">
        <v>149</v>
      </c>
      <c r="AB379" s="5" t="n">
        <v>25000</v>
      </c>
      <c r="AC379" s="5" t="n">
        <v>20000</v>
      </c>
      <c r="AD379" s="0" t="s">
        <v>50</v>
      </c>
      <c r="AE379" s="5" t="n">
        <v>0</v>
      </c>
      <c r="AF379" s="0" t="s">
        <v>60</v>
      </c>
      <c r="AG379" s="7" t="s">
        <v>2420</v>
      </c>
      <c r="AH379" s="0" t="s">
        <v>50</v>
      </c>
      <c r="AI379" s="0" t="s">
        <v>2331</v>
      </c>
      <c r="AJ379" s="0" t="s">
        <v>172</v>
      </c>
      <c r="AK379" s="0" t="s">
        <v>50</v>
      </c>
      <c r="AL379" s="0" t="s">
        <v>50</v>
      </c>
      <c r="AM379" s="0" t="s">
        <v>63</v>
      </c>
      <c r="AN379" s="0" t="s">
        <v>2318</v>
      </c>
      <c r="AO379" s="0" t="s">
        <v>63</v>
      </c>
    </row>
    <row r="380" customFormat="false" ht="15" hidden="false" customHeight="false" outlineLevel="0" collapsed="false">
      <c r="A380" s="0" t="s">
        <v>1022</v>
      </c>
      <c r="B380" s="2" t="s">
        <v>1358</v>
      </c>
      <c r="C380" s="0" t="s">
        <v>163</v>
      </c>
      <c r="D380" s="0" t="n">
        <v>8019229212</v>
      </c>
      <c r="E380" s="0" t="s">
        <v>122</v>
      </c>
      <c r="F380" s="0" t="s">
        <v>2316</v>
      </c>
      <c r="G380" s="0" t="s">
        <v>1023</v>
      </c>
      <c r="H380" s="0" t="s">
        <v>45</v>
      </c>
      <c r="I380" s="3" t="s">
        <v>2317</v>
      </c>
      <c r="J380" s="0" t="s">
        <v>2341</v>
      </c>
      <c r="K380" s="0" t="s">
        <v>109</v>
      </c>
      <c r="L380" s="4" t="n">
        <v>28430</v>
      </c>
      <c r="M380" s="0" t="s">
        <v>49</v>
      </c>
      <c r="N380" s="0" t="s">
        <v>50</v>
      </c>
      <c r="O380" s="5" t="n">
        <v>2</v>
      </c>
      <c r="P380" s="0" t="n">
        <v>5.6</v>
      </c>
      <c r="Q380" s="0" t="s">
        <v>125</v>
      </c>
      <c r="R380" s="0" t="s">
        <v>93</v>
      </c>
      <c r="S380" s="0" t="s">
        <v>53</v>
      </c>
      <c r="T380" s="0" t="s">
        <v>75</v>
      </c>
      <c r="U380" s="5" t="n">
        <v>30</v>
      </c>
      <c r="V380" s="0" t="s">
        <v>112</v>
      </c>
      <c r="W380" s="0" t="s">
        <v>155</v>
      </c>
      <c r="X380" s="0" t="s">
        <v>78</v>
      </c>
      <c r="Y380" s="0" t="s">
        <v>196</v>
      </c>
      <c r="Z380" s="0" t="s">
        <v>59</v>
      </c>
      <c r="AA380" s="0" t="s">
        <v>79</v>
      </c>
      <c r="AB380" s="5" t="n">
        <v>27826.0869565217</v>
      </c>
      <c r="AC380" s="5" t="n">
        <v>20000</v>
      </c>
      <c r="AD380" s="0" t="s">
        <v>50</v>
      </c>
      <c r="AE380" s="5" t="n">
        <v>5000</v>
      </c>
      <c r="AF380" s="0" t="s">
        <v>60</v>
      </c>
      <c r="AG380" s="7" t="s">
        <v>2330</v>
      </c>
      <c r="AH380" s="0" t="s">
        <v>50</v>
      </c>
      <c r="AI380" s="0" t="s">
        <v>171</v>
      </c>
      <c r="AJ380" s="0" t="s">
        <v>2331</v>
      </c>
      <c r="AK380" s="0" t="s">
        <v>50</v>
      </c>
      <c r="AL380" s="0" t="s">
        <v>2344</v>
      </c>
      <c r="AM380" s="0" t="s">
        <v>2344</v>
      </c>
      <c r="AN380" s="0" t="s">
        <v>2321</v>
      </c>
      <c r="AO380" s="0" t="s">
        <v>63</v>
      </c>
    </row>
    <row r="381" customFormat="false" ht="15" hidden="false" customHeight="false" outlineLevel="0" collapsed="false">
      <c r="A381" s="0" t="s">
        <v>1024</v>
      </c>
      <c r="B381" s="2" t="s">
        <v>1305</v>
      </c>
      <c r="C381" s="0" t="s">
        <v>42</v>
      </c>
      <c r="D381" s="0" t="n">
        <v>8062209742</v>
      </c>
      <c r="E381" s="0" t="s">
        <v>139</v>
      </c>
      <c r="F381" s="0" t="s">
        <v>2323</v>
      </c>
      <c r="G381" s="0" t="s">
        <v>1025</v>
      </c>
      <c r="H381" s="0" t="s">
        <v>107</v>
      </c>
      <c r="I381" s="3" t="s">
        <v>2322</v>
      </c>
      <c r="J381" s="0" t="s">
        <v>47</v>
      </c>
      <c r="K381" s="0" t="s">
        <v>71</v>
      </c>
      <c r="L381" s="4" t="n">
        <v>54191</v>
      </c>
      <c r="M381" s="0" t="s">
        <v>110</v>
      </c>
      <c r="N381" s="0" t="s">
        <v>50</v>
      </c>
      <c r="O381" s="5" t="n">
        <v>5</v>
      </c>
      <c r="P381" s="0" t="n">
        <v>3.9</v>
      </c>
      <c r="Q381" s="0" t="s">
        <v>111</v>
      </c>
      <c r="R381" s="0" t="s">
        <v>73</v>
      </c>
      <c r="S381" s="0" t="s">
        <v>53</v>
      </c>
      <c r="T381" s="0" t="s">
        <v>2343</v>
      </c>
      <c r="U381" s="5" t="n">
        <v>30</v>
      </c>
      <c r="V381" s="0" t="s">
        <v>55</v>
      </c>
      <c r="W381" s="0" t="s">
        <v>2337</v>
      </c>
      <c r="X381" s="0" t="s">
        <v>98</v>
      </c>
      <c r="Y381" s="0" t="s">
        <v>58</v>
      </c>
      <c r="Z381" s="0" t="s">
        <v>2324</v>
      </c>
      <c r="AA381" s="0" t="s">
        <v>143</v>
      </c>
      <c r="AB381" s="5" t="n">
        <v>40000</v>
      </c>
      <c r="AC381" s="5" t="n">
        <v>31480.7692307692</v>
      </c>
      <c r="AD381" s="0" t="s">
        <v>50</v>
      </c>
      <c r="AE381" s="5" t="n">
        <v>5000</v>
      </c>
      <c r="AF381" s="0" t="s">
        <v>130</v>
      </c>
      <c r="AG381" s="7" t="s">
        <v>2330</v>
      </c>
      <c r="AH381" s="0" t="s">
        <v>50</v>
      </c>
      <c r="AI381" s="0" t="s">
        <v>2331</v>
      </c>
      <c r="AJ381" s="0" t="s">
        <v>172</v>
      </c>
      <c r="AK381" s="0" t="s">
        <v>63</v>
      </c>
      <c r="AL381" s="0" t="s">
        <v>2344</v>
      </c>
      <c r="AM381" s="0" t="s">
        <v>2344</v>
      </c>
      <c r="AN381" s="0" t="s">
        <v>2321</v>
      </c>
      <c r="AO381" s="0" t="s">
        <v>50</v>
      </c>
    </row>
    <row r="382" customFormat="false" ht="15" hidden="false" customHeight="false" outlineLevel="0" collapsed="false">
      <c r="A382" s="0" t="s">
        <v>1026</v>
      </c>
      <c r="B382" s="2" t="s">
        <v>2440</v>
      </c>
      <c r="C382" s="0" t="s">
        <v>163</v>
      </c>
      <c r="D382" s="0" t="n">
        <v>8037713235</v>
      </c>
      <c r="E382" s="0" t="s">
        <v>85</v>
      </c>
      <c r="F382" s="0" t="s">
        <v>2319</v>
      </c>
      <c r="G382" s="0" t="s">
        <v>1027</v>
      </c>
      <c r="H382" s="0" t="s">
        <v>69</v>
      </c>
      <c r="I382" s="3" t="s">
        <v>2322</v>
      </c>
      <c r="J382" s="0" t="s">
        <v>189</v>
      </c>
      <c r="K382" s="0" t="s">
        <v>48</v>
      </c>
      <c r="L382" s="4" t="n">
        <v>11145</v>
      </c>
      <c r="M382" s="0" t="s">
        <v>2333</v>
      </c>
      <c r="N382" s="0" t="s">
        <v>63</v>
      </c>
      <c r="O382" s="5" t="n">
        <v>4</v>
      </c>
      <c r="P382" s="0" t="n">
        <v>5.4</v>
      </c>
      <c r="Q382" s="0" t="s">
        <v>92</v>
      </c>
      <c r="R382" s="0" t="s">
        <v>93</v>
      </c>
      <c r="S382" s="0" t="s">
        <v>53</v>
      </c>
      <c r="T382" s="0" t="s">
        <v>2343</v>
      </c>
      <c r="U382" s="5" t="n">
        <v>60</v>
      </c>
      <c r="V382" s="0" t="s">
        <v>96</v>
      </c>
      <c r="W382" s="0" t="s">
        <v>2337</v>
      </c>
      <c r="X382" s="0" t="s">
        <v>128</v>
      </c>
      <c r="Y382" s="0" t="s">
        <v>114</v>
      </c>
      <c r="Z382" s="0" t="s">
        <v>59</v>
      </c>
      <c r="AA382" s="0" t="s">
        <v>161</v>
      </c>
      <c r="AB382" s="5" t="n">
        <v>20000</v>
      </c>
      <c r="AC382" s="5" t="n">
        <v>30000</v>
      </c>
      <c r="AD382" s="0" t="s">
        <v>50</v>
      </c>
      <c r="AE382" s="5" t="n">
        <v>5000</v>
      </c>
      <c r="AF382" s="0" t="s">
        <v>60</v>
      </c>
      <c r="AG382" s="7" t="s">
        <v>2382</v>
      </c>
      <c r="AH382" s="0" t="s">
        <v>50</v>
      </c>
      <c r="AI382" s="0" t="s">
        <v>116</v>
      </c>
      <c r="AJ382" s="0" t="s">
        <v>2320</v>
      </c>
      <c r="AK382" s="0" t="s">
        <v>2344</v>
      </c>
      <c r="AL382" s="0" t="s">
        <v>50</v>
      </c>
      <c r="AM382" s="0" t="s">
        <v>2344</v>
      </c>
      <c r="AN382" s="0" t="s">
        <v>2321</v>
      </c>
      <c r="AO382" s="0" t="s">
        <v>2359</v>
      </c>
    </row>
    <row r="383" customFormat="false" ht="15" hidden="false" customHeight="false" outlineLevel="0" collapsed="false">
      <c r="A383" s="0" t="s">
        <v>1028</v>
      </c>
      <c r="B383" s="2" t="s">
        <v>2426</v>
      </c>
      <c r="C383" s="0" t="s">
        <v>42</v>
      </c>
      <c r="D383" s="0" t="n">
        <v>8027439215</v>
      </c>
      <c r="E383" s="0" t="s">
        <v>67</v>
      </c>
      <c r="F383" s="0" t="s">
        <v>2316</v>
      </c>
      <c r="G383" s="0" t="s">
        <v>1029</v>
      </c>
      <c r="H383" s="0" t="s">
        <v>107</v>
      </c>
      <c r="I383" s="3" t="s">
        <v>2325</v>
      </c>
      <c r="J383" s="0" t="s">
        <v>189</v>
      </c>
      <c r="K383" s="0" t="s">
        <v>48</v>
      </c>
      <c r="L383" s="4" t="n">
        <v>85553</v>
      </c>
      <c r="M383" s="0" t="s">
        <v>49</v>
      </c>
      <c r="N383" s="0" t="s">
        <v>63</v>
      </c>
      <c r="O383" s="5" t="n">
        <v>2</v>
      </c>
      <c r="P383" s="0" t="n">
        <v>1.1</v>
      </c>
      <c r="Q383" s="0" t="s">
        <v>2334</v>
      </c>
      <c r="R383" s="0" t="s">
        <v>52</v>
      </c>
      <c r="S383" s="0" t="s">
        <v>53</v>
      </c>
      <c r="T383" s="0" t="s">
        <v>54</v>
      </c>
      <c r="U383" s="5" t="n">
        <v>15</v>
      </c>
      <c r="V383" s="0" t="s">
        <v>96</v>
      </c>
      <c r="W383" s="0" t="s">
        <v>155</v>
      </c>
      <c r="X383" s="0" t="s">
        <v>78</v>
      </c>
      <c r="Y383" s="0" t="s">
        <v>58</v>
      </c>
      <c r="Z383" s="0" t="s">
        <v>177</v>
      </c>
      <c r="AA383" s="0" t="s">
        <v>161</v>
      </c>
      <c r="AB383" s="5" t="n">
        <v>20000</v>
      </c>
      <c r="AC383" s="5" t="n">
        <v>40000</v>
      </c>
      <c r="AD383" s="0" t="s">
        <v>50</v>
      </c>
      <c r="AE383" s="5" t="n">
        <v>10000</v>
      </c>
      <c r="AF383" s="0" t="s">
        <v>60</v>
      </c>
      <c r="AG383" s="7" t="s">
        <v>2330</v>
      </c>
      <c r="AH383" s="0" t="s">
        <v>63</v>
      </c>
      <c r="AI383" s="0" t="s">
        <v>171</v>
      </c>
      <c r="AJ383" s="0" t="s">
        <v>2320</v>
      </c>
      <c r="AK383" s="0" t="s">
        <v>50</v>
      </c>
      <c r="AL383" s="0" t="s">
        <v>50</v>
      </c>
      <c r="AM383" s="0" t="s">
        <v>2344</v>
      </c>
      <c r="AN383" s="0" t="s">
        <v>2318</v>
      </c>
      <c r="AO383" s="0" t="s">
        <v>50</v>
      </c>
    </row>
    <row r="384" customFormat="false" ht="15" hidden="false" customHeight="false" outlineLevel="0" collapsed="false">
      <c r="A384" s="0" t="s">
        <v>1030</v>
      </c>
      <c r="B384" s="2" t="s">
        <v>971</v>
      </c>
      <c r="C384" s="0" t="s">
        <v>105</v>
      </c>
      <c r="D384" s="0" t="n">
        <v>8037605500</v>
      </c>
      <c r="E384" s="0" t="s">
        <v>139</v>
      </c>
      <c r="F384" s="0" t="s">
        <v>2323</v>
      </c>
      <c r="G384" s="0" t="s">
        <v>1031</v>
      </c>
      <c r="H384" s="0" t="s">
        <v>134</v>
      </c>
      <c r="I384" s="3" t="s">
        <v>2317</v>
      </c>
      <c r="J384" s="0" t="s">
        <v>47</v>
      </c>
      <c r="K384" s="0" t="s">
        <v>71</v>
      </c>
      <c r="L384" s="4" t="n">
        <v>97152</v>
      </c>
      <c r="M384" s="0" t="s">
        <v>2333</v>
      </c>
      <c r="N384" s="0" t="s">
        <v>63</v>
      </c>
      <c r="O384" s="5" t="n">
        <v>3.0587084148728</v>
      </c>
      <c r="P384" s="0" t="n">
        <v>5</v>
      </c>
      <c r="Q384" s="0" t="s">
        <v>111</v>
      </c>
      <c r="R384" s="0" t="s">
        <v>93</v>
      </c>
      <c r="S384" s="0" t="s">
        <v>2340</v>
      </c>
      <c r="T384" s="0" t="s">
        <v>95</v>
      </c>
      <c r="U384" s="5" t="n">
        <v>36.1184210526316</v>
      </c>
      <c r="V384" s="0" t="s">
        <v>96</v>
      </c>
      <c r="W384" s="0" t="s">
        <v>148</v>
      </c>
      <c r="X384" s="0" t="s">
        <v>128</v>
      </c>
      <c r="Y384" s="0" t="s">
        <v>114</v>
      </c>
      <c r="Z384" s="0" t="s">
        <v>59</v>
      </c>
      <c r="AA384" s="0" t="s">
        <v>143</v>
      </c>
      <c r="AB384" s="5" t="n">
        <v>25921.0526315789</v>
      </c>
      <c r="AC384" s="5" t="n">
        <v>31467.1814671815</v>
      </c>
      <c r="AD384" s="0" t="s">
        <v>50</v>
      </c>
      <c r="AE384" s="5" t="n">
        <v>10000</v>
      </c>
      <c r="AF384" s="0" t="s">
        <v>130</v>
      </c>
      <c r="AG384" s="7" t="s">
        <v>2330</v>
      </c>
      <c r="AH384" s="0" t="s">
        <v>63</v>
      </c>
      <c r="AI384" s="0" t="s">
        <v>2331</v>
      </c>
      <c r="AJ384" s="0" t="s">
        <v>172</v>
      </c>
      <c r="AK384" s="0" t="s">
        <v>2344</v>
      </c>
      <c r="AL384" s="0" t="s">
        <v>50</v>
      </c>
      <c r="AM384" s="0" t="s">
        <v>2344</v>
      </c>
      <c r="AN384" s="0" t="s">
        <v>2318</v>
      </c>
      <c r="AO384" s="0" t="s">
        <v>50</v>
      </c>
    </row>
    <row r="385" customFormat="false" ht="15" hidden="false" customHeight="false" outlineLevel="0" collapsed="false">
      <c r="A385" s="0" t="s">
        <v>1032</v>
      </c>
      <c r="B385" s="2" t="s">
        <v>1342</v>
      </c>
      <c r="C385" s="0" t="s">
        <v>42</v>
      </c>
      <c r="D385" s="0" t="n">
        <v>8051574904</v>
      </c>
      <c r="E385" s="0" t="s">
        <v>139</v>
      </c>
      <c r="F385" s="0" t="s">
        <v>2323</v>
      </c>
      <c r="G385" s="0" t="s">
        <v>1033</v>
      </c>
      <c r="H385" s="0" t="s">
        <v>87</v>
      </c>
      <c r="I385" s="3" t="s">
        <v>2317</v>
      </c>
      <c r="J385" s="0" t="s">
        <v>2349</v>
      </c>
      <c r="K385" s="0" t="s">
        <v>48</v>
      </c>
      <c r="L385" s="4" t="n">
        <v>52813</v>
      </c>
      <c r="M385" s="0" t="s">
        <v>49</v>
      </c>
      <c r="N385" s="0" t="s">
        <v>63</v>
      </c>
      <c r="O385" s="5" t="n">
        <v>4</v>
      </c>
      <c r="P385" s="0" t="n">
        <v>4.3</v>
      </c>
      <c r="Q385" s="0" t="s">
        <v>111</v>
      </c>
      <c r="R385" s="0" t="s">
        <v>73</v>
      </c>
      <c r="S385" s="0" t="s">
        <v>2366</v>
      </c>
      <c r="T385" s="0" t="s">
        <v>2343</v>
      </c>
      <c r="U385" s="5" t="n">
        <v>30</v>
      </c>
      <c r="V385" s="0" t="s">
        <v>112</v>
      </c>
      <c r="W385" s="0" t="s">
        <v>155</v>
      </c>
      <c r="X385" s="0" t="s">
        <v>128</v>
      </c>
      <c r="Y385" s="0" t="s">
        <v>99</v>
      </c>
      <c r="Z385" s="0" t="s">
        <v>2329</v>
      </c>
      <c r="AA385" s="0" t="s">
        <v>161</v>
      </c>
      <c r="AB385" s="5" t="n">
        <v>15000</v>
      </c>
      <c r="AC385" s="5" t="n">
        <v>40000</v>
      </c>
      <c r="AD385" s="0" t="s">
        <v>50</v>
      </c>
      <c r="AE385" s="5" t="n">
        <v>5000</v>
      </c>
      <c r="AF385" s="0" t="s">
        <v>2338</v>
      </c>
      <c r="AG385" s="7" t="s">
        <v>2330</v>
      </c>
      <c r="AH385" s="0" t="s">
        <v>63</v>
      </c>
      <c r="AI385" s="0" t="s">
        <v>116</v>
      </c>
      <c r="AJ385" s="0" t="s">
        <v>2331</v>
      </c>
      <c r="AK385" s="0" t="s">
        <v>2344</v>
      </c>
      <c r="AL385" s="0" t="s">
        <v>50</v>
      </c>
      <c r="AM385" s="0" t="s">
        <v>2344</v>
      </c>
      <c r="AN385" s="0" t="s">
        <v>2321</v>
      </c>
      <c r="AO385" s="0" t="s">
        <v>50</v>
      </c>
    </row>
    <row r="386" customFormat="false" ht="15" hidden="false" customHeight="false" outlineLevel="0" collapsed="false">
      <c r="A386" s="0" t="s">
        <v>1034</v>
      </c>
      <c r="B386" s="2" t="s">
        <v>2463</v>
      </c>
      <c r="C386" s="0" t="s">
        <v>105</v>
      </c>
      <c r="D386" s="0" t="n">
        <v>8068008992</v>
      </c>
      <c r="E386" s="0" t="s">
        <v>85</v>
      </c>
      <c r="F386" s="0" t="s">
        <v>2319</v>
      </c>
      <c r="G386" s="0" t="s">
        <v>1035</v>
      </c>
      <c r="H386" s="0" t="s">
        <v>134</v>
      </c>
      <c r="I386" s="3" t="s">
        <v>2322</v>
      </c>
      <c r="J386" s="0" t="s">
        <v>189</v>
      </c>
      <c r="K386" s="0" t="s">
        <v>48</v>
      </c>
      <c r="L386" s="4" t="n">
        <v>27646</v>
      </c>
      <c r="M386" s="0" t="s">
        <v>110</v>
      </c>
      <c r="N386" s="0" t="s">
        <v>63</v>
      </c>
      <c r="O386" s="5" t="n">
        <v>3.05686274509804</v>
      </c>
      <c r="P386" s="0" t="n">
        <v>5.3</v>
      </c>
      <c r="Q386" s="0" t="s">
        <v>125</v>
      </c>
      <c r="R386" s="0" t="s">
        <v>93</v>
      </c>
      <c r="S386" s="0" t="s">
        <v>2340</v>
      </c>
      <c r="T386" s="0" t="s">
        <v>75</v>
      </c>
      <c r="U386" s="5" t="n">
        <v>45</v>
      </c>
      <c r="V386" s="0" t="s">
        <v>2336</v>
      </c>
      <c r="W386" s="0" t="s">
        <v>155</v>
      </c>
      <c r="X386" s="0" t="s">
        <v>98</v>
      </c>
      <c r="Y386" s="0" t="s">
        <v>196</v>
      </c>
      <c r="Z386" s="0" t="s">
        <v>2329</v>
      </c>
      <c r="AA386" s="0" t="s">
        <v>79</v>
      </c>
      <c r="AB386" s="5" t="n">
        <v>15000</v>
      </c>
      <c r="AC386" s="5" t="n">
        <v>30000</v>
      </c>
      <c r="AD386" s="0" t="s">
        <v>63</v>
      </c>
      <c r="AE386" s="5" t="n">
        <v>5000</v>
      </c>
      <c r="AF386" s="0" t="s">
        <v>184</v>
      </c>
      <c r="AG386" s="7" t="s">
        <v>2490</v>
      </c>
      <c r="AH386" s="0" t="s">
        <v>63</v>
      </c>
      <c r="AI386" s="0" t="s">
        <v>116</v>
      </c>
      <c r="AJ386" s="0" t="s">
        <v>2331</v>
      </c>
      <c r="AK386" s="0" t="s">
        <v>63</v>
      </c>
      <c r="AL386" s="0" t="s">
        <v>50</v>
      </c>
      <c r="AM386" s="0" t="s">
        <v>63</v>
      </c>
      <c r="AN386" s="0" t="s">
        <v>2321</v>
      </c>
      <c r="AO386" s="0" t="s">
        <v>2359</v>
      </c>
    </row>
    <row r="387" customFormat="false" ht="15" hidden="false" customHeight="false" outlineLevel="0" collapsed="false">
      <c r="A387" s="0" t="s">
        <v>1036</v>
      </c>
      <c r="B387" s="2" t="s">
        <v>2387</v>
      </c>
      <c r="C387" s="0" t="s">
        <v>66</v>
      </c>
      <c r="D387" s="0" t="n">
        <v>8099226958</v>
      </c>
      <c r="E387" s="0" t="s">
        <v>85</v>
      </c>
      <c r="F387" s="0" t="s">
        <v>2319</v>
      </c>
      <c r="G387" s="0" t="s">
        <v>1037</v>
      </c>
      <c r="H387" s="0" t="s">
        <v>45</v>
      </c>
      <c r="I387" s="3" t="s">
        <v>2322</v>
      </c>
      <c r="J387" s="0" t="s">
        <v>2349</v>
      </c>
      <c r="K387" s="0" t="s">
        <v>71</v>
      </c>
      <c r="L387" s="4" t="n">
        <v>29677</v>
      </c>
      <c r="M387" s="0" t="s">
        <v>2333</v>
      </c>
      <c r="N387" s="0" t="s">
        <v>63</v>
      </c>
      <c r="O387" s="5" t="n">
        <v>2</v>
      </c>
      <c r="P387" s="0" t="n">
        <v>5.2</v>
      </c>
      <c r="Q387" s="0" t="s">
        <v>51</v>
      </c>
      <c r="R387" s="0" t="s">
        <v>93</v>
      </c>
      <c r="S387" s="0" t="s">
        <v>53</v>
      </c>
      <c r="T387" s="0" t="s">
        <v>2353</v>
      </c>
      <c r="U387" s="5" t="n">
        <v>60</v>
      </c>
      <c r="V387" s="0" t="s">
        <v>2336</v>
      </c>
      <c r="W387" s="0" t="s">
        <v>2337</v>
      </c>
      <c r="X387" s="0" t="s">
        <v>98</v>
      </c>
      <c r="Y387" s="0" t="s">
        <v>99</v>
      </c>
      <c r="Z387" s="0" t="s">
        <v>2329</v>
      </c>
      <c r="AA387" s="0" t="s">
        <v>79</v>
      </c>
      <c r="AB387" s="5" t="n">
        <v>20000</v>
      </c>
      <c r="AC387" s="5" t="n">
        <v>30000</v>
      </c>
      <c r="AD387" s="0" t="s">
        <v>63</v>
      </c>
      <c r="AE387" s="5" t="n">
        <v>0</v>
      </c>
      <c r="AF387" s="0" t="s">
        <v>2338</v>
      </c>
      <c r="AG387" s="7" t="s">
        <v>2330</v>
      </c>
      <c r="AH387" s="0" t="s">
        <v>50</v>
      </c>
      <c r="AI387" s="0" t="s">
        <v>2331</v>
      </c>
      <c r="AJ387" s="0" t="s">
        <v>2331</v>
      </c>
      <c r="AK387" s="0" t="s">
        <v>50</v>
      </c>
      <c r="AL387" s="0" t="s">
        <v>50</v>
      </c>
      <c r="AM387" s="0" t="s">
        <v>2344</v>
      </c>
      <c r="AN387" s="0" t="s">
        <v>2321</v>
      </c>
      <c r="AO387" s="0" t="s">
        <v>63</v>
      </c>
    </row>
    <row r="388" customFormat="false" ht="15" hidden="false" customHeight="false" outlineLevel="0" collapsed="false">
      <c r="A388" s="0" t="s">
        <v>1038</v>
      </c>
      <c r="B388" s="2" t="s">
        <v>2491</v>
      </c>
      <c r="C388" s="0" t="s">
        <v>105</v>
      </c>
      <c r="D388" s="0" t="n">
        <v>8073723896</v>
      </c>
      <c r="E388" s="0" t="s">
        <v>122</v>
      </c>
      <c r="F388" s="0" t="s">
        <v>2316</v>
      </c>
      <c r="G388" s="0" t="s">
        <v>1039</v>
      </c>
      <c r="H388" s="0" t="s">
        <v>69</v>
      </c>
      <c r="I388" s="3" t="s">
        <v>2342</v>
      </c>
      <c r="J388" s="0" t="s">
        <v>189</v>
      </c>
      <c r="K388" s="0" t="s">
        <v>48</v>
      </c>
      <c r="L388" s="4" t="n">
        <v>88161</v>
      </c>
      <c r="M388" s="0" t="s">
        <v>110</v>
      </c>
      <c r="N388" s="0" t="s">
        <v>63</v>
      </c>
      <c r="O388" s="5" t="n">
        <v>3</v>
      </c>
      <c r="P388" s="0" t="n">
        <v>3.9</v>
      </c>
      <c r="Q388" s="0" t="s">
        <v>111</v>
      </c>
      <c r="R388" s="0" t="s">
        <v>93</v>
      </c>
      <c r="S388" s="0" t="s">
        <v>2335</v>
      </c>
      <c r="T388" s="0" t="s">
        <v>54</v>
      </c>
      <c r="U388" s="5" t="n">
        <v>60</v>
      </c>
      <c r="V388" s="0" t="s">
        <v>2352</v>
      </c>
      <c r="W388" s="0" t="s">
        <v>155</v>
      </c>
      <c r="X388" s="0" t="s">
        <v>98</v>
      </c>
      <c r="Y388" s="0" t="s">
        <v>99</v>
      </c>
      <c r="Z388" s="0" t="s">
        <v>2329</v>
      </c>
      <c r="AA388" s="0" t="s">
        <v>149</v>
      </c>
      <c r="AB388" s="5" t="n">
        <v>25000</v>
      </c>
      <c r="AC388" s="5" t="n">
        <v>20000</v>
      </c>
      <c r="AD388" s="0" t="s">
        <v>63</v>
      </c>
      <c r="AE388" s="5" t="n">
        <v>0</v>
      </c>
      <c r="AF388" s="0" t="s">
        <v>130</v>
      </c>
      <c r="AG388" s="7" t="s">
        <v>2442</v>
      </c>
      <c r="AH388" s="0" t="s">
        <v>50</v>
      </c>
      <c r="AI388" s="0" t="s">
        <v>2331</v>
      </c>
      <c r="AJ388" s="0" t="s">
        <v>117</v>
      </c>
      <c r="AK388" s="0" t="s">
        <v>63</v>
      </c>
      <c r="AL388" s="0" t="s">
        <v>63</v>
      </c>
      <c r="AM388" s="0" t="s">
        <v>2344</v>
      </c>
      <c r="AN388" s="0" t="s">
        <v>2321</v>
      </c>
      <c r="AO388" s="0" t="s">
        <v>50</v>
      </c>
    </row>
    <row r="389" customFormat="false" ht="15" hidden="false" customHeight="false" outlineLevel="0" collapsed="false">
      <c r="A389" s="0" t="s">
        <v>1040</v>
      </c>
      <c r="B389" s="2" t="s">
        <v>2490</v>
      </c>
      <c r="C389" s="0" t="s">
        <v>66</v>
      </c>
      <c r="D389" s="0" t="n">
        <v>8031311258</v>
      </c>
      <c r="E389" s="0" t="s">
        <v>139</v>
      </c>
      <c r="F389" s="0" t="s">
        <v>2323</v>
      </c>
      <c r="G389" s="0" t="s">
        <v>1041</v>
      </c>
      <c r="H389" s="0" t="s">
        <v>107</v>
      </c>
      <c r="I389" s="3" t="s">
        <v>2342</v>
      </c>
      <c r="J389" s="0" t="s">
        <v>2349</v>
      </c>
      <c r="K389" s="0" t="s">
        <v>71</v>
      </c>
      <c r="L389" s="4" t="n">
        <v>47580</v>
      </c>
      <c r="M389" s="0" t="s">
        <v>110</v>
      </c>
      <c r="N389" s="0" t="s">
        <v>63</v>
      </c>
      <c r="O389" s="5" t="n">
        <v>5</v>
      </c>
      <c r="P389" s="0" t="n">
        <v>5.2</v>
      </c>
      <c r="Q389" s="0" t="s">
        <v>51</v>
      </c>
      <c r="R389" s="0" t="s">
        <v>93</v>
      </c>
      <c r="S389" s="0" t="s">
        <v>2340</v>
      </c>
      <c r="T389" s="0" t="s">
        <v>54</v>
      </c>
      <c r="U389" s="5" t="n">
        <v>45</v>
      </c>
      <c r="V389" s="0" t="s">
        <v>55</v>
      </c>
      <c r="W389" s="0" t="s">
        <v>148</v>
      </c>
      <c r="X389" s="0" t="s">
        <v>128</v>
      </c>
      <c r="Y389" s="0" t="s">
        <v>196</v>
      </c>
      <c r="Z389" s="0" t="s">
        <v>2329</v>
      </c>
      <c r="AA389" s="0" t="s">
        <v>79</v>
      </c>
      <c r="AB389" s="5" t="n">
        <v>30000</v>
      </c>
      <c r="AC389" s="5" t="n">
        <v>40000</v>
      </c>
      <c r="AD389" s="0" t="s">
        <v>63</v>
      </c>
      <c r="AE389" s="5" t="n">
        <v>5000</v>
      </c>
      <c r="AF389" s="0" t="s">
        <v>184</v>
      </c>
      <c r="AG389" s="7" t="s">
        <v>556</v>
      </c>
      <c r="AH389" s="0" t="s">
        <v>63</v>
      </c>
      <c r="AI389" s="0" t="s">
        <v>171</v>
      </c>
      <c r="AJ389" s="0" t="s">
        <v>2331</v>
      </c>
      <c r="AK389" s="0" t="s">
        <v>50</v>
      </c>
      <c r="AL389" s="0" t="s">
        <v>2344</v>
      </c>
      <c r="AM389" s="0" t="s">
        <v>50</v>
      </c>
      <c r="AN389" s="0" t="s">
        <v>2318</v>
      </c>
      <c r="AO389" s="0" t="s">
        <v>63</v>
      </c>
    </row>
    <row r="390" customFormat="false" ht="15" hidden="false" customHeight="false" outlineLevel="0" collapsed="false">
      <c r="A390" s="0" t="s">
        <v>1042</v>
      </c>
      <c r="B390" s="2" t="s">
        <v>626</v>
      </c>
      <c r="C390" s="0" t="s">
        <v>121</v>
      </c>
      <c r="D390" s="0" t="n">
        <v>8091028510</v>
      </c>
      <c r="E390" s="0" t="s">
        <v>122</v>
      </c>
      <c r="F390" s="0" t="s">
        <v>2316</v>
      </c>
      <c r="G390" s="0" t="s">
        <v>1043</v>
      </c>
      <c r="H390" s="0" t="s">
        <v>107</v>
      </c>
      <c r="I390" s="3" t="s">
        <v>2317</v>
      </c>
      <c r="J390" s="0" t="s">
        <v>2347</v>
      </c>
      <c r="K390" s="0" t="s">
        <v>90</v>
      </c>
      <c r="L390" s="4" t="n">
        <v>59227</v>
      </c>
      <c r="M390" s="0" t="s">
        <v>2333</v>
      </c>
      <c r="N390" s="0" t="s">
        <v>50</v>
      </c>
      <c r="O390" s="5" t="n">
        <v>1</v>
      </c>
      <c r="P390" s="0" t="n">
        <v>5.2</v>
      </c>
      <c r="Q390" s="0" t="s">
        <v>111</v>
      </c>
      <c r="R390" s="0" t="s">
        <v>52</v>
      </c>
      <c r="S390" s="0" t="s">
        <v>53</v>
      </c>
      <c r="T390" s="0" t="s">
        <v>75</v>
      </c>
      <c r="U390" s="5" t="n">
        <v>45</v>
      </c>
      <c r="V390" s="0" t="s">
        <v>112</v>
      </c>
      <c r="W390" s="0" t="s">
        <v>155</v>
      </c>
      <c r="X390" s="0" t="s">
        <v>128</v>
      </c>
      <c r="Y390" s="0" t="s">
        <v>58</v>
      </c>
      <c r="Z390" s="0" t="s">
        <v>177</v>
      </c>
      <c r="AA390" s="0" t="s">
        <v>79</v>
      </c>
      <c r="AB390" s="5" t="n">
        <v>27558.1395348837</v>
      </c>
      <c r="AC390" s="5" t="n">
        <v>35000</v>
      </c>
      <c r="AD390" s="0" t="s">
        <v>63</v>
      </c>
      <c r="AE390" s="5" t="n">
        <v>0</v>
      </c>
      <c r="AF390" s="0" t="s">
        <v>60</v>
      </c>
      <c r="AG390" s="7" t="s">
        <v>431</v>
      </c>
      <c r="AH390" s="0" t="s">
        <v>50</v>
      </c>
      <c r="AI390" s="0" t="s">
        <v>171</v>
      </c>
      <c r="AJ390" s="0" t="s">
        <v>2320</v>
      </c>
      <c r="AK390" s="0" t="s">
        <v>63</v>
      </c>
      <c r="AL390" s="0" t="s">
        <v>50</v>
      </c>
      <c r="AM390" s="0" t="s">
        <v>63</v>
      </c>
      <c r="AN390" s="0" t="s">
        <v>64</v>
      </c>
      <c r="AO390" s="0" t="s">
        <v>50</v>
      </c>
    </row>
    <row r="391" customFormat="false" ht="15" hidden="false" customHeight="false" outlineLevel="0" collapsed="false">
      <c r="A391" s="0" t="s">
        <v>1044</v>
      </c>
      <c r="B391" s="2" t="s">
        <v>2426</v>
      </c>
      <c r="C391" s="0" t="s">
        <v>163</v>
      </c>
      <c r="D391" s="0" t="n">
        <v>8087187458</v>
      </c>
      <c r="E391" s="0" t="s">
        <v>85</v>
      </c>
      <c r="F391" s="0" t="s">
        <v>2319</v>
      </c>
      <c r="G391" s="0" t="s">
        <v>1045</v>
      </c>
      <c r="H391" s="0" t="s">
        <v>87</v>
      </c>
      <c r="I391" s="3" t="s">
        <v>2325</v>
      </c>
      <c r="J391" s="0" t="s">
        <v>2349</v>
      </c>
      <c r="K391" s="0" t="s">
        <v>90</v>
      </c>
      <c r="L391" s="4" t="n">
        <v>26883</v>
      </c>
      <c r="M391" s="0" t="s">
        <v>2333</v>
      </c>
      <c r="N391" s="0" t="s">
        <v>63</v>
      </c>
      <c r="O391" s="5" t="n">
        <v>2</v>
      </c>
      <c r="P391" s="0" t="n">
        <v>3.2</v>
      </c>
      <c r="Q391" s="0" t="s">
        <v>125</v>
      </c>
      <c r="R391" s="0" t="s">
        <v>52</v>
      </c>
      <c r="S391" s="0" t="s">
        <v>2335</v>
      </c>
      <c r="T391" s="0" t="s">
        <v>2353</v>
      </c>
      <c r="U391" s="5" t="n">
        <v>15</v>
      </c>
      <c r="V391" s="0" t="s">
        <v>112</v>
      </c>
      <c r="W391" s="0" t="s">
        <v>148</v>
      </c>
      <c r="X391" s="0" t="s">
        <v>128</v>
      </c>
      <c r="Y391" s="0" t="s">
        <v>99</v>
      </c>
      <c r="Z391" s="0" t="s">
        <v>2326</v>
      </c>
      <c r="AA391" s="0" t="s">
        <v>149</v>
      </c>
      <c r="AB391" s="5" t="n">
        <v>27058.8235294118</v>
      </c>
      <c r="AC391" s="5" t="n">
        <v>31455.078125</v>
      </c>
      <c r="AD391" s="0" t="s">
        <v>50</v>
      </c>
      <c r="AE391" s="5" t="n">
        <v>0</v>
      </c>
      <c r="AF391" s="0" t="s">
        <v>2338</v>
      </c>
      <c r="AG391" s="7" t="s">
        <v>2492</v>
      </c>
      <c r="AH391" s="0" t="s">
        <v>63</v>
      </c>
      <c r="AI391" s="0" t="s">
        <v>2331</v>
      </c>
      <c r="AJ391" s="0" t="s">
        <v>2331</v>
      </c>
      <c r="AK391" s="0" t="s">
        <v>63</v>
      </c>
      <c r="AL391" s="0" t="s">
        <v>50</v>
      </c>
      <c r="AM391" s="0" t="s">
        <v>2344</v>
      </c>
      <c r="AN391" s="0" t="s">
        <v>2321</v>
      </c>
      <c r="AO391" s="0" t="s">
        <v>50</v>
      </c>
    </row>
    <row r="392" customFormat="false" ht="15" hidden="false" customHeight="false" outlineLevel="0" collapsed="false">
      <c r="A392" s="0" t="s">
        <v>1046</v>
      </c>
      <c r="B392" s="2" t="s">
        <v>1116</v>
      </c>
      <c r="C392" s="0" t="s">
        <v>121</v>
      </c>
      <c r="D392" s="0" t="n">
        <v>8051649604</v>
      </c>
      <c r="E392" s="0" t="s">
        <v>67</v>
      </c>
      <c r="F392" s="0" t="s">
        <v>2316</v>
      </c>
      <c r="G392" s="0" t="s">
        <v>1047</v>
      </c>
      <c r="H392" s="0" t="s">
        <v>45</v>
      </c>
      <c r="I392" s="3" t="s">
        <v>87</v>
      </c>
      <c r="J392" s="0" t="s">
        <v>2341</v>
      </c>
      <c r="K392" s="0" t="s">
        <v>109</v>
      </c>
      <c r="L392" s="4" t="n">
        <v>12243</v>
      </c>
      <c r="M392" s="0" t="s">
        <v>49</v>
      </c>
      <c r="N392" s="0" t="s">
        <v>63</v>
      </c>
      <c r="O392" s="5" t="n">
        <v>2</v>
      </c>
      <c r="P392" s="0" t="n">
        <v>3.9</v>
      </c>
      <c r="Q392" s="0" t="s">
        <v>111</v>
      </c>
      <c r="R392" s="0" t="s">
        <v>52</v>
      </c>
      <c r="S392" s="0" t="s">
        <v>53</v>
      </c>
      <c r="T392" s="0" t="s">
        <v>2343</v>
      </c>
      <c r="U392" s="5" t="n">
        <v>30</v>
      </c>
      <c r="V392" s="0" t="s">
        <v>2336</v>
      </c>
      <c r="W392" s="0" t="s">
        <v>155</v>
      </c>
      <c r="X392" s="0" t="s">
        <v>78</v>
      </c>
      <c r="Y392" s="0" t="s">
        <v>196</v>
      </c>
      <c r="Z392" s="0" t="s">
        <v>59</v>
      </c>
      <c r="AA392" s="0" t="s">
        <v>143</v>
      </c>
      <c r="AB392" s="5" t="n">
        <v>40000</v>
      </c>
      <c r="AC392" s="5" t="n">
        <v>30000</v>
      </c>
      <c r="AD392" s="0" t="s">
        <v>63</v>
      </c>
      <c r="AE392" s="5" t="n">
        <v>10000</v>
      </c>
      <c r="AF392" s="0" t="s">
        <v>60</v>
      </c>
      <c r="AG392" s="7" t="s">
        <v>2330</v>
      </c>
      <c r="AH392" s="0" t="s">
        <v>50</v>
      </c>
      <c r="AI392" s="0" t="s">
        <v>2331</v>
      </c>
      <c r="AJ392" s="0" t="s">
        <v>2331</v>
      </c>
      <c r="AK392" s="0" t="s">
        <v>50</v>
      </c>
      <c r="AL392" s="0" t="s">
        <v>50</v>
      </c>
      <c r="AM392" s="0" t="s">
        <v>63</v>
      </c>
      <c r="AN392" s="0" t="s">
        <v>2321</v>
      </c>
      <c r="AO392" s="0" t="s">
        <v>50</v>
      </c>
    </row>
    <row r="393" customFormat="false" ht="15" hidden="false" customHeight="false" outlineLevel="0" collapsed="false">
      <c r="A393" s="0" t="s">
        <v>1048</v>
      </c>
      <c r="B393" s="2" t="s">
        <v>2480</v>
      </c>
      <c r="C393" s="0" t="s">
        <v>42</v>
      </c>
      <c r="D393" s="0" t="n">
        <v>8088851835</v>
      </c>
      <c r="E393" s="0" t="s">
        <v>122</v>
      </c>
      <c r="F393" s="0" t="s">
        <v>2316</v>
      </c>
      <c r="G393" s="0" t="s">
        <v>1049</v>
      </c>
      <c r="H393" s="0" t="s">
        <v>69</v>
      </c>
      <c r="I393" s="3" t="s">
        <v>2322</v>
      </c>
      <c r="J393" s="0" t="s">
        <v>189</v>
      </c>
      <c r="K393" s="0" t="s">
        <v>109</v>
      </c>
      <c r="L393" s="4" t="n">
        <v>117903</v>
      </c>
      <c r="M393" s="0" t="s">
        <v>49</v>
      </c>
      <c r="N393" s="0" t="s">
        <v>63</v>
      </c>
      <c r="O393" s="5" t="n">
        <v>3</v>
      </c>
      <c r="P393" s="0" t="n">
        <v>2.9</v>
      </c>
      <c r="Q393" s="0" t="s">
        <v>92</v>
      </c>
      <c r="R393" s="0" t="s">
        <v>73</v>
      </c>
      <c r="S393" s="0" t="s">
        <v>2366</v>
      </c>
      <c r="T393" s="0" t="s">
        <v>2353</v>
      </c>
      <c r="U393" s="5" t="n">
        <v>40.2857142857143</v>
      </c>
      <c r="V393" s="0" t="s">
        <v>2352</v>
      </c>
      <c r="W393" s="0" t="s">
        <v>2337</v>
      </c>
      <c r="X393" s="0" t="s">
        <v>98</v>
      </c>
      <c r="Y393" s="0" t="s">
        <v>114</v>
      </c>
      <c r="Z393" s="0" t="s">
        <v>2329</v>
      </c>
      <c r="AA393" s="0" t="s">
        <v>143</v>
      </c>
      <c r="AB393" s="5" t="n">
        <v>40000</v>
      </c>
      <c r="AC393" s="5" t="n">
        <v>30000</v>
      </c>
      <c r="AD393" s="0" t="s">
        <v>50</v>
      </c>
      <c r="AE393" s="5" t="n">
        <v>0</v>
      </c>
      <c r="AF393" s="0" t="s">
        <v>60</v>
      </c>
      <c r="AG393" s="7" t="s">
        <v>2330</v>
      </c>
      <c r="AH393" s="0" t="s">
        <v>2329</v>
      </c>
      <c r="AI393" s="0" t="s">
        <v>116</v>
      </c>
      <c r="AJ393" s="0" t="s">
        <v>2320</v>
      </c>
      <c r="AK393" s="0" t="s">
        <v>50</v>
      </c>
      <c r="AL393" s="0" t="s">
        <v>2344</v>
      </c>
      <c r="AM393" s="0" t="s">
        <v>63</v>
      </c>
      <c r="AN393" s="0" t="s">
        <v>2321</v>
      </c>
      <c r="AO393" s="0" t="s">
        <v>50</v>
      </c>
    </row>
    <row r="394" customFormat="false" ht="15" hidden="false" customHeight="false" outlineLevel="0" collapsed="false">
      <c r="A394" s="0" t="s">
        <v>1051</v>
      </c>
      <c r="B394" s="2" t="s">
        <v>1050</v>
      </c>
      <c r="C394" s="0" t="s">
        <v>105</v>
      </c>
      <c r="D394" s="0" t="n">
        <v>8037242553</v>
      </c>
      <c r="E394" s="0" t="s">
        <v>139</v>
      </c>
      <c r="F394" s="0" t="s">
        <v>2323</v>
      </c>
      <c r="G394" s="0" t="s">
        <v>1052</v>
      </c>
      <c r="H394" s="0" t="s">
        <v>87</v>
      </c>
      <c r="I394" s="3" t="s">
        <v>2317</v>
      </c>
      <c r="J394" s="0" t="s">
        <v>189</v>
      </c>
      <c r="K394" s="0" t="s">
        <v>109</v>
      </c>
      <c r="L394" s="4" t="n">
        <v>87516</v>
      </c>
      <c r="M394" s="0" t="s">
        <v>2333</v>
      </c>
      <c r="N394" s="0" t="s">
        <v>63</v>
      </c>
      <c r="O394" s="5" t="n">
        <v>5</v>
      </c>
      <c r="P394" s="0" t="n">
        <v>1.7</v>
      </c>
      <c r="Q394" s="0" t="s">
        <v>92</v>
      </c>
      <c r="R394" s="0" t="s">
        <v>73</v>
      </c>
      <c r="S394" s="0" t="s">
        <v>53</v>
      </c>
      <c r="T394" s="0" t="s">
        <v>95</v>
      </c>
      <c r="U394" s="5" t="n">
        <v>60</v>
      </c>
      <c r="V394" s="0" t="s">
        <v>2336</v>
      </c>
      <c r="W394" s="0" t="s">
        <v>155</v>
      </c>
      <c r="X394" s="0" t="s">
        <v>98</v>
      </c>
      <c r="Y394" s="0" t="s">
        <v>114</v>
      </c>
      <c r="Z394" s="0" t="s">
        <v>2326</v>
      </c>
      <c r="AA394" s="0" t="s">
        <v>149</v>
      </c>
      <c r="AB394" s="5" t="n">
        <v>15000</v>
      </c>
      <c r="AC394" s="5" t="n">
        <v>40000</v>
      </c>
      <c r="AD394" s="0" t="s">
        <v>50</v>
      </c>
      <c r="AE394" s="5" t="n">
        <v>0</v>
      </c>
      <c r="AF394" s="0" t="s">
        <v>130</v>
      </c>
      <c r="AG394" s="7" t="s">
        <v>2330</v>
      </c>
      <c r="AH394" s="0" t="s">
        <v>50</v>
      </c>
      <c r="AI394" s="0" t="s">
        <v>2331</v>
      </c>
      <c r="AJ394" s="0" t="s">
        <v>2331</v>
      </c>
      <c r="AK394" s="0" t="s">
        <v>2344</v>
      </c>
      <c r="AL394" s="0" t="s">
        <v>2344</v>
      </c>
      <c r="AM394" s="0" t="s">
        <v>63</v>
      </c>
      <c r="AN394" s="0" t="s">
        <v>2321</v>
      </c>
      <c r="AO394" s="0" t="s">
        <v>63</v>
      </c>
    </row>
    <row r="395" customFormat="false" ht="15" hidden="false" customHeight="false" outlineLevel="0" collapsed="false">
      <c r="A395" s="0" t="s">
        <v>1053</v>
      </c>
      <c r="B395" s="2" t="s">
        <v>305</v>
      </c>
      <c r="C395" s="0" t="s">
        <v>66</v>
      </c>
      <c r="D395" s="0" t="n">
        <v>8077441055</v>
      </c>
      <c r="E395" s="0" t="s">
        <v>85</v>
      </c>
      <c r="F395" s="0" t="s">
        <v>2319</v>
      </c>
      <c r="G395" s="0" t="s">
        <v>1054</v>
      </c>
      <c r="H395" s="0" t="s">
        <v>45</v>
      </c>
      <c r="I395" s="3" t="s">
        <v>87</v>
      </c>
      <c r="J395" s="0" t="s">
        <v>2349</v>
      </c>
      <c r="K395" s="0" t="s">
        <v>71</v>
      </c>
      <c r="L395" s="4" t="n">
        <v>35382</v>
      </c>
      <c r="M395" s="0" t="s">
        <v>2333</v>
      </c>
      <c r="N395" s="0" t="s">
        <v>50</v>
      </c>
      <c r="O395" s="5" t="n">
        <v>1</v>
      </c>
      <c r="P395" s="0" t="n">
        <v>5.3</v>
      </c>
      <c r="Q395" s="0" t="s">
        <v>125</v>
      </c>
      <c r="R395" s="0" t="s">
        <v>93</v>
      </c>
      <c r="S395" s="0" t="s">
        <v>2335</v>
      </c>
      <c r="T395" s="0" t="s">
        <v>2343</v>
      </c>
      <c r="U395" s="5" t="n">
        <v>45</v>
      </c>
      <c r="V395" s="0" t="s">
        <v>96</v>
      </c>
      <c r="W395" s="0" t="s">
        <v>148</v>
      </c>
      <c r="X395" s="0" t="s">
        <v>78</v>
      </c>
      <c r="Y395" s="0" t="s">
        <v>196</v>
      </c>
      <c r="Z395" s="0" t="s">
        <v>2324</v>
      </c>
      <c r="AA395" s="0" t="s">
        <v>79</v>
      </c>
      <c r="AB395" s="5" t="n">
        <v>25000</v>
      </c>
      <c r="AC395" s="5" t="n">
        <v>30000</v>
      </c>
      <c r="AD395" s="0" t="s">
        <v>50</v>
      </c>
      <c r="AE395" s="5" t="n">
        <v>5000</v>
      </c>
      <c r="AF395" s="0" t="s">
        <v>130</v>
      </c>
      <c r="AG395" s="7" t="s">
        <v>1304</v>
      </c>
      <c r="AH395" s="0" t="s">
        <v>63</v>
      </c>
      <c r="AI395" s="0" t="s">
        <v>116</v>
      </c>
      <c r="AJ395" s="0" t="s">
        <v>2320</v>
      </c>
      <c r="AK395" s="0" t="s">
        <v>63</v>
      </c>
      <c r="AL395" s="0" t="s">
        <v>50</v>
      </c>
      <c r="AM395" s="0" t="s">
        <v>63</v>
      </c>
      <c r="AN395" s="0" t="s">
        <v>2318</v>
      </c>
      <c r="AO395" s="0" t="s">
        <v>50</v>
      </c>
    </row>
    <row r="396" customFormat="false" ht="15" hidden="false" customHeight="false" outlineLevel="0" collapsed="false">
      <c r="A396" s="0" t="s">
        <v>1055</v>
      </c>
      <c r="B396" s="2" t="s">
        <v>2332</v>
      </c>
      <c r="C396" s="0" t="s">
        <v>66</v>
      </c>
      <c r="D396" s="0" t="n">
        <v>8071600090</v>
      </c>
      <c r="E396" s="0" t="s">
        <v>43</v>
      </c>
      <c r="F396" s="0" t="s">
        <v>2315</v>
      </c>
      <c r="G396" s="0" t="s">
        <v>1056</v>
      </c>
      <c r="H396" s="0" t="s">
        <v>69</v>
      </c>
      <c r="I396" s="3" t="s">
        <v>2325</v>
      </c>
      <c r="J396" s="0" t="s">
        <v>2339</v>
      </c>
      <c r="K396" s="0" t="s">
        <v>90</v>
      </c>
      <c r="L396" s="4" t="n">
        <v>101832</v>
      </c>
      <c r="M396" s="0" t="s">
        <v>2333</v>
      </c>
      <c r="N396" s="0" t="s">
        <v>50</v>
      </c>
      <c r="O396" s="5" t="n">
        <v>5</v>
      </c>
      <c r="P396" s="0" t="n">
        <v>5.6</v>
      </c>
      <c r="Q396" s="0" t="s">
        <v>2334</v>
      </c>
      <c r="R396" s="0" t="s">
        <v>52</v>
      </c>
      <c r="S396" s="0" t="s">
        <v>2366</v>
      </c>
      <c r="T396" s="0" t="s">
        <v>54</v>
      </c>
      <c r="U396" s="5" t="n">
        <v>60</v>
      </c>
      <c r="V396" s="0" t="s">
        <v>112</v>
      </c>
      <c r="W396" s="0" t="s">
        <v>155</v>
      </c>
      <c r="X396" s="0" t="s">
        <v>98</v>
      </c>
      <c r="Y396" s="0" t="s">
        <v>196</v>
      </c>
      <c r="Z396" s="0" t="s">
        <v>59</v>
      </c>
      <c r="AA396" s="0" t="s">
        <v>2329</v>
      </c>
      <c r="AB396" s="5" t="n">
        <v>40000</v>
      </c>
      <c r="AC396" s="5" t="n">
        <v>35000</v>
      </c>
      <c r="AD396" s="0" t="s">
        <v>50</v>
      </c>
      <c r="AE396" s="5" t="n">
        <v>10000</v>
      </c>
      <c r="AF396" s="0" t="s">
        <v>184</v>
      </c>
      <c r="AG396" s="7" t="s">
        <v>781</v>
      </c>
      <c r="AH396" s="0" t="s">
        <v>2329</v>
      </c>
      <c r="AI396" s="0" t="s">
        <v>116</v>
      </c>
      <c r="AJ396" s="0" t="s">
        <v>117</v>
      </c>
      <c r="AK396" s="0" t="s">
        <v>50</v>
      </c>
      <c r="AL396" s="0" t="s">
        <v>50</v>
      </c>
      <c r="AM396" s="0" t="s">
        <v>63</v>
      </c>
      <c r="AN396" s="0" t="s">
        <v>2318</v>
      </c>
      <c r="AO396" s="0" t="s">
        <v>50</v>
      </c>
    </row>
    <row r="397" customFormat="false" ht="15" hidden="false" customHeight="false" outlineLevel="0" collapsed="false">
      <c r="A397" s="0" t="s">
        <v>1057</v>
      </c>
      <c r="B397" s="2" t="s">
        <v>2464</v>
      </c>
      <c r="C397" s="0" t="s">
        <v>105</v>
      </c>
      <c r="D397" s="0" t="n">
        <v>8046969062</v>
      </c>
      <c r="E397" s="0" t="s">
        <v>67</v>
      </c>
      <c r="F397" s="0" t="s">
        <v>2316</v>
      </c>
      <c r="G397" s="0" t="s">
        <v>1058</v>
      </c>
      <c r="H397" s="0" t="s">
        <v>107</v>
      </c>
      <c r="I397" s="3" t="s">
        <v>87</v>
      </c>
      <c r="J397" s="0" t="s">
        <v>2339</v>
      </c>
      <c r="K397" s="0" t="s">
        <v>90</v>
      </c>
      <c r="L397" s="4" t="n">
        <v>58067</v>
      </c>
      <c r="M397" s="0" t="s">
        <v>49</v>
      </c>
      <c r="N397" s="0" t="s">
        <v>50</v>
      </c>
      <c r="O397" s="5" t="n">
        <v>3.06</v>
      </c>
      <c r="P397" s="0" t="n">
        <v>3.9</v>
      </c>
      <c r="Q397" s="0" t="s">
        <v>92</v>
      </c>
      <c r="R397" s="0" t="s">
        <v>93</v>
      </c>
      <c r="S397" s="0" t="s">
        <v>2340</v>
      </c>
      <c r="T397" s="0" t="s">
        <v>54</v>
      </c>
      <c r="U397" s="5" t="n">
        <v>45</v>
      </c>
      <c r="V397" s="0" t="s">
        <v>55</v>
      </c>
      <c r="W397" s="0" t="s">
        <v>2337</v>
      </c>
      <c r="X397" s="0" t="s">
        <v>128</v>
      </c>
      <c r="Y397" s="0" t="s">
        <v>58</v>
      </c>
      <c r="Z397" s="0" t="s">
        <v>2329</v>
      </c>
      <c r="AA397" s="0" t="s">
        <v>149</v>
      </c>
      <c r="AB397" s="5" t="n">
        <v>20000</v>
      </c>
      <c r="AC397" s="5" t="n">
        <v>40000</v>
      </c>
      <c r="AD397" s="0" t="s">
        <v>63</v>
      </c>
      <c r="AE397" s="5" t="n">
        <v>5000</v>
      </c>
      <c r="AF397" s="0" t="s">
        <v>60</v>
      </c>
      <c r="AG397" s="7" t="s">
        <v>2330</v>
      </c>
      <c r="AH397" s="0" t="s">
        <v>63</v>
      </c>
      <c r="AI397" s="0" t="s">
        <v>2331</v>
      </c>
      <c r="AJ397" s="0" t="s">
        <v>2320</v>
      </c>
      <c r="AK397" s="0" t="s">
        <v>63</v>
      </c>
      <c r="AL397" s="0" t="s">
        <v>50</v>
      </c>
      <c r="AM397" s="0" t="s">
        <v>63</v>
      </c>
      <c r="AN397" s="0" t="s">
        <v>64</v>
      </c>
      <c r="AO397" s="0" t="s">
        <v>50</v>
      </c>
    </row>
    <row r="398" customFormat="false" ht="15" hidden="false" customHeight="false" outlineLevel="0" collapsed="false">
      <c r="A398" s="0" t="s">
        <v>1059</v>
      </c>
      <c r="B398" s="2" t="s">
        <v>2368</v>
      </c>
      <c r="C398" s="0" t="s">
        <v>42</v>
      </c>
      <c r="D398" s="0" t="n">
        <v>8037072082</v>
      </c>
      <c r="E398" s="0" t="s">
        <v>85</v>
      </c>
      <c r="F398" s="0" t="s">
        <v>2319</v>
      </c>
      <c r="G398" s="0" t="s">
        <v>1060</v>
      </c>
      <c r="H398" s="0" t="s">
        <v>107</v>
      </c>
      <c r="I398" s="3" t="s">
        <v>2322</v>
      </c>
      <c r="J398" s="0" t="s">
        <v>2341</v>
      </c>
      <c r="K398" s="0" t="s">
        <v>109</v>
      </c>
      <c r="L398" s="4" t="n">
        <v>55871</v>
      </c>
      <c r="M398" s="0" t="s">
        <v>2333</v>
      </c>
      <c r="N398" s="0" t="s">
        <v>63</v>
      </c>
      <c r="O398" s="5" t="n">
        <v>3</v>
      </c>
      <c r="P398" s="0" t="n">
        <v>2.1</v>
      </c>
      <c r="Q398" s="0" t="s">
        <v>125</v>
      </c>
      <c r="R398" s="0" t="s">
        <v>52</v>
      </c>
      <c r="S398" s="0" t="s">
        <v>2340</v>
      </c>
      <c r="T398" s="0" t="s">
        <v>54</v>
      </c>
      <c r="U398" s="5" t="n">
        <v>15</v>
      </c>
      <c r="V398" s="0" t="s">
        <v>2352</v>
      </c>
      <c r="W398" s="0" t="s">
        <v>155</v>
      </c>
      <c r="X398" s="0" t="s">
        <v>78</v>
      </c>
      <c r="Y398" s="0" t="s">
        <v>196</v>
      </c>
      <c r="Z398" s="0" t="s">
        <v>2326</v>
      </c>
      <c r="AA398" s="0" t="s">
        <v>79</v>
      </c>
      <c r="AB398" s="5" t="n">
        <v>40000</v>
      </c>
      <c r="AC398" s="5" t="n">
        <v>20000</v>
      </c>
      <c r="AD398" s="0" t="s">
        <v>50</v>
      </c>
      <c r="AE398" s="5" t="n">
        <v>0</v>
      </c>
      <c r="AF398" s="0" t="s">
        <v>60</v>
      </c>
      <c r="AG398" s="7" t="s">
        <v>2330</v>
      </c>
      <c r="AH398" s="0" t="s">
        <v>50</v>
      </c>
      <c r="AI398" s="0" t="s">
        <v>2331</v>
      </c>
      <c r="AJ398" s="0" t="s">
        <v>2331</v>
      </c>
      <c r="AK398" s="0" t="s">
        <v>50</v>
      </c>
      <c r="AL398" s="0" t="s">
        <v>50</v>
      </c>
      <c r="AM398" s="0" t="s">
        <v>50</v>
      </c>
      <c r="AN398" s="0" t="s">
        <v>2321</v>
      </c>
      <c r="AO398" s="0" t="s">
        <v>63</v>
      </c>
    </row>
    <row r="399" customFormat="false" ht="15" hidden="false" customHeight="false" outlineLevel="0" collapsed="false">
      <c r="A399" s="0" t="s">
        <v>1061</v>
      </c>
      <c r="B399" s="2" t="s">
        <v>666</v>
      </c>
      <c r="C399" s="0" t="s">
        <v>105</v>
      </c>
      <c r="D399" s="0" t="n">
        <v>8010999023</v>
      </c>
      <c r="E399" s="0" t="s">
        <v>85</v>
      </c>
      <c r="F399" s="0" t="s">
        <v>2319</v>
      </c>
      <c r="G399" s="0" t="s">
        <v>1062</v>
      </c>
      <c r="H399" s="0" t="s">
        <v>45</v>
      </c>
      <c r="I399" s="3" t="s">
        <v>2322</v>
      </c>
      <c r="J399" s="0" t="s">
        <v>2349</v>
      </c>
      <c r="K399" s="0" t="s">
        <v>71</v>
      </c>
      <c r="L399" s="4" t="n">
        <v>104578</v>
      </c>
      <c r="M399" s="0" t="s">
        <v>49</v>
      </c>
      <c r="N399" s="0" t="s">
        <v>63</v>
      </c>
      <c r="O399" s="5" t="n">
        <v>4</v>
      </c>
      <c r="P399" s="0" t="n">
        <v>4.9</v>
      </c>
      <c r="Q399" s="0" t="s">
        <v>92</v>
      </c>
      <c r="R399" s="0" t="s">
        <v>52</v>
      </c>
      <c r="S399" s="0" t="s">
        <v>2335</v>
      </c>
      <c r="T399" s="0" t="s">
        <v>2353</v>
      </c>
      <c r="U399" s="5" t="n">
        <v>45</v>
      </c>
      <c r="V399" s="0" t="s">
        <v>112</v>
      </c>
      <c r="W399" s="0" t="s">
        <v>155</v>
      </c>
      <c r="X399" s="0" t="s">
        <v>98</v>
      </c>
      <c r="Y399" s="0" t="s">
        <v>196</v>
      </c>
      <c r="Z399" s="0" t="s">
        <v>59</v>
      </c>
      <c r="AA399" s="0" t="s">
        <v>79</v>
      </c>
      <c r="AB399" s="5" t="n">
        <v>20000</v>
      </c>
      <c r="AC399" s="5" t="n">
        <v>40000</v>
      </c>
      <c r="AD399" s="0" t="s">
        <v>50</v>
      </c>
      <c r="AE399" s="5" t="n">
        <v>10000</v>
      </c>
      <c r="AF399" s="0" t="s">
        <v>130</v>
      </c>
      <c r="AG399" s="7" t="s">
        <v>1063</v>
      </c>
      <c r="AH399" s="0" t="s">
        <v>50</v>
      </c>
      <c r="AI399" s="0" t="s">
        <v>116</v>
      </c>
      <c r="AJ399" s="0" t="s">
        <v>2331</v>
      </c>
      <c r="AK399" s="0" t="s">
        <v>63</v>
      </c>
      <c r="AL399" s="0" t="s">
        <v>63</v>
      </c>
      <c r="AM399" s="0" t="s">
        <v>63</v>
      </c>
      <c r="AN399" s="0" t="s">
        <v>2318</v>
      </c>
      <c r="AO399" s="0" t="s">
        <v>50</v>
      </c>
    </row>
    <row r="400" customFormat="false" ht="15" hidden="false" customHeight="false" outlineLevel="0" collapsed="false">
      <c r="A400" s="0" t="s">
        <v>1064</v>
      </c>
      <c r="B400" s="2" t="s">
        <v>1714</v>
      </c>
      <c r="C400" s="0" t="s">
        <v>121</v>
      </c>
      <c r="D400" s="0" t="n">
        <v>8029151794</v>
      </c>
      <c r="E400" s="0" t="s">
        <v>122</v>
      </c>
      <c r="F400" s="0" t="s">
        <v>2316</v>
      </c>
      <c r="G400" s="0" t="s">
        <v>996</v>
      </c>
      <c r="H400" s="0" t="s">
        <v>134</v>
      </c>
      <c r="I400" s="3" t="s">
        <v>2325</v>
      </c>
      <c r="J400" s="0" t="s">
        <v>2347</v>
      </c>
      <c r="K400" s="0" t="s">
        <v>48</v>
      </c>
      <c r="L400" s="4" t="n">
        <v>59872</v>
      </c>
      <c r="M400" s="0" t="s">
        <v>110</v>
      </c>
      <c r="N400" s="0" t="s">
        <v>63</v>
      </c>
      <c r="O400" s="5" t="n">
        <v>4</v>
      </c>
      <c r="P400" s="0" t="n">
        <v>1.4</v>
      </c>
      <c r="Q400" s="0" t="s">
        <v>51</v>
      </c>
      <c r="R400" s="0" t="s">
        <v>93</v>
      </c>
      <c r="S400" s="0" t="s">
        <v>53</v>
      </c>
      <c r="T400" s="0" t="s">
        <v>2353</v>
      </c>
      <c r="U400" s="5" t="n">
        <v>15</v>
      </c>
      <c r="V400" s="0" t="s">
        <v>55</v>
      </c>
      <c r="W400" s="0" t="s">
        <v>2328</v>
      </c>
      <c r="X400" s="0" t="s">
        <v>128</v>
      </c>
      <c r="Y400" s="0" t="s">
        <v>99</v>
      </c>
      <c r="Z400" s="0" t="s">
        <v>59</v>
      </c>
      <c r="AA400" s="0" t="s">
        <v>161</v>
      </c>
      <c r="AB400" s="5" t="n">
        <v>20000</v>
      </c>
      <c r="AC400" s="5" t="n">
        <v>31428.5714285714</v>
      </c>
      <c r="AD400" s="0" t="s">
        <v>50</v>
      </c>
      <c r="AE400" s="5" t="n">
        <v>0</v>
      </c>
      <c r="AF400" s="0" t="s">
        <v>60</v>
      </c>
      <c r="AG400" s="7" t="s">
        <v>2455</v>
      </c>
      <c r="AH400" s="0" t="s">
        <v>50</v>
      </c>
      <c r="AI400" s="0" t="s">
        <v>116</v>
      </c>
      <c r="AJ400" s="0" t="s">
        <v>2320</v>
      </c>
      <c r="AK400" s="0" t="s">
        <v>50</v>
      </c>
      <c r="AL400" s="0" t="s">
        <v>2344</v>
      </c>
      <c r="AM400" s="0" t="s">
        <v>63</v>
      </c>
      <c r="AN400" s="0" t="s">
        <v>2318</v>
      </c>
      <c r="AO400" s="0" t="s">
        <v>50</v>
      </c>
    </row>
    <row r="401" customFormat="false" ht="15" hidden="false" customHeight="false" outlineLevel="0" collapsed="false">
      <c r="A401" s="0" t="s">
        <v>1065</v>
      </c>
      <c r="B401" s="2" t="s">
        <v>2451</v>
      </c>
      <c r="C401" s="0" t="s">
        <v>121</v>
      </c>
      <c r="D401" s="0" t="n">
        <v>8069825080</v>
      </c>
      <c r="E401" s="0" t="s">
        <v>85</v>
      </c>
      <c r="F401" s="0" t="s">
        <v>2319</v>
      </c>
      <c r="G401" s="0" t="s">
        <v>1066</v>
      </c>
      <c r="H401" s="0" t="s">
        <v>107</v>
      </c>
      <c r="I401" s="3" t="s">
        <v>2317</v>
      </c>
      <c r="J401" s="0" t="s">
        <v>47</v>
      </c>
      <c r="K401" s="0" t="s">
        <v>109</v>
      </c>
      <c r="L401" s="4" t="n">
        <v>113674</v>
      </c>
      <c r="M401" s="0" t="s">
        <v>49</v>
      </c>
      <c r="N401" s="0" t="s">
        <v>50</v>
      </c>
      <c r="O401" s="5" t="n">
        <v>5</v>
      </c>
      <c r="P401" s="0" t="n">
        <v>5.1</v>
      </c>
      <c r="Q401" s="0" t="s">
        <v>51</v>
      </c>
      <c r="R401" s="0" t="s">
        <v>73</v>
      </c>
      <c r="S401" s="0" t="s">
        <v>2340</v>
      </c>
      <c r="T401" s="0" t="s">
        <v>147</v>
      </c>
      <c r="U401" s="5" t="n">
        <v>30</v>
      </c>
      <c r="V401" s="0" t="s">
        <v>2336</v>
      </c>
      <c r="W401" s="0" t="s">
        <v>148</v>
      </c>
      <c r="X401" s="0" t="s">
        <v>128</v>
      </c>
      <c r="Y401" s="0" t="s">
        <v>99</v>
      </c>
      <c r="Z401" s="0" t="s">
        <v>2329</v>
      </c>
      <c r="AA401" s="0" t="s">
        <v>149</v>
      </c>
      <c r="AB401" s="5" t="n">
        <v>20000</v>
      </c>
      <c r="AC401" s="5" t="n">
        <v>30000</v>
      </c>
      <c r="AD401" s="0" t="s">
        <v>50</v>
      </c>
      <c r="AE401" s="5" t="n">
        <v>10000</v>
      </c>
      <c r="AF401" s="0" t="s">
        <v>60</v>
      </c>
      <c r="AG401" s="7" t="s">
        <v>245</v>
      </c>
      <c r="AH401" s="0" t="s">
        <v>50</v>
      </c>
      <c r="AI401" s="0" t="s">
        <v>171</v>
      </c>
      <c r="AJ401" s="0" t="s">
        <v>172</v>
      </c>
      <c r="AK401" s="0" t="s">
        <v>63</v>
      </c>
      <c r="AL401" s="0" t="s">
        <v>50</v>
      </c>
      <c r="AM401" s="0" t="s">
        <v>50</v>
      </c>
      <c r="AN401" s="0" t="s">
        <v>2321</v>
      </c>
      <c r="AO401" s="0" t="s">
        <v>2359</v>
      </c>
    </row>
    <row r="402" customFormat="false" ht="15" hidden="false" customHeight="false" outlineLevel="0" collapsed="false">
      <c r="A402" s="0" t="s">
        <v>1067</v>
      </c>
      <c r="B402" s="2" t="s">
        <v>2410</v>
      </c>
      <c r="C402" s="0" t="s">
        <v>42</v>
      </c>
      <c r="D402" s="0" t="n">
        <v>8018585913</v>
      </c>
      <c r="E402" s="0" t="s">
        <v>139</v>
      </c>
      <c r="F402" s="0" t="s">
        <v>2323</v>
      </c>
      <c r="G402" s="0" t="s">
        <v>1068</v>
      </c>
      <c r="H402" s="0" t="s">
        <v>87</v>
      </c>
      <c r="I402" s="3" t="s">
        <v>2317</v>
      </c>
      <c r="J402" s="0" t="s">
        <v>2341</v>
      </c>
      <c r="K402" s="0" t="s">
        <v>48</v>
      </c>
      <c r="L402" s="4" t="n">
        <v>18653</v>
      </c>
      <c r="M402" s="0" t="s">
        <v>2333</v>
      </c>
      <c r="N402" s="0" t="s">
        <v>63</v>
      </c>
      <c r="O402" s="5" t="n">
        <v>3</v>
      </c>
      <c r="P402" s="0" t="n">
        <v>2.6</v>
      </c>
      <c r="Q402" s="0" t="s">
        <v>2334</v>
      </c>
      <c r="R402" s="0" t="s">
        <v>73</v>
      </c>
      <c r="S402" s="0" t="s">
        <v>53</v>
      </c>
      <c r="T402" s="0" t="s">
        <v>75</v>
      </c>
      <c r="U402" s="5" t="n">
        <v>45</v>
      </c>
      <c r="V402" s="0" t="s">
        <v>55</v>
      </c>
      <c r="W402" s="0" t="s">
        <v>2328</v>
      </c>
      <c r="X402" s="0" t="s">
        <v>78</v>
      </c>
      <c r="Y402" s="0" t="s">
        <v>114</v>
      </c>
      <c r="Z402" s="0" t="s">
        <v>2326</v>
      </c>
      <c r="AA402" s="0" t="s">
        <v>2329</v>
      </c>
      <c r="AB402" s="5" t="n">
        <v>20000</v>
      </c>
      <c r="AC402" s="5" t="n">
        <v>35000</v>
      </c>
      <c r="AD402" s="0" t="s">
        <v>50</v>
      </c>
      <c r="AE402" s="5" t="n">
        <v>5000</v>
      </c>
      <c r="AF402" s="0" t="s">
        <v>60</v>
      </c>
      <c r="AG402" s="7" t="s">
        <v>2330</v>
      </c>
      <c r="AH402" s="0" t="s">
        <v>2329</v>
      </c>
      <c r="AI402" s="0" t="s">
        <v>2331</v>
      </c>
      <c r="AJ402" s="0" t="s">
        <v>117</v>
      </c>
      <c r="AK402" s="0" t="s">
        <v>50</v>
      </c>
      <c r="AL402" s="0" t="s">
        <v>2344</v>
      </c>
      <c r="AM402" s="0" t="s">
        <v>63</v>
      </c>
      <c r="AN402" s="0" t="s">
        <v>2321</v>
      </c>
      <c r="AO402" s="0" t="s">
        <v>2359</v>
      </c>
    </row>
    <row r="403" customFormat="false" ht="15" hidden="false" customHeight="false" outlineLevel="0" collapsed="false">
      <c r="A403" s="0" t="s">
        <v>1069</v>
      </c>
      <c r="B403" s="2" t="s">
        <v>737</v>
      </c>
      <c r="C403" s="0" t="s">
        <v>105</v>
      </c>
      <c r="D403" s="0" t="n">
        <v>8063584671</v>
      </c>
      <c r="E403" s="0" t="s">
        <v>67</v>
      </c>
      <c r="F403" s="0" t="s">
        <v>2316</v>
      </c>
      <c r="G403" s="0" t="s">
        <v>1070</v>
      </c>
      <c r="H403" s="0" t="s">
        <v>69</v>
      </c>
      <c r="I403" s="3" t="s">
        <v>87</v>
      </c>
      <c r="J403" s="0" t="s">
        <v>47</v>
      </c>
      <c r="K403" s="0" t="s">
        <v>48</v>
      </c>
      <c r="L403" s="4" t="n">
        <v>116229</v>
      </c>
      <c r="M403" s="0" t="s">
        <v>49</v>
      </c>
      <c r="N403" s="0" t="s">
        <v>63</v>
      </c>
      <c r="O403" s="5" t="n">
        <v>3.05252525252525</v>
      </c>
      <c r="P403" s="0" t="n">
        <v>3.5</v>
      </c>
      <c r="Q403" s="0" t="s">
        <v>125</v>
      </c>
      <c r="R403" s="0" t="s">
        <v>52</v>
      </c>
      <c r="S403" s="0" t="s">
        <v>2340</v>
      </c>
      <c r="T403" s="0" t="s">
        <v>75</v>
      </c>
      <c r="U403" s="5" t="n">
        <v>36.2</v>
      </c>
      <c r="V403" s="0" t="s">
        <v>96</v>
      </c>
      <c r="W403" s="0" t="s">
        <v>155</v>
      </c>
      <c r="X403" s="0" t="s">
        <v>98</v>
      </c>
      <c r="Y403" s="0" t="s">
        <v>58</v>
      </c>
      <c r="Z403" s="0" t="s">
        <v>2329</v>
      </c>
      <c r="AA403" s="0" t="s">
        <v>79</v>
      </c>
      <c r="AB403" s="5" t="n">
        <v>40000</v>
      </c>
      <c r="AC403" s="5" t="n">
        <v>30000</v>
      </c>
      <c r="AD403" s="0" t="s">
        <v>50</v>
      </c>
      <c r="AE403" s="5" t="n">
        <v>0</v>
      </c>
      <c r="AF403" s="0" t="s">
        <v>60</v>
      </c>
      <c r="AG403" s="7" t="s">
        <v>2450</v>
      </c>
      <c r="AH403" s="0" t="s">
        <v>2329</v>
      </c>
      <c r="AI403" s="0" t="s">
        <v>171</v>
      </c>
      <c r="AJ403" s="0" t="s">
        <v>172</v>
      </c>
      <c r="AK403" s="0" t="s">
        <v>50</v>
      </c>
      <c r="AL403" s="0" t="s">
        <v>50</v>
      </c>
      <c r="AM403" s="0" t="s">
        <v>2344</v>
      </c>
      <c r="AN403" s="0" t="s">
        <v>64</v>
      </c>
      <c r="AO403" s="0" t="s">
        <v>50</v>
      </c>
    </row>
    <row r="404" customFormat="false" ht="15" hidden="false" customHeight="false" outlineLevel="0" collapsed="false">
      <c r="A404" s="0" t="s">
        <v>1071</v>
      </c>
      <c r="B404" s="2" t="s">
        <v>2383</v>
      </c>
      <c r="C404" s="0" t="s">
        <v>121</v>
      </c>
      <c r="D404" s="0" t="n">
        <v>8091181404</v>
      </c>
      <c r="E404" s="0" t="s">
        <v>85</v>
      </c>
      <c r="F404" s="0" t="s">
        <v>2319</v>
      </c>
      <c r="G404" s="0" t="s">
        <v>1072</v>
      </c>
      <c r="H404" s="0" t="s">
        <v>69</v>
      </c>
      <c r="I404" s="3" t="s">
        <v>2325</v>
      </c>
      <c r="J404" s="0" t="s">
        <v>2339</v>
      </c>
      <c r="K404" s="0" t="s">
        <v>71</v>
      </c>
      <c r="L404" s="4" t="n">
        <v>107270</v>
      </c>
      <c r="M404" s="0" t="s">
        <v>49</v>
      </c>
      <c r="N404" s="0" t="s">
        <v>63</v>
      </c>
      <c r="O404" s="5" t="n">
        <v>3</v>
      </c>
      <c r="P404" s="0" t="n">
        <v>4.8</v>
      </c>
      <c r="Q404" s="0" t="s">
        <v>51</v>
      </c>
      <c r="R404" s="0" t="s">
        <v>93</v>
      </c>
      <c r="S404" s="0" t="s">
        <v>53</v>
      </c>
      <c r="T404" s="0" t="s">
        <v>95</v>
      </c>
      <c r="U404" s="5" t="n">
        <v>45</v>
      </c>
      <c r="V404" s="0" t="s">
        <v>96</v>
      </c>
      <c r="W404" s="0" t="s">
        <v>2328</v>
      </c>
      <c r="X404" s="0" t="s">
        <v>98</v>
      </c>
      <c r="Y404" s="0" t="s">
        <v>196</v>
      </c>
      <c r="Z404" s="0" t="s">
        <v>177</v>
      </c>
      <c r="AA404" s="0" t="s">
        <v>161</v>
      </c>
      <c r="AB404" s="5" t="n">
        <v>25000</v>
      </c>
      <c r="AC404" s="5" t="n">
        <v>30000</v>
      </c>
      <c r="AD404" s="0" t="s">
        <v>50</v>
      </c>
      <c r="AE404" s="5" t="n">
        <v>0</v>
      </c>
      <c r="AF404" s="0" t="s">
        <v>2338</v>
      </c>
      <c r="AG404" s="7" t="s">
        <v>2436</v>
      </c>
      <c r="AH404" s="0" t="s">
        <v>50</v>
      </c>
      <c r="AI404" s="0" t="s">
        <v>171</v>
      </c>
      <c r="AJ404" s="0" t="s">
        <v>172</v>
      </c>
      <c r="AK404" s="0" t="s">
        <v>50</v>
      </c>
      <c r="AL404" s="0" t="s">
        <v>2344</v>
      </c>
      <c r="AM404" s="0" t="s">
        <v>63</v>
      </c>
      <c r="AN404" s="0" t="s">
        <v>2321</v>
      </c>
      <c r="AO404" s="0" t="s">
        <v>50</v>
      </c>
    </row>
    <row r="405" customFormat="false" ht="15" hidden="false" customHeight="false" outlineLevel="0" collapsed="false">
      <c r="A405" s="0" t="s">
        <v>1073</v>
      </c>
      <c r="B405" s="2" t="s">
        <v>2162</v>
      </c>
      <c r="C405" s="0" t="s">
        <v>66</v>
      </c>
      <c r="D405" s="0" t="n">
        <v>8043130320</v>
      </c>
      <c r="E405" s="0" t="s">
        <v>67</v>
      </c>
      <c r="F405" s="0" t="s">
        <v>2316</v>
      </c>
      <c r="G405" s="0" t="s">
        <v>1074</v>
      </c>
      <c r="H405" s="0" t="s">
        <v>87</v>
      </c>
      <c r="I405" s="3" t="s">
        <v>2322</v>
      </c>
      <c r="J405" s="0" t="s">
        <v>47</v>
      </c>
      <c r="K405" s="0" t="s">
        <v>90</v>
      </c>
      <c r="L405" s="4" t="n">
        <v>106466</v>
      </c>
      <c r="M405" s="0" t="s">
        <v>2333</v>
      </c>
      <c r="N405" s="0" t="s">
        <v>63</v>
      </c>
      <c r="O405" s="5" t="n">
        <v>5</v>
      </c>
      <c r="P405" s="0" t="n">
        <v>4.8</v>
      </c>
      <c r="Q405" s="0" t="s">
        <v>125</v>
      </c>
      <c r="R405" s="0" t="s">
        <v>73</v>
      </c>
      <c r="S405" s="0" t="s">
        <v>2335</v>
      </c>
      <c r="T405" s="0" t="s">
        <v>75</v>
      </c>
      <c r="U405" s="5" t="n">
        <v>36.2</v>
      </c>
      <c r="V405" s="0" t="s">
        <v>2352</v>
      </c>
      <c r="W405" s="0" t="s">
        <v>155</v>
      </c>
      <c r="X405" s="0" t="s">
        <v>128</v>
      </c>
      <c r="Y405" s="0" t="s">
        <v>58</v>
      </c>
      <c r="Z405" s="0" t="s">
        <v>177</v>
      </c>
      <c r="AA405" s="0" t="s">
        <v>143</v>
      </c>
      <c r="AB405" s="5" t="n">
        <v>15000</v>
      </c>
      <c r="AC405" s="5" t="n">
        <v>31430</v>
      </c>
      <c r="AD405" s="0" t="s">
        <v>63</v>
      </c>
      <c r="AE405" s="5" t="n">
        <v>10000</v>
      </c>
      <c r="AF405" s="0" t="s">
        <v>2338</v>
      </c>
      <c r="AG405" s="7" t="s">
        <v>2330</v>
      </c>
      <c r="AH405" s="0" t="s">
        <v>63</v>
      </c>
      <c r="AI405" s="0" t="s">
        <v>2331</v>
      </c>
      <c r="AJ405" s="0" t="s">
        <v>2331</v>
      </c>
      <c r="AK405" s="0" t="s">
        <v>63</v>
      </c>
      <c r="AL405" s="0" t="s">
        <v>63</v>
      </c>
      <c r="AM405" s="0" t="s">
        <v>63</v>
      </c>
      <c r="AN405" s="0" t="s">
        <v>2318</v>
      </c>
      <c r="AO405" s="0" t="s">
        <v>50</v>
      </c>
    </row>
    <row r="406" customFormat="false" ht="15" hidden="false" customHeight="false" outlineLevel="0" collapsed="false">
      <c r="A406" s="0" t="s">
        <v>1075</v>
      </c>
      <c r="B406" s="2" t="s">
        <v>737</v>
      </c>
      <c r="C406" s="0" t="s">
        <v>66</v>
      </c>
      <c r="D406" s="0" t="n">
        <v>8080579265</v>
      </c>
      <c r="E406" s="0" t="s">
        <v>67</v>
      </c>
      <c r="F406" s="0" t="s">
        <v>2316</v>
      </c>
      <c r="G406" s="0" t="s">
        <v>1076</v>
      </c>
      <c r="H406" s="0" t="s">
        <v>107</v>
      </c>
      <c r="I406" s="3" t="s">
        <v>87</v>
      </c>
      <c r="J406" s="0" t="s">
        <v>2341</v>
      </c>
      <c r="K406" s="0" t="s">
        <v>90</v>
      </c>
      <c r="L406" s="4" t="n">
        <v>95872</v>
      </c>
      <c r="M406" s="0" t="s">
        <v>2333</v>
      </c>
      <c r="N406" s="0" t="s">
        <v>50</v>
      </c>
      <c r="O406" s="5" t="n">
        <v>3.04868154158215</v>
      </c>
      <c r="P406" s="0" t="n">
        <v>3.3</v>
      </c>
      <c r="Q406" s="0" t="s">
        <v>2334</v>
      </c>
      <c r="R406" s="0" t="s">
        <v>93</v>
      </c>
      <c r="S406" s="0" t="s">
        <v>53</v>
      </c>
      <c r="T406" s="0" t="s">
        <v>75</v>
      </c>
      <c r="U406" s="5" t="n">
        <v>45</v>
      </c>
      <c r="V406" s="0" t="s">
        <v>2352</v>
      </c>
      <c r="W406" s="0" t="s">
        <v>155</v>
      </c>
      <c r="X406" s="0" t="s">
        <v>98</v>
      </c>
      <c r="Y406" s="0" t="s">
        <v>114</v>
      </c>
      <c r="Z406" s="0" t="s">
        <v>2324</v>
      </c>
      <c r="AA406" s="0" t="s">
        <v>143</v>
      </c>
      <c r="AB406" s="5" t="n">
        <v>40000</v>
      </c>
      <c r="AC406" s="5" t="n">
        <v>31430</v>
      </c>
      <c r="AD406" s="0" t="s">
        <v>63</v>
      </c>
      <c r="AE406" s="5" t="n">
        <v>0</v>
      </c>
      <c r="AF406" s="0" t="s">
        <v>60</v>
      </c>
      <c r="AG406" s="7" t="s">
        <v>2404</v>
      </c>
      <c r="AH406" s="0" t="s">
        <v>63</v>
      </c>
      <c r="AI406" s="0" t="s">
        <v>171</v>
      </c>
      <c r="AJ406" s="0" t="s">
        <v>117</v>
      </c>
      <c r="AK406" s="0" t="s">
        <v>50</v>
      </c>
      <c r="AL406" s="0" t="s">
        <v>63</v>
      </c>
      <c r="AM406" s="0" t="s">
        <v>63</v>
      </c>
      <c r="AN406" s="0" t="s">
        <v>2318</v>
      </c>
      <c r="AO406" s="0" t="s">
        <v>50</v>
      </c>
    </row>
    <row r="407" customFormat="false" ht="15" hidden="false" customHeight="false" outlineLevel="0" collapsed="false">
      <c r="A407" s="0" t="s">
        <v>1077</v>
      </c>
      <c r="B407" s="2" t="s">
        <v>971</v>
      </c>
      <c r="C407" s="0" t="s">
        <v>163</v>
      </c>
      <c r="D407" s="0" t="n">
        <v>8054143064</v>
      </c>
      <c r="E407" s="0" t="s">
        <v>122</v>
      </c>
      <c r="F407" s="0" t="s">
        <v>2316</v>
      </c>
      <c r="G407" s="0" t="s">
        <v>1078</v>
      </c>
      <c r="H407" s="0" t="s">
        <v>69</v>
      </c>
      <c r="I407" s="3" t="s">
        <v>2317</v>
      </c>
      <c r="J407" s="0" t="s">
        <v>2347</v>
      </c>
      <c r="K407" s="0" t="s">
        <v>90</v>
      </c>
      <c r="L407" s="4" t="n">
        <v>10162</v>
      </c>
      <c r="M407" s="0" t="s">
        <v>2333</v>
      </c>
      <c r="N407" s="0" t="s">
        <v>50</v>
      </c>
      <c r="O407" s="5" t="n">
        <v>3.04868154158215</v>
      </c>
      <c r="P407" s="0" t="n">
        <v>4.7</v>
      </c>
      <c r="Q407" s="0" t="s">
        <v>111</v>
      </c>
      <c r="R407" s="0" t="s">
        <v>93</v>
      </c>
      <c r="S407" s="0" t="s">
        <v>53</v>
      </c>
      <c r="T407" s="0" t="s">
        <v>75</v>
      </c>
      <c r="U407" s="5" t="n">
        <v>45</v>
      </c>
      <c r="V407" s="0" t="s">
        <v>96</v>
      </c>
      <c r="W407" s="0" t="s">
        <v>2337</v>
      </c>
      <c r="X407" s="0" t="s">
        <v>78</v>
      </c>
      <c r="Y407" s="0" t="s">
        <v>58</v>
      </c>
      <c r="Z407" s="0" t="s">
        <v>2326</v>
      </c>
      <c r="AA407" s="0" t="s">
        <v>149</v>
      </c>
      <c r="AB407" s="5" t="n">
        <v>27647.0588235294</v>
      </c>
      <c r="AC407" s="5" t="n">
        <v>20000</v>
      </c>
      <c r="AD407" s="0" t="s">
        <v>50</v>
      </c>
      <c r="AE407" s="5" t="n">
        <v>10000</v>
      </c>
      <c r="AF407" s="0" t="s">
        <v>60</v>
      </c>
      <c r="AG407" s="7" t="s">
        <v>1079</v>
      </c>
      <c r="AH407" s="0" t="s">
        <v>2329</v>
      </c>
      <c r="AI407" s="0" t="s">
        <v>2331</v>
      </c>
      <c r="AJ407" s="0" t="s">
        <v>2331</v>
      </c>
      <c r="AK407" s="0" t="s">
        <v>2344</v>
      </c>
      <c r="AL407" s="0" t="s">
        <v>63</v>
      </c>
      <c r="AM407" s="0" t="s">
        <v>2344</v>
      </c>
      <c r="AN407" s="0" t="s">
        <v>2321</v>
      </c>
      <c r="AO407" s="0" t="s">
        <v>2359</v>
      </c>
    </row>
    <row r="408" customFormat="false" ht="15" hidden="false" customHeight="false" outlineLevel="0" collapsed="false">
      <c r="A408" s="0" t="s">
        <v>1080</v>
      </c>
      <c r="B408" s="2" t="s">
        <v>975</v>
      </c>
      <c r="C408" s="0" t="s">
        <v>105</v>
      </c>
      <c r="D408" s="0" t="n">
        <v>8086400632</v>
      </c>
      <c r="E408" s="0" t="s">
        <v>43</v>
      </c>
      <c r="F408" s="0" t="s">
        <v>2315</v>
      </c>
      <c r="G408" s="0" t="s">
        <v>1081</v>
      </c>
      <c r="H408" s="0" t="s">
        <v>87</v>
      </c>
      <c r="I408" s="3" t="s">
        <v>2342</v>
      </c>
      <c r="J408" s="0" t="s">
        <v>47</v>
      </c>
      <c r="K408" s="0" t="s">
        <v>109</v>
      </c>
      <c r="L408" s="4" t="n">
        <v>115560</v>
      </c>
      <c r="M408" s="0" t="s">
        <v>2333</v>
      </c>
      <c r="N408" s="0" t="s">
        <v>63</v>
      </c>
      <c r="O408" s="5" t="n">
        <v>2</v>
      </c>
      <c r="P408" s="0" t="n">
        <v>4.8</v>
      </c>
      <c r="Q408" s="0" t="s">
        <v>111</v>
      </c>
      <c r="R408" s="0" t="s">
        <v>73</v>
      </c>
      <c r="S408" s="0" t="s">
        <v>2340</v>
      </c>
      <c r="T408" s="0" t="s">
        <v>2343</v>
      </c>
      <c r="U408" s="5" t="n">
        <v>60</v>
      </c>
      <c r="V408" s="0" t="s">
        <v>55</v>
      </c>
      <c r="W408" s="0" t="s">
        <v>155</v>
      </c>
      <c r="X408" s="0" t="s">
        <v>128</v>
      </c>
      <c r="Y408" s="0" t="s">
        <v>196</v>
      </c>
      <c r="Z408" s="0" t="s">
        <v>2326</v>
      </c>
      <c r="AA408" s="0" t="s">
        <v>79</v>
      </c>
      <c r="AB408" s="5" t="n">
        <v>30000</v>
      </c>
      <c r="AC408" s="5" t="n">
        <v>20000</v>
      </c>
      <c r="AD408" s="0" t="s">
        <v>50</v>
      </c>
      <c r="AE408" s="5" t="n">
        <v>5000</v>
      </c>
      <c r="AF408" s="0" t="s">
        <v>130</v>
      </c>
      <c r="AG408" s="7" t="s">
        <v>1082</v>
      </c>
      <c r="AH408" s="0" t="s">
        <v>50</v>
      </c>
      <c r="AI408" s="0" t="s">
        <v>171</v>
      </c>
      <c r="AJ408" s="0" t="s">
        <v>2320</v>
      </c>
      <c r="AK408" s="0" t="s">
        <v>63</v>
      </c>
      <c r="AL408" s="0" t="s">
        <v>63</v>
      </c>
      <c r="AM408" s="0" t="s">
        <v>2344</v>
      </c>
      <c r="AN408" s="0" t="s">
        <v>2321</v>
      </c>
      <c r="AO408" s="0" t="s">
        <v>63</v>
      </c>
    </row>
    <row r="409" customFormat="false" ht="15" hidden="false" customHeight="false" outlineLevel="0" collapsed="false">
      <c r="A409" s="0" t="s">
        <v>1083</v>
      </c>
      <c r="B409" s="2" t="s">
        <v>666</v>
      </c>
      <c r="C409" s="0" t="s">
        <v>42</v>
      </c>
      <c r="D409" s="0" t="n">
        <v>8075895351</v>
      </c>
      <c r="E409" s="0" t="s">
        <v>67</v>
      </c>
      <c r="F409" s="0" t="s">
        <v>2316</v>
      </c>
      <c r="G409" s="0" t="s">
        <v>1084</v>
      </c>
      <c r="H409" s="0" t="s">
        <v>134</v>
      </c>
      <c r="I409" s="3" t="s">
        <v>2317</v>
      </c>
      <c r="J409" s="0" t="s">
        <v>2341</v>
      </c>
      <c r="K409" s="0" t="s">
        <v>48</v>
      </c>
      <c r="L409" s="4" t="n">
        <v>38130</v>
      </c>
      <c r="M409" s="0" t="s">
        <v>2333</v>
      </c>
      <c r="N409" s="0" t="s">
        <v>50</v>
      </c>
      <c r="O409" s="5" t="n">
        <v>2</v>
      </c>
      <c r="P409" s="0" t="n">
        <v>4.3</v>
      </c>
      <c r="Q409" s="0" t="s">
        <v>111</v>
      </c>
      <c r="R409" s="0" t="s">
        <v>52</v>
      </c>
      <c r="S409" s="0" t="s">
        <v>53</v>
      </c>
      <c r="T409" s="0" t="s">
        <v>95</v>
      </c>
      <c r="U409" s="5" t="n">
        <v>37.5</v>
      </c>
      <c r="V409" s="0" t="s">
        <v>112</v>
      </c>
      <c r="W409" s="0" t="s">
        <v>2328</v>
      </c>
      <c r="X409" s="0" t="s">
        <v>98</v>
      </c>
      <c r="Y409" s="0" t="s">
        <v>99</v>
      </c>
      <c r="Z409" s="0" t="s">
        <v>2326</v>
      </c>
      <c r="AA409" s="0" t="s">
        <v>79</v>
      </c>
      <c r="AB409" s="5" t="n">
        <v>27500</v>
      </c>
      <c r="AC409" s="5" t="n">
        <v>30000</v>
      </c>
      <c r="AD409" s="0" t="s">
        <v>50</v>
      </c>
      <c r="AE409" s="5" t="n">
        <v>5000</v>
      </c>
      <c r="AF409" s="0" t="s">
        <v>60</v>
      </c>
      <c r="AG409" s="7" t="s">
        <v>1690</v>
      </c>
      <c r="AH409" s="0" t="s">
        <v>63</v>
      </c>
      <c r="AI409" s="0" t="s">
        <v>116</v>
      </c>
      <c r="AJ409" s="0" t="s">
        <v>172</v>
      </c>
      <c r="AK409" s="0" t="s">
        <v>50</v>
      </c>
      <c r="AL409" s="0" t="s">
        <v>63</v>
      </c>
      <c r="AM409" s="0" t="s">
        <v>50</v>
      </c>
      <c r="AN409" s="0" t="s">
        <v>2321</v>
      </c>
      <c r="AO409" s="0" t="s">
        <v>63</v>
      </c>
    </row>
    <row r="410" customFormat="false" ht="15" hidden="false" customHeight="false" outlineLevel="0" collapsed="false">
      <c r="A410" s="0" t="s">
        <v>1085</v>
      </c>
      <c r="B410" s="2" t="s">
        <v>2469</v>
      </c>
      <c r="C410" s="0" t="s">
        <v>66</v>
      </c>
      <c r="D410" s="0" t="n">
        <v>8071767610</v>
      </c>
      <c r="E410" s="0" t="s">
        <v>85</v>
      </c>
      <c r="F410" s="0" t="s">
        <v>2319</v>
      </c>
      <c r="G410" s="0" t="s">
        <v>1086</v>
      </c>
      <c r="H410" s="0" t="s">
        <v>107</v>
      </c>
      <c r="I410" s="3" t="s">
        <v>2342</v>
      </c>
      <c r="J410" s="0" t="s">
        <v>2339</v>
      </c>
      <c r="K410" s="0" t="s">
        <v>90</v>
      </c>
      <c r="L410" s="4" t="n">
        <v>103804</v>
      </c>
      <c r="M410" s="0" t="s">
        <v>110</v>
      </c>
      <c r="N410" s="0" t="s">
        <v>50</v>
      </c>
      <c r="O410" s="5" t="n">
        <v>4</v>
      </c>
      <c r="P410" s="0" t="n">
        <v>2</v>
      </c>
      <c r="Q410" s="0" t="s">
        <v>125</v>
      </c>
      <c r="R410" s="0" t="s">
        <v>73</v>
      </c>
      <c r="S410" s="0" t="s">
        <v>2335</v>
      </c>
      <c r="T410" s="0" t="s">
        <v>54</v>
      </c>
      <c r="U410" s="5" t="n">
        <v>15</v>
      </c>
      <c r="V410" s="0" t="s">
        <v>2336</v>
      </c>
      <c r="W410" s="0" t="s">
        <v>2328</v>
      </c>
      <c r="X410" s="0" t="s">
        <v>98</v>
      </c>
      <c r="Y410" s="0" t="s">
        <v>99</v>
      </c>
      <c r="Z410" s="0" t="s">
        <v>177</v>
      </c>
      <c r="AA410" s="0" t="s">
        <v>79</v>
      </c>
      <c r="AB410" s="5" t="n">
        <v>15000</v>
      </c>
      <c r="AC410" s="5" t="n">
        <v>35000</v>
      </c>
      <c r="AD410" s="0" t="s">
        <v>50</v>
      </c>
      <c r="AE410" s="5" t="n">
        <v>5000</v>
      </c>
      <c r="AF410" s="0" t="s">
        <v>60</v>
      </c>
      <c r="AG410" s="7" t="s">
        <v>2330</v>
      </c>
      <c r="AH410" s="0" t="s">
        <v>50</v>
      </c>
      <c r="AI410" s="0" t="s">
        <v>116</v>
      </c>
      <c r="AJ410" s="0" t="s">
        <v>2331</v>
      </c>
      <c r="AK410" s="0" t="s">
        <v>63</v>
      </c>
      <c r="AL410" s="0" t="s">
        <v>63</v>
      </c>
      <c r="AM410" s="0" t="s">
        <v>63</v>
      </c>
      <c r="AN410" s="0" t="s">
        <v>2321</v>
      </c>
      <c r="AO410" s="0" t="s">
        <v>50</v>
      </c>
    </row>
    <row r="411" customFormat="false" ht="15" hidden="false" customHeight="false" outlineLevel="0" collapsed="false">
      <c r="A411" s="0" t="s">
        <v>1087</v>
      </c>
      <c r="B411" s="2" t="s">
        <v>669</v>
      </c>
      <c r="C411" s="0" t="s">
        <v>66</v>
      </c>
      <c r="D411" s="0" t="n">
        <v>8072101932</v>
      </c>
      <c r="E411" s="0" t="s">
        <v>43</v>
      </c>
      <c r="F411" s="0" t="s">
        <v>2315</v>
      </c>
      <c r="G411" s="0" t="s">
        <v>1088</v>
      </c>
      <c r="H411" s="0" t="s">
        <v>134</v>
      </c>
      <c r="I411" s="3" t="s">
        <v>2322</v>
      </c>
      <c r="J411" s="0" t="s">
        <v>47</v>
      </c>
      <c r="K411" s="0" t="s">
        <v>109</v>
      </c>
      <c r="L411" s="4" t="n">
        <v>97418</v>
      </c>
      <c r="M411" s="0" t="s">
        <v>110</v>
      </c>
      <c r="N411" s="0" t="s">
        <v>50</v>
      </c>
      <c r="O411" s="5" t="n">
        <v>2</v>
      </c>
      <c r="P411" s="0" t="n">
        <v>4.4</v>
      </c>
      <c r="Q411" s="0" t="s">
        <v>111</v>
      </c>
      <c r="R411" s="0" t="s">
        <v>52</v>
      </c>
      <c r="S411" s="0" t="s">
        <v>2340</v>
      </c>
      <c r="T411" s="0" t="s">
        <v>2343</v>
      </c>
      <c r="U411" s="5" t="n">
        <v>60</v>
      </c>
      <c r="V411" s="0" t="s">
        <v>2352</v>
      </c>
      <c r="W411" s="0" t="s">
        <v>155</v>
      </c>
      <c r="X411" s="0" t="s">
        <v>128</v>
      </c>
      <c r="Y411" s="0" t="s">
        <v>196</v>
      </c>
      <c r="Z411" s="0" t="s">
        <v>2326</v>
      </c>
      <c r="AA411" s="0" t="s">
        <v>2329</v>
      </c>
      <c r="AB411" s="5" t="n">
        <v>40000</v>
      </c>
      <c r="AC411" s="5" t="n">
        <v>31471.7741935484</v>
      </c>
      <c r="AD411" s="0" t="s">
        <v>63</v>
      </c>
      <c r="AE411" s="5" t="n">
        <v>5000</v>
      </c>
      <c r="AF411" s="0" t="s">
        <v>60</v>
      </c>
      <c r="AG411" s="7" t="s">
        <v>2330</v>
      </c>
      <c r="AH411" s="0" t="s">
        <v>63</v>
      </c>
      <c r="AI411" s="0" t="s">
        <v>116</v>
      </c>
      <c r="AJ411" s="0" t="s">
        <v>2320</v>
      </c>
      <c r="AK411" s="0" t="s">
        <v>2344</v>
      </c>
      <c r="AL411" s="0" t="s">
        <v>63</v>
      </c>
      <c r="AM411" s="0" t="s">
        <v>50</v>
      </c>
      <c r="AN411" s="0" t="s">
        <v>2321</v>
      </c>
      <c r="AO411" s="0" t="s">
        <v>50</v>
      </c>
    </row>
    <row r="412" customFormat="false" ht="15" hidden="false" customHeight="false" outlineLevel="0" collapsed="false">
      <c r="A412" s="0" t="s">
        <v>1089</v>
      </c>
      <c r="B412" s="2" t="s">
        <v>531</v>
      </c>
      <c r="C412" s="0" t="s">
        <v>121</v>
      </c>
      <c r="D412" s="0" t="n">
        <v>8087327229</v>
      </c>
      <c r="E412" s="0" t="s">
        <v>122</v>
      </c>
      <c r="F412" s="0" t="s">
        <v>2316</v>
      </c>
      <c r="G412" s="0" t="s">
        <v>1090</v>
      </c>
      <c r="H412" s="0" t="s">
        <v>45</v>
      </c>
      <c r="I412" s="3" t="s">
        <v>2342</v>
      </c>
      <c r="J412" s="0" t="s">
        <v>2341</v>
      </c>
      <c r="K412" s="0" t="s">
        <v>71</v>
      </c>
      <c r="L412" s="4" t="n">
        <v>84562</v>
      </c>
      <c r="M412" s="0" t="s">
        <v>49</v>
      </c>
      <c r="N412" s="0" t="s">
        <v>63</v>
      </c>
      <c r="O412" s="5" t="n">
        <v>3.05316973415133</v>
      </c>
      <c r="P412" s="0" t="n">
        <v>1.1</v>
      </c>
      <c r="Q412" s="0" t="s">
        <v>111</v>
      </c>
      <c r="R412" s="0" t="s">
        <v>73</v>
      </c>
      <c r="S412" s="0" t="s">
        <v>2335</v>
      </c>
      <c r="T412" s="0" t="s">
        <v>147</v>
      </c>
      <c r="U412" s="5" t="n">
        <v>37.5</v>
      </c>
      <c r="V412" s="0" t="s">
        <v>96</v>
      </c>
      <c r="W412" s="0" t="s">
        <v>155</v>
      </c>
      <c r="X412" s="0" t="s">
        <v>128</v>
      </c>
      <c r="Y412" s="0" t="s">
        <v>196</v>
      </c>
      <c r="Z412" s="0" t="s">
        <v>2329</v>
      </c>
      <c r="AA412" s="0" t="s">
        <v>79</v>
      </c>
      <c r="AB412" s="5" t="n">
        <v>15000</v>
      </c>
      <c r="AC412" s="5" t="n">
        <v>35000</v>
      </c>
      <c r="AD412" s="0" t="s">
        <v>63</v>
      </c>
      <c r="AE412" s="5" t="n">
        <v>10000</v>
      </c>
      <c r="AF412" s="0" t="s">
        <v>184</v>
      </c>
      <c r="AG412" s="7" t="s">
        <v>2330</v>
      </c>
      <c r="AH412" s="0" t="s">
        <v>50</v>
      </c>
      <c r="AI412" s="0" t="s">
        <v>171</v>
      </c>
      <c r="AJ412" s="0" t="s">
        <v>2331</v>
      </c>
      <c r="AK412" s="0" t="s">
        <v>2344</v>
      </c>
      <c r="AL412" s="0" t="s">
        <v>63</v>
      </c>
      <c r="AM412" s="0" t="s">
        <v>2344</v>
      </c>
      <c r="AN412" s="0" t="s">
        <v>2321</v>
      </c>
      <c r="AO412" s="0" t="s">
        <v>50</v>
      </c>
    </row>
    <row r="413" customFormat="false" ht="15" hidden="false" customHeight="false" outlineLevel="0" collapsed="false">
      <c r="A413" s="0" t="s">
        <v>1091</v>
      </c>
      <c r="B413" s="2" t="s">
        <v>119</v>
      </c>
      <c r="C413" s="0" t="s">
        <v>66</v>
      </c>
      <c r="D413" s="0" t="n">
        <v>8015245871</v>
      </c>
      <c r="E413" s="0" t="s">
        <v>139</v>
      </c>
      <c r="F413" s="0" t="s">
        <v>2323</v>
      </c>
      <c r="G413" s="0" t="s">
        <v>1092</v>
      </c>
      <c r="H413" s="0" t="s">
        <v>134</v>
      </c>
      <c r="I413" s="3" t="s">
        <v>87</v>
      </c>
      <c r="J413" s="0" t="s">
        <v>189</v>
      </c>
      <c r="K413" s="0" t="s">
        <v>90</v>
      </c>
      <c r="L413" s="4" t="n">
        <v>88145</v>
      </c>
      <c r="M413" s="0" t="s">
        <v>110</v>
      </c>
      <c r="N413" s="0" t="s">
        <v>63</v>
      </c>
      <c r="O413" s="5" t="n">
        <v>2</v>
      </c>
      <c r="P413" s="0" t="n">
        <v>4.7</v>
      </c>
      <c r="Q413" s="0" t="s">
        <v>125</v>
      </c>
      <c r="R413" s="0" t="s">
        <v>73</v>
      </c>
      <c r="S413" s="0" t="s">
        <v>53</v>
      </c>
      <c r="T413" s="0" t="s">
        <v>54</v>
      </c>
      <c r="U413" s="5" t="n">
        <v>40</v>
      </c>
      <c r="V413" s="0" t="s">
        <v>96</v>
      </c>
      <c r="W413" s="0" t="s">
        <v>2328</v>
      </c>
      <c r="X413" s="0" t="s">
        <v>78</v>
      </c>
      <c r="Y413" s="0" t="s">
        <v>196</v>
      </c>
      <c r="Z413" s="0" t="s">
        <v>2329</v>
      </c>
      <c r="AA413" s="0" t="s">
        <v>79</v>
      </c>
      <c r="AB413" s="5" t="n">
        <v>40000</v>
      </c>
      <c r="AC413" s="5" t="n">
        <v>35000</v>
      </c>
      <c r="AD413" s="0" t="s">
        <v>50</v>
      </c>
      <c r="AE413" s="5" t="n">
        <v>5000</v>
      </c>
      <c r="AF413" s="0" t="s">
        <v>2338</v>
      </c>
      <c r="AG413" s="7" t="s">
        <v>703</v>
      </c>
      <c r="AH413" s="0" t="s">
        <v>2329</v>
      </c>
      <c r="AI413" s="0" t="s">
        <v>2331</v>
      </c>
      <c r="AJ413" s="0" t="s">
        <v>2331</v>
      </c>
      <c r="AK413" s="0" t="s">
        <v>50</v>
      </c>
      <c r="AL413" s="0" t="s">
        <v>50</v>
      </c>
      <c r="AM413" s="0" t="s">
        <v>63</v>
      </c>
      <c r="AN413" s="0" t="s">
        <v>2321</v>
      </c>
      <c r="AO413" s="0" t="s">
        <v>2359</v>
      </c>
    </row>
    <row r="414" customFormat="false" ht="15" hidden="false" customHeight="false" outlineLevel="0" collapsed="false">
      <c r="A414" s="0" t="s">
        <v>1093</v>
      </c>
      <c r="B414" s="2" t="s">
        <v>2456</v>
      </c>
      <c r="C414" s="0" t="s">
        <v>105</v>
      </c>
      <c r="D414" s="0" t="n">
        <v>8022227594</v>
      </c>
      <c r="E414" s="0" t="s">
        <v>139</v>
      </c>
      <c r="F414" s="0" t="s">
        <v>2323</v>
      </c>
      <c r="G414" s="0" t="s">
        <v>1094</v>
      </c>
      <c r="H414" s="0" t="s">
        <v>45</v>
      </c>
      <c r="I414" s="3" t="s">
        <v>2317</v>
      </c>
      <c r="J414" s="0" t="s">
        <v>2347</v>
      </c>
      <c r="K414" s="0" t="s">
        <v>109</v>
      </c>
      <c r="L414" s="4" t="n">
        <v>55251</v>
      </c>
      <c r="M414" s="0" t="s">
        <v>2333</v>
      </c>
      <c r="N414" s="0" t="s">
        <v>63</v>
      </c>
      <c r="O414" s="5" t="n">
        <v>4</v>
      </c>
      <c r="P414" s="0" t="n">
        <v>1.6</v>
      </c>
      <c r="Q414" s="0" t="s">
        <v>92</v>
      </c>
      <c r="R414" s="0" t="s">
        <v>73</v>
      </c>
      <c r="S414" s="0" t="s">
        <v>53</v>
      </c>
      <c r="T414" s="0" t="s">
        <v>75</v>
      </c>
      <c r="U414" s="5" t="n">
        <v>45</v>
      </c>
      <c r="V414" s="0" t="s">
        <v>96</v>
      </c>
      <c r="W414" s="0" t="s">
        <v>2337</v>
      </c>
      <c r="X414" s="0" t="s">
        <v>128</v>
      </c>
      <c r="Y414" s="0" t="s">
        <v>196</v>
      </c>
      <c r="Z414" s="0" t="s">
        <v>59</v>
      </c>
      <c r="AA414" s="0" t="s">
        <v>79</v>
      </c>
      <c r="AB414" s="5" t="n">
        <v>25000</v>
      </c>
      <c r="AC414" s="5" t="n">
        <v>30000</v>
      </c>
      <c r="AD414" s="0" t="s">
        <v>63</v>
      </c>
      <c r="AE414" s="5" t="n">
        <v>0</v>
      </c>
      <c r="AF414" s="0" t="s">
        <v>184</v>
      </c>
      <c r="AG414" s="7" t="s">
        <v>2477</v>
      </c>
      <c r="AH414" s="0" t="s">
        <v>50</v>
      </c>
      <c r="AI414" s="0" t="s">
        <v>2331</v>
      </c>
      <c r="AJ414" s="0" t="s">
        <v>2320</v>
      </c>
      <c r="AK414" s="0" t="s">
        <v>50</v>
      </c>
      <c r="AL414" s="0" t="s">
        <v>50</v>
      </c>
      <c r="AM414" s="0" t="s">
        <v>2344</v>
      </c>
      <c r="AN414" s="0" t="s">
        <v>2321</v>
      </c>
      <c r="AO414" s="0" t="s">
        <v>63</v>
      </c>
    </row>
    <row r="415" customFormat="false" ht="15" hidden="false" customHeight="false" outlineLevel="0" collapsed="false">
      <c r="A415" s="0" t="s">
        <v>1095</v>
      </c>
      <c r="B415" s="2" t="s">
        <v>2479</v>
      </c>
      <c r="C415" s="0" t="s">
        <v>105</v>
      </c>
      <c r="D415" s="0" t="n">
        <v>8048642865</v>
      </c>
      <c r="E415" s="0" t="s">
        <v>139</v>
      </c>
      <c r="F415" s="0" t="s">
        <v>2323</v>
      </c>
      <c r="G415" s="0" t="s">
        <v>1096</v>
      </c>
      <c r="H415" s="0" t="s">
        <v>134</v>
      </c>
      <c r="I415" s="3" t="s">
        <v>87</v>
      </c>
      <c r="J415" s="0" t="s">
        <v>2347</v>
      </c>
      <c r="K415" s="0" t="s">
        <v>90</v>
      </c>
      <c r="L415" s="4" t="n">
        <v>26803</v>
      </c>
      <c r="M415" s="0" t="s">
        <v>2333</v>
      </c>
      <c r="N415" s="0" t="s">
        <v>50</v>
      </c>
      <c r="O415" s="5" t="n">
        <v>5</v>
      </c>
      <c r="P415" s="0" t="n">
        <v>2.2</v>
      </c>
      <c r="Q415" s="0" t="s">
        <v>92</v>
      </c>
      <c r="R415" s="0" t="s">
        <v>52</v>
      </c>
      <c r="S415" s="0" t="s">
        <v>2335</v>
      </c>
      <c r="T415" s="0" t="s">
        <v>95</v>
      </c>
      <c r="U415" s="5" t="n">
        <v>15</v>
      </c>
      <c r="V415" s="0" t="s">
        <v>2336</v>
      </c>
      <c r="W415" s="0" t="s">
        <v>155</v>
      </c>
      <c r="X415" s="0" t="s">
        <v>128</v>
      </c>
      <c r="Y415" s="0" t="s">
        <v>196</v>
      </c>
      <c r="Z415" s="0" t="s">
        <v>2324</v>
      </c>
      <c r="AA415" s="0" t="s">
        <v>149</v>
      </c>
      <c r="AB415" s="5" t="n">
        <v>40000</v>
      </c>
      <c r="AC415" s="5" t="n">
        <v>31460.4462474645</v>
      </c>
      <c r="AD415" s="0" t="s">
        <v>50</v>
      </c>
      <c r="AE415" s="5" t="n">
        <v>10000</v>
      </c>
      <c r="AF415" s="0" t="s">
        <v>184</v>
      </c>
      <c r="AG415" s="7" t="s">
        <v>1097</v>
      </c>
      <c r="AH415" s="0" t="s">
        <v>50</v>
      </c>
      <c r="AI415" s="0" t="s">
        <v>2331</v>
      </c>
      <c r="AJ415" s="0" t="s">
        <v>2331</v>
      </c>
      <c r="AK415" s="0" t="s">
        <v>50</v>
      </c>
      <c r="AL415" s="0" t="s">
        <v>2344</v>
      </c>
      <c r="AM415" s="0" t="s">
        <v>63</v>
      </c>
      <c r="AN415" s="0" t="s">
        <v>64</v>
      </c>
      <c r="AO415" s="0" t="s">
        <v>2359</v>
      </c>
    </row>
    <row r="416" customFormat="false" ht="15" hidden="false" customHeight="false" outlineLevel="0" collapsed="false">
      <c r="A416" s="0" t="s">
        <v>1098</v>
      </c>
      <c r="B416" s="2" t="s">
        <v>2396</v>
      </c>
      <c r="C416" s="0" t="s">
        <v>163</v>
      </c>
      <c r="D416" s="0" t="n">
        <v>8096744801</v>
      </c>
      <c r="E416" s="0" t="s">
        <v>67</v>
      </c>
      <c r="F416" s="0" t="s">
        <v>2316</v>
      </c>
      <c r="G416" s="0" t="s">
        <v>1099</v>
      </c>
      <c r="H416" s="0" t="s">
        <v>107</v>
      </c>
      <c r="I416" s="3" t="s">
        <v>87</v>
      </c>
      <c r="J416" s="0" t="s">
        <v>2339</v>
      </c>
      <c r="K416" s="0" t="s">
        <v>90</v>
      </c>
      <c r="L416" s="4" t="n">
        <v>112133</v>
      </c>
      <c r="M416" s="0" t="s">
        <v>49</v>
      </c>
      <c r="N416" s="0" t="s">
        <v>63</v>
      </c>
      <c r="O416" s="5" t="n">
        <v>1</v>
      </c>
      <c r="P416" s="0" t="n">
        <v>3.9</v>
      </c>
      <c r="Q416" s="0" t="s">
        <v>125</v>
      </c>
      <c r="R416" s="0" t="s">
        <v>73</v>
      </c>
      <c r="S416" s="0" t="s">
        <v>53</v>
      </c>
      <c r="T416" s="0" t="s">
        <v>2353</v>
      </c>
      <c r="U416" s="5" t="n">
        <v>39.3548387096774</v>
      </c>
      <c r="V416" s="0" t="s">
        <v>96</v>
      </c>
      <c r="W416" s="0" t="s">
        <v>2328</v>
      </c>
      <c r="X416" s="0" t="s">
        <v>98</v>
      </c>
      <c r="Y416" s="0" t="s">
        <v>58</v>
      </c>
      <c r="Z416" s="0" t="s">
        <v>2329</v>
      </c>
      <c r="AA416" s="0" t="s">
        <v>161</v>
      </c>
      <c r="AB416" s="5" t="n">
        <v>20000</v>
      </c>
      <c r="AC416" s="5" t="n">
        <v>30000</v>
      </c>
      <c r="AD416" s="0" t="s">
        <v>63</v>
      </c>
      <c r="AE416" s="5" t="n">
        <v>5000</v>
      </c>
      <c r="AF416" s="0" t="s">
        <v>130</v>
      </c>
      <c r="AG416" s="7" t="s">
        <v>2476</v>
      </c>
      <c r="AH416" s="0" t="s">
        <v>2329</v>
      </c>
      <c r="AI416" s="0" t="s">
        <v>171</v>
      </c>
      <c r="AJ416" s="0" t="s">
        <v>172</v>
      </c>
      <c r="AK416" s="0" t="s">
        <v>63</v>
      </c>
      <c r="AL416" s="0" t="s">
        <v>50</v>
      </c>
      <c r="AM416" s="0" t="s">
        <v>63</v>
      </c>
      <c r="AN416" s="0" t="s">
        <v>64</v>
      </c>
      <c r="AO416" s="0" t="s">
        <v>2359</v>
      </c>
    </row>
    <row r="417" customFormat="false" ht="15" hidden="false" customHeight="false" outlineLevel="0" collapsed="false">
      <c r="A417" s="0" t="s">
        <v>1100</v>
      </c>
      <c r="B417" s="2" t="s">
        <v>2419</v>
      </c>
      <c r="C417" s="0" t="s">
        <v>121</v>
      </c>
      <c r="D417" s="0" t="n">
        <v>8071244438</v>
      </c>
      <c r="E417" s="0" t="s">
        <v>43</v>
      </c>
      <c r="F417" s="0" t="s">
        <v>2315</v>
      </c>
      <c r="G417" s="0" t="s">
        <v>1101</v>
      </c>
      <c r="H417" s="0" t="s">
        <v>134</v>
      </c>
      <c r="I417" s="3" t="s">
        <v>2317</v>
      </c>
      <c r="J417" s="0" t="s">
        <v>2347</v>
      </c>
      <c r="K417" s="0" t="s">
        <v>109</v>
      </c>
      <c r="L417" s="4" t="n">
        <v>101037</v>
      </c>
      <c r="M417" s="0" t="s">
        <v>2333</v>
      </c>
      <c r="N417" s="0" t="s">
        <v>50</v>
      </c>
      <c r="O417" s="5" t="n">
        <v>2</v>
      </c>
      <c r="P417" s="0" t="n">
        <v>1.1</v>
      </c>
      <c r="Q417" s="0" t="s">
        <v>51</v>
      </c>
      <c r="R417" s="0" t="s">
        <v>52</v>
      </c>
      <c r="S417" s="0" t="s">
        <v>53</v>
      </c>
      <c r="T417" s="0" t="s">
        <v>75</v>
      </c>
      <c r="U417" s="5" t="n">
        <v>45</v>
      </c>
      <c r="V417" s="0" t="s">
        <v>55</v>
      </c>
      <c r="W417" s="0" t="s">
        <v>155</v>
      </c>
      <c r="X417" s="0" t="s">
        <v>128</v>
      </c>
      <c r="Y417" s="0" t="s">
        <v>58</v>
      </c>
      <c r="Z417" s="0" t="s">
        <v>177</v>
      </c>
      <c r="AA417" s="0" t="s">
        <v>79</v>
      </c>
      <c r="AB417" s="5" t="n">
        <v>20000</v>
      </c>
      <c r="AC417" s="5" t="n">
        <v>30000</v>
      </c>
      <c r="AD417" s="0" t="s">
        <v>50</v>
      </c>
      <c r="AE417" s="5" t="n">
        <v>5000</v>
      </c>
      <c r="AF417" s="0" t="s">
        <v>60</v>
      </c>
      <c r="AG417" s="7" t="s">
        <v>1197</v>
      </c>
      <c r="AH417" s="0" t="s">
        <v>63</v>
      </c>
      <c r="AI417" s="0" t="s">
        <v>2331</v>
      </c>
      <c r="AJ417" s="0" t="s">
        <v>2331</v>
      </c>
      <c r="AK417" s="0" t="s">
        <v>50</v>
      </c>
      <c r="AL417" s="0" t="s">
        <v>50</v>
      </c>
      <c r="AM417" s="0" t="s">
        <v>2344</v>
      </c>
      <c r="AN417" s="0" t="s">
        <v>2318</v>
      </c>
      <c r="AO417" s="0" t="s">
        <v>50</v>
      </c>
    </row>
    <row r="418" customFormat="false" ht="15" hidden="false" customHeight="false" outlineLevel="0" collapsed="false">
      <c r="A418" s="0" t="s">
        <v>1102</v>
      </c>
      <c r="B418" s="2" t="s">
        <v>2462</v>
      </c>
      <c r="C418" s="0" t="s">
        <v>105</v>
      </c>
      <c r="D418" s="0" t="n">
        <v>8056544270</v>
      </c>
      <c r="E418" s="0" t="s">
        <v>122</v>
      </c>
      <c r="F418" s="0" t="s">
        <v>2316</v>
      </c>
      <c r="G418" s="0" t="s">
        <v>238</v>
      </c>
      <c r="H418" s="0" t="s">
        <v>45</v>
      </c>
      <c r="I418" s="3" t="s">
        <v>2322</v>
      </c>
      <c r="J418" s="0" t="s">
        <v>2349</v>
      </c>
      <c r="K418" s="0" t="s">
        <v>71</v>
      </c>
      <c r="L418" s="4" t="n">
        <v>86475</v>
      </c>
      <c r="M418" s="0" t="s">
        <v>2333</v>
      </c>
      <c r="N418" s="0" t="s">
        <v>50</v>
      </c>
      <c r="O418" s="5" t="n">
        <v>1</v>
      </c>
      <c r="P418" s="0" t="n">
        <v>5.8</v>
      </c>
      <c r="Q418" s="0" t="s">
        <v>92</v>
      </c>
      <c r="R418" s="0" t="s">
        <v>52</v>
      </c>
      <c r="S418" s="0" t="s">
        <v>53</v>
      </c>
      <c r="T418" s="0" t="s">
        <v>95</v>
      </c>
      <c r="U418" s="5" t="n">
        <v>60</v>
      </c>
      <c r="V418" s="0" t="s">
        <v>2352</v>
      </c>
      <c r="W418" s="0" t="s">
        <v>2337</v>
      </c>
      <c r="X418" s="0" t="s">
        <v>98</v>
      </c>
      <c r="Y418" s="0" t="s">
        <v>99</v>
      </c>
      <c r="Z418" s="0" t="s">
        <v>2326</v>
      </c>
      <c r="AA418" s="0" t="s">
        <v>143</v>
      </c>
      <c r="AB418" s="5" t="n">
        <v>40000</v>
      </c>
      <c r="AC418" s="5" t="n">
        <v>40000</v>
      </c>
      <c r="AD418" s="0" t="s">
        <v>50</v>
      </c>
      <c r="AE418" s="5" t="n">
        <v>5000</v>
      </c>
      <c r="AF418" s="0" t="s">
        <v>130</v>
      </c>
      <c r="AG418" s="7" t="s">
        <v>1103</v>
      </c>
      <c r="AH418" s="0" t="s">
        <v>63</v>
      </c>
      <c r="AI418" s="0" t="s">
        <v>116</v>
      </c>
      <c r="AJ418" s="0" t="s">
        <v>2320</v>
      </c>
      <c r="AK418" s="0" t="s">
        <v>63</v>
      </c>
      <c r="AL418" s="0" t="s">
        <v>2344</v>
      </c>
      <c r="AM418" s="0" t="s">
        <v>63</v>
      </c>
      <c r="AN418" s="0" t="s">
        <v>2321</v>
      </c>
      <c r="AO418" s="0" t="s">
        <v>50</v>
      </c>
    </row>
    <row r="419" customFormat="false" ht="15" hidden="false" customHeight="false" outlineLevel="0" collapsed="false">
      <c r="A419" s="0" t="s">
        <v>1104</v>
      </c>
      <c r="B419" s="2" t="s">
        <v>2387</v>
      </c>
      <c r="C419" s="0" t="s">
        <v>105</v>
      </c>
      <c r="D419" s="0" t="n">
        <v>8049922892</v>
      </c>
      <c r="E419" s="0" t="s">
        <v>43</v>
      </c>
      <c r="F419" s="0" t="s">
        <v>2315</v>
      </c>
      <c r="G419" s="0" t="s">
        <v>1105</v>
      </c>
      <c r="H419" s="0" t="s">
        <v>45</v>
      </c>
      <c r="I419" s="3" t="s">
        <v>2322</v>
      </c>
      <c r="J419" s="0" t="s">
        <v>47</v>
      </c>
      <c r="K419" s="0" t="s">
        <v>109</v>
      </c>
      <c r="L419" s="4" t="n">
        <v>75084</v>
      </c>
      <c r="M419" s="0" t="s">
        <v>49</v>
      </c>
      <c r="N419" s="0" t="s">
        <v>50</v>
      </c>
      <c r="O419" s="5" t="n">
        <v>2</v>
      </c>
      <c r="P419" s="0" t="n">
        <v>3.7</v>
      </c>
      <c r="Q419" s="0" t="s">
        <v>2334</v>
      </c>
      <c r="R419" s="0" t="s">
        <v>93</v>
      </c>
      <c r="S419" s="0" t="s">
        <v>53</v>
      </c>
      <c r="T419" s="0" t="s">
        <v>2353</v>
      </c>
      <c r="U419" s="5" t="n">
        <v>30</v>
      </c>
      <c r="V419" s="0" t="s">
        <v>112</v>
      </c>
      <c r="W419" s="0" t="s">
        <v>155</v>
      </c>
      <c r="X419" s="0" t="s">
        <v>98</v>
      </c>
      <c r="Y419" s="0" t="s">
        <v>99</v>
      </c>
      <c r="Z419" s="0" t="s">
        <v>2329</v>
      </c>
      <c r="AA419" s="0" t="s">
        <v>143</v>
      </c>
      <c r="AB419" s="5" t="n">
        <v>25704.2253521127</v>
      </c>
      <c r="AC419" s="5" t="n">
        <v>40000</v>
      </c>
      <c r="AD419" s="0" t="s">
        <v>50</v>
      </c>
      <c r="AE419" s="5" t="n">
        <v>0</v>
      </c>
      <c r="AF419" s="0" t="s">
        <v>2338</v>
      </c>
      <c r="AG419" s="7" t="s">
        <v>2455</v>
      </c>
      <c r="AH419" s="0" t="s">
        <v>63</v>
      </c>
      <c r="AI419" s="0" t="s">
        <v>2331</v>
      </c>
      <c r="AJ419" s="0" t="s">
        <v>2320</v>
      </c>
      <c r="AK419" s="0" t="s">
        <v>2344</v>
      </c>
      <c r="AL419" s="0" t="s">
        <v>63</v>
      </c>
      <c r="AM419" s="0" t="s">
        <v>2344</v>
      </c>
      <c r="AN419" s="0" t="s">
        <v>2318</v>
      </c>
      <c r="AO419" s="0" t="s">
        <v>50</v>
      </c>
    </row>
    <row r="420" customFormat="false" ht="15" hidden="false" customHeight="false" outlineLevel="0" collapsed="false">
      <c r="A420" s="0" t="s">
        <v>1106</v>
      </c>
      <c r="B420" s="2" t="s">
        <v>2362</v>
      </c>
      <c r="C420" s="0" t="s">
        <v>121</v>
      </c>
      <c r="D420" s="0" t="n">
        <v>8062491260</v>
      </c>
      <c r="E420" s="0" t="s">
        <v>67</v>
      </c>
      <c r="F420" s="0" t="s">
        <v>2316</v>
      </c>
      <c r="G420" s="0" t="s">
        <v>1107</v>
      </c>
      <c r="H420" s="0" t="s">
        <v>134</v>
      </c>
      <c r="I420" s="3" t="s">
        <v>2325</v>
      </c>
      <c r="J420" s="0" t="s">
        <v>47</v>
      </c>
      <c r="K420" s="0" t="s">
        <v>48</v>
      </c>
      <c r="L420" s="4" t="n">
        <v>117936</v>
      </c>
      <c r="M420" s="0" t="s">
        <v>110</v>
      </c>
      <c r="N420" s="0" t="s">
        <v>50</v>
      </c>
      <c r="O420" s="5" t="n">
        <v>1</v>
      </c>
      <c r="P420" s="0" t="n">
        <v>5.3</v>
      </c>
      <c r="Q420" s="0" t="s">
        <v>2334</v>
      </c>
      <c r="R420" s="0" t="s">
        <v>52</v>
      </c>
      <c r="S420" s="0" t="s">
        <v>2335</v>
      </c>
      <c r="T420" s="0" t="s">
        <v>54</v>
      </c>
      <c r="U420" s="5" t="n">
        <v>30</v>
      </c>
      <c r="V420" s="0" t="s">
        <v>112</v>
      </c>
      <c r="W420" s="0" t="s">
        <v>2337</v>
      </c>
      <c r="X420" s="0" t="s">
        <v>128</v>
      </c>
      <c r="Y420" s="0" t="s">
        <v>114</v>
      </c>
      <c r="Z420" s="0" t="s">
        <v>2329</v>
      </c>
      <c r="AA420" s="0" t="s">
        <v>79</v>
      </c>
      <c r="AB420" s="5" t="n">
        <v>20000</v>
      </c>
      <c r="AC420" s="5" t="n">
        <v>35000</v>
      </c>
      <c r="AD420" s="0" t="s">
        <v>63</v>
      </c>
      <c r="AE420" s="5" t="n">
        <v>0</v>
      </c>
      <c r="AF420" s="0" t="s">
        <v>60</v>
      </c>
      <c r="AG420" s="7" t="s">
        <v>1108</v>
      </c>
      <c r="AH420" s="0" t="s">
        <v>63</v>
      </c>
      <c r="AI420" s="0" t="s">
        <v>2331</v>
      </c>
      <c r="AJ420" s="0" t="s">
        <v>117</v>
      </c>
      <c r="AK420" s="0" t="s">
        <v>2344</v>
      </c>
      <c r="AL420" s="0" t="s">
        <v>63</v>
      </c>
      <c r="AM420" s="0" t="s">
        <v>2344</v>
      </c>
      <c r="AN420" s="0" t="s">
        <v>64</v>
      </c>
      <c r="AO420" s="0" t="s">
        <v>63</v>
      </c>
    </row>
    <row r="421" customFormat="false" ht="15" hidden="false" customHeight="false" outlineLevel="0" collapsed="false">
      <c r="A421" s="0" t="s">
        <v>1109</v>
      </c>
      <c r="B421" s="2" t="s">
        <v>2448</v>
      </c>
      <c r="C421" s="0" t="s">
        <v>121</v>
      </c>
      <c r="D421" s="0" t="n">
        <v>8092279159</v>
      </c>
      <c r="E421" s="0" t="s">
        <v>85</v>
      </c>
      <c r="F421" s="0" t="s">
        <v>2319</v>
      </c>
      <c r="G421" s="0" t="s">
        <v>1110</v>
      </c>
      <c r="H421" s="0" t="s">
        <v>87</v>
      </c>
      <c r="I421" s="3" t="s">
        <v>2325</v>
      </c>
      <c r="J421" s="0" t="s">
        <v>2349</v>
      </c>
      <c r="K421" s="0" t="s">
        <v>71</v>
      </c>
      <c r="L421" s="4" t="n">
        <v>12239</v>
      </c>
      <c r="M421" s="0" t="s">
        <v>2333</v>
      </c>
      <c r="N421" s="0" t="s">
        <v>50</v>
      </c>
      <c r="O421" s="5" t="n">
        <v>1</v>
      </c>
      <c r="P421" s="0" t="n">
        <v>5.9</v>
      </c>
      <c r="Q421" s="0" t="s">
        <v>92</v>
      </c>
      <c r="R421" s="0" t="s">
        <v>73</v>
      </c>
      <c r="S421" s="0" t="s">
        <v>2340</v>
      </c>
      <c r="T421" s="0" t="s">
        <v>75</v>
      </c>
      <c r="U421" s="5" t="n">
        <v>45</v>
      </c>
      <c r="V421" s="0" t="s">
        <v>55</v>
      </c>
      <c r="W421" s="0" t="s">
        <v>2328</v>
      </c>
      <c r="X421" s="0" t="s">
        <v>78</v>
      </c>
      <c r="Y421" s="0" t="s">
        <v>58</v>
      </c>
      <c r="Z421" s="0" t="s">
        <v>2324</v>
      </c>
      <c r="AA421" s="0" t="s">
        <v>161</v>
      </c>
      <c r="AB421" s="5" t="n">
        <v>20000</v>
      </c>
      <c r="AC421" s="5" t="n">
        <v>30000</v>
      </c>
      <c r="AD421" s="0" t="s">
        <v>63</v>
      </c>
      <c r="AE421" s="5" t="n">
        <v>0</v>
      </c>
      <c r="AF421" s="0" t="s">
        <v>60</v>
      </c>
      <c r="AG421" s="7" t="s">
        <v>2330</v>
      </c>
      <c r="AH421" s="0" t="s">
        <v>2329</v>
      </c>
      <c r="AI421" s="0" t="s">
        <v>171</v>
      </c>
      <c r="AJ421" s="0" t="s">
        <v>2331</v>
      </c>
      <c r="AK421" s="0" t="s">
        <v>2344</v>
      </c>
      <c r="AL421" s="0" t="s">
        <v>63</v>
      </c>
      <c r="AM421" s="0" t="s">
        <v>2344</v>
      </c>
      <c r="AN421" s="0" t="s">
        <v>2318</v>
      </c>
      <c r="AO421" s="0" t="s">
        <v>2359</v>
      </c>
    </row>
    <row r="422" customFormat="false" ht="15" hidden="false" customHeight="false" outlineLevel="0" collapsed="false">
      <c r="A422" s="0" t="s">
        <v>1111</v>
      </c>
      <c r="B422" s="2" t="s">
        <v>310</v>
      </c>
      <c r="C422" s="0" t="s">
        <v>121</v>
      </c>
      <c r="D422" s="0" t="n">
        <v>8033505052</v>
      </c>
      <c r="E422" s="0" t="s">
        <v>122</v>
      </c>
      <c r="F422" s="0" t="s">
        <v>2316</v>
      </c>
      <c r="G422" s="0" t="s">
        <v>1112</v>
      </c>
      <c r="H422" s="0" t="s">
        <v>107</v>
      </c>
      <c r="I422" s="3" t="s">
        <v>2325</v>
      </c>
      <c r="J422" s="0" t="s">
        <v>2341</v>
      </c>
      <c r="K422" s="0" t="s">
        <v>109</v>
      </c>
      <c r="L422" s="4" t="n">
        <v>111759</v>
      </c>
      <c r="M422" s="0" t="s">
        <v>49</v>
      </c>
      <c r="N422" s="0" t="s">
        <v>63</v>
      </c>
      <c r="O422" s="5" t="n">
        <v>1</v>
      </c>
      <c r="P422" s="0" t="n">
        <v>2.5</v>
      </c>
      <c r="Q422" s="0" t="s">
        <v>111</v>
      </c>
      <c r="R422" s="0" t="s">
        <v>73</v>
      </c>
      <c r="S422" s="0" t="s">
        <v>2335</v>
      </c>
      <c r="T422" s="0" t="s">
        <v>95</v>
      </c>
      <c r="U422" s="5" t="n">
        <v>30</v>
      </c>
      <c r="V422" s="0" t="s">
        <v>2336</v>
      </c>
      <c r="W422" s="0" t="s">
        <v>2328</v>
      </c>
      <c r="X422" s="0" t="s">
        <v>128</v>
      </c>
      <c r="Y422" s="0" t="s">
        <v>196</v>
      </c>
      <c r="Z422" s="0" t="s">
        <v>2329</v>
      </c>
      <c r="AA422" s="0" t="s">
        <v>2329</v>
      </c>
      <c r="AB422" s="5" t="n">
        <v>25000</v>
      </c>
      <c r="AC422" s="5" t="n">
        <v>20000</v>
      </c>
      <c r="AD422" s="0" t="s">
        <v>63</v>
      </c>
      <c r="AE422" s="5" t="n">
        <v>10000</v>
      </c>
      <c r="AF422" s="0" t="s">
        <v>130</v>
      </c>
      <c r="AG422" s="7" t="s">
        <v>2330</v>
      </c>
      <c r="AH422" s="0" t="s">
        <v>50</v>
      </c>
      <c r="AI422" s="0" t="s">
        <v>116</v>
      </c>
      <c r="AJ422" s="0" t="s">
        <v>2331</v>
      </c>
      <c r="AK422" s="0" t="s">
        <v>63</v>
      </c>
      <c r="AL422" s="0" t="s">
        <v>50</v>
      </c>
      <c r="AM422" s="0" t="s">
        <v>63</v>
      </c>
      <c r="AN422" s="0" t="s">
        <v>2321</v>
      </c>
      <c r="AO422" s="0" t="s">
        <v>50</v>
      </c>
    </row>
    <row r="423" customFormat="false" ht="15" hidden="false" customHeight="false" outlineLevel="0" collapsed="false">
      <c r="A423" s="0" t="s">
        <v>1114</v>
      </c>
      <c r="B423" s="2" t="s">
        <v>1113</v>
      </c>
      <c r="C423" s="0" t="s">
        <v>121</v>
      </c>
      <c r="D423" s="0" t="n">
        <v>8065707438</v>
      </c>
      <c r="E423" s="0" t="s">
        <v>43</v>
      </c>
      <c r="F423" s="0" t="s">
        <v>2315</v>
      </c>
      <c r="G423" s="0" t="s">
        <v>1115</v>
      </c>
      <c r="H423" s="0" t="s">
        <v>107</v>
      </c>
      <c r="I423" s="3" t="s">
        <v>2325</v>
      </c>
      <c r="J423" s="0" t="s">
        <v>2339</v>
      </c>
      <c r="K423" s="0" t="s">
        <v>71</v>
      </c>
      <c r="L423" s="4" t="n">
        <v>22736</v>
      </c>
      <c r="M423" s="0" t="s">
        <v>49</v>
      </c>
      <c r="N423" s="0" t="s">
        <v>63</v>
      </c>
      <c r="O423" s="5" t="n">
        <v>1</v>
      </c>
      <c r="P423" s="0" t="n">
        <v>4.2</v>
      </c>
      <c r="Q423" s="0" t="s">
        <v>125</v>
      </c>
      <c r="R423" s="0" t="s">
        <v>73</v>
      </c>
      <c r="S423" s="0" t="s">
        <v>53</v>
      </c>
      <c r="T423" s="0" t="s">
        <v>75</v>
      </c>
      <c r="U423" s="5" t="n">
        <v>60</v>
      </c>
      <c r="V423" s="0" t="s">
        <v>2336</v>
      </c>
      <c r="W423" s="0" t="s">
        <v>148</v>
      </c>
      <c r="X423" s="0" t="s">
        <v>78</v>
      </c>
      <c r="Y423" s="0" t="s">
        <v>58</v>
      </c>
      <c r="Z423" s="0" t="s">
        <v>2326</v>
      </c>
      <c r="AA423" s="0" t="s">
        <v>143</v>
      </c>
      <c r="AB423" s="5" t="n">
        <v>26551.724137931</v>
      </c>
      <c r="AC423" s="5" t="n">
        <v>20000</v>
      </c>
      <c r="AD423" s="0" t="s">
        <v>63</v>
      </c>
      <c r="AE423" s="5" t="n">
        <v>5000</v>
      </c>
      <c r="AF423" s="0" t="s">
        <v>184</v>
      </c>
      <c r="AG423" s="7" t="s">
        <v>771</v>
      </c>
      <c r="AH423" s="0" t="s">
        <v>50</v>
      </c>
      <c r="AI423" s="0" t="s">
        <v>171</v>
      </c>
      <c r="AJ423" s="0" t="s">
        <v>172</v>
      </c>
      <c r="AK423" s="0" t="s">
        <v>2344</v>
      </c>
      <c r="AL423" s="0" t="s">
        <v>2344</v>
      </c>
      <c r="AM423" s="0" t="s">
        <v>63</v>
      </c>
      <c r="AN423" s="0" t="s">
        <v>2321</v>
      </c>
      <c r="AO423" s="0" t="s">
        <v>63</v>
      </c>
    </row>
    <row r="424" customFormat="false" ht="15" hidden="false" customHeight="false" outlineLevel="0" collapsed="false">
      <c r="A424" s="0" t="s">
        <v>1117</v>
      </c>
      <c r="B424" s="2" t="s">
        <v>1116</v>
      </c>
      <c r="C424" s="0" t="s">
        <v>163</v>
      </c>
      <c r="D424" s="0" t="n">
        <v>8043438309</v>
      </c>
      <c r="E424" s="0" t="s">
        <v>43</v>
      </c>
      <c r="F424" s="0" t="s">
        <v>2315</v>
      </c>
      <c r="G424" s="0" t="s">
        <v>1118</v>
      </c>
      <c r="H424" s="0" t="s">
        <v>107</v>
      </c>
      <c r="I424" s="3" t="s">
        <v>2342</v>
      </c>
      <c r="J424" s="0" t="s">
        <v>2339</v>
      </c>
      <c r="K424" s="0" t="s">
        <v>90</v>
      </c>
      <c r="L424" s="4" t="n">
        <v>39997</v>
      </c>
      <c r="M424" s="0" t="s">
        <v>49</v>
      </c>
      <c r="N424" s="0" t="s">
        <v>63</v>
      </c>
      <c r="O424" s="5" t="n">
        <v>5</v>
      </c>
      <c r="P424" s="0" t="n">
        <v>2.6</v>
      </c>
      <c r="Q424" s="0" t="s">
        <v>92</v>
      </c>
      <c r="R424" s="0" t="s">
        <v>93</v>
      </c>
      <c r="S424" s="0" t="s">
        <v>2366</v>
      </c>
      <c r="T424" s="0" t="s">
        <v>75</v>
      </c>
      <c r="U424" s="5" t="n">
        <v>15</v>
      </c>
      <c r="V424" s="0" t="s">
        <v>2336</v>
      </c>
      <c r="W424" s="0" t="s">
        <v>155</v>
      </c>
      <c r="X424" s="0" t="s">
        <v>128</v>
      </c>
      <c r="Y424" s="0" t="s">
        <v>114</v>
      </c>
      <c r="Z424" s="0" t="s">
        <v>2329</v>
      </c>
      <c r="AA424" s="0" t="s">
        <v>149</v>
      </c>
      <c r="AB424" s="5" t="n">
        <v>15000</v>
      </c>
      <c r="AC424" s="5" t="n">
        <v>35000</v>
      </c>
      <c r="AD424" s="0" t="s">
        <v>63</v>
      </c>
      <c r="AE424" s="5" t="n">
        <v>0</v>
      </c>
      <c r="AF424" s="0" t="s">
        <v>184</v>
      </c>
      <c r="AG424" s="7" t="s">
        <v>2493</v>
      </c>
      <c r="AH424" s="0" t="s">
        <v>2329</v>
      </c>
      <c r="AI424" s="0" t="s">
        <v>116</v>
      </c>
      <c r="AJ424" s="0" t="s">
        <v>172</v>
      </c>
      <c r="AK424" s="0" t="s">
        <v>63</v>
      </c>
      <c r="AL424" s="0" t="s">
        <v>50</v>
      </c>
      <c r="AM424" s="0" t="s">
        <v>63</v>
      </c>
      <c r="AN424" s="0" t="s">
        <v>2318</v>
      </c>
      <c r="AO424" s="0" t="s">
        <v>63</v>
      </c>
    </row>
    <row r="425" customFormat="false" ht="15" hidden="false" customHeight="false" outlineLevel="0" collapsed="false">
      <c r="A425" s="0" t="s">
        <v>1119</v>
      </c>
      <c r="B425" s="2" t="s">
        <v>2423</v>
      </c>
      <c r="C425" s="0" t="s">
        <v>66</v>
      </c>
      <c r="D425" s="0" t="n">
        <v>8034102565</v>
      </c>
      <c r="E425" s="0" t="s">
        <v>139</v>
      </c>
      <c r="F425" s="0" t="s">
        <v>2323</v>
      </c>
      <c r="G425" s="0" t="s">
        <v>1120</v>
      </c>
      <c r="H425" s="0" t="s">
        <v>107</v>
      </c>
      <c r="I425" s="3" t="s">
        <v>2322</v>
      </c>
      <c r="J425" s="0" t="s">
        <v>2339</v>
      </c>
      <c r="K425" s="0" t="s">
        <v>90</v>
      </c>
      <c r="L425" s="4" t="n">
        <v>69471</v>
      </c>
      <c r="M425" s="0" t="s">
        <v>110</v>
      </c>
      <c r="N425" s="0" t="s">
        <v>63</v>
      </c>
      <c r="O425" s="5" t="n">
        <v>4</v>
      </c>
      <c r="P425" s="0" t="n">
        <v>1.6</v>
      </c>
      <c r="Q425" s="0" t="s">
        <v>51</v>
      </c>
      <c r="R425" s="0" t="s">
        <v>93</v>
      </c>
      <c r="S425" s="0" t="s">
        <v>2340</v>
      </c>
      <c r="T425" s="0" t="s">
        <v>2353</v>
      </c>
      <c r="U425" s="5" t="n">
        <v>15</v>
      </c>
      <c r="V425" s="0" t="s">
        <v>2336</v>
      </c>
      <c r="W425" s="0" t="s">
        <v>155</v>
      </c>
      <c r="X425" s="0" t="s">
        <v>98</v>
      </c>
      <c r="Y425" s="0" t="s">
        <v>196</v>
      </c>
      <c r="Z425" s="0" t="s">
        <v>59</v>
      </c>
      <c r="AA425" s="0" t="s">
        <v>2329</v>
      </c>
      <c r="AB425" s="5" t="n">
        <v>40000</v>
      </c>
      <c r="AC425" s="5" t="n">
        <v>30000</v>
      </c>
      <c r="AD425" s="0" t="s">
        <v>63</v>
      </c>
      <c r="AE425" s="5" t="n">
        <v>0</v>
      </c>
      <c r="AF425" s="0" t="s">
        <v>130</v>
      </c>
      <c r="AG425" s="7" t="s">
        <v>2494</v>
      </c>
      <c r="AH425" s="0" t="s">
        <v>63</v>
      </c>
      <c r="AI425" s="0" t="s">
        <v>171</v>
      </c>
      <c r="AJ425" s="0" t="s">
        <v>117</v>
      </c>
      <c r="AK425" s="0" t="s">
        <v>2344</v>
      </c>
      <c r="AL425" s="0" t="s">
        <v>50</v>
      </c>
      <c r="AM425" s="0" t="s">
        <v>63</v>
      </c>
      <c r="AN425" s="0" t="s">
        <v>2318</v>
      </c>
      <c r="AO425" s="0" t="s">
        <v>2359</v>
      </c>
    </row>
    <row r="426" customFormat="false" ht="15" hidden="false" customHeight="false" outlineLevel="0" collapsed="false">
      <c r="A426" s="0" t="s">
        <v>1121</v>
      </c>
      <c r="B426" s="2" t="s">
        <v>2393</v>
      </c>
      <c r="C426" s="0" t="s">
        <v>42</v>
      </c>
      <c r="D426" s="0" t="n">
        <v>8092911191</v>
      </c>
      <c r="E426" s="0" t="s">
        <v>43</v>
      </c>
      <c r="F426" s="0" t="s">
        <v>2315</v>
      </c>
      <c r="G426" s="0" t="s">
        <v>1122</v>
      </c>
      <c r="H426" s="0" t="s">
        <v>45</v>
      </c>
      <c r="I426" s="3" t="s">
        <v>2325</v>
      </c>
      <c r="J426" s="0" t="s">
        <v>2339</v>
      </c>
      <c r="K426" s="0" t="s">
        <v>90</v>
      </c>
      <c r="L426" s="4" t="n">
        <v>25551</v>
      </c>
      <c r="M426" s="0" t="s">
        <v>110</v>
      </c>
      <c r="N426" s="0" t="s">
        <v>63</v>
      </c>
      <c r="O426" s="5" t="n">
        <v>5</v>
      </c>
      <c r="P426" s="0" t="n">
        <v>4.6</v>
      </c>
      <c r="Q426" s="0" t="s">
        <v>2334</v>
      </c>
      <c r="R426" s="0" t="s">
        <v>52</v>
      </c>
      <c r="S426" s="0" t="s">
        <v>2366</v>
      </c>
      <c r="T426" s="0" t="s">
        <v>2353</v>
      </c>
      <c r="U426" s="5" t="n">
        <v>15</v>
      </c>
      <c r="V426" s="0" t="s">
        <v>55</v>
      </c>
      <c r="W426" s="0" t="s">
        <v>155</v>
      </c>
      <c r="X426" s="0" t="s">
        <v>98</v>
      </c>
      <c r="Y426" s="0" t="s">
        <v>58</v>
      </c>
      <c r="Z426" s="0" t="s">
        <v>2324</v>
      </c>
      <c r="AA426" s="0" t="s">
        <v>79</v>
      </c>
      <c r="AB426" s="5" t="n">
        <v>30000</v>
      </c>
      <c r="AC426" s="5" t="n">
        <v>31469.9792960663</v>
      </c>
      <c r="AD426" s="0" t="s">
        <v>50</v>
      </c>
      <c r="AE426" s="5" t="n">
        <v>5000</v>
      </c>
      <c r="AF426" s="0" t="s">
        <v>60</v>
      </c>
      <c r="AG426" s="7" t="s">
        <v>2330</v>
      </c>
      <c r="AH426" s="0" t="s">
        <v>63</v>
      </c>
      <c r="AI426" s="0" t="s">
        <v>116</v>
      </c>
      <c r="AJ426" s="0" t="s">
        <v>2331</v>
      </c>
      <c r="AK426" s="0" t="s">
        <v>63</v>
      </c>
      <c r="AL426" s="0" t="s">
        <v>50</v>
      </c>
      <c r="AM426" s="0" t="s">
        <v>2344</v>
      </c>
      <c r="AN426" s="0" t="s">
        <v>2318</v>
      </c>
      <c r="AO426" s="0" t="s">
        <v>2359</v>
      </c>
    </row>
    <row r="427" customFormat="false" ht="15" hidden="false" customHeight="false" outlineLevel="0" collapsed="false">
      <c r="A427" s="0" t="s">
        <v>1123</v>
      </c>
      <c r="B427" s="2" t="s">
        <v>353</v>
      </c>
      <c r="C427" s="0" t="s">
        <v>121</v>
      </c>
      <c r="D427" s="0" t="n">
        <v>8067992341</v>
      </c>
      <c r="E427" s="0" t="s">
        <v>43</v>
      </c>
      <c r="F427" s="0" t="s">
        <v>2315</v>
      </c>
      <c r="G427" s="0" t="s">
        <v>680</v>
      </c>
      <c r="H427" s="0" t="s">
        <v>69</v>
      </c>
      <c r="I427" s="3" t="s">
        <v>2342</v>
      </c>
      <c r="J427" s="0" t="s">
        <v>2349</v>
      </c>
      <c r="K427" s="0" t="s">
        <v>71</v>
      </c>
      <c r="L427" s="4" t="n">
        <v>28596</v>
      </c>
      <c r="M427" s="0" t="s">
        <v>49</v>
      </c>
      <c r="N427" s="0" t="s">
        <v>63</v>
      </c>
      <c r="O427" s="5" t="n">
        <v>1</v>
      </c>
      <c r="P427" s="0" t="n">
        <v>1.2</v>
      </c>
      <c r="Q427" s="0" t="s">
        <v>125</v>
      </c>
      <c r="R427" s="0" t="s">
        <v>52</v>
      </c>
      <c r="S427" s="0" t="s">
        <v>2335</v>
      </c>
      <c r="T427" s="0" t="s">
        <v>75</v>
      </c>
      <c r="U427" s="5" t="n">
        <v>36.9101123595506</v>
      </c>
      <c r="V427" s="0" t="s">
        <v>2336</v>
      </c>
      <c r="W427" s="0" t="s">
        <v>155</v>
      </c>
      <c r="X427" s="0" t="s">
        <v>98</v>
      </c>
      <c r="Y427" s="0" t="s">
        <v>196</v>
      </c>
      <c r="Z427" s="0" t="s">
        <v>2329</v>
      </c>
      <c r="AA427" s="0" t="s">
        <v>79</v>
      </c>
      <c r="AB427" s="5" t="n">
        <v>40000</v>
      </c>
      <c r="AC427" s="5" t="n">
        <v>30000</v>
      </c>
      <c r="AD427" s="0" t="s">
        <v>50</v>
      </c>
      <c r="AE427" s="5" t="n">
        <v>10000</v>
      </c>
      <c r="AF427" s="0" t="s">
        <v>2338</v>
      </c>
      <c r="AG427" s="7" t="s">
        <v>2484</v>
      </c>
      <c r="AH427" s="0" t="s">
        <v>50</v>
      </c>
      <c r="AI427" s="0" t="s">
        <v>2331</v>
      </c>
      <c r="AJ427" s="0" t="s">
        <v>172</v>
      </c>
      <c r="AK427" s="0" t="s">
        <v>50</v>
      </c>
      <c r="AL427" s="0" t="s">
        <v>50</v>
      </c>
      <c r="AM427" s="0" t="s">
        <v>63</v>
      </c>
      <c r="AN427" s="0" t="s">
        <v>2321</v>
      </c>
      <c r="AO427" s="0" t="s">
        <v>2359</v>
      </c>
    </row>
    <row r="428" customFormat="false" ht="15" hidden="false" customHeight="false" outlineLevel="0" collapsed="false">
      <c r="A428" s="0" t="s">
        <v>1124</v>
      </c>
      <c r="B428" s="2" t="s">
        <v>340</v>
      </c>
      <c r="C428" s="0" t="s">
        <v>105</v>
      </c>
      <c r="D428" s="0" t="n">
        <v>8071448654</v>
      </c>
      <c r="E428" s="0" t="s">
        <v>67</v>
      </c>
      <c r="F428" s="0" t="s">
        <v>2316</v>
      </c>
      <c r="G428" s="0" t="s">
        <v>1125</v>
      </c>
      <c r="H428" s="0" t="s">
        <v>45</v>
      </c>
      <c r="I428" s="3" t="s">
        <v>2342</v>
      </c>
      <c r="J428" s="0" t="s">
        <v>2341</v>
      </c>
      <c r="K428" s="0" t="s">
        <v>109</v>
      </c>
      <c r="L428" s="4" t="n">
        <v>46105</v>
      </c>
      <c r="M428" s="0" t="s">
        <v>49</v>
      </c>
      <c r="N428" s="0" t="s">
        <v>63</v>
      </c>
      <c r="O428" s="5" t="n">
        <v>2</v>
      </c>
      <c r="P428" s="0" t="n">
        <v>1.3</v>
      </c>
      <c r="Q428" s="0" t="s">
        <v>125</v>
      </c>
      <c r="R428" s="0" t="s">
        <v>52</v>
      </c>
      <c r="S428" s="0" t="s">
        <v>2366</v>
      </c>
      <c r="T428" s="0" t="s">
        <v>75</v>
      </c>
      <c r="U428" s="5" t="n">
        <v>15</v>
      </c>
      <c r="V428" s="0" t="s">
        <v>96</v>
      </c>
      <c r="W428" s="0" t="s">
        <v>148</v>
      </c>
      <c r="X428" s="0" t="s">
        <v>98</v>
      </c>
      <c r="Y428" s="0" t="s">
        <v>99</v>
      </c>
      <c r="Z428" s="0" t="s">
        <v>177</v>
      </c>
      <c r="AA428" s="0" t="s">
        <v>161</v>
      </c>
      <c r="AB428" s="5" t="n">
        <v>27674.4186046512</v>
      </c>
      <c r="AC428" s="5" t="n">
        <v>30000</v>
      </c>
      <c r="AD428" s="0" t="s">
        <v>50</v>
      </c>
      <c r="AE428" s="5" t="n">
        <v>5000</v>
      </c>
      <c r="AF428" s="0" t="s">
        <v>60</v>
      </c>
      <c r="AG428" s="7" t="s">
        <v>2495</v>
      </c>
      <c r="AH428" s="0" t="s">
        <v>50</v>
      </c>
      <c r="AI428" s="0" t="s">
        <v>171</v>
      </c>
      <c r="AJ428" s="0" t="s">
        <v>2331</v>
      </c>
      <c r="AK428" s="0" t="s">
        <v>50</v>
      </c>
      <c r="AL428" s="0" t="s">
        <v>63</v>
      </c>
      <c r="AM428" s="0" t="s">
        <v>2344</v>
      </c>
      <c r="AN428" s="0" t="s">
        <v>2321</v>
      </c>
      <c r="AO428" s="0" t="s">
        <v>50</v>
      </c>
    </row>
    <row r="429" customFormat="false" ht="15" hidden="false" customHeight="false" outlineLevel="0" collapsed="false">
      <c r="A429" s="0" t="s">
        <v>1126</v>
      </c>
      <c r="B429" s="2" t="s">
        <v>2386</v>
      </c>
      <c r="C429" s="0" t="s">
        <v>42</v>
      </c>
      <c r="D429" s="0" t="n">
        <v>8061628861</v>
      </c>
      <c r="E429" s="0" t="s">
        <v>122</v>
      </c>
      <c r="F429" s="0" t="s">
        <v>2316</v>
      </c>
      <c r="G429" s="0" t="s">
        <v>1127</v>
      </c>
      <c r="H429" s="0" t="s">
        <v>45</v>
      </c>
      <c r="I429" s="3" t="s">
        <v>2325</v>
      </c>
      <c r="J429" s="0" t="s">
        <v>189</v>
      </c>
      <c r="K429" s="0" t="s">
        <v>48</v>
      </c>
      <c r="L429" s="4" t="n">
        <v>35002</v>
      </c>
      <c r="M429" s="0" t="s">
        <v>49</v>
      </c>
      <c r="N429" s="0" t="s">
        <v>50</v>
      </c>
      <c r="O429" s="5" t="n">
        <v>3.07610993657505</v>
      </c>
      <c r="P429" s="0" t="n">
        <v>3.7</v>
      </c>
      <c r="Q429" s="0" t="s">
        <v>111</v>
      </c>
      <c r="R429" s="0" t="s">
        <v>73</v>
      </c>
      <c r="S429" s="0" t="s">
        <v>2366</v>
      </c>
      <c r="T429" s="0" t="s">
        <v>2343</v>
      </c>
      <c r="U429" s="5" t="n">
        <v>30</v>
      </c>
      <c r="V429" s="0" t="s">
        <v>2336</v>
      </c>
      <c r="W429" s="0" t="s">
        <v>148</v>
      </c>
      <c r="X429" s="0" t="s">
        <v>128</v>
      </c>
      <c r="Y429" s="0" t="s">
        <v>114</v>
      </c>
      <c r="Z429" s="0" t="s">
        <v>2324</v>
      </c>
      <c r="AA429" s="0" t="s">
        <v>143</v>
      </c>
      <c r="AB429" s="5" t="n">
        <v>15000</v>
      </c>
      <c r="AC429" s="5" t="n">
        <v>40000</v>
      </c>
      <c r="AD429" s="0" t="s">
        <v>63</v>
      </c>
      <c r="AE429" s="5" t="n">
        <v>5000</v>
      </c>
      <c r="AF429" s="0" t="s">
        <v>60</v>
      </c>
      <c r="AG429" s="7" t="s">
        <v>2455</v>
      </c>
      <c r="AH429" s="0" t="s">
        <v>2329</v>
      </c>
      <c r="AI429" s="0" t="s">
        <v>116</v>
      </c>
      <c r="AJ429" s="0" t="s">
        <v>2331</v>
      </c>
      <c r="AK429" s="0" t="s">
        <v>63</v>
      </c>
      <c r="AL429" s="0" t="s">
        <v>50</v>
      </c>
      <c r="AM429" s="0" t="s">
        <v>63</v>
      </c>
      <c r="AN429" s="0" t="s">
        <v>2321</v>
      </c>
      <c r="AO429" s="0" t="s">
        <v>63</v>
      </c>
    </row>
    <row r="430" customFormat="false" ht="15" hidden="false" customHeight="false" outlineLevel="0" collapsed="false">
      <c r="A430" s="0" t="s">
        <v>1128</v>
      </c>
      <c r="B430" s="2" t="s">
        <v>2391</v>
      </c>
      <c r="C430" s="0" t="s">
        <v>163</v>
      </c>
      <c r="D430" s="0" t="n">
        <v>8098460225</v>
      </c>
      <c r="E430" s="0" t="s">
        <v>85</v>
      </c>
      <c r="F430" s="0" t="s">
        <v>2319</v>
      </c>
      <c r="G430" s="0" t="s">
        <v>1129</v>
      </c>
      <c r="H430" s="0" t="s">
        <v>69</v>
      </c>
      <c r="I430" s="3" t="s">
        <v>2317</v>
      </c>
      <c r="J430" s="0" t="s">
        <v>2339</v>
      </c>
      <c r="K430" s="0" t="s">
        <v>71</v>
      </c>
      <c r="L430" s="4" t="n">
        <v>65556</v>
      </c>
      <c r="M430" s="0" t="s">
        <v>49</v>
      </c>
      <c r="N430" s="0" t="s">
        <v>63</v>
      </c>
      <c r="O430" s="5" t="n">
        <v>3</v>
      </c>
      <c r="P430" s="0" t="n">
        <v>5.1</v>
      </c>
      <c r="Q430" s="0" t="s">
        <v>51</v>
      </c>
      <c r="R430" s="0" t="s">
        <v>73</v>
      </c>
      <c r="S430" s="0" t="s">
        <v>53</v>
      </c>
      <c r="T430" s="0" t="s">
        <v>2343</v>
      </c>
      <c r="U430" s="5" t="n">
        <v>45</v>
      </c>
      <c r="V430" s="0" t="s">
        <v>96</v>
      </c>
      <c r="W430" s="0" t="s">
        <v>155</v>
      </c>
      <c r="X430" s="0" t="s">
        <v>98</v>
      </c>
      <c r="Y430" s="0" t="s">
        <v>114</v>
      </c>
      <c r="Z430" s="0" t="s">
        <v>2324</v>
      </c>
      <c r="AA430" s="0" t="s">
        <v>2329</v>
      </c>
      <c r="AB430" s="5" t="n">
        <v>25000</v>
      </c>
      <c r="AC430" s="5" t="n">
        <v>30000</v>
      </c>
      <c r="AD430" s="0" t="s">
        <v>50</v>
      </c>
      <c r="AE430" s="5" t="n">
        <v>0</v>
      </c>
      <c r="AF430" s="0" t="s">
        <v>130</v>
      </c>
      <c r="AG430" s="7" t="s">
        <v>2394</v>
      </c>
      <c r="AH430" s="0" t="s">
        <v>63</v>
      </c>
      <c r="AI430" s="0" t="s">
        <v>171</v>
      </c>
      <c r="AJ430" s="0" t="s">
        <v>2320</v>
      </c>
      <c r="AK430" s="0" t="s">
        <v>2344</v>
      </c>
      <c r="AL430" s="0" t="s">
        <v>50</v>
      </c>
      <c r="AM430" s="0" t="s">
        <v>50</v>
      </c>
      <c r="AN430" s="0" t="s">
        <v>2321</v>
      </c>
      <c r="AO430" s="0" t="s">
        <v>50</v>
      </c>
    </row>
    <row r="431" customFormat="false" ht="15" hidden="false" customHeight="false" outlineLevel="0" collapsed="false">
      <c r="A431" s="0" t="s">
        <v>1130</v>
      </c>
      <c r="B431" s="2" t="s">
        <v>2387</v>
      </c>
      <c r="C431" s="0" t="s">
        <v>42</v>
      </c>
      <c r="D431" s="0" t="n">
        <v>8034621479</v>
      </c>
      <c r="E431" s="0" t="s">
        <v>139</v>
      </c>
      <c r="F431" s="0" t="s">
        <v>2323</v>
      </c>
      <c r="G431" s="0" t="s">
        <v>1131</v>
      </c>
      <c r="H431" s="0" t="s">
        <v>134</v>
      </c>
      <c r="I431" s="3" t="s">
        <v>2325</v>
      </c>
      <c r="J431" s="0" t="s">
        <v>2347</v>
      </c>
      <c r="K431" s="0" t="s">
        <v>71</v>
      </c>
      <c r="L431" s="4" t="n">
        <v>57056</v>
      </c>
      <c r="M431" s="0" t="s">
        <v>110</v>
      </c>
      <c r="N431" s="0" t="s">
        <v>50</v>
      </c>
      <c r="O431" s="5" t="n">
        <v>3.07627118644068</v>
      </c>
      <c r="P431" s="0" t="n">
        <v>5</v>
      </c>
      <c r="Q431" s="0" t="s">
        <v>2334</v>
      </c>
      <c r="R431" s="0" t="s">
        <v>93</v>
      </c>
      <c r="S431" s="0" t="s">
        <v>2340</v>
      </c>
      <c r="T431" s="0" t="s">
        <v>54</v>
      </c>
      <c r="U431" s="5" t="n">
        <v>60</v>
      </c>
      <c r="V431" s="0" t="s">
        <v>96</v>
      </c>
      <c r="W431" s="0" t="s">
        <v>148</v>
      </c>
      <c r="X431" s="0" t="s">
        <v>128</v>
      </c>
      <c r="Y431" s="0" t="s">
        <v>58</v>
      </c>
      <c r="Z431" s="0" t="s">
        <v>59</v>
      </c>
      <c r="AA431" s="0" t="s">
        <v>149</v>
      </c>
      <c r="AB431" s="5" t="n">
        <v>25000</v>
      </c>
      <c r="AC431" s="5" t="n">
        <v>40000</v>
      </c>
      <c r="AD431" s="0" t="s">
        <v>50</v>
      </c>
      <c r="AE431" s="5" t="n">
        <v>5000</v>
      </c>
      <c r="AF431" s="0" t="s">
        <v>130</v>
      </c>
      <c r="AG431" s="7" t="s">
        <v>2330</v>
      </c>
      <c r="AH431" s="0" t="s">
        <v>50</v>
      </c>
      <c r="AI431" s="0" t="s">
        <v>171</v>
      </c>
      <c r="AJ431" s="0" t="s">
        <v>172</v>
      </c>
      <c r="AK431" s="0" t="s">
        <v>50</v>
      </c>
      <c r="AL431" s="0" t="s">
        <v>2344</v>
      </c>
      <c r="AM431" s="0" t="s">
        <v>63</v>
      </c>
      <c r="AN431" s="0" t="s">
        <v>2318</v>
      </c>
      <c r="AO431" s="0" t="s">
        <v>50</v>
      </c>
    </row>
    <row r="432" customFormat="false" ht="15" hidden="false" customHeight="false" outlineLevel="0" collapsed="false">
      <c r="A432" s="0" t="s">
        <v>1132</v>
      </c>
      <c r="B432" s="2" t="s">
        <v>173</v>
      </c>
      <c r="C432" s="0" t="s">
        <v>42</v>
      </c>
      <c r="D432" s="0" t="n">
        <v>8086318249</v>
      </c>
      <c r="E432" s="0" t="s">
        <v>67</v>
      </c>
      <c r="F432" s="0" t="s">
        <v>2316</v>
      </c>
      <c r="G432" s="0" t="s">
        <v>1133</v>
      </c>
      <c r="H432" s="0" t="s">
        <v>69</v>
      </c>
      <c r="I432" s="3" t="s">
        <v>2322</v>
      </c>
      <c r="J432" s="0" t="s">
        <v>2349</v>
      </c>
      <c r="K432" s="0" t="s">
        <v>48</v>
      </c>
      <c r="L432" s="4" t="n">
        <v>82049</v>
      </c>
      <c r="M432" s="0" t="s">
        <v>2333</v>
      </c>
      <c r="N432" s="0" t="s">
        <v>50</v>
      </c>
      <c r="O432" s="5" t="n">
        <v>5</v>
      </c>
      <c r="P432" s="0" t="n">
        <v>5.3</v>
      </c>
      <c r="Q432" s="0" t="s">
        <v>111</v>
      </c>
      <c r="R432" s="0" t="s">
        <v>73</v>
      </c>
      <c r="S432" s="0" t="s">
        <v>2335</v>
      </c>
      <c r="T432" s="0" t="s">
        <v>147</v>
      </c>
      <c r="U432" s="5" t="n">
        <v>15</v>
      </c>
      <c r="V432" s="0" t="s">
        <v>2352</v>
      </c>
      <c r="W432" s="0" t="s">
        <v>2328</v>
      </c>
      <c r="X432" s="0" t="s">
        <v>128</v>
      </c>
      <c r="Y432" s="0" t="s">
        <v>58</v>
      </c>
      <c r="Z432" s="0" t="s">
        <v>59</v>
      </c>
      <c r="AA432" s="0" t="s">
        <v>79</v>
      </c>
      <c r="AB432" s="5" t="n">
        <v>20000</v>
      </c>
      <c r="AC432" s="5" t="n">
        <v>30000</v>
      </c>
      <c r="AD432" s="0" t="s">
        <v>50</v>
      </c>
      <c r="AE432" s="5" t="n">
        <v>0</v>
      </c>
      <c r="AF432" s="0" t="s">
        <v>60</v>
      </c>
      <c r="AG432" s="7" t="s">
        <v>2330</v>
      </c>
      <c r="AH432" s="0" t="s">
        <v>2329</v>
      </c>
      <c r="AI432" s="0" t="s">
        <v>116</v>
      </c>
      <c r="AJ432" s="0" t="s">
        <v>2331</v>
      </c>
      <c r="AK432" s="0" t="s">
        <v>63</v>
      </c>
      <c r="AL432" s="0" t="s">
        <v>50</v>
      </c>
      <c r="AM432" s="0" t="s">
        <v>63</v>
      </c>
      <c r="AN432" s="0" t="s">
        <v>64</v>
      </c>
      <c r="AO432" s="0" t="s">
        <v>63</v>
      </c>
    </row>
    <row r="433" customFormat="false" ht="15" hidden="false" customHeight="false" outlineLevel="0" collapsed="false">
      <c r="A433" s="0" t="s">
        <v>1134</v>
      </c>
      <c r="B433" s="2" t="s">
        <v>2432</v>
      </c>
      <c r="C433" s="0" t="s">
        <v>66</v>
      </c>
      <c r="D433" s="0" t="n">
        <v>8022822379</v>
      </c>
      <c r="E433" s="0" t="s">
        <v>43</v>
      </c>
      <c r="F433" s="0" t="s">
        <v>2315</v>
      </c>
      <c r="G433" s="0" t="s">
        <v>1135</v>
      </c>
      <c r="H433" s="0" t="s">
        <v>45</v>
      </c>
      <c r="I433" s="3" t="s">
        <v>2325</v>
      </c>
      <c r="J433" s="0" t="s">
        <v>2347</v>
      </c>
      <c r="K433" s="0" t="s">
        <v>71</v>
      </c>
      <c r="L433" s="4" t="n">
        <v>52813</v>
      </c>
      <c r="M433" s="0" t="s">
        <v>2333</v>
      </c>
      <c r="N433" s="0" t="s">
        <v>50</v>
      </c>
      <c r="O433" s="5" t="n">
        <v>4</v>
      </c>
      <c r="P433" s="0" t="n">
        <v>4.6</v>
      </c>
      <c r="Q433" s="0" t="s">
        <v>92</v>
      </c>
      <c r="R433" s="0" t="s">
        <v>93</v>
      </c>
      <c r="S433" s="0" t="s">
        <v>2340</v>
      </c>
      <c r="T433" s="0" t="s">
        <v>54</v>
      </c>
      <c r="U433" s="5" t="n">
        <v>15</v>
      </c>
      <c r="V433" s="0" t="s">
        <v>2336</v>
      </c>
      <c r="W433" s="0" t="s">
        <v>2328</v>
      </c>
      <c r="X433" s="0" t="s">
        <v>98</v>
      </c>
      <c r="Y433" s="0" t="s">
        <v>99</v>
      </c>
      <c r="Z433" s="0" t="s">
        <v>2329</v>
      </c>
      <c r="AA433" s="0" t="s">
        <v>161</v>
      </c>
      <c r="AB433" s="5" t="n">
        <v>40000</v>
      </c>
      <c r="AC433" s="5" t="n">
        <v>20000</v>
      </c>
      <c r="AD433" s="0" t="s">
        <v>50</v>
      </c>
      <c r="AE433" s="5" t="n">
        <v>5000</v>
      </c>
      <c r="AF433" s="0" t="s">
        <v>60</v>
      </c>
      <c r="AG433" s="7" t="s">
        <v>559</v>
      </c>
      <c r="AH433" s="0" t="s">
        <v>63</v>
      </c>
      <c r="AI433" s="0" t="s">
        <v>2331</v>
      </c>
      <c r="AJ433" s="0" t="s">
        <v>2331</v>
      </c>
      <c r="AK433" s="0" t="s">
        <v>50</v>
      </c>
      <c r="AL433" s="0" t="s">
        <v>63</v>
      </c>
      <c r="AM433" s="0" t="s">
        <v>63</v>
      </c>
      <c r="AN433" s="0" t="s">
        <v>2318</v>
      </c>
      <c r="AO433" s="0" t="s">
        <v>50</v>
      </c>
    </row>
    <row r="434" customFormat="false" ht="15" hidden="false" customHeight="false" outlineLevel="0" collapsed="false">
      <c r="A434" s="0" t="s">
        <v>1136</v>
      </c>
      <c r="B434" s="2" t="s">
        <v>2470</v>
      </c>
      <c r="C434" s="0" t="s">
        <v>66</v>
      </c>
      <c r="D434" s="0" t="n">
        <v>8062821563</v>
      </c>
      <c r="E434" s="0" t="s">
        <v>85</v>
      </c>
      <c r="F434" s="0" t="s">
        <v>2319</v>
      </c>
      <c r="G434" s="0" t="s">
        <v>1137</v>
      </c>
      <c r="H434" s="0" t="s">
        <v>107</v>
      </c>
      <c r="I434" s="3" t="s">
        <v>2342</v>
      </c>
      <c r="J434" s="0" t="s">
        <v>47</v>
      </c>
      <c r="K434" s="0" t="s">
        <v>90</v>
      </c>
      <c r="L434" s="4" t="n">
        <v>80731</v>
      </c>
      <c r="M434" s="0" t="s">
        <v>2333</v>
      </c>
      <c r="N434" s="0" t="s">
        <v>63</v>
      </c>
      <c r="O434" s="5" t="n">
        <v>3.07021276595745</v>
      </c>
      <c r="P434" s="0" t="n">
        <v>1.2</v>
      </c>
      <c r="Q434" s="0" t="s">
        <v>92</v>
      </c>
      <c r="R434" s="0" t="s">
        <v>52</v>
      </c>
      <c r="S434" s="0" t="s">
        <v>2340</v>
      </c>
      <c r="T434" s="0" t="s">
        <v>75</v>
      </c>
      <c r="U434" s="5" t="n">
        <v>35.7042253521127</v>
      </c>
      <c r="V434" s="0" t="s">
        <v>96</v>
      </c>
      <c r="W434" s="0" t="s">
        <v>2328</v>
      </c>
      <c r="X434" s="0" t="s">
        <v>128</v>
      </c>
      <c r="Y434" s="0" t="s">
        <v>196</v>
      </c>
      <c r="Z434" s="0" t="s">
        <v>2326</v>
      </c>
      <c r="AA434" s="0" t="s">
        <v>161</v>
      </c>
      <c r="AB434" s="5" t="n">
        <v>25785.7142857143</v>
      </c>
      <c r="AC434" s="5" t="n">
        <v>30000</v>
      </c>
      <c r="AD434" s="0" t="s">
        <v>50</v>
      </c>
      <c r="AE434" s="5" t="n">
        <v>10000</v>
      </c>
      <c r="AF434" s="0" t="s">
        <v>184</v>
      </c>
      <c r="AG434" s="7" t="s">
        <v>2330</v>
      </c>
      <c r="AH434" s="0" t="s">
        <v>2329</v>
      </c>
      <c r="AI434" s="0" t="s">
        <v>2331</v>
      </c>
      <c r="AJ434" s="0" t="s">
        <v>2331</v>
      </c>
      <c r="AK434" s="0" t="s">
        <v>50</v>
      </c>
      <c r="AL434" s="0" t="s">
        <v>63</v>
      </c>
      <c r="AM434" s="0" t="s">
        <v>63</v>
      </c>
      <c r="AN434" s="0" t="s">
        <v>2321</v>
      </c>
      <c r="AO434" s="0" t="s">
        <v>50</v>
      </c>
    </row>
    <row r="435" customFormat="false" ht="15" hidden="false" customHeight="false" outlineLevel="0" collapsed="false">
      <c r="A435" s="0" t="s">
        <v>1138</v>
      </c>
      <c r="B435" s="2" t="s">
        <v>2451</v>
      </c>
      <c r="C435" s="0" t="s">
        <v>121</v>
      </c>
      <c r="D435" s="0" t="n">
        <v>8015860545</v>
      </c>
      <c r="E435" s="0" t="s">
        <v>122</v>
      </c>
      <c r="F435" s="0" t="s">
        <v>2316</v>
      </c>
      <c r="G435" s="0" t="s">
        <v>1139</v>
      </c>
      <c r="H435" s="0" t="s">
        <v>45</v>
      </c>
      <c r="I435" s="3" t="s">
        <v>2325</v>
      </c>
      <c r="J435" s="0" t="s">
        <v>2341</v>
      </c>
      <c r="K435" s="0" t="s">
        <v>109</v>
      </c>
      <c r="L435" s="4" t="n">
        <v>58062</v>
      </c>
      <c r="M435" s="0" t="s">
        <v>49</v>
      </c>
      <c r="N435" s="0" t="s">
        <v>63</v>
      </c>
      <c r="O435" s="5" t="n">
        <v>5</v>
      </c>
      <c r="P435" s="0" t="n">
        <v>2.6</v>
      </c>
      <c r="Q435" s="0" t="s">
        <v>125</v>
      </c>
      <c r="R435" s="0" t="s">
        <v>52</v>
      </c>
      <c r="S435" s="0" t="s">
        <v>2340</v>
      </c>
      <c r="T435" s="0" t="s">
        <v>147</v>
      </c>
      <c r="U435" s="5" t="n">
        <v>45</v>
      </c>
      <c r="V435" s="0" t="s">
        <v>55</v>
      </c>
      <c r="W435" s="0" t="s">
        <v>2337</v>
      </c>
      <c r="X435" s="0" t="s">
        <v>78</v>
      </c>
      <c r="Y435" s="0" t="s">
        <v>58</v>
      </c>
      <c r="Z435" s="0" t="s">
        <v>2329</v>
      </c>
      <c r="AA435" s="0" t="s">
        <v>149</v>
      </c>
      <c r="AB435" s="5" t="n">
        <v>40000</v>
      </c>
      <c r="AC435" s="5" t="n">
        <v>20000</v>
      </c>
      <c r="AD435" s="0" t="s">
        <v>50</v>
      </c>
      <c r="AE435" s="5" t="n">
        <v>5000</v>
      </c>
      <c r="AF435" s="0" t="s">
        <v>60</v>
      </c>
      <c r="AG435" s="7" t="s">
        <v>2394</v>
      </c>
      <c r="AH435" s="0" t="s">
        <v>50</v>
      </c>
      <c r="AI435" s="0" t="s">
        <v>2331</v>
      </c>
      <c r="AJ435" s="0" t="s">
        <v>2320</v>
      </c>
      <c r="AK435" s="0" t="s">
        <v>63</v>
      </c>
      <c r="AL435" s="0" t="s">
        <v>50</v>
      </c>
      <c r="AM435" s="0" t="s">
        <v>2344</v>
      </c>
      <c r="AN435" s="0" t="s">
        <v>2321</v>
      </c>
      <c r="AO435" s="0" t="s">
        <v>50</v>
      </c>
    </row>
    <row r="436" customFormat="false" ht="15" hidden="false" customHeight="false" outlineLevel="0" collapsed="false">
      <c r="A436" s="0" t="s">
        <v>1140</v>
      </c>
      <c r="B436" s="2" t="s">
        <v>791</v>
      </c>
      <c r="C436" s="0" t="s">
        <v>105</v>
      </c>
      <c r="D436" s="0" t="n">
        <v>8042171352</v>
      </c>
      <c r="E436" s="0" t="s">
        <v>139</v>
      </c>
      <c r="F436" s="0" t="s">
        <v>2323</v>
      </c>
      <c r="G436" s="0" t="s">
        <v>1141</v>
      </c>
      <c r="H436" s="0" t="s">
        <v>87</v>
      </c>
      <c r="I436" s="3" t="s">
        <v>2322</v>
      </c>
      <c r="J436" s="0" t="s">
        <v>2339</v>
      </c>
      <c r="K436" s="0" t="s">
        <v>71</v>
      </c>
      <c r="L436" s="4" t="n">
        <v>60773</v>
      </c>
      <c r="M436" s="0" t="s">
        <v>49</v>
      </c>
      <c r="N436" s="0" t="s">
        <v>63</v>
      </c>
      <c r="O436" s="5" t="n">
        <v>1</v>
      </c>
      <c r="P436" s="0" t="n">
        <v>5.4</v>
      </c>
      <c r="Q436" s="0" t="s">
        <v>111</v>
      </c>
      <c r="R436" s="0" t="s">
        <v>73</v>
      </c>
      <c r="S436" s="0" t="s">
        <v>2335</v>
      </c>
      <c r="T436" s="0" t="s">
        <v>75</v>
      </c>
      <c r="U436" s="5" t="n">
        <v>30</v>
      </c>
      <c r="V436" s="0" t="s">
        <v>55</v>
      </c>
      <c r="W436" s="0" t="s">
        <v>2337</v>
      </c>
      <c r="X436" s="0" t="s">
        <v>98</v>
      </c>
      <c r="Y436" s="0" t="s">
        <v>99</v>
      </c>
      <c r="Z436" s="0" t="s">
        <v>177</v>
      </c>
      <c r="AA436" s="0" t="s">
        <v>161</v>
      </c>
      <c r="AB436" s="5" t="n">
        <v>20000</v>
      </c>
      <c r="AC436" s="5" t="n">
        <v>40000</v>
      </c>
      <c r="AD436" s="0" t="s">
        <v>50</v>
      </c>
      <c r="AE436" s="5" t="n">
        <v>0</v>
      </c>
      <c r="AF436" s="0" t="s">
        <v>130</v>
      </c>
      <c r="AG436" s="7" t="s">
        <v>974</v>
      </c>
      <c r="AH436" s="0" t="s">
        <v>2329</v>
      </c>
      <c r="AI436" s="0" t="s">
        <v>2331</v>
      </c>
      <c r="AJ436" s="0" t="s">
        <v>2320</v>
      </c>
      <c r="AK436" s="0" t="s">
        <v>63</v>
      </c>
      <c r="AL436" s="0" t="s">
        <v>50</v>
      </c>
      <c r="AM436" s="0" t="s">
        <v>2344</v>
      </c>
      <c r="AN436" s="0" t="s">
        <v>64</v>
      </c>
      <c r="AO436" s="0" t="s">
        <v>63</v>
      </c>
    </row>
    <row r="437" customFormat="false" ht="15" hidden="false" customHeight="false" outlineLevel="0" collapsed="false">
      <c r="A437" s="0" t="s">
        <v>1142</v>
      </c>
      <c r="B437" s="2" t="s">
        <v>433</v>
      </c>
      <c r="C437" s="0" t="s">
        <v>121</v>
      </c>
      <c r="D437" s="0" t="n">
        <v>8031197304</v>
      </c>
      <c r="E437" s="0" t="s">
        <v>85</v>
      </c>
      <c r="F437" s="0" t="s">
        <v>2319</v>
      </c>
      <c r="G437" s="0" t="s">
        <v>1143</v>
      </c>
      <c r="H437" s="0" t="s">
        <v>134</v>
      </c>
      <c r="I437" s="3" t="s">
        <v>2342</v>
      </c>
      <c r="J437" s="0" t="s">
        <v>189</v>
      </c>
      <c r="K437" s="0" t="s">
        <v>48</v>
      </c>
      <c r="L437" s="4" t="n">
        <v>50231</v>
      </c>
      <c r="M437" s="0" t="s">
        <v>110</v>
      </c>
      <c r="N437" s="0" t="s">
        <v>63</v>
      </c>
      <c r="O437" s="5" t="n">
        <v>3.07051282051282</v>
      </c>
      <c r="P437" s="0" t="n">
        <v>2.5</v>
      </c>
      <c r="Q437" s="0" t="s">
        <v>51</v>
      </c>
      <c r="R437" s="0" t="s">
        <v>73</v>
      </c>
      <c r="S437" s="0" t="s">
        <v>2335</v>
      </c>
      <c r="T437" s="0" t="s">
        <v>2353</v>
      </c>
      <c r="U437" s="5" t="n">
        <v>60</v>
      </c>
      <c r="V437" s="0" t="s">
        <v>55</v>
      </c>
      <c r="W437" s="0" t="s">
        <v>155</v>
      </c>
      <c r="X437" s="0" t="s">
        <v>128</v>
      </c>
      <c r="Y437" s="0" t="s">
        <v>58</v>
      </c>
      <c r="Z437" s="0" t="s">
        <v>2329</v>
      </c>
      <c r="AA437" s="0" t="s">
        <v>143</v>
      </c>
      <c r="AB437" s="5" t="n">
        <v>20000</v>
      </c>
      <c r="AC437" s="5" t="n">
        <v>30000</v>
      </c>
      <c r="AD437" s="0" t="s">
        <v>63</v>
      </c>
      <c r="AE437" s="5" t="n">
        <v>10000</v>
      </c>
      <c r="AF437" s="0" t="s">
        <v>60</v>
      </c>
      <c r="AG437" s="7" t="s">
        <v>2141</v>
      </c>
      <c r="AH437" s="0" t="s">
        <v>50</v>
      </c>
      <c r="AI437" s="0" t="s">
        <v>2331</v>
      </c>
      <c r="AJ437" s="0" t="s">
        <v>172</v>
      </c>
      <c r="AK437" s="0" t="s">
        <v>50</v>
      </c>
      <c r="AL437" s="0" t="s">
        <v>63</v>
      </c>
      <c r="AM437" s="0" t="s">
        <v>63</v>
      </c>
      <c r="AN437" s="0" t="s">
        <v>2321</v>
      </c>
      <c r="AO437" s="0" t="s">
        <v>63</v>
      </c>
    </row>
    <row r="438" customFormat="false" ht="15" hidden="false" customHeight="false" outlineLevel="0" collapsed="false">
      <c r="A438" s="0" t="s">
        <v>1144</v>
      </c>
      <c r="B438" s="2" t="s">
        <v>2405</v>
      </c>
      <c r="C438" s="0" t="s">
        <v>42</v>
      </c>
      <c r="D438" s="0" t="n">
        <v>8046745629</v>
      </c>
      <c r="E438" s="0" t="s">
        <v>139</v>
      </c>
      <c r="F438" s="0" t="s">
        <v>2323</v>
      </c>
      <c r="G438" s="0" t="s">
        <v>1145</v>
      </c>
      <c r="H438" s="0" t="s">
        <v>87</v>
      </c>
      <c r="I438" s="3" t="s">
        <v>2342</v>
      </c>
      <c r="J438" s="0" t="s">
        <v>2339</v>
      </c>
      <c r="K438" s="0" t="s">
        <v>71</v>
      </c>
      <c r="L438" s="4" t="n">
        <v>109951</v>
      </c>
      <c r="M438" s="0" t="s">
        <v>49</v>
      </c>
      <c r="N438" s="0" t="s">
        <v>63</v>
      </c>
      <c r="O438" s="5" t="n">
        <v>1</v>
      </c>
      <c r="P438" s="0" t="n">
        <v>4.6</v>
      </c>
      <c r="Q438" s="0" t="s">
        <v>51</v>
      </c>
      <c r="R438" s="0" t="s">
        <v>93</v>
      </c>
      <c r="S438" s="0" t="s">
        <v>53</v>
      </c>
      <c r="T438" s="0" t="s">
        <v>75</v>
      </c>
      <c r="U438" s="5" t="n">
        <v>60</v>
      </c>
      <c r="V438" s="0" t="s">
        <v>96</v>
      </c>
      <c r="W438" s="0" t="s">
        <v>155</v>
      </c>
      <c r="X438" s="0" t="s">
        <v>128</v>
      </c>
      <c r="Y438" s="0" t="s">
        <v>196</v>
      </c>
      <c r="Z438" s="0" t="s">
        <v>59</v>
      </c>
      <c r="AA438" s="0" t="s">
        <v>143</v>
      </c>
      <c r="AB438" s="5" t="n">
        <v>40000</v>
      </c>
      <c r="AC438" s="5" t="n">
        <v>35000</v>
      </c>
      <c r="AD438" s="0" t="s">
        <v>63</v>
      </c>
      <c r="AE438" s="5" t="n">
        <v>0</v>
      </c>
      <c r="AF438" s="0" t="s">
        <v>184</v>
      </c>
      <c r="AG438" s="7" t="s">
        <v>2350</v>
      </c>
      <c r="AH438" s="0" t="s">
        <v>63</v>
      </c>
      <c r="AI438" s="0" t="s">
        <v>2331</v>
      </c>
      <c r="AJ438" s="0" t="s">
        <v>2320</v>
      </c>
      <c r="AK438" s="0" t="s">
        <v>63</v>
      </c>
      <c r="AL438" s="0" t="s">
        <v>63</v>
      </c>
      <c r="AM438" s="0" t="s">
        <v>2344</v>
      </c>
      <c r="AN438" s="0" t="s">
        <v>64</v>
      </c>
      <c r="AO438" s="0" t="s">
        <v>2359</v>
      </c>
    </row>
    <row r="439" customFormat="false" ht="15" hidden="false" customHeight="false" outlineLevel="0" collapsed="false">
      <c r="A439" s="0" t="s">
        <v>1146</v>
      </c>
      <c r="B439" s="2" t="s">
        <v>1774</v>
      </c>
      <c r="C439" s="0" t="s">
        <v>121</v>
      </c>
      <c r="D439" s="0" t="n">
        <v>8094299900</v>
      </c>
      <c r="E439" s="0" t="s">
        <v>122</v>
      </c>
      <c r="F439" s="0" t="s">
        <v>2316</v>
      </c>
      <c r="G439" s="0" t="s">
        <v>1147</v>
      </c>
      <c r="H439" s="0" t="s">
        <v>45</v>
      </c>
      <c r="I439" s="3" t="s">
        <v>2322</v>
      </c>
      <c r="J439" s="0" t="s">
        <v>47</v>
      </c>
      <c r="K439" s="0" t="s">
        <v>109</v>
      </c>
      <c r="L439" s="4" t="n">
        <v>27083</v>
      </c>
      <c r="M439" s="0" t="s">
        <v>2333</v>
      </c>
      <c r="N439" s="0" t="s">
        <v>50</v>
      </c>
      <c r="O439" s="5" t="n">
        <v>4</v>
      </c>
      <c r="P439" s="0" t="n">
        <v>2</v>
      </c>
      <c r="Q439" s="0" t="s">
        <v>2334</v>
      </c>
      <c r="R439" s="0" t="s">
        <v>52</v>
      </c>
      <c r="S439" s="0" t="s">
        <v>2340</v>
      </c>
      <c r="T439" s="0" t="s">
        <v>75</v>
      </c>
      <c r="U439" s="5" t="n">
        <v>45</v>
      </c>
      <c r="V439" s="0" t="s">
        <v>96</v>
      </c>
      <c r="W439" s="0" t="s">
        <v>2337</v>
      </c>
      <c r="X439" s="0" t="s">
        <v>98</v>
      </c>
      <c r="Y439" s="0" t="s">
        <v>114</v>
      </c>
      <c r="Z439" s="0" t="s">
        <v>2324</v>
      </c>
      <c r="AA439" s="0" t="s">
        <v>149</v>
      </c>
      <c r="AB439" s="5" t="n">
        <v>30000</v>
      </c>
      <c r="AC439" s="5" t="n">
        <v>31475.5838641189</v>
      </c>
      <c r="AD439" s="0" t="s">
        <v>50</v>
      </c>
      <c r="AE439" s="5" t="n">
        <v>0</v>
      </c>
      <c r="AF439" s="0" t="s">
        <v>130</v>
      </c>
      <c r="AG439" s="7" t="s">
        <v>2466</v>
      </c>
      <c r="AH439" s="0" t="s">
        <v>50</v>
      </c>
      <c r="AI439" s="0" t="s">
        <v>2331</v>
      </c>
      <c r="AJ439" s="0" t="s">
        <v>172</v>
      </c>
      <c r="AK439" s="0" t="s">
        <v>50</v>
      </c>
      <c r="AL439" s="0" t="s">
        <v>2344</v>
      </c>
      <c r="AM439" s="0" t="s">
        <v>63</v>
      </c>
      <c r="AN439" s="0" t="s">
        <v>2318</v>
      </c>
      <c r="AO439" s="0" t="s">
        <v>50</v>
      </c>
    </row>
    <row r="440" customFormat="false" ht="15" hidden="false" customHeight="false" outlineLevel="0" collapsed="false">
      <c r="A440" s="0" t="s">
        <v>1148</v>
      </c>
      <c r="B440" s="2" t="s">
        <v>2486</v>
      </c>
      <c r="C440" s="0" t="s">
        <v>42</v>
      </c>
      <c r="D440" s="0" t="n">
        <v>8082173911</v>
      </c>
      <c r="E440" s="0" t="s">
        <v>43</v>
      </c>
      <c r="F440" s="0" t="s">
        <v>2315</v>
      </c>
      <c r="G440" s="0" t="s">
        <v>1149</v>
      </c>
      <c r="H440" s="0" t="s">
        <v>134</v>
      </c>
      <c r="I440" s="3" t="s">
        <v>2317</v>
      </c>
      <c r="J440" s="0" t="s">
        <v>2347</v>
      </c>
      <c r="K440" s="0" t="s">
        <v>109</v>
      </c>
      <c r="L440" s="4" t="n">
        <v>37788</v>
      </c>
      <c r="M440" s="0" t="s">
        <v>49</v>
      </c>
      <c r="N440" s="0" t="s">
        <v>63</v>
      </c>
      <c r="O440" s="5" t="n">
        <v>1</v>
      </c>
      <c r="P440" s="0" t="n">
        <v>1.3</v>
      </c>
      <c r="Q440" s="0" t="s">
        <v>125</v>
      </c>
      <c r="R440" s="0" t="s">
        <v>93</v>
      </c>
      <c r="S440" s="0" t="s">
        <v>2335</v>
      </c>
      <c r="T440" s="0" t="s">
        <v>54</v>
      </c>
      <c r="U440" s="5" t="n">
        <v>45</v>
      </c>
      <c r="V440" s="0" t="s">
        <v>55</v>
      </c>
      <c r="W440" s="0" t="s">
        <v>155</v>
      </c>
      <c r="X440" s="0" t="s">
        <v>78</v>
      </c>
      <c r="Y440" s="0" t="s">
        <v>58</v>
      </c>
      <c r="Z440" s="0" t="s">
        <v>2329</v>
      </c>
      <c r="AA440" s="0" t="s">
        <v>149</v>
      </c>
      <c r="AB440" s="5" t="n">
        <v>25000</v>
      </c>
      <c r="AC440" s="5" t="n">
        <v>35000</v>
      </c>
      <c r="AD440" s="0" t="s">
        <v>50</v>
      </c>
      <c r="AE440" s="5" t="n">
        <v>5000</v>
      </c>
      <c r="AF440" s="0" t="s">
        <v>130</v>
      </c>
      <c r="AG440" s="7" t="s">
        <v>571</v>
      </c>
      <c r="AH440" s="0" t="s">
        <v>50</v>
      </c>
      <c r="AI440" s="0" t="s">
        <v>116</v>
      </c>
      <c r="AJ440" s="0" t="s">
        <v>117</v>
      </c>
      <c r="AK440" s="0" t="s">
        <v>63</v>
      </c>
      <c r="AL440" s="0" t="s">
        <v>63</v>
      </c>
      <c r="AM440" s="0" t="s">
        <v>2344</v>
      </c>
      <c r="AN440" s="0" t="s">
        <v>2321</v>
      </c>
      <c r="AO440" s="0" t="s">
        <v>50</v>
      </c>
    </row>
    <row r="441" customFormat="false" ht="15" hidden="false" customHeight="false" outlineLevel="0" collapsed="false">
      <c r="A441" s="0" t="s">
        <v>1150</v>
      </c>
      <c r="B441" s="2" t="s">
        <v>1774</v>
      </c>
      <c r="C441" s="0" t="s">
        <v>105</v>
      </c>
      <c r="D441" s="0" t="n">
        <v>8049176757</v>
      </c>
      <c r="E441" s="0" t="s">
        <v>122</v>
      </c>
      <c r="F441" s="0" t="s">
        <v>2316</v>
      </c>
      <c r="G441" s="0" t="s">
        <v>1151</v>
      </c>
      <c r="H441" s="0" t="s">
        <v>107</v>
      </c>
      <c r="I441" s="3" t="s">
        <v>2317</v>
      </c>
      <c r="J441" s="0" t="s">
        <v>189</v>
      </c>
      <c r="K441" s="0" t="s">
        <v>109</v>
      </c>
      <c r="L441" s="4" t="n">
        <v>13544</v>
      </c>
      <c r="M441" s="0" t="s">
        <v>110</v>
      </c>
      <c r="N441" s="0" t="s">
        <v>50</v>
      </c>
      <c r="O441" s="5" t="n">
        <v>4</v>
      </c>
      <c r="P441" s="0" t="n">
        <v>2.7</v>
      </c>
      <c r="Q441" s="0" t="s">
        <v>2334</v>
      </c>
      <c r="R441" s="0" t="s">
        <v>52</v>
      </c>
      <c r="S441" s="0" t="s">
        <v>2340</v>
      </c>
      <c r="T441" s="0" t="s">
        <v>54</v>
      </c>
      <c r="U441" s="5" t="n">
        <v>60</v>
      </c>
      <c r="V441" s="0" t="s">
        <v>55</v>
      </c>
      <c r="W441" s="0" t="s">
        <v>2337</v>
      </c>
      <c r="X441" s="0" t="s">
        <v>128</v>
      </c>
      <c r="Y441" s="0" t="s">
        <v>58</v>
      </c>
      <c r="Z441" s="0" t="s">
        <v>2326</v>
      </c>
      <c r="AA441" s="0" t="s">
        <v>79</v>
      </c>
      <c r="AB441" s="5" t="n">
        <v>20000</v>
      </c>
      <c r="AC441" s="5" t="n">
        <v>31468.085106383</v>
      </c>
      <c r="AD441" s="0" t="s">
        <v>50</v>
      </c>
      <c r="AE441" s="5" t="n">
        <v>5000</v>
      </c>
      <c r="AF441" s="0" t="s">
        <v>184</v>
      </c>
      <c r="AG441" s="7" t="s">
        <v>571</v>
      </c>
      <c r="AH441" s="0" t="s">
        <v>50</v>
      </c>
      <c r="AI441" s="0" t="s">
        <v>2331</v>
      </c>
      <c r="AJ441" s="0" t="s">
        <v>2320</v>
      </c>
      <c r="AK441" s="0" t="s">
        <v>50</v>
      </c>
      <c r="AL441" s="0" t="s">
        <v>63</v>
      </c>
      <c r="AM441" s="0" t="s">
        <v>63</v>
      </c>
      <c r="AN441" s="0" t="s">
        <v>2318</v>
      </c>
      <c r="AO441" s="0" t="s">
        <v>50</v>
      </c>
    </row>
    <row r="442" customFormat="false" ht="15" hidden="false" customHeight="false" outlineLevel="0" collapsed="false">
      <c r="A442" s="0" t="s">
        <v>1152</v>
      </c>
      <c r="B442" s="2" t="s">
        <v>2362</v>
      </c>
      <c r="C442" s="0" t="s">
        <v>163</v>
      </c>
      <c r="D442" s="0" t="n">
        <v>8099477179</v>
      </c>
      <c r="E442" s="0" t="s">
        <v>85</v>
      </c>
      <c r="F442" s="0" t="s">
        <v>2319</v>
      </c>
      <c r="G442" s="0" t="s">
        <v>1153</v>
      </c>
      <c r="H442" s="0" t="s">
        <v>87</v>
      </c>
      <c r="I442" s="3" t="s">
        <v>2325</v>
      </c>
      <c r="J442" s="0" t="s">
        <v>2349</v>
      </c>
      <c r="K442" s="0" t="s">
        <v>90</v>
      </c>
      <c r="L442" s="4" t="n">
        <v>43994</v>
      </c>
      <c r="M442" s="0" t="s">
        <v>110</v>
      </c>
      <c r="N442" s="0" t="s">
        <v>63</v>
      </c>
      <c r="O442" s="5" t="n">
        <v>3</v>
      </c>
      <c r="P442" s="0" t="n">
        <v>4.5</v>
      </c>
      <c r="Q442" s="0" t="s">
        <v>92</v>
      </c>
      <c r="R442" s="0" t="s">
        <v>52</v>
      </c>
      <c r="S442" s="0" t="s">
        <v>2335</v>
      </c>
      <c r="T442" s="0" t="s">
        <v>147</v>
      </c>
      <c r="U442" s="5" t="n">
        <v>15</v>
      </c>
      <c r="V442" s="0" t="s">
        <v>2352</v>
      </c>
      <c r="W442" s="0" t="s">
        <v>2337</v>
      </c>
      <c r="X442" s="0" t="s">
        <v>78</v>
      </c>
      <c r="Y442" s="0" t="s">
        <v>99</v>
      </c>
      <c r="Z442" s="0" t="s">
        <v>59</v>
      </c>
      <c r="AA442" s="0" t="s">
        <v>143</v>
      </c>
      <c r="AB442" s="5" t="n">
        <v>30000</v>
      </c>
      <c r="AC442" s="5" t="n">
        <v>20000</v>
      </c>
      <c r="AD442" s="0" t="s">
        <v>50</v>
      </c>
      <c r="AE442" s="5" t="n">
        <v>5000</v>
      </c>
      <c r="AF442" s="0" t="s">
        <v>60</v>
      </c>
      <c r="AG442" s="7" t="s">
        <v>2330</v>
      </c>
      <c r="AH442" s="0" t="s">
        <v>2329</v>
      </c>
      <c r="AI442" s="0" t="s">
        <v>2331</v>
      </c>
      <c r="AJ442" s="0" t="s">
        <v>172</v>
      </c>
      <c r="AK442" s="0" t="s">
        <v>63</v>
      </c>
      <c r="AL442" s="0" t="s">
        <v>63</v>
      </c>
      <c r="AM442" s="0" t="s">
        <v>50</v>
      </c>
      <c r="AN442" s="0" t="s">
        <v>2321</v>
      </c>
      <c r="AO442" s="0" t="s">
        <v>63</v>
      </c>
    </row>
    <row r="443" customFormat="false" ht="15" hidden="false" customHeight="false" outlineLevel="0" collapsed="false">
      <c r="A443" s="0" t="s">
        <v>1154</v>
      </c>
      <c r="B443" s="2" t="s">
        <v>2386</v>
      </c>
      <c r="C443" s="0" t="s">
        <v>42</v>
      </c>
      <c r="D443" s="0" t="n">
        <v>8018958209</v>
      </c>
      <c r="E443" s="0" t="s">
        <v>139</v>
      </c>
      <c r="F443" s="0" t="s">
        <v>2323</v>
      </c>
      <c r="G443" s="0" t="s">
        <v>320</v>
      </c>
      <c r="H443" s="0" t="s">
        <v>69</v>
      </c>
      <c r="I443" s="3" t="s">
        <v>2325</v>
      </c>
      <c r="J443" s="0" t="s">
        <v>2349</v>
      </c>
      <c r="K443" s="0" t="s">
        <v>109</v>
      </c>
      <c r="L443" s="4" t="n">
        <v>19823</v>
      </c>
      <c r="M443" s="0" t="s">
        <v>110</v>
      </c>
      <c r="N443" s="0" t="s">
        <v>50</v>
      </c>
      <c r="O443" s="5" t="n">
        <v>3.0755939524838</v>
      </c>
      <c r="P443" s="0" t="n">
        <v>4.9</v>
      </c>
      <c r="Q443" s="0" t="s">
        <v>2334</v>
      </c>
      <c r="R443" s="0" t="s">
        <v>93</v>
      </c>
      <c r="S443" s="0" t="s">
        <v>53</v>
      </c>
      <c r="T443" s="0" t="s">
        <v>75</v>
      </c>
      <c r="U443" s="5" t="n">
        <v>15</v>
      </c>
      <c r="V443" s="0" t="s">
        <v>112</v>
      </c>
      <c r="W443" s="0" t="s">
        <v>148</v>
      </c>
      <c r="X443" s="0" t="s">
        <v>128</v>
      </c>
      <c r="Y443" s="0" t="s">
        <v>58</v>
      </c>
      <c r="Z443" s="0" t="s">
        <v>2329</v>
      </c>
      <c r="AA443" s="0" t="s">
        <v>161</v>
      </c>
      <c r="AB443" s="5" t="n">
        <v>40000</v>
      </c>
      <c r="AC443" s="5" t="n">
        <v>35000</v>
      </c>
      <c r="AD443" s="0" t="s">
        <v>63</v>
      </c>
      <c r="AE443" s="5" t="n">
        <v>0</v>
      </c>
      <c r="AF443" s="0" t="s">
        <v>60</v>
      </c>
      <c r="AG443" s="7" t="s">
        <v>1155</v>
      </c>
      <c r="AH443" s="0" t="s">
        <v>63</v>
      </c>
      <c r="AI443" s="0" t="s">
        <v>2331</v>
      </c>
      <c r="AJ443" s="0" t="s">
        <v>172</v>
      </c>
      <c r="AK443" s="0" t="s">
        <v>50</v>
      </c>
      <c r="AL443" s="0" t="s">
        <v>50</v>
      </c>
      <c r="AM443" s="0" t="s">
        <v>63</v>
      </c>
      <c r="AN443" s="0" t="s">
        <v>2321</v>
      </c>
      <c r="AO443" s="0" t="s">
        <v>63</v>
      </c>
    </row>
    <row r="444" customFormat="false" ht="15" hidden="false" customHeight="false" outlineLevel="0" collapsed="false">
      <c r="A444" s="0" t="s">
        <v>1156</v>
      </c>
      <c r="B444" s="2" t="s">
        <v>2354</v>
      </c>
      <c r="C444" s="0" t="s">
        <v>163</v>
      </c>
      <c r="D444" s="0" t="n">
        <v>8039159454</v>
      </c>
      <c r="E444" s="0" t="s">
        <v>43</v>
      </c>
      <c r="F444" s="0" t="s">
        <v>2315</v>
      </c>
      <c r="G444" s="0" t="s">
        <v>1157</v>
      </c>
      <c r="H444" s="0" t="s">
        <v>134</v>
      </c>
      <c r="I444" s="3" t="s">
        <v>2322</v>
      </c>
      <c r="J444" s="0" t="s">
        <v>2347</v>
      </c>
      <c r="K444" s="0" t="s">
        <v>71</v>
      </c>
      <c r="L444" s="4" t="n">
        <v>107340</v>
      </c>
      <c r="M444" s="0" t="s">
        <v>110</v>
      </c>
      <c r="N444" s="0" t="s">
        <v>50</v>
      </c>
      <c r="O444" s="5" t="n">
        <v>1</v>
      </c>
      <c r="P444" s="0" t="n">
        <v>3.5</v>
      </c>
      <c r="Q444" s="0" t="s">
        <v>111</v>
      </c>
      <c r="R444" s="0" t="s">
        <v>52</v>
      </c>
      <c r="S444" s="0" t="s">
        <v>2335</v>
      </c>
      <c r="T444" s="0" t="s">
        <v>95</v>
      </c>
      <c r="U444" s="5" t="n">
        <v>30</v>
      </c>
      <c r="V444" s="0" t="s">
        <v>2352</v>
      </c>
      <c r="W444" s="0" t="s">
        <v>2337</v>
      </c>
      <c r="X444" s="0" t="s">
        <v>98</v>
      </c>
      <c r="Y444" s="0" t="s">
        <v>196</v>
      </c>
      <c r="Z444" s="0" t="s">
        <v>2324</v>
      </c>
      <c r="AA444" s="0" t="s">
        <v>2329</v>
      </c>
      <c r="AB444" s="5" t="n">
        <v>40000</v>
      </c>
      <c r="AC444" s="5" t="n">
        <v>30000</v>
      </c>
      <c r="AD444" s="0" t="s">
        <v>50</v>
      </c>
      <c r="AE444" s="5" t="n">
        <v>5000</v>
      </c>
      <c r="AF444" s="0" t="s">
        <v>130</v>
      </c>
      <c r="AG444" s="7" t="s">
        <v>1304</v>
      </c>
      <c r="AH444" s="0" t="s">
        <v>63</v>
      </c>
      <c r="AI444" s="0" t="s">
        <v>2331</v>
      </c>
      <c r="AJ444" s="0" t="s">
        <v>117</v>
      </c>
      <c r="AK444" s="0" t="s">
        <v>50</v>
      </c>
      <c r="AL444" s="0" t="s">
        <v>50</v>
      </c>
      <c r="AM444" s="0" t="s">
        <v>63</v>
      </c>
      <c r="AN444" s="0" t="s">
        <v>64</v>
      </c>
      <c r="AO444" s="0" t="s">
        <v>2359</v>
      </c>
    </row>
    <row r="445" customFormat="false" ht="15" hidden="false" customHeight="false" outlineLevel="0" collapsed="false">
      <c r="A445" s="0" t="s">
        <v>1158</v>
      </c>
      <c r="B445" s="2" t="s">
        <v>2381</v>
      </c>
      <c r="C445" s="0" t="s">
        <v>66</v>
      </c>
      <c r="D445" s="0" t="n">
        <v>8076234781</v>
      </c>
      <c r="E445" s="0" t="s">
        <v>43</v>
      </c>
      <c r="F445" s="0" t="s">
        <v>2315</v>
      </c>
      <c r="G445" s="0" t="s">
        <v>1159</v>
      </c>
      <c r="H445" s="0" t="s">
        <v>107</v>
      </c>
      <c r="I445" s="3" t="s">
        <v>2322</v>
      </c>
      <c r="J445" s="0" t="s">
        <v>2341</v>
      </c>
      <c r="K445" s="0" t="s">
        <v>109</v>
      </c>
      <c r="L445" s="4" t="n">
        <v>112042</v>
      </c>
      <c r="M445" s="0" t="s">
        <v>49</v>
      </c>
      <c r="N445" s="0" t="s">
        <v>63</v>
      </c>
      <c r="O445" s="5" t="n">
        <v>3.08008658008658</v>
      </c>
      <c r="P445" s="0" t="n">
        <v>2.9</v>
      </c>
      <c r="Q445" s="0" t="s">
        <v>125</v>
      </c>
      <c r="R445" s="0" t="s">
        <v>73</v>
      </c>
      <c r="S445" s="0" t="s">
        <v>2366</v>
      </c>
      <c r="T445" s="0" t="s">
        <v>147</v>
      </c>
      <c r="U445" s="5" t="n">
        <v>30</v>
      </c>
      <c r="V445" s="0" t="s">
        <v>112</v>
      </c>
      <c r="W445" s="0" t="s">
        <v>2328</v>
      </c>
      <c r="X445" s="0" t="s">
        <v>98</v>
      </c>
      <c r="Y445" s="0" t="s">
        <v>99</v>
      </c>
      <c r="Z445" s="0" t="s">
        <v>2329</v>
      </c>
      <c r="AA445" s="0" t="s">
        <v>2329</v>
      </c>
      <c r="AB445" s="5" t="n">
        <v>20000</v>
      </c>
      <c r="AC445" s="5" t="n">
        <v>20000</v>
      </c>
      <c r="AD445" s="0" t="s">
        <v>50</v>
      </c>
      <c r="AE445" s="5" t="n">
        <v>5000</v>
      </c>
      <c r="AF445" s="0" t="s">
        <v>60</v>
      </c>
      <c r="AG445" s="7" t="s">
        <v>2360</v>
      </c>
      <c r="AH445" s="0" t="s">
        <v>50</v>
      </c>
      <c r="AI445" s="0" t="s">
        <v>2331</v>
      </c>
      <c r="AJ445" s="0" t="s">
        <v>2331</v>
      </c>
      <c r="AK445" s="0" t="s">
        <v>63</v>
      </c>
      <c r="AL445" s="0" t="s">
        <v>63</v>
      </c>
      <c r="AM445" s="0" t="s">
        <v>63</v>
      </c>
      <c r="AN445" s="0" t="s">
        <v>2318</v>
      </c>
      <c r="AO445" s="0" t="s">
        <v>2359</v>
      </c>
    </row>
    <row r="446" customFormat="false" ht="15" hidden="false" customHeight="false" outlineLevel="0" collapsed="false">
      <c r="A446" s="0" t="s">
        <v>1160</v>
      </c>
      <c r="B446" s="2" t="s">
        <v>1050</v>
      </c>
      <c r="C446" s="0" t="s">
        <v>121</v>
      </c>
      <c r="D446" s="0" t="n">
        <v>8065200819</v>
      </c>
      <c r="E446" s="0" t="s">
        <v>43</v>
      </c>
      <c r="F446" s="0" t="s">
        <v>2315</v>
      </c>
      <c r="G446" s="0" t="s">
        <v>1161</v>
      </c>
      <c r="H446" s="0" t="s">
        <v>107</v>
      </c>
      <c r="I446" s="3" t="s">
        <v>2325</v>
      </c>
      <c r="J446" s="0" t="s">
        <v>47</v>
      </c>
      <c r="K446" s="0" t="s">
        <v>48</v>
      </c>
      <c r="L446" s="4" t="n">
        <v>30469</v>
      </c>
      <c r="M446" s="0" t="s">
        <v>49</v>
      </c>
      <c r="N446" s="0" t="s">
        <v>63</v>
      </c>
      <c r="O446" s="5" t="n">
        <v>2</v>
      </c>
      <c r="P446" s="0" t="n">
        <v>3</v>
      </c>
      <c r="Q446" s="0" t="s">
        <v>125</v>
      </c>
      <c r="R446" s="0" t="s">
        <v>73</v>
      </c>
      <c r="S446" s="0" t="s">
        <v>53</v>
      </c>
      <c r="T446" s="0" t="s">
        <v>95</v>
      </c>
      <c r="U446" s="5" t="n">
        <v>30</v>
      </c>
      <c r="V446" s="0" t="s">
        <v>96</v>
      </c>
      <c r="W446" s="0" t="s">
        <v>2328</v>
      </c>
      <c r="X446" s="0" t="s">
        <v>78</v>
      </c>
      <c r="Y446" s="0" t="s">
        <v>196</v>
      </c>
      <c r="Z446" s="0" t="s">
        <v>2324</v>
      </c>
      <c r="AA446" s="0" t="s">
        <v>79</v>
      </c>
      <c r="AB446" s="5" t="n">
        <v>20000</v>
      </c>
      <c r="AC446" s="5" t="n">
        <v>30000</v>
      </c>
      <c r="AD446" s="0" t="s">
        <v>50</v>
      </c>
      <c r="AE446" s="5" t="n">
        <v>0</v>
      </c>
      <c r="AF446" s="0" t="s">
        <v>60</v>
      </c>
      <c r="AG446" s="7" t="s">
        <v>510</v>
      </c>
      <c r="AH446" s="0" t="s">
        <v>2329</v>
      </c>
      <c r="AI446" s="0" t="s">
        <v>2331</v>
      </c>
      <c r="AJ446" s="0" t="s">
        <v>2331</v>
      </c>
      <c r="AK446" s="0" t="s">
        <v>50</v>
      </c>
      <c r="AL446" s="0" t="s">
        <v>63</v>
      </c>
      <c r="AM446" s="0" t="s">
        <v>50</v>
      </c>
      <c r="AN446" s="0" t="s">
        <v>2321</v>
      </c>
      <c r="AO446" s="0" t="s">
        <v>50</v>
      </c>
    </row>
    <row r="447" customFormat="false" ht="15" hidden="false" customHeight="false" outlineLevel="0" collapsed="false">
      <c r="A447" s="0" t="s">
        <v>1162</v>
      </c>
      <c r="B447" s="2" t="s">
        <v>2436</v>
      </c>
      <c r="C447" s="0" t="s">
        <v>121</v>
      </c>
      <c r="D447" s="0" t="n">
        <v>8084198767</v>
      </c>
      <c r="E447" s="0" t="s">
        <v>122</v>
      </c>
      <c r="F447" s="0" t="s">
        <v>2316</v>
      </c>
      <c r="G447" s="0" t="s">
        <v>1163</v>
      </c>
      <c r="H447" s="0" t="s">
        <v>107</v>
      </c>
      <c r="I447" s="3" t="s">
        <v>87</v>
      </c>
      <c r="J447" s="0" t="s">
        <v>2341</v>
      </c>
      <c r="K447" s="0" t="s">
        <v>48</v>
      </c>
      <c r="L447" s="4" t="n">
        <v>13361</v>
      </c>
      <c r="M447" s="0" t="s">
        <v>49</v>
      </c>
      <c r="N447" s="0" t="s">
        <v>63</v>
      </c>
      <c r="O447" s="5" t="n">
        <v>5</v>
      </c>
      <c r="P447" s="0" t="n">
        <v>5.6</v>
      </c>
      <c r="Q447" s="0" t="s">
        <v>125</v>
      </c>
      <c r="R447" s="0" t="s">
        <v>73</v>
      </c>
      <c r="S447" s="0" t="s">
        <v>2366</v>
      </c>
      <c r="T447" s="0" t="s">
        <v>2343</v>
      </c>
      <c r="U447" s="5" t="n">
        <v>45</v>
      </c>
      <c r="V447" s="0" t="s">
        <v>2336</v>
      </c>
      <c r="W447" s="0" t="s">
        <v>2328</v>
      </c>
      <c r="X447" s="0" t="s">
        <v>128</v>
      </c>
      <c r="Y447" s="0" t="s">
        <v>58</v>
      </c>
      <c r="Z447" s="0" t="s">
        <v>177</v>
      </c>
      <c r="AA447" s="0" t="s">
        <v>161</v>
      </c>
      <c r="AB447" s="5" t="n">
        <v>20000</v>
      </c>
      <c r="AC447" s="5" t="n">
        <v>20000</v>
      </c>
      <c r="AD447" s="0" t="s">
        <v>63</v>
      </c>
      <c r="AE447" s="5" t="n">
        <v>0</v>
      </c>
      <c r="AF447" s="0" t="s">
        <v>130</v>
      </c>
      <c r="AG447" s="7" t="s">
        <v>970</v>
      </c>
      <c r="AH447" s="0" t="s">
        <v>50</v>
      </c>
      <c r="AI447" s="0" t="s">
        <v>2331</v>
      </c>
      <c r="AJ447" s="0" t="s">
        <v>2320</v>
      </c>
      <c r="AK447" s="0" t="s">
        <v>2344</v>
      </c>
      <c r="AL447" s="0" t="s">
        <v>50</v>
      </c>
      <c r="AM447" s="0" t="s">
        <v>2344</v>
      </c>
      <c r="AN447" s="0" t="s">
        <v>2321</v>
      </c>
      <c r="AO447" s="0" t="s">
        <v>50</v>
      </c>
    </row>
    <row r="448" customFormat="false" ht="15" hidden="false" customHeight="false" outlineLevel="0" collapsed="false">
      <c r="A448" s="0" t="s">
        <v>1164</v>
      </c>
      <c r="B448" s="2" t="s">
        <v>788</v>
      </c>
      <c r="C448" s="0" t="s">
        <v>163</v>
      </c>
      <c r="D448" s="0" t="n">
        <v>8026271298</v>
      </c>
      <c r="E448" s="0" t="s">
        <v>122</v>
      </c>
      <c r="F448" s="0" t="s">
        <v>2316</v>
      </c>
      <c r="G448" s="0" t="s">
        <v>1165</v>
      </c>
      <c r="H448" s="0" t="s">
        <v>107</v>
      </c>
      <c r="I448" s="3" t="s">
        <v>87</v>
      </c>
      <c r="J448" s="0" t="s">
        <v>189</v>
      </c>
      <c r="K448" s="0" t="s">
        <v>109</v>
      </c>
      <c r="L448" s="4" t="n">
        <v>28460</v>
      </c>
      <c r="M448" s="0" t="s">
        <v>2333</v>
      </c>
      <c r="N448" s="0" t="s">
        <v>63</v>
      </c>
      <c r="O448" s="5" t="n">
        <v>2</v>
      </c>
      <c r="P448" s="0" t="n">
        <v>1.4</v>
      </c>
      <c r="Q448" s="0" t="s">
        <v>51</v>
      </c>
      <c r="R448" s="0" t="s">
        <v>93</v>
      </c>
      <c r="S448" s="0" t="s">
        <v>2335</v>
      </c>
      <c r="T448" s="0" t="s">
        <v>54</v>
      </c>
      <c r="U448" s="5" t="n">
        <v>45</v>
      </c>
      <c r="V448" s="0" t="s">
        <v>112</v>
      </c>
      <c r="W448" s="0" t="s">
        <v>155</v>
      </c>
      <c r="X448" s="0" t="s">
        <v>98</v>
      </c>
      <c r="Y448" s="0" t="s">
        <v>58</v>
      </c>
      <c r="Z448" s="0" t="s">
        <v>59</v>
      </c>
      <c r="AA448" s="0" t="s">
        <v>79</v>
      </c>
      <c r="AB448" s="5" t="n">
        <v>24836.0655737705</v>
      </c>
      <c r="AC448" s="5" t="n">
        <v>30000</v>
      </c>
      <c r="AD448" s="0" t="s">
        <v>63</v>
      </c>
      <c r="AE448" s="5" t="n">
        <v>5000</v>
      </c>
      <c r="AF448" s="0" t="s">
        <v>2338</v>
      </c>
      <c r="AG448" s="7" t="s">
        <v>2330</v>
      </c>
      <c r="AH448" s="0" t="s">
        <v>63</v>
      </c>
      <c r="AI448" s="0" t="s">
        <v>2331</v>
      </c>
      <c r="AJ448" s="0" t="s">
        <v>117</v>
      </c>
      <c r="AK448" s="0" t="s">
        <v>63</v>
      </c>
      <c r="AL448" s="0" t="s">
        <v>50</v>
      </c>
      <c r="AM448" s="0" t="s">
        <v>50</v>
      </c>
      <c r="AN448" s="0" t="s">
        <v>2321</v>
      </c>
      <c r="AO448" s="0" t="s">
        <v>50</v>
      </c>
    </row>
    <row r="449" customFormat="false" ht="15" hidden="false" customHeight="false" outlineLevel="0" collapsed="false">
      <c r="A449" s="0" t="s">
        <v>1166</v>
      </c>
      <c r="B449" s="2" t="s">
        <v>345</v>
      </c>
      <c r="C449" s="0" t="s">
        <v>66</v>
      </c>
      <c r="D449" s="0" t="n">
        <v>8059490380</v>
      </c>
      <c r="E449" s="0" t="s">
        <v>43</v>
      </c>
      <c r="F449" s="0" t="s">
        <v>2315</v>
      </c>
      <c r="G449" s="0" t="s">
        <v>1167</v>
      </c>
      <c r="H449" s="0" t="s">
        <v>45</v>
      </c>
      <c r="I449" s="3" t="s">
        <v>87</v>
      </c>
      <c r="J449" s="0" t="s">
        <v>47</v>
      </c>
      <c r="K449" s="0" t="s">
        <v>109</v>
      </c>
      <c r="L449" s="4" t="n">
        <v>73157</v>
      </c>
      <c r="M449" s="0" t="s">
        <v>49</v>
      </c>
      <c r="N449" s="0" t="s">
        <v>63</v>
      </c>
      <c r="O449" s="5" t="n">
        <v>3</v>
      </c>
      <c r="P449" s="0" t="n">
        <v>4.5</v>
      </c>
      <c r="Q449" s="0" t="s">
        <v>92</v>
      </c>
      <c r="R449" s="0" t="s">
        <v>93</v>
      </c>
      <c r="S449" s="0" t="s">
        <v>53</v>
      </c>
      <c r="T449" s="0" t="s">
        <v>54</v>
      </c>
      <c r="U449" s="5" t="n">
        <v>30</v>
      </c>
      <c r="V449" s="0" t="s">
        <v>2352</v>
      </c>
      <c r="W449" s="0" t="s">
        <v>148</v>
      </c>
      <c r="X449" s="0" t="s">
        <v>98</v>
      </c>
      <c r="Y449" s="0" t="s">
        <v>99</v>
      </c>
      <c r="Z449" s="0" t="s">
        <v>2324</v>
      </c>
      <c r="AA449" s="0" t="s">
        <v>149</v>
      </c>
      <c r="AB449" s="5" t="n">
        <v>20000</v>
      </c>
      <c r="AC449" s="5" t="n">
        <v>40000</v>
      </c>
      <c r="AD449" s="0" t="s">
        <v>63</v>
      </c>
      <c r="AE449" s="5" t="n">
        <v>5000</v>
      </c>
      <c r="AF449" s="0" t="s">
        <v>60</v>
      </c>
      <c r="AG449" s="7" t="s">
        <v>2330</v>
      </c>
      <c r="AH449" s="0" t="s">
        <v>63</v>
      </c>
      <c r="AI449" s="0" t="s">
        <v>2331</v>
      </c>
      <c r="AJ449" s="0" t="s">
        <v>117</v>
      </c>
      <c r="AK449" s="0" t="s">
        <v>50</v>
      </c>
      <c r="AL449" s="0" t="s">
        <v>63</v>
      </c>
      <c r="AM449" s="0" t="s">
        <v>2344</v>
      </c>
      <c r="AN449" s="0" t="s">
        <v>2321</v>
      </c>
      <c r="AO449" s="0" t="s">
        <v>50</v>
      </c>
    </row>
    <row r="450" customFormat="false" ht="15" hidden="false" customHeight="false" outlineLevel="0" collapsed="false">
      <c r="A450" s="0" t="s">
        <v>1168</v>
      </c>
      <c r="B450" s="2" t="s">
        <v>463</v>
      </c>
      <c r="C450" s="0" t="s">
        <v>66</v>
      </c>
      <c r="D450" s="0" t="n">
        <v>8020272170</v>
      </c>
      <c r="E450" s="0" t="s">
        <v>67</v>
      </c>
      <c r="F450" s="0" t="s">
        <v>2316</v>
      </c>
      <c r="G450" s="0" t="s">
        <v>1169</v>
      </c>
      <c r="H450" s="0" t="s">
        <v>45</v>
      </c>
      <c r="I450" s="3" t="s">
        <v>87</v>
      </c>
      <c r="J450" s="0" t="s">
        <v>2341</v>
      </c>
      <c r="K450" s="0" t="s">
        <v>48</v>
      </c>
      <c r="L450" s="4" t="n">
        <v>17053</v>
      </c>
      <c r="M450" s="0" t="s">
        <v>49</v>
      </c>
      <c r="N450" s="0" t="s">
        <v>50</v>
      </c>
      <c r="O450" s="5" t="n">
        <v>1</v>
      </c>
      <c r="P450" s="0" t="n">
        <v>3.5</v>
      </c>
      <c r="Q450" s="0" t="s">
        <v>111</v>
      </c>
      <c r="R450" s="0" t="s">
        <v>73</v>
      </c>
      <c r="S450" s="0" t="s">
        <v>2340</v>
      </c>
      <c r="T450" s="0" t="s">
        <v>95</v>
      </c>
      <c r="U450" s="5" t="n">
        <v>37.7777777777778</v>
      </c>
      <c r="V450" s="0" t="s">
        <v>96</v>
      </c>
      <c r="W450" s="0" t="s">
        <v>2328</v>
      </c>
      <c r="X450" s="0" t="s">
        <v>98</v>
      </c>
      <c r="Y450" s="0" t="s">
        <v>114</v>
      </c>
      <c r="Z450" s="0" t="s">
        <v>2326</v>
      </c>
      <c r="AA450" s="0" t="s">
        <v>149</v>
      </c>
      <c r="AB450" s="5" t="n">
        <v>40000</v>
      </c>
      <c r="AC450" s="5" t="n">
        <v>30000</v>
      </c>
      <c r="AD450" s="0" t="s">
        <v>63</v>
      </c>
      <c r="AE450" s="5" t="n">
        <v>5000</v>
      </c>
      <c r="AF450" s="0" t="s">
        <v>60</v>
      </c>
      <c r="AG450" s="7" t="s">
        <v>2496</v>
      </c>
      <c r="AH450" s="0" t="s">
        <v>50</v>
      </c>
      <c r="AI450" s="0" t="s">
        <v>171</v>
      </c>
      <c r="AJ450" s="0" t="s">
        <v>2320</v>
      </c>
      <c r="AK450" s="0" t="s">
        <v>63</v>
      </c>
      <c r="AL450" s="0" t="s">
        <v>50</v>
      </c>
      <c r="AM450" s="0" t="s">
        <v>50</v>
      </c>
      <c r="AN450" s="0" t="s">
        <v>2321</v>
      </c>
      <c r="AO450" s="0" t="s">
        <v>50</v>
      </c>
    </row>
    <row r="451" customFormat="false" ht="15" hidden="false" customHeight="false" outlineLevel="0" collapsed="false">
      <c r="A451" s="0" t="s">
        <v>1170</v>
      </c>
      <c r="B451" s="2" t="s">
        <v>2422</v>
      </c>
      <c r="C451" s="0" t="s">
        <v>66</v>
      </c>
      <c r="D451" s="0" t="n">
        <v>8024123001</v>
      </c>
      <c r="E451" s="0" t="s">
        <v>139</v>
      </c>
      <c r="F451" s="0" t="s">
        <v>2323</v>
      </c>
      <c r="G451" s="0" t="s">
        <v>1171</v>
      </c>
      <c r="H451" s="0" t="s">
        <v>87</v>
      </c>
      <c r="I451" s="3" t="s">
        <v>2325</v>
      </c>
      <c r="J451" s="0" t="s">
        <v>47</v>
      </c>
      <c r="K451" s="0" t="s">
        <v>90</v>
      </c>
      <c r="L451" s="4" t="n">
        <v>65372</v>
      </c>
      <c r="M451" s="0" t="s">
        <v>49</v>
      </c>
      <c r="N451" s="0" t="s">
        <v>50</v>
      </c>
      <c r="O451" s="5" t="n">
        <v>5</v>
      </c>
      <c r="P451" s="0" t="n">
        <v>4</v>
      </c>
      <c r="Q451" s="0" t="s">
        <v>2334</v>
      </c>
      <c r="R451" s="0" t="s">
        <v>52</v>
      </c>
      <c r="S451" s="0" t="s">
        <v>53</v>
      </c>
      <c r="T451" s="0" t="s">
        <v>147</v>
      </c>
      <c r="U451" s="5" t="n">
        <v>45</v>
      </c>
      <c r="V451" s="0" t="s">
        <v>96</v>
      </c>
      <c r="W451" s="0" t="s">
        <v>148</v>
      </c>
      <c r="X451" s="0" t="s">
        <v>128</v>
      </c>
      <c r="Y451" s="0" t="s">
        <v>196</v>
      </c>
      <c r="Z451" s="0" t="s">
        <v>2324</v>
      </c>
      <c r="AA451" s="0" t="s">
        <v>143</v>
      </c>
      <c r="AB451" s="5" t="n">
        <v>15000</v>
      </c>
      <c r="AC451" s="5" t="n">
        <v>30000</v>
      </c>
      <c r="AD451" s="0" t="s">
        <v>63</v>
      </c>
      <c r="AE451" s="5" t="n">
        <v>0</v>
      </c>
      <c r="AF451" s="0" t="s">
        <v>130</v>
      </c>
      <c r="AG451" s="7" t="s">
        <v>2330</v>
      </c>
      <c r="AH451" s="0" t="s">
        <v>50</v>
      </c>
      <c r="AI451" s="0" t="s">
        <v>116</v>
      </c>
      <c r="AJ451" s="0" t="s">
        <v>172</v>
      </c>
      <c r="AK451" s="0" t="s">
        <v>63</v>
      </c>
      <c r="AL451" s="0" t="s">
        <v>2344</v>
      </c>
      <c r="AM451" s="0" t="s">
        <v>63</v>
      </c>
      <c r="AN451" s="0" t="s">
        <v>64</v>
      </c>
      <c r="AO451" s="0" t="s">
        <v>50</v>
      </c>
    </row>
    <row r="452" customFormat="false" ht="15" hidden="false" customHeight="false" outlineLevel="0" collapsed="false">
      <c r="A452" s="0" t="s">
        <v>1172</v>
      </c>
      <c r="B452" s="2" t="s">
        <v>2370</v>
      </c>
      <c r="C452" s="0" t="s">
        <v>42</v>
      </c>
      <c r="D452" s="0" t="n">
        <v>8077698729</v>
      </c>
      <c r="E452" s="0" t="s">
        <v>43</v>
      </c>
      <c r="F452" s="0" t="s">
        <v>2315</v>
      </c>
      <c r="G452" s="0" t="s">
        <v>1173</v>
      </c>
      <c r="H452" s="0" t="s">
        <v>69</v>
      </c>
      <c r="I452" s="3" t="s">
        <v>87</v>
      </c>
      <c r="J452" s="0" t="s">
        <v>2339</v>
      </c>
      <c r="K452" s="0" t="s">
        <v>71</v>
      </c>
      <c r="L452" s="4" t="n">
        <v>26136</v>
      </c>
      <c r="M452" s="0" t="s">
        <v>49</v>
      </c>
      <c r="N452" s="0" t="s">
        <v>63</v>
      </c>
      <c r="O452" s="5" t="n">
        <v>5</v>
      </c>
      <c r="P452" s="0" t="n">
        <v>3.8</v>
      </c>
      <c r="Q452" s="0" t="s">
        <v>92</v>
      </c>
      <c r="R452" s="0" t="s">
        <v>93</v>
      </c>
      <c r="S452" s="0" t="s">
        <v>2335</v>
      </c>
      <c r="T452" s="0" t="s">
        <v>147</v>
      </c>
      <c r="U452" s="5" t="n">
        <v>39.7674418604651</v>
      </c>
      <c r="V452" s="0" t="s">
        <v>96</v>
      </c>
      <c r="W452" s="0" t="s">
        <v>155</v>
      </c>
      <c r="X452" s="0" t="s">
        <v>98</v>
      </c>
      <c r="Y452" s="0" t="s">
        <v>58</v>
      </c>
      <c r="Z452" s="0" t="s">
        <v>2329</v>
      </c>
      <c r="AA452" s="0" t="s">
        <v>161</v>
      </c>
      <c r="AB452" s="5" t="n">
        <v>20000</v>
      </c>
      <c r="AC452" s="5" t="n">
        <v>40000</v>
      </c>
      <c r="AD452" s="0" t="s">
        <v>63</v>
      </c>
      <c r="AE452" s="5" t="n">
        <v>5000</v>
      </c>
      <c r="AF452" s="0" t="s">
        <v>184</v>
      </c>
      <c r="AG452" s="7" t="s">
        <v>2330</v>
      </c>
      <c r="AH452" s="0" t="s">
        <v>50</v>
      </c>
      <c r="AI452" s="0" t="s">
        <v>2331</v>
      </c>
      <c r="AJ452" s="0" t="s">
        <v>2320</v>
      </c>
      <c r="AK452" s="0" t="s">
        <v>2344</v>
      </c>
      <c r="AL452" s="0" t="s">
        <v>2344</v>
      </c>
      <c r="AM452" s="0" t="s">
        <v>2344</v>
      </c>
      <c r="AN452" s="0" t="s">
        <v>64</v>
      </c>
      <c r="AO452" s="0" t="s">
        <v>50</v>
      </c>
    </row>
    <row r="453" customFormat="false" ht="15" hidden="false" customHeight="false" outlineLevel="0" collapsed="false">
      <c r="A453" s="0" t="s">
        <v>1174</v>
      </c>
      <c r="B453" s="2" t="s">
        <v>2423</v>
      </c>
      <c r="C453" s="0" t="s">
        <v>66</v>
      </c>
      <c r="D453" s="0" t="n">
        <v>8053756742</v>
      </c>
      <c r="E453" s="0" t="s">
        <v>122</v>
      </c>
      <c r="F453" s="0" t="s">
        <v>2316</v>
      </c>
      <c r="G453" s="0" t="s">
        <v>1175</v>
      </c>
      <c r="H453" s="0" t="s">
        <v>134</v>
      </c>
      <c r="I453" s="3" t="s">
        <v>2325</v>
      </c>
      <c r="J453" s="0" t="s">
        <v>2349</v>
      </c>
      <c r="K453" s="0" t="s">
        <v>90</v>
      </c>
      <c r="L453" s="4" t="n">
        <v>57424</v>
      </c>
      <c r="M453" s="0" t="s">
        <v>49</v>
      </c>
      <c r="N453" s="0" t="s">
        <v>63</v>
      </c>
      <c r="O453" s="5" t="n">
        <v>5</v>
      </c>
      <c r="P453" s="0" t="n">
        <v>2</v>
      </c>
      <c r="Q453" s="0" t="s">
        <v>51</v>
      </c>
      <c r="R453" s="0" t="s">
        <v>52</v>
      </c>
      <c r="S453" s="0" t="s">
        <v>2340</v>
      </c>
      <c r="T453" s="0" t="s">
        <v>75</v>
      </c>
      <c r="U453" s="5" t="n">
        <v>37.6744186046512</v>
      </c>
      <c r="V453" s="0" t="s">
        <v>2336</v>
      </c>
      <c r="W453" s="0" t="s">
        <v>148</v>
      </c>
      <c r="X453" s="0" t="s">
        <v>78</v>
      </c>
      <c r="Y453" s="0" t="s">
        <v>114</v>
      </c>
      <c r="Z453" s="0" t="s">
        <v>2329</v>
      </c>
      <c r="AA453" s="0" t="s">
        <v>2329</v>
      </c>
      <c r="AB453" s="5" t="n">
        <v>30000</v>
      </c>
      <c r="AC453" s="5" t="n">
        <v>35000</v>
      </c>
      <c r="AD453" s="0" t="s">
        <v>63</v>
      </c>
      <c r="AE453" s="5" t="n">
        <v>5000</v>
      </c>
      <c r="AF453" s="0" t="s">
        <v>60</v>
      </c>
      <c r="AG453" s="7" t="s">
        <v>1180</v>
      </c>
      <c r="AH453" s="0" t="s">
        <v>50</v>
      </c>
      <c r="AI453" s="0" t="s">
        <v>171</v>
      </c>
      <c r="AJ453" s="0" t="s">
        <v>172</v>
      </c>
      <c r="AK453" s="0" t="s">
        <v>2344</v>
      </c>
      <c r="AL453" s="0" t="s">
        <v>50</v>
      </c>
      <c r="AM453" s="0" t="s">
        <v>63</v>
      </c>
      <c r="AN453" s="0" t="s">
        <v>2318</v>
      </c>
      <c r="AO453" s="0" t="s">
        <v>2359</v>
      </c>
    </row>
    <row r="454" customFormat="false" ht="15" hidden="false" customHeight="false" outlineLevel="0" collapsed="false">
      <c r="A454" s="0" t="s">
        <v>1176</v>
      </c>
      <c r="B454" s="2" t="s">
        <v>2497</v>
      </c>
      <c r="C454" s="0" t="s">
        <v>163</v>
      </c>
      <c r="D454" s="0" t="n">
        <v>8065042162</v>
      </c>
      <c r="E454" s="0" t="s">
        <v>122</v>
      </c>
      <c r="F454" s="0" t="s">
        <v>2316</v>
      </c>
      <c r="G454" s="0" t="s">
        <v>1177</v>
      </c>
      <c r="H454" s="0" t="s">
        <v>134</v>
      </c>
      <c r="I454" s="3" t="s">
        <v>2342</v>
      </c>
      <c r="J454" s="0" t="s">
        <v>2341</v>
      </c>
      <c r="K454" s="0" t="s">
        <v>90</v>
      </c>
      <c r="L454" s="4" t="n">
        <v>90511</v>
      </c>
      <c r="M454" s="0" t="s">
        <v>110</v>
      </c>
      <c r="N454" s="0" t="s">
        <v>50</v>
      </c>
      <c r="O454" s="5" t="n">
        <v>3</v>
      </c>
      <c r="P454" s="0" t="n">
        <v>2.2</v>
      </c>
      <c r="Q454" s="0" t="s">
        <v>51</v>
      </c>
      <c r="R454" s="0" t="s">
        <v>93</v>
      </c>
      <c r="S454" s="0" t="s">
        <v>2340</v>
      </c>
      <c r="T454" s="0" t="s">
        <v>54</v>
      </c>
      <c r="U454" s="5" t="n">
        <v>45</v>
      </c>
      <c r="V454" s="0" t="s">
        <v>2336</v>
      </c>
      <c r="W454" s="0" t="s">
        <v>2337</v>
      </c>
      <c r="X454" s="0" t="s">
        <v>98</v>
      </c>
      <c r="Y454" s="0" t="s">
        <v>114</v>
      </c>
      <c r="Z454" s="0" t="s">
        <v>2326</v>
      </c>
      <c r="AA454" s="0" t="s">
        <v>161</v>
      </c>
      <c r="AB454" s="5" t="n">
        <v>25000</v>
      </c>
      <c r="AC454" s="5" t="n">
        <v>30000</v>
      </c>
      <c r="AD454" s="0" t="s">
        <v>63</v>
      </c>
      <c r="AE454" s="5" t="n">
        <v>0</v>
      </c>
      <c r="AF454" s="0" t="s">
        <v>130</v>
      </c>
      <c r="AG454" s="7" t="s">
        <v>348</v>
      </c>
      <c r="AH454" s="0" t="s">
        <v>2329</v>
      </c>
      <c r="AI454" s="0" t="s">
        <v>2331</v>
      </c>
      <c r="AJ454" s="0" t="s">
        <v>2331</v>
      </c>
      <c r="AK454" s="0" t="s">
        <v>63</v>
      </c>
      <c r="AL454" s="0" t="s">
        <v>50</v>
      </c>
      <c r="AM454" s="0" t="s">
        <v>2344</v>
      </c>
      <c r="AN454" s="0" t="s">
        <v>2321</v>
      </c>
      <c r="AO454" s="0" t="s">
        <v>50</v>
      </c>
    </row>
    <row r="455" customFormat="false" ht="15" hidden="false" customHeight="false" outlineLevel="0" collapsed="false">
      <c r="A455" s="0" t="s">
        <v>1178</v>
      </c>
      <c r="B455" s="2" t="s">
        <v>2422</v>
      </c>
      <c r="C455" s="0" t="s">
        <v>163</v>
      </c>
      <c r="D455" s="0" t="n">
        <v>8070523603</v>
      </c>
      <c r="E455" s="0" t="s">
        <v>139</v>
      </c>
      <c r="F455" s="0" t="s">
        <v>2323</v>
      </c>
      <c r="G455" s="0" t="s">
        <v>1179</v>
      </c>
      <c r="H455" s="0" t="s">
        <v>69</v>
      </c>
      <c r="I455" s="3" t="s">
        <v>2325</v>
      </c>
      <c r="J455" s="0" t="s">
        <v>189</v>
      </c>
      <c r="K455" s="0" t="s">
        <v>71</v>
      </c>
      <c r="L455" s="4" t="n">
        <v>31227</v>
      </c>
      <c r="M455" s="0" t="s">
        <v>49</v>
      </c>
      <c r="N455" s="0" t="s">
        <v>50</v>
      </c>
      <c r="O455" s="5" t="n">
        <v>3.07284768211921</v>
      </c>
      <c r="P455" s="0" t="n">
        <v>4.1</v>
      </c>
      <c r="Q455" s="0" t="s">
        <v>92</v>
      </c>
      <c r="R455" s="0" t="s">
        <v>73</v>
      </c>
      <c r="S455" s="0" t="s">
        <v>2340</v>
      </c>
      <c r="T455" s="0" t="s">
        <v>2343</v>
      </c>
      <c r="U455" s="5" t="n">
        <v>30</v>
      </c>
      <c r="V455" s="0" t="s">
        <v>2352</v>
      </c>
      <c r="W455" s="0" t="s">
        <v>155</v>
      </c>
      <c r="X455" s="0" t="s">
        <v>128</v>
      </c>
      <c r="Y455" s="0" t="s">
        <v>114</v>
      </c>
      <c r="Z455" s="0" t="s">
        <v>2329</v>
      </c>
      <c r="AA455" s="0" t="s">
        <v>161</v>
      </c>
      <c r="AB455" s="5" t="n">
        <v>20000</v>
      </c>
      <c r="AC455" s="5" t="n">
        <v>30000</v>
      </c>
      <c r="AD455" s="0" t="s">
        <v>50</v>
      </c>
      <c r="AE455" s="5" t="n">
        <v>5000</v>
      </c>
      <c r="AF455" s="0" t="s">
        <v>130</v>
      </c>
      <c r="AG455" s="7" t="s">
        <v>1180</v>
      </c>
      <c r="AH455" s="0" t="s">
        <v>63</v>
      </c>
      <c r="AI455" s="0" t="s">
        <v>2331</v>
      </c>
      <c r="AJ455" s="0" t="s">
        <v>117</v>
      </c>
      <c r="AK455" s="0" t="s">
        <v>63</v>
      </c>
      <c r="AL455" s="0" t="s">
        <v>63</v>
      </c>
      <c r="AM455" s="0" t="s">
        <v>50</v>
      </c>
      <c r="AN455" s="0" t="s">
        <v>64</v>
      </c>
      <c r="AO455" s="0" t="s">
        <v>50</v>
      </c>
    </row>
    <row r="456" customFormat="false" ht="15" hidden="false" customHeight="false" outlineLevel="0" collapsed="false">
      <c r="A456" s="0" t="s">
        <v>1181</v>
      </c>
      <c r="B456" s="2" t="s">
        <v>2416</v>
      </c>
      <c r="C456" s="0" t="s">
        <v>105</v>
      </c>
      <c r="D456" s="0" t="n">
        <v>8032124330</v>
      </c>
      <c r="E456" s="0" t="s">
        <v>139</v>
      </c>
      <c r="F456" s="0" t="s">
        <v>2323</v>
      </c>
      <c r="G456" s="0" t="s">
        <v>1182</v>
      </c>
      <c r="H456" s="0" t="s">
        <v>134</v>
      </c>
      <c r="I456" s="3" t="s">
        <v>2317</v>
      </c>
      <c r="J456" s="0" t="s">
        <v>2341</v>
      </c>
      <c r="K456" s="0" t="s">
        <v>90</v>
      </c>
      <c r="L456" s="4" t="n">
        <v>72824</v>
      </c>
      <c r="M456" s="0" t="s">
        <v>110</v>
      </c>
      <c r="N456" s="0" t="s">
        <v>50</v>
      </c>
      <c r="O456" s="5" t="n">
        <v>3</v>
      </c>
      <c r="P456" s="0" t="n">
        <v>4.5</v>
      </c>
      <c r="Q456" s="0" t="s">
        <v>111</v>
      </c>
      <c r="R456" s="0" t="s">
        <v>93</v>
      </c>
      <c r="S456" s="0" t="s">
        <v>53</v>
      </c>
      <c r="T456" s="0" t="s">
        <v>95</v>
      </c>
      <c r="U456" s="5" t="n">
        <v>45</v>
      </c>
      <c r="V456" s="0" t="s">
        <v>2336</v>
      </c>
      <c r="W456" s="0" t="s">
        <v>2337</v>
      </c>
      <c r="X456" s="0" t="s">
        <v>98</v>
      </c>
      <c r="Y456" s="0" t="s">
        <v>196</v>
      </c>
      <c r="Z456" s="0" t="s">
        <v>2329</v>
      </c>
      <c r="AA456" s="0" t="s">
        <v>161</v>
      </c>
      <c r="AB456" s="5" t="n">
        <v>27592.5925925926</v>
      </c>
      <c r="AC456" s="5" t="n">
        <v>20000</v>
      </c>
      <c r="AD456" s="0" t="s">
        <v>63</v>
      </c>
      <c r="AE456" s="5" t="n">
        <v>10000</v>
      </c>
      <c r="AF456" s="0" t="s">
        <v>60</v>
      </c>
      <c r="AG456" s="7" t="s">
        <v>2455</v>
      </c>
      <c r="AH456" s="0" t="s">
        <v>2329</v>
      </c>
      <c r="AI456" s="0" t="s">
        <v>116</v>
      </c>
      <c r="AJ456" s="0" t="s">
        <v>172</v>
      </c>
      <c r="AK456" s="0" t="s">
        <v>63</v>
      </c>
      <c r="AL456" s="0" t="s">
        <v>63</v>
      </c>
      <c r="AM456" s="0" t="s">
        <v>63</v>
      </c>
      <c r="AN456" s="0" t="s">
        <v>2321</v>
      </c>
      <c r="AO456" s="0" t="s">
        <v>2359</v>
      </c>
    </row>
    <row r="457" customFormat="false" ht="15" hidden="false" customHeight="false" outlineLevel="0" collapsed="false">
      <c r="A457" s="0" t="s">
        <v>1183</v>
      </c>
      <c r="B457" s="2" t="s">
        <v>2434</v>
      </c>
      <c r="C457" s="0" t="s">
        <v>121</v>
      </c>
      <c r="D457" s="0" t="n">
        <v>8043925761</v>
      </c>
      <c r="E457" s="0" t="s">
        <v>67</v>
      </c>
      <c r="F457" s="0" t="s">
        <v>2316</v>
      </c>
      <c r="G457" s="0" t="s">
        <v>1184</v>
      </c>
      <c r="H457" s="0" t="s">
        <v>107</v>
      </c>
      <c r="I457" s="3" t="s">
        <v>2317</v>
      </c>
      <c r="J457" s="0" t="s">
        <v>2339</v>
      </c>
      <c r="K457" s="0" t="s">
        <v>71</v>
      </c>
      <c r="L457" s="4" t="n">
        <v>40252</v>
      </c>
      <c r="M457" s="0" t="s">
        <v>49</v>
      </c>
      <c r="N457" s="0" t="s">
        <v>50</v>
      </c>
      <c r="O457" s="5" t="n">
        <v>2</v>
      </c>
      <c r="P457" s="0" t="n">
        <v>4.1</v>
      </c>
      <c r="Q457" s="0" t="s">
        <v>51</v>
      </c>
      <c r="R457" s="0" t="s">
        <v>93</v>
      </c>
      <c r="S457" s="0" t="s">
        <v>2366</v>
      </c>
      <c r="T457" s="0" t="s">
        <v>147</v>
      </c>
      <c r="U457" s="5" t="n">
        <v>45</v>
      </c>
      <c r="V457" s="0" t="s">
        <v>55</v>
      </c>
      <c r="W457" s="0" t="s">
        <v>148</v>
      </c>
      <c r="X457" s="0" t="s">
        <v>128</v>
      </c>
      <c r="Y457" s="0" t="s">
        <v>58</v>
      </c>
      <c r="Z457" s="0" t="s">
        <v>2326</v>
      </c>
      <c r="AA457" s="0" t="s">
        <v>79</v>
      </c>
      <c r="AB457" s="5" t="n">
        <v>26500</v>
      </c>
      <c r="AC457" s="5" t="n">
        <v>30000</v>
      </c>
      <c r="AD457" s="0" t="s">
        <v>50</v>
      </c>
      <c r="AE457" s="5" t="n">
        <v>0</v>
      </c>
      <c r="AF457" s="0" t="s">
        <v>60</v>
      </c>
      <c r="AG457" s="7" t="s">
        <v>974</v>
      </c>
      <c r="AH457" s="0" t="s">
        <v>50</v>
      </c>
      <c r="AI457" s="0" t="s">
        <v>2331</v>
      </c>
      <c r="AJ457" s="0" t="s">
        <v>172</v>
      </c>
      <c r="AK457" s="0" t="s">
        <v>50</v>
      </c>
      <c r="AL457" s="0" t="s">
        <v>2344</v>
      </c>
      <c r="AM457" s="0" t="s">
        <v>50</v>
      </c>
      <c r="AN457" s="0" t="s">
        <v>2318</v>
      </c>
      <c r="AO457" s="0" t="s">
        <v>50</v>
      </c>
    </row>
    <row r="458" customFormat="false" ht="15" hidden="false" customHeight="false" outlineLevel="0" collapsed="false">
      <c r="A458" s="0" t="s">
        <v>1185</v>
      </c>
      <c r="B458" s="2" t="s">
        <v>173</v>
      </c>
      <c r="C458" s="0" t="s">
        <v>121</v>
      </c>
      <c r="D458" s="0" t="n">
        <v>8037833011</v>
      </c>
      <c r="E458" s="0" t="s">
        <v>122</v>
      </c>
      <c r="F458" s="0" t="s">
        <v>2316</v>
      </c>
      <c r="G458" s="0" t="s">
        <v>1186</v>
      </c>
      <c r="H458" s="0" t="s">
        <v>134</v>
      </c>
      <c r="I458" s="3" t="s">
        <v>2325</v>
      </c>
      <c r="J458" s="0" t="s">
        <v>2339</v>
      </c>
      <c r="K458" s="0" t="s">
        <v>109</v>
      </c>
      <c r="L458" s="4" t="n">
        <v>83076</v>
      </c>
      <c r="M458" s="0" t="s">
        <v>2333</v>
      </c>
      <c r="N458" s="0" t="s">
        <v>50</v>
      </c>
      <c r="O458" s="5" t="n">
        <v>5</v>
      </c>
      <c r="P458" s="0" t="n">
        <v>3.7</v>
      </c>
      <c r="Q458" s="0" t="s">
        <v>125</v>
      </c>
      <c r="R458" s="0" t="s">
        <v>93</v>
      </c>
      <c r="S458" s="0" t="s">
        <v>53</v>
      </c>
      <c r="T458" s="0" t="s">
        <v>95</v>
      </c>
      <c r="U458" s="5" t="n">
        <v>60</v>
      </c>
      <c r="V458" s="0" t="s">
        <v>2352</v>
      </c>
      <c r="W458" s="0" t="s">
        <v>2328</v>
      </c>
      <c r="X458" s="0" t="s">
        <v>98</v>
      </c>
      <c r="Y458" s="0" t="s">
        <v>58</v>
      </c>
      <c r="Z458" s="0" t="s">
        <v>2329</v>
      </c>
      <c r="AA458" s="0" t="s">
        <v>79</v>
      </c>
      <c r="AB458" s="5" t="n">
        <v>40000</v>
      </c>
      <c r="AC458" s="5" t="n">
        <v>30000</v>
      </c>
      <c r="AD458" s="0" t="s">
        <v>50</v>
      </c>
      <c r="AE458" s="5" t="n">
        <v>0</v>
      </c>
      <c r="AF458" s="0" t="s">
        <v>130</v>
      </c>
      <c r="AG458" s="7" t="s">
        <v>2498</v>
      </c>
      <c r="AH458" s="0" t="s">
        <v>50</v>
      </c>
      <c r="AI458" s="0" t="s">
        <v>171</v>
      </c>
      <c r="AJ458" s="0" t="s">
        <v>2320</v>
      </c>
      <c r="AK458" s="0" t="s">
        <v>2344</v>
      </c>
      <c r="AL458" s="0" t="s">
        <v>63</v>
      </c>
      <c r="AM458" s="0" t="s">
        <v>63</v>
      </c>
      <c r="AN458" s="0" t="s">
        <v>2321</v>
      </c>
      <c r="AO458" s="0" t="s">
        <v>50</v>
      </c>
    </row>
    <row r="459" customFormat="false" ht="15" hidden="false" customHeight="false" outlineLevel="0" collapsed="false">
      <c r="A459" s="0" t="s">
        <v>1187</v>
      </c>
      <c r="B459" s="2" t="s">
        <v>963</v>
      </c>
      <c r="C459" s="0" t="s">
        <v>105</v>
      </c>
      <c r="D459" s="0" t="n">
        <v>8077922837</v>
      </c>
      <c r="E459" s="0" t="s">
        <v>85</v>
      </c>
      <c r="F459" s="0" t="s">
        <v>2319</v>
      </c>
      <c r="G459" s="0" t="s">
        <v>1188</v>
      </c>
      <c r="H459" s="0" t="s">
        <v>45</v>
      </c>
      <c r="I459" s="3" t="s">
        <v>87</v>
      </c>
      <c r="J459" s="0" t="s">
        <v>2339</v>
      </c>
      <c r="K459" s="0" t="s">
        <v>109</v>
      </c>
      <c r="L459" s="4" t="n">
        <v>74861</v>
      </c>
      <c r="M459" s="0" t="s">
        <v>2333</v>
      </c>
      <c r="N459" s="0" t="s">
        <v>50</v>
      </c>
      <c r="O459" s="5" t="n">
        <v>3</v>
      </c>
      <c r="P459" s="0" t="n">
        <v>5.9</v>
      </c>
      <c r="Q459" s="0" t="s">
        <v>125</v>
      </c>
      <c r="R459" s="0" t="s">
        <v>73</v>
      </c>
      <c r="S459" s="0" t="s">
        <v>53</v>
      </c>
      <c r="T459" s="0" t="s">
        <v>2343</v>
      </c>
      <c r="U459" s="5" t="n">
        <v>15</v>
      </c>
      <c r="V459" s="0" t="s">
        <v>96</v>
      </c>
      <c r="W459" s="0" t="s">
        <v>2337</v>
      </c>
      <c r="X459" s="0" t="s">
        <v>128</v>
      </c>
      <c r="Y459" s="0" t="s">
        <v>58</v>
      </c>
      <c r="Z459" s="0" t="s">
        <v>2326</v>
      </c>
      <c r="AA459" s="0" t="s">
        <v>149</v>
      </c>
      <c r="AB459" s="5" t="n">
        <v>25000</v>
      </c>
      <c r="AC459" s="5" t="n">
        <v>40000</v>
      </c>
      <c r="AD459" s="0" t="s">
        <v>50</v>
      </c>
      <c r="AE459" s="5" t="n">
        <v>5000</v>
      </c>
      <c r="AF459" s="0" t="s">
        <v>184</v>
      </c>
      <c r="AG459" s="7" t="s">
        <v>838</v>
      </c>
      <c r="AH459" s="0" t="s">
        <v>63</v>
      </c>
      <c r="AI459" s="0" t="s">
        <v>171</v>
      </c>
      <c r="AJ459" s="0" t="s">
        <v>2331</v>
      </c>
      <c r="AK459" s="0" t="s">
        <v>2344</v>
      </c>
      <c r="AL459" s="0" t="s">
        <v>2344</v>
      </c>
      <c r="AM459" s="0" t="s">
        <v>2344</v>
      </c>
      <c r="AN459" s="0" t="s">
        <v>2318</v>
      </c>
      <c r="AO459" s="0" t="s">
        <v>63</v>
      </c>
    </row>
    <row r="460" customFormat="false" ht="15" hidden="false" customHeight="false" outlineLevel="0" collapsed="false">
      <c r="A460" s="0" t="s">
        <v>1189</v>
      </c>
      <c r="B460" s="2" t="s">
        <v>2489</v>
      </c>
      <c r="C460" s="0" t="s">
        <v>163</v>
      </c>
      <c r="D460" s="0" t="n">
        <v>8015990830</v>
      </c>
      <c r="E460" s="0" t="s">
        <v>85</v>
      </c>
      <c r="F460" s="0" t="s">
        <v>2319</v>
      </c>
      <c r="G460" s="0" t="s">
        <v>1190</v>
      </c>
      <c r="H460" s="0" t="s">
        <v>45</v>
      </c>
      <c r="I460" s="3" t="s">
        <v>2325</v>
      </c>
      <c r="J460" s="0" t="s">
        <v>47</v>
      </c>
      <c r="K460" s="0" t="s">
        <v>71</v>
      </c>
      <c r="L460" s="4" t="n">
        <v>46428</v>
      </c>
      <c r="M460" s="0" t="s">
        <v>110</v>
      </c>
      <c r="N460" s="0" t="s">
        <v>63</v>
      </c>
      <c r="O460" s="5" t="n">
        <v>3.07126948775056</v>
      </c>
      <c r="P460" s="0" t="n">
        <v>5.9</v>
      </c>
      <c r="Q460" s="0" t="s">
        <v>92</v>
      </c>
      <c r="R460" s="0" t="s">
        <v>73</v>
      </c>
      <c r="S460" s="0" t="s">
        <v>2340</v>
      </c>
      <c r="T460" s="0" t="s">
        <v>2343</v>
      </c>
      <c r="U460" s="5" t="n">
        <v>45</v>
      </c>
      <c r="V460" s="0" t="s">
        <v>2352</v>
      </c>
      <c r="W460" s="0" t="s">
        <v>155</v>
      </c>
      <c r="X460" s="0" t="s">
        <v>78</v>
      </c>
      <c r="Y460" s="0" t="s">
        <v>196</v>
      </c>
      <c r="Z460" s="0" t="s">
        <v>2324</v>
      </c>
      <c r="AA460" s="0" t="s">
        <v>2329</v>
      </c>
      <c r="AB460" s="5" t="n">
        <v>15000</v>
      </c>
      <c r="AC460" s="5" t="n">
        <v>30000</v>
      </c>
      <c r="AD460" s="0" t="s">
        <v>50</v>
      </c>
      <c r="AE460" s="5" t="n">
        <v>10000</v>
      </c>
      <c r="AF460" s="0" t="s">
        <v>184</v>
      </c>
      <c r="AG460" s="7" t="s">
        <v>2330</v>
      </c>
      <c r="AH460" s="0" t="s">
        <v>2329</v>
      </c>
      <c r="AI460" s="0" t="s">
        <v>171</v>
      </c>
      <c r="AJ460" s="0" t="s">
        <v>2331</v>
      </c>
      <c r="AK460" s="0" t="s">
        <v>50</v>
      </c>
      <c r="AL460" s="0" t="s">
        <v>2344</v>
      </c>
      <c r="AM460" s="0" t="s">
        <v>2344</v>
      </c>
      <c r="AN460" s="0" t="s">
        <v>2321</v>
      </c>
      <c r="AO460" s="0" t="s">
        <v>50</v>
      </c>
    </row>
    <row r="461" customFormat="false" ht="15" hidden="false" customHeight="false" outlineLevel="0" collapsed="false">
      <c r="A461" s="0" t="s">
        <v>1191</v>
      </c>
      <c r="B461" s="2" t="s">
        <v>173</v>
      </c>
      <c r="C461" s="0" t="s">
        <v>163</v>
      </c>
      <c r="D461" s="0" t="n">
        <v>8072031070</v>
      </c>
      <c r="E461" s="0" t="s">
        <v>67</v>
      </c>
      <c r="F461" s="0" t="s">
        <v>2316</v>
      </c>
      <c r="G461" s="0" t="s">
        <v>1192</v>
      </c>
      <c r="H461" s="0" t="s">
        <v>87</v>
      </c>
      <c r="I461" s="3" t="s">
        <v>87</v>
      </c>
      <c r="J461" s="0" t="s">
        <v>2347</v>
      </c>
      <c r="K461" s="0" t="s">
        <v>71</v>
      </c>
      <c r="L461" s="4" t="n">
        <v>17904</v>
      </c>
      <c r="M461" s="0" t="s">
        <v>49</v>
      </c>
      <c r="N461" s="0" t="s">
        <v>50</v>
      </c>
      <c r="O461" s="5" t="n">
        <v>1</v>
      </c>
      <c r="P461" s="0" t="n">
        <v>5.2</v>
      </c>
      <c r="Q461" s="0" t="s">
        <v>125</v>
      </c>
      <c r="R461" s="0" t="s">
        <v>52</v>
      </c>
      <c r="S461" s="0" t="s">
        <v>2340</v>
      </c>
      <c r="T461" s="0" t="s">
        <v>75</v>
      </c>
      <c r="U461" s="5" t="n">
        <v>15</v>
      </c>
      <c r="V461" s="0" t="s">
        <v>2352</v>
      </c>
      <c r="W461" s="0" t="s">
        <v>148</v>
      </c>
      <c r="X461" s="0" t="s">
        <v>78</v>
      </c>
      <c r="Y461" s="0" t="s">
        <v>196</v>
      </c>
      <c r="Z461" s="0" t="s">
        <v>2329</v>
      </c>
      <c r="AA461" s="0" t="s">
        <v>79</v>
      </c>
      <c r="AB461" s="5" t="n">
        <v>40000</v>
      </c>
      <c r="AC461" s="5" t="n">
        <v>40000</v>
      </c>
      <c r="AD461" s="0" t="s">
        <v>63</v>
      </c>
      <c r="AE461" s="5" t="n">
        <v>5000</v>
      </c>
      <c r="AF461" s="0" t="s">
        <v>60</v>
      </c>
      <c r="AG461" s="7" t="s">
        <v>1155</v>
      </c>
      <c r="AH461" s="0" t="s">
        <v>63</v>
      </c>
      <c r="AI461" s="0" t="s">
        <v>116</v>
      </c>
      <c r="AJ461" s="0" t="s">
        <v>117</v>
      </c>
      <c r="AK461" s="0" t="s">
        <v>63</v>
      </c>
      <c r="AL461" s="0" t="s">
        <v>50</v>
      </c>
      <c r="AM461" s="0" t="s">
        <v>2344</v>
      </c>
      <c r="AN461" s="0" t="s">
        <v>64</v>
      </c>
      <c r="AO461" s="0" t="s">
        <v>2359</v>
      </c>
    </row>
    <row r="462" customFormat="false" ht="15" hidden="false" customHeight="false" outlineLevel="0" collapsed="false">
      <c r="A462" s="0" t="s">
        <v>1193</v>
      </c>
      <c r="B462" s="2" t="s">
        <v>1934</v>
      </c>
      <c r="C462" s="0" t="s">
        <v>163</v>
      </c>
      <c r="D462" s="0" t="n">
        <v>8013586013</v>
      </c>
      <c r="E462" s="0" t="s">
        <v>139</v>
      </c>
      <c r="F462" s="0" t="s">
        <v>2323</v>
      </c>
      <c r="G462" s="0" t="s">
        <v>1194</v>
      </c>
      <c r="H462" s="0" t="s">
        <v>107</v>
      </c>
      <c r="I462" s="3" t="s">
        <v>2317</v>
      </c>
      <c r="J462" s="0" t="s">
        <v>189</v>
      </c>
      <c r="K462" s="0" t="s">
        <v>109</v>
      </c>
      <c r="L462" s="4" t="n">
        <v>31804</v>
      </c>
      <c r="M462" s="0" t="s">
        <v>49</v>
      </c>
      <c r="N462" s="0" t="s">
        <v>63</v>
      </c>
      <c r="O462" s="5" t="n">
        <v>4</v>
      </c>
      <c r="P462" s="0" t="n">
        <v>3.2</v>
      </c>
      <c r="Q462" s="0" t="s">
        <v>125</v>
      </c>
      <c r="R462" s="0" t="s">
        <v>93</v>
      </c>
      <c r="S462" s="0" t="s">
        <v>53</v>
      </c>
      <c r="T462" s="0" t="s">
        <v>95</v>
      </c>
      <c r="U462" s="5" t="n">
        <v>60</v>
      </c>
      <c r="V462" s="0" t="s">
        <v>2336</v>
      </c>
      <c r="W462" s="0" t="s">
        <v>148</v>
      </c>
      <c r="X462" s="0" t="s">
        <v>78</v>
      </c>
      <c r="Y462" s="0" t="s">
        <v>196</v>
      </c>
      <c r="Z462" s="0" t="s">
        <v>59</v>
      </c>
      <c r="AA462" s="0" t="s">
        <v>79</v>
      </c>
      <c r="AB462" s="5" t="n">
        <v>20000</v>
      </c>
      <c r="AC462" s="5" t="n">
        <v>40000</v>
      </c>
      <c r="AD462" s="0" t="s">
        <v>63</v>
      </c>
      <c r="AE462" s="5" t="n">
        <v>0</v>
      </c>
      <c r="AF462" s="0" t="s">
        <v>184</v>
      </c>
      <c r="AG462" s="7" t="s">
        <v>816</v>
      </c>
      <c r="AH462" s="0" t="s">
        <v>50</v>
      </c>
      <c r="AI462" s="0" t="s">
        <v>2331</v>
      </c>
      <c r="AJ462" s="0" t="s">
        <v>2331</v>
      </c>
      <c r="AK462" s="0" t="s">
        <v>63</v>
      </c>
      <c r="AL462" s="0" t="s">
        <v>63</v>
      </c>
      <c r="AM462" s="0" t="s">
        <v>63</v>
      </c>
      <c r="AN462" s="0" t="s">
        <v>2318</v>
      </c>
      <c r="AO462" s="0" t="s">
        <v>2359</v>
      </c>
    </row>
    <row r="463" customFormat="false" ht="15" hidden="false" customHeight="false" outlineLevel="0" collapsed="false">
      <c r="A463" s="0" t="s">
        <v>1195</v>
      </c>
      <c r="B463" s="2" t="s">
        <v>2426</v>
      </c>
      <c r="C463" s="0" t="s">
        <v>121</v>
      </c>
      <c r="D463" s="0" t="n">
        <v>8019824132</v>
      </c>
      <c r="E463" s="0" t="s">
        <v>122</v>
      </c>
      <c r="F463" s="0" t="s">
        <v>2316</v>
      </c>
      <c r="G463" s="0" t="s">
        <v>1196</v>
      </c>
      <c r="H463" s="0" t="s">
        <v>134</v>
      </c>
      <c r="I463" s="3" t="s">
        <v>2317</v>
      </c>
      <c r="J463" s="0" t="s">
        <v>189</v>
      </c>
      <c r="K463" s="0" t="s">
        <v>109</v>
      </c>
      <c r="L463" s="4" t="n">
        <v>88520</v>
      </c>
      <c r="M463" s="0" t="s">
        <v>110</v>
      </c>
      <c r="N463" s="0" t="s">
        <v>50</v>
      </c>
      <c r="O463" s="5" t="n">
        <v>1</v>
      </c>
      <c r="P463" s="0" t="n">
        <v>2.8</v>
      </c>
      <c r="Q463" s="0" t="s">
        <v>92</v>
      </c>
      <c r="R463" s="0" t="s">
        <v>73</v>
      </c>
      <c r="S463" s="0" t="s">
        <v>2366</v>
      </c>
      <c r="T463" s="0" t="s">
        <v>2343</v>
      </c>
      <c r="U463" s="5" t="n">
        <v>60</v>
      </c>
      <c r="V463" s="0" t="s">
        <v>2336</v>
      </c>
      <c r="W463" s="0" t="s">
        <v>155</v>
      </c>
      <c r="X463" s="0" t="s">
        <v>128</v>
      </c>
      <c r="Y463" s="0" t="s">
        <v>58</v>
      </c>
      <c r="Z463" s="0" t="s">
        <v>2329</v>
      </c>
      <c r="AA463" s="0" t="s">
        <v>149</v>
      </c>
      <c r="AB463" s="5" t="n">
        <v>15000</v>
      </c>
      <c r="AC463" s="5" t="n">
        <v>30000</v>
      </c>
      <c r="AD463" s="0" t="s">
        <v>63</v>
      </c>
      <c r="AE463" s="5" t="n">
        <v>0</v>
      </c>
      <c r="AF463" s="0" t="s">
        <v>2338</v>
      </c>
      <c r="AG463" s="7" t="s">
        <v>1197</v>
      </c>
      <c r="AH463" s="0" t="s">
        <v>2329</v>
      </c>
      <c r="AI463" s="0" t="s">
        <v>116</v>
      </c>
      <c r="AJ463" s="0" t="s">
        <v>2331</v>
      </c>
      <c r="AK463" s="0" t="s">
        <v>50</v>
      </c>
      <c r="AL463" s="0" t="s">
        <v>2344</v>
      </c>
      <c r="AM463" s="0" t="s">
        <v>2344</v>
      </c>
      <c r="AN463" s="0" t="s">
        <v>2321</v>
      </c>
      <c r="AO463" s="0" t="s">
        <v>50</v>
      </c>
    </row>
    <row r="464" customFormat="false" ht="15" hidden="false" customHeight="false" outlineLevel="0" collapsed="false">
      <c r="A464" s="0" t="s">
        <v>1198</v>
      </c>
      <c r="B464" s="2" t="s">
        <v>2438</v>
      </c>
      <c r="C464" s="0" t="s">
        <v>66</v>
      </c>
      <c r="D464" s="0" t="n">
        <v>8095747226</v>
      </c>
      <c r="E464" s="0" t="s">
        <v>139</v>
      </c>
      <c r="F464" s="0" t="s">
        <v>2323</v>
      </c>
      <c r="G464" s="0" t="s">
        <v>1199</v>
      </c>
      <c r="H464" s="0" t="s">
        <v>45</v>
      </c>
      <c r="I464" s="3" t="s">
        <v>2322</v>
      </c>
      <c r="J464" s="0" t="s">
        <v>2339</v>
      </c>
      <c r="K464" s="0" t="s">
        <v>71</v>
      </c>
      <c r="L464" s="4" t="n">
        <v>91189</v>
      </c>
      <c r="M464" s="0" t="s">
        <v>110</v>
      </c>
      <c r="N464" s="0" t="s">
        <v>63</v>
      </c>
      <c r="O464" s="5" t="n">
        <v>2</v>
      </c>
      <c r="P464" s="0" t="n">
        <v>5.8</v>
      </c>
      <c r="Q464" s="0" t="s">
        <v>92</v>
      </c>
      <c r="R464" s="0" t="s">
        <v>93</v>
      </c>
      <c r="S464" s="0" t="s">
        <v>2340</v>
      </c>
      <c r="T464" s="0" t="s">
        <v>2353</v>
      </c>
      <c r="U464" s="5" t="n">
        <v>45</v>
      </c>
      <c r="V464" s="0" t="s">
        <v>55</v>
      </c>
      <c r="W464" s="0" t="s">
        <v>2337</v>
      </c>
      <c r="X464" s="0" t="s">
        <v>128</v>
      </c>
      <c r="Y464" s="0" t="s">
        <v>99</v>
      </c>
      <c r="Z464" s="0" t="s">
        <v>2329</v>
      </c>
      <c r="AA464" s="0" t="s">
        <v>161</v>
      </c>
      <c r="AB464" s="5" t="n">
        <v>40000</v>
      </c>
      <c r="AC464" s="5" t="n">
        <v>20000</v>
      </c>
      <c r="AD464" s="0" t="s">
        <v>50</v>
      </c>
      <c r="AE464" s="5" t="n">
        <v>5000</v>
      </c>
      <c r="AF464" s="0" t="s">
        <v>60</v>
      </c>
      <c r="AG464" s="7" t="s">
        <v>2330</v>
      </c>
      <c r="AH464" s="0" t="s">
        <v>50</v>
      </c>
      <c r="AI464" s="0" t="s">
        <v>2331</v>
      </c>
      <c r="AJ464" s="0" t="s">
        <v>2320</v>
      </c>
      <c r="AK464" s="0" t="s">
        <v>63</v>
      </c>
      <c r="AL464" s="0" t="s">
        <v>2344</v>
      </c>
      <c r="AM464" s="0" t="s">
        <v>63</v>
      </c>
      <c r="AN464" s="0" t="s">
        <v>2321</v>
      </c>
      <c r="AO464" s="0" t="s">
        <v>63</v>
      </c>
    </row>
    <row r="465" customFormat="false" ht="15" hidden="false" customHeight="false" outlineLevel="0" collapsed="false">
      <c r="A465" s="0" t="s">
        <v>1201</v>
      </c>
      <c r="B465" s="2" t="s">
        <v>1200</v>
      </c>
      <c r="C465" s="0" t="s">
        <v>121</v>
      </c>
      <c r="D465" s="0" t="n">
        <v>8071995701</v>
      </c>
      <c r="E465" s="0" t="s">
        <v>122</v>
      </c>
      <c r="F465" s="0" t="s">
        <v>2316</v>
      </c>
      <c r="G465" s="0" t="s">
        <v>1202</v>
      </c>
      <c r="H465" s="0" t="s">
        <v>69</v>
      </c>
      <c r="I465" s="3" t="s">
        <v>2325</v>
      </c>
      <c r="J465" s="0" t="s">
        <v>2349</v>
      </c>
      <c r="K465" s="0" t="s">
        <v>90</v>
      </c>
      <c r="L465" s="4" t="n">
        <v>18063</v>
      </c>
      <c r="M465" s="0" t="s">
        <v>2333</v>
      </c>
      <c r="N465" s="0" t="s">
        <v>63</v>
      </c>
      <c r="O465" s="5" t="n">
        <v>2</v>
      </c>
      <c r="P465" s="0" t="n">
        <v>3.3</v>
      </c>
      <c r="Q465" s="0" t="s">
        <v>92</v>
      </c>
      <c r="R465" s="0" t="s">
        <v>93</v>
      </c>
      <c r="S465" s="0" t="s">
        <v>2340</v>
      </c>
      <c r="T465" s="0" t="s">
        <v>2343</v>
      </c>
      <c r="U465" s="5" t="n">
        <v>45</v>
      </c>
      <c r="V465" s="0" t="s">
        <v>96</v>
      </c>
      <c r="W465" s="0" t="s">
        <v>2328</v>
      </c>
      <c r="X465" s="0" t="s">
        <v>78</v>
      </c>
      <c r="Y465" s="0" t="s">
        <v>196</v>
      </c>
      <c r="Z465" s="0" t="s">
        <v>2326</v>
      </c>
      <c r="AA465" s="0" t="s">
        <v>143</v>
      </c>
      <c r="AB465" s="5" t="n">
        <v>15000</v>
      </c>
      <c r="AC465" s="5" t="n">
        <v>31521.2527964206</v>
      </c>
      <c r="AD465" s="0" t="s">
        <v>63</v>
      </c>
      <c r="AE465" s="5" t="n">
        <v>5000</v>
      </c>
      <c r="AF465" s="0" t="s">
        <v>60</v>
      </c>
      <c r="AG465" s="7" t="s">
        <v>1667</v>
      </c>
      <c r="AH465" s="0" t="s">
        <v>2329</v>
      </c>
      <c r="AI465" s="0" t="s">
        <v>2331</v>
      </c>
      <c r="AJ465" s="0" t="s">
        <v>2331</v>
      </c>
      <c r="AK465" s="0" t="s">
        <v>63</v>
      </c>
      <c r="AL465" s="0" t="s">
        <v>63</v>
      </c>
      <c r="AM465" s="0" t="s">
        <v>63</v>
      </c>
      <c r="AN465" s="0" t="s">
        <v>2321</v>
      </c>
      <c r="AO465" s="0" t="s">
        <v>63</v>
      </c>
    </row>
    <row r="466" customFormat="false" ht="15" hidden="false" customHeight="false" outlineLevel="0" collapsed="false">
      <c r="A466" s="0" t="s">
        <v>1203</v>
      </c>
      <c r="B466" s="2" t="s">
        <v>1865</v>
      </c>
      <c r="C466" s="0" t="s">
        <v>105</v>
      </c>
      <c r="D466" s="0" t="n">
        <v>8061157834</v>
      </c>
      <c r="E466" s="0" t="s">
        <v>67</v>
      </c>
      <c r="F466" s="0" t="s">
        <v>2316</v>
      </c>
      <c r="G466" s="0" t="s">
        <v>1204</v>
      </c>
      <c r="H466" s="0" t="s">
        <v>45</v>
      </c>
      <c r="I466" s="3" t="s">
        <v>2317</v>
      </c>
      <c r="J466" s="0" t="s">
        <v>2349</v>
      </c>
      <c r="K466" s="0" t="s">
        <v>71</v>
      </c>
      <c r="L466" s="4" t="n">
        <v>68079</v>
      </c>
      <c r="M466" s="0" t="s">
        <v>49</v>
      </c>
      <c r="N466" s="0" t="s">
        <v>50</v>
      </c>
      <c r="O466" s="5" t="n">
        <v>2</v>
      </c>
      <c r="P466" s="0" t="n">
        <v>2.2</v>
      </c>
      <c r="Q466" s="0" t="s">
        <v>51</v>
      </c>
      <c r="R466" s="0" t="s">
        <v>52</v>
      </c>
      <c r="S466" s="0" t="s">
        <v>53</v>
      </c>
      <c r="T466" s="0" t="s">
        <v>95</v>
      </c>
      <c r="U466" s="5" t="n">
        <v>15</v>
      </c>
      <c r="V466" s="0" t="s">
        <v>2336</v>
      </c>
      <c r="W466" s="0" t="s">
        <v>2337</v>
      </c>
      <c r="X466" s="0" t="s">
        <v>98</v>
      </c>
      <c r="Y466" s="0" t="s">
        <v>58</v>
      </c>
      <c r="Z466" s="0" t="s">
        <v>177</v>
      </c>
      <c r="AA466" s="0" t="s">
        <v>79</v>
      </c>
      <c r="AB466" s="5" t="n">
        <v>26933.3333333333</v>
      </c>
      <c r="AC466" s="5" t="n">
        <v>30000</v>
      </c>
      <c r="AD466" s="0" t="s">
        <v>50</v>
      </c>
      <c r="AE466" s="5" t="n">
        <v>0</v>
      </c>
      <c r="AF466" s="0" t="s">
        <v>184</v>
      </c>
      <c r="AG466" s="7" t="s">
        <v>2330</v>
      </c>
      <c r="AH466" s="0" t="s">
        <v>50</v>
      </c>
      <c r="AI466" s="0" t="s">
        <v>116</v>
      </c>
      <c r="AJ466" s="0" t="s">
        <v>2331</v>
      </c>
      <c r="AK466" s="0" t="s">
        <v>63</v>
      </c>
      <c r="AL466" s="0" t="s">
        <v>63</v>
      </c>
      <c r="AM466" s="0" t="s">
        <v>63</v>
      </c>
      <c r="AN466" s="0" t="s">
        <v>2321</v>
      </c>
      <c r="AO466" s="0" t="s">
        <v>50</v>
      </c>
    </row>
    <row r="467" customFormat="false" ht="15" hidden="false" customHeight="false" outlineLevel="0" collapsed="false">
      <c r="A467" s="0" t="s">
        <v>1205</v>
      </c>
      <c r="B467" s="2" t="s">
        <v>869</v>
      </c>
      <c r="C467" s="0" t="s">
        <v>66</v>
      </c>
      <c r="D467" s="0" t="n">
        <v>8056124957</v>
      </c>
      <c r="E467" s="0" t="s">
        <v>43</v>
      </c>
      <c r="F467" s="0" t="s">
        <v>2315</v>
      </c>
      <c r="G467" s="0" t="s">
        <v>1206</v>
      </c>
      <c r="H467" s="0" t="s">
        <v>134</v>
      </c>
      <c r="I467" s="3" t="s">
        <v>2317</v>
      </c>
      <c r="J467" s="0" t="s">
        <v>47</v>
      </c>
      <c r="K467" s="0" t="s">
        <v>109</v>
      </c>
      <c r="L467" s="4" t="n">
        <v>104219</v>
      </c>
      <c r="M467" s="0" t="s">
        <v>110</v>
      </c>
      <c r="N467" s="0" t="s">
        <v>50</v>
      </c>
      <c r="O467" s="5" t="n">
        <v>4</v>
      </c>
      <c r="P467" s="0" t="n">
        <v>4.3</v>
      </c>
      <c r="Q467" s="0" t="s">
        <v>111</v>
      </c>
      <c r="R467" s="0" t="s">
        <v>73</v>
      </c>
      <c r="S467" s="0" t="s">
        <v>2335</v>
      </c>
      <c r="T467" s="0" t="s">
        <v>75</v>
      </c>
      <c r="U467" s="5" t="n">
        <v>45</v>
      </c>
      <c r="V467" s="0" t="s">
        <v>55</v>
      </c>
      <c r="W467" s="0" t="s">
        <v>2337</v>
      </c>
      <c r="X467" s="0" t="s">
        <v>128</v>
      </c>
      <c r="Y467" s="0" t="s">
        <v>99</v>
      </c>
      <c r="Z467" s="0" t="s">
        <v>59</v>
      </c>
      <c r="AA467" s="0" t="s">
        <v>143</v>
      </c>
      <c r="AB467" s="5" t="n">
        <v>25000</v>
      </c>
      <c r="AC467" s="5" t="n">
        <v>40000</v>
      </c>
      <c r="AD467" s="0" t="s">
        <v>50</v>
      </c>
      <c r="AE467" s="5" t="n">
        <v>0</v>
      </c>
      <c r="AF467" s="0" t="s">
        <v>2338</v>
      </c>
      <c r="AG467" s="7" t="s">
        <v>2330</v>
      </c>
      <c r="AH467" s="0" t="s">
        <v>63</v>
      </c>
      <c r="AI467" s="0" t="s">
        <v>116</v>
      </c>
      <c r="AJ467" s="0" t="s">
        <v>117</v>
      </c>
      <c r="AK467" s="0" t="s">
        <v>2344</v>
      </c>
      <c r="AL467" s="0" t="s">
        <v>50</v>
      </c>
      <c r="AM467" s="0" t="s">
        <v>63</v>
      </c>
      <c r="AN467" s="0" t="s">
        <v>64</v>
      </c>
      <c r="AO467" s="0" t="s">
        <v>50</v>
      </c>
    </row>
    <row r="468" customFormat="false" ht="15" hidden="false" customHeight="false" outlineLevel="0" collapsed="false">
      <c r="A468" s="0" t="s">
        <v>1207</v>
      </c>
      <c r="B468" s="2" t="s">
        <v>2383</v>
      </c>
      <c r="C468" s="0" t="s">
        <v>42</v>
      </c>
      <c r="D468" s="0" t="n">
        <v>8063598753</v>
      </c>
      <c r="E468" s="0" t="s">
        <v>67</v>
      </c>
      <c r="F468" s="0" t="s">
        <v>2316</v>
      </c>
      <c r="G468" s="0" t="s">
        <v>1208</v>
      </c>
      <c r="H468" s="0" t="s">
        <v>69</v>
      </c>
      <c r="I468" s="3" t="s">
        <v>2317</v>
      </c>
      <c r="J468" s="0" t="s">
        <v>2347</v>
      </c>
      <c r="K468" s="0" t="s">
        <v>90</v>
      </c>
      <c r="L468" s="4" t="n">
        <v>104574</v>
      </c>
      <c r="M468" s="0" t="s">
        <v>49</v>
      </c>
      <c r="N468" s="0" t="s">
        <v>50</v>
      </c>
      <c r="O468" s="5" t="n">
        <v>4</v>
      </c>
      <c r="P468" s="0" t="n">
        <v>5.3</v>
      </c>
      <c r="Q468" s="0" t="s">
        <v>125</v>
      </c>
      <c r="R468" s="0" t="s">
        <v>73</v>
      </c>
      <c r="S468" s="0" t="s">
        <v>2340</v>
      </c>
      <c r="T468" s="0" t="s">
        <v>75</v>
      </c>
      <c r="U468" s="5" t="n">
        <v>15</v>
      </c>
      <c r="V468" s="0" t="s">
        <v>112</v>
      </c>
      <c r="W468" s="0" t="s">
        <v>155</v>
      </c>
      <c r="X468" s="0" t="s">
        <v>128</v>
      </c>
      <c r="Y468" s="0" t="s">
        <v>58</v>
      </c>
      <c r="Z468" s="0" t="s">
        <v>2326</v>
      </c>
      <c r="AA468" s="0" t="s">
        <v>149</v>
      </c>
      <c r="AB468" s="5" t="n">
        <v>27207.7922077922</v>
      </c>
      <c r="AC468" s="5" t="n">
        <v>40000</v>
      </c>
      <c r="AD468" s="0" t="s">
        <v>50</v>
      </c>
      <c r="AE468" s="5" t="n">
        <v>5000</v>
      </c>
      <c r="AF468" s="0" t="s">
        <v>2338</v>
      </c>
      <c r="AG468" s="7" t="s">
        <v>2330</v>
      </c>
      <c r="AH468" s="0" t="s">
        <v>63</v>
      </c>
      <c r="AI468" s="0" t="s">
        <v>171</v>
      </c>
      <c r="AJ468" s="0" t="s">
        <v>117</v>
      </c>
      <c r="AK468" s="0" t="s">
        <v>50</v>
      </c>
      <c r="AL468" s="0" t="s">
        <v>63</v>
      </c>
      <c r="AM468" s="0" t="s">
        <v>2344</v>
      </c>
      <c r="AN468" s="0" t="s">
        <v>2318</v>
      </c>
      <c r="AO468" s="0" t="s">
        <v>2359</v>
      </c>
    </row>
    <row r="469" customFormat="false" ht="15" hidden="false" customHeight="false" outlineLevel="0" collapsed="false">
      <c r="A469" s="0" t="s">
        <v>1209</v>
      </c>
      <c r="B469" s="2" t="s">
        <v>1358</v>
      </c>
      <c r="C469" s="0" t="s">
        <v>42</v>
      </c>
      <c r="D469" s="0" t="n">
        <v>8036092407</v>
      </c>
      <c r="E469" s="0" t="s">
        <v>139</v>
      </c>
      <c r="F469" s="0" t="s">
        <v>2323</v>
      </c>
      <c r="G469" s="0" t="s">
        <v>1210</v>
      </c>
      <c r="H469" s="0" t="s">
        <v>45</v>
      </c>
      <c r="I469" s="3" t="s">
        <v>2317</v>
      </c>
      <c r="J469" s="0" t="s">
        <v>47</v>
      </c>
      <c r="K469" s="0" t="s">
        <v>109</v>
      </c>
      <c r="L469" s="4" t="n">
        <v>21190</v>
      </c>
      <c r="M469" s="0" t="s">
        <v>2333</v>
      </c>
      <c r="N469" s="0" t="s">
        <v>63</v>
      </c>
      <c r="O469" s="5" t="n">
        <v>3.08163265306122</v>
      </c>
      <c r="P469" s="0" t="n">
        <v>5.1</v>
      </c>
      <c r="Q469" s="0" t="s">
        <v>111</v>
      </c>
      <c r="R469" s="0" t="s">
        <v>52</v>
      </c>
      <c r="S469" s="0" t="s">
        <v>2366</v>
      </c>
      <c r="T469" s="0" t="s">
        <v>95</v>
      </c>
      <c r="U469" s="5" t="n">
        <v>15</v>
      </c>
      <c r="V469" s="0" t="s">
        <v>112</v>
      </c>
      <c r="W469" s="0" t="s">
        <v>2337</v>
      </c>
      <c r="X469" s="0" t="s">
        <v>98</v>
      </c>
      <c r="Y469" s="0" t="s">
        <v>196</v>
      </c>
      <c r="Z469" s="0" t="s">
        <v>2324</v>
      </c>
      <c r="AA469" s="0" t="s">
        <v>161</v>
      </c>
      <c r="AB469" s="5" t="n">
        <v>20000</v>
      </c>
      <c r="AC469" s="5" t="n">
        <v>30000</v>
      </c>
      <c r="AD469" s="0" t="s">
        <v>50</v>
      </c>
      <c r="AE469" s="5" t="n">
        <v>10000</v>
      </c>
      <c r="AF469" s="0" t="s">
        <v>60</v>
      </c>
      <c r="AG469" s="7" t="s">
        <v>697</v>
      </c>
      <c r="AH469" s="0" t="s">
        <v>2329</v>
      </c>
      <c r="AI469" s="0" t="s">
        <v>116</v>
      </c>
      <c r="AJ469" s="0" t="s">
        <v>2320</v>
      </c>
      <c r="AK469" s="0" t="s">
        <v>50</v>
      </c>
      <c r="AL469" s="0" t="s">
        <v>63</v>
      </c>
      <c r="AM469" s="0" t="s">
        <v>63</v>
      </c>
      <c r="AN469" s="0" t="s">
        <v>64</v>
      </c>
      <c r="AO469" s="0" t="s">
        <v>50</v>
      </c>
    </row>
    <row r="470" customFormat="false" ht="15" hidden="false" customHeight="false" outlineLevel="0" collapsed="false">
      <c r="A470" s="0" t="s">
        <v>1211</v>
      </c>
      <c r="B470" s="2" t="s">
        <v>1358</v>
      </c>
      <c r="C470" s="0" t="s">
        <v>163</v>
      </c>
      <c r="D470" s="0" t="n">
        <v>8063240727</v>
      </c>
      <c r="E470" s="0" t="s">
        <v>139</v>
      </c>
      <c r="F470" s="0" t="s">
        <v>2323</v>
      </c>
      <c r="G470" s="0" t="s">
        <v>1212</v>
      </c>
      <c r="H470" s="0" t="s">
        <v>134</v>
      </c>
      <c r="I470" s="3" t="s">
        <v>2322</v>
      </c>
      <c r="J470" s="0" t="s">
        <v>47</v>
      </c>
      <c r="K470" s="0" t="s">
        <v>90</v>
      </c>
      <c r="L470" s="4" t="n">
        <v>66521</v>
      </c>
      <c r="M470" s="0" t="s">
        <v>110</v>
      </c>
      <c r="N470" s="0" t="s">
        <v>50</v>
      </c>
      <c r="O470" s="5" t="n">
        <v>3</v>
      </c>
      <c r="P470" s="0" t="n">
        <v>2.2</v>
      </c>
      <c r="Q470" s="0" t="s">
        <v>92</v>
      </c>
      <c r="R470" s="0" t="s">
        <v>93</v>
      </c>
      <c r="S470" s="0" t="s">
        <v>53</v>
      </c>
      <c r="T470" s="0" t="s">
        <v>147</v>
      </c>
      <c r="U470" s="5" t="n">
        <v>35.625</v>
      </c>
      <c r="V470" s="0" t="s">
        <v>2352</v>
      </c>
      <c r="W470" s="0" t="s">
        <v>148</v>
      </c>
      <c r="X470" s="0" t="s">
        <v>128</v>
      </c>
      <c r="Y470" s="0" t="s">
        <v>196</v>
      </c>
      <c r="Z470" s="0" t="s">
        <v>177</v>
      </c>
      <c r="AA470" s="0" t="s">
        <v>149</v>
      </c>
      <c r="AB470" s="5" t="n">
        <v>30000</v>
      </c>
      <c r="AC470" s="5" t="n">
        <v>35000</v>
      </c>
      <c r="AD470" s="0" t="s">
        <v>50</v>
      </c>
      <c r="AE470" s="5" t="n">
        <v>5000</v>
      </c>
      <c r="AF470" s="0" t="s">
        <v>2338</v>
      </c>
      <c r="AG470" s="7" t="s">
        <v>2360</v>
      </c>
      <c r="AH470" s="0" t="s">
        <v>63</v>
      </c>
      <c r="AI470" s="0" t="s">
        <v>116</v>
      </c>
      <c r="AJ470" s="0" t="s">
        <v>172</v>
      </c>
      <c r="AK470" s="0" t="s">
        <v>2344</v>
      </c>
      <c r="AL470" s="0" t="s">
        <v>50</v>
      </c>
      <c r="AM470" s="0" t="s">
        <v>63</v>
      </c>
      <c r="AN470" s="0" t="s">
        <v>64</v>
      </c>
      <c r="AO470" s="0" t="s">
        <v>2359</v>
      </c>
    </row>
    <row r="471" customFormat="false" ht="15" hidden="false" customHeight="false" outlineLevel="0" collapsed="false">
      <c r="A471" s="0" t="s">
        <v>1213</v>
      </c>
      <c r="B471" s="2" t="s">
        <v>299</v>
      </c>
      <c r="C471" s="0" t="s">
        <v>66</v>
      </c>
      <c r="D471" s="0" t="n">
        <v>8015070029</v>
      </c>
      <c r="E471" s="0" t="s">
        <v>43</v>
      </c>
      <c r="F471" s="0" t="s">
        <v>2315</v>
      </c>
      <c r="G471" s="0" t="s">
        <v>393</v>
      </c>
      <c r="H471" s="0" t="s">
        <v>87</v>
      </c>
      <c r="I471" s="3" t="s">
        <v>2322</v>
      </c>
      <c r="J471" s="0" t="s">
        <v>189</v>
      </c>
      <c r="K471" s="0" t="s">
        <v>48</v>
      </c>
      <c r="L471" s="4" t="n">
        <v>65862</v>
      </c>
      <c r="M471" s="0" t="s">
        <v>110</v>
      </c>
      <c r="N471" s="0" t="s">
        <v>50</v>
      </c>
      <c r="O471" s="5" t="n">
        <v>2</v>
      </c>
      <c r="P471" s="0" t="n">
        <v>3.4</v>
      </c>
      <c r="Q471" s="0" t="s">
        <v>111</v>
      </c>
      <c r="R471" s="0" t="s">
        <v>73</v>
      </c>
      <c r="S471" s="0" t="s">
        <v>53</v>
      </c>
      <c r="T471" s="0" t="s">
        <v>75</v>
      </c>
      <c r="U471" s="5" t="n">
        <v>38.9516129032258</v>
      </c>
      <c r="V471" s="0" t="s">
        <v>112</v>
      </c>
      <c r="W471" s="0" t="s">
        <v>2337</v>
      </c>
      <c r="X471" s="0" t="s">
        <v>128</v>
      </c>
      <c r="Y471" s="0" t="s">
        <v>99</v>
      </c>
      <c r="Z471" s="0" t="s">
        <v>2329</v>
      </c>
      <c r="AA471" s="0" t="s">
        <v>79</v>
      </c>
      <c r="AB471" s="5" t="n">
        <v>20000</v>
      </c>
      <c r="AC471" s="5" t="n">
        <v>35000</v>
      </c>
      <c r="AD471" s="0" t="s">
        <v>63</v>
      </c>
      <c r="AE471" s="5" t="n">
        <v>5000</v>
      </c>
      <c r="AF471" s="0" t="s">
        <v>60</v>
      </c>
      <c r="AG471" s="7" t="s">
        <v>2330</v>
      </c>
      <c r="AH471" s="0" t="s">
        <v>63</v>
      </c>
      <c r="AI471" s="0" t="s">
        <v>116</v>
      </c>
      <c r="AJ471" s="0" t="s">
        <v>2331</v>
      </c>
      <c r="AK471" s="0" t="s">
        <v>63</v>
      </c>
      <c r="AL471" s="0" t="s">
        <v>2344</v>
      </c>
      <c r="AM471" s="0" t="s">
        <v>63</v>
      </c>
      <c r="AN471" s="0" t="s">
        <v>2321</v>
      </c>
      <c r="AO471" s="0" t="s">
        <v>63</v>
      </c>
    </row>
    <row r="472" customFormat="false" ht="15" hidden="false" customHeight="false" outlineLevel="0" collapsed="false">
      <c r="A472" s="0" t="s">
        <v>1214</v>
      </c>
      <c r="B472" s="2" t="s">
        <v>2489</v>
      </c>
      <c r="C472" s="0" t="s">
        <v>121</v>
      </c>
      <c r="D472" s="0" t="n">
        <v>8011441144</v>
      </c>
      <c r="E472" s="0" t="s">
        <v>43</v>
      </c>
      <c r="F472" s="0" t="s">
        <v>2315</v>
      </c>
      <c r="G472" s="0" t="s">
        <v>570</v>
      </c>
      <c r="H472" s="0" t="s">
        <v>87</v>
      </c>
      <c r="I472" s="3" t="s">
        <v>2317</v>
      </c>
      <c r="J472" s="0" t="s">
        <v>2349</v>
      </c>
      <c r="K472" s="0" t="s">
        <v>109</v>
      </c>
      <c r="L472" s="4" t="n">
        <v>87438</v>
      </c>
      <c r="M472" s="0" t="s">
        <v>2333</v>
      </c>
      <c r="N472" s="0" t="s">
        <v>50</v>
      </c>
      <c r="O472" s="5" t="n">
        <v>2</v>
      </c>
      <c r="P472" s="0" t="n">
        <v>1.9</v>
      </c>
      <c r="Q472" s="0" t="s">
        <v>111</v>
      </c>
      <c r="R472" s="0" t="s">
        <v>52</v>
      </c>
      <c r="S472" s="0" t="s">
        <v>2335</v>
      </c>
      <c r="T472" s="0" t="s">
        <v>2343</v>
      </c>
      <c r="U472" s="5" t="n">
        <v>60</v>
      </c>
      <c r="V472" s="0" t="s">
        <v>2336</v>
      </c>
      <c r="W472" s="0" t="s">
        <v>155</v>
      </c>
      <c r="X472" s="0" t="s">
        <v>98</v>
      </c>
      <c r="Y472" s="0" t="s">
        <v>99</v>
      </c>
      <c r="Z472" s="0" t="s">
        <v>2329</v>
      </c>
      <c r="AA472" s="0" t="s">
        <v>161</v>
      </c>
      <c r="AB472" s="5" t="n">
        <v>20000</v>
      </c>
      <c r="AC472" s="5" t="n">
        <v>30000</v>
      </c>
      <c r="AD472" s="0" t="s">
        <v>50</v>
      </c>
      <c r="AE472" s="5" t="n">
        <v>5000</v>
      </c>
      <c r="AF472" s="0" t="s">
        <v>60</v>
      </c>
      <c r="AG472" s="7" t="s">
        <v>1583</v>
      </c>
      <c r="AH472" s="0" t="s">
        <v>2329</v>
      </c>
      <c r="AI472" s="0" t="s">
        <v>116</v>
      </c>
      <c r="AJ472" s="0" t="s">
        <v>172</v>
      </c>
      <c r="AK472" s="0" t="s">
        <v>50</v>
      </c>
      <c r="AL472" s="0" t="s">
        <v>63</v>
      </c>
      <c r="AM472" s="0" t="s">
        <v>50</v>
      </c>
      <c r="AN472" s="0" t="s">
        <v>64</v>
      </c>
      <c r="AO472" s="0" t="s">
        <v>50</v>
      </c>
    </row>
    <row r="473" customFormat="false" ht="15" hidden="false" customHeight="false" outlineLevel="0" collapsed="false">
      <c r="A473" s="0" t="s">
        <v>1215</v>
      </c>
      <c r="B473" s="2" t="s">
        <v>2408</v>
      </c>
      <c r="C473" s="0" t="s">
        <v>105</v>
      </c>
      <c r="D473" s="0" t="n">
        <v>8043635732</v>
      </c>
      <c r="E473" s="0" t="s">
        <v>43</v>
      </c>
      <c r="F473" s="0" t="s">
        <v>2315</v>
      </c>
      <c r="G473" s="0" t="s">
        <v>1216</v>
      </c>
      <c r="H473" s="0" t="s">
        <v>45</v>
      </c>
      <c r="I473" s="3" t="s">
        <v>2322</v>
      </c>
      <c r="J473" s="0" t="s">
        <v>2339</v>
      </c>
      <c r="K473" s="0" t="s">
        <v>90</v>
      </c>
      <c r="L473" s="4" t="n">
        <v>12933</v>
      </c>
      <c r="M473" s="0" t="s">
        <v>110</v>
      </c>
      <c r="N473" s="0" t="s">
        <v>50</v>
      </c>
      <c r="O473" s="5" t="n">
        <v>5</v>
      </c>
      <c r="P473" s="0" t="n">
        <v>2.7</v>
      </c>
      <c r="Q473" s="0" t="s">
        <v>92</v>
      </c>
      <c r="R473" s="0" t="s">
        <v>73</v>
      </c>
      <c r="S473" s="0" t="s">
        <v>2335</v>
      </c>
      <c r="T473" s="0" t="s">
        <v>75</v>
      </c>
      <c r="U473" s="5" t="n">
        <v>30</v>
      </c>
      <c r="V473" s="0" t="s">
        <v>2352</v>
      </c>
      <c r="W473" s="0" t="s">
        <v>148</v>
      </c>
      <c r="X473" s="0" t="s">
        <v>128</v>
      </c>
      <c r="Y473" s="0" t="s">
        <v>196</v>
      </c>
      <c r="Z473" s="0" t="s">
        <v>177</v>
      </c>
      <c r="AA473" s="0" t="s">
        <v>161</v>
      </c>
      <c r="AB473" s="5" t="n">
        <v>20000</v>
      </c>
      <c r="AC473" s="5" t="n">
        <v>35000</v>
      </c>
      <c r="AD473" s="0" t="s">
        <v>50</v>
      </c>
      <c r="AE473" s="5" t="n">
        <v>5000</v>
      </c>
      <c r="AF473" s="0" t="s">
        <v>60</v>
      </c>
      <c r="AG473" s="7" t="s">
        <v>2476</v>
      </c>
      <c r="AH473" s="0" t="s">
        <v>50</v>
      </c>
      <c r="AI473" s="0" t="s">
        <v>171</v>
      </c>
      <c r="AJ473" s="0" t="s">
        <v>117</v>
      </c>
      <c r="AK473" s="0" t="s">
        <v>50</v>
      </c>
      <c r="AL473" s="0" t="s">
        <v>63</v>
      </c>
      <c r="AM473" s="0" t="s">
        <v>2344</v>
      </c>
      <c r="AN473" s="0" t="s">
        <v>2321</v>
      </c>
      <c r="AO473" s="0" t="s">
        <v>50</v>
      </c>
    </row>
    <row r="474" customFormat="false" ht="15" hidden="false" customHeight="false" outlineLevel="0" collapsed="false">
      <c r="A474" s="0" t="s">
        <v>1217</v>
      </c>
      <c r="B474" s="2" t="s">
        <v>267</v>
      </c>
      <c r="C474" s="0" t="s">
        <v>163</v>
      </c>
      <c r="D474" s="0" t="n">
        <v>8025392453</v>
      </c>
      <c r="E474" s="0" t="s">
        <v>139</v>
      </c>
      <c r="F474" s="0" t="s">
        <v>2323</v>
      </c>
      <c r="G474" s="0" t="s">
        <v>1218</v>
      </c>
      <c r="H474" s="0" t="s">
        <v>69</v>
      </c>
      <c r="I474" s="3" t="s">
        <v>2322</v>
      </c>
      <c r="J474" s="0" t="s">
        <v>47</v>
      </c>
      <c r="K474" s="0" t="s">
        <v>90</v>
      </c>
      <c r="L474" s="4" t="n">
        <v>64046</v>
      </c>
      <c r="M474" s="0" t="s">
        <v>49</v>
      </c>
      <c r="N474" s="0" t="s">
        <v>63</v>
      </c>
      <c r="O474" s="5" t="n">
        <v>4</v>
      </c>
      <c r="P474" s="0" t="n">
        <v>5.4</v>
      </c>
      <c r="Q474" s="0" t="s">
        <v>51</v>
      </c>
      <c r="R474" s="0" t="s">
        <v>93</v>
      </c>
      <c r="S474" s="0" t="s">
        <v>2340</v>
      </c>
      <c r="T474" s="0" t="s">
        <v>75</v>
      </c>
      <c r="U474" s="5" t="n">
        <v>15</v>
      </c>
      <c r="V474" s="0" t="s">
        <v>96</v>
      </c>
      <c r="W474" s="0" t="s">
        <v>148</v>
      </c>
      <c r="X474" s="0" t="s">
        <v>98</v>
      </c>
      <c r="Y474" s="0" t="s">
        <v>114</v>
      </c>
      <c r="Z474" s="0" t="s">
        <v>2329</v>
      </c>
      <c r="AA474" s="0" t="s">
        <v>79</v>
      </c>
      <c r="AB474" s="5" t="n">
        <v>40000</v>
      </c>
      <c r="AC474" s="5" t="n">
        <v>30000</v>
      </c>
      <c r="AD474" s="0" t="s">
        <v>50</v>
      </c>
      <c r="AE474" s="5" t="n">
        <v>10000</v>
      </c>
      <c r="AF474" s="0" t="s">
        <v>60</v>
      </c>
      <c r="AG474" s="7" t="s">
        <v>2498</v>
      </c>
      <c r="AH474" s="0" t="s">
        <v>63</v>
      </c>
      <c r="AI474" s="0" t="s">
        <v>116</v>
      </c>
      <c r="AJ474" s="0" t="s">
        <v>172</v>
      </c>
      <c r="AK474" s="0" t="s">
        <v>50</v>
      </c>
      <c r="AL474" s="0" t="s">
        <v>50</v>
      </c>
      <c r="AM474" s="0" t="s">
        <v>63</v>
      </c>
      <c r="AN474" s="0" t="s">
        <v>2321</v>
      </c>
      <c r="AO474" s="0" t="s">
        <v>2359</v>
      </c>
    </row>
    <row r="475" customFormat="false" ht="15" hidden="false" customHeight="false" outlineLevel="0" collapsed="false">
      <c r="A475" s="0" t="s">
        <v>1219</v>
      </c>
      <c r="B475" s="2" t="s">
        <v>2370</v>
      </c>
      <c r="C475" s="0" t="s">
        <v>163</v>
      </c>
      <c r="D475" s="0" t="n">
        <v>8028318112</v>
      </c>
      <c r="E475" s="0" t="s">
        <v>67</v>
      </c>
      <c r="F475" s="0" t="s">
        <v>2316</v>
      </c>
      <c r="G475" s="0" t="s">
        <v>1220</v>
      </c>
      <c r="H475" s="0" t="s">
        <v>69</v>
      </c>
      <c r="I475" s="3" t="s">
        <v>2342</v>
      </c>
      <c r="J475" s="0" t="s">
        <v>189</v>
      </c>
      <c r="K475" s="0" t="s">
        <v>48</v>
      </c>
      <c r="L475" s="4" t="n">
        <v>39910</v>
      </c>
      <c r="M475" s="0" t="s">
        <v>110</v>
      </c>
      <c r="N475" s="0" t="s">
        <v>50</v>
      </c>
      <c r="O475" s="5" t="n">
        <v>2</v>
      </c>
      <c r="P475" s="0" t="n">
        <v>1.5</v>
      </c>
      <c r="Q475" s="0" t="s">
        <v>111</v>
      </c>
      <c r="R475" s="0" t="s">
        <v>52</v>
      </c>
      <c r="S475" s="0" t="s">
        <v>2366</v>
      </c>
      <c r="T475" s="0" t="s">
        <v>2343</v>
      </c>
      <c r="U475" s="5" t="n">
        <v>15</v>
      </c>
      <c r="V475" s="0" t="s">
        <v>55</v>
      </c>
      <c r="W475" s="0" t="s">
        <v>155</v>
      </c>
      <c r="X475" s="0" t="s">
        <v>128</v>
      </c>
      <c r="Y475" s="0" t="s">
        <v>196</v>
      </c>
      <c r="Z475" s="0" t="s">
        <v>2326</v>
      </c>
      <c r="AA475" s="0" t="s">
        <v>149</v>
      </c>
      <c r="AB475" s="5" t="n">
        <v>40000</v>
      </c>
      <c r="AC475" s="5" t="n">
        <v>30000</v>
      </c>
      <c r="AD475" s="0" t="s">
        <v>50</v>
      </c>
      <c r="AE475" s="5" t="n">
        <v>0</v>
      </c>
      <c r="AF475" s="0" t="s">
        <v>184</v>
      </c>
      <c r="AG475" s="7" t="s">
        <v>2330</v>
      </c>
      <c r="AH475" s="0" t="s">
        <v>50</v>
      </c>
      <c r="AI475" s="0" t="s">
        <v>2331</v>
      </c>
      <c r="AJ475" s="0" t="s">
        <v>117</v>
      </c>
      <c r="AK475" s="0" t="s">
        <v>50</v>
      </c>
      <c r="AL475" s="0" t="s">
        <v>50</v>
      </c>
      <c r="AM475" s="0" t="s">
        <v>2344</v>
      </c>
      <c r="AN475" s="0" t="s">
        <v>2321</v>
      </c>
      <c r="AO475" s="0" t="s">
        <v>63</v>
      </c>
    </row>
    <row r="476" customFormat="false" ht="15" hidden="false" customHeight="false" outlineLevel="0" collapsed="false">
      <c r="A476" s="0" t="s">
        <v>1221</v>
      </c>
      <c r="B476" s="2" t="s">
        <v>2431</v>
      </c>
      <c r="C476" s="0" t="s">
        <v>66</v>
      </c>
      <c r="D476" s="0" t="n">
        <v>8053904009</v>
      </c>
      <c r="E476" s="0" t="s">
        <v>85</v>
      </c>
      <c r="F476" s="0" t="s">
        <v>2319</v>
      </c>
      <c r="G476" s="0" t="s">
        <v>1222</v>
      </c>
      <c r="H476" s="0" t="s">
        <v>87</v>
      </c>
      <c r="I476" s="3" t="s">
        <v>87</v>
      </c>
      <c r="J476" s="0" t="s">
        <v>2349</v>
      </c>
      <c r="K476" s="0" t="s">
        <v>48</v>
      </c>
      <c r="L476" s="4" t="n">
        <v>27037</v>
      </c>
      <c r="M476" s="0" t="s">
        <v>2333</v>
      </c>
      <c r="N476" s="0" t="s">
        <v>50</v>
      </c>
      <c r="O476" s="5" t="n">
        <v>2</v>
      </c>
      <c r="P476" s="0" t="n">
        <v>2.5</v>
      </c>
      <c r="Q476" s="0" t="s">
        <v>2334</v>
      </c>
      <c r="R476" s="0" t="s">
        <v>93</v>
      </c>
      <c r="S476" s="0" t="s">
        <v>2340</v>
      </c>
      <c r="T476" s="0" t="s">
        <v>54</v>
      </c>
      <c r="U476" s="5" t="n">
        <v>45</v>
      </c>
      <c r="V476" s="0" t="s">
        <v>2352</v>
      </c>
      <c r="W476" s="0" t="s">
        <v>155</v>
      </c>
      <c r="X476" s="0" t="s">
        <v>128</v>
      </c>
      <c r="Y476" s="0" t="s">
        <v>58</v>
      </c>
      <c r="Z476" s="0" t="s">
        <v>177</v>
      </c>
      <c r="AA476" s="0" t="s">
        <v>79</v>
      </c>
      <c r="AB476" s="5" t="n">
        <v>30000</v>
      </c>
      <c r="AC476" s="5" t="n">
        <v>20000</v>
      </c>
      <c r="AD476" s="0" t="s">
        <v>50</v>
      </c>
      <c r="AE476" s="5" t="n">
        <v>5000</v>
      </c>
      <c r="AF476" s="0" t="s">
        <v>184</v>
      </c>
      <c r="AG476" s="7" t="s">
        <v>295</v>
      </c>
      <c r="AH476" s="0" t="s">
        <v>50</v>
      </c>
      <c r="AI476" s="0" t="s">
        <v>171</v>
      </c>
      <c r="AJ476" s="0" t="s">
        <v>117</v>
      </c>
      <c r="AK476" s="0" t="s">
        <v>63</v>
      </c>
      <c r="AL476" s="0" t="s">
        <v>63</v>
      </c>
      <c r="AM476" s="0" t="s">
        <v>2344</v>
      </c>
      <c r="AN476" s="0" t="s">
        <v>2321</v>
      </c>
      <c r="AO476" s="0" t="s">
        <v>63</v>
      </c>
    </row>
    <row r="477" customFormat="false" ht="15" hidden="false" customHeight="false" outlineLevel="0" collapsed="false">
      <c r="A477" s="0" t="s">
        <v>1223</v>
      </c>
      <c r="B477" s="2" t="s">
        <v>2451</v>
      </c>
      <c r="C477" s="0" t="s">
        <v>105</v>
      </c>
      <c r="D477" s="0" t="n">
        <v>8099965548</v>
      </c>
      <c r="E477" s="0" t="s">
        <v>43</v>
      </c>
      <c r="F477" s="0" t="s">
        <v>2315</v>
      </c>
      <c r="G477" s="0" t="s">
        <v>1224</v>
      </c>
      <c r="H477" s="0" t="s">
        <v>134</v>
      </c>
      <c r="I477" s="3" t="s">
        <v>2317</v>
      </c>
      <c r="J477" s="0" t="s">
        <v>189</v>
      </c>
      <c r="K477" s="0" t="s">
        <v>48</v>
      </c>
      <c r="L477" s="4" t="n">
        <v>26578</v>
      </c>
      <c r="M477" s="0" t="s">
        <v>2333</v>
      </c>
      <c r="N477" s="0" t="s">
        <v>50</v>
      </c>
      <c r="O477" s="5" t="n">
        <v>1</v>
      </c>
      <c r="P477" s="0" t="n">
        <v>3</v>
      </c>
      <c r="Q477" s="0" t="s">
        <v>92</v>
      </c>
      <c r="R477" s="0" t="s">
        <v>93</v>
      </c>
      <c r="S477" s="0" t="s">
        <v>53</v>
      </c>
      <c r="T477" s="0" t="s">
        <v>2343</v>
      </c>
      <c r="U477" s="5" t="n">
        <v>60</v>
      </c>
      <c r="V477" s="0" t="s">
        <v>112</v>
      </c>
      <c r="W477" s="0" t="s">
        <v>155</v>
      </c>
      <c r="X477" s="0" t="s">
        <v>128</v>
      </c>
      <c r="Y477" s="0" t="s">
        <v>196</v>
      </c>
      <c r="Z477" s="0" t="s">
        <v>2329</v>
      </c>
      <c r="AA477" s="0" t="s">
        <v>79</v>
      </c>
      <c r="AB477" s="5" t="n">
        <v>30000</v>
      </c>
      <c r="AC477" s="5" t="n">
        <v>20000</v>
      </c>
      <c r="AD477" s="0" t="s">
        <v>50</v>
      </c>
      <c r="AE477" s="5" t="n">
        <v>0</v>
      </c>
      <c r="AF477" s="0" t="s">
        <v>184</v>
      </c>
      <c r="AG477" s="7" t="s">
        <v>2330</v>
      </c>
      <c r="AH477" s="0" t="s">
        <v>2329</v>
      </c>
      <c r="AI477" s="0" t="s">
        <v>2331</v>
      </c>
      <c r="AJ477" s="0" t="s">
        <v>117</v>
      </c>
      <c r="AK477" s="0" t="s">
        <v>50</v>
      </c>
      <c r="AL477" s="0" t="s">
        <v>2344</v>
      </c>
      <c r="AM477" s="0" t="s">
        <v>50</v>
      </c>
      <c r="AN477" s="0" t="s">
        <v>64</v>
      </c>
      <c r="AO477" s="0" t="s">
        <v>50</v>
      </c>
    </row>
    <row r="478" customFormat="false" ht="15" hidden="false" customHeight="false" outlineLevel="0" collapsed="false">
      <c r="A478" s="0" t="s">
        <v>1225</v>
      </c>
      <c r="B478" s="2" t="s">
        <v>463</v>
      </c>
      <c r="C478" s="0" t="s">
        <v>42</v>
      </c>
      <c r="D478" s="0" t="n">
        <v>8072309982</v>
      </c>
      <c r="E478" s="0" t="s">
        <v>122</v>
      </c>
      <c r="F478" s="0" t="s">
        <v>2316</v>
      </c>
      <c r="G478" s="0" t="s">
        <v>1226</v>
      </c>
      <c r="H478" s="0" t="s">
        <v>107</v>
      </c>
      <c r="I478" s="3" t="s">
        <v>87</v>
      </c>
      <c r="J478" s="0" t="s">
        <v>2339</v>
      </c>
      <c r="K478" s="0" t="s">
        <v>90</v>
      </c>
      <c r="L478" s="4" t="n">
        <v>46883</v>
      </c>
      <c r="M478" s="0" t="s">
        <v>49</v>
      </c>
      <c r="N478" s="0" t="s">
        <v>63</v>
      </c>
      <c r="O478" s="5" t="n">
        <v>3</v>
      </c>
      <c r="P478" s="0" t="n">
        <v>4.4</v>
      </c>
      <c r="Q478" s="0" t="s">
        <v>111</v>
      </c>
      <c r="R478" s="0" t="s">
        <v>93</v>
      </c>
      <c r="S478" s="0" t="s">
        <v>2335</v>
      </c>
      <c r="T478" s="0" t="s">
        <v>95</v>
      </c>
      <c r="U478" s="5" t="n">
        <v>15</v>
      </c>
      <c r="V478" s="0" t="s">
        <v>2336</v>
      </c>
      <c r="W478" s="0" t="s">
        <v>2337</v>
      </c>
      <c r="X478" s="0" t="s">
        <v>78</v>
      </c>
      <c r="Y478" s="0" t="s">
        <v>114</v>
      </c>
      <c r="Z478" s="0" t="s">
        <v>177</v>
      </c>
      <c r="AA478" s="0" t="s">
        <v>149</v>
      </c>
      <c r="AB478" s="5" t="n">
        <v>30000</v>
      </c>
      <c r="AC478" s="5" t="n">
        <v>30000</v>
      </c>
      <c r="AD478" s="0" t="s">
        <v>50</v>
      </c>
      <c r="AE478" s="5" t="n">
        <v>10000</v>
      </c>
      <c r="AF478" s="0" t="s">
        <v>60</v>
      </c>
      <c r="AG478" s="7" t="s">
        <v>1227</v>
      </c>
      <c r="AH478" s="0" t="s">
        <v>50</v>
      </c>
      <c r="AI478" s="0" t="s">
        <v>2331</v>
      </c>
      <c r="AJ478" s="0" t="s">
        <v>2320</v>
      </c>
      <c r="AK478" s="0" t="s">
        <v>50</v>
      </c>
      <c r="AL478" s="0" t="s">
        <v>50</v>
      </c>
      <c r="AM478" s="0" t="s">
        <v>63</v>
      </c>
      <c r="AN478" s="0" t="s">
        <v>2321</v>
      </c>
      <c r="AO478" s="0" t="s">
        <v>50</v>
      </c>
    </row>
    <row r="479" customFormat="false" ht="15" hidden="false" customHeight="false" outlineLevel="0" collapsed="false">
      <c r="A479" s="0" t="s">
        <v>1228</v>
      </c>
      <c r="B479" s="2" t="s">
        <v>1358</v>
      </c>
      <c r="C479" s="0" t="s">
        <v>163</v>
      </c>
      <c r="D479" s="0" t="n">
        <v>8075063283</v>
      </c>
      <c r="E479" s="0" t="s">
        <v>139</v>
      </c>
      <c r="F479" s="0" t="s">
        <v>2323</v>
      </c>
      <c r="G479" s="0" t="s">
        <v>1229</v>
      </c>
      <c r="H479" s="0" t="s">
        <v>69</v>
      </c>
      <c r="I479" s="3" t="s">
        <v>2317</v>
      </c>
      <c r="J479" s="0" t="s">
        <v>2347</v>
      </c>
      <c r="K479" s="0" t="s">
        <v>71</v>
      </c>
      <c r="L479" s="4" t="n">
        <v>79605</v>
      </c>
      <c r="M479" s="0" t="s">
        <v>49</v>
      </c>
      <c r="N479" s="0" t="s">
        <v>50</v>
      </c>
      <c r="O479" s="5" t="n">
        <v>3</v>
      </c>
      <c r="P479" s="0" t="n">
        <v>1.2</v>
      </c>
      <c r="Q479" s="0" t="s">
        <v>125</v>
      </c>
      <c r="R479" s="0" t="s">
        <v>93</v>
      </c>
      <c r="S479" s="0" t="s">
        <v>53</v>
      </c>
      <c r="T479" s="0" t="s">
        <v>75</v>
      </c>
      <c r="U479" s="5" t="n">
        <v>15</v>
      </c>
      <c r="V479" s="0" t="s">
        <v>112</v>
      </c>
      <c r="W479" s="0" t="s">
        <v>2328</v>
      </c>
      <c r="X479" s="0" t="s">
        <v>98</v>
      </c>
      <c r="Y479" s="0" t="s">
        <v>99</v>
      </c>
      <c r="Z479" s="0" t="s">
        <v>2329</v>
      </c>
      <c r="AA479" s="0" t="s">
        <v>149</v>
      </c>
      <c r="AB479" s="5" t="n">
        <v>27207.7922077922</v>
      </c>
      <c r="AC479" s="5" t="n">
        <v>40000</v>
      </c>
      <c r="AD479" s="0" t="s">
        <v>50</v>
      </c>
      <c r="AE479" s="5" t="n">
        <v>5000</v>
      </c>
      <c r="AF479" s="0" t="s">
        <v>60</v>
      </c>
      <c r="AG479" s="7" t="s">
        <v>408</v>
      </c>
      <c r="AH479" s="0" t="s">
        <v>50</v>
      </c>
      <c r="AI479" s="0" t="s">
        <v>2331</v>
      </c>
      <c r="AJ479" s="0" t="s">
        <v>2320</v>
      </c>
      <c r="AK479" s="0" t="s">
        <v>63</v>
      </c>
      <c r="AL479" s="0" t="s">
        <v>50</v>
      </c>
      <c r="AM479" s="0" t="s">
        <v>63</v>
      </c>
      <c r="AN479" s="0" t="s">
        <v>2321</v>
      </c>
      <c r="AO479" s="0" t="s">
        <v>63</v>
      </c>
    </row>
    <row r="480" customFormat="false" ht="15" hidden="false" customHeight="false" outlineLevel="0" collapsed="false">
      <c r="A480" s="0" t="s">
        <v>1230</v>
      </c>
      <c r="B480" s="2" t="s">
        <v>669</v>
      </c>
      <c r="C480" s="0" t="s">
        <v>163</v>
      </c>
      <c r="D480" s="0" t="n">
        <v>8071922288</v>
      </c>
      <c r="E480" s="0" t="s">
        <v>139</v>
      </c>
      <c r="F480" s="0" t="s">
        <v>2323</v>
      </c>
      <c r="G480" s="0" t="s">
        <v>1231</v>
      </c>
      <c r="H480" s="0" t="s">
        <v>69</v>
      </c>
      <c r="I480" s="3" t="s">
        <v>2322</v>
      </c>
      <c r="J480" s="0" t="s">
        <v>2341</v>
      </c>
      <c r="K480" s="0" t="s">
        <v>109</v>
      </c>
      <c r="L480" s="4" t="n">
        <v>95209</v>
      </c>
      <c r="M480" s="0" t="s">
        <v>49</v>
      </c>
      <c r="N480" s="0" t="s">
        <v>63</v>
      </c>
      <c r="O480" s="5" t="n">
        <v>2</v>
      </c>
      <c r="P480" s="0" t="n">
        <v>1.7</v>
      </c>
      <c r="Q480" s="0" t="s">
        <v>92</v>
      </c>
      <c r="R480" s="0" t="s">
        <v>93</v>
      </c>
      <c r="S480" s="0" t="s">
        <v>53</v>
      </c>
      <c r="T480" s="0" t="s">
        <v>147</v>
      </c>
      <c r="U480" s="5" t="n">
        <v>37.5949367088608</v>
      </c>
      <c r="V480" s="0" t="s">
        <v>2352</v>
      </c>
      <c r="W480" s="0" t="s">
        <v>2328</v>
      </c>
      <c r="X480" s="0" t="s">
        <v>98</v>
      </c>
      <c r="Y480" s="0" t="s">
        <v>114</v>
      </c>
      <c r="Z480" s="0" t="s">
        <v>2329</v>
      </c>
      <c r="AA480" s="0" t="s">
        <v>79</v>
      </c>
      <c r="AB480" s="5" t="n">
        <v>40000</v>
      </c>
      <c r="AC480" s="5" t="n">
        <v>20000</v>
      </c>
      <c r="AD480" s="0" t="s">
        <v>50</v>
      </c>
      <c r="AE480" s="5" t="n">
        <v>5000</v>
      </c>
      <c r="AF480" s="0" t="s">
        <v>130</v>
      </c>
      <c r="AG480" s="7" t="s">
        <v>2450</v>
      </c>
      <c r="AH480" s="0" t="s">
        <v>50</v>
      </c>
      <c r="AI480" s="0" t="s">
        <v>171</v>
      </c>
      <c r="AJ480" s="0" t="s">
        <v>172</v>
      </c>
      <c r="AK480" s="0" t="s">
        <v>2344</v>
      </c>
      <c r="AL480" s="0" t="s">
        <v>50</v>
      </c>
      <c r="AM480" s="0" t="s">
        <v>63</v>
      </c>
      <c r="AN480" s="0" t="s">
        <v>2318</v>
      </c>
      <c r="AO480" s="0" t="s">
        <v>50</v>
      </c>
    </row>
    <row r="481" customFormat="false" ht="15" hidden="false" customHeight="false" outlineLevel="0" collapsed="false">
      <c r="A481" s="0" t="s">
        <v>1232</v>
      </c>
      <c r="B481" s="2" t="s">
        <v>963</v>
      </c>
      <c r="C481" s="0" t="s">
        <v>66</v>
      </c>
      <c r="D481" s="0" t="n">
        <v>8019158638</v>
      </c>
      <c r="E481" s="0" t="s">
        <v>67</v>
      </c>
      <c r="F481" s="0" t="s">
        <v>2316</v>
      </c>
      <c r="G481" s="0" t="s">
        <v>499</v>
      </c>
      <c r="H481" s="0" t="s">
        <v>45</v>
      </c>
      <c r="I481" s="3" t="s">
        <v>2325</v>
      </c>
      <c r="J481" s="0" t="s">
        <v>2347</v>
      </c>
      <c r="K481" s="0" t="s">
        <v>109</v>
      </c>
      <c r="L481" s="4" t="n">
        <v>24029</v>
      </c>
      <c r="M481" s="0" t="s">
        <v>110</v>
      </c>
      <c r="N481" s="0" t="s">
        <v>63</v>
      </c>
      <c r="O481" s="5" t="n">
        <v>2</v>
      </c>
      <c r="P481" s="0" t="n">
        <v>3.5</v>
      </c>
      <c r="Q481" s="0" t="s">
        <v>125</v>
      </c>
      <c r="R481" s="0" t="s">
        <v>73</v>
      </c>
      <c r="S481" s="0" t="s">
        <v>2340</v>
      </c>
      <c r="T481" s="0" t="s">
        <v>95</v>
      </c>
      <c r="U481" s="5" t="n">
        <v>15</v>
      </c>
      <c r="V481" s="0" t="s">
        <v>55</v>
      </c>
      <c r="W481" s="0" t="s">
        <v>155</v>
      </c>
      <c r="X481" s="0" t="s">
        <v>98</v>
      </c>
      <c r="Y481" s="0" t="s">
        <v>114</v>
      </c>
      <c r="Z481" s="0" t="s">
        <v>2326</v>
      </c>
      <c r="AA481" s="0" t="s">
        <v>79</v>
      </c>
      <c r="AB481" s="5" t="n">
        <v>40000</v>
      </c>
      <c r="AC481" s="5" t="n">
        <v>30000</v>
      </c>
      <c r="AD481" s="0" t="s">
        <v>63</v>
      </c>
      <c r="AE481" s="5" t="n">
        <v>5000</v>
      </c>
      <c r="AF481" s="0" t="s">
        <v>184</v>
      </c>
      <c r="AG481" s="7" t="s">
        <v>2330</v>
      </c>
      <c r="AH481" s="0" t="s">
        <v>50</v>
      </c>
      <c r="AI481" s="0" t="s">
        <v>2331</v>
      </c>
      <c r="AJ481" s="0" t="s">
        <v>2320</v>
      </c>
      <c r="AK481" s="0" t="s">
        <v>50</v>
      </c>
      <c r="AL481" s="0" t="s">
        <v>2344</v>
      </c>
      <c r="AM481" s="0" t="s">
        <v>2344</v>
      </c>
      <c r="AN481" s="0" t="s">
        <v>2321</v>
      </c>
      <c r="AO481" s="0" t="s">
        <v>2359</v>
      </c>
    </row>
    <row r="482" customFormat="false" ht="15" hidden="false" customHeight="false" outlineLevel="0" collapsed="false">
      <c r="A482" s="0" t="s">
        <v>1233</v>
      </c>
      <c r="B482" s="2" t="s">
        <v>534</v>
      </c>
      <c r="C482" s="0" t="s">
        <v>163</v>
      </c>
      <c r="D482" s="0" t="n">
        <v>8021079489</v>
      </c>
      <c r="E482" s="0" t="s">
        <v>67</v>
      </c>
      <c r="F482" s="0" t="s">
        <v>2316</v>
      </c>
      <c r="G482" s="0" t="s">
        <v>1234</v>
      </c>
      <c r="H482" s="0" t="s">
        <v>134</v>
      </c>
      <c r="I482" s="3" t="s">
        <v>2325</v>
      </c>
      <c r="J482" s="0" t="s">
        <v>2347</v>
      </c>
      <c r="K482" s="0" t="s">
        <v>90</v>
      </c>
      <c r="L482" s="4" t="n">
        <v>54877</v>
      </c>
      <c r="M482" s="0" t="s">
        <v>110</v>
      </c>
      <c r="N482" s="0" t="s">
        <v>50</v>
      </c>
      <c r="O482" s="5" t="n">
        <v>1</v>
      </c>
      <c r="P482" s="0" t="n">
        <v>2.2</v>
      </c>
      <c r="Q482" s="0" t="s">
        <v>92</v>
      </c>
      <c r="R482" s="0" t="s">
        <v>73</v>
      </c>
      <c r="S482" s="0" t="s">
        <v>53</v>
      </c>
      <c r="T482" s="0" t="s">
        <v>2343</v>
      </c>
      <c r="U482" s="5" t="n">
        <v>45</v>
      </c>
      <c r="V482" s="0" t="s">
        <v>55</v>
      </c>
      <c r="W482" s="0" t="s">
        <v>155</v>
      </c>
      <c r="X482" s="0" t="s">
        <v>98</v>
      </c>
      <c r="Y482" s="0" t="s">
        <v>114</v>
      </c>
      <c r="Z482" s="0" t="s">
        <v>2324</v>
      </c>
      <c r="AA482" s="0" t="s">
        <v>79</v>
      </c>
      <c r="AB482" s="5" t="n">
        <v>40000</v>
      </c>
      <c r="AC482" s="5" t="n">
        <v>31542.9234338747</v>
      </c>
      <c r="AD482" s="0" t="s">
        <v>50</v>
      </c>
      <c r="AE482" s="5" t="n">
        <v>0</v>
      </c>
      <c r="AF482" s="0" t="s">
        <v>130</v>
      </c>
      <c r="AG482" s="7" t="s">
        <v>2400</v>
      </c>
      <c r="AH482" s="0" t="s">
        <v>2329</v>
      </c>
      <c r="AI482" s="0" t="s">
        <v>171</v>
      </c>
      <c r="AJ482" s="0" t="s">
        <v>2320</v>
      </c>
      <c r="AK482" s="0" t="s">
        <v>50</v>
      </c>
      <c r="AL482" s="0" t="s">
        <v>50</v>
      </c>
      <c r="AM482" s="0" t="s">
        <v>63</v>
      </c>
      <c r="AN482" s="0" t="s">
        <v>2321</v>
      </c>
      <c r="AO482" s="0" t="s">
        <v>50</v>
      </c>
    </row>
    <row r="483" customFormat="false" ht="15" hidden="false" customHeight="false" outlineLevel="0" collapsed="false">
      <c r="A483" s="0" t="s">
        <v>1235</v>
      </c>
      <c r="B483" s="2" t="s">
        <v>2475</v>
      </c>
      <c r="C483" s="0" t="s">
        <v>66</v>
      </c>
      <c r="D483" s="0" t="n">
        <v>8083608832</v>
      </c>
      <c r="E483" s="0" t="s">
        <v>43</v>
      </c>
      <c r="F483" s="0" t="s">
        <v>2315</v>
      </c>
      <c r="G483" s="0" t="s">
        <v>1236</v>
      </c>
      <c r="H483" s="0" t="s">
        <v>45</v>
      </c>
      <c r="I483" s="3" t="s">
        <v>87</v>
      </c>
      <c r="J483" s="0" t="s">
        <v>2339</v>
      </c>
      <c r="K483" s="0" t="s">
        <v>71</v>
      </c>
      <c r="L483" s="4" t="n">
        <v>51869</v>
      </c>
      <c r="M483" s="0" t="s">
        <v>2333</v>
      </c>
      <c r="N483" s="0" t="s">
        <v>50</v>
      </c>
      <c r="O483" s="5" t="n">
        <v>4</v>
      </c>
      <c r="P483" s="0" t="n">
        <v>3.4</v>
      </c>
      <c r="Q483" s="0" t="s">
        <v>2334</v>
      </c>
      <c r="R483" s="0" t="s">
        <v>52</v>
      </c>
      <c r="S483" s="0" t="s">
        <v>2340</v>
      </c>
      <c r="T483" s="0" t="s">
        <v>54</v>
      </c>
      <c r="U483" s="5" t="n">
        <v>60</v>
      </c>
      <c r="V483" s="0" t="s">
        <v>96</v>
      </c>
      <c r="W483" s="0" t="s">
        <v>148</v>
      </c>
      <c r="X483" s="0" t="s">
        <v>98</v>
      </c>
      <c r="Y483" s="0" t="s">
        <v>58</v>
      </c>
      <c r="Z483" s="0" t="s">
        <v>2324</v>
      </c>
      <c r="AA483" s="0" t="s">
        <v>149</v>
      </c>
      <c r="AB483" s="5" t="n">
        <v>30000</v>
      </c>
      <c r="AC483" s="5" t="n">
        <v>40000</v>
      </c>
      <c r="AD483" s="0" t="s">
        <v>50</v>
      </c>
      <c r="AE483" s="5" t="n">
        <v>5000</v>
      </c>
      <c r="AF483" s="0" t="s">
        <v>60</v>
      </c>
      <c r="AG483" s="7" t="s">
        <v>2382</v>
      </c>
      <c r="AH483" s="0" t="s">
        <v>50</v>
      </c>
      <c r="AI483" s="0" t="s">
        <v>116</v>
      </c>
      <c r="AJ483" s="0" t="s">
        <v>172</v>
      </c>
      <c r="AK483" s="0" t="s">
        <v>63</v>
      </c>
      <c r="AL483" s="0" t="s">
        <v>2344</v>
      </c>
      <c r="AM483" s="0" t="s">
        <v>50</v>
      </c>
      <c r="AN483" s="0" t="s">
        <v>2321</v>
      </c>
      <c r="AO483" s="0" t="s">
        <v>63</v>
      </c>
    </row>
    <row r="484" customFormat="false" ht="15" hidden="false" customHeight="false" outlineLevel="0" collapsed="false">
      <c r="A484" s="0" t="s">
        <v>1237</v>
      </c>
      <c r="B484" s="2" t="s">
        <v>2499</v>
      </c>
      <c r="C484" s="0" t="s">
        <v>105</v>
      </c>
      <c r="D484" s="0" t="n">
        <v>8098184081</v>
      </c>
      <c r="E484" s="0" t="s">
        <v>139</v>
      </c>
      <c r="F484" s="0" t="s">
        <v>2323</v>
      </c>
      <c r="G484" s="0" t="s">
        <v>1238</v>
      </c>
      <c r="H484" s="0" t="s">
        <v>107</v>
      </c>
      <c r="I484" s="3" t="s">
        <v>2317</v>
      </c>
      <c r="J484" s="0" t="s">
        <v>2349</v>
      </c>
      <c r="K484" s="0" t="s">
        <v>48</v>
      </c>
      <c r="L484" s="4" t="n">
        <v>44217</v>
      </c>
      <c r="M484" s="0" t="s">
        <v>49</v>
      </c>
      <c r="N484" s="0" t="s">
        <v>63</v>
      </c>
      <c r="O484" s="5" t="n">
        <v>2</v>
      </c>
      <c r="P484" s="0" t="n">
        <v>3.3</v>
      </c>
      <c r="Q484" s="0" t="s">
        <v>51</v>
      </c>
      <c r="R484" s="0" t="s">
        <v>93</v>
      </c>
      <c r="S484" s="0" t="s">
        <v>2366</v>
      </c>
      <c r="T484" s="0" t="s">
        <v>95</v>
      </c>
      <c r="U484" s="5" t="n">
        <v>45</v>
      </c>
      <c r="V484" s="0" t="s">
        <v>96</v>
      </c>
      <c r="W484" s="0" t="s">
        <v>148</v>
      </c>
      <c r="X484" s="0" t="s">
        <v>98</v>
      </c>
      <c r="Y484" s="0" t="s">
        <v>99</v>
      </c>
      <c r="Z484" s="0" t="s">
        <v>2326</v>
      </c>
      <c r="AA484" s="0" t="s">
        <v>2329</v>
      </c>
      <c r="AB484" s="5" t="n">
        <v>30000</v>
      </c>
      <c r="AC484" s="5" t="n">
        <v>20000</v>
      </c>
      <c r="AD484" s="0" t="s">
        <v>63</v>
      </c>
      <c r="AE484" s="5" t="n">
        <v>10000</v>
      </c>
      <c r="AF484" s="0" t="s">
        <v>60</v>
      </c>
      <c r="AG484" s="7" t="s">
        <v>1491</v>
      </c>
      <c r="AH484" s="0" t="s">
        <v>50</v>
      </c>
      <c r="AI484" s="0" t="s">
        <v>2331</v>
      </c>
      <c r="AJ484" s="0" t="s">
        <v>172</v>
      </c>
      <c r="AK484" s="0" t="s">
        <v>63</v>
      </c>
      <c r="AL484" s="0" t="s">
        <v>63</v>
      </c>
      <c r="AM484" s="0" t="s">
        <v>63</v>
      </c>
      <c r="AN484" s="0" t="s">
        <v>2318</v>
      </c>
      <c r="AO484" s="0" t="s">
        <v>50</v>
      </c>
    </row>
    <row r="485" customFormat="false" ht="15" hidden="false" customHeight="false" outlineLevel="0" collapsed="false">
      <c r="A485" s="0" t="s">
        <v>1239</v>
      </c>
      <c r="B485" s="2" t="s">
        <v>232</v>
      </c>
      <c r="C485" s="0" t="s">
        <v>42</v>
      </c>
      <c r="D485" s="0" t="n">
        <v>8042520097</v>
      </c>
      <c r="E485" s="0" t="s">
        <v>122</v>
      </c>
      <c r="F485" s="0" t="s">
        <v>2316</v>
      </c>
      <c r="G485" s="0" t="s">
        <v>1240</v>
      </c>
      <c r="H485" s="0" t="s">
        <v>69</v>
      </c>
      <c r="I485" s="3" t="s">
        <v>2325</v>
      </c>
      <c r="J485" s="0" t="s">
        <v>2349</v>
      </c>
      <c r="K485" s="0" t="s">
        <v>48</v>
      </c>
      <c r="L485" s="4" t="n">
        <v>30787</v>
      </c>
      <c r="M485" s="0" t="s">
        <v>2333</v>
      </c>
      <c r="N485" s="0" t="s">
        <v>50</v>
      </c>
      <c r="O485" s="5" t="n">
        <v>4</v>
      </c>
      <c r="P485" s="0" t="n">
        <v>5.3</v>
      </c>
      <c r="Q485" s="0" t="s">
        <v>92</v>
      </c>
      <c r="R485" s="0" t="s">
        <v>73</v>
      </c>
      <c r="S485" s="0" t="s">
        <v>2340</v>
      </c>
      <c r="T485" s="0" t="s">
        <v>54</v>
      </c>
      <c r="U485" s="5" t="n">
        <v>45</v>
      </c>
      <c r="V485" s="0" t="s">
        <v>112</v>
      </c>
      <c r="W485" s="0" t="s">
        <v>2328</v>
      </c>
      <c r="X485" s="0" t="s">
        <v>128</v>
      </c>
      <c r="Y485" s="0" t="s">
        <v>196</v>
      </c>
      <c r="Z485" s="0" t="s">
        <v>177</v>
      </c>
      <c r="AA485" s="0" t="s">
        <v>2329</v>
      </c>
      <c r="AB485" s="5" t="n">
        <v>30000</v>
      </c>
      <c r="AC485" s="5" t="n">
        <v>30000</v>
      </c>
      <c r="AD485" s="0" t="s">
        <v>50</v>
      </c>
      <c r="AE485" s="5" t="n">
        <v>5000</v>
      </c>
      <c r="AF485" s="0" t="s">
        <v>2338</v>
      </c>
      <c r="AG485" s="7" t="s">
        <v>2330</v>
      </c>
      <c r="AH485" s="0" t="s">
        <v>50</v>
      </c>
      <c r="AI485" s="0" t="s">
        <v>2331</v>
      </c>
      <c r="AJ485" s="0" t="s">
        <v>2331</v>
      </c>
      <c r="AK485" s="0" t="s">
        <v>50</v>
      </c>
      <c r="AL485" s="0" t="s">
        <v>63</v>
      </c>
      <c r="AM485" s="0" t="s">
        <v>50</v>
      </c>
      <c r="AN485" s="0" t="s">
        <v>2321</v>
      </c>
      <c r="AO485" s="0" t="s">
        <v>63</v>
      </c>
    </row>
    <row r="486" customFormat="false" ht="15" hidden="false" customHeight="false" outlineLevel="0" collapsed="false">
      <c r="A486" s="0" t="s">
        <v>1241</v>
      </c>
      <c r="B486" s="2" t="s">
        <v>2391</v>
      </c>
      <c r="C486" s="0" t="s">
        <v>42</v>
      </c>
      <c r="D486" s="0" t="n">
        <v>8068750274</v>
      </c>
      <c r="E486" s="0" t="s">
        <v>43</v>
      </c>
      <c r="F486" s="0" t="s">
        <v>2315</v>
      </c>
      <c r="G486" s="0" t="s">
        <v>1242</v>
      </c>
      <c r="H486" s="0" t="s">
        <v>45</v>
      </c>
      <c r="I486" s="3" t="s">
        <v>87</v>
      </c>
      <c r="J486" s="0" t="s">
        <v>189</v>
      </c>
      <c r="K486" s="0" t="s">
        <v>48</v>
      </c>
      <c r="L486" s="4" t="n">
        <v>118497</v>
      </c>
      <c r="M486" s="0" t="s">
        <v>49</v>
      </c>
      <c r="N486" s="0" t="s">
        <v>50</v>
      </c>
      <c r="O486" s="5" t="n">
        <v>3.09882352941176</v>
      </c>
      <c r="P486" s="0" t="n">
        <v>3.7</v>
      </c>
      <c r="Q486" s="0" t="s">
        <v>111</v>
      </c>
      <c r="R486" s="0" t="s">
        <v>93</v>
      </c>
      <c r="S486" s="0" t="s">
        <v>2340</v>
      </c>
      <c r="T486" s="0" t="s">
        <v>54</v>
      </c>
      <c r="U486" s="5" t="n">
        <v>60</v>
      </c>
      <c r="V486" s="0" t="s">
        <v>2352</v>
      </c>
      <c r="W486" s="0" t="s">
        <v>155</v>
      </c>
      <c r="X486" s="0" t="s">
        <v>98</v>
      </c>
      <c r="Y486" s="0" t="s">
        <v>58</v>
      </c>
      <c r="Z486" s="0" t="s">
        <v>2324</v>
      </c>
      <c r="AA486" s="0" t="s">
        <v>79</v>
      </c>
      <c r="AB486" s="5" t="n">
        <v>15000</v>
      </c>
      <c r="AC486" s="5" t="n">
        <v>31553.738317757</v>
      </c>
      <c r="AD486" s="0" t="s">
        <v>63</v>
      </c>
      <c r="AE486" s="5" t="n">
        <v>10000</v>
      </c>
      <c r="AF486" s="0" t="s">
        <v>60</v>
      </c>
      <c r="AG486" s="7" t="s">
        <v>537</v>
      </c>
      <c r="AH486" s="0" t="s">
        <v>63</v>
      </c>
      <c r="AI486" s="0" t="s">
        <v>171</v>
      </c>
      <c r="AJ486" s="0" t="s">
        <v>2331</v>
      </c>
      <c r="AK486" s="0" t="s">
        <v>50</v>
      </c>
      <c r="AL486" s="0" t="s">
        <v>50</v>
      </c>
      <c r="AM486" s="0" t="s">
        <v>63</v>
      </c>
      <c r="AN486" s="0" t="s">
        <v>2321</v>
      </c>
      <c r="AO486" s="0" t="s">
        <v>2359</v>
      </c>
    </row>
    <row r="487" customFormat="false" ht="15" hidden="false" customHeight="false" outlineLevel="0" collapsed="false">
      <c r="A487" s="0" t="s">
        <v>1243</v>
      </c>
      <c r="B487" s="2" t="s">
        <v>799</v>
      </c>
      <c r="C487" s="0" t="s">
        <v>163</v>
      </c>
      <c r="D487" s="0" t="n">
        <v>8028824809</v>
      </c>
      <c r="E487" s="0" t="s">
        <v>67</v>
      </c>
      <c r="F487" s="0" t="s">
        <v>2316</v>
      </c>
      <c r="G487" s="0" t="s">
        <v>1244</v>
      </c>
      <c r="H487" s="0" t="s">
        <v>134</v>
      </c>
      <c r="I487" s="3" t="s">
        <v>2317</v>
      </c>
      <c r="J487" s="0" t="s">
        <v>2347</v>
      </c>
      <c r="K487" s="0" t="s">
        <v>48</v>
      </c>
      <c r="L487" s="4" t="n">
        <v>99712</v>
      </c>
      <c r="M487" s="0" t="s">
        <v>2333</v>
      </c>
      <c r="N487" s="0" t="s">
        <v>63</v>
      </c>
      <c r="O487" s="5" t="n">
        <v>3</v>
      </c>
      <c r="P487" s="0" t="n">
        <v>3.1</v>
      </c>
      <c r="Q487" s="0" t="s">
        <v>51</v>
      </c>
      <c r="R487" s="0" t="s">
        <v>73</v>
      </c>
      <c r="S487" s="0" t="s">
        <v>2340</v>
      </c>
      <c r="T487" s="0" t="s">
        <v>2343</v>
      </c>
      <c r="U487" s="5" t="n">
        <v>45</v>
      </c>
      <c r="V487" s="0" t="s">
        <v>112</v>
      </c>
      <c r="W487" s="0" t="s">
        <v>148</v>
      </c>
      <c r="X487" s="0" t="s">
        <v>98</v>
      </c>
      <c r="Y487" s="0" t="s">
        <v>196</v>
      </c>
      <c r="Z487" s="0" t="s">
        <v>2326</v>
      </c>
      <c r="AA487" s="0" t="s">
        <v>79</v>
      </c>
      <c r="AB487" s="5" t="n">
        <v>15000</v>
      </c>
      <c r="AC487" s="5" t="n">
        <v>30000</v>
      </c>
      <c r="AD487" s="0" t="s">
        <v>63</v>
      </c>
      <c r="AE487" s="5" t="n">
        <v>5000</v>
      </c>
      <c r="AF487" s="0" t="s">
        <v>60</v>
      </c>
      <c r="AG487" s="7" t="s">
        <v>2434</v>
      </c>
      <c r="AH487" s="0" t="s">
        <v>50</v>
      </c>
      <c r="AI487" s="0" t="s">
        <v>2331</v>
      </c>
      <c r="AJ487" s="0" t="s">
        <v>2331</v>
      </c>
      <c r="AK487" s="0" t="s">
        <v>63</v>
      </c>
      <c r="AL487" s="0" t="s">
        <v>63</v>
      </c>
      <c r="AM487" s="0" t="s">
        <v>63</v>
      </c>
      <c r="AN487" s="0" t="s">
        <v>2321</v>
      </c>
      <c r="AO487" s="0" t="s">
        <v>63</v>
      </c>
    </row>
    <row r="488" customFormat="false" ht="15" hidden="false" customHeight="false" outlineLevel="0" collapsed="false">
      <c r="A488" s="0" t="s">
        <v>1245</v>
      </c>
      <c r="B488" s="2" t="s">
        <v>2427</v>
      </c>
      <c r="C488" s="0" t="s">
        <v>163</v>
      </c>
      <c r="D488" s="0" t="n">
        <v>8073188059</v>
      </c>
      <c r="E488" s="0" t="s">
        <v>122</v>
      </c>
      <c r="F488" s="0" t="s">
        <v>2316</v>
      </c>
      <c r="G488" s="0" t="s">
        <v>578</v>
      </c>
      <c r="H488" s="0" t="s">
        <v>107</v>
      </c>
      <c r="I488" s="3" t="s">
        <v>2322</v>
      </c>
      <c r="J488" s="0" t="s">
        <v>2349</v>
      </c>
      <c r="K488" s="0" t="s">
        <v>71</v>
      </c>
      <c r="L488" s="4" t="n">
        <v>92802</v>
      </c>
      <c r="M488" s="0" t="s">
        <v>2333</v>
      </c>
      <c r="N488" s="0" t="s">
        <v>50</v>
      </c>
      <c r="O488" s="5" t="n">
        <v>3.09905660377359</v>
      </c>
      <c r="P488" s="0" t="n">
        <v>4.8</v>
      </c>
      <c r="Q488" s="0" t="s">
        <v>111</v>
      </c>
      <c r="R488" s="0" t="s">
        <v>52</v>
      </c>
      <c r="S488" s="0" t="s">
        <v>2366</v>
      </c>
      <c r="T488" s="0" t="s">
        <v>75</v>
      </c>
      <c r="U488" s="5" t="n">
        <v>45</v>
      </c>
      <c r="V488" s="0" t="s">
        <v>55</v>
      </c>
      <c r="W488" s="0" t="s">
        <v>148</v>
      </c>
      <c r="X488" s="0" t="s">
        <v>78</v>
      </c>
      <c r="Y488" s="0" t="s">
        <v>99</v>
      </c>
      <c r="Z488" s="0" t="s">
        <v>177</v>
      </c>
      <c r="AA488" s="0" t="s">
        <v>79</v>
      </c>
      <c r="AB488" s="5" t="n">
        <v>26901.4084507042</v>
      </c>
      <c r="AC488" s="5" t="n">
        <v>31557.3770491803</v>
      </c>
      <c r="AD488" s="0" t="s">
        <v>50</v>
      </c>
      <c r="AE488" s="5" t="n">
        <v>5000</v>
      </c>
      <c r="AF488" s="0" t="s">
        <v>60</v>
      </c>
      <c r="AG488" s="7" t="s">
        <v>2467</v>
      </c>
      <c r="AH488" s="0" t="s">
        <v>50</v>
      </c>
      <c r="AI488" s="0" t="s">
        <v>116</v>
      </c>
      <c r="AJ488" s="0" t="s">
        <v>2331</v>
      </c>
      <c r="AK488" s="0" t="s">
        <v>50</v>
      </c>
      <c r="AL488" s="0" t="s">
        <v>63</v>
      </c>
      <c r="AM488" s="0" t="s">
        <v>63</v>
      </c>
      <c r="AN488" s="0" t="s">
        <v>2321</v>
      </c>
      <c r="AO488" s="0" t="s">
        <v>50</v>
      </c>
    </row>
    <row r="489" customFormat="false" ht="15" hidden="false" customHeight="false" outlineLevel="0" collapsed="false">
      <c r="A489" s="0" t="s">
        <v>1246</v>
      </c>
      <c r="B489" s="2" t="s">
        <v>2401</v>
      </c>
      <c r="C489" s="0" t="s">
        <v>66</v>
      </c>
      <c r="D489" s="0" t="n">
        <v>8047465789</v>
      </c>
      <c r="E489" s="0" t="s">
        <v>67</v>
      </c>
      <c r="F489" s="0" t="s">
        <v>2316</v>
      </c>
      <c r="G489" s="0" t="s">
        <v>1247</v>
      </c>
      <c r="H489" s="0" t="s">
        <v>107</v>
      </c>
      <c r="I489" s="3" t="s">
        <v>87</v>
      </c>
      <c r="J489" s="0" t="s">
        <v>189</v>
      </c>
      <c r="K489" s="0" t="s">
        <v>71</v>
      </c>
      <c r="L489" s="4" t="n">
        <v>94153</v>
      </c>
      <c r="M489" s="0" t="s">
        <v>49</v>
      </c>
      <c r="N489" s="0" t="s">
        <v>63</v>
      </c>
      <c r="O489" s="5" t="n">
        <v>3</v>
      </c>
      <c r="P489" s="0" t="n">
        <v>2.9</v>
      </c>
      <c r="Q489" s="0" t="s">
        <v>92</v>
      </c>
      <c r="R489" s="0" t="s">
        <v>93</v>
      </c>
      <c r="S489" s="0" t="s">
        <v>2340</v>
      </c>
      <c r="T489" s="0" t="s">
        <v>95</v>
      </c>
      <c r="U489" s="5" t="n">
        <v>15</v>
      </c>
      <c r="V489" s="0" t="s">
        <v>2352</v>
      </c>
      <c r="W489" s="0" t="s">
        <v>2337</v>
      </c>
      <c r="X489" s="0" t="s">
        <v>78</v>
      </c>
      <c r="Y489" s="0" t="s">
        <v>196</v>
      </c>
      <c r="Z489" s="0" t="s">
        <v>2324</v>
      </c>
      <c r="AA489" s="0" t="s">
        <v>79</v>
      </c>
      <c r="AB489" s="5" t="n">
        <v>25092.5925925926</v>
      </c>
      <c r="AC489" s="5" t="n">
        <v>30000</v>
      </c>
      <c r="AD489" s="0" t="s">
        <v>50</v>
      </c>
      <c r="AE489" s="5" t="n">
        <v>10000</v>
      </c>
      <c r="AF489" s="0" t="s">
        <v>60</v>
      </c>
      <c r="AG489" s="7" t="s">
        <v>215</v>
      </c>
      <c r="AH489" s="0" t="s">
        <v>50</v>
      </c>
      <c r="AI489" s="0" t="s">
        <v>2331</v>
      </c>
      <c r="AJ489" s="0" t="s">
        <v>2331</v>
      </c>
      <c r="AK489" s="0" t="s">
        <v>2344</v>
      </c>
      <c r="AL489" s="0" t="s">
        <v>63</v>
      </c>
      <c r="AM489" s="0" t="s">
        <v>63</v>
      </c>
      <c r="AN489" s="0" t="s">
        <v>2321</v>
      </c>
      <c r="AO489" s="0" t="s">
        <v>2359</v>
      </c>
    </row>
    <row r="490" customFormat="false" ht="15" hidden="false" customHeight="false" outlineLevel="0" collapsed="false">
      <c r="A490" s="0" t="s">
        <v>1248</v>
      </c>
      <c r="B490" s="2" t="s">
        <v>353</v>
      </c>
      <c r="C490" s="0" t="s">
        <v>105</v>
      </c>
      <c r="D490" s="0" t="n">
        <v>8031658249</v>
      </c>
      <c r="E490" s="0" t="s">
        <v>43</v>
      </c>
      <c r="F490" s="0" t="s">
        <v>2315</v>
      </c>
      <c r="G490" s="0" t="s">
        <v>1249</v>
      </c>
      <c r="H490" s="0" t="s">
        <v>107</v>
      </c>
      <c r="I490" s="3" t="s">
        <v>87</v>
      </c>
      <c r="J490" s="0" t="s">
        <v>189</v>
      </c>
      <c r="K490" s="0" t="s">
        <v>109</v>
      </c>
      <c r="L490" s="4" t="n">
        <v>10993</v>
      </c>
      <c r="M490" s="0" t="s">
        <v>2333</v>
      </c>
      <c r="N490" s="0" t="s">
        <v>63</v>
      </c>
      <c r="O490" s="5" t="n">
        <v>5</v>
      </c>
      <c r="P490" s="0" t="n">
        <v>1</v>
      </c>
      <c r="Q490" s="0" t="s">
        <v>125</v>
      </c>
      <c r="R490" s="0" t="s">
        <v>93</v>
      </c>
      <c r="S490" s="0" t="s">
        <v>53</v>
      </c>
      <c r="T490" s="0" t="s">
        <v>95</v>
      </c>
      <c r="U490" s="5" t="n">
        <v>15</v>
      </c>
      <c r="V490" s="0" t="s">
        <v>96</v>
      </c>
      <c r="W490" s="0" t="s">
        <v>155</v>
      </c>
      <c r="X490" s="0" t="s">
        <v>78</v>
      </c>
      <c r="Y490" s="0" t="s">
        <v>58</v>
      </c>
      <c r="Z490" s="0" t="s">
        <v>2324</v>
      </c>
      <c r="AA490" s="0" t="s">
        <v>79</v>
      </c>
      <c r="AB490" s="5" t="n">
        <v>20000</v>
      </c>
      <c r="AC490" s="5" t="n">
        <v>31561.0328638498</v>
      </c>
      <c r="AD490" s="0" t="s">
        <v>63</v>
      </c>
      <c r="AE490" s="5" t="n">
        <v>5000</v>
      </c>
      <c r="AF490" s="0" t="s">
        <v>2338</v>
      </c>
      <c r="AG490" s="7" t="s">
        <v>2376</v>
      </c>
      <c r="AH490" s="0" t="s">
        <v>50</v>
      </c>
      <c r="AI490" s="0" t="s">
        <v>171</v>
      </c>
      <c r="AJ490" s="0" t="s">
        <v>117</v>
      </c>
      <c r="AK490" s="0" t="s">
        <v>63</v>
      </c>
      <c r="AL490" s="0" t="s">
        <v>50</v>
      </c>
      <c r="AM490" s="0" t="s">
        <v>2344</v>
      </c>
      <c r="AN490" s="0" t="s">
        <v>64</v>
      </c>
      <c r="AO490" s="0" t="s">
        <v>63</v>
      </c>
    </row>
    <row r="491" customFormat="false" ht="15" hidden="false" customHeight="false" outlineLevel="0" collapsed="false">
      <c r="A491" s="0" t="s">
        <v>1251</v>
      </c>
      <c r="B491" s="2" t="s">
        <v>1250</v>
      </c>
      <c r="C491" s="0" t="s">
        <v>66</v>
      </c>
      <c r="D491" s="0" t="n">
        <v>8032896080</v>
      </c>
      <c r="E491" s="0" t="s">
        <v>122</v>
      </c>
      <c r="F491" s="0" t="s">
        <v>2316</v>
      </c>
      <c r="G491" s="0" t="s">
        <v>1252</v>
      </c>
      <c r="H491" s="0" t="s">
        <v>87</v>
      </c>
      <c r="I491" s="3" t="s">
        <v>2325</v>
      </c>
      <c r="J491" s="0" t="s">
        <v>2339</v>
      </c>
      <c r="K491" s="0" t="s">
        <v>48</v>
      </c>
      <c r="L491" s="4" t="n">
        <v>39076</v>
      </c>
      <c r="M491" s="0" t="s">
        <v>2333</v>
      </c>
      <c r="N491" s="0" t="s">
        <v>63</v>
      </c>
      <c r="O491" s="5" t="n">
        <v>3.09478672985782</v>
      </c>
      <c r="P491" s="0" t="n">
        <v>5.6</v>
      </c>
      <c r="Q491" s="0" t="s">
        <v>125</v>
      </c>
      <c r="R491" s="0" t="s">
        <v>73</v>
      </c>
      <c r="S491" s="0" t="s">
        <v>2335</v>
      </c>
      <c r="T491" s="0" t="s">
        <v>95</v>
      </c>
      <c r="U491" s="5" t="n">
        <v>15</v>
      </c>
      <c r="V491" s="0" t="s">
        <v>112</v>
      </c>
      <c r="W491" s="0" t="s">
        <v>2328</v>
      </c>
      <c r="X491" s="0" t="s">
        <v>98</v>
      </c>
      <c r="Y491" s="0" t="s">
        <v>99</v>
      </c>
      <c r="Z491" s="0" t="s">
        <v>2329</v>
      </c>
      <c r="AA491" s="0" t="s">
        <v>79</v>
      </c>
      <c r="AB491" s="5" t="n">
        <v>25000</v>
      </c>
      <c r="AC491" s="5" t="n">
        <v>20000</v>
      </c>
      <c r="AD491" s="0" t="s">
        <v>50</v>
      </c>
      <c r="AE491" s="5" t="n">
        <v>10000</v>
      </c>
      <c r="AF491" s="0" t="s">
        <v>184</v>
      </c>
      <c r="AG491" s="7" t="s">
        <v>421</v>
      </c>
      <c r="AH491" s="0" t="s">
        <v>63</v>
      </c>
      <c r="AI491" s="0" t="s">
        <v>2331</v>
      </c>
      <c r="AJ491" s="0" t="s">
        <v>2331</v>
      </c>
      <c r="AK491" s="0" t="s">
        <v>63</v>
      </c>
      <c r="AL491" s="0" t="s">
        <v>63</v>
      </c>
      <c r="AM491" s="0" t="s">
        <v>63</v>
      </c>
      <c r="AN491" s="0" t="s">
        <v>2321</v>
      </c>
      <c r="AO491" s="0" t="s">
        <v>50</v>
      </c>
    </row>
    <row r="492" customFormat="false" ht="15" hidden="false" customHeight="false" outlineLevel="0" collapsed="false">
      <c r="A492" s="0" t="s">
        <v>1253</v>
      </c>
      <c r="B492" s="2" t="s">
        <v>666</v>
      </c>
      <c r="C492" s="0" t="s">
        <v>121</v>
      </c>
      <c r="D492" s="0" t="n">
        <v>8012424794</v>
      </c>
      <c r="E492" s="0" t="s">
        <v>67</v>
      </c>
      <c r="F492" s="0" t="s">
        <v>2316</v>
      </c>
      <c r="G492" s="0" t="s">
        <v>1254</v>
      </c>
      <c r="H492" s="0" t="s">
        <v>107</v>
      </c>
      <c r="I492" s="3" t="s">
        <v>2317</v>
      </c>
      <c r="J492" s="0" t="s">
        <v>2341</v>
      </c>
      <c r="K492" s="0" t="s">
        <v>48</v>
      </c>
      <c r="L492" s="4" t="n">
        <v>101907</v>
      </c>
      <c r="M492" s="0" t="s">
        <v>49</v>
      </c>
      <c r="N492" s="0" t="s">
        <v>50</v>
      </c>
      <c r="O492" s="5" t="n">
        <v>4</v>
      </c>
      <c r="P492" s="0" t="n">
        <v>2.5</v>
      </c>
      <c r="Q492" s="0" t="s">
        <v>51</v>
      </c>
      <c r="R492" s="0" t="s">
        <v>93</v>
      </c>
      <c r="S492" s="0" t="s">
        <v>2340</v>
      </c>
      <c r="T492" s="0" t="s">
        <v>54</v>
      </c>
      <c r="U492" s="5" t="n">
        <v>45</v>
      </c>
      <c r="V492" s="0" t="s">
        <v>55</v>
      </c>
      <c r="W492" s="0" t="s">
        <v>2337</v>
      </c>
      <c r="X492" s="0" t="s">
        <v>98</v>
      </c>
      <c r="Y492" s="0" t="s">
        <v>196</v>
      </c>
      <c r="Z492" s="0" t="s">
        <v>2329</v>
      </c>
      <c r="AA492" s="0" t="s">
        <v>79</v>
      </c>
      <c r="AB492" s="5" t="n">
        <v>40000</v>
      </c>
      <c r="AC492" s="5" t="n">
        <v>30000</v>
      </c>
      <c r="AD492" s="0" t="s">
        <v>63</v>
      </c>
      <c r="AE492" s="5" t="n">
        <v>5000</v>
      </c>
      <c r="AF492" s="0" t="s">
        <v>60</v>
      </c>
      <c r="AG492" s="7" t="s">
        <v>2330</v>
      </c>
      <c r="AH492" s="0" t="s">
        <v>50</v>
      </c>
      <c r="AI492" s="0" t="s">
        <v>2331</v>
      </c>
      <c r="AJ492" s="0" t="s">
        <v>117</v>
      </c>
      <c r="AK492" s="0" t="s">
        <v>50</v>
      </c>
      <c r="AL492" s="0" t="s">
        <v>50</v>
      </c>
      <c r="AM492" s="0" t="s">
        <v>63</v>
      </c>
      <c r="AN492" s="0" t="s">
        <v>64</v>
      </c>
      <c r="AO492" s="0" t="s">
        <v>50</v>
      </c>
    </row>
    <row r="493" customFormat="false" ht="15" hidden="false" customHeight="false" outlineLevel="0" collapsed="false">
      <c r="A493" s="0" t="s">
        <v>1255</v>
      </c>
      <c r="B493" s="2" t="s">
        <v>267</v>
      </c>
      <c r="C493" s="0" t="s">
        <v>163</v>
      </c>
      <c r="D493" s="0" t="n">
        <v>8091468625</v>
      </c>
      <c r="E493" s="0" t="s">
        <v>139</v>
      </c>
      <c r="F493" s="0" t="s">
        <v>2323</v>
      </c>
      <c r="G493" s="0" t="s">
        <v>1256</v>
      </c>
      <c r="H493" s="0" t="s">
        <v>134</v>
      </c>
      <c r="I493" s="3" t="s">
        <v>87</v>
      </c>
      <c r="J493" s="0" t="s">
        <v>2347</v>
      </c>
      <c r="K493" s="0" t="s">
        <v>71</v>
      </c>
      <c r="L493" s="4" t="n">
        <v>103104</v>
      </c>
      <c r="M493" s="0" t="s">
        <v>2333</v>
      </c>
      <c r="N493" s="0" t="s">
        <v>63</v>
      </c>
      <c r="O493" s="5" t="n">
        <v>2</v>
      </c>
      <c r="P493" s="0" t="n">
        <v>3.6</v>
      </c>
      <c r="Q493" s="0" t="s">
        <v>2334</v>
      </c>
      <c r="R493" s="0" t="s">
        <v>52</v>
      </c>
      <c r="S493" s="0" t="s">
        <v>2340</v>
      </c>
      <c r="T493" s="0" t="s">
        <v>75</v>
      </c>
      <c r="U493" s="5" t="n">
        <v>45</v>
      </c>
      <c r="V493" s="0" t="s">
        <v>55</v>
      </c>
      <c r="W493" s="0" t="s">
        <v>148</v>
      </c>
      <c r="X493" s="0" t="s">
        <v>98</v>
      </c>
      <c r="Y493" s="0" t="s">
        <v>99</v>
      </c>
      <c r="Z493" s="0" t="s">
        <v>2329</v>
      </c>
      <c r="AA493" s="0" t="s">
        <v>161</v>
      </c>
      <c r="AB493" s="5" t="n">
        <v>27027.027027027</v>
      </c>
      <c r="AC493" s="5" t="n">
        <v>30000</v>
      </c>
      <c r="AD493" s="0" t="s">
        <v>50</v>
      </c>
      <c r="AE493" s="5" t="n">
        <v>0</v>
      </c>
      <c r="AF493" s="0" t="s">
        <v>60</v>
      </c>
      <c r="AG493" s="7" t="s">
        <v>1437</v>
      </c>
      <c r="AH493" s="0" t="s">
        <v>2329</v>
      </c>
      <c r="AI493" s="0" t="s">
        <v>2331</v>
      </c>
      <c r="AJ493" s="0" t="s">
        <v>2331</v>
      </c>
      <c r="AK493" s="0" t="s">
        <v>63</v>
      </c>
      <c r="AL493" s="0" t="s">
        <v>2344</v>
      </c>
      <c r="AM493" s="0" t="s">
        <v>2344</v>
      </c>
      <c r="AN493" s="0" t="s">
        <v>64</v>
      </c>
      <c r="AO493" s="0" t="s">
        <v>2359</v>
      </c>
    </row>
    <row r="494" customFormat="false" ht="15" hidden="false" customHeight="false" outlineLevel="0" collapsed="false">
      <c r="A494" s="0" t="s">
        <v>1257</v>
      </c>
      <c r="B494" s="2" t="s">
        <v>2383</v>
      </c>
      <c r="C494" s="0" t="s">
        <v>42</v>
      </c>
      <c r="D494" s="0" t="n">
        <v>8023490911</v>
      </c>
      <c r="E494" s="0" t="s">
        <v>139</v>
      </c>
      <c r="F494" s="0" t="s">
        <v>2323</v>
      </c>
      <c r="G494" s="0" t="s">
        <v>1258</v>
      </c>
      <c r="H494" s="0" t="s">
        <v>134</v>
      </c>
      <c r="I494" s="3" t="s">
        <v>87</v>
      </c>
      <c r="J494" s="0" t="s">
        <v>2347</v>
      </c>
      <c r="K494" s="0" t="s">
        <v>109</v>
      </c>
      <c r="L494" s="4" t="n">
        <v>47415</v>
      </c>
      <c r="M494" s="0" t="s">
        <v>49</v>
      </c>
      <c r="N494" s="0" t="s">
        <v>50</v>
      </c>
      <c r="O494" s="5" t="n">
        <v>2</v>
      </c>
      <c r="P494" s="0" t="n">
        <v>2.9</v>
      </c>
      <c r="Q494" s="0" t="s">
        <v>111</v>
      </c>
      <c r="R494" s="0" t="s">
        <v>52</v>
      </c>
      <c r="S494" s="0" t="s">
        <v>2366</v>
      </c>
      <c r="T494" s="0" t="s">
        <v>147</v>
      </c>
      <c r="U494" s="5" t="n">
        <v>30</v>
      </c>
      <c r="V494" s="0" t="s">
        <v>55</v>
      </c>
      <c r="W494" s="0" t="s">
        <v>2337</v>
      </c>
      <c r="X494" s="0" t="s">
        <v>128</v>
      </c>
      <c r="Y494" s="0" t="s">
        <v>196</v>
      </c>
      <c r="Z494" s="0" t="s">
        <v>2329</v>
      </c>
      <c r="AA494" s="0" t="s">
        <v>149</v>
      </c>
      <c r="AB494" s="5" t="n">
        <v>25000</v>
      </c>
      <c r="AC494" s="5" t="n">
        <v>20000</v>
      </c>
      <c r="AD494" s="0" t="s">
        <v>63</v>
      </c>
      <c r="AE494" s="5" t="n">
        <v>0</v>
      </c>
      <c r="AF494" s="0" t="s">
        <v>184</v>
      </c>
      <c r="AG494" s="7" t="s">
        <v>571</v>
      </c>
      <c r="AH494" s="0" t="s">
        <v>2329</v>
      </c>
      <c r="AI494" s="0" t="s">
        <v>171</v>
      </c>
      <c r="AJ494" s="0" t="s">
        <v>2331</v>
      </c>
      <c r="AK494" s="0" t="s">
        <v>63</v>
      </c>
      <c r="AL494" s="0" t="s">
        <v>50</v>
      </c>
      <c r="AM494" s="0" t="s">
        <v>2344</v>
      </c>
      <c r="AN494" s="0" t="s">
        <v>2318</v>
      </c>
      <c r="AO494" s="0" t="s">
        <v>50</v>
      </c>
    </row>
    <row r="495" customFormat="false" ht="15" hidden="false" customHeight="false" outlineLevel="0" collapsed="false">
      <c r="A495" s="0" t="s">
        <v>1259</v>
      </c>
      <c r="B495" s="2" t="s">
        <v>2450</v>
      </c>
      <c r="C495" s="0" t="s">
        <v>42</v>
      </c>
      <c r="D495" s="0" t="n">
        <v>8033788294</v>
      </c>
      <c r="E495" s="0" t="s">
        <v>43</v>
      </c>
      <c r="F495" s="0" t="s">
        <v>2315</v>
      </c>
      <c r="G495" s="0" t="s">
        <v>1260</v>
      </c>
      <c r="H495" s="0" t="s">
        <v>134</v>
      </c>
      <c r="I495" s="3" t="s">
        <v>2317</v>
      </c>
      <c r="J495" s="0" t="s">
        <v>2341</v>
      </c>
      <c r="K495" s="0" t="s">
        <v>90</v>
      </c>
      <c r="L495" s="4" t="n">
        <v>14244</v>
      </c>
      <c r="M495" s="0" t="s">
        <v>2333</v>
      </c>
      <c r="N495" s="0" t="s">
        <v>63</v>
      </c>
      <c r="O495" s="5" t="n">
        <v>3.09785202863962</v>
      </c>
      <c r="P495" s="0" t="n">
        <v>2.3</v>
      </c>
      <c r="Q495" s="0" t="s">
        <v>51</v>
      </c>
      <c r="R495" s="0" t="s">
        <v>52</v>
      </c>
      <c r="S495" s="0" t="s">
        <v>2340</v>
      </c>
      <c r="T495" s="0" t="s">
        <v>147</v>
      </c>
      <c r="U495" s="5" t="n">
        <v>15</v>
      </c>
      <c r="V495" s="0" t="s">
        <v>55</v>
      </c>
      <c r="W495" s="0" t="s">
        <v>155</v>
      </c>
      <c r="X495" s="0" t="s">
        <v>98</v>
      </c>
      <c r="Y495" s="0" t="s">
        <v>58</v>
      </c>
      <c r="Z495" s="0" t="s">
        <v>2326</v>
      </c>
      <c r="AA495" s="0" t="s">
        <v>161</v>
      </c>
      <c r="AB495" s="5" t="n">
        <v>27278.4810126582</v>
      </c>
      <c r="AC495" s="5" t="n">
        <v>35000</v>
      </c>
      <c r="AD495" s="0" t="s">
        <v>50</v>
      </c>
      <c r="AE495" s="5" t="n">
        <v>0</v>
      </c>
      <c r="AF495" s="0" t="s">
        <v>130</v>
      </c>
      <c r="AG495" s="7" t="s">
        <v>2330</v>
      </c>
      <c r="AH495" s="0" t="s">
        <v>50</v>
      </c>
      <c r="AI495" s="0" t="s">
        <v>2331</v>
      </c>
      <c r="AJ495" s="0" t="s">
        <v>2320</v>
      </c>
      <c r="AK495" s="0" t="s">
        <v>2344</v>
      </c>
      <c r="AL495" s="0" t="s">
        <v>50</v>
      </c>
      <c r="AM495" s="0" t="s">
        <v>50</v>
      </c>
      <c r="AN495" s="0" t="s">
        <v>2321</v>
      </c>
      <c r="AO495" s="0" t="s">
        <v>50</v>
      </c>
    </row>
    <row r="496" customFormat="false" ht="15" hidden="false" customHeight="false" outlineLevel="0" collapsed="false">
      <c r="A496" s="0" t="s">
        <v>1261</v>
      </c>
      <c r="B496" s="2" t="s">
        <v>2425</v>
      </c>
      <c r="C496" s="0" t="s">
        <v>66</v>
      </c>
      <c r="D496" s="0" t="n">
        <v>8049479427</v>
      </c>
      <c r="E496" s="0" t="s">
        <v>122</v>
      </c>
      <c r="F496" s="0" t="s">
        <v>2316</v>
      </c>
      <c r="G496" s="0" t="s">
        <v>1262</v>
      </c>
      <c r="H496" s="0" t="s">
        <v>45</v>
      </c>
      <c r="I496" s="3" t="s">
        <v>87</v>
      </c>
      <c r="J496" s="0" t="s">
        <v>2339</v>
      </c>
      <c r="K496" s="0" t="s">
        <v>48</v>
      </c>
      <c r="L496" s="4" t="n">
        <v>42728</v>
      </c>
      <c r="M496" s="0" t="s">
        <v>110</v>
      </c>
      <c r="N496" s="0" t="s">
        <v>63</v>
      </c>
      <c r="O496" s="5" t="n">
        <v>3.09785202863962</v>
      </c>
      <c r="P496" s="0" t="n">
        <v>1.3</v>
      </c>
      <c r="Q496" s="0" t="s">
        <v>92</v>
      </c>
      <c r="R496" s="0" t="s">
        <v>93</v>
      </c>
      <c r="S496" s="0" t="s">
        <v>2340</v>
      </c>
      <c r="T496" s="0" t="s">
        <v>54</v>
      </c>
      <c r="U496" s="5" t="n">
        <v>30</v>
      </c>
      <c r="V496" s="0" t="s">
        <v>112</v>
      </c>
      <c r="W496" s="0" t="s">
        <v>2328</v>
      </c>
      <c r="X496" s="0" t="s">
        <v>128</v>
      </c>
      <c r="Y496" s="0" t="s">
        <v>99</v>
      </c>
      <c r="Z496" s="0" t="s">
        <v>2329</v>
      </c>
      <c r="AA496" s="0" t="s">
        <v>2329</v>
      </c>
      <c r="AB496" s="5" t="n">
        <v>40000</v>
      </c>
      <c r="AC496" s="5" t="n">
        <v>40000</v>
      </c>
      <c r="AD496" s="0" t="s">
        <v>63</v>
      </c>
      <c r="AE496" s="5" t="n">
        <v>10000</v>
      </c>
      <c r="AF496" s="0" t="s">
        <v>60</v>
      </c>
      <c r="AG496" s="7" t="s">
        <v>2500</v>
      </c>
      <c r="AH496" s="0" t="s">
        <v>50</v>
      </c>
      <c r="AI496" s="0" t="s">
        <v>171</v>
      </c>
      <c r="AJ496" s="0" t="s">
        <v>2331</v>
      </c>
      <c r="AK496" s="0" t="s">
        <v>50</v>
      </c>
      <c r="AL496" s="0" t="s">
        <v>50</v>
      </c>
      <c r="AM496" s="0" t="s">
        <v>63</v>
      </c>
      <c r="AN496" s="0" t="s">
        <v>2321</v>
      </c>
      <c r="AO496" s="0" t="s">
        <v>50</v>
      </c>
    </row>
    <row r="497" customFormat="false" ht="15" hidden="false" customHeight="false" outlineLevel="0" collapsed="false">
      <c r="A497" s="0" t="s">
        <v>1263</v>
      </c>
      <c r="B497" s="2" t="s">
        <v>2449</v>
      </c>
      <c r="C497" s="0" t="s">
        <v>66</v>
      </c>
      <c r="D497" s="0" t="n">
        <v>8026663316</v>
      </c>
      <c r="E497" s="0" t="s">
        <v>67</v>
      </c>
      <c r="F497" s="0" t="s">
        <v>2316</v>
      </c>
      <c r="G497" s="0" t="s">
        <v>1264</v>
      </c>
      <c r="H497" s="0" t="s">
        <v>69</v>
      </c>
      <c r="I497" s="3" t="s">
        <v>2322</v>
      </c>
      <c r="J497" s="0" t="s">
        <v>189</v>
      </c>
      <c r="K497" s="0" t="s">
        <v>90</v>
      </c>
      <c r="L497" s="4" t="n">
        <v>17687</v>
      </c>
      <c r="M497" s="0" t="s">
        <v>110</v>
      </c>
      <c r="N497" s="0" t="s">
        <v>50</v>
      </c>
      <c r="O497" s="5" t="n">
        <v>1</v>
      </c>
      <c r="P497" s="0" t="n">
        <v>4.5</v>
      </c>
      <c r="Q497" s="0" t="s">
        <v>125</v>
      </c>
      <c r="R497" s="0" t="s">
        <v>73</v>
      </c>
      <c r="S497" s="0" t="s">
        <v>2340</v>
      </c>
      <c r="T497" s="0" t="s">
        <v>147</v>
      </c>
      <c r="U497" s="5" t="n">
        <v>60</v>
      </c>
      <c r="V497" s="0" t="s">
        <v>112</v>
      </c>
      <c r="W497" s="0" t="s">
        <v>148</v>
      </c>
      <c r="X497" s="0" t="s">
        <v>98</v>
      </c>
      <c r="Y497" s="0" t="s">
        <v>196</v>
      </c>
      <c r="Z497" s="0" t="s">
        <v>2329</v>
      </c>
      <c r="AA497" s="0" t="s">
        <v>143</v>
      </c>
      <c r="AB497" s="5" t="n">
        <v>30000</v>
      </c>
      <c r="AC497" s="5" t="n">
        <v>35000</v>
      </c>
      <c r="AD497" s="0" t="s">
        <v>50</v>
      </c>
      <c r="AE497" s="5" t="n">
        <v>0</v>
      </c>
      <c r="AF497" s="0" t="s">
        <v>184</v>
      </c>
      <c r="AG497" s="7" t="s">
        <v>2330</v>
      </c>
      <c r="AH497" s="0" t="s">
        <v>63</v>
      </c>
      <c r="AI497" s="0" t="s">
        <v>2331</v>
      </c>
      <c r="AJ497" s="0" t="s">
        <v>2320</v>
      </c>
      <c r="AK497" s="0" t="s">
        <v>63</v>
      </c>
      <c r="AL497" s="0" t="s">
        <v>63</v>
      </c>
      <c r="AM497" s="0" t="s">
        <v>2344</v>
      </c>
      <c r="AN497" s="0" t="s">
        <v>2321</v>
      </c>
      <c r="AO497" s="0" t="s">
        <v>63</v>
      </c>
    </row>
    <row r="498" customFormat="false" ht="15" hidden="false" customHeight="false" outlineLevel="0" collapsed="false">
      <c r="A498" s="0" t="s">
        <v>1265</v>
      </c>
      <c r="B498" s="2" t="s">
        <v>489</v>
      </c>
      <c r="C498" s="0" t="s">
        <v>163</v>
      </c>
      <c r="D498" s="0" t="n">
        <v>8081760022</v>
      </c>
      <c r="E498" s="0" t="s">
        <v>67</v>
      </c>
      <c r="F498" s="0" t="s">
        <v>2316</v>
      </c>
      <c r="G498" s="0" t="s">
        <v>1266</v>
      </c>
      <c r="H498" s="0" t="s">
        <v>45</v>
      </c>
      <c r="I498" s="3" t="s">
        <v>2322</v>
      </c>
      <c r="J498" s="0" t="s">
        <v>2341</v>
      </c>
      <c r="K498" s="0" t="s">
        <v>71</v>
      </c>
      <c r="L498" s="4" t="n">
        <v>26343</v>
      </c>
      <c r="M498" s="0" t="s">
        <v>49</v>
      </c>
      <c r="N498" s="0" t="s">
        <v>63</v>
      </c>
      <c r="O498" s="5" t="n">
        <v>3.10287081339713</v>
      </c>
      <c r="P498" s="0" t="n">
        <v>3.1</v>
      </c>
      <c r="Q498" s="0" t="s">
        <v>111</v>
      </c>
      <c r="R498" s="0" t="s">
        <v>52</v>
      </c>
      <c r="S498" s="0" t="s">
        <v>2366</v>
      </c>
      <c r="T498" s="0" t="s">
        <v>75</v>
      </c>
      <c r="U498" s="5" t="n">
        <v>60</v>
      </c>
      <c r="V498" s="0" t="s">
        <v>2336</v>
      </c>
      <c r="W498" s="0" t="s">
        <v>2337</v>
      </c>
      <c r="X498" s="0" t="s">
        <v>128</v>
      </c>
      <c r="Y498" s="0" t="s">
        <v>99</v>
      </c>
      <c r="Z498" s="0" t="s">
        <v>2324</v>
      </c>
      <c r="AA498" s="0" t="s">
        <v>149</v>
      </c>
      <c r="AB498" s="5" t="n">
        <v>30000</v>
      </c>
      <c r="AC498" s="5" t="n">
        <v>35000</v>
      </c>
      <c r="AD498" s="0" t="s">
        <v>63</v>
      </c>
      <c r="AE498" s="5" t="n">
        <v>0</v>
      </c>
      <c r="AF498" s="0" t="s">
        <v>60</v>
      </c>
      <c r="AG498" s="7" t="s">
        <v>1523</v>
      </c>
      <c r="AH498" s="0" t="s">
        <v>63</v>
      </c>
      <c r="AI498" s="0" t="s">
        <v>2331</v>
      </c>
      <c r="AJ498" s="0" t="s">
        <v>172</v>
      </c>
      <c r="AK498" s="0" t="s">
        <v>2344</v>
      </c>
      <c r="AL498" s="0" t="s">
        <v>50</v>
      </c>
      <c r="AM498" s="0" t="s">
        <v>50</v>
      </c>
      <c r="AN498" s="0" t="s">
        <v>2321</v>
      </c>
      <c r="AO498" s="0" t="s">
        <v>63</v>
      </c>
    </row>
    <row r="499" customFormat="false" ht="15" hidden="false" customHeight="false" outlineLevel="0" collapsed="false">
      <c r="A499" s="0" t="s">
        <v>1267</v>
      </c>
      <c r="B499" s="2" t="s">
        <v>2433</v>
      </c>
      <c r="C499" s="0" t="s">
        <v>66</v>
      </c>
      <c r="D499" s="0" t="n">
        <v>8062458932</v>
      </c>
      <c r="E499" s="0" t="s">
        <v>139</v>
      </c>
      <c r="F499" s="0" t="s">
        <v>2323</v>
      </c>
      <c r="G499" s="0" t="s">
        <v>1268</v>
      </c>
      <c r="H499" s="0" t="s">
        <v>45</v>
      </c>
      <c r="I499" s="3" t="s">
        <v>2322</v>
      </c>
      <c r="J499" s="0" t="s">
        <v>2349</v>
      </c>
      <c r="K499" s="0" t="s">
        <v>71</v>
      </c>
      <c r="L499" s="4" t="n">
        <v>12209</v>
      </c>
      <c r="M499" s="0" t="s">
        <v>49</v>
      </c>
      <c r="N499" s="0" t="s">
        <v>50</v>
      </c>
      <c r="O499" s="5" t="n">
        <v>5</v>
      </c>
      <c r="P499" s="0" t="n">
        <v>1.2</v>
      </c>
      <c r="Q499" s="0" t="s">
        <v>125</v>
      </c>
      <c r="R499" s="0" t="s">
        <v>73</v>
      </c>
      <c r="S499" s="0" t="s">
        <v>2340</v>
      </c>
      <c r="T499" s="0" t="s">
        <v>75</v>
      </c>
      <c r="U499" s="5" t="n">
        <v>37.2151898734177</v>
      </c>
      <c r="V499" s="0" t="s">
        <v>55</v>
      </c>
      <c r="W499" s="0" t="s">
        <v>155</v>
      </c>
      <c r="X499" s="0" t="s">
        <v>98</v>
      </c>
      <c r="Y499" s="0" t="s">
        <v>114</v>
      </c>
      <c r="Z499" s="0" t="s">
        <v>2329</v>
      </c>
      <c r="AA499" s="0" t="s">
        <v>161</v>
      </c>
      <c r="AB499" s="5" t="n">
        <v>40000</v>
      </c>
      <c r="AC499" s="5" t="n">
        <v>31578.9473684211</v>
      </c>
      <c r="AD499" s="0" t="s">
        <v>63</v>
      </c>
      <c r="AE499" s="5" t="n">
        <v>10000</v>
      </c>
      <c r="AF499" s="0" t="s">
        <v>184</v>
      </c>
      <c r="AG499" s="7" t="s">
        <v>2357</v>
      </c>
      <c r="AH499" s="0" t="s">
        <v>50</v>
      </c>
      <c r="AI499" s="0" t="s">
        <v>2331</v>
      </c>
      <c r="AJ499" s="0" t="s">
        <v>172</v>
      </c>
      <c r="AK499" s="0" t="s">
        <v>63</v>
      </c>
      <c r="AL499" s="0" t="s">
        <v>2344</v>
      </c>
      <c r="AM499" s="0" t="s">
        <v>50</v>
      </c>
      <c r="AN499" s="0" t="s">
        <v>64</v>
      </c>
      <c r="AO499" s="0" t="s">
        <v>50</v>
      </c>
    </row>
    <row r="500" customFormat="false" ht="15" hidden="false" customHeight="false" outlineLevel="0" collapsed="false">
      <c r="A500" s="0" t="s">
        <v>1269</v>
      </c>
      <c r="B500" s="2" t="s">
        <v>2399</v>
      </c>
      <c r="C500" s="0" t="s">
        <v>42</v>
      </c>
      <c r="D500" s="0" t="n">
        <v>8032609429</v>
      </c>
      <c r="E500" s="0" t="s">
        <v>43</v>
      </c>
      <c r="F500" s="0" t="s">
        <v>2315</v>
      </c>
      <c r="G500" s="0" t="s">
        <v>1270</v>
      </c>
      <c r="H500" s="0" t="s">
        <v>45</v>
      </c>
      <c r="I500" s="3" t="s">
        <v>2317</v>
      </c>
      <c r="J500" s="0" t="s">
        <v>2349</v>
      </c>
      <c r="K500" s="0" t="s">
        <v>90</v>
      </c>
      <c r="L500" s="4" t="n">
        <v>90758</v>
      </c>
      <c r="M500" s="0" t="s">
        <v>49</v>
      </c>
      <c r="N500" s="0" t="s">
        <v>63</v>
      </c>
      <c r="O500" s="5" t="n">
        <v>2</v>
      </c>
      <c r="P500" s="0" t="n">
        <v>1.5</v>
      </c>
      <c r="Q500" s="0" t="s">
        <v>2334</v>
      </c>
      <c r="R500" s="0" t="s">
        <v>93</v>
      </c>
      <c r="S500" s="0" t="s">
        <v>2340</v>
      </c>
      <c r="T500" s="0" t="s">
        <v>147</v>
      </c>
      <c r="U500" s="5" t="n">
        <v>37.2151898734177</v>
      </c>
      <c r="V500" s="0" t="s">
        <v>2336</v>
      </c>
      <c r="W500" s="0" t="s">
        <v>155</v>
      </c>
      <c r="X500" s="0" t="s">
        <v>98</v>
      </c>
      <c r="Y500" s="0" t="s">
        <v>58</v>
      </c>
      <c r="Z500" s="0" t="s">
        <v>59</v>
      </c>
      <c r="AA500" s="0" t="s">
        <v>161</v>
      </c>
      <c r="AB500" s="5" t="n">
        <v>25000</v>
      </c>
      <c r="AC500" s="5" t="n">
        <v>31578.9473684211</v>
      </c>
      <c r="AD500" s="0" t="s">
        <v>63</v>
      </c>
      <c r="AE500" s="5" t="n">
        <v>0</v>
      </c>
      <c r="AF500" s="0" t="s">
        <v>184</v>
      </c>
      <c r="AG500" s="7" t="s">
        <v>2330</v>
      </c>
      <c r="AH500" s="0" t="s">
        <v>50</v>
      </c>
      <c r="AI500" s="0" t="s">
        <v>2331</v>
      </c>
      <c r="AJ500" s="0" t="s">
        <v>2331</v>
      </c>
      <c r="AK500" s="0" t="s">
        <v>63</v>
      </c>
      <c r="AL500" s="0" t="s">
        <v>63</v>
      </c>
      <c r="AM500" s="0" t="s">
        <v>50</v>
      </c>
      <c r="AN500" s="0" t="s">
        <v>64</v>
      </c>
      <c r="AO500" s="0" t="s">
        <v>2359</v>
      </c>
    </row>
    <row r="501" customFormat="false" ht="15" hidden="false" customHeight="false" outlineLevel="0" collapsed="false">
      <c r="A501" s="0" t="s">
        <v>1271</v>
      </c>
      <c r="B501" s="2" t="s">
        <v>592</v>
      </c>
      <c r="C501" s="0" t="s">
        <v>42</v>
      </c>
      <c r="D501" s="0" t="n">
        <v>8020413322</v>
      </c>
      <c r="E501" s="0" t="s">
        <v>122</v>
      </c>
      <c r="F501" s="0" t="s">
        <v>2316</v>
      </c>
      <c r="G501" s="0" t="s">
        <v>1272</v>
      </c>
      <c r="H501" s="0" t="s">
        <v>107</v>
      </c>
      <c r="I501" s="3" t="s">
        <v>2325</v>
      </c>
      <c r="J501" s="0" t="s">
        <v>2341</v>
      </c>
      <c r="K501" s="0" t="s">
        <v>48</v>
      </c>
      <c r="L501" s="4" t="n">
        <v>57603</v>
      </c>
      <c r="M501" s="0" t="s">
        <v>110</v>
      </c>
      <c r="N501" s="0" t="s">
        <v>50</v>
      </c>
      <c r="O501" s="5" t="n">
        <v>2</v>
      </c>
      <c r="P501" s="0" t="n">
        <v>6</v>
      </c>
      <c r="Q501" s="0" t="s">
        <v>125</v>
      </c>
      <c r="R501" s="0" t="s">
        <v>93</v>
      </c>
      <c r="S501" s="0" t="s">
        <v>53</v>
      </c>
      <c r="T501" s="0" t="s">
        <v>54</v>
      </c>
      <c r="U501" s="5" t="n">
        <v>15</v>
      </c>
      <c r="V501" s="0" t="s">
        <v>112</v>
      </c>
      <c r="W501" s="0" t="s">
        <v>2337</v>
      </c>
      <c r="X501" s="0" t="s">
        <v>128</v>
      </c>
      <c r="Y501" s="0" t="s">
        <v>196</v>
      </c>
      <c r="Z501" s="0" t="s">
        <v>2324</v>
      </c>
      <c r="AA501" s="0" t="s">
        <v>161</v>
      </c>
      <c r="AB501" s="5" t="n">
        <v>30000</v>
      </c>
      <c r="AC501" s="5" t="n">
        <v>35000</v>
      </c>
      <c r="AD501" s="0" t="s">
        <v>63</v>
      </c>
      <c r="AE501" s="5" t="n">
        <v>5000</v>
      </c>
      <c r="AF501" s="0" t="s">
        <v>2338</v>
      </c>
      <c r="AG501" s="7" t="s">
        <v>2330</v>
      </c>
      <c r="AH501" s="0" t="s">
        <v>50</v>
      </c>
      <c r="AI501" s="0" t="s">
        <v>116</v>
      </c>
      <c r="AJ501" s="0" t="s">
        <v>2331</v>
      </c>
      <c r="AK501" s="0" t="s">
        <v>2344</v>
      </c>
      <c r="AL501" s="0" t="s">
        <v>63</v>
      </c>
      <c r="AM501" s="0" t="s">
        <v>63</v>
      </c>
      <c r="AN501" s="0" t="s">
        <v>2321</v>
      </c>
      <c r="AO501" s="0" t="s">
        <v>2359</v>
      </c>
    </row>
    <row r="502" customFormat="false" ht="15" hidden="false" customHeight="false" outlineLevel="0" collapsed="false">
      <c r="A502" s="0" t="s">
        <v>1273</v>
      </c>
      <c r="B502" s="2" t="s">
        <v>674</v>
      </c>
      <c r="C502" s="0" t="s">
        <v>42</v>
      </c>
      <c r="D502" s="0" t="n">
        <v>8011504663</v>
      </c>
      <c r="E502" s="0" t="s">
        <v>139</v>
      </c>
      <c r="F502" s="0" t="s">
        <v>2323</v>
      </c>
      <c r="G502" s="0" t="s">
        <v>1274</v>
      </c>
      <c r="H502" s="0" t="s">
        <v>45</v>
      </c>
      <c r="I502" s="3" t="s">
        <v>87</v>
      </c>
      <c r="J502" s="0" t="s">
        <v>2349</v>
      </c>
      <c r="K502" s="0" t="s">
        <v>48</v>
      </c>
      <c r="L502" s="4" t="n">
        <v>63154</v>
      </c>
      <c r="M502" s="0" t="s">
        <v>2333</v>
      </c>
      <c r="N502" s="0" t="s">
        <v>63</v>
      </c>
      <c r="O502" s="5" t="n">
        <v>3</v>
      </c>
      <c r="P502" s="0" t="n">
        <v>3.3</v>
      </c>
      <c r="Q502" s="0" t="s">
        <v>92</v>
      </c>
      <c r="R502" s="0" t="s">
        <v>73</v>
      </c>
      <c r="S502" s="0" t="s">
        <v>2340</v>
      </c>
      <c r="T502" s="0" t="s">
        <v>75</v>
      </c>
      <c r="U502" s="5" t="n">
        <v>37.2151898734177</v>
      </c>
      <c r="V502" s="0" t="s">
        <v>2352</v>
      </c>
      <c r="W502" s="0" t="s">
        <v>2328</v>
      </c>
      <c r="X502" s="0" t="s">
        <v>78</v>
      </c>
      <c r="Y502" s="0" t="s">
        <v>196</v>
      </c>
      <c r="Z502" s="0" t="s">
        <v>2329</v>
      </c>
      <c r="AA502" s="0" t="s">
        <v>149</v>
      </c>
      <c r="AB502" s="5" t="n">
        <v>26739.1304347826</v>
      </c>
      <c r="AC502" s="5" t="n">
        <v>31570.7434052758</v>
      </c>
      <c r="AD502" s="0" t="s">
        <v>50</v>
      </c>
      <c r="AE502" s="5" t="n">
        <v>0</v>
      </c>
      <c r="AF502" s="0" t="s">
        <v>2338</v>
      </c>
      <c r="AG502" s="7" t="s">
        <v>2330</v>
      </c>
      <c r="AH502" s="0" t="s">
        <v>50</v>
      </c>
      <c r="AI502" s="0" t="s">
        <v>171</v>
      </c>
      <c r="AJ502" s="0" t="s">
        <v>117</v>
      </c>
      <c r="AK502" s="0" t="s">
        <v>50</v>
      </c>
      <c r="AL502" s="0" t="s">
        <v>50</v>
      </c>
      <c r="AM502" s="0" t="s">
        <v>2344</v>
      </c>
      <c r="AN502" s="0" t="s">
        <v>2321</v>
      </c>
      <c r="AO502" s="0" t="s">
        <v>50</v>
      </c>
    </row>
    <row r="503" customFormat="false" ht="15" hidden="false" customHeight="false" outlineLevel="0" collapsed="false">
      <c r="A503" s="0" t="s">
        <v>1275</v>
      </c>
      <c r="B503" s="2" t="s">
        <v>1370</v>
      </c>
      <c r="C503" s="0" t="s">
        <v>121</v>
      </c>
      <c r="D503" s="0" t="n">
        <v>8046675298</v>
      </c>
      <c r="E503" s="0" t="s">
        <v>139</v>
      </c>
      <c r="F503" s="0" t="s">
        <v>2323</v>
      </c>
      <c r="G503" s="0" t="s">
        <v>1276</v>
      </c>
      <c r="H503" s="0" t="s">
        <v>69</v>
      </c>
      <c r="I503" s="3" t="s">
        <v>2317</v>
      </c>
      <c r="J503" s="0" t="s">
        <v>2349</v>
      </c>
      <c r="K503" s="0" t="s">
        <v>71</v>
      </c>
      <c r="L503" s="4" t="n">
        <v>75062</v>
      </c>
      <c r="M503" s="0" t="s">
        <v>110</v>
      </c>
      <c r="N503" s="0" t="s">
        <v>50</v>
      </c>
      <c r="O503" s="5" t="n">
        <v>3</v>
      </c>
      <c r="P503" s="0" t="n">
        <v>5.7</v>
      </c>
      <c r="Q503" s="0" t="s">
        <v>51</v>
      </c>
      <c r="R503" s="0" t="s">
        <v>93</v>
      </c>
      <c r="S503" s="0" t="s">
        <v>2335</v>
      </c>
      <c r="T503" s="0" t="s">
        <v>75</v>
      </c>
      <c r="U503" s="5" t="n">
        <v>60</v>
      </c>
      <c r="V503" s="0" t="s">
        <v>55</v>
      </c>
      <c r="W503" s="0" t="s">
        <v>155</v>
      </c>
      <c r="X503" s="0" t="s">
        <v>98</v>
      </c>
      <c r="Y503" s="0" t="s">
        <v>58</v>
      </c>
      <c r="Z503" s="0" t="s">
        <v>177</v>
      </c>
      <c r="AA503" s="0" t="s">
        <v>149</v>
      </c>
      <c r="AB503" s="5" t="n">
        <v>30000</v>
      </c>
      <c r="AC503" s="5" t="n">
        <v>30000</v>
      </c>
      <c r="AD503" s="0" t="s">
        <v>50</v>
      </c>
      <c r="AE503" s="5" t="n">
        <v>5000</v>
      </c>
      <c r="AF503" s="0" t="s">
        <v>60</v>
      </c>
      <c r="AG503" s="7" t="s">
        <v>486</v>
      </c>
      <c r="AH503" s="0" t="s">
        <v>63</v>
      </c>
      <c r="AI503" s="0" t="s">
        <v>2331</v>
      </c>
      <c r="AJ503" s="0" t="s">
        <v>117</v>
      </c>
      <c r="AK503" s="0" t="s">
        <v>2344</v>
      </c>
      <c r="AL503" s="0" t="s">
        <v>2344</v>
      </c>
      <c r="AM503" s="0" t="s">
        <v>63</v>
      </c>
      <c r="AN503" s="0" t="s">
        <v>2321</v>
      </c>
      <c r="AO503" s="0" t="s">
        <v>2359</v>
      </c>
    </row>
    <row r="504" customFormat="false" ht="15" hidden="false" customHeight="false" outlineLevel="0" collapsed="false">
      <c r="A504" s="0" t="s">
        <v>1277</v>
      </c>
      <c r="B504" s="2" t="s">
        <v>2466</v>
      </c>
      <c r="C504" s="0" t="s">
        <v>66</v>
      </c>
      <c r="D504" s="0" t="n">
        <v>8030601948</v>
      </c>
      <c r="E504" s="0" t="s">
        <v>85</v>
      </c>
      <c r="F504" s="0" t="s">
        <v>2319</v>
      </c>
      <c r="G504" s="0" t="s">
        <v>1278</v>
      </c>
      <c r="H504" s="0" t="s">
        <v>69</v>
      </c>
      <c r="I504" s="3" t="s">
        <v>87</v>
      </c>
      <c r="J504" s="0" t="s">
        <v>47</v>
      </c>
      <c r="K504" s="0" t="s">
        <v>109</v>
      </c>
      <c r="L504" s="4" t="n">
        <v>83980</v>
      </c>
      <c r="M504" s="0" t="s">
        <v>49</v>
      </c>
      <c r="N504" s="0" t="s">
        <v>50</v>
      </c>
      <c r="O504" s="5" t="n">
        <v>3</v>
      </c>
      <c r="P504" s="0" t="n">
        <v>4.2</v>
      </c>
      <c r="Q504" s="0" t="s">
        <v>92</v>
      </c>
      <c r="R504" s="0" t="s">
        <v>52</v>
      </c>
      <c r="S504" s="0" t="s">
        <v>2335</v>
      </c>
      <c r="T504" s="0" t="s">
        <v>147</v>
      </c>
      <c r="U504" s="5" t="n">
        <v>15</v>
      </c>
      <c r="V504" s="0" t="s">
        <v>2352</v>
      </c>
      <c r="W504" s="0" t="s">
        <v>155</v>
      </c>
      <c r="X504" s="0" t="s">
        <v>128</v>
      </c>
      <c r="Y504" s="0" t="s">
        <v>58</v>
      </c>
      <c r="Z504" s="0" t="s">
        <v>2324</v>
      </c>
      <c r="AA504" s="0" t="s">
        <v>161</v>
      </c>
      <c r="AB504" s="5" t="n">
        <v>20000</v>
      </c>
      <c r="AC504" s="5" t="n">
        <v>30000</v>
      </c>
      <c r="AD504" s="0" t="s">
        <v>50</v>
      </c>
      <c r="AE504" s="5" t="n">
        <v>5000</v>
      </c>
      <c r="AF504" s="0" t="s">
        <v>60</v>
      </c>
      <c r="AG504" s="7" t="s">
        <v>2330</v>
      </c>
      <c r="AH504" s="0" t="s">
        <v>63</v>
      </c>
      <c r="AI504" s="0" t="s">
        <v>2331</v>
      </c>
      <c r="AJ504" s="0" t="s">
        <v>117</v>
      </c>
      <c r="AK504" s="0" t="s">
        <v>50</v>
      </c>
      <c r="AL504" s="0" t="s">
        <v>50</v>
      </c>
      <c r="AM504" s="0" t="s">
        <v>50</v>
      </c>
      <c r="AN504" s="0" t="s">
        <v>2318</v>
      </c>
      <c r="AO504" s="0" t="s">
        <v>50</v>
      </c>
    </row>
    <row r="505" customFormat="false" ht="15" hidden="false" customHeight="false" outlineLevel="0" collapsed="false">
      <c r="A505" s="0" t="s">
        <v>1279</v>
      </c>
      <c r="B505" s="2" t="s">
        <v>2413</v>
      </c>
      <c r="C505" s="0" t="s">
        <v>163</v>
      </c>
      <c r="D505" s="0" t="n">
        <v>8069144114</v>
      </c>
      <c r="E505" s="0" t="s">
        <v>139</v>
      </c>
      <c r="F505" s="0" t="s">
        <v>2323</v>
      </c>
      <c r="G505" s="0" t="s">
        <v>1280</v>
      </c>
      <c r="H505" s="0" t="s">
        <v>45</v>
      </c>
      <c r="I505" s="3" t="s">
        <v>2322</v>
      </c>
      <c r="J505" s="0" t="s">
        <v>2347</v>
      </c>
      <c r="K505" s="0" t="s">
        <v>90</v>
      </c>
      <c r="L505" s="4" t="n">
        <v>110717</v>
      </c>
      <c r="M505" s="0" t="s">
        <v>110</v>
      </c>
      <c r="N505" s="0" t="s">
        <v>50</v>
      </c>
      <c r="O505" s="5" t="n">
        <v>4</v>
      </c>
      <c r="P505" s="0" t="n">
        <v>2</v>
      </c>
      <c r="Q505" s="0" t="s">
        <v>111</v>
      </c>
      <c r="R505" s="0" t="s">
        <v>93</v>
      </c>
      <c r="S505" s="0" t="s">
        <v>2340</v>
      </c>
      <c r="T505" s="0" t="s">
        <v>147</v>
      </c>
      <c r="U505" s="5" t="n">
        <v>45</v>
      </c>
      <c r="V505" s="0" t="s">
        <v>55</v>
      </c>
      <c r="W505" s="0" t="s">
        <v>155</v>
      </c>
      <c r="X505" s="0" t="s">
        <v>128</v>
      </c>
      <c r="Y505" s="0" t="s">
        <v>196</v>
      </c>
      <c r="Z505" s="0" t="s">
        <v>2326</v>
      </c>
      <c r="AA505" s="0" t="s">
        <v>161</v>
      </c>
      <c r="AB505" s="5" t="n">
        <v>15000</v>
      </c>
      <c r="AC505" s="5" t="n">
        <v>30000</v>
      </c>
      <c r="AD505" s="0" t="s">
        <v>50</v>
      </c>
      <c r="AE505" s="5" t="n">
        <v>0</v>
      </c>
      <c r="AF505" s="0" t="s">
        <v>130</v>
      </c>
      <c r="AG505" s="7" t="s">
        <v>2330</v>
      </c>
      <c r="AH505" s="0" t="s">
        <v>50</v>
      </c>
      <c r="AI505" s="0" t="s">
        <v>116</v>
      </c>
      <c r="AJ505" s="0" t="s">
        <v>2331</v>
      </c>
      <c r="AK505" s="0" t="s">
        <v>63</v>
      </c>
      <c r="AL505" s="0" t="s">
        <v>2344</v>
      </c>
      <c r="AM505" s="0" t="s">
        <v>63</v>
      </c>
      <c r="AN505" s="0" t="s">
        <v>2321</v>
      </c>
      <c r="AO505" s="0" t="s">
        <v>63</v>
      </c>
    </row>
    <row r="506" customFormat="false" ht="15" hidden="false" customHeight="false" outlineLevel="0" collapsed="false">
      <c r="A506" s="0" t="s">
        <v>1281</v>
      </c>
      <c r="B506" s="2" t="s">
        <v>971</v>
      </c>
      <c r="C506" s="0" t="s">
        <v>42</v>
      </c>
      <c r="D506" s="0" t="n">
        <v>8058061622</v>
      </c>
      <c r="E506" s="0" t="s">
        <v>67</v>
      </c>
      <c r="F506" s="0" t="s">
        <v>2316</v>
      </c>
      <c r="G506" s="0" t="s">
        <v>1282</v>
      </c>
      <c r="H506" s="0" t="s">
        <v>107</v>
      </c>
      <c r="I506" s="3" t="s">
        <v>87</v>
      </c>
      <c r="J506" s="0" t="s">
        <v>2347</v>
      </c>
      <c r="K506" s="0" t="s">
        <v>109</v>
      </c>
      <c r="L506" s="4" t="n">
        <v>93864</v>
      </c>
      <c r="M506" s="0" t="s">
        <v>110</v>
      </c>
      <c r="N506" s="0" t="s">
        <v>63</v>
      </c>
      <c r="O506" s="5" t="n">
        <v>1</v>
      </c>
      <c r="P506" s="0" t="n">
        <v>3.7</v>
      </c>
      <c r="Q506" s="0" t="s">
        <v>51</v>
      </c>
      <c r="R506" s="0" t="s">
        <v>73</v>
      </c>
      <c r="S506" s="0" t="s">
        <v>2335</v>
      </c>
      <c r="T506" s="0" t="s">
        <v>2353</v>
      </c>
      <c r="U506" s="5" t="n">
        <v>15</v>
      </c>
      <c r="V506" s="0" t="s">
        <v>96</v>
      </c>
      <c r="W506" s="0" t="s">
        <v>155</v>
      </c>
      <c r="X506" s="0" t="s">
        <v>128</v>
      </c>
      <c r="Y506" s="0" t="s">
        <v>58</v>
      </c>
      <c r="Z506" s="0" t="s">
        <v>2329</v>
      </c>
      <c r="AA506" s="0" t="s">
        <v>149</v>
      </c>
      <c r="AB506" s="5" t="n">
        <v>40000</v>
      </c>
      <c r="AC506" s="5" t="n">
        <v>35000</v>
      </c>
      <c r="AD506" s="0" t="s">
        <v>63</v>
      </c>
      <c r="AE506" s="5" t="n">
        <v>10000</v>
      </c>
      <c r="AF506" s="0" t="s">
        <v>184</v>
      </c>
      <c r="AG506" s="7" t="s">
        <v>2330</v>
      </c>
      <c r="AH506" s="0" t="s">
        <v>50</v>
      </c>
      <c r="AI506" s="0" t="s">
        <v>2331</v>
      </c>
      <c r="AJ506" s="0" t="s">
        <v>2331</v>
      </c>
      <c r="AK506" s="0" t="s">
        <v>63</v>
      </c>
      <c r="AL506" s="0" t="s">
        <v>50</v>
      </c>
      <c r="AM506" s="0" t="s">
        <v>63</v>
      </c>
      <c r="AN506" s="0" t="s">
        <v>64</v>
      </c>
      <c r="AO506" s="0" t="s">
        <v>50</v>
      </c>
    </row>
    <row r="507" customFormat="false" ht="15" hidden="false" customHeight="false" outlineLevel="0" collapsed="false">
      <c r="A507" s="0" t="s">
        <v>1283</v>
      </c>
      <c r="B507" s="2" t="s">
        <v>626</v>
      </c>
      <c r="C507" s="0" t="s">
        <v>121</v>
      </c>
      <c r="D507" s="0" t="n">
        <v>8033882733</v>
      </c>
      <c r="E507" s="0" t="s">
        <v>43</v>
      </c>
      <c r="F507" s="0" t="s">
        <v>2315</v>
      </c>
      <c r="G507" s="0" t="s">
        <v>1284</v>
      </c>
      <c r="H507" s="0" t="s">
        <v>87</v>
      </c>
      <c r="I507" s="3" t="s">
        <v>2322</v>
      </c>
      <c r="J507" s="0" t="s">
        <v>47</v>
      </c>
      <c r="K507" s="0" t="s">
        <v>48</v>
      </c>
      <c r="L507" s="4" t="n">
        <v>69175</v>
      </c>
      <c r="M507" s="0" t="s">
        <v>110</v>
      </c>
      <c r="N507" s="0" t="s">
        <v>63</v>
      </c>
      <c r="O507" s="5" t="n">
        <v>3</v>
      </c>
      <c r="P507" s="0" t="n">
        <v>5.1</v>
      </c>
      <c r="Q507" s="0" t="s">
        <v>2334</v>
      </c>
      <c r="R507" s="0" t="s">
        <v>93</v>
      </c>
      <c r="S507" s="0" t="s">
        <v>2366</v>
      </c>
      <c r="T507" s="0" t="s">
        <v>2343</v>
      </c>
      <c r="U507" s="5" t="n">
        <v>60</v>
      </c>
      <c r="V507" s="0" t="s">
        <v>2352</v>
      </c>
      <c r="W507" s="0" t="s">
        <v>148</v>
      </c>
      <c r="X507" s="0" t="s">
        <v>128</v>
      </c>
      <c r="Y507" s="0" t="s">
        <v>196</v>
      </c>
      <c r="Z507" s="0" t="s">
        <v>177</v>
      </c>
      <c r="AA507" s="0" t="s">
        <v>149</v>
      </c>
      <c r="AB507" s="5" t="n">
        <v>26166.6666666667</v>
      </c>
      <c r="AC507" s="5" t="n">
        <v>30000</v>
      </c>
      <c r="AD507" s="0" t="s">
        <v>50</v>
      </c>
      <c r="AE507" s="5" t="n">
        <v>0</v>
      </c>
      <c r="AF507" s="0" t="s">
        <v>184</v>
      </c>
      <c r="AG507" s="7" t="s">
        <v>2330</v>
      </c>
      <c r="AH507" s="0" t="s">
        <v>50</v>
      </c>
      <c r="AI507" s="0" t="s">
        <v>116</v>
      </c>
      <c r="AJ507" s="0" t="s">
        <v>2331</v>
      </c>
      <c r="AK507" s="0" t="s">
        <v>2344</v>
      </c>
      <c r="AL507" s="0" t="s">
        <v>63</v>
      </c>
      <c r="AM507" s="0" t="s">
        <v>2344</v>
      </c>
      <c r="AN507" s="0" t="s">
        <v>2321</v>
      </c>
      <c r="AO507" s="0" t="s">
        <v>63</v>
      </c>
    </row>
    <row r="508" customFormat="false" ht="15" hidden="false" customHeight="false" outlineLevel="0" collapsed="false">
      <c r="A508" s="0" t="s">
        <v>1285</v>
      </c>
      <c r="B508" s="2" t="s">
        <v>2387</v>
      </c>
      <c r="C508" s="0" t="s">
        <v>66</v>
      </c>
      <c r="D508" s="0" t="n">
        <v>8039081281</v>
      </c>
      <c r="E508" s="0" t="s">
        <v>139</v>
      </c>
      <c r="F508" s="0" t="s">
        <v>2323</v>
      </c>
      <c r="G508" s="0" t="s">
        <v>1286</v>
      </c>
      <c r="H508" s="0" t="s">
        <v>134</v>
      </c>
      <c r="I508" s="3" t="s">
        <v>2342</v>
      </c>
      <c r="J508" s="0" t="s">
        <v>2347</v>
      </c>
      <c r="K508" s="0" t="s">
        <v>71</v>
      </c>
      <c r="L508" s="4" t="n">
        <v>58308</v>
      </c>
      <c r="M508" s="0" t="s">
        <v>2333</v>
      </c>
      <c r="N508" s="0" t="s">
        <v>63</v>
      </c>
      <c r="O508" s="5" t="n">
        <v>5</v>
      </c>
      <c r="P508" s="0" t="n">
        <v>5.6</v>
      </c>
      <c r="Q508" s="0" t="s">
        <v>51</v>
      </c>
      <c r="R508" s="0" t="s">
        <v>93</v>
      </c>
      <c r="S508" s="0" t="s">
        <v>2340</v>
      </c>
      <c r="T508" s="0" t="s">
        <v>75</v>
      </c>
      <c r="U508" s="5" t="n">
        <v>60</v>
      </c>
      <c r="V508" s="0" t="s">
        <v>2352</v>
      </c>
      <c r="W508" s="0" t="s">
        <v>155</v>
      </c>
      <c r="X508" s="0" t="s">
        <v>98</v>
      </c>
      <c r="Y508" s="0" t="s">
        <v>196</v>
      </c>
      <c r="Z508" s="0" t="s">
        <v>177</v>
      </c>
      <c r="AA508" s="0" t="s">
        <v>143</v>
      </c>
      <c r="AB508" s="5" t="n">
        <v>15000</v>
      </c>
      <c r="AC508" s="5" t="n">
        <v>35000</v>
      </c>
      <c r="AD508" s="0" t="s">
        <v>63</v>
      </c>
      <c r="AE508" s="5" t="n">
        <v>10000</v>
      </c>
      <c r="AF508" s="0" t="s">
        <v>60</v>
      </c>
      <c r="AG508" s="7" t="s">
        <v>2372</v>
      </c>
      <c r="AH508" s="0" t="s">
        <v>63</v>
      </c>
      <c r="AI508" s="0" t="s">
        <v>2331</v>
      </c>
      <c r="AJ508" s="0" t="s">
        <v>2320</v>
      </c>
      <c r="AK508" s="0" t="s">
        <v>50</v>
      </c>
      <c r="AL508" s="0" t="s">
        <v>50</v>
      </c>
      <c r="AM508" s="0" t="s">
        <v>2344</v>
      </c>
      <c r="AN508" s="0" t="s">
        <v>64</v>
      </c>
      <c r="AO508" s="0" t="s">
        <v>63</v>
      </c>
    </row>
    <row r="509" customFormat="false" ht="15" hidden="false" customHeight="false" outlineLevel="0" collapsed="false">
      <c r="A509" s="0" t="s">
        <v>1287</v>
      </c>
      <c r="B509" s="2" t="s">
        <v>232</v>
      </c>
      <c r="C509" s="0" t="s">
        <v>105</v>
      </c>
      <c r="D509" s="0" t="n">
        <v>8014623108</v>
      </c>
      <c r="E509" s="0" t="s">
        <v>85</v>
      </c>
      <c r="F509" s="0" t="s">
        <v>2319</v>
      </c>
      <c r="G509" s="0" t="s">
        <v>1288</v>
      </c>
      <c r="H509" s="0" t="s">
        <v>107</v>
      </c>
      <c r="I509" s="3" t="s">
        <v>2317</v>
      </c>
      <c r="J509" s="0" t="s">
        <v>2339</v>
      </c>
      <c r="K509" s="0" t="s">
        <v>90</v>
      </c>
      <c r="L509" s="4" t="n">
        <v>65468</v>
      </c>
      <c r="M509" s="0" t="s">
        <v>2333</v>
      </c>
      <c r="N509" s="0" t="s">
        <v>50</v>
      </c>
      <c r="O509" s="5" t="n">
        <v>5</v>
      </c>
      <c r="P509" s="0" t="n">
        <v>3</v>
      </c>
      <c r="Q509" s="0" t="s">
        <v>125</v>
      </c>
      <c r="R509" s="0" t="s">
        <v>73</v>
      </c>
      <c r="S509" s="0" t="s">
        <v>2335</v>
      </c>
      <c r="T509" s="0" t="s">
        <v>2343</v>
      </c>
      <c r="U509" s="5" t="n">
        <v>15</v>
      </c>
      <c r="V509" s="0" t="s">
        <v>2352</v>
      </c>
      <c r="W509" s="0" t="s">
        <v>155</v>
      </c>
      <c r="X509" s="0" t="s">
        <v>98</v>
      </c>
      <c r="Y509" s="0" t="s">
        <v>114</v>
      </c>
      <c r="Z509" s="0" t="s">
        <v>59</v>
      </c>
      <c r="AA509" s="0" t="s">
        <v>2329</v>
      </c>
      <c r="AB509" s="5" t="n">
        <v>40000</v>
      </c>
      <c r="AC509" s="5" t="n">
        <v>40000</v>
      </c>
      <c r="AD509" s="0" t="s">
        <v>63</v>
      </c>
      <c r="AE509" s="5" t="n">
        <v>5000</v>
      </c>
      <c r="AF509" s="0" t="s">
        <v>130</v>
      </c>
      <c r="AG509" s="7" t="s">
        <v>2330</v>
      </c>
      <c r="AH509" s="0" t="s">
        <v>63</v>
      </c>
      <c r="AI509" s="0" t="s">
        <v>2331</v>
      </c>
      <c r="AJ509" s="0" t="s">
        <v>117</v>
      </c>
      <c r="AK509" s="0" t="s">
        <v>63</v>
      </c>
      <c r="AL509" s="0" t="s">
        <v>50</v>
      </c>
      <c r="AM509" s="0" t="s">
        <v>63</v>
      </c>
      <c r="AN509" s="0" t="s">
        <v>64</v>
      </c>
      <c r="AO509" s="0" t="s">
        <v>2359</v>
      </c>
    </row>
    <row r="510" customFormat="false" ht="15" hidden="false" customHeight="false" outlineLevel="0" collapsed="false">
      <c r="A510" s="0" t="s">
        <v>1289</v>
      </c>
      <c r="B510" s="2" t="s">
        <v>2472</v>
      </c>
      <c r="C510" s="0" t="s">
        <v>163</v>
      </c>
      <c r="D510" s="0" t="n">
        <v>8081443936</v>
      </c>
      <c r="E510" s="0" t="s">
        <v>139</v>
      </c>
      <c r="F510" s="0" t="s">
        <v>2323</v>
      </c>
      <c r="G510" s="0" t="s">
        <v>44</v>
      </c>
      <c r="H510" s="0" t="s">
        <v>45</v>
      </c>
      <c r="I510" s="3" t="s">
        <v>87</v>
      </c>
      <c r="J510" s="0" t="s">
        <v>189</v>
      </c>
      <c r="K510" s="0" t="s">
        <v>90</v>
      </c>
      <c r="L510" s="4" t="n">
        <v>113132</v>
      </c>
      <c r="M510" s="0" t="s">
        <v>2333</v>
      </c>
      <c r="N510" s="0" t="s">
        <v>63</v>
      </c>
      <c r="O510" s="5" t="n">
        <v>4</v>
      </c>
      <c r="P510" s="0" t="n">
        <v>2.3</v>
      </c>
      <c r="Q510" s="0" t="s">
        <v>125</v>
      </c>
      <c r="R510" s="0" t="s">
        <v>52</v>
      </c>
      <c r="S510" s="0" t="s">
        <v>2366</v>
      </c>
      <c r="T510" s="0" t="s">
        <v>54</v>
      </c>
      <c r="U510" s="5" t="n">
        <v>30</v>
      </c>
      <c r="V510" s="0" t="s">
        <v>55</v>
      </c>
      <c r="W510" s="0" t="s">
        <v>2337</v>
      </c>
      <c r="X510" s="0" t="s">
        <v>78</v>
      </c>
      <c r="Y510" s="0" t="s">
        <v>99</v>
      </c>
      <c r="Z510" s="0" t="s">
        <v>2326</v>
      </c>
      <c r="AA510" s="0" t="s">
        <v>149</v>
      </c>
      <c r="AB510" s="5" t="n">
        <v>30000</v>
      </c>
      <c r="AC510" s="5" t="n">
        <v>35000</v>
      </c>
      <c r="AD510" s="0" t="s">
        <v>50</v>
      </c>
      <c r="AE510" s="5" t="n">
        <v>0</v>
      </c>
      <c r="AF510" s="0" t="s">
        <v>60</v>
      </c>
      <c r="AG510" s="7" t="s">
        <v>2499</v>
      </c>
      <c r="AH510" s="0" t="s">
        <v>63</v>
      </c>
      <c r="AI510" s="0" t="s">
        <v>116</v>
      </c>
      <c r="AJ510" s="0" t="s">
        <v>117</v>
      </c>
      <c r="AK510" s="0" t="s">
        <v>63</v>
      </c>
      <c r="AL510" s="0" t="s">
        <v>2344</v>
      </c>
      <c r="AM510" s="0" t="s">
        <v>2344</v>
      </c>
      <c r="AN510" s="0" t="s">
        <v>2321</v>
      </c>
      <c r="AO510" s="0" t="s">
        <v>63</v>
      </c>
    </row>
    <row r="511" customFormat="false" ht="15" hidden="false" customHeight="false" outlineLevel="0" collapsed="false">
      <c r="A511" s="0" t="s">
        <v>1290</v>
      </c>
      <c r="B511" s="2" t="s">
        <v>2351</v>
      </c>
      <c r="C511" s="0" t="s">
        <v>163</v>
      </c>
      <c r="D511" s="0" t="n">
        <v>8039013376</v>
      </c>
      <c r="E511" s="0" t="s">
        <v>67</v>
      </c>
      <c r="F511" s="0" t="s">
        <v>2316</v>
      </c>
      <c r="G511" s="0" t="s">
        <v>1291</v>
      </c>
      <c r="H511" s="0" t="s">
        <v>69</v>
      </c>
      <c r="I511" s="3" t="s">
        <v>87</v>
      </c>
      <c r="J511" s="0" t="s">
        <v>2347</v>
      </c>
      <c r="K511" s="0" t="s">
        <v>109</v>
      </c>
      <c r="L511" s="4" t="n">
        <v>50404</v>
      </c>
      <c r="M511" s="0" t="s">
        <v>110</v>
      </c>
      <c r="N511" s="0" t="s">
        <v>50</v>
      </c>
      <c r="O511" s="5" t="n">
        <v>5</v>
      </c>
      <c r="P511" s="0" t="n">
        <v>5.9</v>
      </c>
      <c r="Q511" s="0" t="s">
        <v>92</v>
      </c>
      <c r="R511" s="0" t="s">
        <v>73</v>
      </c>
      <c r="S511" s="0" t="s">
        <v>2340</v>
      </c>
      <c r="T511" s="0" t="s">
        <v>2343</v>
      </c>
      <c r="U511" s="5" t="n">
        <v>45</v>
      </c>
      <c r="V511" s="0" t="s">
        <v>112</v>
      </c>
      <c r="W511" s="0" t="s">
        <v>2328</v>
      </c>
      <c r="X511" s="0" t="s">
        <v>98</v>
      </c>
      <c r="Y511" s="0" t="s">
        <v>58</v>
      </c>
      <c r="Z511" s="0" t="s">
        <v>2329</v>
      </c>
      <c r="AA511" s="0" t="s">
        <v>79</v>
      </c>
      <c r="AB511" s="5" t="n">
        <v>25000</v>
      </c>
      <c r="AC511" s="5" t="n">
        <v>20000</v>
      </c>
      <c r="AD511" s="0" t="s">
        <v>50</v>
      </c>
      <c r="AE511" s="5" t="n">
        <v>10000</v>
      </c>
      <c r="AF511" s="0" t="s">
        <v>130</v>
      </c>
      <c r="AG511" s="7" t="s">
        <v>1155</v>
      </c>
      <c r="AH511" s="0" t="s">
        <v>63</v>
      </c>
      <c r="AI511" s="0" t="s">
        <v>171</v>
      </c>
      <c r="AJ511" s="0" t="s">
        <v>2320</v>
      </c>
      <c r="AK511" s="0" t="s">
        <v>63</v>
      </c>
      <c r="AL511" s="0" t="s">
        <v>63</v>
      </c>
      <c r="AM511" s="0" t="s">
        <v>63</v>
      </c>
      <c r="AN511" s="0" t="s">
        <v>2321</v>
      </c>
      <c r="AO511" s="0" t="s">
        <v>2359</v>
      </c>
    </row>
    <row r="512" customFormat="false" ht="15" hidden="false" customHeight="false" outlineLevel="0" collapsed="false">
      <c r="A512" s="0" t="s">
        <v>1292</v>
      </c>
      <c r="B512" s="2" t="s">
        <v>2468</v>
      </c>
      <c r="C512" s="0" t="s">
        <v>163</v>
      </c>
      <c r="D512" s="0" t="n">
        <v>8069332039</v>
      </c>
      <c r="E512" s="0" t="s">
        <v>122</v>
      </c>
      <c r="F512" s="0" t="s">
        <v>2316</v>
      </c>
      <c r="G512" s="0" t="s">
        <v>1293</v>
      </c>
      <c r="H512" s="0" t="s">
        <v>87</v>
      </c>
      <c r="I512" s="3" t="s">
        <v>2322</v>
      </c>
      <c r="J512" s="0" t="s">
        <v>47</v>
      </c>
      <c r="K512" s="0" t="s">
        <v>71</v>
      </c>
      <c r="L512" s="4" t="n">
        <v>91645</v>
      </c>
      <c r="M512" s="0" t="s">
        <v>110</v>
      </c>
      <c r="N512" s="0" t="s">
        <v>63</v>
      </c>
      <c r="O512" s="5" t="n">
        <v>5</v>
      </c>
      <c r="P512" s="0" t="n">
        <v>5.8</v>
      </c>
      <c r="Q512" s="0" t="s">
        <v>2334</v>
      </c>
      <c r="R512" s="0" t="s">
        <v>73</v>
      </c>
      <c r="S512" s="0" t="s">
        <v>2340</v>
      </c>
      <c r="T512" s="0" t="s">
        <v>2353</v>
      </c>
      <c r="U512" s="5" t="n">
        <v>30</v>
      </c>
      <c r="V512" s="0" t="s">
        <v>112</v>
      </c>
      <c r="W512" s="0" t="s">
        <v>155</v>
      </c>
      <c r="X512" s="0" t="s">
        <v>78</v>
      </c>
      <c r="Y512" s="0" t="s">
        <v>58</v>
      </c>
      <c r="Z512" s="0" t="s">
        <v>2329</v>
      </c>
      <c r="AA512" s="0" t="s">
        <v>79</v>
      </c>
      <c r="AB512" s="5" t="n">
        <v>30000</v>
      </c>
      <c r="AC512" s="5" t="n">
        <v>31568.6274509804</v>
      </c>
      <c r="AD512" s="0" t="s">
        <v>50</v>
      </c>
      <c r="AE512" s="5" t="n">
        <v>5000</v>
      </c>
      <c r="AF512" s="0" t="s">
        <v>60</v>
      </c>
      <c r="AG512" s="7" t="s">
        <v>2501</v>
      </c>
      <c r="AH512" s="0" t="s">
        <v>63</v>
      </c>
      <c r="AI512" s="0" t="s">
        <v>116</v>
      </c>
      <c r="AJ512" s="0" t="s">
        <v>2320</v>
      </c>
      <c r="AK512" s="0" t="s">
        <v>50</v>
      </c>
      <c r="AL512" s="0" t="s">
        <v>50</v>
      </c>
      <c r="AM512" s="0" t="s">
        <v>50</v>
      </c>
      <c r="AN512" s="0" t="s">
        <v>2321</v>
      </c>
      <c r="AO512" s="0" t="s">
        <v>50</v>
      </c>
    </row>
    <row r="513" customFormat="false" ht="15" hidden="false" customHeight="false" outlineLevel="0" collapsed="false">
      <c r="A513" s="0" t="s">
        <v>1294</v>
      </c>
      <c r="B513" s="2" t="s">
        <v>531</v>
      </c>
      <c r="C513" s="0" t="s">
        <v>163</v>
      </c>
      <c r="D513" s="0" t="n">
        <v>8016409704</v>
      </c>
      <c r="E513" s="0" t="s">
        <v>122</v>
      </c>
      <c r="F513" s="0" t="s">
        <v>2316</v>
      </c>
      <c r="G513" s="0" t="s">
        <v>1295</v>
      </c>
      <c r="H513" s="0" t="s">
        <v>45</v>
      </c>
      <c r="I513" s="3" t="s">
        <v>2325</v>
      </c>
      <c r="J513" s="0" t="s">
        <v>2341</v>
      </c>
      <c r="K513" s="0" t="s">
        <v>109</v>
      </c>
      <c r="L513" s="4" t="n">
        <v>18504</v>
      </c>
      <c r="M513" s="0" t="s">
        <v>2333</v>
      </c>
      <c r="N513" s="0" t="s">
        <v>63</v>
      </c>
      <c r="O513" s="5" t="n">
        <v>5</v>
      </c>
      <c r="P513" s="0" t="n">
        <v>1.2</v>
      </c>
      <c r="Q513" s="0" t="s">
        <v>92</v>
      </c>
      <c r="R513" s="0" t="s">
        <v>52</v>
      </c>
      <c r="S513" s="0" t="s">
        <v>53</v>
      </c>
      <c r="T513" s="0" t="s">
        <v>75</v>
      </c>
      <c r="U513" s="5" t="n">
        <v>15</v>
      </c>
      <c r="V513" s="0" t="s">
        <v>55</v>
      </c>
      <c r="W513" s="0" t="s">
        <v>155</v>
      </c>
      <c r="X513" s="0" t="s">
        <v>128</v>
      </c>
      <c r="Y513" s="0" t="s">
        <v>99</v>
      </c>
      <c r="Z513" s="0" t="s">
        <v>59</v>
      </c>
      <c r="AA513" s="0" t="s">
        <v>79</v>
      </c>
      <c r="AB513" s="5" t="n">
        <v>20000</v>
      </c>
      <c r="AC513" s="5" t="n">
        <v>20000</v>
      </c>
      <c r="AD513" s="0" t="s">
        <v>63</v>
      </c>
      <c r="AE513" s="5" t="n">
        <v>10000</v>
      </c>
      <c r="AF513" s="0" t="s">
        <v>130</v>
      </c>
      <c r="AG513" s="7" t="s">
        <v>2330</v>
      </c>
      <c r="AH513" s="0" t="s">
        <v>2329</v>
      </c>
      <c r="AI513" s="0" t="s">
        <v>2331</v>
      </c>
      <c r="AJ513" s="0" t="s">
        <v>117</v>
      </c>
      <c r="AK513" s="0" t="s">
        <v>50</v>
      </c>
      <c r="AL513" s="0" t="s">
        <v>50</v>
      </c>
      <c r="AM513" s="0" t="s">
        <v>2344</v>
      </c>
      <c r="AN513" s="0" t="s">
        <v>2318</v>
      </c>
      <c r="AO513" s="0" t="s">
        <v>63</v>
      </c>
    </row>
    <row r="514" customFormat="false" ht="15" hidden="false" customHeight="false" outlineLevel="0" collapsed="false">
      <c r="A514" s="0" t="s">
        <v>1296</v>
      </c>
      <c r="B514" s="2" t="s">
        <v>2437</v>
      </c>
      <c r="C514" s="0" t="s">
        <v>105</v>
      </c>
      <c r="D514" s="0" t="n">
        <v>8095200126</v>
      </c>
      <c r="E514" s="0" t="s">
        <v>122</v>
      </c>
      <c r="F514" s="0" t="s">
        <v>2316</v>
      </c>
      <c r="G514" s="0" t="s">
        <v>1297</v>
      </c>
      <c r="H514" s="0" t="s">
        <v>134</v>
      </c>
      <c r="I514" s="3" t="s">
        <v>2322</v>
      </c>
      <c r="J514" s="0" t="s">
        <v>2339</v>
      </c>
      <c r="K514" s="0" t="s">
        <v>90</v>
      </c>
      <c r="L514" s="4" t="n">
        <v>58613</v>
      </c>
      <c r="M514" s="0" t="s">
        <v>49</v>
      </c>
      <c r="N514" s="0" t="s">
        <v>50</v>
      </c>
      <c r="O514" s="5" t="n">
        <v>3</v>
      </c>
      <c r="P514" s="0" t="n">
        <v>4.3</v>
      </c>
      <c r="Q514" s="0" t="s">
        <v>51</v>
      </c>
      <c r="R514" s="0" t="s">
        <v>52</v>
      </c>
      <c r="S514" s="0" t="s">
        <v>2340</v>
      </c>
      <c r="T514" s="0" t="s">
        <v>54</v>
      </c>
      <c r="U514" s="5" t="n">
        <v>30</v>
      </c>
      <c r="V514" s="0" t="s">
        <v>55</v>
      </c>
      <c r="W514" s="0" t="s">
        <v>2328</v>
      </c>
      <c r="X514" s="0" t="s">
        <v>78</v>
      </c>
      <c r="Y514" s="0" t="s">
        <v>196</v>
      </c>
      <c r="Z514" s="0" t="s">
        <v>2326</v>
      </c>
      <c r="AA514" s="0" t="s">
        <v>79</v>
      </c>
      <c r="AB514" s="5" t="n">
        <v>40000</v>
      </c>
      <c r="AC514" s="5" t="n">
        <v>30000</v>
      </c>
      <c r="AD514" s="0" t="s">
        <v>63</v>
      </c>
      <c r="AE514" s="5" t="n">
        <v>5000</v>
      </c>
      <c r="AF514" s="0" t="s">
        <v>60</v>
      </c>
      <c r="AG514" s="7" t="s">
        <v>2330</v>
      </c>
      <c r="AH514" s="0" t="s">
        <v>50</v>
      </c>
      <c r="AI514" s="0" t="s">
        <v>171</v>
      </c>
      <c r="AJ514" s="0" t="s">
        <v>117</v>
      </c>
      <c r="AK514" s="0" t="s">
        <v>2344</v>
      </c>
      <c r="AL514" s="0" t="s">
        <v>2344</v>
      </c>
      <c r="AM514" s="0" t="s">
        <v>2344</v>
      </c>
      <c r="AN514" s="0" t="s">
        <v>2321</v>
      </c>
      <c r="AO514" s="0" t="s">
        <v>2359</v>
      </c>
    </row>
    <row r="515" customFormat="false" ht="15" hidden="false" customHeight="false" outlineLevel="0" collapsed="false">
      <c r="A515" s="0" t="s">
        <v>1298</v>
      </c>
      <c r="B515" s="2" t="s">
        <v>1113</v>
      </c>
      <c r="C515" s="0" t="s">
        <v>66</v>
      </c>
      <c r="D515" s="0" t="n">
        <v>8080179022</v>
      </c>
      <c r="E515" s="0" t="s">
        <v>67</v>
      </c>
      <c r="F515" s="0" t="s">
        <v>2316</v>
      </c>
      <c r="G515" s="0" t="s">
        <v>1299</v>
      </c>
      <c r="H515" s="0" t="s">
        <v>45</v>
      </c>
      <c r="I515" s="3" t="s">
        <v>87</v>
      </c>
      <c r="J515" s="0" t="s">
        <v>189</v>
      </c>
      <c r="K515" s="0" t="s">
        <v>90</v>
      </c>
      <c r="L515" s="4" t="n">
        <v>68040</v>
      </c>
      <c r="M515" s="0" t="s">
        <v>2333</v>
      </c>
      <c r="N515" s="0" t="s">
        <v>63</v>
      </c>
      <c r="O515" s="5" t="n">
        <v>1</v>
      </c>
      <c r="P515" s="0" t="n">
        <v>3.7</v>
      </c>
      <c r="Q515" s="0" t="s">
        <v>92</v>
      </c>
      <c r="R515" s="0" t="s">
        <v>52</v>
      </c>
      <c r="S515" s="0" t="s">
        <v>2366</v>
      </c>
      <c r="T515" s="0" t="s">
        <v>95</v>
      </c>
      <c r="U515" s="5" t="n">
        <v>45</v>
      </c>
      <c r="V515" s="0" t="s">
        <v>112</v>
      </c>
      <c r="W515" s="0" t="s">
        <v>2337</v>
      </c>
      <c r="X515" s="0" t="s">
        <v>78</v>
      </c>
      <c r="Y515" s="0" t="s">
        <v>196</v>
      </c>
      <c r="Z515" s="0" t="s">
        <v>2324</v>
      </c>
      <c r="AA515" s="0" t="s">
        <v>143</v>
      </c>
      <c r="AB515" s="5" t="n">
        <v>20000</v>
      </c>
      <c r="AC515" s="5" t="n">
        <v>40000</v>
      </c>
      <c r="AD515" s="0" t="s">
        <v>63</v>
      </c>
      <c r="AE515" s="5" t="n">
        <v>0</v>
      </c>
      <c r="AF515" s="0" t="s">
        <v>2338</v>
      </c>
      <c r="AG515" s="7" t="s">
        <v>2330</v>
      </c>
      <c r="AH515" s="0" t="s">
        <v>63</v>
      </c>
      <c r="AI515" s="0" t="s">
        <v>2331</v>
      </c>
      <c r="AJ515" s="0" t="s">
        <v>172</v>
      </c>
      <c r="AK515" s="0" t="s">
        <v>2344</v>
      </c>
      <c r="AL515" s="0" t="s">
        <v>2344</v>
      </c>
      <c r="AM515" s="0" t="s">
        <v>63</v>
      </c>
      <c r="AN515" s="0" t="s">
        <v>64</v>
      </c>
      <c r="AO515" s="0" t="s">
        <v>50</v>
      </c>
    </row>
    <row r="516" customFormat="false" ht="15" hidden="false" customHeight="false" outlineLevel="0" collapsed="false">
      <c r="A516" s="0" t="s">
        <v>1300</v>
      </c>
      <c r="B516" s="2" t="s">
        <v>2436</v>
      </c>
      <c r="C516" s="0" t="s">
        <v>66</v>
      </c>
      <c r="D516" s="0" t="n">
        <v>8096035199</v>
      </c>
      <c r="E516" s="0" t="s">
        <v>67</v>
      </c>
      <c r="F516" s="0" t="s">
        <v>2316</v>
      </c>
      <c r="G516" s="0" t="s">
        <v>1301</v>
      </c>
      <c r="H516" s="0" t="s">
        <v>45</v>
      </c>
      <c r="I516" s="3" t="s">
        <v>2317</v>
      </c>
      <c r="J516" s="0" t="s">
        <v>2349</v>
      </c>
      <c r="K516" s="0" t="s">
        <v>71</v>
      </c>
      <c r="L516" s="4" t="n">
        <v>87348</v>
      </c>
      <c r="M516" s="0" t="s">
        <v>2333</v>
      </c>
      <c r="N516" s="0" t="s">
        <v>50</v>
      </c>
      <c r="O516" s="5" t="n">
        <v>3</v>
      </c>
      <c r="P516" s="0" t="n">
        <v>1.7</v>
      </c>
      <c r="Q516" s="0" t="s">
        <v>51</v>
      </c>
      <c r="R516" s="0" t="s">
        <v>52</v>
      </c>
      <c r="S516" s="0" t="s">
        <v>2340</v>
      </c>
      <c r="T516" s="0" t="s">
        <v>147</v>
      </c>
      <c r="U516" s="5" t="n">
        <v>60</v>
      </c>
      <c r="V516" s="0" t="s">
        <v>55</v>
      </c>
      <c r="W516" s="0" t="s">
        <v>155</v>
      </c>
      <c r="X516" s="0" t="s">
        <v>128</v>
      </c>
      <c r="Y516" s="0" t="s">
        <v>99</v>
      </c>
      <c r="Z516" s="0" t="s">
        <v>2329</v>
      </c>
      <c r="AA516" s="0" t="s">
        <v>143</v>
      </c>
      <c r="AB516" s="5" t="n">
        <v>25000</v>
      </c>
      <c r="AC516" s="5" t="n">
        <v>31580.2469135802</v>
      </c>
      <c r="AD516" s="0" t="s">
        <v>50</v>
      </c>
      <c r="AE516" s="5" t="n">
        <v>5000</v>
      </c>
      <c r="AF516" s="0" t="s">
        <v>60</v>
      </c>
      <c r="AG516" s="7" t="s">
        <v>2330</v>
      </c>
      <c r="AH516" s="0" t="s">
        <v>2329</v>
      </c>
      <c r="AI516" s="0" t="s">
        <v>2331</v>
      </c>
      <c r="AJ516" s="0" t="s">
        <v>2320</v>
      </c>
      <c r="AK516" s="0" t="s">
        <v>63</v>
      </c>
      <c r="AL516" s="0" t="s">
        <v>50</v>
      </c>
      <c r="AM516" s="0" t="s">
        <v>63</v>
      </c>
      <c r="AN516" s="0" t="s">
        <v>2321</v>
      </c>
      <c r="AO516" s="0" t="s">
        <v>63</v>
      </c>
    </row>
    <row r="517" customFormat="false" ht="15" hidden="false" customHeight="false" outlineLevel="0" collapsed="false">
      <c r="A517" s="0" t="s">
        <v>1302</v>
      </c>
      <c r="B517" s="2" t="s">
        <v>502</v>
      </c>
      <c r="C517" s="0" t="s">
        <v>66</v>
      </c>
      <c r="D517" s="0" t="n">
        <v>8098924605</v>
      </c>
      <c r="E517" s="0" t="s">
        <v>43</v>
      </c>
      <c r="F517" s="0" t="s">
        <v>2315</v>
      </c>
      <c r="G517" s="0" t="s">
        <v>1303</v>
      </c>
      <c r="H517" s="0" t="s">
        <v>45</v>
      </c>
      <c r="I517" s="3" t="s">
        <v>2325</v>
      </c>
      <c r="J517" s="0" t="s">
        <v>2347</v>
      </c>
      <c r="K517" s="0" t="s">
        <v>109</v>
      </c>
      <c r="L517" s="4" t="n">
        <v>98744</v>
      </c>
      <c r="M517" s="0" t="s">
        <v>2333</v>
      </c>
      <c r="N517" s="0" t="s">
        <v>50</v>
      </c>
      <c r="O517" s="5" t="n">
        <v>4</v>
      </c>
      <c r="P517" s="0" t="n">
        <v>5.9</v>
      </c>
      <c r="Q517" s="0" t="s">
        <v>2334</v>
      </c>
      <c r="R517" s="0" t="s">
        <v>73</v>
      </c>
      <c r="S517" s="0" t="s">
        <v>2340</v>
      </c>
      <c r="T517" s="0" t="s">
        <v>2343</v>
      </c>
      <c r="U517" s="5" t="n">
        <v>45</v>
      </c>
      <c r="V517" s="0" t="s">
        <v>112</v>
      </c>
      <c r="W517" s="0" t="s">
        <v>148</v>
      </c>
      <c r="X517" s="0" t="s">
        <v>78</v>
      </c>
      <c r="Y517" s="0" t="s">
        <v>196</v>
      </c>
      <c r="Z517" s="0" t="s">
        <v>177</v>
      </c>
      <c r="AA517" s="0" t="s">
        <v>161</v>
      </c>
      <c r="AB517" s="5" t="n">
        <v>20000</v>
      </c>
      <c r="AC517" s="5" t="n">
        <v>40000</v>
      </c>
      <c r="AD517" s="0" t="s">
        <v>63</v>
      </c>
      <c r="AE517" s="5" t="n">
        <v>0</v>
      </c>
      <c r="AF517" s="0" t="s">
        <v>184</v>
      </c>
      <c r="AG517" s="7" t="s">
        <v>1304</v>
      </c>
      <c r="AH517" s="0" t="s">
        <v>63</v>
      </c>
      <c r="AI517" s="0" t="s">
        <v>2331</v>
      </c>
      <c r="AJ517" s="0" t="s">
        <v>117</v>
      </c>
      <c r="AK517" s="0" t="s">
        <v>2344</v>
      </c>
      <c r="AL517" s="0" t="s">
        <v>63</v>
      </c>
      <c r="AM517" s="0" t="s">
        <v>63</v>
      </c>
      <c r="AN517" s="0" t="s">
        <v>2318</v>
      </c>
      <c r="AO517" s="0" t="s">
        <v>2359</v>
      </c>
    </row>
    <row r="518" customFormat="false" ht="15" hidden="false" customHeight="false" outlineLevel="0" collapsed="false">
      <c r="A518" s="0" t="s">
        <v>1306</v>
      </c>
      <c r="B518" s="2" t="s">
        <v>1305</v>
      </c>
      <c r="C518" s="0" t="s">
        <v>163</v>
      </c>
      <c r="D518" s="0" t="n">
        <v>8098589123</v>
      </c>
      <c r="E518" s="0" t="s">
        <v>85</v>
      </c>
      <c r="F518" s="0" t="s">
        <v>2319</v>
      </c>
      <c r="G518" s="0" t="s">
        <v>1307</v>
      </c>
      <c r="H518" s="0" t="s">
        <v>69</v>
      </c>
      <c r="I518" s="3" t="s">
        <v>2322</v>
      </c>
      <c r="J518" s="0" t="s">
        <v>47</v>
      </c>
      <c r="K518" s="0" t="s">
        <v>109</v>
      </c>
      <c r="L518" s="4" t="n">
        <v>112023</v>
      </c>
      <c r="M518" s="0" t="s">
        <v>49</v>
      </c>
      <c r="N518" s="0" t="s">
        <v>63</v>
      </c>
      <c r="O518" s="5" t="n">
        <v>1</v>
      </c>
      <c r="P518" s="0" t="n">
        <v>1</v>
      </c>
      <c r="Q518" s="0" t="s">
        <v>2334</v>
      </c>
      <c r="R518" s="0" t="s">
        <v>52</v>
      </c>
      <c r="S518" s="0" t="s">
        <v>53</v>
      </c>
      <c r="T518" s="0" t="s">
        <v>2353</v>
      </c>
      <c r="U518" s="5" t="n">
        <v>45</v>
      </c>
      <c r="V518" s="0" t="s">
        <v>96</v>
      </c>
      <c r="W518" s="0" t="s">
        <v>155</v>
      </c>
      <c r="X518" s="0" t="s">
        <v>128</v>
      </c>
      <c r="Y518" s="0" t="s">
        <v>114</v>
      </c>
      <c r="Z518" s="0" t="s">
        <v>59</v>
      </c>
      <c r="AA518" s="0" t="s">
        <v>149</v>
      </c>
      <c r="AB518" s="5" t="n">
        <v>20000</v>
      </c>
      <c r="AC518" s="5" t="n">
        <v>31559.4059405941</v>
      </c>
      <c r="AD518" s="0" t="s">
        <v>63</v>
      </c>
      <c r="AE518" s="5" t="n">
        <v>0</v>
      </c>
      <c r="AF518" s="0" t="s">
        <v>184</v>
      </c>
      <c r="AG518" s="7" t="s">
        <v>1097</v>
      </c>
      <c r="AH518" s="0" t="s">
        <v>50</v>
      </c>
      <c r="AI518" s="0" t="s">
        <v>116</v>
      </c>
      <c r="AJ518" s="0" t="s">
        <v>2331</v>
      </c>
      <c r="AK518" s="0" t="s">
        <v>2344</v>
      </c>
      <c r="AL518" s="0" t="s">
        <v>63</v>
      </c>
      <c r="AM518" s="0" t="s">
        <v>2344</v>
      </c>
      <c r="AN518" s="0" t="s">
        <v>2321</v>
      </c>
      <c r="AO518" s="0" t="s">
        <v>2359</v>
      </c>
    </row>
    <row r="519" customFormat="false" ht="15" hidden="false" customHeight="false" outlineLevel="0" collapsed="false">
      <c r="A519" s="0" t="s">
        <v>1308</v>
      </c>
      <c r="B519" s="2" t="s">
        <v>302</v>
      </c>
      <c r="C519" s="0" t="s">
        <v>105</v>
      </c>
      <c r="D519" s="0" t="n">
        <v>8023796681</v>
      </c>
      <c r="E519" s="0" t="s">
        <v>122</v>
      </c>
      <c r="F519" s="0" t="s">
        <v>2316</v>
      </c>
      <c r="G519" s="0" t="s">
        <v>1309</v>
      </c>
      <c r="H519" s="0" t="s">
        <v>87</v>
      </c>
      <c r="I519" s="3" t="s">
        <v>2342</v>
      </c>
      <c r="J519" s="0" t="s">
        <v>2349</v>
      </c>
      <c r="K519" s="0" t="s">
        <v>71</v>
      </c>
      <c r="L519" s="4" t="n">
        <v>55617</v>
      </c>
      <c r="M519" s="0" t="s">
        <v>2333</v>
      </c>
      <c r="N519" s="0" t="s">
        <v>63</v>
      </c>
      <c r="O519" s="5" t="n">
        <v>2</v>
      </c>
      <c r="P519" s="0" t="n">
        <v>1.7</v>
      </c>
      <c r="Q519" s="0" t="s">
        <v>125</v>
      </c>
      <c r="R519" s="0" t="s">
        <v>93</v>
      </c>
      <c r="S519" s="0" t="s">
        <v>2340</v>
      </c>
      <c r="T519" s="0" t="s">
        <v>95</v>
      </c>
      <c r="U519" s="5" t="n">
        <v>45</v>
      </c>
      <c r="V519" s="0" t="s">
        <v>55</v>
      </c>
      <c r="W519" s="0" t="s">
        <v>155</v>
      </c>
      <c r="X519" s="0" t="s">
        <v>78</v>
      </c>
      <c r="Y519" s="0" t="s">
        <v>196</v>
      </c>
      <c r="Z519" s="0" t="s">
        <v>177</v>
      </c>
      <c r="AA519" s="0" t="s">
        <v>79</v>
      </c>
      <c r="AB519" s="5" t="n">
        <v>30000</v>
      </c>
      <c r="AC519" s="5" t="n">
        <v>30000</v>
      </c>
      <c r="AD519" s="0" t="s">
        <v>63</v>
      </c>
      <c r="AE519" s="5" t="n">
        <v>10000</v>
      </c>
      <c r="AF519" s="0" t="s">
        <v>184</v>
      </c>
      <c r="AG519" s="7" t="s">
        <v>1310</v>
      </c>
      <c r="AH519" s="0" t="s">
        <v>2329</v>
      </c>
      <c r="AI519" s="0" t="s">
        <v>2331</v>
      </c>
      <c r="AJ519" s="0" t="s">
        <v>2320</v>
      </c>
      <c r="AK519" s="0" t="s">
        <v>2344</v>
      </c>
      <c r="AL519" s="0" t="s">
        <v>2344</v>
      </c>
      <c r="AM519" s="0" t="s">
        <v>50</v>
      </c>
      <c r="AN519" s="0" t="s">
        <v>2321</v>
      </c>
      <c r="AO519" s="0" t="s">
        <v>63</v>
      </c>
    </row>
    <row r="520" customFormat="false" ht="15" hidden="false" customHeight="false" outlineLevel="0" collapsed="false">
      <c r="A520" s="0" t="s">
        <v>1311</v>
      </c>
      <c r="B520" s="2" t="s">
        <v>1934</v>
      </c>
      <c r="C520" s="0" t="s">
        <v>121</v>
      </c>
      <c r="D520" s="0" t="n">
        <v>8062427912</v>
      </c>
      <c r="E520" s="0" t="s">
        <v>67</v>
      </c>
      <c r="F520" s="0" t="s">
        <v>2316</v>
      </c>
      <c r="G520" s="0" t="s">
        <v>1312</v>
      </c>
      <c r="H520" s="0" t="s">
        <v>134</v>
      </c>
      <c r="I520" s="3" t="s">
        <v>2317</v>
      </c>
      <c r="J520" s="0" t="s">
        <v>2339</v>
      </c>
      <c r="K520" s="0" t="s">
        <v>71</v>
      </c>
      <c r="L520" s="4" t="n">
        <v>58754</v>
      </c>
      <c r="M520" s="0" t="s">
        <v>2333</v>
      </c>
      <c r="N520" s="0" t="s">
        <v>50</v>
      </c>
      <c r="O520" s="5" t="n">
        <v>1</v>
      </c>
      <c r="P520" s="0" t="n">
        <v>3.1</v>
      </c>
      <c r="Q520" s="0" t="s">
        <v>111</v>
      </c>
      <c r="R520" s="0" t="s">
        <v>93</v>
      </c>
      <c r="S520" s="0" t="s">
        <v>2340</v>
      </c>
      <c r="T520" s="0" t="s">
        <v>54</v>
      </c>
      <c r="U520" s="5" t="n">
        <v>60</v>
      </c>
      <c r="V520" s="0" t="s">
        <v>112</v>
      </c>
      <c r="W520" s="0" t="s">
        <v>2337</v>
      </c>
      <c r="X520" s="0" t="s">
        <v>128</v>
      </c>
      <c r="Y520" s="0" t="s">
        <v>99</v>
      </c>
      <c r="Z520" s="0" t="s">
        <v>2324</v>
      </c>
      <c r="AA520" s="0" t="s">
        <v>161</v>
      </c>
      <c r="AB520" s="5" t="n">
        <v>40000</v>
      </c>
      <c r="AC520" s="5" t="n">
        <v>35000</v>
      </c>
      <c r="AD520" s="0" t="s">
        <v>63</v>
      </c>
      <c r="AE520" s="5" t="n">
        <v>10000</v>
      </c>
      <c r="AF520" s="0" t="s">
        <v>60</v>
      </c>
      <c r="AG520" s="7" t="s">
        <v>2358</v>
      </c>
      <c r="AH520" s="0" t="s">
        <v>50</v>
      </c>
      <c r="AI520" s="0" t="s">
        <v>116</v>
      </c>
      <c r="AJ520" s="0" t="s">
        <v>2331</v>
      </c>
      <c r="AK520" s="0" t="s">
        <v>63</v>
      </c>
      <c r="AL520" s="0" t="s">
        <v>50</v>
      </c>
      <c r="AM520" s="0" t="s">
        <v>50</v>
      </c>
      <c r="AN520" s="0" t="s">
        <v>2321</v>
      </c>
      <c r="AO520" s="0" t="s">
        <v>50</v>
      </c>
    </row>
    <row r="521" customFormat="false" ht="15" hidden="false" customHeight="false" outlineLevel="0" collapsed="false">
      <c r="A521" s="0" t="s">
        <v>1313</v>
      </c>
      <c r="B521" s="2" t="s">
        <v>737</v>
      </c>
      <c r="C521" s="0" t="s">
        <v>163</v>
      </c>
      <c r="D521" s="0" t="n">
        <v>8051382580</v>
      </c>
      <c r="E521" s="0" t="s">
        <v>122</v>
      </c>
      <c r="F521" s="0" t="s">
        <v>2316</v>
      </c>
      <c r="G521" s="0" t="s">
        <v>1314</v>
      </c>
      <c r="H521" s="0" t="s">
        <v>69</v>
      </c>
      <c r="I521" s="3" t="s">
        <v>2322</v>
      </c>
      <c r="J521" s="0" t="s">
        <v>2347</v>
      </c>
      <c r="K521" s="0" t="s">
        <v>109</v>
      </c>
      <c r="L521" s="4" t="n">
        <v>47361</v>
      </c>
      <c r="M521" s="0" t="s">
        <v>2333</v>
      </c>
      <c r="N521" s="0" t="s">
        <v>63</v>
      </c>
      <c r="O521" s="5" t="n">
        <v>3</v>
      </c>
      <c r="P521" s="0" t="n">
        <v>3.1</v>
      </c>
      <c r="Q521" s="0" t="s">
        <v>92</v>
      </c>
      <c r="R521" s="0" t="s">
        <v>52</v>
      </c>
      <c r="S521" s="0" t="s">
        <v>2340</v>
      </c>
      <c r="T521" s="0" t="s">
        <v>54</v>
      </c>
      <c r="U521" s="5" t="n">
        <v>45</v>
      </c>
      <c r="V521" s="0" t="s">
        <v>2336</v>
      </c>
      <c r="W521" s="0" t="s">
        <v>2337</v>
      </c>
      <c r="X521" s="0" t="s">
        <v>128</v>
      </c>
      <c r="Y521" s="0" t="s">
        <v>196</v>
      </c>
      <c r="Z521" s="0" t="s">
        <v>2326</v>
      </c>
      <c r="AA521" s="0" t="s">
        <v>161</v>
      </c>
      <c r="AB521" s="5" t="n">
        <v>40000</v>
      </c>
      <c r="AC521" s="5" t="n">
        <v>30000</v>
      </c>
      <c r="AD521" s="0" t="s">
        <v>63</v>
      </c>
      <c r="AE521" s="5" t="n">
        <v>5000</v>
      </c>
      <c r="AF521" s="0" t="s">
        <v>2338</v>
      </c>
      <c r="AG521" s="7" t="s">
        <v>2330</v>
      </c>
      <c r="AH521" s="0" t="s">
        <v>50</v>
      </c>
      <c r="AI521" s="0" t="s">
        <v>171</v>
      </c>
      <c r="AJ521" s="0" t="s">
        <v>117</v>
      </c>
      <c r="AK521" s="0" t="s">
        <v>2344</v>
      </c>
      <c r="AL521" s="0" t="s">
        <v>63</v>
      </c>
      <c r="AM521" s="0" t="s">
        <v>63</v>
      </c>
      <c r="AN521" s="0" t="s">
        <v>64</v>
      </c>
      <c r="AO521" s="0" t="s">
        <v>63</v>
      </c>
    </row>
    <row r="522" customFormat="false" ht="15" hidden="false" customHeight="false" outlineLevel="0" collapsed="false">
      <c r="A522" s="0" t="s">
        <v>1315</v>
      </c>
      <c r="B522" s="2" t="s">
        <v>40</v>
      </c>
      <c r="C522" s="0" t="s">
        <v>105</v>
      </c>
      <c r="D522" s="0" t="n">
        <v>8069590884</v>
      </c>
      <c r="E522" s="0" t="s">
        <v>43</v>
      </c>
      <c r="F522" s="0" t="s">
        <v>2315</v>
      </c>
      <c r="G522" s="0" t="s">
        <v>1316</v>
      </c>
      <c r="H522" s="0" t="s">
        <v>69</v>
      </c>
      <c r="I522" s="3" t="s">
        <v>2322</v>
      </c>
      <c r="J522" s="0" t="s">
        <v>2347</v>
      </c>
      <c r="K522" s="0" t="s">
        <v>71</v>
      </c>
      <c r="L522" s="4" t="n">
        <v>65727</v>
      </c>
      <c r="M522" s="0" t="s">
        <v>110</v>
      </c>
      <c r="N522" s="0" t="s">
        <v>63</v>
      </c>
      <c r="O522" s="5" t="n">
        <v>5</v>
      </c>
      <c r="P522" s="0" t="n">
        <v>5.7</v>
      </c>
      <c r="Q522" s="0" t="s">
        <v>92</v>
      </c>
      <c r="R522" s="0" t="s">
        <v>73</v>
      </c>
      <c r="S522" s="0" t="s">
        <v>53</v>
      </c>
      <c r="T522" s="0" t="s">
        <v>2353</v>
      </c>
      <c r="U522" s="5" t="n">
        <v>30</v>
      </c>
      <c r="V522" s="0" t="s">
        <v>2336</v>
      </c>
      <c r="W522" s="0" t="s">
        <v>2328</v>
      </c>
      <c r="X522" s="0" t="s">
        <v>78</v>
      </c>
      <c r="Y522" s="0" t="s">
        <v>196</v>
      </c>
      <c r="Z522" s="0" t="s">
        <v>2324</v>
      </c>
      <c r="AA522" s="0" t="s">
        <v>161</v>
      </c>
      <c r="AB522" s="5" t="n">
        <v>40000</v>
      </c>
      <c r="AC522" s="5" t="n">
        <v>20000</v>
      </c>
      <c r="AD522" s="0" t="s">
        <v>50</v>
      </c>
      <c r="AE522" s="5" t="n">
        <v>0</v>
      </c>
      <c r="AF522" s="0" t="s">
        <v>2338</v>
      </c>
      <c r="AG522" s="7" t="s">
        <v>2330</v>
      </c>
      <c r="AH522" s="0" t="s">
        <v>2329</v>
      </c>
      <c r="AI522" s="0" t="s">
        <v>116</v>
      </c>
      <c r="AJ522" s="0" t="s">
        <v>117</v>
      </c>
      <c r="AK522" s="0" t="s">
        <v>50</v>
      </c>
      <c r="AL522" s="0" t="s">
        <v>63</v>
      </c>
      <c r="AM522" s="0" t="s">
        <v>2344</v>
      </c>
      <c r="AN522" s="0" t="s">
        <v>64</v>
      </c>
      <c r="AO522" s="0" t="s">
        <v>63</v>
      </c>
    </row>
    <row r="523" customFormat="false" ht="15" hidden="false" customHeight="false" outlineLevel="0" collapsed="false">
      <c r="A523" s="0" t="s">
        <v>1317</v>
      </c>
      <c r="B523" s="2" t="s">
        <v>2407</v>
      </c>
      <c r="C523" s="0" t="s">
        <v>42</v>
      </c>
      <c r="D523" s="0" t="n">
        <v>8017035056</v>
      </c>
      <c r="E523" s="0" t="s">
        <v>139</v>
      </c>
      <c r="F523" s="0" t="s">
        <v>2323</v>
      </c>
      <c r="G523" s="0" t="s">
        <v>1318</v>
      </c>
      <c r="H523" s="0" t="s">
        <v>134</v>
      </c>
      <c r="I523" s="3" t="s">
        <v>87</v>
      </c>
      <c r="J523" s="0" t="s">
        <v>47</v>
      </c>
      <c r="K523" s="0" t="s">
        <v>90</v>
      </c>
      <c r="L523" s="4" t="n">
        <v>32607</v>
      </c>
      <c r="M523" s="0" t="s">
        <v>110</v>
      </c>
      <c r="N523" s="0" t="s">
        <v>50</v>
      </c>
      <c r="O523" s="5" t="n">
        <v>3.09390862944162</v>
      </c>
      <c r="P523" s="0" t="n">
        <v>3.5</v>
      </c>
      <c r="Q523" s="0" t="s">
        <v>92</v>
      </c>
      <c r="R523" s="0" t="s">
        <v>52</v>
      </c>
      <c r="S523" s="0" t="s">
        <v>53</v>
      </c>
      <c r="T523" s="0" t="s">
        <v>54</v>
      </c>
      <c r="U523" s="5" t="n">
        <v>15</v>
      </c>
      <c r="V523" s="0" t="s">
        <v>2352</v>
      </c>
      <c r="W523" s="0" t="s">
        <v>155</v>
      </c>
      <c r="X523" s="0" t="s">
        <v>128</v>
      </c>
      <c r="Y523" s="0" t="s">
        <v>196</v>
      </c>
      <c r="Z523" s="0" t="s">
        <v>2329</v>
      </c>
      <c r="AA523" s="0" t="s">
        <v>149</v>
      </c>
      <c r="AB523" s="5" t="n">
        <v>20000</v>
      </c>
      <c r="AC523" s="5" t="n">
        <v>30000</v>
      </c>
      <c r="AD523" s="0" t="s">
        <v>63</v>
      </c>
      <c r="AE523" s="5" t="n">
        <v>10000</v>
      </c>
      <c r="AF523" s="0" t="s">
        <v>130</v>
      </c>
      <c r="AG523" s="7" t="s">
        <v>2330</v>
      </c>
      <c r="AH523" s="0" t="s">
        <v>2329</v>
      </c>
      <c r="AI523" s="0" t="s">
        <v>116</v>
      </c>
      <c r="AJ523" s="0" t="s">
        <v>2320</v>
      </c>
      <c r="AK523" s="0" t="s">
        <v>63</v>
      </c>
      <c r="AL523" s="0" t="s">
        <v>50</v>
      </c>
      <c r="AM523" s="0" t="s">
        <v>2344</v>
      </c>
      <c r="AN523" s="0" t="s">
        <v>2321</v>
      </c>
      <c r="AO523" s="0" t="s">
        <v>2359</v>
      </c>
    </row>
    <row r="524" customFormat="false" ht="15" hidden="false" customHeight="false" outlineLevel="0" collapsed="false">
      <c r="A524" s="0" t="s">
        <v>1319</v>
      </c>
      <c r="B524" s="2" t="s">
        <v>316</v>
      </c>
      <c r="C524" s="0" t="s">
        <v>66</v>
      </c>
      <c r="D524" s="0" t="n">
        <v>8090289763</v>
      </c>
      <c r="E524" s="0" t="s">
        <v>85</v>
      </c>
      <c r="F524" s="0" t="s">
        <v>2319</v>
      </c>
      <c r="G524" s="0" t="s">
        <v>1320</v>
      </c>
      <c r="H524" s="0" t="s">
        <v>134</v>
      </c>
      <c r="I524" s="3" t="s">
        <v>2317</v>
      </c>
      <c r="J524" s="0" t="s">
        <v>2339</v>
      </c>
      <c r="K524" s="0" t="s">
        <v>109</v>
      </c>
      <c r="L524" s="4" t="n">
        <v>42256</v>
      </c>
      <c r="M524" s="0" t="s">
        <v>2333</v>
      </c>
      <c r="N524" s="0" t="s">
        <v>50</v>
      </c>
      <c r="O524" s="5" t="n">
        <v>4</v>
      </c>
      <c r="P524" s="0" t="n">
        <v>1.5</v>
      </c>
      <c r="Q524" s="0" t="s">
        <v>125</v>
      </c>
      <c r="R524" s="0" t="s">
        <v>93</v>
      </c>
      <c r="S524" s="0" t="s">
        <v>53</v>
      </c>
      <c r="T524" s="0" t="s">
        <v>75</v>
      </c>
      <c r="U524" s="5" t="n">
        <v>30</v>
      </c>
      <c r="V524" s="0" t="s">
        <v>112</v>
      </c>
      <c r="W524" s="0" t="s">
        <v>155</v>
      </c>
      <c r="X524" s="0" t="s">
        <v>98</v>
      </c>
      <c r="Y524" s="0" t="s">
        <v>99</v>
      </c>
      <c r="Z524" s="0" t="s">
        <v>2329</v>
      </c>
      <c r="AA524" s="0" t="s">
        <v>161</v>
      </c>
      <c r="AB524" s="5" t="n">
        <v>40000</v>
      </c>
      <c r="AC524" s="5" t="n">
        <v>40000</v>
      </c>
      <c r="AD524" s="0" t="s">
        <v>50</v>
      </c>
      <c r="AE524" s="5" t="n">
        <v>0</v>
      </c>
      <c r="AF524" s="0" t="s">
        <v>184</v>
      </c>
      <c r="AG524" s="7" t="s">
        <v>2502</v>
      </c>
      <c r="AH524" s="0" t="s">
        <v>50</v>
      </c>
      <c r="AI524" s="0" t="s">
        <v>2331</v>
      </c>
      <c r="AJ524" s="0" t="s">
        <v>2331</v>
      </c>
      <c r="AK524" s="0" t="s">
        <v>50</v>
      </c>
      <c r="AL524" s="0" t="s">
        <v>50</v>
      </c>
      <c r="AM524" s="0" t="s">
        <v>63</v>
      </c>
      <c r="AN524" s="0" t="s">
        <v>64</v>
      </c>
      <c r="AO524" s="0" t="s">
        <v>50</v>
      </c>
    </row>
    <row r="525" customFormat="false" ht="15" hidden="false" customHeight="false" outlineLevel="0" collapsed="false">
      <c r="A525" s="0" t="s">
        <v>1321</v>
      </c>
      <c r="B525" s="2" t="s">
        <v>2426</v>
      </c>
      <c r="C525" s="0" t="s">
        <v>163</v>
      </c>
      <c r="D525" s="0" t="n">
        <v>8010626224</v>
      </c>
      <c r="E525" s="0" t="s">
        <v>122</v>
      </c>
      <c r="F525" s="0" t="s">
        <v>2316</v>
      </c>
      <c r="G525" s="0" t="s">
        <v>1322</v>
      </c>
      <c r="H525" s="0" t="s">
        <v>134</v>
      </c>
      <c r="I525" s="3" t="s">
        <v>2317</v>
      </c>
      <c r="J525" s="0" t="s">
        <v>2339</v>
      </c>
      <c r="K525" s="0" t="s">
        <v>109</v>
      </c>
      <c r="L525" s="4" t="n">
        <v>42935</v>
      </c>
      <c r="M525" s="0" t="s">
        <v>49</v>
      </c>
      <c r="N525" s="0" t="s">
        <v>63</v>
      </c>
      <c r="O525" s="5" t="n">
        <v>5</v>
      </c>
      <c r="P525" s="0" t="n">
        <v>4.2</v>
      </c>
      <c r="Q525" s="0" t="s">
        <v>51</v>
      </c>
      <c r="R525" s="0" t="s">
        <v>93</v>
      </c>
      <c r="S525" s="0" t="s">
        <v>53</v>
      </c>
      <c r="T525" s="0" t="s">
        <v>75</v>
      </c>
      <c r="U525" s="5" t="n">
        <v>45</v>
      </c>
      <c r="V525" s="0" t="s">
        <v>55</v>
      </c>
      <c r="W525" s="0" t="s">
        <v>2337</v>
      </c>
      <c r="X525" s="0" t="s">
        <v>98</v>
      </c>
      <c r="Y525" s="0" t="s">
        <v>58</v>
      </c>
      <c r="Z525" s="0" t="s">
        <v>2329</v>
      </c>
      <c r="AA525" s="0" t="s">
        <v>79</v>
      </c>
      <c r="AB525" s="5" t="n">
        <v>15000</v>
      </c>
      <c r="AC525" s="5" t="n">
        <v>31570.351758794</v>
      </c>
      <c r="AD525" s="0" t="s">
        <v>50</v>
      </c>
      <c r="AE525" s="5" t="n">
        <v>0</v>
      </c>
      <c r="AF525" s="0" t="s">
        <v>130</v>
      </c>
      <c r="AG525" s="7" t="s">
        <v>2330</v>
      </c>
      <c r="AH525" s="0" t="s">
        <v>2329</v>
      </c>
      <c r="AI525" s="0" t="s">
        <v>116</v>
      </c>
      <c r="AJ525" s="0" t="s">
        <v>2331</v>
      </c>
      <c r="AK525" s="0" t="s">
        <v>2344</v>
      </c>
      <c r="AL525" s="0" t="s">
        <v>63</v>
      </c>
      <c r="AM525" s="0" t="s">
        <v>50</v>
      </c>
      <c r="AN525" s="0" t="s">
        <v>2321</v>
      </c>
      <c r="AO525" s="0" t="s">
        <v>2359</v>
      </c>
    </row>
    <row r="526" customFormat="false" ht="15" hidden="false" customHeight="false" outlineLevel="0" collapsed="false">
      <c r="A526" s="0" t="s">
        <v>1323</v>
      </c>
      <c r="B526" s="2" t="s">
        <v>345</v>
      </c>
      <c r="C526" s="0" t="s">
        <v>163</v>
      </c>
      <c r="D526" s="0" t="n">
        <v>8016531664</v>
      </c>
      <c r="E526" s="0" t="s">
        <v>139</v>
      </c>
      <c r="F526" s="0" t="s">
        <v>2323</v>
      </c>
      <c r="G526" s="0" t="s">
        <v>1324</v>
      </c>
      <c r="H526" s="0" t="s">
        <v>87</v>
      </c>
      <c r="I526" s="3" t="s">
        <v>2322</v>
      </c>
      <c r="J526" s="0" t="s">
        <v>2341</v>
      </c>
      <c r="K526" s="0" t="s">
        <v>109</v>
      </c>
      <c r="L526" s="4" t="n">
        <v>72858</v>
      </c>
      <c r="M526" s="0" t="s">
        <v>2333</v>
      </c>
      <c r="N526" s="0" t="s">
        <v>50</v>
      </c>
      <c r="O526" s="5" t="n">
        <v>3.08673469387755</v>
      </c>
      <c r="P526" s="0" t="n">
        <v>4.4</v>
      </c>
      <c r="Q526" s="0" t="s">
        <v>111</v>
      </c>
      <c r="R526" s="0" t="s">
        <v>52</v>
      </c>
      <c r="S526" s="0" t="s">
        <v>2340</v>
      </c>
      <c r="T526" s="0" t="s">
        <v>54</v>
      </c>
      <c r="U526" s="5" t="n">
        <v>30</v>
      </c>
      <c r="V526" s="0" t="s">
        <v>96</v>
      </c>
      <c r="W526" s="0" t="s">
        <v>2328</v>
      </c>
      <c r="X526" s="0" t="s">
        <v>78</v>
      </c>
      <c r="Y526" s="0" t="s">
        <v>196</v>
      </c>
      <c r="Z526" s="0" t="s">
        <v>59</v>
      </c>
      <c r="AA526" s="0" t="s">
        <v>2329</v>
      </c>
      <c r="AB526" s="5" t="n">
        <v>27302.6315789474</v>
      </c>
      <c r="AC526" s="5" t="n">
        <v>40000</v>
      </c>
      <c r="AD526" s="0" t="s">
        <v>63</v>
      </c>
      <c r="AE526" s="5" t="n">
        <v>5000</v>
      </c>
      <c r="AF526" s="0" t="s">
        <v>184</v>
      </c>
      <c r="AG526" s="7" t="s">
        <v>2445</v>
      </c>
      <c r="AH526" s="0" t="s">
        <v>2329</v>
      </c>
      <c r="AI526" s="0" t="s">
        <v>2331</v>
      </c>
      <c r="AJ526" s="0" t="s">
        <v>2331</v>
      </c>
      <c r="AK526" s="0" t="s">
        <v>50</v>
      </c>
      <c r="AL526" s="0" t="s">
        <v>50</v>
      </c>
      <c r="AM526" s="0" t="s">
        <v>63</v>
      </c>
      <c r="AN526" s="0" t="s">
        <v>2321</v>
      </c>
      <c r="AO526" s="0" t="s">
        <v>2359</v>
      </c>
    </row>
    <row r="527" customFormat="false" ht="15" hidden="false" customHeight="false" outlineLevel="0" collapsed="false">
      <c r="A527" s="0" t="s">
        <v>1325</v>
      </c>
      <c r="B527" s="2" t="s">
        <v>191</v>
      </c>
      <c r="C527" s="0" t="s">
        <v>105</v>
      </c>
      <c r="D527" s="0" t="n">
        <v>8060653170</v>
      </c>
      <c r="E527" s="0" t="s">
        <v>139</v>
      </c>
      <c r="F527" s="0" t="s">
        <v>2323</v>
      </c>
      <c r="G527" s="0" t="s">
        <v>1326</v>
      </c>
      <c r="H527" s="0" t="s">
        <v>134</v>
      </c>
      <c r="I527" s="3" t="s">
        <v>2325</v>
      </c>
      <c r="J527" s="0" t="s">
        <v>2341</v>
      </c>
      <c r="K527" s="0" t="s">
        <v>71</v>
      </c>
      <c r="L527" s="4" t="n">
        <v>23949</v>
      </c>
      <c r="M527" s="0" t="s">
        <v>2333</v>
      </c>
      <c r="N527" s="0" t="s">
        <v>63</v>
      </c>
      <c r="O527" s="5" t="n">
        <v>3</v>
      </c>
      <c r="P527" s="0" t="n">
        <v>3.3</v>
      </c>
      <c r="Q527" s="0" t="s">
        <v>92</v>
      </c>
      <c r="R527" s="0" t="s">
        <v>93</v>
      </c>
      <c r="S527" s="0" t="s">
        <v>2366</v>
      </c>
      <c r="T527" s="0" t="s">
        <v>75</v>
      </c>
      <c r="U527" s="5" t="n">
        <v>15</v>
      </c>
      <c r="V527" s="0" t="s">
        <v>112</v>
      </c>
      <c r="W527" s="0" t="s">
        <v>155</v>
      </c>
      <c r="X527" s="0" t="s">
        <v>98</v>
      </c>
      <c r="Y527" s="0" t="s">
        <v>196</v>
      </c>
      <c r="Z527" s="0" t="s">
        <v>177</v>
      </c>
      <c r="AA527" s="0" t="s">
        <v>149</v>
      </c>
      <c r="AB527" s="5" t="n">
        <v>20000</v>
      </c>
      <c r="AC527" s="5" t="n">
        <v>31549.1183879093</v>
      </c>
      <c r="AD527" s="0" t="s">
        <v>63</v>
      </c>
      <c r="AE527" s="5" t="n">
        <v>10000</v>
      </c>
      <c r="AF527" s="0" t="s">
        <v>60</v>
      </c>
      <c r="AG527" s="7" t="s">
        <v>2330</v>
      </c>
      <c r="AH527" s="0" t="s">
        <v>50</v>
      </c>
      <c r="AI527" s="0" t="s">
        <v>2331</v>
      </c>
      <c r="AJ527" s="0" t="s">
        <v>172</v>
      </c>
      <c r="AK527" s="0" t="s">
        <v>63</v>
      </c>
      <c r="AL527" s="0" t="s">
        <v>50</v>
      </c>
      <c r="AM527" s="0" t="s">
        <v>2344</v>
      </c>
      <c r="AN527" s="0" t="s">
        <v>2321</v>
      </c>
      <c r="AO527" s="0" t="s">
        <v>63</v>
      </c>
    </row>
    <row r="528" customFormat="false" ht="15" hidden="false" customHeight="false" outlineLevel="0" collapsed="false">
      <c r="A528" s="0" t="s">
        <v>1327</v>
      </c>
      <c r="B528" s="2" t="s">
        <v>725</v>
      </c>
      <c r="C528" s="0" t="s">
        <v>66</v>
      </c>
      <c r="D528" s="0" t="n">
        <v>8037076822</v>
      </c>
      <c r="E528" s="0" t="s">
        <v>43</v>
      </c>
      <c r="F528" s="0" t="s">
        <v>2315</v>
      </c>
      <c r="G528" s="0" t="s">
        <v>1297</v>
      </c>
      <c r="H528" s="0" t="s">
        <v>134</v>
      </c>
      <c r="I528" s="3" t="s">
        <v>2317</v>
      </c>
      <c r="J528" s="0" t="s">
        <v>2349</v>
      </c>
      <c r="K528" s="0" t="s">
        <v>109</v>
      </c>
      <c r="L528" s="4" t="n">
        <v>27938</v>
      </c>
      <c r="M528" s="0" t="s">
        <v>49</v>
      </c>
      <c r="N528" s="0" t="s">
        <v>50</v>
      </c>
      <c r="O528" s="5" t="n">
        <v>1</v>
      </c>
      <c r="P528" s="0" t="n">
        <v>3.6</v>
      </c>
      <c r="Q528" s="0" t="s">
        <v>92</v>
      </c>
      <c r="R528" s="0" t="s">
        <v>93</v>
      </c>
      <c r="S528" s="0" t="s">
        <v>2340</v>
      </c>
      <c r="T528" s="0" t="s">
        <v>2343</v>
      </c>
      <c r="U528" s="5" t="n">
        <v>36.5131578947368</v>
      </c>
      <c r="V528" s="0" t="s">
        <v>96</v>
      </c>
      <c r="W528" s="0" t="s">
        <v>155</v>
      </c>
      <c r="X528" s="0" t="s">
        <v>128</v>
      </c>
      <c r="Y528" s="0" t="s">
        <v>196</v>
      </c>
      <c r="Z528" s="0" t="s">
        <v>59</v>
      </c>
      <c r="AA528" s="0" t="s">
        <v>161</v>
      </c>
      <c r="AB528" s="5" t="n">
        <v>40000</v>
      </c>
      <c r="AC528" s="5" t="n">
        <v>30000</v>
      </c>
      <c r="AD528" s="0" t="s">
        <v>63</v>
      </c>
      <c r="AE528" s="5" t="n">
        <v>5000</v>
      </c>
      <c r="AF528" s="0" t="s">
        <v>60</v>
      </c>
      <c r="AG528" s="7" t="s">
        <v>1108</v>
      </c>
      <c r="AH528" s="0" t="s">
        <v>2329</v>
      </c>
      <c r="AI528" s="0" t="s">
        <v>171</v>
      </c>
      <c r="AJ528" s="0" t="s">
        <v>2331</v>
      </c>
      <c r="AK528" s="0" t="s">
        <v>50</v>
      </c>
      <c r="AL528" s="0" t="s">
        <v>63</v>
      </c>
      <c r="AM528" s="0" t="s">
        <v>63</v>
      </c>
      <c r="AN528" s="0" t="s">
        <v>64</v>
      </c>
      <c r="AO528" s="0" t="s">
        <v>63</v>
      </c>
    </row>
    <row r="529" customFormat="false" ht="15" hidden="false" customHeight="false" outlineLevel="0" collapsed="false">
      <c r="A529" s="0" t="s">
        <v>1328</v>
      </c>
      <c r="B529" s="2" t="s">
        <v>2399</v>
      </c>
      <c r="C529" s="0" t="s">
        <v>121</v>
      </c>
      <c r="D529" s="0" t="n">
        <v>8043514137</v>
      </c>
      <c r="E529" s="0" t="s">
        <v>43</v>
      </c>
      <c r="F529" s="0" t="s">
        <v>2315</v>
      </c>
      <c r="G529" s="0" t="s">
        <v>1329</v>
      </c>
      <c r="H529" s="0" t="s">
        <v>45</v>
      </c>
      <c r="I529" s="3" t="s">
        <v>2317</v>
      </c>
      <c r="J529" s="0" t="s">
        <v>2347</v>
      </c>
      <c r="K529" s="0" t="s">
        <v>48</v>
      </c>
      <c r="L529" s="4" t="n">
        <v>119677</v>
      </c>
      <c r="M529" s="0" t="s">
        <v>110</v>
      </c>
      <c r="N529" s="0" t="s">
        <v>63</v>
      </c>
      <c r="O529" s="5" t="n">
        <v>5</v>
      </c>
      <c r="P529" s="0" t="n">
        <v>3.9</v>
      </c>
      <c r="Q529" s="0" t="s">
        <v>51</v>
      </c>
      <c r="R529" s="0" t="s">
        <v>52</v>
      </c>
      <c r="S529" s="0" t="s">
        <v>53</v>
      </c>
      <c r="T529" s="0" t="s">
        <v>147</v>
      </c>
      <c r="U529" s="5" t="n">
        <v>15</v>
      </c>
      <c r="V529" s="0" t="s">
        <v>2352</v>
      </c>
      <c r="W529" s="0" t="s">
        <v>2328</v>
      </c>
      <c r="X529" s="0" t="s">
        <v>98</v>
      </c>
      <c r="Y529" s="0" t="s">
        <v>196</v>
      </c>
      <c r="Z529" s="0" t="s">
        <v>177</v>
      </c>
      <c r="AA529" s="0" t="s">
        <v>161</v>
      </c>
      <c r="AB529" s="5" t="n">
        <v>20000</v>
      </c>
      <c r="AC529" s="5" t="n">
        <v>30000</v>
      </c>
      <c r="AD529" s="0" t="s">
        <v>50</v>
      </c>
      <c r="AE529" s="5" t="n">
        <v>5000</v>
      </c>
      <c r="AF529" s="0" t="s">
        <v>184</v>
      </c>
      <c r="AG529" s="7" t="s">
        <v>552</v>
      </c>
      <c r="AH529" s="0" t="s">
        <v>50</v>
      </c>
      <c r="AI529" s="0" t="s">
        <v>116</v>
      </c>
      <c r="AJ529" s="0" t="s">
        <v>2331</v>
      </c>
      <c r="AK529" s="0" t="s">
        <v>2344</v>
      </c>
      <c r="AL529" s="0" t="s">
        <v>50</v>
      </c>
      <c r="AM529" s="0" t="s">
        <v>2344</v>
      </c>
      <c r="AN529" s="0" t="s">
        <v>2321</v>
      </c>
      <c r="AO529" s="0" t="s">
        <v>2359</v>
      </c>
    </row>
    <row r="530" customFormat="false" ht="15" hidden="false" customHeight="false" outlineLevel="0" collapsed="false">
      <c r="A530" s="0" t="s">
        <v>1330</v>
      </c>
      <c r="B530" s="2" t="s">
        <v>340</v>
      </c>
      <c r="C530" s="0" t="s">
        <v>42</v>
      </c>
      <c r="D530" s="0" t="n">
        <v>8060283960</v>
      </c>
      <c r="E530" s="0" t="s">
        <v>139</v>
      </c>
      <c r="F530" s="0" t="s">
        <v>2323</v>
      </c>
      <c r="G530" s="0" t="s">
        <v>1331</v>
      </c>
      <c r="H530" s="0" t="s">
        <v>87</v>
      </c>
      <c r="I530" s="3" t="s">
        <v>2342</v>
      </c>
      <c r="J530" s="0" t="s">
        <v>189</v>
      </c>
      <c r="K530" s="0" t="s">
        <v>109</v>
      </c>
      <c r="L530" s="4" t="n">
        <v>116179</v>
      </c>
      <c r="M530" s="0" t="s">
        <v>110</v>
      </c>
      <c r="N530" s="0" t="s">
        <v>63</v>
      </c>
      <c r="O530" s="5" t="n">
        <v>3</v>
      </c>
      <c r="P530" s="0" t="n">
        <v>4</v>
      </c>
      <c r="Q530" s="0" t="s">
        <v>51</v>
      </c>
      <c r="R530" s="0" t="s">
        <v>93</v>
      </c>
      <c r="S530" s="0" t="s">
        <v>2335</v>
      </c>
      <c r="T530" s="0" t="s">
        <v>147</v>
      </c>
      <c r="U530" s="5" t="n">
        <v>45</v>
      </c>
      <c r="V530" s="0" t="s">
        <v>55</v>
      </c>
      <c r="W530" s="0" t="s">
        <v>155</v>
      </c>
      <c r="X530" s="0" t="s">
        <v>98</v>
      </c>
      <c r="Y530" s="0" t="s">
        <v>99</v>
      </c>
      <c r="Z530" s="0" t="s">
        <v>59</v>
      </c>
      <c r="AA530" s="0" t="s">
        <v>79</v>
      </c>
      <c r="AB530" s="5" t="n">
        <v>25100</v>
      </c>
      <c r="AC530" s="5" t="n">
        <v>31556.9620253165</v>
      </c>
      <c r="AD530" s="0" t="s">
        <v>50</v>
      </c>
      <c r="AE530" s="5" t="n">
        <v>5000</v>
      </c>
      <c r="AF530" s="0" t="s">
        <v>60</v>
      </c>
      <c r="AG530" s="7" t="s">
        <v>2330</v>
      </c>
      <c r="AH530" s="0" t="s">
        <v>63</v>
      </c>
      <c r="AI530" s="0" t="s">
        <v>2331</v>
      </c>
      <c r="AJ530" s="0" t="s">
        <v>117</v>
      </c>
      <c r="AK530" s="0" t="s">
        <v>50</v>
      </c>
      <c r="AL530" s="0" t="s">
        <v>50</v>
      </c>
      <c r="AM530" s="0" t="s">
        <v>63</v>
      </c>
      <c r="AN530" s="0" t="s">
        <v>2321</v>
      </c>
      <c r="AO530" s="0" t="s">
        <v>50</v>
      </c>
    </row>
    <row r="531" customFormat="false" ht="15" hidden="false" customHeight="false" outlineLevel="0" collapsed="false">
      <c r="A531" s="0" t="s">
        <v>1332</v>
      </c>
      <c r="B531" s="2" t="s">
        <v>725</v>
      </c>
      <c r="C531" s="0" t="s">
        <v>105</v>
      </c>
      <c r="D531" s="0" t="n">
        <v>8042016340</v>
      </c>
      <c r="E531" s="0" t="s">
        <v>122</v>
      </c>
      <c r="F531" s="0" t="s">
        <v>2316</v>
      </c>
      <c r="G531" s="0" t="s">
        <v>1096</v>
      </c>
      <c r="H531" s="0" t="s">
        <v>107</v>
      </c>
      <c r="I531" s="3" t="s">
        <v>87</v>
      </c>
      <c r="J531" s="0" t="s">
        <v>2341</v>
      </c>
      <c r="K531" s="0" t="s">
        <v>90</v>
      </c>
      <c r="L531" s="4" t="n">
        <v>42912</v>
      </c>
      <c r="M531" s="0" t="s">
        <v>2333</v>
      </c>
      <c r="N531" s="0" t="s">
        <v>63</v>
      </c>
      <c r="O531" s="5" t="n">
        <v>2</v>
      </c>
      <c r="P531" s="0" t="n">
        <v>5</v>
      </c>
      <c r="Q531" s="0" t="s">
        <v>92</v>
      </c>
      <c r="R531" s="0" t="s">
        <v>93</v>
      </c>
      <c r="S531" s="0" t="s">
        <v>53</v>
      </c>
      <c r="T531" s="0" t="s">
        <v>2353</v>
      </c>
      <c r="U531" s="5" t="n">
        <v>38.5416666666667</v>
      </c>
      <c r="V531" s="0" t="s">
        <v>112</v>
      </c>
      <c r="W531" s="0" t="s">
        <v>2337</v>
      </c>
      <c r="X531" s="0" t="s">
        <v>98</v>
      </c>
      <c r="Y531" s="0" t="s">
        <v>196</v>
      </c>
      <c r="Z531" s="0" t="s">
        <v>2329</v>
      </c>
      <c r="AA531" s="0" t="s">
        <v>79</v>
      </c>
      <c r="AB531" s="5" t="n">
        <v>30000</v>
      </c>
      <c r="AC531" s="5" t="n">
        <v>20000</v>
      </c>
      <c r="AD531" s="0" t="s">
        <v>50</v>
      </c>
      <c r="AE531" s="5" t="n">
        <v>5000</v>
      </c>
      <c r="AF531" s="0" t="s">
        <v>130</v>
      </c>
      <c r="AG531" s="7" t="s">
        <v>2503</v>
      </c>
      <c r="AH531" s="0" t="s">
        <v>63</v>
      </c>
      <c r="AI531" s="0" t="s">
        <v>116</v>
      </c>
      <c r="AJ531" s="0" t="s">
        <v>2320</v>
      </c>
      <c r="AK531" s="0" t="s">
        <v>50</v>
      </c>
      <c r="AL531" s="0" t="s">
        <v>2344</v>
      </c>
      <c r="AM531" s="0" t="s">
        <v>63</v>
      </c>
      <c r="AN531" s="0" t="s">
        <v>2318</v>
      </c>
      <c r="AO531" s="0" t="s">
        <v>50</v>
      </c>
    </row>
    <row r="532" customFormat="false" ht="15" hidden="false" customHeight="false" outlineLevel="0" collapsed="false">
      <c r="A532" s="0" t="s">
        <v>1333</v>
      </c>
      <c r="B532" s="2" t="s">
        <v>2364</v>
      </c>
      <c r="C532" s="0" t="s">
        <v>121</v>
      </c>
      <c r="D532" s="0" t="n">
        <v>8036841625</v>
      </c>
      <c r="E532" s="0" t="s">
        <v>139</v>
      </c>
      <c r="F532" s="0" t="s">
        <v>2323</v>
      </c>
      <c r="G532" s="0" t="s">
        <v>1334</v>
      </c>
      <c r="H532" s="0" t="s">
        <v>134</v>
      </c>
      <c r="I532" s="3" t="s">
        <v>2325</v>
      </c>
      <c r="J532" s="0" t="s">
        <v>47</v>
      </c>
      <c r="K532" s="0" t="s">
        <v>109</v>
      </c>
      <c r="L532" s="4" t="n">
        <v>70521</v>
      </c>
      <c r="M532" s="0" t="s">
        <v>2333</v>
      </c>
      <c r="N532" s="0" t="s">
        <v>50</v>
      </c>
      <c r="O532" s="5" t="n">
        <v>3.09043927648579</v>
      </c>
      <c r="P532" s="0" t="n">
        <v>5.6</v>
      </c>
      <c r="Q532" s="0" t="s">
        <v>111</v>
      </c>
      <c r="R532" s="0" t="s">
        <v>93</v>
      </c>
      <c r="S532" s="0" t="s">
        <v>2340</v>
      </c>
      <c r="T532" s="0" t="s">
        <v>2353</v>
      </c>
      <c r="U532" s="5" t="n">
        <v>60</v>
      </c>
      <c r="V532" s="0" t="s">
        <v>2352</v>
      </c>
      <c r="W532" s="0" t="s">
        <v>2328</v>
      </c>
      <c r="X532" s="0" t="s">
        <v>98</v>
      </c>
      <c r="Y532" s="0" t="s">
        <v>99</v>
      </c>
      <c r="Z532" s="0" t="s">
        <v>2324</v>
      </c>
      <c r="AA532" s="0" t="s">
        <v>161</v>
      </c>
      <c r="AB532" s="5" t="n">
        <v>20000</v>
      </c>
      <c r="AC532" s="5" t="n">
        <v>35000</v>
      </c>
      <c r="AD532" s="0" t="s">
        <v>63</v>
      </c>
      <c r="AE532" s="5" t="n">
        <v>0</v>
      </c>
      <c r="AF532" s="0" t="s">
        <v>184</v>
      </c>
      <c r="AG532" s="7" t="s">
        <v>556</v>
      </c>
      <c r="AH532" s="0" t="s">
        <v>2329</v>
      </c>
      <c r="AI532" s="0" t="s">
        <v>2331</v>
      </c>
      <c r="AJ532" s="0" t="s">
        <v>172</v>
      </c>
      <c r="AK532" s="0" t="s">
        <v>63</v>
      </c>
      <c r="AL532" s="0" t="s">
        <v>63</v>
      </c>
      <c r="AM532" s="0" t="s">
        <v>50</v>
      </c>
      <c r="AN532" s="0" t="s">
        <v>2318</v>
      </c>
      <c r="AO532" s="0" t="s">
        <v>63</v>
      </c>
    </row>
    <row r="533" customFormat="false" ht="15" hidden="false" customHeight="false" outlineLevel="0" collapsed="false">
      <c r="A533" s="0" t="s">
        <v>1335</v>
      </c>
      <c r="B533" s="2" t="s">
        <v>433</v>
      </c>
      <c r="C533" s="0" t="s">
        <v>121</v>
      </c>
      <c r="D533" s="0" t="n">
        <v>8022265679</v>
      </c>
      <c r="E533" s="0" t="s">
        <v>67</v>
      </c>
      <c r="F533" s="0" t="s">
        <v>2316</v>
      </c>
      <c r="G533" s="0" t="s">
        <v>1336</v>
      </c>
      <c r="H533" s="0" t="s">
        <v>69</v>
      </c>
      <c r="I533" s="3" t="s">
        <v>2325</v>
      </c>
      <c r="J533" s="0" t="s">
        <v>2339</v>
      </c>
      <c r="K533" s="0" t="s">
        <v>109</v>
      </c>
      <c r="L533" s="4" t="n">
        <v>66909</v>
      </c>
      <c r="M533" s="0" t="s">
        <v>49</v>
      </c>
      <c r="N533" s="0" t="s">
        <v>63</v>
      </c>
      <c r="O533" s="5" t="n">
        <v>4</v>
      </c>
      <c r="P533" s="0" t="n">
        <v>3.9</v>
      </c>
      <c r="Q533" s="0" t="s">
        <v>51</v>
      </c>
      <c r="R533" s="0" t="s">
        <v>52</v>
      </c>
      <c r="S533" s="0" t="s">
        <v>53</v>
      </c>
      <c r="T533" s="0" t="s">
        <v>2343</v>
      </c>
      <c r="U533" s="5" t="n">
        <v>45</v>
      </c>
      <c r="V533" s="0" t="s">
        <v>96</v>
      </c>
      <c r="W533" s="0" t="s">
        <v>2337</v>
      </c>
      <c r="X533" s="0" t="s">
        <v>128</v>
      </c>
      <c r="Y533" s="0" t="s">
        <v>99</v>
      </c>
      <c r="Z533" s="0" t="s">
        <v>59</v>
      </c>
      <c r="AA533" s="0" t="s">
        <v>143</v>
      </c>
      <c r="AB533" s="5" t="n">
        <v>30000</v>
      </c>
      <c r="AC533" s="5" t="n">
        <v>31577.6081424936</v>
      </c>
      <c r="AD533" s="0" t="s">
        <v>50</v>
      </c>
      <c r="AE533" s="5" t="n">
        <v>0</v>
      </c>
      <c r="AF533" s="0" t="s">
        <v>130</v>
      </c>
      <c r="AG533" s="7" t="s">
        <v>2330</v>
      </c>
      <c r="AH533" s="0" t="s">
        <v>63</v>
      </c>
      <c r="AI533" s="0" t="s">
        <v>171</v>
      </c>
      <c r="AJ533" s="0" t="s">
        <v>2331</v>
      </c>
      <c r="AK533" s="0" t="s">
        <v>2344</v>
      </c>
      <c r="AL533" s="0" t="s">
        <v>2344</v>
      </c>
      <c r="AM533" s="0" t="s">
        <v>50</v>
      </c>
      <c r="AN533" s="0" t="s">
        <v>2318</v>
      </c>
      <c r="AO533" s="0" t="s">
        <v>50</v>
      </c>
    </row>
    <row r="534" customFormat="false" ht="15" hidden="false" customHeight="false" outlineLevel="0" collapsed="false">
      <c r="A534" s="0" t="s">
        <v>1337</v>
      </c>
      <c r="B534" s="2" t="s">
        <v>2438</v>
      </c>
      <c r="C534" s="0" t="s">
        <v>42</v>
      </c>
      <c r="D534" s="0" t="n">
        <v>8012152643</v>
      </c>
      <c r="E534" s="0" t="s">
        <v>85</v>
      </c>
      <c r="F534" s="0" t="s">
        <v>2319</v>
      </c>
      <c r="G534" s="0" t="s">
        <v>1338</v>
      </c>
      <c r="H534" s="0" t="s">
        <v>69</v>
      </c>
      <c r="I534" s="3" t="s">
        <v>2342</v>
      </c>
      <c r="J534" s="0" t="s">
        <v>2349</v>
      </c>
      <c r="K534" s="0" t="s">
        <v>90</v>
      </c>
      <c r="L534" s="4" t="n">
        <v>10358</v>
      </c>
      <c r="M534" s="0" t="s">
        <v>110</v>
      </c>
      <c r="N534" s="0" t="s">
        <v>63</v>
      </c>
      <c r="O534" s="5" t="n">
        <v>4</v>
      </c>
      <c r="P534" s="0" t="n">
        <v>3.9</v>
      </c>
      <c r="Q534" s="0" t="s">
        <v>125</v>
      </c>
      <c r="R534" s="0" t="s">
        <v>73</v>
      </c>
      <c r="S534" s="0" t="s">
        <v>2335</v>
      </c>
      <c r="T534" s="0" t="s">
        <v>54</v>
      </c>
      <c r="U534" s="5" t="n">
        <v>15</v>
      </c>
      <c r="V534" s="0" t="s">
        <v>2336</v>
      </c>
      <c r="W534" s="0" t="s">
        <v>2337</v>
      </c>
      <c r="X534" s="0" t="s">
        <v>98</v>
      </c>
      <c r="Y534" s="0" t="s">
        <v>196</v>
      </c>
      <c r="Z534" s="0" t="s">
        <v>2329</v>
      </c>
      <c r="AA534" s="0" t="s">
        <v>161</v>
      </c>
      <c r="AB534" s="5" t="n">
        <v>26461.5384615385</v>
      </c>
      <c r="AC534" s="5" t="n">
        <v>35000</v>
      </c>
      <c r="AD534" s="0" t="s">
        <v>63</v>
      </c>
      <c r="AE534" s="5" t="n">
        <v>0</v>
      </c>
      <c r="AF534" s="0" t="s">
        <v>60</v>
      </c>
      <c r="AG534" s="7" t="s">
        <v>2330</v>
      </c>
      <c r="AH534" s="0" t="s">
        <v>63</v>
      </c>
      <c r="AI534" s="0" t="s">
        <v>2331</v>
      </c>
      <c r="AJ534" s="0" t="s">
        <v>2331</v>
      </c>
      <c r="AK534" s="0" t="s">
        <v>50</v>
      </c>
      <c r="AL534" s="0" t="s">
        <v>63</v>
      </c>
      <c r="AM534" s="0" t="s">
        <v>63</v>
      </c>
      <c r="AN534" s="0" t="s">
        <v>2321</v>
      </c>
      <c r="AO534" s="0" t="s">
        <v>63</v>
      </c>
    </row>
    <row r="535" customFormat="false" ht="15" hidden="false" customHeight="false" outlineLevel="0" collapsed="false">
      <c r="A535" s="0" t="s">
        <v>1340</v>
      </c>
      <c r="B535" s="2" t="s">
        <v>1339</v>
      </c>
      <c r="C535" s="0" t="s">
        <v>42</v>
      </c>
      <c r="D535" s="0" t="n">
        <v>8066597298</v>
      </c>
      <c r="E535" s="0" t="s">
        <v>67</v>
      </c>
      <c r="F535" s="0" t="s">
        <v>2316</v>
      </c>
      <c r="G535" s="0" t="s">
        <v>1341</v>
      </c>
      <c r="H535" s="0" t="s">
        <v>134</v>
      </c>
      <c r="I535" s="3" t="s">
        <v>2322</v>
      </c>
      <c r="J535" s="0" t="s">
        <v>2341</v>
      </c>
      <c r="K535" s="0" t="s">
        <v>48</v>
      </c>
      <c r="L535" s="4" t="n">
        <v>24491</v>
      </c>
      <c r="M535" s="0" t="s">
        <v>49</v>
      </c>
      <c r="N535" s="0" t="s">
        <v>63</v>
      </c>
      <c r="O535" s="5" t="n">
        <v>3</v>
      </c>
      <c r="P535" s="0" t="n">
        <v>1.2</v>
      </c>
      <c r="Q535" s="0" t="s">
        <v>51</v>
      </c>
      <c r="R535" s="0" t="s">
        <v>52</v>
      </c>
      <c r="S535" s="0" t="s">
        <v>2340</v>
      </c>
      <c r="T535" s="0" t="s">
        <v>95</v>
      </c>
      <c r="U535" s="5" t="n">
        <v>38.5416666666667</v>
      </c>
      <c r="V535" s="0" t="s">
        <v>112</v>
      </c>
      <c r="W535" s="0" t="s">
        <v>155</v>
      </c>
      <c r="X535" s="0" t="s">
        <v>78</v>
      </c>
      <c r="Y535" s="0" t="s">
        <v>58</v>
      </c>
      <c r="Z535" s="0" t="s">
        <v>59</v>
      </c>
      <c r="AA535" s="0" t="s">
        <v>79</v>
      </c>
      <c r="AB535" s="5" t="n">
        <v>20000</v>
      </c>
      <c r="AC535" s="5" t="n">
        <v>30000</v>
      </c>
      <c r="AD535" s="0" t="s">
        <v>50</v>
      </c>
      <c r="AE535" s="5" t="n">
        <v>0</v>
      </c>
      <c r="AF535" s="0" t="s">
        <v>60</v>
      </c>
      <c r="AG535" s="7" t="s">
        <v>2042</v>
      </c>
      <c r="AH535" s="0" t="s">
        <v>50</v>
      </c>
      <c r="AI535" s="0" t="s">
        <v>2331</v>
      </c>
      <c r="AJ535" s="0" t="s">
        <v>117</v>
      </c>
      <c r="AK535" s="0" t="s">
        <v>50</v>
      </c>
      <c r="AL535" s="0" t="s">
        <v>2344</v>
      </c>
      <c r="AM535" s="0" t="s">
        <v>2344</v>
      </c>
      <c r="AN535" s="0" t="s">
        <v>2321</v>
      </c>
      <c r="AO535" s="0" t="s">
        <v>2359</v>
      </c>
    </row>
    <row r="536" customFormat="false" ht="15" hidden="false" customHeight="false" outlineLevel="0" collapsed="false">
      <c r="A536" s="0" t="s">
        <v>1343</v>
      </c>
      <c r="B536" s="2" t="s">
        <v>1342</v>
      </c>
      <c r="C536" s="0" t="s">
        <v>42</v>
      </c>
      <c r="D536" s="0" t="n">
        <v>8013750602</v>
      </c>
      <c r="E536" s="0" t="s">
        <v>85</v>
      </c>
      <c r="F536" s="0" t="s">
        <v>2319</v>
      </c>
      <c r="G536" s="0" t="s">
        <v>1344</v>
      </c>
      <c r="H536" s="0" t="s">
        <v>45</v>
      </c>
      <c r="I536" s="3" t="s">
        <v>2342</v>
      </c>
      <c r="J536" s="0" t="s">
        <v>2341</v>
      </c>
      <c r="K536" s="0" t="s">
        <v>90</v>
      </c>
      <c r="L536" s="4" t="n">
        <v>15783</v>
      </c>
      <c r="M536" s="0" t="s">
        <v>2333</v>
      </c>
      <c r="N536" s="0" t="s">
        <v>63</v>
      </c>
      <c r="O536" s="5" t="n">
        <v>5</v>
      </c>
      <c r="P536" s="0" t="n">
        <v>3.5</v>
      </c>
      <c r="Q536" s="0" t="s">
        <v>2334</v>
      </c>
      <c r="R536" s="0" t="s">
        <v>93</v>
      </c>
      <c r="S536" s="0" t="s">
        <v>2366</v>
      </c>
      <c r="T536" s="0" t="s">
        <v>54</v>
      </c>
      <c r="U536" s="5" t="n">
        <v>60</v>
      </c>
      <c r="V536" s="0" t="s">
        <v>2336</v>
      </c>
      <c r="W536" s="0" t="s">
        <v>2328</v>
      </c>
      <c r="X536" s="0" t="s">
        <v>98</v>
      </c>
      <c r="Y536" s="0" t="s">
        <v>196</v>
      </c>
      <c r="Z536" s="0" t="s">
        <v>2329</v>
      </c>
      <c r="AA536" s="0" t="s">
        <v>79</v>
      </c>
      <c r="AB536" s="5" t="n">
        <v>25000</v>
      </c>
      <c r="AC536" s="5" t="n">
        <v>31572.8900255755</v>
      </c>
      <c r="AD536" s="0" t="s">
        <v>50</v>
      </c>
      <c r="AE536" s="5" t="n">
        <v>5000</v>
      </c>
      <c r="AF536" s="0" t="s">
        <v>60</v>
      </c>
      <c r="AG536" s="7" t="s">
        <v>2330</v>
      </c>
      <c r="AH536" s="0" t="s">
        <v>2329</v>
      </c>
      <c r="AI536" s="0" t="s">
        <v>171</v>
      </c>
      <c r="AJ536" s="0" t="s">
        <v>117</v>
      </c>
      <c r="AK536" s="0" t="s">
        <v>50</v>
      </c>
      <c r="AL536" s="0" t="s">
        <v>50</v>
      </c>
      <c r="AM536" s="0" t="s">
        <v>63</v>
      </c>
      <c r="AN536" s="0" t="s">
        <v>2321</v>
      </c>
      <c r="AO536" s="0" t="s">
        <v>50</v>
      </c>
    </row>
    <row r="537" customFormat="false" ht="15" hidden="false" customHeight="false" outlineLevel="0" collapsed="false">
      <c r="A537" s="0" t="s">
        <v>1345</v>
      </c>
      <c r="B537" s="2" t="s">
        <v>2418</v>
      </c>
      <c r="C537" s="0" t="s">
        <v>121</v>
      </c>
      <c r="D537" s="0" t="n">
        <v>8011954205</v>
      </c>
      <c r="E537" s="0" t="s">
        <v>67</v>
      </c>
      <c r="F537" s="0" t="s">
        <v>2316</v>
      </c>
      <c r="G537" s="0" t="s">
        <v>1346</v>
      </c>
      <c r="H537" s="0" t="s">
        <v>87</v>
      </c>
      <c r="I537" s="3" t="s">
        <v>2342</v>
      </c>
      <c r="J537" s="0" t="s">
        <v>2341</v>
      </c>
      <c r="K537" s="0" t="s">
        <v>109</v>
      </c>
      <c r="L537" s="4" t="n">
        <v>82737</v>
      </c>
      <c r="M537" s="0" t="s">
        <v>110</v>
      </c>
      <c r="N537" s="0" t="s">
        <v>63</v>
      </c>
      <c r="O537" s="5" t="n">
        <v>3.08093994778068</v>
      </c>
      <c r="P537" s="0" t="n">
        <v>2.3</v>
      </c>
      <c r="Q537" s="0" t="s">
        <v>92</v>
      </c>
      <c r="R537" s="0" t="s">
        <v>52</v>
      </c>
      <c r="S537" s="0" t="s">
        <v>53</v>
      </c>
      <c r="T537" s="0" t="s">
        <v>54</v>
      </c>
      <c r="U537" s="5" t="n">
        <v>15</v>
      </c>
      <c r="V537" s="0" t="s">
        <v>112</v>
      </c>
      <c r="W537" s="0" t="s">
        <v>2328</v>
      </c>
      <c r="X537" s="0" t="s">
        <v>78</v>
      </c>
      <c r="Y537" s="0" t="s">
        <v>196</v>
      </c>
      <c r="Z537" s="0" t="s">
        <v>177</v>
      </c>
      <c r="AA537" s="0" t="s">
        <v>79</v>
      </c>
      <c r="AB537" s="5" t="n">
        <v>40000</v>
      </c>
      <c r="AC537" s="5" t="n">
        <v>40000</v>
      </c>
      <c r="AD537" s="0" t="s">
        <v>50</v>
      </c>
      <c r="AE537" s="5" t="n">
        <v>0</v>
      </c>
      <c r="AF537" s="0" t="s">
        <v>184</v>
      </c>
      <c r="AG537" s="7" t="s">
        <v>1347</v>
      </c>
      <c r="AH537" s="0" t="s">
        <v>63</v>
      </c>
      <c r="AI537" s="0" t="s">
        <v>2331</v>
      </c>
      <c r="AJ537" s="0" t="s">
        <v>2320</v>
      </c>
      <c r="AK537" s="0" t="s">
        <v>50</v>
      </c>
      <c r="AL537" s="0" t="s">
        <v>63</v>
      </c>
      <c r="AM537" s="0" t="s">
        <v>2344</v>
      </c>
      <c r="AN537" s="0" t="s">
        <v>2321</v>
      </c>
      <c r="AO537" s="0" t="s">
        <v>50</v>
      </c>
    </row>
    <row r="538" customFormat="false" ht="15" hidden="false" customHeight="false" outlineLevel="0" collapsed="false">
      <c r="A538" s="0" t="s">
        <v>1348</v>
      </c>
      <c r="B538" s="2" t="s">
        <v>222</v>
      </c>
      <c r="C538" s="0" t="s">
        <v>105</v>
      </c>
      <c r="D538" s="0" t="n">
        <v>8055247029</v>
      </c>
      <c r="E538" s="0" t="s">
        <v>67</v>
      </c>
      <c r="F538" s="0" t="s">
        <v>2316</v>
      </c>
      <c r="G538" s="0" t="s">
        <v>1349</v>
      </c>
      <c r="H538" s="0" t="s">
        <v>107</v>
      </c>
      <c r="I538" s="3" t="s">
        <v>2322</v>
      </c>
      <c r="J538" s="0" t="s">
        <v>2347</v>
      </c>
      <c r="K538" s="0" t="s">
        <v>90</v>
      </c>
      <c r="L538" s="4" t="n">
        <v>17785</v>
      </c>
      <c r="M538" s="0" t="s">
        <v>110</v>
      </c>
      <c r="N538" s="0" t="s">
        <v>50</v>
      </c>
      <c r="O538" s="5" t="n">
        <v>2</v>
      </c>
      <c r="P538" s="0" t="n">
        <v>4.8</v>
      </c>
      <c r="Q538" s="0" t="s">
        <v>92</v>
      </c>
      <c r="R538" s="0" t="s">
        <v>73</v>
      </c>
      <c r="S538" s="0" t="s">
        <v>53</v>
      </c>
      <c r="T538" s="0" t="s">
        <v>147</v>
      </c>
      <c r="U538" s="5" t="n">
        <v>30</v>
      </c>
      <c r="V538" s="0" t="s">
        <v>112</v>
      </c>
      <c r="W538" s="0" t="s">
        <v>2337</v>
      </c>
      <c r="X538" s="0" t="s">
        <v>128</v>
      </c>
      <c r="Y538" s="0" t="s">
        <v>99</v>
      </c>
      <c r="Z538" s="0" t="s">
        <v>2324</v>
      </c>
      <c r="AA538" s="0" t="s">
        <v>161</v>
      </c>
      <c r="AB538" s="5" t="n">
        <v>27076.9230769231</v>
      </c>
      <c r="AC538" s="5" t="n">
        <v>31551.2820512821</v>
      </c>
      <c r="AD538" s="0" t="s">
        <v>50</v>
      </c>
      <c r="AE538" s="5" t="n">
        <v>10000</v>
      </c>
      <c r="AF538" s="0" t="s">
        <v>184</v>
      </c>
      <c r="AG538" s="7" t="s">
        <v>2330</v>
      </c>
      <c r="AH538" s="0" t="s">
        <v>63</v>
      </c>
      <c r="AI538" s="0" t="s">
        <v>2331</v>
      </c>
      <c r="AJ538" s="0" t="s">
        <v>2320</v>
      </c>
      <c r="AK538" s="0" t="s">
        <v>50</v>
      </c>
      <c r="AL538" s="0" t="s">
        <v>50</v>
      </c>
      <c r="AM538" s="0" t="s">
        <v>63</v>
      </c>
      <c r="AN538" s="0" t="s">
        <v>2321</v>
      </c>
      <c r="AO538" s="0" t="s">
        <v>50</v>
      </c>
    </row>
    <row r="539" customFormat="false" ht="15" hidden="false" customHeight="false" outlineLevel="0" collapsed="false">
      <c r="A539" s="0" t="s">
        <v>1350</v>
      </c>
      <c r="B539" s="2" t="s">
        <v>1460</v>
      </c>
      <c r="C539" s="0" t="s">
        <v>121</v>
      </c>
      <c r="D539" s="0" t="n">
        <v>8035790180</v>
      </c>
      <c r="E539" s="0" t="s">
        <v>43</v>
      </c>
      <c r="F539" s="0" t="s">
        <v>2315</v>
      </c>
      <c r="G539" s="0" t="s">
        <v>1351</v>
      </c>
      <c r="H539" s="0" t="s">
        <v>87</v>
      </c>
      <c r="I539" s="3" t="s">
        <v>87</v>
      </c>
      <c r="J539" s="0" t="s">
        <v>189</v>
      </c>
      <c r="K539" s="0" t="s">
        <v>109</v>
      </c>
      <c r="L539" s="4" t="n">
        <v>110814</v>
      </c>
      <c r="M539" s="0" t="s">
        <v>49</v>
      </c>
      <c r="N539" s="0" t="s">
        <v>50</v>
      </c>
      <c r="O539" s="5" t="n">
        <v>4</v>
      </c>
      <c r="P539" s="0" t="n">
        <v>5.6</v>
      </c>
      <c r="Q539" s="0" t="s">
        <v>92</v>
      </c>
      <c r="R539" s="0" t="s">
        <v>93</v>
      </c>
      <c r="S539" s="0" t="s">
        <v>2335</v>
      </c>
      <c r="T539" s="0" t="s">
        <v>2343</v>
      </c>
      <c r="U539" s="5" t="n">
        <v>60</v>
      </c>
      <c r="V539" s="0" t="s">
        <v>2352</v>
      </c>
      <c r="W539" s="0" t="s">
        <v>155</v>
      </c>
      <c r="X539" s="0" t="s">
        <v>98</v>
      </c>
      <c r="Y539" s="0" t="s">
        <v>196</v>
      </c>
      <c r="Z539" s="0" t="s">
        <v>2329</v>
      </c>
      <c r="AA539" s="0" t="s">
        <v>79</v>
      </c>
      <c r="AB539" s="5" t="n">
        <v>30000</v>
      </c>
      <c r="AC539" s="5" t="n">
        <v>31551.2820512821</v>
      </c>
      <c r="AD539" s="0" t="s">
        <v>63</v>
      </c>
      <c r="AE539" s="5" t="n">
        <v>10000</v>
      </c>
      <c r="AF539" s="0" t="s">
        <v>2338</v>
      </c>
      <c r="AG539" s="7" t="s">
        <v>2504</v>
      </c>
      <c r="AH539" s="0" t="s">
        <v>2329</v>
      </c>
      <c r="AI539" s="0" t="s">
        <v>171</v>
      </c>
      <c r="AJ539" s="0" t="s">
        <v>2320</v>
      </c>
      <c r="AK539" s="0" t="s">
        <v>50</v>
      </c>
      <c r="AL539" s="0" t="s">
        <v>2344</v>
      </c>
      <c r="AM539" s="0" t="s">
        <v>63</v>
      </c>
      <c r="AN539" s="0" t="s">
        <v>2321</v>
      </c>
      <c r="AO539" s="0" t="s">
        <v>50</v>
      </c>
    </row>
    <row r="540" customFormat="false" ht="15" hidden="false" customHeight="false" outlineLevel="0" collapsed="false">
      <c r="A540" s="0" t="s">
        <v>1352</v>
      </c>
      <c r="B540" s="2" t="s">
        <v>918</v>
      </c>
      <c r="C540" s="0" t="s">
        <v>105</v>
      </c>
      <c r="D540" s="0" t="n">
        <v>8099784876</v>
      </c>
      <c r="E540" s="0" t="s">
        <v>122</v>
      </c>
      <c r="F540" s="0" t="s">
        <v>2316</v>
      </c>
      <c r="G540" s="0" t="s">
        <v>1353</v>
      </c>
      <c r="H540" s="0" t="s">
        <v>134</v>
      </c>
      <c r="I540" s="3" t="s">
        <v>2317</v>
      </c>
      <c r="J540" s="0" t="s">
        <v>2349</v>
      </c>
      <c r="K540" s="0" t="s">
        <v>90</v>
      </c>
      <c r="L540" s="4" t="n">
        <v>25533</v>
      </c>
      <c r="M540" s="0" t="s">
        <v>49</v>
      </c>
      <c r="N540" s="0" t="s">
        <v>50</v>
      </c>
      <c r="O540" s="5" t="n">
        <v>4</v>
      </c>
      <c r="P540" s="0" t="n">
        <v>5.3</v>
      </c>
      <c r="Q540" s="0" t="s">
        <v>51</v>
      </c>
      <c r="R540" s="0" t="s">
        <v>73</v>
      </c>
      <c r="S540" s="0" t="s">
        <v>53</v>
      </c>
      <c r="T540" s="0" t="s">
        <v>95</v>
      </c>
      <c r="U540" s="5" t="n">
        <v>36.8</v>
      </c>
      <c r="V540" s="0" t="s">
        <v>55</v>
      </c>
      <c r="W540" s="0" t="s">
        <v>2328</v>
      </c>
      <c r="X540" s="0" t="s">
        <v>98</v>
      </c>
      <c r="Y540" s="0" t="s">
        <v>99</v>
      </c>
      <c r="Z540" s="0" t="s">
        <v>2326</v>
      </c>
      <c r="AA540" s="0" t="s">
        <v>79</v>
      </c>
      <c r="AB540" s="5" t="n">
        <v>26461.5384615385</v>
      </c>
      <c r="AC540" s="5" t="n">
        <v>35000</v>
      </c>
      <c r="AD540" s="0" t="s">
        <v>50</v>
      </c>
      <c r="AE540" s="5" t="n">
        <v>5000</v>
      </c>
      <c r="AF540" s="0" t="s">
        <v>184</v>
      </c>
      <c r="AG540" s="7" t="s">
        <v>1019</v>
      </c>
      <c r="AH540" s="0" t="s">
        <v>50</v>
      </c>
      <c r="AI540" s="0" t="s">
        <v>2331</v>
      </c>
      <c r="AJ540" s="0" t="s">
        <v>2331</v>
      </c>
      <c r="AK540" s="0" t="s">
        <v>50</v>
      </c>
      <c r="AL540" s="0" t="s">
        <v>63</v>
      </c>
      <c r="AM540" s="0" t="s">
        <v>2344</v>
      </c>
      <c r="AN540" s="0" t="s">
        <v>2321</v>
      </c>
      <c r="AO540" s="0" t="s">
        <v>50</v>
      </c>
    </row>
    <row r="541" customFormat="false" ht="15" hidden="false" customHeight="false" outlineLevel="0" collapsed="false">
      <c r="A541" s="0" t="s">
        <v>1354</v>
      </c>
      <c r="B541" s="2" t="s">
        <v>2485</v>
      </c>
      <c r="C541" s="0" t="s">
        <v>121</v>
      </c>
      <c r="D541" s="0" t="n">
        <v>8018478733</v>
      </c>
      <c r="E541" s="0" t="s">
        <v>43</v>
      </c>
      <c r="F541" s="0" t="s">
        <v>2315</v>
      </c>
      <c r="G541" s="0" t="s">
        <v>1355</v>
      </c>
      <c r="H541" s="0" t="s">
        <v>45</v>
      </c>
      <c r="I541" s="3" t="s">
        <v>2317</v>
      </c>
      <c r="J541" s="0" t="s">
        <v>189</v>
      </c>
      <c r="K541" s="0" t="s">
        <v>109</v>
      </c>
      <c r="L541" s="4" t="n">
        <v>114498</v>
      </c>
      <c r="M541" s="0" t="s">
        <v>49</v>
      </c>
      <c r="N541" s="0" t="s">
        <v>63</v>
      </c>
      <c r="O541" s="5" t="n">
        <v>3.07894736842105</v>
      </c>
      <c r="P541" s="0" t="n">
        <v>4.1</v>
      </c>
      <c r="Q541" s="0" t="s">
        <v>125</v>
      </c>
      <c r="R541" s="0" t="s">
        <v>52</v>
      </c>
      <c r="S541" s="0" t="s">
        <v>53</v>
      </c>
      <c r="T541" s="0" t="s">
        <v>147</v>
      </c>
      <c r="U541" s="5" t="n">
        <v>15</v>
      </c>
      <c r="V541" s="0" t="s">
        <v>96</v>
      </c>
      <c r="W541" s="0" t="s">
        <v>155</v>
      </c>
      <c r="X541" s="0" t="s">
        <v>98</v>
      </c>
      <c r="Y541" s="0" t="s">
        <v>196</v>
      </c>
      <c r="Z541" s="0" t="s">
        <v>2329</v>
      </c>
      <c r="AA541" s="0" t="s">
        <v>79</v>
      </c>
      <c r="AB541" s="5" t="n">
        <v>40000</v>
      </c>
      <c r="AC541" s="5" t="n">
        <v>30000</v>
      </c>
      <c r="AD541" s="0" t="s">
        <v>50</v>
      </c>
      <c r="AE541" s="5" t="n">
        <v>0</v>
      </c>
      <c r="AF541" s="0" t="s">
        <v>130</v>
      </c>
      <c r="AG541" s="7" t="s">
        <v>2330</v>
      </c>
      <c r="AH541" s="0" t="s">
        <v>2329</v>
      </c>
      <c r="AI541" s="0" t="s">
        <v>2331</v>
      </c>
      <c r="AJ541" s="0" t="s">
        <v>2331</v>
      </c>
      <c r="AK541" s="0" t="s">
        <v>50</v>
      </c>
      <c r="AL541" s="0" t="s">
        <v>2344</v>
      </c>
      <c r="AM541" s="0" t="s">
        <v>63</v>
      </c>
      <c r="AN541" s="0" t="s">
        <v>2321</v>
      </c>
      <c r="AO541" s="0" t="s">
        <v>50</v>
      </c>
    </row>
    <row r="542" customFormat="false" ht="15" hidden="false" customHeight="false" outlineLevel="0" collapsed="false">
      <c r="A542" s="0" t="s">
        <v>1356</v>
      </c>
      <c r="B542" s="2" t="s">
        <v>2392</v>
      </c>
      <c r="C542" s="0" t="s">
        <v>42</v>
      </c>
      <c r="D542" s="0" t="n">
        <v>8039604115</v>
      </c>
      <c r="E542" s="0" t="s">
        <v>67</v>
      </c>
      <c r="F542" s="0" t="s">
        <v>2316</v>
      </c>
      <c r="G542" s="0" t="s">
        <v>1357</v>
      </c>
      <c r="H542" s="0" t="s">
        <v>134</v>
      </c>
      <c r="I542" s="3" t="s">
        <v>2317</v>
      </c>
      <c r="J542" s="0" t="s">
        <v>47</v>
      </c>
      <c r="K542" s="0" t="s">
        <v>90</v>
      </c>
      <c r="L542" s="4" t="n">
        <v>112708</v>
      </c>
      <c r="M542" s="0" t="s">
        <v>49</v>
      </c>
      <c r="N542" s="0" t="s">
        <v>50</v>
      </c>
      <c r="O542" s="5" t="n">
        <v>3.07894736842105</v>
      </c>
      <c r="P542" s="0" t="n">
        <v>4.5</v>
      </c>
      <c r="Q542" s="0" t="s">
        <v>2334</v>
      </c>
      <c r="R542" s="0" t="s">
        <v>52</v>
      </c>
      <c r="S542" s="0" t="s">
        <v>2335</v>
      </c>
      <c r="T542" s="0" t="s">
        <v>2343</v>
      </c>
      <c r="U542" s="5" t="n">
        <v>15</v>
      </c>
      <c r="V542" s="0" t="s">
        <v>55</v>
      </c>
      <c r="W542" s="0" t="s">
        <v>148</v>
      </c>
      <c r="X542" s="0" t="s">
        <v>98</v>
      </c>
      <c r="Y542" s="0" t="s">
        <v>114</v>
      </c>
      <c r="Z542" s="0" t="s">
        <v>2329</v>
      </c>
      <c r="AA542" s="0" t="s">
        <v>149</v>
      </c>
      <c r="AB542" s="5" t="n">
        <v>20000</v>
      </c>
      <c r="AC542" s="5" t="n">
        <v>31546.3917525773</v>
      </c>
      <c r="AD542" s="0" t="s">
        <v>50</v>
      </c>
      <c r="AE542" s="5" t="n">
        <v>10000</v>
      </c>
      <c r="AF542" s="0" t="s">
        <v>60</v>
      </c>
      <c r="AG542" s="7" t="s">
        <v>2441</v>
      </c>
      <c r="AH542" s="0" t="s">
        <v>63</v>
      </c>
      <c r="AI542" s="0" t="s">
        <v>2331</v>
      </c>
      <c r="AJ542" s="0" t="s">
        <v>2331</v>
      </c>
      <c r="AK542" s="0" t="s">
        <v>2344</v>
      </c>
      <c r="AL542" s="0" t="s">
        <v>50</v>
      </c>
      <c r="AM542" s="0" t="s">
        <v>63</v>
      </c>
      <c r="AN542" s="0" t="s">
        <v>2321</v>
      </c>
      <c r="AO542" s="0" t="s">
        <v>50</v>
      </c>
    </row>
    <row r="543" customFormat="false" ht="15" hidden="false" customHeight="false" outlineLevel="0" collapsed="false">
      <c r="A543" s="0" t="s">
        <v>1359</v>
      </c>
      <c r="B543" s="2" t="s">
        <v>1358</v>
      </c>
      <c r="C543" s="0" t="s">
        <v>66</v>
      </c>
      <c r="D543" s="0" t="n">
        <v>8022965862</v>
      </c>
      <c r="E543" s="0" t="s">
        <v>139</v>
      </c>
      <c r="F543" s="0" t="s">
        <v>2323</v>
      </c>
      <c r="G543" s="0" t="s">
        <v>1360</v>
      </c>
      <c r="H543" s="0" t="s">
        <v>134</v>
      </c>
      <c r="I543" s="3" t="s">
        <v>2322</v>
      </c>
      <c r="J543" s="0" t="s">
        <v>2347</v>
      </c>
      <c r="K543" s="0" t="s">
        <v>109</v>
      </c>
      <c r="L543" s="4" t="n">
        <v>77394</v>
      </c>
      <c r="M543" s="0" t="s">
        <v>49</v>
      </c>
      <c r="N543" s="0" t="s">
        <v>50</v>
      </c>
      <c r="O543" s="5" t="n">
        <v>2</v>
      </c>
      <c r="P543" s="0" t="n">
        <v>1</v>
      </c>
      <c r="Q543" s="0" t="s">
        <v>51</v>
      </c>
      <c r="R543" s="0" t="s">
        <v>73</v>
      </c>
      <c r="S543" s="0" t="s">
        <v>53</v>
      </c>
      <c r="T543" s="0" t="s">
        <v>147</v>
      </c>
      <c r="U543" s="5" t="n">
        <v>45</v>
      </c>
      <c r="V543" s="0" t="s">
        <v>2352</v>
      </c>
      <c r="W543" s="0" t="s">
        <v>155</v>
      </c>
      <c r="X543" s="0" t="s">
        <v>78</v>
      </c>
      <c r="Y543" s="0" t="s">
        <v>196</v>
      </c>
      <c r="Z543" s="0" t="s">
        <v>2326</v>
      </c>
      <c r="AA543" s="0" t="s">
        <v>149</v>
      </c>
      <c r="AB543" s="5" t="n">
        <v>15000</v>
      </c>
      <c r="AC543" s="5" t="n">
        <v>31546.3917525773</v>
      </c>
      <c r="AD543" s="0" t="s">
        <v>50</v>
      </c>
      <c r="AE543" s="5" t="n">
        <v>0</v>
      </c>
      <c r="AF543" s="0" t="s">
        <v>184</v>
      </c>
      <c r="AG543" s="7" t="s">
        <v>2330</v>
      </c>
      <c r="AH543" s="0" t="s">
        <v>50</v>
      </c>
      <c r="AI543" s="0" t="s">
        <v>2331</v>
      </c>
      <c r="AJ543" s="0" t="s">
        <v>2331</v>
      </c>
      <c r="AK543" s="0" t="s">
        <v>50</v>
      </c>
      <c r="AL543" s="0" t="s">
        <v>50</v>
      </c>
      <c r="AM543" s="0" t="s">
        <v>63</v>
      </c>
      <c r="AN543" s="0" t="s">
        <v>2318</v>
      </c>
      <c r="AO543" s="0" t="s">
        <v>63</v>
      </c>
    </row>
    <row r="544" customFormat="false" ht="15" hidden="false" customHeight="false" outlineLevel="0" collapsed="false">
      <c r="A544" s="0" t="s">
        <v>1361</v>
      </c>
      <c r="B544" s="2" t="s">
        <v>1714</v>
      </c>
      <c r="C544" s="0" t="s">
        <v>163</v>
      </c>
      <c r="D544" s="0" t="n">
        <v>8099135168</v>
      </c>
      <c r="E544" s="0" t="s">
        <v>67</v>
      </c>
      <c r="F544" s="0" t="s">
        <v>2316</v>
      </c>
      <c r="G544" s="0" t="s">
        <v>1362</v>
      </c>
      <c r="H544" s="0" t="s">
        <v>69</v>
      </c>
      <c r="I544" s="3" t="s">
        <v>2322</v>
      </c>
      <c r="J544" s="0" t="s">
        <v>2347</v>
      </c>
      <c r="K544" s="0" t="s">
        <v>71</v>
      </c>
      <c r="L544" s="4" t="n">
        <v>26074</v>
      </c>
      <c r="M544" s="0" t="s">
        <v>2333</v>
      </c>
      <c r="N544" s="0" t="s">
        <v>50</v>
      </c>
      <c r="O544" s="5" t="n">
        <v>2</v>
      </c>
      <c r="P544" s="0" t="n">
        <v>1.9</v>
      </c>
      <c r="Q544" s="0" t="s">
        <v>51</v>
      </c>
      <c r="R544" s="0" t="s">
        <v>52</v>
      </c>
      <c r="S544" s="0" t="s">
        <v>53</v>
      </c>
      <c r="T544" s="0" t="s">
        <v>95</v>
      </c>
      <c r="U544" s="5" t="n">
        <v>40</v>
      </c>
      <c r="V544" s="0" t="s">
        <v>55</v>
      </c>
      <c r="W544" s="0" t="s">
        <v>2337</v>
      </c>
      <c r="X544" s="0" t="s">
        <v>98</v>
      </c>
      <c r="Y544" s="0" t="s">
        <v>58</v>
      </c>
      <c r="Z544" s="0" t="s">
        <v>2324</v>
      </c>
      <c r="AA544" s="0" t="s">
        <v>79</v>
      </c>
      <c r="AB544" s="5" t="n">
        <v>27265.625</v>
      </c>
      <c r="AC544" s="5" t="n">
        <v>30000</v>
      </c>
      <c r="AD544" s="0" t="s">
        <v>50</v>
      </c>
      <c r="AE544" s="5" t="n">
        <v>10000</v>
      </c>
      <c r="AF544" s="0" t="s">
        <v>130</v>
      </c>
      <c r="AG544" s="7" t="s">
        <v>1363</v>
      </c>
      <c r="AH544" s="0" t="s">
        <v>63</v>
      </c>
      <c r="AI544" s="0" t="s">
        <v>2331</v>
      </c>
      <c r="AJ544" s="0" t="s">
        <v>2320</v>
      </c>
      <c r="AK544" s="0" t="s">
        <v>63</v>
      </c>
      <c r="AL544" s="0" t="s">
        <v>2344</v>
      </c>
      <c r="AM544" s="0" t="s">
        <v>63</v>
      </c>
      <c r="AN544" s="0" t="s">
        <v>2321</v>
      </c>
      <c r="AO544" s="0" t="s">
        <v>50</v>
      </c>
    </row>
    <row r="545" customFormat="false" ht="15" hidden="false" customHeight="false" outlineLevel="0" collapsed="false">
      <c r="A545" s="0" t="s">
        <v>1364</v>
      </c>
      <c r="B545" s="2" t="s">
        <v>953</v>
      </c>
      <c r="C545" s="0" t="s">
        <v>121</v>
      </c>
      <c r="D545" s="0" t="n">
        <v>8032532859</v>
      </c>
      <c r="E545" s="0" t="s">
        <v>139</v>
      </c>
      <c r="F545" s="0" t="s">
        <v>2323</v>
      </c>
      <c r="G545" s="0" t="s">
        <v>1365</v>
      </c>
      <c r="H545" s="0" t="s">
        <v>69</v>
      </c>
      <c r="I545" s="3" t="s">
        <v>87</v>
      </c>
      <c r="J545" s="0" t="s">
        <v>2339</v>
      </c>
      <c r="K545" s="0" t="s">
        <v>109</v>
      </c>
      <c r="L545" s="4" t="n">
        <v>15076</v>
      </c>
      <c r="M545" s="0" t="s">
        <v>49</v>
      </c>
      <c r="N545" s="0" t="s">
        <v>50</v>
      </c>
      <c r="O545" s="5" t="n">
        <v>5</v>
      </c>
      <c r="P545" s="0" t="n">
        <v>3.5</v>
      </c>
      <c r="Q545" s="0" t="s">
        <v>2334</v>
      </c>
      <c r="R545" s="0" t="s">
        <v>73</v>
      </c>
      <c r="S545" s="0" t="s">
        <v>2340</v>
      </c>
      <c r="T545" s="0" t="s">
        <v>2353</v>
      </c>
      <c r="U545" s="5" t="n">
        <v>15</v>
      </c>
      <c r="V545" s="0" t="s">
        <v>55</v>
      </c>
      <c r="W545" s="0" t="s">
        <v>155</v>
      </c>
      <c r="X545" s="0" t="s">
        <v>78</v>
      </c>
      <c r="Y545" s="0" t="s">
        <v>58</v>
      </c>
      <c r="Z545" s="0" t="s">
        <v>2326</v>
      </c>
      <c r="AA545" s="0" t="s">
        <v>143</v>
      </c>
      <c r="AB545" s="5" t="n">
        <v>25227.2727272727</v>
      </c>
      <c r="AC545" s="5" t="n">
        <v>40000</v>
      </c>
      <c r="AD545" s="0" t="s">
        <v>50</v>
      </c>
      <c r="AE545" s="5" t="n">
        <v>0</v>
      </c>
      <c r="AF545" s="0" t="s">
        <v>2338</v>
      </c>
      <c r="AG545" s="7" t="s">
        <v>1103</v>
      </c>
      <c r="AH545" s="0" t="s">
        <v>50</v>
      </c>
      <c r="AI545" s="0" t="s">
        <v>2331</v>
      </c>
      <c r="AJ545" s="0" t="s">
        <v>172</v>
      </c>
      <c r="AK545" s="0" t="s">
        <v>50</v>
      </c>
      <c r="AL545" s="0" t="s">
        <v>63</v>
      </c>
      <c r="AM545" s="0" t="s">
        <v>63</v>
      </c>
      <c r="AN545" s="0" t="s">
        <v>2321</v>
      </c>
      <c r="AO545" s="0" t="s">
        <v>63</v>
      </c>
    </row>
    <row r="546" customFormat="false" ht="15" hidden="false" customHeight="false" outlineLevel="0" collapsed="false">
      <c r="A546" s="0" t="s">
        <v>1366</v>
      </c>
      <c r="B546" s="2" t="s">
        <v>232</v>
      </c>
      <c r="C546" s="0" t="s">
        <v>163</v>
      </c>
      <c r="D546" s="0" t="n">
        <v>8032420703</v>
      </c>
      <c r="E546" s="0" t="s">
        <v>122</v>
      </c>
      <c r="F546" s="0" t="s">
        <v>2316</v>
      </c>
      <c r="G546" s="0" t="s">
        <v>1367</v>
      </c>
      <c r="H546" s="0" t="s">
        <v>45</v>
      </c>
      <c r="I546" s="3" t="s">
        <v>2325</v>
      </c>
      <c r="J546" s="0" t="s">
        <v>2339</v>
      </c>
      <c r="K546" s="0" t="s">
        <v>109</v>
      </c>
      <c r="L546" s="4" t="n">
        <v>37160</v>
      </c>
      <c r="M546" s="0" t="s">
        <v>49</v>
      </c>
      <c r="N546" s="0" t="s">
        <v>50</v>
      </c>
      <c r="O546" s="5" t="n">
        <v>3.07957559681698</v>
      </c>
      <c r="P546" s="0" t="n">
        <v>4.8</v>
      </c>
      <c r="Q546" s="0" t="s">
        <v>92</v>
      </c>
      <c r="R546" s="0" t="s">
        <v>93</v>
      </c>
      <c r="S546" s="0" t="s">
        <v>2340</v>
      </c>
      <c r="T546" s="0" t="s">
        <v>2353</v>
      </c>
      <c r="U546" s="5" t="n">
        <v>45</v>
      </c>
      <c r="V546" s="0" t="s">
        <v>2336</v>
      </c>
      <c r="W546" s="0" t="s">
        <v>155</v>
      </c>
      <c r="X546" s="0" t="s">
        <v>128</v>
      </c>
      <c r="Y546" s="0" t="s">
        <v>196</v>
      </c>
      <c r="Z546" s="0" t="s">
        <v>2329</v>
      </c>
      <c r="AA546" s="0" t="s">
        <v>143</v>
      </c>
      <c r="AB546" s="5" t="n">
        <v>20000</v>
      </c>
      <c r="AC546" s="5" t="n">
        <v>31528.4974093264</v>
      </c>
      <c r="AD546" s="0" t="s">
        <v>63</v>
      </c>
      <c r="AE546" s="5" t="n">
        <v>0</v>
      </c>
      <c r="AF546" s="0" t="s">
        <v>2338</v>
      </c>
      <c r="AG546" s="7" t="s">
        <v>2330</v>
      </c>
      <c r="AH546" s="0" t="s">
        <v>63</v>
      </c>
      <c r="AI546" s="0" t="s">
        <v>2331</v>
      </c>
      <c r="AJ546" s="0" t="s">
        <v>172</v>
      </c>
      <c r="AK546" s="0" t="s">
        <v>50</v>
      </c>
      <c r="AL546" s="0" t="s">
        <v>50</v>
      </c>
      <c r="AM546" s="0" t="s">
        <v>50</v>
      </c>
      <c r="AN546" s="0" t="s">
        <v>2321</v>
      </c>
      <c r="AO546" s="0" t="s">
        <v>50</v>
      </c>
    </row>
    <row r="547" customFormat="false" ht="15" hidden="false" customHeight="false" outlineLevel="0" collapsed="false">
      <c r="A547" s="0" t="s">
        <v>1368</v>
      </c>
      <c r="B547" s="2" t="s">
        <v>2505</v>
      </c>
      <c r="C547" s="0" t="s">
        <v>163</v>
      </c>
      <c r="D547" s="0" t="n">
        <v>8015907259</v>
      </c>
      <c r="E547" s="0" t="s">
        <v>85</v>
      </c>
      <c r="F547" s="0" t="s">
        <v>2319</v>
      </c>
      <c r="G547" s="0" t="s">
        <v>1369</v>
      </c>
      <c r="H547" s="0" t="s">
        <v>107</v>
      </c>
      <c r="I547" s="3" t="s">
        <v>2322</v>
      </c>
      <c r="J547" s="0" t="s">
        <v>2349</v>
      </c>
      <c r="K547" s="0" t="s">
        <v>109</v>
      </c>
      <c r="L547" s="4" t="n">
        <v>13492</v>
      </c>
      <c r="M547" s="0" t="s">
        <v>2333</v>
      </c>
      <c r="N547" s="0" t="s">
        <v>50</v>
      </c>
      <c r="O547" s="5" t="n">
        <v>3</v>
      </c>
      <c r="P547" s="0" t="n">
        <v>2.4</v>
      </c>
      <c r="Q547" s="0" t="s">
        <v>2334</v>
      </c>
      <c r="R547" s="0" t="s">
        <v>52</v>
      </c>
      <c r="S547" s="0" t="s">
        <v>53</v>
      </c>
      <c r="T547" s="0" t="s">
        <v>2353</v>
      </c>
      <c r="U547" s="5" t="n">
        <v>15</v>
      </c>
      <c r="V547" s="0" t="s">
        <v>2352</v>
      </c>
      <c r="W547" s="0" t="s">
        <v>155</v>
      </c>
      <c r="X547" s="0" t="s">
        <v>98</v>
      </c>
      <c r="Y547" s="0" t="s">
        <v>99</v>
      </c>
      <c r="Z547" s="0" t="s">
        <v>2329</v>
      </c>
      <c r="AA547" s="0" t="s">
        <v>143</v>
      </c>
      <c r="AB547" s="5" t="n">
        <v>30000</v>
      </c>
      <c r="AC547" s="5" t="n">
        <v>35000</v>
      </c>
      <c r="AD547" s="0" t="s">
        <v>63</v>
      </c>
      <c r="AE547" s="5" t="n">
        <v>5000</v>
      </c>
      <c r="AF547" s="0" t="s">
        <v>60</v>
      </c>
      <c r="AG547" s="7" t="s">
        <v>1197</v>
      </c>
      <c r="AH547" s="0" t="s">
        <v>63</v>
      </c>
      <c r="AI547" s="0" t="s">
        <v>2331</v>
      </c>
      <c r="AJ547" s="0" t="s">
        <v>117</v>
      </c>
      <c r="AK547" s="0" t="s">
        <v>63</v>
      </c>
      <c r="AL547" s="0" t="s">
        <v>50</v>
      </c>
      <c r="AM547" s="0" t="s">
        <v>2344</v>
      </c>
      <c r="AN547" s="0" t="s">
        <v>2321</v>
      </c>
      <c r="AO547" s="0" t="s">
        <v>63</v>
      </c>
    </row>
    <row r="548" customFormat="false" ht="15" hidden="false" customHeight="false" outlineLevel="0" collapsed="false">
      <c r="A548" s="0" t="s">
        <v>1371</v>
      </c>
      <c r="B548" s="2" t="s">
        <v>1370</v>
      </c>
      <c r="C548" s="0" t="s">
        <v>163</v>
      </c>
      <c r="D548" s="0" t="n">
        <v>8065791626</v>
      </c>
      <c r="E548" s="0" t="s">
        <v>85</v>
      </c>
      <c r="F548" s="0" t="s">
        <v>2319</v>
      </c>
      <c r="G548" s="0" t="s">
        <v>1372</v>
      </c>
      <c r="H548" s="0" t="s">
        <v>69</v>
      </c>
      <c r="I548" s="3" t="s">
        <v>2342</v>
      </c>
      <c r="J548" s="0" t="s">
        <v>2339</v>
      </c>
      <c r="K548" s="0" t="s">
        <v>48</v>
      </c>
      <c r="L548" s="4" t="n">
        <v>115656</v>
      </c>
      <c r="M548" s="0" t="s">
        <v>110</v>
      </c>
      <c r="N548" s="0" t="s">
        <v>50</v>
      </c>
      <c r="O548" s="5" t="n">
        <v>4</v>
      </c>
      <c r="P548" s="0" t="n">
        <v>4.1</v>
      </c>
      <c r="Q548" s="0" t="s">
        <v>92</v>
      </c>
      <c r="R548" s="0" t="s">
        <v>93</v>
      </c>
      <c r="S548" s="0" t="s">
        <v>2335</v>
      </c>
      <c r="T548" s="0" t="s">
        <v>2343</v>
      </c>
      <c r="U548" s="5" t="n">
        <v>40.8695652173913</v>
      </c>
      <c r="V548" s="0" t="s">
        <v>112</v>
      </c>
      <c r="W548" s="0" t="s">
        <v>155</v>
      </c>
      <c r="X548" s="0" t="s">
        <v>78</v>
      </c>
      <c r="Y548" s="0" t="s">
        <v>114</v>
      </c>
      <c r="Z548" s="0" t="s">
        <v>177</v>
      </c>
      <c r="AA548" s="0" t="s">
        <v>2329</v>
      </c>
      <c r="AB548" s="5" t="n">
        <v>25000</v>
      </c>
      <c r="AC548" s="5" t="n">
        <v>30000</v>
      </c>
      <c r="AD548" s="0" t="s">
        <v>50</v>
      </c>
      <c r="AE548" s="5" t="n">
        <v>0</v>
      </c>
      <c r="AF548" s="0" t="s">
        <v>184</v>
      </c>
      <c r="AG548" s="7" t="s">
        <v>2330</v>
      </c>
      <c r="AH548" s="0" t="s">
        <v>63</v>
      </c>
      <c r="AI548" s="0" t="s">
        <v>116</v>
      </c>
      <c r="AJ548" s="0" t="s">
        <v>2320</v>
      </c>
      <c r="AK548" s="0" t="s">
        <v>50</v>
      </c>
      <c r="AL548" s="0" t="s">
        <v>50</v>
      </c>
      <c r="AM548" s="0" t="s">
        <v>63</v>
      </c>
      <c r="AN548" s="0" t="s">
        <v>2321</v>
      </c>
      <c r="AO548" s="0" t="s">
        <v>50</v>
      </c>
    </row>
    <row r="549" customFormat="false" ht="15" hidden="false" customHeight="false" outlineLevel="0" collapsed="false">
      <c r="A549" s="0" t="s">
        <v>1373</v>
      </c>
      <c r="B549" s="2" t="s">
        <v>222</v>
      </c>
      <c r="C549" s="0" t="s">
        <v>121</v>
      </c>
      <c r="D549" s="0" t="n">
        <v>8078786599</v>
      </c>
      <c r="E549" s="0" t="s">
        <v>67</v>
      </c>
      <c r="F549" s="0" t="s">
        <v>2316</v>
      </c>
      <c r="G549" s="0" t="s">
        <v>1374</v>
      </c>
      <c r="H549" s="0" t="s">
        <v>69</v>
      </c>
      <c r="I549" s="3" t="s">
        <v>2322</v>
      </c>
      <c r="J549" s="0" t="s">
        <v>47</v>
      </c>
      <c r="K549" s="0" t="s">
        <v>90</v>
      </c>
      <c r="L549" s="4" t="n">
        <v>106558</v>
      </c>
      <c r="M549" s="0" t="s">
        <v>49</v>
      </c>
      <c r="N549" s="0" t="s">
        <v>50</v>
      </c>
      <c r="O549" s="5" t="n">
        <v>2</v>
      </c>
      <c r="P549" s="0" t="n">
        <v>3.3</v>
      </c>
      <c r="Q549" s="0" t="s">
        <v>2334</v>
      </c>
      <c r="R549" s="0" t="s">
        <v>73</v>
      </c>
      <c r="S549" s="0" t="s">
        <v>53</v>
      </c>
      <c r="T549" s="0" t="s">
        <v>95</v>
      </c>
      <c r="U549" s="5" t="n">
        <v>15</v>
      </c>
      <c r="V549" s="0" t="s">
        <v>2336</v>
      </c>
      <c r="W549" s="0" t="s">
        <v>155</v>
      </c>
      <c r="X549" s="0" t="s">
        <v>128</v>
      </c>
      <c r="Y549" s="0" t="s">
        <v>196</v>
      </c>
      <c r="Z549" s="0" t="s">
        <v>177</v>
      </c>
      <c r="AA549" s="0" t="s">
        <v>2329</v>
      </c>
      <c r="AB549" s="5" t="n">
        <v>30000</v>
      </c>
      <c r="AC549" s="5" t="n">
        <v>20000</v>
      </c>
      <c r="AD549" s="0" t="s">
        <v>50</v>
      </c>
      <c r="AE549" s="5" t="n">
        <v>5000</v>
      </c>
      <c r="AF549" s="0" t="s">
        <v>184</v>
      </c>
      <c r="AG549" s="7" t="s">
        <v>451</v>
      </c>
      <c r="AH549" s="0" t="s">
        <v>2329</v>
      </c>
      <c r="AI549" s="0" t="s">
        <v>116</v>
      </c>
      <c r="AJ549" s="0" t="s">
        <v>2331</v>
      </c>
      <c r="AK549" s="0" t="s">
        <v>63</v>
      </c>
      <c r="AL549" s="0" t="s">
        <v>50</v>
      </c>
      <c r="AM549" s="0" t="s">
        <v>50</v>
      </c>
      <c r="AN549" s="0" t="s">
        <v>2321</v>
      </c>
      <c r="AO549" s="0" t="s">
        <v>2359</v>
      </c>
    </row>
    <row r="550" customFormat="false" ht="15" hidden="false" customHeight="false" outlineLevel="0" collapsed="false">
      <c r="A550" s="0" t="s">
        <v>1375</v>
      </c>
      <c r="B550" s="2" t="s">
        <v>2506</v>
      </c>
      <c r="C550" s="0" t="s">
        <v>66</v>
      </c>
      <c r="D550" s="0" t="n">
        <v>8024453078</v>
      </c>
      <c r="E550" s="0" t="s">
        <v>67</v>
      </c>
      <c r="F550" s="0" t="s">
        <v>2316</v>
      </c>
      <c r="G550" s="0" t="s">
        <v>1376</v>
      </c>
      <c r="H550" s="0" t="s">
        <v>45</v>
      </c>
      <c r="I550" s="3" t="s">
        <v>2322</v>
      </c>
      <c r="J550" s="0" t="s">
        <v>2347</v>
      </c>
      <c r="K550" s="0" t="s">
        <v>71</v>
      </c>
      <c r="L550" s="4" t="n">
        <v>113878</v>
      </c>
      <c r="M550" s="0" t="s">
        <v>2333</v>
      </c>
      <c r="N550" s="0" t="s">
        <v>50</v>
      </c>
      <c r="O550" s="5" t="n">
        <v>3</v>
      </c>
      <c r="P550" s="0" t="n">
        <v>2.3</v>
      </c>
      <c r="Q550" s="0" t="s">
        <v>111</v>
      </c>
      <c r="R550" s="0" t="s">
        <v>73</v>
      </c>
      <c r="S550" s="0" t="s">
        <v>2335</v>
      </c>
      <c r="T550" s="0" t="s">
        <v>2343</v>
      </c>
      <c r="U550" s="5" t="n">
        <v>30</v>
      </c>
      <c r="V550" s="0" t="s">
        <v>112</v>
      </c>
      <c r="W550" s="0" t="s">
        <v>148</v>
      </c>
      <c r="X550" s="0" t="s">
        <v>78</v>
      </c>
      <c r="Y550" s="0" t="s">
        <v>58</v>
      </c>
      <c r="Z550" s="0" t="s">
        <v>2326</v>
      </c>
      <c r="AA550" s="0" t="s">
        <v>79</v>
      </c>
      <c r="AB550" s="5" t="n">
        <v>40000</v>
      </c>
      <c r="AC550" s="5" t="n">
        <v>35000</v>
      </c>
      <c r="AD550" s="0" t="s">
        <v>63</v>
      </c>
      <c r="AE550" s="5" t="n">
        <v>10000</v>
      </c>
      <c r="AF550" s="0" t="s">
        <v>184</v>
      </c>
      <c r="AG550" s="7" t="s">
        <v>2397</v>
      </c>
      <c r="AH550" s="0" t="s">
        <v>2329</v>
      </c>
      <c r="AI550" s="0" t="s">
        <v>171</v>
      </c>
      <c r="AJ550" s="0" t="s">
        <v>117</v>
      </c>
      <c r="AK550" s="0" t="s">
        <v>63</v>
      </c>
      <c r="AL550" s="0" t="s">
        <v>2344</v>
      </c>
      <c r="AM550" s="0" t="s">
        <v>63</v>
      </c>
      <c r="AN550" s="0" t="s">
        <v>2318</v>
      </c>
      <c r="AO550" s="0" t="s">
        <v>50</v>
      </c>
    </row>
    <row r="551" customFormat="false" ht="15" hidden="false" customHeight="false" outlineLevel="0" collapsed="false">
      <c r="A551" s="0" t="s">
        <v>1377</v>
      </c>
      <c r="B551" s="2" t="s">
        <v>1082</v>
      </c>
      <c r="C551" s="0" t="s">
        <v>163</v>
      </c>
      <c r="D551" s="0" t="n">
        <v>8053908184</v>
      </c>
      <c r="E551" s="0" t="s">
        <v>85</v>
      </c>
      <c r="F551" s="0" t="s">
        <v>2319</v>
      </c>
      <c r="G551" s="0" t="s">
        <v>1378</v>
      </c>
      <c r="H551" s="0" t="s">
        <v>69</v>
      </c>
      <c r="I551" s="3" t="s">
        <v>2317</v>
      </c>
      <c r="J551" s="0" t="s">
        <v>189</v>
      </c>
      <c r="K551" s="0" t="s">
        <v>48</v>
      </c>
      <c r="L551" s="4" t="n">
        <v>64076</v>
      </c>
      <c r="M551" s="0" t="s">
        <v>110</v>
      </c>
      <c r="N551" s="0" t="s">
        <v>50</v>
      </c>
      <c r="O551" s="5" t="n">
        <v>2</v>
      </c>
      <c r="P551" s="0" t="n">
        <v>2.6</v>
      </c>
      <c r="Q551" s="0" t="s">
        <v>92</v>
      </c>
      <c r="R551" s="0" t="s">
        <v>93</v>
      </c>
      <c r="S551" s="0" t="s">
        <v>2340</v>
      </c>
      <c r="T551" s="0" t="s">
        <v>2353</v>
      </c>
      <c r="U551" s="5" t="n">
        <v>30</v>
      </c>
      <c r="V551" s="0" t="s">
        <v>2336</v>
      </c>
      <c r="W551" s="0" t="s">
        <v>2337</v>
      </c>
      <c r="X551" s="0" t="s">
        <v>98</v>
      </c>
      <c r="Y551" s="0" t="s">
        <v>196</v>
      </c>
      <c r="Z551" s="0" t="s">
        <v>2326</v>
      </c>
      <c r="AA551" s="0" t="s">
        <v>79</v>
      </c>
      <c r="AB551" s="5" t="n">
        <v>15000</v>
      </c>
      <c r="AC551" s="5" t="n">
        <v>30000</v>
      </c>
      <c r="AD551" s="0" t="s">
        <v>63</v>
      </c>
      <c r="AE551" s="5" t="n">
        <v>5000</v>
      </c>
      <c r="AF551" s="0" t="s">
        <v>60</v>
      </c>
      <c r="AG551" s="7" t="s">
        <v>2330</v>
      </c>
      <c r="AH551" s="0" t="s">
        <v>50</v>
      </c>
      <c r="AI551" s="0" t="s">
        <v>171</v>
      </c>
      <c r="AJ551" s="0" t="s">
        <v>172</v>
      </c>
      <c r="AK551" s="0" t="s">
        <v>2344</v>
      </c>
      <c r="AL551" s="0" t="s">
        <v>50</v>
      </c>
      <c r="AM551" s="0" t="s">
        <v>2344</v>
      </c>
      <c r="AN551" s="0" t="s">
        <v>2321</v>
      </c>
      <c r="AO551" s="0" t="s">
        <v>63</v>
      </c>
    </row>
    <row r="552" customFormat="false" ht="15" hidden="false" customHeight="false" outlineLevel="0" collapsed="false">
      <c r="A552" s="0" t="s">
        <v>1379</v>
      </c>
      <c r="B552" s="2" t="s">
        <v>2497</v>
      </c>
      <c r="C552" s="0" t="s">
        <v>121</v>
      </c>
      <c r="D552" s="0" t="n">
        <v>8053309319</v>
      </c>
      <c r="E552" s="0" t="s">
        <v>67</v>
      </c>
      <c r="F552" s="0" t="s">
        <v>2316</v>
      </c>
      <c r="G552" s="0" t="s">
        <v>1380</v>
      </c>
      <c r="H552" s="0" t="s">
        <v>107</v>
      </c>
      <c r="I552" s="3" t="s">
        <v>2325</v>
      </c>
      <c r="J552" s="0" t="s">
        <v>2341</v>
      </c>
      <c r="K552" s="0" t="s">
        <v>109</v>
      </c>
      <c r="L552" s="4" t="n">
        <v>82593</v>
      </c>
      <c r="M552" s="0" t="s">
        <v>2333</v>
      </c>
      <c r="N552" s="0" t="s">
        <v>50</v>
      </c>
      <c r="O552" s="5" t="n">
        <v>4</v>
      </c>
      <c r="P552" s="0" t="n">
        <v>5.8</v>
      </c>
      <c r="Q552" s="0" t="s">
        <v>111</v>
      </c>
      <c r="R552" s="0" t="s">
        <v>73</v>
      </c>
      <c r="S552" s="0" t="s">
        <v>53</v>
      </c>
      <c r="T552" s="0" t="s">
        <v>54</v>
      </c>
      <c r="U552" s="5" t="n">
        <v>45</v>
      </c>
      <c r="V552" s="0" t="s">
        <v>55</v>
      </c>
      <c r="W552" s="0" t="s">
        <v>2328</v>
      </c>
      <c r="X552" s="0" t="s">
        <v>98</v>
      </c>
      <c r="Y552" s="0" t="s">
        <v>114</v>
      </c>
      <c r="Z552" s="0" t="s">
        <v>2324</v>
      </c>
      <c r="AA552" s="0" t="s">
        <v>2329</v>
      </c>
      <c r="AB552" s="5" t="n">
        <v>27323.9436619718</v>
      </c>
      <c r="AC552" s="5" t="n">
        <v>20000</v>
      </c>
      <c r="AD552" s="0" t="s">
        <v>63</v>
      </c>
      <c r="AE552" s="5" t="n">
        <v>5000</v>
      </c>
      <c r="AF552" s="0" t="s">
        <v>60</v>
      </c>
      <c r="AG552" s="7" t="s">
        <v>179</v>
      </c>
      <c r="AH552" s="0" t="s">
        <v>50</v>
      </c>
      <c r="AI552" s="0" t="s">
        <v>2331</v>
      </c>
      <c r="AJ552" s="0" t="s">
        <v>2331</v>
      </c>
      <c r="AK552" s="0" t="s">
        <v>50</v>
      </c>
      <c r="AL552" s="0" t="s">
        <v>50</v>
      </c>
      <c r="AM552" s="0" t="s">
        <v>50</v>
      </c>
      <c r="AN552" s="0" t="s">
        <v>2318</v>
      </c>
      <c r="AO552" s="0" t="s">
        <v>50</v>
      </c>
    </row>
    <row r="553" customFormat="false" ht="15" hidden="false" customHeight="false" outlineLevel="0" collapsed="false">
      <c r="A553" s="0" t="s">
        <v>1381</v>
      </c>
      <c r="B553" s="2" t="s">
        <v>2386</v>
      </c>
      <c r="C553" s="0" t="s">
        <v>121</v>
      </c>
      <c r="D553" s="0" t="n">
        <v>8085437626</v>
      </c>
      <c r="E553" s="0" t="s">
        <v>67</v>
      </c>
      <c r="F553" s="0" t="s">
        <v>2316</v>
      </c>
      <c r="G553" s="0" t="s">
        <v>1382</v>
      </c>
      <c r="H553" s="0" t="s">
        <v>69</v>
      </c>
      <c r="I553" s="3" t="s">
        <v>2317</v>
      </c>
      <c r="J553" s="0" t="s">
        <v>47</v>
      </c>
      <c r="K553" s="0" t="s">
        <v>90</v>
      </c>
      <c r="L553" s="4" t="n">
        <v>40127</v>
      </c>
      <c r="M553" s="0" t="s">
        <v>2333</v>
      </c>
      <c r="N553" s="0" t="s">
        <v>50</v>
      </c>
      <c r="O553" s="5" t="n">
        <v>4</v>
      </c>
      <c r="P553" s="0" t="n">
        <v>1.6</v>
      </c>
      <c r="Q553" s="0" t="s">
        <v>125</v>
      </c>
      <c r="R553" s="0" t="s">
        <v>52</v>
      </c>
      <c r="S553" s="0" t="s">
        <v>2366</v>
      </c>
      <c r="T553" s="0" t="s">
        <v>2343</v>
      </c>
      <c r="U553" s="5" t="n">
        <v>15</v>
      </c>
      <c r="V553" s="0" t="s">
        <v>2336</v>
      </c>
      <c r="W553" s="0" t="s">
        <v>2328</v>
      </c>
      <c r="X553" s="0" t="s">
        <v>78</v>
      </c>
      <c r="Y553" s="0" t="s">
        <v>196</v>
      </c>
      <c r="Z553" s="0" t="s">
        <v>2324</v>
      </c>
      <c r="AA553" s="0" t="s">
        <v>79</v>
      </c>
      <c r="AB553" s="5" t="n">
        <v>40000</v>
      </c>
      <c r="AC553" s="5" t="n">
        <v>30000</v>
      </c>
      <c r="AD553" s="0" t="s">
        <v>63</v>
      </c>
      <c r="AE553" s="5" t="n">
        <v>5000</v>
      </c>
      <c r="AF553" s="0" t="s">
        <v>184</v>
      </c>
      <c r="AG553" s="7" t="s">
        <v>2330</v>
      </c>
      <c r="AH553" s="0" t="s">
        <v>63</v>
      </c>
      <c r="AI553" s="0" t="s">
        <v>171</v>
      </c>
      <c r="AJ553" s="0" t="s">
        <v>172</v>
      </c>
      <c r="AK553" s="0" t="s">
        <v>2344</v>
      </c>
      <c r="AL553" s="0" t="s">
        <v>63</v>
      </c>
      <c r="AM553" s="0" t="s">
        <v>63</v>
      </c>
      <c r="AN553" s="0" t="s">
        <v>2318</v>
      </c>
      <c r="AO553" s="0" t="s">
        <v>50</v>
      </c>
    </row>
    <row r="554" customFormat="false" ht="15" hidden="false" customHeight="false" outlineLevel="0" collapsed="false">
      <c r="A554" s="0" t="s">
        <v>1383</v>
      </c>
      <c r="B554" s="2" t="s">
        <v>2374</v>
      </c>
      <c r="C554" s="0" t="s">
        <v>121</v>
      </c>
      <c r="D554" s="0" t="n">
        <v>8094125851</v>
      </c>
      <c r="E554" s="0" t="s">
        <v>122</v>
      </c>
      <c r="F554" s="0" t="s">
        <v>2316</v>
      </c>
      <c r="G554" s="0" t="s">
        <v>1384</v>
      </c>
      <c r="H554" s="0" t="s">
        <v>107</v>
      </c>
      <c r="I554" s="3" t="s">
        <v>2317</v>
      </c>
      <c r="J554" s="0" t="s">
        <v>47</v>
      </c>
      <c r="K554" s="0" t="s">
        <v>90</v>
      </c>
      <c r="L554" s="4" t="n">
        <v>23156</v>
      </c>
      <c r="M554" s="0" t="s">
        <v>49</v>
      </c>
      <c r="N554" s="0" t="s">
        <v>63</v>
      </c>
      <c r="O554" s="5" t="n">
        <v>4</v>
      </c>
      <c r="P554" s="0" t="n">
        <v>4.5</v>
      </c>
      <c r="Q554" s="0" t="s">
        <v>2334</v>
      </c>
      <c r="R554" s="0" t="s">
        <v>73</v>
      </c>
      <c r="S554" s="0" t="s">
        <v>53</v>
      </c>
      <c r="T554" s="0" t="s">
        <v>95</v>
      </c>
      <c r="U554" s="5" t="n">
        <v>60</v>
      </c>
      <c r="V554" s="0" t="s">
        <v>2336</v>
      </c>
      <c r="W554" s="0" t="s">
        <v>155</v>
      </c>
      <c r="X554" s="0" t="s">
        <v>98</v>
      </c>
      <c r="Y554" s="0" t="s">
        <v>196</v>
      </c>
      <c r="Z554" s="0" t="s">
        <v>2329</v>
      </c>
      <c r="AA554" s="0" t="s">
        <v>2329</v>
      </c>
      <c r="AB554" s="5" t="n">
        <v>25000</v>
      </c>
      <c r="AC554" s="5" t="n">
        <v>20000</v>
      </c>
      <c r="AD554" s="0" t="s">
        <v>63</v>
      </c>
      <c r="AE554" s="5" t="n">
        <v>0</v>
      </c>
      <c r="AF554" s="0" t="s">
        <v>184</v>
      </c>
      <c r="AG554" s="7" t="s">
        <v>1385</v>
      </c>
      <c r="AH554" s="0" t="s">
        <v>2329</v>
      </c>
      <c r="AI554" s="0" t="s">
        <v>2331</v>
      </c>
      <c r="AJ554" s="0" t="s">
        <v>172</v>
      </c>
      <c r="AK554" s="0" t="s">
        <v>2344</v>
      </c>
      <c r="AL554" s="0" t="s">
        <v>50</v>
      </c>
      <c r="AM554" s="0" t="s">
        <v>63</v>
      </c>
      <c r="AN554" s="0" t="s">
        <v>2321</v>
      </c>
      <c r="AO554" s="0" t="s">
        <v>50</v>
      </c>
    </row>
    <row r="555" customFormat="false" ht="15" hidden="false" customHeight="false" outlineLevel="0" collapsed="false">
      <c r="A555" s="0" t="s">
        <v>1386</v>
      </c>
      <c r="B555" s="2" t="s">
        <v>1305</v>
      </c>
      <c r="C555" s="0" t="s">
        <v>121</v>
      </c>
      <c r="D555" s="0" t="n">
        <v>8035440639</v>
      </c>
      <c r="E555" s="0" t="s">
        <v>67</v>
      </c>
      <c r="F555" s="0" t="s">
        <v>2316</v>
      </c>
      <c r="G555" s="0" t="s">
        <v>1387</v>
      </c>
      <c r="H555" s="0" t="s">
        <v>87</v>
      </c>
      <c r="I555" s="3" t="s">
        <v>2342</v>
      </c>
      <c r="J555" s="0" t="s">
        <v>189</v>
      </c>
      <c r="K555" s="0" t="s">
        <v>71</v>
      </c>
      <c r="L555" s="4" t="n">
        <v>68894</v>
      </c>
      <c r="M555" s="0" t="s">
        <v>2333</v>
      </c>
      <c r="N555" s="0" t="s">
        <v>50</v>
      </c>
      <c r="O555" s="5" t="n">
        <v>3</v>
      </c>
      <c r="P555" s="0" t="n">
        <v>5.2</v>
      </c>
      <c r="Q555" s="0" t="s">
        <v>2334</v>
      </c>
      <c r="R555" s="0" t="s">
        <v>93</v>
      </c>
      <c r="S555" s="0" t="s">
        <v>53</v>
      </c>
      <c r="T555" s="0" t="s">
        <v>2353</v>
      </c>
      <c r="U555" s="5" t="n">
        <v>45</v>
      </c>
      <c r="V555" s="0" t="s">
        <v>2352</v>
      </c>
      <c r="W555" s="0" t="s">
        <v>155</v>
      </c>
      <c r="X555" s="0" t="s">
        <v>128</v>
      </c>
      <c r="Y555" s="0" t="s">
        <v>99</v>
      </c>
      <c r="Z555" s="0" t="s">
        <v>2326</v>
      </c>
      <c r="AA555" s="0" t="s">
        <v>149</v>
      </c>
      <c r="AB555" s="5" t="n">
        <v>15000</v>
      </c>
      <c r="AC555" s="5" t="n">
        <v>40000</v>
      </c>
      <c r="AD555" s="0" t="s">
        <v>50</v>
      </c>
      <c r="AE555" s="5" t="n">
        <v>0</v>
      </c>
      <c r="AF555" s="0" t="s">
        <v>60</v>
      </c>
      <c r="AG555" s="7" t="s">
        <v>520</v>
      </c>
      <c r="AH555" s="0" t="s">
        <v>50</v>
      </c>
      <c r="AI555" s="0" t="s">
        <v>116</v>
      </c>
      <c r="AJ555" s="0" t="s">
        <v>2331</v>
      </c>
      <c r="AK555" s="0" t="s">
        <v>63</v>
      </c>
      <c r="AL555" s="0" t="s">
        <v>63</v>
      </c>
      <c r="AM555" s="0" t="s">
        <v>2344</v>
      </c>
      <c r="AN555" s="0" t="s">
        <v>2321</v>
      </c>
      <c r="AO555" s="0" t="s">
        <v>50</v>
      </c>
    </row>
    <row r="556" customFormat="false" ht="15" hidden="false" customHeight="false" outlineLevel="0" collapsed="false">
      <c r="A556" s="0" t="s">
        <v>1388</v>
      </c>
      <c r="B556" s="2" t="s">
        <v>2082</v>
      </c>
      <c r="C556" s="0" t="s">
        <v>121</v>
      </c>
      <c r="D556" s="0" t="n">
        <v>8093842238</v>
      </c>
      <c r="E556" s="0" t="s">
        <v>139</v>
      </c>
      <c r="F556" s="0" t="s">
        <v>2323</v>
      </c>
      <c r="G556" s="0" t="s">
        <v>1389</v>
      </c>
      <c r="H556" s="0" t="s">
        <v>87</v>
      </c>
      <c r="I556" s="3" t="s">
        <v>2325</v>
      </c>
      <c r="J556" s="0" t="s">
        <v>2339</v>
      </c>
      <c r="K556" s="0" t="s">
        <v>90</v>
      </c>
      <c r="L556" s="4" t="n">
        <v>62250</v>
      </c>
      <c r="M556" s="0" t="s">
        <v>2333</v>
      </c>
      <c r="N556" s="0" t="s">
        <v>63</v>
      </c>
      <c r="O556" s="5" t="n">
        <v>2</v>
      </c>
      <c r="P556" s="0" t="n">
        <v>4.8</v>
      </c>
      <c r="Q556" s="0" t="s">
        <v>92</v>
      </c>
      <c r="R556" s="0" t="s">
        <v>73</v>
      </c>
      <c r="S556" s="0" t="s">
        <v>53</v>
      </c>
      <c r="T556" s="0" t="s">
        <v>147</v>
      </c>
      <c r="U556" s="5" t="n">
        <v>45</v>
      </c>
      <c r="V556" s="0" t="s">
        <v>112</v>
      </c>
      <c r="W556" s="0" t="s">
        <v>155</v>
      </c>
      <c r="X556" s="0" t="s">
        <v>128</v>
      </c>
      <c r="Y556" s="0" t="s">
        <v>99</v>
      </c>
      <c r="Z556" s="0" t="s">
        <v>59</v>
      </c>
      <c r="AA556" s="0" t="s">
        <v>2329</v>
      </c>
      <c r="AB556" s="5" t="n">
        <v>25312.5</v>
      </c>
      <c r="AC556" s="5" t="n">
        <v>30000</v>
      </c>
      <c r="AD556" s="0" t="s">
        <v>50</v>
      </c>
      <c r="AE556" s="5" t="n">
        <v>5000</v>
      </c>
      <c r="AF556" s="0" t="s">
        <v>60</v>
      </c>
      <c r="AG556" s="7" t="s">
        <v>2330</v>
      </c>
      <c r="AH556" s="0" t="s">
        <v>2329</v>
      </c>
      <c r="AI556" s="0" t="s">
        <v>2331</v>
      </c>
      <c r="AJ556" s="0" t="s">
        <v>2331</v>
      </c>
      <c r="AK556" s="0" t="s">
        <v>63</v>
      </c>
      <c r="AL556" s="0" t="s">
        <v>50</v>
      </c>
      <c r="AM556" s="0" t="s">
        <v>2344</v>
      </c>
      <c r="AN556" s="0" t="s">
        <v>2321</v>
      </c>
      <c r="AO556" s="0" t="s">
        <v>50</v>
      </c>
    </row>
    <row r="557" customFormat="false" ht="15" hidden="false" customHeight="false" outlineLevel="0" collapsed="false">
      <c r="A557" s="0" t="s">
        <v>1390</v>
      </c>
      <c r="B557" s="2" t="s">
        <v>1460</v>
      </c>
      <c r="C557" s="0" t="s">
        <v>105</v>
      </c>
      <c r="D557" s="0" t="n">
        <v>8037799083</v>
      </c>
      <c r="E557" s="0" t="s">
        <v>122</v>
      </c>
      <c r="F557" s="0" t="s">
        <v>2316</v>
      </c>
      <c r="G557" s="0" t="s">
        <v>1391</v>
      </c>
      <c r="H557" s="0" t="s">
        <v>69</v>
      </c>
      <c r="I557" s="3" t="s">
        <v>2317</v>
      </c>
      <c r="J557" s="0" t="s">
        <v>2341</v>
      </c>
      <c r="K557" s="0" t="s">
        <v>90</v>
      </c>
      <c r="L557" s="4" t="n">
        <v>46198</v>
      </c>
      <c r="M557" s="0" t="s">
        <v>49</v>
      </c>
      <c r="N557" s="0" t="s">
        <v>50</v>
      </c>
      <c r="O557" s="5" t="n">
        <v>2</v>
      </c>
      <c r="P557" s="0" t="n">
        <v>3.7</v>
      </c>
      <c r="Q557" s="0" t="s">
        <v>2334</v>
      </c>
      <c r="R557" s="0" t="s">
        <v>52</v>
      </c>
      <c r="S557" s="0" t="s">
        <v>2335</v>
      </c>
      <c r="T557" s="0" t="s">
        <v>2343</v>
      </c>
      <c r="U557" s="5" t="n">
        <v>15</v>
      </c>
      <c r="V557" s="0" t="s">
        <v>55</v>
      </c>
      <c r="W557" s="0" t="s">
        <v>155</v>
      </c>
      <c r="X557" s="0" t="s">
        <v>98</v>
      </c>
      <c r="Y557" s="0" t="s">
        <v>99</v>
      </c>
      <c r="Z557" s="0" t="s">
        <v>2326</v>
      </c>
      <c r="AA557" s="0" t="s">
        <v>79</v>
      </c>
      <c r="AB557" s="5" t="n">
        <v>40000</v>
      </c>
      <c r="AC557" s="5" t="n">
        <v>40000</v>
      </c>
      <c r="AD557" s="0" t="s">
        <v>63</v>
      </c>
      <c r="AE557" s="5" t="n">
        <v>10000</v>
      </c>
      <c r="AF557" s="0" t="s">
        <v>130</v>
      </c>
      <c r="AG557" s="7" t="s">
        <v>2378</v>
      </c>
      <c r="AH557" s="0" t="s">
        <v>63</v>
      </c>
      <c r="AI557" s="0" t="s">
        <v>116</v>
      </c>
      <c r="AJ557" s="0" t="s">
        <v>172</v>
      </c>
      <c r="AK557" s="0" t="s">
        <v>50</v>
      </c>
      <c r="AL557" s="0" t="s">
        <v>50</v>
      </c>
      <c r="AM557" s="0" t="s">
        <v>2344</v>
      </c>
      <c r="AN557" s="0" t="s">
        <v>2321</v>
      </c>
      <c r="AO557" s="0" t="s">
        <v>50</v>
      </c>
    </row>
    <row r="558" customFormat="false" ht="15" hidden="false" customHeight="false" outlineLevel="0" collapsed="false">
      <c r="A558" s="0" t="s">
        <v>1392</v>
      </c>
      <c r="B558" s="2" t="s">
        <v>2451</v>
      </c>
      <c r="C558" s="0" t="s">
        <v>105</v>
      </c>
      <c r="D558" s="0" t="n">
        <v>8082706099</v>
      </c>
      <c r="E558" s="0" t="s">
        <v>43</v>
      </c>
      <c r="F558" s="0" t="s">
        <v>2315</v>
      </c>
      <c r="G558" s="0" t="s">
        <v>1393</v>
      </c>
      <c r="H558" s="0" t="s">
        <v>134</v>
      </c>
      <c r="I558" s="3" t="s">
        <v>2325</v>
      </c>
      <c r="J558" s="0" t="s">
        <v>2349</v>
      </c>
      <c r="K558" s="0" t="s">
        <v>109</v>
      </c>
      <c r="L558" s="4" t="n">
        <v>110066</v>
      </c>
      <c r="M558" s="0" t="s">
        <v>110</v>
      </c>
      <c r="N558" s="0" t="s">
        <v>50</v>
      </c>
      <c r="O558" s="5" t="n">
        <v>3</v>
      </c>
      <c r="P558" s="0" t="n">
        <v>5.5</v>
      </c>
      <c r="Q558" s="0" t="s">
        <v>51</v>
      </c>
      <c r="R558" s="0" t="s">
        <v>52</v>
      </c>
      <c r="S558" s="0" t="s">
        <v>53</v>
      </c>
      <c r="T558" s="0" t="s">
        <v>95</v>
      </c>
      <c r="U558" s="5" t="n">
        <v>30</v>
      </c>
      <c r="V558" s="0" t="s">
        <v>55</v>
      </c>
      <c r="W558" s="0" t="s">
        <v>148</v>
      </c>
      <c r="X558" s="0" t="s">
        <v>128</v>
      </c>
      <c r="Y558" s="0" t="s">
        <v>114</v>
      </c>
      <c r="Z558" s="0" t="s">
        <v>2329</v>
      </c>
      <c r="AA558" s="0" t="s">
        <v>79</v>
      </c>
      <c r="AB558" s="5" t="n">
        <v>40000</v>
      </c>
      <c r="AC558" s="5" t="n">
        <v>30000</v>
      </c>
      <c r="AD558" s="0" t="s">
        <v>50</v>
      </c>
      <c r="AE558" s="5" t="n">
        <v>0</v>
      </c>
      <c r="AF558" s="0" t="s">
        <v>130</v>
      </c>
      <c r="AG558" s="7" t="s">
        <v>2330</v>
      </c>
      <c r="AH558" s="0" t="s">
        <v>63</v>
      </c>
      <c r="AI558" s="0" t="s">
        <v>2331</v>
      </c>
      <c r="AJ558" s="0" t="s">
        <v>2331</v>
      </c>
      <c r="AK558" s="0" t="s">
        <v>2344</v>
      </c>
      <c r="AL558" s="0" t="s">
        <v>50</v>
      </c>
      <c r="AM558" s="0" t="s">
        <v>63</v>
      </c>
      <c r="AN558" s="0" t="s">
        <v>64</v>
      </c>
      <c r="AO558" s="0" t="s">
        <v>63</v>
      </c>
    </row>
    <row r="559" customFormat="false" ht="15" hidden="false" customHeight="false" outlineLevel="0" collapsed="false">
      <c r="A559" s="0" t="s">
        <v>1394</v>
      </c>
      <c r="B559" s="2" t="s">
        <v>222</v>
      </c>
      <c r="C559" s="0" t="s">
        <v>163</v>
      </c>
      <c r="D559" s="0" t="n">
        <v>8063024581</v>
      </c>
      <c r="E559" s="0" t="s">
        <v>67</v>
      </c>
      <c r="F559" s="0" t="s">
        <v>2316</v>
      </c>
      <c r="G559" s="0" t="s">
        <v>1395</v>
      </c>
      <c r="H559" s="0" t="s">
        <v>45</v>
      </c>
      <c r="I559" s="3" t="s">
        <v>2322</v>
      </c>
      <c r="J559" s="0" t="s">
        <v>2347</v>
      </c>
      <c r="K559" s="0" t="s">
        <v>90</v>
      </c>
      <c r="L559" s="4" t="n">
        <v>21793</v>
      </c>
      <c r="M559" s="0" t="s">
        <v>2333</v>
      </c>
      <c r="N559" s="0" t="s">
        <v>50</v>
      </c>
      <c r="O559" s="5" t="n">
        <v>5</v>
      </c>
      <c r="P559" s="0" t="n">
        <v>1.7</v>
      </c>
      <c r="Q559" s="0" t="s">
        <v>51</v>
      </c>
      <c r="R559" s="0" t="s">
        <v>52</v>
      </c>
      <c r="S559" s="0" t="s">
        <v>53</v>
      </c>
      <c r="T559" s="0" t="s">
        <v>75</v>
      </c>
      <c r="U559" s="5" t="n">
        <v>45</v>
      </c>
      <c r="V559" s="0" t="s">
        <v>2352</v>
      </c>
      <c r="W559" s="0" t="s">
        <v>148</v>
      </c>
      <c r="X559" s="0" t="s">
        <v>128</v>
      </c>
      <c r="Y559" s="0" t="s">
        <v>58</v>
      </c>
      <c r="Z559" s="0" t="s">
        <v>2329</v>
      </c>
      <c r="AA559" s="0" t="s">
        <v>143</v>
      </c>
      <c r="AB559" s="5" t="n">
        <v>15000</v>
      </c>
      <c r="AC559" s="5" t="n">
        <v>31577.5401069519</v>
      </c>
      <c r="AD559" s="0" t="s">
        <v>50</v>
      </c>
      <c r="AE559" s="5" t="n">
        <v>5000</v>
      </c>
      <c r="AF559" s="0" t="s">
        <v>60</v>
      </c>
      <c r="AG559" s="7" t="s">
        <v>2330</v>
      </c>
      <c r="AH559" s="0" t="s">
        <v>50</v>
      </c>
      <c r="AI559" s="0" t="s">
        <v>2331</v>
      </c>
      <c r="AJ559" s="0" t="s">
        <v>2331</v>
      </c>
      <c r="AK559" s="0" t="s">
        <v>63</v>
      </c>
      <c r="AL559" s="0" t="s">
        <v>63</v>
      </c>
      <c r="AM559" s="0" t="s">
        <v>2344</v>
      </c>
      <c r="AN559" s="0" t="s">
        <v>2321</v>
      </c>
      <c r="AO559" s="0" t="s">
        <v>63</v>
      </c>
    </row>
    <row r="560" customFormat="false" ht="15" hidden="false" customHeight="false" outlineLevel="0" collapsed="false">
      <c r="A560" s="0" t="s">
        <v>1396</v>
      </c>
      <c r="B560" s="2" t="s">
        <v>2417</v>
      </c>
      <c r="C560" s="0" t="s">
        <v>105</v>
      </c>
      <c r="D560" s="0" t="n">
        <v>8067429121</v>
      </c>
      <c r="E560" s="0" t="s">
        <v>67</v>
      </c>
      <c r="F560" s="0" t="s">
        <v>2316</v>
      </c>
      <c r="G560" s="0" t="s">
        <v>1397</v>
      </c>
      <c r="H560" s="0" t="s">
        <v>45</v>
      </c>
      <c r="I560" s="3" t="s">
        <v>2325</v>
      </c>
      <c r="J560" s="0" t="s">
        <v>2341</v>
      </c>
      <c r="K560" s="0" t="s">
        <v>90</v>
      </c>
      <c r="L560" s="4" t="n">
        <v>74092</v>
      </c>
      <c r="M560" s="0" t="s">
        <v>2333</v>
      </c>
      <c r="N560" s="0" t="s">
        <v>50</v>
      </c>
      <c r="O560" s="5" t="n">
        <v>2</v>
      </c>
      <c r="P560" s="0" t="n">
        <v>3.5</v>
      </c>
      <c r="Q560" s="0" t="s">
        <v>111</v>
      </c>
      <c r="R560" s="0" t="s">
        <v>93</v>
      </c>
      <c r="S560" s="0" t="s">
        <v>2340</v>
      </c>
      <c r="T560" s="0" t="s">
        <v>54</v>
      </c>
      <c r="U560" s="5" t="n">
        <v>38.8235294117647</v>
      </c>
      <c r="V560" s="0" t="s">
        <v>55</v>
      </c>
      <c r="W560" s="0" t="s">
        <v>2328</v>
      </c>
      <c r="X560" s="0" t="s">
        <v>98</v>
      </c>
      <c r="Y560" s="0" t="s">
        <v>114</v>
      </c>
      <c r="Z560" s="0" t="s">
        <v>2326</v>
      </c>
      <c r="AA560" s="0" t="s">
        <v>143</v>
      </c>
      <c r="AB560" s="5" t="n">
        <v>40000</v>
      </c>
      <c r="AC560" s="5" t="n">
        <v>31577.5401069519</v>
      </c>
      <c r="AD560" s="0" t="s">
        <v>50</v>
      </c>
      <c r="AE560" s="5" t="n">
        <v>0</v>
      </c>
      <c r="AF560" s="0" t="s">
        <v>60</v>
      </c>
      <c r="AG560" s="7" t="s">
        <v>2330</v>
      </c>
      <c r="AH560" s="0" t="s">
        <v>2329</v>
      </c>
      <c r="AI560" s="0" t="s">
        <v>2331</v>
      </c>
      <c r="AJ560" s="0" t="s">
        <v>2331</v>
      </c>
      <c r="AK560" s="0" t="s">
        <v>50</v>
      </c>
      <c r="AL560" s="0" t="s">
        <v>63</v>
      </c>
      <c r="AM560" s="0" t="s">
        <v>2344</v>
      </c>
      <c r="AN560" s="0" t="s">
        <v>64</v>
      </c>
      <c r="AO560" s="0" t="s">
        <v>63</v>
      </c>
    </row>
    <row r="561" customFormat="false" ht="15" hidden="false" customHeight="false" outlineLevel="0" collapsed="false">
      <c r="A561" s="0" t="s">
        <v>1398</v>
      </c>
      <c r="B561" s="2" t="s">
        <v>2419</v>
      </c>
      <c r="C561" s="0" t="s">
        <v>121</v>
      </c>
      <c r="D561" s="0" t="n">
        <v>8026214033</v>
      </c>
      <c r="E561" s="0" t="s">
        <v>139</v>
      </c>
      <c r="F561" s="0" t="s">
        <v>2323</v>
      </c>
      <c r="G561" s="0" t="s">
        <v>1399</v>
      </c>
      <c r="H561" s="0" t="s">
        <v>69</v>
      </c>
      <c r="I561" s="3" t="s">
        <v>87</v>
      </c>
      <c r="J561" s="0" t="s">
        <v>2347</v>
      </c>
      <c r="K561" s="0" t="s">
        <v>71</v>
      </c>
      <c r="L561" s="4" t="n">
        <v>31217</v>
      </c>
      <c r="M561" s="0" t="s">
        <v>2333</v>
      </c>
      <c r="N561" s="0" t="s">
        <v>50</v>
      </c>
      <c r="O561" s="5" t="n">
        <v>1</v>
      </c>
      <c r="P561" s="0" t="n">
        <v>3.3</v>
      </c>
      <c r="Q561" s="0" t="s">
        <v>125</v>
      </c>
      <c r="R561" s="0" t="s">
        <v>93</v>
      </c>
      <c r="S561" s="0" t="s">
        <v>2335</v>
      </c>
      <c r="T561" s="0" t="s">
        <v>75</v>
      </c>
      <c r="U561" s="5" t="n">
        <v>45</v>
      </c>
      <c r="V561" s="0" t="s">
        <v>96</v>
      </c>
      <c r="W561" s="0" t="s">
        <v>2328</v>
      </c>
      <c r="X561" s="0" t="s">
        <v>98</v>
      </c>
      <c r="Y561" s="0" t="s">
        <v>99</v>
      </c>
      <c r="Z561" s="0" t="s">
        <v>59</v>
      </c>
      <c r="AA561" s="0" t="s">
        <v>79</v>
      </c>
      <c r="AB561" s="5" t="n">
        <v>27258.064516129</v>
      </c>
      <c r="AC561" s="5" t="n">
        <v>31577.5401069519</v>
      </c>
      <c r="AD561" s="0" t="s">
        <v>50</v>
      </c>
      <c r="AE561" s="5" t="n">
        <v>0</v>
      </c>
      <c r="AF561" s="0" t="s">
        <v>60</v>
      </c>
      <c r="AG561" s="7" t="s">
        <v>1950</v>
      </c>
      <c r="AH561" s="0" t="s">
        <v>50</v>
      </c>
      <c r="AI561" s="0" t="s">
        <v>2331</v>
      </c>
      <c r="AJ561" s="0" t="s">
        <v>117</v>
      </c>
      <c r="AK561" s="0" t="s">
        <v>50</v>
      </c>
      <c r="AL561" s="0" t="s">
        <v>2344</v>
      </c>
      <c r="AM561" s="0" t="s">
        <v>2344</v>
      </c>
      <c r="AN561" s="0" t="s">
        <v>2321</v>
      </c>
      <c r="AO561" s="0" t="s">
        <v>50</v>
      </c>
    </row>
    <row r="562" customFormat="false" ht="15" hidden="false" customHeight="false" outlineLevel="0" collapsed="false">
      <c r="A562" s="0" t="s">
        <v>1400</v>
      </c>
      <c r="B562" s="2" t="s">
        <v>2282</v>
      </c>
      <c r="C562" s="0" t="s">
        <v>121</v>
      </c>
      <c r="D562" s="0" t="n">
        <v>8041193292</v>
      </c>
      <c r="E562" s="0" t="s">
        <v>122</v>
      </c>
      <c r="F562" s="0" t="s">
        <v>2316</v>
      </c>
      <c r="G562" s="0" t="s">
        <v>1401</v>
      </c>
      <c r="H562" s="0" t="s">
        <v>134</v>
      </c>
      <c r="I562" s="3" t="s">
        <v>2317</v>
      </c>
      <c r="J562" s="0" t="s">
        <v>2341</v>
      </c>
      <c r="K562" s="0" t="s">
        <v>90</v>
      </c>
      <c r="L562" s="4" t="n">
        <v>65549</v>
      </c>
      <c r="M562" s="0" t="s">
        <v>110</v>
      </c>
      <c r="N562" s="0" t="s">
        <v>50</v>
      </c>
      <c r="O562" s="5" t="n">
        <v>4</v>
      </c>
      <c r="P562" s="0" t="n">
        <v>5.4</v>
      </c>
      <c r="Q562" s="0" t="s">
        <v>125</v>
      </c>
      <c r="R562" s="0" t="s">
        <v>93</v>
      </c>
      <c r="S562" s="0" t="s">
        <v>2340</v>
      </c>
      <c r="T562" s="0" t="s">
        <v>75</v>
      </c>
      <c r="U562" s="5" t="n">
        <v>15</v>
      </c>
      <c r="V562" s="0" t="s">
        <v>2336</v>
      </c>
      <c r="W562" s="0" t="s">
        <v>155</v>
      </c>
      <c r="X562" s="0" t="s">
        <v>98</v>
      </c>
      <c r="Y562" s="0" t="s">
        <v>99</v>
      </c>
      <c r="Z562" s="0" t="s">
        <v>2329</v>
      </c>
      <c r="AA562" s="0" t="s">
        <v>161</v>
      </c>
      <c r="AB562" s="5" t="n">
        <v>26956.5217391304</v>
      </c>
      <c r="AC562" s="5" t="n">
        <v>30000</v>
      </c>
      <c r="AD562" s="0" t="s">
        <v>50</v>
      </c>
      <c r="AE562" s="5" t="n">
        <v>5000</v>
      </c>
      <c r="AF562" s="0" t="s">
        <v>2338</v>
      </c>
      <c r="AG562" s="7" t="s">
        <v>2397</v>
      </c>
      <c r="AH562" s="0" t="s">
        <v>63</v>
      </c>
      <c r="AI562" s="0" t="s">
        <v>2331</v>
      </c>
      <c r="AJ562" s="0" t="s">
        <v>2320</v>
      </c>
      <c r="AK562" s="0" t="s">
        <v>2344</v>
      </c>
      <c r="AL562" s="0" t="s">
        <v>63</v>
      </c>
      <c r="AM562" s="0" t="s">
        <v>2344</v>
      </c>
      <c r="AN562" s="0" t="s">
        <v>2318</v>
      </c>
      <c r="AO562" s="0" t="s">
        <v>2359</v>
      </c>
    </row>
    <row r="563" customFormat="false" ht="15" hidden="false" customHeight="false" outlineLevel="0" collapsed="false">
      <c r="A563" s="0" t="s">
        <v>1402</v>
      </c>
      <c r="B563" s="2" t="s">
        <v>2445</v>
      </c>
      <c r="C563" s="0" t="s">
        <v>105</v>
      </c>
      <c r="D563" s="0" t="n">
        <v>8038693064</v>
      </c>
      <c r="E563" s="0" t="s">
        <v>85</v>
      </c>
      <c r="F563" s="0" t="s">
        <v>2319</v>
      </c>
      <c r="G563" s="0" t="s">
        <v>1403</v>
      </c>
      <c r="H563" s="0" t="s">
        <v>45</v>
      </c>
      <c r="I563" s="3" t="s">
        <v>87</v>
      </c>
      <c r="J563" s="0" t="s">
        <v>2339</v>
      </c>
      <c r="K563" s="0" t="s">
        <v>90</v>
      </c>
      <c r="L563" s="4" t="n">
        <v>77669</v>
      </c>
      <c r="M563" s="0" t="s">
        <v>2333</v>
      </c>
      <c r="N563" s="0" t="s">
        <v>50</v>
      </c>
      <c r="O563" s="5" t="n">
        <v>1</v>
      </c>
      <c r="P563" s="0" t="n">
        <v>1.1</v>
      </c>
      <c r="Q563" s="0" t="s">
        <v>51</v>
      </c>
      <c r="R563" s="0" t="s">
        <v>93</v>
      </c>
      <c r="S563" s="0" t="s">
        <v>2340</v>
      </c>
      <c r="T563" s="0" t="s">
        <v>2343</v>
      </c>
      <c r="U563" s="5" t="n">
        <v>30</v>
      </c>
      <c r="V563" s="0" t="s">
        <v>55</v>
      </c>
      <c r="W563" s="0" t="s">
        <v>148</v>
      </c>
      <c r="X563" s="0" t="s">
        <v>128</v>
      </c>
      <c r="Y563" s="0" t="s">
        <v>114</v>
      </c>
      <c r="Z563" s="0" t="s">
        <v>59</v>
      </c>
      <c r="AA563" s="0" t="s">
        <v>149</v>
      </c>
      <c r="AB563" s="5" t="n">
        <v>25312.5</v>
      </c>
      <c r="AC563" s="5" t="n">
        <v>20000</v>
      </c>
      <c r="AD563" s="0" t="s">
        <v>63</v>
      </c>
      <c r="AE563" s="5" t="n">
        <v>0</v>
      </c>
      <c r="AF563" s="0" t="s">
        <v>2338</v>
      </c>
      <c r="AG563" s="7" t="s">
        <v>520</v>
      </c>
      <c r="AH563" s="0" t="s">
        <v>50</v>
      </c>
      <c r="AI563" s="0" t="s">
        <v>2331</v>
      </c>
      <c r="AJ563" s="0" t="s">
        <v>117</v>
      </c>
      <c r="AK563" s="0" t="s">
        <v>63</v>
      </c>
      <c r="AL563" s="0" t="s">
        <v>50</v>
      </c>
      <c r="AM563" s="0" t="s">
        <v>63</v>
      </c>
      <c r="AN563" s="0" t="s">
        <v>2318</v>
      </c>
      <c r="AO563" s="0" t="s">
        <v>2359</v>
      </c>
    </row>
    <row r="564" customFormat="false" ht="15" hidden="false" customHeight="false" outlineLevel="0" collapsed="false">
      <c r="A564" s="0" t="s">
        <v>1404</v>
      </c>
      <c r="B564" s="2" t="s">
        <v>222</v>
      </c>
      <c r="C564" s="0" t="s">
        <v>163</v>
      </c>
      <c r="D564" s="0" t="n">
        <v>8024211686</v>
      </c>
      <c r="E564" s="0" t="s">
        <v>67</v>
      </c>
      <c r="F564" s="0" t="s">
        <v>2316</v>
      </c>
      <c r="G564" s="0" t="s">
        <v>1405</v>
      </c>
      <c r="H564" s="0" t="s">
        <v>69</v>
      </c>
      <c r="I564" s="3" t="s">
        <v>87</v>
      </c>
      <c r="J564" s="0" t="s">
        <v>2347</v>
      </c>
      <c r="K564" s="0" t="s">
        <v>71</v>
      </c>
      <c r="L564" s="4" t="n">
        <v>15586</v>
      </c>
      <c r="M564" s="0" t="s">
        <v>2333</v>
      </c>
      <c r="N564" s="0" t="s">
        <v>63</v>
      </c>
      <c r="O564" s="5" t="n">
        <v>4</v>
      </c>
      <c r="P564" s="0" t="n">
        <v>5.8</v>
      </c>
      <c r="Q564" s="0" t="s">
        <v>125</v>
      </c>
      <c r="R564" s="0" t="s">
        <v>93</v>
      </c>
      <c r="S564" s="0" t="s">
        <v>2340</v>
      </c>
      <c r="T564" s="0" t="s">
        <v>2343</v>
      </c>
      <c r="U564" s="5" t="n">
        <v>60</v>
      </c>
      <c r="V564" s="0" t="s">
        <v>2336</v>
      </c>
      <c r="W564" s="0" t="s">
        <v>2337</v>
      </c>
      <c r="X564" s="0" t="s">
        <v>78</v>
      </c>
      <c r="Y564" s="0" t="s">
        <v>58</v>
      </c>
      <c r="Z564" s="0" t="s">
        <v>177</v>
      </c>
      <c r="AA564" s="0" t="s">
        <v>2329</v>
      </c>
      <c r="AB564" s="5" t="n">
        <v>15000</v>
      </c>
      <c r="AC564" s="5" t="n">
        <v>40000</v>
      </c>
      <c r="AD564" s="0" t="s">
        <v>50</v>
      </c>
      <c r="AE564" s="5" t="n">
        <v>5000</v>
      </c>
      <c r="AF564" s="0" t="s">
        <v>184</v>
      </c>
      <c r="AG564" s="7" t="s">
        <v>2330</v>
      </c>
      <c r="AH564" s="0" t="s">
        <v>50</v>
      </c>
      <c r="AI564" s="0" t="s">
        <v>171</v>
      </c>
      <c r="AJ564" s="0" t="s">
        <v>117</v>
      </c>
      <c r="AK564" s="0" t="s">
        <v>63</v>
      </c>
      <c r="AL564" s="0" t="s">
        <v>50</v>
      </c>
      <c r="AM564" s="0" t="s">
        <v>2344</v>
      </c>
      <c r="AN564" s="0" t="s">
        <v>2321</v>
      </c>
      <c r="AO564" s="0" t="s">
        <v>50</v>
      </c>
    </row>
    <row r="565" customFormat="false" ht="15" hidden="false" customHeight="false" outlineLevel="0" collapsed="false">
      <c r="A565" s="0" t="s">
        <v>1406</v>
      </c>
      <c r="B565" s="2" t="s">
        <v>225</v>
      </c>
      <c r="C565" s="0" t="s">
        <v>163</v>
      </c>
      <c r="D565" s="0" t="n">
        <v>8057858864</v>
      </c>
      <c r="E565" s="0" t="s">
        <v>122</v>
      </c>
      <c r="F565" s="0" t="s">
        <v>2316</v>
      </c>
      <c r="G565" s="0" t="s">
        <v>1407</v>
      </c>
      <c r="H565" s="0" t="s">
        <v>69</v>
      </c>
      <c r="I565" s="3" t="s">
        <v>87</v>
      </c>
      <c r="J565" s="0" t="s">
        <v>2341</v>
      </c>
      <c r="K565" s="0" t="s">
        <v>90</v>
      </c>
      <c r="L565" s="4" t="n">
        <v>81352</v>
      </c>
      <c r="M565" s="0" t="s">
        <v>2333</v>
      </c>
      <c r="N565" s="0" t="s">
        <v>50</v>
      </c>
      <c r="O565" s="5" t="n">
        <v>3</v>
      </c>
      <c r="P565" s="0" t="n">
        <v>5</v>
      </c>
      <c r="Q565" s="0" t="s">
        <v>111</v>
      </c>
      <c r="R565" s="0" t="s">
        <v>93</v>
      </c>
      <c r="S565" s="0" t="s">
        <v>2335</v>
      </c>
      <c r="T565" s="0" t="s">
        <v>147</v>
      </c>
      <c r="U565" s="5" t="n">
        <v>60</v>
      </c>
      <c r="V565" s="0" t="s">
        <v>2352</v>
      </c>
      <c r="W565" s="0" t="s">
        <v>155</v>
      </c>
      <c r="X565" s="0" t="s">
        <v>98</v>
      </c>
      <c r="Y565" s="0" t="s">
        <v>58</v>
      </c>
      <c r="Z565" s="0" t="s">
        <v>2324</v>
      </c>
      <c r="AA565" s="0" t="s">
        <v>161</v>
      </c>
      <c r="AB565" s="5" t="n">
        <v>40000</v>
      </c>
      <c r="AC565" s="5" t="n">
        <v>30000</v>
      </c>
      <c r="AD565" s="0" t="s">
        <v>63</v>
      </c>
      <c r="AE565" s="5" t="n">
        <v>5000</v>
      </c>
      <c r="AF565" s="0" t="s">
        <v>184</v>
      </c>
      <c r="AG565" s="7" t="s">
        <v>1103</v>
      </c>
      <c r="AH565" s="0" t="s">
        <v>2329</v>
      </c>
      <c r="AI565" s="0" t="s">
        <v>171</v>
      </c>
      <c r="AJ565" s="0" t="s">
        <v>117</v>
      </c>
      <c r="AK565" s="0" t="s">
        <v>50</v>
      </c>
      <c r="AL565" s="0" t="s">
        <v>63</v>
      </c>
      <c r="AM565" s="0" t="s">
        <v>2344</v>
      </c>
      <c r="AN565" s="0" t="s">
        <v>64</v>
      </c>
      <c r="AO565" s="0" t="s">
        <v>50</v>
      </c>
    </row>
    <row r="566" customFormat="false" ht="15" hidden="false" customHeight="false" outlineLevel="0" collapsed="false">
      <c r="A566" s="0" t="s">
        <v>1409</v>
      </c>
      <c r="B566" s="2" t="s">
        <v>1408</v>
      </c>
      <c r="C566" s="0" t="s">
        <v>42</v>
      </c>
      <c r="D566" s="0" t="n">
        <v>8053401695</v>
      </c>
      <c r="E566" s="0" t="s">
        <v>122</v>
      </c>
      <c r="F566" s="0" t="s">
        <v>2316</v>
      </c>
      <c r="G566" s="0" t="s">
        <v>1410</v>
      </c>
      <c r="H566" s="0" t="s">
        <v>45</v>
      </c>
      <c r="I566" s="3" t="s">
        <v>2342</v>
      </c>
      <c r="J566" s="0" t="s">
        <v>47</v>
      </c>
      <c r="K566" s="0" t="s">
        <v>90</v>
      </c>
      <c r="L566" s="4" t="n">
        <v>11720</v>
      </c>
      <c r="M566" s="0" t="s">
        <v>49</v>
      </c>
      <c r="N566" s="0" t="s">
        <v>63</v>
      </c>
      <c r="O566" s="5" t="n">
        <v>5</v>
      </c>
      <c r="P566" s="0" t="n">
        <v>5.8</v>
      </c>
      <c r="Q566" s="0" t="s">
        <v>125</v>
      </c>
      <c r="R566" s="0" t="s">
        <v>52</v>
      </c>
      <c r="S566" s="0" t="s">
        <v>2335</v>
      </c>
      <c r="T566" s="0" t="s">
        <v>75</v>
      </c>
      <c r="U566" s="5" t="n">
        <v>45</v>
      </c>
      <c r="V566" s="0" t="s">
        <v>2352</v>
      </c>
      <c r="W566" s="0" t="s">
        <v>148</v>
      </c>
      <c r="X566" s="0" t="s">
        <v>98</v>
      </c>
      <c r="Y566" s="0" t="s">
        <v>196</v>
      </c>
      <c r="Z566" s="0" t="s">
        <v>177</v>
      </c>
      <c r="AA566" s="0" t="s">
        <v>143</v>
      </c>
      <c r="AB566" s="5" t="n">
        <v>40000</v>
      </c>
      <c r="AC566" s="5" t="n">
        <v>30000</v>
      </c>
      <c r="AD566" s="0" t="s">
        <v>50</v>
      </c>
      <c r="AE566" s="5" t="n">
        <v>0</v>
      </c>
      <c r="AF566" s="0" t="s">
        <v>2338</v>
      </c>
      <c r="AG566" s="7" t="s">
        <v>2330</v>
      </c>
      <c r="AH566" s="0" t="s">
        <v>63</v>
      </c>
      <c r="AI566" s="0" t="s">
        <v>2331</v>
      </c>
      <c r="AJ566" s="0" t="s">
        <v>2320</v>
      </c>
      <c r="AK566" s="0" t="s">
        <v>50</v>
      </c>
      <c r="AL566" s="0" t="s">
        <v>63</v>
      </c>
      <c r="AM566" s="0" t="s">
        <v>63</v>
      </c>
      <c r="AN566" s="0" t="s">
        <v>2318</v>
      </c>
      <c r="AO566" s="0" t="s">
        <v>50</v>
      </c>
    </row>
    <row r="567" customFormat="false" ht="15" hidden="false" customHeight="false" outlineLevel="0" collapsed="false">
      <c r="A567" s="0" t="s">
        <v>1412</v>
      </c>
      <c r="B567" s="2" t="s">
        <v>1411</v>
      </c>
      <c r="C567" s="0" t="s">
        <v>105</v>
      </c>
      <c r="D567" s="0" t="n">
        <v>8033303091</v>
      </c>
      <c r="E567" s="0" t="s">
        <v>139</v>
      </c>
      <c r="F567" s="0" t="s">
        <v>2323</v>
      </c>
      <c r="G567" s="0" t="s">
        <v>1413</v>
      </c>
      <c r="H567" s="0" t="s">
        <v>134</v>
      </c>
      <c r="I567" s="3" t="s">
        <v>2317</v>
      </c>
      <c r="J567" s="0" t="s">
        <v>2349</v>
      </c>
      <c r="K567" s="0" t="s">
        <v>109</v>
      </c>
      <c r="L567" s="4" t="n">
        <v>77744</v>
      </c>
      <c r="M567" s="0" t="s">
        <v>49</v>
      </c>
      <c r="N567" s="0" t="s">
        <v>50</v>
      </c>
      <c r="O567" s="5" t="n">
        <v>1</v>
      </c>
      <c r="P567" s="0" t="n">
        <v>5.9</v>
      </c>
      <c r="Q567" s="0" t="s">
        <v>111</v>
      </c>
      <c r="R567" s="0" t="s">
        <v>52</v>
      </c>
      <c r="S567" s="0" t="s">
        <v>2340</v>
      </c>
      <c r="T567" s="0" t="s">
        <v>2353</v>
      </c>
      <c r="U567" s="5" t="n">
        <v>15</v>
      </c>
      <c r="V567" s="0" t="s">
        <v>2352</v>
      </c>
      <c r="W567" s="0" t="s">
        <v>148</v>
      </c>
      <c r="X567" s="0" t="s">
        <v>78</v>
      </c>
      <c r="Y567" s="0" t="s">
        <v>196</v>
      </c>
      <c r="Z567" s="0" t="s">
        <v>59</v>
      </c>
      <c r="AA567" s="0" t="s">
        <v>2329</v>
      </c>
      <c r="AB567" s="5" t="n">
        <v>25000</v>
      </c>
      <c r="AC567" s="5" t="n">
        <v>40000</v>
      </c>
      <c r="AD567" s="0" t="s">
        <v>63</v>
      </c>
      <c r="AE567" s="5" t="n">
        <v>5000</v>
      </c>
      <c r="AF567" s="0" t="s">
        <v>2338</v>
      </c>
      <c r="AG567" s="7" t="s">
        <v>2507</v>
      </c>
      <c r="AH567" s="0" t="s">
        <v>50</v>
      </c>
      <c r="AI567" s="0" t="s">
        <v>2331</v>
      </c>
      <c r="AJ567" s="0" t="s">
        <v>172</v>
      </c>
      <c r="AK567" s="0" t="s">
        <v>63</v>
      </c>
      <c r="AL567" s="0" t="s">
        <v>63</v>
      </c>
      <c r="AM567" s="0" t="s">
        <v>63</v>
      </c>
      <c r="AN567" s="0" t="s">
        <v>2321</v>
      </c>
      <c r="AO567" s="0" t="s">
        <v>63</v>
      </c>
    </row>
    <row r="568" customFormat="false" ht="15" hidden="false" customHeight="false" outlineLevel="0" collapsed="false">
      <c r="A568" s="0" t="s">
        <v>1414</v>
      </c>
      <c r="B568" s="2" t="s">
        <v>2418</v>
      </c>
      <c r="C568" s="0" t="s">
        <v>121</v>
      </c>
      <c r="D568" s="0" t="n">
        <v>8012012537</v>
      </c>
      <c r="E568" s="0" t="s">
        <v>139</v>
      </c>
      <c r="F568" s="0" t="s">
        <v>2323</v>
      </c>
      <c r="G568" s="0" t="s">
        <v>1415</v>
      </c>
      <c r="H568" s="0" t="s">
        <v>87</v>
      </c>
      <c r="I568" s="3" t="s">
        <v>2325</v>
      </c>
      <c r="J568" s="0" t="s">
        <v>2349</v>
      </c>
      <c r="K568" s="0" t="s">
        <v>90</v>
      </c>
      <c r="L568" s="4" t="n">
        <v>22770</v>
      </c>
      <c r="M568" s="0" t="s">
        <v>2333</v>
      </c>
      <c r="N568" s="0" t="s">
        <v>63</v>
      </c>
      <c r="O568" s="5" t="n">
        <v>2</v>
      </c>
      <c r="P568" s="0" t="n">
        <v>4.9</v>
      </c>
      <c r="Q568" s="0" t="s">
        <v>2334</v>
      </c>
      <c r="R568" s="0" t="s">
        <v>93</v>
      </c>
      <c r="S568" s="0" t="s">
        <v>53</v>
      </c>
      <c r="T568" s="0" t="s">
        <v>2343</v>
      </c>
      <c r="U568" s="5" t="n">
        <v>45</v>
      </c>
      <c r="V568" s="0" t="s">
        <v>96</v>
      </c>
      <c r="W568" s="0" t="s">
        <v>148</v>
      </c>
      <c r="X568" s="0" t="s">
        <v>98</v>
      </c>
      <c r="Y568" s="0" t="s">
        <v>99</v>
      </c>
      <c r="Z568" s="0" t="s">
        <v>59</v>
      </c>
      <c r="AA568" s="0" t="s">
        <v>143</v>
      </c>
      <c r="AB568" s="5" t="n">
        <v>30000</v>
      </c>
      <c r="AC568" s="5" t="n">
        <v>30000</v>
      </c>
      <c r="AD568" s="0" t="s">
        <v>50</v>
      </c>
      <c r="AE568" s="5" t="n">
        <v>5000</v>
      </c>
      <c r="AF568" s="0" t="s">
        <v>2338</v>
      </c>
      <c r="AG568" s="7" t="s">
        <v>962</v>
      </c>
      <c r="AH568" s="0" t="s">
        <v>50</v>
      </c>
      <c r="AI568" s="0" t="s">
        <v>2331</v>
      </c>
      <c r="AJ568" s="0" t="s">
        <v>2331</v>
      </c>
      <c r="AK568" s="0" t="s">
        <v>63</v>
      </c>
      <c r="AL568" s="0" t="s">
        <v>63</v>
      </c>
      <c r="AM568" s="0" t="s">
        <v>2344</v>
      </c>
      <c r="AN568" s="0" t="s">
        <v>2321</v>
      </c>
      <c r="AO568" s="0" t="s">
        <v>50</v>
      </c>
    </row>
    <row r="569" customFormat="false" ht="15" hidden="false" customHeight="false" outlineLevel="0" collapsed="false">
      <c r="A569" s="0" t="s">
        <v>1416</v>
      </c>
      <c r="B569" s="2" t="s">
        <v>2472</v>
      </c>
      <c r="C569" s="0" t="s">
        <v>121</v>
      </c>
      <c r="D569" s="0" t="n">
        <v>8063974248</v>
      </c>
      <c r="E569" s="0" t="s">
        <v>85</v>
      </c>
      <c r="F569" s="0" t="s">
        <v>2319</v>
      </c>
      <c r="G569" s="0" t="s">
        <v>1417</v>
      </c>
      <c r="H569" s="0" t="s">
        <v>134</v>
      </c>
      <c r="I569" s="3" t="s">
        <v>2322</v>
      </c>
      <c r="J569" s="0" t="s">
        <v>2349</v>
      </c>
      <c r="K569" s="0" t="s">
        <v>109</v>
      </c>
      <c r="L569" s="4" t="n">
        <v>116474</v>
      </c>
      <c r="M569" s="0" t="s">
        <v>110</v>
      </c>
      <c r="N569" s="0" t="s">
        <v>63</v>
      </c>
      <c r="O569" s="5" t="n">
        <v>5</v>
      </c>
      <c r="P569" s="0" t="n">
        <v>4.8</v>
      </c>
      <c r="Q569" s="0" t="s">
        <v>2334</v>
      </c>
      <c r="R569" s="0" t="s">
        <v>52</v>
      </c>
      <c r="S569" s="0" t="s">
        <v>2366</v>
      </c>
      <c r="T569" s="0" t="s">
        <v>2353</v>
      </c>
      <c r="U569" s="5" t="n">
        <v>15</v>
      </c>
      <c r="V569" s="0" t="s">
        <v>2336</v>
      </c>
      <c r="W569" s="0" t="s">
        <v>155</v>
      </c>
      <c r="X569" s="0" t="s">
        <v>78</v>
      </c>
      <c r="Y569" s="0" t="s">
        <v>196</v>
      </c>
      <c r="Z569" s="0" t="s">
        <v>177</v>
      </c>
      <c r="AA569" s="0" t="s">
        <v>79</v>
      </c>
      <c r="AB569" s="5" t="n">
        <v>40000</v>
      </c>
      <c r="AC569" s="5" t="n">
        <v>20000</v>
      </c>
      <c r="AD569" s="0" t="s">
        <v>50</v>
      </c>
      <c r="AE569" s="5" t="n">
        <v>0</v>
      </c>
      <c r="AF569" s="0" t="s">
        <v>2338</v>
      </c>
      <c r="AG569" s="7" t="s">
        <v>2330</v>
      </c>
      <c r="AH569" s="0" t="s">
        <v>50</v>
      </c>
      <c r="AI569" s="0" t="s">
        <v>171</v>
      </c>
      <c r="AJ569" s="0" t="s">
        <v>2331</v>
      </c>
      <c r="AK569" s="0" t="s">
        <v>50</v>
      </c>
      <c r="AL569" s="0" t="s">
        <v>63</v>
      </c>
      <c r="AM569" s="0" t="s">
        <v>2344</v>
      </c>
      <c r="AN569" s="0" t="s">
        <v>64</v>
      </c>
      <c r="AO569" s="0" t="s">
        <v>50</v>
      </c>
    </row>
    <row r="570" customFormat="false" ht="15" hidden="false" customHeight="false" outlineLevel="0" collapsed="false">
      <c r="A570" s="0" t="s">
        <v>1418</v>
      </c>
      <c r="B570" s="2" t="s">
        <v>2398</v>
      </c>
      <c r="C570" s="0" t="s">
        <v>42</v>
      </c>
      <c r="D570" s="0" t="n">
        <v>8097777422</v>
      </c>
      <c r="E570" s="0" t="s">
        <v>43</v>
      </c>
      <c r="F570" s="0" t="s">
        <v>2315</v>
      </c>
      <c r="G570" s="0" t="s">
        <v>1419</v>
      </c>
      <c r="H570" s="0" t="s">
        <v>107</v>
      </c>
      <c r="I570" s="3" t="s">
        <v>87</v>
      </c>
      <c r="J570" s="0" t="s">
        <v>2349</v>
      </c>
      <c r="K570" s="0" t="s">
        <v>109</v>
      </c>
      <c r="L570" s="4" t="n">
        <v>105258</v>
      </c>
      <c r="M570" s="0" t="s">
        <v>2333</v>
      </c>
      <c r="N570" s="0" t="s">
        <v>63</v>
      </c>
      <c r="O570" s="5" t="n">
        <v>2</v>
      </c>
      <c r="P570" s="0" t="n">
        <v>5.2</v>
      </c>
      <c r="Q570" s="0" t="s">
        <v>51</v>
      </c>
      <c r="R570" s="0" t="s">
        <v>73</v>
      </c>
      <c r="S570" s="0" t="s">
        <v>2335</v>
      </c>
      <c r="T570" s="0" t="s">
        <v>2353</v>
      </c>
      <c r="U570" s="5" t="n">
        <v>15</v>
      </c>
      <c r="V570" s="0" t="s">
        <v>55</v>
      </c>
      <c r="W570" s="0" t="s">
        <v>155</v>
      </c>
      <c r="X570" s="0" t="s">
        <v>128</v>
      </c>
      <c r="Y570" s="0" t="s">
        <v>99</v>
      </c>
      <c r="Z570" s="0" t="s">
        <v>2324</v>
      </c>
      <c r="AA570" s="0" t="s">
        <v>143</v>
      </c>
      <c r="AB570" s="5" t="n">
        <v>15000</v>
      </c>
      <c r="AC570" s="5" t="n">
        <v>30000</v>
      </c>
      <c r="AD570" s="0" t="s">
        <v>50</v>
      </c>
      <c r="AE570" s="5" t="n">
        <v>0</v>
      </c>
      <c r="AF570" s="0" t="s">
        <v>184</v>
      </c>
      <c r="AG570" s="7" t="s">
        <v>2330</v>
      </c>
      <c r="AH570" s="0" t="s">
        <v>50</v>
      </c>
      <c r="AI570" s="0" t="s">
        <v>171</v>
      </c>
      <c r="AJ570" s="0" t="s">
        <v>2331</v>
      </c>
      <c r="AK570" s="0" t="s">
        <v>50</v>
      </c>
      <c r="AL570" s="0" t="s">
        <v>50</v>
      </c>
      <c r="AM570" s="0" t="s">
        <v>50</v>
      </c>
      <c r="AN570" s="0" t="s">
        <v>2318</v>
      </c>
      <c r="AO570" s="0" t="s">
        <v>63</v>
      </c>
    </row>
    <row r="571" customFormat="false" ht="15" hidden="false" customHeight="false" outlineLevel="0" collapsed="false">
      <c r="A571" s="0" t="s">
        <v>1420</v>
      </c>
      <c r="B571" s="2" t="s">
        <v>340</v>
      </c>
      <c r="C571" s="0" t="s">
        <v>105</v>
      </c>
      <c r="D571" s="0" t="n">
        <v>8052445044</v>
      </c>
      <c r="E571" s="0" t="s">
        <v>67</v>
      </c>
      <c r="F571" s="0" t="s">
        <v>2316</v>
      </c>
      <c r="G571" s="0" t="s">
        <v>1421</v>
      </c>
      <c r="H571" s="0" t="s">
        <v>69</v>
      </c>
      <c r="I571" s="3" t="s">
        <v>87</v>
      </c>
      <c r="J571" s="0" t="s">
        <v>2341</v>
      </c>
      <c r="K571" s="0" t="s">
        <v>71</v>
      </c>
      <c r="L571" s="4" t="n">
        <v>97843</v>
      </c>
      <c r="M571" s="0" t="s">
        <v>2333</v>
      </c>
      <c r="N571" s="0" t="s">
        <v>50</v>
      </c>
      <c r="O571" s="5" t="n">
        <v>1</v>
      </c>
      <c r="P571" s="0" t="n">
        <v>5.1</v>
      </c>
      <c r="Q571" s="0" t="s">
        <v>92</v>
      </c>
      <c r="R571" s="0" t="s">
        <v>73</v>
      </c>
      <c r="S571" s="0" t="s">
        <v>2335</v>
      </c>
      <c r="T571" s="0" t="s">
        <v>95</v>
      </c>
      <c r="U571" s="5" t="n">
        <v>30</v>
      </c>
      <c r="V571" s="0" t="s">
        <v>2336</v>
      </c>
      <c r="W571" s="0" t="s">
        <v>2337</v>
      </c>
      <c r="X571" s="0" t="s">
        <v>128</v>
      </c>
      <c r="Y571" s="0" t="s">
        <v>196</v>
      </c>
      <c r="Z571" s="0" t="s">
        <v>2326</v>
      </c>
      <c r="AA571" s="0" t="s">
        <v>161</v>
      </c>
      <c r="AB571" s="5" t="n">
        <v>40000</v>
      </c>
      <c r="AC571" s="5" t="n">
        <v>30000</v>
      </c>
      <c r="AD571" s="0" t="s">
        <v>63</v>
      </c>
      <c r="AE571" s="5" t="n">
        <v>0</v>
      </c>
      <c r="AF571" s="0" t="s">
        <v>184</v>
      </c>
      <c r="AG571" s="7" t="s">
        <v>2330</v>
      </c>
      <c r="AH571" s="0" t="s">
        <v>2329</v>
      </c>
      <c r="AI571" s="0" t="s">
        <v>2331</v>
      </c>
      <c r="AJ571" s="0" t="s">
        <v>117</v>
      </c>
      <c r="AK571" s="0" t="s">
        <v>2344</v>
      </c>
      <c r="AL571" s="0" t="s">
        <v>50</v>
      </c>
      <c r="AM571" s="0" t="s">
        <v>63</v>
      </c>
      <c r="AN571" s="0" t="s">
        <v>2321</v>
      </c>
      <c r="AO571" s="0" t="s">
        <v>2359</v>
      </c>
    </row>
    <row r="572" customFormat="false" ht="15" hidden="false" customHeight="false" outlineLevel="0" collapsed="false">
      <c r="A572" s="0" t="s">
        <v>1422</v>
      </c>
      <c r="B572" s="2" t="s">
        <v>2462</v>
      </c>
      <c r="C572" s="0" t="s">
        <v>163</v>
      </c>
      <c r="D572" s="0" t="n">
        <v>8011608113</v>
      </c>
      <c r="E572" s="0" t="s">
        <v>67</v>
      </c>
      <c r="F572" s="0" t="s">
        <v>2316</v>
      </c>
      <c r="G572" s="0" t="s">
        <v>1423</v>
      </c>
      <c r="H572" s="0" t="s">
        <v>69</v>
      </c>
      <c r="I572" s="3" t="s">
        <v>2322</v>
      </c>
      <c r="J572" s="0" t="s">
        <v>2347</v>
      </c>
      <c r="K572" s="0" t="s">
        <v>48</v>
      </c>
      <c r="L572" s="4" t="n">
        <v>58004</v>
      </c>
      <c r="M572" s="0" t="s">
        <v>110</v>
      </c>
      <c r="N572" s="0" t="s">
        <v>50</v>
      </c>
      <c r="O572" s="5" t="n">
        <v>3.09375</v>
      </c>
      <c r="P572" s="0" t="n">
        <v>4.9</v>
      </c>
      <c r="Q572" s="0" t="s">
        <v>51</v>
      </c>
      <c r="R572" s="0" t="s">
        <v>93</v>
      </c>
      <c r="S572" s="0" t="s">
        <v>53</v>
      </c>
      <c r="T572" s="0" t="s">
        <v>2353</v>
      </c>
      <c r="U572" s="5" t="n">
        <v>60</v>
      </c>
      <c r="V572" s="0" t="s">
        <v>55</v>
      </c>
      <c r="W572" s="0" t="s">
        <v>155</v>
      </c>
      <c r="X572" s="0" t="s">
        <v>128</v>
      </c>
      <c r="Y572" s="0" t="s">
        <v>99</v>
      </c>
      <c r="Z572" s="0" t="s">
        <v>2329</v>
      </c>
      <c r="AA572" s="0" t="s">
        <v>161</v>
      </c>
      <c r="AB572" s="5" t="n">
        <v>40000</v>
      </c>
      <c r="AC572" s="5" t="n">
        <v>30000</v>
      </c>
      <c r="AD572" s="0" t="s">
        <v>63</v>
      </c>
      <c r="AE572" s="5" t="n">
        <v>0</v>
      </c>
      <c r="AF572" s="0" t="s">
        <v>60</v>
      </c>
      <c r="AG572" s="7" t="s">
        <v>2125</v>
      </c>
      <c r="AH572" s="0" t="s">
        <v>50</v>
      </c>
      <c r="AI572" s="0" t="s">
        <v>2331</v>
      </c>
      <c r="AJ572" s="0" t="s">
        <v>172</v>
      </c>
      <c r="AK572" s="0" t="s">
        <v>63</v>
      </c>
      <c r="AL572" s="0" t="s">
        <v>50</v>
      </c>
      <c r="AM572" s="0" t="s">
        <v>63</v>
      </c>
      <c r="AN572" s="0" t="s">
        <v>2321</v>
      </c>
      <c r="AO572" s="0" t="s">
        <v>50</v>
      </c>
    </row>
    <row r="573" customFormat="false" ht="15" hidden="false" customHeight="false" outlineLevel="0" collapsed="false">
      <c r="A573" s="0" t="s">
        <v>1424</v>
      </c>
      <c r="B573" s="2" t="s">
        <v>635</v>
      </c>
      <c r="C573" s="0" t="s">
        <v>66</v>
      </c>
      <c r="D573" s="0" t="n">
        <v>8062235749</v>
      </c>
      <c r="E573" s="0" t="s">
        <v>43</v>
      </c>
      <c r="F573" s="0" t="s">
        <v>2315</v>
      </c>
      <c r="G573" s="0" t="s">
        <v>1425</v>
      </c>
      <c r="H573" s="0" t="s">
        <v>45</v>
      </c>
      <c r="I573" s="3" t="s">
        <v>87</v>
      </c>
      <c r="J573" s="0" t="s">
        <v>2341</v>
      </c>
      <c r="K573" s="0" t="s">
        <v>71</v>
      </c>
      <c r="L573" s="4" t="n">
        <v>68688</v>
      </c>
      <c r="M573" s="0" t="s">
        <v>2333</v>
      </c>
      <c r="N573" s="0" t="s">
        <v>50</v>
      </c>
      <c r="O573" s="5" t="n">
        <v>3</v>
      </c>
      <c r="P573" s="0" t="n">
        <v>4.8</v>
      </c>
      <c r="Q573" s="0" t="s">
        <v>2334</v>
      </c>
      <c r="R573" s="0" t="s">
        <v>93</v>
      </c>
      <c r="S573" s="0" t="s">
        <v>53</v>
      </c>
      <c r="T573" s="0" t="s">
        <v>2353</v>
      </c>
      <c r="U573" s="5" t="n">
        <v>39</v>
      </c>
      <c r="V573" s="0" t="s">
        <v>55</v>
      </c>
      <c r="W573" s="0" t="s">
        <v>2337</v>
      </c>
      <c r="X573" s="0" t="s">
        <v>78</v>
      </c>
      <c r="Y573" s="0" t="s">
        <v>114</v>
      </c>
      <c r="Z573" s="0" t="s">
        <v>2326</v>
      </c>
      <c r="AA573" s="0" t="s">
        <v>79</v>
      </c>
      <c r="AB573" s="5" t="n">
        <v>15000</v>
      </c>
      <c r="AC573" s="5" t="n">
        <v>31625.3443526171</v>
      </c>
      <c r="AD573" s="0" t="s">
        <v>50</v>
      </c>
      <c r="AE573" s="5" t="n">
        <v>0</v>
      </c>
      <c r="AF573" s="0" t="s">
        <v>60</v>
      </c>
      <c r="AG573" s="7" t="s">
        <v>2495</v>
      </c>
      <c r="AH573" s="0" t="s">
        <v>2329</v>
      </c>
      <c r="AI573" s="0" t="s">
        <v>2331</v>
      </c>
      <c r="AJ573" s="0" t="s">
        <v>172</v>
      </c>
      <c r="AK573" s="0" t="s">
        <v>63</v>
      </c>
      <c r="AL573" s="0" t="s">
        <v>63</v>
      </c>
      <c r="AM573" s="0" t="s">
        <v>63</v>
      </c>
      <c r="AN573" s="0" t="s">
        <v>64</v>
      </c>
      <c r="AO573" s="0" t="s">
        <v>50</v>
      </c>
    </row>
    <row r="574" customFormat="false" ht="15" hidden="false" customHeight="false" outlineLevel="0" collapsed="false">
      <c r="A574" s="0" t="s">
        <v>1426</v>
      </c>
      <c r="B574" s="2" t="s">
        <v>2386</v>
      </c>
      <c r="C574" s="0" t="s">
        <v>42</v>
      </c>
      <c r="D574" s="0" t="n">
        <v>8038557229</v>
      </c>
      <c r="E574" s="0" t="s">
        <v>139</v>
      </c>
      <c r="F574" s="0" t="s">
        <v>2323</v>
      </c>
      <c r="G574" s="0" t="s">
        <v>1427</v>
      </c>
      <c r="H574" s="0" t="s">
        <v>87</v>
      </c>
      <c r="I574" s="3" t="s">
        <v>87</v>
      </c>
      <c r="J574" s="0" t="s">
        <v>2349</v>
      </c>
      <c r="K574" s="0" t="s">
        <v>90</v>
      </c>
      <c r="L574" s="4" t="n">
        <v>24077</v>
      </c>
      <c r="M574" s="0" t="s">
        <v>49</v>
      </c>
      <c r="N574" s="0" t="s">
        <v>63</v>
      </c>
      <c r="O574" s="5" t="n">
        <v>5</v>
      </c>
      <c r="P574" s="0" t="n">
        <v>1.2</v>
      </c>
      <c r="Q574" s="0" t="s">
        <v>92</v>
      </c>
      <c r="R574" s="0" t="s">
        <v>93</v>
      </c>
      <c r="S574" s="0" t="s">
        <v>2366</v>
      </c>
      <c r="T574" s="0" t="s">
        <v>75</v>
      </c>
      <c r="U574" s="5" t="n">
        <v>45</v>
      </c>
      <c r="V574" s="0" t="s">
        <v>112</v>
      </c>
      <c r="W574" s="0" t="s">
        <v>155</v>
      </c>
      <c r="X574" s="0" t="s">
        <v>78</v>
      </c>
      <c r="Y574" s="0" t="s">
        <v>114</v>
      </c>
      <c r="Z574" s="0" t="s">
        <v>59</v>
      </c>
      <c r="AA574" s="0" t="s">
        <v>79</v>
      </c>
      <c r="AB574" s="5" t="n">
        <v>26101.6949152542</v>
      </c>
      <c r="AC574" s="5" t="n">
        <v>30000</v>
      </c>
      <c r="AD574" s="0" t="s">
        <v>50</v>
      </c>
      <c r="AE574" s="5" t="n">
        <v>0</v>
      </c>
      <c r="AF574" s="0" t="s">
        <v>184</v>
      </c>
      <c r="AG574" s="7" t="s">
        <v>2392</v>
      </c>
      <c r="AH574" s="0" t="s">
        <v>2329</v>
      </c>
      <c r="AI574" s="0" t="s">
        <v>171</v>
      </c>
      <c r="AJ574" s="0" t="s">
        <v>117</v>
      </c>
      <c r="AK574" s="0" t="s">
        <v>63</v>
      </c>
      <c r="AL574" s="0" t="s">
        <v>63</v>
      </c>
      <c r="AM574" s="0" t="s">
        <v>63</v>
      </c>
      <c r="AN574" s="0" t="s">
        <v>2321</v>
      </c>
      <c r="AO574" s="0" t="s">
        <v>2359</v>
      </c>
    </row>
    <row r="575" customFormat="false" ht="15" hidden="false" customHeight="false" outlineLevel="0" collapsed="false">
      <c r="A575" s="0" t="s">
        <v>1428</v>
      </c>
      <c r="B575" s="2" t="s">
        <v>2449</v>
      </c>
      <c r="C575" s="0" t="s">
        <v>163</v>
      </c>
      <c r="D575" s="0" t="n">
        <v>8071575863</v>
      </c>
      <c r="E575" s="0" t="s">
        <v>139</v>
      </c>
      <c r="F575" s="0" t="s">
        <v>2323</v>
      </c>
      <c r="G575" s="0" t="s">
        <v>1429</v>
      </c>
      <c r="H575" s="0" t="s">
        <v>87</v>
      </c>
      <c r="I575" s="3" t="s">
        <v>2322</v>
      </c>
      <c r="J575" s="0" t="s">
        <v>2349</v>
      </c>
      <c r="K575" s="0" t="s">
        <v>109</v>
      </c>
      <c r="L575" s="4" t="n">
        <v>29415</v>
      </c>
      <c r="M575" s="0" t="s">
        <v>49</v>
      </c>
      <c r="N575" s="0" t="s">
        <v>63</v>
      </c>
      <c r="O575" s="5" t="n">
        <v>3.08857142857143</v>
      </c>
      <c r="P575" s="0" t="n">
        <v>2.5</v>
      </c>
      <c r="Q575" s="0" t="s">
        <v>111</v>
      </c>
      <c r="R575" s="0" t="s">
        <v>93</v>
      </c>
      <c r="S575" s="0" t="s">
        <v>2366</v>
      </c>
      <c r="T575" s="0" t="s">
        <v>75</v>
      </c>
      <c r="U575" s="5" t="n">
        <v>45</v>
      </c>
      <c r="V575" s="0" t="s">
        <v>2352</v>
      </c>
      <c r="W575" s="0" t="s">
        <v>2328</v>
      </c>
      <c r="X575" s="0" t="s">
        <v>78</v>
      </c>
      <c r="Y575" s="0" t="s">
        <v>196</v>
      </c>
      <c r="Z575" s="0" t="s">
        <v>177</v>
      </c>
      <c r="AA575" s="0" t="s">
        <v>2329</v>
      </c>
      <c r="AB575" s="5" t="n">
        <v>20000</v>
      </c>
      <c r="AC575" s="5" t="n">
        <v>35000</v>
      </c>
      <c r="AD575" s="0" t="s">
        <v>63</v>
      </c>
      <c r="AE575" s="5" t="n">
        <v>0</v>
      </c>
      <c r="AF575" s="0" t="s">
        <v>184</v>
      </c>
      <c r="AG575" s="7" t="s">
        <v>2330</v>
      </c>
      <c r="AH575" s="0" t="s">
        <v>63</v>
      </c>
      <c r="AI575" s="0" t="s">
        <v>116</v>
      </c>
      <c r="AJ575" s="0" t="s">
        <v>2331</v>
      </c>
      <c r="AK575" s="0" t="s">
        <v>50</v>
      </c>
      <c r="AL575" s="0" t="s">
        <v>63</v>
      </c>
      <c r="AM575" s="0" t="s">
        <v>63</v>
      </c>
      <c r="AN575" s="0" t="s">
        <v>2321</v>
      </c>
      <c r="AO575" s="0" t="s">
        <v>63</v>
      </c>
    </row>
    <row r="576" customFormat="false" ht="15" hidden="false" customHeight="false" outlineLevel="0" collapsed="false">
      <c r="A576" s="0" t="s">
        <v>1430</v>
      </c>
      <c r="B576" s="2" t="s">
        <v>2464</v>
      </c>
      <c r="C576" s="0" t="s">
        <v>121</v>
      </c>
      <c r="D576" s="0" t="n">
        <v>8039540811</v>
      </c>
      <c r="E576" s="0" t="s">
        <v>122</v>
      </c>
      <c r="F576" s="0" t="s">
        <v>2316</v>
      </c>
      <c r="G576" s="0" t="s">
        <v>1431</v>
      </c>
      <c r="H576" s="0" t="s">
        <v>87</v>
      </c>
      <c r="I576" s="3" t="s">
        <v>2317</v>
      </c>
      <c r="J576" s="0" t="s">
        <v>2349</v>
      </c>
      <c r="K576" s="0" t="s">
        <v>109</v>
      </c>
      <c r="L576" s="4" t="n">
        <v>87692</v>
      </c>
      <c r="M576" s="0" t="s">
        <v>110</v>
      </c>
      <c r="N576" s="0" t="s">
        <v>50</v>
      </c>
      <c r="O576" s="5" t="n">
        <v>2</v>
      </c>
      <c r="P576" s="0" t="n">
        <v>2</v>
      </c>
      <c r="Q576" s="0" t="s">
        <v>125</v>
      </c>
      <c r="R576" s="0" t="s">
        <v>52</v>
      </c>
      <c r="S576" s="0" t="s">
        <v>2366</v>
      </c>
      <c r="T576" s="0" t="s">
        <v>147</v>
      </c>
      <c r="U576" s="5" t="n">
        <v>45</v>
      </c>
      <c r="V576" s="0" t="s">
        <v>2336</v>
      </c>
      <c r="W576" s="0" t="s">
        <v>2337</v>
      </c>
      <c r="X576" s="0" t="s">
        <v>128</v>
      </c>
      <c r="Y576" s="0" t="s">
        <v>196</v>
      </c>
      <c r="Z576" s="0" t="s">
        <v>59</v>
      </c>
      <c r="AA576" s="0" t="s">
        <v>79</v>
      </c>
      <c r="AB576" s="5" t="n">
        <v>20000</v>
      </c>
      <c r="AC576" s="5" t="n">
        <v>30000</v>
      </c>
      <c r="AD576" s="0" t="s">
        <v>50</v>
      </c>
      <c r="AE576" s="5" t="n">
        <v>0</v>
      </c>
      <c r="AF576" s="0" t="s">
        <v>130</v>
      </c>
      <c r="AG576" s="7" t="s">
        <v>1432</v>
      </c>
      <c r="AH576" s="0" t="s">
        <v>63</v>
      </c>
      <c r="AI576" s="0" t="s">
        <v>2331</v>
      </c>
      <c r="AJ576" s="0" t="s">
        <v>117</v>
      </c>
      <c r="AK576" s="0" t="s">
        <v>50</v>
      </c>
      <c r="AL576" s="0" t="s">
        <v>63</v>
      </c>
      <c r="AM576" s="0" t="s">
        <v>63</v>
      </c>
      <c r="AN576" s="0" t="s">
        <v>2321</v>
      </c>
      <c r="AO576" s="0" t="s">
        <v>50</v>
      </c>
    </row>
    <row r="577" customFormat="false" ht="15" hidden="false" customHeight="false" outlineLevel="0" collapsed="false">
      <c r="A577" s="0" t="s">
        <v>1433</v>
      </c>
      <c r="B577" s="2" t="s">
        <v>669</v>
      </c>
      <c r="C577" s="0" t="s">
        <v>42</v>
      </c>
      <c r="D577" s="0" t="n">
        <v>8018860555</v>
      </c>
      <c r="E577" s="0" t="s">
        <v>85</v>
      </c>
      <c r="F577" s="0" t="s">
        <v>2319</v>
      </c>
      <c r="G577" s="0" t="s">
        <v>1434</v>
      </c>
      <c r="H577" s="0" t="s">
        <v>45</v>
      </c>
      <c r="I577" s="3" t="s">
        <v>2317</v>
      </c>
      <c r="J577" s="0" t="s">
        <v>2349</v>
      </c>
      <c r="K577" s="0" t="s">
        <v>71</v>
      </c>
      <c r="L577" s="4" t="n">
        <v>13995</v>
      </c>
      <c r="M577" s="0" t="s">
        <v>110</v>
      </c>
      <c r="N577" s="0" t="s">
        <v>50</v>
      </c>
      <c r="O577" s="5" t="n">
        <v>2</v>
      </c>
      <c r="P577" s="0" t="n">
        <v>3.5</v>
      </c>
      <c r="Q577" s="0" t="s">
        <v>2334</v>
      </c>
      <c r="R577" s="0" t="s">
        <v>52</v>
      </c>
      <c r="S577" s="0" t="s">
        <v>2335</v>
      </c>
      <c r="T577" s="0" t="s">
        <v>95</v>
      </c>
      <c r="U577" s="5" t="n">
        <v>30</v>
      </c>
      <c r="V577" s="0" t="s">
        <v>2336</v>
      </c>
      <c r="W577" s="0" t="s">
        <v>2328</v>
      </c>
      <c r="X577" s="0" t="s">
        <v>128</v>
      </c>
      <c r="Y577" s="0" t="s">
        <v>114</v>
      </c>
      <c r="Z577" s="0" t="s">
        <v>2329</v>
      </c>
      <c r="AA577" s="0" t="s">
        <v>79</v>
      </c>
      <c r="AB577" s="5" t="n">
        <v>25000</v>
      </c>
      <c r="AC577" s="5" t="n">
        <v>30000</v>
      </c>
      <c r="AD577" s="0" t="s">
        <v>63</v>
      </c>
      <c r="AE577" s="5" t="n">
        <v>0</v>
      </c>
      <c r="AF577" s="0" t="s">
        <v>60</v>
      </c>
      <c r="AG577" s="7" t="s">
        <v>588</v>
      </c>
      <c r="AH577" s="0" t="s">
        <v>50</v>
      </c>
      <c r="AI577" s="0" t="s">
        <v>2331</v>
      </c>
      <c r="AJ577" s="0" t="s">
        <v>2320</v>
      </c>
      <c r="AK577" s="0" t="s">
        <v>2344</v>
      </c>
      <c r="AL577" s="0" t="s">
        <v>50</v>
      </c>
      <c r="AM577" s="0" t="s">
        <v>2344</v>
      </c>
      <c r="AN577" s="0" t="s">
        <v>2321</v>
      </c>
      <c r="AO577" s="0" t="s">
        <v>50</v>
      </c>
    </row>
    <row r="578" customFormat="false" ht="15" hidden="false" customHeight="false" outlineLevel="0" collapsed="false">
      <c r="A578" s="0" t="s">
        <v>1435</v>
      </c>
      <c r="B578" s="2" t="s">
        <v>267</v>
      </c>
      <c r="C578" s="0" t="s">
        <v>42</v>
      </c>
      <c r="D578" s="0" t="n">
        <v>8098310124</v>
      </c>
      <c r="E578" s="0" t="s">
        <v>139</v>
      </c>
      <c r="F578" s="0" t="s">
        <v>2323</v>
      </c>
      <c r="G578" s="0" t="s">
        <v>1436</v>
      </c>
      <c r="H578" s="0" t="s">
        <v>134</v>
      </c>
      <c r="I578" s="3" t="s">
        <v>2317</v>
      </c>
      <c r="J578" s="0" t="s">
        <v>2349</v>
      </c>
      <c r="K578" s="0" t="s">
        <v>109</v>
      </c>
      <c r="L578" s="4" t="n">
        <v>104344</v>
      </c>
      <c r="M578" s="0" t="s">
        <v>2333</v>
      </c>
      <c r="N578" s="0" t="s">
        <v>63</v>
      </c>
      <c r="O578" s="5" t="n">
        <v>5</v>
      </c>
      <c r="P578" s="0" t="n">
        <v>3.6</v>
      </c>
      <c r="Q578" s="0" t="s">
        <v>92</v>
      </c>
      <c r="R578" s="0" t="s">
        <v>73</v>
      </c>
      <c r="S578" s="0" t="s">
        <v>53</v>
      </c>
      <c r="T578" s="0" t="s">
        <v>95</v>
      </c>
      <c r="U578" s="5" t="n">
        <v>37.8461538461539</v>
      </c>
      <c r="V578" s="0" t="s">
        <v>2352</v>
      </c>
      <c r="W578" s="0" t="s">
        <v>155</v>
      </c>
      <c r="X578" s="0" t="s">
        <v>78</v>
      </c>
      <c r="Y578" s="0" t="s">
        <v>58</v>
      </c>
      <c r="Z578" s="0" t="s">
        <v>2326</v>
      </c>
      <c r="AA578" s="0" t="s">
        <v>143</v>
      </c>
      <c r="AB578" s="5" t="n">
        <v>26339.2857142857</v>
      </c>
      <c r="AC578" s="5" t="n">
        <v>40000</v>
      </c>
      <c r="AD578" s="0" t="s">
        <v>63</v>
      </c>
      <c r="AE578" s="5" t="n">
        <v>5000</v>
      </c>
      <c r="AF578" s="0" t="s">
        <v>60</v>
      </c>
      <c r="AG578" s="7" t="s">
        <v>1437</v>
      </c>
      <c r="AH578" s="0" t="s">
        <v>50</v>
      </c>
      <c r="AI578" s="0" t="s">
        <v>116</v>
      </c>
      <c r="AJ578" s="0" t="s">
        <v>2320</v>
      </c>
      <c r="AK578" s="0" t="s">
        <v>63</v>
      </c>
      <c r="AL578" s="0" t="s">
        <v>63</v>
      </c>
      <c r="AM578" s="0" t="s">
        <v>63</v>
      </c>
      <c r="AN578" s="0" t="s">
        <v>2318</v>
      </c>
      <c r="AO578" s="0" t="s">
        <v>50</v>
      </c>
    </row>
    <row r="579" customFormat="false" ht="15" hidden="false" customHeight="false" outlineLevel="0" collapsed="false">
      <c r="A579" s="0" t="s">
        <v>1438</v>
      </c>
      <c r="B579" s="2" t="s">
        <v>2082</v>
      </c>
      <c r="C579" s="0" t="s">
        <v>66</v>
      </c>
      <c r="D579" s="0" t="n">
        <v>8047373949</v>
      </c>
      <c r="E579" s="0" t="s">
        <v>122</v>
      </c>
      <c r="F579" s="0" t="s">
        <v>2316</v>
      </c>
      <c r="G579" s="0" t="s">
        <v>1439</v>
      </c>
      <c r="H579" s="0" t="s">
        <v>45</v>
      </c>
      <c r="I579" s="3" t="s">
        <v>87</v>
      </c>
      <c r="J579" s="0" t="s">
        <v>47</v>
      </c>
      <c r="K579" s="0" t="s">
        <v>109</v>
      </c>
      <c r="L579" s="4" t="n">
        <v>24179</v>
      </c>
      <c r="M579" s="0" t="s">
        <v>110</v>
      </c>
      <c r="N579" s="0" t="s">
        <v>50</v>
      </c>
      <c r="O579" s="5" t="n">
        <v>3</v>
      </c>
      <c r="P579" s="0" t="n">
        <v>1.3</v>
      </c>
      <c r="Q579" s="0" t="s">
        <v>92</v>
      </c>
      <c r="R579" s="0" t="s">
        <v>73</v>
      </c>
      <c r="S579" s="0" t="s">
        <v>53</v>
      </c>
      <c r="T579" s="0" t="s">
        <v>2353</v>
      </c>
      <c r="U579" s="5" t="n">
        <v>45</v>
      </c>
      <c r="V579" s="0" t="s">
        <v>2336</v>
      </c>
      <c r="W579" s="0" t="s">
        <v>2328</v>
      </c>
      <c r="X579" s="0" t="s">
        <v>98</v>
      </c>
      <c r="Y579" s="0" t="s">
        <v>196</v>
      </c>
      <c r="Z579" s="0" t="s">
        <v>2326</v>
      </c>
      <c r="AA579" s="0" t="s">
        <v>149</v>
      </c>
      <c r="AB579" s="5" t="n">
        <v>20000</v>
      </c>
      <c r="AC579" s="5" t="n">
        <v>30000</v>
      </c>
      <c r="AD579" s="0" t="s">
        <v>63</v>
      </c>
      <c r="AE579" s="5" t="n">
        <v>5000</v>
      </c>
      <c r="AF579" s="0" t="s">
        <v>60</v>
      </c>
      <c r="AG579" s="7" t="s">
        <v>2330</v>
      </c>
      <c r="AH579" s="0" t="s">
        <v>63</v>
      </c>
      <c r="AI579" s="0" t="s">
        <v>2331</v>
      </c>
      <c r="AJ579" s="0" t="s">
        <v>2320</v>
      </c>
      <c r="AK579" s="0" t="s">
        <v>63</v>
      </c>
      <c r="AL579" s="0" t="s">
        <v>2344</v>
      </c>
      <c r="AM579" s="0" t="s">
        <v>2344</v>
      </c>
      <c r="AN579" s="0" t="s">
        <v>2318</v>
      </c>
      <c r="AO579" s="0" t="s">
        <v>2359</v>
      </c>
    </row>
    <row r="580" customFormat="false" ht="15" hidden="false" customHeight="false" outlineLevel="0" collapsed="false">
      <c r="A580" s="0" t="s">
        <v>1440</v>
      </c>
      <c r="B580" s="2" t="s">
        <v>2162</v>
      </c>
      <c r="C580" s="0" t="s">
        <v>163</v>
      </c>
      <c r="D580" s="0" t="n">
        <v>8097234140</v>
      </c>
      <c r="E580" s="0" t="s">
        <v>43</v>
      </c>
      <c r="F580" s="0" t="s">
        <v>2315</v>
      </c>
      <c r="G580" s="0" t="s">
        <v>1441</v>
      </c>
      <c r="H580" s="0" t="s">
        <v>45</v>
      </c>
      <c r="I580" s="3" t="s">
        <v>2322</v>
      </c>
      <c r="J580" s="0" t="s">
        <v>189</v>
      </c>
      <c r="K580" s="0" t="s">
        <v>109</v>
      </c>
      <c r="L580" s="4" t="n">
        <v>54920</v>
      </c>
      <c r="M580" s="0" t="s">
        <v>49</v>
      </c>
      <c r="N580" s="0" t="s">
        <v>63</v>
      </c>
      <c r="O580" s="5" t="n">
        <v>1</v>
      </c>
      <c r="P580" s="0" t="n">
        <v>3.5</v>
      </c>
      <c r="Q580" s="0" t="s">
        <v>125</v>
      </c>
      <c r="R580" s="0" t="s">
        <v>93</v>
      </c>
      <c r="S580" s="0" t="s">
        <v>2335</v>
      </c>
      <c r="T580" s="0" t="s">
        <v>95</v>
      </c>
      <c r="U580" s="5" t="n">
        <v>15</v>
      </c>
      <c r="V580" s="0" t="s">
        <v>55</v>
      </c>
      <c r="W580" s="0" t="s">
        <v>2328</v>
      </c>
      <c r="X580" s="0" t="s">
        <v>78</v>
      </c>
      <c r="Y580" s="0" t="s">
        <v>114</v>
      </c>
      <c r="Z580" s="0" t="s">
        <v>2329</v>
      </c>
      <c r="AA580" s="0" t="s">
        <v>2329</v>
      </c>
      <c r="AB580" s="5" t="n">
        <v>25000</v>
      </c>
      <c r="AC580" s="5" t="n">
        <v>31610.6442577031</v>
      </c>
      <c r="AD580" s="0" t="s">
        <v>63</v>
      </c>
      <c r="AE580" s="5" t="n">
        <v>10000</v>
      </c>
      <c r="AF580" s="0" t="s">
        <v>2338</v>
      </c>
      <c r="AG580" s="7" t="s">
        <v>2330</v>
      </c>
      <c r="AH580" s="0" t="s">
        <v>63</v>
      </c>
      <c r="AI580" s="0" t="s">
        <v>171</v>
      </c>
      <c r="AJ580" s="0" t="s">
        <v>117</v>
      </c>
      <c r="AK580" s="0" t="s">
        <v>50</v>
      </c>
      <c r="AL580" s="0" t="s">
        <v>2344</v>
      </c>
      <c r="AM580" s="0" t="s">
        <v>50</v>
      </c>
      <c r="AN580" s="0" t="s">
        <v>2321</v>
      </c>
      <c r="AO580" s="0" t="s">
        <v>50</v>
      </c>
    </row>
    <row r="581" customFormat="false" ht="15" hidden="false" customHeight="false" outlineLevel="0" collapsed="false">
      <c r="A581" s="0" t="s">
        <v>1442</v>
      </c>
      <c r="B581" s="2" t="s">
        <v>725</v>
      </c>
      <c r="C581" s="0" t="s">
        <v>66</v>
      </c>
      <c r="D581" s="0" t="n">
        <v>8093739701</v>
      </c>
      <c r="E581" s="0" t="s">
        <v>122</v>
      </c>
      <c r="F581" s="0" t="s">
        <v>2316</v>
      </c>
      <c r="G581" s="0" t="s">
        <v>1443</v>
      </c>
      <c r="H581" s="0" t="s">
        <v>87</v>
      </c>
      <c r="I581" s="3" t="s">
        <v>2325</v>
      </c>
      <c r="J581" s="0" t="s">
        <v>2347</v>
      </c>
      <c r="K581" s="0" t="s">
        <v>48</v>
      </c>
      <c r="L581" s="4" t="n">
        <v>102314</v>
      </c>
      <c r="M581" s="0" t="s">
        <v>49</v>
      </c>
      <c r="N581" s="0" t="s">
        <v>50</v>
      </c>
      <c r="O581" s="5" t="n">
        <v>1</v>
      </c>
      <c r="P581" s="0" t="n">
        <v>3.7</v>
      </c>
      <c r="Q581" s="0" t="s">
        <v>111</v>
      </c>
      <c r="R581" s="0" t="s">
        <v>93</v>
      </c>
      <c r="S581" s="0" t="s">
        <v>2340</v>
      </c>
      <c r="T581" s="0" t="s">
        <v>2353</v>
      </c>
      <c r="U581" s="5" t="n">
        <v>60</v>
      </c>
      <c r="V581" s="0" t="s">
        <v>55</v>
      </c>
      <c r="W581" s="0" t="s">
        <v>155</v>
      </c>
      <c r="X581" s="0" t="s">
        <v>128</v>
      </c>
      <c r="Y581" s="0" t="s">
        <v>114</v>
      </c>
      <c r="Z581" s="0" t="s">
        <v>2324</v>
      </c>
      <c r="AA581" s="0" t="s">
        <v>149</v>
      </c>
      <c r="AB581" s="5" t="n">
        <v>25000</v>
      </c>
      <c r="AC581" s="5" t="n">
        <v>30000</v>
      </c>
      <c r="AD581" s="0" t="s">
        <v>50</v>
      </c>
      <c r="AE581" s="5" t="n">
        <v>5000</v>
      </c>
      <c r="AF581" s="0" t="s">
        <v>60</v>
      </c>
      <c r="AG581" s="7" t="s">
        <v>2508</v>
      </c>
      <c r="AH581" s="0" t="s">
        <v>50</v>
      </c>
      <c r="AI581" s="0" t="s">
        <v>116</v>
      </c>
      <c r="AJ581" s="0" t="s">
        <v>2331</v>
      </c>
      <c r="AK581" s="0" t="s">
        <v>50</v>
      </c>
      <c r="AL581" s="0" t="s">
        <v>2344</v>
      </c>
      <c r="AM581" s="0" t="s">
        <v>50</v>
      </c>
      <c r="AN581" s="0" t="s">
        <v>2321</v>
      </c>
      <c r="AO581" s="0" t="s">
        <v>50</v>
      </c>
    </row>
    <row r="582" customFormat="false" ht="15" hidden="false" customHeight="false" outlineLevel="0" collapsed="false">
      <c r="A582" s="0" t="s">
        <v>1444</v>
      </c>
      <c r="B582" s="2" t="s">
        <v>687</v>
      </c>
      <c r="C582" s="0" t="s">
        <v>42</v>
      </c>
      <c r="D582" s="0" t="n">
        <v>8059523652</v>
      </c>
      <c r="E582" s="0" t="s">
        <v>43</v>
      </c>
      <c r="F582" s="0" t="s">
        <v>2315</v>
      </c>
      <c r="G582" s="0" t="s">
        <v>1445</v>
      </c>
      <c r="H582" s="0" t="s">
        <v>45</v>
      </c>
      <c r="I582" s="3" t="s">
        <v>2325</v>
      </c>
      <c r="J582" s="0" t="s">
        <v>2341</v>
      </c>
      <c r="K582" s="0" t="s">
        <v>48</v>
      </c>
      <c r="L582" s="4" t="n">
        <v>17969</v>
      </c>
      <c r="M582" s="0" t="s">
        <v>2333</v>
      </c>
      <c r="N582" s="0" t="s">
        <v>63</v>
      </c>
      <c r="O582" s="5" t="n">
        <v>3</v>
      </c>
      <c r="P582" s="0" t="n">
        <v>3.2</v>
      </c>
      <c r="Q582" s="0" t="s">
        <v>125</v>
      </c>
      <c r="R582" s="0" t="s">
        <v>73</v>
      </c>
      <c r="S582" s="0" t="s">
        <v>53</v>
      </c>
      <c r="T582" s="0" t="s">
        <v>54</v>
      </c>
      <c r="U582" s="5" t="n">
        <v>30</v>
      </c>
      <c r="V582" s="0" t="s">
        <v>2352</v>
      </c>
      <c r="W582" s="0" t="s">
        <v>2337</v>
      </c>
      <c r="X582" s="0" t="s">
        <v>78</v>
      </c>
      <c r="Y582" s="0" t="s">
        <v>58</v>
      </c>
      <c r="Z582" s="0" t="s">
        <v>59</v>
      </c>
      <c r="AA582" s="0" t="s">
        <v>79</v>
      </c>
      <c r="AB582" s="5" t="n">
        <v>25000</v>
      </c>
      <c r="AC582" s="5" t="n">
        <v>30000</v>
      </c>
      <c r="AD582" s="0" t="s">
        <v>50</v>
      </c>
      <c r="AE582" s="5" t="n">
        <v>5000</v>
      </c>
      <c r="AF582" s="0" t="s">
        <v>184</v>
      </c>
      <c r="AG582" s="7" t="s">
        <v>860</v>
      </c>
      <c r="AH582" s="0" t="s">
        <v>50</v>
      </c>
      <c r="AI582" s="0" t="s">
        <v>171</v>
      </c>
      <c r="AJ582" s="0" t="s">
        <v>2331</v>
      </c>
      <c r="AK582" s="0" t="s">
        <v>63</v>
      </c>
      <c r="AL582" s="0" t="s">
        <v>2344</v>
      </c>
      <c r="AM582" s="0" t="s">
        <v>63</v>
      </c>
      <c r="AN582" s="0" t="s">
        <v>2321</v>
      </c>
      <c r="AO582" s="0" t="s">
        <v>63</v>
      </c>
    </row>
    <row r="583" customFormat="false" ht="15" hidden="false" customHeight="false" outlineLevel="0" collapsed="false">
      <c r="A583" s="0" t="s">
        <v>1446</v>
      </c>
      <c r="B583" s="2" t="s">
        <v>2431</v>
      </c>
      <c r="C583" s="0" t="s">
        <v>163</v>
      </c>
      <c r="D583" s="0" t="n">
        <v>8015897385</v>
      </c>
      <c r="E583" s="0" t="s">
        <v>43</v>
      </c>
      <c r="F583" s="0" t="s">
        <v>2315</v>
      </c>
      <c r="G583" s="0" t="s">
        <v>1447</v>
      </c>
      <c r="H583" s="0" t="s">
        <v>107</v>
      </c>
      <c r="I583" s="3" t="s">
        <v>87</v>
      </c>
      <c r="J583" s="0" t="s">
        <v>189</v>
      </c>
      <c r="K583" s="0" t="s">
        <v>109</v>
      </c>
      <c r="L583" s="4" t="n">
        <v>70746</v>
      </c>
      <c r="M583" s="0" t="s">
        <v>110</v>
      </c>
      <c r="N583" s="0" t="s">
        <v>50</v>
      </c>
      <c r="O583" s="5" t="n">
        <v>4</v>
      </c>
      <c r="P583" s="0" t="n">
        <v>4.7</v>
      </c>
      <c r="Q583" s="0" t="s">
        <v>51</v>
      </c>
      <c r="R583" s="0" t="s">
        <v>73</v>
      </c>
      <c r="S583" s="0" t="s">
        <v>2335</v>
      </c>
      <c r="T583" s="0" t="s">
        <v>95</v>
      </c>
      <c r="U583" s="5" t="n">
        <v>39.6875</v>
      </c>
      <c r="V583" s="0" t="s">
        <v>2352</v>
      </c>
      <c r="W583" s="0" t="s">
        <v>148</v>
      </c>
      <c r="X583" s="0" t="s">
        <v>128</v>
      </c>
      <c r="Y583" s="0" t="s">
        <v>196</v>
      </c>
      <c r="Z583" s="0" t="s">
        <v>2324</v>
      </c>
      <c r="AA583" s="0" t="s">
        <v>143</v>
      </c>
      <c r="AB583" s="5" t="n">
        <v>25000</v>
      </c>
      <c r="AC583" s="5" t="n">
        <v>30000</v>
      </c>
      <c r="AD583" s="0" t="s">
        <v>63</v>
      </c>
      <c r="AE583" s="5" t="n">
        <v>10000</v>
      </c>
      <c r="AF583" s="0" t="s">
        <v>60</v>
      </c>
      <c r="AG583" s="7" t="s">
        <v>2455</v>
      </c>
      <c r="AH583" s="0" t="s">
        <v>63</v>
      </c>
      <c r="AI583" s="0" t="s">
        <v>171</v>
      </c>
      <c r="AJ583" s="0" t="s">
        <v>2331</v>
      </c>
      <c r="AK583" s="0" t="s">
        <v>50</v>
      </c>
      <c r="AL583" s="0" t="s">
        <v>63</v>
      </c>
      <c r="AM583" s="0" t="s">
        <v>50</v>
      </c>
      <c r="AN583" s="0" t="s">
        <v>2321</v>
      </c>
      <c r="AO583" s="0" t="s">
        <v>50</v>
      </c>
    </row>
    <row r="584" customFormat="false" ht="15" hidden="false" customHeight="false" outlineLevel="0" collapsed="false">
      <c r="A584" s="0" t="s">
        <v>1448</v>
      </c>
      <c r="B584" s="2" t="s">
        <v>40</v>
      </c>
      <c r="C584" s="0" t="s">
        <v>105</v>
      </c>
      <c r="D584" s="0" t="n">
        <v>8019037049</v>
      </c>
      <c r="E584" s="0" t="s">
        <v>43</v>
      </c>
      <c r="F584" s="0" t="s">
        <v>2315</v>
      </c>
      <c r="G584" s="0" t="s">
        <v>1449</v>
      </c>
      <c r="H584" s="0" t="s">
        <v>134</v>
      </c>
      <c r="I584" s="3" t="s">
        <v>2322</v>
      </c>
      <c r="J584" s="0" t="s">
        <v>2349</v>
      </c>
      <c r="K584" s="0" t="s">
        <v>71</v>
      </c>
      <c r="L584" s="4" t="n">
        <v>21067</v>
      </c>
      <c r="M584" s="0" t="s">
        <v>49</v>
      </c>
      <c r="N584" s="0" t="s">
        <v>50</v>
      </c>
      <c r="O584" s="5" t="n">
        <v>2</v>
      </c>
      <c r="P584" s="0" t="n">
        <v>5.8</v>
      </c>
      <c r="Q584" s="0" t="s">
        <v>125</v>
      </c>
      <c r="R584" s="0" t="s">
        <v>52</v>
      </c>
      <c r="S584" s="0" t="s">
        <v>2340</v>
      </c>
      <c r="T584" s="0" t="s">
        <v>2343</v>
      </c>
      <c r="U584" s="5" t="n">
        <v>37.8461538461539</v>
      </c>
      <c r="V584" s="0" t="s">
        <v>2336</v>
      </c>
      <c r="W584" s="0" t="s">
        <v>148</v>
      </c>
      <c r="X584" s="0" t="s">
        <v>128</v>
      </c>
      <c r="Y584" s="0" t="s">
        <v>114</v>
      </c>
      <c r="Z584" s="0" t="s">
        <v>2329</v>
      </c>
      <c r="AA584" s="0" t="s">
        <v>2329</v>
      </c>
      <c r="AB584" s="5" t="n">
        <v>40000</v>
      </c>
      <c r="AC584" s="5" t="n">
        <v>31624.2937853107</v>
      </c>
      <c r="AD584" s="0" t="s">
        <v>50</v>
      </c>
      <c r="AE584" s="5" t="n">
        <v>5000</v>
      </c>
      <c r="AF584" s="0" t="s">
        <v>60</v>
      </c>
      <c r="AG584" s="7" t="s">
        <v>1108</v>
      </c>
      <c r="AH584" s="0" t="s">
        <v>2329</v>
      </c>
      <c r="AI584" s="0" t="s">
        <v>2331</v>
      </c>
      <c r="AJ584" s="0" t="s">
        <v>172</v>
      </c>
      <c r="AK584" s="0" t="s">
        <v>63</v>
      </c>
      <c r="AL584" s="0" t="s">
        <v>63</v>
      </c>
      <c r="AM584" s="0" t="s">
        <v>63</v>
      </c>
      <c r="AN584" s="0" t="s">
        <v>2321</v>
      </c>
      <c r="AO584" s="0" t="s">
        <v>50</v>
      </c>
    </row>
    <row r="585" customFormat="false" ht="15" hidden="false" customHeight="false" outlineLevel="0" collapsed="false">
      <c r="A585" s="0" t="s">
        <v>1450</v>
      </c>
      <c r="B585" s="2" t="s">
        <v>2451</v>
      </c>
      <c r="C585" s="0" t="s">
        <v>42</v>
      </c>
      <c r="D585" s="0" t="n">
        <v>8039334741</v>
      </c>
      <c r="E585" s="0" t="s">
        <v>43</v>
      </c>
      <c r="F585" s="0" t="s">
        <v>2315</v>
      </c>
      <c r="G585" s="0" t="s">
        <v>1451</v>
      </c>
      <c r="H585" s="0" t="s">
        <v>87</v>
      </c>
      <c r="I585" s="3" t="s">
        <v>2342</v>
      </c>
      <c r="J585" s="0" t="s">
        <v>2339</v>
      </c>
      <c r="K585" s="0" t="s">
        <v>90</v>
      </c>
      <c r="L585" s="4" t="n">
        <v>35622</v>
      </c>
      <c r="M585" s="0" t="s">
        <v>110</v>
      </c>
      <c r="N585" s="0" t="s">
        <v>50</v>
      </c>
      <c r="O585" s="5" t="n">
        <v>1</v>
      </c>
      <c r="P585" s="0" t="n">
        <v>2.1</v>
      </c>
      <c r="Q585" s="0" t="s">
        <v>92</v>
      </c>
      <c r="R585" s="0" t="s">
        <v>73</v>
      </c>
      <c r="S585" s="0" t="s">
        <v>2340</v>
      </c>
      <c r="T585" s="0" t="s">
        <v>2343</v>
      </c>
      <c r="U585" s="5" t="n">
        <v>60</v>
      </c>
      <c r="V585" s="0" t="s">
        <v>2336</v>
      </c>
      <c r="W585" s="0" t="s">
        <v>155</v>
      </c>
      <c r="X585" s="0" t="s">
        <v>128</v>
      </c>
      <c r="Y585" s="0" t="s">
        <v>196</v>
      </c>
      <c r="Z585" s="0" t="s">
        <v>2324</v>
      </c>
      <c r="AA585" s="0" t="s">
        <v>149</v>
      </c>
      <c r="AB585" s="5" t="n">
        <v>40000</v>
      </c>
      <c r="AC585" s="5" t="n">
        <v>40000</v>
      </c>
      <c r="AD585" s="0" t="s">
        <v>50</v>
      </c>
      <c r="AE585" s="5" t="n">
        <v>0</v>
      </c>
      <c r="AF585" s="0" t="s">
        <v>2338</v>
      </c>
      <c r="AG585" s="7" t="s">
        <v>447</v>
      </c>
      <c r="AH585" s="0" t="s">
        <v>63</v>
      </c>
      <c r="AI585" s="0" t="s">
        <v>171</v>
      </c>
      <c r="AJ585" s="0" t="s">
        <v>172</v>
      </c>
      <c r="AK585" s="0" t="s">
        <v>63</v>
      </c>
      <c r="AL585" s="0" t="s">
        <v>2344</v>
      </c>
      <c r="AM585" s="0" t="s">
        <v>2344</v>
      </c>
      <c r="AN585" s="0" t="s">
        <v>2321</v>
      </c>
      <c r="AO585" s="0" t="s">
        <v>50</v>
      </c>
    </row>
    <row r="586" customFormat="false" ht="15" hidden="false" customHeight="false" outlineLevel="0" collapsed="false">
      <c r="A586" s="0" t="s">
        <v>1452</v>
      </c>
      <c r="B586" s="2" t="s">
        <v>2479</v>
      </c>
      <c r="C586" s="0" t="s">
        <v>66</v>
      </c>
      <c r="D586" s="0" t="n">
        <v>8065176483</v>
      </c>
      <c r="E586" s="0" t="s">
        <v>139</v>
      </c>
      <c r="F586" s="0" t="s">
        <v>2323</v>
      </c>
      <c r="G586" s="0" t="s">
        <v>1453</v>
      </c>
      <c r="H586" s="0" t="s">
        <v>134</v>
      </c>
      <c r="I586" s="3" t="s">
        <v>2322</v>
      </c>
      <c r="J586" s="0" t="s">
        <v>2349</v>
      </c>
      <c r="K586" s="0" t="s">
        <v>48</v>
      </c>
      <c r="L586" s="4" t="n">
        <v>76632</v>
      </c>
      <c r="M586" s="0" t="s">
        <v>110</v>
      </c>
      <c r="N586" s="0" t="s">
        <v>50</v>
      </c>
      <c r="O586" s="5" t="n">
        <v>2</v>
      </c>
      <c r="P586" s="0" t="n">
        <v>2.2</v>
      </c>
      <c r="Q586" s="0" t="s">
        <v>92</v>
      </c>
      <c r="R586" s="0" t="s">
        <v>93</v>
      </c>
      <c r="S586" s="0" t="s">
        <v>53</v>
      </c>
      <c r="T586" s="0" t="s">
        <v>95</v>
      </c>
      <c r="U586" s="5" t="n">
        <v>45</v>
      </c>
      <c r="V586" s="0" t="s">
        <v>2336</v>
      </c>
      <c r="W586" s="0" t="s">
        <v>2337</v>
      </c>
      <c r="X586" s="0" t="s">
        <v>98</v>
      </c>
      <c r="Y586" s="0" t="s">
        <v>196</v>
      </c>
      <c r="Z586" s="0" t="s">
        <v>2329</v>
      </c>
      <c r="AA586" s="0" t="s">
        <v>2329</v>
      </c>
      <c r="AB586" s="5" t="n">
        <v>20000</v>
      </c>
      <c r="AC586" s="5" t="n">
        <v>40000</v>
      </c>
      <c r="AD586" s="0" t="s">
        <v>50</v>
      </c>
      <c r="AE586" s="5" t="n">
        <v>0</v>
      </c>
      <c r="AF586" s="0" t="s">
        <v>60</v>
      </c>
      <c r="AG586" s="7" t="s">
        <v>2501</v>
      </c>
      <c r="AH586" s="0" t="s">
        <v>50</v>
      </c>
      <c r="AI586" s="0" t="s">
        <v>2331</v>
      </c>
      <c r="AJ586" s="0" t="s">
        <v>172</v>
      </c>
      <c r="AK586" s="0" t="s">
        <v>63</v>
      </c>
      <c r="AL586" s="0" t="s">
        <v>63</v>
      </c>
      <c r="AM586" s="0" t="s">
        <v>2344</v>
      </c>
      <c r="AN586" s="0" t="s">
        <v>2321</v>
      </c>
      <c r="AO586" s="0" t="s">
        <v>63</v>
      </c>
    </row>
    <row r="587" customFormat="false" ht="15" hidden="false" customHeight="false" outlineLevel="0" collapsed="false">
      <c r="A587" s="0" t="s">
        <v>1454</v>
      </c>
      <c r="B587" s="2" t="s">
        <v>299</v>
      </c>
      <c r="C587" s="0" t="s">
        <v>66</v>
      </c>
      <c r="D587" s="0" t="n">
        <v>8050471241</v>
      </c>
      <c r="E587" s="0" t="s">
        <v>67</v>
      </c>
      <c r="F587" s="0" t="s">
        <v>2316</v>
      </c>
      <c r="G587" s="0" t="s">
        <v>1455</v>
      </c>
      <c r="H587" s="0" t="s">
        <v>134</v>
      </c>
      <c r="I587" s="3" t="s">
        <v>87</v>
      </c>
      <c r="J587" s="0" t="s">
        <v>2347</v>
      </c>
      <c r="K587" s="0" t="s">
        <v>71</v>
      </c>
      <c r="L587" s="4" t="n">
        <v>15564</v>
      </c>
      <c r="M587" s="0" t="s">
        <v>49</v>
      </c>
      <c r="N587" s="0" t="s">
        <v>50</v>
      </c>
      <c r="O587" s="5" t="n">
        <v>5</v>
      </c>
      <c r="P587" s="0" t="n">
        <v>3</v>
      </c>
      <c r="Q587" s="0" t="s">
        <v>111</v>
      </c>
      <c r="R587" s="0" t="s">
        <v>52</v>
      </c>
      <c r="S587" s="0" t="s">
        <v>2340</v>
      </c>
      <c r="T587" s="0" t="s">
        <v>147</v>
      </c>
      <c r="U587" s="5" t="n">
        <v>38.9473684210526</v>
      </c>
      <c r="V587" s="0" t="s">
        <v>112</v>
      </c>
      <c r="W587" s="0" t="s">
        <v>2328</v>
      </c>
      <c r="X587" s="0" t="s">
        <v>98</v>
      </c>
      <c r="Y587" s="0" t="s">
        <v>196</v>
      </c>
      <c r="Z587" s="0" t="s">
        <v>2329</v>
      </c>
      <c r="AA587" s="0" t="s">
        <v>161</v>
      </c>
      <c r="AB587" s="5" t="n">
        <v>30000</v>
      </c>
      <c r="AC587" s="5" t="n">
        <v>35000</v>
      </c>
      <c r="AD587" s="0" t="s">
        <v>50</v>
      </c>
      <c r="AE587" s="5" t="n">
        <v>5000</v>
      </c>
      <c r="AF587" s="0" t="s">
        <v>2338</v>
      </c>
      <c r="AG587" s="7" t="s">
        <v>2330</v>
      </c>
      <c r="AH587" s="0" t="s">
        <v>63</v>
      </c>
      <c r="AI587" s="0" t="s">
        <v>2331</v>
      </c>
      <c r="AJ587" s="0" t="s">
        <v>117</v>
      </c>
      <c r="AK587" s="0" t="s">
        <v>50</v>
      </c>
      <c r="AL587" s="0" t="s">
        <v>63</v>
      </c>
      <c r="AM587" s="0" t="s">
        <v>50</v>
      </c>
      <c r="AN587" s="0" t="s">
        <v>2318</v>
      </c>
      <c r="AO587" s="0" t="s">
        <v>50</v>
      </c>
    </row>
    <row r="588" customFormat="false" ht="15" hidden="false" customHeight="false" outlineLevel="0" collapsed="false">
      <c r="A588" s="0" t="s">
        <v>1456</v>
      </c>
      <c r="B588" s="2" t="s">
        <v>788</v>
      </c>
      <c r="C588" s="0" t="s">
        <v>66</v>
      </c>
      <c r="D588" s="0" t="n">
        <v>8090378849</v>
      </c>
      <c r="E588" s="0" t="s">
        <v>43</v>
      </c>
      <c r="F588" s="0" t="s">
        <v>2315</v>
      </c>
      <c r="G588" s="0" t="s">
        <v>1457</v>
      </c>
      <c r="H588" s="0" t="s">
        <v>87</v>
      </c>
      <c r="I588" s="3" t="s">
        <v>2325</v>
      </c>
      <c r="J588" s="0" t="s">
        <v>2347</v>
      </c>
      <c r="K588" s="0" t="s">
        <v>48</v>
      </c>
      <c r="L588" s="4" t="n">
        <v>63554</v>
      </c>
      <c r="M588" s="0" t="s">
        <v>2333</v>
      </c>
      <c r="N588" s="0" t="s">
        <v>50</v>
      </c>
      <c r="O588" s="5" t="n">
        <v>3</v>
      </c>
      <c r="P588" s="0" t="n">
        <v>4.8</v>
      </c>
      <c r="Q588" s="0" t="s">
        <v>92</v>
      </c>
      <c r="R588" s="0" t="s">
        <v>52</v>
      </c>
      <c r="S588" s="0" t="s">
        <v>2335</v>
      </c>
      <c r="T588" s="0" t="s">
        <v>147</v>
      </c>
      <c r="U588" s="5" t="n">
        <v>38.9473684210526</v>
      </c>
      <c r="V588" s="0" t="s">
        <v>2352</v>
      </c>
      <c r="W588" s="0" t="s">
        <v>148</v>
      </c>
      <c r="X588" s="0" t="s">
        <v>98</v>
      </c>
      <c r="Y588" s="0" t="s">
        <v>58</v>
      </c>
      <c r="Z588" s="0" t="s">
        <v>59</v>
      </c>
      <c r="AA588" s="0" t="s">
        <v>2329</v>
      </c>
      <c r="AB588" s="5" t="n">
        <v>30000</v>
      </c>
      <c r="AC588" s="5" t="n">
        <v>30000</v>
      </c>
      <c r="AD588" s="0" t="s">
        <v>50</v>
      </c>
      <c r="AE588" s="5" t="n">
        <v>5000</v>
      </c>
      <c r="AF588" s="0" t="s">
        <v>60</v>
      </c>
      <c r="AG588" s="7" t="s">
        <v>421</v>
      </c>
      <c r="AH588" s="0" t="s">
        <v>63</v>
      </c>
      <c r="AI588" s="0" t="s">
        <v>171</v>
      </c>
      <c r="AJ588" s="0" t="s">
        <v>2320</v>
      </c>
      <c r="AK588" s="0" t="s">
        <v>2344</v>
      </c>
      <c r="AL588" s="0" t="s">
        <v>2344</v>
      </c>
      <c r="AM588" s="0" t="s">
        <v>2344</v>
      </c>
      <c r="AN588" s="0" t="s">
        <v>2321</v>
      </c>
      <c r="AO588" s="0" t="s">
        <v>50</v>
      </c>
    </row>
    <row r="589" customFormat="false" ht="15" hidden="false" customHeight="false" outlineLevel="0" collapsed="false">
      <c r="A589" s="0" t="s">
        <v>1458</v>
      </c>
      <c r="B589" s="2" t="s">
        <v>2427</v>
      </c>
      <c r="C589" s="0" t="s">
        <v>66</v>
      </c>
      <c r="D589" s="0" t="n">
        <v>8077051958</v>
      </c>
      <c r="E589" s="0" t="s">
        <v>122</v>
      </c>
      <c r="F589" s="0" t="s">
        <v>2316</v>
      </c>
      <c r="G589" s="0" t="s">
        <v>1459</v>
      </c>
      <c r="H589" s="0" t="s">
        <v>45</v>
      </c>
      <c r="I589" s="3" t="s">
        <v>2325</v>
      </c>
      <c r="J589" s="0" t="s">
        <v>2341</v>
      </c>
      <c r="K589" s="0" t="s">
        <v>90</v>
      </c>
      <c r="L589" s="4" t="n">
        <v>69370</v>
      </c>
      <c r="M589" s="0" t="s">
        <v>2333</v>
      </c>
      <c r="N589" s="0" t="s">
        <v>63</v>
      </c>
      <c r="O589" s="5" t="n">
        <v>3</v>
      </c>
      <c r="P589" s="0" t="n">
        <v>3.2</v>
      </c>
      <c r="Q589" s="0" t="s">
        <v>2334</v>
      </c>
      <c r="R589" s="0" t="s">
        <v>93</v>
      </c>
      <c r="S589" s="0" t="s">
        <v>2340</v>
      </c>
      <c r="T589" s="0" t="s">
        <v>2343</v>
      </c>
      <c r="U589" s="5" t="n">
        <v>45</v>
      </c>
      <c r="V589" s="0" t="s">
        <v>2352</v>
      </c>
      <c r="W589" s="0" t="s">
        <v>2328</v>
      </c>
      <c r="X589" s="0" t="s">
        <v>98</v>
      </c>
      <c r="Y589" s="0" t="s">
        <v>114</v>
      </c>
      <c r="Z589" s="0" t="s">
        <v>59</v>
      </c>
      <c r="AA589" s="0" t="s">
        <v>79</v>
      </c>
      <c r="AB589" s="5" t="n">
        <v>15000</v>
      </c>
      <c r="AC589" s="5" t="n">
        <v>30000</v>
      </c>
      <c r="AD589" s="0" t="s">
        <v>50</v>
      </c>
      <c r="AE589" s="5" t="n">
        <v>10000</v>
      </c>
      <c r="AF589" s="0" t="s">
        <v>130</v>
      </c>
      <c r="AG589" s="7" t="s">
        <v>2501</v>
      </c>
      <c r="AH589" s="0" t="s">
        <v>50</v>
      </c>
      <c r="AI589" s="0" t="s">
        <v>2331</v>
      </c>
      <c r="AJ589" s="0" t="s">
        <v>117</v>
      </c>
      <c r="AK589" s="0" t="s">
        <v>63</v>
      </c>
      <c r="AL589" s="0" t="s">
        <v>50</v>
      </c>
      <c r="AM589" s="0" t="s">
        <v>2344</v>
      </c>
      <c r="AN589" s="0" t="s">
        <v>2318</v>
      </c>
      <c r="AO589" s="0" t="s">
        <v>50</v>
      </c>
    </row>
    <row r="590" customFormat="false" ht="15" hidden="false" customHeight="false" outlineLevel="0" collapsed="false">
      <c r="A590" s="0" t="s">
        <v>1461</v>
      </c>
      <c r="B590" s="2" t="s">
        <v>1460</v>
      </c>
      <c r="C590" s="0" t="s">
        <v>66</v>
      </c>
      <c r="D590" s="0" t="n">
        <v>8023665188</v>
      </c>
      <c r="E590" s="0" t="s">
        <v>67</v>
      </c>
      <c r="F590" s="0" t="s">
        <v>2316</v>
      </c>
      <c r="G590" s="0" t="s">
        <v>1462</v>
      </c>
      <c r="H590" s="0" t="s">
        <v>45</v>
      </c>
      <c r="I590" s="3" t="s">
        <v>2317</v>
      </c>
      <c r="J590" s="0" t="s">
        <v>2341</v>
      </c>
      <c r="K590" s="0" t="s">
        <v>90</v>
      </c>
      <c r="L590" s="4" t="n">
        <v>23325</v>
      </c>
      <c r="M590" s="0" t="s">
        <v>49</v>
      </c>
      <c r="N590" s="0" t="s">
        <v>63</v>
      </c>
      <c r="O590" s="5" t="n">
        <v>3.10714285714286</v>
      </c>
      <c r="P590" s="0" t="n">
        <v>5.1</v>
      </c>
      <c r="Q590" s="0" t="s">
        <v>2334</v>
      </c>
      <c r="R590" s="0" t="s">
        <v>73</v>
      </c>
      <c r="S590" s="0" t="s">
        <v>53</v>
      </c>
      <c r="T590" s="0" t="s">
        <v>2353</v>
      </c>
      <c r="U590" s="5" t="n">
        <v>39.0476190476191</v>
      </c>
      <c r="V590" s="0" t="s">
        <v>96</v>
      </c>
      <c r="W590" s="0" t="s">
        <v>155</v>
      </c>
      <c r="X590" s="0" t="s">
        <v>98</v>
      </c>
      <c r="Y590" s="0" t="s">
        <v>196</v>
      </c>
      <c r="Z590" s="0" t="s">
        <v>177</v>
      </c>
      <c r="AA590" s="0" t="s">
        <v>149</v>
      </c>
      <c r="AB590" s="5" t="n">
        <v>25000</v>
      </c>
      <c r="AC590" s="5" t="n">
        <v>30000</v>
      </c>
      <c r="AD590" s="0" t="s">
        <v>63</v>
      </c>
      <c r="AE590" s="5" t="n">
        <v>10000</v>
      </c>
      <c r="AF590" s="0" t="s">
        <v>130</v>
      </c>
      <c r="AG590" s="7" t="s">
        <v>2330</v>
      </c>
      <c r="AH590" s="0" t="s">
        <v>50</v>
      </c>
      <c r="AI590" s="0" t="s">
        <v>116</v>
      </c>
      <c r="AJ590" s="0" t="s">
        <v>2331</v>
      </c>
      <c r="AK590" s="0" t="s">
        <v>63</v>
      </c>
      <c r="AL590" s="0" t="s">
        <v>50</v>
      </c>
      <c r="AM590" s="0" t="s">
        <v>2344</v>
      </c>
      <c r="AN590" s="0" t="s">
        <v>2321</v>
      </c>
      <c r="AO590" s="0" t="s">
        <v>2359</v>
      </c>
    </row>
    <row r="591" customFormat="false" ht="15" hidden="false" customHeight="false" outlineLevel="0" collapsed="false">
      <c r="A591" s="0" t="s">
        <v>1463</v>
      </c>
      <c r="B591" s="2" t="s">
        <v>2488</v>
      </c>
      <c r="C591" s="0" t="s">
        <v>121</v>
      </c>
      <c r="D591" s="0" t="n">
        <v>8081965066</v>
      </c>
      <c r="E591" s="0" t="s">
        <v>122</v>
      </c>
      <c r="F591" s="0" t="s">
        <v>2316</v>
      </c>
      <c r="G591" s="0" t="s">
        <v>1464</v>
      </c>
      <c r="H591" s="0" t="s">
        <v>87</v>
      </c>
      <c r="I591" s="3" t="s">
        <v>2325</v>
      </c>
      <c r="J591" s="0" t="s">
        <v>2349</v>
      </c>
      <c r="K591" s="0" t="s">
        <v>71</v>
      </c>
      <c r="L591" s="4" t="n">
        <v>42309</v>
      </c>
      <c r="M591" s="0" t="s">
        <v>110</v>
      </c>
      <c r="N591" s="0" t="s">
        <v>63</v>
      </c>
      <c r="O591" s="5" t="n">
        <v>3.10714285714286</v>
      </c>
      <c r="P591" s="0" t="n">
        <v>1.5</v>
      </c>
      <c r="Q591" s="0" t="s">
        <v>92</v>
      </c>
      <c r="R591" s="0" t="s">
        <v>93</v>
      </c>
      <c r="S591" s="0" t="s">
        <v>53</v>
      </c>
      <c r="T591" s="0" t="s">
        <v>95</v>
      </c>
      <c r="U591" s="5" t="n">
        <v>30</v>
      </c>
      <c r="V591" s="0" t="s">
        <v>96</v>
      </c>
      <c r="W591" s="0" t="s">
        <v>155</v>
      </c>
      <c r="X591" s="0" t="s">
        <v>78</v>
      </c>
      <c r="Y591" s="0" t="s">
        <v>196</v>
      </c>
      <c r="Z591" s="0" t="s">
        <v>59</v>
      </c>
      <c r="AA591" s="0" t="s">
        <v>2329</v>
      </c>
      <c r="AB591" s="5" t="n">
        <v>25000</v>
      </c>
      <c r="AC591" s="5" t="n">
        <v>31580.4597701149</v>
      </c>
      <c r="AD591" s="0" t="s">
        <v>63</v>
      </c>
      <c r="AE591" s="5" t="n">
        <v>0</v>
      </c>
      <c r="AF591" s="0" t="s">
        <v>2338</v>
      </c>
      <c r="AG591" s="7" t="s">
        <v>2330</v>
      </c>
      <c r="AH591" s="0" t="s">
        <v>2329</v>
      </c>
      <c r="AI591" s="0" t="s">
        <v>2331</v>
      </c>
      <c r="AJ591" s="0" t="s">
        <v>2320</v>
      </c>
      <c r="AK591" s="0" t="s">
        <v>50</v>
      </c>
      <c r="AL591" s="0" t="s">
        <v>50</v>
      </c>
      <c r="AM591" s="0" t="s">
        <v>63</v>
      </c>
      <c r="AN591" s="0" t="s">
        <v>2318</v>
      </c>
      <c r="AO591" s="0" t="s">
        <v>2359</v>
      </c>
    </row>
    <row r="592" customFormat="false" ht="15" hidden="false" customHeight="false" outlineLevel="0" collapsed="false">
      <c r="A592" s="0" t="s">
        <v>1465</v>
      </c>
      <c r="B592" s="2" t="s">
        <v>316</v>
      </c>
      <c r="C592" s="0" t="s">
        <v>42</v>
      </c>
      <c r="D592" s="0" t="n">
        <v>8086397410</v>
      </c>
      <c r="E592" s="0" t="s">
        <v>122</v>
      </c>
      <c r="F592" s="0" t="s">
        <v>2316</v>
      </c>
      <c r="G592" s="0" t="s">
        <v>1466</v>
      </c>
      <c r="H592" s="0" t="s">
        <v>107</v>
      </c>
      <c r="I592" s="3" t="s">
        <v>2325</v>
      </c>
      <c r="J592" s="0" t="s">
        <v>47</v>
      </c>
      <c r="K592" s="0" t="s">
        <v>48</v>
      </c>
      <c r="L592" s="4" t="n">
        <v>17062</v>
      </c>
      <c r="M592" s="0" t="s">
        <v>49</v>
      </c>
      <c r="N592" s="0" t="s">
        <v>63</v>
      </c>
      <c r="O592" s="5" t="n">
        <v>5</v>
      </c>
      <c r="P592" s="0" t="n">
        <v>4.6</v>
      </c>
      <c r="Q592" s="0" t="s">
        <v>92</v>
      </c>
      <c r="R592" s="0" t="s">
        <v>73</v>
      </c>
      <c r="S592" s="0" t="s">
        <v>2340</v>
      </c>
      <c r="T592" s="0" t="s">
        <v>147</v>
      </c>
      <c r="U592" s="5" t="n">
        <v>60</v>
      </c>
      <c r="V592" s="0" t="s">
        <v>96</v>
      </c>
      <c r="W592" s="0" t="s">
        <v>155</v>
      </c>
      <c r="X592" s="0" t="s">
        <v>98</v>
      </c>
      <c r="Y592" s="0" t="s">
        <v>99</v>
      </c>
      <c r="Z592" s="0" t="s">
        <v>2329</v>
      </c>
      <c r="AA592" s="0" t="s">
        <v>149</v>
      </c>
      <c r="AB592" s="5" t="n">
        <v>26100</v>
      </c>
      <c r="AC592" s="5" t="n">
        <v>30000</v>
      </c>
      <c r="AD592" s="0" t="s">
        <v>63</v>
      </c>
      <c r="AE592" s="5" t="n">
        <v>5000</v>
      </c>
      <c r="AF592" s="0" t="s">
        <v>130</v>
      </c>
      <c r="AG592" s="7" t="s">
        <v>1467</v>
      </c>
      <c r="AH592" s="0" t="s">
        <v>63</v>
      </c>
      <c r="AI592" s="0" t="s">
        <v>2331</v>
      </c>
      <c r="AJ592" s="0" t="s">
        <v>2331</v>
      </c>
      <c r="AK592" s="0" t="s">
        <v>50</v>
      </c>
      <c r="AL592" s="0" t="s">
        <v>63</v>
      </c>
      <c r="AM592" s="0" t="s">
        <v>63</v>
      </c>
      <c r="AN592" s="0" t="s">
        <v>2318</v>
      </c>
      <c r="AO592" s="0" t="s">
        <v>50</v>
      </c>
    </row>
    <row r="593" customFormat="false" ht="15" hidden="false" customHeight="false" outlineLevel="0" collapsed="false">
      <c r="A593" s="0" t="s">
        <v>1468</v>
      </c>
      <c r="B593" s="2" t="s">
        <v>2484</v>
      </c>
      <c r="C593" s="0" t="s">
        <v>105</v>
      </c>
      <c r="D593" s="0" t="n">
        <v>8033012852</v>
      </c>
      <c r="E593" s="0" t="s">
        <v>122</v>
      </c>
      <c r="F593" s="0" t="s">
        <v>2316</v>
      </c>
      <c r="G593" s="0" t="s">
        <v>1469</v>
      </c>
      <c r="H593" s="0" t="s">
        <v>45</v>
      </c>
      <c r="I593" s="3" t="s">
        <v>2317</v>
      </c>
      <c r="J593" s="0" t="s">
        <v>2341</v>
      </c>
      <c r="K593" s="0" t="s">
        <v>90</v>
      </c>
      <c r="L593" s="4" t="n">
        <v>70548</v>
      </c>
      <c r="M593" s="0" t="s">
        <v>2333</v>
      </c>
      <c r="N593" s="0" t="s">
        <v>50</v>
      </c>
      <c r="O593" s="5" t="n">
        <v>4</v>
      </c>
      <c r="P593" s="0" t="n">
        <v>4</v>
      </c>
      <c r="Q593" s="0" t="s">
        <v>125</v>
      </c>
      <c r="R593" s="0" t="s">
        <v>52</v>
      </c>
      <c r="S593" s="0" t="s">
        <v>2340</v>
      </c>
      <c r="T593" s="0" t="s">
        <v>54</v>
      </c>
      <c r="U593" s="5" t="n">
        <v>15</v>
      </c>
      <c r="V593" s="0" t="s">
        <v>2336</v>
      </c>
      <c r="W593" s="0" t="s">
        <v>155</v>
      </c>
      <c r="X593" s="0" t="s">
        <v>98</v>
      </c>
      <c r="Y593" s="0" t="s">
        <v>58</v>
      </c>
      <c r="Z593" s="0" t="s">
        <v>2324</v>
      </c>
      <c r="AA593" s="0" t="s">
        <v>143</v>
      </c>
      <c r="AB593" s="5" t="n">
        <v>20000</v>
      </c>
      <c r="AC593" s="5" t="n">
        <v>40000</v>
      </c>
      <c r="AD593" s="0" t="s">
        <v>50</v>
      </c>
      <c r="AE593" s="5" t="n">
        <v>5000</v>
      </c>
      <c r="AF593" s="0" t="s">
        <v>184</v>
      </c>
      <c r="AG593" s="7" t="s">
        <v>2330</v>
      </c>
      <c r="AH593" s="0" t="s">
        <v>63</v>
      </c>
      <c r="AI593" s="0" t="s">
        <v>171</v>
      </c>
      <c r="AJ593" s="0" t="s">
        <v>2331</v>
      </c>
      <c r="AK593" s="0" t="s">
        <v>50</v>
      </c>
      <c r="AL593" s="0" t="s">
        <v>50</v>
      </c>
      <c r="AM593" s="0" t="s">
        <v>2344</v>
      </c>
      <c r="AN593" s="0" t="s">
        <v>2321</v>
      </c>
      <c r="AO593" s="0" t="s">
        <v>63</v>
      </c>
    </row>
    <row r="594" customFormat="false" ht="15" hidden="false" customHeight="false" outlineLevel="0" collapsed="false">
      <c r="A594" s="0" t="s">
        <v>1470</v>
      </c>
      <c r="B594" s="2" t="s">
        <v>2418</v>
      </c>
      <c r="C594" s="0" t="s">
        <v>105</v>
      </c>
      <c r="D594" s="0" t="n">
        <v>8043814834</v>
      </c>
      <c r="E594" s="0" t="s">
        <v>43</v>
      </c>
      <c r="F594" s="0" t="s">
        <v>2315</v>
      </c>
      <c r="G594" s="0" t="s">
        <v>1471</v>
      </c>
      <c r="H594" s="0" t="s">
        <v>87</v>
      </c>
      <c r="I594" s="3" t="s">
        <v>87</v>
      </c>
      <c r="J594" s="0" t="s">
        <v>47</v>
      </c>
      <c r="K594" s="0" t="s">
        <v>90</v>
      </c>
      <c r="L594" s="4" t="n">
        <v>103404</v>
      </c>
      <c r="M594" s="0" t="s">
        <v>49</v>
      </c>
      <c r="N594" s="0" t="s">
        <v>50</v>
      </c>
      <c r="O594" s="5" t="n">
        <v>2</v>
      </c>
      <c r="P594" s="0" t="n">
        <v>4.1</v>
      </c>
      <c r="Q594" s="0" t="s">
        <v>125</v>
      </c>
      <c r="R594" s="0" t="s">
        <v>52</v>
      </c>
      <c r="S594" s="0" t="s">
        <v>2335</v>
      </c>
      <c r="T594" s="0" t="s">
        <v>75</v>
      </c>
      <c r="U594" s="5" t="n">
        <v>30</v>
      </c>
      <c r="V594" s="0" t="s">
        <v>55</v>
      </c>
      <c r="W594" s="0" t="s">
        <v>2337</v>
      </c>
      <c r="X594" s="0" t="s">
        <v>128</v>
      </c>
      <c r="Y594" s="0" t="s">
        <v>114</v>
      </c>
      <c r="Z594" s="0" t="s">
        <v>2326</v>
      </c>
      <c r="AA594" s="0" t="s">
        <v>161</v>
      </c>
      <c r="AB594" s="5" t="n">
        <v>20000</v>
      </c>
      <c r="AC594" s="5" t="n">
        <v>30000</v>
      </c>
      <c r="AD594" s="0" t="s">
        <v>63</v>
      </c>
      <c r="AE594" s="5" t="n">
        <v>10000</v>
      </c>
      <c r="AF594" s="0" t="s">
        <v>184</v>
      </c>
      <c r="AG594" s="7" t="s">
        <v>2360</v>
      </c>
      <c r="AH594" s="0" t="s">
        <v>50</v>
      </c>
      <c r="AI594" s="0" t="s">
        <v>116</v>
      </c>
      <c r="AJ594" s="0" t="s">
        <v>2331</v>
      </c>
      <c r="AK594" s="0" t="s">
        <v>63</v>
      </c>
      <c r="AL594" s="0" t="s">
        <v>2344</v>
      </c>
      <c r="AM594" s="0" t="s">
        <v>2344</v>
      </c>
      <c r="AN594" s="0" t="s">
        <v>2321</v>
      </c>
      <c r="AO594" s="0" t="s">
        <v>63</v>
      </c>
    </row>
    <row r="595" customFormat="false" ht="15" hidden="false" customHeight="false" outlineLevel="0" collapsed="false">
      <c r="A595" s="0" t="s">
        <v>1472</v>
      </c>
      <c r="B595" s="2" t="s">
        <v>953</v>
      </c>
      <c r="C595" s="0" t="s">
        <v>163</v>
      </c>
      <c r="D595" s="0" t="n">
        <v>8022716400</v>
      </c>
      <c r="E595" s="0" t="s">
        <v>67</v>
      </c>
      <c r="F595" s="0" t="s">
        <v>2316</v>
      </c>
      <c r="G595" s="0" t="s">
        <v>1473</v>
      </c>
      <c r="H595" s="0" t="s">
        <v>107</v>
      </c>
      <c r="I595" s="3" t="s">
        <v>2342</v>
      </c>
      <c r="J595" s="0" t="s">
        <v>2341</v>
      </c>
      <c r="K595" s="0" t="s">
        <v>109</v>
      </c>
      <c r="L595" s="4" t="n">
        <v>40040</v>
      </c>
      <c r="M595" s="0" t="s">
        <v>2333</v>
      </c>
      <c r="N595" s="0" t="s">
        <v>63</v>
      </c>
      <c r="O595" s="5" t="n">
        <v>4</v>
      </c>
      <c r="P595" s="0" t="n">
        <v>1.6</v>
      </c>
      <c r="Q595" s="0" t="s">
        <v>125</v>
      </c>
      <c r="R595" s="0" t="s">
        <v>73</v>
      </c>
      <c r="S595" s="0" t="s">
        <v>53</v>
      </c>
      <c r="T595" s="0" t="s">
        <v>54</v>
      </c>
      <c r="U595" s="5" t="n">
        <v>60</v>
      </c>
      <c r="V595" s="0" t="s">
        <v>2336</v>
      </c>
      <c r="W595" s="0" t="s">
        <v>155</v>
      </c>
      <c r="X595" s="0" t="s">
        <v>98</v>
      </c>
      <c r="Y595" s="0" t="s">
        <v>99</v>
      </c>
      <c r="Z595" s="0" t="s">
        <v>2329</v>
      </c>
      <c r="AA595" s="0" t="s">
        <v>149</v>
      </c>
      <c r="AB595" s="5" t="n">
        <v>20000</v>
      </c>
      <c r="AC595" s="5" t="n">
        <v>20000</v>
      </c>
      <c r="AD595" s="0" t="s">
        <v>50</v>
      </c>
      <c r="AE595" s="5" t="n">
        <v>10000</v>
      </c>
      <c r="AF595" s="0" t="s">
        <v>184</v>
      </c>
      <c r="AG595" s="7" t="s">
        <v>2042</v>
      </c>
      <c r="AH595" s="0" t="s">
        <v>50</v>
      </c>
      <c r="AI595" s="0" t="s">
        <v>171</v>
      </c>
      <c r="AJ595" s="0" t="s">
        <v>2331</v>
      </c>
      <c r="AK595" s="0" t="s">
        <v>2344</v>
      </c>
      <c r="AL595" s="0" t="s">
        <v>63</v>
      </c>
      <c r="AM595" s="0" t="s">
        <v>63</v>
      </c>
      <c r="AN595" s="0" t="s">
        <v>2321</v>
      </c>
      <c r="AO595" s="0" t="s">
        <v>63</v>
      </c>
    </row>
    <row r="596" customFormat="false" ht="15" hidden="false" customHeight="false" outlineLevel="0" collapsed="false">
      <c r="A596" s="0" t="s">
        <v>1475</v>
      </c>
      <c r="B596" s="2" t="s">
        <v>1474</v>
      </c>
      <c r="C596" s="0" t="s">
        <v>121</v>
      </c>
      <c r="D596" s="0" t="n">
        <v>8090512805</v>
      </c>
      <c r="E596" s="0" t="s">
        <v>43</v>
      </c>
      <c r="F596" s="0" t="s">
        <v>2315</v>
      </c>
      <c r="G596" s="0" t="s">
        <v>1476</v>
      </c>
      <c r="H596" s="0" t="s">
        <v>45</v>
      </c>
      <c r="I596" s="3" t="s">
        <v>2325</v>
      </c>
      <c r="J596" s="0" t="s">
        <v>189</v>
      </c>
      <c r="K596" s="0" t="s">
        <v>71</v>
      </c>
      <c r="L596" s="4" t="n">
        <v>53534</v>
      </c>
      <c r="M596" s="0" t="s">
        <v>49</v>
      </c>
      <c r="N596" s="0" t="s">
        <v>63</v>
      </c>
      <c r="O596" s="5" t="n">
        <v>2</v>
      </c>
      <c r="P596" s="0" t="n">
        <v>5.8</v>
      </c>
      <c r="Q596" s="0" t="s">
        <v>51</v>
      </c>
      <c r="R596" s="0" t="s">
        <v>73</v>
      </c>
      <c r="S596" s="0" t="s">
        <v>53</v>
      </c>
      <c r="T596" s="0" t="s">
        <v>95</v>
      </c>
      <c r="U596" s="5" t="n">
        <v>15</v>
      </c>
      <c r="V596" s="0" t="s">
        <v>55</v>
      </c>
      <c r="W596" s="0" t="s">
        <v>148</v>
      </c>
      <c r="X596" s="0" t="s">
        <v>98</v>
      </c>
      <c r="Y596" s="0" t="s">
        <v>58</v>
      </c>
      <c r="Z596" s="0" t="s">
        <v>2326</v>
      </c>
      <c r="AA596" s="0" t="s">
        <v>143</v>
      </c>
      <c r="AB596" s="5" t="n">
        <v>30000</v>
      </c>
      <c r="AC596" s="5" t="n">
        <v>40000</v>
      </c>
      <c r="AD596" s="0" t="s">
        <v>50</v>
      </c>
      <c r="AE596" s="5" t="n">
        <v>5000</v>
      </c>
      <c r="AF596" s="0" t="s">
        <v>60</v>
      </c>
      <c r="AG596" s="7" t="s">
        <v>2330</v>
      </c>
      <c r="AH596" s="0" t="s">
        <v>63</v>
      </c>
      <c r="AI596" s="0" t="s">
        <v>2331</v>
      </c>
      <c r="AJ596" s="0" t="s">
        <v>117</v>
      </c>
      <c r="AK596" s="0" t="s">
        <v>50</v>
      </c>
      <c r="AL596" s="0" t="s">
        <v>63</v>
      </c>
      <c r="AM596" s="0" t="s">
        <v>50</v>
      </c>
      <c r="AN596" s="0" t="s">
        <v>2321</v>
      </c>
      <c r="AO596" s="0" t="s">
        <v>63</v>
      </c>
    </row>
    <row r="597" customFormat="false" ht="15" hidden="false" customHeight="false" outlineLevel="0" collapsed="false">
      <c r="A597" s="0" t="s">
        <v>1477</v>
      </c>
      <c r="B597" s="2" t="s">
        <v>2332</v>
      </c>
      <c r="C597" s="0" t="s">
        <v>42</v>
      </c>
      <c r="D597" s="0" t="n">
        <v>8053534095</v>
      </c>
      <c r="E597" s="0" t="s">
        <v>139</v>
      </c>
      <c r="F597" s="0" t="s">
        <v>2323</v>
      </c>
      <c r="G597" s="0" t="s">
        <v>1478</v>
      </c>
      <c r="H597" s="0" t="s">
        <v>134</v>
      </c>
      <c r="I597" s="3" t="s">
        <v>2322</v>
      </c>
      <c r="J597" s="0" t="s">
        <v>2349</v>
      </c>
      <c r="K597" s="0" t="s">
        <v>90</v>
      </c>
      <c r="L597" s="4" t="n">
        <v>20447</v>
      </c>
      <c r="M597" s="0" t="s">
        <v>49</v>
      </c>
      <c r="N597" s="0" t="s">
        <v>50</v>
      </c>
      <c r="O597" s="5" t="n">
        <v>4</v>
      </c>
      <c r="P597" s="0" t="n">
        <v>2</v>
      </c>
      <c r="Q597" s="0" t="s">
        <v>92</v>
      </c>
      <c r="R597" s="0" t="s">
        <v>93</v>
      </c>
      <c r="S597" s="0" t="s">
        <v>2340</v>
      </c>
      <c r="T597" s="0" t="s">
        <v>2353</v>
      </c>
      <c r="U597" s="5" t="n">
        <v>15</v>
      </c>
      <c r="V597" s="0" t="s">
        <v>112</v>
      </c>
      <c r="W597" s="0" t="s">
        <v>155</v>
      </c>
      <c r="X597" s="0" t="s">
        <v>98</v>
      </c>
      <c r="Y597" s="0" t="s">
        <v>196</v>
      </c>
      <c r="Z597" s="0" t="s">
        <v>2326</v>
      </c>
      <c r="AA597" s="0" t="s">
        <v>79</v>
      </c>
      <c r="AB597" s="5" t="n">
        <v>25000</v>
      </c>
      <c r="AC597" s="5" t="n">
        <v>30000</v>
      </c>
      <c r="AD597" s="0" t="s">
        <v>63</v>
      </c>
      <c r="AE597" s="5" t="n">
        <v>5000</v>
      </c>
      <c r="AF597" s="0" t="s">
        <v>184</v>
      </c>
      <c r="AG597" s="7" t="s">
        <v>2455</v>
      </c>
      <c r="AH597" s="0" t="s">
        <v>50</v>
      </c>
      <c r="AI597" s="0" t="s">
        <v>171</v>
      </c>
      <c r="AJ597" s="0" t="s">
        <v>172</v>
      </c>
      <c r="AK597" s="0" t="s">
        <v>50</v>
      </c>
      <c r="AL597" s="0" t="s">
        <v>50</v>
      </c>
      <c r="AM597" s="0" t="s">
        <v>63</v>
      </c>
      <c r="AN597" s="0" t="s">
        <v>2321</v>
      </c>
      <c r="AO597" s="0" t="s">
        <v>63</v>
      </c>
    </row>
    <row r="598" customFormat="false" ht="15" hidden="false" customHeight="false" outlineLevel="0" collapsed="false">
      <c r="A598" s="0" t="s">
        <v>1479</v>
      </c>
      <c r="B598" s="2" t="s">
        <v>2504</v>
      </c>
      <c r="C598" s="0" t="s">
        <v>66</v>
      </c>
      <c r="D598" s="0" t="n">
        <v>8094674464</v>
      </c>
      <c r="E598" s="0" t="s">
        <v>43</v>
      </c>
      <c r="F598" s="0" t="s">
        <v>2315</v>
      </c>
      <c r="G598" s="0" t="s">
        <v>1480</v>
      </c>
      <c r="H598" s="0" t="s">
        <v>45</v>
      </c>
      <c r="I598" s="3" t="s">
        <v>2317</v>
      </c>
      <c r="J598" s="0" t="s">
        <v>2341</v>
      </c>
      <c r="K598" s="0" t="s">
        <v>109</v>
      </c>
      <c r="L598" s="4" t="n">
        <v>16265</v>
      </c>
      <c r="M598" s="0" t="s">
        <v>2333</v>
      </c>
      <c r="N598" s="0" t="s">
        <v>63</v>
      </c>
      <c r="O598" s="5" t="n">
        <v>3.1</v>
      </c>
      <c r="P598" s="0" t="n">
        <v>5.1</v>
      </c>
      <c r="Q598" s="0" t="s">
        <v>111</v>
      </c>
      <c r="R598" s="0" t="s">
        <v>93</v>
      </c>
      <c r="S598" s="0" t="s">
        <v>2340</v>
      </c>
      <c r="T598" s="0" t="s">
        <v>2343</v>
      </c>
      <c r="U598" s="5" t="n">
        <v>45</v>
      </c>
      <c r="V598" s="0" t="s">
        <v>55</v>
      </c>
      <c r="W598" s="0" t="s">
        <v>2328</v>
      </c>
      <c r="X598" s="0" t="s">
        <v>128</v>
      </c>
      <c r="Y598" s="0" t="s">
        <v>114</v>
      </c>
      <c r="Z598" s="0" t="s">
        <v>2324</v>
      </c>
      <c r="AA598" s="0" t="s">
        <v>79</v>
      </c>
      <c r="AB598" s="5" t="n">
        <v>20000</v>
      </c>
      <c r="AC598" s="5" t="n">
        <v>30000</v>
      </c>
      <c r="AD598" s="0" t="s">
        <v>63</v>
      </c>
      <c r="AE598" s="5" t="n">
        <v>5000</v>
      </c>
      <c r="AF598" s="0" t="s">
        <v>60</v>
      </c>
      <c r="AG598" s="7" t="s">
        <v>2330</v>
      </c>
      <c r="AH598" s="0" t="s">
        <v>50</v>
      </c>
      <c r="AI598" s="0" t="s">
        <v>116</v>
      </c>
      <c r="AJ598" s="0" t="s">
        <v>2331</v>
      </c>
      <c r="AK598" s="0" t="s">
        <v>50</v>
      </c>
      <c r="AL598" s="0" t="s">
        <v>50</v>
      </c>
      <c r="AM598" s="0" t="s">
        <v>50</v>
      </c>
      <c r="AN598" s="0" t="s">
        <v>2321</v>
      </c>
      <c r="AO598" s="0" t="s">
        <v>50</v>
      </c>
    </row>
    <row r="599" customFormat="false" ht="15" hidden="false" customHeight="false" outlineLevel="0" collapsed="false">
      <c r="A599" s="0" t="s">
        <v>1481</v>
      </c>
      <c r="B599" s="2" t="s">
        <v>2440</v>
      </c>
      <c r="C599" s="0" t="s">
        <v>66</v>
      </c>
      <c r="D599" s="0" t="n">
        <v>8062152370</v>
      </c>
      <c r="E599" s="0" t="s">
        <v>85</v>
      </c>
      <c r="F599" s="0" t="s">
        <v>2319</v>
      </c>
      <c r="G599" s="0" t="s">
        <v>1482</v>
      </c>
      <c r="H599" s="0" t="s">
        <v>45</v>
      </c>
      <c r="I599" s="3" t="s">
        <v>2342</v>
      </c>
      <c r="J599" s="0" t="s">
        <v>2347</v>
      </c>
      <c r="K599" s="0" t="s">
        <v>71</v>
      </c>
      <c r="L599" s="4" t="n">
        <v>116561</v>
      </c>
      <c r="M599" s="0" t="s">
        <v>49</v>
      </c>
      <c r="N599" s="0" t="s">
        <v>50</v>
      </c>
      <c r="O599" s="5" t="n">
        <v>3.1</v>
      </c>
      <c r="P599" s="0" t="n">
        <v>5.4</v>
      </c>
      <c r="Q599" s="0" t="s">
        <v>2334</v>
      </c>
      <c r="R599" s="0" t="s">
        <v>52</v>
      </c>
      <c r="S599" s="0" t="s">
        <v>2340</v>
      </c>
      <c r="T599" s="0" t="s">
        <v>54</v>
      </c>
      <c r="U599" s="5" t="n">
        <v>38.9473684210526</v>
      </c>
      <c r="V599" s="0" t="s">
        <v>112</v>
      </c>
      <c r="W599" s="0" t="s">
        <v>2337</v>
      </c>
      <c r="X599" s="0" t="s">
        <v>78</v>
      </c>
      <c r="Y599" s="0" t="s">
        <v>99</v>
      </c>
      <c r="Z599" s="0" t="s">
        <v>2329</v>
      </c>
      <c r="AA599" s="0" t="s">
        <v>149</v>
      </c>
      <c r="AB599" s="5" t="n">
        <v>30000</v>
      </c>
      <c r="AC599" s="5" t="n">
        <v>20000</v>
      </c>
      <c r="AD599" s="0" t="s">
        <v>63</v>
      </c>
      <c r="AE599" s="5" t="n">
        <v>10000</v>
      </c>
      <c r="AF599" s="0" t="s">
        <v>184</v>
      </c>
      <c r="AG599" s="7" t="s">
        <v>2330</v>
      </c>
      <c r="AH599" s="0" t="s">
        <v>50</v>
      </c>
      <c r="AI599" s="0" t="s">
        <v>2331</v>
      </c>
      <c r="AJ599" s="0" t="s">
        <v>2331</v>
      </c>
      <c r="AK599" s="0" t="s">
        <v>2344</v>
      </c>
      <c r="AL599" s="0" t="s">
        <v>63</v>
      </c>
      <c r="AM599" s="0" t="s">
        <v>63</v>
      </c>
      <c r="AN599" s="0" t="s">
        <v>2321</v>
      </c>
      <c r="AO599" s="0" t="s">
        <v>2359</v>
      </c>
    </row>
    <row r="600" customFormat="false" ht="15" hidden="false" customHeight="false" outlineLevel="0" collapsed="false">
      <c r="A600" s="0" t="s">
        <v>1484</v>
      </c>
      <c r="B600" s="2" t="s">
        <v>1483</v>
      </c>
      <c r="C600" s="0" t="s">
        <v>105</v>
      </c>
      <c r="D600" s="0" t="n">
        <v>8027841755</v>
      </c>
      <c r="E600" s="0" t="s">
        <v>122</v>
      </c>
      <c r="F600" s="0" t="s">
        <v>2316</v>
      </c>
      <c r="G600" s="0" t="s">
        <v>1485</v>
      </c>
      <c r="H600" s="0" t="s">
        <v>87</v>
      </c>
      <c r="I600" s="3" t="s">
        <v>2317</v>
      </c>
      <c r="J600" s="0" t="s">
        <v>2349</v>
      </c>
      <c r="K600" s="0" t="s">
        <v>90</v>
      </c>
      <c r="L600" s="4" t="n">
        <v>47712</v>
      </c>
      <c r="M600" s="0" t="s">
        <v>49</v>
      </c>
      <c r="N600" s="0" t="s">
        <v>63</v>
      </c>
      <c r="O600" s="5" t="n">
        <v>2</v>
      </c>
      <c r="P600" s="0" t="n">
        <v>5.8</v>
      </c>
      <c r="Q600" s="0" t="s">
        <v>111</v>
      </c>
      <c r="R600" s="0" t="s">
        <v>73</v>
      </c>
      <c r="S600" s="0" t="s">
        <v>53</v>
      </c>
      <c r="T600" s="0" t="s">
        <v>75</v>
      </c>
      <c r="U600" s="5" t="n">
        <v>45</v>
      </c>
      <c r="V600" s="0" t="s">
        <v>2352</v>
      </c>
      <c r="W600" s="0" t="s">
        <v>148</v>
      </c>
      <c r="X600" s="0" t="s">
        <v>128</v>
      </c>
      <c r="Y600" s="0" t="s">
        <v>99</v>
      </c>
      <c r="Z600" s="0" t="s">
        <v>2329</v>
      </c>
      <c r="AA600" s="0" t="s">
        <v>2329</v>
      </c>
      <c r="AB600" s="5" t="n">
        <v>40000</v>
      </c>
      <c r="AC600" s="5" t="n">
        <v>31617.6470588235</v>
      </c>
      <c r="AD600" s="0" t="s">
        <v>50</v>
      </c>
      <c r="AE600" s="5" t="n">
        <v>0</v>
      </c>
      <c r="AF600" s="0" t="s">
        <v>60</v>
      </c>
      <c r="AG600" s="7" t="s">
        <v>1486</v>
      </c>
      <c r="AH600" s="0" t="s">
        <v>50</v>
      </c>
      <c r="AI600" s="0" t="s">
        <v>171</v>
      </c>
      <c r="AJ600" s="0" t="s">
        <v>172</v>
      </c>
      <c r="AK600" s="0" t="s">
        <v>63</v>
      </c>
      <c r="AL600" s="0" t="s">
        <v>2344</v>
      </c>
      <c r="AM600" s="0" t="s">
        <v>2344</v>
      </c>
      <c r="AN600" s="0" t="s">
        <v>64</v>
      </c>
      <c r="AO600" s="0" t="s">
        <v>50</v>
      </c>
    </row>
    <row r="601" customFormat="false" ht="15" hidden="false" customHeight="false" outlineLevel="0" collapsed="false">
      <c r="A601" s="0" t="s">
        <v>1487</v>
      </c>
      <c r="B601" s="2" t="s">
        <v>438</v>
      </c>
      <c r="C601" s="0" t="s">
        <v>105</v>
      </c>
      <c r="D601" s="0" t="n">
        <v>8054566533</v>
      </c>
      <c r="E601" s="0" t="s">
        <v>139</v>
      </c>
      <c r="F601" s="0" t="s">
        <v>2323</v>
      </c>
      <c r="G601" s="0" t="s">
        <v>1488</v>
      </c>
      <c r="H601" s="0" t="s">
        <v>87</v>
      </c>
      <c r="I601" s="3" t="s">
        <v>2325</v>
      </c>
      <c r="J601" s="0" t="s">
        <v>189</v>
      </c>
      <c r="K601" s="0" t="s">
        <v>109</v>
      </c>
      <c r="L601" s="4" t="n">
        <v>57332</v>
      </c>
      <c r="M601" s="0" t="s">
        <v>2333</v>
      </c>
      <c r="N601" s="0" t="s">
        <v>50</v>
      </c>
      <c r="O601" s="5" t="n">
        <v>3.10334346504559</v>
      </c>
      <c r="P601" s="0" t="n">
        <v>1.9</v>
      </c>
      <c r="Q601" s="0" t="s">
        <v>51</v>
      </c>
      <c r="R601" s="0" t="s">
        <v>52</v>
      </c>
      <c r="S601" s="0" t="s">
        <v>2340</v>
      </c>
      <c r="T601" s="0" t="s">
        <v>75</v>
      </c>
      <c r="U601" s="5" t="n">
        <v>60</v>
      </c>
      <c r="V601" s="0" t="s">
        <v>96</v>
      </c>
      <c r="W601" s="0" t="s">
        <v>155</v>
      </c>
      <c r="X601" s="0" t="s">
        <v>78</v>
      </c>
      <c r="Y601" s="0" t="s">
        <v>114</v>
      </c>
      <c r="Z601" s="0" t="s">
        <v>177</v>
      </c>
      <c r="AA601" s="0" t="s">
        <v>143</v>
      </c>
      <c r="AB601" s="5" t="n">
        <v>15000</v>
      </c>
      <c r="AC601" s="5" t="n">
        <v>30000</v>
      </c>
      <c r="AD601" s="0" t="s">
        <v>63</v>
      </c>
      <c r="AE601" s="5" t="n">
        <v>0</v>
      </c>
      <c r="AF601" s="0" t="s">
        <v>2338</v>
      </c>
      <c r="AG601" s="7" t="s">
        <v>771</v>
      </c>
      <c r="AH601" s="0" t="s">
        <v>63</v>
      </c>
      <c r="AI601" s="0" t="s">
        <v>2331</v>
      </c>
      <c r="AJ601" s="0" t="s">
        <v>2331</v>
      </c>
      <c r="AK601" s="0" t="s">
        <v>50</v>
      </c>
      <c r="AL601" s="0" t="s">
        <v>63</v>
      </c>
      <c r="AM601" s="0" t="s">
        <v>63</v>
      </c>
      <c r="AN601" s="0" t="s">
        <v>2321</v>
      </c>
      <c r="AO601" s="0" t="s">
        <v>63</v>
      </c>
    </row>
    <row r="602" customFormat="false" ht="15" hidden="false" customHeight="false" outlineLevel="0" collapsed="false">
      <c r="A602" s="0" t="s">
        <v>1489</v>
      </c>
      <c r="B602" s="2" t="s">
        <v>2444</v>
      </c>
      <c r="C602" s="0" t="s">
        <v>121</v>
      </c>
      <c r="D602" s="0" t="n">
        <v>8033532534</v>
      </c>
      <c r="E602" s="0" t="s">
        <v>67</v>
      </c>
      <c r="F602" s="0" t="s">
        <v>2316</v>
      </c>
      <c r="G602" s="0" t="s">
        <v>1490</v>
      </c>
      <c r="H602" s="0" t="s">
        <v>69</v>
      </c>
      <c r="I602" s="3" t="s">
        <v>2325</v>
      </c>
      <c r="J602" s="0" t="s">
        <v>189</v>
      </c>
      <c r="K602" s="0" t="s">
        <v>48</v>
      </c>
      <c r="L602" s="4" t="n">
        <v>79559</v>
      </c>
      <c r="M602" s="0" t="s">
        <v>110</v>
      </c>
      <c r="N602" s="0" t="s">
        <v>63</v>
      </c>
      <c r="O602" s="5" t="n">
        <v>4</v>
      </c>
      <c r="P602" s="0" t="n">
        <v>1.6</v>
      </c>
      <c r="Q602" s="0" t="s">
        <v>2334</v>
      </c>
      <c r="R602" s="0" t="s">
        <v>93</v>
      </c>
      <c r="S602" s="0" t="s">
        <v>2340</v>
      </c>
      <c r="T602" s="0" t="s">
        <v>95</v>
      </c>
      <c r="U602" s="5" t="n">
        <v>15</v>
      </c>
      <c r="V602" s="0" t="s">
        <v>112</v>
      </c>
      <c r="W602" s="0" t="s">
        <v>155</v>
      </c>
      <c r="X602" s="0" t="s">
        <v>98</v>
      </c>
      <c r="Y602" s="0" t="s">
        <v>58</v>
      </c>
      <c r="Z602" s="0" t="s">
        <v>2324</v>
      </c>
      <c r="AA602" s="0" t="s">
        <v>79</v>
      </c>
      <c r="AB602" s="5" t="n">
        <v>40000</v>
      </c>
      <c r="AC602" s="5" t="n">
        <v>30000</v>
      </c>
      <c r="AD602" s="0" t="s">
        <v>63</v>
      </c>
      <c r="AE602" s="5" t="n">
        <v>0</v>
      </c>
      <c r="AF602" s="0" t="s">
        <v>2338</v>
      </c>
      <c r="AG602" s="7" t="s">
        <v>1491</v>
      </c>
      <c r="AH602" s="0" t="s">
        <v>63</v>
      </c>
      <c r="AI602" s="0" t="s">
        <v>116</v>
      </c>
      <c r="AJ602" s="0" t="s">
        <v>2331</v>
      </c>
      <c r="AK602" s="0" t="s">
        <v>50</v>
      </c>
      <c r="AL602" s="0" t="s">
        <v>50</v>
      </c>
      <c r="AM602" s="0" t="s">
        <v>63</v>
      </c>
      <c r="AN602" s="0" t="s">
        <v>2321</v>
      </c>
      <c r="AO602" s="0" t="s">
        <v>50</v>
      </c>
    </row>
    <row r="603" customFormat="false" ht="15" hidden="false" customHeight="false" outlineLevel="0" collapsed="false">
      <c r="A603" s="0" t="s">
        <v>1492</v>
      </c>
      <c r="B603" s="2" t="s">
        <v>1113</v>
      </c>
      <c r="C603" s="0" t="s">
        <v>42</v>
      </c>
      <c r="D603" s="0" t="n">
        <v>8095275696</v>
      </c>
      <c r="E603" s="0" t="s">
        <v>43</v>
      </c>
      <c r="F603" s="0" t="s">
        <v>2315</v>
      </c>
      <c r="G603" s="0" t="s">
        <v>1493</v>
      </c>
      <c r="H603" s="0" t="s">
        <v>107</v>
      </c>
      <c r="I603" s="3" t="s">
        <v>2317</v>
      </c>
      <c r="J603" s="0" t="s">
        <v>2347</v>
      </c>
      <c r="K603" s="0" t="s">
        <v>48</v>
      </c>
      <c r="L603" s="4" t="n">
        <v>46116</v>
      </c>
      <c r="M603" s="0" t="s">
        <v>49</v>
      </c>
      <c r="N603" s="0" t="s">
        <v>50</v>
      </c>
      <c r="O603" s="5" t="n">
        <v>2</v>
      </c>
      <c r="P603" s="0" t="n">
        <v>1.7</v>
      </c>
      <c r="Q603" s="0" t="s">
        <v>125</v>
      </c>
      <c r="R603" s="0" t="s">
        <v>93</v>
      </c>
      <c r="S603" s="0" t="s">
        <v>2335</v>
      </c>
      <c r="T603" s="0" t="s">
        <v>2343</v>
      </c>
      <c r="U603" s="5" t="n">
        <v>45</v>
      </c>
      <c r="V603" s="0" t="s">
        <v>96</v>
      </c>
      <c r="W603" s="0" t="s">
        <v>148</v>
      </c>
      <c r="X603" s="0" t="s">
        <v>98</v>
      </c>
      <c r="Y603" s="0" t="s">
        <v>99</v>
      </c>
      <c r="Z603" s="0" t="s">
        <v>2329</v>
      </c>
      <c r="AA603" s="0" t="s">
        <v>79</v>
      </c>
      <c r="AB603" s="5" t="n">
        <v>25000</v>
      </c>
      <c r="AC603" s="5" t="n">
        <v>31627.2189349112</v>
      </c>
      <c r="AD603" s="0" t="s">
        <v>50</v>
      </c>
      <c r="AE603" s="5" t="n">
        <v>5000</v>
      </c>
      <c r="AF603" s="0" t="s">
        <v>184</v>
      </c>
      <c r="AG603" s="7" t="s">
        <v>298</v>
      </c>
      <c r="AH603" s="0" t="s">
        <v>63</v>
      </c>
      <c r="AI603" s="0" t="s">
        <v>171</v>
      </c>
      <c r="AJ603" s="0" t="s">
        <v>172</v>
      </c>
      <c r="AK603" s="0" t="s">
        <v>50</v>
      </c>
      <c r="AL603" s="0" t="s">
        <v>63</v>
      </c>
      <c r="AM603" s="0" t="s">
        <v>63</v>
      </c>
      <c r="AN603" s="0" t="s">
        <v>2318</v>
      </c>
      <c r="AO603" s="0" t="s">
        <v>50</v>
      </c>
    </row>
    <row r="604" customFormat="false" ht="15" hidden="false" customHeight="false" outlineLevel="0" collapsed="false">
      <c r="A604" s="0" t="s">
        <v>1494</v>
      </c>
      <c r="B604" s="2" t="s">
        <v>316</v>
      </c>
      <c r="C604" s="0" t="s">
        <v>42</v>
      </c>
      <c r="D604" s="0" t="n">
        <v>8052676804</v>
      </c>
      <c r="E604" s="0" t="s">
        <v>139</v>
      </c>
      <c r="F604" s="0" t="s">
        <v>2323</v>
      </c>
      <c r="G604" s="0" t="s">
        <v>1495</v>
      </c>
      <c r="H604" s="0" t="s">
        <v>134</v>
      </c>
      <c r="I604" s="3" t="s">
        <v>2325</v>
      </c>
      <c r="J604" s="0" t="s">
        <v>2349</v>
      </c>
      <c r="K604" s="0" t="s">
        <v>90</v>
      </c>
      <c r="L604" s="4" t="n">
        <v>74491</v>
      </c>
      <c r="M604" s="0" t="s">
        <v>2333</v>
      </c>
      <c r="N604" s="0" t="s">
        <v>63</v>
      </c>
      <c r="O604" s="5" t="n">
        <v>5</v>
      </c>
      <c r="P604" s="0" t="n">
        <v>2.3</v>
      </c>
      <c r="Q604" s="0" t="s">
        <v>51</v>
      </c>
      <c r="R604" s="0" t="s">
        <v>93</v>
      </c>
      <c r="S604" s="0" t="s">
        <v>2366</v>
      </c>
      <c r="T604" s="0" t="s">
        <v>95</v>
      </c>
      <c r="U604" s="5" t="n">
        <v>38.1147540983607</v>
      </c>
      <c r="V604" s="0" t="s">
        <v>112</v>
      </c>
      <c r="W604" s="0" t="s">
        <v>148</v>
      </c>
      <c r="X604" s="0" t="s">
        <v>98</v>
      </c>
      <c r="Y604" s="0" t="s">
        <v>196</v>
      </c>
      <c r="Z604" s="0" t="s">
        <v>2324</v>
      </c>
      <c r="AA604" s="0" t="s">
        <v>149</v>
      </c>
      <c r="AB604" s="5" t="n">
        <v>25000</v>
      </c>
      <c r="AC604" s="5" t="n">
        <v>30000</v>
      </c>
      <c r="AD604" s="0" t="s">
        <v>63</v>
      </c>
      <c r="AE604" s="5" t="n">
        <v>5000</v>
      </c>
      <c r="AF604" s="0" t="s">
        <v>130</v>
      </c>
      <c r="AG604" s="7" t="s">
        <v>2395</v>
      </c>
      <c r="AH604" s="0" t="s">
        <v>2329</v>
      </c>
      <c r="AI604" s="0" t="s">
        <v>2331</v>
      </c>
      <c r="AJ604" s="0" t="s">
        <v>172</v>
      </c>
      <c r="AK604" s="0" t="s">
        <v>63</v>
      </c>
      <c r="AL604" s="0" t="s">
        <v>63</v>
      </c>
      <c r="AM604" s="0" t="s">
        <v>63</v>
      </c>
      <c r="AN604" s="0" t="s">
        <v>2318</v>
      </c>
      <c r="AO604" s="0" t="s">
        <v>50</v>
      </c>
    </row>
    <row r="605" customFormat="false" ht="15" hidden="false" customHeight="false" outlineLevel="0" collapsed="false">
      <c r="A605" s="0" t="s">
        <v>1496</v>
      </c>
      <c r="B605" s="2" t="s">
        <v>2402</v>
      </c>
      <c r="C605" s="0" t="s">
        <v>163</v>
      </c>
      <c r="D605" s="0" t="n">
        <v>8099438746</v>
      </c>
      <c r="E605" s="0" t="s">
        <v>43</v>
      </c>
      <c r="F605" s="0" t="s">
        <v>2315</v>
      </c>
      <c r="G605" s="0" t="s">
        <v>1497</v>
      </c>
      <c r="H605" s="0" t="s">
        <v>87</v>
      </c>
      <c r="I605" s="3" t="s">
        <v>2322</v>
      </c>
      <c r="J605" s="0" t="s">
        <v>47</v>
      </c>
      <c r="K605" s="0" t="s">
        <v>90</v>
      </c>
      <c r="L605" s="4" t="n">
        <v>49352</v>
      </c>
      <c r="M605" s="0" t="s">
        <v>49</v>
      </c>
      <c r="N605" s="0" t="s">
        <v>50</v>
      </c>
      <c r="O605" s="5" t="n">
        <v>3.09815950920245</v>
      </c>
      <c r="P605" s="0" t="n">
        <v>1.8</v>
      </c>
      <c r="Q605" s="0" t="s">
        <v>51</v>
      </c>
      <c r="R605" s="0" t="s">
        <v>73</v>
      </c>
      <c r="S605" s="0" t="s">
        <v>53</v>
      </c>
      <c r="T605" s="0" t="s">
        <v>75</v>
      </c>
      <c r="U605" s="5" t="n">
        <v>15</v>
      </c>
      <c r="V605" s="0" t="s">
        <v>112</v>
      </c>
      <c r="W605" s="0" t="s">
        <v>155</v>
      </c>
      <c r="X605" s="0" t="s">
        <v>128</v>
      </c>
      <c r="Y605" s="0" t="s">
        <v>99</v>
      </c>
      <c r="Z605" s="0" t="s">
        <v>2326</v>
      </c>
      <c r="AA605" s="0" t="s">
        <v>2329</v>
      </c>
      <c r="AB605" s="5" t="n">
        <v>15000</v>
      </c>
      <c r="AC605" s="5" t="n">
        <v>35000</v>
      </c>
      <c r="AD605" s="0" t="s">
        <v>63</v>
      </c>
      <c r="AE605" s="5" t="n">
        <v>5000</v>
      </c>
      <c r="AF605" s="0" t="s">
        <v>2338</v>
      </c>
      <c r="AG605" s="7" t="s">
        <v>556</v>
      </c>
      <c r="AH605" s="0" t="s">
        <v>2329</v>
      </c>
      <c r="AI605" s="0" t="s">
        <v>2331</v>
      </c>
      <c r="AJ605" s="0" t="s">
        <v>117</v>
      </c>
      <c r="AK605" s="0" t="s">
        <v>50</v>
      </c>
      <c r="AL605" s="0" t="s">
        <v>63</v>
      </c>
      <c r="AM605" s="0" t="s">
        <v>2344</v>
      </c>
      <c r="AN605" s="0" t="s">
        <v>2321</v>
      </c>
      <c r="AO605" s="0" t="s">
        <v>50</v>
      </c>
    </row>
    <row r="606" customFormat="false" ht="15" hidden="false" customHeight="false" outlineLevel="0" collapsed="false">
      <c r="A606" s="0" t="s">
        <v>1498</v>
      </c>
      <c r="B606" s="2" t="s">
        <v>918</v>
      </c>
      <c r="C606" s="0" t="s">
        <v>66</v>
      </c>
      <c r="D606" s="0" t="n">
        <v>8074710444</v>
      </c>
      <c r="E606" s="0" t="s">
        <v>43</v>
      </c>
      <c r="F606" s="0" t="s">
        <v>2315</v>
      </c>
      <c r="G606" s="0" t="s">
        <v>1499</v>
      </c>
      <c r="H606" s="0" t="s">
        <v>69</v>
      </c>
      <c r="I606" s="3" t="s">
        <v>2325</v>
      </c>
      <c r="J606" s="0" t="s">
        <v>2347</v>
      </c>
      <c r="K606" s="0" t="s">
        <v>48</v>
      </c>
      <c r="L606" s="4" t="n">
        <v>36148</v>
      </c>
      <c r="M606" s="0" t="s">
        <v>49</v>
      </c>
      <c r="N606" s="0" t="s">
        <v>63</v>
      </c>
      <c r="O606" s="5" t="n">
        <v>3</v>
      </c>
      <c r="P606" s="0" t="n">
        <v>1.2</v>
      </c>
      <c r="Q606" s="0" t="s">
        <v>92</v>
      </c>
      <c r="R606" s="0" t="s">
        <v>93</v>
      </c>
      <c r="S606" s="0" t="s">
        <v>2340</v>
      </c>
      <c r="T606" s="0" t="s">
        <v>2343</v>
      </c>
      <c r="U606" s="5" t="n">
        <v>60</v>
      </c>
      <c r="V606" s="0" t="s">
        <v>2352</v>
      </c>
      <c r="W606" s="0" t="s">
        <v>2328</v>
      </c>
      <c r="X606" s="0" t="s">
        <v>128</v>
      </c>
      <c r="Y606" s="0" t="s">
        <v>99</v>
      </c>
      <c r="Z606" s="0" t="s">
        <v>2326</v>
      </c>
      <c r="AA606" s="0" t="s">
        <v>2329</v>
      </c>
      <c r="AB606" s="5" t="n">
        <v>25000</v>
      </c>
      <c r="AC606" s="5" t="n">
        <v>30000</v>
      </c>
      <c r="AD606" s="0" t="s">
        <v>63</v>
      </c>
      <c r="AE606" s="5" t="n">
        <v>5000</v>
      </c>
      <c r="AF606" s="0" t="s">
        <v>2338</v>
      </c>
      <c r="AG606" s="7" t="s">
        <v>1197</v>
      </c>
      <c r="AH606" s="0" t="s">
        <v>50</v>
      </c>
      <c r="AI606" s="0" t="s">
        <v>2331</v>
      </c>
      <c r="AJ606" s="0" t="s">
        <v>172</v>
      </c>
      <c r="AK606" s="0" t="s">
        <v>50</v>
      </c>
      <c r="AL606" s="0" t="s">
        <v>63</v>
      </c>
      <c r="AM606" s="0" t="s">
        <v>50</v>
      </c>
      <c r="AN606" s="0" t="s">
        <v>2321</v>
      </c>
      <c r="AO606" s="0" t="s">
        <v>50</v>
      </c>
    </row>
    <row r="607" customFormat="false" ht="15" hidden="false" customHeight="false" outlineLevel="0" collapsed="false">
      <c r="A607" s="0" t="s">
        <v>1500</v>
      </c>
      <c r="B607" s="2" t="s">
        <v>652</v>
      </c>
      <c r="C607" s="0" t="s">
        <v>42</v>
      </c>
      <c r="D607" s="0" t="n">
        <v>8019061506</v>
      </c>
      <c r="E607" s="0" t="s">
        <v>43</v>
      </c>
      <c r="F607" s="0" t="s">
        <v>2315</v>
      </c>
      <c r="G607" s="0" t="s">
        <v>1501</v>
      </c>
      <c r="H607" s="0" t="s">
        <v>107</v>
      </c>
      <c r="I607" s="3" t="s">
        <v>2342</v>
      </c>
      <c r="J607" s="0" t="s">
        <v>2339</v>
      </c>
      <c r="K607" s="0" t="s">
        <v>71</v>
      </c>
      <c r="L607" s="4" t="n">
        <v>114992</v>
      </c>
      <c r="M607" s="0" t="s">
        <v>2333</v>
      </c>
      <c r="N607" s="0" t="s">
        <v>63</v>
      </c>
      <c r="O607" s="5" t="n">
        <v>3.09846153846154</v>
      </c>
      <c r="P607" s="0" t="n">
        <v>2.3</v>
      </c>
      <c r="Q607" s="0" t="s">
        <v>51</v>
      </c>
      <c r="R607" s="0" t="s">
        <v>52</v>
      </c>
      <c r="S607" s="0" t="s">
        <v>2366</v>
      </c>
      <c r="T607" s="0" t="s">
        <v>54</v>
      </c>
      <c r="U607" s="5" t="n">
        <v>45</v>
      </c>
      <c r="V607" s="0" t="s">
        <v>55</v>
      </c>
      <c r="W607" s="0" t="s">
        <v>2337</v>
      </c>
      <c r="X607" s="0" t="s">
        <v>128</v>
      </c>
      <c r="Y607" s="0" t="s">
        <v>196</v>
      </c>
      <c r="Z607" s="0" t="s">
        <v>2329</v>
      </c>
      <c r="AA607" s="0" t="s">
        <v>143</v>
      </c>
      <c r="AB607" s="5" t="n">
        <v>40000</v>
      </c>
      <c r="AC607" s="5" t="n">
        <v>20000</v>
      </c>
      <c r="AD607" s="0" t="s">
        <v>50</v>
      </c>
      <c r="AE607" s="5" t="n">
        <v>10000</v>
      </c>
      <c r="AF607" s="0" t="s">
        <v>60</v>
      </c>
      <c r="AG607" s="7" t="s">
        <v>474</v>
      </c>
      <c r="AH607" s="0" t="s">
        <v>63</v>
      </c>
      <c r="AI607" s="0" t="s">
        <v>2331</v>
      </c>
      <c r="AJ607" s="0" t="s">
        <v>2331</v>
      </c>
      <c r="AK607" s="0" t="s">
        <v>50</v>
      </c>
      <c r="AL607" s="0" t="s">
        <v>63</v>
      </c>
      <c r="AM607" s="0" t="s">
        <v>2344</v>
      </c>
      <c r="AN607" s="0" t="s">
        <v>2318</v>
      </c>
      <c r="AO607" s="0" t="s">
        <v>50</v>
      </c>
    </row>
    <row r="608" customFormat="false" ht="15" hidden="false" customHeight="false" outlineLevel="0" collapsed="false">
      <c r="A608" s="0" t="s">
        <v>1502</v>
      </c>
      <c r="B608" s="2" t="s">
        <v>2387</v>
      </c>
      <c r="C608" s="0" t="s">
        <v>42</v>
      </c>
      <c r="D608" s="0" t="n">
        <v>8054977061</v>
      </c>
      <c r="E608" s="0" t="s">
        <v>122</v>
      </c>
      <c r="F608" s="0" t="s">
        <v>2316</v>
      </c>
      <c r="G608" s="0" t="s">
        <v>1503</v>
      </c>
      <c r="H608" s="0" t="s">
        <v>45</v>
      </c>
      <c r="I608" s="3" t="s">
        <v>2317</v>
      </c>
      <c r="J608" s="0" t="s">
        <v>2349</v>
      </c>
      <c r="K608" s="0" t="s">
        <v>90</v>
      </c>
      <c r="L608" s="4" t="n">
        <v>62509</v>
      </c>
      <c r="M608" s="0" t="s">
        <v>110</v>
      </c>
      <c r="N608" s="0" t="s">
        <v>63</v>
      </c>
      <c r="O608" s="5" t="n">
        <v>2</v>
      </c>
      <c r="P608" s="0" t="n">
        <v>4.3</v>
      </c>
      <c r="Q608" s="0" t="s">
        <v>92</v>
      </c>
      <c r="R608" s="0" t="s">
        <v>52</v>
      </c>
      <c r="S608" s="0" t="s">
        <v>2366</v>
      </c>
      <c r="T608" s="0" t="s">
        <v>54</v>
      </c>
      <c r="U608" s="5" t="n">
        <v>30</v>
      </c>
      <c r="V608" s="0" t="s">
        <v>2352</v>
      </c>
      <c r="W608" s="0" t="s">
        <v>2337</v>
      </c>
      <c r="X608" s="0" t="s">
        <v>128</v>
      </c>
      <c r="Y608" s="0" t="s">
        <v>58</v>
      </c>
      <c r="Z608" s="0" t="s">
        <v>2329</v>
      </c>
      <c r="AA608" s="0" t="s">
        <v>143</v>
      </c>
      <c r="AB608" s="5" t="n">
        <v>26000</v>
      </c>
      <c r="AC608" s="5" t="n">
        <v>40000</v>
      </c>
      <c r="AD608" s="0" t="s">
        <v>63</v>
      </c>
      <c r="AE608" s="5" t="n">
        <v>10000</v>
      </c>
      <c r="AF608" s="0" t="s">
        <v>60</v>
      </c>
      <c r="AG608" s="7" t="s">
        <v>2330</v>
      </c>
      <c r="AH608" s="0" t="s">
        <v>50</v>
      </c>
      <c r="AI608" s="0" t="s">
        <v>2331</v>
      </c>
      <c r="AJ608" s="0" t="s">
        <v>2331</v>
      </c>
      <c r="AK608" s="0" t="s">
        <v>63</v>
      </c>
      <c r="AL608" s="0" t="s">
        <v>63</v>
      </c>
      <c r="AM608" s="0" t="s">
        <v>63</v>
      </c>
      <c r="AN608" s="0" t="s">
        <v>2318</v>
      </c>
      <c r="AO608" s="0" t="s">
        <v>63</v>
      </c>
    </row>
    <row r="609" customFormat="false" ht="15" hidden="false" customHeight="false" outlineLevel="0" collapsed="false">
      <c r="A609" s="0" t="s">
        <v>1505</v>
      </c>
      <c r="B609" s="2" t="s">
        <v>1504</v>
      </c>
      <c r="C609" s="0" t="s">
        <v>121</v>
      </c>
      <c r="D609" s="0" t="n">
        <v>8012368781</v>
      </c>
      <c r="E609" s="0" t="s">
        <v>122</v>
      </c>
      <c r="F609" s="0" t="s">
        <v>2316</v>
      </c>
      <c r="G609" s="0" t="s">
        <v>1336</v>
      </c>
      <c r="H609" s="0" t="s">
        <v>107</v>
      </c>
      <c r="I609" s="3" t="s">
        <v>2317</v>
      </c>
      <c r="J609" s="0" t="s">
        <v>2341</v>
      </c>
      <c r="K609" s="0" t="s">
        <v>109</v>
      </c>
      <c r="L609" s="4" t="n">
        <v>32935</v>
      </c>
      <c r="M609" s="0" t="s">
        <v>49</v>
      </c>
      <c r="N609" s="0" t="s">
        <v>50</v>
      </c>
      <c r="O609" s="5" t="n">
        <v>1</v>
      </c>
      <c r="P609" s="0" t="n">
        <v>1.9</v>
      </c>
      <c r="Q609" s="0" t="s">
        <v>51</v>
      </c>
      <c r="R609" s="0" t="s">
        <v>93</v>
      </c>
      <c r="S609" s="0" t="s">
        <v>2340</v>
      </c>
      <c r="T609" s="0" t="s">
        <v>75</v>
      </c>
      <c r="U609" s="5" t="n">
        <v>30</v>
      </c>
      <c r="V609" s="0" t="s">
        <v>112</v>
      </c>
      <c r="W609" s="0" t="s">
        <v>155</v>
      </c>
      <c r="X609" s="0" t="s">
        <v>128</v>
      </c>
      <c r="Y609" s="0" t="s">
        <v>196</v>
      </c>
      <c r="Z609" s="0" t="s">
        <v>177</v>
      </c>
      <c r="AA609" s="0" t="s">
        <v>2329</v>
      </c>
      <c r="AB609" s="5" t="n">
        <v>30000</v>
      </c>
      <c r="AC609" s="5" t="n">
        <v>20000</v>
      </c>
      <c r="AD609" s="0" t="s">
        <v>50</v>
      </c>
      <c r="AE609" s="5" t="n">
        <v>10000</v>
      </c>
      <c r="AF609" s="0" t="s">
        <v>60</v>
      </c>
      <c r="AG609" s="7" t="s">
        <v>431</v>
      </c>
      <c r="AH609" s="0" t="s">
        <v>50</v>
      </c>
      <c r="AI609" s="0" t="s">
        <v>116</v>
      </c>
      <c r="AJ609" s="0" t="s">
        <v>117</v>
      </c>
      <c r="AK609" s="0" t="s">
        <v>63</v>
      </c>
      <c r="AL609" s="0" t="s">
        <v>63</v>
      </c>
      <c r="AM609" s="0" t="s">
        <v>63</v>
      </c>
      <c r="AN609" s="0" t="s">
        <v>2321</v>
      </c>
      <c r="AO609" s="0" t="s">
        <v>63</v>
      </c>
    </row>
    <row r="610" customFormat="false" ht="15" hidden="false" customHeight="false" outlineLevel="0" collapsed="false">
      <c r="A610" s="0" t="s">
        <v>1506</v>
      </c>
      <c r="B610" s="2" t="s">
        <v>489</v>
      </c>
      <c r="C610" s="0" t="s">
        <v>121</v>
      </c>
      <c r="D610" s="0" t="n">
        <v>8091675959</v>
      </c>
      <c r="E610" s="0" t="s">
        <v>122</v>
      </c>
      <c r="F610" s="0" t="s">
        <v>2316</v>
      </c>
      <c r="G610" s="0" t="s">
        <v>1507</v>
      </c>
      <c r="H610" s="0" t="s">
        <v>69</v>
      </c>
      <c r="I610" s="3" t="s">
        <v>2325</v>
      </c>
      <c r="J610" s="0" t="s">
        <v>189</v>
      </c>
      <c r="K610" s="0" t="s">
        <v>48</v>
      </c>
      <c r="L610" s="4" t="n">
        <v>24969</v>
      </c>
      <c r="M610" s="0" t="s">
        <v>110</v>
      </c>
      <c r="N610" s="0" t="s">
        <v>63</v>
      </c>
      <c r="O610" s="5" t="n">
        <v>4</v>
      </c>
      <c r="P610" s="0" t="n">
        <v>5.3</v>
      </c>
      <c r="Q610" s="0" t="s">
        <v>92</v>
      </c>
      <c r="R610" s="0" t="s">
        <v>52</v>
      </c>
      <c r="S610" s="0" t="s">
        <v>53</v>
      </c>
      <c r="T610" s="0" t="s">
        <v>54</v>
      </c>
      <c r="U610" s="5" t="n">
        <v>45</v>
      </c>
      <c r="V610" s="0" t="s">
        <v>2336</v>
      </c>
      <c r="W610" s="0" t="s">
        <v>2328</v>
      </c>
      <c r="X610" s="0" t="s">
        <v>98</v>
      </c>
      <c r="Y610" s="0" t="s">
        <v>196</v>
      </c>
      <c r="Z610" s="0" t="s">
        <v>2326</v>
      </c>
      <c r="AA610" s="0" t="s">
        <v>79</v>
      </c>
      <c r="AB610" s="5" t="n">
        <v>25000</v>
      </c>
      <c r="AC610" s="5" t="n">
        <v>30000</v>
      </c>
      <c r="AD610" s="0" t="s">
        <v>63</v>
      </c>
      <c r="AE610" s="5" t="n">
        <v>5000</v>
      </c>
      <c r="AF610" s="0" t="s">
        <v>184</v>
      </c>
      <c r="AG610" s="7" t="s">
        <v>556</v>
      </c>
      <c r="AH610" s="0" t="s">
        <v>63</v>
      </c>
      <c r="AI610" s="0" t="s">
        <v>2331</v>
      </c>
      <c r="AJ610" s="0" t="s">
        <v>2331</v>
      </c>
      <c r="AK610" s="0" t="s">
        <v>63</v>
      </c>
      <c r="AL610" s="0" t="s">
        <v>50</v>
      </c>
      <c r="AM610" s="0" t="s">
        <v>63</v>
      </c>
      <c r="AN610" s="0" t="s">
        <v>2318</v>
      </c>
      <c r="AO610" s="0" t="s">
        <v>50</v>
      </c>
    </row>
    <row r="611" customFormat="false" ht="15" hidden="false" customHeight="false" outlineLevel="0" collapsed="false">
      <c r="A611" s="0" t="s">
        <v>1508</v>
      </c>
      <c r="B611" s="2" t="s">
        <v>652</v>
      </c>
      <c r="C611" s="0" t="s">
        <v>163</v>
      </c>
      <c r="D611" s="0" t="n">
        <v>8088522325</v>
      </c>
      <c r="E611" s="0" t="s">
        <v>85</v>
      </c>
      <c r="F611" s="0" t="s">
        <v>2319</v>
      </c>
      <c r="G611" s="0" t="s">
        <v>1509</v>
      </c>
      <c r="H611" s="0" t="s">
        <v>69</v>
      </c>
      <c r="I611" s="3" t="s">
        <v>87</v>
      </c>
      <c r="J611" s="0" t="s">
        <v>2347</v>
      </c>
      <c r="K611" s="0" t="s">
        <v>48</v>
      </c>
      <c r="L611" s="4" t="n">
        <v>102283</v>
      </c>
      <c r="M611" s="0" t="s">
        <v>49</v>
      </c>
      <c r="N611" s="0" t="s">
        <v>50</v>
      </c>
      <c r="O611" s="5" t="n">
        <v>4</v>
      </c>
      <c r="P611" s="0" t="n">
        <v>5.5</v>
      </c>
      <c r="Q611" s="0" t="s">
        <v>51</v>
      </c>
      <c r="R611" s="0" t="s">
        <v>93</v>
      </c>
      <c r="S611" s="0" t="s">
        <v>2335</v>
      </c>
      <c r="T611" s="0" t="s">
        <v>75</v>
      </c>
      <c r="U611" s="5" t="n">
        <v>30</v>
      </c>
      <c r="V611" s="0" t="s">
        <v>112</v>
      </c>
      <c r="W611" s="0" t="s">
        <v>2328</v>
      </c>
      <c r="X611" s="0" t="s">
        <v>78</v>
      </c>
      <c r="Y611" s="0" t="s">
        <v>114</v>
      </c>
      <c r="Z611" s="0" t="s">
        <v>177</v>
      </c>
      <c r="AA611" s="0" t="s">
        <v>79</v>
      </c>
      <c r="AB611" s="5" t="n">
        <v>25000</v>
      </c>
      <c r="AC611" s="5" t="n">
        <v>30000</v>
      </c>
      <c r="AD611" s="0" t="s">
        <v>50</v>
      </c>
      <c r="AE611" s="5" t="n">
        <v>5000</v>
      </c>
      <c r="AF611" s="0" t="s">
        <v>2338</v>
      </c>
      <c r="AG611" s="7" t="s">
        <v>2330</v>
      </c>
      <c r="AH611" s="0" t="s">
        <v>50</v>
      </c>
      <c r="AI611" s="0" t="s">
        <v>2331</v>
      </c>
      <c r="AJ611" s="0" t="s">
        <v>172</v>
      </c>
      <c r="AK611" s="0" t="s">
        <v>63</v>
      </c>
      <c r="AL611" s="0" t="s">
        <v>63</v>
      </c>
      <c r="AM611" s="0" t="s">
        <v>2344</v>
      </c>
      <c r="AN611" s="0" t="s">
        <v>2321</v>
      </c>
      <c r="AO611" s="0" t="s">
        <v>63</v>
      </c>
    </row>
    <row r="612" customFormat="false" ht="15" hidden="false" customHeight="false" outlineLevel="0" collapsed="false">
      <c r="A612" s="0" t="s">
        <v>1510</v>
      </c>
      <c r="B612" s="2" t="s">
        <v>2451</v>
      </c>
      <c r="C612" s="0" t="s">
        <v>66</v>
      </c>
      <c r="D612" s="0" t="n">
        <v>8070251890</v>
      </c>
      <c r="E612" s="0" t="s">
        <v>67</v>
      </c>
      <c r="F612" s="0" t="s">
        <v>2316</v>
      </c>
      <c r="G612" s="0" t="s">
        <v>1511</v>
      </c>
      <c r="H612" s="0" t="s">
        <v>45</v>
      </c>
      <c r="I612" s="3" t="s">
        <v>2322</v>
      </c>
      <c r="J612" s="0" t="s">
        <v>2347</v>
      </c>
      <c r="K612" s="0" t="s">
        <v>109</v>
      </c>
      <c r="L612" s="4" t="n">
        <v>35762</v>
      </c>
      <c r="M612" s="0" t="s">
        <v>49</v>
      </c>
      <c r="N612" s="0" t="s">
        <v>50</v>
      </c>
      <c r="O612" s="5" t="n">
        <v>1</v>
      </c>
      <c r="P612" s="0" t="n">
        <v>4.1</v>
      </c>
      <c r="Q612" s="0" t="s">
        <v>51</v>
      </c>
      <c r="R612" s="0" t="s">
        <v>93</v>
      </c>
      <c r="S612" s="0" t="s">
        <v>2366</v>
      </c>
      <c r="T612" s="0" t="s">
        <v>95</v>
      </c>
      <c r="U612" s="5" t="n">
        <v>15</v>
      </c>
      <c r="V612" s="0" t="s">
        <v>2336</v>
      </c>
      <c r="W612" s="0" t="s">
        <v>155</v>
      </c>
      <c r="X612" s="0" t="s">
        <v>98</v>
      </c>
      <c r="Y612" s="0" t="s">
        <v>196</v>
      </c>
      <c r="Z612" s="0" t="s">
        <v>2324</v>
      </c>
      <c r="AA612" s="0" t="s">
        <v>79</v>
      </c>
      <c r="AB612" s="5" t="n">
        <v>27264.1509433962</v>
      </c>
      <c r="AC612" s="5" t="n">
        <v>40000</v>
      </c>
      <c r="AD612" s="0" t="s">
        <v>50</v>
      </c>
      <c r="AE612" s="5" t="n">
        <v>10000</v>
      </c>
      <c r="AF612" s="0" t="s">
        <v>2338</v>
      </c>
      <c r="AG612" s="7" t="s">
        <v>2509</v>
      </c>
      <c r="AH612" s="0" t="s">
        <v>50</v>
      </c>
      <c r="AI612" s="0" t="s">
        <v>2331</v>
      </c>
      <c r="AJ612" s="0" t="s">
        <v>117</v>
      </c>
      <c r="AK612" s="0" t="s">
        <v>63</v>
      </c>
      <c r="AL612" s="0" t="s">
        <v>2344</v>
      </c>
      <c r="AM612" s="0" t="s">
        <v>63</v>
      </c>
      <c r="AN612" s="0" t="s">
        <v>2318</v>
      </c>
      <c r="AO612" s="0" t="s">
        <v>50</v>
      </c>
    </row>
    <row r="613" customFormat="false" ht="15" hidden="false" customHeight="false" outlineLevel="0" collapsed="false">
      <c r="A613" s="0" t="s">
        <v>1512</v>
      </c>
      <c r="B613" s="2" t="s">
        <v>1050</v>
      </c>
      <c r="C613" s="0" t="s">
        <v>163</v>
      </c>
      <c r="D613" s="0" t="n">
        <v>8061321020</v>
      </c>
      <c r="E613" s="0" t="s">
        <v>43</v>
      </c>
      <c r="F613" s="0" t="s">
        <v>2315</v>
      </c>
      <c r="G613" s="0" t="s">
        <v>1513</v>
      </c>
      <c r="H613" s="0" t="s">
        <v>69</v>
      </c>
      <c r="I613" s="3" t="s">
        <v>87</v>
      </c>
      <c r="J613" s="0" t="s">
        <v>2349</v>
      </c>
      <c r="K613" s="0" t="s">
        <v>90</v>
      </c>
      <c r="L613" s="4" t="n">
        <v>13249</v>
      </c>
      <c r="M613" s="0" t="s">
        <v>2333</v>
      </c>
      <c r="N613" s="0" t="s">
        <v>50</v>
      </c>
      <c r="O613" s="5" t="n">
        <v>3</v>
      </c>
      <c r="P613" s="0" t="n">
        <v>4.6</v>
      </c>
      <c r="Q613" s="0" t="s">
        <v>111</v>
      </c>
      <c r="R613" s="0" t="s">
        <v>93</v>
      </c>
      <c r="S613" s="0" t="s">
        <v>2340</v>
      </c>
      <c r="T613" s="0" t="s">
        <v>147</v>
      </c>
      <c r="U613" s="5" t="n">
        <v>45</v>
      </c>
      <c r="V613" s="0" t="s">
        <v>96</v>
      </c>
      <c r="W613" s="0" t="s">
        <v>155</v>
      </c>
      <c r="X613" s="0" t="s">
        <v>98</v>
      </c>
      <c r="Y613" s="0" t="s">
        <v>196</v>
      </c>
      <c r="Z613" s="0" t="s">
        <v>2329</v>
      </c>
      <c r="AA613" s="0" t="s">
        <v>149</v>
      </c>
      <c r="AB613" s="5" t="n">
        <v>25000</v>
      </c>
      <c r="AC613" s="5" t="n">
        <v>31656.5349544073</v>
      </c>
      <c r="AD613" s="0" t="s">
        <v>63</v>
      </c>
      <c r="AE613" s="5" t="n">
        <v>5000</v>
      </c>
      <c r="AF613" s="0" t="s">
        <v>130</v>
      </c>
      <c r="AG613" s="7" t="s">
        <v>752</v>
      </c>
      <c r="AH613" s="0" t="s">
        <v>63</v>
      </c>
      <c r="AI613" s="0" t="s">
        <v>116</v>
      </c>
      <c r="AJ613" s="0" t="s">
        <v>2331</v>
      </c>
      <c r="AK613" s="0" t="s">
        <v>63</v>
      </c>
      <c r="AL613" s="0" t="s">
        <v>50</v>
      </c>
      <c r="AM613" s="0" t="s">
        <v>2344</v>
      </c>
      <c r="AN613" s="0" t="s">
        <v>2321</v>
      </c>
      <c r="AO613" s="0" t="s">
        <v>50</v>
      </c>
    </row>
    <row r="614" customFormat="false" ht="15" hidden="false" customHeight="false" outlineLevel="0" collapsed="false">
      <c r="A614" s="0" t="s">
        <v>1514</v>
      </c>
      <c r="B614" s="2" t="s">
        <v>2475</v>
      </c>
      <c r="C614" s="0" t="s">
        <v>121</v>
      </c>
      <c r="D614" s="0" t="n">
        <v>8078588767</v>
      </c>
      <c r="E614" s="0" t="s">
        <v>43</v>
      </c>
      <c r="F614" s="0" t="s">
        <v>2315</v>
      </c>
      <c r="G614" s="0" t="s">
        <v>1515</v>
      </c>
      <c r="H614" s="0" t="s">
        <v>107</v>
      </c>
      <c r="I614" s="3" t="s">
        <v>2322</v>
      </c>
      <c r="J614" s="0" t="s">
        <v>2349</v>
      </c>
      <c r="K614" s="0" t="s">
        <v>109</v>
      </c>
      <c r="L614" s="4" t="n">
        <v>12284</v>
      </c>
      <c r="M614" s="0" t="s">
        <v>110</v>
      </c>
      <c r="N614" s="0" t="s">
        <v>63</v>
      </c>
      <c r="O614" s="5" t="n">
        <v>3.10971786833856</v>
      </c>
      <c r="P614" s="0" t="n">
        <v>2.8</v>
      </c>
      <c r="Q614" s="0" t="s">
        <v>51</v>
      </c>
      <c r="R614" s="0" t="s">
        <v>52</v>
      </c>
      <c r="S614" s="0" t="s">
        <v>2366</v>
      </c>
      <c r="T614" s="0" t="s">
        <v>147</v>
      </c>
      <c r="U614" s="5" t="n">
        <v>45</v>
      </c>
      <c r="V614" s="0" t="s">
        <v>2352</v>
      </c>
      <c r="W614" s="0" t="s">
        <v>155</v>
      </c>
      <c r="X614" s="0" t="s">
        <v>128</v>
      </c>
      <c r="Y614" s="0" t="s">
        <v>99</v>
      </c>
      <c r="Z614" s="0" t="s">
        <v>2329</v>
      </c>
      <c r="AA614" s="0" t="s">
        <v>79</v>
      </c>
      <c r="AB614" s="5" t="n">
        <v>30000</v>
      </c>
      <c r="AC614" s="5" t="n">
        <v>30000</v>
      </c>
      <c r="AD614" s="0" t="s">
        <v>63</v>
      </c>
      <c r="AE614" s="5" t="n">
        <v>10000</v>
      </c>
      <c r="AF614" s="0" t="s">
        <v>60</v>
      </c>
      <c r="AG614" s="7" t="s">
        <v>718</v>
      </c>
      <c r="AH614" s="0" t="s">
        <v>2329</v>
      </c>
      <c r="AI614" s="0" t="s">
        <v>116</v>
      </c>
      <c r="AJ614" s="0" t="s">
        <v>2331</v>
      </c>
      <c r="AK614" s="0" t="s">
        <v>2344</v>
      </c>
      <c r="AL614" s="0" t="s">
        <v>63</v>
      </c>
      <c r="AM614" s="0" t="s">
        <v>2344</v>
      </c>
      <c r="AN614" s="0" t="s">
        <v>64</v>
      </c>
      <c r="AO614" s="0" t="s">
        <v>63</v>
      </c>
    </row>
    <row r="615" customFormat="false" ht="15" hidden="false" customHeight="false" outlineLevel="0" collapsed="false">
      <c r="A615" s="0" t="s">
        <v>1516</v>
      </c>
      <c r="B615" s="2" t="s">
        <v>791</v>
      </c>
      <c r="C615" s="0" t="s">
        <v>66</v>
      </c>
      <c r="D615" s="0" t="n">
        <v>8095978796</v>
      </c>
      <c r="E615" s="0" t="s">
        <v>43</v>
      </c>
      <c r="F615" s="0" t="s">
        <v>2315</v>
      </c>
      <c r="G615" s="0" t="s">
        <v>1517</v>
      </c>
      <c r="H615" s="0" t="s">
        <v>87</v>
      </c>
      <c r="I615" s="3" t="s">
        <v>87</v>
      </c>
      <c r="J615" s="0" t="s">
        <v>2347</v>
      </c>
      <c r="K615" s="0" t="s">
        <v>48</v>
      </c>
      <c r="L615" s="4" t="n">
        <v>84072</v>
      </c>
      <c r="M615" s="0" t="s">
        <v>110</v>
      </c>
      <c r="N615" s="0" t="s">
        <v>63</v>
      </c>
      <c r="O615" s="5" t="n">
        <v>3</v>
      </c>
      <c r="P615" s="0" t="n">
        <v>3.3</v>
      </c>
      <c r="Q615" s="0" t="s">
        <v>51</v>
      </c>
      <c r="R615" s="0" t="s">
        <v>73</v>
      </c>
      <c r="S615" s="0" t="s">
        <v>53</v>
      </c>
      <c r="T615" s="0" t="s">
        <v>2343</v>
      </c>
      <c r="U615" s="5" t="n">
        <v>15</v>
      </c>
      <c r="V615" s="0" t="s">
        <v>112</v>
      </c>
      <c r="W615" s="0" t="s">
        <v>2337</v>
      </c>
      <c r="X615" s="0" t="s">
        <v>98</v>
      </c>
      <c r="Y615" s="0" t="s">
        <v>114</v>
      </c>
      <c r="Z615" s="0" t="s">
        <v>177</v>
      </c>
      <c r="AA615" s="0" t="s">
        <v>2329</v>
      </c>
      <c r="AB615" s="5" t="n">
        <v>40000</v>
      </c>
      <c r="AC615" s="5" t="n">
        <v>30000</v>
      </c>
      <c r="AD615" s="0" t="s">
        <v>50</v>
      </c>
      <c r="AE615" s="5" t="n">
        <v>0</v>
      </c>
      <c r="AF615" s="0" t="s">
        <v>184</v>
      </c>
      <c r="AG615" s="7" t="s">
        <v>2330</v>
      </c>
      <c r="AH615" s="0" t="s">
        <v>2329</v>
      </c>
      <c r="AI615" s="0" t="s">
        <v>116</v>
      </c>
      <c r="AJ615" s="0" t="s">
        <v>2331</v>
      </c>
      <c r="AK615" s="0" t="s">
        <v>50</v>
      </c>
      <c r="AL615" s="0" t="s">
        <v>50</v>
      </c>
      <c r="AM615" s="0" t="s">
        <v>2344</v>
      </c>
      <c r="AN615" s="0" t="s">
        <v>64</v>
      </c>
      <c r="AO615" s="0" t="s">
        <v>50</v>
      </c>
    </row>
    <row r="616" customFormat="false" ht="15" hidden="false" customHeight="false" outlineLevel="0" collapsed="false">
      <c r="A616" s="0" t="s">
        <v>1519</v>
      </c>
      <c r="B616" s="2" t="s">
        <v>1518</v>
      </c>
      <c r="C616" s="0" t="s">
        <v>121</v>
      </c>
      <c r="D616" s="0" t="n">
        <v>8041195619</v>
      </c>
      <c r="E616" s="0" t="s">
        <v>85</v>
      </c>
      <c r="F616" s="0" t="s">
        <v>2319</v>
      </c>
      <c r="G616" s="0" t="s">
        <v>1520</v>
      </c>
      <c r="H616" s="0" t="s">
        <v>107</v>
      </c>
      <c r="I616" s="3" t="s">
        <v>2317</v>
      </c>
      <c r="J616" s="0" t="s">
        <v>2349</v>
      </c>
      <c r="K616" s="0" t="s">
        <v>109</v>
      </c>
      <c r="L616" s="4" t="n">
        <v>67028</v>
      </c>
      <c r="M616" s="0" t="s">
        <v>110</v>
      </c>
      <c r="N616" s="0" t="s">
        <v>50</v>
      </c>
      <c r="O616" s="5" t="n">
        <v>5</v>
      </c>
      <c r="P616" s="0" t="n">
        <v>1</v>
      </c>
      <c r="Q616" s="0" t="s">
        <v>51</v>
      </c>
      <c r="R616" s="0" t="s">
        <v>93</v>
      </c>
      <c r="S616" s="0" t="s">
        <v>2340</v>
      </c>
      <c r="T616" s="0" t="s">
        <v>2353</v>
      </c>
      <c r="U616" s="5" t="n">
        <v>15</v>
      </c>
      <c r="V616" s="0" t="s">
        <v>96</v>
      </c>
      <c r="W616" s="0" t="s">
        <v>2328</v>
      </c>
      <c r="X616" s="0" t="s">
        <v>78</v>
      </c>
      <c r="Y616" s="0" t="s">
        <v>58</v>
      </c>
      <c r="Z616" s="0" t="s">
        <v>2329</v>
      </c>
      <c r="AA616" s="0" t="s">
        <v>143</v>
      </c>
      <c r="AB616" s="5" t="n">
        <v>40000</v>
      </c>
      <c r="AC616" s="5" t="n">
        <v>35000</v>
      </c>
      <c r="AD616" s="0" t="s">
        <v>50</v>
      </c>
      <c r="AE616" s="5" t="n">
        <v>0</v>
      </c>
      <c r="AF616" s="0" t="s">
        <v>184</v>
      </c>
      <c r="AG616" s="7" t="s">
        <v>700</v>
      </c>
      <c r="AH616" s="0" t="s">
        <v>50</v>
      </c>
      <c r="AI616" s="0" t="s">
        <v>2331</v>
      </c>
      <c r="AJ616" s="0" t="s">
        <v>172</v>
      </c>
      <c r="AK616" s="0" t="s">
        <v>2344</v>
      </c>
      <c r="AL616" s="0" t="s">
        <v>50</v>
      </c>
      <c r="AM616" s="0" t="s">
        <v>2344</v>
      </c>
      <c r="AN616" s="0" t="s">
        <v>2321</v>
      </c>
      <c r="AO616" s="0" t="s">
        <v>50</v>
      </c>
    </row>
    <row r="617" customFormat="false" ht="15" hidden="false" customHeight="false" outlineLevel="0" collapsed="false">
      <c r="A617" s="0" t="s">
        <v>1521</v>
      </c>
      <c r="B617" s="2" t="s">
        <v>302</v>
      </c>
      <c r="C617" s="0" t="s">
        <v>121</v>
      </c>
      <c r="D617" s="0" t="n">
        <v>8077567894</v>
      </c>
      <c r="E617" s="0" t="s">
        <v>85</v>
      </c>
      <c r="F617" s="0" t="s">
        <v>2319</v>
      </c>
      <c r="G617" s="0" t="s">
        <v>1522</v>
      </c>
      <c r="H617" s="0" t="s">
        <v>87</v>
      </c>
      <c r="I617" s="3" t="s">
        <v>87</v>
      </c>
      <c r="J617" s="0" t="s">
        <v>189</v>
      </c>
      <c r="K617" s="0" t="s">
        <v>48</v>
      </c>
      <c r="L617" s="4" t="n">
        <v>33819</v>
      </c>
      <c r="M617" s="0" t="s">
        <v>49</v>
      </c>
      <c r="N617" s="0" t="s">
        <v>50</v>
      </c>
      <c r="O617" s="5" t="n">
        <v>5</v>
      </c>
      <c r="P617" s="0" t="n">
        <v>4.8</v>
      </c>
      <c r="Q617" s="0" t="s">
        <v>92</v>
      </c>
      <c r="R617" s="0" t="s">
        <v>93</v>
      </c>
      <c r="S617" s="0" t="s">
        <v>2335</v>
      </c>
      <c r="T617" s="0" t="s">
        <v>2343</v>
      </c>
      <c r="U617" s="5" t="n">
        <v>45</v>
      </c>
      <c r="V617" s="0" t="s">
        <v>112</v>
      </c>
      <c r="W617" s="0" t="s">
        <v>2337</v>
      </c>
      <c r="X617" s="0" t="s">
        <v>128</v>
      </c>
      <c r="Y617" s="0" t="s">
        <v>99</v>
      </c>
      <c r="Z617" s="0" t="s">
        <v>177</v>
      </c>
      <c r="AA617" s="0" t="s">
        <v>79</v>
      </c>
      <c r="AB617" s="5" t="n">
        <v>40000</v>
      </c>
      <c r="AC617" s="5" t="n">
        <v>40000</v>
      </c>
      <c r="AD617" s="0" t="s">
        <v>50</v>
      </c>
      <c r="AE617" s="5" t="n">
        <v>5000</v>
      </c>
      <c r="AF617" s="0" t="s">
        <v>60</v>
      </c>
      <c r="AG617" s="7" t="s">
        <v>1523</v>
      </c>
      <c r="AH617" s="0" t="s">
        <v>50</v>
      </c>
      <c r="AI617" s="0" t="s">
        <v>2331</v>
      </c>
      <c r="AJ617" s="0" t="s">
        <v>117</v>
      </c>
      <c r="AK617" s="0" t="s">
        <v>63</v>
      </c>
      <c r="AL617" s="0" t="s">
        <v>63</v>
      </c>
      <c r="AM617" s="0" t="s">
        <v>2344</v>
      </c>
      <c r="AN617" s="0" t="s">
        <v>64</v>
      </c>
      <c r="AO617" s="0" t="s">
        <v>63</v>
      </c>
    </row>
    <row r="618" customFormat="false" ht="15" hidden="false" customHeight="false" outlineLevel="0" collapsed="false">
      <c r="A618" s="0" t="s">
        <v>1524</v>
      </c>
      <c r="B618" s="2" t="s">
        <v>626</v>
      </c>
      <c r="C618" s="0" t="s">
        <v>163</v>
      </c>
      <c r="D618" s="0" t="n">
        <v>8088848693</v>
      </c>
      <c r="E618" s="0" t="s">
        <v>85</v>
      </c>
      <c r="F618" s="0" t="s">
        <v>2319</v>
      </c>
      <c r="G618" s="0" t="s">
        <v>1525</v>
      </c>
      <c r="H618" s="0" t="s">
        <v>45</v>
      </c>
      <c r="I618" s="3" t="s">
        <v>2317</v>
      </c>
      <c r="J618" s="0" t="s">
        <v>2347</v>
      </c>
      <c r="K618" s="0" t="s">
        <v>48</v>
      </c>
      <c r="L618" s="4" t="n">
        <v>55735</v>
      </c>
      <c r="M618" s="0" t="s">
        <v>2333</v>
      </c>
      <c r="N618" s="0" t="s">
        <v>63</v>
      </c>
      <c r="O618" s="5" t="n">
        <v>1</v>
      </c>
      <c r="P618" s="0" t="n">
        <v>1.3</v>
      </c>
      <c r="Q618" s="0" t="s">
        <v>111</v>
      </c>
      <c r="R618" s="0" t="s">
        <v>52</v>
      </c>
      <c r="S618" s="0" t="s">
        <v>2340</v>
      </c>
      <c r="T618" s="0" t="s">
        <v>2353</v>
      </c>
      <c r="U618" s="5" t="n">
        <v>30</v>
      </c>
      <c r="V618" s="0" t="s">
        <v>96</v>
      </c>
      <c r="W618" s="0" t="s">
        <v>155</v>
      </c>
      <c r="X618" s="0" t="s">
        <v>128</v>
      </c>
      <c r="Y618" s="0" t="s">
        <v>58</v>
      </c>
      <c r="Z618" s="0" t="s">
        <v>2329</v>
      </c>
      <c r="AA618" s="0" t="s">
        <v>143</v>
      </c>
      <c r="AB618" s="5" t="n">
        <v>30000</v>
      </c>
      <c r="AC618" s="5" t="n">
        <v>40000</v>
      </c>
      <c r="AD618" s="0" t="s">
        <v>63</v>
      </c>
      <c r="AE618" s="5" t="n">
        <v>0</v>
      </c>
      <c r="AF618" s="0" t="s">
        <v>60</v>
      </c>
      <c r="AG618" s="7" t="s">
        <v>2394</v>
      </c>
      <c r="AH618" s="0" t="s">
        <v>50</v>
      </c>
      <c r="AI618" s="0" t="s">
        <v>2331</v>
      </c>
      <c r="AJ618" s="0" t="s">
        <v>2320</v>
      </c>
      <c r="AK618" s="0" t="s">
        <v>50</v>
      </c>
      <c r="AL618" s="0" t="s">
        <v>2344</v>
      </c>
      <c r="AM618" s="0" t="s">
        <v>63</v>
      </c>
      <c r="AN618" s="0" t="s">
        <v>2318</v>
      </c>
      <c r="AO618" s="0" t="s">
        <v>50</v>
      </c>
    </row>
    <row r="619" customFormat="false" ht="15" hidden="false" customHeight="false" outlineLevel="0" collapsed="false">
      <c r="A619" s="0" t="s">
        <v>1526</v>
      </c>
      <c r="B619" s="2" t="s">
        <v>2351</v>
      </c>
      <c r="C619" s="0" t="s">
        <v>105</v>
      </c>
      <c r="D619" s="0" t="n">
        <v>8011783979</v>
      </c>
      <c r="E619" s="0" t="s">
        <v>43</v>
      </c>
      <c r="F619" s="0" t="s">
        <v>2315</v>
      </c>
      <c r="G619" s="0" t="s">
        <v>1272</v>
      </c>
      <c r="H619" s="0" t="s">
        <v>45</v>
      </c>
      <c r="I619" s="3" t="s">
        <v>87</v>
      </c>
      <c r="J619" s="0" t="s">
        <v>189</v>
      </c>
      <c r="K619" s="0" t="s">
        <v>71</v>
      </c>
      <c r="L619" s="4" t="n">
        <v>79689</v>
      </c>
      <c r="M619" s="0" t="s">
        <v>49</v>
      </c>
      <c r="N619" s="0" t="s">
        <v>50</v>
      </c>
      <c r="O619" s="5" t="n">
        <v>3.10476190476191</v>
      </c>
      <c r="P619" s="0" t="n">
        <v>1.3</v>
      </c>
      <c r="Q619" s="0" t="s">
        <v>111</v>
      </c>
      <c r="R619" s="0" t="s">
        <v>73</v>
      </c>
      <c r="S619" s="0" t="s">
        <v>2366</v>
      </c>
      <c r="T619" s="0" t="s">
        <v>2353</v>
      </c>
      <c r="U619" s="5" t="n">
        <v>15</v>
      </c>
      <c r="V619" s="0" t="s">
        <v>96</v>
      </c>
      <c r="W619" s="0" t="s">
        <v>2337</v>
      </c>
      <c r="X619" s="0" t="s">
        <v>98</v>
      </c>
      <c r="Y619" s="0" t="s">
        <v>196</v>
      </c>
      <c r="Z619" s="0" t="s">
        <v>2329</v>
      </c>
      <c r="AA619" s="0" t="s">
        <v>149</v>
      </c>
      <c r="AB619" s="5" t="n">
        <v>15000</v>
      </c>
      <c r="AC619" s="5" t="n">
        <v>35000</v>
      </c>
      <c r="AD619" s="0" t="s">
        <v>63</v>
      </c>
      <c r="AE619" s="5" t="n">
        <v>0</v>
      </c>
      <c r="AF619" s="0" t="s">
        <v>184</v>
      </c>
      <c r="AG619" s="7" t="s">
        <v>2382</v>
      </c>
      <c r="AH619" s="0" t="s">
        <v>63</v>
      </c>
      <c r="AI619" s="0" t="s">
        <v>171</v>
      </c>
      <c r="AJ619" s="0" t="s">
        <v>2320</v>
      </c>
      <c r="AK619" s="0" t="s">
        <v>50</v>
      </c>
      <c r="AL619" s="0" t="s">
        <v>63</v>
      </c>
      <c r="AM619" s="0" t="s">
        <v>63</v>
      </c>
      <c r="AN619" s="0" t="s">
        <v>2318</v>
      </c>
      <c r="AO619" s="0" t="s">
        <v>2359</v>
      </c>
    </row>
    <row r="620" customFormat="false" ht="15" hidden="false" customHeight="false" outlineLevel="0" collapsed="false">
      <c r="A620" s="0" t="s">
        <v>1527</v>
      </c>
      <c r="B620" s="2" t="s">
        <v>1934</v>
      </c>
      <c r="C620" s="0" t="s">
        <v>105</v>
      </c>
      <c r="D620" s="0" t="n">
        <v>8041219836</v>
      </c>
      <c r="E620" s="0" t="s">
        <v>67</v>
      </c>
      <c r="F620" s="0" t="s">
        <v>2316</v>
      </c>
      <c r="G620" s="0" t="s">
        <v>1528</v>
      </c>
      <c r="H620" s="0" t="s">
        <v>69</v>
      </c>
      <c r="I620" s="3" t="s">
        <v>2342</v>
      </c>
      <c r="J620" s="0" t="s">
        <v>2349</v>
      </c>
      <c r="K620" s="0" t="s">
        <v>109</v>
      </c>
      <c r="L620" s="4" t="n">
        <v>79222</v>
      </c>
      <c r="M620" s="0" t="s">
        <v>49</v>
      </c>
      <c r="N620" s="0" t="s">
        <v>63</v>
      </c>
      <c r="O620" s="5" t="n">
        <v>3.10476190476191</v>
      </c>
      <c r="P620" s="0" t="n">
        <v>4.5</v>
      </c>
      <c r="Q620" s="0" t="s">
        <v>111</v>
      </c>
      <c r="R620" s="0" t="s">
        <v>73</v>
      </c>
      <c r="S620" s="0" t="s">
        <v>53</v>
      </c>
      <c r="T620" s="0" t="s">
        <v>54</v>
      </c>
      <c r="U620" s="5" t="n">
        <v>45</v>
      </c>
      <c r="V620" s="0" t="s">
        <v>2352</v>
      </c>
      <c r="W620" s="0" t="s">
        <v>155</v>
      </c>
      <c r="X620" s="0" t="s">
        <v>78</v>
      </c>
      <c r="Y620" s="0" t="s">
        <v>114</v>
      </c>
      <c r="Z620" s="0" t="s">
        <v>59</v>
      </c>
      <c r="AA620" s="0" t="s">
        <v>2329</v>
      </c>
      <c r="AB620" s="5" t="n">
        <v>30000</v>
      </c>
      <c r="AC620" s="5" t="n">
        <v>40000</v>
      </c>
      <c r="AD620" s="0" t="s">
        <v>63</v>
      </c>
      <c r="AE620" s="5" t="n">
        <v>5000</v>
      </c>
      <c r="AF620" s="0" t="s">
        <v>130</v>
      </c>
      <c r="AG620" s="7" t="s">
        <v>2330</v>
      </c>
      <c r="AH620" s="0" t="s">
        <v>63</v>
      </c>
      <c r="AI620" s="0" t="s">
        <v>2331</v>
      </c>
      <c r="AJ620" s="0" t="s">
        <v>2331</v>
      </c>
      <c r="AK620" s="0" t="s">
        <v>2344</v>
      </c>
      <c r="AL620" s="0" t="s">
        <v>50</v>
      </c>
      <c r="AM620" s="0" t="s">
        <v>2344</v>
      </c>
      <c r="AN620" s="0" t="s">
        <v>2321</v>
      </c>
      <c r="AO620" s="0" t="s">
        <v>2359</v>
      </c>
    </row>
    <row r="621" customFormat="false" ht="15" hidden="false" customHeight="false" outlineLevel="0" collapsed="false">
      <c r="A621" s="0" t="s">
        <v>1529</v>
      </c>
      <c r="B621" s="2" t="s">
        <v>2466</v>
      </c>
      <c r="C621" s="0" t="s">
        <v>163</v>
      </c>
      <c r="D621" s="0" t="n">
        <v>8012847211</v>
      </c>
      <c r="E621" s="0" t="s">
        <v>43</v>
      </c>
      <c r="F621" s="0" t="s">
        <v>2315</v>
      </c>
      <c r="G621" s="0" t="s">
        <v>1530</v>
      </c>
      <c r="H621" s="0" t="s">
        <v>107</v>
      </c>
      <c r="I621" s="3" t="s">
        <v>2322</v>
      </c>
      <c r="J621" s="0" t="s">
        <v>2341</v>
      </c>
      <c r="K621" s="0" t="s">
        <v>109</v>
      </c>
      <c r="L621" s="4" t="n">
        <v>98652</v>
      </c>
      <c r="M621" s="0" t="s">
        <v>2333</v>
      </c>
      <c r="N621" s="0" t="s">
        <v>63</v>
      </c>
      <c r="O621" s="5" t="n">
        <v>5</v>
      </c>
      <c r="P621" s="0" t="n">
        <v>4.4</v>
      </c>
      <c r="Q621" s="0" t="s">
        <v>92</v>
      </c>
      <c r="R621" s="0" t="s">
        <v>93</v>
      </c>
      <c r="S621" s="0" t="s">
        <v>2335</v>
      </c>
      <c r="T621" s="0" t="s">
        <v>75</v>
      </c>
      <c r="U621" s="5" t="n">
        <v>30</v>
      </c>
      <c r="V621" s="0" t="s">
        <v>2352</v>
      </c>
      <c r="W621" s="0" t="s">
        <v>155</v>
      </c>
      <c r="X621" s="0" t="s">
        <v>98</v>
      </c>
      <c r="Y621" s="0" t="s">
        <v>99</v>
      </c>
      <c r="Z621" s="0" t="s">
        <v>2324</v>
      </c>
      <c r="AA621" s="0" t="s">
        <v>149</v>
      </c>
      <c r="AB621" s="5" t="n">
        <v>20000</v>
      </c>
      <c r="AC621" s="5" t="n">
        <v>40000</v>
      </c>
      <c r="AD621" s="0" t="s">
        <v>50</v>
      </c>
      <c r="AE621" s="5" t="n">
        <v>0</v>
      </c>
      <c r="AF621" s="0" t="s">
        <v>60</v>
      </c>
      <c r="AG621" s="7" t="s">
        <v>2492</v>
      </c>
      <c r="AH621" s="0" t="s">
        <v>50</v>
      </c>
      <c r="AI621" s="0" t="s">
        <v>171</v>
      </c>
      <c r="AJ621" s="0" t="s">
        <v>117</v>
      </c>
      <c r="AK621" s="0" t="s">
        <v>50</v>
      </c>
      <c r="AL621" s="0" t="s">
        <v>63</v>
      </c>
      <c r="AM621" s="0" t="s">
        <v>63</v>
      </c>
      <c r="AN621" s="0" t="s">
        <v>2321</v>
      </c>
      <c r="AO621" s="0" t="s">
        <v>63</v>
      </c>
    </row>
    <row r="622" customFormat="false" ht="15" hidden="false" customHeight="false" outlineLevel="0" collapsed="false">
      <c r="A622" s="0" t="s">
        <v>1531</v>
      </c>
      <c r="B622" s="2" t="s">
        <v>2422</v>
      </c>
      <c r="C622" s="0" t="s">
        <v>121</v>
      </c>
      <c r="D622" s="0" t="n">
        <v>8092724918</v>
      </c>
      <c r="E622" s="0" t="s">
        <v>67</v>
      </c>
      <c r="F622" s="0" t="s">
        <v>2316</v>
      </c>
      <c r="G622" s="0" t="s">
        <v>1532</v>
      </c>
      <c r="H622" s="0" t="s">
        <v>107</v>
      </c>
      <c r="I622" s="3" t="s">
        <v>2317</v>
      </c>
      <c r="J622" s="0" t="s">
        <v>2349</v>
      </c>
      <c r="K622" s="0" t="s">
        <v>71</v>
      </c>
      <c r="L622" s="4" t="n">
        <v>56574</v>
      </c>
      <c r="M622" s="0" t="s">
        <v>2333</v>
      </c>
      <c r="N622" s="0" t="s">
        <v>63</v>
      </c>
      <c r="O622" s="5" t="n">
        <v>3</v>
      </c>
      <c r="P622" s="0" t="n">
        <v>5.2</v>
      </c>
      <c r="Q622" s="0" t="s">
        <v>125</v>
      </c>
      <c r="R622" s="0" t="s">
        <v>52</v>
      </c>
      <c r="S622" s="0" t="s">
        <v>2340</v>
      </c>
      <c r="T622" s="0" t="s">
        <v>2353</v>
      </c>
      <c r="U622" s="5" t="n">
        <v>45</v>
      </c>
      <c r="V622" s="0" t="s">
        <v>2352</v>
      </c>
      <c r="W622" s="0" t="s">
        <v>148</v>
      </c>
      <c r="X622" s="0" t="s">
        <v>98</v>
      </c>
      <c r="Y622" s="0" t="s">
        <v>196</v>
      </c>
      <c r="Z622" s="0" t="s">
        <v>2326</v>
      </c>
      <c r="AA622" s="0" t="s">
        <v>79</v>
      </c>
      <c r="AB622" s="5" t="n">
        <v>25543.4782608696</v>
      </c>
      <c r="AC622" s="5" t="n">
        <v>35000</v>
      </c>
      <c r="AD622" s="0" t="s">
        <v>50</v>
      </c>
      <c r="AE622" s="5" t="n">
        <v>0</v>
      </c>
      <c r="AF622" s="0" t="s">
        <v>2338</v>
      </c>
      <c r="AG622" s="7" t="s">
        <v>2375</v>
      </c>
      <c r="AH622" s="0" t="s">
        <v>2329</v>
      </c>
      <c r="AI622" s="0" t="s">
        <v>2331</v>
      </c>
      <c r="AJ622" s="0" t="s">
        <v>117</v>
      </c>
      <c r="AK622" s="0" t="s">
        <v>50</v>
      </c>
      <c r="AL622" s="0" t="s">
        <v>63</v>
      </c>
      <c r="AM622" s="0" t="s">
        <v>50</v>
      </c>
      <c r="AN622" s="0" t="s">
        <v>2318</v>
      </c>
      <c r="AO622" s="0" t="s">
        <v>50</v>
      </c>
    </row>
    <row r="623" customFormat="false" ht="15" hidden="false" customHeight="false" outlineLevel="0" collapsed="false">
      <c r="A623" s="0" t="s">
        <v>1533</v>
      </c>
      <c r="B623" s="2" t="s">
        <v>2435</v>
      </c>
      <c r="C623" s="0" t="s">
        <v>121</v>
      </c>
      <c r="D623" s="0" t="n">
        <v>8026650536</v>
      </c>
      <c r="E623" s="0" t="s">
        <v>85</v>
      </c>
      <c r="F623" s="0" t="s">
        <v>2319</v>
      </c>
      <c r="G623" s="0" t="s">
        <v>145</v>
      </c>
      <c r="H623" s="0" t="s">
        <v>107</v>
      </c>
      <c r="I623" s="3" t="s">
        <v>2322</v>
      </c>
      <c r="J623" s="0" t="s">
        <v>47</v>
      </c>
      <c r="K623" s="0" t="s">
        <v>48</v>
      </c>
      <c r="L623" s="4" t="n">
        <v>68565</v>
      </c>
      <c r="M623" s="0" t="s">
        <v>110</v>
      </c>
      <c r="N623" s="0" t="s">
        <v>63</v>
      </c>
      <c r="O623" s="5" t="n">
        <v>1</v>
      </c>
      <c r="P623" s="0" t="n">
        <v>2.4</v>
      </c>
      <c r="Q623" s="0" t="s">
        <v>92</v>
      </c>
      <c r="R623" s="0" t="s">
        <v>73</v>
      </c>
      <c r="S623" s="0" t="s">
        <v>2366</v>
      </c>
      <c r="T623" s="0" t="s">
        <v>2353</v>
      </c>
      <c r="U623" s="5" t="n">
        <v>15</v>
      </c>
      <c r="V623" s="0" t="s">
        <v>96</v>
      </c>
      <c r="W623" s="0" t="s">
        <v>155</v>
      </c>
      <c r="X623" s="0" t="s">
        <v>98</v>
      </c>
      <c r="Y623" s="0" t="s">
        <v>196</v>
      </c>
      <c r="Z623" s="0" t="s">
        <v>2329</v>
      </c>
      <c r="AA623" s="0" t="s">
        <v>149</v>
      </c>
      <c r="AB623" s="5" t="n">
        <v>25000</v>
      </c>
      <c r="AC623" s="5" t="n">
        <v>30000</v>
      </c>
      <c r="AD623" s="0" t="s">
        <v>50</v>
      </c>
      <c r="AE623" s="5" t="n">
        <v>10000</v>
      </c>
      <c r="AF623" s="0" t="s">
        <v>2338</v>
      </c>
      <c r="AG623" s="7" t="s">
        <v>2330</v>
      </c>
      <c r="AH623" s="0" t="s">
        <v>63</v>
      </c>
      <c r="AI623" s="0" t="s">
        <v>2331</v>
      </c>
      <c r="AJ623" s="0" t="s">
        <v>172</v>
      </c>
      <c r="AK623" s="0" t="s">
        <v>63</v>
      </c>
      <c r="AL623" s="0" t="s">
        <v>63</v>
      </c>
      <c r="AM623" s="0" t="s">
        <v>2344</v>
      </c>
      <c r="AN623" s="0" t="s">
        <v>2321</v>
      </c>
      <c r="AO623" s="0" t="s">
        <v>63</v>
      </c>
    </row>
    <row r="624" customFormat="false" ht="15" hidden="false" customHeight="false" outlineLevel="0" collapsed="false">
      <c r="A624" s="0" t="s">
        <v>1534</v>
      </c>
      <c r="B624" s="2" t="s">
        <v>1082</v>
      </c>
      <c r="C624" s="0" t="s">
        <v>121</v>
      </c>
      <c r="D624" s="0" t="n">
        <v>8051452961</v>
      </c>
      <c r="E624" s="0" t="s">
        <v>139</v>
      </c>
      <c r="F624" s="0" t="s">
        <v>2323</v>
      </c>
      <c r="G624" s="0" t="s">
        <v>1535</v>
      </c>
      <c r="H624" s="0" t="s">
        <v>45</v>
      </c>
      <c r="I624" s="3" t="s">
        <v>2322</v>
      </c>
      <c r="J624" s="0" t="s">
        <v>2341</v>
      </c>
      <c r="K624" s="0" t="s">
        <v>71</v>
      </c>
      <c r="L624" s="4" t="n">
        <v>65824</v>
      </c>
      <c r="M624" s="0" t="s">
        <v>49</v>
      </c>
      <c r="N624" s="0" t="s">
        <v>63</v>
      </c>
      <c r="O624" s="5" t="n">
        <v>2</v>
      </c>
      <c r="P624" s="0" t="n">
        <v>3.8</v>
      </c>
      <c r="Q624" s="0" t="s">
        <v>92</v>
      </c>
      <c r="R624" s="0" t="s">
        <v>93</v>
      </c>
      <c r="S624" s="0" t="s">
        <v>2335</v>
      </c>
      <c r="T624" s="0" t="s">
        <v>54</v>
      </c>
      <c r="U624" s="5" t="n">
        <v>39.3103448275862</v>
      </c>
      <c r="V624" s="0" t="s">
        <v>112</v>
      </c>
      <c r="W624" s="0" t="s">
        <v>2337</v>
      </c>
      <c r="X624" s="0" t="s">
        <v>78</v>
      </c>
      <c r="Y624" s="0" t="s">
        <v>114</v>
      </c>
      <c r="Z624" s="0" t="s">
        <v>59</v>
      </c>
      <c r="AA624" s="0" t="s">
        <v>2329</v>
      </c>
      <c r="AB624" s="5" t="n">
        <v>30000</v>
      </c>
      <c r="AC624" s="5" t="n">
        <v>30000</v>
      </c>
      <c r="AD624" s="0" t="s">
        <v>50</v>
      </c>
      <c r="AE624" s="5" t="n">
        <v>0</v>
      </c>
      <c r="AF624" s="0" t="s">
        <v>2338</v>
      </c>
      <c r="AG624" s="7" t="s">
        <v>2330</v>
      </c>
      <c r="AH624" s="0" t="s">
        <v>2329</v>
      </c>
      <c r="AI624" s="0" t="s">
        <v>171</v>
      </c>
      <c r="AJ624" s="0" t="s">
        <v>2320</v>
      </c>
      <c r="AK624" s="0" t="s">
        <v>63</v>
      </c>
      <c r="AL624" s="0" t="s">
        <v>63</v>
      </c>
      <c r="AM624" s="0" t="s">
        <v>63</v>
      </c>
      <c r="AN624" s="0" t="s">
        <v>2318</v>
      </c>
      <c r="AO624" s="0" t="s">
        <v>50</v>
      </c>
    </row>
    <row r="625" customFormat="false" ht="15" hidden="false" customHeight="false" outlineLevel="0" collapsed="false">
      <c r="A625" s="0" t="s">
        <v>1536</v>
      </c>
      <c r="B625" s="2" t="s">
        <v>1339</v>
      </c>
      <c r="C625" s="0" t="s">
        <v>105</v>
      </c>
      <c r="D625" s="0" t="n">
        <v>8041728577</v>
      </c>
      <c r="E625" s="0" t="s">
        <v>122</v>
      </c>
      <c r="F625" s="0" t="s">
        <v>2316</v>
      </c>
      <c r="G625" s="0" t="s">
        <v>1537</v>
      </c>
      <c r="H625" s="0" t="s">
        <v>107</v>
      </c>
      <c r="I625" s="3" t="s">
        <v>2322</v>
      </c>
      <c r="J625" s="0" t="s">
        <v>2339</v>
      </c>
      <c r="K625" s="0" t="s">
        <v>48</v>
      </c>
      <c r="L625" s="4" t="n">
        <v>102197</v>
      </c>
      <c r="M625" s="0" t="s">
        <v>2333</v>
      </c>
      <c r="N625" s="0" t="s">
        <v>50</v>
      </c>
      <c r="O625" s="5" t="n">
        <v>2</v>
      </c>
      <c r="P625" s="0" t="n">
        <v>1.8</v>
      </c>
      <c r="Q625" s="0" t="s">
        <v>2334</v>
      </c>
      <c r="R625" s="0" t="s">
        <v>73</v>
      </c>
      <c r="S625" s="0" t="s">
        <v>2366</v>
      </c>
      <c r="T625" s="0" t="s">
        <v>54</v>
      </c>
      <c r="U625" s="5" t="n">
        <v>60</v>
      </c>
      <c r="V625" s="0" t="s">
        <v>96</v>
      </c>
      <c r="W625" s="0" t="s">
        <v>2337</v>
      </c>
      <c r="X625" s="0" t="s">
        <v>78</v>
      </c>
      <c r="Y625" s="0" t="s">
        <v>58</v>
      </c>
      <c r="Z625" s="0" t="s">
        <v>2326</v>
      </c>
      <c r="AA625" s="0" t="s">
        <v>161</v>
      </c>
      <c r="AB625" s="5" t="n">
        <v>20000</v>
      </c>
      <c r="AC625" s="5" t="n">
        <v>35000</v>
      </c>
      <c r="AD625" s="0" t="s">
        <v>50</v>
      </c>
      <c r="AE625" s="5" t="n">
        <v>5000</v>
      </c>
      <c r="AF625" s="0" t="s">
        <v>184</v>
      </c>
      <c r="AG625" s="7" t="s">
        <v>1667</v>
      </c>
      <c r="AH625" s="0" t="s">
        <v>63</v>
      </c>
      <c r="AI625" s="0" t="s">
        <v>2331</v>
      </c>
      <c r="AJ625" s="0" t="s">
        <v>2331</v>
      </c>
      <c r="AK625" s="0" t="s">
        <v>2344</v>
      </c>
      <c r="AL625" s="0" t="s">
        <v>50</v>
      </c>
      <c r="AM625" s="0" t="s">
        <v>63</v>
      </c>
      <c r="AN625" s="0" t="s">
        <v>2321</v>
      </c>
      <c r="AO625" s="0" t="s">
        <v>50</v>
      </c>
    </row>
    <row r="626" customFormat="false" ht="15" hidden="false" customHeight="false" outlineLevel="0" collapsed="false">
      <c r="A626" s="0" t="s">
        <v>1538</v>
      </c>
      <c r="B626" s="2" t="s">
        <v>953</v>
      </c>
      <c r="C626" s="0" t="s">
        <v>66</v>
      </c>
      <c r="D626" s="0" t="n">
        <v>8067512010</v>
      </c>
      <c r="E626" s="0" t="s">
        <v>122</v>
      </c>
      <c r="F626" s="0" t="s">
        <v>2316</v>
      </c>
      <c r="G626" s="0" t="s">
        <v>1539</v>
      </c>
      <c r="H626" s="0" t="s">
        <v>45</v>
      </c>
      <c r="I626" s="3" t="s">
        <v>2322</v>
      </c>
      <c r="J626" s="0" t="s">
        <v>2341</v>
      </c>
      <c r="K626" s="0" t="s">
        <v>109</v>
      </c>
      <c r="L626" s="4" t="n">
        <v>66293</v>
      </c>
      <c r="M626" s="0" t="s">
        <v>2333</v>
      </c>
      <c r="N626" s="0" t="s">
        <v>50</v>
      </c>
      <c r="O626" s="5" t="n">
        <v>3.11290322580645</v>
      </c>
      <c r="P626" s="0" t="n">
        <v>2.9</v>
      </c>
      <c r="Q626" s="0" t="s">
        <v>111</v>
      </c>
      <c r="R626" s="0" t="s">
        <v>93</v>
      </c>
      <c r="S626" s="0" t="s">
        <v>2340</v>
      </c>
      <c r="T626" s="0" t="s">
        <v>75</v>
      </c>
      <c r="U626" s="5" t="n">
        <v>45</v>
      </c>
      <c r="V626" s="0" t="s">
        <v>2336</v>
      </c>
      <c r="W626" s="0" t="s">
        <v>148</v>
      </c>
      <c r="X626" s="0" t="s">
        <v>98</v>
      </c>
      <c r="Y626" s="0" t="s">
        <v>114</v>
      </c>
      <c r="Z626" s="0" t="s">
        <v>2326</v>
      </c>
      <c r="AA626" s="0" t="s">
        <v>79</v>
      </c>
      <c r="AB626" s="5" t="n">
        <v>40000</v>
      </c>
      <c r="AC626" s="5" t="n">
        <v>30000</v>
      </c>
      <c r="AD626" s="0" t="s">
        <v>50</v>
      </c>
      <c r="AE626" s="5" t="n">
        <v>10000</v>
      </c>
      <c r="AF626" s="0" t="s">
        <v>60</v>
      </c>
      <c r="AG626" s="7" t="s">
        <v>1610</v>
      </c>
      <c r="AH626" s="0" t="s">
        <v>50</v>
      </c>
      <c r="AI626" s="0" t="s">
        <v>2331</v>
      </c>
      <c r="AJ626" s="0" t="s">
        <v>2320</v>
      </c>
      <c r="AK626" s="0" t="s">
        <v>50</v>
      </c>
      <c r="AL626" s="0" t="s">
        <v>50</v>
      </c>
      <c r="AM626" s="0" t="s">
        <v>63</v>
      </c>
      <c r="AN626" s="0" t="s">
        <v>2321</v>
      </c>
      <c r="AO626" s="0" t="s">
        <v>63</v>
      </c>
    </row>
    <row r="627" customFormat="false" ht="15" hidden="false" customHeight="false" outlineLevel="0" collapsed="false">
      <c r="A627" s="0" t="s">
        <v>1540</v>
      </c>
      <c r="B627" s="2" t="s">
        <v>1865</v>
      </c>
      <c r="C627" s="0" t="s">
        <v>42</v>
      </c>
      <c r="D627" s="0" t="n">
        <v>8042688154</v>
      </c>
      <c r="E627" s="0" t="s">
        <v>67</v>
      </c>
      <c r="F627" s="0" t="s">
        <v>2316</v>
      </c>
      <c r="G627" s="0" t="s">
        <v>1541</v>
      </c>
      <c r="H627" s="0" t="s">
        <v>107</v>
      </c>
      <c r="I627" s="3" t="s">
        <v>2317</v>
      </c>
      <c r="J627" s="0" t="s">
        <v>2339</v>
      </c>
      <c r="K627" s="0" t="s">
        <v>48</v>
      </c>
      <c r="L627" s="4" t="n">
        <v>88139</v>
      </c>
      <c r="M627" s="0" t="s">
        <v>49</v>
      </c>
      <c r="N627" s="0" t="s">
        <v>63</v>
      </c>
      <c r="O627" s="5" t="n">
        <v>1</v>
      </c>
      <c r="P627" s="0" t="n">
        <v>4.9</v>
      </c>
      <c r="Q627" s="0" t="s">
        <v>92</v>
      </c>
      <c r="R627" s="0" t="s">
        <v>73</v>
      </c>
      <c r="S627" s="0" t="s">
        <v>2366</v>
      </c>
      <c r="T627" s="0" t="s">
        <v>2353</v>
      </c>
      <c r="U627" s="5" t="n">
        <v>40.3125</v>
      </c>
      <c r="V627" s="0" t="s">
        <v>2336</v>
      </c>
      <c r="W627" s="0" t="s">
        <v>155</v>
      </c>
      <c r="X627" s="0" t="s">
        <v>98</v>
      </c>
      <c r="Y627" s="0" t="s">
        <v>99</v>
      </c>
      <c r="Z627" s="0" t="s">
        <v>2329</v>
      </c>
      <c r="AA627" s="0" t="s">
        <v>2329</v>
      </c>
      <c r="AB627" s="5" t="n">
        <v>15000</v>
      </c>
      <c r="AC627" s="5" t="n">
        <v>30000</v>
      </c>
      <c r="AD627" s="0" t="s">
        <v>50</v>
      </c>
      <c r="AE627" s="5" t="n">
        <v>10000</v>
      </c>
      <c r="AF627" s="0" t="s">
        <v>130</v>
      </c>
      <c r="AG627" s="7" t="s">
        <v>486</v>
      </c>
      <c r="AH627" s="0" t="s">
        <v>63</v>
      </c>
      <c r="AI627" s="0" t="s">
        <v>2331</v>
      </c>
      <c r="AJ627" s="0" t="s">
        <v>172</v>
      </c>
      <c r="AK627" s="0" t="s">
        <v>50</v>
      </c>
      <c r="AL627" s="0" t="s">
        <v>63</v>
      </c>
      <c r="AM627" s="0" t="s">
        <v>63</v>
      </c>
      <c r="AN627" s="0" t="s">
        <v>2321</v>
      </c>
      <c r="AO627" s="0" t="s">
        <v>50</v>
      </c>
    </row>
    <row r="628" customFormat="false" ht="15" hidden="false" customHeight="false" outlineLevel="0" collapsed="false">
      <c r="A628" s="0" t="s">
        <v>1542</v>
      </c>
      <c r="B628" s="2" t="s">
        <v>1774</v>
      </c>
      <c r="C628" s="0" t="s">
        <v>163</v>
      </c>
      <c r="D628" s="0" t="n">
        <v>8093183615</v>
      </c>
      <c r="E628" s="0" t="s">
        <v>85</v>
      </c>
      <c r="F628" s="0" t="s">
        <v>2319</v>
      </c>
      <c r="G628" s="0" t="s">
        <v>1543</v>
      </c>
      <c r="H628" s="0" t="s">
        <v>134</v>
      </c>
      <c r="I628" s="3" t="s">
        <v>2325</v>
      </c>
      <c r="J628" s="0" t="s">
        <v>2341</v>
      </c>
      <c r="K628" s="0" t="s">
        <v>90</v>
      </c>
      <c r="L628" s="4" t="n">
        <v>43260</v>
      </c>
      <c r="M628" s="0" t="s">
        <v>49</v>
      </c>
      <c r="N628" s="0" t="s">
        <v>63</v>
      </c>
      <c r="O628" s="5" t="n">
        <v>2</v>
      </c>
      <c r="P628" s="0" t="n">
        <v>5.2</v>
      </c>
      <c r="Q628" s="0" t="s">
        <v>111</v>
      </c>
      <c r="R628" s="0" t="s">
        <v>93</v>
      </c>
      <c r="S628" s="0" t="s">
        <v>2340</v>
      </c>
      <c r="T628" s="0" t="s">
        <v>95</v>
      </c>
      <c r="U628" s="5" t="n">
        <v>45</v>
      </c>
      <c r="V628" s="0" t="s">
        <v>96</v>
      </c>
      <c r="W628" s="0" t="s">
        <v>155</v>
      </c>
      <c r="X628" s="0" t="s">
        <v>98</v>
      </c>
      <c r="Y628" s="0" t="s">
        <v>114</v>
      </c>
      <c r="Z628" s="0" t="s">
        <v>2326</v>
      </c>
      <c r="AA628" s="0" t="s">
        <v>161</v>
      </c>
      <c r="AB628" s="5" t="n">
        <v>25000</v>
      </c>
      <c r="AC628" s="5" t="n">
        <v>30000</v>
      </c>
      <c r="AD628" s="0" t="s">
        <v>50</v>
      </c>
      <c r="AE628" s="5" t="n">
        <v>10000</v>
      </c>
      <c r="AF628" s="0" t="s">
        <v>2338</v>
      </c>
      <c r="AG628" s="7" t="s">
        <v>2330</v>
      </c>
      <c r="AH628" s="0" t="s">
        <v>50</v>
      </c>
      <c r="AI628" s="0" t="s">
        <v>171</v>
      </c>
      <c r="AJ628" s="0" t="s">
        <v>2331</v>
      </c>
      <c r="AK628" s="0" t="s">
        <v>50</v>
      </c>
      <c r="AL628" s="0" t="s">
        <v>50</v>
      </c>
      <c r="AM628" s="0" t="s">
        <v>2344</v>
      </c>
      <c r="AN628" s="0" t="s">
        <v>64</v>
      </c>
      <c r="AO628" s="0" t="s">
        <v>2359</v>
      </c>
    </row>
    <row r="629" customFormat="false" ht="15" hidden="false" customHeight="false" outlineLevel="0" collapsed="false">
      <c r="A629" s="0" t="s">
        <v>1544</v>
      </c>
      <c r="B629" s="2" t="s">
        <v>659</v>
      </c>
      <c r="C629" s="0" t="s">
        <v>163</v>
      </c>
      <c r="D629" s="0" t="n">
        <v>8020655497</v>
      </c>
      <c r="E629" s="0" t="s">
        <v>122</v>
      </c>
      <c r="F629" s="0" t="s">
        <v>2316</v>
      </c>
      <c r="G629" s="0" t="s">
        <v>1545</v>
      </c>
      <c r="H629" s="0" t="s">
        <v>107</v>
      </c>
      <c r="I629" s="3" t="s">
        <v>2325</v>
      </c>
      <c r="J629" s="0" t="s">
        <v>2339</v>
      </c>
      <c r="K629" s="0" t="s">
        <v>48</v>
      </c>
      <c r="L629" s="4" t="n">
        <v>75034</v>
      </c>
      <c r="M629" s="0" t="s">
        <v>49</v>
      </c>
      <c r="N629" s="0" t="s">
        <v>63</v>
      </c>
      <c r="O629" s="5" t="n">
        <v>3.12337662337662</v>
      </c>
      <c r="P629" s="0" t="n">
        <v>4.2</v>
      </c>
      <c r="Q629" s="0" t="s">
        <v>92</v>
      </c>
      <c r="R629" s="0" t="s">
        <v>52</v>
      </c>
      <c r="S629" s="0" t="s">
        <v>2340</v>
      </c>
      <c r="T629" s="0" t="s">
        <v>147</v>
      </c>
      <c r="U629" s="5" t="n">
        <v>30</v>
      </c>
      <c r="V629" s="0" t="s">
        <v>55</v>
      </c>
      <c r="W629" s="0" t="s">
        <v>155</v>
      </c>
      <c r="X629" s="0" t="s">
        <v>98</v>
      </c>
      <c r="Y629" s="0" t="s">
        <v>99</v>
      </c>
      <c r="Z629" s="0" t="s">
        <v>177</v>
      </c>
      <c r="AA629" s="0" t="s">
        <v>143</v>
      </c>
      <c r="AB629" s="5" t="n">
        <v>25000</v>
      </c>
      <c r="AC629" s="5" t="n">
        <v>40000</v>
      </c>
      <c r="AD629" s="0" t="s">
        <v>63</v>
      </c>
      <c r="AE629" s="5" t="n">
        <v>5000</v>
      </c>
      <c r="AF629" s="0" t="s">
        <v>184</v>
      </c>
      <c r="AG629" s="7" t="s">
        <v>2443</v>
      </c>
      <c r="AH629" s="0" t="s">
        <v>50</v>
      </c>
      <c r="AI629" s="0" t="s">
        <v>2331</v>
      </c>
      <c r="AJ629" s="0" t="s">
        <v>117</v>
      </c>
      <c r="AK629" s="0" t="s">
        <v>2344</v>
      </c>
      <c r="AL629" s="0" t="s">
        <v>63</v>
      </c>
      <c r="AM629" s="0" t="s">
        <v>63</v>
      </c>
      <c r="AN629" s="0" t="s">
        <v>2321</v>
      </c>
      <c r="AO629" s="0" t="s">
        <v>50</v>
      </c>
    </row>
    <row r="630" customFormat="false" ht="15" hidden="false" customHeight="false" outlineLevel="0" collapsed="false">
      <c r="A630" s="0" t="s">
        <v>1546</v>
      </c>
      <c r="B630" s="2" t="s">
        <v>659</v>
      </c>
      <c r="C630" s="0" t="s">
        <v>121</v>
      </c>
      <c r="D630" s="0" t="n">
        <v>8018042731</v>
      </c>
      <c r="E630" s="0" t="s">
        <v>122</v>
      </c>
      <c r="F630" s="0" t="s">
        <v>2316</v>
      </c>
      <c r="G630" s="0" t="s">
        <v>1547</v>
      </c>
      <c r="H630" s="0" t="s">
        <v>134</v>
      </c>
      <c r="I630" s="3" t="s">
        <v>2322</v>
      </c>
      <c r="J630" s="0" t="s">
        <v>2339</v>
      </c>
      <c r="K630" s="0" t="s">
        <v>48</v>
      </c>
      <c r="L630" s="4" t="n">
        <v>13890</v>
      </c>
      <c r="M630" s="0" t="s">
        <v>110</v>
      </c>
      <c r="N630" s="0" t="s">
        <v>63</v>
      </c>
      <c r="O630" s="5" t="n">
        <v>5</v>
      </c>
      <c r="P630" s="0" t="n">
        <v>1.3</v>
      </c>
      <c r="Q630" s="0" t="s">
        <v>51</v>
      </c>
      <c r="R630" s="0" t="s">
        <v>93</v>
      </c>
      <c r="S630" s="0" t="s">
        <v>53</v>
      </c>
      <c r="T630" s="0" t="s">
        <v>54</v>
      </c>
      <c r="U630" s="5" t="n">
        <v>40.4761904761905</v>
      </c>
      <c r="V630" s="0" t="s">
        <v>2336</v>
      </c>
      <c r="W630" s="0" t="s">
        <v>2328</v>
      </c>
      <c r="X630" s="0" t="s">
        <v>128</v>
      </c>
      <c r="Y630" s="0" t="s">
        <v>196</v>
      </c>
      <c r="Z630" s="0" t="s">
        <v>2324</v>
      </c>
      <c r="AA630" s="0" t="s">
        <v>79</v>
      </c>
      <c r="AB630" s="5" t="n">
        <v>25000</v>
      </c>
      <c r="AC630" s="5" t="n">
        <v>30000</v>
      </c>
      <c r="AD630" s="0" t="s">
        <v>63</v>
      </c>
      <c r="AE630" s="5" t="n">
        <v>0</v>
      </c>
      <c r="AF630" s="0" t="s">
        <v>130</v>
      </c>
      <c r="AG630" s="7" t="s">
        <v>1347</v>
      </c>
      <c r="AH630" s="0" t="s">
        <v>63</v>
      </c>
      <c r="AI630" s="0" t="s">
        <v>2331</v>
      </c>
      <c r="AJ630" s="0" t="s">
        <v>2331</v>
      </c>
      <c r="AK630" s="0" t="s">
        <v>63</v>
      </c>
      <c r="AL630" s="0" t="s">
        <v>63</v>
      </c>
      <c r="AM630" s="0" t="s">
        <v>2344</v>
      </c>
      <c r="AN630" s="0" t="s">
        <v>2318</v>
      </c>
      <c r="AO630" s="0" t="s">
        <v>50</v>
      </c>
    </row>
    <row r="631" customFormat="false" ht="15" hidden="false" customHeight="false" outlineLevel="0" collapsed="false">
      <c r="A631" s="0" t="s">
        <v>1548</v>
      </c>
      <c r="B631" s="2" t="s">
        <v>1113</v>
      </c>
      <c r="C631" s="0" t="s">
        <v>121</v>
      </c>
      <c r="D631" s="0" t="n">
        <v>8028462384</v>
      </c>
      <c r="E631" s="0" t="s">
        <v>85</v>
      </c>
      <c r="F631" s="0" t="s">
        <v>2319</v>
      </c>
      <c r="G631" s="0" t="s">
        <v>1549</v>
      </c>
      <c r="H631" s="0" t="s">
        <v>87</v>
      </c>
      <c r="I631" s="3" t="s">
        <v>87</v>
      </c>
      <c r="J631" s="0" t="s">
        <v>2339</v>
      </c>
      <c r="K631" s="0" t="s">
        <v>48</v>
      </c>
      <c r="L631" s="4" t="n">
        <v>36812</v>
      </c>
      <c r="M631" s="0" t="s">
        <v>110</v>
      </c>
      <c r="N631" s="0" t="s">
        <v>50</v>
      </c>
      <c r="O631" s="5" t="n">
        <v>1</v>
      </c>
      <c r="P631" s="0" t="n">
        <v>3.4</v>
      </c>
      <c r="Q631" s="0" t="s">
        <v>111</v>
      </c>
      <c r="R631" s="0" t="s">
        <v>52</v>
      </c>
      <c r="S631" s="0" t="s">
        <v>53</v>
      </c>
      <c r="T631" s="0" t="s">
        <v>2343</v>
      </c>
      <c r="U631" s="5" t="n">
        <v>15</v>
      </c>
      <c r="V631" s="0" t="s">
        <v>2336</v>
      </c>
      <c r="W631" s="0" t="s">
        <v>148</v>
      </c>
      <c r="X631" s="0" t="s">
        <v>98</v>
      </c>
      <c r="Y631" s="0" t="s">
        <v>58</v>
      </c>
      <c r="Z631" s="0" t="s">
        <v>2329</v>
      </c>
      <c r="AA631" s="0" t="s">
        <v>79</v>
      </c>
      <c r="AB631" s="5" t="n">
        <v>25000</v>
      </c>
      <c r="AC631" s="5" t="n">
        <v>30000</v>
      </c>
      <c r="AD631" s="0" t="s">
        <v>50</v>
      </c>
      <c r="AE631" s="5" t="n">
        <v>0</v>
      </c>
      <c r="AF631" s="0" t="s">
        <v>60</v>
      </c>
      <c r="AG631" s="7" t="s">
        <v>2330</v>
      </c>
      <c r="AH631" s="0" t="s">
        <v>50</v>
      </c>
      <c r="AI631" s="0" t="s">
        <v>2331</v>
      </c>
      <c r="AJ631" s="0" t="s">
        <v>117</v>
      </c>
      <c r="AK631" s="0" t="s">
        <v>50</v>
      </c>
      <c r="AL631" s="0" t="s">
        <v>63</v>
      </c>
      <c r="AM631" s="0" t="s">
        <v>2344</v>
      </c>
      <c r="AN631" s="0" t="s">
        <v>2321</v>
      </c>
      <c r="AO631" s="0" t="s">
        <v>50</v>
      </c>
    </row>
    <row r="632" customFormat="false" ht="15" hidden="false" customHeight="false" outlineLevel="0" collapsed="false">
      <c r="A632" s="0" t="s">
        <v>1550</v>
      </c>
      <c r="B632" s="2" t="s">
        <v>534</v>
      </c>
      <c r="C632" s="0" t="s">
        <v>105</v>
      </c>
      <c r="D632" s="0" t="n">
        <v>8060267710</v>
      </c>
      <c r="E632" s="0" t="s">
        <v>67</v>
      </c>
      <c r="F632" s="0" t="s">
        <v>2316</v>
      </c>
      <c r="G632" s="0" t="s">
        <v>1551</v>
      </c>
      <c r="H632" s="0" t="s">
        <v>69</v>
      </c>
      <c r="I632" s="3" t="s">
        <v>87</v>
      </c>
      <c r="J632" s="0" t="s">
        <v>47</v>
      </c>
      <c r="K632" s="0" t="s">
        <v>48</v>
      </c>
      <c r="L632" s="4" t="n">
        <v>25793</v>
      </c>
      <c r="M632" s="0" t="s">
        <v>110</v>
      </c>
      <c r="N632" s="0" t="s">
        <v>50</v>
      </c>
      <c r="O632" s="5" t="n">
        <v>1</v>
      </c>
      <c r="P632" s="0" t="n">
        <v>4.1</v>
      </c>
      <c r="Q632" s="0" t="s">
        <v>125</v>
      </c>
      <c r="R632" s="0" t="s">
        <v>73</v>
      </c>
      <c r="S632" s="0" t="s">
        <v>2366</v>
      </c>
      <c r="T632" s="0" t="s">
        <v>54</v>
      </c>
      <c r="U632" s="5" t="n">
        <v>36.7021276595745</v>
      </c>
      <c r="V632" s="0" t="s">
        <v>112</v>
      </c>
      <c r="W632" s="0" t="s">
        <v>2337</v>
      </c>
      <c r="X632" s="0" t="s">
        <v>128</v>
      </c>
      <c r="Y632" s="0" t="s">
        <v>196</v>
      </c>
      <c r="Z632" s="0" t="s">
        <v>177</v>
      </c>
      <c r="AA632" s="0" t="s">
        <v>143</v>
      </c>
      <c r="AB632" s="5" t="n">
        <v>30000</v>
      </c>
      <c r="AC632" s="5" t="n">
        <v>30000</v>
      </c>
      <c r="AD632" s="0" t="s">
        <v>50</v>
      </c>
      <c r="AE632" s="5" t="n">
        <v>5000</v>
      </c>
      <c r="AF632" s="0" t="s">
        <v>60</v>
      </c>
      <c r="AG632" s="7" t="s">
        <v>2507</v>
      </c>
      <c r="AH632" s="0" t="s">
        <v>2329</v>
      </c>
      <c r="AI632" s="0" t="s">
        <v>2331</v>
      </c>
      <c r="AJ632" s="0" t="s">
        <v>2320</v>
      </c>
      <c r="AK632" s="0" t="s">
        <v>50</v>
      </c>
      <c r="AL632" s="0" t="s">
        <v>50</v>
      </c>
      <c r="AM632" s="0" t="s">
        <v>50</v>
      </c>
      <c r="AN632" s="0" t="s">
        <v>64</v>
      </c>
      <c r="AO632" s="0" t="s">
        <v>50</v>
      </c>
    </row>
    <row r="633" customFormat="false" ht="15" hidden="false" customHeight="false" outlineLevel="0" collapsed="false">
      <c r="A633" s="0" t="s">
        <v>1552</v>
      </c>
      <c r="B633" s="2" t="s">
        <v>1082</v>
      </c>
      <c r="C633" s="0" t="s">
        <v>121</v>
      </c>
      <c r="D633" s="0" t="n">
        <v>8076937935</v>
      </c>
      <c r="E633" s="0" t="s">
        <v>67</v>
      </c>
      <c r="F633" s="0" t="s">
        <v>2316</v>
      </c>
      <c r="G633" s="0" t="s">
        <v>1553</v>
      </c>
      <c r="H633" s="0" t="s">
        <v>69</v>
      </c>
      <c r="I633" s="3" t="s">
        <v>2317</v>
      </c>
      <c r="J633" s="0" t="s">
        <v>189</v>
      </c>
      <c r="K633" s="0" t="s">
        <v>109</v>
      </c>
      <c r="L633" s="4" t="n">
        <v>83565</v>
      </c>
      <c r="M633" s="0" t="s">
        <v>110</v>
      </c>
      <c r="N633" s="0" t="s">
        <v>63</v>
      </c>
      <c r="O633" s="5" t="n">
        <v>3</v>
      </c>
      <c r="P633" s="0" t="n">
        <v>1.5</v>
      </c>
      <c r="Q633" s="0" t="s">
        <v>51</v>
      </c>
      <c r="R633" s="0" t="s">
        <v>93</v>
      </c>
      <c r="S633" s="0" t="s">
        <v>2340</v>
      </c>
      <c r="T633" s="0" t="s">
        <v>2353</v>
      </c>
      <c r="U633" s="5" t="n">
        <v>60</v>
      </c>
      <c r="V633" s="0" t="s">
        <v>2352</v>
      </c>
      <c r="W633" s="0" t="s">
        <v>2337</v>
      </c>
      <c r="X633" s="0" t="s">
        <v>98</v>
      </c>
      <c r="Y633" s="0" t="s">
        <v>114</v>
      </c>
      <c r="Z633" s="0" t="s">
        <v>2326</v>
      </c>
      <c r="AA633" s="0" t="s">
        <v>161</v>
      </c>
      <c r="AB633" s="5" t="n">
        <v>24736.8421052632</v>
      </c>
      <c r="AC633" s="5" t="n">
        <v>40000</v>
      </c>
      <c r="AD633" s="0" t="s">
        <v>63</v>
      </c>
      <c r="AE633" s="5" t="n">
        <v>0</v>
      </c>
      <c r="AF633" s="0" t="s">
        <v>2338</v>
      </c>
      <c r="AG633" s="7" t="s">
        <v>2427</v>
      </c>
      <c r="AH633" s="0" t="s">
        <v>63</v>
      </c>
      <c r="AI633" s="0" t="s">
        <v>171</v>
      </c>
      <c r="AJ633" s="0" t="s">
        <v>172</v>
      </c>
      <c r="AK633" s="0" t="s">
        <v>63</v>
      </c>
      <c r="AL633" s="0" t="s">
        <v>63</v>
      </c>
      <c r="AM633" s="0" t="s">
        <v>2344</v>
      </c>
      <c r="AN633" s="0" t="s">
        <v>2321</v>
      </c>
      <c r="AO633" s="0" t="s">
        <v>63</v>
      </c>
    </row>
    <row r="634" customFormat="false" ht="15" hidden="false" customHeight="false" outlineLevel="0" collapsed="false">
      <c r="A634" s="0" t="s">
        <v>1554</v>
      </c>
      <c r="B634" s="2" t="s">
        <v>592</v>
      </c>
      <c r="C634" s="0" t="s">
        <v>66</v>
      </c>
      <c r="D634" s="0" t="n">
        <v>8049810955</v>
      </c>
      <c r="E634" s="0" t="s">
        <v>139</v>
      </c>
      <c r="F634" s="0" t="s">
        <v>2323</v>
      </c>
      <c r="G634" s="0" t="s">
        <v>1555</v>
      </c>
      <c r="H634" s="0" t="s">
        <v>134</v>
      </c>
      <c r="I634" s="3" t="s">
        <v>2317</v>
      </c>
      <c r="J634" s="0" t="s">
        <v>2349</v>
      </c>
      <c r="K634" s="0" t="s">
        <v>48</v>
      </c>
      <c r="L634" s="4" t="n">
        <v>10716</v>
      </c>
      <c r="M634" s="0" t="s">
        <v>49</v>
      </c>
      <c r="N634" s="0" t="s">
        <v>50</v>
      </c>
      <c r="O634" s="5" t="n">
        <v>5</v>
      </c>
      <c r="P634" s="0" t="n">
        <v>4.2</v>
      </c>
      <c r="Q634" s="0" t="s">
        <v>2334</v>
      </c>
      <c r="R634" s="0" t="s">
        <v>93</v>
      </c>
      <c r="S634" s="0" t="s">
        <v>2366</v>
      </c>
      <c r="T634" s="0" t="s">
        <v>95</v>
      </c>
      <c r="U634" s="5" t="n">
        <v>45</v>
      </c>
      <c r="V634" s="0" t="s">
        <v>55</v>
      </c>
      <c r="W634" s="0" t="s">
        <v>155</v>
      </c>
      <c r="X634" s="0" t="s">
        <v>98</v>
      </c>
      <c r="Y634" s="0" t="s">
        <v>196</v>
      </c>
      <c r="Z634" s="0" t="s">
        <v>2329</v>
      </c>
      <c r="AA634" s="0" t="s">
        <v>149</v>
      </c>
      <c r="AB634" s="5" t="n">
        <v>25543.4782608696</v>
      </c>
      <c r="AC634" s="5" t="n">
        <v>40000</v>
      </c>
      <c r="AD634" s="0" t="s">
        <v>63</v>
      </c>
      <c r="AE634" s="5" t="n">
        <v>5000</v>
      </c>
      <c r="AF634" s="0" t="s">
        <v>60</v>
      </c>
      <c r="AG634" s="7" t="s">
        <v>2330</v>
      </c>
      <c r="AH634" s="0" t="s">
        <v>63</v>
      </c>
      <c r="AI634" s="0" t="s">
        <v>2331</v>
      </c>
      <c r="AJ634" s="0" t="s">
        <v>172</v>
      </c>
      <c r="AK634" s="0" t="s">
        <v>50</v>
      </c>
      <c r="AL634" s="0" t="s">
        <v>63</v>
      </c>
      <c r="AM634" s="0" t="s">
        <v>63</v>
      </c>
      <c r="AN634" s="0" t="s">
        <v>64</v>
      </c>
      <c r="AO634" s="0" t="s">
        <v>63</v>
      </c>
    </row>
    <row r="635" customFormat="false" ht="15" hidden="false" customHeight="false" outlineLevel="0" collapsed="false">
      <c r="A635" s="0" t="s">
        <v>1556</v>
      </c>
      <c r="B635" s="2" t="s">
        <v>1370</v>
      </c>
      <c r="C635" s="0" t="s">
        <v>163</v>
      </c>
      <c r="D635" s="0" t="n">
        <v>8037113563</v>
      </c>
      <c r="E635" s="0" t="s">
        <v>122</v>
      </c>
      <c r="F635" s="0" t="s">
        <v>2316</v>
      </c>
      <c r="G635" s="0" t="s">
        <v>1557</v>
      </c>
      <c r="H635" s="0" t="s">
        <v>107</v>
      </c>
      <c r="I635" s="3" t="s">
        <v>2325</v>
      </c>
      <c r="J635" s="0" t="s">
        <v>2339</v>
      </c>
      <c r="K635" s="0" t="s">
        <v>48</v>
      </c>
      <c r="L635" s="4" t="n">
        <v>53746</v>
      </c>
      <c r="M635" s="0" t="s">
        <v>49</v>
      </c>
      <c r="N635" s="0" t="s">
        <v>50</v>
      </c>
      <c r="O635" s="5" t="n">
        <v>5</v>
      </c>
      <c r="P635" s="0" t="n">
        <v>1.7</v>
      </c>
      <c r="Q635" s="0" t="s">
        <v>2334</v>
      </c>
      <c r="R635" s="0" t="s">
        <v>93</v>
      </c>
      <c r="S635" s="0" t="s">
        <v>53</v>
      </c>
      <c r="T635" s="0" t="s">
        <v>95</v>
      </c>
      <c r="U635" s="5" t="n">
        <v>45</v>
      </c>
      <c r="V635" s="0" t="s">
        <v>55</v>
      </c>
      <c r="W635" s="0" t="s">
        <v>155</v>
      </c>
      <c r="X635" s="0" t="s">
        <v>78</v>
      </c>
      <c r="Y635" s="0" t="s">
        <v>196</v>
      </c>
      <c r="Z635" s="0" t="s">
        <v>2324</v>
      </c>
      <c r="AA635" s="0" t="s">
        <v>79</v>
      </c>
      <c r="AB635" s="5" t="n">
        <v>15000</v>
      </c>
      <c r="AC635" s="5" t="n">
        <v>20000</v>
      </c>
      <c r="AD635" s="0" t="s">
        <v>50</v>
      </c>
      <c r="AE635" s="5" t="n">
        <v>5000</v>
      </c>
      <c r="AF635" s="0" t="s">
        <v>2338</v>
      </c>
      <c r="AG635" s="7" t="s">
        <v>974</v>
      </c>
      <c r="AH635" s="0" t="s">
        <v>63</v>
      </c>
      <c r="AI635" s="0" t="s">
        <v>2331</v>
      </c>
      <c r="AJ635" s="0" t="s">
        <v>2331</v>
      </c>
      <c r="AK635" s="0" t="s">
        <v>50</v>
      </c>
      <c r="AL635" s="0" t="s">
        <v>63</v>
      </c>
      <c r="AM635" s="0" t="s">
        <v>2344</v>
      </c>
      <c r="AN635" s="0" t="s">
        <v>2321</v>
      </c>
      <c r="AO635" s="0" t="s">
        <v>50</v>
      </c>
    </row>
    <row r="636" customFormat="false" ht="15" hidden="false" customHeight="false" outlineLevel="0" collapsed="false">
      <c r="A636" s="0" t="s">
        <v>1558</v>
      </c>
      <c r="B636" s="2" t="s">
        <v>2408</v>
      </c>
      <c r="C636" s="0" t="s">
        <v>42</v>
      </c>
      <c r="D636" s="0" t="n">
        <v>8030356881</v>
      </c>
      <c r="E636" s="0" t="s">
        <v>122</v>
      </c>
      <c r="F636" s="0" t="s">
        <v>2316</v>
      </c>
      <c r="G636" s="0" t="s">
        <v>1268</v>
      </c>
      <c r="H636" s="0" t="s">
        <v>87</v>
      </c>
      <c r="I636" s="3" t="s">
        <v>2317</v>
      </c>
      <c r="J636" s="0" t="s">
        <v>2339</v>
      </c>
      <c r="K636" s="0" t="s">
        <v>48</v>
      </c>
      <c r="L636" s="4" t="n">
        <v>36078</v>
      </c>
      <c r="M636" s="0" t="s">
        <v>49</v>
      </c>
      <c r="N636" s="0" t="s">
        <v>63</v>
      </c>
      <c r="O636" s="5" t="n">
        <v>2</v>
      </c>
      <c r="P636" s="0" t="n">
        <v>4.8</v>
      </c>
      <c r="Q636" s="0" t="s">
        <v>125</v>
      </c>
      <c r="R636" s="0" t="s">
        <v>52</v>
      </c>
      <c r="S636" s="0" t="s">
        <v>2340</v>
      </c>
      <c r="T636" s="0" t="s">
        <v>54</v>
      </c>
      <c r="U636" s="5" t="n">
        <v>45</v>
      </c>
      <c r="V636" s="0" t="s">
        <v>112</v>
      </c>
      <c r="W636" s="0" t="s">
        <v>2337</v>
      </c>
      <c r="X636" s="0" t="s">
        <v>98</v>
      </c>
      <c r="Y636" s="0" t="s">
        <v>99</v>
      </c>
      <c r="Z636" s="0" t="s">
        <v>59</v>
      </c>
      <c r="AA636" s="0" t="s">
        <v>149</v>
      </c>
      <c r="AB636" s="5" t="n">
        <v>30000</v>
      </c>
      <c r="AC636" s="5" t="n">
        <v>20000</v>
      </c>
      <c r="AD636" s="0" t="s">
        <v>50</v>
      </c>
      <c r="AE636" s="5" t="n">
        <v>0</v>
      </c>
      <c r="AF636" s="0" t="s">
        <v>2338</v>
      </c>
      <c r="AG636" s="7" t="s">
        <v>2330</v>
      </c>
      <c r="AH636" s="0" t="s">
        <v>63</v>
      </c>
      <c r="AI636" s="0" t="s">
        <v>2331</v>
      </c>
      <c r="AJ636" s="0" t="s">
        <v>2331</v>
      </c>
      <c r="AK636" s="0" t="s">
        <v>63</v>
      </c>
      <c r="AL636" s="0" t="s">
        <v>63</v>
      </c>
      <c r="AM636" s="0" t="s">
        <v>63</v>
      </c>
      <c r="AN636" s="0" t="s">
        <v>64</v>
      </c>
      <c r="AO636" s="0" t="s">
        <v>2359</v>
      </c>
    </row>
    <row r="637" customFormat="false" ht="15" hidden="false" customHeight="false" outlineLevel="0" collapsed="false">
      <c r="A637" s="0" t="s">
        <v>1559</v>
      </c>
      <c r="B637" s="2" t="s">
        <v>299</v>
      </c>
      <c r="C637" s="0" t="s">
        <v>121</v>
      </c>
      <c r="D637" s="0" t="n">
        <v>8060432035</v>
      </c>
      <c r="E637" s="0" t="s">
        <v>85</v>
      </c>
      <c r="F637" s="0" t="s">
        <v>2319</v>
      </c>
      <c r="G637" s="0" t="s">
        <v>1560</v>
      </c>
      <c r="H637" s="0" t="s">
        <v>69</v>
      </c>
      <c r="I637" s="3" t="s">
        <v>2322</v>
      </c>
      <c r="J637" s="0" t="s">
        <v>2341</v>
      </c>
      <c r="K637" s="0" t="s">
        <v>71</v>
      </c>
      <c r="L637" s="4" t="n">
        <v>97955</v>
      </c>
      <c r="M637" s="0" t="s">
        <v>110</v>
      </c>
      <c r="N637" s="0" t="s">
        <v>63</v>
      </c>
      <c r="O637" s="5" t="n">
        <v>3.12292358803987</v>
      </c>
      <c r="P637" s="0" t="n">
        <v>3.7</v>
      </c>
      <c r="Q637" s="0" t="s">
        <v>111</v>
      </c>
      <c r="R637" s="0" t="s">
        <v>52</v>
      </c>
      <c r="S637" s="0" t="s">
        <v>53</v>
      </c>
      <c r="T637" s="0" t="s">
        <v>147</v>
      </c>
      <c r="U637" s="5" t="n">
        <v>30</v>
      </c>
      <c r="V637" s="0" t="s">
        <v>2352</v>
      </c>
      <c r="W637" s="0" t="s">
        <v>2328</v>
      </c>
      <c r="X637" s="0" t="s">
        <v>128</v>
      </c>
      <c r="Y637" s="0" t="s">
        <v>99</v>
      </c>
      <c r="Z637" s="0" t="s">
        <v>59</v>
      </c>
      <c r="AA637" s="0" t="s">
        <v>149</v>
      </c>
      <c r="AB637" s="5" t="n">
        <v>27181.8181818182</v>
      </c>
      <c r="AC637" s="5" t="n">
        <v>35000</v>
      </c>
      <c r="AD637" s="0" t="s">
        <v>63</v>
      </c>
      <c r="AE637" s="5" t="n">
        <v>10000</v>
      </c>
      <c r="AF637" s="0" t="s">
        <v>184</v>
      </c>
      <c r="AG637" s="7" t="s">
        <v>2402</v>
      </c>
      <c r="AH637" s="0" t="s">
        <v>2329</v>
      </c>
      <c r="AI637" s="0" t="s">
        <v>171</v>
      </c>
      <c r="AJ637" s="0" t="s">
        <v>117</v>
      </c>
      <c r="AK637" s="0" t="s">
        <v>50</v>
      </c>
      <c r="AL637" s="0" t="s">
        <v>63</v>
      </c>
      <c r="AM637" s="0" t="s">
        <v>2344</v>
      </c>
      <c r="AN637" s="0" t="s">
        <v>2321</v>
      </c>
      <c r="AO637" s="0" t="s">
        <v>50</v>
      </c>
    </row>
    <row r="638" customFormat="false" ht="15" hidden="false" customHeight="false" outlineLevel="0" collapsed="false">
      <c r="A638" s="0" t="s">
        <v>1561</v>
      </c>
      <c r="B638" s="2" t="s">
        <v>2436</v>
      </c>
      <c r="C638" s="0" t="s">
        <v>66</v>
      </c>
      <c r="D638" s="0" t="n">
        <v>8037432134</v>
      </c>
      <c r="E638" s="0" t="s">
        <v>85</v>
      </c>
      <c r="F638" s="0" t="s">
        <v>2319</v>
      </c>
      <c r="G638" s="0" t="s">
        <v>1562</v>
      </c>
      <c r="H638" s="0" t="s">
        <v>107</v>
      </c>
      <c r="I638" s="3" t="s">
        <v>2342</v>
      </c>
      <c r="J638" s="0" t="s">
        <v>2339</v>
      </c>
      <c r="K638" s="0" t="s">
        <v>48</v>
      </c>
      <c r="L638" s="4" t="n">
        <v>115336</v>
      </c>
      <c r="M638" s="0" t="s">
        <v>110</v>
      </c>
      <c r="N638" s="0" t="s">
        <v>50</v>
      </c>
      <c r="O638" s="5" t="n">
        <v>2</v>
      </c>
      <c r="P638" s="0" t="n">
        <v>3.3</v>
      </c>
      <c r="Q638" s="0" t="s">
        <v>125</v>
      </c>
      <c r="R638" s="0" t="s">
        <v>73</v>
      </c>
      <c r="S638" s="0" t="s">
        <v>53</v>
      </c>
      <c r="T638" s="0" t="s">
        <v>147</v>
      </c>
      <c r="U638" s="5" t="n">
        <v>45</v>
      </c>
      <c r="V638" s="0" t="s">
        <v>112</v>
      </c>
      <c r="W638" s="0" t="s">
        <v>2328</v>
      </c>
      <c r="X638" s="0" t="s">
        <v>98</v>
      </c>
      <c r="Y638" s="0" t="s">
        <v>196</v>
      </c>
      <c r="Z638" s="0" t="s">
        <v>177</v>
      </c>
      <c r="AA638" s="0" t="s">
        <v>161</v>
      </c>
      <c r="AB638" s="5" t="n">
        <v>20000</v>
      </c>
      <c r="AC638" s="5" t="n">
        <v>35000</v>
      </c>
      <c r="AD638" s="0" t="s">
        <v>50</v>
      </c>
      <c r="AE638" s="5" t="n">
        <v>5000</v>
      </c>
      <c r="AF638" s="0" t="s">
        <v>60</v>
      </c>
      <c r="AG638" s="7" t="s">
        <v>1563</v>
      </c>
      <c r="AH638" s="0" t="s">
        <v>63</v>
      </c>
      <c r="AI638" s="0" t="s">
        <v>116</v>
      </c>
      <c r="AJ638" s="0" t="s">
        <v>172</v>
      </c>
      <c r="AK638" s="0" t="s">
        <v>2344</v>
      </c>
      <c r="AL638" s="0" t="s">
        <v>63</v>
      </c>
      <c r="AM638" s="0" t="s">
        <v>50</v>
      </c>
      <c r="AN638" s="0" t="s">
        <v>64</v>
      </c>
      <c r="AO638" s="0" t="s">
        <v>50</v>
      </c>
    </row>
    <row r="639" customFormat="false" ht="15" hidden="false" customHeight="false" outlineLevel="0" collapsed="false">
      <c r="A639" s="0" t="s">
        <v>1564</v>
      </c>
      <c r="B639" s="2" t="s">
        <v>2427</v>
      </c>
      <c r="C639" s="0" t="s">
        <v>42</v>
      </c>
      <c r="D639" s="0" t="n">
        <v>8096173002</v>
      </c>
      <c r="E639" s="0" t="s">
        <v>43</v>
      </c>
      <c r="F639" s="0" t="s">
        <v>2315</v>
      </c>
      <c r="G639" s="0" t="s">
        <v>1565</v>
      </c>
      <c r="H639" s="0" t="s">
        <v>134</v>
      </c>
      <c r="I639" s="3" t="s">
        <v>2325</v>
      </c>
      <c r="J639" s="0" t="s">
        <v>2349</v>
      </c>
      <c r="K639" s="0" t="s">
        <v>48</v>
      </c>
      <c r="L639" s="4" t="n">
        <v>111843</v>
      </c>
      <c r="M639" s="0" t="s">
        <v>110</v>
      </c>
      <c r="N639" s="0" t="s">
        <v>50</v>
      </c>
      <c r="O639" s="5" t="n">
        <v>1</v>
      </c>
      <c r="P639" s="0" t="n">
        <v>3.9</v>
      </c>
      <c r="Q639" s="0" t="s">
        <v>125</v>
      </c>
      <c r="R639" s="0" t="s">
        <v>93</v>
      </c>
      <c r="S639" s="0" t="s">
        <v>2340</v>
      </c>
      <c r="T639" s="0" t="s">
        <v>75</v>
      </c>
      <c r="U639" s="5" t="n">
        <v>30</v>
      </c>
      <c r="V639" s="0" t="s">
        <v>2336</v>
      </c>
      <c r="W639" s="0" t="s">
        <v>2337</v>
      </c>
      <c r="X639" s="0" t="s">
        <v>98</v>
      </c>
      <c r="Y639" s="0" t="s">
        <v>196</v>
      </c>
      <c r="Z639" s="0" t="s">
        <v>2326</v>
      </c>
      <c r="AA639" s="0" t="s">
        <v>149</v>
      </c>
      <c r="AB639" s="5" t="n">
        <v>30000</v>
      </c>
      <c r="AC639" s="5" t="n">
        <v>30000</v>
      </c>
      <c r="AD639" s="0" t="s">
        <v>63</v>
      </c>
      <c r="AE639" s="5" t="n">
        <v>5000</v>
      </c>
      <c r="AF639" s="0" t="s">
        <v>130</v>
      </c>
      <c r="AG639" s="7" t="s">
        <v>2397</v>
      </c>
      <c r="AH639" s="0" t="s">
        <v>50</v>
      </c>
      <c r="AI639" s="0" t="s">
        <v>2331</v>
      </c>
      <c r="AJ639" s="0" t="s">
        <v>2331</v>
      </c>
      <c r="AK639" s="0" t="s">
        <v>50</v>
      </c>
      <c r="AL639" s="0" t="s">
        <v>2344</v>
      </c>
      <c r="AM639" s="0" t="s">
        <v>2344</v>
      </c>
      <c r="AN639" s="0" t="s">
        <v>2321</v>
      </c>
      <c r="AO639" s="0" t="s">
        <v>50</v>
      </c>
    </row>
    <row r="640" customFormat="false" ht="15" hidden="false" customHeight="false" outlineLevel="0" collapsed="false">
      <c r="A640" s="0" t="s">
        <v>1566</v>
      </c>
      <c r="B640" s="2" t="s">
        <v>2436</v>
      </c>
      <c r="C640" s="0" t="s">
        <v>105</v>
      </c>
      <c r="D640" s="0" t="n">
        <v>8015087753</v>
      </c>
      <c r="E640" s="0" t="s">
        <v>43</v>
      </c>
      <c r="F640" s="0" t="s">
        <v>2315</v>
      </c>
      <c r="G640" s="0" t="s">
        <v>1567</v>
      </c>
      <c r="H640" s="0" t="s">
        <v>107</v>
      </c>
      <c r="I640" s="3" t="s">
        <v>2325</v>
      </c>
      <c r="J640" s="0" t="s">
        <v>189</v>
      </c>
      <c r="K640" s="0" t="s">
        <v>71</v>
      </c>
      <c r="L640" s="4" t="n">
        <v>36262</v>
      </c>
      <c r="M640" s="0" t="s">
        <v>49</v>
      </c>
      <c r="N640" s="0" t="s">
        <v>63</v>
      </c>
      <c r="O640" s="5" t="n">
        <v>3.13377926421405</v>
      </c>
      <c r="P640" s="0" t="n">
        <v>4.7</v>
      </c>
      <c r="Q640" s="0" t="s">
        <v>2334</v>
      </c>
      <c r="R640" s="0" t="s">
        <v>73</v>
      </c>
      <c r="S640" s="0" t="s">
        <v>53</v>
      </c>
      <c r="T640" s="0" t="s">
        <v>2353</v>
      </c>
      <c r="U640" s="5" t="n">
        <v>45</v>
      </c>
      <c r="V640" s="0" t="s">
        <v>2336</v>
      </c>
      <c r="W640" s="0" t="s">
        <v>148</v>
      </c>
      <c r="X640" s="0" t="s">
        <v>98</v>
      </c>
      <c r="Y640" s="0" t="s">
        <v>196</v>
      </c>
      <c r="Z640" s="0" t="s">
        <v>2326</v>
      </c>
      <c r="AA640" s="0" t="s">
        <v>161</v>
      </c>
      <c r="AB640" s="5" t="n">
        <v>15000</v>
      </c>
      <c r="AC640" s="5" t="n">
        <v>35000</v>
      </c>
      <c r="AD640" s="0" t="s">
        <v>63</v>
      </c>
      <c r="AE640" s="5" t="n">
        <v>5000</v>
      </c>
      <c r="AF640" s="0" t="s">
        <v>184</v>
      </c>
      <c r="AG640" s="7" t="s">
        <v>2330</v>
      </c>
      <c r="AH640" s="0" t="s">
        <v>50</v>
      </c>
      <c r="AI640" s="0" t="s">
        <v>116</v>
      </c>
      <c r="AJ640" s="0" t="s">
        <v>2331</v>
      </c>
      <c r="AK640" s="0" t="s">
        <v>2344</v>
      </c>
      <c r="AL640" s="0" t="s">
        <v>63</v>
      </c>
      <c r="AM640" s="0" t="s">
        <v>2344</v>
      </c>
      <c r="AN640" s="0" t="s">
        <v>64</v>
      </c>
      <c r="AO640" s="0" t="s">
        <v>50</v>
      </c>
    </row>
    <row r="641" customFormat="false" ht="15" hidden="false" customHeight="false" outlineLevel="0" collapsed="false">
      <c r="A641" s="0" t="s">
        <v>1568</v>
      </c>
      <c r="B641" s="2" t="s">
        <v>2383</v>
      </c>
      <c r="C641" s="0" t="s">
        <v>42</v>
      </c>
      <c r="D641" s="0" t="n">
        <v>8041952404</v>
      </c>
      <c r="E641" s="0" t="s">
        <v>139</v>
      </c>
      <c r="F641" s="0" t="s">
        <v>2323</v>
      </c>
      <c r="G641" s="0" t="s">
        <v>1569</v>
      </c>
      <c r="H641" s="0" t="s">
        <v>107</v>
      </c>
      <c r="I641" s="3" t="s">
        <v>2322</v>
      </c>
      <c r="J641" s="0" t="s">
        <v>189</v>
      </c>
      <c r="K641" s="0" t="s">
        <v>71</v>
      </c>
      <c r="L641" s="4" t="n">
        <v>89555</v>
      </c>
      <c r="M641" s="0" t="s">
        <v>2333</v>
      </c>
      <c r="N641" s="0" t="s">
        <v>50</v>
      </c>
      <c r="O641" s="5" t="n">
        <v>1</v>
      </c>
      <c r="P641" s="0" t="n">
        <v>3.4</v>
      </c>
      <c r="Q641" s="0" t="s">
        <v>92</v>
      </c>
      <c r="R641" s="0" t="s">
        <v>93</v>
      </c>
      <c r="S641" s="0" t="s">
        <v>2335</v>
      </c>
      <c r="T641" s="0" t="s">
        <v>54</v>
      </c>
      <c r="U641" s="5" t="n">
        <v>40.125</v>
      </c>
      <c r="V641" s="0" t="s">
        <v>2352</v>
      </c>
      <c r="W641" s="0" t="s">
        <v>2337</v>
      </c>
      <c r="X641" s="0" t="s">
        <v>128</v>
      </c>
      <c r="Y641" s="0" t="s">
        <v>114</v>
      </c>
      <c r="Z641" s="0" t="s">
        <v>2329</v>
      </c>
      <c r="AA641" s="0" t="s">
        <v>79</v>
      </c>
      <c r="AB641" s="5" t="n">
        <v>20000</v>
      </c>
      <c r="AC641" s="5" t="n">
        <v>31523.178807947</v>
      </c>
      <c r="AD641" s="0" t="s">
        <v>50</v>
      </c>
      <c r="AE641" s="5" t="n">
        <v>5000</v>
      </c>
      <c r="AF641" s="0" t="s">
        <v>184</v>
      </c>
      <c r="AG641" s="7" t="s">
        <v>2330</v>
      </c>
      <c r="AH641" s="0" t="s">
        <v>63</v>
      </c>
      <c r="AI641" s="0" t="s">
        <v>2331</v>
      </c>
      <c r="AJ641" s="0" t="s">
        <v>172</v>
      </c>
      <c r="AK641" s="0" t="s">
        <v>50</v>
      </c>
      <c r="AL641" s="0" t="s">
        <v>63</v>
      </c>
      <c r="AM641" s="0" t="s">
        <v>2344</v>
      </c>
      <c r="AN641" s="0" t="s">
        <v>64</v>
      </c>
      <c r="AO641" s="0" t="s">
        <v>63</v>
      </c>
    </row>
    <row r="642" customFormat="false" ht="15" hidden="false" customHeight="false" outlineLevel="0" collapsed="false">
      <c r="A642" s="0" t="s">
        <v>1570</v>
      </c>
      <c r="B642" s="2" t="s">
        <v>2423</v>
      </c>
      <c r="C642" s="0" t="s">
        <v>163</v>
      </c>
      <c r="D642" s="0" t="n">
        <v>8090272292</v>
      </c>
      <c r="E642" s="0" t="s">
        <v>67</v>
      </c>
      <c r="F642" s="0" t="s">
        <v>2316</v>
      </c>
      <c r="G642" s="0" t="s">
        <v>1571</v>
      </c>
      <c r="H642" s="0" t="s">
        <v>107</v>
      </c>
      <c r="I642" s="3" t="s">
        <v>2322</v>
      </c>
      <c r="J642" s="0" t="s">
        <v>2349</v>
      </c>
      <c r="K642" s="0" t="s">
        <v>48</v>
      </c>
      <c r="L642" s="4" t="n">
        <v>62766</v>
      </c>
      <c r="M642" s="0" t="s">
        <v>110</v>
      </c>
      <c r="N642" s="0" t="s">
        <v>50</v>
      </c>
      <c r="O642" s="5" t="n">
        <v>2</v>
      </c>
      <c r="P642" s="0" t="n">
        <v>4.7</v>
      </c>
      <c r="Q642" s="0" t="s">
        <v>2334</v>
      </c>
      <c r="R642" s="0" t="s">
        <v>93</v>
      </c>
      <c r="S642" s="0" t="s">
        <v>2340</v>
      </c>
      <c r="T642" s="0" t="s">
        <v>147</v>
      </c>
      <c r="U642" s="5" t="n">
        <v>45</v>
      </c>
      <c r="V642" s="0" t="s">
        <v>2336</v>
      </c>
      <c r="W642" s="0" t="s">
        <v>2337</v>
      </c>
      <c r="X642" s="0" t="s">
        <v>128</v>
      </c>
      <c r="Y642" s="0" t="s">
        <v>114</v>
      </c>
      <c r="Z642" s="0" t="s">
        <v>2329</v>
      </c>
      <c r="AA642" s="0" t="s">
        <v>79</v>
      </c>
      <c r="AB642" s="5" t="n">
        <v>25000</v>
      </c>
      <c r="AC642" s="5" t="n">
        <v>35000</v>
      </c>
      <c r="AD642" s="0" t="s">
        <v>50</v>
      </c>
      <c r="AE642" s="5" t="n">
        <v>5000</v>
      </c>
      <c r="AF642" s="0" t="s">
        <v>130</v>
      </c>
      <c r="AG642" s="7" t="s">
        <v>2330</v>
      </c>
      <c r="AH642" s="0" t="s">
        <v>50</v>
      </c>
      <c r="AI642" s="0" t="s">
        <v>2331</v>
      </c>
      <c r="AJ642" s="0" t="s">
        <v>117</v>
      </c>
      <c r="AK642" s="0" t="s">
        <v>50</v>
      </c>
      <c r="AL642" s="0" t="s">
        <v>2344</v>
      </c>
      <c r="AM642" s="0" t="s">
        <v>63</v>
      </c>
      <c r="AN642" s="0" t="s">
        <v>2318</v>
      </c>
      <c r="AO642" s="0" t="s">
        <v>2359</v>
      </c>
    </row>
    <row r="643" customFormat="false" ht="15" hidden="false" customHeight="false" outlineLevel="0" collapsed="false">
      <c r="A643" s="0" t="s">
        <v>1572</v>
      </c>
      <c r="B643" s="2" t="s">
        <v>222</v>
      </c>
      <c r="C643" s="0" t="s">
        <v>66</v>
      </c>
      <c r="D643" s="0" t="n">
        <v>8069555922</v>
      </c>
      <c r="E643" s="0" t="s">
        <v>85</v>
      </c>
      <c r="F643" s="0" t="s">
        <v>2319</v>
      </c>
      <c r="G643" s="0" t="s">
        <v>1573</v>
      </c>
      <c r="H643" s="0" t="s">
        <v>69</v>
      </c>
      <c r="I643" s="3" t="s">
        <v>2322</v>
      </c>
      <c r="J643" s="0" t="s">
        <v>2339</v>
      </c>
      <c r="K643" s="0" t="s">
        <v>48</v>
      </c>
      <c r="L643" s="4" t="n">
        <v>30523</v>
      </c>
      <c r="M643" s="0" t="s">
        <v>110</v>
      </c>
      <c r="N643" s="0" t="s">
        <v>50</v>
      </c>
      <c r="O643" s="5" t="n">
        <v>2</v>
      </c>
      <c r="P643" s="0" t="n">
        <v>5.9</v>
      </c>
      <c r="Q643" s="0" t="s">
        <v>2334</v>
      </c>
      <c r="R643" s="0" t="s">
        <v>93</v>
      </c>
      <c r="S643" s="0" t="s">
        <v>53</v>
      </c>
      <c r="T643" s="0" t="s">
        <v>54</v>
      </c>
      <c r="U643" s="5" t="n">
        <v>45</v>
      </c>
      <c r="V643" s="0" t="s">
        <v>2352</v>
      </c>
      <c r="W643" s="0" t="s">
        <v>155</v>
      </c>
      <c r="X643" s="0" t="s">
        <v>128</v>
      </c>
      <c r="Y643" s="0" t="s">
        <v>114</v>
      </c>
      <c r="Z643" s="0" t="s">
        <v>59</v>
      </c>
      <c r="AA643" s="0" t="s">
        <v>79</v>
      </c>
      <c r="AB643" s="5" t="n">
        <v>40000</v>
      </c>
      <c r="AC643" s="5" t="n">
        <v>40000</v>
      </c>
      <c r="AD643" s="0" t="s">
        <v>50</v>
      </c>
      <c r="AE643" s="5" t="n">
        <v>5000</v>
      </c>
      <c r="AF643" s="0" t="s">
        <v>60</v>
      </c>
      <c r="AG643" s="7" t="s">
        <v>2330</v>
      </c>
      <c r="AH643" s="0" t="s">
        <v>50</v>
      </c>
      <c r="AI643" s="0" t="s">
        <v>2331</v>
      </c>
      <c r="AJ643" s="0" t="s">
        <v>172</v>
      </c>
      <c r="AK643" s="0" t="s">
        <v>63</v>
      </c>
      <c r="AL643" s="0" t="s">
        <v>2344</v>
      </c>
      <c r="AM643" s="0" t="s">
        <v>2344</v>
      </c>
      <c r="AN643" s="0" t="s">
        <v>64</v>
      </c>
      <c r="AO643" s="0" t="s">
        <v>63</v>
      </c>
    </row>
    <row r="644" customFormat="false" ht="15" hidden="false" customHeight="false" outlineLevel="0" collapsed="false">
      <c r="A644" s="0" t="s">
        <v>1574</v>
      </c>
      <c r="B644" s="2" t="s">
        <v>2474</v>
      </c>
      <c r="C644" s="0" t="s">
        <v>163</v>
      </c>
      <c r="D644" s="0" t="n">
        <v>8054116005</v>
      </c>
      <c r="E644" s="0" t="s">
        <v>67</v>
      </c>
      <c r="F644" s="0" t="s">
        <v>2316</v>
      </c>
      <c r="G644" s="0" t="s">
        <v>1575</v>
      </c>
      <c r="H644" s="0" t="s">
        <v>134</v>
      </c>
      <c r="I644" s="3" t="s">
        <v>2342</v>
      </c>
      <c r="J644" s="0" t="s">
        <v>189</v>
      </c>
      <c r="K644" s="0" t="s">
        <v>90</v>
      </c>
      <c r="L644" s="4" t="n">
        <v>117817</v>
      </c>
      <c r="M644" s="0" t="s">
        <v>110</v>
      </c>
      <c r="N644" s="0" t="s">
        <v>50</v>
      </c>
      <c r="O644" s="5" t="n">
        <v>1</v>
      </c>
      <c r="P644" s="0" t="n">
        <v>5.3</v>
      </c>
      <c r="Q644" s="0" t="s">
        <v>51</v>
      </c>
      <c r="R644" s="0" t="s">
        <v>52</v>
      </c>
      <c r="S644" s="0" t="s">
        <v>53</v>
      </c>
      <c r="T644" s="0" t="s">
        <v>75</v>
      </c>
      <c r="U644" s="5" t="n">
        <v>15</v>
      </c>
      <c r="V644" s="0" t="s">
        <v>96</v>
      </c>
      <c r="W644" s="0" t="s">
        <v>2328</v>
      </c>
      <c r="X644" s="0" t="s">
        <v>98</v>
      </c>
      <c r="Y644" s="0" t="s">
        <v>114</v>
      </c>
      <c r="Z644" s="0" t="s">
        <v>2329</v>
      </c>
      <c r="AA644" s="0" t="s">
        <v>2329</v>
      </c>
      <c r="AB644" s="5" t="n">
        <v>30000</v>
      </c>
      <c r="AC644" s="5" t="n">
        <v>31483.3333333333</v>
      </c>
      <c r="AD644" s="0" t="s">
        <v>63</v>
      </c>
      <c r="AE644" s="5" t="n">
        <v>0</v>
      </c>
      <c r="AF644" s="0" t="s">
        <v>184</v>
      </c>
      <c r="AG644" s="7" t="s">
        <v>1227</v>
      </c>
      <c r="AH644" s="0" t="s">
        <v>63</v>
      </c>
      <c r="AI644" s="0" t="s">
        <v>171</v>
      </c>
      <c r="AJ644" s="0" t="s">
        <v>172</v>
      </c>
      <c r="AK644" s="0" t="s">
        <v>50</v>
      </c>
      <c r="AL644" s="0" t="s">
        <v>50</v>
      </c>
      <c r="AM644" s="0" t="s">
        <v>50</v>
      </c>
      <c r="AN644" s="0" t="s">
        <v>2321</v>
      </c>
      <c r="AO644" s="0" t="s">
        <v>63</v>
      </c>
    </row>
    <row r="645" customFormat="false" ht="15" hidden="false" customHeight="false" outlineLevel="0" collapsed="false">
      <c r="A645" s="0" t="s">
        <v>1576</v>
      </c>
      <c r="B645" s="2" t="s">
        <v>353</v>
      </c>
      <c r="C645" s="0" t="s">
        <v>42</v>
      </c>
      <c r="D645" s="0" t="n">
        <v>8028021013</v>
      </c>
      <c r="E645" s="0" t="s">
        <v>122</v>
      </c>
      <c r="F645" s="0" t="s">
        <v>2316</v>
      </c>
      <c r="G645" s="0" t="s">
        <v>1577</v>
      </c>
      <c r="H645" s="0" t="s">
        <v>107</v>
      </c>
      <c r="I645" s="3" t="s">
        <v>2322</v>
      </c>
      <c r="J645" s="0" t="s">
        <v>47</v>
      </c>
      <c r="K645" s="0" t="s">
        <v>90</v>
      </c>
      <c r="L645" s="4" t="n">
        <v>116150</v>
      </c>
      <c r="M645" s="0" t="s">
        <v>110</v>
      </c>
      <c r="N645" s="0" t="s">
        <v>50</v>
      </c>
      <c r="O645" s="5" t="n">
        <v>2</v>
      </c>
      <c r="P645" s="0" t="n">
        <v>3.9</v>
      </c>
      <c r="Q645" s="0" t="s">
        <v>111</v>
      </c>
      <c r="R645" s="0" t="s">
        <v>93</v>
      </c>
      <c r="S645" s="0" t="s">
        <v>2340</v>
      </c>
      <c r="T645" s="0" t="s">
        <v>2343</v>
      </c>
      <c r="U645" s="5" t="n">
        <v>15</v>
      </c>
      <c r="V645" s="0" t="s">
        <v>55</v>
      </c>
      <c r="W645" s="0" t="s">
        <v>2337</v>
      </c>
      <c r="X645" s="0" t="s">
        <v>78</v>
      </c>
      <c r="Y645" s="0" t="s">
        <v>196</v>
      </c>
      <c r="Z645" s="0" t="s">
        <v>59</v>
      </c>
      <c r="AA645" s="0" t="s">
        <v>161</v>
      </c>
      <c r="AB645" s="5" t="n">
        <v>30000</v>
      </c>
      <c r="AC645" s="5" t="n">
        <v>30000</v>
      </c>
      <c r="AD645" s="0" t="s">
        <v>50</v>
      </c>
      <c r="AE645" s="5" t="n">
        <v>0</v>
      </c>
      <c r="AF645" s="0" t="s">
        <v>130</v>
      </c>
      <c r="AG645" s="7" t="s">
        <v>2373</v>
      </c>
      <c r="AH645" s="0" t="s">
        <v>63</v>
      </c>
      <c r="AI645" s="0" t="s">
        <v>2331</v>
      </c>
      <c r="AJ645" s="0" t="s">
        <v>2331</v>
      </c>
      <c r="AK645" s="0" t="s">
        <v>63</v>
      </c>
      <c r="AL645" s="0" t="s">
        <v>50</v>
      </c>
      <c r="AM645" s="0" t="s">
        <v>2344</v>
      </c>
      <c r="AN645" s="0" t="s">
        <v>64</v>
      </c>
      <c r="AO645" s="0" t="s">
        <v>50</v>
      </c>
    </row>
    <row r="646" customFormat="false" ht="15" hidden="false" customHeight="false" outlineLevel="0" collapsed="false">
      <c r="A646" s="0" t="s">
        <v>1578</v>
      </c>
      <c r="B646" s="2" t="s">
        <v>1250</v>
      </c>
      <c r="C646" s="0" t="s">
        <v>163</v>
      </c>
      <c r="D646" s="0" t="n">
        <v>8047329499</v>
      </c>
      <c r="E646" s="0" t="s">
        <v>67</v>
      </c>
      <c r="F646" s="0" t="s">
        <v>2316</v>
      </c>
      <c r="G646" s="0" t="s">
        <v>1579</v>
      </c>
      <c r="H646" s="0" t="s">
        <v>45</v>
      </c>
      <c r="I646" s="3" t="s">
        <v>2325</v>
      </c>
      <c r="J646" s="0" t="s">
        <v>47</v>
      </c>
      <c r="K646" s="0" t="s">
        <v>90</v>
      </c>
      <c r="L646" s="4" t="n">
        <v>67603</v>
      </c>
      <c r="M646" s="0" t="s">
        <v>110</v>
      </c>
      <c r="N646" s="0" t="s">
        <v>63</v>
      </c>
      <c r="O646" s="5" t="n">
        <v>1</v>
      </c>
      <c r="P646" s="0" t="n">
        <v>2</v>
      </c>
      <c r="Q646" s="0" t="s">
        <v>125</v>
      </c>
      <c r="R646" s="0" t="s">
        <v>93</v>
      </c>
      <c r="S646" s="0" t="s">
        <v>2366</v>
      </c>
      <c r="T646" s="0" t="s">
        <v>147</v>
      </c>
      <c r="U646" s="5" t="n">
        <v>30</v>
      </c>
      <c r="V646" s="0" t="s">
        <v>96</v>
      </c>
      <c r="W646" s="0" t="s">
        <v>155</v>
      </c>
      <c r="X646" s="0" t="s">
        <v>128</v>
      </c>
      <c r="Y646" s="0" t="s">
        <v>58</v>
      </c>
      <c r="Z646" s="0" t="s">
        <v>177</v>
      </c>
      <c r="AA646" s="0" t="s">
        <v>149</v>
      </c>
      <c r="AB646" s="5" t="n">
        <v>30000</v>
      </c>
      <c r="AC646" s="5" t="n">
        <v>30000</v>
      </c>
      <c r="AD646" s="0" t="s">
        <v>63</v>
      </c>
      <c r="AE646" s="5" t="n">
        <v>5000</v>
      </c>
      <c r="AF646" s="0" t="s">
        <v>2338</v>
      </c>
      <c r="AG646" s="7" t="s">
        <v>1580</v>
      </c>
      <c r="AH646" s="0" t="s">
        <v>2329</v>
      </c>
      <c r="AI646" s="0" t="s">
        <v>2331</v>
      </c>
      <c r="AJ646" s="0" t="s">
        <v>117</v>
      </c>
      <c r="AK646" s="0" t="s">
        <v>50</v>
      </c>
      <c r="AL646" s="0" t="s">
        <v>50</v>
      </c>
      <c r="AM646" s="0" t="s">
        <v>2344</v>
      </c>
      <c r="AN646" s="0" t="s">
        <v>2321</v>
      </c>
      <c r="AO646" s="0" t="s">
        <v>2359</v>
      </c>
    </row>
    <row r="647" customFormat="false" ht="15" hidden="false" customHeight="false" outlineLevel="0" collapsed="false">
      <c r="A647" s="0" t="s">
        <v>1581</v>
      </c>
      <c r="B647" s="2" t="s">
        <v>2403</v>
      </c>
      <c r="C647" s="0" t="s">
        <v>42</v>
      </c>
      <c r="D647" s="0" t="n">
        <v>8052619317</v>
      </c>
      <c r="E647" s="0" t="s">
        <v>67</v>
      </c>
      <c r="F647" s="0" t="s">
        <v>2316</v>
      </c>
      <c r="G647" s="0" t="s">
        <v>1582</v>
      </c>
      <c r="H647" s="0" t="s">
        <v>45</v>
      </c>
      <c r="I647" s="3" t="s">
        <v>2325</v>
      </c>
      <c r="J647" s="0" t="s">
        <v>47</v>
      </c>
      <c r="K647" s="0" t="s">
        <v>90</v>
      </c>
      <c r="L647" s="4" t="n">
        <v>43321</v>
      </c>
      <c r="M647" s="0" t="s">
        <v>110</v>
      </c>
      <c r="N647" s="0" t="s">
        <v>63</v>
      </c>
      <c r="O647" s="5" t="n">
        <v>3</v>
      </c>
      <c r="P647" s="0" t="n">
        <v>1.9</v>
      </c>
      <c r="Q647" s="0" t="s">
        <v>51</v>
      </c>
      <c r="R647" s="0" t="s">
        <v>52</v>
      </c>
      <c r="S647" s="0" t="s">
        <v>2340</v>
      </c>
      <c r="T647" s="0" t="s">
        <v>95</v>
      </c>
      <c r="U647" s="5" t="n">
        <v>45</v>
      </c>
      <c r="V647" s="0" t="s">
        <v>55</v>
      </c>
      <c r="W647" s="0" t="s">
        <v>155</v>
      </c>
      <c r="X647" s="0" t="s">
        <v>78</v>
      </c>
      <c r="Y647" s="0" t="s">
        <v>114</v>
      </c>
      <c r="Z647" s="0" t="s">
        <v>177</v>
      </c>
      <c r="AA647" s="0" t="s">
        <v>143</v>
      </c>
      <c r="AB647" s="5" t="n">
        <v>30000</v>
      </c>
      <c r="AC647" s="5" t="n">
        <v>20000</v>
      </c>
      <c r="AD647" s="0" t="s">
        <v>50</v>
      </c>
      <c r="AE647" s="5" t="n">
        <v>0</v>
      </c>
      <c r="AF647" s="0" t="s">
        <v>130</v>
      </c>
      <c r="AG647" s="7" t="s">
        <v>1583</v>
      </c>
      <c r="AH647" s="0" t="s">
        <v>50</v>
      </c>
      <c r="AI647" s="0" t="s">
        <v>2331</v>
      </c>
      <c r="AJ647" s="0" t="s">
        <v>172</v>
      </c>
      <c r="AK647" s="0" t="s">
        <v>50</v>
      </c>
      <c r="AL647" s="0" t="s">
        <v>63</v>
      </c>
      <c r="AM647" s="0" t="s">
        <v>50</v>
      </c>
      <c r="AN647" s="0" t="s">
        <v>2321</v>
      </c>
      <c r="AO647" s="0" t="s">
        <v>63</v>
      </c>
    </row>
    <row r="648" customFormat="false" ht="15" hidden="false" customHeight="false" outlineLevel="0" collapsed="false">
      <c r="A648" s="0" t="s">
        <v>1584</v>
      </c>
      <c r="B648" s="2" t="s">
        <v>687</v>
      </c>
      <c r="C648" s="0" t="s">
        <v>105</v>
      </c>
      <c r="D648" s="0" t="n">
        <v>8096382807</v>
      </c>
      <c r="E648" s="0" t="s">
        <v>139</v>
      </c>
      <c r="F648" s="0" t="s">
        <v>2323</v>
      </c>
      <c r="G648" s="0" t="s">
        <v>1585</v>
      </c>
      <c r="H648" s="0" t="s">
        <v>107</v>
      </c>
      <c r="I648" s="3" t="s">
        <v>2317</v>
      </c>
      <c r="J648" s="0" t="s">
        <v>2339</v>
      </c>
      <c r="K648" s="0" t="s">
        <v>71</v>
      </c>
      <c r="L648" s="4" t="n">
        <v>119881</v>
      </c>
      <c r="M648" s="0" t="s">
        <v>110</v>
      </c>
      <c r="N648" s="0" t="s">
        <v>50</v>
      </c>
      <c r="O648" s="5" t="n">
        <v>3.16780821917808</v>
      </c>
      <c r="P648" s="0" t="n">
        <v>1.4</v>
      </c>
      <c r="Q648" s="0" t="s">
        <v>111</v>
      </c>
      <c r="R648" s="0" t="s">
        <v>73</v>
      </c>
      <c r="S648" s="0" t="s">
        <v>53</v>
      </c>
      <c r="T648" s="0" t="s">
        <v>2353</v>
      </c>
      <c r="U648" s="5" t="n">
        <v>45</v>
      </c>
      <c r="V648" s="0" t="s">
        <v>96</v>
      </c>
      <c r="W648" s="0" t="s">
        <v>2328</v>
      </c>
      <c r="X648" s="0" t="s">
        <v>98</v>
      </c>
      <c r="Y648" s="0" t="s">
        <v>58</v>
      </c>
      <c r="Z648" s="0" t="s">
        <v>59</v>
      </c>
      <c r="AA648" s="0" t="s">
        <v>79</v>
      </c>
      <c r="AB648" s="5" t="n">
        <v>40000</v>
      </c>
      <c r="AC648" s="5" t="n">
        <v>30000</v>
      </c>
      <c r="AD648" s="0" t="s">
        <v>63</v>
      </c>
      <c r="AE648" s="5" t="n">
        <v>0</v>
      </c>
      <c r="AF648" s="0" t="s">
        <v>130</v>
      </c>
      <c r="AG648" s="7" t="s">
        <v>2330</v>
      </c>
      <c r="AH648" s="0" t="s">
        <v>63</v>
      </c>
      <c r="AI648" s="0" t="s">
        <v>171</v>
      </c>
      <c r="AJ648" s="0" t="s">
        <v>2320</v>
      </c>
      <c r="AK648" s="0" t="s">
        <v>50</v>
      </c>
      <c r="AL648" s="0" t="s">
        <v>50</v>
      </c>
      <c r="AM648" s="0" t="s">
        <v>63</v>
      </c>
      <c r="AN648" s="0" t="s">
        <v>2321</v>
      </c>
      <c r="AO648" s="0" t="s">
        <v>50</v>
      </c>
    </row>
    <row r="649" customFormat="false" ht="15" hidden="false" customHeight="false" outlineLevel="0" collapsed="false">
      <c r="A649" s="0" t="s">
        <v>1586</v>
      </c>
      <c r="B649" s="2" t="s">
        <v>589</v>
      </c>
      <c r="C649" s="0" t="s">
        <v>163</v>
      </c>
      <c r="D649" s="0" t="n">
        <v>8015316025</v>
      </c>
      <c r="E649" s="0" t="s">
        <v>85</v>
      </c>
      <c r="F649" s="0" t="s">
        <v>2319</v>
      </c>
      <c r="G649" s="0" t="s">
        <v>1587</v>
      </c>
      <c r="H649" s="0" t="s">
        <v>69</v>
      </c>
      <c r="I649" s="3" t="s">
        <v>87</v>
      </c>
      <c r="J649" s="0" t="s">
        <v>2349</v>
      </c>
      <c r="K649" s="0" t="s">
        <v>90</v>
      </c>
      <c r="L649" s="4" t="n">
        <v>67340</v>
      </c>
      <c r="M649" s="0" t="s">
        <v>2333</v>
      </c>
      <c r="N649" s="0" t="s">
        <v>63</v>
      </c>
      <c r="O649" s="5" t="n">
        <v>3</v>
      </c>
      <c r="P649" s="0" t="n">
        <v>3.5</v>
      </c>
      <c r="Q649" s="0" t="s">
        <v>92</v>
      </c>
      <c r="R649" s="0" t="s">
        <v>52</v>
      </c>
      <c r="S649" s="0" t="s">
        <v>2340</v>
      </c>
      <c r="T649" s="0" t="s">
        <v>75</v>
      </c>
      <c r="U649" s="5" t="n">
        <v>45</v>
      </c>
      <c r="V649" s="0" t="s">
        <v>2352</v>
      </c>
      <c r="W649" s="0" t="s">
        <v>155</v>
      </c>
      <c r="X649" s="0" t="s">
        <v>78</v>
      </c>
      <c r="Y649" s="0" t="s">
        <v>114</v>
      </c>
      <c r="Z649" s="0" t="s">
        <v>2329</v>
      </c>
      <c r="AA649" s="0" t="s">
        <v>149</v>
      </c>
      <c r="AB649" s="5" t="n">
        <v>25454.5454545455</v>
      </c>
      <c r="AC649" s="5" t="n">
        <v>30000</v>
      </c>
      <c r="AD649" s="0" t="s">
        <v>63</v>
      </c>
      <c r="AE649" s="5" t="n">
        <v>5000</v>
      </c>
      <c r="AF649" s="0" t="s">
        <v>184</v>
      </c>
      <c r="AG649" s="7" t="s">
        <v>805</v>
      </c>
      <c r="AH649" s="0" t="s">
        <v>50</v>
      </c>
      <c r="AI649" s="0" t="s">
        <v>2331</v>
      </c>
      <c r="AJ649" s="0" t="s">
        <v>2331</v>
      </c>
      <c r="AK649" s="0" t="s">
        <v>50</v>
      </c>
      <c r="AL649" s="0" t="s">
        <v>2344</v>
      </c>
      <c r="AM649" s="0" t="s">
        <v>63</v>
      </c>
      <c r="AN649" s="0" t="s">
        <v>2321</v>
      </c>
      <c r="AO649" s="0" t="s">
        <v>50</v>
      </c>
    </row>
    <row r="650" customFormat="false" ht="15" hidden="false" customHeight="false" outlineLevel="0" collapsed="false">
      <c r="A650" s="0" t="s">
        <v>1588</v>
      </c>
      <c r="B650" s="2" t="s">
        <v>2490</v>
      </c>
      <c r="C650" s="0" t="s">
        <v>163</v>
      </c>
      <c r="D650" s="0" t="n">
        <v>8079910371</v>
      </c>
      <c r="E650" s="0" t="s">
        <v>43</v>
      </c>
      <c r="F650" s="0" t="s">
        <v>2315</v>
      </c>
      <c r="G650" s="0" t="s">
        <v>1589</v>
      </c>
      <c r="H650" s="0" t="s">
        <v>69</v>
      </c>
      <c r="I650" s="3" t="s">
        <v>2322</v>
      </c>
      <c r="J650" s="0" t="s">
        <v>2341</v>
      </c>
      <c r="K650" s="0" t="s">
        <v>71</v>
      </c>
      <c r="L650" s="4" t="n">
        <v>61593</v>
      </c>
      <c r="M650" s="0" t="s">
        <v>49</v>
      </c>
      <c r="N650" s="0" t="s">
        <v>63</v>
      </c>
      <c r="O650" s="5" t="n">
        <v>5</v>
      </c>
      <c r="P650" s="0" t="n">
        <v>2.5</v>
      </c>
      <c r="Q650" s="0" t="s">
        <v>2334</v>
      </c>
      <c r="R650" s="0" t="s">
        <v>52</v>
      </c>
      <c r="S650" s="0" t="s">
        <v>2366</v>
      </c>
      <c r="T650" s="0" t="s">
        <v>54</v>
      </c>
      <c r="U650" s="5" t="n">
        <v>39.2727272727273</v>
      </c>
      <c r="V650" s="0" t="s">
        <v>112</v>
      </c>
      <c r="W650" s="0" t="s">
        <v>155</v>
      </c>
      <c r="X650" s="0" t="s">
        <v>128</v>
      </c>
      <c r="Y650" s="0" t="s">
        <v>99</v>
      </c>
      <c r="Z650" s="0" t="s">
        <v>2324</v>
      </c>
      <c r="AA650" s="0" t="s">
        <v>79</v>
      </c>
      <c r="AB650" s="5" t="n">
        <v>15000</v>
      </c>
      <c r="AC650" s="5" t="n">
        <v>30000</v>
      </c>
      <c r="AD650" s="0" t="s">
        <v>63</v>
      </c>
      <c r="AE650" s="5" t="n">
        <v>10000</v>
      </c>
      <c r="AF650" s="0" t="s">
        <v>184</v>
      </c>
      <c r="AG650" s="7" t="s">
        <v>2209</v>
      </c>
      <c r="AH650" s="0" t="s">
        <v>2329</v>
      </c>
      <c r="AI650" s="0" t="s">
        <v>171</v>
      </c>
      <c r="AJ650" s="0" t="s">
        <v>2331</v>
      </c>
      <c r="AK650" s="0" t="s">
        <v>50</v>
      </c>
      <c r="AL650" s="0" t="s">
        <v>2344</v>
      </c>
      <c r="AM650" s="0" t="s">
        <v>2344</v>
      </c>
      <c r="AN650" s="0" t="s">
        <v>2321</v>
      </c>
      <c r="AO650" s="0" t="s">
        <v>63</v>
      </c>
    </row>
    <row r="651" customFormat="false" ht="15" hidden="false" customHeight="false" outlineLevel="0" collapsed="false">
      <c r="A651" s="0" t="s">
        <v>1590</v>
      </c>
      <c r="B651" s="2" t="s">
        <v>2431</v>
      </c>
      <c r="C651" s="0" t="s">
        <v>163</v>
      </c>
      <c r="D651" s="0" t="n">
        <v>8065686049</v>
      </c>
      <c r="E651" s="0" t="s">
        <v>85</v>
      </c>
      <c r="F651" s="0" t="s">
        <v>2319</v>
      </c>
      <c r="G651" s="0" t="s">
        <v>1591</v>
      </c>
      <c r="H651" s="0" t="s">
        <v>69</v>
      </c>
      <c r="I651" s="3" t="s">
        <v>2317</v>
      </c>
      <c r="J651" s="0" t="s">
        <v>2347</v>
      </c>
      <c r="K651" s="0" t="s">
        <v>48</v>
      </c>
      <c r="L651" s="4" t="n">
        <v>67253</v>
      </c>
      <c r="M651" s="0" t="s">
        <v>2333</v>
      </c>
      <c r="N651" s="0" t="s">
        <v>63</v>
      </c>
      <c r="O651" s="5" t="n">
        <v>3.16206896551724</v>
      </c>
      <c r="P651" s="0" t="n">
        <v>1.7</v>
      </c>
      <c r="Q651" s="0" t="s">
        <v>111</v>
      </c>
      <c r="R651" s="0" t="s">
        <v>73</v>
      </c>
      <c r="S651" s="0" t="s">
        <v>2366</v>
      </c>
      <c r="T651" s="0" t="s">
        <v>2353</v>
      </c>
      <c r="U651" s="5" t="n">
        <v>45</v>
      </c>
      <c r="V651" s="0" t="s">
        <v>96</v>
      </c>
      <c r="W651" s="0" t="s">
        <v>2337</v>
      </c>
      <c r="X651" s="0" t="s">
        <v>128</v>
      </c>
      <c r="Y651" s="0" t="s">
        <v>196</v>
      </c>
      <c r="Z651" s="0" t="s">
        <v>2329</v>
      </c>
      <c r="AA651" s="0" t="s">
        <v>143</v>
      </c>
      <c r="AB651" s="5" t="n">
        <v>25000</v>
      </c>
      <c r="AC651" s="5" t="n">
        <v>40000</v>
      </c>
      <c r="AD651" s="0" t="s">
        <v>50</v>
      </c>
      <c r="AE651" s="5" t="n">
        <v>10000</v>
      </c>
      <c r="AF651" s="0" t="s">
        <v>184</v>
      </c>
      <c r="AG651" s="7" t="s">
        <v>2330</v>
      </c>
      <c r="AH651" s="0" t="s">
        <v>50</v>
      </c>
      <c r="AI651" s="0" t="s">
        <v>171</v>
      </c>
      <c r="AJ651" s="0" t="s">
        <v>2320</v>
      </c>
      <c r="AK651" s="0" t="s">
        <v>50</v>
      </c>
      <c r="AL651" s="0" t="s">
        <v>63</v>
      </c>
      <c r="AM651" s="0" t="s">
        <v>63</v>
      </c>
      <c r="AN651" s="0" t="s">
        <v>2318</v>
      </c>
      <c r="AO651" s="0" t="s">
        <v>63</v>
      </c>
    </row>
    <row r="652" customFormat="false" ht="15" hidden="false" customHeight="false" outlineLevel="0" collapsed="false">
      <c r="A652" s="0" t="s">
        <v>1592</v>
      </c>
      <c r="B652" s="2" t="s">
        <v>438</v>
      </c>
      <c r="C652" s="0" t="s">
        <v>42</v>
      </c>
      <c r="D652" s="0" t="n">
        <v>8096979318</v>
      </c>
      <c r="E652" s="0" t="s">
        <v>43</v>
      </c>
      <c r="F652" s="0" t="s">
        <v>2315</v>
      </c>
      <c r="G652" s="0" t="s">
        <v>1593</v>
      </c>
      <c r="H652" s="0" t="s">
        <v>134</v>
      </c>
      <c r="I652" s="3" t="s">
        <v>2325</v>
      </c>
      <c r="J652" s="0" t="s">
        <v>2349</v>
      </c>
      <c r="K652" s="0" t="s">
        <v>109</v>
      </c>
      <c r="L652" s="4" t="n">
        <v>117897</v>
      </c>
      <c r="M652" s="0" t="s">
        <v>49</v>
      </c>
      <c r="N652" s="0" t="s">
        <v>50</v>
      </c>
      <c r="O652" s="5" t="n">
        <v>1</v>
      </c>
      <c r="P652" s="0" t="n">
        <v>2.4</v>
      </c>
      <c r="Q652" s="0" t="s">
        <v>51</v>
      </c>
      <c r="R652" s="0" t="s">
        <v>52</v>
      </c>
      <c r="S652" s="0" t="s">
        <v>2340</v>
      </c>
      <c r="T652" s="0" t="s">
        <v>54</v>
      </c>
      <c r="U652" s="5" t="n">
        <v>15</v>
      </c>
      <c r="V652" s="0" t="s">
        <v>96</v>
      </c>
      <c r="W652" s="0" t="s">
        <v>155</v>
      </c>
      <c r="X652" s="0" t="s">
        <v>78</v>
      </c>
      <c r="Y652" s="0" t="s">
        <v>196</v>
      </c>
      <c r="Z652" s="0" t="s">
        <v>2329</v>
      </c>
      <c r="AA652" s="0" t="s">
        <v>161</v>
      </c>
      <c r="AB652" s="5" t="n">
        <v>15000</v>
      </c>
      <c r="AC652" s="5" t="n">
        <v>40000</v>
      </c>
      <c r="AD652" s="0" t="s">
        <v>50</v>
      </c>
      <c r="AE652" s="5" t="n">
        <v>0</v>
      </c>
      <c r="AF652" s="0" t="s">
        <v>184</v>
      </c>
      <c r="AG652" s="7" t="s">
        <v>451</v>
      </c>
      <c r="AH652" s="0" t="s">
        <v>63</v>
      </c>
      <c r="AI652" s="0" t="s">
        <v>116</v>
      </c>
      <c r="AJ652" s="0" t="s">
        <v>172</v>
      </c>
      <c r="AK652" s="0" t="s">
        <v>63</v>
      </c>
      <c r="AL652" s="0" t="s">
        <v>50</v>
      </c>
      <c r="AM652" s="0" t="s">
        <v>63</v>
      </c>
      <c r="AN652" s="0" t="s">
        <v>64</v>
      </c>
      <c r="AO652" s="0" t="s">
        <v>63</v>
      </c>
    </row>
    <row r="653" customFormat="false" ht="15" hidden="false" customHeight="false" outlineLevel="0" collapsed="false">
      <c r="A653" s="0" t="s">
        <v>1594</v>
      </c>
      <c r="B653" s="2" t="s">
        <v>1113</v>
      </c>
      <c r="C653" s="0" t="s">
        <v>163</v>
      </c>
      <c r="D653" s="0" t="n">
        <v>8048715788</v>
      </c>
      <c r="E653" s="0" t="s">
        <v>43</v>
      </c>
      <c r="F653" s="0" t="s">
        <v>2315</v>
      </c>
      <c r="G653" s="0" t="s">
        <v>1595</v>
      </c>
      <c r="H653" s="0" t="s">
        <v>107</v>
      </c>
      <c r="I653" s="3" t="s">
        <v>2325</v>
      </c>
      <c r="J653" s="0" t="s">
        <v>189</v>
      </c>
      <c r="K653" s="0" t="s">
        <v>109</v>
      </c>
      <c r="L653" s="4" t="n">
        <v>29518</v>
      </c>
      <c r="M653" s="0" t="s">
        <v>2333</v>
      </c>
      <c r="N653" s="0" t="s">
        <v>50</v>
      </c>
      <c r="O653" s="5" t="n">
        <v>3.16955017301038</v>
      </c>
      <c r="P653" s="0" t="n">
        <v>2.3</v>
      </c>
      <c r="Q653" s="0" t="s">
        <v>2334</v>
      </c>
      <c r="R653" s="0" t="s">
        <v>52</v>
      </c>
      <c r="S653" s="0" t="s">
        <v>53</v>
      </c>
      <c r="T653" s="0" t="s">
        <v>2343</v>
      </c>
      <c r="U653" s="5" t="n">
        <v>45</v>
      </c>
      <c r="V653" s="0" t="s">
        <v>2336</v>
      </c>
      <c r="W653" s="0" t="s">
        <v>155</v>
      </c>
      <c r="X653" s="0" t="s">
        <v>98</v>
      </c>
      <c r="Y653" s="0" t="s">
        <v>196</v>
      </c>
      <c r="Z653" s="0" t="s">
        <v>59</v>
      </c>
      <c r="AA653" s="0" t="s">
        <v>2329</v>
      </c>
      <c r="AB653" s="5" t="n">
        <v>15000</v>
      </c>
      <c r="AC653" s="5" t="n">
        <v>40000</v>
      </c>
      <c r="AD653" s="0" t="s">
        <v>63</v>
      </c>
      <c r="AE653" s="5" t="n">
        <v>5000</v>
      </c>
      <c r="AF653" s="0" t="s">
        <v>60</v>
      </c>
      <c r="AG653" s="7" t="s">
        <v>1019</v>
      </c>
      <c r="AH653" s="0" t="s">
        <v>63</v>
      </c>
      <c r="AI653" s="0" t="s">
        <v>116</v>
      </c>
      <c r="AJ653" s="0" t="s">
        <v>172</v>
      </c>
      <c r="AK653" s="0" t="s">
        <v>63</v>
      </c>
      <c r="AL653" s="0" t="s">
        <v>63</v>
      </c>
      <c r="AM653" s="0" t="s">
        <v>2344</v>
      </c>
      <c r="AN653" s="0" t="s">
        <v>2321</v>
      </c>
      <c r="AO653" s="0" t="s">
        <v>63</v>
      </c>
    </row>
    <row r="654" customFormat="false" ht="15" hidden="false" customHeight="false" outlineLevel="0" collapsed="false">
      <c r="A654" s="0" t="s">
        <v>1596</v>
      </c>
      <c r="B654" s="2" t="s">
        <v>799</v>
      </c>
      <c r="C654" s="0" t="s">
        <v>163</v>
      </c>
      <c r="D654" s="0" t="n">
        <v>8013180065</v>
      </c>
      <c r="E654" s="0" t="s">
        <v>139</v>
      </c>
      <c r="F654" s="0" t="s">
        <v>2323</v>
      </c>
      <c r="G654" s="0" t="s">
        <v>1597</v>
      </c>
      <c r="H654" s="0" t="s">
        <v>45</v>
      </c>
      <c r="I654" s="3" t="s">
        <v>2325</v>
      </c>
      <c r="J654" s="0" t="s">
        <v>47</v>
      </c>
      <c r="K654" s="0" t="s">
        <v>109</v>
      </c>
      <c r="L654" s="4" t="n">
        <v>20345</v>
      </c>
      <c r="M654" s="0" t="s">
        <v>49</v>
      </c>
      <c r="N654" s="0" t="s">
        <v>63</v>
      </c>
      <c r="O654" s="5" t="n">
        <v>3</v>
      </c>
      <c r="P654" s="0" t="n">
        <v>5.5</v>
      </c>
      <c r="Q654" s="0" t="s">
        <v>51</v>
      </c>
      <c r="R654" s="0" t="s">
        <v>73</v>
      </c>
      <c r="S654" s="0" t="s">
        <v>53</v>
      </c>
      <c r="T654" s="0" t="s">
        <v>147</v>
      </c>
      <c r="U654" s="5" t="n">
        <v>37.1590909090909</v>
      </c>
      <c r="V654" s="0" t="s">
        <v>96</v>
      </c>
      <c r="W654" s="0" t="s">
        <v>2337</v>
      </c>
      <c r="X654" s="0" t="s">
        <v>128</v>
      </c>
      <c r="Y654" s="0" t="s">
        <v>99</v>
      </c>
      <c r="Z654" s="0" t="s">
        <v>177</v>
      </c>
      <c r="AA654" s="0" t="s">
        <v>161</v>
      </c>
      <c r="AB654" s="5" t="n">
        <v>26162.7906976744</v>
      </c>
      <c r="AC654" s="5" t="n">
        <v>30000</v>
      </c>
      <c r="AD654" s="0" t="s">
        <v>50</v>
      </c>
      <c r="AE654" s="5" t="n">
        <v>0</v>
      </c>
      <c r="AF654" s="0" t="s">
        <v>60</v>
      </c>
      <c r="AG654" s="7" t="s">
        <v>2330</v>
      </c>
      <c r="AH654" s="0" t="s">
        <v>63</v>
      </c>
      <c r="AI654" s="0" t="s">
        <v>2331</v>
      </c>
      <c r="AJ654" s="0" t="s">
        <v>2331</v>
      </c>
      <c r="AK654" s="0" t="s">
        <v>50</v>
      </c>
      <c r="AL654" s="0" t="s">
        <v>2344</v>
      </c>
      <c r="AM654" s="0" t="s">
        <v>63</v>
      </c>
      <c r="AN654" s="0" t="s">
        <v>2318</v>
      </c>
      <c r="AO654" s="0" t="s">
        <v>50</v>
      </c>
    </row>
    <row r="655" customFormat="false" ht="15" hidden="false" customHeight="false" outlineLevel="0" collapsed="false">
      <c r="A655" s="0" t="s">
        <v>1598</v>
      </c>
      <c r="B655" s="2" t="s">
        <v>869</v>
      </c>
      <c r="C655" s="0" t="s">
        <v>105</v>
      </c>
      <c r="D655" s="0" t="n">
        <v>8040737204</v>
      </c>
      <c r="E655" s="0" t="s">
        <v>122</v>
      </c>
      <c r="F655" s="0" t="s">
        <v>2316</v>
      </c>
      <c r="G655" s="0" t="s">
        <v>1599</v>
      </c>
      <c r="H655" s="0" t="s">
        <v>107</v>
      </c>
      <c r="I655" s="3" t="s">
        <v>2317</v>
      </c>
      <c r="J655" s="0" t="s">
        <v>189</v>
      </c>
      <c r="K655" s="0" t="s">
        <v>90</v>
      </c>
      <c r="L655" s="4" t="n">
        <v>56299</v>
      </c>
      <c r="M655" s="0" t="s">
        <v>110</v>
      </c>
      <c r="N655" s="0" t="s">
        <v>63</v>
      </c>
      <c r="O655" s="5" t="n">
        <v>5</v>
      </c>
      <c r="P655" s="0" t="n">
        <v>4.2</v>
      </c>
      <c r="Q655" s="0" t="s">
        <v>51</v>
      </c>
      <c r="R655" s="0" t="s">
        <v>52</v>
      </c>
      <c r="S655" s="0" t="s">
        <v>2340</v>
      </c>
      <c r="T655" s="0" t="s">
        <v>75</v>
      </c>
      <c r="U655" s="5" t="n">
        <v>60</v>
      </c>
      <c r="V655" s="0" t="s">
        <v>2336</v>
      </c>
      <c r="W655" s="0" t="s">
        <v>2328</v>
      </c>
      <c r="X655" s="0" t="s">
        <v>128</v>
      </c>
      <c r="Y655" s="0" t="s">
        <v>196</v>
      </c>
      <c r="Z655" s="0" t="s">
        <v>2324</v>
      </c>
      <c r="AA655" s="0" t="s">
        <v>149</v>
      </c>
      <c r="AB655" s="5" t="n">
        <v>15000</v>
      </c>
      <c r="AC655" s="5" t="n">
        <v>30000</v>
      </c>
      <c r="AD655" s="0" t="s">
        <v>50</v>
      </c>
      <c r="AE655" s="5" t="n">
        <v>5000</v>
      </c>
      <c r="AF655" s="0" t="s">
        <v>184</v>
      </c>
      <c r="AG655" s="7" t="s">
        <v>2510</v>
      </c>
      <c r="AH655" s="0" t="s">
        <v>63</v>
      </c>
      <c r="AI655" s="0" t="s">
        <v>2331</v>
      </c>
      <c r="AJ655" s="0" t="s">
        <v>172</v>
      </c>
      <c r="AK655" s="0" t="s">
        <v>63</v>
      </c>
      <c r="AL655" s="0" t="s">
        <v>63</v>
      </c>
      <c r="AM655" s="0" t="s">
        <v>63</v>
      </c>
      <c r="AN655" s="0" t="s">
        <v>2321</v>
      </c>
      <c r="AO655" s="0" t="s">
        <v>50</v>
      </c>
    </row>
    <row r="656" customFormat="false" ht="15" hidden="false" customHeight="false" outlineLevel="0" collapsed="false">
      <c r="A656" s="0" t="s">
        <v>1600</v>
      </c>
      <c r="B656" s="2" t="s">
        <v>2370</v>
      </c>
      <c r="C656" s="0" t="s">
        <v>121</v>
      </c>
      <c r="D656" s="0" t="n">
        <v>8054462343</v>
      </c>
      <c r="E656" s="0" t="s">
        <v>139</v>
      </c>
      <c r="F656" s="0" t="s">
        <v>2323</v>
      </c>
      <c r="G656" s="0" t="s">
        <v>1601</v>
      </c>
      <c r="H656" s="0" t="s">
        <v>69</v>
      </c>
      <c r="I656" s="3" t="s">
        <v>2317</v>
      </c>
      <c r="J656" s="0" t="s">
        <v>2339</v>
      </c>
      <c r="K656" s="0" t="s">
        <v>90</v>
      </c>
      <c r="L656" s="4" t="n">
        <v>86696</v>
      </c>
      <c r="M656" s="0" t="s">
        <v>49</v>
      </c>
      <c r="N656" s="0" t="s">
        <v>50</v>
      </c>
      <c r="O656" s="5" t="n">
        <v>2</v>
      </c>
      <c r="P656" s="0" t="n">
        <v>2.1</v>
      </c>
      <c r="Q656" s="0" t="s">
        <v>111</v>
      </c>
      <c r="R656" s="0" t="s">
        <v>93</v>
      </c>
      <c r="S656" s="0" t="s">
        <v>2335</v>
      </c>
      <c r="T656" s="0" t="s">
        <v>2343</v>
      </c>
      <c r="U656" s="5" t="n">
        <v>60</v>
      </c>
      <c r="V656" s="0" t="s">
        <v>2336</v>
      </c>
      <c r="W656" s="0" t="s">
        <v>2328</v>
      </c>
      <c r="X656" s="0" t="s">
        <v>98</v>
      </c>
      <c r="Y656" s="0" t="s">
        <v>196</v>
      </c>
      <c r="Z656" s="0" t="s">
        <v>2324</v>
      </c>
      <c r="AA656" s="0" t="s">
        <v>143</v>
      </c>
      <c r="AB656" s="5" t="n">
        <v>24711.5384615385</v>
      </c>
      <c r="AC656" s="5" t="n">
        <v>31470.5882352941</v>
      </c>
      <c r="AD656" s="0" t="s">
        <v>50</v>
      </c>
      <c r="AE656" s="5" t="n">
        <v>0</v>
      </c>
      <c r="AF656" s="0" t="s">
        <v>184</v>
      </c>
      <c r="AG656" s="7" t="s">
        <v>2495</v>
      </c>
      <c r="AH656" s="0" t="s">
        <v>63</v>
      </c>
      <c r="AI656" s="0" t="s">
        <v>116</v>
      </c>
      <c r="AJ656" s="0" t="s">
        <v>2331</v>
      </c>
      <c r="AK656" s="0" t="s">
        <v>63</v>
      </c>
      <c r="AL656" s="0" t="s">
        <v>2344</v>
      </c>
      <c r="AM656" s="0" t="s">
        <v>63</v>
      </c>
      <c r="AN656" s="0" t="s">
        <v>2318</v>
      </c>
      <c r="AO656" s="0" t="s">
        <v>63</v>
      </c>
    </row>
    <row r="657" customFormat="false" ht="15" hidden="false" customHeight="false" outlineLevel="0" collapsed="false">
      <c r="A657" s="0" t="s">
        <v>1602</v>
      </c>
      <c r="B657" s="2" t="s">
        <v>2411</v>
      </c>
      <c r="C657" s="0" t="s">
        <v>163</v>
      </c>
      <c r="D657" s="0" t="n">
        <v>8056000229</v>
      </c>
      <c r="E657" s="0" t="s">
        <v>122</v>
      </c>
      <c r="F657" s="0" t="s">
        <v>2316</v>
      </c>
      <c r="G657" s="0" t="s">
        <v>1603</v>
      </c>
      <c r="H657" s="0" t="s">
        <v>87</v>
      </c>
      <c r="I657" s="3" t="s">
        <v>87</v>
      </c>
      <c r="J657" s="0" t="s">
        <v>189</v>
      </c>
      <c r="K657" s="0" t="s">
        <v>90</v>
      </c>
      <c r="L657" s="4" t="n">
        <v>18398</v>
      </c>
      <c r="M657" s="0" t="s">
        <v>110</v>
      </c>
      <c r="N657" s="0" t="s">
        <v>50</v>
      </c>
      <c r="O657" s="5" t="n">
        <v>4</v>
      </c>
      <c r="P657" s="0" t="n">
        <v>3.1</v>
      </c>
      <c r="Q657" s="0" t="s">
        <v>51</v>
      </c>
      <c r="R657" s="0" t="s">
        <v>52</v>
      </c>
      <c r="S657" s="0" t="s">
        <v>2340</v>
      </c>
      <c r="T657" s="0" t="s">
        <v>2343</v>
      </c>
      <c r="U657" s="5" t="n">
        <v>60</v>
      </c>
      <c r="V657" s="0" t="s">
        <v>2336</v>
      </c>
      <c r="W657" s="0" t="s">
        <v>155</v>
      </c>
      <c r="X657" s="0" t="s">
        <v>78</v>
      </c>
      <c r="Y657" s="0" t="s">
        <v>114</v>
      </c>
      <c r="Z657" s="0" t="s">
        <v>2326</v>
      </c>
      <c r="AA657" s="0" t="s">
        <v>79</v>
      </c>
      <c r="AB657" s="5" t="n">
        <v>30000</v>
      </c>
      <c r="AC657" s="5" t="n">
        <v>35000</v>
      </c>
      <c r="AD657" s="0" t="s">
        <v>50</v>
      </c>
      <c r="AE657" s="5" t="n">
        <v>5000</v>
      </c>
      <c r="AF657" s="0" t="s">
        <v>184</v>
      </c>
      <c r="AG657" s="7" t="s">
        <v>2330</v>
      </c>
      <c r="AH657" s="0" t="s">
        <v>50</v>
      </c>
      <c r="AI657" s="0" t="s">
        <v>116</v>
      </c>
      <c r="AJ657" s="0" t="s">
        <v>2331</v>
      </c>
      <c r="AK657" s="0" t="s">
        <v>50</v>
      </c>
      <c r="AL657" s="0" t="s">
        <v>50</v>
      </c>
      <c r="AM657" s="0" t="s">
        <v>2344</v>
      </c>
      <c r="AN657" s="0" t="s">
        <v>2321</v>
      </c>
      <c r="AO657" s="0" t="s">
        <v>50</v>
      </c>
    </row>
    <row r="658" customFormat="false" ht="15" hidden="false" customHeight="false" outlineLevel="0" collapsed="false">
      <c r="A658" s="0" t="s">
        <v>1604</v>
      </c>
      <c r="B658" s="2" t="s">
        <v>1518</v>
      </c>
      <c r="C658" s="0" t="s">
        <v>42</v>
      </c>
      <c r="D658" s="0" t="n">
        <v>8042514108</v>
      </c>
      <c r="E658" s="0" t="s">
        <v>139</v>
      </c>
      <c r="F658" s="0" t="s">
        <v>2323</v>
      </c>
      <c r="G658" s="0" t="s">
        <v>857</v>
      </c>
      <c r="H658" s="0" t="s">
        <v>69</v>
      </c>
      <c r="I658" s="3" t="s">
        <v>2325</v>
      </c>
      <c r="J658" s="0" t="s">
        <v>2347</v>
      </c>
      <c r="K658" s="0" t="s">
        <v>90</v>
      </c>
      <c r="L658" s="4" t="n">
        <v>78762</v>
      </c>
      <c r="M658" s="0" t="s">
        <v>110</v>
      </c>
      <c r="N658" s="0" t="s">
        <v>50</v>
      </c>
      <c r="O658" s="5" t="n">
        <v>5</v>
      </c>
      <c r="P658" s="0" t="n">
        <v>1.5</v>
      </c>
      <c r="Q658" s="0" t="s">
        <v>92</v>
      </c>
      <c r="R658" s="0" t="s">
        <v>73</v>
      </c>
      <c r="S658" s="0" t="s">
        <v>2366</v>
      </c>
      <c r="T658" s="0" t="s">
        <v>147</v>
      </c>
      <c r="U658" s="5" t="n">
        <v>45</v>
      </c>
      <c r="V658" s="0" t="s">
        <v>2352</v>
      </c>
      <c r="W658" s="0" t="s">
        <v>155</v>
      </c>
      <c r="X658" s="0" t="s">
        <v>128</v>
      </c>
      <c r="Y658" s="0" t="s">
        <v>58</v>
      </c>
      <c r="Z658" s="0" t="s">
        <v>2329</v>
      </c>
      <c r="AA658" s="0" t="s">
        <v>161</v>
      </c>
      <c r="AB658" s="5" t="n">
        <v>15000</v>
      </c>
      <c r="AC658" s="5" t="n">
        <v>30000</v>
      </c>
      <c r="AD658" s="0" t="s">
        <v>63</v>
      </c>
      <c r="AE658" s="5" t="n">
        <v>10000</v>
      </c>
      <c r="AF658" s="0" t="s">
        <v>60</v>
      </c>
      <c r="AG658" s="7" t="s">
        <v>1605</v>
      </c>
      <c r="AH658" s="0" t="s">
        <v>63</v>
      </c>
      <c r="AI658" s="0" t="s">
        <v>116</v>
      </c>
      <c r="AJ658" s="0" t="s">
        <v>2331</v>
      </c>
      <c r="AK658" s="0" t="s">
        <v>63</v>
      </c>
      <c r="AL658" s="0" t="s">
        <v>63</v>
      </c>
      <c r="AM658" s="0" t="s">
        <v>50</v>
      </c>
      <c r="AN658" s="0" t="s">
        <v>64</v>
      </c>
      <c r="AO658" s="0" t="s">
        <v>50</v>
      </c>
    </row>
    <row r="659" customFormat="false" ht="15" hidden="false" customHeight="false" outlineLevel="0" collapsed="false">
      <c r="A659" s="0" t="s">
        <v>1606</v>
      </c>
      <c r="B659" s="2" t="s">
        <v>225</v>
      </c>
      <c r="C659" s="0" t="s">
        <v>42</v>
      </c>
      <c r="D659" s="0" t="n">
        <v>8037624348</v>
      </c>
      <c r="E659" s="0" t="s">
        <v>139</v>
      </c>
      <c r="F659" s="0" t="s">
        <v>2323</v>
      </c>
      <c r="G659" s="0" t="s">
        <v>1607</v>
      </c>
      <c r="H659" s="0" t="s">
        <v>134</v>
      </c>
      <c r="I659" s="3" t="s">
        <v>2342</v>
      </c>
      <c r="J659" s="0" t="s">
        <v>2339</v>
      </c>
      <c r="K659" s="0" t="s">
        <v>109</v>
      </c>
      <c r="L659" s="4" t="n">
        <v>41529</v>
      </c>
      <c r="M659" s="0" t="s">
        <v>110</v>
      </c>
      <c r="N659" s="0" t="s">
        <v>63</v>
      </c>
      <c r="O659" s="5" t="n">
        <v>4</v>
      </c>
      <c r="P659" s="0" t="n">
        <v>5.1</v>
      </c>
      <c r="Q659" s="0" t="s">
        <v>2334</v>
      </c>
      <c r="R659" s="0" t="s">
        <v>93</v>
      </c>
      <c r="S659" s="0" t="s">
        <v>53</v>
      </c>
      <c r="T659" s="0" t="s">
        <v>2343</v>
      </c>
      <c r="U659" s="5" t="n">
        <v>60</v>
      </c>
      <c r="V659" s="0" t="s">
        <v>2352</v>
      </c>
      <c r="W659" s="0" t="s">
        <v>2337</v>
      </c>
      <c r="X659" s="0" t="s">
        <v>128</v>
      </c>
      <c r="Y659" s="0" t="s">
        <v>196</v>
      </c>
      <c r="Z659" s="0" t="s">
        <v>2329</v>
      </c>
      <c r="AA659" s="0" t="s">
        <v>149</v>
      </c>
      <c r="AB659" s="5" t="n">
        <v>25000</v>
      </c>
      <c r="AC659" s="5" t="n">
        <v>20000</v>
      </c>
      <c r="AD659" s="0" t="s">
        <v>63</v>
      </c>
      <c r="AE659" s="5" t="n">
        <v>5000</v>
      </c>
      <c r="AF659" s="0" t="s">
        <v>184</v>
      </c>
      <c r="AG659" s="7" t="s">
        <v>2330</v>
      </c>
      <c r="AH659" s="0" t="s">
        <v>50</v>
      </c>
      <c r="AI659" s="0" t="s">
        <v>2331</v>
      </c>
      <c r="AJ659" s="0" t="s">
        <v>117</v>
      </c>
      <c r="AK659" s="0" t="s">
        <v>2344</v>
      </c>
      <c r="AL659" s="0" t="s">
        <v>50</v>
      </c>
      <c r="AM659" s="0" t="s">
        <v>2344</v>
      </c>
      <c r="AN659" s="0" t="s">
        <v>2321</v>
      </c>
      <c r="AO659" s="0" t="s">
        <v>50</v>
      </c>
    </row>
    <row r="660" customFormat="false" ht="15" hidden="false" customHeight="false" outlineLevel="0" collapsed="false">
      <c r="A660" s="0" t="s">
        <v>1608</v>
      </c>
      <c r="B660" s="2" t="s">
        <v>353</v>
      </c>
      <c r="C660" s="0" t="s">
        <v>163</v>
      </c>
      <c r="D660" s="0" t="n">
        <v>8082385198</v>
      </c>
      <c r="E660" s="0" t="s">
        <v>85</v>
      </c>
      <c r="F660" s="0" t="s">
        <v>2319</v>
      </c>
      <c r="G660" s="0" t="s">
        <v>1609</v>
      </c>
      <c r="H660" s="0" t="s">
        <v>107</v>
      </c>
      <c r="I660" s="3" t="s">
        <v>2325</v>
      </c>
      <c r="J660" s="0" t="s">
        <v>2347</v>
      </c>
      <c r="K660" s="0" t="s">
        <v>109</v>
      </c>
      <c r="L660" s="4" t="n">
        <v>118880</v>
      </c>
      <c r="M660" s="0" t="s">
        <v>2333</v>
      </c>
      <c r="N660" s="0" t="s">
        <v>50</v>
      </c>
      <c r="O660" s="5" t="n">
        <v>5</v>
      </c>
      <c r="P660" s="0" t="n">
        <v>1.3</v>
      </c>
      <c r="Q660" s="0" t="s">
        <v>2334</v>
      </c>
      <c r="R660" s="0" t="s">
        <v>73</v>
      </c>
      <c r="S660" s="0" t="s">
        <v>2335</v>
      </c>
      <c r="T660" s="0" t="s">
        <v>54</v>
      </c>
      <c r="U660" s="5" t="n">
        <v>45</v>
      </c>
      <c r="V660" s="0" t="s">
        <v>96</v>
      </c>
      <c r="W660" s="0" t="s">
        <v>155</v>
      </c>
      <c r="X660" s="0" t="s">
        <v>128</v>
      </c>
      <c r="Y660" s="0" t="s">
        <v>58</v>
      </c>
      <c r="Z660" s="0" t="s">
        <v>2329</v>
      </c>
      <c r="AA660" s="0" t="s">
        <v>2329</v>
      </c>
      <c r="AB660" s="5" t="n">
        <v>27244.8979591837</v>
      </c>
      <c r="AC660" s="5" t="n">
        <v>35000</v>
      </c>
      <c r="AD660" s="0" t="s">
        <v>50</v>
      </c>
      <c r="AE660" s="5" t="n">
        <v>0</v>
      </c>
      <c r="AF660" s="0" t="s">
        <v>184</v>
      </c>
      <c r="AG660" s="7" t="s">
        <v>1610</v>
      </c>
      <c r="AH660" s="0" t="s">
        <v>2329</v>
      </c>
      <c r="AI660" s="0" t="s">
        <v>2331</v>
      </c>
      <c r="AJ660" s="0" t="s">
        <v>172</v>
      </c>
      <c r="AK660" s="0" t="s">
        <v>2344</v>
      </c>
      <c r="AL660" s="0" t="s">
        <v>63</v>
      </c>
      <c r="AM660" s="0" t="s">
        <v>2344</v>
      </c>
      <c r="AN660" s="0" t="s">
        <v>2321</v>
      </c>
      <c r="AO660" s="0" t="s">
        <v>63</v>
      </c>
    </row>
    <row r="661" customFormat="false" ht="15" hidden="false" customHeight="false" outlineLevel="0" collapsed="false">
      <c r="A661" s="0" t="s">
        <v>1611</v>
      </c>
      <c r="B661" s="2" t="s">
        <v>2447</v>
      </c>
      <c r="C661" s="0" t="s">
        <v>105</v>
      </c>
      <c r="D661" s="0" t="n">
        <v>8017257686</v>
      </c>
      <c r="E661" s="0" t="s">
        <v>85</v>
      </c>
      <c r="F661" s="0" t="s">
        <v>2319</v>
      </c>
      <c r="G661" s="0" t="s">
        <v>1612</v>
      </c>
      <c r="H661" s="0" t="s">
        <v>69</v>
      </c>
      <c r="I661" s="3" t="s">
        <v>2325</v>
      </c>
      <c r="J661" s="0" t="s">
        <v>2341</v>
      </c>
      <c r="K661" s="0" t="s">
        <v>109</v>
      </c>
      <c r="L661" s="4" t="n">
        <v>28117</v>
      </c>
      <c r="M661" s="0" t="s">
        <v>110</v>
      </c>
      <c r="N661" s="0" t="s">
        <v>50</v>
      </c>
      <c r="O661" s="5" t="n">
        <v>4</v>
      </c>
      <c r="P661" s="0" t="n">
        <v>2</v>
      </c>
      <c r="Q661" s="0" t="s">
        <v>111</v>
      </c>
      <c r="R661" s="0" t="s">
        <v>52</v>
      </c>
      <c r="S661" s="0" t="s">
        <v>53</v>
      </c>
      <c r="T661" s="0" t="s">
        <v>147</v>
      </c>
      <c r="U661" s="5" t="n">
        <v>60</v>
      </c>
      <c r="V661" s="0" t="s">
        <v>112</v>
      </c>
      <c r="W661" s="0" t="s">
        <v>2328</v>
      </c>
      <c r="X661" s="0" t="s">
        <v>98</v>
      </c>
      <c r="Y661" s="0" t="s">
        <v>99</v>
      </c>
      <c r="Z661" s="0" t="s">
        <v>2326</v>
      </c>
      <c r="AA661" s="0" t="s">
        <v>79</v>
      </c>
      <c r="AB661" s="5" t="n">
        <v>30000</v>
      </c>
      <c r="AC661" s="5" t="n">
        <v>40000</v>
      </c>
      <c r="AD661" s="0" t="s">
        <v>50</v>
      </c>
      <c r="AE661" s="5" t="n">
        <v>5000</v>
      </c>
      <c r="AF661" s="0" t="s">
        <v>2338</v>
      </c>
      <c r="AG661" s="7" t="s">
        <v>537</v>
      </c>
      <c r="AH661" s="0" t="s">
        <v>63</v>
      </c>
      <c r="AI661" s="0" t="s">
        <v>171</v>
      </c>
      <c r="AJ661" s="0" t="s">
        <v>2320</v>
      </c>
      <c r="AK661" s="0" t="s">
        <v>63</v>
      </c>
      <c r="AL661" s="0" t="s">
        <v>2344</v>
      </c>
      <c r="AM661" s="0" t="s">
        <v>2344</v>
      </c>
      <c r="AN661" s="0" t="s">
        <v>2318</v>
      </c>
      <c r="AO661" s="0" t="s">
        <v>2359</v>
      </c>
    </row>
    <row r="662" customFormat="false" ht="15" hidden="false" customHeight="false" outlineLevel="0" collapsed="false">
      <c r="A662" s="0" t="s">
        <v>1613</v>
      </c>
      <c r="B662" s="2" t="s">
        <v>2409</v>
      </c>
      <c r="C662" s="0" t="s">
        <v>42</v>
      </c>
      <c r="D662" s="0" t="n">
        <v>8099255596</v>
      </c>
      <c r="E662" s="0" t="s">
        <v>122</v>
      </c>
      <c r="F662" s="0" t="s">
        <v>2316</v>
      </c>
      <c r="G662" s="0" t="s">
        <v>1614</v>
      </c>
      <c r="H662" s="0" t="s">
        <v>134</v>
      </c>
      <c r="I662" s="3" t="s">
        <v>2325</v>
      </c>
      <c r="J662" s="0" t="s">
        <v>2349</v>
      </c>
      <c r="K662" s="0" t="s">
        <v>71</v>
      </c>
      <c r="L662" s="4" t="n">
        <v>101681</v>
      </c>
      <c r="M662" s="0" t="s">
        <v>2333</v>
      </c>
      <c r="N662" s="0" t="s">
        <v>50</v>
      </c>
      <c r="O662" s="5" t="n">
        <v>4</v>
      </c>
      <c r="P662" s="0" t="n">
        <v>2.9</v>
      </c>
      <c r="Q662" s="0" t="s">
        <v>111</v>
      </c>
      <c r="R662" s="0" t="s">
        <v>73</v>
      </c>
      <c r="S662" s="0" t="s">
        <v>53</v>
      </c>
      <c r="T662" s="0" t="s">
        <v>95</v>
      </c>
      <c r="U662" s="5" t="n">
        <v>60</v>
      </c>
      <c r="V662" s="0" t="s">
        <v>112</v>
      </c>
      <c r="W662" s="0" t="s">
        <v>155</v>
      </c>
      <c r="X662" s="0" t="s">
        <v>128</v>
      </c>
      <c r="Y662" s="0" t="s">
        <v>58</v>
      </c>
      <c r="Z662" s="0" t="s">
        <v>177</v>
      </c>
      <c r="AA662" s="0" t="s">
        <v>79</v>
      </c>
      <c r="AB662" s="5" t="n">
        <v>30000</v>
      </c>
      <c r="AC662" s="5" t="n">
        <v>30000</v>
      </c>
      <c r="AD662" s="0" t="s">
        <v>63</v>
      </c>
      <c r="AE662" s="5" t="n">
        <v>5000</v>
      </c>
      <c r="AF662" s="0" t="s">
        <v>60</v>
      </c>
      <c r="AG662" s="7" t="s">
        <v>2330</v>
      </c>
      <c r="AH662" s="0" t="s">
        <v>63</v>
      </c>
      <c r="AI662" s="0" t="s">
        <v>116</v>
      </c>
      <c r="AJ662" s="0" t="s">
        <v>2320</v>
      </c>
      <c r="AK662" s="0" t="s">
        <v>50</v>
      </c>
      <c r="AL662" s="0" t="s">
        <v>63</v>
      </c>
      <c r="AM662" s="0" t="s">
        <v>63</v>
      </c>
      <c r="AN662" s="0" t="s">
        <v>2321</v>
      </c>
      <c r="AO662" s="0" t="s">
        <v>2359</v>
      </c>
    </row>
    <row r="663" customFormat="false" ht="15" hidden="false" customHeight="false" outlineLevel="0" collapsed="false">
      <c r="A663" s="0" t="s">
        <v>1615</v>
      </c>
      <c r="B663" s="2" t="s">
        <v>2485</v>
      </c>
      <c r="C663" s="0" t="s">
        <v>66</v>
      </c>
      <c r="D663" s="0" t="n">
        <v>8043331368</v>
      </c>
      <c r="E663" s="0" t="s">
        <v>67</v>
      </c>
      <c r="F663" s="0" t="s">
        <v>2316</v>
      </c>
      <c r="G663" s="0" t="s">
        <v>1616</v>
      </c>
      <c r="H663" s="0" t="s">
        <v>87</v>
      </c>
      <c r="I663" s="3" t="s">
        <v>87</v>
      </c>
      <c r="J663" s="0" t="s">
        <v>2347</v>
      </c>
      <c r="K663" s="0" t="s">
        <v>109</v>
      </c>
      <c r="L663" s="4" t="n">
        <v>72259</v>
      </c>
      <c r="M663" s="0" t="s">
        <v>49</v>
      </c>
      <c r="N663" s="0" t="s">
        <v>50</v>
      </c>
      <c r="O663" s="5" t="n">
        <v>3</v>
      </c>
      <c r="P663" s="0" t="n">
        <v>3.2</v>
      </c>
      <c r="Q663" s="0" t="s">
        <v>125</v>
      </c>
      <c r="R663" s="0" t="s">
        <v>52</v>
      </c>
      <c r="S663" s="0" t="s">
        <v>2366</v>
      </c>
      <c r="T663" s="0" t="s">
        <v>75</v>
      </c>
      <c r="U663" s="5" t="n">
        <v>45</v>
      </c>
      <c r="V663" s="0" t="s">
        <v>55</v>
      </c>
      <c r="W663" s="0" t="s">
        <v>155</v>
      </c>
      <c r="X663" s="0" t="s">
        <v>128</v>
      </c>
      <c r="Y663" s="0" t="s">
        <v>99</v>
      </c>
      <c r="Z663" s="0" t="s">
        <v>177</v>
      </c>
      <c r="AA663" s="0" t="s">
        <v>79</v>
      </c>
      <c r="AB663" s="5" t="n">
        <v>30000</v>
      </c>
      <c r="AC663" s="5" t="n">
        <v>35000</v>
      </c>
      <c r="AD663" s="0" t="s">
        <v>63</v>
      </c>
      <c r="AE663" s="5" t="n">
        <v>0</v>
      </c>
      <c r="AF663" s="0" t="s">
        <v>130</v>
      </c>
      <c r="AG663" s="7" t="s">
        <v>2470</v>
      </c>
      <c r="AH663" s="0" t="s">
        <v>50</v>
      </c>
      <c r="AI663" s="0" t="s">
        <v>2331</v>
      </c>
      <c r="AJ663" s="0" t="s">
        <v>2331</v>
      </c>
      <c r="AK663" s="0" t="s">
        <v>63</v>
      </c>
      <c r="AL663" s="0" t="s">
        <v>50</v>
      </c>
      <c r="AM663" s="0" t="s">
        <v>2344</v>
      </c>
      <c r="AN663" s="0" t="s">
        <v>2321</v>
      </c>
      <c r="AO663" s="0" t="s">
        <v>50</v>
      </c>
    </row>
    <row r="664" customFormat="false" ht="15" hidden="false" customHeight="false" outlineLevel="0" collapsed="false">
      <c r="A664" s="0" t="s">
        <v>1617</v>
      </c>
      <c r="B664" s="2" t="s">
        <v>2431</v>
      </c>
      <c r="C664" s="0" t="s">
        <v>105</v>
      </c>
      <c r="D664" s="0" t="n">
        <v>8039855935</v>
      </c>
      <c r="E664" s="0" t="s">
        <v>85</v>
      </c>
      <c r="F664" s="0" t="s">
        <v>2319</v>
      </c>
      <c r="G664" s="0" t="s">
        <v>1618</v>
      </c>
      <c r="H664" s="0" t="s">
        <v>107</v>
      </c>
      <c r="I664" s="3" t="s">
        <v>2317</v>
      </c>
      <c r="J664" s="0" t="s">
        <v>2349</v>
      </c>
      <c r="K664" s="0" t="s">
        <v>90</v>
      </c>
      <c r="L664" s="4" t="n">
        <v>12487</v>
      </c>
      <c r="M664" s="0" t="s">
        <v>2333</v>
      </c>
      <c r="N664" s="0" t="s">
        <v>63</v>
      </c>
      <c r="O664" s="5" t="n">
        <v>1</v>
      </c>
      <c r="P664" s="0" t="n">
        <v>4.4</v>
      </c>
      <c r="Q664" s="0" t="s">
        <v>51</v>
      </c>
      <c r="R664" s="0" t="s">
        <v>52</v>
      </c>
      <c r="S664" s="0" t="s">
        <v>2366</v>
      </c>
      <c r="T664" s="0" t="s">
        <v>54</v>
      </c>
      <c r="U664" s="5" t="n">
        <v>37.9591836734694</v>
      </c>
      <c r="V664" s="0" t="s">
        <v>112</v>
      </c>
      <c r="W664" s="0" t="s">
        <v>2328</v>
      </c>
      <c r="X664" s="0" t="s">
        <v>128</v>
      </c>
      <c r="Y664" s="0" t="s">
        <v>58</v>
      </c>
      <c r="Z664" s="0" t="s">
        <v>2324</v>
      </c>
      <c r="AA664" s="0" t="s">
        <v>143</v>
      </c>
      <c r="AB664" s="5" t="n">
        <v>20000</v>
      </c>
      <c r="AC664" s="5" t="n">
        <v>20000</v>
      </c>
      <c r="AD664" s="0" t="s">
        <v>50</v>
      </c>
      <c r="AE664" s="5" t="n">
        <v>10000</v>
      </c>
      <c r="AF664" s="0" t="s">
        <v>2338</v>
      </c>
      <c r="AG664" s="7" t="s">
        <v>2330</v>
      </c>
      <c r="AH664" s="0" t="s">
        <v>63</v>
      </c>
      <c r="AI664" s="0" t="s">
        <v>2331</v>
      </c>
      <c r="AJ664" s="0" t="s">
        <v>2331</v>
      </c>
      <c r="AK664" s="0" t="s">
        <v>63</v>
      </c>
      <c r="AL664" s="0" t="s">
        <v>50</v>
      </c>
      <c r="AM664" s="0" t="s">
        <v>2344</v>
      </c>
      <c r="AN664" s="0" t="s">
        <v>2321</v>
      </c>
      <c r="AO664" s="0" t="s">
        <v>50</v>
      </c>
    </row>
    <row r="665" customFormat="false" ht="15" hidden="false" customHeight="false" outlineLevel="0" collapsed="false">
      <c r="A665" s="0" t="s">
        <v>1619</v>
      </c>
      <c r="B665" s="2" t="s">
        <v>1342</v>
      </c>
      <c r="C665" s="0" t="s">
        <v>105</v>
      </c>
      <c r="D665" s="0" t="n">
        <v>8091612860</v>
      </c>
      <c r="E665" s="0" t="s">
        <v>43</v>
      </c>
      <c r="F665" s="0" t="s">
        <v>2315</v>
      </c>
      <c r="G665" s="0" t="s">
        <v>1620</v>
      </c>
      <c r="H665" s="0" t="s">
        <v>107</v>
      </c>
      <c r="I665" s="3" t="s">
        <v>2317</v>
      </c>
      <c r="J665" s="0" t="s">
        <v>2341</v>
      </c>
      <c r="K665" s="0" t="s">
        <v>48</v>
      </c>
      <c r="L665" s="4" t="n">
        <v>14205</v>
      </c>
      <c r="M665" s="0" t="s">
        <v>110</v>
      </c>
      <c r="N665" s="0" t="s">
        <v>63</v>
      </c>
      <c r="O665" s="5" t="n">
        <v>1</v>
      </c>
      <c r="P665" s="0" t="n">
        <v>2.1</v>
      </c>
      <c r="Q665" s="0" t="s">
        <v>92</v>
      </c>
      <c r="R665" s="0" t="s">
        <v>52</v>
      </c>
      <c r="S665" s="0" t="s">
        <v>53</v>
      </c>
      <c r="T665" s="0" t="s">
        <v>75</v>
      </c>
      <c r="U665" s="5" t="n">
        <v>38.8888888888889</v>
      </c>
      <c r="V665" s="0" t="s">
        <v>55</v>
      </c>
      <c r="W665" s="0" t="s">
        <v>2328</v>
      </c>
      <c r="X665" s="0" t="s">
        <v>98</v>
      </c>
      <c r="Y665" s="0" t="s">
        <v>58</v>
      </c>
      <c r="Z665" s="0" t="s">
        <v>2324</v>
      </c>
      <c r="AA665" s="0" t="s">
        <v>79</v>
      </c>
      <c r="AB665" s="5" t="n">
        <v>30000</v>
      </c>
      <c r="AC665" s="5" t="n">
        <v>40000</v>
      </c>
      <c r="AD665" s="0" t="s">
        <v>50</v>
      </c>
      <c r="AE665" s="5" t="n">
        <v>0</v>
      </c>
      <c r="AF665" s="0" t="s">
        <v>60</v>
      </c>
      <c r="AG665" s="7" t="s">
        <v>2414</v>
      </c>
      <c r="AH665" s="0" t="s">
        <v>2329</v>
      </c>
      <c r="AI665" s="0" t="s">
        <v>2331</v>
      </c>
      <c r="AJ665" s="0" t="s">
        <v>172</v>
      </c>
      <c r="AK665" s="0" t="s">
        <v>63</v>
      </c>
      <c r="AL665" s="0" t="s">
        <v>50</v>
      </c>
      <c r="AM665" s="0" t="s">
        <v>63</v>
      </c>
      <c r="AN665" s="0" t="s">
        <v>64</v>
      </c>
      <c r="AO665" s="0" t="s">
        <v>2359</v>
      </c>
    </row>
    <row r="666" customFormat="false" ht="15" hidden="false" customHeight="false" outlineLevel="0" collapsed="false">
      <c r="A666" s="0" t="s">
        <v>1621</v>
      </c>
      <c r="B666" s="2" t="s">
        <v>119</v>
      </c>
      <c r="C666" s="0" t="s">
        <v>163</v>
      </c>
      <c r="D666" s="0" t="n">
        <v>8061202173</v>
      </c>
      <c r="E666" s="0" t="s">
        <v>67</v>
      </c>
      <c r="F666" s="0" t="s">
        <v>2316</v>
      </c>
      <c r="G666" s="0" t="s">
        <v>1622</v>
      </c>
      <c r="H666" s="0" t="s">
        <v>134</v>
      </c>
      <c r="I666" s="3" t="s">
        <v>2325</v>
      </c>
      <c r="J666" s="0" t="s">
        <v>2341</v>
      </c>
      <c r="K666" s="0" t="s">
        <v>90</v>
      </c>
      <c r="L666" s="4" t="n">
        <v>17547</v>
      </c>
      <c r="M666" s="0" t="s">
        <v>110</v>
      </c>
      <c r="N666" s="0" t="s">
        <v>50</v>
      </c>
      <c r="O666" s="5" t="n">
        <v>5</v>
      </c>
      <c r="P666" s="0" t="n">
        <v>3.4</v>
      </c>
      <c r="Q666" s="0" t="s">
        <v>125</v>
      </c>
      <c r="R666" s="0" t="s">
        <v>93</v>
      </c>
      <c r="S666" s="0" t="s">
        <v>53</v>
      </c>
      <c r="T666" s="0" t="s">
        <v>2343</v>
      </c>
      <c r="U666" s="5" t="n">
        <v>60</v>
      </c>
      <c r="V666" s="0" t="s">
        <v>96</v>
      </c>
      <c r="W666" s="0" t="s">
        <v>148</v>
      </c>
      <c r="X666" s="0" t="s">
        <v>98</v>
      </c>
      <c r="Y666" s="0" t="s">
        <v>99</v>
      </c>
      <c r="Z666" s="0" t="s">
        <v>2324</v>
      </c>
      <c r="AA666" s="0" t="s">
        <v>79</v>
      </c>
      <c r="AB666" s="5" t="n">
        <v>27307.6923076923</v>
      </c>
      <c r="AC666" s="5" t="n">
        <v>30000</v>
      </c>
      <c r="AD666" s="0" t="s">
        <v>63</v>
      </c>
      <c r="AE666" s="5" t="n">
        <v>5000</v>
      </c>
      <c r="AF666" s="0" t="s">
        <v>60</v>
      </c>
      <c r="AG666" s="7" t="s">
        <v>1486</v>
      </c>
      <c r="AH666" s="0" t="s">
        <v>50</v>
      </c>
      <c r="AI666" s="0" t="s">
        <v>171</v>
      </c>
      <c r="AJ666" s="0" t="s">
        <v>2331</v>
      </c>
      <c r="AK666" s="0" t="s">
        <v>2344</v>
      </c>
      <c r="AL666" s="0" t="s">
        <v>2344</v>
      </c>
      <c r="AM666" s="0" t="s">
        <v>2344</v>
      </c>
      <c r="AN666" s="0" t="s">
        <v>64</v>
      </c>
      <c r="AO666" s="0" t="s">
        <v>50</v>
      </c>
    </row>
    <row r="667" customFormat="false" ht="15" hidden="false" customHeight="false" outlineLevel="0" collapsed="false">
      <c r="A667" s="0" t="s">
        <v>1623</v>
      </c>
      <c r="B667" s="2" t="s">
        <v>2426</v>
      </c>
      <c r="C667" s="0" t="s">
        <v>121</v>
      </c>
      <c r="D667" s="0" t="n">
        <v>8079990777</v>
      </c>
      <c r="E667" s="0" t="s">
        <v>43</v>
      </c>
      <c r="F667" s="0" t="s">
        <v>2315</v>
      </c>
      <c r="G667" s="0" t="s">
        <v>1624</v>
      </c>
      <c r="H667" s="0" t="s">
        <v>134</v>
      </c>
      <c r="I667" s="3" t="s">
        <v>2325</v>
      </c>
      <c r="J667" s="0" t="s">
        <v>2339</v>
      </c>
      <c r="K667" s="0" t="s">
        <v>71</v>
      </c>
      <c r="L667" s="4" t="n">
        <v>44865</v>
      </c>
      <c r="M667" s="0" t="s">
        <v>2333</v>
      </c>
      <c r="N667" s="0" t="s">
        <v>63</v>
      </c>
      <c r="O667" s="5" t="n">
        <v>1</v>
      </c>
      <c r="P667" s="0" t="n">
        <v>1.7</v>
      </c>
      <c r="Q667" s="0" t="s">
        <v>92</v>
      </c>
      <c r="R667" s="0" t="s">
        <v>93</v>
      </c>
      <c r="S667" s="0" t="s">
        <v>2366</v>
      </c>
      <c r="T667" s="0" t="s">
        <v>147</v>
      </c>
      <c r="U667" s="5" t="n">
        <v>45</v>
      </c>
      <c r="V667" s="0" t="s">
        <v>112</v>
      </c>
      <c r="W667" s="0" t="s">
        <v>155</v>
      </c>
      <c r="X667" s="0" t="s">
        <v>78</v>
      </c>
      <c r="Y667" s="0" t="s">
        <v>58</v>
      </c>
      <c r="Z667" s="0" t="s">
        <v>177</v>
      </c>
      <c r="AA667" s="0" t="s">
        <v>149</v>
      </c>
      <c r="AB667" s="5" t="n">
        <v>24705.8823529412</v>
      </c>
      <c r="AC667" s="5" t="n">
        <v>35000</v>
      </c>
      <c r="AD667" s="0" t="s">
        <v>63</v>
      </c>
      <c r="AE667" s="5" t="n">
        <v>0</v>
      </c>
      <c r="AF667" s="0" t="s">
        <v>60</v>
      </c>
      <c r="AG667" s="7" t="s">
        <v>1019</v>
      </c>
      <c r="AH667" s="0" t="s">
        <v>63</v>
      </c>
      <c r="AI667" s="0" t="s">
        <v>116</v>
      </c>
      <c r="AJ667" s="0" t="s">
        <v>2331</v>
      </c>
      <c r="AK667" s="0" t="s">
        <v>63</v>
      </c>
      <c r="AL667" s="0" t="s">
        <v>50</v>
      </c>
      <c r="AM667" s="0" t="s">
        <v>2344</v>
      </c>
      <c r="AN667" s="0" t="s">
        <v>2321</v>
      </c>
      <c r="AO667" s="0" t="s">
        <v>63</v>
      </c>
    </row>
    <row r="668" customFormat="false" ht="15" hidden="false" customHeight="false" outlineLevel="0" collapsed="false">
      <c r="A668" s="0" t="s">
        <v>1625</v>
      </c>
      <c r="B668" s="2" t="s">
        <v>1518</v>
      </c>
      <c r="C668" s="0" t="s">
        <v>42</v>
      </c>
      <c r="D668" s="0" t="n">
        <v>8053169386</v>
      </c>
      <c r="E668" s="0" t="s">
        <v>122</v>
      </c>
      <c r="F668" s="0" t="s">
        <v>2316</v>
      </c>
      <c r="G668" s="0" t="s">
        <v>1626</v>
      </c>
      <c r="H668" s="0" t="s">
        <v>45</v>
      </c>
      <c r="I668" s="3" t="s">
        <v>2322</v>
      </c>
      <c r="J668" s="0" t="s">
        <v>2347</v>
      </c>
      <c r="K668" s="0" t="s">
        <v>109</v>
      </c>
      <c r="L668" s="4" t="n">
        <v>62819</v>
      </c>
      <c r="M668" s="0" t="s">
        <v>110</v>
      </c>
      <c r="N668" s="0" t="s">
        <v>63</v>
      </c>
      <c r="O668" s="5" t="n">
        <v>5</v>
      </c>
      <c r="P668" s="0" t="n">
        <v>3</v>
      </c>
      <c r="Q668" s="0" t="s">
        <v>111</v>
      </c>
      <c r="R668" s="0" t="s">
        <v>93</v>
      </c>
      <c r="S668" s="0" t="s">
        <v>2335</v>
      </c>
      <c r="T668" s="0" t="s">
        <v>2343</v>
      </c>
      <c r="U668" s="5" t="n">
        <v>60</v>
      </c>
      <c r="V668" s="0" t="s">
        <v>96</v>
      </c>
      <c r="W668" s="0" t="s">
        <v>155</v>
      </c>
      <c r="X668" s="0" t="s">
        <v>98</v>
      </c>
      <c r="Y668" s="0" t="s">
        <v>114</v>
      </c>
      <c r="Z668" s="0" t="s">
        <v>59</v>
      </c>
      <c r="AA668" s="0" t="s">
        <v>79</v>
      </c>
      <c r="AB668" s="5" t="n">
        <v>15000</v>
      </c>
      <c r="AC668" s="5" t="n">
        <v>35000</v>
      </c>
      <c r="AD668" s="0" t="s">
        <v>50</v>
      </c>
      <c r="AE668" s="5" t="n">
        <v>10000</v>
      </c>
      <c r="AF668" s="0" t="s">
        <v>184</v>
      </c>
      <c r="AG668" s="7" t="s">
        <v>2481</v>
      </c>
      <c r="AH668" s="0" t="s">
        <v>50</v>
      </c>
      <c r="AI668" s="0" t="s">
        <v>171</v>
      </c>
      <c r="AJ668" s="0" t="s">
        <v>2331</v>
      </c>
      <c r="AK668" s="0" t="s">
        <v>50</v>
      </c>
      <c r="AL668" s="0" t="s">
        <v>50</v>
      </c>
      <c r="AM668" s="0" t="s">
        <v>50</v>
      </c>
      <c r="AN668" s="0" t="s">
        <v>2321</v>
      </c>
      <c r="AO668" s="0" t="s">
        <v>50</v>
      </c>
    </row>
    <row r="669" customFormat="false" ht="15" hidden="false" customHeight="false" outlineLevel="0" collapsed="false">
      <c r="A669" s="0" t="s">
        <v>1627</v>
      </c>
      <c r="B669" s="2" t="s">
        <v>463</v>
      </c>
      <c r="C669" s="0" t="s">
        <v>163</v>
      </c>
      <c r="D669" s="0" t="n">
        <v>8034635056</v>
      </c>
      <c r="E669" s="0" t="s">
        <v>85</v>
      </c>
      <c r="F669" s="0" t="s">
        <v>2319</v>
      </c>
      <c r="G669" s="0" t="s">
        <v>1628</v>
      </c>
      <c r="H669" s="0" t="s">
        <v>45</v>
      </c>
      <c r="I669" s="3" t="s">
        <v>2317</v>
      </c>
      <c r="J669" s="0" t="s">
        <v>2339</v>
      </c>
      <c r="K669" s="0" t="s">
        <v>71</v>
      </c>
      <c r="L669" s="4" t="n">
        <v>64369</v>
      </c>
      <c r="M669" s="0" t="s">
        <v>49</v>
      </c>
      <c r="N669" s="0" t="s">
        <v>50</v>
      </c>
      <c r="O669" s="5" t="n">
        <v>3</v>
      </c>
      <c r="P669" s="0" t="n">
        <v>4.5</v>
      </c>
      <c r="Q669" s="0" t="s">
        <v>111</v>
      </c>
      <c r="R669" s="0" t="s">
        <v>52</v>
      </c>
      <c r="S669" s="0" t="s">
        <v>2340</v>
      </c>
      <c r="T669" s="0" t="s">
        <v>95</v>
      </c>
      <c r="U669" s="5" t="n">
        <v>60</v>
      </c>
      <c r="V669" s="0" t="s">
        <v>2352</v>
      </c>
      <c r="W669" s="0" t="s">
        <v>155</v>
      </c>
      <c r="X669" s="0" t="s">
        <v>78</v>
      </c>
      <c r="Y669" s="0" t="s">
        <v>114</v>
      </c>
      <c r="Z669" s="0" t="s">
        <v>177</v>
      </c>
      <c r="AA669" s="0" t="s">
        <v>149</v>
      </c>
      <c r="AB669" s="5" t="n">
        <v>25000</v>
      </c>
      <c r="AC669" s="5" t="n">
        <v>35000</v>
      </c>
      <c r="AD669" s="0" t="s">
        <v>50</v>
      </c>
      <c r="AE669" s="5" t="n">
        <v>5000</v>
      </c>
      <c r="AF669" s="0" t="s">
        <v>2338</v>
      </c>
      <c r="AG669" s="7" t="s">
        <v>486</v>
      </c>
      <c r="AH669" s="0" t="s">
        <v>50</v>
      </c>
      <c r="AI669" s="0" t="s">
        <v>116</v>
      </c>
      <c r="AJ669" s="0" t="s">
        <v>2331</v>
      </c>
      <c r="AK669" s="0" t="s">
        <v>63</v>
      </c>
      <c r="AL669" s="0" t="s">
        <v>63</v>
      </c>
      <c r="AM669" s="0" t="s">
        <v>63</v>
      </c>
      <c r="AN669" s="0" t="s">
        <v>2321</v>
      </c>
      <c r="AO669" s="0" t="s">
        <v>63</v>
      </c>
    </row>
    <row r="670" customFormat="false" ht="15" hidden="false" customHeight="false" outlineLevel="0" collapsed="false">
      <c r="A670" s="0" t="s">
        <v>1630</v>
      </c>
      <c r="B670" s="2" t="s">
        <v>1629</v>
      </c>
      <c r="C670" s="0" t="s">
        <v>163</v>
      </c>
      <c r="D670" s="0" t="n">
        <v>8069372673</v>
      </c>
      <c r="E670" s="0" t="s">
        <v>122</v>
      </c>
      <c r="F670" s="0" t="s">
        <v>2316</v>
      </c>
      <c r="G670" s="0" t="s">
        <v>1631</v>
      </c>
      <c r="H670" s="0" t="s">
        <v>134</v>
      </c>
      <c r="I670" s="3" t="s">
        <v>2325</v>
      </c>
      <c r="J670" s="0" t="s">
        <v>189</v>
      </c>
      <c r="K670" s="0" t="s">
        <v>90</v>
      </c>
      <c r="L670" s="4" t="n">
        <v>65779</v>
      </c>
      <c r="M670" s="0" t="s">
        <v>49</v>
      </c>
      <c r="N670" s="0" t="s">
        <v>63</v>
      </c>
      <c r="O670" s="5" t="n">
        <v>3</v>
      </c>
      <c r="P670" s="0" t="n">
        <v>1.8</v>
      </c>
      <c r="Q670" s="0" t="s">
        <v>92</v>
      </c>
      <c r="R670" s="0" t="s">
        <v>93</v>
      </c>
      <c r="S670" s="0" t="s">
        <v>2340</v>
      </c>
      <c r="T670" s="0" t="s">
        <v>147</v>
      </c>
      <c r="U670" s="5" t="n">
        <v>60</v>
      </c>
      <c r="V670" s="0" t="s">
        <v>112</v>
      </c>
      <c r="W670" s="0" t="s">
        <v>2337</v>
      </c>
      <c r="X670" s="0" t="s">
        <v>78</v>
      </c>
      <c r="Y670" s="0" t="s">
        <v>58</v>
      </c>
      <c r="Z670" s="0" t="s">
        <v>2324</v>
      </c>
      <c r="AA670" s="0" t="s">
        <v>143</v>
      </c>
      <c r="AB670" s="5" t="n">
        <v>15000</v>
      </c>
      <c r="AC670" s="5" t="n">
        <v>35000</v>
      </c>
      <c r="AD670" s="0" t="s">
        <v>50</v>
      </c>
      <c r="AE670" s="5" t="n">
        <v>5000</v>
      </c>
      <c r="AF670" s="0" t="s">
        <v>2338</v>
      </c>
      <c r="AG670" s="7" t="s">
        <v>1632</v>
      </c>
      <c r="AH670" s="0" t="s">
        <v>50</v>
      </c>
      <c r="AI670" s="0" t="s">
        <v>2331</v>
      </c>
      <c r="AJ670" s="0" t="s">
        <v>172</v>
      </c>
      <c r="AK670" s="0" t="s">
        <v>50</v>
      </c>
      <c r="AL670" s="0" t="s">
        <v>50</v>
      </c>
      <c r="AM670" s="0" t="s">
        <v>63</v>
      </c>
      <c r="AN670" s="0" t="s">
        <v>2321</v>
      </c>
      <c r="AO670" s="0" t="s">
        <v>50</v>
      </c>
    </row>
    <row r="671" customFormat="false" ht="15" hidden="false" customHeight="false" outlineLevel="0" collapsed="false">
      <c r="A671" s="0" t="s">
        <v>1633</v>
      </c>
      <c r="B671" s="2" t="s">
        <v>225</v>
      </c>
      <c r="C671" s="0" t="s">
        <v>66</v>
      </c>
      <c r="D671" s="0" t="n">
        <v>8094527978</v>
      </c>
      <c r="E671" s="0" t="s">
        <v>67</v>
      </c>
      <c r="F671" s="0" t="s">
        <v>2316</v>
      </c>
      <c r="G671" s="0" t="s">
        <v>1634</v>
      </c>
      <c r="H671" s="0" t="s">
        <v>69</v>
      </c>
      <c r="I671" s="3" t="s">
        <v>2317</v>
      </c>
      <c r="J671" s="0" t="s">
        <v>189</v>
      </c>
      <c r="K671" s="0" t="s">
        <v>90</v>
      </c>
      <c r="L671" s="4" t="n">
        <v>23129</v>
      </c>
      <c r="M671" s="0" t="s">
        <v>2333</v>
      </c>
      <c r="N671" s="0" t="s">
        <v>63</v>
      </c>
      <c r="O671" s="5" t="n">
        <v>5</v>
      </c>
      <c r="P671" s="0" t="n">
        <v>5.7</v>
      </c>
      <c r="Q671" s="0" t="s">
        <v>2334</v>
      </c>
      <c r="R671" s="0" t="s">
        <v>93</v>
      </c>
      <c r="S671" s="0" t="s">
        <v>53</v>
      </c>
      <c r="T671" s="0" t="s">
        <v>75</v>
      </c>
      <c r="U671" s="5" t="n">
        <v>30</v>
      </c>
      <c r="V671" s="0" t="s">
        <v>112</v>
      </c>
      <c r="W671" s="0" t="s">
        <v>155</v>
      </c>
      <c r="X671" s="0" t="s">
        <v>98</v>
      </c>
      <c r="Y671" s="0" t="s">
        <v>58</v>
      </c>
      <c r="Z671" s="0" t="s">
        <v>2326</v>
      </c>
      <c r="AA671" s="0" t="s">
        <v>79</v>
      </c>
      <c r="AB671" s="5" t="n">
        <v>20000</v>
      </c>
      <c r="AC671" s="5" t="n">
        <v>30000</v>
      </c>
      <c r="AD671" s="0" t="s">
        <v>50</v>
      </c>
      <c r="AE671" s="5" t="n">
        <v>5000</v>
      </c>
      <c r="AF671" s="0" t="s">
        <v>2338</v>
      </c>
      <c r="AG671" s="7" t="s">
        <v>1635</v>
      </c>
      <c r="AH671" s="0" t="s">
        <v>2329</v>
      </c>
      <c r="AI671" s="0" t="s">
        <v>2331</v>
      </c>
      <c r="AJ671" s="0" t="s">
        <v>2331</v>
      </c>
      <c r="AK671" s="0" t="s">
        <v>50</v>
      </c>
      <c r="AL671" s="0" t="s">
        <v>50</v>
      </c>
      <c r="AM671" s="0" t="s">
        <v>50</v>
      </c>
      <c r="AN671" s="0" t="s">
        <v>64</v>
      </c>
      <c r="AO671" s="0" t="s">
        <v>50</v>
      </c>
    </row>
    <row r="672" customFormat="false" ht="15" hidden="false" customHeight="false" outlineLevel="0" collapsed="false">
      <c r="A672" s="0" t="s">
        <v>1636</v>
      </c>
      <c r="B672" s="2" t="s">
        <v>869</v>
      </c>
      <c r="C672" s="0" t="s">
        <v>121</v>
      </c>
      <c r="D672" s="0" t="n">
        <v>8010811032</v>
      </c>
      <c r="E672" s="0" t="s">
        <v>139</v>
      </c>
      <c r="F672" s="0" t="s">
        <v>2323</v>
      </c>
      <c r="G672" s="0" t="s">
        <v>412</v>
      </c>
      <c r="H672" s="0" t="s">
        <v>107</v>
      </c>
      <c r="I672" s="3" t="s">
        <v>87</v>
      </c>
      <c r="J672" s="0" t="s">
        <v>2341</v>
      </c>
      <c r="K672" s="0" t="s">
        <v>90</v>
      </c>
      <c r="L672" s="4" t="n">
        <v>50711</v>
      </c>
      <c r="M672" s="0" t="s">
        <v>2333</v>
      </c>
      <c r="N672" s="0" t="s">
        <v>50</v>
      </c>
      <c r="O672" s="5" t="n">
        <v>5</v>
      </c>
      <c r="P672" s="0" t="n">
        <v>1.8</v>
      </c>
      <c r="Q672" s="0" t="s">
        <v>111</v>
      </c>
      <c r="R672" s="0" t="s">
        <v>52</v>
      </c>
      <c r="S672" s="0" t="s">
        <v>2335</v>
      </c>
      <c r="T672" s="0" t="s">
        <v>95</v>
      </c>
      <c r="U672" s="5" t="n">
        <v>15</v>
      </c>
      <c r="V672" s="0" t="s">
        <v>2336</v>
      </c>
      <c r="W672" s="0" t="s">
        <v>155</v>
      </c>
      <c r="X672" s="0" t="s">
        <v>128</v>
      </c>
      <c r="Y672" s="0" t="s">
        <v>58</v>
      </c>
      <c r="Z672" s="0" t="s">
        <v>177</v>
      </c>
      <c r="AA672" s="0" t="s">
        <v>79</v>
      </c>
      <c r="AB672" s="5" t="n">
        <v>20000</v>
      </c>
      <c r="AC672" s="5" t="n">
        <v>31423.3576642336</v>
      </c>
      <c r="AD672" s="0" t="s">
        <v>50</v>
      </c>
      <c r="AE672" s="5" t="n">
        <v>0</v>
      </c>
      <c r="AF672" s="0" t="s">
        <v>60</v>
      </c>
      <c r="AG672" s="7" t="s">
        <v>2481</v>
      </c>
      <c r="AH672" s="0" t="s">
        <v>50</v>
      </c>
      <c r="AI672" s="0" t="s">
        <v>2331</v>
      </c>
      <c r="AJ672" s="0" t="s">
        <v>2331</v>
      </c>
      <c r="AK672" s="0" t="s">
        <v>50</v>
      </c>
      <c r="AL672" s="0" t="s">
        <v>50</v>
      </c>
      <c r="AM672" s="0" t="s">
        <v>63</v>
      </c>
      <c r="AN672" s="0" t="s">
        <v>64</v>
      </c>
      <c r="AO672" s="0" t="s">
        <v>63</v>
      </c>
    </row>
    <row r="673" customFormat="false" ht="15" hidden="false" customHeight="false" outlineLevel="0" collapsed="false">
      <c r="A673" s="0" t="s">
        <v>1637</v>
      </c>
      <c r="B673" s="2" t="s">
        <v>1342</v>
      </c>
      <c r="C673" s="0" t="s">
        <v>163</v>
      </c>
      <c r="D673" s="0" t="n">
        <v>8018672730</v>
      </c>
      <c r="E673" s="0" t="s">
        <v>139</v>
      </c>
      <c r="F673" s="0" t="s">
        <v>2323</v>
      </c>
      <c r="G673" s="0" t="s">
        <v>1638</v>
      </c>
      <c r="H673" s="0" t="s">
        <v>69</v>
      </c>
      <c r="I673" s="3" t="s">
        <v>2342</v>
      </c>
      <c r="J673" s="0" t="s">
        <v>2339</v>
      </c>
      <c r="K673" s="0" t="s">
        <v>90</v>
      </c>
      <c r="L673" s="4" t="n">
        <v>53297</v>
      </c>
      <c r="M673" s="0" t="s">
        <v>2333</v>
      </c>
      <c r="N673" s="0" t="s">
        <v>63</v>
      </c>
      <c r="O673" s="5" t="n">
        <v>1</v>
      </c>
      <c r="P673" s="0" t="n">
        <v>1.2</v>
      </c>
      <c r="Q673" s="0" t="s">
        <v>111</v>
      </c>
      <c r="R673" s="0" t="s">
        <v>73</v>
      </c>
      <c r="S673" s="0" t="s">
        <v>2366</v>
      </c>
      <c r="T673" s="0" t="s">
        <v>2353</v>
      </c>
      <c r="U673" s="5" t="n">
        <v>15</v>
      </c>
      <c r="V673" s="0" t="s">
        <v>55</v>
      </c>
      <c r="W673" s="0" t="s">
        <v>155</v>
      </c>
      <c r="X673" s="0" t="s">
        <v>128</v>
      </c>
      <c r="Y673" s="0" t="s">
        <v>58</v>
      </c>
      <c r="Z673" s="0" t="s">
        <v>2326</v>
      </c>
      <c r="AA673" s="0" t="s">
        <v>2329</v>
      </c>
      <c r="AB673" s="5" t="n">
        <v>25000</v>
      </c>
      <c r="AC673" s="5" t="n">
        <v>31423.3576642336</v>
      </c>
      <c r="AD673" s="0" t="s">
        <v>63</v>
      </c>
      <c r="AE673" s="5" t="n">
        <v>0</v>
      </c>
      <c r="AF673" s="0" t="s">
        <v>130</v>
      </c>
      <c r="AG673" s="7" t="s">
        <v>2392</v>
      </c>
      <c r="AH673" s="0" t="s">
        <v>63</v>
      </c>
      <c r="AI673" s="0" t="s">
        <v>2331</v>
      </c>
      <c r="AJ673" s="0" t="s">
        <v>2331</v>
      </c>
      <c r="AK673" s="0" t="s">
        <v>2344</v>
      </c>
      <c r="AL673" s="0" t="s">
        <v>63</v>
      </c>
      <c r="AM673" s="0" t="s">
        <v>2344</v>
      </c>
      <c r="AN673" s="0" t="s">
        <v>64</v>
      </c>
      <c r="AO673" s="0" t="s">
        <v>63</v>
      </c>
    </row>
    <row r="674" customFormat="false" ht="15" hidden="false" customHeight="false" outlineLevel="0" collapsed="false">
      <c r="A674" s="0" t="s">
        <v>1640</v>
      </c>
      <c r="B674" s="2" t="s">
        <v>1639</v>
      </c>
      <c r="C674" s="0" t="s">
        <v>42</v>
      </c>
      <c r="D674" s="0" t="n">
        <v>8075987111</v>
      </c>
      <c r="E674" s="0" t="s">
        <v>85</v>
      </c>
      <c r="F674" s="0" t="s">
        <v>2319</v>
      </c>
      <c r="G674" s="0" t="s">
        <v>1641</v>
      </c>
      <c r="H674" s="0" t="s">
        <v>134</v>
      </c>
      <c r="I674" s="3" t="s">
        <v>2317</v>
      </c>
      <c r="J674" s="0" t="s">
        <v>2341</v>
      </c>
      <c r="K674" s="0" t="s">
        <v>90</v>
      </c>
      <c r="L674" s="4" t="n">
        <v>92160</v>
      </c>
      <c r="M674" s="0" t="s">
        <v>49</v>
      </c>
      <c r="N674" s="0" t="s">
        <v>50</v>
      </c>
      <c r="O674" s="5" t="n">
        <v>4</v>
      </c>
      <c r="P674" s="0" t="n">
        <v>4</v>
      </c>
      <c r="Q674" s="0" t="s">
        <v>92</v>
      </c>
      <c r="R674" s="0" t="s">
        <v>52</v>
      </c>
      <c r="S674" s="0" t="s">
        <v>2335</v>
      </c>
      <c r="T674" s="0" t="s">
        <v>75</v>
      </c>
      <c r="U674" s="5" t="n">
        <v>45</v>
      </c>
      <c r="V674" s="0" t="s">
        <v>96</v>
      </c>
      <c r="W674" s="0" t="s">
        <v>148</v>
      </c>
      <c r="X674" s="0" t="s">
        <v>128</v>
      </c>
      <c r="Y674" s="0" t="s">
        <v>196</v>
      </c>
      <c r="Z674" s="0" t="s">
        <v>59</v>
      </c>
      <c r="AA674" s="0" t="s">
        <v>79</v>
      </c>
      <c r="AB674" s="5" t="n">
        <v>40000</v>
      </c>
      <c r="AC674" s="5" t="n">
        <v>40000</v>
      </c>
      <c r="AD674" s="0" t="s">
        <v>50</v>
      </c>
      <c r="AE674" s="5" t="n">
        <v>5000</v>
      </c>
      <c r="AF674" s="0" t="s">
        <v>60</v>
      </c>
      <c r="AG674" s="7" t="s">
        <v>1642</v>
      </c>
      <c r="AH674" s="0" t="s">
        <v>63</v>
      </c>
      <c r="AI674" s="0" t="s">
        <v>2331</v>
      </c>
      <c r="AJ674" s="0" t="s">
        <v>117</v>
      </c>
      <c r="AK674" s="0" t="s">
        <v>50</v>
      </c>
      <c r="AL674" s="0" t="s">
        <v>63</v>
      </c>
      <c r="AM674" s="0" t="s">
        <v>2344</v>
      </c>
      <c r="AN674" s="0" t="s">
        <v>64</v>
      </c>
      <c r="AO674" s="0" t="s">
        <v>50</v>
      </c>
    </row>
    <row r="675" customFormat="false" ht="15" hidden="false" customHeight="false" outlineLevel="0" collapsed="false">
      <c r="A675" s="0" t="s">
        <v>1643</v>
      </c>
      <c r="B675" s="2" t="s">
        <v>2485</v>
      </c>
      <c r="C675" s="0" t="s">
        <v>121</v>
      </c>
      <c r="D675" s="0" t="n">
        <v>8019393216</v>
      </c>
      <c r="E675" s="0" t="s">
        <v>85</v>
      </c>
      <c r="F675" s="0" t="s">
        <v>2319</v>
      </c>
      <c r="G675" s="0" t="s">
        <v>1644</v>
      </c>
      <c r="H675" s="0" t="s">
        <v>134</v>
      </c>
      <c r="I675" s="3" t="s">
        <v>2325</v>
      </c>
      <c r="J675" s="0" t="s">
        <v>2341</v>
      </c>
      <c r="K675" s="0" t="s">
        <v>90</v>
      </c>
      <c r="L675" s="4" t="n">
        <v>87242</v>
      </c>
      <c r="M675" s="0" t="s">
        <v>49</v>
      </c>
      <c r="N675" s="0" t="s">
        <v>63</v>
      </c>
      <c r="O675" s="5" t="n">
        <v>3</v>
      </c>
      <c r="P675" s="0" t="n">
        <v>4.9</v>
      </c>
      <c r="Q675" s="0" t="s">
        <v>92</v>
      </c>
      <c r="R675" s="0" t="s">
        <v>73</v>
      </c>
      <c r="S675" s="0" t="s">
        <v>2340</v>
      </c>
      <c r="T675" s="0" t="s">
        <v>2353</v>
      </c>
      <c r="U675" s="5" t="n">
        <v>15</v>
      </c>
      <c r="V675" s="0" t="s">
        <v>55</v>
      </c>
      <c r="W675" s="0" t="s">
        <v>2337</v>
      </c>
      <c r="X675" s="0" t="s">
        <v>98</v>
      </c>
      <c r="Y675" s="0" t="s">
        <v>196</v>
      </c>
      <c r="Z675" s="0" t="s">
        <v>2329</v>
      </c>
      <c r="AA675" s="0" t="s">
        <v>149</v>
      </c>
      <c r="AB675" s="5" t="n">
        <v>20000</v>
      </c>
      <c r="AC675" s="5" t="n">
        <v>40000</v>
      </c>
      <c r="AD675" s="0" t="s">
        <v>63</v>
      </c>
      <c r="AE675" s="5" t="n">
        <v>10000</v>
      </c>
      <c r="AF675" s="0" t="s">
        <v>60</v>
      </c>
      <c r="AG675" s="7" t="s">
        <v>2330</v>
      </c>
      <c r="AH675" s="0" t="s">
        <v>63</v>
      </c>
      <c r="AI675" s="0" t="s">
        <v>2331</v>
      </c>
      <c r="AJ675" s="0" t="s">
        <v>172</v>
      </c>
      <c r="AK675" s="0" t="s">
        <v>2344</v>
      </c>
      <c r="AL675" s="0" t="s">
        <v>63</v>
      </c>
      <c r="AM675" s="0" t="s">
        <v>63</v>
      </c>
      <c r="AN675" s="0" t="s">
        <v>2321</v>
      </c>
      <c r="AO675" s="0" t="s">
        <v>63</v>
      </c>
    </row>
    <row r="676" customFormat="false" ht="15" hidden="false" customHeight="false" outlineLevel="0" collapsed="false">
      <c r="A676" s="0" t="s">
        <v>1645</v>
      </c>
      <c r="B676" s="2" t="s">
        <v>2458</v>
      </c>
      <c r="C676" s="0" t="s">
        <v>42</v>
      </c>
      <c r="D676" s="0" t="n">
        <v>8035832275</v>
      </c>
      <c r="E676" s="0" t="s">
        <v>122</v>
      </c>
      <c r="F676" s="0" t="s">
        <v>2316</v>
      </c>
      <c r="G676" s="0" t="s">
        <v>1646</v>
      </c>
      <c r="H676" s="0" t="s">
        <v>107</v>
      </c>
      <c r="I676" s="3" t="s">
        <v>2322</v>
      </c>
      <c r="J676" s="0" t="s">
        <v>2349</v>
      </c>
      <c r="K676" s="0" t="s">
        <v>90</v>
      </c>
      <c r="L676" s="4" t="n">
        <v>13268</v>
      </c>
      <c r="M676" s="0" t="s">
        <v>49</v>
      </c>
      <c r="N676" s="0" t="s">
        <v>63</v>
      </c>
      <c r="O676" s="5" t="n">
        <v>3</v>
      </c>
      <c r="P676" s="0" t="n">
        <v>2.2</v>
      </c>
      <c r="Q676" s="0" t="s">
        <v>111</v>
      </c>
      <c r="R676" s="0" t="s">
        <v>52</v>
      </c>
      <c r="S676" s="0" t="s">
        <v>53</v>
      </c>
      <c r="T676" s="0" t="s">
        <v>2343</v>
      </c>
      <c r="U676" s="5" t="n">
        <v>60</v>
      </c>
      <c r="V676" s="0" t="s">
        <v>2352</v>
      </c>
      <c r="W676" s="0" t="s">
        <v>155</v>
      </c>
      <c r="X676" s="0" t="s">
        <v>128</v>
      </c>
      <c r="Y676" s="0" t="s">
        <v>196</v>
      </c>
      <c r="Z676" s="0" t="s">
        <v>2329</v>
      </c>
      <c r="AA676" s="0" t="s">
        <v>161</v>
      </c>
      <c r="AB676" s="5" t="n">
        <v>15000</v>
      </c>
      <c r="AC676" s="5" t="n">
        <v>40000</v>
      </c>
      <c r="AD676" s="0" t="s">
        <v>50</v>
      </c>
      <c r="AE676" s="5" t="n">
        <v>0</v>
      </c>
      <c r="AF676" s="0" t="s">
        <v>184</v>
      </c>
      <c r="AG676" s="7" t="s">
        <v>1227</v>
      </c>
      <c r="AH676" s="0" t="s">
        <v>63</v>
      </c>
      <c r="AI676" s="0" t="s">
        <v>2331</v>
      </c>
      <c r="AJ676" s="0" t="s">
        <v>172</v>
      </c>
      <c r="AK676" s="0" t="s">
        <v>50</v>
      </c>
      <c r="AL676" s="0" t="s">
        <v>2344</v>
      </c>
      <c r="AM676" s="0" t="s">
        <v>2344</v>
      </c>
      <c r="AN676" s="0" t="s">
        <v>2321</v>
      </c>
      <c r="AO676" s="0" t="s">
        <v>50</v>
      </c>
    </row>
    <row r="677" customFormat="false" ht="15" hidden="false" customHeight="false" outlineLevel="0" collapsed="false">
      <c r="A677" s="0" t="s">
        <v>1647</v>
      </c>
      <c r="B677" s="2" t="s">
        <v>2392</v>
      </c>
      <c r="C677" s="0" t="s">
        <v>66</v>
      </c>
      <c r="D677" s="0" t="n">
        <v>8016993664</v>
      </c>
      <c r="E677" s="0" t="s">
        <v>67</v>
      </c>
      <c r="F677" s="0" t="s">
        <v>2316</v>
      </c>
      <c r="G677" s="0" t="s">
        <v>1648</v>
      </c>
      <c r="H677" s="0" t="s">
        <v>134</v>
      </c>
      <c r="I677" s="3" t="s">
        <v>2322</v>
      </c>
      <c r="J677" s="0" t="s">
        <v>2347</v>
      </c>
      <c r="K677" s="0" t="s">
        <v>109</v>
      </c>
      <c r="L677" s="4" t="n">
        <v>108971</v>
      </c>
      <c r="M677" s="0" t="s">
        <v>110</v>
      </c>
      <c r="N677" s="0" t="s">
        <v>50</v>
      </c>
      <c r="O677" s="5" t="n">
        <v>2</v>
      </c>
      <c r="P677" s="0" t="n">
        <v>5.5</v>
      </c>
      <c r="Q677" s="0" t="s">
        <v>51</v>
      </c>
      <c r="R677" s="0" t="s">
        <v>93</v>
      </c>
      <c r="S677" s="0" t="s">
        <v>53</v>
      </c>
      <c r="T677" s="0" t="s">
        <v>2343</v>
      </c>
      <c r="U677" s="5" t="n">
        <v>45</v>
      </c>
      <c r="V677" s="0" t="s">
        <v>2336</v>
      </c>
      <c r="W677" s="0" t="s">
        <v>148</v>
      </c>
      <c r="X677" s="0" t="s">
        <v>128</v>
      </c>
      <c r="Y677" s="0" t="s">
        <v>196</v>
      </c>
      <c r="Z677" s="0" t="s">
        <v>2329</v>
      </c>
      <c r="AA677" s="0" t="s">
        <v>161</v>
      </c>
      <c r="AB677" s="5" t="n">
        <v>40000</v>
      </c>
      <c r="AC677" s="5" t="n">
        <v>30000</v>
      </c>
      <c r="AD677" s="0" t="s">
        <v>63</v>
      </c>
      <c r="AE677" s="5" t="n">
        <v>10000</v>
      </c>
      <c r="AF677" s="0" t="s">
        <v>130</v>
      </c>
      <c r="AG677" s="7" t="s">
        <v>2330</v>
      </c>
      <c r="AH677" s="0" t="s">
        <v>2329</v>
      </c>
      <c r="AI677" s="0" t="s">
        <v>2331</v>
      </c>
      <c r="AJ677" s="0" t="s">
        <v>117</v>
      </c>
      <c r="AK677" s="0" t="s">
        <v>2344</v>
      </c>
      <c r="AL677" s="0" t="s">
        <v>63</v>
      </c>
      <c r="AM677" s="0" t="s">
        <v>50</v>
      </c>
      <c r="AN677" s="0" t="s">
        <v>2321</v>
      </c>
      <c r="AO677" s="0" t="s">
        <v>63</v>
      </c>
    </row>
    <row r="678" customFormat="false" ht="15" hidden="false" customHeight="false" outlineLevel="0" collapsed="false">
      <c r="A678" s="0" t="s">
        <v>1649</v>
      </c>
      <c r="B678" s="2" t="s">
        <v>2379</v>
      </c>
      <c r="C678" s="0" t="s">
        <v>121</v>
      </c>
      <c r="D678" s="0" t="n">
        <v>8095143291</v>
      </c>
      <c r="E678" s="0" t="s">
        <v>139</v>
      </c>
      <c r="F678" s="0" t="s">
        <v>2323</v>
      </c>
      <c r="G678" s="0" t="s">
        <v>1650</v>
      </c>
      <c r="H678" s="0" t="s">
        <v>107</v>
      </c>
      <c r="I678" s="3" t="s">
        <v>2342</v>
      </c>
      <c r="J678" s="0" t="s">
        <v>2339</v>
      </c>
      <c r="K678" s="0" t="s">
        <v>90</v>
      </c>
      <c r="L678" s="4" t="n">
        <v>18888</v>
      </c>
      <c r="M678" s="0" t="s">
        <v>2333</v>
      </c>
      <c r="N678" s="0" t="s">
        <v>50</v>
      </c>
      <c r="O678" s="5" t="n">
        <v>3.15094339622642</v>
      </c>
      <c r="P678" s="0" t="n">
        <v>3.1</v>
      </c>
      <c r="Q678" s="0" t="s">
        <v>111</v>
      </c>
      <c r="R678" s="0" t="s">
        <v>52</v>
      </c>
      <c r="S678" s="0" t="s">
        <v>2335</v>
      </c>
      <c r="T678" s="0" t="s">
        <v>2353</v>
      </c>
      <c r="U678" s="5" t="n">
        <v>45</v>
      </c>
      <c r="V678" s="0" t="s">
        <v>96</v>
      </c>
      <c r="W678" s="0" t="s">
        <v>155</v>
      </c>
      <c r="X678" s="0" t="s">
        <v>98</v>
      </c>
      <c r="Y678" s="0" t="s">
        <v>196</v>
      </c>
      <c r="Z678" s="0" t="s">
        <v>2329</v>
      </c>
      <c r="AA678" s="0" t="s">
        <v>79</v>
      </c>
      <c r="AB678" s="5" t="n">
        <v>25000</v>
      </c>
      <c r="AC678" s="5" t="n">
        <v>31333.3333333333</v>
      </c>
      <c r="AD678" s="0" t="s">
        <v>50</v>
      </c>
      <c r="AE678" s="5" t="n">
        <v>10000</v>
      </c>
      <c r="AF678" s="0" t="s">
        <v>184</v>
      </c>
      <c r="AG678" s="7" t="s">
        <v>2330</v>
      </c>
      <c r="AH678" s="0" t="s">
        <v>50</v>
      </c>
      <c r="AI678" s="0" t="s">
        <v>116</v>
      </c>
      <c r="AJ678" s="0" t="s">
        <v>2331</v>
      </c>
      <c r="AK678" s="0" t="s">
        <v>50</v>
      </c>
      <c r="AL678" s="0" t="s">
        <v>50</v>
      </c>
      <c r="AM678" s="0" t="s">
        <v>2344</v>
      </c>
      <c r="AN678" s="0" t="s">
        <v>2321</v>
      </c>
      <c r="AO678" s="0" t="s">
        <v>63</v>
      </c>
    </row>
    <row r="679" customFormat="false" ht="15" hidden="false" customHeight="false" outlineLevel="0" collapsed="false">
      <c r="A679" s="0" t="s">
        <v>1651</v>
      </c>
      <c r="B679" s="2" t="s">
        <v>1411</v>
      </c>
      <c r="C679" s="0" t="s">
        <v>105</v>
      </c>
      <c r="D679" s="0" t="n">
        <v>8028996104</v>
      </c>
      <c r="E679" s="0" t="s">
        <v>85</v>
      </c>
      <c r="F679" s="0" t="s">
        <v>2319</v>
      </c>
      <c r="G679" s="0" t="s">
        <v>1652</v>
      </c>
      <c r="H679" s="0" t="s">
        <v>45</v>
      </c>
      <c r="I679" s="3" t="s">
        <v>87</v>
      </c>
      <c r="J679" s="0" t="s">
        <v>2349</v>
      </c>
      <c r="K679" s="0" t="s">
        <v>90</v>
      </c>
      <c r="L679" s="4" t="n">
        <v>114215</v>
      </c>
      <c r="M679" s="0" t="s">
        <v>2333</v>
      </c>
      <c r="N679" s="0" t="s">
        <v>63</v>
      </c>
      <c r="O679" s="5" t="n">
        <v>1</v>
      </c>
      <c r="P679" s="0" t="n">
        <v>1.7</v>
      </c>
      <c r="Q679" s="0" t="s">
        <v>92</v>
      </c>
      <c r="R679" s="0" t="s">
        <v>93</v>
      </c>
      <c r="S679" s="0" t="s">
        <v>2340</v>
      </c>
      <c r="T679" s="0" t="s">
        <v>2343</v>
      </c>
      <c r="U679" s="5" t="n">
        <v>45</v>
      </c>
      <c r="V679" s="0" t="s">
        <v>55</v>
      </c>
      <c r="W679" s="0" t="s">
        <v>155</v>
      </c>
      <c r="X679" s="0" t="s">
        <v>78</v>
      </c>
      <c r="Y679" s="0" t="s">
        <v>58</v>
      </c>
      <c r="Z679" s="0" t="s">
        <v>2326</v>
      </c>
      <c r="AA679" s="0" t="s">
        <v>2329</v>
      </c>
      <c r="AB679" s="5" t="n">
        <v>26000</v>
      </c>
      <c r="AC679" s="5" t="n">
        <v>30000</v>
      </c>
      <c r="AD679" s="0" t="s">
        <v>50</v>
      </c>
      <c r="AE679" s="5" t="n">
        <v>5000</v>
      </c>
      <c r="AF679" s="0" t="s">
        <v>60</v>
      </c>
      <c r="AG679" s="7" t="s">
        <v>2459</v>
      </c>
      <c r="AH679" s="0" t="s">
        <v>2329</v>
      </c>
      <c r="AI679" s="0" t="s">
        <v>171</v>
      </c>
      <c r="AJ679" s="0" t="s">
        <v>2320</v>
      </c>
      <c r="AK679" s="0" t="s">
        <v>2344</v>
      </c>
      <c r="AL679" s="0" t="s">
        <v>63</v>
      </c>
      <c r="AM679" s="0" t="s">
        <v>50</v>
      </c>
      <c r="AN679" s="0" t="s">
        <v>2318</v>
      </c>
      <c r="AO679" s="0" t="s">
        <v>2359</v>
      </c>
    </row>
    <row r="680" customFormat="false" ht="15" hidden="false" customHeight="false" outlineLevel="0" collapsed="false">
      <c r="A680" s="0" t="s">
        <v>1653</v>
      </c>
      <c r="B680" s="2" t="s">
        <v>2488</v>
      </c>
      <c r="C680" s="0" t="s">
        <v>121</v>
      </c>
      <c r="D680" s="0" t="n">
        <v>8037409946</v>
      </c>
      <c r="E680" s="0" t="s">
        <v>139</v>
      </c>
      <c r="F680" s="0" t="s">
        <v>2323</v>
      </c>
      <c r="G680" s="0" t="s">
        <v>229</v>
      </c>
      <c r="H680" s="0" t="s">
        <v>45</v>
      </c>
      <c r="I680" s="3" t="s">
        <v>2317</v>
      </c>
      <c r="J680" s="0" t="s">
        <v>2339</v>
      </c>
      <c r="K680" s="0" t="s">
        <v>90</v>
      </c>
      <c r="L680" s="4" t="n">
        <v>25267</v>
      </c>
      <c r="M680" s="0" t="s">
        <v>110</v>
      </c>
      <c r="N680" s="0" t="s">
        <v>63</v>
      </c>
      <c r="O680" s="5" t="n">
        <v>1</v>
      </c>
      <c r="P680" s="0" t="n">
        <v>3.9</v>
      </c>
      <c r="Q680" s="0" t="s">
        <v>51</v>
      </c>
      <c r="R680" s="0" t="s">
        <v>73</v>
      </c>
      <c r="S680" s="0" t="s">
        <v>2340</v>
      </c>
      <c r="T680" s="0" t="s">
        <v>147</v>
      </c>
      <c r="U680" s="5" t="n">
        <v>45</v>
      </c>
      <c r="V680" s="0" t="s">
        <v>2352</v>
      </c>
      <c r="W680" s="0" t="s">
        <v>155</v>
      </c>
      <c r="X680" s="0" t="s">
        <v>98</v>
      </c>
      <c r="Y680" s="0" t="s">
        <v>196</v>
      </c>
      <c r="Z680" s="0" t="s">
        <v>177</v>
      </c>
      <c r="AA680" s="0" t="s">
        <v>2329</v>
      </c>
      <c r="AB680" s="5" t="n">
        <v>40000</v>
      </c>
      <c r="AC680" s="5" t="n">
        <v>30000</v>
      </c>
      <c r="AD680" s="0" t="s">
        <v>63</v>
      </c>
      <c r="AE680" s="5" t="n">
        <v>0</v>
      </c>
      <c r="AF680" s="0" t="s">
        <v>130</v>
      </c>
      <c r="AG680" s="7" t="s">
        <v>2511</v>
      </c>
      <c r="AH680" s="0" t="s">
        <v>63</v>
      </c>
      <c r="AI680" s="0" t="s">
        <v>2331</v>
      </c>
      <c r="AJ680" s="0" t="s">
        <v>2331</v>
      </c>
      <c r="AK680" s="0" t="s">
        <v>2344</v>
      </c>
      <c r="AL680" s="0" t="s">
        <v>2344</v>
      </c>
      <c r="AM680" s="0" t="s">
        <v>50</v>
      </c>
      <c r="AN680" s="0" t="s">
        <v>2318</v>
      </c>
      <c r="AO680" s="0" t="s">
        <v>50</v>
      </c>
    </row>
    <row r="681" customFormat="false" ht="15" hidden="false" customHeight="false" outlineLevel="0" collapsed="false">
      <c r="A681" s="0" t="s">
        <v>1654</v>
      </c>
      <c r="B681" s="2" t="s">
        <v>2463</v>
      </c>
      <c r="C681" s="0" t="s">
        <v>42</v>
      </c>
      <c r="D681" s="0" t="n">
        <v>8026852512</v>
      </c>
      <c r="E681" s="0" t="s">
        <v>85</v>
      </c>
      <c r="F681" s="0" t="s">
        <v>2319</v>
      </c>
      <c r="G681" s="0" t="s">
        <v>1655</v>
      </c>
      <c r="H681" s="0" t="s">
        <v>69</v>
      </c>
      <c r="I681" s="3" t="s">
        <v>2325</v>
      </c>
      <c r="J681" s="0" t="s">
        <v>2349</v>
      </c>
      <c r="K681" s="0" t="s">
        <v>90</v>
      </c>
      <c r="L681" s="4" t="n">
        <v>16629</v>
      </c>
      <c r="M681" s="0" t="s">
        <v>110</v>
      </c>
      <c r="N681" s="0" t="s">
        <v>63</v>
      </c>
      <c r="O681" s="5" t="n">
        <v>4</v>
      </c>
      <c r="P681" s="0" t="n">
        <v>2</v>
      </c>
      <c r="Q681" s="0" t="s">
        <v>92</v>
      </c>
      <c r="R681" s="0" t="s">
        <v>93</v>
      </c>
      <c r="S681" s="0" t="s">
        <v>53</v>
      </c>
      <c r="T681" s="0" t="s">
        <v>147</v>
      </c>
      <c r="U681" s="5" t="n">
        <v>37.3404255319149</v>
      </c>
      <c r="V681" s="0" t="s">
        <v>2352</v>
      </c>
      <c r="W681" s="0" t="s">
        <v>155</v>
      </c>
      <c r="X681" s="0" t="s">
        <v>78</v>
      </c>
      <c r="Y681" s="0" t="s">
        <v>114</v>
      </c>
      <c r="Z681" s="0" t="s">
        <v>177</v>
      </c>
      <c r="AA681" s="0" t="s">
        <v>2329</v>
      </c>
      <c r="AB681" s="5" t="n">
        <v>40000</v>
      </c>
      <c r="AC681" s="5" t="n">
        <v>40000</v>
      </c>
      <c r="AD681" s="0" t="s">
        <v>50</v>
      </c>
      <c r="AE681" s="5" t="n">
        <v>0</v>
      </c>
      <c r="AF681" s="0" t="s">
        <v>130</v>
      </c>
      <c r="AG681" s="7" t="s">
        <v>2501</v>
      </c>
      <c r="AH681" s="0" t="s">
        <v>2329</v>
      </c>
      <c r="AI681" s="0" t="s">
        <v>116</v>
      </c>
      <c r="AJ681" s="0" t="s">
        <v>117</v>
      </c>
      <c r="AK681" s="0" t="s">
        <v>63</v>
      </c>
      <c r="AL681" s="0" t="s">
        <v>50</v>
      </c>
      <c r="AM681" s="0" t="s">
        <v>50</v>
      </c>
      <c r="AN681" s="0" t="s">
        <v>2321</v>
      </c>
      <c r="AO681" s="0" t="s">
        <v>50</v>
      </c>
    </row>
    <row r="682" customFormat="false" ht="15" hidden="false" customHeight="false" outlineLevel="0" collapsed="false">
      <c r="A682" s="0" t="s">
        <v>1656</v>
      </c>
      <c r="B682" s="2" t="s">
        <v>674</v>
      </c>
      <c r="C682" s="0" t="s">
        <v>163</v>
      </c>
      <c r="D682" s="0" t="n">
        <v>8022315737</v>
      </c>
      <c r="E682" s="0" t="s">
        <v>139</v>
      </c>
      <c r="F682" s="0" t="s">
        <v>2323</v>
      </c>
      <c r="G682" s="0" t="s">
        <v>1657</v>
      </c>
      <c r="H682" s="0" t="s">
        <v>134</v>
      </c>
      <c r="I682" s="3" t="s">
        <v>2322</v>
      </c>
      <c r="J682" s="0" t="s">
        <v>2349</v>
      </c>
      <c r="K682" s="0" t="s">
        <v>90</v>
      </c>
      <c r="L682" s="4" t="n">
        <v>68580</v>
      </c>
      <c r="M682" s="0" t="s">
        <v>2333</v>
      </c>
      <c r="N682" s="0" t="s">
        <v>63</v>
      </c>
      <c r="O682" s="5" t="n">
        <v>2</v>
      </c>
      <c r="P682" s="0" t="n">
        <v>5.8</v>
      </c>
      <c r="Q682" s="0" t="s">
        <v>111</v>
      </c>
      <c r="R682" s="0" t="s">
        <v>52</v>
      </c>
      <c r="S682" s="0" t="s">
        <v>53</v>
      </c>
      <c r="T682" s="0" t="s">
        <v>147</v>
      </c>
      <c r="U682" s="5" t="n">
        <v>37.3404255319149</v>
      </c>
      <c r="V682" s="0" t="s">
        <v>2336</v>
      </c>
      <c r="W682" s="0" t="s">
        <v>155</v>
      </c>
      <c r="X682" s="0" t="s">
        <v>98</v>
      </c>
      <c r="Y682" s="0" t="s">
        <v>99</v>
      </c>
      <c r="Z682" s="0" t="s">
        <v>177</v>
      </c>
      <c r="AA682" s="0" t="s">
        <v>79</v>
      </c>
      <c r="AB682" s="5" t="n">
        <v>15000</v>
      </c>
      <c r="AC682" s="5" t="n">
        <v>20000</v>
      </c>
      <c r="AD682" s="0" t="s">
        <v>50</v>
      </c>
      <c r="AE682" s="5" t="n">
        <v>0</v>
      </c>
      <c r="AF682" s="0" t="s">
        <v>60</v>
      </c>
      <c r="AG682" s="7" t="s">
        <v>2330</v>
      </c>
      <c r="AH682" s="0" t="s">
        <v>50</v>
      </c>
      <c r="AI682" s="0" t="s">
        <v>171</v>
      </c>
      <c r="AJ682" s="0" t="s">
        <v>2331</v>
      </c>
      <c r="AK682" s="0" t="s">
        <v>50</v>
      </c>
      <c r="AL682" s="0" t="s">
        <v>50</v>
      </c>
      <c r="AM682" s="0" t="s">
        <v>50</v>
      </c>
      <c r="AN682" s="0" t="s">
        <v>64</v>
      </c>
      <c r="AO682" s="0" t="s">
        <v>50</v>
      </c>
    </row>
    <row r="683" customFormat="false" ht="15" hidden="false" customHeight="false" outlineLevel="0" collapsed="false">
      <c r="A683" s="0" t="s">
        <v>1658</v>
      </c>
      <c r="B683" s="2" t="s">
        <v>433</v>
      </c>
      <c r="C683" s="0" t="s">
        <v>66</v>
      </c>
      <c r="D683" s="0" t="n">
        <v>8033310374</v>
      </c>
      <c r="E683" s="0" t="s">
        <v>139</v>
      </c>
      <c r="F683" s="0" t="s">
        <v>2323</v>
      </c>
      <c r="G683" s="0" t="s">
        <v>1659</v>
      </c>
      <c r="H683" s="0" t="s">
        <v>45</v>
      </c>
      <c r="I683" s="3" t="s">
        <v>2325</v>
      </c>
      <c r="J683" s="0" t="s">
        <v>2349</v>
      </c>
      <c r="K683" s="0" t="s">
        <v>109</v>
      </c>
      <c r="L683" s="4" t="n">
        <v>87137</v>
      </c>
      <c r="M683" s="0" t="s">
        <v>110</v>
      </c>
      <c r="N683" s="0" t="s">
        <v>50</v>
      </c>
      <c r="O683" s="5" t="n">
        <v>5</v>
      </c>
      <c r="P683" s="0" t="n">
        <v>3.9</v>
      </c>
      <c r="Q683" s="0" t="s">
        <v>125</v>
      </c>
      <c r="R683" s="0" t="s">
        <v>93</v>
      </c>
      <c r="S683" s="0" t="s">
        <v>53</v>
      </c>
      <c r="T683" s="0" t="s">
        <v>147</v>
      </c>
      <c r="U683" s="5" t="n">
        <v>45</v>
      </c>
      <c r="V683" s="0" t="s">
        <v>96</v>
      </c>
      <c r="W683" s="0" t="s">
        <v>155</v>
      </c>
      <c r="X683" s="0" t="s">
        <v>128</v>
      </c>
      <c r="Y683" s="0" t="s">
        <v>99</v>
      </c>
      <c r="Z683" s="0" t="s">
        <v>59</v>
      </c>
      <c r="AA683" s="0" t="s">
        <v>79</v>
      </c>
      <c r="AB683" s="5" t="n">
        <v>25921.0526315789</v>
      </c>
      <c r="AC683" s="5" t="n">
        <v>35000</v>
      </c>
      <c r="AD683" s="0" t="s">
        <v>63</v>
      </c>
      <c r="AE683" s="5" t="n">
        <v>5000</v>
      </c>
      <c r="AF683" s="0" t="s">
        <v>2338</v>
      </c>
      <c r="AG683" s="7" t="s">
        <v>1660</v>
      </c>
      <c r="AH683" s="0" t="s">
        <v>63</v>
      </c>
      <c r="AI683" s="0" t="s">
        <v>2331</v>
      </c>
      <c r="AJ683" s="0" t="s">
        <v>2331</v>
      </c>
      <c r="AK683" s="0" t="s">
        <v>63</v>
      </c>
      <c r="AL683" s="0" t="s">
        <v>63</v>
      </c>
      <c r="AM683" s="0" t="s">
        <v>63</v>
      </c>
      <c r="AN683" s="0" t="s">
        <v>2321</v>
      </c>
      <c r="AO683" s="0" t="s">
        <v>50</v>
      </c>
    </row>
    <row r="684" customFormat="false" ht="15" hidden="false" customHeight="false" outlineLevel="0" collapsed="false">
      <c r="A684" s="0" t="s">
        <v>1661</v>
      </c>
      <c r="B684" s="2" t="s">
        <v>2435</v>
      </c>
      <c r="C684" s="0" t="s">
        <v>121</v>
      </c>
      <c r="D684" s="0" t="n">
        <v>8089541539</v>
      </c>
      <c r="E684" s="0" t="s">
        <v>85</v>
      </c>
      <c r="F684" s="0" t="s">
        <v>2319</v>
      </c>
      <c r="G684" s="0" t="s">
        <v>1662</v>
      </c>
      <c r="H684" s="0" t="s">
        <v>69</v>
      </c>
      <c r="I684" s="3" t="s">
        <v>2317</v>
      </c>
      <c r="J684" s="0" t="s">
        <v>2347</v>
      </c>
      <c r="K684" s="0" t="s">
        <v>109</v>
      </c>
      <c r="L684" s="4" t="n">
        <v>73655</v>
      </c>
      <c r="M684" s="0" t="s">
        <v>2333</v>
      </c>
      <c r="N684" s="0" t="s">
        <v>63</v>
      </c>
      <c r="O684" s="5" t="n">
        <v>5</v>
      </c>
      <c r="P684" s="0" t="n">
        <v>1</v>
      </c>
      <c r="Q684" s="0" t="s">
        <v>111</v>
      </c>
      <c r="R684" s="0" t="s">
        <v>73</v>
      </c>
      <c r="S684" s="0" t="s">
        <v>53</v>
      </c>
      <c r="T684" s="0" t="s">
        <v>2353</v>
      </c>
      <c r="U684" s="5" t="n">
        <v>45</v>
      </c>
      <c r="V684" s="0" t="s">
        <v>55</v>
      </c>
      <c r="W684" s="0" t="s">
        <v>155</v>
      </c>
      <c r="X684" s="0" t="s">
        <v>98</v>
      </c>
      <c r="Y684" s="0" t="s">
        <v>114</v>
      </c>
      <c r="Z684" s="0" t="s">
        <v>177</v>
      </c>
      <c r="AA684" s="0" t="s">
        <v>149</v>
      </c>
      <c r="AB684" s="5" t="n">
        <v>30000</v>
      </c>
      <c r="AC684" s="5" t="n">
        <v>20000</v>
      </c>
      <c r="AD684" s="0" t="s">
        <v>50</v>
      </c>
      <c r="AE684" s="5" t="n">
        <v>0</v>
      </c>
      <c r="AF684" s="0" t="s">
        <v>130</v>
      </c>
      <c r="AG684" s="7" t="s">
        <v>1491</v>
      </c>
      <c r="AH684" s="0" t="s">
        <v>2329</v>
      </c>
      <c r="AI684" s="0" t="s">
        <v>116</v>
      </c>
      <c r="AJ684" s="0" t="s">
        <v>2320</v>
      </c>
      <c r="AK684" s="0" t="s">
        <v>63</v>
      </c>
      <c r="AL684" s="0" t="s">
        <v>63</v>
      </c>
      <c r="AM684" s="0" t="s">
        <v>50</v>
      </c>
      <c r="AN684" s="0" t="s">
        <v>2318</v>
      </c>
      <c r="AO684" s="0" t="s">
        <v>2359</v>
      </c>
    </row>
    <row r="685" customFormat="false" ht="15" hidden="false" customHeight="false" outlineLevel="0" collapsed="false">
      <c r="A685" s="0" t="s">
        <v>1663</v>
      </c>
      <c r="B685" s="2" t="s">
        <v>1460</v>
      </c>
      <c r="C685" s="0" t="s">
        <v>66</v>
      </c>
      <c r="D685" s="0" t="n">
        <v>8083665010</v>
      </c>
      <c r="E685" s="0" t="s">
        <v>43</v>
      </c>
      <c r="F685" s="0" t="s">
        <v>2315</v>
      </c>
      <c r="G685" s="0" t="s">
        <v>1664</v>
      </c>
      <c r="H685" s="0" t="s">
        <v>45</v>
      </c>
      <c r="I685" s="3" t="s">
        <v>87</v>
      </c>
      <c r="J685" s="0" t="s">
        <v>2339</v>
      </c>
      <c r="K685" s="0" t="s">
        <v>48</v>
      </c>
      <c r="L685" s="4" t="n">
        <v>97364</v>
      </c>
      <c r="M685" s="0" t="s">
        <v>49</v>
      </c>
      <c r="N685" s="0" t="s">
        <v>63</v>
      </c>
      <c r="O685" s="5" t="n">
        <v>4</v>
      </c>
      <c r="P685" s="0" t="n">
        <v>3.3</v>
      </c>
      <c r="Q685" s="0" t="s">
        <v>111</v>
      </c>
      <c r="R685" s="0" t="s">
        <v>73</v>
      </c>
      <c r="S685" s="0" t="s">
        <v>53</v>
      </c>
      <c r="T685" s="0" t="s">
        <v>95</v>
      </c>
      <c r="U685" s="5" t="n">
        <v>39.6</v>
      </c>
      <c r="V685" s="0" t="s">
        <v>2336</v>
      </c>
      <c r="W685" s="0" t="s">
        <v>2337</v>
      </c>
      <c r="X685" s="0" t="s">
        <v>128</v>
      </c>
      <c r="Y685" s="0" t="s">
        <v>196</v>
      </c>
      <c r="Z685" s="0" t="s">
        <v>2329</v>
      </c>
      <c r="AA685" s="0" t="s">
        <v>161</v>
      </c>
      <c r="AB685" s="5" t="n">
        <v>15000</v>
      </c>
      <c r="AC685" s="5" t="n">
        <v>20000</v>
      </c>
      <c r="AD685" s="0" t="s">
        <v>50</v>
      </c>
      <c r="AE685" s="5" t="n">
        <v>10000</v>
      </c>
      <c r="AF685" s="0" t="s">
        <v>184</v>
      </c>
      <c r="AG685" s="7" t="s">
        <v>970</v>
      </c>
      <c r="AH685" s="0" t="s">
        <v>63</v>
      </c>
      <c r="AI685" s="0" t="s">
        <v>2331</v>
      </c>
      <c r="AJ685" s="0" t="s">
        <v>172</v>
      </c>
      <c r="AK685" s="0" t="s">
        <v>50</v>
      </c>
      <c r="AL685" s="0" t="s">
        <v>63</v>
      </c>
      <c r="AM685" s="0" t="s">
        <v>63</v>
      </c>
      <c r="AN685" s="0" t="s">
        <v>64</v>
      </c>
      <c r="AO685" s="0" t="s">
        <v>50</v>
      </c>
    </row>
    <row r="686" customFormat="false" ht="15" hidden="false" customHeight="false" outlineLevel="0" collapsed="false">
      <c r="A686" s="0" t="s">
        <v>1665</v>
      </c>
      <c r="B686" s="2" t="s">
        <v>666</v>
      </c>
      <c r="C686" s="0" t="s">
        <v>42</v>
      </c>
      <c r="D686" s="0" t="n">
        <v>8037430524</v>
      </c>
      <c r="E686" s="0" t="s">
        <v>67</v>
      </c>
      <c r="F686" s="0" t="s">
        <v>2316</v>
      </c>
      <c r="G686" s="0" t="s">
        <v>1666</v>
      </c>
      <c r="H686" s="0" t="s">
        <v>45</v>
      </c>
      <c r="I686" s="3" t="s">
        <v>2317</v>
      </c>
      <c r="J686" s="0" t="s">
        <v>2339</v>
      </c>
      <c r="K686" s="0" t="s">
        <v>71</v>
      </c>
      <c r="L686" s="4" t="n">
        <v>71257</v>
      </c>
      <c r="M686" s="0" t="s">
        <v>49</v>
      </c>
      <c r="N686" s="0" t="s">
        <v>63</v>
      </c>
      <c r="O686" s="5" t="n">
        <v>4</v>
      </c>
      <c r="P686" s="0" t="n">
        <v>4</v>
      </c>
      <c r="Q686" s="0" t="s">
        <v>125</v>
      </c>
      <c r="R686" s="0" t="s">
        <v>93</v>
      </c>
      <c r="S686" s="0" t="s">
        <v>53</v>
      </c>
      <c r="T686" s="0" t="s">
        <v>54</v>
      </c>
      <c r="U686" s="5" t="n">
        <v>30</v>
      </c>
      <c r="V686" s="0" t="s">
        <v>96</v>
      </c>
      <c r="W686" s="0" t="s">
        <v>148</v>
      </c>
      <c r="X686" s="0" t="s">
        <v>98</v>
      </c>
      <c r="Y686" s="0" t="s">
        <v>196</v>
      </c>
      <c r="Z686" s="0" t="s">
        <v>2329</v>
      </c>
      <c r="AA686" s="0" t="s">
        <v>143</v>
      </c>
      <c r="AB686" s="5" t="n">
        <v>24565.2173913043</v>
      </c>
      <c r="AC686" s="5" t="n">
        <v>30000</v>
      </c>
      <c r="AD686" s="0" t="s">
        <v>50</v>
      </c>
      <c r="AE686" s="5" t="n">
        <v>10000</v>
      </c>
      <c r="AF686" s="0" t="s">
        <v>60</v>
      </c>
      <c r="AG686" s="7" t="s">
        <v>1667</v>
      </c>
      <c r="AH686" s="0" t="s">
        <v>50</v>
      </c>
      <c r="AI686" s="0" t="s">
        <v>171</v>
      </c>
      <c r="AJ686" s="0" t="s">
        <v>172</v>
      </c>
      <c r="AK686" s="0" t="s">
        <v>63</v>
      </c>
      <c r="AL686" s="0" t="s">
        <v>50</v>
      </c>
      <c r="AM686" s="0" t="s">
        <v>2344</v>
      </c>
      <c r="AN686" s="0" t="s">
        <v>64</v>
      </c>
      <c r="AO686" s="0" t="s">
        <v>2359</v>
      </c>
    </row>
    <row r="687" customFormat="false" ht="15" hidden="false" customHeight="false" outlineLevel="0" collapsed="false">
      <c r="A687" s="0" t="s">
        <v>1668</v>
      </c>
      <c r="B687" s="2" t="s">
        <v>458</v>
      </c>
      <c r="C687" s="0" t="s">
        <v>42</v>
      </c>
      <c r="D687" s="0" t="n">
        <v>8041717008</v>
      </c>
      <c r="E687" s="0" t="s">
        <v>67</v>
      </c>
      <c r="F687" s="0" t="s">
        <v>2316</v>
      </c>
      <c r="G687" s="0" t="s">
        <v>1669</v>
      </c>
      <c r="H687" s="0" t="s">
        <v>87</v>
      </c>
      <c r="I687" s="3" t="s">
        <v>2342</v>
      </c>
      <c r="J687" s="0" t="s">
        <v>2339</v>
      </c>
      <c r="K687" s="0" t="s">
        <v>71</v>
      </c>
      <c r="L687" s="4" t="n">
        <v>26295</v>
      </c>
      <c r="M687" s="0" t="s">
        <v>49</v>
      </c>
      <c r="N687" s="0" t="s">
        <v>50</v>
      </c>
      <c r="O687" s="5" t="n">
        <v>3.14785992217899</v>
      </c>
      <c r="P687" s="0" t="n">
        <v>1.2</v>
      </c>
      <c r="Q687" s="0" t="s">
        <v>2334</v>
      </c>
      <c r="R687" s="0" t="s">
        <v>73</v>
      </c>
      <c r="S687" s="0" t="s">
        <v>2366</v>
      </c>
      <c r="T687" s="0" t="s">
        <v>2343</v>
      </c>
      <c r="U687" s="5" t="n">
        <v>45</v>
      </c>
      <c r="V687" s="0" t="s">
        <v>2352</v>
      </c>
      <c r="W687" s="0" t="s">
        <v>2328</v>
      </c>
      <c r="X687" s="0" t="s">
        <v>98</v>
      </c>
      <c r="Y687" s="0" t="s">
        <v>58</v>
      </c>
      <c r="Z687" s="0" t="s">
        <v>2324</v>
      </c>
      <c r="AA687" s="0" t="s">
        <v>79</v>
      </c>
      <c r="AB687" s="5" t="n">
        <v>40000</v>
      </c>
      <c r="AC687" s="5" t="n">
        <v>30000</v>
      </c>
      <c r="AD687" s="0" t="s">
        <v>50</v>
      </c>
      <c r="AE687" s="5" t="n">
        <v>10000</v>
      </c>
      <c r="AF687" s="0" t="s">
        <v>130</v>
      </c>
      <c r="AG687" s="7" t="s">
        <v>513</v>
      </c>
      <c r="AH687" s="0" t="s">
        <v>50</v>
      </c>
      <c r="AI687" s="0" t="s">
        <v>2331</v>
      </c>
      <c r="AJ687" s="0" t="s">
        <v>2331</v>
      </c>
      <c r="AK687" s="0" t="s">
        <v>2344</v>
      </c>
      <c r="AL687" s="0" t="s">
        <v>63</v>
      </c>
      <c r="AM687" s="0" t="s">
        <v>2344</v>
      </c>
      <c r="AN687" s="0" t="s">
        <v>64</v>
      </c>
      <c r="AO687" s="0" t="s">
        <v>2359</v>
      </c>
    </row>
    <row r="688" customFormat="false" ht="15" hidden="false" customHeight="false" outlineLevel="0" collapsed="false">
      <c r="A688" s="0" t="s">
        <v>1670</v>
      </c>
      <c r="B688" s="2" t="s">
        <v>2499</v>
      </c>
      <c r="C688" s="0" t="s">
        <v>42</v>
      </c>
      <c r="D688" s="0" t="n">
        <v>8078105370</v>
      </c>
      <c r="E688" s="0" t="s">
        <v>122</v>
      </c>
      <c r="F688" s="0" t="s">
        <v>2316</v>
      </c>
      <c r="G688" s="0" t="s">
        <v>1671</v>
      </c>
      <c r="H688" s="0" t="s">
        <v>87</v>
      </c>
      <c r="I688" s="3" t="s">
        <v>2317</v>
      </c>
      <c r="J688" s="0" t="s">
        <v>2347</v>
      </c>
      <c r="K688" s="0" t="s">
        <v>109</v>
      </c>
      <c r="L688" s="4" t="n">
        <v>43071</v>
      </c>
      <c r="M688" s="0" t="s">
        <v>2333</v>
      </c>
      <c r="N688" s="0" t="s">
        <v>63</v>
      </c>
      <c r="O688" s="5" t="n">
        <v>5</v>
      </c>
      <c r="P688" s="0" t="n">
        <v>1.5</v>
      </c>
      <c r="Q688" s="0" t="s">
        <v>51</v>
      </c>
      <c r="R688" s="0" t="s">
        <v>52</v>
      </c>
      <c r="S688" s="0" t="s">
        <v>2366</v>
      </c>
      <c r="T688" s="0" t="s">
        <v>2353</v>
      </c>
      <c r="U688" s="5" t="n">
        <v>45</v>
      </c>
      <c r="V688" s="0" t="s">
        <v>96</v>
      </c>
      <c r="W688" s="0" t="s">
        <v>148</v>
      </c>
      <c r="X688" s="0" t="s">
        <v>98</v>
      </c>
      <c r="Y688" s="0" t="s">
        <v>114</v>
      </c>
      <c r="Z688" s="0" t="s">
        <v>2324</v>
      </c>
      <c r="AA688" s="0" t="s">
        <v>2329</v>
      </c>
      <c r="AB688" s="5" t="n">
        <v>27111.1111111111</v>
      </c>
      <c r="AC688" s="5" t="n">
        <v>31436.7816091954</v>
      </c>
      <c r="AD688" s="0" t="s">
        <v>63</v>
      </c>
      <c r="AE688" s="5" t="n">
        <v>5000</v>
      </c>
      <c r="AF688" s="0" t="s">
        <v>2338</v>
      </c>
      <c r="AG688" s="7" t="s">
        <v>700</v>
      </c>
      <c r="AH688" s="0" t="s">
        <v>50</v>
      </c>
      <c r="AI688" s="0" t="s">
        <v>116</v>
      </c>
      <c r="AJ688" s="0" t="s">
        <v>117</v>
      </c>
      <c r="AK688" s="0" t="s">
        <v>2344</v>
      </c>
      <c r="AL688" s="0" t="s">
        <v>63</v>
      </c>
      <c r="AM688" s="0" t="s">
        <v>2344</v>
      </c>
      <c r="AN688" s="0" t="s">
        <v>2318</v>
      </c>
      <c r="AO688" s="0" t="s">
        <v>63</v>
      </c>
    </row>
    <row r="689" customFormat="false" ht="15" hidden="false" customHeight="false" outlineLevel="0" collapsed="false">
      <c r="A689" s="0" t="s">
        <v>1672</v>
      </c>
      <c r="B689" s="2" t="s">
        <v>2368</v>
      </c>
      <c r="C689" s="0" t="s">
        <v>163</v>
      </c>
      <c r="D689" s="0" t="n">
        <v>8020491063</v>
      </c>
      <c r="E689" s="0" t="s">
        <v>67</v>
      </c>
      <c r="F689" s="0" t="s">
        <v>2316</v>
      </c>
      <c r="G689" s="0" t="s">
        <v>1673</v>
      </c>
      <c r="H689" s="0" t="s">
        <v>107</v>
      </c>
      <c r="I689" s="3" t="s">
        <v>2342</v>
      </c>
      <c r="J689" s="0" t="s">
        <v>2349</v>
      </c>
      <c r="K689" s="0" t="s">
        <v>90</v>
      </c>
      <c r="L689" s="4" t="n">
        <v>14895</v>
      </c>
      <c r="M689" s="0" t="s">
        <v>2333</v>
      </c>
      <c r="N689" s="0" t="s">
        <v>50</v>
      </c>
      <c r="O689" s="5" t="n">
        <v>4</v>
      </c>
      <c r="P689" s="0" t="n">
        <v>2.2</v>
      </c>
      <c r="Q689" s="0" t="s">
        <v>51</v>
      </c>
      <c r="R689" s="0" t="s">
        <v>93</v>
      </c>
      <c r="S689" s="0" t="s">
        <v>2340</v>
      </c>
      <c r="T689" s="0" t="s">
        <v>95</v>
      </c>
      <c r="U689" s="5" t="n">
        <v>60</v>
      </c>
      <c r="V689" s="0" t="s">
        <v>2336</v>
      </c>
      <c r="W689" s="0" t="s">
        <v>155</v>
      </c>
      <c r="X689" s="0" t="s">
        <v>78</v>
      </c>
      <c r="Y689" s="0" t="s">
        <v>196</v>
      </c>
      <c r="Z689" s="0" t="s">
        <v>2329</v>
      </c>
      <c r="AA689" s="0" t="s">
        <v>143</v>
      </c>
      <c r="AB689" s="5" t="n">
        <v>15000</v>
      </c>
      <c r="AC689" s="5" t="n">
        <v>31436.7816091954</v>
      </c>
      <c r="AD689" s="0" t="s">
        <v>50</v>
      </c>
      <c r="AE689" s="5" t="n">
        <v>0</v>
      </c>
      <c r="AF689" s="0" t="s">
        <v>130</v>
      </c>
      <c r="AG689" s="7" t="s">
        <v>1063</v>
      </c>
      <c r="AH689" s="0" t="s">
        <v>63</v>
      </c>
      <c r="AI689" s="0" t="s">
        <v>2331</v>
      </c>
      <c r="AJ689" s="0" t="s">
        <v>2331</v>
      </c>
      <c r="AK689" s="0" t="s">
        <v>50</v>
      </c>
      <c r="AL689" s="0" t="s">
        <v>2344</v>
      </c>
      <c r="AM689" s="0" t="s">
        <v>50</v>
      </c>
      <c r="AN689" s="0" t="s">
        <v>2321</v>
      </c>
      <c r="AO689" s="0" t="s">
        <v>50</v>
      </c>
    </row>
    <row r="690" customFormat="false" ht="15" hidden="false" customHeight="false" outlineLevel="0" collapsed="false">
      <c r="A690" s="0" t="s">
        <v>1674</v>
      </c>
      <c r="B690" s="2" t="s">
        <v>2436</v>
      </c>
      <c r="C690" s="0" t="s">
        <v>105</v>
      </c>
      <c r="D690" s="0" t="n">
        <v>8067208939</v>
      </c>
      <c r="E690" s="0" t="s">
        <v>85</v>
      </c>
      <c r="F690" s="0" t="s">
        <v>2319</v>
      </c>
      <c r="G690" s="0" t="s">
        <v>1675</v>
      </c>
      <c r="H690" s="0" t="s">
        <v>69</v>
      </c>
      <c r="I690" s="3" t="s">
        <v>87</v>
      </c>
      <c r="J690" s="0" t="s">
        <v>2339</v>
      </c>
      <c r="K690" s="0" t="s">
        <v>71</v>
      </c>
      <c r="L690" s="4" t="n">
        <v>12575</v>
      </c>
      <c r="M690" s="0" t="s">
        <v>110</v>
      </c>
      <c r="N690" s="0" t="s">
        <v>50</v>
      </c>
      <c r="O690" s="5" t="n">
        <v>2</v>
      </c>
      <c r="P690" s="0" t="n">
        <v>2.7</v>
      </c>
      <c r="Q690" s="0" t="s">
        <v>51</v>
      </c>
      <c r="R690" s="0" t="s">
        <v>52</v>
      </c>
      <c r="S690" s="0" t="s">
        <v>2366</v>
      </c>
      <c r="T690" s="0" t="s">
        <v>75</v>
      </c>
      <c r="U690" s="5" t="n">
        <v>45</v>
      </c>
      <c r="V690" s="0" t="s">
        <v>2336</v>
      </c>
      <c r="W690" s="0" t="s">
        <v>2328</v>
      </c>
      <c r="X690" s="0" t="s">
        <v>98</v>
      </c>
      <c r="Y690" s="0" t="s">
        <v>114</v>
      </c>
      <c r="Z690" s="0" t="s">
        <v>2326</v>
      </c>
      <c r="AA690" s="0" t="s">
        <v>79</v>
      </c>
      <c r="AB690" s="5" t="n">
        <v>25000</v>
      </c>
      <c r="AC690" s="5" t="n">
        <v>20000</v>
      </c>
      <c r="AD690" s="0" t="s">
        <v>50</v>
      </c>
      <c r="AE690" s="5" t="n">
        <v>0</v>
      </c>
      <c r="AF690" s="0" t="s">
        <v>184</v>
      </c>
      <c r="AG690" s="7" t="s">
        <v>974</v>
      </c>
      <c r="AH690" s="0" t="s">
        <v>50</v>
      </c>
      <c r="AI690" s="0" t="s">
        <v>116</v>
      </c>
      <c r="AJ690" s="0" t="s">
        <v>2331</v>
      </c>
      <c r="AK690" s="0" t="s">
        <v>63</v>
      </c>
      <c r="AL690" s="0" t="s">
        <v>50</v>
      </c>
      <c r="AM690" s="0" t="s">
        <v>63</v>
      </c>
      <c r="AN690" s="0" t="s">
        <v>2321</v>
      </c>
      <c r="AO690" s="0" t="s">
        <v>50</v>
      </c>
    </row>
    <row r="691" customFormat="false" ht="15" hidden="false" customHeight="false" outlineLevel="0" collapsed="false">
      <c r="A691" s="0" t="s">
        <v>1676</v>
      </c>
      <c r="B691" s="2" t="s">
        <v>2488</v>
      </c>
      <c r="C691" s="0" t="s">
        <v>66</v>
      </c>
      <c r="D691" s="0" t="n">
        <v>8072689644</v>
      </c>
      <c r="E691" s="0" t="s">
        <v>67</v>
      </c>
      <c r="F691" s="0" t="s">
        <v>2316</v>
      </c>
      <c r="G691" s="0" t="s">
        <v>1677</v>
      </c>
      <c r="H691" s="0" t="s">
        <v>107</v>
      </c>
      <c r="I691" s="3" t="s">
        <v>2322</v>
      </c>
      <c r="J691" s="0" t="s">
        <v>2339</v>
      </c>
      <c r="K691" s="0" t="s">
        <v>71</v>
      </c>
      <c r="L691" s="4" t="n">
        <v>108175</v>
      </c>
      <c r="M691" s="0" t="s">
        <v>2333</v>
      </c>
      <c r="N691" s="0" t="s">
        <v>63</v>
      </c>
      <c r="O691" s="5" t="n">
        <v>3</v>
      </c>
      <c r="P691" s="0" t="n">
        <v>5</v>
      </c>
      <c r="Q691" s="0" t="s">
        <v>92</v>
      </c>
      <c r="R691" s="0" t="s">
        <v>73</v>
      </c>
      <c r="S691" s="0" t="s">
        <v>53</v>
      </c>
      <c r="T691" s="0" t="s">
        <v>2353</v>
      </c>
      <c r="U691" s="5" t="n">
        <v>30</v>
      </c>
      <c r="V691" s="0" t="s">
        <v>2336</v>
      </c>
      <c r="W691" s="0" t="s">
        <v>2328</v>
      </c>
      <c r="X691" s="0" t="s">
        <v>78</v>
      </c>
      <c r="Y691" s="0" t="s">
        <v>196</v>
      </c>
      <c r="Z691" s="0" t="s">
        <v>2329</v>
      </c>
      <c r="AA691" s="0" t="s">
        <v>2329</v>
      </c>
      <c r="AB691" s="5" t="n">
        <v>25000</v>
      </c>
      <c r="AC691" s="5" t="n">
        <v>35000</v>
      </c>
      <c r="AD691" s="0" t="s">
        <v>63</v>
      </c>
      <c r="AE691" s="5" t="n">
        <v>5000</v>
      </c>
      <c r="AF691" s="0" t="s">
        <v>184</v>
      </c>
      <c r="AG691" s="7" t="s">
        <v>2330</v>
      </c>
      <c r="AH691" s="0" t="s">
        <v>63</v>
      </c>
      <c r="AI691" s="0" t="s">
        <v>116</v>
      </c>
      <c r="AJ691" s="0" t="s">
        <v>117</v>
      </c>
      <c r="AK691" s="0" t="s">
        <v>2344</v>
      </c>
      <c r="AL691" s="0" t="s">
        <v>50</v>
      </c>
      <c r="AM691" s="0" t="s">
        <v>63</v>
      </c>
      <c r="AN691" s="0" t="s">
        <v>2321</v>
      </c>
      <c r="AO691" s="0" t="s">
        <v>50</v>
      </c>
    </row>
    <row r="692" customFormat="false" ht="15" hidden="false" customHeight="false" outlineLevel="0" collapsed="false">
      <c r="A692" s="0" t="s">
        <v>1678</v>
      </c>
      <c r="B692" s="2" t="s">
        <v>316</v>
      </c>
      <c r="C692" s="0" t="s">
        <v>105</v>
      </c>
      <c r="D692" s="0" t="n">
        <v>8051803852</v>
      </c>
      <c r="E692" s="0" t="s">
        <v>85</v>
      </c>
      <c r="F692" s="0" t="s">
        <v>2319</v>
      </c>
      <c r="G692" s="0" t="s">
        <v>1679</v>
      </c>
      <c r="H692" s="0" t="s">
        <v>69</v>
      </c>
      <c r="I692" s="3" t="s">
        <v>2322</v>
      </c>
      <c r="J692" s="0" t="s">
        <v>2347</v>
      </c>
      <c r="K692" s="0" t="s">
        <v>48</v>
      </c>
      <c r="L692" s="4" t="n">
        <v>95865</v>
      </c>
      <c r="M692" s="0" t="s">
        <v>2333</v>
      </c>
      <c r="N692" s="0" t="s">
        <v>63</v>
      </c>
      <c r="O692" s="5" t="n">
        <v>5</v>
      </c>
      <c r="P692" s="0" t="n">
        <v>5.8</v>
      </c>
      <c r="Q692" s="0" t="s">
        <v>92</v>
      </c>
      <c r="R692" s="0" t="s">
        <v>52</v>
      </c>
      <c r="S692" s="0" t="s">
        <v>53</v>
      </c>
      <c r="T692" s="0" t="s">
        <v>2343</v>
      </c>
      <c r="U692" s="5" t="n">
        <v>30</v>
      </c>
      <c r="V692" s="0" t="s">
        <v>2336</v>
      </c>
      <c r="W692" s="0" t="s">
        <v>148</v>
      </c>
      <c r="X692" s="0" t="s">
        <v>98</v>
      </c>
      <c r="Y692" s="0" t="s">
        <v>196</v>
      </c>
      <c r="Z692" s="0" t="s">
        <v>2326</v>
      </c>
      <c r="AA692" s="0" t="s">
        <v>143</v>
      </c>
      <c r="AB692" s="5" t="n">
        <v>25000</v>
      </c>
      <c r="AC692" s="5" t="n">
        <v>31467.1814671815</v>
      </c>
      <c r="AD692" s="0" t="s">
        <v>50</v>
      </c>
      <c r="AE692" s="5" t="n">
        <v>10000</v>
      </c>
      <c r="AF692" s="0" t="s">
        <v>2338</v>
      </c>
      <c r="AG692" s="7" t="s">
        <v>2330</v>
      </c>
      <c r="AH692" s="0" t="s">
        <v>63</v>
      </c>
      <c r="AI692" s="0" t="s">
        <v>2331</v>
      </c>
      <c r="AJ692" s="0" t="s">
        <v>2331</v>
      </c>
      <c r="AK692" s="0" t="s">
        <v>2344</v>
      </c>
      <c r="AL692" s="0" t="s">
        <v>50</v>
      </c>
      <c r="AM692" s="0" t="s">
        <v>50</v>
      </c>
      <c r="AN692" s="0" t="s">
        <v>64</v>
      </c>
      <c r="AO692" s="0" t="s">
        <v>50</v>
      </c>
    </row>
    <row r="693" customFormat="false" ht="15" hidden="false" customHeight="false" outlineLevel="0" collapsed="false">
      <c r="A693" s="0" t="s">
        <v>1680</v>
      </c>
      <c r="B693" s="2" t="s">
        <v>1358</v>
      </c>
      <c r="C693" s="0" t="s">
        <v>105</v>
      </c>
      <c r="D693" s="0" t="n">
        <v>8032033022</v>
      </c>
      <c r="E693" s="0" t="s">
        <v>122</v>
      </c>
      <c r="F693" s="0" t="s">
        <v>2316</v>
      </c>
      <c r="G693" s="0" t="s">
        <v>1681</v>
      </c>
      <c r="H693" s="0" t="s">
        <v>69</v>
      </c>
      <c r="I693" s="3" t="s">
        <v>2322</v>
      </c>
      <c r="J693" s="0" t="s">
        <v>47</v>
      </c>
      <c r="K693" s="0" t="s">
        <v>109</v>
      </c>
      <c r="L693" s="4" t="n">
        <v>44431</v>
      </c>
      <c r="M693" s="0" t="s">
        <v>49</v>
      </c>
      <c r="N693" s="0" t="s">
        <v>50</v>
      </c>
      <c r="O693" s="5" t="n">
        <v>3</v>
      </c>
      <c r="P693" s="0" t="n">
        <v>1.1</v>
      </c>
      <c r="Q693" s="0" t="s">
        <v>51</v>
      </c>
      <c r="R693" s="0" t="s">
        <v>93</v>
      </c>
      <c r="S693" s="0" t="s">
        <v>2366</v>
      </c>
      <c r="T693" s="0" t="s">
        <v>2343</v>
      </c>
      <c r="U693" s="5" t="n">
        <v>37.1590909090909</v>
      </c>
      <c r="V693" s="0" t="s">
        <v>55</v>
      </c>
      <c r="W693" s="0" t="s">
        <v>155</v>
      </c>
      <c r="X693" s="0" t="s">
        <v>128</v>
      </c>
      <c r="Y693" s="0" t="s">
        <v>196</v>
      </c>
      <c r="Z693" s="0" t="s">
        <v>2324</v>
      </c>
      <c r="AA693" s="0" t="s">
        <v>149</v>
      </c>
      <c r="AB693" s="5" t="n">
        <v>20000</v>
      </c>
      <c r="AC693" s="5" t="n">
        <v>30000</v>
      </c>
      <c r="AD693" s="0" t="s">
        <v>63</v>
      </c>
      <c r="AE693" s="5" t="n">
        <v>10000</v>
      </c>
      <c r="AF693" s="0" t="s">
        <v>60</v>
      </c>
      <c r="AG693" s="7" t="s">
        <v>625</v>
      </c>
      <c r="AH693" s="0" t="s">
        <v>63</v>
      </c>
      <c r="AI693" s="0" t="s">
        <v>171</v>
      </c>
      <c r="AJ693" s="0" t="s">
        <v>117</v>
      </c>
      <c r="AK693" s="0" t="s">
        <v>63</v>
      </c>
      <c r="AL693" s="0" t="s">
        <v>2344</v>
      </c>
      <c r="AM693" s="0" t="s">
        <v>2344</v>
      </c>
      <c r="AN693" s="0" t="s">
        <v>2318</v>
      </c>
      <c r="AO693" s="0" t="s">
        <v>50</v>
      </c>
    </row>
    <row r="694" customFormat="false" ht="15" hidden="false" customHeight="false" outlineLevel="0" collapsed="false">
      <c r="A694" s="0" t="s">
        <v>1682</v>
      </c>
      <c r="B694" s="2" t="s">
        <v>1050</v>
      </c>
      <c r="C694" s="0" t="s">
        <v>66</v>
      </c>
      <c r="D694" s="0" t="n">
        <v>8036512868</v>
      </c>
      <c r="E694" s="0" t="s">
        <v>85</v>
      </c>
      <c r="F694" s="0" t="s">
        <v>2319</v>
      </c>
      <c r="G694" s="0" t="s">
        <v>1683</v>
      </c>
      <c r="H694" s="0" t="s">
        <v>69</v>
      </c>
      <c r="I694" s="3" t="s">
        <v>87</v>
      </c>
      <c r="J694" s="0" t="s">
        <v>2339</v>
      </c>
      <c r="K694" s="0" t="s">
        <v>71</v>
      </c>
      <c r="L694" s="4" t="n">
        <v>86751</v>
      </c>
      <c r="M694" s="0" t="s">
        <v>110</v>
      </c>
      <c r="N694" s="0" t="s">
        <v>63</v>
      </c>
      <c r="O694" s="5" t="n">
        <v>3.13545816733068</v>
      </c>
      <c r="P694" s="0" t="n">
        <v>3.3</v>
      </c>
      <c r="Q694" s="0" t="s">
        <v>125</v>
      </c>
      <c r="R694" s="0" t="s">
        <v>93</v>
      </c>
      <c r="S694" s="0" t="s">
        <v>53</v>
      </c>
      <c r="T694" s="0" t="s">
        <v>2353</v>
      </c>
      <c r="U694" s="5" t="n">
        <v>45</v>
      </c>
      <c r="V694" s="0" t="s">
        <v>55</v>
      </c>
      <c r="W694" s="0" t="s">
        <v>2337</v>
      </c>
      <c r="X694" s="0" t="s">
        <v>128</v>
      </c>
      <c r="Y694" s="0" t="s">
        <v>196</v>
      </c>
      <c r="Z694" s="0" t="s">
        <v>2326</v>
      </c>
      <c r="AA694" s="0" t="s">
        <v>2329</v>
      </c>
      <c r="AB694" s="5" t="n">
        <v>40000</v>
      </c>
      <c r="AC694" s="5" t="n">
        <v>40000</v>
      </c>
      <c r="AD694" s="0" t="s">
        <v>63</v>
      </c>
      <c r="AE694" s="5" t="n">
        <v>5000</v>
      </c>
      <c r="AF694" s="0" t="s">
        <v>184</v>
      </c>
      <c r="AG694" s="7" t="s">
        <v>2330</v>
      </c>
      <c r="AH694" s="0" t="s">
        <v>2329</v>
      </c>
      <c r="AI694" s="0" t="s">
        <v>2331</v>
      </c>
      <c r="AJ694" s="0" t="s">
        <v>2331</v>
      </c>
      <c r="AK694" s="0" t="s">
        <v>50</v>
      </c>
      <c r="AL694" s="0" t="s">
        <v>63</v>
      </c>
      <c r="AM694" s="0" t="s">
        <v>63</v>
      </c>
      <c r="AN694" s="0" t="s">
        <v>2321</v>
      </c>
      <c r="AO694" s="0" t="s">
        <v>50</v>
      </c>
    </row>
    <row r="695" customFormat="false" ht="15" hidden="false" customHeight="false" outlineLevel="0" collapsed="false">
      <c r="A695" s="0" t="s">
        <v>1684</v>
      </c>
      <c r="B695" s="2" t="s">
        <v>2351</v>
      </c>
      <c r="C695" s="0" t="s">
        <v>42</v>
      </c>
      <c r="D695" s="0" t="n">
        <v>8042873271</v>
      </c>
      <c r="E695" s="0" t="s">
        <v>139</v>
      </c>
      <c r="F695" s="0" t="s">
        <v>2323</v>
      </c>
      <c r="G695" s="0" t="s">
        <v>1685</v>
      </c>
      <c r="H695" s="0" t="s">
        <v>107</v>
      </c>
      <c r="I695" s="3" t="s">
        <v>2325</v>
      </c>
      <c r="J695" s="0" t="s">
        <v>2339</v>
      </c>
      <c r="K695" s="0" t="s">
        <v>90</v>
      </c>
      <c r="L695" s="4" t="n">
        <v>40926</v>
      </c>
      <c r="M695" s="0" t="s">
        <v>110</v>
      </c>
      <c r="N695" s="0" t="s">
        <v>50</v>
      </c>
      <c r="O695" s="5" t="n">
        <v>4</v>
      </c>
      <c r="P695" s="0" t="n">
        <v>4.1</v>
      </c>
      <c r="Q695" s="0" t="s">
        <v>125</v>
      </c>
      <c r="R695" s="0" t="s">
        <v>93</v>
      </c>
      <c r="S695" s="0" t="s">
        <v>53</v>
      </c>
      <c r="T695" s="0" t="s">
        <v>75</v>
      </c>
      <c r="U695" s="5" t="n">
        <v>45</v>
      </c>
      <c r="V695" s="0" t="s">
        <v>2352</v>
      </c>
      <c r="W695" s="0" t="s">
        <v>2337</v>
      </c>
      <c r="X695" s="0" t="s">
        <v>128</v>
      </c>
      <c r="Y695" s="0" t="s">
        <v>114</v>
      </c>
      <c r="Z695" s="0" t="s">
        <v>177</v>
      </c>
      <c r="AA695" s="0" t="s">
        <v>161</v>
      </c>
      <c r="AB695" s="5" t="n">
        <v>25000</v>
      </c>
      <c r="AC695" s="5" t="n">
        <v>35000</v>
      </c>
      <c r="AD695" s="0" t="s">
        <v>50</v>
      </c>
      <c r="AE695" s="5" t="n">
        <v>10000</v>
      </c>
      <c r="AF695" s="0" t="s">
        <v>60</v>
      </c>
      <c r="AG695" s="7" t="s">
        <v>2461</v>
      </c>
      <c r="AH695" s="0" t="s">
        <v>50</v>
      </c>
      <c r="AI695" s="0" t="s">
        <v>2331</v>
      </c>
      <c r="AJ695" s="0" t="s">
        <v>2331</v>
      </c>
      <c r="AK695" s="0" t="s">
        <v>50</v>
      </c>
      <c r="AL695" s="0" t="s">
        <v>63</v>
      </c>
      <c r="AM695" s="0" t="s">
        <v>2344</v>
      </c>
      <c r="AN695" s="0" t="s">
        <v>2318</v>
      </c>
      <c r="AO695" s="0" t="s">
        <v>2359</v>
      </c>
    </row>
    <row r="696" customFormat="false" ht="15" hidden="false" customHeight="false" outlineLevel="0" collapsed="false">
      <c r="A696" s="0" t="s">
        <v>1686</v>
      </c>
      <c r="B696" s="2" t="s">
        <v>2398</v>
      </c>
      <c r="C696" s="0" t="s">
        <v>105</v>
      </c>
      <c r="D696" s="0" t="n">
        <v>8066910568</v>
      </c>
      <c r="E696" s="0" t="s">
        <v>85</v>
      </c>
      <c r="F696" s="0" t="s">
        <v>2319</v>
      </c>
      <c r="G696" s="0" t="s">
        <v>1687</v>
      </c>
      <c r="H696" s="0" t="s">
        <v>134</v>
      </c>
      <c r="I696" s="3" t="s">
        <v>2317</v>
      </c>
      <c r="J696" s="0" t="s">
        <v>2347</v>
      </c>
      <c r="K696" s="0" t="s">
        <v>109</v>
      </c>
      <c r="L696" s="4" t="n">
        <v>81287</v>
      </c>
      <c r="M696" s="0" t="s">
        <v>110</v>
      </c>
      <c r="N696" s="0" t="s">
        <v>63</v>
      </c>
      <c r="O696" s="5" t="n">
        <v>3.132</v>
      </c>
      <c r="P696" s="0" t="n">
        <v>1.4</v>
      </c>
      <c r="Q696" s="0" t="s">
        <v>92</v>
      </c>
      <c r="R696" s="0" t="s">
        <v>93</v>
      </c>
      <c r="S696" s="0" t="s">
        <v>2340</v>
      </c>
      <c r="T696" s="0" t="s">
        <v>147</v>
      </c>
      <c r="U696" s="5" t="n">
        <v>15</v>
      </c>
      <c r="V696" s="0" t="s">
        <v>112</v>
      </c>
      <c r="W696" s="0" t="s">
        <v>155</v>
      </c>
      <c r="X696" s="0" t="s">
        <v>128</v>
      </c>
      <c r="Y696" s="0" t="s">
        <v>99</v>
      </c>
      <c r="Z696" s="0" t="s">
        <v>2329</v>
      </c>
      <c r="AA696" s="0" t="s">
        <v>2329</v>
      </c>
      <c r="AB696" s="5" t="n">
        <v>40000</v>
      </c>
      <c r="AC696" s="5" t="n">
        <v>30000</v>
      </c>
      <c r="AD696" s="0" t="s">
        <v>63</v>
      </c>
      <c r="AE696" s="5" t="n">
        <v>10000</v>
      </c>
      <c r="AF696" s="0" t="s">
        <v>130</v>
      </c>
      <c r="AG696" s="7" t="s">
        <v>513</v>
      </c>
      <c r="AH696" s="0" t="s">
        <v>50</v>
      </c>
      <c r="AI696" s="0" t="s">
        <v>116</v>
      </c>
      <c r="AJ696" s="0" t="s">
        <v>2320</v>
      </c>
      <c r="AK696" s="0" t="s">
        <v>63</v>
      </c>
      <c r="AL696" s="0" t="s">
        <v>63</v>
      </c>
      <c r="AM696" s="0" t="s">
        <v>63</v>
      </c>
      <c r="AN696" s="0" t="s">
        <v>64</v>
      </c>
      <c r="AO696" s="0" t="s">
        <v>63</v>
      </c>
    </row>
    <row r="697" customFormat="false" ht="15" hidden="false" customHeight="false" outlineLevel="0" collapsed="false">
      <c r="A697" s="0" t="s">
        <v>1688</v>
      </c>
      <c r="B697" s="2" t="s">
        <v>2464</v>
      </c>
      <c r="C697" s="0" t="s">
        <v>66</v>
      </c>
      <c r="D697" s="0" t="n">
        <v>8033680772</v>
      </c>
      <c r="E697" s="0" t="s">
        <v>85</v>
      </c>
      <c r="F697" s="0" t="s">
        <v>2319</v>
      </c>
      <c r="G697" s="0" t="s">
        <v>1689</v>
      </c>
      <c r="H697" s="0" t="s">
        <v>87</v>
      </c>
      <c r="I697" s="3" t="s">
        <v>2322</v>
      </c>
      <c r="J697" s="0" t="s">
        <v>47</v>
      </c>
      <c r="K697" s="0" t="s">
        <v>109</v>
      </c>
      <c r="L697" s="4" t="n">
        <v>110699</v>
      </c>
      <c r="M697" s="0" t="s">
        <v>49</v>
      </c>
      <c r="N697" s="0" t="s">
        <v>63</v>
      </c>
      <c r="O697" s="5" t="n">
        <v>4</v>
      </c>
      <c r="P697" s="0" t="n">
        <v>4.8</v>
      </c>
      <c r="Q697" s="0" t="s">
        <v>2334</v>
      </c>
      <c r="R697" s="0" t="s">
        <v>73</v>
      </c>
      <c r="S697" s="0" t="s">
        <v>53</v>
      </c>
      <c r="T697" s="0" t="s">
        <v>75</v>
      </c>
      <c r="U697" s="5" t="n">
        <v>37.1590909090909</v>
      </c>
      <c r="V697" s="0" t="s">
        <v>96</v>
      </c>
      <c r="W697" s="0" t="s">
        <v>155</v>
      </c>
      <c r="X697" s="0" t="s">
        <v>98</v>
      </c>
      <c r="Y697" s="0" t="s">
        <v>99</v>
      </c>
      <c r="Z697" s="0" t="s">
        <v>2329</v>
      </c>
      <c r="AA697" s="0" t="s">
        <v>79</v>
      </c>
      <c r="AB697" s="5" t="n">
        <v>40000</v>
      </c>
      <c r="AC697" s="5" t="n">
        <v>40000</v>
      </c>
      <c r="AD697" s="0" t="s">
        <v>63</v>
      </c>
      <c r="AE697" s="5" t="n">
        <v>5000</v>
      </c>
      <c r="AF697" s="0" t="s">
        <v>60</v>
      </c>
      <c r="AG697" s="7" t="s">
        <v>1690</v>
      </c>
      <c r="AH697" s="0" t="s">
        <v>63</v>
      </c>
      <c r="AI697" s="0" t="s">
        <v>116</v>
      </c>
      <c r="AJ697" s="0" t="s">
        <v>117</v>
      </c>
      <c r="AK697" s="0" t="s">
        <v>50</v>
      </c>
      <c r="AL697" s="0" t="s">
        <v>63</v>
      </c>
      <c r="AM697" s="0" t="s">
        <v>2344</v>
      </c>
      <c r="AN697" s="0" t="s">
        <v>2318</v>
      </c>
      <c r="AO697" s="0" t="s">
        <v>63</v>
      </c>
    </row>
    <row r="698" customFormat="false" ht="15" hidden="false" customHeight="false" outlineLevel="0" collapsed="false">
      <c r="A698" s="0" t="s">
        <v>1691</v>
      </c>
      <c r="B698" s="2" t="s">
        <v>2486</v>
      </c>
      <c r="C698" s="0" t="s">
        <v>121</v>
      </c>
      <c r="D698" s="0" t="n">
        <v>8091315976</v>
      </c>
      <c r="E698" s="0" t="s">
        <v>43</v>
      </c>
      <c r="F698" s="0" t="s">
        <v>2315</v>
      </c>
      <c r="G698" s="0" t="s">
        <v>1692</v>
      </c>
      <c r="H698" s="0" t="s">
        <v>69</v>
      </c>
      <c r="I698" s="3" t="s">
        <v>2322</v>
      </c>
      <c r="J698" s="0" t="s">
        <v>47</v>
      </c>
      <c r="K698" s="0" t="s">
        <v>48</v>
      </c>
      <c r="L698" s="4" t="n">
        <v>82356</v>
      </c>
      <c r="M698" s="0" t="s">
        <v>49</v>
      </c>
      <c r="N698" s="0" t="s">
        <v>63</v>
      </c>
      <c r="O698" s="5" t="n">
        <v>3</v>
      </c>
      <c r="P698" s="0" t="n">
        <v>1.2</v>
      </c>
      <c r="Q698" s="0" t="s">
        <v>51</v>
      </c>
      <c r="R698" s="0" t="s">
        <v>93</v>
      </c>
      <c r="S698" s="0" t="s">
        <v>2340</v>
      </c>
      <c r="T698" s="0" t="s">
        <v>54</v>
      </c>
      <c r="U698" s="5" t="n">
        <v>30</v>
      </c>
      <c r="V698" s="0" t="s">
        <v>112</v>
      </c>
      <c r="W698" s="0" t="s">
        <v>2328</v>
      </c>
      <c r="X698" s="0" t="s">
        <v>78</v>
      </c>
      <c r="Y698" s="0" t="s">
        <v>196</v>
      </c>
      <c r="Z698" s="0" t="s">
        <v>2329</v>
      </c>
      <c r="AA698" s="0" t="s">
        <v>149</v>
      </c>
      <c r="AB698" s="5" t="n">
        <v>40000</v>
      </c>
      <c r="AC698" s="5" t="n">
        <v>30000</v>
      </c>
      <c r="AD698" s="0" t="s">
        <v>50</v>
      </c>
      <c r="AE698" s="5" t="n">
        <v>5000</v>
      </c>
      <c r="AF698" s="0" t="s">
        <v>2338</v>
      </c>
      <c r="AG698" s="7" t="s">
        <v>2330</v>
      </c>
      <c r="AH698" s="0" t="s">
        <v>63</v>
      </c>
      <c r="AI698" s="0" t="s">
        <v>171</v>
      </c>
      <c r="AJ698" s="0" t="s">
        <v>2331</v>
      </c>
      <c r="AK698" s="0" t="s">
        <v>2344</v>
      </c>
      <c r="AL698" s="0" t="s">
        <v>63</v>
      </c>
      <c r="AM698" s="0" t="s">
        <v>50</v>
      </c>
      <c r="AN698" s="0" t="s">
        <v>2321</v>
      </c>
      <c r="AO698" s="0" t="s">
        <v>50</v>
      </c>
    </row>
    <row r="699" customFormat="false" ht="15" hidden="false" customHeight="false" outlineLevel="0" collapsed="false">
      <c r="A699" s="0" t="s">
        <v>1693</v>
      </c>
      <c r="B699" s="2" t="s">
        <v>788</v>
      </c>
      <c r="C699" s="0" t="s">
        <v>105</v>
      </c>
      <c r="D699" s="0" t="n">
        <v>8043416111</v>
      </c>
      <c r="E699" s="0" t="s">
        <v>43</v>
      </c>
      <c r="F699" s="0" t="s">
        <v>2315</v>
      </c>
      <c r="G699" s="0" t="s">
        <v>1694</v>
      </c>
      <c r="H699" s="0" t="s">
        <v>107</v>
      </c>
      <c r="I699" s="3" t="s">
        <v>2325</v>
      </c>
      <c r="J699" s="0" t="s">
        <v>47</v>
      </c>
      <c r="K699" s="0" t="s">
        <v>71</v>
      </c>
      <c r="L699" s="4" t="n">
        <v>18905</v>
      </c>
      <c r="M699" s="0" t="s">
        <v>110</v>
      </c>
      <c r="N699" s="0" t="s">
        <v>50</v>
      </c>
      <c r="O699" s="5" t="n">
        <v>4</v>
      </c>
      <c r="P699" s="0" t="n">
        <v>3.3</v>
      </c>
      <c r="Q699" s="0" t="s">
        <v>111</v>
      </c>
      <c r="R699" s="0" t="s">
        <v>52</v>
      </c>
      <c r="S699" s="0" t="s">
        <v>2340</v>
      </c>
      <c r="T699" s="0" t="s">
        <v>54</v>
      </c>
      <c r="U699" s="5" t="n">
        <v>37.3255813953488</v>
      </c>
      <c r="V699" s="0" t="s">
        <v>96</v>
      </c>
      <c r="W699" s="0" t="s">
        <v>148</v>
      </c>
      <c r="X699" s="0" t="s">
        <v>98</v>
      </c>
      <c r="Y699" s="0" t="s">
        <v>58</v>
      </c>
      <c r="Z699" s="0" t="s">
        <v>59</v>
      </c>
      <c r="AA699" s="0" t="s">
        <v>149</v>
      </c>
      <c r="AB699" s="5" t="n">
        <v>15000</v>
      </c>
      <c r="AC699" s="5" t="n">
        <v>30000</v>
      </c>
      <c r="AD699" s="0" t="s">
        <v>50</v>
      </c>
      <c r="AE699" s="5" t="n">
        <v>0</v>
      </c>
      <c r="AF699" s="0" t="s">
        <v>60</v>
      </c>
      <c r="AG699" s="7" t="s">
        <v>2421</v>
      </c>
      <c r="AH699" s="0" t="s">
        <v>2329</v>
      </c>
      <c r="AI699" s="0" t="s">
        <v>171</v>
      </c>
      <c r="AJ699" s="0" t="s">
        <v>2331</v>
      </c>
      <c r="AK699" s="0" t="s">
        <v>50</v>
      </c>
      <c r="AL699" s="0" t="s">
        <v>50</v>
      </c>
      <c r="AM699" s="0" t="s">
        <v>2344</v>
      </c>
      <c r="AN699" s="0" t="s">
        <v>64</v>
      </c>
      <c r="AO699" s="0" t="s">
        <v>50</v>
      </c>
    </row>
    <row r="700" customFormat="false" ht="15" hidden="false" customHeight="false" outlineLevel="0" collapsed="false">
      <c r="A700" s="0" t="s">
        <v>1695</v>
      </c>
      <c r="B700" s="2" t="s">
        <v>1339</v>
      </c>
      <c r="C700" s="0" t="s">
        <v>42</v>
      </c>
      <c r="D700" s="0" t="n">
        <v>8050681488</v>
      </c>
      <c r="E700" s="0" t="s">
        <v>67</v>
      </c>
      <c r="F700" s="0" t="s">
        <v>2316</v>
      </c>
      <c r="G700" s="0" t="s">
        <v>1696</v>
      </c>
      <c r="H700" s="0" t="s">
        <v>45</v>
      </c>
      <c r="I700" s="3" t="s">
        <v>2342</v>
      </c>
      <c r="J700" s="0" t="s">
        <v>2339</v>
      </c>
      <c r="K700" s="0" t="s">
        <v>48</v>
      </c>
      <c r="L700" s="4" t="n">
        <v>117550</v>
      </c>
      <c r="M700" s="0" t="s">
        <v>110</v>
      </c>
      <c r="N700" s="0" t="s">
        <v>63</v>
      </c>
      <c r="O700" s="5" t="n">
        <v>3.12550607287449</v>
      </c>
      <c r="P700" s="0" t="n">
        <v>1.8</v>
      </c>
      <c r="Q700" s="0" t="s">
        <v>92</v>
      </c>
      <c r="R700" s="0" t="s">
        <v>93</v>
      </c>
      <c r="S700" s="0" t="s">
        <v>2335</v>
      </c>
      <c r="T700" s="0" t="s">
        <v>95</v>
      </c>
      <c r="U700" s="5" t="n">
        <v>39.5454545454546</v>
      </c>
      <c r="V700" s="0" t="s">
        <v>2336</v>
      </c>
      <c r="W700" s="0" t="s">
        <v>155</v>
      </c>
      <c r="X700" s="0" t="s">
        <v>128</v>
      </c>
      <c r="Y700" s="0" t="s">
        <v>196</v>
      </c>
      <c r="Z700" s="0" t="s">
        <v>2324</v>
      </c>
      <c r="AA700" s="0" t="s">
        <v>2329</v>
      </c>
      <c r="AB700" s="5" t="n">
        <v>30000</v>
      </c>
      <c r="AC700" s="5" t="n">
        <v>31408.7301587302</v>
      </c>
      <c r="AD700" s="0" t="s">
        <v>63</v>
      </c>
      <c r="AE700" s="5" t="n">
        <v>0</v>
      </c>
      <c r="AF700" s="0" t="s">
        <v>60</v>
      </c>
      <c r="AG700" s="7" t="s">
        <v>131</v>
      </c>
      <c r="AH700" s="0" t="s">
        <v>50</v>
      </c>
      <c r="AI700" s="0" t="s">
        <v>116</v>
      </c>
      <c r="AJ700" s="0" t="s">
        <v>117</v>
      </c>
      <c r="AK700" s="0" t="s">
        <v>2344</v>
      </c>
      <c r="AL700" s="0" t="s">
        <v>2344</v>
      </c>
      <c r="AM700" s="0" t="s">
        <v>63</v>
      </c>
      <c r="AN700" s="0" t="s">
        <v>2321</v>
      </c>
      <c r="AO700" s="0" t="s">
        <v>63</v>
      </c>
    </row>
    <row r="701" customFormat="false" ht="15" hidden="false" customHeight="false" outlineLevel="0" collapsed="false">
      <c r="A701" s="0" t="s">
        <v>1697</v>
      </c>
      <c r="B701" s="2" t="s">
        <v>669</v>
      </c>
      <c r="C701" s="0" t="s">
        <v>163</v>
      </c>
      <c r="D701" s="0" t="n">
        <v>8048299416</v>
      </c>
      <c r="E701" s="0" t="s">
        <v>43</v>
      </c>
      <c r="F701" s="0" t="s">
        <v>2315</v>
      </c>
      <c r="G701" s="0" t="s">
        <v>1698</v>
      </c>
      <c r="H701" s="0" t="s">
        <v>45</v>
      </c>
      <c r="I701" s="3" t="s">
        <v>2325</v>
      </c>
      <c r="J701" s="0" t="s">
        <v>2349</v>
      </c>
      <c r="K701" s="0" t="s">
        <v>71</v>
      </c>
      <c r="L701" s="4" t="n">
        <v>103703</v>
      </c>
      <c r="M701" s="0" t="s">
        <v>110</v>
      </c>
      <c r="N701" s="0" t="s">
        <v>50</v>
      </c>
      <c r="O701" s="5" t="n">
        <v>3</v>
      </c>
      <c r="P701" s="0" t="n">
        <v>1.5</v>
      </c>
      <c r="Q701" s="0" t="s">
        <v>51</v>
      </c>
      <c r="R701" s="0" t="s">
        <v>93</v>
      </c>
      <c r="S701" s="0" t="s">
        <v>53</v>
      </c>
      <c r="T701" s="0" t="s">
        <v>54</v>
      </c>
      <c r="U701" s="5" t="n">
        <v>30</v>
      </c>
      <c r="V701" s="0" t="s">
        <v>2352</v>
      </c>
      <c r="W701" s="0" t="s">
        <v>155</v>
      </c>
      <c r="X701" s="0" t="s">
        <v>78</v>
      </c>
      <c r="Y701" s="0" t="s">
        <v>196</v>
      </c>
      <c r="Z701" s="0" t="s">
        <v>2324</v>
      </c>
      <c r="AA701" s="0" t="s">
        <v>79</v>
      </c>
      <c r="AB701" s="5" t="n">
        <v>26216.2162162162</v>
      </c>
      <c r="AC701" s="5" t="n">
        <v>30000</v>
      </c>
      <c r="AD701" s="0" t="s">
        <v>63</v>
      </c>
      <c r="AE701" s="5" t="n">
        <v>0</v>
      </c>
      <c r="AF701" s="0" t="s">
        <v>60</v>
      </c>
      <c r="AG701" s="7" t="s">
        <v>2209</v>
      </c>
      <c r="AH701" s="0" t="s">
        <v>50</v>
      </c>
      <c r="AI701" s="0" t="s">
        <v>2331</v>
      </c>
      <c r="AJ701" s="0" t="s">
        <v>2331</v>
      </c>
      <c r="AK701" s="0" t="s">
        <v>50</v>
      </c>
      <c r="AL701" s="0" t="s">
        <v>2344</v>
      </c>
      <c r="AM701" s="0" t="s">
        <v>63</v>
      </c>
      <c r="AN701" s="0" t="s">
        <v>64</v>
      </c>
      <c r="AO701" s="0" t="s">
        <v>63</v>
      </c>
    </row>
    <row r="702" customFormat="false" ht="15" hidden="false" customHeight="false" outlineLevel="0" collapsed="false">
      <c r="A702" s="0" t="s">
        <v>1699</v>
      </c>
      <c r="B702" s="2" t="s">
        <v>2411</v>
      </c>
      <c r="C702" s="0" t="s">
        <v>66</v>
      </c>
      <c r="D702" s="0" t="n">
        <v>8087366028</v>
      </c>
      <c r="E702" s="0" t="s">
        <v>43</v>
      </c>
      <c r="F702" s="0" t="s">
        <v>2315</v>
      </c>
      <c r="G702" s="0" t="s">
        <v>1076</v>
      </c>
      <c r="H702" s="0" t="s">
        <v>134</v>
      </c>
      <c r="I702" s="3" t="s">
        <v>2325</v>
      </c>
      <c r="J702" s="0" t="s">
        <v>2349</v>
      </c>
      <c r="K702" s="0" t="s">
        <v>48</v>
      </c>
      <c r="L702" s="4" t="n">
        <v>83783</v>
      </c>
      <c r="M702" s="0" t="s">
        <v>49</v>
      </c>
      <c r="N702" s="0" t="s">
        <v>63</v>
      </c>
      <c r="O702" s="5" t="n">
        <v>3.1260162601626</v>
      </c>
      <c r="P702" s="0" t="n">
        <v>3.7</v>
      </c>
      <c r="Q702" s="0" t="s">
        <v>2334</v>
      </c>
      <c r="R702" s="0" t="s">
        <v>73</v>
      </c>
      <c r="S702" s="0" t="s">
        <v>2340</v>
      </c>
      <c r="T702" s="0" t="s">
        <v>147</v>
      </c>
      <c r="U702" s="5" t="n">
        <v>45</v>
      </c>
      <c r="V702" s="0" t="s">
        <v>2336</v>
      </c>
      <c r="W702" s="0" t="s">
        <v>2328</v>
      </c>
      <c r="X702" s="0" t="s">
        <v>128</v>
      </c>
      <c r="Y702" s="0" t="s">
        <v>58</v>
      </c>
      <c r="Z702" s="0" t="s">
        <v>2326</v>
      </c>
      <c r="AA702" s="0" t="s">
        <v>143</v>
      </c>
      <c r="AB702" s="5" t="n">
        <v>30000</v>
      </c>
      <c r="AC702" s="5" t="n">
        <v>35000</v>
      </c>
      <c r="AD702" s="0" t="s">
        <v>50</v>
      </c>
      <c r="AE702" s="5" t="n">
        <v>5000</v>
      </c>
      <c r="AF702" s="0" t="s">
        <v>2338</v>
      </c>
      <c r="AG702" s="7" t="s">
        <v>2330</v>
      </c>
      <c r="AH702" s="0" t="s">
        <v>63</v>
      </c>
      <c r="AI702" s="0" t="s">
        <v>2331</v>
      </c>
      <c r="AJ702" s="0" t="s">
        <v>117</v>
      </c>
      <c r="AK702" s="0" t="s">
        <v>2344</v>
      </c>
      <c r="AL702" s="0" t="s">
        <v>63</v>
      </c>
      <c r="AM702" s="0" t="s">
        <v>63</v>
      </c>
      <c r="AN702" s="0" t="s">
        <v>2318</v>
      </c>
      <c r="AO702" s="0" t="s">
        <v>63</v>
      </c>
    </row>
    <row r="703" customFormat="false" ht="15" hidden="false" customHeight="false" outlineLevel="0" collapsed="false">
      <c r="A703" s="0" t="s">
        <v>1700</v>
      </c>
      <c r="B703" s="2" t="s">
        <v>2398</v>
      </c>
      <c r="C703" s="0" t="s">
        <v>105</v>
      </c>
      <c r="D703" s="0" t="n">
        <v>8070165940</v>
      </c>
      <c r="E703" s="0" t="s">
        <v>85</v>
      </c>
      <c r="F703" s="0" t="s">
        <v>2319</v>
      </c>
      <c r="G703" s="0" t="s">
        <v>1701</v>
      </c>
      <c r="H703" s="0" t="s">
        <v>87</v>
      </c>
      <c r="I703" s="3" t="s">
        <v>2322</v>
      </c>
      <c r="J703" s="0" t="s">
        <v>2347</v>
      </c>
      <c r="K703" s="0" t="s">
        <v>90</v>
      </c>
      <c r="L703" s="4" t="n">
        <v>109259</v>
      </c>
      <c r="M703" s="0" t="s">
        <v>110</v>
      </c>
      <c r="N703" s="0" t="s">
        <v>63</v>
      </c>
      <c r="O703" s="5" t="n">
        <v>1</v>
      </c>
      <c r="P703" s="0" t="n">
        <v>2.9</v>
      </c>
      <c r="Q703" s="0" t="s">
        <v>125</v>
      </c>
      <c r="R703" s="0" t="s">
        <v>93</v>
      </c>
      <c r="S703" s="0" t="s">
        <v>53</v>
      </c>
      <c r="T703" s="0" t="s">
        <v>2353</v>
      </c>
      <c r="U703" s="5" t="n">
        <v>45</v>
      </c>
      <c r="V703" s="0" t="s">
        <v>96</v>
      </c>
      <c r="W703" s="0" t="s">
        <v>155</v>
      </c>
      <c r="X703" s="0" t="s">
        <v>78</v>
      </c>
      <c r="Y703" s="0" t="s">
        <v>99</v>
      </c>
      <c r="Z703" s="0" t="s">
        <v>177</v>
      </c>
      <c r="AA703" s="0" t="s">
        <v>79</v>
      </c>
      <c r="AB703" s="5" t="n">
        <v>30000</v>
      </c>
      <c r="AC703" s="5" t="n">
        <v>30000</v>
      </c>
      <c r="AD703" s="0" t="s">
        <v>50</v>
      </c>
      <c r="AE703" s="5" t="n">
        <v>0</v>
      </c>
      <c r="AF703" s="0" t="s">
        <v>60</v>
      </c>
      <c r="AG703" s="7" t="s">
        <v>2443</v>
      </c>
      <c r="AH703" s="0" t="s">
        <v>50</v>
      </c>
      <c r="AI703" s="0" t="s">
        <v>2331</v>
      </c>
      <c r="AJ703" s="0" t="s">
        <v>2331</v>
      </c>
      <c r="AK703" s="0" t="s">
        <v>63</v>
      </c>
      <c r="AL703" s="0" t="s">
        <v>63</v>
      </c>
      <c r="AM703" s="0" t="s">
        <v>50</v>
      </c>
      <c r="AN703" s="0" t="s">
        <v>2321</v>
      </c>
      <c r="AO703" s="0" t="s">
        <v>63</v>
      </c>
    </row>
    <row r="704" customFormat="false" ht="15" hidden="false" customHeight="false" outlineLevel="0" collapsed="false">
      <c r="A704" s="0" t="s">
        <v>1702</v>
      </c>
      <c r="B704" s="2" t="s">
        <v>592</v>
      </c>
      <c r="C704" s="0" t="s">
        <v>42</v>
      </c>
      <c r="D704" s="0" t="n">
        <v>8095309294</v>
      </c>
      <c r="E704" s="0" t="s">
        <v>122</v>
      </c>
      <c r="F704" s="0" t="s">
        <v>2316</v>
      </c>
      <c r="G704" s="0" t="s">
        <v>1703</v>
      </c>
      <c r="H704" s="0" t="s">
        <v>134</v>
      </c>
      <c r="I704" s="3" t="s">
        <v>2317</v>
      </c>
      <c r="J704" s="0" t="s">
        <v>189</v>
      </c>
      <c r="K704" s="0" t="s">
        <v>90</v>
      </c>
      <c r="L704" s="4" t="n">
        <v>101741</v>
      </c>
      <c r="M704" s="0" t="s">
        <v>2333</v>
      </c>
      <c r="N704" s="0" t="s">
        <v>63</v>
      </c>
      <c r="O704" s="5" t="n">
        <v>5</v>
      </c>
      <c r="P704" s="0" t="n">
        <v>1.2</v>
      </c>
      <c r="Q704" s="0" t="s">
        <v>92</v>
      </c>
      <c r="R704" s="0" t="s">
        <v>73</v>
      </c>
      <c r="S704" s="0" t="s">
        <v>2340</v>
      </c>
      <c r="T704" s="0" t="s">
        <v>2353</v>
      </c>
      <c r="U704" s="5" t="n">
        <v>39.2647058823529</v>
      </c>
      <c r="V704" s="0" t="s">
        <v>55</v>
      </c>
      <c r="W704" s="0" t="s">
        <v>2328</v>
      </c>
      <c r="X704" s="0" t="s">
        <v>98</v>
      </c>
      <c r="Y704" s="0" t="s">
        <v>196</v>
      </c>
      <c r="Z704" s="0" t="s">
        <v>177</v>
      </c>
      <c r="AA704" s="0" t="s">
        <v>79</v>
      </c>
      <c r="AB704" s="5" t="n">
        <v>26000</v>
      </c>
      <c r="AC704" s="5" t="n">
        <v>31405.6224899598</v>
      </c>
      <c r="AD704" s="0" t="s">
        <v>50</v>
      </c>
      <c r="AE704" s="5" t="n">
        <v>0</v>
      </c>
      <c r="AF704" s="0" t="s">
        <v>2338</v>
      </c>
      <c r="AG704" s="7" t="s">
        <v>2330</v>
      </c>
      <c r="AH704" s="0" t="s">
        <v>50</v>
      </c>
      <c r="AI704" s="0" t="s">
        <v>171</v>
      </c>
      <c r="AJ704" s="0" t="s">
        <v>172</v>
      </c>
      <c r="AK704" s="0" t="s">
        <v>50</v>
      </c>
      <c r="AL704" s="0" t="s">
        <v>2344</v>
      </c>
      <c r="AM704" s="0" t="s">
        <v>63</v>
      </c>
      <c r="AN704" s="0" t="s">
        <v>2318</v>
      </c>
      <c r="AO704" s="0" t="s">
        <v>63</v>
      </c>
    </row>
    <row r="705" customFormat="false" ht="15" hidden="false" customHeight="false" outlineLevel="0" collapsed="false">
      <c r="A705" s="0" t="s">
        <v>1704</v>
      </c>
      <c r="B705" s="2" t="s">
        <v>2462</v>
      </c>
      <c r="C705" s="0" t="s">
        <v>42</v>
      </c>
      <c r="D705" s="0" t="n">
        <v>8037031585</v>
      </c>
      <c r="E705" s="0" t="s">
        <v>67</v>
      </c>
      <c r="F705" s="0" t="s">
        <v>2316</v>
      </c>
      <c r="G705" s="0" t="s">
        <v>1705</v>
      </c>
      <c r="H705" s="0" t="s">
        <v>69</v>
      </c>
      <c r="I705" s="3" t="s">
        <v>2317</v>
      </c>
      <c r="J705" s="0" t="s">
        <v>189</v>
      </c>
      <c r="K705" s="0" t="s">
        <v>109</v>
      </c>
      <c r="L705" s="4" t="n">
        <v>102734</v>
      </c>
      <c r="M705" s="0" t="s">
        <v>2333</v>
      </c>
      <c r="N705" s="0" t="s">
        <v>63</v>
      </c>
      <c r="O705" s="5" t="n">
        <v>4</v>
      </c>
      <c r="P705" s="0" t="n">
        <v>3.5</v>
      </c>
      <c r="Q705" s="0" t="s">
        <v>92</v>
      </c>
      <c r="R705" s="0" t="s">
        <v>52</v>
      </c>
      <c r="S705" s="0" t="s">
        <v>53</v>
      </c>
      <c r="T705" s="0" t="s">
        <v>54</v>
      </c>
      <c r="U705" s="5" t="n">
        <v>45</v>
      </c>
      <c r="V705" s="0" t="s">
        <v>2352</v>
      </c>
      <c r="W705" s="0" t="s">
        <v>148</v>
      </c>
      <c r="X705" s="0" t="s">
        <v>78</v>
      </c>
      <c r="Y705" s="0" t="s">
        <v>58</v>
      </c>
      <c r="Z705" s="0" t="s">
        <v>2329</v>
      </c>
      <c r="AA705" s="0" t="s">
        <v>143</v>
      </c>
      <c r="AB705" s="5" t="n">
        <v>20000</v>
      </c>
      <c r="AC705" s="5" t="n">
        <v>20000</v>
      </c>
      <c r="AD705" s="0" t="s">
        <v>50</v>
      </c>
      <c r="AE705" s="5" t="n">
        <v>10000</v>
      </c>
      <c r="AF705" s="0" t="s">
        <v>130</v>
      </c>
      <c r="AG705" s="7" t="s">
        <v>2330</v>
      </c>
      <c r="AH705" s="0" t="s">
        <v>50</v>
      </c>
      <c r="AI705" s="0" t="s">
        <v>171</v>
      </c>
      <c r="AJ705" s="0" t="s">
        <v>172</v>
      </c>
      <c r="AK705" s="0" t="s">
        <v>50</v>
      </c>
      <c r="AL705" s="0" t="s">
        <v>2344</v>
      </c>
      <c r="AM705" s="0" t="s">
        <v>50</v>
      </c>
      <c r="AN705" s="0" t="s">
        <v>2321</v>
      </c>
      <c r="AO705" s="0" t="s">
        <v>50</v>
      </c>
    </row>
    <row r="706" customFormat="false" ht="15" hidden="false" customHeight="false" outlineLevel="0" collapsed="false">
      <c r="A706" s="0" t="s">
        <v>1706</v>
      </c>
      <c r="B706" s="2" t="s">
        <v>2458</v>
      </c>
      <c r="C706" s="0" t="s">
        <v>66</v>
      </c>
      <c r="D706" s="0" t="n">
        <v>8046488536</v>
      </c>
      <c r="E706" s="0" t="s">
        <v>67</v>
      </c>
      <c r="F706" s="0" t="s">
        <v>2316</v>
      </c>
      <c r="G706" s="0" t="s">
        <v>1707</v>
      </c>
      <c r="H706" s="0" t="s">
        <v>69</v>
      </c>
      <c r="I706" s="3" t="s">
        <v>2325</v>
      </c>
      <c r="J706" s="0" t="s">
        <v>2349</v>
      </c>
      <c r="K706" s="0" t="s">
        <v>48</v>
      </c>
      <c r="L706" s="4" t="n">
        <v>92716</v>
      </c>
      <c r="M706" s="0" t="s">
        <v>2333</v>
      </c>
      <c r="N706" s="0" t="s">
        <v>63</v>
      </c>
      <c r="O706" s="5" t="n">
        <v>3.12345679012346</v>
      </c>
      <c r="P706" s="0" t="n">
        <v>5.4</v>
      </c>
      <c r="Q706" s="0" t="s">
        <v>51</v>
      </c>
      <c r="R706" s="0" t="s">
        <v>52</v>
      </c>
      <c r="S706" s="0" t="s">
        <v>53</v>
      </c>
      <c r="T706" s="0" t="s">
        <v>54</v>
      </c>
      <c r="U706" s="5" t="n">
        <v>15</v>
      </c>
      <c r="V706" s="0" t="s">
        <v>55</v>
      </c>
      <c r="W706" s="0" t="s">
        <v>148</v>
      </c>
      <c r="X706" s="0" t="s">
        <v>78</v>
      </c>
      <c r="Y706" s="0" t="s">
        <v>99</v>
      </c>
      <c r="Z706" s="0" t="s">
        <v>2326</v>
      </c>
      <c r="AA706" s="0" t="s">
        <v>79</v>
      </c>
      <c r="AB706" s="5" t="n">
        <v>40000</v>
      </c>
      <c r="AC706" s="5" t="n">
        <v>35000</v>
      </c>
      <c r="AD706" s="0" t="s">
        <v>50</v>
      </c>
      <c r="AE706" s="5" t="n">
        <v>5000</v>
      </c>
      <c r="AF706" s="0" t="s">
        <v>60</v>
      </c>
      <c r="AG706" s="7" t="s">
        <v>1486</v>
      </c>
      <c r="AH706" s="0" t="s">
        <v>50</v>
      </c>
      <c r="AI706" s="0" t="s">
        <v>2331</v>
      </c>
      <c r="AJ706" s="0" t="s">
        <v>2320</v>
      </c>
      <c r="AK706" s="0" t="s">
        <v>63</v>
      </c>
      <c r="AL706" s="0" t="s">
        <v>50</v>
      </c>
      <c r="AM706" s="0" t="s">
        <v>2344</v>
      </c>
      <c r="AN706" s="0" t="s">
        <v>2321</v>
      </c>
      <c r="AO706" s="0" t="s">
        <v>2359</v>
      </c>
    </row>
    <row r="707" customFormat="false" ht="15" hidden="false" customHeight="false" outlineLevel="0" collapsed="false">
      <c r="A707" s="0" t="s">
        <v>1708</v>
      </c>
      <c r="B707" s="2" t="s">
        <v>534</v>
      </c>
      <c r="C707" s="0" t="s">
        <v>121</v>
      </c>
      <c r="D707" s="0" t="n">
        <v>8074581639</v>
      </c>
      <c r="E707" s="0" t="s">
        <v>122</v>
      </c>
      <c r="F707" s="0" t="s">
        <v>2316</v>
      </c>
      <c r="G707" s="0" t="s">
        <v>1709</v>
      </c>
      <c r="H707" s="0" t="s">
        <v>107</v>
      </c>
      <c r="I707" s="3" t="s">
        <v>2325</v>
      </c>
      <c r="J707" s="0" t="s">
        <v>2349</v>
      </c>
      <c r="K707" s="0" t="s">
        <v>90</v>
      </c>
      <c r="L707" s="4" t="n">
        <v>101283</v>
      </c>
      <c r="M707" s="0" t="s">
        <v>49</v>
      </c>
      <c r="N707" s="0" t="s">
        <v>50</v>
      </c>
      <c r="O707" s="5" t="n">
        <v>2</v>
      </c>
      <c r="P707" s="0" t="n">
        <v>4.3</v>
      </c>
      <c r="Q707" s="0" t="s">
        <v>2334</v>
      </c>
      <c r="R707" s="0" t="s">
        <v>73</v>
      </c>
      <c r="S707" s="0" t="s">
        <v>53</v>
      </c>
      <c r="T707" s="0" t="s">
        <v>2343</v>
      </c>
      <c r="U707" s="5" t="n">
        <v>45</v>
      </c>
      <c r="V707" s="0" t="s">
        <v>55</v>
      </c>
      <c r="W707" s="0" t="s">
        <v>148</v>
      </c>
      <c r="X707" s="0" t="s">
        <v>128</v>
      </c>
      <c r="Y707" s="0" t="s">
        <v>114</v>
      </c>
      <c r="Z707" s="0" t="s">
        <v>177</v>
      </c>
      <c r="AA707" s="0" t="s">
        <v>2329</v>
      </c>
      <c r="AB707" s="5" t="n">
        <v>30000</v>
      </c>
      <c r="AC707" s="5" t="n">
        <v>35000</v>
      </c>
      <c r="AD707" s="0" t="s">
        <v>63</v>
      </c>
      <c r="AE707" s="5" t="n">
        <v>5000</v>
      </c>
      <c r="AF707" s="0" t="s">
        <v>60</v>
      </c>
      <c r="AG707" s="7" t="s">
        <v>2330</v>
      </c>
      <c r="AH707" s="0" t="s">
        <v>63</v>
      </c>
      <c r="AI707" s="0" t="s">
        <v>2331</v>
      </c>
      <c r="AJ707" s="0" t="s">
        <v>2320</v>
      </c>
      <c r="AK707" s="0" t="s">
        <v>50</v>
      </c>
      <c r="AL707" s="0" t="s">
        <v>50</v>
      </c>
      <c r="AM707" s="0" t="s">
        <v>2344</v>
      </c>
      <c r="AN707" s="0" t="s">
        <v>2321</v>
      </c>
      <c r="AO707" s="0" t="s">
        <v>50</v>
      </c>
    </row>
    <row r="708" customFormat="false" ht="15" hidden="false" customHeight="false" outlineLevel="0" collapsed="false">
      <c r="A708" s="0" t="s">
        <v>1710</v>
      </c>
      <c r="B708" s="2" t="s">
        <v>2082</v>
      </c>
      <c r="C708" s="0" t="s">
        <v>42</v>
      </c>
      <c r="D708" s="0" t="n">
        <v>8020739561</v>
      </c>
      <c r="E708" s="0" t="s">
        <v>85</v>
      </c>
      <c r="F708" s="0" t="s">
        <v>2319</v>
      </c>
      <c r="G708" s="0" t="s">
        <v>1711</v>
      </c>
      <c r="H708" s="0" t="s">
        <v>87</v>
      </c>
      <c r="I708" s="3" t="s">
        <v>2322</v>
      </c>
      <c r="J708" s="0" t="s">
        <v>2349</v>
      </c>
      <c r="K708" s="0" t="s">
        <v>48</v>
      </c>
      <c r="L708" s="4" t="n">
        <v>45331</v>
      </c>
      <c r="M708" s="0" t="s">
        <v>2333</v>
      </c>
      <c r="N708" s="0" t="s">
        <v>50</v>
      </c>
      <c r="O708" s="5" t="n">
        <v>2</v>
      </c>
      <c r="P708" s="0" t="n">
        <v>3.5</v>
      </c>
      <c r="Q708" s="0" t="s">
        <v>111</v>
      </c>
      <c r="R708" s="0" t="s">
        <v>93</v>
      </c>
      <c r="S708" s="0" t="s">
        <v>53</v>
      </c>
      <c r="T708" s="0" t="s">
        <v>2353</v>
      </c>
      <c r="U708" s="5" t="n">
        <v>36.9512195121951</v>
      </c>
      <c r="V708" s="0" t="s">
        <v>2336</v>
      </c>
      <c r="W708" s="0" t="s">
        <v>148</v>
      </c>
      <c r="X708" s="0" t="s">
        <v>98</v>
      </c>
      <c r="Y708" s="0" t="s">
        <v>114</v>
      </c>
      <c r="Z708" s="0" t="s">
        <v>2324</v>
      </c>
      <c r="AA708" s="0" t="s">
        <v>161</v>
      </c>
      <c r="AB708" s="5" t="n">
        <v>25000</v>
      </c>
      <c r="AC708" s="5" t="n">
        <v>31422.7642276423</v>
      </c>
      <c r="AD708" s="0" t="s">
        <v>63</v>
      </c>
      <c r="AE708" s="5" t="n">
        <v>5000</v>
      </c>
      <c r="AF708" s="0" t="s">
        <v>130</v>
      </c>
      <c r="AG708" s="7" t="s">
        <v>2330</v>
      </c>
      <c r="AH708" s="0" t="s">
        <v>50</v>
      </c>
      <c r="AI708" s="0" t="s">
        <v>116</v>
      </c>
      <c r="AJ708" s="0" t="s">
        <v>172</v>
      </c>
      <c r="AK708" s="0" t="s">
        <v>63</v>
      </c>
      <c r="AL708" s="0" t="s">
        <v>50</v>
      </c>
      <c r="AM708" s="0" t="s">
        <v>50</v>
      </c>
      <c r="AN708" s="0" t="s">
        <v>2318</v>
      </c>
      <c r="AO708" s="0" t="s">
        <v>50</v>
      </c>
    </row>
    <row r="709" customFormat="false" ht="15" hidden="false" customHeight="false" outlineLevel="0" collapsed="false">
      <c r="A709" s="0" t="s">
        <v>1712</v>
      </c>
      <c r="B709" s="2" t="s">
        <v>725</v>
      </c>
      <c r="C709" s="0" t="s">
        <v>66</v>
      </c>
      <c r="D709" s="0" t="n">
        <v>8058262270</v>
      </c>
      <c r="E709" s="0" t="s">
        <v>67</v>
      </c>
      <c r="F709" s="0" t="s">
        <v>2316</v>
      </c>
      <c r="G709" s="0" t="s">
        <v>1713</v>
      </c>
      <c r="H709" s="0" t="s">
        <v>45</v>
      </c>
      <c r="I709" s="3" t="s">
        <v>2325</v>
      </c>
      <c r="J709" s="0" t="s">
        <v>2341</v>
      </c>
      <c r="K709" s="0" t="s">
        <v>71</v>
      </c>
      <c r="L709" s="4" t="n">
        <v>85257</v>
      </c>
      <c r="M709" s="0" t="s">
        <v>110</v>
      </c>
      <c r="N709" s="0" t="s">
        <v>50</v>
      </c>
      <c r="O709" s="5" t="n">
        <v>3</v>
      </c>
      <c r="P709" s="0" t="n">
        <v>1.9</v>
      </c>
      <c r="Q709" s="0" t="s">
        <v>2334</v>
      </c>
      <c r="R709" s="0" t="s">
        <v>52</v>
      </c>
      <c r="S709" s="0" t="s">
        <v>53</v>
      </c>
      <c r="T709" s="0" t="s">
        <v>54</v>
      </c>
      <c r="U709" s="5" t="n">
        <v>15</v>
      </c>
      <c r="V709" s="0" t="s">
        <v>55</v>
      </c>
      <c r="W709" s="0" t="s">
        <v>148</v>
      </c>
      <c r="X709" s="0" t="s">
        <v>128</v>
      </c>
      <c r="Y709" s="0" t="s">
        <v>196</v>
      </c>
      <c r="Z709" s="0" t="s">
        <v>2326</v>
      </c>
      <c r="AA709" s="0" t="s">
        <v>79</v>
      </c>
      <c r="AB709" s="5" t="n">
        <v>40000</v>
      </c>
      <c r="AC709" s="5" t="n">
        <v>40000</v>
      </c>
      <c r="AD709" s="0" t="s">
        <v>63</v>
      </c>
      <c r="AE709" s="5" t="n">
        <v>10000</v>
      </c>
      <c r="AF709" s="0" t="s">
        <v>2338</v>
      </c>
      <c r="AG709" s="7" t="s">
        <v>752</v>
      </c>
      <c r="AH709" s="0" t="s">
        <v>63</v>
      </c>
      <c r="AI709" s="0" t="s">
        <v>171</v>
      </c>
      <c r="AJ709" s="0" t="s">
        <v>117</v>
      </c>
      <c r="AK709" s="0" t="s">
        <v>63</v>
      </c>
      <c r="AL709" s="0" t="s">
        <v>63</v>
      </c>
      <c r="AM709" s="0" t="s">
        <v>50</v>
      </c>
      <c r="AN709" s="0" t="s">
        <v>64</v>
      </c>
      <c r="AO709" s="0" t="s">
        <v>50</v>
      </c>
    </row>
    <row r="710" customFormat="false" ht="15" hidden="false" customHeight="false" outlineLevel="0" collapsed="false">
      <c r="A710" s="0" t="s">
        <v>1715</v>
      </c>
      <c r="B710" s="2" t="s">
        <v>1714</v>
      </c>
      <c r="C710" s="0" t="s">
        <v>105</v>
      </c>
      <c r="D710" s="0" t="n">
        <v>8063451468</v>
      </c>
      <c r="E710" s="0" t="s">
        <v>43</v>
      </c>
      <c r="F710" s="0" t="s">
        <v>2315</v>
      </c>
      <c r="G710" s="0" t="s">
        <v>1716</v>
      </c>
      <c r="H710" s="0" t="s">
        <v>87</v>
      </c>
      <c r="I710" s="3" t="s">
        <v>2317</v>
      </c>
      <c r="J710" s="0" t="s">
        <v>2341</v>
      </c>
      <c r="K710" s="0" t="s">
        <v>71</v>
      </c>
      <c r="L710" s="4" t="n">
        <v>10396</v>
      </c>
      <c r="M710" s="0" t="s">
        <v>110</v>
      </c>
      <c r="N710" s="0" t="s">
        <v>63</v>
      </c>
      <c r="O710" s="5" t="n">
        <v>3.13333333333333</v>
      </c>
      <c r="P710" s="0" t="n">
        <v>1.1</v>
      </c>
      <c r="Q710" s="0" t="s">
        <v>51</v>
      </c>
      <c r="R710" s="0" t="s">
        <v>73</v>
      </c>
      <c r="S710" s="0" t="s">
        <v>2340</v>
      </c>
      <c r="T710" s="0" t="s">
        <v>147</v>
      </c>
      <c r="U710" s="5" t="n">
        <v>39.7959183673469</v>
      </c>
      <c r="V710" s="0" t="s">
        <v>96</v>
      </c>
      <c r="W710" s="0" t="s">
        <v>155</v>
      </c>
      <c r="X710" s="0" t="s">
        <v>78</v>
      </c>
      <c r="Y710" s="0" t="s">
        <v>196</v>
      </c>
      <c r="Z710" s="0" t="s">
        <v>2329</v>
      </c>
      <c r="AA710" s="0" t="s">
        <v>161</v>
      </c>
      <c r="AB710" s="5" t="n">
        <v>15000</v>
      </c>
      <c r="AC710" s="5" t="n">
        <v>35000</v>
      </c>
      <c r="AD710" s="0" t="s">
        <v>50</v>
      </c>
      <c r="AE710" s="5" t="n">
        <v>0</v>
      </c>
      <c r="AF710" s="0" t="s">
        <v>130</v>
      </c>
      <c r="AG710" s="7" t="s">
        <v>1717</v>
      </c>
      <c r="AH710" s="0" t="s">
        <v>50</v>
      </c>
      <c r="AI710" s="0" t="s">
        <v>171</v>
      </c>
      <c r="AJ710" s="0" t="s">
        <v>117</v>
      </c>
      <c r="AK710" s="0" t="s">
        <v>50</v>
      </c>
      <c r="AL710" s="0" t="s">
        <v>63</v>
      </c>
      <c r="AM710" s="0" t="s">
        <v>50</v>
      </c>
      <c r="AN710" s="0" t="s">
        <v>64</v>
      </c>
      <c r="AO710" s="0" t="s">
        <v>50</v>
      </c>
    </row>
    <row r="711" customFormat="false" ht="15" hidden="false" customHeight="false" outlineLevel="0" collapsed="false">
      <c r="A711" s="0" t="s">
        <v>1718</v>
      </c>
      <c r="B711" s="2" t="s">
        <v>531</v>
      </c>
      <c r="C711" s="0" t="s">
        <v>121</v>
      </c>
      <c r="D711" s="0" t="n">
        <v>8060696383</v>
      </c>
      <c r="E711" s="0" t="s">
        <v>122</v>
      </c>
      <c r="F711" s="0" t="s">
        <v>2316</v>
      </c>
      <c r="G711" s="0" t="s">
        <v>1719</v>
      </c>
      <c r="H711" s="0" t="s">
        <v>107</v>
      </c>
      <c r="I711" s="3" t="s">
        <v>2322</v>
      </c>
      <c r="J711" s="0" t="s">
        <v>2347</v>
      </c>
      <c r="K711" s="0" t="s">
        <v>71</v>
      </c>
      <c r="L711" s="4" t="n">
        <v>51293</v>
      </c>
      <c r="M711" s="0" t="s">
        <v>110</v>
      </c>
      <c r="N711" s="0" t="s">
        <v>50</v>
      </c>
      <c r="O711" s="5" t="n">
        <v>2</v>
      </c>
      <c r="P711" s="0" t="n">
        <v>5.1</v>
      </c>
      <c r="Q711" s="0" t="s">
        <v>2334</v>
      </c>
      <c r="R711" s="0" t="s">
        <v>93</v>
      </c>
      <c r="S711" s="0" t="s">
        <v>2340</v>
      </c>
      <c r="T711" s="0" t="s">
        <v>2343</v>
      </c>
      <c r="U711" s="5" t="n">
        <v>15</v>
      </c>
      <c r="V711" s="0" t="s">
        <v>55</v>
      </c>
      <c r="W711" s="0" t="s">
        <v>2328</v>
      </c>
      <c r="X711" s="0" t="s">
        <v>128</v>
      </c>
      <c r="Y711" s="0" t="s">
        <v>58</v>
      </c>
      <c r="Z711" s="0" t="s">
        <v>2329</v>
      </c>
      <c r="AA711" s="0" t="s">
        <v>79</v>
      </c>
      <c r="AB711" s="5" t="n">
        <v>30000</v>
      </c>
      <c r="AC711" s="5" t="n">
        <v>40000</v>
      </c>
      <c r="AD711" s="0" t="s">
        <v>63</v>
      </c>
      <c r="AE711" s="5" t="n">
        <v>5000</v>
      </c>
      <c r="AF711" s="0" t="s">
        <v>60</v>
      </c>
      <c r="AG711" s="7" t="s">
        <v>2330</v>
      </c>
      <c r="AH711" s="0" t="s">
        <v>63</v>
      </c>
      <c r="AI711" s="0" t="s">
        <v>2331</v>
      </c>
      <c r="AJ711" s="0" t="s">
        <v>2331</v>
      </c>
      <c r="AK711" s="0" t="s">
        <v>63</v>
      </c>
      <c r="AL711" s="0" t="s">
        <v>63</v>
      </c>
      <c r="AM711" s="0" t="s">
        <v>63</v>
      </c>
      <c r="AN711" s="0" t="s">
        <v>64</v>
      </c>
      <c r="AO711" s="0" t="s">
        <v>2359</v>
      </c>
    </row>
    <row r="712" customFormat="false" ht="15" hidden="false" customHeight="false" outlineLevel="0" collapsed="false">
      <c r="A712" s="0" t="s">
        <v>1720</v>
      </c>
      <c r="B712" s="2" t="s">
        <v>1342</v>
      </c>
      <c r="C712" s="0" t="s">
        <v>66</v>
      </c>
      <c r="D712" s="0" t="n">
        <v>8032517176</v>
      </c>
      <c r="E712" s="0" t="s">
        <v>67</v>
      </c>
      <c r="F712" s="0" t="s">
        <v>2316</v>
      </c>
      <c r="G712" s="0" t="s">
        <v>1721</v>
      </c>
      <c r="H712" s="0" t="s">
        <v>134</v>
      </c>
      <c r="I712" s="3" t="s">
        <v>2317</v>
      </c>
      <c r="J712" s="0" t="s">
        <v>2339</v>
      </c>
      <c r="K712" s="0" t="s">
        <v>109</v>
      </c>
      <c r="L712" s="4" t="n">
        <v>42675</v>
      </c>
      <c r="M712" s="0" t="s">
        <v>2333</v>
      </c>
      <c r="N712" s="0" t="s">
        <v>63</v>
      </c>
      <c r="O712" s="5" t="n">
        <v>1</v>
      </c>
      <c r="P712" s="0" t="n">
        <v>2.6</v>
      </c>
      <c r="Q712" s="0" t="s">
        <v>111</v>
      </c>
      <c r="R712" s="0" t="s">
        <v>93</v>
      </c>
      <c r="S712" s="0" t="s">
        <v>2366</v>
      </c>
      <c r="T712" s="0" t="s">
        <v>95</v>
      </c>
      <c r="U712" s="5" t="n">
        <v>45</v>
      </c>
      <c r="V712" s="0" t="s">
        <v>55</v>
      </c>
      <c r="W712" s="0" t="s">
        <v>155</v>
      </c>
      <c r="X712" s="0" t="s">
        <v>78</v>
      </c>
      <c r="Y712" s="0" t="s">
        <v>196</v>
      </c>
      <c r="Z712" s="0" t="s">
        <v>2329</v>
      </c>
      <c r="AA712" s="0" t="s">
        <v>143</v>
      </c>
      <c r="AB712" s="5" t="n">
        <v>30000</v>
      </c>
      <c r="AC712" s="5" t="n">
        <v>40000</v>
      </c>
      <c r="AD712" s="0" t="s">
        <v>50</v>
      </c>
      <c r="AE712" s="5" t="n">
        <v>5000</v>
      </c>
      <c r="AF712" s="0" t="s">
        <v>60</v>
      </c>
      <c r="AG712" s="7" t="s">
        <v>2371</v>
      </c>
      <c r="AH712" s="0" t="s">
        <v>50</v>
      </c>
      <c r="AI712" s="0" t="s">
        <v>116</v>
      </c>
      <c r="AJ712" s="0" t="s">
        <v>117</v>
      </c>
      <c r="AK712" s="0" t="s">
        <v>50</v>
      </c>
      <c r="AL712" s="0" t="s">
        <v>63</v>
      </c>
      <c r="AM712" s="0" t="s">
        <v>2344</v>
      </c>
      <c r="AN712" s="0" t="s">
        <v>64</v>
      </c>
      <c r="AO712" s="0" t="s">
        <v>50</v>
      </c>
    </row>
    <row r="713" customFormat="false" ht="15" hidden="false" customHeight="false" outlineLevel="0" collapsed="false">
      <c r="A713" s="0" t="s">
        <v>1722</v>
      </c>
      <c r="B713" s="2" t="s">
        <v>669</v>
      </c>
      <c r="C713" s="0" t="s">
        <v>66</v>
      </c>
      <c r="D713" s="0" t="n">
        <v>8073178094</v>
      </c>
      <c r="E713" s="0" t="s">
        <v>43</v>
      </c>
      <c r="F713" s="0" t="s">
        <v>2315</v>
      </c>
      <c r="G713" s="0" t="s">
        <v>1723</v>
      </c>
      <c r="H713" s="0" t="s">
        <v>87</v>
      </c>
      <c r="I713" s="3" t="s">
        <v>2317</v>
      </c>
      <c r="J713" s="0" t="s">
        <v>2349</v>
      </c>
      <c r="K713" s="0" t="s">
        <v>48</v>
      </c>
      <c r="L713" s="4" t="n">
        <v>97518</v>
      </c>
      <c r="M713" s="0" t="s">
        <v>110</v>
      </c>
      <c r="N713" s="0" t="s">
        <v>63</v>
      </c>
      <c r="O713" s="5" t="n">
        <v>5</v>
      </c>
      <c r="P713" s="0" t="n">
        <v>5.6</v>
      </c>
      <c r="Q713" s="0" t="s">
        <v>92</v>
      </c>
      <c r="R713" s="0" t="s">
        <v>52</v>
      </c>
      <c r="S713" s="0" t="s">
        <v>53</v>
      </c>
      <c r="T713" s="0" t="s">
        <v>2353</v>
      </c>
      <c r="U713" s="5" t="n">
        <v>15</v>
      </c>
      <c r="V713" s="0" t="s">
        <v>96</v>
      </c>
      <c r="W713" s="0" t="s">
        <v>2337</v>
      </c>
      <c r="X713" s="0" t="s">
        <v>78</v>
      </c>
      <c r="Y713" s="0" t="s">
        <v>114</v>
      </c>
      <c r="Z713" s="0" t="s">
        <v>177</v>
      </c>
      <c r="AA713" s="0" t="s">
        <v>149</v>
      </c>
      <c r="AB713" s="5" t="n">
        <v>30000</v>
      </c>
      <c r="AC713" s="5" t="n">
        <v>30000</v>
      </c>
      <c r="AD713" s="0" t="s">
        <v>50</v>
      </c>
      <c r="AE713" s="5" t="n">
        <v>0</v>
      </c>
      <c r="AF713" s="0" t="s">
        <v>60</v>
      </c>
      <c r="AG713" s="7" t="s">
        <v>2330</v>
      </c>
      <c r="AH713" s="0" t="s">
        <v>63</v>
      </c>
      <c r="AI713" s="0" t="s">
        <v>2331</v>
      </c>
      <c r="AJ713" s="0" t="s">
        <v>2320</v>
      </c>
      <c r="AK713" s="0" t="s">
        <v>50</v>
      </c>
      <c r="AL713" s="0" t="s">
        <v>2344</v>
      </c>
      <c r="AM713" s="0" t="s">
        <v>50</v>
      </c>
      <c r="AN713" s="0" t="s">
        <v>2321</v>
      </c>
      <c r="AO713" s="0" t="s">
        <v>50</v>
      </c>
    </row>
    <row r="714" customFormat="false" ht="15" hidden="false" customHeight="false" outlineLevel="0" collapsed="false">
      <c r="A714" s="0" t="s">
        <v>1724</v>
      </c>
      <c r="B714" s="2" t="s">
        <v>2486</v>
      </c>
      <c r="C714" s="0" t="s">
        <v>121</v>
      </c>
      <c r="D714" s="0" t="n">
        <v>8069240493</v>
      </c>
      <c r="E714" s="0" t="s">
        <v>67</v>
      </c>
      <c r="F714" s="0" t="s">
        <v>2316</v>
      </c>
      <c r="G714" s="0" t="s">
        <v>1725</v>
      </c>
      <c r="H714" s="0" t="s">
        <v>107</v>
      </c>
      <c r="I714" s="3" t="s">
        <v>87</v>
      </c>
      <c r="J714" s="0" t="s">
        <v>2339</v>
      </c>
      <c r="K714" s="0" t="s">
        <v>109</v>
      </c>
      <c r="L714" s="4" t="n">
        <v>102763</v>
      </c>
      <c r="M714" s="0" t="s">
        <v>49</v>
      </c>
      <c r="N714" s="0" t="s">
        <v>63</v>
      </c>
      <c r="O714" s="5" t="n">
        <v>2</v>
      </c>
      <c r="P714" s="0" t="n">
        <v>4.9</v>
      </c>
      <c r="Q714" s="0" t="s">
        <v>125</v>
      </c>
      <c r="R714" s="0" t="s">
        <v>93</v>
      </c>
      <c r="S714" s="0" t="s">
        <v>2340</v>
      </c>
      <c r="T714" s="0" t="s">
        <v>2343</v>
      </c>
      <c r="U714" s="5" t="n">
        <v>15</v>
      </c>
      <c r="V714" s="0" t="s">
        <v>112</v>
      </c>
      <c r="W714" s="0" t="s">
        <v>2328</v>
      </c>
      <c r="X714" s="0" t="s">
        <v>98</v>
      </c>
      <c r="Y714" s="0" t="s">
        <v>114</v>
      </c>
      <c r="Z714" s="0" t="s">
        <v>2326</v>
      </c>
      <c r="AA714" s="0" t="s">
        <v>161</v>
      </c>
      <c r="AB714" s="5" t="n">
        <v>30000</v>
      </c>
      <c r="AC714" s="5" t="n">
        <v>30000</v>
      </c>
      <c r="AD714" s="0" t="s">
        <v>50</v>
      </c>
      <c r="AE714" s="5" t="n">
        <v>5000</v>
      </c>
      <c r="AF714" s="0" t="s">
        <v>60</v>
      </c>
      <c r="AG714" s="7" t="s">
        <v>2330</v>
      </c>
      <c r="AH714" s="0" t="s">
        <v>63</v>
      </c>
      <c r="AI714" s="0" t="s">
        <v>171</v>
      </c>
      <c r="AJ714" s="0" t="s">
        <v>2331</v>
      </c>
      <c r="AK714" s="0" t="s">
        <v>2344</v>
      </c>
      <c r="AL714" s="0" t="s">
        <v>50</v>
      </c>
      <c r="AM714" s="0" t="s">
        <v>2344</v>
      </c>
      <c r="AN714" s="0" t="s">
        <v>2321</v>
      </c>
      <c r="AO714" s="0" t="s">
        <v>2359</v>
      </c>
    </row>
    <row r="715" customFormat="false" ht="15" hidden="false" customHeight="false" outlineLevel="0" collapsed="false">
      <c r="A715" s="0" t="s">
        <v>1726</v>
      </c>
      <c r="B715" s="2" t="s">
        <v>1865</v>
      </c>
      <c r="C715" s="0" t="s">
        <v>42</v>
      </c>
      <c r="D715" s="0" t="n">
        <v>8066733465</v>
      </c>
      <c r="E715" s="0" t="s">
        <v>43</v>
      </c>
      <c r="F715" s="0" t="s">
        <v>2315</v>
      </c>
      <c r="G715" s="0" t="s">
        <v>1727</v>
      </c>
      <c r="H715" s="0" t="s">
        <v>134</v>
      </c>
      <c r="I715" s="3" t="s">
        <v>2322</v>
      </c>
      <c r="J715" s="0" t="s">
        <v>189</v>
      </c>
      <c r="K715" s="0" t="s">
        <v>109</v>
      </c>
      <c r="L715" s="4" t="n">
        <v>18621</v>
      </c>
      <c r="M715" s="0" t="s">
        <v>110</v>
      </c>
      <c r="N715" s="0" t="s">
        <v>50</v>
      </c>
      <c r="O715" s="5" t="n">
        <v>3.14406779661017</v>
      </c>
      <c r="P715" s="0" t="n">
        <v>4.7</v>
      </c>
      <c r="Q715" s="0" t="s">
        <v>125</v>
      </c>
      <c r="R715" s="0" t="s">
        <v>93</v>
      </c>
      <c r="S715" s="0" t="s">
        <v>53</v>
      </c>
      <c r="T715" s="0" t="s">
        <v>2343</v>
      </c>
      <c r="U715" s="5" t="n">
        <v>45</v>
      </c>
      <c r="V715" s="0" t="s">
        <v>96</v>
      </c>
      <c r="W715" s="0" t="s">
        <v>155</v>
      </c>
      <c r="X715" s="0" t="s">
        <v>98</v>
      </c>
      <c r="Y715" s="0" t="s">
        <v>114</v>
      </c>
      <c r="Z715" s="0" t="s">
        <v>2324</v>
      </c>
      <c r="AA715" s="0" t="s">
        <v>161</v>
      </c>
      <c r="AB715" s="5" t="n">
        <v>30000</v>
      </c>
      <c r="AC715" s="5" t="n">
        <v>40000</v>
      </c>
      <c r="AD715" s="0" t="s">
        <v>50</v>
      </c>
      <c r="AE715" s="5" t="n">
        <v>0</v>
      </c>
      <c r="AF715" s="0" t="s">
        <v>60</v>
      </c>
      <c r="AG715" s="7" t="s">
        <v>2330</v>
      </c>
      <c r="AH715" s="0" t="s">
        <v>50</v>
      </c>
      <c r="AI715" s="0" t="s">
        <v>2331</v>
      </c>
      <c r="AJ715" s="0" t="s">
        <v>2331</v>
      </c>
      <c r="AK715" s="0" t="s">
        <v>63</v>
      </c>
      <c r="AL715" s="0" t="s">
        <v>63</v>
      </c>
      <c r="AM715" s="0" t="s">
        <v>63</v>
      </c>
      <c r="AN715" s="0" t="s">
        <v>2321</v>
      </c>
      <c r="AO715" s="0" t="s">
        <v>2359</v>
      </c>
    </row>
    <row r="716" customFormat="false" ht="15" hidden="false" customHeight="false" outlineLevel="0" collapsed="false">
      <c r="A716" s="0" t="s">
        <v>1728</v>
      </c>
      <c r="B716" s="2" t="s">
        <v>2473</v>
      </c>
      <c r="C716" s="0" t="s">
        <v>42</v>
      </c>
      <c r="D716" s="0" t="n">
        <v>8077819218</v>
      </c>
      <c r="E716" s="0" t="s">
        <v>122</v>
      </c>
      <c r="F716" s="0" t="s">
        <v>2316</v>
      </c>
      <c r="G716" s="0" t="s">
        <v>1729</v>
      </c>
      <c r="H716" s="0" t="s">
        <v>134</v>
      </c>
      <c r="I716" s="3" t="s">
        <v>2317</v>
      </c>
      <c r="J716" s="0" t="s">
        <v>2347</v>
      </c>
      <c r="K716" s="0" t="s">
        <v>48</v>
      </c>
      <c r="L716" s="4" t="n">
        <v>51506</v>
      </c>
      <c r="M716" s="0" t="s">
        <v>110</v>
      </c>
      <c r="N716" s="0" t="s">
        <v>63</v>
      </c>
      <c r="O716" s="5" t="n">
        <v>4</v>
      </c>
      <c r="P716" s="0" t="n">
        <v>5</v>
      </c>
      <c r="Q716" s="0" t="s">
        <v>111</v>
      </c>
      <c r="R716" s="0" t="s">
        <v>73</v>
      </c>
      <c r="S716" s="0" t="s">
        <v>53</v>
      </c>
      <c r="T716" s="0" t="s">
        <v>75</v>
      </c>
      <c r="U716" s="5" t="n">
        <v>45</v>
      </c>
      <c r="V716" s="0" t="s">
        <v>96</v>
      </c>
      <c r="W716" s="0" t="s">
        <v>148</v>
      </c>
      <c r="X716" s="0" t="s">
        <v>128</v>
      </c>
      <c r="Y716" s="0" t="s">
        <v>58</v>
      </c>
      <c r="Z716" s="0" t="s">
        <v>2329</v>
      </c>
      <c r="AA716" s="0" t="s">
        <v>161</v>
      </c>
      <c r="AB716" s="5" t="n">
        <v>20000</v>
      </c>
      <c r="AC716" s="5" t="n">
        <v>30000</v>
      </c>
      <c r="AD716" s="0" t="s">
        <v>63</v>
      </c>
      <c r="AE716" s="5" t="n">
        <v>5000</v>
      </c>
      <c r="AF716" s="0" t="s">
        <v>184</v>
      </c>
      <c r="AG716" s="7" t="s">
        <v>1097</v>
      </c>
      <c r="AH716" s="0" t="s">
        <v>50</v>
      </c>
      <c r="AI716" s="0" t="s">
        <v>2331</v>
      </c>
      <c r="AJ716" s="0" t="s">
        <v>2331</v>
      </c>
      <c r="AK716" s="0" t="s">
        <v>50</v>
      </c>
      <c r="AL716" s="0" t="s">
        <v>50</v>
      </c>
      <c r="AM716" s="0" t="s">
        <v>50</v>
      </c>
      <c r="AN716" s="0" t="s">
        <v>2318</v>
      </c>
      <c r="AO716" s="0" t="s">
        <v>50</v>
      </c>
    </row>
    <row r="717" customFormat="false" ht="15" hidden="false" customHeight="false" outlineLevel="0" collapsed="false">
      <c r="A717" s="0" t="s">
        <v>1730</v>
      </c>
      <c r="B717" s="2" t="s">
        <v>2162</v>
      </c>
      <c r="C717" s="0" t="s">
        <v>105</v>
      </c>
      <c r="D717" s="0" t="n">
        <v>8091791507</v>
      </c>
      <c r="E717" s="0" t="s">
        <v>67</v>
      </c>
      <c r="F717" s="0" t="s">
        <v>2316</v>
      </c>
      <c r="G717" s="0" t="s">
        <v>1731</v>
      </c>
      <c r="H717" s="0" t="s">
        <v>134</v>
      </c>
      <c r="I717" s="3" t="s">
        <v>2317</v>
      </c>
      <c r="J717" s="0" t="s">
        <v>189</v>
      </c>
      <c r="K717" s="0" t="s">
        <v>48</v>
      </c>
      <c r="L717" s="4" t="n">
        <v>112820</v>
      </c>
      <c r="M717" s="0" t="s">
        <v>110</v>
      </c>
      <c r="N717" s="0" t="s">
        <v>50</v>
      </c>
      <c r="O717" s="5" t="n">
        <v>2</v>
      </c>
      <c r="P717" s="0" t="n">
        <v>6</v>
      </c>
      <c r="Q717" s="0" t="s">
        <v>51</v>
      </c>
      <c r="R717" s="0" t="s">
        <v>52</v>
      </c>
      <c r="S717" s="0" t="s">
        <v>53</v>
      </c>
      <c r="T717" s="0" t="s">
        <v>2353</v>
      </c>
      <c r="U717" s="5" t="n">
        <v>45</v>
      </c>
      <c r="V717" s="0" t="s">
        <v>112</v>
      </c>
      <c r="W717" s="0" t="s">
        <v>148</v>
      </c>
      <c r="X717" s="0" t="s">
        <v>128</v>
      </c>
      <c r="Y717" s="0" t="s">
        <v>58</v>
      </c>
      <c r="Z717" s="0" t="s">
        <v>2326</v>
      </c>
      <c r="AA717" s="0" t="s">
        <v>2329</v>
      </c>
      <c r="AB717" s="5" t="n">
        <v>30000</v>
      </c>
      <c r="AC717" s="5" t="n">
        <v>30000</v>
      </c>
      <c r="AD717" s="0" t="s">
        <v>50</v>
      </c>
      <c r="AE717" s="5" t="n">
        <v>0</v>
      </c>
      <c r="AF717" s="0" t="s">
        <v>130</v>
      </c>
      <c r="AG717" s="7" t="s">
        <v>2361</v>
      </c>
      <c r="AH717" s="0" t="s">
        <v>2329</v>
      </c>
      <c r="AI717" s="0" t="s">
        <v>116</v>
      </c>
      <c r="AJ717" s="0" t="s">
        <v>2320</v>
      </c>
      <c r="AK717" s="0" t="s">
        <v>50</v>
      </c>
      <c r="AL717" s="0" t="s">
        <v>63</v>
      </c>
      <c r="AM717" s="0" t="s">
        <v>63</v>
      </c>
      <c r="AN717" s="0" t="s">
        <v>2321</v>
      </c>
      <c r="AO717" s="0" t="s">
        <v>50</v>
      </c>
    </row>
    <row r="718" customFormat="false" ht="15" hidden="false" customHeight="false" outlineLevel="0" collapsed="false">
      <c r="A718" s="0" t="s">
        <v>1732</v>
      </c>
      <c r="B718" s="2" t="s">
        <v>299</v>
      </c>
      <c r="C718" s="0" t="s">
        <v>105</v>
      </c>
      <c r="D718" s="0" t="n">
        <v>8068174055</v>
      </c>
      <c r="E718" s="0" t="s">
        <v>67</v>
      </c>
      <c r="F718" s="0" t="s">
        <v>2316</v>
      </c>
      <c r="G718" s="0" t="s">
        <v>1733</v>
      </c>
      <c r="H718" s="0" t="s">
        <v>87</v>
      </c>
      <c r="I718" s="3" t="s">
        <v>2322</v>
      </c>
      <c r="J718" s="0" t="s">
        <v>2341</v>
      </c>
      <c r="K718" s="0" t="s">
        <v>48</v>
      </c>
      <c r="L718" s="4" t="n">
        <v>32560</v>
      </c>
      <c r="M718" s="0" t="s">
        <v>49</v>
      </c>
      <c r="N718" s="0" t="s">
        <v>63</v>
      </c>
      <c r="O718" s="5" t="n">
        <v>2</v>
      </c>
      <c r="P718" s="0" t="n">
        <v>1.6</v>
      </c>
      <c r="Q718" s="0" t="s">
        <v>125</v>
      </c>
      <c r="R718" s="0" t="s">
        <v>52</v>
      </c>
      <c r="S718" s="0" t="s">
        <v>53</v>
      </c>
      <c r="T718" s="0" t="s">
        <v>75</v>
      </c>
      <c r="U718" s="5" t="n">
        <v>15</v>
      </c>
      <c r="V718" s="0" t="s">
        <v>112</v>
      </c>
      <c r="W718" s="0" t="s">
        <v>155</v>
      </c>
      <c r="X718" s="0" t="s">
        <v>128</v>
      </c>
      <c r="Y718" s="0" t="s">
        <v>196</v>
      </c>
      <c r="Z718" s="0" t="s">
        <v>2326</v>
      </c>
      <c r="AA718" s="0" t="s">
        <v>161</v>
      </c>
      <c r="AB718" s="5" t="n">
        <v>15000</v>
      </c>
      <c r="AC718" s="5" t="n">
        <v>30000</v>
      </c>
      <c r="AD718" s="0" t="s">
        <v>50</v>
      </c>
      <c r="AE718" s="5" t="n">
        <v>0</v>
      </c>
      <c r="AF718" s="0" t="s">
        <v>130</v>
      </c>
      <c r="AG718" s="7" t="s">
        <v>2357</v>
      </c>
      <c r="AH718" s="0" t="s">
        <v>63</v>
      </c>
      <c r="AI718" s="0" t="s">
        <v>2331</v>
      </c>
      <c r="AJ718" s="0" t="s">
        <v>2331</v>
      </c>
      <c r="AK718" s="0" t="s">
        <v>50</v>
      </c>
      <c r="AL718" s="0" t="s">
        <v>2344</v>
      </c>
      <c r="AM718" s="0" t="s">
        <v>63</v>
      </c>
      <c r="AN718" s="0" t="s">
        <v>64</v>
      </c>
      <c r="AO718" s="0" t="s">
        <v>2359</v>
      </c>
    </row>
    <row r="719" customFormat="false" ht="15" hidden="false" customHeight="false" outlineLevel="0" collapsed="false">
      <c r="A719" s="0" t="s">
        <v>1734</v>
      </c>
      <c r="B719" s="2" t="s">
        <v>2471</v>
      </c>
      <c r="C719" s="0" t="s">
        <v>163</v>
      </c>
      <c r="D719" s="0" t="n">
        <v>8030921653</v>
      </c>
      <c r="E719" s="0" t="s">
        <v>85</v>
      </c>
      <c r="F719" s="0" t="s">
        <v>2319</v>
      </c>
      <c r="G719" s="0" t="s">
        <v>1735</v>
      </c>
      <c r="H719" s="0" t="s">
        <v>87</v>
      </c>
      <c r="I719" s="3" t="s">
        <v>87</v>
      </c>
      <c r="J719" s="0" t="s">
        <v>2341</v>
      </c>
      <c r="K719" s="0" t="s">
        <v>48</v>
      </c>
      <c r="L719" s="4" t="n">
        <v>15543</v>
      </c>
      <c r="M719" s="0" t="s">
        <v>110</v>
      </c>
      <c r="N719" s="0" t="s">
        <v>50</v>
      </c>
      <c r="O719" s="5" t="n">
        <v>1</v>
      </c>
      <c r="P719" s="0" t="n">
        <v>1.8</v>
      </c>
      <c r="Q719" s="0" t="s">
        <v>2334</v>
      </c>
      <c r="R719" s="0" t="s">
        <v>73</v>
      </c>
      <c r="S719" s="0" t="s">
        <v>2340</v>
      </c>
      <c r="T719" s="0" t="s">
        <v>2353</v>
      </c>
      <c r="U719" s="5" t="n">
        <v>30</v>
      </c>
      <c r="V719" s="0" t="s">
        <v>2336</v>
      </c>
      <c r="W719" s="0" t="s">
        <v>155</v>
      </c>
      <c r="X719" s="0" t="s">
        <v>98</v>
      </c>
      <c r="Y719" s="0" t="s">
        <v>196</v>
      </c>
      <c r="Z719" s="0" t="s">
        <v>2329</v>
      </c>
      <c r="AA719" s="0" t="s">
        <v>161</v>
      </c>
      <c r="AB719" s="5" t="n">
        <v>25000</v>
      </c>
      <c r="AC719" s="5" t="n">
        <v>40000</v>
      </c>
      <c r="AD719" s="0" t="s">
        <v>63</v>
      </c>
      <c r="AE719" s="5" t="n">
        <v>0</v>
      </c>
      <c r="AF719" s="0" t="s">
        <v>130</v>
      </c>
      <c r="AG719" s="7" t="s">
        <v>2330</v>
      </c>
      <c r="AH719" s="0" t="s">
        <v>63</v>
      </c>
      <c r="AI719" s="0" t="s">
        <v>171</v>
      </c>
      <c r="AJ719" s="0" t="s">
        <v>172</v>
      </c>
      <c r="AK719" s="0" t="s">
        <v>2344</v>
      </c>
      <c r="AL719" s="0" t="s">
        <v>2344</v>
      </c>
      <c r="AM719" s="0" t="s">
        <v>50</v>
      </c>
      <c r="AN719" s="0" t="s">
        <v>2321</v>
      </c>
      <c r="AO719" s="0" t="s">
        <v>50</v>
      </c>
    </row>
    <row r="720" customFormat="false" ht="15" hidden="false" customHeight="false" outlineLevel="0" collapsed="false">
      <c r="A720" s="0" t="s">
        <v>1736</v>
      </c>
      <c r="B720" s="2" t="s">
        <v>1483</v>
      </c>
      <c r="C720" s="0" t="s">
        <v>163</v>
      </c>
      <c r="D720" s="0" t="n">
        <v>8074693042</v>
      </c>
      <c r="E720" s="0" t="s">
        <v>122</v>
      </c>
      <c r="F720" s="0" t="s">
        <v>2316</v>
      </c>
      <c r="G720" s="0" t="s">
        <v>1737</v>
      </c>
      <c r="H720" s="0" t="s">
        <v>45</v>
      </c>
      <c r="I720" s="3" t="s">
        <v>2317</v>
      </c>
      <c r="J720" s="0" t="s">
        <v>2339</v>
      </c>
      <c r="K720" s="0" t="s">
        <v>109</v>
      </c>
      <c r="L720" s="4" t="n">
        <v>43491</v>
      </c>
      <c r="M720" s="0" t="s">
        <v>110</v>
      </c>
      <c r="N720" s="0" t="s">
        <v>50</v>
      </c>
      <c r="O720" s="5" t="n">
        <v>2</v>
      </c>
      <c r="P720" s="0" t="n">
        <v>5</v>
      </c>
      <c r="Q720" s="0" t="s">
        <v>2334</v>
      </c>
      <c r="R720" s="0" t="s">
        <v>73</v>
      </c>
      <c r="S720" s="0" t="s">
        <v>2366</v>
      </c>
      <c r="T720" s="0" t="s">
        <v>2343</v>
      </c>
      <c r="U720" s="5" t="n">
        <v>15</v>
      </c>
      <c r="V720" s="0" t="s">
        <v>96</v>
      </c>
      <c r="W720" s="0" t="s">
        <v>2328</v>
      </c>
      <c r="X720" s="0" t="s">
        <v>128</v>
      </c>
      <c r="Y720" s="0" t="s">
        <v>196</v>
      </c>
      <c r="Z720" s="0" t="s">
        <v>59</v>
      </c>
      <c r="AA720" s="0" t="s">
        <v>2329</v>
      </c>
      <c r="AB720" s="5" t="n">
        <v>23289.4736842105</v>
      </c>
      <c r="AC720" s="5" t="n">
        <v>30000</v>
      </c>
      <c r="AD720" s="0" t="s">
        <v>63</v>
      </c>
      <c r="AE720" s="5" t="n">
        <v>0</v>
      </c>
      <c r="AF720" s="0" t="s">
        <v>184</v>
      </c>
      <c r="AG720" s="7" t="s">
        <v>552</v>
      </c>
      <c r="AH720" s="0" t="s">
        <v>50</v>
      </c>
      <c r="AI720" s="0" t="s">
        <v>2331</v>
      </c>
      <c r="AJ720" s="0" t="s">
        <v>2331</v>
      </c>
      <c r="AK720" s="0" t="s">
        <v>63</v>
      </c>
      <c r="AL720" s="0" t="s">
        <v>2344</v>
      </c>
      <c r="AM720" s="0" t="s">
        <v>63</v>
      </c>
      <c r="AN720" s="0" t="s">
        <v>2321</v>
      </c>
      <c r="AO720" s="0" t="s">
        <v>50</v>
      </c>
    </row>
    <row r="721" customFormat="false" ht="15" hidden="false" customHeight="false" outlineLevel="0" collapsed="false">
      <c r="A721" s="0" t="s">
        <v>1738</v>
      </c>
      <c r="B721" s="2" t="s">
        <v>626</v>
      </c>
      <c r="C721" s="0" t="s">
        <v>105</v>
      </c>
      <c r="D721" s="0" t="n">
        <v>8012658997</v>
      </c>
      <c r="E721" s="0" t="s">
        <v>122</v>
      </c>
      <c r="F721" s="0" t="s">
        <v>2316</v>
      </c>
      <c r="G721" s="0" t="s">
        <v>318</v>
      </c>
      <c r="H721" s="0" t="s">
        <v>134</v>
      </c>
      <c r="I721" s="3" t="s">
        <v>2342</v>
      </c>
      <c r="J721" s="0" t="s">
        <v>2347</v>
      </c>
      <c r="K721" s="0" t="s">
        <v>48</v>
      </c>
      <c r="L721" s="4" t="n">
        <v>90027</v>
      </c>
      <c r="M721" s="0" t="s">
        <v>2333</v>
      </c>
      <c r="N721" s="0" t="s">
        <v>63</v>
      </c>
      <c r="O721" s="5" t="n">
        <v>2</v>
      </c>
      <c r="P721" s="0" t="n">
        <v>5.8</v>
      </c>
      <c r="Q721" s="0" t="s">
        <v>2334</v>
      </c>
      <c r="R721" s="0" t="s">
        <v>73</v>
      </c>
      <c r="S721" s="0" t="s">
        <v>53</v>
      </c>
      <c r="T721" s="0" t="s">
        <v>95</v>
      </c>
      <c r="U721" s="5" t="n">
        <v>39.4736842105263</v>
      </c>
      <c r="V721" s="0" t="s">
        <v>55</v>
      </c>
      <c r="W721" s="0" t="s">
        <v>2337</v>
      </c>
      <c r="X721" s="0" t="s">
        <v>78</v>
      </c>
      <c r="Y721" s="0" t="s">
        <v>114</v>
      </c>
      <c r="Z721" s="0" t="s">
        <v>2326</v>
      </c>
      <c r="AA721" s="0" t="s">
        <v>2329</v>
      </c>
      <c r="AB721" s="5" t="n">
        <v>25000</v>
      </c>
      <c r="AC721" s="5" t="n">
        <v>31260.6837606838</v>
      </c>
      <c r="AD721" s="0" t="s">
        <v>50</v>
      </c>
      <c r="AE721" s="5" t="n">
        <v>5000</v>
      </c>
      <c r="AF721" s="0" t="s">
        <v>184</v>
      </c>
      <c r="AG721" s="7" t="s">
        <v>2499</v>
      </c>
      <c r="AH721" s="0" t="s">
        <v>2329</v>
      </c>
      <c r="AI721" s="0" t="s">
        <v>116</v>
      </c>
      <c r="AJ721" s="0" t="s">
        <v>117</v>
      </c>
      <c r="AK721" s="0" t="s">
        <v>2344</v>
      </c>
      <c r="AL721" s="0" t="s">
        <v>50</v>
      </c>
      <c r="AM721" s="0" t="s">
        <v>2344</v>
      </c>
      <c r="AN721" s="0" t="s">
        <v>2321</v>
      </c>
      <c r="AO721" s="0" t="s">
        <v>2359</v>
      </c>
    </row>
    <row r="722" customFormat="false" ht="15" hidden="false" customHeight="false" outlineLevel="0" collapsed="false">
      <c r="A722" s="0" t="s">
        <v>1739</v>
      </c>
      <c r="B722" s="2" t="s">
        <v>2332</v>
      </c>
      <c r="C722" s="0" t="s">
        <v>121</v>
      </c>
      <c r="D722" s="0" t="n">
        <v>8061193233</v>
      </c>
      <c r="E722" s="0" t="s">
        <v>43</v>
      </c>
      <c r="F722" s="0" t="s">
        <v>2315</v>
      </c>
      <c r="G722" s="0" t="s">
        <v>1740</v>
      </c>
      <c r="H722" s="0" t="s">
        <v>134</v>
      </c>
      <c r="I722" s="3" t="s">
        <v>2342</v>
      </c>
      <c r="J722" s="0" t="s">
        <v>2341</v>
      </c>
      <c r="K722" s="0" t="s">
        <v>90</v>
      </c>
      <c r="L722" s="4" t="n">
        <v>89803</v>
      </c>
      <c r="M722" s="0" t="s">
        <v>110</v>
      </c>
      <c r="N722" s="0" t="s">
        <v>63</v>
      </c>
      <c r="O722" s="5" t="n">
        <v>1</v>
      </c>
      <c r="P722" s="0" t="n">
        <v>3.4</v>
      </c>
      <c r="Q722" s="0" t="s">
        <v>125</v>
      </c>
      <c r="R722" s="0" t="s">
        <v>52</v>
      </c>
      <c r="S722" s="0" t="s">
        <v>53</v>
      </c>
      <c r="T722" s="0" t="s">
        <v>2343</v>
      </c>
      <c r="U722" s="5" t="n">
        <v>60</v>
      </c>
      <c r="V722" s="0" t="s">
        <v>112</v>
      </c>
      <c r="W722" s="0" t="s">
        <v>155</v>
      </c>
      <c r="X722" s="0" t="s">
        <v>98</v>
      </c>
      <c r="Y722" s="0" t="s">
        <v>99</v>
      </c>
      <c r="Z722" s="0" t="s">
        <v>2326</v>
      </c>
      <c r="AA722" s="0" t="s">
        <v>161</v>
      </c>
      <c r="AB722" s="5" t="n">
        <v>40000</v>
      </c>
      <c r="AC722" s="5" t="n">
        <v>20000</v>
      </c>
      <c r="AD722" s="0" t="s">
        <v>50</v>
      </c>
      <c r="AE722" s="5" t="n">
        <v>10000</v>
      </c>
      <c r="AF722" s="0" t="s">
        <v>60</v>
      </c>
      <c r="AG722" s="7" t="s">
        <v>298</v>
      </c>
      <c r="AH722" s="0" t="s">
        <v>50</v>
      </c>
      <c r="AI722" s="0" t="s">
        <v>116</v>
      </c>
      <c r="AJ722" s="0" t="s">
        <v>117</v>
      </c>
      <c r="AK722" s="0" t="s">
        <v>2344</v>
      </c>
      <c r="AL722" s="0" t="s">
        <v>50</v>
      </c>
      <c r="AM722" s="0" t="s">
        <v>63</v>
      </c>
      <c r="AN722" s="0" t="s">
        <v>2321</v>
      </c>
      <c r="AO722" s="0" t="s">
        <v>50</v>
      </c>
    </row>
    <row r="723" customFormat="false" ht="15" hidden="false" customHeight="false" outlineLevel="0" collapsed="false">
      <c r="A723" s="0" t="s">
        <v>1741</v>
      </c>
      <c r="B723" s="2" t="s">
        <v>592</v>
      </c>
      <c r="C723" s="0" t="s">
        <v>163</v>
      </c>
      <c r="D723" s="0" t="n">
        <v>8067364292</v>
      </c>
      <c r="E723" s="0" t="s">
        <v>85</v>
      </c>
      <c r="F723" s="0" t="s">
        <v>2319</v>
      </c>
      <c r="G723" s="0" t="s">
        <v>1742</v>
      </c>
      <c r="H723" s="0" t="s">
        <v>69</v>
      </c>
      <c r="I723" s="3" t="s">
        <v>2342</v>
      </c>
      <c r="J723" s="0" t="s">
        <v>47</v>
      </c>
      <c r="K723" s="0" t="s">
        <v>90</v>
      </c>
      <c r="L723" s="4" t="n">
        <v>75776</v>
      </c>
      <c r="M723" s="0" t="s">
        <v>110</v>
      </c>
      <c r="N723" s="0" t="s">
        <v>63</v>
      </c>
      <c r="O723" s="5" t="n">
        <v>3</v>
      </c>
      <c r="P723" s="0" t="n">
        <v>1</v>
      </c>
      <c r="Q723" s="0" t="s">
        <v>111</v>
      </c>
      <c r="R723" s="0" t="s">
        <v>52</v>
      </c>
      <c r="S723" s="0" t="s">
        <v>2366</v>
      </c>
      <c r="T723" s="0" t="s">
        <v>54</v>
      </c>
      <c r="U723" s="5" t="n">
        <v>45</v>
      </c>
      <c r="V723" s="0" t="s">
        <v>2336</v>
      </c>
      <c r="W723" s="0" t="s">
        <v>155</v>
      </c>
      <c r="X723" s="0" t="s">
        <v>128</v>
      </c>
      <c r="Y723" s="0" t="s">
        <v>114</v>
      </c>
      <c r="Z723" s="0" t="s">
        <v>59</v>
      </c>
      <c r="AA723" s="0" t="s">
        <v>161</v>
      </c>
      <c r="AB723" s="5" t="n">
        <v>30000</v>
      </c>
      <c r="AC723" s="5" t="n">
        <v>40000</v>
      </c>
      <c r="AD723" s="0" t="s">
        <v>63</v>
      </c>
      <c r="AE723" s="5" t="n">
        <v>5000</v>
      </c>
      <c r="AF723" s="0" t="s">
        <v>60</v>
      </c>
      <c r="AG723" s="7" t="s">
        <v>2355</v>
      </c>
      <c r="AH723" s="0" t="s">
        <v>50</v>
      </c>
      <c r="AI723" s="0" t="s">
        <v>116</v>
      </c>
      <c r="AJ723" s="0" t="s">
        <v>2320</v>
      </c>
      <c r="AK723" s="0" t="s">
        <v>2344</v>
      </c>
      <c r="AL723" s="0" t="s">
        <v>63</v>
      </c>
      <c r="AM723" s="0" t="s">
        <v>50</v>
      </c>
      <c r="AN723" s="0" t="s">
        <v>2321</v>
      </c>
      <c r="AO723" s="0" t="s">
        <v>2359</v>
      </c>
    </row>
    <row r="724" customFormat="false" ht="15" hidden="false" customHeight="false" outlineLevel="0" collapsed="false">
      <c r="A724" s="0" t="s">
        <v>1743</v>
      </c>
      <c r="B724" s="2" t="s">
        <v>248</v>
      </c>
      <c r="C724" s="0" t="s">
        <v>163</v>
      </c>
      <c r="D724" s="0" t="n">
        <v>8021171324</v>
      </c>
      <c r="E724" s="0" t="s">
        <v>43</v>
      </c>
      <c r="F724" s="0" t="s">
        <v>2315</v>
      </c>
      <c r="G724" s="0" t="s">
        <v>1744</v>
      </c>
      <c r="H724" s="0" t="s">
        <v>69</v>
      </c>
      <c r="I724" s="3" t="s">
        <v>2322</v>
      </c>
      <c r="J724" s="0" t="s">
        <v>189</v>
      </c>
      <c r="K724" s="0" t="s">
        <v>48</v>
      </c>
      <c r="L724" s="4" t="n">
        <v>14967</v>
      </c>
      <c r="M724" s="0" t="s">
        <v>110</v>
      </c>
      <c r="N724" s="0" t="s">
        <v>63</v>
      </c>
      <c r="O724" s="5" t="n">
        <v>3.17982456140351</v>
      </c>
      <c r="P724" s="0" t="n">
        <v>2.3</v>
      </c>
      <c r="Q724" s="0" t="s">
        <v>2334</v>
      </c>
      <c r="R724" s="0" t="s">
        <v>93</v>
      </c>
      <c r="S724" s="0" t="s">
        <v>2340</v>
      </c>
      <c r="T724" s="0" t="s">
        <v>2353</v>
      </c>
      <c r="U724" s="5" t="n">
        <v>38.7096774193548</v>
      </c>
      <c r="V724" s="0" t="s">
        <v>2336</v>
      </c>
      <c r="W724" s="0" t="s">
        <v>155</v>
      </c>
      <c r="X724" s="0" t="s">
        <v>98</v>
      </c>
      <c r="Y724" s="0" t="s">
        <v>196</v>
      </c>
      <c r="Z724" s="0" t="s">
        <v>2329</v>
      </c>
      <c r="AA724" s="0" t="s">
        <v>79</v>
      </c>
      <c r="AB724" s="5" t="n">
        <v>25925.9259259259</v>
      </c>
      <c r="AC724" s="5" t="n">
        <v>30000</v>
      </c>
      <c r="AD724" s="0" t="s">
        <v>63</v>
      </c>
      <c r="AE724" s="5" t="n">
        <v>10000</v>
      </c>
      <c r="AF724" s="0" t="s">
        <v>60</v>
      </c>
      <c r="AG724" s="7" t="s">
        <v>1667</v>
      </c>
      <c r="AH724" s="0" t="s">
        <v>50</v>
      </c>
      <c r="AI724" s="0" t="s">
        <v>171</v>
      </c>
      <c r="AJ724" s="0" t="s">
        <v>117</v>
      </c>
      <c r="AK724" s="0" t="s">
        <v>50</v>
      </c>
      <c r="AL724" s="0" t="s">
        <v>50</v>
      </c>
      <c r="AM724" s="0" t="s">
        <v>63</v>
      </c>
      <c r="AN724" s="0" t="s">
        <v>64</v>
      </c>
      <c r="AO724" s="0" t="s">
        <v>2359</v>
      </c>
    </row>
    <row r="725" customFormat="false" ht="15" hidden="false" customHeight="false" outlineLevel="0" collapsed="false">
      <c r="A725" s="0" t="s">
        <v>1745</v>
      </c>
      <c r="B725" s="2" t="s">
        <v>2409</v>
      </c>
      <c r="C725" s="0" t="s">
        <v>121</v>
      </c>
      <c r="D725" s="0" t="n">
        <v>8050296396</v>
      </c>
      <c r="E725" s="0" t="s">
        <v>43</v>
      </c>
      <c r="F725" s="0" t="s">
        <v>2315</v>
      </c>
      <c r="G725" s="0" t="s">
        <v>1746</v>
      </c>
      <c r="H725" s="0" t="s">
        <v>107</v>
      </c>
      <c r="I725" s="3" t="s">
        <v>2342</v>
      </c>
      <c r="J725" s="0" t="s">
        <v>2349</v>
      </c>
      <c r="K725" s="0" t="s">
        <v>90</v>
      </c>
      <c r="L725" s="4" t="n">
        <v>115884</v>
      </c>
      <c r="M725" s="0" t="s">
        <v>49</v>
      </c>
      <c r="N725" s="0" t="s">
        <v>63</v>
      </c>
      <c r="O725" s="5" t="n">
        <v>1</v>
      </c>
      <c r="P725" s="0" t="n">
        <v>2.2</v>
      </c>
      <c r="Q725" s="0" t="s">
        <v>51</v>
      </c>
      <c r="R725" s="0" t="s">
        <v>52</v>
      </c>
      <c r="S725" s="0" t="s">
        <v>2340</v>
      </c>
      <c r="T725" s="0" t="s">
        <v>2343</v>
      </c>
      <c r="U725" s="5" t="n">
        <v>30</v>
      </c>
      <c r="V725" s="0" t="s">
        <v>2336</v>
      </c>
      <c r="W725" s="0" t="s">
        <v>155</v>
      </c>
      <c r="X725" s="0" t="s">
        <v>98</v>
      </c>
      <c r="Y725" s="0" t="s">
        <v>114</v>
      </c>
      <c r="Z725" s="0" t="s">
        <v>2326</v>
      </c>
      <c r="AA725" s="0" t="s">
        <v>149</v>
      </c>
      <c r="AB725" s="5" t="n">
        <v>15000</v>
      </c>
      <c r="AC725" s="5" t="n">
        <v>35000</v>
      </c>
      <c r="AD725" s="0" t="s">
        <v>50</v>
      </c>
      <c r="AE725" s="5" t="n">
        <v>10000</v>
      </c>
      <c r="AF725" s="0" t="s">
        <v>130</v>
      </c>
      <c r="AG725" s="7" t="s">
        <v>2511</v>
      </c>
      <c r="AH725" s="0" t="s">
        <v>50</v>
      </c>
      <c r="AI725" s="0" t="s">
        <v>2331</v>
      </c>
      <c r="AJ725" s="0" t="s">
        <v>2320</v>
      </c>
      <c r="AK725" s="0" t="s">
        <v>50</v>
      </c>
      <c r="AL725" s="0" t="s">
        <v>63</v>
      </c>
      <c r="AM725" s="0" t="s">
        <v>2344</v>
      </c>
      <c r="AN725" s="0" t="s">
        <v>64</v>
      </c>
      <c r="AO725" s="0" t="s">
        <v>50</v>
      </c>
    </row>
    <row r="726" customFormat="false" ht="15" hidden="false" customHeight="false" outlineLevel="0" collapsed="false">
      <c r="A726" s="0" t="s">
        <v>1747</v>
      </c>
      <c r="B726" s="2" t="s">
        <v>1116</v>
      </c>
      <c r="C726" s="0" t="s">
        <v>42</v>
      </c>
      <c r="D726" s="0" t="n">
        <v>8089884158</v>
      </c>
      <c r="E726" s="0" t="s">
        <v>122</v>
      </c>
      <c r="F726" s="0" t="s">
        <v>2316</v>
      </c>
      <c r="G726" s="0" t="s">
        <v>1748</v>
      </c>
      <c r="H726" s="0" t="s">
        <v>69</v>
      </c>
      <c r="I726" s="3" t="s">
        <v>87</v>
      </c>
      <c r="J726" s="0" t="s">
        <v>2341</v>
      </c>
      <c r="K726" s="0" t="s">
        <v>109</v>
      </c>
      <c r="L726" s="4" t="n">
        <v>87286</v>
      </c>
      <c r="M726" s="0" t="s">
        <v>110</v>
      </c>
      <c r="N726" s="0" t="s">
        <v>50</v>
      </c>
      <c r="O726" s="5" t="n">
        <v>1</v>
      </c>
      <c r="P726" s="0" t="n">
        <v>1.3</v>
      </c>
      <c r="Q726" s="0" t="s">
        <v>2334</v>
      </c>
      <c r="R726" s="0" t="s">
        <v>93</v>
      </c>
      <c r="S726" s="0" t="s">
        <v>2366</v>
      </c>
      <c r="T726" s="0" t="s">
        <v>75</v>
      </c>
      <c r="U726" s="5" t="n">
        <v>45</v>
      </c>
      <c r="V726" s="0" t="s">
        <v>55</v>
      </c>
      <c r="W726" s="0" t="s">
        <v>2337</v>
      </c>
      <c r="X726" s="0" t="s">
        <v>78</v>
      </c>
      <c r="Y726" s="0" t="s">
        <v>99</v>
      </c>
      <c r="Z726" s="0" t="s">
        <v>2324</v>
      </c>
      <c r="AA726" s="0" t="s">
        <v>161</v>
      </c>
      <c r="AB726" s="5" t="n">
        <v>27386.3636363636</v>
      </c>
      <c r="AC726" s="5" t="n">
        <v>31260.8695652174</v>
      </c>
      <c r="AD726" s="0" t="s">
        <v>50</v>
      </c>
      <c r="AE726" s="5" t="n">
        <v>0</v>
      </c>
      <c r="AF726" s="0" t="s">
        <v>130</v>
      </c>
      <c r="AG726" s="7" t="s">
        <v>131</v>
      </c>
      <c r="AH726" s="0" t="s">
        <v>63</v>
      </c>
      <c r="AI726" s="0" t="s">
        <v>116</v>
      </c>
      <c r="AJ726" s="0" t="s">
        <v>2331</v>
      </c>
      <c r="AK726" s="0" t="s">
        <v>50</v>
      </c>
      <c r="AL726" s="0" t="s">
        <v>2344</v>
      </c>
      <c r="AM726" s="0" t="s">
        <v>2344</v>
      </c>
      <c r="AN726" s="0" t="s">
        <v>2318</v>
      </c>
      <c r="AO726" s="0" t="s">
        <v>50</v>
      </c>
    </row>
    <row r="727" customFormat="false" ht="15" hidden="false" customHeight="false" outlineLevel="0" collapsed="false">
      <c r="A727" s="0" t="s">
        <v>1749</v>
      </c>
      <c r="B727" s="2" t="s">
        <v>2497</v>
      </c>
      <c r="C727" s="0" t="s">
        <v>66</v>
      </c>
      <c r="D727" s="0" t="n">
        <v>8082101452</v>
      </c>
      <c r="E727" s="0" t="s">
        <v>85</v>
      </c>
      <c r="F727" s="0" t="s">
        <v>2319</v>
      </c>
      <c r="G727" s="0" t="s">
        <v>1750</v>
      </c>
      <c r="H727" s="0" t="s">
        <v>69</v>
      </c>
      <c r="I727" s="3" t="s">
        <v>87</v>
      </c>
      <c r="J727" s="0" t="s">
        <v>47</v>
      </c>
      <c r="K727" s="0" t="s">
        <v>109</v>
      </c>
      <c r="L727" s="4" t="n">
        <v>49010</v>
      </c>
      <c r="M727" s="0" t="s">
        <v>2333</v>
      </c>
      <c r="N727" s="0" t="s">
        <v>63</v>
      </c>
      <c r="O727" s="5" t="n">
        <v>3</v>
      </c>
      <c r="P727" s="0" t="n">
        <v>5.9</v>
      </c>
      <c r="Q727" s="0" t="s">
        <v>51</v>
      </c>
      <c r="R727" s="0" t="s">
        <v>52</v>
      </c>
      <c r="S727" s="0" t="s">
        <v>53</v>
      </c>
      <c r="T727" s="0" t="s">
        <v>95</v>
      </c>
      <c r="U727" s="5" t="n">
        <v>15</v>
      </c>
      <c r="V727" s="0" t="s">
        <v>2352</v>
      </c>
      <c r="W727" s="0" t="s">
        <v>155</v>
      </c>
      <c r="X727" s="0" t="s">
        <v>98</v>
      </c>
      <c r="Y727" s="0" t="s">
        <v>196</v>
      </c>
      <c r="Z727" s="0" t="s">
        <v>2324</v>
      </c>
      <c r="AA727" s="0" t="s">
        <v>149</v>
      </c>
      <c r="AB727" s="5" t="n">
        <v>25789.4736842105</v>
      </c>
      <c r="AC727" s="5" t="n">
        <v>31260.8695652174</v>
      </c>
      <c r="AD727" s="0" t="s">
        <v>50</v>
      </c>
      <c r="AE727" s="5" t="n">
        <v>0</v>
      </c>
      <c r="AF727" s="0" t="s">
        <v>130</v>
      </c>
      <c r="AG727" s="7" t="s">
        <v>2496</v>
      </c>
      <c r="AH727" s="0" t="s">
        <v>63</v>
      </c>
      <c r="AI727" s="0" t="s">
        <v>2331</v>
      </c>
      <c r="AJ727" s="0" t="s">
        <v>117</v>
      </c>
      <c r="AK727" s="0" t="s">
        <v>63</v>
      </c>
      <c r="AL727" s="0" t="s">
        <v>2344</v>
      </c>
      <c r="AM727" s="0" t="s">
        <v>50</v>
      </c>
      <c r="AN727" s="0" t="s">
        <v>64</v>
      </c>
      <c r="AO727" s="0" t="s">
        <v>50</v>
      </c>
    </row>
    <row r="728" customFormat="false" ht="15" hidden="false" customHeight="false" outlineLevel="0" collapsed="false">
      <c r="A728" s="0" t="s">
        <v>1751</v>
      </c>
      <c r="B728" s="2" t="s">
        <v>2417</v>
      </c>
      <c r="C728" s="0" t="s">
        <v>42</v>
      </c>
      <c r="D728" s="0" t="n">
        <v>8030508295</v>
      </c>
      <c r="E728" s="0" t="s">
        <v>43</v>
      </c>
      <c r="F728" s="0" t="s">
        <v>2315</v>
      </c>
      <c r="G728" s="0" t="s">
        <v>1752</v>
      </c>
      <c r="H728" s="0" t="s">
        <v>69</v>
      </c>
      <c r="I728" s="3" t="s">
        <v>87</v>
      </c>
      <c r="J728" s="0" t="s">
        <v>47</v>
      </c>
      <c r="K728" s="0" t="s">
        <v>48</v>
      </c>
      <c r="L728" s="4" t="n">
        <v>94749</v>
      </c>
      <c r="M728" s="0" t="s">
        <v>2333</v>
      </c>
      <c r="N728" s="0" t="s">
        <v>63</v>
      </c>
      <c r="O728" s="5" t="n">
        <v>2</v>
      </c>
      <c r="P728" s="0" t="n">
        <v>5.1</v>
      </c>
      <c r="Q728" s="0" t="s">
        <v>51</v>
      </c>
      <c r="R728" s="0" t="s">
        <v>52</v>
      </c>
      <c r="S728" s="0" t="s">
        <v>2335</v>
      </c>
      <c r="T728" s="0" t="s">
        <v>54</v>
      </c>
      <c r="U728" s="5" t="n">
        <v>45</v>
      </c>
      <c r="V728" s="0" t="s">
        <v>2336</v>
      </c>
      <c r="W728" s="0" t="s">
        <v>155</v>
      </c>
      <c r="X728" s="0" t="s">
        <v>98</v>
      </c>
      <c r="Y728" s="0" t="s">
        <v>114</v>
      </c>
      <c r="Z728" s="0" t="s">
        <v>2326</v>
      </c>
      <c r="AA728" s="0" t="s">
        <v>161</v>
      </c>
      <c r="AB728" s="5" t="n">
        <v>25789.4736842105</v>
      </c>
      <c r="AC728" s="5" t="n">
        <v>35000</v>
      </c>
      <c r="AD728" s="0" t="s">
        <v>50</v>
      </c>
      <c r="AE728" s="5" t="n">
        <v>5000</v>
      </c>
      <c r="AF728" s="0" t="s">
        <v>184</v>
      </c>
      <c r="AG728" s="7" t="s">
        <v>2330</v>
      </c>
      <c r="AH728" s="0" t="s">
        <v>63</v>
      </c>
      <c r="AI728" s="0" t="s">
        <v>2331</v>
      </c>
      <c r="AJ728" s="0" t="s">
        <v>117</v>
      </c>
      <c r="AK728" s="0" t="s">
        <v>50</v>
      </c>
      <c r="AL728" s="0" t="s">
        <v>63</v>
      </c>
      <c r="AM728" s="0" t="s">
        <v>2344</v>
      </c>
      <c r="AN728" s="0" t="s">
        <v>2321</v>
      </c>
      <c r="AO728" s="0" t="s">
        <v>63</v>
      </c>
    </row>
    <row r="729" customFormat="false" ht="15" hidden="false" customHeight="false" outlineLevel="0" collapsed="false">
      <c r="A729" s="0" t="s">
        <v>1753</v>
      </c>
      <c r="B729" s="2" t="s">
        <v>2474</v>
      </c>
      <c r="C729" s="0" t="s">
        <v>66</v>
      </c>
      <c r="D729" s="0" t="n">
        <v>8084202557</v>
      </c>
      <c r="E729" s="0" t="s">
        <v>67</v>
      </c>
      <c r="F729" s="0" t="s">
        <v>2316</v>
      </c>
      <c r="G729" s="0" t="s">
        <v>1384</v>
      </c>
      <c r="H729" s="0" t="s">
        <v>45</v>
      </c>
      <c r="I729" s="3" t="s">
        <v>2317</v>
      </c>
      <c r="J729" s="0" t="s">
        <v>2347</v>
      </c>
      <c r="K729" s="0" t="s">
        <v>48</v>
      </c>
      <c r="L729" s="4" t="n">
        <v>118806</v>
      </c>
      <c r="M729" s="0" t="s">
        <v>110</v>
      </c>
      <c r="N729" s="0" t="s">
        <v>63</v>
      </c>
      <c r="O729" s="5" t="n">
        <v>5</v>
      </c>
      <c r="P729" s="0" t="n">
        <v>4.8</v>
      </c>
      <c r="Q729" s="0" t="s">
        <v>92</v>
      </c>
      <c r="R729" s="0" t="s">
        <v>52</v>
      </c>
      <c r="S729" s="0" t="s">
        <v>53</v>
      </c>
      <c r="T729" s="0" t="s">
        <v>95</v>
      </c>
      <c r="U729" s="5" t="n">
        <v>60</v>
      </c>
      <c r="V729" s="0" t="s">
        <v>55</v>
      </c>
      <c r="W729" s="0" t="s">
        <v>155</v>
      </c>
      <c r="X729" s="0" t="s">
        <v>78</v>
      </c>
      <c r="Y729" s="0" t="s">
        <v>196</v>
      </c>
      <c r="Z729" s="0" t="s">
        <v>177</v>
      </c>
      <c r="AA729" s="0" t="s">
        <v>79</v>
      </c>
      <c r="AB729" s="5" t="n">
        <v>20000</v>
      </c>
      <c r="AC729" s="5" t="n">
        <v>35000</v>
      </c>
      <c r="AD729" s="0" t="s">
        <v>63</v>
      </c>
      <c r="AE729" s="5" t="n">
        <v>10000</v>
      </c>
      <c r="AF729" s="0" t="s">
        <v>60</v>
      </c>
      <c r="AG729" s="7" t="s">
        <v>2330</v>
      </c>
      <c r="AH729" s="0" t="s">
        <v>50</v>
      </c>
      <c r="AI729" s="0" t="s">
        <v>2331</v>
      </c>
      <c r="AJ729" s="0" t="s">
        <v>172</v>
      </c>
      <c r="AK729" s="0" t="s">
        <v>2344</v>
      </c>
      <c r="AL729" s="0" t="s">
        <v>50</v>
      </c>
      <c r="AM729" s="0" t="s">
        <v>63</v>
      </c>
      <c r="AN729" s="0" t="s">
        <v>2321</v>
      </c>
      <c r="AO729" s="0" t="s">
        <v>50</v>
      </c>
    </row>
    <row r="730" customFormat="false" ht="15" hidden="false" customHeight="false" outlineLevel="0" collapsed="false">
      <c r="A730" s="0" t="s">
        <v>1754</v>
      </c>
      <c r="B730" s="2" t="s">
        <v>1050</v>
      </c>
      <c r="C730" s="0" t="s">
        <v>121</v>
      </c>
      <c r="D730" s="0" t="n">
        <v>8033581963</v>
      </c>
      <c r="E730" s="0" t="s">
        <v>139</v>
      </c>
      <c r="F730" s="0" t="s">
        <v>2323</v>
      </c>
      <c r="G730" s="0" t="s">
        <v>1755</v>
      </c>
      <c r="H730" s="0" t="s">
        <v>69</v>
      </c>
      <c r="I730" s="3" t="s">
        <v>2322</v>
      </c>
      <c r="J730" s="0" t="s">
        <v>2347</v>
      </c>
      <c r="K730" s="0" t="s">
        <v>48</v>
      </c>
      <c r="L730" s="4" t="n">
        <v>88372</v>
      </c>
      <c r="M730" s="0" t="s">
        <v>49</v>
      </c>
      <c r="N730" s="0" t="s">
        <v>63</v>
      </c>
      <c r="O730" s="5" t="n">
        <v>3</v>
      </c>
      <c r="P730" s="0" t="n">
        <v>2.5</v>
      </c>
      <c r="Q730" s="0" t="s">
        <v>51</v>
      </c>
      <c r="R730" s="0" t="s">
        <v>93</v>
      </c>
      <c r="S730" s="0" t="s">
        <v>53</v>
      </c>
      <c r="T730" s="0" t="s">
        <v>54</v>
      </c>
      <c r="U730" s="5" t="n">
        <v>38.9189189189189</v>
      </c>
      <c r="V730" s="0" t="s">
        <v>2352</v>
      </c>
      <c r="W730" s="0" t="s">
        <v>2328</v>
      </c>
      <c r="X730" s="0" t="s">
        <v>98</v>
      </c>
      <c r="Y730" s="0" t="s">
        <v>196</v>
      </c>
      <c r="Z730" s="0" t="s">
        <v>177</v>
      </c>
      <c r="AA730" s="0" t="s">
        <v>149</v>
      </c>
      <c r="AB730" s="5" t="n">
        <v>20000</v>
      </c>
      <c r="AC730" s="5" t="n">
        <v>31228.0701754386</v>
      </c>
      <c r="AD730" s="0" t="s">
        <v>63</v>
      </c>
      <c r="AE730" s="5" t="n">
        <v>0</v>
      </c>
      <c r="AF730" s="0" t="s">
        <v>60</v>
      </c>
      <c r="AG730" s="7" t="s">
        <v>1304</v>
      </c>
      <c r="AH730" s="0" t="s">
        <v>50</v>
      </c>
      <c r="AI730" s="0" t="s">
        <v>116</v>
      </c>
      <c r="AJ730" s="0" t="s">
        <v>2331</v>
      </c>
      <c r="AK730" s="0" t="s">
        <v>63</v>
      </c>
      <c r="AL730" s="0" t="s">
        <v>50</v>
      </c>
      <c r="AM730" s="0" t="s">
        <v>63</v>
      </c>
      <c r="AN730" s="0" t="s">
        <v>2318</v>
      </c>
      <c r="AO730" s="0" t="s">
        <v>63</v>
      </c>
    </row>
    <row r="731" customFormat="false" ht="15" hidden="false" customHeight="false" outlineLevel="0" collapsed="false">
      <c r="A731" s="0" t="s">
        <v>1756</v>
      </c>
      <c r="B731" s="2" t="s">
        <v>248</v>
      </c>
      <c r="C731" s="0" t="s">
        <v>163</v>
      </c>
      <c r="D731" s="0" t="n">
        <v>8044533110</v>
      </c>
      <c r="E731" s="0" t="s">
        <v>85</v>
      </c>
      <c r="F731" s="0" t="s">
        <v>2319</v>
      </c>
      <c r="G731" s="0" t="s">
        <v>1757</v>
      </c>
      <c r="H731" s="0" t="s">
        <v>87</v>
      </c>
      <c r="I731" s="3" t="s">
        <v>2317</v>
      </c>
      <c r="J731" s="0" t="s">
        <v>2347</v>
      </c>
      <c r="K731" s="0" t="s">
        <v>109</v>
      </c>
      <c r="L731" s="4" t="n">
        <v>117703</v>
      </c>
      <c r="M731" s="0" t="s">
        <v>110</v>
      </c>
      <c r="N731" s="0" t="s">
        <v>50</v>
      </c>
      <c r="O731" s="5" t="n">
        <v>5</v>
      </c>
      <c r="P731" s="0" t="n">
        <v>4.9</v>
      </c>
      <c r="Q731" s="0" t="s">
        <v>92</v>
      </c>
      <c r="R731" s="0" t="s">
        <v>52</v>
      </c>
      <c r="S731" s="0" t="s">
        <v>2366</v>
      </c>
      <c r="T731" s="0" t="s">
        <v>95</v>
      </c>
      <c r="U731" s="5" t="n">
        <v>15</v>
      </c>
      <c r="V731" s="0" t="s">
        <v>2352</v>
      </c>
      <c r="W731" s="0" t="s">
        <v>2328</v>
      </c>
      <c r="X731" s="0" t="s">
        <v>128</v>
      </c>
      <c r="Y731" s="0" t="s">
        <v>99</v>
      </c>
      <c r="Z731" s="0" t="s">
        <v>2326</v>
      </c>
      <c r="AA731" s="0" t="s">
        <v>143</v>
      </c>
      <c r="AB731" s="5" t="n">
        <v>40000</v>
      </c>
      <c r="AC731" s="5" t="n">
        <v>30000</v>
      </c>
      <c r="AD731" s="0" t="s">
        <v>50</v>
      </c>
      <c r="AE731" s="5" t="n">
        <v>10000</v>
      </c>
      <c r="AF731" s="0" t="s">
        <v>130</v>
      </c>
      <c r="AG731" s="7" t="s">
        <v>1635</v>
      </c>
      <c r="AH731" s="0" t="s">
        <v>2329</v>
      </c>
      <c r="AI731" s="0" t="s">
        <v>2331</v>
      </c>
      <c r="AJ731" s="0" t="s">
        <v>2331</v>
      </c>
      <c r="AK731" s="0" t="s">
        <v>2344</v>
      </c>
      <c r="AL731" s="0" t="s">
        <v>2344</v>
      </c>
      <c r="AM731" s="0" t="s">
        <v>63</v>
      </c>
      <c r="AN731" s="0" t="s">
        <v>2321</v>
      </c>
      <c r="AO731" s="0" t="s">
        <v>50</v>
      </c>
    </row>
    <row r="732" customFormat="false" ht="15" hidden="false" customHeight="false" outlineLevel="0" collapsed="false">
      <c r="A732" s="0" t="s">
        <v>1758</v>
      </c>
      <c r="B732" s="2" t="s">
        <v>2451</v>
      </c>
      <c r="C732" s="0" t="s">
        <v>121</v>
      </c>
      <c r="D732" s="0" t="n">
        <v>8061063166</v>
      </c>
      <c r="E732" s="0" t="s">
        <v>43</v>
      </c>
      <c r="F732" s="0" t="s">
        <v>2315</v>
      </c>
      <c r="G732" s="0" t="s">
        <v>699</v>
      </c>
      <c r="H732" s="0" t="s">
        <v>134</v>
      </c>
      <c r="I732" s="3" t="s">
        <v>2325</v>
      </c>
      <c r="J732" s="0" t="s">
        <v>2347</v>
      </c>
      <c r="K732" s="0" t="s">
        <v>109</v>
      </c>
      <c r="L732" s="4" t="n">
        <v>75130</v>
      </c>
      <c r="M732" s="0" t="s">
        <v>49</v>
      </c>
      <c r="N732" s="0" t="s">
        <v>50</v>
      </c>
      <c r="O732" s="5" t="n">
        <v>2</v>
      </c>
      <c r="P732" s="0" t="n">
        <v>5.5</v>
      </c>
      <c r="Q732" s="0" t="s">
        <v>51</v>
      </c>
      <c r="R732" s="0" t="s">
        <v>73</v>
      </c>
      <c r="S732" s="0" t="s">
        <v>53</v>
      </c>
      <c r="T732" s="0" t="s">
        <v>2353</v>
      </c>
      <c r="U732" s="5" t="n">
        <v>15</v>
      </c>
      <c r="V732" s="0" t="s">
        <v>2336</v>
      </c>
      <c r="W732" s="0" t="s">
        <v>155</v>
      </c>
      <c r="X732" s="0" t="s">
        <v>98</v>
      </c>
      <c r="Y732" s="0" t="s">
        <v>99</v>
      </c>
      <c r="Z732" s="0" t="s">
        <v>59</v>
      </c>
      <c r="AA732" s="0" t="s">
        <v>79</v>
      </c>
      <c r="AB732" s="5" t="n">
        <v>30000</v>
      </c>
      <c r="AC732" s="5" t="n">
        <v>40000</v>
      </c>
      <c r="AD732" s="0" t="s">
        <v>50</v>
      </c>
      <c r="AE732" s="5" t="n">
        <v>0</v>
      </c>
      <c r="AF732" s="0" t="s">
        <v>60</v>
      </c>
      <c r="AG732" s="7" t="s">
        <v>2388</v>
      </c>
      <c r="AH732" s="0" t="s">
        <v>63</v>
      </c>
      <c r="AI732" s="0" t="s">
        <v>2331</v>
      </c>
      <c r="AJ732" s="0" t="s">
        <v>2320</v>
      </c>
      <c r="AK732" s="0" t="s">
        <v>63</v>
      </c>
      <c r="AL732" s="0" t="s">
        <v>2344</v>
      </c>
      <c r="AM732" s="0" t="s">
        <v>2344</v>
      </c>
      <c r="AN732" s="0" t="s">
        <v>2321</v>
      </c>
      <c r="AO732" s="0" t="s">
        <v>50</v>
      </c>
    </row>
    <row r="733" customFormat="false" ht="15" hidden="false" customHeight="false" outlineLevel="0" collapsed="false">
      <c r="A733" s="0" t="s">
        <v>1759</v>
      </c>
      <c r="B733" s="2" t="s">
        <v>1050</v>
      </c>
      <c r="C733" s="0" t="s">
        <v>42</v>
      </c>
      <c r="D733" s="0" t="n">
        <v>8072230215</v>
      </c>
      <c r="E733" s="0" t="s">
        <v>43</v>
      </c>
      <c r="F733" s="0" t="s">
        <v>2315</v>
      </c>
      <c r="G733" s="0" t="s">
        <v>1760</v>
      </c>
      <c r="H733" s="0" t="s">
        <v>107</v>
      </c>
      <c r="I733" s="3" t="s">
        <v>87</v>
      </c>
      <c r="J733" s="0" t="s">
        <v>2341</v>
      </c>
      <c r="K733" s="0" t="s">
        <v>109</v>
      </c>
      <c r="L733" s="4" t="n">
        <v>61773</v>
      </c>
      <c r="M733" s="0" t="s">
        <v>49</v>
      </c>
      <c r="N733" s="0" t="s">
        <v>50</v>
      </c>
      <c r="O733" s="5" t="n">
        <v>1</v>
      </c>
      <c r="P733" s="0" t="n">
        <v>1.9</v>
      </c>
      <c r="Q733" s="0" t="s">
        <v>2334</v>
      </c>
      <c r="R733" s="0" t="s">
        <v>52</v>
      </c>
      <c r="S733" s="0" t="s">
        <v>2335</v>
      </c>
      <c r="T733" s="0" t="s">
        <v>95</v>
      </c>
      <c r="U733" s="5" t="n">
        <v>15</v>
      </c>
      <c r="V733" s="0" t="s">
        <v>55</v>
      </c>
      <c r="W733" s="0" t="s">
        <v>2337</v>
      </c>
      <c r="X733" s="0" t="s">
        <v>128</v>
      </c>
      <c r="Y733" s="0" t="s">
        <v>58</v>
      </c>
      <c r="Z733" s="0" t="s">
        <v>2326</v>
      </c>
      <c r="AA733" s="0" t="s">
        <v>79</v>
      </c>
      <c r="AB733" s="5" t="n">
        <v>25000</v>
      </c>
      <c r="AC733" s="5" t="n">
        <v>30000</v>
      </c>
      <c r="AD733" s="0" t="s">
        <v>50</v>
      </c>
      <c r="AE733" s="5" t="n">
        <v>5000</v>
      </c>
      <c r="AF733" s="0" t="s">
        <v>2338</v>
      </c>
      <c r="AG733" s="7" t="s">
        <v>2330</v>
      </c>
      <c r="AH733" s="0" t="s">
        <v>63</v>
      </c>
      <c r="AI733" s="0" t="s">
        <v>2331</v>
      </c>
      <c r="AJ733" s="0" t="s">
        <v>2331</v>
      </c>
      <c r="AK733" s="0" t="s">
        <v>63</v>
      </c>
      <c r="AL733" s="0" t="s">
        <v>63</v>
      </c>
      <c r="AM733" s="0" t="s">
        <v>2344</v>
      </c>
      <c r="AN733" s="0" t="s">
        <v>2321</v>
      </c>
      <c r="AO733" s="0" t="s">
        <v>2359</v>
      </c>
    </row>
    <row r="734" customFormat="false" ht="15" hidden="false" customHeight="false" outlineLevel="0" collapsed="false">
      <c r="A734" s="0" t="s">
        <v>1761</v>
      </c>
      <c r="B734" s="2" t="s">
        <v>1250</v>
      </c>
      <c r="C734" s="0" t="s">
        <v>121</v>
      </c>
      <c r="D734" s="0" t="n">
        <v>8051050127</v>
      </c>
      <c r="E734" s="0" t="s">
        <v>122</v>
      </c>
      <c r="F734" s="0" t="s">
        <v>2316</v>
      </c>
      <c r="G734" s="0" t="s">
        <v>1762</v>
      </c>
      <c r="H734" s="0" t="s">
        <v>134</v>
      </c>
      <c r="I734" s="3" t="s">
        <v>2322</v>
      </c>
      <c r="J734" s="0" t="s">
        <v>2341</v>
      </c>
      <c r="K734" s="0" t="s">
        <v>48</v>
      </c>
      <c r="L734" s="4" t="n">
        <v>112672</v>
      </c>
      <c r="M734" s="0" t="s">
        <v>2333</v>
      </c>
      <c r="N734" s="0" t="s">
        <v>63</v>
      </c>
      <c r="O734" s="5" t="n">
        <v>3</v>
      </c>
      <c r="P734" s="0" t="n">
        <v>1.7</v>
      </c>
      <c r="Q734" s="0" t="s">
        <v>111</v>
      </c>
      <c r="R734" s="0" t="s">
        <v>93</v>
      </c>
      <c r="S734" s="0" t="s">
        <v>2340</v>
      </c>
      <c r="T734" s="0" t="s">
        <v>147</v>
      </c>
      <c r="U734" s="5" t="n">
        <v>45</v>
      </c>
      <c r="V734" s="0" t="s">
        <v>2336</v>
      </c>
      <c r="W734" s="0" t="s">
        <v>155</v>
      </c>
      <c r="X734" s="0" t="s">
        <v>78</v>
      </c>
      <c r="Y734" s="0" t="s">
        <v>99</v>
      </c>
      <c r="Z734" s="0" t="s">
        <v>2326</v>
      </c>
      <c r="AA734" s="0" t="s">
        <v>79</v>
      </c>
      <c r="AB734" s="5" t="n">
        <v>25000</v>
      </c>
      <c r="AC734" s="5" t="n">
        <v>20000</v>
      </c>
      <c r="AD734" s="0" t="s">
        <v>50</v>
      </c>
      <c r="AE734" s="5" t="n">
        <v>0</v>
      </c>
      <c r="AF734" s="0" t="s">
        <v>184</v>
      </c>
      <c r="AG734" s="7" t="s">
        <v>2330</v>
      </c>
      <c r="AH734" s="0" t="s">
        <v>50</v>
      </c>
      <c r="AI734" s="0" t="s">
        <v>2331</v>
      </c>
      <c r="AJ734" s="0" t="s">
        <v>2331</v>
      </c>
      <c r="AK734" s="0" t="s">
        <v>2344</v>
      </c>
      <c r="AL734" s="0" t="s">
        <v>50</v>
      </c>
      <c r="AM734" s="0" t="s">
        <v>63</v>
      </c>
      <c r="AN734" s="0" t="s">
        <v>2318</v>
      </c>
      <c r="AO734" s="0" t="s">
        <v>50</v>
      </c>
    </row>
    <row r="735" customFormat="false" ht="15" hidden="false" customHeight="false" outlineLevel="0" collapsed="false">
      <c r="A735" s="0" t="s">
        <v>1763</v>
      </c>
      <c r="B735" s="2" t="s">
        <v>2490</v>
      </c>
      <c r="C735" s="0" t="s">
        <v>42</v>
      </c>
      <c r="D735" s="0" t="n">
        <v>8070881578</v>
      </c>
      <c r="E735" s="0" t="s">
        <v>122</v>
      </c>
      <c r="F735" s="0" t="s">
        <v>2316</v>
      </c>
      <c r="G735" s="0" t="s">
        <v>1764</v>
      </c>
      <c r="H735" s="0" t="s">
        <v>107</v>
      </c>
      <c r="I735" s="3" t="s">
        <v>87</v>
      </c>
      <c r="J735" s="0" t="s">
        <v>2347</v>
      </c>
      <c r="K735" s="0" t="s">
        <v>90</v>
      </c>
      <c r="L735" s="4" t="n">
        <v>89443</v>
      </c>
      <c r="M735" s="0" t="s">
        <v>110</v>
      </c>
      <c r="N735" s="0" t="s">
        <v>50</v>
      </c>
      <c r="O735" s="5" t="n">
        <v>3.20642201834862</v>
      </c>
      <c r="P735" s="0" t="n">
        <v>4.2</v>
      </c>
      <c r="Q735" s="0" t="s">
        <v>51</v>
      </c>
      <c r="R735" s="0" t="s">
        <v>52</v>
      </c>
      <c r="S735" s="0" t="s">
        <v>2335</v>
      </c>
      <c r="T735" s="0" t="s">
        <v>147</v>
      </c>
      <c r="U735" s="5" t="n">
        <v>40.2857142857143</v>
      </c>
      <c r="V735" s="0" t="s">
        <v>112</v>
      </c>
      <c r="W735" s="0" t="s">
        <v>2337</v>
      </c>
      <c r="X735" s="0" t="s">
        <v>98</v>
      </c>
      <c r="Y735" s="0" t="s">
        <v>99</v>
      </c>
      <c r="Z735" s="0" t="s">
        <v>2329</v>
      </c>
      <c r="AA735" s="0" t="s">
        <v>2329</v>
      </c>
      <c r="AB735" s="5" t="n">
        <v>40000</v>
      </c>
      <c r="AC735" s="5" t="n">
        <v>20000</v>
      </c>
      <c r="AD735" s="0" t="s">
        <v>50</v>
      </c>
      <c r="AE735" s="5" t="n">
        <v>0</v>
      </c>
      <c r="AF735" s="0" t="s">
        <v>130</v>
      </c>
      <c r="AG735" s="7" t="s">
        <v>2509</v>
      </c>
      <c r="AH735" s="0" t="s">
        <v>50</v>
      </c>
      <c r="AI735" s="0" t="s">
        <v>2331</v>
      </c>
      <c r="AJ735" s="0" t="s">
        <v>2331</v>
      </c>
      <c r="AK735" s="0" t="s">
        <v>50</v>
      </c>
      <c r="AL735" s="0" t="s">
        <v>63</v>
      </c>
      <c r="AM735" s="0" t="s">
        <v>2344</v>
      </c>
      <c r="AN735" s="0" t="s">
        <v>2318</v>
      </c>
      <c r="AO735" s="0" t="s">
        <v>50</v>
      </c>
    </row>
    <row r="736" customFormat="false" ht="15" hidden="false" customHeight="false" outlineLevel="0" collapsed="false">
      <c r="A736" s="0" t="s">
        <v>1765</v>
      </c>
      <c r="B736" s="2" t="s">
        <v>2365</v>
      </c>
      <c r="C736" s="0" t="s">
        <v>121</v>
      </c>
      <c r="D736" s="0" t="n">
        <v>8048013916</v>
      </c>
      <c r="E736" s="0" t="s">
        <v>43</v>
      </c>
      <c r="F736" s="0" t="s">
        <v>2315</v>
      </c>
      <c r="G736" s="0" t="s">
        <v>1231</v>
      </c>
      <c r="H736" s="0" t="s">
        <v>87</v>
      </c>
      <c r="I736" s="3" t="s">
        <v>87</v>
      </c>
      <c r="J736" s="0" t="s">
        <v>2341</v>
      </c>
      <c r="K736" s="0" t="s">
        <v>48</v>
      </c>
      <c r="L736" s="4" t="n">
        <v>79361</v>
      </c>
      <c r="M736" s="0" t="s">
        <v>110</v>
      </c>
      <c r="N736" s="0" t="s">
        <v>63</v>
      </c>
      <c r="O736" s="5" t="n">
        <v>4</v>
      </c>
      <c r="P736" s="0" t="n">
        <v>1.1</v>
      </c>
      <c r="Q736" s="0" t="s">
        <v>2334</v>
      </c>
      <c r="R736" s="0" t="s">
        <v>73</v>
      </c>
      <c r="S736" s="0" t="s">
        <v>2340</v>
      </c>
      <c r="T736" s="0" t="s">
        <v>95</v>
      </c>
      <c r="U736" s="5" t="n">
        <v>40.4651162790698</v>
      </c>
      <c r="V736" s="0" t="s">
        <v>2352</v>
      </c>
      <c r="W736" s="0" t="s">
        <v>2328</v>
      </c>
      <c r="X736" s="0" t="s">
        <v>128</v>
      </c>
      <c r="Y736" s="0" t="s">
        <v>196</v>
      </c>
      <c r="Z736" s="0" t="s">
        <v>2324</v>
      </c>
      <c r="AA736" s="0" t="s">
        <v>79</v>
      </c>
      <c r="AB736" s="5" t="n">
        <v>25000</v>
      </c>
      <c r="AC736" s="5" t="n">
        <v>40000</v>
      </c>
      <c r="AD736" s="0" t="s">
        <v>50</v>
      </c>
      <c r="AE736" s="5" t="n">
        <v>0</v>
      </c>
      <c r="AF736" s="0" t="s">
        <v>130</v>
      </c>
      <c r="AG736" s="7" t="s">
        <v>2495</v>
      </c>
      <c r="AH736" s="0" t="s">
        <v>2329</v>
      </c>
      <c r="AI736" s="0" t="s">
        <v>2331</v>
      </c>
      <c r="AJ736" s="0" t="s">
        <v>2331</v>
      </c>
      <c r="AK736" s="0" t="s">
        <v>63</v>
      </c>
      <c r="AL736" s="0" t="s">
        <v>50</v>
      </c>
      <c r="AM736" s="0" t="s">
        <v>2344</v>
      </c>
      <c r="AN736" s="0" t="s">
        <v>64</v>
      </c>
      <c r="AO736" s="0" t="s">
        <v>50</v>
      </c>
    </row>
    <row r="737" customFormat="false" ht="15" hidden="false" customHeight="false" outlineLevel="0" collapsed="false">
      <c r="A737" s="0" t="s">
        <v>1766</v>
      </c>
      <c r="B737" s="2" t="s">
        <v>502</v>
      </c>
      <c r="C737" s="0" t="s">
        <v>105</v>
      </c>
      <c r="D737" s="0" t="n">
        <v>8060351362</v>
      </c>
      <c r="E737" s="0" t="s">
        <v>67</v>
      </c>
      <c r="F737" s="0" t="s">
        <v>2316</v>
      </c>
      <c r="G737" s="0" t="s">
        <v>1767</v>
      </c>
      <c r="H737" s="0" t="s">
        <v>69</v>
      </c>
      <c r="I737" s="3" t="s">
        <v>87</v>
      </c>
      <c r="J737" s="0" t="s">
        <v>2347</v>
      </c>
      <c r="K737" s="0" t="s">
        <v>90</v>
      </c>
      <c r="L737" s="4" t="n">
        <v>74595</v>
      </c>
      <c r="M737" s="0" t="s">
        <v>2333</v>
      </c>
      <c r="N737" s="0" t="s">
        <v>63</v>
      </c>
      <c r="O737" s="5" t="n">
        <v>5</v>
      </c>
      <c r="P737" s="0" t="n">
        <v>2.7</v>
      </c>
      <c r="Q737" s="0" t="s">
        <v>111</v>
      </c>
      <c r="R737" s="0" t="s">
        <v>52</v>
      </c>
      <c r="S737" s="0" t="s">
        <v>2366</v>
      </c>
      <c r="T737" s="0" t="s">
        <v>75</v>
      </c>
      <c r="U737" s="5" t="n">
        <v>60</v>
      </c>
      <c r="V737" s="0" t="s">
        <v>2336</v>
      </c>
      <c r="W737" s="0" t="s">
        <v>148</v>
      </c>
      <c r="X737" s="0" t="s">
        <v>128</v>
      </c>
      <c r="Y737" s="0" t="s">
        <v>196</v>
      </c>
      <c r="Z737" s="0" t="s">
        <v>59</v>
      </c>
      <c r="AA737" s="0" t="s">
        <v>2329</v>
      </c>
      <c r="AB737" s="5" t="n">
        <v>26470.5882352941</v>
      </c>
      <c r="AC737" s="5" t="n">
        <v>30000</v>
      </c>
      <c r="AD737" s="0" t="s">
        <v>50</v>
      </c>
      <c r="AE737" s="5" t="n">
        <v>0</v>
      </c>
      <c r="AF737" s="0" t="s">
        <v>60</v>
      </c>
      <c r="AG737" s="7" t="s">
        <v>2330</v>
      </c>
      <c r="AH737" s="0" t="s">
        <v>50</v>
      </c>
      <c r="AI737" s="0" t="s">
        <v>116</v>
      </c>
      <c r="AJ737" s="0" t="s">
        <v>2320</v>
      </c>
      <c r="AK737" s="0" t="s">
        <v>63</v>
      </c>
      <c r="AL737" s="0" t="s">
        <v>2344</v>
      </c>
      <c r="AM737" s="0" t="s">
        <v>63</v>
      </c>
      <c r="AN737" s="0" t="s">
        <v>2321</v>
      </c>
      <c r="AO737" s="0" t="s">
        <v>2359</v>
      </c>
    </row>
    <row r="738" customFormat="false" ht="15" hidden="false" customHeight="false" outlineLevel="0" collapsed="false">
      <c r="A738" s="0" t="s">
        <v>1768</v>
      </c>
      <c r="B738" s="2" t="s">
        <v>328</v>
      </c>
      <c r="C738" s="0" t="s">
        <v>42</v>
      </c>
      <c r="D738" s="0" t="n">
        <v>8085449435</v>
      </c>
      <c r="E738" s="0" t="s">
        <v>43</v>
      </c>
      <c r="F738" s="0" t="s">
        <v>2315</v>
      </c>
      <c r="G738" s="0" t="s">
        <v>1769</v>
      </c>
      <c r="H738" s="0" t="s">
        <v>87</v>
      </c>
      <c r="I738" s="3" t="s">
        <v>87</v>
      </c>
      <c r="J738" s="0" t="s">
        <v>2347</v>
      </c>
      <c r="K738" s="0" t="s">
        <v>109</v>
      </c>
      <c r="L738" s="4" t="n">
        <v>93739</v>
      </c>
      <c r="M738" s="0" t="s">
        <v>2333</v>
      </c>
      <c r="N738" s="0" t="s">
        <v>63</v>
      </c>
      <c r="O738" s="5" t="n">
        <v>5</v>
      </c>
      <c r="P738" s="0" t="n">
        <v>2.1</v>
      </c>
      <c r="Q738" s="0" t="s">
        <v>92</v>
      </c>
      <c r="R738" s="0" t="s">
        <v>93</v>
      </c>
      <c r="S738" s="0" t="s">
        <v>2335</v>
      </c>
      <c r="T738" s="0" t="s">
        <v>2343</v>
      </c>
      <c r="U738" s="5" t="n">
        <v>60</v>
      </c>
      <c r="V738" s="0" t="s">
        <v>112</v>
      </c>
      <c r="W738" s="0" t="s">
        <v>155</v>
      </c>
      <c r="X738" s="0" t="s">
        <v>98</v>
      </c>
      <c r="Y738" s="0" t="s">
        <v>196</v>
      </c>
      <c r="Z738" s="0" t="s">
        <v>2326</v>
      </c>
      <c r="AA738" s="0" t="s">
        <v>79</v>
      </c>
      <c r="AB738" s="5" t="n">
        <v>26470.5882352941</v>
      </c>
      <c r="AC738" s="5" t="n">
        <v>30000</v>
      </c>
      <c r="AD738" s="0" t="s">
        <v>63</v>
      </c>
      <c r="AE738" s="5" t="n">
        <v>0</v>
      </c>
      <c r="AF738" s="0" t="s">
        <v>60</v>
      </c>
      <c r="AG738" s="7" t="s">
        <v>1950</v>
      </c>
      <c r="AH738" s="0" t="s">
        <v>50</v>
      </c>
      <c r="AI738" s="0" t="s">
        <v>2331</v>
      </c>
      <c r="AJ738" s="0" t="s">
        <v>2331</v>
      </c>
      <c r="AK738" s="0" t="s">
        <v>2344</v>
      </c>
      <c r="AL738" s="0" t="s">
        <v>63</v>
      </c>
      <c r="AM738" s="0" t="s">
        <v>50</v>
      </c>
      <c r="AN738" s="0" t="s">
        <v>2321</v>
      </c>
      <c r="AO738" s="0" t="s">
        <v>50</v>
      </c>
    </row>
    <row r="739" customFormat="false" ht="15" hidden="false" customHeight="false" outlineLevel="0" collapsed="false">
      <c r="A739" s="0" t="s">
        <v>1770</v>
      </c>
      <c r="B739" s="2" t="s">
        <v>1050</v>
      </c>
      <c r="C739" s="0" t="s">
        <v>66</v>
      </c>
      <c r="D739" s="0" t="n">
        <v>8091339346</v>
      </c>
      <c r="E739" s="0" t="s">
        <v>67</v>
      </c>
      <c r="F739" s="0" t="s">
        <v>2316</v>
      </c>
      <c r="G739" s="0" t="s">
        <v>1771</v>
      </c>
      <c r="H739" s="0" t="s">
        <v>69</v>
      </c>
      <c r="I739" s="3" t="s">
        <v>2322</v>
      </c>
      <c r="J739" s="0" t="s">
        <v>47</v>
      </c>
      <c r="K739" s="0" t="s">
        <v>109</v>
      </c>
      <c r="L739" s="4" t="n">
        <v>39318</v>
      </c>
      <c r="M739" s="0" t="s">
        <v>110</v>
      </c>
      <c r="N739" s="0" t="s">
        <v>50</v>
      </c>
      <c r="O739" s="5" t="n">
        <v>3.18604651162791</v>
      </c>
      <c r="P739" s="0" t="n">
        <v>3.9</v>
      </c>
      <c r="Q739" s="0" t="s">
        <v>51</v>
      </c>
      <c r="R739" s="0" t="s">
        <v>73</v>
      </c>
      <c r="S739" s="0" t="s">
        <v>2335</v>
      </c>
      <c r="T739" s="0" t="s">
        <v>95</v>
      </c>
      <c r="U739" s="5" t="n">
        <v>15</v>
      </c>
      <c r="V739" s="0" t="s">
        <v>2336</v>
      </c>
      <c r="W739" s="0" t="s">
        <v>155</v>
      </c>
      <c r="X739" s="0" t="s">
        <v>128</v>
      </c>
      <c r="Y739" s="0" t="s">
        <v>99</v>
      </c>
      <c r="Z739" s="0" t="s">
        <v>2326</v>
      </c>
      <c r="AA739" s="0" t="s">
        <v>161</v>
      </c>
      <c r="AB739" s="5" t="n">
        <v>25000</v>
      </c>
      <c r="AC739" s="5" t="n">
        <v>30000</v>
      </c>
      <c r="AD739" s="0" t="s">
        <v>50</v>
      </c>
      <c r="AE739" s="5" t="n">
        <v>5000</v>
      </c>
      <c r="AF739" s="0" t="s">
        <v>60</v>
      </c>
      <c r="AG739" s="7" t="s">
        <v>2330</v>
      </c>
      <c r="AH739" s="0" t="s">
        <v>2329</v>
      </c>
      <c r="AI739" s="0" t="s">
        <v>171</v>
      </c>
      <c r="AJ739" s="0" t="s">
        <v>2320</v>
      </c>
      <c r="AK739" s="0" t="s">
        <v>63</v>
      </c>
      <c r="AL739" s="0" t="s">
        <v>50</v>
      </c>
      <c r="AM739" s="0" t="s">
        <v>63</v>
      </c>
      <c r="AN739" s="0" t="s">
        <v>64</v>
      </c>
      <c r="AO739" s="0" t="s">
        <v>50</v>
      </c>
    </row>
    <row r="740" customFormat="false" ht="15" hidden="false" customHeight="false" outlineLevel="0" collapsed="false">
      <c r="A740" s="0" t="s">
        <v>1772</v>
      </c>
      <c r="B740" s="2" t="s">
        <v>1358</v>
      </c>
      <c r="C740" s="0" t="s">
        <v>163</v>
      </c>
      <c r="D740" s="0" t="n">
        <v>8074537834</v>
      </c>
      <c r="E740" s="0" t="s">
        <v>43</v>
      </c>
      <c r="F740" s="0" t="s">
        <v>2315</v>
      </c>
      <c r="G740" s="0" t="s">
        <v>1773</v>
      </c>
      <c r="H740" s="0" t="s">
        <v>134</v>
      </c>
      <c r="I740" s="3" t="s">
        <v>2322</v>
      </c>
      <c r="J740" s="0" t="s">
        <v>2349</v>
      </c>
      <c r="K740" s="0" t="s">
        <v>71</v>
      </c>
      <c r="L740" s="4" t="n">
        <v>94938</v>
      </c>
      <c r="M740" s="0" t="s">
        <v>110</v>
      </c>
      <c r="N740" s="0" t="s">
        <v>50</v>
      </c>
      <c r="O740" s="5" t="n">
        <v>1</v>
      </c>
      <c r="P740" s="0" t="n">
        <v>4.8</v>
      </c>
      <c r="Q740" s="0" t="s">
        <v>125</v>
      </c>
      <c r="R740" s="0" t="s">
        <v>73</v>
      </c>
      <c r="S740" s="0" t="s">
        <v>53</v>
      </c>
      <c r="T740" s="0" t="s">
        <v>54</v>
      </c>
      <c r="U740" s="5" t="n">
        <v>45</v>
      </c>
      <c r="V740" s="0" t="s">
        <v>2336</v>
      </c>
      <c r="W740" s="0" t="s">
        <v>2337</v>
      </c>
      <c r="X740" s="0" t="s">
        <v>78</v>
      </c>
      <c r="Y740" s="0" t="s">
        <v>99</v>
      </c>
      <c r="Z740" s="0" t="s">
        <v>2324</v>
      </c>
      <c r="AA740" s="0" t="s">
        <v>143</v>
      </c>
      <c r="AB740" s="5" t="n">
        <v>20000</v>
      </c>
      <c r="AC740" s="5" t="n">
        <v>40000</v>
      </c>
      <c r="AD740" s="0" t="s">
        <v>50</v>
      </c>
      <c r="AE740" s="5" t="n">
        <v>0</v>
      </c>
      <c r="AF740" s="0" t="s">
        <v>60</v>
      </c>
      <c r="AG740" s="7" t="s">
        <v>2330</v>
      </c>
      <c r="AH740" s="0" t="s">
        <v>63</v>
      </c>
      <c r="AI740" s="0" t="s">
        <v>171</v>
      </c>
      <c r="AJ740" s="0" t="s">
        <v>172</v>
      </c>
      <c r="AK740" s="0" t="s">
        <v>50</v>
      </c>
      <c r="AL740" s="0" t="s">
        <v>2344</v>
      </c>
      <c r="AM740" s="0" t="s">
        <v>63</v>
      </c>
      <c r="AN740" s="0" t="s">
        <v>2321</v>
      </c>
      <c r="AO740" s="0" t="s">
        <v>63</v>
      </c>
    </row>
    <row r="741" customFormat="false" ht="15" hidden="false" customHeight="false" outlineLevel="0" collapsed="false">
      <c r="A741" s="0" t="s">
        <v>1775</v>
      </c>
      <c r="B741" s="2" t="s">
        <v>1774</v>
      </c>
      <c r="C741" s="0" t="s">
        <v>163</v>
      </c>
      <c r="D741" s="0" t="n">
        <v>8019655576</v>
      </c>
      <c r="E741" s="0" t="s">
        <v>122</v>
      </c>
      <c r="F741" s="0" t="s">
        <v>2316</v>
      </c>
      <c r="G741" s="0" t="s">
        <v>1776</v>
      </c>
      <c r="H741" s="0" t="s">
        <v>107</v>
      </c>
      <c r="I741" s="3" t="s">
        <v>87</v>
      </c>
      <c r="J741" s="0" t="s">
        <v>2341</v>
      </c>
      <c r="K741" s="0" t="s">
        <v>71</v>
      </c>
      <c r="L741" s="4" t="n">
        <v>18535</v>
      </c>
      <c r="M741" s="0" t="s">
        <v>2333</v>
      </c>
      <c r="N741" s="0" t="s">
        <v>63</v>
      </c>
      <c r="O741" s="5" t="n">
        <v>1</v>
      </c>
      <c r="P741" s="0" t="n">
        <v>1.7</v>
      </c>
      <c r="Q741" s="0" t="s">
        <v>111</v>
      </c>
      <c r="R741" s="0" t="s">
        <v>73</v>
      </c>
      <c r="S741" s="0" t="s">
        <v>2340</v>
      </c>
      <c r="T741" s="0" t="s">
        <v>75</v>
      </c>
      <c r="U741" s="5" t="n">
        <v>45</v>
      </c>
      <c r="V741" s="0" t="s">
        <v>2336</v>
      </c>
      <c r="W741" s="0" t="s">
        <v>155</v>
      </c>
      <c r="X741" s="0" t="s">
        <v>128</v>
      </c>
      <c r="Y741" s="0" t="s">
        <v>99</v>
      </c>
      <c r="Z741" s="0" t="s">
        <v>2329</v>
      </c>
      <c r="AA741" s="0" t="s">
        <v>161</v>
      </c>
      <c r="AB741" s="5" t="n">
        <v>40000</v>
      </c>
      <c r="AC741" s="5" t="n">
        <v>31238.5321100917</v>
      </c>
      <c r="AD741" s="0" t="s">
        <v>50</v>
      </c>
      <c r="AE741" s="5" t="n">
        <v>5000</v>
      </c>
      <c r="AF741" s="0" t="s">
        <v>60</v>
      </c>
      <c r="AG741" s="7" t="s">
        <v>2358</v>
      </c>
      <c r="AH741" s="0" t="s">
        <v>50</v>
      </c>
      <c r="AI741" s="0" t="s">
        <v>2331</v>
      </c>
      <c r="AJ741" s="0" t="s">
        <v>2320</v>
      </c>
      <c r="AK741" s="0" t="s">
        <v>50</v>
      </c>
      <c r="AL741" s="0" t="s">
        <v>63</v>
      </c>
      <c r="AM741" s="0" t="s">
        <v>63</v>
      </c>
      <c r="AN741" s="0" t="s">
        <v>2321</v>
      </c>
      <c r="AO741" s="0" t="s">
        <v>63</v>
      </c>
    </row>
    <row r="742" customFormat="false" ht="15" hidden="false" customHeight="false" outlineLevel="0" collapsed="false">
      <c r="A742" s="0" t="s">
        <v>1777</v>
      </c>
      <c r="B742" s="2" t="s">
        <v>2487</v>
      </c>
      <c r="C742" s="0" t="s">
        <v>42</v>
      </c>
      <c r="D742" s="0" t="n">
        <v>8054725929</v>
      </c>
      <c r="E742" s="0" t="s">
        <v>85</v>
      </c>
      <c r="F742" s="0" t="s">
        <v>2319</v>
      </c>
      <c r="G742" s="0" t="s">
        <v>1778</v>
      </c>
      <c r="H742" s="0" t="s">
        <v>87</v>
      </c>
      <c r="I742" s="3" t="s">
        <v>87</v>
      </c>
      <c r="J742" s="0" t="s">
        <v>2341</v>
      </c>
      <c r="K742" s="0" t="s">
        <v>71</v>
      </c>
      <c r="L742" s="4" t="n">
        <v>36039</v>
      </c>
      <c r="M742" s="0" t="s">
        <v>2333</v>
      </c>
      <c r="N742" s="0" t="s">
        <v>50</v>
      </c>
      <c r="O742" s="5" t="n">
        <v>4</v>
      </c>
      <c r="P742" s="0" t="n">
        <v>4.7</v>
      </c>
      <c r="Q742" s="0" t="s">
        <v>125</v>
      </c>
      <c r="R742" s="0" t="s">
        <v>52</v>
      </c>
      <c r="S742" s="0" t="s">
        <v>53</v>
      </c>
      <c r="T742" s="0" t="s">
        <v>75</v>
      </c>
      <c r="U742" s="5" t="n">
        <v>15</v>
      </c>
      <c r="V742" s="0" t="s">
        <v>2336</v>
      </c>
      <c r="W742" s="0" t="s">
        <v>155</v>
      </c>
      <c r="X742" s="0" t="s">
        <v>78</v>
      </c>
      <c r="Y742" s="0" t="s">
        <v>196</v>
      </c>
      <c r="Z742" s="0" t="s">
        <v>2324</v>
      </c>
      <c r="AA742" s="0" t="s">
        <v>143</v>
      </c>
      <c r="AB742" s="5" t="n">
        <v>20000</v>
      </c>
      <c r="AC742" s="5" t="n">
        <v>35000</v>
      </c>
      <c r="AD742" s="0" t="s">
        <v>63</v>
      </c>
      <c r="AE742" s="5" t="n">
        <v>0</v>
      </c>
      <c r="AF742" s="0" t="s">
        <v>2338</v>
      </c>
      <c r="AG742" s="7" t="s">
        <v>2330</v>
      </c>
      <c r="AH742" s="0" t="s">
        <v>63</v>
      </c>
      <c r="AI742" s="0" t="s">
        <v>171</v>
      </c>
      <c r="AJ742" s="0" t="s">
        <v>2331</v>
      </c>
      <c r="AK742" s="0" t="s">
        <v>50</v>
      </c>
      <c r="AL742" s="0" t="s">
        <v>50</v>
      </c>
      <c r="AM742" s="0" t="s">
        <v>2344</v>
      </c>
      <c r="AN742" s="0" t="s">
        <v>2321</v>
      </c>
      <c r="AO742" s="0" t="s">
        <v>50</v>
      </c>
    </row>
    <row r="743" customFormat="false" ht="15" hidden="false" customHeight="false" outlineLevel="0" collapsed="false">
      <c r="A743" s="0" t="s">
        <v>1779</v>
      </c>
      <c r="B743" s="2" t="s">
        <v>2462</v>
      </c>
      <c r="C743" s="0" t="s">
        <v>105</v>
      </c>
      <c r="D743" s="0" t="n">
        <v>8028341704</v>
      </c>
      <c r="E743" s="0" t="s">
        <v>85</v>
      </c>
      <c r="F743" s="0" t="s">
        <v>2319</v>
      </c>
      <c r="G743" s="0" t="s">
        <v>930</v>
      </c>
      <c r="H743" s="0" t="s">
        <v>69</v>
      </c>
      <c r="I743" s="3" t="s">
        <v>2322</v>
      </c>
      <c r="J743" s="0" t="s">
        <v>2339</v>
      </c>
      <c r="K743" s="0" t="s">
        <v>48</v>
      </c>
      <c r="L743" s="4" t="n">
        <v>70718</v>
      </c>
      <c r="M743" s="0" t="s">
        <v>2333</v>
      </c>
      <c r="N743" s="0" t="s">
        <v>63</v>
      </c>
      <c r="O743" s="5" t="n">
        <v>5</v>
      </c>
      <c r="P743" s="0" t="n">
        <v>5.7</v>
      </c>
      <c r="Q743" s="0" t="s">
        <v>2334</v>
      </c>
      <c r="R743" s="0" t="s">
        <v>73</v>
      </c>
      <c r="S743" s="0" t="s">
        <v>53</v>
      </c>
      <c r="T743" s="0" t="s">
        <v>95</v>
      </c>
      <c r="U743" s="5" t="n">
        <v>40.609756097561</v>
      </c>
      <c r="V743" s="0" t="s">
        <v>112</v>
      </c>
      <c r="W743" s="0" t="s">
        <v>155</v>
      </c>
      <c r="X743" s="0" t="s">
        <v>128</v>
      </c>
      <c r="Y743" s="0" t="s">
        <v>196</v>
      </c>
      <c r="Z743" s="0" t="s">
        <v>59</v>
      </c>
      <c r="AA743" s="0" t="s">
        <v>161</v>
      </c>
      <c r="AB743" s="5" t="n">
        <v>15000</v>
      </c>
      <c r="AC743" s="5" t="n">
        <v>35000</v>
      </c>
      <c r="AD743" s="0" t="s">
        <v>50</v>
      </c>
      <c r="AE743" s="5" t="n">
        <v>5000</v>
      </c>
      <c r="AF743" s="0" t="s">
        <v>60</v>
      </c>
      <c r="AG743" s="7" t="s">
        <v>2368</v>
      </c>
      <c r="AH743" s="0" t="s">
        <v>63</v>
      </c>
      <c r="AI743" s="0" t="s">
        <v>171</v>
      </c>
      <c r="AJ743" s="0" t="s">
        <v>2331</v>
      </c>
      <c r="AK743" s="0" t="s">
        <v>63</v>
      </c>
      <c r="AL743" s="0" t="s">
        <v>2344</v>
      </c>
      <c r="AM743" s="0" t="s">
        <v>50</v>
      </c>
      <c r="AN743" s="0" t="s">
        <v>2321</v>
      </c>
      <c r="AO743" s="0" t="s">
        <v>63</v>
      </c>
    </row>
    <row r="744" customFormat="false" ht="15" hidden="false" customHeight="false" outlineLevel="0" collapsed="false">
      <c r="A744" s="0" t="s">
        <v>1780</v>
      </c>
      <c r="B744" s="2" t="s">
        <v>2398</v>
      </c>
      <c r="C744" s="0" t="s">
        <v>163</v>
      </c>
      <c r="D744" s="0" t="n">
        <v>8072982807</v>
      </c>
      <c r="E744" s="0" t="s">
        <v>122</v>
      </c>
      <c r="F744" s="0" t="s">
        <v>2316</v>
      </c>
      <c r="G744" s="0" t="s">
        <v>1781</v>
      </c>
      <c r="H744" s="0" t="s">
        <v>69</v>
      </c>
      <c r="I744" s="3" t="s">
        <v>87</v>
      </c>
      <c r="J744" s="0" t="s">
        <v>2347</v>
      </c>
      <c r="K744" s="0" t="s">
        <v>90</v>
      </c>
      <c r="L744" s="4" t="n">
        <v>87374</v>
      </c>
      <c r="M744" s="0" t="s">
        <v>2333</v>
      </c>
      <c r="N744" s="0" t="s">
        <v>50</v>
      </c>
      <c r="O744" s="5" t="n">
        <v>4</v>
      </c>
      <c r="P744" s="0" t="n">
        <v>4.7</v>
      </c>
      <c r="Q744" s="0" t="s">
        <v>92</v>
      </c>
      <c r="R744" s="0" t="s">
        <v>93</v>
      </c>
      <c r="S744" s="0" t="s">
        <v>53</v>
      </c>
      <c r="T744" s="0" t="s">
        <v>2343</v>
      </c>
      <c r="U744" s="5" t="n">
        <v>30</v>
      </c>
      <c r="V744" s="0" t="s">
        <v>55</v>
      </c>
      <c r="W744" s="0" t="s">
        <v>2328</v>
      </c>
      <c r="X744" s="0" t="s">
        <v>78</v>
      </c>
      <c r="Y744" s="0" t="s">
        <v>114</v>
      </c>
      <c r="Z744" s="0" t="s">
        <v>177</v>
      </c>
      <c r="AA744" s="0" t="s">
        <v>161</v>
      </c>
      <c r="AB744" s="5" t="n">
        <v>30000</v>
      </c>
      <c r="AC744" s="5" t="n">
        <v>31203.7037037037</v>
      </c>
      <c r="AD744" s="0" t="s">
        <v>50</v>
      </c>
      <c r="AE744" s="5" t="n">
        <v>0</v>
      </c>
      <c r="AF744" s="0" t="s">
        <v>2338</v>
      </c>
      <c r="AG744" s="7" t="s">
        <v>1782</v>
      </c>
      <c r="AH744" s="0" t="s">
        <v>63</v>
      </c>
      <c r="AI744" s="0" t="s">
        <v>116</v>
      </c>
      <c r="AJ744" s="0" t="s">
        <v>2331</v>
      </c>
      <c r="AK744" s="0" t="s">
        <v>63</v>
      </c>
      <c r="AL744" s="0" t="s">
        <v>63</v>
      </c>
      <c r="AM744" s="0" t="s">
        <v>63</v>
      </c>
      <c r="AN744" s="0" t="s">
        <v>64</v>
      </c>
      <c r="AO744" s="0" t="s">
        <v>50</v>
      </c>
    </row>
    <row r="745" customFormat="false" ht="15" hidden="false" customHeight="false" outlineLevel="0" collapsed="false">
      <c r="A745" s="0" t="s">
        <v>1783</v>
      </c>
      <c r="B745" s="2" t="s">
        <v>652</v>
      </c>
      <c r="C745" s="0" t="s">
        <v>105</v>
      </c>
      <c r="D745" s="0" t="n">
        <v>8036268523</v>
      </c>
      <c r="E745" s="0" t="s">
        <v>139</v>
      </c>
      <c r="F745" s="0" t="s">
        <v>2323</v>
      </c>
      <c r="G745" s="0" t="s">
        <v>1784</v>
      </c>
      <c r="H745" s="0" t="s">
        <v>69</v>
      </c>
      <c r="I745" s="3" t="s">
        <v>87</v>
      </c>
      <c r="J745" s="0" t="s">
        <v>2347</v>
      </c>
      <c r="K745" s="0" t="s">
        <v>109</v>
      </c>
      <c r="L745" s="4" t="n">
        <v>67542</v>
      </c>
      <c r="M745" s="0" t="s">
        <v>110</v>
      </c>
      <c r="N745" s="0" t="s">
        <v>50</v>
      </c>
      <c r="O745" s="5" t="n">
        <v>2</v>
      </c>
      <c r="P745" s="0" t="n">
        <v>3.9</v>
      </c>
      <c r="Q745" s="0" t="s">
        <v>111</v>
      </c>
      <c r="R745" s="0" t="s">
        <v>73</v>
      </c>
      <c r="S745" s="0" t="s">
        <v>2340</v>
      </c>
      <c r="T745" s="0" t="s">
        <v>2353</v>
      </c>
      <c r="U745" s="5" t="n">
        <v>60</v>
      </c>
      <c r="V745" s="0" t="s">
        <v>2352</v>
      </c>
      <c r="W745" s="0" t="s">
        <v>2337</v>
      </c>
      <c r="X745" s="0" t="s">
        <v>98</v>
      </c>
      <c r="Y745" s="0" t="s">
        <v>99</v>
      </c>
      <c r="Z745" s="0" t="s">
        <v>2329</v>
      </c>
      <c r="AA745" s="0" t="s">
        <v>2329</v>
      </c>
      <c r="AB745" s="5" t="n">
        <v>40000</v>
      </c>
      <c r="AC745" s="5" t="n">
        <v>31203.7037037037</v>
      </c>
      <c r="AD745" s="0" t="s">
        <v>63</v>
      </c>
      <c r="AE745" s="5" t="n">
        <v>10000</v>
      </c>
      <c r="AF745" s="0" t="s">
        <v>60</v>
      </c>
      <c r="AG745" s="7" t="s">
        <v>2330</v>
      </c>
      <c r="AH745" s="0" t="s">
        <v>50</v>
      </c>
      <c r="AI745" s="0" t="s">
        <v>116</v>
      </c>
      <c r="AJ745" s="0" t="s">
        <v>2320</v>
      </c>
      <c r="AK745" s="0" t="s">
        <v>63</v>
      </c>
      <c r="AL745" s="0" t="s">
        <v>63</v>
      </c>
      <c r="AM745" s="0" t="s">
        <v>50</v>
      </c>
      <c r="AN745" s="0" t="s">
        <v>2321</v>
      </c>
      <c r="AO745" s="0" t="s">
        <v>63</v>
      </c>
    </row>
    <row r="746" customFormat="false" ht="15" hidden="false" customHeight="false" outlineLevel="0" collapsed="false">
      <c r="A746" s="0" t="s">
        <v>1785</v>
      </c>
      <c r="B746" s="2" t="s">
        <v>2417</v>
      </c>
      <c r="C746" s="0" t="s">
        <v>66</v>
      </c>
      <c r="D746" s="0" t="n">
        <v>8030766764</v>
      </c>
      <c r="E746" s="0" t="s">
        <v>43</v>
      </c>
      <c r="F746" s="0" t="s">
        <v>2315</v>
      </c>
      <c r="G746" s="0" t="s">
        <v>1786</v>
      </c>
      <c r="H746" s="0" t="s">
        <v>134</v>
      </c>
      <c r="I746" s="3" t="s">
        <v>2317</v>
      </c>
      <c r="J746" s="0" t="s">
        <v>2341</v>
      </c>
      <c r="K746" s="0" t="s">
        <v>48</v>
      </c>
      <c r="L746" s="4" t="n">
        <v>99804</v>
      </c>
      <c r="M746" s="0" t="s">
        <v>110</v>
      </c>
      <c r="N746" s="0" t="s">
        <v>63</v>
      </c>
      <c r="O746" s="5" t="n">
        <v>4</v>
      </c>
      <c r="P746" s="0" t="n">
        <v>2.5</v>
      </c>
      <c r="Q746" s="0" t="s">
        <v>51</v>
      </c>
      <c r="R746" s="0" t="s">
        <v>93</v>
      </c>
      <c r="S746" s="0" t="s">
        <v>2340</v>
      </c>
      <c r="T746" s="0" t="s">
        <v>95</v>
      </c>
      <c r="U746" s="5" t="n">
        <v>30</v>
      </c>
      <c r="V746" s="0" t="s">
        <v>2352</v>
      </c>
      <c r="W746" s="0" t="s">
        <v>155</v>
      </c>
      <c r="X746" s="0" t="s">
        <v>78</v>
      </c>
      <c r="Y746" s="0" t="s">
        <v>99</v>
      </c>
      <c r="Z746" s="0" t="s">
        <v>2329</v>
      </c>
      <c r="AA746" s="0" t="s">
        <v>2329</v>
      </c>
      <c r="AB746" s="5" t="n">
        <v>27435.8974358974</v>
      </c>
      <c r="AC746" s="5" t="n">
        <v>40000</v>
      </c>
      <c r="AD746" s="0" t="s">
        <v>50</v>
      </c>
      <c r="AE746" s="5" t="n">
        <v>0</v>
      </c>
      <c r="AF746" s="0" t="s">
        <v>130</v>
      </c>
      <c r="AG746" s="7" t="s">
        <v>2330</v>
      </c>
      <c r="AH746" s="0" t="s">
        <v>2329</v>
      </c>
      <c r="AI746" s="0" t="s">
        <v>2331</v>
      </c>
      <c r="AJ746" s="0" t="s">
        <v>2320</v>
      </c>
      <c r="AK746" s="0" t="s">
        <v>2344</v>
      </c>
      <c r="AL746" s="0" t="s">
        <v>63</v>
      </c>
      <c r="AM746" s="0" t="s">
        <v>63</v>
      </c>
      <c r="AN746" s="0" t="s">
        <v>2318</v>
      </c>
      <c r="AO746" s="0" t="s">
        <v>50</v>
      </c>
    </row>
    <row r="747" customFormat="false" ht="15" hidden="false" customHeight="false" outlineLevel="0" collapsed="false">
      <c r="A747" s="0" t="s">
        <v>1787</v>
      </c>
      <c r="B747" s="2" t="s">
        <v>869</v>
      </c>
      <c r="C747" s="0" t="s">
        <v>163</v>
      </c>
      <c r="D747" s="0" t="n">
        <v>8035451146</v>
      </c>
      <c r="E747" s="0" t="s">
        <v>85</v>
      </c>
      <c r="F747" s="0" t="s">
        <v>2319</v>
      </c>
      <c r="G747" s="0" t="s">
        <v>1788</v>
      </c>
      <c r="H747" s="0" t="s">
        <v>134</v>
      </c>
      <c r="I747" s="3" t="s">
        <v>2317</v>
      </c>
      <c r="J747" s="0" t="s">
        <v>2349</v>
      </c>
      <c r="K747" s="0" t="s">
        <v>71</v>
      </c>
      <c r="L747" s="4" t="n">
        <v>25765</v>
      </c>
      <c r="M747" s="0" t="s">
        <v>2333</v>
      </c>
      <c r="N747" s="0" t="s">
        <v>63</v>
      </c>
      <c r="O747" s="5" t="n">
        <v>5</v>
      </c>
      <c r="P747" s="0" t="n">
        <v>5.1</v>
      </c>
      <c r="Q747" s="0" t="s">
        <v>92</v>
      </c>
      <c r="R747" s="0" t="s">
        <v>93</v>
      </c>
      <c r="S747" s="0" t="s">
        <v>2340</v>
      </c>
      <c r="T747" s="0" t="s">
        <v>147</v>
      </c>
      <c r="U747" s="5" t="n">
        <v>15</v>
      </c>
      <c r="V747" s="0" t="s">
        <v>2336</v>
      </c>
      <c r="W747" s="0" t="s">
        <v>148</v>
      </c>
      <c r="X747" s="0" t="s">
        <v>128</v>
      </c>
      <c r="Y747" s="0" t="s">
        <v>114</v>
      </c>
      <c r="Z747" s="0" t="s">
        <v>2324</v>
      </c>
      <c r="AA747" s="0" t="s">
        <v>79</v>
      </c>
      <c r="AB747" s="5" t="n">
        <v>15000</v>
      </c>
      <c r="AC747" s="5" t="n">
        <v>35000</v>
      </c>
      <c r="AD747" s="0" t="s">
        <v>50</v>
      </c>
      <c r="AE747" s="5" t="n">
        <v>0</v>
      </c>
      <c r="AF747" s="0" t="s">
        <v>60</v>
      </c>
      <c r="AG747" s="7" t="s">
        <v>295</v>
      </c>
      <c r="AH747" s="0" t="s">
        <v>50</v>
      </c>
      <c r="AI747" s="0" t="s">
        <v>116</v>
      </c>
      <c r="AJ747" s="0" t="s">
        <v>2320</v>
      </c>
      <c r="AK747" s="0" t="s">
        <v>63</v>
      </c>
      <c r="AL747" s="0" t="s">
        <v>63</v>
      </c>
      <c r="AM747" s="0" t="s">
        <v>2344</v>
      </c>
      <c r="AN747" s="0" t="s">
        <v>64</v>
      </c>
      <c r="AO747" s="0" t="s">
        <v>63</v>
      </c>
    </row>
    <row r="748" customFormat="false" ht="15" hidden="false" customHeight="false" outlineLevel="0" collapsed="false">
      <c r="A748" s="0" t="s">
        <v>1789</v>
      </c>
      <c r="B748" s="2" t="s">
        <v>2445</v>
      </c>
      <c r="C748" s="0" t="s">
        <v>121</v>
      </c>
      <c r="D748" s="0" t="n">
        <v>8010561104</v>
      </c>
      <c r="E748" s="0" t="s">
        <v>85</v>
      </c>
      <c r="F748" s="0" t="s">
        <v>2319</v>
      </c>
      <c r="G748" s="0" t="s">
        <v>1790</v>
      </c>
      <c r="H748" s="0" t="s">
        <v>45</v>
      </c>
      <c r="I748" s="3" t="s">
        <v>2317</v>
      </c>
      <c r="J748" s="0" t="s">
        <v>189</v>
      </c>
      <c r="K748" s="0" t="s">
        <v>48</v>
      </c>
      <c r="L748" s="4" t="n">
        <v>116648</v>
      </c>
      <c r="M748" s="0" t="s">
        <v>2333</v>
      </c>
      <c r="N748" s="0" t="s">
        <v>50</v>
      </c>
      <c r="O748" s="5" t="n">
        <v>5</v>
      </c>
      <c r="P748" s="0" t="n">
        <v>5</v>
      </c>
      <c r="Q748" s="0" t="s">
        <v>92</v>
      </c>
      <c r="R748" s="0" t="s">
        <v>52</v>
      </c>
      <c r="S748" s="0" t="s">
        <v>53</v>
      </c>
      <c r="T748" s="0" t="s">
        <v>2353</v>
      </c>
      <c r="U748" s="5" t="n">
        <v>38.7096774193548</v>
      </c>
      <c r="V748" s="0" t="s">
        <v>2352</v>
      </c>
      <c r="W748" s="0" t="s">
        <v>148</v>
      </c>
      <c r="X748" s="0" t="s">
        <v>98</v>
      </c>
      <c r="Y748" s="0" t="s">
        <v>196</v>
      </c>
      <c r="Z748" s="0" t="s">
        <v>2326</v>
      </c>
      <c r="AA748" s="0" t="s">
        <v>79</v>
      </c>
      <c r="AB748" s="5" t="n">
        <v>15000</v>
      </c>
      <c r="AC748" s="5" t="n">
        <v>30000</v>
      </c>
      <c r="AD748" s="0" t="s">
        <v>50</v>
      </c>
      <c r="AE748" s="5" t="n">
        <v>5000</v>
      </c>
      <c r="AF748" s="0" t="s">
        <v>130</v>
      </c>
      <c r="AG748" s="7" t="s">
        <v>2042</v>
      </c>
      <c r="AH748" s="0" t="s">
        <v>63</v>
      </c>
      <c r="AI748" s="0" t="s">
        <v>171</v>
      </c>
      <c r="AJ748" s="0" t="s">
        <v>117</v>
      </c>
      <c r="AK748" s="0" t="s">
        <v>50</v>
      </c>
      <c r="AL748" s="0" t="s">
        <v>50</v>
      </c>
      <c r="AM748" s="0" t="s">
        <v>63</v>
      </c>
      <c r="AN748" s="0" t="s">
        <v>64</v>
      </c>
      <c r="AO748" s="0" t="s">
        <v>50</v>
      </c>
    </row>
    <row r="749" customFormat="false" ht="15" hidden="false" customHeight="false" outlineLevel="0" collapsed="false">
      <c r="A749" s="0" t="s">
        <v>1791</v>
      </c>
      <c r="B749" s="2" t="s">
        <v>119</v>
      </c>
      <c r="C749" s="0" t="s">
        <v>121</v>
      </c>
      <c r="D749" s="0" t="n">
        <v>8011722586</v>
      </c>
      <c r="E749" s="0" t="s">
        <v>67</v>
      </c>
      <c r="F749" s="0" t="s">
        <v>2316</v>
      </c>
      <c r="G749" s="0" t="s">
        <v>1792</v>
      </c>
      <c r="H749" s="0" t="s">
        <v>45</v>
      </c>
      <c r="I749" s="3" t="s">
        <v>87</v>
      </c>
      <c r="J749" s="0" t="s">
        <v>2347</v>
      </c>
      <c r="K749" s="0" t="s">
        <v>109</v>
      </c>
      <c r="L749" s="4" t="n">
        <v>64339</v>
      </c>
      <c r="M749" s="0" t="s">
        <v>110</v>
      </c>
      <c r="N749" s="0" t="s">
        <v>63</v>
      </c>
      <c r="O749" s="5" t="n">
        <v>5</v>
      </c>
      <c r="P749" s="0" t="n">
        <v>3.4</v>
      </c>
      <c r="Q749" s="0" t="s">
        <v>92</v>
      </c>
      <c r="R749" s="0" t="s">
        <v>93</v>
      </c>
      <c r="S749" s="0" t="s">
        <v>53</v>
      </c>
      <c r="T749" s="0" t="s">
        <v>2353</v>
      </c>
      <c r="U749" s="5" t="n">
        <v>38.7096774193548</v>
      </c>
      <c r="V749" s="0" t="s">
        <v>96</v>
      </c>
      <c r="W749" s="0" t="s">
        <v>155</v>
      </c>
      <c r="X749" s="0" t="s">
        <v>78</v>
      </c>
      <c r="Y749" s="0" t="s">
        <v>58</v>
      </c>
      <c r="Z749" s="0" t="s">
        <v>177</v>
      </c>
      <c r="AA749" s="0" t="s">
        <v>143</v>
      </c>
      <c r="AB749" s="5" t="n">
        <v>20000</v>
      </c>
      <c r="AC749" s="5" t="n">
        <v>30000</v>
      </c>
      <c r="AD749" s="0" t="s">
        <v>50</v>
      </c>
      <c r="AE749" s="5" t="n">
        <v>5000</v>
      </c>
      <c r="AF749" s="0" t="s">
        <v>60</v>
      </c>
      <c r="AG749" s="7" t="s">
        <v>2330</v>
      </c>
      <c r="AH749" s="0" t="s">
        <v>50</v>
      </c>
      <c r="AI749" s="0" t="s">
        <v>116</v>
      </c>
      <c r="AJ749" s="0" t="s">
        <v>2320</v>
      </c>
      <c r="AK749" s="0" t="s">
        <v>50</v>
      </c>
      <c r="AL749" s="0" t="s">
        <v>63</v>
      </c>
      <c r="AM749" s="0" t="s">
        <v>63</v>
      </c>
      <c r="AN749" s="0" t="s">
        <v>2321</v>
      </c>
      <c r="AO749" s="0" t="s">
        <v>2359</v>
      </c>
    </row>
    <row r="750" customFormat="false" ht="15" hidden="false" customHeight="false" outlineLevel="0" collapsed="false">
      <c r="A750" s="0" t="s">
        <v>1793</v>
      </c>
      <c r="B750" s="2" t="s">
        <v>1339</v>
      </c>
      <c r="C750" s="0" t="s">
        <v>42</v>
      </c>
      <c r="D750" s="0" t="n">
        <v>8077202790</v>
      </c>
      <c r="E750" s="0" t="s">
        <v>139</v>
      </c>
      <c r="F750" s="0" t="s">
        <v>2323</v>
      </c>
      <c r="G750" s="0" t="s">
        <v>1794</v>
      </c>
      <c r="H750" s="0" t="s">
        <v>87</v>
      </c>
      <c r="I750" s="3" t="s">
        <v>2342</v>
      </c>
      <c r="J750" s="0" t="s">
        <v>189</v>
      </c>
      <c r="K750" s="0" t="s">
        <v>48</v>
      </c>
      <c r="L750" s="4" t="n">
        <v>60098</v>
      </c>
      <c r="M750" s="0" t="s">
        <v>2333</v>
      </c>
      <c r="N750" s="0" t="s">
        <v>63</v>
      </c>
      <c r="O750" s="5" t="n">
        <v>5</v>
      </c>
      <c r="P750" s="0" t="n">
        <v>1.9</v>
      </c>
      <c r="Q750" s="0" t="s">
        <v>92</v>
      </c>
      <c r="R750" s="0" t="s">
        <v>73</v>
      </c>
      <c r="S750" s="0" t="s">
        <v>2340</v>
      </c>
      <c r="T750" s="0" t="s">
        <v>2343</v>
      </c>
      <c r="U750" s="5" t="n">
        <v>30</v>
      </c>
      <c r="V750" s="0" t="s">
        <v>96</v>
      </c>
      <c r="W750" s="0" t="s">
        <v>2337</v>
      </c>
      <c r="X750" s="0" t="s">
        <v>128</v>
      </c>
      <c r="Y750" s="0" t="s">
        <v>196</v>
      </c>
      <c r="Z750" s="0" t="s">
        <v>2329</v>
      </c>
      <c r="AA750" s="0" t="s">
        <v>2329</v>
      </c>
      <c r="AB750" s="5" t="n">
        <v>25000</v>
      </c>
      <c r="AC750" s="5" t="n">
        <v>35000</v>
      </c>
      <c r="AD750" s="0" t="s">
        <v>50</v>
      </c>
      <c r="AE750" s="5" t="n">
        <v>0</v>
      </c>
      <c r="AF750" s="0" t="s">
        <v>60</v>
      </c>
      <c r="AG750" s="7" t="s">
        <v>2499</v>
      </c>
      <c r="AH750" s="0" t="s">
        <v>50</v>
      </c>
      <c r="AI750" s="0" t="s">
        <v>116</v>
      </c>
      <c r="AJ750" s="0" t="s">
        <v>172</v>
      </c>
      <c r="AK750" s="0" t="s">
        <v>50</v>
      </c>
      <c r="AL750" s="0" t="s">
        <v>63</v>
      </c>
      <c r="AM750" s="0" t="s">
        <v>2344</v>
      </c>
      <c r="AN750" s="0" t="s">
        <v>64</v>
      </c>
      <c r="AO750" s="0" t="s">
        <v>63</v>
      </c>
    </row>
    <row r="751" customFormat="false" ht="15" hidden="false" customHeight="false" outlineLevel="0" collapsed="false">
      <c r="A751" s="0" t="s">
        <v>1795</v>
      </c>
      <c r="B751" s="2" t="s">
        <v>1305</v>
      </c>
      <c r="C751" s="0" t="s">
        <v>163</v>
      </c>
      <c r="D751" s="0" t="n">
        <v>8060232033</v>
      </c>
      <c r="E751" s="0" t="s">
        <v>67</v>
      </c>
      <c r="F751" s="0" t="s">
        <v>2316</v>
      </c>
      <c r="G751" s="0" t="s">
        <v>1796</v>
      </c>
      <c r="H751" s="0" t="s">
        <v>134</v>
      </c>
      <c r="I751" s="3" t="s">
        <v>2317</v>
      </c>
      <c r="J751" s="0" t="s">
        <v>2339</v>
      </c>
      <c r="K751" s="0" t="s">
        <v>48</v>
      </c>
      <c r="L751" s="4" t="n">
        <v>89034</v>
      </c>
      <c r="M751" s="0" t="s">
        <v>2333</v>
      </c>
      <c r="N751" s="0" t="s">
        <v>50</v>
      </c>
      <c r="O751" s="5" t="n">
        <v>3</v>
      </c>
      <c r="P751" s="0" t="n">
        <v>4.1</v>
      </c>
      <c r="Q751" s="0" t="s">
        <v>125</v>
      </c>
      <c r="R751" s="0" t="s">
        <v>73</v>
      </c>
      <c r="S751" s="0" t="s">
        <v>53</v>
      </c>
      <c r="T751" s="0" t="s">
        <v>54</v>
      </c>
      <c r="U751" s="5" t="n">
        <v>30</v>
      </c>
      <c r="V751" s="0" t="s">
        <v>112</v>
      </c>
      <c r="W751" s="0" t="s">
        <v>155</v>
      </c>
      <c r="X751" s="0" t="s">
        <v>128</v>
      </c>
      <c r="Y751" s="0" t="s">
        <v>99</v>
      </c>
      <c r="Z751" s="0" t="s">
        <v>2326</v>
      </c>
      <c r="AA751" s="0" t="s">
        <v>143</v>
      </c>
      <c r="AB751" s="5" t="n">
        <v>40000</v>
      </c>
      <c r="AC751" s="5" t="n">
        <v>20000</v>
      </c>
      <c r="AD751" s="0" t="s">
        <v>63</v>
      </c>
      <c r="AE751" s="5" t="n">
        <v>10000</v>
      </c>
      <c r="AF751" s="0" t="s">
        <v>60</v>
      </c>
      <c r="AG751" s="7" t="s">
        <v>2330</v>
      </c>
      <c r="AH751" s="0" t="s">
        <v>50</v>
      </c>
      <c r="AI751" s="0" t="s">
        <v>2331</v>
      </c>
      <c r="AJ751" s="0" t="s">
        <v>172</v>
      </c>
      <c r="AK751" s="0" t="s">
        <v>50</v>
      </c>
      <c r="AL751" s="0" t="s">
        <v>63</v>
      </c>
      <c r="AM751" s="0" t="s">
        <v>2344</v>
      </c>
      <c r="AN751" s="0" t="s">
        <v>64</v>
      </c>
      <c r="AO751" s="0" t="s">
        <v>2359</v>
      </c>
    </row>
    <row r="752" customFormat="false" ht="15" hidden="false" customHeight="false" outlineLevel="0" collapsed="false">
      <c r="A752" s="0" t="s">
        <v>1797</v>
      </c>
      <c r="B752" s="2" t="s">
        <v>248</v>
      </c>
      <c r="C752" s="0" t="s">
        <v>105</v>
      </c>
      <c r="D752" s="0" t="n">
        <v>8075961801</v>
      </c>
      <c r="E752" s="0" t="s">
        <v>43</v>
      </c>
      <c r="F752" s="0" t="s">
        <v>2315</v>
      </c>
      <c r="G752" s="0" t="s">
        <v>1260</v>
      </c>
      <c r="H752" s="0" t="s">
        <v>87</v>
      </c>
      <c r="I752" s="3" t="s">
        <v>2325</v>
      </c>
      <c r="J752" s="0" t="s">
        <v>2341</v>
      </c>
      <c r="K752" s="0" t="s">
        <v>90</v>
      </c>
      <c r="L752" s="4" t="n">
        <v>82947</v>
      </c>
      <c r="M752" s="0" t="s">
        <v>49</v>
      </c>
      <c r="N752" s="0" t="s">
        <v>50</v>
      </c>
      <c r="O752" s="5" t="n">
        <v>5</v>
      </c>
      <c r="P752" s="0" t="n">
        <v>2</v>
      </c>
      <c r="Q752" s="0" t="s">
        <v>51</v>
      </c>
      <c r="R752" s="0" t="s">
        <v>93</v>
      </c>
      <c r="S752" s="0" t="s">
        <v>2366</v>
      </c>
      <c r="T752" s="0" t="s">
        <v>54</v>
      </c>
      <c r="U752" s="5" t="n">
        <v>60</v>
      </c>
      <c r="V752" s="0" t="s">
        <v>112</v>
      </c>
      <c r="W752" s="0" t="s">
        <v>155</v>
      </c>
      <c r="X752" s="0" t="s">
        <v>128</v>
      </c>
      <c r="Y752" s="0" t="s">
        <v>99</v>
      </c>
      <c r="Z752" s="0" t="s">
        <v>59</v>
      </c>
      <c r="AA752" s="0" t="s">
        <v>79</v>
      </c>
      <c r="AB752" s="5" t="n">
        <v>40000</v>
      </c>
      <c r="AC752" s="5" t="n">
        <v>30000</v>
      </c>
      <c r="AD752" s="0" t="s">
        <v>63</v>
      </c>
      <c r="AE752" s="5" t="n">
        <v>5000</v>
      </c>
      <c r="AF752" s="0" t="s">
        <v>2338</v>
      </c>
      <c r="AG752" s="7" t="s">
        <v>2455</v>
      </c>
      <c r="AH752" s="0" t="s">
        <v>50</v>
      </c>
      <c r="AI752" s="0" t="s">
        <v>116</v>
      </c>
      <c r="AJ752" s="0" t="s">
        <v>2320</v>
      </c>
      <c r="AK752" s="0" t="s">
        <v>2344</v>
      </c>
      <c r="AL752" s="0" t="s">
        <v>50</v>
      </c>
      <c r="AM752" s="0" t="s">
        <v>2344</v>
      </c>
      <c r="AN752" s="0" t="s">
        <v>2321</v>
      </c>
      <c r="AO752" s="0" t="s">
        <v>63</v>
      </c>
    </row>
    <row r="753" customFormat="false" ht="15" hidden="false" customHeight="false" outlineLevel="0" collapsed="false">
      <c r="A753" s="0" t="s">
        <v>1798</v>
      </c>
      <c r="B753" s="2" t="s">
        <v>305</v>
      </c>
      <c r="C753" s="0" t="s">
        <v>105</v>
      </c>
      <c r="D753" s="0" t="n">
        <v>8064298487</v>
      </c>
      <c r="E753" s="0" t="s">
        <v>43</v>
      </c>
      <c r="F753" s="0" t="s">
        <v>2315</v>
      </c>
      <c r="G753" s="0" t="s">
        <v>1799</v>
      </c>
      <c r="H753" s="0" t="s">
        <v>107</v>
      </c>
      <c r="I753" s="3" t="s">
        <v>87</v>
      </c>
      <c r="J753" s="0" t="s">
        <v>47</v>
      </c>
      <c r="K753" s="0" t="s">
        <v>109</v>
      </c>
      <c r="L753" s="4" t="n">
        <v>108291</v>
      </c>
      <c r="M753" s="0" t="s">
        <v>110</v>
      </c>
      <c r="N753" s="0" t="s">
        <v>63</v>
      </c>
      <c r="O753" s="5" t="n">
        <v>3.14851485148515</v>
      </c>
      <c r="P753" s="0" t="n">
        <v>1.9</v>
      </c>
      <c r="Q753" s="0" t="s">
        <v>92</v>
      </c>
      <c r="R753" s="0" t="s">
        <v>93</v>
      </c>
      <c r="S753" s="0" t="s">
        <v>2335</v>
      </c>
      <c r="T753" s="0" t="s">
        <v>2343</v>
      </c>
      <c r="U753" s="5" t="n">
        <v>45</v>
      </c>
      <c r="V753" s="0" t="s">
        <v>55</v>
      </c>
      <c r="W753" s="0" t="s">
        <v>2337</v>
      </c>
      <c r="X753" s="0" t="s">
        <v>128</v>
      </c>
      <c r="Y753" s="0" t="s">
        <v>99</v>
      </c>
      <c r="Z753" s="0" t="s">
        <v>2326</v>
      </c>
      <c r="AA753" s="0" t="s">
        <v>79</v>
      </c>
      <c r="AB753" s="5" t="n">
        <v>25000</v>
      </c>
      <c r="AC753" s="5" t="n">
        <v>30000</v>
      </c>
      <c r="AD753" s="0" t="s">
        <v>50</v>
      </c>
      <c r="AE753" s="5" t="n">
        <v>5000</v>
      </c>
      <c r="AF753" s="0" t="s">
        <v>60</v>
      </c>
      <c r="AG753" s="7" t="s">
        <v>2420</v>
      </c>
      <c r="AH753" s="0" t="s">
        <v>63</v>
      </c>
      <c r="AI753" s="0" t="s">
        <v>2331</v>
      </c>
      <c r="AJ753" s="0" t="s">
        <v>2320</v>
      </c>
      <c r="AK753" s="0" t="s">
        <v>50</v>
      </c>
      <c r="AL753" s="0" t="s">
        <v>50</v>
      </c>
      <c r="AM753" s="0" t="s">
        <v>2344</v>
      </c>
      <c r="AN753" s="0" t="s">
        <v>2321</v>
      </c>
      <c r="AO753" s="0" t="s">
        <v>50</v>
      </c>
    </row>
    <row r="754" customFormat="false" ht="15" hidden="false" customHeight="false" outlineLevel="0" collapsed="false">
      <c r="A754" s="0" t="s">
        <v>1800</v>
      </c>
      <c r="B754" s="2" t="s">
        <v>1082</v>
      </c>
      <c r="C754" s="0" t="s">
        <v>66</v>
      </c>
      <c r="D754" s="0" t="n">
        <v>8065810437</v>
      </c>
      <c r="E754" s="0" t="s">
        <v>67</v>
      </c>
      <c r="F754" s="0" t="s">
        <v>2316</v>
      </c>
      <c r="G754" s="0" t="s">
        <v>1801</v>
      </c>
      <c r="H754" s="0" t="s">
        <v>87</v>
      </c>
      <c r="I754" s="3" t="s">
        <v>87</v>
      </c>
      <c r="J754" s="0" t="s">
        <v>2347</v>
      </c>
      <c r="K754" s="0" t="s">
        <v>48</v>
      </c>
      <c r="L754" s="4" t="n">
        <v>48353</v>
      </c>
      <c r="M754" s="0" t="s">
        <v>110</v>
      </c>
      <c r="N754" s="0" t="s">
        <v>63</v>
      </c>
      <c r="O754" s="5" t="n">
        <v>5</v>
      </c>
      <c r="P754" s="0" t="n">
        <v>4.2</v>
      </c>
      <c r="Q754" s="0" t="s">
        <v>51</v>
      </c>
      <c r="R754" s="0" t="s">
        <v>73</v>
      </c>
      <c r="S754" s="0" t="s">
        <v>2340</v>
      </c>
      <c r="T754" s="0" t="s">
        <v>95</v>
      </c>
      <c r="U754" s="5" t="n">
        <v>15</v>
      </c>
      <c r="V754" s="0" t="s">
        <v>55</v>
      </c>
      <c r="W754" s="0" t="s">
        <v>2328</v>
      </c>
      <c r="X754" s="0" t="s">
        <v>78</v>
      </c>
      <c r="Y754" s="0" t="s">
        <v>196</v>
      </c>
      <c r="Z754" s="0" t="s">
        <v>2326</v>
      </c>
      <c r="AA754" s="0" t="s">
        <v>2329</v>
      </c>
      <c r="AB754" s="5" t="n">
        <v>26129.0322580645</v>
      </c>
      <c r="AC754" s="5" t="n">
        <v>20000</v>
      </c>
      <c r="AD754" s="0" t="s">
        <v>50</v>
      </c>
      <c r="AE754" s="5" t="n">
        <v>5000</v>
      </c>
      <c r="AF754" s="0" t="s">
        <v>60</v>
      </c>
      <c r="AG754" s="7" t="s">
        <v>970</v>
      </c>
      <c r="AH754" s="0" t="s">
        <v>50</v>
      </c>
      <c r="AI754" s="0" t="s">
        <v>2331</v>
      </c>
      <c r="AJ754" s="0" t="s">
        <v>117</v>
      </c>
      <c r="AK754" s="0" t="s">
        <v>50</v>
      </c>
      <c r="AL754" s="0" t="s">
        <v>50</v>
      </c>
      <c r="AM754" s="0" t="s">
        <v>2344</v>
      </c>
      <c r="AN754" s="0" t="s">
        <v>64</v>
      </c>
      <c r="AO754" s="0" t="s">
        <v>50</v>
      </c>
    </row>
    <row r="755" customFormat="false" ht="15" hidden="false" customHeight="false" outlineLevel="0" collapsed="false">
      <c r="A755" s="0" t="s">
        <v>1802</v>
      </c>
      <c r="B755" s="2" t="s">
        <v>2479</v>
      </c>
      <c r="C755" s="0" t="s">
        <v>163</v>
      </c>
      <c r="D755" s="0" t="n">
        <v>8062968985</v>
      </c>
      <c r="E755" s="0" t="s">
        <v>85</v>
      </c>
      <c r="F755" s="0" t="s">
        <v>2319</v>
      </c>
      <c r="G755" s="0" t="s">
        <v>1803</v>
      </c>
      <c r="H755" s="0" t="s">
        <v>69</v>
      </c>
      <c r="I755" s="3" t="s">
        <v>2322</v>
      </c>
      <c r="J755" s="0" t="s">
        <v>2341</v>
      </c>
      <c r="K755" s="0" t="s">
        <v>90</v>
      </c>
      <c r="L755" s="4" t="n">
        <v>23376</v>
      </c>
      <c r="M755" s="0" t="s">
        <v>2333</v>
      </c>
      <c r="N755" s="0" t="s">
        <v>63</v>
      </c>
      <c r="O755" s="5" t="n">
        <v>1</v>
      </c>
      <c r="P755" s="0" t="n">
        <v>2.8</v>
      </c>
      <c r="Q755" s="0" t="s">
        <v>2334</v>
      </c>
      <c r="R755" s="0" t="s">
        <v>52</v>
      </c>
      <c r="S755" s="0" t="s">
        <v>2340</v>
      </c>
      <c r="T755" s="0" t="s">
        <v>2343</v>
      </c>
      <c r="U755" s="5" t="n">
        <v>15</v>
      </c>
      <c r="V755" s="0" t="s">
        <v>2352</v>
      </c>
      <c r="W755" s="0" t="s">
        <v>2328</v>
      </c>
      <c r="X755" s="0" t="s">
        <v>128</v>
      </c>
      <c r="Y755" s="0" t="s">
        <v>99</v>
      </c>
      <c r="Z755" s="0" t="s">
        <v>2324</v>
      </c>
      <c r="AA755" s="0" t="s">
        <v>149</v>
      </c>
      <c r="AB755" s="5" t="n">
        <v>20000</v>
      </c>
      <c r="AC755" s="5" t="n">
        <v>40000</v>
      </c>
      <c r="AD755" s="0" t="s">
        <v>63</v>
      </c>
      <c r="AE755" s="5" t="n">
        <v>5000</v>
      </c>
      <c r="AF755" s="0" t="s">
        <v>130</v>
      </c>
      <c r="AG755" s="7" t="s">
        <v>486</v>
      </c>
      <c r="AH755" s="0" t="s">
        <v>50</v>
      </c>
      <c r="AI755" s="0" t="s">
        <v>2331</v>
      </c>
      <c r="AJ755" s="0" t="s">
        <v>2331</v>
      </c>
      <c r="AK755" s="0" t="s">
        <v>50</v>
      </c>
      <c r="AL755" s="0" t="s">
        <v>63</v>
      </c>
      <c r="AM755" s="0" t="s">
        <v>50</v>
      </c>
      <c r="AN755" s="0" t="s">
        <v>64</v>
      </c>
      <c r="AO755" s="0" t="s">
        <v>50</v>
      </c>
    </row>
    <row r="756" customFormat="false" ht="15" hidden="false" customHeight="false" outlineLevel="0" collapsed="false">
      <c r="A756" s="0" t="s">
        <v>1804</v>
      </c>
      <c r="B756" s="2" t="s">
        <v>669</v>
      </c>
      <c r="C756" s="0" t="s">
        <v>105</v>
      </c>
      <c r="D756" s="0" t="n">
        <v>8060082660</v>
      </c>
      <c r="E756" s="0" t="s">
        <v>139</v>
      </c>
      <c r="F756" s="0" t="s">
        <v>2323</v>
      </c>
      <c r="G756" s="0" t="s">
        <v>1805</v>
      </c>
      <c r="H756" s="0" t="s">
        <v>45</v>
      </c>
      <c r="I756" s="3" t="s">
        <v>2342</v>
      </c>
      <c r="J756" s="0" t="s">
        <v>2341</v>
      </c>
      <c r="K756" s="0" t="s">
        <v>109</v>
      </c>
      <c r="L756" s="4" t="n">
        <v>63855</v>
      </c>
      <c r="M756" s="0" t="s">
        <v>49</v>
      </c>
      <c r="N756" s="0" t="s">
        <v>50</v>
      </c>
      <c r="O756" s="5" t="n">
        <v>3.15</v>
      </c>
      <c r="P756" s="0" t="n">
        <v>1.5</v>
      </c>
      <c r="Q756" s="0" t="s">
        <v>125</v>
      </c>
      <c r="R756" s="0" t="s">
        <v>52</v>
      </c>
      <c r="S756" s="0" t="s">
        <v>2340</v>
      </c>
      <c r="T756" s="0" t="s">
        <v>75</v>
      </c>
      <c r="U756" s="5" t="n">
        <v>45</v>
      </c>
      <c r="V756" s="0" t="s">
        <v>112</v>
      </c>
      <c r="W756" s="0" t="s">
        <v>155</v>
      </c>
      <c r="X756" s="0" t="s">
        <v>98</v>
      </c>
      <c r="Y756" s="0" t="s">
        <v>114</v>
      </c>
      <c r="Z756" s="0" t="s">
        <v>59</v>
      </c>
      <c r="AA756" s="0" t="s">
        <v>79</v>
      </c>
      <c r="AB756" s="5" t="n">
        <v>27297.2972972973</v>
      </c>
      <c r="AC756" s="5" t="n">
        <v>31213.5922330097</v>
      </c>
      <c r="AD756" s="0" t="s">
        <v>63</v>
      </c>
      <c r="AE756" s="5" t="n">
        <v>0</v>
      </c>
      <c r="AF756" s="0" t="s">
        <v>60</v>
      </c>
      <c r="AG756" s="7" t="s">
        <v>974</v>
      </c>
      <c r="AH756" s="0" t="s">
        <v>63</v>
      </c>
      <c r="AI756" s="0" t="s">
        <v>116</v>
      </c>
      <c r="AJ756" s="0" t="s">
        <v>2320</v>
      </c>
      <c r="AK756" s="0" t="s">
        <v>50</v>
      </c>
      <c r="AL756" s="0" t="s">
        <v>50</v>
      </c>
      <c r="AM756" s="0" t="s">
        <v>2344</v>
      </c>
      <c r="AN756" s="0" t="s">
        <v>2321</v>
      </c>
      <c r="AO756" s="0" t="s">
        <v>63</v>
      </c>
    </row>
    <row r="757" customFormat="false" ht="15" hidden="false" customHeight="false" outlineLevel="0" collapsed="false">
      <c r="A757" s="0" t="s">
        <v>1806</v>
      </c>
      <c r="B757" s="2" t="s">
        <v>1082</v>
      </c>
      <c r="C757" s="0" t="s">
        <v>105</v>
      </c>
      <c r="D757" s="0" t="n">
        <v>8061544630</v>
      </c>
      <c r="E757" s="0" t="s">
        <v>67</v>
      </c>
      <c r="F757" s="0" t="s">
        <v>2316</v>
      </c>
      <c r="G757" s="0" t="s">
        <v>1807</v>
      </c>
      <c r="H757" s="0" t="s">
        <v>87</v>
      </c>
      <c r="I757" s="3" t="s">
        <v>2317</v>
      </c>
      <c r="J757" s="0" t="s">
        <v>2339</v>
      </c>
      <c r="K757" s="0" t="s">
        <v>48</v>
      </c>
      <c r="L757" s="4" t="n">
        <v>60070</v>
      </c>
      <c r="M757" s="0" t="s">
        <v>2333</v>
      </c>
      <c r="N757" s="0" t="s">
        <v>63</v>
      </c>
      <c r="O757" s="5" t="n">
        <v>2</v>
      </c>
      <c r="P757" s="0" t="n">
        <v>5.6</v>
      </c>
      <c r="Q757" s="0" t="s">
        <v>125</v>
      </c>
      <c r="R757" s="0" t="s">
        <v>52</v>
      </c>
      <c r="S757" s="0" t="s">
        <v>53</v>
      </c>
      <c r="T757" s="0" t="s">
        <v>2353</v>
      </c>
      <c r="U757" s="5" t="n">
        <v>45</v>
      </c>
      <c r="V757" s="0" t="s">
        <v>96</v>
      </c>
      <c r="W757" s="0" t="s">
        <v>148</v>
      </c>
      <c r="X757" s="0" t="s">
        <v>98</v>
      </c>
      <c r="Y757" s="0" t="s">
        <v>196</v>
      </c>
      <c r="Z757" s="0" t="s">
        <v>2324</v>
      </c>
      <c r="AA757" s="0" t="s">
        <v>79</v>
      </c>
      <c r="AB757" s="5" t="n">
        <v>40000</v>
      </c>
      <c r="AC757" s="5" t="n">
        <v>31213.5922330097</v>
      </c>
      <c r="AD757" s="0" t="s">
        <v>63</v>
      </c>
      <c r="AE757" s="5" t="n">
        <v>5000</v>
      </c>
      <c r="AF757" s="0" t="s">
        <v>60</v>
      </c>
      <c r="AG757" s="7" t="s">
        <v>2330</v>
      </c>
      <c r="AH757" s="0" t="s">
        <v>2329</v>
      </c>
      <c r="AI757" s="0" t="s">
        <v>2331</v>
      </c>
      <c r="AJ757" s="0" t="s">
        <v>2331</v>
      </c>
      <c r="AK757" s="0" t="s">
        <v>2344</v>
      </c>
      <c r="AL757" s="0" t="s">
        <v>50</v>
      </c>
      <c r="AM757" s="0" t="s">
        <v>63</v>
      </c>
      <c r="AN757" s="0" t="s">
        <v>2321</v>
      </c>
      <c r="AO757" s="0" t="s">
        <v>50</v>
      </c>
    </row>
    <row r="758" customFormat="false" ht="15" hidden="false" customHeight="false" outlineLevel="0" collapsed="false">
      <c r="A758" s="0" t="s">
        <v>1808</v>
      </c>
      <c r="B758" s="2" t="s">
        <v>1483</v>
      </c>
      <c r="C758" s="0" t="s">
        <v>163</v>
      </c>
      <c r="D758" s="0" t="n">
        <v>8075706438</v>
      </c>
      <c r="E758" s="0" t="s">
        <v>139</v>
      </c>
      <c r="F758" s="0" t="s">
        <v>2323</v>
      </c>
      <c r="G758" s="0" t="s">
        <v>1809</v>
      </c>
      <c r="H758" s="0" t="s">
        <v>45</v>
      </c>
      <c r="I758" s="3" t="s">
        <v>2317</v>
      </c>
      <c r="J758" s="0" t="s">
        <v>2347</v>
      </c>
      <c r="K758" s="0" t="s">
        <v>109</v>
      </c>
      <c r="L758" s="4" t="n">
        <v>23051</v>
      </c>
      <c r="M758" s="0" t="s">
        <v>2333</v>
      </c>
      <c r="N758" s="0" t="s">
        <v>63</v>
      </c>
      <c r="O758" s="5" t="n">
        <v>5</v>
      </c>
      <c r="P758" s="0" t="n">
        <v>3.4</v>
      </c>
      <c r="Q758" s="0" t="s">
        <v>51</v>
      </c>
      <c r="R758" s="0" t="s">
        <v>52</v>
      </c>
      <c r="S758" s="0" t="s">
        <v>2340</v>
      </c>
      <c r="T758" s="0" t="s">
        <v>75</v>
      </c>
      <c r="U758" s="5" t="n">
        <v>30</v>
      </c>
      <c r="V758" s="0" t="s">
        <v>96</v>
      </c>
      <c r="W758" s="0" t="s">
        <v>155</v>
      </c>
      <c r="X758" s="0" t="s">
        <v>128</v>
      </c>
      <c r="Y758" s="0" t="s">
        <v>99</v>
      </c>
      <c r="Z758" s="0" t="s">
        <v>59</v>
      </c>
      <c r="AA758" s="0" t="s">
        <v>161</v>
      </c>
      <c r="AB758" s="5" t="n">
        <v>40000</v>
      </c>
      <c r="AC758" s="5" t="n">
        <v>35000</v>
      </c>
      <c r="AD758" s="0" t="s">
        <v>50</v>
      </c>
      <c r="AE758" s="5" t="n">
        <v>5000</v>
      </c>
      <c r="AF758" s="0" t="s">
        <v>60</v>
      </c>
      <c r="AG758" s="7" t="s">
        <v>2330</v>
      </c>
      <c r="AH758" s="0" t="s">
        <v>2329</v>
      </c>
      <c r="AI758" s="0" t="s">
        <v>116</v>
      </c>
      <c r="AJ758" s="0" t="s">
        <v>117</v>
      </c>
      <c r="AK758" s="0" t="s">
        <v>2344</v>
      </c>
      <c r="AL758" s="0" t="s">
        <v>63</v>
      </c>
      <c r="AM758" s="0" t="s">
        <v>50</v>
      </c>
      <c r="AN758" s="0" t="s">
        <v>64</v>
      </c>
      <c r="AO758" s="0" t="s">
        <v>63</v>
      </c>
    </row>
    <row r="759" customFormat="false" ht="15" hidden="false" customHeight="false" outlineLevel="0" collapsed="false">
      <c r="A759" s="0" t="s">
        <v>1810</v>
      </c>
      <c r="B759" s="2" t="s">
        <v>1116</v>
      </c>
      <c r="C759" s="0" t="s">
        <v>121</v>
      </c>
      <c r="D759" s="0" t="n">
        <v>8051313669</v>
      </c>
      <c r="E759" s="0" t="s">
        <v>67</v>
      </c>
      <c r="F759" s="0" t="s">
        <v>2316</v>
      </c>
      <c r="G759" s="0" t="s">
        <v>1811</v>
      </c>
      <c r="H759" s="0" t="s">
        <v>87</v>
      </c>
      <c r="I759" s="3" t="s">
        <v>2322</v>
      </c>
      <c r="J759" s="0" t="s">
        <v>2341</v>
      </c>
      <c r="K759" s="0" t="s">
        <v>90</v>
      </c>
      <c r="L759" s="4" t="n">
        <v>29456</v>
      </c>
      <c r="M759" s="0" t="s">
        <v>49</v>
      </c>
      <c r="N759" s="0" t="s">
        <v>63</v>
      </c>
      <c r="O759" s="5" t="n">
        <v>3.14646464646465</v>
      </c>
      <c r="P759" s="0" t="n">
        <v>1.4</v>
      </c>
      <c r="Q759" s="0" t="s">
        <v>2334</v>
      </c>
      <c r="R759" s="0" t="s">
        <v>93</v>
      </c>
      <c r="S759" s="0" t="s">
        <v>2335</v>
      </c>
      <c r="T759" s="0" t="s">
        <v>147</v>
      </c>
      <c r="U759" s="5" t="n">
        <v>30</v>
      </c>
      <c r="V759" s="0" t="s">
        <v>112</v>
      </c>
      <c r="W759" s="0" t="s">
        <v>2337</v>
      </c>
      <c r="X759" s="0" t="s">
        <v>128</v>
      </c>
      <c r="Y759" s="0" t="s">
        <v>114</v>
      </c>
      <c r="Z759" s="0" t="s">
        <v>2329</v>
      </c>
      <c r="AA759" s="0" t="s">
        <v>2329</v>
      </c>
      <c r="AB759" s="5" t="n">
        <v>25000</v>
      </c>
      <c r="AC759" s="5" t="n">
        <v>30000</v>
      </c>
      <c r="AD759" s="0" t="s">
        <v>50</v>
      </c>
      <c r="AE759" s="5" t="n">
        <v>10000</v>
      </c>
      <c r="AF759" s="0" t="s">
        <v>60</v>
      </c>
      <c r="AG759" s="7" t="s">
        <v>2330</v>
      </c>
      <c r="AH759" s="0" t="s">
        <v>63</v>
      </c>
      <c r="AI759" s="0" t="s">
        <v>116</v>
      </c>
      <c r="AJ759" s="0" t="s">
        <v>172</v>
      </c>
      <c r="AK759" s="0" t="s">
        <v>50</v>
      </c>
      <c r="AL759" s="0" t="s">
        <v>50</v>
      </c>
      <c r="AM759" s="0" t="s">
        <v>2344</v>
      </c>
      <c r="AN759" s="0" t="s">
        <v>64</v>
      </c>
      <c r="AO759" s="0" t="s">
        <v>2359</v>
      </c>
    </row>
    <row r="760" customFormat="false" ht="15" hidden="false" customHeight="false" outlineLevel="0" collapsed="false">
      <c r="A760" s="0" t="s">
        <v>1812</v>
      </c>
      <c r="B760" s="2" t="s">
        <v>505</v>
      </c>
      <c r="C760" s="0" t="s">
        <v>163</v>
      </c>
      <c r="D760" s="0" t="n">
        <v>8096040102</v>
      </c>
      <c r="E760" s="0" t="s">
        <v>139</v>
      </c>
      <c r="F760" s="0" t="s">
        <v>2323</v>
      </c>
      <c r="G760" s="0" t="s">
        <v>1813</v>
      </c>
      <c r="H760" s="0" t="s">
        <v>45</v>
      </c>
      <c r="I760" s="3" t="s">
        <v>2325</v>
      </c>
      <c r="J760" s="0" t="s">
        <v>2349</v>
      </c>
      <c r="K760" s="0" t="s">
        <v>48</v>
      </c>
      <c r="L760" s="4" t="n">
        <v>38348</v>
      </c>
      <c r="M760" s="0" t="s">
        <v>110</v>
      </c>
      <c r="N760" s="0" t="s">
        <v>50</v>
      </c>
      <c r="O760" s="5" t="n">
        <v>2</v>
      </c>
      <c r="P760" s="0" t="n">
        <v>3.3</v>
      </c>
      <c r="Q760" s="0" t="s">
        <v>92</v>
      </c>
      <c r="R760" s="0" t="s">
        <v>93</v>
      </c>
      <c r="S760" s="0" t="s">
        <v>2366</v>
      </c>
      <c r="T760" s="0" t="s">
        <v>2343</v>
      </c>
      <c r="U760" s="5" t="n">
        <v>30</v>
      </c>
      <c r="V760" s="0" t="s">
        <v>96</v>
      </c>
      <c r="W760" s="0" t="s">
        <v>2337</v>
      </c>
      <c r="X760" s="0" t="s">
        <v>78</v>
      </c>
      <c r="Y760" s="0" t="s">
        <v>196</v>
      </c>
      <c r="Z760" s="0" t="s">
        <v>59</v>
      </c>
      <c r="AA760" s="0" t="s">
        <v>2329</v>
      </c>
      <c r="AB760" s="5" t="n">
        <v>26379.3103448276</v>
      </c>
      <c r="AC760" s="5" t="n">
        <v>20000</v>
      </c>
      <c r="AD760" s="0" t="s">
        <v>50</v>
      </c>
      <c r="AE760" s="5" t="n">
        <v>0</v>
      </c>
      <c r="AF760" s="0" t="s">
        <v>60</v>
      </c>
      <c r="AG760" s="7" t="s">
        <v>431</v>
      </c>
      <c r="AH760" s="0" t="s">
        <v>63</v>
      </c>
      <c r="AI760" s="0" t="s">
        <v>2331</v>
      </c>
      <c r="AJ760" s="0" t="s">
        <v>117</v>
      </c>
      <c r="AK760" s="0" t="s">
        <v>63</v>
      </c>
      <c r="AL760" s="0" t="s">
        <v>63</v>
      </c>
      <c r="AM760" s="0" t="s">
        <v>50</v>
      </c>
      <c r="AN760" s="0" t="s">
        <v>2321</v>
      </c>
      <c r="AO760" s="0" t="s">
        <v>50</v>
      </c>
    </row>
    <row r="761" customFormat="false" ht="15" hidden="false" customHeight="false" outlineLevel="0" collapsed="false">
      <c r="A761" s="0" t="s">
        <v>1814</v>
      </c>
      <c r="B761" s="2" t="s">
        <v>2413</v>
      </c>
      <c r="C761" s="0" t="s">
        <v>121</v>
      </c>
      <c r="D761" s="0" t="n">
        <v>8088961498</v>
      </c>
      <c r="E761" s="0" t="s">
        <v>43</v>
      </c>
      <c r="F761" s="0" t="s">
        <v>2315</v>
      </c>
      <c r="G761" s="0" t="s">
        <v>1815</v>
      </c>
      <c r="H761" s="0" t="s">
        <v>69</v>
      </c>
      <c r="I761" s="3" t="s">
        <v>87</v>
      </c>
      <c r="J761" s="0" t="s">
        <v>47</v>
      </c>
      <c r="K761" s="0" t="s">
        <v>109</v>
      </c>
      <c r="L761" s="4" t="n">
        <v>73564</v>
      </c>
      <c r="M761" s="0" t="s">
        <v>2333</v>
      </c>
      <c r="N761" s="0" t="s">
        <v>63</v>
      </c>
      <c r="O761" s="5" t="n">
        <v>1</v>
      </c>
      <c r="P761" s="0" t="n">
        <v>5.1</v>
      </c>
      <c r="Q761" s="0" t="s">
        <v>125</v>
      </c>
      <c r="R761" s="0" t="s">
        <v>73</v>
      </c>
      <c r="S761" s="0" t="s">
        <v>53</v>
      </c>
      <c r="T761" s="0" t="s">
        <v>54</v>
      </c>
      <c r="U761" s="5" t="n">
        <v>30</v>
      </c>
      <c r="V761" s="0" t="s">
        <v>2336</v>
      </c>
      <c r="W761" s="0" t="s">
        <v>2337</v>
      </c>
      <c r="X761" s="0" t="s">
        <v>78</v>
      </c>
      <c r="Y761" s="0" t="s">
        <v>58</v>
      </c>
      <c r="Z761" s="0" t="s">
        <v>2326</v>
      </c>
      <c r="AA761" s="0" t="s">
        <v>2329</v>
      </c>
      <c r="AB761" s="5" t="n">
        <v>20000</v>
      </c>
      <c r="AC761" s="5" t="n">
        <v>20000</v>
      </c>
      <c r="AD761" s="0" t="s">
        <v>50</v>
      </c>
      <c r="AE761" s="5" t="n">
        <v>0</v>
      </c>
      <c r="AF761" s="0" t="s">
        <v>184</v>
      </c>
      <c r="AG761" s="7" t="s">
        <v>2493</v>
      </c>
      <c r="AH761" s="0" t="s">
        <v>50</v>
      </c>
      <c r="AI761" s="0" t="s">
        <v>2331</v>
      </c>
      <c r="AJ761" s="0" t="s">
        <v>2331</v>
      </c>
      <c r="AK761" s="0" t="s">
        <v>63</v>
      </c>
      <c r="AL761" s="0" t="s">
        <v>50</v>
      </c>
      <c r="AM761" s="0" t="s">
        <v>2344</v>
      </c>
      <c r="AN761" s="0" t="s">
        <v>2321</v>
      </c>
      <c r="AO761" s="0" t="s">
        <v>50</v>
      </c>
    </row>
    <row r="762" customFormat="false" ht="15" hidden="false" customHeight="false" outlineLevel="0" collapsed="false">
      <c r="A762" s="0" t="s">
        <v>1816</v>
      </c>
      <c r="B762" s="2" t="s">
        <v>2332</v>
      </c>
      <c r="C762" s="0" t="s">
        <v>42</v>
      </c>
      <c r="D762" s="0" t="n">
        <v>8019560913</v>
      </c>
      <c r="E762" s="0" t="s">
        <v>67</v>
      </c>
      <c r="F762" s="0" t="s">
        <v>2316</v>
      </c>
      <c r="G762" s="0" t="s">
        <v>1817</v>
      </c>
      <c r="H762" s="0" t="s">
        <v>87</v>
      </c>
      <c r="I762" s="3" t="s">
        <v>87</v>
      </c>
      <c r="J762" s="0" t="s">
        <v>47</v>
      </c>
      <c r="K762" s="0" t="s">
        <v>109</v>
      </c>
      <c r="L762" s="4" t="n">
        <v>47572</v>
      </c>
      <c r="M762" s="0" t="s">
        <v>49</v>
      </c>
      <c r="N762" s="0" t="s">
        <v>63</v>
      </c>
      <c r="O762" s="5" t="n">
        <v>3.16326530612245</v>
      </c>
      <c r="P762" s="0" t="n">
        <v>4.6</v>
      </c>
      <c r="Q762" s="0" t="s">
        <v>2334</v>
      </c>
      <c r="R762" s="0" t="s">
        <v>93</v>
      </c>
      <c r="S762" s="0" t="s">
        <v>2340</v>
      </c>
      <c r="T762" s="0" t="s">
        <v>54</v>
      </c>
      <c r="U762" s="5" t="n">
        <v>60</v>
      </c>
      <c r="V762" s="0" t="s">
        <v>112</v>
      </c>
      <c r="W762" s="0" t="s">
        <v>148</v>
      </c>
      <c r="X762" s="0" t="s">
        <v>128</v>
      </c>
      <c r="Y762" s="0" t="s">
        <v>196</v>
      </c>
      <c r="Z762" s="0" t="s">
        <v>2326</v>
      </c>
      <c r="AA762" s="0" t="s">
        <v>79</v>
      </c>
      <c r="AB762" s="5" t="n">
        <v>15000</v>
      </c>
      <c r="AC762" s="5" t="n">
        <v>30000</v>
      </c>
      <c r="AD762" s="0" t="s">
        <v>50</v>
      </c>
      <c r="AE762" s="5" t="n">
        <v>5000</v>
      </c>
      <c r="AF762" s="0" t="s">
        <v>184</v>
      </c>
      <c r="AG762" s="7" t="s">
        <v>1818</v>
      </c>
      <c r="AH762" s="0" t="s">
        <v>63</v>
      </c>
      <c r="AI762" s="0" t="s">
        <v>171</v>
      </c>
      <c r="AJ762" s="0" t="s">
        <v>117</v>
      </c>
      <c r="AK762" s="0" t="s">
        <v>2344</v>
      </c>
      <c r="AL762" s="0" t="s">
        <v>50</v>
      </c>
      <c r="AM762" s="0" t="s">
        <v>2344</v>
      </c>
      <c r="AN762" s="0" t="s">
        <v>2321</v>
      </c>
      <c r="AO762" s="0" t="s">
        <v>50</v>
      </c>
    </row>
    <row r="763" customFormat="false" ht="15" hidden="false" customHeight="false" outlineLevel="0" collapsed="false">
      <c r="A763" s="0" t="s">
        <v>1819</v>
      </c>
      <c r="B763" s="2" t="s">
        <v>2362</v>
      </c>
      <c r="C763" s="0" t="s">
        <v>42</v>
      </c>
      <c r="D763" s="0" t="n">
        <v>8064866540</v>
      </c>
      <c r="E763" s="0" t="s">
        <v>139</v>
      </c>
      <c r="F763" s="0" t="s">
        <v>2323</v>
      </c>
      <c r="G763" s="0" t="s">
        <v>1820</v>
      </c>
      <c r="H763" s="0" t="s">
        <v>134</v>
      </c>
      <c r="I763" s="3" t="s">
        <v>2317</v>
      </c>
      <c r="J763" s="0" t="s">
        <v>189</v>
      </c>
      <c r="K763" s="0" t="s">
        <v>48</v>
      </c>
      <c r="L763" s="4" t="n">
        <v>16436</v>
      </c>
      <c r="M763" s="0" t="s">
        <v>2333</v>
      </c>
      <c r="N763" s="0" t="s">
        <v>50</v>
      </c>
      <c r="O763" s="5" t="n">
        <v>5</v>
      </c>
      <c r="P763" s="0" t="n">
        <v>1.1</v>
      </c>
      <c r="Q763" s="0" t="s">
        <v>2334</v>
      </c>
      <c r="R763" s="0" t="s">
        <v>93</v>
      </c>
      <c r="S763" s="0" t="s">
        <v>2340</v>
      </c>
      <c r="T763" s="0" t="s">
        <v>2353</v>
      </c>
      <c r="U763" s="5" t="n">
        <v>30</v>
      </c>
      <c r="V763" s="0" t="s">
        <v>96</v>
      </c>
      <c r="W763" s="0" t="s">
        <v>155</v>
      </c>
      <c r="X763" s="0" t="s">
        <v>128</v>
      </c>
      <c r="Y763" s="0" t="s">
        <v>196</v>
      </c>
      <c r="Z763" s="0" t="s">
        <v>2326</v>
      </c>
      <c r="AA763" s="0" t="s">
        <v>149</v>
      </c>
      <c r="AB763" s="5" t="n">
        <v>25000</v>
      </c>
      <c r="AC763" s="5" t="n">
        <v>40000</v>
      </c>
      <c r="AD763" s="0" t="s">
        <v>50</v>
      </c>
      <c r="AE763" s="5" t="n">
        <v>5000</v>
      </c>
      <c r="AF763" s="0" t="s">
        <v>2338</v>
      </c>
      <c r="AG763" s="7" t="s">
        <v>1919</v>
      </c>
      <c r="AH763" s="0" t="s">
        <v>50</v>
      </c>
      <c r="AI763" s="0" t="s">
        <v>171</v>
      </c>
      <c r="AJ763" s="0" t="s">
        <v>2331</v>
      </c>
      <c r="AK763" s="0" t="s">
        <v>2344</v>
      </c>
      <c r="AL763" s="0" t="s">
        <v>63</v>
      </c>
      <c r="AM763" s="0" t="s">
        <v>63</v>
      </c>
      <c r="AN763" s="0" t="s">
        <v>2318</v>
      </c>
      <c r="AO763" s="0" t="s">
        <v>50</v>
      </c>
    </row>
    <row r="764" customFormat="false" ht="15" hidden="false" customHeight="false" outlineLevel="0" collapsed="false">
      <c r="A764" s="0" t="s">
        <v>1821</v>
      </c>
      <c r="B764" s="2" t="s">
        <v>353</v>
      </c>
      <c r="C764" s="0" t="s">
        <v>121</v>
      </c>
      <c r="D764" s="0" t="n">
        <v>8015211257</v>
      </c>
      <c r="E764" s="0" t="s">
        <v>122</v>
      </c>
      <c r="F764" s="0" t="s">
        <v>2316</v>
      </c>
      <c r="G764" s="0" t="s">
        <v>1822</v>
      </c>
      <c r="H764" s="0" t="s">
        <v>134</v>
      </c>
      <c r="I764" s="3" t="s">
        <v>2342</v>
      </c>
      <c r="J764" s="0" t="s">
        <v>2341</v>
      </c>
      <c r="K764" s="0" t="s">
        <v>71</v>
      </c>
      <c r="L764" s="4" t="n">
        <v>73572</v>
      </c>
      <c r="M764" s="0" t="s">
        <v>2333</v>
      </c>
      <c r="N764" s="0" t="s">
        <v>63</v>
      </c>
      <c r="O764" s="5" t="n">
        <v>1</v>
      </c>
      <c r="P764" s="0" t="n">
        <v>5.9</v>
      </c>
      <c r="Q764" s="0" t="s">
        <v>125</v>
      </c>
      <c r="R764" s="0" t="s">
        <v>52</v>
      </c>
      <c r="S764" s="0" t="s">
        <v>2335</v>
      </c>
      <c r="T764" s="0" t="s">
        <v>95</v>
      </c>
      <c r="U764" s="5" t="n">
        <v>30</v>
      </c>
      <c r="V764" s="0" t="s">
        <v>2336</v>
      </c>
      <c r="W764" s="0" t="s">
        <v>155</v>
      </c>
      <c r="X764" s="0" t="s">
        <v>98</v>
      </c>
      <c r="Y764" s="0" t="s">
        <v>196</v>
      </c>
      <c r="Z764" s="0" t="s">
        <v>2324</v>
      </c>
      <c r="AA764" s="0" t="s">
        <v>149</v>
      </c>
      <c r="AB764" s="5" t="n">
        <v>40000</v>
      </c>
      <c r="AC764" s="5" t="n">
        <v>20000</v>
      </c>
      <c r="AD764" s="0" t="s">
        <v>63</v>
      </c>
      <c r="AE764" s="5" t="n">
        <v>0</v>
      </c>
      <c r="AF764" s="0" t="s">
        <v>60</v>
      </c>
      <c r="AG764" s="7" t="s">
        <v>1818</v>
      </c>
      <c r="AH764" s="0" t="s">
        <v>63</v>
      </c>
      <c r="AI764" s="0" t="s">
        <v>116</v>
      </c>
      <c r="AJ764" s="0" t="s">
        <v>117</v>
      </c>
      <c r="AK764" s="0" t="s">
        <v>50</v>
      </c>
      <c r="AL764" s="0" t="s">
        <v>50</v>
      </c>
      <c r="AM764" s="0" t="s">
        <v>2344</v>
      </c>
      <c r="AN764" s="0" t="s">
        <v>64</v>
      </c>
      <c r="AO764" s="0" t="s">
        <v>50</v>
      </c>
    </row>
    <row r="765" customFormat="false" ht="15" hidden="false" customHeight="false" outlineLevel="0" collapsed="false">
      <c r="A765" s="0" t="s">
        <v>1823</v>
      </c>
      <c r="B765" s="2" t="s">
        <v>2401</v>
      </c>
      <c r="C765" s="0" t="s">
        <v>163</v>
      </c>
      <c r="D765" s="0" t="n">
        <v>8026707088</v>
      </c>
      <c r="E765" s="0" t="s">
        <v>139</v>
      </c>
      <c r="F765" s="0" t="s">
        <v>2323</v>
      </c>
      <c r="G765" s="0" t="s">
        <v>1824</v>
      </c>
      <c r="H765" s="0" t="s">
        <v>69</v>
      </c>
      <c r="I765" s="3" t="s">
        <v>2325</v>
      </c>
      <c r="J765" s="0" t="s">
        <v>2347</v>
      </c>
      <c r="K765" s="0" t="s">
        <v>90</v>
      </c>
      <c r="L765" s="4" t="n">
        <v>72900</v>
      </c>
      <c r="M765" s="0" t="s">
        <v>2333</v>
      </c>
      <c r="N765" s="0" t="s">
        <v>50</v>
      </c>
      <c r="O765" s="5" t="n">
        <v>1</v>
      </c>
      <c r="P765" s="0" t="n">
        <v>1.7</v>
      </c>
      <c r="Q765" s="0" t="s">
        <v>111</v>
      </c>
      <c r="R765" s="0" t="s">
        <v>73</v>
      </c>
      <c r="S765" s="0" t="s">
        <v>2340</v>
      </c>
      <c r="T765" s="0" t="s">
        <v>2343</v>
      </c>
      <c r="U765" s="5" t="n">
        <v>30</v>
      </c>
      <c r="V765" s="0" t="s">
        <v>2352</v>
      </c>
      <c r="W765" s="0" t="s">
        <v>148</v>
      </c>
      <c r="X765" s="0" t="s">
        <v>128</v>
      </c>
      <c r="Y765" s="0" t="s">
        <v>99</v>
      </c>
      <c r="Z765" s="0" t="s">
        <v>59</v>
      </c>
      <c r="AA765" s="0" t="s">
        <v>143</v>
      </c>
      <c r="AB765" s="5" t="n">
        <v>25000</v>
      </c>
      <c r="AC765" s="5" t="n">
        <v>30000</v>
      </c>
      <c r="AD765" s="0" t="s">
        <v>50</v>
      </c>
      <c r="AE765" s="5" t="n">
        <v>5000</v>
      </c>
      <c r="AF765" s="0" t="s">
        <v>130</v>
      </c>
      <c r="AG765" s="7" t="s">
        <v>2330</v>
      </c>
      <c r="AH765" s="0" t="s">
        <v>63</v>
      </c>
      <c r="AI765" s="0" t="s">
        <v>171</v>
      </c>
      <c r="AJ765" s="0" t="s">
        <v>172</v>
      </c>
      <c r="AK765" s="0" t="s">
        <v>50</v>
      </c>
      <c r="AL765" s="0" t="s">
        <v>50</v>
      </c>
      <c r="AM765" s="0" t="s">
        <v>50</v>
      </c>
      <c r="AN765" s="0" t="s">
        <v>2321</v>
      </c>
      <c r="AO765" s="0" t="s">
        <v>50</v>
      </c>
    </row>
    <row r="766" customFormat="false" ht="15" hidden="false" customHeight="false" outlineLevel="0" collapsed="false">
      <c r="A766" s="0" t="s">
        <v>1825</v>
      </c>
      <c r="B766" s="2" t="s">
        <v>2471</v>
      </c>
      <c r="C766" s="0" t="s">
        <v>66</v>
      </c>
      <c r="D766" s="0" t="n">
        <v>8061650472</v>
      </c>
      <c r="E766" s="0" t="s">
        <v>67</v>
      </c>
      <c r="F766" s="0" t="s">
        <v>2316</v>
      </c>
      <c r="G766" s="0" t="s">
        <v>1826</v>
      </c>
      <c r="H766" s="0" t="s">
        <v>134</v>
      </c>
      <c r="I766" s="3" t="s">
        <v>87</v>
      </c>
      <c r="J766" s="0" t="s">
        <v>2339</v>
      </c>
      <c r="K766" s="0" t="s">
        <v>48</v>
      </c>
      <c r="L766" s="4" t="n">
        <v>84844</v>
      </c>
      <c r="M766" s="0" t="s">
        <v>110</v>
      </c>
      <c r="N766" s="0" t="s">
        <v>63</v>
      </c>
      <c r="O766" s="5" t="n">
        <v>2</v>
      </c>
      <c r="P766" s="0" t="n">
        <v>5.7</v>
      </c>
      <c r="Q766" s="0" t="s">
        <v>92</v>
      </c>
      <c r="R766" s="0" t="s">
        <v>52</v>
      </c>
      <c r="S766" s="0" t="s">
        <v>2340</v>
      </c>
      <c r="T766" s="0" t="s">
        <v>147</v>
      </c>
      <c r="U766" s="5" t="n">
        <v>60</v>
      </c>
      <c r="V766" s="0" t="s">
        <v>96</v>
      </c>
      <c r="W766" s="0" t="s">
        <v>148</v>
      </c>
      <c r="X766" s="0" t="s">
        <v>128</v>
      </c>
      <c r="Y766" s="0" t="s">
        <v>196</v>
      </c>
      <c r="Z766" s="0" t="s">
        <v>59</v>
      </c>
      <c r="AA766" s="0" t="s">
        <v>143</v>
      </c>
      <c r="AB766" s="5" t="n">
        <v>25000</v>
      </c>
      <c r="AC766" s="5" t="n">
        <v>30000</v>
      </c>
      <c r="AD766" s="0" t="s">
        <v>63</v>
      </c>
      <c r="AE766" s="5" t="n">
        <v>5000</v>
      </c>
      <c r="AF766" s="0" t="s">
        <v>2338</v>
      </c>
      <c r="AG766" s="7" t="s">
        <v>2330</v>
      </c>
      <c r="AH766" s="0" t="s">
        <v>63</v>
      </c>
      <c r="AI766" s="0" t="s">
        <v>116</v>
      </c>
      <c r="AJ766" s="0" t="s">
        <v>2320</v>
      </c>
      <c r="AK766" s="0" t="s">
        <v>2344</v>
      </c>
      <c r="AL766" s="0" t="s">
        <v>50</v>
      </c>
      <c r="AM766" s="0" t="s">
        <v>50</v>
      </c>
      <c r="AN766" s="0" t="s">
        <v>2318</v>
      </c>
      <c r="AO766" s="0" t="s">
        <v>63</v>
      </c>
    </row>
    <row r="767" customFormat="false" ht="15" hidden="false" customHeight="false" outlineLevel="0" collapsed="false">
      <c r="A767" s="0" t="s">
        <v>1827</v>
      </c>
      <c r="B767" s="2" t="s">
        <v>1113</v>
      </c>
      <c r="C767" s="0" t="s">
        <v>105</v>
      </c>
      <c r="D767" s="0" t="n">
        <v>8085914700</v>
      </c>
      <c r="E767" s="0" t="s">
        <v>139</v>
      </c>
      <c r="F767" s="0" t="s">
        <v>2323</v>
      </c>
      <c r="G767" s="0" t="s">
        <v>1644</v>
      </c>
      <c r="H767" s="0" t="s">
        <v>45</v>
      </c>
      <c r="I767" s="3" t="s">
        <v>2322</v>
      </c>
      <c r="J767" s="0" t="s">
        <v>2341</v>
      </c>
      <c r="K767" s="0" t="s">
        <v>71</v>
      </c>
      <c r="L767" s="4" t="n">
        <v>44887</v>
      </c>
      <c r="M767" s="0" t="s">
        <v>49</v>
      </c>
      <c r="N767" s="0" t="s">
        <v>63</v>
      </c>
      <c r="O767" s="5" t="n">
        <v>4</v>
      </c>
      <c r="P767" s="0" t="n">
        <v>5.1</v>
      </c>
      <c r="Q767" s="0" t="s">
        <v>111</v>
      </c>
      <c r="R767" s="0" t="s">
        <v>93</v>
      </c>
      <c r="S767" s="0" t="s">
        <v>2366</v>
      </c>
      <c r="T767" s="0" t="s">
        <v>75</v>
      </c>
      <c r="U767" s="5" t="n">
        <v>30</v>
      </c>
      <c r="V767" s="0" t="s">
        <v>96</v>
      </c>
      <c r="W767" s="0" t="s">
        <v>155</v>
      </c>
      <c r="X767" s="0" t="s">
        <v>78</v>
      </c>
      <c r="Y767" s="0" t="s">
        <v>196</v>
      </c>
      <c r="Z767" s="0" t="s">
        <v>2329</v>
      </c>
      <c r="AA767" s="0" t="s">
        <v>2329</v>
      </c>
      <c r="AB767" s="5" t="n">
        <v>15000</v>
      </c>
      <c r="AC767" s="5" t="n">
        <v>31345.1776649746</v>
      </c>
      <c r="AD767" s="0" t="s">
        <v>63</v>
      </c>
      <c r="AE767" s="5" t="n">
        <v>5000</v>
      </c>
      <c r="AF767" s="0" t="s">
        <v>2338</v>
      </c>
      <c r="AG767" s="7" t="s">
        <v>2502</v>
      </c>
      <c r="AH767" s="0" t="s">
        <v>63</v>
      </c>
      <c r="AI767" s="0" t="s">
        <v>171</v>
      </c>
      <c r="AJ767" s="0" t="s">
        <v>2331</v>
      </c>
      <c r="AK767" s="0" t="s">
        <v>63</v>
      </c>
      <c r="AL767" s="0" t="s">
        <v>2344</v>
      </c>
      <c r="AM767" s="0" t="s">
        <v>2344</v>
      </c>
      <c r="AN767" s="0" t="s">
        <v>2318</v>
      </c>
      <c r="AO767" s="0" t="s">
        <v>63</v>
      </c>
    </row>
    <row r="768" customFormat="false" ht="15" hidden="false" customHeight="false" outlineLevel="0" collapsed="false">
      <c r="A768" s="0" t="s">
        <v>1828</v>
      </c>
      <c r="B768" s="2" t="s">
        <v>2433</v>
      </c>
      <c r="C768" s="0" t="s">
        <v>42</v>
      </c>
      <c r="D768" s="0" t="n">
        <v>8031791910</v>
      </c>
      <c r="E768" s="0" t="s">
        <v>67</v>
      </c>
      <c r="F768" s="0" t="s">
        <v>2316</v>
      </c>
      <c r="G768" s="0" t="s">
        <v>1829</v>
      </c>
      <c r="H768" s="0" t="s">
        <v>107</v>
      </c>
      <c r="I768" s="3" t="s">
        <v>87</v>
      </c>
      <c r="J768" s="0" t="s">
        <v>47</v>
      </c>
      <c r="K768" s="0" t="s">
        <v>109</v>
      </c>
      <c r="L768" s="4" t="n">
        <v>42537</v>
      </c>
      <c r="M768" s="0" t="s">
        <v>110</v>
      </c>
      <c r="N768" s="0" t="s">
        <v>63</v>
      </c>
      <c r="O768" s="5" t="n">
        <v>4</v>
      </c>
      <c r="P768" s="0" t="n">
        <v>2.8</v>
      </c>
      <c r="Q768" s="0" t="s">
        <v>2334</v>
      </c>
      <c r="R768" s="0" t="s">
        <v>73</v>
      </c>
      <c r="S768" s="0" t="s">
        <v>2340</v>
      </c>
      <c r="T768" s="0" t="s">
        <v>2343</v>
      </c>
      <c r="U768" s="5" t="n">
        <v>45</v>
      </c>
      <c r="V768" s="0" t="s">
        <v>96</v>
      </c>
      <c r="W768" s="0" t="s">
        <v>155</v>
      </c>
      <c r="X768" s="0" t="s">
        <v>98</v>
      </c>
      <c r="Y768" s="0" t="s">
        <v>58</v>
      </c>
      <c r="Z768" s="0" t="s">
        <v>177</v>
      </c>
      <c r="AA768" s="0" t="s">
        <v>143</v>
      </c>
      <c r="AB768" s="5" t="n">
        <v>20000</v>
      </c>
      <c r="AC768" s="5" t="n">
        <v>31345.1776649746</v>
      </c>
      <c r="AD768" s="0" t="s">
        <v>50</v>
      </c>
      <c r="AE768" s="5" t="n">
        <v>5000</v>
      </c>
      <c r="AF768" s="0" t="s">
        <v>2338</v>
      </c>
      <c r="AG768" s="7" t="s">
        <v>2442</v>
      </c>
      <c r="AH768" s="0" t="s">
        <v>50</v>
      </c>
      <c r="AI768" s="0" t="s">
        <v>2331</v>
      </c>
      <c r="AJ768" s="0" t="s">
        <v>2331</v>
      </c>
      <c r="AK768" s="0" t="s">
        <v>50</v>
      </c>
      <c r="AL768" s="0" t="s">
        <v>2344</v>
      </c>
      <c r="AM768" s="0" t="s">
        <v>63</v>
      </c>
      <c r="AN768" s="0" t="s">
        <v>2321</v>
      </c>
      <c r="AO768" s="0" t="s">
        <v>50</v>
      </c>
    </row>
    <row r="769" customFormat="false" ht="15" hidden="false" customHeight="false" outlineLevel="0" collapsed="false">
      <c r="A769" s="0" t="s">
        <v>1830</v>
      </c>
      <c r="B769" s="2" t="s">
        <v>305</v>
      </c>
      <c r="C769" s="0" t="s">
        <v>42</v>
      </c>
      <c r="D769" s="0" t="n">
        <v>8036068867</v>
      </c>
      <c r="E769" s="0" t="s">
        <v>67</v>
      </c>
      <c r="F769" s="0" t="s">
        <v>2316</v>
      </c>
      <c r="G769" s="0" t="s">
        <v>1831</v>
      </c>
      <c r="H769" s="0" t="s">
        <v>134</v>
      </c>
      <c r="I769" s="3" t="s">
        <v>2322</v>
      </c>
      <c r="J769" s="0" t="s">
        <v>47</v>
      </c>
      <c r="K769" s="0" t="s">
        <v>71</v>
      </c>
      <c r="L769" s="4" t="n">
        <v>40578</v>
      </c>
      <c r="M769" s="0" t="s">
        <v>2333</v>
      </c>
      <c r="N769" s="0" t="s">
        <v>50</v>
      </c>
      <c r="O769" s="5" t="n">
        <v>4</v>
      </c>
      <c r="P769" s="0" t="n">
        <v>3.7</v>
      </c>
      <c r="Q769" s="0" t="s">
        <v>2334</v>
      </c>
      <c r="R769" s="0" t="s">
        <v>52</v>
      </c>
      <c r="S769" s="0" t="s">
        <v>53</v>
      </c>
      <c r="T769" s="0" t="s">
        <v>147</v>
      </c>
      <c r="U769" s="5" t="n">
        <v>15</v>
      </c>
      <c r="V769" s="0" t="s">
        <v>55</v>
      </c>
      <c r="W769" s="0" t="s">
        <v>2337</v>
      </c>
      <c r="X769" s="0" t="s">
        <v>128</v>
      </c>
      <c r="Y769" s="0" t="s">
        <v>196</v>
      </c>
      <c r="Z769" s="0" t="s">
        <v>59</v>
      </c>
      <c r="AA769" s="0" t="s">
        <v>161</v>
      </c>
      <c r="AB769" s="5" t="n">
        <v>26515.1515151515</v>
      </c>
      <c r="AC769" s="5" t="n">
        <v>20000</v>
      </c>
      <c r="AD769" s="0" t="s">
        <v>50</v>
      </c>
      <c r="AE769" s="5" t="n">
        <v>0</v>
      </c>
      <c r="AF769" s="0" t="s">
        <v>2338</v>
      </c>
      <c r="AG769" s="7" t="s">
        <v>2330</v>
      </c>
      <c r="AH769" s="0" t="s">
        <v>63</v>
      </c>
      <c r="AI769" s="0" t="s">
        <v>2331</v>
      </c>
      <c r="AJ769" s="0" t="s">
        <v>172</v>
      </c>
      <c r="AK769" s="0" t="s">
        <v>2344</v>
      </c>
      <c r="AL769" s="0" t="s">
        <v>50</v>
      </c>
      <c r="AM769" s="0" t="s">
        <v>2344</v>
      </c>
      <c r="AN769" s="0" t="s">
        <v>2321</v>
      </c>
      <c r="AO769" s="0" t="s">
        <v>50</v>
      </c>
    </row>
    <row r="770" customFormat="false" ht="15" hidden="false" customHeight="false" outlineLevel="0" collapsed="false">
      <c r="A770" s="0" t="s">
        <v>1832</v>
      </c>
      <c r="B770" s="2" t="s">
        <v>2362</v>
      </c>
      <c r="C770" s="0" t="s">
        <v>121</v>
      </c>
      <c r="D770" s="0" t="n">
        <v>8068558918</v>
      </c>
      <c r="E770" s="0" t="s">
        <v>67</v>
      </c>
      <c r="F770" s="0" t="s">
        <v>2316</v>
      </c>
      <c r="G770" s="0" t="s">
        <v>1833</v>
      </c>
      <c r="H770" s="0" t="s">
        <v>87</v>
      </c>
      <c r="I770" s="3" t="s">
        <v>2342</v>
      </c>
      <c r="J770" s="0" t="s">
        <v>47</v>
      </c>
      <c r="K770" s="0" t="s">
        <v>71</v>
      </c>
      <c r="L770" s="4" t="n">
        <v>118909</v>
      </c>
      <c r="M770" s="0" t="s">
        <v>110</v>
      </c>
      <c r="N770" s="0" t="s">
        <v>50</v>
      </c>
      <c r="O770" s="5" t="n">
        <v>1</v>
      </c>
      <c r="P770" s="0" t="n">
        <v>1.6</v>
      </c>
      <c r="Q770" s="0" t="s">
        <v>92</v>
      </c>
      <c r="R770" s="0" t="s">
        <v>73</v>
      </c>
      <c r="S770" s="0" t="s">
        <v>53</v>
      </c>
      <c r="T770" s="0" t="s">
        <v>75</v>
      </c>
      <c r="U770" s="5" t="n">
        <v>60</v>
      </c>
      <c r="V770" s="0" t="s">
        <v>2352</v>
      </c>
      <c r="W770" s="0" t="s">
        <v>155</v>
      </c>
      <c r="X770" s="0" t="s">
        <v>128</v>
      </c>
      <c r="Y770" s="0" t="s">
        <v>196</v>
      </c>
      <c r="Z770" s="0" t="s">
        <v>2324</v>
      </c>
      <c r="AA770" s="0" t="s">
        <v>161</v>
      </c>
      <c r="AB770" s="5" t="n">
        <v>30000</v>
      </c>
      <c r="AC770" s="5" t="n">
        <v>40000</v>
      </c>
      <c r="AD770" s="0" t="s">
        <v>50</v>
      </c>
      <c r="AE770" s="5" t="n">
        <v>10000</v>
      </c>
      <c r="AF770" s="0" t="s">
        <v>60</v>
      </c>
      <c r="AG770" s="7" t="s">
        <v>781</v>
      </c>
      <c r="AH770" s="0" t="s">
        <v>2329</v>
      </c>
      <c r="AI770" s="0" t="s">
        <v>2331</v>
      </c>
      <c r="AJ770" s="0" t="s">
        <v>2331</v>
      </c>
      <c r="AK770" s="0" t="s">
        <v>50</v>
      </c>
      <c r="AL770" s="0" t="s">
        <v>50</v>
      </c>
      <c r="AM770" s="0" t="s">
        <v>63</v>
      </c>
      <c r="AN770" s="0" t="s">
        <v>2321</v>
      </c>
      <c r="AO770" s="0" t="s">
        <v>63</v>
      </c>
    </row>
    <row r="771" customFormat="false" ht="15" hidden="false" customHeight="false" outlineLevel="0" collapsed="false">
      <c r="A771" s="0" t="s">
        <v>1834</v>
      </c>
      <c r="B771" s="2" t="s">
        <v>2379</v>
      </c>
      <c r="C771" s="0" t="s">
        <v>66</v>
      </c>
      <c r="D771" s="0" t="n">
        <v>8044260204</v>
      </c>
      <c r="E771" s="0" t="s">
        <v>85</v>
      </c>
      <c r="F771" s="0" t="s">
        <v>2319</v>
      </c>
      <c r="G771" s="0" t="s">
        <v>1835</v>
      </c>
      <c r="H771" s="0" t="s">
        <v>134</v>
      </c>
      <c r="I771" s="3" t="s">
        <v>2322</v>
      </c>
      <c r="J771" s="0" t="s">
        <v>2349</v>
      </c>
      <c r="K771" s="0" t="s">
        <v>48</v>
      </c>
      <c r="L771" s="4" t="n">
        <v>32832</v>
      </c>
      <c r="M771" s="0" t="s">
        <v>110</v>
      </c>
      <c r="N771" s="0" t="s">
        <v>50</v>
      </c>
      <c r="O771" s="5" t="n">
        <v>3.18085106382979</v>
      </c>
      <c r="P771" s="0" t="n">
        <v>1.2</v>
      </c>
      <c r="Q771" s="0" t="s">
        <v>125</v>
      </c>
      <c r="R771" s="0" t="s">
        <v>93</v>
      </c>
      <c r="S771" s="0" t="s">
        <v>2335</v>
      </c>
      <c r="T771" s="0" t="s">
        <v>54</v>
      </c>
      <c r="U771" s="5" t="n">
        <v>45</v>
      </c>
      <c r="V771" s="0" t="s">
        <v>55</v>
      </c>
      <c r="W771" s="0" t="s">
        <v>155</v>
      </c>
      <c r="X771" s="0" t="s">
        <v>98</v>
      </c>
      <c r="Y771" s="0" t="s">
        <v>99</v>
      </c>
      <c r="Z771" s="0" t="s">
        <v>2324</v>
      </c>
      <c r="AA771" s="0" t="s">
        <v>79</v>
      </c>
      <c r="AB771" s="5" t="n">
        <v>30000</v>
      </c>
      <c r="AC771" s="5" t="n">
        <v>20000</v>
      </c>
      <c r="AD771" s="0" t="s">
        <v>50</v>
      </c>
      <c r="AE771" s="5" t="n">
        <v>10000</v>
      </c>
      <c r="AF771" s="0" t="s">
        <v>184</v>
      </c>
      <c r="AG771" s="7" t="s">
        <v>2406</v>
      </c>
      <c r="AH771" s="0" t="s">
        <v>2329</v>
      </c>
      <c r="AI771" s="0" t="s">
        <v>116</v>
      </c>
      <c r="AJ771" s="0" t="s">
        <v>172</v>
      </c>
      <c r="AK771" s="0" t="s">
        <v>50</v>
      </c>
      <c r="AL771" s="0" t="s">
        <v>50</v>
      </c>
      <c r="AM771" s="0" t="s">
        <v>50</v>
      </c>
      <c r="AN771" s="0" t="s">
        <v>2318</v>
      </c>
      <c r="AO771" s="0" t="s">
        <v>63</v>
      </c>
    </row>
    <row r="772" customFormat="false" ht="15" hidden="false" customHeight="false" outlineLevel="0" collapsed="false">
      <c r="A772" s="0" t="s">
        <v>1836</v>
      </c>
      <c r="B772" s="2" t="s">
        <v>2469</v>
      </c>
      <c r="C772" s="0" t="s">
        <v>163</v>
      </c>
      <c r="D772" s="0" t="n">
        <v>8056785439</v>
      </c>
      <c r="E772" s="0" t="s">
        <v>139</v>
      </c>
      <c r="F772" s="0" t="s">
        <v>2323</v>
      </c>
      <c r="G772" s="0" t="s">
        <v>1837</v>
      </c>
      <c r="H772" s="0" t="s">
        <v>45</v>
      </c>
      <c r="I772" s="3" t="s">
        <v>2317</v>
      </c>
      <c r="J772" s="0" t="s">
        <v>2347</v>
      </c>
      <c r="K772" s="0" t="s">
        <v>90</v>
      </c>
      <c r="L772" s="4" t="n">
        <v>109902</v>
      </c>
      <c r="M772" s="0" t="s">
        <v>2333</v>
      </c>
      <c r="N772" s="0" t="s">
        <v>50</v>
      </c>
      <c r="O772" s="5" t="n">
        <v>3.18085106382979</v>
      </c>
      <c r="P772" s="0" t="n">
        <v>1.5</v>
      </c>
      <c r="Q772" s="0" t="s">
        <v>111</v>
      </c>
      <c r="R772" s="0" t="s">
        <v>52</v>
      </c>
      <c r="S772" s="0" t="s">
        <v>53</v>
      </c>
      <c r="T772" s="0" t="s">
        <v>2353</v>
      </c>
      <c r="U772" s="5" t="n">
        <v>40.1785714285714</v>
      </c>
      <c r="V772" s="0" t="s">
        <v>112</v>
      </c>
      <c r="W772" s="0" t="s">
        <v>2337</v>
      </c>
      <c r="X772" s="0" t="s">
        <v>78</v>
      </c>
      <c r="Y772" s="0" t="s">
        <v>196</v>
      </c>
      <c r="Z772" s="0" t="s">
        <v>2324</v>
      </c>
      <c r="AA772" s="0" t="s">
        <v>2329</v>
      </c>
      <c r="AB772" s="5" t="n">
        <v>40000</v>
      </c>
      <c r="AC772" s="5" t="n">
        <v>30000</v>
      </c>
      <c r="AD772" s="0" t="s">
        <v>50</v>
      </c>
      <c r="AE772" s="5" t="n">
        <v>0</v>
      </c>
      <c r="AF772" s="0" t="s">
        <v>60</v>
      </c>
      <c r="AG772" s="7" t="s">
        <v>703</v>
      </c>
      <c r="AH772" s="0" t="s">
        <v>63</v>
      </c>
      <c r="AI772" s="0" t="s">
        <v>171</v>
      </c>
      <c r="AJ772" s="0" t="s">
        <v>2331</v>
      </c>
      <c r="AK772" s="0" t="s">
        <v>63</v>
      </c>
      <c r="AL772" s="0" t="s">
        <v>50</v>
      </c>
      <c r="AM772" s="0" t="s">
        <v>2344</v>
      </c>
      <c r="AN772" s="0" t="s">
        <v>2318</v>
      </c>
      <c r="AO772" s="0" t="s">
        <v>50</v>
      </c>
    </row>
    <row r="773" customFormat="false" ht="15" hidden="false" customHeight="false" outlineLevel="0" collapsed="false">
      <c r="A773" s="0" t="s">
        <v>1838</v>
      </c>
      <c r="B773" s="2" t="s">
        <v>1629</v>
      </c>
      <c r="C773" s="0" t="s">
        <v>66</v>
      </c>
      <c r="D773" s="0" t="n">
        <v>8078398476</v>
      </c>
      <c r="E773" s="0" t="s">
        <v>67</v>
      </c>
      <c r="F773" s="0" t="s">
        <v>2316</v>
      </c>
      <c r="G773" s="0" t="s">
        <v>1839</v>
      </c>
      <c r="H773" s="0" t="s">
        <v>87</v>
      </c>
      <c r="I773" s="3" t="s">
        <v>2325</v>
      </c>
      <c r="J773" s="0" t="s">
        <v>2339</v>
      </c>
      <c r="K773" s="0" t="s">
        <v>48</v>
      </c>
      <c r="L773" s="4" t="n">
        <v>52247</v>
      </c>
      <c r="M773" s="0" t="s">
        <v>49</v>
      </c>
      <c r="N773" s="0" t="s">
        <v>50</v>
      </c>
      <c r="O773" s="5" t="n">
        <v>3.18085106382979</v>
      </c>
      <c r="P773" s="0" t="n">
        <v>3.9</v>
      </c>
      <c r="Q773" s="0" t="s">
        <v>92</v>
      </c>
      <c r="R773" s="0" t="s">
        <v>93</v>
      </c>
      <c r="S773" s="0" t="s">
        <v>2340</v>
      </c>
      <c r="T773" s="0" t="s">
        <v>2343</v>
      </c>
      <c r="U773" s="5" t="n">
        <v>45</v>
      </c>
      <c r="V773" s="0" t="s">
        <v>96</v>
      </c>
      <c r="W773" s="0" t="s">
        <v>2337</v>
      </c>
      <c r="X773" s="0" t="s">
        <v>78</v>
      </c>
      <c r="Y773" s="0" t="s">
        <v>114</v>
      </c>
      <c r="Z773" s="0" t="s">
        <v>2329</v>
      </c>
      <c r="AA773" s="0" t="s">
        <v>79</v>
      </c>
      <c r="AB773" s="5" t="n">
        <v>15000</v>
      </c>
      <c r="AC773" s="5" t="n">
        <v>40000</v>
      </c>
      <c r="AD773" s="0" t="s">
        <v>63</v>
      </c>
      <c r="AE773" s="5" t="n">
        <v>0</v>
      </c>
      <c r="AF773" s="0" t="s">
        <v>130</v>
      </c>
      <c r="AG773" s="7" t="s">
        <v>2440</v>
      </c>
      <c r="AH773" s="0" t="s">
        <v>63</v>
      </c>
      <c r="AI773" s="0" t="s">
        <v>2331</v>
      </c>
      <c r="AJ773" s="0" t="s">
        <v>172</v>
      </c>
      <c r="AK773" s="0" t="s">
        <v>63</v>
      </c>
      <c r="AL773" s="0" t="s">
        <v>2344</v>
      </c>
      <c r="AM773" s="0" t="s">
        <v>50</v>
      </c>
      <c r="AN773" s="0" t="s">
        <v>2321</v>
      </c>
      <c r="AO773" s="0" t="s">
        <v>63</v>
      </c>
    </row>
    <row r="774" customFormat="false" ht="15" hidden="false" customHeight="false" outlineLevel="0" collapsed="false">
      <c r="A774" s="0" t="s">
        <v>1840</v>
      </c>
      <c r="B774" s="2" t="s">
        <v>1082</v>
      </c>
      <c r="C774" s="0" t="s">
        <v>121</v>
      </c>
      <c r="D774" s="0" t="n">
        <v>8075581713</v>
      </c>
      <c r="E774" s="0" t="s">
        <v>43</v>
      </c>
      <c r="F774" s="0" t="s">
        <v>2315</v>
      </c>
      <c r="G774" s="0" t="s">
        <v>1841</v>
      </c>
      <c r="H774" s="0" t="s">
        <v>45</v>
      </c>
      <c r="I774" s="3" t="s">
        <v>2342</v>
      </c>
      <c r="J774" s="0" t="s">
        <v>2349</v>
      </c>
      <c r="K774" s="0" t="s">
        <v>48</v>
      </c>
      <c r="L774" s="4" t="n">
        <v>67264</v>
      </c>
      <c r="M774" s="0" t="s">
        <v>2333</v>
      </c>
      <c r="N774" s="0" t="s">
        <v>50</v>
      </c>
      <c r="O774" s="5" t="n">
        <v>2</v>
      </c>
      <c r="P774" s="0" t="n">
        <v>1.6</v>
      </c>
      <c r="Q774" s="0" t="s">
        <v>92</v>
      </c>
      <c r="R774" s="0" t="s">
        <v>52</v>
      </c>
      <c r="S774" s="0" t="s">
        <v>53</v>
      </c>
      <c r="T774" s="0" t="s">
        <v>2343</v>
      </c>
      <c r="U774" s="5" t="n">
        <v>30</v>
      </c>
      <c r="V774" s="0" t="s">
        <v>2352</v>
      </c>
      <c r="W774" s="0" t="s">
        <v>155</v>
      </c>
      <c r="X774" s="0" t="s">
        <v>128</v>
      </c>
      <c r="Y774" s="0" t="s">
        <v>196</v>
      </c>
      <c r="Z774" s="0" t="s">
        <v>2329</v>
      </c>
      <c r="AA774" s="0" t="s">
        <v>79</v>
      </c>
      <c r="AB774" s="5" t="n">
        <v>26250</v>
      </c>
      <c r="AC774" s="5" t="n">
        <v>31380.2083333333</v>
      </c>
      <c r="AD774" s="0" t="s">
        <v>50</v>
      </c>
      <c r="AE774" s="5" t="n">
        <v>5000</v>
      </c>
      <c r="AF774" s="0" t="s">
        <v>60</v>
      </c>
      <c r="AG774" s="7" t="s">
        <v>2330</v>
      </c>
      <c r="AH774" s="0" t="s">
        <v>63</v>
      </c>
      <c r="AI774" s="0" t="s">
        <v>116</v>
      </c>
      <c r="AJ774" s="0" t="s">
        <v>2331</v>
      </c>
      <c r="AK774" s="0" t="s">
        <v>2344</v>
      </c>
      <c r="AL774" s="0" t="s">
        <v>63</v>
      </c>
      <c r="AM774" s="0" t="s">
        <v>63</v>
      </c>
      <c r="AN774" s="0" t="s">
        <v>2318</v>
      </c>
      <c r="AO774" s="0" t="s">
        <v>50</v>
      </c>
    </row>
    <row r="775" customFormat="false" ht="15" hidden="false" customHeight="false" outlineLevel="0" collapsed="false">
      <c r="A775" s="0" t="s">
        <v>1842</v>
      </c>
      <c r="B775" s="2" t="s">
        <v>2345</v>
      </c>
      <c r="C775" s="0" t="s">
        <v>66</v>
      </c>
      <c r="D775" s="0" t="n">
        <v>8095225538</v>
      </c>
      <c r="E775" s="0" t="s">
        <v>122</v>
      </c>
      <c r="F775" s="0" t="s">
        <v>2316</v>
      </c>
      <c r="G775" s="0" t="s">
        <v>1843</v>
      </c>
      <c r="H775" s="0" t="s">
        <v>69</v>
      </c>
      <c r="I775" s="3" t="s">
        <v>87</v>
      </c>
      <c r="J775" s="0" t="s">
        <v>2339</v>
      </c>
      <c r="K775" s="0" t="s">
        <v>71</v>
      </c>
      <c r="L775" s="4" t="n">
        <v>33988</v>
      </c>
      <c r="M775" s="0" t="s">
        <v>110</v>
      </c>
      <c r="N775" s="0" t="s">
        <v>63</v>
      </c>
      <c r="O775" s="5" t="n">
        <v>3.18716577540107</v>
      </c>
      <c r="P775" s="0" t="n">
        <v>5.8</v>
      </c>
      <c r="Q775" s="0" t="s">
        <v>125</v>
      </c>
      <c r="R775" s="0" t="s">
        <v>52</v>
      </c>
      <c r="S775" s="0" t="s">
        <v>2340</v>
      </c>
      <c r="T775" s="0" t="s">
        <v>147</v>
      </c>
      <c r="U775" s="5" t="n">
        <v>60</v>
      </c>
      <c r="V775" s="0" t="s">
        <v>55</v>
      </c>
      <c r="W775" s="0" t="s">
        <v>148</v>
      </c>
      <c r="X775" s="0" t="s">
        <v>98</v>
      </c>
      <c r="Y775" s="0" t="s">
        <v>114</v>
      </c>
      <c r="Z775" s="0" t="s">
        <v>59</v>
      </c>
      <c r="AA775" s="0" t="s">
        <v>161</v>
      </c>
      <c r="AB775" s="5" t="n">
        <v>15000</v>
      </c>
      <c r="AC775" s="5" t="n">
        <v>30000</v>
      </c>
      <c r="AD775" s="0" t="s">
        <v>50</v>
      </c>
      <c r="AE775" s="5" t="n">
        <v>0</v>
      </c>
      <c r="AF775" s="0" t="s">
        <v>60</v>
      </c>
      <c r="AG775" s="7" t="s">
        <v>2372</v>
      </c>
      <c r="AH775" s="0" t="s">
        <v>63</v>
      </c>
      <c r="AI775" s="0" t="s">
        <v>171</v>
      </c>
      <c r="AJ775" s="0" t="s">
        <v>2331</v>
      </c>
      <c r="AK775" s="0" t="s">
        <v>63</v>
      </c>
      <c r="AL775" s="0" t="s">
        <v>50</v>
      </c>
      <c r="AM775" s="0" t="s">
        <v>50</v>
      </c>
      <c r="AN775" s="0" t="s">
        <v>2318</v>
      </c>
      <c r="AO775" s="0" t="s">
        <v>50</v>
      </c>
    </row>
    <row r="776" customFormat="false" ht="15" hidden="false" customHeight="false" outlineLevel="0" collapsed="false">
      <c r="A776" s="0" t="s">
        <v>1844</v>
      </c>
      <c r="B776" s="2" t="s">
        <v>1339</v>
      </c>
      <c r="C776" s="0" t="s">
        <v>105</v>
      </c>
      <c r="D776" s="0" t="n">
        <v>8059416355</v>
      </c>
      <c r="E776" s="0" t="s">
        <v>43</v>
      </c>
      <c r="F776" s="0" t="s">
        <v>2315</v>
      </c>
      <c r="G776" s="0" t="s">
        <v>1845</v>
      </c>
      <c r="H776" s="0" t="s">
        <v>134</v>
      </c>
      <c r="I776" s="3" t="s">
        <v>2322</v>
      </c>
      <c r="J776" s="0" t="s">
        <v>2341</v>
      </c>
      <c r="K776" s="0" t="s">
        <v>90</v>
      </c>
      <c r="L776" s="4" t="n">
        <v>37647</v>
      </c>
      <c r="M776" s="0" t="s">
        <v>2333</v>
      </c>
      <c r="N776" s="0" t="s">
        <v>50</v>
      </c>
      <c r="O776" s="5" t="n">
        <v>1</v>
      </c>
      <c r="P776" s="0" t="n">
        <v>3.7</v>
      </c>
      <c r="Q776" s="0" t="s">
        <v>92</v>
      </c>
      <c r="R776" s="0" t="s">
        <v>52</v>
      </c>
      <c r="S776" s="0" t="s">
        <v>2366</v>
      </c>
      <c r="T776" s="0" t="s">
        <v>147</v>
      </c>
      <c r="U776" s="5" t="n">
        <v>30</v>
      </c>
      <c r="V776" s="0" t="s">
        <v>2336</v>
      </c>
      <c r="W776" s="0" t="s">
        <v>155</v>
      </c>
      <c r="X776" s="0" t="s">
        <v>98</v>
      </c>
      <c r="Y776" s="0" t="s">
        <v>114</v>
      </c>
      <c r="Z776" s="0" t="s">
        <v>2329</v>
      </c>
      <c r="AA776" s="0" t="s">
        <v>149</v>
      </c>
      <c r="AB776" s="5" t="n">
        <v>27352.9411764706</v>
      </c>
      <c r="AC776" s="5" t="n">
        <v>20000</v>
      </c>
      <c r="AD776" s="0" t="s">
        <v>50</v>
      </c>
      <c r="AE776" s="5" t="n">
        <v>10000</v>
      </c>
      <c r="AF776" s="0" t="s">
        <v>184</v>
      </c>
      <c r="AG776" s="7" t="s">
        <v>2394</v>
      </c>
      <c r="AH776" s="0" t="s">
        <v>63</v>
      </c>
      <c r="AI776" s="0" t="s">
        <v>171</v>
      </c>
      <c r="AJ776" s="0" t="s">
        <v>2331</v>
      </c>
      <c r="AK776" s="0" t="s">
        <v>63</v>
      </c>
      <c r="AL776" s="0" t="s">
        <v>2344</v>
      </c>
      <c r="AM776" s="0" t="s">
        <v>63</v>
      </c>
      <c r="AN776" s="0" t="s">
        <v>64</v>
      </c>
      <c r="AO776" s="0" t="s">
        <v>50</v>
      </c>
    </row>
    <row r="777" customFormat="false" ht="15" hidden="false" customHeight="false" outlineLevel="0" collapsed="false">
      <c r="A777" s="0" t="s">
        <v>1846</v>
      </c>
      <c r="B777" s="2" t="s">
        <v>2497</v>
      </c>
      <c r="C777" s="0" t="s">
        <v>163</v>
      </c>
      <c r="D777" s="0" t="n">
        <v>8017744982</v>
      </c>
      <c r="E777" s="0" t="s">
        <v>67</v>
      </c>
      <c r="F777" s="0" t="s">
        <v>2316</v>
      </c>
      <c r="G777" s="0" t="s">
        <v>1847</v>
      </c>
      <c r="H777" s="0" t="s">
        <v>134</v>
      </c>
      <c r="I777" s="3" t="s">
        <v>2317</v>
      </c>
      <c r="J777" s="0" t="s">
        <v>2339</v>
      </c>
      <c r="K777" s="0" t="s">
        <v>48</v>
      </c>
      <c r="L777" s="4" t="n">
        <v>106595</v>
      </c>
      <c r="M777" s="0" t="s">
        <v>2333</v>
      </c>
      <c r="N777" s="0" t="s">
        <v>50</v>
      </c>
      <c r="O777" s="5" t="n">
        <v>1</v>
      </c>
      <c r="P777" s="0" t="n">
        <v>5.6</v>
      </c>
      <c r="Q777" s="0" t="s">
        <v>111</v>
      </c>
      <c r="R777" s="0" t="s">
        <v>73</v>
      </c>
      <c r="S777" s="0" t="s">
        <v>2340</v>
      </c>
      <c r="T777" s="0" t="s">
        <v>95</v>
      </c>
      <c r="U777" s="5" t="n">
        <v>45</v>
      </c>
      <c r="V777" s="0" t="s">
        <v>55</v>
      </c>
      <c r="W777" s="0" t="s">
        <v>155</v>
      </c>
      <c r="X777" s="0" t="s">
        <v>98</v>
      </c>
      <c r="Y777" s="0" t="s">
        <v>99</v>
      </c>
      <c r="Z777" s="0" t="s">
        <v>2324</v>
      </c>
      <c r="AA777" s="0" t="s">
        <v>2329</v>
      </c>
      <c r="AB777" s="5" t="n">
        <v>20000</v>
      </c>
      <c r="AC777" s="5" t="n">
        <v>30000</v>
      </c>
      <c r="AD777" s="0" t="s">
        <v>50</v>
      </c>
      <c r="AE777" s="5" t="n">
        <v>5000</v>
      </c>
      <c r="AF777" s="0" t="s">
        <v>60</v>
      </c>
      <c r="AG777" s="7" t="s">
        <v>2330</v>
      </c>
      <c r="AH777" s="0" t="s">
        <v>50</v>
      </c>
      <c r="AI777" s="0" t="s">
        <v>171</v>
      </c>
      <c r="AJ777" s="0" t="s">
        <v>117</v>
      </c>
      <c r="AK777" s="0" t="s">
        <v>63</v>
      </c>
      <c r="AL777" s="0" t="s">
        <v>63</v>
      </c>
      <c r="AM777" s="0" t="s">
        <v>63</v>
      </c>
      <c r="AN777" s="0" t="s">
        <v>2321</v>
      </c>
      <c r="AO777" s="0" t="s">
        <v>63</v>
      </c>
    </row>
    <row r="778" customFormat="false" ht="15" hidden="false" customHeight="false" outlineLevel="0" collapsed="false">
      <c r="A778" s="0" t="s">
        <v>1848</v>
      </c>
      <c r="B778" s="2" t="s">
        <v>1639</v>
      </c>
      <c r="C778" s="0" t="s">
        <v>163</v>
      </c>
      <c r="D778" s="0" t="n">
        <v>8097363169</v>
      </c>
      <c r="E778" s="0" t="s">
        <v>67</v>
      </c>
      <c r="F778" s="0" t="s">
        <v>2316</v>
      </c>
      <c r="G778" s="0" t="s">
        <v>524</v>
      </c>
      <c r="H778" s="0" t="s">
        <v>45</v>
      </c>
      <c r="I778" s="3" t="s">
        <v>2322</v>
      </c>
      <c r="J778" s="0" t="s">
        <v>2339</v>
      </c>
      <c r="K778" s="0" t="s">
        <v>48</v>
      </c>
      <c r="L778" s="4" t="n">
        <v>100293</v>
      </c>
      <c r="M778" s="0" t="s">
        <v>2333</v>
      </c>
      <c r="N778" s="0" t="s">
        <v>50</v>
      </c>
      <c r="O778" s="5" t="n">
        <v>1</v>
      </c>
      <c r="P778" s="0" t="n">
        <v>1.5</v>
      </c>
      <c r="Q778" s="0" t="s">
        <v>51</v>
      </c>
      <c r="R778" s="0" t="s">
        <v>73</v>
      </c>
      <c r="S778" s="0" t="s">
        <v>2340</v>
      </c>
      <c r="T778" s="0" t="s">
        <v>147</v>
      </c>
      <c r="U778" s="5" t="n">
        <v>60</v>
      </c>
      <c r="V778" s="0" t="s">
        <v>112</v>
      </c>
      <c r="W778" s="0" t="s">
        <v>155</v>
      </c>
      <c r="X778" s="0" t="s">
        <v>78</v>
      </c>
      <c r="Y778" s="0" t="s">
        <v>58</v>
      </c>
      <c r="Z778" s="0" t="s">
        <v>177</v>
      </c>
      <c r="AA778" s="0" t="s">
        <v>149</v>
      </c>
      <c r="AB778" s="5" t="n">
        <v>15000</v>
      </c>
      <c r="AC778" s="5" t="n">
        <v>30000</v>
      </c>
      <c r="AD778" s="0" t="s">
        <v>50</v>
      </c>
      <c r="AE778" s="5" t="n">
        <v>5000</v>
      </c>
      <c r="AF778" s="0" t="s">
        <v>130</v>
      </c>
      <c r="AG778" s="7" t="s">
        <v>2042</v>
      </c>
      <c r="AH778" s="0" t="s">
        <v>63</v>
      </c>
      <c r="AI778" s="0" t="s">
        <v>116</v>
      </c>
      <c r="AJ778" s="0" t="s">
        <v>2331</v>
      </c>
      <c r="AK778" s="0" t="s">
        <v>63</v>
      </c>
      <c r="AL778" s="0" t="s">
        <v>50</v>
      </c>
      <c r="AM778" s="0" t="s">
        <v>63</v>
      </c>
      <c r="AN778" s="0" t="s">
        <v>2321</v>
      </c>
      <c r="AO778" s="0" t="s">
        <v>50</v>
      </c>
    </row>
    <row r="779" customFormat="false" ht="15" hidden="false" customHeight="false" outlineLevel="0" collapsed="false">
      <c r="A779" s="0" t="s">
        <v>1849</v>
      </c>
      <c r="B779" s="2" t="s">
        <v>2446</v>
      </c>
      <c r="C779" s="0" t="s">
        <v>66</v>
      </c>
      <c r="D779" s="0" t="n">
        <v>8061718540</v>
      </c>
      <c r="E779" s="0" t="s">
        <v>139</v>
      </c>
      <c r="F779" s="0" t="s">
        <v>2323</v>
      </c>
      <c r="G779" s="0" t="s">
        <v>1850</v>
      </c>
      <c r="H779" s="0" t="s">
        <v>87</v>
      </c>
      <c r="I779" s="3" t="s">
        <v>2325</v>
      </c>
      <c r="J779" s="0" t="s">
        <v>189</v>
      </c>
      <c r="K779" s="0" t="s">
        <v>90</v>
      </c>
      <c r="L779" s="4" t="n">
        <v>77552</v>
      </c>
      <c r="M779" s="0" t="s">
        <v>49</v>
      </c>
      <c r="N779" s="0" t="s">
        <v>63</v>
      </c>
      <c r="O779" s="5" t="n">
        <v>3</v>
      </c>
      <c r="P779" s="0" t="n">
        <v>5</v>
      </c>
      <c r="Q779" s="0" t="s">
        <v>111</v>
      </c>
      <c r="R779" s="0" t="s">
        <v>52</v>
      </c>
      <c r="S779" s="0" t="s">
        <v>2335</v>
      </c>
      <c r="T779" s="0" t="s">
        <v>54</v>
      </c>
      <c r="U779" s="5" t="n">
        <v>60</v>
      </c>
      <c r="V779" s="0" t="s">
        <v>112</v>
      </c>
      <c r="W779" s="0" t="s">
        <v>155</v>
      </c>
      <c r="X779" s="0" t="s">
        <v>128</v>
      </c>
      <c r="Y779" s="0" t="s">
        <v>58</v>
      </c>
      <c r="Z779" s="0" t="s">
        <v>177</v>
      </c>
      <c r="AA779" s="0" t="s">
        <v>2329</v>
      </c>
      <c r="AB779" s="5" t="n">
        <v>26458.3333333333</v>
      </c>
      <c r="AC779" s="5" t="n">
        <v>31462.7659574468</v>
      </c>
      <c r="AD779" s="0" t="s">
        <v>50</v>
      </c>
      <c r="AE779" s="5" t="n">
        <v>0</v>
      </c>
      <c r="AF779" s="0" t="s">
        <v>60</v>
      </c>
      <c r="AG779" s="7" t="s">
        <v>588</v>
      </c>
      <c r="AH779" s="0" t="s">
        <v>63</v>
      </c>
      <c r="AI779" s="0" t="s">
        <v>171</v>
      </c>
      <c r="AJ779" s="0" t="s">
        <v>172</v>
      </c>
      <c r="AK779" s="0" t="s">
        <v>63</v>
      </c>
      <c r="AL779" s="0" t="s">
        <v>63</v>
      </c>
      <c r="AM779" s="0" t="s">
        <v>63</v>
      </c>
      <c r="AN779" s="0" t="s">
        <v>2321</v>
      </c>
      <c r="AO779" s="0" t="s">
        <v>50</v>
      </c>
    </row>
    <row r="780" customFormat="false" ht="15" hidden="false" customHeight="false" outlineLevel="0" collapsed="false">
      <c r="A780" s="0" t="s">
        <v>1851</v>
      </c>
      <c r="B780" s="2" t="s">
        <v>2405</v>
      </c>
      <c r="C780" s="0" t="s">
        <v>42</v>
      </c>
      <c r="D780" s="0" t="n">
        <v>8066913730</v>
      </c>
      <c r="E780" s="0" t="s">
        <v>85</v>
      </c>
      <c r="F780" s="0" t="s">
        <v>2319</v>
      </c>
      <c r="G780" s="0" t="s">
        <v>1852</v>
      </c>
      <c r="H780" s="0" t="s">
        <v>107</v>
      </c>
      <c r="I780" s="3" t="s">
        <v>2317</v>
      </c>
      <c r="J780" s="0" t="s">
        <v>47</v>
      </c>
      <c r="K780" s="0" t="s">
        <v>48</v>
      </c>
      <c r="L780" s="4" t="n">
        <v>97783</v>
      </c>
      <c r="M780" s="0" t="s">
        <v>2333</v>
      </c>
      <c r="N780" s="0" t="s">
        <v>63</v>
      </c>
      <c r="O780" s="5" t="n">
        <v>2</v>
      </c>
      <c r="P780" s="0" t="n">
        <v>3.7</v>
      </c>
      <c r="Q780" s="0" t="s">
        <v>2334</v>
      </c>
      <c r="R780" s="0" t="s">
        <v>52</v>
      </c>
      <c r="S780" s="0" t="s">
        <v>53</v>
      </c>
      <c r="T780" s="0" t="s">
        <v>2343</v>
      </c>
      <c r="U780" s="5" t="n">
        <v>60</v>
      </c>
      <c r="V780" s="0" t="s">
        <v>2336</v>
      </c>
      <c r="W780" s="0" t="s">
        <v>155</v>
      </c>
      <c r="X780" s="0" t="s">
        <v>128</v>
      </c>
      <c r="Y780" s="0" t="s">
        <v>99</v>
      </c>
      <c r="Z780" s="0" t="s">
        <v>59</v>
      </c>
      <c r="AA780" s="0" t="s">
        <v>143</v>
      </c>
      <c r="AB780" s="5" t="n">
        <v>40000</v>
      </c>
      <c r="AC780" s="5" t="n">
        <v>30000</v>
      </c>
      <c r="AD780" s="0" t="s">
        <v>63</v>
      </c>
      <c r="AE780" s="5" t="n">
        <v>10000</v>
      </c>
      <c r="AF780" s="0" t="s">
        <v>184</v>
      </c>
      <c r="AG780" s="7" t="s">
        <v>2365</v>
      </c>
      <c r="AH780" s="0" t="s">
        <v>63</v>
      </c>
      <c r="AI780" s="0" t="s">
        <v>2331</v>
      </c>
      <c r="AJ780" s="0" t="s">
        <v>2331</v>
      </c>
      <c r="AK780" s="0" t="s">
        <v>50</v>
      </c>
      <c r="AL780" s="0" t="s">
        <v>63</v>
      </c>
      <c r="AM780" s="0" t="s">
        <v>50</v>
      </c>
      <c r="AN780" s="0" t="s">
        <v>2321</v>
      </c>
      <c r="AO780" s="0" t="s">
        <v>63</v>
      </c>
    </row>
    <row r="781" customFormat="false" ht="15" hidden="false" customHeight="false" outlineLevel="0" collapsed="false">
      <c r="A781" s="0" t="s">
        <v>1853</v>
      </c>
      <c r="B781" s="2" t="s">
        <v>799</v>
      </c>
      <c r="C781" s="0" t="s">
        <v>105</v>
      </c>
      <c r="D781" s="0" t="n">
        <v>8043123836</v>
      </c>
      <c r="E781" s="0" t="s">
        <v>67</v>
      </c>
      <c r="F781" s="0" t="s">
        <v>2316</v>
      </c>
      <c r="G781" s="0" t="s">
        <v>1854</v>
      </c>
      <c r="H781" s="0" t="s">
        <v>45</v>
      </c>
      <c r="I781" s="3" t="s">
        <v>2317</v>
      </c>
      <c r="J781" s="0" t="s">
        <v>189</v>
      </c>
      <c r="K781" s="0" t="s">
        <v>48</v>
      </c>
      <c r="L781" s="4" t="n">
        <v>87460</v>
      </c>
      <c r="M781" s="0" t="s">
        <v>110</v>
      </c>
      <c r="N781" s="0" t="s">
        <v>63</v>
      </c>
      <c r="O781" s="5" t="n">
        <v>3.23076923076923</v>
      </c>
      <c r="P781" s="0" t="n">
        <v>3</v>
      </c>
      <c r="Q781" s="0" t="s">
        <v>111</v>
      </c>
      <c r="R781" s="0" t="s">
        <v>52</v>
      </c>
      <c r="S781" s="0" t="s">
        <v>2340</v>
      </c>
      <c r="T781" s="0" t="s">
        <v>2353</v>
      </c>
      <c r="U781" s="5" t="n">
        <v>45</v>
      </c>
      <c r="V781" s="0" t="s">
        <v>96</v>
      </c>
      <c r="W781" s="0" t="s">
        <v>148</v>
      </c>
      <c r="X781" s="0" t="s">
        <v>128</v>
      </c>
      <c r="Y781" s="0" t="s">
        <v>58</v>
      </c>
      <c r="Z781" s="0" t="s">
        <v>2324</v>
      </c>
      <c r="AA781" s="0" t="s">
        <v>2329</v>
      </c>
      <c r="AB781" s="5" t="n">
        <v>26458.3333333333</v>
      </c>
      <c r="AC781" s="5" t="n">
        <v>30000</v>
      </c>
      <c r="AD781" s="0" t="s">
        <v>63</v>
      </c>
      <c r="AE781" s="5" t="n">
        <v>0</v>
      </c>
      <c r="AF781" s="0" t="s">
        <v>60</v>
      </c>
      <c r="AG781" s="7" t="s">
        <v>1082</v>
      </c>
      <c r="AH781" s="0" t="s">
        <v>2329</v>
      </c>
      <c r="AI781" s="0" t="s">
        <v>2331</v>
      </c>
      <c r="AJ781" s="0" t="s">
        <v>172</v>
      </c>
      <c r="AK781" s="0" t="s">
        <v>2344</v>
      </c>
      <c r="AL781" s="0" t="s">
        <v>63</v>
      </c>
      <c r="AM781" s="0" t="s">
        <v>50</v>
      </c>
      <c r="AN781" s="0" t="s">
        <v>2318</v>
      </c>
      <c r="AO781" s="0" t="s">
        <v>2359</v>
      </c>
    </row>
    <row r="782" customFormat="false" ht="15" hidden="false" customHeight="false" outlineLevel="0" collapsed="false">
      <c r="A782" s="0" t="s">
        <v>1855</v>
      </c>
      <c r="B782" s="2" t="s">
        <v>971</v>
      </c>
      <c r="C782" s="0" t="s">
        <v>163</v>
      </c>
      <c r="D782" s="0" t="n">
        <v>8042528051</v>
      </c>
      <c r="E782" s="0" t="s">
        <v>122</v>
      </c>
      <c r="F782" s="0" t="s">
        <v>2316</v>
      </c>
      <c r="G782" s="0" t="s">
        <v>1856</v>
      </c>
      <c r="H782" s="0" t="s">
        <v>134</v>
      </c>
      <c r="I782" s="3" t="s">
        <v>2325</v>
      </c>
      <c r="J782" s="0" t="s">
        <v>2339</v>
      </c>
      <c r="K782" s="0" t="s">
        <v>71</v>
      </c>
      <c r="L782" s="4" t="n">
        <v>88003</v>
      </c>
      <c r="M782" s="0" t="s">
        <v>110</v>
      </c>
      <c r="N782" s="0" t="s">
        <v>63</v>
      </c>
      <c r="O782" s="5" t="n">
        <v>2</v>
      </c>
      <c r="P782" s="0" t="n">
        <v>4.8</v>
      </c>
      <c r="Q782" s="0" t="s">
        <v>111</v>
      </c>
      <c r="R782" s="0" t="s">
        <v>93</v>
      </c>
      <c r="S782" s="0" t="s">
        <v>53</v>
      </c>
      <c r="T782" s="0" t="s">
        <v>2343</v>
      </c>
      <c r="U782" s="5" t="n">
        <v>15</v>
      </c>
      <c r="V782" s="0" t="s">
        <v>2336</v>
      </c>
      <c r="W782" s="0" t="s">
        <v>2337</v>
      </c>
      <c r="X782" s="0" t="s">
        <v>128</v>
      </c>
      <c r="Y782" s="0" t="s">
        <v>196</v>
      </c>
      <c r="Z782" s="0" t="s">
        <v>2326</v>
      </c>
      <c r="AA782" s="0" t="s">
        <v>149</v>
      </c>
      <c r="AB782" s="5" t="n">
        <v>15000</v>
      </c>
      <c r="AC782" s="5" t="n">
        <v>35000</v>
      </c>
      <c r="AD782" s="0" t="s">
        <v>50</v>
      </c>
      <c r="AE782" s="5" t="n">
        <v>5000</v>
      </c>
      <c r="AF782" s="0" t="s">
        <v>2338</v>
      </c>
      <c r="AG782" s="7" t="s">
        <v>1523</v>
      </c>
      <c r="AH782" s="0" t="s">
        <v>63</v>
      </c>
      <c r="AI782" s="0" t="s">
        <v>171</v>
      </c>
      <c r="AJ782" s="0" t="s">
        <v>2331</v>
      </c>
      <c r="AK782" s="0" t="s">
        <v>50</v>
      </c>
      <c r="AL782" s="0" t="s">
        <v>2344</v>
      </c>
      <c r="AM782" s="0" t="s">
        <v>63</v>
      </c>
      <c r="AN782" s="0" t="s">
        <v>2321</v>
      </c>
      <c r="AO782" s="0" t="s">
        <v>50</v>
      </c>
    </row>
    <row r="783" customFormat="false" ht="15" hidden="false" customHeight="false" outlineLevel="0" collapsed="false">
      <c r="A783" s="0" t="s">
        <v>1857</v>
      </c>
      <c r="B783" s="2" t="s">
        <v>438</v>
      </c>
      <c r="C783" s="0" t="s">
        <v>163</v>
      </c>
      <c r="D783" s="0" t="n">
        <v>8074119239</v>
      </c>
      <c r="E783" s="0" t="s">
        <v>67</v>
      </c>
      <c r="F783" s="0" t="s">
        <v>2316</v>
      </c>
      <c r="G783" s="0" t="s">
        <v>1858</v>
      </c>
      <c r="H783" s="0" t="s">
        <v>107</v>
      </c>
      <c r="I783" s="3" t="s">
        <v>2317</v>
      </c>
      <c r="J783" s="0" t="s">
        <v>2347</v>
      </c>
      <c r="K783" s="0" t="s">
        <v>71</v>
      </c>
      <c r="L783" s="4" t="n">
        <v>47893</v>
      </c>
      <c r="M783" s="0" t="s">
        <v>2333</v>
      </c>
      <c r="N783" s="0" t="s">
        <v>63</v>
      </c>
      <c r="O783" s="5" t="n">
        <v>5</v>
      </c>
      <c r="P783" s="0" t="n">
        <v>2.4</v>
      </c>
      <c r="Q783" s="0" t="s">
        <v>2334</v>
      </c>
      <c r="R783" s="0" t="s">
        <v>73</v>
      </c>
      <c r="S783" s="0" t="s">
        <v>2335</v>
      </c>
      <c r="T783" s="0" t="s">
        <v>95</v>
      </c>
      <c r="U783" s="5" t="n">
        <v>15</v>
      </c>
      <c r="V783" s="0" t="s">
        <v>55</v>
      </c>
      <c r="W783" s="0" t="s">
        <v>155</v>
      </c>
      <c r="X783" s="0" t="s">
        <v>128</v>
      </c>
      <c r="Y783" s="0" t="s">
        <v>99</v>
      </c>
      <c r="Z783" s="0" t="s">
        <v>2326</v>
      </c>
      <c r="AA783" s="0" t="s">
        <v>79</v>
      </c>
      <c r="AB783" s="5" t="n">
        <v>40000</v>
      </c>
      <c r="AC783" s="5" t="n">
        <v>30000</v>
      </c>
      <c r="AD783" s="0" t="s">
        <v>50</v>
      </c>
      <c r="AE783" s="5" t="n">
        <v>5000</v>
      </c>
      <c r="AF783" s="0" t="s">
        <v>2338</v>
      </c>
      <c r="AG783" s="7" t="s">
        <v>2330</v>
      </c>
      <c r="AH783" s="0" t="s">
        <v>2329</v>
      </c>
      <c r="AI783" s="0" t="s">
        <v>116</v>
      </c>
      <c r="AJ783" s="0" t="s">
        <v>117</v>
      </c>
      <c r="AK783" s="0" t="s">
        <v>50</v>
      </c>
      <c r="AL783" s="0" t="s">
        <v>63</v>
      </c>
      <c r="AM783" s="0" t="s">
        <v>63</v>
      </c>
      <c r="AN783" s="0" t="s">
        <v>2321</v>
      </c>
      <c r="AO783" s="0" t="s">
        <v>63</v>
      </c>
    </row>
    <row r="784" customFormat="false" ht="15" hidden="false" customHeight="false" outlineLevel="0" collapsed="false">
      <c r="A784" s="0" t="s">
        <v>1859</v>
      </c>
      <c r="B784" s="2" t="s">
        <v>2435</v>
      </c>
      <c r="C784" s="0" t="s">
        <v>42</v>
      </c>
      <c r="D784" s="0" t="n">
        <v>8014631527</v>
      </c>
      <c r="E784" s="0" t="s">
        <v>122</v>
      </c>
      <c r="F784" s="0" t="s">
        <v>2316</v>
      </c>
      <c r="G784" s="0" t="s">
        <v>1860</v>
      </c>
      <c r="H784" s="0" t="s">
        <v>45</v>
      </c>
      <c r="I784" s="3" t="s">
        <v>2317</v>
      </c>
      <c r="J784" s="0" t="s">
        <v>2349</v>
      </c>
      <c r="K784" s="0" t="s">
        <v>48</v>
      </c>
      <c r="L784" s="4" t="n">
        <v>86397</v>
      </c>
      <c r="M784" s="0" t="s">
        <v>49</v>
      </c>
      <c r="N784" s="0" t="s">
        <v>63</v>
      </c>
      <c r="O784" s="5" t="n">
        <v>3</v>
      </c>
      <c r="P784" s="0" t="n">
        <v>4</v>
      </c>
      <c r="Q784" s="0" t="s">
        <v>51</v>
      </c>
      <c r="R784" s="0" t="s">
        <v>93</v>
      </c>
      <c r="S784" s="0" t="s">
        <v>2335</v>
      </c>
      <c r="T784" s="0" t="s">
        <v>75</v>
      </c>
      <c r="U784" s="5" t="n">
        <v>45</v>
      </c>
      <c r="V784" s="0" t="s">
        <v>55</v>
      </c>
      <c r="W784" s="0" t="s">
        <v>148</v>
      </c>
      <c r="X784" s="0" t="s">
        <v>98</v>
      </c>
      <c r="Y784" s="0" t="s">
        <v>99</v>
      </c>
      <c r="Z784" s="0" t="s">
        <v>177</v>
      </c>
      <c r="AA784" s="0" t="s">
        <v>79</v>
      </c>
      <c r="AB784" s="5" t="n">
        <v>15000</v>
      </c>
      <c r="AC784" s="5" t="n">
        <v>31467.3913043478</v>
      </c>
      <c r="AD784" s="0" t="s">
        <v>63</v>
      </c>
      <c r="AE784" s="5" t="n">
        <v>0</v>
      </c>
      <c r="AF784" s="0" t="s">
        <v>184</v>
      </c>
      <c r="AG784" s="7" t="s">
        <v>1605</v>
      </c>
      <c r="AH784" s="0" t="s">
        <v>63</v>
      </c>
      <c r="AI784" s="0" t="s">
        <v>2331</v>
      </c>
      <c r="AJ784" s="0" t="s">
        <v>2320</v>
      </c>
      <c r="AK784" s="0" t="s">
        <v>2344</v>
      </c>
      <c r="AL784" s="0" t="s">
        <v>2344</v>
      </c>
      <c r="AM784" s="0" t="s">
        <v>63</v>
      </c>
      <c r="AN784" s="0" t="s">
        <v>2318</v>
      </c>
      <c r="AO784" s="0" t="s">
        <v>63</v>
      </c>
    </row>
    <row r="785" customFormat="false" ht="15" hidden="false" customHeight="false" outlineLevel="0" collapsed="false">
      <c r="A785" s="0" t="s">
        <v>1861</v>
      </c>
      <c r="B785" s="2" t="s">
        <v>2462</v>
      </c>
      <c r="C785" s="0" t="s">
        <v>66</v>
      </c>
      <c r="D785" s="0" t="n">
        <v>8058508204</v>
      </c>
      <c r="E785" s="0" t="s">
        <v>139</v>
      </c>
      <c r="F785" s="0" t="s">
        <v>2323</v>
      </c>
      <c r="G785" s="0" t="s">
        <v>1862</v>
      </c>
      <c r="H785" s="0" t="s">
        <v>69</v>
      </c>
      <c r="I785" s="3" t="s">
        <v>2325</v>
      </c>
      <c r="J785" s="0" t="s">
        <v>2349</v>
      </c>
      <c r="K785" s="0" t="s">
        <v>90</v>
      </c>
      <c r="L785" s="4" t="n">
        <v>84509</v>
      </c>
      <c r="M785" s="0" t="s">
        <v>49</v>
      </c>
      <c r="N785" s="0" t="s">
        <v>63</v>
      </c>
      <c r="O785" s="5" t="n">
        <v>2</v>
      </c>
      <c r="P785" s="0" t="n">
        <v>3.7</v>
      </c>
      <c r="Q785" s="0" t="s">
        <v>2334</v>
      </c>
      <c r="R785" s="0" t="s">
        <v>73</v>
      </c>
      <c r="S785" s="0" t="s">
        <v>2335</v>
      </c>
      <c r="T785" s="0" t="s">
        <v>2343</v>
      </c>
      <c r="U785" s="5" t="n">
        <v>15</v>
      </c>
      <c r="V785" s="0" t="s">
        <v>112</v>
      </c>
      <c r="W785" s="0" t="s">
        <v>2337</v>
      </c>
      <c r="X785" s="0" t="s">
        <v>128</v>
      </c>
      <c r="Y785" s="0" t="s">
        <v>58</v>
      </c>
      <c r="Z785" s="0" t="s">
        <v>177</v>
      </c>
      <c r="AA785" s="0" t="s">
        <v>2329</v>
      </c>
      <c r="AB785" s="5" t="n">
        <v>30000</v>
      </c>
      <c r="AC785" s="5" t="n">
        <v>31467.3913043478</v>
      </c>
      <c r="AD785" s="0" t="s">
        <v>50</v>
      </c>
      <c r="AE785" s="5" t="n">
        <v>5000</v>
      </c>
      <c r="AF785" s="0" t="s">
        <v>2338</v>
      </c>
      <c r="AG785" s="7" t="s">
        <v>447</v>
      </c>
      <c r="AH785" s="0" t="s">
        <v>50</v>
      </c>
      <c r="AI785" s="0" t="s">
        <v>2331</v>
      </c>
      <c r="AJ785" s="0" t="s">
        <v>117</v>
      </c>
      <c r="AK785" s="0" t="s">
        <v>63</v>
      </c>
      <c r="AL785" s="0" t="s">
        <v>2344</v>
      </c>
      <c r="AM785" s="0" t="s">
        <v>2344</v>
      </c>
      <c r="AN785" s="0" t="s">
        <v>2321</v>
      </c>
      <c r="AO785" s="0" t="s">
        <v>2359</v>
      </c>
    </row>
    <row r="786" customFormat="false" ht="15" hidden="false" customHeight="false" outlineLevel="0" collapsed="false">
      <c r="A786" s="0" t="s">
        <v>1863</v>
      </c>
      <c r="B786" s="2" t="s">
        <v>1250</v>
      </c>
      <c r="C786" s="0" t="s">
        <v>42</v>
      </c>
      <c r="D786" s="0" t="n">
        <v>8094685039</v>
      </c>
      <c r="E786" s="0" t="s">
        <v>67</v>
      </c>
      <c r="F786" s="0" t="s">
        <v>2316</v>
      </c>
      <c r="G786" s="0" t="s">
        <v>1864</v>
      </c>
      <c r="H786" s="0" t="s">
        <v>107</v>
      </c>
      <c r="I786" s="3" t="s">
        <v>2322</v>
      </c>
      <c r="J786" s="0" t="s">
        <v>47</v>
      </c>
      <c r="K786" s="0" t="s">
        <v>48</v>
      </c>
      <c r="L786" s="4" t="n">
        <v>24934</v>
      </c>
      <c r="M786" s="0" t="s">
        <v>49</v>
      </c>
      <c r="N786" s="0" t="s">
        <v>63</v>
      </c>
      <c r="O786" s="5" t="n">
        <v>5</v>
      </c>
      <c r="P786" s="0" t="n">
        <v>3.1</v>
      </c>
      <c r="Q786" s="0" t="s">
        <v>111</v>
      </c>
      <c r="R786" s="0" t="s">
        <v>73</v>
      </c>
      <c r="S786" s="0" t="s">
        <v>2366</v>
      </c>
      <c r="T786" s="0" t="s">
        <v>2343</v>
      </c>
      <c r="U786" s="5" t="n">
        <v>15</v>
      </c>
      <c r="V786" s="0" t="s">
        <v>2336</v>
      </c>
      <c r="W786" s="0" t="s">
        <v>148</v>
      </c>
      <c r="X786" s="0" t="s">
        <v>128</v>
      </c>
      <c r="Y786" s="0" t="s">
        <v>196</v>
      </c>
      <c r="Z786" s="0" t="s">
        <v>177</v>
      </c>
      <c r="AA786" s="0" t="s">
        <v>149</v>
      </c>
      <c r="AB786" s="5" t="n">
        <v>40000</v>
      </c>
      <c r="AC786" s="5" t="n">
        <v>20000</v>
      </c>
      <c r="AD786" s="0" t="s">
        <v>63</v>
      </c>
      <c r="AE786" s="5" t="n">
        <v>10000</v>
      </c>
      <c r="AF786" s="0" t="s">
        <v>184</v>
      </c>
      <c r="AG786" s="7" t="s">
        <v>2443</v>
      </c>
      <c r="AH786" s="0" t="s">
        <v>2329</v>
      </c>
      <c r="AI786" s="0" t="s">
        <v>2331</v>
      </c>
      <c r="AJ786" s="0" t="s">
        <v>172</v>
      </c>
      <c r="AK786" s="0" t="s">
        <v>50</v>
      </c>
      <c r="AL786" s="0" t="s">
        <v>2344</v>
      </c>
      <c r="AM786" s="0" t="s">
        <v>63</v>
      </c>
      <c r="AN786" s="0" t="s">
        <v>64</v>
      </c>
      <c r="AO786" s="0" t="s">
        <v>63</v>
      </c>
    </row>
    <row r="787" customFormat="false" ht="15" hidden="false" customHeight="false" outlineLevel="0" collapsed="false">
      <c r="A787" s="0" t="s">
        <v>1866</v>
      </c>
      <c r="B787" s="2" t="s">
        <v>1865</v>
      </c>
      <c r="C787" s="0" t="s">
        <v>121</v>
      </c>
      <c r="D787" s="0" t="n">
        <v>8013792466</v>
      </c>
      <c r="E787" s="0" t="s">
        <v>139</v>
      </c>
      <c r="F787" s="0" t="s">
        <v>2323</v>
      </c>
      <c r="G787" s="0" t="s">
        <v>1867</v>
      </c>
      <c r="H787" s="0" t="s">
        <v>134</v>
      </c>
      <c r="I787" s="3" t="s">
        <v>87</v>
      </c>
      <c r="J787" s="0" t="s">
        <v>2339</v>
      </c>
      <c r="K787" s="0" t="s">
        <v>48</v>
      </c>
      <c r="L787" s="4" t="n">
        <v>90025</v>
      </c>
      <c r="M787" s="0" t="s">
        <v>110</v>
      </c>
      <c r="N787" s="0" t="s">
        <v>63</v>
      </c>
      <c r="O787" s="5" t="n">
        <v>4</v>
      </c>
      <c r="P787" s="0" t="n">
        <v>3.4</v>
      </c>
      <c r="Q787" s="0" t="s">
        <v>51</v>
      </c>
      <c r="R787" s="0" t="s">
        <v>93</v>
      </c>
      <c r="S787" s="0" t="s">
        <v>53</v>
      </c>
      <c r="T787" s="0" t="s">
        <v>75</v>
      </c>
      <c r="U787" s="5" t="n">
        <v>45</v>
      </c>
      <c r="V787" s="0" t="s">
        <v>2352</v>
      </c>
      <c r="W787" s="0" t="s">
        <v>2328</v>
      </c>
      <c r="X787" s="0" t="s">
        <v>78</v>
      </c>
      <c r="Y787" s="0" t="s">
        <v>196</v>
      </c>
      <c r="Z787" s="0" t="s">
        <v>2324</v>
      </c>
      <c r="AA787" s="0" t="s">
        <v>161</v>
      </c>
      <c r="AB787" s="5" t="n">
        <v>15000</v>
      </c>
      <c r="AC787" s="5" t="n">
        <v>35000</v>
      </c>
      <c r="AD787" s="0" t="s">
        <v>50</v>
      </c>
      <c r="AE787" s="5" t="n">
        <v>5000</v>
      </c>
      <c r="AF787" s="0" t="s">
        <v>60</v>
      </c>
      <c r="AG787" s="7" t="s">
        <v>2420</v>
      </c>
      <c r="AH787" s="0" t="s">
        <v>63</v>
      </c>
      <c r="AI787" s="0" t="s">
        <v>2331</v>
      </c>
      <c r="AJ787" s="0" t="s">
        <v>2320</v>
      </c>
      <c r="AK787" s="0" t="s">
        <v>50</v>
      </c>
      <c r="AL787" s="0" t="s">
        <v>50</v>
      </c>
      <c r="AM787" s="0" t="s">
        <v>50</v>
      </c>
      <c r="AN787" s="0" t="s">
        <v>2321</v>
      </c>
      <c r="AO787" s="0" t="s">
        <v>2359</v>
      </c>
    </row>
    <row r="788" customFormat="false" ht="15" hidden="false" customHeight="false" outlineLevel="0" collapsed="false">
      <c r="A788" s="0" t="s">
        <v>1868</v>
      </c>
      <c r="B788" s="2" t="s">
        <v>2448</v>
      </c>
      <c r="C788" s="0" t="s">
        <v>42</v>
      </c>
      <c r="D788" s="0" t="n">
        <v>8099345471</v>
      </c>
      <c r="E788" s="0" t="s">
        <v>139</v>
      </c>
      <c r="F788" s="0" t="s">
        <v>2323</v>
      </c>
      <c r="G788" s="0" t="s">
        <v>1362</v>
      </c>
      <c r="H788" s="0" t="s">
        <v>45</v>
      </c>
      <c r="I788" s="3" t="s">
        <v>2342</v>
      </c>
      <c r="J788" s="0" t="s">
        <v>2339</v>
      </c>
      <c r="K788" s="0" t="s">
        <v>109</v>
      </c>
      <c r="L788" s="4" t="n">
        <v>68467</v>
      </c>
      <c r="M788" s="0" t="s">
        <v>2333</v>
      </c>
      <c r="N788" s="0" t="s">
        <v>50</v>
      </c>
      <c r="O788" s="5" t="n">
        <v>2</v>
      </c>
      <c r="P788" s="0" t="n">
        <v>3.1</v>
      </c>
      <c r="Q788" s="0" t="s">
        <v>51</v>
      </c>
      <c r="R788" s="0" t="s">
        <v>52</v>
      </c>
      <c r="S788" s="0" t="s">
        <v>2340</v>
      </c>
      <c r="T788" s="0" t="s">
        <v>54</v>
      </c>
      <c r="U788" s="5" t="n">
        <v>60</v>
      </c>
      <c r="V788" s="0" t="s">
        <v>55</v>
      </c>
      <c r="W788" s="0" t="s">
        <v>2337</v>
      </c>
      <c r="X788" s="0" t="s">
        <v>128</v>
      </c>
      <c r="Y788" s="0" t="s">
        <v>196</v>
      </c>
      <c r="Z788" s="0" t="s">
        <v>2324</v>
      </c>
      <c r="AA788" s="0" t="s">
        <v>79</v>
      </c>
      <c r="AB788" s="5" t="n">
        <v>25000</v>
      </c>
      <c r="AC788" s="5" t="n">
        <v>31510.989010989</v>
      </c>
      <c r="AD788" s="0" t="s">
        <v>63</v>
      </c>
      <c r="AE788" s="5" t="n">
        <v>5000</v>
      </c>
      <c r="AF788" s="0" t="s">
        <v>2338</v>
      </c>
      <c r="AG788" s="7" t="s">
        <v>2330</v>
      </c>
      <c r="AH788" s="0" t="s">
        <v>50</v>
      </c>
      <c r="AI788" s="0" t="s">
        <v>116</v>
      </c>
      <c r="AJ788" s="0" t="s">
        <v>2331</v>
      </c>
      <c r="AK788" s="0" t="s">
        <v>63</v>
      </c>
      <c r="AL788" s="0" t="s">
        <v>63</v>
      </c>
      <c r="AM788" s="0" t="s">
        <v>63</v>
      </c>
      <c r="AN788" s="0" t="s">
        <v>2321</v>
      </c>
      <c r="AO788" s="0" t="s">
        <v>63</v>
      </c>
    </row>
    <row r="789" customFormat="false" ht="15" hidden="false" customHeight="false" outlineLevel="0" collapsed="false">
      <c r="A789" s="0" t="s">
        <v>1869</v>
      </c>
      <c r="B789" s="2" t="s">
        <v>345</v>
      </c>
      <c r="C789" s="0" t="s">
        <v>105</v>
      </c>
      <c r="D789" s="0" t="n">
        <v>8096615201</v>
      </c>
      <c r="E789" s="0" t="s">
        <v>122</v>
      </c>
      <c r="F789" s="0" t="s">
        <v>2316</v>
      </c>
      <c r="G789" s="0" t="s">
        <v>1870</v>
      </c>
      <c r="H789" s="0" t="s">
        <v>134</v>
      </c>
      <c r="I789" s="3" t="s">
        <v>2317</v>
      </c>
      <c r="J789" s="0" t="s">
        <v>2347</v>
      </c>
      <c r="K789" s="0" t="s">
        <v>71</v>
      </c>
      <c r="L789" s="4" t="n">
        <v>115776</v>
      </c>
      <c r="M789" s="0" t="s">
        <v>110</v>
      </c>
      <c r="N789" s="0" t="s">
        <v>50</v>
      </c>
      <c r="O789" s="5" t="n">
        <v>1</v>
      </c>
      <c r="P789" s="0" t="n">
        <v>5.4</v>
      </c>
      <c r="Q789" s="0" t="s">
        <v>111</v>
      </c>
      <c r="R789" s="0" t="s">
        <v>52</v>
      </c>
      <c r="S789" s="0" t="s">
        <v>53</v>
      </c>
      <c r="T789" s="0" t="s">
        <v>2343</v>
      </c>
      <c r="U789" s="5" t="n">
        <v>45</v>
      </c>
      <c r="V789" s="0" t="s">
        <v>55</v>
      </c>
      <c r="W789" s="0" t="s">
        <v>155</v>
      </c>
      <c r="X789" s="0" t="s">
        <v>128</v>
      </c>
      <c r="Y789" s="0" t="s">
        <v>196</v>
      </c>
      <c r="Z789" s="0" t="s">
        <v>2329</v>
      </c>
      <c r="AA789" s="0" t="s">
        <v>143</v>
      </c>
      <c r="AB789" s="5" t="n">
        <v>15000</v>
      </c>
      <c r="AC789" s="5" t="n">
        <v>20000</v>
      </c>
      <c r="AD789" s="0" t="s">
        <v>50</v>
      </c>
      <c r="AE789" s="5" t="n">
        <v>5000</v>
      </c>
      <c r="AF789" s="0" t="s">
        <v>184</v>
      </c>
      <c r="AG789" s="7" t="s">
        <v>2442</v>
      </c>
      <c r="AH789" s="0" t="s">
        <v>50</v>
      </c>
      <c r="AI789" s="0" t="s">
        <v>2331</v>
      </c>
      <c r="AJ789" s="0" t="s">
        <v>2331</v>
      </c>
      <c r="AK789" s="0" t="s">
        <v>63</v>
      </c>
      <c r="AL789" s="0" t="s">
        <v>50</v>
      </c>
      <c r="AM789" s="0" t="s">
        <v>63</v>
      </c>
      <c r="AN789" s="0" t="s">
        <v>2321</v>
      </c>
      <c r="AO789" s="0" t="s">
        <v>63</v>
      </c>
    </row>
    <row r="790" customFormat="false" ht="15" hidden="false" customHeight="false" outlineLevel="0" collapsed="false">
      <c r="A790" s="0" t="s">
        <v>1871</v>
      </c>
      <c r="B790" s="2" t="s">
        <v>1370</v>
      </c>
      <c r="C790" s="0" t="s">
        <v>163</v>
      </c>
      <c r="D790" s="0" t="n">
        <v>8029848692</v>
      </c>
      <c r="E790" s="0" t="s">
        <v>85</v>
      </c>
      <c r="F790" s="0" t="s">
        <v>2319</v>
      </c>
      <c r="G790" s="0" t="s">
        <v>1872</v>
      </c>
      <c r="H790" s="0" t="s">
        <v>107</v>
      </c>
      <c r="I790" s="3" t="s">
        <v>87</v>
      </c>
      <c r="J790" s="0" t="s">
        <v>47</v>
      </c>
      <c r="K790" s="0" t="s">
        <v>109</v>
      </c>
      <c r="L790" s="4" t="n">
        <v>11921</v>
      </c>
      <c r="M790" s="0" t="s">
        <v>2333</v>
      </c>
      <c r="N790" s="0" t="s">
        <v>63</v>
      </c>
      <c r="O790" s="5" t="n">
        <v>1</v>
      </c>
      <c r="P790" s="0" t="n">
        <v>5.9</v>
      </c>
      <c r="Q790" s="0" t="s">
        <v>125</v>
      </c>
      <c r="R790" s="0" t="s">
        <v>93</v>
      </c>
      <c r="S790" s="0" t="s">
        <v>53</v>
      </c>
      <c r="T790" s="0" t="s">
        <v>147</v>
      </c>
      <c r="U790" s="5" t="n">
        <v>37.258064516129</v>
      </c>
      <c r="V790" s="0" t="s">
        <v>112</v>
      </c>
      <c r="W790" s="0" t="s">
        <v>2328</v>
      </c>
      <c r="X790" s="0" t="s">
        <v>98</v>
      </c>
      <c r="Y790" s="0" t="s">
        <v>99</v>
      </c>
      <c r="Z790" s="0" t="s">
        <v>2324</v>
      </c>
      <c r="AA790" s="0" t="s">
        <v>143</v>
      </c>
      <c r="AB790" s="5" t="n">
        <v>15000</v>
      </c>
      <c r="AC790" s="5" t="n">
        <v>20000</v>
      </c>
      <c r="AD790" s="0" t="s">
        <v>63</v>
      </c>
      <c r="AE790" s="5" t="n">
        <v>10000</v>
      </c>
      <c r="AF790" s="0" t="s">
        <v>184</v>
      </c>
      <c r="AG790" s="7" t="s">
        <v>337</v>
      </c>
      <c r="AH790" s="0" t="s">
        <v>50</v>
      </c>
      <c r="AI790" s="0" t="s">
        <v>2331</v>
      </c>
      <c r="AJ790" s="0" t="s">
        <v>2320</v>
      </c>
      <c r="AK790" s="0" t="s">
        <v>63</v>
      </c>
      <c r="AL790" s="0" t="s">
        <v>50</v>
      </c>
      <c r="AM790" s="0" t="s">
        <v>50</v>
      </c>
      <c r="AN790" s="0" t="s">
        <v>2321</v>
      </c>
      <c r="AO790" s="0" t="s">
        <v>63</v>
      </c>
    </row>
    <row r="791" customFormat="false" ht="15" hidden="false" customHeight="false" outlineLevel="0" collapsed="false">
      <c r="A791" s="0" t="s">
        <v>1873</v>
      </c>
      <c r="B791" s="2" t="s">
        <v>1411</v>
      </c>
      <c r="C791" s="0" t="s">
        <v>66</v>
      </c>
      <c r="D791" s="0" t="n">
        <v>8045075212</v>
      </c>
      <c r="E791" s="0" t="s">
        <v>67</v>
      </c>
      <c r="F791" s="0" t="s">
        <v>2316</v>
      </c>
      <c r="G791" s="0" t="s">
        <v>1874</v>
      </c>
      <c r="H791" s="0" t="s">
        <v>107</v>
      </c>
      <c r="I791" s="3" t="s">
        <v>2317</v>
      </c>
      <c r="J791" s="0" t="s">
        <v>189</v>
      </c>
      <c r="K791" s="0" t="s">
        <v>48</v>
      </c>
      <c r="L791" s="4" t="n">
        <v>18781</v>
      </c>
      <c r="M791" s="0" t="s">
        <v>110</v>
      </c>
      <c r="N791" s="0" t="s">
        <v>50</v>
      </c>
      <c r="O791" s="5" t="n">
        <v>3</v>
      </c>
      <c r="P791" s="0" t="n">
        <v>4.4</v>
      </c>
      <c r="Q791" s="0" t="s">
        <v>125</v>
      </c>
      <c r="R791" s="0" t="s">
        <v>73</v>
      </c>
      <c r="S791" s="0" t="s">
        <v>2366</v>
      </c>
      <c r="T791" s="0" t="s">
        <v>95</v>
      </c>
      <c r="U791" s="5" t="n">
        <v>60</v>
      </c>
      <c r="V791" s="0" t="s">
        <v>55</v>
      </c>
      <c r="W791" s="0" t="s">
        <v>155</v>
      </c>
      <c r="X791" s="0" t="s">
        <v>128</v>
      </c>
      <c r="Y791" s="0" t="s">
        <v>196</v>
      </c>
      <c r="Z791" s="0" t="s">
        <v>59</v>
      </c>
      <c r="AA791" s="0" t="s">
        <v>161</v>
      </c>
      <c r="AB791" s="5" t="n">
        <v>25000</v>
      </c>
      <c r="AC791" s="5" t="n">
        <v>31638.8888888889</v>
      </c>
      <c r="AD791" s="0" t="s">
        <v>63</v>
      </c>
      <c r="AE791" s="5" t="n">
        <v>0</v>
      </c>
      <c r="AF791" s="0" t="s">
        <v>130</v>
      </c>
      <c r="AG791" s="7" t="s">
        <v>571</v>
      </c>
      <c r="AH791" s="0" t="s">
        <v>63</v>
      </c>
      <c r="AI791" s="0" t="s">
        <v>2331</v>
      </c>
      <c r="AJ791" s="0" t="s">
        <v>2320</v>
      </c>
      <c r="AK791" s="0" t="s">
        <v>50</v>
      </c>
      <c r="AL791" s="0" t="s">
        <v>50</v>
      </c>
      <c r="AM791" s="0" t="s">
        <v>63</v>
      </c>
      <c r="AN791" s="0" t="s">
        <v>2318</v>
      </c>
      <c r="AO791" s="0" t="s">
        <v>2359</v>
      </c>
    </row>
    <row r="792" customFormat="false" ht="15" hidden="false" customHeight="false" outlineLevel="0" collapsed="false">
      <c r="A792" s="0" t="s">
        <v>1875</v>
      </c>
      <c r="B792" s="2" t="s">
        <v>2497</v>
      </c>
      <c r="C792" s="0" t="s">
        <v>121</v>
      </c>
      <c r="D792" s="0" t="n">
        <v>8091260195</v>
      </c>
      <c r="E792" s="0" t="s">
        <v>122</v>
      </c>
      <c r="F792" s="0" t="s">
        <v>2316</v>
      </c>
      <c r="G792" s="0" t="s">
        <v>1876</v>
      </c>
      <c r="H792" s="0" t="s">
        <v>107</v>
      </c>
      <c r="I792" s="3" t="s">
        <v>2322</v>
      </c>
      <c r="J792" s="0" t="s">
        <v>189</v>
      </c>
      <c r="K792" s="0" t="s">
        <v>71</v>
      </c>
      <c r="L792" s="4" t="n">
        <v>103256</v>
      </c>
      <c r="M792" s="0" t="s">
        <v>2333</v>
      </c>
      <c r="N792" s="0" t="s">
        <v>63</v>
      </c>
      <c r="O792" s="5" t="n">
        <v>3.25581395348837</v>
      </c>
      <c r="P792" s="0" t="n">
        <v>1.6</v>
      </c>
      <c r="Q792" s="0" t="s">
        <v>51</v>
      </c>
      <c r="R792" s="0" t="s">
        <v>93</v>
      </c>
      <c r="S792" s="0" t="s">
        <v>53</v>
      </c>
      <c r="T792" s="0" t="s">
        <v>75</v>
      </c>
      <c r="U792" s="5" t="n">
        <v>15</v>
      </c>
      <c r="V792" s="0" t="s">
        <v>55</v>
      </c>
      <c r="W792" s="0" t="s">
        <v>2328</v>
      </c>
      <c r="X792" s="0" t="s">
        <v>98</v>
      </c>
      <c r="Y792" s="0" t="s">
        <v>58</v>
      </c>
      <c r="Z792" s="0" t="s">
        <v>59</v>
      </c>
      <c r="AA792" s="0" t="s">
        <v>79</v>
      </c>
      <c r="AB792" s="5" t="n">
        <v>20000</v>
      </c>
      <c r="AC792" s="5" t="n">
        <v>40000</v>
      </c>
      <c r="AD792" s="0" t="s">
        <v>50</v>
      </c>
      <c r="AE792" s="5" t="n">
        <v>5000</v>
      </c>
      <c r="AF792" s="0" t="s">
        <v>184</v>
      </c>
      <c r="AG792" s="7" t="s">
        <v>2330</v>
      </c>
      <c r="AH792" s="0" t="s">
        <v>50</v>
      </c>
      <c r="AI792" s="0" t="s">
        <v>116</v>
      </c>
      <c r="AJ792" s="0" t="s">
        <v>2331</v>
      </c>
      <c r="AK792" s="0" t="s">
        <v>63</v>
      </c>
      <c r="AL792" s="0" t="s">
        <v>63</v>
      </c>
      <c r="AM792" s="0" t="s">
        <v>2344</v>
      </c>
      <c r="AN792" s="0" t="s">
        <v>2321</v>
      </c>
      <c r="AO792" s="0" t="s">
        <v>63</v>
      </c>
    </row>
    <row r="793" customFormat="false" ht="15" hidden="false" customHeight="false" outlineLevel="0" collapsed="false">
      <c r="A793" s="0" t="s">
        <v>1877</v>
      </c>
      <c r="B793" s="2" t="s">
        <v>2422</v>
      </c>
      <c r="C793" s="0" t="s">
        <v>105</v>
      </c>
      <c r="D793" s="0" t="n">
        <v>8071132251</v>
      </c>
      <c r="E793" s="0" t="s">
        <v>85</v>
      </c>
      <c r="F793" s="0" t="s">
        <v>2319</v>
      </c>
      <c r="G793" s="0" t="s">
        <v>1878</v>
      </c>
      <c r="H793" s="0" t="s">
        <v>134</v>
      </c>
      <c r="I793" s="3" t="s">
        <v>2317</v>
      </c>
      <c r="J793" s="0" t="s">
        <v>2347</v>
      </c>
      <c r="K793" s="0" t="s">
        <v>71</v>
      </c>
      <c r="L793" s="4" t="n">
        <v>117812</v>
      </c>
      <c r="M793" s="0" t="s">
        <v>2333</v>
      </c>
      <c r="N793" s="0" t="s">
        <v>63</v>
      </c>
      <c r="O793" s="5" t="n">
        <v>1</v>
      </c>
      <c r="P793" s="0" t="n">
        <v>3.3</v>
      </c>
      <c r="Q793" s="0" t="s">
        <v>2334</v>
      </c>
      <c r="R793" s="0" t="s">
        <v>73</v>
      </c>
      <c r="S793" s="0" t="s">
        <v>53</v>
      </c>
      <c r="T793" s="0" t="s">
        <v>147</v>
      </c>
      <c r="U793" s="5" t="n">
        <v>30</v>
      </c>
      <c r="V793" s="0" t="s">
        <v>55</v>
      </c>
      <c r="W793" s="0" t="s">
        <v>155</v>
      </c>
      <c r="X793" s="0" t="s">
        <v>98</v>
      </c>
      <c r="Y793" s="0" t="s">
        <v>114</v>
      </c>
      <c r="Z793" s="0" t="s">
        <v>2329</v>
      </c>
      <c r="AA793" s="0" t="s">
        <v>79</v>
      </c>
      <c r="AB793" s="5" t="n">
        <v>25000</v>
      </c>
      <c r="AC793" s="5" t="n">
        <v>20000</v>
      </c>
      <c r="AD793" s="0" t="s">
        <v>50</v>
      </c>
      <c r="AE793" s="5" t="n">
        <v>0</v>
      </c>
      <c r="AF793" s="0" t="s">
        <v>2338</v>
      </c>
      <c r="AG793" s="7" t="s">
        <v>179</v>
      </c>
      <c r="AH793" s="0" t="s">
        <v>50</v>
      </c>
      <c r="AI793" s="0" t="s">
        <v>171</v>
      </c>
      <c r="AJ793" s="0" t="s">
        <v>172</v>
      </c>
      <c r="AK793" s="0" t="s">
        <v>2344</v>
      </c>
      <c r="AL793" s="0" t="s">
        <v>63</v>
      </c>
      <c r="AM793" s="0" t="s">
        <v>2344</v>
      </c>
      <c r="AN793" s="0" t="s">
        <v>64</v>
      </c>
      <c r="AO793" s="0" t="s">
        <v>50</v>
      </c>
    </row>
    <row r="794" customFormat="false" ht="15" hidden="false" customHeight="false" outlineLevel="0" collapsed="false">
      <c r="A794" s="0" t="s">
        <v>1879</v>
      </c>
      <c r="B794" s="2" t="s">
        <v>2497</v>
      </c>
      <c r="C794" s="0" t="s">
        <v>163</v>
      </c>
      <c r="D794" s="0" t="n">
        <v>8029779316</v>
      </c>
      <c r="E794" s="0" t="s">
        <v>122</v>
      </c>
      <c r="F794" s="0" t="s">
        <v>2316</v>
      </c>
      <c r="G794" s="0" t="s">
        <v>1880</v>
      </c>
      <c r="H794" s="0" t="s">
        <v>69</v>
      </c>
      <c r="I794" s="3" t="s">
        <v>87</v>
      </c>
      <c r="J794" s="0" t="s">
        <v>2339</v>
      </c>
      <c r="K794" s="0" t="s">
        <v>109</v>
      </c>
      <c r="L794" s="4" t="n">
        <v>44617</v>
      </c>
      <c r="M794" s="0" t="s">
        <v>110</v>
      </c>
      <c r="N794" s="0" t="s">
        <v>63</v>
      </c>
      <c r="O794" s="5" t="n">
        <v>3</v>
      </c>
      <c r="P794" s="0" t="n">
        <v>6</v>
      </c>
      <c r="Q794" s="0" t="s">
        <v>111</v>
      </c>
      <c r="R794" s="0" t="s">
        <v>52</v>
      </c>
      <c r="S794" s="0" t="s">
        <v>53</v>
      </c>
      <c r="T794" s="0" t="s">
        <v>54</v>
      </c>
      <c r="U794" s="5" t="n">
        <v>45</v>
      </c>
      <c r="V794" s="0" t="s">
        <v>55</v>
      </c>
      <c r="W794" s="0" t="s">
        <v>2337</v>
      </c>
      <c r="X794" s="0" t="s">
        <v>128</v>
      </c>
      <c r="Y794" s="0" t="s">
        <v>196</v>
      </c>
      <c r="Z794" s="0" t="s">
        <v>2329</v>
      </c>
      <c r="AA794" s="0" t="s">
        <v>143</v>
      </c>
      <c r="AB794" s="5" t="n">
        <v>30000</v>
      </c>
      <c r="AC794" s="5" t="n">
        <v>20000</v>
      </c>
      <c r="AD794" s="0" t="s">
        <v>50</v>
      </c>
      <c r="AE794" s="5" t="n">
        <v>5000</v>
      </c>
      <c r="AF794" s="0" t="s">
        <v>60</v>
      </c>
      <c r="AG794" s="7" t="s">
        <v>860</v>
      </c>
      <c r="AH794" s="0" t="s">
        <v>2329</v>
      </c>
      <c r="AI794" s="0" t="s">
        <v>116</v>
      </c>
      <c r="AJ794" s="0" t="s">
        <v>2320</v>
      </c>
      <c r="AK794" s="0" t="s">
        <v>63</v>
      </c>
      <c r="AL794" s="0" t="s">
        <v>50</v>
      </c>
      <c r="AM794" s="0" t="s">
        <v>63</v>
      </c>
      <c r="AN794" s="0" t="s">
        <v>2318</v>
      </c>
      <c r="AO794" s="0" t="s">
        <v>50</v>
      </c>
    </row>
    <row r="795" customFormat="false" ht="15" hidden="false" customHeight="false" outlineLevel="0" collapsed="false">
      <c r="A795" s="0" t="s">
        <v>1881</v>
      </c>
      <c r="B795" s="2" t="s">
        <v>869</v>
      </c>
      <c r="C795" s="0" t="s">
        <v>163</v>
      </c>
      <c r="D795" s="0" t="n">
        <v>8044129962</v>
      </c>
      <c r="E795" s="0" t="s">
        <v>139</v>
      </c>
      <c r="F795" s="0" t="s">
        <v>2323</v>
      </c>
      <c r="G795" s="0" t="s">
        <v>1882</v>
      </c>
      <c r="H795" s="0" t="s">
        <v>107</v>
      </c>
      <c r="I795" s="3" t="s">
        <v>2317</v>
      </c>
      <c r="J795" s="0" t="s">
        <v>189</v>
      </c>
      <c r="K795" s="0" t="s">
        <v>71</v>
      </c>
      <c r="L795" s="4" t="n">
        <v>31645</v>
      </c>
      <c r="M795" s="0" t="s">
        <v>49</v>
      </c>
      <c r="N795" s="0" t="s">
        <v>50</v>
      </c>
      <c r="O795" s="5" t="n">
        <v>2</v>
      </c>
      <c r="P795" s="0" t="n">
        <v>5.5</v>
      </c>
      <c r="Q795" s="0" t="s">
        <v>125</v>
      </c>
      <c r="R795" s="0" t="s">
        <v>52</v>
      </c>
      <c r="S795" s="0" t="s">
        <v>2366</v>
      </c>
      <c r="T795" s="0" t="s">
        <v>54</v>
      </c>
      <c r="U795" s="5" t="n">
        <v>15</v>
      </c>
      <c r="V795" s="0" t="s">
        <v>2336</v>
      </c>
      <c r="W795" s="0" t="s">
        <v>155</v>
      </c>
      <c r="X795" s="0" t="s">
        <v>128</v>
      </c>
      <c r="Y795" s="0" t="s">
        <v>196</v>
      </c>
      <c r="Z795" s="0" t="s">
        <v>2326</v>
      </c>
      <c r="AA795" s="0" t="s">
        <v>143</v>
      </c>
      <c r="AB795" s="5" t="n">
        <v>30000</v>
      </c>
      <c r="AC795" s="5" t="n">
        <v>35000</v>
      </c>
      <c r="AD795" s="0" t="s">
        <v>63</v>
      </c>
      <c r="AE795" s="5" t="n">
        <v>5000</v>
      </c>
      <c r="AF795" s="0" t="s">
        <v>60</v>
      </c>
      <c r="AG795" s="7" t="s">
        <v>2330</v>
      </c>
      <c r="AH795" s="0" t="s">
        <v>63</v>
      </c>
      <c r="AI795" s="0" t="s">
        <v>116</v>
      </c>
      <c r="AJ795" s="0" t="s">
        <v>2320</v>
      </c>
      <c r="AK795" s="0" t="s">
        <v>63</v>
      </c>
      <c r="AL795" s="0" t="s">
        <v>63</v>
      </c>
      <c r="AM795" s="0" t="s">
        <v>2344</v>
      </c>
      <c r="AN795" s="0" t="s">
        <v>2321</v>
      </c>
      <c r="AO795" s="0" t="s">
        <v>63</v>
      </c>
    </row>
    <row r="796" customFormat="false" ht="15" hidden="false" customHeight="false" outlineLevel="0" collapsed="false">
      <c r="A796" s="0" t="s">
        <v>1884</v>
      </c>
      <c r="B796" s="2" t="s">
        <v>1883</v>
      </c>
      <c r="C796" s="0" t="s">
        <v>66</v>
      </c>
      <c r="D796" s="0" t="n">
        <v>8043207452</v>
      </c>
      <c r="E796" s="0" t="s">
        <v>139</v>
      </c>
      <c r="F796" s="0" t="s">
        <v>2323</v>
      </c>
      <c r="G796" s="0" t="s">
        <v>1885</v>
      </c>
      <c r="H796" s="0" t="s">
        <v>107</v>
      </c>
      <c r="I796" s="3" t="s">
        <v>2322</v>
      </c>
      <c r="J796" s="0" t="s">
        <v>189</v>
      </c>
      <c r="K796" s="0" t="s">
        <v>71</v>
      </c>
      <c r="L796" s="4" t="n">
        <v>66464</v>
      </c>
      <c r="M796" s="0" t="s">
        <v>2333</v>
      </c>
      <c r="N796" s="0" t="s">
        <v>50</v>
      </c>
      <c r="O796" s="5" t="n">
        <v>3</v>
      </c>
      <c r="P796" s="0" t="n">
        <v>3.5</v>
      </c>
      <c r="Q796" s="0" t="s">
        <v>125</v>
      </c>
      <c r="R796" s="0" t="s">
        <v>73</v>
      </c>
      <c r="S796" s="0" t="s">
        <v>2366</v>
      </c>
      <c r="T796" s="0" t="s">
        <v>54</v>
      </c>
      <c r="U796" s="5" t="n">
        <v>45</v>
      </c>
      <c r="V796" s="0" t="s">
        <v>96</v>
      </c>
      <c r="W796" s="0" t="s">
        <v>148</v>
      </c>
      <c r="X796" s="0" t="s">
        <v>98</v>
      </c>
      <c r="Y796" s="0" t="s">
        <v>99</v>
      </c>
      <c r="Z796" s="0" t="s">
        <v>2324</v>
      </c>
      <c r="AA796" s="0" t="s">
        <v>161</v>
      </c>
      <c r="AB796" s="5" t="n">
        <v>20000</v>
      </c>
      <c r="AC796" s="5" t="n">
        <v>30000</v>
      </c>
      <c r="AD796" s="0" t="s">
        <v>63</v>
      </c>
      <c r="AE796" s="5" t="n">
        <v>5000</v>
      </c>
      <c r="AF796" s="0" t="s">
        <v>60</v>
      </c>
      <c r="AG796" s="7" t="s">
        <v>1610</v>
      </c>
      <c r="AH796" s="0" t="s">
        <v>50</v>
      </c>
      <c r="AI796" s="0" t="s">
        <v>2331</v>
      </c>
      <c r="AJ796" s="0" t="s">
        <v>2331</v>
      </c>
      <c r="AK796" s="0" t="s">
        <v>63</v>
      </c>
      <c r="AL796" s="0" t="s">
        <v>50</v>
      </c>
      <c r="AM796" s="0" t="s">
        <v>63</v>
      </c>
      <c r="AN796" s="0" t="s">
        <v>2321</v>
      </c>
      <c r="AO796" s="0" t="s">
        <v>50</v>
      </c>
    </row>
    <row r="797" customFormat="false" ht="15" hidden="false" customHeight="false" outlineLevel="0" collapsed="false">
      <c r="A797" s="0" t="s">
        <v>1886</v>
      </c>
      <c r="B797" s="2" t="s">
        <v>674</v>
      </c>
      <c r="C797" s="0" t="s">
        <v>66</v>
      </c>
      <c r="D797" s="0" t="n">
        <v>8090819114</v>
      </c>
      <c r="E797" s="0" t="s">
        <v>122</v>
      </c>
      <c r="F797" s="0" t="s">
        <v>2316</v>
      </c>
      <c r="G797" s="0" t="s">
        <v>1887</v>
      </c>
      <c r="H797" s="0" t="s">
        <v>134</v>
      </c>
      <c r="I797" s="3" t="s">
        <v>2317</v>
      </c>
      <c r="J797" s="0" t="s">
        <v>2347</v>
      </c>
      <c r="K797" s="0" t="s">
        <v>71</v>
      </c>
      <c r="L797" s="4" t="n">
        <v>96549</v>
      </c>
      <c r="M797" s="0" t="s">
        <v>110</v>
      </c>
      <c r="N797" s="0" t="s">
        <v>63</v>
      </c>
      <c r="O797" s="5" t="n">
        <v>2</v>
      </c>
      <c r="P797" s="0" t="n">
        <v>2.3</v>
      </c>
      <c r="Q797" s="0" t="s">
        <v>2334</v>
      </c>
      <c r="R797" s="0" t="s">
        <v>52</v>
      </c>
      <c r="S797" s="0" t="s">
        <v>53</v>
      </c>
      <c r="T797" s="0" t="s">
        <v>54</v>
      </c>
      <c r="U797" s="5" t="n">
        <v>15</v>
      </c>
      <c r="V797" s="0" t="s">
        <v>2336</v>
      </c>
      <c r="W797" s="0" t="s">
        <v>155</v>
      </c>
      <c r="X797" s="0" t="s">
        <v>78</v>
      </c>
      <c r="Y797" s="0" t="s">
        <v>58</v>
      </c>
      <c r="Z797" s="0" t="s">
        <v>2324</v>
      </c>
      <c r="AA797" s="0" t="s">
        <v>149</v>
      </c>
      <c r="AB797" s="5" t="n">
        <v>15000</v>
      </c>
      <c r="AC797" s="5" t="n">
        <v>30000</v>
      </c>
      <c r="AD797" s="0" t="s">
        <v>63</v>
      </c>
      <c r="AE797" s="5" t="n">
        <v>5000</v>
      </c>
      <c r="AF797" s="0" t="s">
        <v>2338</v>
      </c>
      <c r="AG797" s="7" t="s">
        <v>2330</v>
      </c>
      <c r="AH797" s="0" t="s">
        <v>50</v>
      </c>
      <c r="AI797" s="0" t="s">
        <v>2331</v>
      </c>
      <c r="AJ797" s="0" t="s">
        <v>2331</v>
      </c>
      <c r="AK797" s="0" t="s">
        <v>2344</v>
      </c>
      <c r="AL797" s="0" t="s">
        <v>63</v>
      </c>
      <c r="AM797" s="0" t="s">
        <v>63</v>
      </c>
      <c r="AN797" s="0" t="s">
        <v>2321</v>
      </c>
      <c r="AO797" s="0" t="s">
        <v>2359</v>
      </c>
    </row>
    <row r="798" customFormat="false" ht="15" hidden="false" customHeight="false" outlineLevel="0" collapsed="false">
      <c r="A798" s="0" t="s">
        <v>1888</v>
      </c>
      <c r="B798" s="2" t="s">
        <v>2082</v>
      </c>
      <c r="C798" s="0" t="s">
        <v>66</v>
      </c>
      <c r="D798" s="0" t="n">
        <v>8087623721</v>
      </c>
      <c r="E798" s="0" t="s">
        <v>122</v>
      </c>
      <c r="F798" s="0" t="s">
        <v>2316</v>
      </c>
      <c r="G798" s="0" t="s">
        <v>1889</v>
      </c>
      <c r="H798" s="0" t="s">
        <v>134</v>
      </c>
      <c r="I798" s="3" t="s">
        <v>2317</v>
      </c>
      <c r="J798" s="0" t="s">
        <v>2347</v>
      </c>
      <c r="K798" s="0" t="s">
        <v>90</v>
      </c>
      <c r="L798" s="4" t="n">
        <v>28293</v>
      </c>
      <c r="M798" s="0" t="s">
        <v>110</v>
      </c>
      <c r="N798" s="0" t="s">
        <v>50</v>
      </c>
      <c r="O798" s="5" t="n">
        <v>5</v>
      </c>
      <c r="P798" s="0" t="n">
        <v>3.3</v>
      </c>
      <c r="Q798" s="0" t="s">
        <v>2334</v>
      </c>
      <c r="R798" s="0" t="s">
        <v>73</v>
      </c>
      <c r="S798" s="0" t="s">
        <v>53</v>
      </c>
      <c r="T798" s="0" t="s">
        <v>95</v>
      </c>
      <c r="U798" s="5" t="n">
        <v>30</v>
      </c>
      <c r="V798" s="0" t="s">
        <v>55</v>
      </c>
      <c r="W798" s="0" t="s">
        <v>155</v>
      </c>
      <c r="X798" s="0" t="s">
        <v>98</v>
      </c>
      <c r="Y798" s="0" t="s">
        <v>196</v>
      </c>
      <c r="Z798" s="0" t="s">
        <v>59</v>
      </c>
      <c r="AA798" s="0" t="s">
        <v>143</v>
      </c>
      <c r="AB798" s="5" t="n">
        <v>25416.6666666667</v>
      </c>
      <c r="AC798" s="5" t="n">
        <v>30000</v>
      </c>
      <c r="AD798" s="0" t="s">
        <v>50</v>
      </c>
      <c r="AE798" s="5" t="n">
        <v>10000</v>
      </c>
      <c r="AF798" s="0" t="s">
        <v>60</v>
      </c>
      <c r="AG798" s="7" t="s">
        <v>483</v>
      </c>
      <c r="AH798" s="0" t="s">
        <v>2329</v>
      </c>
      <c r="AI798" s="0" t="s">
        <v>2331</v>
      </c>
      <c r="AJ798" s="0" t="s">
        <v>2331</v>
      </c>
      <c r="AK798" s="0" t="s">
        <v>63</v>
      </c>
      <c r="AL798" s="0" t="s">
        <v>63</v>
      </c>
      <c r="AM798" s="0" t="s">
        <v>50</v>
      </c>
      <c r="AN798" s="0" t="s">
        <v>2318</v>
      </c>
      <c r="AO798" s="0" t="s">
        <v>63</v>
      </c>
    </row>
    <row r="799" customFormat="false" ht="15" hidden="false" customHeight="false" outlineLevel="0" collapsed="false">
      <c r="A799" s="0" t="s">
        <v>1891</v>
      </c>
      <c r="B799" s="2" t="s">
        <v>1890</v>
      </c>
      <c r="C799" s="0" t="s">
        <v>121</v>
      </c>
      <c r="D799" s="0" t="n">
        <v>8098933292</v>
      </c>
      <c r="E799" s="0" t="s">
        <v>122</v>
      </c>
      <c r="F799" s="0" t="s">
        <v>2316</v>
      </c>
      <c r="G799" s="0" t="s">
        <v>1892</v>
      </c>
      <c r="H799" s="0" t="s">
        <v>107</v>
      </c>
      <c r="I799" s="3" t="s">
        <v>2317</v>
      </c>
      <c r="J799" s="0" t="s">
        <v>2339</v>
      </c>
      <c r="K799" s="0" t="s">
        <v>109</v>
      </c>
      <c r="L799" s="4" t="n">
        <v>13448</v>
      </c>
      <c r="M799" s="0" t="s">
        <v>2333</v>
      </c>
      <c r="N799" s="0" t="s">
        <v>63</v>
      </c>
      <c r="O799" s="5" t="n">
        <v>2</v>
      </c>
      <c r="P799" s="0" t="n">
        <v>1.1</v>
      </c>
      <c r="Q799" s="0" t="s">
        <v>111</v>
      </c>
      <c r="R799" s="0" t="s">
        <v>73</v>
      </c>
      <c r="S799" s="0" t="s">
        <v>53</v>
      </c>
      <c r="T799" s="0" t="s">
        <v>75</v>
      </c>
      <c r="U799" s="5" t="n">
        <v>45</v>
      </c>
      <c r="V799" s="0" t="s">
        <v>55</v>
      </c>
      <c r="W799" s="0" t="s">
        <v>148</v>
      </c>
      <c r="X799" s="0" t="s">
        <v>128</v>
      </c>
      <c r="Y799" s="0" t="s">
        <v>196</v>
      </c>
      <c r="Z799" s="0" t="s">
        <v>2326</v>
      </c>
      <c r="AA799" s="0" t="s">
        <v>161</v>
      </c>
      <c r="AB799" s="5" t="n">
        <v>23653.8461538462</v>
      </c>
      <c r="AC799" s="5" t="n">
        <v>35000</v>
      </c>
      <c r="AD799" s="0" t="s">
        <v>63</v>
      </c>
      <c r="AE799" s="5" t="n">
        <v>5000</v>
      </c>
      <c r="AF799" s="0" t="s">
        <v>2338</v>
      </c>
      <c r="AG799" s="7" t="s">
        <v>2330</v>
      </c>
      <c r="AH799" s="0" t="s">
        <v>50</v>
      </c>
      <c r="AI799" s="0" t="s">
        <v>2331</v>
      </c>
      <c r="AJ799" s="0" t="s">
        <v>117</v>
      </c>
      <c r="AK799" s="0" t="s">
        <v>2344</v>
      </c>
      <c r="AL799" s="0" t="s">
        <v>50</v>
      </c>
      <c r="AM799" s="0" t="s">
        <v>50</v>
      </c>
      <c r="AN799" s="0" t="s">
        <v>64</v>
      </c>
      <c r="AO799" s="0" t="s">
        <v>63</v>
      </c>
    </row>
    <row r="800" customFormat="false" ht="15" hidden="false" customHeight="false" outlineLevel="0" collapsed="false">
      <c r="A800" s="0" t="s">
        <v>1893</v>
      </c>
      <c r="B800" s="2" t="s">
        <v>1460</v>
      </c>
      <c r="C800" s="0" t="s">
        <v>66</v>
      </c>
      <c r="D800" s="0" t="n">
        <v>8031666421</v>
      </c>
      <c r="E800" s="0" t="s">
        <v>122</v>
      </c>
      <c r="F800" s="0" t="s">
        <v>2316</v>
      </c>
      <c r="G800" s="0" t="s">
        <v>1894</v>
      </c>
      <c r="H800" s="0" t="s">
        <v>45</v>
      </c>
      <c r="I800" s="3" t="s">
        <v>2317</v>
      </c>
      <c r="J800" s="0" t="s">
        <v>2347</v>
      </c>
      <c r="K800" s="0" t="s">
        <v>90</v>
      </c>
      <c r="L800" s="4" t="n">
        <v>38094</v>
      </c>
      <c r="M800" s="0" t="s">
        <v>110</v>
      </c>
      <c r="N800" s="0" t="s">
        <v>50</v>
      </c>
      <c r="O800" s="5" t="n">
        <v>5</v>
      </c>
      <c r="P800" s="0" t="n">
        <v>4.7</v>
      </c>
      <c r="Q800" s="0" t="s">
        <v>2334</v>
      </c>
      <c r="R800" s="0" t="s">
        <v>52</v>
      </c>
      <c r="S800" s="0" t="s">
        <v>53</v>
      </c>
      <c r="T800" s="0" t="s">
        <v>2343</v>
      </c>
      <c r="U800" s="5" t="n">
        <v>45</v>
      </c>
      <c r="V800" s="0" t="s">
        <v>2352</v>
      </c>
      <c r="W800" s="0" t="s">
        <v>155</v>
      </c>
      <c r="X800" s="0" t="s">
        <v>78</v>
      </c>
      <c r="Y800" s="0" t="s">
        <v>196</v>
      </c>
      <c r="Z800" s="0" t="s">
        <v>2324</v>
      </c>
      <c r="AA800" s="0" t="s">
        <v>79</v>
      </c>
      <c r="AB800" s="5" t="n">
        <v>20000</v>
      </c>
      <c r="AC800" s="5" t="n">
        <v>30000</v>
      </c>
      <c r="AD800" s="0" t="s">
        <v>50</v>
      </c>
      <c r="AE800" s="5" t="n">
        <v>0</v>
      </c>
      <c r="AF800" s="0" t="s">
        <v>2338</v>
      </c>
      <c r="AG800" s="7" t="s">
        <v>2345</v>
      </c>
      <c r="AH800" s="0" t="s">
        <v>63</v>
      </c>
      <c r="AI800" s="0" t="s">
        <v>171</v>
      </c>
      <c r="AJ800" s="0" t="s">
        <v>172</v>
      </c>
      <c r="AK800" s="0" t="s">
        <v>50</v>
      </c>
      <c r="AL800" s="0" t="s">
        <v>50</v>
      </c>
      <c r="AM800" s="0" t="s">
        <v>50</v>
      </c>
      <c r="AN800" s="0" t="s">
        <v>2318</v>
      </c>
      <c r="AO800" s="0" t="s">
        <v>63</v>
      </c>
    </row>
    <row r="801" customFormat="false" ht="15" hidden="false" customHeight="false" outlineLevel="0" collapsed="false">
      <c r="A801" s="0" t="s">
        <v>1895</v>
      </c>
      <c r="B801" s="2" t="s">
        <v>2444</v>
      </c>
      <c r="C801" s="0" t="s">
        <v>105</v>
      </c>
      <c r="D801" s="0" t="n">
        <v>8011655896</v>
      </c>
      <c r="E801" s="0" t="s">
        <v>67</v>
      </c>
      <c r="F801" s="0" t="s">
        <v>2316</v>
      </c>
      <c r="G801" s="0" t="s">
        <v>1896</v>
      </c>
      <c r="H801" s="0" t="s">
        <v>87</v>
      </c>
      <c r="I801" s="3" t="s">
        <v>2342</v>
      </c>
      <c r="J801" s="0" t="s">
        <v>2347</v>
      </c>
      <c r="K801" s="0" t="s">
        <v>109</v>
      </c>
      <c r="L801" s="4" t="n">
        <v>71245</v>
      </c>
      <c r="M801" s="0" t="s">
        <v>110</v>
      </c>
      <c r="N801" s="0" t="s">
        <v>63</v>
      </c>
      <c r="O801" s="5" t="n">
        <v>3.27439024390244</v>
      </c>
      <c r="P801" s="0" t="n">
        <v>3.2</v>
      </c>
      <c r="Q801" s="0" t="s">
        <v>51</v>
      </c>
      <c r="R801" s="0" t="s">
        <v>93</v>
      </c>
      <c r="S801" s="0" t="s">
        <v>53</v>
      </c>
      <c r="T801" s="0" t="s">
        <v>54</v>
      </c>
      <c r="U801" s="5" t="n">
        <v>15</v>
      </c>
      <c r="V801" s="0" t="s">
        <v>55</v>
      </c>
      <c r="W801" s="0" t="s">
        <v>148</v>
      </c>
      <c r="X801" s="0" t="s">
        <v>128</v>
      </c>
      <c r="Y801" s="0" t="s">
        <v>99</v>
      </c>
      <c r="Z801" s="0" t="s">
        <v>2326</v>
      </c>
      <c r="AA801" s="0" t="s">
        <v>2329</v>
      </c>
      <c r="AB801" s="5" t="n">
        <v>25652.1739130435</v>
      </c>
      <c r="AC801" s="5" t="n">
        <v>35000</v>
      </c>
      <c r="AD801" s="0" t="s">
        <v>63</v>
      </c>
      <c r="AE801" s="5" t="n">
        <v>0</v>
      </c>
      <c r="AF801" s="0" t="s">
        <v>60</v>
      </c>
      <c r="AG801" s="7" t="s">
        <v>2371</v>
      </c>
      <c r="AH801" s="0" t="s">
        <v>63</v>
      </c>
      <c r="AI801" s="0" t="s">
        <v>116</v>
      </c>
      <c r="AJ801" s="0" t="s">
        <v>117</v>
      </c>
      <c r="AK801" s="0" t="s">
        <v>50</v>
      </c>
      <c r="AL801" s="0" t="s">
        <v>63</v>
      </c>
      <c r="AM801" s="0" t="s">
        <v>50</v>
      </c>
      <c r="AN801" s="0" t="s">
        <v>2321</v>
      </c>
      <c r="AO801" s="0" t="s">
        <v>63</v>
      </c>
    </row>
    <row r="802" customFormat="false" ht="15" hidden="false" customHeight="false" outlineLevel="0" collapsed="false">
      <c r="A802" s="0" t="s">
        <v>1897</v>
      </c>
      <c r="B802" s="2" t="s">
        <v>2474</v>
      </c>
      <c r="C802" s="0" t="s">
        <v>66</v>
      </c>
      <c r="D802" s="0" t="n">
        <v>8025667321</v>
      </c>
      <c r="E802" s="0" t="s">
        <v>67</v>
      </c>
      <c r="F802" s="0" t="s">
        <v>2316</v>
      </c>
      <c r="G802" s="0" t="s">
        <v>1898</v>
      </c>
      <c r="H802" s="0" t="s">
        <v>69</v>
      </c>
      <c r="I802" s="3" t="s">
        <v>2322</v>
      </c>
      <c r="J802" s="0" t="s">
        <v>2341</v>
      </c>
      <c r="K802" s="0" t="s">
        <v>71</v>
      </c>
      <c r="L802" s="4" t="n">
        <v>16682</v>
      </c>
      <c r="M802" s="0" t="s">
        <v>110</v>
      </c>
      <c r="N802" s="0" t="s">
        <v>50</v>
      </c>
      <c r="O802" s="5" t="n">
        <v>1</v>
      </c>
      <c r="P802" s="0" t="n">
        <v>4.3</v>
      </c>
      <c r="Q802" s="0" t="s">
        <v>51</v>
      </c>
      <c r="R802" s="0" t="s">
        <v>73</v>
      </c>
      <c r="S802" s="0" t="s">
        <v>53</v>
      </c>
      <c r="T802" s="0" t="s">
        <v>54</v>
      </c>
      <c r="U802" s="5" t="n">
        <v>45</v>
      </c>
      <c r="V802" s="0" t="s">
        <v>96</v>
      </c>
      <c r="W802" s="0" t="s">
        <v>155</v>
      </c>
      <c r="X802" s="0" t="s">
        <v>128</v>
      </c>
      <c r="Y802" s="0" t="s">
        <v>196</v>
      </c>
      <c r="Z802" s="0" t="s">
        <v>2329</v>
      </c>
      <c r="AA802" s="0" t="s">
        <v>149</v>
      </c>
      <c r="AB802" s="5" t="n">
        <v>25000</v>
      </c>
      <c r="AC802" s="5" t="n">
        <v>30000</v>
      </c>
      <c r="AD802" s="0" t="s">
        <v>63</v>
      </c>
      <c r="AE802" s="5" t="n">
        <v>5000</v>
      </c>
      <c r="AF802" s="0" t="s">
        <v>2338</v>
      </c>
      <c r="AG802" s="7" t="s">
        <v>2141</v>
      </c>
      <c r="AH802" s="0" t="s">
        <v>2329</v>
      </c>
      <c r="AI802" s="0" t="s">
        <v>116</v>
      </c>
      <c r="AJ802" s="0" t="s">
        <v>2320</v>
      </c>
      <c r="AK802" s="0" t="s">
        <v>63</v>
      </c>
      <c r="AL802" s="0" t="s">
        <v>63</v>
      </c>
      <c r="AM802" s="0" t="s">
        <v>50</v>
      </c>
      <c r="AN802" s="0" t="s">
        <v>2321</v>
      </c>
      <c r="AO802" s="0" t="s">
        <v>50</v>
      </c>
    </row>
    <row r="803" customFormat="false" ht="15" hidden="false" customHeight="false" outlineLevel="0" collapsed="false">
      <c r="A803" s="0" t="s">
        <v>1899</v>
      </c>
      <c r="B803" s="2" t="s">
        <v>531</v>
      </c>
      <c r="C803" s="0" t="s">
        <v>66</v>
      </c>
      <c r="D803" s="0" t="n">
        <v>8022389075</v>
      </c>
      <c r="E803" s="0" t="s">
        <v>122</v>
      </c>
      <c r="F803" s="0" t="s">
        <v>2316</v>
      </c>
      <c r="G803" s="0" t="s">
        <v>1900</v>
      </c>
      <c r="H803" s="0" t="s">
        <v>45</v>
      </c>
      <c r="I803" s="3" t="s">
        <v>87</v>
      </c>
      <c r="J803" s="0" t="s">
        <v>47</v>
      </c>
      <c r="K803" s="0" t="s">
        <v>109</v>
      </c>
      <c r="L803" s="4" t="n">
        <v>77576</v>
      </c>
      <c r="M803" s="0" t="s">
        <v>49</v>
      </c>
      <c r="N803" s="0" t="s">
        <v>63</v>
      </c>
      <c r="O803" s="5" t="n">
        <v>3</v>
      </c>
      <c r="P803" s="0" t="n">
        <v>5.9</v>
      </c>
      <c r="Q803" s="0" t="s">
        <v>51</v>
      </c>
      <c r="R803" s="0" t="s">
        <v>52</v>
      </c>
      <c r="S803" s="0" t="s">
        <v>53</v>
      </c>
      <c r="T803" s="0" t="s">
        <v>54</v>
      </c>
      <c r="U803" s="5" t="n">
        <v>30</v>
      </c>
      <c r="V803" s="0" t="s">
        <v>2336</v>
      </c>
      <c r="W803" s="0" t="s">
        <v>2328</v>
      </c>
      <c r="X803" s="0" t="s">
        <v>128</v>
      </c>
      <c r="Y803" s="0" t="s">
        <v>114</v>
      </c>
      <c r="Z803" s="0" t="s">
        <v>59</v>
      </c>
      <c r="AA803" s="0" t="s">
        <v>79</v>
      </c>
      <c r="AB803" s="5" t="n">
        <v>15000</v>
      </c>
      <c r="AC803" s="5" t="n">
        <v>30000</v>
      </c>
      <c r="AD803" s="0" t="s">
        <v>50</v>
      </c>
      <c r="AE803" s="5" t="n">
        <v>5000</v>
      </c>
      <c r="AF803" s="0" t="s">
        <v>60</v>
      </c>
      <c r="AG803" s="7" t="s">
        <v>2478</v>
      </c>
      <c r="AH803" s="0" t="s">
        <v>50</v>
      </c>
      <c r="AI803" s="0" t="s">
        <v>2331</v>
      </c>
      <c r="AJ803" s="0" t="s">
        <v>172</v>
      </c>
      <c r="AK803" s="0" t="s">
        <v>63</v>
      </c>
      <c r="AL803" s="0" t="s">
        <v>63</v>
      </c>
      <c r="AM803" s="0" t="s">
        <v>50</v>
      </c>
      <c r="AN803" s="0" t="s">
        <v>64</v>
      </c>
      <c r="AO803" s="0" t="s">
        <v>50</v>
      </c>
    </row>
    <row r="804" customFormat="false" ht="15" hidden="false" customHeight="false" outlineLevel="0" collapsed="false">
      <c r="A804" s="0" t="s">
        <v>1901</v>
      </c>
      <c r="B804" s="2" t="s">
        <v>2363</v>
      </c>
      <c r="C804" s="0" t="s">
        <v>105</v>
      </c>
      <c r="D804" s="0" t="n">
        <v>8096489553</v>
      </c>
      <c r="E804" s="0" t="s">
        <v>43</v>
      </c>
      <c r="F804" s="0" t="s">
        <v>2315</v>
      </c>
      <c r="G804" s="0" t="s">
        <v>1902</v>
      </c>
      <c r="H804" s="0" t="s">
        <v>87</v>
      </c>
      <c r="I804" s="3" t="s">
        <v>2322</v>
      </c>
      <c r="J804" s="0" t="s">
        <v>2349</v>
      </c>
      <c r="K804" s="0" t="s">
        <v>71</v>
      </c>
      <c r="L804" s="4" t="n">
        <v>70390</v>
      </c>
      <c r="M804" s="0" t="s">
        <v>2333</v>
      </c>
      <c r="N804" s="0" t="s">
        <v>50</v>
      </c>
      <c r="O804" s="5" t="n">
        <v>5</v>
      </c>
      <c r="P804" s="0" t="n">
        <v>5.9</v>
      </c>
      <c r="Q804" s="0" t="s">
        <v>125</v>
      </c>
      <c r="R804" s="0" t="s">
        <v>73</v>
      </c>
      <c r="S804" s="0" t="s">
        <v>53</v>
      </c>
      <c r="T804" s="0" t="s">
        <v>54</v>
      </c>
      <c r="U804" s="5" t="n">
        <v>45</v>
      </c>
      <c r="V804" s="0" t="s">
        <v>112</v>
      </c>
      <c r="W804" s="0" t="s">
        <v>2328</v>
      </c>
      <c r="X804" s="0" t="s">
        <v>78</v>
      </c>
      <c r="Y804" s="0" t="s">
        <v>58</v>
      </c>
      <c r="Z804" s="0" t="s">
        <v>2329</v>
      </c>
      <c r="AA804" s="0" t="s">
        <v>161</v>
      </c>
      <c r="AB804" s="5" t="n">
        <v>26538.4615384615</v>
      </c>
      <c r="AC804" s="5" t="n">
        <v>20000</v>
      </c>
      <c r="AD804" s="0" t="s">
        <v>50</v>
      </c>
      <c r="AE804" s="5" t="n">
        <v>5000</v>
      </c>
      <c r="AF804" s="0" t="s">
        <v>184</v>
      </c>
      <c r="AG804" s="7" t="s">
        <v>2330</v>
      </c>
      <c r="AH804" s="0" t="s">
        <v>63</v>
      </c>
      <c r="AI804" s="0" t="s">
        <v>171</v>
      </c>
      <c r="AJ804" s="0" t="s">
        <v>2320</v>
      </c>
      <c r="AK804" s="0" t="s">
        <v>2344</v>
      </c>
      <c r="AL804" s="0" t="s">
        <v>50</v>
      </c>
      <c r="AM804" s="0" t="s">
        <v>50</v>
      </c>
      <c r="AN804" s="0" t="s">
        <v>2321</v>
      </c>
      <c r="AO804" s="0" t="s">
        <v>63</v>
      </c>
    </row>
    <row r="805" customFormat="false" ht="15" hidden="false" customHeight="false" outlineLevel="0" collapsed="false">
      <c r="A805" s="0" t="s">
        <v>1903</v>
      </c>
      <c r="B805" s="2" t="s">
        <v>2390</v>
      </c>
      <c r="C805" s="0" t="s">
        <v>121</v>
      </c>
      <c r="D805" s="0" t="n">
        <v>8061586279</v>
      </c>
      <c r="E805" s="0" t="s">
        <v>67</v>
      </c>
      <c r="F805" s="0" t="s">
        <v>2316</v>
      </c>
      <c r="G805" s="0" t="s">
        <v>1904</v>
      </c>
      <c r="H805" s="0" t="s">
        <v>107</v>
      </c>
      <c r="I805" s="3" t="s">
        <v>2322</v>
      </c>
      <c r="J805" s="0" t="s">
        <v>189</v>
      </c>
      <c r="K805" s="0" t="s">
        <v>48</v>
      </c>
      <c r="L805" s="4" t="n">
        <v>117454</v>
      </c>
      <c r="M805" s="0" t="s">
        <v>49</v>
      </c>
      <c r="N805" s="0" t="s">
        <v>63</v>
      </c>
      <c r="O805" s="5" t="n">
        <v>3.27950310559006</v>
      </c>
      <c r="P805" s="0" t="n">
        <v>1.5</v>
      </c>
      <c r="Q805" s="0" t="s">
        <v>51</v>
      </c>
      <c r="R805" s="0" t="s">
        <v>73</v>
      </c>
      <c r="S805" s="0" t="s">
        <v>2335</v>
      </c>
      <c r="T805" s="0" t="s">
        <v>95</v>
      </c>
      <c r="U805" s="5" t="n">
        <v>39.1304347826087</v>
      </c>
      <c r="V805" s="0" t="s">
        <v>2352</v>
      </c>
      <c r="W805" s="0" t="s">
        <v>155</v>
      </c>
      <c r="X805" s="0" t="s">
        <v>128</v>
      </c>
      <c r="Y805" s="0" t="s">
        <v>114</v>
      </c>
      <c r="Z805" s="0" t="s">
        <v>2329</v>
      </c>
      <c r="AA805" s="0" t="s">
        <v>149</v>
      </c>
      <c r="AB805" s="5" t="n">
        <v>25000</v>
      </c>
      <c r="AC805" s="5" t="n">
        <v>30000</v>
      </c>
      <c r="AD805" s="0" t="s">
        <v>50</v>
      </c>
      <c r="AE805" s="5" t="n">
        <v>5000</v>
      </c>
      <c r="AF805" s="0" t="s">
        <v>60</v>
      </c>
      <c r="AG805" s="7" t="s">
        <v>2427</v>
      </c>
      <c r="AH805" s="0" t="s">
        <v>50</v>
      </c>
      <c r="AI805" s="0" t="s">
        <v>116</v>
      </c>
      <c r="AJ805" s="0" t="s">
        <v>2320</v>
      </c>
      <c r="AK805" s="0" t="s">
        <v>63</v>
      </c>
      <c r="AL805" s="0" t="s">
        <v>63</v>
      </c>
      <c r="AM805" s="0" t="s">
        <v>63</v>
      </c>
      <c r="AN805" s="0" t="s">
        <v>2321</v>
      </c>
      <c r="AO805" s="0" t="s">
        <v>63</v>
      </c>
    </row>
    <row r="806" customFormat="false" ht="15" hidden="false" customHeight="false" outlineLevel="0" collapsed="false">
      <c r="A806" s="0" t="s">
        <v>1905</v>
      </c>
      <c r="B806" s="2" t="s">
        <v>463</v>
      </c>
      <c r="C806" s="0" t="s">
        <v>163</v>
      </c>
      <c r="D806" s="0" t="n">
        <v>8063373950</v>
      </c>
      <c r="E806" s="0" t="s">
        <v>85</v>
      </c>
      <c r="F806" s="0" t="s">
        <v>2319</v>
      </c>
      <c r="G806" s="0" t="s">
        <v>1906</v>
      </c>
      <c r="H806" s="0" t="s">
        <v>134</v>
      </c>
      <c r="I806" s="3" t="s">
        <v>87</v>
      </c>
      <c r="J806" s="0" t="s">
        <v>47</v>
      </c>
      <c r="K806" s="0" t="s">
        <v>48</v>
      </c>
      <c r="L806" s="4" t="n">
        <v>80851</v>
      </c>
      <c r="M806" s="0" t="s">
        <v>49</v>
      </c>
      <c r="N806" s="0" t="s">
        <v>50</v>
      </c>
      <c r="O806" s="5" t="n">
        <v>2</v>
      </c>
      <c r="P806" s="0" t="n">
        <v>1.2</v>
      </c>
      <c r="Q806" s="0" t="s">
        <v>51</v>
      </c>
      <c r="R806" s="0" t="s">
        <v>52</v>
      </c>
      <c r="S806" s="0" t="s">
        <v>53</v>
      </c>
      <c r="T806" s="0" t="s">
        <v>95</v>
      </c>
      <c r="U806" s="5" t="n">
        <v>30</v>
      </c>
      <c r="V806" s="0" t="s">
        <v>2352</v>
      </c>
      <c r="W806" s="0" t="s">
        <v>2328</v>
      </c>
      <c r="X806" s="0" t="s">
        <v>98</v>
      </c>
      <c r="Y806" s="0" t="s">
        <v>58</v>
      </c>
      <c r="Z806" s="0" t="s">
        <v>59</v>
      </c>
      <c r="AA806" s="0" t="s">
        <v>149</v>
      </c>
      <c r="AB806" s="5" t="n">
        <v>40000</v>
      </c>
      <c r="AC806" s="5" t="n">
        <v>40000</v>
      </c>
      <c r="AD806" s="0" t="s">
        <v>50</v>
      </c>
      <c r="AE806" s="5" t="n">
        <v>0</v>
      </c>
      <c r="AF806" s="0" t="s">
        <v>130</v>
      </c>
      <c r="AG806" s="7" t="s">
        <v>2330</v>
      </c>
      <c r="AH806" s="0" t="s">
        <v>50</v>
      </c>
      <c r="AI806" s="0" t="s">
        <v>2331</v>
      </c>
      <c r="AJ806" s="0" t="s">
        <v>2331</v>
      </c>
      <c r="AK806" s="0" t="s">
        <v>63</v>
      </c>
      <c r="AL806" s="0" t="s">
        <v>50</v>
      </c>
      <c r="AM806" s="0" t="s">
        <v>2344</v>
      </c>
      <c r="AN806" s="0" t="s">
        <v>2318</v>
      </c>
      <c r="AO806" s="0" t="s">
        <v>63</v>
      </c>
    </row>
    <row r="807" customFormat="false" ht="15" hidden="false" customHeight="false" outlineLevel="0" collapsed="false">
      <c r="A807" s="0" t="s">
        <v>1907</v>
      </c>
      <c r="B807" s="2" t="s">
        <v>2485</v>
      </c>
      <c r="C807" s="0" t="s">
        <v>66</v>
      </c>
      <c r="D807" s="0" t="n">
        <v>8088673120</v>
      </c>
      <c r="E807" s="0" t="s">
        <v>122</v>
      </c>
      <c r="F807" s="0" t="s">
        <v>2316</v>
      </c>
      <c r="G807" s="0" t="s">
        <v>1908</v>
      </c>
      <c r="H807" s="0" t="s">
        <v>45</v>
      </c>
      <c r="I807" s="3" t="s">
        <v>2325</v>
      </c>
      <c r="J807" s="0" t="s">
        <v>2341</v>
      </c>
      <c r="K807" s="0" t="s">
        <v>109</v>
      </c>
      <c r="L807" s="4" t="n">
        <v>32482</v>
      </c>
      <c r="M807" s="0" t="s">
        <v>110</v>
      </c>
      <c r="N807" s="0" t="s">
        <v>63</v>
      </c>
      <c r="O807" s="5" t="n">
        <v>4</v>
      </c>
      <c r="P807" s="0" t="n">
        <v>2.5</v>
      </c>
      <c r="Q807" s="0" t="s">
        <v>51</v>
      </c>
      <c r="R807" s="0" t="s">
        <v>93</v>
      </c>
      <c r="S807" s="0" t="s">
        <v>2366</v>
      </c>
      <c r="T807" s="0" t="s">
        <v>147</v>
      </c>
      <c r="U807" s="5" t="n">
        <v>30</v>
      </c>
      <c r="V807" s="0" t="s">
        <v>96</v>
      </c>
      <c r="W807" s="0" t="s">
        <v>2328</v>
      </c>
      <c r="X807" s="0" t="s">
        <v>128</v>
      </c>
      <c r="Y807" s="0" t="s">
        <v>196</v>
      </c>
      <c r="Z807" s="0" t="s">
        <v>2329</v>
      </c>
      <c r="AA807" s="0" t="s">
        <v>161</v>
      </c>
      <c r="AB807" s="5" t="n">
        <v>15000</v>
      </c>
      <c r="AC807" s="5" t="n">
        <v>40000</v>
      </c>
      <c r="AD807" s="0" t="s">
        <v>50</v>
      </c>
      <c r="AE807" s="5" t="n">
        <v>5000</v>
      </c>
      <c r="AF807" s="0" t="s">
        <v>60</v>
      </c>
      <c r="AG807" s="7" t="s">
        <v>1909</v>
      </c>
      <c r="AH807" s="0" t="s">
        <v>63</v>
      </c>
      <c r="AI807" s="0" t="s">
        <v>171</v>
      </c>
      <c r="AJ807" s="0" t="s">
        <v>117</v>
      </c>
      <c r="AK807" s="0" t="s">
        <v>63</v>
      </c>
      <c r="AL807" s="0" t="s">
        <v>63</v>
      </c>
      <c r="AM807" s="0" t="s">
        <v>2344</v>
      </c>
      <c r="AN807" s="0" t="s">
        <v>2318</v>
      </c>
      <c r="AO807" s="0" t="s">
        <v>50</v>
      </c>
    </row>
    <row r="808" customFormat="false" ht="15" hidden="false" customHeight="false" outlineLevel="0" collapsed="false">
      <c r="A808" s="0" t="s">
        <v>1910</v>
      </c>
      <c r="B808" s="2" t="s">
        <v>2408</v>
      </c>
      <c r="C808" s="0" t="s">
        <v>42</v>
      </c>
      <c r="D808" s="0" t="n">
        <v>8020784168</v>
      </c>
      <c r="E808" s="0" t="s">
        <v>122</v>
      </c>
      <c r="F808" s="0" t="s">
        <v>2316</v>
      </c>
      <c r="G808" s="0" t="s">
        <v>1911</v>
      </c>
      <c r="H808" s="0" t="s">
        <v>45</v>
      </c>
      <c r="I808" s="3" t="s">
        <v>2325</v>
      </c>
      <c r="J808" s="0" t="s">
        <v>47</v>
      </c>
      <c r="K808" s="0" t="s">
        <v>48</v>
      </c>
      <c r="L808" s="4" t="n">
        <v>23853</v>
      </c>
      <c r="M808" s="0" t="s">
        <v>110</v>
      </c>
      <c r="N808" s="0" t="s">
        <v>63</v>
      </c>
      <c r="O808" s="5" t="n">
        <v>5</v>
      </c>
      <c r="P808" s="0" t="n">
        <v>5.2</v>
      </c>
      <c r="Q808" s="0" t="s">
        <v>51</v>
      </c>
      <c r="R808" s="0" t="s">
        <v>73</v>
      </c>
      <c r="S808" s="0" t="s">
        <v>2340</v>
      </c>
      <c r="T808" s="0" t="s">
        <v>2353</v>
      </c>
      <c r="U808" s="5" t="n">
        <v>45</v>
      </c>
      <c r="V808" s="0" t="s">
        <v>112</v>
      </c>
      <c r="W808" s="0" t="s">
        <v>155</v>
      </c>
      <c r="X808" s="0" t="s">
        <v>78</v>
      </c>
      <c r="Y808" s="0" t="s">
        <v>196</v>
      </c>
      <c r="Z808" s="0" t="s">
        <v>59</v>
      </c>
      <c r="AA808" s="0" t="s">
        <v>2329</v>
      </c>
      <c r="AB808" s="5" t="n">
        <v>20000</v>
      </c>
      <c r="AC808" s="5" t="n">
        <v>30000</v>
      </c>
      <c r="AD808" s="0" t="s">
        <v>50</v>
      </c>
      <c r="AE808" s="5" t="n">
        <v>0</v>
      </c>
      <c r="AF808" s="0" t="s">
        <v>2338</v>
      </c>
      <c r="AG808" s="7" t="s">
        <v>2330</v>
      </c>
      <c r="AH808" s="0" t="s">
        <v>63</v>
      </c>
      <c r="AI808" s="0" t="s">
        <v>116</v>
      </c>
      <c r="AJ808" s="0" t="s">
        <v>2320</v>
      </c>
      <c r="AK808" s="0" t="s">
        <v>63</v>
      </c>
      <c r="AL808" s="0" t="s">
        <v>63</v>
      </c>
      <c r="AM808" s="0" t="s">
        <v>50</v>
      </c>
      <c r="AN808" s="0" t="s">
        <v>64</v>
      </c>
      <c r="AO808" s="0" t="s">
        <v>2359</v>
      </c>
    </row>
    <row r="809" customFormat="false" ht="15" hidden="false" customHeight="false" outlineLevel="0" collapsed="false">
      <c r="A809" s="0" t="s">
        <v>1912</v>
      </c>
      <c r="B809" s="2" t="s">
        <v>2489</v>
      </c>
      <c r="C809" s="0" t="s">
        <v>105</v>
      </c>
      <c r="D809" s="0" t="n">
        <v>8079596863</v>
      </c>
      <c r="E809" s="0" t="s">
        <v>122</v>
      </c>
      <c r="F809" s="0" t="s">
        <v>2316</v>
      </c>
      <c r="G809" s="0" t="s">
        <v>1159</v>
      </c>
      <c r="H809" s="0" t="s">
        <v>69</v>
      </c>
      <c r="I809" s="3" t="s">
        <v>2325</v>
      </c>
      <c r="J809" s="0" t="s">
        <v>2347</v>
      </c>
      <c r="K809" s="0" t="s">
        <v>71</v>
      </c>
      <c r="L809" s="4" t="n">
        <v>21668</v>
      </c>
      <c r="M809" s="0" t="s">
        <v>49</v>
      </c>
      <c r="N809" s="0" t="s">
        <v>63</v>
      </c>
      <c r="O809" s="5" t="n">
        <v>2</v>
      </c>
      <c r="P809" s="0" t="n">
        <v>1.7</v>
      </c>
      <c r="Q809" s="0" t="s">
        <v>111</v>
      </c>
      <c r="R809" s="0" t="s">
        <v>73</v>
      </c>
      <c r="S809" s="0" t="s">
        <v>2366</v>
      </c>
      <c r="T809" s="0" t="s">
        <v>2343</v>
      </c>
      <c r="U809" s="5" t="n">
        <v>60</v>
      </c>
      <c r="V809" s="0" t="s">
        <v>2336</v>
      </c>
      <c r="W809" s="0" t="s">
        <v>155</v>
      </c>
      <c r="X809" s="0" t="s">
        <v>128</v>
      </c>
      <c r="Y809" s="0" t="s">
        <v>99</v>
      </c>
      <c r="Z809" s="0" t="s">
        <v>2326</v>
      </c>
      <c r="AA809" s="0" t="s">
        <v>2329</v>
      </c>
      <c r="AB809" s="5" t="n">
        <v>40000</v>
      </c>
      <c r="AC809" s="5" t="n">
        <v>30000</v>
      </c>
      <c r="AD809" s="0" t="s">
        <v>63</v>
      </c>
      <c r="AE809" s="5" t="n">
        <v>5000</v>
      </c>
      <c r="AF809" s="0" t="s">
        <v>2338</v>
      </c>
      <c r="AG809" s="7" t="s">
        <v>2330</v>
      </c>
      <c r="AH809" s="0" t="s">
        <v>63</v>
      </c>
      <c r="AI809" s="0" t="s">
        <v>2331</v>
      </c>
      <c r="AJ809" s="0" t="s">
        <v>2331</v>
      </c>
      <c r="AK809" s="0" t="s">
        <v>2344</v>
      </c>
      <c r="AL809" s="0" t="s">
        <v>63</v>
      </c>
      <c r="AM809" s="0" t="s">
        <v>2344</v>
      </c>
      <c r="AN809" s="0" t="s">
        <v>64</v>
      </c>
      <c r="AO809" s="0" t="s">
        <v>63</v>
      </c>
    </row>
    <row r="810" customFormat="false" ht="15" hidden="false" customHeight="false" outlineLevel="0" collapsed="false">
      <c r="A810" s="0" t="s">
        <v>1913</v>
      </c>
      <c r="B810" s="2" t="s">
        <v>267</v>
      </c>
      <c r="C810" s="0" t="s">
        <v>42</v>
      </c>
      <c r="D810" s="0" t="n">
        <v>8035343427</v>
      </c>
      <c r="E810" s="0" t="s">
        <v>85</v>
      </c>
      <c r="F810" s="0" t="s">
        <v>2319</v>
      </c>
      <c r="G810" s="0" t="s">
        <v>1914</v>
      </c>
      <c r="H810" s="0" t="s">
        <v>69</v>
      </c>
      <c r="I810" s="3" t="s">
        <v>2342</v>
      </c>
      <c r="J810" s="0" t="s">
        <v>47</v>
      </c>
      <c r="K810" s="0" t="s">
        <v>71</v>
      </c>
      <c r="L810" s="4" t="n">
        <v>63836</v>
      </c>
      <c r="M810" s="0" t="s">
        <v>110</v>
      </c>
      <c r="N810" s="0" t="s">
        <v>63</v>
      </c>
      <c r="O810" s="5" t="n">
        <v>3.28025477707006</v>
      </c>
      <c r="P810" s="0" t="n">
        <v>3.2</v>
      </c>
      <c r="Q810" s="0" t="s">
        <v>51</v>
      </c>
      <c r="R810" s="0" t="s">
        <v>93</v>
      </c>
      <c r="S810" s="0" t="s">
        <v>2335</v>
      </c>
      <c r="T810" s="0" t="s">
        <v>54</v>
      </c>
      <c r="U810" s="5" t="n">
        <v>60</v>
      </c>
      <c r="V810" s="0" t="s">
        <v>112</v>
      </c>
      <c r="W810" s="0" t="s">
        <v>2337</v>
      </c>
      <c r="X810" s="0" t="s">
        <v>98</v>
      </c>
      <c r="Y810" s="0" t="s">
        <v>196</v>
      </c>
      <c r="Z810" s="0" t="s">
        <v>177</v>
      </c>
      <c r="AA810" s="0" t="s">
        <v>2329</v>
      </c>
      <c r="AB810" s="5" t="n">
        <v>25000</v>
      </c>
      <c r="AC810" s="5" t="n">
        <v>30000</v>
      </c>
      <c r="AD810" s="0" t="s">
        <v>50</v>
      </c>
      <c r="AE810" s="5" t="n">
        <v>0</v>
      </c>
      <c r="AF810" s="0" t="s">
        <v>184</v>
      </c>
      <c r="AG810" s="7" t="s">
        <v>2371</v>
      </c>
      <c r="AH810" s="0" t="s">
        <v>63</v>
      </c>
      <c r="AI810" s="0" t="s">
        <v>2331</v>
      </c>
      <c r="AJ810" s="0" t="s">
        <v>172</v>
      </c>
      <c r="AK810" s="0" t="s">
        <v>50</v>
      </c>
      <c r="AL810" s="0" t="s">
        <v>63</v>
      </c>
      <c r="AM810" s="0" t="s">
        <v>63</v>
      </c>
      <c r="AN810" s="0" t="s">
        <v>2321</v>
      </c>
      <c r="AO810" s="0" t="s">
        <v>50</v>
      </c>
    </row>
    <row r="811" customFormat="false" ht="15" hidden="false" customHeight="false" outlineLevel="0" collapsed="false">
      <c r="A811" s="0" t="s">
        <v>1915</v>
      </c>
      <c r="B811" s="2" t="s">
        <v>1250</v>
      </c>
      <c r="C811" s="0" t="s">
        <v>163</v>
      </c>
      <c r="D811" s="0" t="n">
        <v>8066766698</v>
      </c>
      <c r="E811" s="0" t="s">
        <v>43</v>
      </c>
      <c r="F811" s="0" t="s">
        <v>2315</v>
      </c>
      <c r="G811" s="0" t="s">
        <v>1916</v>
      </c>
      <c r="H811" s="0" t="s">
        <v>87</v>
      </c>
      <c r="I811" s="3" t="s">
        <v>2317</v>
      </c>
      <c r="J811" s="0" t="s">
        <v>2341</v>
      </c>
      <c r="K811" s="0" t="s">
        <v>48</v>
      </c>
      <c r="L811" s="4" t="n">
        <v>17198</v>
      </c>
      <c r="M811" s="0" t="s">
        <v>49</v>
      </c>
      <c r="N811" s="0" t="s">
        <v>50</v>
      </c>
      <c r="O811" s="5" t="n">
        <v>5</v>
      </c>
      <c r="P811" s="0" t="n">
        <v>1.2</v>
      </c>
      <c r="Q811" s="0" t="s">
        <v>51</v>
      </c>
      <c r="R811" s="0" t="s">
        <v>52</v>
      </c>
      <c r="S811" s="0" t="s">
        <v>53</v>
      </c>
      <c r="T811" s="0" t="s">
        <v>147</v>
      </c>
      <c r="U811" s="5" t="n">
        <v>30</v>
      </c>
      <c r="V811" s="0" t="s">
        <v>2352</v>
      </c>
      <c r="W811" s="0" t="s">
        <v>155</v>
      </c>
      <c r="X811" s="0" t="s">
        <v>128</v>
      </c>
      <c r="Y811" s="0" t="s">
        <v>196</v>
      </c>
      <c r="Z811" s="0" t="s">
        <v>2324</v>
      </c>
      <c r="AA811" s="0" t="s">
        <v>2329</v>
      </c>
      <c r="AB811" s="5" t="n">
        <v>40000</v>
      </c>
      <c r="AC811" s="5" t="n">
        <v>31739.1304347826</v>
      </c>
      <c r="AD811" s="0" t="s">
        <v>63</v>
      </c>
      <c r="AE811" s="5" t="n">
        <v>5000</v>
      </c>
      <c r="AF811" s="0" t="s">
        <v>184</v>
      </c>
      <c r="AG811" s="7" t="s">
        <v>774</v>
      </c>
      <c r="AH811" s="0" t="s">
        <v>2329</v>
      </c>
      <c r="AI811" s="0" t="s">
        <v>116</v>
      </c>
      <c r="AJ811" s="0" t="s">
        <v>2331</v>
      </c>
      <c r="AK811" s="0" t="s">
        <v>50</v>
      </c>
      <c r="AL811" s="0" t="s">
        <v>63</v>
      </c>
      <c r="AM811" s="0" t="s">
        <v>2344</v>
      </c>
      <c r="AN811" s="0" t="s">
        <v>2321</v>
      </c>
      <c r="AO811" s="0" t="s">
        <v>50</v>
      </c>
    </row>
    <row r="812" customFormat="false" ht="15" hidden="false" customHeight="false" outlineLevel="0" collapsed="false">
      <c r="A812" s="0" t="s">
        <v>1917</v>
      </c>
      <c r="B812" s="2" t="s">
        <v>791</v>
      </c>
      <c r="C812" s="0" t="s">
        <v>121</v>
      </c>
      <c r="D812" s="0" t="n">
        <v>8032256467</v>
      </c>
      <c r="E812" s="0" t="s">
        <v>122</v>
      </c>
      <c r="F812" s="0" t="s">
        <v>2316</v>
      </c>
      <c r="G812" s="0" t="s">
        <v>472</v>
      </c>
      <c r="H812" s="0" t="s">
        <v>45</v>
      </c>
      <c r="I812" s="3" t="s">
        <v>2317</v>
      </c>
      <c r="J812" s="0" t="s">
        <v>2339</v>
      </c>
      <c r="K812" s="0" t="s">
        <v>109</v>
      </c>
      <c r="L812" s="4" t="n">
        <v>30756</v>
      </c>
      <c r="M812" s="0" t="s">
        <v>2333</v>
      </c>
      <c r="N812" s="0" t="s">
        <v>50</v>
      </c>
      <c r="O812" s="5" t="n">
        <v>5</v>
      </c>
      <c r="P812" s="0" t="n">
        <v>3</v>
      </c>
      <c r="Q812" s="0" t="s">
        <v>125</v>
      </c>
      <c r="R812" s="0" t="s">
        <v>93</v>
      </c>
      <c r="S812" s="0" t="s">
        <v>53</v>
      </c>
      <c r="T812" s="0" t="s">
        <v>2353</v>
      </c>
      <c r="U812" s="5" t="n">
        <v>15</v>
      </c>
      <c r="V812" s="0" t="s">
        <v>2336</v>
      </c>
      <c r="W812" s="0" t="s">
        <v>2328</v>
      </c>
      <c r="X812" s="0" t="s">
        <v>98</v>
      </c>
      <c r="Y812" s="0" t="s">
        <v>196</v>
      </c>
      <c r="Z812" s="0" t="s">
        <v>59</v>
      </c>
      <c r="AA812" s="0" t="s">
        <v>143</v>
      </c>
      <c r="AB812" s="5" t="n">
        <v>25000</v>
      </c>
      <c r="AC812" s="5" t="n">
        <v>30000</v>
      </c>
      <c r="AD812" s="0" t="s">
        <v>50</v>
      </c>
      <c r="AE812" s="5" t="n">
        <v>0</v>
      </c>
      <c r="AF812" s="0" t="s">
        <v>60</v>
      </c>
      <c r="AG812" s="7" t="s">
        <v>690</v>
      </c>
      <c r="AH812" s="0" t="s">
        <v>50</v>
      </c>
      <c r="AI812" s="0" t="s">
        <v>2331</v>
      </c>
      <c r="AJ812" s="0" t="s">
        <v>2331</v>
      </c>
      <c r="AK812" s="0" t="s">
        <v>63</v>
      </c>
      <c r="AL812" s="0" t="s">
        <v>63</v>
      </c>
      <c r="AM812" s="0" t="s">
        <v>63</v>
      </c>
      <c r="AN812" s="0" t="s">
        <v>2321</v>
      </c>
      <c r="AO812" s="0" t="s">
        <v>50</v>
      </c>
    </row>
    <row r="813" customFormat="false" ht="15" hidden="false" customHeight="false" outlineLevel="0" collapsed="false">
      <c r="A813" s="0" t="s">
        <v>1918</v>
      </c>
      <c r="B813" s="2" t="s">
        <v>2463</v>
      </c>
      <c r="C813" s="0" t="s">
        <v>42</v>
      </c>
      <c r="D813" s="0" t="n">
        <v>8067293719</v>
      </c>
      <c r="E813" s="0" t="s">
        <v>67</v>
      </c>
      <c r="F813" s="0" t="s">
        <v>2316</v>
      </c>
      <c r="G813" s="0" t="s">
        <v>1088</v>
      </c>
      <c r="H813" s="0" t="s">
        <v>107</v>
      </c>
      <c r="I813" s="3" t="s">
        <v>2322</v>
      </c>
      <c r="J813" s="0" t="s">
        <v>47</v>
      </c>
      <c r="K813" s="0" t="s">
        <v>90</v>
      </c>
      <c r="L813" s="4" t="n">
        <v>96606</v>
      </c>
      <c r="M813" s="0" t="s">
        <v>110</v>
      </c>
      <c r="N813" s="0" t="s">
        <v>50</v>
      </c>
      <c r="O813" s="5" t="n">
        <v>1</v>
      </c>
      <c r="P813" s="0" t="n">
        <v>4.7</v>
      </c>
      <c r="Q813" s="0" t="s">
        <v>111</v>
      </c>
      <c r="R813" s="0" t="s">
        <v>93</v>
      </c>
      <c r="S813" s="0" t="s">
        <v>2340</v>
      </c>
      <c r="T813" s="0" t="s">
        <v>147</v>
      </c>
      <c r="U813" s="5" t="n">
        <v>36.6666666666667</v>
      </c>
      <c r="V813" s="0" t="s">
        <v>2352</v>
      </c>
      <c r="W813" s="0" t="s">
        <v>2328</v>
      </c>
      <c r="X813" s="0" t="s">
        <v>128</v>
      </c>
      <c r="Y813" s="0" t="s">
        <v>196</v>
      </c>
      <c r="Z813" s="0" t="s">
        <v>2324</v>
      </c>
      <c r="AA813" s="0" t="s">
        <v>161</v>
      </c>
      <c r="AB813" s="5" t="n">
        <v>40000</v>
      </c>
      <c r="AC813" s="5" t="n">
        <v>20000</v>
      </c>
      <c r="AD813" s="0" t="s">
        <v>50</v>
      </c>
      <c r="AE813" s="5" t="n">
        <v>0</v>
      </c>
      <c r="AF813" s="0" t="s">
        <v>60</v>
      </c>
      <c r="AG813" s="7" t="s">
        <v>1919</v>
      </c>
      <c r="AH813" s="0" t="s">
        <v>63</v>
      </c>
      <c r="AI813" s="0" t="s">
        <v>116</v>
      </c>
      <c r="AJ813" s="0" t="s">
        <v>117</v>
      </c>
      <c r="AK813" s="0" t="s">
        <v>50</v>
      </c>
      <c r="AL813" s="0" t="s">
        <v>50</v>
      </c>
      <c r="AM813" s="0" t="s">
        <v>2344</v>
      </c>
      <c r="AN813" s="0" t="s">
        <v>64</v>
      </c>
      <c r="AO813" s="0" t="s">
        <v>50</v>
      </c>
    </row>
    <row r="814" customFormat="false" ht="15" hidden="false" customHeight="false" outlineLevel="0" collapsed="false">
      <c r="A814" s="0" t="s">
        <v>1920</v>
      </c>
      <c r="B814" s="2" t="s">
        <v>2419</v>
      </c>
      <c r="C814" s="0" t="s">
        <v>42</v>
      </c>
      <c r="D814" s="0" t="n">
        <v>8043939802</v>
      </c>
      <c r="E814" s="0" t="s">
        <v>67</v>
      </c>
      <c r="F814" s="0" t="s">
        <v>2316</v>
      </c>
      <c r="G814" s="0" t="s">
        <v>1921</v>
      </c>
      <c r="H814" s="0" t="s">
        <v>87</v>
      </c>
      <c r="I814" s="3" t="s">
        <v>2322</v>
      </c>
      <c r="J814" s="0" t="s">
        <v>2339</v>
      </c>
      <c r="K814" s="0" t="s">
        <v>48</v>
      </c>
      <c r="L814" s="4" t="n">
        <v>97209</v>
      </c>
      <c r="M814" s="0" t="s">
        <v>49</v>
      </c>
      <c r="N814" s="0" t="s">
        <v>50</v>
      </c>
      <c r="O814" s="5" t="n">
        <v>1</v>
      </c>
      <c r="P814" s="0" t="n">
        <v>4.8</v>
      </c>
      <c r="Q814" s="0" t="s">
        <v>111</v>
      </c>
      <c r="R814" s="0" t="s">
        <v>73</v>
      </c>
      <c r="S814" s="0" t="s">
        <v>2366</v>
      </c>
      <c r="T814" s="0" t="s">
        <v>95</v>
      </c>
      <c r="U814" s="5" t="n">
        <v>45</v>
      </c>
      <c r="V814" s="0" t="s">
        <v>96</v>
      </c>
      <c r="W814" s="0" t="s">
        <v>2337</v>
      </c>
      <c r="X814" s="0" t="s">
        <v>98</v>
      </c>
      <c r="Y814" s="0" t="s">
        <v>58</v>
      </c>
      <c r="Z814" s="0" t="s">
        <v>177</v>
      </c>
      <c r="AA814" s="0" t="s">
        <v>143</v>
      </c>
      <c r="AB814" s="5" t="n">
        <v>25000</v>
      </c>
      <c r="AC814" s="5" t="n">
        <v>35000</v>
      </c>
      <c r="AD814" s="0" t="s">
        <v>63</v>
      </c>
      <c r="AE814" s="5" t="n">
        <v>5000</v>
      </c>
      <c r="AF814" s="0" t="s">
        <v>60</v>
      </c>
      <c r="AG814" s="7" t="s">
        <v>805</v>
      </c>
      <c r="AH814" s="0" t="s">
        <v>63</v>
      </c>
      <c r="AI814" s="0" t="s">
        <v>171</v>
      </c>
      <c r="AJ814" s="0" t="s">
        <v>172</v>
      </c>
      <c r="AK814" s="0" t="s">
        <v>50</v>
      </c>
      <c r="AL814" s="0" t="s">
        <v>50</v>
      </c>
      <c r="AM814" s="0" t="s">
        <v>63</v>
      </c>
      <c r="AN814" s="0" t="s">
        <v>2318</v>
      </c>
      <c r="AO814" s="0" t="s">
        <v>50</v>
      </c>
    </row>
    <row r="815" customFormat="false" ht="15" hidden="false" customHeight="false" outlineLevel="0" collapsed="false">
      <c r="A815" s="0" t="s">
        <v>1922</v>
      </c>
      <c r="B815" s="2" t="s">
        <v>1890</v>
      </c>
      <c r="C815" s="0" t="s">
        <v>105</v>
      </c>
      <c r="D815" s="0" t="n">
        <v>8050563223</v>
      </c>
      <c r="E815" s="0" t="s">
        <v>139</v>
      </c>
      <c r="F815" s="0" t="s">
        <v>2323</v>
      </c>
      <c r="G815" s="0" t="s">
        <v>1923</v>
      </c>
      <c r="H815" s="0" t="s">
        <v>45</v>
      </c>
      <c r="I815" s="3" t="s">
        <v>2342</v>
      </c>
      <c r="J815" s="0" t="s">
        <v>2349</v>
      </c>
      <c r="K815" s="0" t="s">
        <v>71</v>
      </c>
      <c r="L815" s="4" t="n">
        <v>96411</v>
      </c>
      <c r="M815" s="0" t="s">
        <v>2333</v>
      </c>
      <c r="N815" s="0" t="s">
        <v>63</v>
      </c>
      <c r="O815" s="5" t="n">
        <v>4</v>
      </c>
      <c r="P815" s="0" t="n">
        <v>5.7</v>
      </c>
      <c r="Q815" s="0" t="s">
        <v>51</v>
      </c>
      <c r="R815" s="0" t="s">
        <v>73</v>
      </c>
      <c r="S815" s="0" t="s">
        <v>53</v>
      </c>
      <c r="T815" s="0" t="s">
        <v>147</v>
      </c>
      <c r="U815" s="5" t="n">
        <v>15</v>
      </c>
      <c r="V815" s="0" t="s">
        <v>96</v>
      </c>
      <c r="W815" s="0" t="s">
        <v>155</v>
      </c>
      <c r="X815" s="0" t="s">
        <v>128</v>
      </c>
      <c r="Y815" s="0" t="s">
        <v>196</v>
      </c>
      <c r="Z815" s="0" t="s">
        <v>177</v>
      </c>
      <c r="AA815" s="0" t="s">
        <v>143</v>
      </c>
      <c r="AB815" s="5" t="n">
        <v>20000</v>
      </c>
      <c r="AC815" s="5" t="n">
        <v>30000</v>
      </c>
      <c r="AD815" s="0" t="s">
        <v>50</v>
      </c>
      <c r="AE815" s="5" t="n">
        <v>0</v>
      </c>
      <c r="AF815" s="0" t="s">
        <v>184</v>
      </c>
      <c r="AG815" s="7" t="s">
        <v>2360</v>
      </c>
      <c r="AH815" s="0" t="s">
        <v>63</v>
      </c>
      <c r="AI815" s="0" t="s">
        <v>116</v>
      </c>
      <c r="AJ815" s="0" t="s">
        <v>2331</v>
      </c>
      <c r="AK815" s="0" t="s">
        <v>50</v>
      </c>
      <c r="AL815" s="0" t="s">
        <v>63</v>
      </c>
      <c r="AM815" s="0" t="s">
        <v>50</v>
      </c>
      <c r="AN815" s="0" t="s">
        <v>64</v>
      </c>
      <c r="AO815" s="0" t="s">
        <v>50</v>
      </c>
    </row>
    <row r="816" customFormat="false" ht="15" hidden="false" customHeight="false" outlineLevel="0" collapsed="false">
      <c r="A816" s="0" t="s">
        <v>1924</v>
      </c>
      <c r="B816" s="2" t="s">
        <v>2378</v>
      </c>
      <c r="C816" s="0" t="s">
        <v>121</v>
      </c>
      <c r="D816" s="0" t="n">
        <v>8077195678</v>
      </c>
      <c r="E816" s="0" t="s">
        <v>85</v>
      </c>
      <c r="F816" s="0" t="s">
        <v>2319</v>
      </c>
      <c r="G816" s="0" t="s">
        <v>1925</v>
      </c>
      <c r="H816" s="0" t="s">
        <v>107</v>
      </c>
      <c r="I816" s="3" t="s">
        <v>2325</v>
      </c>
      <c r="J816" s="0" t="s">
        <v>189</v>
      </c>
      <c r="K816" s="0" t="s">
        <v>48</v>
      </c>
      <c r="L816" s="4" t="n">
        <v>13595</v>
      </c>
      <c r="M816" s="0" t="s">
        <v>2333</v>
      </c>
      <c r="N816" s="0" t="s">
        <v>63</v>
      </c>
      <c r="O816" s="5" t="n">
        <v>4</v>
      </c>
      <c r="P816" s="0" t="n">
        <v>4.8</v>
      </c>
      <c r="Q816" s="0" t="s">
        <v>125</v>
      </c>
      <c r="R816" s="0" t="s">
        <v>73</v>
      </c>
      <c r="S816" s="0" t="s">
        <v>2335</v>
      </c>
      <c r="T816" s="0" t="s">
        <v>147</v>
      </c>
      <c r="U816" s="5" t="n">
        <v>45</v>
      </c>
      <c r="V816" s="0" t="s">
        <v>112</v>
      </c>
      <c r="W816" s="0" t="s">
        <v>155</v>
      </c>
      <c r="X816" s="0" t="s">
        <v>98</v>
      </c>
      <c r="Y816" s="0" t="s">
        <v>196</v>
      </c>
      <c r="Z816" s="0" t="s">
        <v>2326</v>
      </c>
      <c r="AA816" s="0" t="s">
        <v>149</v>
      </c>
      <c r="AB816" s="5" t="n">
        <v>40000</v>
      </c>
      <c r="AC816" s="5" t="n">
        <v>35000</v>
      </c>
      <c r="AD816" s="0" t="s">
        <v>50</v>
      </c>
      <c r="AE816" s="5" t="n">
        <v>5000</v>
      </c>
      <c r="AF816" s="0" t="s">
        <v>2338</v>
      </c>
      <c r="AG816" s="7" t="s">
        <v>2330</v>
      </c>
      <c r="AH816" s="0" t="s">
        <v>63</v>
      </c>
      <c r="AI816" s="0" t="s">
        <v>116</v>
      </c>
      <c r="AJ816" s="0" t="s">
        <v>172</v>
      </c>
      <c r="AK816" s="0" t="s">
        <v>63</v>
      </c>
      <c r="AL816" s="0" t="s">
        <v>63</v>
      </c>
      <c r="AM816" s="0" t="s">
        <v>2344</v>
      </c>
      <c r="AN816" s="0" t="s">
        <v>2321</v>
      </c>
      <c r="AO816" s="0" t="s">
        <v>63</v>
      </c>
    </row>
    <row r="817" customFormat="false" ht="15" hidden="false" customHeight="false" outlineLevel="0" collapsed="false">
      <c r="A817" s="0" t="s">
        <v>1926</v>
      </c>
      <c r="B817" s="2" t="s">
        <v>2425</v>
      </c>
      <c r="C817" s="0" t="s">
        <v>163</v>
      </c>
      <c r="D817" s="0" t="n">
        <v>8081565068</v>
      </c>
      <c r="E817" s="0" t="s">
        <v>139</v>
      </c>
      <c r="F817" s="0" t="s">
        <v>2323</v>
      </c>
      <c r="G817" s="0" t="s">
        <v>1927</v>
      </c>
      <c r="H817" s="0" t="s">
        <v>134</v>
      </c>
      <c r="I817" s="3" t="s">
        <v>2322</v>
      </c>
      <c r="J817" s="0" t="s">
        <v>189</v>
      </c>
      <c r="K817" s="0" t="s">
        <v>48</v>
      </c>
      <c r="L817" s="4" t="n">
        <v>92683</v>
      </c>
      <c r="M817" s="0" t="s">
        <v>2333</v>
      </c>
      <c r="N817" s="0" t="s">
        <v>63</v>
      </c>
      <c r="O817" s="5" t="n">
        <v>5</v>
      </c>
      <c r="P817" s="0" t="n">
        <v>5.7</v>
      </c>
      <c r="Q817" s="0" t="s">
        <v>125</v>
      </c>
      <c r="R817" s="0" t="s">
        <v>93</v>
      </c>
      <c r="S817" s="0" t="s">
        <v>53</v>
      </c>
      <c r="T817" s="0" t="s">
        <v>147</v>
      </c>
      <c r="U817" s="5" t="n">
        <v>45</v>
      </c>
      <c r="V817" s="0" t="s">
        <v>112</v>
      </c>
      <c r="W817" s="0" t="s">
        <v>148</v>
      </c>
      <c r="X817" s="0" t="s">
        <v>128</v>
      </c>
      <c r="Y817" s="0" t="s">
        <v>196</v>
      </c>
      <c r="Z817" s="0" t="s">
        <v>177</v>
      </c>
      <c r="AA817" s="0" t="s">
        <v>79</v>
      </c>
      <c r="AB817" s="5" t="n">
        <v>40000</v>
      </c>
      <c r="AC817" s="5" t="n">
        <v>31794.8717948718</v>
      </c>
      <c r="AD817" s="0" t="s">
        <v>63</v>
      </c>
      <c r="AE817" s="5" t="n">
        <v>0</v>
      </c>
      <c r="AF817" s="0" t="s">
        <v>60</v>
      </c>
      <c r="AG817" s="7" t="s">
        <v>2348</v>
      </c>
      <c r="AH817" s="0" t="s">
        <v>50</v>
      </c>
      <c r="AI817" s="0" t="s">
        <v>2331</v>
      </c>
      <c r="AJ817" s="0" t="s">
        <v>2320</v>
      </c>
      <c r="AK817" s="0" t="s">
        <v>2344</v>
      </c>
      <c r="AL817" s="0" t="s">
        <v>63</v>
      </c>
      <c r="AM817" s="0" t="s">
        <v>63</v>
      </c>
      <c r="AN817" s="0" t="s">
        <v>2321</v>
      </c>
      <c r="AO817" s="0" t="s">
        <v>50</v>
      </c>
    </row>
    <row r="818" customFormat="false" ht="15" hidden="false" customHeight="false" outlineLevel="0" collapsed="false">
      <c r="A818" s="0" t="s">
        <v>1928</v>
      </c>
      <c r="B818" s="2" t="s">
        <v>489</v>
      </c>
      <c r="C818" s="0" t="s">
        <v>121</v>
      </c>
      <c r="D818" s="0" t="n">
        <v>8098380502</v>
      </c>
      <c r="E818" s="0" t="s">
        <v>67</v>
      </c>
      <c r="F818" s="0" t="s">
        <v>2316</v>
      </c>
      <c r="G818" s="0" t="s">
        <v>1929</v>
      </c>
      <c r="H818" s="0" t="s">
        <v>69</v>
      </c>
      <c r="I818" s="3" t="s">
        <v>2317</v>
      </c>
      <c r="J818" s="0" t="s">
        <v>2339</v>
      </c>
      <c r="K818" s="0" t="s">
        <v>90</v>
      </c>
      <c r="L818" s="4" t="n">
        <v>115283</v>
      </c>
      <c r="M818" s="0" t="s">
        <v>49</v>
      </c>
      <c r="N818" s="0" t="s">
        <v>50</v>
      </c>
      <c r="O818" s="5" t="n">
        <v>3.26666666666667</v>
      </c>
      <c r="P818" s="0" t="n">
        <v>2</v>
      </c>
      <c r="Q818" s="0" t="s">
        <v>125</v>
      </c>
      <c r="R818" s="0" t="s">
        <v>52</v>
      </c>
      <c r="S818" s="0" t="s">
        <v>2335</v>
      </c>
      <c r="T818" s="0" t="s">
        <v>2343</v>
      </c>
      <c r="U818" s="5" t="n">
        <v>45</v>
      </c>
      <c r="V818" s="0" t="s">
        <v>2352</v>
      </c>
      <c r="W818" s="0" t="s">
        <v>2328</v>
      </c>
      <c r="X818" s="0" t="s">
        <v>78</v>
      </c>
      <c r="Y818" s="0" t="s">
        <v>114</v>
      </c>
      <c r="Z818" s="0" t="s">
        <v>177</v>
      </c>
      <c r="AA818" s="0" t="s">
        <v>161</v>
      </c>
      <c r="AB818" s="5" t="n">
        <v>15000</v>
      </c>
      <c r="AC818" s="5" t="n">
        <v>30000</v>
      </c>
      <c r="AD818" s="0" t="s">
        <v>50</v>
      </c>
      <c r="AE818" s="5" t="n">
        <v>5000</v>
      </c>
      <c r="AF818" s="0" t="s">
        <v>2338</v>
      </c>
      <c r="AG818" s="7" t="s">
        <v>1563</v>
      </c>
      <c r="AH818" s="0" t="s">
        <v>50</v>
      </c>
      <c r="AI818" s="0" t="s">
        <v>2331</v>
      </c>
      <c r="AJ818" s="0" t="s">
        <v>2320</v>
      </c>
      <c r="AK818" s="0" t="s">
        <v>50</v>
      </c>
      <c r="AL818" s="0" t="s">
        <v>2344</v>
      </c>
      <c r="AM818" s="0" t="s">
        <v>50</v>
      </c>
      <c r="AN818" s="0" t="s">
        <v>64</v>
      </c>
      <c r="AO818" s="0" t="s">
        <v>50</v>
      </c>
    </row>
    <row r="819" customFormat="false" ht="15" hidden="false" customHeight="false" outlineLevel="0" collapsed="false">
      <c r="A819" s="0" t="s">
        <v>1930</v>
      </c>
      <c r="B819" s="2" t="s">
        <v>652</v>
      </c>
      <c r="C819" s="0" t="s">
        <v>121</v>
      </c>
      <c r="D819" s="0" t="n">
        <v>8061377017</v>
      </c>
      <c r="E819" s="0" t="s">
        <v>43</v>
      </c>
      <c r="F819" s="0" t="s">
        <v>2315</v>
      </c>
      <c r="G819" s="0" t="s">
        <v>1931</v>
      </c>
      <c r="H819" s="0" t="s">
        <v>69</v>
      </c>
      <c r="I819" s="3" t="s">
        <v>2322</v>
      </c>
      <c r="J819" s="0" t="s">
        <v>2347</v>
      </c>
      <c r="K819" s="0" t="s">
        <v>71</v>
      </c>
      <c r="L819" s="4" t="n">
        <v>96565</v>
      </c>
      <c r="M819" s="0" t="s">
        <v>110</v>
      </c>
      <c r="N819" s="0" t="s">
        <v>50</v>
      </c>
      <c r="O819" s="5" t="n">
        <v>4</v>
      </c>
      <c r="P819" s="0" t="n">
        <v>4</v>
      </c>
      <c r="Q819" s="0" t="s">
        <v>111</v>
      </c>
      <c r="R819" s="0" t="s">
        <v>52</v>
      </c>
      <c r="S819" s="0" t="s">
        <v>53</v>
      </c>
      <c r="T819" s="0" t="s">
        <v>2343</v>
      </c>
      <c r="U819" s="5" t="n">
        <v>45</v>
      </c>
      <c r="V819" s="0" t="s">
        <v>2352</v>
      </c>
      <c r="W819" s="0" t="s">
        <v>2337</v>
      </c>
      <c r="X819" s="0" t="s">
        <v>128</v>
      </c>
      <c r="Y819" s="0" t="s">
        <v>99</v>
      </c>
      <c r="Z819" s="0" t="s">
        <v>2324</v>
      </c>
      <c r="AA819" s="0" t="s">
        <v>2329</v>
      </c>
      <c r="AB819" s="5" t="n">
        <v>40000</v>
      </c>
      <c r="AC819" s="5" t="n">
        <v>40000</v>
      </c>
      <c r="AD819" s="0" t="s">
        <v>63</v>
      </c>
      <c r="AE819" s="5" t="n">
        <v>5000</v>
      </c>
      <c r="AF819" s="0" t="s">
        <v>130</v>
      </c>
      <c r="AG819" s="7" t="s">
        <v>1197</v>
      </c>
      <c r="AH819" s="0" t="s">
        <v>50</v>
      </c>
      <c r="AI819" s="0" t="s">
        <v>116</v>
      </c>
      <c r="AJ819" s="0" t="s">
        <v>2331</v>
      </c>
      <c r="AK819" s="0" t="s">
        <v>50</v>
      </c>
      <c r="AL819" s="0" t="s">
        <v>50</v>
      </c>
      <c r="AM819" s="0" t="s">
        <v>2344</v>
      </c>
      <c r="AN819" s="0" t="s">
        <v>64</v>
      </c>
      <c r="AO819" s="0" t="s">
        <v>50</v>
      </c>
    </row>
    <row r="820" customFormat="false" ht="15" hidden="false" customHeight="false" outlineLevel="0" collapsed="false">
      <c r="A820" s="0" t="s">
        <v>1932</v>
      </c>
      <c r="B820" s="2" t="s">
        <v>2448</v>
      </c>
      <c r="C820" s="0" t="s">
        <v>163</v>
      </c>
      <c r="D820" s="0" t="n">
        <v>8088662295</v>
      </c>
      <c r="E820" s="0" t="s">
        <v>43</v>
      </c>
      <c r="F820" s="0" t="s">
        <v>2315</v>
      </c>
      <c r="G820" s="0" t="s">
        <v>1933</v>
      </c>
      <c r="H820" s="0" t="s">
        <v>87</v>
      </c>
      <c r="I820" s="3" t="s">
        <v>2325</v>
      </c>
      <c r="J820" s="0" t="s">
        <v>2349</v>
      </c>
      <c r="K820" s="0" t="s">
        <v>48</v>
      </c>
      <c r="L820" s="4" t="n">
        <v>92283</v>
      </c>
      <c r="M820" s="0" t="s">
        <v>110</v>
      </c>
      <c r="N820" s="0" t="s">
        <v>63</v>
      </c>
      <c r="O820" s="5" t="n">
        <v>2</v>
      </c>
      <c r="P820" s="0" t="n">
        <v>4.7</v>
      </c>
      <c r="Q820" s="0" t="s">
        <v>111</v>
      </c>
      <c r="R820" s="0" t="s">
        <v>73</v>
      </c>
      <c r="S820" s="0" t="s">
        <v>2340</v>
      </c>
      <c r="T820" s="0" t="s">
        <v>147</v>
      </c>
      <c r="U820" s="5" t="n">
        <v>39.5</v>
      </c>
      <c r="V820" s="0" t="s">
        <v>96</v>
      </c>
      <c r="W820" s="0" t="s">
        <v>155</v>
      </c>
      <c r="X820" s="0" t="s">
        <v>98</v>
      </c>
      <c r="Y820" s="0" t="s">
        <v>196</v>
      </c>
      <c r="Z820" s="0" t="s">
        <v>2329</v>
      </c>
      <c r="AA820" s="0" t="s">
        <v>2329</v>
      </c>
      <c r="AB820" s="5" t="n">
        <v>20000</v>
      </c>
      <c r="AC820" s="5" t="n">
        <v>31753.2467532468</v>
      </c>
      <c r="AD820" s="0" t="s">
        <v>50</v>
      </c>
      <c r="AE820" s="5" t="n">
        <v>0</v>
      </c>
      <c r="AF820" s="0" t="s">
        <v>184</v>
      </c>
      <c r="AG820" s="7" t="s">
        <v>1304</v>
      </c>
      <c r="AH820" s="0" t="s">
        <v>50</v>
      </c>
      <c r="AI820" s="0" t="s">
        <v>2331</v>
      </c>
      <c r="AJ820" s="0" t="s">
        <v>172</v>
      </c>
      <c r="AK820" s="0" t="s">
        <v>63</v>
      </c>
      <c r="AL820" s="0" t="s">
        <v>2344</v>
      </c>
      <c r="AM820" s="0" t="s">
        <v>63</v>
      </c>
      <c r="AN820" s="0" t="s">
        <v>2321</v>
      </c>
      <c r="AO820" s="0" t="s">
        <v>63</v>
      </c>
    </row>
    <row r="821" customFormat="false" ht="15" hidden="false" customHeight="false" outlineLevel="0" collapsed="false">
      <c r="A821" s="0" t="s">
        <v>1935</v>
      </c>
      <c r="B821" s="2" t="s">
        <v>1934</v>
      </c>
      <c r="C821" s="0" t="s">
        <v>42</v>
      </c>
      <c r="D821" s="0" t="n">
        <v>8051336223</v>
      </c>
      <c r="E821" s="0" t="s">
        <v>139</v>
      </c>
      <c r="F821" s="0" t="s">
        <v>2323</v>
      </c>
      <c r="G821" s="0" t="s">
        <v>1936</v>
      </c>
      <c r="H821" s="0" t="s">
        <v>69</v>
      </c>
      <c r="I821" s="3" t="s">
        <v>2322</v>
      </c>
      <c r="J821" s="0" t="s">
        <v>189</v>
      </c>
      <c r="K821" s="0" t="s">
        <v>48</v>
      </c>
      <c r="L821" s="4" t="n">
        <v>44012</v>
      </c>
      <c r="M821" s="0" t="s">
        <v>2333</v>
      </c>
      <c r="N821" s="0" t="s">
        <v>50</v>
      </c>
      <c r="O821" s="5" t="n">
        <v>4</v>
      </c>
      <c r="P821" s="0" t="n">
        <v>1.6</v>
      </c>
      <c r="Q821" s="0" t="s">
        <v>2334</v>
      </c>
      <c r="R821" s="0" t="s">
        <v>93</v>
      </c>
      <c r="S821" s="0" t="s">
        <v>2340</v>
      </c>
      <c r="T821" s="0" t="s">
        <v>2353</v>
      </c>
      <c r="U821" s="5" t="n">
        <v>60</v>
      </c>
      <c r="V821" s="0" t="s">
        <v>112</v>
      </c>
      <c r="W821" s="0" t="s">
        <v>2328</v>
      </c>
      <c r="X821" s="0" t="s">
        <v>128</v>
      </c>
      <c r="Y821" s="0" t="s">
        <v>114</v>
      </c>
      <c r="Z821" s="0" t="s">
        <v>2324</v>
      </c>
      <c r="AA821" s="0" t="s">
        <v>149</v>
      </c>
      <c r="AB821" s="5" t="n">
        <v>25000</v>
      </c>
      <c r="AC821" s="5" t="n">
        <v>35000</v>
      </c>
      <c r="AD821" s="0" t="s">
        <v>50</v>
      </c>
      <c r="AE821" s="5" t="n">
        <v>10000</v>
      </c>
      <c r="AF821" s="0" t="s">
        <v>184</v>
      </c>
      <c r="AG821" s="7" t="s">
        <v>2491</v>
      </c>
      <c r="AH821" s="0" t="s">
        <v>50</v>
      </c>
      <c r="AI821" s="0" t="s">
        <v>2331</v>
      </c>
      <c r="AJ821" s="0" t="s">
        <v>2331</v>
      </c>
      <c r="AK821" s="0" t="s">
        <v>50</v>
      </c>
      <c r="AL821" s="0" t="s">
        <v>50</v>
      </c>
      <c r="AM821" s="0" t="s">
        <v>2344</v>
      </c>
      <c r="AN821" s="0" t="s">
        <v>2318</v>
      </c>
      <c r="AO821" s="0" t="s">
        <v>50</v>
      </c>
    </row>
    <row r="822" customFormat="false" ht="15" hidden="false" customHeight="false" outlineLevel="0" collapsed="false">
      <c r="A822" s="0" t="s">
        <v>1937</v>
      </c>
      <c r="B822" s="2" t="s">
        <v>669</v>
      </c>
      <c r="C822" s="0" t="s">
        <v>42</v>
      </c>
      <c r="D822" s="0" t="n">
        <v>8065245223</v>
      </c>
      <c r="E822" s="0" t="s">
        <v>67</v>
      </c>
      <c r="F822" s="0" t="s">
        <v>2316</v>
      </c>
      <c r="G822" s="0" t="s">
        <v>1236</v>
      </c>
      <c r="H822" s="0" t="s">
        <v>69</v>
      </c>
      <c r="I822" s="3" t="s">
        <v>2317</v>
      </c>
      <c r="J822" s="0" t="s">
        <v>2349</v>
      </c>
      <c r="K822" s="0" t="s">
        <v>109</v>
      </c>
      <c r="L822" s="4" t="n">
        <v>22462</v>
      </c>
      <c r="M822" s="0" t="s">
        <v>110</v>
      </c>
      <c r="N822" s="0" t="s">
        <v>63</v>
      </c>
      <c r="O822" s="5" t="n">
        <v>4</v>
      </c>
      <c r="P822" s="0" t="n">
        <v>2</v>
      </c>
      <c r="Q822" s="0" t="s">
        <v>51</v>
      </c>
      <c r="R822" s="0" t="s">
        <v>73</v>
      </c>
      <c r="S822" s="0" t="s">
        <v>2335</v>
      </c>
      <c r="T822" s="0" t="s">
        <v>75</v>
      </c>
      <c r="U822" s="5" t="n">
        <v>15</v>
      </c>
      <c r="V822" s="0" t="s">
        <v>2336</v>
      </c>
      <c r="W822" s="0" t="s">
        <v>2337</v>
      </c>
      <c r="X822" s="0" t="s">
        <v>78</v>
      </c>
      <c r="Y822" s="0" t="s">
        <v>196</v>
      </c>
      <c r="Z822" s="0" t="s">
        <v>59</v>
      </c>
      <c r="AA822" s="0" t="s">
        <v>79</v>
      </c>
      <c r="AB822" s="5" t="n">
        <v>20000</v>
      </c>
      <c r="AC822" s="5" t="n">
        <v>30000</v>
      </c>
      <c r="AD822" s="0" t="s">
        <v>50</v>
      </c>
      <c r="AE822" s="5" t="n">
        <v>5000</v>
      </c>
      <c r="AF822" s="0" t="s">
        <v>2338</v>
      </c>
      <c r="AG822" s="7" t="s">
        <v>2429</v>
      </c>
      <c r="AH822" s="0" t="s">
        <v>2329</v>
      </c>
      <c r="AI822" s="0" t="s">
        <v>2331</v>
      </c>
      <c r="AJ822" s="0" t="s">
        <v>2331</v>
      </c>
      <c r="AK822" s="0" t="s">
        <v>2344</v>
      </c>
      <c r="AL822" s="0" t="s">
        <v>2344</v>
      </c>
      <c r="AM822" s="0" t="s">
        <v>63</v>
      </c>
      <c r="AN822" s="0" t="s">
        <v>2321</v>
      </c>
      <c r="AO822" s="0" t="s">
        <v>63</v>
      </c>
    </row>
    <row r="823" customFormat="false" ht="15" hidden="false" customHeight="false" outlineLevel="0" collapsed="false">
      <c r="A823" s="0" t="s">
        <v>1938</v>
      </c>
      <c r="B823" s="2" t="s">
        <v>592</v>
      </c>
      <c r="C823" s="0" t="s">
        <v>163</v>
      </c>
      <c r="D823" s="0" t="n">
        <v>8021928391</v>
      </c>
      <c r="E823" s="0" t="s">
        <v>67</v>
      </c>
      <c r="F823" s="0" t="s">
        <v>2316</v>
      </c>
      <c r="G823" s="0" t="s">
        <v>1939</v>
      </c>
      <c r="H823" s="0" t="s">
        <v>107</v>
      </c>
      <c r="I823" s="3" t="s">
        <v>2322</v>
      </c>
      <c r="J823" s="0" t="s">
        <v>47</v>
      </c>
      <c r="K823" s="0" t="s">
        <v>71</v>
      </c>
      <c r="L823" s="4" t="n">
        <v>81532</v>
      </c>
      <c r="M823" s="0" t="s">
        <v>2333</v>
      </c>
      <c r="N823" s="0" t="s">
        <v>50</v>
      </c>
      <c r="O823" s="5" t="n">
        <v>2</v>
      </c>
      <c r="P823" s="0" t="n">
        <v>2.6</v>
      </c>
      <c r="Q823" s="0" t="s">
        <v>125</v>
      </c>
      <c r="R823" s="0" t="s">
        <v>93</v>
      </c>
      <c r="S823" s="0" t="s">
        <v>53</v>
      </c>
      <c r="T823" s="0" t="s">
        <v>75</v>
      </c>
      <c r="U823" s="5" t="n">
        <v>60</v>
      </c>
      <c r="V823" s="0" t="s">
        <v>55</v>
      </c>
      <c r="W823" s="0" t="s">
        <v>155</v>
      </c>
      <c r="X823" s="0" t="s">
        <v>98</v>
      </c>
      <c r="Y823" s="0" t="s">
        <v>99</v>
      </c>
      <c r="Z823" s="0" t="s">
        <v>2329</v>
      </c>
      <c r="AA823" s="0" t="s">
        <v>143</v>
      </c>
      <c r="AB823" s="5" t="n">
        <v>25416.6666666667</v>
      </c>
      <c r="AC823" s="5" t="n">
        <v>40000</v>
      </c>
      <c r="AD823" s="0" t="s">
        <v>63</v>
      </c>
      <c r="AE823" s="5" t="n">
        <v>5000</v>
      </c>
      <c r="AF823" s="0" t="s">
        <v>60</v>
      </c>
      <c r="AG823" s="7" t="s">
        <v>2330</v>
      </c>
      <c r="AH823" s="0" t="s">
        <v>50</v>
      </c>
      <c r="AI823" s="0" t="s">
        <v>2331</v>
      </c>
      <c r="AJ823" s="0" t="s">
        <v>172</v>
      </c>
      <c r="AK823" s="0" t="s">
        <v>63</v>
      </c>
      <c r="AL823" s="0" t="s">
        <v>63</v>
      </c>
      <c r="AM823" s="0" t="s">
        <v>2344</v>
      </c>
      <c r="AN823" s="0" t="s">
        <v>2321</v>
      </c>
      <c r="AO823" s="0" t="s">
        <v>50</v>
      </c>
    </row>
    <row r="824" customFormat="false" ht="15" hidden="false" customHeight="false" outlineLevel="0" collapsed="false">
      <c r="A824" s="0" t="s">
        <v>1940</v>
      </c>
      <c r="B824" s="2" t="s">
        <v>2374</v>
      </c>
      <c r="C824" s="0" t="s">
        <v>42</v>
      </c>
      <c r="D824" s="0" t="n">
        <v>8024666517</v>
      </c>
      <c r="E824" s="0" t="s">
        <v>122</v>
      </c>
      <c r="F824" s="0" t="s">
        <v>2316</v>
      </c>
      <c r="G824" s="0" t="s">
        <v>665</v>
      </c>
      <c r="H824" s="0" t="s">
        <v>134</v>
      </c>
      <c r="I824" s="3" t="s">
        <v>2322</v>
      </c>
      <c r="J824" s="0" t="s">
        <v>2339</v>
      </c>
      <c r="K824" s="0" t="s">
        <v>109</v>
      </c>
      <c r="L824" s="4" t="n">
        <v>114750</v>
      </c>
      <c r="M824" s="0" t="s">
        <v>110</v>
      </c>
      <c r="N824" s="0" t="s">
        <v>63</v>
      </c>
      <c r="O824" s="5" t="n">
        <v>2</v>
      </c>
      <c r="P824" s="0" t="n">
        <v>2.2</v>
      </c>
      <c r="Q824" s="0" t="s">
        <v>125</v>
      </c>
      <c r="R824" s="0" t="s">
        <v>93</v>
      </c>
      <c r="S824" s="0" t="s">
        <v>53</v>
      </c>
      <c r="T824" s="0" t="s">
        <v>75</v>
      </c>
      <c r="U824" s="5" t="n">
        <v>38.6538461538462</v>
      </c>
      <c r="V824" s="0" t="s">
        <v>2352</v>
      </c>
      <c r="W824" s="0" t="s">
        <v>2337</v>
      </c>
      <c r="X824" s="0" t="s">
        <v>98</v>
      </c>
      <c r="Y824" s="0" t="s">
        <v>99</v>
      </c>
      <c r="Z824" s="0" t="s">
        <v>177</v>
      </c>
      <c r="AA824" s="0" t="s">
        <v>149</v>
      </c>
      <c r="AB824" s="5" t="n">
        <v>40000</v>
      </c>
      <c r="AC824" s="5" t="n">
        <v>31688.7417218543</v>
      </c>
      <c r="AD824" s="0" t="s">
        <v>50</v>
      </c>
      <c r="AE824" s="5" t="n">
        <v>5000</v>
      </c>
      <c r="AF824" s="0" t="s">
        <v>60</v>
      </c>
      <c r="AG824" s="7" t="s">
        <v>1486</v>
      </c>
      <c r="AH824" s="0" t="s">
        <v>50</v>
      </c>
      <c r="AI824" s="0" t="s">
        <v>171</v>
      </c>
      <c r="AJ824" s="0" t="s">
        <v>2331</v>
      </c>
      <c r="AK824" s="0" t="s">
        <v>2344</v>
      </c>
      <c r="AL824" s="0" t="s">
        <v>63</v>
      </c>
      <c r="AM824" s="0" t="s">
        <v>2344</v>
      </c>
      <c r="AN824" s="0" t="s">
        <v>2318</v>
      </c>
      <c r="AO824" s="0" t="s">
        <v>50</v>
      </c>
    </row>
    <row r="825" customFormat="false" ht="15" hidden="false" customHeight="false" outlineLevel="0" collapsed="false">
      <c r="A825" s="0" t="s">
        <v>1941</v>
      </c>
      <c r="B825" s="2" t="s">
        <v>1639</v>
      </c>
      <c r="C825" s="0" t="s">
        <v>121</v>
      </c>
      <c r="D825" s="0" t="n">
        <v>8095386667</v>
      </c>
      <c r="E825" s="0" t="s">
        <v>85</v>
      </c>
      <c r="F825" s="0" t="s">
        <v>2319</v>
      </c>
      <c r="G825" s="0" t="s">
        <v>1942</v>
      </c>
      <c r="H825" s="0" t="s">
        <v>107</v>
      </c>
      <c r="I825" s="3" t="s">
        <v>87</v>
      </c>
      <c r="J825" s="0" t="s">
        <v>2349</v>
      </c>
      <c r="K825" s="0" t="s">
        <v>109</v>
      </c>
      <c r="L825" s="4" t="n">
        <v>20969</v>
      </c>
      <c r="M825" s="0" t="s">
        <v>2333</v>
      </c>
      <c r="N825" s="0" t="s">
        <v>63</v>
      </c>
      <c r="O825" s="5" t="n">
        <v>2</v>
      </c>
      <c r="P825" s="0" t="n">
        <v>3.7</v>
      </c>
      <c r="Q825" s="0" t="s">
        <v>125</v>
      </c>
      <c r="R825" s="0" t="s">
        <v>52</v>
      </c>
      <c r="S825" s="0" t="s">
        <v>2335</v>
      </c>
      <c r="T825" s="0" t="s">
        <v>95</v>
      </c>
      <c r="U825" s="5" t="n">
        <v>60</v>
      </c>
      <c r="V825" s="0" t="s">
        <v>96</v>
      </c>
      <c r="W825" s="0" t="s">
        <v>155</v>
      </c>
      <c r="X825" s="0" t="s">
        <v>78</v>
      </c>
      <c r="Y825" s="0" t="s">
        <v>196</v>
      </c>
      <c r="Z825" s="0" t="s">
        <v>2329</v>
      </c>
      <c r="AA825" s="0" t="s">
        <v>79</v>
      </c>
      <c r="AB825" s="5" t="n">
        <v>20000</v>
      </c>
      <c r="AC825" s="5" t="n">
        <v>40000</v>
      </c>
      <c r="AD825" s="0" t="s">
        <v>50</v>
      </c>
      <c r="AE825" s="5" t="n">
        <v>10000</v>
      </c>
      <c r="AF825" s="0" t="s">
        <v>60</v>
      </c>
      <c r="AG825" s="7" t="s">
        <v>1909</v>
      </c>
      <c r="AH825" s="0" t="s">
        <v>50</v>
      </c>
      <c r="AI825" s="0" t="s">
        <v>2331</v>
      </c>
      <c r="AJ825" s="0" t="s">
        <v>172</v>
      </c>
      <c r="AK825" s="0" t="s">
        <v>50</v>
      </c>
      <c r="AL825" s="0" t="s">
        <v>63</v>
      </c>
      <c r="AM825" s="0" t="s">
        <v>2344</v>
      </c>
      <c r="AN825" s="0" t="s">
        <v>64</v>
      </c>
      <c r="AO825" s="0" t="s">
        <v>50</v>
      </c>
    </row>
    <row r="826" customFormat="false" ht="15" hidden="false" customHeight="false" outlineLevel="0" collapsed="false">
      <c r="A826" s="0" t="s">
        <v>1943</v>
      </c>
      <c r="B826" s="2" t="s">
        <v>232</v>
      </c>
      <c r="C826" s="0" t="s">
        <v>42</v>
      </c>
      <c r="D826" s="0" t="n">
        <v>8086854640</v>
      </c>
      <c r="E826" s="0" t="s">
        <v>43</v>
      </c>
      <c r="F826" s="0" t="s">
        <v>2315</v>
      </c>
      <c r="G826" s="0" t="s">
        <v>460</v>
      </c>
      <c r="H826" s="0" t="s">
        <v>107</v>
      </c>
      <c r="I826" s="3" t="s">
        <v>2325</v>
      </c>
      <c r="J826" s="0" t="s">
        <v>47</v>
      </c>
      <c r="K826" s="0" t="s">
        <v>48</v>
      </c>
      <c r="L826" s="4" t="n">
        <v>40829</v>
      </c>
      <c r="M826" s="0" t="s">
        <v>2333</v>
      </c>
      <c r="N826" s="0" t="s">
        <v>63</v>
      </c>
      <c r="O826" s="5" t="n">
        <v>5</v>
      </c>
      <c r="P826" s="0" t="n">
        <v>3.5</v>
      </c>
      <c r="Q826" s="0" t="s">
        <v>111</v>
      </c>
      <c r="R826" s="0" t="s">
        <v>52</v>
      </c>
      <c r="S826" s="0" t="s">
        <v>2340</v>
      </c>
      <c r="T826" s="0" t="s">
        <v>95</v>
      </c>
      <c r="U826" s="5" t="n">
        <v>30</v>
      </c>
      <c r="V826" s="0" t="s">
        <v>55</v>
      </c>
      <c r="W826" s="0" t="s">
        <v>148</v>
      </c>
      <c r="X826" s="0" t="s">
        <v>98</v>
      </c>
      <c r="Y826" s="0" t="s">
        <v>99</v>
      </c>
      <c r="Z826" s="0" t="s">
        <v>59</v>
      </c>
      <c r="AA826" s="0" t="s">
        <v>143</v>
      </c>
      <c r="AB826" s="5" t="n">
        <v>25000</v>
      </c>
      <c r="AC826" s="5" t="n">
        <v>35000</v>
      </c>
      <c r="AD826" s="0" t="s">
        <v>63</v>
      </c>
      <c r="AE826" s="5" t="n">
        <v>5000</v>
      </c>
      <c r="AF826" s="0" t="s">
        <v>60</v>
      </c>
      <c r="AG826" s="7" t="s">
        <v>1486</v>
      </c>
      <c r="AH826" s="0" t="s">
        <v>2329</v>
      </c>
      <c r="AI826" s="0" t="s">
        <v>171</v>
      </c>
      <c r="AJ826" s="0" t="s">
        <v>117</v>
      </c>
      <c r="AK826" s="0" t="s">
        <v>63</v>
      </c>
      <c r="AL826" s="0" t="s">
        <v>63</v>
      </c>
      <c r="AM826" s="0" t="s">
        <v>50</v>
      </c>
      <c r="AN826" s="0" t="s">
        <v>2321</v>
      </c>
      <c r="AO826" s="0" t="s">
        <v>63</v>
      </c>
    </row>
    <row r="827" customFormat="false" ht="15" hidden="false" customHeight="false" outlineLevel="0" collapsed="false">
      <c r="A827" s="0" t="s">
        <v>1944</v>
      </c>
      <c r="B827" s="2" t="s">
        <v>2464</v>
      </c>
      <c r="C827" s="0" t="s">
        <v>66</v>
      </c>
      <c r="D827" s="0" t="n">
        <v>8056223620</v>
      </c>
      <c r="E827" s="0" t="s">
        <v>85</v>
      </c>
      <c r="F827" s="0" t="s">
        <v>2319</v>
      </c>
      <c r="G827" s="0" t="s">
        <v>1945</v>
      </c>
      <c r="H827" s="0" t="s">
        <v>134</v>
      </c>
      <c r="I827" s="3" t="s">
        <v>2325</v>
      </c>
      <c r="J827" s="0" t="s">
        <v>47</v>
      </c>
      <c r="K827" s="0" t="s">
        <v>90</v>
      </c>
      <c r="L827" s="4" t="n">
        <v>58414</v>
      </c>
      <c r="M827" s="0" t="s">
        <v>49</v>
      </c>
      <c r="N827" s="0" t="s">
        <v>63</v>
      </c>
      <c r="O827" s="5" t="n">
        <v>2</v>
      </c>
      <c r="P827" s="0" t="n">
        <v>2.4</v>
      </c>
      <c r="Q827" s="0" t="s">
        <v>51</v>
      </c>
      <c r="R827" s="0" t="s">
        <v>73</v>
      </c>
      <c r="S827" s="0" t="s">
        <v>2340</v>
      </c>
      <c r="T827" s="0" t="s">
        <v>147</v>
      </c>
      <c r="U827" s="5" t="n">
        <v>15</v>
      </c>
      <c r="V827" s="0" t="s">
        <v>112</v>
      </c>
      <c r="W827" s="0" t="s">
        <v>2328</v>
      </c>
      <c r="X827" s="0" t="s">
        <v>98</v>
      </c>
      <c r="Y827" s="0" t="s">
        <v>58</v>
      </c>
      <c r="Z827" s="0" t="s">
        <v>2324</v>
      </c>
      <c r="AA827" s="0" t="s">
        <v>79</v>
      </c>
      <c r="AB827" s="5" t="n">
        <v>15000</v>
      </c>
      <c r="AC827" s="5" t="n">
        <v>35000</v>
      </c>
      <c r="AD827" s="0" t="s">
        <v>50</v>
      </c>
      <c r="AE827" s="5" t="n">
        <v>0</v>
      </c>
      <c r="AF827" s="0" t="s">
        <v>184</v>
      </c>
      <c r="AG827" s="7" t="s">
        <v>421</v>
      </c>
      <c r="AH827" s="0" t="s">
        <v>50</v>
      </c>
      <c r="AI827" s="0" t="s">
        <v>116</v>
      </c>
      <c r="AJ827" s="0" t="s">
        <v>172</v>
      </c>
      <c r="AK827" s="0" t="s">
        <v>63</v>
      </c>
      <c r="AL827" s="0" t="s">
        <v>2344</v>
      </c>
      <c r="AM827" s="0" t="s">
        <v>2344</v>
      </c>
      <c r="AN827" s="0" t="s">
        <v>2321</v>
      </c>
      <c r="AO827" s="0" t="s">
        <v>50</v>
      </c>
    </row>
    <row r="828" customFormat="false" ht="15" hidden="false" customHeight="false" outlineLevel="0" collapsed="false">
      <c r="A828" s="0" t="s">
        <v>1946</v>
      </c>
      <c r="B828" s="2" t="s">
        <v>963</v>
      </c>
      <c r="C828" s="0" t="s">
        <v>121</v>
      </c>
      <c r="D828" s="0" t="n">
        <v>8029154679</v>
      </c>
      <c r="E828" s="0" t="s">
        <v>122</v>
      </c>
      <c r="F828" s="0" t="s">
        <v>2316</v>
      </c>
      <c r="G828" s="0" t="s">
        <v>1947</v>
      </c>
      <c r="H828" s="0" t="s">
        <v>45</v>
      </c>
      <c r="I828" s="3" t="s">
        <v>2325</v>
      </c>
      <c r="J828" s="0" t="s">
        <v>2341</v>
      </c>
      <c r="K828" s="0" t="s">
        <v>109</v>
      </c>
      <c r="L828" s="4" t="n">
        <v>99698</v>
      </c>
      <c r="M828" s="0" t="s">
        <v>110</v>
      </c>
      <c r="N828" s="0" t="s">
        <v>50</v>
      </c>
      <c r="O828" s="5" t="n">
        <v>5</v>
      </c>
      <c r="P828" s="0" t="n">
        <v>5.7</v>
      </c>
      <c r="Q828" s="0" t="s">
        <v>92</v>
      </c>
      <c r="R828" s="0" t="s">
        <v>93</v>
      </c>
      <c r="S828" s="0" t="s">
        <v>2340</v>
      </c>
      <c r="T828" s="0" t="s">
        <v>2343</v>
      </c>
      <c r="U828" s="5" t="n">
        <v>30</v>
      </c>
      <c r="V828" s="0" t="s">
        <v>2352</v>
      </c>
      <c r="W828" s="0" t="s">
        <v>2337</v>
      </c>
      <c r="X828" s="0" t="s">
        <v>128</v>
      </c>
      <c r="Y828" s="0" t="s">
        <v>114</v>
      </c>
      <c r="Z828" s="0" t="s">
        <v>177</v>
      </c>
      <c r="AA828" s="0" t="s">
        <v>2329</v>
      </c>
      <c r="AB828" s="5" t="n">
        <v>15000</v>
      </c>
      <c r="AC828" s="5" t="n">
        <v>30000</v>
      </c>
      <c r="AD828" s="0" t="s">
        <v>50</v>
      </c>
      <c r="AE828" s="5" t="n">
        <v>5000</v>
      </c>
      <c r="AF828" s="0" t="s">
        <v>60</v>
      </c>
      <c r="AG828" s="7" t="s">
        <v>2400</v>
      </c>
      <c r="AH828" s="0" t="s">
        <v>2329</v>
      </c>
      <c r="AI828" s="0" t="s">
        <v>171</v>
      </c>
      <c r="AJ828" s="0" t="s">
        <v>2331</v>
      </c>
      <c r="AK828" s="0" t="s">
        <v>63</v>
      </c>
      <c r="AL828" s="0" t="s">
        <v>63</v>
      </c>
      <c r="AM828" s="0" t="s">
        <v>2344</v>
      </c>
      <c r="AN828" s="0" t="s">
        <v>2318</v>
      </c>
      <c r="AO828" s="0" t="s">
        <v>50</v>
      </c>
    </row>
    <row r="829" customFormat="false" ht="15" hidden="false" customHeight="false" outlineLevel="0" collapsed="false">
      <c r="A829" s="0" t="s">
        <v>1948</v>
      </c>
      <c r="B829" s="2" t="s">
        <v>2472</v>
      </c>
      <c r="C829" s="0" t="s">
        <v>163</v>
      </c>
      <c r="D829" s="0" t="n">
        <v>8046107432</v>
      </c>
      <c r="E829" s="0" t="s">
        <v>122</v>
      </c>
      <c r="F829" s="0" t="s">
        <v>2316</v>
      </c>
      <c r="G829" s="0" t="s">
        <v>1949</v>
      </c>
      <c r="H829" s="0" t="s">
        <v>87</v>
      </c>
      <c r="I829" s="3" t="s">
        <v>2322</v>
      </c>
      <c r="J829" s="0" t="s">
        <v>2347</v>
      </c>
      <c r="K829" s="0" t="s">
        <v>90</v>
      </c>
      <c r="L829" s="4" t="n">
        <v>101988</v>
      </c>
      <c r="M829" s="0" t="s">
        <v>110</v>
      </c>
      <c r="N829" s="0" t="s">
        <v>63</v>
      </c>
      <c r="O829" s="5" t="n">
        <v>5</v>
      </c>
      <c r="P829" s="0" t="n">
        <v>1.2</v>
      </c>
      <c r="Q829" s="0" t="s">
        <v>2334</v>
      </c>
      <c r="R829" s="0" t="s">
        <v>93</v>
      </c>
      <c r="S829" s="0" t="s">
        <v>53</v>
      </c>
      <c r="T829" s="0" t="s">
        <v>54</v>
      </c>
      <c r="U829" s="5" t="n">
        <v>60</v>
      </c>
      <c r="V829" s="0" t="s">
        <v>2336</v>
      </c>
      <c r="W829" s="0" t="s">
        <v>2337</v>
      </c>
      <c r="X829" s="0" t="s">
        <v>128</v>
      </c>
      <c r="Y829" s="0" t="s">
        <v>196</v>
      </c>
      <c r="Z829" s="0" t="s">
        <v>2329</v>
      </c>
      <c r="AA829" s="0" t="s">
        <v>79</v>
      </c>
      <c r="AB829" s="5" t="n">
        <v>30000</v>
      </c>
      <c r="AC829" s="5" t="n">
        <v>35000</v>
      </c>
      <c r="AD829" s="0" t="s">
        <v>50</v>
      </c>
      <c r="AE829" s="5" t="n">
        <v>5000</v>
      </c>
      <c r="AF829" s="0" t="s">
        <v>130</v>
      </c>
      <c r="AG829" s="7" t="s">
        <v>1950</v>
      </c>
      <c r="AH829" s="0" t="s">
        <v>63</v>
      </c>
      <c r="AI829" s="0" t="s">
        <v>2331</v>
      </c>
      <c r="AJ829" s="0" t="s">
        <v>2331</v>
      </c>
      <c r="AK829" s="0" t="s">
        <v>50</v>
      </c>
      <c r="AL829" s="0" t="s">
        <v>50</v>
      </c>
      <c r="AM829" s="0" t="s">
        <v>50</v>
      </c>
      <c r="AN829" s="0" t="s">
        <v>2318</v>
      </c>
      <c r="AO829" s="0" t="s">
        <v>2359</v>
      </c>
    </row>
    <row r="830" customFormat="false" ht="15" hidden="false" customHeight="false" outlineLevel="0" collapsed="false">
      <c r="A830" s="0" t="s">
        <v>1951</v>
      </c>
      <c r="B830" s="2" t="s">
        <v>2407</v>
      </c>
      <c r="C830" s="0" t="s">
        <v>66</v>
      </c>
      <c r="D830" s="0" t="n">
        <v>8038122043</v>
      </c>
      <c r="E830" s="0" t="s">
        <v>122</v>
      </c>
      <c r="F830" s="0" t="s">
        <v>2316</v>
      </c>
      <c r="G830" s="0" t="s">
        <v>1952</v>
      </c>
      <c r="H830" s="0" t="s">
        <v>107</v>
      </c>
      <c r="I830" s="3" t="s">
        <v>87</v>
      </c>
      <c r="J830" s="0" t="s">
        <v>47</v>
      </c>
      <c r="K830" s="0" t="s">
        <v>90</v>
      </c>
      <c r="L830" s="4" t="n">
        <v>108425</v>
      </c>
      <c r="M830" s="0" t="s">
        <v>2333</v>
      </c>
      <c r="N830" s="0" t="s">
        <v>50</v>
      </c>
      <c r="O830" s="5" t="n">
        <v>4</v>
      </c>
      <c r="P830" s="0" t="n">
        <v>1.8</v>
      </c>
      <c r="Q830" s="0" t="s">
        <v>2334</v>
      </c>
      <c r="R830" s="0" t="s">
        <v>73</v>
      </c>
      <c r="S830" s="0" t="s">
        <v>2340</v>
      </c>
      <c r="T830" s="0" t="s">
        <v>54</v>
      </c>
      <c r="U830" s="5" t="n">
        <v>15</v>
      </c>
      <c r="V830" s="0" t="s">
        <v>2336</v>
      </c>
      <c r="W830" s="0" t="s">
        <v>2328</v>
      </c>
      <c r="X830" s="0" t="s">
        <v>98</v>
      </c>
      <c r="Y830" s="0" t="s">
        <v>58</v>
      </c>
      <c r="Z830" s="0" t="s">
        <v>2324</v>
      </c>
      <c r="AA830" s="0" t="s">
        <v>79</v>
      </c>
      <c r="AB830" s="5" t="n">
        <v>25000</v>
      </c>
      <c r="AC830" s="5" t="n">
        <v>31575.3424657534</v>
      </c>
      <c r="AD830" s="0" t="s">
        <v>50</v>
      </c>
      <c r="AE830" s="5" t="n">
        <v>0</v>
      </c>
      <c r="AF830" s="0" t="s">
        <v>184</v>
      </c>
      <c r="AG830" s="7" t="s">
        <v>2361</v>
      </c>
      <c r="AH830" s="0" t="s">
        <v>63</v>
      </c>
      <c r="AI830" s="0" t="s">
        <v>2331</v>
      </c>
      <c r="AJ830" s="0" t="s">
        <v>172</v>
      </c>
      <c r="AK830" s="0" t="s">
        <v>63</v>
      </c>
      <c r="AL830" s="0" t="s">
        <v>50</v>
      </c>
      <c r="AM830" s="0" t="s">
        <v>63</v>
      </c>
      <c r="AN830" s="0" t="s">
        <v>2321</v>
      </c>
      <c r="AO830" s="0" t="s">
        <v>2359</v>
      </c>
    </row>
    <row r="831" customFormat="false" ht="15" hidden="false" customHeight="false" outlineLevel="0" collapsed="false">
      <c r="A831" s="0" t="s">
        <v>1953</v>
      </c>
      <c r="B831" s="2" t="s">
        <v>2418</v>
      </c>
      <c r="C831" s="0" t="s">
        <v>121</v>
      </c>
      <c r="D831" s="0" t="n">
        <v>8063414658</v>
      </c>
      <c r="E831" s="0" t="s">
        <v>122</v>
      </c>
      <c r="F831" s="0" t="s">
        <v>2316</v>
      </c>
      <c r="G831" s="0" t="s">
        <v>1473</v>
      </c>
      <c r="H831" s="0" t="s">
        <v>134</v>
      </c>
      <c r="I831" s="3" t="s">
        <v>2317</v>
      </c>
      <c r="J831" s="0" t="s">
        <v>47</v>
      </c>
      <c r="K831" s="0" t="s">
        <v>71</v>
      </c>
      <c r="L831" s="4" t="n">
        <v>90636</v>
      </c>
      <c r="M831" s="0" t="s">
        <v>2333</v>
      </c>
      <c r="N831" s="0" t="s">
        <v>63</v>
      </c>
      <c r="O831" s="5" t="n">
        <v>3.2536231884058</v>
      </c>
      <c r="P831" s="0" t="n">
        <v>2.1</v>
      </c>
      <c r="Q831" s="0" t="s">
        <v>2334</v>
      </c>
      <c r="R831" s="0" t="s">
        <v>73</v>
      </c>
      <c r="S831" s="0" t="s">
        <v>2340</v>
      </c>
      <c r="T831" s="0" t="s">
        <v>75</v>
      </c>
      <c r="U831" s="5" t="n">
        <v>15</v>
      </c>
      <c r="V831" s="0" t="s">
        <v>2352</v>
      </c>
      <c r="W831" s="0" t="s">
        <v>155</v>
      </c>
      <c r="X831" s="0" t="s">
        <v>78</v>
      </c>
      <c r="Y831" s="0" t="s">
        <v>114</v>
      </c>
      <c r="Z831" s="0" t="s">
        <v>2324</v>
      </c>
      <c r="AA831" s="0" t="s">
        <v>161</v>
      </c>
      <c r="AB831" s="5" t="n">
        <v>15000</v>
      </c>
      <c r="AC831" s="5" t="n">
        <v>35000</v>
      </c>
      <c r="AD831" s="0" t="s">
        <v>50</v>
      </c>
      <c r="AE831" s="5" t="n">
        <v>10000</v>
      </c>
      <c r="AF831" s="0" t="s">
        <v>184</v>
      </c>
      <c r="AG831" s="7" t="s">
        <v>2330</v>
      </c>
      <c r="AH831" s="0" t="s">
        <v>2329</v>
      </c>
      <c r="AI831" s="0" t="s">
        <v>2331</v>
      </c>
      <c r="AJ831" s="0" t="s">
        <v>2331</v>
      </c>
      <c r="AK831" s="0" t="s">
        <v>2344</v>
      </c>
      <c r="AL831" s="0" t="s">
        <v>2344</v>
      </c>
      <c r="AM831" s="0" t="s">
        <v>50</v>
      </c>
      <c r="AN831" s="0" t="s">
        <v>2318</v>
      </c>
      <c r="AO831" s="0" t="s">
        <v>2359</v>
      </c>
    </row>
    <row r="832" customFormat="false" ht="15" hidden="false" customHeight="false" outlineLevel="0" collapsed="false">
      <c r="A832" s="0" t="s">
        <v>1954</v>
      </c>
      <c r="B832" s="2" t="s">
        <v>2472</v>
      </c>
      <c r="C832" s="0" t="s">
        <v>105</v>
      </c>
      <c r="D832" s="0" t="n">
        <v>8051352528</v>
      </c>
      <c r="E832" s="0" t="s">
        <v>85</v>
      </c>
      <c r="F832" s="0" t="s">
        <v>2319</v>
      </c>
      <c r="G832" s="0" t="s">
        <v>1955</v>
      </c>
      <c r="H832" s="0" t="s">
        <v>69</v>
      </c>
      <c r="I832" s="3" t="s">
        <v>2325</v>
      </c>
      <c r="J832" s="0" t="s">
        <v>2349</v>
      </c>
      <c r="K832" s="0" t="s">
        <v>71</v>
      </c>
      <c r="L832" s="4" t="n">
        <v>84915</v>
      </c>
      <c r="M832" s="0" t="s">
        <v>2333</v>
      </c>
      <c r="N832" s="0" t="s">
        <v>50</v>
      </c>
      <c r="O832" s="5" t="n">
        <v>2</v>
      </c>
      <c r="P832" s="0" t="n">
        <v>5.8</v>
      </c>
      <c r="Q832" s="0" t="s">
        <v>2334</v>
      </c>
      <c r="R832" s="0" t="s">
        <v>52</v>
      </c>
      <c r="S832" s="0" t="s">
        <v>2340</v>
      </c>
      <c r="T832" s="0" t="s">
        <v>147</v>
      </c>
      <c r="U832" s="5" t="n">
        <v>15</v>
      </c>
      <c r="V832" s="0" t="s">
        <v>55</v>
      </c>
      <c r="W832" s="0" t="s">
        <v>2337</v>
      </c>
      <c r="X832" s="0" t="s">
        <v>78</v>
      </c>
      <c r="Y832" s="0" t="s">
        <v>196</v>
      </c>
      <c r="Z832" s="0" t="s">
        <v>2329</v>
      </c>
      <c r="AA832" s="0" t="s">
        <v>149</v>
      </c>
      <c r="AB832" s="5" t="n">
        <v>27727.2727272727</v>
      </c>
      <c r="AC832" s="5" t="n">
        <v>31551.724137931</v>
      </c>
      <c r="AD832" s="0" t="s">
        <v>50</v>
      </c>
      <c r="AE832" s="5" t="n">
        <v>10000</v>
      </c>
      <c r="AF832" s="0" t="s">
        <v>2338</v>
      </c>
      <c r="AG832" s="7" t="s">
        <v>2330</v>
      </c>
      <c r="AH832" s="0" t="s">
        <v>50</v>
      </c>
      <c r="AI832" s="0" t="s">
        <v>171</v>
      </c>
      <c r="AJ832" s="0" t="s">
        <v>2331</v>
      </c>
      <c r="AK832" s="0" t="s">
        <v>50</v>
      </c>
      <c r="AL832" s="0" t="s">
        <v>63</v>
      </c>
      <c r="AM832" s="0" t="s">
        <v>63</v>
      </c>
      <c r="AN832" s="0" t="s">
        <v>2321</v>
      </c>
      <c r="AO832" s="0" t="s">
        <v>50</v>
      </c>
    </row>
    <row r="833" customFormat="false" ht="15" hidden="false" customHeight="false" outlineLevel="0" collapsed="false">
      <c r="A833" s="0" t="s">
        <v>1956</v>
      </c>
      <c r="B833" s="2" t="s">
        <v>2464</v>
      </c>
      <c r="C833" s="0" t="s">
        <v>42</v>
      </c>
      <c r="D833" s="0" t="n">
        <v>8010861718</v>
      </c>
      <c r="E833" s="0" t="s">
        <v>43</v>
      </c>
      <c r="F833" s="0" t="s">
        <v>2315</v>
      </c>
      <c r="G833" s="0" t="s">
        <v>1957</v>
      </c>
      <c r="H833" s="0" t="s">
        <v>134</v>
      </c>
      <c r="I833" s="3" t="s">
        <v>2325</v>
      </c>
      <c r="J833" s="0" t="s">
        <v>2339</v>
      </c>
      <c r="K833" s="0" t="s">
        <v>109</v>
      </c>
      <c r="L833" s="4" t="n">
        <v>77234</v>
      </c>
      <c r="M833" s="0" t="s">
        <v>2333</v>
      </c>
      <c r="N833" s="0" t="s">
        <v>50</v>
      </c>
      <c r="O833" s="5" t="n">
        <v>2</v>
      </c>
      <c r="P833" s="0" t="n">
        <v>3.1</v>
      </c>
      <c r="Q833" s="0" t="s">
        <v>125</v>
      </c>
      <c r="R833" s="0" t="s">
        <v>93</v>
      </c>
      <c r="S833" s="0" t="s">
        <v>53</v>
      </c>
      <c r="T833" s="0" t="s">
        <v>54</v>
      </c>
      <c r="U833" s="5" t="n">
        <v>45</v>
      </c>
      <c r="V833" s="0" t="s">
        <v>112</v>
      </c>
      <c r="W833" s="0" t="s">
        <v>155</v>
      </c>
      <c r="X833" s="0" t="s">
        <v>78</v>
      </c>
      <c r="Y833" s="0" t="s">
        <v>196</v>
      </c>
      <c r="Z833" s="0" t="s">
        <v>59</v>
      </c>
      <c r="AA833" s="0" t="s">
        <v>149</v>
      </c>
      <c r="AB833" s="5" t="n">
        <v>15000</v>
      </c>
      <c r="AC833" s="5" t="n">
        <v>31551.724137931</v>
      </c>
      <c r="AD833" s="0" t="s">
        <v>50</v>
      </c>
      <c r="AE833" s="5" t="n">
        <v>0</v>
      </c>
      <c r="AF833" s="0" t="s">
        <v>2338</v>
      </c>
      <c r="AG833" s="7" t="s">
        <v>2330</v>
      </c>
      <c r="AH833" s="0" t="s">
        <v>50</v>
      </c>
      <c r="AI833" s="0" t="s">
        <v>2331</v>
      </c>
      <c r="AJ833" s="0" t="s">
        <v>172</v>
      </c>
      <c r="AK833" s="0" t="s">
        <v>50</v>
      </c>
      <c r="AL833" s="0" t="s">
        <v>63</v>
      </c>
      <c r="AM833" s="0" t="s">
        <v>2344</v>
      </c>
      <c r="AN833" s="0" t="s">
        <v>64</v>
      </c>
      <c r="AO833" s="0" t="s">
        <v>50</v>
      </c>
    </row>
    <row r="834" customFormat="false" ht="15" hidden="false" customHeight="false" outlineLevel="0" collapsed="false">
      <c r="A834" s="0" t="s">
        <v>1958</v>
      </c>
      <c r="B834" s="2" t="s">
        <v>953</v>
      </c>
      <c r="C834" s="0" t="s">
        <v>42</v>
      </c>
      <c r="D834" s="0" t="n">
        <v>8032602089</v>
      </c>
      <c r="E834" s="0" t="s">
        <v>122</v>
      </c>
      <c r="F834" s="0" t="s">
        <v>2316</v>
      </c>
      <c r="G834" s="0" t="s">
        <v>1959</v>
      </c>
      <c r="H834" s="0" t="s">
        <v>69</v>
      </c>
      <c r="I834" s="3" t="s">
        <v>2322</v>
      </c>
      <c r="J834" s="0" t="s">
        <v>189</v>
      </c>
      <c r="K834" s="0" t="s">
        <v>90</v>
      </c>
      <c r="L834" s="4" t="n">
        <v>88049</v>
      </c>
      <c r="M834" s="0" t="s">
        <v>110</v>
      </c>
      <c r="N834" s="0" t="s">
        <v>63</v>
      </c>
      <c r="O834" s="5" t="n">
        <v>4</v>
      </c>
      <c r="P834" s="0" t="n">
        <v>2.4</v>
      </c>
      <c r="Q834" s="0" t="s">
        <v>51</v>
      </c>
      <c r="R834" s="0" t="s">
        <v>73</v>
      </c>
      <c r="S834" s="0" t="s">
        <v>2366</v>
      </c>
      <c r="T834" s="0" t="s">
        <v>54</v>
      </c>
      <c r="U834" s="5" t="n">
        <v>15</v>
      </c>
      <c r="V834" s="0" t="s">
        <v>2336</v>
      </c>
      <c r="W834" s="0" t="s">
        <v>155</v>
      </c>
      <c r="X834" s="0" t="s">
        <v>128</v>
      </c>
      <c r="Y834" s="0" t="s">
        <v>114</v>
      </c>
      <c r="Z834" s="0" t="s">
        <v>2329</v>
      </c>
      <c r="AA834" s="0" t="s">
        <v>149</v>
      </c>
      <c r="AB834" s="5" t="n">
        <v>25000</v>
      </c>
      <c r="AC834" s="5" t="n">
        <v>35000</v>
      </c>
      <c r="AD834" s="0" t="s">
        <v>50</v>
      </c>
      <c r="AE834" s="5" t="n">
        <v>5000</v>
      </c>
      <c r="AF834" s="0" t="s">
        <v>184</v>
      </c>
      <c r="AG834" s="7" t="s">
        <v>2404</v>
      </c>
      <c r="AH834" s="0" t="s">
        <v>63</v>
      </c>
      <c r="AI834" s="0" t="s">
        <v>171</v>
      </c>
      <c r="AJ834" s="0" t="s">
        <v>2320</v>
      </c>
      <c r="AK834" s="0" t="s">
        <v>63</v>
      </c>
      <c r="AL834" s="0" t="s">
        <v>2344</v>
      </c>
      <c r="AM834" s="0" t="s">
        <v>2344</v>
      </c>
      <c r="AN834" s="0" t="s">
        <v>2321</v>
      </c>
      <c r="AO834" s="0" t="s">
        <v>50</v>
      </c>
    </row>
    <row r="835" customFormat="false" ht="15" hidden="false" customHeight="false" outlineLevel="0" collapsed="false">
      <c r="A835" s="0" t="s">
        <v>1960</v>
      </c>
      <c r="B835" s="2" t="s">
        <v>2282</v>
      </c>
      <c r="C835" s="0" t="s">
        <v>121</v>
      </c>
      <c r="D835" s="0" t="n">
        <v>8075997979</v>
      </c>
      <c r="E835" s="0" t="s">
        <v>85</v>
      </c>
      <c r="F835" s="0" t="s">
        <v>2319</v>
      </c>
      <c r="G835" s="0" t="s">
        <v>1961</v>
      </c>
      <c r="H835" s="0" t="s">
        <v>107</v>
      </c>
      <c r="I835" s="3" t="s">
        <v>2317</v>
      </c>
      <c r="J835" s="0" t="s">
        <v>2341</v>
      </c>
      <c r="K835" s="0" t="s">
        <v>90</v>
      </c>
      <c r="L835" s="4" t="n">
        <v>76120</v>
      </c>
      <c r="M835" s="0" t="s">
        <v>110</v>
      </c>
      <c r="N835" s="0" t="s">
        <v>50</v>
      </c>
      <c r="O835" s="5" t="n">
        <v>4</v>
      </c>
      <c r="P835" s="0" t="n">
        <v>1.9</v>
      </c>
      <c r="Q835" s="0" t="s">
        <v>2334</v>
      </c>
      <c r="R835" s="0" t="s">
        <v>73</v>
      </c>
      <c r="S835" s="0" t="s">
        <v>2340</v>
      </c>
      <c r="T835" s="0" t="s">
        <v>2353</v>
      </c>
      <c r="U835" s="5" t="n">
        <v>60</v>
      </c>
      <c r="V835" s="0" t="s">
        <v>96</v>
      </c>
      <c r="W835" s="0" t="s">
        <v>155</v>
      </c>
      <c r="X835" s="0" t="s">
        <v>98</v>
      </c>
      <c r="Y835" s="0" t="s">
        <v>99</v>
      </c>
      <c r="Z835" s="0" t="s">
        <v>2329</v>
      </c>
      <c r="AA835" s="0" t="s">
        <v>79</v>
      </c>
      <c r="AB835" s="5" t="n">
        <v>25000</v>
      </c>
      <c r="AC835" s="5" t="n">
        <v>35000</v>
      </c>
      <c r="AD835" s="0" t="s">
        <v>50</v>
      </c>
      <c r="AE835" s="5" t="n">
        <v>0</v>
      </c>
      <c r="AF835" s="0" t="s">
        <v>60</v>
      </c>
      <c r="AG835" s="7" t="s">
        <v>2402</v>
      </c>
      <c r="AH835" s="0" t="s">
        <v>63</v>
      </c>
      <c r="AI835" s="0" t="s">
        <v>116</v>
      </c>
      <c r="AJ835" s="0" t="s">
        <v>117</v>
      </c>
      <c r="AK835" s="0" t="s">
        <v>63</v>
      </c>
      <c r="AL835" s="0" t="s">
        <v>2344</v>
      </c>
      <c r="AM835" s="0" t="s">
        <v>50</v>
      </c>
      <c r="AN835" s="0" t="s">
        <v>2321</v>
      </c>
      <c r="AO835" s="0" t="s">
        <v>63</v>
      </c>
    </row>
    <row r="836" customFormat="false" ht="15" hidden="false" customHeight="false" outlineLevel="0" collapsed="false">
      <c r="A836" s="0" t="s">
        <v>1962</v>
      </c>
      <c r="B836" s="2" t="s">
        <v>2433</v>
      </c>
      <c r="C836" s="0" t="s">
        <v>66</v>
      </c>
      <c r="D836" s="0" t="n">
        <v>8010211873</v>
      </c>
      <c r="E836" s="0" t="s">
        <v>139</v>
      </c>
      <c r="F836" s="0" t="s">
        <v>2323</v>
      </c>
      <c r="G836" s="0" t="s">
        <v>1616</v>
      </c>
      <c r="H836" s="0" t="s">
        <v>69</v>
      </c>
      <c r="I836" s="3" t="s">
        <v>2317</v>
      </c>
      <c r="J836" s="0" t="s">
        <v>2347</v>
      </c>
      <c r="K836" s="0" t="s">
        <v>48</v>
      </c>
      <c r="L836" s="4" t="n">
        <v>112241</v>
      </c>
      <c r="M836" s="0" t="s">
        <v>110</v>
      </c>
      <c r="N836" s="0" t="s">
        <v>50</v>
      </c>
      <c r="O836" s="5" t="n">
        <v>3.26119402985075</v>
      </c>
      <c r="P836" s="0" t="n">
        <v>4.6</v>
      </c>
      <c r="Q836" s="0" t="s">
        <v>51</v>
      </c>
      <c r="R836" s="0" t="s">
        <v>93</v>
      </c>
      <c r="S836" s="0" t="s">
        <v>2335</v>
      </c>
      <c r="T836" s="0" t="s">
        <v>75</v>
      </c>
      <c r="U836" s="5" t="n">
        <v>45</v>
      </c>
      <c r="V836" s="0" t="s">
        <v>2352</v>
      </c>
      <c r="W836" s="0" t="s">
        <v>148</v>
      </c>
      <c r="X836" s="0" t="s">
        <v>98</v>
      </c>
      <c r="Y836" s="0" t="s">
        <v>114</v>
      </c>
      <c r="Z836" s="0" t="s">
        <v>2326</v>
      </c>
      <c r="AA836" s="0" t="s">
        <v>161</v>
      </c>
      <c r="AB836" s="5" t="n">
        <v>24000</v>
      </c>
      <c r="AC836" s="5" t="n">
        <v>20000</v>
      </c>
      <c r="AD836" s="0" t="s">
        <v>50</v>
      </c>
      <c r="AE836" s="5" t="n">
        <v>5000</v>
      </c>
      <c r="AF836" s="0" t="s">
        <v>60</v>
      </c>
      <c r="AG836" s="7" t="s">
        <v>360</v>
      </c>
      <c r="AH836" s="0" t="s">
        <v>63</v>
      </c>
      <c r="AI836" s="0" t="s">
        <v>2331</v>
      </c>
      <c r="AJ836" s="0" t="s">
        <v>2331</v>
      </c>
      <c r="AK836" s="0" t="s">
        <v>50</v>
      </c>
      <c r="AL836" s="0" t="s">
        <v>50</v>
      </c>
      <c r="AM836" s="0" t="s">
        <v>50</v>
      </c>
      <c r="AN836" s="0" t="s">
        <v>2321</v>
      </c>
      <c r="AO836" s="0" t="s">
        <v>50</v>
      </c>
    </row>
    <row r="837" customFormat="false" ht="15" hidden="false" customHeight="false" outlineLevel="0" collapsed="false">
      <c r="A837" s="0" t="s">
        <v>1963</v>
      </c>
      <c r="B837" s="2" t="s">
        <v>2411</v>
      </c>
      <c r="C837" s="0" t="s">
        <v>105</v>
      </c>
      <c r="D837" s="0" t="n">
        <v>8023001760</v>
      </c>
      <c r="E837" s="0" t="s">
        <v>67</v>
      </c>
      <c r="F837" s="0" t="s">
        <v>2316</v>
      </c>
      <c r="G837" s="0" t="s">
        <v>1260</v>
      </c>
      <c r="H837" s="0" t="s">
        <v>69</v>
      </c>
      <c r="I837" s="3" t="s">
        <v>87</v>
      </c>
      <c r="J837" s="0" t="s">
        <v>2339</v>
      </c>
      <c r="K837" s="0" t="s">
        <v>71</v>
      </c>
      <c r="L837" s="4" t="n">
        <v>86639</v>
      </c>
      <c r="M837" s="0" t="s">
        <v>110</v>
      </c>
      <c r="N837" s="0" t="s">
        <v>50</v>
      </c>
      <c r="O837" s="5" t="n">
        <v>1</v>
      </c>
      <c r="P837" s="0" t="n">
        <v>1</v>
      </c>
      <c r="Q837" s="0" t="s">
        <v>51</v>
      </c>
      <c r="R837" s="0" t="s">
        <v>73</v>
      </c>
      <c r="S837" s="0" t="s">
        <v>2366</v>
      </c>
      <c r="T837" s="0" t="s">
        <v>2343</v>
      </c>
      <c r="U837" s="5" t="n">
        <v>45</v>
      </c>
      <c r="V837" s="0" t="s">
        <v>2336</v>
      </c>
      <c r="W837" s="0" t="s">
        <v>2328</v>
      </c>
      <c r="X837" s="0" t="s">
        <v>78</v>
      </c>
      <c r="Y837" s="0" t="s">
        <v>58</v>
      </c>
      <c r="Z837" s="0" t="s">
        <v>2326</v>
      </c>
      <c r="AA837" s="0" t="s">
        <v>143</v>
      </c>
      <c r="AB837" s="5" t="n">
        <v>15000</v>
      </c>
      <c r="AC837" s="5" t="n">
        <v>35000</v>
      </c>
      <c r="AD837" s="0" t="s">
        <v>50</v>
      </c>
      <c r="AE837" s="5" t="n">
        <v>0</v>
      </c>
      <c r="AF837" s="0" t="s">
        <v>60</v>
      </c>
      <c r="AG837" s="7" t="s">
        <v>2159</v>
      </c>
      <c r="AH837" s="0" t="s">
        <v>63</v>
      </c>
      <c r="AI837" s="0" t="s">
        <v>2331</v>
      </c>
      <c r="AJ837" s="0" t="s">
        <v>2331</v>
      </c>
      <c r="AK837" s="0" t="s">
        <v>50</v>
      </c>
      <c r="AL837" s="0" t="s">
        <v>50</v>
      </c>
      <c r="AM837" s="0" t="s">
        <v>2344</v>
      </c>
      <c r="AN837" s="0" t="s">
        <v>64</v>
      </c>
      <c r="AO837" s="0" t="s">
        <v>50</v>
      </c>
    </row>
    <row r="838" customFormat="false" ht="15" hidden="false" customHeight="false" outlineLevel="0" collapsed="false">
      <c r="A838" s="0" t="s">
        <v>1964</v>
      </c>
      <c r="B838" s="2" t="s">
        <v>869</v>
      </c>
      <c r="C838" s="0" t="s">
        <v>121</v>
      </c>
      <c r="D838" s="0" t="n">
        <v>8019373966</v>
      </c>
      <c r="E838" s="0" t="s">
        <v>122</v>
      </c>
      <c r="F838" s="0" t="s">
        <v>2316</v>
      </c>
      <c r="G838" s="0" t="s">
        <v>1965</v>
      </c>
      <c r="H838" s="0" t="s">
        <v>45</v>
      </c>
      <c r="I838" s="3" t="s">
        <v>2317</v>
      </c>
      <c r="J838" s="0" t="s">
        <v>2341</v>
      </c>
      <c r="K838" s="0" t="s">
        <v>71</v>
      </c>
      <c r="L838" s="4" t="n">
        <v>68796</v>
      </c>
      <c r="M838" s="0" t="s">
        <v>2333</v>
      </c>
      <c r="N838" s="0" t="s">
        <v>63</v>
      </c>
      <c r="O838" s="5" t="n">
        <v>5</v>
      </c>
      <c r="P838" s="0" t="n">
        <v>1.3</v>
      </c>
      <c r="Q838" s="0" t="s">
        <v>51</v>
      </c>
      <c r="R838" s="0" t="s">
        <v>73</v>
      </c>
      <c r="S838" s="0" t="s">
        <v>2335</v>
      </c>
      <c r="T838" s="0" t="s">
        <v>95</v>
      </c>
      <c r="U838" s="5" t="n">
        <v>45</v>
      </c>
      <c r="V838" s="0" t="s">
        <v>2336</v>
      </c>
      <c r="W838" s="0" t="s">
        <v>2337</v>
      </c>
      <c r="X838" s="0" t="s">
        <v>128</v>
      </c>
      <c r="Y838" s="0" t="s">
        <v>114</v>
      </c>
      <c r="Z838" s="0" t="s">
        <v>2329</v>
      </c>
      <c r="AA838" s="0" t="s">
        <v>143</v>
      </c>
      <c r="AB838" s="5" t="n">
        <v>15000</v>
      </c>
      <c r="AC838" s="5" t="n">
        <v>35000</v>
      </c>
      <c r="AD838" s="0" t="s">
        <v>63</v>
      </c>
      <c r="AE838" s="5" t="n">
        <v>5000</v>
      </c>
      <c r="AF838" s="0" t="s">
        <v>184</v>
      </c>
      <c r="AG838" s="7" t="s">
        <v>645</v>
      </c>
      <c r="AH838" s="0" t="s">
        <v>50</v>
      </c>
      <c r="AI838" s="0" t="s">
        <v>116</v>
      </c>
      <c r="AJ838" s="0" t="s">
        <v>2331</v>
      </c>
      <c r="AK838" s="0" t="s">
        <v>63</v>
      </c>
      <c r="AL838" s="0" t="s">
        <v>50</v>
      </c>
      <c r="AM838" s="0" t="s">
        <v>63</v>
      </c>
      <c r="AN838" s="0" t="s">
        <v>2321</v>
      </c>
      <c r="AO838" s="0" t="s">
        <v>50</v>
      </c>
    </row>
    <row r="839" customFormat="false" ht="15" hidden="false" customHeight="false" outlineLevel="0" collapsed="false">
      <c r="A839" s="0" t="s">
        <v>1966</v>
      </c>
      <c r="B839" s="2" t="s">
        <v>1305</v>
      </c>
      <c r="C839" s="0" t="s">
        <v>42</v>
      </c>
      <c r="D839" s="0" t="n">
        <v>8066081482</v>
      </c>
      <c r="E839" s="0" t="s">
        <v>67</v>
      </c>
      <c r="F839" s="0" t="s">
        <v>2316</v>
      </c>
      <c r="G839" s="0" t="s">
        <v>1967</v>
      </c>
      <c r="H839" s="0" t="s">
        <v>69</v>
      </c>
      <c r="I839" s="3" t="s">
        <v>2317</v>
      </c>
      <c r="J839" s="0" t="s">
        <v>2347</v>
      </c>
      <c r="K839" s="0" t="s">
        <v>71</v>
      </c>
      <c r="L839" s="4" t="n">
        <v>29215</v>
      </c>
      <c r="M839" s="0" t="s">
        <v>49</v>
      </c>
      <c r="N839" s="0" t="s">
        <v>50</v>
      </c>
      <c r="O839" s="5" t="n">
        <v>3</v>
      </c>
      <c r="P839" s="0" t="n">
        <v>1.8</v>
      </c>
      <c r="Q839" s="0" t="s">
        <v>51</v>
      </c>
      <c r="R839" s="0" t="s">
        <v>52</v>
      </c>
      <c r="S839" s="0" t="s">
        <v>2366</v>
      </c>
      <c r="T839" s="0" t="s">
        <v>95</v>
      </c>
      <c r="U839" s="5" t="n">
        <v>30</v>
      </c>
      <c r="V839" s="0" t="s">
        <v>112</v>
      </c>
      <c r="W839" s="0" t="s">
        <v>148</v>
      </c>
      <c r="X839" s="0" t="s">
        <v>98</v>
      </c>
      <c r="Y839" s="0" t="s">
        <v>99</v>
      </c>
      <c r="Z839" s="0" t="s">
        <v>177</v>
      </c>
      <c r="AA839" s="0" t="s">
        <v>143</v>
      </c>
      <c r="AB839" s="5" t="n">
        <v>20000</v>
      </c>
      <c r="AC839" s="5" t="n">
        <v>40000</v>
      </c>
      <c r="AD839" s="0" t="s">
        <v>50</v>
      </c>
      <c r="AE839" s="5" t="n">
        <v>5000</v>
      </c>
      <c r="AF839" s="0" t="s">
        <v>130</v>
      </c>
      <c r="AG839" s="7" t="s">
        <v>2459</v>
      </c>
      <c r="AH839" s="0" t="s">
        <v>63</v>
      </c>
      <c r="AI839" s="0" t="s">
        <v>2331</v>
      </c>
      <c r="AJ839" s="0" t="s">
        <v>172</v>
      </c>
      <c r="AK839" s="0" t="s">
        <v>50</v>
      </c>
      <c r="AL839" s="0" t="s">
        <v>63</v>
      </c>
      <c r="AM839" s="0" t="s">
        <v>2344</v>
      </c>
      <c r="AN839" s="0" t="s">
        <v>2321</v>
      </c>
      <c r="AO839" s="0" t="s">
        <v>63</v>
      </c>
    </row>
    <row r="840" customFormat="false" ht="15" hidden="false" customHeight="false" outlineLevel="0" collapsed="false">
      <c r="A840" s="0" t="s">
        <v>1968</v>
      </c>
      <c r="B840" s="2" t="s">
        <v>534</v>
      </c>
      <c r="C840" s="0" t="s">
        <v>105</v>
      </c>
      <c r="D840" s="0" t="n">
        <v>8080459205</v>
      </c>
      <c r="E840" s="0" t="s">
        <v>122</v>
      </c>
      <c r="F840" s="0" t="s">
        <v>2316</v>
      </c>
      <c r="G840" s="0" t="s">
        <v>238</v>
      </c>
      <c r="H840" s="0" t="s">
        <v>69</v>
      </c>
      <c r="I840" s="3" t="s">
        <v>2317</v>
      </c>
      <c r="J840" s="0" t="s">
        <v>2341</v>
      </c>
      <c r="K840" s="0" t="s">
        <v>48</v>
      </c>
      <c r="L840" s="4" t="n">
        <v>24674</v>
      </c>
      <c r="M840" s="0" t="s">
        <v>110</v>
      </c>
      <c r="N840" s="0" t="s">
        <v>50</v>
      </c>
      <c r="O840" s="5" t="n">
        <v>3.26717557251908</v>
      </c>
      <c r="P840" s="0" t="n">
        <v>4.7</v>
      </c>
      <c r="Q840" s="0" t="s">
        <v>125</v>
      </c>
      <c r="R840" s="0" t="s">
        <v>52</v>
      </c>
      <c r="S840" s="0" t="s">
        <v>53</v>
      </c>
      <c r="T840" s="0" t="s">
        <v>54</v>
      </c>
      <c r="U840" s="5" t="n">
        <v>45</v>
      </c>
      <c r="V840" s="0" t="s">
        <v>96</v>
      </c>
      <c r="W840" s="0" t="s">
        <v>155</v>
      </c>
      <c r="X840" s="0" t="s">
        <v>128</v>
      </c>
      <c r="Y840" s="0" t="s">
        <v>196</v>
      </c>
      <c r="Z840" s="0" t="s">
        <v>177</v>
      </c>
      <c r="AA840" s="0" t="s">
        <v>79</v>
      </c>
      <c r="AB840" s="5" t="n">
        <v>25000</v>
      </c>
      <c r="AC840" s="5" t="n">
        <v>30000</v>
      </c>
      <c r="AD840" s="0" t="s">
        <v>50</v>
      </c>
      <c r="AE840" s="5" t="n">
        <v>5000</v>
      </c>
      <c r="AF840" s="0" t="s">
        <v>60</v>
      </c>
      <c r="AG840" s="7" t="s">
        <v>2348</v>
      </c>
      <c r="AH840" s="0" t="s">
        <v>50</v>
      </c>
      <c r="AI840" s="0" t="s">
        <v>2331</v>
      </c>
      <c r="AJ840" s="0" t="s">
        <v>172</v>
      </c>
      <c r="AK840" s="0" t="s">
        <v>50</v>
      </c>
      <c r="AL840" s="0" t="s">
        <v>2344</v>
      </c>
      <c r="AM840" s="0" t="s">
        <v>63</v>
      </c>
      <c r="AN840" s="0" t="s">
        <v>2321</v>
      </c>
      <c r="AO840" s="0" t="s">
        <v>50</v>
      </c>
    </row>
    <row r="841" customFormat="false" ht="15" hidden="false" customHeight="false" outlineLevel="0" collapsed="false">
      <c r="A841" s="0" t="s">
        <v>1969</v>
      </c>
      <c r="B841" s="2" t="s">
        <v>1474</v>
      </c>
      <c r="C841" s="0" t="s">
        <v>42</v>
      </c>
      <c r="D841" s="0" t="n">
        <v>8065947629</v>
      </c>
      <c r="E841" s="0" t="s">
        <v>67</v>
      </c>
      <c r="F841" s="0" t="s">
        <v>2316</v>
      </c>
      <c r="G841" s="0" t="s">
        <v>1970</v>
      </c>
      <c r="H841" s="0" t="s">
        <v>134</v>
      </c>
      <c r="I841" s="3" t="s">
        <v>2322</v>
      </c>
      <c r="J841" s="0" t="s">
        <v>189</v>
      </c>
      <c r="K841" s="0" t="s">
        <v>109</v>
      </c>
      <c r="L841" s="4" t="n">
        <v>20944</v>
      </c>
      <c r="M841" s="0" t="s">
        <v>49</v>
      </c>
      <c r="N841" s="0" t="s">
        <v>50</v>
      </c>
      <c r="O841" s="5" t="n">
        <v>1</v>
      </c>
      <c r="P841" s="0" t="n">
        <v>3.5</v>
      </c>
      <c r="Q841" s="0" t="s">
        <v>51</v>
      </c>
      <c r="R841" s="0" t="s">
        <v>52</v>
      </c>
      <c r="S841" s="0" t="s">
        <v>2366</v>
      </c>
      <c r="T841" s="0" t="s">
        <v>54</v>
      </c>
      <c r="U841" s="5" t="n">
        <v>15</v>
      </c>
      <c r="V841" s="0" t="s">
        <v>96</v>
      </c>
      <c r="W841" s="0" t="s">
        <v>155</v>
      </c>
      <c r="X841" s="0" t="s">
        <v>98</v>
      </c>
      <c r="Y841" s="0" t="s">
        <v>114</v>
      </c>
      <c r="Z841" s="0" t="s">
        <v>2326</v>
      </c>
      <c r="AA841" s="0" t="s">
        <v>2329</v>
      </c>
      <c r="AB841" s="5" t="n">
        <v>25000</v>
      </c>
      <c r="AC841" s="5" t="n">
        <v>40000</v>
      </c>
      <c r="AD841" s="0" t="s">
        <v>63</v>
      </c>
      <c r="AE841" s="5" t="n">
        <v>0</v>
      </c>
      <c r="AF841" s="0" t="s">
        <v>2338</v>
      </c>
      <c r="AG841" s="7" t="s">
        <v>2330</v>
      </c>
      <c r="AH841" s="0" t="s">
        <v>63</v>
      </c>
      <c r="AI841" s="0" t="s">
        <v>171</v>
      </c>
      <c r="AJ841" s="0" t="s">
        <v>2331</v>
      </c>
      <c r="AK841" s="0" t="s">
        <v>63</v>
      </c>
      <c r="AL841" s="0" t="s">
        <v>50</v>
      </c>
      <c r="AM841" s="0" t="s">
        <v>2344</v>
      </c>
      <c r="AN841" s="0" t="s">
        <v>2321</v>
      </c>
      <c r="AO841" s="0" t="s">
        <v>50</v>
      </c>
    </row>
    <row r="842" customFormat="false" ht="15" hidden="false" customHeight="false" outlineLevel="0" collapsed="false">
      <c r="A842" s="0" t="s">
        <v>1971</v>
      </c>
      <c r="B842" s="2" t="s">
        <v>2362</v>
      </c>
      <c r="C842" s="0" t="s">
        <v>66</v>
      </c>
      <c r="D842" s="0" t="n">
        <v>8097848347</v>
      </c>
      <c r="E842" s="0" t="s">
        <v>139</v>
      </c>
      <c r="F842" s="0" t="s">
        <v>2323</v>
      </c>
      <c r="G842" s="0" t="s">
        <v>1622</v>
      </c>
      <c r="H842" s="0" t="s">
        <v>69</v>
      </c>
      <c r="I842" s="3" t="s">
        <v>87</v>
      </c>
      <c r="J842" s="0" t="s">
        <v>2347</v>
      </c>
      <c r="K842" s="0" t="s">
        <v>71</v>
      </c>
      <c r="L842" s="4" t="n">
        <v>68255</v>
      </c>
      <c r="M842" s="0" t="s">
        <v>49</v>
      </c>
      <c r="N842" s="0" t="s">
        <v>63</v>
      </c>
      <c r="O842" s="5" t="n">
        <v>3.28461538461538</v>
      </c>
      <c r="P842" s="0" t="n">
        <v>5.7</v>
      </c>
      <c r="Q842" s="0" t="s">
        <v>92</v>
      </c>
      <c r="R842" s="0" t="s">
        <v>52</v>
      </c>
      <c r="S842" s="0" t="s">
        <v>2340</v>
      </c>
      <c r="T842" s="0" t="s">
        <v>75</v>
      </c>
      <c r="U842" s="5" t="n">
        <v>60</v>
      </c>
      <c r="V842" s="0" t="s">
        <v>55</v>
      </c>
      <c r="W842" s="0" t="s">
        <v>148</v>
      </c>
      <c r="X842" s="0" t="s">
        <v>78</v>
      </c>
      <c r="Y842" s="0" t="s">
        <v>114</v>
      </c>
      <c r="Z842" s="0" t="s">
        <v>2324</v>
      </c>
      <c r="AA842" s="0" t="s">
        <v>161</v>
      </c>
      <c r="AB842" s="5" t="n">
        <v>20000</v>
      </c>
      <c r="AC842" s="5" t="n">
        <v>40000</v>
      </c>
      <c r="AD842" s="0" t="s">
        <v>50</v>
      </c>
      <c r="AE842" s="5" t="n">
        <v>10000</v>
      </c>
      <c r="AF842" s="0" t="s">
        <v>60</v>
      </c>
      <c r="AG842" s="7" t="s">
        <v>2330</v>
      </c>
      <c r="AH842" s="0" t="s">
        <v>63</v>
      </c>
      <c r="AI842" s="0" t="s">
        <v>2331</v>
      </c>
      <c r="AJ842" s="0" t="s">
        <v>2331</v>
      </c>
      <c r="AK842" s="0" t="s">
        <v>50</v>
      </c>
      <c r="AL842" s="0" t="s">
        <v>2344</v>
      </c>
      <c r="AM842" s="0" t="s">
        <v>2344</v>
      </c>
      <c r="AN842" s="0" t="s">
        <v>2321</v>
      </c>
      <c r="AO842" s="0" t="s">
        <v>63</v>
      </c>
    </row>
    <row r="843" customFormat="false" ht="15" hidden="false" customHeight="false" outlineLevel="0" collapsed="false">
      <c r="A843" s="0" t="s">
        <v>1972</v>
      </c>
      <c r="B843" s="2" t="s">
        <v>2457</v>
      </c>
      <c r="C843" s="0" t="s">
        <v>66</v>
      </c>
      <c r="D843" s="0" t="n">
        <v>8048700374</v>
      </c>
      <c r="E843" s="0" t="s">
        <v>139</v>
      </c>
      <c r="F843" s="0" t="s">
        <v>2323</v>
      </c>
      <c r="G843" s="0" t="s">
        <v>1973</v>
      </c>
      <c r="H843" s="0" t="s">
        <v>107</v>
      </c>
      <c r="I843" s="3" t="s">
        <v>2317</v>
      </c>
      <c r="J843" s="0" t="s">
        <v>189</v>
      </c>
      <c r="K843" s="0" t="s">
        <v>48</v>
      </c>
      <c r="L843" s="4" t="n">
        <v>12937</v>
      </c>
      <c r="M843" s="0" t="s">
        <v>49</v>
      </c>
      <c r="N843" s="0" t="s">
        <v>50</v>
      </c>
      <c r="O843" s="5" t="n">
        <v>5</v>
      </c>
      <c r="P843" s="0" t="n">
        <v>1.7</v>
      </c>
      <c r="Q843" s="0" t="s">
        <v>51</v>
      </c>
      <c r="R843" s="0" t="s">
        <v>73</v>
      </c>
      <c r="S843" s="0" t="s">
        <v>2366</v>
      </c>
      <c r="T843" s="0" t="s">
        <v>95</v>
      </c>
      <c r="U843" s="5" t="n">
        <v>45</v>
      </c>
      <c r="V843" s="0" t="s">
        <v>96</v>
      </c>
      <c r="W843" s="0" t="s">
        <v>155</v>
      </c>
      <c r="X843" s="0" t="s">
        <v>78</v>
      </c>
      <c r="Y843" s="0" t="s">
        <v>196</v>
      </c>
      <c r="Z843" s="0" t="s">
        <v>2329</v>
      </c>
      <c r="AA843" s="0" t="s">
        <v>2329</v>
      </c>
      <c r="AB843" s="5" t="n">
        <v>25000</v>
      </c>
      <c r="AC843" s="5" t="n">
        <v>30000</v>
      </c>
      <c r="AD843" s="0" t="s">
        <v>50</v>
      </c>
      <c r="AE843" s="5" t="n">
        <v>0</v>
      </c>
      <c r="AF843" s="0" t="s">
        <v>130</v>
      </c>
      <c r="AG843" s="7" t="s">
        <v>2330</v>
      </c>
      <c r="AH843" s="0" t="s">
        <v>50</v>
      </c>
      <c r="AI843" s="0" t="s">
        <v>116</v>
      </c>
      <c r="AJ843" s="0" t="s">
        <v>2320</v>
      </c>
      <c r="AK843" s="0" t="s">
        <v>50</v>
      </c>
      <c r="AL843" s="0" t="s">
        <v>50</v>
      </c>
      <c r="AM843" s="0" t="s">
        <v>50</v>
      </c>
      <c r="AN843" s="0" t="s">
        <v>2321</v>
      </c>
      <c r="AO843" s="0" t="s">
        <v>50</v>
      </c>
    </row>
    <row r="844" customFormat="false" ht="15" hidden="false" customHeight="false" outlineLevel="0" collapsed="false">
      <c r="A844" s="0" t="s">
        <v>1974</v>
      </c>
      <c r="B844" s="2" t="s">
        <v>328</v>
      </c>
      <c r="C844" s="0" t="s">
        <v>105</v>
      </c>
      <c r="D844" s="0" t="n">
        <v>8067841075</v>
      </c>
      <c r="E844" s="0" t="s">
        <v>67</v>
      </c>
      <c r="F844" s="0" t="s">
        <v>2316</v>
      </c>
      <c r="G844" s="0" t="s">
        <v>1975</v>
      </c>
      <c r="H844" s="0" t="s">
        <v>134</v>
      </c>
      <c r="I844" s="3" t="s">
        <v>87</v>
      </c>
      <c r="J844" s="0" t="s">
        <v>2349</v>
      </c>
      <c r="K844" s="0" t="s">
        <v>71</v>
      </c>
      <c r="L844" s="4" t="n">
        <v>105807</v>
      </c>
      <c r="M844" s="0" t="s">
        <v>110</v>
      </c>
      <c r="N844" s="0" t="s">
        <v>50</v>
      </c>
      <c r="O844" s="5" t="n">
        <v>4</v>
      </c>
      <c r="P844" s="0" t="n">
        <v>1.1</v>
      </c>
      <c r="Q844" s="0" t="s">
        <v>2334</v>
      </c>
      <c r="R844" s="0" t="s">
        <v>52</v>
      </c>
      <c r="S844" s="0" t="s">
        <v>2335</v>
      </c>
      <c r="T844" s="0" t="s">
        <v>2353</v>
      </c>
      <c r="U844" s="5" t="n">
        <v>30</v>
      </c>
      <c r="V844" s="0" t="s">
        <v>55</v>
      </c>
      <c r="W844" s="0" t="s">
        <v>155</v>
      </c>
      <c r="X844" s="0" t="s">
        <v>98</v>
      </c>
      <c r="Y844" s="0" t="s">
        <v>99</v>
      </c>
      <c r="Z844" s="0" t="s">
        <v>2326</v>
      </c>
      <c r="AA844" s="0" t="s">
        <v>79</v>
      </c>
      <c r="AB844" s="5" t="n">
        <v>40000</v>
      </c>
      <c r="AC844" s="5" t="n">
        <v>30000</v>
      </c>
      <c r="AD844" s="0" t="s">
        <v>63</v>
      </c>
      <c r="AE844" s="5" t="n">
        <v>10000</v>
      </c>
      <c r="AF844" s="0" t="s">
        <v>60</v>
      </c>
      <c r="AG844" s="7" t="s">
        <v>2350</v>
      </c>
      <c r="AH844" s="0" t="s">
        <v>50</v>
      </c>
      <c r="AI844" s="0" t="s">
        <v>116</v>
      </c>
      <c r="AJ844" s="0" t="s">
        <v>172</v>
      </c>
      <c r="AK844" s="0" t="s">
        <v>50</v>
      </c>
      <c r="AL844" s="0" t="s">
        <v>50</v>
      </c>
      <c r="AM844" s="0" t="s">
        <v>2344</v>
      </c>
      <c r="AN844" s="0" t="s">
        <v>2318</v>
      </c>
      <c r="AO844" s="0" t="s">
        <v>2359</v>
      </c>
    </row>
    <row r="845" customFormat="false" ht="15" hidden="false" customHeight="false" outlineLevel="0" collapsed="false">
      <c r="A845" s="0" t="s">
        <v>1976</v>
      </c>
      <c r="B845" s="2" t="s">
        <v>592</v>
      </c>
      <c r="C845" s="0" t="s">
        <v>42</v>
      </c>
      <c r="D845" s="0" t="n">
        <v>8032902142</v>
      </c>
      <c r="E845" s="0" t="s">
        <v>43</v>
      </c>
      <c r="F845" s="0" t="s">
        <v>2315</v>
      </c>
      <c r="G845" s="0" t="s">
        <v>1977</v>
      </c>
      <c r="H845" s="0" t="s">
        <v>45</v>
      </c>
      <c r="I845" s="3" t="s">
        <v>2322</v>
      </c>
      <c r="J845" s="0" t="s">
        <v>2349</v>
      </c>
      <c r="K845" s="0" t="s">
        <v>71</v>
      </c>
      <c r="L845" s="4" t="n">
        <v>119612</v>
      </c>
      <c r="M845" s="0" t="s">
        <v>2333</v>
      </c>
      <c r="N845" s="0" t="s">
        <v>50</v>
      </c>
      <c r="O845" s="5" t="n">
        <v>2</v>
      </c>
      <c r="P845" s="0" t="n">
        <v>5.5</v>
      </c>
      <c r="Q845" s="0" t="s">
        <v>92</v>
      </c>
      <c r="R845" s="0" t="s">
        <v>73</v>
      </c>
      <c r="S845" s="0" t="s">
        <v>53</v>
      </c>
      <c r="T845" s="0" t="s">
        <v>147</v>
      </c>
      <c r="U845" s="5" t="n">
        <v>60</v>
      </c>
      <c r="V845" s="0" t="s">
        <v>2336</v>
      </c>
      <c r="W845" s="0" t="s">
        <v>2337</v>
      </c>
      <c r="X845" s="0" t="s">
        <v>98</v>
      </c>
      <c r="Y845" s="0" t="s">
        <v>196</v>
      </c>
      <c r="Z845" s="0" t="s">
        <v>59</v>
      </c>
      <c r="AA845" s="0" t="s">
        <v>2329</v>
      </c>
      <c r="AB845" s="5" t="n">
        <v>27142.8571428571</v>
      </c>
      <c r="AC845" s="5" t="n">
        <v>31380.5970149254</v>
      </c>
      <c r="AD845" s="0" t="s">
        <v>50</v>
      </c>
      <c r="AE845" s="5" t="n">
        <v>5000</v>
      </c>
      <c r="AF845" s="0" t="s">
        <v>60</v>
      </c>
      <c r="AG845" s="7" t="s">
        <v>732</v>
      </c>
      <c r="AH845" s="0" t="s">
        <v>50</v>
      </c>
      <c r="AI845" s="0" t="s">
        <v>116</v>
      </c>
      <c r="AJ845" s="0" t="s">
        <v>2331</v>
      </c>
      <c r="AK845" s="0" t="s">
        <v>63</v>
      </c>
      <c r="AL845" s="0" t="s">
        <v>50</v>
      </c>
      <c r="AM845" s="0" t="s">
        <v>63</v>
      </c>
      <c r="AN845" s="0" t="s">
        <v>2318</v>
      </c>
      <c r="AO845" s="0" t="s">
        <v>63</v>
      </c>
    </row>
    <row r="846" customFormat="false" ht="15" hidden="false" customHeight="false" outlineLevel="0" collapsed="false">
      <c r="A846" s="0" t="s">
        <v>1978</v>
      </c>
      <c r="B846" s="2" t="s">
        <v>2379</v>
      </c>
      <c r="C846" s="0" t="s">
        <v>163</v>
      </c>
      <c r="D846" s="0" t="n">
        <v>8033676181</v>
      </c>
      <c r="E846" s="0" t="s">
        <v>43</v>
      </c>
      <c r="F846" s="0" t="s">
        <v>2315</v>
      </c>
      <c r="G846" s="0" t="s">
        <v>1979</v>
      </c>
      <c r="H846" s="0" t="s">
        <v>134</v>
      </c>
      <c r="I846" s="3" t="s">
        <v>2322</v>
      </c>
      <c r="J846" s="0" t="s">
        <v>189</v>
      </c>
      <c r="K846" s="0" t="s">
        <v>48</v>
      </c>
      <c r="L846" s="4" t="n">
        <v>80451</v>
      </c>
      <c r="M846" s="0" t="s">
        <v>110</v>
      </c>
      <c r="N846" s="0" t="s">
        <v>63</v>
      </c>
      <c r="O846" s="5" t="n">
        <v>4</v>
      </c>
      <c r="P846" s="0" t="n">
        <v>1</v>
      </c>
      <c r="Q846" s="0" t="s">
        <v>51</v>
      </c>
      <c r="R846" s="0" t="s">
        <v>73</v>
      </c>
      <c r="S846" s="0" t="s">
        <v>53</v>
      </c>
      <c r="T846" s="0" t="s">
        <v>2343</v>
      </c>
      <c r="U846" s="5" t="n">
        <v>15</v>
      </c>
      <c r="V846" s="0" t="s">
        <v>96</v>
      </c>
      <c r="W846" s="0" t="s">
        <v>2328</v>
      </c>
      <c r="X846" s="0" t="s">
        <v>98</v>
      </c>
      <c r="Y846" s="0" t="s">
        <v>196</v>
      </c>
      <c r="Z846" s="0" t="s">
        <v>2329</v>
      </c>
      <c r="AA846" s="0" t="s">
        <v>143</v>
      </c>
      <c r="AB846" s="5" t="n">
        <v>25769.2307692308</v>
      </c>
      <c r="AC846" s="5" t="n">
        <v>40000</v>
      </c>
      <c r="AD846" s="0" t="s">
        <v>50</v>
      </c>
      <c r="AE846" s="5" t="n">
        <v>0</v>
      </c>
      <c r="AF846" s="0" t="s">
        <v>2338</v>
      </c>
      <c r="AG846" s="7" t="s">
        <v>2330</v>
      </c>
      <c r="AH846" s="0" t="s">
        <v>2329</v>
      </c>
      <c r="AI846" s="0" t="s">
        <v>171</v>
      </c>
      <c r="AJ846" s="0" t="s">
        <v>117</v>
      </c>
      <c r="AK846" s="0" t="s">
        <v>50</v>
      </c>
      <c r="AL846" s="0" t="s">
        <v>2344</v>
      </c>
      <c r="AM846" s="0" t="s">
        <v>63</v>
      </c>
      <c r="AN846" s="0" t="s">
        <v>64</v>
      </c>
      <c r="AO846" s="0" t="s">
        <v>63</v>
      </c>
    </row>
    <row r="847" customFormat="false" ht="15" hidden="false" customHeight="false" outlineLevel="0" collapsed="false">
      <c r="A847" s="0" t="s">
        <v>1980</v>
      </c>
      <c r="B847" s="2" t="s">
        <v>2457</v>
      </c>
      <c r="C847" s="0" t="s">
        <v>66</v>
      </c>
      <c r="D847" s="0" t="n">
        <v>8060284858</v>
      </c>
      <c r="E847" s="0" t="s">
        <v>67</v>
      </c>
      <c r="F847" s="0" t="s">
        <v>2316</v>
      </c>
      <c r="G847" s="0" t="s">
        <v>1981</v>
      </c>
      <c r="H847" s="0" t="s">
        <v>45</v>
      </c>
      <c r="I847" s="3" t="s">
        <v>2322</v>
      </c>
      <c r="J847" s="0" t="s">
        <v>2339</v>
      </c>
      <c r="K847" s="0" t="s">
        <v>109</v>
      </c>
      <c r="L847" s="4" t="n">
        <v>76014</v>
      </c>
      <c r="M847" s="0" t="s">
        <v>2333</v>
      </c>
      <c r="N847" s="0" t="s">
        <v>63</v>
      </c>
      <c r="O847" s="5" t="n">
        <v>4</v>
      </c>
      <c r="P847" s="0" t="n">
        <v>2</v>
      </c>
      <c r="Q847" s="0" t="s">
        <v>111</v>
      </c>
      <c r="R847" s="0" t="s">
        <v>73</v>
      </c>
      <c r="S847" s="0" t="s">
        <v>2340</v>
      </c>
      <c r="T847" s="0" t="s">
        <v>2353</v>
      </c>
      <c r="U847" s="5" t="n">
        <v>45</v>
      </c>
      <c r="V847" s="0" t="s">
        <v>2336</v>
      </c>
      <c r="W847" s="0" t="s">
        <v>155</v>
      </c>
      <c r="X847" s="0" t="s">
        <v>128</v>
      </c>
      <c r="Y847" s="0" t="s">
        <v>196</v>
      </c>
      <c r="Z847" s="0" t="s">
        <v>59</v>
      </c>
      <c r="AA847" s="0" t="s">
        <v>2329</v>
      </c>
      <c r="AB847" s="5" t="n">
        <v>40000</v>
      </c>
      <c r="AC847" s="5" t="n">
        <v>40000</v>
      </c>
      <c r="AD847" s="0" t="s">
        <v>50</v>
      </c>
      <c r="AE847" s="5" t="n">
        <v>5000</v>
      </c>
      <c r="AF847" s="0" t="s">
        <v>184</v>
      </c>
      <c r="AG847" s="7" t="s">
        <v>201</v>
      </c>
      <c r="AH847" s="0" t="s">
        <v>63</v>
      </c>
      <c r="AI847" s="0" t="s">
        <v>171</v>
      </c>
      <c r="AJ847" s="0" t="s">
        <v>117</v>
      </c>
      <c r="AK847" s="0" t="s">
        <v>50</v>
      </c>
      <c r="AL847" s="0" t="s">
        <v>50</v>
      </c>
      <c r="AM847" s="0" t="s">
        <v>63</v>
      </c>
      <c r="AN847" s="0" t="s">
        <v>2321</v>
      </c>
      <c r="AO847" s="0" t="s">
        <v>50</v>
      </c>
    </row>
    <row r="848" customFormat="false" ht="15" hidden="false" customHeight="false" outlineLevel="0" collapsed="false">
      <c r="A848" s="0" t="s">
        <v>1982</v>
      </c>
      <c r="B848" s="2" t="s">
        <v>2488</v>
      </c>
      <c r="C848" s="0" t="s">
        <v>105</v>
      </c>
      <c r="D848" s="0" t="n">
        <v>8035018189</v>
      </c>
      <c r="E848" s="0" t="s">
        <v>139</v>
      </c>
      <c r="F848" s="0" t="s">
        <v>2323</v>
      </c>
      <c r="G848" s="0" t="s">
        <v>1983</v>
      </c>
      <c r="H848" s="0" t="s">
        <v>107</v>
      </c>
      <c r="I848" s="3" t="s">
        <v>2317</v>
      </c>
      <c r="J848" s="0" t="s">
        <v>2339</v>
      </c>
      <c r="K848" s="0" t="s">
        <v>90</v>
      </c>
      <c r="L848" s="4" t="n">
        <v>92045</v>
      </c>
      <c r="M848" s="0" t="s">
        <v>49</v>
      </c>
      <c r="N848" s="0" t="s">
        <v>63</v>
      </c>
      <c r="O848" s="5" t="n">
        <v>1</v>
      </c>
      <c r="P848" s="0" t="n">
        <v>2.1</v>
      </c>
      <c r="Q848" s="0" t="s">
        <v>2334</v>
      </c>
      <c r="R848" s="0" t="s">
        <v>93</v>
      </c>
      <c r="S848" s="0" t="s">
        <v>2335</v>
      </c>
      <c r="T848" s="0" t="s">
        <v>2353</v>
      </c>
      <c r="U848" s="5" t="n">
        <v>45</v>
      </c>
      <c r="V848" s="0" t="s">
        <v>2336</v>
      </c>
      <c r="W848" s="0" t="s">
        <v>155</v>
      </c>
      <c r="X848" s="0" t="s">
        <v>98</v>
      </c>
      <c r="Y848" s="0" t="s">
        <v>196</v>
      </c>
      <c r="Z848" s="0" t="s">
        <v>177</v>
      </c>
      <c r="AA848" s="0" t="s">
        <v>143</v>
      </c>
      <c r="AB848" s="5" t="n">
        <v>30000</v>
      </c>
      <c r="AC848" s="5" t="n">
        <v>20000</v>
      </c>
      <c r="AD848" s="0" t="s">
        <v>63</v>
      </c>
      <c r="AE848" s="5" t="n">
        <v>5000</v>
      </c>
      <c r="AF848" s="0" t="s">
        <v>60</v>
      </c>
      <c r="AG848" s="7" t="s">
        <v>1385</v>
      </c>
      <c r="AH848" s="0" t="s">
        <v>63</v>
      </c>
      <c r="AI848" s="0" t="s">
        <v>2331</v>
      </c>
      <c r="AJ848" s="0" t="s">
        <v>117</v>
      </c>
      <c r="AK848" s="0" t="s">
        <v>50</v>
      </c>
      <c r="AL848" s="0" t="s">
        <v>63</v>
      </c>
      <c r="AM848" s="0" t="s">
        <v>2344</v>
      </c>
      <c r="AN848" s="0" t="s">
        <v>2321</v>
      </c>
      <c r="AO848" s="0" t="s">
        <v>50</v>
      </c>
    </row>
    <row r="849" customFormat="false" ht="15" hidden="false" customHeight="false" outlineLevel="0" collapsed="false">
      <c r="A849" s="0" t="s">
        <v>1984</v>
      </c>
      <c r="B849" s="2" t="s">
        <v>119</v>
      </c>
      <c r="C849" s="0" t="s">
        <v>105</v>
      </c>
      <c r="D849" s="0" t="n">
        <v>8028029744</v>
      </c>
      <c r="E849" s="0" t="s">
        <v>122</v>
      </c>
      <c r="F849" s="0" t="s">
        <v>2316</v>
      </c>
      <c r="G849" s="0" t="s">
        <v>1985</v>
      </c>
      <c r="H849" s="0" t="s">
        <v>69</v>
      </c>
      <c r="I849" s="3" t="s">
        <v>2322</v>
      </c>
      <c r="J849" s="0" t="s">
        <v>2339</v>
      </c>
      <c r="K849" s="0" t="s">
        <v>90</v>
      </c>
      <c r="L849" s="4" t="n">
        <v>87024</v>
      </c>
      <c r="M849" s="0" t="s">
        <v>110</v>
      </c>
      <c r="N849" s="0" t="s">
        <v>50</v>
      </c>
      <c r="O849" s="5" t="n">
        <v>2</v>
      </c>
      <c r="P849" s="0" t="n">
        <v>1.3</v>
      </c>
      <c r="Q849" s="0" t="s">
        <v>111</v>
      </c>
      <c r="R849" s="0" t="s">
        <v>93</v>
      </c>
      <c r="S849" s="0" t="s">
        <v>2366</v>
      </c>
      <c r="T849" s="0" t="s">
        <v>54</v>
      </c>
      <c r="U849" s="5" t="n">
        <v>45</v>
      </c>
      <c r="V849" s="0" t="s">
        <v>112</v>
      </c>
      <c r="W849" s="0" t="s">
        <v>2328</v>
      </c>
      <c r="X849" s="0" t="s">
        <v>98</v>
      </c>
      <c r="Y849" s="0" t="s">
        <v>99</v>
      </c>
      <c r="Z849" s="0" t="s">
        <v>2329</v>
      </c>
      <c r="AA849" s="0" t="s">
        <v>79</v>
      </c>
      <c r="AB849" s="5" t="n">
        <v>25000</v>
      </c>
      <c r="AC849" s="5" t="n">
        <v>30000</v>
      </c>
      <c r="AD849" s="0" t="s">
        <v>50</v>
      </c>
      <c r="AE849" s="5" t="n">
        <v>10000</v>
      </c>
      <c r="AF849" s="0" t="s">
        <v>2338</v>
      </c>
      <c r="AG849" s="7" t="s">
        <v>2330</v>
      </c>
      <c r="AH849" s="0" t="s">
        <v>2329</v>
      </c>
      <c r="AI849" s="0" t="s">
        <v>171</v>
      </c>
      <c r="AJ849" s="0" t="s">
        <v>2331</v>
      </c>
      <c r="AK849" s="0" t="s">
        <v>50</v>
      </c>
      <c r="AL849" s="0" t="s">
        <v>50</v>
      </c>
      <c r="AM849" s="0" t="s">
        <v>50</v>
      </c>
      <c r="AN849" s="0" t="s">
        <v>64</v>
      </c>
      <c r="AO849" s="0" t="s">
        <v>63</v>
      </c>
    </row>
    <row r="850" customFormat="false" ht="15" hidden="false" customHeight="false" outlineLevel="0" collapsed="false">
      <c r="A850" s="0" t="s">
        <v>1986</v>
      </c>
      <c r="B850" s="2" t="s">
        <v>225</v>
      </c>
      <c r="C850" s="0" t="s">
        <v>121</v>
      </c>
      <c r="D850" s="0" t="n">
        <v>8036577865</v>
      </c>
      <c r="E850" s="0" t="s">
        <v>139</v>
      </c>
      <c r="F850" s="0" t="s">
        <v>2323</v>
      </c>
      <c r="G850" s="0" t="s">
        <v>1218</v>
      </c>
      <c r="H850" s="0" t="s">
        <v>107</v>
      </c>
      <c r="I850" s="3" t="s">
        <v>2317</v>
      </c>
      <c r="J850" s="0" t="s">
        <v>189</v>
      </c>
      <c r="K850" s="0" t="s">
        <v>109</v>
      </c>
      <c r="L850" s="4" t="n">
        <v>47980</v>
      </c>
      <c r="M850" s="0" t="s">
        <v>110</v>
      </c>
      <c r="N850" s="0" t="s">
        <v>63</v>
      </c>
      <c r="O850" s="5" t="n">
        <v>4</v>
      </c>
      <c r="P850" s="0" t="n">
        <v>1.1</v>
      </c>
      <c r="Q850" s="0" t="s">
        <v>125</v>
      </c>
      <c r="R850" s="0" t="s">
        <v>93</v>
      </c>
      <c r="S850" s="0" t="s">
        <v>2366</v>
      </c>
      <c r="T850" s="0" t="s">
        <v>95</v>
      </c>
      <c r="U850" s="5" t="n">
        <v>41.25</v>
      </c>
      <c r="V850" s="0" t="s">
        <v>96</v>
      </c>
      <c r="W850" s="0" t="s">
        <v>155</v>
      </c>
      <c r="X850" s="0" t="s">
        <v>98</v>
      </c>
      <c r="Y850" s="0" t="s">
        <v>58</v>
      </c>
      <c r="Z850" s="0" t="s">
        <v>2326</v>
      </c>
      <c r="AA850" s="0" t="s">
        <v>143</v>
      </c>
      <c r="AB850" s="5" t="n">
        <v>25769.2307692308</v>
      </c>
      <c r="AC850" s="5" t="n">
        <v>20000</v>
      </c>
      <c r="AD850" s="0" t="s">
        <v>63</v>
      </c>
      <c r="AE850" s="5" t="n">
        <v>10000</v>
      </c>
      <c r="AF850" s="0" t="s">
        <v>2338</v>
      </c>
      <c r="AG850" s="7" t="s">
        <v>1014</v>
      </c>
      <c r="AH850" s="0" t="s">
        <v>2329</v>
      </c>
      <c r="AI850" s="0" t="s">
        <v>2331</v>
      </c>
      <c r="AJ850" s="0" t="s">
        <v>2331</v>
      </c>
      <c r="AK850" s="0" t="s">
        <v>50</v>
      </c>
      <c r="AL850" s="0" t="s">
        <v>63</v>
      </c>
      <c r="AM850" s="0" t="s">
        <v>63</v>
      </c>
      <c r="AN850" s="0" t="s">
        <v>2321</v>
      </c>
      <c r="AO850" s="0" t="s">
        <v>50</v>
      </c>
    </row>
    <row r="851" customFormat="false" ht="15" hidden="false" customHeight="false" outlineLevel="0" collapsed="false">
      <c r="A851" s="0" t="s">
        <v>1987</v>
      </c>
      <c r="B851" s="2" t="s">
        <v>1883</v>
      </c>
      <c r="C851" s="0" t="s">
        <v>66</v>
      </c>
      <c r="D851" s="0" t="n">
        <v>8075293067</v>
      </c>
      <c r="E851" s="0" t="s">
        <v>67</v>
      </c>
      <c r="F851" s="0" t="s">
        <v>2316</v>
      </c>
      <c r="G851" s="0" t="s">
        <v>1988</v>
      </c>
      <c r="H851" s="0" t="s">
        <v>45</v>
      </c>
      <c r="I851" s="3" t="s">
        <v>87</v>
      </c>
      <c r="J851" s="0" t="s">
        <v>2339</v>
      </c>
      <c r="K851" s="0" t="s">
        <v>48</v>
      </c>
      <c r="L851" s="4" t="n">
        <v>96702</v>
      </c>
      <c r="M851" s="0" t="s">
        <v>2333</v>
      </c>
      <c r="N851" s="0" t="s">
        <v>50</v>
      </c>
      <c r="O851" s="5" t="n">
        <v>5</v>
      </c>
      <c r="P851" s="0" t="n">
        <v>3.6</v>
      </c>
      <c r="Q851" s="0" t="s">
        <v>2334</v>
      </c>
      <c r="R851" s="0" t="s">
        <v>73</v>
      </c>
      <c r="S851" s="0" t="s">
        <v>53</v>
      </c>
      <c r="T851" s="0" t="s">
        <v>2353</v>
      </c>
      <c r="U851" s="5" t="n">
        <v>60</v>
      </c>
      <c r="V851" s="0" t="s">
        <v>2352</v>
      </c>
      <c r="W851" s="0" t="s">
        <v>2337</v>
      </c>
      <c r="X851" s="0" t="s">
        <v>128</v>
      </c>
      <c r="Y851" s="0" t="s">
        <v>58</v>
      </c>
      <c r="Z851" s="0" t="s">
        <v>59</v>
      </c>
      <c r="AA851" s="0" t="s">
        <v>79</v>
      </c>
      <c r="AB851" s="5" t="n">
        <v>15000</v>
      </c>
      <c r="AC851" s="5" t="n">
        <v>35000</v>
      </c>
      <c r="AD851" s="0" t="s">
        <v>50</v>
      </c>
      <c r="AE851" s="5" t="n">
        <v>5000</v>
      </c>
      <c r="AF851" s="0" t="s">
        <v>2338</v>
      </c>
      <c r="AG851" s="7" t="s">
        <v>2330</v>
      </c>
      <c r="AH851" s="0" t="s">
        <v>63</v>
      </c>
      <c r="AI851" s="0" t="s">
        <v>2331</v>
      </c>
      <c r="AJ851" s="0" t="s">
        <v>2331</v>
      </c>
      <c r="AK851" s="0" t="s">
        <v>63</v>
      </c>
      <c r="AL851" s="0" t="s">
        <v>50</v>
      </c>
      <c r="AM851" s="0" t="s">
        <v>2344</v>
      </c>
      <c r="AN851" s="0" t="s">
        <v>64</v>
      </c>
      <c r="AO851" s="0" t="s">
        <v>2359</v>
      </c>
    </row>
    <row r="852" customFormat="false" ht="15" hidden="false" customHeight="false" outlineLevel="0" collapsed="false">
      <c r="A852" s="0" t="s">
        <v>1989</v>
      </c>
      <c r="B852" s="2" t="s">
        <v>1339</v>
      </c>
      <c r="C852" s="0" t="s">
        <v>42</v>
      </c>
      <c r="D852" s="0" t="n">
        <v>8034425523</v>
      </c>
      <c r="E852" s="0" t="s">
        <v>122</v>
      </c>
      <c r="F852" s="0" t="s">
        <v>2316</v>
      </c>
      <c r="G852" s="0" t="s">
        <v>1990</v>
      </c>
      <c r="H852" s="0" t="s">
        <v>107</v>
      </c>
      <c r="I852" s="3" t="s">
        <v>2317</v>
      </c>
      <c r="J852" s="0" t="s">
        <v>47</v>
      </c>
      <c r="K852" s="0" t="s">
        <v>71</v>
      </c>
      <c r="L852" s="4" t="n">
        <v>76613</v>
      </c>
      <c r="M852" s="0" t="s">
        <v>49</v>
      </c>
      <c r="N852" s="0" t="s">
        <v>50</v>
      </c>
      <c r="O852" s="5" t="n">
        <v>3</v>
      </c>
      <c r="P852" s="0" t="n">
        <v>2.2</v>
      </c>
      <c r="Q852" s="0" t="s">
        <v>2334</v>
      </c>
      <c r="R852" s="0" t="s">
        <v>73</v>
      </c>
      <c r="S852" s="0" t="s">
        <v>53</v>
      </c>
      <c r="T852" s="0" t="s">
        <v>2353</v>
      </c>
      <c r="U852" s="5" t="n">
        <v>38.8636363636364</v>
      </c>
      <c r="V852" s="0" t="s">
        <v>96</v>
      </c>
      <c r="W852" s="0" t="s">
        <v>2337</v>
      </c>
      <c r="X852" s="0" t="s">
        <v>98</v>
      </c>
      <c r="Y852" s="0" t="s">
        <v>196</v>
      </c>
      <c r="Z852" s="0" t="s">
        <v>177</v>
      </c>
      <c r="AA852" s="0" t="s">
        <v>143</v>
      </c>
      <c r="AB852" s="5" t="n">
        <v>30000</v>
      </c>
      <c r="AC852" s="5" t="n">
        <v>31406.25</v>
      </c>
      <c r="AD852" s="0" t="s">
        <v>50</v>
      </c>
      <c r="AE852" s="5" t="n">
        <v>10000</v>
      </c>
      <c r="AF852" s="0" t="s">
        <v>60</v>
      </c>
      <c r="AG852" s="7" t="s">
        <v>360</v>
      </c>
      <c r="AH852" s="0" t="s">
        <v>63</v>
      </c>
      <c r="AI852" s="0" t="s">
        <v>2331</v>
      </c>
      <c r="AJ852" s="0" t="s">
        <v>2320</v>
      </c>
      <c r="AK852" s="0" t="s">
        <v>50</v>
      </c>
      <c r="AL852" s="0" t="s">
        <v>50</v>
      </c>
      <c r="AM852" s="0" t="s">
        <v>2344</v>
      </c>
      <c r="AN852" s="0" t="s">
        <v>64</v>
      </c>
      <c r="AO852" s="0" t="s">
        <v>50</v>
      </c>
    </row>
    <row r="853" customFormat="false" ht="15" hidden="false" customHeight="false" outlineLevel="0" collapsed="false">
      <c r="A853" s="0" t="s">
        <v>1991</v>
      </c>
      <c r="B853" s="2" t="s">
        <v>2416</v>
      </c>
      <c r="C853" s="0" t="s">
        <v>66</v>
      </c>
      <c r="D853" s="0" t="n">
        <v>8077459675</v>
      </c>
      <c r="E853" s="0" t="s">
        <v>67</v>
      </c>
      <c r="F853" s="0" t="s">
        <v>2316</v>
      </c>
      <c r="G853" s="0" t="s">
        <v>1992</v>
      </c>
      <c r="H853" s="0" t="s">
        <v>107</v>
      </c>
      <c r="I853" s="3" t="s">
        <v>2322</v>
      </c>
      <c r="J853" s="0" t="s">
        <v>2347</v>
      </c>
      <c r="K853" s="0" t="s">
        <v>109</v>
      </c>
      <c r="L853" s="4" t="n">
        <v>14002</v>
      </c>
      <c r="M853" s="0" t="s">
        <v>49</v>
      </c>
      <c r="N853" s="0" t="s">
        <v>63</v>
      </c>
      <c r="O853" s="5" t="n">
        <v>1</v>
      </c>
      <c r="P853" s="0" t="n">
        <v>2.5</v>
      </c>
      <c r="Q853" s="0" t="s">
        <v>51</v>
      </c>
      <c r="R853" s="0" t="s">
        <v>93</v>
      </c>
      <c r="S853" s="0" t="s">
        <v>2340</v>
      </c>
      <c r="T853" s="0" t="s">
        <v>95</v>
      </c>
      <c r="U853" s="5" t="n">
        <v>42</v>
      </c>
      <c r="V853" s="0" t="s">
        <v>112</v>
      </c>
      <c r="W853" s="0" t="s">
        <v>2328</v>
      </c>
      <c r="X853" s="0" t="s">
        <v>78</v>
      </c>
      <c r="Y853" s="0" t="s">
        <v>196</v>
      </c>
      <c r="Z853" s="0" t="s">
        <v>177</v>
      </c>
      <c r="AA853" s="0" t="s">
        <v>2329</v>
      </c>
      <c r="AB853" s="5" t="n">
        <v>30000</v>
      </c>
      <c r="AC853" s="5" t="n">
        <v>35000</v>
      </c>
      <c r="AD853" s="0" t="s">
        <v>63</v>
      </c>
      <c r="AE853" s="5" t="n">
        <v>0</v>
      </c>
      <c r="AF853" s="0" t="s">
        <v>130</v>
      </c>
      <c r="AG853" s="7" t="s">
        <v>1082</v>
      </c>
      <c r="AH853" s="0" t="s">
        <v>63</v>
      </c>
      <c r="AI853" s="0" t="s">
        <v>2331</v>
      </c>
      <c r="AJ853" s="0" t="s">
        <v>2331</v>
      </c>
      <c r="AK853" s="0" t="s">
        <v>50</v>
      </c>
      <c r="AL853" s="0" t="s">
        <v>50</v>
      </c>
      <c r="AM853" s="0" t="s">
        <v>63</v>
      </c>
      <c r="AN853" s="0" t="s">
        <v>2321</v>
      </c>
      <c r="AO853" s="0" t="s">
        <v>50</v>
      </c>
    </row>
    <row r="854" customFormat="false" ht="15" hidden="false" customHeight="false" outlineLevel="0" collapsed="false">
      <c r="A854" s="0" t="s">
        <v>1993</v>
      </c>
      <c r="B854" s="2" t="s">
        <v>2346</v>
      </c>
      <c r="C854" s="0" t="s">
        <v>121</v>
      </c>
      <c r="D854" s="0" t="n">
        <v>8024795927</v>
      </c>
      <c r="E854" s="0" t="s">
        <v>122</v>
      </c>
      <c r="F854" s="0" t="s">
        <v>2316</v>
      </c>
      <c r="G854" s="0" t="s">
        <v>1994</v>
      </c>
      <c r="H854" s="0" t="s">
        <v>69</v>
      </c>
      <c r="I854" s="3" t="s">
        <v>87</v>
      </c>
      <c r="J854" s="0" t="s">
        <v>2339</v>
      </c>
      <c r="K854" s="0" t="s">
        <v>48</v>
      </c>
      <c r="L854" s="4" t="n">
        <v>116865</v>
      </c>
      <c r="M854" s="0" t="s">
        <v>2333</v>
      </c>
      <c r="N854" s="0" t="s">
        <v>63</v>
      </c>
      <c r="O854" s="5" t="n">
        <v>1</v>
      </c>
      <c r="P854" s="0" t="n">
        <v>4.6</v>
      </c>
      <c r="Q854" s="0" t="s">
        <v>111</v>
      </c>
      <c r="R854" s="0" t="s">
        <v>52</v>
      </c>
      <c r="S854" s="0" t="s">
        <v>2340</v>
      </c>
      <c r="T854" s="0" t="s">
        <v>75</v>
      </c>
      <c r="U854" s="5" t="n">
        <v>45</v>
      </c>
      <c r="V854" s="0" t="s">
        <v>2336</v>
      </c>
      <c r="W854" s="0" t="s">
        <v>2337</v>
      </c>
      <c r="X854" s="0" t="s">
        <v>128</v>
      </c>
      <c r="Y854" s="0" t="s">
        <v>114</v>
      </c>
      <c r="Z854" s="0" t="s">
        <v>2329</v>
      </c>
      <c r="AA854" s="0" t="s">
        <v>149</v>
      </c>
      <c r="AB854" s="5" t="n">
        <v>20000</v>
      </c>
      <c r="AC854" s="5" t="n">
        <v>35000</v>
      </c>
      <c r="AD854" s="0" t="s">
        <v>50</v>
      </c>
      <c r="AE854" s="5" t="n">
        <v>10000</v>
      </c>
      <c r="AF854" s="0" t="s">
        <v>130</v>
      </c>
      <c r="AG854" s="7" t="s">
        <v>2330</v>
      </c>
      <c r="AH854" s="0" t="s">
        <v>50</v>
      </c>
      <c r="AI854" s="0" t="s">
        <v>2331</v>
      </c>
      <c r="AJ854" s="0" t="s">
        <v>2320</v>
      </c>
      <c r="AK854" s="0" t="s">
        <v>63</v>
      </c>
      <c r="AL854" s="0" t="s">
        <v>63</v>
      </c>
      <c r="AM854" s="0" t="s">
        <v>63</v>
      </c>
      <c r="AN854" s="0" t="s">
        <v>64</v>
      </c>
      <c r="AO854" s="0" t="s">
        <v>50</v>
      </c>
    </row>
    <row r="855" customFormat="false" ht="15" hidden="false" customHeight="false" outlineLevel="0" collapsed="false">
      <c r="A855" s="0" t="s">
        <v>1995</v>
      </c>
      <c r="B855" s="2" t="s">
        <v>2509</v>
      </c>
      <c r="C855" s="0" t="s">
        <v>163</v>
      </c>
      <c r="D855" s="0" t="n">
        <v>8070486666</v>
      </c>
      <c r="E855" s="0" t="s">
        <v>43</v>
      </c>
      <c r="F855" s="0" t="s">
        <v>2315</v>
      </c>
      <c r="G855" s="0" t="s">
        <v>1646</v>
      </c>
      <c r="H855" s="0" t="s">
        <v>107</v>
      </c>
      <c r="I855" s="3" t="s">
        <v>2342</v>
      </c>
      <c r="J855" s="0" t="s">
        <v>2341</v>
      </c>
      <c r="K855" s="0" t="s">
        <v>90</v>
      </c>
      <c r="L855" s="4" t="n">
        <v>117524</v>
      </c>
      <c r="M855" s="0" t="s">
        <v>49</v>
      </c>
      <c r="N855" s="0" t="s">
        <v>50</v>
      </c>
      <c r="O855" s="5" t="n">
        <v>1</v>
      </c>
      <c r="P855" s="0" t="n">
        <v>3</v>
      </c>
      <c r="Q855" s="0" t="s">
        <v>51</v>
      </c>
      <c r="R855" s="0" t="s">
        <v>52</v>
      </c>
      <c r="S855" s="0" t="s">
        <v>53</v>
      </c>
      <c r="T855" s="0" t="s">
        <v>147</v>
      </c>
      <c r="U855" s="5" t="n">
        <v>45</v>
      </c>
      <c r="V855" s="0" t="s">
        <v>2352</v>
      </c>
      <c r="W855" s="0" t="s">
        <v>148</v>
      </c>
      <c r="X855" s="0" t="s">
        <v>128</v>
      </c>
      <c r="Y855" s="0" t="s">
        <v>196</v>
      </c>
      <c r="Z855" s="0" t="s">
        <v>177</v>
      </c>
      <c r="AA855" s="0" t="s">
        <v>149</v>
      </c>
      <c r="AB855" s="5" t="n">
        <v>20000</v>
      </c>
      <c r="AC855" s="5" t="n">
        <v>20000</v>
      </c>
      <c r="AD855" s="0" t="s">
        <v>50</v>
      </c>
      <c r="AE855" s="5" t="n">
        <v>0</v>
      </c>
      <c r="AF855" s="0" t="s">
        <v>60</v>
      </c>
      <c r="AG855" s="7" t="s">
        <v>1635</v>
      </c>
      <c r="AH855" s="0" t="s">
        <v>63</v>
      </c>
      <c r="AI855" s="0" t="s">
        <v>2331</v>
      </c>
      <c r="AJ855" s="0" t="s">
        <v>2331</v>
      </c>
      <c r="AK855" s="0" t="s">
        <v>2344</v>
      </c>
      <c r="AL855" s="0" t="s">
        <v>50</v>
      </c>
      <c r="AM855" s="0" t="s">
        <v>2344</v>
      </c>
      <c r="AN855" s="0" t="s">
        <v>2321</v>
      </c>
      <c r="AO855" s="0" t="s">
        <v>63</v>
      </c>
    </row>
    <row r="856" customFormat="false" ht="15" hidden="false" customHeight="false" outlineLevel="0" collapsed="false">
      <c r="A856" s="0" t="s">
        <v>1996</v>
      </c>
      <c r="B856" s="2" t="s">
        <v>2422</v>
      </c>
      <c r="C856" s="0" t="s">
        <v>105</v>
      </c>
      <c r="D856" s="0" t="n">
        <v>8086113817</v>
      </c>
      <c r="E856" s="0" t="s">
        <v>43</v>
      </c>
      <c r="F856" s="0" t="s">
        <v>2315</v>
      </c>
      <c r="G856" s="0" t="s">
        <v>585</v>
      </c>
      <c r="H856" s="0" t="s">
        <v>107</v>
      </c>
      <c r="I856" s="3" t="s">
        <v>2317</v>
      </c>
      <c r="J856" s="0" t="s">
        <v>2339</v>
      </c>
      <c r="K856" s="0" t="s">
        <v>48</v>
      </c>
      <c r="L856" s="4" t="n">
        <v>19254</v>
      </c>
      <c r="M856" s="0" t="s">
        <v>2333</v>
      </c>
      <c r="N856" s="0" t="s">
        <v>50</v>
      </c>
      <c r="O856" s="5" t="n">
        <v>2</v>
      </c>
      <c r="P856" s="0" t="n">
        <v>2.2</v>
      </c>
      <c r="Q856" s="0" t="s">
        <v>125</v>
      </c>
      <c r="R856" s="0" t="s">
        <v>73</v>
      </c>
      <c r="S856" s="0" t="s">
        <v>53</v>
      </c>
      <c r="T856" s="0" t="s">
        <v>147</v>
      </c>
      <c r="U856" s="5" t="n">
        <v>45</v>
      </c>
      <c r="V856" s="0" t="s">
        <v>112</v>
      </c>
      <c r="W856" s="0" t="s">
        <v>155</v>
      </c>
      <c r="X856" s="0" t="s">
        <v>78</v>
      </c>
      <c r="Y856" s="0" t="s">
        <v>114</v>
      </c>
      <c r="Z856" s="0" t="s">
        <v>2324</v>
      </c>
      <c r="AA856" s="0" t="s">
        <v>161</v>
      </c>
      <c r="AB856" s="5" t="n">
        <v>30000</v>
      </c>
      <c r="AC856" s="5" t="n">
        <v>31440</v>
      </c>
      <c r="AD856" s="0" t="s">
        <v>50</v>
      </c>
      <c r="AE856" s="5" t="n">
        <v>0</v>
      </c>
      <c r="AF856" s="0" t="s">
        <v>60</v>
      </c>
      <c r="AG856" s="7" t="s">
        <v>556</v>
      </c>
      <c r="AH856" s="0" t="s">
        <v>63</v>
      </c>
      <c r="AI856" s="0" t="s">
        <v>171</v>
      </c>
      <c r="AJ856" s="0" t="s">
        <v>2331</v>
      </c>
      <c r="AK856" s="0" t="s">
        <v>50</v>
      </c>
      <c r="AL856" s="0" t="s">
        <v>63</v>
      </c>
      <c r="AM856" s="0" t="s">
        <v>2344</v>
      </c>
      <c r="AN856" s="0" t="s">
        <v>2318</v>
      </c>
      <c r="AO856" s="0" t="s">
        <v>63</v>
      </c>
    </row>
    <row r="857" customFormat="false" ht="15" hidden="false" customHeight="false" outlineLevel="0" collapsed="false">
      <c r="A857" s="0" t="s">
        <v>1997</v>
      </c>
      <c r="B857" s="2" t="s">
        <v>2512</v>
      </c>
      <c r="C857" s="0" t="s">
        <v>42</v>
      </c>
      <c r="D857" s="0" t="n">
        <v>8038531115</v>
      </c>
      <c r="E857" s="0" t="s">
        <v>122</v>
      </c>
      <c r="F857" s="0" t="s">
        <v>2316</v>
      </c>
      <c r="G857" s="0" t="s">
        <v>1998</v>
      </c>
      <c r="H857" s="0" t="s">
        <v>107</v>
      </c>
      <c r="I857" s="3" t="s">
        <v>2325</v>
      </c>
      <c r="J857" s="0" t="s">
        <v>2349</v>
      </c>
      <c r="K857" s="0" t="s">
        <v>71</v>
      </c>
      <c r="L857" s="4" t="n">
        <v>81646</v>
      </c>
      <c r="M857" s="0" t="s">
        <v>110</v>
      </c>
      <c r="N857" s="0" t="s">
        <v>50</v>
      </c>
      <c r="O857" s="5" t="n">
        <v>2</v>
      </c>
      <c r="P857" s="0" t="n">
        <v>1.6</v>
      </c>
      <c r="Q857" s="0" t="s">
        <v>125</v>
      </c>
      <c r="R857" s="0" t="s">
        <v>93</v>
      </c>
      <c r="S857" s="0" t="s">
        <v>53</v>
      </c>
      <c r="T857" s="0" t="s">
        <v>147</v>
      </c>
      <c r="U857" s="5" t="n">
        <v>30</v>
      </c>
      <c r="V857" s="0" t="s">
        <v>112</v>
      </c>
      <c r="W857" s="0" t="s">
        <v>155</v>
      </c>
      <c r="X857" s="0" t="s">
        <v>78</v>
      </c>
      <c r="Y857" s="0" t="s">
        <v>114</v>
      </c>
      <c r="Z857" s="0" t="s">
        <v>177</v>
      </c>
      <c r="AA857" s="0" t="s">
        <v>143</v>
      </c>
      <c r="AB857" s="5" t="n">
        <v>27142.8571428571</v>
      </c>
      <c r="AC857" s="5" t="n">
        <v>30000</v>
      </c>
      <c r="AD857" s="0" t="s">
        <v>50</v>
      </c>
      <c r="AE857" s="5" t="n">
        <v>0</v>
      </c>
      <c r="AF857" s="0" t="s">
        <v>60</v>
      </c>
      <c r="AG857" s="7" t="s">
        <v>2330</v>
      </c>
      <c r="AH857" s="0" t="s">
        <v>50</v>
      </c>
      <c r="AI857" s="0" t="s">
        <v>116</v>
      </c>
      <c r="AJ857" s="0" t="s">
        <v>2320</v>
      </c>
      <c r="AK857" s="0" t="s">
        <v>63</v>
      </c>
      <c r="AL857" s="0" t="s">
        <v>63</v>
      </c>
      <c r="AM857" s="0" t="s">
        <v>2344</v>
      </c>
      <c r="AN857" s="0" t="s">
        <v>2321</v>
      </c>
      <c r="AO857" s="0" t="s">
        <v>50</v>
      </c>
    </row>
    <row r="858" customFormat="false" ht="15" hidden="false" customHeight="false" outlineLevel="0" collapsed="false">
      <c r="A858" s="0" t="s">
        <v>1999</v>
      </c>
      <c r="B858" s="2" t="s">
        <v>1883</v>
      </c>
      <c r="C858" s="0" t="s">
        <v>105</v>
      </c>
      <c r="D858" s="0" t="n">
        <v>8034915916</v>
      </c>
      <c r="E858" s="0" t="s">
        <v>85</v>
      </c>
      <c r="F858" s="0" t="s">
        <v>2319</v>
      </c>
      <c r="G858" s="0" t="s">
        <v>1781</v>
      </c>
      <c r="H858" s="0" t="s">
        <v>107</v>
      </c>
      <c r="I858" s="3" t="s">
        <v>2317</v>
      </c>
      <c r="J858" s="0" t="s">
        <v>2349</v>
      </c>
      <c r="K858" s="0" t="s">
        <v>71</v>
      </c>
      <c r="L858" s="4" t="n">
        <v>62297</v>
      </c>
      <c r="M858" s="0" t="s">
        <v>2333</v>
      </c>
      <c r="N858" s="0" t="s">
        <v>50</v>
      </c>
      <c r="O858" s="5" t="n">
        <v>3.35652173913044</v>
      </c>
      <c r="P858" s="0" t="n">
        <v>1</v>
      </c>
      <c r="Q858" s="0" t="s">
        <v>111</v>
      </c>
      <c r="R858" s="0" t="s">
        <v>73</v>
      </c>
      <c r="S858" s="0" t="s">
        <v>53</v>
      </c>
      <c r="T858" s="0" t="s">
        <v>2353</v>
      </c>
      <c r="U858" s="5" t="n">
        <v>60</v>
      </c>
      <c r="V858" s="0" t="s">
        <v>2352</v>
      </c>
      <c r="W858" s="0" t="s">
        <v>2328</v>
      </c>
      <c r="X858" s="0" t="s">
        <v>78</v>
      </c>
      <c r="Y858" s="0" t="s">
        <v>58</v>
      </c>
      <c r="Z858" s="0" t="s">
        <v>2329</v>
      </c>
      <c r="AA858" s="0" t="s">
        <v>149</v>
      </c>
      <c r="AB858" s="5" t="n">
        <v>40000</v>
      </c>
      <c r="AC858" s="5" t="n">
        <v>31451.6129032258</v>
      </c>
      <c r="AD858" s="0" t="s">
        <v>63</v>
      </c>
      <c r="AE858" s="5" t="n">
        <v>0</v>
      </c>
      <c r="AF858" s="0" t="s">
        <v>60</v>
      </c>
      <c r="AG858" s="7" t="s">
        <v>2330</v>
      </c>
      <c r="AH858" s="0" t="s">
        <v>63</v>
      </c>
      <c r="AI858" s="0" t="s">
        <v>2331</v>
      </c>
      <c r="AJ858" s="0" t="s">
        <v>172</v>
      </c>
      <c r="AK858" s="0" t="s">
        <v>63</v>
      </c>
      <c r="AL858" s="0" t="s">
        <v>63</v>
      </c>
      <c r="AM858" s="0" t="s">
        <v>50</v>
      </c>
      <c r="AN858" s="0" t="s">
        <v>2318</v>
      </c>
      <c r="AO858" s="0" t="s">
        <v>63</v>
      </c>
    </row>
    <row r="859" customFormat="false" ht="15" hidden="false" customHeight="false" outlineLevel="0" collapsed="false">
      <c r="A859" s="0" t="s">
        <v>2000</v>
      </c>
      <c r="B859" s="2" t="s">
        <v>328</v>
      </c>
      <c r="C859" s="0" t="s">
        <v>121</v>
      </c>
      <c r="D859" s="0" t="n">
        <v>8036969824</v>
      </c>
      <c r="E859" s="0" t="s">
        <v>43</v>
      </c>
      <c r="F859" s="0" t="s">
        <v>2315</v>
      </c>
      <c r="G859" s="0" t="s">
        <v>2001</v>
      </c>
      <c r="H859" s="0" t="s">
        <v>45</v>
      </c>
      <c r="I859" s="3" t="s">
        <v>2317</v>
      </c>
      <c r="J859" s="0" t="s">
        <v>2347</v>
      </c>
      <c r="K859" s="0" t="s">
        <v>109</v>
      </c>
      <c r="L859" s="4" t="n">
        <v>44083</v>
      </c>
      <c r="M859" s="0" t="s">
        <v>49</v>
      </c>
      <c r="N859" s="0" t="s">
        <v>63</v>
      </c>
      <c r="O859" s="5" t="n">
        <v>5</v>
      </c>
      <c r="P859" s="0" t="n">
        <v>3.6</v>
      </c>
      <c r="Q859" s="0" t="s">
        <v>51</v>
      </c>
      <c r="R859" s="0" t="s">
        <v>93</v>
      </c>
      <c r="S859" s="0" t="s">
        <v>53</v>
      </c>
      <c r="T859" s="0" t="s">
        <v>95</v>
      </c>
      <c r="U859" s="5" t="n">
        <v>15</v>
      </c>
      <c r="V859" s="0" t="s">
        <v>96</v>
      </c>
      <c r="W859" s="0" t="s">
        <v>2337</v>
      </c>
      <c r="X859" s="0" t="s">
        <v>98</v>
      </c>
      <c r="Y859" s="0" t="s">
        <v>196</v>
      </c>
      <c r="Z859" s="0" t="s">
        <v>2326</v>
      </c>
      <c r="AA859" s="0" t="s">
        <v>79</v>
      </c>
      <c r="AB859" s="5" t="n">
        <v>20000</v>
      </c>
      <c r="AC859" s="5" t="n">
        <v>35000</v>
      </c>
      <c r="AD859" s="0" t="s">
        <v>50</v>
      </c>
      <c r="AE859" s="5" t="n">
        <v>0</v>
      </c>
      <c r="AF859" s="0" t="s">
        <v>60</v>
      </c>
      <c r="AG859" s="7" t="s">
        <v>2481</v>
      </c>
      <c r="AH859" s="0" t="s">
        <v>63</v>
      </c>
      <c r="AI859" s="0" t="s">
        <v>171</v>
      </c>
      <c r="AJ859" s="0" t="s">
        <v>2320</v>
      </c>
      <c r="AK859" s="0" t="s">
        <v>50</v>
      </c>
      <c r="AL859" s="0" t="s">
        <v>50</v>
      </c>
      <c r="AM859" s="0" t="s">
        <v>2344</v>
      </c>
      <c r="AN859" s="0" t="s">
        <v>2321</v>
      </c>
      <c r="AO859" s="0" t="s">
        <v>50</v>
      </c>
    </row>
    <row r="860" customFormat="false" ht="15" hidden="false" customHeight="false" outlineLevel="0" collapsed="false">
      <c r="A860" s="0" t="s">
        <v>2002</v>
      </c>
      <c r="B860" s="2" t="s">
        <v>2423</v>
      </c>
      <c r="C860" s="0" t="s">
        <v>42</v>
      </c>
      <c r="D860" s="0" t="n">
        <v>8017916438</v>
      </c>
      <c r="E860" s="0" t="s">
        <v>122</v>
      </c>
      <c r="F860" s="0" t="s">
        <v>2316</v>
      </c>
      <c r="G860" s="0" t="s">
        <v>2003</v>
      </c>
      <c r="H860" s="0" t="s">
        <v>107</v>
      </c>
      <c r="I860" s="3" t="s">
        <v>2322</v>
      </c>
      <c r="J860" s="0" t="s">
        <v>2347</v>
      </c>
      <c r="K860" s="0" t="s">
        <v>90</v>
      </c>
      <c r="L860" s="4" t="n">
        <v>49860</v>
      </c>
      <c r="M860" s="0" t="s">
        <v>2333</v>
      </c>
      <c r="N860" s="0" t="s">
        <v>63</v>
      </c>
      <c r="O860" s="5" t="n">
        <v>2</v>
      </c>
      <c r="P860" s="0" t="n">
        <v>3.9</v>
      </c>
      <c r="Q860" s="0" t="s">
        <v>2334</v>
      </c>
      <c r="R860" s="0" t="s">
        <v>73</v>
      </c>
      <c r="S860" s="0" t="s">
        <v>2340</v>
      </c>
      <c r="T860" s="0" t="s">
        <v>54</v>
      </c>
      <c r="U860" s="5" t="n">
        <v>30</v>
      </c>
      <c r="V860" s="0" t="s">
        <v>2336</v>
      </c>
      <c r="W860" s="0" t="s">
        <v>155</v>
      </c>
      <c r="X860" s="0" t="s">
        <v>98</v>
      </c>
      <c r="Y860" s="0" t="s">
        <v>114</v>
      </c>
      <c r="Z860" s="0" t="s">
        <v>2324</v>
      </c>
      <c r="AA860" s="0" t="s">
        <v>143</v>
      </c>
      <c r="AB860" s="5" t="n">
        <v>20000</v>
      </c>
      <c r="AC860" s="5" t="n">
        <v>30000</v>
      </c>
      <c r="AD860" s="0" t="s">
        <v>50</v>
      </c>
      <c r="AE860" s="5" t="n">
        <v>10000</v>
      </c>
      <c r="AF860" s="0" t="s">
        <v>60</v>
      </c>
      <c r="AG860" s="7" t="s">
        <v>819</v>
      </c>
      <c r="AH860" s="0" t="s">
        <v>63</v>
      </c>
      <c r="AI860" s="0" t="s">
        <v>2331</v>
      </c>
      <c r="AJ860" s="0" t="s">
        <v>2320</v>
      </c>
      <c r="AK860" s="0" t="s">
        <v>63</v>
      </c>
      <c r="AL860" s="0" t="s">
        <v>63</v>
      </c>
      <c r="AM860" s="0" t="s">
        <v>63</v>
      </c>
      <c r="AN860" s="0" t="s">
        <v>2318</v>
      </c>
      <c r="AO860" s="0" t="s">
        <v>50</v>
      </c>
    </row>
    <row r="861" customFormat="false" ht="15" hidden="false" customHeight="false" outlineLevel="0" collapsed="false">
      <c r="A861" s="0" t="s">
        <v>2004</v>
      </c>
      <c r="B861" s="2" t="s">
        <v>1113</v>
      </c>
      <c r="C861" s="0" t="s">
        <v>66</v>
      </c>
      <c r="D861" s="0" t="n">
        <v>8034525524</v>
      </c>
      <c r="E861" s="0" t="s">
        <v>43</v>
      </c>
      <c r="F861" s="0" t="s">
        <v>2315</v>
      </c>
      <c r="G861" s="0" t="s">
        <v>309</v>
      </c>
      <c r="H861" s="0" t="s">
        <v>45</v>
      </c>
      <c r="I861" s="3" t="s">
        <v>2322</v>
      </c>
      <c r="J861" s="0" t="s">
        <v>47</v>
      </c>
      <c r="K861" s="0" t="s">
        <v>71</v>
      </c>
      <c r="L861" s="4" t="n">
        <v>80137</v>
      </c>
      <c r="M861" s="0" t="s">
        <v>110</v>
      </c>
      <c r="N861" s="0" t="s">
        <v>50</v>
      </c>
      <c r="O861" s="5" t="n">
        <v>2</v>
      </c>
      <c r="P861" s="0" t="n">
        <v>4.9</v>
      </c>
      <c r="Q861" s="0" t="s">
        <v>111</v>
      </c>
      <c r="R861" s="0" t="s">
        <v>93</v>
      </c>
      <c r="S861" s="0" t="s">
        <v>2340</v>
      </c>
      <c r="T861" s="0" t="s">
        <v>2353</v>
      </c>
      <c r="U861" s="5" t="n">
        <v>15</v>
      </c>
      <c r="V861" s="0" t="s">
        <v>96</v>
      </c>
      <c r="W861" s="0" t="s">
        <v>155</v>
      </c>
      <c r="X861" s="0" t="s">
        <v>98</v>
      </c>
      <c r="Y861" s="0" t="s">
        <v>196</v>
      </c>
      <c r="Z861" s="0" t="s">
        <v>2326</v>
      </c>
      <c r="AA861" s="0" t="s">
        <v>149</v>
      </c>
      <c r="AB861" s="5" t="n">
        <v>26315.7894736842</v>
      </c>
      <c r="AC861" s="5" t="n">
        <v>40000</v>
      </c>
      <c r="AD861" s="0" t="s">
        <v>63</v>
      </c>
      <c r="AE861" s="5" t="n">
        <v>5000</v>
      </c>
      <c r="AF861" s="0" t="s">
        <v>60</v>
      </c>
      <c r="AG861" s="7" t="s">
        <v>2492</v>
      </c>
      <c r="AH861" s="0" t="s">
        <v>50</v>
      </c>
      <c r="AI861" s="0" t="s">
        <v>2331</v>
      </c>
      <c r="AJ861" s="0" t="s">
        <v>117</v>
      </c>
      <c r="AK861" s="0" t="s">
        <v>63</v>
      </c>
      <c r="AL861" s="0" t="s">
        <v>63</v>
      </c>
      <c r="AM861" s="0" t="s">
        <v>50</v>
      </c>
      <c r="AN861" s="0" t="s">
        <v>2321</v>
      </c>
      <c r="AO861" s="0" t="s">
        <v>63</v>
      </c>
    </row>
    <row r="862" customFormat="false" ht="15" hidden="false" customHeight="false" outlineLevel="0" collapsed="false">
      <c r="A862" s="0" t="s">
        <v>2005</v>
      </c>
      <c r="B862" s="2" t="s">
        <v>918</v>
      </c>
      <c r="C862" s="0" t="s">
        <v>163</v>
      </c>
      <c r="D862" s="0" t="n">
        <v>8035754346</v>
      </c>
      <c r="E862" s="0" t="s">
        <v>122</v>
      </c>
      <c r="F862" s="0" t="s">
        <v>2316</v>
      </c>
      <c r="G862" s="0" t="s">
        <v>457</v>
      </c>
      <c r="H862" s="0" t="s">
        <v>134</v>
      </c>
      <c r="I862" s="3" t="s">
        <v>2322</v>
      </c>
      <c r="J862" s="0" t="s">
        <v>2347</v>
      </c>
      <c r="K862" s="0" t="s">
        <v>48</v>
      </c>
      <c r="L862" s="4" t="n">
        <v>28119</v>
      </c>
      <c r="M862" s="0" t="s">
        <v>49</v>
      </c>
      <c r="N862" s="0" t="s">
        <v>63</v>
      </c>
      <c r="O862" s="5" t="n">
        <v>2</v>
      </c>
      <c r="P862" s="0" t="n">
        <v>6</v>
      </c>
      <c r="Q862" s="0" t="s">
        <v>92</v>
      </c>
      <c r="R862" s="0" t="s">
        <v>52</v>
      </c>
      <c r="S862" s="0" t="s">
        <v>2335</v>
      </c>
      <c r="T862" s="0" t="s">
        <v>54</v>
      </c>
      <c r="U862" s="5" t="n">
        <v>45</v>
      </c>
      <c r="V862" s="0" t="s">
        <v>112</v>
      </c>
      <c r="W862" s="0" t="s">
        <v>2328</v>
      </c>
      <c r="X862" s="0" t="s">
        <v>128</v>
      </c>
      <c r="Y862" s="0" t="s">
        <v>58</v>
      </c>
      <c r="Z862" s="0" t="s">
        <v>59</v>
      </c>
      <c r="AA862" s="0" t="s">
        <v>79</v>
      </c>
      <c r="AB862" s="5" t="n">
        <v>25000</v>
      </c>
      <c r="AC862" s="5" t="n">
        <v>35000</v>
      </c>
      <c r="AD862" s="0" t="s">
        <v>63</v>
      </c>
      <c r="AE862" s="5" t="n">
        <v>10000</v>
      </c>
      <c r="AF862" s="0" t="s">
        <v>184</v>
      </c>
      <c r="AG862" s="7" t="s">
        <v>2511</v>
      </c>
      <c r="AH862" s="0" t="s">
        <v>63</v>
      </c>
      <c r="AI862" s="0" t="s">
        <v>2331</v>
      </c>
      <c r="AJ862" s="0" t="s">
        <v>2331</v>
      </c>
      <c r="AK862" s="0" t="s">
        <v>63</v>
      </c>
      <c r="AL862" s="0" t="s">
        <v>63</v>
      </c>
      <c r="AM862" s="0" t="s">
        <v>2344</v>
      </c>
      <c r="AN862" s="0" t="s">
        <v>2321</v>
      </c>
      <c r="AO862" s="0" t="s">
        <v>63</v>
      </c>
    </row>
    <row r="863" customFormat="false" ht="15" hidden="false" customHeight="false" outlineLevel="0" collapsed="false">
      <c r="A863" s="0" t="s">
        <v>2006</v>
      </c>
      <c r="B863" s="2" t="s">
        <v>2468</v>
      </c>
      <c r="C863" s="0" t="s">
        <v>163</v>
      </c>
      <c r="D863" s="0" t="n">
        <v>8044809624</v>
      </c>
      <c r="E863" s="0" t="s">
        <v>122</v>
      </c>
      <c r="F863" s="0" t="s">
        <v>2316</v>
      </c>
      <c r="G863" s="0" t="s">
        <v>2007</v>
      </c>
      <c r="H863" s="0" t="s">
        <v>45</v>
      </c>
      <c r="I863" s="3" t="s">
        <v>87</v>
      </c>
      <c r="J863" s="0" t="s">
        <v>2347</v>
      </c>
      <c r="K863" s="0" t="s">
        <v>48</v>
      </c>
      <c r="L863" s="4" t="n">
        <v>31065</v>
      </c>
      <c r="M863" s="0" t="s">
        <v>110</v>
      </c>
      <c r="N863" s="0" t="s">
        <v>50</v>
      </c>
      <c r="O863" s="5" t="n">
        <v>3.37837837837838</v>
      </c>
      <c r="P863" s="0" t="n">
        <v>1.6</v>
      </c>
      <c r="Q863" s="0" t="s">
        <v>125</v>
      </c>
      <c r="R863" s="0" t="s">
        <v>52</v>
      </c>
      <c r="S863" s="0" t="s">
        <v>53</v>
      </c>
      <c r="T863" s="0" t="s">
        <v>2353</v>
      </c>
      <c r="U863" s="5" t="n">
        <v>60</v>
      </c>
      <c r="V863" s="0" t="s">
        <v>55</v>
      </c>
      <c r="W863" s="0" t="s">
        <v>155</v>
      </c>
      <c r="X863" s="0" t="s">
        <v>78</v>
      </c>
      <c r="Y863" s="0" t="s">
        <v>114</v>
      </c>
      <c r="Z863" s="0" t="s">
        <v>59</v>
      </c>
      <c r="AA863" s="0" t="s">
        <v>79</v>
      </c>
      <c r="AB863" s="5" t="n">
        <v>20000</v>
      </c>
      <c r="AC863" s="5" t="n">
        <v>30000</v>
      </c>
      <c r="AD863" s="0" t="s">
        <v>50</v>
      </c>
      <c r="AE863" s="5" t="n">
        <v>0</v>
      </c>
      <c r="AF863" s="0" t="s">
        <v>2338</v>
      </c>
      <c r="AG863" s="7" t="s">
        <v>819</v>
      </c>
      <c r="AH863" s="0" t="s">
        <v>50</v>
      </c>
      <c r="AI863" s="0" t="s">
        <v>2331</v>
      </c>
      <c r="AJ863" s="0" t="s">
        <v>2331</v>
      </c>
      <c r="AK863" s="0" t="s">
        <v>2344</v>
      </c>
      <c r="AL863" s="0" t="s">
        <v>50</v>
      </c>
      <c r="AM863" s="0" t="s">
        <v>63</v>
      </c>
      <c r="AN863" s="0" t="s">
        <v>2321</v>
      </c>
      <c r="AO863" s="0" t="s">
        <v>50</v>
      </c>
    </row>
    <row r="864" customFormat="false" ht="15" hidden="false" customHeight="false" outlineLevel="0" collapsed="false">
      <c r="A864" s="0" t="s">
        <v>2008</v>
      </c>
      <c r="B864" s="2" t="s">
        <v>2403</v>
      </c>
      <c r="C864" s="0" t="s">
        <v>121</v>
      </c>
      <c r="D864" s="0" t="n">
        <v>8064867187</v>
      </c>
      <c r="E864" s="0" t="s">
        <v>85</v>
      </c>
      <c r="F864" s="0" t="s">
        <v>2319</v>
      </c>
      <c r="G864" s="0" t="s">
        <v>2009</v>
      </c>
      <c r="H864" s="0" t="s">
        <v>45</v>
      </c>
      <c r="I864" s="3" t="s">
        <v>2342</v>
      </c>
      <c r="J864" s="0" t="s">
        <v>189</v>
      </c>
      <c r="K864" s="0" t="s">
        <v>109</v>
      </c>
      <c r="L864" s="4" t="n">
        <v>109330</v>
      </c>
      <c r="M864" s="0" t="s">
        <v>2333</v>
      </c>
      <c r="N864" s="0" t="s">
        <v>50</v>
      </c>
      <c r="O864" s="5" t="n">
        <v>5</v>
      </c>
      <c r="P864" s="0" t="n">
        <v>1.6</v>
      </c>
      <c r="Q864" s="0" t="s">
        <v>2334</v>
      </c>
      <c r="R864" s="0" t="s">
        <v>93</v>
      </c>
      <c r="S864" s="0" t="s">
        <v>53</v>
      </c>
      <c r="T864" s="0" t="s">
        <v>54</v>
      </c>
      <c r="U864" s="5" t="n">
        <v>45</v>
      </c>
      <c r="V864" s="0" t="s">
        <v>55</v>
      </c>
      <c r="W864" s="0" t="s">
        <v>155</v>
      </c>
      <c r="X864" s="0" t="s">
        <v>78</v>
      </c>
      <c r="Y864" s="0" t="s">
        <v>196</v>
      </c>
      <c r="Z864" s="0" t="s">
        <v>2329</v>
      </c>
      <c r="AA864" s="0" t="s">
        <v>79</v>
      </c>
      <c r="AB864" s="5" t="n">
        <v>25000</v>
      </c>
      <c r="AC864" s="5" t="n">
        <v>40000</v>
      </c>
      <c r="AD864" s="0" t="s">
        <v>50</v>
      </c>
      <c r="AE864" s="5" t="n">
        <v>5000</v>
      </c>
      <c r="AF864" s="0" t="s">
        <v>60</v>
      </c>
      <c r="AG864" s="7" t="s">
        <v>2010</v>
      </c>
      <c r="AH864" s="0" t="s">
        <v>63</v>
      </c>
      <c r="AI864" s="0" t="s">
        <v>2331</v>
      </c>
      <c r="AJ864" s="0" t="s">
        <v>2331</v>
      </c>
      <c r="AK864" s="0" t="s">
        <v>50</v>
      </c>
      <c r="AL864" s="0" t="s">
        <v>50</v>
      </c>
      <c r="AM864" s="0" t="s">
        <v>2344</v>
      </c>
      <c r="AN864" s="0" t="s">
        <v>2318</v>
      </c>
      <c r="AO864" s="0" t="s">
        <v>50</v>
      </c>
    </row>
    <row r="865" customFormat="false" ht="15" hidden="false" customHeight="false" outlineLevel="0" collapsed="false">
      <c r="A865" s="0" t="s">
        <v>2011</v>
      </c>
      <c r="B865" s="2" t="s">
        <v>2426</v>
      </c>
      <c r="C865" s="0" t="s">
        <v>105</v>
      </c>
      <c r="D865" s="0" t="n">
        <v>8069153839</v>
      </c>
      <c r="E865" s="0" t="s">
        <v>67</v>
      </c>
      <c r="F865" s="0" t="s">
        <v>2316</v>
      </c>
      <c r="G865" s="0" t="s">
        <v>2012</v>
      </c>
      <c r="H865" s="0" t="s">
        <v>87</v>
      </c>
      <c r="I865" s="3" t="s">
        <v>87</v>
      </c>
      <c r="J865" s="0" t="s">
        <v>47</v>
      </c>
      <c r="K865" s="0" t="s">
        <v>109</v>
      </c>
      <c r="L865" s="4" t="n">
        <v>25760</v>
      </c>
      <c r="M865" s="0" t="s">
        <v>49</v>
      </c>
      <c r="N865" s="0" t="s">
        <v>50</v>
      </c>
      <c r="O865" s="5" t="n">
        <v>2</v>
      </c>
      <c r="P865" s="0" t="n">
        <v>5</v>
      </c>
      <c r="Q865" s="0" t="s">
        <v>92</v>
      </c>
      <c r="R865" s="0" t="s">
        <v>52</v>
      </c>
      <c r="S865" s="0" t="s">
        <v>2335</v>
      </c>
      <c r="T865" s="0" t="s">
        <v>2353</v>
      </c>
      <c r="U865" s="5" t="n">
        <v>60</v>
      </c>
      <c r="V865" s="0" t="s">
        <v>55</v>
      </c>
      <c r="W865" s="0" t="s">
        <v>2328</v>
      </c>
      <c r="X865" s="0" t="s">
        <v>78</v>
      </c>
      <c r="Y865" s="0" t="s">
        <v>196</v>
      </c>
      <c r="Z865" s="0" t="s">
        <v>2329</v>
      </c>
      <c r="AA865" s="0" t="s">
        <v>79</v>
      </c>
      <c r="AB865" s="5" t="n">
        <v>15000</v>
      </c>
      <c r="AC865" s="5" t="n">
        <v>40000</v>
      </c>
      <c r="AD865" s="0" t="s">
        <v>63</v>
      </c>
      <c r="AE865" s="5" t="n">
        <v>10000</v>
      </c>
      <c r="AF865" s="0" t="s">
        <v>2338</v>
      </c>
      <c r="AG865" s="7" t="s">
        <v>1782</v>
      </c>
      <c r="AH865" s="0" t="s">
        <v>63</v>
      </c>
      <c r="AI865" s="0" t="s">
        <v>116</v>
      </c>
      <c r="AJ865" s="0" t="s">
        <v>117</v>
      </c>
      <c r="AK865" s="0" t="s">
        <v>2344</v>
      </c>
      <c r="AL865" s="0" t="s">
        <v>63</v>
      </c>
      <c r="AM865" s="0" t="s">
        <v>50</v>
      </c>
      <c r="AN865" s="0" t="s">
        <v>64</v>
      </c>
      <c r="AO865" s="0" t="s">
        <v>63</v>
      </c>
    </row>
    <row r="866" customFormat="false" ht="15" hidden="false" customHeight="false" outlineLevel="0" collapsed="false">
      <c r="A866" s="0" t="s">
        <v>2013</v>
      </c>
      <c r="B866" s="2" t="s">
        <v>1474</v>
      </c>
      <c r="C866" s="0" t="s">
        <v>163</v>
      </c>
      <c r="D866" s="0" t="n">
        <v>8094132688</v>
      </c>
      <c r="E866" s="0" t="s">
        <v>67</v>
      </c>
      <c r="F866" s="0" t="s">
        <v>2316</v>
      </c>
      <c r="G866" s="0" t="s">
        <v>2014</v>
      </c>
      <c r="H866" s="0" t="s">
        <v>45</v>
      </c>
      <c r="I866" s="3" t="s">
        <v>87</v>
      </c>
      <c r="J866" s="0" t="s">
        <v>2339</v>
      </c>
      <c r="K866" s="0" t="s">
        <v>48</v>
      </c>
      <c r="L866" s="4" t="n">
        <v>69151</v>
      </c>
      <c r="M866" s="0" t="s">
        <v>49</v>
      </c>
      <c r="N866" s="0" t="s">
        <v>50</v>
      </c>
      <c r="O866" s="5" t="n">
        <v>1</v>
      </c>
      <c r="P866" s="0" t="n">
        <v>1.1</v>
      </c>
      <c r="Q866" s="0" t="s">
        <v>125</v>
      </c>
      <c r="R866" s="0" t="s">
        <v>73</v>
      </c>
      <c r="S866" s="0" t="s">
        <v>2335</v>
      </c>
      <c r="T866" s="0" t="s">
        <v>147</v>
      </c>
      <c r="U866" s="5" t="n">
        <v>60</v>
      </c>
      <c r="V866" s="0" t="s">
        <v>96</v>
      </c>
      <c r="W866" s="0" t="s">
        <v>155</v>
      </c>
      <c r="X866" s="0" t="s">
        <v>98</v>
      </c>
      <c r="Y866" s="0" t="s">
        <v>196</v>
      </c>
      <c r="Z866" s="0" t="s">
        <v>59</v>
      </c>
      <c r="AA866" s="0" t="s">
        <v>79</v>
      </c>
      <c r="AB866" s="5" t="n">
        <v>22857.1428571429</v>
      </c>
      <c r="AC866" s="5" t="n">
        <v>35000</v>
      </c>
      <c r="AD866" s="0" t="s">
        <v>63</v>
      </c>
      <c r="AE866" s="5" t="n">
        <v>5000</v>
      </c>
      <c r="AF866" s="0" t="s">
        <v>60</v>
      </c>
      <c r="AG866" s="7" t="s">
        <v>1583</v>
      </c>
      <c r="AH866" s="0" t="s">
        <v>50</v>
      </c>
      <c r="AI866" s="0" t="s">
        <v>116</v>
      </c>
      <c r="AJ866" s="0" t="s">
        <v>2331</v>
      </c>
      <c r="AK866" s="0" t="s">
        <v>63</v>
      </c>
      <c r="AL866" s="0" t="s">
        <v>50</v>
      </c>
      <c r="AM866" s="0" t="s">
        <v>2344</v>
      </c>
      <c r="AN866" s="0" t="s">
        <v>2321</v>
      </c>
      <c r="AO866" s="0" t="s">
        <v>63</v>
      </c>
    </row>
    <row r="867" customFormat="false" ht="15" hidden="false" customHeight="false" outlineLevel="0" collapsed="false">
      <c r="A867" s="0" t="s">
        <v>2015</v>
      </c>
      <c r="B867" s="2" t="s">
        <v>2491</v>
      </c>
      <c r="C867" s="0" t="s">
        <v>105</v>
      </c>
      <c r="D867" s="0" t="n">
        <v>8093808429</v>
      </c>
      <c r="E867" s="0" t="s">
        <v>139</v>
      </c>
      <c r="F867" s="0" t="s">
        <v>2323</v>
      </c>
      <c r="G867" s="0" t="s">
        <v>2016</v>
      </c>
      <c r="H867" s="0" t="s">
        <v>87</v>
      </c>
      <c r="I867" s="3" t="s">
        <v>87</v>
      </c>
      <c r="J867" s="0" t="s">
        <v>2347</v>
      </c>
      <c r="K867" s="0" t="s">
        <v>109</v>
      </c>
      <c r="L867" s="4" t="n">
        <v>56668</v>
      </c>
      <c r="M867" s="0" t="s">
        <v>49</v>
      </c>
      <c r="N867" s="0" t="s">
        <v>63</v>
      </c>
      <c r="O867" s="5" t="n">
        <v>3.39814814814815</v>
      </c>
      <c r="P867" s="0" t="n">
        <v>5.8</v>
      </c>
      <c r="Q867" s="0" t="s">
        <v>2334</v>
      </c>
      <c r="R867" s="0" t="s">
        <v>52</v>
      </c>
      <c r="S867" s="0" t="s">
        <v>53</v>
      </c>
      <c r="T867" s="0" t="s">
        <v>54</v>
      </c>
      <c r="U867" s="5" t="n">
        <v>30</v>
      </c>
      <c r="V867" s="0" t="s">
        <v>55</v>
      </c>
      <c r="W867" s="0" t="s">
        <v>155</v>
      </c>
      <c r="X867" s="0" t="s">
        <v>128</v>
      </c>
      <c r="Y867" s="0" t="s">
        <v>99</v>
      </c>
      <c r="Z867" s="0" t="s">
        <v>2324</v>
      </c>
      <c r="AA867" s="0" t="s">
        <v>79</v>
      </c>
      <c r="AB867" s="5" t="n">
        <v>25000</v>
      </c>
      <c r="AC867" s="5" t="n">
        <v>30000</v>
      </c>
      <c r="AD867" s="0" t="s">
        <v>63</v>
      </c>
      <c r="AE867" s="5" t="n">
        <v>0</v>
      </c>
      <c r="AF867" s="0" t="s">
        <v>60</v>
      </c>
      <c r="AG867" s="7" t="s">
        <v>2491</v>
      </c>
      <c r="AH867" s="0" t="s">
        <v>63</v>
      </c>
      <c r="AI867" s="0" t="s">
        <v>116</v>
      </c>
      <c r="AJ867" s="0" t="s">
        <v>2320</v>
      </c>
      <c r="AK867" s="0" t="s">
        <v>63</v>
      </c>
      <c r="AL867" s="0" t="s">
        <v>63</v>
      </c>
      <c r="AM867" s="0" t="s">
        <v>63</v>
      </c>
      <c r="AN867" s="0" t="s">
        <v>2321</v>
      </c>
      <c r="AO867" s="0" t="s">
        <v>63</v>
      </c>
    </row>
    <row r="868" customFormat="false" ht="15" hidden="false" customHeight="false" outlineLevel="0" collapsed="false">
      <c r="A868" s="0" t="s">
        <v>2017</v>
      </c>
      <c r="B868" s="2" t="s">
        <v>2488</v>
      </c>
      <c r="C868" s="0" t="s">
        <v>163</v>
      </c>
      <c r="D868" s="0" t="n">
        <v>8024655964</v>
      </c>
      <c r="E868" s="0" t="s">
        <v>85</v>
      </c>
      <c r="F868" s="0" t="s">
        <v>2319</v>
      </c>
      <c r="G868" s="0" t="s">
        <v>2018</v>
      </c>
      <c r="H868" s="0" t="s">
        <v>45</v>
      </c>
      <c r="I868" s="3" t="s">
        <v>2325</v>
      </c>
      <c r="J868" s="0" t="s">
        <v>2339</v>
      </c>
      <c r="K868" s="0" t="s">
        <v>48</v>
      </c>
      <c r="L868" s="4" t="n">
        <v>78412</v>
      </c>
      <c r="M868" s="0" t="s">
        <v>2333</v>
      </c>
      <c r="N868" s="0" t="s">
        <v>63</v>
      </c>
      <c r="O868" s="5" t="n">
        <v>5</v>
      </c>
      <c r="P868" s="0" t="n">
        <v>5.3</v>
      </c>
      <c r="Q868" s="0" t="s">
        <v>2334</v>
      </c>
      <c r="R868" s="0" t="s">
        <v>93</v>
      </c>
      <c r="S868" s="0" t="s">
        <v>2366</v>
      </c>
      <c r="T868" s="0" t="s">
        <v>95</v>
      </c>
      <c r="U868" s="5" t="n">
        <v>15</v>
      </c>
      <c r="V868" s="0" t="s">
        <v>2352</v>
      </c>
      <c r="W868" s="0" t="s">
        <v>155</v>
      </c>
      <c r="X868" s="0" t="s">
        <v>128</v>
      </c>
      <c r="Y868" s="0" t="s">
        <v>58</v>
      </c>
      <c r="Z868" s="0" t="s">
        <v>59</v>
      </c>
      <c r="AA868" s="0" t="s">
        <v>143</v>
      </c>
      <c r="AB868" s="5" t="n">
        <v>25000</v>
      </c>
      <c r="AC868" s="5" t="n">
        <v>20000</v>
      </c>
      <c r="AD868" s="0" t="s">
        <v>63</v>
      </c>
      <c r="AE868" s="5" t="n">
        <v>0</v>
      </c>
      <c r="AF868" s="0" t="s">
        <v>130</v>
      </c>
      <c r="AG868" s="7" t="s">
        <v>2330</v>
      </c>
      <c r="AH868" s="0" t="s">
        <v>50</v>
      </c>
      <c r="AI868" s="0" t="s">
        <v>2331</v>
      </c>
      <c r="AJ868" s="0" t="s">
        <v>2320</v>
      </c>
      <c r="AK868" s="0" t="s">
        <v>63</v>
      </c>
      <c r="AL868" s="0" t="s">
        <v>50</v>
      </c>
      <c r="AM868" s="0" t="s">
        <v>63</v>
      </c>
      <c r="AN868" s="0" t="s">
        <v>2321</v>
      </c>
      <c r="AO868" s="0" t="s">
        <v>50</v>
      </c>
    </row>
    <row r="869" customFormat="false" ht="15" hidden="false" customHeight="false" outlineLevel="0" collapsed="false">
      <c r="A869" s="0" t="s">
        <v>2019</v>
      </c>
      <c r="B869" s="2" t="s">
        <v>2398</v>
      </c>
      <c r="C869" s="0" t="s">
        <v>163</v>
      </c>
      <c r="D869" s="0" t="n">
        <v>8095420677</v>
      </c>
      <c r="E869" s="0" t="s">
        <v>43</v>
      </c>
      <c r="F869" s="0" t="s">
        <v>2315</v>
      </c>
      <c r="G869" s="0" t="s">
        <v>2020</v>
      </c>
      <c r="H869" s="0" t="s">
        <v>107</v>
      </c>
      <c r="I869" s="3" t="s">
        <v>2317</v>
      </c>
      <c r="J869" s="0" t="s">
        <v>2339</v>
      </c>
      <c r="K869" s="0" t="s">
        <v>48</v>
      </c>
      <c r="L869" s="4" t="n">
        <v>77258</v>
      </c>
      <c r="M869" s="0" t="s">
        <v>110</v>
      </c>
      <c r="N869" s="0" t="s">
        <v>50</v>
      </c>
      <c r="O869" s="5" t="n">
        <v>5</v>
      </c>
      <c r="P869" s="0" t="n">
        <v>2.9</v>
      </c>
      <c r="Q869" s="0" t="s">
        <v>2334</v>
      </c>
      <c r="R869" s="0" t="s">
        <v>93</v>
      </c>
      <c r="S869" s="0" t="s">
        <v>53</v>
      </c>
      <c r="T869" s="0" t="s">
        <v>95</v>
      </c>
      <c r="U869" s="5" t="n">
        <v>34.6875</v>
      </c>
      <c r="V869" s="0" t="s">
        <v>2336</v>
      </c>
      <c r="W869" s="0" t="s">
        <v>148</v>
      </c>
      <c r="X869" s="0" t="s">
        <v>128</v>
      </c>
      <c r="Y869" s="0" t="s">
        <v>99</v>
      </c>
      <c r="Z869" s="0" t="s">
        <v>2324</v>
      </c>
      <c r="AA869" s="0" t="s">
        <v>143</v>
      </c>
      <c r="AB869" s="5" t="n">
        <v>25000</v>
      </c>
      <c r="AC869" s="5" t="n">
        <v>30000</v>
      </c>
      <c r="AD869" s="0" t="s">
        <v>50</v>
      </c>
      <c r="AE869" s="5" t="n">
        <v>5000</v>
      </c>
      <c r="AF869" s="0" t="s">
        <v>60</v>
      </c>
      <c r="AG869" s="7" t="s">
        <v>2330</v>
      </c>
      <c r="AH869" s="0" t="s">
        <v>63</v>
      </c>
      <c r="AI869" s="0" t="s">
        <v>171</v>
      </c>
      <c r="AJ869" s="0" t="s">
        <v>2331</v>
      </c>
      <c r="AK869" s="0" t="s">
        <v>50</v>
      </c>
      <c r="AL869" s="0" t="s">
        <v>63</v>
      </c>
      <c r="AM869" s="0" t="s">
        <v>50</v>
      </c>
      <c r="AN869" s="0" t="s">
        <v>64</v>
      </c>
      <c r="AO869" s="0" t="s">
        <v>63</v>
      </c>
    </row>
    <row r="870" customFormat="false" ht="15" hidden="false" customHeight="false" outlineLevel="0" collapsed="false">
      <c r="A870" s="0" t="s">
        <v>2021</v>
      </c>
      <c r="B870" s="2" t="s">
        <v>1474</v>
      </c>
      <c r="C870" s="0" t="s">
        <v>163</v>
      </c>
      <c r="D870" s="0" t="n">
        <v>8032297072</v>
      </c>
      <c r="E870" s="0" t="s">
        <v>85</v>
      </c>
      <c r="F870" s="0" t="s">
        <v>2319</v>
      </c>
      <c r="G870" s="0" t="s">
        <v>2022</v>
      </c>
      <c r="H870" s="0" t="s">
        <v>69</v>
      </c>
      <c r="I870" s="3" t="s">
        <v>2342</v>
      </c>
      <c r="J870" s="0" t="s">
        <v>2341</v>
      </c>
      <c r="K870" s="0" t="s">
        <v>90</v>
      </c>
      <c r="L870" s="4" t="n">
        <v>106658</v>
      </c>
      <c r="M870" s="0" t="s">
        <v>2333</v>
      </c>
      <c r="N870" s="0" t="s">
        <v>63</v>
      </c>
      <c r="O870" s="5" t="n">
        <v>3.36792452830189</v>
      </c>
      <c r="P870" s="0" t="n">
        <v>4.8</v>
      </c>
      <c r="Q870" s="0" t="s">
        <v>51</v>
      </c>
      <c r="R870" s="0" t="s">
        <v>73</v>
      </c>
      <c r="S870" s="0" t="s">
        <v>53</v>
      </c>
      <c r="T870" s="0" t="s">
        <v>75</v>
      </c>
      <c r="U870" s="5" t="n">
        <v>30</v>
      </c>
      <c r="V870" s="0" t="s">
        <v>55</v>
      </c>
      <c r="W870" s="0" t="s">
        <v>155</v>
      </c>
      <c r="X870" s="0" t="s">
        <v>128</v>
      </c>
      <c r="Y870" s="0" t="s">
        <v>114</v>
      </c>
      <c r="Z870" s="0" t="s">
        <v>2326</v>
      </c>
      <c r="AA870" s="0" t="s">
        <v>79</v>
      </c>
      <c r="AB870" s="5" t="n">
        <v>40000</v>
      </c>
      <c r="AC870" s="5" t="n">
        <v>40000</v>
      </c>
      <c r="AD870" s="0" t="s">
        <v>63</v>
      </c>
      <c r="AE870" s="5" t="n">
        <v>5000</v>
      </c>
      <c r="AF870" s="0" t="s">
        <v>2338</v>
      </c>
      <c r="AG870" s="7" t="s">
        <v>860</v>
      </c>
      <c r="AH870" s="0" t="s">
        <v>2329</v>
      </c>
      <c r="AI870" s="0" t="s">
        <v>2331</v>
      </c>
      <c r="AJ870" s="0" t="s">
        <v>117</v>
      </c>
      <c r="AK870" s="0" t="s">
        <v>50</v>
      </c>
      <c r="AL870" s="0" t="s">
        <v>50</v>
      </c>
      <c r="AM870" s="0" t="s">
        <v>50</v>
      </c>
      <c r="AN870" s="0" t="s">
        <v>2318</v>
      </c>
      <c r="AO870" s="0" t="s">
        <v>50</v>
      </c>
    </row>
    <row r="871" customFormat="false" ht="15" hidden="false" customHeight="false" outlineLevel="0" collapsed="false">
      <c r="A871" s="0" t="s">
        <v>2023</v>
      </c>
      <c r="B871" s="2" t="s">
        <v>2422</v>
      </c>
      <c r="C871" s="0" t="s">
        <v>105</v>
      </c>
      <c r="D871" s="0" t="n">
        <v>8020711890</v>
      </c>
      <c r="E871" s="0" t="s">
        <v>67</v>
      </c>
      <c r="F871" s="0" t="s">
        <v>2316</v>
      </c>
      <c r="G871" s="0" t="s">
        <v>2024</v>
      </c>
      <c r="H871" s="0" t="s">
        <v>45</v>
      </c>
      <c r="I871" s="3" t="s">
        <v>2325</v>
      </c>
      <c r="J871" s="0" t="s">
        <v>2347</v>
      </c>
      <c r="K871" s="0" t="s">
        <v>109</v>
      </c>
      <c r="L871" s="4" t="n">
        <v>40557</v>
      </c>
      <c r="M871" s="0" t="s">
        <v>2333</v>
      </c>
      <c r="N871" s="0" t="s">
        <v>63</v>
      </c>
      <c r="O871" s="5" t="n">
        <v>2</v>
      </c>
      <c r="P871" s="0" t="n">
        <v>4.1</v>
      </c>
      <c r="Q871" s="0" t="s">
        <v>111</v>
      </c>
      <c r="R871" s="0" t="s">
        <v>52</v>
      </c>
      <c r="S871" s="0" t="s">
        <v>2340</v>
      </c>
      <c r="T871" s="0" t="s">
        <v>54</v>
      </c>
      <c r="U871" s="5" t="n">
        <v>45</v>
      </c>
      <c r="V871" s="0" t="s">
        <v>55</v>
      </c>
      <c r="W871" s="0" t="s">
        <v>2328</v>
      </c>
      <c r="X871" s="0" t="s">
        <v>98</v>
      </c>
      <c r="Y871" s="0" t="s">
        <v>58</v>
      </c>
      <c r="Z871" s="0" t="s">
        <v>59</v>
      </c>
      <c r="AA871" s="0" t="s">
        <v>143</v>
      </c>
      <c r="AB871" s="5" t="n">
        <v>40000</v>
      </c>
      <c r="AC871" s="5" t="n">
        <v>31205.3571428571</v>
      </c>
      <c r="AD871" s="0" t="s">
        <v>63</v>
      </c>
      <c r="AE871" s="5" t="n">
        <v>5000</v>
      </c>
      <c r="AF871" s="0" t="s">
        <v>60</v>
      </c>
      <c r="AG871" s="7" t="s">
        <v>2476</v>
      </c>
      <c r="AH871" s="0" t="s">
        <v>63</v>
      </c>
      <c r="AI871" s="0" t="s">
        <v>2331</v>
      </c>
      <c r="AJ871" s="0" t="s">
        <v>2331</v>
      </c>
      <c r="AK871" s="0" t="s">
        <v>63</v>
      </c>
      <c r="AL871" s="0" t="s">
        <v>63</v>
      </c>
      <c r="AM871" s="0" t="s">
        <v>2344</v>
      </c>
      <c r="AN871" s="0" t="s">
        <v>2321</v>
      </c>
      <c r="AO871" s="0" t="s">
        <v>50</v>
      </c>
    </row>
    <row r="872" customFormat="false" ht="15" hidden="false" customHeight="false" outlineLevel="0" collapsed="false">
      <c r="A872" s="0" t="s">
        <v>2025</v>
      </c>
      <c r="B872" s="2" t="s">
        <v>2479</v>
      </c>
      <c r="C872" s="0" t="s">
        <v>42</v>
      </c>
      <c r="D872" s="0" t="n">
        <v>8049342650</v>
      </c>
      <c r="E872" s="0" t="s">
        <v>139</v>
      </c>
      <c r="F872" s="0" t="s">
        <v>2323</v>
      </c>
      <c r="G872" s="0" t="s">
        <v>2026</v>
      </c>
      <c r="H872" s="0" t="s">
        <v>107</v>
      </c>
      <c r="I872" s="3" t="s">
        <v>2317</v>
      </c>
      <c r="J872" s="0" t="s">
        <v>47</v>
      </c>
      <c r="K872" s="0" t="s">
        <v>109</v>
      </c>
      <c r="L872" s="4" t="n">
        <v>84853</v>
      </c>
      <c r="M872" s="0" t="s">
        <v>2333</v>
      </c>
      <c r="N872" s="0" t="s">
        <v>63</v>
      </c>
      <c r="O872" s="5" t="n">
        <v>3</v>
      </c>
      <c r="P872" s="0" t="n">
        <v>5.1</v>
      </c>
      <c r="Q872" s="0" t="s">
        <v>111</v>
      </c>
      <c r="R872" s="0" t="s">
        <v>52</v>
      </c>
      <c r="S872" s="0" t="s">
        <v>2366</v>
      </c>
      <c r="T872" s="0" t="s">
        <v>147</v>
      </c>
      <c r="U872" s="5" t="n">
        <v>39</v>
      </c>
      <c r="V872" s="0" t="s">
        <v>112</v>
      </c>
      <c r="W872" s="0" t="s">
        <v>2328</v>
      </c>
      <c r="X872" s="0" t="s">
        <v>128</v>
      </c>
      <c r="Y872" s="0" t="s">
        <v>196</v>
      </c>
      <c r="Z872" s="0" t="s">
        <v>2324</v>
      </c>
      <c r="AA872" s="0" t="s">
        <v>79</v>
      </c>
      <c r="AB872" s="5" t="n">
        <v>20000</v>
      </c>
      <c r="AC872" s="5" t="n">
        <v>40000</v>
      </c>
      <c r="AD872" s="0" t="s">
        <v>63</v>
      </c>
      <c r="AE872" s="5" t="n">
        <v>0</v>
      </c>
      <c r="AF872" s="0" t="s">
        <v>60</v>
      </c>
      <c r="AG872" s="7" t="s">
        <v>2502</v>
      </c>
      <c r="AH872" s="0" t="s">
        <v>50</v>
      </c>
      <c r="AI872" s="0" t="s">
        <v>171</v>
      </c>
      <c r="AJ872" s="0" t="s">
        <v>2331</v>
      </c>
      <c r="AK872" s="0" t="s">
        <v>50</v>
      </c>
      <c r="AL872" s="0" t="s">
        <v>63</v>
      </c>
      <c r="AM872" s="0" t="s">
        <v>63</v>
      </c>
      <c r="AN872" s="0" t="s">
        <v>2321</v>
      </c>
      <c r="AO872" s="0" t="s">
        <v>50</v>
      </c>
    </row>
    <row r="873" customFormat="false" ht="15" hidden="false" customHeight="false" outlineLevel="0" collapsed="false">
      <c r="A873" s="0" t="s">
        <v>2027</v>
      </c>
      <c r="B873" s="2" t="s">
        <v>316</v>
      </c>
      <c r="C873" s="0" t="s">
        <v>163</v>
      </c>
      <c r="D873" s="0" t="n">
        <v>8021503407</v>
      </c>
      <c r="E873" s="0" t="s">
        <v>67</v>
      </c>
      <c r="F873" s="0" t="s">
        <v>2316</v>
      </c>
      <c r="G873" s="0" t="s">
        <v>2028</v>
      </c>
      <c r="H873" s="0" t="s">
        <v>87</v>
      </c>
      <c r="I873" s="3" t="s">
        <v>2317</v>
      </c>
      <c r="J873" s="0" t="s">
        <v>2341</v>
      </c>
      <c r="K873" s="0" t="s">
        <v>48</v>
      </c>
      <c r="L873" s="4" t="n">
        <v>67718</v>
      </c>
      <c r="M873" s="0" t="s">
        <v>110</v>
      </c>
      <c r="N873" s="0" t="s">
        <v>50</v>
      </c>
      <c r="O873" s="5" t="n">
        <v>2</v>
      </c>
      <c r="P873" s="0" t="n">
        <v>1.7</v>
      </c>
      <c r="Q873" s="0" t="s">
        <v>51</v>
      </c>
      <c r="R873" s="0" t="s">
        <v>73</v>
      </c>
      <c r="S873" s="0" t="s">
        <v>2340</v>
      </c>
      <c r="T873" s="0" t="s">
        <v>54</v>
      </c>
      <c r="U873" s="5" t="n">
        <v>60</v>
      </c>
      <c r="V873" s="0" t="s">
        <v>2336</v>
      </c>
      <c r="W873" s="0" t="s">
        <v>2328</v>
      </c>
      <c r="X873" s="0" t="s">
        <v>98</v>
      </c>
      <c r="Y873" s="0" t="s">
        <v>99</v>
      </c>
      <c r="Z873" s="0" t="s">
        <v>2329</v>
      </c>
      <c r="AA873" s="0" t="s">
        <v>149</v>
      </c>
      <c r="AB873" s="5" t="n">
        <v>40000</v>
      </c>
      <c r="AC873" s="5" t="n">
        <v>31126.1261261261</v>
      </c>
      <c r="AD873" s="0" t="s">
        <v>63</v>
      </c>
      <c r="AE873" s="5" t="n">
        <v>0</v>
      </c>
      <c r="AF873" s="0" t="s">
        <v>2338</v>
      </c>
      <c r="AG873" s="7" t="s">
        <v>431</v>
      </c>
      <c r="AH873" s="0" t="s">
        <v>2329</v>
      </c>
      <c r="AI873" s="0" t="s">
        <v>116</v>
      </c>
      <c r="AJ873" s="0" t="s">
        <v>2331</v>
      </c>
      <c r="AK873" s="0" t="s">
        <v>2344</v>
      </c>
      <c r="AL873" s="0" t="s">
        <v>63</v>
      </c>
      <c r="AM873" s="0" t="s">
        <v>63</v>
      </c>
      <c r="AN873" s="0" t="s">
        <v>64</v>
      </c>
      <c r="AO873" s="0" t="s">
        <v>50</v>
      </c>
    </row>
    <row r="874" customFormat="false" ht="15" hidden="false" customHeight="false" outlineLevel="0" collapsed="false">
      <c r="A874" s="0" t="s">
        <v>2029</v>
      </c>
      <c r="B874" s="2" t="s">
        <v>2452</v>
      </c>
      <c r="C874" s="0" t="s">
        <v>105</v>
      </c>
      <c r="D874" s="0" t="n">
        <v>8060697866</v>
      </c>
      <c r="E874" s="0" t="s">
        <v>43</v>
      </c>
      <c r="F874" s="0" t="s">
        <v>2315</v>
      </c>
      <c r="G874" s="0" t="s">
        <v>2030</v>
      </c>
      <c r="H874" s="0" t="s">
        <v>69</v>
      </c>
      <c r="I874" s="3" t="s">
        <v>87</v>
      </c>
      <c r="J874" s="0" t="s">
        <v>2341</v>
      </c>
      <c r="K874" s="0" t="s">
        <v>90</v>
      </c>
      <c r="L874" s="4" t="n">
        <v>76433</v>
      </c>
      <c r="M874" s="0" t="s">
        <v>110</v>
      </c>
      <c r="N874" s="0" t="s">
        <v>63</v>
      </c>
      <c r="O874" s="5" t="n">
        <v>4</v>
      </c>
      <c r="P874" s="0" t="n">
        <v>3.5</v>
      </c>
      <c r="Q874" s="0" t="s">
        <v>51</v>
      </c>
      <c r="R874" s="0" t="s">
        <v>93</v>
      </c>
      <c r="S874" s="0" t="s">
        <v>2366</v>
      </c>
      <c r="T874" s="0" t="s">
        <v>147</v>
      </c>
      <c r="U874" s="5" t="n">
        <v>45</v>
      </c>
      <c r="V874" s="0" t="s">
        <v>55</v>
      </c>
      <c r="W874" s="0" t="s">
        <v>148</v>
      </c>
      <c r="X874" s="0" t="s">
        <v>128</v>
      </c>
      <c r="Y874" s="0" t="s">
        <v>58</v>
      </c>
      <c r="Z874" s="0" t="s">
        <v>2329</v>
      </c>
      <c r="AA874" s="0" t="s">
        <v>79</v>
      </c>
      <c r="AB874" s="5" t="n">
        <v>40000</v>
      </c>
      <c r="AC874" s="5" t="n">
        <v>30000</v>
      </c>
      <c r="AD874" s="0" t="s">
        <v>50</v>
      </c>
      <c r="AE874" s="5" t="n">
        <v>5000</v>
      </c>
      <c r="AF874" s="0" t="s">
        <v>60</v>
      </c>
      <c r="AG874" s="7" t="s">
        <v>2330</v>
      </c>
      <c r="AH874" s="0" t="s">
        <v>50</v>
      </c>
      <c r="AI874" s="0" t="s">
        <v>2331</v>
      </c>
      <c r="AJ874" s="0" t="s">
        <v>2320</v>
      </c>
      <c r="AK874" s="0" t="s">
        <v>63</v>
      </c>
      <c r="AL874" s="0" t="s">
        <v>50</v>
      </c>
      <c r="AM874" s="0" t="s">
        <v>2344</v>
      </c>
      <c r="AN874" s="0" t="s">
        <v>2321</v>
      </c>
      <c r="AO874" s="0" t="s">
        <v>63</v>
      </c>
    </row>
    <row r="875" customFormat="false" ht="15" hidden="false" customHeight="false" outlineLevel="0" collapsed="false">
      <c r="A875" s="0" t="s">
        <v>2031</v>
      </c>
      <c r="B875" s="2" t="s">
        <v>1460</v>
      </c>
      <c r="C875" s="0" t="s">
        <v>42</v>
      </c>
      <c r="D875" s="0" t="n">
        <v>8026734478</v>
      </c>
      <c r="E875" s="0" t="s">
        <v>85</v>
      </c>
      <c r="F875" s="0" t="s">
        <v>2319</v>
      </c>
      <c r="G875" s="0" t="s">
        <v>2032</v>
      </c>
      <c r="H875" s="0" t="s">
        <v>69</v>
      </c>
      <c r="I875" s="3" t="s">
        <v>2322</v>
      </c>
      <c r="J875" s="0" t="s">
        <v>47</v>
      </c>
      <c r="K875" s="0" t="s">
        <v>90</v>
      </c>
      <c r="L875" s="4" t="n">
        <v>58994</v>
      </c>
      <c r="M875" s="0" t="s">
        <v>110</v>
      </c>
      <c r="N875" s="0" t="s">
        <v>50</v>
      </c>
      <c r="O875" s="5" t="n">
        <v>3.3921568627451</v>
      </c>
      <c r="P875" s="0" t="n">
        <v>5.7</v>
      </c>
      <c r="Q875" s="0" t="s">
        <v>92</v>
      </c>
      <c r="R875" s="0" t="s">
        <v>93</v>
      </c>
      <c r="S875" s="0" t="s">
        <v>53</v>
      </c>
      <c r="T875" s="0" t="s">
        <v>54</v>
      </c>
      <c r="U875" s="5" t="n">
        <v>45</v>
      </c>
      <c r="V875" s="0" t="s">
        <v>112</v>
      </c>
      <c r="W875" s="0" t="s">
        <v>2328</v>
      </c>
      <c r="X875" s="0" t="s">
        <v>128</v>
      </c>
      <c r="Y875" s="0" t="s">
        <v>58</v>
      </c>
      <c r="Z875" s="0" t="s">
        <v>177</v>
      </c>
      <c r="AA875" s="0" t="s">
        <v>79</v>
      </c>
      <c r="AB875" s="5" t="n">
        <v>40000</v>
      </c>
      <c r="AC875" s="5" t="n">
        <v>20000</v>
      </c>
      <c r="AD875" s="0" t="s">
        <v>50</v>
      </c>
      <c r="AE875" s="5" t="n">
        <v>0</v>
      </c>
      <c r="AF875" s="0" t="s">
        <v>184</v>
      </c>
      <c r="AG875" s="7" t="s">
        <v>2493</v>
      </c>
      <c r="AH875" s="0" t="s">
        <v>2329</v>
      </c>
      <c r="AI875" s="0" t="s">
        <v>2331</v>
      </c>
      <c r="AJ875" s="0" t="s">
        <v>2331</v>
      </c>
      <c r="AK875" s="0" t="s">
        <v>50</v>
      </c>
      <c r="AL875" s="0" t="s">
        <v>63</v>
      </c>
      <c r="AM875" s="0" t="s">
        <v>63</v>
      </c>
      <c r="AN875" s="0" t="s">
        <v>2321</v>
      </c>
      <c r="AO875" s="0" t="s">
        <v>50</v>
      </c>
    </row>
    <row r="876" customFormat="false" ht="15" hidden="false" customHeight="false" outlineLevel="0" collapsed="false">
      <c r="A876" s="0" t="s">
        <v>2033</v>
      </c>
      <c r="B876" s="2" t="s">
        <v>953</v>
      </c>
      <c r="C876" s="0" t="s">
        <v>105</v>
      </c>
      <c r="D876" s="0" t="n">
        <v>8047146394</v>
      </c>
      <c r="E876" s="0" t="s">
        <v>43</v>
      </c>
      <c r="F876" s="0" t="s">
        <v>2315</v>
      </c>
      <c r="G876" s="0" t="s">
        <v>2034</v>
      </c>
      <c r="H876" s="0" t="s">
        <v>107</v>
      </c>
      <c r="I876" s="3" t="s">
        <v>87</v>
      </c>
      <c r="J876" s="0" t="s">
        <v>2341</v>
      </c>
      <c r="K876" s="0" t="s">
        <v>90</v>
      </c>
      <c r="L876" s="4" t="n">
        <v>67365</v>
      </c>
      <c r="M876" s="0" t="s">
        <v>49</v>
      </c>
      <c r="N876" s="0" t="s">
        <v>63</v>
      </c>
      <c r="O876" s="5" t="n">
        <v>5</v>
      </c>
      <c r="P876" s="0" t="n">
        <v>4.7</v>
      </c>
      <c r="Q876" s="0" t="s">
        <v>92</v>
      </c>
      <c r="R876" s="0" t="s">
        <v>52</v>
      </c>
      <c r="S876" s="0" t="s">
        <v>2340</v>
      </c>
      <c r="T876" s="0" t="s">
        <v>147</v>
      </c>
      <c r="U876" s="5" t="n">
        <v>15</v>
      </c>
      <c r="V876" s="0" t="s">
        <v>55</v>
      </c>
      <c r="W876" s="0" t="s">
        <v>155</v>
      </c>
      <c r="X876" s="0" t="s">
        <v>78</v>
      </c>
      <c r="Y876" s="0" t="s">
        <v>58</v>
      </c>
      <c r="Z876" s="0" t="s">
        <v>2329</v>
      </c>
      <c r="AA876" s="0" t="s">
        <v>79</v>
      </c>
      <c r="AB876" s="5" t="n">
        <v>15000</v>
      </c>
      <c r="AC876" s="5" t="n">
        <v>30000</v>
      </c>
      <c r="AD876" s="0" t="s">
        <v>63</v>
      </c>
      <c r="AE876" s="5" t="n">
        <v>10000</v>
      </c>
      <c r="AF876" s="0" t="s">
        <v>130</v>
      </c>
      <c r="AG876" s="7" t="s">
        <v>2414</v>
      </c>
      <c r="AH876" s="0" t="s">
        <v>2329</v>
      </c>
      <c r="AI876" s="0" t="s">
        <v>2331</v>
      </c>
      <c r="AJ876" s="0" t="s">
        <v>2331</v>
      </c>
      <c r="AK876" s="0" t="s">
        <v>63</v>
      </c>
      <c r="AL876" s="0" t="s">
        <v>2344</v>
      </c>
      <c r="AM876" s="0" t="s">
        <v>2344</v>
      </c>
      <c r="AN876" s="0" t="s">
        <v>64</v>
      </c>
      <c r="AO876" s="0" t="s">
        <v>63</v>
      </c>
    </row>
    <row r="877" customFormat="false" ht="15" hidden="false" customHeight="false" outlineLevel="0" collapsed="false">
      <c r="A877" s="0" t="s">
        <v>2035</v>
      </c>
      <c r="B877" s="2" t="s">
        <v>468</v>
      </c>
      <c r="C877" s="0" t="s">
        <v>66</v>
      </c>
      <c r="D877" s="0" t="n">
        <v>8018625158</v>
      </c>
      <c r="E877" s="0" t="s">
        <v>43</v>
      </c>
      <c r="F877" s="0" t="s">
        <v>2315</v>
      </c>
      <c r="G877" s="0" t="s">
        <v>2036</v>
      </c>
      <c r="H877" s="0" t="s">
        <v>107</v>
      </c>
      <c r="I877" s="3" t="s">
        <v>2325</v>
      </c>
      <c r="J877" s="0" t="s">
        <v>2349</v>
      </c>
      <c r="K877" s="0" t="s">
        <v>71</v>
      </c>
      <c r="L877" s="4" t="n">
        <v>11511</v>
      </c>
      <c r="M877" s="0" t="s">
        <v>2333</v>
      </c>
      <c r="N877" s="0" t="s">
        <v>63</v>
      </c>
      <c r="O877" s="5" t="n">
        <v>3.37623762376238</v>
      </c>
      <c r="P877" s="0" t="n">
        <v>3.9</v>
      </c>
      <c r="Q877" s="0" t="s">
        <v>51</v>
      </c>
      <c r="R877" s="0" t="s">
        <v>52</v>
      </c>
      <c r="S877" s="0" t="s">
        <v>53</v>
      </c>
      <c r="T877" s="0" t="s">
        <v>95</v>
      </c>
      <c r="U877" s="5" t="n">
        <v>45</v>
      </c>
      <c r="V877" s="0" t="s">
        <v>2352</v>
      </c>
      <c r="W877" s="0" t="s">
        <v>148</v>
      </c>
      <c r="X877" s="0" t="s">
        <v>78</v>
      </c>
      <c r="Y877" s="0" t="s">
        <v>99</v>
      </c>
      <c r="Z877" s="0" t="s">
        <v>2329</v>
      </c>
      <c r="AA877" s="0" t="s">
        <v>2329</v>
      </c>
      <c r="AB877" s="5" t="n">
        <v>15000</v>
      </c>
      <c r="AC877" s="5" t="n">
        <v>40000</v>
      </c>
      <c r="AD877" s="0" t="s">
        <v>63</v>
      </c>
      <c r="AE877" s="5" t="n">
        <v>0</v>
      </c>
      <c r="AF877" s="0" t="s">
        <v>2338</v>
      </c>
      <c r="AG877" s="7" t="s">
        <v>1660</v>
      </c>
      <c r="AH877" s="0" t="s">
        <v>50</v>
      </c>
      <c r="AI877" s="0" t="s">
        <v>116</v>
      </c>
      <c r="AJ877" s="0" t="s">
        <v>2320</v>
      </c>
      <c r="AK877" s="0" t="s">
        <v>2344</v>
      </c>
      <c r="AL877" s="0" t="s">
        <v>50</v>
      </c>
      <c r="AM877" s="0" t="s">
        <v>50</v>
      </c>
      <c r="AN877" s="0" t="s">
        <v>2318</v>
      </c>
      <c r="AO877" s="0" t="s">
        <v>2359</v>
      </c>
    </row>
    <row r="878" customFormat="false" ht="15" hidden="false" customHeight="false" outlineLevel="0" collapsed="false">
      <c r="A878" s="0" t="s">
        <v>2037</v>
      </c>
      <c r="B878" s="2" t="s">
        <v>2390</v>
      </c>
      <c r="C878" s="0" t="s">
        <v>163</v>
      </c>
      <c r="D878" s="0" t="n">
        <v>8055922853</v>
      </c>
      <c r="E878" s="0" t="s">
        <v>122</v>
      </c>
      <c r="F878" s="0" t="s">
        <v>2316</v>
      </c>
      <c r="G878" s="0" t="s">
        <v>1771</v>
      </c>
      <c r="H878" s="0" t="s">
        <v>107</v>
      </c>
      <c r="I878" s="3" t="s">
        <v>2342</v>
      </c>
      <c r="J878" s="0" t="s">
        <v>2339</v>
      </c>
      <c r="K878" s="0" t="s">
        <v>48</v>
      </c>
      <c r="L878" s="4" t="n">
        <v>80660</v>
      </c>
      <c r="M878" s="0" t="s">
        <v>49</v>
      </c>
      <c r="N878" s="0" t="s">
        <v>63</v>
      </c>
      <c r="O878" s="5" t="n">
        <v>1</v>
      </c>
      <c r="P878" s="0" t="n">
        <v>3.7</v>
      </c>
      <c r="Q878" s="0" t="s">
        <v>111</v>
      </c>
      <c r="R878" s="0" t="s">
        <v>73</v>
      </c>
      <c r="S878" s="0" t="s">
        <v>2366</v>
      </c>
      <c r="T878" s="0" t="s">
        <v>75</v>
      </c>
      <c r="U878" s="5" t="n">
        <v>30</v>
      </c>
      <c r="V878" s="0" t="s">
        <v>55</v>
      </c>
      <c r="W878" s="0" t="s">
        <v>2328</v>
      </c>
      <c r="X878" s="0" t="s">
        <v>128</v>
      </c>
      <c r="Y878" s="0" t="s">
        <v>196</v>
      </c>
      <c r="Z878" s="0" t="s">
        <v>2324</v>
      </c>
      <c r="AA878" s="0" t="s">
        <v>79</v>
      </c>
      <c r="AB878" s="5" t="n">
        <v>25000</v>
      </c>
      <c r="AC878" s="5" t="n">
        <v>35000</v>
      </c>
      <c r="AD878" s="0" t="s">
        <v>63</v>
      </c>
      <c r="AE878" s="5" t="n">
        <v>5000</v>
      </c>
      <c r="AF878" s="0" t="s">
        <v>130</v>
      </c>
      <c r="AG878" s="7" t="s">
        <v>2460</v>
      </c>
      <c r="AH878" s="0" t="s">
        <v>50</v>
      </c>
      <c r="AI878" s="0" t="s">
        <v>2331</v>
      </c>
      <c r="AJ878" s="0" t="s">
        <v>2320</v>
      </c>
      <c r="AK878" s="0" t="s">
        <v>2344</v>
      </c>
      <c r="AL878" s="0" t="s">
        <v>50</v>
      </c>
      <c r="AM878" s="0" t="s">
        <v>63</v>
      </c>
      <c r="AN878" s="0" t="s">
        <v>2318</v>
      </c>
      <c r="AO878" s="0" t="s">
        <v>50</v>
      </c>
    </row>
    <row r="879" customFormat="false" ht="15" hidden="false" customHeight="false" outlineLevel="0" collapsed="false">
      <c r="A879" s="0" t="s">
        <v>2038</v>
      </c>
      <c r="B879" s="2" t="s">
        <v>1714</v>
      </c>
      <c r="C879" s="0" t="s">
        <v>105</v>
      </c>
      <c r="D879" s="0" t="n">
        <v>8013981790</v>
      </c>
      <c r="E879" s="0" t="s">
        <v>43</v>
      </c>
      <c r="F879" s="0" t="s">
        <v>2315</v>
      </c>
      <c r="G879" s="0" t="s">
        <v>2039</v>
      </c>
      <c r="H879" s="0" t="s">
        <v>87</v>
      </c>
      <c r="I879" s="3" t="s">
        <v>2317</v>
      </c>
      <c r="J879" s="0" t="s">
        <v>189</v>
      </c>
      <c r="K879" s="0" t="s">
        <v>90</v>
      </c>
      <c r="L879" s="4" t="n">
        <v>32619</v>
      </c>
      <c r="M879" s="0" t="s">
        <v>49</v>
      </c>
      <c r="N879" s="0" t="s">
        <v>50</v>
      </c>
      <c r="O879" s="5" t="n">
        <v>5</v>
      </c>
      <c r="P879" s="0" t="n">
        <v>4.9</v>
      </c>
      <c r="Q879" s="0" t="s">
        <v>92</v>
      </c>
      <c r="R879" s="0" t="s">
        <v>73</v>
      </c>
      <c r="S879" s="0" t="s">
        <v>2335</v>
      </c>
      <c r="T879" s="0" t="s">
        <v>75</v>
      </c>
      <c r="U879" s="5" t="n">
        <v>41</v>
      </c>
      <c r="V879" s="0" t="s">
        <v>2352</v>
      </c>
      <c r="W879" s="0" t="s">
        <v>2328</v>
      </c>
      <c r="X879" s="0" t="s">
        <v>98</v>
      </c>
      <c r="Y879" s="0" t="s">
        <v>114</v>
      </c>
      <c r="Z879" s="0" t="s">
        <v>177</v>
      </c>
      <c r="AA879" s="0" t="s">
        <v>79</v>
      </c>
      <c r="AB879" s="5" t="n">
        <v>25833.3333333333</v>
      </c>
      <c r="AC879" s="5" t="n">
        <v>20000</v>
      </c>
      <c r="AD879" s="0" t="s">
        <v>63</v>
      </c>
      <c r="AE879" s="5" t="n">
        <v>5000</v>
      </c>
      <c r="AF879" s="0" t="s">
        <v>60</v>
      </c>
      <c r="AG879" s="7" t="s">
        <v>2385</v>
      </c>
      <c r="AH879" s="0" t="s">
        <v>63</v>
      </c>
      <c r="AI879" s="0" t="s">
        <v>2331</v>
      </c>
      <c r="AJ879" s="0" t="s">
        <v>172</v>
      </c>
      <c r="AK879" s="0" t="s">
        <v>63</v>
      </c>
      <c r="AL879" s="0" t="s">
        <v>50</v>
      </c>
      <c r="AM879" s="0" t="s">
        <v>63</v>
      </c>
      <c r="AN879" s="0" t="s">
        <v>2321</v>
      </c>
      <c r="AO879" s="0" t="s">
        <v>63</v>
      </c>
    </row>
    <row r="880" customFormat="false" ht="15" hidden="false" customHeight="false" outlineLevel="0" collapsed="false">
      <c r="A880" s="0" t="s">
        <v>2040</v>
      </c>
      <c r="B880" s="2" t="s">
        <v>2411</v>
      </c>
      <c r="C880" s="0" t="s">
        <v>163</v>
      </c>
      <c r="D880" s="0" t="n">
        <v>8088604129</v>
      </c>
      <c r="E880" s="0" t="s">
        <v>139</v>
      </c>
      <c r="F880" s="0" t="s">
        <v>2323</v>
      </c>
      <c r="G880" s="0" t="s">
        <v>2041</v>
      </c>
      <c r="H880" s="0" t="s">
        <v>107</v>
      </c>
      <c r="I880" s="3" t="s">
        <v>2322</v>
      </c>
      <c r="J880" s="0" t="s">
        <v>189</v>
      </c>
      <c r="K880" s="0" t="s">
        <v>90</v>
      </c>
      <c r="L880" s="4" t="n">
        <v>18089</v>
      </c>
      <c r="M880" s="0" t="s">
        <v>2333</v>
      </c>
      <c r="N880" s="0" t="s">
        <v>63</v>
      </c>
      <c r="O880" s="5" t="n">
        <v>4</v>
      </c>
      <c r="P880" s="0" t="n">
        <v>4.6</v>
      </c>
      <c r="Q880" s="0" t="s">
        <v>92</v>
      </c>
      <c r="R880" s="0" t="s">
        <v>73</v>
      </c>
      <c r="S880" s="0" t="s">
        <v>2340</v>
      </c>
      <c r="T880" s="0" t="s">
        <v>2353</v>
      </c>
      <c r="U880" s="5" t="n">
        <v>60</v>
      </c>
      <c r="V880" s="0" t="s">
        <v>112</v>
      </c>
      <c r="W880" s="0" t="s">
        <v>155</v>
      </c>
      <c r="X880" s="0" t="s">
        <v>98</v>
      </c>
      <c r="Y880" s="0" t="s">
        <v>58</v>
      </c>
      <c r="Z880" s="0" t="s">
        <v>177</v>
      </c>
      <c r="AA880" s="0" t="s">
        <v>143</v>
      </c>
      <c r="AB880" s="5" t="n">
        <v>20000</v>
      </c>
      <c r="AC880" s="5" t="n">
        <v>20000</v>
      </c>
      <c r="AD880" s="0" t="s">
        <v>50</v>
      </c>
      <c r="AE880" s="5" t="n">
        <v>10000</v>
      </c>
      <c r="AF880" s="0" t="s">
        <v>60</v>
      </c>
      <c r="AG880" s="7" t="s">
        <v>2042</v>
      </c>
      <c r="AH880" s="0" t="s">
        <v>50</v>
      </c>
      <c r="AI880" s="0" t="s">
        <v>2331</v>
      </c>
      <c r="AJ880" s="0" t="s">
        <v>2331</v>
      </c>
      <c r="AK880" s="0" t="s">
        <v>50</v>
      </c>
      <c r="AL880" s="0" t="s">
        <v>50</v>
      </c>
      <c r="AM880" s="0" t="s">
        <v>63</v>
      </c>
      <c r="AN880" s="0" t="s">
        <v>64</v>
      </c>
      <c r="AO880" s="0" t="s">
        <v>50</v>
      </c>
    </row>
    <row r="881" customFormat="false" ht="15" hidden="false" customHeight="false" outlineLevel="0" collapsed="false">
      <c r="A881" s="0" t="s">
        <v>2043</v>
      </c>
      <c r="B881" s="2" t="s">
        <v>2490</v>
      </c>
      <c r="C881" s="0" t="s">
        <v>66</v>
      </c>
      <c r="D881" s="0" t="n">
        <v>8041511655</v>
      </c>
      <c r="E881" s="0" t="s">
        <v>43</v>
      </c>
      <c r="F881" s="0" t="s">
        <v>2315</v>
      </c>
      <c r="G881" s="0" t="s">
        <v>2044</v>
      </c>
      <c r="H881" s="0" t="s">
        <v>45</v>
      </c>
      <c r="I881" s="3" t="s">
        <v>87</v>
      </c>
      <c r="J881" s="0" t="s">
        <v>2349</v>
      </c>
      <c r="K881" s="0" t="s">
        <v>90</v>
      </c>
      <c r="L881" s="4" t="n">
        <v>116413</v>
      </c>
      <c r="M881" s="0" t="s">
        <v>2333</v>
      </c>
      <c r="N881" s="0" t="s">
        <v>63</v>
      </c>
      <c r="O881" s="5" t="n">
        <v>3</v>
      </c>
      <c r="P881" s="0" t="n">
        <v>4.7</v>
      </c>
      <c r="Q881" s="0" t="s">
        <v>125</v>
      </c>
      <c r="R881" s="0" t="s">
        <v>52</v>
      </c>
      <c r="S881" s="0" t="s">
        <v>2340</v>
      </c>
      <c r="T881" s="0" t="s">
        <v>2343</v>
      </c>
      <c r="U881" s="5" t="n">
        <v>60</v>
      </c>
      <c r="V881" s="0" t="s">
        <v>112</v>
      </c>
      <c r="W881" s="0" t="s">
        <v>2328</v>
      </c>
      <c r="X881" s="0" t="s">
        <v>78</v>
      </c>
      <c r="Y881" s="0" t="s">
        <v>196</v>
      </c>
      <c r="Z881" s="0" t="s">
        <v>2329</v>
      </c>
      <c r="AA881" s="0" t="s">
        <v>2329</v>
      </c>
      <c r="AB881" s="5" t="n">
        <v>20000</v>
      </c>
      <c r="AC881" s="5" t="n">
        <v>31346.1538461538</v>
      </c>
      <c r="AD881" s="0" t="s">
        <v>50</v>
      </c>
      <c r="AE881" s="5" t="n">
        <v>0</v>
      </c>
      <c r="AF881" s="0" t="s">
        <v>2338</v>
      </c>
      <c r="AG881" s="7" t="s">
        <v>2371</v>
      </c>
      <c r="AH881" s="0" t="s">
        <v>63</v>
      </c>
      <c r="AI881" s="0" t="s">
        <v>2331</v>
      </c>
      <c r="AJ881" s="0" t="s">
        <v>2320</v>
      </c>
      <c r="AK881" s="0" t="s">
        <v>63</v>
      </c>
      <c r="AL881" s="0" t="s">
        <v>63</v>
      </c>
      <c r="AM881" s="0" t="s">
        <v>63</v>
      </c>
      <c r="AN881" s="0" t="s">
        <v>2318</v>
      </c>
      <c r="AO881" s="0" t="s">
        <v>50</v>
      </c>
    </row>
    <row r="882" customFormat="false" ht="15" hidden="false" customHeight="false" outlineLevel="0" collapsed="false">
      <c r="A882" s="0" t="s">
        <v>2045</v>
      </c>
      <c r="B882" s="2" t="s">
        <v>2412</v>
      </c>
      <c r="C882" s="0" t="s">
        <v>105</v>
      </c>
      <c r="D882" s="0" t="n">
        <v>8074142265</v>
      </c>
      <c r="E882" s="0" t="s">
        <v>43</v>
      </c>
      <c r="F882" s="0" t="s">
        <v>2315</v>
      </c>
      <c r="G882" s="0" t="s">
        <v>2046</v>
      </c>
      <c r="H882" s="0" t="s">
        <v>45</v>
      </c>
      <c r="I882" s="3" t="s">
        <v>2342</v>
      </c>
      <c r="J882" s="0" t="s">
        <v>2339</v>
      </c>
      <c r="K882" s="0" t="s">
        <v>90</v>
      </c>
      <c r="L882" s="4" t="n">
        <v>13367</v>
      </c>
      <c r="M882" s="0" t="s">
        <v>49</v>
      </c>
      <c r="N882" s="0" t="s">
        <v>63</v>
      </c>
      <c r="O882" s="5" t="n">
        <v>3.38144329896907</v>
      </c>
      <c r="P882" s="0" t="n">
        <v>4.1</v>
      </c>
      <c r="Q882" s="0" t="s">
        <v>2334</v>
      </c>
      <c r="R882" s="0" t="s">
        <v>73</v>
      </c>
      <c r="S882" s="0" t="s">
        <v>53</v>
      </c>
      <c r="T882" s="0" t="s">
        <v>2343</v>
      </c>
      <c r="U882" s="5" t="n">
        <v>15</v>
      </c>
      <c r="V882" s="0" t="s">
        <v>96</v>
      </c>
      <c r="W882" s="0" t="s">
        <v>2328</v>
      </c>
      <c r="X882" s="0" t="s">
        <v>98</v>
      </c>
      <c r="Y882" s="0" t="s">
        <v>196</v>
      </c>
      <c r="Z882" s="0" t="s">
        <v>2329</v>
      </c>
      <c r="AA882" s="0" t="s">
        <v>2329</v>
      </c>
      <c r="AB882" s="5" t="n">
        <v>15000</v>
      </c>
      <c r="AC882" s="5" t="n">
        <v>40000</v>
      </c>
      <c r="AD882" s="0" t="s">
        <v>50</v>
      </c>
      <c r="AE882" s="5" t="n">
        <v>0</v>
      </c>
      <c r="AF882" s="0" t="s">
        <v>2338</v>
      </c>
      <c r="AG882" s="7" t="s">
        <v>2330</v>
      </c>
      <c r="AH882" s="0" t="s">
        <v>63</v>
      </c>
      <c r="AI882" s="0" t="s">
        <v>2331</v>
      </c>
      <c r="AJ882" s="0" t="s">
        <v>117</v>
      </c>
      <c r="AK882" s="0" t="s">
        <v>50</v>
      </c>
      <c r="AL882" s="0" t="s">
        <v>50</v>
      </c>
      <c r="AM882" s="0" t="s">
        <v>63</v>
      </c>
      <c r="AN882" s="0" t="s">
        <v>64</v>
      </c>
      <c r="AO882" s="0" t="s">
        <v>63</v>
      </c>
    </row>
    <row r="883" customFormat="false" ht="15" hidden="false" customHeight="false" outlineLevel="0" collapsed="false">
      <c r="A883" s="0" t="s">
        <v>2047</v>
      </c>
      <c r="B883" s="2" t="s">
        <v>666</v>
      </c>
      <c r="C883" s="0" t="s">
        <v>42</v>
      </c>
      <c r="D883" s="0" t="n">
        <v>8075121683</v>
      </c>
      <c r="E883" s="0" t="s">
        <v>122</v>
      </c>
      <c r="F883" s="0" t="s">
        <v>2316</v>
      </c>
      <c r="G883" s="0" t="s">
        <v>2048</v>
      </c>
      <c r="H883" s="0" t="s">
        <v>107</v>
      </c>
      <c r="I883" s="3" t="s">
        <v>2342</v>
      </c>
      <c r="J883" s="0" t="s">
        <v>2349</v>
      </c>
      <c r="K883" s="0" t="s">
        <v>48</v>
      </c>
      <c r="L883" s="4" t="n">
        <v>44013</v>
      </c>
      <c r="M883" s="0" t="s">
        <v>110</v>
      </c>
      <c r="N883" s="0" t="s">
        <v>63</v>
      </c>
      <c r="O883" s="5" t="n">
        <v>3.38144329896907</v>
      </c>
      <c r="P883" s="0" t="n">
        <v>2.9</v>
      </c>
      <c r="Q883" s="0" t="s">
        <v>125</v>
      </c>
      <c r="R883" s="0" t="s">
        <v>93</v>
      </c>
      <c r="S883" s="0" t="s">
        <v>2340</v>
      </c>
      <c r="T883" s="0" t="s">
        <v>54</v>
      </c>
      <c r="U883" s="5" t="n">
        <v>45</v>
      </c>
      <c r="V883" s="0" t="s">
        <v>96</v>
      </c>
      <c r="W883" s="0" t="s">
        <v>155</v>
      </c>
      <c r="X883" s="0" t="s">
        <v>128</v>
      </c>
      <c r="Y883" s="0" t="s">
        <v>114</v>
      </c>
      <c r="Z883" s="0" t="s">
        <v>2329</v>
      </c>
      <c r="AA883" s="0" t="s">
        <v>149</v>
      </c>
      <c r="AB883" s="5" t="n">
        <v>30000</v>
      </c>
      <c r="AC883" s="5" t="n">
        <v>40000</v>
      </c>
      <c r="AD883" s="0" t="s">
        <v>50</v>
      </c>
      <c r="AE883" s="5" t="n">
        <v>0</v>
      </c>
      <c r="AF883" s="0" t="s">
        <v>184</v>
      </c>
      <c r="AG883" s="7" t="s">
        <v>2330</v>
      </c>
      <c r="AH883" s="0" t="s">
        <v>50</v>
      </c>
      <c r="AI883" s="0" t="s">
        <v>2331</v>
      </c>
      <c r="AJ883" s="0" t="s">
        <v>117</v>
      </c>
      <c r="AK883" s="0" t="s">
        <v>50</v>
      </c>
      <c r="AL883" s="0" t="s">
        <v>2344</v>
      </c>
      <c r="AM883" s="0" t="s">
        <v>2344</v>
      </c>
      <c r="AN883" s="0" t="s">
        <v>64</v>
      </c>
      <c r="AO883" s="0" t="s">
        <v>50</v>
      </c>
    </row>
    <row r="884" customFormat="false" ht="15" hidden="false" customHeight="false" outlineLevel="0" collapsed="false">
      <c r="A884" s="0" t="s">
        <v>2049</v>
      </c>
      <c r="B884" s="2" t="s">
        <v>2470</v>
      </c>
      <c r="C884" s="0" t="s">
        <v>163</v>
      </c>
      <c r="D884" s="0" t="n">
        <v>8023530374</v>
      </c>
      <c r="E884" s="0" t="s">
        <v>122</v>
      </c>
      <c r="F884" s="0" t="s">
        <v>2316</v>
      </c>
      <c r="G884" s="0" t="s">
        <v>2050</v>
      </c>
      <c r="H884" s="0" t="s">
        <v>134</v>
      </c>
      <c r="I884" s="3" t="s">
        <v>87</v>
      </c>
      <c r="J884" s="0" t="s">
        <v>189</v>
      </c>
      <c r="K884" s="0" t="s">
        <v>90</v>
      </c>
      <c r="L884" s="4" t="n">
        <v>80791</v>
      </c>
      <c r="M884" s="0" t="s">
        <v>2333</v>
      </c>
      <c r="N884" s="0" t="s">
        <v>50</v>
      </c>
      <c r="O884" s="5" t="n">
        <v>3.38144329896907</v>
      </c>
      <c r="P884" s="0" t="n">
        <v>3.7</v>
      </c>
      <c r="Q884" s="0" t="s">
        <v>125</v>
      </c>
      <c r="R884" s="0" t="s">
        <v>93</v>
      </c>
      <c r="S884" s="0" t="s">
        <v>2340</v>
      </c>
      <c r="T884" s="0" t="s">
        <v>75</v>
      </c>
      <c r="U884" s="5" t="n">
        <v>30</v>
      </c>
      <c r="V884" s="0" t="s">
        <v>2336</v>
      </c>
      <c r="W884" s="0" t="s">
        <v>148</v>
      </c>
      <c r="X884" s="0" t="s">
        <v>98</v>
      </c>
      <c r="Y884" s="0" t="s">
        <v>196</v>
      </c>
      <c r="Z884" s="0" t="s">
        <v>2329</v>
      </c>
      <c r="AA884" s="0" t="s">
        <v>2329</v>
      </c>
      <c r="AB884" s="5" t="n">
        <v>30000</v>
      </c>
      <c r="AC884" s="5" t="n">
        <v>30000</v>
      </c>
      <c r="AD884" s="0" t="s">
        <v>63</v>
      </c>
      <c r="AE884" s="5" t="n">
        <v>5000</v>
      </c>
      <c r="AF884" s="0" t="s">
        <v>60</v>
      </c>
      <c r="AG884" s="7" t="s">
        <v>2330</v>
      </c>
      <c r="AH884" s="0" t="s">
        <v>2329</v>
      </c>
      <c r="AI884" s="0" t="s">
        <v>171</v>
      </c>
      <c r="AJ884" s="0" t="s">
        <v>172</v>
      </c>
      <c r="AK884" s="0" t="s">
        <v>50</v>
      </c>
      <c r="AL884" s="0" t="s">
        <v>63</v>
      </c>
      <c r="AM884" s="0" t="s">
        <v>2344</v>
      </c>
      <c r="AN884" s="0" t="s">
        <v>2318</v>
      </c>
      <c r="AO884" s="0" t="s">
        <v>50</v>
      </c>
    </row>
    <row r="885" customFormat="false" ht="15" hidden="false" customHeight="false" outlineLevel="0" collapsed="false">
      <c r="A885" s="0" t="s">
        <v>2051</v>
      </c>
      <c r="B885" s="2" t="s">
        <v>737</v>
      </c>
      <c r="C885" s="0" t="s">
        <v>163</v>
      </c>
      <c r="D885" s="0" t="n">
        <v>8011275951</v>
      </c>
      <c r="E885" s="0" t="s">
        <v>67</v>
      </c>
      <c r="F885" s="0" t="s">
        <v>2316</v>
      </c>
      <c r="G885" s="0" t="s">
        <v>2052</v>
      </c>
      <c r="H885" s="0" t="s">
        <v>134</v>
      </c>
      <c r="I885" s="3" t="s">
        <v>2325</v>
      </c>
      <c r="J885" s="0" t="s">
        <v>2341</v>
      </c>
      <c r="K885" s="0" t="s">
        <v>48</v>
      </c>
      <c r="L885" s="4" t="n">
        <v>16137</v>
      </c>
      <c r="M885" s="0" t="s">
        <v>2333</v>
      </c>
      <c r="N885" s="0" t="s">
        <v>63</v>
      </c>
      <c r="O885" s="5" t="n">
        <v>1</v>
      </c>
      <c r="P885" s="0" t="n">
        <v>4.7</v>
      </c>
      <c r="Q885" s="0" t="s">
        <v>51</v>
      </c>
      <c r="R885" s="0" t="s">
        <v>73</v>
      </c>
      <c r="S885" s="0" t="s">
        <v>2340</v>
      </c>
      <c r="T885" s="0" t="s">
        <v>2343</v>
      </c>
      <c r="U885" s="5" t="n">
        <v>15</v>
      </c>
      <c r="V885" s="0" t="s">
        <v>55</v>
      </c>
      <c r="W885" s="0" t="s">
        <v>2337</v>
      </c>
      <c r="X885" s="0" t="s">
        <v>98</v>
      </c>
      <c r="Y885" s="0" t="s">
        <v>58</v>
      </c>
      <c r="Z885" s="0" t="s">
        <v>59</v>
      </c>
      <c r="AA885" s="0" t="s">
        <v>2329</v>
      </c>
      <c r="AB885" s="5" t="n">
        <v>27954.5454545455</v>
      </c>
      <c r="AC885" s="5" t="n">
        <v>20000</v>
      </c>
      <c r="AD885" s="0" t="s">
        <v>50</v>
      </c>
      <c r="AE885" s="5" t="n">
        <v>10000</v>
      </c>
      <c r="AF885" s="0" t="s">
        <v>184</v>
      </c>
      <c r="AG885" s="7" t="s">
        <v>1063</v>
      </c>
      <c r="AH885" s="0" t="s">
        <v>63</v>
      </c>
      <c r="AI885" s="0" t="s">
        <v>116</v>
      </c>
      <c r="AJ885" s="0" t="s">
        <v>2331</v>
      </c>
      <c r="AK885" s="0" t="s">
        <v>2344</v>
      </c>
      <c r="AL885" s="0" t="s">
        <v>63</v>
      </c>
      <c r="AM885" s="0" t="s">
        <v>63</v>
      </c>
      <c r="AN885" s="0" t="s">
        <v>2321</v>
      </c>
      <c r="AO885" s="0" t="s">
        <v>50</v>
      </c>
    </row>
    <row r="886" customFormat="false" ht="15" hidden="false" customHeight="false" outlineLevel="0" collapsed="false">
      <c r="A886" s="0" t="s">
        <v>2053</v>
      </c>
      <c r="B886" s="2" t="s">
        <v>2390</v>
      </c>
      <c r="C886" s="0" t="s">
        <v>66</v>
      </c>
      <c r="D886" s="0" t="n">
        <v>8018194860</v>
      </c>
      <c r="E886" s="0" t="s">
        <v>67</v>
      </c>
      <c r="F886" s="0" t="s">
        <v>2316</v>
      </c>
      <c r="G886" s="0" t="s">
        <v>2054</v>
      </c>
      <c r="H886" s="0" t="s">
        <v>69</v>
      </c>
      <c r="I886" s="3" t="s">
        <v>2322</v>
      </c>
      <c r="J886" s="0" t="s">
        <v>2349</v>
      </c>
      <c r="K886" s="0" t="s">
        <v>48</v>
      </c>
      <c r="L886" s="4" t="n">
        <v>64891</v>
      </c>
      <c r="M886" s="0" t="s">
        <v>49</v>
      </c>
      <c r="N886" s="0" t="s">
        <v>63</v>
      </c>
      <c r="O886" s="5" t="n">
        <v>4</v>
      </c>
      <c r="P886" s="0" t="n">
        <v>2.5</v>
      </c>
      <c r="Q886" s="0" t="s">
        <v>111</v>
      </c>
      <c r="R886" s="0" t="s">
        <v>52</v>
      </c>
      <c r="S886" s="0" t="s">
        <v>53</v>
      </c>
      <c r="T886" s="0" t="s">
        <v>2353</v>
      </c>
      <c r="U886" s="5" t="n">
        <v>30</v>
      </c>
      <c r="V886" s="0" t="s">
        <v>2336</v>
      </c>
      <c r="W886" s="0" t="s">
        <v>2337</v>
      </c>
      <c r="X886" s="0" t="s">
        <v>98</v>
      </c>
      <c r="Y886" s="0" t="s">
        <v>196</v>
      </c>
      <c r="Z886" s="0" t="s">
        <v>2324</v>
      </c>
      <c r="AA886" s="0" t="s">
        <v>79</v>
      </c>
      <c r="AB886" s="5" t="n">
        <v>40000</v>
      </c>
      <c r="AC886" s="5" t="n">
        <v>35000</v>
      </c>
      <c r="AD886" s="0" t="s">
        <v>50</v>
      </c>
      <c r="AE886" s="5" t="n">
        <v>0</v>
      </c>
      <c r="AF886" s="0" t="s">
        <v>2338</v>
      </c>
      <c r="AG886" s="7" t="s">
        <v>179</v>
      </c>
      <c r="AH886" s="0" t="s">
        <v>63</v>
      </c>
      <c r="AI886" s="0" t="s">
        <v>2331</v>
      </c>
      <c r="AJ886" s="0" t="s">
        <v>117</v>
      </c>
      <c r="AK886" s="0" t="s">
        <v>50</v>
      </c>
      <c r="AL886" s="0" t="s">
        <v>63</v>
      </c>
      <c r="AM886" s="0" t="s">
        <v>63</v>
      </c>
      <c r="AN886" s="0" t="s">
        <v>64</v>
      </c>
      <c r="AO886" s="0" t="s">
        <v>50</v>
      </c>
    </row>
    <row r="887" customFormat="false" ht="15" hidden="false" customHeight="false" outlineLevel="0" collapsed="false">
      <c r="A887" s="0" t="s">
        <v>2055</v>
      </c>
      <c r="B887" s="2" t="s">
        <v>40</v>
      </c>
      <c r="C887" s="0" t="s">
        <v>163</v>
      </c>
      <c r="D887" s="0" t="n">
        <v>8045712753</v>
      </c>
      <c r="E887" s="0" t="s">
        <v>43</v>
      </c>
      <c r="F887" s="0" t="s">
        <v>2315</v>
      </c>
      <c r="G887" s="0" t="s">
        <v>2056</v>
      </c>
      <c r="H887" s="0" t="s">
        <v>69</v>
      </c>
      <c r="I887" s="3" t="s">
        <v>2325</v>
      </c>
      <c r="J887" s="0" t="s">
        <v>2339</v>
      </c>
      <c r="K887" s="0" t="s">
        <v>109</v>
      </c>
      <c r="L887" s="4" t="n">
        <v>72168</v>
      </c>
      <c r="M887" s="0" t="s">
        <v>2333</v>
      </c>
      <c r="N887" s="0" t="s">
        <v>63</v>
      </c>
      <c r="O887" s="5" t="n">
        <v>4</v>
      </c>
      <c r="P887" s="0" t="n">
        <v>5.9</v>
      </c>
      <c r="Q887" s="0" t="s">
        <v>111</v>
      </c>
      <c r="R887" s="0" t="s">
        <v>52</v>
      </c>
      <c r="S887" s="0" t="s">
        <v>2366</v>
      </c>
      <c r="T887" s="0" t="s">
        <v>2353</v>
      </c>
      <c r="U887" s="5" t="n">
        <v>45</v>
      </c>
      <c r="V887" s="0" t="s">
        <v>96</v>
      </c>
      <c r="W887" s="0" t="s">
        <v>155</v>
      </c>
      <c r="X887" s="0" t="s">
        <v>98</v>
      </c>
      <c r="Y887" s="0" t="s">
        <v>196</v>
      </c>
      <c r="Z887" s="0" t="s">
        <v>2326</v>
      </c>
      <c r="AA887" s="0" t="s">
        <v>149</v>
      </c>
      <c r="AB887" s="5" t="n">
        <v>23000</v>
      </c>
      <c r="AC887" s="5" t="n">
        <v>35000</v>
      </c>
      <c r="AD887" s="0" t="s">
        <v>50</v>
      </c>
      <c r="AE887" s="5" t="n">
        <v>10000</v>
      </c>
      <c r="AF887" s="0" t="s">
        <v>60</v>
      </c>
      <c r="AG887" s="7" t="s">
        <v>959</v>
      </c>
      <c r="AH887" s="0" t="s">
        <v>63</v>
      </c>
      <c r="AI887" s="0" t="s">
        <v>2331</v>
      </c>
      <c r="AJ887" s="0" t="s">
        <v>2331</v>
      </c>
      <c r="AK887" s="0" t="s">
        <v>63</v>
      </c>
      <c r="AL887" s="0" t="s">
        <v>63</v>
      </c>
      <c r="AM887" s="0" t="s">
        <v>63</v>
      </c>
      <c r="AN887" s="0" t="s">
        <v>2321</v>
      </c>
      <c r="AO887" s="0" t="s">
        <v>63</v>
      </c>
    </row>
    <row r="888" customFormat="false" ht="15" hidden="false" customHeight="false" outlineLevel="0" collapsed="false">
      <c r="A888" s="0" t="s">
        <v>2057</v>
      </c>
      <c r="B888" s="2" t="s">
        <v>2392</v>
      </c>
      <c r="C888" s="0" t="s">
        <v>121</v>
      </c>
      <c r="D888" s="0" t="n">
        <v>8010969945</v>
      </c>
      <c r="E888" s="0" t="s">
        <v>67</v>
      </c>
      <c r="F888" s="0" t="s">
        <v>2316</v>
      </c>
      <c r="G888" s="0" t="s">
        <v>2058</v>
      </c>
      <c r="H888" s="0" t="s">
        <v>134</v>
      </c>
      <c r="I888" s="3" t="s">
        <v>87</v>
      </c>
      <c r="J888" s="0" t="s">
        <v>2341</v>
      </c>
      <c r="K888" s="0" t="s">
        <v>109</v>
      </c>
      <c r="L888" s="4" t="n">
        <v>51969</v>
      </c>
      <c r="M888" s="0" t="s">
        <v>2333</v>
      </c>
      <c r="N888" s="0" t="s">
        <v>50</v>
      </c>
      <c r="O888" s="5" t="n">
        <v>4</v>
      </c>
      <c r="P888" s="0" t="n">
        <v>5.8</v>
      </c>
      <c r="Q888" s="0" t="s">
        <v>92</v>
      </c>
      <c r="R888" s="0" t="s">
        <v>73</v>
      </c>
      <c r="S888" s="0" t="s">
        <v>2340</v>
      </c>
      <c r="T888" s="0" t="s">
        <v>75</v>
      </c>
      <c r="U888" s="5" t="n">
        <v>60</v>
      </c>
      <c r="V888" s="0" t="s">
        <v>55</v>
      </c>
      <c r="W888" s="0" t="s">
        <v>155</v>
      </c>
      <c r="X888" s="0" t="s">
        <v>98</v>
      </c>
      <c r="Y888" s="0" t="s">
        <v>114</v>
      </c>
      <c r="Z888" s="0" t="s">
        <v>177</v>
      </c>
      <c r="AA888" s="0" t="s">
        <v>79</v>
      </c>
      <c r="AB888" s="5" t="n">
        <v>30000</v>
      </c>
      <c r="AC888" s="5" t="n">
        <v>30000</v>
      </c>
      <c r="AD888" s="0" t="s">
        <v>50</v>
      </c>
      <c r="AE888" s="5" t="n">
        <v>10000</v>
      </c>
      <c r="AF888" s="0" t="s">
        <v>60</v>
      </c>
      <c r="AG888" s="7" t="s">
        <v>2348</v>
      </c>
      <c r="AH888" s="0" t="s">
        <v>2329</v>
      </c>
      <c r="AI888" s="0" t="s">
        <v>2331</v>
      </c>
      <c r="AJ888" s="0" t="s">
        <v>2320</v>
      </c>
      <c r="AK888" s="0" t="s">
        <v>50</v>
      </c>
      <c r="AL888" s="0" t="s">
        <v>63</v>
      </c>
      <c r="AM888" s="0" t="s">
        <v>50</v>
      </c>
      <c r="AN888" s="0" t="s">
        <v>2321</v>
      </c>
      <c r="AO888" s="0" t="s">
        <v>63</v>
      </c>
    </row>
    <row r="889" customFormat="false" ht="15" hidden="false" customHeight="false" outlineLevel="0" collapsed="false">
      <c r="A889" s="0" t="s">
        <v>2059</v>
      </c>
      <c r="B889" s="2" t="s">
        <v>2445</v>
      </c>
      <c r="C889" s="0" t="s">
        <v>42</v>
      </c>
      <c r="D889" s="0" t="n">
        <v>8099298044</v>
      </c>
      <c r="E889" s="0" t="s">
        <v>139</v>
      </c>
      <c r="F889" s="0" t="s">
        <v>2323</v>
      </c>
      <c r="G889" s="0" t="s">
        <v>2060</v>
      </c>
      <c r="H889" s="0" t="s">
        <v>134</v>
      </c>
      <c r="I889" s="3" t="s">
        <v>87</v>
      </c>
      <c r="J889" s="0" t="s">
        <v>2347</v>
      </c>
      <c r="K889" s="0" t="s">
        <v>90</v>
      </c>
      <c r="L889" s="4" t="n">
        <v>72033</v>
      </c>
      <c r="M889" s="0" t="s">
        <v>110</v>
      </c>
      <c r="N889" s="0" t="s">
        <v>50</v>
      </c>
      <c r="O889" s="5" t="n">
        <v>4</v>
      </c>
      <c r="P889" s="0" t="n">
        <v>5.7</v>
      </c>
      <c r="Q889" s="0" t="s">
        <v>51</v>
      </c>
      <c r="R889" s="0" t="s">
        <v>73</v>
      </c>
      <c r="S889" s="0" t="s">
        <v>53</v>
      </c>
      <c r="T889" s="0" t="s">
        <v>147</v>
      </c>
      <c r="U889" s="5" t="n">
        <v>45</v>
      </c>
      <c r="V889" s="0" t="s">
        <v>96</v>
      </c>
      <c r="W889" s="0" t="s">
        <v>155</v>
      </c>
      <c r="X889" s="0" t="s">
        <v>98</v>
      </c>
      <c r="Y889" s="0" t="s">
        <v>196</v>
      </c>
      <c r="Z889" s="0" t="s">
        <v>2326</v>
      </c>
      <c r="AA889" s="0" t="s">
        <v>161</v>
      </c>
      <c r="AB889" s="5" t="n">
        <v>20000</v>
      </c>
      <c r="AC889" s="5" t="n">
        <v>35000</v>
      </c>
      <c r="AD889" s="0" t="s">
        <v>50</v>
      </c>
      <c r="AE889" s="5" t="n">
        <v>0</v>
      </c>
      <c r="AF889" s="0" t="s">
        <v>130</v>
      </c>
      <c r="AG889" s="7" t="s">
        <v>360</v>
      </c>
      <c r="AH889" s="0" t="s">
        <v>63</v>
      </c>
      <c r="AI889" s="0" t="s">
        <v>171</v>
      </c>
      <c r="AJ889" s="0" t="s">
        <v>172</v>
      </c>
      <c r="AK889" s="0" t="s">
        <v>50</v>
      </c>
      <c r="AL889" s="0" t="s">
        <v>63</v>
      </c>
      <c r="AM889" s="0" t="s">
        <v>63</v>
      </c>
      <c r="AN889" s="0" t="s">
        <v>2318</v>
      </c>
      <c r="AO889" s="0" t="s">
        <v>63</v>
      </c>
    </row>
    <row r="890" customFormat="false" ht="15" hidden="false" customHeight="false" outlineLevel="0" collapsed="false">
      <c r="A890" s="0" t="s">
        <v>2061</v>
      </c>
      <c r="B890" s="2" t="s">
        <v>2374</v>
      </c>
      <c r="C890" s="0" t="s">
        <v>121</v>
      </c>
      <c r="D890" s="0" t="n">
        <v>8088174504</v>
      </c>
      <c r="E890" s="0" t="s">
        <v>139</v>
      </c>
      <c r="F890" s="0" t="s">
        <v>2323</v>
      </c>
      <c r="G890" s="0" t="s">
        <v>1975</v>
      </c>
      <c r="H890" s="0" t="s">
        <v>45</v>
      </c>
      <c r="I890" s="3" t="s">
        <v>87</v>
      </c>
      <c r="J890" s="0" t="s">
        <v>189</v>
      </c>
      <c r="K890" s="0" t="s">
        <v>48</v>
      </c>
      <c r="L890" s="4" t="n">
        <v>97370</v>
      </c>
      <c r="M890" s="0" t="s">
        <v>110</v>
      </c>
      <c r="N890" s="0" t="s">
        <v>50</v>
      </c>
      <c r="O890" s="5" t="n">
        <v>1</v>
      </c>
      <c r="P890" s="0" t="n">
        <v>5.3</v>
      </c>
      <c r="Q890" s="0" t="s">
        <v>2334</v>
      </c>
      <c r="R890" s="0" t="s">
        <v>93</v>
      </c>
      <c r="S890" s="0" t="s">
        <v>2335</v>
      </c>
      <c r="T890" s="0" t="s">
        <v>2343</v>
      </c>
      <c r="U890" s="5" t="n">
        <v>45</v>
      </c>
      <c r="V890" s="0" t="s">
        <v>96</v>
      </c>
      <c r="W890" s="0" t="s">
        <v>155</v>
      </c>
      <c r="X890" s="0" t="s">
        <v>128</v>
      </c>
      <c r="Y890" s="0" t="s">
        <v>114</v>
      </c>
      <c r="Z890" s="0" t="s">
        <v>177</v>
      </c>
      <c r="AA890" s="0" t="s">
        <v>161</v>
      </c>
      <c r="AB890" s="5" t="n">
        <v>20000</v>
      </c>
      <c r="AC890" s="5" t="n">
        <v>40000</v>
      </c>
      <c r="AD890" s="0" t="s">
        <v>50</v>
      </c>
      <c r="AE890" s="5" t="n">
        <v>10000</v>
      </c>
      <c r="AF890" s="0" t="s">
        <v>184</v>
      </c>
      <c r="AG890" s="7" t="s">
        <v>2494</v>
      </c>
      <c r="AH890" s="0" t="s">
        <v>50</v>
      </c>
      <c r="AI890" s="0" t="s">
        <v>171</v>
      </c>
      <c r="AJ890" s="0" t="s">
        <v>2320</v>
      </c>
      <c r="AK890" s="0" t="s">
        <v>63</v>
      </c>
      <c r="AL890" s="0" t="s">
        <v>2344</v>
      </c>
      <c r="AM890" s="0" t="s">
        <v>63</v>
      </c>
      <c r="AN890" s="0" t="s">
        <v>2321</v>
      </c>
      <c r="AO890" s="0" t="s">
        <v>50</v>
      </c>
    </row>
    <row r="891" customFormat="false" ht="15" hidden="false" customHeight="false" outlineLevel="0" collapsed="false">
      <c r="A891" s="0" t="s">
        <v>2062</v>
      </c>
      <c r="B891" s="2" t="s">
        <v>2448</v>
      </c>
      <c r="C891" s="0" t="s">
        <v>42</v>
      </c>
      <c r="D891" s="0" t="n">
        <v>8015618266</v>
      </c>
      <c r="E891" s="0" t="s">
        <v>139</v>
      </c>
      <c r="F891" s="0" t="s">
        <v>2323</v>
      </c>
      <c r="G891" s="0" t="s">
        <v>2063</v>
      </c>
      <c r="H891" s="0" t="s">
        <v>107</v>
      </c>
      <c r="I891" s="3" t="s">
        <v>87</v>
      </c>
      <c r="J891" s="0" t="s">
        <v>47</v>
      </c>
      <c r="K891" s="0" t="s">
        <v>48</v>
      </c>
      <c r="L891" s="4" t="n">
        <v>22281</v>
      </c>
      <c r="M891" s="0" t="s">
        <v>2333</v>
      </c>
      <c r="N891" s="0" t="s">
        <v>50</v>
      </c>
      <c r="O891" s="5" t="n">
        <v>3.40659340659341</v>
      </c>
      <c r="P891" s="0" t="n">
        <v>3.7</v>
      </c>
      <c r="Q891" s="0" t="s">
        <v>125</v>
      </c>
      <c r="R891" s="0" t="s">
        <v>93</v>
      </c>
      <c r="S891" s="0" t="s">
        <v>2340</v>
      </c>
      <c r="T891" s="0" t="s">
        <v>147</v>
      </c>
      <c r="U891" s="5" t="n">
        <v>38.6842105263158</v>
      </c>
      <c r="V891" s="0" t="s">
        <v>112</v>
      </c>
      <c r="W891" s="0" t="s">
        <v>148</v>
      </c>
      <c r="X891" s="0" t="s">
        <v>98</v>
      </c>
      <c r="Y891" s="0" t="s">
        <v>114</v>
      </c>
      <c r="Z891" s="0" t="s">
        <v>2329</v>
      </c>
      <c r="AA891" s="0" t="s">
        <v>161</v>
      </c>
      <c r="AB891" s="5" t="n">
        <v>30000</v>
      </c>
      <c r="AC891" s="5" t="n">
        <v>35000</v>
      </c>
      <c r="AD891" s="0" t="s">
        <v>63</v>
      </c>
      <c r="AE891" s="5" t="n">
        <v>0</v>
      </c>
      <c r="AF891" s="0" t="s">
        <v>184</v>
      </c>
      <c r="AG891" s="7" t="s">
        <v>1919</v>
      </c>
      <c r="AH891" s="0" t="s">
        <v>2329</v>
      </c>
      <c r="AI891" s="0" t="s">
        <v>171</v>
      </c>
      <c r="AJ891" s="0" t="s">
        <v>2331</v>
      </c>
      <c r="AK891" s="0" t="s">
        <v>50</v>
      </c>
      <c r="AL891" s="0" t="s">
        <v>63</v>
      </c>
      <c r="AM891" s="0" t="s">
        <v>2344</v>
      </c>
      <c r="AN891" s="0" t="s">
        <v>2321</v>
      </c>
      <c r="AO891" s="0" t="s">
        <v>63</v>
      </c>
    </row>
    <row r="892" customFormat="false" ht="15" hidden="false" customHeight="false" outlineLevel="0" collapsed="false">
      <c r="A892" s="0" t="s">
        <v>2064</v>
      </c>
      <c r="B892" s="2" t="s">
        <v>2407</v>
      </c>
      <c r="C892" s="0" t="s">
        <v>66</v>
      </c>
      <c r="D892" s="0" t="n">
        <v>8022997893</v>
      </c>
      <c r="E892" s="0" t="s">
        <v>122</v>
      </c>
      <c r="F892" s="0" t="s">
        <v>2316</v>
      </c>
      <c r="G892" s="0" t="s">
        <v>2065</v>
      </c>
      <c r="H892" s="0" t="s">
        <v>87</v>
      </c>
      <c r="I892" s="3" t="s">
        <v>2322</v>
      </c>
      <c r="J892" s="0" t="s">
        <v>2349</v>
      </c>
      <c r="K892" s="0" t="s">
        <v>48</v>
      </c>
      <c r="L892" s="4" t="n">
        <v>118633</v>
      </c>
      <c r="M892" s="0" t="s">
        <v>110</v>
      </c>
      <c r="N892" s="0" t="s">
        <v>50</v>
      </c>
      <c r="O892" s="5" t="n">
        <v>1</v>
      </c>
      <c r="P892" s="0" t="n">
        <v>3.4</v>
      </c>
      <c r="Q892" s="0" t="s">
        <v>111</v>
      </c>
      <c r="R892" s="0" t="s">
        <v>93</v>
      </c>
      <c r="S892" s="0" t="s">
        <v>53</v>
      </c>
      <c r="T892" s="0" t="s">
        <v>54</v>
      </c>
      <c r="U892" s="5" t="n">
        <v>45</v>
      </c>
      <c r="V892" s="0" t="s">
        <v>2336</v>
      </c>
      <c r="W892" s="0" t="s">
        <v>2328</v>
      </c>
      <c r="X892" s="0" t="s">
        <v>98</v>
      </c>
      <c r="Y892" s="0" t="s">
        <v>196</v>
      </c>
      <c r="Z892" s="0" t="s">
        <v>59</v>
      </c>
      <c r="AA892" s="0" t="s">
        <v>79</v>
      </c>
      <c r="AB892" s="5" t="n">
        <v>25000</v>
      </c>
      <c r="AC892" s="5" t="n">
        <v>35000</v>
      </c>
      <c r="AD892" s="0" t="s">
        <v>63</v>
      </c>
      <c r="AE892" s="5" t="n">
        <v>10000</v>
      </c>
      <c r="AF892" s="0" t="s">
        <v>184</v>
      </c>
      <c r="AG892" s="7" t="s">
        <v>2330</v>
      </c>
      <c r="AH892" s="0" t="s">
        <v>2329</v>
      </c>
      <c r="AI892" s="0" t="s">
        <v>2331</v>
      </c>
      <c r="AJ892" s="0" t="s">
        <v>2331</v>
      </c>
      <c r="AK892" s="0" t="s">
        <v>63</v>
      </c>
      <c r="AL892" s="0" t="s">
        <v>63</v>
      </c>
      <c r="AM892" s="0" t="s">
        <v>2344</v>
      </c>
      <c r="AN892" s="0" t="s">
        <v>2318</v>
      </c>
      <c r="AO892" s="0" t="s">
        <v>50</v>
      </c>
    </row>
    <row r="893" customFormat="false" ht="15" hidden="false" customHeight="false" outlineLevel="0" collapsed="false">
      <c r="A893" s="0" t="s">
        <v>2066</v>
      </c>
      <c r="B893" s="2" t="s">
        <v>2403</v>
      </c>
      <c r="C893" s="0" t="s">
        <v>121</v>
      </c>
      <c r="D893" s="0" t="n">
        <v>8038329115</v>
      </c>
      <c r="E893" s="0" t="s">
        <v>122</v>
      </c>
      <c r="F893" s="0" t="s">
        <v>2316</v>
      </c>
      <c r="G893" s="0" t="s">
        <v>2067</v>
      </c>
      <c r="H893" s="0" t="s">
        <v>87</v>
      </c>
      <c r="I893" s="3" t="s">
        <v>87</v>
      </c>
      <c r="J893" s="0" t="s">
        <v>2349</v>
      </c>
      <c r="K893" s="0" t="s">
        <v>48</v>
      </c>
      <c r="L893" s="4" t="n">
        <v>33570</v>
      </c>
      <c r="M893" s="0" t="s">
        <v>2333</v>
      </c>
      <c r="N893" s="0" t="s">
        <v>63</v>
      </c>
      <c r="O893" s="5" t="n">
        <v>4</v>
      </c>
      <c r="P893" s="0" t="n">
        <v>2.3</v>
      </c>
      <c r="Q893" s="0" t="s">
        <v>2334</v>
      </c>
      <c r="R893" s="0" t="s">
        <v>93</v>
      </c>
      <c r="S893" s="0" t="s">
        <v>2340</v>
      </c>
      <c r="T893" s="0" t="s">
        <v>2343</v>
      </c>
      <c r="U893" s="5" t="n">
        <v>30</v>
      </c>
      <c r="V893" s="0" t="s">
        <v>96</v>
      </c>
      <c r="W893" s="0" t="s">
        <v>155</v>
      </c>
      <c r="X893" s="0" t="s">
        <v>98</v>
      </c>
      <c r="Y893" s="0" t="s">
        <v>196</v>
      </c>
      <c r="Z893" s="0" t="s">
        <v>2329</v>
      </c>
      <c r="AA893" s="0" t="s">
        <v>143</v>
      </c>
      <c r="AB893" s="5" t="n">
        <v>40000</v>
      </c>
      <c r="AC893" s="5" t="n">
        <v>30000</v>
      </c>
      <c r="AD893" s="0" t="s">
        <v>50</v>
      </c>
      <c r="AE893" s="5" t="n">
        <v>5000</v>
      </c>
      <c r="AF893" s="0" t="s">
        <v>60</v>
      </c>
      <c r="AG893" s="7" t="s">
        <v>2330</v>
      </c>
      <c r="AH893" s="0" t="s">
        <v>63</v>
      </c>
      <c r="AI893" s="0" t="s">
        <v>2331</v>
      </c>
      <c r="AJ893" s="0" t="s">
        <v>117</v>
      </c>
      <c r="AK893" s="0" t="s">
        <v>50</v>
      </c>
      <c r="AL893" s="0" t="s">
        <v>50</v>
      </c>
      <c r="AM893" s="0" t="s">
        <v>50</v>
      </c>
      <c r="AN893" s="0" t="s">
        <v>2321</v>
      </c>
      <c r="AO893" s="0" t="s">
        <v>50</v>
      </c>
    </row>
    <row r="894" customFormat="false" ht="15" hidden="false" customHeight="false" outlineLevel="0" collapsed="false">
      <c r="A894" s="0" t="s">
        <v>2068</v>
      </c>
      <c r="B894" s="2" t="s">
        <v>2368</v>
      </c>
      <c r="C894" s="0" t="s">
        <v>121</v>
      </c>
      <c r="D894" s="0" t="n">
        <v>8080106555</v>
      </c>
      <c r="E894" s="0" t="s">
        <v>85</v>
      </c>
      <c r="F894" s="0" t="s">
        <v>2319</v>
      </c>
      <c r="G894" s="0" t="s">
        <v>2069</v>
      </c>
      <c r="H894" s="0" t="s">
        <v>69</v>
      </c>
      <c r="I894" s="3" t="s">
        <v>2322</v>
      </c>
      <c r="J894" s="0" t="s">
        <v>2341</v>
      </c>
      <c r="K894" s="0" t="s">
        <v>90</v>
      </c>
      <c r="L894" s="4" t="n">
        <v>34761</v>
      </c>
      <c r="M894" s="0" t="s">
        <v>49</v>
      </c>
      <c r="N894" s="0" t="s">
        <v>50</v>
      </c>
      <c r="O894" s="5" t="n">
        <v>3.42696629213483</v>
      </c>
      <c r="P894" s="0" t="n">
        <v>2.2</v>
      </c>
      <c r="Q894" s="0" t="s">
        <v>51</v>
      </c>
      <c r="R894" s="0" t="s">
        <v>52</v>
      </c>
      <c r="S894" s="0" t="s">
        <v>2366</v>
      </c>
      <c r="T894" s="0" t="s">
        <v>54</v>
      </c>
      <c r="U894" s="5" t="n">
        <v>45</v>
      </c>
      <c r="V894" s="0" t="s">
        <v>2336</v>
      </c>
      <c r="W894" s="0" t="s">
        <v>148</v>
      </c>
      <c r="X894" s="0" t="s">
        <v>128</v>
      </c>
      <c r="Y894" s="0" t="s">
        <v>58</v>
      </c>
      <c r="Z894" s="0" t="s">
        <v>59</v>
      </c>
      <c r="AA894" s="0" t="s">
        <v>143</v>
      </c>
      <c r="AB894" s="5" t="n">
        <v>30000</v>
      </c>
      <c r="AC894" s="5" t="n">
        <v>20000</v>
      </c>
      <c r="AD894" s="0" t="s">
        <v>50</v>
      </c>
      <c r="AE894" s="5" t="n">
        <v>0</v>
      </c>
      <c r="AF894" s="0" t="s">
        <v>2338</v>
      </c>
      <c r="AG894" s="7" t="s">
        <v>1909</v>
      </c>
      <c r="AH894" s="0" t="s">
        <v>2329</v>
      </c>
      <c r="AI894" s="0" t="s">
        <v>2331</v>
      </c>
      <c r="AJ894" s="0" t="s">
        <v>117</v>
      </c>
      <c r="AK894" s="0" t="s">
        <v>63</v>
      </c>
      <c r="AL894" s="0" t="s">
        <v>63</v>
      </c>
      <c r="AM894" s="0" t="s">
        <v>50</v>
      </c>
      <c r="AN894" s="0" t="s">
        <v>2321</v>
      </c>
      <c r="AO894" s="0" t="s">
        <v>50</v>
      </c>
    </row>
    <row r="895" customFormat="false" ht="15" hidden="false" customHeight="false" outlineLevel="0" collapsed="false">
      <c r="A895" s="0" t="s">
        <v>2070</v>
      </c>
      <c r="B895" s="2" t="s">
        <v>305</v>
      </c>
      <c r="C895" s="0" t="s">
        <v>66</v>
      </c>
      <c r="D895" s="0" t="n">
        <v>8010974683</v>
      </c>
      <c r="E895" s="0" t="s">
        <v>139</v>
      </c>
      <c r="F895" s="0" t="s">
        <v>2323</v>
      </c>
      <c r="G895" s="0" t="s">
        <v>2071</v>
      </c>
      <c r="H895" s="0" t="s">
        <v>69</v>
      </c>
      <c r="I895" s="3" t="s">
        <v>2317</v>
      </c>
      <c r="J895" s="0" t="s">
        <v>2347</v>
      </c>
      <c r="K895" s="0" t="s">
        <v>48</v>
      </c>
      <c r="L895" s="4" t="n">
        <v>59840</v>
      </c>
      <c r="M895" s="0" t="s">
        <v>110</v>
      </c>
      <c r="N895" s="0" t="s">
        <v>63</v>
      </c>
      <c r="O895" s="5" t="n">
        <v>3.42696629213483</v>
      </c>
      <c r="P895" s="0" t="n">
        <v>1.3</v>
      </c>
      <c r="Q895" s="0" t="s">
        <v>92</v>
      </c>
      <c r="R895" s="0" t="s">
        <v>93</v>
      </c>
      <c r="S895" s="0" t="s">
        <v>2340</v>
      </c>
      <c r="T895" s="0" t="s">
        <v>54</v>
      </c>
      <c r="U895" s="5" t="n">
        <v>45</v>
      </c>
      <c r="V895" s="0" t="s">
        <v>2352</v>
      </c>
      <c r="W895" s="0" t="s">
        <v>155</v>
      </c>
      <c r="X895" s="0" t="s">
        <v>128</v>
      </c>
      <c r="Y895" s="0" t="s">
        <v>58</v>
      </c>
      <c r="Z895" s="0" t="s">
        <v>177</v>
      </c>
      <c r="AA895" s="0" t="s">
        <v>161</v>
      </c>
      <c r="AB895" s="5" t="n">
        <v>24000</v>
      </c>
      <c r="AC895" s="5" t="n">
        <v>30000</v>
      </c>
      <c r="AD895" s="0" t="s">
        <v>50</v>
      </c>
      <c r="AE895" s="5" t="n">
        <v>0</v>
      </c>
      <c r="AF895" s="0" t="s">
        <v>184</v>
      </c>
      <c r="AG895" s="7" t="s">
        <v>2452</v>
      </c>
      <c r="AH895" s="0" t="s">
        <v>63</v>
      </c>
      <c r="AI895" s="0" t="s">
        <v>2331</v>
      </c>
      <c r="AJ895" s="0" t="s">
        <v>2331</v>
      </c>
      <c r="AK895" s="0" t="s">
        <v>50</v>
      </c>
      <c r="AL895" s="0" t="s">
        <v>50</v>
      </c>
      <c r="AM895" s="0" t="s">
        <v>63</v>
      </c>
      <c r="AN895" s="0" t="s">
        <v>2321</v>
      </c>
      <c r="AO895" s="0" t="s">
        <v>63</v>
      </c>
    </row>
    <row r="896" customFormat="false" ht="15" hidden="false" customHeight="false" outlineLevel="0" collapsed="false">
      <c r="A896" s="0" t="s">
        <v>2072</v>
      </c>
      <c r="B896" s="2" t="s">
        <v>963</v>
      </c>
      <c r="C896" s="0" t="s">
        <v>42</v>
      </c>
      <c r="D896" s="0" t="n">
        <v>8060421010</v>
      </c>
      <c r="E896" s="0" t="s">
        <v>43</v>
      </c>
      <c r="F896" s="0" t="s">
        <v>2315</v>
      </c>
      <c r="G896" s="0" t="s">
        <v>2073</v>
      </c>
      <c r="H896" s="0" t="s">
        <v>107</v>
      </c>
      <c r="I896" s="3" t="s">
        <v>87</v>
      </c>
      <c r="J896" s="0" t="s">
        <v>2349</v>
      </c>
      <c r="K896" s="0" t="s">
        <v>71</v>
      </c>
      <c r="L896" s="4" t="n">
        <v>83849</v>
      </c>
      <c r="M896" s="0" t="s">
        <v>2333</v>
      </c>
      <c r="N896" s="0" t="s">
        <v>63</v>
      </c>
      <c r="O896" s="5" t="n">
        <v>3</v>
      </c>
      <c r="P896" s="0" t="n">
        <v>5.6</v>
      </c>
      <c r="Q896" s="0" t="s">
        <v>125</v>
      </c>
      <c r="R896" s="0" t="s">
        <v>93</v>
      </c>
      <c r="S896" s="0" t="s">
        <v>2366</v>
      </c>
      <c r="T896" s="0" t="s">
        <v>2353</v>
      </c>
      <c r="U896" s="5" t="n">
        <v>60</v>
      </c>
      <c r="V896" s="0" t="s">
        <v>96</v>
      </c>
      <c r="W896" s="0" t="s">
        <v>148</v>
      </c>
      <c r="X896" s="0" t="s">
        <v>128</v>
      </c>
      <c r="Y896" s="0" t="s">
        <v>196</v>
      </c>
      <c r="Z896" s="0" t="s">
        <v>2329</v>
      </c>
      <c r="AA896" s="0" t="s">
        <v>149</v>
      </c>
      <c r="AB896" s="5" t="n">
        <v>25714.2857142857</v>
      </c>
      <c r="AC896" s="5" t="n">
        <v>20000</v>
      </c>
      <c r="AD896" s="0" t="s">
        <v>50</v>
      </c>
      <c r="AE896" s="5" t="n">
        <v>5000</v>
      </c>
      <c r="AF896" s="0" t="s">
        <v>2338</v>
      </c>
      <c r="AG896" s="7" t="s">
        <v>2377</v>
      </c>
      <c r="AH896" s="0" t="s">
        <v>63</v>
      </c>
      <c r="AI896" s="0" t="s">
        <v>116</v>
      </c>
      <c r="AJ896" s="0" t="s">
        <v>117</v>
      </c>
      <c r="AK896" s="0" t="s">
        <v>63</v>
      </c>
      <c r="AL896" s="0" t="s">
        <v>50</v>
      </c>
      <c r="AM896" s="0" t="s">
        <v>2344</v>
      </c>
      <c r="AN896" s="0" t="s">
        <v>2318</v>
      </c>
      <c r="AO896" s="0" t="s">
        <v>63</v>
      </c>
    </row>
    <row r="897" customFormat="false" ht="15" hidden="false" customHeight="false" outlineLevel="0" collapsed="false">
      <c r="A897" s="0" t="s">
        <v>2074</v>
      </c>
      <c r="B897" s="2" t="s">
        <v>737</v>
      </c>
      <c r="C897" s="0" t="s">
        <v>163</v>
      </c>
      <c r="D897" s="0" t="n">
        <v>8090931259</v>
      </c>
      <c r="E897" s="0" t="s">
        <v>67</v>
      </c>
      <c r="F897" s="0" t="s">
        <v>2316</v>
      </c>
      <c r="G897" s="0" t="s">
        <v>2075</v>
      </c>
      <c r="H897" s="0" t="s">
        <v>45</v>
      </c>
      <c r="I897" s="3" t="s">
        <v>2317</v>
      </c>
      <c r="J897" s="0" t="s">
        <v>2341</v>
      </c>
      <c r="K897" s="0" t="s">
        <v>90</v>
      </c>
      <c r="L897" s="4" t="n">
        <v>21157</v>
      </c>
      <c r="M897" s="0" t="s">
        <v>49</v>
      </c>
      <c r="N897" s="0" t="s">
        <v>63</v>
      </c>
      <c r="O897" s="5" t="n">
        <v>5</v>
      </c>
      <c r="P897" s="0" t="n">
        <v>5.1</v>
      </c>
      <c r="Q897" s="0" t="s">
        <v>2334</v>
      </c>
      <c r="R897" s="0" t="s">
        <v>93</v>
      </c>
      <c r="S897" s="0" t="s">
        <v>53</v>
      </c>
      <c r="T897" s="0" t="s">
        <v>95</v>
      </c>
      <c r="U897" s="5" t="n">
        <v>60</v>
      </c>
      <c r="V897" s="0" t="s">
        <v>55</v>
      </c>
      <c r="W897" s="0" t="s">
        <v>2328</v>
      </c>
      <c r="X897" s="0" t="s">
        <v>78</v>
      </c>
      <c r="Y897" s="0" t="s">
        <v>196</v>
      </c>
      <c r="Z897" s="0" t="s">
        <v>59</v>
      </c>
      <c r="AA897" s="0" t="s">
        <v>79</v>
      </c>
      <c r="AB897" s="5" t="n">
        <v>15000</v>
      </c>
      <c r="AC897" s="5" t="n">
        <v>40000</v>
      </c>
      <c r="AD897" s="0" t="s">
        <v>50</v>
      </c>
      <c r="AE897" s="5" t="n">
        <v>5000</v>
      </c>
      <c r="AF897" s="0" t="s">
        <v>2338</v>
      </c>
      <c r="AG897" s="7" t="s">
        <v>2330</v>
      </c>
      <c r="AH897" s="0" t="s">
        <v>63</v>
      </c>
      <c r="AI897" s="0" t="s">
        <v>116</v>
      </c>
      <c r="AJ897" s="0" t="s">
        <v>2331</v>
      </c>
      <c r="AK897" s="0" t="s">
        <v>50</v>
      </c>
      <c r="AL897" s="0" t="s">
        <v>63</v>
      </c>
      <c r="AM897" s="0" t="s">
        <v>63</v>
      </c>
      <c r="AN897" s="0" t="s">
        <v>2318</v>
      </c>
      <c r="AO897" s="0" t="s">
        <v>63</v>
      </c>
    </row>
    <row r="898" customFormat="false" ht="15" hidden="false" customHeight="false" outlineLevel="0" collapsed="false">
      <c r="A898" s="0" t="s">
        <v>2076</v>
      </c>
      <c r="B898" s="2" t="s">
        <v>438</v>
      </c>
      <c r="C898" s="0" t="s">
        <v>121</v>
      </c>
      <c r="D898" s="0" t="n">
        <v>8079803166</v>
      </c>
      <c r="E898" s="0" t="s">
        <v>122</v>
      </c>
      <c r="F898" s="0" t="s">
        <v>2316</v>
      </c>
      <c r="G898" s="0" t="s">
        <v>2077</v>
      </c>
      <c r="H898" s="0" t="s">
        <v>134</v>
      </c>
      <c r="I898" s="3" t="s">
        <v>87</v>
      </c>
      <c r="J898" s="0" t="s">
        <v>189</v>
      </c>
      <c r="K898" s="0" t="s">
        <v>48</v>
      </c>
      <c r="L898" s="4" t="n">
        <v>49263</v>
      </c>
      <c r="M898" s="0" t="s">
        <v>49</v>
      </c>
      <c r="N898" s="0" t="s">
        <v>50</v>
      </c>
      <c r="O898" s="5" t="n">
        <v>2</v>
      </c>
      <c r="P898" s="0" t="n">
        <v>5.9</v>
      </c>
      <c r="Q898" s="0" t="s">
        <v>111</v>
      </c>
      <c r="R898" s="0" t="s">
        <v>93</v>
      </c>
      <c r="S898" s="0" t="s">
        <v>2366</v>
      </c>
      <c r="T898" s="0" t="s">
        <v>2353</v>
      </c>
      <c r="U898" s="5" t="n">
        <v>15</v>
      </c>
      <c r="V898" s="0" t="s">
        <v>55</v>
      </c>
      <c r="W898" s="0" t="s">
        <v>155</v>
      </c>
      <c r="X898" s="0" t="s">
        <v>128</v>
      </c>
      <c r="Y898" s="0" t="s">
        <v>99</v>
      </c>
      <c r="Z898" s="0" t="s">
        <v>59</v>
      </c>
      <c r="AA898" s="0" t="s">
        <v>161</v>
      </c>
      <c r="AB898" s="5" t="n">
        <v>20000</v>
      </c>
      <c r="AC898" s="5" t="n">
        <v>30000</v>
      </c>
      <c r="AD898" s="0" t="s">
        <v>50</v>
      </c>
      <c r="AE898" s="5" t="n">
        <v>0</v>
      </c>
      <c r="AF898" s="0" t="s">
        <v>184</v>
      </c>
      <c r="AG898" s="7" t="s">
        <v>2330</v>
      </c>
      <c r="AH898" s="0" t="s">
        <v>63</v>
      </c>
      <c r="AI898" s="0" t="s">
        <v>116</v>
      </c>
      <c r="AJ898" s="0" t="s">
        <v>117</v>
      </c>
      <c r="AK898" s="0" t="s">
        <v>50</v>
      </c>
      <c r="AL898" s="0" t="s">
        <v>63</v>
      </c>
      <c r="AM898" s="0" t="s">
        <v>63</v>
      </c>
      <c r="AN898" s="0" t="s">
        <v>2318</v>
      </c>
      <c r="AO898" s="0" t="s">
        <v>50</v>
      </c>
    </row>
    <row r="899" customFormat="false" ht="15" hidden="false" customHeight="false" outlineLevel="0" collapsed="false">
      <c r="A899" s="0" t="s">
        <v>2078</v>
      </c>
      <c r="B899" s="2" t="s">
        <v>2486</v>
      </c>
      <c r="C899" s="0" t="s">
        <v>121</v>
      </c>
      <c r="D899" s="0" t="n">
        <v>8045679876</v>
      </c>
      <c r="E899" s="0" t="s">
        <v>43</v>
      </c>
      <c r="F899" s="0" t="s">
        <v>2315</v>
      </c>
      <c r="G899" s="0" t="s">
        <v>2079</v>
      </c>
      <c r="H899" s="0" t="s">
        <v>45</v>
      </c>
      <c r="I899" s="3" t="s">
        <v>2322</v>
      </c>
      <c r="J899" s="0" t="s">
        <v>2339</v>
      </c>
      <c r="K899" s="0" t="s">
        <v>48</v>
      </c>
      <c r="L899" s="4" t="n">
        <v>88077</v>
      </c>
      <c r="M899" s="0" t="s">
        <v>2333</v>
      </c>
      <c r="N899" s="0" t="s">
        <v>50</v>
      </c>
      <c r="O899" s="5" t="n">
        <v>1</v>
      </c>
      <c r="P899" s="0" t="n">
        <v>3.6</v>
      </c>
      <c r="Q899" s="0" t="s">
        <v>2334</v>
      </c>
      <c r="R899" s="0" t="s">
        <v>93</v>
      </c>
      <c r="S899" s="0" t="s">
        <v>2340</v>
      </c>
      <c r="T899" s="0" t="s">
        <v>75</v>
      </c>
      <c r="U899" s="5" t="n">
        <v>45</v>
      </c>
      <c r="V899" s="0" t="s">
        <v>55</v>
      </c>
      <c r="W899" s="0" t="s">
        <v>2328</v>
      </c>
      <c r="X899" s="0" t="s">
        <v>98</v>
      </c>
      <c r="Y899" s="0" t="s">
        <v>196</v>
      </c>
      <c r="Z899" s="0" t="s">
        <v>59</v>
      </c>
      <c r="AA899" s="0" t="s">
        <v>79</v>
      </c>
      <c r="AB899" s="5" t="n">
        <v>23000</v>
      </c>
      <c r="AC899" s="5" t="n">
        <v>30000</v>
      </c>
      <c r="AD899" s="0" t="s">
        <v>63</v>
      </c>
      <c r="AE899" s="5" t="n">
        <v>5000</v>
      </c>
      <c r="AF899" s="0" t="s">
        <v>2338</v>
      </c>
      <c r="AG899" s="7" t="s">
        <v>2459</v>
      </c>
      <c r="AH899" s="0" t="s">
        <v>63</v>
      </c>
      <c r="AI899" s="0" t="s">
        <v>2331</v>
      </c>
      <c r="AJ899" s="0" t="s">
        <v>2320</v>
      </c>
      <c r="AK899" s="0" t="s">
        <v>2344</v>
      </c>
      <c r="AL899" s="0" t="s">
        <v>63</v>
      </c>
      <c r="AM899" s="0" t="s">
        <v>2344</v>
      </c>
      <c r="AN899" s="0" t="s">
        <v>64</v>
      </c>
      <c r="AO899" s="0" t="s">
        <v>63</v>
      </c>
    </row>
    <row r="900" customFormat="false" ht="15" hidden="false" customHeight="false" outlineLevel="0" collapsed="false">
      <c r="A900" s="0" t="s">
        <v>2080</v>
      </c>
      <c r="B900" s="2" t="s">
        <v>1116</v>
      </c>
      <c r="C900" s="0" t="s">
        <v>66</v>
      </c>
      <c r="D900" s="0" t="n">
        <v>8075219904</v>
      </c>
      <c r="E900" s="0" t="s">
        <v>67</v>
      </c>
      <c r="F900" s="0" t="s">
        <v>2316</v>
      </c>
      <c r="G900" s="0" t="s">
        <v>2081</v>
      </c>
      <c r="H900" s="0" t="s">
        <v>87</v>
      </c>
      <c r="I900" s="3" t="s">
        <v>2322</v>
      </c>
      <c r="J900" s="0" t="s">
        <v>2341</v>
      </c>
      <c r="K900" s="0" t="s">
        <v>109</v>
      </c>
      <c r="L900" s="4" t="n">
        <v>62852</v>
      </c>
      <c r="M900" s="0" t="s">
        <v>110</v>
      </c>
      <c r="N900" s="0" t="s">
        <v>50</v>
      </c>
      <c r="O900" s="5" t="n">
        <v>3.45882352941177</v>
      </c>
      <c r="P900" s="0" t="n">
        <v>4.4</v>
      </c>
      <c r="Q900" s="0" t="s">
        <v>51</v>
      </c>
      <c r="R900" s="0" t="s">
        <v>52</v>
      </c>
      <c r="S900" s="0" t="s">
        <v>2340</v>
      </c>
      <c r="T900" s="0" t="s">
        <v>95</v>
      </c>
      <c r="U900" s="5" t="n">
        <v>45</v>
      </c>
      <c r="V900" s="0" t="s">
        <v>55</v>
      </c>
      <c r="W900" s="0" t="s">
        <v>2328</v>
      </c>
      <c r="X900" s="0" t="s">
        <v>98</v>
      </c>
      <c r="Y900" s="0" t="s">
        <v>196</v>
      </c>
      <c r="Z900" s="0" t="s">
        <v>59</v>
      </c>
      <c r="AA900" s="0" t="s">
        <v>2329</v>
      </c>
      <c r="AB900" s="5" t="n">
        <v>40000</v>
      </c>
      <c r="AC900" s="5" t="n">
        <v>40000</v>
      </c>
      <c r="AD900" s="0" t="s">
        <v>63</v>
      </c>
      <c r="AE900" s="5" t="n">
        <v>0</v>
      </c>
      <c r="AF900" s="0" t="s">
        <v>60</v>
      </c>
      <c r="AG900" s="7" t="s">
        <v>2444</v>
      </c>
      <c r="AH900" s="0" t="s">
        <v>50</v>
      </c>
      <c r="AI900" s="0" t="s">
        <v>116</v>
      </c>
      <c r="AJ900" s="0" t="s">
        <v>2331</v>
      </c>
      <c r="AK900" s="0" t="s">
        <v>50</v>
      </c>
      <c r="AL900" s="0" t="s">
        <v>50</v>
      </c>
      <c r="AM900" s="0" t="s">
        <v>63</v>
      </c>
      <c r="AN900" s="0" t="s">
        <v>64</v>
      </c>
      <c r="AO900" s="0" t="s">
        <v>50</v>
      </c>
    </row>
    <row r="901" customFormat="false" ht="15" hidden="false" customHeight="false" outlineLevel="0" collapsed="false">
      <c r="A901" s="0" t="s">
        <v>2083</v>
      </c>
      <c r="B901" s="2" t="s">
        <v>2082</v>
      </c>
      <c r="C901" s="0" t="s">
        <v>163</v>
      </c>
      <c r="D901" s="0" t="n">
        <v>8073516094</v>
      </c>
      <c r="E901" s="0" t="s">
        <v>67</v>
      </c>
      <c r="F901" s="0" t="s">
        <v>2316</v>
      </c>
      <c r="G901" s="0" t="s">
        <v>2084</v>
      </c>
      <c r="H901" s="0" t="s">
        <v>45</v>
      </c>
      <c r="I901" s="3" t="s">
        <v>2322</v>
      </c>
      <c r="J901" s="0" t="s">
        <v>47</v>
      </c>
      <c r="K901" s="0" t="s">
        <v>48</v>
      </c>
      <c r="L901" s="4" t="n">
        <v>21993</v>
      </c>
      <c r="M901" s="0" t="s">
        <v>110</v>
      </c>
      <c r="N901" s="0" t="s">
        <v>63</v>
      </c>
      <c r="O901" s="5" t="n">
        <v>5</v>
      </c>
      <c r="P901" s="0" t="n">
        <v>2.2</v>
      </c>
      <c r="Q901" s="0" t="s">
        <v>51</v>
      </c>
      <c r="R901" s="0" t="s">
        <v>52</v>
      </c>
      <c r="S901" s="0" t="s">
        <v>2366</v>
      </c>
      <c r="T901" s="0" t="s">
        <v>95</v>
      </c>
      <c r="U901" s="5" t="n">
        <v>60</v>
      </c>
      <c r="V901" s="0" t="s">
        <v>55</v>
      </c>
      <c r="W901" s="0" t="s">
        <v>2328</v>
      </c>
      <c r="X901" s="0" t="s">
        <v>128</v>
      </c>
      <c r="Y901" s="0" t="s">
        <v>196</v>
      </c>
      <c r="Z901" s="0" t="s">
        <v>2324</v>
      </c>
      <c r="AA901" s="0" t="s">
        <v>79</v>
      </c>
      <c r="AB901" s="5" t="n">
        <v>15000</v>
      </c>
      <c r="AC901" s="5" t="n">
        <v>30000</v>
      </c>
      <c r="AD901" s="0" t="s">
        <v>50</v>
      </c>
      <c r="AE901" s="5" t="n">
        <v>5000</v>
      </c>
      <c r="AF901" s="0" t="s">
        <v>2338</v>
      </c>
      <c r="AG901" s="7" t="s">
        <v>315</v>
      </c>
      <c r="AH901" s="0" t="s">
        <v>50</v>
      </c>
      <c r="AI901" s="0" t="s">
        <v>2331</v>
      </c>
      <c r="AJ901" s="0" t="s">
        <v>2320</v>
      </c>
      <c r="AK901" s="0" t="s">
        <v>63</v>
      </c>
      <c r="AL901" s="0" t="s">
        <v>2344</v>
      </c>
      <c r="AM901" s="0" t="s">
        <v>2344</v>
      </c>
      <c r="AN901" s="0" t="s">
        <v>2321</v>
      </c>
      <c r="AO901" s="0" t="s">
        <v>2359</v>
      </c>
    </row>
    <row r="902" customFormat="false" ht="15" hidden="false" customHeight="false" outlineLevel="0" collapsed="false">
      <c r="A902" s="0" t="s">
        <v>2085</v>
      </c>
      <c r="B902" s="2" t="s">
        <v>2411</v>
      </c>
      <c r="C902" s="0" t="s">
        <v>42</v>
      </c>
      <c r="D902" s="0" t="n">
        <v>8055235396</v>
      </c>
      <c r="E902" s="0" t="s">
        <v>139</v>
      </c>
      <c r="F902" s="0" t="s">
        <v>2323</v>
      </c>
      <c r="G902" s="0" t="s">
        <v>2086</v>
      </c>
      <c r="H902" s="0" t="s">
        <v>45</v>
      </c>
      <c r="I902" s="3" t="s">
        <v>87</v>
      </c>
      <c r="J902" s="0" t="s">
        <v>2341</v>
      </c>
      <c r="K902" s="0" t="s">
        <v>109</v>
      </c>
      <c r="L902" s="4" t="n">
        <v>110218</v>
      </c>
      <c r="M902" s="0" t="s">
        <v>49</v>
      </c>
      <c r="N902" s="0" t="s">
        <v>63</v>
      </c>
      <c r="O902" s="5" t="n">
        <v>5</v>
      </c>
      <c r="P902" s="0" t="n">
        <v>1.6</v>
      </c>
      <c r="Q902" s="0" t="s">
        <v>92</v>
      </c>
      <c r="R902" s="0" t="s">
        <v>73</v>
      </c>
      <c r="S902" s="0" t="s">
        <v>2340</v>
      </c>
      <c r="T902" s="0" t="s">
        <v>147</v>
      </c>
      <c r="U902" s="5" t="n">
        <v>45</v>
      </c>
      <c r="V902" s="0" t="s">
        <v>2352</v>
      </c>
      <c r="W902" s="0" t="s">
        <v>155</v>
      </c>
      <c r="X902" s="0" t="s">
        <v>128</v>
      </c>
      <c r="Y902" s="0" t="s">
        <v>114</v>
      </c>
      <c r="Z902" s="0" t="s">
        <v>2329</v>
      </c>
      <c r="AA902" s="0" t="s">
        <v>161</v>
      </c>
      <c r="AB902" s="5" t="n">
        <v>40000</v>
      </c>
      <c r="AC902" s="5" t="n">
        <v>31130.9523809524</v>
      </c>
      <c r="AD902" s="0" t="s">
        <v>50</v>
      </c>
      <c r="AE902" s="5" t="n">
        <v>5000</v>
      </c>
      <c r="AF902" s="0" t="s">
        <v>60</v>
      </c>
      <c r="AG902" s="7" t="s">
        <v>2330</v>
      </c>
      <c r="AH902" s="0" t="s">
        <v>50</v>
      </c>
      <c r="AI902" s="0" t="s">
        <v>171</v>
      </c>
      <c r="AJ902" s="0" t="s">
        <v>2331</v>
      </c>
      <c r="AK902" s="0" t="s">
        <v>50</v>
      </c>
      <c r="AL902" s="0" t="s">
        <v>2344</v>
      </c>
      <c r="AM902" s="0" t="s">
        <v>50</v>
      </c>
      <c r="AN902" s="0" t="s">
        <v>2321</v>
      </c>
      <c r="AO902" s="0" t="s">
        <v>63</v>
      </c>
    </row>
    <row r="903" customFormat="false" ht="15" hidden="false" customHeight="false" outlineLevel="0" collapsed="false">
      <c r="A903" s="0" t="s">
        <v>2087</v>
      </c>
      <c r="B903" s="2" t="s">
        <v>2412</v>
      </c>
      <c r="C903" s="0" t="s">
        <v>105</v>
      </c>
      <c r="D903" s="0" t="n">
        <v>8091117376</v>
      </c>
      <c r="E903" s="0" t="s">
        <v>43</v>
      </c>
      <c r="F903" s="0" t="s">
        <v>2315</v>
      </c>
      <c r="G903" s="0" t="s">
        <v>2088</v>
      </c>
      <c r="H903" s="0" t="s">
        <v>69</v>
      </c>
      <c r="I903" s="3" t="s">
        <v>2317</v>
      </c>
      <c r="J903" s="0" t="s">
        <v>2349</v>
      </c>
      <c r="K903" s="0" t="s">
        <v>71</v>
      </c>
      <c r="L903" s="4" t="n">
        <v>94928</v>
      </c>
      <c r="M903" s="0" t="s">
        <v>2333</v>
      </c>
      <c r="N903" s="0" t="s">
        <v>63</v>
      </c>
      <c r="O903" s="5" t="n">
        <v>1</v>
      </c>
      <c r="P903" s="0" t="n">
        <v>1.5</v>
      </c>
      <c r="Q903" s="0" t="s">
        <v>92</v>
      </c>
      <c r="R903" s="0" t="s">
        <v>93</v>
      </c>
      <c r="S903" s="0" t="s">
        <v>2340</v>
      </c>
      <c r="T903" s="0" t="s">
        <v>75</v>
      </c>
      <c r="U903" s="5" t="n">
        <v>45</v>
      </c>
      <c r="V903" s="0" t="s">
        <v>55</v>
      </c>
      <c r="W903" s="0" t="s">
        <v>155</v>
      </c>
      <c r="X903" s="0" t="s">
        <v>98</v>
      </c>
      <c r="Y903" s="0" t="s">
        <v>58</v>
      </c>
      <c r="Z903" s="0" t="s">
        <v>177</v>
      </c>
      <c r="AA903" s="0" t="s">
        <v>79</v>
      </c>
      <c r="AB903" s="5" t="n">
        <v>25714.2857142857</v>
      </c>
      <c r="AC903" s="5" t="n">
        <v>35000</v>
      </c>
      <c r="AD903" s="0" t="s">
        <v>63</v>
      </c>
      <c r="AE903" s="5" t="n">
        <v>5000</v>
      </c>
      <c r="AF903" s="0" t="s">
        <v>130</v>
      </c>
      <c r="AG903" s="7" t="s">
        <v>1432</v>
      </c>
      <c r="AH903" s="0" t="s">
        <v>50</v>
      </c>
      <c r="AI903" s="0" t="s">
        <v>171</v>
      </c>
      <c r="AJ903" s="0" t="s">
        <v>2331</v>
      </c>
      <c r="AK903" s="0" t="s">
        <v>50</v>
      </c>
      <c r="AL903" s="0" t="s">
        <v>63</v>
      </c>
      <c r="AM903" s="0" t="s">
        <v>2344</v>
      </c>
      <c r="AN903" s="0" t="s">
        <v>64</v>
      </c>
      <c r="AO903" s="0" t="s">
        <v>50</v>
      </c>
    </row>
    <row r="904" customFormat="false" ht="15" hidden="false" customHeight="false" outlineLevel="0" collapsed="false">
      <c r="A904" s="0" t="s">
        <v>2089</v>
      </c>
      <c r="B904" s="2" t="s">
        <v>2387</v>
      </c>
      <c r="C904" s="0" t="s">
        <v>42</v>
      </c>
      <c r="D904" s="0" t="n">
        <v>8067640289</v>
      </c>
      <c r="E904" s="0" t="s">
        <v>43</v>
      </c>
      <c r="F904" s="0" t="s">
        <v>2315</v>
      </c>
      <c r="G904" s="0" t="s">
        <v>2090</v>
      </c>
      <c r="H904" s="0" t="s">
        <v>107</v>
      </c>
      <c r="I904" s="3" t="s">
        <v>2325</v>
      </c>
      <c r="J904" s="0" t="s">
        <v>2339</v>
      </c>
      <c r="K904" s="0" t="s">
        <v>109</v>
      </c>
      <c r="L904" s="4" t="n">
        <v>97553</v>
      </c>
      <c r="M904" s="0" t="s">
        <v>110</v>
      </c>
      <c r="N904" s="0" t="s">
        <v>63</v>
      </c>
      <c r="O904" s="5" t="n">
        <v>3.45121951219512</v>
      </c>
      <c r="P904" s="0" t="n">
        <v>5.2</v>
      </c>
      <c r="Q904" s="0" t="s">
        <v>111</v>
      </c>
      <c r="R904" s="0" t="s">
        <v>93</v>
      </c>
      <c r="S904" s="0" t="s">
        <v>2335</v>
      </c>
      <c r="T904" s="0" t="s">
        <v>2353</v>
      </c>
      <c r="U904" s="5" t="n">
        <v>35</v>
      </c>
      <c r="V904" s="0" t="s">
        <v>2352</v>
      </c>
      <c r="W904" s="0" t="s">
        <v>155</v>
      </c>
      <c r="X904" s="0" t="s">
        <v>128</v>
      </c>
      <c r="Y904" s="0" t="s">
        <v>196</v>
      </c>
      <c r="Z904" s="0" t="s">
        <v>59</v>
      </c>
      <c r="AA904" s="0" t="s">
        <v>79</v>
      </c>
      <c r="AB904" s="5" t="n">
        <v>30000</v>
      </c>
      <c r="AC904" s="5" t="n">
        <v>30000</v>
      </c>
      <c r="AD904" s="0" t="s">
        <v>50</v>
      </c>
      <c r="AE904" s="5" t="n">
        <v>5000</v>
      </c>
      <c r="AF904" s="0" t="s">
        <v>130</v>
      </c>
      <c r="AG904" s="7" t="s">
        <v>2387</v>
      </c>
      <c r="AH904" s="0" t="s">
        <v>50</v>
      </c>
      <c r="AI904" s="0" t="s">
        <v>2331</v>
      </c>
      <c r="AJ904" s="0" t="s">
        <v>172</v>
      </c>
      <c r="AK904" s="0" t="s">
        <v>63</v>
      </c>
      <c r="AL904" s="0" t="s">
        <v>2344</v>
      </c>
      <c r="AM904" s="0" t="s">
        <v>50</v>
      </c>
      <c r="AN904" s="0" t="s">
        <v>2318</v>
      </c>
      <c r="AO904" s="0" t="s">
        <v>2359</v>
      </c>
    </row>
    <row r="905" customFormat="false" ht="15" hidden="false" customHeight="false" outlineLevel="0" collapsed="false">
      <c r="A905" s="0" t="s">
        <v>2091</v>
      </c>
      <c r="B905" s="2" t="s">
        <v>626</v>
      </c>
      <c r="C905" s="0" t="s">
        <v>66</v>
      </c>
      <c r="D905" s="0" t="n">
        <v>8055171003</v>
      </c>
      <c r="E905" s="0" t="s">
        <v>139</v>
      </c>
      <c r="F905" s="0" t="s">
        <v>2323</v>
      </c>
      <c r="G905" s="0" t="s">
        <v>2092</v>
      </c>
      <c r="H905" s="0" t="s">
        <v>134</v>
      </c>
      <c r="I905" s="3" t="s">
        <v>2317</v>
      </c>
      <c r="J905" s="0" t="s">
        <v>2339</v>
      </c>
      <c r="K905" s="0" t="s">
        <v>48</v>
      </c>
      <c r="L905" s="4" t="n">
        <v>21014</v>
      </c>
      <c r="M905" s="0" t="s">
        <v>49</v>
      </c>
      <c r="N905" s="0" t="s">
        <v>50</v>
      </c>
      <c r="O905" s="5" t="n">
        <v>3</v>
      </c>
      <c r="P905" s="0" t="n">
        <v>5.8</v>
      </c>
      <c r="Q905" s="0" t="s">
        <v>51</v>
      </c>
      <c r="R905" s="0" t="s">
        <v>73</v>
      </c>
      <c r="S905" s="0" t="s">
        <v>2340</v>
      </c>
      <c r="T905" s="0" t="s">
        <v>95</v>
      </c>
      <c r="U905" s="5" t="n">
        <v>45</v>
      </c>
      <c r="V905" s="0" t="s">
        <v>2352</v>
      </c>
      <c r="W905" s="0" t="s">
        <v>155</v>
      </c>
      <c r="X905" s="0" t="s">
        <v>128</v>
      </c>
      <c r="Y905" s="0" t="s">
        <v>99</v>
      </c>
      <c r="Z905" s="0" t="s">
        <v>59</v>
      </c>
      <c r="AA905" s="0" t="s">
        <v>149</v>
      </c>
      <c r="AB905" s="5" t="n">
        <v>22222.2222222222</v>
      </c>
      <c r="AC905" s="5" t="n">
        <v>30000</v>
      </c>
      <c r="AD905" s="0" t="s">
        <v>50</v>
      </c>
      <c r="AE905" s="5" t="n">
        <v>10000</v>
      </c>
      <c r="AF905" s="0" t="s">
        <v>184</v>
      </c>
      <c r="AG905" s="7" t="s">
        <v>1563</v>
      </c>
      <c r="AH905" s="0" t="s">
        <v>50</v>
      </c>
      <c r="AI905" s="0" t="s">
        <v>171</v>
      </c>
      <c r="AJ905" s="0" t="s">
        <v>117</v>
      </c>
      <c r="AK905" s="0" t="s">
        <v>50</v>
      </c>
      <c r="AL905" s="0" t="s">
        <v>63</v>
      </c>
      <c r="AM905" s="0" t="s">
        <v>2344</v>
      </c>
      <c r="AN905" s="0" t="s">
        <v>64</v>
      </c>
      <c r="AO905" s="0" t="s">
        <v>63</v>
      </c>
    </row>
    <row r="906" customFormat="false" ht="15" hidden="false" customHeight="false" outlineLevel="0" collapsed="false">
      <c r="A906" s="0" t="s">
        <v>2093</v>
      </c>
      <c r="B906" s="2" t="s">
        <v>2370</v>
      </c>
      <c r="C906" s="0" t="s">
        <v>121</v>
      </c>
      <c r="D906" s="0" t="n">
        <v>8059765936</v>
      </c>
      <c r="E906" s="0" t="s">
        <v>139</v>
      </c>
      <c r="F906" s="0" t="s">
        <v>2323</v>
      </c>
      <c r="G906" s="0" t="s">
        <v>2094</v>
      </c>
      <c r="H906" s="0" t="s">
        <v>134</v>
      </c>
      <c r="I906" s="3" t="s">
        <v>2342</v>
      </c>
      <c r="J906" s="0" t="s">
        <v>2341</v>
      </c>
      <c r="K906" s="0" t="s">
        <v>71</v>
      </c>
      <c r="L906" s="4" t="n">
        <v>30687</v>
      </c>
      <c r="M906" s="0" t="s">
        <v>110</v>
      </c>
      <c r="N906" s="0" t="s">
        <v>50</v>
      </c>
      <c r="O906" s="5" t="n">
        <v>2</v>
      </c>
      <c r="P906" s="0" t="n">
        <v>1.4</v>
      </c>
      <c r="Q906" s="0" t="s">
        <v>111</v>
      </c>
      <c r="R906" s="0" t="s">
        <v>73</v>
      </c>
      <c r="S906" s="0" t="s">
        <v>2340</v>
      </c>
      <c r="T906" s="0" t="s">
        <v>147</v>
      </c>
      <c r="U906" s="5" t="n">
        <v>60</v>
      </c>
      <c r="V906" s="0" t="s">
        <v>2352</v>
      </c>
      <c r="W906" s="0" t="s">
        <v>155</v>
      </c>
      <c r="X906" s="0" t="s">
        <v>128</v>
      </c>
      <c r="Y906" s="0" t="s">
        <v>196</v>
      </c>
      <c r="Z906" s="0" t="s">
        <v>177</v>
      </c>
      <c r="AA906" s="0" t="s">
        <v>149</v>
      </c>
      <c r="AB906" s="5" t="n">
        <v>25000</v>
      </c>
      <c r="AC906" s="5" t="n">
        <v>20000</v>
      </c>
      <c r="AD906" s="0" t="s">
        <v>50</v>
      </c>
      <c r="AE906" s="5" t="n">
        <v>0</v>
      </c>
      <c r="AF906" s="0" t="s">
        <v>184</v>
      </c>
      <c r="AG906" s="7" t="s">
        <v>2330</v>
      </c>
      <c r="AH906" s="0" t="s">
        <v>63</v>
      </c>
      <c r="AI906" s="0" t="s">
        <v>116</v>
      </c>
      <c r="AJ906" s="0" t="s">
        <v>2320</v>
      </c>
      <c r="AK906" s="0" t="s">
        <v>50</v>
      </c>
      <c r="AL906" s="0" t="s">
        <v>2344</v>
      </c>
      <c r="AM906" s="0" t="s">
        <v>63</v>
      </c>
      <c r="AN906" s="0" t="s">
        <v>2321</v>
      </c>
      <c r="AO906" s="0" t="s">
        <v>50</v>
      </c>
    </row>
    <row r="907" customFormat="false" ht="15" hidden="false" customHeight="false" outlineLevel="0" collapsed="false">
      <c r="A907" s="0" t="s">
        <v>2095</v>
      </c>
      <c r="B907" s="2" t="s">
        <v>1200</v>
      </c>
      <c r="C907" s="0" t="s">
        <v>163</v>
      </c>
      <c r="D907" s="0" t="n">
        <v>8056047075</v>
      </c>
      <c r="E907" s="0" t="s">
        <v>139</v>
      </c>
      <c r="F907" s="0" t="s">
        <v>2323</v>
      </c>
      <c r="G907" s="0" t="s">
        <v>2096</v>
      </c>
      <c r="H907" s="0" t="s">
        <v>45</v>
      </c>
      <c r="I907" s="3" t="s">
        <v>2325</v>
      </c>
      <c r="J907" s="0" t="s">
        <v>2341</v>
      </c>
      <c r="K907" s="0" t="s">
        <v>71</v>
      </c>
      <c r="L907" s="4" t="n">
        <v>76964</v>
      </c>
      <c r="M907" s="0" t="s">
        <v>110</v>
      </c>
      <c r="N907" s="0" t="s">
        <v>63</v>
      </c>
      <c r="O907" s="5" t="n">
        <v>1</v>
      </c>
      <c r="P907" s="0" t="n">
        <v>1.5</v>
      </c>
      <c r="Q907" s="0" t="s">
        <v>92</v>
      </c>
      <c r="R907" s="0" t="s">
        <v>93</v>
      </c>
      <c r="S907" s="0" t="s">
        <v>2366</v>
      </c>
      <c r="T907" s="0" t="s">
        <v>2343</v>
      </c>
      <c r="U907" s="5" t="n">
        <v>60</v>
      </c>
      <c r="V907" s="0" t="s">
        <v>96</v>
      </c>
      <c r="W907" s="0" t="s">
        <v>2337</v>
      </c>
      <c r="X907" s="0" t="s">
        <v>98</v>
      </c>
      <c r="Y907" s="0" t="s">
        <v>99</v>
      </c>
      <c r="Z907" s="0" t="s">
        <v>2326</v>
      </c>
      <c r="AA907" s="0" t="s">
        <v>161</v>
      </c>
      <c r="AB907" s="5" t="n">
        <v>40000</v>
      </c>
      <c r="AC907" s="5" t="n">
        <v>31250</v>
      </c>
      <c r="AD907" s="0" t="s">
        <v>63</v>
      </c>
      <c r="AE907" s="5" t="n">
        <v>5000</v>
      </c>
      <c r="AF907" s="0" t="s">
        <v>130</v>
      </c>
      <c r="AG907" s="7" t="s">
        <v>559</v>
      </c>
      <c r="AH907" s="0" t="s">
        <v>2329</v>
      </c>
      <c r="AI907" s="0" t="s">
        <v>2331</v>
      </c>
      <c r="AJ907" s="0" t="s">
        <v>172</v>
      </c>
      <c r="AK907" s="0" t="s">
        <v>2344</v>
      </c>
      <c r="AL907" s="0" t="s">
        <v>50</v>
      </c>
      <c r="AM907" s="0" t="s">
        <v>63</v>
      </c>
      <c r="AN907" s="0" t="s">
        <v>64</v>
      </c>
      <c r="AO907" s="0" t="s">
        <v>50</v>
      </c>
    </row>
    <row r="908" customFormat="false" ht="15" hidden="false" customHeight="false" outlineLevel="0" collapsed="false">
      <c r="A908" s="0" t="s">
        <v>2097</v>
      </c>
      <c r="B908" s="2" t="s">
        <v>534</v>
      </c>
      <c r="C908" s="0" t="s">
        <v>121</v>
      </c>
      <c r="D908" s="0" t="n">
        <v>8052308622</v>
      </c>
      <c r="E908" s="0" t="s">
        <v>139</v>
      </c>
      <c r="F908" s="0" t="s">
        <v>2323</v>
      </c>
      <c r="G908" s="0" t="s">
        <v>2098</v>
      </c>
      <c r="H908" s="0" t="s">
        <v>87</v>
      </c>
      <c r="I908" s="3" t="s">
        <v>2317</v>
      </c>
      <c r="J908" s="0" t="s">
        <v>2341</v>
      </c>
      <c r="K908" s="0" t="s">
        <v>71</v>
      </c>
      <c r="L908" s="4" t="n">
        <v>75494</v>
      </c>
      <c r="M908" s="0" t="s">
        <v>49</v>
      </c>
      <c r="N908" s="0" t="s">
        <v>50</v>
      </c>
      <c r="O908" s="5" t="n">
        <v>5</v>
      </c>
      <c r="P908" s="0" t="n">
        <v>5.4</v>
      </c>
      <c r="Q908" s="0" t="s">
        <v>125</v>
      </c>
      <c r="R908" s="0" t="s">
        <v>93</v>
      </c>
      <c r="S908" s="0" t="s">
        <v>2340</v>
      </c>
      <c r="T908" s="0" t="s">
        <v>2353</v>
      </c>
      <c r="U908" s="5" t="n">
        <v>45</v>
      </c>
      <c r="V908" s="0" t="s">
        <v>55</v>
      </c>
      <c r="W908" s="0" t="s">
        <v>148</v>
      </c>
      <c r="X908" s="0" t="s">
        <v>98</v>
      </c>
      <c r="Y908" s="0" t="s">
        <v>99</v>
      </c>
      <c r="Z908" s="0" t="s">
        <v>2329</v>
      </c>
      <c r="AA908" s="0" t="s">
        <v>79</v>
      </c>
      <c r="AB908" s="5" t="n">
        <v>40000</v>
      </c>
      <c r="AC908" s="5" t="n">
        <v>40000</v>
      </c>
      <c r="AD908" s="0" t="s">
        <v>50</v>
      </c>
      <c r="AE908" s="5" t="n">
        <v>5000</v>
      </c>
      <c r="AF908" s="0" t="s">
        <v>60</v>
      </c>
      <c r="AG908" s="7" t="s">
        <v>2469</v>
      </c>
      <c r="AH908" s="0" t="s">
        <v>63</v>
      </c>
      <c r="AI908" s="0" t="s">
        <v>171</v>
      </c>
      <c r="AJ908" s="0" t="s">
        <v>117</v>
      </c>
      <c r="AK908" s="0" t="s">
        <v>63</v>
      </c>
      <c r="AL908" s="0" t="s">
        <v>63</v>
      </c>
      <c r="AM908" s="0" t="s">
        <v>50</v>
      </c>
      <c r="AN908" s="0" t="s">
        <v>64</v>
      </c>
      <c r="AO908" s="0" t="s">
        <v>2359</v>
      </c>
    </row>
    <row r="909" customFormat="false" ht="15" hidden="false" customHeight="false" outlineLevel="0" collapsed="false">
      <c r="A909" s="0" t="s">
        <v>2099</v>
      </c>
      <c r="B909" s="2" t="s">
        <v>225</v>
      </c>
      <c r="C909" s="0" t="s">
        <v>66</v>
      </c>
      <c r="D909" s="0" t="n">
        <v>8042158168</v>
      </c>
      <c r="E909" s="0" t="s">
        <v>85</v>
      </c>
      <c r="F909" s="0" t="s">
        <v>2319</v>
      </c>
      <c r="G909" s="0" t="s">
        <v>2100</v>
      </c>
      <c r="H909" s="0" t="s">
        <v>87</v>
      </c>
      <c r="I909" s="3" t="s">
        <v>2325</v>
      </c>
      <c r="J909" s="0" t="s">
        <v>2341</v>
      </c>
      <c r="K909" s="0" t="s">
        <v>90</v>
      </c>
      <c r="L909" s="4" t="n">
        <v>98387</v>
      </c>
      <c r="M909" s="0" t="s">
        <v>110</v>
      </c>
      <c r="N909" s="0" t="s">
        <v>50</v>
      </c>
      <c r="O909" s="5" t="n">
        <v>2</v>
      </c>
      <c r="P909" s="0" t="n">
        <v>2.6</v>
      </c>
      <c r="Q909" s="0" t="s">
        <v>51</v>
      </c>
      <c r="R909" s="0" t="s">
        <v>73</v>
      </c>
      <c r="S909" s="0" t="s">
        <v>53</v>
      </c>
      <c r="T909" s="0" t="s">
        <v>2353</v>
      </c>
      <c r="U909" s="5" t="n">
        <v>45</v>
      </c>
      <c r="V909" s="0" t="s">
        <v>2352</v>
      </c>
      <c r="W909" s="0" t="s">
        <v>155</v>
      </c>
      <c r="X909" s="0" t="s">
        <v>78</v>
      </c>
      <c r="Y909" s="0" t="s">
        <v>196</v>
      </c>
      <c r="Z909" s="0" t="s">
        <v>2326</v>
      </c>
      <c r="AA909" s="0" t="s">
        <v>79</v>
      </c>
      <c r="AB909" s="5" t="n">
        <v>30000</v>
      </c>
      <c r="AC909" s="5" t="n">
        <v>31139.2405063291</v>
      </c>
      <c r="AD909" s="0" t="s">
        <v>63</v>
      </c>
      <c r="AE909" s="5" t="n">
        <v>5000</v>
      </c>
      <c r="AF909" s="0" t="s">
        <v>2338</v>
      </c>
      <c r="AG909" s="7" t="s">
        <v>1097</v>
      </c>
      <c r="AH909" s="0" t="s">
        <v>50</v>
      </c>
      <c r="AI909" s="0" t="s">
        <v>2331</v>
      </c>
      <c r="AJ909" s="0" t="s">
        <v>2331</v>
      </c>
      <c r="AK909" s="0" t="s">
        <v>50</v>
      </c>
      <c r="AL909" s="0" t="s">
        <v>50</v>
      </c>
      <c r="AM909" s="0" t="s">
        <v>2344</v>
      </c>
      <c r="AN909" s="0" t="s">
        <v>2318</v>
      </c>
      <c r="AO909" s="0" t="s">
        <v>2359</v>
      </c>
    </row>
    <row r="910" customFormat="false" ht="15" hidden="false" customHeight="false" outlineLevel="0" collapsed="false">
      <c r="A910" s="0" t="s">
        <v>2101</v>
      </c>
      <c r="B910" s="2" t="s">
        <v>1200</v>
      </c>
      <c r="C910" s="0" t="s">
        <v>42</v>
      </c>
      <c r="D910" s="0" t="n">
        <v>8058480869</v>
      </c>
      <c r="E910" s="0" t="s">
        <v>43</v>
      </c>
      <c r="F910" s="0" t="s">
        <v>2315</v>
      </c>
      <c r="G910" s="0" t="s">
        <v>2102</v>
      </c>
      <c r="H910" s="0" t="s">
        <v>87</v>
      </c>
      <c r="I910" s="3" t="s">
        <v>2325</v>
      </c>
      <c r="J910" s="0" t="s">
        <v>47</v>
      </c>
      <c r="K910" s="0" t="s">
        <v>48</v>
      </c>
      <c r="L910" s="4" t="n">
        <v>117104</v>
      </c>
      <c r="M910" s="0" t="s">
        <v>49</v>
      </c>
      <c r="N910" s="0" t="s">
        <v>50</v>
      </c>
      <c r="O910" s="5" t="n">
        <v>4</v>
      </c>
      <c r="P910" s="0" t="n">
        <v>4.3</v>
      </c>
      <c r="Q910" s="0" t="s">
        <v>92</v>
      </c>
      <c r="R910" s="0" t="s">
        <v>93</v>
      </c>
      <c r="S910" s="0" t="s">
        <v>2335</v>
      </c>
      <c r="T910" s="0" t="s">
        <v>95</v>
      </c>
      <c r="U910" s="5" t="n">
        <v>15</v>
      </c>
      <c r="V910" s="0" t="s">
        <v>2336</v>
      </c>
      <c r="W910" s="0" t="s">
        <v>2337</v>
      </c>
      <c r="X910" s="0" t="s">
        <v>98</v>
      </c>
      <c r="Y910" s="0" t="s">
        <v>99</v>
      </c>
      <c r="Z910" s="0" t="s">
        <v>2329</v>
      </c>
      <c r="AA910" s="0" t="s">
        <v>2329</v>
      </c>
      <c r="AB910" s="5" t="n">
        <v>30000</v>
      </c>
      <c r="AC910" s="5" t="n">
        <v>30000</v>
      </c>
      <c r="AD910" s="0" t="s">
        <v>50</v>
      </c>
      <c r="AE910" s="5" t="n">
        <v>5000</v>
      </c>
      <c r="AF910" s="0" t="s">
        <v>2338</v>
      </c>
      <c r="AG910" s="7" t="s">
        <v>781</v>
      </c>
      <c r="AH910" s="0" t="s">
        <v>63</v>
      </c>
      <c r="AI910" s="0" t="s">
        <v>2331</v>
      </c>
      <c r="AJ910" s="0" t="s">
        <v>2331</v>
      </c>
      <c r="AK910" s="0" t="s">
        <v>63</v>
      </c>
      <c r="AL910" s="0" t="s">
        <v>50</v>
      </c>
      <c r="AM910" s="0" t="s">
        <v>63</v>
      </c>
      <c r="AN910" s="0" t="s">
        <v>2318</v>
      </c>
      <c r="AO910" s="0" t="s">
        <v>50</v>
      </c>
    </row>
    <row r="911" customFormat="false" ht="15" hidden="false" customHeight="false" outlineLevel="0" collapsed="false">
      <c r="A911" s="0" t="s">
        <v>2103</v>
      </c>
      <c r="B911" s="2" t="s">
        <v>371</v>
      </c>
      <c r="C911" s="0" t="s">
        <v>121</v>
      </c>
      <c r="D911" s="0" t="n">
        <v>8099265296</v>
      </c>
      <c r="E911" s="0" t="s">
        <v>67</v>
      </c>
      <c r="F911" s="0" t="s">
        <v>2316</v>
      </c>
      <c r="G911" s="0" t="s">
        <v>2104</v>
      </c>
      <c r="H911" s="0" t="s">
        <v>107</v>
      </c>
      <c r="I911" s="3" t="s">
        <v>2317</v>
      </c>
      <c r="J911" s="0" t="s">
        <v>189</v>
      </c>
      <c r="K911" s="0" t="s">
        <v>71</v>
      </c>
      <c r="L911" s="4" t="n">
        <v>87388</v>
      </c>
      <c r="M911" s="0" t="s">
        <v>49</v>
      </c>
      <c r="N911" s="0" t="s">
        <v>50</v>
      </c>
      <c r="O911" s="5" t="n">
        <v>5</v>
      </c>
      <c r="P911" s="0" t="n">
        <v>3.8</v>
      </c>
      <c r="Q911" s="0" t="s">
        <v>51</v>
      </c>
      <c r="R911" s="0" t="s">
        <v>73</v>
      </c>
      <c r="S911" s="0" t="s">
        <v>2340</v>
      </c>
      <c r="T911" s="0" t="s">
        <v>2343</v>
      </c>
      <c r="U911" s="5" t="n">
        <v>60</v>
      </c>
      <c r="V911" s="0" t="s">
        <v>2352</v>
      </c>
      <c r="W911" s="0" t="s">
        <v>155</v>
      </c>
      <c r="X911" s="0" t="s">
        <v>128</v>
      </c>
      <c r="Y911" s="0" t="s">
        <v>196</v>
      </c>
      <c r="Z911" s="0" t="s">
        <v>2329</v>
      </c>
      <c r="AA911" s="0" t="s">
        <v>79</v>
      </c>
      <c r="AB911" s="5" t="n">
        <v>25000</v>
      </c>
      <c r="AC911" s="5" t="n">
        <v>35000</v>
      </c>
      <c r="AD911" s="0" t="s">
        <v>50</v>
      </c>
      <c r="AE911" s="5" t="n">
        <v>5000</v>
      </c>
      <c r="AF911" s="0" t="s">
        <v>2338</v>
      </c>
      <c r="AG911" s="7" t="s">
        <v>2330</v>
      </c>
      <c r="AH911" s="0" t="s">
        <v>2329</v>
      </c>
      <c r="AI911" s="0" t="s">
        <v>171</v>
      </c>
      <c r="AJ911" s="0" t="s">
        <v>2320</v>
      </c>
      <c r="AK911" s="0" t="s">
        <v>63</v>
      </c>
      <c r="AL911" s="0" t="s">
        <v>50</v>
      </c>
      <c r="AM911" s="0" t="s">
        <v>2344</v>
      </c>
      <c r="AN911" s="0" t="s">
        <v>64</v>
      </c>
      <c r="AO911" s="0" t="s">
        <v>50</v>
      </c>
    </row>
    <row r="912" customFormat="false" ht="15" hidden="false" customHeight="false" outlineLevel="0" collapsed="false">
      <c r="A912" s="0" t="s">
        <v>2105</v>
      </c>
      <c r="B912" s="2" t="s">
        <v>458</v>
      </c>
      <c r="C912" s="0" t="s">
        <v>105</v>
      </c>
      <c r="D912" s="0" t="n">
        <v>8063481919</v>
      </c>
      <c r="E912" s="0" t="s">
        <v>67</v>
      </c>
      <c r="F912" s="0" t="s">
        <v>2316</v>
      </c>
      <c r="G912" s="0" t="s">
        <v>2106</v>
      </c>
      <c r="H912" s="0" t="s">
        <v>107</v>
      </c>
      <c r="I912" s="3" t="s">
        <v>2317</v>
      </c>
      <c r="J912" s="0" t="s">
        <v>47</v>
      </c>
      <c r="K912" s="0" t="s">
        <v>109</v>
      </c>
      <c r="L912" s="4" t="n">
        <v>45443</v>
      </c>
      <c r="M912" s="0" t="s">
        <v>2333</v>
      </c>
      <c r="N912" s="0" t="s">
        <v>50</v>
      </c>
      <c r="O912" s="5" t="n">
        <v>4</v>
      </c>
      <c r="P912" s="0" t="n">
        <v>2.8</v>
      </c>
      <c r="Q912" s="0" t="s">
        <v>92</v>
      </c>
      <c r="R912" s="0" t="s">
        <v>73</v>
      </c>
      <c r="S912" s="0" t="s">
        <v>2366</v>
      </c>
      <c r="T912" s="0" t="s">
        <v>2343</v>
      </c>
      <c r="U912" s="5" t="n">
        <v>45</v>
      </c>
      <c r="V912" s="0" t="s">
        <v>55</v>
      </c>
      <c r="W912" s="0" t="s">
        <v>155</v>
      </c>
      <c r="X912" s="0" t="s">
        <v>98</v>
      </c>
      <c r="Y912" s="0" t="s">
        <v>114</v>
      </c>
      <c r="Z912" s="0" t="s">
        <v>2329</v>
      </c>
      <c r="AA912" s="0" t="s">
        <v>79</v>
      </c>
      <c r="AB912" s="5" t="n">
        <v>30000</v>
      </c>
      <c r="AC912" s="5" t="n">
        <v>20000</v>
      </c>
      <c r="AD912" s="0" t="s">
        <v>50</v>
      </c>
      <c r="AE912" s="5" t="n">
        <v>5000</v>
      </c>
      <c r="AF912" s="0" t="s">
        <v>184</v>
      </c>
      <c r="AG912" s="7" t="s">
        <v>2330</v>
      </c>
      <c r="AH912" s="0" t="s">
        <v>50</v>
      </c>
      <c r="AI912" s="0" t="s">
        <v>2331</v>
      </c>
      <c r="AJ912" s="0" t="s">
        <v>2320</v>
      </c>
      <c r="AK912" s="0" t="s">
        <v>2344</v>
      </c>
      <c r="AL912" s="0" t="s">
        <v>63</v>
      </c>
      <c r="AM912" s="0" t="s">
        <v>2344</v>
      </c>
      <c r="AN912" s="0" t="s">
        <v>64</v>
      </c>
      <c r="AO912" s="0" t="s">
        <v>63</v>
      </c>
    </row>
    <row r="913" customFormat="false" ht="15" hidden="false" customHeight="false" outlineLevel="0" collapsed="false">
      <c r="A913" s="0" t="s">
        <v>2107</v>
      </c>
      <c r="B913" s="2" t="s">
        <v>2082</v>
      </c>
      <c r="C913" s="0" t="s">
        <v>66</v>
      </c>
      <c r="D913" s="0" t="n">
        <v>8060792779</v>
      </c>
      <c r="E913" s="0" t="s">
        <v>139</v>
      </c>
      <c r="F913" s="0" t="s">
        <v>2323</v>
      </c>
      <c r="G913" s="0" t="s">
        <v>2108</v>
      </c>
      <c r="H913" s="0" t="s">
        <v>134</v>
      </c>
      <c r="I913" s="3" t="s">
        <v>87</v>
      </c>
      <c r="J913" s="0" t="s">
        <v>2349</v>
      </c>
      <c r="K913" s="0" t="s">
        <v>71</v>
      </c>
      <c r="L913" s="4" t="n">
        <v>113738</v>
      </c>
      <c r="M913" s="0" t="s">
        <v>110</v>
      </c>
      <c r="N913" s="0" t="s">
        <v>63</v>
      </c>
      <c r="O913" s="5" t="n">
        <v>4</v>
      </c>
      <c r="P913" s="0" t="n">
        <v>2.3</v>
      </c>
      <c r="Q913" s="0" t="s">
        <v>125</v>
      </c>
      <c r="R913" s="0" t="s">
        <v>93</v>
      </c>
      <c r="S913" s="0" t="s">
        <v>2340</v>
      </c>
      <c r="T913" s="0" t="s">
        <v>147</v>
      </c>
      <c r="U913" s="5" t="n">
        <v>30</v>
      </c>
      <c r="V913" s="0" t="s">
        <v>55</v>
      </c>
      <c r="W913" s="0" t="s">
        <v>2337</v>
      </c>
      <c r="X913" s="0" t="s">
        <v>128</v>
      </c>
      <c r="Y913" s="0" t="s">
        <v>196</v>
      </c>
      <c r="Z913" s="0" t="s">
        <v>2329</v>
      </c>
      <c r="AA913" s="0" t="s">
        <v>2329</v>
      </c>
      <c r="AB913" s="5" t="n">
        <v>25714.2857142857</v>
      </c>
      <c r="AC913" s="5" t="n">
        <v>30000</v>
      </c>
      <c r="AD913" s="0" t="s">
        <v>63</v>
      </c>
      <c r="AE913" s="5" t="n">
        <v>0</v>
      </c>
      <c r="AF913" s="0" t="s">
        <v>184</v>
      </c>
      <c r="AG913" s="7" t="s">
        <v>1155</v>
      </c>
      <c r="AH913" s="0" t="s">
        <v>63</v>
      </c>
      <c r="AI913" s="0" t="s">
        <v>116</v>
      </c>
      <c r="AJ913" s="0" t="s">
        <v>117</v>
      </c>
      <c r="AK913" s="0" t="s">
        <v>50</v>
      </c>
      <c r="AL913" s="0" t="s">
        <v>50</v>
      </c>
      <c r="AM913" s="0" t="s">
        <v>2344</v>
      </c>
      <c r="AN913" s="0" t="s">
        <v>2318</v>
      </c>
      <c r="AO913" s="0" t="s">
        <v>63</v>
      </c>
    </row>
    <row r="914" customFormat="false" ht="15" hidden="false" customHeight="false" outlineLevel="0" collapsed="false">
      <c r="A914" s="0" t="s">
        <v>2109</v>
      </c>
      <c r="B914" s="2" t="s">
        <v>1865</v>
      </c>
      <c r="C914" s="0" t="s">
        <v>42</v>
      </c>
      <c r="D914" s="0" t="n">
        <v>8091981404</v>
      </c>
      <c r="E914" s="0" t="s">
        <v>139</v>
      </c>
      <c r="F914" s="0" t="s">
        <v>2323</v>
      </c>
      <c r="G914" s="0" t="s">
        <v>2110</v>
      </c>
      <c r="H914" s="0" t="s">
        <v>107</v>
      </c>
      <c r="I914" s="3" t="s">
        <v>2322</v>
      </c>
      <c r="J914" s="0" t="s">
        <v>2347</v>
      </c>
      <c r="K914" s="0" t="s">
        <v>71</v>
      </c>
      <c r="L914" s="4" t="n">
        <v>31672</v>
      </c>
      <c r="M914" s="0" t="s">
        <v>2333</v>
      </c>
      <c r="N914" s="0" t="s">
        <v>63</v>
      </c>
      <c r="O914" s="5" t="n">
        <v>1</v>
      </c>
      <c r="P914" s="0" t="n">
        <v>3.5</v>
      </c>
      <c r="Q914" s="0" t="s">
        <v>92</v>
      </c>
      <c r="R914" s="0" t="s">
        <v>52</v>
      </c>
      <c r="S914" s="0" t="s">
        <v>2340</v>
      </c>
      <c r="T914" s="0" t="s">
        <v>2353</v>
      </c>
      <c r="U914" s="5" t="n">
        <v>60</v>
      </c>
      <c r="V914" s="0" t="s">
        <v>112</v>
      </c>
      <c r="W914" s="0" t="s">
        <v>155</v>
      </c>
      <c r="X914" s="0" t="s">
        <v>128</v>
      </c>
      <c r="Y914" s="0" t="s">
        <v>58</v>
      </c>
      <c r="Z914" s="0" t="s">
        <v>2329</v>
      </c>
      <c r="AA914" s="0" t="s">
        <v>2329</v>
      </c>
      <c r="AB914" s="5" t="n">
        <v>25000</v>
      </c>
      <c r="AC914" s="5" t="n">
        <v>40000</v>
      </c>
      <c r="AD914" s="0" t="s">
        <v>50</v>
      </c>
      <c r="AE914" s="5" t="n">
        <v>5000</v>
      </c>
      <c r="AF914" s="0" t="s">
        <v>60</v>
      </c>
      <c r="AG914" s="7" t="s">
        <v>2330</v>
      </c>
      <c r="AH914" s="0" t="s">
        <v>63</v>
      </c>
      <c r="AI914" s="0" t="s">
        <v>2331</v>
      </c>
      <c r="AJ914" s="0" t="s">
        <v>2320</v>
      </c>
      <c r="AK914" s="0" t="s">
        <v>50</v>
      </c>
      <c r="AL914" s="0" t="s">
        <v>50</v>
      </c>
      <c r="AM914" s="0" t="s">
        <v>2344</v>
      </c>
      <c r="AN914" s="0" t="s">
        <v>2321</v>
      </c>
      <c r="AO914" s="0" t="s">
        <v>2359</v>
      </c>
    </row>
    <row r="915" customFormat="false" ht="15" hidden="false" customHeight="false" outlineLevel="0" collapsed="false">
      <c r="A915" s="0" t="s">
        <v>2111</v>
      </c>
      <c r="B915" s="2" t="s">
        <v>1460</v>
      </c>
      <c r="C915" s="0" t="s">
        <v>163</v>
      </c>
      <c r="D915" s="0" t="n">
        <v>8017682829</v>
      </c>
      <c r="E915" s="0" t="s">
        <v>85</v>
      </c>
      <c r="F915" s="0" t="s">
        <v>2319</v>
      </c>
      <c r="G915" s="0" t="s">
        <v>2112</v>
      </c>
      <c r="H915" s="0" t="s">
        <v>45</v>
      </c>
      <c r="I915" s="3" t="s">
        <v>87</v>
      </c>
      <c r="J915" s="0" t="s">
        <v>2349</v>
      </c>
      <c r="K915" s="0" t="s">
        <v>71</v>
      </c>
      <c r="L915" s="4" t="n">
        <v>88630</v>
      </c>
      <c r="M915" s="0" t="s">
        <v>110</v>
      </c>
      <c r="N915" s="0" t="s">
        <v>50</v>
      </c>
      <c r="O915" s="5" t="n">
        <v>4</v>
      </c>
      <c r="P915" s="0" t="n">
        <v>4.8</v>
      </c>
      <c r="Q915" s="0" t="s">
        <v>125</v>
      </c>
      <c r="R915" s="0" t="s">
        <v>73</v>
      </c>
      <c r="S915" s="0" t="s">
        <v>2340</v>
      </c>
      <c r="T915" s="0" t="s">
        <v>2353</v>
      </c>
      <c r="U915" s="5" t="n">
        <v>45</v>
      </c>
      <c r="V915" s="0" t="s">
        <v>2352</v>
      </c>
      <c r="W915" s="0" t="s">
        <v>2337</v>
      </c>
      <c r="X915" s="0" t="s">
        <v>98</v>
      </c>
      <c r="Y915" s="0" t="s">
        <v>99</v>
      </c>
      <c r="Z915" s="0" t="s">
        <v>59</v>
      </c>
      <c r="AA915" s="0" t="s">
        <v>2329</v>
      </c>
      <c r="AB915" s="5" t="n">
        <v>25714.2857142857</v>
      </c>
      <c r="AC915" s="5" t="n">
        <v>35000</v>
      </c>
      <c r="AD915" s="0" t="s">
        <v>50</v>
      </c>
      <c r="AE915" s="5" t="n">
        <v>5000</v>
      </c>
      <c r="AF915" s="0" t="s">
        <v>184</v>
      </c>
      <c r="AG915" s="7" t="s">
        <v>2330</v>
      </c>
      <c r="AH915" s="0" t="s">
        <v>50</v>
      </c>
      <c r="AI915" s="0" t="s">
        <v>171</v>
      </c>
      <c r="AJ915" s="0" t="s">
        <v>2331</v>
      </c>
      <c r="AK915" s="0" t="s">
        <v>50</v>
      </c>
      <c r="AL915" s="0" t="s">
        <v>50</v>
      </c>
      <c r="AM915" s="0" t="s">
        <v>50</v>
      </c>
      <c r="AN915" s="0" t="s">
        <v>64</v>
      </c>
      <c r="AO915" s="0" t="s">
        <v>50</v>
      </c>
    </row>
    <row r="916" customFormat="false" ht="15" hidden="false" customHeight="false" outlineLevel="0" collapsed="false">
      <c r="A916" s="0" t="s">
        <v>2113</v>
      </c>
      <c r="B916" s="2" t="s">
        <v>2282</v>
      </c>
      <c r="C916" s="0" t="s">
        <v>42</v>
      </c>
      <c r="D916" s="0" t="n">
        <v>8057785434</v>
      </c>
      <c r="E916" s="0" t="s">
        <v>139</v>
      </c>
      <c r="F916" s="0" t="s">
        <v>2323</v>
      </c>
      <c r="G916" s="0" t="s">
        <v>2114</v>
      </c>
      <c r="H916" s="0" t="s">
        <v>107</v>
      </c>
      <c r="I916" s="3" t="s">
        <v>2325</v>
      </c>
      <c r="J916" s="0" t="s">
        <v>189</v>
      </c>
      <c r="K916" s="0" t="s">
        <v>109</v>
      </c>
      <c r="L916" s="4" t="n">
        <v>97872</v>
      </c>
      <c r="M916" s="0" t="s">
        <v>110</v>
      </c>
      <c r="N916" s="0" t="s">
        <v>63</v>
      </c>
      <c r="O916" s="5" t="n">
        <v>5</v>
      </c>
      <c r="P916" s="0" t="n">
        <v>5.8</v>
      </c>
      <c r="Q916" s="0" t="s">
        <v>51</v>
      </c>
      <c r="R916" s="0" t="s">
        <v>73</v>
      </c>
      <c r="S916" s="0" t="s">
        <v>2335</v>
      </c>
      <c r="T916" s="0" t="s">
        <v>2343</v>
      </c>
      <c r="U916" s="5" t="n">
        <v>15</v>
      </c>
      <c r="V916" s="0" t="s">
        <v>55</v>
      </c>
      <c r="W916" s="0" t="s">
        <v>2328</v>
      </c>
      <c r="X916" s="0" t="s">
        <v>128</v>
      </c>
      <c r="Y916" s="0" t="s">
        <v>196</v>
      </c>
      <c r="Z916" s="0" t="s">
        <v>2329</v>
      </c>
      <c r="AA916" s="0" t="s">
        <v>161</v>
      </c>
      <c r="AB916" s="5" t="n">
        <v>20000</v>
      </c>
      <c r="AC916" s="5" t="n">
        <v>40000</v>
      </c>
      <c r="AD916" s="0" t="s">
        <v>50</v>
      </c>
      <c r="AE916" s="5" t="n">
        <v>5000</v>
      </c>
      <c r="AF916" s="0" t="s">
        <v>60</v>
      </c>
      <c r="AG916" s="7" t="s">
        <v>2330</v>
      </c>
      <c r="AH916" s="0" t="s">
        <v>63</v>
      </c>
      <c r="AI916" s="0" t="s">
        <v>2331</v>
      </c>
      <c r="AJ916" s="0" t="s">
        <v>2331</v>
      </c>
      <c r="AK916" s="0" t="s">
        <v>50</v>
      </c>
      <c r="AL916" s="0" t="s">
        <v>50</v>
      </c>
      <c r="AM916" s="0" t="s">
        <v>63</v>
      </c>
      <c r="AN916" s="0" t="s">
        <v>2321</v>
      </c>
      <c r="AO916" s="0" t="s">
        <v>2359</v>
      </c>
    </row>
    <row r="917" customFormat="false" ht="15" hidden="false" customHeight="false" outlineLevel="0" collapsed="false">
      <c r="A917" s="0" t="s">
        <v>2115</v>
      </c>
      <c r="B917" s="2" t="s">
        <v>2384</v>
      </c>
      <c r="C917" s="0" t="s">
        <v>105</v>
      </c>
      <c r="D917" s="0" t="n">
        <v>8054326109</v>
      </c>
      <c r="E917" s="0" t="s">
        <v>85</v>
      </c>
      <c r="F917" s="0" t="s">
        <v>2319</v>
      </c>
      <c r="G917" s="0" t="s">
        <v>2116</v>
      </c>
      <c r="H917" s="0" t="s">
        <v>87</v>
      </c>
      <c r="I917" s="3" t="s">
        <v>2342</v>
      </c>
      <c r="J917" s="0" t="s">
        <v>2341</v>
      </c>
      <c r="K917" s="0" t="s">
        <v>48</v>
      </c>
      <c r="L917" s="4" t="n">
        <v>65505</v>
      </c>
      <c r="M917" s="0" t="s">
        <v>49</v>
      </c>
      <c r="N917" s="0" t="s">
        <v>63</v>
      </c>
      <c r="O917" s="5" t="n">
        <v>3.47142857142857</v>
      </c>
      <c r="P917" s="0" t="n">
        <v>2.5</v>
      </c>
      <c r="Q917" s="0" t="s">
        <v>2334</v>
      </c>
      <c r="R917" s="0" t="s">
        <v>52</v>
      </c>
      <c r="S917" s="0" t="s">
        <v>2340</v>
      </c>
      <c r="T917" s="0" t="s">
        <v>2353</v>
      </c>
      <c r="U917" s="5" t="n">
        <v>40.9090909090909</v>
      </c>
      <c r="V917" s="0" t="s">
        <v>96</v>
      </c>
      <c r="W917" s="0" t="s">
        <v>155</v>
      </c>
      <c r="X917" s="0" t="s">
        <v>98</v>
      </c>
      <c r="Y917" s="0" t="s">
        <v>99</v>
      </c>
      <c r="Z917" s="0" t="s">
        <v>2329</v>
      </c>
      <c r="AA917" s="0" t="s">
        <v>2329</v>
      </c>
      <c r="AB917" s="5" t="n">
        <v>25000</v>
      </c>
      <c r="AC917" s="5" t="n">
        <v>30000</v>
      </c>
      <c r="AD917" s="0" t="s">
        <v>50</v>
      </c>
      <c r="AE917" s="5" t="n">
        <v>10000</v>
      </c>
      <c r="AF917" s="0" t="s">
        <v>2338</v>
      </c>
      <c r="AG917" s="7" t="s">
        <v>771</v>
      </c>
      <c r="AH917" s="0" t="s">
        <v>2329</v>
      </c>
      <c r="AI917" s="0" t="s">
        <v>171</v>
      </c>
      <c r="AJ917" s="0" t="s">
        <v>117</v>
      </c>
      <c r="AK917" s="0" t="s">
        <v>63</v>
      </c>
      <c r="AL917" s="0" t="s">
        <v>63</v>
      </c>
      <c r="AM917" s="0" t="s">
        <v>2344</v>
      </c>
      <c r="AN917" s="0" t="s">
        <v>64</v>
      </c>
      <c r="AO917" s="0" t="s">
        <v>50</v>
      </c>
    </row>
    <row r="918" customFormat="false" ht="15" hidden="false" customHeight="false" outlineLevel="0" collapsed="false">
      <c r="A918" s="0" t="s">
        <v>2117</v>
      </c>
      <c r="B918" s="2" t="s">
        <v>2378</v>
      </c>
      <c r="C918" s="0" t="s">
        <v>121</v>
      </c>
      <c r="D918" s="0" t="n">
        <v>8023445578</v>
      </c>
      <c r="E918" s="0" t="s">
        <v>85</v>
      </c>
      <c r="F918" s="0" t="s">
        <v>2319</v>
      </c>
      <c r="G918" s="0" t="s">
        <v>2118</v>
      </c>
      <c r="H918" s="0" t="s">
        <v>45</v>
      </c>
      <c r="I918" s="3" t="s">
        <v>2325</v>
      </c>
      <c r="J918" s="0" t="s">
        <v>2349</v>
      </c>
      <c r="K918" s="0" t="s">
        <v>48</v>
      </c>
      <c r="L918" s="4" t="n">
        <v>83359</v>
      </c>
      <c r="M918" s="0" t="s">
        <v>49</v>
      </c>
      <c r="N918" s="0" t="s">
        <v>63</v>
      </c>
      <c r="O918" s="5" t="n">
        <v>1</v>
      </c>
      <c r="P918" s="0" t="n">
        <v>5.9</v>
      </c>
      <c r="Q918" s="0" t="s">
        <v>92</v>
      </c>
      <c r="R918" s="0" t="s">
        <v>73</v>
      </c>
      <c r="S918" s="0" t="s">
        <v>2340</v>
      </c>
      <c r="T918" s="0" t="s">
        <v>75</v>
      </c>
      <c r="U918" s="5" t="n">
        <v>60</v>
      </c>
      <c r="V918" s="0" t="s">
        <v>2352</v>
      </c>
      <c r="W918" s="0" t="s">
        <v>148</v>
      </c>
      <c r="X918" s="0" t="s">
        <v>128</v>
      </c>
      <c r="Y918" s="0" t="s">
        <v>196</v>
      </c>
      <c r="Z918" s="0" t="s">
        <v>2326</v>
      </c>
      <c r="AA918" s="0" t="s">
        <v>149</v>
      </c>
      <c r="AB918" s="5" t="n">
        <v>40000</v>
      </c>
      <c r="AC918" s="5" t="n">
        <v>30000</v>
      </c>
      <c r="AD918" s="0" t="s">
        <v>50</v>
      </c>
      <c r="AE918" s="5" t="n">
        <v>0</v>
      </c>
      <c r="AF918" s="0" t="s">
        <v>60</v>
      </c>
      <c r="AG918" s="7" t="s">
        <v>2330</v>
      </c>
      <c r="AH918" s="0" t="s">
        <v>50</v>
      </c>
      <c r="AI918" s="0" t="s">
        <v>2331</v>
      </c>
      <c r="AJ918" s="0" t="s">
        <v>2320</v>
      </c>
      <c r="AK918" s="0" t="s">
        <v>63</v>
      </c>
      <c r="AL918" s="0" t="s">
        <v>63</v>
      </c>
      <c r="AM918" s="0" t="s">
        <v>2344</v>
      </c>
      <c r="AN918" s="0" t="s">
        <v>64</v>
      </c>
      <c r="AO918" s="0" t="s">
        <v>63</v>
      </c>
    </row>
    <row r="919" customFormat="false" ht="15" hidden="false" customHeight="false" outlineLevel="0" collapsed="false">
      <c r="A919" s="0" t="s">
        <v>2119</v>
      </c>
      <c r="B919" s="2" t="s">
        <v>2409</v>
      </c>
      <c r="C919" s="0" t="s">
        <v>42</v>
      </c>
      <c r="D919" s="0" t="n">
        <v>8010414016</v>
      </c>
      <c r="E919" s="0" t="s">
        <v>139</v>
      </c>
      <c r="F919" s="0" t="s">
        <v>2323</v>
      </c>
      <c r="G919" s="0" t="s">
        <v>2120</v>
      </c>
      <c r="H919" s="0" t="s">
        <v>69</v>
      </c>
      <c r="I919" s="3" t="s">
        <v>2317</v>
      </c>
      <c r="J919" s="0" t="s">
        <v>47</v>
      </c>
      <c r="K919" s="0" t="s">
        <v>109</v>
      </c>
      <c r="L919" s="4" t="n">
        <v>76150</v>
      </c>
      <c r="M919" s="0" t="s">
        <v>49</v>
      </c>
      <c r="N919" s="0" t="s">
        <v>50</v>
      </c>
      <c r="O919" s="5" t="n">
        <v>3</v>
      </c>
      <c r="P919" s="0" t="n">
        <v>1.9</v>
      </c>
      <c r="Q919" s="0" t="s">
        <v>125</v>
      </c>
      <c r="R919" s="0" t="s">
        <v>52</v>
      </c>
      <c r="S919" s="0" t="s">
        <v>2366</v>
      </c>
      <c r="T919" s="0" t="s">
        <v>54</v>
      </c>
      <c r="U919" s="5" t="n">
        <v>38.4375</v>
      </c>
      <c r="V919" s="0" t="s">
        <v>96</v>
      </c>
      <c r="W919" s="0" t="s">
        <v>148</v>
      </c>
      <c r="X919" s="0" t="s">
        <v>128</v>
      </c>
      <c r="Y919" s="0" t="s">
        <v>196</v>
      </c>
      <c r="Z919" s="0" t="s">
        <v>59</v>
      </c>
      <c r="AA919" s="0" t="s">
        <v>2329</v>
      </c>
      <c r="AB919" s="5" t="n">
        <v>30000</v>
      </c>
      <c r="AC919" s="5" t="n">
        <v>40000</v>
      </c>
      <c r="AD919" s="0" t="s">
        <v>50</v>
      </c>
      <c r="AE919" s="5" t="n">
        <v>5000</v>
      </c>
      <c r="AF919" s="0" t="s">
        <v>60</v>
      </c>
      <c r="AG919" s="7" t="s">
        <v>2443</v>
      </c>
      <c r="AH919" s="0" t="s">
        <v>63</v>
      </c>
      <c r="AI919" s="0" t="s">
        <v>116</v>
      </c>
      <c r="AJ919" s="0" t="s">
        <v>2331</v>
      </c>
      <c r="AK919" s="0" t="s">
        <v>50</v>
      </c>
      <c r="AL919" s="0" t="s">
        <v>50</v>
      </c>
      <c r="AM919" s="0" t="s">
        <v>63</v>
      </c>
      <c r="AN919" s="0" t="s">
        <v>2318</v>
      </c>
      <c r="AO919" s="0" t="s">
        <v>2359</v>
      </c>
    </row>
    <row r="920" customFormat="false" ht="15" hidden="false" customHeight="false" outlineLevel="0" collapsed="false">
      <c r="A920" s="0" t="s">
        <v>2121</v>
      </c>
      <c r="B920" s="2" t="s">
        <v>225</v>
      </c>
      <c r="C920" s="0" t="s">
        <v>105</v>
      </c>
      <c r="D920" s="0" t="n">
        <v>8071326664</v>
      </c>
      <c r="E920" s="0" t="s">
        <v>85</v>
      </c>
      <c r="F920" s="0" t="s">
        <v>2319</v>
      </c>
      <c r="G920" s="0" t="s">
        <v>2122</v>
      </c>
      <c r="H920" s="0" t="s">
        <v>87</v>
      </c>
      <c r="I920" s="3" t="s">
        <v>2322</v>
      </c>
      <c r="J920" s="0" t="s">
        <v>2341</v>
      </c>
      <c r="K920" s="0" t="s">
        <v>109</v>
      </c>
      <c r="L920" s="4" t="n">
        <v>29718</v>
      </c>
      <c r="M920" s="0" t="s">
        <v>2333</v>
      </c>
      <c r="N920" s="0" t="s">
        <v>50</v>
      </c>
      <c r="O920" s="5" t="n">
        <v>5</v>
      </c>
      <c r="P920" s="0" t="n">
        <v>2.3</v>
      </c>
      <c r="Q920" s="0" t="s">
        <v>92</v>
      </c>
      <c r="R920" s="0" t="s">
        <v>52</v>
      </c>
      <c r="S920" s="0" t="s">
        <v>2366</v>
      </c>
      <c r="T920" s="0" t="s">
        <v>54</v>
      </c>
      <c r="U920" s="5" t="n">
        <v>60</v>
      </c>
      <c r="V920" s="0" t="s">
        <v>112</v>
      </c>
      <c r="W920" s="0" t="s">
        <v>155</v>
      </c>
      <c r="X920" s="0" t="s">
        <v>78</v>
      </c>
      <c r="Y920" s="0" t="s">
        <v>58</v>
      </c>
      <c r="Z920" s="0" t="s">
        <v>2324</v>
      </c>
      <c r="AA920" s="0" t="s">
        <v>143</v>
      </c>
      <c r="AB920" s="5" t="n">
        <v>25000</v>
      </c>
      <c r="AC920" s="5" t="n">
        <v>20000</v>
      </c>
      <c r="AD920" s="0" t="s">
        <v>50</v>
      </c>
      <c r="AE920" s="5" t="n">
        <v>10000</v>
      </c>
      <c r="AF920" s="0" t="s">
        <v>2338</v>
      </c>
      <c r="AG920" s="7" t="s">
        <v>2330</v>
      </c>
      <c r="AH920" s="0" t="s">
        <v>50</v>
      </c>
      <c r="AI920" s="0" t="s">
        <v>171</v>
      </c>
      <c r="AJ920" s="0" t="s">
        <v>2331</v>
      </c>
      <c r="AK920" s="0" t="s">
        <v>2344</v>
      </c>
      <c r="AL920" s="0" t="s">
        <v>2344</v>
      </c>
      <c r="AM920" s="0" t="s">
        <v>50</v>
      </c>
      <c r="AN920" s="0" t="s">
        <v>2318</v>
      </c>
      <c r="AO920" s="0" t="s">
        <v>50</v>
      </c>
    </row>
    <row r="921" customFormat="false" ht="15" hidden="false" customHeight="false" outlineLevel="0" collapsed="false">
      <c r="A921" s="0" t="s">
        <v>2123</v>
      </c>
      <c r="B921" s="2" t="s">
        <v>531</v>
      </c>
      <c r="C921" s="0" t="s">
        <v>105</v>
      </c>
      <c r="D921" s="0" t="n">
        <v>8063929804</v>
      </c>
      <c r="E921" s="0" t="s">
        <v>85</v>
      </c>
      <c r="F921" s="0" t="s">
        <v>2319</v>
      </c>
      <c r="G921" s="0" t="s">
        <v>2124</v>
      </c>
      <c r="H921" s="0" t="s">
        <v>107</v>
      </c>
      <c r="I921" s="3" t="s">
        <v>2342</v>
      </c>
      <c r="J921" s="0" t="s">
        <v>2341</v>
      </c>
      <c r="K921" s="0" t="s">
        <v>109</v>
      </c>
      <c r="L921" s="4" t="n">
        <v>70733</v>
      </c>
      <c r="M921" s="0" t="s">
        <v>110</v>
      </c>
      <c r="N921" s="0" t="s">
        <v>50</v>
      </c>
      <c r="O921" s="5" t="n">
        <v>4</v>
      </c>
      <c r="P921" s="0" t="n">
        <v>5.2</v>
      </c>
      <c r="Q921" s="0" t="s">
        <v>111</v>
      </c>
      <c r="R921" s="0" t="s">
        <v>73</v>
      </c>
      <c r="S921" s="0" t="s">
        <v>53</v>
      </c>
      <c r="T921" s="0" t="s">
        <v>147</v>
      </c>
      <c r="U921" s="5" t="n">
        <v>45</v>
      </c>
      <c r="V921" s="0" t="s">
        <v>112</v>
      </c>
      <c r="W921" s="0" t="s">
        <v>2337</v>
      </c>
      <c r="X921" s="0" t="s">
        <v>98</v>
      </c>
      <c r="Y921" s="0" t="s">
        <v>196</v>
      </c>
      <c r="Z921" s="0" t="s">
        <v>2329</v>
      </c>
      <c r="AA921" s="0" t="s">
        <v>149</v>
      </c>
      <c r="AB921" s="5" t="n">
        <v>25000</v>
      </c>
      <c r="AC921" s="5" t="n">
        <v>30000</v>
      </c>
      <c r="AD921" s="0" t="s">
        <v>50</v>
      </c>
      <c r="AE921" s="5" t="n">
        <v>0</v>
      </c>
      <c r="AF921" s="0" t="s">
        <v>130</v>
      </c>
      <c r="AG921" s="7" t="s">
        <v>2125</v>
      </c>
      <c r="AH921" s="0" t="s">
        <v>50</v>
      </c>
      <c r="AI921" s="0" t="s">
        <v>116</v>
      </c>
      <c r="AJ921" s="0" t="s">
        <v>2320</v>
      </c>
      <c r="AK921" s="0" t="s">
        <v>63</v>
      </c>
      <c r="AL921" s="0" t="s">
        <v>50</v>
      </c>
      <c r="AM921" s="0" t="s">
        <v>2344</v>
      </c>
      <c r="AN921" s="0" t="s">
        <v>2321</v>
      </c>
      <c r="AO921" s="0" t="s">
        <v>50</v>
      </c>
    </row>
    <row r="922" customFormat="false" ht="15" hidden="false" customHeight="false" outlineLevel="0" collapsed="false">
      <c r="A922" s="0" t="s">
        <v>2126</v>
      </c>
      <c r="B922" s="2" t="s">
        <v>975</v>
      </c>
      <c r="C922" s="0" t="s">
        <v>105</v>
      </c>
      <c r="D922" s="0" t="n">
        <v>8028637880</v>
      </c>
      <c r="E922" s="0" t="s">
        <v>67</v>
      </c>
      <c r="F922" s="0" t="s">
        <v>2316</v>
      </c>
      <c r="G922" s="0" t="s">
        <v>2127</v>
      </c>
      <c r="H922" s="0" t="s">
        <v>45</v>
      </c>
      <c r="I922" s="3" t="s">
        <v>2322</v>
      </c>
      <c r="J922" s="0" t="s">
        <v>2339</v>
      </c>
      <c r="K922" s="0" t="s">
        <v>71</v>
      </c>
      <c r="L922" s="4" t="n">
        <v>105185</v>
      </c>
      <c r="M922" s="0" t="s">
        <v>49</v>
      </c>
      <c r="N922" s="0" t="s">
        <v>63</v>
      </c>
      <c r="O922" s="5" t="n">
        <v>5</v>
      </c>
      <c r="P922" s="0" t="n">
        <v>1.1</v>
      </c>
      <c r="Q922" s="0" t="s">
        <v>51</v>
      </c>
      <c r="R922" s="0" t="s">
        <v>93</v>
      </c>
      <c r="S922" s="0" t="s">
        <v>53</v>
      </c>
      <c r="T922" s="0" t="s">
        <v>147</v>
      </c>
      <c r="U922" s="5" t="n">
        <v>15</v>
      </c>
      <c r="V922" s="0" t="s">
        <v>55</v>
      </c>
      <c r="W922" s="0" t="s">
        <v>155</v>
      </c>
      <c r="X922" s="0" t="s">
        <v>128</v>
      </c>
      <c r="Y922" s="0" t="s">
        <v>114</v>
      </c>
      <c r="Z922" s="0" t="s">
        <v>177</v>
      </c>
      <c r="AA922" s="0" t="s">
        <v>79</v>
      </c>
      <c r="AB922" s="5" t="n">
        <v>20000</v>
      </c>
      <c r="AC922" s="5" t="n">
        <v>40000</v>
      </c>
      <c r="AD922" s="0" t="s">
        <v>63</v>
      </c>
      <c r="AE922" s="5" t="n">
        <v>5000</v>
      </c>
      <c r="AF922" s="0" t="s">
        <v>184</v>
      </c>
      <c r="AG922" s="7" t="s">
        <v>2460</v>
      </c>
      <c r="AH922" s="0" t="s">
        <v>63</v>
      </c>
      <c r="AI922" s="0" t="s">
        <v>171</v>
      </c>
      <c r="AJ922" s="0" t="s">
        <v>172</v>
      </c>
      <c r="AK922" s="0" t="s">
        <v>63</v>
      </c>
      <c r="AL922" s="0" t="s">
        <v>50</v>
      </c>
      <c r="AM922" s="0" t="s">
        <v>63</v>
      </c>
      <c r="AN922" s="0" t="s">
        <v>2321</v>
      </c>
      <c r="AO922" s="0" t="s">
        <v>63</v>
      </c>
    </row>
    <row r="923" customFormat="false" ht="15" hidden="false" customHeight="false" outlineLevel="0" collapsed="false">
      <c r="A923" s="0" t="s">
        <v>2128</v>
      </c>
      <c r="B923" s="2" t="s">
        <v>2368</v>
      </c>
      <c r="C923" s="0" t="s">
        <v>66</v>
      </c>
      <c r="D923" s="0" t="n">
        <v>8013446768</v>
      </c>
      <c r="E923" s="0" t="s">
        <v>139</v>
      </c>
      <c r="F923" s="0" t="s">
        <v>2323</v>
      </c>
      <c r="G923" s="0" t="s">
        <v>1624</v>
      </c>
      <c r="H923" s="0" t="s">
        <v>69</v>
      </c>
      <c r="I923" s="3" t="s">
        <v>87</v>
      </c>
      <c r="J923" s="0" t="s">
        <v>189</v>
      </c>
      <c r="K923" s="0" t="s">
        <v>109</v>
      </c>
      <c r="L923" s="4" t="n">
        <v>108586</v>
      </c>
      <c r="M923" s="0" t="s">
        <v>2333</v>
      </c>
      <c r="N923" s="0" t="s">
        <v>63</v>
      </c>
      <c r="O923" s="5" t="n">
        <v>5</v>
      </c>
      <c r="P923" s="0" t="n">
        <v>2.8</v>
      </c>
      <c r="Q923" s="0" t="s">
        <v>111</v>
      </c>
      <c r="R923" s="0" t="s">
        <v>52</v>
      </c>
      <c r="S923" s="0" t="s">
        <v>53</v>
      </c>
      <c r="T923" s="0" t="s">
        <v>75</v>
      </c>
      <c r="U923" s="5" t="n">
        <v>45</v>
      </c>
      <c r="V923" s="0" t="s">
        <v>112</v>
      </c>
      <c r="W923" s="0" t="s">
        <v>155</v>
      </c>
      <c r="X923" s="0" t="s">
        <v>98</v>
      </c>
      <c r="Y923" s="0" t="s">
        <v>58</v>
      </c>
      <c r="Z923" s="0" t="s">
        <v>59</v>
      </c>
      <c r="AA923" s="0" t="s">
        <v>149</v>
      </c>
      <c r="AB923" s="5" t="n">
        <v>20000</v>
      </c>
      <c r="AC923" s="5" t="n">
        <v>35000</v>
      </c>
      <c r="AD923" s="0" t="s">
        <v>50</v>
      </c>
      <c r="AE923" s="5" t="n">
        <v>0</v>
      </c>
      <c r="AF923" s="0" t="s">
        <v>2338</v>
      </c>
      <c r="AG923" s="7" t="s">
        <v>2330</v>
      </c>
      <c r="AH923" s="0" t="s">
        <v>63</v>
      </c>
      <c r="AI923" s="0" t="s">
        <v>116</v>
      </c>
      <c r="AJ923" s="0" t="s">
        <v>172</v>
      </c>
      <c r="AK923" s="0" t="s">
        <v>50</v>
      </c>
      <c r="AL923" s="0" t="s">
        <v>2344</v>
      </c>
      <c r="AM923" s="0" t="s">
        <v>63</v>
      </c>
      <c r="AN923" s="0" t="s">
        <v>2321</v>
      </c>
      <c r="AO923" s="0" t="s">
        <v>63</v>
      </c>
    </row>
    <row r="924" customFormat="false" ht="15" hidden="false" customHeight="false" outlineLevel="0" collapsed="false">
      <c r="A924" s="0" t="s">
        <v>2129</v>
      </c>
      <c r="B924" s="2" t="s">
        <v>2403</v>
      </c>
      <c r="C924" s="0" t="s">
        <v>66</v>
      </c>
      <c r="D924" s="0" t="n">
        <v>8090786882</v>
      </c>
      <c r="E924" s="0" t="s">
        <v>122</v>
      </c>
      <c r="F924" s="0" t="s">
        <v>2316</v>
      </c>
      <c r="G924" s="0" t="s">
        <v>2130</v>
      </c>
      <c r="H924" s="0" t="s">
        <v>69</v>
      </c>
      <c r="I924" s="3" t="s">
        <v>87</v>
      </c>
      <c r="J924" s="0" t="s">
        <v>2349</v>
      </c>
      <c r="K924" s="0" t="s">
        <v>109</v>
      </c>
      <c r="L924" s="4" t="n">
        <v>61393</v>
      </c>
      <c r="M924" s="0" t="s">
        <v>49</v>
      </c>
      <c r="N924" s="0" t="s">
        <v>50</v>
      </c>
      <c r="O924" s="5" t="n">
        <v>3.4375</v>
      </c>
      <c r="P924" s="0" t="n">
        <v>2.6</v>
      </c>
      <c r="Q924" s="0" t="s">
        <v>2334</v>
      </c>
      <c r="R924" s="0" t="s">
        <v>52</v>
      </c>
      <c r="S924" s="0" t="s">
        <v>53</v>
      </c>
      <c r="T924" s="0" t="s">
        <v>75</v>
      </c>
      <c r="U924" s="5" t="n">
        <v>45</v>
      </c>
      <c r="V924" s="0" t="s">
        <v>2352</v>
      </c>
      <c r="W924" s="0" t="s">
        <v>155</v>
      </c>
      <c r="X924" s="0" t="s">
        <v>98</v>
      </c>
      <c r="Y924" s="0" t="s">
        <v>99</v>
      </c>
      <c r="Z924" s="0" t="s">
        <v>2329</v>
      </c>
      <c r="AA924" s="0" t="s">
        <v>79</v>
      </c>
      <c r="AB924" s="5" t="n">
        <v>30000</v>
      </c>
      <c r="AC924" s="5" t="n">
        <v>35000</v>
      </c>
      <c r="AD924" s="0" t="s">
        <v>50</v>
      </c>
      <c r="AE924" s="5" t="n">
        <v>5000</v>
      </c>
      <c r="AF924" s="0" t="s">
        <v>130</v>
      </c>
      <c r="AG924" s="7" t="s">
        <v>2330</v>
      </c>
      <c r="AH924" s="0" t="s">
        <v>63</v>
      </c>
      <c r="AI924" s="0" t="s">
        <v>116</v>
      </c>
      <c r="AJ924" s="0" t="s">
        <v>2320</v>
      </c>
      <c r="AK924" s="0" t="s">
        <v>50</v>
      </c>
      <c r="AL924" s="0" t="s">
        <v>63</v>
      </c>
      <c r="AM924" s="0" t="s">
        <v>2344</v>
      </c>
      <c r="AN924" s="0" t="s">
        <v>2321</v>
      </c>
      <c r="AO924" s="0" t="s">
        <v>50</v>
      </c>
    </row>
    <row r="925" customFormat="false" ht="15" hidden="false" customHeight="false" outlineLevel="0" collapsed="false">
      <c r="A925" s="0" t="s">
        <v>2131</v>
      </c>
      <c r="B925" s="2" t="s">
        <v>1200</v>
      </c>
      <c r="C925" s="0" t="s">
        <v>42</v>
      </c>
      <c r="D925" s="0" t="n">
        <v>8026494625</v>
      </c>
      <c r="E925" s="0" t="s">
        <v>85</v>
      </c>
      <c r="F925" s="0" t="s">
        <v>2319</v>
      </c>
      <c r="G925" s="0" t="s">
        <v>2132</v>
      </c>
      <c r="H925" s="0" t="s">
        <v>134</v>
      </c>
      <c r="I925" s="3" t="s">
        <v>2325</v>
      </c>
      <c r="J925" s="0" t="s">
        <v>2347</v>
      </c>
      <c r="K925" s="0" t="s">
        <v>71</v>
      </c>
      <c r="L925" s="4" t="n">
        <v>85837</v>
      </c>
      <c r="M925" s="0" t="s">
        <v>2333</v>
      </c>
      <c r="N925" s="0" t="s">
        <v>63</v>
      </c>
      <c r="O925" s="5" t="n">
        <v>2</v>
      </c>
      <c r="P925" s="0" t="n">
        <v>2.2</v>
      </c>
      <c r="Q925" s="0" t="s">
        <v>92</v>
      </c>
      <c r="R925" s="0" t="s">
        <v>93</v>
      </c>
      <c r="S925" s="0" t="s">
        <v>2340</v>
      </c>
      <c r="T925" s="0" t="s">
        <v>147</v>
      </c>
      <c r="U925" s="5" t="n">
        <v>45</v>
      </c>
      <c r="V925" s="0" t="s">
        <v>2352</v>
      </c>
      <c r="W925" s="0" t="s">
        <v>2328</v>
      </c>
      <c r="X925" s="0" t="s">
        <v>98</v>
      </c>
      <c r="Y925" s="0" t="s">
        <v>196</v>
      </c>
      <c r="Z925" s="0" t="s">
        <v>2326</v>
      </c>
      <c r="AA925" s="0" t="s">
        <v>161</v>
      </c>
      <c r="AB925" s="5" t="n">
        <v>15000</v>
      </c>
      <c r="AC925" s="5" t="n">
        <v>20000</v>
      </c>
      <c r="AD925" s="0" t="s">
        <v>50</v>
      </c>
      <c r="AE925" s="5" t="n">
        <v>10000</v>
      </c>
      <c r="AF925" s="0" t="s">
        <v>184</v>
      </c>
      <c r="AG925" s="7" t="s">
        <v>556</v>
      </c>
      <c r="AH925" s="0" t="s">
        <v>50</v>
      </c>
      <c r="AI925" s="0" t="s">
        <v>171</v>
      </c>
      <c r="AJ925" s="0" t="s">
        <v>172</v>
      </c>
      <c r="AK925" s="0" t="s">
        <v>2344</v>
      </c>
      <c r="AL925" s="0" t="s">
        <v>50</v>
      </c>
      <c r="AM925" s="0" t="s">
        <v>63</v>
      </c>
      <c r="AN925" s="0" t="s">
        <v>2321</v>
      </c>
      <c r="AO925" s="0" t="s">
        <v>63</v>
      </c>
    </row>
    <row r="926" customFormat="false" ht="15" hidden="false" customHeight="false" outlineLevel="0" collapsed="false">
      <c r="A926" s="0" t="s">
        <v>2133</v>
      </c>
      <c r="B926" s="2" t="s">
        <v>2221</v>
      </c>
      <c r="C926" s="0" t="s">
        <v>42</v>
      </c>
      <c r="D926" s="0" t="n">
        <v>8081219864</v>
      </c>
      <c r="E926" s="0" t="s">
        <v>139</v>
      </c>
      <c r="F926" s="0" t="s">
        <v>2323</v>
      </c>
      <c r="G926" s="0" t="s">
        <v>2134</v>
      </c>
      <c r="H926" s="0" t="s">
        <v>107</v>
      </c>
      <c r="I926" s="3" t="s">
        <v>87</v>
      </c>
      <c r="J926" s="0" t="s">
        <v>47</v>
      </c>
      <c r="K926" s="0" t="s">
        <v>48</v>
      </c>
      <c r="L926" s="4" t="n">
        <v>97854</v>
      </c>
      <c r="M926" s="0" t="s">
        <v>2333</v>
      </c>
      <c r="N926" s="0" t="s">
        <v>63</v>
      </c>
      <c r="O926" s="5" t="n">
        <v>5</v>
      </c>
      <c r="P926" s="0" t="n">
        <v>3.1</v>
      </c>
      <c r="Q926" s="0" t="s">
        <v>111</v>
      </c>
      <c r="R926" s="0" t="s">
        <v>73</v>
      </c>
      <c r="S926" s="0" t="s">
        <v>53</v>
      </c>
      <c r="T926" s="0" t="s">
        <v>75</v>
      </c>
      <c r="U926" s="5" t="n">
        <v>30</v>
      </c>
      <c r="V926" s="0" t="s">
        <v>96</v>
      </c>
      <c r="W926" s="0" t="s">
        <v>148</v>
      </c>
      <c r="X926" s="0" t="s">
        <v>78</v>
      </c>
      <c r="Y926" s="0" t="s">
        <v>58</v>
      </c>
      <c r="Z926" s="0" t="s">
        <v>2329</v>
      </c>
      <c r="AA926" s="0" t="s">
        <v>143</v>
      </c>
      <c r="AB926" s="5" t="n">
        <v>26363.6363636364</v>
      </c>
      <c r="AC926" s="5" t="n">
        <v>40000</v>
      </c>
      <c r="AD926" s="0" t="s">
        <v>50</v>
      </c>
      <c r="AE926" s="5" t="n">
        <v>0</v>
      </c>
      <c r="AF926" s="0" t="s">
        <v>2338</v>
      </c>
      <c r="AG926" s="7" t="s">
        <v>2503</v>
      </c>
      <c r="AH926" s="0" t="s">
        <v>50</v>
      </c>
      <c r="AI926" s="0" t="s">
        <v>171</v>
      </c>
      <c r="AJ926" s="0" t="s">
        <v>2331</v>
      </c>
      <c r="AK926" s="0" t="s">
        <v>50</v>
      </c>
      <c r="AL926" s="0" t="s">
        <v>50</v>
      </c>
      <c r="AM926" s="0" t="s">
        <v>63</v>
      </c>
      <c r="AN926" s="0" t="s">
        <v>2321</v>
      </c>
      <c r="AO926" s="0" t="s">
        <v>50</v>
      </c>
    </row>
    <row r="927" customFormat="false" ht="15" hidden="false" customHeight="false" outlineLevel="0" collapsed="false">
      <c r="A927" s="0" t="s">
        <v>2135</v>
      </c>
      <c r="B927" s="2" t="s">
        <v>2346</v>
      </c>
      <c r="C927" s="0" t="s">
        <v>42</v>
      </c>
      <c r="D927" s="0" t="n">
        <v>8047509496</v>
      </c>
      <c r="E927" s="0" t="s">
        <v>85</v>
      </c>
      <c r="F927" s="0" t="s">
        <v>2319</v>
      </c>
      <c r="G927" s="0" t="s">
        <v>2136</v>
      </c>
      <c r="H927" s="0" t="s">
        <v>134</v>
      </c>
      <c r="I927" s="3" t="s">
        <v>2342</v>
      </c>
      <c r="J927" s="0" t="s">
        <v>47</v>
      </c>
      <c r="K927" s="0" t="s">
        <v>48</v>
      </c>
      <c r="L927" s="4" t="n">
        <v>72539</v>
      </c>
      <c r="M927" s="0" t="s">
        <v>2333</v>
      </c>
      <c r="N927" s="0" t="s">
        <v>63</v>
      </c>
      <c r="O927" s="5" t="n">
        <v>3.43548387096774</v>
      </c>
      <c r="P927" s="0" t="n">
        <v>1.1</v>
      </c>
      <c r="Q927" s="0" t="s">
        <v>92</v>
      </c>
      <c r="R927" s="0" t="s">
        <v>93</v>
      </c>
      <c r="S927" s="0" t="s">
        <v>53</v>
      </c>
      <c r="T927" s="0" t="s">
        <v>95</v>
      </c>
      <c r="U927" s="5" t="n">
        <v>60</v>
      </c>
      <c r="V927" s="0" t="s">
        <v>2352</v>
      </c>
      <c r="W927" s="0" t="s">
        <v>2328</v>
      </c>
      <c r="X927" s="0" t="s">
        <v>128</v>
      </c>
      <c r="Y927" s="0" t="s">
        <v>196</v>
      </c>
      <c r="Z927" s="0" t="s">
        <v>2329</v>
      </c>
      <c r="AA927" s="0" t="s">
        <v>79</v>
      </c>
      <c r="AB927" s="5" t="n">
        <v>15000</v>
      </c>
      <c r="AC927" s="5" t="n">
        <v>40000</v>
      </c>
      <c r="AD927" s="0" t="s">
        <v>50</v>
      </c>
      <c r="AE927" s="5" t="n">
        <v>5000</v>
      </c>
      <c r="AF927" s="0" t="s">
        <v>184</v>
      </c>
      <c r="AG927" s="7" t="s">
        <v>2502</v>
      </c>
      <c r="AH927" s="0" t="s">
        <v>63</v>
      </c>
      <c r="AI927" s="0" t="s">
        <v>116</v>
      </c>
      <c r="AJ927" s="0" t="s">
        <v>117</v>
      </c>
      <c r="AK927" s="0" t="s">
        <v>2344</v>
      </c>
      <c r="AL927" s="0" t="s">
        <v>50</v>
      </c>
      <c r="AM927" s="0" t="s">
        <v>63</v>
      </c>
      <c r="AN927" s="0" t="s">
        <v>2321</v>
      </c>
      <c r="AO927" s="0" t="s">
        <v>63</v>
      </c>
    </row>
    <row r="928" customFormat="false" ht="15" hidden="false" customHeight="false" outlineLevel="0" collapsed="false">
      <c r="A928" s="0" t="s">
        <v>2137</v>
      </c>
      <c r="B928" s="2" t="s">
        <v>2362</v>
      </c>
      <c r="C928" s="0" t="s">
        <v>121</v>
      </c>
      <c r="D928" s="0" t="n">
        <v>8043358157</v>
      </c>
      <c r="E928" s="0" t="s">
        <v>85</v>
      </c>
      <c r="F928" s="0" t="s">
        <v>2319</v>
      </c>
      <c r="G928" s="0" t="s">
        <v>2138</v>
      </c>
      <c r="H928" s="0" t="s">
        <v>69</v>
      </c>
      <c r="I928" s="3" t="s">
        <v>2325</v>
      </c>
      <c r="J928" s="0" t="s">
        <v>2347</v>
      </c>
      <c r="K928" s="0" t="s">
        <v>71</v>
      </c>
      <c r="L928" s="4" t="n">
        <v>97108</v>
      </c>
      <c r="M928" s="0" t="s">
        <v>49</v>
      </c>
      <c r="N928" s="0" t="s">
        <v>63</v>
      </c>
      <c r="O928" s="5" t="n">
        <v>3</v>
      </c>
      <c r="P928" s="0" t="n">
        <v>2.6</v>
      </c>
      <c r="Q928" s="0" t="s">
        <v>51</v>
      </c>
      <c r="R928" s="0" t="s">
        <v>52</v>
      </c>
      <c r="S928" s="0" t="s">
        <v>53</v>
      </c>
      <c r="T928" s="0" t="s">
        <v>2353</v>
      </c>
      <c r="U928" s="5" t="n">
        <v>60</v>
      </c>
      <c r="V928" s="0" t="s">
        <v>55</v>
      </c>
      <c r="W928" s="0" t="s">
        <v>155</v>
      </c>
      <c r="X928" s="0" t="s">
        <v>128</v>
      </c>
      <c r="Y928" s="0" t="s">
        <v>99</v>
      </c>
      <c r="Z928" s="0" t="s">
        <v>59</v>
      </c>
      <c r="AA928" s="0" t="s">
        <v>79</v>
      </c>
      <c r="AB928" s="5" t="n">
        <v>40000</v>
      </c>
      <c r="AC928" s="5" t="n">
        <v>30000</v>
      </c>
      <c r="AD928" s="0" t="s">
        <v>50</v>
      </c>
      <c r="AE928" s="5" t="n">
        <v>10000</v>
      </c>
      <c r="AF928" s="0" t="s">
        <v>60</v>
      </c>
      <c r="AG928" s="7" t="s">
        <v>2425</v>
      </c>
      <c r="AH928" s="0" t="s">
        <v>50</v>
      </c>
      <c r="AI928" s="0" t="s">
        <v>171</v>
      </c>
      <c r="AJ928" s="0" t="s">
        <v>117</v>
      </c>
      <c r="AK928" s="0" t="s">
        <v>63</v>
      </c>
      <c r="AL928" s="0" t="s">
        <v>50</v>
      </c>
      <c r="AM928" s="0" t="s">
        <v>50</v>
      </c>
      <c r="AN928" s="0" t="s">
        <v>2318</v>
      </c>
      <c r="AO928" s="0" t="s">
        <v>63</v>
      </c>
    </row>
    <row r="929" customFormat="false" ht="15" hidden="false" customHeight="false" outlineLevel="0" collapsed="false">
      <c r="A929" s="0" t="s">
        <v>2139</v>
      </c>
      <c r="B929" s="2" t="s">
        <v>222</v>
      </c>
      <c r="C929" s="0" t="s">
        <v>121</v>
      </c>
      <c r="D929" s="0" t="n">
        <v>8059449823</v>
      </c>
      <c r="E929" s="0" t="s">
        <v>67</v>
      </c>
      <c r="F929" s="0" t="s">
        <v>2316</v>
      </c>
      <c r="G929" s="0" t="s">
        <v>2140</v>
      </c>
      <c r="H929" s="0" t="s">
        <v>134</v>
      </c>
      <c r="I929" s="3" t="s">
        <v>2342</v>
      </c>
      <c r="J929" s="0" t="s">
        <v>189</v>
      </c>
      <c r="K929" s="0" t="s">
        <v>109</v>
      </c>
      <c r="L929" s="4" t="n">
        <v>93281</v>
      </c>
      <c r="M929" s="0" t="s">
        <v>2333</v>
      </c>
      <c r="N929" s="0" t="s">
        <v>63</v>
      </c>
      <c r="O929" s="5" t="n">
        <v>3</v>
      </c>
      <c r="P929" s="0" t="n">
        <v>5.7</v>
      </c>
      <c r="Q929" s="0" t="s">
        <v>111</v>
      </c>
      <c r="R929" s="0" t="s">
        <v>52</v>
      </c>
      <c r="S929" s="0" t="s">
        <v>2366</v>
      </c>
      <c r="T929" s="0" t="s">
        <v>54</v>
      </c>
      <c r="U929" s="5" t="n">
        <v>60</v>
      </c>
      <c r="V929" s="0" t="s">
        <v>2352</v>
      </c>
      <c r="W929" s="0" t="s">
        <v>2337</v>
      </c>
      <c r="X929" s="0" t="s">
        <v>128</v>
      </c>
      <c r="Y929" s="0" t="s">
        <v>58</v>
      </c>
      <c r="Z929" s="0" t="s">
        <v>2329</v>
      </c>
      <c r="AA929" s="0" t="s">
        <v>161</v>
      </c>
      <c r="AB929" s="5" t="n">
        <v>40000</v>
      </c>
      <c r="AC929" s="5" t="n">
        <v>30666.6666666667</v>
      </c>
      <c r="AD929" s="0" t="s">
        <v>63</v>
      </c>
      <c r="AE929" s="5" t="n">
        <v>0</v>
      </c>
      <c r="AF929" s="0" t="s">
        <v>184</v>
      </c>
      <c r="AG929" s="7" t="s">
        <v>2141</v>
      </c>
      <c r="AH929" s="0" t="s">
        <v>50</v>
      </c>
      <c r="AI929" s="0" t="s">
        <v>2331</v>
      </c>
      <c r="AJ929" s="0" t="s">
        <v>117</v>
      </c>
      <c r="AK929" s="0" t="s">
        <v>50</v>
      </c>
      <c r="AL929" s="0" t="s">
        <v>50</v>
      </c>
      <c r="AM929" s="0" t="s">
        <v>50</v>
      </c>
      <c r="AN929" s="0" t="s">
        <v>2318</v>
      </c>
      <c r="AO929" s="0" t="s">
        <v>50</v>
      </c>
    </row>
    <row r="930" customFormat="false" ht="15" hidden="false" customHeight="false" outlineLevel="0" collapsed="false">
      <c r="A930" s="0" t="s">
        <v>2142</v>
      </c>
      <c r="B930" s="2" t="s">
        <v>2450</v>
      </c>
      <c r="C930" s="0" t="s">
        <v>42</v>
      </c>
      <c r="D930" s="0" t="n">
        <v>8070655417</v>
      </c>
      <c r="E930" s="0" t="s">
        <v>122</v>
      </c>
      <c r="F930" s="0" t="s">
        <v>2316</v>
      </c>
      <c r="G930" s="0" t="s">
        <v>2143</v>
      </c>
      <c r="H930" s="0" t="s">
        <v>87</v>
      </c>
      <c r="I930" s="3" t="s">
        <v>2322</v>
      </c>
      <c r="J930" s="0" t="s">
        <v>2347</v>
      </c>
      <c r="K930" s="0" t="s">
        <v>71</v>
      </c>
      <c r="L930" s="4" t="n">
        <v>16556</v>
      </c>
      <c r="M930" s="0" t="s">
        <v>110</v>
      </c>
      <c r="N930" s="0" t="s">
        <v>63</v>
      </c>
      <c r="O930" s="5" t="n">
        <v>3.45</v>
      </c>
      <c r="P930" s="0" t="n">
        <v>4</v>
      </c>
      <c r="Q930" s="0" t="s">
        <v>111</v>
      </c>
      <c r="R930" s="0" t="s">
        <v>73</v>
      </c>
      <c r="S930" s="0" t="s">
        <v>53</v>
      </c>
      <c r="T930" s="0" t="s">
        <v>147</v>
      </c>
      <c r="U930" s="5" t="n">
        <v>39</v>
      </c>
      <c r="V930" s="0" t="s">
        <v>96</v>
      </c>
      <c r="W930" s="0" t="s">
        <v>155</v>
      </c>
      <c r="X930" s="0" t="s">
        <v>78</v>
      </c>
      <c r="Y930" s="0" t="s">
        <v>196</v>
      </c>
      <c r="Z930" s="0" t="s">
        <v>2329</v>
      </c>
      <c r="AA930" s="0" t="s">
        <v>2329</v>
      </c>
      <c r="AB930" s="5" t="n">
        <v>20000</v>
      </c>
      <c r="AC930" s="5" t="n">
        <v>30000</v>
      </c>
      <c r="AD930" s="0" t="s">
        <v>50</v>
      </c>
      <c r="AE930" s="5" t="n">
        <v>0</v>
      </c>
      <c r="AF930" s="0" t="s">
        <v>184</v>
      </c>
      <c r="AG930" s="7" t="s">
        <v>2404</v>
      </c>
      <c r="AH930" s="0" t="s">
        <v>50</v>
      </c>
      <c r="AI930" s="0" t="s">
        <v>2331</v>
      </c>
      <c r="AJ930" s="0" t="s">
        <v>2331</v>
      </c>
      <c r="AK930" s="0" t="s">
        <v>50</v>
      </c>
      <c r="AL930" s="0" t="s">
        <v>50</v>
      </c>
      <c r="AM930" s="0" t="s">
        <v>63</v>
      </c>
      <c r="AN930" s="0" t="s">
        <v>64</v>
      </c>
      <c r="AO930" s="0" t="s">
        <v>2359</v>
      </c>
    </row>
    <row r="931" customFormat="false" ht="15" hidden="false" customHeight="false" outlineLevel="0" collapsed="false">
      <c r="A931" s="0" t="s">
        <v>2144</v>
      </c>
      <c r="B931" s="2" t="s">
        <v>2398</v>
      </c>
      <c r="C931" s="0" t="s">
        <v>163</v>
      </c>
      <c r="D931" s="0" t="n">
        <v>8092993759</v>
      </c>
      <c r="E931" s="0" t="s">
        <v>67</v>
      </c>
      <c r="F931" s="0" t="s">
        <v>2316</v>
      </c>
      <c r="G931" s="0" t="s">
        <v>2145</v>
      </c>
      <c r="H931" s="0" t="s">
        <v>45</v>
      </c>
      <c r="I931" s="3" t="s">
        <v>2317</v>
      </c>
      <c r="J931" s="0" t="s">
        <v>189</v>
      </c>
      <c r="K931" s="0" t="s">
        <v>48</v>
      </c>
      <c r="L931" s="4" t="n">
        <v>45013</v>
      </c>
      <c r="M931" s="0" t="s">
        <v>110</v>
      </c>
      <c r="N931" s="0" t="s">
        <v>63</v>
      </c>
      <c r="O931" s="5" t="n">
        <v>4</v>
      </c>
      <c r="P931" s="0" t="n">
        <v>2.3</v>
      </c>
      <c r="Q931" s="0" t="s">
        <v>2334</v>
      </c>
      <c r="R931" s="0" t="s">
        <v>52</v>
      </c>
      <c r="S931" s="0" t="s">
        <v>2340</v>
      </c>
      <c r="T931" s="0" t="s">
        <v>147</v>
      </c>
      <c r="U931" s="5" t="n">
        <v>15</v>
      </c>
      <c r="V931" s="0" t="s">
        <v>55</v>
      </c>
      <c r="W931" s="0" t="s">
        <v>2328</v>
      </c>
      <c r="X931" s="0" t="s">
        <v>98</v>
      </c>
      <c r="Y931" s="0" t="s">
        <v>114</v>
      </c>
      <c r="Z931" s="0" t="s">
        <v>2329</v>
      </c>
      <c r="AA931" s="0" t="s">
        <v>143</v>
      </c>
      <c r="AB931" s="5" t="n">
        <v>30000</v>
      </c>
      <c r="AC931" s="5" t="n">
        <v>30000</v>
      </c>
      <c r="AD931" s="0" t="s">
        <v>63</v>
      </c>
      <c r="AE931" s="5" t="n">
        <v>0</v>
      </c>
      <c r="AF931" s="0" t="s">
        <v>60</v>
      </c>
      <c r="AG931" s="7" t="s">
        <v>1079</v>
      </c>
      <c r="AH931" s="0" t="s">
        <v>2329</v>
      </c>
      <c r="AI931" s="0" t="s">
        <v>2331</v>
      </c>
      <c r="AJ931" s="0" t="s">
        <v>2331</v>
      </c>
      <c r="AK931" s="0" t="s">
        <v>63</v>
      </c>
      <c r="AL931" s="0" t="s">
        <v>50</v>
      </c>
      <c r="AM931" s="0" t="s">
        <v>2344</v>
      </c>
      <c r="AN931" s="0" t="s">
        <v>2321</v>
      </c>
      <c r="AO931" s="0" t="s">
        <v>50</v>
      </c>
    </row>
    <row r="932" customFormat="false" ht="15" hidden="false" customHeight="false" outlineLevel="0" collapsed="false">
      <c r="A932" s="0" t="s">
        <v>2146</v>
      </c>
      <c r="B932" s="2" t="s">
        <v>635</v>
      </c>
      <c r="C932" s="0" t="s">
        <v>66</v>
      </c>
      <c r="D932" s="0" t="n">
        <v>8098432853</v>
      </c>
      <c r="E932" s="0" t="s">
        <v>43</v>
      </c>
      <c r="F932" s="0" t="s">
        <v>2315</v>
      </c>
      <c r="G932" s="0" t="s">
        <v>2147</v>
      </c>
      <c r="H932" s="0" t="s">
        <v>69</v>
      </c>
      <c r="I932" s="3" t="s">
        <v>87</v>
      </c>
      <c r="J932" s="0" t="s">
        <v>47</v>
      </c>
      <c r="K932" s="0" t="s">
        <v>48</v>
      </c>
      <c r="L932" s="4" t="n">
        <v>15653</v>
      </c>
      <c r="M932" s="0" t="s">
        <v>110</v>
      </c>
      <c r="N932" s="0" t="s">
        <v>63</v>
      </c>
      <c r="O932" s="5" t="n">
        <v>2</v>
      </c>
      <c r="P932" s="0" t="n">
        <v>3.9</v>
      </c>
      <c r="Q932" s="0" t="s">
        <v>2334</v>
      </c>
      <c r="R932" s="0" t="s">
        <v>93</v>
      </c>
      <c r="S932" s="0" t="s">
        <v>2340</v>
      </c>
      <c r="T932" s="0" t="s">
        <v>95</v>
      </c>
      <c r="U932" s="5" t="n">
        <v>37.5</v>
      </c>
      <c r="V932" s="0" t="s">
        <v>112</v>
      </c>
      <c r="W932" s="0" t="s">
        <v>2328</v>
      </c>
      <c r="X932" s="0" t="s">
        <v>128</v>
      </c>
      <c r="Y932" s="0" t="s">
        <v>196</v>
      </c>
      <c r="Z932" s="0" t="s">
        <v>177</v>
      </c>
      <c r="AA932" s="0" t="s">
        <v>161</v>
      </c>
      <c r="AB932" s="5" t="n">
        <v>27500</v>
      </c>
      <c r="AC932" s="5" t="n">
        <v>30000</v>
      </c>
      <c r="AD932" s="0" t="s">
        <v>50</v>
      </c>
      <c r="AE932" s="5" t="n">
        <v>10000</v>
      </c>
      <c r="AF932" s="0" t="s">
        <v>130</v>
      </c>
      <c r="AG932" s="7" t="s">
        <v>2330</v>
      </c>
      <c r="AH932" s="0" t="s">
        <v>63</v>
      </c>
      <c r="AI932" s="0" t="s">
        <v>2331</v>
      </c>
      <c r="AJ932" s="0" t="s">
        <v>2331</v>
      </c>
      <c r="AK932" s="0" t="s">
        <v>50</v>
      </c>
      <c r="AL932" s="0" t="s">
        <v>50</v>
      </c>
      <c r="AM932" s="0" t="s">
        <v>63</v>
      </c>
      <c r="AN932" s="0" t="s">
        <v>2318</v>
      </c>
      <c r="AO932" s="0" t="s">
        <v>50</v>
      </c>
    </row>
    <row r="933" customFormat="false" ht="15" hidden="false" customHeight="false" outlineLevel="0" collapsed="false">
      <c r="A933" s="0" t="s">
        <v>2148</v>
      </c>
      <c r="B933" s="2" t="s">
        <v>2392</v>
      </c>
      <c r="C933" s="0" t="s">
        <v>66</v>
      </c>
      <c r="D933" s="0" t="n">
        <v>8073780187</v>
      </c>
      <c r="E933" s="0" t="s">
        <v>122</v>
      </c>
      <c r="F933" s="0" t="s">
        <v>2316</v>
      </c>
      <c r="G933" s="0" t="s">
        <v>2149</v>
      </c>
      <c r="H933" s="0" t="s">
        <v>107</v>
      </c>
      <c r="I933" s="3" t="s">
        <v>2325</v>
      </c>
      <c r="J933" s="0" t="s">
        <v>2341</v>
      </c>
      <c r="K933" s="0" t="s">
        <v>90</v>
      </c>
      <c r="L933" s="4" t="n">
        <v>87180</v>
      </c>
      <c r="M933" s="0" t="s">
        <v>110</v>
      </c>
      <c r="N933" s="0" t="s">
        <v>50</v>
      </c>
      <c r="O933" s="5" t="n">
        <v>3.46551724137931</v>
      </c>
      <c r="P933" s="0" t="n">
        <v>4.5</v>
      </c>
      <c r="Q933" s="0" t="s">
        <v>51</v>
      </c>
      <c r="R933" s="0" t="s">
        <v>93</v>
      </c>
      <c r="S933" s="0" t="s">
        <v>53</v>
      </c>
      <c r="T933" s="0" t="s">
        <v>2353</v>
      </c>
      <c r="U933" s="5" t="n">
        <v>15</v>
      </c>
      <c r="V933" s="0" t="s">
        <v>96</v>
      </c>
      <c r="W933" s="0" t="s">
        <v>155</v>
      </c>
      <c r="X933" s="0" t="s">
        <v>128</v>
      </c>
      <c r="Y933" s="0" t="s">
        <v>196</v>
      </c>
      <c r="Z933" s="0" t="s">
        <v>2329</v>
      </c>
      <c r="AA933" s="0" t="s">
        <v>2329</v>
      </c>
      <c r="AB933" s="5" t="n">
        <v>30000</v>
      </c>
      <c r="AC933" s="5" t="n">
        <v>35000</v>
      </c>
      <c r="AD933" s="0" t="s">
        <v>50</v>
      </c>
      <c r="AE933" s="5" t="n">
        <v>5000</v>
      </c>
      <c r="AF933" s="0" t="s">
        <v>130</v>
      </c>
      <c r="AG933" s="7" t="s">
        <v>2330</v>
      </c>
      <c r="AH933" s="0" t="s">
        <v>63</v>
      </c>
      <c r="AI933" s="0" t="s">
        <v>116</v>
      </c>
      <c r="AJ933" s="0" t="s">
        <v>2320</v>
      </c>
      <c r="AK933" s="0" t="s">
        <v>63</v>
      </c>
      <c r="AL933" s="0" t="s">
        <v>50</v>
      </c>
      <c r="AM933" s="0" t="s">
        <v>2344</v>
      </c>
      <c r="AN933" s="0" t="s">
        <v>2318</v>
      </c>
      <c r="AO933" s="0" t="s">
        <v>50</v>
      </c>
    </row>
    <row r="934" customFormat="false" ht="15" hidden="false" customHeight="false" outlineLevel="0" collapsed="false">
      <c r="A934" s="0" t="s">
        <v>2150</v>
      </c>
      <c r="B934" s="2" t="s">
        <v>2408</v>
      </c>
      <c r="C934" s="0" t="s">
        <v>105</v>
      </c>
      <c r="D934" s="0" t="n">
        <v>8079110587</v>
      </c>
      <c r="E934" s="0" t="s">
        <v>67</v>
      </c>
      <c r="F934" s="0" t="s">
        <v>2316</v>
      </c>
      <c r="G934" s="0" t="s">
        <v>2151</v>
      </c>
      <c r="H934" s="0" t="s">
        <v>134</v>
      </c>
      <c r="I934" s="3" t="s">
        <v>2325</v>
      </c>
      <c r="J934" s="0" t="s">
        <v>189</v>
      </c>
      <c r="K934" s="0" t="s">
        <v>71</v>
      </c>
      <c r="L934" s="4" t="n">
        <v>56483</v>
      </c>
      <c r="M934" s="0" t="s">
        <v>2333</v>
      </c>
      <c r="N934" s="0" t="s">
        <v>63</v>
      </c>
      <c r="O934" s="5" t="n">
        <v>3.46551724137931</v>
      </c>
      <c r="P934" s="0" t="n">
        <v>5.3</v>
      </c>
      <c r="Q934" s="0" t="s">
        <v>2334</v>
      </c>
      <c r="R934" s="0" t="s">
        <v>93</v>
      </c>
      <c r="S934" s="0" t="s">
        <v>2335</v>
      </c>
      <c r="T934" s="0" t="s">
        <v>2353</v>
      </c>
      <c r="U934" s="5" t="n">
        <v>45</v>
      </c>
      <c r="V934" s="0" t="s">
        <v>2336</v>
      </c>
      <c r="W934" s="0" t="s">
        <v>155</v>
      </c>
      <c r="X934" s="0" t="s">
        <v>128</v>
      </c>
      <c r="Y934" s="0" t="s">
        <v>58</v>
      </c>
      <c r="Z934" s="0" t="s">
        <v>177</v>
      </c>
      <c r="AA934" s="0" t="s">
        <v>2329</v>
      </c>
      <c r="AB934" s="5" t="n">
        <v>28333.3333333333</v>
      </c>
      <c r="AC934" s="5" t="n">
        <v>40000</v>
      </c>
      <c r="AD934" s="0" t="s">
        <v>63</v>
      </c>
      <c r="AE934" s="5" t="n">
        <v>0</v>
      </c>
      <c r="AF934" s="0" t="s">
        <v>184</v>
      </c>
      <c r="AG934" s="7" t="s">
        <v>2361</v>
      </c>
      <c r="AH934" s="0" t="s">
        <v>63</v>
      </c>
      <c r="AI934" s="0" t="s">
        <v>2331</v>
      </c>
      <c r="AJ934" s="0" t="s">
        <v>2331</v>
      </c>
      <c r="AK934" s="0" t="s">
        <v>50</v>
      </c>
      <c r="AL934" s="0" t="s">
        <v>50</v>
      </c>
      <c r="AM934" s="0" t="s">
        <v>2344</v>
      </c>
      <c r="AN934" s="0" t="s">
        <v>2318</v>
      </c>
      <c r="AO934" s="0" t="s">
        <v>63</v>
      </c>
    </row>
    <row r="935" customFormat="false" ht="15" hidden="false" customHeight="false" outlineLevel="0" collapsed="false">
      <c r="A935" s="0" t="s">
        <v>2152</v>
      </c>
      <c r="B935" s="2" t="s">
        <v>340</v>
      </c>
      <c r="C935" s="0" t="s">
        <v>42</v>
      </c>
      <c r="D935" s="0" t="n">
        <v>8065448912</v>
      </c>
      <c r="E935" s="0" t="s">
        <v>122</v>
      </c>
      <c r="F935" s="0" t="s">
        <v>2316</v>
      </c>
      <c r="G935" s="0" t="s">
        <v>2153</v>
      </c>
      <c r="H935" s="0" t="s">
        <v>134</v>
      </c>
      <c r="I935" s="3" t="s">
        <v>87</v>
      </c>
      <c r="J935" s="0" t="s">
        <v>2349</v>
      </c>
      <c r="K935" s="0" t="s">
        <v>71</v>
      </c>
      <c r="L935" s="4" t="n">
        <v>40059</v>
      </c>
      <c r="M935" s="0" t="s">
        <v>49</v>
      </c>
      <c r="N935" s="0" t="s">
        <v>50</v>
      </c>
      <c r="O935" s="5" t="n">
        <v>1</v>
      </c>
      <c r="P935" s="0" t="n">
        <v>3.2</v>
      </c>
      <c r="Q935" s="0" t="s">
        <v>125</v>
      </c>
      <c r="R935" s="0" t="s">
        <v>52</v>
      </c>
      <c r="S935" s="0" t="s">
        <v>53</v>
      </c>
      <c r="T935" s="0" t="s">
        <v>2353</v>
      </c>
      <c r="U935" s="5" t="n">
        <v>15</v>
      </c>
      <c r="V935" s="0" t="s">
        <v>2336</v>
      </c>
      <c r="W935" s="0" t="s">
        <v>2328</v>
      </c>
      <c r="X935" s="0" t="s">
        <v>98</v>
      </c>
      <c r="Y935" s="0" t="s">
        <v>114</v>
      </c>
      <c r="Z935" s="0" t="s">
        <v>2324</v>
      </c>
      <c r="AA935" s="0" t="s">
        <v>79</v>
      </c>
      <c r="AB935" s="5" t="n">
        <v>24166.6666666667</v>
      </c>
      <c r="AC935" s="5" t="n">
        <v>20000</v>
      </c>
      <c r="AD935" s="0" t="s">
        <v>63</v>
      </c>
      <c r="AE935" s="5" t="n">
        <v>0</v>
      </c>
      <c r="AF935" s="0" t="s">
        <v>60</v>
      </c>
      <c r="AG935" s="7" t="s">
        <v>424</v>
      </c>
      <c r="AH935" s="0" t="s">
        <v>50</v>
      </c>
      <c r="AI935" s="0" t="s">
        <v>116</v>
      </c>
      <c r="AJ935" s="0" t="s">
        <v>2320</v>
      </c>
      <c r="AK935" s="0" t="s">
        <v>50</v>
      </c>
      <c r="AL935" s="0" t="s">
        <v>50</v>
      </c>
      <c r="AM935" s="0" t="s">
        <v>2344</v>
      </c>
      <c r="AN935" s="0" t="s">
        <v>64</v>
      </c>
      <c r="AO935" s="0" t="s">
        <v>63</v>
      </c>
    </row>
    <row r="936" customFormat="false" ht="15" hidden="false" customHeight="false" outlineLevel="0" collapsed="false">
      <c r="A936" s="0" t="s">
        <v>2154</v>
      </c>
      <c r="B936" s="2" t="s">
        <v>489</v>
      </c>
      <c r="C936" s="0" t="s">
        <v>121</v>
      </c>
      <c r="D936" s="0" t="n">
        <v>8098614357</v>
      </c>
      <c r="E936" s="0" t="s">
        <v>43</v>
      </c>
      <c r="F936" s="0" t="s">
        <v>2315</v>
      </c>
      <c r="G936" s="0" t="s">
        <v>899</v>
      </c>
      <c r="H936" s="0" t="s">
        <v>107</v>
      </c>
      <c r="I936" s="3" t="s">
        <v>2325</v>
      </c>
      <c r="J936" s="0" t="s">
        <v>47</v>
      </c>
      <c r="K936" s="0" t="s">
        <v>109</v>
      </c>
      <c r="L936" s="4" t="n">
        <v>103504</v>
      </c>
      <c r="M936" s="0" t="s">
        <v>2333</v>
      </c>
      <c r="N936" s="0" t="s">
        <v>50</v>
      </c>
      <c r="O936" s="5" t="n">
        <v>3.50877192982456</v>
      </c>
      <c r="P936" s="0" t="n">
        <v>1.7</v>
      </c>
      <c r="Q936" s="0" t="s">
        <v>125</v>
      </c>
      <c r="R936" s="0" t="s">
        <v>93</v>
      </c>
      <c r="S936" s="0" t="s">
        <v>2335</v>
      </c>
      <c r="T936" s="0" t="s">
        <v>54</v>
      </c>
      <c r="U936" s="5" t="n">
        <v>37.5</v>
      </c>
      <c r="V936" s="0" t="s">
        <v>2336</v>
      </c>
      <c r="W936" s="0" t="s">
        <v>2337</v>
      </c>
      <c r="X936" s="0" t="s">
        <v>98</v>
      </c>
      <c r="Y936" s="0" t="s">
        <v>114</v>
      </c>
      <c r="Z936" s="0" t="s">
        <v>59</v>
      </c>
      <c r="AA936" s="0" t="s">
        <v>149</v>
      </c>
      <c r="AB936" s="5" t="n">
        <v>27500</v>
      </c>
      <c r="AC936" s="5" t="n">
        <v>30648.1481481482</v>
      </c>
      <c r="AD936" s="0" t="s">
        <v>63</v>
      </c>
      <c r="AE936" s="5" t="n">
        <v>0</v>
      </c>
      <c r="AF936" s="0" t="s">
        <v>130</v>
      </c>
      <c r="AG936" s="7" t="s">
        <v>2330</v>
      </c>
      <c r="AH936" s="0" t="s">
        <v>63</v>
      </c>
      <c r="AI936" s="0" t="s">
        <v>171</v>
      </c>
      <c r="AJ936" s="0" t="s">
        <v>2320</v>
      </c>
      <c r="AK936" s="0" t="s">
        <v>63</v>
      </c>
      <c r="AL936" s="0" t="s">
        <v>50</v>
      </c>
      <c r="AM936" s="0" t="s">
        <v>2344</v>
      </c>
      <c r="AN936" s="0" t="s">
        <v>2318</v>
      </c>
      <c r="AO936" s="0" t="s">
        <v>50</v>
      </c>
    </row>
    <row r="937" customFormat="false" ht="15" hidden="false" customHeight="false" outlineLevel="0" collapsed="false">
      <c r="A937" s="0" t="s">
        <v>2155</v>
      </c>
      <c r="B937" s="2" t="s">
        <v>869</v>
      </c>
      <c r="C937" s="0" t="s">
        <v>105</v>
      </c>
      <c r="D937" s="0" t="n">
        <v>8035224200</v>
      </c>
      <c r="E937" s="0" t="s">
        <v>85</v>
      </c>
      <c r="F937" s="0" t="s">
        <v>2319</v>
      </c>
      <c r="G937" s="0" t="s">
        <v>2156</v>
      </c>
      <c r="H937" s="0" t="s">
        <v>134</v>
      </c>
      <c r="I937" s="3" t="s">
        <v>87</v>
      </c>
      <c r="J937" s="0" t="s">
        <v>47</v>
      </c>
      <c r="K937" s="0" t="s">
        <v>90</v>
      </c>
      <c r="L937" s="4" t="n">
        <v>25455</v>
      </c>
      <c r="M937" s="0" t="s">
        <v>49</v>
      </c>
      <c r="N937" s="0" t="s">
        <v>50</v>
      </c>
      <c r="O937" s="5" t="n">
        <v>3.50877192982456</v>
      </c>
      <c r="P937" s="0" t="n">
        <v>1.3</v>
      </c>
      <c r="Q937" s="0" t="s">
        <v>51</v>
      </c>
      <c r="R937" s="0" t="s">
        <v>52</v>
      </c>
      <c r="S937" s="0" t="s">
        <v>53</v>
      </c>
      <c r="T937" s="0" t="s">
        <v>2343</v>
      </c>
      <c r="U937" s="5" t="n">
        <v>45</v>
      </c>
      <c r="V937" s="0" t="s">
        <v>55</v>
      </c>
      <c r="W937" s="0" t="s">
        <v>2328</v>
      </c>
      <c r="X937" s="0" t="s">
        <v>128</v>
      </c>
      <c r="Y937" s="0" t="s">
        <v>99</v>
      </c>
      <c r="Z937" s="0" t="s">
        <v>2329</v>
      </c>
      <c r="AA937" s="0" t="s">
        <v>143</v>
      </c>
      <c r="AB937" s="5" t="n">
        <v>15000</v>
      </c>
      <c r="AC937" s="5" t="n">
        <v>35000</v>
      </c>
      <c r="AD937" s="0" t="s">
        <v>50</v>
      </c>
      <c r="AE937" s="5" t="n">
        <v>0</v>
      </c>
      <c r="AF937" s="0" t="s">
        <v>60</v>
      </c>
      <c r="AG937" s="7" t="s">
        <v>2330</v>
      </c>
      <c r="AH937" s="0" t="s">
        <v>50</v>
      </c>
      <c r="AI937" s="0" t="s">
        <v>116</v>
      </c>
      <c r="AJ937" s="0" t="s">
        <v>117</v>
      </c>
      <c r="AK937" s="0" t="s">
        <v>63</v>
      </c>
      <c r="AL937" s="0" t="s">
        <v>50</v>
      </c>
      <c r="AM937" s="0" t="s">
        <v>63</v>
      </c>
      <c r="AN937" s="0" t="s">
        <v>2318</v>
      </c>
      <c r="AO937" s="0" t="s">
        <v>63</v>
      </c>
    </row>
    <row r="938" customFormat="false" ht="15" hidden="false" customHeight="false" outlineLevel="0" collapsed="false">
      <c r="A938" s="0" t="s">
        <v>2157</v>
      </c>
      <c r="B938" s="2" t="s">
        <v>371</v>
      </c>
      <c r="C938" s="0" t="s">
        <v>66</v>
      </c>
      <c r="D938" s="0" t="n">
        <v>8010419981</v>
      </c>
      <c r="E938" s="0" t="s">
        <v>139</v>
      </c>
      <c r="F938" s="0" t="s">
        <v>2323</v>
      </c>
      <c r="G938" s="0" t="s">
        <v>2158</v>
      </c>
      <c r="H938" s="0" t="s">
        <v>134</v>
      </c>
      <c r="I938" s="3" t="s">
        <v>87</v>
      </c>
      <c r="J938" s="0" t="s">
        <v>47</v>
      </c>
      <c r="K938" s="0" t="s">
        <v>48</v>
      </c>
      <c r="L938" s="4" t="n">
        <v>43901</v>
      </c>
      <c r="M938" s="0" t="s">
        <v>49</v>
      </c>
      <c r="N938" s="0" t="s">
        <v>50</v>
      </c>
      <c r="O938" s="5" t="n">
        <v>2</v>
      </c>
      <c r="P938" s="0" t="n">
        <v>1.3</v>
      </c>
      <c r="Q938" s="0" t="s">
        <v>125</v>
      </c>
      <c r="R938" s="0" t="s">
        <v>52</v>
      </c>
      <c r="S938" s="0" t="s">
        <v>2366</v>
      </c>
      <c r="T938" s="0" t="s">
        <v>2343</v>
      </c>
      <c r="U938" s="5" t="n">
        <v>36.9230769230769</v>
      </c>
      <c r="V938" s="0" t="s">
        <v>96</v>
      </c>
      <c r="W938" s="0" t="s">
        <v>2328</v>
      </c>
      <c r="X938" s="0" t="s">
        <v>128</v>
      </c>
      <c r="Y938" s="0" t="s">
        <v>99</v>
      </c>
      <c r="Z938" s="0" t="s">
        <v>177</v>
      </c>
      <c r="AA938" s="0" t="s">
        <v>149</v>
      </c>
      <c r="AB938" s="5" t="n">
        <v>28888.8888888889</v>
      </c>
      <c r="AC938" s="5" t="n">
        <v>20000</v>
      </c>
      <c r="AD938" s="0" t="s">
        <v>63</v>
      </c>
      <c r="AE938" s="5" t="n">
        <v>10000</v>
      </c>
      <c r="AF938" s="0" t="s">
        <v>2338</v>
      </c>
      <c r="AG938" s="7" t="s">
        <v>2159</v>
      </c>
      <c r="AH938" s="0" t="s">
        <v>2329</v>
      </c>
      <c r="AI938" s="0" t="s">
        <v>2331</v>
      </c>
      <c r="AJ938" s="0" t="s">
        <v>172</v>
      </c>
      <c r="AK938" s="0" t="s">
        <v>2344</v>
      </c>
      <c r="AL938" s="0" t="s">
        <v>50</v>
      </c>
      <c r="AM938" s="0" t="s">
        <v>2344</v>
      </c>
      <c r="AN938" s="0" t="s">
        <v>2318</v>
      </c>
      <c r="AO938" s="0" t="s">
        <v>50</v>
      </c>
    </row>
    <row r="939" customFormat="false" ht="15" hidden="false" customHeight="false" outlineLevel="0" collapsed="false">
      <c r="A939" s="0" t="s">
        <v>2160</v>
      </c>
      <c r="B939" s="2" t="s">
        <v>1339</v>
      </c>
      <c r="C939" s="0" t="s">
        <v>42</v>
      </c>
      <c r="D939" s="0" t="n">
        <v>8095640742</v>
      </c>
      <c r="E939" s="0" t="s">
        <v>67</v>
      </c>
      <c r="F939" s="0" t="s">
        <v>2316</v>
      </c>
      <c r="G939" s="0" t="s">
        <v>2161</v>
      </c>
      <c r="H939" s="0" t="s">
        <v>107</v>
      </c>
      <c r="I939" s="3" t="s">
        <v>2317</v>
      </c>
      <c r="J939" s="0" t="s">
        <v>2347</v>
      </c>
      <c r="K939" s="0" t="s">
        <v>109</v>
      </c>
      <c r="L939" s="4" t="n">
        <v>113608</v>
      </c>
      <c r="M939" s="0" t="s">
        <v>49</v>
      </c>
      <c r="N939" s="0" t="s">
        <v>50</v>
      </c>
      <c r="O939" s="5" t="n">
        <v>3.53571428571429</v>
      </c>
      <c r="P939" s="0" t="n">
        <v>1.7</v>
      </c>
      <c r="Q939" s="0" t="s">
        <v>111</v>
      </c>
      <c r="R939" s="0" t="s">
        <v>52</v>
      </c>
      <c r="S939" s="0" t="s">
        <v>2340</v>
      </c>
      <c r="T939" s="0" t="s">
        <v>2343</v>
      </c>
      <c r="U939" s="5" t="n">
        <v>39</v>
      </c>
      <c r="V939" s="0" t="s">
        <v>2336</v>
      </c>
      <c r="W939" s="0" t="s">
        <v>2328</v>
      </c>
      <c r="X939" s="0" t="s">
        <v>128</v>
      </c>
      <c r="Y939" s="0" t="s">
        <v>196</v>
      </c>
      <c r="Z939" s="0" t="s">
        <v>2324</v>
      </c>
      <c r="AA939" s="0" t="s">
        <v>143</v>
      </c>
      <c r="AB939" s="5" t="n">
        <v>15000</v>
      </c>
      <c r="AC939" s="5" t="n">
        <v>30000</v>
      </c>
      <c r="AD939" s="0" t="s">
        <v>50</v>
      </c>
      <c r="AE939" s="5" t="n">
        <v>5000</v>
      </c>
      <c r="AF939" s="0" t="s">
        <v>2338</v>
      </c>
      <c r="AG939" s="7" t="s">
        <v>2330</v>
      </c>
      <c r="AH939" s="0" t="s">
        <v>50</v>
      </c>
      <c r="AI939" s="0" t="s">
        <v>116</v>
      </c>
      <c r="AJ939" s="0" t="s">
        <v>2320</v>
      </c>
      <c r="AK939" s="0" t="s">
        <v>2344</v>
      </c>
      <c r="AL939" s="0" t="s">
        <v>50</v>
      </c>
      <c r="AM939" s="0" t="s">
        <v>50</v>
      </c>
      <c r="AN939" s="0" t="s">
        <v>2321</v>
      </c>
      <c r="AO939" s="0" t="s">
        <v>50</v>
      </c>
    </row>
    <row r="940" customFormat="false" ht="15" hidden="false" customHeight="false" outlineLevel="0" collapsed="false">
      <c r="A940" s="0" t="s">
        <v>2163</v>
      </c>
      <c r="B940" s="2" t="s">
        <v>2162</v>
      </c>
      <c r="C940" s="0" t="s">
        <v>66</v>
      </c>
      <c r="D940" s="0" t="n">
        <v>8053242747</v>
      </c>
      <c r="E940" s="0" t="s">
        <v>122</v>
      </c>
      <c r="F940" s="0" t="s">
        <v>2316</v>
      </c>
      <c r="G940" s="0" t="s">
        <v>2164</v>
      </c>
      <c r="H940" s="0" t="s">
        <v>87</v>
      </c>
      <c r="I940" s="3" t="s">
        <v>87</v>
      </c>
      <c r="J940" s="0" t="s">
        <v>2349</v>
      </c>
      <c r="K940" s="0" t="s">
        <v>71</v>
      </c>
      <c r="L940" s="4" t="n">
        <v>21591</v>
      </c>
      <c r="M940" s="0" t="s">
        <v>2333</v>
      </c>
      <c r="N940" s="0" t="s">
        <v>50</v>
      </c>
      <c r="O940" s="5" t="n">
        <v>4</v>
      </c>
      <c r="P940" s="0" t="n">
        <v>5.4</v>
      </c>
      <c r="Q940" s="0" t="s">
        <v>51</v>
      </c>
      <c r="R940" s="0" t="s">
        <v>73</v>
      </c>
      <c r="S940" s="0" t="s">
        <v>2340</v>
      </c>
      <c r="T940" s="0" t="s">
        <v>95</v>
      </c>
      <c r="U940" s="5" t="n">
        <v>30</v>
      </c>
      <c r="V940" s="0" t="s">
        <v>2336</v>
      </c>
      <c r="W940" s="0" t="s">
        <v>2328</v>
      </c>
      <c r="X940" s="0" t="s">
        <v>98</v>
      </c>
      <c r="Y940" s="0" t="s">
        <v>58</v>
      </c>
      <c r="Z940" s="0" t="s">
        <v>2329</v>
      </c>
      <c r="AA940" s="0" t="s">
        <v>161</v>
      </c>
      <c r="AB940" s="5" t="n">
        <v>25000</v>
      </c>
      <c r="AC940" s="5" t="n">
        <v>40000</v>
      </c>
      <c r="AD940" s="0" t="s">
        <v>63</v>
      </c>
      <c r="AE940" s="5" t="n">
        <v>5000</v>
      </c>
      <c r="AF940" s="0" t="s">
        <v>184</v>
      </c>
      <c r="AG940" s="7" t="s">
        <v>802</v>
      </c>
      <c r="AH940" s="0" t="s">
        <v>50</v>
      </c>
      <c r="AI940" s="0" t="s">
        <v>2331</v>
      </c>
      <c r="AJ940" s="0" t="s">
        <v>2331</v>
      </c>
      <c r="AK940" s="0" t="s">
        <v>50</v>
      </c>
      <c r="AL940" s="0" t="s">
        <v>63</v>
      </c>
      <c r="AM940" s="0" t="s">
        <v>50</v>
      </c>
      <c r="AN940" s="0" t="s">
        <v>64</v>
      </c>
      <c r="AO940" s="0" t="s">
        <v>63</v>
      </c>
    </row>
    <row r="941" customFormat="false" ht="15" hidden="false" customHeight="false" outlineLevel="0" collapsed="false">
      <c r="A941" s="0" t="s">
        <v>2165</v>
      </c>
      <c r="B941" s="2" t="s">
        <v>2464</v>
      </c>
      <c r="C941" s="0" t="s">
        <v>163</v>
      </c>
      <c r="D941" s="0" t="n">
        <v>8012232081</v>
      </c>
      <c r="E941" s="0" t="s">
        <v>122</v>
      </c>
      <c r="F941" s="0" t="s">
        <v>2316</v>
      </c>
      <c r="G941" s="0" t="s">
        <v>2166</v>
      </c>
      <c r="H941" s="0" t="s">
        <v>69</v>
      </c>
      <c r="I941" s="3" t="s">
        <v>2317</v>
      </c>
      <c r="J941" s="0" t="s">
        <v>189</v>
      </c>
      <c r="K941" s="0" t="s">
        <v>48</v>
      </c>
      <c r="L941" s="4" t="n">
        <v>113562</v>
      </c>
      <c r="M941" s="0" t="s">
        <v>49</v>
      </c>
      <c r="N941" s="0" t="s">
        <v>50</v>
      </c>
      <c r="O941" s="5" t="n">
        <v>4</v>
      </c>
      <c r="P941" s="0" t="n">
        <v>4.6</v>
      </c>
      <c r="Q941" s="0" t="s">
        <v>51</v>
      </c>
      <c r="R941" s="0" t="s">
        <v>52</v>
      </c>
      <c r="S941" s="0" t="s">
        <v>2366</v>
      </c>
      <c r="T941" s="0" t="s">
        <v>2353</v>
      </c>
      <c r="U941" s="5" t="n">
        <v>30</v>
      </c>
      <c r="V941" s="0" t="s">
        <v>96</v>
      </c>
      <c r="W941" s="0" t="s">
        <v>155</v>
      </c>
      <c r="X941" s="0" t="s">
        <v>98</v>
      </c>
      <c r="Y941" s="0" t="s">
        <v>196</v>
      </c>
      <c r="Z941" s="0" t="s">
        <v>2329</v>
      </c>
      <c r="AA941" s="0" t="s">
        <v>149</v>
      </c>
      <c r="AB941" s="5" t="n">
        <v>20000</v>
      </c>
      <c r="AC941" s="5" t="n">
        <v>20000</v>
      </c>
      <c r="AD941" s="0" t="s">
        <v>63</v>
      </c>
      <c r="AE941" s="5" t="n">
        <v>5000</v>
      </c>
      <c r="AF941" s="0" t="s">
        <v>2338</v>
      </c>
      <c r="AG941" s="7" t="s">
        <v>1782</v>
      </c>
      <c r="AH941" s="0" t="s">
        <v>50</v>
      </c>
      <c r="AI941" s="0" t="s">
        <v>2331</v>
      </c>
      <c r="AJ941" s="0" t="s">
        <v>2320</v>
      </c>
      <c r="AK941" s="0" t="s">
        <v>50</v>
      </c>
      <c r="AL941" s="0" t="s">
        <v>50</v>
      </c>
      <c r="AM941" s="0" t="s">
        <v>63</v>
      </c>
      <c r="AN941" s="0" t="s">
        <v>2321</v>
      </c>
      <c r="AO941" s="0" t="s">
        <v>50</v>
      </c>
    </row>
    <row r="942" customFormat="false" ht="15" hidden="false" customHeight="false" outlineLevel="0" collapsed="false">
      <c r="A942" s="0" t="s">
        <v>2167</v>
      </c>
      <c r="B942" s="2" t="s">
        <v>2383</v>
      </c>
      <c r="C942" s="0" t="s">
        <v>105</v>
      </c>
      <c r="D942" s="0" t="n">
        <v>8095064149</v>
      </c>
      <c r="E942" s="0" t="s">
        <v>43</v>
      </c>
      <c r="F942" s="0" t="s">
        <v>2315</v>
      </c>
      <c r="G942" s="0" t="s">
        <v>2168</v>
      </c>
      <c r="H942" s="0" t="s">
        <v>87</v>
      </c>
      <c r="I942" s="3" t="s">
        <v>2322</v>
      </c>
      <c r="J942" s="0" t="s">
        <v>2349</v>
      </c>
      <c r="K942" s="0" t="s">
        <v>48</v>
      </c>
      <c r="L942" s="4" t="n">
        <v>86149</v>
      </c>
      <c r="M942" s="0" t="s">
        <v>110</v>
      </c>
      <c r="N942" s="0" t="s">
        <v>50</v>
      </c>
      <c r="O942" s="5" t="n">
        <v>3</v>
      </c>
      <c r="P942" s="0" t="n">
        <v>5.1</v>
      </c>
      <c r="Q942" s="0" t="s">
        <v>111</v>
      </c>
      <c r="R942" s="0" t="s">
        <v>52</v>
      </c>
      <c r="S942" s="0" t="s">
        <v>2340</v>
      </c>
      <c r="T942" s="0" t="s">
        <v>2343</v>
      </c>
      <c r="U942" s="5" t="n">
        <v>36.6666666666667</v>
      </c>
      <c r="V942" s="0" t="s">
        <v>2352</v>
      </c>
      <c r="W942" s="0" t="s">
        <v>155</v>
      </c>
      <c r="X942" s="0" t="s">
        <v>98</v>
      </c>
      <c r="Y942" s="0" t="s">
        <v>196</v>
      </c>
      <c r="Z942" s="0" t="s">
        <v>59</v>
      </c>
      <c r="AA942" s="0" t="s">
        <v>143</v>
      </c>
      <c r="AB942" s="5" t="n">
        <v>20000</v>
      </c>
      <c r="AC942" s="5" t="n">
        <v>30816.3265306122</v>
      </c>
      <c r="AD942" s="0" t="s">
        <v>50</v>
      </c>
      <c r="AE942" s="5" t="n">
        <v>5000</v>
      </c>
      <c r="AF942" s="0" t="s">
        <v>130</v>
      </c>
      <c r="AG942" s="7" t="s">
        <v>2354</v>
      </c>
      <c r="AH942" s="0" t="s">
        <v>50</v>
      </c>
      <c r="AI942" s="0" t="s">
        <v>116</v>
      </c>
      <c r="AJ942" s="0" t="s">
        <v>172</v>
      </c>
      <c r="AK942" s="0" t="s">
        <v>50</v>
      </c>
      <c r="AL942" s="0" t="s">
        <v>2344</v>
      </c>
      <c r="AM942" s="0" t="s">
        <v>63</v>
      </c>
      <c r="AN942" s="0" t="s">
        <v>2321</v>
      </c>
      <c r="AO942" s="0" t="s">
        <v>50</v>
      </c>
    </row>
    <row r="943" customFormat="false" ht="15" hidden="false" customHeight="false" outlineLevel="0" collapsed="false">
      <c r="A943" s="0" t="s">
        <v>2169</v>
      </c>
      <c r="B943" s="2" t="s">
        <v>2387</v>
      </c>
      <c r="C943" s="0" t="s">
        <v>42</v>
      </c>
      <c r="D943" s="0" t="n">
        <v>8058345978</v>
      </c>
      <c r="E943" s="0" t="s">
        <v>43</v>
      </c>
      <c r="F943" s="0" t="s">
        <v>2315</v>
      </c>
      <c r="G943" s="0" t="s">
        <v>2170</v>
      </c>
      <c r="H943" s="0" t="s">
        <v>107</v>
      </c>
      <c r="I943" s="3" t="s">
        <v>2322</v>
      </c>
      <c r="J943" s="0" t="s">
        <v>2341</v>
      </c>
      <c r="K943" s="0" t="s">
        <v>48</v>
      </c>
      <c r="L943" s="4" t="n">
        <v>65511</v>
      </c>
      <c r="M943" s="0" t="s">
        <v>49</v>
      </c>
      <c r="N943" s="0" t="s">
        <v>63</v>
      </c>
      <c r="O943" s="5" t="n">
        <v>3.52830188679245</v>
      </c>
      <c r="P943" s="0" t="n">
        <v>4.5</v>
      </c>
      <c r="Q943" s="0" t="s">
        <v>111</v>
      </c>
      <c r="R943" s="0" t="s">
        <v>52</v>
      </c>
      <c r="S943" s="0" t="s">
        <v>2366</v>
      </c>
      <c r="T943" s="0" t="s">
        <v>54</v>
      </c>
      <c r="U943" s="5" t="n">
        <v>45</v>
      </c>
      <c r="V943" s="0" t="s">
        <v>55</v>
      </c>
      <c r="W943" s="0" t="s">
        <v>2328</v>
      </c>
      <c r="X943" s="0" t="s">
        <v>78</v>
      </c>
      <c r="Y943" s="0" t="s">
        <v>99</v>
      </c>
      <c r="Z943" s="0" t="s">
        <v>2324</v>
      </c>
      <c r="AA943" s="0" t="s">
        <v>2329</v>
      </c>
      <c r="AB943" s="5" t="n">
        <v>20000</v>
      </c>
      <c r="AC943" s="5" t="n">
        <v>20000</v>
      </c>
      <c r="AD943" s="0" t="s">
        <v>63</v>
      </c>
      <c r="AE943" s="5" t="n">
        <v>5000</v>
      </c>
      <c r="AF943" s="0" t="s">
        <v>184</v>
      </c>
      <c r="AG943" s="7" t="s">
        <v>2330</v>
      </c>
      <c r="AH943" s="0" t="s">
        <v>63</v>
      </c>
      <c r="AI943" s="0" t="s">
        <v>2331</v>
      </c>
      <c r="AJ943" s="0" t="s">
        <v>2331</v>
      </c>
      <c r="AK943" s="0" t="s">
        <v>63</v>
      </c>
      <c r="AL943" s="0" t="s">
        <v>63</v>
      </c>
      <c r="AM943" s="0" t="s">
        <v>2344</v>
      </c>
      <c r="AN943" s="0" t="s">
        <v>2321</v>
      </c>
      <c r="AO943" s="0" t="s">
        <v>50</v>
      </c>
    </row>
    <row r="944" customFormat="false" ht="15" hidden="false" customHeight="false" outlineLevel="0" collapsed="false">
      <c r="A944" s="0" t="s">
        <v>2171</v>
      </c>
      <c r="B944" s="2" t="s">
        <v>2472</v>
      </c>
      <c r="C944" s="0" t="s">
        <v>163</v>
      </c>
      <c r="D944" s="0" t="n">
        <v>8016141035</v>
      </c>
      <c r="E944" s="0" t="s">
        <v>67</v>
      </c>
      <c r="F944" s="0" t="s">
        <v>2316</v>
      </c>
      <c r="G944" s="0" t="s">
        <v>2172</v>
      </c>
      <c r="H944" s="0" t="s">
        <v>107</v>
      </c>
      <c r="I944" s="3" t="s">
        <v>2322</v>
      </c>
      <c r="J944" s="0" t="s">
        <v>2341</v>
      </c>
      <c r="K944" s="0" t="s">
        <v>90</v>
      </c>
      <c r="L944" s="4" t="n">
        <v>24744</v>
      </c>
      <c r="M944" s="0" t="s">
        <v>110</v>
      </c>
      <c r="N944" s="0" t="s">
        <v>63</v>
      </c>
      <c r="O944" s="5" t="n">
        <v>4</v>
      </c>
      <c r="P944" s="0" t="n">
        <v>3.7</v>
      </c>
      <c r="Q944" s="0" t="s">
        <v>125</v>
      </c>
      <c r="R944" s="0" t="s">
        <v>52</v>
      </c>
      <c r="S944" s="0" t="s">
        <v>2335</v>
      </c>
      <c r="T944" s="0" t="s">
        <v>2353</v>
      </c>
      <c r="U944" s="5" t="n">
        <v>45</v>
      </c>
      <c r="V944" s="0" t="s">
        <v>2352</v>
      </c>
      <c r="W944" s="0" t="s">
        <v>2337</v>
      </c>
      <c r="X944" s="0" t="s">
        <v>128</v>
      </c>
      <c r="Y944" s="0" t="s">
        <v>99</v>
      </c>
      <c r="Z944" s="0" t="s">
        <v>177</v>
      </c>
      <c r="AA944" s="0" t="s">
        <v>149</v>
      </c>
      <c r="AB944" s="5" t="n">
        <v>20000</v>
      </c>
      <c r="AC944" s="5" t="n">
        <v>35000</v>
      </c>
      <c r="AD944" s="0" t="s">
        <v>63</v>
      </c>
      <c r="AE944" s="5" t="n">
        <v>5000</v>
      </c>
      <c r="AF944" s="0" t="s">
        <v>60</v>
      </c>
      <c r="AG944" s="7" t="s">
        <v>959</v>
      </c>
      <c r="AH944" s="0" t="s">
        <v>50</v>
      </c>
      <c r="AI944" s="0" t="s">
        <v>2331</v>
      </c>
      <c r="AJ944" s="0" t="s">
        <v>117</v>
      </c>
      <c r="AK944" s="0" t="s">
        <v>2344</v>
      </c>
      <c r="AL944" s="0" t="s">
        <v>2344</v>
      </c>
      <c r="AM944" s="0" t="s">
        <v>63</v>
      </c>
      <c r="AN944" s="0" t="s">
        <v>2321</v>
      </c>
      <c r="AO944" s="0" t="s">
        <v>50</v>
      </c>
    </row>
    <row r="945" customFormat="false" ht="15" hidden="false" customHeight="false" outlineLevel="0" collapsed="false">
      <c r="A945" s="0" t="s">
        <v>2173</v>
      </c>
      <c r="B945" s="2" t="s">
        <v>1113</v>
      </c>
      <c r="C945" s="0" t="s">
        <v>163</v>
      </c>
      <c r="D945" s="0" t="n">
        <v>8053691252</v>
      </c>
      <c r="E945" s="0" t="s">
        <v>43</v>
      </c>
      <c r="F945" s="0" t="s">
        <v>2315</v>
      </c>
      <c r="G945" s="0" t="s">
        <v>2174</v>
      </c>
      <c r="H945" s="0" t="s">
        <v>45</v>
      </c>
      <c r="I945" s="3" t="s">
        <v>2342</v>
      </c>
      <c r="J945" s="0" t="s">
        <v>47</v>
      </c>
      <c r="K945" s="0" t="s">
        <v>48</v>
      </c>
      <c r="L945" s="4" t="n">
        <v>56479</v>
      </c>
      <c r="M945" s="0" t="s">
        <v>49</v>
      </c>
      <c r="N945" s="0" t="s">
        <v>63</v>
      </c>
      <c r="O945" s="5" t="n">
        <v>5</v>
      </c>
      <c r="P945" s="0" t="n">
        <v>1.5</v>
      </c>
      <c r="Q945" s="0" t="s">
        <v>51</v>
      </c>
      <c r="R945" s="0" t="s">
        <v>73</v>
      </c>
      <c r="S945" s="0" t="s">
        <v>2366</v>
      </c>
      <c r="T945" s="0" t="s">
        <v>75</v>
      </c>
      <c r="U945" s="5" t="n">
        <v>36.9230769230769</v>
      </c>
      <c r="V945" s="0" t="s">
        <v>55</v>
      </c>
      <c r="W945" s="0" t="s">
        <v>155</v>
      </c>
      <c r="X945" s="0" t="s">
        <v>78</v>
      </c>
      <c r="Y945" s="0" t="s">
        <v>99</v>
      </c>
      <c r="Z945" s="0" t="s">
        <v>59</v>
      </c>
      <c r="AA945" s="0" t="s">
        <v>149</v>
      </c>
      <c r="AB945" s="5" t="n">
        <v>28888.8888888889</v>
      </c>
      <c r="AC945" s="5" t="n">
        <v>40000</v>
      </c>
      <c r="AD945" s="0" t="s">
        <v>50</v>
      </c>
      <c r="AE945" s="5" t="n">
        <v>0</v>
      </c>
      <c r="AF945" s="0" t="s">
        <v>130</v>
      </c>
      <c r="AG945" s="7" t="s">
        <v>2330</v>
      </c>
      <c r="AH945" s="0" t="s">
        <v>50</v>
      </c>
      <c r="AI945" s="0" t="s">
        <v>2331</v>
      </c>
      <c r="AJ945" s="0" t="s">
        <v>2331</v>
      </c>
      <c r="AK945" s="0" t="s">
        <v>50</v>
      </c>
      <c r="AL945" s="0" t="s">
        <v>2344</v>
      </c>
      <c r="AM945" s="0" t="s">
        <v>2344</v>
      </c>
      <c r="AN945" s="0" t="s">
        <v>2321</v>
      </c>
      <c r="AO945" s="0" t="s">
        <v>2359</v>
      </c>
    </row>
    <row r="946" customFormat="false" ht="15" hidden="false" customHeight="false" outlineLevel="0" collapsed="false">
      <c r="A946" s="0" t="s">
        <v>2175</v>
      </c>
      <c r="B946" s="2" t="s">
        <v>2390</v>
      </c>
      <c r="C946" s="0" t="s">
        <v>121</v>
      </c>
      <c r="D946" s="0" t="n">
        <v>8069633763</v>
      </c>
      <c r="E946" s="0" t="s">
        <v>139</v>
      </c>
      <c r="F946" s="0" t="s">
        <v>2323</v>
      </c>
      <c r="G946" s="0" t="s">
        <v>2176</v>
      </c>
      <c r="H946" s="0" t="s">
        <v>69</v>
      </c>
      <c r="I946" s="3" t="s">
        <v>2325</v>
      </c>
      <c r="J946" s="0" t="s">
        <v>47</v>
      </c>
      <c r="K946" s="0" t="s">
        <v>48</v>
      </c>
      <c r="L946" s="4" t="n">
        <v>65987</v>
      </c>
      <c r="M946" s="0" t="s">
        <v>110</v>
      </c>
      <c r="N946" s="0" t="s">
        <v>63</v>
      </c>
      <c r="O946" s="5" t="n">
        <v>4</v>
      </c>
      <c r="P946" s="0" t="n">
        <v>3.5</v>
      </c>
      <c r="Q946" s="0" t="s">
        <v>125</v>
      </c>
      <c r="R946" s="0" t="s">
        <v>73</v>
      </c>
      <c r="S946" s="0" t="s">
        <v>2335</v>
      </c>
      <c r="T946" s="0" t="s">
        <v>147</v>
      </c>
      <c r="U946" s="5" t="n">
        <v>15</v>
      </c>
      <c r="V946" s="0" t="s">
        <v>96</v>
      </c>
      <c r="W946" s="0" t="s">
        <v>155</v>
      </c>
      <c r="X946" s="0" t="s">
        <v>128</v>
      </c>
      <c r="Y946" s="0" t="s">
        <v>99</v>
      </c>
      <c r="Z946" s="0" t="s">
        <v>177</v>
      </c>
      <c r="AA946" s="0" t="s">
        <v>2329</v>
      </c>
      <c r="AB946" s="5" t="n">
        <v>25000</v>
      </c>
      <c r="AC946" s="5" t="n">
        <v>40000</v>
      </c>
      <c r="AD946" s="0" t="s">
        <v>63</v>
      </c>
      <c r="AE946" s="5" t="n">
        <v>0</v>
      </c>
      <c r="AF946" s="0" t="s">
        <v>60</v>
      </c>
      <c r="AG946" s="7" t="s">
        <v>2401</v>
      </c>
      <c r="AH946" s="0" t="s">
        <v>63</v>
      </c>
      <c r="AI946" s="0" t="s">
        <v>2331</v>
      </c>
      <c r="AJ946" s="0" t="s">
        <v>172</v>
      </c>
      <c r="AK946" s="0" t="s">
        <v>50</v>
      </c>
      <c r="AL946" s="0" t="s">
        <v>63</v>
      </c>
      <c r="AM946" s="0" t="s">
        <v>63</v>
      </c>
      <c r="AN946" s="0" t="s">
        <v>2321</v>
      </c>
      <c r="AO946" s="0" t="s">
        <v>50</v>
      </c>
    </row>
    <row r="947" customFormat="false" ht="15" hidden="false" customHeight="false" outlineLevel="0" collapsed="false">
      <c r="A947" s="0" t="s">
        <v>2177</v>
      </c>
      <c r="B947" s="2" t="s">
        <v>2221</v>
      </c>
      <c r="C947" s="0" t="s">
        <v>42</v>
      </c>
      <c r="D947" s="0" t="n">
        <v>8041347711</v>
      </c>
      <c r="E947" s="0" t="s">
        <v>67</v>
      </c>
      <c r="F947" s="0" t="s">
        <v>2316</v>
      </c>
      <c r="G947" s="0" t="s">
        <v>2178</v>
      </c>
      <c r="H947" s="0" t="s">
        <v>69</v>
      </c>
      <c r="I947" s="3" t="s">
        <v>2317</v>
      </c>
      <c r="J947" s="0" t="s">
        <v>2339</v>
      </c>
      <c r="K947" s="0" t="s">
        <v>90</v>
      </c>
      <c r="L947" s="4" t="n">
        <v>15769</v>
      </c>
      <c r="M947" s="0" t="s">
        <v>110</v>
      </c>
      <c r="N947" s="0" t="s">
        <v>50</v>
      </c>
      <c r="O947" s="5" t="n">
        <v>2</v>
      </c>
      <c r="P947" s="0" t="n">
        <v>5.6</v>
      </c>
      <c r="Q947" s="0" t="s">
        <v>125</v>
      </c>
      <c r="R947" s="0" t="s">
        <v>52</v>
      </c>
      <c r="S947" s="0" t="s">
        <v>2340</v>
      </c>
      <c r="T947" s="0" t="s">
        <v>147</v>
      </c>
      <c r="U947" s="5" t="n">
        <v>15</v>
      </c>
      <c r="V947" s="0" t="s">
        <v>96</v>
      </c>
      <c r="W947" s="0" t="s">
        <v>2337</v>
      </c>
      <c r="X947" s="0" t="s">
        <v>98</v>
      </c>
      <c r="Y947" s="0" t="s">
        <v>99</v>
      </c>
      <c r="Z947" s="0" t="s">
        <v>2329</v>
      </c>
      <c r="AA947" s="0" t="s">
        <v>161</v>
      </c>
      <c r="AB947" s="5" t="n">
        <v>20000</v>
      </c>
      <c r="AC947" s="5" t="n">
        <v>30000</v>
      </c>
      <c r="AD947" s="0" t="s">
        <v>50</v>
      </c>
      <c r="AE947" s="5" t="n">
        <v>0</v>
      </c>
      <c r="AF947" s="0" t="s">
        <v>184</v>
      </c>
      <c r="AG947" s="7" t="s">
        <v>2415</v>
      </c>
      <c r="AH947" s="0" t="s">
        <v>2329</v>
      </c>
      <c r="AI947" s="0" t="s">
        <v>171</v>
      </c>
      <c r="AJ947" s="0" t="s">
        <v>2331</v>
      </c>
      <c r="AK947" s="0" t="s">
        <v>50</v>
      </c>
      <c r="AL947" s="0" t="s">
        <v>2344</v>
      </c>
      <c r="AM947" s="0" t="s">
        <v>63</v>
      </c>
      <c r="AN947" s="0" t="s">
        <v>2321</v>
      </c>
      <c r="AO947" s="0" t="s">
        <v>50</v>
      </c>
    </row>
    <row r="948" customFormat="false" ht="15" hidden="false" customHeight="false" outlineLevel="0" collapsed="false">
      <c r="A948" s="0" t="s">
        <v>2179</v>
      </c>
      <c r="B948" s="2" t="s">
        <v>2497</v>
      </c>
      <c r="C948" s="0" t="s">
        <v>121</v>
      </c>
      <c r="D948" s="0" t="n">
        <v>8091438353</v>
      </c>
      <c r="E948" s="0" t="s">
        <v>85</v>
      </c>
      <c r="F948" s="0" t="s">
        <v>2319</v>
      </c>
      <c r="G948" s="0" t="s">
        <v>2180</v>
      </c>
      <c r="H948" s="0" t="s">
        <v>107</v>
      </c>
      <c r="I948" s="3" t="s">
        <v>2325</v>
      </c>
      <c r="J948" s="0" t="s">
        <v>2341</v>
      </c>
      <c r="K948" s="0" t="s">
        <v>90</v>
      </c>
      <c r="L948" s="4" t="n">
        <v>74796</v>
      </c>
      <c r="M948" s="0" t="s">
        <v>110</v>
      </c>
      <c r="N948" s="0" t="s">
        <v>50</v>
      </c>
      <c r="O948" s="5" t="n">
        <v>5</v>
      </c>
      <c r="P948" s="0" t="n">
        <v>4.3</v>
      </c>
      <c r="Q948" s="0" t="s">
        <v>111</v>
      </c>
      <c r="R948" s="0" t="s">
        <v>93</v>
      </c>
      <c r="S948" s="0" t="s">
        <v>2340</v>
      </c>
      <c r="T948" s="0" t="s">
        <v>2353</v>
      </c>
      <c r="U948" s="5" t="n">
        <v>40</v>
      </c>
      <c r="V948" s="0" t="s">
        <v>2336</v>
      </c>
      <c r="W948" s="0" t="s">
        <v>155</v>
      </c>
      <c r="X948" s="0" t="s">
        <v>128</v>
      </c>
      <c r="Y948" s="0" t="s">
        <v>196</v>
      </c>
      <c r="Z948" s="0" t="s">
        <v>2329</v>
      </c>
      <c r="AA948" s="0" t="s">
        <v>143</v>
      </c>
      <c r="AB948" s="5" t="n">
        <v>30000</v>
      </c>
      <c r="AC948" s="5" t="n">
        <v>35000</v>
      </c>
      <c r="AD948" s="0" t="s">
        <v>63</v>
      </c>
      <c r="AE948" s="5" t="n">
        <v>5000</v>
      </c>
      <c r="AF948" s="0" t="s">
        <v>130</v>
      </c>
      <c r="AG948" s="7" t="s">
        <v>486</v>
      </c>
      <c r="AH948" s="0" t="s">
        <v>63</v>
      </c>
      <c r="AI948" s="0" t="s">
        <v>2331</v>
      </c>
      <c r="AJ948" s="0" t="s">
        <v>117</v>
      </c>
      <c r="AK948" s="0" t="s">
        <v>63</v>
      </c>
      <c r="AL948" s="0" t="s">
        <v>63</v>
      </c>
      <c r="AM948" s="0" t="s">
        <v>2344</v>
      </c>
      <c r="AN948" s="0" t="s">
        <v>64</v>
      </c>
      <c r="AO948" s="0" t="s">
        <v>50</v>
      </c>
    </row>
    <row r="949" customFormat="false" ht="15" hidden="false" customHeight="false" outlineLevel="0" collapsed="false">
      <c r="A949" s="0" t="s">
        <v>2181</v>
      </c>
      <c r="B949" s="2" t="s">
        <v>2488</v>
      </c>
      <c r="C949" s="0" t="s">
        <v>163</v>
      </c>
      <c r="D949" s="0" t="n">
        <v>8075033340</v>
      </c>
      <c r="E949" s="0" t="s">
        <v>139</v>
      </c>
      <c r="F949" s="0" t="s">
        <v>2323</v>
      </c>
      <c r="G949" s="0" t="s">
        <v>2182</v>
      </c>
      <c r="H949" s="0" t="s">
        <v>45</v>
      </c>
      <c r="I949" s="3" t="s">
        <v>87</v>
      </c>
      <c r="J949" s="0" t="s">
        <v>2349</v>
      </c>
      <c r="K949" s="0" t="s">
        <v>90</v>
      </c>
      <c r="L949" s="4" t="n">
        <v>82331</v>
      </c>
      <c r="M949" s="0" t="s">
        <v>2333</v>
      </c>
      <c r="N949" s="0" t="s">
        <v>50</v>
      </c>
      <c r="O949" s="5" t="n">
        <v>3</v>
      </c>
      <c r="P949" s="0" t="n">
        <v>3.6</v>
      </c>
      <c r="Q949" s="0" t="s">
        <v>125</v>
      </c>
      <c r="R949" s="0" t="s">
        <v>93</v>
      </c>
      <c r="S949" s="0" t="s">
        <v>2340</v>
      </c>
      <c r="T949" s="0" t="s">
        <v>95</v>
      </c>
      <c r="U949" s="5" t="n">
        <v>45</v>
      </c>
      <c r="V949" s="0" t="s">
        <v>2352</v>
      </c>
      <c r="W949" s="0" t="s">
        <v>155</v>
      </c>
      <c r="X949" s="0" t="s">
        <v>78</v>
      </c>
      <c r="Y949" s="0" t="s">
        <v>196</v>
      </c>
      <c r="Z949" s="0" t="s">
        <v>2324</v>
      </c>
      <c r="AA949" s="0" t="s">
        <v>143</v>
      </c>
      <c r="AB949" s="5" t="n">
        <v>25000</v>
      </c>
      <c r="AC949" s="5" t="n">
        <v>30000</v>
      </c>
      <c r="AD949" s="0" t="s">
        <v>63</v>
      </c>
      <c r="AE949" s="5" t="n">
        <v>5000</v>
      </c>
      <c r="AF949" s="0" t="s">
        <v>60</v>
      </c>
      <c r="AG949" s="7" t="s">
        <v>2330</v>
      </c>
      <c r="AH949" s="0" t="s">
        <v>2329</v>
      </c>
      <c r="AI949" s="0" t="s">
        <v>171</v>
      </c>
      <c r="AJ949" s="0" t="s">
        <v>172</v>
      </c>
      <c r="AK949" s="0" t="s">
        <v>50</v>
      </c>
      <c r="AL949" s="0" t="s">
        <v>50</v>
      </c>
      <c r="AM949" s="0" t="s">
        <v>63</v>
      </c>
      <c r="AN949" s="0" t="s">
        <v>2321</v>
      </c>
      <c r="AO949" s="0" t="s">
        <v>63</v>
      </c>
    </row>
    <row r="950" customFormat="false" ht="15" hidden="false" customHeight="false" outlineLevel="0" collapsed="false">
      <c r="A950" s="0" t="s">
        <v>2183</v>
      </c>
      <c r="B950" s="2" t="s">
        <v>2486</v>
      </c>
      <c r="C950" s="0" t="s">
        <v>42</v>
      </c>
      <c r="D950" s="0" t="n">
        <v>8063709262</v>
      </c>
      <c r="E950" s="0" t="s">
        <v>67</v>
      </c>
      <c r="F950" s="0" t="s">
        <v>2316</v>
      </c>
      <c r="G950" s="0" t="s">
        <v>2184</v>
      </c>
      <c r="H950" s="0" t="s">
        <v>69</v>
      </c>
      <c r="I950" s="3" t="s">
        <v>2317</v>
      </c>
      <c r="J950" s="0" t="s">
        <v>47</v>
      </c>
      <c r="K950" s="0" t="s">
        <v>48</v>
      </c>
      <c r="L950" s="4" t="n">
        <v>94191</v>
      </c>
      <c r="M950" s="0" t="s">
        <v>2333</v>
      </c>
      <c r="N950" s="0" t="s">
        <v>50</v>
      </c>
      <c r="O950" s="5" t="n">
        <v>5</v>
      </c>
      <c r="P950" s="0" t="n">
        <v>4</v>
      </c>
      <c r="Q950" s="0" t="s">
        <v>111</v>
      </c>
      <c r="R950" s="0" t="s">
        <v>93</v>
      </c>
      <c r="S950" s="0" t="s">
        <v>2340</v>
      </c>
      <c r="T950" s="0" t="s">
        <v>95</v>
      </c>
      <c r="U950" s="5" t="n">
        <v>30</v>
      </c>
      <c r="V950" s="0" t="s">
        <v>55</v>
      </c>
      <c r="W950" s="0" t="s">
        <v>155</v>
      </c>
      <c r="X950" s="0" t="s">
        <v>128</v>
      </c>
      <c r="Y950" s="0" t="s">
        <v>99</v>
      </c>
      <c r="Z950" s="0" t="s">
        <v>2329</v>
      </c>
      <c r="AA950" s="0" t="s">
        <v>143</v>
      </c>
      <c r="AB950" s="5" t="n">
        <v>29375</v>
      </c>
      <c r="AC950" s="5" t="n">
        <v>30476.1904761905</v>
      </c>
      <c r="AD950" s="0" t="s">
        <v>50</v>
      </c>
      <c r="AE950" s="5" t="n">
        <v>0</v>
      </c>
      <c r="AF950" s="0" t="s">
        <v>130</v>
      </c>
      <c r="AG950" s="7" t="s">
        <v>853</v>
      </c>
      <c r="AH950" s="0" t="s">
        <v>50</v>
      </c>
      <c r="AI950" s="0" t="s">
        <v>171</v>
      </c>
      <c r="AJ950" s="0" t="s">
        <v>2320</v>
      </c>
      <c r="AK950" s="0" t="s">
        <v>63</v>
      </c>
      <c r="AL950" s="0" t="s">
        <v>2344</v>
      </c>
      <c r="AM950" s="0" t="s">
        <v>63</v>
      </c>
      <c r="AN950" s="0" t="s">
        <v>2321</v>
      </c>
      <c r="AO950" s="0" t="s">
        <v>63</v>
      </c>
    </row>
    <row r="951" customFormat="false" ht="15" hidden="false" customHeight="false" outlineLevel="0" collapsed="false">
      <c r="A951" s="0" t="s">
        <v>2185</v>
      </c>
      <c r="B951" s="2" t="s">
        <v>316</v>
      </c>
      <c r="C951" s="0" t="s">
        <v>42</v>
      </c>
      <c r="D951" s="0" t="n">
        <v>8092220752</v>
      </c>
      <c r="E951" s="0" t="s">
        <v>67</v>
      </c>
      <c r="F951" s="0" t="s">
        <v>2316</v>
      </c>
      <c r="G951" s="0" t="s">
        <v>2186</v>
      </c>
      <c r="H951" s="0" t="s">
        <v>45</v>
      </c>
      <c r="I951" s="3" t="s">
        <v>87</v>
      </c>
      <c r="J951" s="0" t="s">
        <v>2349</v>
      </c>
      <c r="K951" s="0" t="s">
        <v>90</v>
      </c>
      <c r="L951" s="4" t="n">
        <v>42520</v>
      </c>
      <c r="M951" s="0" t="s">
        <v>110</v>
      </c>
      <c r="N951" s="0" t="s">
        <v>50</v>
      </c>
      <c r="O951" s="5" t="n">
        <v>1</v>
      </c>
      <c r="P951" s="0" t="n">
        <v>4.8</v>
      </c>
      <c r="Q951" s="0" t="s">
        <v>125</v>
      </c>
      <c r="R951" s="0" t="s">
        <v>73</v>
      </c>
      <c r="S951" s="0" t="s">
        <v>2340</v>
      </c>
      <c r="T951" s="0" t="s">
        <v>2353</v>
      </c>
      <c r="U951" s="5" t="n">
        <v>35.625</v>
      </c>
      <c r="V951" s="0" t="s">
        <v>112</v>
      </c>
      <c r="W951" s="0" t="s">
        <v>155</v>
      </c>
      <c r="X951" s="0" t="s">
        <v>128</v>
      </c>
      <c r="Y951" s="0" t="s">
        <v>58</v>
      </c>
      <c r="Z951" s="0" t="s">
        <v>2329</v>
      </c>
      <c r="AA951" s="0" t="s">
        <v>79</v>
      </c>
      <c r="AB951" s="5" t="n">
        <v>20000</v>
      </c>
      <c r="AC951" s="5" t="n">
        <v>35000</v>
      </c>
      <c r="AD951" s="0" t="s">
        <v>50</v>
      </c>
      <c r="AE951" s="5" t="n">
        <v>10000</v>
      </c>
      <c r="AF951" s="0" t="s">
        <v>60</v>
      </c>
      <c r="AG951" s="7" t="s">
        <v>2330</v>
      </c>
      <c r="AH951" s="0" t="s">
        <v>2329</v>
      </c>
      <c r="AI951" s="0" t="s">
        <v>2331</v>
      </c>
      <c r="AJ951" s="0" t="s">
        <v>2331</v>
      </c>
      <c r="AK951" s="0" t="s">
        <v>63</v>
      </c>
      <c r="AL951" s="0" t="s">
        <v>50</v>
      </c>
      <c r="AM951" s="0" t="s">
        <v>50</v>
      </c>
      <c r="AN951" s="0" t="s">
        <v>64</v>
      </c>
      <c r="AO951" s="0" t="s">
        <v>50</v>
      </c>
    </row>
    <row r="952" customFormat="false" ht="15" hidden="false" customHeight="false" outlineLevel="0" collapsed="false">
      <c r="A952" s="0" t="s">
        <v>2187</v>
      </c>
      <c r="B952" s="2" t="s">
        <v>2422</v>
      </c>
      <c r="C952" s="0" t="s">
        <v>42</v>
      </c>
      <c r="D952" s="0" t="n">
        <v>8020921193</v>
      </c>
      <c r="E952" s="0" t="s">
        <v>67</v>
      </c>
      <c r="F952" s="0" t="s">
        <v>2316</v>
      </c>
      <c r="G952" s="0" t="s">
        <v>2188</v>
      </c>
      <c r="H952" s="0" t="s">
        <v>107</v>
      </c>
      <c r="I952" s="3" t="s">
        <v>2317</v>
      </c>
      <c r="J952" s="0" t="s">
        <v>2341</v>
      </c>
      <c r="K952" s="0" t="s">
        <v>109</v>
      </c>
      <c r="L952" s="4" t="n">
        <v>33203</v>
      </c>
      <c r="M952" s="0" t="s">
        <v>110</v>
      </c>
      <c r="N952" s="0" t="s">
        <v>50</v>
      </c>
      <c r="O952" s="5" t="n">
        <v>2</v>
      </c>
      <c r="P952" s="0" t="n">
        <v>5.8</v>
      </c>
      <c r="Q952" s="0" t="s">
        <v>51</v>
      </c>
      <c r="R952" s="0" t="s">
        <v>73</v>
      </c>
      <c r="S952" s="0" t="s">
        <v>53</v>
      </c>
      <c r="T952" s="0" t="s">
        <v>2343</v>
      </c>
      <c r="U952" s="5" t="n">
        <v>40</v>
      </c>
      <c r="V952" s="0" t="s">
        <v>2352</v>
      </c>
      <c r="W952" s="0" t="s">
        <v>155</v>
      </c>
      <c r="X952" s="0" t="s">
        <v>98</v>
      </c>
      <c r="Y952" s="0" t="s">
        <v>114</v>
      </c>
      <c r="Z952" s="0" t="s">
        <v>2329</v>
      </c>
      <c r="AA952" s="0" t="s">
        <v>79</v>
      </c>
      <c r="AB952" s="5" t="n">
        <v>15000</v>
      </c>
      <c r="AC952" s="5" t="n">
        <v>30365.8536585366</v>
      </c>
      <c r="AD952" s="0" t="s">
        <v>50</v>
      </c>
      <c r="AE952" s="5" t="n">
        <v>0</v>
      </c>
      <c r="AF952" s="0" t="s">
        <v>60</v>
      </c>
      <c r="AG952" s="7" t="s">
        <v>1155</v>
      </c>
      <c r="AH952" s="0" t="s">
        <v>63</v>
      </c>
      <c r="AI952" s="0" t="s">
        <v>2331</v>
      </c>
      <c r="AJ952" s="0" t="s">
        <v>2331</v>
      </c>
      <c r="AK952" s="0" t="s">
        <v>50</v>
      </c>
      <c r="AL952" s="0" t="s">
        <v>50</v>
      </c>
      <c r="AM952" s="0" t="s">
        <v>63</v>
      </c>
      <c r="AN952" s="0" t="s">
        <v>2321</v>
      </c>
      <c r="AO952" s="0" t="s">
        <v>63</v>
      </c>
    </row>
    <row r="953" customFormat="false" ht="15" hidden="false" customHeight="false" outlineLevel="0" collapsed="false">
      <c r="A953" s="0" t="s">
        <v>2189</v>
      </c>
      <c r="B953" s="2" t="s">
        <v>2416</v>
      </c>
      <c r="C953" s="0" t="s">
        <v>42</v>
      </c>
      <c r="D953" s="0" t="n">
        <v>8056752592</v>
      </c>
      <c r="E953" s="0" t="s">
        <v>122</v>
      </c>
      <c r="F953" s="0" t="s">
        <v>2316</v>
      </c>
      <c r="G953" s="0" t="s">
        <v>2190</v>
      </c>
      <c r="H953" s="0" t="s">
        <v>107</v>
      </c>
      <c r="I953" s="3" t="s">
        <v>2342</v>
      </c>
      <c r="J953" s="0" t="s">
        <v>2347</v>
      </c>
      <c r="K953" s="0" t="s">
        <v>90</v>
      </c>
      <c r="L953" s="4" t="n">
        <v>73898</v>
      </c>
      <c r="M953" s="0" t="s">
        <v>110</v>
      </c>
      <c r="N953" s="0" t="s">
        <v>50</v>
      </c>
      <c r="O953" s="5" t="n">
        <v>3</v>
      </c>
      <c r="P953" s="0" t="n">
        <v>1.7</v>
      </c>
      <c r="Q953" s="0" t="s">
        <v>51</v>
      </c>
      <c r="R953" s="0" t="s">
        <v>52</v>
      </c>
      <c r="S953" s="0" t="s">
        <v>2340</v>
      </c>
      <c r="T953" s="0" t="s">
        <v>75</v>
      </c>
      <c r="U953" s="5" t="n">
        <v>15</v>
      </c>
      <c r="V953" s="0" t="s">
        <v>112</v>
      </c>
      <c r="W953" s="0" t="s">
        <v>148</v>
      </c>
      <c r="X953" s="0" t="s">
        <v>98</v>
      </c>
      <c r="Y953" s="0" t="s">
        <v>58</v>
      </c>
      <c r="Z953" s="0" t="s">
        <v>2326</v>
      </c>
      <c r="AA953" s="0" t="s">
        <v>79</v>
      </c>
      <c r="AB953" s="5" t="n">
        <v>20000</v>
      </c>
      <c r="AC953" s="5" t="n">
        <v>30365.8536585366</v>
      </c>
      <c r="AD953" s="0" t="s">
        <v>63</v>
      </c>
      <c r="AE953" s="5" t="n">
        <v>0</v>
      </c>
      <c r="AF953" s="0" t="s">
        <v>184</v>
      </c>
      <c r="AG953" s="7" t="s">
        <v>2460</v>
      </c>
      <c r="AH953" s="0" t="s">
        <v>2329</v>
      </c>
      <c r="AI953" s="0" t="s">
        <v>2331</v>
      </c>
      <c r="AJ953" s="0" t="s">
        <v>2331</v>
      </c>
      <c r="AK953" s="0" t="s">
        <v>2344</v>
      </c>
      <c r="AL953" s="0" t="s">
        <v>63</v>
      </c>
      <c r="AM953" s="0" t="s">
        <v>2344</v>
      </c>
      <c r="AN953" s="0" t="s">
        <v>2321</v>
      </c>
      <c r="AO953" s="0" t="s">
        <v>50</v>
      </c>
    </row>
    <row r="954" customFormat="false" ht="15" hidden="false" customHeight="false" outlineLevel="0" collapsed="false">
      <c r="A954" s="0" t="s">
        <v>2191</v>
      </c>
      <c r="B954" s="2" t="s">
        <v>652</v>
      </c>
      <c r="C954" s="0" t="s">
        <v>121</v>
      </c>
      <c r="D954" s="0" t="n">
        <v>8067433950</v>
      </c>
      <c r="E954" s="0" t="s">
        <v>67</v>
      </c>
      <c r="F954" s="0" t="s">
        <v>2316</v>
      </c>
      <c r="G954" s="0" t="s">
        <v>2192</v>
      </c>
      <c r="H954" s="0" t="s">
        <v>69</v>
      </c>
      <c r="I954" s="3" t="s">
        <v>2322</v>
      </c>
      <c r="J954" s="0" t="s">
        <v>2341</v>
      </c>
      <c r="K954" s="0" t="s">
        <v>109</v>
      </c>
      <c r="L954" s="4" t="n">
        <v>47239</v>
      </c>
      <c r="M954" s="0" t="s">
        <v>110</v>
      </c>
      <c r="N954" s="0" t="s">
        <v>50</v>
      </c>
      <c r="O954" s="5" t="n">
        <v>4</v>
      </c>
      <c r="P954" s="0" t="n">
        <v>5.5</v>
      </c>
      <c r="Q954" s="0" t="s">
        <v>111</v>
      </c>
      <c r="R954" s="0" t="s">
        <v>93</v>
      </c>
      <c r="S954" s="0" t="s">
        <v>2335</v>
      </c>
      <c r="T954" s="0" t="s">
        <v>54</v>
      </c>
      <c r="U954" s="5" t="n">
        <v>30</v>
      </c>
      <c r="V954" s="0" t="s">
        <v>2336</v>
      </c>
      <c r="W954" s="0" t="s">
        <v>2337</v>
      </c>
      <c r="X954" s="0" t="s">
        <v>128</v>
      </c>
      <c r="Y954" s="0" t="s">
        <v>58</v>
      </c>
      <c r="Z954" s="0" t="s">
        <v>2329</v>
      </c>
      <c r="AA954" s="0" t="s">
        <v>161</v>
      </c>
      <c r="AB954" s="5" t="n">
        <v>25000</v>
      </c>
      <c r="AC954" s="5" t="n">
        <v>20000</v>
      </c>
      <c r="AD954" s="0" t="s">
        <v>63</v>
      </c>
      <c r="AE954" s="5" t="n">
        <v>0</v>
      </c>
      <c r="AF954" s="0" t="s">
        <v>130</v>
      </c>
      <c r="AG954" s="7" t="s">
        <v>424</v>
      </c>
      <c r="AH954" s="0" t="s">
        <v>2329</v>
      </c>
      <c r="AI954" s="0" t="s">
        <v>2331</v>
      </c>
      <c r="AJ954" s="0" t="s">
        <v>2331</v>
      </c>
      <c r="AK954" s="0" t="s">
        <v>63</v>
      </c>
      <c r="AL954" s="0" t="s">
        <v>2344</v>
      </c>
      <c r="AM954" s="0" t="s">
        <v>50</v>
      </c>
      <c r="AN954" s="0" t="s">
        <v>64</v>
      </c>
      <c r="AO954" s="0" t="s">
        <v>50</v>
      </c>
    </row>
    <row r="955" customFormat="false" ht="15" hidden="false" customHeight="false" outlineLevel="0" collapsed="false">
      <c r="A955" s="0" t="s">
        <v>2193</v>
      </c>
      <c r="B955" s="2" t="s">
        <v>2479</v>
      </c>
      <c r="C955" s="0" t="s">
        <v>66</v>
      </c>
      <c r="D955" s="0" t="n">
        <v>8073904001</v>
      </c>
      <c r="E955" s="0" t="s">
        <v>122</v>
      </c>
      <c r="F955" s="0" t="s">
        <v>2316</v>
      </c>
      <c r="G955" s="0" t="s">
        <v>2194</v>
      </c>
      <c r="H955" s="0" t="s">
        <v>107</v>
      </c>
      <c r="I955" s="3" t="s">
        <v>2342</v>
      </c>
      <c r="J955" s="0" t="s">
        <v>2347</v>
      </c>
      <c r="K955" s="0" t="s">
        <v>90</v>
      </c>
      <c r="L955" s="4" t="n">
        <v>98367</v>
      </c>
      <c r="M955" s="0" t="s">
        <v>2333</v>
      </c>
      <c r="N955" s="0" t="s">
        <v>50</v>
      </c>
      <c r="O955" s="5" t="n">
        <v>2</v>
      </c>
      <c r="P955" s="0" t="n">
        <v>1.7</v>
      </c>
      <c r="Q955" s="0" t="s">
        <v>2334</v>
      </c>
      <c r="R955" s="0" t="s">
        <v>93</v>
      </c>
      <c r="S955" s="0" t="s">
        <v>2335</v>
      </c>
      <c r="T955" s="0" t="s">
        <v>75</v>
      </c>
      <c r="U955" s="5" t="n">
        <v>45</v>
      </c>
      <c r="V955" s="0" t="s">
        <v>112</v>
      </c>
      <c r="W955" s="0" t="s">
        <v>2337</v>
      </c>
      <c r="X955" s="0" t="s">
        <v>128</v>
      </c>
      <c r="Y955" s="0" t="s">
        <v>196</v>
      </c>
      <c r="Z955" s="0" t="s">
        <v>2329</v>
      </c>
      <c r="AA955" s="0" t="s">
        <v>79</v>
      </c>
      <c r="AB955" s="5" t="n">
        <v>20000</v>
      </c>
      <c r="AC955" s="5" t="n">
        <v>40000</v>
      </c>
      <c r="AD955" s="0" t="s">
        <v>50</v>
      </c>
      <c r="AE955" s="5" t="n">
        <v>0</v>
      </c>
      <c r="AF955" s="0" t="s">
        <v>184</v>
      </c>
      <c r="AG955" s="7" t="s">
        <v>2461</v>
      </c>
      <c r="AH955" s="0" t="s">
        <v>2329</v>
      </c>
      <c r="AI955" s="0" t="s">
        <v>2331</v>
      </c>
      <c r="AJ955" s="0" t="s">
        <v>2331</v>
      </c>
      <c r="AK955" s="0" t="s">
        <v>2344</v>
      </c>
      <c r="AL955" s="0" t="s">
        <v>50</v>
      </c>
      <c r="AM955" s="0" t="s">
        <v>2344</v>
      </c>
      <c r="AN955" s="0" t="s">
        <v>2321</v>
      </c>
      <c r="AO955" s="0" t="s">
        <v>50</v>
      </c>
    </row>
    <row r="956" customFormat="false" ht="15" hidden="false" customHeight="false" outlineLevel="0" collapsed="false">
      <c r="A956" s="0" t="s">
        <v>2195</v>
      </c>
      <c r="B956" s="2" t="s">
        <v>371</v>
      </c>
      <c r="C956" s="0" t="s">
        <v>42</v>
      </c>
      <c r="D956" s="0" t="n">
        <v>8098360765</v>
      </c>
      <c r="E956" s="0" t="s">
        <v>67</v>
      </c>
      <c r="F956" s="0" t="s">
        <v>2316</v>
      </c>
      <c r="G956" s="0" t="s">
        <v>2196</v>
      </c>
      <c r="H956" s="0" t="s">
        <v>107</v>
      </c>
      <c r="I956" s="3" t="s">
        <v>2342</v>
      </c>
      <c r="J956" s="0" t="s">
        <v>189</v>
      </c>
      <c r="K956" s="0" t="s">
        <v>90</v>
      </c>
      <c r="L956" s="4" t="n">
        <v>115969</v>
      </c>
      <c r="M956" s="0" t="s">
        <v>2333</v>
      </c>
      <c r="N956" s="0" t="s">
        <v>50</v>
      </c>
      <c r="O956" s="5" t="n">
        <v>3</v>
      </c>
      <c r="P956" s="0" t="n">
        <v>3.7</v>
      </c>
      <c r="Q956" s="0" t="s">
        <v>111</v>
      </c>
      <c r="R956" s="0" t="s">
        <v>93</v>
      </c>
      <c r="S956" s="0" t="s">
        <v>2366</v>
      </c>
      <c r="T956" s="0" t="s">
        <v>75</v>
      </c>
      <c r="U956" s="5" t="n">
        <v>45</v>
      </c>
      <c r="V956" s="0" t="s">
        <v>2336</v>
      </c>
      <c r="W956" s="0" t="s">
        <v>155</v>
      </c>
      <c r="X956" s="0" t="s">
        <v>78</v>
      </c>
      <c r="Y956" s="0" t="s">
        <v>99</v>
      </c>
      <c r="Z956" s="0" t="s">
        <v>2326</v>
      </c>
      <c r="AA956" s="0" t="s">
        <v>161</v>
      </c>
      <c r="AB956" s="5" t="n">
        <v>25000</v>
      </c>
      <c r="AC956" s="5" t="n">
        <v>20000</v>
      </c>
      <c r="AD956" s="0" t="s">
        <v>50</v>
      </c>
      <c r="AE956" s="5" t="n">
        <v>0</v>
      </c>
      <c r="AF956" s="0" t="s">
        <v>2338</v>
      </c>
      <c r="AG956" s="7" t="s">
        <v>2330</v>
      </c>
      <c r="AH956" s="0" t="s">
        <v>50</v>
      </c>
      <c r="AI956" s="0" t="s">
        <v>116</v>
      </c>
      <c r="AJ956" s="0" t="s">
        <v>172</v>
      </c>
      <c r="AK956" s="0" t="s">
        <v>63</v>
      </c>
      <c r="AL956" s="0" t="s">
        <v>2344</v>
      </c>
      <c r="AM956" s="0" t="s">
        <v>50</v>
      </c>
      <c r="AN956" s="0" t="s">
        <v>2321</v>
      </c>
      <c r="AO956" s="0" t="s">
        <v>50</v>
      </c>
    </row>
    <row r="957" customFormat="false" ht="15" hidden="false" customHeight="false" outlineLevel="0" collapsed="false">
      <c r="A957" s="0" t="s">
        <v>2197</v>
      </c>
      <c r="B957" s="2" t="s">
        <v>1113</v>
      </c>
      <c r="C957" s="0" t="s">
        <v>105</v>
      </c>
      <c r="D957" s="0" t="n">
        <v>8023482938</v>
      </c>
      <c r="E957" s="0" t="s">
        <v>139</v>
      </c>
      <c r="F957" s="0" t="s">
        <v>2323</v>
      </c>
      <c r="G957" s="0" t="s">
        <v>2198</v>
      </c>
      <c r="H957" s="0" t="s">
        <v>134</v>
      </c>
      <c r="I957" s="3" t="s">
        <v>87</v>
      </c>
      <c r="J957" s="0" t="s">
        <v>189</v>
      </c>
      <c r="K957" s="0" t="s">
        <v>90</v>
      </c>
      <c r="L957" s="4" t="n">
        <v>100561</v>
      </c>
      <c r="M957" s="0" t="s">
        <v>49</v>
      </c>
      <c r="N957" s="0" t="s">
        <v>50</v>
      </c>
      <c r="O957" s="5" t="n">
        <v>5</v>
      </c>
      <c r="P957" s="0" t="n">
        <v>3.5</v>
      </c>
      <c r="Q957" s="0" t="s">
        <v>125</v>
      </c>
      <c r="R957" s="0" t="s">
        <v>52</v>
      </c>
      <c r="S957" s="0" t="s">
        <v>2335</v>
      </c>
      <c r="T957" s="0" t="s">
        <v>54</v>
      </c>
      <c r="U957" s="5" t="n">
        <v>60</v>
      </c>
      <c r="V957" s="0" t="s">
        <v>55</v>
      </c>
      <c r="W957" s="0" t="s">
        <v>155</v>
      </c>
      <c r="X957" s="0" t="s">
        <v>98</v>
      </c>
      <c r="Y957" s="0" t="s">
        <v>114</v>
      </c>
      <c r="Z957" s="0" t="s">
        <v>2329</v>
      </c>
      <c r="AA957" s="0" t="s">
        <v>143</v>
      </c>
      <c r="AB957" s="5" t="n">
        <v>40000</v>
      </c>
      <c r="AC957" s="5" t="n">
        <v>35000</v>
      </c>
      <c r="AD957" s="0" t="s">
        <v>50</v>
      </c>
      <c r="AE957" s="5" t="n">
        <v>5000</v>
      </c>
      <c r="AF957" s="0" t="s">
        <v>184</v>
      </c>
      <c r="AG957" s="7" t="s">
        <v>2491</v>
      </c>
      <c r="AH957" s="0" t="s">
        <v>50</v>
      </c>
      <c r="AI957" s="0" t="s">
        <v>2331</v>
      </c>
      <c r="AJ957" s="0" t="s">
        <v>2331</v>
      </c>
      <c r="AK957" s="0" t="s">
        <v>63</v>
      </c>
      <c r="AL957" s="0" t="s">
        <v>63</v>
      </c>
      <c r="AM957" s="0" t="s">
        <v>63</v>
      </c>
      <c r="AN957" s="0" t="s">
        <v>2318</v>
      </c>
      <c r="AO957" s="0" t="s">
        <v>2359</v>
      </c>
    </row>
    <row r="958" customFormat="false" ht="15" hidden="false" customHeight="false" outlineLevel="0" collapsed="false">
      <c r="A958" s="0" t="s">
        <v>2199</v>
      </c>
      <c r="B958" s="2" t="s">
        <v>2221</v>
      </c>
      <c r="C958" s="0" t="s">
        <v>42</v>
      </c>
      <c r="D958" s="0" t="n">
        <v>8061654839</v>
      </c>
      <c r="E958" s="0" t="s">
        <v>122</v>
      </c>
      <c r="F958" s="0" t="s">
        <v>2316</v>
      </c>
      <c r="G958" s="0" t="s">
        <v>2200</v>
      </c>
      <c r="H958" s="0" t="s">
        <v>87</v>
      </c>
      <c r="I958" s="3" t="s">
        <v>2317</v>
      </c>
      <c r="J958" s="0" t="s">
        <v>47</v>
      </c>
      <c r="K958" s="0" t="s">
        <v>48</v>
      </c>
      <c r="L958" s="4" t="n">
        <v>82510</v>
      </c>
      <c r="M958" s="0" t="s">
        <v>49</v>
      </c>
      <c r="N958" s="0" t="s">
        <v>50</v>
      </c>
      <c r="O958" s="5" t="n">
        <v>5</v>
      </c>
      <c r="P958" s="0" t="n">
        <v>1.4</v>
      </c>
      <c r="Q958" s="0" t="s">
        <v>51</v>
      </c>
      <c r="R958" s="0" t="s">
        <v>73</v>
      </c>
      <c r="S958" s="0" t="s">
        <v>53</v>
      </c>
      <c r="T958" s="0" t="s">
        <v>75</v>
      </c>
      <c r="U958" s="5" t="n">
        <v>15</v>
      </c>
      <c r="V958" s="0" t="s">
        <v>112</v>
      </c>
      <c r="W958" s="0" t="s">
        <v>2337</v>
      </c>
      <c r="X958" s="0" t="s">
        <v>78</v>
      </c>
      <c r="Y958" s="0" t="s">
        <v>196</v>
      </c>
      <c r="Z958" s="0" t="s">
        <v>59</v>
      </c>
      <c r="AA958" s="0" t="s">
        <v>79</v>
      </c>
      <c r="AB958" s="5" t="n">
        <v>40000</v>
      </c>
      <c r="AC958" s="5" t="n">
        <v>30000</v>
      </c>
      <c r="AD958" s="0" t="s">
        <v>50</v>
      </c>
      <c r="AE958" s="5" t="n">
        <v>0</v>
      </c>
      <c r="AF958" s="0" t="s">
        <v>130</v>
      </c>
      <c r="AG958" s="7" t="s">
        <v>1304</v>
      </c>
      <c r="AH958" s="0" t="s">
        <v>63</v>
      </c>
      <c r="AI958" s="0" t="s">
        <v>2331</v>
      </c>
      <c r="AJ958" s="0" t="s">
        <v>2331</v>
      </c>
      <c r="AK958" s="0" t="s">
        <v>2344</v>
      </c>
      <c r="AL958" s="0" t="s">
        <v>63</v>
      </c>
      <c r="AM958" s="0" t="s">
        <v>50</v>
      </c>
      <c r="AN958" s="0" t="s">
        <v>2321</v>
      </c>
      <c r="AO958" s="0" t="s">
        <v>50</v>
      </c>
    </row>
    <row r="959" customFormat="false" ht="15" hidden="false" customHeight="false" outlineLevel="0" collapsed="false">
      <c r="A959" s="0" t="s">
        <v>2201</v>
      </c>
      <c r="B959" s="2" t="s">
        <v>687</v>
      </c>
      <c r="C959" s="0" t="s">
        <v>121</v>
      </c>
      <c r="D959" s="0" t="n">
        <v>8049441620</v>
      </c>
      <c r="E959" s="0" t="s">
        <v>139</v>
      </c>
      <c r="F959" s="0" t="s">
        <v>2323</v>
      </c>
      <c r="G959" s="0" t="s">
        <v>1652</v>
      </c>
      <c r="H959" s="0" t="s">
        <v>69</v>
      </c>
      <c r="I959" s="3" t="s">
        <v>2317</v>
      </c>
      <c r="J959" s="0" t="s">
        <v>189</v>
      </c>
      <c r="K959" s="0" t="s">
        <v>90</v>
      </c>
      <c r="L959" s="4" t="n">
        <v>83162</v>
      </c>
      <c r="M959" s="0" t="s">
        <v>110</v>
      </c>
      <c r="N959" s="0" t="s">
        <v>63</v>
      </c>
      <c r="O959" s="5" t="n">
        <v>5</v>
      </c>
      <c r="P959" s="0" t="n">
        <v>2.3</v>
      </c>
      <c r="Q959" s="0" t="s">
        <v>111</v>
      </c>
      <c r="R959" s="0" t="s">
        <v>93</v>
      </c>
      <c r="S959" s="0" t="s">
        <v>2366</v>
      </c>
      <c r="T959" s="0" t="s">
        <v>2353</v>
      </c>
      <c r="U959" s="5" t="n">
        <v>45</v>
      </c>
      <c r="V959" s="0" t="s">
        <v>96</v>
      </c>
      <c r="W959" s="0" t="s">
        <v>2337</v>
      </c>
      <c r="X959" s="0" t="s">
        <v>78</v>
      </c>
      <c r="Y959" s="0" t="s">
        <v>99</v>
      </c>
      <c r="Z959" s="0" t="s">
        <v>59</v>
      </c>
      <c r="AA959" s="0" t="s">
        <v>79</v>
      </c>
      <c r="AB959" s="5" t="n">
        <v>40000</v>
      </c>
      <c r="AC959" s="5" t="n">
        <v>30555.5555555556</v>
      </c>
      <c r="AD959" s="0" t="s">
        <v>50</v>
      </c>
      <c r="AE959" s="5" t="n">
        <v>0</v>
      </c>
      <c r="AF959" s="0" t="s">
        <v>60</v>
      </c>
      <c r="AG959" s="7" t="s">
        <v>2330</v>
      </c>
      <c r="AH959" s="0" t="s">
        <v>2329</v>
      </c>
      <c r="AI959" s="0" t="s">
        <v>2331</v>
      </c>
      <c r="AJ959" s="0" t="s">
        <v>2331</v>
      </c>
      <c r="AK959" s="0" t="s">
        <v>63</v>
      </c>
      <c r="AL959" s="0" t="s">
        <v>2344</v>
      </c>
      <c r="AM959" s="0" t="s">
        <v>63</v>
      </c>
      <c r="AN959" s="0" t="s">
        <v>2321</v>
      </c>
      <c r="AO959" s="0" t="s">
        <v>63</v>
      </c>
    </row>
    <row r="960" customFormat="false" ht="15" hidden="false" customHeight="false" outlineLevel="0" collapsed="false">
      <c r="A960" s="0" t="s">
        <v>2202</v>
      </c>
      <c r="B960" s="2" t="s">
        <v>669</v>
      </c>
      <c r="C960" s="0" t="s">
        <v>42</v>
      </c>
      <c r="D960" s="0" t="n">
        <v>8091493489</v>
      </c>
      <c r="E960" s="0" t="s">
        <v>43</v>
      </c>
      <c r="F960" s="0" t="s">
        <v>2315</v>
      </c>
      <c r="G960" s="0" t="s">
        <v>2203</v>
      </c>
      <c r="H960" s="0" t="s">
        <v>87</v>
      </c>
      <c r="I960" s="3" t="s">
        <v>2317</v>
      </c>
      <c r="J960" s="0" t="s">
        <v>47</v>
      </c>
      <c r="K960" s="0" t="s">
        <v>109</v>
      </c>
      <c r="L960" s="4" t="n">
        <v>39377</v>
      </c>
      <c r="M960" s="0" t="s">
        <v>110</v>
      </c>
      <c r="N960" s="0" t="s">
        <v>50</v>
      </c>
      <c r="O960" s="5" t="n">
        <v>5</v>
      </c>
      <c r="P960" s="0" t="n">
        <v>2.6</v>
      </c>
      <c r="Q960" s="0" t="s">
        <v>2334</v>
      </c>
      <c r="R960" s="0" t="s">
        <v>93</v>
      </c>
      <c r="S960" s="0" t="s">
        <v>53</v>
      </c>
      <c r="T960" s="0" t="s">
        <v>147</v>
      </c>
      <c r="U960" s="5" t="n">
        <v>60</v>
      </c>
      <c r="V960" s="0" t="s">
        <v>55</v>
      </c>
      <c r="W960" s="0" t="s">
        <v>155</v>
      </c>
      <c r="X960" s="0" t="s">
        <v>128</v>
      </c>
      <c r="Y960" s="0" t="s">
        <v>114</v>
      </c>
      <c r="Z960" s="0" t="s">
        <v>2329</v>
      </c>
      <c r="AA960" s="0" t="s">
        <v>79</v>
      </c>
      <c r="AB960" s="5" t="n">
        <v>15000</v>
      </c>
      <c r="AC960" s="5" t="n">
        <v>35000</v>
      </c>
      <c r="AD960" s="0" t="s">
        <v>50</v>
      </c>
      <c r="AE960" s="5" t="n">
        <v>10000</v>
      </c>
      <c r="AF960" s="0" t="s">
        <v>60</v>
      </c>
      <c r="AG960" s="7" t="s">
        <v>2330</v>
      </c>
      <c r="AH960" s="0" t="s">
        <v>50</v>
      </c>
      <c r="AI960" s="0" t="s">
        <v>171</v>
      </c>
      <c r="AJ960" s="0" t="s">
        <v>117</v>
      </c>
      <c r="AK960" s="0" t="s">
        <v>50</v>
      </c>
      <c r="AL960" s="0" t="s">
        <v>2344</v>
      </c>
      <c r="AM960" s="0" t="s">
        <v>63</v>
      </c>
      <c r="AN960" s="0" t="s">
        <v>2321</v>
      </c>
      <c r="AO960" s="0" t="s">
        <v>63</v>
      </c>
    </row>
    <row r="961" customFormat="false" ht="15" hidden="false" customHeight="false" outlineLevel="0" collapsed="false">
      <c r="A961" s="0" t="s">
        <v>2204</v>
      </c>
      <c r="B961" s="2" t="s">
        <v>2362</v>
      </c>
      <c r="C961" s="0" t="s">
        <v>66</v>
      </c>
      <c r="D961" s="0" t="n">
        <v>8036182785</v>
      </c>
      <c r="E961" s="0" t="s">
        <v>122</v>
      </c>
      <c r="F961" s="0" t="s">
        <v>2316</v>
      </c>
      <c r="G961" s="0" t="s">
        <v>2205</v>
      </c>
      <c r="H961" s="0" t="s">
        <v>45</v>
      </c>
      <c r="I961" s="3" t="s">
        <v>2317</v>
      </c>
      <c r="J961" s="0" t="s">
        <v>47</v>
      </c>
      <c r="K961" s="0" t="s">
        <v>71</v>
      </c>
      <c r="L961" s="4" t="n">
        <v>53687</v>
      </c>
      <c r="M961" s="0" t="s">
        <v>110</v>
      </c>
      <c r="N961" s="0" t="s">
        <v>63</v>
      </c>
      <c r="O961" s="5" t="n">
        <v>2</v>
      </c>
      <c r="P961" s="0" t="n">
        <v>1.7</v>
      </c>
      <c r="Q961" s="0" t="s">
        <v>92</v>
      </c>
      <c r="R961" s="0" t="s">
        <v>93</v>
      </c>
      <c r="S961" s="0" t="s">
        <v>53</v>
      </c>
      <c r="T961" s="0" t="s">
        <v>95</v>
      </c>
      <c r="U961" s="5" t="n">
        <v>60</v>
      </c>
      <c r="V961" s="0" t="s">
        <v>55</v>
      </c>
      <c r="W961" s="0" t="s">
        <v>155</v>
      </c>
      <c r="X961" s="0" t="s">
        <v>98</v>
      </c>
      <c r="Y961" s="0" t="s">
        <v>196</v>
      </c>
      <c r="Z961" s="0" t="s">
        <v>2326</v>
      </c>
      <c r="AA961" s="0" t="s">
        <v>2329</v>
      </c>
      <c r="AB961" s="5" t="n">
        <v>40000</v>
      </c>
      <c r="AC961" s="5" t="n">
        <v>20000</v>
      </c>
      <c r="AD961" s="0" t="s">
        <v>63</v>
      </c>
      <c r="AE961" s="5" t="n">
        <v>10000</v>
      </c>
      <c r="AF961" s="0" t="s">
        <v>184</v>
      </c>
      <c r="AG961" s="7" t="s">
        <v>2330</v>
      </c>
      <c r="AH961" s="0" t="s">
        <v>50</v>
      </c>
      <c r="AI961" s="0" t="s">
        <v>2331</v>
      </c>
      <c r="AJ961" s="0" t="s">
        <v>2331</v>
      </c>
      <c r="AK961" s="0" t="s">
        <v>50</v>
      </c>
      <c r="AL961" s="0" t="s">
        <v>50</v>
      </c>
      <c r="AM961" s="0" t="s">
        <v>50</v>
      </c>
      <c r="AN961" s="0" t="s">
        <v>2318</v>
      </c>
      <c r="AO961" s="0" t="s">
        <v>50</v>
      </c>
    </row>
    <row r="962" customFormat="false" ht="15" hidden="false" customHeight="false" outlineLevel="0" collapsed="false">
      <c r="A962" s="0" t="s">
        <v>2206</v>
      </c>
      <c r="B962" s="2" t="s">
        <v>2462</v>
      </c>
      <c r="C962" s="0" t="s">
        <v>163</v>
      </c>
      <c r="D962" s="0" t="n">
        <v>8029214803</v>
      </c>
      <c r="E962" s="0" t="s">
        <v>122</v>
      </c>
      <c r="F962" s="0" t="s">
        <v>2316</v>
      </c>
      <c r="G962" s="0" t="s">
        <v>1650</v>
      </c>
      <c r="H962" s="0" t="s">
        <v>45</v>
      </c>
      <c r="I962" s="3" t="s">
        <v>2322</v>
      </c>
      <c r="J962" s="0" t="s">
        <v>2339</v>
      </c>
      <c r="K962" s="0" t="s">
        <v>109</v>
      </c>
      <c r="L962" s="4" t="n">
        <v>104747</v>
      </c>
      <c r="M962" s="0" t="s">
        <v>2333</v>
      </c>
      <c r="N962" s="0" t="s">
        <v>50</v>
      </c>
      <c r="O962" s="5" t="n">
        <v>3</v>
      </c>
      <c r="P962" s="0" t="n">
        <v>2.1</v>
      </c>
      <c r="Q962" s="0" t="s">
        <v>92</v>
      </c>
      <c r="R962" s="0" t="s">
        <v>52</v>
      </c>
      <c r="S962" s="0" t="s">
        <v>2366</v>
      </c>
      <c r="T962" s="0" t="s">
        <v>147</v>
      </c>
      <c r="U962" s="5" t="n">
        <v>15</v>
      </c>
      <c r="V962" s="0" t="s">
        <v>55</v>
      </c>
      <c r="W962" s="0" t="s">
        <v>2337</v>
      </c>
      <c r="X962" s="0" t="s">
        <v>78</v>
      </c>
      <c r="Y962" s="0" t="s">
        <v>114</v>
      </c>
      <c r="Z962" s="0" t="s">
        <v>177</v>
      </c>
      <c r="AA962" s="0" t="s">
        <v>79</v>
      </c>
      <c r="AB962" s="5" t="n">
        <v>40000</v>
      </c>
      <c r="AC962" s="5" t="n">
        <v>30000</v>
      </c>
      <c r="AD962" s="0" t="s">
        <v>50</v>
      </c>
      <c r="AE962" s="5" t="n">
        <v>0</v>
      </c>
      <c r="AF962" s="0" t="s">
        <v>60</v>
      </c>
      <c r="AG962" s="7" t="s">
        <v>2397</v>
      </c>
      <c r="AH962" s="0" t="s">
        <v>50</v>
      </c>
      <c r="AI962" s="0" t="s">
        <v>2331</v>
      </c>
      <c r="AJ962" s="0" t="s">
        <v>2320</v>
      </c>
      <c r="AK962" s="0" t="s">
        <v>50</v>
      </c>
      <c r="AL962" s="0" t="s">
        <v>63</v>
      </c>
      <c r="AM962" s="0" t="s">
        <v>2344</v>
      </c>
      <c r="AN962" s="0" t="s">
        <v>2321</v>
      </c>
      <c r="AO962" s="0" t="s">
        <v>50</v>
      </c>
    </row>
    <row r="963" customFormat="false" ht="15" hidden="false" customHeight="false" outlineLevel="0" collapsed="false">
      <c r="A963" s="0" t="s">
        <v>2207</v>
      </c>
      <c r="B963" s="2" t="s">
        <v>2438</v>
      </c>
      <c r="C963" s="0" t="s">
        <v>121</v>
      </c>
      <c r="D963" s="0" t="n">
        <v>8079800523</v>
      </c>
      <c r="E963" s="0" t="s">
        <v>85</v>
      </c>
      <c r="F963" s="0" t="s">
        <v>2319</v>
      </c>
      <c r="G963" s="0" t="s">
        <v>2208</v>
      </c>
      <c r="H963" s="0" t="s">
        <v>45</v>
      </c>
      <c r="I963" s="3" t="s">
        <v>2322</v>
      </c>
      <c r="J963" s="0" t="s">
        <v>2339</v>
      </c>
      <c r="K963" s="0" t="s">
        <v>48</v>
      </c>
      <c r="L963" s="4" t="n">
        <v>59464</v>
      </c>
      <c r="M963" s="0" t="s">
        <v>2333</v>
      </c>
      <c r="N963" s="0" t="s">
        <v>50</v>
      </c>
      <c r="O963" s="5" t="n">
        <v>3</v>
      </c>
      <c r="P963" s="0" t="n">
        <v>5.6</v>
      </c>
      <c r="Q963" s="0" t="s">
        <v>2334</v>
      </c>
      <c r="R963" s="0" t="s">
        <v>52</v>
      </c>
      <c r="S963" s="0" t="s">
        <v>2366</v>
      </c>
      <c r="T963" s="0" t="s">
        <v>2343</v>
      </c>
      <c r="U963" s="5" t="n">
        <v>30</v>
      </c>
      <c r="V963" s="0" t="s">
        <v>112</v>
      </c>
      <c r="W963" s="0" t="s">
        <v>155</v>
      </c>
      <c r="X963" s="0" t="s">
        <v>128</v>
      </c>
      <c r="Y963" s="0" t="s">
        <v>114</v>
      </c>
      <c r="Z963" s="0" t="s">
        <v>2329</v>
      </c>
      <c r="AA963" s="0" t="s">
        <v>79</v>
      </c>
      <c r="AB963" s="5" t="n">
        <v>20000</v>
      </c>
      <c r="AC963" s="5" t="n">
        <v>40000</v>
      </c>
      <c r="AD963" s="0" t="s">
        <v>50</v>
      </c>
      <c r="AE963" s="5" t="n">
        <v>0</v>
      </c>
      <c r="AF963" s="0" t="s">
        <v>184</v>
      </c>
      <c r="AG963" s="7" t="s">
        <v>2209</v>
      </c>
      <c r="AH963" s="0" t="s">
        <v>50</v>
      </c>
      <c r="AI963" s="0" t="s">
        <v>2331</v>
      </c>
      <c r="AJ963" s="0" t="s">
        <v>117</v>
      </c>
      <c r="AK963" s="0" t="s">
        <v>63</v>
      </c>
      <c r="AL963" s="0" t="s">
        <v>50</v>
      </c>
      <c r="AM963" s="0" t="s">
        <v>2344</v>
      </c>
      <c r="AN963" s="0" t="s">
        <v>2321</v>
      </c>
      <c r="AO963" s="0" t="s">
        <v>2359</v>
      </c>
    </row>
    <row r="964" customFormat="false" ht="15" hidden="false" customHeight="false" outlineLevel="0" collapsed="false">
      <c r="A964" s="0" t="s">
        <v>2210</v>
      </c>
      <c r="B964" s="2" t="s">
        <v>340</v>
      </c>
      <c r="C964" s="0" t="s">
        <v>42</v>
      </c>
      <c r="D964" s="0" t="n">
        <v>8086758128</v>
      </c>
      <c r="E964" s="0" t="s">
        <v>122</v>
      </c>
      <c r="F964" s="0" t="s">
        <v>2316</v>
      </c>
      <c r="G964" s="0" t="s">
        <v>2211</v>
      </c>
      <c r="H964" s="0" t="s">
        <v>45</v>
      </c>
      <c r="I964" s="3" t="s">
        <v>2317</v>
      </c>
      <c r="J964" s="0" t="s">
        <v>2339</v>
      </c>
      <c r="K964" s="0" t="s">
        <v>109</v>
      </c>
      <c r="L964" s="4" t="n">
        <v>56405</v>
      </c>
      <c r="M964" s="0" t="s">
        <v>110</v>
      </c>
      <c r="N964" s="0" t="s">
        <v>50</v>
      </c>
      <c r="O964" s="5" t="n">
        <v>2</v>
      </c>
      <c r="P964" s="0" t="n">
        <v>4.2</v>
      </c>
      <c r="Q964" s="0" t="s">
        <v>92</v>
      </c>
      <c r="R964" s="0" t="s">
        <v>73</v>
      </c>
      <c r="S964" s="0" t="s">
        <v>53</v>
      </c>
      <c r="T964" s="0" t="s">
        <v>95</v>
      </c>
      <c r="U964" s="5" t="n">
        <v>45</v>
      </c>
      <c r="V964" s="0" t="s">
        <v>2352</v>
      </c>
      <c r="W964" s="0" t="s">
        <v>155</v>
      </c>
      <c r="X964" s="0" t="s">
        <v>98</v>
      </c>
      <c r="Y964" s="0" t="s">
        <v>114</v>
      </c>
      <c r="Z964" s="0" t="s">
        <v>2326</v>
      </c>
      <c r="AA964" s="0" t="s">
        <v>79</v>
      </c>
      <c r="AB964" s="5" t="n">
        <v>30000</v>
      </c>
      <c r="AC964" s="5" t="n">
        <v>30000</v>
      </c>
      <c r="AD964" s="0" t="s">
        <v>50</v>
      </c>
      <c r="AE964" s="5" t="n">
        <v>10000</v>
      </c>
      <c r="AF964" s="0" t="s">
        <v>130</v>
      </c>
      <c r="AG964" s="7" t="s">
        <v>970</v>
      </c>
      <c r="AH964" s="0" t="s">
        <v>2329</v>
      </c>
      <c r="AI964" s="0" t="s">
        <v>2331</v>
      </c>
      <c r="AJ964" s="0" t="s">
        <v>2331</v>
      </c>
      <c r="AK964" s="0" t="s">
        <v>63</v>
      </c>
      <c r="AL964" s="0" t="s">
        <v>50</v>
      </c>
      <c r="AM964" s="0" t="s">
        <v>2344</v>
      </c>
      <c r="AN964" s="0" t="s">
        <v>2321</v>
      </c>
      <c r="AO964" s="0" t="s">
        <v>50</v>
      </c>
    </row>
    <row r="965" customFormat="false" ht="15" hidden="false" customHeight="false" outlineLevel="0" collapsed="false">
      <c r="A965" s="0" t="s">
        <v>2212</v>
      </c>
      <c r="B965" s="2" t="s">
        <v>1370</v>
      </c>
      <c r="C965" s="0" t="s">
        <v>42</v>
      </c>
      <c r="D965" s="0" t="n">
        <v>8077731180</v>
      </c>
      <c r="E965" s="0" t="s">
        <v>139</v>
      </c>
      <c r="F965" s="0" t="s">
        <v>2323</v>
      </c>
      <c r="G965" s="0" t="s">
        <v>547</v>
      </c>
      <c r="H965" s="0" t="s">
        <v>87</v>
      </c>
      <c r="I965" s="3" t="s">
        <v>2322</v>
      </c>
      <c r="J965" s="0" t="s">
        <v>2339</v>
      </c>
      <c r="K965" s="0" t="s">
        <v>109</v>
      </c>
      <c r="L965" s="4" t="n">
        <v>24025</v>
      </c>
      <c r="M965" s="0" t="s">
        <v>2333</v>
      </c>
      <c r="N965" s="0" t="s">
        <v>63</v>
      </c>
      <c r="O965" s="5" t="n">
        <v>5</v>
      </c>
      <c r="P965" s="0" t="n">
        <v>2</v>
      </c>
      <c r="Q965" s="0" t="s">
        <v>51</v>
      </c>
      <c r="R965" s="0" t="s">
        <v>93</v>
      </c>
      <c r="S965" s="0" t="s">
        <v>53</v>
      </c>
      <c r="T965" s="0" t="s">
        <v>2353</v>
      </c>
      <c r="U965" s="5" t="n">
        <v>30</v>
      </c>
      <c r="V965" s="0" t="s">
        <v>96</v>
      </c>
      <c r="W965" s="0" t="s">
        <v>2328</v>
      </c>
      <c r="X965" s="0" t="s">
        <v>128</v>
      </c>
      <c r="Y965" s="0" t="s">
        <v>58</v>
      </c>
      <c r="Z965" s="0" t="s">
        <v>59</v>
      </c>
      <c r="AA965" s="0" t="s">
        <v>149</v>
      </c>
      <c r="AB965" s="5" t="n">
        <v>15000</v>
      </c>
      <c r="AC965" s="5" t="n">
        <v>30000</v>
      </c>
      <c r="AD965" s="0" t="s">
        <v>50</v>
      </c>
      <c r="AE965" s="5" t="n">
        <v>10000</v>
      </c>
      <c r="AF965" s="0" t="s">
        <v>60</v>
      </c>
      <c r="AG965" s="7" t="s">
        <v>2508</v>
      </c>
      <c r="AH965" s="0" t="s">
        <v>2329</v>
      </c>
      <c r="AI965" s="0" t="s">
        <v>116</v>
      </c>
      <c r="AJ965" s="0" t="s">
        <v>2331</v>
      </c>
      <c r="AK965" s="0" t="s">
        <v>50</v>
      </c>
      <c r="AL965" s="0" t="s">
        <v>50</v>
      </c>
      <c r="AM965" s="0" t="s">
        <v>63</v>
      </c>
      <c r="AN965" s="0" t="s">
        <v>2318</v>
      </c>
      <c r="AO965" s="0" t="s">
        <v>50</v>
      </c>
    </row>
    <row r="966" customFormat="false" ht="15" hidden="false" customHeight="false" outlineLevel="0" collapsed="false">
      <c r="A966" s="0" t="s">
        <v>2213</v>
      </c>
      <c r="B966" s="2" t="s">
        <v>2419</v>
      </c>
      <c r="C966" s="0" t="s">
        <v>42</v>
      </c>
      <c r="D966" s="0" t="n">
        <v>8014260842</v>
      </c>
      <c r="E966" s="0" t="s">
        <v>85</v>
      </c>
      <c r="F966" s="0" t="s">
        <v>2319</v>
      </c>
      <c r="G966" s="0" t="s">
        <v>2214</v>
      </c>
      <c r="H966" s="0" t="s">
        <v>134</v>
      </c>
      <c r="I966" s="3" t="s">
        <v>2317</v>
      </c>
      <c r="J966" s="0" t="s">
        <v>2347</v>
      </c>
      <c r="K966" s="0" t="s">
        <v>48</v>
      </c>
      <c r="L966" s="4" t="n">
        <v>112109</v>
      </c>
      <c r="M966" s="0" t="s">
        <v>49</v>
      </c>
      <c r="N966" s="0" t="s">
        <v>50</v>
      </c>
      <c r="O966" s="5" t="n">
        <v>3</v>
      </c>
      <c r="P966" s="0" t="n">
        <v>2.6</v>
      </c>
      <c r="Q966" s="0" t="s">
        <v>125</v>
      </c>
      <c r="R966" s="0" t="s">
        <v>93</v>
      </c>
      <c r="S966" s="0" t="s">
        <v>53</v>
      </c>
      <c r="T966" s="0" t="s">
        <v>95</v>
      </c>
      <c r="U966" s="5" t="n">
        <v>45</v>
      </c>
      <c r="V966" s="0" t="s">
        <v>96</v>
      </c>
      <c r="W966" s="0" t="s">
        <v>2328</v>
      </c>
      <c r="X966" s="0" t="s">
        <v>128</v>
      </c>
      <c r="Y966" s="0" t="s">
        <v>196</v>
      </c>
      <c r="Z966" s="0" t="s">
        <v>177</v>
      </c>
      <c r="AA966" s="0" t="s">
        <v>149</v>
      </c>
      <c r="AB966" s="5" t="n">
        <v>28333.3333333333</v>
      </c>
      <c r="AC966" s="5" t="n">
        <v>35000</v>
      </c>
      <c r="AD966" s="0" t="s">
        <v>63</v>
      </c>
      <c r="AE966" s="5" t="n">
        <v>5000</v>
      </c>
      <c r="AF966" s="0" t="s">
        <v>130</v>
      </c>
      <c r="AG966" s="7" t="s">
        <v>2443</v>
      </c>
      <c r="AH966" s="0" t="s">
        <v>50</v>
      </c>
      <c r="AI966" s="0" t="s">
        <v>116</v>
      </c>
      <c r="AJ966" s="0" t="s">
        <v>117</v>
      </c>
      <c r="AK966" s="0" t="s">
        <v>50</v>
      </c>
      <c r="AL966" s="0" t="s">
        <v>63</v>
      </c>
      <c r="AM966" s="0" t="s">
        <v>2344</v>
      </c>
      <c r="AN966" s="0" t="s">
        <v>2318</v>
      </c>
      <c r="AO966" s="0" t="s">
        <v>50</v>
      </c>
    </row>
    <row r="967" customFormat="false" ht="15" hidden="false" customHeight="false" outlineLevel="0" collapsed="false">
      <c r="A967" s="0" t="s">
        <v>2215</v>
      </c>
      <c r="B967" s="2" t="s">
        <v>489</v>
      </c>
      <c r="C967" s="0" t="s">
        <v>163</v>
      </c>
      <c r="D967" s="0" t="n">
        <v>8027161260</v>
      </c>
      <c r="E967" s="0" t="s">
        <v>67</v>
      </c>
      <c r="F967" s="0" t="s">
        <v>2316</v>
      </c>
      <c r="G967" s="0" t="s">
        <v>2216</v>
      </c>
      <c r="H967" s="0" t="s">
        <v>87</v>
      </c>
      <c r="I967" s="3" t="s">
        <v>2322</v>
      </c>
      <c r="J967" s="0" t="s">
        <v>2349</v>
      </c>
      <c r="K967" s="0" t="s">
        <v>48</v>
      </c>
      <c r="L967" s="4" t="n">
        <v>70324</v>
      </c>
      <c r="M967" s="0" t="s">
        <v>110</v>
      </c>
      <c r="N967" s="0" t="s">
        <v>50</v>
      </c>
      <c r="O967" s="5" t="n">
        <v>3.53333333333333</v>
      </c>
      <c r="P967" s="0" t="n">
        <v>5.8</v>
      </c>
      <c r="Q967" s="0" t="s">
        <v>92</v>
      </c>
      <c r="R967" s="0" t="s">
        <v>52</v>
      </c>
      <c r="S967" s="0" t="s">
        <v>2340</v>
      </c>
      <c r="T967" s="0" t="s">
        <v>75</v>
      </c>
      <c r="U967" s="5" t="n">
        <v>15</v>
      </c>
      <c r="V967" s="0" t="s">
        <v>55</v>
      </c>
      <c r="W967" s="0" t="s">
        <v>148</v>
      </c>
      <c r="X967" s="0" t="s">
        <v>98</v>
      </c>
      <c r="Y967" s="0" t="s">
        <v>99</v>
      </c>
      <c r="Z967" s="0" t="s">
        <v>177</v>
      </c>
      <c r="AA967" s="0" t="s">
        <v>143</v>
      </c>
      <c r="AB967" s="5" t="n">
        <v>15000</v>
      </c>
      <c r="AC967" s="5" t="n">
        <v>35000</v>
      </c>
      <c r="AD967" s="0" t="s">
        <v>63</v>
      </c>
      <c r="AE967" s="5" t="n">
        <v>5000</v>
      </c>
      <c r="AF967" s="0" t="s">
        <v>184</v>
      </c>
      <c r="AG967" s="7" t="s">
        <v>2498</v>
      </c>
      <c r="AH967" s="0" t="s">
        <v>50</v>
      </c>
      <c r="AI967" s="0" t="s">
        <v>171</v>
      </c>
      <c r="AJ967" s="0" t="s">
        <v>2331</v>
      </c>
      <c r="AK967" s="0" t="s">
        <v>50</v>
      </c>
      <c r="AL967" s="0" t="s">
        <v>50</v>
      </c>
      <c r="AM967" s="0" t="s">
        <v>63</v>
      </c>
      <c r="AN967" s="0" t="s">
        <v>2321</v>
      </c>
      <c r="AO967" s="0" t="s">
        <v>50</v>
      </c>
    </row>
    <row r="968" customFormat="false" ht="15" hidden="false" customHeight="false" outlineLevel="0" collapsed="false">
      <c r="A968" s="0" t="s">
        <v>2217</v>
      </c>
      <c r="B968" s="2" t="s">
        <v>438</v>
      </c>
      <c r="C968" s="0" t="s">
        <v>42</v>
      </c>
      <c r="D968" s="0" t="n">
        <v>8076830369</v>
      </c>
      <c r="E968" s="0" t="s">
        <v>122</v>
      </c>
      <c r="F968" s="0" t="s">
        <v>2316</v>
      </c>
      <c r="G968" s="0" t="s">
        <v>2218</v>
      </c>
      <c r="H968" s="0" t="s">
        <v>134</v>
      </c>
      <c r="I968" s="3" t="s">
        <v>2342</v>
      </c>
      <c r="J968" s="0" t="s">
        <v>2341</v>
      </c>
      <c r="K968" s="0" t="s">
        <v>109</v>
      </c>
      <c r="L968" s="4" t="n">
        <v>86157</v>
      </c>
      <c r="M968" s="0" t="s">
        <v>110</v>
      </c>
      <c r="N968" s="0" t="s">
        <v>63</v>
      </c>
      <c r="O968" s="5" t="n">
        <v>4</v>
      </c>
      <c r="P968" s="0" t="n">
        <v>2.1</v>
      </c>
      <c r="Q968" s="0" t="s">
        <v>2334</v>
      </c>
      <c r="R968" s="0" t="s">
        <v>52</v>
      </c>
      <c r="S968" s="0" t="s">
        <v>2340</v>
      </c>
      <c r="T968" s="0" t="s">
        <v>2353</v>
      </c>
      <c r="U968" s="5" t="n">
        <v>60</v>
      </c>
      <c r="V968" s="0" t="s">
        <v>2352</v>
      </c>
      <c r="W968" s="0" t="s">
        <v>148</v>
      </c>
      <c r="X968" s="0" t="s">
        <v>98</v>
      </c>
      <c r="Y968" s="0" t="s">
        <v>99</v>
      </c>
      <c r="Z968" s="0" t="s">
        <v>2329</v>
      </c>
      <c r="AA968" s="0" t="s">
        <v>2329</v>
      </c>
      <c r="AB968" s="5" t="n">
        <v>15000</v>
      </c>
      <c r="AC968" s="5" t="n">
        <v>30000</v>
      </c>
      <c r="AD968" s="0" t="s">
        <v>63</v>
      </c>
      <c r="AE968" s="5" t="n">
        <v>5000</v>
      </c>
      <c r="AF968" s="0" t="s">
        <v>60</v>
      </c>
      <c r="AG968" s="7" t="s">
        <v>1919</v>
      </c>
      <c r="AH968" s="0" t="s">
        <v>63</v>
      </c>
      <c r="AI968" s="0" t="s">
        <v>2331</v>
      </c>
      <c r="AJ968" s="0" t="s">
        <v>2331</v>
      </c>
      <c r="AK968" s="0" t="s">
        <v>50</v>
      </c>
      <c r="AL968" s="0" t="s">
        <v>50</v>
      </c>
      <c r="AM968" s="0" t="s">
        <v>50</v>
      </c>
      <c r="AN968" s="0" t="s">
        <v>64</v>
      </c>
      <c r="AO968" s="0" t="s">
        <v>50</v>
      </c>
    </row>
    <row r="969" customFormat="false" ht="15" hidden="false" customHeight="false" outlineLevel="0" collapsed="false">
      <c r="A969" s="0" t="s">
        <v>2219</v>
      </c>
      <c r="B969" s="2" t="s">
        <v>2426</v>
      </c>
      <c r="C969" s="0" t="s">
        <v>66</v>
      </c>
      <c r="D969" s="0" t="n">
        <v>8021689007</v>
      </c>
      <c r="E969" s="0" t="s">
        <v>67</v>
      </c>
      <c r="F969" s="0" t="s">
        <v>2316</v>
      </c>
      <c r="G969" s="0" t="s">
        <v>2220</v>
      </c>
      <c r="H969" s="0" t="s">
        <v>107</v>
      </c>
      <c r="I969" s="3" t="s">
        <v>2342</v>
      </c>
      <c r="J969" s="0" t="s">
        <v>2347</v>
      </c>
      <c r="K969" s="0" t="s">
        <v>71</v>
      </c>
      <c r="L969" s="4" t="n">
        <v>114577</v>
      </c>
      <c r="M969" s="0" t="s">
        <v>49</v>
      </c>
      <c r="N969" s="0" t="s">
        <v>63</v>
      </c>
      <c r="O969" s="5" t="n">
        <v>3.51724137931034</v>
      </c>
      <c r="P969" s="0" t="n">
        <v>6</v>
      </c>
      <c r="Q969" s="0" t="s">
        <v>51</v>
      </c>
      <c r="R969" s="0" t="s">
        <v>73</v>
      </c>
      <c r="S969" s="0" t="s">
        <v>2366</v>
      </c>
      <c r="T969" s="0" t="s">
        <v>2353</v>
      </c>
      <c r="U969" s="5" t="n">
        <v>45</v>
      </c>
      <c r="V969" s="0" t="s">
        <v>2336</v>
      </c>
      <c r="W969" s="0" t="s">
        <v>2328</v>
      </c>
      <c r="X969" s="0" t="s">
        <v>98</v>
      </c>
      <c r="Y969" s="0" t="s">
        <v>58</v>
      </c>
      <c r="Z969" s="0" t="s">
        <v>59</v>
      </c>
      <c r="AA969" s="0" t="s">
        <v>149</v>
      </c>
      <c r="AB969" s="5" t="n">
        <v>30000</v>
      </c>
      <c r="AC969" s="5" t="n">
        <v>20000</v>
      </c>
      <c r="AD969" s="0" t="s">
        <v>63</v>
      </c>
      <c r="AE969" s="5" t="n">
        <v>10000</v>
      </c>
      <c r="AF969" s="0" t="s">
        <v>60</v>
      </c>
      <c r="AG969" s="7" t="s">
        <v>2330</v>
      </c>
      <c r="AH969" s="0" t="s">
        <v>50</v>
      </c>
      <c r="AI969" s="0" t="s">
        <v>2331</v>
      </c>
      <c r="AJ969" s="0" t="s">
        <v>2331</v>
      </c>
      <c r="AK969" s="0" t="s">
        <v>63</v>
      </c>
      <c r="AL969" s="0" t="s">
        <v>50</v>
      </c>
      <c r="AM969" s="0" t="s">
        <v>2344</v>
      </c>
      <c r="AN969" s="0" t="s">
        <v>2321</v>
      </c>
      <c r="AO969" s="0" t="s">
        <v>63</v>
      </c>
    </row>
    <row r="970" customFormat="false" ht="15" hidden="false" customHeight="false" outlineLevel="0" collapsed="false">
      <c r="A970" s="0" t="s">
        <v>2222</v>
      </c>
      <c r="B970" s="2" t="s">
        <v>2221</v>
      </c>
      <c r="C970" s="0" t="s">
        <v>121</v>
      </c>
      <c r="D970" s="0" t="n">
        <v>8050446284</v>
      </c>
      <c r="E970" s="0" t="s">
        <v>43</v>
      </c>
      <c r="F970" s="0" t="s">
        <v>2315</v>
      </c>
      <c r="G970" s="0" t="s">
        <v>2223</v>
      </c>
      <c r="H970" s="0" t="s">
        <v>87</v>
      </c>
      <c r="I970" s="3" t="s">
        <v>87</v>
      </c>
      <c r="J970" s="0" t="s">
        <v>47</v>
      </c>
      <c r="K970" s="0" t="s">
        <v>71</v>
      </c>
      <c r="L970" s="4" t="n">
        <v>115488</v>
      </c>
      <c r="M970" s="0" t="s">
        <v>110</v>
      </c>
      <c r="N970" s="0" t="s">
        <v>50</v>
      </c>
      <c r="O970" s="5" t="n">
        <v>3.51724137931034</v>
      </c>
      <c r="P970" s="0" t="n">
        <v>1.1</v>
      </c>
      <c r="Q970" s="0" t="s">
        <v>125</v>
      </c>
      <c r="R970" s="0" t="s">
        <v>52</v>
      </c>
      <c r="S970" s="0" t="s">
        <v>2340</v>
      </c>
      <c r="T970" s="0" t="s">
        <v>147</v>
      </c>
      <c r="U970" s="5" t="n">
        <v>30</v>
      </c>
      <c r="V970" s="0" t="s">
        <v>2336</v>
      </c>
      <c r="W970" s="0" t="s">
        <v>155</v>
      </c>
      <c r="X970" s="0" t="s">
        <v>98</v>
      </c>
      <c r="Y970" s="0" t="s">
        <v>99</v>
      </c>
      <c r="Z970" s="0" t="s">
        <v>177</v>
      </c>
      <c r="AA970" s="0" t="s">
        <v>79</v>
      </c>
      <c r="AB970" s="5" t="n">
        <v>25000</v>
      </c>
      <c r="AC970" s="5" t="n">
        <v>20000</v>
      </c>
      <c r="AD970" s="0" t="s">
        <v>63</v>
      </c>
      <c r="AE970" s="5" t="n">
        <v>5000</v>
      </c>
      <c r="AF970" s="0" t="s">
        <v>60</v>
      </c>
      <c r="AG970" s="7" t="s">
        <v>2504</v>
      </c>
      <c r="AH970" s="0" t="s">
        <v>63</v>
      </c>
      <c r="AI970" s="0" t="s">
        <v>171</v>
      </c>
      <c r="AJ970" s="0" t="s">
        <v>2331</v>
      </c>
      <c r="AK970" s="0" t="s">
        <v>63</v>
      </c>
      <c r="AL970" s="0" t="s">
        <v>50</v>
      </c>
      <c r="AM970" s="0" t="s">
        <v>2344</v>
      </c>
      <c r="AN970" s="0" t="s">
        <v>2321</v>
      </c>
      <c r="AO970" s="0" t="s">
        <v>50</v>
      </c>
    </row>
    <row r="971" customFormat="false" ht="15" hidden="false" customHeight="false" outlineLevel="0" collapsed="false">
      <c r="A971" s="0" t="s">
        <v>2224</v>
      </c>
      <c r="B971" s="2" t="s">
        <v>674</v>
      </c>
      <c r="C971" s="0" t="s">
        <v>121</v>
      </c>
      <c r="D971" s="0" t="n">
        <v>8083651529</v>
      </c>
      <c r="E971" s="0" t="s">
        <v>67</v>
      </c>
      <c r="F971" s="0" t="s">
        <v>2316</v>
      </c>
      <c r="G971" s="0" t="s">
        <v>2225</v>
      </c>
      <c r="H971" s="0" t="s">
        <v>134</v>
      </c>
      <c r="I971" s="3" t="s">
        <v>2325</v>
      </c>
      <c r="J971" s="0" t="s">
        <v>2349</v>
      </c>
      <c r="K971" s="0" t="s">
        <v>109</v>
      </c>
      <c r="L971" s="4" t="n">
        <v>96328</v>
      </c>
      <c r="M971" s="0" t="s">
        <v>2333</v>
      </c>
      <c r="N971" s="0" t="s">
        <v>63</v>
      </c>
      <c r="O971" s="5" t="n">
        <v>1</v>
      </c>
      <c r="P971" s="0" t="n">
        <v>2.5</v>
      </c>
      <c r="Q971" s="0" t="s">
        <v>125</v>
      </c>
      <c r="R971" s="0" t="s">
        <v>52</v>
      </c>
      <c r="S971" s="0" t="s">
        <v>53</v>
      </c>
      <c r="T971" s="0" t="s">
        <v>54</v>
      </c>
      <c r="U971" s="5" t="n">
        <v>38.5714285714286</v>
      </c>
      <c r="V971" s="0" t="s">
        <v>96</v>
      </c>
      <c r="W971" s="0" t="s">
        <v>155</v>
      </c>
      <c r="X971" s="0" t="s">
        <v>78</v>
      </c>
      <c r="Y971" s="0" t="s">
        <v>58</v>
      </c>
      <c r="Z971" s="0" t="s">
        <v>177</v>
      </c>
      <c r="AA971" s="0" t="s">
        <v>143</v>
      </c>
      <c r="AB971" s="5" t="n">
        <v>26428.5714285714</v>
      </c>
      <c r="AC971" s="5" t="n">
        <v>31000</v>
      </c>
      <c r="AD971" s="0" t="s">
        <v>50</v>
      </c>
      <c r="AE971" s="5" t="n">
        <v>0</v>
      </c>
      <c r="AF971" s="0" t="s">
        <v>60</v>
      </c>
      <c r="AG971" s="7" t="s">
        <v>562</v>
      </c>
      <c r="AH971" s="0" t="s">
        <v>50</v>
      </c>
      <c r="AI971" s="0" t="s">
        <v>2331</v>
      </c>
      <c r="AJ971" s="0" t="s">
        <v>172</v>
      </c>
      <c r="AK971" s="0" t="s">
        <v>63</v>
      </c>
      <c r="AL971" s="0" t="s">
        <v>2344</v>
      </c>
      <c r="AM971" s="0" t="s">
        <v>50</v>
      </c>
      <c r="AN971" s="0" t="s">
        <v>64</v>
      </c>
      <c r="AO971" s="0" t="s">
        <v>63</v>
      </c>
    </row>
    <row r="972" customFormat="false" ht="15" hidden="false" customHeight="false" outlineLevel="0" collapsed="false">
      <c r="A972" s="0" t="s">
        <v>2226</v>
      </c>
      <c r="B972" s="2" t="s">
        <v>2468</v>
      </c>
      <c r="C972" s="0" t="s">
        <v>42</v>
      </c>
      <c r="D972" s="0" t="n">
        <v>8072653244</v>
      </c>
      <c r="E972" s="0" t="s">
        <v>122</v>
      </c>
      <c r="F972" s="0" t="s">
        <v>2316</v>
      </c>
      <c r="G972" s="0" t="s">
        <v>2227</v>
      </c>
      <c r="H972" s="0" t="s">
        <v>45</v>
      </c>
      <c r="I972" s="3" t="s">
        <v>2322</v>
      </c>
      <c r="J972" s="0" t="s">
        <v>2339</v>
      </c>
      <c r="K972" s="0" t="s">
        <v>109</v>
      </c>
      <c r="L972" s="4" t="n">
        <v>97821</v>
      </c>
      <c r="M972" s="0" t="s">
        <v>49</v>
      </c>
      <c r="N972" s="0" t="s">
        <v>50</v>
      </c>
      <c r="O972" s="5" t="n">
        <v>4</v>
      </c>
      <c r="P972" s="0" t="n">
        <v>1.8</v>
      </c>
      <c r="Q972" s="0" t="s">
        <v>51</v>
      </c>
      <c r="R972" s="0" t="s">
        <v>52</v>
      </c>
      <c r="S972" s="0" t="s">
        <v>2340</v>
      </c>
      <c r="T972" s="0" t="s">
        <v>54</v>
      </c>
      <c r="U972" s="5" t="n">
        <v>45</v>
      </c>
      <c r="V972" s="0" t="s">
        <v>2352</v>
      </c>
      <c r="W972" s="0" t="s">
        <v>148</v>
      </c>
      <c r="X972" s="0" t="s">
        <v>128</v>
      </c>
      <c r="Y972" s="0" t="s">
        <v>58</v>
      </c>
      <c r="Z972" s="0" t="s">
        <v>2324</v>
      </c>
      <c r="AA972" s="0" t="s">
        <v>79</v>
      </c>
      <c r="AB972" s="5" t="n">
        <v>15000</v>
      </c>
      <c r="AC972" s="5" t="n">
        <v>31000</v>
      </c>
      <c r="AD972" s="0" t="s">
        <v>63</v>
      </c>
      <c r="AE972" s="5" t="n">
        <v>5000</v>
      </c>
      <c r="AF972" s="0" t="s">
        <v>60</v>
      </c>
      <c r="AG972" s="7" t="s">
        <v>2330</v>
      </c>
      <c r="AH972" s="0" t="s">
        <v>63</v>
      </c>
      <c r="AI972" s="0" t="s">
        <v>2331</v>
      </c>
      <c r="AJ972" s="0" t="s">
        <v>2320</v>
      </c>
      <c r="AK972" s="0" t="s">
        <v>63</v>
      </c>
      <c r="AL972" s="0" t="s">
        <v>63</v>
      </c>
      <c r="AM972" s="0" t="s">
        <v>63</v>
      </c>
      <c r="AN972" s="0" t="s">
        <v>2321</v>
      </c>
      <c r="AO972" s="0" t="s">
        <v>63</v>
      </c>
    </row>
    <row r="973" customFormat="false" ht="15" hidden="false" customHeight="false" outlineLevel="0" collapsed="false">
      <c r="A973" s="0" t="s">
        <v>2228</v>
      </c>
      <c r="B973" s="2" t="s">
        <v>438</v>
      </c>
      <c r="C973" s="0" t="s">
        <v>163</v>
      </c>
      <c r="D973" s="0" t="n">
        <v>8032555671</v>
      </c>
      <c r="E973" s="0" t="s">
        <v>67</v>
      </c>
      <c r="F973" s="0" t="s">
        <v>2316</v>
      </c>
      <c r="G973" s="0" t="s">
        <v>1247</v>
      </c>
      <c r="H973" s="0" t="s">
        <v>87</v>
      </c>
      <c r="I973" s="3" t="s">
        <v>87</v>
      </c>
      <c r="J973" s="0" t="s">
        <v>2341</v>
      </c>
      <c r="K973" s="0" t="s">
        <v>109</v>
      </c>
      <c r="L973" s="4" t="n">
        <v>94040</v>
      </c>
      <c r="M973" s="0" t="s">
        <v>110</v>
      </c>
      <c r="N973" s="0" t="s">
        <v>50</v>
      </c>
      <c r="O973" s="5" t="n">
        <v>3.59259259259259</v>
      </c>
      <c r="P973" s="0" t="n">
        <v>1.5</v>
      </c>
      <c r="Q973" s="0" t="s">
        <v>51</v>
      </c>
      <c r="R973" s="0" t="s">
        <v>93</v>
      </c>
      <c r="S973" s="0" t="s">
        <v>53</v>
      </c>
      <c r="T973" s="0" t="s">
        <v>2343</v>
      </c>
      <c r="U973" s="5" t="n">
        <v>37.5</v>
      </c>
      <c r="V973" s="0" t="s">
        <v>2336</v>
      </c>
      <c r="W973" s="0" t="s">
        <v>2328</v>
      </c>
      <c r="X973" s="0" t="s">
        <v>98</v>
      </c>
      <c r="Y973" s="0" t="s">
        <v>196</v>
      </c>
      <c r="Z973" s="0" t="s">
        <v>2329</v>
      </c>
      <c r="AA973" s="0" t="s">
        <v>79</v>
      </c>
      <c r="AB973" s="5" t="n">
        <v>40000</v>
      </c>
      <c r="AC973" s="5" t="n">
        <v>20000</v>
      </c>
      <c r="AD973" s="0" t="s">
        <v>63</v>
      </c>
      <c r="AE973" s="5" t="n">
        <v>0</v>
      </c>
      <c r="AF973" s="0" t="s">
        <v>2338</v>
      </c>
      <c r="AG973" s="7" t="s">
        <v>295</v>
      </c>
      <c r="AH973" s="0" t="s">
        <v>63</v>
      </c>
      <c r="AI973" s="0" t="s">
        <v>2331</v>
      </c>
      <c r="AJ973" s="0" t="s">
        <v>172</v>
      </c>
      <c r="AK973" s="0" t="s">
        <v>50</v>
      </c>
      <c r="AL973" s="0" t="s">
        <v>2344</v>
      </c>
      <c r="AM973" s="0" t="s">
        <v>2344</v>
      </c>
      <c r="AN973" s="0" t="s">
        <v>64</v>
      </c>
      <c r="AO973" s="0" t="s">
        <v>50</v>
      </c>
    </row>
    <row r="974" customFormat="false" ht="15" hidden="false" customHeight="false" outlineLevel="0" collapsed="false">
      <c r="A974" s="0" t="s">
        <v>2229</v>
      </c>
      <c r="B974" s="2" t="s">
        <v>2393</v>
      </c>
      <c r="C974" s="0" t="s">
        <v>121</v>
      </c>
      <c r="D974" s="0" t="n">
        <v>8069899586</v>
      </c>
      <c r="E974" s="0" t="s">
        <v>122</v>
      </c>
      <c r="F974" s="0" t="s">
        <v>2316</v>
      </c>
      <c r="G974" s="0" t="s">
        <v>2230</v>
      </c>
      <c r="H974" s="0" t="s">
        <v>134</v>
      </c>
      <c r="I974" s="3" t="s">
        <v>2322</v>
      </c>
      <c r="J974" s="0" t="s">
        <v>2339</v>
      </c>
      <c r="K974" s="0" t="s">
        <v>71</v>
      </c>
      <c r="L974" s="4" t="n">
        <v>62187</v>
      </c>
      <c r="M974" s="0" t="s">
        <v>110</v>
      </c>
      <c r="N974" s="0" t="s">
        <v>63</v>
      </c>
      <c r="O974" s="5" t="n">
        <v>3</v>
      </c>
      <c r="P974" s="0" t="n">
        <v>4.9</v>
      </c>
      <c r="Q974" s="0" t="s">
        <v>111</v>
      </c>
      <c r="R974" s="0" t="s">
        <v>93</v>
      </c>
      <c r="S974" s="0" t="s">
        <v>2366</v>
      </c>
      <c r="T974" s="0" t="s">
        <v>54</v>
      </c>
      <c r="U974" s="5" t="n">
        <v>60</v>
      </c>
      <c r="V974" s="0" t="s">
        <v>2352</v>
      </c>
      <c r="W974" s="0" t="s">
        <v>155</v>
      </c>
      <c r="X974" s="0" t="s">
        <v>128</v>
      </c>
      <c r="Y974" s="0" t="s">
        <v>196</v>
      </c>
      <c r="Z974" s="0" t="s">
        <v>2326</v>
      </c>
      <c r="AA974" s="0" t="s">
        <v>149</v>
      </c>
      <c r="AB974" s="5" t="n">
        <v>20000</v>
      </c>
      <c r="AC974" s="5" t="n">
        <v>20000</v>
      </c>
      <c r="AD974" s="0" t="s">
        <v>50</v>
      </c>
      <c r="AE974" s="5" t="n">
        <v>10000</v>
      </c>
      <c r="AF974" s="0" t="s">
        <v>2338</v>
      </c>
      <c r="AG974" s="7" t="s">
        <v>700</v>
      </c>
      <c r="AH974" s="0" t="s">
        <v>2329</v>
      </c>
      <c r="AI974" s="0" t="s">
        <v>2331</v>
      </c>
      <c r="AJ974" s="0" t="s">
        <v>117</v>
      </c>
      <c r="AK974" s="0" t="s">
        <v>63</v>
      </c>
      <c r="AL974" s="0" t="s">
        <v>63</v>
      </c>
      <c r="AM974" s="0" t="s">
        <v>63</v>
      </c>
      <c r="AN974" s="0" t="s">
        <v>2321</v>
      </c>
      <c r="AO974" s="0" t="s">
        <v>50</v>
      </c>
    </row>
    <row r="975" customFormat="false" ht="15" hidden="false" customHeight="false" outlineLevel="0" collapsed="false">
      <c r="A975" s="0" t="s">
        <v>2231</v>
      </c>
      <c r="B975" s="2" t="s">
        <v>666</v>
      </c>
      <c r="C975" s="0" t="s">
        <v>105</v>
      </c>
      <c r="D975" s="0" t="n">
        <v>8025526124</v>
      </c>
      <c r="E975" s="0" t="s">
        <v>122</v>
      </c>
      <c r="F975" s="0" t="s">
        <v>2316</v>
      </c>
      <c r="G975" s="0" t="s">
        <v>2232</v>
      </c>
      <c r="H975" s="0" t="s">
        <v>107</v>
      </c>
      <c r="I975" s="3" t="s">
        <v>2325</v>
      </c>
      <c r="J975" s="0" t="s">
        <v>2339</v>
      </c>
      <c r="K975" s="0" t="s">
        <v>109</v>
      </c>
      <c r="L975" s="4" t="n">
        <v>33819</v>
      </c>
      <c r="M975" s="0" t="s">
        <v>49</v>
      </c>
      <c r="N975" s="0" t="s">
        <v>50</v>
      </c>
      <c r="O975" s="5" t="n">
        <v>2</v>
      </c>
      <c r="P975" s="0" t="n">
        <v>5.8</v>
      </c>
      <c r="Q975" s="0" t="s">
        <v>2334</v>
      </c>
      <c r="R975" s="0" t="s">
        <v>73</v>
      </c>
      <c r="S975" s="0" t="s">
        <v>53</v>
      </c>
      <c r="T975" s="0" t="s">
        <v>54</v>
      </c>
      <c r="U975" s="5" t="n">
        <v>60</v>
      </c>
      <c r="V975" s="0" t="s">
        <v>2352</v>
      </c>
      <c r="W975" s="0" t="s">
        <v>2337</v>
      </c>
      <c r="X975" s="0" t="s">
        <v>128</v>
      </c>
      <c r="Y975" s="0" t="s">
        <v>58</v>
      </c>
      <c r="Z975" s="0" t="s">
        <v>177</v>
      </c>
      <c r="AA975" s="0" t="s">
        <v>79</v>
      </c>
      <c r="AB975" s="5" t="n">
        <v>20000</v>
      </c>
      <c r="AC975" s="5" t="n">
        <v>30000</v>
      </c>
      <c r="AD975" s="0" t="s">
        <v>63</v>
      </c>
      <c r="AE975" s="5" t="n">
        <v>0</v>
      </c>
      <c r="AF975" s="0" t="s">
        <v>2338</v>
      </c>
      <c r="AG975" s="7" t="s">
        <v>1227</v>
      </c>
      <c r="AH975" s="0" t="s">
        <v>50</v>
      </c>
      <c r="AI975" s="0" t="s">
        <v>116</v>
      </c>
      <c r="AJ975" s="0" t="s">
        <v>2331</v>
      </c>
      <c r="AK975" s="0" t="s">
        <v>63</v>
      </c>
      <c r="AL975" s="0" t="s">
        <v>63</v>
      </c>
      <c r="AM975" s="0" t="s">
        <v>2344</v>
      </c>
      <c r="AN975" s="0" t="s">
        <v>2321</v>
      </c>
      <c r="AO975" s="0" t="s">
        <v>50</v>
      </c>
    </row>
    <row r="976" customFormat="false" ht="15" hidden="false" customHeight="false" outlineLevel="0" collapsed="false">
      <c r="A976" s="0" t="s">
        <v>2233</v>
      </c>
      <c r="B976" s="2" t="s">
        <v>2451</v>
      </c>
      <c r="C976" s="0" t="s">
        <v>163</v>
      </c>
      <c r="D976" s="0" t="n">
        <v>8074715566</v>
      </c>
      <c r="E976" s="0" t="s">
        <v>85</v>
      </c>
      <c r="F976" s="0" t="s">
        <v>2319</v>
      </c>
      <c r="G976" s="0" t="s">
        <v>2234</v>
      </c>
      <c r="H976" s="0" t="s">
        <v>134</v>
      </c>
      <c r="I976" s="3" t="s">
        <v>87</v>
      </c>
      <c r="J976" s="0" t="s">
        <v>2349</v>
      </c>
      <c r="K976" s="0" t="s">
        <v>109</v>
      </c>
      <c r="L976" s="4" t="n">
        <v>48384</v>
      </c>
      <c r="M976" s="0" t="s">
        <v>110</v>
      </c>
      <c r="N976" s="0" t="s">
        <v>63</v>
      </c>
      <c r="O976" s="5" t="n">
        <v>5</v>
      </c>
      <c r="P976" s="0" t="n">
        <v>3.8</v>
      </c>
      <c r="Q976" s="0" t="s">
        <v>2334</v>
      </c>
      <c r="R976" s="0" t="s">
        <v>73</v>
      </c>
      <c r="S976" s="0" t="s">
        <v>2340</v>
      </c>
      <c r="T976" s="0" t="s">
        <v>95</v>
      </c>
      <c r="U976" s="5" t="n">
        <v>30</v>
      </c>
      <c r="V976" s="0" t="s">
        <v>112</v>
      </c>
      <c r="W976" s="0" t="s">
        <v>155</v>
      </c>
      <c r="X976" s="0" t="s">
        <v>78</v>
      </c>
      <c r="Y976" s="0" t="s">
        <v>196</v>
      </c>
      <c r="Z976" s="0" t="s">
        <v>2326</v>
      </c>
      <c r="AA976" s="0" t="s">
        <v>79</v>
      </c>
      <c r="AB976" s="5" t="n">
        <v>15000</v>
      </c>
      <c r="AC976" s="5" t="n">
        <v>35000</v>
      </c>
      <c r="AD976" s="0" t="s">
        <v>50</v>
      </c>
      <c r="AE976" s="5" t="n">
        <v>0</v>
      </c>
      <c r="AF976" s="0" t="s">
        <v>60</v>
      </c>
      <c r="AG976" s="7" t="s">
        <v>915</v>
      </c>
      <c r="AH976" s="0" t="s">
        <v>2329</v>
      </c>
      <c r="AI976" s="0" t="s">
        <v>171</v>
      </c>
      <c r="AJ976" s="0" t="s">
        <v>172</v>
      </c>
      <c r="AK976" s="0" t="s">
        <v>50</v>
      </c>
      <c r="AL976" s="0" t="s">
        <v>50</v>
      </c>
      <c r="AM976" s="0" t="s">
        <v>2344</v>
      </c>
      <c r="AN976" s="0" t="s">
        <v>2321</v>
      </c>
      <c r="AO976" s="0" t="s">
        <v>63</v>
      </c>
    </row>
    <row r="977" customFormat="false" ht="15" hidden="false" customHeight="false" outlineLevel="0" collapsed="false">
      <c r="A977" s="0" t="s">
        <v>2235</v>
      </c>
      <c r="B977" s="2" t="s">
        <v>2402</v>
      </c>
      <c r="C977" s="0" t="s">
        <v>163</v>
      </c>
      <c r="D977" s="0" t="n">
        <v>8098938318</v>
      </c>
      <c r="E977" s="0" t="s">
        <v>139</v>
      </c>
      <c r="F977" s="0" t="s">
        <v>2323</v>
      </c>
      <c r="G977" s="0" t="s">
        <v>2236</v>
      </c>
      <c r="H977" s="0" t="s">
        <v>45</v>
      </c>
      <c r="I977" s="3" t="s">
        <v>2317</v>
      </c>
      <c r="J977" s="0" t="s">
        <v>47</v>
      </c>
      <c r="K977" s="0" t="s">
        <v>71</v>
      </c>
      <c r="L977" s="4" t="n">
        <v>93885</v>
      </c>
      <c r="M977" s="0" t="s">
        <v>49</v>
      </c>
      <c r="N977" s="0" t="s">
        <v>63</v>
      </c>
      <c r="O977" s="5" t="n">
        <v>5</v>
      </c>
      <c r="P977" s="0" t="n">
        <v>2.7</v>
      </c>
      <c r="Q977" s="0" t="s">
        <v>51</v>
      </c>
      <c r="R977" s="0" t="s">
        <v>52</v>
      </c>
      <c r="S977" s="0" t="s">
        <v>53</v>
      </c>
      <c r="T977" s="0" t="s">
        <v>75</v>
      </c>
      <c r="U977" s="5" t="n">
        <v>45</v>
      </c>
      <c r="V977" s="0" t="s">
        <v>96</v>
      </c>
      <c r="W977" s="0" t="s">
        <v>2337</v>
      </c>
      <c r="X977" s="0" t="s">
        <v>98</v>
      </c>
      <c r="Y977" s="0" t="s">
        <v>58</v>
      </c>
      <c r="Z977" s="0" t="s">
        <v>2329</v>
      </c>
      <c r="AA977" s="0" t="s">
        <v>79</v>
      </c>
      <c r="AB977" s="5" t="n">
        <v>30000</v>
      </c>
      <c r="AC977" s="5" t="n">
        <v>40000</v>
      </c>
      <c r="AD977" s="0" t="s">
        <v>50</v>
      </c>
      <c r="AE977" s="5" t="n">
        <v>0</v>
      </c>
      <c r="AF977" s="0" t="s">
        <v>60</v>
      </c>
      <c r="AG977" s="7" t="s">
        <v>2490</v>
      </c>
      <c r="AH977" s="0" t="s">
        <v>2329</v>
      </c>
      <c r="AI977" s="0" t="s">
        <v>2331</v>
      </c>
      <c r="AJ977" s="0" t="s">
        <v>2320</v>
      </c>
      <c r="AK977" s="0" t="s">
        <v>2344</v>
      </c>
      <c r="AL977" s="0" t="s">
        <v>50</v>
      </c>
      <c r="AM977" s="0" t="s">
        <v>50</v>
      </c>
      <c r="AN977" s="0" t="s">
        <v>2321</v>
      </c>
      <c r="AO977" s="0" t="s">
        <v>50</v>
      </c>
    </row>
    <row r="978" customFormat="false" ht="15" hidden="false" customHeight="false" outlineLevel="0" collapsed="false">
      <c r="A978" s="0" t="s">
        <v>2237</v>
      </c>
      <c r="B978" s="2" t="s">
        <v>918</v>
      </c>
      <c r="C978" s="0" t="s">
        <v>42</v>
      </c>
      <c r="D978" s="0" t="n">
        <v>8082567218</v>
      </c>
      <c r="E978" s="0" t="s">
        <v>67</v>
      </c>
      <c r="F978" s="0" t="s">
        <v>2316</v>
      </c>
      <c r="G978" s="0" t="s">
        <v>2238</v>
      </c>
      <c r="H978" s="0" t="s">
        <v>107</v>
      </c>
      <c r="I978" s="3" t="s">
        <v>2325</v>
      </c>
      <c r="J978" s="0" t="s">
        <v>47</v>
      </c>
      <c r="K978" s="0" t="s">
        <v>109</v>
      </c>
      <c r="L978" s="4" t="n">
        <v>15920</v>
      </c>
      <c r="M978" s="0" t="s">
        <v>2333</v>
      </c>
      <c r="N978" s="0" t="s">
        <v>50</v>
      </c>
      <c r="O978" s="5" t="n">
        <v>1</v>
      </c>
      <c r="P978" s="0" t="n">
        <v>3.7</v>
      </c>
      <c r="Q978" s="0" t="s">
        <v>125</v>
      </c>
      <c r="R978" s="0" t="s">
        <v>93</v>
      </c>
      <c r="S978" s="0" t="s">
        <v>2366</v>
      </c>
      <c r="T978" s="0" t="s">
        <v>147</v>
      </c>
      <c r="U978" s="5" t="n">
        <v>60</v>
      </c>
      <c r="V978" s="0" t="s">
        <v>55</v>
      </c>
      <c r="W978" s="0" t="s">
        <v>2328</v>
      </c>
      <c r="X978" s="0" t="s">
        <v>98</v>
      </c>
      <c r="Y978" s="0" t="s">
        <v>196</v>
      </c>
      <c r="Z978" s="0" t="s">
        <v>2326</v>
      </c>
      <c r="AA978" s="0" t="s">
        <v>161</v>
      </c>
      <c r="AB978" s="5" t="n">
        <v>28333.3333333333</v>
      </c>
      <c r="AC978" s="5" t="n">
        <v>40000</v>
      </c>
      <c r="AD978" s="0" t="s">
        <v>50</v>
      </c>
      <c r="AE978" s="5" t="n">
        <v>0</v>
      </c>
      <c r="AF978" s="0" t="s">
        <v>2338</v>
      </c>
      <c r="AG978" s="7" t="s">
        <v>1437</v>
      </c>
      <c r="AH978" s="0" t="s">
        <v>50</v>
      </c>
      <c r="AI978" s="0" t="s">
        <v>2331</v>
      </c>
      <c r="AJ978" s="0" t="s">
        <v>2320</v>
      </c>
      <c r="AK978" s="0" t="s">
        <v>50</v>
      </c>
      <c r="AL978" s="0" t="s">
        <v>50</v>
      </c>
      <c r="AM978" s="0" t="s">
        <v>63</v>
      </c>
      <c r="AN978" s="0" t="s">
        <v>2321</v>
      </c>
      <c r="AO978" s="0" t="s">
        <v>50</v>
      </c>
    </row>
    <row r="979" customFormat="false" ht="15" hidden="false" customHeight="false" outlineLevel="0" collapsed="false">
      <c r="A979" s="0" t="s">
        <v>2239</v>
      </c>
      <c r="B979" s="2" t="s">
        <v>1865</v>
      </c>
      <c r="C979" s="0" t="s">
        <v>121</v>
      </c>
      <c r="D979" s="0" t="n">
        <v>8042333267</v>
      </c>
      <c r="E979" s="0" t="s">
        <v>67</v>
      </c>
      <c r="F979" s="0" t="s">
        <v>2316</v>
      </c>
      <c r="G979" s="0" t="s">
        <v>2240</v>
      </c>
      <c r="H979" s="0" t="s">
        <v>134</v>
      </c>
      <c r="I979" s="3" t="s">
        <v>2325</v>
      </c>
      <c r="J979" s="0" t="s">
        <v>2341</v>
      </c>
      <c r="K979" s="0" t="s">
        <v>109</v>
      </c>
      <c r="L979" s="4" t="n">
        <v>89265</v>
      </c>
      <c r="M979" s="0" t="s">
        <v>49</v>
      </c>
      <c r="N979" s="0" t="s">
        <v>50</v>
      </c>
      <c r="O979" s="5" t="n">
        <v>4</v>
      </c>
      <c r="P979" s="0" t="n">
        <v>4.4</v>
      </c>
      <c r="Q979" s="0" t="s">
        <v>125</v>
      </c>
      <c r="R979" s="0" t="s">
        <v>93</v>
      </c>
      <c r="S979" s="0" t="s">
        <v>53</v>
      </c>
      <c r="T979" s="0" t="s">
        <v>95</v>
      </c>
      <c r="U979" s="5" t="n">
        <v>37.5</v>
      </c>
      <c r="V979" s="0" t="s">
        <v>2352</v>
      </c>
      <c r="W979" s="0" t="s">
        <v>148</v>
      </c>
      <c r="X979" s="0" t="s">
        <v>78</v>
      </c>
      <c r="Y979" s="0" t="s">
        <v>196</v>
      </c>
      <c r="Z979" s="0" t="s">
        <v>2324</v>
      </c>
      <c r="AA979" s="0" t="s">
        <v>79</v>
      </c>
      <c r="AB979" s="5" t="n">
        <v>40000</v>
      </c>
      <c r="AC979" s="5" t="n">
        <v>30000</v>
      </c>
      <c r="AD979" s="0" t="s">
        <v>63</v>
      </c>
      <c r="AE979" s="5" t="n">
        <v>0</v>
      </c>
      <c r="AF979" s="0" t="s">
        <v>60</v>
      </c>
      <c r="AG979" s="7" t="s">
        <v>2442</v>
      </c>
      <c r="AH979" s="0" t="s">
        <v>50</v>
      </c>
      <c r="AI979" s="0" t="s">
        <v>171</v>
      </c>
      <c r="AJ979" s="0" t="s">
        <v>172</v>
      </c>
      <c r="AK979" s="0" t="s">
        <v>63</v>
      </c>
      <c r="AL979" s="0" t="s">
        <v>50</v>
      </c>
      <c r="AM979" s="0" t="s">
        <v>63</v>
      </c>
      <c r="AN979" s="0" t="s">
        <v>2318</v>
      </c>
      <c r="AO979" s="0" t="s">
        <v>50</v>
      </c>
    </row>
    <row r="980" customFormat="false" ht="15" hidden="false" customHeight="false" outlineLevel="0" collapsed="false">
      <c r="A980" s="0" t="s">
        <v>2241</v>
      </c>
      <c r="B980" s="2" t="s">
        <v>1342</v>
      </c>
      <c r="C980" s="0" t="s">
        <v>121</v>
      </c>
      <c r="D980" s="0" t="n">
        <v>8042662689</v>
      </c>
      <c r="E980" s="0" t="s">
        <v>139</v>
      </c>
      <c r="F980" s="0" t="s">
        <v>2323</v>
      </c>
      <c r="G980" s="0" t="s">
        <v>2242</v>
      </c>
      <c r="H980" s="0" t="s">
        <v>107</v>
      </c>
      <c r="I980" s="3" t="s">
        <v>2317</v>
      </c>
      <c r="J980" s="0" t="s">
        <v>2349</v>
      </c>
      <c r="K980" s="0" t="s">
        <v>90</v>
      </c>
      <c r="L980" s="4" t="n">
        <v>65264</v>
      </c>
      <c r="M980" s="0" t="s">
        <v>110</v>
      </c>
      <c r="N980" s="0" t="s">
        <v>50</v>
      </c>
      <c r="O980" s="5" t="n">
        <v>3</v>
      </c>
      <c r="P980" s="0" t="n">
        <v>5.7</v>
      </c>
      <c r="Q980" s="0" t="s">
        <v>2334</v>
      </c>
      <c r="R980" s="0" t="s">
        <v>73</v>
      </c>
      <c r="S980" s="0" t="s">
        <v>2366</v>
      </c>
      <c r="T980" s="0" t="s">
        <v>2343</v>
      </c>
      <c r="U980" s="5" t="n">
        <v>45</v>
      </c>
      <c r="V980" s="0" t="s">
        <v>2352</v>
      </c>
      <c r="W980" s="0" t="s">
        <v>148</v>
      </c>
      <c r="X980" s="0" t="s">
        <v>78</v>
      </c>
      <c r="Y980" s="0" t="s">
        <v>196</v>
      </c>
      <c r="Z980" s="0" t="s">
        <v>2329</v>
      </c>
      <c r="AA980" s="0" t="s">
        <v>2329</v>
      </c>
      <c r="AB980" s="5" t="n">
        <v>40000</v>
      </c>
      <c r="AC980" s="5" t="n">
        <v>35000</v>
      </c>
      <c r="AD980" s="0" t="s">
        <v>63</v>
      </c>
      <c r="AE980" s="5" t="n">
        <v>0</v>
      </c>
      <c r="AF980" s="0" t="s">
        <v>130</v>
      </c>
      <c r="AG980" s="7" t="s">
        <v>2442</v>
      </c>
      <c r="AH980" s="0" t="s">
        <v>50</v>
      </c>
      <c r="AI980" s="0" t="s">
        <v>171</v>
      </c>
      <c r="AJ980" s="0" t="s">
        <v>117</v>
      </c>
      <c r="AK980" s="0" t="s">
        <v>63</v>
      </c>
      <c r="AL980" s="0" t="s">
        <v>2344</v>
      </c>
      <c r="AM980" s="0" t="s">
        <v>63</v>
      </c>
      <c r="AN980" s="0" t="s">
        <v>2318</v>
      </c>
      <c r="AO980" s="0" t="s">
        <v>50</v>
      </c>
    </row>
    <row r="981" customFormat="false" ht="15" hidden="false" customHeight="false" outlineLevel="0" collapsed="false">
      <c r="A981" s="0" t="s">
        <v>2243</v>
      </c>
      <c r="B981" s="2" t="s">
        <v>2448</v>
      </c>
      <c r="C981" s="0" t="s">
        <v>121</v>
      </c>
      <c r="D981" s="0" t="n">
        <v>8038405950</v>
      </c>
      <c r="E981" s="0" t="s">
        <v>67</v>
      </c>
      <c r="F981" s="0" t="s">
        <v>2316</v>
      </c>
      <c r="G981" s="0" t="s">
        <v>497</v>
      </c>
      <c r="H981" s="0" t="s">
        <v>87</v>
      </c>
      <c r="I981" s="3" t="s">
        <v>2322</v>
      </c>
      <c r="J981" s="0" t="s">
        <v>189</v>
      </c>
      <c r="K981" s="0" t="s">
        <v>109</v>
      </c>
      <c r="L981" s="4" t="n">
        <v>102013</v>
      </c>
      <c r="M981" s="0" t="s">
        <v>110</v>
      </c>
      <c r="N981" s="0" t="s">
        <v>63</v>
      </c>
      <c r="O981" s="5" t="n">
        <v>3.7</v>
      </c>
      <c r="P981" s="0" t="n">
        <v>4.1</v>
      </c>
      <c r="Q981" s="0" t="s">
        <v>111</v>
      </c>
      <c r="R981" s="0" t="s">
        <v>52</v>
      </c>
      <c r="S981" s="0" t="s">
        <v>2340</v>
      </c>
      <c r="T981" s="0" t="s">
        <v>75</v>
      </c>
      <c r="U981" s="5" t="n">
        <v>45</v>
      </c>
      <c r="V981" s="0" t="s">
        <v>55</v>
      </c>
      <c r="W981" s="0" t="s">
        <v>148</v>
      </c>
      <c r="X981" s="0" t="s">
        <v>98</v>
      </c>
      <c r="Y981" s="0" t="s">
        <v>58</v>
      </c>
      <c r="Z981" s="0" t="s">
        <v>2324</v>
      </c>
      <c r="AA981" s="0" t="s">
        <v>143</v>
      </c>
      <c r="AB981" s="5" t="e">
        <f aca="false">#DIV/0!</f>
        <v>#DIV/0!</v>
      </c>
      <c r="AC981" s="5" t="n">
        <v>30882.3529411765</v>
      </c>
      <c r="AD981" s="0" t="s">
        <v>63</v>
      </c>
      <c r="AE981" s="5" t="n">
        <v>5000</v>
      </c>
      <c r="AF981" s="0" t="s">
        <v>184</v>
      </c>
      <c r="AG981" s="7" t="s">
        <v>2408</v>
      </c>
      <c r="AH981" s="0" t="s">
        <v>2329</v>
      </c>
      <c r="AI981" s="0" t="s">
        <v>116</v>
      </c>
      <c r="AJ981" s="0" t="s">
        <v>2331</v>
      </c>
      <c r="AK981" s="0" t="s">
        <v>2344</v>
      </c>
      <c r="AL981" s="0" t="s">
        <v>50</v>
      </c>
      <c r="AM981" s="0" t="s">
        <v>63</v>
      </c>
      <c r="AN981" s="0" t="s">
        <v>2321</v>
      </c>
      <c r="AO981" s="0" t="s">
        <v>63</v>
      </c>
    </row>
    <row r="982" customFormat="false" ht="15" hidden="false" customHeight="false" outlineLevel="0" collapsed="false">
      <c r="A982" s="0" t="s">
        <v>2244</v>
      </c>
      <c r="B982" s="2" t="s">
        <v>2438</v>
      </c>
      <c r="C982" s="0" t="s">
        <v>121</v>
      </c>
      <c r="D982" s="0" t="n">
        <v>8032875131</v>
      </c>
      <c r="E982" s="0" t="s">
        <v>85</v>
      </c>
      <c r="F982" s="0" t="s">
        <v>2319</v>
      </c>
      <c r="G982" s="0" t="s">
        <v>2245</v>
      </c>
      <c r="H982" s="0" t="s">
        <v>87</v>
      </c>
      <c r="I982" s="3" t="s">
        <v>2322</v>
      </c>
      <c r="J982" s="0" t="s">
        <v>2339</v>
      </c>
      <c r="K982" s="0" t="s">
        <v>71</v>
      </c>
      <c r="L982" s="4" t="n">
        <v>93840</v>
      </c>
      <c r="M982" s="0" t="s">
        <v>2333</v>
      </c>
      <c r="N982" s="0" t="s">
        <v>50</v>
      </c>
      <c r="O982" s="5" t="n">
        <v>4</v>
      </c>
      <c r="P982" s="0" t="n">
        <v>4.9</v>
      </c>
      <c r="Q982" s="0" t="s">
        <v>2334</v>
      </c>
      <c r="R982" s="0" t="s">
        <v>52</v>
      </c>
      <c r="S982" s="0" t="s">
        <v>2366</v>
      </c>
      <c r="T982" s="0" t="s">
        <v>2353</v>
      </c>
      <c r="U982" s="5" t="n">
        <v>45</v>
      </c>
      <c r="V982" s="0" t="s">
        <v>112</v>
      </c>
      <c r="W982" s="0" t="s">
        <v>2328</v>
      </c>
      <c r="X982" s="0" t="s">
        <v>78</v>
      </c>
      <c r="Y982" s="0" t="s">
        <v>99</v>
      </c>
      <c r="Z982" s="0" t="s">
        <v>59</v>
      </c>
      <c r="AA982" s="0" t="s">
        <v>79</v>
      </c>
      <c r="AB982" s="5" t="n">
        <v>20000</v>
      </c>
      <c r="AC982" s="5" t="n">
        <v>40000</v>
      </c>
      <c r="AD982" s="0" t="s">
        <v>63</v>
      </c>
      <c r="AE982" s="5" t="n">
        <v>0</v>
      </c>
      <c r="AF982" s="0" t="s">
        <v>60</v>
      </c>
      <c r="AG982" s="7" t="s">
        <v>2459</v>
      </c>
      <c r="AH982" s="0" t="s">
        <v>2329</v>
      </c>
      <c r="AI982" s="0" t="s">
        <v>2331</v>
      </c>
      <c r="AJ982" s="0" t="s">
        <v>2331</v>
      </c>
      <c r="AK982" s="0" t="s">
        <v>63</v>
      </c>
      <c r="AL982" s="0" t="s">
        <v>50</v>
      </c>
      <c r="AM982" s="0" t="s">
        <v>2344</v>
      </c>
      <c r="AN982" s="0" t="s">
        <v>2321</v>
      </c>
      <c r="AO982" s="0" t="s">
        <v>2359</v>
      </c>
    </row>
    <row r="983" customFormat="false" ht="15" hidden="false" customHeight="false" outlineLevel="0" collapsed="false">
      <c r="A983" s="0" t="s">
        <v>2246</v>
      </c>
      <c r="B983" s="2" t="s">
        <v>1408</v>
      </c>
      <c r="C983" s="0" t="s">
        <v>163</v>
      </c>
      <c r="D983" s="0" t="n">
        <v>8098549488</v>
      </c>
      <c r="E983" s="0" t="s">
        <v>43</v>
      </c>
      <c r="F983" s="0" t="s">
        <v>2315</v>
      </c>
      <c r="G983" s="0" t="s">
        <v>1826</v>
      </c>
      <c r="H983" s="0" t="s">
        <v>134</v>
      </c>
      <c r="I983" s="3" t="s">
        <v>2325</v>
      </c>
      <c r="J983" s="0" t="s">
        <v>2341</v>
      </c>
      <c r="K983" s="0" t="s">
        <v>48</v>
      </c>
      <c r="L983" s="4" t="n">
        <v>47098</v>
      </c>
      <c r="M983" s="0" t="s">
        <v>49</v>
      </c>
      <c r="N983" s="0" t="s">
        <v>50</v>
      </c>
      <c r="O983" s="5" t="n">
        <v>2</v>
      </c>
      <c r="P983" s="0" t="n">
        <v>5.9</v>
      </c>
      <c r="Q983" s="0" t="s">
        <v>51</v>
      </c>
      <c r="R983" s="0" t="s">
        <v>93</v>
      </c>
      <c r="S983" s="0" t="s">
        <v>53</v>
      </c>
      <c r="T983" s="0" t="s">
        <v>75</v>
      </c>
      <c r="U983" s="5" t="n">
        <v>37.5</v>
      </c>
      <c r="V983" s="0" t="s">
        <v>96</v>
      </c>
      <c r="W983" s="0" t="s">
        <v>148</v>
      </c>
      <c r="X983" s="0" t="s">
        <v>98</v>
      </c>
      <c r="Y983" s="0" t="s">
        <v>114</v>
      </c>
      <c r="Z983" s="0" t="s">
        <v>2329</v>
      </c>
      <c r="AA983" s="0" t="s">
        <v>2329</v>
      </c>
      <c r="AB983" s="5" t="n">
        <v>20000</v>
      </c>
      <c r="AC983" s="5" t="n">
        <v>35000</v>
      </c>
      <c r="AD983" s="0" t="s">
        <v>50</v>
      </c>
      <c r="AE983" s="5" t="n">
        <v>5000</v>
      </c>
      <c r="AF983" s="0" t="s">
        <v>60</v>
      </c>
      <c r="AG983" s="7" t="s">
        <v>2330</v>
      </c>
      <c r="AH983" s="0" t="s">
        <v>63</v>
      </c>
      <c r="AI983" s="0" t="s">
        <v>116</v>
      </c>
      <c r="AJ983" s="0" t="s">
        <v>2331</v>
      </c>
      <c r="AK983" s="0" t="s">
        <v>63</v>
      </c>
      <c r="AL983" s="0" t="s">
        <v>63</v>
      </c>
      <c r="AM983" s="0" t="s">
        <v>50</v>
      </c>
      <c r="AN983" s="0" t="s">
        <v>2321</v>
      </c>
      <c r="AO983" s="0" t="s">
        <v>50</v>
      </c>
    </row>
    <row r="984" customFormat="false" ht="15" hidden="false" customHeight="false" outlineLevel="0" collapsed="false">
      <c r="A984" s="0" t="s">
        <v>2247</v>
      </c>
      <c r="B984" s="2" t="s">
        <v>2506</v>
      </c>
      <c r="C984" s="0" t="s">
        <v>163</v>
      </c>
      <c r="D984" s="0" t="n">
        <v>8022003335</v>
      </c>
      <c r="E984" s="0" t="s">
        <v>139</v>
      </c>
      <c r="F984" s="0" t="s">
        <v>2323</v>
      </c>
      <c r="G984" s="0" t="s">
        <v>2248</v>
      </c>
      <c r="H984" s="0" t="s">
        <v>87</v>
      </c>
      <c r="I984" s="3" t="s">
        <v>87</v>
      </c>
      <c r="J984" s="0" t="s">
        <v>2347</v>
      </c>
      <c r="K984" s="0" t="s">
        <v>71</v>
      </c>
      <c r="L984" s="4" t="n">
        <v>119456</v>
      </c>
      <c r="M984" s="0" t="s">
        <v>49</v>
      </c>
      <c r="N984" s="0" t="s">
        <v>63</v>
      </c>
      <c r="O984" s="5" t="n">
        <v>5</v>
      </c>
      <c r="P984" s="0" t="n">
        <v>2.7</v>
      </c>
      <c r="Q984" s="0" t="s">
        <v>111</v>
      </c>
      <c r="R984" s="0" t="s">
        <v>93</v>
      </c>
      <c r="S984" s="0" t="s">
        <v>2335</v>
      </c>
      <c r="T984" s="0" t="s">
        <v>95</v>
      </c>
      <c r="U984" s="5" t="n">
        <v>45</v>
      </c>
      <c r="V984" s="0" t="s">
        <v>2336</v>
      </c>
      <c r="W984" s="0" t="s">
        <v>2328</v>
      </c>
      <c r="X984" s="0" t="s">
        <v>98</v>
      </c>
      <c r="Y984" s="0" t="s">
        <v>196</v>
      </c>
      <c r="Z984" s="0" t="s">
        <v>2329</v>
      </c>
      <c r="AA984" s="0" t="s">
        <v>149</v>
      </c>
      <c r="AB984" s="5" t="n">
        <v>15000</v>
      </c>
      <c r="AC984" s="5" t="n">
        <v>30000</v>
      </c>
      <c r="AD984" s="0" t="s">
        <v>50</v>
      </c>
      <c r="AE984" s="5" t="n">
        <v>10000</v>
      </c>
      <c r="AF984" s="0" t="s">
        <v>60</v>
      </c>
      <c r="AG984" s="7" t="s">
        <v>2414</v>
      </c>
      <c r="AH984" s="0" t="s">
        <v>50</v>
      </c>
      <c r="AI984" s="0" t="s">
        <v>171</v>
      </c>
      <c r="AJ984" s="0" t="s">
        <v>2331</v>
      </c>
      <c r="AK984" s="0" t="s">
        <v>50</v>
      </c>
      <c r="AL984" s="0" t="s">
        <v>50</v>
      </c>
      <c r="AM984" s="0" t="s">
        <v>63</v>
      </c>
      <c r="AN984" s="0" t="s">
        <v>64</v>
      </c>
      <c r="AO984" s="0" t="s">
        <v>50</v>
      </c>
    </row>
    <row r="985" customFormat="false" ht="15" hidden="false" customHeight="false" outlineLevel="0" collapsed="false">
      <c r="A985" s="0" t="s">
        <v>2249</v>
      </c>
      <c r="B985" s="2" t="s">
        <v>2384</v>
      </c>
      <c r="C985" s="0" t="s">
        <v>42</v>
      </c>
      <c r="D985" s="0" t="n">
        <v>8024155900</v>
      </c>
      <c r="E985" s="0" t="s">
        <v>139</v>
      </c>
      <c r="F985" s="0" t="s">
        <v>2323</v>
      </c>
      <c r="G985" s="0" t="s">
        <v>1551</v>
      </c>
      <c r="H985" s="0" t="s">
        <v>134</v>
      </c>
      <c r="I985" s="3" t="s">
        <v>2322</v>
      </c>
      <c r="J985" s="0" t="s">
        <v>2341</v>
      </c>
      <c r="K985" s="0" t="s">
        <v>71</v>
      </c>
      <c r="L985" s="4" t="n">
        <v>89930</v>
      </c>
      <c r="M985" s="0" t="s">
        <v>110</v>
      </c>
      <c r="N985" s="0" t="s">
        <v>63</v>
      </c>
      <c r="O985" s="5" t="n">
        <v>4</v>
      </c>
      <c r="P985" s="0" t="n">
        <v>1.1</v>
      </c>
      <c r="Q985" s="0" t="s">
        <v>125</v>
      </c>
      <c r="R985" s="0" t="s">
        <v>93</v>
      </c>
      <c r="S985" s="0" t="s">
        <v>2340</v>
      </c>
      <c r="T985" s="0" t="s">
        <v>95</v>
      </c>
      <c r="U985" s="5" t="n">
        <v>30</v>
      </c>
      <c r="V985" s="0" t="s">
        <v>2352</v>
      </c>
      <c r="W985" s="0" t="s">
        <v>2337</v>
      </c>
      <c r="X985" s="0" t="s">
        <v>128</v>
      </c>
      <c r="Y985" s="0" t="s">
        <v>196</v>
      </c>
      <c r="Z985" s="0" t="s">
        <v>2326</v>
      </c>
      <c r="AA985" s="0" t="s">
        <v>79</v>
      </c>
      <c r="AB985" s="5" t="n">
        <v>25000</v>
      </c>
      <c r="AC985" s="5" t="n">
        <v>20000</v>
      </c>
      <c r="AD985" s="0" t="s">
        <v>63</v>
      </c>
      <c r="AE985" s="5" t="n">
        <v>5000</v>
      </c>
      <c r="AF985" s="0" t="s">
        <v>60</v>
      </c>
      <c r="AG985" s="7" t="s">
        <v>2330</v>
      </c>
      <c r="AH985" s="0" t="s">
        <v>63</v>
      </c>
      <c r="AI985" s="0" t="s">
        <v>116</v>
      </c>
      <c r="AJ985" s="0" t="s">
        <v>2320</v>
      </c>
      <c r="AK985" s="0" t="s">
        <v>63</v>
      </c>
      <c r="AL985" s="0" t="s">
        <v>63</v>
      </c>
      <c r="AM985" s="0" t="s">
        <v>2344</v>
      </c>
      <c r="AN985" s="0" t="s">
        <v>64</v>
      </c>
      <c r="AO985" s="0" t="s">
        <v>50</v>
      </c>
    </row>
    <row r="986" customFormat="false" ht="15" hidden="false" customHeight="false" outlineLevel="0" collapsed="false">
      <c r="A986" s="0" t="s">
        <v>2250</v>
      </c>
      <c r="B986" s="2" t="s">
        <v>788</v>
      </c>
      <c r="C986" s="0" t="s">
        <v>66</v>
      </c>
      <c r="D986" s="0" t="n">
        <v>8068370404</v>
      </c>
      <c r="E986" s="0" t="s">
        <v>43</v>
      </c>
      <c r="F986" s="0" t="s">
        <v>2315</v>
      </c>
      <c r="G986" s="0" t="s">
        <v>2251</v>
      </c>
      <c r="H986" s="0" t="s">
        <v>87</v>
      </c>
      <c r="I986" s="3" t="s">
        <v>2317</v>
      </c>
      <c r="J986" s="0" t="s">
        <v>2341</v>
      </c>
      <c r="K986" s="0" t="s">
        <v>71</v>
      </c>
      <c r="L986" s="4" t="n">
        <v>59324</v>
      </c>
      <c r="M986" s="0" t="s">
        <v>110</v>
      </c>
      <c r="N986" s="0" t="s">
        <v>50</v>
      </c>
      <c r="O986" s="5" t="n">
        <v>4</v>
      </c>
      <c r="P986" s="0" t="n">
        <v>4.3</v>
      </c>
      <c r="Q986" s="0" t="s">
        <v>2334</v>
      </c>
      <c r="R986" s="0" t="s">
        <v>73</v>
      </c>
      <c r="S986" s="0" t="s">
        <v>2340</v>
      </c>
      <c r="T986" s="0" t="s">
        <v>95</v>
      </c>
      <c r="U986" s="5" t="n">
        <v>45</v>
      </c>
      <c r="V986" s="0" t="s">
        <v>96</v>
      </c>
      <c r="W986" s="0" t="s">
        <v>148</v>
      </c>
      <c r="X986" s="0" t="s">
        <v>78</v>
      </c>
      <c r="Y986" s="0" t="s">
        <v>196</v>
      </c>
      <c r="Z986" s="0" t="s">
        <v>177</v>
      </c>
      <c r="AA986" s="0" t="s">
        <v>2329</v>
      </c>
      <c r="AB986" s="5" t="n">
        <v>15000</v>
      </c>
      <c r="AC986" s="5" t="n">
        <v>30000</v>
      </c>
      <c r="AD986" s="0" t="s">
        <v>50</v>
      </c>
      <c r="AE986" s="5" t="n">
        <v>0</v>
      </c>
      <c r="AF986" s="0" t="s">
        <v>130</v>
      </c>
      <c r="AG986" s="7" t="s">
        <v>2330</v>
      </c>
      <c r="AH986" s="0" t="s">
        <v>2329</v>
      </c>
      <c r="AI986" s="0" t="s">
        <v>116</v>
      </c>
      <c r="AJ986" s="0" t="s">
        <v>2320</v>
      </c>
      <c r="AK986" s="0" t="s">
        <v>50</v>
      </c>
      <c r="AL986" s="0" t="s">
        <v>50</v>
      </c>
      <c r="AM986" s="0" t="s">
        <v>50</v>
      </c>
      <c r="AN986" s="0" t="s">
        <v>2321</v>
      </c>
      <c r="AO986" s="0" t="s">
        <v>2359</v>
      </c>
    </row>
    <row r="987" customFormat="false" ht="15" hidden="false" customHeight="false" outlineLevel="0" collapsed="false">
      <c r="A987" s="0" t="s">
        <v>2252</v>
      </c>
      <c r="B987" s="2" t="s">
        <v>2450</v>
      </c>
      <c r="C987" s="0" t="s">
        <v>42</v>
      </c>
      <c r="D987" s="0" t="n">
        <v>8013922081</v>
      </c>
      <c r="E987" s="0" t="s">
        <v>139</v>
      </c>
      <c r="F987" s="0" t="s">
        <v>2323</v>
      </c>
      <c r="G987" s="0" t="s">
        <v>2253</v>
      </c>
      <c r="H987" s="0" t="s">
        <v>134</v>
      </c>
      <c r="I987" s="3" t="s">
        <v>2317</v>
      </c>
      <c r="J987" s="0" t="s">
        <v>47</v>
      </c>
      <c r="K987" s="0" t="s">
        <v>90</v>
      </c>
      <c r="L987" s="4" t="n">
        <v>60296</v>
      </c>
      <c r="M987" s="0" t="s">
        <v>110</v>
      </c>
      <c r="N987" s="0" t="s">
        <v>63</v>
      </c>
      <c r="O987" s="5" t="n">
        <v>5</v>
      </c>
      <c r="P987" s="0" t="n">
        <v>5.5</v>
      </c>
      <c r="Q987" s="0" t="s">
        <v>92</v>
      </c>
      <c r="R987" s="0" t="s">
        <v>93</v>
      </c>
      <c r="S987" s="0" t="s">
        <v>2340</v>
      </c>
      <c r="T987" s="0" t="s">
        <v>2343</v>
      </c>
      <c r="U987" s="5" t="n">
        <v>15</v>
      </c>
      <c r="V987" s="0" t="s">
        <v>2336</v>
      </c>
      <c r="W987" s="0" t="s">
        <v>155</v>
      </c>
      <c r="X987" s="0" t="s">
        <v>98</v>
      </c>
      <c r="Y987" s="0" t="s">
        <v>58</v>
      </c>
      <c r="Z987" s="0" t="s">
        <v>177</v>
      </c>
      <c r="AA987" s="0" t="s">
        <v>161</v>
      </c>
      <c r="AB987" s="5" t="n">
        <v>40000</v>
      </c>
      <c r="AC987" s="5" t="n">
        <v>30000</v>
      </c>
      <c r="AD987" s="0" t="s">
        <v>50</v>
      </c>
      <c r="AE987" s="5" t="n">
        <v>0</v>
      </c>
      <c r="AF987" s="0" t="s">
        <v>130</v>
      </c>
      <c r="AG987" s="7" t="s">
        <v>2330</v>
      </c>
      <c r="AH987" s="0" t="s">
        <v>63</v>
      </c>
      <c r="AI987" s="0" t="s">
        <v>2331</v>
      </c>
      <c r="AJ987" s="0" t="s">
        <v>117</v>
      </c>
      <c r="AK987" s="0" t="s">
        <v>50</v>
      </c>
      <c r="AL987" s="0" t="s">
        <v>63</v>
      </c>
      <c r="AM987" s="0" t="s">
        <v>63</v>
      </c>
      <c r="AN987" s="0" t="s">
        <v>2321</v>
      </c>
      <c r="AO987" s="0" t="s">
        <v>50</v>
      </c>
    </row>
    <row r="988" customFormat="false" ht="15" hidden="false" customHeight="false" outlineLevel="0" collapsed="false">
      <c r="A988" s="0" t="s">
        <v>2254</v>
      </c>
      <c r="B988" s="2" t="s">
        <v>2464</v>
      </c>
      <c r="C988" s="0" t="s">
        <v>121</v>
      </c>
      <c r="D988" s="0" t="n">
        <v>8031506414</v>
      </c>
      <c r="E988" s="0" t="s">
        <v>122</v>
      </c>
      <c r="F988" s="0" t="s">
        <v>2316</v>
      </c>
      <c r="G988" s="0" t="s">
        <v>2255</v>
      </c>
      <c r="H988" s="0" t="s">
        <v>69</v>
      </c>
      <c r="I988" s="3" t="s">
        <v>87</v>
      </c>
      <c r="J988" s="0" t="s">
        <v>2347</v>
      </c>
      <c r="K988" s="0" t="s">
        <v>71</v>
      </c>
      <c r="L988" s="4" t="n">
        <v>81669</v>
      </c>
      <c r="M988" s="0" t="s">
        <v>110</v>
      </c>
      <c r="N988" s="0" t="s">
        <v>50</v>
      </c>
      <c r="O988" s="5" t="n">
        <v>3</v>
      </c>
      <c r="P988" s="0" t="n">
        <v>1.6</v>
      </c>
      <c r="Q988" s="0" t="s">
        <v>92</v>
      </c>
      <c r="R988" s="0" t="s">
        <v>73</v>
      </c>
      <c r="S988" s="0" t="s">
        <v>53</v>
      </c>
      <c r="T988" s="0" t="s">
        <v>2343</v>
      </c>
      <c r="U988" s="5" t="n">
        <v>60</v>
      </c>
      <c r="V988" s="0" t="s">
        <v>2336</v>
      </c>
      <c r="W988" s="0" t="s">
        <v>2337</v>
      </c>
      <c r="X988" s="0" t="s">
        <v>128</v>
      </c>
      <c r="Y988" s="0" t="s">
        <v>99</v>
      </c>
      <c r="Z988" s="0" t="s">
        <v>177</v>
      </c>
      <c r="AA988" s="0" t="s">
        <v>161</v>
      </c>
      <c r="AB988" s="5" t="n">
        <v>40000</v>
      </c>
      <c r="AC988" s="5" t="n">
        <v>30909.0909090909</v>
      </c>
      <c r="AD988" s="0" t="s">
        <v>63</v>
      </c>
      <c r="AE988" s="5" t="n">
        <v>10000</v>
      </c>
      <c r="AF988" s="0" t="s">
        <v>2338</v>
      </c>
      <c r="AG988" s="7" t="s">
        <v>2498</v>
      </c>
      <c r="AH988" s="0" t="s">
        <v>63</v>
      </c>
      <c r="AI988" s="0" t="s">
        <v>2331</v>
      </c>
      <c r="AJ988" s="0" t="s">
        <v>2320</v>
      </c>
      <c r="AK988" s="0" t="s">
        <v>50</v>
      </c>
      <c r="AL988" s="0" t="s">
        <v>50</v>
      </c>
      <c r="AM988" s="0" t="s">
        <v>2344</v>
      </c>
      <c r="AN988" s="0" t="s">
        <v>2321</v>
      </c>
      <c r="AO988" s="0" t="s">
        <v>50</v>
      </c>
    </row>
    <row r="989" customFormat="false" ht="15" hidden="false" customHeight="false" outlineLevel="0" collapsed="false">
      <c r="A989" s="0" t="s">
        <v>2256</v>
      </c>
      <c r="B989" s="2" t="s">
        <v>553</v>
      </c>
      <c r="C989" s="0" t="s">
        <v>163</v>
      </c>
      <c r="D989" s="0" t="n">
        <v>8053822194</v>
      </c>
      <c r="E989" s="0" t="s">
        <v>43</v>
      </c>
      <c r="F989" s="0" t="s">
        <v>2315</v>
      </c>
      <c r="G989" s="0" t="s">
        <v>2257</v>
      </c>
      <c r="H989" s="0" t="s">
        <v>134</v>
      </c>
      <c r="I989" s="3" t="s">
        <v>2317</v>
      </c>
      <c r="J989" s="0" t="s">
        <v>47</v>
      </c>
      <c r="K989" s="0" t="s">
        <v>71</v>
      </c>
      <c r="L989" s="4" t="n">
        <v>42591</v>
      </c>
      <c r="M989" s="0" t="s">
        <v>110</v>
      </c>
      <c r="N989" s="0" t="s">
        <v>63</v>
      </c>
      <c r="O989" s="5" t="n">
        <v>1</v>
      </c>
      <c r="P989" s="0" t="n">
        <v>1.2</v>
      </c>
      <c r="Q989" s="0" t="s">
        <v>111</v>
      </c>
      <c r="R989" s="0" t="s">
        <v>93</v>
      </c>
      <c r="S989" s="0" t="s">
        <v>53</v>
      </c>
      <c r="T989" s="0" t="s">
        <v>75</v>
      </c>
      <c r="U989" s="5" t="n">
        <v>45</v>
      </c>
      <c r="V989" s="0" t="s">
        <v>112</v>
      </c>
      <c r="W989" s="0" t="s">
        <v>2328</v>
      </c>
      <c r="X989" s="0" t="s">
        <v>98</v>
      </c>
      <c r="Y989" s="0" t="s">
        <v>196</v>
      </c>
      <c r="Z989" s="0" t="s">
        <v>59</v>
      </c>
      <c r="AA989" s="0" t="s">
        <v>161</v>
      </c>
      <c r="AB989" s="5" t="n">
        <v>22500</v>
      </c>
      <c r="AC989" s="5" t="n">
        <v>40000</v>
      </c>
      <c r="AD989" s="0" t="s">
        <v>50</v>
      </c>
      <c r="AE989" s="5" t="n">
        <v>0</v>
      </c>
      <c r="AF989" s="0" t="s">
        <v>130</v>
      </c>
      <c r="AG989" s="7" t="s">
        <v>2503</v>
      </c>
      <c r="AH989" s="0" t="s">
        <v>50</v>
      </c>
      <c r="AI989" s="0" t="s">
        <v>116</v>
      </c>
      <c r="AJ989" s="0" t="s">
        <v>117</v>
      </c>
      <c r="AK989" s="0" t="s">
        <v>2344</v>
      </c>
      <c r="AL989" s="0" t="s">
        <v>63</v>
      </c>
      <c r="AM989" s="0" t="s">
        <v>50</v>
      </c>
      <c r="AN989" s="0" t="s">
        <v>2318</v>
      </c>
      <c r="AO989" s="0" t="s">
        <v>63</v>
      </c>
    </row>
    <row r="990" customFormat="false" ht="15" hidden="false" customHeight="false" outlineLevel="0" collapsed="false">
      <c r="A990" s="0" t="s">
        <v>2258</v>
      </c>
      <c r="B990" s="2" t="s">
        <v>438</v>
      </c>
      <c r="C990" s="0" t="s">
        <v>66</v>
      </c>
      <c r="D990" s="0" t="n">
        <v>8061471131</v>
      </c>
      <c r="E990" s="0" t="s">
        <v>122</v>
      </c>
      <c r="F990" s="0" t="s">
        <v>2316</v>
      </c>
      <c r="G990" s="0" t="s">
        <v>2259</v>
      </c>
      <c r="H990" s="0" t="s">
        <v>87</v>
      </c>
      <c r="I990" s="3" t="s">
        <v>87</v>
      </c>
      <c r="J990" s="0" t="s">
        <v>2341</v>
      </c>
      <c r="K990" s="0" t="s">
        <v>109</v>
      </c>
      <c r="L990" s="4" t="n">
        <v>104418</v>
      </c>
      <c r="M990" s="0" t="s">
        <v>2333</v>
      </c>
      <c r="N990" s="0" t="s">
        <v>50</v>
      </c>
      <c r="O990" s="5" t="n">
        <v>4</v>
      </c>
      <c r="P990" s="0" t="n">
        <v>3.3</v>
      </c>
      <c r="Q990" s="0" t="s">
        <v>92</v>
      </c>
      <c r="R990" s="0" t="s">
        <v>73</v>
      </c>
      <c r="S990" s="0" t="s">
        <v>53</v>
      </c>
      <c r="T990" s="0" t="s">
        <v>54</v>
      </c>
      <c r="U990" s="5" t="n">
        <v>45</v>
      </c>
      <c r="V990" s="0" t="s">
        <v>55</v>
      </c>
      <c r="W990" s="0" t="s">
        <v>2328</v>
      </c>
      <c r="X990" s="0" t="s">
        <v>78</v>
      </c>
      <c r="Y990" s="0" t="s">
        <v>58</v>
      </c>
      <c r="Z990" s="0" t="s">
        <v>2329</v>
      </c>
      <c r="AA990" s="0" t="s">
        <v>149</v>
      </c>
      <c r="AB990" s="5" t="n">
        <v>30000</v>
      </c>
      <c r="AC990" s="5" t="n">
        <v>30000</v>
      </c>
      <c r="AD990" s="0" t="s">
        <v>50</v>
      </c>
      <c r="AE990" s="5" t="n">
        <v>0</v>
      </c>
      <c r="AF990" s="0" t="s">
        <v>60</v>
      </c>
      <c r="AG990" s="7" t="s">
        <v>690</v>
      </c>
      <c r="AH990" s="0" t="s">
        <v>50</v>
      </c>
      <c r="AI990" s="0" t="s">
        <v>2331</v>
      </c>
      <c r="AJ990" s="0" t="s">
        <v>2320</v>
      </c>
      <c r="AK990" s="0" t="s">
        <v>50</v>
      </c>
      <c r="AL990" s="0" t="s">
        <v>50</v>
      </c>
      <c r="AM990" s="0" t="s">
        <v>63</v>
      </c>
      <c r="AN990" s="0" t="s">
        <v>2321</v>
      </c>
      <c r="AO990" s="0" t="s">
        <v>63</v>
      </c>
    </row>
    <row r="991" customFormat="false" ht="15" hidden="false" customHeight="false" outlineLevel="0" collapsed="false">
      <c r="A991" s="0" t="s">
        <v>2260</v>
      </c>
      <c r="B991" s="2" t="s">
        <v>225</v>
      </c>
      <c r="C991" s="0" t="s">
        <v>163</v>
      </c>
      <c r="D991" s="0" t="n">
        <v>8047628993</v>
      </c>
      <c r="E991" s="0" t="s">
        <v>67</v>
      </c>
      <c r="F991" s="0" t="s">
        <v>2316</v>
      </c>
      <c r="G991" s="0" t="s">
        <v>2261</v>
      </c>
      <c r="H991" s="0" t="s">
        <v>134</v>
      </c>
      <c r="I991" s="3" t="s">
        <v>2317</v>
      </c>
      <c r="J991" s="0" t="s">
        <v>2341</v>
      </c>
      <c r="K991" s="0" t="s">
        <v>109</v>
      </c>
      <c r="L991" s="4" t="n">
        <v>44711</v>
      </c>
      <c r="M991" s="0" t="s">
        <v>2333</v>
      </c>
      <c r="N991" s="0" t="s">
        <v>63</v>
      </c>
      <c r="O991" s="5" t="n">
        <v>5</v>
      </c>
      <c r="P991" s="0" t="n">
        <v>1.9</v>
      </c>
      <c r="Q991" s="0" t="s">
        <v>92</v>
      </c>
      <c r="R991" s="0" t="s">
        <v>73</v>
      </c>
      <c r="S991" s="0" t="s">
        <v>53</v>
      </c>
      <c r="T991" s="0" t="s">
        <v>147</v>
      </c>
      <c r="U991" s="5" t="n">
        <v>30</v>
      </c>
      <c r="V991" s="0" t="s">
        <v>55</v>
      </c>
      <c r="W991" s="0" t="s">
        <v>2328</v>
      </c>
      <c r="X991" s="0" t="s">
        <v>98</v>
      </c>
      <c r="Y991" s="0" t="s">
        <v>58</v>
      </c>
      <c r="Z991" s="0" t="s">
        <v>2326</v>
      </c>
      <c r="AA991" s="0" t="s">
        <v>2329</v>
      </c>
      <c r="AB991" s="5" t="n">
        <v>30000</v>
      </c>
      <c r="AC991" s="5" t="n">
        <v>30000</v>
      </c>
      <c r="AD991" s="0" t="s">
        <v>50</v>
      </c>
      <c r="AE991" s="5" t="n">
        <v>0</v>
      </c>
      <c r="AF991" s="0" t="s">
        <v>60</v>
      </c>
      <c r="AG991" s="7" t="s">
        <v>1919</v>
      </c>
      <c r="AH991" s="0" t="s">
        <v>50</v>
      </c>
      <c r="AI991" s="0" t="s">
        <v>2331</v>
      </c>
      <c r="AJ991" s="0" t="s">
        <v>2331</v>
      </c>
      <c r="AK991" s="0" t="s">
        <v>63</v>
      </c>
      <c r="AL991" s="0" t="s">
        <v>50</v>
      </c>
      <c r="AM991" s="0" t="s">
        <v>2344</v>
      </c>
      <c r="AN991" s="0" t="s">
        <v>64</v>
      </c>
      <c r="AO991" s="0" t="s">
        <v>2359</v>
      </c>
    </row>
    <row r="992" customFormat="false" ht="15" hidden="false" customHeight="false" outlineLevel="0" collapsed="false">
      <c r="A992" s="0" t="s">
        <v>2262</v>
      </c>
      <c r="B992" s="2" t="s">
        <v>635</v>
      </c>
      <c r="C992" s="0" t="s">
        <v>105</v>
      </c>
      <c r="D992" s="0" t="n">
        <v>8039578370</v>
      </c>
      <c r="E992" s="0" t="s">
        <v>122</v>
      </c>
      <c r="F992" s="0" t="s">
        <v>2316</v>
      </c>
      <c r="G992" s="0" t="s">
        <v>2263</v>
      </c>
      <c r="H992" s="0" t="s">
        <v>45</v>
      </c>
      <c r="I992" s="3" t="s">
        <v>87</v>
      </c>
      <c r="J992" s="0" t="s">
        <v>2347</v>
      </c>
      <c r="K992" s="0" t="s">
        <v>90</v>
      </c>
      <c r="L992" s="4" t="n">
        <v>90190</v>
      </c>
      <c r="M992" s="0" t="s">
        <v>49</v>
      </c>
      <c r="N992" s="0" t="s">
        <v>63</v>
      </c>
      <c r="O992" s="5" t="n">
        <v>5</v>
      </c>
      <c r="P992" s="0" t="n">
        <v>1.3</v>
      </c>
      <c r="Q992" s="0" t="s">
        <v>92</v>
      </c>
      <c r="R992" s="0" t="s">
        <v>52</v>
      </c>
      <c r="S992" s="0" t="s">
        <v>2340</v>
      </c>
      <c r="T992" s="0" t="s">
        <v>95</v>
      </c>
      <c r="U992" s="5" t="n">
        <v>30</v>
      </c>
      <c r="V992" s="0" t="s">
        <v>2336</v>
      </c>
      <c r="W992" s="0" t="s">
        <v>155</v>
      </c>
      <c r="X992" s="0" t="s">
        <v>128</v>
      </c>
      <c r="Y992" s="0" t="s">
        <v>114</v>
      </c>
      <c r="Z992" s="0" t="s">
        <v>59</v>
      </c>
      <c r="AA992" s="0" t="s">
        <v>143</v>
      </c>
      <c r="AB992" s="5" t="e">
        <f aca="false">#DIV/0!</f>
        <v>#DIV/0!</v>
      </c>
      <c r="AC992" s="5" t="n">
        <v>40000</v>
      </c>
      <c r="AD992" s="0" t="s">
        <v>63</v>
      </c>
      <c r="AE992" s="5" t="n">
        <v>10000</v>
      </c>
      <c r="AF992" s="0" t="s">
        <v>130</v>
      </c>
      <c r="AG992" s="7" t="s">
        <v>2330</v>
      </c>
      <c r="AH992" s="0" t="s">
        <v>2329</v>
      </c>
      <c r="AI992" s="0" t="s">
        <v>2331</v>
      </c>
      <c r="AJ992" s="0" t="s">
        <v>2331</v>
      </c>
      <c r="AK992" s="0" t="s">
        <v>50</v>
      </c>
      <c r="AL992" s="0" t="s">
        <v>2344</v>
      </c>
      <c r="AM992" s="0" t="s">
        <v>63</v>
      </c>
      <c r="AN992" s="0" t="s">
        <v>2321</v>
      </c>
      <c r="AO992" s="0" t="s">
        <v>63</v>
      </c>
    </row>
    <row r="993" customFormat="false" ht="15" hidden="false" customHeight="false" outlineLevel="0" collapsed="false">
      <c r="A993" s="0" t="s">
        <v>2264</v>
      </c>
      <c r="B993" s="2" t="s">
        <v>796</v>
      </c>
      <c r="C993" s="0" t="s">
        <v>42</v>
      </c>
      <c r="D993" s="0" t="n">
        <v>8044578317</v>
      </c>
      <c r="E993" s="0" t="s">
        <v>122</v>
      </c>
      <c r="F993" s="0" t="s">
        <v>2316</v>
      </c>
      <c r="G993" s="0" t="s">
        <v>2265</v>
      </c>
      <c r="H993" s="0" t="s">
        <v>134</v>
      </c>
      <c r="I993" s="3" t="s">
        <v>2317</v>
      </c>
      <c r="J993" s="0" t="s">
        <v>47</v>
      </c>
      <c r="K993" s="0" t="s">
        <v>48</v>
      </c>
      <c r="L993" s="4" t="n">
        <v>66270</v>
      </c>
      <c r="M993" s="0" t="s">
        <v>110</v>
      </c>
      <c r="N993" s="0" t="s">
        <v>50</v>
      </c>
      <c r="O993" s="5" t="n">
        <v>4</v>
      </c>
      <c r="P993" s="0" t="n">
        <v>3.1</v>
      </c>
      <c r="Q993" s="0" t="s">
        <v>2334</v>
      </c>
      <c r="R993" s="0" t="s">
        <v>93</v>
      </c>
      <c r="S993" s="0" t="s">
        <v>2366</v>
      </c>
      <c r="T993" s="0" t="s">
        <v>2353</v>
      </c>
      <c r="U993" s="5" t="n">
        <v>45</v>
      </c>
      <c r="V993" s="0" t="s">
        <v>2336</v>
      </c>
      <c r="W993" s="0" t="s">
        <v>2337</v>
      </c>
      <c r="X993" s="0" t="s">
        <v>128</v>
      </c>
      <c r="Y993" s="0" t="s">
        <v>99</v>
      </c>
      <c r="Z993" s="0" t="s">
        <v>2329</v>
      </c>
      <c r="AA993" s="0" t="s">
        <v>149</v>
      </c>
      <c r="AB993" s="5" t="n">
        <v>20000</v>
      </c>
      <c r="AC993" s="5" t="n">
        <v>30000</v>
      </c>
      <c r="AD993" s="0" t="s">
        <v>50</v>
      </c>
      <c r="AE993" s="5" t="n">
        <v>5000</v>
      </c>
      <c r="AF993" s="0" t="s">
        <v>2338</v>
      </c>
      <c r="AG993" s="7" t="s">
        <v>2330</v>
      </c>
      <c r="AH993" s="0" t="s">
        <v>2329</v>
      </c>
      <c r="AI993" s="0" t="s">
        <v>171</v>
      </c>
      <c r="AJ993" s="0" t="s">
        <v>2331</v>
      </c>
      <c r="AK993" s="0" t="s">
        <v>50</v>
      </c>
      <c r="AL993" s="0" t="s">
        <v>63</v>
      </c>
      <c r="AM993" s="0" t="s">
        <v>50</v>
      </c>
      <c r="AN993" s="0" t="s">
        <v>2321</v>
      </c>
      <c r="AO993" s="0" t="s">
        <v>50</v>
      </c>
    </row>
    <row r="994" customFormat="false" ht="15" hidden="false" customHeight="false" outlineLevel="0" collapsed="false">
      <c r="A994" s="0" t="s">
        <v>2266</v>
      </c>
      <c r="B994" s="2" t="s">
        <v>1050</v>
      </c>
      <c r="C994" s="0" t="s">
        <v>42</v>
      </c>
      <c r="D994" s="0" t="n">
        <v>8099379971</v>
      </c>
      <c r="E994" s="0" t="s">
        <v>85</v>
      </c>
      <c r="F994" s="0" t="s">
        <v>2319</v>
      </c>
      <c r="G994" s="0" t="s">
        <v>2267</v>
      </c>
      <c r="H994" s="0" t="s">
        <v>69</v>
      </c>
      <c r="I994" s="3" t="s">
        <v>2322</v>
      </c>
      <c r="J994" s="0" t="s">
        <v>2349</v>
      </c>
      <c r="K994" s="0" t="s">
        <v>90</v>
      </c>
      <c r="L994" s="4" t="n">
        <v>13358</v>
      </c>
      <c r="M994" s="0" t="s">
        <v>110</v>
      </c>
      <c r="N994" s="0" t="s">
        <v>50</v>
      </c>
      <c r="O994" s="5" t="n">
        <v>4</v>
      </c>
      <c r="P994" s="0" t="n">
        <v>1.1</v>
      </c>
      <c r="Q994" s="0" t="s">
        <v>51</v>
      </c>
      <c r="R994" s="0" t="s">
        <v>93</v>
      </c>
      <c r="S994" s="0" t="s">
        <v>2340</v>
      </c>
      <c r="T994" s="0" t="s">
        <v>147</v>
      </c>
      <c r="U994" s="5" t="n">
        <v>30</v>
      </c>
      <c r="V994" s="0" t="s">
        <v>2336</v>
      </c>
      <c r="W994" s="0" t="s">
        <v>155</v>
      </c>
      <c r="X994" s="0" t="s">
        <v>128</v>
      </c>
      <c r="Y994" s="0" t="s">
        <v>196</v>
      </c>
      <c r="Z994" s="0" t="s">
        <v>2329</v>
      </c>
      <c r="AA994" s="0" t="s">
        <v>149</v>
      </c>
      <c r="AB994" s="5" t="n">
        <v>30000</v>
      </c>
      <c r="AC994" s="5" t="n">
        <v>30000</v>
      </c>
      <c r="AD994" s="0" t="s">
        <v>50</v>
      </c>
      <c r="AE994" s="5" t="n">
        <v>5000</v>
      </c>
      <c r="AF994" s="0" t="s">
        <v>130</v>
      </c>
      <c r="AG994" s="7" t="s">
        <v>2330</v>
      </c>
      <c r="AH994" s="0" t="s">
        <v>50</v>
      </c>
      <c r="AI994" s="0" t="s">
        <v>171</v>
      </c>
      <c r="AJ994" s="0" t="s">
        <v>2331</v>
      </c>
      <c r="AK994" s="0" t="s">
        <v>50</v>
      </c>
      <c r="AL994" s="0" t="s">
        <v>63</v>
      </c>
      <c r="AM994" s="0" t="s">
        <v>63</v>
      </c>
      <c r="AN994" s="0" t="s">
        <v>2318</v>
      </c>
      <c r="AO994" s="0" t="s">
        <v>50</v>
      </c>
    </row>
    <row r="995" customFormat="false" ht="15" hidden="false" customHeight="false" outlineLevel="0" collapsed="false">
      <c r="A995" s="0" t="s">
        <v>2268</v>
      </c>
      <c r="B995" s="2" t="s">
        <v>2422</v>
      </c>
      <c r="C995" s="0" t="s">
        <v>42</v>
      </c>
      <c r="D995" s="0" t="n">
        <v>8073928214</v>
      </c>
      <c r="E995" s="0" t="s">
        <v>67</v>
      </c>
      <c r="F995" s="0" t="s">
        <v>2316</v>
      </c>
      <c r="G995" s="0" t="s">
        <v>2269</v>
      </c>
      <c r="H995" s="0" t="s">
        <v>87</v>
      </c>
      <c r="I995" s="3" t="s">
        <v>2325</v>
      </c>
      <c r="J995" s="0" t="s">
        <v>2349</v>
      </c>
      <c r="K995" s="0" t="s">
        <v>109</v>
      </c>
      <c r="L995" s="4" t="n">
        <v>44818</v>
      </c>
      <c r="M995" s="0" t="s">
        <v>110</v>
      </c>
      <c r="N995" s="0" t="s">
        <v>63</v>
      </c>
      <c r="O995" s="5" t="n">
        <v>1</v>
      </c>
      <c r="P995" s="0" t="n">
        <v>1.4</v>
      </c>
      <c r="Q995" s="0" t="s">
        <v>51</v>
      </c>
      <c r="R995" s="0" t="s">
        <v>93</v>
      </c>
      <c r="S995" s="0" t="s">
        <v>2366</v>
      </c>
      <c r="T995" s="0" t="s">
        <v>75</v>
      </c>
      <c r="U995" s="5" t="n">
        <v>45</v>
      </c>
      <c r="V995" s="0" t="s">
        <v>2336</v>
      </c>
      <c r="W995" s="0" t="s">
        <v>148</v>
      </c>
      <c r="X995" s="0" t="s">
        <v>78</v>
      </c>
      <c r="Y995" s="0" t="s">
        <v>99</v>
      </c>
      <c r="Z995" s="0" t="s">
        <v>2329</v>
      </c>
      <c r="AA995" s="0" t="s">
        <v>161</v>
      </c>
      <c r="AB995" s="5" t="n">
        <v>40000</v>
      </c>
      <c r="AC995" s="5" t="n">
        <v>30000</v>
      </c>
      <c r="AD995" s="0" t="s">
        <v>50</v>
      </c>
      <c r="AE995" s="5" t="n">
        <v>0</v>
      </c>
      <c r="AF995" s="0" t="s">
        <v>130</v>
      </c>
      <c r="AG995" s="7" t="s">
        <v>2345</v>
      </c>
      <c r="AH995" s="0" t="s">
        <v>63</v>
      </c>
      <c r="AI995" s="0" t="s">
        <v>2331</v>
      </c>
      <c r="AJ995" s="0" t="s">
        <v>117</v>
      </c>
      <c r="AK995" s="0" t="s">
        <v>2344</v>
      </c>
      <c r="AL995" s="0" t="s">
        <v>50</v>
      </c>
      <c r="AM995" s="0" t="s">
        <v>2344</v>
      </c>
      <c r="AN995" s="0" t="s">
        <v>64</v>
      </c>
      <c r="AO995" s="0" t="s">
        <v>50</v>
      </c>
    </row>
    <row r="996" customFormat="false" ht="15" hidden="false" customHeight="false" outlineLevel="0" collapsed="false">
      <c r="A996" s="0" t="s">
        <v>2270</v>
      </c>
      <c r="B996" s="2" t="s">
        <v>2384</v>
      </c>
      <c r="C996" s="0" t="s">
        <v>163</v>
      </c>
      <c r="D996" s="0" t="n">
        <v>8026521948</v>
      </c>
      <c r="E996" s="0" t="s">
        <v>85</v>
      </c>
      <c r="F996" s="0" t="s">
        <v>2319</v>
      </c>
      <c r="G996" s="0" t="s">
        <v>2271</v>
      </c>
      <c r="H996" s="0" t="s">
        <v>45</v>
      </c>
      <c r="I996" s="3" t="s">
        <v>87</v>
      </c>
      <c r="J996" s="0" t="s">
        <v>2349</v>
      </c>
      <c r="K996" s="0" t="s">
        <v>109</v>
      </c>
      <c r="L996" s="4" t="n">
        <v>69383</v>
      </c>
      <c r="M996" s="0" t="s">
        <v>2333</v>
      </c>
      <c r="N996" s="0" t="s">
        <v>63</v>
      </c>
      <c r="O996" s="5" t="n">
        <v>5</v>
      </c>
      <c r="P996" s="0" t="n">
        <v>3.8</v>
      </c>
      <c r="Q996" s="0" t="s">
        <v>51</v>
      </c>
      <c r="R996" s="0" t="s">
        <v>52</v>
      </c>
      <c r="S996" s="0" t="s">
        <v>53</v>
      </c>
      <c r="T996" s="0" t="s">
        <v>95</v>
      </c>
      <c r="U996" s="5" t="n">
        <v>30</v>
      </c>
      <c r="V996" s="0" t="s">
        <v>55</v>
      </c>
      <c r="W996" s="0" t="s">
        <v>2337</v>
      </c>
      <c r="X996" s="0" t="s">
        <v>98</v>
      </c>
      <c r="Y996" s="0" t="s">
        <v>196</v>
      </c>
      <c r="Z996" s="0" t="s">
        <v>2329</v>
      </c>
      <c r="AA996" s="0" t="s">
        <v>143</v>
      </c>
      <c r="AB996" s="5" t="n">
        <v>15000</v>
      </c>
      <c r="AC996" s="5" t="n">
        <v>28000</v>
      </c>
      <c r="AD996" s="0" t="s">
        <v>50</v>
      </c>
      <c r="AE996" s="5" t="n">
        <v>0</v>
      </c>
      <c r="AF996" s="0" t="s">
        <v>184</v>
      </c>
      <c r="AG996" s="7" t="s">
        <v>1660</v>
      </c>
      <c r="AH996" s="0" t="s">
        <v>50</v>
      </c>
      <c r="AI996" s="0" t="s">
        <v>171</v>
      </c>
      <c r="AJ996" s="0" t="s">
        <v>2331</v>
      </c>
      <c r="AK996" s="0" t="s">
        <v>63</v>
      </c>
      <c r="AL996" s="0" t="s">
        <v>63</v>
      </c>
      <c r="AM996" s="0" t="s">
        <v>2344</v>
      </c>
      <c r="AN996" s="0" t="s">
        <v>64</v>
      </c>
      <c r="AO996" s="0" t="s">
        <v>50</v>
      </c>
    </row>
    <row r="997" customFormat="false" ht="15" hidden="false" customHeight="false" outlineLevel="0" collapsed="false">
      <c r="A997" s="0" t="s">
        <v>2272</v>
      </c>
      <c r="B997" s="2" t="s">
        <v>2506</v>
      </c>
      <c r="C997" s="0" t="s">
        <v>42</v>
      </c>
      <c r="D997" s="0" t="n">
        <v>8099318726</v>
      </c>
      <c r="E997" s="0" t="s">
        <v>67</v>
      </c>
      <c r="F997" s="0" t="s">
        <v>2316</v>
      </c>
      <c r="G997" s="0" t="s">
        <v>2273</v>
      </c>
      <c r="H997" s="0" t="s">
        <v>107</v>
      </c>
      <c r="I997" s="3" t="s">
        <v>2317</v>
      </c>
      <c r="J997" s="0" t="s">
        <v>2349</v>
      </c>
      <c r="K997" s="0" t="s">
        <v>48</v>
      </c>
      <c r="L997" s="4" t="n">
        <v>77069</v>
      </c>
      <c r="M997" s="0" t="s">
        <v>49</v>
      </c>
      <c r="N997" s="0" t="s">
        <v>50</v>
      </c>
      <c r="O997" s="5" t="n">
        <v>1</v>
      </c>
      <c r="P997" s="0" t="n">
        <v>3.6</v>
      </c>
      <c r="Q997" s="0" t="s">
        <v>51</v>
      </c>
      <c r="R997" s="0" t="s">
        <v>73</v>
      </c>
      <c r="S997" s="0" t="s">
        <v>2335</v>
      </c>
      <c r="T997" s="0" t="s">
        <v>2353</v>
      </c>
      <c r="U997" s="5" t="n">
        <v>30</v>
      </c>
      <c r="V997" s="0" t="s">
        <v>2352</v>
      </c>
      <c r="W997" s="0" t="s">
        <v>2328</v>
      </c>
      <c r="X997" s="0" t="s">
        <v>98</v>
      </c>
      <c r="Y997" s="0" t="s">
        <v>196</v>
      </c>
      <c r="Z997" s="0" t="s">
        <v>2329</v>
      </c>
      <c r="AA997" s="0" t="s">
        <v>2329</v>
      </c>
      <c r="AB997" s="5" t="n">
        <v>25000</v>
      </c>
      <c r="AC997" s="5" t="n">
        <v>30000</v>
      </c>
      <c r="AD997" s="0" t="s">
        <v>50</v>
      </c>
      <c r="AE997" s="5" t="n">
        <v>5000</v>
      </c>
      <c r="AF997" s="0" t="s">
        <v>60</v>
      </c>
      <c r="AG997" s="7" t="s">
        <v>2355</v>
      </c>
      <c r="AH997" s="0" t="s">
        <v>63</v>
      </c>
      <c r="AI997" s="0" t="s">
        <v>2331</v>
      </c>
      <c r="AJ997" s="0" t="s">
        <v>2331</v>
      </c>
      <c r="AK997" s="0" t="s">
        <v>2344</v>
      </c>
      <c r="AL997" s="0" t="s">
        <v>63</v>
      </c>
      <c r="AM997" s="0" t="s">
        <v>63</v>
      </c>
      <c r="AN997" s="0" t="s">
        <v>2321</v>
      </c>
      <c r="AO997" s="0" t="s">
        <v>63</v>
      </c>
    </row>
    <row r="998" customFormat="false" ht="15" hidden="false" customHeight="false" outlineLevel="0" collapsed="false">
      <c r="A998" s="0" t="s">
        <v>2274</v>
      </c>
      <c r="B998" s="2" t="s">
        <v>2417</v>
      </c>
      <c r="C998" s="0" t="s">
        <v>163</v>
      </c>
      <c r="D998" s="0" t="n">
        <v>8028220919</v>
      </c>
      <c r="E998" s="0" t="s">
        <v>122</v>
      </c>
      <c r="F998" s="0" t="s">
        <v>2316</v>
      </c>
      <c r="G998" s="0" t="s">
        <v>2275</v>
      </c>
      <c r="H998" s="0" t="s">
        <v>45</v>
      </c>
      <c r="I998" s="3" t="s">
        <v>2342</v>
      </c>
      <c r="J998" s="0" t="s">
        <v>47</v>
      </c>
      <c r="K998" s="0" t="s">
        <v>90</v>
      </c>
      <c r="L998" s="4" t="n">
        <v>50946</v>
      </c>
      <c r="M998" s="0" t="s">
        <v>49</v>
      </c>
      <c r="N998" s="0" t="s">
        <v>50</v>
      </c>
      <c r="O998" s="5" t="n">
        <v>5</v>
      </c>
      <c r="P998" s="0" t="n">
        <v>3.3</v>
      </c>
      <c r="Q998" s="0" t="s">
        <v>2334</v>
      </c>
      <c r="R998" s="0" t="s">
        <v>52</v>
      </c>
      <c r="S998" s="0" t="s">
        <v>2340</v>
      </c>
      <c r="T998" s="0" t="s">
        <v>95</v>
      </c>
      <c r="U998" s="5" t="n">
        <v>45</v>
      </c>
      <c r="V998" s="0" t="s">
        <v>2336</v>
      </c>
      <c r="W998" s="0" t="s">
        <v>2337</v>
      </c>
      <c r="X998" s="0" t="s">
        <v>78</v>
      </c>
      <c r="Y998" s="0" t="s">
        <v>58</v>
      </c>
      <c r="Z998" s="0" t="s">
        <v>2329</v>
      </c>
      <c r="AA998" s="0" t="s">
        <v>79</v>
      </c>
      <c r="AB998" s="5" t="n">
        <v>25000</v>
      </c>
      <c r="AC998" s="5" t="n">
        <v>20000</v>
      </c>
      <c r="AD998" s="0" t="s">
        <v>63</v>
      </c>
      <c r="AE998" s="5" t="n">
        <v>5000</v>
      </c>
      <c r="AF998" s="0" t="s">
        <v>60</v>
      </c>
      <c r="AG998" s="7" t="s">
        <v>415</v>
      </c>
      <c r="AH998" s="0" t="s">
        <v>50</v>
      </c>
      <c r="AI998" s="0" t="s">
        <v>171</v>
      </c>
      <c r="AJ998" s="0" t="s">
        <v>117</v>
      </c>
      <c r="AK998" s="0" t="s">
        <v>2344</v>
      </c>
      <c r="AL998" s="0" t="s">
        <v>50</v>
      </c>
      <c r="AM998" s="0" t="s">
        <v>2344</v>
      </c>
      <c r="AN998" s="0" t="s">
        <v>2321</v>
      </c>
      <c r="AO998" s="0" t="s">
        <v>63</v>
      </c>
    </row>
    <row r="999" customFormat="false" ht="15" hidden="false" customHeight="false" outlineLevel="0" collapsed="false">
      <c r="A999" s="0" t="s">
        <v>2276</v>
      </c>
      <c r="B999" s="2" t="s">
        <v>2162</v>
      </c>
      <c r="C999" s="0" t="s">
        <v>105</v>
      </c>
      <c r="D999" s="0" t="n">
        <v>8081745187</v>
      </c>
      <c r="E999" s="0" t="s">
        <v>139</v>
      </c>
      <c r="F999" s="0" t="s">
        <v>2323</v>
      </c>
      <c r="G999" s="0" t="s">
        <v>2277</v>
      </c>
      <c r="H999" s="0" t="s">
        <v>45</v>
      </c>
      <c r="I999" s="3" t="s">
        <v>87</v>
      </c>
      <c r="J999" s="0" t="s">
        <v>2349</v>
      </c>
      <c r="K999" s="0" t="s">
        <v>48</v>
      </c>
      <c r="L999" s="4" t="n">
        <v>29882</v>
      </c>
      <c r="M999" s="0" t="s">
        <v>110</v>
      </c>
      <c r="N999" s="0" t="s">
        <v>63</v>
      </c>
      <c r="O999" s="5" t="n">
        <v>5</v>
      </c>
      <c r="P999" s="0" t="n">
        <v>1.1</v>
      </c>
      <c r="Q999" s="0" t="s">
        <v>2334</v>
      </c>
      <c r="R999" s="0" t="s">
        <v>73</v>
      </c>
      <c r="S999" s="0" t="s">
        <v>2366</v>
      </c>
      <c r="T999" s="0" t="s">
        <v>95</v>
      </c>
      <c r="U999" s="5" t="n">
        <v>60</v>
      </c>
      <c r="V999" s="0" t="s">
        <v>2336</v>
      </c>
      <c r="W999" s="0" t="s">
        <v>2337</v>
      </c>
      <c r="X999" s="0" t="s">
        <v>128</v>
      </c>
      <c r="Y999" s="0" t="s">
        <v>196</v>
      </c>
      <c r="Z999" s="0" t="s">
        <v>177</v>
      </c>
      <c r="AA999" s="0" t="s">
        <v>149</v>
      </c>
      <c r="AB999" s="5" t="n">
        <v>20000</v>
      </c>
      <c r="AC999" s="5" t="n">
        <v>30000</v>
      </c>
      <c r="AD999" s="0" t="s">
        <v>63</v>
      </c>
      <c r="AE999" s="5" t="n">
        <v>0</v>
      </c>
      <c r="AF999" s="0" t="s">
        <v>60</v>
      </c>
      <c r="AG999" s="7" t="s">
        <v>2330</v>
      </c>
      <c r="AH999" s="0" t="s">
        <v>50</v>
      </c>
      <c r="AI999" s="0" t="s">
        <v>171</v>
      </c>
      <c r="AJ999" s="0" t="s">
        <v>117</v>
      </c>
      <c r="AK999" s="0" t="s">
        <v>50</v>
      </c>
      <c r="AL999" s="0" t="s">
        <v>2344</v>
      </c>
      <c r="AM999" s="0" t="s">
        <v>50</v>
      </c>
      <c r="AN999" s="0" t="s">
        <v>64</v>
      </c>
      <c r="AO999" s="0" t="s">
        <v>63</v>
      </c>
    </row>
    <row r="1000" customFormat="false" ht="15" hidden="false" customHeight="false" outlineLevel="0" collapsed="false">
      <c r="A1000" s="0" t="s">
        <v>2278</v>
      </c>
      <c r="B1000" s="2" t="s">
        <v>2509</v>
      </c>
      <c r="C1000" s="0" t="s">
        <v>163</v>
      </c>
      <c r="D1000" s="0" t="n">
        <v>8095033398</v>
      </c>
      <c r="E1000" s="0" t="s">
        <v>139</v>
      </c>
      <c r="F1000" s="0" t="s">
        <v>2323</v>
      </c>
      <c r="G1000" s="0" t="s">
        <v>2279</v>
      </c>
      <c r="H1000" s="0" t="s">
        <v>69</v>
      </c>
      <c r="I1000" s="3" t="s">
        <v>87</v>
      </c>
      <c r="J1000" s="0" t="s">
        <v>2339</v>
      </c>
      <c r="K1000" s="0" t="s">
        <v>71</v>
      </c>
      <c r="L1000" s="4" t="n">
        <v>18488</v>
      </c>
      <c r="M1000" s="0" t="s">
        <v>2333</v>
      </c>
      <c r="N1000" s="0" t="s">
        <v>63</v>
      </c>
      <c r="O1000" s="5" t="n">
        <v>4</v>
      </c>
      <c r="P1000" s="0" t="n">
        <v>4.6</v>
      </c>
      <c r="Q1000" s="0" t="s">
        <v>2334</v>
      </c>
      <c r="R1000" s="0" t="s">
        <v>93</v>
      </c>
      <c r="S1000" s="0" t="s">
        <v>2340</v>
      </c>
      <c r="T1000" s="0" t="s">
        <v>2353</v>
      </c>
      <c r="U1000" s="5" t="n">
        <v>15</v>
      </c>
      <c r="V1000" s="0" t="s">
        <v>2336</v>
      </c>
      <c r="W1000" s="0" t="s">
        <v>148</v>
      </c>
      <c r="X1000" s="0" t="s">
        <v>98</v>
      </c>
      <c r="Y1000" s="0" t="s">
        <v>58</v>
      </c>
      <c r="Z1000" s="0" t="s">
        <v>2329</v>
      </c>
      <c r="AA1000" s="0" t="s">
        <v>143</v>
      </c>
      <c r="AB1000" s="5" t="n">
        <v>20000</v>
      </c>
      <c r="AC1000" s="5" t="n">
        <v>30000</v>
      </c>
      <c r="AD1000" s="0" t="s">
        <v>63</v>
      </c>
      <c r="AE1000" s="5" t="n">
        <v>0</v>
      </c>
      <c r="AF1000" s="0" t="s">
        <v>130</v>
      </c>
      <c r="AG1000" s="7" t="s">
        <v>2330</v>
      </c>
      <c r="AH1000" s="0" t="s">
        <v>2329</v>
      </c>
      <c r="AI1000" s="0" t="s">
        <v>2331</v>
      </c>
      <c r="AJ1000" s="0" t="s">
        <v>117</v>
      </c>
      <c r="AK1000" s="0" t="s">
        <v>50</v>
      </c>
      <c r="AL1000" s="0" t="s">
        <v>2344</v>
      </c>
      <c r="AM1000" s="0" t="s">
        <v>50</v>
      </c>
      <c r="AN1000" s="0" t="s">
        <v>2321</v>
      </c>
      <c r="AO1000" s="0" t="s">
        <v>2359</v>
      </c>
    </row>
    <row r="1001" customFormat="false" ht="15" hidden="false" customHeight="false" outlineLevel="0" collapsed="false">
      <c r="A1001" s="0" t="s">
        <v>2280</v>
      </c>
      <c r="B1001" s="2" t="s">
        <v>2221</v>
      </c>
      <c r="C1001" s="0" t="s">
        <v>105</v>
      </c>
      <c r="D1001" s="0" t="n">
        <v>8076029590</v>
      </c>
      <c r="E1001" s="0" t="s">
        <v>139</v>
      </c>
      <c r="F1001" s="0" t="s">
        <v>2323</v>
      </c>
      <c r="G1001" s="0" t="s">
        <v>2281</v>
      </c>
      <c r="H1001" s="0" t="s">
        <v>107</v>
      </c>
      <c r="I1001" s="3" t="s">
        <v>2317</v>
      </c>
      <c r="J1001" s="0" t="s">
        <v>47</v>
      </c>
      <c r="K1001" s="0" t="s">
        <v>2342</v>
      </c>
      <c r="L1001" s="4" t="n">
        <v>68188</v>
      </c>
      <c r="M1001" s="0" t="s">
        <v>2333</v>
      </c>
      <c r="N1001" s="0" t="s">
        <v>63</v>
      </c>
      <c r="O1001" s="5" t="n">
        <v>3</v>
      </c>
      <c r="P1001" s="0" t="n">
        <v>4.7</v>
      </c>
      <c r="Q1001" s="0" t="s">
        <v>92</v>
      </c>
      <c r="R1001" s="0" t="s">
        <v>93</v>
      </c>
      <c r="S1001" s="0" t="s">
        <v>2340</v>
      </c>
      <c r="T1001" s="0" t="s">
        <v>147</v>
      </c>
      <c r="U1001" s="5" t="n">
        <v>15</v>
      </c>
      <c r="V1001" s="0" t="s">
        <v>96</v>
      </c>
      <c r="W1001" s="0" t="s">
        <v>148</v>
      </c>
      <c r="X1001" s="0" t="s">
        <v>98</v>
      </c>
      <c r="Y1001" s="0" t="s">
        <v>99</v>
      </c>
      <c r="Z1001" s="0" t="s">
        <v>2324</v>
      </c>
      <c r="AA1001" s="0" t="s">
        <v>79</v>
      </c>
      <c r="AB1001" s="5" t="n">
        <v>25000</v>
      </c>
      <c r="AC1001" s="5" t="n">
        <v>30000</v>
      </c>
      <c r="AD1001" s="0" t="s">
        <v>63</v>
      </c>
      <c r="AE1001" s="5" t="n">
        <v>5000</v>
      </c>
      <c r="AF1001" s="0" t="s">
        <v>60</v>
      </c>
      <c r="AG1001" s="7" t="s">
        <v>131</v>
      </c>
      <c r="AH1001" s="0" t="s">
        <v>63</v>
      </c>
      <c r="AI1001" s="0" t="s">
        <v>2331</v>
      </c>
      <c r="AJ1001" s="0" t="s">
        <v>2331</v>
      </c>
      <c r="AK1001" s="0" t="s">
        <v>50</v>
      </c>
      <c r="AL1001" s="0" t="s">
        <v>50</v>
      </c>
      <c r="AM1001" s="0" t="s">
        <v>63</v>
      </c>
      <c r="AN1001" s="0" t="s">
        <v>2321</v>
      </c>
      <c r="AO1001" s="0" t="s">
        <v>2359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F:F A11"/>
    </sheetView>
  </sheetViews>
  <sheetFormatPr defaultColWidth="9.1484375" defaultRowHeight="15" zeroHeight="false" outlineLevelRow="0" outlineLevelCol="0"/>
  <cols>
    <col collapsed="false" customWidth="true" hidden="false" outlineLevel="0" max="1" min="1" style="16" width="108.57"/>
    <col collapsed="false" customWidth="true" hidden="false" outlineLevel="0" max="2" min="2" style="16" width="59.85"/>
    <col collapsed="false" customWidth="true" hidden="false" outlineLevel="0" max="3" min="3" style="16" width="41.57"/>
    <col collapsed="false" customWidth="false" hidden="false" outlineLevel="0" max="16384" min="4" style="16" width="9.14"/>
  </cols>
  <sheetData>
    <row r="1" customFormat="false" ht="15.75" hidden="false" customHeight="false" outlineLevel="0" collapsed="false">
      <c r="A1" s="17"/>
    </row>
    <row r="6" customFormat="false" ht="15.75" hidden="false" customHeight="false" outlineLevel="0" collapsed="false">
      <c r="A6" s="18" t="s">
        <v>2513</v>
      </c>
      <c r="B6" s="19"/>
    </row>
    <row r="7" customFormat="false" ht="15" hidden="false" customHeight="false" outlineLevel="0" collapsed="false">
      <c r="A7" s="20"/>
    </row>
    <row r="8" customFormat="false" ht="15" hidden="false" customHeight="false" outlineLevel="0" collapsed="false">
      <c r="A8" s="16" t="s">
        <v>2514</v>
      </c>
    </row>
    <row r="11" customFormat="false" ht="18.75" hidden="false" customHeight="false" outlineLevel="0" collapsed="false">
      <c r="A11" s="21" t="s">
        <v>2515</v>
      </c>
      <c r="B11" s="22" t="s">
        <v>2516</v>
      </c>
    </row>
    <row r="12" customFormat="false" ht="15" hidden="false" customHeight="false" outlineLevel="0" collapsed="false">
      <c r="A12" s="23" t="s">
        <v>2517</v>
      </c>
      <c r="B12" s="24" t="s">
        <v>2518</v>
      </c>
    </row>
    <row r="13" customFormat="false" ht="15" hidden="false" customHeight="false" outlineLevel="0" collapsed="false">
      <c r="A13" s="23" t="s">
        <v>2519</v>
      </c>
      <c r="B13" s="24" t="s">
        <v>2520</v>
      </c>
    </row>
    <row r="14" customFormat="false" ht="15" hidden="false" customHeight="false" outlineLevel="0" collapsed="false">
      <c r="A14" s="23" t="s">
        <v>2521</v>
      </c>
      <c r="B14" s="24"/>
    </row>
    <row r="15" customFormat="false" ht="16.5" hidden="false" customHeight="true" outlineLevel="0" collapsed="false">
      <c r="A15" s="23" t="s">
        <v>2522</v>
      </c>
      <c r="B15" s="24" t="s">
        <v>2523</v>
      </c>
    </row>
    <row r="16" customFormat="false" ht="16.5" hidden="false" customHeight="true" outlineLevel="0" collapsed="false">
      <c r="A16" s="25" t="s">
        <v>2524</v>
      </c>
      <c r="B16" s="24"/>
    </row>
    <row r="17" customFormat="false" ht="15.75" hidden="false" customHeight="true" outlineLevel="0" collapsed="false">
      <c r="A17" s="26" t="s">
        <v>2525</v>
      </c>
      <c r="B17" s="27" t="s">
        <v>2526</v>
      </c>
    </row>
    <row r="18" customFormat="false" ht="15" hidden="false" customHeight="false" outlineLevel="0" collapsed="false">
      <c r="A18" s="23" t="s">
        <v>2527</v>
      </c>
      <c r="B18" s="24" t="s">
        <v>2528</v>
      </c>
    </row>
    <row r="19" customFormat="false" ht="15" hidden="false" customHeight="false" outlineLevel="0" collapsed="false">
      <c r="A19" s="23" t="s">
        <v>2529</v>
      </c>
      <c r="B19" s="24" t="s">
        <v>2530</v>
      </c>
    </row>
    <row r="20" customFormat="false" ht="15" hidden="false" customHeight="false" outlineLevel="0" collapsed="false">
      <c r="A20" s="23" t="s">
        <v>2531</v>
      </c>
      <c r="B20" s="24" t="s">
        <v>2532</v>
      </c>
    </row>
    <row r="21" customFormat="false" ht="15" hidden="false" customHeight="false" outlineLevel="0" collapsed="false">
      <c r="A21" s="23" t="s">
        <v>2533</v>
      </c>
      <c r="B21" s="24" t="s">
        <v>2534</v>
      </c>
    </row>
    <row r="22" customFormat="false" ht="15" hidden="false" customHeight="false" outlineLevel="0" collapsed="false">
      <c r="A22" s="23" t="s">
        <v>2535</v>
      </c>
      <c r="B22" s="24" t="s">
        <v>2536</v>
      </c>
    </row>
    <row r="23" customFormat="false" ht="15" hidden="false" customHeight="false" outlineLevel="0" collapsed="false">
      <c r="A23" s="23" t="s">
        <v>2537</v>
      </c>
      <c r="B23" s="24" t="s">
        <v>2538</v>
      </c>
    </row>
    <row r="24" customFormat="false" ht="15" hidden="false" customHeight="false" outlineLevel="0" collapsed="false">
      <c r="A24" s="23" t="s">
        <v>2539</v>
      </c>
      <c r="B24" s="24" t="s">
        <v>2540</v>
      </c>
    </row>
    <row r="25" customFormat="false" ht="15" hidden="false" customHeight="false" outlineLevel="0" collapsed="false">
      <c r="A25" s="26" t="s">
        <v>2541</v>
      </c>
      <c r="B25" s="24" t="s">
        <v>2542</v>
      </c>
    </row>
    <row r="26" customFormat="false" ht="15" hidden="false" customHeight="false" outlineLevel="0" collapsed="false">
      <c r="A26" s="23" t="s">
        <v>2543</v>
      </c>
      <c r="B26" s="24" t="s">
        <v>2544</v>
      </c>
    </row>
    <row r="27" customFormat="false" ht="15" hidden="false" customHeight="false" outlineLevel="0" collapsed="false">
      <c r="A27" s="23" t="s">
        <v>2545</v>
      </c>
      <c r="B27" s="24" t="s">
        <v>2546</v>
      </c>
    </row>
    <row r="28" customFormat="false" ht="15" hidden="false" customHeight="false" outlineLevel="0" collapsed="false">
      <c r="A28" s="23" t="s">
        <v>2547</v>
      </c>
      <c r="B28" s="24" t="s">
        <v>2548</v>
      </c>
    </row>
    <row r="29" customFormat="false" ht="15" hidden="false" customHeight="false" outlineLevel="0" collapsed="false">
      <c r="A29" s="23" t="s">
        <v>2549</v>
      </c>
      <c r="B29" s="24" t="s">
        <v>2550</v>
      </c>
    </row>
    <row r="30" customFormat="false" ht="15" hidden="false" customHeight="false" outlineLevel="0" collapsed="false">
      <c r="A30" s="23" t="s">
        <v>2551</v>
      </c>
      <c r="B30" s="24" t="s">
        <v>2552</v>
      </c>
    </row>
    <row r="31" customFormat="false" ht="15" hidden="false" customHeight="false" outlineLevel="0" collapsed="false">
      <c r="A31" s="23" t="s">
        <v>2553</v>
      </c>
      <c r="B31" s="24" t="s">
        <v>2554</v>
      </c>
    </row>
    <row r="32" customFormat="false" ht="15" hidden="false" customHeight="false" outlineLevel="0" collapsed="false">
      <c r="A32" s="23" t="s">
        <v>2555</v>
      </c>
      <c r="B32" s="24" t="s">
        <v>2556</v>
      </c>
    </row>
    <row r="33" customFormat="false" ht="15" hidden="false" customHeight="false" outlineLevel="0" collapsed="false">
      <c r="A33" s="23" t="s">
        <v>2557</v>
      </c>
      <c r="B33" s="24" t="s">
        <v>2558</v>
      </c>
    </row>
    <row r="34" customFormat="false" ht="15" hidden="false" customHeight="false" outlineLevel="0" collapsed="false">
      <c r="A34" s="28" t="s">
        <v>2559</v>
      </c>
      <c r="B34" s="24"/>
    </row>
    <row r="35" customFormat="false" ht="15" hidden="false" customHeight="false" outlineLevel="0" collapsed="false">
      <c r="A35" s="23" t="s">
        <v>2560</v>
      </c>
      <c r="B35" s="24" t="s">
        <v>2561</v>
      </c>
    </row>
    <row r="36" customFormat="false" ht="15" hidden="false" customHeight="false" outlineLevel="0" collapsed="false">
      <c r="A36" s="23" t="s">
        <v>2562</v>
      </c>
      <c r="B36" s="24" t="s">
        <v>2563</v>
      </c>
    </row>
    <row r="37" customFormat="false" ht="15" hidden="false" customHeight="false" outlineLevel="0" collapsed="false">
      <c r="A37" s="23" t="s">
        <v>2564</v>
      </c>
      <c r="B37" s="24" t="s">
        <v>2565</v>
      </c>
    </row>
    <row r="38" customFormat="false" ht="15" hidden="false" customHeight="false" outlineLevel="0" collapsed="false">
      <c r="A38" s="23" t="s">
        <v>2566</v>
      </c>
      <c r="B38" s="24" t="s">
        <v>2567</v>
      </c>
    </row>
    <row r="39" customFormat="false" ht="15" hidden="false" customHeight="false" outlineLevel="0" collapsed="false">
      <c r="A39" s="23" t="s">
        <v>2568</v>
      </c>
      <c r="B39" s="24" t="s">
        <v>2569</v>
      </c>
    </row>
    <row r="40" customFormat="false" ht="15" hidden="false" customHeight="false" outlineLevel="0" collapsed="false">
      <c r="A40" s="23" t="s">
        <v>2570</v>
      </c>
      <c r="B40" s="24" t="s">
        <v>2571</v>
      </c>
    </row>
    <row r="41" customFormat="false" ht="15" hidden="false" customHeight="false" outlineLevel="0" collapsed="false">
      <c r="A41" s="23" t="s">
        <v>2572</v>
      </c>
      <c r="B41" s="24" t="s">
        <v>2573</v>
      </c>
    </row>
    <row r="42" customFormat="false" ht="15" hidden="false" customHeight="false" outlineLevel="0" collapsed="false">
      <c r="A42" s="23" t="s">
        <v>2574</v>
      </c>
      <c r="B42" s="24" t="s">
        <v>2575</v>
      </c>
    </row>
    <row r="43" customFormat="false" ht="15" hidden="false" customHeight="false" outlineLevel="0" collapsed="false">
      <c r="A43" s="23" t="s">
        <v>2576</v>
      </c>
      <c r="B43" s="24" t="s">
        <v>2577</v>
      </c>
    </row>
    <row r="44" customFormat="false" ht="15" hidden="false" customHeight="false" outlineLevel="0" collapsed="false">
      <c r="A44" s="23" t="s">
        <v>2578</v>
      </c>
      <c r="B44" s="24"/>
    </row>
    <row r="45" customFormat="false" ht="15" hidden="false" customHeight="false" outlineLevel="0" collapsed="false">
      <c r="A45" s="23"/>
      <c r="B45" s="24"/>
    </row>
    <row r="46" customFormat="false" ht="15" hidden="false" customHeight="false" outlineLevel="0" collapsed="false">
      <c r="A46" s="23"/>
      <c r="B46" s="24"/>
    </row>
    <row r="47" customFormat="false" ht="15" hidden="false" customHeight="false" outlineLevel="0" collapsed="false">
      <c r="A47" s="23"/>
      <c r="B47" s="24"/>
    </row>
    <row r="48" customFormat="false" ht="15" hidden="false" customHeight="false" outlineLevel="0" collapsed="false">
      <c r="A48" s="23"/>
      <c r="B48" s="24"/>
    </row>
    <row r="49" customFormat="false" ht="15" hidden="false" customHeight="false" outlineLevel="0" collapsed="false">
      <c r="A49" s="29"/>
      <c r="B49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MtscOffice/7.4.2.3$Windows_X86_64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2026-07-23T11:24:47Z</dcterms:created>
  <dc:creator/>
  <dc:description/>
  <dc:language>en-IN</dc:language>
  <cp:lastModifiedBy/>
  <dcterms:modified xsi:type="dcterms:W3CDTF">2026-07-29T23:31:47Z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